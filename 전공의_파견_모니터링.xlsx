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'기본자료'!$A$1:$L$501</definedName>
    <definedName name="_xlnm._FilterDatabase" localSheetId="6" hidden="1">'인턴현황'!$A$5:$Q$205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L201" headerRowCount="1">
  <autoFilter ref="A1:AL201"/>
  <tableColumns count="38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500명.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200명.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200건.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2">
      <c r="A22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23">
      <c r="A23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4">
      <c r="A24" s="2" t="inlineStr"/>
    </row>
    <row r="25">
      <c r="A25" s="3" t="inlineStr">
        <is>
          <t>[전공의명단]</t>
        </is>
      </c>
    </row>
    <row r="26">
      <c r="A26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7">
      <c r="A27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8">
      <c r="A28" s="2" t="inlineStr">
        <is>
          <t>• 현재 근무병원/진료과: ①파견중이면 파견병원/파견과목 ②인턴이면 이번 달 근무계획 ③그 외는 기본자료의 근무지/수련과목.</t>
        </is>
      </c>
    </row>
    <row r="29">
      <c r="A29" s="2" t="inlineStr"/>
    </row>
    <row r="30">
      <c r="A30" s="3" t="inlineStr">
        <is>
          <t>[급여지급병원(기준월) 규칙 — 전공의명단 Y열]</t>
        </is>
      </c>
    </row>
    <row r="31">
      <c r="A31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2">
      <c r="A32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33">
      <c r="A33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4">
      <c r="A34" s="2" t="inlineStr">
        <is>
          <t>• 파견이 없는 달은 그 달 근무병원(소속 또는 인턴 근무계획 병원)이 지급합니다.</t>
        </is>
      </c>
    </row>
    <row r="35">
      <c r="A35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6">
      <c r="A36" s="2" t="inlineStr"/>
    </row>
    <row r="37">
      <c r="A37" s="3" t="inlineStr">
        <is>
          <t>[점검 열]</t>
        </is>
      </c>
    </row>
    <row r="38">
      <c r="A38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9">
      <c r="A39" s="2" t="inlineStr"/>
    </row>
    <row r="40">
      <c r="A40" s="3" t="inlineStr">
        <is>
          <t>[정렬·필터]</t>
        </is>
      </c>
    </row>
    <row r="41">
      <c r="A41" s="2" t="inlineStr">
        <is>
          <t>• 전공의명단·인턴현황 머리글의 ▼ 버튼으로 정렬/필터합니다 (예: 파견상태=파견중, 종료까지(일) 오름차순 → 종료 임박순).</t>
        </is>
      </c>
    </row>
    <row r="42">
      <c r="A42" s="2" t="inlineStr">
        <is>
          <t>• 주황색 행: 파견중이면서 종료까지 요약 시트의 기준일수(기본 30일) 이내.  회색: 파견종료.</t>
        </is>
      </c>
    </row>
    <row r="43">
      <c r="A43" s="2" t="inlineStr"/>
    </row>
    <row r="44">
      <c r="A44" s="3" t="inlineStr">
        <is>
          <t>[참고]</t>
        </is>
      </c>
    </row>
    <row r="45">
      <c r="A45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</sheetData>
  <autoFilter ref="A1:L5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2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",TRIM(E63&amp;""))-1),코드표!$J$2:$J$101,0)),ISNUMBER(MATCH(TRIM(RIGHT(SUBSTITUTE(TRIM(E63&amp;"")," ",REPT(" ",60)),60)),코드표!$F$2:$F$101,0))),INDEX(코드표!$K$2:$K$101,MATCH(LEFT(TRIM(E63&amp;""),FIND(" ",TRIM(E63&amp;""))-1),코드표!$J$2:$J$101,0))&amp;" "&amp;INDEX(코드표!$G$2:$G$101,MATCH(TRIM(RIGHT(SUBSTITUTE(TRIM(E63&amp;"")," ",REPT(" ",60)),60)),코드표!$F$2:$F$101,0)),"⚠"&amp;TRIM(E63&amp;""))),"⚠"&amp;TRIM(E63&amp;""))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",TRIM(F63&amp;""))-1),코드표!$J$2:$J$101,0)),ISNUMBER(MATCH(TRIM(RIGHT(SUBSTITUTE(TRIM(F63&amp;"")," ",REPT(" ",60)),60)),코드표!$F$2:$F$101,0))),INDEX(코드표!$K$2:$K$101,MATCH(LEFT(TRIM(F63&amp;""),FIND(" ",TRIM(F63&amp;""))-1),코드표!$J$2:$J$101,0))&amp;" "&amp;INDEX(코드표!$G$2:$G$101,MATCH(TRIM(RIGHT(SUBSTITUTE(TRIM(F63&amp;"")," ",REPT(" ",60)),60)),코드표!$F$2:$F$101,0)),"⚠"&amp;TRIM(F63&amp;""))),"⚠"&amp;TRIM(F63&amp;""))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",TRIM(G63&amp;""))-1),코드표!$J$2:$J$101,0)),ISNUMBER(MATCH(TRIM(RIGHT(SUBSTITUTE(TRIM(G63&amp;"")," ",REPT(" ",60)),60)),코드표!$F$2:$F$101,0))),INDEX(코드표!$K$2:$K$101,MATCH(LEFT(TRIM(G63&amp;""),FIND(" ",TRIM(G63&amp;""))-1),코드표!$J$2:$J$101,0))&amp;" "&amp;INDEX(코드표!$G$2:$G$101,MATCH(TRIM(RIGHT(SUBSTITUTE(TRIM(G63&amp;"")," ",REPT(" ",60)),60)),코드표!$F$2:$F$101,0)),"⚠"&amp;TRIM(G63&amp;""))),"⚠"&amp;TRIM(G63&amp;""))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",TRIM(H63&amp;""))-1),코드표!$J$2:$J$101,0)),ISNUMBER(MATCH(TRIM(RIGHT(SUBSTITUTE(TRIM(H63&amp;"")," ",REPT(" ",60)),60)),코드표!$F$2:$F$101,0))),INDEX(코드표!$K$2:$K$101,MATCH(LEFT(TRIM(H63&amp;""),FIND(" ",TRIM(H63&amp;""))-1),코드표!$J$2:$J$101,0))&amp;" "&amp;INDEX(코드표!$G$2:$G$101,MATCH(TRIM(RIGHT(SUBSTITUTE(TRIM(H63&amp;"")," ",REPT(" ",60)),60)),코드표!$F$2:$F$101,0)),"⚠"&amp;TRIM(H63&amp;""))),"⚠"&amp;TRIM(H63&amp;""))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",TRIM(I63&amp;""))-1),코드표!$J$2:$J$101,0)),ISNUMBER(MATCH(TRIM(RIGHT(SUBSTITUTE(TRIM(I63&amp;"")," ",REPT(" ",60)),60)),코드표!$F$2:$F$101,0))),INDEX(코드표!$K$2:$K$101,MATCH(LEFT(TRIM(I63&amp;""),FIND(" ",TRIM(I63&amp;""))-1),코드표!$J$2:$J$101,0))&amp;" "&amp;INDEX(코드표!$G$2:$G$101,MATCH(TRIM(RIGHT(SUBSTITUTE(TRIM(I63&amp;"")," ",REPT(" ",60)),60)),코드표!$F$2:$F$101,0)),"⚠"&amp;TRIM(I63&amp;""))),"⚠"&amp;TRIM(I63&amp;""))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",TRIM(J63&amp;""))-1),코드표!$J$2:$J$101,0)),ISNUMBER(MATCH(TRIM(RIGHT(SUBSTITUTE(TRIM(J63&amp;"")," ",REPT(" ",60)),60)),코드표!$F$2:$F$101,0))),INDEX(코드표!$K$2:$K$101,MATCH(LEFT(TRIM(J63&amp;""),FIND(" ",TRIM(J63&amp;""))-1),코드표!$J$2:$J$101,0))&amp;" "&amp;INDEX(코드표!$G$2:$G$101,MATCH(TRIM(RIGHT(SUBSTITUTE(TRIM(J63&amp;"")," ",REPT(" ",60)),60)),코드표!$F$2:$F$101,0)),"⚠"&amp;TRIM(J63&amp;""))),"⚠"&amp;TRIM(J63&amp;""))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",TRIM(E64&amp;""))-1),코드표!$J$2:$J$101,0)),ISNUMBER(MATCH(TRIM(RIGHT(SUBSTITUTE(TRIM(E64&amp;"")," ",REPT(" ",60)),60)),코드표!$F$2:$F$101,0))),INDEX(코드표!$K$2:$K$101,MATCH(LEFT(TRIM(E64&amp;""),FIND(" ",TRIM(E64&amp;""))-1),코드표!$J$2:$J$101,0))&amp;" "&amp;INDEX(코드표!$G$2:$G$101,MATCH(TRIM(RIGHT(SUBSTITUTE(TRIM(E64&amp;"")," ",REPT(" ",60)),60)),코드표!$F$2:$F$101,0)),"⚠"&amp;TRIM(E64&amp;""))),"⚠"&amp;TRIM(E64&amp;""))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",TRIM(F64&amp;""))-1),코드표!$J$2:$J$101,0)),ISNUMBER(MATCH(TRIM(RIGHT(SUBSTITUTE(TRIM(F64&amp;"")," ",REPT(" ",60)),60)),코드표!$F$2:$F$101,0))),INDEX(코드표!$K$2:$K$101,MATCH(LEFT(TRIM(F64&amp;""),FIND(" ",TRIM(F64&amp;""))-1),코드표!$J$2:$J$101,0))&amp;" "&amp;INDEX(코드표!$G$2:$G$101,MATCH(TRIM(RIGHT(SUBSTITUTE(TRIM(F64&amp;"")," ",REPT(" ",60)),60)),코드표!$F$2:$F$101,0)),"⚠"&amp;TRIM(F64&amp;""))),"⚠"&amp;TRIM(F64&amp;""))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",TRIM(G64&amp;""))-1),코드표!$J$2:$J$101,0)),ISNUMBER(MATCH(TRIM(RIGHT(SUBSTITUTE(TRIM(G64&amp;"")," ",REPT(" ",60)),60)),코드표!$F$2:$F$101,0))),INDEX(코드표!$K$2:$K$101,MATCH(LEFT(TRIM(G64&amp;""),FIND(" ",TRIM(G64&amp;""))-1),코드표!$J$2:$J$101,0))&amp;" "&amp;INDEX(코드표!$G$2:$G$101,MATCH(TRIM(RIGHT(SUBSTITUTE(TRIM(G64&amp;"")," ",REPT(" ",60)),60)),코드표!$F$2:$F$101,0)),"⚠"&amp;TRIM(G64&amp;""))),"⚠"&amp;TRIM(G64&amp;""))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",TRIM(H64&amp;""))-1),코드표!$J$2:$J$101,0)),ISNUMBER(MATCH(TRIM(RIGHT(SUBSTITUTE(TRIM(H64&amp;"")," ",REPT(" ",60)),60)),코드표!$F$2:$F$101,0))),INDEX(코드표!$K$2:$K$101,MATCH(LEFT(TRIM(H64&amp;""),FIND(" ",TRIM(H64&amp;""))-1),코드표!$J$2:$J$101,0))&amp;" "&amp;INDEX(코드표!$G$2:$G$101,MATCH(TRIM(RIGHT(SUBSTITUTE(TRIM(H64&amp;"")," ",REPT(" ",60)),60)),코드표!$F$2:$F$101,0)),"⚠"&amp;TRIM(H64&amp;""))),"⚠"&amp;TRIM(H64&amp;""))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",TRIM(I64&amp;""))-1),코드표!$J$2:$J$101,0)),ISNUMBER(MATCH(TRIM(RIGHT(SUBSTITUTE(TRIM(I64&amp;"")," ",REPT(" ",60)),60)),코드표!$F$2:$F$101,0))),INDEX(코드표!$K$2:$K$101,MATCH(LEFT(TRIM(I64&amp;""),FIND(" ",TRIM(I64&amp;""))-1),코드표!$J$2:$J$101,0))&amp;" "&amp;INDEX(코드표!$G$2:$G$101,MATCH(TRIM(RIGHT(SUBSTITUTE(TRIM(I64&amp;"")," ",REPT(" ",60)),60)),코드표!$F$2:$F$101,0)),"⚠"&amp;TRIM(I64&amp;""))),"⚠"&amp;TRIM(I64&amp;""))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",TRIM(J64&amp;""))-1),코드표!$J$2:$J$101,0)),ISNUMBER(MATCH(TRIM(RIGHT(SUBSTITUTE(TRIM(J64&amp;"")," ",REPT(" ",60)),60)),코드표!$F$2:$F$101,0))),INDEX(코드표!$K$2:$K$101,MATCH(LEFT(TRIM(J64&amp;""),FIND(" ",TRIM(J64&amp;""))-1),코드표!$J$2:$J$101,0))&amp;" "&amp;INDEX(코드표!$G$2:$G$101,MATCH(TRIM(RIGHT(SUBSTITUTE(TRIM(J64&amp;"")," ",REPT(" ",60)),60)),코드표!$F$2:$F$101,0)),"⚠"&amp;TRIM(J64&amp;""))),"⚠"&amp;TRIM(J64&amp;""))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",TRIM(E65&amp;""))-1),코드표!$J$2:$J$101,0)),ISNUMBER(MATCH(TRIM(RIGHT(SUBSTITUTE(TRIM(E65&amp;"")," ",REPT(" ",60)),60)),코드표!$F$2:$F$101,0))),INDEX(코드표!$K$2:$K$101,MATCH(LEFT(TRIM(E65&amp;""),FIND(" ",TRIM(E65&amp;""))-1),코드표!$J$2:$J$101,0))&amp;" "&amp;INDEX(코드표!$G$2:$G$101,MATCH(TRIM(RIGHT(SUBSTITUTE(TRIM(E65&amp;"")," ",REPT(" ",60)),60)),코드표!$F$2:$F$101,0)),"⚠"&amp;TRIM(E65&amp;""))),"⚠"&amp;TRIM(E65&amp;""))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",TRIM(F65&amp;""))-1),코드표!$J$2:$J$101,0)),ISNUMBER(MATCH(TRIM(RIGHT(SUBSTITUTE(TRIM(F65&amp;"")," ",REPT(" ",60)),60)),코드표!$F$2:$F$101,0))),INDEX(코드표!$K$2:$K$101,MATCH(LEFT(TRIM(F65&amp;""),FIND(" ",TRIM(F65&amp;""))-1),코드표!$J$2:$J$101,0))&amp;" "&amp;INDEX(코드표!$G$2:$G$101,MATCH(TRIM(RIGHT(SUBSTITUTE(TRIM(F65&amp;"")," ",REPT(" ",60)),60)),코드표!$F$2:$F$101,0)),"⚠"&amp;TRIM(F65&amp;""))),"⚠"&amp;TRIM(F65&amp;""))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",TRIM(G65&amp;""))-1),코드표!$J$2:$J$101,0)),ISNUMBER(MATCH(TRIM(RIGHT(SUBSTITUTE(TRIM(G65&amp;"")," ",REPT(" ",60)),60)),코드표!$F$2:$F$101,0))),INDEX(코드표!$K$2:$K$101,MATCH(LEFT(TRIM(G65&amp;""),FIND(" ",TRIM(G65&amp;""))-1),코드표!$J$2:$J$101,0))&amp;" "&amp;INDEX(코드표!$G$2:$G$101,MATCH(TRIM(RIGHT(SUBSTITUTE(TRIM(G65&amp;"")," ",REPT(" ",60)),60)),코드표!$F$2:$F$101,0)),"⚠"&amp;TRIM(G65&amp;""))),"⚠"&amp;TRIM(G65&amp;""))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",TRIM(H65&amp;""))-1),코드표!$J$2:$J$101,0)),ISNUMBER(MATCH(TRIM(RIGHT(SUBSTITUTE(TRIM(H65&amp;"")," ",REPT(" ",60)),60)),코드표!$F$2:$F$101,0))),INDEX(코드표!$K$2:$K$101,MATCH(LEFT(TRIM(H65&amp;""),FIND(" ",TRIM(H65&amp;""))-1),코드표!$J$2:$J$101,0))&amp;" "&amp;INDEX(코드표!$G$2:$G$101,MATCH(TRIM(RIGHT(SUBSTITUTE(TRIM(H65&amp;"")," ",REPT(" ",60)),60)),코드표!$F$2:$F$101,0)),"⚠"&amp;TRIM(H65&amp;""))),"⚠"&amp;TRIM(H65&amp;""))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",TRIM(I65&amp;""))-1),코드표!$J$2:$J$101,0)),ISNUMBER(MATCH(TRIM(RIGHT(SUBSTITUTE(TRIM(I65&amp;"")," ",REPT(" ",60)),60)),코드표!$F$2:$F$101,0))),INDEX(코드표!$K$2:$K$101,MATCH(LEFT(TRIM(I65&amp;""),FIND(" ",TRIM(I65&amp;""))-1),코드표!$J$2:$J$101,0))&amp;" "&amp;INDEX(코드표!$G$2:$G$101,MATCH(TRIM(RIGHT(SUBSTITUTE(TRIM(I65&amp;"")," ",REPT(" ",60)),60)),코드표!$F$2:$F$101,0)),"⚠"&amp;TRIM(I65&amp;""))),"⚠"&amp;TRIM(I65&amp;""))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",TRIM(J65&amp;""))-1),코드표!$J$2:$J$101,0)),ISNUMBER(MATCH(TRIM(RIGHT(SUBSTITUTE(TRIM(J65&amp;"")," ",REPT(" ",60)),60)),코드표!$F$2:$F$101,0))),INDEX(코드표!$K$2:$K$101,MATCH(LEFT(TRIM(J65&amp;""),FIND(" ",TRIM(J65&amp;""))-1),코드표!$J$2:$J$101,0))&amp;" "&amp;INDEX(코드표!$G$2:$G$101,MATCH(TRIM(RIGHT(SUBSTITUTE(TRIM(J65&amp;"")," ",REPT(" ",60)),60)),코드표!$F$2:$F$101,0)),"⚠"&amp;TRIM(J65&amp;""))),"⚠"&amp;TRIM(J65&amp;""))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",TRIM(E66&amp;""))-1),코드표!$J$2:$J$101,0)),ISNUMBER(MATCH(TRIM(RIGHT(SUBSTITUTE(TRIM(E66&amp;"")," ",REPT(" ",60)),60)),코드표!$F$2:$F$101,0))),INDEX(코드표!$K$2:$K$101,MATCH(LEFT(TRIM(E66&amp;""),FIND(" ",TRIM(E66&amp;""))-1),코드표!$J$2:$J$101,0))&amp;" "&amp;INDEX(코드표!$G$2:$G$101,MATCH(TRIM(RIGHT(SUBSTITUTE(TRIM(E66&amp;"")," ",REPT(" ",60)),60)),코드표!$F$2:$F$101,0)),"⚠"&amp;TRIM(E66&amp;""))),"⚠"&amp;TRIM(E66&amp;""))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",TRIM(F66&amp;""))-1),코드표!$J$2:$J$101,0)),ISNUMBER(MATCH(TRIM(RIGHT(SUBSTITUTE(TRIM(F66&amp;"")," ",REPT(" ",60)),60)),코드표!$F$2:$F$101,0))),INDEX(코드표!$K$2:$K$101,MATCH(LEFT(TRIM(F66&amp;""),FIND(" ",TRIM(F66&amp;""))-1),코드표!$J$2:$J$101,0))&amp;" "&amp;INDEX(코드표!$G$2:$G$101,MATCH(TRIM(RIGHT(SUBSTITUTE(TRIM(F66&amp;"")," ",REPT(" ",60)),60)),코드표!$F$2:$F$101,0)),"⚠"&amp;TRIM(F66&amp;""))),"⚠"&amp;TRIM(F66&amp;""))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",TRIM(G66&amp;""))-1),코드표!$J$2:$J$101,0)),ISNUMBER(MATCH(TRIM(RIGHT(SUBSTITUTE(TRIM(G66&amp;"")," ",REPT(" ",60)),60)),코드표!$F$2:$F$101,0))),INDEX(코드표!$K$2:$K$101,MATCH(LEFT(TRIM(G66&amp;""),FIND(" ",TRIM(G66&amp;""))-1),코드표!$J$2:$J$101,0))&amp;" "&amp;INDEX(코드표!$G$2:$G$101,MATCH(TRIM(RIGHT(SUBSTITUTE(TRIM(G66&amp;"")," ",REPT(" ",60)),60)),코드표!$F$2:$F$101,0)),"⚠"&amp;TRIM(G66&amp;""))),"⚠"&amp;TRIM(G66&amp;""))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",TRIM(H66&amp;""))-1),코드표!$J$2:$J$101,0)),ISNUMBER(MATCH(TRIM(RIGHT(SUBSTITUTE(TRIM(H66&amp;"")," ",REPT(" ",60)),60)),코드표!$F$2:$F$101,0))),INDEX(코드표!$K$2:$K$101,MATCH(LEFT(TRIM(H66&amp;""),FIND(" ",TRIM(H66&amp;""))-1),코드표!$J$2:$J$101,0))&amp;" "&amp;INDEX(코드표!$G$2:$G$101,MATCH(TRIM(RIGHT(SUBSTITUTE(TRIM(H66&amp;"")," ",REPT(" ",60)),60)),코드표!$F$2:$F$101,0)),"⚠"&amp;TRIM(H66&amp;""))),"⚠"&amp;TRIM(H66&amp;""))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",TRIM(I66&amp;""))-1),코드표!$J$2:$J$101,0)),ISNUMBER(MATCH(TRIM(RIGHT(SUBSTITUTE(TRIM(I66&amp;"")," ",REPT(" ",60)),60)),코드표!$F$2:$F$101,0))),INDEX(코드표!$K$2:$K$101,MATCH(LEFT(TRIM(I66&amp;""),FIND(" ",TRIM(I66&amp;""))-1),코드표!$J$2:$J$101,0))&amp;" "&amp;INDEX(코드표!$G$2:$G$101,MATCH(TRIM(RIGHT(SUBSTITUTE(TRIM(I66&amp;"")," ",REPT(" ",60)),60)),코드표!$F$2:$F$101,0)),"⚠"&amp;TRIM(I66&amp;""))),"⚠"&amp;TRIM(I66&amp;""))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",TRIM(J66&amp;""))-1),코드표!$J$2:$J$101,0)),ISNUMBER(MATCH(TRIM(RIGHT(SUBSTITUTE(TRIM(J66&amp;"")," ",REPT(" ",60)),60)),코드표!$F$2:$F$101,0))),INDEX(코드표!$K$2:$K$101,MATCH(LEFT(TRIM(J66&amp;""),FIND(" ",TRIM(J66&amp;""))-1),코드표!$J$2:$J$101,0))&amp;" "&amp;INDEX(코드표!$G$2:$G$101,MATCH(TRIM(RIGHT(SUBSTITUTE(TRIM(J66&amp;"")," ",REPT(" ",60)),60)),코드표!$F$2:$F$101,0)),"⚠"&amp;TRIM(J66&amp;""))),"⚠"&amp;TRIM(J66&amp;""))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",TRIM(E67&amp;""))-1),코드표!$J$2:$J$101,0)),ISNUMBER(MATCH(TRIM(RIGHT(SUBSTITUTE(TRIM(E67&amp;"")," ",REPT(" ",60)),60)),코드표!$F$2:$F$101,0))),INDEX(코드표!$K$2:$K$101,MATCH(LEFT(TRIM(E67&amp;""),FIND(" ",TRIM(E67&amp;""))-1),코드표!$J$2:$J$101,0))&amp;" "&amp;INDEX(코드표!$G$2:$G$101,MATCH(TRIM(RIGHT(SUBSTITUTE(TRIM(E67&amp;"")," ",REPT(" ",60)),60)),코드표!$F$2:$F$101,0)),"⚠"&amp;TRIM(E67&amp;""))),"⚠"&amp;TRIM(E67&amp;""))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",TRIM(F67&amp;""))-1),코드표!$J$2:$J$101,0)),ISNUMBER(MATCH(TRIM(RIGHT(SUBSTITUTE(TRIM(F67&amp;"")," ",REPT(" ",60)),60)),코드표!$F$2:$F$101,0))),INDEX(코드표!$K$2:$K$101,MATCH(LEFT(TRIM(F67&amp;""),FIND(" ",TRIM(F67&amp;""))-1),코드표!$J$2:$J$101,0))&amp;" "&amp;INDEX(코드표!$G$2:$G$101,MATCH(TRIM(RIGHT(SUBSTITUTE(TRIM(F67&amp;"")," ",REPT(" ",60)),60)),코드표!$F$2:$F$101,0)),"⚠"&amp;TRIM(F67&amp;""))),"⚠"&amp;TRIM(F67&amp;""))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",TRIM(G67&amp;""))-1),코드표!$J$2:$J$101,0)),ISNUMBER(MATCH(TRIM(RIGHT(SUBSTITUTE(TRIM(G67&amp;"")," ",REPT(" ",60)),60)),코드표!$F$2:$F$101,0))),INDEX(코드표!$K$2:$K$101,MATCH(LEFT(TRIM(G67&amp;""),FIND(" ",TRIM(G67&amp;""))-1),코드표!$J$2:$J$101,0))&amp;" "&amp;INDEX(코드표!$G$2:$G$101,MATCH(TRIM(RIGHT(SUBSTITUTE(TRIM(G67&amp;"")," ",REPT(" ",60)),60)),코드표!$F$2:$F$101,0)),"⚠"&amp;TRIM(G67&amp;""))),"⚠"&amp;TRIM(G67&amp;""))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",TRIM(H67&amp;""))-1),코드표!$J$2:$J$101,0)),ISNUMBER(MATCH(TRIM(RIGHT(SUBSTITUTE(TRIM(H67&amp;"")," ",REPT(" ",60)),60)),코드표!$F$2:$F$101,0))),INDEX(코드표!$K$2:$K$101,MATCH(LEFT(TRIM(H67&amp;""),FIND(" ",TRIM(H67&amp;""))-1),코드표!$J$2:$J$101,0))&amp;" "&amp;INDEX(코드표!$G$2:$G$101,MATCH(TRIM(RIGHT(SUBSTITUTE(TRIM(H67&amp;"")," ",REPT(" ",60)),60)),코드표!$F$2:$F$101,0)),"⚠"&amp;TRIM(H67&amp;""))),"⚠"&amp;TRIM(H67&amp;""))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",TRIM(I67&amp;""))-1),코드표!$J$2:$J$101,0)),ISNUMBER(MATCH(TRIM(RIGHT(SUBSTITUTE(TRIM(I67&amp;"")," ",REPT(" ",60)),60)),코드표!$F$2:$F$101,0))),INDEX(코드표!$K$2:$K$101,MATCH(LEFT(TRIM(I67&amp;""),FIND(" ",TRIM(I67&amp;""))-1),코드표!$J$2:$J$101,0))&amp;" "&amp;INDEX(코드표!$G$2:$G$101,MATCH(TRIM(RIGHT(SUBSTITUTE(TRIM(I67&amp;"")," ",REPT(" ",60)),60)),코드표!$F$2:$F$101,0)),"⚠"&amp;TRIM(I67&amp;""))),"⚠"&amp;TRIM(I67&amp;""))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",TRIM(J67&amp;""))-1),코드표!$J$2:$J$101,0)),ISNUMBER(MATCH(TRIM(RIGHT(SUBSTITUTE(TRIM(J67&amp;"")," ",REPT(" ",60)),60)),코드표!$F$2:$F$101,0))),INDEX(코드표!$K$2:$K$101,MATCH(LEFT(TRIM(J67&amp;""),FIND(" ",TRIM(J67&amp;""))-1),코드표!$J$2:$J$101,0))&amp;" "&amp;INDEX(코드표!$G$2:$G$101,MATCH(TRIM(RIGHT(SUBSTITUTE(TRIM(J67&amp;"")," ",REPT(" ",60)),60)),코드표!$F$2:$F$101,0)),"⚠"&amp;TRIM(J67&amp;""))),"⚠"&amp;TRIM(J67&amp;""))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",TRIM(E68&amp;""))-1),코드표!$J$2:$J$101,0)),ISNUMBER(MATCH(TRIM(RIGHT(SUBSTITUTE(TRIM(E68&amp;"")," ",REPT(" ",60)),60)),코드표!$F$2:$F$101,0))),INDEX(코드표!$K$2:$K$101,MATCH(LEFT(TRIM(E68&amp;""),FIND(" ",TRIM(E68&amp;""))-1),코드표!$J$2:$J$101,0))&amp;" "&amp;INDEX(코드표!$G$2:$G$101,MATCH(TRIM(RIGHT(SUBSTITUTE(TRIM(E68&amp;"")," ",REPT(" ",60)),60)),코드표!$F$2:$F$101,0)),"⚠"&amp;TRIM(E68&amp;""))),"⚠"&amp;TRIM(E68&amp;""))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",TRIM(F68&amp;""))-1),코드표!$J$2:$J$101,0)),ISNUMBER(MATCH(TRIM(RIGHT(SUBSTITUTE(TRIM(F68&amp;"")," ",REPT(" ",60)),60)),코드표!$F$2:$F$101,0))),INDEX(코드표!$K$2:$K$101,MATCH(LEFT(TRIM(F68&amp;""),FIND(" ",TRIM(F68&amp;""))-1),코드표!$J$2:$J$101,0))&amp;" "&amp;INDEX(코드표!$G$2:$G$101,MATCH(TRIM(RIGHT(SUBSTITUTE(TRIM(F68&amp;"")," ",REPT(" ",60)),60)),코드표!$F$2:$F$101,0)),"⚠"&amp;TRIM(F68&amp;""))),"⚠"&amp;TRIM(F68&amp;""))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",TRIM(G68&amp;""))-1),코드표!$J$2:$J$101,0)),ISNUMBER(MATCH(TRIM(RIGHT(SUBSTITUTE(TRIM(G68&amp;"")," ",REPT(" ",60)),60)),코드표!$F$2:$F$101,0))),INDEX(코드표!$K$2:$K$101,MATCH(LEFT(TRIM(G68&amp;""),FIND(" ",TRIM(G68&amp;""))-1),코드표!$J$2:$J$101,0))&amp;" "&amp;INDEX(코드표!$G$2:$G$101,MATCH(TRIM(RIGHT(SUBSTITUTE(TRIM(G68&amp;"")," ",REPT(" ",60)),60)),코드표!$F$2:$F$101,0)),"⚠"&amp;TRIM(G68&amp;""))),"⚠"&amp;TRIM(G68&amp;""))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",TRIM(H68&amp;""))-1),코드표!$J$2:$J$101,0)),ISNUMBER(MATCH(TRIM(RIGHT(SUBSTITUTE(TRIM(H68&amp;"")," ",REPT(" ",60)),60)),코드표!$F$2:$F$101,0))),INDEX(코드표!$K$2:$K$101,MATCH(LEFT(TRIM(H68&amp;""),FIND(" ",TRIM(H68&amp;""))-1),코드표!$J$2:$J$101,0))&amp;" "&amp;INDEX(코드표!$G$2:$G$101,MATCH(TRIM(RIGHT(SUBSTITUTE(TRIM(H68&amp;"")," ",REPT(" ",60)),60)),코드표!$F$2:$F$101,0)),"⚠"&amp;TRIM(H68&amp;""))),"⚠"&amp;TRIM(H68&amp;""))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",TRIM(I68&amp;""))-1),코드표!$J$2:$J$101,0)),ISNUMBER(MATCH(TRIM(RIGHT(SUBSTITUTE(TRIM(I68&amp;"")," ",REPT(" ",60)),60)),코드표!$F$2:$F$101,0))),INDEX(코드표!$K$2:$K$101,MATCH(LEFT(TRIM(I68&amp;""),FIND(" ",TRIM(I68&amp;""))-1),코드표!$J$2:$J$101,0))&amp;" "&amp;INDEX(코드표!$G$2:$G$101,MATCH(TRIM(RIGHT(SUBSTITUTE(TRIM(I68&amp;"")," ",REPT(" ",60)),60)),코드표!$F$2:$F$101,0)),"⚠"&amp;TRIM(I68&amp;""))),"⚠"&amp;TRIM(I68&amp;""))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",TRIM(J68&amp;""))-1),코드표!$J$2:$J$101,0)),ISNUMBER(MATCH(TRIM(RIGHT(SUBSTITUTE(TRIM(J68&amp;"")," ",REPT(" ",60)),60)),코드표!$F$2:$F$101,0))),INDEX(코드표!$K$2:$K$101,MATCH(LEFT(TRIM(J68&amp;""),FIND(" ",TRIM(J68&amp;""))-1),코드표!$J$2:$J$101,0))&amp;" "&amp;INDEX(코드표!$G$2:$G$101,MATCH(TRIM(RIGHT(SUBSTITUTE(TRIM(J68&amp;"")," ",REPT(" ",60)),60)),코드표!$F$2:$F$101,0)),"⚠"&amp;TRIM(J68&amp;""))),"⚠"&amp;TRIM(J68&amp;""))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",TRIM(E69&amp;""))-1),코드표!$J$2:$J$101,0)),ISNUMBER(MATCH(TRIM(RIGHT(SUBSTITUTE(TRIM(E69&amp;"")," ",REPT(" ",60)),60)),코드표!$F$2:$F$101,0))),INDEX(코드표!$K$2:$K$101,MATCH(LEFT(TRIM(E69&amp;""),FIND(" ",TRIM(E69&amp;""))-1),코드표!$J$2:$J$101,0))&amp;" "&amp;INDEX(코드표!$G$2:$G$101,MATCH(TRIM(RIGHT(SUBSTITUTE(TRIM(E69&amp;"")," ",REPT(" ",60)),60)),코드표!$F$2:$F$101,0)),"⚠"&amp;TRIM(E69&amp;""))),"⚠"&amp;TRIM(E69&amp;""))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",TRIM(F69&amp;""))-1),코드표!$J$2:$J$101,0)),ISNUMBER(MATCH(TRIM(RIGHT(SUBSTITUTE(TRIM(F69&amp;"")," ",REPT(" ",60)),60)),코드표!$F$2:$F$101,0))),INDEX(코드표!$K$2:$K$101,MATCH(LEFT(TRIM(F69&amp;""),FIND(" ",TRIM(F69&amp;""))-1),코드표!$J$2:$J$101,0))&amp;" "&amp;INDEX(코드표!$G$2:$G$101,MATCH(TRIM(RIGHT(SUBSTITUTE(TRIM(F69&amp;"")," ",REPT(" ",60)),60)),코드표!$F$2:$F$101,0)),"⚠"&amp;TRIM(F69&amp;""))),"⚠"&amp;TRIM(F69&amp;""))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",TRIM(G69&amp;""))-1),코드표!$J$2:$J$101,0)),ISNUMBER(MATCH(TRIM(RIGHT(SUBSTITUTE(TRIM(G69&amp;"")," ",REPT(" ",60)),60)),코드표!$F$2:$F$101,0))),INDEX(코드표!$K$2:$K$101,MATCH(LEFT(TRIM(G69&amp;""),FIND(" ",TRIM(G69&amp;""))-1),코드표!$J$2:$J$101,0))&amp;" "&amp;INDEX(코드표!$G$2:$G$101,MATCH(TRIM(RIGHT(SUBSTITUTE(TRIM(G69&amp;"")," ",REPT(" ",60)),60)),코드표!$F$2:$F$101,0)),"⚠"&amp;TRIM(G69&amp;""))),"⚠"&amp;TRIM(G69&amp;""))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",TRIM(H69&amp;""))-1),코드표!$J$2:$J$101,0)),ISNUMBER(MATCH(TRIM(RIGHT(SUBSTITUTE(TRIM(H69&amp;"")," ",REPT(" ",60)),60)),코드표!$F$2:$F$101,0))),INDEX(코드표!$K$2:$K$101,MATCH(LEFT(TRIM(H69&amp;""),FIND(" ",TRIM(H69&amp;""))-1),코드표!$J$2:$J$101,0))&amp;" "&amp;INDEX(코드표!$G$2:$G$101,MATCH(TRIM(RIGHT(SUBSTITUTE(TRIM(H69&amp;"")," ",REPT(" ",60)),60)),코드표!$F$2:$F$101,0)),"⚠"&amp;TRIM(H69&amp;""))),"⚠"&amp;TRIM(H69&amp;""))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",TRIM(I69&amp;""))-1),코드표!$J$2:$J$101,0)),ISNUMBER(MATCH(TRIM(RIGHT(SUBSTITUTE(TRIM(I69&amp;"")," ",REPT(" ",60)),60)),코드표!$F$2:$F$101,0))),INDEX(코드표!$K$2:$K$101,MATCH(LEFT(TRIM(I69&amp;""),FIND(" ",TRIM(I69&amp;""))-1),코드표!$J$2:$J$101,0))&amp;" "&amp;INDEX(코드표!$G$2:$G$101,MATCH(TRIM(RIGHT(SUBSTITUTE(TRIM(I69&amp;"")," ",REPT(" ",60)),60)),코드표!$F$2:$F$101,0)),"⚠"&amp;TRIM(I69&amp;""))),"⚠"&amp;TRIM(I69&amp;""))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",TRIM(J69&amp;""))-1),코드표!$J$2:$J$101,0)),ISNUMBER(MATCH(TRIM(RIGHT(SUBSTITUTE(TRIM(J69&amp;"")," ",REPT(" ",60)),60)),코드표!$F$2:$F$101,0))),INDEX(코드표!$K$2:$K$101,MATCH(LEFT(TRIM(J69&amp;""),FIND(" ",TRIM(J69&amp;""))-1),코드표!$J$2:$J$101,0))&amp;" "&amp;INDEX(코드표!$G$2:$G$101,MATCH(TRIM(RIGHT(SUBSTITUTE(TRIM(J69&amp;"")," ",REPT(" ",60)),60)),코드표!$F$2:$F$101,0)),"⚠"&amp;TRIM(J69&amp;""))),"⚠"&amp;TRIM(J69&amp;""))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",TRIM(E70&amp;""))-1),코드표!$J$2:$J$101,0)),ISNUMBER(MATCH(TRIM(RIGHT(SUBSTITUTE(TRIM(E70&amp;"")," ",REPT(" ",60)),60)),코드표!$F$2:$F$101,0))),INDEX(코드표!$K$2:$K$101,MATCH(LEFT(TRIM(E70&amp;""),FIND(" ",TRIM(E70&amp;""))-1),코드표!$J$2:$J$101,0))&amp;" "&amp;INDEX(코드표!$G$2:$G$101,MATCH(TRIM(RIGHT(SUBSTITUTE(TRIM(E70&amp;"")," ",REPT(" ",60)),60)),코드표!$F$2:$F$101,0)),"⚠"&amp;TRIM(E70&amp;""))),"⚠"&amp;TRIM(E70&amp;""))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",TRIM(F70&amp;""))-1),코드표!$J$2:$J$101,0)),ISNUMBER(MATCH(TRIM(RIGHT(SUBSTITUTE(TRIM(F70&amp;"")," ",REPT(" ",60)),60)),코드표!$F$2:$F$101,0))),INDEX(코드표!$K$2:$K$101,MATCH(LEFT(TRIM(F70&amp;""),FIND(" ",TRIM(F70&amp;""))-1),코드표!$J$2:$J$101,0))&amp;" "&amp;INDEX(코드표!$G$2:$G$101,MATCH(TRIM(RIGHT(SUBSTITUTE(TRIM(F70&amp;"")," ",REPT(" ",60)),60)),코드표!$F$2:$F$101,0)),"⚠"&amp;TRIM(F70&amp;""))),"⚠"&amp;TRIM(F70&amp;""))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",TRIM(G70&amp;""))-1),코드표!$J$2:$J$101,0)),ISNUMBER(MATCH(TRIM(RIGHT(SUBSTITUTE(TRIM(G70&amp;"")," ",REPT(" ",60)),60)),코드표!$F$2:$F$101,0))),INDEX(코드표!$K$2:$K$101,MATCH(LEFT(TRIM(G70&amp;""),FIND(" ",TRIM(G70&amp;""))-1),코드표!$J$2:$J$101,0))&amp;" "&amp;INDEX(코드표!$G$2:$G$101,MATCH(TRIM(RIGHT(SUBSTITUTE(TRIM(G70&amp;"")," ",REPT(" ",60)),60)),코드표!$F$2:$F$101,0)),"⚠"&amp;TRIM(G70&amp;""))),"⚠"&amp;TRIM(G70&amp;""))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",TRIM(H70&amp;""))-1),코드표!$J$2:$J$101,0)),ISNUMBER(MATCH(TRIM(RIGHT(SUBSTITUTE(TRIM(H70&amp;"")," ",REPT(" ",60)),60)),코드표!$F$2:$F$101,0))),INDEX(코드표!$K$2:$K$101,MATCH(LEFT(TRIM(H70&amp;""),FIND(" ",TRIM(H70&amp;""))-1),코드표!$J$2:$J$101,0))&amp;" "&amp;INDEX(코드표!$G$2:$G$101,MATCH(TRIM(RIGHT(SUBSTITUTE(TRIM(H70&amp;"")," ",REPT(" ",60)),60)),코드표!$F$2:$F$101,0)),"⚠"&amp;TRIM(H70&amp;""))),"⚠"&amp;TRIM(H70&amp;""))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",TRIM(I70&amp;""))-1),코드표!$J$2:$J$101,0)),ISNUMBER(MATCH(TRIM(RIGHT(SUBSTITUTE(TRIM(I70&amp;"")," ",REPT(" ",60)),60)),코드표!$F$2:$F$101,0))),INDEX(코드표!$K$2:$K$101,MATCH(LEFT(TRIM(I70&amp;""),FIND(" ",TRIM(I70&amp;""))-1),코드표!$J$2:$J$101,0))&amp;" "&amp;INDEX(코드표!$G$2:$G$101,MATCH(TRIM(RIGHT(SUBSTITUTE(TRIM(I70&amp;"")," ",REPT(" ",60)),60)),코드표!$F$2:$F$101,0)),"⚠"&amp;TRIM(I70&amp;""))),"⚠"&amp;TRIM(I70&amp;""))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",TRIM(J70&amp;""))-1),코드표!$J$2:$J$101,0)),ISNUMBER(MATCH(TRIM(RIGHT(SUBSTITUTE(TRIM(J70&amp;"")," ",REPT(" ",60)),60)),코드표!$F$2:$F$101,0))),INDEX(코드표!$K$2:$K$101,MATCH(LEFT(TRIM(J70&amp;""),FIND(" ",TRIM(J70&amp;""))-1),코드표!$J$2:$J$101,0))&amp;" "&amp;INDEX(코드표!$G$2:$G$101,MATCH(TRIM(RIGHT(SUBSTITUTE(TRIM(J70&amp;"")," ",REPT(" ",60)),60)),코드표!$F$2:$F$101,0)),"⚠"&amp;TRIM(J70&amp;""))),"⚠"&amp;TRIM(J70&amp;""))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",TRIM(E71&amp;""))-1),코드표!$J$2:$J$101,0)),ISNUMBER(MATCH(TRIM(RIGHT(SUBSTITUTE(TRIM(E71&amp;"")," ",REPT(" ",60)),60)),코드표!$F$2:$F$101,0))),INDEX(코드표!$K$2:$K$101,MATCH(LEFT(TRIM(E71&amp;""),FIND(" ",TRIM(E71&amp;""))-1),코드표!$J$2:$J$101,0))&amp;" "&amp;INDEX(코드표!$G$2:$G$101,MATCH(TRIM(RIGHT(SUBSTITUTE(TRIM(E71&amp;"")," ",REPT(" ",60)),60)),코드표!$F$2:$F$101,0)),"⚠"&amp;TRIM(E71&amp;""))),"⚠"&amp;TRIM(E71&amp;""))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",TRIM(F71&amp;""))-1),코드표!$J$2:$J$101,0)),ISNUMBER(MATCH(TRIM(RIGHT(SUBSTITUTE(TRIM(F71&amp;"")," ",REPT(" ",60)),60)),코드표!$F$2:$F$101,0))),INDEX(코드표!$K$2:$K$101,MATCH(LEFT(TRIM(F71&amp;""),FIND(" ",TRIM(F71&amp;""))-1),코드표!$J$2:$J$101,0))&amp;" "&amp;INDEX(코드표!$G$2:$G$101,MATCH(TRIM(RIGHT(SUBSTITUTE(TRIM(F71&amp;"")," ",REPT(" ",60)),60)),코드표!$F$2:$F$101,0)),"⚠"&amp;TRIM(F71&amp;""))),"⚠"&amp;TRIM(F71&amp;""))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",TRIM(G71&amp;""))-1),코드표!$J$2:$J$101,0)),ISNUMBER(MATCH(TRIM(RIGHT(SUBSTITUTE(TRIM(G71&amp;"")," ",REPT(" ",60)),60)),코드표!$F$2:$F$101,0))),INDEX(코드표!$K$2:$K$101,MATCH(LEFT(TRIM(G71&amp;""),FIND(" ",TRIM(G71&amp;""))-1),코드표!$J$2:$J$101,0))&amp;" "&amp;INDEX(코드표!$G$2:$G$101,MATCH(TRIM(RIGHT(SUBSTITUTE(TRIM(G71&amp;"")," ",REPT(" ",60)),60)),코드표!$F$2:$F$101,0)),"⚠"&amp;TRIM(G71&amp;""))),"⚠"&amp;TRIM(G71&amp;""))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",TRIM(H71&amp;""))-1),코드표!$J$2:$J$101,0)),ISNUMBER(MATCH(TRIM(RIGHT(SUBSTITUTE(TRIM(H71&amp;"")," ",REPT(" ",60)),60)),코드표!$F$2:$F$101,0))),INDEX(코드표!$K$2:$K$101,MATCH(LEFT(TRIM(H71&amp;""),FIND(" ",TRIM(H71&amp;""))-1),코드표!$J$2:$J$101,0))&amp;" "&amp;INDEX(코드표!$G$2:$G$101,MATCH(TRIM(RIGHT(SUBSTITUTE(TRIM(H71&amp;"")," ",REPT(" ",60)),60)),코드표!$F$2:$F$101,0)),"⚠"&amp;TRIM(H71&amp;""))),"⚠"&amp;TRIM(H71&amp;""))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",TRIM(I71&amp;""))-1),코드표!$J$2:$J$101,0)),ISNUMBER(MATCH(TRIM(RIGHT(SUBSTITUTE(TRIM(I71&amp;"")," ",REPT(" ",60)),60)),코드표!$F$2:$F$101,0))),INDEX(코드표!$K$2:$K$101,MATCH(LEFT(TRIM(I71&amp;""),FIND(" ",TRIM(I71&amp;""))-1),코드표!$J$2:$J$101,0))&amp;" "&amp;INDEX(코드표!$G$2:$G$101,MATCH(TRIM(RIGHT(SUBSTITUTE(TRIM(I71&amp;"")," ",REPT(" ",60)),60)),코드표!$F$2:$F$101,0)),"⚠"&amp;TRIM(I71&amp;""))),"⚠"&amp;TRIM(I71&amp;""))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",TRIM(J71&amp;""))-1),코드표!$J$2:$J$101,0)),ISNUMBER(MATCH(TRIM(RIGHT(SUBSTITUTE(TRIM(J71&amp;"")," ",REPT(" ",60)),60)),코드표!$F$2:$F$101,0))),INDEX(코드표!$K$2:$K$101,MATCH(LEFT(TRIM(J71&amp;""),FIND(" ",TRIM(J71&amp;""))-1),코드표!$J$2:$J$101,0))&amp;" "&amp;INDEX(코드표!$G$2:$G$101,MATCH(TRIM(RIGHT(SUBSTITUTE(TRIM(J71&amp;"")," ",REPT(" ",60)),60)),코드표!$F$2:$F$101,0)),"⚠"&amp;TRIM(J71&amp;""))),"⚠"&amp;TRIM(J71&amp;""))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",TRIM(E72&amp;""))-1),코드표!$J$2:$J$101,0)),ISNUMBER(MATCH(TRIM(RIGHT(SUBSTITUTE(TRIM(E72&amp;"")," ",REPT(" ",60)),60)),코드표!$F$2:$F$101,0))),INDEX(코드표!$K$2:$K$101,MATCH(LEFT(TRIM(E72&amp;""),FIND(" ",TRIM(E72&amp;""))-1),코드표!$J$2:$J$101,0))&amp;" "&amp;INDEX(코드표!$G$2:$G$101,MATCH(TRIM(RIGHT(SUBSTITUTE(TRIM(E72&amp;"")," ",REPT(" ",60)),60)),코드표!$F$2:$F$101,0)),"⚠"&amp;TRIM(E72&amp;""))),"⚠"&amp;TRIM(E72&amp;""))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",TRIM(F72&amp;""))-1),코드표!$J$2:$J$101,0)),ISNUMBER(MATCH(TRIM(RIGHT(SUBSTITUTE(TRIM(F72&amp;"")," ",REPT(" ",60)),60)),코드표!$F$2:$F$101,0))),INDEX(코드표!$K$2:$K$101,MATCH(LEFT(TRIM(F72&amp;""),FIND(" ",TRIM(F72&amp;""))-1),코드표!$J$2:$J$101,0))&amp;" "&amp;INDEX(코드표!$G$2:$G$101,MATCH(TRIM(RIGHT(SUBSTITUTE(TRIM(F72&amp;"")," ",REPT(" ",60)),60)),코드표!$F$2:$F$101,0)),"⚠"&amp;TRIM(F72&amp;""))),"⚠"&amp;TRIM(F72&amp;""))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",TRIM(G72&amp;""))-1),코드표!$J$2:$J$101,0)),ISNUMBER(MATCH(TRIM(RIGHT(SUBSTITUTE(TRIM(G72&amp;"")," ",REPT(" ",60)),60)),코드표!$F$2:$F$101,0))),INDEX(코드표!$K$2:$K$101,MATCH(LEFT(TRIM(G72&amp;""),FIND(" ",TRIM(G72&amp;""))-1),코드표!$J$2:$J$101,0))&amp;" "&amp;INDEX(코드표!$G$2:$G$101,MATCH(TRIM(RIGHT(SUBSTITUTE(TRIM(G72&amp;"")," ",REPT(" ",60)),60)),코드표!$F$2:$F$101,0)),"⚠"&amp;TRIM(G72&amp;""))),"⚠"&amp;TRIM(G72&amp;""))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",TRIM(H72&amp;""))-1),코드표!$J$2:$J$101,0)),ISNUMBER(MATCH(TRIM(RIGHT(SUBSTITUTE(TRIM(H72&amp;"")," ",REPT(" ",60)),60)),코드표!$F$2:$F$101,0))),INDEX(코드표!$K$2:$K$101,MATCH(LEFT(TRIM(H72&amp;""),FIND(" ",TRIM(H72&amp;""))-1),코드표!$J$2:$J$101,0))&amp;" "&amp;INDEX(코드표!$G$2:$G$101,MATCH(TRIM(RIGHT(SUBSTITUTE(TRIM(H72&amp;"")," ",REPT(" ",60)),60)),코드표!$F$2:$F$101,0)),"⚠"&amp;TRIM(H72&amp;""))),"⚠"&amp;TRIM(H72&amp;""))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",TRIM(I72&amp;""))-1),코드표!$J$2:$J$101,0)),ISNUMBER(MATCH(TRIM(RIGHT(SUBSTITUTE(TRIM(I72&amp;"")," ",REPT(" ",60)),60)),코드표!$F$2:$F$101,0))),INDEX(코드표!$K$2:$K$101,MATCH(LEFT(TRIM(I72&amp;""),FIND(" ",TRIM(I72&amp;""))-1),코드표!$J$2:$J$101,0))&amp;" "&amp;INDEX(코드표!$G$2:$G$101,MATCH(TRIM(RIGHT(SUBSTITUTE(TRIM(I72&amp;"")," ",REPT(" ",60)),60)),코드표!$F$2:$F$101,0)),"⚠"&amp;TRIM(I72&amp;""))),"⚠"&amp;TRIM(I72&amp;""))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",TRIM(J72&amp;""))-1),코드표!$J$2:$J$101,0)),ISNUMBER(MATCH(TRIM(RIGHT(SUBSTITUTE(TRIM(J72&amp;"")," ",REPT(" ",60)),60)),코드표!$F$2:$F$101,0))),INDEX(코드표!$K$2:$K$101,MATCH(LEFT(TRIM(J72&amp;""),FIND(" ",TRIM(J72&amp;""))-1),코드표!$J$2:$J$101,0))&amp;" "&amp;INDEX(코드표!$G$2:$G$101,MATCH(TRIM(RIGHT(SUBSTITUTE(TRIM(J72&amp;"")," ",REPT(" ",60)),60)),코드표!$F$2:$F$101,0)),"⚠"&amp;TRIM(J72&amp;""))),"⚠"&amp;TRIM(J72&amp;""))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",TRIM(E73&amp;""))-1),코드표!$J$2:$J$101,0)),ISNUMBER(MATCH(TRIM(RIGHT(SUBSTITUTE(TRIM(E73&amp;"")," ",REPT(" ",60)),60)),코드표!$F$2:$F$101,0))),INDEX(코드표!$K$2:$K$101,MATCH(LEFT(TRIM(E73&amp;""),FIND(" ",TRIM(E73&amp;""))-1),코드표!$J$2:$J$101,0))&amp;" "&amp;INDEX(코드표!$G$2:$G$101,MATCH(TRIM(RIGHT(SUBSTITUTE(TRIM(E73&amp;"")," ",REPT(" ",60)),60)),코드표!$F$2:$F$101,0)),"⚠"&amp;TRIM(E73&amp;""))),"⚠"&amp;TRIM(E73&amp;""))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",TRIM(F73&amp;""))-1),코드표!$J$2:$J$101,0)),ISNUMBER(MATCH(TRIM(RIGHT(SUBSTITUTE(TRIM(F73&amp;"")," ",REPT(" ",60)),60)),코드표!$F$2:$F$101,0))),INDEX(코드표!$K$2:$K$101,MATCH(LEFT(TRIM(F73&amp;""),FIND(" ",TRIM(F73&amp;""))-1),코드표!$J$2:$J$101,0))&amp;" "&amp;INDEX(코드표!$G$2:$G$101,MATCH(TRIM(RIGHT(SUBSTITUTE(TRIM(F73&amp;"")," ",REPT(" ",60)),60)),코드표!$F$2:$F$101,0)),"⚠"&amp;TRIM(F73&amp;""))),"⚠"&amp;TRIM(F73&amp;""))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",TRIM(G73&amp;""))-1),코드표!$J$2:$J$101,0)),ISNUMBER(MATCH(TRIM(RIGHT(SUBSTITUTE(TRIM(G73&amp;"")," ",REPT(" ",60)),60)),코드표!$F$2:$F$101,0))),INDEX(코드표!$K$2:$K$101,MATCH(LEFT(TRIM(G73&amp;""),FIND(" ",TRIM(G73&amp;""))-1),코드표!$J$2:$J$101,0))&amp;" "&amp;INDEX(코드표!$G$2:$G$101,MATCH(TRIM(RIGHT(SUBSTITUTE(TRIM(G73&amp;"")," ",REPT(" ",60)),60)),코드표!$F$2:$F$101,0)),"⚠"&amp;TRIM(G73&amp;""))),"⚠"&amp;TRIM(G73&amp;""))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",TRIM(H73&amp;""))-1),코드표!$J$2:$J$101,0)),ISNUMBER(MATCH(TRIM(RIGHT(SUBSTITUTE(TRIM(H73&amp;"")," ",REPT(" ",60)),60)),코드표!$F$2:$F$101,0))),INDEX(코드표!$K$2:$K$101,MATCH(LEFT(TRIM(H73&amp;""),FIND(" ",TRIM(H73&amp;""))-1),코드표!$J$2:$J$101,0))&amp;" "&amp;INDEX(코드표!$G$2:$G$101,MATCH(TRIM(RIGHT(SUBSTITUTE(TRIM(H73&amp;"")," ",REPT(" ",60)),60)),코드표!$F$2:$F$101,0)),"⚠"&amp;TRIM(H73&amp;""))),"⚠"&amp;TRIM(H73&amp;""))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",TRIM(I73&amp;""))-1),코드표!$J$2:$J$101,0)),ISNUMBER(MATCH(TRIM(RIGHT(SUBSTITUTE(TRIM(I73&amp;"")," ",REPT(" ",60)),60)),코드표!$F$2:$F$101,0))),INDEX(코드표!$K$2:$K$101,MATCH(LEFT(TRIM(I73&amp;""),FIND(" ",TRIM(I73&amp;""))-1),코드표!$J$2:$J$101,0))&amp;" "&amp;INDEX(코드표!$G$2:$G$101,MATCH(TRIM(RIGHT(SUBSTITUTE(TRIM(I73&amp;"")," ",REPT(" ",60)),60)),코드표!$F$2:$F$101,0)),"⚠"&amp;TRIM(I73&amp;""))),"⚠"&amp;TRIM(I73&amp;""))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",TRIM(J73&amp;""))-1),코드표!$J$2:$J$101,0)),ISNUMBER(MATCH(TRIM(RIGHT(SUBSTITUTE(TRIM(J73&amp;"")," ",REPT(" ",60)),60)),코드표!$F$2:$F$101,0))),INDEX(코드표!$K$2:$K$101,MATCH(LEFT(TRIM(J73&amp;""),FIND(" ",TRIM(J73&amp;""))-1),코드표!$J$2:$J$101,0))&amp;" "&amp;INDEX(코드표!$G$2:$G$101,MATCH(TRIM(RIGHT(SUBSTITUTE(TRIM(J73&amp;"")," ",REPT(" ",60)),60)),코드표!$F$2:$F$101,0)),"⚠"&amp;TRIM(J73&amp;""))),"⚠"&amp;TRIM(J73&amp;""))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",TRIM(E74&amp;""))-1),코드표!$J$2:$J$101,0)),ISNUMBER(MATCH(TRIM(RIGHT(SUBSTITUTE(TRIM(E74&amp;"")," ",REPT(" ",60)),60)),코드표!$F$2:$F$101,0))),INDEX(코드표!$K$2:$K$101,MATCH(LEFT(TRIM(E74&amp;""),FIND(" ",TRIM(E74&amp;""))-1),코드표!$J$2:$J$101,0))&amp;" "&amp;INDEX(코드표!$G$2:$G$101,MATCH(TRIM(RIGHT(SUBSTITUTE(TRIM(E74&amp;"")," ",REPT(" ",60)),60)),코드표!$F$2:$F$101,0)),"⚠"&amp;TRIM(E74&amp;""))),"⚠"&amp;TRIM(E74&amp;""))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",TRIM(F74&amp;""))-1),코드표!$J$2:$J$101,0)),ISNUMBER(MATCH(TRIM(RIGHT(SUBSTITUTE(TRIM(F74&amp;"")," ",REPT(" ",60)),60)),코드표!$F$2:$F$101,0))),INDEX(코드표!$K$2:$K$101,MATCH(LEFT(TRIM(F74&amp;""),FIND(" ",TRIM(F74&amp;""))-1),코드표!$J$2:$J$101,0))&amp;" "&amp;INDEX(코드표!$G$2:$G$101,MATCH(TRIM(RIGHT(SUBSTITUTE(TRIM(F74&amp;"")," ",REPT(" ",60)),60)),코드표!$F$2:$F$101,0)),"⚠"&amp;TRIM(F74&amp;""))),"⚠"&amp;TRIM(F74&amp;""))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",TRIM(G74&amp;""))-1),코드표!$J$2:$J$101,0)),ISNUMBER(MATCH(TRIM(RIGHT(SUBSTITUTE(TRIM(G74&amp;"")," ",REPT(" ",60)),60)),코드표!$F$2:$F$101,0))),INDEX(코드표!$K$2:$K$101,MATCH(LEFT(TRIM(G74&amp;""),FIND(" ",TRIM(G74&amp;""))-1),코드표!$J$2:$J$101,0))&amp;" "&amp;INDEX(코드표!$G$2:$G$101,MATCH(TRIM(RIGHT(SUBSTITUTE(TRIM(G74&amp;"")," ",REPT(" ",60)),60)),코드표!$F$2:$F$101,0)),"⚠"&amp;TRIM(G74&amp;""))),"⚠"&amp;TRIM(G74&amp;""))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",TRIM(H74&amp;""))-1),코드표!$J$2:$J$101,0)),ISNUMBER(MATCH(TRIM(RIGHT(SUBSTITUTE(TRIM(H74&amp;"")," ",REPT(" ",60)),60)),코드표!$F$2:$F$101,0))),INDEX(코드표!$K$2:$K$101,MATCH(LEFT(TRIM(H74&amp;""),FIND(" ",TRIM(H74&amp;""))-1),코드표!$J$2:$J$101,0))&amp;" "&amp;INDEX(코드표!$G$2:$G$101,MATCH(TRIM(RIGHT(SUBSTITUTE(TRIM(H74&amp;"")," ",REPT(" ",60)),60)),코드표!$F$2:$F$101,0)),"⚠"&amp;TRIM(H74&amp;""))),"⚠"&amp;TRIM(H74&amp;""))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",TRIM(I74&amp;""))-1),코드표!$J$2:$J$101,0)),ISNUMBER(MATCH(TRIM(RIGHT(SUBSTITUTE(TRIM(I74&amp;"")," ",REPT(" ",60)),60)),코드표!$F$2:$F$101,0))),INDEX(코드표!$K$2:$K$101,MATCH(LEFT(TRIM(I74&amp;""),FIND(" ",TRIM(I74&amp;""))-1),코드표!$J$2:$J$101,0))&amp;" "&amp;INDEX(코드표!$G$2:$G$101,MATCH(TRIM(RIGHT(SUBSTITUTE(TRIM(I74&amp;"")," ",REPT(" ",60)),60)),코드표!$F$2:$F$101,0)),"⚠"&amp;TRIM(I74&amp;""))),"⚠"&amp;TRIM(I74&amp;""))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",TRIM(J74&amp;""))-1),코드표!$J$2:$J$101,0)),ISNUMBER(MATCH(TRIM(RIGHT(SUBSTITUTE(TRIM(J74&amp;"")," ",REPT(" ",60)),60)),코드표!$F$2:$F$101,0))),INDEX(코드표!$K$2:$K$101,MATCH(LEFT(TRIM(J74&amp;""),FIND(" ",TRIM(J74&amp;""))-1),코드표!$J$2:$J$101,0))&amp;" "&amp;INDEX(코드표!$G$2:$G$101,MATCH(TRIM(RIGHT(SUBSTITUTE(TRIM(J74&amp;"")," ",REPT(" ",60)),60)),코드표!$F$2:$F$101,0)),"⚠"&amp;TRIM(J74&amp;""))),"⚠"&amp;TRIM(J74&amp;""))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",TRIM(E75&amp;""))-1),코드표!$J$2:$J$101,0)),ISNUMBER(MATCH(TRIM(RIGHT(SUBSTITUTE(TRIM(E75&amp;"")," ",REPT(" ",60)),60)),코드표!$F$2:$F$101,0))),INDEX(코드표!$K$2:$K$101,MATCH(LEFT(TRIM(E75&amp;""),FIND(" ",TRIM(E75&amp;""))-1),코드표!$J$2:$J$101,0))&amp;" "&amp;INDEX(코드표!$G$2:$G$101,MATCH(TRIM(RIGHT(SUBSTITUTE(TRIM(E75&amp;"")," ",REPT(" ",60)),60)),코드표!$F$2:$F$101,0)),"⚠"&amp;TRIM(E75&amp;""))),"⚠"&amp;TRIM(E75&amp;""))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",TRIM(F75&amp;""))-1),코드표!$J$2:$J$101,0)),ISNUMBER(MATCH(TRIM(RIGHT(SUBSTITUTE(TRIM(F75&amp;"")," ",REPT(" ",60)),60)),코드표!$F$2:$F$101,0))),INDEX(코드표!$K$2:$K$101,MATCH(LEFT(TRIM(F75&amp;""),FIND(" ",TRIM(F75&amp;""))-1),코드표!$J$2:$J$101,0))&amp;" "&amp;INDEX(코드표!$G$2:$G$101,MATCH(TRIM(RIGHT(SUBSTITUTE(TRIM(F75&amp;"")," ",REPT(" ",60)),60)),코드표!$F$2:$F$101,0)),"⚠"&amp;TRIM(F75&amp;""))),"⚠"&amp;TRIM(F75&amp;""))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",TRIM(G75&amp;""))-1),코드표!$J$2:$J$101,0)),ISNUMBER(MATCH(TRIM(RIGHT(SUBSTITUTE(TRIM(G75&amp;"")," ",REPT(" ",60)),60)),코드표!$F$2:$F$101,0))),INDEX(코드표!$K$2:$K$101,MATCH(LEFT(TRIM(G75&amp;""),FIND(" ",TRIM(G75&amp;""))-1),코드표!$J$2:$J$101,0))&amp;" "&amp;INDEX(코드표!$G$2:$G$101,MATCH(TRIM(RIGHT(SUBSTITUTE(TRIM(G75&amp;"")," ",REPT(" ",60)),60)),코드표!$F$2:$F$101,0)),"⚠"&amp;TRIM(G75&amp;""))),"⚠"&amp;TRIM(G75&amp;""))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",TRIM(H75&amp;""))-1),코드표!$J$2:$J$101,0)),ISNUMBER(MATCH(TRIM(RIGHT(SUBSTITUTE(TRIM(H75&amp;"")," ",REPT(" ",60)),60)),코드표!$F$2:$F$101,0))),INDEX(코드표!$K$2:$K$101,MATCH(LEFT(TRIM(H75&amp;""),FIND(" ",TRIM(H75&amp;""))-1),코드표!$J$2:$J$101,0))&amp;" "&amp;INDEX(코드표!$G$2:$G$101,MATCH(TRIM(RIGHT(SUBSTITUTE(TRIM(H75&amp;"")," ",REPT(" ",60)),60)),코드표!$F$2:$F$101,0)),"⚠"&amp;TRIM(H75&amp;""))),"⚠"&amp;TRIM(H75&amp;""))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",TRIM(I75&amp;""))-1),코드표!$J$2:$J$101,0)),ISNUMBER(MATCH(TRIM(RIGHT(SUBSTITUTE(TRIM(I75&amp;"")," ",REPT(" ",60)),60)),코드표!$F$2:$F$101,0))),INDEX(코드표!$K$2:$K$101,MATCH(LEFT(TRIM(I75&amp;""),FIND(" ",TRIM(I75&amp;""))-1),코드표!$J$2:$J$101,0))&amp;" "&amp;INDEX(코드표!$G$2:$G$101,MATCH(TRIM(RIGHT(SUBSTITUTE(TRIM(I75&amp;"")," ",REPT(" ",60)),60)),코드표!$F$2:$F$101,0)),"⚠"&amp;TRIM(I75&amp;""))),"⚠"&amp;TRIM(I75&amp;""))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",TRIM(J75&amp;""))-1),코드표!$J$2:$J$101,0)),ISNUMBER(MATCH(TRIM(RIGHT(SUBSTITUTE(TRIM(J75&amp;"")," ",REPT(" ",60)),60)),코드표!$F$2:$F$101,0))),INDEX(코드표!$K$2:$K$101,MATCH(LEFT(TRIM(J75&amp;""),FIND(" ",TRIM(J75&amp;""))-1),코드표!$J$2:$J$101,0))&amp;" "&amp;INDEX(코드표!$G$2:$G$101,MATCH(TRIM(RIGHT(SUBSTITUTE(TRIM(J75&amp;"")," ",REPT(" ",60)),60)),코드표!$F$2:$F$101,0)),"⚠"&amp;TRIM(J75&amp;""))),"⚠"&amp;TRIM(J75&amp;""))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",TRIM(E76&amp;""))-1),코드표!$J$2:$J$101,0)),ISNUMBER(MATCH(TRIM(RIGHT(SUBSTITUTE(TRIM(E76&amp;"")," ",REPT(" ",60)),60)),코드표!$F$2:$F$101,0))),INDEX(코드표!$K$2:$K$101,MATCH(LEFT(TRIM(E76&amp;""),FIND(" ",TRIM(E76&amp;""))-1),코드표!$J$2:$J$101,0))&amp;" "&amp;INDEX(코드표!$G$2:$G$101,MATCH(TRIM(RIGHT(SUBSTITUTE(TRIM(E76&amp;"")," ",REPT(" ",60)),60)),코드표!$F$2:$F$101,0)),"⚠"&amp;TRIM(E76&amp;""))),"⚠"&amp;TRIM(E76&amp;""))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",TRIM(F76&amp;""))-1),코드표!$J$2:$J$101,0)),ISNUMBER(MATCH(TRIM(RIGHT(SUBSTITUTE(TRIM(F76&amp;"")," ",REPT(" ",60)),60)),코드표!$F$2:$F$101,0))),INDEX(코드표!$K$2:$K$101,MATCH(LEFT(TRIM(F76&amp;""),FIND(" ",TRIM(F76&amp;""))-1),코드표!$J$2:$J$101,0))&amp;" "&amp;INDEX(코드표!$G$2:$G$101,MATCH(TRIM(RIGHT(SUBSTITUTE(TRIM(F76&amp;"")," ",REPT(" ",60)),60)),코드표!$F$2:$F$101,0)),"⚠"&amp;TRIM(F76&amp;""))),"⚠"&amp;TRIM(F76&amp;""))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",TRIM(G76&amp;""))-1),코드표!$J$2:$J$101,0)),ISNUMBER(MATCH(TRIM(RIGHT(SUBSTITUTE(TRIM(G76&amp;"")," ",REPT(" ",60)),60)),코드표!$F$2:$F$101,0))),INDEX(코드표!$K$2:$K$101,MATCH(LEFT(TRIM(G76&amp;""),FIND(" ",TRIM(G76&amp;""))-1),코드표!$J$2:$J$101,0))&amp;" "&amp;INDEX(코드표!$G$2:$G$101,MATCH(TRIM(RIGHT(SUBSTITUTE(TRIM(G76&amp;"")," ",REPT(" ",60)),60)),코드표!$F$2:$F$101,0)),"⚠"&amp;TRIM(G76&amp;""))),"⚠"&amp;TRIM(G76&amp;""))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",TRIM(H76&amp;""))-1),코드표!$J$2:$J$101,0)),ISNUMBER(MATCH(TRIM(RIGHT(SUBSTITUTE(TRIM(H76&amp;"")," ",REPT(" ",60)),60)),코드표!$F$2:$F$101,0))),INDEX(코드표!$K$2:$K$101,MATCH(LEFT(TRIM(H76&amp;""),FIND(" ",TRIM(H76&amp;""))-1),코드표!$J$2:$J$101,0))&amp;" "&amp;INDEX(코드표!$G$2:$G$101,MATCH(TRIM(RIGHT(SUBSTITUTE(TRIM(H76&amp;"")," ",REPT(" ",60)),60)),코드표!$F$2:$F$101,0)),"⚠"&amp;TRIM(H76&amp;""))),"⚠"&amp;TRIM(H76&amp;""))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",TRIM(I76&amp;""))-1),코드표!$J$2:$J$101,0)),ISNUMBER(MATCH(TRIM(RIGHT(SUBSTITUTE(TRIM(I76&amp;"")," ",REPT(" ",60)),60)),코드표!$F$2:$F$101,0))),INDEX(코드표!$K$2:$K$101,MATCH(LEFT(TRIM(I76&amp;""),FIND(" ",TRIM(I76&amp;""))-1),코드표!$J$2:$J$101,0))&amp;" "&amp;INDEX(코드표!$G$2:$G$101,MATCH(TRIM(RIGHT(SUBSTITUTE(TRIM(I76&amp;"")," ",REPT(" ",60)),60)),코드표!$F$2:$F$101,0)),"⚠"&amp;TRIM(I76&amp;""))),"⚠"&amp;TRIM(I76&amp;""))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",TRIM(J76&amp;""))-1),코드표!$J$2:$J$101,0)),ISNUMBER(MATCH(TRIM(RIGHT(SUBSTITUTE(TRIM(J76&amp;"")," ",REPT(" ",60)),60)),코드표!$F$2:$F$101,0))),INDEX(코드표!$K$2:$K$101,MATCH(LEFT(TRIM(J76&amp;""),FIND(" ",TRIM(J76&amp;""))-1),코드표!$J$2:$J$101,0))&amp;" "&amp;INDEX(코드표!$G$2:$G$101,MATCH(TRIM(RIGHT(SUBSTITUTE(TRIM(J76&amp;"")," ",REPT(" ",60)),60)),코드표!$F$2:$F$101,0)),"⚠"&amp;TRIM(J76&amp;""))),"⚠"&amp;TRIM(J76&amp;""))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",TRIM(E77&amp;""))-1),코드표!$J$2:$J$101,0)),ISNUMBER(MATCH(TRIM(RIGHT(SUBSTITUTE(TRIM(E77&amp;"")," ",REPT(" ",60)),60)),코드표!$F$2:$F$101,0))),INDEX(코드표!$K$2:$K$101,MATCH(LEFT(TRIM(E77&amp;""),FIND(" ",TRIM(E77&amp;""))-1),코드표!$J$2:$J$101,0))&amp;" "&amp;INDEX(코드표!$G$2:$G$101,MATCH(TRIM(RIGHT(SUBSTITUTE(TRIM(E77&amp;"")," ",REPT(" ",60)),60)),코드표!$F$2:$F$101,0)),"⚠"&amp;TRIM(E77&amp;""))),"⚠"&amp;TRIM(E77&amp;""))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",TRIM(F77&amp;""))-1),코드표!$J$2:$J$101,0)),ISNUMBER(MATCH(TRIM(RIGHT(SUBSTITUTE(TRIM(F77&amp;"")," ",REPT(" ",60)),60)),코드표!$F$2:$F$101,0))),INDEX(코드표!$K$2:$K$101,MATCH(LEFT(TRIM(F77&amp;""),FIND(" ",TRIM(F77&amp;""))-1),코드표!$J$2:$J$101,0))&amp;" "&amp;INDEX(코드표!$G$2:$G$101,MATCH(TRIM(RIGHT(SUBSTITUTE(TRIM(F77&amp;"")," ",REPT(" ",60)),60)),코드표!$F$2:$F$101,0)),"⚠"&amp;TRIM(F77&amp;""))),"⚠"&amp;TRIM(F77&amp;""))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",TRIM(G77&amp;""))-1),코드표!$J$2:$J$101,0)),ISNUMBER(MATCH(TRIM(RIGHT(SUBSTITUTE(TRIM(G77&amp;"")," ",REPT(" ",60)),60)),코드표!$F$2:$F$101,0))),INDEX(코드표!$K$2:$K$101,MATCH(LEFT(TRIM(G77&amp;""),FIND(" ",TRIM(G77&amp;""))-1),코드표!$J$2:$J$101,0))&amp;" "&amp;INDEX(코드표!$G$2:$G$101,MATCH(TRIM(RIGHT(SUBSTITUTE(TRIM(G77&amp;"")," ",REPT(" ",60)),60)),코드표!$F$2:$F$101,0)),"⚠"&amp;TRIM(G77&amp;""))),"⚠"&amp;TRIM(G77&amp;""))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",TRIM(H77&amp;""))-1),코드표!$J$2:$J$101,0)),ISNUMBER(MATCH(TRIM(RIGHT(SUBSTITUTE(TRIM(H77&amp;"")," ",REPT(" ",60)),60)),코드표!$F$2:$F$101,0))),INDEX(코드표!$K$2:$K$101,MATCH(LEFT(TRIM(H77&amp;""),FIND(" ",TRIM(H77&amp;""))-1),코드표!$J$2:$J$101,0))&amp;" "&amp;INDEX(코드표!$G$2:$G$101,MATCH(TRIM(RIGHT(SUBSTITUTE(TRIM(H77&amp;"")," ",REPT(" ",60)),60)),코드표!$F$2:$F$101,0)),"⚠"&amp;TRIM(H77&amp;""))),"⚠"&amp;TRIM(H77&amp;""))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",TRIM(I77&amp;""))-1),코드표!$J$2:$J$101,0)),ISNUMBER(MATCH(TRIM(RIGHT(SUBSTITUTE(TRIM(I77&amp;"")," ",REPT(" ",60)),60)),코드표!$F$2:$F$101,0))),INDEX(코드표!$K$2:$K$101,MATCH(LEFT(TRIM(I77&amp;""),FIND(" ",TRIM(I77&amp;""))-1),코드표!$J$2:$J$101,0))&amp;" "&amp;INDEX(코드표!$G$2:$G$101,MATCH(TRIM(RIGHT(SUBSTITUTE(TRIM(I77&amp;"")," ",REPT(" ",60)),60)),코드표!$F$2:$F$101,0)),"⚠"&amp;TRIM(I77&amp;""))),"⚠"&amp;TRIM(I77&amp;""))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",TRIM(J77&amp;""))-1),코드표!$J$2:$J$101,0)),ISNUMBER(MATCH(TRIM(RIGHT(SUBSTITUTE(TRIM(J77&amp;"")," ",REPT(" ",60)),60)),코드표!$F$2:$F$101,0))),INDEX(코드표!$K$2:$K$101,MATCH(LEFT(TRIM(J77&amp;""),FIND(" ",TRIM(J77&amp;""))-1),코드표!$J$2:$J$101,0))&amp;" "&amp;INDEX(코드표!$G$2:$G$101,MATCH(TRIM(RIGHT(SUBSTITUTE(TRIM(J77&amp;"")," ",REPT(" ",60)),60)),코드표!$F$2:$F$101,0)),"⚠"&amp;TRIM(J77&amp;""))),"⚠"&amp;TRIM(J77&amp;""))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",TRIM(E78&amp;""))-1),코드표!$J$2:$J$101,0)),ISNUMBER(MATCH(TRIM(RIGHT(SUBSTITUTE(TRIM(E78&amp;"")," ",REPT(" ",60)),60)),코드표!$F$2:$F$101,0))),INDEX(코드표!$K$2:$K$101,MATCH(LEFT(TRIM(E78&amp;""),FIND(" ",TRIM(E78&amp;""))-1),코드표!$J$2:$J$101,0))&amp;" "&amp;INDEX(코드표!$G$2:$G$101,MATCH(TRIM(RIGHT(SUBSTITUTE(TRIM(E78&amp;"")," ",REPT(" ",60)),60)),코드표!$F$2:$F$101,0)),"⚠"&amp;TRIM(E78&amp;""))),"⚠"&amp;TRIM(E78&amp;""))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",TRIM(F78&amp;""))-1),코드표!$J$2:$J$101,0)),ISNUMBER(MATCH(TRIM(RIGHT(SUBSTITUTE(TRIM(F78&amp;"")," ",REPT(" ",60)),60)),코드표!$F$2:$F$101,0))),INDEX(코드표!$K$2:$K$101,MATCH(LEFT(TRIM(F78&amp;""),FIND(" ",TRIM(F78&amp;""))-1),코드표!$J$2:$J$101,0))&amp;" "&amp;INDEX(코드표!$G$2:$G$101,MATCH(TRIM(RIGHT(SUBSTITUTE(TRIM(F78&amp;"")," ",REPT(" ",60)),60)),코드표!$F$2:$F$101,0)),"⚠"&amp;TRIM(F78&amp;""))),"⚠"&amp;TRIM(F78&amp;""))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",TRIM(G78&amp;""))-1),코드표!$J$2:$J$101,0)),ISNUMBER(MATCH(TRIM(RIGHT(SUBSTITUTE(TRIM(G78&amp;"")," ",REPT(" ",60)),60)),코드표!$F$2:$F$101,0))),INDEX(코드표!$K$2:$K$101,MATCH(LEFT(TRIM(G78&amp;""),FIND(" ",TRIM(G78&amp;""))-1),코드표!$J$2:$J$101,0))&amp;" "&amp;INDEX(코드표!$G$2:$G$101,MATCH(TRIM(RIGHT(SUBSTITUTE(TRIM(G78&amp;"")," ",REPT(" ",60)),60)),코드표!$F$2:$F$101,0)),"⚠"&amp;TRIM(G78&amp;""))),"⚠"&amp;TRIM(G78&amp;""))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",TRIM(H78&amp;""))-1),코드표!$J$2:$J$101,0)),ISNUMBER(MATCH(TRIM(RIGHT(SUBSTITUTE(TRIM(H78&amp;"")," ",REPT(" ",60)),60)),코드표!$F$2:$F$101,0))),INDEX(코드표!$K$2:$K$101,MATCH(LEFT(TRIM(H78&amp;""),FIND(" ",TRIM(H78&amp;""))-1),코드표!$J$2:$J$101,0))&amp;" "&amp;INDEX(코드표!$G$2:$G$101,MATCH(TRIM(RIGHT(SUBSTITUTE(TRIM(H78&amp;"")," ",REPT(" ",60)),60)),코드표!$F$2:$F$101,0)),"⚠"&amp;TRIM(H78&amp;""))),"⚠"&amp;TRIM(H78&amp;""))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",TRIM(I78&amp;""))-1),코드표!$J$2:$J$101,0)),ISNUMBER(MATCH(TRIM(RIGHT(SUBSTITUTE(TRIM(I78&amp;"")," ",REPT(" ",60)),60)),코드표!$F$2:$F$101,0))),INDEX(코드표!$K$2:$K$101,MATCH(LEFT(TRIM(I78&amp;""),FIND(" ",TRIM(I78&amp;""))-1),코드표!$J$2:$J$101,0))&amp;" "&amp;INDEX(코드표!$G$2:$G$101,MATCH(TRIM(RIGHT(SUBSTITUTE(TRIM(I78&amp;"")," ",REPT(" ",60)),60)),코드표!$F$2:$F$101,0)),"⚠"&amp;TRIM(I78&amp;""))),"⚠"&amp;TRIM(I78&amp;""))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",TRIM(J78&amp;""))-1),코드표!$J$2:$J$101,0)),ISNUMBER(MATCH(TRIM(RIGHT(SUBSTITUTE(TRIM(J78&amp;"")," ",REPT(" ",60)),60)),코드표!$F$2:$F$101,0))),INDEX(코드표!$K$2:$K$101,MATCH(LEFT(TRIM(J78&amp;""),FIND(" ",TRIM(J78&amp;""))-1),코드표!$J$2:$J$101,0))&amp;" "&amp;INDEX(코드표!$G$2:$G$101,MATCH(TRIM(RIGHT(SUBSTITUTE(TRIM(J78&amp;"")," ",REPT(" ",60)),60)),코드표!$F$2:$F$101,0)),"⚠"&amp;TRIM(J78&amp;""))),"⚠"&amp;TRIM(J78&amp;""))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",TRIM(E79&amp;""))-1),코드표!$J$2:$J$101,0)),ISNUMBER(MATCH(TRIM(RIGHT(SUBSTITUTE(TRIM(E79&amp;"")," ",REPT(" ",60)),60)),코드표!$F$2:$F$101,0))),INDEX(코드표!$K$2:$K$101,MATCH(LEFT(TRIM(E79&amp;""),FIND(" ",TRIM(E79&amp;""))-1),코드표!$J$2:$J$101,0))&amp;" "&amp;INDEX(코드표!$G$2:$G$101,MATCH(TRIM(RIGHT(SUBSTITUTE(TRIM(E79&amp;"")," ",REPT(" ",60)),60)),코드표!$F$2:$F$101,0)),"⚠"&amp;TRIM(E79&amp;""))),"⚠"&amp;TRIM(E79&amp;""))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",TRIM(F79&amp;""))-1),코드표!$J$2:$J$101,0)),ISNUMBER(MATCH(TRIM(RIGHT(SUBSTITUTE(TRIM(F79&amp;"")," ",REPT(" ",60)),60)),코드표!$F$2:$F$101,0))),INDEX(코드표!$K$2:$K$101,MATCH(LEFT(TRIM(F79&amp;""),FIND(" ",TRIM(F79&amp;""))-1),코드표!$J$2:$J$101,0))&amp;" "&amp;INDEX(코드표!$G$2:$G$101,MATCH(TRIM(RIGHT(SUBSTITUTE(TRIM(F79&amp;"")," ",REPT(" ",60)),60)),코드표!$F$2:$F$101,0)),"⚠"&amp;TRIM(F79&amp;""))),"⚠"&amp;TRIM(F79&amp;""))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",TRIM(G79&amp;""))-1),코드표!$J$2:$J$101,0)),ISNUMBER(MATCH(TRIM(RIGHT(SUBSTITUTE(TRIM(G79&amp;"")," ",REPT(" ",60)),60)),코드표!$F$2:$F$101,0))),INDEX(코드표!$K$2:$K$101,MATCH(LEFT(TRIM(G79&amp;""),FIND(" ",TRIM(G79&amp;""))-1),코드표!$J$2:$J$101,0))&amp;" "&amp;INDEX(코드표!$G$2:$G$101,MATCH(TRIM(RIGHT(SUBSTITUTE(TRIM(G79&amp;"")," ",REPT(" ",60)),60)),코드표!$F$2:$F$101,0)),"⚠"&amp;TRIM(G79&amp;""))),"⚠"&amp;TRIM(G79&amp;""))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",TRIM(H79&amp;""))-1),코드표!$J$2:$J$101,0)),ISNUMBER(MATCH(TRIM(RIGHT(SUBSTITUTE(TRIM(H79&amp;"")," ",REPT(" ",60)),60)),코드표!$F$2:$F$101,0))),INDEX(코드표!$K$2:$K$101,MATCH(LEFT(TRIM(H79&amp;""),FIND(" ",TRIM(H79&amp;""))-1),코드표!$J$2:$J$101,0))&amp;" "&amp;INDEX(코드표!$G$2:$G$101,MATCH(TRIM(RIGHT(SUBSTITUTE(TRIM(H79&amp;"")," ",REPT(" ",60)),60)),코드표!$F$2:$F$101,0)),"⚠"&amp;TRIM(H79&amp;""))),"⚠"&amp;TRIM(H79&amp;""))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",TRIM(I79&amp;""))-1),코드표!$J$2:$J$101,0)),ISNUMBER(MATCH(TRIM(RIGHT(SUBSTITUTE(TRIM(I79&amp;"")," ",REPT(" ",60)),60)),코드표!$F$2:$F$101,0))),INDEX(코드표!$K$2:$K$101,MATCH(LEFT(TRIM(I79&amp;""),FIND(" ",TRIM(I79&amp;""))-1),코드표!$J$2:$J$101,0))&amp;" "&amp;INDEX(코드표!$G$2:$G$101,MATCH(TRIM(RIGHT(SUBSTITUTE(TRIM(I79&amp;"")," ",REPT(" ",60)),60)),코드표!$F$2:$F$101,0)),"⚠"&amp;TRIM(I79&amp;""))),"⚠"&amp;TRIM(I79&amp;""))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",TRIM(J79&amp;""))-1),코드표!$J$2:$J$101,0)),ISNUMBER(MATCH(TRIM(RIGHT(SUBSTITUTE(TRIM(J79&amp;"")," ",REPT(" ",60)),60)),코드표!$F$2:$F$101,0))),INDEX(코드표!$K$2:$K$101,MATCH(LEFT(TRIM(J79&amp;""),FIND(" ",TRIM(J79&amp;""))-1),코드표!$J$2:$J$101,0))&amp;" "&amp;INDEX(코드표!$G$2:$G$101,MATCH(TRIM(RIGHT(SUBSTITUTE(TRIM(J79&amp;"")," ",REPT(" ",60)),60)),코드표!$F$2:$F$101,0)),"⚠"&amp;TRIM(J79&amp;""))),"⚠"&amp;TRIM(J79&amp;""))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",TRIM(E80&amp;""))-1),코드표!$J$2:$J$101,0)),ISNUMBER(MATCH(TRIM(RIGHT(SUBSTITUTE(TRIM(E80&amp;"")," ",REPT(" ",60)),60)),코드표!$F$2:$F$101,0))),INDEX(코드표!$K$2:$K$101,MATCH(LEFT(TRIM(E80&amp;""),FIND(" ",TRIM(E80&amp;""))-1),코드표!$J$2:$J$101,0))&amp;" "&amp;INDEX(코드표!$G$2:$G$101,MATCH(TRIM(RIGHT(SUBSTITUTE(TRIM(E80&amp;"")," ",REPT(" ",60)),60)),코드표!$F$2:$F$101,0)),"⚠"&amp;TRIM(E80&amp;""))),"⚠"&amp;TRIM(E80&amp;""))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",TRIM(F80&amp;""))-1),코드표!$J$2:$J$101,0)),ISNUMBER(MATCH(TRIM(RIGHT(SUBSTITUTE(TRIM(F80&amp;"")," ",REPT(" ",60)),60)),코드표!$F$2:$F$101,0))),INDEX(코드표!$K$2:$K$101,MATCH(LEFT(TRIM(F80&amp;""),FIND(" ",TRIM(F80&amp;""))-1),코드표!$J$2:$J$101,0))&amp;" "&amp;INDEX(코드표!$G$2:$G$101,MATCH(TRIM(RIGHT(SUBSTITUTE(TRIM(F80&amp;"")," ",REPT(" ",60)),60)),코드표!$F$2:$F$101,0)),"⚠"&amp;TRIM(F80&amp;""))),"⚠"&amp;TRIM(F80&amp;""))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",TRIM(G80&amp;""))-1),코드표!$J$2:$J$101,0)),ISNUMBER(MATCH(TRIM(RIGHT(SUBSTITUTE(TRIM(G80&amp;"")," ",REPT(" ",60)),60)),코드표!$F$2:$F$101,0))),INDEX(코드표!$K$2:$K$101,MATCH(LEFT(TRIM(G80&amp;""),FIND(" ",TRIM(G80&amp;""))-1),코드표!$J$2:$J$101,0))&amp;" "&amp;INDEX(코드표!$G$2:$G$101,MATCH(TRIM(RIGHT(SUBSTITUTE(TRIM(G80&amp;"")," ",REPT(" ",60)),60)),코드표!$F$2:$F$101,0)),"⚠"&amp;TRIM(G80&amp;""))),"⚠"&amp;TRIM(G80&amp;""))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",TRIM(H80&amp;""))-1),코드표!$J$2:$J$101,0)),ISNUMBER(MATCH(TRIM(RIGHT(SUBSTITUTE(TRIM(H80&amp;"")," ",REPT(" ",60)),60)),코드표!$F$2:$F$101,0))),INDEX(코드표!$K$2:$K$101,MATCH(LEFT(TRIM(H80&amp;""),FIND(" ",TRIM(H80&amp;""))-1),코드표!$J$2:$J$101,0))&amp;" "&amp;INDEX(코드표!$G$2:$G$101,MATCH(TRIM(RIGHT(SUBSTITUTE(TRIM(H80&amp;"")," ",REPT(" ",60)),60)),코드표!$F$2:$F$101,0)),"⚠"&amp;TRIM(H80&amp;""))),"⚠"&amp;TRIM(H80&amp;""))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",TRIM(I80&amp;""))-1),코드표!$J$2:$J$101,0)),ISNUMBER(MATCH(TRIM(RIGHT(SUBSTITUTE(TRIM(I80&amp;"")," ",REPT(" ",60)),60)),코드표!$F$2:$F$101,0))),INDEX(코드표!$K$2:$K$101,MATCH(LEFT(TRIM(I80&amp;""),FIND(" ",TRIM(I80&amp;""))-1),코드표!$J$2:$J$101,0))&amp;" "&amp;INDEX(코드표!$G$2:$G$101,MATCH(TRIM(RIGHT(SUBSTITUTE(TRIM(I80&amp;"")," ",REPT(" ",60)),60)),코드표!$F$2:$F$101,0)),"⚠"&amp;TRIM(I80&amp;""))),"⚠"&amp;TRIM(I80&amp;""))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",TRIM(J80&amp;""))-1),코드표!$J$2:$J$101,0)),ISNUMBER(MATCH(TRIM(RIGHT(SUBSTITUTE(TRIM(J80&amp;"")," ",REPT(" ",60)),60)),코드표!$F$2:$F$101,0))),INDEX(코드표!$K$2:$K$101,MATCH(LEFT(TRIM(J80&amp;""),FIND(" ",TRIM(J80&amp;""))-1),코드표!$J$2:$J$101,0))&amp;" "&amp;INDEX(코드표!$G$2:$G$101,MATCH(TRIM(RIGHT(SUBSTITUTE(TRIM(J80&amp;"")," ",REPT(" ",60)),60)),코드표!$F$2:$F$101,0)),"⚠"&amp;TRIM(J80&amp;""))),"⚠"&amp;TRIM(J80&amp;""))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",TRIM(E81&amp;""))-1),코드표!$J$2:$J$101,0)),ISNUMBER(MATCH(TRIM(RIGHT(SUBSTITUTE(TRIM(E81&amp;"")," ",REPT(" ",60)),60)),코드표!$F$2:$F$101,0))),INDEX(코드표!$K$2:$K$101,MATCH(LEFT(TRIM(E81&amp;""),FIND(" ",TRIM(E81&amp;""))-1),코드표!$J$2:$J$101,0))&amp;" "&amp;INDEX(코드표!$G$2:$G$101,MATCH(TRIM(RIGHT(SUBSTITUTE(TRIM(E81&amp;"")," ",REPT(" ",60)),60)),코드표!$F$2:$F$101,0)),"⚠"&amp;TRIM(E81&amp;""))),"⚠"&amp;TRIM(E81&amp;""))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",TRIM(F81&amp;""))-1),코드표!$J$2:$J$101,0)),ISNUMBER(MATCH(TRIM(RIGHT(SUBSTITUTE(TRIM(F81&amp;"")," ",REPT(" ",60)),60)),코드표!$F$2:$F$101,0))),INDEX(코드표!$K$2:$K$101,MATCH(LEFT(TRIM(F81&amp;""),FIND(" ",TRIM(F81&amp;""))-1),코드표!$J$2:$J$101,0))&amp;" "&amp;INDEX(코드표!$G$2:$G$101,MATCH(TRIM(RIGHT(SUBSTITUTE(TRIM(F81&amp;"")," ",REPT(" ",60)),60)),코드표!$F$2:$F$101,0)),"⚠"&amp;TRIM(F81&amp;""))),"⚠"&amp;TRIM(F81&amp;""))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",TRIM(G81&amp;""))-1),코드표!$J$2:$J$101,0)),ISNUMBER(MATCH(TRIM(RIGHT(SUBSTITUTE(TRIM(G81&amp;"")," ",REPT(" ",60)),60)),코드표!$F$2:$F$101,0))),INDEX(코드표!$K$2:$K$101,MATCH(LEFT(TRIM(G81&amp;""),FIND(" ",TRIM(G81&amp;""))-1),코드표!$J$2:$J$101,0))&amp;" "&amp;INDEX(코드표!$G$2:$G$101,MATCH(TRIM(RIGHT(SUBSTITUTE(TRIM(G81&amp;"")," ",REPT(" ",60)),60)),코드표!$F$2:$F$101,0)),"⚠"&amp;TRIM(G81&amp;""))),"⚠"&amp;TRIM(G81&amp;""))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",TRIM(H81&amp;""))-1),코드표!$J$2:$J$101,0)),ISNUMBER(MATCH(TRIM(RIGHT(SUBSTITUTE(TRIM(H81&amp;"")," ",REPT(" ",60)),60)),코드표!$F$2:$F$101,0))),INDEX(코드표!$K$2:$K$101,MATCH(LEFT(TRIM(H81&amp;""),FIND(" ",TRIM(H81&amp;""))-1),코드표!$J$2:$J$101,0))&amp;" "&amp;INDEX(코드표!$G$2:$G$101,MATCH(TRIM(RIGHT(SUBSTITUTE(TRIM(H81&amp;"")," ",REPT(" ",60)),60)),코드표!$F$2:$F$101,0)),"⚠"&amp;TRIM(H81&amp;""))),"⚠"&amp;TRIM(H81&amp;""))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",TRIM(I81&amp;""))-1),코드표!$J$2:$J$101,0)),ISNUMBER(MATCH(TRIM(RIGHT(SUBSTITUTE(TRIM(I81&amp;"")," ",REPT(" ",60)),60)),코드표!$F$2:$F$101,0))),INDEX(코드표!$K$2:$K$101,MATCH(LEFT(TRIM(I81&amp;""),FIND(" ",TRIM(I81&amp;""))-1),코드표!$J$2:$J$101,0))&amp;" "&amp;INDEX(코드표!$G$2:$G$101,MATCH(TRIM(RIGHT(SUBSTITUTE(TRIM(I81&amp;"")," ",REPT(" ",60)),60)),코드표!$F$2:$F$101,0)),"⚠"&amp;TRIM(I81&amp;""))),"⚠"&amp;TRIM(I81&amp;""))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",TRIM(J81&amp;""))-1),코드표!$J$2:$J$101,0)),ISNUMBER(MATCH(TRIM(RIGHT(SUBSTITUTE(TRIM(J81&amp;"")," ",REPT(" ",60)),60)),코드표!$F$2:$F$101,0))),INDEX(코드표!$K$2:$K$101,MATCH(LEFT(TRIM(J81&amp;""),FIND(" ",TRIM(J81&amp;""))-1),코드표!$J$2:$J$101,0))&amp;" "&amp;INDEX(코드표!$G$2:$G$101,MATCH(TRIM(RIGHT(SUBSTITUTE(TRIM(J81&amp;"")," ",REPT(" ",60)),60)),코드표!$F$2:$F$101,0)),"⚠"&amp;TRIM(J81&amp;""))),"⚠"&amp;TRIM(J81&amp;""))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",TRIM(E82&amp;""))-1),코드표!$J$2:$J$101,0)),ISNUMBER(MATCH(TRIM(RIGHT(SUBSTITUTE(TRIM(E82&amp;"")," ",REPT(" ",60)),60)),코드표!$F$2:$F$101,0))),INDEX(코드표!$K$2:$K$101,MATCH(LEFT(TRIM(E82&amp;""),FIND(" ",TRIM(E82&amp;""))-1),코드표!$J$2:$J$101,0))&amp;" "&amp;INDEX(코드표!$G$2:$G$101,MATCH(TRIM(RIGHT(SUBSTITUTE(TRIM(E82&amp;"")," ",REPT(" ",60)),60)),코드표!$F$2:$F$101,0)),"⚠"&amp;TRIM(E82&amp;""))),"⚠"&amp;TRIM(E82&amp;""))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",TRIM(F82&amp;""))-1),코드표!$J$2:$J$101,0)),ISNUMBER(MATCH(TRIM(RIGHT(SUBSTITUTE(TRIM(F82&amp;"")," ",REPT(" ",60)),60)),코드표!$F$2:$F$101,0))),INDEX(코드표!$K$2:$K$101,MATCH(LEFT(TRIM(F82&amp;""),FIND(" ",TRIM(F82&amp;""))-1),코드표!$J$2:$J$101,0))&amp;" "&amp;INDEX(코드표!$G$2:$G$101,MATCH(TRIM(RIGHT(SUBSTITUTE(TRIM(F82&amp;"")," ",REPT(" ",60)),60)),코드표!$F$2:$F$101,0)),"⚠"&amp;TRIM(F82&amp;""))),"⚠"&amp;TRIM(F82&amp;""))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",TRIM(G82&amp;""))-1),코드표!$J$2:$J$101,0)),ISNUMBER(MATCH(TRIM(RIGHT(SUBSTITUTE(TRIM(G82&amp;"")," ",REPT(" ",60)),60)),코드표!$F$2:$F$101,0))),INDEX(코드표!$K$2:$K$101,MATCH(LEFT(TRIM(G82&amp;""),FIND(" ",TRIM(G82&amp;""))-1),코드표!$J$2:$J$101,0))&amp;" "&amp;INDEX(코드표!$G$2:$G$101,MATCH(TRIM(RIGHT(SUBSTITUTE(TRIM(G82&amp;"")," ",REPT(" ",60)),60)),코드표!$F$2:$F$101,0)),"⚠"&amp;TRIM(G82&amp;""))),"⚠"&amp;TRIM(G82&amp;""))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",TRIM(H82&amp;""))-1),코드표!$J$2:$J$101,0)),ISNUMBER(MATCH(TRIM(RIGHT(SUBSTITUTE(TRIM(H82&amp;"")," ",REPT(" ",60)),60)),코드표!$F$2:$F$101,0))),INDEX(코드표!$K$2:$K$101,MATCH(LEFT(TRIM(H82&amp;""),FIND(" ",TRIM(H82&amp;""))-1),코드표!$J$2:$J$101,0))&amp;" "&amp;INDEX(코드표!$G$2:$G$101,MATCH(TRIM(RIGHT(SUBSTITUTE(TRIM(H82&amp;"")," ",REPT(" ",60)),60)),코드표!$F$2:$F$101,0)),"⚠"&amp;TRIM(H82&amp;""))),"⚠"&amp;TRIM(H82&amp;""))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",TRIM(I82&amp;""))-1),코드표!$J$2:$J$101,0)),ISNUMBER(MATCH(TRIM(RIGHT(SUBSTITUTE(TRIM(I82&amp;"")," ",REPT(" ",60)),60)),코드표!$F$2:$F$101,0))),INDEX(코드표!$K$2:$K$101,MATCH(LEFT(TRIM(I82&amp;""),FIND(" ",TRIM(I82&amp;""))-1),코드표!$J$2:$J$101,0))&amp;" "&amp;INDEX(코드표!$G$2:$G$101,MATCH(TRIM(RIGHT(SUBSTITUTE(TRIM(I82&amp;"")," ",REPT(" ",60)),60)),코드표!$F$2:$F$101,0)),"⚠"&amp;TRIM(I82&amp;""))),"⚠"&amp;TRIM(I82&amp;""))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",TRIM(J82&amp;""))-1),코드표!$J$2:$J$101,0)),ISNUMBER(MATCH(TRIM(RIGHT(SUBSTITUTE(TRIM(J82&amp;"")," ",REPT(" ",60)),60)),코드표!$F$2:$F$101,0))),INDEX(코드표!$K$2:$K$101,MATCH(LEFT(TRIM(J82&amp;""),FIND(" ",TRIM(J82&amp;""))-1),코드표!$J$2:$J$101,0))&amp;" "&amp;INDEX(코드표!$G$2:$G$101,MATCH(TRIM(RIGHT(SUBSTITUTE(TRIM(J82&amp;"")," ",REPT(" ",60)),60)),코드표!$F$2:$F$101,0)),"⚠"&amp;TRIM(J82&amp;""))),"⚠"&amp;TRIM(J82&amp;""))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",TRIM(E83&amp;""))-1),코드표!$J$2:$J$101,0)),ISNUMBER(MATCH(TRIM(RIGHT(SUBSTITUTE(TRIM(E83&amp;"")," ",REPT(" ",60)),60)),코드표!$F$2:$F$101,0))),INDEX(코드표!$K$2:$K$101,MATCH(LEFT(TRIM(E83&amp;""),FIND(" ",TRIM(E83&amp;""))-1),코드표!$J$2:$J$101,0))&amp;" "&amp;INDEX(코드표!$G$2:$G$101,MATCH(TRIM(RIGHT(SUBSTITUTE(TRIM(E83&amp;"")," ",REPT(" ",60)),60)),코드표!$F$2:$F$101,0)),"⚠"&amp;TRIM(E83&amp;""))),"⚠"&amp;TRIM(E83&amp;""))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",TRIM(F83&amp;""))-1),코드표!$J$2:$J$101,0)),ISNUMBER(MATCH(TRIM(RIGHT(SUBSTITUTE(TRIM(F83&amp;"")," ",REPT(" ",60)),60)),코드표!$F$2:$F$101,0))),INDEX(코드표!$K$2:$K$101,MATCH(LEFT(TRIM(F83&amp;""),FIND(" ",TRIM(F83&amp;""))-1),코드표!$J$2:$J$101,0))&amp;" "&amp;INDEX(코드표!$G$2:$G$101,MATCH(TRIM(RIGHT(SUBSTITUTE(TRIM(F83&amp;"")," ",REPT(" ",60)),60)),코드표!$F$2:$F$101,0)),"⚠"&amp;TRIM(F83&amp;""))),"⚠"&amp;TRIM(F83&amp;""))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",TRIM(G83&amp;""))-1),코드표!$J$2:$J$101,0)),ISNUMBER(MATCH(TRIM(RIGHT(SUBSTITUTE(TRIM(G83&amp;"")," ",REPT(" ",60)),60)),코드표!$F$2:$F$101,0))),INDEX(코드표!$K$2:$K$101,MATCH(LEFT(TRIM(G83&amp;""),FIND(" ",TRIM(G83&amp;""))-1),코드표!$J$2:$J$101,0))&amp;" "&amp;INDEX(코드표!$G$2:$G$101,MATCH(TRIM(RIGHT(SUBSTITUTE(TRIM(G83&amp;"")," ",REPT(" ",60)),60)),코드표!$F$2:$F$101,0)),"⚠"&amp;TRIM(G83&amp;""))),"⚠"&amp;TRIM(G83&amp;""))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",TRIM(H83&amp;""))-1),코드표!$J$2:$J$101,0)),ISNUMBER(MATCH(TRIM(RIGHT(SUBSTITUTE(TRIM(H83&amp;"")," ",REPT(" ",60)),60)),코드표!$F$2:$F$101,0))),INDEX(코드표!$K$2:$K$101,MATCH(LEFT(TRIM(H83&amp;""),FIND(" ",TRIM(H83&amp;""))-1),코드표!$J$2:$J$101,0))&amp;" "&amp;INDEX(코드표!$G$2:$G$101,MATCH(TRIM(RIGHT(SUBSTITUTE(TRIM(H83&amp;"")," ",REPT(" ",60)),60)),코드표!$F$2:$F$101,0)),"⚠"&amp;TRIM(H83&amp;""))),"⚠"&amp;TRIM(H83&amp;""))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",TRIM(I83&amp;""))-1),코드표!$J$2:$J$101,0)),ISNUMBER(MATCH(TRIM(RIGHT(SUBSTITUTE(TRIM(I83&amp;"")," ",REPT(" ",60)),60)),코드표!$F$2:$F$101,0))),INDEX(코드표!$K$2:$K$101,MATCH(LEFT(TRIM(I83&amp;""),FIND(" ",TRIM(I83&amp;""))-1),코드표!$J$2:$J$101,0))&amp;" "&amp;INDEX(코드표!$G$2:$G$101,MATCH(TRIM(RIGHT(SUBSTITUTE(TRIM(I83&amp;"")," ",REPT(" ",60)),60)),코드표!$F$2:$F$101,0)),"⚠"&amp;TRIM(I83&amp;""))),"⚠"&amp;TRIM(I83&amp;""))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",TRIM(J83&amp;""))-1),코드표!$J$2:$J$101,0)),ISNUMBER(MATCH(TRIM(RIGHT(SUBSTITUTE(TRIM(J83&amp;"")," ",REPT(" ",60)),60)),코드표!$F$2:$F$101,0))),INDEX(코드표!$K$2:$K$101,MATCH(LEFT(TRIM(J83&amp;""),FIND(" ",TRIM(J83&amp;""))-1),코드표!$J$2:$J$101,0))&amp;" "&amp;INDEX(코드표!$G$2:$G$101,MATCH(TRIM(RIGHT(SUBSTITUTE(TRIM(J83&amp;"")," ",REPT(" ",60)),60)),코드표!$F$2:$F$101,0)),"⚠"&amp;TRIM(J83&amp;""))),"⚠"&amp;TRIM(J83&amp;""))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",TRIM(E84&amp;""))-1),코드표!$J$2:$J$101,0)),ISNUMBER(MATCH(TRIM(RIGHT(SUBSTITUTE(TRIM(E84&amp;"")," ",REPT(" ",60)),60)),코드표!$F$2:$F$101,0))),INDEX(코드표!$K$2:$K$101,MATCH(LEFT(TRIM(E84&amp;""),FIND(" ",TRIM(E84&amp;""))-1),코드표!$J$2:$J$101,0))&amp;" "&amp;INDEX(코드표!$G$2:$G$101,MATCH(TRIM(RIGHT(SUBSTITUTE(TRIM(E84&amp;"")," ",REPT(" ",60)),60)),코드표!$F$2:$F$101,0)),"⚠"&amp;TRIM(E84&amp;""))),"⚠"&amp;TRIM(E84&amp;""))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",TRIM(F84&amp;""))-1),코드표!$J$2:$J$101,0)),ISNUMBER(MATCH(TRIM(RIGHT(SUBSTITUTE(TRIM(F84&amp;"")," ",REPT(" ",60)),60)),코드표!$F$2:$F$101,0))),INDEX(코드표!$K$2:$K$101,MATCH(LEFT(TRIM(F84&amp;""),FIND(" ",TRIM(F84&amp;""))-1),코드표!$J$2:$J$101,0))&amp;" "&amp;INDEX(코드표!$G$2:$G$101,MATCH(TRIM(RIGHT(SUBSTITUTE(TRIM(F84&amp;"")," ",REPT(" ",60)),60)),코드표!$F$2:$F$101,0)),"⚠"&amp;TRIM(F84&amp;""))),"⚠"&amp;TRIM(F84&amp;""))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",TRIM(G84&amp;""))-1),코드표!$J$2:$J$101,0)),ISNUMBER(MATCH(TRIM(RIGHT(SUBSTITUTE(TRIM(G84&amp;"")," ",REPT(" ",60)),60)),코드표!$F$2:$F$101,0))),INDEX(코드표!$K$2:$K$101,MATCH(LEFT(TRIM(G84&amp;""),FIND(" ",TRIM(G84&amp;""))-1),코드표!$J$2:$J$101,0))&amp;" "&amp;INDEX(코드표!$G$2:$G$101,MATCH(TRIM(RIGHT(SUBSTITUTE(TRIM(G84&amp;"")," ",REPT(" ",60)),60)),코드표!$F$2:$F$101,0)),"⚠"&amp;TRIM(G84&amp;""))),"⚠"&amp;TRIM(G84&amp;""))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",TRIM(H84&amp;""))-1),코드표!$J$2:$J$101,0)),ISNUMBER(MATCH(TRIM(RIGHT(SUBSTITUTE(TRIM(H84&amp;"")," ",REPT(" ",60)),60)),코드표!$F$2:$F$101,0))),INDEX(코드표!$K$2:$K$101,MATCH(LEFT(TRIM(H84&amp;""),FIND(" ",TRIM(H84&amp;""))-1),코드표!$J$2:$J$101,0))&amp;" "&amp;INDEX(코드표!$G$2:$G$101,MATCH(TRIM(RIGHT(SUBSTITUTE(TRIM(H84&amp;"")," ",REPT(" ",60)),60)),코드표!$F$2:$F$101,0)),"⚠"&amp;TRIM(H84&amp;""))),"⚠"&amp;TRIM(H84&amp;""))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",TRIM(I84&amp;""))-1),코드표!$J$2:$J$101,0)),ISNUMBER(MATCH(TRIM(RIGHT(SUBSTITUTE(TRIM(I84&amp;"")," ",REPT(" ",60)),60)),코드표!$F$2:$F$101,0))),INDEX(코드표!$K$2:$K$101,MATCH(LEFT(TRIM(I84&amp;""),FIND(" ",TRIM(I84&amp;""))-1),코드표!$J$2:$J$101,0))&amp;" "&amp;INDEX(코드표!$G$2:$G$101,MATCH(TRIM(RIGHT(SUBSTITUTE(TRIM(I84&amp;"")," ",REPT(" ",60)),60)),코드표!$F$2:$F$101,0)),"⚠"&amp;TRIM(I84&amp;""))),"⚠"&amp;TRIM(I84&amp;""))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",TRIM(J84&amp;""))-1),코드표!$J$2:$J$101,0)),ISNUMBER(MATCH(TRIM(RIGHT(SUBSTITUTE(TRIM(J84&amp;"")," ",REPT(" ",60)),60)),코드표!$F$2:$F$101,0))),INDEX(코드표!$K$2:$K$101,MATCH(LEFT(TRIM(J84&amp;""),FIND(" ",TRIM(J84&amp;""))-1),코드표!$J$2:$J$101,0))&amp;" "&amp;INDEX(코드표!$G$2:$G$101,MATCH(TRIM(RIGHT(SUBSTITUTE(TRIM(J84&amp;"")," ",REPT(" ",60)),60)),코드표!$F$2:$F$101,0)),"⚠"&amp;TRIM(J84&amp;""))),"⚠"&amp;TRIM(J84&amp;""))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",TRIM(E85&amp;""))-1),코드표!$J$2:$J$101,0)),ISNUMBER(MATCH(TRIM(RIGHT(SUBSTITUTE(TRIM(E85&amp;"")," ",REPT(" ",60)),60)),코드표!$F$2:$F$101,0))),INDEX(코드표!$K$2:$K$101,MATCH(LEFT(TRIM(E85&amp;""),FIND(" ",TRIM(E85&amp;""))-1),코드표!$J$2:$J$101,0))&amp;" "&amp;INDEX(코드표!$G$2:$G$101,MATCH(TRIM(RIGHT(SUBSTITUTE(TRIM(E85&amp;"")," ",REPT(" ",60)),60)),코드표!$F$2:$F$101,0)),"⚠"&amp;TRIM(E85&amp;""))),"⚠"&amp;TRIM(E85&amp;""))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",TRIM(F85&amp;""))-1),코드표!$J$2:$J$101,0)),ISNUMBER(MATCH(TRIM(RIGHT(SUBSTITUTE(TRIM(F85&amp;"")," ",REPT(" ",60)),60)),코드표!$F$2:$F$101,0))),INDEX(코드표!$K$2:$K$101,MATCH(LEFT(TRIM(F85&amp;""),FIND(" ",TRIM(F85&amp;""))-1),코드표!$J$2:$J$101,0))&amp;" "&amp;INDEX(코드표!$G$2:$G$101,MATCH(TRIM(RIGHT(SUBSTITUTE(TRIM(F85&amp;"")," ",REPT(" ",60)),60)),코드표!$F$2:$F$101,0)),"⚠"&amp;TRIM(F85&amp;""))),"⚠"&amp;TRIM(F85&amp;""))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",TRIM(G85&amp;""))-1),코드표!$J$2:$J$101,0)),ISNUMBER(MATCH(TRIM(RIGHT(SUBSTITUTE(TRIM(G85&amp;"")," ",REPT(" ",60)),60)),코드표!$F$2:$F$101,0))),INDEX(코드표!$K$2:$K$101,MATCH(LEFT(TRIM(G85&amp;""),FIND(" ",TRIM(G85&amp;""))-1),코드표!$J$2:$J$101,0))&amp;" "&amp;INDEX(코드표!$G$2:$G$101,MATCH(TRIM(RIGHT(SUBSTITUTE(TRIM(G85&amp;"")," ",REPT(" ",60)),60)),코드표!$F$2:$F$101,0)),"⚠"&amp;TRIM(G85&amp;""))),"⚠"&amp;TRIM(G85&amp;""))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",TRIM(H85&amp;""))-1),코드표!$J$2:$J$101,0)),ISNUMBER(MATCH(TRIM(RIGHT(SUBSTITUTE(TRIM(H85&amp;"")," ",REPT(" ",60)),60)),코드표!$F$2:$F$101,0))),INDEX(코드표!$K$2:$K$101,MATCH(LEFT(TRIM(H85&amp;""),FIND(" ",TRIM(H85&amp;""))-1),코드표!$J$2:$J$101,0))&amp;" "&amp;INDEX(코드표!$G$2:$G$101,MATCH(TRIM(RIGHT(SUBSTITUTE(TRIM(H85&amp;"")," ",REPT(" ",60)),60)),코드표!$F$2:$F$101,0)),"⚠"&amp;TRIM(H85&amp;""))),"⚠"&amp;TRIM(H85&amp;""))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",TRIM(I85&amp;""))-1),코드표!$J$2:$J$101,0)),ISNUMBER(MATCH(TRIM(RIGHT(SUBSTITUTE(TRIM(I85&amp;"")," ",REPT(" ",60)),60)),코드표!$F$2:$F$101,0))),INDEX(코드표!$K$2:$K$101,MATCH(LEFT(TRIM(I85&amp;""),FIND(" ",TRIM(I85&amp;""))-1),코드표!$J$2:$J$101,0))&amp;" "&amp;INDEX(코드표!$G$2:$G$101,MATCH(TRIM(RIGHT(SUBSTITUTE(TRIM(I85&amp;"")," ",REPT(" ",60)),60)),코드표!$F$2:$F$101,0)),"⚠"&amp;TRIM(I85&amp;""))),"⚠"&amp;TRIM(I85&amp;""))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",TRIM(J85&amp;""))-1),코드표!$J$2:$J$101,0)),ISNUMBER(MATCH(TRIM(RIGHT(SUBSTITUTE(TRIM(J85&amp;"")," ",REPT(" ",60)),60)),코드표!$F$2:$F$101,0))),INDEX(코드표!$K$2:$K$101,MATCH(LEFT(TRIM(J85&amp;""),FIND(" ",TRIM(J85&amp;""))-1),코드표!$J$2:$J$101,0))&amp;" "&amp;INDEX(코드표!$G$2:$G$101,MATCH(TRIM(RIGHT(SUBSTITUTE(TRIM(J85&amp;"")," ",REPT(" ",60)),60)),코드표!$F$2:$F$101,0)),"⚠"&amp;TRIM(J85&amp;""))),"⚠"&amp;TRIM(J85&amp;""))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",TRIM(E86&amp;""))-1),코드표!$J$2:$J$101,0)),ISNUMBER(MATCH(TRIM(RIGHT(SUBSTITUTE(TRIM(E86&amp;"")," ",REPT(" ",60)),60)),코드표!$F$2:$F$101,0))),INDEX(코드표!$K$2:$K$101,MATCH(LEFT(TRIM(E86&amp;""),FIND(" ",TRIM(E86&amp;""))-1),코드표!$J$2:$J$101,0))&amp;" "&amp;INDEX(코드표!$G$2:$G$101,MATCH(TRIM(RIGHT(SUBSTITUTE(TRIM(E86&amp;"")," ",REPT(" ",60)),60)),코드표!$F$2:$F$101,0)),"⚠"&amp;TRIM(E86&amp;""))),"⚠"&amp;TRIM(E86&amp;""))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",TRIM(F86&amp;""))-1),코드표!$J$2:$J$101,0)),ISNUMBER(MATCH(TRIM(RIGHT(SUBSTITUTE(TRIM(F86&amp;"")," ",REPT(" ",60)),60)),코드표!$F$2:$F$101,0))),INDEX(코드표!$K$2:$K$101,MATCH(LEFT(TRIM(F86&amp;""),FIND(" ",TRIM(F86&amp;""))-1),코드표!$J$2:$J$101,0))&amp;" "&amp;INDEX(코드표!$G$2:$G$101,MATCH(TRIM(RIGHT(SUBSTITUTE(TRIM(F86&amp;"")," ",REPT(" ",60)),60)),코드표!$F$2:$F$101,0)),"⚠"&amp;TRIM(F86&amp;""))),"⚠"&amp;TRIM(F86&amp;""))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",TRIM(G86&amp;""))-1),코드표!$J$2:$J$101,0)),ISNUMBER(MATCH(TRIM(RIGHT(SUBSTITUTE(TRIM(G86&amp;"")," ",REPT(" ",60)),60)),코드표!$F$2:$F$101,0))),INDEX(코드표!$K$2:$K$101,MATCH(LEFT(TRIM(G86&amp;""),FIND(" ",TRIM(G86&amp;""))-1),코드표!$J$2:$J$101,0))&amp;" "&amp;INDEX(코드표!$G$2:$G$101,MATCH(TRIM(RIGHT(SUBSTITUTE(TRIM(G86&amp;"")," ",REPT(" ",60)),60)),코드표!$F$2:$F$101,0)),"⚠"&amp;TRIM(G86&amp;""))),"⚠"&amp;TRIM(G86&amp;""))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",TRIM(H86&amp;""))-1),코드표!$J$2:$J$101,0)),ISNUMBER(MATCH(TRIM(RIGHT(SUBSTITUTE(TRIM(H86&amp;"")," ",REPT(" ",60)),60)),코드표!$F$2:$F$101,0))),INDEX(코드표!$K$2:$K$101,MATCH(LEFT(TRIM(H86&amp;""),FIND(" ",TRIM(H86&amp;""))-1),코드표!$J$2:$J$101,0))&amp;" "&amp;INDEX(코드표!$G$2:$G$101,MATCH(TRIM(RIGHT(SUBSTITUTE(TRIM(H86&amp;"")," ",REPT(" ",60)),60)),코드표!$F$2:$F$101,0)),"⚠"&amp;TRIM(H86&amp;""))),"⚠"&amp;TRIM(H86&amp;""))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",TRIM(I86&amp;""))-1),코드표!$J$2:$J$101,0)),ISNUMBER(MATCH(TRIM(RIGHT(SUBSTITUTE(TRIM(I86&amp;"")," ",REPT(" ",60)),60)),코드표!$F$2:$F$101,0))),INDEX(코드표!$K$2:$K$101,MATCH(LEFT(TRIM(I86&amp;""),FIND(" ",TRIM(I86&amp;""))-1),코드표!$J$2:$J$101,0))&amp;" "&amp;INDEX(코드표!$G$2:$G$101,MATCH(TRIM(RIGHT(SUBSTITUTE(TRIM(I86&amp;"")," ",REPT(" ",60)),60)),코드표!$F$2:$F$101,0)),"⚠"&amp;TRIM(I86&amp;""))),"⚠"&amp;TRIM(I86&amp;""))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",TRIM(J86&amp;""))-1),코드표!$J$2:$J$101,0)),ISNUMBER(MATCH(TRIM(RIGHT(SUBSTITUTE(TRIM(J86&amp;"")," ",REPT(" ",60)),60)),코드표!$F$2:$F$101,0))),INDEX(코드표!$K$2:$K$101,MATCH(LEFT(TRIM(J86&amp;""),FIND(" ",TRIM(J86&amp;""))-1),코드표!$J$2:$J$101,0))&amp;" "&amp;INDEX(코드표!$G$2:$G$101,MATCH(TRIM(RIGHT(SUBSTITUTE(TRIM(J86&amp;"")," ",REPT(" ",60)),60)),코드표!$F$2:$F$101,0)),"⚠"&amp;TRIM(J86&amp;""))),"⚠"&amp;TRIM(J86&amp;""))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",TRIM(E87&amp;""))-1),코드표!$J$2:$J$101,0)),ISNUMBER(MATCH(TRIM(RIGHT(SUBSTITUTE(TRIM(E87&amp;"")," ",REPT(" ",60)),60)),코드표!$F$2:$F$101,0))),INDEX(코드표!$K$2:$K$101,MATCH(LEFT(TRIM(E87&amp;""),FIND(" ",TRIM(E87&amp;""))-1),코드표!$J$2:$J$101,0))&amp;" "&amp;INDEX(코드표!$G$2:$G$101,MATCH(TRIM(RIGHT(SUBSTITUTE(TRIM(E87&amp;"")," ",REPT(" ",60)),60)),코드표!$F$2:$F$101,0)),"⚠"&amp;TRIM(E87&amp;""))),"⚠"&amp;TRIM(E87&amp;""))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",TRIM(F87&amp;""))-1),코드표!$J$2:$J$101,0)),ISNUMBER(MATCH(TRIM(RIGHT(SUBSTITUTE(TRIM(F87&amp;"")," ",REPT(" ",60)),60)),코드표!$F$2:$F$101,0))),INDEX(코드표!$K$2:$K$101,MATCH(LEFT(TRIM(F87&amp;""),FIND(" ",TRIM(F87&amp;""))-1),코드표!$J$2:$J$101,0))&amp;" "&amp;INDEX(코드표!$G$2:$G$101,MATCH(TRIM(RIGHT(SUBSTITUTE(TRIM(F87&amp;"")," ",REPT(" ",60)),60)),코드표!$F$2:$F$101,0)),"⚠"&amp;TRIM(F87&amp;""))),"⚠"&amp;TRIM(F87&amp;""))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",TRIM(G87&amp;""))-1),코드표!$J$2:$J$101,0)),ISNUMBER(MATCH(TRIM(RIGHT(SUBSTITUTE(TRIM(G87&amp;"")," ",REPT(" ",60)),60)),코드표!$F$2:$F$101,0))),INDEX(코드표!$K$2:$K$101,MATCH(LEFT(TRIM(G87&amp;""),FIND(" ",TRIM(G87&amp;""))-1),코드표!$J$2:$J$101,0))&amp;" "&amp;INDEX(코드표!$G$2:$G$101,MATCH(TRIM(RIGHT(SUBSTITUTE(TRIM(G87&amp;"")," ",REPT(" ",60)),60)),코드표!$F$2:$F$101,0)),"⚠"&amp;TRIM(G87&amp;""))),"⚠"&amp;TRIM(G87&amp;""))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",TRIM(H87&amp;""))-1),코드표!$J$2:$J$101,0)),ISNUMBER(MATCH(TRIM(RIGHT(SUBSTITUTE(TRIM(H87&amp;"")," ",REPT(" ",60)),60)),코드표!$F$2:$F$101,0))),INDEX(코드표!$K$2:$K$101,MATCH(LEFT(TRIM(H87&amp;""),FIND(" ",TRIM(H87&amp;""))-1),코드표!$J$2:$J$101,0))&amp;" "&amp;INDEX(코드표!$G$2:$G$101,MATCH(TRIM(RIGHT(SUBSTITUTE(TRIM(H87&amp;"")," ",REPT(" ",60)),60)),코드표!$F$2:$F$101,0)),"⚠"&amp;TRIM(H87&amp;""))),"⚠"&amp;TRIM(H87&amp;""))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",TRIM(I87&amp;""))-1),코드표!$J$2:$J$101,0)),ISNUMBER(MATCH(TRIM(RIGHT(SUBSTITUTE(TRIM(I87&amp;"")," ",REPT(" ",60)),60)),코드표!$F$2:$F$101,0))),INDEX(코드표!$K$2:$K$101,MATCH(LEFT(TRIM(I87&amp;""),FIND(" ",TRIM(I87&amp;""))-1),코드표!$J$2:$J$101,0))&amp;" "&amp;INDEX(코드표!$G$2:$G$101,MATCH(TRIM(RIGHT(SUBSTITUTE(TRIM(I87&amp;"")," ",REPT(" ",60)),60)),코드표!$F$2:$F$101,0)),"⚠"&amp;TRIM(I87&amp;""))),"⚠"&amp;TRIM(I87&amp;""))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",TRIM(J87&amp;""))-1),코드표!$J$2:$J$101,0)),ISNUMBER(MATCH(TRIM(RIGHT(SUBSTITUTE(TRIM(J87&amp;"")," ",REPT(" ",60)),60)),코드표!$F$2:$F$101,0))),INDEX(코드표!$K$2:$K$101,MATCH(LEFT(TRIM(J87&amp;""),FIND(" ",TRIM(J87&amp;""))-1),코드표!$J$2:$J$101,0))&amp;" "&amp;INDEX(코드표!$G$2:$G$101,MATCH(TRIM(RIGHT(SUBSTITUTE(TRIM(J87&amp;"")," ",REPT(" ",60)),60)),코드표!$F$2:$F$101,0)),"⚠"&amp;TRIM(J87&amp;""))),"⚠"&amp;TRIM(J87&amp;""))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",TRIM(E88&amp;""))-1),코드표!$J$2:$J$101,0)),ISNUMBER(MATCH(TRIM(RIGHT(SUBSTITUTE(TRIM(E88&amp;"")," ",REPT(" ",60)),60)),코드표!$F$2:$F$101,0))),INDEX(코드표!$K$2:$K$101,MATCH(LEFT(TRIM(E88&amp;""),FIND(" ",TRIM(E88&amp;""))-1),코드표!$J$2:$J$101,0))&amp;" "&amp;INDEX(코드표!$G$2:$G$101,MATCH(TRIM(RIGHT(SUBSTITUTE(TRIM(E88&amp;"")," ",REPT(" ",60)),60)),코드표!$F$2:$F$101,0)),"⚠"&amp;TRIM(E88&amp;""))),"⚠"&amp;TRIM(E88&amp;""))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",TRIM(F88&amp;""))-1),코드표!$J$2:$J$101,0)),ISNUMBER(MATCH(TRIM(RIGHT(SUBSTITUTE(TRIM(F88&amp;"")," ",REPT(" ",60)),60)),코드표!$F$2:$F$101,0))),INDEX(코드표!$K$2:$K$101,MATCH(LEFT(TRIM(F88&amp;""),FIND(" ",TRIM(F88&amp;""))-1),코드표!$J$2:$J$101,0))&amp;" "&amp;INDEX(코드표!$G$2:$G$101,MATCH(TRIM(RIGHT(SUBSTITUTE(TRIM(F88&amp;"")," ",REPT(" ",60)),60)),코드표!$F$2:$F$101,0)),"⚠"&amp;TRIM(F88&amp;""))),"⚠"&amp;TRIM(F88&amp;""))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",TRIM(G88&amp;""))-1),코드표!$J$2:$J$101,0)),ISNUMBER(MATCH(TRIM(RIGHT(SUBSTITUTE(TRIM(G88&amp;"")," ",REPT(" ",60)),60)),코드표!$F$2:$F$101,0))),INDEX(코드표!$K$2:$K$101,MATCH(LEFT(TRIM(G88&amp;""),FIND(" ",TRIM(G88&amp;""))-1),코드표!$J$2:$J$101,0))&amp;" "&amp;INDEX(코드표!$G$2:$G$101,MATCH(TRIM(RIGHT(SUBSTITUTE(TRIM(G88&amp;"")," ",REPT(" ",60)),60)),코드표!$F$2:$F$101,0)),"⚠"&amp;TRIM(G88&amp;""))),"⚠"&amp;TRIM(G88&amp;""))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",TRIM(H88&amp;""))-1),코드표!$J$2:$J$101,0)),ISNUMBER(MATCH(TRIM(RIGHT(SUBSTITUTE(TRIM(H88&amp;"")," ",REPT(" ",60)),60)),코드표!$F$2:$F$101,0))),INDEX(코드표!$K$2:$K$101,MATCH(LEFT(TRIM(H88&amp;""),FIND(" ",TRIM(H88&amp;""))-1),코드표!$J$2:$J$101,0))&amp;" "&amp;INDEX(코드표!$G$2:$G$101,MATCH(TRIM(RIGHT(SUBSTITUTE(TRIM(H88&amp;"")," ",REPT(" ",60)),60)),코드표!$F$2:$F$101,0)),"⚠"&amp;TRIM(H88&amp;""))),"⚠"&amp;TRIM(H88&amp;""))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",TRIM(I88&amp;""))-1),코드표!$J$2:$J$101,0)),ISNUMBER(MATCH(TRIM(RIGHT(SUBSTITUTE(TRIM(I88&amp;"")," ",REPT(" ",60)),60)),코드표!$F$2:$F$101,0))),INDEX(코드표!$K$2:$K$101,MATCH(LEFT(TRIM(I88&amp;""),FIND(" ",TRIM(I88&amp;""))-1),코드표!$J$2:$J$101,0))&amp;" "&amp;INDEX(코드표!$G$2:$G$101,MATCH(TRIM(RIGHT(SUBSTITUTE(TRIM(I88&amp;"")," ",REPT(" ",60)),60)),코드표!$F$2:$F$101,0)),"⚠"&amp;TRIM(I88&amp;""))),"⚠"&amp;TRIM(I88&amp;""))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",TRIM(J88&amp;""))-1),코드표!$J$2:$J$101,0)),ISNUMBER(MATCH(TRIM(RIGHT(SUBSTITUTE(TRIM(J88&amp;"")," ",REPT(" ",60)),60)),코드표!$F$2:$F$101,0))),INDEX(코드표!$K$2:$K$101,MATCH(LEFT(TRIM(J88&amp;""),FIND(" ",TRIM(J88&amp;""))-1),코드표!$J$2:$J$101,0))&amp;" "&amp;INDEX(코드표!$G$2:$G$101,MATCH(TRIM(RIGHT(SUBSTITUTE(TRIM(J88&amp;"")," ",REPT(" ",60)),60)),코드표!$F$2:$F$101,0)),"⚠"&amp;TRIM(J88&amp;""))),"⚠"&amp;TRIM(J88&amp;""))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",TRIM(E89&amp;""))-1),코드표!$J$2:$J$101,0)),ISNUMBER(MATCH(TRIM(RIGHT(SUBSTITUTE(TRIM(E89&amp;"")," ",REPT(" ",60)),60)),코드표!$F$2:$F$101,0))),INDEX(코드표!$K$2:$K$101,MATCH(LEFT(TRIM(E89&amp;""),FIND(" ",TRIM(E89&amp;""))-1),코드표!$J$2:$J$101,0))&amp;" "&amp;INDEX(코드표!$G$2:$G$101,MATCH(TRIM(RIGHT(SUBSTITUTE(TRIM(E89&amp;"")," ",REPT(" ",60)),60)),코드표!$F$2:$F$101,0)),"⚠"&amp;TRIM(E89&amp;""))),"⚠"&amp;TRIM(E89&amp;""))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",TRIM(F89&amp;""))-1),코드표!$J$2:$J$101,0)),ISNUMBER(MATCH(TRIM(RIGHT(SUBSTITUTE(TRIM(F89&amp;"")," ",REPT(" ",60)),60)),코드표!$F$2:$F$101,0))),INDEX(코드표!$K$2:$K$101,MATCH(LEFT(TRIM(F89&amp;""),FIND(" ",TRIM(F89&amp;""))-1),코드표!$J$2:$J$101,0))&amp;" "&amp;INDEX(코드표!$G$2:$G$101,MATCH(TRIM(RIGHT(SUBSTITUTE(TRIM(F89&amp;"")," ",REPT(" ",60)),60)),코드표!$F$2:$F$101,0)),"⚠"&amp;TRIM(F89&amp;""))),"⚠"&amp;TRIM(F89&amp;""))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",TRIM(G89&amp;""))-1),코드표!$J$2:$J$101,0)),ISNUMBER(MATCH(TRIM(RIGHT(SUBSTITUTE(TRIM(G89&amp;"")," ",REPT(" ",60)),60)),코드표!$F$2:$F$101,0))),INDEX(코드표!$K$2:$K$101,MATCH(LEFT(TRIM(G89&amp;""),FIND(" ",TRIM(G89&amp;""))-1),코드표!$J$2:$J$101,0))&amp;" "&amp;INDEX(코드표!$G$2:$G$101,MATCH(TRIM(RIGHT(SUBSTITUTE(TRIM(G89&amp;"")," ",REPT(" ",60)),60)),코드표!$F$2:$F$101,0)),"⚠"&amp;TRIM(G89&amp;""))),"⚠"&amp;TRIM(G89&amp;""))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",TRIM(H89&amp;""))-1),코드표!$J$2:$J$101,0)),ISNUMBER(MATCH(TRIM(RIGHT(SUBSTITUTE(TRIM(H89&amp;"")," ",REPT(" ",60)),60)),코드표!$F$2:$F$101,0))),INDEX(코드표!$K$2:$K$101,MATCH(LEFT(TRIM(H89&amp;""),FIND(" ",TRIM(H89&amp;""))-1),코드표!$J$2:$J$101,0))&amp;" "&amp;INDEX(코드표!$G$2:$G$101,MATCH(TRIM(RIGHT(SUBSTITUTE(TRIM(H89&amp;"")," ",REPT(" ",60)),60)),코드표!$F$2:$F$101,0)),"⚠"&amp;TRIM(H89&amp;""))),"⚠"&amp;TRIM(H89&amp;""))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",TRIM(I89&amp;""))-1),코드표!$J$2:$J$101,0)),ISNUMBER(MATCH(TRIM(RIGHT(SUBSTITUTE(TRIM(I89&amp;"")," ",REPT(" ",60)),60)),코드표!$F$2:$F$101,0))),INDEX(코드표!$K$2:$K$101,MATCH(LEFT(TRIM(I89&amp;""),FIND(" ",TRIM(I89&amp;""))-1),코드표!$J$2:$J$101,0))&amp;" "&amp;INDEX(코드표!$G$2:$G$101,MATCH(TRIM(RIGHT(SUBSTITUTE(TRIM(I89&amp;"")," ",REPT(" ",60)),60)),코드표!$F$2:$F$101,0)),"⚠"&amp;TRIM(I89&amp;""))),"⚠"&amp;TRIM(I89&amp;""))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",TRIM(J89&amp;""))-1),코드표!$J$2:$J$101,0)),ISNUMBER(MATCH(TRIM(RIGHT(SUBSTITUTE(TRIM(J89&amp;"")," ",REPT(" ",60)),60)),코드표!$F$2:$F$101,0))),INDEX(코드표!$K$2:$K$101,MATCH(LEFT(TRIM(J89&amp;""),FIND(" ",TRIM(J89&amp;""))-1),코드표!$J$2:$J$101,0))&amp;" "&amp;INDEX(코드표!$G$2:$G$101,MATCH(TRIM(RIGHT(SUBSTITUTE(TRIM(J89&amp;"")," ",REPT(" ",60)),60)),코드표!$F$2:$F$101,0)),"⚠"&amp;TRIM(J89&amp;""))),"⚠"&amp;TRIM(J89&amp;""))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",TRIM(E90&amp;""))-1),코드표!$J$2:$J$101,0)),ISNUMBER(MATCH(TRIM(RIGHT(SUBSTITUTE(TRIM(E90&amp;"")," ",REPT(" ",60)),60)),코드표!$F$2:$F$101,0))),INDEX(코드표!$K$2:$K$101,MATCH(LEFT(TRIM(E90&amp;""),FIND(" ",TRIM(E90&amp;""))-1),코드표!$J$2:$J$101,0))&amp;" "&amp;INDEX(코드표!$G$2:$G$101,MATCH(TRIM(RIGHT(SUBSTITUTE(TRIM(E90&amp;"")," ",REPT(" ",60)),60)),코드표!$F$2:$F$101,0)),"⚠"&amp;TRIM(E90&amp;""))),"⚠"&amp;TRIM(E90&amp;""))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",TRIM(F90&amp;""))-1),코드표!$J$2:$J$101,0)),ISNUMBER(MATCH(TRIM(RIGHT(SUBSTITUTE(TRIM(F90&amp;"")," ",REPT(" ",60)),60)),코드표!$F$2:$F$101,0))),INDEX(코드표!$K$2:$K$101,MATCH(LEFT(TRIM(F90&amp;""),FIND(" ",TRIM(F90&amp;""))-1),코드표!$J$2:$J$101,0))&amp;" "&amp;INDEX(코드표!$G$2:$G$101,MATCH(TRIM(RIGHT(SUBSTITUTE(TRIM(F90&amp;"")," ",REPT(" ",60)),60)),코드표!$F$2:$F$101,0)),"⚠"&amp;TRIM(F90&amp;""))),"⚠"&amp;TRIM(F90&amp;""))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",TRIM(G90&amp;""))-1),코드표!$J$2:$J$101,0)),ISNUMBER(MATCH(TRIM(RIGHT(SUBSTITUTE(TRIM(G90&amp;"")," ",REPT(" ",60)),60)),코드표!$F$2:$F$101,0))),INDEX(코드표!$K$2:$K$101,MATCH(LEFT(TRIM(G90&amp;""),FIND(" ",TRIM(G90&amp;""))-1),코드표!$J$2:$J$101,0))&amp;" "&amp;INDEX(코드표!$G$2:$G$101,MATCH(TRIM(RIGHT(SUBSTITUTE(TRIM(G90&amp;"")," ",REPT(" ",60)),60)),코드표!$F$2:$F$101,0)),"⚠"&amp;TRIM(G90&amp;""))),"⚠"&amp;TRIM(G90&amp;""))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",TRIM(H90&amp;""))-1),코드표!$J$2:$J$101,0)),ISNUMBER(MATCH(TRIM(RIGHT(SUBSTITUTE(TRIM(H90&amp;"")," ",REPT(" ",60)),60)),코드표!$F$2:$F$101,0))),INDEX(코드표!$K$2:$K$101,MATCH(LEFT(TRIM(H90&amp;""),FIND(" ",TRIM(H90&amp;""))-1),코드표!$J$2:$J$101,0))&amp;" "&amp;INDEX(코드표!$G$2:$G$101,MATCH(TRIM(RIGHT(SUBSTITUTE(TRIM(H90&amp;"")," ",REPT(" ",60)),60)),코드표!$F$2:$F$101,0)),"⚠"&amp;TRIM(H90&amp;""))),"⚠"&amp;TRIM(H90&amp;""))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",TRIM(I90&amp;""))-1),코드표!$J$2:$J$101,0)),ISNUMBER(MATCH(TRIM(RIGHT(SUBSTITUTE(TRIM(I90&amp;"")," ",REPT(" ",60)),60)),코드표!$F$2:$F$101,0))),INDEX(코드표!$K$2:$K$101,MATCH(LEFT(TRIM(I90&amp;""),FIND(" ",TRIM(I90&amp;""))-1),코드표!$J$2:$J$101,0))&amp;" "&amp;INDEX(코드표!$G$2:$G$101,MATCH(TRIM(RIGHT(SUBSTITUTE(TRIM(I90&amp;"")," ",REPT(" ",60)),60)),코드표!$F$2:$F$101,0)),"⚠"&amp;TRIM(I90&amp;""))),"⚠"&amp;TRIM(I90&amp;""))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",TRIM(J90&amp;""))-1),코드표!$J$2:$J$101,0)),ISNUMBER(MATCH(TRIM(RIGHT(SUBSTITUTE(TRIM(J90&amp;"")," ",REPT(" ",60)),60)),코드표!$F$2:$F$101,0))),INDEX(코드표!$K$2:$K$101,MATCH(LEFT(TRIM(J90&amp;""),FIND(" ",TRIM(J90&amp;""))-1),코드표!$J$2:$J$101,0))&amp;" "&amp;INDEX(코드표!$G$2:$G$101,MATCH(TRIM(RIGHT(SUBSTITUTE(TRIM(J90&amp;"")," ",REPT(" ",60)),60)),코드표!$F$2:$F$101,0)),"⚠"&amp;TRIM(J90&amp;""))),"⚠"&amp;TRIM(J90&amp;""))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",TRIM(E91&amp;""))-1),코드표!$J$2:$J$101,0)),ISNUMBER(MATCH(TRIM(RIGHT(SUBSTITUTE(TRIM(E91&amp;"")," ",REPT(" ",60)),60)),코드표!$F$2:$F$101,0))),INDEX(코드표!$K$2:$K$101,MATCH(LEFT(TRIM(E91&amp;""),FIND(" ",TRIM(E91&amp;""))-1),코드표!$J$2:$J$101,0))&amp;" "&amp;INDEX(코드표!$G$2:$G$101,MATCH(TRIM(RIGHT(SUBSTITUTE(TRIM(E91&amp;"")," ",REPT(" ",60)),60)),코드표!$F$2:$F$101,0)),"⚠"&amp;TRIM(E91&amp;""))),"⚠"&amp;TRIM(E91&amp;""))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",TRIM(F91&amp;""))-1),코드표!$J$2:$J$101,0)),ISNUMBER(MATCH(TRIM(RIGHT(SUBSTITUTE(TRIM(F91&amp;"")," ",REPT(" ",60)),60)),코드표!$F$2:$F$101,0))),INDEX(코드표!$K$2:$K$101,MATCH(LEFT(TRIM(F91&amp;""),FIND(" ",TRIM(F91&amp;""))-1),코드표!$J$2:$J$101,0))&amp;" "&amp;INDEX(코드표!$G$2:$G$101,MATCH(TRIM(RIGHT(SUBSTITUTE(TRIM(F91&amp;"")," ",REPT(" ",60)),60)),코드표!$F$2:$F$101,0)),"⚠"&amp;TRIM(F91&amp;""))),"⚠"&amp;TRIM(F91&amp;""))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",TRIM(G91&amp;""))-1),코드표!$J$2:$J$101,0)),ISNUMBER(MATCH(TRIM(RIGHT(SUBSTITUTE(TRIM(G91&amp;"")," ",REPT(" ",60)),60)),코드표!$F$2:$F$101,0))),INDEX(코드표!$K$2:$K$101,MATCH(LEFT(TRIM(G91&amp;""),FIND(" ",TRIM(G91&amp;""))-1),코드표!$J$2:$J$101,0))&amp;" "&amp;INDEX(코드표!$G$2:$G$101,MATCH(TRIM(RIGHT(SUBSTITUTE(TRIM(G91&amp;"")," ",REPT(" ",60)),60)),코드표!$F$2:$F$101,0)),"⚠"&amp;TRIM(G91&amp;""))),"⚠"&amp;TRIM(G91&amp;""))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",TRIM(H91&amp;""))-1),코드표!$J$2:$J$101,0)),ISNUMBER(MATCH(TRIM(RIGHT(SUBSTITUTE(TRIM(H91&amp;"")," ",REPT(" ",60)),60)),코드표!$F$2:$F$101,0))),INDEX(코드표!$K$2:$K$101,MATCH(LEFT(TRIM(H91&amp;""),FIND(" ",TRIM(H91&amp;""))-1),코드표!$J$2:$J$101,0))&amp;" "&amp;INDEX(코드표!$G$2:$G$101,MATCH(TRIM(RIGHT(SUBSTITUTE(TRIM(H91&amp;"")," ",REPT(" ",60)),60)),코드표!$F$2:$F$101,0)),"⚠"&amp;TRIM(H91&amp;""))),"⚠"&amp;TRIM(H91&amp;""))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",TRIM(I91&amp;""))-1),코드표!$J$2:$J$101,0)),ISNUMBER(MATCH(TRIM(RIGHT(SUBSTITUTE(TRIM(I91&amp;"")," ",REPT(" ",60)),60)),코드표!$F$2:$F$101,0))),INDEX(코드표!$K$2:$K$101,MATCH(LEFT(TRIM(I91&amp;""),FIND(" ",TRIM(I91&amp;""))-1),코드표!$J$2:$J$101,0))&amp;" "&amp;INDEX(코드표!$G$2:$G$101,MATCH(TRIM(RIGHT(SUBSTITUTE(TRIM(I91&amp;"")," ",REPT(" ",60)),60)),코드표!$F$2:$F$101,0)),"⚠"&amp;TRIM(I91&amp;""))),"⚠"&amp;TRIM(I91&amp;""))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",TRIM(J91&amp;""))-1),코드표!$J$2:$J$101,0)),ISNUMBER(MATCH(TRIM(RIGHT(SUBSTITUTE(TRIM(J91&amp;"")," ",REPT(" ",60)),60)),코드표!$F$2:$F$101,0))),INDEX(코드표!$K$2:$K$101,MATCH(LEFT(TRIM(J91&amp;""),FIND(" ",TRIM(J91&amp;""))-1),코드표!$J$2:$J$101,0))&amp;" "&amp;INDEX(코드표!$G$2:$G$101,MATCH(TRIM(RIGHT(SUBSTITUTE(TRIM(J91&amp;"")," ",REPT(" ",60)),60)),코드표!$F$2:$F$101,0)),"⚠"&amp;TRIM(J91&amp;""))),"⚠"&amp;TRIM(J91&amp;""))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",TRIM(E92&amp;""))-1),코드표!$J$2:$J$101,0)),ISNUMBER(MATCH(TRIM(RIGHT(SUBSTITUTE(TRIM(E92&amp;"")," ",REPT(" ",60)),60)),코드표!$F$2:$F$101,0))),INDEX(코드표!$K$2:$K$101,MATCH(LEFT(TRIM(E92&amp;""),FIND(" ",TRIM(E92&amp;""))-1),코드표!$J$2:$J$101,0))&amp;" "&amp;INDEX(코드표!$G$2:$G$101,MATCH(TRIM(RIGHT(SUBSTITUTE(TRIM(E92&amp;"")," ",REPT(" ",60)),60)),코드표!$F$2:$F$101,0)),"⚠"&amp;TRIM(E92&amp;""))),"⚠"&amp;TRIM(E92&amp;""))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",TRIM(F92&amp;""))-1),코드표!$J$2:$J$101,0)),ISNUMBER(MATCH(TRIM(RIGHT(SUBSTITUTE(TRIM(F92&amp;"")," ",REPT(" ",60)),60)),코드표!$F$2:$F$101,0))),INDEX(코드표!$K$2:$K$101,MATCH(LEFT(TRIM(F92&amp;""),FIND(" ",TRIM(F92&amp;""))-1),코드표!$J$2:$J$101,0))&amp;" "&amp;INDEX(코드표!$G$2:$G$101,MATCH(TRIM(RIGHT(SUBSTITUTE(TRIM(F92&amp;"")," ",REPT(" ",60)),60)),코드표!$F$2:$F$101,0)),"⚠"&amp;TRIM(F92&amp;""))),"⚠"&amp;TRIM(F92&amp;""))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",TRIM(G92&amp;""))-1),코드표!$J$2:$J$101,0)),ISNUMBER(MATCH(TRIM(RIGHT(SUBSTITUTE(TRIM(G92&amp;"")," ",REPT(" ",60)),60)),코드표!$F$2:$F$101,0))),INDEX(코드표!$K$2:$K$101,MATCH(LEFT(TRIM(G92&amp;""),FIND(" ",TRIM(G92&amp;""))-1),코드표!$J$2:$J$101,0))&amp;" "&amp;INDEX(코드표!$G$2:$G$101,MATCH(TRIM(RIGHT(SUBSTITUTE(TRIM(G92&amp;"")," ",REPT(" ",60)),60)),코드표!$F$2:$F$101,0)),"⚠"&amp;TRIM(G92&amp;""))),"⚠"&amp;TRIM(G92&amp;""))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",TRIM(H92&amp;""))-1),코드표!$J$2:$J$101,0)),ISNUMBER(MATCH(TRIM(RIGHT(SUBSTITUTE(TRIM(H92&amp;"")," ",REPT(" ",60)),60)),코드표!$F$2:$F$101,0))),INDEX(코드표!$K$2:$K$101,MATCH(LEFT(TRIM(H92&amp;""),FIND(" ",TRIM(H92&amp;""))-1),코드표!$J$2:$J$101,0))&amp;" "&amp;INDEX(코드표!$G$2:$G$101,MATCH(TRIM(RIGHT(SUBSTITUTE(TRIM(H92&amp;"")," ",REPT(" ",60)),60)),코드표!$F$2:$F$101,0)),"⚠"&amp;TRIM(H92&amp;""))),"⚠"&amp;TRIM(H92&amp;""))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",TRIM(I92&amp;""))-1),코드표!$J$2:$J$101,0)),ISNUMBER(MATCH(TRIM(RIGHT(SUBSTITUTE(TRIM(I92&amp;"")," ",REPT(" ",60)),60)),코드표!$F$2:$F$101,0))),INDEX(코드표!$K$2:$K$101,MATCH(LEFT(TRIM(I92&amp;""),FIND(" ",TRIM(I92&amp;""))-1),코드표!$J$2:$J$101,0))&amp;" "&amp;INDEX(코드표!$G$2:$G$101,MATCH(TRIM(RIGHT(SUBSTITUTE(TRIM(I92&amp;"")," ",REPT(" ",60)),60)),코드표!$F$2:$F$101,0)),"⚠"&amp;TRIM(I92&amp;""))),"⚠"&amp;TRIM(I92&amp;""))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",TRIM(J92&amp;""))-1),코드표!$J$2:$J$101,0)),ISNUMBER(MATCH(TRIM(RIGHT(SUBSTITUTE(TRIM(J92&amp;"")," ",REPT(" ",60)),60)),코드표!$F$2:$F$101,0))),INDEX(코드표!$K$2:$K$101,MATCH(LEFT(TRIM(J92&amp;""),FIND(" ",TRIM(J92&amp;""))-1),코드표!$J$2:$J$101,0))&amp;" "&amp;INDEX(코드표!$G$2:$G$101,MATCH(TRIM(RIGHT(SUBSTITUTE(TRIM(J92&amp;"")," ",REPT(" ",60)),60)),코드표!$F$2:$F$101,0)),"⚠"&amp;TRIM(J92&amp;""))),"⚠"&amp;TRIM(J92&amp;""))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",TRIM(E93&amp;""))-1),코드표!$J$2:$J$101,0)),ISNUMBER(MATCH(TRIM(RIGHT(SUBSTITUTE(TRIM(E93&amp;"")," ",REPT(" ",60)),60)),코드표!$F$2:$F$101,0))),INDEX(코드표!$K$2:$K$101,MATCH(LEFT(TRIM(E93&amp;""),FIND(" ",TRIM(E93&amp;""))-1),코드표!$J$2:$J$101,0))&amp;" "&amp;INDEX(코드표!$G$2:$G$101,MATCH(TRIM(RIGHT(SUBSTITUTE(TRIM(E93&amp;"")," ",REPT(" ",60)),60)),코드표!$F$2:$F$101,0)),"⚠"&amp;TRIM(E93&amp;""))),"⚠"&amp;TRIM(E93&amp;""))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",TRIM(F93&amp;""))-1),코드표!$J$2:$J$101,0)),ISNUMBER(MATCH(TRIM(RIGHT(SUBSTITUTE(TRIM(F93&amp;"")," ",REPT(" ",60)),60)),코드표!$F$2:$F$101,0))),INDEX(코드표!$K$2:$K$101,MATCH(LEFT(TRIM(F93&amp;""),FIND(" ",TRIM(F93&amp;""))-1),코드표!$J$2:$J$101,0))&amp;" "&amp;INDEX(코드표!$G$2:$G$101,MATCH(TRIM(RIGHT(SUBSTITUTE(TRIM(F93&amp;"")," ",REPT(" ",60)),60)),코드표!$F$2:$F$101,0)),"⚠"&amp;TRIM(F93&amp;""))),"⚠"&amp;TRIM(F93&amp;""))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",TRIM(G93&amp;""))-1),코드표!$J$2:$J$101,0)),ISNUMBER(MATCH(TRIM(RIGHT(SUBSTITUTE(TRIM(G93&amp;"")," ",REPT(" ",60)),60)),코드표!$F$2:$F$101,0))),INDEX(코드표!$K$2:$K$101,MATCH(LEFT(TRIM(G93&amp;""),FIND(" ",TRIM(G93&amp;""))-1),코드표!$J$2:$J$101,0))&amp;" "&amp;INDEX(코드표!$G$2:$G$101,MATCH(TRIM(RIGHT(SUBSTITUTE(TRIM(G93&amp;"")," ",REPT(" ",60)),60)),코드표!$F$2:$F$101,0)),"⚠"&amp;TRIM(G93&amp;""))),"⚠"&amp;TRIM(G93&amp;""))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",TRIM(H93&amp;""))-1),코드표!$J$2:$J$101,0)),ISNUMBER(MATCH(TRIM(RIGHT(SUBSTITUTE(TRIM(H93&amp;"")," ",REPT(" ",60)),60)),코드표!$F$2:$F$101,0))),INDEX(코드표!$K$2:$K$101,MATCH(LEFT(TRIM(H93&amp;""),FIND(" ",TRIM(H93&amp;""))-1),코드표!$J$2:$J$101,0))&amp;" "&amp;INDEX(코드표!$G$2:$G$101,MATCH(TRIM(RIGHT(SUBSTITUTE(TRIM(H93&amp;"")," ",REPT(" ",60)),60)),코드표!$F$2:$F$101,0)),"⚠"&amp;TRIM(H93&amp;""))),"⚠"&amp;TRIM(H93&amp;""))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",TRIM(I93&amp;""))-1),코드표!$J$2:$J$101,0)),ISNUMBER(MATCH(TRIM(RIGHT(SUBSTITUTE(TRIM(I93&amp;"")," ",REPT(" ",60)),60)),코드표!$F$2:$F$101,0))),INDEX(코드표!$K$2:$K$101,MATCH(LEFT(TRIM(I93&amp;""),FIND(" ",TRIM(I93&amp;""))-1),코드표!$J$2:$J$101,0))&amp;" "&amp;INDEX(코드표!$G$2:$G$101,MATCH(TRIM(RIGHT(SUBSTITUTE(TRIM(I93&amp;"")," ",REPT(" ",60)),60)),코드표!$F$2:$F$101,0)),"⚠"&amp;TRIM(I93&amp;""))),"⚠"&amp;TRIM(I93&amp;""))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",TRIM(J93&amp;""))-1),코드표!$J$2:$J$101,0)),ISNUMBER(MATCH(TRIM(RIGHT(SUBSTITUTE(TRIM(J93&amp;"")," ",REPT(" ",60)),60)),코드표!$F$2:$F$101,0))),INDEX(코드표!$K$2:$K$101,MATCH(LEFT(TRIM(J93&amp;""),FIND(" ",TRIM(J93&amp;""))-1),코드표!$J$2:$J$101,0))&amp;" "&amp;INDEX(코드표!$G$2:$G$101,MATCH(TRIM(RIGHT(SUBSTITUTE(TRIM(J93&amp;"")," ",REPT(" ",60)),60)),코드표!$F$2:$F$101,0)),"⚠"&amp;TRIM(J93&amp;""))),"⚠"&amp;TRIM(J93&amp;""))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",TRIM(E94&amp;""))-1),코드표!$J$2:$J$101,0)),ISNUMBER(MATCH(TRIM(RIGHT(SUBSTITUTE(TRIM(E94&amp;"")," ",REPT(" ",60)),60)),코드표!$F$2:$F$101,0))),INDEX(코드표!$K$2:$K$101,MATCH(LEFT(TRIM(E94&amp;""),FIND(" ",TRIM(E94&amp;""))-1),코드표!$J$2:$J$101,0))&amp;" "&amp;INDEX(코드표!$G$2:$G$101,MATCH(TRIM(RIGHT(SUBSTITUTE(TRIM(E94&amp;"")," ",REPT(" ",60)),60)),코드표!$F$2:$F$101,0)),"⚠"&amp;TRIM(E94&amp;""))),"⚠"&amp;TRIM(E94&amp;""))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",TRIM(F94&amp;""))-1),코드표!$J$2:$J$101,0)),ISNUMBER(MATCH(TRIM(RIGHT(SUBSTITUTE(TRIM(F94&amp;"")," ",REPT(" ",60)),60)),코드표!$F$2:$F$101,0))),INDEX(코드표!$K$2:$K$101,MATCH(LEFT(TRIM(F94&amp;""),FIND(" ",TRIM(F94&amp;""))-1),코드표!$J$2:$J$101,0))&amp;" "&amp;INDEX(코드표!$G$2:$G$101,MATCH(TRIM(RIGHT(SUBSTITUTE(TRIM(F94&amp;"")," ",REPT(" ",60)),60)),코드표!$F$2:$F$101,0)),"⚠"&amp;TRIM(F94&amp;""))),"⚠"&amp;TRIM(F94&amp;""))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",TRIM(G94&amp;""))-1),코드표!$J$2:$J$101,0)),ISNUMBER(MATCH(TRIM(RIGHT(SUBSTITUTE(TRIM(G94&amp;"")," ",REPT(" ",60)),60)),코드표!$F$2:$F$101,0))),INDEX(코드표!$K$2:$K$101,MATCH(LEFT(TRIM(G94&amp;""),FIND(" ",TRIM(G94&amp;""))-1),코드표!$J$2:$J$101,0))&amp;" "&amp;INDEX(코드표!$G$2:$G$101,MATCH(TRIM(RIGHT(SUBSTITUTE(TRIM(G94&amp;"")," ",REPT(" ",60)),60)),코드표!$F$2:$F$101,0)),"⚠"&amp;TRIM(G94&amp;""))),"⚠"&amp;TRIM(G94&amp;""))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",TRIM(H94&amp;""))-1),코드표!$J$2:$J$101,0)),ISNUMBER(MATCH(TRIM(RIGHT(SUBSTITUTE(TRIM(H94&amp;"")," ",REPT(" ",60)),60)),코드표!$F$2:$F$101,0))),INDEX(코드표!$K$2:$K$101,MATCH(LEFT(TRIM(H94&amp;""),FIND(" ",TRIM(H94&amp;""))-1),코드표!$J$2:$J$101,0))&amp;" "&amp;INDEX(코드표!$G$2:$G$101,MATCH(TRIM(RIGHT(SUBSTITUTE(TRIM(H94&amp;"")," ",REPT(" ",60)),60)),코드표!$F$2:$F$101,0)),"⚠"&amp;TRIM(H94&amp;""))),"⚠"&amp;TRIM(H94&amp;""))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",TRIM(I94&amp;""))-1),코드표!$J$2:$J$101,0)),ISNUMBER(MATCH(TRIM(RIGHT(SUBSTITUTE(TRIM(I94&amp;"")," ",REPT(" ",60)),60)),코드표!$F$2:$F$101,0))),INDEX(코드표!$K$2:$K$101,MATCH(LEFT(TRIM(I94&amp;""),FIND(" ",TRIM(I94&amp;""))-1),코드표!$J$2:$J$101,0))&amp;" "&amp;INDEX(코드표!$G$2:$G$101,MATCH(TRIM(RIGHT(SUBSTITUTE(TRIM(I94&amp;"")," ",REPT(" ",60)),60)),코드표!$F$2:$F$101,0)),"⚠"&amp;TRIM(I94&amp;""))),"⚠"&amp;TRIM(I94&amp;""))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",TRIM(J94&amp;""))-1),코드표!$J$2:$J$101,0)),ISNUMBER(MATCH(TRIM(RIGHT(SUBSTITUTE(TRIM(J94&amp;"")," ",REPT(" ",60)),60)),코드표!$F$2:$F$101,0))),INDEX(코드표!$K$2:$K$101,MATCH(LEFT(TRIM(J94&amp;""),FIND(" ",TRIM(J94&amp;""))-1),코드표!$J$2:$J$101,0))&amp;" "&amp;INDEX(코드표!$G$2:$G$101,MATCH(TRIM(RIGHT(SUBSTITUTE(TRIM(J94&amp;"")," ",REPT(" ",60)),60)),코드표!$F$2:$F$101,0)),"⚠"&amp;TRIM(J94&amp;""))),"⚠"&amp;TRIM(J94&amp;""))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",TRIM(E95&amp;""))-1),코드표!$J$2:$J$101,0)),ISNUMBER(MATCH(TRIM(RIGHT(SUBSTITUTE(TRIM(E95&amp;"")," ",REPT(" ",60)),60)),코드표!$F$2:$F$101,0))),INDEX(코드표!$K$2:$K$101,MATCH(LEFT(TRIM(E95&amp;""),FIND(" ",TRIM(E95&amp;""))-1),코드표!$J$2:$J$101,0))&amp;" "&amp;INDEX(코드표!$G$2:$G$101,MATCH(TRIM(RIGHT(SUBSTITUTE(TRIM(E95&amp;"")," ",REPT(" ",60)),60)),코드표!$F$2:$F$101,0)),"⚠"&amp;TRIM(E95&amp;""))),"⚠"&amp;TRIM(E95&amp;""))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",TRIM(F95&amp;""))-1),코드표!$J$2:$J$101,0)),ISNUMBER(MATCH(TRIM(RIGHT(SUBSTITUTE(TRIM(F95&amp;"")," ",REPT(" ",60)),60)),코드표!$F$2:$F$101,0))),INDEX(코드표!$K$2:$K$101,MATCH(LEFT(TRIM(F95&amp;""),FIND(" ",TRIM(F95&amp;""))-1),코드표!$J$2:$J$101,0))&amp;" "&amp;INDEX(코드표!$G$2:$G$101,MATCH(TRIM(RIGHT(SUBSTITUTE(TRIM(F95&amp;"")," ",REPT(" ",60)),60)),코드표!$F$2:$F$101,0)),"⚠"&amp;TRIM(F95&amp;""))),"⚠"&amp;TRIM(F95&amp;""))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",TRIM(G95&amp;""))-1),코드표!$J$2:$J$101,0)),ISNUMBER(MATCH(TRIM(RIGHT(SUBSTITUTE(TRIM(G95&amp;"")," ",REPT(" ",60)),60)),코드표!$F$2:$F$101,0))),INDEX(코드표!$K$2:$K$101,MATCH(LEFT(TRIM(G95&amp;""),FIND(" ",TRIM(G95&amp;""))-1),코드표!$J$2:$J$101,0))&amp;" "&amp;INDEX(코드표!$G$2:$G$101,MATCH(TRIM(RIGHT(SUBSTITUTE(TRIM(G95&amp;"")," ",REPT(" ",60)),60)),코드표!$F$2:$F$101,0)),"⚠"&amp;TRIM(G95&amp;""))),"⚠"&amp;TRIM(G95&amp;""))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",TRIM(H95&amp;""))-1),코드표!$J$2:$J$101,0)),ISNUMBER(MATCH(TRIM(RIGHT(SUBSTITUTE(TRIM(H95&amp;"")," ",REPT(" ",60)),60)),코드표!$F$2:$F$101,0))),INDEX(코드표!$K$2:$K$101,MATCH(LEFT(TRIM(H95&amp;""),FIND(" ",TRIM(H95&amp;""))-1),코드표!$J$2:$J$101,0))&amp;" "&amp;INDEX(코드표!$G$2:$G$101,MATCH(TRIM(RIGHT(SUBSTITUTE(TRIM(H95&amp;"")," ",REPT(" ",60)),60)),코드표!$F$2:$F$101,0)),"⚠"&amp;TRIM(H95&amp;""))),"⚠"&amp;TRIM(H95&amp;""))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",TRIM(I95&amp;""))-1),코드표!$J$2:$J$101,0)),ISNUMBER(MATCH(TRIM(RIGHT(SUBSTITUTE(TRIM(I95&amp;"")," ",REPT(" ",60)),60)),코드표!$F$2:$F$101,0))),INDEX(코드표!$K$2:$K$101,MATCH(LEFT(TRIM(I95&amp;""),FIND(" ",TRIM(I95&amp;""))-1),코드표!$J$2:$J$101,0))&amp;" "&amp;INDEX(코드표!$G$2:$G$101,MATCH(TRIM(RIGHT(SUBSTITUTE(TRIM(I95&amp;"")," ",REPT(" ",60)),60)),코드표!$F$2:$F$101,0)),"⚠"&amp;TRIM(I95&amp;""))),"⚠"&amp;TRIM(I95&amp;""))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",TRIM(J95&amp;""))-1),코드표!$J$2:$J$101,0)),ISNUMBER(MATCH(TRIM(RIGHT(SUBSTITUTE(TRIM(J95&amp;"")," ",REPT(" ",60)),60)),코드표!$F$2:$F$101,0))),INDEX(코드표!$K$2:$K$101,MATCH(LEFT(TRIM(J95&amp;""),FIND(" ",TRIM(J95&amp;""))-1),코드표!$J$2:$J$101,0))&amp;" "&amp;INDEX(코드표!$G$2:$G$101,MATCH(TRIM(RIGHT(SUBSTITUTE(TRIM(J95&amp;"")," ",REPT(" ",60)),60)),코드표!$F$2:$F$101,0)),"⚠"&amp;TRIM(J95&amp;""))),"⚠"&amp;TRIM(J95&amp;""))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",TRIM(E96&amp;""))-1),코드표!$J$2:$J$101,0)),ISNUMBER(MATCH(TRIM(RIGHT(SUBSTITUTE(TRIM(E96&amp;"")," ",REPT(" ",60)),60)),코드표!$F$2:$F$101,0))),INDEX(코드표!$K$2:$K$101,MATCH(LEFT(TRIM(E96&amp;""),FIND(" ",TRIM(E96&amp;""))-1),코드표!$J$2:$J$101,0))&amp;" "&amp;INDEX(코드표!$G$2:$G$101,MATCH(TRIM(RIGHT(SUBSTITUTE(TRIM(E96&amp;"")," ",REPT(" ",60)),60)),코드표!$F$2:$F$101,0)),"⚠"&amp;TRIM(E96&amp;""))),"⚠"&amp;TRIM(E96&amp;""))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",TRIM(F96&amp;""))-1),코드표!$J$2:$J$101,0)),ISNUMBER(MATCH(TRIM(RIGHT(SUBSTITUTE(TRIM(F96&amp;"")," ",REPT(" ",60)),60)),코드표!$F$2:$F$101,0))),INDEX(코드표!$K$2:$K$101,MATCH(LEFT(TRIM(F96&amp;""),FIND(" ",TRIM(F96&amp;""))-1),코드표!$J$2:$J$101,0))&amp;" "&amp;INDEX(코드표!$G$2:$G$101,MATCH(TRIM(RIGHT(SUBSTITUTE(TRIM(F96&amp;"")," ",REPT(" ",60)),60)),코드표!$F$2:$F$101,0)),"⚠"&amp;TRIM(F96&amp;""))),"⚠"&amp;TRIM(F96&amp;""))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",TRIM(G96&amp;""))-1),코드표!$J$2:$J$101,0)),ISNUMBER(MATCH(TRIM(RIGHT(SUBSTITUTE(TRIM(G96&amp;"")," ",REPT(" ",60)),60)),코드표!$F$2:$F$101,0))),INDEX(코드표!$K$2:$K$101,MATCH(LEFT(TRIM(G96&amp;""),FIND(" ",TRIM(G96&amp;""))-1),코드표!$J$2:$J$101,0))&amp;" "&amp;INDEX(코드표!$G$2:$G$101,MATCH(TRIM(RIGHT(SUBSTITUTE(TRIM(G96&amp;"")," ",REPT(" ",60)),60)),코드표!$F$2:$F$101,0)),"⚠"&amp;TRIM(G96&amp;""))),"⚠"&amp;TRIM(G96&amp;""))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",TRIM(H96&amp;""))-1),코드표!$J$2:$J$101,0)),ISNUMBER(MATCH(TRIM(RIGHT(SUBSTITUTE(TRIM(H96&amp;"")," ",REPT(" ",60)),60)),코드표!$F$2:$F$101,0))),INDEX(코드표!$K$2:$K$101,MATCH(LEFT(TRIM(H96&amp;""),FIND(" ",TRIM(H96&amp;""))-1),코드표!$J$2:$J$101,0))&amp;" "&amp;INDEX(코드표!$G$2:$G$101,MATCH(TRIM(RIGHT(SUBSTITUTE(TRIM(H96&amp;"")," ",REPT(" ",60)),60)),코드표!$F$2:$F$101,0)),"⚠"&amp;TRIM(H96&amp;""))),"⚠"&amp;TRIM(H96&amp;""))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",TRIM(I96&amp;""))-1),코드표!$J$2:$J$101,0)),ISNUMBER(MATCH(TRIM(RIGHT(SUBSTITUTE(TRIM(I96&amp;"")," ",REPT(" ",60)),60)),코드표!$F$2:$F$101,0))),INDEX(코드표!$K$2:$K$101,MATCH(LEFT(TRIM(I96&amp;""),FIND(" ",TRIM(I96&amp;""))-1),코드표!$J$2:$J$101,0))&amp;" "&amp;INDEX(코드표!$G$2:$G$101,MATCH(TRIM(RIGHT(SUBSTITUTE(TRIM(I96&amp;"")," ",REPT(" ",60)),60)),코드표!$F$2:$F$101,0)),"⚠"&amp;TRIM(I96&amp;""))),"⚠"&amp;TRIM(I96&amp;""))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",TRIM(J96&amp;""))-1),코드표!$J$2:$J$101,0)),ISNUMBER(MATCH(TRIM(RIGHT(SUBSTITUTE(TRIM(J96&amp;"")," ",REPT(" ",60)),60)),코드표!$F$2:$F$101,0))),INDEX(코드표!$K$2:$K$101,MATCH(LEFT(TRIM(J96&amp;""),FIND(" ",TRIM(J96&amp;""))-1),코드표!$J$2:$J$101,0))&amp;" "&amp;INDEX(코드표!$G$2:$G$101,MATCH(TRIM(RIGHT(SUBSTITUTE(TRIM(J96&amp;"")," ",REPT(" ",60)),60)),코드표!$F$2:$F$101,0)),"⚠"&amp;TRIM(J96&amp;""))),"⚠"&amp;TRIM(J96&amp;""))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",TRIM(E97&amp;""))-1),코드표!$J$2:$J$101,0)),ISNUMBER(MATCH(TRIM(RIGHT(SUBSTITUTE(TRIM(E97&amp;"")," ",REPT(" ",60)),60)),코드표!$F$2:$F$101,0))),INDEX(코드표!$K$2:$K$101,MATCH(LEFT(TRIM(E97&amp;""),FIND(" ",TRIM(E97&amp;""))-1),코드표!$J$2:$J$101,0))&amp;" "&amp;INDEX(코드표!$G$2:$G$101,MATCH(TRIM(RIGHT(SUBSTITUTE(TRIM(E97&amp;"")," ",REPT(" ",60)),60)),코드표!$F$2:$F$101,0)),"⚠"&amp;TRIM(E97&amp;""))),"⚠"&amp;TRIM(E97&amp;""))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",TRIM(F97&amp;""))-1),코드표!$J$2:$J$101,0)),ISNUMBER(MATCH(TRIM(RIGHT(SUBSTITUTE(TRIM(F97&amp;"")," ",REPT(" ",60)),60)),코드표!$F$2:$F$101,0))),INDEX(코드표!$K$2:$K$101,MATCH(LEFT(TRIM(F97&amp;""),FIND(" ",TRIM(F97&amp;""))-1),코드표!$J$2:$J$101,0))&amp;" "&amp;INDEX(코드표!$G$2:$G$101,MATCH(TRIM(RIGHT(SUBSTITUTE(TRIM(F97&amp;"")," ",REPT(" ",60)),60)),코드표!$F$2:$F$101,0)),"⚠"&amp;TRIM(F97&amp;""))),"⚠"&amp;TRIM(F97&amp;""))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",TRIM(G97&amp;""))-1),코드표!$J$2:$J$101,0)),ISNUMBER(MATCH(TRIM(RIGHT(SUBSTITUTE(TRIM(G97&amp;"")," ",REPT(" ",60)),60)),코드표!$F$2:$F$101,0))),INDEX(코드표!$K$2:$K$101,MATCH(LEFT(TRIM(G97&amp;""),FIND(" ",TRIM(G97&amp;""))-1),코드표!$J$2:$J$101,0))&amp;" "&amp;INDEX(코드표!$G$2:$G$101,MATCH(TRIM(RIGHT(SUBSTITUTE(TRIM(G97&amp;"")," ",REPT(" ",60)),60)),코드표!$F$2:$F$101,0)),"⚠"&amp;TRIM(G97&amp;""))),"⚠"&amp;TRIM(G97&amp;""))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",TRIM(H97&amp;""))-1),코드표!$J$2:$J$101,0)),ISNUMBER(MATCH(TRIM(RIGHT(SUBSTITUTE(TRIM(H97&amp;"")," ",REPT(" ",60)),60)),코드표!$F$2:$F$101,0))),INDEX(코드표!$K$2:$K$101,MATCH(LEFT(TRIM(H97&amp;""),FIND(" ",TRIM(H97&amp;""))-1),코드표!$J$2:$J$101,0))&amp;" "&amp;INDEX(코드표!$G$2:$G$101,MATCH(TRIM(RIGHT(SUBSTITUTE(TRIM(H97&amp;"")," ",REPT(" ",60)),60)),코드표!$F$2:$F$101,0)),"⚠"&amp;TRIM(H97&amp;""))),"⚠"&amp;TRIM(H97&amp;""))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",TRIM(I97&amp;""))-1),코드표!$J$2:$J$101,0)),ISNUMBER(MATCH(TRIM(RIGHT(SUBSTITUTE(TRIM(I97&amp;"")," ",REPT(" ",60)),60)),코드표!$F$2:$F$101,0))),INDEX(코드표!$K$2:$K$101,MATCH(LEFT(TRIM(I97&amp;""),FIND(" ",TRIM(I97&amp;""))-1),코드표!$J$2:$J$101,0))&amp;" "&amp;INDEX(코드표!$G$2:$G$101,MATCH(TRIM(RIGHT(SUBSTITUTE(TRIM(I97&amp;"")," ",REPT(" ",60)),60)),코드표!$F$2:$F$101,0)),"⚠"&amp;TRIM(I97&amp;""))),"⚠"&amp;TRIM(I97&amp;""))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",TRIM(J97&amp;""))-1),코드표!$J$2:$J$101,0)),ISNUMBER(MATCH(TRIM(RIGHT(SUBSTITUTE(TRIM(J97&amp;"")," ",REPT(" ",60)),60)),코드표!$F$2:$F$101,0))),INDEX(코드표!$K$2:$K$101,MATCH(LEFT(TRIM(J97&amp;""),FIND(" ",TRIM(J97&amp;""))-1),코드표!$J$2:$J$101,0))&amp;" "&amp;INDEX(코드표!$G$2:$G$101,MATCH(TRIM(RIGHT(SUBSTITUTE(TRIM(J97&amp;"")," ",REPT(" ",60)),60)),코드표!$F$2:$F$101,0)),"⚠"&amp;TRIM(J97&amp;""))),"⚠"&amp;TRIM(J97&amp;""))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",TRIM(E98&amp;""))-1),코드표!$J$2:$J$101,0)),ISNUMBER(MATCH(TRIM(RIGHT(SUBSTITUTE(TRIM(E98&amp;"")," ",REPT(" ",60)),60)),코드표!$F$2:$F$101,0))),INDEX(코드표!$K$2:$K$101,MATCH(LEFT(TRIM(E98&amp;""),FIND(" ",TRIM(E98&amp;""))-1),코드표!$J$2:$J$101,0))&amp;" "&amp;INDEX(코드표!$G$2:$G$101,MATCH(TRIM(RIGHT(SUBSTITUTE(TRIM(E98&amp;"")," ",REPT(" ",60)),60)),코드표!$F$2:$F$101,0)),"⚠"&amp;TRIM(E98&amp;""))),"⚠"&amp;TRIM(E98&amp;""))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",TRIM(F98&amp;""))-1),코드표!$J$2:$J$101,0)),ISNUMBER(MATCH(TRIM(RIGHT(SUBSTITUTE(TRIM(F98&amp;"")," ",REPT(" ",60)),60)),코드표!$F$2:$F$101,0))),INDEX(코드표!$K$2:$K$101,MATCH(LEFT(TRIM(F98&amp;""),FIND(" ",TRIM(F98&amp;""))-1),코드표!$J$2:$J$101,0))&amp;" "&amp;INDEX(코드표!$G$2:$G$101,MATCH(TRIM(RIGHT(SUBSTITUTE(TRIM(F98&amp;"")," ",REPT(" ",60)),60)),코드표!$F$2:$F$101,0)),"⚠"&amp;TRIM(F98&amp;""))),"⚠"&amp;TRIM(F98&amp;""))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",TRIM(G98&amp;""))-1),코드표!$J$2:$J$101,0)),ISNUMBER(MATCH(TRIM(RIGHT(SUBSTITUTE(TRIM(G98&amp;"")," ",REPT(" ",60)),60)),코드표!$F$2:$F$101,0))),INDEX(코드표!$K$2:$K$101,MATCH(LEFT(TRIM(G98&amp;""),FIND(" ",TRIM(G98&amp;""))-1),코드표!$J$2:$J$101,0))&amp;" "&amp;INDEX(코드표!$G$2:$G$101,MATCH(TRIM(RIGHT(SUBSTITUTE(TRIM(G98&amp;"")," ",REPT(" ",60)),60)),코드표!$F$2:$F$101,0)),"⚠"&amp;TRIM(G98&amp;""))),"⚠"&amp;TRIM(G98&amp;""))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",TRIM(H98&amp;""))-1),코드표!$J$2:$J$101,0)),ISNUMBER(MATCH(TRIM(RIGHT(SUBSTITUTE(TRIM(H98&amp;"")," ",REPT(" ",60)),60)),코드표!$F$2:$F$101,0))),INDEX(코드표!$K$2:$K$101,MATCH(LEFT(TRIM(H98&amp;""),FIND(" ",TRIM(H98&amp;""))-1),코드표!$J$2:$J$101,0))&amp;" "&amp;INDEX(코드표!$G$2:$G$101,MATCH(TRIM(RIGHT(SUBSTITUTE(TRIM(H98&amp;"")," ",REPT(" ",60)),60)),코드표!$F$2:$F$101,0)),"⚠"&amp;TRIM(H98&amp;""))),"⚠"&amp;TRIM(H98&amp;""))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",TRIM(I98&amp;""))-1),코드표!$J$2:$J$101,0)),ISNUMBER(MATCH(TRIM(RIGHT(SUBSTITUTE(TRIM(I98&amp;"")," ",REPT(" ",60)),60)),코드표!$F$2:$F$101,0))),INDEX(코드표!$K$2:$K$101,MATCH(LEFT(TRIM(I98&amp;""),FIND(" ",TRIM(I98&amp;""))-1),코드표!$J$2:$J$101,0))&amp;" "&amp;INDEX(코드표!$G$2:$G$101,MATCH(TRIM(RIGHT(SUBSTITUTE(TRIM(I98&amp;"")," ",REPT(" ",60)),60)),코드표!$F$2:$F$101,0)),"⚠"&amp;TRIM(I98&amp;""))),"⚠"&amp;TRIM(I98&amp;""))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",TRIM(J98&amp;""))-1),코드표!$J$2:$J$101,0)),ISNUMBER(MATCH(TRIM(RIGHT(SUBSTITUTE(TRIM(J98&amp;"")," ",REPT(" ",60)),60)),코드표!$F$2:$F$101,0))),INDEX(코드표!$K$2:$K$101,MATCH(LEFT(TRIM(J98&amp;""),FIND(" ",TRIM(J98&amp;""))-1),코드표!$J$2:$J$101,0))&amp;" "&amp;INDEX(코드표!$G$2:$G$101,MATCH(TRIM(RIGHT(SUBSTITUTE(TRIM(J98&amp;"")," ",REPT(" ",60)),60)),코드표!$F$2:$F$101,0)),"⚠"&amp;TRIM(J98&amp;""))),"⚠"&amp;TRIM(J98&amp;""))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",TRIM(E99&amp;""))-1),코드표!$J$2:$J$101,0)),ISNUMBER(MATCH(TRIM(RIGHT(SUBSTITUTE(TRIM(E99&amp;"")," ",REPT(" ",60)),60)),코드표!$F$2:$F$101,0))),INDEX(코드표!$K$2:$K$101,MATCH(LEFT(TRIM(E99&amp;""),FIND(" ",TRIM(E99&amp;""))-1),코드표!$J$2:$J$101,0))&amp;" "&amp;INDEX(코드표!$G$2:$G$101,MATCH(TRIM(RIGHT(SUBSTITUTE(TRIM(E99&amp;"")," ",REPT(" ",60)),60)),코드표!$F$2:$F$101,0)),"⚠"&amp;TRIM(E99&amp;""))),"⚠"&amp;TRIM(E99&amp;""))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",TRIM(F99&amp;""))-1),코드표!$J$2:$J$101,0)),ISNUMBER(MATCH(TRIM(RIGHT(SUBSTITUTE(TRIM(F99&amp;"")," ",REPT(" ",60)),60)),코드표!$F$2:$F$101,0))),INDEX(코드표!$K$2:$K$101,MATCH(LEFT(TRIM(F99&amp;""),FIND(" ",TRIM(F99&amp;""))-1),코드표!$J$2:$J$101,0))&amp;" "&amp;INDEX(코드표!$G$2:$G$101,MATCH(TRIM(RIGHT(SUBSTITUTE(TRIM(F99&amp;"")," ",REPT(" ",60)),60)),코드표!$F$2:$F$101,0)),"⚠"&amp;TRIM(F99&amp;""))),"⚠"&amp;TRIM(F99&amp;""))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",TRIM(G99&amp;""))-1),코드표!$J$2:$J$101,0)),ISNUMBER(MATCH(TRIM(RIGHT(SUBSTITUTE(TRIM(G99&amp;"")," ",REPT(" ",60)),60)),코드표!$F$2:$F$101,0))),INDEX(코드표!$K$2:$K$101,MATCH(LEFT(TRIM(G99&amp;""),FIND(" ",TRIM(G99&amp;""))-1),코드표!$J$2:$J$101,0))&amp;" "&amp;INDEX(코드표!$G$2:$G$101,MATCH(TRIM(RIGHT(SUBSTITUTE(TRIM(G99&amp;"")," ",REPT(" ",60)),60)),코드표!$F$2:$F$101,0)),"⚠"&amp;TRIM(G99&amp;""))),"⚠"&amp;TRIM(G99&amp;""))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",TRIM(H99&amp;""))-1),코드표!$J$2:$J$101,0)),ISNUMBER(MATCH(TRIM(RIGHT(SUBSTITUTE(TRIM(H99&amp;"")," ",REPT(" ",60)),60)),코드표!$F$2:$F$101,0))),INDEX(코드표!$K$2:$K$101,MATCH(LEFT(TRIM(H99&amp;""),FIND(" ",TRIM(H99&amp;""))-1),코드표!$J$2:$J$101,0))&amp;" "&amp;INDEX(코드표!$G$2:$G$101,MATCH(TRIM(RIGHT(SUBSTITUTE(TRIM(H99&amp;"")," ",REPT(" ",60)),60)),코드표!$F$2:$F$101,0)),"⚠"&amp;TRIM(H99&amp;""))),"⚠"&amp;TRIM(H99&amp;""))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",TRIM(I99&amp;""))-1),코드표!$J$2:$J$101,0)),ISNUMBER(MATCH(TRIM(RIGHT(SUBSTITUTE(TRIM(I99&amp;"")," ",REPT(" ",60)),60)),코드표!$F$2:$F$101,0))),INDEX(코드표!$K$2:$K$101,MATCH(LEFT(TRIM(I99&amp;""),FIND(" ",TRIM(I99&amp;""))-1),코드표!$J$2:$J$101,0))&amp;" "&amp;INDEX(코드표!$G$2:$G$101,MATCH(TRIM(RIGHT(SUBSTITUTE(TRIM(I99&amp;"")," ",REPT(" ",60)),60)),코드표!$F$2:$F$101,0)),"⚠"&amp;TRIM(I99&amp;""))),"⚠"&amp;TRIM(I99&amp;""))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",TRIM(J99&amp;""))-1),코드표!$J$2:$J$101,0)),ISNUMBER(MATCH(TRIM(RIGHT(SUBSTITUTE(TRIM(J99&amp;"")," ",REPT(" ",60)),60)),코드표!$F$2:$F$101,0))),INDEX(코드표!$K$2:$K$101,MATCH(LEFT(TRIM(J99&amp;""),FIND(" ",TRIM(J99&amp;""))-1),코드표!$J$2:$J$101,0))&amp;" "&amp;INDEX(코드표!$G$2:$G$101,MATCH(TRIM(RIGHT(SUBSTITUTE(TRIM(J99&amp;"")," ",REPT(" ",60)),60)),코드표!$F$2:$F$101,0)),"⚠"&amp;TRIM(J99&amp;""))),"⚠"&amp;TRIM(J99&amp;""))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",TRIM(E100&amp;""))-1),코드표!$J$2:$J$101,0)),ISNUMBER(MATCH(TRIM(RIGHT(SUBSTITUTE(TRIM(E100&amp;"")," ",REPT(" ",60)),60)),코드표!$F$2:$F$101,0))),INDEX(코드표!$K$2:$K$101,MATCH(LEFT(TRIM(E100&amp;""),FIND(" ",TRIM(E100&amp;""))-1),코드표!$J$2:$J$101,0))&amp;" "&amp;INDEX(코드표!$G$2:$G$101,MATCH(TRIM(RIGHT(SUBSTITUTE(TRIM(E100&amp;"")," ",REPT(" ",60)),60)),코드표!$F$2:$F$101,0)),"⚠"&amp;TRIM(E100&amp;""))),"⚠"&amp;TRIM(E100&amp;""))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",TRIM(F100&amp;""))-1),코드표!$J$2:$J$101,0)),ISNUMBER(MATCH(TRIM(RIGHT(SUBSTITUTE(TRIM(F100&amp;"")," ",REPT(" ",60)),60)),코드표!$F$2:$F$101,0))),INDEX(코드표!$K$2:$K$101,MATCH(LEFT(TRIM(F100&amp;""),FIND(" ",TRIM(F100&amp;""))-1),코드표!$J$2:$J$101,0))&amp;" "&amp;INDEX(코드표!$G$2:$G$101,MATCH(TRIM(RIGHT(SUBSTITUTE(TRIM(F100&amp;"")," ",REPT(" ",60)),60)),코드표!$F$2:$F$101,0)),"⚠"&amp;TRIM(F100&amp;""))),"⚠"&amp;TRIM(F100&amp;""))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",TRIM(G100&amp;""))-1),코드표!$J$2:$J$101,0)),ISNUMBER(MATCH(TRIM(RIGHT(SUBSTITUTE(TRIM(G100&amp;"")," ",REPT(" ",60)),60)),코드표!$F$2:$F$101,0))),INDEX(코드표!$K$2:$K$101,MATCH(LEFT(TRIM(G100&amp;""),FIND(" ",TRIM(G100&amp;""))-1),코드표!$J$2:$J$101,0))&amp;" "&amp;INDEX(코드표!$G$2:$G$101,MATCH(TRIM(RIGHT(SUBSTITUTE(TRIM(G100&amp;"")," ",REPT(" ",60)),60)),코드표!$F$2:$F$101,0)),"⚠"&amp;TRIM(G100&amp;""))),"⚠"&amp;TRIM(G100&amp;""))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",TRIM(H100&amp;""))-1),코드표!$J$2:$J$101,0)),ISNUMBER(MATCH(TRIM(RIGHT(SUBSTITUTE(TRIM(H100&amp;"")," ",REPT(" ",60)),60)),코드표!$F$2:$F$101,0))),INDEX(코드표!$K$2:$K$101,MATCH(LEFT(TRIM(H100&amp;""),FIND(" ",TRIM(H100&amp;""))-1),코드표!$J$2:$J$101,0))&amp;" "&amp;INDEX(코드표!$G$2:$G$101,MATCH(TRIM(RIGHT(SUBSTITUTE(TRIM(H100&amp;"")," ",REPT(" ",60)),60)),코드표!$F$2:$F$101,0)),"⚠"&amp;TRIM(H100&amp;""))),"⚠"&amp;TRIM(H100&amp;""))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",TRIM(I100&amp;""))-1),코드표!$J$2:$J$101,0)),ISNUMBER(MATCH(TRIM(RIGHT(SUBSTITUTE(TRIM(I100&amp;"")," ",REPT(" ",60)),60)),코드표!$F$2:$F$101,0))),INDEX(코드표!$K$2:$K$101,MATCH(LEFT(TRIM(I100&amp;""),FIND(" ",TRIM(I100&amp;""))-1),코드표!$J$2:$J$101,0))&amp;" "&amp;INDEX(코드표!$G$2:$G$101,MATCH(TRIM(RIGHT(SUBSTITUTE(TRIM(I100&amp;"")," ",REPT(" ",60)),60)),코드표!$F$2:$F$101,0)),"⚠"&amp;TRIM(I100&amp;""))),"⚠"&amp;TRIM(I100&amp;""))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",TRIM(J100&amp;""))-1),코드표!$J$2:$J$101,0)),ISNUMBER(MATCH(TRIM(RIGHT(SUBSTITUTE(TRIM(J100&amp;"")," ",REPT(" ",60)),60)),코드표!$F$2:$F$101,0))),INDEX(코드표!$K$2:$K$101,MATCH(LEFT(TRIM(J100&amp;""),FIND(" ",TRIM(J100&amp;""))-1),코드표!$J$2:$J$101,0))&amp;" "&amp;INDEX(코드표!$G$2:$G$101,MATCH(TRIM(RIGHT(SUBSTITUTE(TRIM(J100&amp;"")," ",REPT(" ",60)),60)),코드표!$F$2:$F$101,0)),"⚠"&amp;TRIM(J100&amp;""))),"⚠"&amp;TRIM(J100&amp;""))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",TRIM(E101&amp;""))-1),코드표!$J$2:$J$101,0)),ISNUMBER(MATCH(TRIM(RIGHT(SUBSTITUTE(TRIM(E101&amp;"")," ",REPT(" ",60)),60)),코드표!$F$2:$F$101,0))),INDEX(코드표!$K$2:$K$101,MATCH(LEFT(TRIM(E101&amp;""),FIND(" ",TRIM(E101&amp;""))-1),코드표!$J$2:$J$101,0))&amp;" "&amp;INDEX(코드표!$G$2:$G$101,MATCH(TRIM(RIGHT(SUBSTITUTE(TRIM(E101&amp;"")," ",REPT(" ",60)),60)),코드표!$F$2:$F$101,0)),"⚠"&amp;TRIM(E101&amp;""))),"⚠"&amp;TRIM(E101&amp;""))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",TRIM(F101&amp;""))-1),코드표!$J$2:$J$101,0)),ISNUMBER(MATCH(TRIM(RIGHT(SUBSTITUTE(TRIM(F101&amp;"")," ",REPT(" ",60)),60)),코드표!$F$2:$F$101,0))),INDEX(코드표!$K$2:$K$101,MATCH(LEFT(TRIM(F101&amp;""),FIND(" ",TRIM(F101&amp;""))-1),코드표!$J$2:$J$101,0))&amp;" "&amp;INDEX(코드표!$G$2:$G$101,MATCH(TRIM(RIGHT(SUBSTITUTE(TRIM(F101&amp;"")," ",REPT(" ",60)),60)),코드표!$F$2:$F$101,0)),"⚠"&amp;TRIM(F101&amp;""))),"⚠"&amp;TRIM(F101&amp;""))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",TRIM(G101&amp;""))-1),코드표!$J$2:$J$101,0)),ISNUMBER(MATCH(TRIM(RIGHT(SUBSTITUTE(TRIM(G101&amp;"")," ",REPT(" ",60)),60)),코드표!$F$2:$F$101,0))),INDEX(코드표!$K$2:$K$101,MATCH(LEFT(TRIM(G101&amp;""),FIND(" ",TRIM(G101&amp;""))-1),코드표!$J$2:$J$101,0))&amp;" "&amp;INDEX(코드표!$G$2:$G$101,MATCH(TRIM(RIGHT(SUBSTITUTE(TRIM(G101&amp;"")," ",REPT(" ",60)),60)),코드표!$F$2:$F$101,0)),"⚠"&amp;TRIM(G101&amp;""))),"⚠"&amp;TRIM(G101&amp;""))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",TRIM(H101&amp;""))-1),코드표!$J$2:$J$101,0)),ISNUMBER(MATCH(TRIM(RIGHT(SUBSTITUTE(TRIM(H101&amp;"")," ",REPT(" ",60)),60)),코드표!$F$2:$F$101,0))),INDEX(코드표!$K$2:$K$101,MATCH(LEFT(TRIM(H101&amp;""),FIND(" ",TRIM(H101&amp;""))-1),코드표!$J$2:$J$101,0))&amp;" "&amp;INDEX(코드표!$G$2:$G$101,MATCH(TRIM(RIGHT(SUBSTITUTE(TRIM(H101&amp;"")," ",REPT(" ",60)),60)),코드표!$F$2:$F$101,0)),"⚠"&amp;TRIM(H101&amp;""))),"⚠"&amp;TRIM(H101&amp;""))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",TRIM(I101&amp;""))-1),코드표!$J$2:$J$101,0)),ISNUMBER(MATCH(TRIM(RIGHT(SUBSTITUTE(TRIM(I101&amp;"")," ",REPT(" ",60)),60)),코드표!$F$2:$F$101,0))),INDEX(코드표!$K$2:$K$101,MATCH(LEFT(TRIM(I101&amp;""),FIND(" ",TRIM(I101&amp;""))-1),코드표!$J$2:$J$101,0))&amp;" "&amp;INDEX(코드표!$G$2:$G$101,MATCH(TRIM(RIGHT(SUBSTITUTE(TRIM(I101&amp;"")," ",REPT(" ",60)),60)),코드표!$F$2:$F$101,0)),"⚠"&amp;TRIM(I101&amp;""))),"⚠"&amp;TRIM(I101&amp;""))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",TRIM(J101&amp;""))-1),코드표!$J$2:$J$101,0)),ISNUMBER(MATCH(TRIM(RIGHT(SUBSTITUTE(TRIM(J101&amp;"")," ",REPT(" ",60)),60)),코드표!$F$2:$F$101,0))),INDEX(코드표!$K$2:$K$101,MATCH(LEFT(TRIM(J101&amp;""),FIND(" ",TRIM(J101&amp;""))-1),코드표!$J$2:$J$101,0))&amp;" "&amp;INDEX(코드표!$G$2:$G$101,MATCH(TRIM(RIGHT(SUBSTITUTE(TRIM(J101&amp;"")," ",REPT(" ",60)),60)),코드표!$F$2:$F$101,0)),"⚠"&amp;TRIM(J101&amp;""))),"⚠"&amp;TRIM(J101&amp;""))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",TRIM(E102&amp;""))-1),코드표!$J$2:$J$101,0)),ISNUMBER(MATCH(TRIM(RIGHT(SUBSTITUTE(TRIM(E102&amp;"")," ",REPT(" ",60)),60)),코드표!$F$2:$F$101,0))),INDEX(코드표!$K$2:$K$101,MATCH(LEFT(TRIM(E102&amp;""),FIND(" ",TRIM(E102&amp;""))-1),코드표!$J$2:$J$101,0))&amp;" "&amp;INDEX(코드표!$G$2:$G$101,MATCH(TRIM(RIGHT(SUBSTITUTE(TRIM(E102&amp;"")," ",REPT(" ",60)),60)),코드표!$F$2:$F$101,0)),"⚠"&amp;TRIM(E102&amp;""))),"⚠"&amp;TRIM(E102&amp;""))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",TRIM(F102&amp;""))-1),코드표!$J$2:$J$101,0)),ISNUMBER(MATCH(TRIM(RIGHT(SUBSTITUTE(TRIM(F102&amp;"")," ",REPT(" ",60)),60)),코드표!$F$2:$F$101,0))),INDEX(코드표!$K$2:$K$101,MATCH(LEFT(TRIM(F102&amp;""),FIND(" ",TRIM(F102&amp;""))-1),코드표!$J$2:$J$101,0))&amp;" "&amp;INDEX(코드표!$G$2:$G$101,MATCH(TRIM(RIGHT(SUBSTITUTE(TRIM(F102&amp;"")," ",REPT(" ",60)),60)),코드표!$F$2:$F$101,0)),"⚠"&amp;TRIM(F102&amp;""))),"⚠"&amp;TRIM(F102&amp;""))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",TRIM(G102&amp;""))-1),코드표!$J$2:$J$101,0)),ISNUMBER(MATCH(TRIM(RIGHT(SUBSTITUTE(TRIM(G102&amp;"")," ",REPT(" ",60)),60)),코드표!$F$2:$F$101,0))),INDEX(코드표!$K$2:$K$101,MATCH(LEFT(TRIM(G102&amp;""),FIND(" ",TRIM(G102&amp;""))-1),코드표!$J$2:$J$101,0))&amp;" "&amp;INDEX(코드표!$G$2:$G$101,MATCH(TRIM(RIGHT(SUBSTITUTE(TRIM(G102&amp;"")," ",REPT(" ",60)),60)),코드표!$F$2:$F$101,0)),"⚠"&amp;TRIM(G102&amp;""))),"⚠"&amp;TRIM(G102&amp;""))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",TRIM(H102&amp;""))-1),코드표!$J$2:$J$101,0)),ISNUMBER(MATCH(TRIM(RIGHT(SUBSTITUTE(TRIM(H102&amp;"")," ",REPT(" ",60)),60)),코드표!$F$2:$F$101,0))),INDEX(코드표!$K$2:$K$101,MATCH(LEFT(TRIM(H102&amp;""),FIND(" ",TRIM(H102&amp;""))-1),코드표!$J$2:$J$101,0))&amp;" "&amp;INDEX(코드표!$G$2:$G$101,MATCH(TRIM(RIGHT(SUBSTITUTE(TRIM(H102&amp;"")," ",REPT(" ",60)),60)),코드표!$F$2:$F$101,0)),"⚠"&amp;TRIM(H102&amp;""))),"⚠"&amp;TRIM(H102&amp;""))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",TRIM(I102&amp;""))-1),코드표!$J$2:$J$101,0)),ISNUMBER(MATCH(TRIM(RIGHT(SUBSTITUTE(TRIM(I102&amp;"")," ",REPT(" ",60)),60)),코드표!$F$2:$F$101,0))),INDEX(코드표!$K$2:$K$101,MATCH(LEFT(TRIM(I102&amp;""),FIND(" ",TRIM(I102&amp;""))-1),코드표!$J$2:$J$101,0))&amp;" "&amp;INDEX(코드표!$G$2:$G$101,MATCH(TRIM(RIGHT(SUBSTITUTE(TRIM(I102&amp;"")," ",REPT(" ",60)),60)),코드표!$F$2:$F$101,0)),"⚠"&amp;TRIM(I102&amp;""))),"⚠"&amp;TRIM(I102&amp;""))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",TRIM(J102&amp;""))-1),코드표!$J$2:$J$101,0)),ISNUMBER(MATCH(TRIM(RIGHT(SUBSTITUTE(TRIM(J102&amp;"")," ",REPT(" ",60)),60)),코드표!$F$2:$F$101,0))),INDEX(코드표!$K$2:$K$101,MATCH(LEFT(TRIM(J102&amp;""),FIND(" ",TRIM(J102&amp;""))-1),코드표!$J$2:$J$101,0))&amp;" "&amp;INDEX(코드표!$G$2:$G$101,MATCH(TRIM(RIGHT(SUBSTITUTE(TRIM(J102&amp;"")," ",REPT(" ",60)),60)),코드표!$F$2:$F$101,0)),"⚠"&amp;TRIM(J102&amp;""))),"⚠"&amp;TRIM(J102&amp;""))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",TRIM(E103&amp;""))-1),코드표!$J$2:$J$101,0)),ISNUMBER(MATCH(TRIM(RIGHT(SUBSTITUTE(TRIM(E103&amp;"")," ",REPT(" ",60)),60)),코드표!$F$2:$F$101,0))),INDEX(코드표!$K$2:$K$101,MATCH(LEFT(TRIM(E103&amp;""),FIND(" ",TRIM(E103&amp;""))-1),코드표!$J$2:$J$101,0))&amp;" "&amp;INDEX(코드표!$G$2:$G$101,MATCH(TRIM(RIGHT(SUBSTITUTE(TRIM(E103&amp;"")," ",REPT(" ",60)),60)),코드표!$F$2:$F$101,0)),"⚠"&amp;TRIM(E103&amp;""))),"⚠"&amp;TRIM(E103&amp;""))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",TRIM(F103&amp;""))-1),코드표!$J$2:$J$101,0)),ISNUMBER(MATCH(TRIM(RIGHT(SUBSTITUTE(TRIM(F103&amp;"")," ",REPT(" ",60)),60)),코드표!$F$2:$F$101,0))),INDEX(코드표!$K$2:$K$101,MATCH(LEFT(TRIM(F103&amp;""),FIND(" ",TRIM(F103&amp;""))-1),코드표!$J$2:$J$101,0))&amp;" "&amp;INDEX(코드표!$G$2:$G$101,MATCH(TRIM(RIGHT(SUBSTITUTE(TRIM(F103&amp;"")," ",REPT(" ",60)),60)),코드표!$F$2:$F$101,0)),"⚠"&amp;TRIM(F103&amp;""))),"⚠"&amp;TRIM(F103&amp;""))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",TRIM(G103&amp;""))-1),코드표!$J$2:$J$101,0)),ISNUMBER(MATCH(TRIM(RIGHT(SUBSTITUTE(TRIM(G103&amp;"")," ",REPT(" ",60)),60)),코드표!$F$2:$F$101,0))),INDEX(코드표!$K$2:$K$101,MATCH(LEFT(TRIM(G103&amp;""),FIND(" ",TRIM(G103&amp;""))-1),코드표!$J$2:$J$101,0))&amp;" "&amp;INDEX(코드표!$G$2:$G$101,MATCH(TRIM(RIGHT(SUBSTITUTE(TRIM(G103&amp;"")," ",REPT(" ",60)),60)),코드표!$F$2:$F$101,0)),"⚠"&amp;TRIM(G103&amp;""))),"⚠"&amp;TRIM(G103&amp;""))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",TRIM(H103&amp;""))-1),코드표!$J$2:$J$101,0)),ISNUMBER(MATCH(TRIM(RIGHT(SUBSTITUTE(TRIM(H103&amp;"")," ",REPT(" ",60)),60)),코드표!$F$2:$F$101,0))),INDEX(코드표!$K$2:$K$101,MATCH(LEFT(TRIM(H103&amp;""),FIND(" ",TRIM(H103&amp;""))-1),코드표!$J$2:$J$101,0))&amp;" "&amp;INDEX(코드표!$G$2:$G$101,MATCH(TRIM(RIGHT(SUBSTITUTE(TRIM(H103&amp;"")," ",REPT(" ",60)),60)),코드표!$F$2:$F$101,0)),"⚠"&amp;TRIM(H103&amp;""))),"⚠"&amp;TRIM(H103&amp;""))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",TRIM(I103&amp;""))-1),코드표!$J$2:$J$101,0)),ISNUMBER(MATCH(TRIM(RIGHT(SUBSTITUTE(TRIM(I103&amp;"")," ",REPT(" ",60)),60)),코드표!$F$2:$F$101,0))),INDEX(코드표!$K$2:$K$101,MATCH(LEFT(TRIM(I103&amp;""),FIND(" ",TRIM(I103&amp;""))-1),코드표!$J$2:$J$101,0))&amp;" "&amp;INDEX(코드표!$G$2:$G$101,MATCH(TRIM(RIGHT(SUBSTITUTE(TRIM(I103&amp;"")," ",REPT(" ",60)),60)),코드표!$F$2:$F$101,0)),"⚠"&amp;TRIM(I103&amp;""))),"⚠"&amp;TRIM(I103&amp;""))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",TRIM(J103&amp;""))-1),코드표!$J$2:$J$101,0)),ISNUMBER(MATCH(TRIM(RIGHT(SUBSTITUTE(TRIM(J103&amp;"")," ",REPT(" ",60)),60)),코드표!$F$2:$F$101,0))),INDEX(코드표!$K$2:$K$101,MATCH(LEFT(TRIM(J103&amp;""),FIND(" ",TRIM(J103&amp;""))-1),코드표!$J$2:$J$101,0))&amp;" "&amp;INDEX(코드표!$G$2:$G$101,MATCH(TRIM(RIGHT(SUBSTITUTE(TRIM(J103&amp;"")," ",REPT(" ",60)),60)),코드표!$F$2:$F$101,0)),"⚠"&amp;TRIM(J103&amp;""))),"⚠"&amp;TRIM(J103&amp;""))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",TRIM(E104&amp;""))-1),코드표!$J$2:$J$101,0)),ISNUMBER(MATCH(TRIM(RIGHT(SUBSTITUTE(TRIM(E104&amp;"")," ",REPT(" ",60)),60)),코드표!$F$2:$F$101,0))),INDEX(코드표!$K$2:$K$101,MATCH(LEFT(TRIM(E104&amp;""),FIND(" ",TRIM(E104&amp;""))-1),코드표!$J$2:$J$101,0))&amp;" "&amp;INDEX(코드표!$G$2:$G$101,MATCH(TRIM(RIGHT(SUBSTITUTE(TRIM(E104&amp;"")," ",REPT(" ",60)),60)),코드표!$F$2:$F$101,0)),"⚠"&amp;TRIM(E104&amp;""))),"⚠"&amp;TRIM(E104&amp;""))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",TRIM(F104&amp;""))-1),코드표!$J$2:$J$101,0)),ISNUMBER(MATCH(TRIM(RIGHT(SUBSTITUTE(TRIM(F104&amp;"")," ",REPT(" ",60)),60)),코드표!$F$2:$F$101,0))),INDEX(코드표!$K$2:$K$101,MATCH(LEFT(TRIM(F104&amp;""),FIND(" ",TRIM(F104&amp;""))-1),코드표!$J$2:$J$101,0))&amp;" "&amp;INDEX(코드표!$G$2:$G$101,MATCH(TRIM(RIGHT(SUBSTITUTE(TRIM(F104&amp;"")," ",REPT(" ",60)),60)),코드표!$F$2:$F$101,0)),"⚠"&amp;TRIM(F104&amp;""))),"⚠"&amp;TRIM(F104&amp;""))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",TRIM(G104&amp;""))-1),코드표!$J$2:$J$101,0)),ISNUMBER(MATCH(TRIM(RIGHT(SUBSTITUTE(TRIM(G104&amp;"")," ",REPT(" ",60)),60)),코드표!$F$2:$F$101,0))),INDEX(코드표!$K$2:$K$101,MATCH(LEFT(TRIM(G104&amp;""),FIND(" ",TRIM(G104&amp;""))-1),코드표!$J$2:$J$101,0))&amp;" "&amp;INDEX(코드표!$G$2:$G$101,MATCH(TRIM(RIGHT(SUBSTITUTE(TRIM(G104&amp;"")," ",REPT(" ",60)),60)),코드표!$F$2:$F$101,0)),"⚠"&amp;TRIM(G104&amp;""))),"⚠"&amp;TRIM(G104&amp;""))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",TRIM(H104&amp;""))-1),코드표!$J$2:$J$101,0)),ISNUMBER(MATCH(TRIM(RIGHT(SUBSTITUTE(TRIM(H104&amp;"")," ",REPT(" ",60)),60)),코드표!$F$2:$F$101,0))),INDEX(코드표!$K$2:$K$101,MATCH(LEFT(TRIM(H104&amp;""),FIND(" ",TRIM(H104&amp;""))-1),코드표!$J$2:$J$101,0))&amp;" "&amp;INDEX(코드표!$G$2:$G$101,MATCH(TRIM(RIGHT(SUBSTITUTE(TRIM(H104&amp;"")," ",REPT(" ",60)),60)),코드표!$F$2:$F$101,0)),"⚠"&amp;TRIM(H104&amp;""))),"⚠"&amp;TRIM(H104&amp;""))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",TRIM(I104&amp;""))-1),코드표!$J$2:$J$101,0)),ISNUMBER(MATCH(TRIM(RIGHT(SUBSTITUTE(TRIM(I104&amp;"")," ",REPT(" ",60)),60)),코드표!$F$2:$F$101,0))),INDEX(코드표!$K$2:$K$101,MATCH(LEFT(TRIM(I104&amp;""),FIND(" ",TRIM(I104&amp;""))-1),코드표!$J$2:$J$101,0))&amp;" "&amp;INDEX(코드표!$G$2:$G$101,MATCH(TRIM(RIGHT(SUBSTITUTE(TRIM(I104&amp;"")," ",REPT(" ",60)),60)),코드표!$F$2:$F$101,0)),"⚠"&amp;TRIM(I104&amp;""))),"⚠"&amp;TRIM(I104&amp;""))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",TRIM(J104&amp;""))-1),코드표!$J$2:$J$101,0)),ISNUMBER(MATCH(TRIM(RIGHT(SUBSTITUTE(TRIM(J104&amp;"")," ",REPT(" ",60)),60)),코드표!$F$2:$F$101,0))),INDEX(코드표!$K$2:$K$101,MATCH(LEFT(TRIM(J104&amp;""),FIND(" ",TRIM(J104&amp;""))-1),코드표!$J$2:$J$101,0))&amp;" "&amp;INDEX(코드표!$G$2:$G$101,MATCH(TRIM(RIGHT(SUBSTITUTE(TRIM(J104&amp;"")," ",REPT(" ",60)),60)),코드표!$F$2:$F$101,0)),"⚠"&amp;TRIM(J104&amp;""))),"⚠"&amp;TRIM(J104&amp;""))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",TRIM(E105&amp;""))-1),코드표!$J$2:$J$101,0)),ISNUMBER(MATCH(TRIM(RIGHT(SUBSTITUTE(TRIM(E105&amp;"")," ",REPT(" ",60)),60)),코드표!$F$2:$F$101,0))),INDEX(코드표!$K$2:$K$101,MATCH(LEFT(TRIM(E105&amp;""),FIND(" ",TRIM(E105&amp;""))-1),코드표!$J$2:$J$101,0))&amp;" "&amp;INDEX(코드표!$G$2:$G$101,MATCH(TRIM(RIGHT(SUBSTITUTE(TRIM(E105&amp;"")," ",REPT(" ",60)),60)),코드표!$F$2:$F$101,0)),"⚠"&amp;TRIM(E105&amp;""))),"⚠"&amp;TRIM(E105&amp;""))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",TRIM(F105&amp;""))-1),코드표!$J$2:$J$101,0)),ISNUMBER(MATCH(TRIM(RIGHT(SUBSTITUTE(TRIM(F105&amp;"")," ",REPT(" ",60)),60)),코드표!$F$2:$F$101,0))),INDEX(코드표!$K$2:$K$101,MATCH(LEFT(TRIM(F105&amp;""),FIND(" ",TRIM(F105&amp;""))-1),코드표!$J$2:$J$101,0))&amp;" "&amp;INDEX(코드표!$G$2:$G$101,MATCH(TRIM(RIGHT(SUBSTITUTE(TRIM(F105&amp;"")," ",REPT(" ",60)),60)),코드표!$F$2:$F$101,0)),"⚠"&amp;TRIM(F105&amp;""))),"⚠"&amp;TRIM(F105&amp;""))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",TRIM(G105&amp;""))-1),코드표!$J$2:$J$101,0)),ISNUMBER(MATCH(TRIM(RIGHT(SUBSTITUTE(TRIM(G105&amp;"")," ",REPT(" ",60)),60)),코드표!$F$2:$F$101,0))),INDEX(코드표!$K$2:$K$101,MATCH(LEFT(TRIM(G105&amp;""),FIND(" ",TRIM(G105&amp;""))-1),코드표!$J$2:$J$101,0))&amp;" "&amp;INDEX(코드표!$G$2:$G$101,MATCH(TRIM(RIGHT(SUBSTITUTE(TRIM(G105&amp;"")," ",REPT(" ",60)),60)),코드표!$F$2:$F$101,0)),"⚠"&amp;TRIM(G105&amp;""))),"⚠"&amp;TRIM(G105&amp;""))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",TRIM(H105&amp;""))-1),코드표!$J$2:$J$101,0)),ISNUMBER(MATCH(TRIM(RIGHT(SUBSTITUTE(TRIM(H105&amp;"")," ",REPT(" ",60)),60)),코드표!$F$2:$F$101,0))),INDEX(코드표!$K$2:$K$101,MATCH(LEFT(TRIM(H105&amp;""),FIND(" ",TRIM(H105&amp;""))-1),코드표!$J$2:$J$101,0))&amp;" "&amp;INDEX(코드표!$G$2:$G$101,MATCH(TRIM(RIGHT(SUBSTITUTE(TRIM(H105&amp;"")," ",REPT(" ",60)),60)),코드표!$F$2:$F$101,0)),"⚠"&amp;TRIM(H105&amp;""))),"⚠"&amp;TRIM(H105&amp;""))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",TRIM(I105&amp;""))-1),코드표!$J$2:$J$101,0)),ISNUMBER(MATCH(TRIM(RIGHT(SUBSTITUTE(TRIM(I105&amp;"")," ",REPT(" ",60)),60)),코드표!$F$2:$F$101,0))),INDEX(코드표!$K$2:$K$101,MATCH(LEFT(TRIM(I105&amp;""),FIND(" ",TRIM(I105&amp;""))-1),코드표!$J$2:$J$101,0))&amp;" "&amp;INDEX(코드표!$G$2:$G$101,MATCH(TRIM(RIGHT(SUBSTITUTE(TRIM(I105&amp;"")," ",REPT(" ",60)),60)),코드표!$F$2:$F$101,0)),"⚠"&amp;TRIM(I105&amp;""))),"⚠"&amp;TRIM(I105&amp;""))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",TRIM(J105&amp;""))-1),코드표!$J$2:$J$101,0)),ISNUMBER(MATCH(TRIM(RIGHT(SUBSTITUTE(TRIM(J105&amp;"")," ",REPT(" ",60)),60)),코드표!$F$2:$F$101,0))),INDEX(코드표!$K$2:$K$101,MATCH(LEFT(TRIM(J105&amp;""),FIND(" ",TRIM(J105&amp;""))-1),코드표!$J$2:$J$101,0))&amp;" "&amp;INDEX(코드표!$G$2:$G$101,MATCH(TRIM(RIGHT(SUBSTITUTE(TRIM(J105&amp;"")," ",REPT(" ",60)),60)),코드표!$F$2:$F$101,0)),"⚠"&amp;TRIM(J105&amp;""))),"⚠"&amp;TRIM(J105&amp;""))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",TRIM(E106&amp;""))-1),코드표!$J$2:$J$101,0)),ISNUMBER(MATCH(TRIM(RIGHT(SUBSTITUTE(TRIM(E106&amp;"")," ",REPT(" ",60)),60)),코드표!$F$2:$F$101,0))),INDEX(코드표!$K$2:$K$101,MATCH(LEFT(TRIM(E106&amp;""),FIND(" ",TRIM(E106&amp;""))-1),코드표!$J$2:$J$101,0))&amp;" "&amp;INDEX(코드표!$G$2:$G$101,MATCH(TRIM(RIGHT(SUBSTITUTE(TRIM(E106&amp;"")," ",REPT(" ",60)),60)),코드표!$F$2:$F$101,0)),"⚠"&amp;TRIM(E106&amp;""))),"⚠"&amp;TRIM(E106&amp;""))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",TRIM(F106&amp;""))-1),코드표!$J$2:$J$101,0)),ISNUMBER(MATCH(TRIM(RIGHT(SUBSTITUTE(TRIM(F106&amp;"")," ",REPT(" ",60)),60)),코드표!$F$2:$F$101,0))),INDEX(코드표!$K$2:$K$101,MATCH(LEFT(TRIM(F106&amp;""),FIND(" ",TRIM(F106&amp;""))-1),코드표!$J$2:$J$101,0))&amp;" "&amp;INDEX(코드표!$G$2:$G$101,MATCH(TRIM(RIGHT(SUBSTITUTE(TRIM(F106&amp;"")," ",REPT(" ",60)),60)),코드표!$F$2:$F$101,0)),"⚠"&amp;TRIM(F106&amp;""))),"⚠"&amp;TRIM(F106&amp;""))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",TRIM(G106&amp;""))-1),코드표!$J$2:$J$101,0)),ISNUMBER(MATCH(TRIM(RIGHT(SUBSTITUTE(TRIM(G106&amp;"")," ",REPT(" ",60)),60)),코드표!$F$2:$F$101,0))),INDEX(코드표!$K$2:$K$101,MATCH(LEFT(TRIM(G106&amp;""),FIND(" ",TRIM(G106&amp;""))-1),코드표!$J$2:$J$101,0))&amp;" "&amp;INDEX(코드표!$G$2:$G$101,MATCH(TRIM(RIGHT(SUBSTITUTE(TRIM(G106&amp;"")," ",REPT(" ",60)),60)),코드표!$F$2:$F$101,0)),"⚠"&amp;TRIM(G106&amp;""))),"⚠"&amp;TRIM(G106&amp;""))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",TRIM(H106&amp;""))-1),코드표!$J$2:$J$101,0)),ISNUMBER(MATCH(TRIM(RIGHT(SUBSTITUTE(TRIM(H106&amp;"")," ",REPT(" ",60)),60)),코드표!$F$2:$F$101,0))),INDEX(코드표!$K$2:$K$101,MATCH(LEFT(TRIM(H106&amp;""),FIND(" ",TRIM(H106&amp;""))-1),코드표!$J$2:$J$101,0))&amp;" "&amp;INDEX(코드표!$G$2:$G$101,MATCH(TRIM(RIGHT(SUBSTITUTE(TRIM(H106&amp;"")," ",REPT(" ",60)),60)),코드표!$F$2:$F$101,0)),"⚠"&amp;TRIM(H106&amp;""))),"⚠"&amp;TRIM(H106&amp;""))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",TRIM(I106&amp;""))-1),코드표!$J$2:$J$101,0)),ISNUMBER(MATCH(TRIM(RIGHT(SUBSTITUTE(TRIM(I106&amp;"")," ",REPT(" ",60)),60)),코드표!$F$2:$F$101,0))),INDEX(코드표!$K$2:$K$101,MATCH(LEFT(TRIM(I106&amp;""),FIND(" ",TRIM(I106&amp;""))-1),코드표!$J$2:$J$101,0))&amp;" "&amp;INDEX(코드표!$G$2:$G$101,MATCH(TRIM(RIGHT(SUBSTITUTE(TRIM(I106&amp;"")," ",REPT(" ",60)),60)),코드표!$F$2:$F$101,0)),"⚠"&amp;TRIM(I106&amp;""))),"⚠"&amp;TRIM(I106&amp;""))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",TRIM(J106&amp;""))-1),코드표!$J$2:$J$101,0)),ISNUMBER(MATCH(TRIM(RIGHT(SUBSTITUTE(TRIM(J106&amp;"")," ",REPT(" ",60)),60)),코드표!$F$2:$F$101,0))),INDEX(코드표!$K$2:$K$101,MATCH(LEFT(TRIM(J106&amp;""),FIND(" ",TRIM(J106&amp;""))-1),코드표!$J$2:$J$101,0))&amp;" "&amp;INDEX(코드표!$G$2:$G$101,MATCH(TRIM(RIGHT(SUBSTITUTE(TRIM(J106&amp;"")," ",REPT(" ",60)),60)),코드표!$F$2:$F$101,0)),"⚠"&amp;TRIM(J106&amp;""))),"⚠"&amp;TRIM(J106&amp;""))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",TRIM(E107&amp;""))-1),코드표!$J$2:$J$101,0)),ISNUMBER(MATCH(TRIM(RIGHT(SUBSTITUTE(TRIM(E107&amp;"")," ",REPT(" ",60)),60)),코드표!$F$2:$F$101,0))),INDEX(코드표!$K$2:$K$101,MATCH(LEFT(TRIM(E107&amp;""),FIND(" ",TRIM(E107&amp;""))-1),코드표!$J$2:$J$101,0))&amp;" "&amp;INDEX(코드표!$G$2:$G$101,MATCH(TRIM(RIGHT(SUBSTITUTE(TRIM(E107&amp;"")," ",REPT(" ",60)),60)),코드표!$F$2:$F$101,0)),"⚠"&amp;TRIM(E107&amp;""))),"⚠"&amp;TRIM(E107&amp;""))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",TRIM(F107&amp;""))-1),코드표!$J$2:$J$101,0)),ISNUMBER(MATCH(TRIM(RIGHT(SUBSTITUTE(TRIM(F107&amp;"")," ",REPT(" ",60)),60)),코드표!$F$2:$F$101,0))),INDEX(코드표!$K$2:$K$101,MATCH(LEFT(TRIM(F107&amp;""),FIND(" ",TRIM(F107&amp;""))-1),코드표!$J$2:$J$101,0))&amp;" "&amp;INDEX(코드표!$G$2:$G$101,MATCH(TRIM(RIGHT(SUBSTITUTE(TRIM(F107&amp;"")," ",REPT(" ",60)),60)),코드표!$F$2:$F$101,0)),"⚠"&amp;TRIM(F107&amp;""))),"⚠"&amp;TRIM(F107&amp;""))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",TRIM(G107&amp;""))-1),코드표!$J$2:$J$101,0)),ISNUMBER(MATCH(TRIM(RIGHT(SUBSTITUTE(TRIM(G107&amp;"")," ",REPT(" ",60)),60)),코드표!$F$2:$F$101,0))),INDEX(코드표!$K$2:$K$101,MATCH(LEFT(TRIM(G107&amp;""),FIND(" ",TRIM(G107&amp;""))-1),코드표!$J$2:$J$101,0))&amp;" "&amp;INDEX(코드표!$G$2:$G$101,MATCH(TRIM(RIGHT(SUBSTITUTE(TRIM(G107&amp;"")," ",REPT(" ",60)),60)),코드표!$F$2:$F$101,0)),"⚠"&amp;TRIM(G107&amp;""))),"⚠"&amp;TRIM(G107&amp;""))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",TRIM(H107&amp;""))-1),코드표!$J$2:$J$101,0)),ISNUMBER(MATCH(TRIM(RIGHT(SUBSTITUTE(TRIM(H107&amp;"")," ",REPT(" ",60)),60)),코드표!$F$2:$F$101,0))),INDEX(코드표!$K$2:$K$101,MATCH(LEFT(TRIM(H107&amp;""),FIND(" ",TRIM(H107&amp;""))-1),코드표!$J$2:$J$101,0))&amp;" "&amp;INDEX(코드표!$G$2:$G$101,MATCH(TRIM(RIGHT(SUBSTITUTE(TRIM(H107&amp;"")," ",REPT(" ",60)),60)),코드표!$F$2:$F$101,0)),"⚠"&amp;TRIM(H107&amp;""))),"⚠"&amp;TRIM(H107&amp;""))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",TRIM(I107&amp;""))-1),코드표!$J$2:$J$101,0)),ISNUMBER(MATCH(TRIM(RIGHT(SUBSTITUTE(TRIM(I107&amp;"")," ",REPT(" ",60)),60)),코드표!$F$2:$F$101,0))),INDEX(코드표!$K$2:$K$101,MATCH(LEFT(TRIM(I107&amp;""),FIND(" ",TRIM(I107&amp;""))-1),코드표!$J$2:$J$101,0))&amp;" "&amp;INDEX(코드표!$G$2:$G$101,MATCH(TRIM(RIGHT(SUBSTITUTE(TRIM(I107&amp;"")," ",REPT(" ",60)),60)),코드표!$F$2:$F$101,0)),"⚠"&amp;TRIM(I107&amp;""))),"⚠"&amp;TRIM(I107&amp;""))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",TRIM(J107&amp;""))-1),코드표!$J$2:$J$101,0)),ISNUMBER(MATCH(TRIM(RIGHT(SUBSTITUTE(TRIM(J107&amp;"")," ",REPT(" ",60)),60)),코드표!$F$2:$F$101,0))),INDEX(코드표!$K$2:$K$101,MATCH(LEFT(TRIM(J107&amp;""),FIND(" ",TRIM(J107&amp;""))-1),코드표!$J$2:$J$101,0))&amp;" "&amp;INDEX(코드표!$G$2:$G$101,MATCH(TRIM(RIGHT(SUBSTITUTE(TRIM(J107&amp;"")," ",REPT(" ",60)),60)),코드표!$F$2:$F$101,0)),"⚠"&amp;TRIM(J107&amp;""))),"⚠"&amp;TRIM(J107&amp;""))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",TRIM(E108&amp;""))-1),코드표!$J$2:$J$101,0)),ISNUMBER(MATCH(TRIM(RIGHT(SUBSTITUTE(TRIM(E108&amp;"")," ",REPT(" ",60)),60)),코드표!$F$2:$F$101,0))),INDEX(코드표!$K$2:$K$101,MATCH(LEFT(TRIM(E108&amp;""),FIND(" ",TRIM(E108&amp;""))-1),코드표!$J$2:$J$101,0))&amp;" "&amp;INDEX(코드표!$G$2:$G$101,MATCH(TRIM(RIGHT(SUBSTITUTE(TRIM(E108&amp;"")," ",REPT(" ",60)),60)),코드표!$F$2:$F$101,0)),"⚠"&amp;TRIM(E108&amp;""))),"⚠"&amp;TRIM(E108&amp;""))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",TRIM(F108&amp;""))-1),코드표!$J$2:$J$101,0)),ISNUMBER(MATCH(TRIM(RIGHT(SUBSTITUTE(TRIM(F108&amp;"")," ",REPT(" ",60)),60)),코드표!$F$2:$F$101,0))),INDEX(코드표!$K$2:$K$101,MATCH(LEFT(TRIM(F108&amp;""),FIND(" ",TRIM(F108&amp;""))-1),코드표!$J$2:$J$101,0))&amp;" "&amp;INDEX(코드표!$G$2:$G$101,MATCH(TRIM(RIGHT(SUBSTITUTE(TRIM(F108&amp;"")," ",REPT(" ",60)),60)),코드표!$F$2:$F$101,0)),"⚠"&amp;TRIM(F108&amp;""))),"⚠"&amp;TRIM(F108&amp;""))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",TRIM(G108&amp;""))-1),코드표!$J$2:$J$101,0)),ISNUMBER(MATCH(TRIM(RIGHT(SUBSTITUTE(TRIM(G108&amp;"")," ",REPT(" ",60)),60)),코드표!$F$2:$F$101,0))),INDEX(코드표!$K$2:$K$101,MATCH(LEFT(TRIM(G108&amp;""),FIND(" ",TRIM(G108&amp;""))-1),코드표!$J$2:$J$101,0))&amp;" "&amp;INDEX(코드표!$G$2:$G$101,MATCH(TRIM(RIGHT(SUBSTITUTE(TRIM(G108&amp;"")," ",REPT(" ",60)),60)),코드표!$F$2:$F$101,0)),"⚠"&amp;TRIM(G108&amp;""))),"⚠"&amp;TRIM(G108&amp;""))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",TRIM(H108&amp;""))-1),코드표!$J$2:$J$101,0)),ISNUMBER(MATCH(TRIM(RIGHT(SUBSTITUTE(TRIM(H108&amp;"")," ",REPT(" ",60)),60)),코드표!$F$2:$F$101,0))),INDEX(코드표!$K$2:$K$101,MATCH(LEFT(TRIM(H108&amp;""),FIND(" ",TRIM(H108&amp;""))-1),코드표!$J$2:$J$101,0))&amp;" "&amp;INDEX(코드표!$G$2:$G$101,MATCH(TRIM(RIGHT(SUBSTITUTE(TRIM(H108&amp;"")," ",REPT(" ",60)),60)),코드표!$F$2:$F$101,0)),"⚠"&amp;TRIM(H108&amp;""))),"⚠"&amp;TRIM(H108&amp;""))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",TRIM(I108&amp;""))-1),코드표!$J$2:$J$101,0)),ISNUMBER(MATCH(TRIM(RIGHT(SUBSTITUTE(TRIM(I108&amp;"")," ",REPT(" ",60)),60)),코드표!$F$2:$F$101,0))),INDEX(코드표!$K$2:$K$101,MATCH(LEFT(TRIM(I108&amp;""),FIND(" ",TRIM(I108&amp;""))-1),코드표!$J$2:$J$101,0))&amp;" "&amp;INDEX(코드표!$G$2:$G$101,MATCH(TRIM(RIGHT(SUBSTITUTE(TRIM(I108&amp;"")," ",REPT(" ",60)),60)),코드표!$F$2:$F$101,0)),"⚠"&amp;TRIM(I108&amp;""))),"⚠"&amp;TRIM(I108&amp;""))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",TRIM(J108&amp;""))-1),코드표!$J$2:$J$101,0)),ISNUMBER(MATCH(TRIM(RIGHT(SUBSTITUTE(TRIM(J108&amp;"")," ",REPT(" ",60)),60)),코드표!$F$2:$F$101,0))),INDEX(코드표!$K$2:$K$101,MATCH(LEFT(TRIM(J108&amp;""),FIND(" ",TRIM(J108&amp;""))-1),코드표!$J$2:$J$101,0))&amp;" "&amp;INDEX(코드표!$G$2:$G$101,MATCH(TRIM(RIGHT(SUBSTITUTE(TRIM(J108&amp;"")," ",REPT(" ",60)),60)),코드표!$F$2:$F$101,0)),"⚠"&amp;TRIM(J108&amp;""))),"⚠"&amp;TRIM(J108&amp;""))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",TRIM(E109&amp;""))-1),코드표!$J$2:$J$101,0)),ISNUMBER(MATCH(TRIM(RIGHT(SUBSTITUTE(TRIM(E109&amp;"")," ",REPT(" ",60)),60)),코드표!$F$2:$F$101,0))),INDEX(코드표!$K$2:$K$101,MATCH(LEFT(TRIM(E109&amp;""),FIND(" ",TRIM(E109&amp;""))-1),코드표!$J$2:$J$101,0))&amp;" "&amp;INDEX(코드표!$G$2:$G$101,MATCH(TRIM(RIGHT(SUBSTITUTE(TRIM(E109&amp;"")," ",REPT(" ",60)),60)),코드표!$F$2:$F$101,0)),"⚠"&amp;TRIM(E109&amp;""))),"⚠"&amp;TRIM(E109&amp;""))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",TRIM(F109&amp;""))-1),코드표!$J$2:$J$101,0)),ISNUMBER(MATCH(TRIM(RIGHT(SUBSTITUTE(TRIM(F109&amp;"")," ",REPT(" ",60)),60)),코드표!$F$2:$F$101,0))),INDEX(코드표!$K$2:$K$101,MATCH(LEFT(TRIM(F109&amp;""),FIND(" ",TRIM(F109&amp;""))-1),코드표!$J$2:$J$101,0))&amp;" "&amp;INDEX(코드표!$G$2:$G$101,MATCH(TRIM(RIGHT(SUBSTITUTE(TRIM(F109&amp;"")," ",REPT(" ",60)),60)),코드표!$F$2:$F$101,0)),"⚠"&amp;TRIM(F109&amp;""))),"⚠"&amp;TRIM(F109&amp;""))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",TRIM(G109&amp;""))-1),코드표!$J$2:$J$101,0)),ISNUMBER(MATCH(TRIM(RIGHT(SUBSTITUTE(TRIM(G109&amp;"")," ",REPT(" ",60)),60)),코드표!$F$2:$F$101,0))),INDEX(코드표!$K$2:$K$101,MATCH(LEFT(TRIM(G109&amp;""),FIND(" ",TRIM(G109&amp;""))-1),코드표!$J$2:$J$101,0))&amp;" "&amp;INDEX(코드표!$G$2:$G$101,MATCH(TRIM(RIGHT(SUBSTITUTE(TRIM(G109&amp;"")," ",REPT(" ",60)),60)),코드표!$F$2:$F$101,0)),"⚠"&amp;TRIM(G109&amp;""))),"⚠"&amp;TRIM(G109&amp;""))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",TRIM(H109&amp;""))-1),코드표!$J$2:$J$101,0)),ISNUMBER(MATCH(TRIM(RIGHT(SUBSTITUTE(TRIM(H109&amp;"")," ",REPT(" ",60)),60)),코드표!$F$2:$F$101,0))),INDEX(코드표!$K$2:$K$101,MATCH(LEFT(TRIM(H109&amp;""),FIND(" ",TRIM(H109&amp;""))-1),코드표!$J$2:$J$101,0))&amp;" "&amp;INDEX(코드표!$G$2:$G$101,MATCH(TRIM(RIGHT(SUBSTITUTE(TRIM(H109&amp;"")," ",REPT(" ",60)),60)),코드표!$F$2:$F$101,0)),"⚠"&amp;TRIM(H109&amp;""))),"⚠"&amp;TRIM(H109&amp;""))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",TRIM(I109&amp;""))-1),코드표!$J$2:$J$101,0)),ISNUMBER(MATCH(TRIM(RIGHT(SUBSTITUTE(TRIM(I109&amp;"")," ",REPT(" ",60)),60)),코드표!$F$2:$F$101,0))),INDEX(코드표!$K$2:$K$101,MATCH(LEFT(TRIM(I109&amp;""),FIND(" ",TRIM(I109&amp;""))-1),코드표!$J$2:$J$101,0))&amp;" "&amp;INDEX(코드표!$G$2:$G$101,MATCH(TRIM(RIGHT(SUBSTITUTE(TRIM(I109&amp;"")," ",REPT(" ",60)),60)),코드표!$F$2:$F$101,0)),"⚠"&amp;TRIM(I109&amp;""))),"⚠"&amp;TRIM(I109&amp;""))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",TRIM(J109&amp;""))-1),코드표!$J$2:$J$101,0)),ISNUMBER(MATCH(TRIM(RIGHT(SUBSTITUTE(TRIM(J109&amp;"")," ",REPT(" ",60)),60)),코드표!$F$2:$F$101,0))),INDEX(코드표!$K$2:$K$101,MATCH(LEFT(TRIM(J109&amp;""),FIND(" ",TRIM(J109&amp;""))-1),코드표!$J$2:$J$101,0))&amp;" "&amp;INDEX(코드표!$G$2:$G$101,MATCH(TRIM(RIGHT(SUBSTITUTE(TRIM(J109&amp;"")," ",REPT(" ",60)),60)),코드표!$F$2:$F$101,0)),"⚠"&amp;TRIM(J109&amp;""))),"⚠"&amp;TRIM(J109&amp;""))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",TRIM(E110&amp;""))-1),코드표!$J$2:$J$101,0)),ISNUMBER(MATCH(TRIM(RIGHT(SUBSTITUTE(TRIM(E110&amp;"")," ",REPT(" ",60)),60)),코드표!$F$2:$F$101,0))),INDEX(코드표!$K$2:$K$101,MATCH(LEFT(TRIM(E110&amp;""),FIND(" ",TRIM(E110&amp;""))-1),코드표!$J$2:$J$101,0))&amp;" "&amp;INDEX(코드표!$G$2:$G$101,MATCH(TRIM(RIGHT(SUBSTITUTE(TRIM(E110&amp;"")," ",REPT(" ",60)),60)),코드표!$F$2:$F$101,0)),"⚠"&amp;TRIM(E110&amp;""))),"⚠"&amp;TRIM(E110&amp;""))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",TRIM(F110&amp;""))-1),코드표!$J$2:$J$101,0)),ISNUMBER(MATCH(TRIM(RIGHT(SUBSTITUTE(TRIM(F110&amp;"")," ",REPT(" ",60)),60)),코드표!$F$2:$F$101,0))),INDEX(코드표!$K$2:$K$101,MATCH(LEFT(TRIM(F110&amp;""),FIND(" ",TRIM(F110&amp;""))-1),코드표!$J$2:$J$101,0))&amp;" "&amp;INDEX(코드표!$G$2:$G$101,MATCH(TRIM(RIGHT(SUBSTITUTE(TRIM(F110&amp;"")," ",REPT(" ",60)),60)),코드표!$F$2:$F$101,0)),"⚠"&amp;TRIM(F110&amp;""))),"⚠"&amp;TRIM(F110&amp;""))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",TRIM(G110&amp;""))-1),코드표!$J$2:$J$101,0)),ISNUMBER(MATCH(TRIM(RIGHT(SUBSTITUTE(TRIM(G110&amp;"")," ",REPT(" ",60)),60)),코드표!$F$2:$F$101,0))),INDEX(코드표!$K$2:$K$101,MATCH(LEFT(TRIM(G110&amp;""),FIND(" ",TRIM(G110&amp;""))-1),코드표!$J$2:$J$101,0))&amp;" "&amp;INDEX(코드표!$G$2:$G$101,MATCH(TRIM(RIGHT(SUBSTITUTE(TRIM(G110&amp;"")," ",REPT(" ",60)),60)),코드표!$F$2:$F$101,0)),"⚠"&amp;TRIM(G110&amp;""))),"⚠"&amp;TRIM(G110&amp;""))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",TRIM(H110&amp;""))-1),코드표!$J$2:$J$101,0)),ISNUMBER(MATCH(TRIM(RIGHT(SUBSTITUTE(TRIM(H110&amp;"")," ",REPT(" ",60)),60)),코드표!$F$2:$F$101,0))),INDEX(코드표!$K$2:$K$101,MATCH(LEFT(TRIM(H110&amp;""),FIND(" ",TRIM(H110&amp;""))-1),코드표!$J$2:$J$101,0))&amp;" "&amp;INDEX(코드표!$G$2:$G$101,MATCH(TRIM(RIGHT(SUBSTITUTE(TRIM(H110&amp;"")," ",REPT(" ",60)),60)),코드표!$F$2:$F$101,0)),"⚠"&amp;TRIM(H110&amp;""))),"⚠"&amp;TRIM(H110&amp;""))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",TRIM(I110&amp;""))-1),코드표!$J$2:$J$101,0)),ISNUMBER(MATCH(TRIM(RIGHT(SUBSTITUTE(TRIM(I110&amp;"")," ",REPT(" ",60)),60)),코드표!$F$2:$F$101,0))),INDEX(코드표!$K$2:$K$101,MATCH(LEFT(TRIM(I110&amp;""),FIND(" ",TRIM(I110&amp;""))-1),코드표!$J$2:$J$101,0))&amp;" "&amp;INDEX(코드표!$G$2:$G$101,MATCH(TRIM(RIGHT(SUBSTITUTE(TRIM(I110&amp;"")," ",REPT(" ",60)),60)),코드표!$F$2:$F$101,0)),"⚠"&amp;TRIM(I110&amp;""))),"⚠"&amp;TRIM(I110&amp;""))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",TRIM(J110&amp;""))-1),코드표!$J$2:$J$101,0)),ISNUMBER(MATCH(TRIM(RIGHT(SUBSTITUTE(TRIM(J110&amp;"")," ",REPT(" ",60)),60)),코드표!$F$2:$F$101,0))),INDEX(코드표!$K$2:$K$101,MATCH(LEFT(TRIM(J110&amp;""),FIND(" ",TRIM(J110&amp;""))-1),코드표!$J$2:$J$101,0))&amp;" "&amp;INDEX(코드표!$G$2:$G$101,MATCH(TRIM(RIGHT(SUBSTITUTE(TRIM(J110&amp;"")," ",REPT(" ",60)),60)),코드표!$F$2:$F$101,0)),"⚠"&amp;TRIM(J110&amp;""))),"⚠"&amp;TRIM(J110&amp;""))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",TRIM(E111&amp;""))-1),코드표!$J$2:$J$101,0)),ISNUMBER(MATCH(TRIM(RIGHT(SUBSTITUTE(TRIM(E111&amp;"")," ",REPT(" ",60)),60)),코드표!$F$2:$F$101,0))),INDEX(코드표!$K$2:$K$101,MATCH(LEFT(TRIM(E111&amp;""),FIND(" ",TRIM(E111&amp;""))-1),코드표!$J$2:$J$101,0))&amp;" "&amp;INDEX(코드표!$G$2:$G$101,MATCH(TRIM(RIGHT(SUBSTITUTE(TRIM(E111&amp;"")," ",REPT(" ",60)),60)),코드표!$F$2:$F$101,0)),"⚠"&amp;TRIM(E111&amp;""))),"⚠"&amp;TRIM(E111&amp;""))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",TRIM(F111&amp;""))-1),코드표!$J$2:$J$101,0)),ISNUMBER(MATCH(TRIM(RIGHT(SUBSTITUTE(TRIM(F111&amp;"")," ",REPT(" ",60)),60)),코드표!$F$2:$F$101,0))),INDEX(코드표!$K$2:$K$101,MATCH(LEFT(TRIM(F111&amp;""),FIND(" ",TRIM(F111&amp;""))-1),코드표!$J$2:$J$101,0))&amp;" "&amp;INDEX(코드표!$G$2:$G$101,MATCH(TRIM(RIGHT(SUBSTITUTE(TRIM(F111&amp;"")," ",REPT(" ",60)),60)),코드표!$F$2:$F$101,0)),"⚠"&amp;TRIM(F111&amp;""))),"⚠"&amp;TRIM(F111&amp;""))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",TRIM(G111&amp;""))-1),코드표!$J$2:$J$101,0)),ISNUMBER(MATCH(TRIM(RIGHT(SUBSTITUTE(TRIM(G111&amp;"")," ",REPT(" ",60)),60)),코드표!$F$2:$F$101,0))),INDEX(코드표!$K$2:$K$101,MATCH(LEFT(TRIM(G111&amp;""),FIND(" ",TRIM(G111&amp;""))-1),코드표!$J$2:$J$101,0))&amp;" "&amp;INDEX(코드표!$G$2:$G$101,MATCH(TRIM(RIGHT(SUBSTITUTE(TRIM(G111&amp;"")," ",REPT(" ",60)),60)),코드표!$F$2:$F$101,0)),"⚠"&amp;TRIM(G111&amp;""))),"⚠"&amp;TRIM(G111&amp;""))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",TRIM(H111&amp;""))-1),코드표!$J$2:$J$101,0)),ISNUMBER(MATCH(TRIM(RIGHT(SUBSTITUTE(TRIM(H111&amp;"")," ",REPT(" ",60)),60)),코드표!$F$2:$F$101,0))),INDEX(코드표!$K$2:$K$101,MATCH(LEFT(TRIM(H111&amp;""),FIND(" ",TRIM(H111&amp;""))-1),코드표!$J$2:$J$101,0))&amp;" "&amp;INDEX(코드표!$G$2:$G$101,MATCH(TRIM(RIGHT(SUBSTITUTE(TRIM(H111&amp;"")," ",REPT(" ",60)),60)),코드표!$F$2:$F$101,0)),"⚠"&amp;TRIM(H111&amp;""))),"⚠"&amp;TRIM(H111&amp;""))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",TRIM(I111&amp;""))-1),코드표!$J$2:$J$101,0)),ISNUMBER(MATCH(TRIM(RIGHT(SUBSTITUTE(TRIM(I111&amp;"")," ",REPT(" ",60)),60)),코드표!$F$2:$F$101,0))),INDEX(코드표!$K$2:$K$101,MATCH(LEFT(TRIM(I111&amp;""),FIND(" ",TRIM(I111&amp;""))-1),코드표!$J$2:$J$101,0))&amp;" "&amp;INDEX(코드표!$G$2:$G$101,MATCH(TRIM(RIGHT(SUBSTITUTE(TRIM(I111&amp;"")," ",REPT(" ",60)),60)),코드표!$F$2:$F$101,0)),"⚠"&amp;TRIM(I111&amp;""))),"⚠"&amp;TRIM(I111&amp;""))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",TRIM(J111&amp;""))-1),코드표!$J$2:$J$101,0)),ISNUMBER(MATCH(TRIM(RIGHT(SUBSTITUTE(TRIM(J111&amp;"")," ",REPT(" ",60)),60)),코드표!$F$2:$F$101,0))),INDEX(코드표!$K$2:$K$101,MATCH(LEFT(TRIM(J111&amp;""),FIND(" ",TRIM(J111&amp;""))-1),코드표!$J$2:$J$101,0))&amp;" "&amp;INDEX(코드표!$G$2:$G$101,MATCH(TRIM(RIGHT(SUBSTITUTE(TRIM(J111&amp;"")," ",REPT(" ",60)),60)),코드표!$F$2:$F$101,0)),"⚠"&amp;TRIM(J111&amp;""))),"⚠"&amp;TRIM(J111&amp;""))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",TRIM(E112&amp;""))-1),코드표!$J$2:$J$101,0)),ISNUMBER(MATCH(TRIM(RIGHT(SUBSTITUTE(TRIM(E112&amp;"")," ",REPT(" ",60)),60)),코드표!$F$2:$F$101,0))),INDEX(코드표!$K$2:$K$101,MATCH(LEFT(TRIM(E112&amp;""),FIND(" ",TRIM(E112&amp;""))-1),코드표!$J$2:$J$101,0))&amp;" "&amp;INDEX(코드표!$G$2:$G$101,MATCH(TRIM(RIGHT(SUBSTITUTE(TRIM(E112&amp;"")," ",REPT(" ",60)),60)),코드표!$F$2:$F$101,0)),"⚠"&amp;TRIM(E112&amp;""))),"⚠"&amp;TRIM(E112&amp;""))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",TRIM(F112&amp;""))-1),코드표!$J$2:$J$101,0)),ISNUMBER(MATCH(TRIM(RIGHT(SUBSTITUTE(TRIM(F112&amp;"")," ",REPT(" ",60)),60)),코드표!$F$2:$F$101,0))),INDEX(코드표!$K$2:$K$101,MATCH(LEFT(TRIM(F112&amp;""),FIND(" ",TRIM(F112&amp;""))-1),코드표!$J$2:$J$101,0))&amp;" "&amp;INDEX(코드표!$G$2:$G$101,MATCH(TRIM(RIGHT(SUBSTITUTE(TRIM(F112&amp;"")," ",REPT(" ",60)),60)),코드표!$F$2:$F$101,0)),"⚠"&amp;TRIM(F112&amp;""))),"⚠"&amp;TRIM(F112&amp;""))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",TRIM(G112&amp;""))-1),코드표!$J$2:$J$101,0)),ISNUMBER(MATCH(TRIM(RIGHT(SUBSTITUTE(TRIM(G112&amp;"")," ",REPT(" ",60)),60)),코드표!$F$2:$F$101,0))),INDEX(코드표!$K$2:$K$101,MATCH(LEFT(TRIM(G112&amp;""),FIND(" ",TRIM(G112&amp;""))-1),코드표!$J$2:$J$101,0))&amp;" "&amp;INDEX(코드표!$G$2:$G$101,MATCH(TRIM(RIGHT(SUBSTITUTE(TRIM(G112&amp;"")," ",REPT(" ",60)),60)),코드표!$F$2:$F$101,0)),"⚠"&amp;TRIM(G112&amp;""))),"⚠"&amp;TRIM(G112&amp;""))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",TRIM(H112&amp;""))-1),코드표!$J$2:$J$101,0)),ISNUMBER(MATCH(TRIM(RIGHT(SUBSTITUTE(TRIM(H112&amp;"")," ",REPT(" ",60)),60)),코드표!$F$2:$F$101,0))),INDEX(코드표!$K$2:$K$101,MATCH(LEFT(TRIM(H112&amp;""),FIND(" ",TRIM(H112&amp;""))-1),코드표!$J$2:$J$101,0))&amp;" "&amp;INDEX(코드표!$G$2:$G$101,MATCH(TRIM(RIGHT(SUBSTITUTE(TRIM(H112&amp;"")," ",REPT(" ",60)),60)),코드표!$F$2:$F$101,0)),"⚠"&amp;TRIM(H112&amp;""))),"⚠"&amp;TRIM(H112&amp;""))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",TRIM(I112&amp;""))-1),코드표!$J$2:$J$101,0)),ISNUMBER(MATCH(TRIM(RIGHT(SUBSTITUTE(TRIM(I112&amp;"")," ",REPT(" ",60)),60)),코드표!$F$2:$F$101,0))),INDEX(코드표!$K$2:$K$101,MATCH(LEFT(TRIM(I112&amp;""),FIND(" ",TRIM(I112&amp;""))-1),코드표!$J$2:$J$101,0))&amp;" "&amp;INDEX(코드표!$G$2:$G$101,MATCH(TRIM(RIGHT(SUBSTITUTE(TRIM(I112&amp;"")," ",REPT(" ",60)),60)),코드표!$F$2:$F$101,0)),"⚠"&amp;TRIM(I112&amp;""))),"⚠"&amp;TRIM(I112&amp;""))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",TRIM(J112&amp;""))-1),코드표!$J$2:$J$101,0)),ISNUMBER(MATCH(TRIM(RIGHT(SUBSTITUTE(TRIM(J112&amp;"")," ",REPT(" ",60)),60)),코드표!$F$2:$F$101,0))),INDEX(코드표!$K$2:$K$101,MATCH(LEFT(TRIM(J112&amp;""),FIND(" ",TRIM(J112&amp;""))-1),코드표!$J$2:$J$101,0))&amp;" "&amp;INDEX(코드표!$G$2:$G$101,MATCH(TRIM(RIGHT(SUBSTITUTE(TRIM(J112&amp;"")," ",REPT(" ",60)),60)),코드표!$F$2:$F$101,0)),"⚠"&amp;TRIM(J112&amp;""))),"⚠"&amp;TRIM(J112&amp;""))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",TRIM(E113&amp;""))-1),코드표!$J$2:$J$101,0)),ISNUMBER(MATCH(TRIM(RIGHT(SUBSTITUTE(TRIM(E113&amp;"")," ",REPT(" ",60)),60)),코드표!$F$2:$F$101,0))),INDEX(코드표!$K$2:$K$101,MATCH(LEFT(TRIM(E113&amp;""),FIND(" ",TRIM(E113&amp;""))-1),코드표!$J$2:$J$101,0))&amp;" "&amp;INDEX(코드표!$G$2:$G$101,MATCH(TRIM(RIGHT(SUBSTITUTE(TRIM(E113&amp;"")," ",REPT(" ",60)),60)),코드표!$F$2:$F$101,0)),"⚠"&amp;TRIM(E113&amp;""))),"⚠"&amp;TRIM(E113&amp;""))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",TRIM(F113&amp;""))-1),코드표!$J$2:$J$101,0)),ISNUMBER(MATCH(TRIM(RIGHT(SUBSTITUTE(TRIM(F113&amp;"")," ",REPT(" ",60)),60)),코드표!$F$2:$F$101,0))),INDEX(코드표!$K$2:$K$101,MATCH(LEFT(TRIM(F113&amp;""),FIND(" ",TRIM(F113&amp;""))-1),코드표!$J$2:$J$101,0))&amp;" "&amp;INDEX(코드표!$G$2:$G$101,MATCH(TRIM(RIGHT(SUBSTITUTE(TRIM(F113&amp;"")," ",REPT(" ",60)),60)),코드표!$F$2:$F$101,0)),"⚠"&amp;TRIM(F113&amp;""))),"⚠"&amp;TRIM(F113&amp;""))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",TRIM(G113&amp;""))-1),코드표!$J$2:$J$101,0)),ISNUMBER(MATCH(TRIM(RIGHT(SUBSTITUTE(TRIM(G113&amp;"")," ",REPT(" ",60)),60)),코드표!$F$2:$F$101,0))),INDEX(코드표!$K$2:$K$101,MATCH(LEFT(TRIM(G113&amp;""),FIND(" ",TRIM(G113&amp;""))-1),코드표!$J$2:$J$101,0))&amp;" "&amp;INDEX(코드표!$G$2:$G$101,MATCH(TRIM(RIGHT(SUBSTITUTE(TRIM(G113&amp;"")," ",REPT(" ",60)),60)),코드표!$F$2:$F$101,0)),"⚠"&amp;TRIM(G113&amp;""))),"⚠"&amp;TRIM(G113&amp;""))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",TRIM(H113&amp;""))-1),코드표!$J$2:$J$101,0)),ISNUMBER(MATCH(TRIM(RIGHT(SUBSTITUTE(TRIM(H113&amp;"")," ",REPT(" ",60)),60)),코드표!$F$2:$F$101,0))),INDEX(코드표!$K$2:$K$101,MATCH(LEFT(TRIM(H113&amp;""),FIND(" ",TRIM(H113&amp;""))-1),코드표!$J$2:$J$101,0))&amp;" "&amp;INDEX(코드표!$G$2:$G$101,MATCH(TRIM(RIGHT(SUBSTITUTE(TRIM(H113&amp;"")," ",REPT(" ",60)),60)),코드표!$F$2:$F$101,0)),"⚠"&amp;TRIM(H113&amp;""))),"⚠"&amp;TRIM(H113&amp;""))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",TRIM(I113&amp;""))-1),코드표!$J$2:$J$101,0)),ISNUMBER(MATCH(TRIM(RIGHT(SUBSTITUTE(TRIM(I113&amp;"")," ",REPT(" ",60)),60)),코드표!$F$2:$F$101,0))),INDEX(코드표!$K$2:$K$101,MATCH(LEFT(TRIM(I113&amp;""),FIND(" ",TRIM(I113&amp;""))-1),코드표!$J$2:$J$101,0))&amp;" "&amp;INDEX(코드표!$G$2:$G$101,MATCH(TRIM(RIGHT(SUBSTITUTE(TRIM(I113&amp;"")," ",REPT(" ",60)),60)),코드표!$F$2:$F$101,0)),"⚠"&amp;TRIM(I113&amp;""))),"⚠"&amp;TRIM(I113&amp;""))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",TRIM(J113&amp;""))-1),코드표!$J$2:$J$101,0)),ISNUMBER(MATCH(TRIM(RIGHT(SUBSTITUTE(TRIM(J113&amp;"")," ",REPT(" ",60)),60)),코드표!$F$2:$F$101,0))),INDEX(코드표!$K$2:$K$101,MATCH(LEFT(TRIM(J113&amp;""),FIND(" ",TRIM(J113&amp;""))-1),코드표!$J$2:$J$101,0))&amp;" "&amp;INDEX(코드표!$G$2:$G$101,MATCH(TRIM(RIGHT(SUBSTITUTE(TRIM(J113&amp;"")," ",REPT(" ",60)),60)),코드표!$F$2:$F$101,0)),"⚠"&amp;TRIM(J113&amp;""))),"⚠"&amp;TRIM(J113&amp;""))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",TRIM(E114&amp;""))-1),코드표!$J$2:$J$101,0)),ISNUMBER(MATCH(TRIM(RIGHT(SUBSTITUTE(TRIM(E114&amp;"")," ",REPT(" ",60)),60)),코드표!$F$2:$F$101,0))),INDEX(코드표!$K$2:$K$101,MATCH(LEFT(TRIM(E114&amp;""),FIND(" ",TRIM(E114&amp;""))-1),코드표!$J$2:$J$101,0))&amp;" "&amp;INDEX(코드표!$G$2:$G$101,MATCH(TRIM(RIGHT(SUBSTITUTE(TRIM(E114&amp;"")," ",REPT(" ",60)),60)),코드표!$F$2:$F$101,0)),"⚠"&amp;TRIM(E114&amp;""))),"⚠"&amp;TRIM(E114&amp;""))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",TRIM(F114&amp;""))-1),코드표!$J$2:$J$101,0)),ISNUMBER(MATCH(TRIM(RIGHT(SUBSTITUTE(TRIM(F114&amp;"")," ",REPT(" ",60)),60)),코드표!$F$2:$F$101,0))),INDEX(코드표!$K$2:$K$101,MATCH(LEFT(TRIM(F114&amp;""),FIND(" ",TRIM(F114&amp;""))-1),코드표!$J$2:$J$101,0))&amp;" "&amp;INDEX(코드표!$G$2:$G$101,MATCH(TRIM(RIGHT(SUBSTITUTE(TRIM(F114&amp;"")," ",REPT(" ",60)),60)),코드표!$F$2:$F$101,0)),"⚠"&amp;TRIM(F114&amp;""))),"⚠"&amp;TRIM(F114&amp;""))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",TRIM(G114&amp;""))-1),코드표!$J$2:$J$101,0)),ISNUMBER(MATCH(TRIM(RIGHT(SUBSTITUTE(TRIM(G114&amp;"")," ",REPT(" ",60)),60)),코드표!$F$2:$F$101,0))),INDEX(코드표!$K$2:$K$101,MATCH(LEFT(TRIM(G114&amp;""),FIND(" ",TRIM(G114&amp;""))-1),코드표!$J$2:$J$101,0))&amp;" "&amp;INDEX(코드표!$G$2:$G$101,MATCH(TRIM(RIGHT(SUBSTITUTE(TRIM(G114&amp;"")," ",REPT(" ",60)),60)),코드표!$F$2:$F$101,0)),"⚠"&amp;TRIM(G114&amp;""))),"⚠"&amp;TRIM(G114&amp;""))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",TRIM(H114&amp;""))-1),코드표!$J$2:$J$101,0)),ISNUMBER(MATCH(TRIM(RIGHT(SUBSTITUTE(TRIM(H114&amp;"")," ",REPT(" ",60)),60)),코드표!$F$2:$F$101,0))),INDEX(코드표!$K$2:$K$101,MATCH(LEFT(TRIM(H114&amp;""),FIND(" ",TRIM(H114&amp;""))-1),코드표!$J$2:$J$101,0))&amp;" "&amp;INDEX(코드표!$G$2:$G$101,MATCH(TRIM(RIGHT(SUBSTITUTE(TRIM(H114&amp;"")," ",REPT(" ",60)),60)),코드표!$F$2:$F$101,0)),"⚠"&amp;TRIM(H114&amp;""))),"⚠"&amp;TRIM(H114&amp;""))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",TRIM(I114&amp;""))-1),코드표!$J$2:$J$101,0)),ISNUMBER(MATCH(TRIM(RIGHT(SUBSTITUTE(TRIM(I114&amp;"")," ",REPT(" ",60)),60)),코드표!$F$2:$F$101,0))),INDEX(코드표!$K$2:$K$101,MATCH(LEFT(TRIM(I114&amp;""),FIND(" ",TRIM(I114&amp;""))-1),코드표!$J$2:$J$101,0))&amp;" "&amp;INDEX(코드표!$G$2:$G$101,MATCH(TRIM(RIGHT(SUBSTITUTE(TRIM(I114&amp;"")," ",REPT(" ",60)),60)),코드표!$F$2:$F$101,0)),"⚠"&amp;TRIM(I114&amp;""))),"⚠"&amp;TRIM(I114&amp;""))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",TRIM(J114&amp;""))-1),코드표!$J$2:$J$101,0)),ISNUMBER(MATCH(TRIM(RIGHT(SUBSTITUTE(TRIM(J114&amp;"")," ",REPT(" ",60)),60)),코드표!$F$2:$F$101,0))),INDEX(코드표!$K$2:$K$101,MATCH(LEFT(TRIM(J114&amp;""),FIND(" ",TRIM(J114&amp;""))-1),코드표!$J$2:$J$101,0))&amp;" "&amp;INDEX(코드표!$G$2:$G$101,MATCH(TRIM(RIGHT(SUBSTITUTE(TRIM(J114&amp;"")," ",REPT(" ",60)),60)),코드표!$F$2:$F$101,0)),"⚠"&amp;TRIM(J114&amp;""))),"⚠"&amp;TRIM(J114&amp;""))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",TRIM(E115&amp;""))-1),코드표!$J$2:$J$101,0)),ISNUMBER(MATCH(TRIM(RIGHT(SUBSTITUTE(TRIM(E115&amp;"")," ",REPT(" ",60)),60)),코드표!$F$2:$F$101,0))),INDEX(코드표!$K$2:$K$101,MATCH(LEFT(TRIM(E115&amp;""),FIND(" ",TRIM(E115&amp;""))-1),코드표!$J$2:$J$101,0))&amp;" "&amp;INDEX(코드표!$G$2:$G$101,MATCH(TRIM(RIGHT(SUBSTITUTE(TRIM(E115&amp;"")," ",REPT(" ",60)),60)),코드표!$F$2:$F$101,0)),"⚠"&amp;TRIM(E115&amp;""))),"⚠"&amp;TRIM(E115&amp;""))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",TRIM(F115&amp;""))-1),코드표!$J$2:$J$101,0)),ISNUMBER(MATCH(TRIM(RIGHT(SUBSTITUTE(TRIM(F115&amp;"")," ",REPT(" ",60)),60)),코드표!$F$2:$F$101,0))),INDEX(코드표!$K$2:$K$101,MATCH(LEFT(TRIM(F115&amp;""),FIND(" ",TRIM(F115&amp;""))-1),코드표!$J$2:$J$101,0))&amp;" "&amp;INDEX(코드표!$G$2:$G$101,MATCH(TRIM(RIGHT(SUBSTITUTE(TRIM(F115&amp;"")," ",REPT(" ",60)),60)),코드표!$F$2:$F$101,0)),"⚠"&amp;TRIM(F115&amp;""))),"⚠"&amp;TRIM(F115&amp;""))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",TRIM(G115&amp;""))-1),코드표!$J$2:$J$101,0)),ISNUMBER(MATCH(TRIM(RIGHT(SUBSTITUTE(TRIM(G115&amp;"")," ",REPT(" ",60)),60)),코드표!$F$2:$F$101,0))),INDEX(코드표!$K$2:$K$101,MATCH(LEFT(TRIM(G115&amp;""),FIND(" ",TRIM(G115&amp;""))-1),코드표!$J$2:$J$101,0))&amp;" "&amp;INDEX(코드표!$G$2:$G$101,MATCH(TRIM(RIGHT(SUBSTITUTE(TRIM(G115&amp;"")," ",REPT(" ",60)),60)),코드표!$F$2:$F$101,0)),"⚠"&amp;TRIM(G115&amp;""))),"⚠"&amp;TRIM(G115&amp;""))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",TRIM(H115&amp;""))-1),코드표!$J$2:$J$101,0)),ISNUMBER(MATCH(TRIM(RIGHT(SUBSTITUTE(TRIM(H115&amp;"")," ",REPT(" ",60)),60)),코드표!$F$2:$F$101,0))),INDEX(코드표!$K$2:$K$101,MATCH(LEFT(TRIM(H115&amp;""),FIND(" ",TRIM(H115&amp;""))-1),코드표!$J$2:$J$101,0))&amp;" "&amp;INDEX(코드표!$G$2:$G$101,MATCH(TRIM(RIGHT(SUBSTITUTE(TRIM(H115&amp;"")," ",REPT(" ",60)),60)),코드표!$F$2:$F$101,0)),"⚠"&amp;TRIM(H115&amp;""))),"⚠"&amp;TRIM(H115&amp;""))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",TRIM(I115&amp;""))-1),코드표!$J$2:$J$101,0)),ISNUMBER(MATCH(TRIM(RIGHT(SUBSTITUTE(TRIM(I115&amp;"")," ",REPT(" ",60)),60)),코드표!$F$2:$F$101,0))),INDEX(코드표!$K$2:$K$101,MATCH(LEFT(TRIM(I115&amp;""),FIND(" ",TRIM(I115&amp;""))-1),코드표!$J$2:$J$101,0))&amp;" "&amp;INDEX(코드표!$G$2:$G$101,MATCH(TRIM(RIGHT(SUBSTITUTE(TRIM(I115&amp;"")," ",REPT(" ",60)),60)),코드표!$F$2:$F$101,0)),"⚠"&amp;TRIM(I115&amp;""))),"⚠"&amp;TRIM(I115&amp;""))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",TRIM(J115&amp;""))-1),코드표!$J$2:$J$101,0)),ISNUMBER(MATCH(TRIM(RIGHT(SUBSTITUTE(TRIM(J115&amp;"")," ",REPT(" ",60)),60)),코드표!$F$2:$F$101,0))),INDEX(코드표!$K$2:$K$101,MATCH(LEFT(TRIM(J115&amp;""),FIND(" ",TRIM(J115&amp;""))-1),코드표!$J$2:$J$101,0))&amp;" "&amp;INDEX(코드표!$G$2:$G$101,MATCH(TRIM(RIGHT(SUBSTITUTE(TRIM(J115&amp;"")," ",REPT(" ",60)),60)),코드표!$F$2:$F$101,0)),"⚠"&amp;TRIM(J115&amp;""))),"⚠"&amp;TRIM(J115&amp;""))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",TRIM(E116&amp;""))-1),코드표!$J$2:$J$101,0)),ISNUMBER(MATCH(TRIM(RIGHT(SUBSTITUTE(TRIM(E116&amp;"")," ",REPT(" ",60)),60)),코드표!$F$2:$F$101,0))),INDEX(코드표!$K$2:$K$101,MATCH(LEFT(TRIM(E116&amp;""),FIND(" ",TRIM(E116&amp;""))-1),코드표!$J$2:$J$101,0))&amp;" "&amp;INDEX(코드표!$G$2:$G$101,MATCH(TRIM(RIGHT(SUBSTITUTE(TRIM(E116&amp;"")," ",REPT(" ",60)),60)),코드표!$F$2:$F$101,0)),"⚠"&amp;TRIM(E116&amp;""))),"⚠"&amp;TRIM(E116&amp;""))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",TRIM(F116&amp;""))-1),코드표!$J$2:$J$101,0)),ISNUMBER(MATCH(TRIM(RIGHT(SUBSTITUTE(TRIM(F116&amp;"")," ",REPT(" ",60)),60)),코드표!$F$2:$F$101,0))),INDEX(코드표!$K$2:$K$101,MATCH(LEFT(TRIM(F116&amp;""),FIND(" ",TRIM(F116&amp;""))-1),코드표!$J$2:$J$101,0))&amp;" "&amp;INDEX(코드표!$G$2:$G$101,MATCH(TRIM(RIGHT(SUBSTITUTE(TRIM(F116&amp;"")," ",REPT(" ",60)),60)),코드표!$F$2:$F$101,0)),"⚠"&amp;TRIM(F116&amp;""))),"⚠"&amp;TRIM(F116&amp;""))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",TRIM(G116&amp;""))-1),코드표!$J$2:$J$101,0)),ISNUMBER(MATCH(TRIM(RIGHT(SUBSTITUTE(TRIM(G116&amp;"")," ",REPT(" ",60)),60)),코드표!$F$2:$F$101,0))),INDEX(코드표!$K$2:$K$101,MATCH(LEFT(TRIM(G116&amp;""),FIND(" ",TRIM(G116&amp;""))-1),코드표!$J$2:$J$101,0))&amp;" "&amp;INDEX(코드표!$G$2:$G$101,MATCH(TRIM(RIGHT(SUBSTITUTE(TRIM(G116&amp;"")," ",REPT(" ",60)),60)),코드표!$F$2:$F$101,0)),"⚠"&amp;TRIM(G116&amp;""))),"⚠"&amp;TRIM(G116&amp;""))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",TRIM(H116&amp;""))-1),코드표!$J$2:$J$101,0)),ISNUMBER(MATCH(TRIM(RIGHT(SUBSTITUTE(TRIM(H116&amp;"")," ",REPT(" ",60)),60)),코드표!$F$2:$F$101,0))),INDEX(코드표!$K$2:$K$101,MATCH(LEFT(TRIM(H116&amp;""),FIND(" ",TRIM(H116&amp;""))-1),코드표!$J$2:$J$101,0))&amp;" "&amp;INDEX(코드표!$G$2:$G$101,MATCH(TRIM(RIGHT(SUBSTITUTE(TRIM(H116&amp;"")," ",REPT(" ",60)),60)),코드표!$F$2:$F$101,0)),"⚠"&amp;TRIM(H116&amp;""))),"⚠"&amp;TRIM(H116&amp;""))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",TRIM(I116&amp;""))-1),코드표!$J$2:$J$101,0)),ISNUMBER(MATCH(TRIM(RIGHT(SUBSTITUTE(TRIM(I116&amp;"")," ",REPT(" ",60)),60)),코드표!$F$2:$F$101,0))),INDEX(코드표!$K$2:$K$101,MATCH(LEFT(TRIM(I116&amp;""),FIND(" ",TRIM(I116&amp;""))-1),코드표!$J$2:$J$101,0))&amp;" "&amp;INDEX(코드표!$G$2:$G$101,MATCH(TRIM(RIGHT(SUBSTITUTE(TRIM(I116&amp;"")," ",REPT(" ",60)),60)),코드표!$F$2:$F$101,0)),"⚠"&amp;TRIM(I116&amp;""))),"⚠"&amp;TRIM(I116&amp;""))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",TRIM(J116&amp;""))-1),코드표!$J$2:$J$101,0)),ISNUMBER(MATCH(TRIM(RIGHT(SUBSTITUTE(TRIM(J116&amp;"")," ",REPT(" ",60)),60)),코드표!$F$2:$F$101,0))),INDEX(코드표!$K$2:$K$101,MATCH(LEFT(TRIM(J116&amp;""),FIND(" ",TRIM(J116&amp;""))-1),코드표!$J$2:$J$101,0))&amp;" "&amp;INDEX(코드표!$G$2:$G$101,MATCH(TRIM(RIGHT(SUBSTITUTE(TRIM(J116&amp;"")," ",REPT(" ",60)),60)),코드표!$F$2:$F$101,0)),"⚠"&amp;TRIM(J116&amp;""))),"⚠"&amp;TRIM(J116&amp;""))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",TRIM(E117&amp;""))-1),코드표!$J$2:$J$101,0)),ISNUMBER(MATCH(TRIM(RIGHT(SUBSTITUTE(TRIM(E117&amp;"")," ",REPT(" ",60)),60)),코드표!$F$2:$F$101,0))),INDEX(코드표!$K$2:$K$101,MATCH(LEFT(TRIM(E117&amp;""),FIND(" ",TRIM(E117&amp;""))-1),코드표!$J$2:$J$101,0))&amp;" "&amp;INDEX(코드표!$G$2:$G$101,MATCH(TRIM(RIGHT(SUBSTITUTE(TRIM(E117&amp;"")," ",REPT(" ",60)),60)),코드표!$F$2:$F$101,0)),"⚠"&amp;TRIM(E117&amp;""))),"⚠"&amp;TRIM(E117&amp;""))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",TRIM(F117&amp;""))-1),코드표!$J$2:$J$101,0)),ISNUMBER(MATCH(TRIM(RIGHT(SUBSTITUTE(TRIM(F117&amp;"")," ",REPT(" ",60)),60)),코드표!$F$2:$F$101,0))),INDEX(코드표!$K$2:$K$101,MATCH(LEFT(TRIM(F117&amp;""),FIND(" ",TRIM(F117&amp;""))-1),코드표!$J$2:$J$101,0))&amp;" "&amp;INDEX(코드표!$G$2:$G$101,MATCH(TRIM(RIGHT(SUBSTITUTE(TRIM(F117&amp;"")," ",REPT(" ",60)),60)),코드표!$F$2:$F$101,0)),"⚠"&amp;TRIM(F117&amp;""))),"⚠"&amp;TRIM(F117&amp;""))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",TRIM(G117&amp;""))-1),코드표!$J$2:$J$101,0)),ISNUMBER(MATCH(TRIM(RIGHT(SUBSTITUTE(TRIM(G117&amp;"")," ",REPT(" ",60)),60)),코드표!$F$2:$F$101,0))),INDEX(코드표!$K$2:$K$101,MATCH(LEFT(TRIM(G117&amp;""),FIND(" ",TRIM(G117&amp;""))-1),코드표!$J$2:$J$101,0))&amp;" "&amp;INDEX(코드표!$G$2:$G$101,MATCH(TRIM(RIGHT(SUBSTITUTE(TRIM(G117&amp;"")," ",REPT(" ",60)),60)),코드표!$F$2:$F$101,0)),"⚠"&amp;TRIM(G117&amp;""))),"⚠"&amp;TRIM(G117&amp;""))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",TRIM(H117&amp;""))-1),코드표!$J$2:$J$101,0)),ISNUMBER(MATCH(TRIM(RIGHT(SUBSTITUTE(TRIM(H117&amp;"")," ",REPT(" ",60)),60)),코드표!$F$2:$F$101,0))),INDEX(코드표!$K$2:$K$101,MATCH(LEFT(TRIM(H117&amp;""),FIND(" ",TRIM(H117&amp;""))-1),코드표!$J$2:$J$101,0))&amp;" "&amp;INDEX(코드표!$G$2:$G$101,MATCH(TRIM(RIGHT(SUBSTITUTE(TRIM(H117&amp;"")," ",REPT(" ",60)),60)),코드표!$F$2:$F$101,0)),"⚠"&amp;TRIM(H117&amp;""))),"⚠"&amp;TRIM(H117&amp;""))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",TRIM(I117&amp;""))-1),코드표!$J$2:$J$101,0)),ISNUMBER(MATCH(TRIM(RIGHT(SUBSTITUTE(TRIM(I117&amp;"")," ",REPT(" ",60)),60)),코드표!$F$2:$F$101,0))),INDEX(코드표!$K$2:$K$101,MATCH(LEFT(TRIM(I117&amp;""),FIND(" ",TRIM(I117&amp;""))-1),코드표!$J$2:$J$101,0))&amp;" "&amp;INDEX(코드표!$G$2:$G$101,MATCH(TRIM(RIGHT(SUBSTITUTE(TRIM(I117&amp;"")," ",REPT(" ",60)),60)),코드표!$F$2:$F$101,0)),"⚠"&amp;TRIM(I117&amp;""))),"⚠"&amp;TRIM(I117&amp;""))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",TRIM(J117&amp;""))-1),코드표!$J$2:$J$101,0)),ISNUMBER(MATCH(TRIM(RIGHT(SUBSTITUTE(TRIM(J117&amp;"")," ",REPT(" ",60)),60)),코드표!$F$2:$F$101,0))),INDEX(코드표!$K$2:$K$101,MATCH(LEFT(TRIM(J117&amp;""),FIND(" ",TRIM(J117&amp;""))-1),코드표!$J$2:$J$101,0))&amp;" "&amp;INDEX(코드표!$G$2:$G$101,MATCH(TRIM(RIGHT(SUBSTITUTE(TRIM(J117&amp;"")," ",REPT(" ",60)),60)),코드표!$F$2:$F$101,0)),"⚠"&amp;TRIM(J117&amp;""))),"⚠"&amp;TRIM(J117&amp;""))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",TRIM(E118&amp;""))-1),코드표!$J$2:$J$101,0)),ISNUMBER(MATCH(TRIM(RIGHT(SUBSTITUTE(TRIM(E118&amp;"")," ",REPT(" ",60)),60)),코드표!$F$2:$F$101,0))),INDEX(코드표!$K$2:$K$101,MATCH(LEFT(TRIM(E118&amp;""),FIND(" ",TRIM(E118&amp;""))-1),코드표!$J$2:$J$101,0))&amp;" "&amp;INDEX(코드표!$G$2:$G$101,MATCH(TRIM(RIGHT(SUBSTITUTE(TRIM(E118&amp;"")," ",REPT(" ",60)),60)),코드표!$F$2:$F$101,0)),"⚠"&amp;TRIM(E118&amp;""))),"⚠"&amp;TRIM(E118&amp;""))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",TRIM(F118&amp;""))-1),코드표!$J$2:$J$101,0)),ISNUMBER(MATCH(TRIM(RIGHT(SUBSTITUTE(TRIM(F118&amp;"")," ",REPT(" ",60)),60)),코드표!$F$2:$F$101,0))),INDEX(코드표!$K$2:$K$101,MATCH(LEFT(TRIM(F118&amp;""),FIND(" ",TRIM(F118&amp;""))-1),코드표!$J$2:$J$101,0))&amp;" "&amp;INDEX(코드표!$G$2:$G$101,MATCH(TRIM(RIGHT(SUBSTITUTE(TRIM(F118&amp;"")," ",REPT(" ",60)),60)),코드표!$F$2:$F$101,0)),"⚠"&amp;TRIM(F118&amp;""))),"⚠"&amp;TRIM(F118&amp;""))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",TRIM(G118&amp;""))-1),코드표!$J$2:$J$101,0)),ISNUMBER(MATCH(TRIM(RIGHT(SUBSTITUTE(TRIM(G118&amp;"")," ",REPT(" ",60)),60)),코드표!$F$2:$F$101,0))),INDEX(코드표!$K$2:$K$101,MATCH(LEFT(TRIM(G118&amp;""),FIND(" ",TRIM(G118&amp;""))-1),코드표!$J$2:$J$101,0))&amp;" "&amp;INDEX(코드표!$G$2:$G$101,MATCH(TRIM(RIGHT(SUBSTITUTE(TRIM(G118&amp;"")," ",REPT(" ",60)),60)),코드표!$F$2:$F$101,0)),"⚠"&amp;TRIM(G118&amp;""))),"⚠"&amp;TRIM(G118&amp;""))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",TRIM(H118&amp;""))-1),코드표!$J$2:$J$101,0)),ISNUMBER(MATCH(TRIM(RIGHT(SUBSTITUTE(TRIM(H118&amp;"")," ",REPT(" ",60)),60)),코드표!$F$2:$F$101,0))),INDEX(코드표!$K$2:$K$101,MATCH(LEFT(TRIM(H118&amp;""),FIND(" ",TRIM(H118&amp;""))-1),코드표!$J$2:$J$101,0))&amp;" "&amp;INDEX(코드표!$G$2:$G$101,MATCH(TRIM(RIGHT(SUBSTITUTE(TRIM(H118&amp;"")," ",REPT(" ",60)),60)),코드표!$F$2:$F$101,0)),"⚠"&amp;TRIM(H118&amp;""))),"⚠"&amp;TRIM(H118&amp;""))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",TRIM(I118&amp;""))-1),코드표!$J$2:$J$101,0)),ISNUMBER(MATCH(TRIM(RIGHT(SUBSTITUTE(TRIM(I118&amp;"")," ",REPT(" ",60)),60)),코드표!$F$2:$F$101,0))),INDEX(코드표!$K$2:$K$101,MATCH(LEFT(TRIM(I118&amp;""),FIND(" ",TRIM(I118&amp;""))-1),코드표!$J$2:$J$101,0))&amp;" "&amp;INDEX(코드표!$G$2:$G$101,MATCH(TRIM(RIGHT(SUBSTITUTE(TRIM(I118&amp;"")," ",REPT(" ",60)),60)),코드표!$F$2:$F$101,0)),"⚠"&amp;TRIM(I118&amp;""))),"⚠"&amp;TRIM(I118&amp;""))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",TRIM(J118&amp;""))-1),코드표!$J$2:$J$101,0)),ISNUMBER(MATCH(TRIM(RIGHT(SUBSTITUTE(TRIM(J118&amp;"")," ",REPT(" ",60)),60)),코드표!$F$2:$F$101,0))),INDEX(코드표!$K$2:$K$101,MATCH(LEFT(TRIM(J118&amp;""),FIND(" ",TRIM(J118&amp;""))-1),코드표!$J$2:$J$101,0))&amp;" "&amp;INDEX(코드표!$G$2:$G$101,MATCH(TRIM(RIGHT(SUBSTITUTE(TRIM(J118&amp;"")," ",REPT(" ",60)),60)),코드표!$F$2:$F$101,0)),"⚠"&amp;TRIM(J118&amp;""))),"⚠"&amp;TRIM(J118&amp;""))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",TRIM(E119&amp;""))-1),코드표!$J$2:$J$101,0)),ISNUMBER(MATCH(TRIM(RIGHT(SUBSTITUTE(TRIM(E119&amp;"")," ",REPT(" ",60)),60)),코드표!$F$2:$F$101,0))),INDEX(코드표!$K$2:$K$101,MATCH(LEFT(TRIM(E119&amp;""),FIND(" ",TRIM(E119&amp;""))-1),코드표!$J$2:$J$101,0))&amp;" "&amp;INDEX(코드표!$G$2:$G$101,MATCH(TRIM(RIGHT(SUBSTITUTE(TRIM(E119&amp;"")," ",REPT(" ",60)),60)),코드표!$F$2:$F$101,0)),"⚠"&amp;TRIM(E119&amp;""))),"⚠"&amp;TRIM(E119&amp;""))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",TRIM(F119&amp;""))-1),코드표!$J$2:$J$101,0)),ISNUMBER(MATCH(TRIM(RIGHT(SUBSTITUTE(TRIM(F119&amp;"")," ",REPT(" ",60)),60)),코드표!$F$2:$F$101,0))),INDEX(코드표!$K$2:$K$101,MATCH(LEFT(TRIM(F119&amp;""),FIND(" ",TRIM(F119&amp;""))-1),코드표!$J$2:$J$101,0))&amp;" "&amp;INDEX(코드표!$G$2:$G$101,MATCH(TRIM(RIGHT(SUBSTITUTE(TRIM(F119&amp;"")," ",REPT(" ",60)),60)),코드표!$F$2:$F$101,0)),"⚠"&amp;TRIM(F119&amp;""))),"⚠"&amp;TRIM(F119&amp;""))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",TRIM(G119&amp;""))-1),코드표!$J$2:$J$101,0)),ISNUMBER(MATCH(TRIM(RIGHT(SUBSTITUTE(TRIM(G119&amp;"")," ",REPT(" ",60)),60)),코드표!$F$2:$F$101,0))),INDEX(코드표!$K$2:$K$101,MATCH(LEFT(TRIM(G119&amp;""),FIND(" ",TRIM(G119&amp;""))-1),코드표!$J$2:$J$101,0))&amp;" "&amp;INDEX(코드표!$G$2:$G$101,MATCH(TRIM(RIGHT(SUBSTITUTE(TRIM(G119&amp;"")," ",REPT(" ",60)),60)),코드표!$F$2:$F$101,0)),"⚠"&amp;TRIM(G119&amp;""))),"⚠"&amp;TRIM(G119&amp;""))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",TRIM(H119&amp;""))-1),코드표!$J$2:$J$101,0)),ISNUMBER(MATCH(TRIM(RIGHT(SUBSTITUTE(TRIM(H119&amp;"")," ",REPT(" ",60)),60)),코드표!$F$2:$F$101,0))),INDEX(코드표!$K$2:$K$101,MATCH(LEFT(TRIM(H119&amp;""),FIND(" ",TRIM(H119&amp;""))-1),코드표!$J$2:$J$101,0))&amp;" "&amp;INDEX(코드표!$G$2:$G$101,MATCH(TRIM(RIGHT(SUBSTITUTE(TRIM(H119&amp;"")," ",REPT(" ",60)),60)),코드표!$F$2:$F$101,0)),"⚠"&amp;TRIM(H119&amp;""))),"⚠"&amp;TRIM(H119&amp;""))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",TRIM(I119&amp;""))-1),코드표!$J$2:$J$101,0)),ISNUMBER(MATCH(TRIM(RIGHT(SUBSTITUTE(TRIM(I119&amp;"")," ",REPT(" ",60)),60)),코드표!$F$2:$F$101,0))),INDEX(코드표!$K$2:$K$101,MATCH(LEFT(TRIM(I119&amp;""),FIND(" ",TRIM(I119&amp;""))-1),코드표!$J$2:$J$101,0))&amp;" "&amp;INDEX(코드표!$G$2:$G$101,MATCH(TRIM(RIGHT(SUBSTITUTE(TRIM(I119&amp;"")," ",REPT(" ",60)),60)),코드표!$F$2:$F$101,0)),"⚠"&amp;TRIM(I119&amp;""))),"⚠"&amp;TRIM(I119&amp;""))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",TRIM(J119&amp;""))-1),코드표!$J$2:$J$101,0)),ISNUMBER(MATCH(TRIM(RIGHT(SUBSTITUTE(TRIM(J119&amp;"")," ",REPT(" ",60)),60)),코드표!$F$2:$F$101,0))),INDEX(코드표!$K$2:$K$101,MATCH(LEFT(TRIM(J119&amp;""),FIND(" ",TRIM(J119&amp;""))-1),코드표!$J$2:$J$101,0))&amp;" "&amp;INDEX(코드표!$G$2:$G$101,MATCH(TRIM(RIGHT(SUBSTITUTE(TRIM(J119&amp;"")," ",REPT(" ",60)),60)),코드표!$F$2:$F$101,0)),"⚠"&amp;TRIM(J119&amp;""))),"⚠"&amp;TRIM(J119&amp;""))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",TRIM(E120&amp;""))-1),코드표!$J$2:$J$101,0)),ISNUMBER(MATCH(TRIM(RIGHT(SUBSTITUTE(TRIM(E120&amp;"")," ",REPT(" ",60)),60)),코드표!$F$2:$F$101,0))),INDEX(코드표!$K$2:$K$101,MATCH(LEFT(TRIM(E120&amp;""),FIND(" ",TRIM(E120&amp;""))-1),코드표!$J$2:$J$101,0))&amp;" "&amp;INDEX(코드표!$G$2:$G$101,MATCH(TRIM(RIGHT(SUBSTITUTE(TRIM(E120&amp;"")," ",REPT(" ",60)),60)),코드표!$F$2:$F$101,0)),"⚠"&amp;TRIM(E120&amp;""))),"⚠"&amp;TRIM(E120&amp;""))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",TRIM(F120&amp;""))-1),코드표!$J$2:$J$101,0)),ISNUMBER(MATCH(TRIM(RIGHT(SUBSTITUTE(TRIM(F120&amp;"")," ",REPT(" ",60)),60)),코드표!$F$2:$F$101,0))),INDEX(코드표!$K$2:$K$101,MATCH(LEFT(TRIM(F120&amp;""),FIND(" ",TRIM(F120&amp;""))-1),코드표!$J$2:$J$101,0))&amp;" "&amp;INDEX(코드표!$G$2:$G$101,MATCH(TRIM(RIGHT(SUBSTITUTE(TRIM(F120&amp;"")," ",REPT(" ",60)),60)),코드표!$F$2:$F$101,0)),"⚠"&amp;TRIM(F120&amp;""))),"⚠"&amp;TRIM(F120&amp;""))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",TRIM(G120&amp;""))-1),코드표!$J$2:$J$101,0)),ISNUMBER(MATCH(TRIM(RIGHT(SUBSTITUTE(TRIM(G120&amp;"")," ",REPT(" ",60)),60)),코드표!$F$2:$F$101,0))),INDEX(코드표!$K$2:$K$101,MATCH(LEFT(TRIM(G120&amp;""),FIND(" ",TRIM(G120&amp;""))-1),코드표!$J$2:$J$101,0))&amp;" "&amp;INDEX(코드표!$G$2:$G$101,MATCH(TRIM(RIGHT(SUBSTITUTE(TRIM(G120&amp;"")," ",REPT(" ",60)),60)),코드표!$F$2:$F$101,0)),"⚠"&amp;TRIM(G120&amp;""))),"⚠"&amp;TRIM(G120&amp;""))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",TRIM(H120&amp;""))-1),코드표!$J$2:$J$101,0)),ISNUMBER(MATCH(TRIM(RIGHT(SUBSTITUTE(TRIM(H120&amp;"")," ",REPT(" ",60)),60)),코드표!$F$2:$F$101,0))),INDEX(코드표!$K$2:$K$101,MATCH(LEFT(TRIM(H120&amp;""),FIND(" ",TRIM(H120&amp;""))-1),코드표!$J$2:$J$101,0))&amp;" "&amp;INDEX(코드표!$G$2:$G$101,MATCH(TRIM(RIGHT(SUBSTITUTE(TRIM(H120&amp;"")," ",REPT(" ",60)),60)),코드표!$F$2:$F$101,0)),"⚠"&amp;TRIM(H120&amp;""))),"⚠"&amp;TRIM(H120&amp;""))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",TRIM(I120&amp;""))-1),코드표!$J$2:$J$101,0)),ISNUMBER(MATCH(TRIM(RIGHT(SUBSTITUTE(TRIM(I120&amp;"")," ",REPT(" ",60)),60)),코드표!$F$2:$F$101,0))),INDEX(코드표!$K$2:$K$101,MATCH(LEFT(TRIM(I120&amp;""),FIND(" ",TRIM(I120&amp;""))-1),코드표!$J$2:$J$101,0))&amp;" "&amp;INDEX(코드표!$G$2:$G$101,MATCH(TRIM(RIGHT(SUBSTITUTE(TRIM(I120&amp;"")," ",REPT(" ",60)),60)),코드표!$F$2:$F$101,0)),"⚠"&amp;TRIM(I120&amp;""))),"⚠"&amp;TRIM(I120&amp;""))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",TRIM(J120&amp;""))-1),코드표!$J$2:$J$101,0)),ISNUMBER(MATCH(TRIM(RIGHT(SUBSTITUTE(TRIM(J120&amp;"")," ",REPT(" ",60)),60)),코드표!$F$2:$F$101,0))),INDEX(코드표!$K$2:$K$101,MATCH(LEFT(TRIM(J120&amp;""),FIND(" ",TRIM(J120&amp;""))-1),코드표!$J$2:$J$101,0))&amp;" "&amp;INDEX(코드표!$G$2:$G$101,MATCH(TRIM(RIGHT(SUBSTITUTE(TRIM(J120&amp;"")," ",REPT(" ",60)),60)),코드표!$F$2:$F$101,0)),"⚠"&amp;TRIM(J120&amp;""))),"⚠"&amp;TRIM(J120&amp;""))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",TRIM(E121&amp;""))-1),코드표!$J$2:$J$101,0)),ISNUMBER(MATCH(TRIM(RIGHT(SUBSTITUTE(TRIM(E121&amp;"")," ",REPT(" ",60)),60)),코드표!$F$2:$F$101,0))),INDEX(코드표!$K$2:$K$101,MATCH(LEFT(TRIM(E121&amp;""),FIND(" ",TRIM(E121&amp;""))-1),코드표!$J$2:$J$101,0))&amp;" "&amp;INDEX(코드표!$G$2:$G$101,MATCH(TRIM(RIGHT(SUBSTITUTE(TRIM(E121&amp;"")," ",REPT(" ",60)),60)),코드표!$F$2:$F$101,0)),"⚠"&amp;TRIM(E121&amp;""))),"⚠"&amp;TRIM(E121&amp;""))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",TRIM(F121&amp;""))-1),코드표!$J$2:$J$101,0)),ISNUMBER(MATCH(TRIM(RIGHT(SUBSTITUTE(TRIM(F121&amp;"")," ",REPT(" ",60)),60)),코드표!$F$2:$F$101,0))),INDEX(코드표!$K$2:$K$101,MATCH(LEFT(TRIM(F121&amp;""),FIND(" ",TRIM(F121&amp;""))-1),코드표!$J$2:$J$101,0))&amp;" "&amp;INDEX(코드표!$G$2:$G$101,MATCH(TRIM(RIGHT(SUBSTITUTE(TRIM(F121&amp;"")," ",REPT(" ",60)),60)),코드표!$F$2:$F$101,0)),"⚠"&amp;TRIM(F121&amp;""))),"⚠"&amp;TRIM(F121&amp;""))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",TRIM(G121&amp;""))-1),코드표!$J$2:$J$101,0)),ISNUMBER(MATCH(TRIM(RIGHT(SUBSTITUTE(TRIM(G121&amp;"")," ",REPT(" ",60)),60)),코드표!$F$2:$F$101,0))),INDEX(코드표!$K$2:$K$101,MATCH(LEFT(TRIM(G121&amp;""),FIND(" ",TRIM(G121&amp;""))-1),코드표!$J$2:$J$101,0))&amp;" "&amp;INDEX(코드표!$G$2:$G$101,MATCH(TRIM(RIGHT(SUBSTITUTE(TRIM(G121&amp;"")," ",REPT(" ",60)),60)),코드표!$F$2:$F$101,0)),"⚠"&amp;TRIM(G121&amp;""))),"⚠"&amp;TRIM(G121&amp;""))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",TRIM(H121&amp;""))-1),코드표!$J$2:$J$101,0)),ISNUMBER(MATCH(TRIM(RIGHT(SUBSTITUTE(TRIM(H121&amp;"")," ",REPT(" ",60)),60)),코드표!$F$2:$F$101,0))),INDEX(코드표!$K$2:$K$101,MATCH(LEFT(TRIM(H121&amp;""),FIND(" ",TRIM(H121&amp;""))-1),코드표!$J$2:$J$101,0))&amp;" "&amp;INDEX(코드표!$G$2:$G$101,MATCH(TRIM(RIGHT(SUBSTITUTE(TRIM(H121&amp;"")," ",REPT(" ",60)),60)),코드표!$F$2:$F$101,0)),"⚠"&amp;TRIM(H121&amp;""))),"⚠"&amp;TRIM(H121&amp;""))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",TRIM(I121&amp;""))-1),코드표!$J$2:$J$101,0)),ISNUMBER(MATCH(TRIM(RIGHT(SUBSTITUTE(TRIM(I121&amp;"")," ",REPT(" ",60)),60)),코드표!$F$2:$F$101,0))),INDEX(코드표!$K$2:$K$101,MATCH(LEFT(TRIM(I121&amp;""),FIND(" ",TRIM(I121&amp;""))-1),코드표!$J$2:$J$101,0))&amp;" "&amp;INDEX(코드표!$G$2:$G$101,MATCH(TRIM(RIGHT(SUBSTITUTE(TRIM(I121&amp;"")," ",REPT(" ",60)),60)),코드표!$F$2:$F$101,0)),"⚠"&amp;TRIM(I121&amp;""))),"⚠"&amp;TRIM(I121&amp;""))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",TRIM(J121&amp;""))-1),코드표!$J$2:$J$101,0)),ISNUMBER(MATCH(TRIM(RIGHT(SUBSTITUTE(TRIM(J121&amp;"")," ",REPT(" ",60)),60)),코드표!$F$2:$F$101,0))),INDEX(코드표!$K$2:$K$101,MATCH(LEFT(TRIM(J121&amp;""),FIND(" ",TRIM(J121&amp;""))-1),코드표!$J$2:$J$101,0))&amp;" "&amp;INDEX(코드표!$G$2:$G$101,MATCH(TRIM(RIGHT(SUBSTITUTE(TRIM(J121&amp;"")," ",REPT(" ",60)),60)),코드표!$F$2:$F$101,0)),"⚠"&amp;TRIM(J121&amp;""))),"⚠"&amp;TRIM(J121&amp;""))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",TRIM(E122&amp;""))-1),코드표!$J$2:$J$101,0)),ISNUMBER(MATCH(TRIM(RIGHT(SUBSTITUTE(TRIM(E122&amp;"")," ",REPT(" ",60)),60)),코드표!$F$2:$F$101,0))),INDEX(코드표!$K$2:$K$101,MATCH(LEFT(TRIM(E122&amp;""),FIND(" ",TRIM(E122&amp;""))-1),코드표!$J$2:$J$101,0))&amp;" "&amp;INDEX(코드표!$G$2:$G$101,MATCH(TRIM(RIGHT(SUBSTITUTE(TRIM(E122&amp;"")," ",REPT(" ",60)),60)),코드표!$F$2:$F$101,0)),"⚠"&amp;TRIM(E122&amp;""))),"⚠"&amp;TRIM(E122&amp;""))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",TRIM(F122&amp;""))-1),코드표!$J$2:$J$101,0)),ISNUMBER(MATCH(TRIM(RIGHT(SUBSTITUTE(TRIM(F122&amp;"")," ",REPT(" ",60)),60)),코드표!$F$2:$F$101,0))),INDEX(코드표!$K$2:$K$101,MATCH(LEFT(TRIM(F122&amp;""),FIND(" ",TRIM(F122&amp;""))-1),코드표!$J$2:$J$101,0))&amp;" "&amp;INDEX(코드표!$G$2:$G$101,MATCH(TRIM(RIGHT(SUBSTITUTE(TRIM(F122&amp;"")," ",REPT(" ",60)),60)),코드표!$F$2:$F$101,0)),"⚠"&amp;TRIM(F122&amp;""))),"⚠"&amp;TRIM(F122&amp;""))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",TRIM(G122&amp;""))-1),코드표!$J$2:$J$101,0)),ISNUMBER(MATCH(TRIM(RIGHT(SUBSTITUTE(TRIM(G122&amp;"")," ",REPT(" ",60)),60)),코드표!$F$2:$F$101,0))),INDEX(코드표!$K$2:$K$101,MATCH(LEFT(TRIM(G122&amp;""),FIND(" ",TRIM(G122&amp;""))-1),코드표!$J$2:$J$101,0))&amp;" "&amp;INDEX(코드표!$G$2:$G$101,MATCH(TRIM(RIGHT(SUBSTITUTE(TRIM(G122&amp;"")," ",REPT(" ",60)),60)),코드표!$F$2:$F$101,0)),"⚠"&amp;TRIM(G122&amp;""))),"⚠"&amp;TRIM(G122&amp;""))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",TRIM(H122&amp;""))-1),코드표!$J$2:$J$101,0)),ISNUMBER(MATCH(TRIM(RIGHT(SUBSTITUTE(TRIM(H122&amp;"")," ",REPT(" ",60)),60)),코드표!$F$2:$F$101,0))),INDEX(코드표!$K$2:$K$101,MATCH(LEFT(TRIM(H122&amp;""),FIND(" ",TRIM(H122&amp;""))-1),코드표!$J$2:$J$101,0))&amp;" "&amp;INDEX(코드표!$G$2:$G$101,MATCH(TRIM(RIGHT(SUBSTITUTE(TRIM(H122&amp;"")," ",REPT(" ",60)),60)),코드표!$F$2:$F$101,0)),"⚠"&amp;TRIM(H122&amp;""))),"⚠"&amp;TRIM(H122&amp;""))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",TRIM(I122&amp;""))-1),코드표!$J$2:$J$101,0)),ISNUMBER(MATCH(TRIM(RIGHT(SUBSTITUTE(TRIM(I122&amp;"")," ",REPT(" ",60)),60)),코드표!$F$2:$F$101,0))),INDEX(코드표!$K$2:$K$101,MATCH(LEFT(TRIM(I122&amp;""),FIND(" ",TRIM(I122&amp;""))-1),코드표!$J$2:$J$101,0))&amp;" "&amp;INDEX(코드표!$G$2:$G$101,MATCH(TRIM(RIGHT(SUBSTITUTE(TRIM(I122&amp;"")," ",REPT(" ",60)),60)),코드표!$F$2:$F$101,0)),"⚠"&amp;TRIM(I122&amp;""))),"⚠"&amp;TRIM(I122&amp;""))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",TRIM(J122&amp;""))-1),코드표!$J$2:$J$101,0)),ISNUMBER(MATCH(TRIM(RIGHT(SUBSTITUTE(TRIM(J122&amp;"")," ",REPT(" ",60)),60)),코드표!$F$2:$F$101,0))),INDEX(코드표!$K$2:$K$101,MATCH(LEFT(TRIM(J122&amp;""),FIND(" ",TRIM(J122&amp;""))-1),코드표!$J$2:$J$101,0))&amp;" "&amp;INDEX(코드표!$G$2:$G$101,MATCH(TRIM(RIGHT(SUBSTITUTE(TRIM(J122&amp;"")," ",REPT(" ",60)),60)),코드표!$F$2:$F$101,0)),"⚠"&amp;TRIM(J122&amp;""))),"⚠"&amp;TRIM(J122&amp;""))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",TRIM(E123&amp;""))-1),코드표!$J$2:$J$101,0)),ISNUMBER(MATCH(TRIM(RIGHT(SUBSTITUTE(TRIM(E123&amp;"")," ",REPT(" ",60)),60)),코드표!$F$2:$F$101,0))),INDEX(코드표!$K$2:$K$101,MATCH(LEFT(TRIM(E123&amp;""),FIND(" ",TRIM(E123&amp;""))-1),코드표!$J$2:$J$101,0))&amp;" "&amp;INDEX(코드표!$G$2:$G$101,MATCH(TRIM(RIGHT(SUBSTITUTE(TRIM(E123&amp;"")," ",REPT(" ",60)),60)),코드표!$F$2:$F$101,0)),"⚠"&amp;TRIM(E123&amp;""))),"⚠"&amp;TRIM(E123&amp;""))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",TRIM(F123&amp;""))-1),코드표!$J$2:$J$101,0)),ISNUMBER(MATCH(TRIM(RIGHT(SUBSTITUTE(TRIM(F123&amp;"")," ",REPT(" ",60)),60)),코드표!$F$2:$F$101,0))),INDEX(코드표!$K$2:$K$101,MATCH(LEFT(TRIM(F123&amp;""),FIND(" ",TRIM(F123&amp;""))-1),코드표!$J$2:$J$101,0))&amp;" "&amp;INDEX(코드표!$G$2:$G$101,MATCH(TRIM(RIGHT(SUBSTITUTE(TRIM(F123&amp;"")," ",REPT(" ",60)),60)),코드표!$F$2:$F$101,0)),"⚠"&amp;TRIM(F123&amp;""))),"⚠"&amp;TRIM(F123&amp;""))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",TRIM(G123&amp;""))-1),코드표!$J$2:$J$101,0)),ISNUMBER(MATCH(TRIM(RIGHT(SUBSTITUTE(TRIM(G123&amp;"")," ",REPT(" ",60)),60)),코드표!$F$2:$F$101,0))),INDEX(코드표!$K$2:$K$101,MATCH(LEFT(TRIM(G123&amp;""),FIND(" ",TRIM(G123&amp;""))-1),코드표!$J$2:$J$101,0))&amp;" "&amp;INDEX(코드표!$G$2:$G$101,MATCH(TRIM(RIGHT(SUBSTITUTE(TRIM(G123&amp;"")," ",REPT(" ",60)),60)),코드표!$F$2:$F$101,0)),"⚠"&amp;TRIM(G123&amp;""))),"⚠"&amp;TRIM(G123&amp;""))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",TRIM(H123&amp;""))-1),코드표!$J$2:$J$101,0)),ISNUMBER(MATCH(TRIM(RIGHT(SUBSTITUTE(TRIM(H123&amp;"")," ",REPT(" ",60)),60)),코드표!$F$2:$F$101,0))),INDEX(코드표!$K$2:$K$101,MATCH(LEFT(TRIM(H123&amp;""),FIND(" ",TRIM(H123&amp;""))-1),코드표!$J$2:$J$101,0))&amp;" "&amp;INDEX(코드표!$G$2:$G$101,MATCH(TRIM(RIGHT(SUBSTITUTE(TRIM(H123&amp;"")," ",REPT(" ",60)),60)),코드표!$F$2:$F$101,0)),"⚠"&amp;TRIM(H123&amp;""))),"⚠"&amp;TRIM(H123&amp;""))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",TRIM(I123&amp;""))-1),코드표!$J$2:$J$101,0)),ISNUMBER(MATCH(TRIM(RIGHT(SUBSTITUTE(TRIM(I123&amp;"")," ",REPT(" ",60)),60)),코드표!$F$2:$F$101,0))),INDEX(코드표!$K$2:$K$101,MATCH(LEFT(TRIM(I123&amp;""),FIND(" ",TRIM(I123&amp;""))-1),코드표!$J$2:$J$101,0))&amp;" "&amp;INDEX(코드표!$G$2:$G$101,MATCH(TRIM(RIGHT(SUBSTITUTE(TRIM(I123&amp;"")," ",REPT(" ",60)),60)),코드표!$F$2:$F$101,0)),"⚠"&amp;TRIM(I123&amp;""))),"⚠"&amp;TRIM(I123&amp;""))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",TRIM(J123&amp;""))-1),코드표!$J$2:$J$101,0)),ISNUMBER(MATCH(TRIM(RIGHT(SUBSTITUTE(TRIM(J123&amp;"")," ",REPT(" ",60)),60)),코드표!$F$2:$F$101,0))),INDEX(코드표!$K$2:$K$101,MATCH(LEFT(TRIM(J123&amp;""),FIND(" ",TRIM(J123&amp;""))-1),코드표!$J$2:$J$101,0))&amp;" "&amp;INDEX(코드표!$G$2:$G$101,MATCH(TRIM(RIGHT(SUBSTITUTE(TRIM(J123&amp;"")," ",REPT(" ",60)),60)),코드표!$F$2:$F$101,0)),"⚠"&amp;TRIM(J123&amp;""))),"⚠"&amp;TRIM(J123&amp;""))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",TRIM(E124&amp;""))-1),코드표!$J$2:$J$101,0)),ISNUMBER(MATCH(TRIM(RIGHT(SUBSTITUTE(TRIM(E124&amp;"")," ",REPT(" ",60)),60)),코드표!$F$2:$F$101,0))),INDEX(코드표!$K$2:$K$101,MATCH(LEFT(TRIM(E124&amp;""),FIND(" ",TRIM(E124&amp;""))-1),코드표!$J$2:$J$101,0))&amp;" "&amp;INDEX(코드표!$G$2:$G$101,MATCH(TRIM(RIGHT(SUBSTITUTE(TRIM(E124&amp;"")," ",REPT(" ",60)),60)),코드표!$F$2:$F$101,0)),"⚠"&amp;TRIM(E124&amp;""))),"⚠"&amp;TRIM(E124&amp;""))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",TRIM(F124&amp;""))-1),코드표!$J$2:$J$101,0)),ISNUMBER(MATCH(TRIM(RIGHT(SUBSTITUTE(TRIM(F124&amp;"")," ",REPT(" ",60)),60)),코드표!$F$2:$F$101,0))),INDEX(코드표!$K$2:$K$101,MATCH(LEFT(TRIM(F124&amp;""),FIND(" ",TRIM(F124&amp;""))-1),코드표!$J$2:$J$101,0))&amp;" "&amp;INDEX(코드표!$G$2:$G$101,MATCH(TRIM(RIGHT(SUBSTITUTE(TRIM(F124&amp;"")," ",REPT(" ",60)),60)),코드표!$F$2:$F$101,0)),"⚠"&amp;TRIM(F124&amp;""))),"⚠"&amp;TRIM(F124&amp;""))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",TRIM(G124&amp;""))-1),코드표!$J$2:$J$101,0)),ISNUMBER(MATCH(TRIM(RIGHT(SUBSTITUTE(TRIM(G124&amp;"")," ",REPT(" ",60)),60)),코드표!$F$2:$F$101,0))),INDEX(코드표!$K$2:$K$101,MATCH(LEFT(TRIM(G124&amp;""),FIND(" ",TRIM(G124&amp;""))-1),코드표!$J$2:$J$101,0))&amp;" "&amp;INDEX(코드표!$G$2:$G$101,MATCH(TRIM(RIGHT(SUBSTITUTE(TRIM(G124&amp;"")," ",REPT(" ",60)),60)),코드표!$F$2:$F$101,0)),"⚠"&amp;TRIM(G124&amp;""))),"⚠"&amp;TRIM(G124&amp;""))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",TRIM(H124&amp;""))-1),코드표!$J$2:$J$101,0)),ISNUMBER(MATCH(TRIM(RIGHT(SUBSTITUTE(TRIM(H124&amp;"")," ",REPT(" ",60)),60)),코드표!$F$2:$F$101,0))),INDEX(코드표!$K$2:$K$101,MATCH(LEFT(TRIM(H124&amp;""),FIND(" ",TRIM(H124&amp;""))-1),코드표!$J$2:$J$101,0))&amp;" "&amp;INDEX(코드표!$G$2:$G$101,MATCH(TRIM(RIGHT(SUBSTITUTE(TRIM(H124&amp;"")," ",REPT(" ",60)),60)),코드표!$F$2:$F$101,0)),"⚠"&amp;TRIM(H124&amp;""))),"⚠"&amp;TRIM(H124&amp;""))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",TRIM(I124&amp;""))-1),코드표!$J$2:$J$101,0)),ISNUMBER(MATCH(TRIM(RIGHT(SUBSTITUTE(TRIM(I124&amp;"")," ",REPT(" ",60)),60)),코드표!$F$2:$F$101,0))),INDEX(코드표!$K$2:$K$101,MATCH(LEFT(TRIM(I124&amp;""),FIND(" ",TRIM(I124&amp;""))-1),코드표!$J$2:$J$101,0))&amp;" "&amp;INDEX(코드표!$G$2:$G$101,MATCH(TRIM(RIGHT(SUBSTITUTE(TRIM(I124&amp;"")," ",REPT(" ",60)),60)),코드표!$F$2:$F$101,0)),"⚠"&amp;TRIM(I124&amp;""))),"⚠"&amp;TRIM(I124&amp;""))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",TRIM(J124&amp;""))-1),코드표!$J$2:$J$101,0)),ISNUMBER(MATCH(TRIM(RIGHT(SUBSTITUTE(TRIM(J124&amp;"")," ",REPT(" ",60)),60)),코드표!$F$2:$F$101,0))),INDEX(코드표!$K$2:$K$101,MATCH(LEFT(TRIM(J124&amp;""),FIND(" ",TRIM(J124&amp;""))-1),코드표!$J$2:$J$101,0))&amp;" "&amp;INDEX(코드표!$G$2:$G$101,MATCH(TRIM(RIGHT(SUBSTITUTE(TRIM(J124&amp;"")," ",REPT(" ",60)),60)),코드표!$F$2:$F$101,0)),"⚠"&amp;TRIM(J124&amp;""))),"⚠"&amp;TRIM(J124&amp;""))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",TRIM(E125&amp;""))-1),코드표!$J$2:$J$101,0)),ISNUMBER(MATCH(TRIM(RIGHT(SUBSTITUTE(TRIM(E125&amp;"")," ",REPT(" ",60)),60)),코드표!$F$2:$F$101,0))),INDEX(코드표!$K$2:$K$101,MATCH(LEFT(TRIM(E125&amp;""),FIND(" ",TRIM(E125&amp;""))-1),코드표!$J$2:$J$101,0))&amp;" "&amp;INDEX(코드표!$G$2:$G$101,MATCH(TRIM(RIGHT(SUBSTITUTE(TRIM(E125&amp;"")," ",REPT(" ",60)),60)),코드표!$F$2:$F$101,0)),"⚠"&amp;TRIM(E125&amp;""))),"⚠"&amp;TRIM(E125&amp;""))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",TRIM(F125&amp;""))-1),코드표!$J$2:$J$101,0)),ISNUMBER(MATCH(TRIM(RIGHT(SUBSTITUTE(TRIM(F125&amp;"")," ",REPT(" ",60)),60)),코드표!$F$2:$F$101,0))),INDEX(코드표!$K$2:$K$101,MATCH(LEFT(TRIM(F125&amp;""),FIND(" ",TRIM(F125&amp;""))-1),코드표!$J$2:$J$101,0))&amp;" "&amp;INDEX(코드표!$G$2:$G$101,MATCH(TRIM(RIGHT(SUBSTITUTE(TRIM(F125&amp;"")," ",REPT(" ",60)),60)),코드표!$F$2:$F$101,0)),"⚠"&amp;TRIM(F125&amp;""))),"⚠"&amp;TRIM(F125&amp;""))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",TRIM(G125&amp;""))-1),코드표!$J$2:$J$101,0)),ISNUMBER(MATCH(TRIM(RIGHT(SUBSTITUTE(TRIM(G125&amp;"")," ",REPT(" ",60)),60)),코드표!$F$2:$F$101,0))),INDEX(코드표!$K$2:$K$101,MATCH(LEFT(TRIM(G125&amp;""),FIND(" ",TRIM(G125&amp;""))-1),코드표!$J$2:$J$101,0))&amp;" "&amp;INDEX(코드표!$G$2:$G$101,MATCH(TRIM(RIGHT(SUBSTITUTE(TRIM(G125&amp;"")," ",REPT(" ",60)),60)),코드표!$F$2:$F$101,0)),"⚠"&amp;TRIM(G125&amp;""))),"⚠"&amp;TRIM(G125&amp;""))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",TRIM(H125&amp;""))-1),코드표!$J$2:$J$101,0)),ISNUMBER(MATCH(TRIM(RIGHT(SUBSTITUTE(TRIM(H125&amp;"")," ",REPT(" ",60)),60)),코드표!$F$2:$F$101,0))),INDEX(코드표!$K$2:$K$101,MATCH(LEFT(TRIM(H125&amp;""),FIND(" ",TRIM(H125&amp;""))-1),코드표!$J$2:$J$101,0))&amp;" "&amp;INDEX(코드표!$G$2:$G$101,MATCH(TRIM(RIGHT(SUBSTITUTE(TRIM(H125&amp;"")," ",REPT(" ",60)),60)),코드표!$F$2:$F$101,0)),"⚠"&amp;TRIM(H125&amp;""))),"⚠"&amp;TRIM(H125&amp;""))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",TRIM(I125&amp;""))-1),코드표!$J$2:$J$101,0)),ISNUMBER(MATCH(TRIM(RIGHT(SUBSTITUTE(TRIM(I125&amp;"")," ",REPT(" ",60)),60)),코드표!$F$2:$F$101,0))),INDEX(코드표!$K$2:$K$101,MATCH(LEFT(TRIM(I125&amp;""),FIND(" ",TRIM(I125&amp;""))-1),코드표!$J$2:$J$101,0))&amp;" "&amp;INDEX(코드표!$G$2:$G$101,MATCH(TRIM(RIGHT(SUBSTITUTE(TRIM(I125&amp;"")," ",REPT(" ",60)),60)),코드표!$F$2:$F$101,0)),"⚠"&amp;TRIM(I125&amp;""))),"⚠"&amp;TRIM(I125&amp;""))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",TRIM(J125&amp;""))-1),코드표!$J$2:$J$101,0)),ISNUMBER(MATCH(TRIM(RIGHT(SUBSTITUTE(TRIM(J125&amp;"")," ",REPT(" ",60)),60)),코드표!$F$2:$F$101,0))),INDEX(코드표!$K$2:$K$101,MATCH(LEFT(TRIM(J125&amp;""),FIND(" ",TRIM(J125&amp;""))-1),코드표!$J$2:$J$101,0))&amp;" "&amp;INDEX(코드표!$G$2:$G$101,MATCH(TRIM(RIGHT(SUBSTITUTE(TRIM(J125&amp;"")," ",REPT(" ",60)),60)),코드표!$F$2:$F$101,0)),"⚠"&amp;TRIM(J125&amp;""))),"⚠"&amp;TRIM(J125&amp;""))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",TRIM(E126&amp;""))-1),코드표!$J$2:$J$101,0)),ISNUMBER(MATCH(TRIM(RIGHT(SUBSTITUTE(TRIM(E126&amp;"")," ",REPT(" ",60)),60)),코드표!$F$2:$F$101,0))),INDEX(코드표!$K$2:$K$101,MATCH(LEFT(TRIM(E126&amp;""),FIND(" ",TRIM(E126&amp;""))-1),코드표!$J$2:$J$101,0))&amp;" "&amp;INDEX(코드표!$G$2:$G$101,MATCH(TRIM(RIGHT(SUBSTITUTE(TRIM(E126&amp;"")," ",REPT(" ",60)),60)),코드표!$F$2:$F$101,0)),"⚠"&amp;TRIM(E126&amp;""))),"⚠"&amp;TRIM(E126&amp;""))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",TRIM(F126&amp;""))-1),코드표!$J$2:$J$101,0)),ISNUMBER(MATCH(TRIM(RIGHT(SUBSTITUTE(TRIM(F126&amp;"")," ",REPT(" ",60)),60)),코드표!$F$2:$F$101,0))),INDEX(코드표!$K$2:$K$101,MATCH(LEFT(TRIM(F126&amp;""),FIND(" ",TRIM(F126&amp;""))-1),코드표!$J$2:$J$101,0))&amp;" "&amp;INDEX(코드표!$G$2:$G$101,MATCH(TRIM(RIGHT(SUBSTITUTE(TRIM(F126&amp;"")," ",REPT(" ",60)),60)),코드표!$F$2:$F$101,0)),"⚠"&amp;TRIM(F126&amp;""))),"⚠"&amp;TRIM(F126&amp;""))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",TRIM(G126&amp;""))-1),코드표!$J$2:$J$101,0)),ISNUMBER(MATCH(TRIM(RIGHT(SUBSTITUTE(TRIM(G126&amp;"")," ",REPT(" ",60)),60)),코드표!$F$2:$F$101,0))),INDEX(코드표!$K$2:$K$101,MATCH(LEFT(TRIM(G126&amp;""),FIND(" ",TRIM(G126&amp;""))-1),코드표!$J$2:$J$101,0))&amp;" "&amp;INDEX(코드표!$G$2:$G$101,MATCH(TRIM(RIGHT(SUBSTITUTE(TRIM(G126&amp;"")," ",REPT(" ",60)),60)),코드표!$F$2:$F$101,0)),"⚠"&amp;TRIM(G126&amp;""))),"⚠"&amp;TRIM(G126&amp;""))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",TRIM(H126&amp;""))-1),코드표!$J$2:$J$101,0)),ISNUMBER(MATCH(TRIM(RIGHT(SUBSTITUTE(TRIM(H126&amp;"")," ",REPT(" ",60)),60)),코드표!$F$2:$F$101,0))),INDEX(코드표!$K$2:$K$101,MATCH(LEFT(TRIM(H126&amp;""),FIND(" ",TRIM(H126&amp;""))-1),코드표!$J$2:$J$101,0))&amp;" "&amp;INDEX(코드표!$G$2:$G$101,MATCH(TRIM(RIGHT(SUBSTITUTE(TRIM(H126&amp;"")," ",REPT(" ",60)),60)),코드표!$F$2:$F$101,0)),"⚠"&amp;TRIM(H126&amp;""))),"⚠"&amp;TRIM(H126&amp;""))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",TRIM(I126&amp;""))-1),코드표!$J$2:$J$101,0)),ISNUMBER(MATCH(TRIM(RIGHT(SUBSTITUTE(TRIM(I126&amp;"")," ",REPT(" ",60)),60)),코드표!$F$2:$F$101,0))),INDEX(코드표!$K$2:$K$101,MATCH(LEFT(TRIM(I126&amp;""),FIND(" ",TRIM(I126&amp;""))-1),코드표!$J$2:$J$101,0))&amp;" "&amp;INDEX(코드표!$G$2:$G$101,MATCH(TRIM(RIGHT(SUBSTITUTE(TRIM(I126&amp;"")," ",REPT(" ",60)),60)),코드표!$F$2:$F$101,0)),"⚠"&amp;TRIM(I126&amp;""))),"⚠"&amp;TRIM(I126&amp;""))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",TRIM(J126&amp;""))-1),코드표!$J$2:$J$101,0)),ISNUMBER(MATCH(TRIM(RIGHT(SUBSTITUTE(TRIM(J126&amp;"")," ",REPT(" ",60)),60)),코드표!$F$2:$F$101,0))),INDEX(코드표!$K$2:$K$101,MATCH(LEFT(TRIM(J126&amp;""),FIND(" ",TRIM(J126&amp;""))-1),코드표!$J$2:$J$101,0))&amp;" "&amp;INDEX(코드표!$G$2:$G$101,MATCH(TRIM(RIGHT(SUBSTITUTE(TRIM(J126&amp;"")," ",REPT(" ",60)),60)),코드표!$F$2:$F$101,0)),"⚠"&amp;TRIM(J126&amp;""))),"⚠"&amp;TRIM(J126&amp;""))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",TRIM(E127&amp;""))-1),코드표!$J$2:$J$101,0)),ISNUMBER(MATCH(TRIM(RIGHT(SUBSTITUTE(TRIM(E127&amp;"")," ",REPT(" ",60)),60)),코드표!$F$2:$F$101,0))),INDEX(코드표!$K$2:$K$101,MATCH(LEFT(TRIM(E127&amp;""),FIND(" ",TRIM(E127&amp;""))-1),코드표!$J$2:$J$101,0))&amp;" "&amp;INDEX(코드표!$G$2:$G$101,MATCH(TRIM(RIGHT(SUBSTITUTE(TRIM(E127&amp;"")," ",REPT(" ",60)),60)),코드표!$F$2:$F$101,0)),"⚠"&amp;TRIM(E127&amp;""))),"⚠"&amp;TRIM(E127&amp;""))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",TRIM(F127&amp;""))-1),코드표!$J$2:$J$101,0)),ISNUMBER(MATCH(TRIM(RIGHT(SUBSTITUTE(TRIM(F127&amp;"")," ",REPT(" ",60)),60)),코드표!$F$2:$F$101,0))),INDEX(코드표!$K$2:$K$101,MATCH(LEFT(TRIM(F127&amp;""),FIND(" ",TRIM(F127&amp;""))-1),코드표!$J$2:$J$101,0))&amp;" "&amp;INDEX(코드표!$G$2:$G$101,MATCH(TRIM(RIGHT(SUBSTITUTE(TRIM(F127&amp;"")," ",REPT(" ",60)),60)),코드표!$F$2:$F$101,0)),"⚠"&amp;TRIM(F127&amp;""))),"⚠"&amp;TRIM(F127&amp;""))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",TRIM(G127&amp;""))-1),코드표!$J$2:$J$101,0)),ISNUMBER(MATCH(TRIM(RIGHT(SUBSTITUTE(TRIM(G127&amp;"")," ",REPT(" ",60)),60)),코드표!$F$2:$F$101,0))),INDEX(코드표!$K$2:$K$101,MATCH(LEFT(TRIM(G127&amp;""),FIND(" ",TRIM(G127&amp;""))-1),코드표!$J$2:$J$101,0))&amp;" "&amp;INDEX(코드표!$G$2:$G$101,MATCH(TRIM(RIGHT(SUBSTITUTE(TRIM(G127&amp;"")," ",REPT(" ",60)),60)),코드표!$F$2:$F$101,0)),"⚠"&amp;TRIM(G127&amp;""))),"⚠"&amp;TRIM(G127&amp;""))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",TRIM(H127&amp;""))-1),코드표!$J$2:$J$101,0)),ISNUMBER(MATCH(TRIM(RIGHT(SUBSTITUTE(TRIM(H127&amp;"")," ",REPT(" ",60)),60)),코드표!$F$2:$F$101,0))),INDEX(코드표!$K$2:$K$101,MATCH(LEFT(TRIM(H127&amp;""),FIND(" ",TRIM(H127&amp;""))-1),코드표!$J$2:$J$101,0))&amp;" "&amp;INDEX(코드표!$G$2:$G$101,MATCH(TRIM(RIGHT(SUBSTITUTE(TRIM(H127&amp;"")," ",REPT(" ",60)),60)),코드표!$F$2:$F$101,0)),"⚠"&amp;TRIM(H127&amp;""))),"⚠"&amp;TRIM(H127&amp;""))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",TRIM(I127&amp;""))-1),코드표!$J$2:$J$101,0)),ISNUMBER(MATCH(TRIM(RIGHT(SUBSTITUTE(TRIM(I127&amp;"")," ",REPT(" ",60)),60)),코드표!$F$2:$F$101,0))),INDEX(코드표!$K$2:$K$101,MATCH(LEFT(TRIM(I127&amp;""),FIND(" ",TRIM(I127&amp;""))-1),코드표!$J$2:$J$101,0))&amp;" "&amp;INDEX(코드표!$G$2:$G$101,MATCH(TRIM(RIGHT(SUBSTITUTE(TRIM(I127&amp;"")," ",REPT(" ",60)),60)),코드표!$F$2:$F$101,0)),"⚠"&amp;TRIM(I127&amp;""))),"⚠"&amp;TRIM(I127&amp;""))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",TRIM(J127&amp;""))-1),코드표!$J$2:$J$101,0)),ISNUMBER(MATCH(TRIM(RIGHT(SUBSTITUTE(TRIM(J127&amp;"")," ",REPT(" ",60)),60)),코드표!$F$2:$F$101,0))),INDEX(코드표!$K$2:$K$101,MATCH(LEFT(TRIM(J127&amp;""),FIND(" ",TRIM(J127&amp;""))-1),코드표!$J$2:$J$101,0))&amp;" "&amp;INDEX(코드표!$G$2:$G$101,MATCH(TRIM(RIGHT(SUBSTITUTE(TRIM(J127&amp;"")," ",REPT(" ",60)),60)),코드표!$F$2:$F$101,0)),"⚠"&amp;TRIM(J127&amp;""))),"⚠"&amp;TRIM(J127&amp;""))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",TRIM(E128&amp;""))-1),코드표!$J$2:$J$101,0)),ISNUMBER(MATCH(TRIM(RIGHT(SUBSTITUTE(TRIM(E128&amp;"")," ",REPT(" ",60)),60)),코드표!$F$2:$F$101,0))),INDEX(코드표!$K$2:$K$101,MATCH(LEFT(TRIM(E128&amp;""),FIND(" ",TRIM(E128&amp;""))-1),코드표!$J$2:$J$101,0))&amp;" "&amp;INDEX(코드표!$G$2:$G$101,MATCH(TRIM(RIGHT(SUBSTITUTE(TRIM(E128&amp;"")," ",REPT(" ",60)),60)),코드표!$F$2:$F$101,0)),"⚠"&amp;TRIM(E128&amp;""))),"⚠"&amp;TRIM(E128&amp;""))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",TRIM(F128&amp;""))-1),코드표!$J$2:$J$101,0)),ISNUMBER(MATCH(TRIM(RIGHT(SUBSTITUTE(TRIM(F128&amp;"")," ",REPT(" ",60)),60)),코드표!$F$2:$F$101,0))),INDEX(코드표!$K$2:$K$101,MATCH(LEFT(TRIM(F128&amp;""),FIND(" ",TRIM(F128&amp;""))-1),코드표!$J$2:$J$101,0))&amp;" "&amp;INDEX(코드표!$G$2:$G$101,MATCH(TRIM(RIGHT(SUBSTITUTE(TRIM(F128&amp;"")," ",REPT(" ",60)),60)),코드표!$F$2:$F$101,0)),"⚠"&amp;TRIM(F128&amp;""))),"⚠"&amp;TRIM(F128&amp;""))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",TRIM(G128&amp;""))-1),코드표!$J$2:$J$101,0)),ISNUMBER(MATCH(TRIM(RIGHT(SUBSTITUTE(TRIM(G128&amp;"")," ",REPT(" ",60)),60)),코드표!$F$2:$F$101,0))),INDEX(코드표!$K$2:$K$101,MATCH(LEFT(TRIM(G128&amp;""),FIND(" ",TRIM(G128&amp;""))-1),코드표!$J$2:$J$101,0))&amp;" "&amp;INDEX(코드표!$G$2:$G$101,MATCH(TRIM(RIGHT(SUBSTITUTE(TRIM(G128&amp;"")," ",REPT(" ",60)),60)),코드표!$F$2:$F$101,0)),"⚠"&amp;TRIM(G128&amp;""))),"⚠"&amp;TRIM(G128&amp;""))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",TRIM(H128&amp;""))-1),코드표!$J$2:$J$101,0)),ISNUMBER(MATCH(TRIM(RIGHT(SUBSTITUTE(TRIM(H128&amp;"")," ",REPT(" ",60)),60)),코드표!$F$2:$F$101,0))),INDEX(코드표!$K$2:$K$101,MATCH(LEFT(TRIM(H128&amp;""),FIND(" ",TRIM(H128&amp;""))-1),코드표!$J$2:$J$101,0))&amp;" "&amp;INDEX(코드표!$G$2:$G$101,MATCH(TRIM(RIGHT(SUBSTITUTE(TRIM(H128&amp;"")," ",REPT(" ",60)),60)),코드표!$F$2:$F$101,0)),"⚠"&amp;TRIM(H128&amp;""))),"⚠"&amp;TRIM(H128&amp;""))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",TRIM(I128&amp;""))-1),코드표!$J$2:$J$101,0)),ISNUMBER(MATCH(TRIM(RIGHT(SUBSTITUTE(TRIM(I128&amp;"")," ",REPT(" ",60)),60)),코드표!$F$2:$F$101,0))),INDEX(코드표!$K$2:$K$101,MATCH(LEFT(TRIM(I128&amp;""),FIND(" ",TRIM(I128&amp;""))-1),코드표!$J$2:$J$101,0))&amp;" "&amp;INDEX(코드표!$G$2:$G$101,MATCH(TRIM(RIGHT(SUBSTITUTE(TRIM(I128&amp;"")," ",REPT(" ",60)),60)),코드표!$F$2:$F$101,0)),"⚠"&amp;TRIM(I128&amp;""))),"⚠"&amp;TRIM(I128&amp;""))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",TRIM(J128&amp;""))-1),코드표!$J$2:$J$101,0)),ISNUMBER(MATCH(TRIM(RIGHT(SUBSTITUTE(TRIM(J128&amp;"")," ",REPT(" ",60)),60)),코드표!$F$2:$F$101,0))),INDEX(코드표!$K$2:$K$101,MATCH(LEFT(TRIM(J128&amp;""),FIND(" ",TRIM(J128&amp;""))-1),코드표!$J$2:$J$101,0))&amp;" "&amp;INDEX(코드표!$G$2:$G$101,MATCH(TRIM(RIGHT(SUBSTITUTE(TRIM(J128&amp;"")," ",REPT(" ",60)),60)),코드표!$F$2:$F$101,0)),"⚠"&amp;TRIM(J128&amp;""))),"⚠"&amp;TRIM(J128&amp;""))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",TRIM(E129&amp;""))-1),코드표!$J$2:$J$101,0)),ISNUMBER(MATCH(TRIM(RIGHT(SUBSTITUTE(TRIM(E129&amp;"")," ",REPT(" ",60)),60)),코드표!$F$2:$F$101,0))),INDEX(코드표!$K$2:$K$101,MATCH(LEFT(TRIM(E129&amp;""),FIND(" ",TRIM(E129&amp;""))-1),코드표!$J$2:$J$101,0))&amp;" "&amp;INDEX(코드표!$G$2:$G$101,MATCH(TRIM(RIGHT(SUBSTITUTE(TRIM(E129&amp;"")," ",REPT(" ",60)),60)),코드표!$F$2:$F$101,0)),"⚠"&amp;TRIM(E129&amp;""))),"⚠"&amp;TRIM(E129&amp;""))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",TRIM(F129&amp;""))-1),코드표!$J$2:$J$101,0)),ISNUMBER(MATCH(TRIM(RIGHT(SUBSTITUTE(TRIM(F129&amp;"")," ",REPT(" ",60)),60)),코드표!$F$2:$F$101,0))),INDEX(코드표!$K$2:$K$101,MATCH(LEFT(TRIM(F129&amp;""),FIND(" ",TRIM(F129&amp;""))-1),코드표!$J$2:$J$101,0))&amp;" "&amp;INDEX(코드표!$G$2:$G$101,MATCH(TRIM(RIGHT(SUBSTITUTE(TRIM(F129&amp;"")," ",REPT(" ",60)),60)),코드표!$F$2:$F$101,0)),"⚠"&amp;TRIM(F129&amp;""))),"⚠"&amp;TRIM(F129&amp;""))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",TRIM(G129&amp;""))-1),코드표!$J$2:$J$101,0)),ISNUMBER(MATCH(TRIM(RIGHT(SUBSTITUTE(TRIM(G129&amp;"")," ",REPT(" ",60)),60)),코드표!$F$2:$F$101,0))),INDEX(코드표!$K$2:$K$101,MATCH(LEFT(TRIM(G129&amp;""),FIND(" ",TRIM(G129&amp;""))-1),코드표!$J$2:$J$101,0))&amp;" "&amp;INDEX(코드표!$G$2:$G$101,MATCH(TRIM(RIGHT(SUBSTITUTE(TRIM(G129&amp;"")," ",REPT(" ",60)),60)),코드표!$F$2:$F$101,0)),"⚠"&amp;TRIM(G129&amp;""))),"⚠"&amp;TRIM(G129&amp;""))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",TRIM(H129&amp;""))-1),코드표!$J$2:$J$101,0)),ISNUMBER(MATCH(TRIM(RIGHT(SUBSTITUTE(TRIM(H129&amp;"")," ",REPT(" ",60)),60)),코드표!$F$2:$F$101,0))),INDEX(코드표!$K$2:$K$101,MATCH(LEFT(TRIM(H129&amp;""),FIND(" ",TRIM(H129&amp;""))-1),코드표!$J$2:$J$101,0))&amp;" "&amp;INDEX(코드표!$G$2:$G$101,MATCH(TRIM(RIGHT(SUBSTITUTE(TRIM(H129&amp;"")," ",REPT(" ",60)),60)),코드표!$F$2:$F$101,0)),"⚠"&amp;TRIM(H129&amp;""))),"⚠"&amp;TRIM(H129&amp;""))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",TRIM(I129&amp;""))-1),코드표!$J$2:$J$101,0)),ISNUMBER(MATCH(TRIM(RIGHT(SUBSTITUTE(TRIM(I129&amp;"")," ",REPT(" ",60)),60)),코드표!$F$2:$F$101,0))),INDEX(코드표!$K$2:$K$101,MATCH(LEFT(TRIM(I129&amp;""),FIND(" ",TRIM(I129&amp;""))-1),코드표!$J$2:$J$101,0))&amp;" "&amp;INDEX(코드표!$G$2:$G$101,MATCH(TRIM(RIGHT(SUBSTITUTE(TRIM(I129&amp;"")," ",REPT(" ",60)),60)),코드표!$F$2:$F$101,0)),"⚠"&amp;TRIM(I129&amp;""))),"⚠"&amp;TRIM(I129&amp;""))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",TRIM(J129&amp;""))-1),코드표!$J$2:$J$101,0)),ISNUMBER(MATCH(TRIM(RIGHT(SUBSTITUTE(TRIM(J129&amp;"")," ",REPT(" ",60)),60)),코드표!$F$2:$F$101,0))),INDEX(코드표!$K$2:$K$101,MATCH(LEFT(TRIM(J129&amp;""),FIND(" ",TRIM(J129&amp;""))-1),코드표!$J$2:$J$101,0))&amp;" "&amp;INDEX(코드표!$G$2:$G$101,MATCH(TRIM(RIGHT(SUBSTITUTE(TRIM(J129&amp;"")," ",REPT(" ",60)),60)),코드표!$F$2:$F$101,0)),"⚠"&amp;TRIM(J129&amp;""))),"⚠"&amp;TRIM(J129&amp;""))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",TRIM(E130&amp;""))-1),코드표!$J$2:$J$101,0)),ISNUMBER(MATCH(TRIM(RIGHT(SUBSTITUTE(TRIM(E130&amp;"")," ",REPT(" ",60)),60)),코드표!$F$2:$F$101,0))),INDEX(코드표!$K$2:$K$101,MATCH(LEFT(TRIM(E130&amp;""),FIND(" ",TRIM(E130&amp;""))-1),코드표!$J$2:$J$101,0))&amp;" "&amp;INDEX(코드표!$G$2:$G$101,MATCH(TRIM(RIGHT(SUBSTITUTE(TRIM(E130&amp;"")," ",REPT(" ",60)),60)),코드표!$F$2:$F$101,0)),"⚠"&amp;TRIM(E130&amp;""))),"⚠"&amp;TRIM(E130&amp;""))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",TRIM(F130&amp;""))-1),코드표!$J$2:$J$101,0)),ISNUMBER(MATCH(TRIM(RIGHT(SUBSTITUTE(TRIM(F130&amp;"")," ",REPT(" ",60)),60)),코드표!$F$2:$F$101,0))),INDEX(코드표!$K$2:$K$101,MATCH(LEFT(TRIM(F130&amp;""),FIND(" ",TRIM(F130&amp;""))-1),코드표!$J$2:$J$101,0))&amp;" "&amp;INDEX(코드표!$G$2:$G$101,MATCH(TRIM(RIGHT(SUBSTITUTE(TRIM(F130&amp;"")," ",REPT(" ",60)),60)),코드표!$F$2:$F$101,0)),"⚠"&amp;TRIM(F130&amp;""))),"⚠"&amp;TRIM(F130&amp;""))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",TRIM(G130&amp;""))-1),코드표!$J$2:$J$101,0)),ISNUMBER(MATCH(TRIM(RIGHT(SUBSTITUTE(TRIM(G130&amp;"")," ",REPT(" ",60)),60)),코드표!$F$2:$F$101,0))),INDEX(코드표!$K$2:$K$101,MATCH(LEFT(TRIM(G130&amp;""),FIND(" ",TRIM(G130&amp;""))-1),코드표!$J$2:$J$101,0))&amp;" "&amp;INDEX(코드표!$G$2:$G$101,MATCH(TRIM(RIGHT(SUBSTITUTE(TRIM(G130&amp;"")," ",REPT(" ",60)),60)),코드표!$F$2:$F$101,0)),"⚠"&amp;TRIM(G130&amp;""))),"⚠"&amp;TRIM(G130&amp;""))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",TRIM(H130&amp;""))-1),코드표!$J$2:$J$101,0)),ISNUMBER(MATCH(TRIM(RIGHT(SUBSTITUTE(TRIM(H130&amp;"")," ",REPT(" ",60)),60)),코드표!$F$2:$F$101,0))),INDEX(코드표!$K$2:$K$101,MATCH(LEFT(TRIM(H130&amp;""),FIND(" ",TRIM(H130&amp;""))-1),코드표!$J$2:$J$101,0))&amp;" "&amp;INDEX(코드표!$G$2:$G$101,MATCH(TRIM(RIGHT(SUBSTITUTE(TRIM(H130&amp;"")," ",REPT(" ",60)),60)),코드표!$F$2:$F$101,0)),"⚠"&amp;TRIM(H130&amp;""))),"⚠"&amp;TRIM(H130&amp;""))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",TRIM(I130&amp;""))-1),코드표!$J$2:$J$101,0)),ISNUMBER(MATCH(TRIM(RIGHT(SUBSTITUTE(TRIM(I130&amp;"")," ",REPT(" ",60)),60)),코드표!$F$2:$F$101,0))),INDEX(코드표!$K$2:$K$101,MATCH(LEFT(TRIM(I130&amp;""),FIND(" ",TRIM(I130&amp;""))-1),코드표!$J$2:$J$101,0))&amp;" "&amp;INDEX(코드표!$G$2:$G$101,MATCH(TRIM(RIGHT(SUBSTITUTE(TRIM(I130&amp;"")," ",REPT(" ",60)),60)),코드표!$F$2:$F$101,0)),"⚠"&amp;TRIM(I130&amp;""))),"⚠"&amp;TRIM(I130&amp;""))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",TRIM(J130&amp;""))-1),코드표!$J$2:$J$101,0)),ISNUMBER(MATCH(TRIM(RIGHT(SUBSTITUTE(TRIM(J130&amp;"")," ",REPT(" ",60)),60)),코드표!$F$2:$F$101,0))),INDEX(코드표!$K$2:$K$101,MATCH(LEFT(TRIM(J130&amp;""),FIND(" ",TRIM(J130&amp;""))-1),코드표!$J$2:$J$101,0))&amp;" "&amp;INDEX(코드표!$G$2:$G$101,MATCH(TRIM(RIGHT(SUBSTITUTE(TRIM(J130&amp;"")," ",REPT(" ",60)),60)),코드표!$F$2:$F$101,0)),"⚠"&amp;TRIM(J130&amp;""))),"⚠"&amp;TRIM(J130&amp;""))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",TRIM(E131&amp;""))-1),코드표!$J$2:$J$101,0)),ISNUMBER(MATCH(TRIM(RIGHT(SUBSTITUTE(TRIM(E131&amp;"")," ",REPT(" ",60)),60)),코드표!$F$2:$F$101,0))),INDEX(코드표!$K$2:$K$101,MATCH(LEFT(TRIM(E131&amp;""),FIND(" ",TRIM(E131&amp;""))-1),코드표!$J$2:$J$101,0))&amp;" "&amp;INDEX(코드표!$G$2:$G$101,MATCH(TRIM(RIGHT(SUBSTITUTE(TRIM(E131&amp;"")," ",REPT(" ",60)),60)),코드표!$F$2:$F$101,0)),"⚠"&amp;TRIM(E131&amp;""))),"⚠"&amp;TRIM(E131&amp;""))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",TRIM(F131&amp;""))-1),코드표!$J$2:$J$101,0)),ISNUMBER(MATCH(TRIM(RIGHT(SUBSTITUTE(TRIM(F131&amp;"")," ",REPT(" ",60)),60)),코드표!$F$2:$F$101,0))),INDEX(코드표!$K$2:$K$101,MATCH(LEFT(TRIM(F131&amp;""),FIND(" ",TRIM(F131&amp;""))-1),코드표!$J$2:$J$101,0))&amp;" "&amp;INDEX(코드표!$G$2:$G$101,MATCH(TRIM(RIGHT(SUBSTITUTE(TRIM(F131&amp;"")," ",REPT(" ",60)),60)),코드표!$F$2:$F$101,0)),"⚠"&amp;TRIM(F131&amp;""))),"⚠"&amp;TRIM(F131&amp;""))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",TRIM(G131&amp;""))-1),코드표!$J$2:$J$101,0)),ISNUMBER(MATCH(TRIM(RIGHT(SUBSTITUTE(TRIM(G131&amp;"")," ",REPT(" ",60)),60)),코드표!$F$2:$F$101,0))),INDEX(코드표!$K$2:$K$101,MATCH(LEFT(TRIM(G131&amp;""),FIND(" ",TRIM(G131&amp;""))-1),코드표!$J$2:$J$101,0))&amp;" "&amp;INDEX(코드표!$G$2:$G$101,MATCH(TRIM(RIGHT(SUBSTITUTE(TRIM(G131&amp;"")," ",REPT(" ",60)),60)),코드표!$F$2:$F$101,0)),"⚠"&amp;TRIM(G131&amp;""))),"⚠"&amp;TRIM(G131&amp;""))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",TRIM(H131&amp;""))-1),코드표!$J$2:$J$101,0)),ISNUMBER(MATCH(TRIM(RIGHT(SUBSTITUTE(TRIM(H131&amp;"")," ",REPT(" ",60)),60)),코드표!$F$2:$F$101,0))),INDEX(코드표!$K$2:$K$101,MATCH(LEFT(TRIM(H131&amp;""),FIND(" ",TRIM(H131&amp;""))-1),코드표!$J$2:$J$101,0))&amp;" "&amp;INDEX(코드표!$G$2:$G$101,MATCH(TRIM(RIGHT(SUBSTITUTE(TRIM(H131&amp;"")," ",REPT(" ",60)),60)),코드표!$F$2:$F$101,0)),"⚠"&amp;TRIM(H131&amp;""))),"⚠"&amp;TRIM(H131&amp;""))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",TRIM(I131&amp;""))-1),코드표!$J$2:$J$101,0)),ISNUMBER(MATCH(TRIM(RIGHT(SUBSTITUTE(TRIM(I131&amp;"")," ",REPT(" ",60)),60)),코드표!$F$2:$F$101,0))),INDEX(코드표!$K$2:$K$101,MATCH(LEFT(TRIM(I131&amp;""),FIND(" ",TRIM(I131&amp;""))-1),코드표!$J$2:$J$101,0))&amp;" "&amp;INDEX(코드표!$G$2:$G$101,MATCH(TRIM(RIGHT(SUBSTITUTE(TRIM(I131&amp;"")," ",REPT(" ",60)),60)),코드표!$F$2:$F$101,0)),"⚠"&amp;TRIM(I131&amp;""))),"⚠"&amp;TRIM(I131&amp;""))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",TRIM(J131&amp;""))-1),코드표!$J$2:$J$101,0)),ISNUMBER(MATCH(TRIM(RIGHT(SUBSTITUTE(TRIM(J131&amp;"")," ",REPT(" ",60)),60)),코드표!$F$2:$F$101,0))),INDEX(코드표!$K$2:$K$101,MATCH(LEFT(TRIM(J131&amp;""),FIND(" ",TRIM(J131&amp;""))-1),코드표!$J$2:$J$101,0))&amp;" "&amp;INDEX(코드표!$G$2:$G$101,MATCH(TRIM(RIGHT(SUBSTITUTE(TRIM(J131&amp;"")," ",REPT(" ",60)),60)),코드표!$F$2:$F$101,0)),"⚠"&amp;TRIM(J131&amp;""))),"⚠"&amp;TRIM(J131&amp;""))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",TRIM(E132&amp;""))-1),코드표!$J$2:$J$101,0)),ISNUMBER(MATCH(TRIM(RIGHT(SUBSTITUTE(TRIM(E132&amp;"")," ",REPT(" ",60)),60)),코드표!$F$2:$F$101,0))),INDEX(코드표!$K$2:$K$101,MATCH(LEFT(TRIM(E132&amp;""),FIND(" ",TRIM(E132&amp;""))-1),코드표!$J$2:$J$101,0))&amp;" "&amp;INDEX(코드표!$G$2:$G$101,MATCH(TRIM(RIGHT(SUBSTITUTE(TRIM(E132&amp;"")," ",REPT(" ",60)),60)),코드표!$F$2:$F$101,0)),"⚠"&amp;TRIM(E132&amp;""))),"⚠"&amp;TRIM(E132&amp;""))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",TRIM(F132&amp;""))-1),코드표!$J$2:$J$101,0)),ISNUMBER(MATCH(TRIM(RIGHT(SUBSTITUTE(TRIM(F132&amp;"")," ",REPT(" ",60)),60)),코드표!$F$2:$F$101,0))),INDEX(코드표!$K$2:$K$101,MATCH(LEFT(TRIM(F132&amp;""),FIND(" ",TRIM(F132&amp;""))-1),코드표!$J$2:$J$101,0))&amp;" "&amp;INDEX(코드표!$G$2:$G$101,MATCH(TRIM(RIGHT(SUBSTITUTE(TRIM(F132&amp;"")," ",REPT(" ",60)),60)),코드표!$F$2:$F$101,0)),"⚠"&amp;TRIM(F132&amp;""))),"⚠"&amp;TRIM(F132&amp;""))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",TRIM(G132&amp;""))-1),코드표!$J$2:$J$101,0)),ISNUMBER(MATCH(TRIM(RIGHT(SUBSTITUTE(TRIM(G132&amp;"")," ",REPT(" ",60)),60)),코드표!$F$2:$F$101,0))),INDEX(코드표!$K$2:$K$101,MATCH(LEFT(TRIM(G132&amp;""),FIND(" ",TRIM(G132&amp;""))-1),코드표!$J$2:$J$101,0))&amp;" "&amp;INDEX(코드표!$G$2:$G$101,MATCH(TRIM(RIGHT(SUBSTITUTE(TRIM(G132&amp;"")," ",REPT(" ",60)),60)),코드표!$F$2:$F$101,0)),"⚠"&amp;TRIM(G132&amp;""))),"⚠"&amp;TRIM(G132&amp;""))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",TRIM(H132&amp;""))-1),코드표!$J$2:$J$101,0)),ISNUMBER(MATCH(TRIM(RIGHT(SUBSTITUTE(TRIM(H132&amp;"")," ",REPT(" ",60)),60)),코드표!$F$2:$F$101,0))),INDEX(코드표!$K$2:$K$101,MATCH(LEFT(TRIM(H132&amp;""),FIND(" ",TRIM(H132&amp;""))-1),코드표!$J$2:$J$101,0))&amp;" "&amp;INDEX(코드표!$G$2:$G$101,MATCH(TRIM(RIGHT(SUBSTITUTE(TRIM(H132&amp;"")," ",REPT(" ",60)),60)),코드표!$F$2:$F$101,0)),"⚠"&amp;TRIM(H132&amp;""))),"⚠"&amp;TRIM(H132&amp;""))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",TRIM(I132&amp;""))-1),코드표!$J$2:$J$101,0)),ISNUMBER(MATCH(TRIM(RIGHT(SUBSTITUTE(TRIM(I132&amp;"")," ",REPT(" ",60)),60)),코드표!$F$2:$F$101,0))),INDEX(코드표!$K$2:$K$101,MATCH(LEFT(TRIM(I132&amp;""),FIND(" ",TRIM(I132&amp;""))-1),코드표!$J$2:$J$101,0))&amp;" "&amp;INDEX(코드표!$G$2:$G$101,MATCH(TRIM(RIGHT(SUBSTITUTE(TRIM(I132&amp;"")," ",REPT(" ",60)),60)),코드표!$F$2:$F$101,0)),"⚠"&amp;TRIM(I132&amp;""))),"⚠"&amp;TRIM(I132&amp;""))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",TRIM(J132&amp;""))-1),코드표!$J$2:$J$101,0)),ISNUMBER(MATCH(TRIM(RIGHT(SUBSTITUTE(TRIM(J132&amp;"")," ",REPT(" ",60)),60)),코드표!$F$2:$F$101,0))),INDEX(코드표!$K$2:$K$101,MATCH(LEFT(TRIM(J132&amp;""),FIND(" ",TRIM(J132&amp;""))-1),코드표!$J$2:$J$101,0))&amp;" "&amp;INDEX(코드표!$G$2:$G$101,MATCH(TRIM(RIGHT(SUBSTITUTE(TRIM(J132&amp;"")," ",REPT(" ",60)),60)),코드표!$F$2:$F$101,0)),"⚠"&amp;TRIM(J132&amp;""))),"⚠"&amp;TRIM(J132&amp;""))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",TRIM(E133&amp;""))-1),코드표!$J$2:$J$101,0)),ISNUMBER(MATCH(TRIM(RIGHT(SUBSTITUTE(TRIM(E133&amp;"")," ",REPT(" ",60)),60)),코드표!$F$2:$F$101,0))),INDEX(코드표!$K$2:$K$101,MATCH(LEFT(TRIM(E133&amp;""),FIND(" ",TRIM(E133&amp;""))-1),코드표!$J$2:$J$101,0))&amp;" "&amp;INDEX(코드표!$G$2:$G$101,MATCH(TRIM(RIGHT(SUBSTITUTE(TRIM(E133&amp;"")," ",REPT(" ",60)),60)),코드표!$F$2:$F$101,0)),"⚠"&amp;TRIM(E133&amp;""))),"⚠"&amp;TRIM(E133&amp;""))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",TRIM(F133&amp;""))-1),코드표!$J$2:$J$101,0)),ISNUMBER(MATCH(TRIM(RIGHT(SUBSTITUTE(TRIM(F133&amp;"")," ",REPT(" ",60)),60)),코드표!$F$2:$F$101,0))),INDEX(코드표!$K$2:$K$101,MATCH(LEFT(TRIM(F133&amp;""),FIND(" ",TRIM(F133&amp;""))-1),코드표!$J$2:$J$101,0))&amp;" "&amp;INDEX(코드표!$G$2:$G$101,MATCH(TRIM(RIGHT(SUBSTITUTE(TRIM(F133&amp;"")," ",REPT(" ",60)),60)),코드표!$F$2:$F$101,0)),"⚠"&amp;TRIM(F133&amp;""))),"⚠"&amp;TRIM(F133&amp;""))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",TRIM(G133&amp;""))-1),코드표!$J$2:$J$101,0)),ISNUMBER(MATCH(TRIM(RIGHT(SUBSTITUTE(TRIM(G133&amp;"")," ",REPT(" ",60)),60)),코드표!$F$2:$F$101,0))),INDEX(코드표!$K$2:$K$101,MATCH(LEFT(TRIM(G133&amp;""),FIND(" ",TRIM(G133&amp;""))-1),코드표!$J$2:$J$101,0))&amp;" "&amp;INDEX(코드표!$G$2:$G$101,MATCH(TRIM(RIGHT(SUBSTITUTE(TRIM(G133&amp;"")," ",REPT(" ",60)),60)),코드표!$F$2:$F$101,0)),"⚠"&amp;TRIM(G133&amp;""))),"⚠"&amp;TRIM(G133&amp;""))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",TRIM(H133&amp;""))-1),코드표!$J$2:$J$101,0)),ISNUMBER(MATCH(TRIM(RIGHT(SUBSTITUTE(TRIM(H133&amp;"")," ",REPT(" ",60)),60)),코드표!$F$2:$F$101,0))),INDEX(코드표!$K$2:$K$101,MATCH(LEFT(TRIM(H133&amp;""),FIND(" ",TRIM(H133&amp;""))-1),코드표!$J$2:$J$101,0))&amp;" "&amp;INDEX(코드표!$G$2:$G$101,MATCH(TRIM(RIGHT(SUBSTITUTE(TRIM(H133&amp;"")," ",REPT(" ",60)),60)),코드표!$F$2:$F$101,0)),"⚠"&amp;TRIM(H133&amp;""))),"⚠"&amp;TRIM(H133&amp;""))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",TRIM(I133&amp;""))-1),코드표!$J$2:$J$101,0)),ISNUMBER(MATCH(TRIM(RIGHT(SUBSTITUTE(TRIM(I133&amp;"")," ",REPT(" ",60)),60)),코드표!$F$2:$F$101,0))),INDEX(코드표!$K$2:$K$101,MATCH(LEFT(TRIM(I133&amp;""),FIND(" ",TRIM(I133&amp;""))-1),코드표!$J$2:$J$101,0))&amp;" "&amp;INDEX(코드표!$G$2:$G$101,MATCH(TRIM(RIGHT(SUBSTITUTE(TRIM(I133&amp;"")," ",REPT(" ",60)),60)),코드표!$F$2:$F$101,0)),"⚠"&amp;TRIM(I133&amp;""))),"⚠"&amp;TRIM(I133&amp;""))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",TRIM(J133&amp;""))-1),코드표!$J$2:$J$101,0)),ISNUMBER(MATCH(TRIM(RIGHT(SUBSTITUTE(TRIM(J133&amp;"")," ",REPT(" ",60)),60)),코드표!$F$2:$F$101,0))),INDEX(코드표!$K$2:$K$101,MATCH(LEFT(TRIM(J133&amp;""),FIND(" ",TRIM(J133&amp;""))-1),코드표!$J$2:$J$101,0))&amp;" "&amp;INDEX(코드표!$G$2:$G$101,MATCH(TRIM(RIGHT(SUBSTITUTE(TRIM(J133&amp;"")," ",REPT(" ",60)),60)),코드표!$F$2:$F$101,0)),"⚠"&amp;TRIM(J133&amp;""))),"⚠"&amp;TRIM(J133&amp;""))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",TRIM(E134&amp;""))-1),코드표!$J$2:$J$101,0)),ISNUMBER(MATCH(TRIM(RIGHT(SUBSTITUTE(TRIM(E134&amp;"")," ",REPT(" ",60)),60)),코드표!$F$2:$F$101,0))),INDEX(코드표!$K$2:$K$101,MATCH(LEFT(TRIM(E134&amp;""),FIND(" ",TRIM(E134&amp;""))-1),코드표!$J$2:$J$101,0))&amp;" "&amp;INDEX(코드표!$G$2:$G$101,MATCH(TRIM(RIGHT(SUBSTITUTE(TRIM(E134&amp;"")," ",REPT(" ",60)),60)),코드표!$F$2:$F$101,0)),"⚠"&amp;TRIM(E134&amp;""))),"⚠"&amp;TRIM(E134&amp;""))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",TRIM(F134&amp;""))-1),코드표!$J$2:$J$101,0)),ISNUMBER(MATCH(TRIM(RIGHT(SUBSTITUTE(TRIM(F134&amp;"")," ",REPT(" ",60)),60)),코드표!$F$2:$F$101,0))),INDEX(코드표!$K$2:$K$101,MATCH(LEFT(TRIM(F134&amp;""),FIND(" ",TRIM(F134&amp;""))-1),코드표!$J$2:$J$101,0))&amp;" "&amp;INDEX(코드표!$G$2:$G$101,MATCH(TRIM(RIGHT(SUBSTITUTE(TRIM(F134&amp;"")," ",REPT(" ",60)),60)),코드표!$F$2:$F$101,0)),"⚠"&amp;TRIM(F134&amp;""))),"⚠"&amp;TRIM(F134&amp;""))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",TRIM(G134&amp;""))-1),코드표!$J$2:$J$101,0)),ISNUMBER(MATCH(TRIM(RIGHT(SUBSTITUTE(TRIM(G134&amp;"")," ",REPT(" ",60)),60)),코드표!$F$2:$F$101,0))),INDEX(코드표!$K$2:$K$101,MATCH(LEFT(TRIM(G134&amp;""),FIND(" ",TRIM(G134&amp;""))-1),코드표!$J$2:$J$101,0))&amp;" "&amp;INDEX(코드표!$G$2:$G$101,MATCH(TRIM(RIGHT(SUBSTITUTE(TRIM(G134&amp;"")," ",REPT(" ",60)),60)),코드표!$F$2:$F$101,0)),"⚠"&amp;TRIM(G134&amp;""))),"⚠"&amp;TRIM(G134&amp;""))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",TRIM(H134&amp;""))-1),코드표!$J$2:$J$101,0)),ISNUMBER(MATCH(TRIM(RIGHT(SUBSTITUTE(TRIM(H134&amp;"")," ",REPT(" ",60)),60)),코드표!$F$2:$F$101,0))),INDEX(코드표!$K$2:$K$101,MATCH(LEFT(TRIM(H134&amp;""),FIND(" ",TRIM(H134&amp;""))-1),코드표!$J$2:$J$101,0))&amp;" "&amp;INDEX(코드표!$G$2:$G$101,MATCH(TRIM(RIGHT(SUBSTITUTE(TRIM(H134&amp;"")," ",REPT(" ",60)),60)),코드표!$F$2:$F$101,0)),"⚠"&amp;TRIM(H134&amp;""))),"⚠"&amp;TRIM(H134&amp;""))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",TRIM(I134&amp;""))-1),코드표!$J$2:$J$101,0)),ISNUMBER(MATCH(TRIM(RIGHT(SUBSTITUTE(TRIM(I134&amp;"")," ",REPT(" ",60)),60)),코드표!$F$2:$F$101,0))),INDEX(코드표!$K$2:$K$101,MATCH(LEFT(TRIM(I134&amp;""),FIND(" ",TRIM(I134&amp;""))-1),코드표!$J$2:$J$101,0))&amp;" "&amp;INDEX(코드표!$G$2:$G$101,MATCH(TRIM(RIGHT(SUBSTITUTE(TRIM(I134&amp;"")," ",REPT(" ",60)),60)),코드표!$F$2:$F$101,0)),"⚠"&amp;TRIM(I134&amp;""))),"⚠"&amp;TRIM(I134&amp;""))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",TRIM(J134&amp;""))-1),코드표!$J$2:$J$101,0)),ISNUMBER(MATCH(TRIM(RIGHT(SUBSTITUTE(TRIM(J134&amp;"")," ",REPT(" ",60)),60)),코드표!$F$2:$F$101,0))),INDEX(코드표!$K$2:$K$101,MATCH(LEFT(TRIM(J134&amp;""),FIND(" ",TRIM(J134&amp;""))-1),코드표!$J$2:$J$101,0))&amp;" "&amp;INDEX(코드표!$G$2:$G$101,MATCH(TRIM(RIGHT(SUBSTITUTE(TRIM(J134&amp;"")," ",REPT(" ",60)),60)),코드표!$F$2:$F$101,0)),"⚠"&amp;TRIM(J134&amp;""))),"⚠"&amp;TRIM(J134&amp;""))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",TRIM(E135&amp;""))-1),코드표!$J$2:$J$101,0)),ISNUMBER(MATCH(TRIM(RIGHT(SUBSTITUTE(TRIM(E135&amp;"")," ",REPT(" ",60)),60)),코드표!$F$2:$F$101,0))),INDEX(코드표!$K$2:$K$101,MATCH(LEFT(TRIM(E135&amp;""),FIND(" ",TRIM(E135&amp;""))-1),코드표!$J$2:$J$101,0))&amp;" "&amp;INDEX(코드표!$G$2:$G$101,MATCH(TRIM(RIGHT(SUBSTITUTE(TRIM(E135&amp;"")," ",REPT(" ",60)),60)),코드표!$F$2:$F$101,0)),"⚠"&amp;TRIM(E135&amp;""))),"⚠"&amp;TRIM(E135&amp;""))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",TRIM(F135&amp;""))-1),코드표!$J$2:$J$101,0)),ISNUMBER(MATCH(TRIM(RIGHT(SUBSTITUTE(TRIM(F135&amp;"")," ",REPT(" ",60)),60)),코드표!$F$2:$F$101,0))),INDEX(코드표!$K$2:$K$101,MATCH(LEFT(TRIM(F135&amp;""),FIND(" ",TRIM(F135&amp;""))-1),코드표!$J$2:$J$101,0))&amp;" "&amp;INDEX(코드표!$G$2:$G$101,MATCH(TRIM(RIGHT(SUBSTITUTE(TRIM(F135&amp;"")," ",REPT(" ",60)),60)),코드표!$F$2:$F$101,0)),"⚠"&amp;TRIM(F135&amp;""))),"⚠"&amp;TRIM(F135&amp;""))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",TRIM(G135&amp;""))-1),코드표!$J$2:$J$101,0)),ISNUMBER(MATCH(TRIM(RIGHT(SUBSTITUTE(TRIM(G135&amp;"")," ",REPT(" ",60)),60)),코드표!$F$2:$F$101,0))),INDEX(코드표!$K$2:$K$101,MATCH(LEFT(TRIM(G135&amp;""),FIND(" ",TRIM(G135&amp;""))-1),코드표!$J$2:$J$101,0))&amp;" "&amp;INDEX(코드표!$G$2:$G$101,MATCH(TRIM(RIGHT(SUBSTITUTE(TRIM(G135&amp;"")," ",REPT(" ",60)),60)),코드표!$F$2:$F$101,0)),"⚠"&amp;TRIM(G135&amp;""))),"⚠"&amp;TRIM(G135&amp;""))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",TRIM(H135&amp;""))-1),코드표!$J$2:$J$101,0)),ISNUMBER(MATCH(TRIM(RIGHT(SUBSTITUTE(TRIM(H135&amp;"")," ",REPT(" ",60)),60)),코드표!$F$2:$F$101,0))),INDEX(코드표!$K$2:$K$101,MATCH(LEFT(TRIM(H135&amp;""),FIND(" ",TRIM(H135&amp;""))-1),코드표!$J$2:$J$101,0))&amp;" "&amp;INDEX(코드표!$G$2:$G$101,MATCH(TRIM(RIGHT(SUBSTITUTE(TRIM(H135&amp;"")," ",REPT(" ",60)),60)),코드표!$F$2:$F$101,0)),"⚠"&amp;TRIM(H135&amp;""))),"⚠"&amp;TRIM(H135&amp;""))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",TRIM(I135&amp;""))-1),코드표!$J$2:$J$101,0)),ISNUMBER(MATCH(TRIM(RIGHT(SUBSTITUTE(TRIM(I135&amp;"")," ",REPT(" ",60)),60)),코드표!$F$2:$F$101,0))),INDEX(코드표!$K$2:$K$101,MATCH(LEFT(TRIM(I135&amp;""),FIND(" ",TRIM(I135&amp;""))-1),코드표!$J$2:$J$101,0))&amp;" "&amp;INDEX(코드표!$G$2:$G$101,MATCH(TRIM(RIGHT(SUBSTITUTE(TRIM(I135&amp;"")," ",REPT(" ",60)),60)),코드표!$F$2:$F$101,0)),"⚠"&amp;TRIM(I135&amp;""))),"⚠"&amp;TRIM(I135&amp;""))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",TRIM(J135&amp;""))-1),코드표!$J$2:$J$101,0)),ISNUMBER(MATCH(TRIM(RIGHT(SUBSTITUTE(TRIM(J135&amp;"")," ",REPT(" ",60)),60)),코드표!$F$2:$F$101,0))),INDEX(코드표!$K$2:$K$101,MATCH(LEFT(TRIM(J135&amp;""),FIND(" ",TRIM(J135&amp;""))-1),코드표!$J$2:$J$101,0))&amp;" "&amp;INDEX(코드표!$G$2:$G$101,MATCH(TRIM(RIGHT(SUBSTITUTE(TRIM(J135&amp;"")," ",REPT(" ",60)),60)),코드표!$F$2:$F$101,0)),"⚠"&amp;TRIM(J135&amp;""))),"⚠"&amp;TRIM(J135&amp;""))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",TRIM(E136&amp;""))-1),코드표!$J$2:$J$101,0)),ISNUMBER(MATCH(TRIM(RIGHT(SUBSTITUTE(TRIM(E136&amp;"")," ",REPT(" ",60)),60)),코드표!$F$2:$F$101,0))),INDEX(코드표!$K$2:$K$101,MATCH(LEFT(TRIM(E136&amp;""),FIND(" ",TRIM(E136&amp;""))-1),코드표!$J$2:$J$101,0))&amp;" "&amp;INDEX(코드표!$G$2:$G$101,MATCH(TRIM(RIGHT(SUBSTITUTE(TRIM(E136&amp;"")," ",REPT(" ",60)),60)),코드표!$F$2:$F$101,0)),"⚠"&amp;TRIM(E136&amp;""))),"⚠"&amp;TRIM(E136&amp;""))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",TRIM(F136&amp;""))-1),코드표!$J$2:$J$101,0)),ISNUMBER(MATCH(TRIM(RIGHT(SUBSTITUTE(TRIM(F136&amp;"")," ",REPT(" ",60)),60)),코드표!$F$2:$F$101,0))),INDEX(코드표!$K$2:$K$101,MATCH(LEFT(TRIM(F136&amp;""),FIND(" ",TRIM(F136&amp;""))-1),코드표!$J$2:$J$101,0))&amp;" "&amp;INDEX(코드표!$G$2:$G$101,MATCH(TRIM(RIGHT(SUBSTITUTE(TRIM(F136&amp;"")," ",REPT(" ",60)),60)),코드표!$F$2:$F$101,0)),"⚠"&amp;TRIM(F136&amp;""))),"⚠"&amp;TRIM(F136&amp;""))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",TRIM(G136&amp;""))-1),코드표!$J$2:$J$101,0)),ISNUMBER(MATCH(TRIM(RIGHT(SUBSTITUTE(TRIM(G136&amp;"")," ",REPT(" ",60)),60)),코드표!$F$2:$F$101,0))),INDEX(코드표!$K$2:$K$101,MATCH(LEFT(TRIM(G136&amp;""),FIND(" ",TRIM(G136&amp;""))-1),코드표!$J$2:$J$101,0))&amp;" "&amp;INDEX(코드표!$G$2:$G$101,MATCH(TRIM(RIGHT(SUBSTITUTE(TRIM(G136&amp;"")," ",REPT(" ",60)),60)),코드표!$F$2:$F$101,0)),"⚠"&amp;TRIM(G136&amp;""))),"⚠"&amp;TRIM(G136&amp;""))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",TRIM(H136&amp;""))-1),코드표!$J$2:$J$101,0)),ISNUMBER(MATCH(TRIM(RIGHT(SUBSTITUTE(TRIM(H136&amp;"")," ",REPT(" ",60)),60)),코드표!$F$2:$F$101,0))),INDEX(코드표!$K$2:$K$101,MATCH(LEFT(TRIM(H136&amp;""),FIND(" ",TRIM(H136&amp;""))-1),코드표!$J$2:$J$101,0))&amp;" "&amp;INDEX(코드표!$G$2:$G$101,MATCH(TRIM(RIGHT(SUBSTITUTE(TRIM(H136&amp;"")," ",REPT(" ",60)),60)),코드표!$F$2:$F$101,0)),"⚠"&amp;TRIM(H136&amp;""))),"⚠"&amp;TRIM(H136&amp;""))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",TRIM(I136&amp;""))-1),코드표!$J$2:$J$101,0)),ISNUMBER(MATCH(TRIM(RIGHT(SUBSTITUTE(TRIM(I136&amp;"")," ",REPT(" ",60)),60)),코드표!$F$2:$F$101,0))),INDEX(코드표!$K$2:$K$101,MATCH(LEFT(TRIM(I136&amp;""),FIND(" ",TRIM(I136&amp;""))-1),코드표!$J$2:$J$101,0))&amp;" "&amp;INDEX(코드표!$G$2:$G$101,MATCH(TRIM(RIGHT(SUBSTITUTE(TRIM(I136&amp;"")," ",REPT(" ",60)),60)),코드표!$F$2:$F$101,0)),"⚠"&amp;TRIM(I136&amp;""))),"⚠"&amp;TRIM(I136&amp;""))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",TRIM(J136&amp;""))-1),코드표!$J$2:$J$101,0)),ISNUMBER(MATCH(TRIM(RIGHT(SUBSTITUTE(TRIM(J136&amp;"")," ",REPT(" ",60)),60)),코드표!$F$2:$F$101,0))),INDEX(코드표!$K$2:$K$101,MATCH(LEFT(TRIM(J136&amp;""),FIND(" ",TRIM(J136&amp;""))-1),코드표!$J$2:$J$101,0))&amp;" "&amp;INDEX(코드표!$G$2:$G$101,MATCH(TRIM(RIGHT(SUBSTITUTE(TRIM(J136&amp;"")," ",REPT(" ",60)),60)),코드표!$F$2:$F$101,0)),"⚠"&amp;TRIM(J136&amp;""))),"⚠"&amp;TRIM(J136&amp;""))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",TRIM(E137&amp;""))-1),코드표!$J$2:$J$101,0)),ISNUMBER(MATCH(TRIM(RIGHT(SUBSTITUTE(TRIM(E137&amp;"")," ",REPT(" ",60)),60)),코드표!$F$2:$F$101,0))),INDEX(코드표!$K$2:$K$101,MATCH(LEFT(TRIM(E137&amp;""),FIND(" ",TRIM(E137&amp;""))-1),코드표!$J$2:$J$101,0))&amp;" "&amp;INDEX(코드표!$G$2:$G$101,MATCH(TRIM(RIGHT(SUBSTITUTE(TRIM(E137&amp;"")," ",REPT(" ",60)),60)),코드표!$F$2:$F$101,0)),"⚠"&amp;TRIM(E137&amp;""))),"⚠"&amp;TRIM(E137&amp;""))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",TRIM(F137&amp;""))-1),코드표!$J$2:$J$101,0)),ISNUMBER(MATCH(TRIM(RIGHT(SUBSTITUTE(TRIM(F137&amp;"")," ",REPT(" ",60)),60)),코드표!$F$2:$F$101,0))),INDEX(코드표!$K$2:$K$101,MATCH(LEFT(TRIM(F137&amp;""),FIND(" ",TRIM(F137&amp;""))-1),코드표!$J$2:$J$101,0))&amp;" "&amp;INDEX(코드표!$G$2:$G$101,MATCH(TRIM(RIGHT(SUBSTITUTE(TRIM(F137&amp;"")," ",REPT(" ",60)),60)),코드표!$F$2:$F$101,0)),"⚠"&amp;TRIM(F137&amp;""))),"⚠"&amp;TRIM(F137&amp;""))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",TRIM(G137&amp;""))-1),코드표!$J$2:$J$101,0)),ISNUMBER(MATCH(TRIM(RIGHT(SUBSTITUTE(TRIM(G137&amp;"")," ",REPT(" ",60)),60)),코드표!$F$2:$F$101,0))),INDEX(코드표!$K$2:$K$101,MATCH(LEFT(TRIM(G137&amp;""),FIND(" ",TRIM(G137&amp;""))-1),코드표!$J$2:$J$101,0))&amp;" "&amp;INDEX(코드표!$G$2:$G$101,MATCH(TRIM(RIGHT(SUBSTITUTE(TRIM(G137&amp;"")," ",REPT(" ",60)),60)),코드표!$F$2:$F$101,0)),"⚠"&amp;TRIM(G137&amp;""))),"⚠"&amp;TRIM(G137&amp;""))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",TRIM(H137&amp;""))-1),코드표!$J$2:$J$101,0)),ISNUMBER(MATCH(TRIM(RIGHT(SUBSTITUTE(TRIM(H137&amp;"")," ",REPT(" ",60)),60)),코드표!$F$2:$F$101,0))),INDEX(코드표!$K$2:$K$101,MATCH(LEFT(TRIM(H137&amp;""),FIND(" ",TRIM(H137&amp;""))-1),코드표!$J$2:$J$101,0))&amp;" "&amp;INDEX(코드표!$G$2:$G$101,MATCH(TRIM(RIGHT(SUBSTITUTE(TRIM(H137&amp;"")," ",REPT(" ",60)),60)),코드표!$F$2:$F$101,0)),"⚠"&amp;TRIM(H137&amp;""))),"⚠"&amp;TRIM(H137&amp;""))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",TRIM(I137&amp;""))-1),코드표!$J$2:$J$101,0)),ISNUMBER(MATCH(TRIM(RIGHT(SUBSTITUTE(TRIM(I137&amp;"")," ",REPT(" ",60)),60)),코드표!$F$2:$F$101,0))),INDEX(코드표!$K$2:$K$101,MATCH(LEFT(TRIM(I137&amp;""),FIND(" ",TRIM(I137&amp;""))-1),코드표!$J$2:$J$101,0))&amp;" "&amp;INDEX(코드표!$G$2:$G$101,MATCH(TRIM(RIGHT(SUBSTITUTE(TRIM(I137&amp;"")," ",REPT(" ",60)),60)),코드표!$F$2:$F$101,0)),"⚠"&amp;TRIM(I137&amp;""))),"⚠"&amp;TRIM(I137&amp;""))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",TRIM(J137&amp;""))-1),코드표!$J$2:$J$101,0)),ISNUMBER(MATCH(TRIM(RIGHT(SUBSTITUTE(TRIM(J137&amp;"")," ",REPT(" ",60)),60)),코드표!$F$2:$F$101,0))),INDEX(코드표!$K$2:$K$101,MATCH(LEFT(TRIM(J137&amp;""),FIND(" ",TRIM(J137&amp;""))-1),코드표!$J$2:$J$101,0))&amp;" "&amp;INDEX(코드표!$G$2:$G$101,MATCH(TRIM(RIGHT(SUBSTITUTE(TRIM(J137&amp;"")," ",REPT(" ",60)),60)),코드표!$F$2:$F$101,0)),"⚠"&amp;TRIM(J137&amp;""))),"⚠"&amp;TRIM(J137&amp;""))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",TRIM(E138&amp;""))-1),코드표!$J$2:$J$101,0)),ISNUMBER(MATCH(TRIM(RIGHT(SUBSTITUTE(TRIM(E138&amp;"")," ",REPT(" ",60)),60)),코드표!$F$2:$F$101,0))),INDEX(코드표!$K$2:$K$101,MATCH(LEFT(TRIM(E138&amp;""),FIND(" ",TRIM(E138&amp;""))-1),코드표!$J$2:$J$101,0))&amp;" "&amp;INDEX(코드표!$G$2:$G$101,MATCH(TRIM(RIGHT(SUBSTITUTE(TRIM(E138&amp;"")," ",REPT(" ",60)),60)),코드표!$F$2:$F$101,0)),"⚠"&amp;TRIM(E138&amp;""))),"⚠"&amp;TRIM(E138&amp;""))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",TRIM(F138&amp;""))-1),코드표!$J$2:$J$101,0)),ISNUMBER(MATCH(TRIM(RIGHT(SUBSTITUTE(TRIM(F138&amp;"")," ",REPT(" ",60)),60)),코드표!$F$2:$F$101,0))),INDEX(코드표!$K$2:$K$101,MATCH(LEFT(TRIM(F138&amp;""),FIND(" ",TRIM(F138&amp;""))-1),코드표!$J$2:$J$101,0))&amp;" "&amp;INDEX(코드표!$G$2:$G$101,MATCH(TRIM(RIGHT(SUBSTITUTE(TRIM(F138&amp;"")," ",REPT(" ",60)),60)),코드표!$F$2:$F$101,0)),"⚠"&amp;TRIM(F138&amp;""))),"⚠"&amp;TRIM(F138&amp;""))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",TRIM(G138&amp;""))-1),코드표!$J$2:$J$101,0)),ISNUMBER(MATCH(TRIM(RIGHT(SUBSTITUTE(TRIM(G138&amp;"")," ",REPT(" ",60)),60)),코드표!$F$2:$F$101,0))),INDEX(코드표!$K$2:$K$101,MATCH(LEFT(TRIM(G138&amp;""),FIND(" ",TRIM(G138&amp;""))-1),코드표!$J$2:$J$101,0))&amp;" "&amp;INDEX(코드표!$G$2:$G$101,MATCH(TRIM(RIGHT(SUBSTITUTE(TRIM(G138&amp;"")," ",REPT(" ",60)),60)),코드표!$F$2:$F$101,0)),"⚠"&amp;TRIM(G138&amp;""))),"⚠"&amp;TRIM(G138&amp;""))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",TRIM(H138&amp;""))-1),코드표!$J$2:$J$101,0)),ISNUMBER(MATCH(TRIM(RIGHT(SUBSTITUTE(TRIM(H138&amp;"")," ",REPT(" ",60)),60)),코드표!$F$2:$F$101,0))),INDEX(코드표!$K$2:$K$101,MATCH(LEFT(TRIM(H138&amp;""),FIND(" ",TRIM(H138&amp;""))-1),코드표!$J$2:$J$101,0))&amp;" "&amp;INDEX(코드표!$G$2:$G$101,MATCH(TRIM(RIGHT(SUBSTITUTE(TRIM(H138&amp;"")," ",REPT(" ",60)),60)),코드표!$F$2:$F$101,0)),"⚠"&amp;TRIM(H138&amp;""))),"⚠"&amp;TRIM(H138&amp;""))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",TRIM(I138&amp;""))-1),코드표!$J$2:$J$101,0)),ISNUMBER(MATCH(TRIM(RIGHT(SUBSTITUTE(TRIM(I138&amp;"")," ",REPT(" ",60)),60)),코드표!$F$2:$F$101,0))),INDEX(코드표!$K$2:$K$101,MATCH(LEFT(TRIM(I138&amp;""),FIND(" ",TRIM(I138&amp;""))-1),코드표!$J$2:$J$101,0))&amp;" "&amp;INDEX(코드표!$G$2:$G$101,MATCH(TRIM(RIGHT(SUBSTITUTE(TRIM(I138&amp;"")," ",REPT(" ",60)),60)),코드표!$F$2:$F$101,0)),"⚠"&amp;TRIM(I138&amp;""))),"⚠"&amp;TRIM(I138&amp;""))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",TRIM(J138&amp;""))-1),코드표!$J$2:$J$101,0)),ISNUMBER(MATCH(TRIM(RIGHT(SUBSTITUTE(TRIM(J138&amp;"")," ",REPT(" ",60)),60)),코드표!$F$2:$F$101,0))),INDEX(코드표!$K$2:$K$101,MATCH(LEFT(TRIM(J138&amp;""),FIND(" ",TRIM(J138&amp;""))-1),코드표!$J$2:$J$101,0))&amp;" "&amp;INDEX(코드표!$G$2:$G$101,MATCH(TRIM(RIGHT(SUBSTITUTE(TRIM(J138&amp;"")," ",REPT(" ",60)),60)),코드표!$F$2:$F$101,0)),"⚠"&amp;TRIM(J138&amp;""))),"⚠"&amp;TRIM(J138&amp;""))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",TRIM(E139&amp;""))-1),코드표!$J$2:$J$101,0)),ISNUMBER(MATCH(TRIM(RIGHT(SUBSTITUTE(TRIM(E139&amp;"")," ",REPT(" ",60)),60)),코드표!$F$2:$F$101,0))),INDEX(코드표!$K$2:$K$101,MATCH(LEFT(TRIM(E139&amp;""),FIND(" ",TRIM(E139&amp;""))-1),코드표!$J$2:$J$101,0))&amp;" "&amp;INDEX(코드표!$G$2:$G$101,MATCH(TRIM(RIGHT(SUBSTITUTE(TRIM(E139&amp;"")," ",REPT(" ",60)),60)),코드표!$F$2:$F$101,0)),"⚠"&amp;TRIM(E139&amp;""))),"⚠"&amp;TRIM(E139&amp;""))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",TRIM(F139&amp;""))-1),코드표!$J$2:$J$101,0)),ISNUMBER(MATCH(TRIM(RIGHT(SUBSTITUTE(TRIM(F139&amp;"")," ",REPT(" ",60)),60)),코드표!$F$2:$F$101,0))),INDEX(코드표!$K$2:$K$101,MATCH(LEFT(TRIM(F139&amp;""),FIND(" ",TRIM(F139&amp;""))-1),코드표!$J$2:$J$101,0))&amp;" "&amp;INDEX(코드표!$G$2:$G$101,MATCH(TRIM(RIGHT(SUBSTITUTE(TRIM(F139&amp;"")," ",REPT(" ",60)),60)),코드표!$F$2:$F$101,0)),"⚠"&amp;TRIM(F139&amp;""))),"⚠"&amp;TRIM(F139&amp;""))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",TRIM(G139&amp;""))-1),코드표!$J$2:$J$101,0)),ISNUMBER(MATCH(TRIM(RIGHT(SUBSTITUTE(TRIM(G139&amp;"")," ",REPT(" ",60)),60)),코드표!$F$2:$F$101,0))),INDEX(코드표!$K$2:$K$101,MATCH(LEFT(TRIM(G139&amp;""),FIND(" ",TRIM(G139&amp;""))-1),코드표!$J$2:$J$101,0))&amp;" "&amp;INDEX(코드표!$G$2:$G$101,MATCH(TRIM(RIGHT(SUBSTITUTE(TRIM(G139&amp;"")," ",REPT(" ",60)),60)),코드표!$F$2:$F$101,0)),"⚠"&amp;TRIM(G139&amp;""))),"⚠"&amp;TRIM(G139&amp;""))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",TRIM(H139&amp;""))-1),코드표!$J$2:$J$101,0)),ISNUMBER(MATCH(TRIM(RIGHT(SUBSTITUTE(TRIM(H139&amp;"")," ",REPT(" ",60)),60)),코드표!$F$2:$F$101,0))),INDEX(코드표!$K$2:$K$101,MATCH(LEFT(TRIM(H139&amp;""),FIND(" ",TRIM(H139&amp;""))-1),코드표!$J$2:$J$101,0))&amp;" "&amp;INDEX(코드표!$G$2:$G$101,MATCH(TRIM(RIGHT(SUBSTITUTE(TRIM(H139&amp;"")," ",REPT(" ",60)),60)),코드표!$F$2:$F$101,0)),"⚠"&amp;TRIM(H139&amp;""))),"⚠"&amp;TRIM(H139&amp;""))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",TRIM(I139&amp;""))-1),코드표!$J$2:$J$101,0)),ISNUMBER(MATCH(TRIM(RIGHT(SUBSTITUTE(TRIM(I139&amp;"")," ",REPT(" ",60)),60)),코드표!$F$2:$F$101,0))),INDEX(코드표!$K$2:$K$101,MATCH(LEFT(TRIM(I139&amp;""),FIND(" ",TRIM(I139&amp;""))-1),코드표!$J$2:$J$101,0))&amp;" "&amp;INDEX(코드표!$G$2:$G$101,MATCH(TRIM(RIGHT(SUBSTITUTE(TRIM(I139&amp;"")," ",REPT(" ",60)),60)),코드표!$F$2:$F$101,0)),"⚠"&amp;TRIM(I139&amp;""))),"⚠"&amp;TRIM(I139&amp;""))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",TRIM(J139&amp;""))-1),코드표!$J$2:$J$101,0)),ISNUMBER(MATCH(TRIM(RIGHT(SUBSTITUTE(TRIM(J139&amp;"")," ",REPT(" ",60)),60)),코드표!$F$2:$F$101,0))),INDEX(코드표!$K$2:$K$101,MATCH(LEFT(TRIM(J139&amp;""),FIND(" ",TRIM(J139&amp;""))-1),코드표!$J$2:$J$101,0))&amp;" "&amp;INDEX(코드표!$G$2:$G$101,MATCH(TRIM(RIGHT(SUBSTITUTE(TRIM(J139&amp;"")," ",REPT(" ",60)),60)),코드표!$F$2:$F$101,0)),"⚠"&amp;TRIM(J139&amp;""))),"⚠"&amp;TRIM(J139&amp;""))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",TRIM(E140&amp;""))-1),코드표!$J$2:$J$101,0)),ISNUMBER(MATCH(TRIM(RIGHT(SUBSTITUTE(TRIM(E140&amp;"")," ",REPT(" ",60)),60)),코드표!$F$2:$F$101,0))),INDEX(코드표!$K$2:$K$101,MATCH(LEFT(TRIM(E140&amp;""),FIND(" ",TRIM(E140&amp;""))-1),코드표!$J$2:$J$101,0))&amp;" "&amp;INDEX(코드표!$G$2:$G$101,MATCH(TRIM(RIGHT(SUBSTITUTE(TRIM(E140&amp;"")," ",REPT(" ",60)),60)),코드표!$F$2:$F$101,0)),"⚠"&amp;TRIM(E140&amp;""))),"⚠"&amp;TRIM(E140&amp;""))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",TRIM(F140&amp;""))-1),코드표!$J$2:$J$101,0)),ISNUMBER(MATCH(TRIM(RIGHT(SUBSTITUTE(TRIM(F140&amp;"")," ",REPT(" ",60)),60)),코드표!$F$2:$F$101,0))),INDEX(코드표!$K$2:$K$101,MATCH(LEFT(TRIM(F140&amp;""),FIND(" ",TRIM(F140&amp;""))-1),코드표!$J$2:$J$101,0))&amp;" "&amp;INDEX(코드표!$G$2:$G$101,MATCH(TRIM(RIGHT(SUBSTITUTE(TRIM(F140&amp;"")," ",REPT(" ",60)),60)),코드표!$F$2:$F$101,0)),"⚠"&amp;TRIM(F140&amp;""))),"⚠"&amp;TRIM(F140&amp;""))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",TRIM(G140&amp;""))-1),코드표!$J$2:$J$101,0)),ISNUMBER(MATCH(TRIM(RIGHT(SUBSTITUTE(TRIM(G140&amp;"")," ",REPT(" ",60)),60)),코드표!$F$2:$F$101,0))),INDEX(코드표!$K$2:$K$101,MATCH(LEFT(TRIM(G140&amp;""),FIND(" ",TRIM(G140&amp;""))-1),코드표!$J$2:$J$101,0))&amp;" "&amp;INDEX(코드표!$G$2:$G$101,MATCH(TRIM(RIGHT(SUBSTITUTE(TRIM(G140&amp;"")," ",REPT(" ",60)),60)),코드표!$F$2:$F$101,0)),"⚠"&amp;TRIM(G140&amp;""))),"⚠"&amp;TRIM(G140&amp;""))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",TRIM(H140&amp;""))-1),코드표!$J$2:$J$101,0)),ISNUMBER(MATCH(TRIM(RIGHT(SUBSTITUTE(TRIM(H140&amp;"")," ",REPT(" ",60)),60)),코드표!$F$2:$F$101,0))),INDEX(코드표!$K$2:$K$101,MATCH(LEFT(TRIM(H140&amp;""),FIND(" ",TRIM(H140&amp;""))-1),코드표!$J$2:$J$101,0))&amp;" "&amp;INDEX(코드표!$G$2:$G$101,MATCH(TRIM(RIGHT(SUBSTITUTE(TRIM(H140&amp;"")," ",REPT(" ",60)),60)),코드표!$F$2:$F$101,0)),"⚠"&amp;TRIM(H140&amp;""))),"⚠"&amp;TRIM(H140&amp;""))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",TRIM(I140&amp;""))-1),코드표!$J$2:$J$101,0)),ISNUMBER(MATCH(TRIM(RIGHT(SUBSTITUTE(TRIM(I140&amp;"")," ",REPT(" ",60)),60)),코드표!$F$2:$F$101,0))),INDEX(코드표!$K$2:$K$101,MATCH(LEFT(TRIM(I140&amp;""),FIND(" ",TRIM(I140&amp;""))-1),코드표!$J$2:$J$101,0))&amp;" "&amp;INDEX(코드표!$G$2:$G$101,MATCH(TRIM(RIGHT(SUBSTITUTE(TRIM(I140&amp;"")," ",REPT(" ",60)),60)),코드표!$F$2:$F$101,0)),"⚠"&amp;TRIM(I140&amp;""))),"⚠"&amp;TRIM(I140&amp;""))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",TRIM(J140&amp;""))-1),코드표!$J$2:$J$101,0)),ISNUMBER(MATCH(TRIM(RIGHT(SUBSTITUTE(TRIM(J140&amp;"")," ",REPT(" ",60)),60)),코드표!$F$2:$F$101,0))),INDEX(코드표!$K$2:$K$101,MATCH(LEFT(TRIM(J140&amp;""),FIND(" ",TRIM(J140&amp;""))-1),코드표!$J$2:$J$101,0))&amp;" "&amp;INDEX(코드표!$G$2:$G$101,MATCH(TRIM(RIGHT(SUBSTITUTE(TRIM(J140&amp;"")," ",REPT(" ",60)),60)),코드표!$F$2:$F$101,0)),"⚠"&amp;TRIM(J140&amp;""))),"⚠"&amp;TRIM(J140&amp;""))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",TRIM(E141&amp;""))-1),코드표!$J$2:$J$101,0)),ISNUMBER(MATCH(TRIM(RIGHT(SUBSTITUTE(TRIM(E141&amp;"")," ",REPT(" ",60)),60)),코드표!$F$2:$F$101,0))),INDEX(코드표!$K$2:$K$101,MATCH(LEFT(TRIM(E141&amp;""),FIND(" ",TRIM(E141&amp;""))-1),코드표!$J$2:$J$101,0))&amp;" "&amp;INDEX(코드표!$G$2:$G$101,MATCH(TRIM(RIGHT(SUBSTITUTE(TRIM(E141&amp;"")," ",REPT(" ",60)),60)),코드표!$F$2:$F$101,0)),"⚠"&amp;TRIM(E141&amp;""))),"⚠"&amp;TRIM(E141&amp;""))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",TRIM(F141&amp;""))-1),코드표!$J$2:$J$101,0)),ISNUMBER(MATCH(TRIM(RIGHT(SUBSTITUTE(TRIM(F141&amp;"")," ",REPT(" ",60)),60)),코드표!$F$2:$F$101,0))),INDEX(코드표!$K$2:$K$101,MATCH(LEFT(TRIM(F141&amp;""),FIND(" ",TRIM(F141&amp;""))-1),코드표!$J$2:$J$101,0))&amp;" "&amp;INDEX(코드표!$G$2:$G$101,MATCH(TRIM(RIGHT(SUBSTITUTE(TRIM(F141&amp;"")," ",REPT(" ",60)),60)),코드표!$F$2:$F$101,0)),"⚠"&amp;TRIM(F141&amp;""))),"⚠"&amp;TRIM(F141&amp;""))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",TRIM(G141&amp;""))-1),코드표!$J$2:$J$101,0)),ISNUMBER(MATCH(TRIM(RIGHT(SUBSTITUTE(TRIM(G141&amp;"")," ",REPT(" ",60)),60)),코드표!$F$2:$F$101,0))),INDEX(코드표!$K$2:$K$101,MATCH(LEFT(TRIM(G141&amp;""),FIND(" ",TRIM(G141&amp;""))-1),코드표!$J$2:$J$101,0))&amp;" "&amp;INDEX(코드표!$G$2:$G$101,MATCH(TRIM(RIGHT(SUBSTITUTE(TRIM(G141&amp;"")," ",REPT(" ",60)),60)),코드표!$F$2:$F$101,0)),"⚠"&amp;TRIM(G141&amp;""))),"⚠"&amp;TRIM(G141&amp;""))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",TRIM(H141&amp;""))-1),코드표!$J$2:$J$101,0)),ISNUMBER(MATCH(TRIM(RIGHT(SUBSTITUTE(TRIM(H141&amp;"")," ",REPT(" ",60)),60)),코드표!$F$2:$F$101,0))),INDEX(코드표!$K$2:$K$101,MATCH(LEFT(TRIM(H141&amp;""),FIND(" ",TRIM(H141&amp;""))-1),코드표!$J$2:$J$101,0))&amp;" "&amp;INDEX(코드표!$G$2:$G$101,MATCH(TRIM(RIGHT(SUBSTITUTE(TRIM(H141&amp;"")," ",REPT(" ",60)),60)),코드표!$F$2:$F$101,0)),"⚠"&amp;TRIM(H141&amp;""))),"⚠"&amp;TRIM(H141&amp;""))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",TRIM(I141&amp;""))-1),코드표!$J$2:$J$101,0)),ISNUMBER(MATCH(TRIM(RIGHT(SUBSTITUTE(TRIM(I141&amp;"")," ",REPT(" ",60)),60)),코드표!$F$2:$F$101,0))),INDEX(코드표!$K$2:$K$101,MATCH(LEFT(TRIM(I141&amp;""),FIND(" ",TRIM(I141&amp;""))-1),코드표!$J$2:$J$101,0))&amp;" "&amp;INDEX(코드표!$G$2:$G$101,MATCH(TRIM(RIGHT(SUBSTITUTE(TRIM(I141&amp;"")," ",REPT(" ",60)),60)),코드표!$F$2:$F$101,0)),"⚠"&amp;TRIM(I141&amp;""))),"⚠"&amp;TRIM(I141&amp;""))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",TRIM(J141&amp;""))-1),코드표!$J$2:$J$101,0)),ISNUMBER(MATCH(TRIM(RIGHT(SUBSTITUTE(TRIM(J141&amp;"")," ",REPT(" ",60)),60)),코드표!$F$2:$F$101,0))),INDEX(코드표!$K$2:$K$101,MATCH(LEFT(TRIM(J141&amp;""),FIND(" ",TRIM(J141&amp;""))-1),코드표!$J$2:$J$101,0))&amp;" "&amp;INDEX(코드표!$G$2:$G$101,MATCH(TRIM(RIGHT(SUBSTITUTE(TRIM(J141&amp;"")," ",REPT(" ",60)),60)),코드표!$F$2:$F$101,0)),"⚠"&amp;TRIM(J141&amp;""))),"⚠"&amp;TRIM(J141&amp;""))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",TRIM(E142&amp;""))-1),코드표!$J$2:$J$101,0)),ISNUMBER(MATCH(TRIM(RIGHT(SUBSTITUTE(TRIM(E142&amp;"")," ",REPT(" ",60)),60)),코드표!$F$2:$F$101,0))),INDEX(코드표!$K$2:$K$101,MATCH(LEFT(TRIM(E142&amp;""),FIND(" ",TRIM(E142&amp;""))-1),코드표!$J$2:$J$101,0))&amp;" "&amp;INDEX(코드표!$G$2:$G$101,MATCH(TRIM(RIGHT(SUBSTITUTE(TRIM(E142&amp;"")," ",REPT(" ",60)),60)),코드표!$F$2:$F$101,0)),"⚠"&amp;TRIM(E142&amp;""))),"⚠"&amp;TRIM(E142&amp;""))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",TRIM(F142&amp;""))-1),코드표!$J$2:$J$101,0)),ISNUMBER(MATCH(TRIM(RIGHT(SUBSTITUTE(TRIM(F142&amp;"")," ",REPT(" ",60)),60)),코드표!$F$2:$F$101,0))),INDEX(코드표!$K$2:$K$101,MATCH(LEFT(TRIM(F142&amp;""),FIND(" ",TRIM(F142&amp;""))-1),코드표!$J$2:$J$101,0))&amp;" "&amp;INDEX(코드표!$G$2:$G$101,MATCH(TRIM(RIGHT(SUBSTITUTE(TRIM(F142&amp;"")," ",REPT(" ",60)),60)),코드표!$F$2:$F$101,0)),"⚠"&amp;TRIM(F142&amp;""))),"⚠"&amp;TRIM(F142&amp;""))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",TRIM(G142&amp;""))-1),코드표!$J$2:$J$101,0)),ISNUMBER(MATCH(TRIM(RIGHT(SUBSTITUTE(TRIM(G142&amp;"")," ",REPT(" ",60)),60)),코드표!$F$2:$F$101,0))),INDEX(코드표!$K$2:$K$101,MATCH(LEFT(TRIM(G142&amp;""),FIND(" ",TRIM(G142&amp;""))-1),코드표!$J$2:$J$101,0))&amp;" "&amp;INDEX(코드표!$G$2:$G$101,MATCH(TRIM(RIGHT(SUBSTITUTE(TRIM(G142&amp;"")," ",REPT(" ",60)),60)),코드표!$F$2:$F$101,0)),"⚠"&amp;TRIM(G142&amp;""))),"⚠"&amp;TRIM(G142&amp;""))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",TRIM(H142&amp;""))-1),코드표!$J$2:$J$101,0)),ISNUMBER(MATCH(TRIM(RIGHT(SUBSTITUTE(TRIM(H142&amp;"")," ",REPT(" ",60)),60)),코드표!$F$2:$F$101,0))),INDEX(코드표!$K$2:$K$101,MATCH(LEFT(TRIM(H142&amp;""),FIND(" ",TRIM(H142&amp;""))-1),코드표!$J$2:$J$101,0))&amp;" "&amp;INDEX(코드표!$G$2:$G$101,MATCH(TRIM(RIGHT(SUBSTITUTE(TRIM(H142&amp;"")," ",REPT(" ",60)),60)),코드표!$F$2:$F$101,0)),"⚠"&amp;TRIM(H142&amp;""))),"⚠"&amp;TRIM(H142&amp;""))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",TRIM(I142&amp;""))-1),코드표!$J$2:$J$101,0)),ISNUMBER(MATCH(TRIM(RIGHT(SUBSTITUTE(TRIM(I142&amp;"")," ",REPT(" ",60)),60)),코드표!$F$2:$F$101,0))),INDEX(코드표!$K$2:$K$101,MATCH(LEFT(TRIM(I142&amp;""),FIND(" ",TRIM(I142&amp;""))-1),코드표!$J$2:$J$101,0))&amp;" "&amp;INDEX(코드표!$G$2:$G$101,MATCH(TRIM(RIGHT(SUBSTITUTE(TRIM(I142&amp;"")," ",REPT(" ",60)),60)),코드표!$F$2:$F$101,0)),"⚠"&amp;TRIM(I142&amp;""))),"⚠"&amp;TRIM(I142&amp;""))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",TRIM(J142&amp;""))-1),코드표!$J$2:$J$101,0)),ISNUMBER(MATCH(TRIM(RIGHT(SUBSTITUTE(TRIM(J142&amp;"")," ",REPT(" ",60)),60)),코드표!$F$2:$F$101,0))),INDEX(코드표!$K$2:$K$101,MATCH(LEFT(TRIM(J142&amp;""),FIND(" ",TRIM(J142&amp;""))-1),코드표!$J$2:$J$101,0))&amp;" "&amp;INDEX(코드표!$G$2:$G$101,MATCH(TRIM(RIGHT(SUBSTITUTE(TRIM(J142&amp;"")," ",REPT(" ",60)),60)),코드표!$F$2:$F$101,0)),"⚠"&amp;TRIM(J142&amp;""))),"⚠"&amp;TRIM(J142&amp;""))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",TRIM(E143&amp;""))-1),코드표!$J$2:$J$101,0)),ISNUMBER(MATCH(TRIM(RIGHT(SUBSTITUTE(TRIM(E143&amp;"")," ",REPT(" ",60)),60)),코드표!$F$2:$F$101,0))),INDEX(코드표!$K$2:$K$101,MATCH(LEFT(TRIM(E143&amp;""),FIND(" ",TRIM(E143&amp;""))-1),코드표!$J$2:$J$101,0))&amp;" "&amp;INDEX(코드표!$G$2:$G$101,MATCH(TRIM(RIGHT(SUBSTITUTE(TRIM(E143&amp;"")," ",REPT(" ",60)),60)),코드표!$F$2:$F$101,0)),"⚠"&amp;TRIM(E143&amp;""))),"⚠"&amp;TRIM(E143&amp;""))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",TRIM(F143&amp;""))-1),코드표!$J$2:$J$101,0)),ISNUMBER(MATCH(TRIM(RIGHT(SUBSTITUTE(TRIM(F143&amp;"")," ",REPT(" ",60)),60)),코드표!$F$2:$F$101,0))),INDEX(코드표!$K$2:$K$101,MATCH(LEFT(TRIM(F143&amp;""),FIND(" ",TRIM(F143&amp;""))-1),코드표!$J$2:$J$101,0))&amp;" "&amp;INDEX(코드표!$G$2:$G$101,MATCH(TRIM(RIGHT(SUBSTITUTE(TRIM(F143&amp;"")," ",REPT(" ",60)),60)),코드표!$F$2:$F$101,0)),"⚠"&amp;TRIM(F143&amp;""))),"⚠"&amp;TRIM(F143&amp;""))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",TRIM(G143&amp;""))-1),코드표!$J$2:$J$101,0)),ISNUMBER(MATCH(TRIM(RIGHT(SUBSTITUTE(TRIM(G143&amp;"")," ",REPT(" ",60)),60)),코드표!$F$2:$F$101,0))),INDEX(코드표!$K$2:$K$101,MATCH(LEFT(TRIM(G143&amp;""),FIND(" ",TRIM(G143&amp;""))-1),코드표!$J$2:$J$101,0))&amp;" "&amp;INDEX(코드표!$G$2:$G$101,MATCH(TRIM(RIGHT(SUBSTITUTE(TRIM(G143&amp;"")," ",REPT(" ",60)),60)),코드표!$F$2:$F$101,0)),"⚠"&amp;TRIM(G143&amp;""))),"⚠"&amp;TRIM(G143&amp;""))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",TRIM(H143&amp;""))-1),코드표!$J$2:$J$101,0)),ISNUMBER(MATCH(TRIM(RIGHT(SUBSTITUTE(TRIM(H143&amp;"")," ",REPT(" ",60)),60)),코드표!$F$2:$F$101,0))),INDEX(코드표!$K$2:$K$101,MATCH(LEFT(TRIM(H143&amp;""),FIND(" ",TRIM(H143&amp;""))-1),코드표!$J$2:$J$101,0))&amp;" "&amp;INDEX(코드표!$G$2:$G$101,MATCH(TRIM(RIGHT(SUBSTITUTE(TRIM(H143&amp;"")," ",REPT(" ",60)),60)),코드표!$F$2:$F$101,0)),"⚠"&amp;TRIM(H143&amp;""))),"⚠"&amp;TRIM(H143&amp;""))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",TRIM(I143&amp;""))-1),코드표!$J$2:$J$101,0)),ISNUMBER(MATCH(TRIM(RIGHT(SUBSTITUTE(TRIM(I143&amp;"")," ",REPT(" ",60)),60)),코드표!$F$2:$F$101,0))),INDEX(코드표!$K$2:$K$101,MATCH(LEFT(TRIM(I143&amp;""),FIND(" ",TRIM(I143&amp;""))-1),코드표!$J$2:$J$101,0))&amp;" "&amp;INDEX(코드표!$G$2:$G$101,MATCH(TRIM(RIGHT(SUBSTITUTE(TRIM(I143&amp;"")," ",REPT(" ",60)),60)),코드표!$F$2:$F$101,0)),"⚠"&amp;TRIM(I143&amp;""))),"⚠"&amp;TRIM(I143&amp;""))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",TRIM(J143&amp;""))-1),코드표!$J$2:$J$101,0)),ISNUMBER(MATCH(TRIM(RIGHT(SUBSTITUTE(TRIM(J143&amp;"")," ",REPT(" ",60)),60)),코드표!$F$2:$F$101,0))),INDEX(코드표!$K$2:$K$101,MATCH(LEFT(TRIM(J143&amp;""),FIND(" ",TRIM(J143&amp;""))-1),코드표!$J$2:$J$101,0))&amp;" "&amp;INDEX(코드표!$G$2:$G$101,MATCH(TRIM(RIGHT(SUBSTITUTE(TRIM(J143&amp;"")," ",REPT(" ",60)),60)),코드표!$F$2:$F$101,0)),"⚠"&amp;TRIM(J143&amp;""))),"⚠"&amp;TRIM(J143&amp;""))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",TRIM(E144&amp;""))-1),코드표!$J$2:$J$101,0)),ISNUMBER(MATCH(TRIM(RIGHT(SUBSTITUTE(TRIM(E144&amp;"")," ",REPT(" ",60)),60)),코드표!$F$2:$F$101,0))),INDEX(코드표!$K$2:$K$101,MATCH(LEFT(TRIM(E144&amp;""),FIND(" ",TRIM(E144&amp;""))-1),코드표!$J$2:$J$101,0))&amp;" "&amp;INDEX(코드표!$G$2:$G$101,MATCH(TRIM(RIGHT(SUBSTITUTE(TRIM(E144&amp;"")," ",REPT(" ",60)),60)),코드표!$F$2:$F$101,0)),"⚠"&amp;TRIM(E144&amp;""))),"⚠"&amp;TRIM(E144&amp;""))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",TRIM(F144&amp;""))-1),코드표!$J$2:$J$101,0)),ISNUMBER(MATCH(TRIM(RIGHT(SUBSTITUTE(TRIM(F144&amp;"")," ",REPT(" ",60)),60)),코드표!$F$2:$F$101,0))),INDEX(코드표!$K$2:$K$101,MATCH(LEFT(TRIM(F144&amp;""),FIND(" ",TRIM(F144&amp;""))-1),코드표!$J$2:$J$101,0))&amp;" "&amp;INDEX(코드표!$G$2:$G$101,MATCH(TRIM(RIGHT(SUBSTITUTE(TRIM(F144&amp;"")," ",REPT(" ",60)),60)),코드표!$F$2:$F$101,0)),"⚠"&amp;TRIM(F144&amp;""))),"⚠"&amp;TRIM(F144&amp;""))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",TRIM(G144&amp;""))-1),코드표!$J$2:$J$101,0)),ISNUMBER(MATCH(TRIM(RIGHT(SUBSTITUTE(TRIM(G144&amp;"")," ",REPT(" ",60)),60)),코드표!$F$2:$F$101,0))),INDEX(코드표!$K$2:$K$101,MATCH(LEFT(TRIM(G144&amp;""),FIND(" ",TRIM(G144&amp;""))-1),코드표!$J$2:$J$101,0))&amp;" "&amp;INDEX(코드표!$G$2:$G$101,MATCH(TRIM(RIGHT(SUBSTITUTE(TRIM(G144&amp;"")," ",REPT(" ",60)),60)),코드표!$F$2:$F$101,0)),"⚠"&amp;TRIM(G144&amp;""))),"⚠"&amp;TRIM(G144&amp;""))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",TRIM(H144&amp;""))-1),코드표!$J$2:$J$101,0)),ISNUMBER(MATCH(TRIM(RIGHT(SUBSTITUTE(TRIM(H144&amp;"")," ",REPT(" ",60)),60)),코드표!$F$2:$F$101,0))),INDEX(코드표!$K$2:$K$101,MATCH(LEFT(TRIM(H144&amp;""),FIND(" ",TRIM(H144&amp;""))-1),코드표!$J$2:$J$101,0))&amp;" "&amp;INDEX(코드표!$G$2:$G$101,MATCH(TRIM(RIGHT(SUBSTITUTE(TRIM(H144&amp;"")," ",REPT(" ",60)),60)),코드표!$F$2:$F$101,0)),"⚠"&amp;TRIM(H144&amp;""))),"⚠"&amp;TRIM(H144&amp;""))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",TRIM(I144&amp;""))-1),코드표!$J$2:$J$101,0)),ISNUMBER(MATCH(TRIM(RIGHT(SUBSTITUTE(TRIM(I144&amp;"")," ",REPT(" ",60)),60)),코드표!$F$2:$F$101,0))),INDEX(코드표!$K$2:$K$101,MATCH(LEFT(TRIM(I144&amp;""),FIND(" ",TRIM(I144&amp;""))-1),코드표!$J$2:$J$101,0))&amp;" "&amp;INDEX(코드표!$G$2:$G$101,MATCH(TRIM(RIGHT(SUBSTITUTE(TRIM(I144&amp;"")," ",REPT(" ",60)),60)),코드표!$F$2:$F$101,0)),"⚠"&amp;TRIM(I144&amp;""))),"⚠"&amp;TRIM(I144&amp;""))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",TRIM(J144&amp;""))-1),코드표!$J$2:$J$101,0)),ISNUMBER(MATCH(TRIM(RIGHT(SUBSTITUTE(TRIM(J144&amp;"")," ",REPT(" ",60)),60)),코드표!$F$2:$F$101,0))),INDEX(코드표!$K$2:$K$101,MATCH(LEFT(TRIM(J144&amp;""),FIND(" ",TRIM(J144&amp;""))-1),코드표!$J$2:$J$101,0))&amp;" "&amp;INDEX(코드표!$G$2:$G$101,MATCH(TRIM(RIGHT(SUBSTITUTE(TRIM(J144&amp;"")," ",REPT(" ",60)),60)),코드표!$F$2:$F$101,0)),"⚠"&amp;TRIM(J144&amp;""))),"⚠"&amp;TRIM(J144&amp;""))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",TRIM(E145&amp;""))-1),코드표!$J$2:$J$101,0)),ISNUMBER(MATCH(TRIM(RIGHT(SUBSTITUTE(TRIM(E145&amp;"")," ",REPT(" ",60)),60)),코드표!$F$2:$F$101,0))),INDEX(코드표!$K$2:$K$101,MATCH(LEFT(TRIM(E145&amp;""),FIND(" ",TRIM(E145&amp;""))-1),코드표!$J$2:$J$101,0))&amp;" "&amp;INDEX(코드표!$G$2:$G$101,MATCH(TRIM(RIGHT(SUBSTITUTE(TRIM(E145&amp;"")," ",REPT(" ",60)),60)),코드표!$F$2:$F$101,0)),"⚠"&amp;TRIM(E145&amp;""))),"⚠"&amp;TRIM(E145&amp;""))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",TRIM(F145&amp;""))-1),코드표!$J$2:$J$101,0)),ISNUMBER(MATCH(TRIM(RIGHT(SUBSTITUTE(TRIM(F145&amp;"")," ",REPT(" ",60)),60)),코드표!$F$2:$F$101,0))),INDEX(코드표!$K$2:$K$101,MATCH(LEFT(TRIM(F145&amp;""),FIND(" ",TRIM(F145&amp;""))-1),코드표!$J$2:$J$101,0))&amp;" "&amp;INDEX(코드표!$G$2:$G$101,MATCH(TRIM(RIGHT(SUBSTITUTE(TRIM(F145&amp;"")," ",REPT(" ",60)),60)),코드표!$F$2:$F$101,0)),"⚠"&amp;TRIM(F145&amp;""))),"⚠"&amp;TRIM(F145&amp;""))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",TRIM(G145&amp;""))-1),코드표!$J$2:$J$101,0)),ISNUMBER(MATCH(TRIM(RIGHT(SUBSTITUTE(TRIM(G145&amp;"")," ",REPT(" ",60)),60)),코드표!$F$2:$F$101,0))),INDEX(코드표!$K$2:$K$101,MATCH(LEFT(TRIM(G145&amp;""),FIND(" ",TRIM(G145&amp;""))-1),코드표!$J$2:$J$101,0))&amp;" "&amp;INDEX(코드표!$G$2:$G$101,MATCH(TRIM(RIGHT(SUBSTITUTE(TRIM(G145&amp;"")," ",REPT(" ",60)),60)),코드표!$F$2:$F$101,0)),"⚠"&amp;TRIM(G145&amp;""))),"⚠"&amp;TRIM(G145&amp;""))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",TRIM(H145&amp;""))-1),코드표!$J$2:$J$101,0)),ISNUMBER(MATCH(TRIM(RIGHT(SUBSTITUTE(TRIM(H145&amp;"")," ",REPT(" ",60)),60)),코드표!$F$2:$F$101,0))),INDEX(코드표!$K$2:$K$101,MATCH(LEFT(TRIM(H145&amp;""),FIND(" ",TRIM(H145&amp;""))-1),코드표!$J$2:$J$101,0))&amp;" "&amp;INDEX(코드표!$G$2:$G$101,MATCH(TRIM(RIGHT(SUBSTITUTE(TRIM(H145&amp;"")," ",REPT(" ",60)),60)),코드표!$F$2:$F$101,0)),"⚠"&amp;TRIM(H145&amp;""))),"⚠"&amp;TRIM(H145&amp;""))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",TRIM(I145&amp;""))-1),코드표!$J$2:$J$101,0)),ISNUMBER(MATCH(TRIM(RIGHT(SUBSTITUTE(TRIM(I145&amp;"")," ",REPT(" ",60)),60)),코드표!$F$2:$F$101,0))),INDEX(코드표!$K$2:$K$101,MATCH(LEFT(TRIM(I145&amp;""),FIND(" ",TRIM(I145&amp;""))-1),코드표!$J$2:$J$101,0))&amp;" "&amp;INDEX(코드표!$G$2:$G$101,MATCH(TRIM(RIGHT(SUBSTITUTE(TRIM(I145&amp;"")," ",REPT(" ",60)),60)),코드표!$F$2:$F$101,0)),"⚠"&amp;TRIM(I145&amp;""))),"⚠"&amp;TRIM(I145&amp;""))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",TRIM(J145&amp;""))-1),코드표!$J$2:$J$101,0)),ISNUMBER(MATCH(TRIM(RIGHT(SUBSTITUTE(TRIM(J145&amp;"")," ",REPT(" ",60)),60)),코드표!$F$2:$F$101,0))),INDEX(코드표!$K$2:$K$101,MATCH(LEFT(TRIM(J145&amp;""),FIND(" ",TRIM(J145&amp;""))-1),코드표!$J$2:$J$101,0))&amp;" "&amp;INDEX(코드표!$G$2:$G$101,MATCH(TRIM(RIGHT(SUBSTITUTE(TRIM(J145&amp;"")," ",REPT(" ",60)),60)),코드표!$F$2:$F$101,0)),"⚠"&amp;TRIM(J145&amp;""))),"⚠"&amp;TRIM(J145&amp;""))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",TRIM(E146&amp;""))-1),코드표!$J$2:$J$101,0)),ISNUMBER(MATCH(TRIM(RIGHT(SUBSTITUTE(TRIM(E146&amp;"")," ",REPT(" ",60)),60)),코드표!$F$2:$F$101,0))),INDEX(코드표!$K$2:$K$101,MATCH(LEFT(TRIM(E146&amp;""),FIND(" ",TRIM(E146&amp;""))-1),코드표!$J$2:$J$101,0))&amp;" "&amp;INDEX(코드표!$G$2:$G$101,MATCH(TRIM(RIGHT(SUBSTITUTE(TRIM(E146&amp;"")," ",REPT(" ",60)),60)),코드표!$F$2:$F$101,0)),"⚠"&amp;TRIM(E146&amp;""))),"⚠"&amp;TRIM(E146&amp;""))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",TRIM(F146&amp;""))-1),코드표!$J$2:$J$101,0)),ISNUMBER(MATCH(TRIM(RIGHT(SUBSTITUTE(TRIM(F146&amp;"")," ",REPT(" ",60)),60)),코드표!$F$2:$F$101,0))),INDEX(코드표!$K$2:$K$101,MATCH(LEFT(TRIM(F146&amp;""),FIND(" ",TRIM(F146&amp;""))-1),코드표!$J$2:$J$101,0))&amp;" "&amp;INDEX(코드표!$G$2:$G$101,MATCH(TRIM(RIGHT(SUBSTITUTE(TRIM(F146&amp;"")," ",REPT(" ",60)),60)),코드표!$F$2:$F$101,0)),"⚠"&amp;TRIM(F146&amp;""))),"⚠"&amp;TRIM(F146&amp;""))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",TRIM(G146&amp;""))-1),코드표!$J$2:$J$101,0)),ISNUMBER(MATCH(TRIM(RIGHT(SUBSTITUTE(TRIM(G146&amp;"")," ",REPT(" ",60)),60)),코드표!$F$2:$F$101,0))),INDEX(코드표!$K$2:$K$101,MATCH(LEFT(TRIM(G146&amp;""),FIND(" ",TRIM(G146&amp;""))-1),코드표!$J$2:$J$101,0))&amp;" "&amp;INDEX(코드표!$G$2:$G$101,MATCH(TRIM(RIGHT(SUBSTITUTE(TRIM(G146&amp;"")," ",REPT(" ",60)),60)),코드표!$F$2:$F$101,0)),"⚠"&amp;TRIM(G146&amp;""))),"⚠"&amp;TRIM(G146&amp;""))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",TRIM(H146&amp;""))-1),코드표!$J$2:$J$101,0)),ISNUMBER(MATCH(TRIM(RIGHT(SUBSTITUTE(TRIM(H146&amp;"")," ",REPT(" ",60)),60)),코드표!$F$2:$F$101,0))),INDEX(코드표!$K$2:$K$101,MATCH(LEFT(TRIM(H146&amp;""),FIND(" ",TRIM(H146&amp;""))-1),코드표!$J$2:$J$101,0))&amp;" "&amp;INDEX(코드표!$G$2:$G$101,MATCH(TRIM(RIGHT(SUBSTITUTE(TRIM(H146&amp;"")," ",REPT(" ",60)),60)),코드표!$F$2:$F$101,0)),"⚠"&amp;TRIM(H146&amp;""))),"⚠"&amp;TRIM(H146&amp;""))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",TRIM(I146&amp;""))-1),코드표!$J$2:$J$101,0)),ISNUMBER(MATCH(TRIM(RIGHT(SUBSTITUTE(TRIM(I146&amp;"")," ",REPT(" ",60)),60)),코드표!$F$2:$F$101,0))),INDEX(코드표!$K$2:$K$101,MATCH(LEFT(TRIM(I146&amp;""),FIND(" ",TRIM(I146&amp;""))-1),코드표!$J$2:$J$101,0))&amp;" "&amp;INDEX(코드표!$G$2:$G$101,MATCH(TRIM(RIGHT(SUBSTITUTE(TRIM(I146&amp;"")," ",REPT(" ",60)),60)),코드표!$F$2:$F$101,0)),"⚠"&amp;TRIM(I146&amp;""))),"⚠"&amp;TRIM(I146&amp;""))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",TRIM(J146&amp;""))-1),코드표!$J$2:$J$101,0)),ISNUMBER(MATCH(TRIM(RIGHT(SUBSTITUTE(TRIM(J146&amp;"")," ",REPT(" ",60)),60)),코드표!$F$2:$F$101,0))),INDEX(코드표!$K$2:$K$101,MATCH(LEFT(TRIM(J146&amp;""),FIND(" ",TRIM(J146&amp;""))-1),코드표!$J$2:$J$101,0))&amp;" "&amp;INDEX(코드표!$G$2:$G$101,MATCH(TRIM(RIGHT(SUBSTITUTE(TRIM(J146&amp;"")," ",REPT(" ",60)),60)),코드표!$F$2:$F$101,0)),"⚠"&amp;TRIM(J146&amp;""))),"⚠"&amp;TRIM(J146&amp;""))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",TRIM(E147&amp;""))-1),코드표!$J$2:$J$101,0)),ISNUMBER(MATCH(TRIM(RIGHT(SUBSTITUTE(TRIM(E147&amp;"")," ",REPT(" ",60)),60)),코드표!$F$2:$F$101,0))),INDEX(코드표!$K$2:$K$101,MATCH(LEFT(TRIM(E147&amp;""),FIND(" ",TRIM(E147&amp;""))-1),코드표!$J$2:$J$101,0))&amp;" "&amp;INDEX(코드표!$G$2:$G$101,MATCH(TRIM(RIGHT(SUBSTITUTE(TRIM(E147&amp;"")," ",REPT(" ",60)),60)),코드표!$F$2:$F$101,0)),"⚠"&amp;TRIM(E147&amp;""))),"⚠"&amp;TRIM(E147&amp;""))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",TRIM(F147&amp;""))-1),코드표!$J$2:$J$101,0)),ISNUMBER(MATCH(TRIM(RIGHT(SUBSTITUTE(TRIM(F147&amp;"")," ",REPT(" ",60)),60)),코드표!$F$2:$F$101,0))),INDEX(코드표!$K$2:$K$101,MATCH(LEFT(TRIM(F147&amp;""),FIND(" ",TRIM(F147&amp;""))-1),코드표!$J$2:$J$101,0))&amp;" "&amp;INDEX(코드표!$G$2:$G$101,MATCH(TRIM(RIGHT(SUBSTITUTE(TRIM(F147&amp;"")," ",REPT(" ",60)),60)),코드표!$F$2:$F$101,0)),"⚠"&amp;TRIM(F147&amp;""))),"⚠"&amp;TRIM(F147&amp;""))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",TRIM(G147&amp;""))-1),코드표!$J$2:$J$101,0)),ISNUMBER(MATCH(TRIM(RIGHT(SUBSTITUTE(TRIM(G147&amp;"")," ",REPT(" ",60)),60)),코드표!$F$2:$F$101,0))),INDEX(코드표!$K$2:$K$101,MATCH(LEFT(TRIM(G147&amp;""),FIND(" ",TRIM(G147&amp;""))-1),코드표!$J$2:$J$101,0))&amp;" "&amp;INDEX(코드표!$G$2:$G$101,MATCH(TRIM(RIGHT(SUBSTITUTE(TRIM(G147&amp;"")," ",REPT(" ",60)),60)),코드표!$F$2:$F$101,0)),"⚠"&amp;TRIM(G147&amp;""))),"⚠"&amp;TRIM(G147&amp;""))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",TRIM(H147&amp;""))-1),코드표!$J$2:$J$101,0)),ISNUMBER(MATCH(TRIM(RIGHT(SUBSTITUTE(TRIM(H147&amp;"")," ",REPT(" ",60)),60)),코드표!$F$2:$F$101,0))),INDEX(코드표!$K$2:$K$101,MATCH(LEFT(TRIM(H147&amp;""),FIND(" ",TRIM(H147&amp;""))-1),코드표!$J$2:$J$101,0))&amp;" "&amp;INDEX(코드표!$G$2:$G$101,MATCH(TRIM(RIGHT(SUBSTITUTE(TRIM(H147&amp;"")," ",REPT(" ",60)),60)),코드표!$F$2:$F$101,0)),"⚠"&amp;TRIM(H147&amp;""))),"⚠"&amp;TRIM(H147&amp;""))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",TRIM(I147&amp;""))-1),코드표!$J$2:$J$101,0)),ISNUMBER(MATCH(TRIM(RIGHT(SUBSTITUTE(TRIM(I147&amp;"")," ",REPT(" ",60)),60)),코드표!$F$2:$F$101,0))),INDEX(코드표!$K$2:$K$101,MATCH(LEFT(TRIM(I147&amp;""),FIND(" ",TRIM(I147&amp;""))-1),코드표!$J$2:$J$101,0))&amp;" "&amp;INDEX(코드표!$G$2:$G$101,MATCH(TRIM(RIGHT(SUBSTITUTE(TRIM(I147&amp;"")," ",REPT(" ",60)),60)),코드표!$F$2:$F$101,0)),"⚠"&amp;TRIM(I147&amp;""))),"⚠"&amp;TRIM(I147&amp;""))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",TRIM(J147&amp;""))-1),코드표!$J$2:$J$101,0)),ISNUMBER(MATCH(TRIM(RIGHT(SUBSTITUTE(TRIM(J147&amp;"")," ",REPT(" ",60)),60)),코드표!$F$2:$F$101,0))),INDEX(코드표!$K$2:$K$101,MATCH(LEFT(TRIM(J147&amp;""),FIND(" ",TRIM(J147&amp;""))-1),코드표!$J$2:$J$101,0))&amp;" "&amp;INDEX(코드표!$G$2:$G$101,MATCH(TRIM(RIGHT(SUBSTITUTE(TRIM(J147&amp;"")," ",REPT(" ",60)),60)),코드표!$F$2:$F$101,0)),"⚠"&amp;TRIM(J147&amp;""))),"⚠"&amp;TRIM(J147&amp;""))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",TRIM(E148&amp;""))-1),코드표!$J$2:$J$101,0)),ISNUMBER(MATCH(TRIM(RIGHT(SUBSTITUTE(TRIM(E148&amp;"")," ",REPT(" ",60)),60)),코드표!$F$2:$F$101,0))),INDEX(코드표!$K$2:$K$101,MATCH(LEFT(TRIM(E148&amp;""),FIND(" ",TRIM(E148&amp;""))-1),코드표!$J$2:$J$101,0))&amp;" "&amp;INDEX(코드표!$G$2:$G$101,MATCH(TRIM(RIGHT(SUBSTITUTE(TRIM(E148&amp;"")," ",REPT(" ",60)),60)),코드표!$F$2:$F$101,0)),"⚠"&amp;TRIM(E148&amp;""))),"⚠"&amp;TRIM(E148&amp;""))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",TRIM(F148&amp;""))-1),코드표!$J$2:$J$101,0)),ISNUMBER(MATCH(TRIM(RIGHT(SUBSTITUTE(TRIM(F148&amp;"")," ",REPT(" ",60)),60)),코드표!$F$2:$F$101,0))),INDEX(코드표!$K$2:$K$101,MATCH(LEFT(TRIM(F148&amp;""),FIND(" ",TRIM(F148&amp;""))-1),코드표!$J$2:$J$101,0))&amp;" "&amp;INDEX(코드표!$G$2:$G$101,MATCH(TRIM(RIGHT(SUBSTITUTE(TRIM(F148&amp;"")," ",REPT(" ",60)),60)),코드표!$F$2:$F$101,0)),"⚠"&amp;TRIM(F148&amp;""))),"⚠"&amp;TRIM(F148&amp;""))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",TRIM(G148&amp;""))-1),코드표!$J$2:$J$101,0)),ISNUMBER(MATCH(TRIM(RIGHT(SUBSTITUTE(TRIM(G148&amp;"")," ",REPT(" ",60)),60)),코드표!$F$2:$F$101,0))),INDEX(코드표!$K$2:$K$101,MATCH(LEFT(TRIM(G148&amp;""),FIND(" ",TRIM(G148&amp;""))-1),코드표!$J$2:$J$101,0))&amp;" "&amp;INDEX(코드표!$G$2:$G$101,MATCH(TRIM(RIGHT(SUBSTITUTE(TRIM(G148&amp;"")," ",REPT(" ",60)),60)),코드표!$F$2:$F$101,0)),"⚠"&amp;TRIM(G148&amp;""))),"⚠"&amp;TRIM(G148&amp;""))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",TRIM(H148&amp;""))-1),코드표!$J$2:$J$101,0)),ISNUMBER(MATCH(TRIM(RIGHT(SUBSTITUTE(TRIM(H148&amp;"")," ",REPT(" ",60)),60)),코드표!$F$2:$F$101,0))),INDEX(코드표!$K$2:$K$101,MATCH(LEFT(TRIM(H148&amp;""),FIND(" ",TRIM(H148&amp;""))-1),코드표!$J$2:$J$101,0))&amp;" "&amp;INDEX(코드표!$G$2:$G$101,MATCH(TRIM(RIGHT(SUBSTITUTE(TRIM(H148&amp;"")," ",REPT(" ",60)),60)),코드표!$F$2:$F$101,0)),"⚠"&amp;TRIM(H148&amp;""))),"⚠"&amp;TRIM(H148&amp;""))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",TRIM(I148&amp;""))-1),코드표!$J$2:$J$101,0)),ISNUMBER(MATCH(TRIM(RIGHT(SUBSTITUTE(TRIM(I148&amp;"")," ",REPT(" ",60)),60)),코드표!$F$2:$F$101,0))),INDEX(코드표!$K$2:$K$101,MATCH(LEFT(TRIM(I148&amp;""),FIND(" ",TRIM(I148&amp;""))-1),코드표!$J$2:$J$101,0))&amp;" "&amp;INDEX(코드표!$G$2:$G$101,MATCH(TRIM(RIGHT(SUBSTITUTE(TRIM(I148&amp;"")," ",REPT(" ",60)),60)),코드표!$F$2:$F$101,0)),"⚠"&amp;TRIM(I148&amp;""))),"⚠"&amp;TRIM(I148&amp;""))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",TRIM(J148&amp;""))-1),코드표!$J$2:$J$101,0)),ISNUMBER(MATCH(TRIM(RIGHT(SUBSTITUTE(TRIM(J148&amp;"")," ",REPT(" ",60)),60)),코드표!$F$2:$F$101,0))),INDEX(코드표!$K$2:$K$101,MATCH(LEFT(TRIM(J148&amp;""),FIND(" ",TRIM(J148&amp;""))-1),코드표!$J$2:$J$101,0))&amp;" "&amp;INDEX(코드표!$G$2:$G$101,MATCH(TRIM(RIGHT(SUBSTITUTE(TRIM(J148&amp;"")," ",REPT(" ",60)),60)),코드표!$F$2:$F$101,0)),"⚠"&amp;TRIM(J148&amp;""))),"⚠"&amp;TRIM(J148&amp;""))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",TRIM(E149&amp;""))-1),코드표!$J$2:$J$101,0)),ISNUMBER(MATCH(TRIM(RIGHT(SUBSTITUTE(TRIM(E149&amp;"")," ",REPT(" ",60)),60)),코드표!$F$2:$F$101,0))),INDEX(코드표!$K$2:$K$101,MATCH(LEFT(TRIM(E149&amp;""),FIND(" ",TRIM(E149&amp;""))-1),코드표!$J$2:$J$101,0))&amp;" "&amp;INDEX(코드표!$G$2:$G$101,MATCH(TRIM(RIGHT(SUBSTITUTE(TRIM(E149&amp;"")," ",REPT(" ",60)),60)),코드표!$F$2:$F$101,0)),"⚠"&amp;TRIM(E149&amp;""))),"⚠"&amp;TRIM(E149&amp;""))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",TRIM(F149&amp;""))-1),코드표!$J$2:$J$101,0)),ISNUMBER(MATCH(TRIM(RIGHT(SUBSTITUTE(TRIM(F149&amp;"")," ",REPT(" ",60)),60)),코드표!$F$2:$F$101,0))),INDEX(코드표!$K$2:$K$101,MATCH(LEFT(TRIM(F149&amp;""),FIND(" ",TRIM(F149&amp;""))-1),코드표!$J$2:$J$101,0))&amp;" "&amp;INDEX(코드표!$G$2:$G$101,MATCH(TRIM(RIGHT(SUBSTITUTE(TRIM(F149&amp;"")," ",REPT(" ",60)),60)),코드표!$F$2:$F$101,0)),"⚠"&amp;TRIM(F149&amp;""))),"⚠"&amp;TRIM(F149&amp;""))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",TRIM(G149&amp;""))-1),코드표!$J$2:$J$101,0)),ISNUMBER(MATCH(TRIM(RIGHT(SUBSTITUTE(TRIM(G149&amp;"")," ",REPT(" ",60)),60)),코드표!$F$2:$F$101,0))),INDEX(코드표!$K$2:$K$101,MATCH(LEFT(TRIM(G149&amp;""),FIND(" ",TRIM(G149&amp;""))-1),코드표!$J$2:$J$101,0))&amp;" "&amp;INDEX(코드표!$G$2:$G$101,MATCH(TRIM(RIGHT(SUBSTITUTE(TRIM(G149&amp;"")," ",REPT(" ",60)),60)),코드표!$F$2:$F$101,0)),"⚠"&amp;TRIM(G149&amp;""))),"⚠"&amp;TRIM(G149&amp;""))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",TRIM(H149&amp;""))-1),코드표!$J$2:$J$101,0)),ISNUMBER(MATCH(TRIM(RIGHT(SUBSTITUTE(TRIM(H149&amp;"")," ",REPT(" ",60)),60)),코드표!$F$2:$F$101,0))),INDEX(코드표!$K$2:$K$101,MATCH(LEFT(TRIM(H149&amp;""),FIND(" ",TRIM(H149&amp;""))-1),코드표!$J$2:$J$101,0))&amp;" "&amp;INDEX(코드표!$G$2:$G$101,MATCH(TRIM(RIGHT(SUBSTITUTE(TRIM(H149&amp;"")," ",REPT(" ",60)),60)),코드표!$F$2:$F$101,0)),"⚠"&amp;TRIM(H149&amp;""))),"⚠"&amp;TRIM(H149&amp;""))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",TRIM(I149&amp;""))-1),코드표!$J$2:$J$101,0)),ISNUMBER(MATCH(TRIM(RIGHT(SUBSTITUTE(TRIM(I149&amp;"")," ",REPT(" ",60)),60)),코드표!$F$2:$F$101,0))),INDEX(코드표!$K$2:$K$101,MATCH(LEFT(TRIM(I149&amp;""),FIND(" ",TRIM(I149&amp;""))-1),코드표!$J$2:$J$101,0))&amp;" "&amp;INDEX(코드표!$G$2:$G$101,MATCH(TRIM(RIGHT(SUBSTITUTE(TRIM(I149&amp;"")," ",REPT(" ",60)),60)),코드표!$F$2:$F$101,0)),"⚠"&amp;TRIM(I149&amp;""))),"⚠"&amp;TRIM(I149&amp;""))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",TRIM(J149&amp;""))-1),코드표!$J$2:$J$101,0)),ISNUMBER(MATCH(TRIM(RIGHT(SUBSTITUTE(TRIM(J149&amp;"")," ",REPT(" ",60)),60)),코드표!$F$2:$F$101,0))),INDEX(코드표!$K$2:$K$101,MATCH(LEFT(TRIM(J149&amp;""),FIND(" ",TRIM(J149&amp;""))-1),코드표!$J$2:$J$101,0))&amp;" "&amp;INDEX(코드표!$G$2:$G$101,MATCH(TRIM(RIGHT(SUBSTITUTE(TRIM(J149&amp;"")," ",REPT(" ",60)),60)),코드표!$F$2:$F$101,0)),"⚠"&amp;TRIM(J149&amp;""))),"⚠"&amp;TRIM(J149&amp;""))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",TRIM(E150&amp;""))-1),코드표!$J$2:$J$101,0)),ISNUMBER(MATCH(TRIM(RIGHT(SUBSTITUTE(TRIM(E150&amp;"")," ",REPT(" ",60)),60)),코드표!$F$2:$F$101,0))),INDEX(코드표!$K$2:$K$101,MATCH(LEFT(TRIM(E150&amp;""),FIND(" ",TRIM(E150&amp;""))-1),코드표!$J$2:$J$101,0))&amp;" "&amp;INDEX(코드표!$G$2:$G$101,MATCH(TRIM(RIGHT(SUBSTITUTE(TRIM(E150&amp;"")," ",REPT(" ",60)),60)),코드표!$F$2:$F$101,0)),"⚠"&amp;TRIM(E150&amp;""))),"⚠"&amp;TRIM(E150&amp;""))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",TRIM(F150&amp;""))-1),코드표!$J$2:$J$101,0)),ISNUMBER(MATCH(TRIM(RIGHT(SUBSTITUTE(TRIM(F150&amp;"")," ",REPT(" ",60)),60)),코드표!$F$2:$F$101,0))),INDEX(코드표!$K$2:$K$101,MATCH(LEFT(TRIM(F150&amp;""),FIND(" ",TRIM(F150&amp;""))-1),코드표!$J$2:$J$101,0))&amp;" "&amp;INDEX(코드표!$G$2:$G$101,MATCH(TRIM(RIGHT(SUBSTITUTE(TRIM(F150&amp;"")," ",REPT(" ",60)),60)),코드표!$F$2:$F$101,0)),"⚠"&amp;TRIM(F150&amp;""))),"⚠"&amp;TRIM(F150&amp;""))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",TRIM(G150&amp;""))-1),코드표!$J$2:$J$101,0)),ISNUMBER(MATCH(TRIM(RIGHT(SUBSTITUTE(TRIM(G150&amp;"")," ",REPT(" ",60)),60)),코드표!$F$2:$F$101,0))),INDEX(코드표!$K$2:$K$101,MATCH(LEFT(TRIM(G150&amp;""),FIND(" ",TRIM(G150&amp;""))-1),코드표!$J$2:$J$101,0))&amp;" "&amp;INDEX(코드표!$G$2:$G$101,MATCH(TRIM(RIGHT(SUBSTITUTE(TRIM(G150&amp;"")," ",REPT(" ",60)),60)),코드표!$F$2:$F$101,0)),"⚠"&amp;TRIM(G150&amp;""))),"⚠"&amp;TRIM(G150&amp;""))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",TRIM(H150&amp;""))-1),코드표!$J$2:$J$101,0)),ISNUMBER(MATCH(TRIM(RIGHT(SUBSTITUTE(TRIM(H150&amp;"")," ",REPT(" ",60)),60)),코드표!$F$2:$F$101,0))),INDEX(코드표!$K$2:$K$101,MATCH(LEFT(TRIM(H150&amp;""),FIND(" ",TRIM(H150&amp;""))-1),코드표!$J$2:$J$101,0))&amp;" "&amp;INDEX(코드표!$G$2:$G$101,MATCH(TRIM(RIGHT(SUBSTITUTE(TRIM(H150&amp;"")," ",REPT(" ",60)),60)),코드표!$F$2:$F$101,0)),"⚠"&amp;TRIM(H150&amp;""))),"⚠"&amp;TRIM(H150&amp;""))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",TRIM(I150&amp;""))-1),코드표!$J$2:$J$101,0)),ISNUMBER(MATCH(TRIM(RIGHT(SUBSTITUTE(TRIM(I150&amp;"")," ",REPT(" ",60)),60)),코드표!$F$2:$F$101,0))),INDEX(코드표!$K$2:$K$101,MATCH(LEFT(TRIM(I150&amp;""),FIND(" ",TRIM(I150&amp;""))-1),코드표!$J$2:$J$101,0))&amp;" "&amp;INDEX(코드표!$G$2:$G$101,MATCH(TRIM(RIGHT(SUBSTITUTE(TRIM(I150&amp;"")," ",REPT(" ",60)),60)),코드표!$F$2:$F$101,0)),"⚠"&amp;TRIM(I150&amp;""))),"⚠"&amp;TRIM(I150&amp;""))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",TRIM(J150&amp;""))-1),코드표!$J$2:$J$101,0)),ISNUMBER(MATCH(TRIM(RIGHT(SUBSTITUTE(TRIM(J150&amp;"")," ",REPT(" ",60)),60)),코드표!$F$2:$F$101,0))),INDEX(코드표!$K$2:$K$101,MATCH(LEFT(TRIM(J150&amp;""),FIND(" ",TRIM(J150&amp;""))-1),코드표!$J$2:$J$101,0))&amp;" "&amp;INDEX(코드표!$G$2:$G$101,MATCH(TRIM(RIGHT(SUBSTITUTE(TRIM(J150&amp;"")," ",REPT(" ",60)),60)),코드표!$F$2:$F$101,0)),"⚠"&amp;TRIM(J150&amp;""))),"⚠"&amp;TRIM(J150&amp;""))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",TRIM(E151&amp;""))-1),코드표!$J$2:$J$101,0)),ISNUMBER(MATCH(TRIM(RIGHT(SUBSTITUTE(TRIM(E151&amp;"")," ",REPT(" ",60)),60)),코드표!$F$2:$F$101,0))),INDEX(코드표!$K$2:$K$101,MATCH(LEFT(TRIM(E151&amp;""),FIND(" ",TRIM(E151&amp;""))-1),코드표!$J$2:$J$101,0))&amp;" "&amp;INDEX(코드표!$G$2:$G$101,MATCH(TRIM(RIGHT(SUBSTITUTE(TRIM(E151&amp;"")," ",REPT(" ",60)),60)),코드표!$F$2:$F$101,0)),"⚠"&amp;TRIM(E151&amp;""))),"⚠"&amp;TRIM(E151&amp;""))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",TRIM(F151&amp;""))-1),코드표!$J$2:$J$101,0)),ISNUMBER(MATCH(TRIM(RIGHT(SUBSTITUTE(TRIM(F151&amp;"")," ",REPT(" ",60)),60)),코드표!$F$2:$F$101,0))),INDEX(코드표!$K$2:$K$101,MATCH(LEFT(TRIM(F151&amp;""),FIND(" ",TRIM(F151&amp;""))-1),코드표!$J$2:$J$101,0))&amp;" "&amp;INDEX(코드표!$G$2:$G$101,MATCH(TRIM(RIGHT(SUBSTITUTE(TRIM(F151&amp;"")," ",REPT(" ",60)),60)),코드표!$F$2:$F$101,0)),"⚠"&amp;TRIM(F151&amp;""))),"⚠"&amp;TRIM(F151&amp;""))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",TRIM(G151&amp;""))-1),코드표!$J$2:$J$101,0)),ISNUMBER(MATCH(TRIM(RIGHT(SUBSTITUTE(TRIM(G151&amp;"")," ",REPT(" ",60)),60)),코드표!$F$2:$F$101,0))),INDEX(코드표!$K$2:$K$101,MATCH(LEFT(TRIM(G151&amp;""),FIND(" ",TRIM(G151&amp;""))-1),코드표!$J$2:$J$101,0))&amp;" "&amp;INDEX(코드표!$G$2:$G$101,MATCH(TRIM(RIGHT(SUBSTITUTE(TRIM(G151&amp;"")," ",REPT(" ",60)),60)),코드표!$F$2:$F$101,0)),"⚠"&amp;TRIM(G151&amp;""))),"⚠"&amp;TRIM(G151&amp;""))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",TRIM(H151&amp;""))-1),코드표!$J$2:$J$101,0)),ISNUMBER(MATCH(TRIM(RIGHT(SUBSTITUTE(TRIM(H151&amp;"")," ",REPT(" ",60)),60)),코드표!$F$2:$F$101,0))),INDEX(코드표!$K$2:$K$101,MATCH(LEFT(TRIM(H151&amp;""),FIND(" ",TRIM(H151&amp;""))-1),코드표!$J$2:$J$101,0))&amp;" "&amp;INDEX(코드표!$G$2:$G$101,MATCH(TRIM(RIGHT(SUBSTITUTE(TRIM(H151&amp;"")," ",REPT(" ",60)),60)),코드표!$F$2:$F$101,0)),"⚠"&amp;TRIM(H151&amp;""))),"⚠"&amp;TRIM(H151&amp;""))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",TRIM(I151&amp;""))-1),코드표!$J$2:$J$101,0)),ISNUMBER(MATCH(TRIM(RIGHT(SUBSTITUTE(TRIM(I151&amp;"")," ",REPT(" ",60)),60)),코드표!$F$2:$F$101,0))),INDEX(코드표!$K$2:$K$101,MATCH(LEFT(TRIM(I151&amp;""),FIND(" ",TRIM(I151&amp;""))-1),코드표!$J$2:$J$101,0))&amp;" "&amp;INDEX(코드표!$G$2:$G$101,MATCH(TRIM(RIGHT(SUBSTITUTE(TRIM(I151&amp;"")," ",REPT(" ",60)),60)),코드표!$F$2:$F$101,0)),"⚠"&amp;TRIM(I151&amp;""))),"⚠"&amp;TRIM(I151&amp;""))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",TRIM(J151&amp;""))-1),코드표!$J$2:$J$101,0)),ISNUMBER(MATCH(TRIM(RIGHT(SUBSTITUTE(TRIM(J151&amp;"")," ",REPT(" ",60)),60)),코드표!$F$2:$F$101,0))),INDEX(코드표!$K$2:$K$101,MATCH(LEFT(TRIM(J151&amp;""),FIND(" ",TRIM(J151&amp;""))-1),코드표!$J$2:$J$101,0))&amp;" "&amp;INDEX(코드표!$G$2:$G$101,MATCH(TRIM(RIGHT(SUBSTITUTE(TRIM(J151&amp;"")," ",REPT(" ",60)),60)),코드표!$F$2:$F$101,0)),"⚠"&amp;TRIM(J151&amp;""))),"⚠"&amp;TRIM(J151&amp;""))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",TRIM(E152&amp;""))-1),코드표!$J$2:$J$101,0)),ISNUMBER(MATCH(TRIM(RIGHT(SUBSTITUTE(TRIM(E152&amp;"")," ",REPT(" ",60)),60)),코드표!$F$2:$F$101,0))),INDEX(코드표!$K$2:$K$101,MATCH(LEFT(TRIM(E152&amp;""),FIND(" ",TRIM(E152&amp;""))-1),코드표!$J$2:$J$101,0))&amp;" "&amp;INDEX(코드표!$G$2:$G$101,MATCH(TRIM(RIGHT(SUBSTITUTE(TRIM(E152&amp;"")," ",REPT(" ",60)),60)),코드표!$F$2:$F$101,0)),"⚠"&amp;TRIM(E152&amp;""))),"⚠"&amp;TRIM(E152&amp;""))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",TRIM(F152&amp;""))-1),코드표!$J$2:$J$101,0)),ISNUMBER(MATCH(TRIM(RIGHT(SUBSTITUTE(TRIM(F152&amp;"")," ",REPT(" ",60)),60)),코드표!$F$2:$F$101,0))),INDEX(코드표!$K$2:$K$101,MATCH(LEFT(TRIM(F152&amp;""),FIND(" ",TRIM(F152&amp;""))-1),코드표!$J$2:$J$101,0))&amp;" "&amp;INDEX(코드표!$G$2:$G$101,MATCH(TRIM(RIGHT(SUBSTITUTE(TRIM(F152&amp;"")," ",REPT(" ",60)),60)),코드표!$F$2:$F$101,0)),"⚠"&amp;TRIM(F152&amp;""))),"⚠"&amp;TRIM(F152&amp;""))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",TRIM(G152&amp;""))-1),코드표!$J$2:$J$101,0)),ISNUMBER(MATCH(TRIM(RIGHT(SUBSTITUTE(TRIM(G152&amp;"")," ",REPT(" ",60)),60)),코드표!$F$2:$F$101,0))),INDEX(코드표!$K$2:$K$101,MATCH(LEFT(TRIM(G152&amp;""),FIND(" ",TRIM(G152&amp;""))-1),코드표!$J$2:$J$101,0))&amp;" "&amp;INDEX(코드표!$G$2:$G$101,MATCH(TRIM(RIGHT(SUBSTITUTE(TRIM(G152&amp;"")," ",REPT(" ",60)),60)),코드표!$F$2:$F$101,0)),"⚠"&amp;TRIM(G152&amp;""))),"⚠"&amp;TRIM(G152&amp;""))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",TRIM(H152&amp;""))-1),코드표!$J$2:$J$101,0)),ISNUMBER(MATCH(TRIM(RIGHT(SUBSTITUTE(TRIM(H152&amp;"")," ",REPT(" ",60)),60)),코드표!$F$2:$F$101,0))),INDEX(코드표!$K$2:$K$101,MATCH(LEFT(TRIM(H152&amp;""),FIND(" ",TRIM(H152&amp;""))-1),코드표!$J$2:$J$101,0))&amp;" "&amp;INDEX(코드표!$G$2:$G$101,MATCH(TRIM(RIGHT(SUBSTITUTE(TRIM(H152&amp;"")," ",REPT(" ",60)),60)),코드표!$F$2:$F$101,0)),"⚠"&amp;TRIM(H152&amp;""))),"⚠"&amp;TRIM(H152&amp;""))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",TRIM(I152&amp;""))-1),코드표!$J$2:$J$101,0)),ISNUMBER(MATCH(TRIM(RIGHT(SUBSTITUTE(TRIM(I152&amp;"")," ",REPT(" ",60)),60)),코드표!$F$2:$F$101,0))),INDEX(코드표!$K$2:$K$101,MATCH(LEFT(TRIM(I152&amp;""),FIND(" ",TRIM(I152&amp;""))-1),코드표!$J$2:$J$101,0))&amp;" "&amp;INDEX(코드표!$G$2:$G$101,MATCH(TRIM(RIGHT(SUBSTITUTE(TRIM(I152&amp;"")," ",REPT(" ",60)),60)),코드표!$F$2:$F$101,0)),"⚠"&amp;TRIM(I152&amp;""))),"⚠"&amp;TRIM(I152&amp;""))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",TRIM(J152&amp;""))-1),코드표!$J$2:$J$101,0)),ISNUMBER(MATCH(TRIM(RIGHT(SUBSTITUTE(TRIM(J152&amp;"")," ",REPT(" ",60)),60)),코드표!$F$2:$F$101,0))),INDEX(코드표!$K$2:$K$101,MATCH(LEFT(TRIM(J152&amp;""),FIND(" ",TRIM(J152&amp;""))-1),코드표!$J$2:$J$101,0))&amp;" "&amp;INDEX(코드표!$G$2:$G$101,MATCH(TRIM(RIGHT(SUBSTITUTE(TRIM(J152&amp;"")," ",REPT(" ",60)),60)),코드표!$F$2:$F$101,0)),"⚠"&amp;TRIM(J152&amp;""))),"⚠"&amp;TRIM(J152&amp;""))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",TRIM(E153&amp;""))-1),코드표!$J$2:$J$101,0)),ISNUMBER(MATCH(TRIM(RIGHT(SUBSTITUTE(TRIM(E153&amp;"")," ",REPT(" ",60)),60)),코드표!$F$2:$F$101,0))),INDEX(코드표!$K$2:$K$101,MATCH(LEFT(TRIM(E153&amp;""),FIND(" ",TRIM(E153&amp;""))-1),코드표!$J$2:$J$101,0))&amp;" "&amp;INDEX(코드표!$G$2:$G$101,MATCH(TRIM(RIGHT(SUBSTITUTE(TRIM(E153&amp;"")," ",REPT(" ",60)),60)),코드표!$F$2:$F$101,0)),"⚠"&amp;TRIM(E153&amp;""))),"⚠"&amp;TRIM(E153&amp;""))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",TRIM(F153&amp;""))-1),코드표!$J$2:$J$101,0)),ISNUMBER(MATCH(TRIM(RIGHT(SUBSTITUTE(TRIM(F153&amp;"")," ",REPT(" ",60)),60)),코드표!$F$2:$F$101,0))),INDEX(코드표!$K$2:$K$101,MATCH(LEFT(TRIM(F153&amp;""),FIND(" ",TRIM(F153&amp;""))-1),코드표!$J$2:$J$101,0))&amp;" "&amp;INDEX(코드표!$G$2:$G$101,MATCH(TRIM(RIGHT(SUBSTITUTE(TRIM(F153&amp;"")," ",REPT(" ",60)),60)),코드표!$F$2:$F$101,0)),"⚠"&amp;TRIM(F153&amp;""))),"⚠"&amp;TRIM(F153&amp;""))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",TRIM(G153&amp;""))-1),코드표!$J$2:$J$101,0)),ISNUMBER(MATCH(TRIM(RIGHT(SUBSTITUTE(TRIM(G153&amp;"")," ",REPT(" ",60)),60)),코드표!$F$2:$F$101,0))),INDEX(코드표!$K$2:$K$101,MATCH(LEFT(TRIM(G153&amp;""),FIND(" ",TRIM(G153&amp;""))-1),코드표!$J$2:$J$101,0))&amp;" "&amp;INDEX(코드표!$G$2:$G$101,MATCH(TRIM(RIGHT(SUBSTITUTE(TRIM(G153&amp;"")," ",REPT(" ",60)),60)),코드표!$F$2:$F$101,0)),"⚠"&amp;TRIM(G153&amp;""))),"⚠"&amp;TRIM(G153&amp;""))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",TRIM(H153&amp;""))-1),코드표!$J$2:$J$101,0)),ISNUMBER(MATCH(TRIM(RIGHT(SUBSTITUTE(TRIM(H153&amp;"")," ",REPT(" ",60)),60)),코드표!$F$2:$F$101,0))),INDEX(코드표!$K$2:$K$101,MATCH(LEFT(TRIM(H153&amp;""),FIND(" ",TRIM(H153&amp;""))-1),코드표!$J$2:$J$101,0))&amp;" "&amp;INDEX(코드표!$G$2:$G$101,MATCH(TRIM(RIGHT(SUBSTITUTE(TRIM(H153&amp;"")," ",REPT(" ",60)),60)),코드표!$F$2:$F$101,0)),"⚠"&amp;TRIM(H153&amp;""))),"⚠"&amp;TRIM(H153&amp;""))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",TRIM(I153&amp;""))-1),코드표!$J$2:$J$101,0)),ISNUMBER(MATCH(TRIM(RIGHT(SUBSTITUTE(TRIM(I153&amp;"")," ",REPT(" ",60)),60)),코드표!$F$2:$F$101,0))),INDEX(코드표!$K$2:$K$101,MATCH(LEFT(TRIM(I153&amp;""),FIND(" ",TRIM(I153&amp;""))-1),코드표!$J$2:$J$101,0))&amp;" "&amp;INDEX(코드표!$G$2:$G$101,MATCH(TRIM(RIGHT(SUBSTITUTE(TRIM(I153&amp;"")," ",REPT(" ",60)),60)),코드표!$F$2:$F$101,0)),"⚠"&amp;TRIM(I153&amp;""))),"⚠"&amp;TRIM(I153&amp;""))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",TRIM(J153&amp;""))-1),코드표!$J$2:$J$101,0)),ISNUMBER(MATCH(TRIM(RIGHT(SUBSTITUTE(TRIM(J153&amp;"")," ",REPT(" ",60)),60)),코드표!$F$2:$F$101,0))),INDEX(코드표!$K$2:$K$101,MATCH(LEFT(TRIM(J153&amp;""),FIND(" ",TRIM(J153&amp;""))-1),코드표!$J$2:$J$101,0))&amp;" "&amp;INDEX(코드표!$G$2:$G$101,MATCH(TRIM(RIGHT(SUBSTITUTE(TRIM(J153&amp;"")," ",REPT(" ",60)),60)),코드표!$F$2:$F$101,0)),"⚠"&amp;TRIM(J153&amp;""))),"⚠"&amp;TRIM(J153&amp;""))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",TRIM(E154&amp;""))-1),코드표!$J$2:$J$101,0)),ISNUMBER(MATCH(TRIM(RIGHT(SUBSTITUTE(TRIM(E154&amp;"")," ",REPT(" ",60)),60)),코드표!$F$2:$F$101,0))),INDEX(코드표!$K$2:$K$101,MATCH(LEFT(TRIM(E154&amp;""),FIND(" ",TRIM(E154&amp;""))-1),코드표!$J$2:$J$101,0))&amp;" "&amp;INDEX(코드표!$G$2:$G$101,MATCH(TRIM(RIGHT(SUBSTITUTE(TRIM(E154&amp;"")," ",REPT(" ",60)),60)),코드표!$F$2:$F$101,0)),"⚠"&amp;TRIM(E154&amp;""))),"⚠"&amp;TRIM(E154&amp;""))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",TRIM(F154&amp;""))-1),코드표!$J$2:$J$101,0)),ISNUMBER(MATCH(TRIM(RIGHT(SUBSTITUTE(TRIM(F154&amp;"")," ",REPT(" ",60)),60)),코드표!$F$2:$F$101,0))),INDEX(코드표!$K$2:$K$101,MATCH(LEFT(TRIM(F154&amp;""),FIND(" ",TRIM(F154&amp;""))-1),코드표!$J$2:$J$101,0))&amp;" "&amp;INDEX(코드표!$G$2:$G$101,MATCH(TRIM(RIGHT(SUBSTITUTE(TRIM(F154&amp;"")," ",REPT(" ",60)),60)),코드표!$F$2:$F$101,0)),"⚠"&amp;TRIM(F154&amp;""))),"⚠"&amp;TRIM(F154&amp;""))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",TRIM(G154&amp;""))-1),코드표!$J$2:$J$101,0)),ISNUMBER(MATCH(TRIM(RIGHT(SUBSTITUTE(TRIM(G154&amp;"")," ",REPT(" ",60)),60)),코드표!$F$2:$F$101,0))),INDEX(코드표!$K$2:$K$101,MATCH(LEFT(TRIM(G154&amp;""),FIND(" ",TRIM(G154&amp;""))-1),코드표!$J$2:$J$101,0))&amp;" "&amp;INDEX(코드표!$G$2:$G$101,MATCH(TRIM(RIGHT(SUBSTITUTE(TRIM(G154&amp;"")," ",REPT(" ",60)),60)),코드표!$F$2:$F$101,0)),"⚠"&amp;TRIM(G154&amp;""))),"⚠"&amp;TRIM(G154&amp;""))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",TRIM(H154&amp;""))-1),코드표!$J$2:$J$101,0)),ISNUMBER(MATCH(TRIM(RIGHT(SUBSTITUTE(TRIM(H154&amp;"")," ",REPT(" ",60)),60)),코드표!$F$2:$F$101,0))),INDEX(코드표!$K$2:$K$101,MATCH(LEFT(TRIM(H154&amp;""),FIND(" ",TRIM(H154&amp;""))-1),코드표!$J$2:$J$101,0))&amp;" "&amp;INDEX(코드표!$G$2:$G$101,MATCH(TRIM(RIGHT(SUBSTITUTE(TRIM(H154&amp;"")," ",REPT(" ",60)),60)),코드표!$F$2:$F$101,0)),"⚠"&amp;TRIM(H154&amp;""))),"⚠"&amp;TRIM(H154&amp;""))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",TRIM(I154&amp;""))-1),코드표!$J$2:$J$101,0)),ISNUMBER(MATCH(TRIM(RIGHT(SUBSTITUTE(TRIM(I154&amp;"")," ",REPT(" ",60)),60)),코드표!$F$2:$F$101,0))),INDEX(코드표!$K$2:$K$101,MATCH(LEFT(TRIM(I154&amp;""),FIND(" ",TRIM(I154&amp;""))-1),코드표!$J$2:$J$101,0))&amp;" "&amp;INDEX(코드표!$G$2:$G$101,MATCH(TRIM(RIGHT(SUBSTITUTE(TRIM(I154&amp;"")," ",REPT(" ",60)),60)),코드표!$F$2:$F$101,0)),"⚠"&amp;TRIM(I154&amp;""))),"⚠"&amp;TRIM(I154&amp;""))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",TRIM(J154&amp;""))-1),코드표!$J$2:$J$101,0)),ISNUMBER(MATCH(TRIM(RIGHT(SUBSTITUTE(TRIM(J154&amp;"")," ",REPT(" ",60)),60)),코드표!$F$2:$F$101,0))),INDEX(코드표!$K$2:$K$101,MATCH(LEFT(TRIM(J154&amp;""),FIND(" ",TRIM(J154&amp;""))-1),코드표!$J$2:$J$101,0))&amp;" "&amp;INDEX(코드표!$G$2:$G$101,MATCH(TRIM(RIGHT(SUBSTITUTE(TRIM(J154&amp;"")," ",REPT(" ",60)),60)),코드표!$F$2:$F$101,0)),"⚠"&amp;TRIM(J154&amp;""))),"⚠"&amp;TRIM(J154&amp;""))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",TRIM(E155&amp;""))-1),코드표!$J$2:$J$101,0)),ISNUMBER(MATCH(TRIM(RIGHT(SUBSTITUTE(TRIM(E155&amp;"")," ",REPT(" ",60)),60)),코드표!$F$2:$F$101,0))),INDEX(코드표!$K$2:$K$101,MATCH(LEFT(TRIM(E155&amp;""),FIND(" ",TRIM(E155&amp;""))-1),코드표!$J$2:$J$101,0))&amp;" "&amp;INDEX(코드표!$G$2:$G$101,MATCH(TRIM(RIGHT(SUBSTITUTE(TRIM(E155&amp;"")," ",REPT(" ",60)),60)),코드표!$F$2:$F$101,0)),"⚠"&amp;TRIM(E155&amp;""))),"⚠"&amp;TRIM(E155&amp;""))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",TRIM(F155&amp;""))-1),코드표!$J$2:$J$101,0)),ISNUMBER(MATCH(TRIM(RIGHT(SUBSTITUTE(TRIM(F155&amp;"")," ",REPT(" ",60)),60)),코드표!$F$2:$F$101,0))),INDEX(코드표!$K$2:$K$101,MATCH(LEFT(TRIM(F155&amp;""),FIND(" ",TRIM(F155&amp;""))-1),코드표!$J$2:$J$101,0))&amp;" "&amp;INDEX(코드표!$G$2:$G$101,MATCH(TRIM(RIGHT(SUBSTITUTE(TRIM(F155&amp;"")," ",REPT(" ",60)),60)),코드표!$F$2:$F$101,0)),"⚠"&amp;TRIM(F155&amp;""))),"⚠"&amp;TRIM(F155&amp;""))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",TRIM(G155&amp;""))-1),코드표!$J$2:$J$101,0)),ISNUMBER(MATCH(TRIM(RIGHT(SUBSTITUTE(TRIM(G155&amp;"")," ",REPT(" ",60)),60)),코드표!$F$2:$F$101,0))),INDEX(코드표!$K$2:$K$101,MATCH(LEFT(TRIM(G155&amp;""),FIND(" ",TRIM(G155&amp;""))-1),코드표!$J$2:$J$101,0))&amp;" "&amp;INDEX(코드표!$G$2:$G$101,MATCH(TRIM(RIGHT(SUBSTITUTE(TRIM(G155&amp;"")," ",REPT(" ",60)),60)),코드표!$F$2:$F$101,0)),"⚠"&amp;TRIM(G155&amp;""))),"⚠"&amp;TRIM(G155&amp;""))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",TRIM(H155&amp;""))-1),코드표!$J$2:$J$101,0)),ISNUMBER(MATCH(TRIM(RIGHT(SUBSTITUTE(TRIM(H155&amp;"")," ",REPT(" ",60)),60)),코드표!$F$2:$F$101,0))),INDEX(코드표!$K$2:$K$101,MATCH(LEFT(TRIM(H155&amp;""),FIND(" ",TRIM(H155&amp;""))-1),코드표!$J$2:$J$101,0))&amp;" "&amp;INDEX(코드표!$G$2:$G$101,MATCH(TRIM(RIGHT(SUBSTITUTE(TRIM(H155&amp;"")," ",REPT(" ",60)),60)),코드표!$F$2:$F$101,0)),"⚠"&amp;TRIM(H155&amp;""))),"⚠"&amp;TRIM(H155&amp;""))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",TRIM(I155&amp;""))-1),코드표!$J$2:$J$101,0)),ISNUMBER(MATCH(TRIM(RIGHT(SUBSTITUTE(TRIM(I155&amp;"")," ",REPT(" ",60)),60)),코드표!$F$2:$F$101,0))),INDEX(코드표!$K$2:$K$101,MATCH(LEFT(TRIM(I155&amp;""),FIND(" ",TRIM(I155&amp;""))-1),코드표!$J$2:$J$101,0))&amp;" "&amp;INDEX(코드표!$G$2:$G$101,MATCH(TRIM(RIGHT(SUBSTITUTE(TRIM(I155&amp;"")," ",REPT(" ",60)),60)),코드표!$F$2:$F$101,0)),"⚠"&amp;TRIM(I155&amp;""))),"⚠"&amp;TRIM(I155&amp;""))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",TRIM(J155&amp;""))-1),코드표!$J$2:$J$101,0)),ISNUMBER(MATCH(TRIM(RIGHT(SUBSTITUTE(TRIM(J155&amp;"")," ",REPT(" ",60)),60)),코드표!$F$2:$F$101,0))),INDEX(코드표!$K$2:$K$101,MATCH(LEFT(TRIM(J155&amp;""),FIND(" ",TRIM(J155&amp;""))-1),코드표!$J$2:$J$101,0))&amp;" "&amp;INDEX(코드표!$G$2:$G$101,MATCH(TRIM(RIGHT(SUBSTITUTE(TRIM(J155&amp;"")," ",REPT(" ",60)),60)),코드표!$F$2:$F$101,0)),"⚠"&amp;TRIM(J155&amp;""))),"⚠"&amp;TRIM(J155&amp;""))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",TRIM(E156&amp;""))-1),코드표!$J$2:$J$101,0)),ISNUMBER(MATCH(TRIM(RIGHT(SUBSTITUTE(TRIM(E156&amp;"")," ",REPT(" ",60)),60)),코드표!$F$2:$F$101,0))),INDEX(코드표!$K$2:$K$101,MATCH(LEFT(TRIM(E156&amp;""),FIND(" ",TRIM(E156&amp;""))-1),코드표!$J$2:$J$101,0))&amp;" "&amp;INDEX(코드표!$G$2:$G$101,MATCH(TRIM(RIGHT(SUBSTITUTE(TRIM(E156&amp;"")," ",REPT(" ",60)),60)),코드표!$F$2:$F$101,0)),"⚠"&amp;TRIM(E156&amp;""))),"⚠"&amp;TRIM(E156&amp;""))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",TRIM(F156&amp;""))-1),코드표!$J$2:$J$101,0)),ISNUMBER(MATCH(TRIM(RIGHT(SUBSTITUTE(TRIM(F156&amp;"")," ",REPT(" ",60)),60)),코드표!$F$2:$F$101,0))),INDEX(코드표!$K$2:$K$101,MATCH(LEFT(TRIM(F156&amp;""),FIND(" ",TRIM(F156&amp;""))-1),코드표!$J$2:$J$101,0))&amp;" "&amp;INDEX(코드표!$G$2:$G$101,MATCH(TRIM(RIGHT(SUBSTITUTE(TRIM(F156&amp;"")," ",REPT(" ",60)),60)),코드표!$F$2:$F$101,0)),"⚠"&amp;TRIM(F156&amp;""))),"⚠"&amp;TRIM(F156&amp;""))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",TRIM(G156&amp;""))-1),코드표!$J$2:$J$101,0)),ISNUMBER(MATCH(TRIM(RIGHT(SUBSTITUTE(TRIM(G156&amp;"")," ",REPT(" ",60)),60)),코드표!$F$2:$F$101,0))),INDEX(코드표!$K$2:$K$101,MATCH(LEFT(TRIM(G156&amp;""),FIND(" ",TRIM(G156&amp;""))-1),코드표!$J$2:$J$101,0))&amp;" "&amp;INDEX(코드표!$G$2:$G$101,MATCH(TRIM(RIGHT(SUBSTITUTE(TRIM(G156&amp;"")," ",REPT(" ",60)),60)),코드표!$F$2:$F$101,0)),"⚠"&amp;TRIM(G156&amp;""))),"⚠"&amp;TRIM(G156&amp;""))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",TRIM(H156&amp;""))-1),코드표!$J$2:$J$101,0)),ISNUMBER(MATCH(TRIM(RIGHT(SUBSTITUTE(TRIM(H156&amp;"")," ",REPT(" ",60)),60)),코드표!$F$2:$F$101,0))),INDEX(코드표!$K$2:$K$101,MATCH(LEFT(TRIM(H156&amp;""),FIND(" ",TRIM(H156&amp;""))-1),코드표!$J$2:$J$101,0))&amp;" "&amp;INDEX(코드표!$G$2:$G$101,MATCH(TRIM(RIGHT(SUBSTITUTE(TRIM(H156&amp;"")," ",REPT(" ",60)),60)),코드표!$F$2:$F$101,0)),"⚠"&amp;TRIM(H156&amp;""))),"⚠"&amp;TRIM(H156&amp;""))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",TRIM(I156&amp;""))-1),코드표!$J$2:$J$101,0)),ISNUMBER(MATCH(TRIM(RIGHT(SUBSTITUTE(TRIM(I156&amp;"")," ",REPT(" ",60)),60)),코드표!$F$2:$F$101,0))),INDEX(코드표!$K$2:$K$101,MATCH(LEFT(TRIM(I156&amp;""),FIND(" ",TRIM(I156&amp;""))-1),코드표!$J$2:$J$101,0))&amp;" "&amp;INDEX(코드표!$G$2:$G$101,MATCH(TRIM(RIGHT(SUBSTITUTE(TRIM(I156&amp;"")," ",REPT(" ",60)),60)),코드표!$F$2:$F$101,0)),"⚠"&amp;TRIM(I156&amp;""))),"⚠"&amp;TRIM(I156&amp;""))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",TRIM(J156&amp;""))-1),코드표!$J$2:$J$101,0)),ISNUMBER(MATCH(TRIM(RIGHT(SUBSTITUTE(TRIM(J156&amp;"")," ",REPT(" ",60)),60)),코드표!$F$2:$F$101,0))),INDEX(코드표!$K$2:$K$101,MATCH(LEFT(TRIM(J156&amp;""),FIND(" ",TRIM(J156&amp;""))-1),코드표!$J$2:$J$101,0))&amp;" "&amp;INDEX(코드표!$G$2:$G$101,MATCH(TRIM(RIGHT(SUBSTITUTE(TRIM(J156&amp;"")," ",REPT(" ",60)),60)),코드표!$F$2:$F$101,0)),"⚠"&amp;TRIM(J156&amp;""))),"⚠"&amp;TRIM(J156&amp;""))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",TRIM(E157&amp;""))-1),코드표!$J$2:$J$101,0)),ISNUMBER(MATCH(TRIM(RIGHT(SUBSTITUTE(TRIM(E157&amp;"")," ",REPT(" ",60)),60)),코드표!$F$2:$F$101,0))),INDEX(코드표!$K$2:$K$101,MATCH(LEFT(TRIM(E157&amp;""),FIND(" ",TRIM(E157&amp;""))-1),코드표!$J$2:$J$101,0))&amp;" "&amp;INDEX(코드표!$G$2:$G$101,MATCH(TRIM(RIGHT(SUBSTITUTE(TRIM(E157&amp;"")," ",REPT(" ",60)),60)),코드표!$F$2:$F$101,0)),"⚠"&amp;TRIM(E157&amp;""))),"⚠"&amp;TRIM(E157&amp;""))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",TRIM(F157&amp;""))-1),코드표!$J$2:$J$101,0)),ISNUMBER(MATCH(TRIM(RIGHT(SUBSTITUTE(TRIM(F157&amp;"")," ",REPT(" ",60)),60)),코드표!$F$2:$F$101,0))),INDEX(코드표!$K$2:$K$101,MATCH(LEFT(TRIM(F157&amp;""),FIND(" ",TRIM(F157&amp;""))-1),코드표!$J$2:$J$101,0))&amp;" "&amp;INDEX(코드표!$G$2:$G$101,MATCH(TRIM(RIGHT(SUBSTITUTE(TRIM(F157&amp;"")," ",REPT(" ",60)),60)),코드표!$F$2:$F$101,0)),"⚠"&amp;TRIM(F157&amp;""))),"⚠"&amp;TRIM(F157&amp;""))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",TRIM(G157&amp;""))-1),코드표!$J$2:$J$101,0)),ISNUMBER(MATCH(TRIM(RIGHT(SUBSTITUTE(TRIM(G157&amp;"")," ",REPT(" ",60)),60)),코드표!$F$2:$F$101,0))),INDEX(코드표!$K$2:$K$101,MATCH(LEFT(TRIM(G157&amp;""),FIND(" ",TRIM(G157&amp;""))-1),코드표!$J$2:$J$101,0))&amp;" "&amp;INDEX(코드표!$G$2:$G$101,MATCH(TRIM(RIGHT(SUBSTITUTE(TRIM(G157&amp;"")," ",REPT(" ",60)),60)),코드표!$F$2:$F$101,0)),"⚠"&amp;TRIM(G157&amp;""))),"⚠"&amp;TRIM(G157&amp;""))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",TRIM(H157&amp;""))-1),코드표!$J$2:$J$101,0)),ISNUMBER(MATCH(TRIM(RIGHT(SUBSTITUTE(TRIM(H157&amp;"")," ",REPT(" ",60)),60)),코드표!$F$2:$F$101,0))),INDEX(코드표!$K$2:$K$101,MATCH(LEFT(TRIM(H157&amp;""),FIND(" ",TRIM(H157&amp;""))-1),코드표!$J$2:$J$101,0))&amp;" "&amp;INDEX(코드표!$G$2:$G$101,MATCH(TRIM(RIGHT(SUBSTITUTE(TRIM(H157&amp;"")," ",REPT(" ",60)),60)),코드표!$F$2:$F$101,0)),"⚠"&amp;TRIM(H157&amp;""))),"⚠"&amp;TRIM(H157&amp;""))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",TRIM(I157&amp;""))-1),코드표!$J$2:$J$101,0)),ISNUMBER(MATCH(TRIM(RIGHT(SUBSTITUTE(TRIM(I157&amp;"")," ",REPT(" ",60)),60)),코드표!$F$2:$F$101,0))),INDEX(코드표!$K$2:$K$101,MATCH(LEFT(TRIM(I157&amp;""),FIND(" ",TRIM(I157&amp;""))-1),코드표!$J$2:$J$101,0))&amp;" "&amp;INDEX(코드표!$G$2:$G$101,MATCH(TRIM(RIGHT(SUBSTITUTE(TRIM(I157&amp;"")," ",REPT(" ",60)),60)),코드표!$F$2:$F$101,0)),"⚠"&amp;TRIM(I157&amp;""))),"⚠"&amp;TRIM(I157&amp;""))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",TRIM(J157&amp;""))-1),코드표!$J$2:$J$101,0)),ISNUMBER(MATCH(TRIM(RIGHT(SUBSTITUTE(TRIM(J157&amp;"")," ",REPT(" ",60)),60)),코드표!$F$2:$F$101,0))),INDEX(코드표!$K$2:$K$101,MATCH(LEFT(TRIM(J157&amp;""),FIND(" ",TRIM(J157&amp;""))-1),코드표!$J$2:$J$101,0))&amp;" "&amp;INDEX(코드표!$G$2:$G$101,MATCH(TRIM(RIGHT(SUBSTITUTE(TRIM(J157&amp;"")," ",REPT(" ",60)),60)),코드표!$F$2:$F$101,0)),"⚠"&amp;TRIM(J157&amp;""))),"⚠"&amp;TRIM(J157&amp;""))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",TRIM(E158&amp;""))-1),코드표!$J$2:$J$101,0)),ISNUMBER(MATCH(TRIM(RIGHT(SUBSTITUTE(TRIM(E158&amp;"")," ",REPT(" ",60)),60)),코드표!$F$2:$F$101,0))),INDEX(코드표!$K$2:$K$101,MATCH(LEFT(TRIM(E158&amp;""),FIND(" ",TRIM(E158&amp;""))-1),코드표!$J$2:$J$101,0))&amp;" "&amp;INDEX(코드표!$G$2:$G$101,MATCH(TRIM(RIGHT(SUBSTITUTE(TRIM(E158&amp;"")," ",REPT(" ",60)),60)),코드표!$F$2:$F$101,0)),"⚠"&amp;TRIM(E158&amp;""))),"⚠"&amp;TRIM(E158&amp;""))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",TRIM(F158&amp;""))-1),코드표!$J$2:$J$101,0)),ISNUMBER(MATCH(TRIM(RIGHT(SUBSTITUTE(TRIM(F158&amp;"")," ",REPT(" ",60)),60)),코드표!$F$2:$F$101,0))),INDEX(코드표!$K$2:$K$101,MATCH(LEFT(TRIM(F158&amp;""),FIND(" ",TRIM(F158&amp;""))-1),코드표!$J$2:$J$101,0))&amp;" "&amp;INDEX(코드표!$G$2:$G$101,MATCH(TRIM(RIGHT(SUBSTITUTE(TRIM(F158&amp;"")," ",REPT(" ",60)),60)),코드표!$F$2:$F$101,0)),"⚠"&amp;TRIM(F158&amp;""))),"⚠"&amp;TRIM(F158&amp;""))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",TRIM(G158&amp;""))-1),코드표!$J$2:$J$101,0)),ISNUMBER(MATCH(TRIM(RIGHT(SUBSTITUTE(TRIM(G158&amp;"")," ",REPT(" ",60)),60)),코드표!$F$2:$F$101,0))),INDEX(코드표!$K$2:$K$101,MATCH(LEFT(TRIM(G158&amp;""),FIND(" ",TRIM(G158&amp;""))-1),코드표!$J$2:$J$101,0))&amp;" "&amp;INDEX(코드표!$G$2:$G$101,MATCH(TRIM(RIGHT(SUBSTITUTE(TRIM(G158&amp;"")," ",REPT(" ",60)),60)),코드표!$F$2:$F$101,0)),"⚠"&amp;TRIM(G158&amp;""))),"⚠"&amp;TRIM(G158&amp;""))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",TRIM(H158&amp;""))-1),코드표!$J$2:$J$101,0)),ISNUMBER(MATCH(TRIM(RIGHT(SUBSTITUTE(TRIM(H158&amp;"")," ",REPT(" ",60)),60)),코드표!$F$2:$F$101,0))),INDEX(코드표!$K$2:$K$101,MATCH(LEFT(TRIM(H158&amp;""),FIND(" ",TRIM(H158&amp;""))-1),코드표!$J$2:$J$101,0))&amp;" "&amp;INDEX(코드표!$G$2:$G$101,MATCH(TRIM(RIGHT(SUBSTITUTE(TRIM(H158&amp;"")," ",REPT(" ",60)),60)),코드표!$F$2:$F$101,0)),"⚠"&amp;TRIM(H158&amp;""))),"⚠"&amp;TRIM(H158&amp;""))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",TRIM(I158&amp;""))-1),코드표!$J$2:$J$101,0)),ISNUMBER(MATCH(TRIM(RIGHT(SUBSTITUTE(TRIM(I158&amp;"")," ",REPT(" ",60)),60)),코드표!$F$2:$F$101,0))),INDEX(코드표!$K$2:$K$101,MATCH(LEFT(TRIM(I158&amp;""),FIND(" ",TRIM(I158&amp;""))-1),코드표!$J$2:$J$101,0))&amp;" "&amp;INDEX(코드표!$G$2:$G$101,MATCH(TRIM(RIGHT(SUBSTITUTE(TRIM(I158&amp;"")," ",REPT(" ",60)),60)),코드표!$F$2:$F$101,0)),"⚠"&amp;TRIM(I158&amp;""))),"⚠"&amp;TRIM(I158&amp;""))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",TRIM(J158&amp;""))-1),코드표!$J$2:$J$101,0)),ISNUMBER(MATCH(TRIM(RIGHT(SUBSTITUTE(TRIM(J158&amp;"")," ",REPT(" ",60)),60)),코드표!$F$2:$F$101,0))),INDEX(코드표!$K$2:$K$101,MATCH(LEFT(TRIM(J158&amp;""),FIND(" ",TRIM(J158&amp;""))-1),코드표!$J$2:$J$101,0))&amp;" "&amp;INDEX(코드표!$G$2:$G$101,MATCH(TRIM(RIGHT(SUBSTITUTE(TRIM(J158&amp;"")," ",REPT(" ",60)),60)),코드표!$F$2:$F$101,0)),"⚠"&amp;TRIM(J158&amp;""))),"⚠"&amp;TRIM(J158&amp;""))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",TRIM(E159&amp;""))-1),코드표!$J$2:$J$101,0)),ISNUMBER(MATCH(TRIM(RIGHT(SUBSTITUTE(TRIM(E159&amp;"")," ",REPT(" ",60)),60)),코드표!$F$2:$F$101,0))),INDEX(코드표!$K$2:$K$101,MATCH(LEFT(TRIM(E159&amp;""),FIND(" ",TRIM(E159&amp;""))-1),코드표!$J$2:$J$101,0))&amp;" "&amp;INDEX(코드표!$G$2:$G$101,MATCH(TRIM(RIGHT(SUBSTITUTE(TRIM(E159&amp;"")," ",REPT(" ",60)),60)),코드표!$F$2:$F$101,0)),"⚠"&amp;TRIM(E159&amp;""))),"⚠"&amp;TRIM(E159&amp;""))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",TRIM(F159&amp;""))-1),코드표!$J$2:$J$101,0)),ISNUMBER(MATCH(TRIM(RIGHT(SUBSTITUTE(TRIM(F159&amp;"")," ",REPT(" ",60)),60)),코드표!$F$2:$F$101,0))),INDEX(코드표!$K$2:$K$101,MATCH(LEFT(TRIM(F159&amp;""),FIND(" ",TRIM(F159&amp;""))-1),코드표!$J$2:$J$101,0))&amp;" "&amp;INDEX(코드표!$G$2:$G$101,MATCH(TRIM(RIGHT(SUBSTITUTE(TRIM(F159&amp;"")," ",REPT(" ",60)),60)),코드표!$F$2:$F$101,0)),"⚠"&amp;TRIM(F159&amp;""))),"⚠"&amp;TRIM(F159&amp;""))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",TRIM(G159&amp;""))-1),코드표!$J$2:$J$101,0)),ISNUMBER(MATCH(TRIM(RIGHT(SUBSTITUTE(TRIM(G159&amp;"")," ",REPT(" ",60)),60)),코드표!$F$2:$F$101,0))),INDEX(코드표!$K$2:$K$101,MATCH(LEFT(TRIM(G159&amp;""),FIND(" ",TRIM(G159&amp;""))-1),코드표!$J$2:$J$101,0))&amp;" "&amp;INDEX(코드표!$G$2:$G$101,MATCH(TRIM(RIGHT(SUBSTITUTE(TRIM(G159&amp;"")," ",REPT(" ",60)),60)),코드표!$F$2:$F$101,0)),"⚠"&amp;TRIM(G159&amp;""))),"⚠"&amp;TRIM(G159&amp;""))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",TRIM(H159&amp;""))-1),코드표!$J$2:$J$101,0)),ISNUMBER(MATCH(TRIM(RIGHT(SUBSTITUTE(TRIM(H159&amp;"")," ",REPT(" ",60)),60)),코드표!$F$2:$F$101,0))),INDEX(코드표!$K$2:$K$101,MATCH(LEFT(TRIM(H159&amp;""),FIND(" ",TRIM(H159&amp;""))-1),코드표!$J$2:$J$101,0))&amp;" "&amp;INDEX(코드표!$G$2:$G$101,MATCH(TRIM(RIGHT(SUBSTITUTE(TRIM(H159&amp;"")," ",REPT(" ",60)),60)),코드표!$F$2:$F$101,0)),"⚠"&amp;TRIM(H159&amp;""))),"⚠"&amp;TRIM(H159&amp;""))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",TRIM(I159&amp;""))-1),코드표!$J$2:$J$101,0)),ISNUMBER(MATCH(TRIM(RIGHT(SUBSTITUTE(TRIM(I159&amp;"")," ",REPT(" ",60)),60)),코드표!$F$2:$F$101,0))),INDEX(코드표!$K$2:$K$101,MATCH(LEFT(TRIM(I159&amp;""),FIND(" ",TRIM(I159&amp;""))-1),코드표!$J$2:$J$101,0))&amp;" "&amp;INDEX(코드표!$G$2:$G$101,MATCH(TRIM(RIGHT(SUBSTITUTE(TRIM(I159&amp;"")," ",REPT(" ",60)),60)),코드표!$F$2:$F$101,0)),"⚠"&amp;TRIM(I159&amp;""))),"⚠"&amp;TRIM(I159&amp;""))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",TRIM(J159&amp;""))-1),코드표!$J$2:$J$101,0)),ISNUMBER(MATCH(TRIM(RIGHT(SUBSTITUTE(TRIM(J159&amp;"")," ",REPT(" ",60)),60)),코드표!$F$2:$F$101,0))),INDEX(코드표!$K$2:$K$101,MATCH(LEFT(TRIM(J159&amp;""),FIND(" ",TRIM(J159&amp;""))-1),코드표!$J$2:$J$101,0))&amp;" "&amp;INDEX(코드표!$G$2:$G$101,MATCH(TRIM(RIGHT(SUBSTITUTE(TRIM(J159&amp;"")," ",REPT(" ",60)),60)),코드표!$F$2:$F$101,0)),"⚠"&amp;TRIM(J159&amp;""))),"⚠"&amp;TRIM(J159&amp;""))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",TRIM(E160&amp;""))-1),코드표!$J$2:$J$101,0)),ISNUMBER(MATCH(TRIM(RIGHT(SUBSTITUTE(TRIM(E160&amp;"")," ",REPT(" ",60)),60)),코드표!$F$2:$F$101,0))),INDEX(코드표!$K$2:$K$101,MATCH(LEFT(TRIM(E160&amp;""),FIND(" ",TRIM(E160&amp;""))-1),코드표!$J$2:$J$101,0))&amp;" "&amp;INDEX(코드표!$G$2:$G$101,MATCH(TRIM(RIGHT(SUBSTITUTE(TRIM(E160&amp;"")," ",REPT(" ",60)),60)),코드표!$F$2:$F$101,0)),"⚠"&amp;TRIM(E160&amp;""))),"⚠"&amp;TRIM(E160&amp;""))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",TRIM(F160&amp;""))-1),코드표!$J$2:$J$101,0)),ISNUMBER(MATCH(TRIM(RIGHT(SUBSTITUTE(TRIM(F160&amp;"")," ",REPT(" ",60)),60)),코드표!$F$2:$F$101,0))),INDEX(코드표!$K$2:$K$101,MATCH(LEFT(TRIM(F160&amp;""),FIND(" ",TRIM(F160&amp;""))-1),코드표!$J$2:$J$101,0))&amp;" "&amp;INDEX(코드표!$G$2:$G$101,MATCH(TRIM(RIGHT(SUBSTITUTE(TRIM(F160&amp;"")," ",REPT(" ",60)),60)),코드표!$F$2:$F$101,0)),"⚠"&amp;TRIM(F160&amp;""))),"⚠"&amp;TRIM(F160&amp;""))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",TRIM(G160&amp;""))-1),코드표!$J$2:$J$101,0)),ISNUMBER(MATCH(TRIM(RIGHT(SUBSTITUTE(TRIM(G160&amp;"")," ",REPT(" ",60)),60)),코드표!$F$2:$F$101,0))),INDEX(코드표!$K$2:$K$101,MATCH(LEFT(TRIM(G160&amp;""),FIND(" ",TRIM(G160&amp;""))-1),코드표!$J$2:$J$101,0))&amp;" "&amp;INDEX(코드표!$G$2:$G$101,MATCH(TRIM(RIGHT(SUBSTITUTE(TRIM(G160&amp;"")," ",REPT(" ",60)),60)),코드표!$F$2:$F$101,0)),"⚠"&amp;TRIM(G160&amp;""))),"⚠"&amp;TRIM(G160&amp;""))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",TRIM(H160&amp;""))-1),코드표!$J$2:$J$101,0)),ISNUMBER(MATCH(TRIM(RIGHT(SUBSTITUTE(TRIM(H160&amp;"")," ",REPT(" ",60)),60)),코드표!$F$2:$F$101,0))),INDEX(코드표!$K$2:$K$101,MATCH(LEFT(TRIM(H160&amp;""),FIND(" ",TRIM(H160&amp;""))-1),코드표!$J$2:$J$101,0))&amp;" "&amp;INDEX(코드표!$G$2:$G$101,MATCH(TRIM(RIGHT(SUBSTITUTE(TRIM(H160&amp;"")," ",REPT(" ",60)),60)),코드표!$F$2:$F$101,0)),"⚠"&amp;TRIM(H160&amp;""))),"⚠"&amp;TRIM(H160&amp;""))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",TRIM(I160&amp;""))-1),코드표!$J$2:$J$101,0)),ISNUMBER(MATCH(TRIM(RIGHT(SUBSTITUTE(TRIM(I160&amp;"")," ",REPT(" ",60)),60)),코드표!$F$2:$F$101,0))),INDEX(코드표!$K$2:$K$101,MATCH(LEFT(TRIM(I160&amp;""),FIND(" ",TRIM(I160&amp;""))-1),코드표!$J$2:$J$101,0))&amp;" "&amp;INDEX(코드표!$G$2:$G$101,MATCH(TRIM(RIGHT(SUBSTITUTE(TRIM(I160&amp;"")," ",REPT(" ",60)),60)),코드표!$F$2:$F$101,0)),"⚠"&amp;TRIM(I160&amp;""))),"⚠"&amp;TRIM(I160&amp;""))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",TRIM(J160&amp;""))-1),코드표!$J$2:$J$101,0)),ISNUMBER(MATCH(TRIM(RIGHT(SUBSTITUTE(TRIM(J160&amp;"")," ",REPT(" ",60)),60)),코드표!$F$2:$F$101,0))),INDEX(코드표!$K$2:$K$101,MATCH(LEFT(TRIM(J160&amp;""),FIND(" ",TRIM(J160&amp;""))-1),코드표!$J$2:$J$101,0))&amp;" "&amp;INDEX(코드표!$G$2:$G$101,MATCH(TRIM(RIGHT(SUBSTITUTE(TRIM(J160&amp;"")," ",REPT(" ",60)),60)),코드표!$F$2:$F$101,0)),"⚠"&amp;TRIM(J160&amp;""))),"⚠"&amp;TRIM(J160&amp;""))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",TRIM(E161&amp;""))-1),코드표!$J$2:$J$101,0)),ISNUMBER(MATCH(TRIM(RIGHT(SUBSTITUTE(TRIM(E161&amp;"")," ",REPT(" ",60)),60)),코드표!$F$2:$F$101,0))),INDEX(코드표!$K$2:$K$101,MATCH(LEFT(TRIM(E161&amp;""),FIND(" ",TRIM(E161&amp;""))-1),코드표!$J$2:$J$101,0))&amp;" "&amp;INDEX(코드표!$G$2:$G$101,MATCH(TRIM(RIGHT(SUBSTITUTE(TRIM(E161&amp;"")," ",REPT(" ",60)),60)),코드표!$F$2:$F$101,0)),"⚠"&amp;TRIM(E161&amp;""))),"⚠"&amp;TRIM(E161&amp;""))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",TRIM(F161&amp;""))-1),코드표!$J$2:$J$101,0)),ISNUMBER(MATCH(TRIM(RIGHT(SUBSTITUTE(TRIM(F161&amp;"")," ",REPT(" ",60)),60)),코드표!$F$2:$F$101,0))),INDEX(코드표!$K$2:$K$101,MATCH(LEFT(TRIM(F161&amp;""),FIND(" ",TRIM(F161&amp;""))-1),코드표!$J$2:$J$101,0))&amp;" "&amp;INDEX(코드표!$G$2:$G$101,MATCH(TRIM(RIGHT(SUBSTITUTE(TRIM(F161&amp;"")," ",REPT(" ",60)),60)),코드표!$F$2:$F$101,0)),"⚠"&amp;TRIM(F161&amp;""))),"⚠"&amp;TRIM(F161&amp;""))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",TRIM(G161&amp;""))-1),코드표!$J$2:$J$101,0)),ISNUMBER(MATCH(TRIM(RIGHT(SUBSTITUTE(TRIM(G161&amp;"")," ",REPT(" ",60)),60)),코드표!$F$2:$F$101,0))),INDEX(코드표!$K$2:$K$101,MATCH(LEFT(TRIM(G161&amp;""),FIND(" ",TRIM(G161&amp;""))-1),코드표!$J$2:$J$101,0))&amp;" "&amp;INDEX(코드표!$G$2:$G$101,MATCH(TRIM(RIGHT(SUBSTITUTE(TRIM(G161&amp;"")," ",REPT(" ",60)),60)),코드표!$F$2:$F$101,0)),"⚠"&amp;TRIM(G161&amp;""))),"⚠"&amp;TRIM(G161&amp;""))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",TRIM(H161&amp;""))-1),코드표!$J$2:$J$101,0)),ISNUMBER(MATCH(TRIM(RIGHT(SUBSTITUTE(TRIM(H161&amp;"")," ",REPT(" ",60)),60)),코드표!$F$2:$F$101,0))),INDEX(코드표!$K$2:$K$101,MATCH(LEFT(TRIM(H161&amp;""),FIND(" ",TRIM(H161&amp;""))-1),코드표!$J$2:$J$101,0))&amp;" "&amp;INDEX(코드표!$G$2:$G$101,MATCH(TRIM(RIGHT(SUBSTITUTE(TRIM(H161&amp;"")," ",REPT(" ",60)),60)),코드표!$F$2:$F$101,0)),"⚠"&amp;TRIM(H161&amp;""))),"⚠"&amp;TRIM(H161&amp;""))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",TRIM(I161&amp;""))-1),코드표!$J$2:$J$101,0)),ISNUMBER(MATCH(TRIM(RIGHT(SUBSTITUTE(TRIM(I161&amp;"")," ",REPT(" ",60)),60)),코드표!$F$2:$F$101,0))),INDEX(코드표!$K$2:$K$101,MATCH(LEFT(TRIM(I161&amp;""),FIND(" ",TRIM(I161&amp;""))-1),코드표!$J$2:$J$101,0))&amp;" "&amp;INDEX(코드표!$G$2:$G$101,MATCH(TRIM(RIGHT(SUBSTITUTE(TRIM(I161&amp;"")," ",REPT(" ",60)),60)),코드표!$F$2:$F$101,0)),"⚠"&amp;TRIM(I161&amp;""))),"⚠"&amp;TRIM(I161&amp;""))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",TRIM(J161&amp;""))-1),코드표!$J$2:$J$101,0)),ISNUMBER(MATCH(TRIM(RIGHT(SUBSTITUTE(TRIM(J161&amp;"")," ",REPT(" ",60)),60)),코드표!$F$2:$F$101,0))),INDEX(코드표!$K$2:$K$101,MATCH(LEFT(TRIM(J161&amp;""),FIND(" ",TRIM(J161&amp;""))-1),코드표!$J$2:$J$101,0))&amp;" "&amp;INDEX(코드표!$G$2:$G$101,MATCH(TRIM(RIGHT(SUBSTITUTE(TRIM(J161&amp;"")," ",REPT(" ",60)),60)),코드표!$F$2:$F$101,0)),"⚠"&amp;TRIM(J161&amp;""))),"⚠"&amp;TRIM(J161&amp;""))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",TRIM(E162&amp;""))-1),코드표!$J$2:$J$101,0)),ISNUMBER(MATCH(TRIM(RIGHT(SUBSTITUTE(TRIM(E162&amp;"")," ",REPT(" ",60)),60)),코드표!$F$2:$F$101,0))),INDEX(코드표!$K$2:$K$101,MATCH(LEFT(TRIM(E162&amp;""),FIND(" ",TRIM(E162&amp;""))-1),코드표!$J$2:$J$101,0))&amp;" "&amp;INDEX(코드표!$G$2:$G$101,MATCH(TRIM(RIGHT(SUBSTITUTE(TRIM(E162&amp;"")," ",REPT(" ",60)),60)),코드표!$F$2:$F$101,0)),"⚠"&amp;TRIM(E162&amp;""))),"⚠"&amp;TRIM(E162&amp;""))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",TRIM(F162&amp;""))-1),코드표!$J$2:$J$101,0)),ISNUMBER(MATCH(TRIM(RIGHT(SUBSTITUTE(TRIM(F162&amp;"")," ",REPT(" ",60)),60)),코드표!$F$2:$F$101,0))),INDEX(코드표!$K$2:$K$101,MATCH(LEFT(TRIM(F162&amp;""),FIND(" ",TRIM(F162&amp;""))-1),코드표!$J$2:$J$101,0))&amp;" "&amp;INDEX(코드표!$G$2:$G$101,MATCH(TRIM(RIGHT(SUBSTITUTE(TRIM(F162&amp;"")," ",REPT(" ",60)),60)),코드표!$F$2:$F$101,0)),"⚠"&amp;TRIM(F162&amp;""))),"⚠"&amp;TRIM(F162&amp;""))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",TRIM(G162&amp;""))-1),코드표!$J$2:$J$101,0)),ISNUMBER(MATCH(TRIM(RIGHT(SUBSTITUTE(TRIM(G162&amp;"")," ",REPT(" ",60)),60)),코드표!$F$2:$F$101,0))),INDEX(코드표!$K$2:$K$101,MATCH(LEFT(TRIM(G162&amp;""),FIND(" ",TRIM(G162&amp;""))-1),코드표!$J$2:$J$101,0))&amp;" "&amp;INDEX(코드표!$G$2:$G$101,MATCH(TRIM(RIGHT(SUBSTITUTE(TRIM(G162&amp;"")," ",REPT(" ",60)),60)),코드표!$F$2:$F$101,0)),"⚠"&amp;TRIM(G162&amp;""))),"⚠"&amp;TRIM(G162&amp;""))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",TRIM(H162&amp;""))-1),코드표!$J$2:$J$101,0)),ISNUMBER(MATCH(TRIM(RIGHT(SUBSTITUTE(TRIM(H162&amp;"")," ",REPT(" ",60)),60)),코드표!$F$2:$F$101,0))),INDEX(코드표!$K$2:$K$101,MATCH(LEFT(TRIM(H162&amp;""),FIND(" ",TRIM(H162&amp;""))-1),코드표!$J$2:$J$101,0))&amp;" "&amp;INDEX(코드표!$G$2:$G$101,MATCH(TRIM(RIGHT(SUBSTITUTE(TRIM(H162&amp;"")," ",REPT(" ",60)),60)),코드표!$F$2:$F$101,0)),"⚠"&amp;TRIM(H162&amp;""))),"⚠"&amp;TRIM(H162&amp;""))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",TRIM(I162&amp;""))-1),코드표!$J$2:$J$101,0)),ISNUMBER(MATCH(TRIM(RIGHT(SUBSTITUTE(TRIM(I162&amp;"")," ",REPT(" ",60)),60)),코드표!$F$2:$F$101,0))),INDEX(코드표!$K$2:$K$101,MATCH(LEFT(TRIM(I162&amp;""),FIND(" ",TRIM(I162&amp;""))-1),코드표!$J$2:$J$101,0))&amp;" "&amp;INDEX(코드표!$G$2:$G$101,MATCH(TRIM(RIGHT(SUBSTITUTE(TRIM(I162&amp;"")," ",REPT(" ",60)),60)),코드표!$F$2:$F$101,0)),"⚠"&amp;TRIM(I162&amp;""))),"⚠"&amp;TRIM(I162&amp;""))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",TRIM(J162&amp;""))-1),코드표!$J$2:$J$101,0)),ISNUMBER(MATCH(TRIM(RIGHT(SUBSTITUTE(TRIM(J162&amp;"")," ",REPT(" ",60)),60)),코드표!$F$2:$F$101,0))),INDEX(코드표!$K$2:$K$101,MATCH(LEFT(TRIM(J162&amp;""),FIND(" ",TRIM(J162&amp;""))-1),코드표!$J$2:$J$101,0))&amp;" "&amp;INDEX(코드표!$G$2:$G$101,MATCH(TRIM(RIGHT(SUBSTITUTE(TRIM(J162&amp;"")," ",REPT(" ",60)),60)),코드표!$F$2:$F$101,0)),"⚠"&amp;TRIM(J162&amp;""))),"⚠"&amp;TRIM(J162&amp;""))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",TRIM(E163&amp;""))-1),코드표!$J$2:$J$101,0)),ISNUMBER(MATCH(TRIM(RIGHT(SUBSTITUTE(TRIM(E163&amp;"")," ",REPT(" ",60)),60)),코드표!$F$2:$F$101,0))),INDEX(코드표!$K$2:$K$101,MATCH(LEFT(TRIM(E163&amp;""),FIND(" ",TRIM(E163&amp;""))-1),코드표!$J$2:$J$101,0))&amp;" "&amp;INDEX(코드표!$G$2:$G$101,MATCH(TRIM(RIGHT(SUBSTITUTE(TRIM(E163&amp;"")," ",REPT(" ",60)),60)),코드표!$F$2:$F$101,0)),"⚠"&amp;TRIM(E163&amp;""))),"⚠"&amp;TRIM(E163&amp;""))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",TRIM(F163&amp;""))-1),코드표!$J$2:$J$101,0)),ISNUMBER(MATCH(TRIM(RIGHT(SUBSTITUTE(TRIM(F163&amp;"")," ",REPT(" ",60)),60)),코드표!$F$2:$F$101,0))),INDEX(코드표!$K$2:$K$101,MATCH(LEFT(TRIM(F163&amp;""),FIND(" ",TRIM(F163&amp;""))-1),코드표!$J$2:$J$101,0))&amp;" "&amp;INDEX(코드표!$G$2:$G$101,MATCH(TRIM(RIGHT(SUBSTITUTE(TRIM(F163&amp;"")," ",REPT(" ",60)),60)),코드표!$F$2:$F$101,0)),"⚠"&amp;TRIM(F163&amp;""))),"⚠"&amp;TRIM(F163&amp;""))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",TRIM(G163&amp;""))-1),코드표!$J$2:$J$101,0)),ISNUMBER(MATCH(TRIM(RIGHT(SUBSTITUTE(TRIM(G163&amp;"")," ",REPT(" ",60)),60)),코드표!$F$2:$F$101,0))),INDEX(코드표!$K$2:$K$101,MATCH(LEFT(TRIM(G163&amp;""),FIND(" ",TRIM(G163&amp;""))-1),코드표!$J$2:$J$101,0))&amp;" "&amp;INDEX(코드표!$G$2:$G$101,MATCH(TRIM(RIGHT(SUBSTITUTE(TRIM(G163&amp;"")," ",REPT(" ",60)),60)),코드표!$F$2:$F$101,0)),"⚠"&amp;TRIM(G163&amp;""))),"⚠"&amp;TRIM(G163&amp;""))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",TRIM(H163&amp;""))-1),코드표!$J$2:$J$101,0)),ISNUMBER(MATCH(TRIM(RIGHT(SUBSTITUTE(TRIM(H163&amp;"")," ",REPT(" ",60)),60)),코드표!$F$2:$F$101,0))),INDEX(코드표!$K$2:$K$101,MATCH(LEFT(TRIM(H163&amp;""),FIND(" ",TRIM(H163&amp;""))-1),코드표!$J$2:$J$101,0))&amp;" "&amp;INDEX(코드표!$G$2:$G$101,MATCH(TRIM(RIGHT(SUBSTITUTE(TRIM(H163&amp;"")," ",REPT(" ",60)),60)),코드표!$F$2:$F$101,0)),"⚠"&amp;TRIM(H163&amp;""))),"⚠"&amp;TRIM(H163&amp;""))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",TRIM(I163&amp;""))-1),코드표!$J$2:$J$101,0)),ISNUMBER(MATCH(TRIM(RIGHT(SUBSTITUTE(TRIM(I163&amp;"")," ",REPT(" ",60)),60)),코드표!$F$2:$F$101,0))),INDEX(코드표!$K$2:$K$101,MATCH(LEFT(TRIM(I163&amp;""),FIND(" ",TRIM(I163&amp;""))-1),코드표!$J$2:$J$101,0))&amp;" "&amp;INDEX(코드표!$G$2:$G$101,MATCH(TRIM(RIGHT(SUBSTITUTE(TRIM(I163&amp;"")," ",REPT(" ",60)),60)),코드표!$F$2:$F$101,0)),"⚠"&amp;TRIM(I163&amp;""))),"⚠"&amp;TRIM(I163&amp;""))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",TRIM(J163&amp;""))-1),코드표!$J$2:$J$101,0)),ISNUMBER(MATCH(TRIM(RIGHT(SUBSTITUTE(TRIM(J163&amp;"")," ",REPT(" ",60)),60)),코드표!$F$2:$F$101,0))),INDEX(코드표!$K$2:$K$101,MATCH(LEFT(TRIM(J163&amp;""),FIND(" ",TRIM(J163&amp;""))-1),코드표!$J$2:$J$101,0))&amp;" "&amp;INDEX(코드표!$G$2:$G$101,MATCH(TRIM(RIGHT(SUBSTITUTE(TRIM(J163&amp;"")," ",REPT(" ",60)),60)),코드표!$F$2:$F$101,0)),"⚠"&amp;TRIM(J163&amp;""))),"⚠"&amp;TRIM(J163&amp;""))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",TRIM(E164&amp;""))-1),코드표!$J$2:$J$101,0)),ISNUMBER(MATCH(TRIM(RIGHT(SUBSTITUTE(TRIM(E164&amp;"")," ",REPT(" ",60)),60)),코드표!$F$2:$F$101,0))),INDEX(코드표!$K$2:$K$101,MATCH(LEFT(TRIM(E164&amp;""),FIND(" ",TRIM(E164&amp;""))-1),코드표!$J$2:$J$101,0))&amp;" "&amp;INDEX(코드표!$G$2:$G$101,MATCH(TRIM(RIGHT(SUBSTITUTE(TRIM(E164&amp;"")," ",REPT(" ",60)),60)),코드표!$F$2:$F$101,0)),"⚠"&amp;TRIM(E164&amp;""))),"⚠"&amp;TRIM(E164&amp;""))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",TRIM(F164&amp;""))-1),코드표!$J$2:$J$101,0)),ISNUMBER(MATCH(TRIM(RIGHT(SUBSTITUTE(TRIM(F164&amp;"")," ",REPT(" ",60)),60)),코드표!$F$2:$F$101,0))),INDEX(코드표!$K$2:$K$101,MATCH(LEFT(TRIM(F164&amp;""),FIND(" ",TRIM(F164&amp;""))-1),코드표!$J$2:$J$101,0))&amp;" "&amp;INDEX(코드표!$G$2:$G$101,MATCH(TRIM(RIGHT(SUBSTITUTE(TRIM(F164&amp;"")," ",REPT(" ",60)),60)),코드표!$F$2:$F$101,0)),"⚠"&amp;TRIM(F164&amp;""))),"⚠"&amp;TRIM(F164&amp;""))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",TRIM(G164&amp;""))-1),코드표!$J$2:$J$101,0)),ISNUMBER(MATCH(TRIM(RIGHT(SUBSTITUTE(TRIM(G164&amp;"")," ",REPT(" ",60)),60)),코드표!$F$2:$F$101,0))),INDEX(코드표!$K$2:$K$101,MATCH(LEFT(TRIM(G164&amp;""),FIND(" ",TRIM(G164&amp;""))-1),코드표!$J$2:$J$101,0))&amp;" "&amp;INDEX(코드표!$G$2:$G$101,MATCH(TRIM(RIGHT(SUBSTITUTE(TRIM(G164&amp;"")," ",REPT(" ",60)),60)),코드표!$F$2:$F$101,0)),"⚠"&amp;TRIM(G164&amp;""))),"⚠"&amp;TRIM(G164&amp;""))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",TRIM(H164&amp;""))-1),코드표!$J$2:$J$101,0)),ISNUMBER(MATCH(TRIM(RIGHT(SUBSTITUTE(TRIM(H164&amp;"")," ",REPT(" ",60)),60)),코드표!$F$2:$F$101,0))),INDEX(코드표!$K$2:$K$101,MATCH(LEFT(TRIM(H164&amp;""),FIND(" ",TRIM(H164&amp;""))-1),코드표!$J$2:$J$101,0))&amp;" "&amp;INDEX(코드표!$G$2:$G$101,MATCH(TRIM(RIGHT(SUBSTITUTE(TRIM(H164&amp;"")," ",REPT(" ",60)),60)),코드표!$F$2:$F$101,0)),"⚠"&amp;TRIM(H164&amp;""))),"⚠"&amp;TRIM(H164&amp;""))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",TRIM(I164&amp;""))-1),코드표!$J$2:$J$101,0)),ISNUMBER(MATCH(TRIM(RIGHT(SUBSTITUTE(TRIM(I164&amp;"")," ",REPT(" ",60)),60)),코드표!$F$2:$F$101,0))),INDEX(코드표!$K$2:$K$101,MATCH(LEFT(TRIM(I164&amp;""),FIND(" ",TRIM(I164&amp;""))-1),코드표!$J$2:$J$101,0))&amp;" "&amp;INDEX(코드표!$G$2:$G$101,MATCH(TRIM(RIGHT(SUBSTITUTE(TRIM(I164&amp;"")," ",REPT(" ",60)),60)),코드표!$F$2:$F$101,0)),"⚠"&amp;TRIM(I164&amp;""))),"⚠"&amp;TRIM(I164&amp;""))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",TRIM(J164&amp;""))-1),코드표!$J$2:$J$101,0)),ISNUMBER(MATCH(TRIM(RIGHT(SUBSTITUTE(TRIM(J164&amp;"")," ",REPT(" ",60)),60)),코드표!$F$2:$F$101,0))),INDEX(코드표!$K$2:$K$101,MATCH(LEFT(TRIM(J164&amp;""),FIND(" ",TRIM(J164&amp;""))-1),코드표!$J$2:$J$101,0))&amp;" "&amp;INDEX(코드표!$G$2:$G$101,MATCH(TRIM(RIGHT(SUBSTITUTE(TRIM(J164&amp;"")," ",REPT(" ",60)),60)),코드표!$F$2:$F$101,0)),"⚠"&amp;TRIM(J164&amp;""))),"⚠"&amp;TRIM(J164&amp;""))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",TRIM(E165&amp;""))-1),코드표!$J$2:$J$101,0)),ISNUMBER(MATCH(TRIM(RIGHT(SUBSTITUTE(TRIM(E165&amp;"")," ",REPT(" ",60)),60)),코드표!$F$2:$F$101,0))),INDEX(코드표!$K$2:$K$101,MATCH(LEFT(TRIM(E165&amp;""),FIND(" ",TRIM(E165&amp;""))-1),코드표!$J$2:$J$101,0))&amp;" "&amp;INDEX(코드표!$G$2:$G$101,MATCH(TRIM(RIGHT(SUBSTITUTE(TRIM(E165&amp;"")," ",REPT(" ",60)),60)),코드표!$F$2:$F$101,0)),"⚠"&amp;TRIM(E165&amp;""))),"⚠"&amp;TRIM(E165&amp;""))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",TRIM(F165&amp;""))-1),코드표!$J$2:$J$101,0)),ISNUMBER(MATCH(TRIM(RIGHT(SUBSTITUTE(TRIM(F165&amp;"")," ",REPT(" ",60)),60)),코드표!$F$2:$F$101,0))),INDEX(코드표!$K$2:$K$101,MATCH(LEFT(TRIM(F165&amp;""),FIND(" ",TRIM(F165&amp;""))-1),코드표!$J$2:$J$101,0))&amp;" "&amp;INDEX(코드표!$G$2:$G$101,MATCH(TRIM(RIGHT(SUBSTITUTE(TRIM(F165&amp;"")," ",REPT(" ",60)),60)),코드표!$F$2:$F$101,0)),"⚠"&amp;TRIM(F165&amp;""))),"⚠"&amp;TRIM(F165&amp;""))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",TRIM(G165&amp;""))-1),코드표!$J$2:$J$101,0)),ISNUMBER(MATCH(TRIM(RIGHT(SUBSTITUTE(TRIM(G165&amp;"")," ",REPT(" ",60)),60)),코드표!$F$2:$F$101,0))),INDEX(코드표!$K$2:$K$101,MATCH(LEFT(TRIM(G165&amp;""),FIND(" ",TRIM(G165&amp;""))-1),코드표!$J$2:$J$101,0))&amp;" "&amp;INDEX(코드표!$G$2:$G$101,MATCH(TRIM(RIGHT(SUBSTITUTE(TRIM(G165&amp;"")," ",REPT(" ",60)),60)),코드표!$F$2:$F$101,0)),"⚠"&amp;TRIM(G165&amp;""))),"⚠"&amp;TRIM(G165&amp;""))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",TRIM(H165&amp;""))-1),코드표!$J$2:$J$101,0)),ISNUMBER(MATCH(TRIM(RIGHT(SUBSTITUTE(TRIM(H165&amp;"")," ",REPT(" ",60)),60)),코드표!$F$2:$F$101,0))),INDEX(코드표!$K$2:$K$101,MATCH(LEFT(TRIM(H165&amp;""),FIND(" ",TRIM(H165&amp;""))-1),코드표!$J$2:$J$101,0))&amp;" "&amp;INDEX(코드표!$G$2:$G$101,MATCH(TRIM(RIGHT(SUBSTITUTE(TRIM(H165&amp;"")," ",REPT(" ",60)),60)),코드표!$F$2:$F$101,0)),"⚠"&amp;TRIM(H165&amp;""))),"⚠"&amp;TRIM(H165&amp;""))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",TRIM(I165&amp;""))-1),코드표!$J$2:$J$101,0)),ISNUMBER(MATCH(TRIM(RIGHT(SUBSTITUTE(TRIM(I165&amp;"")," ",REPT(" ",60)),60)),코드표!$F$2:$F$101,0))),INDEX(코드표!$K$2:$K$101,MATCH(LEFT(TRIM(I165&amp;""),FIND(" ",TRIM(I165&amp;""))-1),코드표!$J$2:$J$101,0))&amp;" "&amp;INDEX(코드표!$G$2:$G$101,MATCH(TRIM(RIGHT(SUBSTITUTE(TRIM(I165&amp;"")," ",REPT(" ",60)),60)),코드표!$F$2:$F$101,0)),"⚠"&amp;TRIM(I165&amp;""))),"⚠"&amp;TRIM(I165&amp;""))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",TRIM(J165&amp;""))-1),코드표!$J$2:$J$101,0)),ISNUMBER(MATCH(TRIM(RIGHT(SUBSTITUTE(TRIM(J165&amp;"")," ",REPT(" ",60)),60)),코드표!$F$2:$F$101,0))),INDEX(코드표!$K$2:$K$101,MATCH(LEFT(TRIM(J165&amp;""),FIND(" ",TRIM(J165&amp;""))-1),코드표!$J$2:$J$101,0))&amp;" "&amp;INDEX(코드표!$G$2:$G$101,MATCH(TRIM(RIGHT(SUBSTITUTE(TRIM(J165&amp;"")," ",REPT(" ",60)),60)),코드표!$F$2:$F$101,0)),"⚠"&amp;TRIM(J165&amp;""))),"⚠"&amp;TRIM(J165&amp;""))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",TRIM(E166&amp;""))-1),코드표!$J$2:$J$101,0)),ISNUMBER(MATCH(TRIM(RIGHT(SUBSTITUTE(TRIM(E166&amp;"")," ",REPT(" ",60)),60)),코드표!$F$2:$F$101,0))),INDEX(코드표!$K$2:$K$101,MATCH(LEFT(TRIM(E166&amp;""),FIND(" ",TRIM(E166&amp;""))-1),코드표!$J$2:$J$101,0))&amp;" "&amp;INDEX(코드표!$G$2:$G$101,MATCH(TRIM(RIGHT(SUBSTITUTE(TRIM(E166&amp;"")," ",REPT(" ",60)),60)),코드표!$F$2:$F$101,0)),"⚠"&amp;TRIM(E166&amp;""))),"⚠"&amp;TRIM(E166&amp;""))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",TRIM(F166&amp;""))-1),코드표!$J$2:$J$101,0)),ISNUMBER(MATCH(TRIM(RIGHT(SUBSTITUTE(TRIM(F166&amp;"")," ",REPT(" ",60)),60)),코드표!$F$2:$F$101,0))),INDEX(코드표!$K$2:$K$101,MATCH(LEFT(TRIM(F166&amp;""),FIND(" ",TRIM(F166&amp;""))-1),코드표!$J$2:$J$101,0))&amp;" "&amp;INDEX(코드표!$G$2:$G$101,MATCH(TRIM(RIGHT(SUBSTITUTE(TRIM(F166&amp;"")," ",REPT(" ",60)),60)),코드표!$F$2:$F$101,0)),"⚠"&amp;TRIM(F166&amp;""))),"⚠"&amp;TRIM(F166&amp;""))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",TRIM(G166&amp;""))-1),코드표!$J$2:$J$101,0)),ISNUMBER(MATCH(TRIM(RIGHT(SUBSTITUTE(TRIM(G166&amp;"")," ",REPT(" ",60)),60)),코드표!$F$2:$F$101,0))),INDEX(코드표!$K$2:$K$101,MATCH(LEFT(TRIM(G166&amp;""),FIND(" ",TRIM(G166&amp;""))-1),코드표!$J$2:$J$101,0))&amp;" "&amp;INDEX(코드표!$G$2:$G$101,MATCH(TRIM(RIGHT(SUBSTITUTE(TRIM(G166&amp;"")," ",REPT(" ",60)),60)),코드표!$F$2:$F$101,0)),"⚠"&amp;TRIM(G166&amp;""))),"⚠"&amp;TRIM(G166&amp;""))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",TRIM(H166&amp;""))-1),코드표!$J$2:$J$101,0)),ISNUMBER(MATCH(TRIM(RIGHT(SUBSTITUTE(TRIM(H166&amp;"")," ",REPT(" ",60)),60)),코드표!$F$2:$F$101,0))),INDEX(코드표!$K$2:$K$101,MATCH(LEFT(TRIM(H166&amp;""),FIND(" ",TRIM(H166&amp;""))-1),코드표!$J$2:$J$101,0))&amp;" "&amp;INDEX(코드표!$G$2:$G$101,MATCH(TRIM(RIGHT(SUBSTITUTE(TRIM(H166&amp;"")," ",REPT(" ",60)),60)),코드표!$F$2:$F$101,0)),"⚠"&amp;TRIM(H166&amp;""))),"⚠"&amp;TRIM(H166&amp;""))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",TRIM(I166&amp;""))-1),코드표!$J$2:$J$101,0)),ISNUMBER(MATCH(TRIM(RIGHT(SUBSTITUTE(TRIM(I166&amp;"")," ",REPT(" ",60)),60)),코드표!$F$2:$F$101,0))),INDEX(코드표!$K$2:$K$101,MATCH(LEFT(TRIM(I166&amp;""),FIND(" ",TRIM(I166&amp;""))-1),코드표!$J$2:$J$101,0))&amp;" "&amp;INDEX(코드표!$G$2:$G$101,MATCH(TRIM(RIGHT(SUBSTITUTE(TRIM(I166&amp;"")," ",REPT(" ",60)),60)),코드표!$F$2:$F$101,0)),"⚠"&amp;TRIM(I166&amp;""))),"⚠"&amp;TRIM(I166&amp;""))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",TRIM(J166&amp;""))-1),코드표!$J$2:$J$101,0)),ISNUMBER(MATCH(TRIM(RIGHT(SUBSTITUTE(TRIM(J166&amp;"")," ",REPT(" ",60)),60)),코드표!$F$2:$F$101,0))),INDEX(코드표!$K$2:$K$101,MATCH(LEFT(TRIM(J166&amp;""),FIND(" ",TRIM(J166&amp;""))-1),코드표!$J$2:$J$101,0))&amp;" "&amp;INDEX(코드표!$G$2:$G$101,MATCH(TRIM(RIGHT(SUBSTITUTE(TRIM(J166&amp;"")," ",REPT(" ",60)),60)),코드표!$F$2:$F$101,0)),"⚠"&amp;TRIM(J166&amp;""))),"⚠"&amp;TRIM(J166&amp;""))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",TRIM(E167&amp;""))-1),코드표!$J$2:$J$101,0)),ISNUMBER(MATCH(TRIM(RIGHT(SUBSTITUTE(TRIM(E167&amp;"")," ",REPT(" ",60)),60)),코드표!$F$2:$F$101,0))),INDEX(코드표!$K$2:$K$101,MATCH(LEFT(TRIM(E167&amp;""),FIND(" ",TRIM(E167&amp;""))-1),코드표!$J$2:$J$101,0))&amp;" "&amp;INDEX(코드표!$G$2:$G$101,MATCH(TRIM(RIGHT(SUBSTITUTE(TRIM(E167&amp;"")," ",REPT(" ",60)),60)),코드표!$F$2:$F$101,0)),"⚠"&amp;TRIM(E167&amp;""))),"⚠"&amp;TRIM(E167&amp;""))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",TRIM(F167&amp;""))-1),코드표!$J$2:$J$101,0)),ISNUMBER(MATCH(TRIM(RIGHT(SUBSTITUTE(TRIM(F167&amp;"")," ",REPT(" ",60)),60)),코드표!$F$2:$F$101,0))),INDEX(코드표!$K$2:$K$101,MATCH(LEFT(TRIM(F167&amp;""),FIND(" ",TRIM(F167&amp;""))-1),코드표!$J$2:$J$101,0))&amp;" "&amp;INDEX(코드표!$G$2:$G$101,MATCH(TRIM(RIGHT(SUBSTITUTE(TRIM(F167&amp;"")," ",REPT(" ",60)),60)),코드표!$F$2:$F$101,0)),"⚠"&amp;TRIM(F167&amp;""))),"⚠"&amp;TRIM(F167&amp;""))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",TRIM(G167&amp;""))-1),코드표!$J$2:$J$101,0)),ISNUMBER(MATCH(TRIM(RIGHT(SUBSTITUTE(TRIM(G167&amp;"")," ",REPT(" ",60)),60)),코드표!$F$2:$F$101,0))),INDEX(코드표!$K$2:$K$101,MATCH(LEFT(TRIM(G167&amp;""),FIND(" ",TRIM(G167&amp;""))-1),코드표!$J$2:$J$101,0))&amp;" "&amp;INDEX(코드표!$G$2:$G$101,MATCH(TRIM(RIGHT(SUBSTITUTE(TRIM(G167&amp;"")," ",REPT(" ",60)),60)),코드표!$F$2:$F$101,0)),"⚠"&amp;TRIM(G167&amp;""))),"⚠"&amp;TRIM(G167&amp;""))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",TRIM(H167&amp;""))-1),코드표!$J$2:$J$101,0)),ISNUMBER(MATCH(TRIM(RIGHT(SUBSTITUTE(TRIM(H167&amp;"")," ",REPT(" ",60)),60)),코드표!$F$2:$F$101,0))),INDEX(코드표!$K$2:$K$101,MATCH(LEFT(TRIM(H167&amp;""),FIND(" ",TRIM(H167&amp;""))-1),코드표!$J$2:$J$101,0))&amp;" "&amp;INDEX(코드표!$G$2:$G$101,MATCH(TRIM(RIGHT(SUBSTITUTE(TRIM(H167&amp;"")," ",REPT(" ",60)),60)),코드표!$F$2:$F$101,0)),"⚠"&amp;TRIM(H167&amp;""))),"⚠"&amp;TRIM(H167&amp;""))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",TRIM(I167&amp;""))-1),코드표!$J$2:$J$101,0)),ISNUMBER(MATCH(TRIM(RIGHT(SUBSTITUTE(TRIM(I167&amp;"")," ",REPT(" ",60)),60)),코드표!$F$2:$F$101,0))),INDEX(코드표!$K$2:$K$101,MATCH(LEFT(TRIM(I167&amp;""),FIND(" ",TRIM(I167&amp;""))-1),코드표!$J$2:$J$101,0))&amp;" "&amp;INDEX(코드표!$G$2:$G$101,MATCH(TRIM(RIGHT(SUBSTITUTE(TRIM(I167&amp;"")," ",REPT(" ",60)),60)),코드표!$F$2:$F$101,0)),"⚠"&amp;TRIM(I167&amp;""))),"⚠"&amp;TRIM(I167&amp;""))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",TRIM(J167&amp;""))-1),코드표!$J$2:$J$101,0)),ISNUMBER(MATCH(TRIM(RIGHT(SUBSTITUTE(TRIM(J167&amp;"")," ",REPT(" ",60)),60)),코드표!$F$2:$F$101,0))),INDEX(코드표!$K$2:$K$101,MATCH(LEFT(TRIM(J167&amp;""),FIND(" ",TRIM(J167&amp;""))-1),코드표!$J$2:$J$101,0))&amp;" "&amp;INDEX(코드표!$G$2:$G$101,MATCH(TRIM(RIGHT(SUBSTITUTE(TRIM(J167&amp;"")," ",REPT(" ",60)),60)),코드표!$F$2:$F$101,0)),"⚠"&amp;TRIM(J167&amp;""))),"⚠"&amp;TRIM(J167&amp;""))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",TRIM(E168&amp;""))-1),코드표!$J$2:$J$101,0)),ISNUMBER(MATCH(TRIM(RIGHT(SUBSTITUTE(TRIM(E168&amp;"")," ",REPT(" ",60)),60)),코드표!$F$2:$F$101,0))),INDEX(코드표!$K$2:$K$101,MATCH(LEFT(TRIM(E168&amp;""),FIND(" ",TRIM(E168&amp;""))-1),코드표!$J$2:$J$101,0))&amp;" "&amp;INDEX(코드표!$G$2:$G$101,MATCH(TRIM(RIGHT(SUBSTITUTE(TRIM(E168&amp;"")," ",REPT(" ",60)),60)),코드표!$F$2:$F$101,0)),"⚠"&amp;TRIM(E168&amp;""))),"⚠"&amp;TRIM(E168&amp;""))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",TRIM(F168&amp;""))-1),코드표!$J$2:$J$101,0)),ISNUMBER(MATCH(TRIM(RIGHT(SUBSTITUTE(TRIM(F168&amp;"")," ",REPT(" ",60)),60)),코드표!$F$2:$F$101,0))),INDEX(코드표!$K$2:$K$101,MATCH(LEFT(TRIM(F168&amp;""),FIND(" ",TRIM(F168&amp;""))-1),코드표!$J$2:$J$101,0))&amp;" "&amp;INDEX(코드표!$G$2:$G$101,MATCH(TRIM(RIGHT(SUBSTITUTE(TRIM(F168&amp;"")," ",REPT(" ",60)),60)),코드표!$F$2:$F$101,0)),"⚠"&amp;TRIM(F168&amp;""))),"⚠"&amp;TRIM(F168&amp;""))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",TRIM(G168&amp;""))-1),코드표!$J$2:$J$101,0)),ISNUMBER(MATCH(TRIM(RIGHT(SUBSTITUTE(TRIM(G168&amp;"")," ",REPT(" ",60)),60)),코드표!$F$2:$F$101,0))),INDEX(코드표!$K$2:$K$101,MATCH(LEFT(TRIM(G168&amp;""),FIND(" ",TRIM(G168&amp;""))-1),코드표!$J$2:$J$101,0))&amp;" "&amp;INDEX(코드표!$G$2:$G$101,MATCH(TRIM(RIGHT(SUBSTITUTE(TRIM(G168&amp;"")," ",REPT(" ",60)),60)),코드표!$F$2:$F$101,0)),"⚠"&amp;TRIM(G168&amp;""))),"⚠"&amp;TRIM(G168&amp;""))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",TRIM(H168&amp;""))-1),코드표!$J$2:$J$101,0)),ISNUMBER(MATCH(TRIM(RIGHT(SUBSTITUTE(TRIM(H168&amp;"")," ",REPT(" ",60)),60)),코드표!$F$2:$F$101,0))),INDEX(코드표!$K$2:$K$101,MATCH(LEFT(TRIM(H168&amp;""),FIND(" ",TRIM(H168&amp;""))-1),코드표!$J$2:$J$101,0))&amp;" "&amp;INDEX(코드표!$G$2:$G$101,MATCH(TRIM(RIGHT(SUBSTITUTE(TRIM(H168&amp;"")," ",REPT(" ",60)),60)),코드표!$F$2:$F$101,0)),"⚠"&amp;TRIM(H168&amp;""))),"⚠"&amp;TRIM(H168&amp;""))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",TRIM(I168&amp;""))-1),코드표!$J$2:$J$101,0)),ISNUMBER(MATCH(TRIM(RIGHT(SUBSTITUTE(TRIM(I168&amp;"")," ",REPT(" ",60)),60)),코드표!$F$2:$F$101,0))),INDEX(코드표!$K$2:$K$101,MATCH(LEFT(TRIM(I168&amp;""),FIND(" ",TRIM(I168&amp;""))-1),코드표!$J$2:$J$101,0))&amp;" "&amp;INDEX(코드표!$G$2:$G$101,MATCH(TRIM(RIGHT(SUBSTITUTE(TRIM(I168&amp;"")," ",REPT(" ",60)),60)),코드표!$F$2:$F$101,0)),"⚠"&amp;TRIM(I168&amp;""))),"⚠"&amp;TRIM(I168&amp;""))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",TRIM(J168&amp;""))-1),코드표!$J$2:$J$101,0)),ISNUMBER(MATCH(TRIM(RIGHT(SUBSTITUTE(TRIM(J168&amp;"")," ",REPT(" ",60)),60)),코드표!$F$2:$F$101,0))),INDEX(코드표!$K$2:$K$101,MATCH(LEFT(TRIM(J168&amp;""),FIND(" ",TRIM(J168&amp;""))-1),코드표!$J$2:$J$101,0))&amp;" "&amp;INDEX(코드표!$G$2:$G$101,MATCH(TRIM(RIGHT(SUBSTITUTE(TRIM(J168&amp;"")," ",REPT(" ",60)),60)),코드표!$F$2:$F$101,0)),"⚠"&amp;TRIM(J168&amp;""))),"⚠"&amp;TRIM(J168&amp;""))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",TRIM(E169&amp;""))-1),코드표!$J$2:$J$101,0)),ISNUMBER(MATCH(TRIM(RIGHT(SUBSTITUTE(TRIM(E169&amp;"")," ",REPT(" ",60)),60)),코드표!$F$2:$F$101,0))),INDEX(코드표!$K$2:$K$101,MATCH(LEFT(TRIM(E169&amp;""),FIND(" ",TRIM(E169&amp;""))-1),코드표!$J$2:$J$101,0))&amp;" "&amp;INDEX(코드표!$G$2:$G$101,MATCH(TRIM(RIGHT(SUBSTITUTE(TRIM(E169&amp;"")," ",REPT(" ",60)),60)),코드표!$F$2:$F$101,0)),"⚠"&amp;TRIM(E169&amp;""))),"⚠"&amp;TRIM(E169&amp;""))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",TRIM(F169&amp;""))-1),코드표!$J$2:$J$101,0)),ISNUMBER(MATCH(TRIM(RIGHT(SUBSTITUTE(TRIM(F169&amp;"")," ",REPT(" ",60)),60)),코드표!$F$2:$F$101,0))),INDEX(코드표!$K$2:$K$101,MATCH(LEFT(TRIM(F169&amp;""),FIND(" ",TRIM(F169&amp;""))-1),코드표!$J$2:$J$101,0))&amp;" "&amp;INDEX(코드표!$G$2:$G$101,MATCH(TRIM(RIGHT(SUBSTITUTE(TRIM(F169&amp;"")," ",REPT(" ",60)),60)),코드표!$F$2:$F$101,0)),"⚠"&amp;TRIM(F169&amp;""))),"⚠"&amp;TRIM(F169&amp;""))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",TRIM(G169&amp;""))-1),코드표!$J$2:$J$101,0)),ISNUMBER(MATCH(TRIM(RIGHT(SUBSTITUTE(TRIM(G169&amp;"")," ",REPT(" ",60)),60)),코드표!$F$2:$F$101,0))),INDEX(코드표!$K$2:$K$101,MATCH(LEFT(TRIM(G169&amp;""),FIND(" ",TRIM(G169&amp;""))-1),코드표!$J$2:$J$101,0))&amp;" "&amp;INDEX(코드표!$G$2:$G$101,MATCH(TRIM(RIGHT(SUBSTITUTE(TRIM(G169&amp;"")," ",REPT(" ",60)),60)),코드표!$F$2:$F$101,0)),"⚠"&amp;TRIM(G169&amp;""))),"⚠"&amp;TRIM(G169&amp;""))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",TRIM(H169&amp;""))-1),코드표!$J$2:$J$101,0)),ISNUMBER(MATCH(TRIM(RIGHT(SUBSTITUTE(TRIM(H169&amp;"")," ",REPT(" ",60)),60)),코드표!$F$2:$F$101,0))),INDEX(코드표!$K$2:$K$101,MATCH(LEFT(TRIM(H169&amp;""),FIND(" ",TRIM(H169&amp;""))-1),코드표!$J$2:$J$101,0))&amp;" "&amp;INDEX(코드표!$G$2:$G$101,MATCH(TRIM(RIGHT(SUBSTITUTE(TRIM(H169&amp;"")," ",REPT(" ",60)),60)),코드표!$F$2:$F$101,0)),"⚠"&amp;TRIM(H169&amp;""))),"⚠"&amp;TRIM(H169&amp;""))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",TRIM(I169&amp;""))-1),코드표!$J$2:$J$101,0)),ISNUMBER(MATCH(TRIM(RIGHT(SUBSTITUTE(TRIM(I169&amp;"")," ",REPT(" ",60)),60)),코드표!$F$2:$F$101,0))),INDEX(코드표!$K$2:$K$101,MATCH(LEFT(TRIM(I169&amp;""),FIND(" ",TRIM(I169&amp;""))-1),코드표!$J$2:$J$101,0))&amp;" "&amp;INDEX(코드표!$G$2:$G$101,MATCH(TRIM(RIGHT(SUBSTITUTE(TRIM(I169&amp;"")," ",REPT(" ",60)),60)),코드표!$F$2:$F$101,0)),"⚠"&amp;TRIM(I169&amp;""))),"⚠"&amp;TRIM(I169&amp;""))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",TRIM(J169&amp;""))-1),코드표!$J$2:$J$101,0)),ISNUMBER(MATCH(TRIM(RIGHT(SUBSTITUTE(TRIM(J169&amp;"")," ",REPT(" ",60)),60)),코드표!$F$2:$F$101,0))),INDEX(코드표!$K$2:$K$101,MATCH(LEFT(TRIM(J169&amp;""),FIND(" ",TRIM(J169&amp;""))-1),코드표!$J$2:$J$101,0))&amp;" "&amp;INDEX(코드표!$G$2:$G$101,MATCH(TRIM(RIGHT(SUBSTITUTE(TRIM(J169&amp;"")," ",REPT(" ",60)),60)),코드표!$F$2:$F$101,0)),"⚠"&amp;TRIM(J169&amp;""))),"⚠"&amp;TRIM(J169&amp;""))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",TRIM(E170&amp;""))-1),코드표!$J$2:$J$101,0)),ISNUMBER(MATCH(TRIM(RIGHT(SUBSTITUTE(TRIM(E170&amp;"")," ",REPT(" ",60)),60)),코드표!$F$2:$F$101,0))),INDEX(코드표!$K$2:$K$101,MATCH(LEFT(TRIM(E170&amp;""),FIND(" ",TRIM(E170&amp;""))-1),코드표!$J$2:$J$101,0))&amp;" "&amp;INDEX(코드표!$G$2:$G$101,MATCH(TRIM(RIGHT(SUBSTITUTE(TRIM(E170&amp;"")," ",REPT(" ",60)),60)),코드표!$F$2:$F$101,0)),"⚠"&amp;TRIM(E170&amp;""))),"⚠"&amp;TRIM(E170&amp;""))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",TRIM(F170&amp;""))-1),코드표!$J$2:$J$101,0)),ISNUMBER(MATCH(TRIM(RIGHT(SUBSTITUTE(TRIM(F170&amp;"")," ",REPT(" ",60)),60)),코드표!$F$2:$F$101,0))),INDEX(코드표!$K$2:$K$101,MATCH(LEFT(TRIM(F170&amp;""),FIND(" ",TRIM(F170&amp;""))-1),코드표!$J$2:$J$101,0))&amp;" "&amp;INDEX(코드표!$G$2:$G$101,MATCH(TRIM(RIGHT(SUBSTITUTE(TRIM(F170&amp;"")," ",REPT(" ",60)),60)),코드표!$F$2:$F$101,0)),"⚠"&amp;TRIM(F170&amp;""))),"⚠"&amp;TRIM(F170&amp;""))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",TRIM(G170&amp;""))-1),코드표!$J$2:$J$101,0)),ISNUMBER(MATCH(TRIM(RIGHT(SUBSTITUTE(TRIM(G170&amp;"")," ",REPT(" ",60)),60)),코드표!$F$2:$F$101,0))),INDEX(코드표!$K$2:$K$101,MATCH(LEFT(TRIM(G170&amp;""),FIND(" ",TRIM(G170&amp;""))-1),코드표!$J$2:$J$101,0))&amp;" "&amp;INDEX(코드표!$G$2:$G$101,MATCH(TRIM(RIGHT(SUBSTITUTE(TRIM(G170&amp;"")," ",REPT(" ",60)),60)),코드표!$F$2:$F$101,0)),"⚠"&amp;TRIM(G170&amp;""))),"⚠"&amp;TRIM(G170&amp;""))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",TRIM(H170&amp;""))-1),코드표!$J$2:$J$101,0)),ISNUMBER(MATCH(TRIM(RIGHT(SUBSTITUTE(TRIM(H170&amp;"")," ",REPT(" ",60)),60)),코드표!$F$2:$F$101,0))),INDEX(코드표!$K$2:$K$101,MATCH(LEFT(TRIM(H170&amp;""),FIND(" ",TRIM(H170&amp;""))-1),코드표!$J$2:$J$101,0))&amp;" "&amp;INDEX(코드표!$G$2:$G$101,MATCH(TRIM(RIGHT(SUBSTITUTE(TRIM(H170&amp;"")," ",REPT(" ",60)),60)),코드표!$F$2:$F$101,0)),"⚠"&amp;TRIM(H170&amp;""))),"⚠"&amp;TRIM(H170&amp;""))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",TRIM(I170&amp;""))-1),코드표!$J$2:$J$101,0)),ISNUMBER(MATCH(TRIM(RIGHT(SUBSTITUTE(TRIM(I170&amp;"")," ",REPT(" ",60)),60)),코드표!$F$2:$F$101,0))),INDEX(코드표!$K$2:$K$101,MATCH(LEFT(TRIM(I170&amp;""),FIND(" ",TRIM(I170&amp;""))-1),코드표!$J$2:$J$101,0))&amp;" "&amp;INDEX(코드표!$G$2:$G$101,MATCH(TRIM(RIGHT(SUBSTITUTE(TRIM(I170&amp;"")," ",REPT(" ",60)),60)),코드표!$F$2:$F$101,0)),"⚠"&amp;TRIM(I170&amp;""))),"⚠"&amp;TRIM(I170&amp;""))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",TRIM(J170&amp;""))-1),코드표!$J$2:$J$101,0)),ISNUMBER(MATCH(TRIM(RIGHT(SUBSTITUTE(TRIM(J170&amp;"")," ",REPT(" ",60)),60)),코드표!$F$2:$F$101,0))),INDEX(코드표!$K$2:$K$101,MATCH(LEFT(TRIM(J170&amp;""),FIND(" ",TRIM(J170&amp;""))-1),코드표!$J$2:$J$101,0))&amp;" "&amp;INDEX(코드표!$G$2:$G$101,MATCH(TRIM(RIGHT(SUBSTITUTE(TRIM(J170&amp;"")," ",REPT(" ",60)),60)),코드표!$F$2:$F$101,0)),"⚠"&amp;TRIM(J170&amp;""))),"⚠"&amp;TRIM(J170&amp;""))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",TRIM(E171&amp;""))-1),코드표!$J$2:$J$101,0)),ISNUMBER(MATCH(TRIM(RIGHT(SUBSTITUTE(TRIM(E171&amp;"")," ",REPT(" ",60)),60)),코드표!$F$2:$F$101,0))),INDEX(코드표!$K$2:$K$101,MATCH(LEFT(TRIM(E171&amp;""),FIND(" ",TRIM(E171&amp;""))-1),코드표!$J$2:$J$101,0))&amp;" "&amp;INDEX(코드표!$G$2:$G$101,MATCH(TRIM(RIGHT(SUBSTITUTE(TRIM(E171&amp;"")," ",REPT(" ",60)),60)),코드표!$F$2:$F$101,0)),"⚠"&amp;TRIM(E171&amp;""))),"⚠"&amp;TRIM(E171&amp;""))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",TRIM(F171&amp;""))-1),코드표!$J$2:$J$101,0)),ISNUMBER(MATCH(TRIM(RIGHT(SUBSTITUTE(TRIM(F171&amp;"")," ",REPT(" ",60)),60)),코드표!$F$2:$F$101,0))),INDEX(코드표!$K$2:$K$101,MATCH(LEFT(TRIM(F171&amp;""),FIND(" ",TRIM(F171&amp;""))-1),코드표!$J$2:$J$101,0))&amp;" "&amp;INDEX(코드표!$G$2:$G$101,MATCH(TRIM(RIGHT(SUBSTITUTE(TRIM(F171&amp;"")," ",REPT(" ",60)),60)),코드표!$F$2:$F$101,0)),"⚠"&amp;TRIM(F171&amp;""))),"⚠"&amp;TRIM(F171&amp;""))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",TRIM(G171&amp;""))-1),코드표!$J$2:$J$101,0)),ISNUMBER(MATCH(TRIM(RIGHT(SUBSTITUTE(TRIM(G171&amp;"")," ",REPT(" ",60)),60)),코드표!$F$2:$F$101,0))),INDEX(코드표!$K$2:$K$101,MATCH(LEFT(TRIM(G171&amp;""),FIND(" ",TRIM(G171&amp;""))-1),코드표!$J$2:$J$101,0))&amp;" "&amp;INDEX(코드표!$G$2:$G$101,MATCH(TRIM(RIGHT(SUBSTITUTE(TRIM(G171&amp;"")," ",REPT(" ",60)),60)),코드표!$F$2:$F$101,0)),"⚠"&amp;TRIM(G171&amp;""))),"⚠"&amp;TRIM(G171&amp;""))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",TRIM(H171&amp;""))-1),코드표!$J$2:$J$101,0)),ISNUMBER(MATCH(TRIM(RIGHT(SUBSTITUTE(TRIM(H171&amp;"")," ",REPT(" ",60)),60)),코드표!$F$2:$F$101,0))),INDEX(코드표!$K$2:$K$101,MATCH(LEFT(TRIM(H171&amp;""),FIND(" ",TRIM(H171&amp;""))-1),코드표!$J$2:$J$101,0))&amp;" "&amp;INDEX(코드표!$G$2:$G$101,MATCH(TRIM(RIGHT(SUBSTITUTE(TRIM(H171&amp;"")," ",REPT(" ",60)),60)),코드표!$F$2:$F$101,0)),"⚠"&amp;TRIM(H171&amp;""))),"⚠"&amp;TRIM(H171&amp;""))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",TRIM(I171&amp;""))-1),코드표!$J$2:$J$101,0)),ISNUMBER(MATCH(TRIM(RIGHT(SUBSTITUTE(TRIM(I171&amp;"")," ",REPT(" ",60)),60)),코드표!$F$2:$F$101,0))),INDEX(코드표!$K$2:$K$101,MATCH(LEFT(TRIM(I171&amp;""),FIND(" ",TRIM(I171&amp;""))-1),코드표!$J$2:$J$101,0))&amp;" "&amp;INDEX(코드표!$G$2:$G$101,MATCH(TRIM(RIGHT(SUBSTITUTE(TRIM(I171&amp;"")," ",REPT(" ",60)),60)),코드표!$F$2:$F$101,0)),"⚠"&amp;TRIM(I171&amp;""))),"⚠"&amp;TRIM(I171&amp;""))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",TRIM(J171&amp;""))-1),코드표!$J$2:$J$101,0)),ISNUMBER(MATCH(TRIM(RIGHT(SUBSTITUTE(TRIM(J171&amp;"")," ",REPT(" ",60)),60)),코드표!$F$2:$F$101,0))),INDEX(코드표!$K$2:$K$101,MATCH(LEFT(TRIM(J171&amp;""),FIND(" ",TRIM(J171&amp;""))-1),코드표!$J$2:$J$101,0))&amp;" "&amp;INDEX(코드표!$G$2:$G$101,MATCH(TRIM(RIGHT(SUBSTITUTE(TRIM(J171&amp;"")," ",REPT(" ",60)),60)),코드표!$F$2:$F$101,0)),"⚠"&amp;TRIM(J171&amp;""))),"⚠"&amp;TRIM(J171&amp;""))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",TRIM(E172&amp;""))-1),코드표!$J$2:$J$101,0)),ISNUMBER(MATCH(TRIM(RIGHT(SUBSTITUTE(TRIM(E172&amp;"")," ",REPT(" ",60)),60)),코드표!$F$2:$F$101,0))),INDEX(코드표!$K$2:$K$101,MATCH(LEFT(TRIM(E172&amp;""),FIND(" ",TRIM(E172&amp;""))-1),코드표!$J$2:$J$101,0))&amp;" "&amp;INDEX(코드표!$G$2:$G$101,MATCH(TRIM(RIGHT(SUBSTITUTE(TRIM(E172&amp;"")," ",REPT(" ",60)),60)),코드표!$F$2:$F$101,0)),"⚠"&amp;TRIM(E172&amp;""))),"⚠"&amp;TRIM(E172&amp;""))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",TRIM(F172&amp;""))-1),코드표!$J$2:$J$101,0)),ISNUMBER(MATCH(TRIM(RIGHT(SUBSTITUTE(TRIM(F172&amp;"")," ",REPT(" ",60)),60)),코드표!$F$2:$F$101,0))),INDEX(코드표!$K$2:$K$101,MATCH(LEFT(TRIM(F172&amp;""),FIND(" ",TRIM(F172&amp;""))-1),코드표!$J$2:$J$101,0))&amp;" "&amp;INDEX(코드표!$G$2:$G$101,MATCH(TRIM(RIGHT(SUBSTITUTE(TRIM(F172&amp;"")," ",REPT(" ",60)),60)),코드표!$F$2:$F$101,0)),"⚠"&amp;TRIM(F172&amp;""))),"⚠"&amp;TRIM(F172&amp;""))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",TRIM(G172&amp;""))-1),코드표!$J$2:$J$101,0)),ISNUMBER(MATCH(TRIM(RIGHT(SUBSTITUTE(TRIM(G172&amp;"")," ",REPT(" ",60)),60)),코드표!$F$2:$F$101,0))),INDEX(코드표!$K$2:$K$101,MATCH(LEFT(TRIM(G172&amp;""),FIND(" ",TRIM(G172&amp;""))-1),코드표!$J$2:$J$101,0))&amp;" "&amp;INDEX(코드표!$G$2:$G$101,MATCH(TRIM(RIGHT(SUBSTITUTE(TRIM(G172&amp;"")," ",REPT(" ",60)),60)),코드표!$F$2:$F$101,0)),"⚠"&amp;TRIM(G172&amp;""))),"⚠"&amp;TRIM(G172&amp;""))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",TRIM(H172&amp;""))-1),코드표!$J$2:$J$101,0)),ISNUMBER(MATCH(TRIM(RIGHT(SUBSTITUTE(TRIM(H172&amp;"")," ",REPT(" ",60)),60)),코드표!$F$2:$F$101,0))),INDEX(코드표!$K$2:$K$101,MATCH(LEFT(TRIM(H172&amp;""),FIND(" ",TRIM(H172&amp;""))-1),코드표!$J$2:$J$101,0))&amp;" "&amp;INDEX(코드표!$G$2:$G$101,MATCH(TRIM(RIGHT(SUBSTITUTE(TRIM(H172&amp;"")," ",REPT(" ",60)),60)),코드표!$F$2:$F$101,0)),"⚠"&amp;TRIM(H172&amp;""))),"⚠"&amp;TRIM(H172&amp;""))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",TRIM(I172&amp;""))-1),코드표!$J$2:$J$101,0)),ISNUMBER(MATCH(TRIM(RIGHT(SUBSTITUTE(TRIM(I172&amp;"")," ",REPT(" ",60)),60)),코드표!$F$2:$F$101,0))),INDEX(코드표!$K$2:$K$101,MATCH(LEFT(TRIM(I172&amp;""),FIND(" ",TRIM(I172&amp;""))-1),코드표!$J$2:$J$101,0))&amp;" "&amp;INDEX(코드표!$G$2:$G$101,MATCH(TRIM(RIGHT(SUBSTITUTE(TRIM(I172&amp;"")," ",REPT(" ",60)),60)),코드표!$F$2:$F$101,0)),"⚠"&amp;TRIM(I172&amp;""))),"⚠"&amp;TRIM(I172&amp;""))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",TRIM(J172&amp;""))-1),코드표!$J$2:$J$101,0)),ISNUMBER(MATCH(TRIM(RIGHT(SUBSTITUTE(TRIM(J172&amp;"")," ",REPT(" ",60)),60)),코드표!$F$2:$F$101,0))),INDEX(코드표!$K$2:$K$101,MATCH(LEFT(TRIM(J172&amp;""),FIND(" ",TRIM(J172&amp;""))-1),코드표!$J$2:$J$101,0))&amp;" "&amp;INDEX(코드표!$G$2:$G$101,MATCH(TRIM(RIGHT(SUBSTITUTE(TRIM(J172&amp;"")," ",REPT(" ",60)),60)),코드표!$F$2:$F$101,0)),"⚠"&amp;TRIM(J172&amp;""))),"⚠"&amp;TRIM(J172&amp;""))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",TRIM(E173&amp;""))-1),코드표!$J$2:$J$101,0)),ISNUMBER(MATCH(TRIM(RIGHT(SUBSTITUTE(TRIM(E173&amp;"")," ",REPT(" ",60)),60)),코드표!$F$2:$F$101,0))),INDEX(코드표!$K$2:$K$101,MATCH(LEFT(TRIM(E173&amp;""),FIND(" ",TRIM(E173&amp;""))-1),코드표!$J$2:$J$101,0))&amp;" "&amp;INDEX(코드표!$G$2:$G$101,MATCH(TRIM(RIGHT(SUBSTITUTE(TRIM(E173&amp;"")," ",REPT(" ",60)),60)),코드표!$F$2:$F$101,0)),"⚠"&amp;TRIM(E173&amp;""))),"⚠"&amp;TRIM(E173&amp;""))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",TRIM(F173&amp;""))-1),코드표!$J$2:$J$101,0)),ISNUMBER(MATCH(TRIM(RIGHT(SUBSTITUTE(TRIM(F173&amp;"")," ",REPT(" ",60)),60)),코드표!$F$2:$F$101,0))),INDEX(코드표!$K$2:$K$101,MATCH(LEFT(TRIM(F173&amp;""),FIND(" ",TRIM(F173&amp;""))-1),코드표!$J$2:$J$101,0))&amp;" "&amp;INDEX(코드표!$G$2:$G$101,MATCH(TRIM(RIGHT(SUBSTITUTE(TRIM(F173&amp;"")," ",REPT(" ",60)),60)),코드표!$F$2:$F$101,0)),"⚠"&amp;TRIM(F173&amp;""))),"⚠"&amp;TRIM(F173&amp;""))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",TRIM(G173&amp;""))-1),코드표!$J$2:$J$101,0)),ISNUMBER(MATCH(TRIM(RIGHT(SUBSTITUTE(TRIM(G173&amp;"")," ",REPT(" ",60)),60)),코드표!$F$2:$F$101,0))),INDEX(코드표!$K$2:$K$101,MATCH(LEFT(TRIM(G173&amp;""),FIND(" ",TRIM(G173&amp;""))-1),코드표!$J$2:$J$101,0))&amp;" "&amp;INDEX(코드표!$G$2:$G$101,MATCH(TRIM(RIGHT(SUBSTITUTE(TRIM(G173&amp;"")," ",REPT(" ",60)),60)),코드표!$F$2:$F$101,0)),"⚠"&amp;TRIM(G173&amp;""))),"⚠"&amp;TRIM(G173&amp;""))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",TRIM(H173&amp;""))-1),코드표!$J$2:$J$101,0)),ISNUMBER(MATCH(TRIM(RIGHT(SUBSTITUTE(TRIM(H173&amp;"")," ",REPT(" ",60)),60)),코드표!$F$2:$F$101,0))),INDEX(코드표!$K$2:$K$101,MATCH(LEFT(TRIM(H173&amp;""),FIND(" ",TRIM(H173&amp;""))-1),코드표!$J$2:$J$101,0))&amp;" "&amp;INDEX(코드표!$G$2:$G$101,MATCH(TRIM(RIGHT(SUBSTITUTE(TRIM(H173&amp;"")," ",REPT(" ",60)),60)),코드표!$F$2:$F$101,0)),"⚠"&amp;TRIM(H173&amp;""))),"⚠"&amp;TRIM(H173&amp;""))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",TRIM(I173&amp;""))-1),코드표!$J$2:$J$101,0)),ISNUMBER(MATCH(TRIM(RIGHT(SUBSTITUTE(TRIM(I173&amp;"")," ",REPT(" ",60)),60)),코드표!$F$2:$F$101,0))),INDEX(코드표!$K$2:$K$101,MATCH(LEFT(TRIM(I173&amp;""),FIND(" ",TRIM(I173&amp;""))-1),코드표!$J$2:$J$101,0))&amp;" "&amp;INDEX(코드표!$G$2:$G$101,MATCH(TRIM(RIGHT(SUBSTITUTE(TRIM(I173&amp;"")," ",REPT(" ",60)),60)),코드표!$F$2:$F$101,0)),"⚠"&amp;TRIM(I173&amp;""))),"⚠"&amp;TRIM(I173&amp;""))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",TRIM(J173&amp;""))-1),코드표!$J$2:$J$101,0)),ISNUMBER(MATCH(TRIM(RIGHT(SUBSTITUTE(TRIM(J173&amp;"")," ",REPT(" ",60)),60)),코드표!$F$2:$F$101,0))),INDEX(코드표!$K$2:$K$101,MATCH(LEFT(TRIM(J173&amp;""),FIND(" ",TRIM(J173&amp;""))-1),코드표!$J$2:$J$101,0))&amp;" "&amp;INDEX(코드표!$G$2:$G$101,MATCH(TRIM(RIGHT(SUBSTITUTE(TRIM(J173&amp;"")," ",REPT(" ",60)),60)),코드표!$F$2:$F$101,0)),"⚠"&amp;TRIM(J173&amp;""))),"⚠"&amp;TRIM(J173&amp;""))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",TRIM(E174&amp;""))-1),코드표!$J$2:$J$101,0)),ISNUMBER(MATCH(TRIM(RIGHT(SUBSTITUTE(TRIM(E174&amp;"")," ",REPT(" ",60)),60)),코드표!$F$2:$F$101,0))),INDEX(코드표!$K$2:$K$101,MATCH(LEFT(TRIM(E174&amp;""),FIND(" ",TRIM(E174&amp;""))-1),코드표!$J$2:$J$101,0))&amp;" "&amp;INDEX(코드표!$G$2:$G$101,MATCH(TRIM(RIGHT(SUBSTITUTE(TRIM(E174&amp;"")," ",REPT(" ",60)),60)),코드표!$F$2:$F$101,0)),"⚠"&amp;TRIM(E174&amp;""))),"⚠"&amp;TRIM(E174&amp;""))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",TRIM(F174&amp;""))-1),코드표!$J$2:$J$101,0)),ISNUMBER(MATCH(TRIM(RIGHT(SUBSTITUTE(TRIM(F174&amp;"")," ",REPT(" ",60)),60)),코드표!$F$2:$F$101,0))),INDEX(코드표!$K$2:$K$101,MATCH(LEFT(TRIM(F174&amp;""),FIND(" ",TRIM(F174&amp;""))-1),코드표!$J$2:$J$101,0))&amp;" "&amp;INDEX(코드표!$G$2:$G$101,MATCH(TRIM(RIGHT(SUBSTITUTE(TRIM(F174&amp;"")," ",REPT(" ",60)),60)),코드표!$F$2:$F$101,0)),"⚠"&amp;TRIM(F174&amp;""))),"⚠"&amp;TRIM(F174&amp;""))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",TRIM(G174&amp;""))-1),코드표!$J$2:$J$101,0)),ISNUMBER(MATCH(TRIM(RIGHT(SUBSTITUTE(TRIM(G174&amp;"")," ",REPT(" ",60)),60)),코드표!$F$2:$F$101,0))),INDEX(코드표!$K$2:$K$101,MATCH(LEFT(TRIM(G174&amp;""),FIND(" ",TRIM(G174&amp;""))-1),코드표!$J$2:$J$101,0))&amp;" "&amp;INDEX(코드표!$G$2:$G$101,MATCH(TRIM(RIGHT(SUBSTITUTE(TRIM(G174&amp;"")," ",REPT(" ",60)),60)),코드표!$F$2:$F$101,0)),"⚠"&amp;TRIM(G174&amp;""))),"⚠"&amp;TRIM(G174&amp;""))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",TRIM(H174&amp;""))-1),코드표!$J$2:$J$101,0)),ISNUMBER(MATCH(TRIM(RIGHT(SUBSTITUTE(TRIM(H174&amp;"")," ",REPT(" ",60)),60)),코드표!$F$2:$F$101,0))),INDEX(코드표!$K$2:$K$101,MATCH(LEFT(TRIM(H174&amp;""),FIND(" ",TRIM(H174&amp;""))-1),코드표!$J$2:$J$101,0))&amp;" "&amp;INDEX(코드표!$G$2:$G$101,MATCH(TRIM(RIGHT(SUBSTITUTE(TRIM(H174&amp;"")," ",REPT(" ",60)),60)),코드표!$F$2:$F$101,0)),"⚠"&amp;TRIM(H174&amp;""))),"⚠"&amp;TRIM(H174&amp;""))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",TRIM(I174&amp;""))-1),코드표!$J$2:$J$101,0)),ISNUMBER(MATCH(TRIM(RIGHT(SUBSTITUTE(TRIM(I174&amp;"")," ",REPT(" ",60)),60)),코드표!$F$2:$F$101,0))),INDEX(코드표!$K$2:$K$101,MATCH(LEFT(TRIM(I174&amp;""),FIND(" ",TRIM(I174&amp;""))-1),코드표!$J$2:$J$101,0))&amp;" "&amp;INDEX(코드표!$G$2:$G$101,MATCH(TRIM(RIGHT(SUBSTITUTE(TRIM(I174&amp;"")," ",REPT(" ",60)),60)),코드표!$F$2:$F$101,0)),"⚠"&amp;TRIM(I174&amp;""))),"⚠"&amp;TRIM(I174&amp;""))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",TRIM(J174&amp;""))-1),코드표!$J$2:$J$101,0)),ISNUMBER(MATCH(TRIM(RIGHT(SUBSTITUTE(TRIM(J174&amp;"")," ",REPT(" ",60)),60)),코드표!$F$2:$F$101,0))),INDEX(코드표!$K$2:$K$101,MATCH(LEFT(TRIM(J174&amp;""),FIND(" ",TRIM(J174&amp;""))-1),코드표!$J$2:$J$101,0))&amp;" "&amp;INDEX(코드표!$G$2:$G$101,MATCH(TRIM(RIGHT(SUBSTITUTE(TRIM(J174&amp;"")," ",REPT(" ",60)),60)),코드표!$F$2:$F$101,0)),"⚠"&amp;TRIM(J174&amp;""))),"⚠"&amp;TRIM(J174&amp;""))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",TRIM(E175&amp;""))-1),코드표!$J$2:$J$101,0)),ISNUMBER(MATCH(TRIM(RIGHT(SUBSTITUTE(TRIM(E175&amp;"")," ",REPT(" ",60)),60)),코드표!$F$2:$F$101,0))),INDEX(코드표!$K$2:$K$101,MATCH(LEFT(TRIM(E175&amp;""),FIND(" ",TRIM(E175&amp;""))-1),코드표!$J$2:$J$101,0))&amp;" "&amp;INDEX(코드표!$G$2:$G$101,MATCH(TRIM(RIGHT(SUBSTITUTE(TRIM(E175&amp;"")," ",REPT(" ",60)),60)),코드표!$F$2:$F$101,0)),"⚠"&amp;TRIM(E175&amp;""))),"⚠"&amp;TRIM(E175&amp;""))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",TRIM(F175&amp;""))-1),코드표!$J$2:$J$101,0)),ISNUMBER(MATCH(TRIM(RIGHT(SUBSTITUTE(TRIM(F175&amp;"")," ",REPT(" ",60)),60)),코드표!$F$2:$F$101,0))),INDEX(코드표!$K$2:$K$101,MATCH(LEFT(TRIM(F175&amp;""),FIND(" ",TRIM(F175&amp;""))-1),코드표!$J$2:$J$101,0))&amp;" "&amp;INDEX(코드표!$G$2:$G$101,MATCH(TRIM(RIGHT(SUBSTITUTE(TRIM(F175&amp;"")," ",REPT(" ",60)),60)),코드표!$F$2:$F$101,0)),"⚠"&amp;TRIM(F175&amp;""))),"⚠"&amp;TRIM(F175&amp;""))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",TRIM(G175&amp;""))-1),코드표!$J$2:$J$101,0)),ISNUMBER(MATCH(TRIM(RIGHT(SUBSTITUTE(TRIM(G175&amp;"")," ",REPT(" ",60)),60)),코드표!$F$2:$F$101,0))),INDEX(코드표!$K$2:$K$101,MATCH(LEFT(TRIM(G175&amp;""),FIND(" ",TRIM(G175&amp;""))-1),코드표!$J$2:$J$101,0))&amp;" "&amp;INDEX(코드표!$G$2:$G$101,MATCH(TRIM(RIGHT(SUBSTITUTE(TRIM(G175&amp;"")," ",REPT(" ",60)),60)),코드표!$F$2:$F$101,0)),"⚠"&amp;TRIM(G175&amp;""))),"⚠"&amp;TRIM(G175&amp;""))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",TRIM(H175&amp;""))-1),코드표!$J$2:$J$101,0)),ISNUMBER(MATCH(TRIM(RIGHT(SUBSTITUTE(TRIM(H175&amp;"")," ",REPT(" ",60)),60)),코드표!$F$2:$F$101,0))),INDEX(코드표!$K$2:$K$101,MATCH(LEFT(TRIM(H175&amp;""),FIND(" ",TRIM(H175&amp;""))-1),코드표!$J$2:$J$101,0))&amp;" "&amp;INDEX(코드표!$G$2:$G$101,MATCH(TRIM(RIGHT(SUBSTITUTE(TRIM(H175&amp;"")," ",REPT(" ",60)),60)),코드표!$F$2:$F$101,0)),"⚠"&amp;TRIM(H175&amp;""))),"⚠"&amp;TRIM(H175&amp;""))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",TRIM(I175&amp;""))-1),코드표!$J$2:$J$101,0)),ISNUMBER(MATCH(TRIM(RIGHT(SUBSTITUTE(TRIM(I175&amp;"")," ",REPT(" ",60)),60)),코드표!$F$2:$F$101,0))),INDEX(코드표!$K$2:$K$101,MATCH(LEFT(TRIM(I175&amp;""),FIND(" ",TRIM(I175&amp;""))-1),코드표!$J$2:$J$101,0))&amp;" "&amp;INDEX(코드표!$G$2:$G$101,MATCH(TRIM(RIGHT(SUBSTITUTE(TRIM(I175&amp;"")," ",REPT(" ",60)),60)),코드표!$F$2:$F$101,0)),"⚠"&amp;TRIM(I175&amp;""))),"⚠"&amp;TRIM(I175&amp;""))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",TRIM(J175&amp;""))-1),코드표!$J$2:$J$101,0)),ISNUMBER(MATCH(TRIM(RIGHT(SUBSTITUTE(TRIM(J175&amp;"")," ",REPT(" ",60)),60)),코드표!$F$2:$F$101,0))),INDEX(코드표!$K$2:$K$101,MATCH(LEFT(TRIM(J175&amp;""),FIND(" ",TRIM(J175&amp;""))-1),코드표!$J$2:$J$101,0))&amp;" "&amp;INDEX(코드표!$G$2:$G$101,MATCH(TRIM(RIGHT(SUBSTITUTE(TRIM(J175&amp;"")," ",REPT(" ",60)),60)),코드표!$F$2:$F$101,0)),"⚠"&amp;TRIM(J175&amp;""))),"⚠"&amp;TRIM(J175&amp;""))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",TRIM(E176&amp;""))-1),코드표!$J$2:$J$101,0)),ISNUMBER(MATCH(TRIM(RIGHT(SUBSTITUTE(TRIM(E176&amp;"")," ",REPT(" ",60)),60)),코드표!$F$2:$F$101,0))),INDEX(코드표!$K$2:$K$101,MATCH(LEFT(TRIM(E176&amp;""),FIND(" ",TRIM(E176&amp;""))-1),코드표!$J$2:$J$101,0))&amp;" "&amp;INDEX(코드표!$G$2:$G$101,MATCH(TRIM(RIGHT(SUBSTITUTE(TRIM(E176&amp;"")," ",REPT(" ",60)),60)),코드표!$F$2:$F$101,0)),"⚠"&amp;TRIM(E176&amp;""))),"⚠"&amp;TRIM(E176&amp;""))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",TRIM(F176&amp;""))-1),코드표!$J$2:$J$101,0)),ISNUMBER(MATCH(TRIM(RIGHT(SUBSTITUTE(TRIM(F176&amp;"")," ",REPT(" ",60)),60)),코드표!$F$2:$F$101,0))),INDEX(코드표!$K$2:$K$101,MATCH(LEFT(TRIM(F176&amp;""),FIND(" ",TRIM(F176&amp;""))-1),코드표!$J$2:$J$101,0))&amp;" "&amp;INDEX(코드표!$G$2:$G$101,MATCH(TRIM(RIGHT(SUBSTITUTE(TRIM(F176&amp;"")," ",REPT(" ",60)),60)),코드표!$F$2:$F$101,0)),"⚠"&amp;TRIM(F176&amp;""))),"⚠"&amp;TRIM(F176&amp;""))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",TRIM(G176&amp;""))-1),코드표!$J$2:$J$101,0)),ISNUMBER(MATCH(TRIM(RIGHT(SUBSTITUTE(TRIM(G176&amp;"")," ",REPT(" ",60)),60)),코드표!$F$2:$F$101,0))),INDEX(코드표!$K$2:$K$101,MATCH(LEFT(TRIM(G176&amp;""),FIND(" ",TRIM(G176&amp;""))-1),코드표!$J$2:$J$101,0))&amp;" "&amp;INDEX(코드표!$G$2:$G$101,MATCH(TRIM(RIGHT(SUBSTITUTE(TRIM(G176&amp;"")," ",REPT(" ",60)),60)),코드표!$F$2:$F$101,0)),"⚠"&amp;TRIM(G176&amp;""))),"⚠"&amp;TRIM(G176&amp;""))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",TRIM(H176&amp;""))-1),코드표!$J$2:$J$101,0)),ISNUMBER(MATCH(TRIM(RIGHT(SUBSTITUTE(TRIM(H176&amp;"")," ",REPT(" ",60)),60)),코드표!$F$2:$F$101,0))),INDEX(코드표!$K$2:$K$101,MATCH(LEFT(TRIM(H176&amp;""),FIND(" ",TRIM(H176&amp;""))-1),코드표!$J$2:$J$101,0))&amp;" "&amp;INDEX(코드표!$G$2:$G$101,MATCH(TRIM(RIGHT(SUBSTITUTE(TRIM(H176&amp;"")," ",REPT(" ",60)),60)),코드표!$F$2:$F$101,0)),"⚠"&amp;TRIM(H176&amp;""))),"⚠"&amp;TRIM(H176&amp;""))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",TRIM(I176&amp;""))-1),코드표!$J$2:$J$101,0)),ISNUMBER(MATCH(TRIM(RIGHT(SUBSTITUTE(TRIM(I176&amp;"")," ",REPT(" ",60)),60)),코드표!$F$2:$F$101,0))),INDEX(코드표!$K$2:$K$101,MATCH(LEFT(TRIM(I176&amp;""),FIND(" ",TRIM(I176&amp;""))-1),코드표!$J$2:$J$101,0))&amp;" "&amp;INDEX(코드표!$G$2:$G$101,MATCH(TRIM(RIGHT(SUBSTITUTE(TRIM(I176&amp;"")," ",REPT(" ",60)),60)),코드표!$F$2:$F$101,0)),"⚠"&amp;TRIM(I176&amp;""))),"⚠"&amp;TRIM(I176&amp;""))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",TRIM(J176&amp;""))-1),코드표!$J$2:$J$101,0)),ISNUMBER(MATCH(TRIM(RIGHT(SUBSTITUTE(TRIM(J176&amp;"")," ",REPT(" ",60)),60)),코드표!$F$2:$F$101,0))),INDEX(코드표!$K$2:$K$101,MATCH(LEFT(TRIM(J176&amp;""),FIND(" ",TRIM(J176&amp;""))-1),코드표!$J$2:$J$101,0))&amp;" "&amp;INDEX(코드표!$G$2:$G$101,MATCH(TRIM(RIGHT(SUBSTITUTE(TRIM(J176&amp;"")," ",REPT(" ",60)),60)),코드표!$F$2:$F$101,0)),"⚠"&amp;TRIM(J176&amp;""))),"⚠"&amp;TRIM(J176&amp;""))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",TRIM(E177&amp;""))-1),코드표!$J$2:$J$101,0)),ISNUMBER(MATCH(TRIM(RIGHT(SUBSTITUTE(TRIM(E177&amp;"")," ",REPT(" ",60)),60)),코드표!$F$2:$F$101,0))),INDEX(코드표!$K$2:$K$101,MATCH(LEFT(TRIM(E177&amp;""),FIND(" ",TRIM(E177&amp;""))-1),코드표!$J$2:$J$101,0))&amp;" "&amp;INDEX(코드표!$G$2:$G$101,MATCH(TRIM(RIGHT(SUBSTITUTE(TRIM(E177&amp;"")," ",REPT(" ",60)),60)),코드표!$F$2:$F$101,0)),"⚠"&amp;TRIM(E177&amp;""))),"⚠"&amp;TRIM(E177&amp;""))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",TRIM(F177&amp;""))-1),코드표!$J$2:$J$101,0)),ISNUMBER(MATCH(TRIM(RIGHT(SUBSTITUTE(TRIM(F177&amp;"")," ",REPT(" ",60)),60)),코드표!$F$2:$F$101,0))),INDEX(코드표!$K$2:$K$101,MATCH(LEFT(TRIM(F177&amp;""),FIND(" ",TRIM(F177&amp;""))-1),코드표!$J$2:$J$101,0))&amp;" "&amp;INDEX(코드표!$G$2:$G$101,MATCH(TRIM(RIGHT(SUBSTITUTE(TRIM(F177&amp;"")," ",REPT(" ",60)),60)),코드표!$F$2:$F$101,0)),"⚠"&amp;TRIM(F177&amp;""))),"⚠"&amp;TRIM(F177&amp;""))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",TRIM(G177&amp;""))-1),코드표!$J$2:$J$101,0)),ISNUMBER(MATCH(TRIM(RIGHT(SUBSTITUTE(TRIM(G177&amp;"")," ",REPT(" ",60)),60)),코드표!$F$2:$F$101,0))),INDEX(코드표!$K$2:$K$101,MATCH(LEFT(TRIM(G177&amp;""),FIND(" ",TRIM(G177&amp;""))-1),코드표!$J$2:$J$101,0))&amp;" "&amp;INDEX(코드표!$G$2:$G$101,MATCH(TRIM(RIGHT(SUBSTITUTE(TRIM(G177&amp;"")," ",REPT(" ",60)),60)),코드표!$F$2:$F$101,0)),"⚠"&amp;TRIM(G177&amp;""))),"⚠"&amp;TRIM(G177&amp;""))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",TRIM(H177&amp;""))-1),코드표!$J$2:$J$101,0)),ISNUMBER(MATCH(TRIM(RIGHT(SUBSTITUTE(TRIM(H177&amp;"")," ",REPT(" ",60)),60)),코드표!$F$2:$F$101,0))),INDEX(코드표!$K$2:$K$101,MATCH(LEFT(TRIM(H177&amp;""),FIND(" ",TRIM(H177&amp;""))-1),코드표!$J$2:$J$101,0))&amp;" "&amp;INDEX(코드표!$G$2:$G$101,MATCH(TRIM(RIGHT(SUBSTITUTE(TRIM(H177&amp;"")," ",REPT(" ",60)),60)),코드표!$F$2:$F$101,0)),"⚠"&amp;TRIM(H177&amp;""))),"⚠"&amp;TRIM(H177&amp;""))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",TRIM(I177&amp;""))-1),코드표!$J$2:$J$101,0)),ISNUMBER(MATCH(TRIM(RIGHT(SUBSTITUTE(TRIM(I177&amp;"")," ",REPT(" ",60)),60)),코드표!$F$2:$F$101,0))),INDEX(코드표!$K$2:$K$101,MATCH(LEFT(TRIM(I177&amp;""),FIND(" ",TRIM(I177&amp;""))-1),코드표!$J$2:$J$101,0))&amp;" "&amp;INDEX(코드표!$G$2:$G$101,MATCH(TRIM(RIGHT(SUBSTITUTE(TRIM(I177&amp;"")," ",REPT(" ",60)),60)),코드표!$F$2:$F$101,0)),"⚠"&amp;TRIM(I177&amp;""))),"⚠"&amp;TRIM(I177&amp;""))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",TRIM(J177&amp;""))-1),코드표!$J$2:$J$101,0)),ISNUMBER(MATCH(TRIM(RIGHT(SUBSTITUTE(TRIM(J177&amp;"")," ",REPT(" ",60)),60)),코드표!$F$2:$F$101,0))),INDEX(코드표!$K$2:$K$101,MATCH(LEFT(TRIM(J177&amp;""),FIND(" ",TRIM(J177&amp;""))-1),코드표!$J$2:$J$101,0))&amp;" "&amp;INDEX(코드표!$G$2:$G$101,MATCH(TRIM(RIGHT(SUBSTITUTE(TRIM(J177&amp;"")," ",REPT(" ",60)),60)),코드표!$F$2:$F$101,0)),"⚠"&amp;TRIM(J177&amp;""))),"⚠"&amp;TRIM(J177&amp;""))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",TRIM(E178&amp;""))-1),코드표!$J$2:$J$101,0)),ISNUMBER(MATCH(TRIM(RIGHT(SUBSTITUTE(TRIM(E178&amp;"")," ",REPT(" ",60)),60)),코드표!$F$2:$F$101,0))),INDEX(코드표!$K$2:$K$101,MATCH(LEFT(TRIM(E178&amp;""),FIND(" ",TRIM(E178&amp;""))-1),코드표!$J$2:$J$101,0))&amp;" "&amp;INDEX(코드표!$G$2:$G$101,MATCH(TRIM(RIGHT(SUBSTITUTE(TRIM(E178&amp;"")," ",REPT(" ",60)),60)),코드표!$F$2:$F$101,0)),"⚠"&amp;TRIM(E178&amp;""))),"⚠"&amp;TRIM(E178&amp;""))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",TRIM(F178&amp;""))-1),코드표!$J$2:$J$101,0)),ISNUMBER(MATCH(TRIM(RIGHT(SUBSTITUTE(TRIM(F178&amp;"")," ",REPT(" ",60)),60)),코드표!$F$2:$F$101,0))),INDEX(코드표!$K$2:$K$101,MATCH(LEFT(TRIM(F178&amp;""),FIND(" ",TRIM(F178&amp;""))-1),코드표!$J$2:$J$101,0))&amp;" "&amp;INDEX(코드표!$G$2:$G$101,MATCH(TRIM(RIGHT(SUBSTITUTE(TRIM(F178&amp;"")," ",REPT(" ",60)),60)),코드표!$F$2:$F$101,0)),"⚠"&amp;TRIM(F178&amp;""))),"⚠"&amp;TRIM(F178&amp;""))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",TRIM(G178&amp;""))-1),코드표!$J$2:$J$101,0)),ISNUMBER(MATCH(TRIM(RIGHT(SUBSTITUTE(TRIM(G178&amp;"")," ",REPT(" ",60)),60)),코드표!$F$2:$F$101,0))),INDEX(코드표!$K$2:$K$101,MATCH(LEFT(TRIM(G178&amp;""),FIND(" ",TRIM(G178&amp;""))-1),코드표!$J$2:$J$101,0))&amp;" "&amp;INDEX(코드표!$G$2:$G$101,MATCH(TRIM(RIGHT(SUBSTITUTE(TRIM(G178&amp;"")," ",REPT(" ",60)),60)),코드표!$F$2:$F$101,0)),"⚠"&amp;TRIM(G178&amp;""))),"⚠"&amp;TRIM(G178&amp;""))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",TRIM(H178&amp;""))-1),코드표!$J$2:$J$101,0)),ISNUMBER(MATCH(TRIM(RIGHT(SUBSTITUTE(TRIM(H178&amp;"")," ",REPT(" ",60)),60)),코드표!$F$2:$F$101,0))),INDEX(코드표!$K$2:$K$101,MATCH(LEFT(TRIM(H178&amp;""),FIND(" ",TRIM(H178&amp;""))-1),코드표!$J$2:$J$101,0))&amp;" "&amp;INDEX(코드표!$G$2:$G$101,MATCH(TRIM(RIGHT(SUBSTITUTE(TRIM(H178&amp;"")," ",REPT(" ",60)),60)),코드표!$F$2:$F$101,0)),"⚠"&amp;TRIM(H178&amp;""))),"⚠"&amp;TRIM(H178&amp;""))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",TRIM(I178&amp;""))-1),코드표!$J$2:$J$101,0)),ISNUMBER(MATCH(TRIM(RIGHT(SUBSTITUTE(TRIM(I178&amp;"")," ",REPT(" ",60)),60)),코드표!$F$2:$F$101,0))),INDEX(코드표!$K$2:$K$101,MATCH(LEFT(TRIM(I178&amp;""),FIND(" ",TRIM(I178&amp;""))-1),코드표!$J$2:$J$101,0))&amp;" "&amp;INDEX(코드표!$G$2:$G$101,MATCH(TRIM(RIGHT(SUBSTITUTE(TRIM(I178&amp;"")," ",REPT(" ",60)),60)),코드표!$F$2:$F$101,0)),"⚠"&amp;TRIM(I178&amp;""))),"⚠"&amp;TRIM(I178&amp;""))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",TRIM(J178&amp;""))-1),코드표!$J$2:$J$101,0)),ISNUMBER(MATCH(TRIM(RIGHT(SUBSTITUTE(TRIM(J178&amp;"")," ",REPT(" ",60)),60)),코드표!$F$2:$F$101,0))),INDEX(코드표!$K$2:$K$101,MATCH(LEFT(TRIM(J178&amp;""),FIND(" ",TRIM(J178&amp;""))-1),코드표!$J$2:$J$101,0))&amp;" "&amp;INDEX(코드표!$G$2:$G$101,MATCH(TRIM(RIGHT(SUBSTITUTE(TRIM(J178&amp;"")," ",REPT(" ",60)),60)),코드표!$F$2:$F$101,0)),"⚠"&amp;TRIM(J178&amp;""))),"⚠"&amp;TRIM(J178&amp;""))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",TRIM(E179&amp;""))-1),코드표!$J$2:$J$101,0)),ISNUMBER(MATCH(TRIM(RIGHT(SUBSTITUTE(TRIM(E179&amp;"")," ",REPT(" ",60)),60)),코드표!$F$2:$F$101,0))),INDEX(코드표!$K$2:$K$101,MATCH(LEFT(TRIM(E179&amp;""),FIND(" ",TRIM(E179&amp;""))-1),코드표!$J$2:$J$101,0))&amp;" "&amp;INDEX(코드표!$G$2:$G$101,MATCH(TRIM(RIGHT(SUBSTITUTE(TRIM(E179&amp;"")," ",REPT(" ",60)),60)),코드표!$F$2:$F$101,0)),"⚠"&amp;TRIM(E179&amp;""))),"⚠"&amp;TRIM(E179&amp;""))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",TRIM(F179&amp;""))-1),코드표!$J$2:$J$101,0)),ISNUMBER(MATCH(TRIM(RIGHT(SUBSTITUTE(TRIM(F179&amp;"")," ",REPT(" ",60)),60)),코드표!$F$2:$F$101,0))),INDEX(코드표!$K$2:$K$101,MATCH(LEFT(TRIM(F179&amp;""),FIND(" ",TRIM(F179&amp;""))-1),코드표!$J$2:$J$101,0))&amp;" "&amp;INDEX(코드표!$G$2:$G$101,MATCH(TRIM(RIGHT(SUBSTITUTE(TRIM(F179&amp;"")," ",REPT(" ",60)),60)),코드표!$F$2:$F$101,0)),"⚠"&amp;TRIM(F179&amp;""))),"⚠"&amp;TRIM(F179&amp;""))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",TRIM(G179&amp;""))-1),코드표!$J$2:$J$101,0)),ISNUMBER(MATCH(TRIM(RIGHT(SUBSTITUTE(TRIM(G179&amp;"")," ",REPT(" ",60)),60)),코드표!$F$2:$F$101,0))),INDEX(코드표!$K$2:$K$101,MATCH(LEFT(TRIM(G179&amp;""),FIND(" ",TRIM(G179&amp;""))-1),코드표!$J$2:$J$101,0))&amp;" "&amp;INDEX(코드표!$G$2:$G$101,MATCH(TRIM(RIGHT(SUBSTITUTE(TRIM(G179&amp;"")," ",REPT(" ",60)),60)),코드표!$F$2:$F$101,0)),"⚠"&amp;TRIM(G179&amp;""))),"⚠"&amp;TRIM(G179&amp;""))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",TRIM(H179&amp;""))-1),코드표!$J$2:$J$101,0)),ISNUMBER(MATCH(TRIM(RIGHT(SUBSTITUTE(TRIM(H179&amp;"")," ",REPT(" ",60)),60)),코드표!$F$2:$F$101,0))),INDEX(코드표!$K$2:$K$101,MATCH(LEFT(TRIM(H179&amp;""),FIND(" ",TRIM(H179&amp;""))-1),코드표!$J$2:$J$101,0))&amp;" "&amp;INDEX(코드표!$G$2:$G$101,MATCH(TRIM(RIGHT(SUBSTITUTE(TRIM(H179&amp;"")," ",REPT(" ",60)),60)),코드표!$F$2:$F$101,0)),"⚠"&amp;TRIM(H179&amp;""))),"⚠"&amp;TRIM(H179&amp;""))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",TRIM(I179&amp;""))-1),코드표!$J$2:$J$101,0)),ISNUMBER(MATCH(TRIM(RIGHT(SUBSTITUTE(TRIM(I179&amp;"")," ",REPT(" ",60)),60)),코드표!$F$2:$F$101,0))),INDEX(코드표!$K$2:$K$101,MATCH(LEFT(TRIM(I179&amp;""),FIND(" ",TRIM(I179&amp;""))-1),코드표!$J$2:$J$101,0))&amp;" "&amp;INDEX(코드표!$G$2:$G$101,MATCH(TRIM(RIGHT(SUBSTITUTE(TRIM(I179&amp;"")," ",REPT(" ",60)),60)),코드표!$F$2:$F$101,0)),"⚠"&amp;TRIM(I179&amp;""))),"⚠"&amp;TRIM(I179&amp;""))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",TRIM(J179&amp;""))-1),코드표!$J$2:$J$101,0)),ISNUMBER(MATCH(TRIM(RIGHT(SUBSTITUTE(TRIM(J179&amp;"")," ",REPT(" ",60)),60)),코드표!$F$2:$F$101,0))),INDEX(코드표!$K$2:$K$101,MATCH(LEFT(TRIM(J179&amp;""),FIND(" ",TRIM(J179&amp;""))-1),코드표!$J$2:$J$101,0))&amp;" "&amp;INDEX(코드표!$G$2:$G$101,MATCH(TRIM(RIGHT(SUBSTITUTE(TRIM(J179&amp;"")," ",REPT(" ",60)),60)),코드표!$F$2:$F$101,0)),"⚠"&amp;TRIM(J179&amp;""))),"⚠"&amp;TRIM(J179&amp;""))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",TRIM(E180&amp;""))-1),코드표!$J$2:$J$101,0)),ISNUMBER(MATCH(TRIM(RIGHT(SUBSTITUTE(TRIM(E180&amp;"")," ",REPT(" ",60)),60)),코드표!$F$2:$F$101,0))),INDEX(코드표!$K$2:$K$101,MATCH(LEFT(TRIM(E180&amp;""),FIND(" ",TRIM(E180&amp;""))-1),코드표!$J$2:$J$101,0))&amp;" "&amp;INDEX(코드표!$G$2:$G$101,MATCH(TRIM(RIGHT(SUBSTITUTE(TRIM(E180&amp;"")," ",REPT(" ",60)),60)),코드표!$F$2:$F$101,0)),"⚠"&amp;TRIM(E180&amp;""))),"⚠"&amp;TRIM(E180&amp;""))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",TRIM(F180&amp;""))-1),코드표!$J$2:$J$101,0)),ISNUMBER(MATCH(TRIM(RIGHT(SUBSTITUTE(TRIM(F180&amp;"")," ",REPT(" ",60)),60)),코드표!$F$2:$F$101,0))),INDEX(코드표!$K$2:$K$101,MATCH(LEFT(TRIM(F180&amp;""),FIND(" ",TRIM(F180&amp;""))-1),코드표!$J$2:$J$101,0))&amp;" "&amp;INDEX(코드표!$G$2:$G$101,MATCH(TRIM(RIGHT(SUBSTITUTE(TRIM(F180&amp;"")," ",REPT(" ",60)),60)),코드표!$F$2:$F$101,0)),"⚠"&amp;TRIM(F180&amp;""))),"⚠"&amp;TRIM(F180&amp;""))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",TRIM(G180&amp;""))-1),코드표!$J$2:$J$101,0)),ISNUMBER(MATCH(TRIM(RIGHT(SUBSTITUTE(TRIM(G180&amp;"")," ",REPT(" ",60)),60)),코드표!$F$2:$F$101,0))),INDEX(코드표!$K$2:$K$101,MATCH(LEFT(TRIM(G180&amp;""),FIND(" ",TRIM(G180&amp;""))-1),코드표!$J$2:$J$101,0))&amp;" "&amp;INDEX(코드표!$G$2:$G$101,MATCH(TRIM(RIGHT(SUBSTITUTE(TRIM(G180&amp;"")," ",REPT(" ",60)),60)),코드표!$F$2:$F$101,0)),"⚠"&amp;TRIM(G180&amp;""))),"⚠"&amp;TRIM(G180&amp;""))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",TRIM(H180&amp;""))-1),코드표!$J$2:$J$101,0)),ISNUMBER(MATCH(TRIM(RIGHT(SUBSTITUTE(TRIM(H180&amp;"")," ",REPT(" ",60)),60)),코드표!$F$2:$F$101,0))),INDEX(코드표!$K$2:$K$101,MATCH(LEFT(TRIM(H180&amp;""),FIND(" ",TRIM(H180&amp;""))-1),코드표!$J$2:$J$101,0))&amp;" "&amp;INDEX(코드표!$G$2:$G$101,MATCH(TRIM(RIGHT(SUBSTITUTE(TRIM(H180&amp;"")," ",REPT(" ",60)),60)),코드표!$F$2:$F$101,0)),"⚠"&amp;TRIM(H180&amp;""))),"⚠"&amp;TRIM(H180&amp;""))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",TRIM(I180&amp;""))-1),코드표!$J$2:$J$101,0)),ISNUMBER(MATCH(TRIM(RIGHT(SUBSTITUTE(TRIM(I180&amp;"")," ",REPT(" ",60)),60)),코드표!$F$2:$F$101,0))),INDEX(코드표!$K$2:$K$101,MATCH(LEFT(TRIM(I180&amp;""),FIND(" ",TRIM(I180&amp;""))-1),코드표!$J$2:$J$101,0))&amp;" "&amp;INDEX(코드표!$G$2:$G$101,MATCH(TRIM(RIGHT(SUBSTITUTE(TRIM(I180&amp;"")," ",REPT(" ",60)),60)),코드표!$F$2:$F$101,0)),"⚠"&amp;TRIM(I180&amp;""))),"⚠"&amp;TRIM(I180&amp;""))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",TRIM(J180&amp;""))-1),코드표!$J$2:$J$101,0)),ISNUMBER(MATCH(TRIM(RIGHT(SUBSTITUTE(TRIM(J180&amp;"")," ",REPT(" ",60)),60)),코드표!$F$2:$F$101,0))),INDEX(코드표!$K$2:$K$101,MATCH(LEFT(TRIM(J180&amp;""),FIND(" ",TRIM(J180&amp;""))-1),코드표!$J$2:$J$101,0))&amp;" "&amp;INDEX(코드표!$G$2:$G$101,MATCH(TRIM(RIGHT(SUBSTITUTE(TRIM(J180&amp;"")," ",REPT(" ",60)),60)),코드표!$F$2:$F$101,0)),"⚠"&amp;TRIM(J180&amp;""))),"⚠"&amp;TRIM(J180&amp;""))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",TRIM(E181&amp;""))-1),코드표!$J$2:$J$101,0)),ISNUMBER(MATCH(TRIM(RIGHT(SUBSTITUTE(TRIM(E181&amp;"")," ",REPT(" ",60)),60)),코드표!$F$2:$F$101,0))),INDEX(코드표!$K$2:$K$101,MATCH(LEFT(TRIM(E181&amp;""),FIND(" ",TRIM(E181&amp;""))-1),코드표!$J$2:$J$101,0))&amp;" "&amp;INDEX(코드표!$G$2:$G$101,MATCH(TRIM(RIGHT(SUBSTITUTE(TRIM(E181&amp;"")," ",REPT(" ",60)),60)),코드표!$F$2:$F$101,0)),"⚠"&amp;TRIM(E181&amp;""))),"⚠"&amp;TRIM(E181&amp;""))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",TRIM(F181&amp;""))-1),코드표!$J$2:$J$101,0)),ISNUMBER(MATCH(TRIM(RIGHT(SUBSTITUTE(TRIM(F181&amp;"")," ",REPT(" ",60)),60)),코드표!$F$2:$F$101,0))),INDEX(코드표!$K$2:$K$101,MATCH(LEFT(TRIM(F181&amp;""),FIND(" ",TRIM(F181&amp;""))-1),코드표!$J$2:$J$101,0))&amp;" "&amp;INDEX(코드표!$G$2:$G$101,MATCH(TRIM(RIGHT(SUBSTITUTE(TRIM(F181&amp;"")," ",REPT(" ",60)),60)),코드표!$F$2:$F$101,0)),"⚠"&amp;TRIM(F181&amp;""))),"⚠"&amp;TRIM(F181&amp;""))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",TRIM(G181&amp;""))-1),코드표!$J$2:$J$101,0)),ISNUMBER(MATCH(TRIM(RIGHT(SUBSTITUTE(TRIM(G181&amp;"")," ",REPT(" ",60)),60)),코드표!$F$2:$F$101,0))),INDEX(코드표!$K$2:$K$101,MATCH(LEFT(TRIM(G181&amp;""),FIND(" ",TRIM(G181&amp;""))-1),코드표!$J$2:$J$101,0))&amp;" "&amp;INDEX(코드표!$G$2:$G$101,MATCH(TRIM(RIGHT(SUBSTITUTE(TRIM(G181&amp;"")," ",REPT(" ",60)),60)),코드표!$F$2:$F$101,0)),"⚠"&amp;TRIM(G181&amp;""))),"⚠"&amp;TRIM(G181&amp;""))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",TRIM(H181&amp;""))-1),코드표!$J$2:$J$101,0)),ISNUMBER(MATCH(TRIM(RIGHT(SUBSTITUTE(TRIM(H181&amp;"")," ",REPT(" ",60)),60)),코드표!$F$2:$F$101,0))),INDEX(코드표!$K$2:$K$101,MATCH(LEFT(TRIM(H181&amp;""),FIND(" ",TRIM(H181&amp;""))-1),코드표!$J$2:$J$101,0))&amp;" "&amp;INDEX(코드표!$G$2:$G$101,MATCH(TRIM(RIGHT(SUBSTITUTE(TRIM(H181&amp;"")," ",REPT(" ",60)),60)),코드표!$F$2:$F$101,0)),"⚠"&amp;TRIM(H181&amp;""))),"⚠"&amp;TRIM(H181&amp;""))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",TRIM(I181&amp;""))-1),코드표!$J$2:$J$101,0)),ISNUMBER(MATCH(TRIM(RIGHT(SUBSTITUTE(TRIM(I181&amp;"")," ",REPT(" ",60)),60)),코드표!$F$2:$F$101,0))),INDEX(코드표!$K$2:$K$101,MATCH(LEFT(TRIM(I181&amp;""),FIND(" ",TRIM(I181&amp;""))-1),코드표!$J$2:$J$101,0))&amp;" "&amp;INDEX(코드표!$G$2:$G$101,MATCH(TRIM(RIGHT(SUBSTITUTE(TRIM(I181&amp;"")," ",REPT(" ",60)),60)),코드표!$F$2:$F$101,0)),"⚠"&amp;TRIM(I181&amp;""))),"⚠"&amp;TRIM(I181&amp;""))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",TRIM(J181&amp;""))-1),코드표!$J$2:$J$101,0)),ISNUMBER(MATCH(TRIM(RIGHT(SUBSTITUTE(TRIM(J181&amp;"")," ",REPT(" ",60)),60)),코드표!$F$2:$F$101,0))),INDEX(코드표!$K$2:$K$101,MATCH(LEFT(TRIM(J181&amp;""),FIND(" ",TRIM(J181&amp;""))-1),코드표!$J$2:$J$101,0))&amp;" "&amp;INDEX(코드표!$G$2:$G$101,MATCH(TRIM(RIGHT(SUBSTITUTE(TRIM(J181&amp;"")," ",REPT(" ",60)),60)),코드표!$F$2:$F$101,0)),"⚠"&amp;TRIM(J181&amp;""))),"⚠"&amp;TRIM(J181&amp;""))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",TRIM(E182&amp;""))-1),코드표!$J$2:$J$101,0)),ISNUMBER(MATCH(TRIM(RIGHT(SUBSTITUTE(TRIM(E182&amp;"")," ",REPT(" ",60)),60)),코드표!$F$2:$F$101,0))),INDEX(코드표!$K$2:$K$101,MATCH(LEFT(TRIM(E182&amp;""),FIND(" ",TRIM(E182&amp;""))-1),코드표!$J$2:$J$101,0))&amp;" "&amp;INDEX(코드표!$G$2:$G$101,MATCH(TRIM(RIGHT(SUBSTITUTE(TRIM(E182&amp;"")," ",REPT(" ",60)),60)),코드표!$F$2:$F$101,0)),"⚠"&amp;TRIM(E182&amp;""))),"⚠"&amp;TRIM(E182&amp;""))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",TRIM(F182&amp;""))-1),코드표!$J$2:$J$101,0)),ISNUMBER(MATCH(TRIM(RIGHT(SUBSTITUTE(TRIM(F182&amp;"")," ",REPT(" ",60)),60)),코드표!$F$2:$F$101,0))),INDEX(코드표!$K$2:$K$101,MATCH(LEFT(TRIM(F182&amp;""),FIND(" ",TRIM(F182&amp;""))-1),코드표!$J$2:$J$101,0))&amp;" "&amp;INDEX(코드표!$G$2:$G$101,MATCH(TRIM(RIGHT(SUBSTITUTE(TRIM(F182&amp;"")," ",REPT(" ",60)),60)),코드표!$F$2:$F$101,0)),"⚠"&amp;TRIM(F182&amp;""))),"⚠"&amp;TRIM(F182&amp;""))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",TRIM(G182&amp;""))-1),코드표!$J$2:$J$101,0)),ISNUMBER(MATCH(TRIM(RIGHT(SUBSTITUTE(TRIM(G182&amp;"")," ",REPT(" ",60)),60)),코드표!$F$2:$F$101,0))),INDEX(코드표!$K$2:$K$101,MATCH(LEFT(TRIM(G182&amp;""),FIND(" ",TRIM(G182&amp;""))-1),코드표!$J$2:$J$101,0))&amp;" "&amp;INDEX(코드표!$G$2:$G$101,MATCH(TRIM(RIGHT(SUBSTITUTE(TRIM(G182&amp;"")," ",REPT(" ",60)),60)),코드표!$F$2:$F$101,0)),"⚠"&amp;TRIM(G182&amp;""))),"⚠"&amp;TRIM(G182&amp;""))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",TRIM(H182&amp;""))-1),코드표!$J$2:$J$101,0)),ISNUMBER(MATCH(TRIM(RIGHT(SUBSTITUTE(TRIM(H182&amp;"")," ",REPT(" ",60)),60)),코드표!$F$2:$F$101,0))),INDEX(코드표!$K$2:$K$101,MATCH(LEFT(TRIM(H182&amp;""),FIND(" ",TRIM(H182&amp;""))-1),코드표!$J$2:$J$101,0))&amp;" "&amp;INDEX(코드표!$G$2:$G$101,MATCH(TRIM(RIGHT(SUBSTITUTE(TRIM(H182&amp;"")," ",REPT(" ",60)),60)),코드표!$F$2:$F$101,0)),"⚠"&amp;TRIM(H182&amp;""))),"⚠"&amp;TRIM(H182&amp;""))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",TRIM(I182&amp;""))-1),코드표!$J$2:$J$101,0)),ISNUMBER(MATCH(TRIM(RIGHT(SUBSTITUTE(TRIM(I182&amp;"")," ",REPT(" ",60)),60)),코드표!$F$2:$F$101,0))),INDEX(코드표!$K$2:$K$101,MATCH(LEFT(TRIM(I182&amp;""),FIND(" ",TRIM(I182&amp;""))-1),코드표!$J$2:$J$101,0))&amp;" "&amp;INDEX(코드표!$G$2:$G$101,MATCH(TRIM(RIGHT(SUBSTITUTE(TRIM(I182&amp;"")," ",REPT(" ",60)),60)),코드표!$F$2:$F$101,0)),"⚠"&amp;TRIM(I182&amp;""))),"⚠"&amp;TRIM(I182&amp;""))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",TRIM(J182&amp;""))-1),코드표!$J$2:$J$101,0)),ISNUMBER(MATCH(TRIM(RIGHT(SUBSTITUTE(TRIM(J182&amp;"")," ",REPT(" ",60)),60)),코드표!$F$2:$F$101,0))),INDEX(코드표!$K$2:$K$101,MATCH(LEFT(TRIM(J182&amp;""),FIND(" ",TRIM(J182&amp;""))-1),코드표!$J$2:$J$101,0))&amp;" "&amp;INDEX(코드표!$G$2:$G$101,MATCH(TRIM(RIGHT(SUBSTITUTE(TRIM(J182&amp;"")," ",REPT(" ",60)),60)),코드표!$F$2:$F$101,0)),"⚠"&amp;TRIM(J182&amp;""))),"⚠"&amp;TRIM(J182&amp;""))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",TRIM(E183&amp;""))-1),코드표!$J$2:$J$101,0)),ISNUMBER(MATCH(TRIM(RIGHT(SUBSTITUTE(TRIM(E183&amp;"")," ",REPT(" ",60)),60)),코드표!$F$2:$F$101,0))),INDEX(코드표!$K$2:$K$101,MATCH(LEFT(TRIM(E183&amp;""),FIND(" ",TRIM(E183&amp;""))-1),코드표!$J$2:$J$101,0))&amp;" "&amp;INDEX(코드표!$G$2:$G$101,MATCH(TRIM(RIGHT(SUBSTITUTE(TRIM(E183&amp;"")," ",REPT(" ",60)),60)),코드표!$F$2:$F$101,0)),"⚠"&amp;TRIM(E183&amp;""))),"⚠"&amp;TRIM(E183&amp;""))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",TRIM(F183&amp;""))-1),코드표!$J$2:$J$101,0)),ISNUMBER(MATCH(TRIM(RIGHT(SUBSTITUTE(TRIM(F183&amp;"")," ",REPT(" ",60)),60)),코드표!$F$2:$F$101,0))),INDEX(코드표!$K$2:$K$101,MATCH(LEFT(TRIM(F183&amp;""),FIND(" ",TRIM(F183&amp;""))-1),코드표!$J$2:$J$101,0))&amp;" "&amp;INDEX(코드표!$G$2:$G$101,MATCH(TRIM(RIGHT(SUBSTITUTE(TRIM(F183&amp;"")," ",REPT(" ",60)),60)),코드표!$F$2:$F$101,0)),"⚠"&amp;TRIM(F183&amp;""))),"⚠"&amp;TRIM(F183&amp;""))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",TRIM(G183&amp;""))-1),코드표!$J$2:$J$101,0)),ISNUMBER(MATCH(TRIM(RIGHT(SUBSTITUTE(TRIM(G183&amp;"")," ",REPT(" ",60)),60)),코드표!$F$2:$F$101,0))),INDEX(코드표!$K$2:$K$101,MATCH(LEFT(TRIM(G183&amp;""),FIND(" ",TRIM(G183&amp;""))-1),코드표!$J$2:$J$101,0))&amp;" "&amp;INDEX(코드표!$G$2:$G$101,MATCH(TRIM(RIGHT(SUBSTITUTE(TRIM(G183&amp;"")," ",REPT(" ",60)),60)),코드표!$F$2:$F$101,0)),"⚠"&amp;TRIM(G183&amp;""))),"⚠"&amp;TRIM(G183&amp;""))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",TRIM(H183&amp;""))-1),코드표!$J$2:$J$101,0)),ISNUMBER(MATCH(TRIM(RIGHT(SUBSTITUTE(TRIM(H183&amp;"")," ",REPT(" ",60)),60)),코드표!$F$2:$F$101,0))),INDEX(코드표!$K$2:$K$101,MATCH(LEFT(TRIM(H183&amp;""),FIND(" ",TRIM(H183&amp;""))-1),코드표!$J$2:$J$101,0))&amp;" "&amp;INDEX(코드표!$G$2:$G$101,MATCH(TRIM(RIGHT(SUBSTITUTE(TRIM(H183&amp;"")," ",REPT(" ",60)),60)),코드표!$F$2:$F$101,0)),"⚠"&amp;TRIM(H183&amp;""))),"⚠"&amp;TRIM(H183&amp;""))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",TRIM(I183&amp;""))-1),코드표!$J$2:$J$101,0)),ISNUMBER(MATCH(TRIM(RIGHT(SUBSTITUTE(TRIM(I183&amp;"")," ",REPT(" ",60)),60)),코드표!$F$2:$F$101,0))),INDEX(코드표!$K$2:$K$101,MATCH(LEFT(TRIM(I183&amp;""),FIND(" ",TRIM(I183&amp;""))-1),코드표!$J$2:$J$101,0))&amp;" "&amp;INDEX(코드표!$G$2:$G$101,MATCH(TRIM(RIGHT(SUBSTITUTE(TRIM(I183&amp;"")," ",REPT(" ",60)),60)),코드표!$F$2:$F$101,0)),"⚠"&amp;TRIM(I183&amp;""))),"⚠"&amp;TRIM(I183&amp;""))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",TRIM(J183&amp;""))-1),코드표!$J$2:$J$101,0)),ISNUMBER(MATCH(TRIM(RIGHT(SUBSTITUTE(TRIM(J183&amp;"")," ",REPT(" ",60)),60)),코드표!$F$2:$F$101,0))),INDEX(코드표!$K$2:$K$101,MATCH(LEFT(TRIM(J183&amp;""),FIND(" ",TRIM(J183&amp;""))-1),코드표!$J$2:$J$101,0))&amp;" "&amp;INDEX(코드표!$G$2:$G$101,MATCH(TRIM(RIGHT(SUBSTITUTE(TRIM(J183&amp;"")," ",REPT(" ",60)),60)),코드표!$F$2:$F$101,0)),"⚠"&amp;TRIM(J183&amp;""))),"⚠"&amp;TRIM(J183&amp;""))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",TRIM(E184&amp;""))-1),코드표!$J$2:$J$101,0)),ISNUMBER(MATCH(TRIM(RIGHT(SUBSTITUTE(TRIM(E184&amp;"")," ",REPT(" ",60)),60)),코드표!$F$2:$F$101,0))),INDEX(코드표!$K$2:$K$101,MATCH(LEFT(TRIM(E184&amp;""),FIND(" ",TRIM(E184&amp;""))-1),코드표!$J$2:$J$101,0))&amp;" "&amp;INDEX(코드표!$G$2:$G$101,MATCH(TRIM(RIGHT(SUBSTITUTE(TRIM(E184&amp;"")," ",REPT(" ",60)),60)),코드표!$F$2:$F$101,0)),"⚠"&amp;TRIM(E184&amp;""))),"⚠"&amp;TRIM(E184&amp;""))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",TRIM(F184&amp;""))-1),코드표!$J$2:$J$101,0)),ISNUMBER(MATCH(TRIM(RIGHT(SUBSTITUTE(TRIM(F184&amp;"")," ",REPT(" ",60)),60)),코드표!$F$2:$F$101,0))),INDEX(코드표!$K$2:$K$101,MATCH(LEFT(TRIM(F184&amp;""),FIND(" ",TRIM(F184&amp;""))-1),코드표!$J$2:$J$101,0))&amp;" "&amp;INDEX(코드표!$G$2:$G$101,MATCH(TRIM(RIGHT(SUBSTITUTE(TRIM(F184&amp;"")," ",REPT(" ",60)),60)),코드표!$F$2:$F$101,0)),"⚠"&amp;TRIM(F184&amp;""))),"⚠"&amp;TRIM(F184&amp;""))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",TRIM(G184&amp;""))-1),코드표!$J$2:$J$101,0)),ISNUMBER(MATCH(TRIM(RIGHT(SUBSTITUTE(TRIM(G184&amp;"")," ",REPT(" ",60)),60)),코드표!$F$2:$F$101,0))),INDEX(코드표!$K$2:$K$101,MATCH(LEFT(TRIM(G184&amp;""),FIND(" ",TRIM(G184&amp;""))-1),코드표!$J$2:$J$101,0))&amp;" "&amp;INDEX(코드표!$G$2:$G$101,MATCH(TRIM(RIGHT(SUBSTITUTE(TRIM(G184&amp;"")," ",REPT(" ",60)),60)),코드표!$F$2:$F$101,0)),"⚠"&amp;TRIM(G184&amp;""))),"⚠"&amp;TRIM(G184&amp;""))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",TRIM(H184&amp;""))-1),코드표!$J$2:$J$101,0)),ISNUMBER(MATCH(TRIM(RIGHT(SUBSTITUTE(TRIM(H184&amp;"")," ",REPT(" ",60)),60)),코드표!$F$2:$F$101,0))),INDEX(코드표!$K$2:$K$101,MATCH(LEFT(TRIM(H184&amp;""),FIND(" ",TRIM(H184&amp;""))-1),코드표!$J$2:$J$101,0))&amp;" "&amp;INDEX(코드표!$G$2:$G$101,MATCH(TRIM(RIGHT(SUBSTITUTE(TRIM(H184&amp;"")," ",REPT(" ",60)),60)),코드표!$F$2:$F$101,0)),"⚠"&amp;TRIM(H184&amp;""))),"⚠"&amp;TRIM(H184&amp;""))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",TRIM(I184&amp;""))-1),코드표!$J$2:$J$101,0)),ISNUMBER(MATCH(TRIM(RIGHT(SUBSTITUTE(TRIM(I184&amp;"")," ",REPT(" ",60)),60)),코드표!$F$2:$F$101,0))),INDEX(코드표!$K$2:$K$101,MATCH(LEFT(TRIM(I184&amp;""),FIND(" ",TRIM(I184&amp;""))-1),코드표!$J$2:$J$101,0))&amp;" "&amp;INDEX(코드표!$G$2:$G$101,MATCH(TRIM(RIGHT(SUBSTITUTE(TRIM(I184&amp;"")," ",REPT(" ",60)),60)),코드표!$F$2:$F$101,0)),"⚠"&amp;TRIM(I184&amp;""))),"⚠"&amp;TRIM(I184&amp;""))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",TRIM(J184&amp;""))-1),코드표!$J$2:$J$101,0)),ISNUMBER(MATCH(TRIM(RIGHT(SUBSTITUTE(TRIM(J184&amp;"")," ",REPT(" ",60)),60)),코드표!$F$2:$F$101,0))),INDEX(코드표!$K$2:$K$101,MATCH(LEFT(TRIM(J184&amp;""),FIND(" ",TRIM(J184&amp;""))-1),코드표!$J$2:$J$101,0))&amp;" "&amp;INDEX(코드표!$G$2:$G$101,MATCH(TRIM(RIGHT(SUBSTITUTE(TRIM(J184&amp;"")," ",REPT(" ",60)),60)),코드표!$F$2:$F$101,0)),"⚠"&amp;TRIM(J184&amp;""))),"⚠"&amp;TRIM(J184&amp;""))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",TRIM(E185&amp;""))-1),코드표!$J$2:$J$101,0)),ISNUMBER(MATCH(TRIM(RIGHT(SUBSTITUTE(TRIM(E185&amp;"")," ",REPT(" ",60)),60)),코드표!$F$2:$F$101,0))),INDEX(코드표!$K$2:$K$101,MATCH(LEFT(TRIM(E185&amp;""),FIND(" ",TRIM(E185&amp;""))-1),코드표!$J$2:$J$101,0))&amp;" "&amp;INDEX(코드표!$G$2:$G$101,MATCH(TRIM(RIGHT(SUBSTITUTE(TRIM(E185&amp;"")," ",REPT(" ",60)),60)),코드표!$F$2:$F$101,0)),"⚠"&amp;TRIM(E185&amp;""))),"⚠"&amp;TRIM(E185&amp;""))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",TRIM(F185&amp;""))-1),코드표!$J$2:$J$101,0)),ISNUMBER(MATCH(TRIM(RIGHT(SUBSTITUTE(TRIM(F185&amp;"")," ",REPT(" ",60)),60)),코드표!$F$2:$F$101,0))),INDEX(코드표!$K$2:$K$101,MATCH(LEFT(TRIM(F185&amp;""),FIND(" ",TRIM(F185&amp;""))-1),코드표!$J$2:$J$101,0))&amp;" "&amp;INDEX(코드표!$G$2:$G$101,MATCH(TRIM(RIGHT(SUBSTITUTE(TRIM(F185&amp;"")," ",REPT(" ",60)),60)),코드표!$F$2:$F$101,0)),"⚠"&amp;TRIM(F185&amp;""))),"⚠"&amp;TRIM(F185&amp;""))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",TRIM(G185&amp;""))-1),코드표!$J$2:$J$101,0)),ISNUMBER(MATCH(TRIM(RIGHT(SUBSTITUTE(TRIM(G185&amp;"")," ",REPT(" ",60)),60)),코드표!$F$2:$F$101,0))),INDEX(코드표!$K$2:$K$101,MATCH(LEFT(TRIM(G185&amp;""),FIND(" ",TRIM(G185&amp;""))-1),코드표!$J$2:$J$101,0))&amp;" "&amp;INDEX(코드표!$G$2:$G$101,MATCH(TRIM(RIGHT(SUBSTITUTE(TRIM(G185&amp;"")," ",REPT(" ",60)),60)),코드표!$F$2:$F$101,0)),"⚠"&amp;TRIM(G185&amp;""))),"⚠"&amp;TRIM(G185&amp;""))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",TRIM(H185&amp;""))-1),코드표!$J$2:$J$101,0)),ISNUMBER(MATCH(TRIM(RIGHT(SUBSTITUTE(TRIM(H185&amp;"")," ",REPT(" ",60)),60)),코드표!$F$2:$F$101,0))),INDEX(코드표!$K$2:$K$101,MATCH(LEFT(TRIM(H185&amp;""),FIND(" ",TRIM(H185&amp;""))-1),코드표!$J$2:$J$101,0))&amp;" "&amp;INDEX(코드표!$G$2:$G$101,MATCH(TRIM(RIGHT(SUBSTITUTE(TRIM(H185&amp;"")," ",REPT(" ",60)),60)),코드표!$F$2:$F$101,0)),"⚠"&amp;TRIM(H185&amp;""))),"⚠"&amp;TRIM(H185&amp;""))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",TRIM(I185&amp;""))-1),코드표!$J$2:$J$101,0)),ISNUMBER(MATCH(TRIM(RIGHT(SUBSTITUTE(TRIM(I185&amp;"")," ",REPT(" ",60)),60)),코드표!$F$2:$F$101,0))),INDEX(코드표!$K$2:$K$101,MATCH(LEFT(TRIM(I185&amp;""),FIND(" ",TRIM(I185&amp;""))-1),코드표!$J$2:$J$101,0))&amp;" "&amp;INDEX(코드표!$G$2:$G$101,MATCH(TRIM(RIGHT(SUBSTITUTE(TRIM(I185&amp;"")," ",REPT(" ",60)),60)),코드표!$F$2:$F$101,0)),"⚠"&amp;TRIM(I185&amp;""))),"⚠"&amp;TRIM(I185&amp;""))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",TRIM(J185&amp;""))-1),코드표!$J$2:$J$101,0)),ISNUMBER(MATCH(TRIM(RIGHT(SUBSTITUTE(TRIM(J185&amp;"")," ",REPT(" ",60)),60)),코드표!$F$2:$F$101,0))),INDEX(코드표!$K$2:$K$101,MATCH(LEFT(TRIM(J185&amp;""),FIND(" ",TRIM(J185&amp;""))-1),코드표!$J$2:$J$101,0))&amp;" "&amp;INDEX(코드표!$G$2:$G$101,MATCH(TRIM(RIGHT(SUBSTITUTE(TRIM(J185&amp;"")," ",REPT(" ",60)),60)),코드표!$F$2:$F$101,0)),"⚠"&amp;TRIM(J185&amp;""))),"⚠"&amp;TRIM(J185&amp;""))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",TRIM(E186&amp;""))-1),코드표!$J$2:$J$101,0)),ISNUMBER(MATCH(TRIM(RIGHT(SUBSTITUTE(TRIM(E186&amp;"")," ",REPT(" ",60)),60)),코드표!$F$2:$F$101,0))),INDEX(코드표!$K$2:$K$101,MATCH(LEFT(TRIM(E186&amp;""),FIND(" ",TRIM(E186&amp;""))-1),코드표!$J$2:$J$101,0))&amp;" "&amp;INDEX(코드표!$G$2:$G$101,MATCH(TRIM(RIGHT(SUBSTITUTE(TRIM(E186&amp;"")," ",REPT(" ",60)),60)),코드표!$F$2:$F$101,0)),"⚠"&amp;TRIM(E186&amp;""))),"⚠"&amp;TRIM(E186&amp;""))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",TRIM(F186&amp;""))-1),코드표!$J$2:$J$101,0)),ISNUMBER(MATCH(TRIM(RIGHT(SUBSTITUTE(TRIM(F186&amp;"")," ",REPT(" ",60)),60)),코드표!$F$2:$F$101,0))),INDEX(코드표!$K$2:$K$101,MATCH(LEFT(TRIM(F186&amp;""),FIND(" ",TRIM(F186&amp;""))-1),코드표!$J$2:$J$101,0))&amp;" "&amp;INDEX(코드표!$G$2:$G$101,MATCH(TRIM(RIGHT(SUBSTITUTE(TRIM(F186&amp;"")," ",REPT(" ",60)),60)),코드표!$F$2:$F$101,0)),"⚠"&amp;TRIM(F186&amp;""))),"⚠"&amp;TRIM(F186&amp;""))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",TRIM(G186&amp;""))-1),코드표!$J$2:$J$101,0)),ISNUMBER(MATCH(TRIM(RIGHT(SUBSTITUTE(TRIM(G186&amp;"")," ",REPT(" ",60)),60)),코드표!$F$2:$F$101,0))),INDEX(코드표!$K$2:$K$101,MATCH(LEFT(TRIM(G186&amp;""),FIND(" ",TRIM(G186&amp;""))-1),코드표!$J$2:$J$101,0))&amp;" "&amp;INDEX(코드표!$G$2:$G$101,MATCH(TRIM(RIGHT(SUBSTITUTE(TRIM(G186&amp;"")," ",REPT(" ",60)),60)),코드표!$F$2:$F$101,0)),"⚠"&amp;TRIM(G186&amp;""))),"⚠"&amp;TRIM(G186&amp;""))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",TRIM(H186&amp;""))-1),코드표!$J$2:$J$101,0)),ISNUMBER(MATCH(TRIM(RIGHT(SUBSTITUTE(TRIM(H186&amp;"")," ",REPT(" ",60)),60)),코드표!$F$2:$F$101,0))),INDEX(코드표!$K$2:$K$101,MATCH(LEFT(TRIM(H186&amp;""),FIND(" ",TRIM(H186&amp;""))-1),코드표!$J$2:$J$101,0))&amp;" "&amp;INDEX(코드표!$G$2:$G$101,MATCH(TRIM(RIGHT(SUBSTITUTE(TRIM(H186&amp;"")," ",REPT(" ",60)),60)),코드표!$F$2:$F$101,0)),"⚠"&amp;TRIM(H186&amp;""))),"⚠"&amp;TRIM(H186&amp;""))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",TRIM(I186&amp;""))-1),코드표!$J$2:$J$101,0)),ISNUMBER(MATCH(TRIM(RIGHT(SUBSTITUTE(TRIM(I186&amp;"")," ",REPT(" ",60)),60)),코드표!$F$2:$F$101,0))),INDEX(코드표!$K$2:$K$101,MATCH(LEFT(TRIM(I186&amp;""),FIND(" ",TRIM(I186&amp;""))-1),코드표!$J$2:$J$101,0))&amp;" "&amp;INDEX(코드표!$G$2:$G$101,MATCH(TRIM(RIGHT(SUBSTITUTE(TRIM(I186&amp;"")," ",REPT(" ",60)),60)),코드표!$F$2:$F$101,0)),"⚠"&amp;TRIM(I186&amp;""))),"⚠"&amp;TRIM(I186&amp;""))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",TRIM(J186&amp;""))-1),코드표!$J$2:$J$101,0)),ISNUMBER(MATCH(TRIM(RIGHT(SUBSTITUTE(TRIM(J186&amp;"")," ",REPT(" ",60)),60)),코드표!$F$2:$F$101,0))),INDEX(코드표!$K$2:$K$101,MATCH(LEFT(TRIM(J186&amp;""),FIND(" ",TRIM(J186&amp;""))-1),코드표!$J$2:$J$101,0))&amp;" "&amp;INDEX(코드표!$G$2:$G$101,MATCH(TRIM(RIGHT(SUBSTITUTE(TRIM(J186&amp;"")," ",REPT(" ",60)),60)),코드표!$F$2:$F$101,0)),"⚠"&amp;TRIM(J186&amp;""))),"⚠"&amp;TRIM(J186&amp;""))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",TRIM(E187&amp;""))-1),코드표!$J$2:$J$101,0)),ISNUMBER(MATCH(TRIM(RIGHT(SUBSTITUTE(TRIM(E187&amp;"")," ",REPT(" ",60)),60)),코드표!$F$2:$F$101,0))),INDEX(코드표!$K$2:$K$101,MATCH(LEFT(TRIM(E187&amp;""),FIND(" ",TRIM(E187&amp;""))-1),코드표!$J$2:$J$101,0))&amp;" "&amp;INDEX(코드표!$G$2:$G$101,MATCH(TRIM(RIGHT(SUBSTITUTE(TRIM(E187&amp;"")," ",REPT(" ",60)),60)),코드표!$F$2:$F$101,0)),"⚠"&amp;TRIM(E187&amp;""))),"⚠"&amp;TRIM(E187&amp;""))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",TRIM(F187&amp;""))-1),코드표!$J$2:$J$101,0)),ISNUMBER(MATCH(TRIM(RIGHT(SUBSTITUTE(TRIM(F187&amp;"")," ",REPT(" ",60)),60)),코드표!$F$2:$F$101,0))),INDEX(코드표!$K$2:$K$101,MATCH(LEFT(TRIM(F187&amp;""),FIND(" ",TRIM(F187&amp;""))-1),코드표!$J$2:$J$101,0))&amp;" "&amp;INDEX(코드표!$G$2:$G$101,MATCH(TRIM(RIGHT(SUBSTITUTE(TRIM(F187&amp;"")," ",REPT(" ",60)),60)),코드표!$F$2:$F$101,0)),"⚠"&amp;TRIM(F187&amp;""))),"⚠"&amp;TRIM(F187&amp;""))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",TRIM(G187&amp;""))-1),코드표!$J$2:$J$101,0)),ISNUMBER(MATCH(TRIM(RIGHT(SUBSTITUTE(TRIM(G187&amp;"")," ",REPT(" ",60)),60)),코드표!$F$2:$F$101,0))),INDEX(코드표!$K$2:$K$101,MATCH(LEFT(TRIM(G187&amp;""),FIND(" ",TRIM(G187&amp;""))-1),코드표!$J$2:$J$101,0))&amp;" "&amp;INDEX(코드표!$G$2:$G$101,MATCH(TRIM(RIGHT(SUBSTITUTE(TRIM(G187&amp;"")," ",REPT(" ",60)),60)),코드표!$F$2:$F$101,0)),"⚠"&amp;TRIM(G187&amp;""))),"⚠"&amp;TRIM(G187&amp;""))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",TRIM(H187&amp;""))-1),코드표!$J$2:$J$101,0)),ISNUMBER(MATCH(TRIM(RIGHT(SUBSTITUTE(TRIM(H187&amp;"")," ",REPT(" ",60)),60)),코드표!$F$2:$F$101,0))),INDEX(코드표!$K$2:$K$101,MATCH(LEFT(TRIM(H187&amp;""),FIND(" ",TRIM(H187&amp;""))-1),코드표!$J$2:$J$101,0))&amp;" "&amp;INDEX(코드표!$G$2:$G$101,MATCH(TRIM(RIGHT(SUBSTITUTE(TRIM(H187&amp;"")," ",REPT(" ",60)),60)),코드표!$F$2:$F$101,0)),"⚠"&amp;TRIM(H187&amp;""))),"⚠"&amp;TRIM(H187&amp;""))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",TRIM(I187&amp;""))-1),코드표!$J$2:$J$101,0)),ISNUMBER(MATCH(TRIM(RIGHT(SUBSTITUTE(TRIM(I187&amp;"")," ",REPT(" ",60)),60)),코드표!$F$2:$F$101,0))),INDEX(코드표!$K$2:$K$101,MATCH(LEFT(TRIM(I187&amp;""),FIND(" ",TRIM(I187&amp;""))-1),코드표!$J$2:$J$101,0))&amp;" "&amp;INDEX(코드표!$G$2:$G$101,MATCH(TRIM(RIGHT(SUBSTITUTE(TRIM(I187&amp;"")," ",REPT(" ",60)),60)),코드표!$F$2:$F$101,0)),"⚠"&amp;TRIM(I187&amp;""))),"⚠"&amp;TRIM(I187&amp;""))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",TRIM(J187&amp;""))-1),코드표!$J$2:$J$101,0)),ISNUMBER(MATCH(TRIM(RIGHT(SUBSTITUTE(TRIM(J187&amp;"")," ",REPT(" ",60)),60)),코드표!$F$2:$F$101,0))),INDEX(코드표!$K$2:$K$101,MATCH(LEFT(TRIM(J187&amp;""),FIND(" ",TRIM(J187&amp;""))-1),코드표!$J$2:$J$101,0))&amp;" "&amp;INDEX(코드표!$G$2:$G$101,MATCH(TRIM(RIGHT(SUBSTITUTE(TRIM(J187&amp;"")," ",REPT(" ",60)),60)),코드표!$F$2:$F$101,0)),"⚠"&amp;TRIM(J187&amp;""))),"⚠"&amp;TRIM(J187&amp;""))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",TRIM(E188&amp;""))-1),코드표!$J$2:$J$101,0)),ISNUMBER(MATCH(TRIM(RIGHT(SUBSTITUTE(TRIM(E188&amp;"")," ",REPT(" ",60)),60)),코드표!$F$2:$F$101,0))),INDEX(코드표!$K$2:$K$101,MATCH(LEFT(TRIM(E188&amp;""),FIND(" ",TRIM(E188&amp;""))-1),코드표!$J$2:$J$101,0))&amp;" "&amp;INDEX(코드표!$G$2:$G$101,MATCH(TRIM(RIGHT(SUBSTITUTE(TRIM(E188&amp;"")," ",REPT(" ",60)),60)),코드표!$F$2:$F$101,0)),"⚠"&amp;TRIM(E188&amp;""))),"⚠"&amp;TRIM(E188&amp;""))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",TRIM(F188&amp;""))-1),코드표!$J$2:$J$101,0)),ISNUMBER(MATCH(TRIM(RIGHT(SUBSTITUTE(TRIM(F188&amp;"")," ",REPT(" ",60)),60)),코드표!$F$2:$F$101,0))),INDEX(코드표!$K$2:$K$101,MATCH(LEFT(TRIM(F188&amp;""),FIND(" ",TRIM(F188&amp;""))-1),코드표!$J$2:$J$101,0))&amp;" "&amp;INDEX(코드표!$G$2:$G$101,MATCH(TRIM(RIGHT(SUBSTITUTE(TRIM(F188&amp;"")," ",REPT(" ",60)),60)),코드표!$F$2:$F$101,0)),"⚠"&amp;TRIM(F188&amp;""))),"⚠"&amp;TRIM(F188&amp;""))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",TRIM(G188&amp;""))-1),코드표!$J$2:$J$101,0)),ISNUMBER(MATCH(TRIM(RIGHT(SUBSTITUTE(TRIM(G188&amp;"")," ",REPT(" ",60)),60)),코드표!$F$2:$F$101,0))),INDEX(코드표!$K$2:$K$101,MATCH(LEFT(TRIM(G188&amp;""),FIND(" ",TRIM(G188&amp;""))-1),코드표!$J$2:$J$101,0))&amp;" "&amp;INDEX(코드표!$G$2:$G$101,MATCH(TRIM(RIGHT(SUBSTITUTE(TRIM(G188&amp;"")," ",REPT(" ",60)),60)),코드표!$F$2:$F$101,0)),"⚠"&amp;TRIM(G188&amp;""))),"⚠"&amp;TRIM(G188&amp;""))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",TRIM(H188&amp;""))-1),코드표!$J$2:$J$101,0)),ISNUMBER(MATCH(TRIM(RIGHT(SUBSTITUTE(TRIM(H188&amp;"")," ",REPT(" ",60)),60)),코드표!$F$2:$F$101,0))),INDEX(코드표!$K$2:$K$101,MATCH(LEFT(TRIM(H188&amp;""),FIND(" ",TRIM(H188&amp;""))-1),코드표!$J$2:$J$101,0))&amp;" "&amp;INDEX(코드표!$G$2:$G$101,MATCH(TRIM(RIGHT(SUBSTITUTE(TRIM(H188&amp;"")," ",REPT(" ",60)),60)),코드표!$F$2:$F$101,0)),"⚠"&amp;TRIM(H188&amp;""))),"⚠"&amp;TRIM(H188&amp;""))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",TRIM(I188&amp;""))-1),코드표!$J$2:$J$101,0)),ISNUMBER(MATCH(TRIM(RIGHT(SUBSTITUTE(TRIM(I188&amp;"")," ",REPT(" ",60)),60)),코드표!$F$2:$F$101,0))),INDEX(코드표!$K$2:$K$101,MATCH(LEFT(TRIM(I188&amp;""),FIND(" ",TRIM(I188&amp;""))-1),코드표!$J$2:$J$101,0))&amp;" "&amp;INDEX(코드표!$G$2:$G$101,MATCH(TRIM(RIGHT(SUBSTITUTE(TRIM(I188&amp;"")," ",REPT(" ",60)),60)),코드표!$F$2:$F$101,0)),"⚠"&amp;TRIM(I188&amp;""))),"⚠"&amp;TRIM(I188&amp;""))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",TRIM(J188&amp;""))-1),코드표!$J$2:$J$101,0)),ISNUMBER(MATCH(TRIM(RIGHT(SUBSTITUTE(TRIM(J188&amp;"")," ",REPT(" ",60)),60)),코드표!$F$2:$F$101,0))),INDEX(코드표!$K$2:$K$101,MATCH(LEFT(TRIM(J188&amp;""),FIND(" ",TRIM(J188&amp;""))-1),코드표!$J$2:$J$101,0))&amp;" "&amp;INDEX(코드표!$G$2:$G$101,MATCH(TRIM(RIGHT(SUBSTITUTE(TRIM(J188&amp;"")," ",REPT(" ",60)),60)),코드표!$F$2:$F$101,0)),"⚠"&amp;TRIM(J188&amp;""))),"⚠"&amp;TRIM(J188&amp;""))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",TRIM(E189&amp;""))-1),코드표!$J$2:$J$101,0)),ISNUMBER(MATCH(TRIM(RIGHT(SUBSTITUTE(TRIM(E189&amp;"")," ",REPT(" ",60)),60)),코드표!$F$2:$F$101,0))),INDEX(코드표!$K$2:$K$101,MATCH(LEFT(TRIM(E189&amp;""),FIND(" ",TRIM(E189&amp;""))-1),코드표!$J$2:$J$101,0))&amp;" "&amp;INDEX(코드표!$G$2:$G$101,MATCH(TRIM(RIGHT(SUBSTITUTE(TRIM(E189&amp;"")," ",REPT(" ",60)),60)),코드표!$F$2:$F$101,0)),"⚠"&amp;TRIM(E189&amp;""))),"⚠"&amp;TRIM(E189&amp;""))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",TRIM(F189&amp;""))-1),코드표!$J$2:$J$101,0)),ISNUMBER(MATCH(TRIM(RIGHT(SUBSTITUTE(TRIM(F189&amp;"")," ",REPT(" ",60)),60)),코드표!$F$2:$F$101,0))),INDEX(코드표!$K$2:$K$101,MATCH(LEFT(TRIM(F189&amp;""),FIND(" ",TRIM(F189&amp;""))-1),코드표!$J$2:$J$101,0))&amp;" "&amp;INDEX(코드표!$G$2:$G$101,MATCH(TRIM(RIGHT(SUBSTITUTE(TRIM(F189&amp;"")," ",REPT(" ",60)),60)),코드표!$F$2:$F$101,0)),"⚠"&amp;TRIM(F189&amp;""))),"⚠"&amp;TRIM(F189&amp;""))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",TRIM(G189&amp;""))-1),코드표!$J$2:$J$101,0)),ISNUMBER(MATCH(TRIM(RIGHT(SUBSTITUTE(TRIM(G189&amp;"")," ",REPT(" ",60)),60)),코드표!$F$2:$F$101,0))),INDEX(코드표!$K$2:$K$101,MATCH(LEFT(TRIM(G189&amp;""),FIND(" ",TRIM(G189&amp;""))-1),코드표!$J$2:$J$101,0))&amp;" "&amp;INDEX(코드표!$G$2:$G$101,MATCH(TRIM(RIGHT(SUBSTITUTE(TRIM(G189&amp;"")," ",REPT(" ",60)),60)),코드표!$F$2:$F$101,0)),"⚠"&amp;TRIM(G189&amp;""))),"⚠"&amp;TRIM(G189&amp;""))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",TRIM(H189&amp;""))-1),코드표!$J$2:$J$101,0)),ISNUMBER(MATCH(TRIM(RIGHT(SUBSTITUTE(TRIM(H189&amp;"")," ",REPT(" ",60)),60)),코드표!$F$2:$F$101,0))),INDEX(코드표!$K$2:$K$101,MATCH(LEFT(TRIM(H189&amp;""),FIND(" ",TRIM(H189&amp;""))-1),코드표!$J$2:$J$101,0))&amp;" "&amp;INDEX(코드표!$G$2:$G$101,MATCH(TRIM(RIGHT(SUBSTITUTE(TRIM(H189&amp;"")," ",REPT(" ",60)),60)),코드표!$F$2:$F$101,0)),"⚠"&amp;TRIM(H189&amp;""))),"⚠"&amp;TRIM(H189&amp;""))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",TRIM(I189&amp;""))-1),코드표!$J$2:$J$101,0)),ISNUMBER(MATCH(TRIM(RIGHT(SUBSTITUTE(TRIM(I189&amp;"")," ",REPT(" ",60)),60)),코드표!$F$2:$F$101,0))),INDEX(코드표!$K$2:$K$101,MATCH(LEFT(TRIM(I189&amp;""),FIND(" ",TRIM(I189&amp;""))-1),코드표!$J$2:$J$101,0))&amp;" "&amp;INDEX(코드표!$G$2:$G$101,MATCH(TRIM(RIGHT(SUBSTITUTE(TRIM(I189&amp;"")," ",REPT(" ",60)),60)),코드표!$F$2:$F$101,0)),"⚠"&amp;TRIM(I189&amp;""))),"⚠"&amp;TRIM(I189&amp;""))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",TRIM(J189&amp;""))-1),코드표!$J$2:$J$101,0)),ISNUMBER(MATCH(TRIM(RIGHT(SUBSTITUTE(TRIM(J189&amp;"")," ",REPT(" ",60)),60)),코드표!$F$2:$F$101,0))),INDEX(코드표!$K$2:$K$101,MATCH(LEFT(TRIM(J189&amp;""),FIND(" ",TRIM(J189&amp;""))-1),코드표!$J$2:$J$101,0))&amp;" "&amp;INDEX(코드표!$G$2:$G$101,MATCH(TRIM(RIGHT(SUBSTITUTE(TRIM(J189&amp;"")," ",REPT(" ",60)),60)),코드표!$F$2:$F$101,0)),"⚠"&amp;TRIM(J189&amp;""))),"⚠"&amp;TRIM(J189&amp;""))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",TRIM(E190&amp;""))-1),코드표!$J$2:$J$101,0)),ISNUMBER(MATCH(TRIM(RIGHT(SUBSTITUTE(TRIM(E190&amp;"")," ",REPT(" ",60)),60)),코드표!$F$2:$F$101,0))),INDEX(코드표!$K$2:$K$101,MATCH(LEFT(TRIM(E190&amp;""),FIND(" ",TRIM(E190&amp;""))-1),코드표!$J$2:$J$101,0))&amp;" "&amp;INDEX(코드표!$G$2:$G$101,MATCH(TRIM(RIGHT(SUBSTITUTE(TRIM(E190&amp;"")," ",REPT(" ",60)),60)),코드표!$F$2:$F$101,0)),"⚠"&amp;TRIM(E190&amp;""))),"⚠"&amp;TRIM(E190&amp;""))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",TRIM(F190&amp;""))-1),코드표!$J$2:$J$101,0)),ISNUMBER(MATCH(TRIM(RIGHT(SUBSTITUTE(TRIM(F190&amp;"")," ",REPT(" ",60)),60)),코드표!$F$2:$F$101,0))),INDEX(코드표!$K$2:$K$101,MATCH(LEFT(TRIM(F190&amp;""),FIND(" ",TRIM(F190&amp;""))-1),코드표!$J$2:$J$101,0))&amp;" "&amp;INDEX(코드표!$G$2:$G$101,MATCH(TRIM(RIGHT(SUBSTITUTE(TRIM(F190&amp;"")," ",REPT(" ",60)),60)),코드표!$F$2:$F$101,0)),"⚠"&amp;TRIM(F190&amp;""))),"⚠"&amp;TRIM(F190&amp;""))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",TRIM(G190&amp;""))-1),코드표!$J$2:$J$101,0)),ISNUMBER(MATCH(TRIM(RIGHT(SUBSTITUTE(TRIM(G190&amp;"")," ",REPT(" ",60)),60)),코드표!$F$2:$F$101,0))),INDEX(코드표!$K$2:$K$101,MATCH(LEFT(TRIM(G190&amp;""),FIND(" ",TRIM(G190&amp;""))-1),코드표!$J$2:$J$101,0))&amp;" "&amp;INDEX(코드표!$G$2:$G$101,MATCH(TRIM(RIGHT(SUBSTITUTE(TRIM(G190&amp;"")," ",REPT(" ",60)),60)),코드표!$F$2:$F$101,0)),"⚠"&amp;TRIM(G190&amp;""))),"⚠"&amp;TRIM(G190&amp;""))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",TRIM(H190&amp;""))-1),코드표!$J$2:$J$101,0)),ISNUMBER(MATCH(TRIM(RIGHT(SUBSTITUTE(TRIM(H190&amp;"")," ",REPT(" ",60)),60)),코드표!$F$2:$F$101,0))),INDEX(코드표!$K$2:$K$101,MATCH(LEFT(TRIM(H190&amp;""),FIND(" ",TRIM(H190&amp;""))-1),코드표!$J$2:$J$101,0))&amp;" "&amp;INDEX(코드표!$G$2:$G$101,MATCH(TRIM(RIGHT(SUBSTITUTE(TRIM(H190&amp;"")," ",REPT(" ",60)),60)),코드표!$F$2:$F$101,0)),"⚠"&amp;TRIM(H190&amp;""))),"⚠"&amp;TRIM(H190&amp;""))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",TRIM(I190&amp;""))-1),코드표!$J$2:$J$101,0)),ISNUMBER(MATCH(TRIM(RIGHT(SUBSTITUTE(TRIM(I190&amp;"")," ",REPT(" ",60)),60)),코드표!$F$2:$F$101,0))),INDEX(코드표!$K$2:$K$101,MATCH(LEFT(TRIM(I190&amp;""),FIND(" ",TRIM(I190&amp;""))-1),코드표!$J$2:$J$101,0))&amp;" "&amp;INDEX(코드표!$G$2:$G$101,MATCH(TRIM(RIGHT(SUBSTITUTE(TRIM(I190&amp;"")," ",REPT(" ",60)),60)),코드표!$F$2:$F$101,0)),"⚠"&amp;TRIM(I190&amp;""))),"⚠"&amp;TRIM(I190&amp;""))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",TRIM(J190&amp;""))-1),코드표!$J$2:$J$101,0)),ISNUMBER(MATCH(TRIM(RIGHT(SUBSTITUTE(TRIM(J190&amp;"")," ",REPT(" ",60)),60)),코드표!$F$2:$F$101,0))),INDEX(코드표!$K$2:$K$101,MATCH(LEFT(TRIM(J190&amp;""),FIND(" ",TRIM(J190&amp;""))-1),코드표!$J$2:$J$101,0))&amp;" "&amp;INDEX(코드표!$G$2:$G$101,MATCH(TRIM(RIGHT(SUBSTITUTE(TRIM(J190&amp;"")," ",REPT(" ",60)),60)),코드표!$F$2:$F$101,0)),"⚠"&amp;TRIM(J190&amp;""))),"⚠"&amp;TRIM(J190&amp;""))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",TRIM(E191&amp;""))-1),코드표!$J$2:$J$101,0)),ISNUMBER(MATCH(TRIM(RIGHT(SUBSTITUTE(TRIM(E191&amp;"")," ",REPT(" ",60)),60)),코드표!$F$2:$F$101,0))),INDEX(코드표!$K$2:$K$101,MATCH(LEFT(TRIM(E191&amp;""),FIND(" ",TRIM(E191&amp;""))-1),코드표!$J$2:$J$101,0))&amp;" "&amp;INDEX(코드표!$G$2:$G$101,MATCH(TRIM(RIGHT(SUBSTITUTE(TRIM(E191&amp;"")," ",REPT(" ",60)),60)),코드표!$F$2:$F$101,0)),"⚠"&amp;TRIM(E191&amp;""))),"⚠"&amp;TRIM(E191&amp;""))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",TRIM(F191&amp;""))-1),코드표!$J$2:$J$101,0)),ISNUMBER(MATCH(TRIM(RIGHT(SUBSTITUTE(TRIM(F191&amp;"")," ",REPT(" ",60)),60)),코드표!$F$2:$F$101,0))),INDEX(코드표!$K$2:$K$101,MATCH(LEFT(TRIM(F191&amp;""),FIND(" ",TRIM(F191&amp;""))-1),코드표!$J$2:$J$101,0))&amp;" "&amp;INDEX(코드표!$G$2:$G$101,MATCH(TRIM(RIGHT(SUBSTITUTE(TRIM(F191&amp;"")," ",REPT(" ",60)),60)),코드표!$F$2:$F$101,0)),"⚠"&amp;TRIM(F191&amp;""))),"⚠"&amp;TRIM(F191&amp;""))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",TRIM(G191&amp;""))-1),코드표!$J$2:$J$101,0)),ISNUMBER(MATCH(TRIM(RIGHT(SUBSTITUTE(TRIM(G191&amp;"")," ",REPT(" ",60)),60)),코드표!$F$2:$F$101,0))),INDEX(코드표!$K$2:$K$101,MATCH(LEFT(TRIM(G191&amp;""),FIND(" ",TRIM(G191&amp;""))-1),코드표!$J$2:$J$101,0))&amp;" "&amp;INDEX(코드표!$G$2:$G$101,MATCH(TRIM(RIGHT(SUBSTITUTE(TRIM(G191&amp;"")," ",REPT(" ",60)),60)),코드표!$F$2:$F$101,0)),"⚠"&amp;TRIM(G191&amp;""))),"⚠"&amp;TRIM(G191&amp;""))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",TRIM(H191&amp;""))-1),코드표!$J$2:$J$101,0)),ISNUMBER(MATCH(TRIM(RIGHT(SUBSTITUTE(TRIM(H191&amp;"")," ",REPT(" ",60)),60)),코드표!$F$2:$F$101,0))),INDEX(코드표!$K$2:$K$101,MATCH(LEFT(TRIM(H191&amp;""),FIND(" ",TRIM(H191&amp;""))-1),코드표!$J$2:$J$101,0))&amp;" "&amp;INDEX(코드표!$G$2:$G$101,MATCH(TRIM(RIGHT(SUBSTITUTE(TRIM(H191&amp;"")," ",REPT(" ",60)),60)),코드표!$F$2:$F$101,0)),"⚠"&amp;TRIM(H191&amp;""))),"⚠"&amp;TRIM(H191&amp;""))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",TRIM(I191&amp;""))-1),코드표!$J$2:$J$101,0)),ISNUMBER(MATCH(TRIM(RIGHT(SUBSTITUTE(TRIM(I191&amp;"")," ",REPT(" ",60)),60)),코드표!$F$2:$F$101,0))),INDEX(코드표!$K$2:$K$101,MATCH(LEFT(TRIM(I191&amp;""),FIND(" ",TRIM(I191&amp;""))-1),코드표!$J$2:$J$101,0))&amp;" "&amp;INDEX(코드표!$G$2:$G$101,MATCH(TRIM(RIGHT(SUBSTITUTE(TRIM(I191&amp;"")," ",REPT(" ",60)),60)),코드표!$F$2:$F$101,0)),"⚠"&amp;TRIM(I191&amp;""))),"⚠"&amp;TRIM(I191&amp;""))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",TRIM(J191&amp;""))-1),코드표!$J$2:$J$101,0)),ISNUMBER(MATCH(TRIM(RIGHT(SUBSTITUTE(TRIM(J191&amp;"")," ",REPT(" ",60)),60)),코드표!$F$2:$F$101,0))),INDEX(코드표!$K$2:$K$101,MATCH(LEFT(TRIM(J191&amp;""),FIND(" ",TRIM(J191&amp;""))-1),코드표!$J$2:$J$101,0))&amp;" "&amp;INDEX(코드표!$G$2:$G$101,MATCH(TRIM(RIGHT(SUBSTITUTE(TRIM(J191&amp;"")," ",REPT(" ",60)),60)),코드표!$F$2:$F$101,0)),"⚠"&amp;TRIM(J191&amp;""))),"⚠"&amp;TRIM(J191&amp;""))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",TRIM(E192&amp;""))-1),코드표!$J$2:$J$101,0)),ISNUMBER(MATCH(TRIM(RIGHT(SUBSTITUTE(TRIM(E192&amp;"")," ",REPT(" ",60)),60)),코드표!$F$2:$F$101,0))),INDEX(코드표!$K$2:$K$101,MATCH(LEFT(TRIM(E192&amp;""),FIND(" ",TRIM(E192&amp;""))-1),코드표!$J$2:$J$101,0))&amp;" "&amp;INDEX(코드표!$G$2:$G$101,MATCH(TRIM(RIGHT(SUBSTITUTE(TRIM(E192&amp;"")," ",REPT(" ",60)),60)),코드표!$F$2:$F$101,0)),"⚠"&amp;TRIM(E192&amp;""))),"⚠"&amp;TRIM(E192&amp;""))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",TRIM(F192&amp;""))-1),코드표!$J$2:$J$101,0)),ISNUMBER(MATCH(TRIM(RIGHT(SUBSTITUTE(TRIM(F192&amp;"")," ",REPT(" ",60)),60)),코드표!$F$2:$F$101,0))),INDEX(코드표!$K$2:$K$101,MATCH(LEFT(TRIM(F192&amp;""),FIND(" ",TRIM(F192&amp;""))-1),코드표!$J$2:$J$101,0))&amp;" "&amp;INDEX(코드표!$G$2:$G$101,MATCH(TRIM(RIGHT(SUBSTITUTE(TRIM(F192&amp;"")," ",REPT(" ",60)),60)),코드표!$F$2:$F$101,0)),"⚠"&amp;TRIM(F192&amp;""))),"⚠"&amp;TRIM(F192&amp;""))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",TRIM(G192&amp;""))-1),코드표!$J$2:$J$101,0)),ISNUMBER(MATCH(TRIM(RIGHT(SUBSTITUTE(TRIM(G192&amp;"")," ",REPT(" ",60)),60)),코드표!$F$2:$F$101,0))),INDEX(코드표!$K$2:$K$101,MATCH(LEFT(TRIM(G192&amp;""),FIND(" ",TRIM(G192&amp;""))-1),코드표!$J$2:$J$101,0))&amp;" "&amp;INDEX(코드표!$G$2:$G$101,MATCH(TRIM(RIGHT(SUBSTITUTE(TRIM(G192&amp;"")," ",REPT(" ",60)),60)),코드표!$F$2:$F$101,0)),"⚠"&amp;TRIM(G192&amp;""))),"⚠"&amp;TRIM(G192&amp;""))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",TRIM(H192&amp;""))-1),코드표!$J$2:$J$101,0)),ISNUMBER(MATCH(TRIM(RIGHT(SUBSTITUTE(TRIM(H192&amp;"")," ",REPT(" ",60)),60)),코드표!$F$2:$F$101,0))),INDEX(코드표!$K$2:$K$101,MATCH(LEFT(TRIM(H192&amp;""),FIND(" ",TRIM(H192&amp;""))-1),코드표!$J$2:$J$101,0))&amp;" "&amp;INDEX(코드표!$G$2:$G$101,MATCH(TRIM(RIGHT(SUBSTITUTE(TRIM(H192&amp;"")," ",REPT(" ",60)),60)),코드표!$F$2:$F$101,0)),"⚠"&amp;TRIM(H192&amp;""))),"⚠"&amp;TRIM(H192&amp;""))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",TRIM(I192&amp;""))-1),코드표!$J$2:$J$101,0)),ISNUMBER(MATCH(TRIM(RIGHT(SUBSTITUTE(TRIM(I192&amp;"")," ",REPT(" ",60)),60)),코드표!$F$2:$F$101,0))),INDEX(코드표!$K$2:$K$101,MATCH(LEFT(TRIM(I192&amp;""),FIND(" ",TRIM(I192&amp;""))-1),코드표!$J$2:$J$101,0))&amp;" "&amp;INDEX(코드표!$G$2:$G$101,MATCH(TRIM(RIGHT(SUBSTITUTE(TRIM(I192&amp;"")," ",REPT(" ",60)),60)),코드표!$F$2:$F$101,0)),"⚠"&amp;TRIM(I192&amp;""))),"⚠"&amp;TRIM(I192&amp;""))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",TRIM(J192&amp;""))-1),코드표!$J$2:$J$101,0)),ISNUMBER(MATCH(TRIM(RIGHT(SUBSTITUTE(TRIM(J192&amp;"")," ",REPT(" ",60)),60)),코드표!$F$2:$F$101,0))),INDEX(코드표!$K$2:$K$101,MATCH(LEFT(TRIM(J192&amp;""),FIND(" ",TRIM(J192&amp;""))-1),코드표!$J$2:$J$101,0))&amp;" "&amp;INDEX(코드표!$G$2:$G$101,MATCH(TRIM(RIGHT(SUBSTITUTE(TRIM(J192&amp;"")," ",REPT(" ",60)),60)),코드표!$F$2:$F$101,0)),"⚠"&amp;TRIM(J192&amp;""))),"⚠"&amp;TRIM(J192&amp;""))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",TRIM(E193&amp;""))-1),코드표!$J$2:$J$101,0)),ISNUMBER(MATCH(TRIM(RIGHT(SUBSTITUTE(TRIM(E193&amp;"")," ",REPT(" ",60)),60)),코드표!$F$2:$F$101,0))),INDEX(코드표!$K$2:$K$101,MATCH(LEFT(TRIM(E193&amp;""),FIND(" ",TRIM(E193&amp;""))-1),코드표!$J$2:$J$101,0))&amp;" "&amp;INDEX(코드표!$G$2:$G$101,MATCH(TRIM(RIGHT(SUBSTITUTE(TRIM(E193&amp;"")," ",REPT(" ",60)),60)),코드표!$F$2:$F$101,0)),"⚠"&amp;TRIM(E193&amp;""))),"⚠"&amp;TRIM(E193&amp;""))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",TRIM(F193&amp;""))-1),코드표!$J$2:$J$101,0)),ISNUMBER(MATCH(TRIM(RIGHT(SUBSTITUTE(TRIM(F193&amp;"")," ",REPT(" ",60)),60)),코드표!$F$2:$F$101,0))),INDEX(코드표!$K$2:$K$101,MATCH(LEFT(TRIM(F193&amp;""),FIND(" ",TRIM(F193&amp;""))-1),코드표!$J$2:$J$101,0))&amp;" "&amp;INDEX(코드표!$G$2:$G$101,MATCH(TRIM(RIGHT(SUBSTITUTE(TRIM(F193&amp;"")," ",REPT(" ",60)),60)),코드표!$F$2:$F$101,0)),"⚠"&amp;TRIM(F193&amp;""))),"⚠"&amp;TRIM(F193&amp;""))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",TRIM(G193&amp;""))-1),코드표!$J$2:$J$101,0)),ISNUMBER(MATCH(TRIM(RIGHT(SUBSTITUTE(TRIM(G193&amp;"")," ",REPT(" ",60)),60)),코드표!$F$2:$F$101,0))),INDEX(코드표!$K$2:$K$101,MATCH(LEFT(TRIM(G193&amp;""),FIND(" ",TRIM(G193&amp;""))-1),코드표!$J$2:$J$101,0))&amp;" "&amp;INDEX(코드표!$G$2:$G$101,MATCH(TRIM(RIGHT(SUBSTITUTE(TRIM(G193&amp;"")," ",REPT(" ",60)),60)),코드표!$F$2:$F$101,0)),"⚠"&amp;TRIM(G193&amp;""))),"⚠"&amp;TRIM(G193&amp;""))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",TRIM(H193&amp;""))-1),코드표!$J$2:$J$101,0)),ISNUMBER(MATCH(TRIM(RIGHT(SUBSTITUTE(TRIM(H193&amp;"")," ",REPT(" ",60)),60)),코드표!$F$2:$F$101,0))),INDEX(코드표!$K$2:$K$101,MATCH(LEFT(TRIM(H193&amp;""),FIND(" ",TRIM(H193&amp;""))-1),코드표!$J$2:$J$101,0))&amp;" "&amp;INDEX(코드표!$G$2:$G$101,MATCH(TRIM(RIGHT(SUBSTITUTE(TRIM(H193&amp;"")," ",REPT(" ",60)),60)),코드표!$F$2:$F$101,0)),"⚠"&amp;TRIM(H193&amp;""))),"⚠"&amp;TRIM(H193&amp;""))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",TRIM(I193&amp;""))-1),코드표!$J$2:$J$101,0)),ISNUMBER(MATCH(TRIM(RIGHT(SUBSTITUTE(TRIM(I193&amp;"")," ",REPT(" ",60)),60)),코드표!$F$2:$F$101,0))),INDEX(코드표!$K$2:$K$101,MATCH(LEFT(TRIM(I193&amp;""),FIND(" ",TRIM(I193&amp;""))-1),코드표!$J$2:$J$101,0))&amp;" "&amp;INDEX(코드표!$G$2:$G$101,MATCH(TRIM(RIGHT(SUBSTITUTE(TRIM(I193&amp;"")," ",REPT(" ",60)),60)),코드표!$F$2:$F$101,0)),"⚠"&amp;TRIM(I193&amp;""))),"⚠"&amp;TRIM(I193&amp;""))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",TRIM(J193&amp;""))-1),코드표!$J$2:$J$101,0)),ISNUMBER(MATCH(TRIM(RIGHT(SUBSTITUTE(TRIM(J193&amp;"")," ",REPT(" ",60)),60)),코드표!$F$2:$F$101,0))),INDEX(코드표!$K$2:$K$101,MATCH(LEFT(TRIM(J193&amp;""),FIND(" ",TRIM(J193&amp;""))-1),코드표!$J$2:$J$101,0))&amp;" "&amp;INDEX(코드표!$G$2:$G$101,MATCH(TRIM(RIGHT(SUBSTITUTE(TRIM(J193&amp;"")," ",REPT(" ",60)),60)),코드표!$F$2:$F$101,0)),"⚠"&amp;TRIM(J193&amp;""))),"⚠"&amp;TRIM(J193&amp;""))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",TRIM(E194&amp;""))-1),코드표!$J$2:$J$101,0)),ISNUMBER(MATCH(TRIM(RIGHT(SUBSTITUTE(TRIM(E194&amp;"")," ",REPT(" ",60)),60)),코드표!$F$2:$F$101,0))),INDEX(코드표!$K$2:$K$101,MATCH(LEFT(TRIM(E194&amp;""),FIND(" ",TRIM(E194&amp;""))-1),코드표!$J$2:$J$101,0))&amp;" "&amp;INDEX(코드표!$G$2:$G$101,MATCH(TRIM(RIGHT(SUBSTITUTE(TRIM(E194&amp;"")," ",REPT(" ",60)),60)),코드표!$F$2:$F$101,0)),"⚠"&amp;TRIM(E194&amp;""))),"⚠"&amp;TRIM(E194&amp;""))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",TRIM(F194&amp;""))-1),코드표!$J$2:$J$101,0)),ISNUMBER(MATCH(TRIM(RIGHT(SUBSTITUTE(TRIM(F194&amp;"")," ",REPT(" ",60)),60)),코드표!$F$2:$F$101,0))),INDEX(코드표!$K$2:$K$101,MATCH(LEFT(TRIM(F194&amp;""),FIND(" ",TRIM(F194&amp;""))-1),코드표!$J$2:$J$101,0))&amp;" "&amp;INDEX(코드표!$G$2:$G$101,MATCH(TRIM(RIGHT(SUBSTITUTE(TRIM(F194&amp;"")," ",REPT(" ",60)),60)),코드표!$F$2:$F$101,0)),"⚠"&amp;TRIM(F194&amp;""))),"⚠"&amp;TRIM(F194&amp;""))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",TRIM(G194&amp;""))-1),코드표!$J$2:$J$101,0)),ISNUMBER(MATCH(TRIM(RIGHT(SUBSTITUTE(TRIM(G194&amp;"")," ",REPT(" ",60)),60)),코드표!$F$2:$F$101,0))),INDEX(코드표!$K$2:$K$101,MATCH(LEFT(TRIM(G194&amp;""),FIND(" ",TRIM(G194&amp;""))-1),코드표!$J$2:$J$101,0))&amp;" "&amp;INDEX(코드표!$G$2:$G$101,MATCH(TRIM(RIGHT(SUBSTITUTE(TRIM(G194&amp;"")," ",REPT(" ",60)),60)),코드표!$F$2:$F$101,0)),"⚠"&amp;TRIM(G194&amp;""))),"⚠"&amp;TRIM(G194&amp;""))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",TRIM(H194&amp;""))-1),코드표!$J$2:$J$101,0)),ISNUMBER(MATCH(TRIM(RIGHT(SUBSTITUTE(TRIM(H194&amp;"")," ",REPT(" ",60)),60)),코드표!$F$2:$F$101,0))),INDEX(코드표!$K$2:$K$101,MATCH(LEFT(TRIM(H194&amp;""),FIND(" ",TRIM(H194&amp;""))-1),코드표!$J$2:$J$101,0))&amp;" "&amp;INDEX(코드표!$G$2:$G$101,MATCH(TRIM(RIGHT(SUBSTITUTE(TRIM(H194&amp;"")," ",REPT(" ",60)),60)),코드표!$F$2:$F$101,0)),"⚠"&amp;TRIM(H194&amp;""))),"⚠"&amp;TRIM(H194&amp;""))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",TRIM(I194&amp;""))-1),코드표!$J$2:$J$101,0)),ISNUMBER(MATCH(TRIM(RIGHT(SUBSTITUTE(TRIM(I194&amp;"")," ",REPT(" ",60)),60)),코드표!$F$2:$F$101,0))),INDEX(코드표!$K$2:$K$101,MATCH(LEFT(TRIM(I194&amp;""),FIND(" ",TRIM(I194&amp;""))-1),코드표!$J$2:$J$101,0))&amp;" "&amp;INDEX(코드표!$G$2:$G$101,MATCH(TRIM(RIGHT(SUBSTITUTE(TRIM(I194&amp;"")," ",REPT(" ",60)),60)),코드표!$F$2:$F$101,0)),"⚠"&amp;TRIM(I194&amp;""))),"⚠"&amp;TRIM(I194&amp;""))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",TRIM(J194&amp;""))-1),코드표!$J$2:$J$101,0)),ISNUMBER(MATCH(TRIM(RIGHT(SUBSTITUTE(TRIM(J194&amp;"")," ",REPT(" ",60)),60)),코드표!$F$2:$F$101,0))),INDEX(코드표!$K$2:$K$101,MATCH(LEFT(TRIM(J194&amp;""),FIND(" ",TRIM(J194&amp;""))-1),코드표!$J$2:$J$101,0))&amp;" "&amp;INDEX(코드표!$G$2:$G$101,MATCH(TRIM(RIGHT(SUBSTITUTE(TRIM(J194&amp;"")," ",REPT(" ",60)),60)),코드표!$F$2:$F$101,0)),"⚠"&amp;TRIM(J194&amp;""))),"⚠"&amp;TRIM(J194&amp;""))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",TRIM(E195&amp;""))-1),코드표!$J$2:$J$101,0)),ISNUMBER(MATCH(TRIM(RIGHT(SUBSTITUTE(TRIM(E195&amp;"")," ",REPT(" ",60)),60)),코드표!$F$2:$F$101,0))),INDEX(코드표!$K$2:$K$101,MATCH(LEFT(TRIM(E195&amp;""),FIND(" ",TRIM(E195&amp;""))-1),코드표!$J$2:$J$101,0))&amp;" "&amp;INDEX(코드표!$G$2:$G$101,MATCH(TRIM(RIGHT(SUBSTITUTE(TRIM(E195&amp;"")," ",REPT(" ",60)),60)),코드표!$F$2:$F$101,0)),"⚠"&amp;TRIM(E195&amp;""))),"⚠"&amp;TRIM(E195&amp;""))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",TRIM(F195&amp;""))-1),코드표!$J$2:$J$101,0)),ISNUMBER(MATCH(TRIM(RIGHT(SUBSTITUTE(TRIM(F195&amp;"")," ",REPT(" ",60)),60)),코드표!$F$2:$F$101,0))),INDEX(코드표!$K$2:$K$101,MATCH(LEFT(TRIM(F195&amp;""),FIND(" ",TRIM(F195&amp;""))-1),코드표!$J$2:$J$101,0))&amp;" "&amp;INDEX(코드표!$G$2:$G$101,MATCH(TRIM(RIGHT(SUBSTITUTE(TRIM(F195&amp;"")," ",REPT(" ",60)),60)),코드표!$F$2:$F$101,0)),"⚠"&amp;TRIM(F195&amp;""))),"⚠"&amp;TRIM(F195&amp;""))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",TRIM(G195&amp;""))-1),코드표!$J$2:$J$101,0)),ISNUMBER(MATCH(TRIM(RIGHT(SUBSTITUTE(TRIM(G195&amp;"")," ",REPT(" ",60)),60)),코드표!$F$2:$F$101,0))),INDEX(코드표!$K$2:$K$101,MATCH(LEFT(TRIM(G195&amp;""),FIND(" ",TRIM(G195&amp;""))-1),코드표!$J$2:$J$101,0))&amp;" "&amp;INDEX(코드표!$G$2:$G$101,MATCH(TRIM(RIGHT(SUBSTITUTE(TRIM(G195&amp;"")," ",REPT(" ",60)),60)),코드표!$F$2:$F$101,0)),"⚠"&amp;TRIM(G195&amp;""))),"⚠"&amp;TRIM(G195&amp;""))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",TRIM(H195&amp;""))-1),코드표!$J$2:$J$101,0)),ISNUMBER(MATCH(TRIM(RIGHT(SUBSTITUTE(TRIM(H195&amp;"")," ",REPT(" ",60)),60)),코드표!$F$2:$F$101,0))),INDEX(코드표!$K$2:$K$101,MATCH(LEFT(TRIM(H195&amp;""),FIND(" ",TRIM(H195&amp;""))-1),코드표!$J$2:$J$101,0))&amp;" "&amp;INDEX(코드표!$G$2:$G$101,MATCH(TRIM(RIGHT(SUBSTITUTE(TRIM(H195&amp;"")," ",REPT(" ",60)),60)),코드표!$F$2:$F$101,0)),"⚠"&amp;TRIM(H195&amp;""))),"⚠"&amp;TRIM(H195&amp;""))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",TRIM(I195&amp;""))-1),코드표!$J$2:$J$101,0)),ISNUMBER(MATCH(TRIM(RIGHT(SUBSTITUTE(TRIM(I195&amp;"")," ",REPT(" ",60)),60)),코드표!$F$2:$F$101,0))),INDEX(코드표!$K$2:$K$101,MATCH(LEFT(TRIM(I195&amp;""),FIND(" ",TRIM(I195&amp;""))-1),코드표!$J$2:$J$101,0))&amp;" "&amp;INDEX(코드표!$G$2:$G$101,MATCH(TRIM(RIGHT(SUBSTITUTE(TRIM(I195&amp;"")," ",REPT(" ",60)),60)),코드표!$F$2:$F$101,0)),"⚠"&amp;TRIM(I195&amp;""))),"⚠"&amp;TRIM(I195&amp;""))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",TRIM(J195&amp;""))-1),코드표!$J$2:$J$101,0)),ISNUMBER(MATCH(TRIM(RIGHT(SUBSTITUTE(TRIM(J195&amp;"")," ",REPT(" ",60)),60)),코드표!$F$2:$F$101,0))),INDEX(코드표!$K$2:$K$101,MATCH(LEFT(TRIM(J195&amp;""),FIND(" ",TRIM(J195&amp;""))-1),코드표!$J$2:$J$101,0))&amp;" "&amp;INDEX(코드표!$G$2:$G$101,MATCH(TRIM(RIGHT(SUBSTITUTE(TRIM(J195&amp;"")," ",REPT(" ",60)),60)),코드표!$F$2:$F$101,0)),"⚠"&amp;TRIM(J195&amp;""))),"⚠"&amp;TRIM(J195&amp;""))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",TRIM(E196&amp;""))-1),코드표!$J$2:$J$101,0)),ISNUMBER(MATCH(TRIM(RIGHT(SUBSTITUTE(TRIM(E196&amp;"")," ",REPT(" ",60)),60)),코드표!$F$2:$F$101,0))),INDEX(코드표!$K$2:$K$101,MATCH(LEFT(TRIM(E196&amp;""),FIND(" ",TRIM(E196&amp;""))-1),코드표!$J$2:$J$101,0))&amp;" "&amp;INDEX(코드표!$G$2:$G$101,MATCH(TRIM(RIGHT(SUBSTITUTE(TRIM(E196&amp;"")," ",REPT(" ",60)),60)),코드표!$F$2:$F$101,0)),"⚠"&amp;TRIM(E196&amp;""))),"⚠"&amp;TRIM(E196&amp;""))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",TRIM(F196&amp;""))-1),코드표!$J$2:$J$101,0)),ISNUMBER(MATCH(TRIM(RIGHT(SUBSTITUTE(TRIM(F196&amp;"")," ",REPT(" ",60)),60)),코드표!$F$2:$F$101,0))),INDEX(코드표!$K$2:$K$101,MATCH(LEFT(TRIM(F196&amp;""),FIND(" ",TRIM(F196&amp;""))-1),코드표!$J$2:$J$101,0))&amp;" "&amp;INDEX(코드표!$G$2:$G$101,MATCH(TRIM(RIGHT(SUBSTITUTE(TRIM(F196&amp;"")," ",REPT(" ",60)),60)),코드표!$F$2:$F$101,0)),"⚠"&amp;TRIM(F196&amp;""))),"⚠"&amp;TRIM(F196&amp;""))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",TRIM(G196&amp;""))-1),코드표!$J$2:$J$101,0)),ISNUMBER(MATCH(TRIM(RIGHT(SUBSTITUTE(TRIM(G196&amp;"")," ",REPT(" ",60)),60)),코드표!$F$2:$F$101,0))),INDEX(코드표!$K$2:$K$101,MATCH(LEFT(TRIM(G196&amp;""),FIND(" ",TRIM(G196&amp;""))-1),코드표!$J$2:$J$101,0))&amp;" "&amp;INDEX(코드표!$G$2:$G$101,MATCH(TRIM(RIGHT(SUBSTITUTE(TRIM(G196&amp;"")," ",REPT(" ",60)),60)),코드표!$F$2:$F$101,0)),"⚠"&amp;TRIM(G196&amp;""))),"⚠"&amp;TRIM(G196&amp;""))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",TRIM(H196&amp;""))-1),코드표!$J$2:$J$101,0)),ISNUMBER(MATCH(TRIM(RIGHT(SUBSTITUTE(TRIM(H196&amp;"")," ",REPT(" ",60)),60)),코드표!$F$2:$F$101,0))),INDEX(코드표!$K$2:$K$101,MATCH(LEFT(TRIM(H196&amp;""),FIND(" ",TRIM(H196&amp;""))-1),코드표!$J$2:$J$101,0))&amp;" "&amp;INDEX(코드표!$G$2:$G$101,MATCH(TRIM(RIGHT(SUBSTITUTE(TRIM(H196&amp;"")," ",REPT(" ",60)),60)),코드표!$F$2:$F$101,0)),"⚠"&amp;TRIM(H196&amp;""))),"⚠"&amp;TRIM(H196&amp;""))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",TRIM(I196&amp;""))-1),코드표!$J$2:$J$101,0)),ISNUMBER(MATCH(TRIM(RIGHT(SUBSTITUTE(TRIM(I196&amp;"")," ",REPT(" ",60)),60)),코드표!$F$2:$F$101,0))),INDEX(코드표!$K$2:$K$101,MATCH(LEFT(TRIM(I196&amp;""),FIND(" ",TRIM(I196&amp;""))-1),코드표!$J$2:$J$101,0))&amp;" "&amp;INDEX(코드표!$G$2:$G$101,MATCH(TRIM(RIGHT(SUBSTITUTE(TRIM(I196&amp;"")," ",REPT(" ",60)),60)),코드표!$F$2:$F$101,0)),"⚠"&amp;TRIM(I196&amp;""))),"⚠"&amp;TRIM(I196&amp;""))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",TRIM(J196&amp;""))-1),코드표!$J$2:$J$101,0)),ISNUMBER(MATCH(TRIM(RIGHT(SUBSTITUTE(TRIM(J196&amp;"")," ",REPT(" ",60)),60)),코드표!$F$2:$F$101,0))),INDEX(코드표!$K$2:$K$101,MATCH(LEFT(TRIM(J196&amp;""),FIND(" ",TRIM(J196&amp;""))-1),코드표!$J$2:$J$101,0))&amp;" "&amp;INDEX(코드표!$G$2:$G$101,MATCH(TRIM(RIGHT(SUBSTITUTE(TRIM(J196&amp;"")," ",REPT(" ",60)),60)),코드표!$F$2:$F$101,0)),"⚠"&amp;TRIM(J196&amp;""))),"⚠"&amp;TRIM(J196&amp;""))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",TRIM(E197&amp;""))-1),코드표!$J$2:$J$101,0)),ISNUMBER(MATCH(TRIM(RIGHT(SUBSTITUTE(TRIM(E197&amp;"")," ",REPT(" ",60)),60)),코드표!$F$2:$F$101,0))),INDEX(코드표!$K$2:$K$101,MATCH(LEFT(TRIM(E197&amp;""),FIND(" ",TRIM(E197&amp;""))-1),코드표!$J$2:$J$101,0))&amp;" "&amp;INDEX(코드표!$G$2:$G$101,MATCH(TRIM(RIGHT(SUBSTITUTE(TRIM(E197&amp;"")," ",REPT(" ",60)),60)),코드표!$F$2:$F$101,0)),"⚠"&amp;TRIM(E197&amp;""))),"⚠"&amp;TRIM(E197&amp;""))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",TRIM(F197&amp;""))-1),코드표!$J$2:$J$101,0)),ISNUMBER(MATCH(TRIM(RIGHT(SUBSTITUTE(TRIM(F197&amp;"")," ",REPT(" ",60)),60)),코드표!$F$2:$F$101,0))),INDEX(코드표!$K$2:$K$101,MATCH(LEFT(TRIM(F197&amp;""),FIND(" ",TRIM(F197&amp;""))-1),코드표!$J$2:$J$101,0))&amp;" "&amp;INDEX(코드표!$G$2:$G$101,MATCH(TRIM(RIGHT(SUBSTITUTE(TRIM(F197&amp;"")," ",REPT(" ",60)),60)),코드표!$F$2:$F$101,0)),"⚠"&amp;TRIM(F197&amp;""))),"⚠"&amp;TRIM(F197&amp;""))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",TRIM(G197&amp;""))-1),코드표!$J$2:$J$101,0)),ISNUMBER(MATCH(TRIM(RIGHT(SUBSTITUTE(TRIM(G197&amp;"")," ",REPT(" ",60)),60)),코드표!$F$2:$F$101,0))),INDEX(코드표!$K$2:$K$101,MATCH(LEFT(TRIM(G197&amp;""),FIND(" ",TRIM(G197&amp;""))-1),코드표!$J$2:$J$101,0))&amp;" "&amp;INDEX(코드표!$G$2:$G$101,MATCH(TRIM(RIGHT(SUBSTITUTE(TRIM(G197&amp;"")," ",REPT(" ",60)),60)),코드표!$F$2:$F$101,0)),"⚠"&amp;TRIM(G197&amp;""))),"⚠"&amp;TRIM(G197&amp;""))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",TRIM(H197&amp;""))-1),코드표!$J$2:$J$101,0)),ISNUMBER(MATCH(TRIM(RIGHT(SUBSTITUTE(TRIM(H197&amp;"")," ",REPT(" ",60)),60)),코드표!$F$2:$F$101,0))),INDEX(코드표!$K$2:$K$101,MATCH(LEFT(TRIM(H197&amp;""),FIND(" ",TRIM(H197&amp;""))-1),코드표!$J$2:$J$101,0))&amp;" "&amp;INDEX(코드표!$G$2:$G$101,MATCH(TRIM(RIGHT(SUBSTITUTE(TRIM(H197&amp;"")," ",REPT(" ",60)),60)),코드표!$F$2:$F$101,0)),"⚠"&amp;TRIM(H197&amp;""))),"⚠"&amp;TRIM(H197&amp;""))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",TRIM(I197&amp;""))-1),코드표!$J$2:$J$101,0)),ISNUMBER(MATCH(TRIM(RIGHT(SUBSTITUTE(TRIM(I197&amp;"")," ",REPT(" ",60)),60)),코드표!$F$2:$F$101,0))),INDEX(코드표!$K$2:$K$101,MATCH(LEFT(TRIM(I197&amp;""),FIND(" ",TRIM(I197&amp;""))-1),코드표!$J$2:$J$101,0))&amp;" "&amp;INDEX(코드표!$G$2:$G$101,MATCH(TRIM(RIGHT(SUBSTITUTE(TRIM(I197&amp;"")," ",REPT(" ",60)),60)),코드표!$F$2:$F$101,0)),"⚠"&amp;TRIM(I197&amp;""))),"⚠"&amp;TRIM(I197&amp;""))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",TRIM(J197&amp;""))-1),코드표!$J$2:$J$101,0)),ISNUMBER(MATCH(TRIM(RIGHT(SUBSTITUTE(TRIM(J197&amp;"")," ",REPT(" ",60)),60)),코드표!$F$2:$F$101,0))),INDEX(코드표!$K$2:$K$101,MATCH(LEFT(TRIM(J197&amp;""),FIND(" ",TRIM(J197&amp;""))-1),코드표!$J$2:$J$101,0))&amp;" "&amp;INDEX(코드표!$G$2:$G$101,MATCH(TRIM(RIGHT(SUBSTITUTE(TRIM(J197&amp;"")," ",REPT(" ",60)),60)),코드표!$F$2:$F$101,0)),"⚠"&amp;TRIM(J197&amp;""))),"⚠"&amp;TRIM(J197&amp;""))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",TRIM(E198&amp;""))-1),코드표!$J$2:$J$101,0)),ISNUMBER(MATCH(TRIM(RIGHT(SUBSTITUTE(TRIM(E198&amp;"")," ",REPT(" ",60)),60)),코드표!$F$2:$F$101,0))),INDEX(코드표!$K$2:$K$101,MATCH(LEFT(TRIM(E198&amp;""),FIND(" ",TRIM(E198&amp;""))-1),코드표!$J$2:$J$101,0))&amp;" "&amp;INDEX(코드표!$G$2:$G$101,MATCH(TRIM(RIGHT(SUBSTITUTE(TRIM(E198&amp;"")," ",REPT(" ",60)),60)),코드표!$F$2:$F$101,0)),"⚠"&amp;TRIM(E198&amp;""))),"⚠"&amp;TRIM(E198&amp;""))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",TRIM(F198&amp;""))-1),코드표!$J$2:$J$101,0)),ISNUMBER(MATCH(TRIM(RIGHT(SUBSTITUTE(TRIM(F198&amp;"")," ",REPT(" ",60)),60)),코드표!$F$2:$F$101,0))),INDEX(코드표!$K$2:$K$101,MATCH(LEFT(TRIM(F198&amp;""),FIND(" ",TRIM(F198&amp;""))-1),코드표!$J$2:$J$101,0))&amp;" "&amp;INDEX(코드표!$G$2:$G$101,MATCH(TRIM(RIGHT(SUBSTITUTE(TRIM(F198&amp;"")," ",REPT(" ",60)),60)),코드표!$F$2:$F$101,0)),"⚠"&amp;TRIM(F198&amp;""))),"⚠"&amp;TRIM(F198&amp;""))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",TRIM(G198&amp;""))-1),코드표!$J$2:$J$101,0)),ISNUMBER(MATCH(TRIM(RIGHT(SUBSTITUTE(TRIM(G198&amp;"")," ",REPT(" ",60)),60)),코드표!$F$2:$F$101,0))),INDEX(코드표!$K$2:$K$101,MATCH(LEFT(TRIM(G198&amp;""),FIND(" ",TRIM(G198&amp;""))-1),코드표!$J$2:$J$101,0))&amp;" "&amp;INDEX(코드표!$G$2:$G$101,MATCH(TRIM(RIGHT(SUBSTITUTE(TRIM(G198&amp;"")," ",REPT(" ",60)),60)),코드표!$F$2:$F$101,0)),"⚠"&amp;TRIM(G198&amp;""))),"⚠"&amp;TRIM(G198&amp;""))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",TRIM(H198&amp;""))-1),코드표!$J$2:$J$101,0)),ISNUMBER(MATCH(TRIM(RIGHT(SUBSTITUTE(TRIM(H198&amp;"")," ",REPT(" ",60)),60)),코드표!$F$2:$F$101,0))),INDEX(코드표!$K$2:$K$101,MATCH(LEFT(TRIM(H198&amp;""),FIND(" ",TRIM(H198&amp;""))-1),코드표!$J$2:$J$101,0))&amp;" "&amp;INDEX(코드표!$G$2:$G$101,MATCH(TRIM(RIGHT(SUBSTITUTE(TRIM(H198&amp;"")," ",REPT(" ",60)),60)),코드표!$F$2:$F$101,0)),"⚠"&amp;TRIM(H198&amp;""))),"⚠"&amp;TRIM(H198&amp;""))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",TRIM(I198&amp;""))-1),코드표!$J$2:$J$101,0)),ISNUMBER(MATCH(TRIM(RIGHT(SUBSTITUTE(TRIM(I198&amp;"")," ",REPT(" ",60)),60)),코드표!$F$2:$F$101,0))),INDEX(코드표!$K$2:$K$101,MATCH(LEFT(TRIM(I198&amp;""),FIND(" ",TRIM(I198&amp;""))-1),코드표!$J$2:$J$101,0))&amp;" "&amp;INDEX(코드표!$G$2:$G$101,MATCH(TRIM(RIGHT(SUBSTITUTE(TRIM(I198&amp;"")," ",REPT(" ",60)),60)),코드표!$F$2:$F$101,0)),"⚠"&amp;TRIM(I198&amp;""))),"⚠"&amp;TRIM(I198&amp;""))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",TRIM(J198&amp;""))-1),코드표!$J$2:$J$101,0)),ISNUMBER(MATCH(TRIM(RIGHT(SUBSTITUTE(TRIM(J198&amp;"")," ",REPT(" ",60)),60)),코드표!$F$2:$F$101,0))),INDEX(코드표!$K$2:$K$101,MATCH(LEFT(TRIM(J198&amp;""),FIND(" ",TRIM(J198&amp;""))-1),코드표!$J$2:$J$101,0))&amp;" "&amp;INDEX(코드표!$G$2:$G$101,MATCH(TRIM(RIGHT(SUBSTITUTE(TRIM(J198&amp;"")," ",REPT(" ",60)),60)),코드표!$F$2:$F$101,0)),"⚠"&amp;TRIM(J198&amp;""))),"⚠"&amp;TRIM(J198&amp;""))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",TRIM(E199&amp;""))-1),코드표!$J$2:$J$101,0)),ISNUMBER(MATCH(TRIM(RIGHT(SUBSTITUTE(TRIM(E199&amp;"")," ",REPT(" ",60)),60)),코드표!$F$2:$F$101,0))),INDEX(코드표!$K$2:$K$101,MATCH(LEFT(TRIM(E199&amp;""),FIND(" ",TRIM(E199&amp;""))-1),코드표!$J$2:$J$101,0))&amp;" "&amp;INDEX(코드표!$G$2:$G$101,MATCH(TRIM(RIGHT(SUBSTITUTE(TRIM(E199&amp;"")," ",REPT(" ",60)),60)),코드표!$F$2:$F$101,0)),"⚠"&amp;TRIM(E199&amp;""))),"⚠"&amp;TRIM(E199&amp;""))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",TRIM(F199&amp;""))-1),코드표!$J$2:$J$101,0)),ISNUMBER(MATCH(TRIM(RIGHT(SUBSTITUTE(TRIM(F199&amp;"")," ",REPT(" ",60)),60)),코드표!$F$2:$F$101,0))),INDEX(코드표!$K$2:$K$101,MATCH(LEFT(TRIM(F199&amp;""),FIND(" ",TRIM(F199&amp;""))-1),코드표!$J$2:$J$101,0))&amp;" "&amp;INDEX(코드표!$G$2:$G$101,MATCH(TRIM(RIGHT(SUBSTITUTE(TRIM(F199&amp;"")," ",REPT(" ",60)),60)),코드표!$F$2:$F$101,0)),"⚠"&amp;TRIM(F199&amp;""))),"⚠"&amp;TRIM(F199&amp;""))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",TRIM(G199&amp;""))-1),코드표!$J$2:$J$101,0)),ISNUMBER(MATCH(TRIM(RIGHT(SUBSTITUTE(TRIM(G199&amp;"")," ",REPT(" ",60)),60)),코드표!$F$2:$F$101,0))),INDEX(코드표!$K$2:$K$101,MATCH(LEFT(TRIM(G199&amp;""),FIND(" ",TRIM(G199&amp;""))-1),코드표!$J$2:$J$101,0))&amp;" "&amp;INDEX(코드표!$G$2:$G$101,MATCH(TRIM(RIGHT(SUBSTITUTE(TRIM(G199&amp;"")," ",REPT(" ",60)),60)),코드표!$F$2:$F$101,0)),"⚠"&amp;TRIM(G199&amp;""))),"⚠"&amp;TRIM(G199&amp;""))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",TRIM(H199&amp;""))-1),코드표!$J$2:$J$101,0)),ISNUMBER(MATCH(TRIM(RIGHT(SUBSTITUTE(TRIM(H199&amp;"")," ",REPT(" ",60)),60)),코드표!$F$2:$F$101,0))),INDEX(코드표!$K$2:$K$101,MATCH(LEFT(TRIM(H199&amp;""),FIND(" ",TRIM(H199&amp;""))-1),코드표!$J$2:$J$101,0))&amp;" "&amp;INDEX(코드표!$G$2:$G$101,MATCH(TRIM(RIGHT(SUBSTITUTE(TRIM(H199&amp;"")," ",REPT(" ",60)),60)),코드표!$F$2:$F$101,0)),"⚠"&amp;TRIM(H199&amp;""))),"⚠"&amp;TRIM(H199&amp;""))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",TRIM(I199&amp;""))-1),코드표!$J$2:$J$101,0)),ISNUMBER(MATCH(TRIM(RIGHT(SUBSTITUTE(TRIM(I199&amp;"")," ",REPT(" ",60)),60)),코드표!$F$2:$F$101,0))),INDEX(코드표!$K$2:$K$101,MATCH(LEFT(TRIM(I199&amp;""),FIND(" ",TRIM(I199&amp;""))-1),코드표!$J$2:$J$101,0))&amp;" "&amp;INDEX(코드표!$G$2:$G$101,MATCH(TRIM(RIGHT(SUBSTITUTE(TRIM(I199&amp;"")," ",REPT(" ",60)),60)),코드표!$F$2:$F$101,0)),"⚠"&amp;TRIM(I199&amp;""))),"⚠"&amp;TRIM(I199&amp;""))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",TRIM(J199&amp;""))-1),코드표!$J$2:$J$101,0)),ISNUMBER(MATCH(TRIM(RIGHT(SUBSTITUTE(TRIM(J199&amp;"")," ",REPT(" ",60)),60)),코드표!$F$2:$F$101,0))),INDEX(코드표!$K$2:$K$101,MATCH(LEFT(TRIM(J199&amp;""),FIND(" ",TRIM(J199&amp;""))-1),코드표!$J$2:$J$101,0))&amp;" "&amp;INDEX(코드표!$G$2:$G$101,MATCH(TRIM(RIGHT(SUBSTITUTE(TRIM(J199&amp;"")," ",REPT(" ",60)),60)),코드표!$F$2:$F$101,0)),"⚠"&amp;TRIM(J199&amp;""))),"⚠"&amp;TRIM(J199&amp;""))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",TRIM(E200&amp;""))-1),코드표!$J$2:$J$101,0)),ISNUMBER(MATCH(TRIM(RIGHT(SUBSTITUTE(TRIM(E200&amp;"")," ",REPT(" ",60)),60)),코드표!$F$2:$F$101,0))),INDEX(코드표!$K$2:$K$101,MATCH(LEFT(TRIM(E200&amp;""),FIND(" ",TRIM(E200&amp;""))-1),코드표!$J$2:$J$101,0))&amp;" "&amp;INDEX(코드표!$G$2:$G$101,MATCH(TRIM(RIGHT(SUBSTITUTE(TRIM(E200&amp;"")," ",REPT(" ",60)),60)),코드표!$F$2:$F$101,0)),"⚠"&amp;TRIM(E200&amp;""))),"⚠"&amp;TRIM(E200&amp;""))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",TRIM(F200&amp;""))-1),코드표!$J$2:$J$101,0)),ISNUMBER(MATCH(TRIM(RIGHT(SUBSTITUTE(TRIM(F200&amp;"")," ",REPT(" ",60)),60)),코드표!$F$2:$F$101,0))),INDEX(코드표!$K$2:$K$101,MATCH(LEFT(TRIM(F200&amp;""),FIND(" ",TRIM(F200&amp;""))-1),코드표!$J$2:$J$101,0))&amp;" "&amp;INDEX(코드표!$G$2:$G$101,MATCH(TRIM(RIGHT(SUBSTITUTE(TRIM(F200&amp;"")," ",REPT(" ",60)),60)),코드표!$F$2:$F$101,0)),"⚠"&amp;TRIM(F200&amp;""))),"⚠"&amp;TRIM(F200&amp;""))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",TRIM(G200&amp;""))-1),코드표!$J$2:$J$101,0)),ISNUMBER(MATCH(TRIM(RIGHT(SUBSTITUTE(TRIM(G200&amp;"")," ",REPT(" ",60)),60)),코드표!$F$2:$F$101,0))),INDEX(코드표!$K$2:$K$101,MATCH(LEFT(TRIM(G200&amp;""),FIND(" ",TRIM(G200&amp;""))-1),코드표!$J$2:$J$101,0))&amp;" "&amp;INDEX(코드표!$G$2:$G$101,MATCH(TRIM(RIGHT(SUBSTITUTE(TRIM(G200&amp;"")," ",REPT(" ",60)),60)),코드표!$F$2:$F$101,0)),"⚠"&amp;TRIM(G200&amp;""))),"⚠"&amp;TRIM(G200&amp;""))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",TRIM(H200&amp;""))-1),코드표!$J$2:$J$101,0)),ISNUMBER(MATCH(TRIM(RIGHT(SUBSTITUTE(TRIM(H200&amp;"")," ",REPT(" ",60)),60)),코드표!$F$2:$F$101,0))),INDEX(코드표!$K$2:$K$101,MATCH(LEFT(TRIM(H200&amp;""),FIND(" ",TRIM(H200&amp;""))-1),코드표!$J$2:$J$101,0))&amp;" "&amp;INDEX(코드표!$G$2:$G$101,MATCH(TRIM(RIGHT(SUBSTITUTE(TRIM(H200&amp;"")," ",REPT(" ",60)),60)),코드표!$F$2:$F$101,0)),"⚠"&amp;TRIM(H200&amp;""))),"⚠"&amp;TRIM(H200&amp;""))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",TRIM(I200&amp;""))-1),코드표!$J$2:$J$101,0)),ISNUMBER(MATCH(TRIM(RIGHT(SUBSTITUTE(TRIM(I200&amp;"")," ",REPT(" ",60)),60)),코드표!$F$2:$F$101,0))),INDEX(코드표!$K$2:$K$101,MATCH(LEFT(TRIM(I200&amp;""),FIND(" ",TRIM(I200&amp;""))-1),코드표!$J$2:$J$101,0))&amp;" "&amp;INDEX(코드표!$G$2:$G$101,MATCH(TRIM(RIGHT(SUBSTITUTE(TRIM(I200&amp;"")," ",REPT(" ",60)),60)),코드표!$F$2:$F$101,0)),"⚠"&amp;TRIM(I200&amp;""))),"⚠"&amp;TRIM(I200&amp;""))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",TRIM(J200&amp;""))-1),코드표!$J$2:$J$101,0)),ISNUMBER(MATCH(TRIM(RIGHT(SUBSTITUTE(TRIM(J200&amp;"")," ",REPT(" ",60)),60)),코드표!$F$2:$F$101,0))),INDEX(코드표!$K$2:$K$101,MATCH(LEFT(TRIM(J200&amp;""),FIND(" ",TRIM(J200&amp;""))-1),코드표!$J$2:$J$101,0))&amp;" "&amp;INDEX(코드표!$G$2:$G$101,MATCH(TRIM(RIGHT(SUBSTITUTE(TRIM(J200&amp;"")," ",REPT(" ",60)),60)),코드표!$F$2:$F$101,0)),"⚠"&amp;TRIM(J200&amp;""))),"⚠"&amp;TRIM(J200&amp;""))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",TRIM(E201&amp;""))-1),코드표!$J$2:$J$101,0)),ISNUMBER(MATCH(TRIM(RIGHT(SUBSTITUTE(TRIM(E201&amp;"")," ",REPT(" ",60)),60)),코드표!$F$2:$F$101,0))),INDEX(코드표!$K$2:$K$101,MATCH(LEFT(TRIM(E201&amp;""),FIND(" ",TRIM(E201&amp;""))-1),코드표!$J$2:$J$101,0))&amp;" "&amp;INDEX(코드표!$G$2:$G$101,MATCH(TRIM(RIGHT(SUBSTITUTE(TRIM(E201&amp;"")," ",REPT(" ",60)),60)),코드표!$F$2:$F$101,0)),"⚠"&amp;TRIM(E201&amp;""))),"⚠"&amp;TRIM(E201&amp;""))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",TRIM(F201&amp;""))-1),코드표!$J$2:$J$101,0)),ISNUMBER(MATCH(TRIM(RIGHT(SUBSTITUTE(TRIM(F201&amp;"")," ",REPT(" ",60)),60)),코드표!$F$2:$F$101,0))),INDEX(코드표!$K$2:$K$101,MATCH(LEFT(TRIM(F201&amp;""),FIND(" ",TRIM(F201&amp;""))-1),코드표!$J$2:$J$101,0))&amp;" "&amp;INDEX(코드표!$G$2:$G$101,MATCH(TRIM(RIGHT(SUBSTITUTE(TRIM(F201&amp;"")," ",REPT(" ",60)),60)),코드표!$F$2:$F$101,0)),"⚠"&amp;TRIM(F201&amp;""))),"⚠"&amp;TRIM(F201&amp;""))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",TRIM(G201&amp;""))-1),코드표!$J$2:$J$101,0)),ISNUMBER(MATCH(TRIM(RIGHT(SUBSTITUTE(TRIM(G201&amp;"")," ",REPT(" ",60)),60)),코드표!$F$2:$F$101,0))),INDEX(코드표!$K$2:$K$101,MATCH(LEFT(TRIM(G201&amp;""),FIND(" ",TRIM(G201&amp;""))-1),코드표!$J$2:$J$101,0))&amp;" "&amp;INDEX(코드표!$G$2:$G$101,MATCH(TRIM(RIGHT(SUBSTITUTE(TRIM(G201&amp;"")," ",REPT(" ",60)),60)),코드표!$F$2:$F$101,0)),"⚠"&amp;TRIM(G201&amp;""))),"⚠"&amp;TRIM(G201&amp;""))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",TRIM(H201&amp;""))-1),코드표!$J$2:$J$101,0)),ISNUMBER(MATCH(TRIM(RIGHT(SUBSTITUTE(TRIM(H201&amp;"")," ",REPT(" ",60)),60)),코드표!$F$2:$F$101,0))),INDEX(코드표!$K$2:$K$101,MATCH(LEFT(TRIM(H201&amp;""),FIND(" ",TRIM(H201&amp;""))-1),코드표!$J$2:$J$101,0))&amp;" "&amp;INDEX(코드표!$G$2:$G$101,MATCH(TRIM(RIGHT(SUBSTITUTE(TRIM(H201&amp;"")," ",REPT(" ",60)),60)),코드표!$F$2:$F$101,0)),"⚠"&amp;TRIM(H201&amp;""))),"⚠"&amp;TRIM(H201&amp;""))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",TRIM(I201&amp;""))-1),코드표!$J$2:$J$101,0)),ISNUMBER(MATCH(TRIM(RIGHT(SUBSTITUTE(TRIM(I201&amp;"")," ",REPT(" ",60)),60)),코드표!$F$2:$F$101,0))),INDEX(코드표!$K$2:$K$101,MATCH(LEFT(TRIM(I201&amp;""),FIND(" ",TRIM(I201&amp;""))-1),코드표!$J$2:$J$101,0))&amp;" "&amp;INDEX(코드표!$G$2:$G$101,MATCH(TRIM(RIGHT(SUBSTITUTE(TRIM(I201&amp;"")," ",REPT(" ",60)),60)),코드표!$F$2:$F$101,0)),"⚠"&amp;TRIM(I201&amp;""))),"⚠"&amp;TRIM(I201&amp;""))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",TRIM(J201&amp;""))-1),코드표!$J$2:$J$101,0)),ISNUMBER(MATCH(TRIM(RIGHT(SUBSTITUTE(TRIM(J201&amp;"")," ",REPT(" ",60)),60)),코드표!$F$2:$F$101,0))),INDEX(코드표!$K$2:$K$101,MATCH(LEFT(TRIM(J201&amp;""),FIND(" ",TRIM(J201&amp;""))-1),코드표!$J$2:$J$101,0))&amp;" "&amp;INDEX(코드표!$G$2:$G$101,MATCH(TRIM(RIGHT(SUBSTITUTE(TRIM(J201&amp;"")," ",REPT(" ",60)),60)),코드표!$F$2:$F$101,0)),"⚠"&amp;TRIM(J201&amp;""))),"⚠"&amp;TRIM(J201&amp;""))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",TRIM(E202&amp;""))-1),코드표!$J$2:$J$101,0)),ISNUMBER(MATCH(TRIM(RIGHT(SUBSTITUTE(TRIM(E202&amp;"")," ",REPT(" ",60)),60)),코드표!$F$2:$F$101,0))),INDEX(코드표!$K$2:$K$101,MATCH(LEFT(TRIM(E202&amp;""),FIND(" ",TRIM(E202&amp;""))-1),코드표!$J$2:$J$101,0))&amp;" "&amp;INDEX(코드표!$G$2:$G$101,MATCH(TRIM(RIGHT(SUBSTITUTE(TRIM(E202&amp;"")," ",REPT(" ",60)),60)),코드표!$F$2:$F$101,0)),"⚠"&amp;TRIM(E202&amp;""))),"⚠"&amp;TRIM(E202&amp;""))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",TRIM(F202&amp;""))-1),코드표!$J$2:$J$101,0)),ISNUMBER(MATCH(TRIM(RIGHT(SUBSTITUTE(TRIM(F202&amp;"")," ",REPT(" ",60)),60)),코드표!$F$2:$F$101,0))),INDEX(코드표!$K$2:$K$101,MATCH(LEFT(TRIM(F202&amp;""),FIND(" ",TRIM(F202&amp;""))-1),코드표!$J$2:$J$101,0))&amp;" "&amp;INDEX(코드표!$G$2:$G$101,MATCH(TRIM(RIGHT(SUBSTITUTE(TRIM(F202&amp;"")," ",REPT(" ",60)),60)),코드표!$F$2:$F$101,0)),"⚠"&amp;TRIM(F202&amp;""))),"⚠"&amp;TRIM(F202&amp;""))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",TRIM(G202&amp;""))-1),코드표!$J$2:$J$101,0)),ISNUMBER(MATCH(TRIM(RIGHT(SUBSTITUTE(TRIM(G202&amp;"")," ",REPT(" ",60)),60)),코드표!$F$2:$F$101,0))),INDEX(코드표!$K$2:$K$101,MATCH(LEFT(TRIM(G202&amp;""),FIND(" ",TRIM(G202&amp;""))-1),코드표!$J$2:$J$101,0))&amp;" "&amp;INDEX(코드표!$G$2:$G$101,MATCH(TRIM(RIGHT(SUBSTITUTE(TRIM(G202&amp;"")," ",REPT(" ",60)),60)),코드표!$F$2:$F$101,0)),"⚠"&amp;TRIM(G202&amp;""))),"⚠"&amp;TRIM(G202&amp;""))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",TRIM(H202&amp;""))-1),코드표!$J$2:$J$101,0)),ISNUMBER(MATCH(TRIM(RIGHT(SUBSTITUTE(TRIM(H202&amp;"")," ",REPT(" ",60)),60)),코드표!$F$2:$F$101,0))),INDEX(코드표!$K$2:$K$101,MATCH(LEFT(TRIM(H202&amp;""),FIND(" ",TRIM(H202&amp;""))-1),코드표!$J$2:$J$101,0))&amp;" "&amp;INDEX(코드표!$G$2:$G$101,MATCH(TRIM(RIGHT(SUBSTITUTE(TRIM(H202&amp;"")," ",REPT(" ",60)),60)),코드표!$F$2:$F$101,0)),"⚠"&amp;TRIM(H202&amp;""))),"⚠"&amp;TRIM(H202&amp;""))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",TRIM(I202&amp;""))-1),코드표!$J$2:$J$101,0)),ISNUMBER(MATCH(TRIM(RIGHT(SUBSTITUTE(TRIM(I202&amp;"")," ",REPT(" ",60)),60)),코드표!$F$2:$F$101,0))),INDEX(코드표!$K$2:$K$101,MATCH(LEFT(TRIM(I202&amp;""),FIND(" ",TRIM(I202&amp;""))-1),코드표!$J$2:$J$101,0))&amp;" "&amp;INDEX(코드표!$G$2:$G$101,MATCH(TRIM(RIGHT(SUBSTITUTE(TRIM(I202&amp;"")," ",REPT(" ",60)),60)),코드표!$F$2:$F$101,0)),"⚠"&amp;TRIM(I202&amp;""))),"⚠"&amp;TRIM(I202&amp;""))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",TRIM(J202&amp;""))-1),코드표!$J$2:$J$101,0)),ISNUMBER(MATCH(TRIM(RIGHT(SUBSTITUTE(TRIM(J202&amp;"")," ",REPT(" ",60)),60)),코드표!$F$2:$F$101,0))),INDEX(코드표!$K$2:$K$101,MATCH(LEFT(TRIM(J202&amp;""),FIND(" ",TRIM(J202&amp;""))-1),코드표!$J$2:$J$101,0))&amp;" "&amp;INDEX(코드표!$G$2:$G$101,MATCH(TRIM(RIGHT(SUBSTITUTE(TRIM(J202&amp;"")," ",REPT(" ",60)),60)),코드표!$F$2:$F$101,0)),"⚠"&amp;TRIM(J202&amp;""))),"⚠"&amp;TRIM(J202&amp;""))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</sheetData>
  <mergeCells count="1">
    <mergeCell ref="B1:K1"/>
  </mergeCells>
  <conditionalFormatting sqref="E3:J202">
    <cfRule type="expression" priority="1" dxfId="0">
      <formula>LEFT(M3,1)="⚠"</formula>
    </cfRule>
  </conditionalFormatting>
  <conditionalFormatting sqref="M3:R202">
    <cfRule type="expression" priority="2" dxfId="1">
      <formula>LEFT(M3,1)="⚠"</formula>
    </cfRule>
  </conditionalFormatting>
  <dataValidations count="1">
    <dataValidation sqref="E3:J2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",TRIM(E3))-1),코드표!$J$2:$J$101,0)),ISNUMBER(MATCH(TRIM(RIGHT(SUBSTITUTE(TRIM(E3)," ",REPT(" ",60)),60)),코드표!$F$2:$F$101,0)))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IF(AND(ISNUMBER(AB4),ISNUMBER(AC4)),MAX(0,MIN(AC4,EOMONTH(요약!$B$3,0))-MAX(AB4,요약!$B$3)+1),0)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IF(AND(ISNUMBER(AB5),ISNUMBER(AC5)),MAX(0,MIN(AC5,EOMONTH(요약!$B$3,0))-MAX(AB5,요약!$B$3)+1),0)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IF(AND(ISNUMBER(AB6),ISNUMBER(AC6)),MAX(0,MIN(AC6,EOMONTH(요약!$B$3,0))-MAX(AB6,요약!$B$3)+1),0)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IF(AND(ISNUMBER(AB7),ISNUMBER(AC7)),MAX(0,MIN(AC7,EOMONTH(요약!$B$3,0))-MAX(AB7,요약!$B$3)+1),0)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IF(AND(ISNUMBER(AB8),ISNUMBER(AC8)),MAX(0,MIN(AC8,EOMONTH(요약!$B$3,0))-MAX(AB8,요약!$B$3)+1),0)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IF(AND(ISNUMBER(AB9),ISNUMBER(AC9)),MAX(0,MIN(AC9,EOMONTH(요약!$B$3,0))-MAX(AB9,요약!$B$3)+1),0)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IF(AND(ISNUMBER(AB10),ISNUMBER(AC10)),MAX(0,MIN(AC10,EOMONTH(요약!$B$3,0))-MAX(AB10,요약!$B$3)+1),0)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IF(AND(ISNUMBER(AB11),ISNUMBER(AC11)),MAX(0,MIN(AC11,EOMONTH(요약!$B$3,0))-MAX(AB11,요약!$B$3)+1),0)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IF(AND(ISNUMBER(AB12),ISNUMBER(AC12)),MAX(0,MIN(AC12,EOMONTH(요약!$B$3,0))-MAX(AB12,요약!$B$3)+1),0)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IF(AND(ISNUMBER(AB13),ISNUMBER(AC13)),MAX(0,MIN(AC13,EOMONTH(요약!$B$3,0))-MAX(AB13,요약!$B$3)+1),0)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IF(AND(ISNUMBER(AB14),ISNUMBER(AC14)),MAX(0,MIN(AC14,EOMONTH(요약!$B$3,0))-MAX(AB14,요약!$B$3)+1),0)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IF(AND(ISNUMBER(AB15),ISNUMBER(AC15)),MAX(0,MIN(AC15,EOMONTH(요약!$B$3,0))-MAX(AB15,요약!$B$3)+1),0)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IF(AND(ISNUMBER(AB16),ISNUMBER(AC16)),MAX(0,MIN(AC16,EOMONTH(요약!$B$3,0))-MAX(AB16,요약!$B$3)+1),0)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IF(AND(ISNUMBER(AB17),ISNUMBER(AC17)),MAX(0,MIN(AC17,EOMONTH(요약!$B$3,0))-MAX(AB17,요약!$B$3)+1),0)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IF(AND(ISNUMBER(AB18),ISNUMBER(AC18)),MAX(0,MIN(AC18,EOMONTH(요약!$B$3,0))-MAX(AB18,요약!$B$3)+1),0)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IF(AND(ISNUMBER(AB19),ISNUMBER(AC19)),MAX(0,MIN(AC19,EOMONTH(요약!$B$3,0))-MAX(AB19,요약!$B$3)+1),0)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IF(AND(ISNUMBER(AB20),ISNUMBER(AC20)),MAX(0,MIN(AC20,EOMONTH(요약!$B$3,0))-MAX(AB20,요약!$B$3)+1),0)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IF(AND(ISNUMBER(AB21),ISNUMBER(AC21)),MAX(0,MIN(AC21,EOMONTH(요약!$B$3,0))-MAX(AB21,요약!$B$3)+1),0)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IF(AND(ISNUMBER(AB22),ISNUMBER(AC22)),MAX(0,MIN(AC22,EOMONTH(요약!$B$3,0))-MAX(AB22,요약!$B$3)+1),0)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IF(AND(ISNUMBER(AB23),ISNUMBER(AC23)),MAX(0,MIN(AC23,EOMONTH(요약!$B$3,0))-MAX(AB23,요약!$B$3)+1),0)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IF(AND(ISNUMBER(AB24),ISNUMBER(AC24)),MAX(0,MIN(AC24,EOMONTH(요약!$B$3,0))-MAX(AB24,요약!$B$3)+1),0)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IF(AND(ISNUMBER(AB25),ISNUMBER(AC25)),MAX(0,MIN(AC25,EOMONTH(요약!$B$3,0))-MAX(AB25,요약!$B$3)+1),0)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IF(AND(ISNUMBER(AB26),ISNUMBER(AC26)),MAX(0,MIN(AC26,EOMONTH(요약!$B$3,0))-MAX(AB26,요약!$B$3)+1),0)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IF(AND(ISNUMBER(AB27),ISNUMBER(AC27)),MAX(0,MIN(AC27,EOMONTH(요약!$B$3,0))-MAX(AB27,요약!$B$3)+1),0)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IF(AND(ISNUMBER(AB28),ISNUMBER(AC28)),MAX(0,MIN(AC28,EOMONTH(요약!$B$3,0))-MAX(AB28,요약!$B$3)+1),0)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IF(AND(ISNUMBER(AB29),ISNUMBER(AC29)),MAX(0,MIN(AC29,EOMONTH(요약!$B$3,0))-MAX(AB29,요약!$B$3)+1),0)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IF(AND(ISNUMBER(AB30),ISNUMBER(AC30)),MAX(0,MIN(AC30,EOMONTH(요약!$B$3,0))-MAX(AB30,요약!$B$3)+1),0)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IF(AND(ISNUMBER(AB31),ISNUMBER(AC31)),MAX(0,MIN(AC31,EOMONTH(요약!$B$3,0))-MAX(AB31,요약!$B$3)+1),0)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IF(AND(ISNUMBER(AB32),ISNUMBER(AC32)),MAX(0,MIN(AC32,EOMONTH(요약!$B$3,0))-MAX(AB32,요약!$B$3)+1),0)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IF(AND(ISNUMBER(AB33),ISNUMBER(AC33)),MAX(0,MIN(AC33,EOMONTH(요약!$B$3,0))-MAX(AB33,요약!$B$3)+1),0)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IF(AND(ISNUMBER(AB34),ISNUMBER(AC34)),MAX(0,MIN(AC34,EOMONTH(요약!$B$3,0))-MAX(AB34,요약!$B$3)+1),0)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IF(AND(ISNUMBER(AB35),ISNUMBER(AC35)),MAX(0,MIN(AC35,EOMONTH(요약!$B$3,0))-MAX(AB35,요약!$B$3)+1),0)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IF(AND(ISNUMBER(AB36),ISNUMBER(AC36)),MAX(0,MIN(AC36,EOMONTH(요약!$B$3,0))-MAX(AB36,요약!$B$3)+1),0)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IF(AND(ISNUMBER(AB37),ISNUMBER(AC37)),MAX(0,MIN(AC37,EOMONTH(요약!$B$3,0))-MAX(AB37,요약!$B$3)+1),0)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IF(AND(ISNUMBER(AB38),ISNUMBER(AC38)),MAX(0,MIN(AC38,EOMONTH(요약!$B$3,0))-MAX(AB38,요약!$B$3)+1),0)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IF(AND(ISNUMBER(AB39),ISNUMBER(AC39)),MAX(0,MIN(AC39,EOMONTH(요약!$B$3,0))-MAX(AB39,요약!$B$3)+1),0)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IF(AND(ISNUMBER(AB40),ISNUMBER(AC40)),MAX(0,MIN(AC40,EOMONTH(요약!$B$3,0))-MAX(AB40,요약!$B$3)+1),0)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IF(AND(ISNUMBER(AB41),ISNUMBER(AC41)),MAX(0,MIN(AC41,EOMONTH(요약!$B$3,0))-MAX(AB41,요약!$B$3)+1),0)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IF(AND(ISNUMBER(AB42),ISNUMBER(AC42)),MAX(0,MIN(AC42,EOMONTH(요약!$B$3,0))-MAX(AB42,요약!$B$3)+1),0)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IF(AND(ISNUMBER(AB43),ISNUMBER(AC43)),MAX(0,MIN(AC43,EOMONTH(요약!$B$3,0))-MAX(AB43,요약!$B$3)+1),0)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IF(AND(ISNUMBER(AB44),ISNUMBER(AC44)),MAX(0,MIN(AC44,EOMONTH(요약!$B$3,0))-MAX(AB44,요약!$B$3)+1),0)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IF(AND(ISNUMBER(AB45),ISNUMBER(AC45)),MAX(0,MIN(AC45,EOMONTH(요약!$B$3,0))-MAX(AB45,요약!$B$3)+1),0)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IF(AND(ISNUMBER(AB46),ISNUMBER(AC46)),MAX(0,MIN(AC46,EOMONTH(요약!$B$3,0))-MAX(AB46,요약!$B$3)+1),0)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IF(AND(ISNUMBER(AB47),ISNUMBER(AC47)),MAX(0,MIN(AC47,EOMONTH(요약!$B$3,0))-MAX(AB47,요약!$B$3)+1),0)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IF(AND(ISNUMBER(AB48),ISNUMBER(AC48)),MAX(0,MIN(AC48,EOMONTH(요약!$B$3,0))-MAX(AB48,요약!$B$3)+1),0)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IF(AND(ISNUMBER(AB49),ISNUMBER(AC49)),MAX(0,MIN(AC49,EOMONTH(요약!$B$3,0))-MAX(AB49,요약!$B$3)+1),0)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IF(AND(ISNUMBER(AB50),ISNUMBER(AC50)),MAX(0,MIN(AC50,EOMONTH(요약!$B$3,0))-MAX(AB50,요약!$B$3)+1),0)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IF(AND(ISNUMBER(AB51),ISNUMBER(AC51)),MAX(0,MIN(AC51,EOMONTH(요약!$B$3,0))-MAX(AB51,요약!$B$3)+1),0)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IF(AND(ISNUMBER(AB52),ISNUMBER(AC52)),MAX(0,MIN(AC52,EOMONTH(요약!$B$3,0))-MAX(AB52,요약!$B$3)+1),0)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IF(AND(ISNUMBER(AB53),ISNUMBER(AC53)),MAX(0,MIN(AC53,EOMONTH(요약!$B$3,0))-MAX(AB53,요약!$B$3)+1),0)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IF(AND(ISNUMBER(AB54),ISNUMBER(AC54)),MAX(0,MIN(AC54,EOMONTH(요약!$B$3,0))-MAX(AB54,요약!$B$3)+1),0)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IF(AND(ISNUMBER(AB55),ISNUMBER(AC55)),MAX(0,MIN(AC55,EOMONTH(요약!$B$3,0))-MAX(AB55,요약!$B$3)+1),0)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IF(AND(ISNUMBER(AB56),ISNUMBER(AC56)),MAX(0,MIN(AC56,EOMONTH(요약!$B$3,0))-MAX(AB56,요약!$B$3)+1),0)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IF(AND(ISNUMBER(AB57),ISNUMBER(AC57)),MAX(0,MIN(AC57,EOMONTH(요약!$B$3,0))-MAX(AB57,요약!$B$3)+1),0)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IF(AND(ISNUMBER(AB58),ISNUMBER(AC58)),MAX(0,MIN(AC58,EOMONTH(요약!$B$3,0))-MAX(AB58,요약!$B$3)+1),0)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IF(AND(ISNUMBER(AB59),ISNUMBER(AC59)),MAX(0,MIN(AC59,EOMONTH(요약!$B$3,0))-MAX(AB59,요약!$B$3)+1),0)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IF(AND(ISNUMBER(AB60),ISNUMBER(AC60)),MAX(0,MIN(AC60,EOMONTH(요약!$B$3,0))-MAX(AB60,요약!$B$3)+1),0)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IF(AND(ISNUMBER(AB61),ISNUMBER(AC61)),MAX(0,MIN(AC61,EOMONTH(요약!$B$3,0))-MAX(AB61,요약!$B$3)+1),0)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IF(AND(ISNUMBER(AB62),ISNUMBER(AC62)),MAX(0,MIN(AC62,EOMONTH(요약!$B$3,0))-MAX(AB62,요약!$B$3)+1),0)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IF(AND(ISNUMBER(AB63),ISNUMBER(AC63)),MAX(0,MIN(AC63,EOMONTH(요약!$B$3,0))-MAX(AB63,요약!$B$3)+1),0)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IF(AND(ISNUMBER(AB64),ISNUMBER(AC64)),MAX(0,MIN(AC64,EOMONTH(요약!$B$3,0))-MAX(AB64,요약!$B$3)+1),0)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IF(AND(ISNUMBER(AB65),ISNUMBER(AC65)),MAX(0,MIN(AC65,EOMONTH(요약!$B$3,0))-MAX(AB65,요약!$B$3)+1),0)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IF(AND(ISNUMBER(AB66),ISNUMBER(AC66)),MAX(0,MIN(AC66,EOMONTH(요약!$B$3,0))-MAX(AB66,요약!$B$3)+1),0)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IF(AND(ISNUMBER(AB67),ISNUMBER(AC67)),MAX(0,MIN(AC67,EOMONTH(요약!$B$3,0))-MAX(AB67,요약!$B$3)+1),0)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IF(AND(ISNUMBER(AB68),ISNUMBER(AC68)),MAX(0,MIN(AC68,EOMONTH(요약!$B$3,0))-MAX(AB68,요약!$B$3)+1),0)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IF(AND(ISNUMBER(AB69),ISNUMBER(AC69)),MAX(0,MIN(AC69,EOMONTH(요약!$B$3,0))-MAX(AB69,요약!$B$3)+1),0)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IF(AND(ISNUMBER(AB70),ISNUMBER(AC70)),MAX(0,MIN(AC70,EOMONTH(요약!$B$3,0))-MAX(AB70,요약!$B$3)+1),0)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IF(AND(ISNUMBER(AB71),ISNUMBER(AC71)),MAX(0,MIN(AC71,EOMONTH(요약!$B$3,0))-MAX(AB71,요약!$B$3)+1),0)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IF(AND(ISNUMBER(AB72),ISNUMBER(AC72)),MAX(0,MIN(AC72,EOMONTH(요약!$B$3,0))-MAX(AB72,요약!$B$3)+1),0)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IF(AND(ISNUMBER(AB73),ISNUMBER(AC73)),MAX(0,MIN(AC73,EOMONTH(요약!$B$3,0))-MAX(AB73,요약!$B$3)+1),0)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IF(AND(ISNUMBER(AB74),ISNUMBER(AC74)),MAX(0,MIN(AC74,EOMONTH(요약!$B$3,0))-MAX(AB74,요약!$B$3)+1),0)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IF(AND(ISNUMBER(AB75),ISNUMBER(AC75)),MAX(0,MIN(AC75,EOMONTH(요약!$B$3,0))-MAX(AB75,요약!$B$3)+1),0)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IF(AND(ISNUMBER(AB76),ISNUMBER(AC76)),MAX(0,MIN(AC76,EOMONTH(요약!$B$3,0))-MAX(AB76,요약!$B$3)+1),0)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IF(AND(ISNUMBER(AB77),ISNUMBER(AC77)),MAX(0,MIN(AC77,EOMONTH(요약!$B$3,0))-MAX(AB77,요약!$B$3)+1),0)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IF(AND(ISNUMBER(AB78),ISNUMBER(AC78)),MAX(0,MIN(AC78,EOMONTH(요약!$B$3,0))-MAX(AB78,요약!$B$3)+1),0)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IF(AND(ISNUMBER(AB79),ISNUMBER(AC79)),MAX(0,MIN(AC79,EOMONTH(요약!$B$3,0))-MAX(AB79,요약!$B$3)+1),0)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IF(AND(ISNUMBER(AB80),ISNUMBER(AC80)),MAX(0,MIN(AC80,EOMONTH(요약!$B$3,0))-MAX(AB80,요약!$B$3)+1),0)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IF(AND(ISNUMBER(AB81),ISNUMBER(AC81)),MAX(0,MIN(AC81,EOMONTH(요약!$B$3,0))-MAX(AB81,요약!$B$3)+1),0)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IF(AND(ISNUMBER(AB82),ISNUMBER(AC82)),MAX(0,MIN(AC82,EOMONTH(요약!$B$3,0))-MAX(AB82,요약!$B$3)+1),0)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IF(AND(ISNUMBER(AB83),ISNUMBER(AC83)),MAX(0,MIN(AC83,EOMONTH(요약!$B$3,0))-MAX(AB83,요약!$B$3)+1),0)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IF(TRIM(B84&amp;"")="","",IFERROR(INDEX(코드표!$K$2:$K$101,MATCH(TRIM(B84&amp;""),코드표!$J$2:$J$101,0)),"⚠"&amp;TRIM(B84&amp;"")))</f>
        <v/>
      </c>
      <c r="S84" s="10">
        <f>IF(TRIM(K84&amp;"")="","",IFERROR(INDEX(코드표!$K$2:$K$101,MATCH(TRIM(K84&amp;""),코드표!$J$2:$J$101,0)),"⚠"&amp;TRIM(K84&amp;"")))</f>
        <v/>
      </c>
      <c r="T84" s="10">
        <f>IF(TRIM(M84&amp;"")="","",IF(ISNUMBER(MATCH(TRIM(M84&amp;""),코드표!$C$2:$C$11,0)),TRIM(M84&amp;""),"⚠"&amp;TRIM(M84&amp;"")))</f>
        <v/>
      </c>
      <c r="U84" s="10">
        <f>IF(TRIM(L84&amp;"")="","",IFERROR(INDEX(코드표!$G$2:$G$101,MATCH(TRIM(L84&amp;""),코드표!$F$2:$F$101,0)),"⚠"&amp;TRIM(L84&amp;"")))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IF(ISNUMBER(H84),MAX(0,MIN(IF(ISNUMBER(I84),I84,EOMONTH(요약!$B$3,0)),EOMONTH(요약!$B$3,0))-MAX(H84,요약!$B$3)+1),0)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IF(AND(ISNUMBER(AB84),ISNUMBER(AC84)),MAX(0,MIN(AC84,EOMONTH(요약!$B$3,0))-MAX(AB84,요약!$B$3)+1),0)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IF(TRIM(B85&amp;"")="","",IFERROR(INDEX(코드표!$K$2:$K$101,MATCH(TRIM(B85&amp;""),코드표!$J$2:$J$101,0)),"⚠"&amp;TRIM(B85&amp;"")))</f>
        <v/>
      </c>
      <c r="S85" s="10">
        <f>IF(TRIM(K85&amp;"")="","",IFERROR(INDEX(코드표!$K$2:$K$101,MATCH(TRIM(K85&amp;""),코드표!$J$2:$J$101,0)),"⚠"&amp;TRIM(K85&amp;"")))</f>
        <v/>
      </c>
      <c r="T85" s="10">
        <f>IF(TRIM(M85&amp;"")="","",IF(ISNUMBER(MATCH(TRIM(M85&amp;""),코드표!$C$2:$C$11,0)),TRIM(M85&amp;""),"⚠"&amp;TRIM(M85&amp;"")))</f>
        <v/>
      </c>
      <c r="U85" s="10">
        <f>IF(TRIM(L85&amp;"")="","",IFERROR(INDEX(코드표!$G$2:$G$101,MATCH(TRIM(L85&amp;""),코드표!$F$2:$F$101,0)),"⚠"&amp;TRIM(L85&amp;"")))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IF(ISNUMBER(H85),MAX(0,MIN(IF(ISNUMBER(I85),I85,EOMONTH(요약!$B$3,0)),EOMONTH(요약!$B$3,0))-MAX(H85,요약!$B$3)+1),0)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IF(AND(ISNUMBER(AB85),ISNUMBER(AC85)),MAX(0,MIN(AC85,EOMONTH(요약!$B$3,0))-MAX(AB85,요약!$B$3)+1),0)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IF(TRIM(B86&amp;"")="","",IFERROR(INDEX(코드표!$K$2:$K$101,MATCH(TRIM(B86&amp;""),코드표!$J$2:$J$101,0)),"⚠"&amp;TRIM(B86&amp;"")))</f>
        <v/>
      </c>
      <c r="S86" s="10">
        <f>IF(TRIM(K86&amp;"")="","",IFERROR(INDEX(코드표!$K$2:$K$101,MATCH(TRIM(K86&amp;""),코드표!$J$2:$J$101,0)),"⚠"&amp;TRIM(K86&amp;"")))</f>
        <v/>
      </c>
      <c r="T86" s="10">
        <f>IF(TRIM(M86&amp;"")="","",IF(ISNUMBER(MATCH(TRIM(M86&amp;""),코드표!$C$2:$C$11,0)),TRIM(M86&amp;""),"⚠"&amp;TRIM(M86&amp;"")))</f>
        <v/>
      </c>
      <c r="U86" s="10">
        <f>IF(TRIM(L86&amp;"")="","",IFERROR(INDEX(코드표!$G$2:$G$101,MATCH(TRIM(L86&amp;""),코드표!$F$2:$F$101,0)),"⚠"&amp;TRIM(L86&amp;"")))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IF(ISNUMBER(H86),MAX(0,MIN(IF(ISNUMBER(I86),I86,EOMONTH(요약!$B$3,0)),EOMONTH(요약!$B$3,0))-MAX(H86,요약!$B$3)+1),0)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IF(AND(ISNUMBER(AB86),ISNUMBER(AC86)),MAX(0,MIN(AC86,EOMONTH(요약!$B$3,0))-MAX(AB86,요약!$B$3)+1),0)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IF(TRIM(B87&amp;"")="","",IFERROR(INDEX(코드표!$K$2:$K$101,MATCH(TRIM(B87&amp;""),코드표!$J$2:$J$101,0)),"⚠"&amp;TRIM(B87&amp;"")))</f>
        <v/>
      </c>
      <c r="S87" s="10">
        <f>IF(TRIM(K87&amp;"")="","",IFERROR(INDEX(코드표!$K$2:$K$101,MATCH(TRIM(K87&amp;""),코드표!$J$2:$J$101,0)),"⚠"&amp;TRIM(K87&amp;"")))</f>
        <v/>
      </c>
      <c r="T87" s="10">
        <f>IF(TRIM(M87&amp;"")="","",IF(ISNUMBER(MATCH(TRIM(M87&amp;""),코드표!$C$2:$C$11,0)),TRIM(M87&amp;""),"⚠"&amp;TRIM(M87&amp;"")))</f>
        <v/>
      </c>
      <c r="U87" s="10">
        <f>IF(TRIM(L87&amp;"")="","",IFERROR(INDEX(코드표!$G$2:$G$101,MATCH(TRIM(L87&amp;""),코드표!$F$2:$F$101,0)),"⚠"&amp;TRIM(L87&amp;"")))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IF(ISNUMBER(H87),MAX(0,MIN(IF(ISNUMBER(I87),I87,EOMONTH(요약!$B$3,0)),EOMONTH(요약!$B$3,0))-MAX(H87,요약!$B$3)+1),0)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IF(AND(ISNUMBER(AB87),ISNUMBER(AC87)),MAX(0,MIN(AC87,EOMONTH(요약!$B$3,0))-MAX(AB87,요약!$B$3)+1),0)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IF(TRIM(B88&amp;"")="","",IFERROR(INDEX(코드표!$K$2:$K$101,MATCH(TRIM(B88&amp;""),코드표!$J$2:$J$101,0)),"⚠"&amp;TRIM(B88&amp;"")))</f>
        <v/>
      </c>
      <c r="S88" s="10">
        <f>IF(TRIM(K88&amp;"")="","",IFERROR(INDEX(코드표!$K$2:$K$101,MATCH(TRIM(K88&amp;""),코드표!$J$2:$J$101,0)),"⚠"&amp;TRIM(K88&amp;"")))</f>
        <v/>
      </c>
      <c r="T88" s="10">
        <f>IF(TRIM(M88&amp;"")="","",IF(ISNUMBER(MATCH(TRIM(M88&amp;""),코드표!$C$2:$C$11,0)),TRIM(M88&amp;""),"⚠"&amp;TRIM(M88&amp;"")))</f>
        <v/>
      </c>
      <c r="U88" s="10">
        <f>IF(TRIM(L88&amp;"")="","",IFERROR(INDEX(코드표!$G$2:$G$101,MATCH(TRIM(L88&amp;""),코드표!$F$2:$F$101,0)),"⚠"&amp;TRIM(L88&amp;"")))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IF(ISNUMBER(H88),MAX(0,MIN(IF(ISNUMBER(I88),I88,EOMONTH(요약!$B$3,0)),EOMONTH(요약!$B$3,0))-MAX(H88,요약!$B$3)+1),0)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IF(AND(ISNUMBER(AB88),ISNUMBER(AC88)),MAX(0,MIN(AC88,EOMONTH(요약!$B$3,0))-MAX(AB88,요약!$B$3)+1),0)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IF(TRIM(B89&amp;"")="","",IFERROR(INDEX(코드표!$K$2:$K$101,MATCH(TRIM(B89&amp;""),코드표!$J$2:$J$101,0)),"⚠"&amp;TRIM(B89&amp;"")))</f>
        <v/>
      </c>
      <c r="S89" s="10">
        <f>IF(TRIM(K89&amp;"")="","",IFERROR(INDEX(코드표!$K$2:$K$101,MATCH(TRIM(K89&amp;""),코드표!$J$2:$J$101,0)),"⚠"&amp;TRIM(K89&amp;"")))</f>
        <v/>
      </c>
      <c r="T89" s="10">
        <f>IF(TRIM(M89&amp;"")="","",IF(ISNUMBER(MATCH(TRIM(M89&amp;""),코드표!$C$2:$C$11,0)),TRIM(M89&amp;""),"⚠"&amp;TRIM(M89&amp;"")))</f>
        <v/>
      </c>
      <c r="U89" s="10">
        <f>IF(TRIM(L89&amp;"")="","",IFERROR(INDEX(코드표!$G$2:$G$101,MATCH(TRIM(L89&amp;""),코드표!$F$2:$F$101,0)),"⚠"&amp;TRIM(L89&amp;"")))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IF(ISNUMBER(H89),MAX(0,MIN(IF(ISNUMBER(I89),I89,EOMONTH(요약!$B$3,0)),EOMONTH(요약!$B$3,0))-MAX(H89,요약!$B$3)+1),0)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IF(AND(ISNUMBER(AB89),ISNUMBER(AC89)),MAX(0,MIN(AC89,EOMONTH(요약!$B$3,0))-MAX(AB89,요약!$B$3)+1),0)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IF(TRIM(B90&amp;"")="","",IFERROR(INDEX(코드표!$K$2:$K$101,MATCH(TRIM(B90&amp;""),코드표!$J$2:$J$101,0)),"⚠"&amp;TRIM(B90&amp;"")))</f>
        <v/>
      </c>
      <c r="S90" s="10">
        <f>IF(TRIM(K90&amp;"")="","",IFERROR(INDEX(코드표!$K$2:$K$101,MATCH(TRIM(K90&amp;""),코드표!$J$2:$J$101,0)),"⚠"&amp;TRIM(K90&amp;"")))</f>
        <v/>
      </c>
      <c r="T90" s="10">
        <f>IF(TRIM(M90&amp;"")="","",IF(ISNUMBER(MATCH(TRIM(M90&amp;""),코드표!$C$2:$C$11,0)),TRIM(M90&amp;""),"⚠"&amp;TRIM(M90&amp;"")))</f>
        <v/>
      </c>
      <c r="U90" s="10">
        <f>IF(TRIM(L90&amp;"")="","",IFERROR(INDEX(코드표!$G$2:$G$101,MATCH(TRIM(L90&amp;""),코드표!$F$2:$F$101,0)),"⚠"&amp;TRIM(L90&amp;"")))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IF(ISNUMBER(H90),MAX(0,MIN(IF(ISNUMBER(I90),I90,EOMONTH(요약!$B$3,0)),EOMONTH(요약!$B$3,0))-MAX(H90,요약!$B$3)+1),0)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IF(AND(ISNUMBER(AB90),ISNUMBER(AC90)),MAX(0,MIN(AC90,EOMONTH(요약!$B$3,0))-MAX(AB90,요약!$B$3)+1),0)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IF(TRIM(B91&amp;"")="","",IFERROR(INDEX(코드표!$K$2:$K$101,MATCH(TRIM(B91&amp;""),코드표!$J$2:$J$101,0)),"⚠"&amp;TRIM(B91&amp;"")))</f>
        <v/>
      </c>
      <c r="S91" s="10">
        <f>IF(TRIM(K91&amp;"")="","",IFERROR(INDEX(코드표!$K$2:$K$101,MATCH(TRIM(K91&amp;""),코드표!$J$2:$J$101,0)),"⚠"&amp;TRIM(K91&amp;"")))</f>
        <v/>
      </c>
      <c r="T91" s="10">
        <f>IF(TRIM(M91&amp;"")="","",IF(ISNUMBER(MATCH(TRIM(M91&amp;""),코드표!$C$2:$C$11,0)),TRIM(M91&amp;""),"⚠"&amp;TRIM(M91&amp;"")))</f>
        <v/>
      </c>
      <c r="U91" s="10">
        <f>IF(TRIM(L91&amp;"")="","",IFERROR(INDEX(코드표!$G$2:$G$101,MATCH(TRIM(L91&amp;""),코드표!$F$2:$F$101,0)),"⚠"&amp;TRIM(L91&amp;"")))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IF(ISNUMBER(H91),MAX(0,MIN(IF(ISNUMBER(I91),I91,EOMONTH(요약!$B$3,0)),EOMONTH(요약!$B$3,0))-MAX(H91,요약!$B$3)+1),0)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IF(AND(ISNUMBER(AB91),ISNUMBER(AC91)),MAX(0,MIN(AC91,EOMONTH(요약!$B$3,0))-MAX(AB91,요약!$B$3)+1),0)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IF(TRIM(B92&amp;"")="","",IFERROR(INDEX(코드표!$K$2:$K$101,MATCH(TRIM(B92&amp;""),코드표!$J$2:$J$101,0)),"⚠"&amp;TRIM(B92&amp;"")))</f>
        <v/>
      </c>
      <c r="S92" s="10">
        <f>IF(TRIM(K92&amp;"")="","",IFERROR(INDEX(코드표!$K$2:$K$101,MATCH(TRIM(K92&amp;""),코드표!$J$2:$J$101,0)),"⚠"&amp;TRIM(K92&amp;"")))</f>
        <v/>
      </c>
      <c r="T92" s="10">
        <f>IF(TRIM(M92&amp;"")="","",IF(ISNUMBER(MATCH(TRIM(M92&amp;""),코드표!$C$2:$C$11,0)),TRIM(M92&amp;""),"⚠"&amp;TRIM(M92&amp;"")))</f>
        <v/>
      </c>
      <c r="U92" s="10">
        <f>IF(TRIM(L92&amp;"")="","",IFERROR(INDEX(코드표!$G$2:$G$101,MATCH(TRIM(L92&amp;""),코드표!$F$2:$F$101,0)),"⚠"&amp;TRIM(L92&amp;"")))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IF(ISNUMBER(H92),MAX(0,MIN(IF(ISNUMBER(I92),I92,EOMONTH(요약!$B$3,0)),EOMONTH(요약!$B$3,0))-MAX(H92,요약!$B$3)+1),0)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IF(AND(ISNUMBER(AB92),ISNUMBER(AC92)),MAX(0,MIN(AC92,EOMONTH(요약!$B$3,0))-MAX(AB92,요약!$B$3)+1),0)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IF(TRIM(B93&amp;"")="","",IFERROR(INDEX(코드표!$K$2:$K$101,MATCH(TRIM(B93&amp;""),코드표!$J$2:$J$101,0)),"⚠"&amp;TRIM(B93&amp;"")))</f>
        <v/>
      </c>
      <c r="S93" s="10">
        <f>IF(TRIM(K93&amp;"")="","",IFERROR(INDEX(코드표!$K$2:$K$101,MATCH(TRIM(K93&amp;""),코드표!$J$2:$J$101,0)),"⚠"&amp;TRIM(K93&amp;"")))</f>
        <v/>
      </c>
      <c r="T93" s="10">
        <f>IF(TRIM(M93&amp;"")="","",IF(ISNUMBER(MATCH(TRIM(M93&amp;""),코드표!$C$2:$C$11,0)),TRIM(M93&amp;""),"⚠"&amp;TRIM(M93&amp;"")))</f>
        <v/>
      </c>
      <c r="U93" s="10">
        <f>IF(TRIM(L93&amp;"")="","",IFERROR(INDEX(코드표!$G$2:$G$101,MATCH(TRIM(L93&amp;""),코드표!$F$2:$F$101,0)),"⚠"&amp;TRIM(L93&amp;"")))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IF(ISNUMBER(H93),MAX(0,MIN(IF(ISNUMBER(I93),I93,EOMONTH(요약!$B$3,0)),EOMONTH(요약!$B$3,0))-MAX(H93,요약!$B$3)+1),0)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IF(AND(ISNUMBER(AB93),ISNUMBER(AC93)),MAX(0,MIN(AC93,EOMONTH(요약!$B$3,0))-MAX(AB93,요약!$B$3)+1),0)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IF(TRIM(B94&amp;"")="","",IFERROR(INDEX(코드표!$K$2:$K$101,MATCH(TRIM(B94&amp;""),코드표!$J$2:$J$101,0)),"⚠"&amp;TRIM(B94&amp;"")))</f>
        <v/>
      </c>
      <c r="S94" s="10">
        <f>IF(TRIM(K94&amp;"")="","",IFERROR(INDEX(코드표!$K$2:$K$101,MATCH(TRIM(K94&amp;""),코드표!$J$2:$J$101,0)),"⚠"&amp;TRIM(K94&amp;"")))</f>
        <v/>
      </c>
      <c r="T94" s="10">
        <f>IF(TRIM(M94&amp;"")="","",IF(ISNUMBER(MATCH(TRIM(M94&amp;""),코드표!$C$2:$C$11,0)),TRIM(M94&amp;""),"⚠"&amp;TRIM(M94&amp;"")))</f>
        <v/>
      </c>
      <c r="U94" s="10">
        <f>IF(TRIM(L94&amp;"")="","",IFERROR(INDEX(코드표!$G$2:$G$101,MATCH(TRIM(L94&amp;""),코드표!$F$2:$F$101,0)),"⚠"&amp;TRIM(L94&amp;"")))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IF(ISNUMBER(H94),MAX(0,MIN(IF(ISNUMBER(I94),I94,EOMONTH(요약!$B$3,0)),EOMONTH(요약!$B$3,0))-MAX(H94,요약!$B$3)+1),0)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IF(AND(ISNUMBER(AB94),ISNUMBER(AC94)),MAX(0,MIN(AC94,EOMONTH(요약!$B$3,0))-MAX(AB94,요약!$B$3)+1),0)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IF(TRIM(B95&amp;"")="","",IFERROR(INDEX(코드표!$K$2:$K$101,MATCH(TRIM(B95&amp;""),코드표!$J$2:$J$101,0)),"⚠"&amp;TRIM(B95&amp;"")))</f>
        <v/>
      </c>
      <c r="S95" s="10">
        <f>IF(TRIM(K95&amp;"")="","",IFERROR(INDEX(코드표!$K$2:$K$101,MATCH(TRIM(K95&amp;""),코드표!$J$2:$J$101,0)),"⚠"&amp;TRIM(K95&amp;"")))</f>
        <v/>
      </c>
      <c r="T95" s="10">
        <f>IF(TRIM(M95&amp;"")="","",IF(ISNUMBER(MATCH(TRIM(M95&amp;""),코드표!$C$2:$C$11,0)),TRIM(M95&amp;""),"⚠"&amp;TRIM(M95&amp;"")))</f>
        <v/>
      </c>
      <c r="U95" s="10">
        <f>IF(TRIM(L95&amp;"")="","",IFERROR(INDEX(코드표!$G$2:$G$101,MATCH(TRIM(L95&amp;""),코드표!$F$2:$F$101,0)),"⚠"&amp;TRIM(L95&amp;"")))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IF(ISNUMBER(H95),MAX(0,MIN(IF(ISNUMBER(I95),I95,EOMONTH(요약!$B$3,0)),EOMONTH(요약!$B$3,0))-MAX(H95,요약!$B$3)+1),0)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IF(AND(ISNUMBER(AB95),ISNUMBER(AC95)),MAX(0,MIN(AC95,EOMONTH(요약!$B$3,0))-MAX(AB95,요약!$B$3)+1),0)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IF(TRIM(B96&amp;"")="","",IFERROR(INDEX(코드표!$K$2:$K$101,MATCH(TRIM(B96&amp;""),코드표!$J$2:$J$101,0)),"⚠"&amp;TRIM(B96&amp;"")))</f>
        <v/>
      </c>
      <c r="S96" s="10">
        <f>IF(TRIM(K96&amp;"")="","",IFERROR(INDEX(코드표!$K$2:$K$101,MATCH(TRIM(K96&amp;""),코드표!$J$2:$J$101,0)),"⚠"&amp;TRIM(K96&amp;"")))</f>
        <v/>
      </c>
      <c r="T96" s="10">
        <f>IF(TRIM(M96&amp;"")="","",IF(ISNUMBER(MATCH(TRIM(M96&amp;""),코드표!$C$2:$C$11,0)),TRIM(M96&amp;""),"⚠"&amp;TRIM(M96&amp;"")))</f>
        <v/>
      </c>
      <c r="U96" s="10">
        <f>IF(TRIM(L96&amp;"")="","",IFERROR(INDEX(코드표!$G$2:$G$101,MATCH(TRIM(L96&amp;""),코드표!$F$2:$F$101,0)),"⚠"&amp;TRIM(L96&amp;"")))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IF(ISNUMBER(H96),MAX(0,MIN(IF(ISNUMBER(I96),I96,EOMONTH(요약!$B$3,0)),EOMONTH(요약!$B$3,0))-MAX(H96,요약!$B$3)+1),0)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IF(AND(ISNUMBER(AB96),ISNUMBER(AC96)),MAX(0,MIN(AC96,EOMONTH(요약!$B$3,0))-MAX(AB96,요약!$B$3)+1),0)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IF(TRIM(B97&amp;"")="","",IFERROR(INDEX(코드표!$K$2:$K$101,MATCH(TRIM(B97&amp;""),코드표!$J$2:$J$101,0)),"⚠"&amp;TRIM(B97&amp;"")))</f>
        <v/>
      </c>
      <c r="S97" s="10">
        <f>IF(TRIM(K97&amp;"")="","",IFERROR(INDEX(코드표!$K$2:$K$101,MATCH(TRIM(K97&amp;""),코드표!$J$2:$J$101,0)),"⚠"&amp;TRIM(K97&amp;"")))</f>
        <v/>
      </c>
      <c r="T97" s="10">
        <f>IF(TRIM(M97&amp;"")="","",IF(ISNUMBER(MATCH(TRIM(M97&amp;""),코드표!$C$2:$C$11,0)),TRIM(M97&amp;""),"⚠"&amp;TRIM(M97&amp;"")))</f>
        <v/>
      </c>
      <c r="U97" s="10">
        <f>IF(TRIM(L97&amp;"")="","",IFERROR(INDEX(코드표!$G$2:$G$101,MATCH(TRIM(L97&amp;""),코드표!$F$2:$F$101,0)),"⚠"&amp;TRIM(L97&amp;"")))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IF(ISNUMBER(H97),MAX(0,MIN(IF(ISNUMBER(I97),I97,EOMONTH(요약!$B$3,0)),EOMONTH(요약!$B$3,0))-MAX(H97,요약!$B$3)+1),0)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IF(AND(ISNUMBER(AB97),ISNUMBER(AC97)),MAX(0,MIN(AC97,EOMONTH(요약!$B$3,0))-MAX(AB97,요약!$B$3)+1),0)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IF(TRIM(B98&amp;"")="","",IFERROR(INDEX(코드표!$K$2:$K$101,MATCH(TRIM(B98&amp;""),코드표!$J$2:$J$101,0)),"⚠"&amp;TRIM(B98&amp;"")))</f>
        <v/>
      </c>
      <c r="S98" s="10">
        <f>IF(TRIM(K98&amp;"")="","",IFERROR(INDEX(코드표!$K$2:$K$101,MATCH(TRIM(K98&amp;""),코드표!$J$2:$J$101,0)),"⚠"&amp;TRIM(K98&amp;"")))</f>
        <v/>
      </c>
      <c r="T98" s="10">
        <f>IF(TRIM(M98&amp;"")="","",IF(ISNUMBER(MATCH(TRIM(M98&amp;""),코드표!$C$2:$C$11,0)),TRIM(M98&amp;""),"⚠"&amp;TRIM(M98&amp;"")))</f>
        <v/>
      </c>
      <c r="U98" s="10">
        <f>IF(TRIM(L98&amp;"")="","",IFERROR(INDEX(코드표!$G$2:$G$101,MATCH(TRIM(L98&amp;""),코드표!$F$2:$F$101,0)),"⚠"&amp;TRIM(L98&amp;"")))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IF(ISNUMBER(H98),MAX(0,MIN(IF(ISNUMBER(I98),I98,EOMONTH(요약!$B$3,0)),EOMONTH(요약!$B$3,0))-MAX(H98,요약!$B$3)+1),0)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IF(AND(ISNUMBER(AB98),ISNUMBER(AC98)),MAX(0,MIN(AC98,EOMONTH(요약!$B$3,0))-MAX(AB98,요약!$B$3)+1),0)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IF(TRIM(B99&amp;"")="","",IFERROR(INDEX(코드표!$K$2:$K$101,MATCH(TRIM(B99&amp;""),코드표!$J$2:$J$101,0)),"⚠"&amp;TRIM(B99&amp;"")))</f>
        <v/>
      </c>
      <c r="S99" s="10">
        <f>IF(TRIM(K99&amp;"")="","",IFERROR(INDEX(코드표!$K$2:$K$101,MATCH(TRIM(K99&amp;""),코드표!$J$2:$J$101,0)),"⚠"&amp;TRIM(K99&amp;"")))</f>
        <v/>
      </c>
      <c r="T99" s="10">
        <f>IF(TRIM(M99&amp;"")="","",IF(ISNUMBER(MATCH(TRIM(M99&amp;""),코드표!$C$2:$C$11,0)),TRIM(M99&amp;""),"⚠"&amp;TRIM(M99&amp;"")))</f>
        <v/>
      </c>
      <c r="U99" s="10">
        <f>IF(TRIM(L99&amp;"")="","",IFERROR(INDEX(코드표!$G$2:$G$101,MATCH(TRIM(L99&amp;""),코드표!$F$2:$F$101,0)),"⚠"&amp;TRIM(L99&amp;"")))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IF(ISNUMBER(H99),MAX(0,MIN(IF(ISNUMBER(I99),I99,EOMONTH(요약!$B$3,0)),EOMONTH(요약!$B$3,0))-MAX(H99,요약!$B$3)+1),0)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IF(AND(ISNUMBER(AB99),ISNUMBER(AC99)),MAX(0,MIN(AC99,EOMONTH(요약!$B$3,0))-MAX(AB99,요약!$B$3)+1),0)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IF(TRIM(B100&amp;"")="","",IFERROR(INDEX(코드표!$K$2:$K$101,MATCH(TRIM(B100&amp;""),코드표!$J$2:$J$101,0)),"⚠"&amp;TRIM(B100&amp;"")))</f>
        <v/>
      </c>
      <c r="S100" s="10">
        <f>IF(TRIM(K100&amp;"")="","",IFERROR(INDEX(코드표!$K$2:$K$101,MATCH(TRIM(K100&amp;""),코드표!$J$2:$J$101,0)),"⚠"&amp;TRIM(K100&amp;"")))</f>
        <v/>
      </c>
      <c r="T100" s="10">
        <f>IF(TRIM(M100&amp;"")="","",IF(ISNUMBER(MATCH(TRIM(M100&amp;""),코드표!$C$2:$C$11,0)),TRIM(M100&amp;""),"⚠"&amp;TRIM(M100&amp;"")))</f>
        <v/>
      </c>
      <c r="U100" s="10">
        <f>IF(TRIM(L100&amp;"")="","",IFERROR(INDEX(코드표!$G$2:$G$101,MATCH(TRIM(L100&amp;""),코드표!$F$2:$F$101,0)),"⚠"&amp;TRIM(L100&amp;"")))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IF(ISNUMBER(H100),MAX(0,MIN(IF(ISNUMBER(I100),I100,EOMONTH(요약!$B$3,0)),EOMONTH(요약!$B$3,0))-MAX(H100,요약!$B$3)+1),0)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IF(AND(ISNUMBER(AB100),ISNUMBER(AC100)),MAX(0,MIN(AC100,EOMONTH(요약!$B$3,0))-MAX(AB100,요약!$B$3)+1),0)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IF(TRIM(B101&amp;"")="","",IFERROR(INDEX(코드표!$K$2:$K$101,MATCH(TRIM(B101&amp;""),코드표!$J$2:$J$101,0)),"⚠"&amp;TRIM(B101&amp;"")))</f>
        <v/>
      </c>
      <c r="S101" s="10">
        <f>IF(TRIM(K101&amp;"")="","",IFERROR(INDEX(코드표!$K$2:$K$101,MATCH(TRIM(K101&amp;""),코드표!$J$2:$J$101,0)),"⚠"&amp;TRIM(K101&amp;"")))</f>
        <v/>
      </c>
      <c r="T101" s="10">
        <f>IF(TRIM(M101&amp;"")="","",IF(ISNUMBER(MATCH(TRIM(M101&amp;""),코드표!$C$2:$C$11,0)),TRIM(M101&amp;""),"⚠"&amp;TRIM(M101&amp;"")))</f>
        <v/>
      </c>
      <c r="U101" s="10">
        <f>IF(TRIM(L101&amp;"")="","",IFERROR(INDEX(코드표!$G$2:$G$101,MATCH(TRIM(L101&amp;""),코드표!$F$2:$F$101,0)),"⚠"&amp;TRIM(L101&amp;"")))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IF(ISNUMBER(H101),MAX(0,MIN(IF(ISNUMBER(I101),I101,EOMONTH(요약!$B$3,0)),EOMONTH(요약!$B$3,0))-MAX(H101,요약!$B$3)+1),0)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IF(AND(ISNUMBER(AB101),ISNUMBER(AC101)),MAX(0,MIN(AC101,EOMONTH(요약!$B$3,0))-MAX(AB101,요약!$B$3)+1),0)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IF(TRIM(B102&amp;"")="","",IFERROR(INDEX(코드표!$K$2:$K$101,MATCH(TRIM(B102&amp;""),코드표!$J$2:$J$101,0)),"⚠"&amp;TRIM(B102&amp;"")))</f>
        <v/>
      </c>
      <c r="S102" s="10">
        <f>IF(TRIM(K102&amp;"")="","",IFERROR(INDEX(코드표!$K$2:$K$101,MATCH(TRIM(K102&amp;""),코드표!$J$2:$J$101,0)),"⚠"&amp;TRIM(K102&amp;"")))</f>
        <v/>
      </c>
      <c r="T102" s="10">
        <f>IF(TRIM(M102&amp;"")="","",IF(ISNUMBER(MATCH(TRIM(M102&amp;""),코드표!$C$2:$C$11,0)),TRIM(M102&amp;""),"⚠"&amp;TRIM(M102&amp;"")))</f>
        <v/>
      </c>
      <c r="U102" s="10">
        <f>IF(TRIM(L102&amp;"")="","",IFERROR(INDEX(코드표!$G$2:$G$101,MATCH(TRIM(L102&amp;""),코드표!$F$2:$F$101,0)),"⚠"&amp;TRIM(L102&amp;"")))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IF(ISNUMBER(H102),MAX(0,MIN(IF(ISNUMBER(I102),I102,EOMONTH(요약!$B$3,0)),EOMONTH(요약!$B$3,0))-MAX(H102,요약!$B$3)+1),0)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IF(AND(ISNUMBER(AB102),ISNUMBER(AC102)),MAX(0,MIN(AC102,EOMONTH(요약!$B$3,0))-MAX(AB102,요약!$B$3)+1),0)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IF(TRIM(B103&amp;"")="","",IFERROR(INDEX(코드표!$K$2:$K$101,MATCH(TRIM(B103&amp;""),코드표!$J$2:$J$101,0)),"⚠"&amp;TRIM(B103&amp;"")))</f>
        <v/>
      </c>
      <c r="S103" s="10">
        <f>IF(TRIM(K103&amp;"")="","",IFERROR(INDEX(코드표!$K$2:$K$101,MATCH(TRIM(K103&amp;""),코드표!$J$2:$J$101,0)),"⚠"&amp;TRIM(K103&amp;"")))</f>
        <v/>
      </c>
      <c r="T103" s="10">
        <f>IF(TRIM(M103&amp;"")="","",IF(ISNUMBER(MATCH(TRIM(M103&amp;""),코드표!$C$2:$C$11,0)),TRIM(M103&amp;""),"⚠"&amp;TRIM(M103&amp;"")))</f>
        <v/>
      </c>
      <c r="U103" s="10">
        <f>IF(TRIM(L103&amp;"")="","",IFERROR(INDEX(코드표!$G$2:$G$101,MATCH(TRIM(L103&amp;""),코드표!$F$2:$F$101,0)),"⚠"&amp;TRIM(L103&amp;"")))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IF(ISNUMBER(H103),MAX(0,MIN(IF(ISNUMBER(I103),I103,EOMONTH(요약!$B$3,0)),EOMONTH(요약!$B$3,0))-MAX(H103,요약!$B$3)+1),0)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IF(AND(ISNUMBER(AB103),ISNUMBER(AC103)),MAX(0,MIN(AC103,EOMONTH(요약!$B$3,0))-MAX(AB103,요약!$B$3)+1),0)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IF(TRIM(B104&amp;"")="","",IFERROR(INDEX(코드표!$K$2:$K$101,MATCH(TRIM(B104&amp;""),코드표!$J$2:$J$101,0)),"⚠"&amp;TRIM(B104&amp;"")))</f>
        <v/>
      </c>
      <c r="S104" s="10">
        <f>IF(TRIM(K104&amp;"")="","",IFERROR(INDEX(코드표!$K$2:$K$101,MATCH(TRIM(K104&amp;""),코드표!$J$2:$J$101,0)),"⚠"&amp;TRIM(K104&amp;"")))</f>
        <v/>
      </c>
      <c r="T104" s="10">
        <f>IF(TRIM(M104&amp;"")="","",IF(ISNUMBER(MATCH(TRIM(M104&amp;""),코드표!$C$2:$C$11,0)),TRIM(M104&amp;""),"⚠"&amp;TRIM(M104&amp;"")))</f>
        <v/>
      </c>
      <c r="U104" s="10">
        <f>IF(TRIM(L104&amp;"")="","",IFERROR(INDEX(코드표!$G$2:$G$101,MATCH(TRIM(L104&amp;""),코드표!$F$2:$F$101,0)),"⚠"&amp;TRIM(L104&amp;"")))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IF(ISNUMBER(H104),MAX(0,MIN(IF(ISNUMBER(I104),I104,EOMONTH(요약!$B$3,0)),EOMONTH(요약!$B$3,0))-MAX(H104,요약!$B$3)+1),0)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IF(AND(ISNUMBER(AB104),ISNUMBER(AC104)),MAX(0,MIN(AC104,EOMONTH(요약!$B$3,0))-MAX(AB104,요약!$B$3)+1),0)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IF(TRIM(B105&amp;"")="","",IFERROR(INDEX(코드표!$K$2:$K$101,MATCH(TRIM(B105&amp;""),코드표!$J$2:$J$101,0)),"⚠"&amp;TRIM(B105&amp;"")))</f>
        <v/>
      </c>
      <c r="S105" s="10">
        <f>IF(TRIM(K105&amp;"")="","",IFERROR(INDEX(코드표!$K$2:$K$101,MATCH(TRIM(K105&amp;""),코드표!$J$2:$J$101,0)),"⚠"&amp;TRIM(K105&amp;"")))</f>
        <v/>
      </c>
      <c r="T105" s="10">
        <f>IF(TRIM(M105&amp;"")="","",IF(ISNUMBER(MATCH(TRIM(M105&amp;""),코드표!$C$2:$C$11,0)),TRIM(M105&amp;""),"⚠"&amp;TRIM(M105&amp;"")))</f>
        <v/>
      </c>
      <c r="U105" s="10">
        <f>IF(TRIM(L105&amp;"")="","",IFERROR(INDEX(코드표!$G$2:$G$101,MATCH(TRIM(L105&amp;""),코드표!$F$2:$F$101,0)),"⚠"&amp;TRIM(L105&amp;"")))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IF(ISNUMBER(H105),MAX(0,MIN(IF(ISNUMBER(I105),I105,EOMONTH(요약!$B$3,0)),EOMONTH(요약!$B$3,0))-MAX(H105,요약!$B$3)+1),0)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IF(AND(ISNUMBER(AB105),ISNUMBER(AC105)),MAX(0,MIN(AC105,EOMONTH(요약!$B$3,0))-MAX(AB105,요약!$B$3)+1),0)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IF(TRIM(B106&amp;"")="","",IFERROR(INDEX(코드표!$K$2:$K$101,MATCH(TRIM(B106&amp;""),코드표!$J$2:$J$101,0)),"⚠"&amp;TRIM(B106&amp;"")))</f>
        <v/>
      </c>
      <c r="S106" s="10">
        <f>IF(TRIM(K106&amp;"")="","",IFERROR(INDEX(코드표!$K$2:$K$101,MATCH(TRIM(K106&amp;""),코드표!$J$2:$J$101,0)),"⚠"&amp;TRIM(K106&amp;"")))</f>
        <v/>
      </c>
      <c r="T106" s="10">
        <f>IF(TRIM(M106&amp;"")="","",IF(ISNUMBER(MATCH(TRIM(M106&amp;""),코드표!$C$2:$C$11,0)),TRIM(M106&amp;""),"⚠"&amp;TRIM(M106&amp;"")))</f>
        <v/>
      </c>
      <c r="U106" s="10">
        <f>IF(TRIM(L106&amp;"")="","",IFERROR(INDEX(코드표!$G$2:$G$101,MATCH(TRIM(L106&amp;""),코드표!$F$2:$F$101,0)),"⚠"&amp;TRIM(L106&amp;"")))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IF(ISNUMBER(H106),MAX(0,MIN(IF(ISNUMBER(I106),I106,EOMONTH(요약!$B$3,0)),EOMONTH(요약!$B$3,0))-MAX(H106,요약!$B$3)+1),0)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IF(AND(ISNUMBER(AB106),ISNUMBER(AC106)),MAX(0,MIN(AC106,EOMONTH(요약!$B$3,0))-MAX(AB106,요약!$B$3)+1),0)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IF(TRIM(B107&amp;"")="","",IFERROR(INDEX(코드표!$K$2:$K$101,MATCH(TRIM(B107&amp;""),코드표!$J$2:$J$101,0)),"⚠"&amp;TRIM(B107&amp;"")))</f>
        <v/>
      </c>
      <c r="S107" s="10">
        <f>IF(TRIM(K107&amp;"")="","",IFERROR(INDEX(코드표!$K$2:$K$101,MATCH(TRIM(K107&amp;""),코드표!$J$2:$J$101,0)),"⚠"&amp;TRIM(K107&amp;"")))</f>
        <v/>
      </c>
      <c r="T107" s="10">
        <f>IF(TRIM(M107&amp;"")="","",IF(ISNUMBER(MATCH(TRIM(M107&amp;""),코드표!$C$2:$C$11,0)),TRIM(M107&amp;""),"⚠"&amp;TRIM(M107&amp;"")))</f>
        <v/>
      </c>
      <c r="U107" s="10">
        <f>IF(TRIM(L107&amp;"")="","",IFERROR(INDEX(코드표!$G$2:$G$101,MATCH(TRIM(L107&amp;""),코드표!$F$2:$F$101,0)),"⚠"&amp;TRIM(L107&amp;"")))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IF(ISNUMBER(H107),MAX(0,MIN(IF(ISNUMBER(I107),I107,EOMONTH(요약!$B$3,0)),EOMONTH(요약!$B$3,0))-MAX(H107,요약!$B$3)+1),0)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IF(AND(ISNUMBER(AB107),ISNUMBER(AC107)),MAX(0,MIN(AC107,EOMONTH(요약!$B$3,0))-MAX(AB107,요약!$B$3)+1),0)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IF(TRIM(B108&amp;"")="","",IFERROR(INDEX(코드표!$K$2:$K$101,MATCH(TRIM(B108&amp;""),코드표!$J$2:$J$101,0)),"⚠"&amp;TRIM(B108&amp;"")))</f>
        <v/>
      </c>
      <c r="S108" s="10">
        <f>IF(TRIM(K108&amp;"")="","",IFERROR(INDEX(코드표!$K$2:$K$101,MATCH(TRIM(K108&amp;""),코드표!$J$2:$J$101,0)),"⚠"&amp;TRIM(K108&amp;"")))</f>
        <v/>
      </c>
      <c r="T108" s="10">
        <f>IF(TRIM(M108&amp;"")="","",IF(ISNUMBER(MATCH(TRIM(M108&amp;""),코드표!$C$2:$C$11,0)),TRIM(M108&amp;""),"⚠"&amp;TRIM(M108&amp;"")))</f>
        <v/>
      </c>
      <c r="U108" s="10">
        <f>IF(TRIM(L108&amp;"")="","",IFERROR(INDEX(코드표!$G$2:$G$101,MATCH(TRIM(L108&amp;""),코드표!$F$2:$F$101,0)),"⚠"&amp;TRIM(L108&amp;"")))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IF(ISNUMBER(H108),MAX(0,MIN(IF(ISNUMBER(I108),I108,EOMONTH(요약!$B$3,0)),EOMONTH(요약!$B$3,0))-MAX(H108,요약!$B$3)+1),0)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IF(AND(ISNUMBER(AB108),ISNUMBER(AC108)),MAX(0,MIN(AC108,EOMONTH(요약!$B$3,0))-MAX(AB108,요약!$B$3)+1),0)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IF(TRIM(B109&amp;"")="","",IFERROR(INDEX(코드표!$K$2:$K$101,MATCH(TRIM(B109&amp;""),코드표!$J$2:$J$101,0)),"⚠"&amp;TRIM(B109&amp;"")))</f>
        <v/>
      </c>
      <c r="S109" s="10">
        <f>IF(TRIM(K109&amp;"")="","",IFERROR(INDEX(코드표!$K$2:$K$101,MATCH(TRIM(K109&amp;""),코드표!$J$2:$J$101,0)),"⚠"&amp;TRIM(K109&amp;"")))</f>
        <v/>
      </c>
      <c r="T109" s="10">
        <f>IF(TRIM(M109&amp;"")="","",IF(ISNUMBER(MATCH(TRIM(M109&amp;""),코드표!$C$2:$C$11,0)),TRIM(M109&amp;""),"⚠"&amp;TRIM(M109&amp;"")))</f>
        <v/>
      </c>
      <c r="U109" s="10">
        <f>IF(TRIM(L109&amp;"")="","",IFERROR(INDEX(코드표!$G$2:$G$101,MATCH(TRIM(L109&amp;""),코드표!$F$2:$F$101,0)),"⚠"&amp;TRIM(L109&amp;"")))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IF(ISNUMBER(H109),MAX(0,MIN(IF(ISNUMBER(I109),I109,EOMONTH(요약!$B$3,0)),EOMONTH(요약!$B$3,0))-MAX(H109,요약!$B$3)+1),0)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IF(AND(ISNUMBER(AB109),ISNUMBER(AC109)),MAX(0,MIN(AC109,EOMONTH(요약!$B$3,0))-MAX(AB109,요약!$B$3)+1),0)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IF(TRIM(B110&amp;"")="","",IFERROR(INDEX(코드표!$K$2:$K$101,MATCH(TRIM(B110&amp;""),코드표!$J$2:$J$101,0)),"⚠"&amp;TRIM(B110&amp;"")))</f>
        <v/>
      </c>
      <c r="S110" s="10">
        <f>IF(TRIM(K110&amp;"")="","",IFERROR(INDEX(코드표!$K$2:$K$101,MATCH(TRIM(K110&amp;""),코드표!$J$2:$J$101,0)),"⚠"&amp;TRIM(K110&amp;"")))</f>
        <v/>
      </c>
      <c r="T110" s="10">
        <f>IF(TRIM(M110&amp;"")="","",IF(ISNUMBER(MATCH(TRIM(M110&amp;""),코드표!$C$2:$C$11,0)),TRIM(M110&amp;""),"⚠"&amp;TRIM(M110&amp;"")))</f>
        <v/>
      </c>
      <c r="U110" s="10">
        <f>IF(TRIM(L110&amp;"")="","",IFERROR(INDEX(코드표!$G$2:$G$101,MATCH(TRIM(L110&amp;""),코드표!$F$2:$F$101,0)),"⚠"&amp;TRIM(L110&amp;"")))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IF(ISNUMBER(H110),MAX(0,MIN(IF(ISNUMBER(I110),I110,EOMONTH(요약!$B$3,0)),EOMONTH(요약!$B$3,0))-MAX(H110,요약!$B$3)+1),0)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IF(AND(ISNUMBER(AB110),ISNUMBER(AC110)),MAX(0,MIN(AC110,EOMONTH(요약!$B$3,0))-MAX(AB110,요약!$B$3)+1),0)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IF(TRIM(B111&amp;"")="","",IFERROR(INDEX(코드표!$K$2:$K$101,MATCH(TRIM(B111&amp;""),코드표!$J$2:$J$101,0)),"⚠"&amp;TRIM(B111&amp;"")))</f>
        <v/>
      </c>
      <c r="S111" s="10">
        <f>IF(TRIM(K111&amp;"")="","",IFERROR(INDEX(코드표!$K$2:$K$101,MATCH(TRIM(K111&amp;""),코드표!$J$2:$J$101,0)),"⚠"&amp;TRIM(K111&amp;"")))</f>
        <v/>
      </c>
      <c r="T111" s="10">
        <f>IF(TRIM(M111&amp;"")="","",IF(ISNUMBER(MATCH(TRIM(M111&amp;""),코드표!$C$2:$C$11,0)),TRIM(M111&amp;""),"⚠"&amp;TRIM(M111&amp;"")))</f>
        <v/>
      </c>
      <c r="U111" s="10">
        <f>IF(TRIM(L111&amp;"")="","",IFERROR(INDEX(코드표!$G$2:$G$101,MATCH(TRIM(L111&amp;""),코드표!$F$2:$F$101,0)),"⚠"&amp;TRIM(L111&amp;"")))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IF(ISNUMBER(H111),MAX(0,MIN(IF(ISNUMBER(I111),I111,EOMONTH(요약!$B$3,0)),EOMONTH(요약!$B$3,0))-MAX(H111,요약!$B$3)+1),0)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IF(AND(ISNUMBER(AB111),ISNUMBER(AC111)),MAX(0,MIN(AC111,EOMONTH(요약!$B$3,0))-MAX(AB111,요약!$B$3)+1),0)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IF(TRIM(B112&amp;"")="","",IFERROR(INDEX(코드표!$K$2:$K$101,MATCH(TRIM(B112&amp;""),코드표!$J$2:$J$101,0)),"⚠"&amp;TRIM(B112&amp;"")))</f>
        <v/>
      </c>
      <c r="S112" s="10">
        <f>IF(TRIM(K112&amp;"")="","",IFERROR(INDEX(코드표!$K$2:$K$101,MATCH(TRIM(K112&amp;""),코드표!$J$2:$J$101,0)),"⚠"&amp;TRIM(K112&amp;"")))</f>
        <v/>
      </c>
      <c r="T112" s="10">
        <f>IF(TRIM(M112&amp;"")="","",IF(ISNUMBER(MATCH(TRIM(M112&amp;""),코드표!$C$2:$C$11,0)),TRIM(M112&amp;""),"⚠"&amp;TRIM(M112&amp;"")))</f>
        <v/>
      </c>
      <c r="U112" s="10">
        <f>IF(TRIM(L112&amp;"")="","",IFERROR(INDEX(코드표!$G$2:$G$101,MATCH(TRIM(L112&amp;""),코드표!$F$2:$F$101,0)),"⚠"&amp;TRIM(L112&amp;"")))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IF(ISNUMBER(H112),MAX(0,MIN(IF(ISNUMBER(I112),I112,EOMONTH(요약!$B$3,0)),EOMONTH(요약!$B$3,0))-MAX(H112,요약!$B$3)+1),0)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IF(AND(ISNUMBER(AB112),ISNUMBER(AC112)),MAX(0,MIN(AC112,EOMONTH(요약!$B$3,0))-MAX(AB112,요약!$B$3)+1),0)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IF(TRIM(B113&amp;"")="","",IFERROR(INDEX(코드표!$K$2:$K$101,MATCH(TRIM(B113&amp;""),코드표!$J$2:$J$101,0)),"⚠"&amp;TRIM(B113&amp;"")))</f>
        <v/>
      </c>
      <c r="S113" s="10">
        <f>IF(TRIM(K113&amp;"")="","",IFERROR(INDEX(코드표!$K$2:$K$101,MATCH(TRIM(K113&amp;""),코드표!$J$2:$J$101,0)),"⚠"&amp;TRIM(K113&amp;"")))</f>
        <v/>
      </c>
      <c r="T113" s="10">
        <f>IF(TRIM(M113&amp;"")="","",IF(ISNUMBER(MATCH(TRIM(M113&amp;""),코드표!$C$2:$C$11,0)),TRIM(M113&amp;""),"⚠"&amp;TRIM(M113&amp;"")))</f>
        <v/>
      </c>
      <c r="U113" s="10">
        <f>IF(TRIM(L113&amp;"")="","",IFERROR(INDEX(코드표!$G$2:$G$101,MATCH(TRIM(L113&amp;""),코드표!$F$2:$F$101,0)),"⚠"&amp;TRIM(L113&amp;"")))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IF(ISNUMBER(H113),MAX(0,MIN(IF(ISNUMBER(I113),I113,EOMONTH(요약!$B$3,0)),EOMONTH(요약!$B$3,0))-MAX(H113,요약!$B$3)+1),0)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IF(AND(ISNUMBER(AB113),ISNUMBER(AC113)),MAX(0,MIN(AC113,EOMONTH(요약!$B$3,0))-MAX(AB113,요약!$B$3)+1),0)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IF(TRIM(B114&amp;"")="","",IFERROR(INDEX(코드표!$K$2:$K$101,MATCH(TRIM(B114&amp;""),코드표!$J$2:$J$101,0)),"⚠"&amp;TRIM(B114&amp;"")))</f>
        <v/>
      </c>
      <c r="S114" s="10">
        <f>IF(TRIM(K114&amp;"")="","",IFERROR(INDEX(코드표!$K$2:$K$101,MATCH(TRIM(K114&amp;""),코드표!$J$2:$J$101,0)),"⚠"&amp;TRIM(K114&amp;"")))</f>
        <v/>
      </c>
      <c r="T114" s="10">
        <f>IF(TRIM(M114&amp;"")="","",IF(ISNUMBER(MATCH(TRIM(M114&amp;""),코드표!$C$2:$C$11,0)),TRIM(M114&amp;""),"⚠"&amp;TRIM(M114&amp;"")))</f>
        <v/>
      </c>
      <c r="U114" s="10">
        <f>IF(TRIM(L114&amp;"")="","",IFERROR(INDEX(코드표!$G$2:$G$101,MATCH(TRIM(L114&amp;""),코드표!$F$2:$F$101,0)),"⚠"&amp;TRIM(L114&amp;"")))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IF(ISNUMBER(H114),MAX(0,MIN(IF(ISNUMBER(I114),I114,EOMONTH(요약!$B$3,0)),EOMONTH(요약!$B$3,0))-MAX(H114,요약!$B$3)+1),0)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IF(AND(ISNUMBER(AB114),ISNUMBER(AC114)),MAX(0,MIN(AC114,EOMONTH(요약!$B$3,0))-MAX(AB114,요약!$B$3)+1),0)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IF(TRIM(B115&amp;"")="","",IFERROR(INDEX(코드표!$K$2:$K$101,MATCH(TRIM(B115&amp;""),코드표!$J$2:$J$101,0)),"⚠"&amp;TRIM(B115&amp;"")))</f>
        <v/>
      </c>
      <c r="S115" s="10">
        <f>IF(TRIM(K115&amp;"")="","",IFERROR(INDEX(코드표!$K$2:$K$101,MATCH(TRIM(K115&amp;""),코드표!$J$2:$J$101,0)),"⚠"&amp;TRIM(K115&amp;"")))</f>
        <v/>
      </c>
      <c r="T115" s="10">
        <f>IF(TRIM(M115&amp;"")="","",IF(ISNUMBER(MATCH(TRIM(M115&amp;""),코드표!$C$2:$C$11,0)),TRIM(M115&amp;""),"⚠"&amp;TRIM(M115&amp;"")))</f>
        <v/>
      </c>
      <c r="U115" s="10">
        <f>IF(TRIM(L115&amp;"")="","",IFERROR(INDEX(코드표!$G$2:$G$101,MATCH(TRIM(L115&amp;""),코드표!$F$2:$F$101,0)),"⚠"&amp;TRIM(L115&amp;"")))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IF(ISNUMBER(H115),MAX(0,MIN(IF(ISNUMBER(I115),I115,EOMONTH(요약!$B$3,0)),EOMONTH(요약!$B$3,0))-MAX(H115,요약!$B$3)+1),0)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IF(AND(ISNUMBER(AB115),ISNUMBER(AC115)),MAX(0,MIN(AC115,EOMONTH(요약!$B$3,0))-MAX(AB115,요약!$B$3)+1),0)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IF(TRIM(B116&amp;"")="","",IFERROR(INDEX(코드표!$K$2:$K$101,MATCH(TRIM(B116&amp;""),코드표!$J$2:$J$101,0)),"⚠"&amp;TRIM(B116&amp;"")))</f>
        <v/>
      </c>
      <c r="S116" s="10">
        <f>IF(TRIM(K116&amp;"")="","",IFERROR(INDEX(코드표!$K$2:$K$101,MATCH(TRIM(K116&amp;""),코드표!$J$2:$J$101,0)),"⚠"&amp;TRIM(K116&amp;"")))</f>
        <v/>
      </c>
      <c r="T116" s="10">
        <f>IF(TRIM(M116&amp;"")="","",IF(ISNUMBER(MATCH(TRIM(M116&amp;""),코드표!$C$2:$C$11,0)),TRIM(M116&amp;""),"⚠"&amp;TRIM(M116&amp;"")))</f>
        <v/>
      </c>
      <c r="U116" s="10">
        <f>IF(TRIM(L116&amp;"")="","",IFERROR(INDEX(코드표!$G$2:$G$101,MATCH(TRIM(L116&amp;""),코드표!$F$2:$F$101,0)),"⚠"&amp;TRIM(L116&amp;"")))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IF(ISNUMBER(H116),MAX(0,MIN(IF(ISNUMBER(I116),I116,EOMONTH(요약!$B$3,0)),EOMONTH(요약!$B$3,0))-MAX(H116,요약!$B$3)+1),0)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IF(AND(ISNUMBER(AB116),ISNUMBER(AC116)),MAX(0,MIN(AC116,EOMONTH(요약!$B$3,0))-MAX(AB116,요약!$B$3)+1),0)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IF(TRIM(B117&amp;"")="","",IFERROR(INDEX(코드표!$K$2:$K$101,MATCH(TRIM(B117&amp;""),코드표!$J$2:$J$101,0)),"⚠"&amp;TRIM(B117&amp;"")))</f>
        <v/>
      </c>
      <c r="S117" s="10">
        <f>IF(TRIM(K117&amp;"")="","",IFERROR(INDEX(코드표!$K$2:$K$101,MATCH(TRIM(K117&amp;""),코드표!$J$2:$J$101,0)),"⚠"&amp;TRIM(K117&amp;"")))</f>
        <v/>
      </c>
      <c r="T117" s="10">
        <f>IF(TRIM(M117&amp;"")="","",IF(ISNUMBER(MATCH(TRIM(M117&amp;""),코드표!$C$2:$C$11,0)),TRIM(M117&amp;""),"⚠"&amp;TRIM(M117&amp;"")))</f>
        <v/>
      </c>
      <c r="U117" s="10">
        <f>IF(TRIM(L117&amp;"")="","",IFERROR(INDEX(코드표!$G$2:$G$101,MATCH(TRIM(L117&amp;""),코드표!$F$2:$F$101,0)),"⚠"&amp;TRIM(L117&amp;"")))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IF(ISNUMBER(H117),MAX(0,MIN(IF(ISNUMBER(I117),I117,EOMONTH(요약!$B$3,0)),EOMONTH(요약!$B$3,0))-MAX(H117,요약!$B$3)+1),0)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IF(AND(ISNUMBER(AB117),ISNUMBER(AC117)),MAX(0,MIN(AC117,EOMONTH(요약!$B$3,0))-MAX(AB117,요약!$B$3)+1),0)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IF(TRIM(B118&amp;"")="","",IFERROR(INDEX(코드표!$K$2:$K$101,MATCH(TRIM(B118&amp;""),코드표!$J$2:$J$101,0)),"⚠"&amp;TRIM(B118&amp;"")))</f>
        <v/>
      </c>
      <c r="S118" s="10">
        <f>IF(TRIM(K118&amp;"")="","",IFERROR(INDEX(코드표!$K$2:$K$101,MATCH(TRIM(K118&amp;""),코드표!$J$2:$J$101,0)),"⚠"&amp;TRIM(K118&amp;"")))</f>
        <v/>
      </c>
      <c r="T118" s="10">
        <f>IF(TRIM(M118&amp;"")="","",IF(ISNUMBER(MATCH(TRIM(M118&amp;""),코드표!$C$2:$C$11,0)),TRIM(M118&amp;""),"⚠"&amp;TRIM(M118&amp;"")))</f>
        <v/>
      </c>
      <c r="U118" s="10">
        <f>IF(TRIM(L118&amp;"")="","",IFERROR(INDEX(코드표!$G$2:$G$101,MATCH(TRIM(L118&amp;""),코드표!$F$2:$F$101,0)),"⚠"&amp;TRIM(L118&amp;"")))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IF(ISNUMBER(H118),MAX(0,MIN(IF(ISNUMBER(I118),I118,EOMONTH(요약!$B$3,0)),EOMONTH(요약!$B$3,0))-MAX(H118,요약!$B$3)+1),0)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IF(AND(ISNUMBER(AB118),ISNUMBER(AC118)),MAX(0,MIN(AC118,EOMONTH(요약!$B$3,0))-MAX(AB118,요약!$B$3)+1),0)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IF(TRIM(B119&amp;"")="","",IFERROR(INDEX(코드표!$K$2:$K$101,MATCH(TRIM(B119&amp;""),코드표!$J$2:$J$101,0)),"⚠"&amp;TRIM(B119&amp;"")))</f>
        <v/>
      </c>
      <c r="S119" s="10">
        <f>IF(TRIM(K119&amp;"")="","",IFERROR(INDEX(코드표!$K$2:$K$101,MATCH(TRIM(K119&amp;""),코드표!$J$2:$J$101,0)),"⚠"&amp;TRIM(K119&amp;"")))</f>
        <v/>
      </c>
      <c r="T119" s="10">
        <f>IF(TRIM(M119&amp;"")="","",IF(ISNUMBER(MATCH(TRIM(M119&amp;""),코드표!$C$2:$C$11,0)),TRIM(M119&amp;""),"⚠"&amp;TRIM(M119&amp;"")))</f>
        <v/>
      </c>
      <c r="U119" s="10">
        <f>IF(TRIM(L119&amp;"")="","",IFERROR(INDEX(코드표!$G$2:$G$101,MATCH(TRIM(L119&amp;""),코드표!$F$2:$F$101,0)),"⚠"&amp;TRIM(L119&amp;"")))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IF(ISNUMBER(H119),MAX(0,MIN(IF(ISNUMBER(I119),I119,EOMONTH(요약!$B$3,0)),EOMONTH(요약!$B$3,0))-MAX(H119,요약!$B$3)+1),0)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IF(AND(ISNUMBER(AB119),ISNUMBER(AC119)),MAX(0,MIN(AC119,EOMONTH(요약!$B$3,0))-MAX(AB119,요약!$B$3)+1),0)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IF(TRIM(B120&amp;"")="","",IFERROR(INDEX(코드표!$K$2:$K$101,MATCH(TRIM(B120&amp;""),코드표!$J$2:$J$101,0)),"⚠"&amp;TRIM(B120&amp;"")))</f>
        <v/>
      </c>
      <c r="S120" s="10">
        <f>IF(TRIM(K120&amp;"")="","",IFERROR(INDEX(코드표!$K$2:$K$101,MATCH(TRIM(K120&amp;""),코드표!$J$2:$J$101,0)),"⚠"&amp;TRIM(K120&amp;"")))</f>
        <v/>
      </c>
      <c r="T120" s="10">
        <f>IF(TRIM(M120&amp;"")="","",IF(ISNUMBER(MATCH(TRIM(M120&amp;""),코드표!$C$2:$C$11,0)),TRIM(M120&amp;""),"⚠"&amp;TRIM(M120&amp;"")))</f>
        <v/>
      </c>
      <c r="U120" s="10">
        <f>IF(TRIM(L120&amp;"")="","",IFERROR(INDEX(코드표!$G$2:$G$101,MATCH(TRIM(L120&amp;""),코드표!$F$2:$F$101,0)),"⚠"&amp;TRIM(L120&amp;"")))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IF(ISNUMBER(H120),MAX(0,MIN(IF(ISNUMBER(I120),I120,EOMONTH(요약!$B$3,0)),EOMONTH(요약!$B$3,0))-MAX(H120,요약!$B$3)+1),0)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IF(AND(ISNUMBER(AB120),ISNUMBER(AC120)),MAX(0,MIN(AC120,EOMONTH(요약!$B$3,0))-MAX(AB120,요약!$B$3)+1),0)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IF(TRIM(B121&amp;"")="","",IFERROR(INDEX(코드표!$K$2:$K$101,MATCH(TRIM(B121&amp;""),코드표!$J$2:$J$101,0)),"⚠"&amp;TRIM(B121&amp;"")))</f>
        <v/>
      </c>
      <c r="S121" s="10">
        <f>IF(TRIM(K121&amp;"")="","",IFERROR(INDEX(코드표!$K$2:$K$101,MATCH(TRIM(K121&amp;""),코드표!$J$2:$J$101,0)),"⚠"&amp;TRIM(K121&amp;"")))</f>
        <v/>
      </c>
      <c r="T121" s="10">
        <f>IF(TRIM(M121&amp;"")="","",IF(ISNUMBER(MATCH(TRIM(M121&amp;""),코드표!$C$2:$C$11,0)),TRIM(M121&amp;""),"⚠"&amp;TRIM(M121&amp;"")))</f>
        <v/>
      </c>
      <c r="U121" s="10">
        <f>IF(TRIM(L121&amp;"")="","",IFERROR(INDEX(코드표!$G$2:$G$101,MATCH(TRIM(L121&amp;""),코드표!$F$2:$F$101,0)),"⚠"&amp;TRIM(L121&amp;"")))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IF(ISNUMBER(H121),MAX(0,MIN(IF(ISNUMBER(I121),I121,EOMONTH(요약!$B$3,0)),EOMONTH(요약!$B$3,0))-MAX(H121,요약!$B$3)+1),0)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IF(AND(ISNUMBER(AB121),ISNUMBER(AC121)),MAX(0,MIN(AC121,EOMONTH(요약!$B$3,0))-MAX(AB121,요약!$B$3)+1),0)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IF(TRIM(B122&amp;"")="","",IFERROR(INDEX(코드표!$K$2:$K$101,MATCH(TRIM(B122&amp;""),코드표!$J$2:$J$101,0)),"⚠"&amp;TRIM(B122&amp;"")))</f>
        <v/>
      </c>
      <c r="S122" s="10">
        <f>IF(TRIM(K122&amp;"")="","",IFERROR(INDEX(코드표!$K$2:$K$101,MATCH(TRIM(K122&amp;""),코드표!$J$2:$J$101,0)),"⚠"&amp;TRIM(K122&amp;"")))</f>
        <v/>
      </c>
      <c r="T122" s="10">
        <f>IF(TRIM(M122&amp;"")="","",IF(ISNUMBER(MATCH(TRIM(M122&amp;""),코드표!$C$2:$C$11,0)),TRIM(M122&amp;""),"⚠"&amp;TRIM(M122&amp;"")))</f>
        <v/>
      </c>
      <c r="U122" s="10">
        <f>IF(TRIM(L122&amp;"")="","",IFERROR(INDEX(코드표!$G$2:$G$101,MATCH(TRIM(L122&amp;""),코드표!$F$2:$F$101,0)),"⚠"&amp;TRIM(L122&amp;"")))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IF(ISNUMBER(H122),MAX(0,MIN(IF(ISNUMBER(I122),I122,EOMONTH(요약!$B$3,0)),EOMONTH(요약!$B$3,0))-MAX(H122,요약!$B$3)+1),0)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IF(AND(ISNUMBER(AB122),ISNUMBER(AC122)),MAX(0,MIN(AC122,EOMONTH(요약!$B$3,0))-MAX(AB122,요약!$B$3)+1),0)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IF(TRIM(B123&amp;"")="","",IFERROR(INDEX(코드표!$K$2:$K$101,MATCH(TRIM(B123&amp;""),코드표!$J$2:$J$101,0)),"⚠"&amp;TRIM(B123&amp;"")))</f>
        <v/>
      </c>
      <c r="S123" s="10">
        <f>IF(TRIM(K123&amp;"")="","",IFERROR(INDEX(코드표!$K$2:$K$101,MATCH(TRIM(K123&amp;""),코드표!$J$2:$J$101,0)),"⚠"&amp;TRIM(K123&amp;"")))</f>
        <v/>
      </c>
      <c r="T123" s="10">
        <f>IF(TRIM(M123&amp;"")="","",IF(ISNUMBER(MATCH(TRIM(M123&amp;""),코드표!$C$2:$C$11,0)),TRIM(M123&amp;""),"⚠"&amp;TRIM(M123&amp;"")))</f>
        <v/>
      </c>
      <c r="U123" s="10">
        <f>IF(TRIM(L123&amp;"")="","",IFERROR(INDEX(코드표!$G$2:$G$101,MATCH(TRIM(L123&amp;""),코드표!$F$2:$F$101,0)),"⚠"&amp;TRIM(L123&amp;"")))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IF(ISNUMBER(H123),MAX(0,MIN(IF(ISNUMBER(I123),I123,EOMONTH(요약!$B$3,0)),EOMONTH(요약!$B$3,0))-MAX(H123,요약!$B$3)+1),0)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IF(AND(ISNUMBER(AB123),ISNUMBER(AC123)),MAX(0,MIN(AC123,EOMONTH(요약!$B$3,0))-MAX(AB123,요약!$B$3)+1),0)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IF(TRIM(B124&amp;"")="","",IFERROR(INDEX(코드표!$K$2:$K$101,MATCH(TRIM(B124&amp;""),코드표!$J$2:$J$101,0)),"⚠"&amp;TRIM(B124&amp;"")))</f>
        <v/>
      </c>
      <c r="S124" s="10">
        <f>IF(TRIM(K124&amp;"")="","",IFERROR(INDEX(코드표!$K$2:$K$101,MATCH(TRIM(K124&amp;""),코드표!$J$2:$J$101,0)),"⚠"&amp;TRIM(K124&amp;"")))</f>
        <v/>
      </c>
      <c r="T124" s="10">
        <f>IF(TRIM(M124&amp;"")="","",IF(ISNUMBER(MATCH(TRIM(M124&amp;""),코드표!$C$2:$C$11,0)),TRIM(M124&amp;""),"⚠"&amp;TRIM(M124&amp;"")))</f>
        <v/>
      </c>
      <c r="U124" s="10">
        <f>IF(TRIM(L124&amp;"")="","",IFERROR(INDEX(코드표!$G$2:$G$101,MATCH(TRIM(L124&amp;""),코드표!$F$2:$F$101,0)),"⚠"&amp;TRIM(L124&amp;"")))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IF(ISNUMBER(H124),MAX(0,MIN(IF(ISNUMBER(I124),I124,EOMONTH(요약!$B$3,0)),EOMONTH(요약!$B$3,0))-MAX(H124,요약!$B$3)+1),0)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IF(AND(ISNUMBER(AB124),ISNUMBER(AC124)),MAX(0,MIN(AC124,EOMONTH(요약!$B$3,0))-MAX(AB124,요약!$B$3)+1),0)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IF(TRIM(B125&amp;"")="","",IFERROR(INDEX(코드표!$K$2:$K$101,MATCH(TRIM(B125&amp;""),코드표!$J$2:$J$101,0)),"⚠"&amp;TRIM(B125&amp;"")))</f>
        <v/>
      </c>
      <c r="S125" s="10">
        <f>IF(TRIM(K125&amp;"")="","",IFERROR(INDEX(코드표!$K$2:$K$101,MATCH(TRIM(K125&amp;""),코드표!$J$2:$J$101,0)),"⚠"&amp;TRIM(K125&amp;"")))</f>
        <v/>
      </c>
      <c r="T125" s="10">
        <f>IF(TRIM(M125&amp;"")="","",IF(ISNUMBER(MATCH(TRIM(M125&amp;""),코드표!$C$2:$C$11,0)),TRIM(M125&amp;""),"⚠"&amp;TRIM(M125&amp;"")))</f>
        <v/>
      </c>
      <c r="U125" s="10">
        <f>IF(TRIM(L125&amp;"")="","",IFERROR(INDEX(코드표!$G$2:$G$101,MATCH(TRIM(L125&amp;""),코드표!$F$2:$F$101,0)),"⚠"&amp;TRIM(L125&amp;"")))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IF(ISNUMBER(H125),MAX(0,MIN(IF(ISNUMBER(I125),I125,EOMONTH(요약!$B$3,0)),EOMONTH(요약!$B$3,0))-MAX(H125,요약!$B$3)+1),0)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IF(AND(ISNUMBER(AB125),ISNUMBER(AC125)),MAX(0,MIN(AC125,EOMONTH(요약!$B$3,0))-MAX(AB125,요약!$B$3)+1),0)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IF(TRIM(B126&amp;"")="","",IFERROR(INDEX(코드표!$K$2:$K$101,MATCH(TRIM(B126&amp;""),코드표!$J$2:$J$101,0)),"⚠"&amp;TRIM(B126&amp;"")))</f>
        <v/>
      </c>
      <c r="S126" s="10">
        <f>IF(TRIM(K126&amp;"")="","",IFERROR(INDEX(코드표!$K$2:$K$101,MATCH(TRIM(K126&amp;""),코드표!$J$2:$J$101,0)),"⚠"&amp;TRIM(K126&amp;"")))</f>
        <v/>
      </c>
      <c r="T126" s="10">
        <f>IF(TRIM(M126&amp;"")="","",IF(ISNUMBER(MATCH(TRIM(M126&amp;""),코드표!$C$2:$C$11,0)),TRIM(M126&amp;""),"⚠"&amp;TRIM(M126&amp;"")))</f>
        <v/>
      </c>
      <c r="U126" s="10">
        <f>IF(TRIM(L126&amp;"")="","",IFERROR(INDEX(코드표!$G$2:$G$101,MATCH(TRIM(L126&amp;""),코드표!$F$2:$F$101,0)),"⚠"&amp;TRIM(L126&amp;"")))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IF(ISNUMBER(H126),MAX(0,MIN(IF(ISNUMBER(I126),I126,EOMONTH(요약!$B$3,0)),EOMONTH(요약!$B$3,0))-MAX(H126,요약!$B$3)+1),0)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IF(AND(ISNUMBER(AB126),ISNUMBER(AC126)),MAX(0,MIN(AC126,EOMONTH(요약!$B$3,0))-MAX(AB126,요약!$B$3)+1),0)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IF(TRIM(B127&amp;"")="","",IFERROR(INDEX(코드표!$K$2:$K$101,MATCH(TRIM(B127&amp;""),코드표!$J$2:$J$101,0)),"⚠"&amp;TRIM(B127&amp;"")))</f>
        <v/>
      </c>
      <c r="S127" s="10">
        <f>IF(TRIM(K127&amp;"")="","",IFERROR(INDEX(코드표!$K$2:$K$101,MATCH(TRIM(K127&amp;""),코드표!$J$2:$J$101,0)),"⚠"&amp;TRIM(K127&amp;"")))</f>
        <v/>
      </c>
      <c r="T127" s="10">
        <f>IF(TRIM(M127&amp;"")="","",IF(ISNUMBER(MATCH(TRIM(M127&amp;""),코드표!$C$2:$C$11,0)),TRIM(M127&amp;""),"⚠"&amp;TRIM(M127&amp;"")))</f>
        <v/>
      </c>
      <c r="U127" s="10">
        <f>IF(TRIM(L127&amp;"")="","",IFERROR(INDEX(코드표!$G$2:$G$101,MATCH(TRIM(L127&amp;""),코드표!$F$2:$F$101,0)),"⚠"&amp;TRIM(L127&amp;"")))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IF(ISNUMBER(H127),MAX(0,MIN(IF(ISNUMBER(I127),I127,EOMONTH(요약!$B$3,0)),EOMONTH(요약!$B$3,0))-MAX(H127,요약!$B$3)+1),0)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IF(AND(ISNUMBER(AB127),ISNUMBER(AC127)),MAX(0,MIN(AC127,EOMONTH(요약!$B$3,0))-MAX(AB127,요약!$B$3)+1),0)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IF(TRIM(B128&amp;"")="","",IFERROR(INDEX(코드표!$K$2:$K$101,MATCH(TRIM(B128&amp;""),코드표!$J$2:$J$101,0)),"⚠"&amp;TRIM(B128&amp;"")))</f>
        <v/>
      </c>
      <c r="S128" s="10">
        <f>IF(TRIM(K128&amp;"")="","",IFERROR(INDEX(코드표!$K$2:$K$101,MATCH(TRIM(K128&amp;""),코드표!$J$2:$J$101,0)),"⚠"&amp;TRIM(K128&amp;"")))</f>
        <v/>
      </c>
      <c r="T128" s="10">
        <f>IF(TRIM(M128&amp;"")="","",IF(ISNUMBER(MATCH(TRIM(M128&amp;""),코드표!$C$2:$C$11,0)),TRIM(M128&amp;""),"⚠"&amp;TRIM(M128&amp;"")))</f>
        <v/>
      </c>
      <c r="U128" s="10">
        <f>IF(TRIM(L128&amp;"")="","",IFERROR(INDEX(코드표!$G$2:$G$101,MATCH(TRIM(L128&amp;""),코드표!$F$2:$F$101,0)),"⚠"&amp;TRIM(L128&amp;"")))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IF(ISNUMBER(H128),MAX(0,MIN(IF(ISNUMBER(I128),I128,EOMONTH(요약!$B$3,0)),EOMONTH(요약!$B$3,0))-MAX(H128,요약!$B$3)+1),0)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IF(AND(ISNUMBER(AB128),ISNUMBER(AC128)),MAX(0,MIN(AC128,EOMONTH(요약!$B$3,0))-MAX(AB128,요약!$B$3)+1),0)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IF(TRIM(B129&amp;"")="","",IFERROR(INDEX(코드표!$K$2:$K$101,MATCH(TRIM(B129&amp;""),코드표!$J$2:$J$101,0)),"⚠"&amp;TRIM(B129&amp;"")))</f>
        <v/>
      </c>
      <c r="S129" s="10">
        <f>IF(TRIM(K129&amp;"")="","",IFERROR(INDEX(코드표!$K$2:$K$101,MATCH(TRIM(K129&amp;""),코드표!$J$2:$J$101,0)),"⚠"&amp;TRIM(K129&amp;"")))</f>
        <v/>
      </c>
      <c r="T129" s="10">
        <f>IF(TRIM(M129&amp;"")="","",IF(ISNUMBER(MATCH(TRIM(M129&amp;""),코드표!$C$2:$C$11,0)),TRIM(M129&amp;""),"⚠"&amp;TRIM(M129&amp;"")))</f>
        <v/>
      </c>
      <c r="U129" s="10">
        <f>IF(TRIM(L129&amp;"")="","",IFERROR(INDEX(코드표!$G$2:$G$101,MATCH(TRIM(L129&amp;""),코드표!$F$2:$F$101,0)),"⚠"&amp;TRIM(L129&amp;"")))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IF(ISNUMBER(H129),MAX(0,MIN(IF(ISNUMBER(I129),I129,EOMONTH(요약!$B$3,0)),EOMONTH(요약!$B$3,0))-MAX(H129,요약!$B$3)+1),0)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IF(AND(ISNUMBER(AB129),ISNUMBER(AC129)),MAX(0,MIN(AC129,EOMONTH(요약!$B$3,0))-MAX(AB129,요약!$B$3)+1),0)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IF(TRIM(B130&amp;"")="","",IFERROR(INDEX(코드표!$K$2:$K$101,MATCH(TRIM(B130&amp;""),코드표!$J$2:$J$101,0)),"⚠"&amp;TRIM(B130&amp;"")))</f>
        <v/>
      </c>
      <c r="S130" s="10">
        <f>IF(TRIM(K130&amp;"")="","",IFERROR(INDEX(코드표!$K$2:$K$101,MATCH(TRIM(K130&amp;""),코드표!$J$2:$J$101,0)),"⚠"&amp;TRIM(K130&amp;"")))</f>
        <v/>
      </c>
      <c r="T130" s="10">
        <f>IF(TRIM(M130&amp;"")="","",IF(ISNUMBER(MATCH(TRIM(M130&amp;""),코드표!$C$2:$C$11,0)),TRIM(M130&amp;""),"⚠"&amp;TRIM(M130&amp;"")))</f>
        <v/>
      </c>
      <c r="U130" s="10">
        <f>IF(TRIM(L130&amp;"")="","",IFERROR(INDEX(코드표!$G$2:$G$101,MATCH(TRIM(L130&amp;""),코드표!$F$2:$F$101,0)),"⚠"&amp;TRIM(L130&amp;"")))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IF(ISNUMBER(H130),MAX(0,MIN(IF(ISNUMBER(I130),I130,EOMONTH(요약!$B$3,0)),EOMONTH(요약!$B$3,0))-MAX(H130,요약!$B$3)+1),0)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IF(AND(ISNUMBER(AB130),ISNUMBER(AC130)),MAX(0,MIN(AC130,EOMONTH(요약!$B$3,0))-MAX(AB130,요약!$B$3)+1),0)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IF(TRIM(B131&amp;"")="","",IFERROR(INDEX(코드표!$K$2:$K$101,MATCH(TRIM(B131&amp;""),코드표!$J$2:$J$101,0)),"⚠"&amp;TRIM(B131&amp;"")))</f>
        <v/>
      </c>
      <c r="S131" s="10">
        <f>IF(TRIM(K131&amp;"")="","",IFERROR(INDEX(코드표!$K$2:$K$101,MATCH(TRIM(K131&amp;""),코드표!$J$2:$J$101,0)),"⚠"&amp;TRIM(K131&amp;"")))</f>
        <v/>
      </c>
      <c r="T131" s="10">
        <f>IF(TRIM(M131&amp;"")="","",IF(ISNUMBER(MATCH(TRIM(M131&amp;""),코드표!$C$2:$C$11,0)),TRIM(M131&amp;""),"⚠"&amp;TRIM(M131&amp;"")))</f>
        <v/>
      </c>
      <c r="U131" s="10">
        <f>IF(TRIM(L131&amp;"")="","",IFERROR(INDEX(코드표!$G$2:$G$101,MATCH(TRIM(L131&amp;""),코드표!$F$2:$F$101,0)),"⚠"&amp;TRIM(L131&amp;"")))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IF(ISNUMBER(H131),MAX(0,MIN(IF(ISNUMBER(I131),I131,EOMONTH(요약!$B$3,0)),EOMONTH(요약!$B$3,0))-MAX(H131,요약!$B$3)+1),0)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IF(AND(ISNUMBER(AB131),ISNUMBER(AC131)),MAX(0,MIN(AC131,EOMONTH(요약!$B$3,0))-MAX(AB131,요약!$B$3)+1),0)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IF(TRIM(B132&amp;"")="","",IFERROR(INDEX(코드표!$K$2:$K$101,MATCH(TRIM(B132&amp;""),코드표!$J$2:$J$101,0)),"⚠"&amp;TRIM(B132&amp;"")))</f>
        <v/>
      </c>
      <c r="S132" s="10">
        <f>IF(TRIM(K132&amp;"")="","",IFERROR(INDEX(코드표!$K$2:$K$101,MATCH(TRIM(K132&amp;""),코드표!$J$2:$J$101,0)),"⚠"&amp;TRIM(K132&amp;"")))</f>
        <v/>
      </c>
      <c r="T132" s="10">
        <f>IF(TRIM(M132&amp;"")="","",IF(ISNUMBER(MATCH(TRIM(M132&amp;""),코드표!$C$2:$C$11,0)),TRIM(M132&amp;""),"⚠"&amp;TRIM(M132&amp;"")))</f>
        <v/>
      </c>
      <c r="U132" s="10">
        <f>IF(TRIM(L132&amp;"")="","",IFERROR(INDEX(코드표!$G$2:$G$101,MATCH(TRIM(L132&amp;""),코드표!$F$2:$F$101,0)),"⚠"&amp;TRIM(L132&amp;"")))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IF(ISNUMBER(H132),MAX(0,MIN(IF(ISNUMBER(I132),I132,EOMONTH(요약!$B$3,0)),EOMONTH(요약!$B$3,0))-MAX(H132,요약!$B$3)+1),0)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IF(AND(ISNUMBER(AB132),ISNUMBER(AC132)),MAX(0,MIN(AC132,EOMONTH(요약!$B$3,0))-MAX(AB132,요약!$B$3)+1),0)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IF(TRIM(B133&amp;"")="","",IFERROR(INDEX(코드표!$K$2:$K$101,MATCH(TRIM(B133&amp;""),코드표!$J$2:$J$101,0)),"⚠"&amp;TRIM(B133&amp;"")))</f>
        <v/>
      </c>
      <c r="S133" s="10">
        <f>IF(TRIM(K133&amp;"")="","",IFERROR(INDEX(코드표!$K$2:$K$101,MATCH(TRIM(K133&amp;""),코드표!$J$2:$J$101,0)),"⚠"&amp;TRIM(K133&amp;"")))</f>
        <v/>
      </c>
      <c r="T133" s="10">
        <f>IF(TRIM(M133&amp;"")="","",IF(ISNUMBER(MATCH(TRIM(M133&amp;""),코드표!$C$2:$C$11,0)),TRIM(M133&amp;""),"⚠"&amp;TRIM(M133&amp;"")))</f>
        <v/>
      </c>
      <c r="U133" s="10">
        <f>IF(TRIM(L133&amp;"")="","",IFERROR(INDEX(코드표!$G$2:$G$101,MATCH(TRIM(L133&amp;""),코드표!$F$2:$F$101,0)),"⚠"&amp;TRIM(L133&amp;"")))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IF(ISNUMBER(H133),MAX(0,MIN(IF(ISNUMBER(I133),I133,EOMONTH(요약!$B$3,0)),EOMONTH(요약!$B$3,0))-MAX(H133,요약!$B$3)+1),0)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IF(AND(ISNUMBER(AB133),ISNUMBER(AC133)),MAX(0,MIN(AC133,EOMONTH(요약!$B$3,0))-MAX(AB133,요약!$B$3)+1),0)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IF(TRIM(B134&amp;"")="","",IFERROR(INDEX(코드표!$K$2:$K$101,MATCH(TRIM(B134&amp;""),코드표!$J$2:$J$101,0)),"⚠"&amp;TRIM(B134&amp;"")))</f>
        <v/>
      </c>
      <c r="S134" s="10">
        <f>IF(TRIM(K134&amp;"")="","",IFERROR(INDEX(코드표!$K$2:$K$101,MATCH(TRIM(K134&amp;""),코드표!$J$2:$J$101,0)),"⚠"&amp;TRIM(K134&amp;"")))</f>
        <v/>
      </c>
      <c r="T134" s="10">
        <f>IF(TRIM(M134&amp;"")="","",IF(ISNUMBER(MATCH(TRIM(M134&amp;""),코드표!$C$2:$C$11,0)),TRIM(M134&amp;""),"⚠"&amp;TRIM(M134&amp;"")))</f>
        <v/>
      </c>
      <c r="U134" s="10">
        <f>IF(TRIM(L134&amp;"")="","",IFERROR(INDEX(코드표!$G$2:$G$101,MATCH(TRIM(L134&amp;""),코드표!$F$2:$F$101,0)),"⚠"&amp;TRIM(L134&amp;"")))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IF(ISNUMBER(H134),MAX(0,MIN(IF(ISNUMBER(I134),I134,EOMONTH(요약!$B$3,0)),EOMONTH(요약!$B$3,0))-MAX(H134,요약!$B$3)+1),0)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IF(AND(ISNUMBER(AB134),ISNUMBER(AC134)),MAX(0,MIN(AC134,EOMONTH(요약!$B$3,0))-MAX(AB134,요약!$B$3)+1),0)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IF(TRIM(B135&amp;"")="","",IFERROR(INDEX(코드표!$K$2:$K$101,MATCH(TRIM(B135&amp;""),코드표!$J$2:$J$101,0)),"⚠"&amp;TRIM(B135&amp;"")))</f>
        <v/>
      </c>
      <c r="S135" s="10">
        <f>IF(TRIM(K135&amp;"")="","",IFERROR(INDEX(코드표!$K$2:$K$101,MATCH(TRIM(K135&amp;""),코드표!$J$2:$J$101,0)),"⚠"&amp;TRIM(K135&amp;"")))</f>
        <v/>
      </c>
      <c r="T135" s="10">
        <f>IF(TRIM(M135&amp;"")="","",IF(ISNUMBER(MATCH(TRIM(M135&amp;""),코드표!$C$2:$C$11,0)),TRIM(M135&amp;""),"⚠"&amp;TRIM(M135&amp;"")))</f>
        <v/>
      </c>
      <c r="U135" s="10">
        <f>IF(TRIM(L135&amp;"")="","",IFERROR(INDEX(코드표!$G$2:$G$101,MATCH(TRIM(L135&amp;""),코드표!$F$2:$F$101,0)),"⚠"&amp;TRIM(L135&amp;"")))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IF(ISNUMBER(H135),MAX(0,MIN(IF(ISNUMBER(I135),I135,EOMONTH(요약!$B$3,0)),EOMONTH(요약!$B$3,0))-MAX(H135,요약!$B$3)+1),0)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IF(AND(ISNUMBER(AB135),ISNUMBER(AC135)),MAX(0,MIN(AC135,EOMONTH(요약!$B$3,0))-MAX(AB135,요약!$B$3)+1),0)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IF(TRIM(B136&amp;"")="","",IFERROR(INDEX(코드표!$K$2:$K$101,MATCH(TRIM(B136&amp;""),코드표!$J$2:$J$101,0)),"⚠"&amp;TRIM(B136&amp;"")))</f>
        <v/>
      </c>
      <c r="S136" s="10">
        <f>IF(TRIM(K136&amp;"")="","",IFERROR(INDEX(코드표!$K$2:$K$101,MATCH(TRIM(K136&amp;""),코드표!$J$2:$J$101,0)),"⚠"&amp;TRIM(K136&amp;"")))</f>
        <v/>
      </c>
      <c r="T136" s="10">
        <f>IF(TRIM(M136&amp;"")="","",IF(ISNUMBER(MATCH(TRIM(M136&amp;""),코드표!$C$2:$C$11,0)),TRIM(M136&amp;""),"⚠"&amp;TRIM(M136&amp;"")))</f>
        <v/>
      </c>
      <c r="U136" s="10">
        <f>IF(TRIM(L136&amp;"")="","",IFERROR(INDEX(코드표!$G$2:$G$101,MATCH(TRIM(L136&amp;""),코드표!$F$2:$F$101,0)),"⚠"&amp;TRIM(L136&amp;"")))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IF(ISNUMBER(H136),MAX(0,MIN(IF(ISNUMBER(I136),I136,EOMONTH(요약!$B$3,0)),EOMONTH(요약!$B$3,0))-MAX(H136,요약!$B$3)+1),0)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IF(AND(ISNUMBER(AB136),ISNUMBER(AC136)),MAX(0,MIN(AC136,EOMONTH(요약!$B$3,0))-MAX(AB136,요약!$B$3)+1),0)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IF(TRIM(B137&amp;"")="","",IFERROR(INDEX(코드표!$K$2:$K$101,MATCH(TRIM(B137&amp;""),코드표!$J$2:$J$101,0)),"⚠"&amp;TRIM(B137&amp;"")))</f>
        <v/>
      </c>
      <c r="S137" s="10">
        <f>IF(TRIM(K137&amp;"")="","",IFERROR(INDEX(코드표!$K$2:$K$101,MATCH(TRIM(K137&amp;""),코드표!$J$2:$J$101,0)),"⚠"&amp;TRIM(K137&amp;"")))</f>
        <v/>
      </c>
      <c r="T137" s="10">
        <f>IF(TRIM(M137&amp;"")="","",IF(ISNUMBER(MATCH(TRIM(M137&amp;""),코드표!$C$2:$C$11,0)),TRIM(M137&amp;""),"⚠"&amp;TRIM(M137&amp;"")))</f>
        <v/>
      </c>
      <c r="U137" s="10">
        <f>IF(TRIM(L137&amp;"")="","",IFERROR(INDEX(코드표!$G$2:$G$101,MATCH(TRIM(L137&amp;""),코드표!$F$2:$F$101,0)),"⚠"&amp;TRIM(L137&amp;"")))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IF(ISNUMBER(H137),MAX(0,MIN(IF(ISNUMBER(I137),I137,EOMONTH(요약!$B$3,0)),EOMONTH(요약!$B$3,0))-MAX(H137,요약!$B$3)+1),0)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IF(AND(ISNUMBER(AB137),ISNUMBER(AC137)),MAX(0,MIN(AC137,EOMONTH(요약!$B$3,0))-MAX(AB137,요약!$B$3)+1),0)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IF(TRIM(B138&amp;"")="","",IFERROR(INDEX(코드표!$K$2:$K$101,MATCH(TRIM(B138&amp;""),코드표!$J$2:$J$101,0)),"⚠"&amp;TRIM(B138&amp;"")))</f>
        <v/>
      </c>
      <c r="S138" s="10">
        <f>IF(TRIM(K138&amp;"")="","",IFERROR(INDEX(코드표!$K$2:$K$101,MATCH(TRIM(K138&amp;""),코드표!$J$2:$J$101,0)),"⚠"&amp;TRIM(K138&amp;"")))</f>
        <v/>
      </c>
      <c r="T138" s="10">
        <f>IF(TRIM(M138&amp;"")="","",IF(ISNUMBER(MATCH(TRIM(M138&amp;""),코드표!$C$2:$C$11,0)),TRIM(M138&amp;""),"⚠"&amp;TRIM(M138&amp;"")))</f>
        <v/>
      </c>
      <c r="U138" s="10">
        <f>IF(TRIM(L138&amp;"")="","",IFERROR(INDEX(코드표!$G$2:$G$101,MATCH(TRIM(L138&amp;""),코드표!$F$2:$F$101,0)),"⚠"&amp;TRIM(L138&amp;"")))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IF(ISNUMBER(H138),MAX(0,MIN(IF(ISNUMBER(I138),I138,EOMONTH(요약!$B$3,0)),EOMONTH(요약!$B$3,0))-MAX(H138,요약!$B$3)+1),0)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IF(AND(ISNUMBER(AB138),ISNUMBER(AC138)),MAX(0,MIN(AC138,EOMONTH(요약!$B$3,0))-MAX(AB138,요약!$B$3)+1),0)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IF(TRIM(B139&amp;"")="","",IFERROR(INDEX(코드표!$K$2:$K$101,MATCH(TRIM(B139&amp;""),코드표!$J$2:$J$101,0)),"⚠"&amp;TRIM(B139&amp;"")))</f>
        <v/>
      </c>
      <c r="S139" s="10">
        <f>IF(TRIM(K139&amp;"")="","",IFERROR(INDEX(코드표!$K$2:$K$101,MATCH(TRIM(K139&amp;""),코드표!$J$2:$J$101,0)),"⚠"&amp;TRIM(K139&amp;"")))</f>
        <v/>
      </c>
      <c r="T139" s="10">
        <f>IF(TRIM(M139&amp;"")="","",IF(ISNUMBER(MATCH(TRIM(M139&amp;""),코드표!$C$2:$C$11,0)),TRIM(M139&amp;""),"⚠"&amp;TRIM(M139&amp;"")))</f>
        <v/>
      </c>
      <c r="U139" s="10">
        <f>IF(TRIM(L139&amp;"")="","",IFERROR(INDEX(코드표!$G$2:$G$101,MATCH(TRIM(L139&amp;""),코드표!$F$2:$F$101,0)),"⚠"&amp;TRIM(L139&amp;"")))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IF(ISNUMBER(H139),MAX(0,MIN(IF(ISNUMBER(I139),I139,EOMONTH(요약!$B$3,0)),EOMONTH(요약!$B$3,0))-MAX(H139,요약!$B$3)+1),0)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IF(AND(ISNUMBER(AB139),ISNUMBER(AC139)),MAX(0,MIN(AC139,EOMONTH(요약!$B$3,0))-MAX(AB139,요약!$B$3)+1),0)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IF(TRIM(B140&amp;"")="","",IFERROR(INDEX(코드표!$K$2:$K$101,MATCH(TRIM(B140&amp;""),코드표!$J$2:$J$101,0)),"⚠"&amp;TRIM(B140&amp;"")))</f>
        <v/>
      </c>
      <c r="S140" s="10">
        <f>IF(TRIM(K140&amp;"")="","",IFERROR(INDEX(코드표!$K$2:$K$101,MATCH(TRIM(K140&amp;""),코드표!$J$2:$J$101,0)),"⚠"&amp;TRIM(K140&amp;"")))</f>
        <v/>
      </c>
      <c r="T140" s="10">
        <f>IF(TRIM(M140&amp;"")="","",IF(ISNUMBER(MATCH(TRIM(M140&amp;""),코드표!$C$2:$C$11,0)),TRIM(M140&amp;""),"⚠"&amp;TRIM(M140&amp;"")))</f>
        <v/>
      </c>
      <c r="U140" s="10">
        <f>IF(TRIM(L140&amp;"")="","",IFERROR(INDEX(코드표!$G$2:$G$101,MATCH(TRIM(L140&amp;""),코드표!$F$2:$F$101,0)),"⚠"&amp;TRIM(L140&amp;"")))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IF(ISNUMBER(H140),MAX(0,MIN(IF(ISNUMBER(I140),I140,EOMONTH(요약!$B$3,0)),EOMONTH(요약!$B$3,0))-MAX(H140,요약!$B$3)+1),0)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IF(AND(ISNUMBER(AB140),ISNUMBER(AC140)),MAX(0,MIN(AC140,EOMONTH(요약!$B$3,0))-MAX(AB140,요약!$B$3)+1),0)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IF(TRIM(B141&amp;"")="","",IFERROR(INDEX(코드표!$K$2:$K$101,MATCH(TRIM(B141&amp;""),코드표!$J$2:$J$101,0)),"⚠"&amp;TRIM(B141&amp;"")))</f>
        <v/>
      </c>
      <c r="S141" s="10">
        <f>IF(TRIM(K141&amp;"")="","",IFERROR(INDEX(코드표!$K$2:$K$101,MATCH(TRIM(K141&amp;""),코드표!$J$2:$J$101,0)),"⚠"&amp;TRIM(K141&amp;"")))</f>
        <v/>
      </c>
      <c r="T141" s="10">
        <f>IF(TRIM(M141&amp;"")="","",IF(ISNUMBER(MATCH(TRIM(M141&amp;""),코드표!$C$2:$C$11,0)),TRIM(M141&amp;""),"⚠"&amp;TRIM(M141&amp;"")))</f>
        <v/>
      </c>
      <c r="U141" s="10">
        <f>IF(TRIM(L141&amp;"")="","",IFERROR(INDEX(코드표!$G$2:$G$101,MATCH(TRIM(L141&amp;""),코드표!$F$2:$F$101,0)),"⚠"&amp;TRIM(L141&amp;"")))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IF(ISNUMBER(H141),MAX(0,MIN(IF(ISNUMBER(I141),I141,EOMONTH(요약!$B$3,0)),EOMONTH(요약!$B$3,0))-MAX(H141,요약!$B$3)+1),0)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IF(AND(ISNUMBER(AB141),ISNUMBER(AC141)),MAX(0,MIN(AC141,EOMONTH(요약!$B$3,0))-MAX(AB141,요약!$B$3)+1),0)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IF(TRIM(B142&amp;"")="","",IFERROR(INDEX(코드표!$K$2:$K$101,MATCH(TRIM(B142&amp;""),코드표!$J$2:$J$101,0)),"⚠"&amp;TRIM(B142&amp;"")))</f>
        <v/>
      </c>
      <c r="S142" s="10">
        <f>IF(TRIM(K142&amp;"")="","",IFERROR(INDEX(코드표!$K$2:$K$101,MATCH(TRIM(K142&amp;""),코드표!$J$2:$J$101,0)),"⚠"&amp;TRIM(K142&amp;"")))</f>
        <v/>
      </c>
      <c r="T142" s="10">
        <f>IF(TRIM(M142&amp;"")="","",IF(ISNUMBER(MATCH(TRIM(M142&amp;""),코드표!$C$2:$C$11,0)),TRIM(M142&amp;""),"⚠"&amp;TRIM(M142&amp;"")))</f>
        <v/>
      </c>
      <c r="U142" s="10">
        <f>IF(TRIM(L142&amp;"")="","",IFERROR(INDEX(코드표!$G$2:$G$101,MATCH(TRIM(L142&amp;""),코드표!$F$2:$F$101,0)),"⚠"&amp;TRIM(L142&amp;"")))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IF(ISNUMBER(H142),MAX(0,MIN(IF(ISNUMBER(I142),I142,EOMONTH(요약!$B$3,0)),EOMONTH(요약!$B$3,0))-MAX(H142,요약!$B$3)+1),0)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IF(AND(ISNUMBER(AB142),ISNUMBER(AC142)),MAX(0,MIN(AC142,EOMONTH(요약!$B$3,0))-MAX(AB142,요약!$B$3)+1),0)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IF(TRIM(B143&amp;"")="","",IFERROR(INDEX(코드표!$K$2:$K$101,MATCH(TRIM(B143&amp;""),코드표!$J$2:$J$101,0)),"⚠"&amp;TRIM(B143&amp;"")))</f>
        <v/>
      </c>
      <c r="S143" s="10">
        <f>IF(TRIM(K143&amp;"")="","",IFERROR(INDEX(코드표!$K$2:$K$101,MATCH(TRIM(K143&amp;""),코드표!$J$2:$J$101,0)),"⚠"&amp;TRIM(K143&amp;"")))</f>
        <v/>
      </c>
      <c r="T143" s="10">
        <f>IF(TRIM(M143&amp;"")="","",IF(ISNUMBER(MATCH(TRIM(M143&amp;""),코드표!$C$2:$C$11,0)),TRIM(M143&amp;""),"⚠"&amp;TRIM(M143&amp;"")))</f>
        <v/>
      </c>
      <c r="U143" s="10">
        <f>IF(TRIM(L143&amp;"")="","",IFERROR(INDEX(코드표!$G$2:$G$101,MATCH(TRIM(L143&amp;""),코드표!$F$2:$F$101,0)),"⚠"&amp;TRIM(L143&amp;"")))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IF(ISNUMBER(H143),MAX(0,MIN(IF(ISNUMBER(I143),I143,EOMONTH(요약!$B$3,0)),EOMONTH(요약!$B$3,0))-MAX(H143,요약!$B$3)+1),0)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IF(AND(ISNUMBER(AB143),ISNUMBER(AC143)),MAX(0,MIN(AC143,EOMONTH(요약!$B$3,0))-MAX(AB143,요약!$B$3)+1),0)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IF(TRIM(B144&amp;"")="","",IFERROR(INDEX(코드표!$K$2:$K$101,MATCH(TRIM(B144&amp;""),코드표!$J$2:$J$101,0)),"⚠"&amp;TRIM(B144&amp;"")))</f>
        <v/>
      </c>
      <c r="S144" s="10">
        <f>IF(TRIM(K144&amp;"")="","",IFERROR(INDEX(코드표!$K$2:$K$101,MATCH(TRIM(K144&amp;""),코드표!$J$2:$J$101,0)),"⚠"&amp;TRIM(K144&amp;"")))</f>
        <v/>
      </c>
      <c r="T144" s="10">
        <f>IF(TRIM(M144&amp;"")="","",IF(ISNUMBER(MATCH(TRIM(M144&amp;""),코드표!$C$2:$C$11,0)),TRIM(M144&amp;""),"⚠"&amp;TRIM(M144&amp;"")))</f>
        <v/>
      </c>
      <c r="U144" s="10">
        <f>IF(TRIM(L144&amp;"")="","",IFERROR(INDEX(코드표!$G$2:$G$101,MATCH(TRIM(L144&amp;""),코드표!$F$2:$F$101,0)),"⚠"&amp;TRIM(L144&amp;"")))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IF(ISNUMBER(H144),MAX(0,MIN(IF(ISNUMBER(I144),I144,EOMONTH(요약!$B$3,0)),EOMONTH(요약!$B$3,0))-MAX(H144,요약!$B$3)+1),0)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IF(AND(ISNUMBER(AB144),ISNUMBER(AC144)),MAX(0,MIN(AC144,EOMONTH(요약!$B$3,0))-MAX(AB144,요약!$B$3)+1),0)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IF(TRIM(B145&amp;"")="","",IFERROR(INDEX(코드표!$K$2:$K$101,MATCH(TRIM(B145&amp;""),코드표!$J$2:$J$101,0)),"⚠"&amp;TRIM(B145&amp;"")))</f>
        <v/>
      </c>
      <c r="S145" s="10">
        <f>IF(TRIM(K145&amp;"")="","",IFERROR(INDEX(코드표!$K$2:$K$101,MATCH(TRIM(K145&amp;""),코드표!$J$2:$J$101,0)),"⚠"&amp;TRIM(K145&amp;"")))</f>
        <v/>
      </c>
      <c r="T145" s="10">
        <f>IF(TRIM(M145&amp;"")="","",IF(ISNUMBER(MATCH(TRIM(M145&amp;""),코드표!$C$2:$C$11,0)),TRIM(M145&amp;""),"⚠"&amp;TRIM(M145&amp;"")))</f>
        <v/>
      </c>
      <c r="U145" s="10">
        <f>IF(TRIM(L145&amp;"")="","",IFERROR(INDEX(코드표!$G$2:$G$101,MATCH(TRIM(L145&amp;""),코드표!$F$2:$F$101,0)),"⚠"&amp;TRIM(L145&amp;"")))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IF(ISNUMBER(H145),MAX(0,MIN(IF(ISNUMBER(I145),I145,EOMONTH(요약!$B$3,0)),EOMONTH(요약!$B$3,0))-MAX(H145,요약!$B$3)+1),0)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IF(AND(ISNUMBER(AB145),ISNUMBER(AC145)),MAX(0,MIN(AC145,EOMONTH(요약!$B$3,0))-MAX(AB145,요약!$B$3)+1),0)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IF(TRIM(B146&amp;"")="","",IFERROR(INDEX(코드표!$K$2:$K$101,MATCH(TRIM(B146&amp;""),코드표!$J$2:$J$101,0)),"⚠"&amp;TRIM(B146&amp;"")))</f>
        <v/>
      </c>
      <c r="S146" s="10">
        <f>IF(TRIM(K146&amp;"")="","",IFERROR(INDEX(코드표!$K$2:$K$101,MATCH(TRIM(K146&amp;""),코드표!$J$2:$J$101,0)),"⚠"&amp;TRIM(K146&amp;"")))</f>
        <v/>
      </c>
      <c r="T146" s="10">
        <f>IF(TRIM(M146&amp;"")="","",IF(ISNUMBER(MATCH(TRIM(M146&amp;""),코드표!$C$2:$C$11,0)),TRIM(M146&amp;""),"⚠"&amp;TRIM(M146&amp;"")))</f>
        <v/>
      </c>
      <c r="U146" s="10">
        <f>IF(TRIM(L146&amp;"")="","",IFERROR(INDEX(코드표!$G$2:$G$101,MATCH(TRIM(L146&amp;""),코드표!$F$2:$F$101,0)),"⚠"&amp;TRIM(L146&amp;"")))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IF(ISNUMBER(H146),MAX(0,MIN(IF(ISNUMBER(I146),I146,EOMONTH(요약!$B$3,0)),EOMONTH(요약!$B$3,0))-MAX(H146,요약!$B$3)+1),0)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IF(AND(ISNUMBER(AB146),ISNUMBER(AC146)),MAX(0,MIN(AC146,EOMONTH(요약!$B$3,0))-MAX(AB146,요약!$B$3)+1),0)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IF(TRIM(B147&amp;"")="","",IFERROR(INDEX(코드표!$K$2:$K$101,MATCH(TRIM(B147&amp;""),코드표!$J$2:$J$101,0)),"⚠"&amp;TRIM(B147&amp;"")))</f>
        <v/>
      </c>
      <c r="S147" s="10">
        <f>IF(TRIM(K147&amp;"")="","",IFERROR(INDEX(코드표!$K$2:$K$101,MATCH(TRIM(K147&amp;""),코드표!$J$2:$J$101,0)),"⚠"&amp;TRIM(K147&amp;"")))</f>
        <v/>
      </c>
      <c r="T147" s="10">
        <f>IF(TRIM(M147&amp;"")="","",IF(ISNUMBER(MATCH(TRIM(M147&amp;""),코드표!$C$2:$C$11,0)),TRIM(M147&amp;""),"⚠"&amp;TRIM(M147&amp;"")))</f>
        <v/>
      </c>
      <c r="U147" s="10">
        <f>IF(TRIM(L147&amp;"")="","",IFERROR(INDEX(코드표!$G$2:$G$101,MATCH(TRIM(L147&amp;""),코드표!$F$2:$F$101,0)),"⚠"&amp;TRIM(L147&amp;"")))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IF(ISNUMBER(H147),MAX(0,MIN(IF(ISNUMBER(I147),I147,EOMONTH(요약!$B$3,0)),EOMONTH(요약!$B$3,0))-MAX(H147,요약!$B$3)+1),0)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IF(AND(ISNUMBER(AB147),ISNUMBER(AC147)),MAX(0,MIN(AC147,EOMONTH(요약!$B$3,0))-MAX(AB147,요약!$B$3)+1),0)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IF(TRIM(B148&amp;"")="","",IFERROR(INDEX(코드표!$K$2:$K$101,MATCH(TRIM(B148&amp;""),코드표!$J$2:$J$101,0)),"⚠"&amp;TRIM(B148&amp;"")))</f>
        <v/>
      </c>
      <c r="S148" s="10">
        <f>IF(TRIM(K148&amp;"")="","",IFERROR(INDEX(코드표!$K$2:$K$101,MATCH(TRIM(K148&amp;""),코드표!$J$2:$J$101,0)),"⚠"&amp;TRIM(K148&amp;"")))</f>
        <v/>
      </c>
      <c r="T148" s="10">
        <f>IF(TRIM(M148&amp;"")="","",IF(ISNUMBER(MATCH(TRIM(M148&amp;""),코드표!$C$2:$C$11,0)),TRIM(M148&amp;""),"⚠"&amp;TRIM(M148&amp;"")))</f>
        <v/>
      </c>
      <c r="U148" s="10">
        <f>IF(TRIM(L148&amp;"")="","",IFERROR(INDEX(코드표!$G$2:$G$101,MATCH(TRIM(L148&amp;""),코드표!$F$2:$F$101,0)),"⚠"&amp;TRIM(L148&amp;"")))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IF(ISNUMBER(H148),MAX(0,MIN(IF(ISNUMBER(I148),I148,EOMONTH(요약!$B$3,0)),EOMONTH(요약!$B$3,0))-MAX(H148,요약!$B$3)+1),0)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IF(AND(ISNUMBER(AB148),ISNUMBER(AC148)),MAX(0,MIN(AC148,EOMONTH(요약!$B$3,0))-MAX(AB148,요약!$B$3)+1),0)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IF(TRIM(B149&amp;"")="","",IFERROR(INDEX(코드표!$K$2:$K$101,MATCH(TRIM(B149&amp;""),코드표!$J$2:$J$101,0)),"⚠"&amp;TRIM(B149&amp;"")))</f>
        <v/>
      </c>
      <c r="S149" s="10">
        <f>IF(TRIM(K149&amp;"")="","",IFERROR(INDEX(코드표!$K$2:$K$101,MATCH(TRIM(K149&amp;""),코드표!$J$2:$J$101,0)),"⚠"&amp;TRIM(K149&amp;"")))</f>
        <v/>
      </c>
      <c r="T149" s="10">
        <f>IF(TRIM(M149&amp;"")="","",IF(ISNUMBER(MATCH(TRIM(M149&amp;""),코드표!$C$2:$C$11,0)),TRIM(M149&amp;""),"⚠"&amp;TRIM(M149&amp;"")))</f>
        <v/>
      </c>
      <c r="U149" s="10">
        <f>IF(TRIM(L149&amp;"")="","",IFERROR(INDEX(코드표!$G$2:$G$101,MATCH(TRIM(L149&amp;""),코드표!$F$2:$F$101,0)),"⚠"&amp;TRIM(L149&amp;"")))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IF(ISNUMBER(H149),MAX(0,MIN(IF(ISNUMBER(I149),I149,EOMONTH(요약!$B$3,0)),EOMONTH(요약!$B$3,0))-MAX(H149,요약!$B$3)+1),0)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IF(AND(ISNUMBER(AB149),ISNUMBER(AC149)),MAX(0,MIN(AC149,EOMONTH(요약!$B$3,0))-MAX(AB149,요약!$B$3)+1),0)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IF(TRIM(B150&amp;"")="","",IFERROR(INDEX(코드표!$K$2:$K$101,MATCH(TRIM(B150&amp;""),코드표!$J$2:$J$101,0)),"⚠"&amp;TRIM(B150&amp;"")))</f>
        <v/>
      </c>
      <c r="S150" s="10">
        <f>IF(TRIM(K150&amp;"")="","",IFERROR(INDEX(코드표!$K$2:$K$101,MATCH(TRIM(K150&amp;""),코드표!$J$2:$J$101,0)),"⚠"&amp;TRIM(K150&amp;"")))</f>
        <v/>
      </c>
      <c r="T150" s="10">
        <f>IF(TRIM(M150&amp;"")="","",IF(ISNUMBER(MATCH(TRIM(M150&amp;""),코드표!$C$2:$C$11,0)),TRIM(M150&amp;""),"⚠"&amp;TRIM(M150&amp;"")))</f>
        <v/>
      </c>
      <c r="U150" s="10">
        <f>IF(TRIM(L150&amp;"")="","",IFERROR(INDEX(코드표!$G$2:$G$101,MATCH(TRIM(L150&amp;""),코드표!$F$2:$F$101,0)),"⚠"&amp;TRIM(L150&amp;"")))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IF(ISNUMBER(H150),MAX(0,MIN(IF(ISNUMBER(I150),I150,EOMONTH(요약!$B$3,0)),EOMONTH(요약!$B$3,0))-MAX(H150,요약!$B$3)+1),0)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IF(AND(ISNUMBER(AB150),ISNUMBER(AC150)),MAX(0,MIN(AC150,EOMONTH(요약!$B$3,0))-MAX(AB150,요약!$B$3)+1),0)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IF(TRIM(B151&amp;"")="","",IFERROR(INDEX(코드표!$K$2:$K$101,MATCH(TRIM(B151&amp;""),코드표!$J$2:$J$101,0)),"⚠"&amp;TRIM(B151&amp;"")))</f>
        <v/>
      </c>
      <c r="S151" s="10">
        <f>IF(TRIM(K151&amp;"")="","",IFERROR(INDEX(코드표!$K$2:$K$101,MATCH(TRIM(K151&amp;""),코드표!$J$2:$J$101,0)),"⚠"&amp;TRIM(K151&amp;"")))</f>
        <v/>
      </c>
      <c r="T151" s="10">
        <f>IF(TRIM(M151&amp;"")="","",IF(ISNUMBER(MATCH(TRIM(M151&amp;""),코드표!$C$2:$C$11,0)),TRIM(M151&amp;""),"⚠"&amp;TRIM(M151&amp;"")))</f>
        <v/>
      </c>
      <c r="U151" s="10">
        <f>IF(TRIM(L151&amp;"")="","",IFERROR(INDEX(코드표!$G$2:$G$101,MATCH(TRIM(L151&amp;""),코드표!$F$2:$F$101,0)),"⚠"&amp;TRIM(L151&amp;"")))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IF(ISNUMBER(H151),MAX(0,MIN(IF(ISNUMBER(I151),I151,EOMONTH(요약!$B$3,0)),EOMONTH(요약!$B$3,0))-MAX(H151,요약!$B$3)+1),0)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IF(AND(ISNUMBER(AB151),ISNUMBER(AC151)),MAX(0,MIN(AC151,EOMONTH(요약!$B$3,0))-MAX(AB151,요약!$B$3)+1),0)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IF(TRIM(B152&amp;"")="","",IFERROR(INDEX(코드표!$K$2:$K$101,MATCH(TRIM(B152&amp;""),코드표!$J$2:$J$101,0)),"⚠"&amp;TRIM(B152&amp;"")))</f>
        <v/>
      </c>
      <c r="S152" s="10">
        <f>IF(TRIM(K152&amp;"")="","",IFERROR(INDEX(코드표!$K$2:$K$101,MATCH(TRIM(K152&amp;""),코드표!$J$2:$J$101,0)),"⚠"&amp;TRIM(K152&amp;"")))</f>
        <v/>
      </c>
      <c r="T152" s="10">
        <f>IF(TRIM(M152&amp;"")="","",IF(ISNUMBER(MATCH(TRIM(M152&amp;""),코드표!$C$2:$C$11,0)),TRIM(M152&amp;""),"⚠"&amp;TRIM(M152&amp;"")))</f>
        <v/>
      </c>
      <c r="U152" s="10">
        <f>IF(TRIM(L152&amp;"")="","",IFERROR(INDEX(코드표!$G$2:$G$101,MATCH(TRIM(L152&amp;""),코드표!$F$2:$F$101,0)),"⚠"&amp;TRIM(L152&amp;"")))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IF(ISNUMBER(H152),MAX(0,MIN(IF(ISNUMBER(I152),I152,EOMONTH(요약!$B$3,0)),EOMONTH(요약!$B$3,0))-MAX(H152,요약!$B$3)+1),0)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IF(AND(ISNUMBER(AB152),ISNUMBER(AC152)),MAX(0,MIN(AC152,EOMONTH(요약!$B$3,0))-MAX(AB152,요약!$B$3)+1),0)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IF(TRIM(B153&amp;"")="","",IFERROR(INDEX(코드표!$K$2:$K$101,MATCH(TRIM(B153&amp;""),코드표!$J$2:$J$101,0)),"⚠"&amp;TRIM(B153&amp;"")))</f>
        <v/>
      </c>
      <c r="S153" s="10">
        <f>IF(TRIM(K153&amp;"")="","",IFERROR(INDEX(코드표!$K$2:$K$101,MATCH(TRIM(K153&amp;""),코드표!$J$2:$J$101,0)),"⚠"&amp;TRIM(K153&amp;"")))</f>
        <v/>
      </c>
      <c r="T153" s="10">
        <f>IF(TRIM(M153&amp;"")="","",IF(ISNUMBER(MATCH(TRIM(M153&amp;""),코드표!$C$2:$C$11,0)),TRIM(M153&amp;""),"⚠"&amp;TRIM(M153&amp;"")))</f>
        <v/>
      </c>
      <c r="U153" s="10">
        <f>IF(TRIM(L153&amp;"")="","",IFERROR(INDEX(코드표!$G$2:$G$101,MATCH(TRIM(L153&amp;""),코드표!$F$2:$F$101,0)),"⚠"&amp;TRIM(L153&amp;"")))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IF(ISNUMBER(H153),MAX(0,MIN(IF(ISNUMBER(I153),I153,EOMONTH(요약!$B$3,0)),EOMONTH(요약!$B$3,0))-MAX(H153,요약!$B$3)+1),0)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IF(AND(ISNUMBER(AB153),ISNUMBER(AC153)),MAX(0,MIN(AC153,EOMONTH(요약!$B$3,0))-MAX(AB153,요약!$B$3)+1),0)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IF(TRIM(B154&amp;"")="","",IFERROR(INDEX(코드표!$K$2:$K$101,MATCH(TRIM(B154&amp;""),코드표!$J$2:$J$101,0)),"⚠"&amp;TRIM(B154&amp;"")))</f>
        <v/>
      </c>
      <c r="S154" s="10">
        <f>IF(TRIM(K154&amp;"")="","",IFERROR(INDEX(코드표!$K$2:$K$101,MATCH(TRIM(K154&amp;""),코드표!$J$2:$J$101,0)),"⚠"&amp;TRIM(K154&amp;"")))</f>
        <v/>
      </c>
      <c r="T154" s="10">
        <f>IF(TRIM(M154&amp;"")="","",IF(ISNUMBER(MATCH(TRIM(M154&amp;""),코드표!$C$2:$C$11,0)),TRIM(M154&amp;""),"⚠"&amp;TRIM(M154&amp;"")))</f>
        <v/>
      </c>
      <c r="U154" s="10">
        <f>IF(TRIM(L154&amp;"")="","",IFERROR(INDEX(코드표!$G$2:$G$101,MATCH(TRIM(L154&amp;""),코드표!$F$2:$F$101,0)),"⚠"&amp;TRIM(L154&amp;"")))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IF(ISNUMBER(H154),MAX(0,MIN(IF(ISNUMBER(I154),I154,EOMONTH(요약!$B$3,0)),EOMONTH(요약!$B$3,0))-MAX(H154,요약!$B$3)+1),0)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IF(AND(ISNUMBER(AB154),ISNUMBER(AC154)),MAX(0,MIN(AC154,EOMONTH(요약!$B$3,0))-MAX(AB154,요약!$B$3)+1),0)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IF(TRIM(B155&amp;"")="","",IFERROR(INDEX(코드표!$K$2:$K$101,MATCH(TRIM(B155&amp;""),코드표!$J$2:$J$101,0)),"⚠"&amp;TRIM(B155&amp;"")))</f>
        <v/>
      </c>
      <c r="S155" s="10">
        <f>IF(TRIM(K155&amp;"")="","",IFERROR(INDEX(코드표!$K$2:$K$101,MATCH(TRIM(K155&amp;""),코드표!$J$2:$J$101,0)),"⚠"&amp;TRIM(K155&amp;"")))</f>
        <v/>
      </c>
      <c r="T155" s="10">
        <f>IF(TRIM(M155&amp;"")="","",IF(ISNUMBER(MATCH(TRIM(M155&amp;""),코드표!$C$2:$C$11,0)),TRIM(M155&amp;""),"⚠"&amp;TRIM(M155&amp;"")))</f>
        <v/>
      </c>
      <c r="U155" s="10">
        <f>IF(TRIM(L155&amp;"")="","",IFERROR(INDEX(코드표!$G$2:$G$101,MATCH(TRIM(L155&amp;""),코드표!$F$2:$F$101,0)),"⚠"&amp;TRIM(L155&amp;"")))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IF(ISNUMBER(H155),MAX(0,MIN(IF(ISNUMBER(I155),I155,EOMONTH(요약!$B$3,0)),EOMONTH(요약!$B$3,0))-MAX(H155,요약!$B$3)+1),0)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IF(AND(ISNUMBER(AB155),ISNUMBER(AC155)),MAX(0,MIN(AC155,EOMONTH(요약!$B$3,0))-MAX(AB155,요약!$B$3)+1),0)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IF(TRIM(B156&amp;"")="","",IFERROR(INDEX(코드표!$K$2:$K$101,MATCH(TRIM(B156&amp;""),코드표!$J$2:$J$101,0)),"⚠"&amp;TRIM(B156&amp;"")))</f>
        <v/>
      </c>
      <c r="S156" s="10">
        <f>IF(TRIM(K156&amp;"")="","",IFERROR(INDEX(코드표!$K$2:$K$101,MATCH(TRIM(K156&amp;""),코드표!$J$2:$J$101,0)),"⚠"&amp;TRIM(K156&amp;"")))</f>
        <v/>
      </c>
      <c r="T156" s="10">
        <f>IF(TRIM(M156&amp;"")="","",IF(ISNUMBER(MATCH(TRIM(M156&amp;""),코드표!$C$2:$C$11,0)),TRIM(M156&amp;""),"⚠"&amp;TRIM(M156&amp;"")))</f>
        <v/>
      </c>
      <c r="U156" s="10">
        <f>IF(TRIM(L156&amp;"")="","",IFERROR(INDEX(코드표!$G$2:$G$101,MATCH(TRIM(L156&amp;""),코드표!$F$2:$F$101,0)),"⚠"&amp;TRIM(L156&amp;"")))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IF(ISNUMBER(H156),MAX(0,MIN(IF(ISNUMBER(I156),I156,EOMONTH(요약!$B$3,0)),EOMONTH(요약!$B$3,0))-MAX(H156,요약!$B$3)+1),0)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IF(AND(ISNUMBER(AB156),ISNUMBER(AC156)),MAX(0,MIN(AC156,EOMONTH(요약!$B$3,0))-MAX(AB156,요약!$B$3)+1),0)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IF(TRIM(B157&amp;"")="","",IFERROR(INDEX(코드표!$K$2:$K$101,MATCH(TRIM(B157&amp;""),코드표!$J$2:$J$101,0)),"⚠"&amp;TRIM(B157&amp;"")))</f>
        <v/>
      </c>
      <c r="S157" s="10">
        <f>IF(TRIM(K157&amp;"")="","",IFERROR(INDEX(코드표!$K$2:$K$101,MATCH(TRIM(K157&amp;""),코드표!$J$2:$J$101,0)),"⚠"&amp;TRIM(K157&amp;"")))</f>
        <v/>
      </c>
      <c r="T157" s="10">
        <f>IF(TRIM(M157&amp;"")="","",IF(ISNUMBER(MATCH(TRIM(M157&amp;""),코드표!$C$2:$C$11,0)),TRIM(M157&amp;""),"⚠"&amp;TRIM(M157&amp;"")))</f>
        <v/>
      </c>
      <c r="U157" s="10">
        <f>IF(TRIM(L157&amp;"")="","",IFERROR(INDEX(코드표!$G$2:$G$101,MATCH(TRIM(L157&amp;""),코드표!$F$2:$F$101,0)),"⚠"&amp;TRIM(L157&amp;"")))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IF(ISNUMBER(H157),MAX(0,MIN(IF(ISNUMBER(I157),I157,EOMONTH(요약!$B$3,0)),EOMONTH(요약!$B$3,0))-MAX(H157,요약!$B$3)+1),0)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IF(AND(ISNUMBER(AB157),ISNUMBER(AC157)),MAX(0,MIN(AC157,EOMONTH(요약!$B$3,0))-MAX(AB157,요약!$B$3)+1),0)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IF(TRIM(B158&amp;"")="","",IFERROR(INDEX(코드표!$K$2:$K$101,MATCH(TRIM(B158&amp;""),코드표!$J$2:$J$101,0)),"⚠"&amp;TRIM(B158&amp;"")))</f>
        <v/>
      </c>
      <c r="S158" s="10">
        <f>IF(TRIM(K158&amp;"")="","",IFERROR(INDEX(코드표!$K$2:$K$101,MATCH(TRIM(K158&amp;""),코드표!$J$2:$J$101,0)),"⚠"&amp;TRIM(K158&amp;"")))</f>
        <v/>
      </c>
      <c r="T158" s="10">
        <f>IF(TRIM(M158&amp;"")="","",IF(ISNUMBER(MATCH(TRIM(M158&amp;""),코드표!$C$2:$C$11,0)),TRIM(M158&amp;""),"⚠"&amp;TRIM(M158&amp;"")))</f>
        <v/>
      </c>
      <c r="U158" s="10">
        <f>IF(TRIM(L158&amp;"")="","",IFERROR(INDEX(코드표!$G$2:$G$101,MATCH(TRIM(L158&amp;""),코드표!$F$2:$F$101,0)),"⚠"&amp;TRIM(L158&amp;"")))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IF(ISNUMBER(H158),MAX(0,MIN(IF(ISNUMBER(I158),I158,EOMONTH(요약!$B$3,0)),EOMONTH(요약!$B$3,0))-MAX(H158,요약!$B$3)+1),0)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IF(AND(ISNUMBER(AB158),ISNUMBER(AC158)),MAX(0,MIN(AC158,EOMONTH(요약!$B$3,0))-MAX(AB158,요약!$B$3)+1),0)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IF(TRIM(B159&amp;"")="","",IFERROR(INDEX(코드표!$K$2:$K$101,MATCH(TRIM(B159&amp;""),코드표!$J$2:$J$101,0)),"⚠"&amp;TRIM(B159&amp;"")))</f>
        <v/>
      </c>
      <c r="S159" s="10">
        <f>IF(TRIM(K159&amp;"")="","",IFERROR(INDEX(코드표!$K$2:$K$101,MATCH(TRIM(K159&amp;""),코드표!$J$2:$J$101,0)),"⚠"&amp;TRIM(K159&amp;"")))</f>
        <v/>
      </c>
      <c r="T159" s="10">
        <f>IF(TRIM(M159&amp;"")="","",IF(ISNUMBER(MATCH(TRIM(M159&amp;""),코드표!$C$2:$C$11,0)),TRIM(M159&amp;""),"⚠"&amp;TRIM(M159&amp;"")))</f>
        <v/>
      </c>
      <c r="U159" s="10">
        <f>IF(TRIM(L159&amp;"")="","",IFERROR(INDEX(코드표!$G$2:$G$101,MATCH(TRIM(L159&amp;""),코드표!$F$2:$F$101,0)),"⚠"&amp;TRIM(L159&amp;"")))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IF(ISNUMBER(H159),MAX(0,MIN(IF(ISNUMBER(I159),I159,EOMONTH(요약!$B$3,0)),EOMONTH(요약!$B$3,0))-MAX(H159,요약!$B$3)+1),0)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IF(AND(ISNUMBER(AB159),ISNUMBER(AC159)),MAX(0,MIN(AC159,EOMONTH(요약!$B$3,0))-MAX(AB159,요약!$B$3)+1),0)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IF(TRIM(B160&amp;"")="","",IFERROR(INDEX(코드표!$K$2:$K$101,MATCH(TRIM(B160&amp;""),코드표!$J$2:$J$101,0)),"⚠"&amp;TRIM(B160&amp;"")))</f>
        <v/>
      </c>
      <c r="S160" s="10">
        <f>IF(TRIM(K160&amp;"")="","",IFERROR(INDEX(코드표!$K$2:$K$101,MATCH(TRIM(K160&amp;""),코드표!$J$2:$J$101,0)),"⚠"&amp;TRIM(K160&amp;"")))</f>
        <v/>
      </c>
      <c r="T160" s="10">
        <f>IF(TRIM(M160&amp;"")="","",IF(ISNUMBER(MATCH(TRIM(M160&amp;""),코드표!$C$2:$C$11,0)),TRIM(M160&amp;""),"⚠"&amp;TRIM(M160&amp;"")))</f>
        <v/>
      </c>
      <c r="U160" s="10">
        <f>IF(TRIM(L160&amp;"")="","",IFERROR(INDEX(코드표!$G$2:$G$101,MATCH(TRIM(L160&amp;""),코드표!$F$2:$F$101,0)),"⚠"&amp;TRIM(L160&amp;"")))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IF(ISNUMBER(H160),MAX(0,MIN(IF(ISNUMBER(I160),I160,EOMONTH(요약!$B$3,0)),EOMONTH(요약!$B$3,0))-MAX(H160,요약!$B$3)+1),0)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IF(AND(ISNUMBER(AB160),ISNUMBER(AC160)),MAX(0,MIN(AC160,EOMONTH(요약!$B$3,0))-MAX(AB160,요약!$B$3)+1),0)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IF(TRIM(B161&amp;"")="","",IFERROR(INDEX(코드표!$K$2:$K$101,MATCH(TRIM(B161&amp;""),코드표!$J$2:$J$101,0)),"⚠"&amp;TRIM(B161&amp;"")))</f>
        <v/>
      </c>
      <c r="S161" s="10">
        <f>IF(TRIM(K161&amp;"")="","",IFERROR(INDEX(코드표!$K$2:$K$101,MATCH(TRIM(K161&amp;""),코드표!$J$2:$J$101,0)),"⚠"&amp;TRIM(K161&amp;"")))</f>
        <v/>
      </c>
      <c r="T161" s="10">
        <f>IF(TRIM(M161&amp;"")="","",IF(ISNUMBER(MATCH(TRIM(M161&amp;""),코드표!$C$2:$C$11,0)),TRIM(M161&amp;""),"⚠"&amp;TRIM(M161&amp;"")))</f>
        <v/>
      </c>
      <c r="U161" s="10">
        <f>IF(TRIM(L161&amp;"")="","",IFERROR(INDEX(코드표!$G$2:$G$101,MATCH(TRIM(L161&amp;""),코드표!$F$2:$F$101,0)),"⚠"&amp;TRIM(L161&amp;"")))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IF(ISNUMBER(H161),MAX(0,MIN(IF(ISNUMBER(I161),I161,EOMONTH(요약!$B$3,0)),EOMONTH(요약!$B$3,0))-MAX(H161,요약!$B$3)+1),0)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IF(AND(ISNUMBER(AB161),ISNUMBER(AC161)),MAX(0,MIN(AC161,EOMONTH(요약!$B$3,0))-MAX(AB161,요약!$B$3)+1),0)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IF(TRIM(B162&amp;"")="","",IFERROR(INDEX(코드표!$K$2:$K$101,MATCH(TRIM(B162&amp;""),코드표!$J$2:$J$101,0)),"⚠"&amp;TRIM(B162&amp;"")))</f>
        <v/>
      </c>
      <c r="S162" s="10">
        <f>IF(TRIM(K162&amp;"")="","",IFERROR(INDEX(코드표!$K$2:$K$101,MATCH(TRIM(K162&amp;""),코드표!$J$2:$J$101,0)),"⚠"&amp;TRIM(K162&amp;"")))</f>
        <v/>
      </c>
      <c r="T162" s="10">
        <f>IF(TRIM(M162&amp;"")="","",IF(ISNUMBER(MATCH(TRIM(M162&amp;""),코드표!$C$2:$C$11,0)),TRIM(M162&amp;""),"⚠"&amp;TRIM(M162&amp;"")))</f>
        <v/>
      </c>
      <c r="U162" s="10">
        <f>IF(TRIM(L162&amp;"")="","",IFERROR(INDEX(코드표!$G$2:$G$101,MATCH(TRIM(L162&amp;""),코드표!$F$2:$F$101,0)),"⚠"&amp;TRIM(L162&amp;"")))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IF(ISNUMBER(H162),MAX(0,MIN(IF(ISNUMBER(I162),I162,EOMONTH(요약!$B$3,0)),EOMONTH(요약!$B$3,0))-MAX(H162,요약!$B$3)+1),0)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IF(AND(ISNUMBER(AB162),ISNUMBER(AC162)),MAX(0,MIN(AC162,EOMONTH(요약!$B$3,0))-MAX(AB162,요약!$B$3)+1),0)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IF(TRIM(B163&amp;"")="","",IFERROR(INDEX(코드표!$K$2:$K$101,MATCH(TRIM(B163&amp;""),코드표!$J$2:$J$101,0)),"⚠"&amp;TRIM(B163&amp;"")))</f>
        <v/>
      </c>
      <c r="S163" s="10">
        <f>IF(TRIM(K163&amp;"")="","",IFERROR(INDEX(코드표!$K$2:$K$101,MATCH(TRIM(K163&amp;""),코드표!$J$2:$J$101,0)),"⚠"&amp;TRIM(K163&amp;"")))</f>
        <v/>
      </c>
      <c r="T163" s="10">
        <f>IF(TRIM(M163&amp;"")="","",IF(ISNUMBER(MATCH(TRIM(M163&amp;""),코드표!$C$2:$C$11,0)),TRIM(M163&amp;""),"⚠"&amp;TRIM(M163&amp;"")))</f>
        <v/>
      </c>
      <c r="U163" s="10">
        <f>IF(TRIM(L163&amp;"")="","",IFERROR(INDEX(코드표!$G$2:$G$101,MATCH(TRIM(L163&amp;""),코드표!$F$2:$F$101,0)),"⚠"&amp;TRIM(L163&amp;"")))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IF(ISNUMBER(H163),MAX(0,MIN(IF(ISNUMBER(I163),I163,EOMONTH(요약!$B$3,0)),EOMONTH(요약!$B$3,0))-MAX(H163,요약!$B$3)+1),0)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IF(AND(ISNUMBER(AB163),ISNUMBER(AC163)),MAX(0,MIN(AC163,EOMONTH(요약!$B$3,0))-MAX(AB163,요약!$B$3)+1),0)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IF(TRIM(B164&amp;"")="","",IFERROR(INDEX(코드표!$K$2:$K$101,MATCH(TRIM(B164&amp;""),코드표!$J$2:$J$101,0)),"⚠"&amp;TRIM(B164&amp;"")))</f>
        <v/>
      </c>
      <c r="S164" s="10">
        <f>IF(TRIM(K164&amp;"")="","",IFERROR(INDEX(코드표!$K$2:$K$101,MATCH(TRIM(K164&amp;""),코드표!$J$2:$J$101,0)),"⚠"&amp;TRIM(K164&amp;"")))</f>
        <v/>
      </c>
      <c r="T164" s="10">
        <f>IF(TRIM(M164&amp;"")="","",IF(ISNUMBER(MATCH(TRIM(M164&amp;""),코드표!$C$2:$C$11,0)),TRIM(M164&amp;""),"⚠"&amp;TRIM(M164&amp;"")))</f>
        <v/>
      </c>
      <c r="U164" s="10">
        <f>IF(TRIM(L164&amp;"")="","",IFERROR(INDEX(코드표!$G$2:$G$101,MATCH(TRIM(L164&amp;""),코드표!$F$2:$F$101,0)),"⚠"&amp;TRIM(L164&amp;"")))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IF(ISNUMBER(H164),MAX(0,MIN(IF(ISNUMBER(I164),I164,EOMONTH(요약!$B$3,0)),EOMONTH(요약!$B$3,0))-MAX(H164,요약!$B$3)+1),0)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IF(AND(ISNUMBER(AB164),ISNUMBER(AC164)),MAX(0,MIN(AC164,EOMONTH(요약!$B$3,0))-MAX(AB164,요약!$B$3)+1),0)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IF(TRIM(B165&amp;"")="","",IFERROR(INDEX(코드표!$K$2:$K$101,MATCH(TRIM(B165&amp;""),코드표!$J$2:$J$101,0)),"⚠"&amp;TRIM(B165&amp;"")))</f>
        <v/>
      </c>
      <c r="S165" s="10">
        <f>IF(TRIM(K165&amp;"")="","",IFERROR(INDEX(코드표!$K$2:$K$101,MATCH(TRIM(K165&amp;""),코드표!$J$2:$J$101,0)),"⚠"&amp;TRIM(K165&amp;"")))</f>
        <v/>
      </c>
      <c r="T165" s="10">
        <f>IF(TRIM(M165&amp;"")="","",IF(ISNUMBER(MATCH(TRIM(M165&amp;""),코드표!$C$2:$C$11,0)),TRIM(M165&amp;""),"⚠"&amp;TRIM(M165&amp;"")))</f>
        <v/>
      </c>
      <c r="U165" s="10">
        <f>IF(TRIM(L165&amp;"")="","",IFERROR(INDEX(코드표!$G$2:$G$101,MATCH(TRIM(L165&amp;""),코드표!$F$2:$F$101,0)),"⚠"&amp;TRIM(L165&amp;"")))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IF(ISNUMBER(H165),MAX(0,MIN(IF(ISNUMBER(I165),I165,EOMONTH(요약!$B$3,0)),EOMONTH(요약!$B$3,0))-MAX(H165,요약!$B$3)+1),0)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IF(AND(ISNUMBER(AB165),ISNUMBER(AC165)),MAX(0,MIN(AC165,EOMONTH(요약!$B$3,0))-MAX(AB165,요약!$B$3)+1),0)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IF(TRIM(B166&amp;"")="","",IFERROR(INDEX(코드표!$K$2:$K$101,MATCH(TRIM(B166&amp;""),코드표!$J$2:$J$101,0)),"⚠"&amp;TRIM(B166&amp;"")))</f>
        <v/>
      </c>
      <c r="S166" s="10">
        <f>IF(TRIM(K166&amp;"")="","",IFERROR(INDEX(코드표!$K$2:$K$101,MATCH(TRIM(K166&amp;""),코드표!$J$2:$J$101,0)),"⚠"&amp;TRIM(K166&amp;"")))</f>
        <v/>
      </c>
      <c r="T166" s="10">
        <f>IF(TRIM(M166&amp;"")="","",IF(ISNUMBER(MATCH(TRIM(M166&amp;""),코드표!$C$2:$C$11,0)),TRIM(M166&amp;""),"⚠"&amp;TRIM(M166&amp;"")))</f>
        <v/>
      </c>
      <c r="U166" s="10">
        <f>IF(TRIM(L166&amp;"")="","",IFERROR(INDEX(코드표!$G$2:$G$101,MATCH(TRIM(L166&amp;""),코드표!$F$2:$F$101,0)),"⚠"&amp;TRIM(L166&amp;"")))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IF(ISNUMBER(H166),MAX(0,MIN(IF(ISNUMBER(I166),I166,EOMONTH(요약!$B$3,0)),EOMONTH(요약!$B$3,0))-MAX(H166,요약!$B$3)+1),0)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IF(AND(ISNUMBER(AB166),ISNUMBER(AC166)),MAX(0,MIN(AC166,EOMONTH(요약!$B$3,0))-MAX(AB166,요약!$B$3)+1),0)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IF(TRIM(B167&amp;"")="","",IFERROR(INDEX(코드표!$K$2:$K$101,MATCH(TRIM(B167&amp;""),코드표!$J$2:$J$101,0)),"⚠"&amp;TRIM(B167&amp;"")))</f>
        <v/>
      </c>
      <c r="S167" s="10">
        <f>IF(TRIM(K167&amp;"")="","",IFERROR(INDEX(코드표!$K$2:$K$101,MATCH(TRIM(K167&amp;""),코드표!$J$2:$J$101,0)),"⚠"&amp;TRIM(K167&amp;"")))</f>
        <v/>
      </c>
      <c r="T167" s="10">
        <f>IF(TRIM(M167&amp;"")="","",IF(ISNUMBER(MATCH(TRIM(M167&amp;""),코드표!$C$2:$C$11,0)),TRIM(M167&amp;""),"⚠"&amp;TRIM(M167&amp;"")))</f>
        <v/>
      </c>
      <c r="U167" s="10">
        <f>IF(TRIM(L167&amp;"")="","",IFERROR(INDEX(코드표!$G$2:$G$101,MATCH(TRIM(L167&amp;""),코드표!$F$2:$F$101,0)),"⚠"&amp;TRIM(L167&amp;"")))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IF(ISNUMBER(H167),MAX(0,MIN(IF(ISNUMBER(I167),I167,EOMONTH(요약!$B$3,0)),EOMONTH(요약!$B$3,0))-MAX(H167,요약!$B$3)+1),0)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IF(AND(ISNUMBER(AB167),ISNUMBER(AC167)),MAX(0,MIN(AC167,EOMONTH(요약!$B$3,0))-MAX(AB167,요약!$B$3)+1),0)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IF(TRIM(B168&amp;"")="","",IFERROR(INDEX(코드표!$K$2:$K$101,MATCH(TRIM(B168&amp;""),코드표!$J$2:$J$101,0)),"⚠"&amp;TRIM(B168&amp;"")))</f>
        <v/>
      </c>
      <c r="S168" s="10">
        <f>IF(TRIM(K168&amp;"")="","",IFERROR(INDEX(코드표!$K$2:$K$101,MATCH(TRIM(K168&amp;""),코드표!$J$2:$J$101,0)),"⚠"&amp;TRIM(K168&amp;"")))</f>
        <v/>
      </c>
      <c r="T168" s="10">
        <f>IF(TRIM(M168&amp;"")="","",IF(ISNUMBER(MATCH(TRIM(M168&amp;""),코드표!$C$2:$C$11,0)),TRIM(M168&amp;""),"⚠"&amp;TRIM(M168&amp;"")))</f>
        <v/>
      </c>
      <c r="U168" s="10">
        <f>IF(TRIM(L168&amp;"")="","",IFERROR(INDEX(코드표!$G$2:$G$101,MATCH(TRIM(L168&amp;""),코드표!$F$2:$F$101,0)),"⚠"&amp;TRIM(L168&amp;"")))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IF(ISNUMBER(H168),MAX(0,MIN(IF(ISNUMBER(I168),I168,EOMONTH(요약!$B$3,0)),EOMONTH(요약!$B$3,0))-MAX(H168,요약!$B$3)+1),0)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IF(AND(ISNUMBER(AB168),ISNUMBER(AC168)),MAX(0,MIN(AC168,EOMONTH(요약!$B$3,0))-MAX(AB168,요약!$B$3)+1),0)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IF(TRIM(B169&amp;"")="","",IFERROR(INDEX(코드표!$K$2:$K$101,MATCH(TRIM(B169&amp;""),코드표!$J$2:$J$101,0)),"⚠"&amp;TRIM(B169&amp;"")))</f>
        <v/>
      </c>
      <c r="S169" s="10">
        <f>IF(TRIM(K169&amp;"")="","",IFERROR(INDEX(코드표!$K$2:$K$101,MATCH(TRIM(K169&amp;""),코드표!$J$2:$J$101,0)),"⚠"&amp;TRIM(K169&amp;"")))</f>
        <v/>
      </c>
      <c r="T169" s="10">
        <f>IF(TRIM(M169&amp;"")="","",IF(ISNUMBER(MATCH(TRIM(M169&amp;""),코드표!$C$2:$C$11,0)),TRIM(M169&amp;""),"⚠"&amp;TRIM(M169&amp;"")))</f>
        <v/>
      </c>
      <c r="U169" s="10">
        <f>IF(TRIM(L169&amp;"")="","",IFERROR(INDEX(코드표!$G$2:$G$101,MATCH(TRIM(L169&amp;""),코드표!$F$2:$F$101,0)),"⚠"&amp;TRIM(L169&amp;"")))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IF(ISNUMBER(H169),MAX(0,MIN(IF(ISNUMBER(I169),I169,EOMONTH(요약!$B$3,0)),EOMONTH(요약!$B$3,0))-MAX(H169,요약!$B$3)+1),0)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IF(AND(ISNUMBER(AB169),ISNUMBER(AC169)),MAX(0,MIN(AC169,EOMONTH(요약!$B$3,0))-MAX(AB169,요약!$B$3)+1),0)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IF(TRIM(B170&amp;"")="","",IFERROR(INDEX(코드표!$K$2:$K$101,MATCH(TRIM(B170&amp;""),코드표!$J$2:$J$101,0)),"⚠"&amp;TRIM(B170&amp;"")))</f>
        <v/>
      </c>
      <c r="S170" s="10">
        <f>IF(TRIM(K170&amp;"")="","",IFERROR(INDEX(코드표!$K$2:$K$101,MATCH(TRIM(K170&amp;""),코드표!$J$2:$J$101,0)),"⚠"&amp;TRIM(K170&amp;"")))</f>
        <v/>
      </c>
      <c r="T170" s="10">
        <f>IF(TRIM(M170&amp;"")="","",IF(ISNUMBER(MATCH(TRIM(M170&amp;""),코드표!$C$2:$C$11,0)),TRIM(M170&amp;""),"⚠"&amp;TRIM(M170&amp;"")))</f>
        <v/>
      </c>
      <c r="U170" s="10">
        <f>IF(TRIM(L170&amp;"")="","",IFERROR(INDEX(코드표!$G$2:$G$101,MATCH(TRIM(L170&amp;""),코드표!$F$2:$F$101,0)),"⚠"&amp;TRIM(L170&amp;"")))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IF(ISNUMBER(H170),MAX(0,MIN(IF(ISNUMBER(I170),I170,EOMONTH(요약!$B$3,0)),EOMONTH(요약!$B$3,0))-MAX(H170,요약!$B$3)+1),0)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IF(AND(ISNUMBER(AB170),ISNUMBER(AC170)),MAX(0,MIN(AC170,EOMONTH(요약!$B$3,0))-MAX(AB170,요약!$B$3)+1),0)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IF(TRIM(B171&amp;"")="","",IFERROR(INDEX(코드표!$K$2:$K$101,MATCH(TRIM(B171&amp;""),코드표!$J$2:$J$101,0)),"⚠"&amp;TRIM(B171&amp;"")))</f>
        <v/>
      </c>
      <c r="S171" s="10">
        <f>IF(TRIM(K171&amp;"")="","",IFERROR(INDEX(코드표!$K$2:$K$101,MATCH(TRIM(K171&amp;""),코드표!$J$2:$J$101,0)),"⚠"&amp;TRIM(K171&amp;"")))</f>
        <v/>
      </c>
      <c r="T171" s="10">
        <f>IF(TRIM(M171&amp;"")="","",IF(ISNUMBER(MATCH(TRIM(M171&amp;""),코드표!$C$2:$C$11,0)),TRIM(M171&amp;""),"⚠"&amp;TRIM(M171&amp;"")))</f>
        <v/>
      </c>
      <c r="U171" s="10">
        <f>IF(TRIM(L171&amp;"")="","",IFERROR(INDEX(코드표!$G$2:$G$101,MATCH(TRIM(L171&amp;""),코드표!$F$2:$F$101,0)),"⚠"&amp;TRIM(L171&amp;"")))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IF(ISNUMBER(H171),MAX(0,MIN(IF(ISNUMBER(I171),I171,EOMONTH(요약!$B$3,0)),EOMONTH(요약!$B$3,0))-MAX(H171,요약!$B$3)+1),0)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IF(AND(ISNUMBER(AB171),ISNUMBER(AC171)),MAX(0,MIN(AC171,EOMONTH(요약!$B$3,0))-MAX(AB171,요약!$B$3)+1),0)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IF(TRIM(B172&amp;"")="","",IFERROR(INDEX(코드표!$K$2:$K$101,MATCH(TRIM(B172&amp;""),코드표!$J$2:$J$101,0)),"⚠"&amp;TRIM(B172&amp;"")))</f>
        <v/>
      </c>
      <c r="S172" s="10">
        <f>IF(TRIM(K172&amp;"")="","",IFERROR(INDEX(코드표!$K$2:$K$101,MATCH(TRIM(K172&amp;""),코드표!$J$2:$J$101,0)),"⚠"&amp;TRIM(K172&amp;"")))</f>
        <v/>
      </c>
      <c r="T172" s="10">
        <f>IF(TRIM(M172&amp;"")="","",IF(ISNUMBER(MATCH(TRIM(M172&amp;""),코드표!$C$2:$C$11,0)),TRIM(M172&amp;""),"⚠"&amp;TRIM(M172&amp;"")))</f>
        <v/>
      </c>
      <c r="U172" s="10">
        <f>IF(TRIM(L172&amp;"")="","",IFERROR(INDEX(코드표!$G$2:$G$101,MATCH(TRIM(L172&amp;""),코드표!$F$2:$F$101,0)),"⚠"&amp;TRIM(L172&amp;"")))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IF(ISNUMBER(H172),MAX(0,MIN(IF(ISNUMBER(I172),I172,EOMONTH(요약!$B$3,0)),EOMONTH(요약!$B$3,0))-MAX(H172,요약!$B$3)+1),0)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IF(AND(ISNUMBER(AB172),ISNUMBER(AC172)),MAX(0,MIN(AC172,EOMONTH(요약!$B$3,0))-MAX(AB172,요약!$B$3)+1),0)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IF(TRIM(B173&amp;"")="","",IFERROR(INDEX(코드표!$K$2:$K$101,MATCH(TRIM(B173&amp;""),코드표!$J$2:$J$101,0)),"⚠"&amp;TRIM(B173&amp;"")))</f>
        <v/>
      </c>
      <c r="S173" s="10">
        <f>IF(TRIM(K173&amp;"")="","",IFERROR(INDEX(코드표!$K$2:$K$101,MATCH(TRIM(K173&amp;""),코드표!$J$2:$J$101,0)),"⚠"&amp;TRIM(K173&amp;"")))</f>
        <v/>
      </c>
      <c r="T173" s="10">
        <f>IF(TRIM(M173&amp;"")="","",IF(ISNUMBER(MATCH(TRIM(M173&amp;""),코드표!$C$2:$C$11,0)),TRIM(M173&amp;""),"⚠"&amp;TRIM(M173&amp;"")))</f>
        <v/>
      </c>
      <c r="U173" s="10">
        <f>IF(TRIM(L173&amp;"")="","",IFERROR(INDEX(코드표!$G$2:$G$101,MATCH(TRIM(L173&amp;""),코드표!$F$2:$F$101,0)),"⚠"&amp;TRIM(L173&amp;"")))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IF(ISNUMBER(H173),MAX(0,MIN(IF(ISNUMBER(I173),I173,EOMONTH(요약!$B$3,0)),EOMONTH(요약!$B$3,0))-MAX(H173,요약!$B$3)+1),0)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IF(AND(ISNUMBER(AB173),ISNUMBER(AC173)),MAX(0,MIN(AC173,EOMONTH(요약!$B$3,0))-MAX(AB173,요약!$B$3)+1),0)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IF(TRIM(B174&amp;"")="","",IFERROR(INDEX(코드표!$K$2:$K$101,MATCH(TRIM(B174&amp;""),코드표!$J$2:$J$101,0)),"⚠"&amp;TRIM(B174&amp;"")))</f>
        <v/>
      </c>
      <c r="S174" s="10">
        <f>IF(TRIM(K174&amp;"")="","",IFERROR(INDEX(코드표!$K$2:$K$101,MATCH(TRIM(K174&amp;""),코드표!$J$2:$J$101,0)),"⚠"&amp;TRIM(K174&amp;"")))</f>
        <v/>
      </c>
      <c r="T174" s="10">
        <f>IF(TRIM(M174&amp;"")="","",IF(ISNUMBER(MATCH(TRIM(M174&amp;""),코드표!$C$2:$C$11,0)),TRIM(M174&amp;""),"⚠"&amp;TRIM(M174&amp;"")))</f>
        <v/>
      </c>
      <c r="U174" s="10">
        <f>IF(TRIM(L174&amp;"")="","",IFERROR(INDEX(코드표!$G$2:$G$101,MATCH(TRIM(L174&amp;""),코드표!$F$2:$F$101,0)),"⚠"&amp;TRIM(L174&amp;"")))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IF(ISNUMBER(H174),MAX(0,MIN(IF(ISNUMBER(I174),I174,EOMONTH(요약!$B$3,0)),EOMONTH(요약!$B$3,0))-MAX(H174,요약!$B$3)+1),0)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IF(AND(ISNUMBER(AB174),ISNUMBER(AC174)),MAX(0,MIN(AC174,EOMONTH(요약!$B$3,0))-MAX(AB174,요약!$B$3)+1),0)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IF(TRIM(B175&amp;"")="","",IFERROR(INDEX(코드표!$K$2:$K$101,MATCH(TRIM(B175&amp;""),코드표!$J$2:$J$101,0)),"⚠"&amp;TRIM(B175&amp;"")))</f>
        <v/>
      </c>
      <c r="S175" s="10">
        <f>IF(TRIM(K175&amp;"")="","",IFERROR(INDEX(코드표!$K$2:$K$101,MATCH(TRIM(K175&amp;""),코드표!$J$2:$J$101,0)),"⚠"&amp;TRIM(K175&amp;"")))</f>
        <v/>
      </c>
      <c r="T175" s="10">
        <f>IF(TRIM(M175&amp;"")="","",IF(ISNUMBER(MATCH(TRIM(M175&amp;""),코드표!$C$2:$C$11,0)),TRIM(M175&amp;""),"⚠"&amp;TRIM(M175&amp;"")))</f>
        <v/>
      </c>
      <c r="U175" s="10">
        <f>IF(TRIM(L175&amp;"")="","",IFERROR(INDEX(코드표!$G$2:$G$101,MATCH(TRIM(L175&amp;""),코드표!$F$2:$F$101,0)),"⚠"&amp;TRIM(L175&amp;"")))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IF(ISNUMBER(H175),MAX(0,MIN(IF(ISNUMBER(I175),I175,EOMONTH(요약!$B$3,0)),EOMONTH(요약!$B$3,0))-MAX(H175,요약!$B$3)+1),0)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IF(AND(ISNUMBER(AB175),ISNUMBER(AC175)),MAX(0,MIN(AC175,EOMONTH(요약!$B$3,0))-MAX(AB175,요약!$B$3)+1),0)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IF(TRIM(B176&amp;"")="","",IFERROR(INDEX(코드표!$K$2:$K$101,MATCH(TRIM(B176&amp;""),코드표!$J$2:$J$101,0)),"⚠"&amp;TRIM(B176&amp;"")))</f>
        <v/>
      </c>
      <c r="S176" s="10">
        <f>IF(TRIM(K176&amp;"")="","",IFERROR(INDEX(코드표!$K$2:$K$101,MATCH(TRIM(K176&amp;""),코드표!$J$2:$J$101,0)),"⚠"&amp;TRIM(K176&amp;"")))</f>
        <v/>
      </c>
      <c r="T176" s="10">
        <f>IF(TRIM(M176&amp;"")="","",IF(ISNUMBER(MATCH(TRIM(M176&amp;""),코드표!$C$2:$C$11,0)),TRIM(M176&amp;""),"⚠"&amp;TRIM(M176&amp;"")))</f>
        <v/>
      </c>
      <c r="U176" s="10">
        <f>IF(TRIM(L176&amp;"")="","",IFERROR(INDEX(코드표!$G$2:$G$101,MATCH(TRIM(L176&amp;""),코드표!$F$2:$F$101,0)),"⚠"&amp;TRIM(L176&amp;"")))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IF(ISNUMBER(H176),MAX(0,MIN(IF(ISNUMBER(I176),I176,EOMONTH(요약!$B$3,0)),EOMONTH(요약!$B$3,0))-MAX(H176,요약!$B$3)+1),0)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IF(AND(ISNUMBER(AB176),ISNUMBER(AC176)),MAX(0,MIN(AC176,EOMONTH(요약!$B$3,0))-MAX(AB176,요약!$B$3)+1),0)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IF(TRIM(B177&amp;"")="","",IFERROR(INDEX(코드표!$K$2:$K$101,MATCH(TRIM(B177&amp;""),코드표!$J$2:$J$101,0)),"⚠"&amp;TRIM(B177&amp;"")))</f>
        <v/>
      </c>
      <c r="S177" s="10">
        <f>IF(TRIM(K177&amp;"")="","",IFERROR(INDEX(코드표!$K$2:$K$101,MATCH(TRIM(K177&amp;""),코드표!$J$2:$J$101,0)),"⚠"&amp;TRIM(K177&amp;"")))</f>
        <v/>
      </c>
      <c r="T177" s="10">
        <f>IF(TRIM(M177&amp;"")="","",IF(ISNUMBER(MATCH(TRIM(M177&amp;""),코드표!$C$2:$C$11,0)),TRIM(M177&amp;""),"⚠"&amp;TRIM(M177&amp;"")))</f>
        <v/>
      </c>
      <c r="U177" s="10">
        <f>IF(TRIM(L177&amp;"")="","",IFERROR(INDEX(코드표!$G$2:$G$101,MATCH(TRIM(L177&amp;""),코드표!$F$2:$F$101,0)),"⚠"&amp;TRIM(L177&amp;"")))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IF(ISNUMBER(H177),MAX(0,MIN(IF(ISNUMBER(I177),I177,EOMONTH(요약!$B$3,0)),EOMONTH(요약!$B$3,0))-MAX(H177,요약!$B$3)+1),0)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IF(AND(ISNUMBER(AB177),ISNUMBER(AC177)),MAX(0,MIN(AC177,EOMONTH(요약!$B$3,0))-MAX(AB177,요약!$B$3)+1),0)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IF(TRIM(B178&amp;"")="","",IFERROR(INDEX(코드표!$K$2:$K$101,MATCH(TRIM(B178&amp;""),코드표!$J$2:$J$101,0)),"⚠"&amp;TRIM(B178&amp;"")))</f>
        <v/>
      </c>
      <c r="S178" s="10">
        <f>IF(TRIM(K178&amp;"")="","",IFERROR(INDEX(코드표!$K$2:$K$101,MATCH(TRIM(K178&amp;""),코드표!$J$2:$J$101,0)),"⚠"&amp;TRIM(K178&amp;"")))</f>
        <v/>
      </c>
      <c r="T178" s="10">
        <f>IF(TRIM(M178&amp;"")="","",IF(ISNUMBER(MATCH(TRIM(M178&amp;""),코드표!$C$2:$C$11,0)),TRIM(M178&amp;""),"⚠"&amp;TRIM(M178&amp;"")))</f>
        <v/>
      </c>
      <c r="U178" s="10">
        <f>IF(TRIM(L178&amp;"")="","",IFERROR(INDEX(코드표!$G$2:$G$101,MATCH(TRIM(L178&amp;""),코드표!$F$2:$F$101,0)),"⚠"&amp;TRIM(L178&amp;"")))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IF(ISNUMBER(H178),MAX(0,MIN(IF(ISNUMBER(I178),I178,EOMONTH(요약!$B$3,0)),EOMONTH(요약!$B$3,0))-MAX(H178,요약!$B$3)+1),0)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IF(AND(ISNUMBER(AB178),ISNUMBER(AC178)),MAX(0,MIN(AC178,EOMONTH(요약!$B$3,0))-MAX(AB178,요약!$B$3)+1),0)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IF(TRIM(B179&amp;"")="","",IFERROR(INDEX(코드표!$K$2:$K$101,MATCH(TRIM(B179&amp;""),코드표!$J$2:$J$101,0)),"⚠"&amp;TRIM(B179&amp;"")))</f>
        <v/>
      </c>
      <c r="S179" s="10">
        <f>IF(TRIM(K179&amp;"")="","",IFERROR(INDEX(코드표!$K$2:$K$101,MATCH(TRIM(K179&amp;""),코드표!$J$2:$J$101,0)),"⚠"&amp;TRIM(K179&amp;"")))</f>
        <v/>
      </c>
      <c r="T179" s="10">
        <f>IF(TRIM(M179&amp;"")="","",IF(ISNUMBER(MATCH(TRIM(M179&amp;""),코드표!$C$2:$C$11,0)),TRIM(M179&amp;""),"⚠"&amp;TRIM(M179&amp;"")))</f>
        <v/>
      </c>
      <c r="U179" s="10">
        <f>IF(TRIM(L179&amp;"")="","",IFERROR(INDEX(코드표!$G$2:$G$101,MATCH(TRIM(L179&amp;""),코드표!$F$2:$F$101,0)),"⚠"&amp;TRIM(L179&amp;"")))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IF(ISNUMBER(H179),MAX(0,MIN(IF(ISNUMBER(I179),I179,EOMONTH(요약!$B$3,0)),EOMONTH(요약!$B$3,0))-MAX(H179,요약!$B$3)+1),0)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IF(AND(ISNUMBER(AB179),ISNUMBER(AC179)),MAX(0,MIN(AC179,EOMONTH(요약!$B$3,0))-MAX(AB179,요약!$B$3)+1),0)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IF(TRIM(B180&amp;"")="","",IFERROR(INDEX(코드표!$K$2:$K$101,MATCH(TRIM(B180&amp;""),코드표!$J$2:$J$101,0)),"⚠"&amp;TRIM(B180&amp;"")))</f>
        <v/>
      </c>
      <c r="S180" s="10">
        <f>IF(TRIM(K180&amp;"")="","",IFERROR(INDEX(코드표!$K$2:$K$101,MATCH(TRIM(K180&amp;""),코드표!$J$2:$J$101,0)),"⚠"&amp;TRIM(K180&amp;"")))</f>
        <v/>
      </c>
      <c r="T180" s="10">
        <f>IF(TRIM(M180&amp;"")="","",IF(ISNUMBER(MATCH(TRIM(M180&amp;""),코드표!$C$2:$C$11,0)),TRIM(M180&amp;""),"⚠"&amp;TRIM(M180&amp;"")))</f>
        <v/>
      </c>
      <c r="U180" s="10">
        <f>IF(TRIM(L180&amp;"")="","",IFERROR(INDEX(코드표!$G$2:$G$101,MATCH(TRIM(L180&amp;""),코드표!$F$2:$F$101,0)),"⚠"&amp;TRIM(L180&amp;"")))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IF(ISNUMBER(H180),MAX(0,MIN(IF(ISNUMBER(I180),I180,EOMONTH(요약!$B$3,0)),EOMONTH(요약!$B$3,0))-MAX(H180,요약!$B$3)+1),0)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IF(AND(ISNUMBER(AB180),ISNUMBER(AC180)),MAX(0,MIN(AC180,EOMONTH(요약!$B$3,0))-MAX(AB180,요약!$B$3)+1),0)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IF(TRIM(B181&amp;"")="","",IFERROR(INDEX(코드표!$K$2:$K$101,MATCH(TRIM(B181&amp;""),코드표!$J$2:$J$101,0)),"⚠"&amp;TRIM(B181&amp;"")))</f>
        <v/>
      </c>
      <c r="S181" s="10">
        <f>IF(TRIM(K181&amp;"")="","",IFERROR(INDEX(코드표!$K$2:$K$101,MATCH(TRIM(K181&amp;""),코드표!$J$2:$J$101,0)),"⚠"&amp;TRIM(K181&amp;"")))</f>
        <v/>
      </c>
      <c r="T181" s="10">
        <f>IF(TRIM(M181&amp;"")="","",IF(ISNUMBER(MATCH(TRIM(M181&amp;""),코드표!$C$2:$C$11,0)),TRIM(M181&amp;""),"⚠"&amp;TRIM(M181&amp;"")))</f>
        <v/>
      </c>
      <c r="U181" s="10">
        <f>IF(TRIM(L181&amp;"")="","",IFERROR(INDEX(코드표!$G$2:$G$101,MATCH(TRIM(L181&amp;""),코드표!$F$2:$F$101,0)),"⚠"&amp;TRIM(L181&amp;"")))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IF(ISNUMBER(H181),MAX(0,MIN(IF(ISNUMBER(I181),I181,EOMONTH(요약!$B$3,0)),EOMONTH(요약!$B$3,0))-MAX(H181,요약!$B$3)+1),0)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IF(AND(ISNUMBER(AB181),ISNUMBER(AC181)),MAX(0,MIN(AC181,EOMONTH(요약!$B$3,0))-MAX(AB181,요약!$B$3)+1),0)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IF(TRIM(B182&amp;"")="","",IFERROR(INDEX(코드표!$K$2:$K$101,MATCH(TRIM(B182&amp;""),코드표!$J$2:$J$101,0)),"⚠"&amp;TRIM(B182&amp;"")))</f>
        <v/>
      </c>
      <c r="S182" s="10">
        <f>IF(TRIM(K182&amp;"")="","",IFERROR(INDEX(코드표!$K$2:$K$101,MATCH(TRIM(K182&amp;""),코드표!$J$2:$J$101,0)),"⚠"&amp;TRIM(K182&amp;"")))</f>
        <v/>
      </c>
      <c r="T182" s="10">
        <f>IF(TRIM(M182&amp;"")="","",IF(ISNUMBER(MATCH(TRIM(M182&amp;""),코드표!$C$2:$C$11,0)),TRIM(M182&amp;""),"⚠"&amp;TRIM(M182&amp;"")))</f>
        <v/>
      </c>
      <c r="U182" s="10">
        <f>IF(TRIM(L182&amp;"")="","",IFERROR(INDEX(코드표!$G$2:$G$101,MATCH(TRIM(L182&amp;""),코드표!$F$2:$F$101,0)),"⚠"&amp;TRIM(L182&amp;"")))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IF(ISNUMBER(H182),MAX(0,MIN(IF(ISNUMBER(I182),I182,EOMONTH(요약!$B$3,0)),EOMONTH(요약!$B$3,0))-MAX(H182,요약!$B$3)+1),0)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IF(AND(ISNUMBER(AB182),ISNUMBER(AC182)),MAX(0,MIN(AC182,EOMONTH(요약!$B$3,0))-MAX(AB182,요약!$B$3)+1),0)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IF(TRIM(B183&amp;"")="","",IFERROR(INDEX(코드표!$K$2:$K$101,MATCH(TRIM(B183&amp;""),코드표!$J$2:$J$101,0)),"⚠"&amp;TRIM(B183&amp;"")))</f>
        <v/>
      </c>
      <c r="S183" s="10">
        <f>IF(TRIM(K183&amp;"")="","",IFERROR(INDEX(코드표!$K$2:$K$101,MATCH(TRIM(K183&amp;""),코드표!$J$2:$J$101,0)),"⚠"&amp;TRIM(K183&amp;"")))</f>
        <v/>
      </c>
      <c r="T183" s="10">
        <f>IF(TRIM(M183&amp;"")="","",IF(ISNUMBER(MATCH(TRIM(M183&amp;""),코드표!$C$2:$C$11,0)),TRIM(M183&amp;""),"⚠"&amp;TRIM(M183&amp;"")))</f>
        <v/>
      </c>
      <c r="U183" s="10">
        <f>IF(TRIM(L183&amp;"")="","",IFERROR(INDEX(코드표!$G$2:$G$101,MATCH(TRIM(L183&amp;""),코드표!$F$2:$F$101,0)),"⚠"&amp;TRIM(L183&amp;"")))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IF(ISNUMBER(H183),MAX(0,MIN(IF(ISNUMBER(I183),I183,EOMONTH(요약!$B$3,0)),EOMONTH(요약!$B$3,0))-MAX(H183,요약!$B$3)+1),0)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IF(AND(ISNUMBER(AB183),ISNUMBER(AC183)),MAX(0,MIN(AC183,EOMONTH(요약!$B$3,0))-MAX(AB183,요약!$B$3)+1),0)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IF(TRIM(B184&amp;"")="","",IFERROR(INDEX(코드표!$K$2:$K$101,MATCH(TRIM(B184&amp;""),코드표!$J$2:$J$101,0)),"⚠"&amp;TRIM(B184&amp;"")))</f>
        <v/>
      </c>
      <c r="S184" s="10">
        <f>IF(TRIM(K184&amp;"")="","",IFERROR(INDEX(코드표!$K$2:$K$101,MATCH(TRIM(K184&amp;""),코드표!$J$2:$J$101,0)),"⚠"&amp;TRIM(K184&amp;"")))</f>
        <v/>
      </c>
      <c r="T184" s="10">
        <f>IF(TRIM(M184&amp;"")="","",IF(ISNUMBER(MATCH(TRIM(M184&amp;""),코드표!$C$2:$C$11,0)),TRIM(M184&amp;""),"⚠"&amp;TRIM(M184&amp;"")))</f>
        <v/>
      </c>
      <c r="U184" s="10">
        <f>IF(TRIM(L184&amp;"")="","",IFERROR(INDEX(코드표!$G$2:$G$101,MATCH(TRIM(L184&amp;""),코드표!$F$2:$F$101,0)),"⚠"&amp;TRIM(L184&amp;"")))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IF(ISNUMBER(H184),MAX(0,MIN(IF(ISNUMBER(I184),I184,EOMONTH(요약!$B$3,0)),EOMONTH(요약!$B$3,0))-MAX(H184,요약!$B$3)+1),0)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IF(AND(ISNUMBER(AB184),ISNUMBER(AC184)),MAX(0,MIN(AC184,EOMONTH(요약!$B$3,0))-MAX(AB184,요약!$B$3)+1),0)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IF(TRIM(B185&amp;"")="","",IFERROR(INDEX(코드표!$K$2:$K$101,MATCH(TRIM(B185&amp;""),코드표!$J$2:$J$101,0)),"⚠"&amp;TRIM(B185&amp;"")))</f>
        <v/>
      </c>
      <c r="S185" s="10">
        <f>IF(TRIM(K185&amp;"")="","",IFERROR(INDEX(코드표!$K$2:$K$101,MATCH(TRIM(K185&amp;""),코드표!$J$2:$J$101,0)),"⚠"&amp;TRIM(K185&amp;"")))</f>
        <v/>
      </c>
      <c r="T185" s="10">
        <f>IF(TRIM(M185&amp;"")="","",IF(ISNUMBER(MATCH(TRIM(M185&amp;""),코드표!$C$2:$C$11,0)),TRIM(M185&amp;""),"⚠"&amp;TRIM(M185&amp;"")))</f>
        <v/>
      </c>
      <c r="U185" s="10">
        <f>IF(TRIM(L185&amp;"")="","",IFERROR(INDEX(코드표!$G$2:$G$101,MATCH(TRIM(L185&amp;""),코드표!$F$2:$F$101,0)),"⚠"&amp;TRIM(L185&amp;"")))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IF(ISNUMBER(H185),MAX(0,MIN(IF(ISNUMBER(I185),I185,EOMONTH(요약!$B$3,0)),EOMONTH(요약!$B$3,0))-MAX(H185,요약!$B$3)+1),0)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IF(AND(ISNUMBER(AB185),ISNUMBER(AC185)),MAX(0,MIN(AC185,EOMONTH(요약!$B$3,0))-MAX(AB185,요약!$B$3)+1),0)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IF(TRIM(B186&amp;"")="","",IFERROR(INDEX(코드표!$K$2:$K$101,MATCH(TRIM(B186&amp;""),코드표!$J$2:$J$101,0)),"⚠"&amp;TRIM(B186&amp;"")))</f>
        <v/>
      </c>
      <c r="S186" s="10">
        <f>IF(TRIM(K186&amp;"")="","",IFERROR(INDEX(코드표!$K$2:$K$101,MATCH(TRIM(K186&amp;""),코드표!$J$2:$J$101,0)),"⚠"&amp;TRIM(K186&amp;"")))</f>
        <v/>
      </c>
      <c r="T186" s="10">
        <f>IF(TRIM(M186&amp;"")="","",IF(ISNUMBER(MATCH(TRIM(M186&amp;""),코드표!$C$2:$C$11,0)),TRIM(M186&amp;""),"⚠"&amp;TRIM(M186&amp;"")))</f>
        <v/>
      </c>
      <c r="U186" s="10">
        <f>IF(TRIM(L186&amp;"")="","",IFERROR(INDEX(코드표!$G$2:$G$101,MATCH(TRIM(L186&amp;""),코드표!$F$2:$F$101,0)),"⚠"&amp;TRIM(L186&amp;"")))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IF(ISNUMBER(H186),MAX(0,MIN(IF(ISNUMBER(I186),I186,EOMONTH(요약!$B$3,0)),EOMONTH(요약!$B$3,0))-MAX(H186,요약!$B$3)+1),0)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IF(AND(ISNUMBER(AB186),ISNUMBER(AC186)),MAX(0,MIN(AC186,EOMONTH(요약!$B$3,0))-MAX(AB186,요약!$B$3)+1),0)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IF(TRIM(B187&amp;"")="","",IFERROR(INDEX(코드표!$K$2:$K$101,MATCH(TRIM(B187&amp;""),코드표!$J$2:$J$101,0)),"⚠"&amp;TRIM(B187&amp;"")))</f>
        <v/>
      </c>
      <c r="S187" s="10">
        <f>IF(TRIM(K187&amp;"")="","",IFERROR(INDEX(코드표!$K$2:$K$101,MATCH(TRIM(K187&amp;""),코드표!$J$2:$J$101,0)),"⚠"&amp;TRIM(K187&amp;"")))</f>
        <v/>
      </c>
      <c r="T187" s="10">
        <f>IF(TRIM(M187&amp;"")="","",IF(ISNUMBER(MATCH(TRIM(M187&amp;""),코드표!$C$2:$C$11,0)),TRIM(M187&amp;""),"⚠"&amp;TRIM(M187&amp;"")))</f>
        <v/>
      </c>
      <c r="U187" s="10">
        <f>IF(TRIM(L187&amp;"")="","",IFERROR(INDEX(코드표!$G$2:$G$101,MATCH(TRIM(L187&amp;""),코드표!$F$2:$F$101,0)),"⚠"&amp;TRIM(L187&amp;"")))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IF(ISNUMBER(H187),MAX(0,MIN(IF(ISNUMBER(I187),I187,EOMONTH(요약!$B$3,0)),EOMONTH(요약!$B$3,0))-MAX(H187,요약!$B$3)+1),0)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IF(AND(ISNUMBER(AB187),ISNUMBER(AC187)),MAX(0,MIN(AC187,EOMONTH(요약!$B$3,0))-MAX(AB187,요약!$B$3)+1),0)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IF(TRIM(B188&amp;"")="","",IFERROR(INDEX(코드표!$K$2:$K$101,MATCH(TRIM(B188&amp;""),코드표!$J$2:$J$101,0)),"⚠"&amp;TRIM(B188&amp;"")))</f>
        <v/>
      </c>
      <c r="S188" s="10">
        <f>IF(TRIM(K188&amp;"")="","",IFERROR(INDEX(코드표!$K$2:$K$101,MATCH(TRIM(K188&amp;""),코드표!$J$2:$J$101,0)),"⚠"&amp;TRIM(K188&amp;"")))</f>
        <v/>
      </c>
      <c r="T188" s="10">
        <f>IF(TRIM(M188&amp;"")="","",IF(ISNUMBER(MATCH(TRIM(M188&amp;""),코드표!$C$2:$C$11,0)),TRIM(M188&amp;""),"⚠"&amp;TRIM(M188&amp;"")))</f>
        <v/>
      </c>
      <c r="U188" s="10">
        <f>IF(TRIM(L188&amp;"")="","",IFERROR(INDEX(코드표!$G$2:$G$101,MATCH(TRIM(L188&amp;""),코드표!$F$2:$F$101,0)),"⚠"&amp;TRIM(L188&amp;"")))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IF(ISNUMBER(H188),MAX(0,MIN(IF(ISNUMBER(I188),I188,EOMONTH(요약!$B$3,0)),EOMONTH(요약!$B$3,0))-MAX(H188,요약!$B$3)+1),0)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IF(AND(ISNUMBER(AB188),ISNUMBER(AC188)),MAX(0,MIN(AC188,EOMONTH(요약!$B$3,0))-MAX(AB188,요약!$B$3)+1),0)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IF(TRIM(B189&amp;"")="","",IFERROR(INDEX(코드표!$K$2:$K$101,MATCH(TRIM(B189&amp;""),코드표!$J$2:$J$101,0)),"⚠"&amp;TRIM(B189&amp;"")))</f>
        <v/>
      </c>
      <c r="S189" s="10">
        <f>IF(TRIM(K189&amp;"")="","",IFERROR(INDEX(코드표!$K$2:$K$101,MATCH(TRIM(K189&amp;""),코드표!$J$2:$J$101,0)),"⚠"&amp;TRIM(K189&amp;"")))</f>
        <v/>
      </c>
      <c r="T189" s="10">
        <f>IF(TRIM(M189&amp;"")="","",IF(ISNUMBER(MATCH(TRIM(M189&amp;""),코드표!$C$2:$C$11,0)),TRIM(M189&amp;""),"⚠"&amp;TRIM(M189&amp;"")))</f>
        <v/>
      </c>
      <c r="U189" s="10">
        <f>IF(TRIM(L189&amp;"")="","",IFERROR(INDEX(코드표!$G$2:$G$101,MATCH(TRIM(L189&amp;""),코드표!$F$2:$F$101,0)),"⚠"&amp;TRIM(L189&amp;"")))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IF(ISNUMBER(H189),MAX(0,MIN(IF(ISNUMBER(I189),I189,EOMONTH(요약!$B$3,0)),EOMONTH(요약!$B$3,0))-MAX(H189,요약!$B$3)+1),0)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IF(AND(ISNUMBER(AB189),ISNUMBER(AC189)),MAX(0,MIN(AC189,EOMONTH(요약!$B$3,0))-MAX(AB189,요약!$B$3)+1),0)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IF(TRIM(B190&amp;"")="","",IFERROR(INDEX(코드표!$K$2:$K$101,MATCH(TRIM(B190&amp;""),코드표!$J$2:$J$101,0)),"⚠"&amp;TRIM(B190&amp;"")))</f>
        <v/>
      </c>
      <c r="S190" s="10">
        <f>IF(TRIM(K190&amp;"")="","",IFERROR(INDEX(코드표!$K$2:$K$101,MATCH(TRIM(K190&amp;""),코드표!$J$2:$J$101,0)),"⚠"&amp;TRIM(K190&amp;"")))</f>
        <v/>
      </c>
      <c r="T190" s="10">
        <f>IF(TRIM(M190&amp;"")="","",IF(ISNUMBER(MATCH(TRIM(M190&amp;""),코드표!$C$2:$C$11,0)),TRIM(M190&amp;""),"⚠"&amp;TRIM(M190&amp;"")))</f>
        <v/>
      </c>
      <c r="U190" s="10">
        <f>IF(TRIM(L190&amp;"")="","",IFERROR(INDEX(코드표!$G$2:$G$101,MATCH(TRIM(L190&amp;""),코드표!$F$2:$F$101,0)),"⚠"&amp;TRIM(L190&amp;"")))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IF(ISNUMBER(H190),MAX(0,MIN(IF(ISNUMBER(I190),I190,EOMONTH(요약!$B$3,0)),EOMONTH(요약!$B$3,0))-MAX(H190,요약!$B$3)+1),0)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IF(AND(ISNUMBER(AB190),ISNUMBER(AC190)),MAX(0,MIN(AC190,EOMONTH(요약!$B$3,0))-MAX(AB190,요약!$B$3)+1),0)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IF(TRIM(B191&amp;"")="","",IFERROR(INDEX(코드표!$K$2:$K$101,MATCH(TRIM(B191&amp;""),코드표!$J$2:$J$101,0)),"⚠"&amp;TRIM(B191&amp;"")))</f>
        <v/>
      </c>
      <c r="S191" s="10">
        <f>IF(TRIM(K191&amp;"")="","",IFERROR(INDEX(코드표!$K$2:$K$101,MATCH(TRIM(K191&amp;""),코드표!$J$2:$J$101,0)),"⚠"&amp;TRIM(K191&amp;"")))</f>
        <v/>
      </c>
      <c r="T191" s="10">
        <f>IF(TRIM(M191&amp;"")="","",IF(ISNUMBER(MATCH(TRIM(M191&amp;""),코드표!$C$2:$C$11,0)),TRIM(M191&amp;""),"⚠"&amp;TRIM(M191&amp;"")))</f>
        <v/>
      </c>
      <c r="U191" s="10">
        <f>IF(TRIM(L191&amp;"")="","",IFERROR(INDEX(코드표!$G$2:$G$101,MATCH(TRIM(L191&amp;""),코드표!$F$2:$F$101,0)),"⚠"&amp;TRIM(L191&amp;"")))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IF(ISNUMBER(H191),MAX(0,MIN(IF(ISNUMBER(I191),I191,EOMONTH(요약!$B$3,0)),EOMONTH(요약!$B$3,0))-MAX(H191,요약!$B$3)+1),0)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IF(AND(ISNUMBER(AB191),ISNUMBER(AC191)),MAX(0,MIN(AC191,EOMONTH(요약!$B$3,0))-MAX(AB191,요약!$B$3)+1),0)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IF(TRIM(B192&amp;"")="","",IFERROR(INDEX(코드표!$K$2:$K$101,MATCH(TRIM(B192&amp;""),코드표!$J$2:$J$101,0)),"⚠"&amp;TRIM(B192&amp;"")))</f>
        <v/>
      </c>
      <c r="S192" s="10">
        <f>IF(TRIM(K192&amp;"")="","",IFERROR(INDEX(코드표!$K$2:$K$101,MATCH(TRIM(K192&amp;""),코드표!$J$2:$J$101,0)),"⚠"&amp;TRIM(K192&amp;"")))</f>
        <v/>
      </c>
      <c r="T192" s="10">
        <f>IF(TRIM(M192&amp;"")="","",IF(ISNUMBER(MATCH(TRIM(M192&amp;""),코드표!$C$2:$C$11,0)),TRIM(M192&amp;""),"⚠"&amp;TRIM(M192&amp;"")))</f>
        <v/>
      </c>
      <c r="U192" s="10">
        <f>IF(TRIM(L192&amp;"")="","",IFERROR(INDEX(코드표!$G$2:$G$101,MATCH(TRIM(L192&amp;""),코드표!$F$2:$F$101,0)),"⚠"&amp;TRIM(L192&amp;"")))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IF(ISNUMBER(H192),MAX(0,MIN(IF(ISNUMBER(I192),I192,EOMONTH(요약!$B$3,0)),EOMONTH(요약!$B$3,0))-MAX(H192,요약!$B$3)+1),0)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IF(AND(ISNUMBER(AB192),ISNUMBER(AC192)),MAX(0,MIN(AC192,EOMONTH(요약!$B$3,0))-MAX(AB192,요약!$B$3)+1),0)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IF(TRIM(B193&amp;"")="","",IFERROR(INDEX(코드표!$K$2:$K$101,MATCH(TRIM(B193&amp;""),코드표!$J$2:$J$101,0)),"⚠"&amp;TRIM(B193&amp;"")))</f>
        <v/>
      </c>
      <c r="S193" s="10">
        <f>IF(TRIM(K193&amp;"")="","",IFERROR(INDEX(코드표!$K$2:$K$101,MATCH(TRIM(K193&amp;""),코드표!$J$2:$J$101,0)),"⚠"&amp;TRIM(K193&amp;"")))</f>
        <v/>
      </c>
      <c r="T193" s="10">
        <f>IF(TRIM(M193&amp;"")="","",IF(ISNUMBER(MATCH(TRIM(M193&amp;""),코드표!$C$2:$C$11,0)),TRIM(M193&amp;""),"⚠"&amp;TRIM(M193&amp;"")))</f>
        <v/>
      </c>
      <c r="U193" s="10">
        <f>IF(TRIM(L193&amp;"")="","",IFERROR(INDEX(코드표!$G$2:$G$101,MATCH(TRIM(L193&amp;""),코드표!$F$2:$F$101,0)),"⚠"&amp;TRIM(L193&amp;"")))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IF(ISNUMBER(H193),MAX(0,MIN(IF(ISNUMBER(I193),I193,EOMONTH(요약!$B$3,0)),EOMONTH(요약!$B$3,0))-MAX(H193,요약!$B$3)+1),0)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IF(AND(ISNUMBER(AB193),ISNUMBER(AC193)),MAX(0,MIN(AC193,EOMONTH(요약!$B$3,0))-MAX(AB193,요약!$B$3)+1),0)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IF(TRIM(B194&amp;"")="","",IFERROR(INDEX(코드표!$K$2:$K$101,MATCH(TRIM(B194&amp;""),코드표!$J$2:$J$101,0)),"⚠"&amp;TRIM(B194&amp;"")))</f>
        <v/>
      </c>
      <c r="S194" s="10">
        <f>IF(TRIM(K194&amp;"")="","",IFERROR(INDEX(코드표!$K$2:$K$101,MATCH(TRIM(K194&amp;""),코드표!$J$2:$J$101,0)),"⚠"&amp;TRIM(K194&amp;"")))</f>
        <v/>
      </c>
      <c r="T194" s="10">
        <f>IF(TRIM(M194&amp;"")="","",IF(ISNUMBER(MATCH(TRIM(M194&amp;""),코드표!$C$2:$C$11,0)),TRIM(M194&amp;""),"⚠"&amp;TRIM(M194&amp;"")))</f>
        <v/>
      </c>
      <c r="U194" s="10">
        <f>IF(TRIM(L194&amp;"")="","",IFERROR(INDEX(코드표!$G$2:$G$101,MATCH(TRIM(L194&amp;""),코드표!$F$2:$F$101,0)),"⚠"&amp;TRIM(L194&amp;"")))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IF(ISNUMBER(H194),MAX(0,MIN(IF(ISNUMBER(I194),I194,EOMONTH(요약!$B$3,0)),EOMONTH(요약!$B$3,0))-MAX(H194,요약!$B$3)+1),0)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IF(AND(ISNUMBER(AB194),ISNUMBER(AC194)),MAX(0,MIN(AC194,EOMONTH(요약!$B$3,0))-MAX(AB194,요약!$B$3)+1),0)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IF(TRIM(B195&amp;"")="","",IFERROR(INDEX(코드표!$K$2:$K$101,MATCH(TRIM(B195&amp;""),코드표!$J$2:$J$101,0)),"⚠"&amp;TRIM(B195&amp;"")))</f>
        <v/>
      </c>
      <c r="S195" s="10">
        <f>IF(TRIM(K195&amp;"")="","",IFERROR(INDEX(코드표!$K$2:$K$101,MATCH(TRIM(K195&amp;""),코드표!$J$2:$J$101,0)),"⚠"&amp;TRIM(K195&amp;"")))</f>
        <v/>
      </c>
      <c r="T195" s="10">
        <f>IF(TRIM(M195&amp;"")="","",IF(ISNUMBER(MATCH(TRIM(M195&amp;""),코드표!$C$2:$C$11,0)),TRIM(M195&amp;""),"⚠"&amp;TRIM(M195&amp;"")))</f>
        <v/>
      </c>
      <c r="U195" s="10">
        <f>IF(TRIM(L195&amp;"")="","",IFERROR(INDEX(코드표!$G$2:$G$101,MATCH(TRIM(L195&amp;""),코드표!$F$2:$F$101,0)),"⚠"&amp;TRIM(L195&amp;"")))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IF(ISNUMBER(H195),MAX(0,MIN(IF(ISNUMBER(I195),I195,EOMONTH(요약!$B$3,0)),EOMONTH(요약!$B$3,0))-MAX(H195,요약!$B$3)+1),0)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IF(AND(ISNUMBER(AB195),ISNUMBER(AC195)),MAX(0,MIN(AC195,EOMONTH(요약!$B$3,0))-MAX(AB195,요약!$B$3)+1),0)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IF(TRIM(B196&amp;"")="","",IFERROR(INDEX(코드표!$K$2:$K$101,MATCH(TRIM(B196&amp;""),코드표!$J$2:$J$101,0)),"⚠"&amp;TRIM(B196&amp;"")))</f>
        <v/>
      </c>
      <c r="S196" s="10">
        <f>IF(TRIM(K196&amp;"")="","",IFERROR(INDEX(코드표!$K$2:$K$101,MATCH(TRIM(K196&amp;""),코드표!$J$2:$J$101,0)),"⚠"&amp;TRIM(K196&amp;"")))</f>
        <v/>
      </c>
      <c r="T196" s="10">
        <f>IF(TRIM(M196&amp;"")="","",IF(ISNUMBER(MATCH(TRIM(M196&amp;""),코드표!$C$2:$C$11,0)),TRIM(M196&amp;""),"⚠"&amp;TRIM(M196&amp;"")))</f>
        <v/>
      </c>
      <c r="U196" s="10">
        <f>IF(TRIM(L196&amp;"")="","",IFERROR(INDEX(코드표!$G$2:$G$101,MATCH(TRIM(L196&amp;""),코드표!$F$2:$F$101,0)),"⚠"&amp;TRIM(L196&amp;"")))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IF(ISNUMBER(H196),MAX(0,MIN(IF(ISNUMBER(I196),I196,EOMONTH(요약!$B$3,0)),EOMONTH(요약!$B$3,0))-MAX(H196,요약!$B$3)+1),0)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IF(AND(ISNUMBER(AB196),ISNUMBER(AC196)),MAX(0,MIN(AC196,EOMONTH(요약!$B$3,0))-MAX(AB196,요약!$B$3)+1),0)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IF(TRIM(B197&amp;"")="","",IFERROR(INDEX(코드표!$K$2:$K$101,MATCH(TRIM(B197&amp;""),코드표!$J$2:$J$101,0)),"⚠"&amp;TRIM(B197&amp;"")))</f>
        <v/>
      </c>
      <c r="S197" s="10">
        <f>IF(TRIM(K197&amp;"")="","",IFERROR(INDEX(코드표!$K$2:$K$101,MATCH(TRIM(K197&amp;""),코드표!$J$2:$J$101,0)),"⚠"&amp;TRIM(K197&amp;"")))</f>
        <v/>
      </c>
      <c r="T197" s="10">
        <f>IF(TRIM(M197&amp;"")="","",IF(ISNUMBER(MATCH(TRIM(M197&amp;""),코드표!$C$2:$C$11,0)),TRIM(M197&amp;""),"⚠"&amp;TRIM(M197&amp;"")))</f>
        <v/>
      </c>
      <c r="U197" s="10">
        <f>IF(TRIM(L197&amp;"")="","",IFERROR(INDEX(코드표!$G$2:$G$101,MATCH(TRIM(L197&amp;""),코드표!$F$2:$F$101,0)),"⚠"&amp;TRIM(L197&amp;"")))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IF(ISNUMBER(H197),MAX(0,MIN(IF(ISNUMBER(I197),I197,EOMONTH(요약!$B$3,0)),EOMONTH(요약!$B$3,0))-MAX(H197,요약!$B$3)+1),0)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IF(AND(ISNUMBER(AB197),ISNUMBER(AC197)),MAX(0,MIN(AC197,EOMONTH(요약!$B$3,0))-MAX(AB197,요약!$B$3)+1),0)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IF(TRIM(B198&amp;"")="","",IFERROR(INDEX(코드표!$K$2:$K$101,MATCH(TRIM(B198&amp;""),코드표!$J$2:$J$101,0)),"⚠"&amp;TRIM(B198&amp;"")))</f>
        <v/>
      </c>
      <c r="S198" s="10">
        <f>IF(TRIM(K198&amp;"")="","",IFERROR(INDEX(코드표!$K$2:$K$101,MATCH(TRIM(K198&amp;""),코드표!$J$2:$J$101,0)),"⚠"&amp;TRIM(K198&amp;"")))</f>
        <v/>
      </c>
      <c r="T198" s="10">
        <f>IF(TRIM(M198&amp;"")="","",IF(ISNUMBER(MATCH(TRIM(M198&amp;""),코드표!$C$2:$C$11,0)),TRIM(M198&amp;""),"⚠"&amp;TRIM(M198&amp;"")))</f>
        <v/>
      </c>
      <c r="U198" s="10">
        <f>IF(TRIM(L198&amp;"")="","",IFERROR(INDEX(코드표!$G$2:$G$101,MATCH(TRIM(L198&amp;""),코드표!$F$2:$F$101,0)),"⚠"&amp;TRIM(L198&amp;"")))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IF(ISNUMBER(H198),MAX(0,MIN(IF(ISNUMBER(I198),I198,EOMONTH(요약!$B$3,0)),EOMONTH(요약!$B$3,0))-MAX(H198,요약!$B$3)+1),0)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IF(AND(ISNUMBER(AB198),ISNUMBER(AC198)),MAX(0,MIN(AC198,EOMONTH(요약!$B$3,0))-MAX(AB198,요약!$B$3)+1),0)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IF(TRIM(B199&amp;"")="","",IFERROR(INDEX(코드표!$K$2:$K$101,MATCH(TRIM(B199&amp;""),코드표!$J$2:$J$101,0)),"⚠"&amp;TRIM(B199&amp;"")))</f>
        <v/>
      </c>
      <c r="S199" s="10">
        <f>IF(TRIM(K199&amp;"")="","",IFERROR(INDEX(코드표!$K$2:$K$101,MATCH(TRIM(K199&amp;""),코드표!$J$2:$J$101,0)),"⚠"&amp;TRIM(K199&amp;"")))</f>
        <v/>
      </c>
      <c r="T199" s="10">
        <f>IF(TRIM(M199&amp;"")="","",IF(ISNUMBER(MATCH(TRIM(M199&amp;""),코드표!$C$2:$C$11,0)),TRIM(M199&amp;""),"⚠"&amp;TRIM(M199&amp;"")))</f>
        <v/>
      </c>
      <c r="U199" s="10">
        <f>IF(TRIM(L199&amp;"")="","",IFERROR(INDEX(코드표!$G$2:$G$101,MATCH(TRIM(L199&amp;""),코드표!$F$2:$F$101,0)),"⚠"&amp;TRIM(L199&amp;"")))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IF(ISNUMBER(H199),MAX(0,MIN(IF(ISNUMBER(I199),I199,EOMONTH(요약!$B$3,0)),EOMONTH(요약!$B$3,0))-MAX(H199,요약!$B$3)+1),0)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IF(AND(ISNUMBER(AB199),ISNUMBER(AC199)),MAX(0,MIN(AC199,EOMONTH(요약!$B$3,0))-MAX(AB199,요약!$B$3)+1),0)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IF(TRIM(B200&amp;"")="","",IFERROR(INDEX(코드표!$K$2:$K$101,MATCH(TRIM(B200&amp;""),코드표!$J$2:$J$101,0)),"⚠"&amp;TRIM(B200&amp;"")))</f>
        <v/>
      </c>
      <c r="S200" s="10">
        <f>IF(TRIM(K200&amp;"")="","",IFERROR(INDEX(코드표!$K$2:$K$101,MATCH(TRIM(K200&amp;""),코드표!$J$2:$J$101,0)),"⚠"&amp;TRIM(K200&amp;"")))</f>
        <v/>
      </c>
      <c r="T200" s="10">
        <f>IF(TRIM(M200&amp;"")="","",IF(ISNUMBER(MATCH(TRIM(M200&amp;""),코드표!$C$2:$C$11,0)),TRIM(M200&amp;""),"⚠"&amp;TRIM(M200&amp;"")))</f>
        <v/>
      </c>
      <c r="U200" s="10">
        <f>IF(TRIM(L200&amp;"")="","",IFERROR(INDEX(코드표!$G$2:$G$101,MATCH(TRIM(L200&amp;""),코드표!$F$2:$F$101,0)),"⚠"&amp;TRIM(L200&amp;"")))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IF(ISNUMBER(H200),MAX(0,MIN(IF(ISNUMBER(I200),I200,EOMONTH(요약!$B$3,0)),EOMONTH(요약!$B$3,0))-MAX(H200,요약!$B$3)+1),0)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IF(AND(ISNUMBER(AB200),ISNUMBER(AC200)),MAX(0,MIN(AC200,EOMONTH(요약!$B$3,0))-MAX(AB200,요약!$B$3)+1),0)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IF(TRIM(B201&amp;"")="","",IFERROR(INDEX(코드표!$K$2:$K$101,MATCH(TRIM(B201&amp;""),코드표!$J$2:$J$101,0)),"⚠"&amp;TRIM(B201&amp;"")))</f>
        <v/>
      </c>
      <c r="S201" s="10">
        <f>IF(TRIM(K201&amp;"")="","",IFERROR(INDEX(코드표!$K$2:$K$101,MATCH(TRIM(K201&amp;""),코드표!$J$2:$J$101,0)),"⚠"&amp;TRIM(K201&amp;"")))</f>
        <v/>
      </c>
      <c r="T201" s="10">
        <f>IF(TRIM(M201&amp;"")="","",IF(ISNUMBER(MATCH(TRIM(M201&amp;""),코드표!$C$2:$C$11,0)),TRIM(M201&amp;""),"⚠"&amp;TRIM(M201&amp;"")))</f>
        <v/>
      </c>
      <c r="U201" s="10">
        <f>IF(TRIM(L201&amp;"")="","",IFERROR(INDEX(코드표!$G$2:$G$101,MATCH(TRIM(L201&amp;""),코드표!$F$2:$F$101,0)),"⚠"&amp;TRIM(L201&amp;"")))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IF(ISNUMBER(H201),MAX(0,MIN(IF(ISNUMBER(I201),I201,EOMONTH(요약!$B$3,0)),EOMONTH(요약!$B$3,0))-MAX(H201,요약!$B$3)+1),0)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IF(AND(ISNUMBER(AB201),ISNUMBER(AC201)),MAX(0,MIN(AC201,EOMONTH(요약!$B$3,0))-MAX(AB201,요약!$B$3)+1),0)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IF(TRIM(B202&amp;"")="","",IFERROR(INDEX(코드표!$K$2:$K$101,MATCH(TRIM(B202&amp;""),코드표!$J$2:$J$101,0)),"⚠"&amp;TRIM(B202&amp;"")))</f>
        <v/>
      </c>
      <c r="S202" s="10">
        <f>IF(TRIM(K202&amp;"")="","",IFERROR(INDEX(코드표!$K$2:$K$101,MATCH(TRIM(K202&amp;""),코드표!$J$2:$J$101,0)),"⚠"&amp;TRIM(K202&amp;"")))</f>
        <v/>
      </c>
      <c r="T202" s="10">
        <f>IF(TRIM(M202&amp;"")="","",IF(ISNUMBER(MATCH(TRIM(M202&amp;""),코드표!$C$2:$C$11,0)),TRIM(M202&amp;""),"⚠"&amp;TRIM(M202&amp;"")))</f>
        <v/>
      </c>
      <c r="U202" s="10">
        <f>IF(TRIM(L202&amp;"")="","",IFERROR(INDEX(코드표!$G$2:$G$101,MATCH(TRIM(L202&amp;""),코드표!$F$2:$F$101,0)),"⚠"&amp;TRIM(L202&amp;"")))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IF(ISNUMBER(H202),MAX(0,MIN(IF(ISNUMBER(I202),I202,EOMONTH(요약!$B$3,0)),EOMONTH(요약!$B$3,0))-MAX(H202,요약!$B$3)+1),0)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IF(AND(ISNUMBER(AB202),ISNUMBER(AC202)),MAX(0,MIN(AC202,EOMONTH(요약!$B$3,0))-MAX(AB202,요약!$B$3)+1),0)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IF(TRIM(B203&amp;"")="","",IFERROR(INDEX(코드표!$K$2:$K$101,MATCH(TRIM(B203&amp;""),코드표!$J$2:$J$101,0)),"⚠"&amp;TRIM(B203&amp;"")))</f>
        <v/>
      </c>
      <c r="S203" s="10">
        <f>IF(TRIM(K203&amp;"")="","",IFERROR(INDEX(코드표!$K$2:$K$101,MATCH(TRIM(K203&amp;""),코드표!$J$2:$J$101,0)),"⚠"&amp;TRIM(K203&amp;"")))</f>
        <v/>
      </c>
      <c r="T203" s="10">
        <f>IF(TRIM(M203&amp;"")="","",IF(ISNUMBER(MATCH(TRIM(M203&amp;""),코드표!$C$2:$C$11,0)),TRIM(M203&amp;""),"⚠"&amp;TRIM(M203&amp;"")))</f>
        <v/>
      </c>
      <c r="U203" s="10">
        <f>IF(TRIM(L203&amp;"")="","",IFERROR(INDEX(코드표!$G$2:$G$101,MATCH(TRIM(L203&amp;""),코드표!$F$2:$F$101,0)),"⚠"&amp;TRIM(L203&amp;"")))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IF(ISNUMBER(H203),MAX(0,MIN(IF(ISNUMBER(I203),I203,EOMONTH(요약!$B$3,0)),EOMONTH(요약!$B$3,0))-MAX(H203,요약!$B$3)+1),0)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IF(AND(ISNUMBER(AB203),ISNUMBER(AC203)),MAX(0,MIN(AC203,EOMONTH(요약!$B$3,0))-MAX(AB203,요약!$B$3)+1),0)</f>
        <v/>
      </c>
      <c r="AE203" s="10">
        <f>IF(AND(Q203&lt;&gt;"",ISNUMBER(AB203)),Q203&amp;"|다기관","")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203">
    <cfRule type="expression" priority="1" dxfId="0">
      <formula>$AA4&lt;&gt;""</formula>
    </cfRule>
  </conditionalFormatting>
  <conditionalFormatting sqref="R4:U203">
    <cfRule type="expression" priority="2" dxfId="2">
      <formula>LEFT(R4,1)="⚠"</formula>
    </cfRule>
  </conditionalFormatting>
  <conditionalFormatting sqref="AA4:AA203">
    <cfRule type="expression" priority="3" dxfId="2">
      <formula>$AA4&lt;&gt;""</formula>
    </cfRule>
  </conditionalFormatting>
  <dataValidations count="7">
    <dataValidation sqref="B4:B2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2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2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2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203" showDropDown="0" showInputMessage="0" showErrorMessage="1" allowBlank="1" errorTitle="수련종별" error="I(인턴) 또는 R(레지던트)로 입력하세요." type="list">
      <formula1>"I,R"</formula1>
    </dataValidation>
    <dataValidation sqref="H4:I2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2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IF($AB2="","",IF(INDEX(기본자료!$C$2:$C$501,$AB2)="","",INDEX(기본자료!$C$2:$C$501,$AB2)))</f>
        <v/>
      </c>
      <c r="D2" s="10">
        <f>IF($AB2="","",IF(INDEX(기본자료!$J$2:$J$501,$AB2)="","",INDEX(기본자료!$J$2:$J$501,$AB2)))</f>
        <v/>
      </c>
      <c r="E2" s="11">
        <f>IF($AB2="","",IF(INDEX(기본자료!$K$2:$K$501,$AB2)="","",IF(NOT(ISNUMBER(INDEX(기본자료!$K$2:$K$501,$AB2))),INDEX(기본자료!$K$2:$K$501,$AB2),IF(INDEX(기본자료!$K$2:$K$501,$AB2)&lt;1000000,INDEX(기본자료!$K$2:$K$501,$AB2),IF(AND(INDEX(기본자료!$K$2:$K$501,$AB2)&gt;=10000101,INT(MOD(INDEX(기본자료!$K$2:$K$501,$AB2),10000)/100)&gt;=1,INT(MOD(INDEX(기본자료!$K$2:$K$501,$AB2),10000)/100)&lt;=12,MOD(INDEX(기본자료!$K$2:$K$501,$AB2),100)&gt;=1,MOD(INDEX(기본자료!$K$2:$K$501,$AB2),100)&lt;=31),DATE(INT(INDEX(기본자료!$K$2:$K$501,$AB2)/10000),INT(MOD(INDEX(기본자료!$K$2:$K$501,$AB2),10000)/100),MOD(INDEX(기본자료!$K$2:$K$501,$AB2),100)),INDEX(기본자료!$K$2:$K$501,$AB2)&amp;"")))))</f>
        <v/>
      </c>
      <c r="F2" s="10">
        <f>IF($AB2="","",IF(INDEX(기본자료!$D$2:$D$501,$AB2)="","",INDEX(기본자료!$D$2:$D$501,$AB2)))</f>
        <v/>
      </c>
      <c r="G2" s="10">
        <f>IF($AB2="","",IF(INDEX(기본자료!$E$2:$E$501,$AB2)="","",INDEX(기본자료!$E$2:$E$501,$AB2)))</f>
        <v/>
      </c>
      <c r="H2" s="10">
        <f>IF($AB2="","",IF(INDEX(기본자료!$F$2:$F$501,$AB2)="","",INDEX(기본자료!$F$2:$F$501,$AB2)))</f>
        <v/>
      </c>
      <c r="I2" s="11">
        <f>IF($AB2="","",IF(INDEX(기본자료!$G$2:$G$501,$AB2)="","",IF(NOT(ISNUMBER(INDEX(기본자료!$G$2:$G$501,$AB2))),INDEX(기본자료!$G$2:$G$501,$AB2),IF(INDEX(기본자료!$G$2:$G$501,$AB2)&lt;1000000,INDEX(기본자료!$G$2:$G$501,$AB2),IF(AND(INDEX(기본자료!$G$2:$G$501,$AB2)&gt;=10000101,INT(MOD(INDEX(기본자료!$G$2:$G$501,$AB2),10000)/100)&gt;=1,INT(MOD(INDEX(기본자료!$G$2:$G$501,$AB2),10000)/100)&lt;=12,MOD(INDEX(기본자료!$G$2:$G$501,$AB2),100)&gt;=1,MOD(INDEX(기본자료!$G$2:$G$501,$AB2),100)&lt;=31),DATE(INT(INDEX(기본자료!$G$2:$G$501,$AB2)/10000),INT(MOD(INDEX(기본자료!$G$2:$G$501,$AB2),10000)/100),MOD(INDEX(기본자료!$G$2:$G$501,$AB2),100)),INDEX(기본자료!$G$2:$G$501,$AB2)&amp;"")))))</f>
        <v/>
      </c>
      <c r="J2" s="10">
        <f>IF($AB2="","",IF(INDEX(기본자료!$H$2:$H$501,$AB2)="","",INDEX(기본자료!$H$2:$H$501,$AB2)))</f>
        <v/>
      </c>
      <c r="K2" s="10">
        <f>IF($AB2="","",IF(INDEX(기본자료!$I$2:$I$501,$AB2)="","",INDEX(기본자료!$I$2:$I$501,$AB2)))</f>
        <v/>
      </c>
      <c r="L2" s="10">
        <f>IF($AB2="","",IF(INDEX(기본자료!$A$2:$A$501,$AB2)="","",INDEX(기본자료!$A$2:$A$501,$AB2)))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파견수련계획!$AB$4:$AB$203,$AK2),OR(NOT(ISNUMBER(INDEX(파견수련계획!$AC$4:$AC$203,$AK2))),TODAY()&lt;=INDEX(파견수련계획!$AC$4:$AC$203,$AK2))),"다기관",IF($AF2="","",INDEX(파견수련계획!$T$4:$T$203,$AF2))),IF($AF2="","",INDEX(파견수련계획!$T$4:$T$203,$AF2))))</f>
        <v/>
      </c>
      <c r="Q2" s="10">
        <f>IF($AF2="","",INDEX(파견수련계획!$S$4:$S$203,$AF2))</f>
        <v/>
      </c>
      <c r="R2" s="10">
        <f>IF($AF2="","",INDEX(파견수련계획!$U$4:$U$203,$AF2))</f>
        <v/>
      </c>
      <c r="S2" s="11">
        <f>IF($AF2="","",IF(INDEX(파견수련계획!$H$4:$H$203,$AF2)="","",INDEX(파견수련계획!$H$4:$H$203,$AF2)))</f>
        <v/>
      </c>
      <c r="T2" s="11">
        <f>IF($AF2="","",IF(INDEX(파견수련계획!$I$4:$I$203,$AF2)="","",INDEX(파견수련계획!$I$4:$I$203,$AF2)))</f>
        <v/>
      </c>
      <c r="U2" s="10">
        <f>IF($AF2="","",INDEX(파견수련계획!$X$4:$X$203,$AF2))</f>
        <v/>
      </c>
      <c r="V2" s="17">
        <f>IF($AF2="","",INDEX(파견수련계획!$V$4:$V$203,$AF2))</f>
        <v/>
      </c>
      <c r="W2" s="17">
        <f>IF(AND($U2="파견중",$T2&lt;&gt;""),$T2-TODAY(),"")</f>
        <v/>
      </c>
      <c r="X2" s="17">
        <f>IF(OR($B2="",TRIM($J2&amp;"")=""),"",SUMPRODUCT((파견수련계획!$Q$4:$Q$203=TRIM($J2&amp;""))*파견수련계획!$W$4:$W$203))</f>
        <v/>
      </c>
      <c r="Y2" s="10">
        <f>IF($B2="","",IF($AG2="","",IF(IF(TRIM($J2&amp;"")="",0,SUMPRODUCT((파견수련계획!$Q$4:$Q$203=TRIM($J2&amp;""))*파견수련계획!$AD$4:$AD$203))&gt;0,$AE2,IF(N($X2)&lt;=0,$AG2,IF($AH2+$AI2=DAY(EOMONTH(요약!$B$3,0)),IF(AND($AH2&gt;=요약!$E$3,$AI2&lt;요약!$E$3),"서울병원",IF(AND($AI2&gt;=요약!$E$3,$AH2&lt;요약!$E$3),"구리병원","⚠15일 판정불가(서울 "&amp;$AH2&amp;"일/구리 "&amp;$AI2&amp;"일)")),IF($AJ2="",$AE2,IF(INDEX(파견수련계획!$T$4:$T$203,$AJ2)="통합수련",INDEX(파견수련계획!$S$4:$S$203,$AJ2),$AE2)))))))</f>
        <v/>
      </c>
      <c r="Z2" s="19">
        <f>IF($B2="","",IF($AB2="","기본자료에 없는 사번",IF(COUNTIF($B$2:$B$201,$B2)&gt;1,"중복 사번",IF($AE2="","소속(입사장소) 입력",IF(IF(TRIM($J2&amp;"")="",0,SUMPRODUCT((파견수련계획!$Q$4:$Q$203=TRIM($J2&amp;""))*(파견수련계획!$AA$4:$AA$203&lt;&gt;"")))&gt;0,"파견수련계획 입력오류 확인",IF(LEFT($Y2,1)="⚠","서울·구리 15일 판정 불가(양쪽 모두 이상/미만)",IF(IF($AC2="",0,N(INDEX(인턴근무계획!$T$3:$T$202,$AC2)))&gt;0,"인턴계획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IF($B2="","",IFERROR(MATCH($B2,기본자료!$B$2:$B$501,0),IFERROR(MATCH($B2&amp;"",기본자료!$B$2:$B$501,0),IFERROR(MATCH(VALUE($B2),기본자료!$B$2:$B$501,0),""))))</f>
        <v/>
      </c>
      <c r="AC2" s="10">
        <f>IF($B2="","",IFERROR(MATCH($B2,인턴근무계획!$D$3:$D$202,0),IFERROR(MATCH($B2&amp;"",인턴근무계획!$D$3:$D$202,0),IFERROR(MATCH(VALUE($B2),인턴근무계획!$D$3:$D$202,0),""))))</f>
        <v/>
      </c>
      <c r="AD2" s="10">
        <f>IF(OR($AC2="",인턴현황!$G$3=""),"",INDEX(인턴근무계획!$M$3:$R$202,$AC2,인턴현황!$G$3)&amp;"")</f>
        <v/>
      </c>
      <c r="AE2" s="10">
        <f>IF($B2="","",IF($M2&lt;&gt;"",$M2,IF($AF2&lt;&gt;"",IF(LEFT(INDEX(파견수련계획!$R$4:$R$203,$AF2),1)&lt;&gt;"⚠",INDEX(파견수련계획!$R$4:$R$203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$203,0),IFERROR(MATCH(TRIM($J2&amp;"")&amp;"|파견예정",파견수련계획!$Y$4:$Y$203,0),IFERROR(MATCH(TRIM($J2&amp;"")&amp;"|파견종료",파견수련계획!$Y$4:$Y$203,0),""))))</f>
        <v/>
      </c>
      <c r="AG2" s="10">
        <f>IF($B2="","",IF(AND(IF(OR($AC2="",인턴현황!$K$2=""),"",INDEX(인턴근무계획!$M$3:$R$202,$AC2,인턴현황!$K$2)&amp;"")&lt;&gt;"",LEFT(IF(OR($AC2="",인턴현황!$K$2=""),"",INDEX(인턴근무계획!$M$3:$R$202,$AC2,인턴현황!$K$2)&amp;""),1)&lt;&gt;"⚠"),LEFT(IF(OR($AC2="",인턴현황!$K$2=""),"",INDEX(인턴근무계획!$M$3:$R$202,$AC2,인턴현황!$K$2)&amp;""),FIND(" ",IF(OR($AC2="",인턴현황!$K$2=""),"",INDEX(인턴근무계획!$M$3:$R$202,$AC2,인턴현황!$K$2)&amp;""))-1),$AE2))</f>
        <v/>
      </c>
      <c r="AH2" s="17">
        <f>IF($B2="","",IF(TRIM($J2&amp;"")="",0,SUMPRODUCT((파견수련계획!$Q$4:$Q$203=TRIM($J2&amp;""))*(파견수련계획!$S$4:$S$203="서울병원")*파견수련계획!$W$4:$W$203))+IF($AG2="서울병원",MAX(0,DAY(EOMONTH(요약!$B$3,0))-N($X2)),0))</f>
        <v/>
      </c>
      <c r="AI2" s="17">
        <f>IF($B2="","",IF(TRIM($J2&amp;"")="",0,SUMPRODUCT((파견수련계획!$Q$4:$Q$203=TRIM($J2&amp;""))*(파견수련계획!$S$4:$S$203="구리병원")*파견수련계획!$W$4:$W$203))+IF($AG2="구리병원",MAX(0,DAY(EOMONTH(요약!$B$3,0))-N($X2)),0))</f>
        <v/>
      </c>
      <c r="AJ2" s="10">
        <f>IF(OR($B2="",TRIM($J2&amp;"")=""),"",IFERROR(MATCH(TRIM($J2&amp;"")&amp;"|월",파견수련계획!$Z$4:$Z$203,0),""))</f>
        <v/>
      </c>
      <c r="AK2" s="10">
        <f>IF(OR($B2="",TRIM($J2&amp;"")=""),"",IFERROR(MATCH(TRIM($J2&amp;"")&amp;"|다기관",파견수련계획!$AE$4:$AE$203,0),""))</f>
        <v/>
      </c>
      <c r="AL2" s="10">
        <f>IF($AK2="","","다기관 "&amp;TEXT(INDEX(파견수련계획!$AB$4:$AB$203,$AK2),"yyyy-mm-dd")&amp;"~"&amp;IF(ISNUMBER(INDEX(파견수련계획!$AC$4:$AC$203,$AK2)),TEXT(INDEX(파견수련계획!$AC$4:$AC$203,$AK2),"yyyy-mm-dd"),""))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IF($AB3="","",IF(INDEX(기본자료!$C$2:$C$501,$AB3)="","",INDEX(기본자료!$C$2:$C$501,$AB3)))</f>
        <v/>
      </c>
      <c r="D3" s="10">
        <f>IF($AB3="","",IF(INDEX(기본자료!$J$2:$J$501,$AB3)="","",INDEX(기본자료!$J$2:$J$501,$AB3)))</f>
        <v/>
      </c>
      <c r="E3" s="11">
        <f>IF($AB3="","",IF(INDEX(기본자료!$K$2:$K$501,$AB3)="","",IF(NOT(ISNUMBER(INDEX(기본자료!$K$2:$K$501,$AB3))),INDEX(기본자료!$K$2:$K$501,$AB3),IF(INDEX(기본자료!$K$2:$K$501,$AB3)&lt;1000000,INDEX(기본자료!$K$2:$K$501,$AB3),IF(AND(INDEX(기본자료!$K$2:$K$501,$AB3)&gt;=10000101,INT(MOD(INDEX(기본자료!$K$2:$K$501,$AB3),10000)/100)&gt;=1,INT(MOD(INDEX(기본자료!$K$2:$K$501,$AB3),10000)/100)&lt;=12,MOD(INDEX(기본자료!$K$2:$K$501,$AB3),100)&gt;=1,MOD(INDEX(기본자료!$K$2:$K$501,$AB3),100)&lt;=31),DATE(INT(INDEX(기본자료!$K$2:$K$501,$AB3)/10000),INT(MOD(INDEX(기본자료!$K$2:$K$501,$AB3),10000)/100),MOD(INDEX(기본자료!$K$2:$K$501,$AB3),100)),INDEX(기본자료!$K$2:$K$501,$AB3)&amp;"")))))</f>
        <v/>
      </c>
      <c r="F3" s="10">
        <f>IF($AB3="","",IF(INDEX(기본자료!$D$2:$D$501,$AB3)="","",INDEX(기본자료!$D$2:$D$501,$AB3)))</f>
        <v/>
      </c>
      <c r="G3" s="10">
        <f>IF($AB3="","",IF(INDEX(기본자료!$E$2:$E$501,$AB3)="","",INDEX(기본자료!$E$2:$E$501,$AB3)))</f>
        <v/>
      </c>
      <c r="H3" s="10">
        <f>IF($AB3="","",IF(INDEX(기본자료!$F$2:$F$501,$AB3)="","",INDEX(기본자료!$F$2:$F$501,$AB3)))</f>
        <v/>
      </c>
      <c r="I3" s="11">
        <f>IF($AB3="","",IF(INDEX(기본자료!$G$2:$G$501,$AB3)="","",IF(NOT(ISNUMBER(INDEX(기본자료!$G$2:$G$501,$AB3))),INDEX(기본자료!$G$2:$G$501,$AB3),IF(INDEX(기본자료!$G$2:$G$501,$AB3)&lt;1000000,INDEX(기본자료!$G$2:$G$501,$AB3),IF(AND(INDEX(기본자료!$G$2:$G$501,$AB3)&gt;=10000101,INT(MOD(INDEX(기본자료!$G$2:$G$501,$AB3),10000)/100)&gt;=1,INT(MOD(INDEX(기본자료!$G$2:$G$501,$AB3),10000)/100)&lt;=12,MOD(INDEX(기본자료!$G$2:$G$501,$AB3),100)&gt;=1,MOD(INDEX(기본자료!$G$2:$G$501,$AB3),100)&lt;=31),DATE(INT(INDEX(기본자료!$G$2:$G$501,$AB3)/10000),INT(MOD(INDEX(기본자료!$G$2:$G$501,$AB3),10000)/100),MOD(INDEX(기본자료!$G$2:$G$501,$AB3),100)),INDEX(기본자료!$G$2:$G$501,$AB3)&amp;"")))))</f>
        <v/>
      </c>
      <c r="J3" s="10">
        <f>IF($AB3="","",IF(INDEX(기본자료!$H$2:$H$501,$AB3)="","",INDEX(기본자료!$H$2:$H$501,$AB3)))</f>
        <v/>
      </c>
      <c r="K3" s="10">
        <f>IF($AB3="","",IF(INDEX(기본자료!$I$2:$I$501,$AB3)="","",INDEX(기본자료!$I$2:$I$501,$AB3)))</f>
        <v/>
      </c>
      <c r="L3" s="10">
        <f>IF($AB3="","",IF(INDEX(기본자료!$A$2:$A$501,$AB3)="","",INDEX(기본자료!$A$2:$A$501,$AB3)))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파견수련계획!$AB$4:$AB$203,$AK3),OR(NOT(ISNUMBER(INDEX(파견수련계획!$AC$4:$AC$203,$AK3))),TODAY()&lt;=INDEX(파견수련계획!$AC$4:$AC$203,$AK3))),"다기관",IF($AF3="","",INDEX(파견수련계획!$T$4:$T$203,$AF3))),IF($AF3="","",INDEX(파견수련계획!$T$4:$T$203,$AF3))))</f>
        <v/>
      </c>
      <c r="Q3" s="10">
        <f>IF($AF3="","",INDEX(파견수련계획!$S$4:$S$203,$AF3))</f>
        <v/>
      </c>
      <c r="R3" s="10">
        <f>IF($AF3="","",INDEX(파견수련계획!$U$4:$U$203,$AF3))</f>
        <v/>
      </c>
      <c r="S3" s="11">
        <f>IF($AF3="","",IF(INDEX(파견수련계획!$H$4:$H$203,$AF3)="","",INDEX(파견수련계획!$H$4:$H$203,$AF3)))</f>
        <v/>
      </c>
      <c r="T3" s="11">
        <f>IF($AF3="","",IF(INDEX(파견수련계획!$I$4:$I$203,$AF3)="","",INDEX(파견수련계획!$I$4:$I$203,$AF3)))</f>
        <v/>
      </c>
      <c r="U3" s="10">
        <f>IF($AF3="","",INDEX(파견수련계획!$X$4:$X$203,$AF3))</f>
        <v/>
      </c>
      <c r="V3" s="17">
        <f>IF($AF3="","",INDEX(파견수련계획!$V$4:$V$203,$AF3))</f>
        <v/>
      </c>
      <c r="W3" s="17">
        <f>IF(AND($U3="파견중",$T3&lt;&gt;""),$T3-TODAY(),"")</f>
        <v/>
      </c>
      <c r="X3" s="17">
        <f>IF(OR($B3="",TRIM($J3&amp;"")=""),"",SUMPRODUCT((파견수련계획!$Q$4:$Q$203=TRIM($J3&amp;""))*파견수련계획!$W$4:$W$203))</f>
        <v/>
      </c>
      <c r="Y3" s="10">
        <f>IF($B3="","",IF($AG3="","",IF(IF(TRIM($J3&amp;"")="",0,SUMPRODUCT((파견수련계획!$Q$4:$Q$203=TRIM($J3&amp;""))*파견수련계획!$AD$4:$AD$203))&gt;0,$AE3,IF(N($X3)&lt;=0,$AG3,IF($AH3+$AI3=DAY(EOMONTH(요약!$B$3,0)),IF(AND($AH3&gt;=요약!$E$3,$AI3&lt;요약!$E$3),"서울병원",IF(AND($AI3&gt;=요약!$E$3,$AH3&lt;요약!$E$3),"구리병원","⚠15일 판정불가(서울 "&amp;$AH3&amp;"일/구리 "&amp;$AI3&amp;"일)")),IF($AJ3="",$AE3,IF(INDEX(파견수련계획!$T$4:$T$203,$AJ3)="통합수련",INDEX(파견수련계획!$S$4:$S$203,$AJ3),$AE3)))))))</f>
        <v/>
      </c>
      <c r="Z3" s="19">
        <f>IF($B3="","",IF($AB3="","기본자료에 없는 사번",IF(COUNTIF($B$2:$B$201,$B3)&gt;1,"중복 사번",IF($AE3="","소속(입사장소) 입력",IF(IF(TRIM($J3&amp;"")="",0,SUMPRODUCT((파견수련계획!$Q$4:$Q$203=TRIM($J3&amp;""))*(파견수련계획!$AA$4:$AA$203&lt;&gt;"")))&gt;0,"파견수련계획 입력오류 확인",IF(LEFT($Y3,1)="⚠","서울·구리 15일 판정 불가(양쪽 모두 이상/미만)",IF(IF($AC3="",0,N(INDEX(인턴근무계획!$T$3:$T$202,$AC3)))&gt;0,"인턴계획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IF($B3="","",IFERROR(MATCH($B3,기본자료!$B$2:$B$501,0),IFERROR(MATCH($B3&amp;"",기본자료!$B$2:$B$501,0),IFERROR(MATCH(VALUE($B3),기본자료!$B$2:$B$501,0),""))))</f>
        <v/>
      </c>
      <c r="AC3" s="10">
        <f>IF($B3="","",IFERROR(MATCH($B3,인턴근무계획!$D$3:$D$202,0),IFERROR(MATCH($B3&amp;"",인턴근무계획!$D$3:$D$202,0),IFERROR(MATCH(VALUE($B3),인턴근무계획!$D$3:$D$202,0),""))))</f>
        <v/>
      </c>
      <c r="AD3" s="10">
        <f>IF(OR($AC3="",인턴현황!$G$3=""),"",INDEX(인턴근무계획!$M$3:$R$202,$AC3,인턴현황!$G$3)&amp;"")</f>
        <v/>
      </c>
      <c r="AE3" s="10">
        <f>IF($B3="","",IF($M3&lt;&gt;"",$M3,IF($AF3&lt;&gt;"",IF(LEFT(INDEX(파견수련계획!$R$4:$R$203,$AF3),1)&lt;&gt;"⚠",INDEX(파견수련계획!$R$4:$R$203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$203,0),IFERROR(MATCH(TRIM($J3&amp;"")&amp;"|파견예정",파견수련계획!$Y$4:$Y$203,0),IFERROR(MATCH(TRIM($J3&amp;"")&amp;"|파견종료",파견수련계획!$Y$4:$Y$203,0),""))))</f>
        <v/>
      </c>
      <c r="AG3" s="10">
        <f>IF($B3="","",IF(AND(IF(OR($AC3="",인턴현황!$K$2=""),"",INDEX(인턴근무계획!$M$3:$R$202,$AC3,인턴현황!$K$2)&amp;"")&lt;&gt;"",LEFT(IF(OR($AC3="",인턴현황!$K$2=""),"",INDEX(인턴근무계획!$M$3:$R$202,$AC3,인턴현황!$K$2)&amp;""),1)&lt;&gt;"⚠"),LEFT(IF(OR($AC3="",인턴현황!$K$2=""),"",INDEX(인턴근무계획!$M$3:$R$202,$AC3,인턴현황!$K$2)&amp;""),FIND(" ",IF(OR($AC3="",인턴현황!$K$2=""),"",INDEX(인턴근무계획!$M$3:$R$202,$AC3,인턴현황!$K$2)&amp;""))-1),$AE3))</f>
        <v/>
      </c>
      <c r="AH3" s="17">
        <f>IF($B3="","",IF(TRIM($J3&amp;"")="",0,SUMPRODUCT((파견수련계획!$Q$4:$Q$203=TRIM($J3&amp;""))*(파견수련계획!$S$4:$S$203="서울병원")*파견수련계획!$W$4:$W$203))+IF($AG3="서울병원",MAX(0,DAY(EOMONTH(요약!$B$3,0))-N($X3)),0))</f>
        <v/>
      </c>
      <c r="AI3" s="17">
        <f>IF($B3="","",IF(TRIM($J3&amp;"")="",0,SUMPRODUCT((파견수련계획!$Q$4:$Q$203=TRIM($J3&amp;""))*(파견수련계획!$S$4:$S$203="구리병원")*파견수련계획!$W$4:$W$203))+IF($AG3="구리병원",MAX(0,DAY(EOMONTH(요약!$B$3,0))-N($X3)),0))</f>
        <v/>
      </c>
      <c r="AJ3" s="10">
        <f>IF(OR($B3="",TRIM($J3&amp;"")=""),"",IFERROR(MATCH(TRIM($J3&amp;"")&amp;"|월",파견수련계획!$Z$4:$Z$203,0),""))</f>
        <v/>
      </c>
      <c r="AK3" s="10">
        <f>IF(OR($B3="",TRIM($J3&amp;"")=""),"",IFERROR(MATCH(TRIM($J3&amp;"")&amp;"|다기관",파견수련계획!$AE$4:$AE$203,0),""))</f>
        <v/>
      </c>
      <c r="AL3" s="10">
        <f>IF($AK3="","","다기관 "&amp;TEXT(INDEX(파견수련계획!$AB$4:$AB$203,$AK3),"yyyy-mm-dd")&amp;"~"&amp;IF(ISNUMBER(INDEX(파견수련계획!$AC$4:$AC$203,$AK3)),TEXT(INDEX(파견수련계획!$AC$4:$AC$203,$AK3),"yyyy-mm-dd"),""))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IF($AB4="","",IF(INDEX(기본자료!$C$2:$C$501,$AB4)="","",INDEX(기본자료!$C$2:$C$501,$AB4)))</f>
        <v/>
      </c>
      <c r="D4" s="10">
        <f>IF($AB4="","",IF(INDEX(기본자료!$J$2:$J$501,$AB4)="","",INDEX(기본자료!$J$2:$J$501,$AB4)))</f>
        <v/>
      </c>
      <c r="E4" s="11">
        <f>IF($AB4="","",IF(INDEX(기본자료!$K$2:$K$501,$AB4)="","",IF(NOT(ISNUMBER(INDEX(기본자료!$K$2:$K$501,$AB4))),INDEX(기본자료!$K$2:$K$501,$AB4),IF(INDEX(기본자료!$K$2:$K$501,$AB4)&lt;1000000,INDEX(기본자료!$K$2:$K$501,$AB4),IF(AND(INDEX(기본자료!$K$2:$K$501,$AB4)&gt;=10000101,INT(MOD(INDEX(기본자료!$K$2:$K$501,$AB4),10000)/100)&gt;=1,INT(MOD(INDEX(기본자료!$K$2:$K$501,$AB4),10000)/100)&lt;=12,MOD(INDEX(기본자료!$K$2:$K$501,$AB4),100)&gt;=1,MOD(INDEX(기본자료!$K$2:$K$501,$AB4),100)&lt;=31),DATE(INT(INDEX(기본자료!$K$2:$K$501,$AB4)/10000),INT(MOD(INDEX(기본자료!$K$2:$K$501,$AB4),10000)/100),MOD(INDEX(기본자료!$K$2:$K$501,$AB4),100)),INDEX(기본자료!$K$2:$K$501,$AB4)&amp;"")))))</f>
        <v/>
      </c>
      <c r="F4" s="10">
        <f>IF($AB4="","",IF(INDEX(기본자료!$D$2:$D$501,$AB4)="","",INDEX(기본자료!$D$2:$D$501,$AB4)))</f>
        <v/>
      </c>
      <c r="G4" s="10">
        <f>IF($AB4="","",IF(INDEX(기본자료!$E$2:$E$501,$AB4)="","",INDEX(기본자료!$E$2:$E$501,$AB4)))</f>
        <v/>
      </c>
      <c r="H4" s="10">
        <f>IF($AB4="","",IF(INDEX(기본자료!$F$2:$F$501,$AB4)="","",INDEX(기본자료!$F$2:$F$501,$AB4)))</f>
        <v/>
      </c>
      <c r="I4" s="11">
        <f>IF($AB4="","",IF(INDEX(기본자료!$G$2:$G$501,$AB4)="","",IF(NOT(ISNUMBER(INDEX(기본자료!$G$2:$G$501,$AB4))),INDEX(기본자료!$G$2:$G$501,$AB4),IF(INDEX(기본자료!$G$2:$G$501,$AB4)&lt;1000000,INDEX(기본자료!$G$2:$G$501,$AB4),IF(AND(INDEX(기본자료!$G$2:$G$501,$AB4)&gt;=10000101,INT(MOD(INDEX(기본자료!$G$2:$G$501,$AB4),10000)/100)&gt;=1,INT(MOD(INDEX(기본자료!$G$2:$G$501,$AB4),10000)/100)&lt;=12,MOD(INDEX(기본자료!$G$2:$G$501,$AB4),100)&gt;=1,MOD(INDEX(기본자료!$G$2:$G$501,$AB4),100)&lt;=31),DATE(INT(INDEX(기본자료!$G$2:$G$501,$AB4)/10000),INT(MOD(INDEX(기본자료!$G$2:$G$501,$AB4),10000)/100),MOD(INDEX(기본자료!$G$2:$G$501,$AB4),100)),INDEX(기본자료!$G$2:$G$501,$AB4)&amp;"")))))</f>
        <v/>
      </c>
      <c r="J4" s="10">
        <f>IF($AB4="","",IF(INDEX(기본자료!$H$2:$H$501,$AB4)="","",INDEX(기본자료!$H$2:$H$501,$AB4)))</f>
        <v/>
      </c>
      <c r="K4" s="10">
        <f>IF($AB4="","",IF(INDEX(기본자료!$I$2:$I$501,$AB4)="","",INDEX(기본자료!$I$2:$I$501,$AB4)))</f>
        <v/>
      </c>
      <c r="L4" s="10">
        <f>IF($AB4="","",IF(INDEX(기본자료!$A$2:$A$501,$AB4)="","",INDEX(기본자료!$A$2:$A$501,$AB4)))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파견수련계획!$AB$4:$AB$203,$AK4),OR(NOT(ISNUMBER(INDEX(파견수련계획!$AC$4:$AC$203,$AK4))),TODAY()&lt;=INDEX(파견수련계획!$AC$4:$AC$203,$AK4))),"다기관",IF($AF4="","",INDEX(파견수련계획!$T$4:$T$203,$AF4))),IF($AF4="","",INDEX(파견수련계획!$T$4:$T$203,$AF4))))</f>
        <v/>
      </c>
      <c r="Q4" s="10">
        <f>IF($AF4="","",INDEX(파견수련계획!$S$4:$S$203,$AF4))</f>
        <v/>
      </c>
      <c r="R4" s="10">
        <f>IF($AF4="","",INDEX(파견수련계획!$U$4:$U$203,$AF4))</f>
        <v/>
      </c>
      <c r="S4" s="11">
        <f>IF($AF4="","",IF(INDEX(파견수련계획!$H$4:$H$203,$AF4)="","",INDEX(파견수련계획!$H$4:$H$203,$AF4)))</f>
        <v/>
      </c>
      <c r="T4" s="11">
        <f>IF($AF4="","",IF(INDEX(파견수련계획!$I$4:$I$203,$AF4)="","",INDEX(파견수련계획!$I$4:$I$203,$AF4)))</f>
        <v/>
      </c>
      <c r="U4" s="10">
        <f>IF($AF4="","",INDEX(파견수련계획!$X$4:$X$203,$AF4))</f>
        <v/>
      </c>
      <c r="V4" s="17">
        <f>IF($AF4="","",INDEX(파견수련계획!$V$4:$V$203,$AF4))</f>
        <v/>
      </c>
      <c r="W4" s="17">
        <f>IF(AND($U4="파견중",$T4&lt;&gt;""),$T4-TODAY(),"")</f>
        <v/>
      </c>
      <c r="X4" s="17">
        <f>IF(OR($B4="",TRIM($J4&amp;"")=""),"",SUMPRODUCT((파견수련계획!$Q$4:$Q$203=TRIM($J4&amp;""))*파견수련계획!$W$4:$W$203))</f>
        <v/>
      </c>
      <c r="Y4" s="10">
        <f>IF($B4="","",IF($AG4="","",IF(IF(TRIM($J4&amp;"")="",0,SUMPRODUCT((파견수련계획!$Q$4:$Q$203=TRIM($J4&amp;""))*파견수련계획!$AD$4:$AD$203))&gt;0,$AE4,IF(N($X4)&lt;=0,$AG4,IF($AH4+$AI4=DAY(EOMONTH(요약!$B$3,0)),IF(AND($AH4&gt;=요약!$E$3,$AI4&lt;요약!$E$3),"서울병원",IF(AND($AI4&gt;=요약!$E$3,$AH4&lt;요약!$E$3),"구리병원","⚠15일 판정불가(서울 "&amp;$AH4&amp;"일/구리 "&amp;$AI4&amp;"일)")),IF($AJ4="",$AE4,IF(INDEX(파견수련계획!$T$4:$T$203,$AJ4)="통합수련",INDEX(파견수련계획!$S$4:$S$203,$AJ4),$AE4)))))))</f>
        <v/>
      </c>
      <c r="Z4" s="19">
        <f>IF($B4="","",IF($AB4="","기본자료에 없는 사번",IF(COUNTIF($B$2:$B$201,$B4)&gt;1,"중복 사번",IF($AE4="","소속(입사장소) 입력",IF(IF(TRIM($J4&amp;"")="",0,SUMPRODUCT((파견수련계획!$Q$4:$Q$203=TRIM($J4&amp;""))*(파견수련계획!$AA$4:$AA$203&lt;&gt;"")))&gt;0,"파견수련계획 입력오류 확인",IF(LEFT($Y4,1)="⚠","서울·구리 15일 판정 불가(양쪽 모두 이상/미만)",IF(IF($AC4="",0,N(INDEX(인턴근무계획!$T$3:$T$202,$AC4)))&gt;0,"인턴계획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IF($B4="","",IFERROR(MATCH($B4,기본자료!$B$2:$B$501,0),IFERROR(MATCH($B4&amp;"",기본자료!$B$2:$B$501,0),IFERROR(MATCH(VALUE($B4),기본자료!$B$2:$B$501,0),""))))</f>
        <v/>
      </c>
      <c r="AC4" s="10">
        <f>IF($B4="","",IFERROR(MATCH($B4,인턴근무계획!$D$3:$D$202,0),IFERROR(MATCH($B4&amp;"",인턴근무계획!$D$3:$D$202,0),IFERROR(MATCH(VALUE($B4),인턴근무계획!$D$3:$D$202,0),""))))</f>
        <v/>
      </c>
      <c r="AD4" s="10">
        <f>IF(OR($AC4="",인턴현황!$G$3=""),"",INDEX(인턴근무계획!$M$3:$R$202,$AC4,인턴현황!$G$3)&amp;"")</f>
        <v/>
      </c>
      <c r="AE4" s="10">
        <f>IF($B4="","",IF($M4&lt;&gt;"",$M4,IF($AF4&lt;&gt;"",IF(LEFT(INDEX(파견수련계획!$R$4:$R$203,$AF4),1)&lt;&gt;"⚠",INDEX(파견수련계획!$R$4:$R$203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$203,0),IFERROR(MATCH(TRIM($J4&amp;"")&amp;"|파견예정",파견수련계획!$Y$4:$Y$203,0),IFERROR(MATCH(TRIM($J4&amp;"")&amp;"|파견종료",파견수련계획!$Y$4:$Y$203,0),""))))</f>
        <v/>
      </c>
      <c r="AG4" s="10">
        <f>IF($B4="","",IF(AND(IF(OR($AC4="",인턴현황!$K$2=""),"",INDEX(인턴근무계획!$M$3:$R$202,$AC4,인턴현황!$K$2)&amp;"")&lt;&gt;"",LEFT(IF(OR($AC4="",인턴현황!$K$2=""),"",INDEX(인턴근무계획!$M$3:$R$202,$AC4,인턴현황!$K$2)&amp;""),1)&lt;&gt;"⚠"),LEFT(IF(OR($AC4="",인턴현황!$K$2=""),"",INDEX(인턴근무계획!$M$3:$R$202,$AC4,인턴현황!$K$2)&amp;""),FIND(" ",IF(OR($AC4="",인턴현황!$K$2=""),"",INDEX(인턴근무계획!$M$3:$R$202,$AC4,인턴현황!$K$2)&amp;""))-1),$AE4))</f>
        <v/>
      </c>
      <c r="AH4" s="17">
        <f>IF($B4="","",IF(TRIM($J4&amp;"")="",0,SUMPRODUCT((파견수련계획!$Q$4:$Q$203=TRIM($J4&amp;""))*(파견수련계획!$S$4:$S$203="서울병원")*파견수련계획!$W$4:$W$203))+IF($AG4="서울병원",MAX(0,DAY(EOMONTH(요약!$B$3,0))-N($X4)),0))</f>
        <v/>
      </c>
      <c r="AI4" s="17">
        <f>IF($B4="","",IF(TRIM($J4&amp;"")="",0,SUMPRODUCT((파견수련계획!$Q$4:$Q$203=TRIM($J4&amp;""))*(파견수련계획!$S$4:$S$203="구리병원")*파견수련계획!$W$4:$W$203))+IF($AG4="구리병원",MAX(0,DAY(EOMONTH(요약!$B$3,0))-N($X4)),0))</f>
        <v/>
      </c>
      <c r="AJ4" s="10">
        <f>IF(OR($B4="",TRIM($J4&amp;"")=""),"",IFERROR(MATCH(TRIM($J4&amp;"")&amp;"|월",파견수련계획!$Z$4:$Z$203,0),""))</f>
        <v/>
      </c>
      <c r="AK4" s="10">
        <f>IF(OR($B4="",TRIM($J4&amp;"")=""),"",IFERROR(MATCH(TRIM($J4&amp;"")&amp;"|다기관",파견수련계획!$AE$4:$AE$203,0),""))</f>
        <v/>
      </c>
      <c r="AL4" s="10">
        <f>IF($AK4="","","다기관 "&amp;TEXT(INDEX(파견수련계획!$AB$4:$AB$203,$AK4),"yyyy-mm-dd")&amp;"~"&amp;IF(ISNUMBER(INDEX(파견수련계획!$AC$4:$AC$203,$AK4)),TEXT(INDEX(파견수련계획!$AC$4:$AC$203,$AK4),"yyyy-mm-dd"),""))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IF($AB5="","",IF(INDEX(기본자료!$C$2:$C$501,$AB5)="","",INDEX(기본자료!$C$2:$C$501,$AB5)))</f>
        <v/>
      </c>
      <c r="D5" s="10">
        <f>IF($AB5="","",IF(INDEX(기본자료!$J$2:$J$501,$AB5)="","",INDEX(기본자료!$J$2:$J$501,$AB5)))</f>
        <v/>
      </c>
      <c r="E5" s="11">
        <f>IF($AB5="","",IF(INDEX(기본자료!$K$2:$K$501,$AB5)="","",IF(NOT(ISNUMBER(INDEX(기본자료!$K$2:$K$501,$AB5))),INDEX(기본자료!$K$2:$K$501,$AB5),IF(INDEX(기본자료!$K$2:$K$501,$AB5)&lt;1000000,INDEX(기본자료!$K$2:$K$501,$AB5),IF(AND(INDEX(기본자료!$K$2:$K$501,$AB5)&gt;=10000101,INT(MOD(INDEX(기본자료!$K$2:$K$501,$AB5),10000)/100)&gt;=1,INT(MOD(INDEX(기본자료!$K$2:$K$501,$AB5),10000)/100)&lt;=12,MOD(INDEX(기본자료!$K$2:$K$501,$AB5),100)&gt;=1,MOD(INDEX(기본자료!$K$2:$K$501,$AB5),100)&lt;=31),DATE(INT(INDEX(기본자료!$K$2:$K$501,$AB5)/10000),INT(MOD(INDEX(기본자료!$K$2:$K$501,$AB5),10000)/100),MOD(INDEX(기본자료!$K$2:$K$501,$AB5),100)),INDEX(기본자료!$K$2:$K$501,$AB5)&amp;"")))))</f>
        <v/>
      </c>
      <c r="F5" s="10">
        <f>IF($AB5="","",IF(INDEX(기본자료!$D$2:$D$501,$AB5)="","",INDEX(기본자료!$D$2:$D$501,$AB5)))</f>
        <v/>
      </c>
      <c r="G5" s="10">
        <f>IF($AB5="","",IF(INDEX(기본자료!$E$2:$E$501,$AB5)="","",INDEX(기본자료!$E$2:$E$501,$AB5)))</f>
        <v/>
      </c>
      <c r="H5" s="10">
        <f>IF($AB5="","",IF(INDEX(기본자료!$F$2:$F$501,$AB5)="","",INDEX(기본자료!$F$2:$F$501,$AB5)))</f>
        <v/>
      </c>
      <c r="I5" s="11">
        <f>IF($AB5="","",IF(INDEX(기본자료!$G$2:$G$501,$AB5)="","",IF(NOT(ISNUMBER(INDEX(기본자료!$G$2:$G$501,$AB5))),INDEX(기본자료!$G$2:$G$501,$AB5),IF(INDEX(기본자료!$G$2:$G$501,$AB5)&lt;1000000,INDEX(기본자료!$G$2:$G$501,$AB5),IF(AND(INDEX(기본자료!$G$2:$G$501,$AB5)&gt;=10000101,INT(MOD(INDEX(기본자료!$G$2:$G$501,$AB5),10000)/100)&gt;=1,INT(MOD(INDEX(기본자료!$G$2:$G$501,$AB5),10000)/100)&lt;=12,MOD(INDEX(기본자료!$G$2:$G$501,$AB5),100)&gt;=1,MOD(INDEX(기본자료!$G$2:$G$501,$AB5),100)&lt;=31),DATE(INT(INDEX(기본자료!$G$2:$G$501,$AB5)/10000),INT(MOD(INDEX(기본자료!$G$2:$G$501,$AB5),10000)/100),MOD(INDEX(기본자료!$G$2:$G$501,$AB5),100)),INDEX(기본자료!$G$2:$G$501,$AB5)&amp;"")))))</f>
        <v/>
      </c>
      <c r="J5" s="10">
        <f>IF($AB5="","",IF(INDEX(기본자료!$H$2:$H$501,$AB5)="","",INDEX(기본자료!$H$2:$H$501,$AB5)))</f>
        <v/>
      </c>
      <c r="K5" s="10">
        <f>IF($AB5="","",IF(INDEX(기본자료!$I$2:$I$501,$AB5)="","",INDEX(기본자료!$I$2:$I$501,$AB5)))</f>
        <v/>
      </c>
      <c r="L5" s="10">
        <f>IF($AB5="","",IF(INDEX(기본자료!$A$2:$A$501,$AB5)="","",INDEX(기본자료!$A$2:$A$501,$AB5)))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파견수련계획!$AB$4:$AB$203,$AK5),OR(NOT(ISNUMBER(INDEX(파견수련계획!$AC$4:$AC$203,$AK5))),TODAY()&lt;=INDEX(파견수련계획!$AC$4:$AC$203,$AK5))),"다기관",IF($AF5="","",INDEX(파견수련계획!$T$4:$T$203,$AF5))),IF($AF5="","",INDEX(파견수련계획!$T$4:$T$203,$AF5))))</f>
        <v/>
      </c>
      <c r="Q5" s="10">
        <f>IF($AF5="","",INDEX(파견수련계획!$S$4:$S$203,$AF5))</f>
        <v/>
      </c>
      <c r="R5" s="10">
        <f>IF($AF5="","",INDEX(파견수련계획!$U$4:$U$203,$AF5))</f>
        <v/>
      </c>
      <c r="S5" s="11">
        <f>IF($AF5="","",IF(INDEX(파견수련계획!$H$4:$H$203,$AF5)="","",INDEX(파견수련계획!$H$4:$H$203,$AF5)))</f>
        <v/>
      </c>
      <c r="T5" s="11">
        <f>IF($AF5="","",IF(INDEX(파견수련계획!$I$4:$I$203,$AF5)="","",INDEX(파견수련계획!$I$4:$I$203,$AF5)))</f>
        <v/>
      </c>
      <c r="U5" s="10">
        <f>IF($AF5="","",INDEX(파견수련계획!$X$4:$X$203,$AF5))</f>
        <v/>
      </c>
      <c r="V5" s="17">
        <f>IF($AF5="","",INDEX(파견수련계획!$V$4:$V$203,$AF5))</f>
        <v/>
      </c>
      <c r="W5" s="17">
        <f>IF(AND($U5="파견중",$T5&lt;&gt;""),$T5-TODAY(),"")</f>
        <v/>
      </c>
      <c r="X5" s="17">
        <f>IF(OR($B5="",TRIM($J5&amp;"")=""),"",SUMPRODUCT((파견수련계획!$Q$4:$Q$203=TRIM($J5&amp;""))*파견수련계획!$W$4:$W$203))</f>
        <v/>
      </c>
      <c r="Y5" s="10">
        <f>IF($B5="","",IF($AG5="","",IF(IF(TRIM($J5&amp;"")="",0,SUMPRODUCT((파견수련계획!$Q$4:$Q$203=TRIM($J5&amp;""))*파견수련계획!$AD$4:$AD$203))&gt;0,$AE5,IF(N($X5)&lt;=0,$AG5,IF($AH5+$AI5=DAY(EOMONTH(요약!$B$3,0)),IF(AND($AH5&gt;=요약!$E$3,$AI5&lt;요약!$E$3),"서울병원",IF(AND($AI5&gt;=요약!$E$3,$AH5&lt;요약!$E$3),"구리병원","⚠15일 판정불가(서울 "&amp;$AH5&amp;"일/구리 "&amp;$AI5&amp;"일)")),IF($AJ5="",$AE5,IF(INDEX(파견수련계획!$T$4:$T$203,$AJ5)="통합수련",INDEX(파견수련계획!$S$4:$S$203,$AJ5),$AE5)))))))</f>
        <v/>
      </c>
      <c r="Z5" s="19">
        <f>IF($B5="","",IF($AB5="","기본자료에 없는 사번",IF(COUNTIF($B$2:$B$201,$B5)&gt;1,"중복 사번",IF($AE5="","소속(입사장소) 입력",IF(IF(TRIM($J5&amp;"")="",0,SUMPRODUCT((파견수련계획!$Q$4:$Q$203=TRIM($J5&amp;""))*(파견수련계획!$AA$4:$AA$203&lt;&gt;"")))&gt;0,"파견수련계획 입력오류 확인",IF(LEFT($Y5,1)="⚠","서울·구리 15일 판정 불가(양쪽 모두 이상/미만)",IF(IF($AC5="",0,N(INDEX(인턴근무계획!$T$3:$T$202,$AC5)))&gt;0,"인턴계획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IF($B5="","",IFERROR(MATCH($B5,기본자료!$B$2:$B$501,0),IFERROR(MATCH($B5&amp;"",기본자료!$B$2:$B$501,0),IFERROR(MATCH(VALUE($B5),기본자료!$B$2:$B$501,0),""))))</f>
        <v/>
      </c>
      <c r="AC5" s="10">
        <f>IF($B5="","",IFERROR(MATCH($B5,인턴근무계획!$D$3:$D$202,0),IFERROR(MATCH($B5&amp;"",인턴근무계획!$D$3:$D$202,0),IFERROR(MATCH(VALUE($B5),인턴근무계획!$D$3:$D$202,0),""))))</f>
        <v/>
      </c>
      <c r="AD5" s="10">
        <f>IF(OR($AC5="",인턴현황!$G$3=""),"",INDEX(인턴근무계획!$M$3:$R$202,$AC5,인턴현황!$G$3)&amp;"")</f>
        <v/>
      </c>
      <c r="AE5" s="10">
        <f>IF($B5="","",IF($M5&lt;&gt;"",$M5,IF($AF5&lt;&gt;"",IF(LEFT(INDEX(파견수련계획!$R$4:$R$203,$AF5),1)&lt;&gt;"⚠",INDEX(파견수련계획!$R$4:$R$203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$203,0),IFERROR(MATCH(TRIM($J5&amp;"")&amp;"|파견예정",파견수련계획!$Y$4:$Y$203,0),IFERROR(MATCH(TRIM($J5&amp;"")&amp;"|파견종료",파견수련계획!$Y$4:$Y$203,0),""))))</f>
        <v/>
      </c>
      <c r="AG5" s="10">
        <f>IF($B5="","",IF(AND(IF(OR($AC5="",인턴현황!$K$2=""),"",INDEX(인턴근무계획!$M$3:$R$202,$AC5,인턴현황!$K$2)&amp;"")&lt;&gt;"",LEFT(IF(OR($AC5="",인턴현황!$K$2=""),"",INDEX(인턴근무계획!$M$3:$R$202,$AC5,인턴현황!$K$2)&amp;""),1)&lt;&gt;"⚠"),LEFT(IF(OR($AC5="",인턴현황!$K$2=""),"",INDEX(인턴근무계획!$M$3:$R$202,$AC5,인턴현황!$K$2)&amp;""),FIND(" ",IF(OR($AC5="",인턴현황!$K$2=""),"",INDEX(인턴근무계획!$M$3:$R$202,$AC5,인턴현황!$K$2)&amp;""))-1),$AE5))</f>
        <v/>
      </c>
      <c r="AH5" s="17">
        <f>IF($B5="","",IF(TRIM($J5&amp;"")="",0,SUMPRODUCT((파견수련계획!$Q$4:$Q$203=TRIM($J5&amp;""))*(파견수련계획!$S$4:$S$203="서울병원")*파견수련계획!$W$4:$W$203))+IF($AG5="서울병원",MAX(0,DAY(EOMONTH(요약!$B$3,0))-N($X5)),0))</f>
        <v/>
      </c>
      <c r="AI5" s="17">
        <f>IF($B5="","",IF(TRIM($J5&amp;"")="",0,SUMPRODUCT((파견수련계획!$Q$4:$Q$203=TRIM($J5&amp;""))*(파견수련계획!$S$4:$S$203="구리병원")*파견수련계획!$W$4:$W$203))+IF($AG5="구리병원",MAX(0,DAY(EOMONTH(요약!$B$3,0))-N($X5)),0))</f>
        <v/>
      </c>
      <c r="AJ5" s="10">
        <f>IF(OR($B5="",TRIM($J5&amp;"")=""),"",IFERROR(MATCH(TRIM($J5&amp;"")&amp;"|월",파견수련계획!$Z$4:$Z$203,0),""))</f>
        <v/>
      </c>
      <c r="AK5" s="10">
        <f>IF(OR($B5="",TRIM($J5&amp;"")=""),"",IFERROR(MATCH(TRIM($J5&amp;"")&amp;"|다기관",파견수련계획!$AE$4:$AE$203,0),""))</f>
        <v/>
      </c>
      <c r="AL5" s="10">
        <f>IF($AK5="","","다기관 "&amp;TEXT(INDEX(파견수련계획!$AB$4:$AB$203,$AK5),"yyyy-mm-dd")&amp;"~"&amp;IF(ISNUMBER(INDEX(파견수련계획!$AC$4:$AC$203,$AK5)),TEXT(INDEX(파견수련계획!$AC$4:$AC$203,$AK5),"yyyy-mm-dd"),""))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IF($AB6="","",IF(INDEX(기본자료!$C$2:$C$501,$AB6)="","",INDEX(기본자료!$C$2:$C$501,$AB6)))</f>
        <v/>
      </c>
      <c r="D6" s="10">
        <f>IF($AB6="","",IF(INDEX(기본자료!$J$2:$J$501,$AB6)="","",INDEX(기본자료!$J$2:$J$501,$AB6)))</f>
        <v/>
      </c>
      <c r="E6" s="11">
        <f>IF($AB6="","",IF(INDEX(기본자료!$K$2:$K$501,$AB6)="","",IF(NOT(ISNUMBER(INDEX(기본자료!$K$2:$K$501,$AB6))),INDEX(기본자료!$K$2:$K$501,$AB6),IF(INDEX(기본자료!$K$2:$K$501,$AB6)&lt;1000000,INDEX(기본자료!$K$2:$K$501,$AB6),IF(AND(INDEX(기본자료!$K$2:$K$501,$AB6)&gt;=10000101,INT(MOD(INDEX(기본자료!$K$2:$K$501,$AB6),10000)/100)&gt;=1,INT(MOD(INDEX(기본자료!$K$2:$K$501,$AB6),10000)/100)&lt;=12,MOD(INDEX(기본자료!$K$2:$K$501,$AB6),100)&gt;=1,MOD(INDEX(기본자료!$K$2:$K$501,$AB6),100)&lt;=31),DATE(INT(INDEX(기본자료!$K$2:$K$501,$AB6)/10000),INT(MOD(INDEX(기본자료!$K$2:$K$501,$AB6),10000)/100),MOD(INDEX(기본자료!$K$2:$K$501,$AB6),100)),INDEX(기본자료!$K$2:$K$501,$AB6)&amp;"")))))</f>
        <v/>
      </c>
      <c r="F6" s="10">
        <f>IF($AB6="","",IF(INDEX(기본자료!$D$2:$D$501,$AB6)="","",INDEX(기본자료!$D$2:$D$501,$AB6)))</f>
        <v/>
      </c>
      <c r="G6" s="10">
        <f>IF($AB6="","",IF(INDEX(기본자료!$E$2:$E$501,$AB6)="","",INDEX(기본자료!$E$2:$E$501,$AB6)))</f>
        <v/>
      </c>
      <c r="H6" s="10">
        <f>IF($AB6="","",IF(INDEX(기본자료!$F$2:$F$501,$AB6)="","",INDEX(기본자료!$F$2:$F$501,$AB6)))</f>
        <v/>
      </c>
      <c r="I6" s="11">
        <f>IF($AB6="","",IF(INDEX(기본자료!$G$2:$G$501,$AB6)="","",IF(NOT(ISNUMBER(INDEX(기본자료!$G$2:$G$501,$AB6))),INDEX(기본자료!$G$2:$G$501,$AB6),IF(INDEX(기본자료!$G$2:$G$501,$AB6)&lt;1000000,INDEX(기본자료!$G$2:$G$501,$AB6),IF(AND(INDEX(기본자료!$G$2:$G$501,$AB6)&gt;=10000101,INT(MOD(INDEX(기본자료!$G$2:$G$501,$AB6),10000)/100)&gt;=1,INT(MOD(INDEX(기본자료!$G$2:$G$501,$AB6),10000)/100)&lt;=12,MOD(INDEX(기본자료!$G$2:$G$501,$AB6),100)&gt;=1,MOD(INDEX(기본자료!$G$2:$G$501,$AB6),100)&lt;=31),DATE(INT(INDEX(기본자료!$G$2:$G$501,$AB6)/10000),INT(MOD(INDEX(기본자료!$G$2:$G$501,$AB6),10000)/100),MOD(INDEX(기본자료!$G$2:$G$501,$AB6),100)),INDEX(기본자료!$G$2:$G$501,$AB6)&amp;"")))))</f>
        <v/>
      </c>
      <c r="J6" s="10">
        <f>IF($AB6="","",IF(INDEX(기본자료!$H$2:$H$501,$AB6)="","",INDEX(기본자료!$H$2:$H$501,$AB6)))</f>
        <v/>
      </c>
      <c r="K6" s="10">
        <f>IF($AB6="","",IF(INDEX(기본자료!$I$2:$I$501,$AB6)="","",INDEX(기본자료!$I$2:$I$501,$AB6)))</f>
        <v/>
      </c>
      <c r="L6" s="10">
        <f>IF($AB6="","",IF(INDEX(기본자료!$A$2:$A$501,$AB6)="","",INDEX(기본자료!$A$2:$A$501,$AB6)))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파견수련계획!$AB$4:$AB$203,$AK6),OR(NOT(ISNUMBER(INDEX(파견수련계획!$AC$4:$AC$203,$AK6))),TODAY()&lt;=INDEX(파견수련계획!$AC$4:$AC$203,$AK6))),"다기관",IF($AF6="","",INDEX(파견수련계획!$T$4:$T$203,$AF6))),IF($AF6="","",INDEX(파견수련계획!$T$4:$T$203,$AF6))))</f>
        <v/>
      </c>
      <c r="Q6" s="10">
        <f>IF($AF6="","",INDEX(파견수련계획!$S$4:$S$203,$AF6))</f>
        <v/>
      </c>
      <c r="R6" s="10">
        <f>IF($AF6="","",INDEX(파견수련계획!$U$4:$U$203,$AF6))</f>
        <v/>
      </c>
      <c r="S6" s="11">
        <f>IF($AF6="","",IF(INDEX(파견수련계획!$H$4:$H$203,$AF6)="","",INDEX(파견수련계획!$H$4:$H$203,$AF6)))</f>
        <v/>
      </c>
      <c r="T6" s="11">
        <f>IF($AF6="","",IF(INDEX(파견수련계획!$I$4:$I$203,$AF6)="","",INDEX(파견수련계획!$I$4:$I$203,$AF6)))</f>
        <v/>
      </c>
      <c r="U6" s="10">
        <f>IF($AF6="","",INDEX(파견수련계획!$X$4:$X$203,$AF6))</f>
        <v/>
      </c>
      <c r="V6" s="17">
        <f>IF($AF6="","",INDEX(파견수련계획!$V$4:$V$203,$AF6))</f>
        <v/>
      </c>
      <c r="W6" s="17">
        <f>IF(AND($U6="파견중",$T6&lt;&gt;""),$T6-TODAY(),"")</f>
        <v/>
      </c>
      <c r="X6" s="17">
        <f>IF(OR($B6="",TRIM($J6&amp;"")=""),"",SUMPRODUCT((파견수련계획!$Q$4:$Q$203=TRIM($J6&amp;""))*파견수련계획!$W$4:$W$203))</f>
        <v/>
      </c>
      <c r="Y6" s="10">
        <f>IF($B6="","",IF($AG6="","",IF(IF(TRIM($J6&amp;"")="",0,SUMPRODUCT((파견수련계획!$Q$4:$Q$203=TRIM($J6&amp;""))*파견수련계획!$AD$4:$AD$203))&gt;0,$AE6,IF(N($X6)&lt;=0,$AG6,IF($AH6+$AI6=DAY(EOMONTH(요약!$B$3,0)),IF(AND($AH6&gt;=요약!$E$3,$AI6&lt;요약!$E$3),"서울병원",IF(AND($AI6&gt;=요약!$E$3,$AH6&lt;요약!$E$3),"구리병원","⚠15일 판정불가(서울 "&amp;$AH6&amp;"일/구리 "&amp;$AI6&amp;"일)")),IF($AJ6="",$AE6,IF(INDEX(파견수련계획!$T$4:$T$203,$AJ6)="통합수련",INDEX(파견수련계획!$S$4:$S$203,$AJ6),$AE6)))))))</f>
        <v/>
      </c>
      <c r="Z6" s="19">
        <f>IF($B6="","",IF($AB6="","기본자료에 없는 사번",IF(COUNTIF($B$2:$B$201,$B6)&gt;1,"중복 사번",IF($AE6="","소속(입사장소) 입력",IF(IF(TRIM($J6&amp;"")="",0,SUMPRODUCT((파견수련계획!$Q$4:$Q$203=TRIM($J6&amp;""))*(파견수련계획!$AA$4:$AA$203&lt;&gt;"")))&gt;0,"파견수련계획 입력오류 확인",IF(LEFT($Y6,1)="⚠","서울·구리 15일 판정 불가(양쪽 모두 이상/미만)",IF(IF($AC6="",0,N(INDEX(인턴근무계획!$T$3:$T$202,$AC6)))&gt;0,"인턴계획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IF($B6="","",IFERROR(MATCH($B6,기본자료!$B$2:$B$501,0),IFERROR(MATCH($B6&amp;"",기본자료!$B$2:$B$501,0),IFERROR(MATCH(VALUE($B6),기본자료!$B$2:$B$501,0),""))))</f>
        <v/>
      </c>
      <c r="AC6" s="10">
        <f>IF($B6="","",IFERROR(MATCH($B6,인턴근무계획!$D$3:$D$202,0),IFERROR(MATCH($B6&amp;"",인턴근무계획!$D$3:$D$202,0),IFERROR(MATCH(VALUE($B6),인턴근무계획!$D$3:$D$202,0),""))))</f>
        <v/>
      </c>
      <c r="AD6" s="10">
        <f>IF(OR($AC6="",인턴현황!$G$3=""),"",INDEX(인턴근무계획!$M$3:$R$202,$AC6,인턴현황!$G$3)&amp;"")</f>
        <v/>
      </c>
      <c r="AE6" s="10">
        <f>IF($B6="","",IF($M6&lt;&gt;"",$M6,IF($AF6&lt;&gt;"",IF(LEFT(INDEX(파견수련계획!$R$4:$R$203,$AF6),1)&lt;&gt;"⚠",INDEX(파견수련계획!$R$4:$R$203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$203,0),IFERROR(MATCH(TRIM($J6&amp;"")&amp;"|파견예정",파견수련계획!$Y$4:$Y$203,0),IFERROR(MATCH(TRIM($J6&amp;"")&amp;"|파견종료",파견수련계획!$Y$4:$Y$203,0),""))))</f>
        <v/>
      </c>
      <c r="AG6" s="10">
        <f>IF($B6="","",IF(AND(IF(OR($AC6="",인턴현황!$K$2=""),"",INDEX(인턴근무계획!$M$3:$R$202,$AC6,인턴현황!$K$2)&amp;"")&lt;&gt;"",LEFT(IF(OR($AC6="",인턴현황!$K$2=""),"",INDEX(인턴근무계획!$M$3:$R$202,$AC6,인턴현황!$K$2)&amp;""),1)&lt;&gt;"⚠"),LEFT(IF(OR($AC6="",인턴현황!$K$2=""),"",INDEX(인턴근무계획!$M$3:$R$202,$AC6,인턴현황!$K$2)&amp;""),FIND(" ",IF(OR($AC6="",인턴현황!$K$2=""),"",INDEX(인턴근무계획!$M$3:$R$202,$AC6,인턴현황!$K$2)&amp;""))-1),$AE6))</f>
        <v/>
      </c>
      <c r="AH6" s="17">
        <f>IF($B6="","",IF(TRIM($J6&amp;"")="",0,SUMPRODUCT((파견수련계획!$Q$4:$Q$203=TRIM($J6&amp;""))*(파견수련계획!$S$4:$S$203="서울병원")*파견수련계획!$W$4:$W$203))+IF($AG6="서울병원",MAX(0,DAY(EOMONTH(요약!$B$3,0))-N($X6)),0))</f>
        <v/>
      </c>
      <c r="AI6" s="17">
        <f>IF($B6="","",IF(TRIM($J6&amp;"")="",0,SUMPRODUCT((파견수련계획!$Q$4:$Q$203=TRIM($J6&amp;""))*(파견수련계획!$S$4:$S$203="구리병원")*파견수련계획!$W$4:$W$203))+IF($AG6="구리병원",MAX(0,DAY(EOMONTH(요약!$B$3,0))-N($X6)),0))</f>
        <v/>
      </c>
      <c r="AJ6" s="10">
        <f>IF(OR($B6="",TRIM($J6&amp;"")=""),"",IFERROR(MATCH(TRIM($J6&amp;"")&amp;"|월",파견수련계획!$Z$4:$Z$203,0),""))</f>
        <v/>
      </c>
      <c r="AK6" s="10">
        <f>IF(OR($B6="",TRIM($J6&amp;"")=""),"",IFERROR(MATCH(TRIM($J6&amp;"")&amp;"|다기관",파견수련계획!$AE$4:$AE$203,0),""))</f>
        <v/>
      </c>
      <c r="AL6" s="10">
        <f>IF($AK6="","","다기관 "&amp;TEXT(INDEX(파견수련계획!$AB$4:$AB$203,$AK6),"yyyy-mm-dd")&amp;"~"&amp;IF(ISNUMBER(INDEX(파견수련계획!$AC$4:$AC$203,$AK6)),TEXT(INDEX(파견수련계획!$AC$4:$AC$203,$AK6),"yyyy-mm-dd"),""))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IF($AB7="","",IF(INDEX(기본자료!$C$2:$C$501,$AB7)="","",INDEX(기본자료!$C$2:$C$501,$AB7)))</f>
        <v/>
      </c>
      <c r="D7" s="10">
        <f>IF($AB7="","",IF(INDEX(기본자료!$J$2:$J$501,$AB7)="","",INDEX(기본자료!$J$2:$J$501,$AB7)))</f>
        <v/>
      </c>
      <c r="E7" s="11">
        <f>IF($AB7="","",IF(INDEX(기본자료!$K$2:$K$501,$AB7)="","",IF(NOT(ISNUMBER(INDEX(기본자료!$K$2:$K$501,$AB7))),INDEX(기본자료!$K$2:$K$501,$AB7),IF(INDEX(기본자료!$K$2:$K$501,$AB7)&lt;1000000,INDEX(기본자료!$K$2:$K$501,$AB7),IF(AND(INDEX(기본자료!$K$2:$K$501,$AB7)&gt;=10000101,INT(MOD(INDEX(기본자료!$K$2:$K$501,$AB7),10000)/100)&gt;=1,INT(MOD(INDEX(기본자료!$K$2:$K$501,$AB7),10000)/100)&lt;=12,MOD(INDEX(기본자료!$K$2:$K$501,$AB7),100)&gt;=1,MOD(INDEX(기본자료!$K$2:$K$501,$AB7),100)&lt;=31),DATE(INT(INDEX(기본자료!$K$2:$K$501,$AB7)/10000),INT(MOD(INDEX(기본자료!$K$2:$K$501,$AB7),10000)/100),MOD(INDEX(기본자료!$K$2:$K$501,$AB7),100)),INDEX(기본자료!$K$2:$K$501,$AB7)&amp;"")))))</f>
        <v/>
      </c>
      <c r="F7" s="10">
        <f>IF($AB7="","",IF(INDEX(기본자료!$D$2:$D$501,$AB7)="","",INDEX(기본자료!$D$2:$D$501,$AB7)))</f>
        <v/>
      </c>
      <c r="G7" s="10">
        <f>IF($AB7="","",IF(INDEX(기본자료!$E$2:$E$501,$AB7)="","",INDEX(기본자료!$E$2:$E$501,$AB7)))</f>
        <v/>
      </c>
      <c r="H7" s="10">
        <f>IF($AB7="","",IF(INDEX(기본자료!$F$2:$F$501,$AB7)="","",INDEX(기본자료!$F$2:$F$501,$AB7)))</f>
        <v/>
      </c>
      <c r="I7" s="11">
        <f>IF($AB7="","",IF(INDEX(기본자료!$G$2:$G$501,$AB7)="","",IF(NOT(ISNUMBER(INDEX(기본자료!$G$2:$G$501,$AB7))),INDEX(기본자료!$G$2:$G$501,$AB7),IF(INDEX(기본자료!$G$2:$G$501,$AB7)&lt;1000000,INDEX(기본자료!$G$2:$G$501,$AB7),IF(AND(INDEX(기본자료!$G$2:$G$501,$AB7)&gt;=10000101,INT(MOD(INDEX(기본자료!$G$2:$G$501,$AB7),10000)/100)&gt;=1,INT(MOD(INDEX(기본자료!$G$2:$G$501,$AB7),10000)/100)&lt;=12,MOD(INDEX(기본자료!$G$2:$G$501,$AB7),100)&gt;=1,MOD(INDEX(기본자료!$G$2:$G$501,$AB7),100)&lt;=31),DATE(INT(INDEX(기본자료!$G$2:$G$501,$AB7)/10000),INT(MOD(INDEX(기본자료!$G$2:$G$501,$AB7),10000)/100),MOD(INDEX(기본자료!$G$2:$G$501,$AB7),100)),INDEX(기본자료!$G$2:$G$501,$AB7)&amp;"")))))</f>
        <v/>
      </c>
      <c r="J7" s="10">
        <f>IF($AB7="","",IF(INDEX(기본자료!$H$2:$H$501,$AB7)="","",INDEX(기본자료!$H$2:$H$501,$AB7)))</f>
        <v/>
      </c>
      <c r="K7" s="10">
        <f>IF($AB7="","",IF(INDEX(기본자료!$I$2:$I$501,$AB7)="","",INDEX(기본자료!$I$2:$I$501,$AB7)))</f>
        <v/>
      </c>
      <c r="L7" s="10">
        <f>IF($AB7="","",IF(INDEX(기본자료!$A$2:$A$501,$AB7)="","",INDEX(기본자료!$A$2:$A$501,$AB7)))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파견수련계획!$AB$4:$AB$203,$AK7),OR(NOT(ISNUMBER(INDEX(파견수련계획!$AC$4:$AC$203,$AK7))),TODAY()&lt;=INDEX(파견수련계획!$AC$4:$AC$203,$AK7))),"다기관",IF($AF7="","",INDEX(파견수련계획!$T$4:$T$203,$AF7))),IF($AF7="","",INDEX(파견수련계획!$T$4:$T$203,$AF7))))</f>
        <v/>
      </c>
      <c r="Q7" s="10">
        <f>IF($AF7="","",INDEX(파견수련계획!$S$4:$S$203,$AF7))</f>
        <v/>
      </c>
      <c r="R7" s="10">
        <f>IF($AF7="","",INDEX(파견수련계획!$U$4:$U$203,$AF7))</f>
        <v/>
      </c>
      <c r="S7" s="11">
        <f>IF($AF7="","",IF(INDEX(파견수련계획!$H$4:$H$203,$AF7)="","",INDEX(파견수련계획!$H$4:$H$203,$AF7)))</f>
        <v/>
      </c>
      <c r="T7" s="11">
        <f>IF($AF7="","",IF(INDEX(파견수련계획!$I$4:$I$203,$AF7)="","",INDEX(파견수련계획!$I$4:$I$203,$AF7)))</f>
        <v/>
      </c>
      <c r="U7" s="10">
        <f>IF($AF7="","",INDEX(파견수련계획!$X$4:$X$203,$AF7))</f>
        <v/>
      </c>
      <c r="V7" s="17">
        <f>IF($AF7="","",INDEX(파견수련계획!$V$4:$V$203,$AF7))</f>
        <v/>
      </c>
      <c r="W7" s="17">
        <f>IF(AND($U7="파견중",$T7&lt;&gt;""),$T7-TODAY(),"")</f>
        <v/>
      </c>
      <c r="X7" s="17">
        <f>IF(OR($B7="",TRIM($J7&amp;"")=""),"",SUMPRODUCT((파견수련계획!$Q$4:$Q$203=TRIM($J7&amp;""))*파견수련계획!$W$4:$W$203))</f>
        <v/>
      </c>
      <c r="Y7" s="10">
        <f>IF($B7="","",IF($AG7="","",IF(IF(TRIM($J7&amp;"")="",0,SUMPRODUCT((파견수련계획!$Q$4:$Q$203=TRIM($J7&amp;""))*파견수련계획!$AD$4:$AD$203))&gt;0,$AE7,IF(N($X7)&lt;=0,$AG7,IF($AH7+$AI7=DAY(EOMONTH(요약!$B$3,0)),IF(AND($AH7&gt;=요약!$E$3,$AI7&lt;요약!$E$3),"서울병원",IF(AND($AI7&gt;=요약!$E$3,$AH7&lt;요약!$E$3),"구리병원","⚠15일 판정불가(서울 "&amp;$AH7&amp;"일/구리 "&amp;$AI7&amp;"일)")),IF($AJ7="",$AE7,IF(INDEX(파견수련계획!$T$4:$T$203,$AJ7)="통합수련",INDEX(파견수련계획!$S$4:$S$203,$AJ7),$AE7)))))))</f>
        <v/>
      </c>
      <c r="Z7" s="19">
        <f>IF($B7="","",IF($AB7="","기본자료에 없는 사번",IF(COUNTIF($B$2:$B$201,$B7)&gt;1,"중복 사번",IF($AE7="","소속(입사장소) 입력",IF(IF(TRIM($J7&amp;"")="",0,SUMPRODUCT((파견수련계획!$Q$4:$Q$203=TRIM($J7&amp;""))*(파견수련계획!$AA$4:$AA$203&lt;&gt;"")))&gt;0,"파견수련계획 입력오류 확인",IF(LEFT($Y7,1)="⚠","서울·구리 15일 판정 불가(양쪽 모두 이상/미만)",IF(IF($AC7="",0,N(INDEX(인턴근무계획!$T$3:$T$202,$AC7)))&gt;0,"인턴계획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IF($B7="","",IFERROR(MATCH($B7,기본자료!$B$2:$B$501,0),IFERROR(MATCH($B7&amp;"",기본자료!$B$2:$B$501,0),IFERROR(MATCH(VALUE($B7),기본자료!$B$2:$B$501,0),""))))</f>
        <v/>
      </c>
      <c r="AC7" s="10">
        <f>IF($B7="","",IFERROR(MATCH($B7,인턴근무계획!$D$3:$D$202,0),IFERROR(MATCH($B7&amp;"",인턴근무계획!$D$3:$D$202,0),IFERROR(MATCH(VALUE($B7),인턴근무계획!$D$3:$D$202,0),""))))</f>
        <v/>
      </c>
      <c r="AD7" s="10">
        <f>IF(OR($AC7="",인턴현황!$G$3=""),"",INDEX(인턴근무계획!$M$3:$R$202,$AC7,인턴현황!$G$3)&amp;"")</f>
        <v/>
      </c>
      <c r="AE7" s="10">
        <f>IF($B7="","",IF($M7&lt;&gt;"",$M7,IF($AF7&lt;&gt;"",IF(LEFT(INDEX(파견수련계획!$R$4:$R$203,$AF7),1)&lt;&gt;"⚠",INDEX(파견수련계획!$R$4:$R$203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$203,0),IFERROR(MATCH(TRIM($J7&amp;"")&amp;"|파견예정",파견수련계획!$Y$4:$Y$203,0),IFERROR(MATCH(TRIM($J7&amp;"")&amp;"|파견종료",파견수련계획!$Y$4:$Y$203,0),""))))</f>
        <v/>
      </c>
      <c r="AG7" s="10">
        <f>IF($B7="","",IF(AND(IF(OR($AC7="",인턴현황!$K$2=""),"",INDEX(인턴근무계획!$M$3:$R$202,$AC7,인턴현황!$K$2)&amp;"")&lt;&gt;"",LEFT(IF(OR($AC7="",인턴현황!$K$2=""),"",INDEX(인턴근무계획!$M$3:$R$202,$AC7,인턴현황!$K$2)&amp;""),1)&lt;&gt;"⚠"),LEFT(IF(OR($AC7="",인턴현황!$K$2=""),"",INDEX(인턴근무계획!$M$3:$R$202,$AC7,인턴현황!$K$2)&amp;""),FIND(" ",IF(OR($AC7="",인턴현황!$K$2=""),"",INDEX(인턴근무계획!$M$3:$R$202,$AC7,인턴현황!$K$2)&amp;""))-1),$AE7))</f>
        <v/>
      </c>
      <c r="AH7" s="17">
        <f>IF($B7="","",IF(TRIM($J7&amp;"")="",0,SUMPRODUCT((파견수련계획!$Q$4:$Q$203=TRIM($J7&amp;""))*(파견수련계획!$S$4:$S$203="서울병원")*파견수련계획!$W$4:$W$203))+IF($AG7="서울병원",MAX(0,DAY(EOMONTH(요약!$B$3,0))-N($X7)),0))</f>
        <v/>
      </c>
      <c r="AI7" s="17">
        <f>IF($B7="","",IF(TRIM($J7&amp;"")="",0,SUMPRODUCT((파견수련계획!$Q$4:$Q$203=TRIM($J7&amp;""))*(파견수련계획!$S$4:$S$203="구리병원")*파견수련계획!$W$4:$W$203))+IF($AG7="구리병원",MAX(0,DAY(EOMONTH(요약!$B$3,0))-N($X7)),0))</f>
        <v/>
      </c>
      <c r="AJ7" s="10">
        <f>IF(OR($B7="",TRIM($J7&amp;"")=""),"",IFERROR(MATCH(TRIM($J7&amp;"")&amp;"|월",파견수련계획!$Z$4:$Z$203,0),""))</f>
        <v/>
      </c>
      <c r="AK7" s="10">
        <f>IF(OR($B7="",TRIM($J7&amp;"")=""),"",IFERROR(MATCH(TRIM($J7&amp;"")&amp;"|다기관",파견수련계획!$AE$4:$AE$203,0),""))</f>
        <v/>
      </c>
      <c r="AL7" s="10">
        <f>IF($AK7="","","다기관 "&amp;TEXT(INDEX(파견수련계획!$AB$4:$AB$203,$AK7),"yyyy-mm-dd")&amp;"~"&amp;IF(ISNUMBER(INDEX(파견수련계획!$AC$4:$AC$203,$AK7)),TEXT(INDEX(파견수련계획!$AC$4:$AC$203,$AK7),"yyyy-mm-dd"),""))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IF($AB8="","",IF(INDEX(기본자료!$C$2:$C$501,$AB8)="","",INDEX(기본자료!$C$2:$C$501,$AB8)))</f>
        <v/>
      </c>
      <c r="D8" s="10">
        <f>IF($AB8="","",IF(INDEX(기본자료!$J$2:$J$501,$AB8)="","",INDEX(기본자료!$J$2:$J$501,$AB8)))</f>
        <v/>
      </c>
      <c r="E8" s="11">
        <f>IF($AB8="","",IF(INDEX(기본자료!$K$2:$K$501,$AB8)="","",IF(NOT(ISNUMBER(INDEX(기본자료!$K$2:$K$501,$AB8))),INDEX(기본자료!$K$2:$K$501,$AB8),IF(INDEX(기본자료!$K$2:$K$501,$AB8)&lt;1000000,INDEX(기본자료!$K$2:$K$501,$AB8),IF(AND(INDEX(기본자료!$K$2:$K$501,$AB8)&gt;=10000101,INT(MOD(INDEX(기본자료!$K$2:$K$501,$AB8),10000)/100)&gt;=1,INT(MOD(INDEX(기본자료!$K$2:$K$501,$AB8),10000)/100)&lt;=12,MOD(INDEX(기본자료!$K$2:$K$501,$AB8),100)&gt;=1,MOD(INDEX(기본자료!$K$2:$K$501,$AB8),100)&lt;=31),DATE(INT(INDEX(기본자료!$K$2:$K$501,$AB8)/10000),INT(MOD(INDEX(기본자료!$K$2:$K$501,$AB8),10000)/100),MOD(INDEX(기본자료!$K$2:$K$501,$AB8),100)),INDEX(기본자료!$K$2:$K$501,$AB8)&amp;"")))))</f>
        <v/>
      </c>
      <c r="F8" s="10">
        <f>IF($AB8="","",IF(INDEX(기본자료!$D$2:$D$501,$AB8)="","",INDEX(기본자료!$D$2:$D$501,$AB8)))</f>
        <v/>
      </c>
      <c r="G8" s="10">
        <f>IF($AB8="","",IF(INDEX(기본자료!$E$2:$E$501,$AB8)="","",INDEX(기본자료!$E$2:$E$501,$AB8)))</f>
        <v/>
      </c>
      <c r="H8" s="10">
        <f>IF($AB8="","",IF(INDEX(기본자료!$F$2:$F$501,$AB8)="","",INDEX(기본자료!$F$2:$F$501,$AB8)))</f>
        <v/>
      </c>
      <c r="I8" s="11">
        <f>IF($AB8="","",IF(INDEX(기본자료!$G$2:$G$501,$AB8)="","",IF(NOT(ISNUMBER(INDEX(기본자료!$G$2:$G$501,$AB8))),INDEX(기본자료!$G$2:$G$501,$AB8),IF(INDEX(기본자료!$G$2:$G$501,$AB8)&lt;1000000,INDEX(기본자료!$G$2:$G$501,$AB8),IF(AND(INDEX(기본자료!$G$2:$G$501,$AB8)&gt;=10000101,INT(MOD(INDEX(기본자료!$G$2:$G$501,$AB8),10000)/100)&gt;=1,INT(MOD(INDEX(기본자료!$G$2:$G$501,$AB8),10000)/100)&lt;=12,MOD(INDEX(기본자료!$G$2:$G$501,$AB8),100)&gt;=1,MOD(INDEX(기본자료!$G$2:$G$501,$AB8),100)&lt;=31),DATE(INT(INDEX(기본자료!$G$2:$G$501,$AB8)/10000),INT(MOD(INDEX(기본자료!$G$2:$G$501,$AB8),10000)/100),MOD(INDEX(기본자료!$G$2:$G$501,$AB8),100)),INDEX(기본자료!$G$2:$G$501,$AB8)&amp;"")))))</f>
        <v/>
      </c>
      <c r="J8" s="10">
        <f>IF($AB8="","",IF(INDEX(기본자료!$H$2:$H$501,$AB8)="","",INDEX(기본자료!$H$2:$H$501,$AB8)))</f>
        <v/>
      </c>
      <c r="K8" s="10">
        <f>IF($AB8="","",IF(INDEX(기본자료!$I$2:$I$501,$AB8)="","",INDEX(기본자료!$I$2:$I$501,$AB8)))</f>
        <v/>
      </c>
      <c r="L8" s="10">
        <f>IF($AB8="","",IF(INDEX(기본자료!$A$2:$A$501,$AB8)="","",INDEX(기본자료!$A$2:$A$501,$AB8)))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파견수련계획!$AB$4:$AB$203,$AK8),OR(NOT(ISNUMBER(INDEX(파견수련계획!$AC$4:$AC$203,$AK8))),TODAY()&lt;=INDEX(파견수련계획!$AC$4:$AC$203,$AK8))),"다기관",IF($AF8="","",INDEX(파견수련계획!$T$4:$T$203,$AF8))),IF($AF8="","",INDEX(파견수련계획!$T$4:$T$203,$AF8))))</f>
        <v/>
      </c>
      <c r="Q8" s="10">
        <f>IF($AF8="","",INDEX(파견수련계획!$S$4:$S$203,$AF8))</f>
        <v/>
      </c>
      <c r="R8" s="10">
        <f>IF($AF8="","",INDEX(파견수련계획!$U$4:$U$203,$AF8))</f>
        <v/>
      </c>
      <c r="S8" s="11">
        <f>IF($AF8="","",IF(INDEX(파견수련계획!$H$4:$H$203,$AF8)="","",INDEX(파견수련계획!$H$4:$H$203,$AF8)))</f>
        <v/>
      </c>
      <c r="T8" s="11">
        <f>IF($AF8="","",IF(INDEX(파견수련계획!$I$4:$I$203,$AF8)="","",INDEX(파견수련계획!$I$4:$I$203,$AF8)))</f>
        <v/>
      </c>
      <c r="U8" s="10">
        <f>IF($AF8="","",INDEX(파견수련계획!$X$4:$X$203,$AF8))</f>
        <v/>
      </c>
      <c r="V8" s="17">
        <f>IF($AF8="","",INDEX(파견수련계획!$V$4:$V$203,$AF8))</f>
        <v/>
      </c>
      <c r="W8" s="17">
        <f>IF(AND($U8="파견중",$T8&lt;&gt;""),$T8-TODAY(),"")</f>
        <v/>
      </c>
      <c r="X8" s="17">
        <f>IF(OR($B8="",TRIM($J8&amp;"")=""),"",SUMPRODUCT((파견수련계획!$Q$4:$Q$203=TRIM($J8&amp;""))*파견수련계획!$W$4:$W$203))</f>
        <v/>
      </c>
      <c r="Y8" s="10">
        <f>IF($B8="","",IF($AG8="","",IF(IF(TRIM($J8&amp;"")="",0,SUMPRODUCT((파견수련계획!$Q$4:$Q$203=TRIM($J8&amp;""))*파견수련계획!$AD$4:$AD$203))&gt;0,$AE8,IF(N($X8)&lt;=0,$AG8,IF($AH8+$AI8=DAY(EOMONTH(요약!$B$3,0)),IF(AND($AH8&gt;=요약!$E$3,$AI8&lt;요약!$E$3),"서울병원",IF(AND($AI8&gt;=요약!$E$3,$AH8&lt;요약!$E$3),"구리병원","⚠15일 판정불가(서울 "&amp;$AH8&amp;"일/구리 "&amp;$AI8&amp;"일)")),IF($AJ8="",$AE8,IF(INDEX(파견수련계획!$T$4:$T$203,$AJ8)="통합수련",INDEX(파견수련계획!$S$4:$S$203,$AJ8),$AE8)))))))</f>
        <v/>
      </c>
      <c r="Z8" s="19">
        <f>IF($B8="","",IF($AB8="","기본자료에 없는 사번",IF(COUNTIF($B$2:$B$201,$B8)&gt;1,"중복 사번",IF($AE8="","소속(입사장소) 입력",IF(IF(TRIM($J8&amp;"")="",0,SUMPRODUCT((파견수련계획!$Q$4:$Q$203=TRIM($J8&amp;""))*(파견수련계획!$AA$4:$AA$203&lt;&gt;"")))&gt;0,"파견수련계획 입력오류 확인",IF(LEFT($Y8,1)="⚠","서울·구리 15일 판정 불가(양쪽 모두 이상/미만)",IF(IF($AC8="",0,N(INDEX(인턴근무계획!$T$3:$T$202,$AC8)))&gt;0,"인턴계획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IF($B8="","",IFERROR(MATCH($B8,기본자료!$B$2:$B$501,0),IFERROR(MATCH($B8&amp;"",기본자료!$B$2:$B$501,0),IFERROR(MATCH(VALUE($B8),기본자료!$B$2:$B$501,0),""))))</f>
        <v/>
      </c>
      <c r="AC8" s="10">
        <f>IF($B8="","",IFERROR(MATCH($B8,인턴근무계획!$D$3:$D$202,0),IFERROR(MATCH($B8&amp;"",인턴근무계획!$D$3:$D$202,0),IFERROR(MATCH(VALUE($B8),인턴근무계획!$D$3:$D$202,0),""))))</f>
        <v/>
      </c>
      <c r="AD8" s="10">
        <f>IF(OR($AC8="",인턴현황!$G$3=""),"",INDEX(인턴근무계획!$M$3:$R$202,$AC8,인턴현황!$G$3)&amp;"")</f>
        <v/>
      </c>
      <c r="AE8" s="10">
        <f>IF($B8="","",IF($M8&lt;&gt;"",$M8,IF($AF8&lt;&gt;"",IF(LEFT(INDEX(파견수련계획!$R$4:$R$203,$AF8),1)&lt;&gt;"⚠",INDEX(파견수련계획!$R$4:$R$203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$203,0),IFERROR(MATCH(TRIM($J8&amp;"")&amp;"|파견예정",파견수련계획!$Y$4:$Y$203,0),IFERROR(MATCH(TRIM($J8&amp;"")&amp;"|파견종료",파견수련계획!$Y$4:$Y$203,0),""))))</f>
        <v/>
      </c>
      <c r="AG8" s="10">
        <f>IF($B8="","",IF(AND(IF(OR($AC8="",인턴현황!$K$2=""),"",INDEX(인턴근무계획!$M$3:$R$202,$AC8,인턴현황!$K$2)&amp;"")&lt;&gt;"",LEFT(IF(OR($AC8="",인턴현황!$K$2=""),"",INDEX(인턴근무계획!$M$3:$R$202,$AC8,인턴현황!$K$2)&amp;""),1)&lt;&gt;"⚠"),LEFT(IF(OR($AC8="",인턴현황!$K$2=""),"",INDEX(인턴근무계획!$M$3:$R$202,$AC8,인턴현황!$K$2)&amp;""),FIND(" ",IF(OR($AC8="",인턴현황!$K$2=""),"",INDEX(인턴근무계획!$M$3:$R$202,$AC8,인턴현황!$K$2)&amp;""))-1),$AE8))</f>
        <v/>
      </c>
      <c r="AH8" s="17">
        <f>IF($B8="","",IF(TRIM($J8&amp;"")="",0,SUMPRODUCT((파견수련계획!$Q$4:$Q$203=TRIM($J8&amp;""))*(파견수련계획!$S$4:$S$203="서울병원")*파견수련계획!$W$4:$W$203))+IF($AG8="서울병원",MAX(0,DAY(EOMONTH(요약!$B$3,0))-N($X8)),0))</f>
        <v/>
      </c>
      <c r="AI8" s="17">
        <f>IF($B8="","",IF(TRIM($J8&amp;"")="",0,SUMPRODUCT((파견수련계획!$Q$4:$Q$203=TRIM($J8&amp;""))*(파견수련계획!$S$4:$S$203="구리병원")*파견수련계획!$W$4:$W$203))+IF($AG8="구리병원",MAX(0,DAY(EOMONTH(요약!$B$3,0))-N($X8)),0))</f>
        <v/>
      </c>
      <c r="AJ8" s="10">
        <f>IF(OR($B8="",TRIM($J8&amp;"")=""),"",IFERROR(MATCH(TRIM($J8&amp;"")&amp;"|월",파견수련계획!$Z$4:$Z$203,0),""))</f>
        <v/>
      </c>
      <c r="AK8" s="10">
        <f>IF(OR($B8="",TRIM($J8&amp;"")=""),"",IFERROR(MATCH(TRIM($J8&amp;"")&amp;"|다기관",파견수련계획!$AE$4:$AE$203,0),""))</f>
        <v/>
      </c>
      <c r="AL8" s="10">
        <f>IF($AK8="","","다기관 "&amp;TEXT(INDEX(파견수련계획!$AB$4:$AB$203,$AK8),"yyyy-mm-dd")&amp;"~"&amp;IF(ISNUMBER(INDEX(파견수련계획!$AC$4:$AC$203,$AK8)),TEXT(INDEX(파견수련계획!$AC$4:$AC$203,$AK8),"yyyy-mm-dd"),""))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IF($AB9="","",IF(INDEX(기본자료!$C$2:$C$501,$AB9)="","",INDEX(기본자료!$C$2:$C$501,$AB9)))</f>
        <v/>
      </c>
      <c r="D9" s="10">
        <f>IF($AB9="","",IF(INDEX(기본자료!$J$2:$J$501,$AB9)="","",INDEX(기본자료!$J$2:$J$501,$AB9)))</f>
        <v/>
      </c>
      <c r="E9" s="11">
        <f>IF($AB9="","",IF(INDEX(기본자료!$K$2:$K$501,$AB9)="","",IF(NOT(ISNUMBER(INDEX(기본자료!$K$2:$K$501,$AB9))),INDEX(기본자료!$K$2:$K$501,$AB9),IF(INDEX(기본자료!$K$2:$K$501,$AB9)&lt;1000000,INDEX(기본자료!$K$2:$K$501,$AB9),IF(AND(INDEX(기본자료!$K$2:$K$501,$AB9)&gt;=10000101,INT(MOD(INDEX(기본자료!$K$2:$K$501,$AB9),10000)/100)&gt;=1,INT(MOD(INDEX(기본자료!$K$2:$K$501,$AB9),10000)/100)&lt;=12,MOD(INDEX(기본자료!$K$2:$K$501,$AB9),100)&gt;=1,MOD(INDEX(기본자료!$K$2:$K$501,$AB9),100)&lt;=31),DATE(INT(INDEX(기본자료!$K$2:$K$501,$AB9)/10000),INT(MOD(INDEX(기본자료!$K$2:$K$501,$AB9),10000)/100),MOD(INDEX(기본자료!$K$2:$K$501,$AB9),100)),INDEX(기본자료!$K$2:$K$501,$AB9)&amp;"")))))</f>
        <v/>
      </c>
      <c r="F9" s="10">
        <f>IF($AB9="","",IF(INDEX(기본자료!$D$2:$D$501,$AB9)="","",INDEX(기본자료!$D$2:$D$501,$AB9)))</f>
        <v/>
      </c>
      <c r="G9" s="10">
        <f>IF($AB9="","",IF(INDEX(기본자료!$E$2:$E$501,$AB9)="","",INDEX(기본자료!$E$2:$E$501,$AB9)))</f>
        <v/>
      </c>
      <c r="H9" s="10">
        <f>IF($AB9="","",IF(INDEX(기본자료!$F$2:$F$501,$AB9)="","",INDEX(기본자료!$F$2:$F$501,$AB9)))</f>
        <v/>
      </c>
      <c r="I9" s="11">
        <f>IF($AB9="","",IF(INDEX(기본자료!$G$2:$G$501,$AB9)="","",IF(NOT(ISNUMBER(INDEX(기본자료!$G$2:$G$501,$AB9))),INDEX(기본자료!$G$2:$G$501,$AB9),IF(INDEX(기본자료!$G$2:$G$501,$AB9)&lt;1000000,INDEX(기본자료!$G$2:$G$501,$AB9),IF(AND(INDEX(기본자료!$G$2:$G$501,$AB9)&gt;=10000101,INT(MOD(INDEX(기본자료!$G$2:$G$501,$AB9),10000)/100)&gt;=1,INT(MOD(INDEX(기본자료!$G$2:$G$501,$AB9),10000)/100)&lt;=12,MOD(INDEX(기본자료!$G$2:$G$501,$AB9),100)&gt;=1,MOD(INDEX(기본자료!$G$2:$G$501,$AB9),100)&lt;=31),DATE(INT(INDEX(기본자료!$G$2:$G$501,$AB9)/10000),INT(MOD(INDEX(기본자료!$G$2:$G$501,$AB9),10000)/100),MOD(INDEX(기본자료!$G$2:$G$501,$AB9),100)),INDEX(기본자료!$G$2:$G$501,$AB9)&amp;"")))))</f>
        <v/>
      </c>
      <c r="J9" s="10">
        <f>IF($AB9="","",IF(INDEX(기본자료!$H$2:$H$501,$AB9)="","",INDEX(기본자료!$H$2:$H$501,$AB9)))</f>
        <v/>
      </c>
      <c r="K9" s="10">
        <f>IF($AB9="","",IF(INDEX(기본자료!$I$2:$I$501,$AB9)="","",INDEX(기본자료!$I$2:$I$501,$AB9)))</f>
        <v/>
      </c>
      <c r="L9" s="10">
        <f>IF($AB9="","",IF(INDEX(기본자료!$A$2:$A$501,$AB9)="","",INDEX(기본자료!$A$2:$A$501,$AB9)))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파견수련계획!$AB$4:$AB$203,$AK9),OR(NOT(ISNUMBER(INDEX(파견수련계획!$AC$4:$AC$203,$AK9))),TODAY()&lt;=INDEX(파견수련계획!$AC$4:$AC$203,$AK9))),"다기관",IF($AF9="","",INDEX(파견수련계획!$T$4:$T$203,$AF9))),IF($AF9="","",INDEX(파견수련계획!$T$4:$T$203,$AF9))))</f>
        <v/>
      </c>
      <c r="Q9" s="10">
        <f>IF($AF9="","",INDEX(파견수련계획!$S$4:$S$203,$AF9))</f>
        <v/>
      </c>
      <c r="R9" s="10">
        <f>IF($AF9="","",INDEX(파견수련계획!$U$4:$U$203,$AF9))</f>
        <v/>
      </c>
      <c r="S9" s="11">
        <f>IF($AF9="","",IF(INDEX(파견수련계획!$H$4:$H$203,$AF9)="","",INDEX(파견수련계획!$H$4:$H$203,$AF9)))</f>
        <v/>
      </c>
      <c r="T9" s="11">
        <f>IF($AF9="","",IF(INDEX(파견수련계획!$I$4:$I$203,$AF9)="","",INDEX(파견수련계획!$I$4:$I$203,$AF9)))</f>
        <v/>
      </c>
      <c r="U9" s="10">
        <f>IF($AF9="","",INDEX(파견수련계획!$X$4:$X$203,$AF9))</f>
        <v/>
      </c>
      <c r="V9" s="17">
        <f>IF($AF9="","",INDEX(파견수련계획!$V$4:$V$203,$AF9))</f>
        <v/>
      </c>
      <c r="W9" s="17">
        <f>IF(AND($U9="파견중",$T9&lt;&gt;""),$T9-TODAY(),"")</f>
        <v/>
      </c>
      <c r="X9" s="17">
        <f>IF(OR($B9="",TRIM($J9&amp;"")=""),"",SUMPRODUCT((파견수련계획!$Q$4:$Q$203=TRIM($J9&amp;""))*파견수련계획!$W$4:$W$203))</f>
        <v/>
      </c>
      <c r="Y9" s="10">
        <f>IF($B9="","",IF($AG9="","",IF(IF(TRIM($J9&amp;"")="",0,SUMPRODUCT((파견수련계획!$Q$4:$Q$203=TRIM($J9&amp;""))*파견수련계획!$AD$4:$AD$203))&gt;0,$AE9,IF(N($X9)&lt;=0,$AG9,IF($AH9+$AI9=DAY(EOMONTH(요약!$B$3,0)),IF(AND($AH9&gt;=요약!$E$3,$AI9&lt;요약!$E$3),"서울병원",IF(AND($AI9&gt;=요약!$E$3,$AH9&lt;요약!$E$3),"구리병원","⚠15일 판정불가(서울 "&amp;$AH9&amp;"일/구리 "&amp;$AI9&amp;"일)")),IF($AJ9="",$AE9,IF(INDEX(파견수련계획!$T$4:$T$203,$AJ9)="통합수련",INDEX(파견수련계획!$S$4:$S$203,$AJ9),$AE9)))))))</f>
        <v/>
      </c>
      <c r="Z9" s="19">
        <f>IF($B9="","",IF($AB9="","기본자료에 없는 사번",IF(COUNTIF($B$2:$B$201,$B9)&gt;1,"중복 사번",IF($AE9="","소속(입사장소) 입력",IF(IF(TRIM($J9&amp;"")="",0,SUMPRODUCT((파견수련계획!$Q$4:$Q$203=TRIM($J9&amp;""))*(파견수련계획!$AA$4:$AA$203&lt;&gt;"")))&gt;0,"파견수련계획 입력오류 확인",IF(LEFT($Y9,1)="⚠","서울·구리 15일 판정 불가(양쪽 모두 이상/미만)",IF(IF($AC9="",0,N(INDEX(인턴근무계획!$T$3:$T$202,$AC9)))&gt;0,"인턴계획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IF($B9="","",IFERROR(MATCH($B9,기본자료!$B$2:$B$501,0),IFERROR(MATCH($B9&amp;"",기본자료!$B$2:$B$501,0),IFERROR(MATCH(VALUE($B9),기본자료!$B$2:$B$501,0),""))))</f>
        <v/>
      </c>
      <c r="AC9" s="10">
        <f>IF($B9="","",IFERROR(MATCH($B9,인턴근무계획!$D$3:$D$202,0),IFERROR(MATCH($B9&amp;"",인턴근무계획!$D$3:$D$202,0),IFERROR(MATCH(VALUE($B9),인턴근무계획!$D$3:$D$202,0),""))))</f>
        <v/>
      </c>
      <c r="AD9" s="10">
        <f>IF(OR($AC9="",인턴현황!$G$3=""),"",INDEX(인턴근무계획!$M$3:$R$202,$AC9,인턴현황!$G$3)&amp;"")</f>
        <v/>
      </c>
      <c r="AE9" s="10">
        <f>IF($B9="","",IF($M9&lt;&gt;"",$M9,IF($AF9&lt;&gt;"",IF(LEFT(INDEX(파견수련계획!$R$4:$R$203,$AF9),1)&lt;&gt;"⚠",INDEX(파견수련계획!$R$4:$R$203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$203,0),IFERROR(MATCH(TRIM($J9&amp;"")&amp;"|파견예정",파견수련계획!$Y$4:$Y$203,0),IFERROR(MATCH(TRIM($J9&amp;"")&amp;"|파견종료",파견수련계획!$Y$4:$Y$203,0),""))))</f>
        <v/>
      </c>
      <c r="AG9" s="10">
        <f>IF($B9="","",IF(AND(IF(OR($AC9="",인턴현황!$K$2=""),"",INDEX(인턴근무계획!$M$3:$R$202,$AC9,인턴현황!$K$2)&amp;"")&lt;&gt;"",LEFT(IF(OR($AC9="",인턴현황!$K$2=""),"",INDEX(인턴근무계획!$M$3:$R$202,$AC9,인턴현황!$K$2)&amp;""),1)&lt;&gt;"⚠"),LEFT(IF(OR($AC9="",인턴현황!$K$2=""),"",INDEX(인턴근무계획!$M$3:$R$202,$AC9,인턴현황!$K$2)&amp;""),FIND(" ",IF(OR($AC9="",인턴현황!$K$2=""),"",INDEX(인턴근무계획!$M$3:$R$202,$AC9,인턴현황!$K$2)&amp;""))-1),$AE9))</f>
        <v/>
      </c>
      <c r="AH9" s="17">
        <f>IF($B9="","",IF(TRIM($J9&amp;"")="",0,SUMPRODUCT((파견수련계획!$Q$4:$Q$203=TRIM($J9&amp;""))*(파견수련계획!$S$4:$S$203="서울병원")*파견수련계획!$W$4:$W$203))+IF($AG9="서울병원",MAX(0,DAY(EOMONTH(요약!$B$3,0))-N($X9)),0))</f>
        <v/>
      </c>
      <c r="AI9" s="17">
        <f>IF($B9="","",IF(TRIM($J9&amp;"")="",0,SUMPRODUCT((파견수련계획!$Q$4:$Q$203=TRIM($J9&amp;""))*(파견수련계획!$S$4:$S$203="구리병원")*파견수련계획!$W$4:$W$203))+IF($AG9="구리병원",MAX(0,DAY(EOMONTH(요약!$B$3,0))-N($X9)),0))</f>
        <v/>
      </c>
      <c r="AJ9" s="10">
        <f>IF(OR($B9="",TRIM($J9&amp;"")=""),"",IFERROR(MATCH(TRIM($J9&amp;"")&amp;"|월",파견수련계획!$Z$4:$Z$203,0),""))</f>
        <v/>
      </c>
      <c r="AK9" s="10">
        <f>IF(OR($B9="",TRIM($J9&amp;"")=""),"",IFERROR(MATCH(TRIM($J9&amp;"")&amp;"|다기관",파견수련계획!$AE$4:$AE$203,0),""))</f>
        <v/>
      </c>
      <c r="AL9" s="10">
        <f>IF($AK9="","","다기관 "&amp;TEXT(INDEX(파견수련계획!$AB$4:$AB$203,$AK9),"yyyy-mm-dd")&amp;"~"&amp;IF(ISNUMBER(INDEX(파견수련계획!$AC$4:$AC$203,$AK9)),TEXT(INDEX(파견수련계획!$AC$4:$AC$203,$AK9),"yyyy-mm-dd"),""))</f>
        <v/>
      </c>
    </row>
    <row r="10">
      <c r="A10" s="10">
        <f>IF(B10="","",ROW()-1)</f>
        <v/>
      </c>
      <c r="B10" s="18" t="n"/>
      <c r="C10" s="10">
        <f>IF($AB10="","",IF(INDEX(기본자료!$C$2:$C$501,$AB10)="","",INDEX(기본자료!$C$2:$C$501,$AB10)))</f>
        <v/>
      </c>
      <c r="D10" s="10">
        <f>IF($AB10="","",IF(INDEX(기본자료!$J$2:$J$501,$AB10)="","",INDEX(기본자료!$J$2:$J$501,$AB10)))</f>
        <v/>
      </c>
      <c r="E10" s="11">
        <f>IF($AB10="","",IF(INDEX(기본자료!$K$2:$K$501,$AB10)="","",IF(NOT(ISNUMBER(INDEX(기본자료!$K$2:$K$501,$AB10))),INDEX(기본자료!$K$2:$K$501,$AB10),IF(INDEX(기본자료!$K$2:$K$501,$AB10)&lt;1000000,INDEX(기본자료!$K$2:$K$501,$AB10),IF(AND(INDEX(기본자료!$K$2:$K$501,$AB10)&gt;=10000101,INT(MOD(INDEX(기본자료!$K$2:$K$501,$AB10),10000)/100)&gt;=1,INT(MOD(INDEX(기본자료!$K$2:$K$501,$AB10),10000)/100)&lt;=12,MOD(INDEX(기본자료!$K$2:$K$501,$AB10),100)&gt;=1,MOD(INDEX(기본자료!$K$2:$K$501,$AB10),100)&lt;=31),DATE(INT(INDEX(기본자료!$K$2:$K$501,$AB10)/10000),INT(MOD(INDEX(기본자료!$K$2:$K$501,$AB10),10000)/100),MOD(INDEX(기본자료!$K$2:$K$501,$AB10),100)),INDEX(기본자료!$K$2:$K$501,$AB10)&amp;"")))))</f>
        <v/>
      </c>
      <c r="F10" s="10">
        <f>IF($AB10="","",IF(INDEX(기본자료!$D$2:$D$501,$AB10)="","",INDEX(기본자료!$D$2:$D$501,$AB10)))</f>
        <v/>
      </c>
      <c r="G10" s="10">
        <f>IF($AB10="","",IF(INDEX(기본자료!$E$2:$E$501,$AB10)="","",INDEX(기본자료!$E$2:$E$501,$AB10)))</f>
        <v/>
      </c>
      <c r="H10" s="10">
        <f>IF($AB10="","",IF(INDEX(기본자료!$F$2:$F$501,$AB10)="","",INDEX(기본자료!$F$2:$F$501,$AB10)))</f>
        <v/>
      </c>
      <c r="I10" s="11">
        <f>IF($AB10="","",IF(INDEX(기본자료!$G$2:$G$501,$AB10)="","",IF(NOT(ISNUMBER(INDEX(기본자료!$G$2:$G$501,$AB10))),INDEX(기본자료!$G$2:$G$501,$AB10),IF(INDEX(기본자료!$G$2:$G$501,$AB10)&lt;1000000,INDEX(기본자료!$G$2:$G$501,$AB10),IF(AND(INDEX(기본자료!$G$2:$G$501,$AB10)&gt;=10000101,INT(MOD(INDEX(기본자료!$G$2:$G$501,$AB10),10000)/100)&gt;=1,INT(MOD(INDEX(기본자료!$G$2:$G$501,$AB10),10000)/100)&lt;=12,MOD(INDEX(기본자료!$G$2:$G$501,$AB10),100)&gt;=1,MOD(INDEX(기본자료!$G$2:$G$501,$AB10),100)&lt;=31),DATE(INT(INDEX(기본자료!$G$2:$G$501,$AB10)/10000),INT(MOD(INDEX(기본자료!$G$2:$G$501,$AB10),10000)/100),MOD(INDEX(기본자료!$G$2:$G$501,$AB10),100)),INDEX(기본자료!$G$2:$G$501,$AB10)&amp;"")))))</f>
        <v/>
      </c>
      <c r="J10" s="10">
        <f>IF($AB10="","",IF(INDEX(기본자료!$H$2:$H$501,$AB10)="","",INDEX(기본자료!$H$2:$H$501,$AB10)))</f>
        <v/>
      </c>
      <c r="K10" s="10">
        <f>IF($AB10="","",IF(INDEX(기본자료!$I$2:$I$501,$AB10)="","",INDEX(기본자료!$I$2:$I$501,$AB10)))</f>
        <v/>
      </c>
      <c r="L10" s="10">
        <f>IF($AB10="","",IF(INDEX(기본자료!$A$2:$A$501,$AB10)="","",INDEX(기본자료!$A$2:$A$501,$AB10)))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파견수련계획!$AB$4:$AB$203,$AK10),OR(NOT(ISNUMBER(INDEX(파견수련계획!$AC$4:$AC$203,$AK10))),TODAY()&lt;=INDEX(파견수련계획!$AC$4:$AC$203,$AK10))),"다기관",IF($AF10="","",INDEX(파견수련계획!$T$4:$T$203,$AF10))),IF($AF10="","",INDEX(파견수련계획!$T$4:$T$203,$AF10))))</f>
        <v/>
      </c>
      <c r="Q10" s="10">
        <f>IF($AF10="","",INDEX(파견수련계획!$S$4:$S$203,$AF10))</f>
        <v/>
      </c>
      <c r="R10" s="10">
        <f>IF($AF10="","",INDEX(파견수련계획!$U$4:$U$203,$AF10))</f>
        <v/>
      </c>
      <c r="S10" s="11">
        <f>IF($AF10="","",IF(INDEX(파견수련계획!$H$4:$H$203,$AF10)="","",INDEX(파견수련계획!$H$4:$H$203,$AF10)))</f>
        <v/>
      </c>
      <c r="T10" s="11">
        <f>IF($AF10="","",IF(INDEX(파견수련계획!$I$4:$I$203,$AF10)="","",INDEX(파견수련계획!$I$4:$I$203,$AF10)))</f>
        <v/>
      </c>
      <c r="U10" s="10">
        <f>IF($AF10="","",INDEX(파견수련계획!$X$4:$X$203,$AF10))</f>
        <v/>
      </c>
      <c r="V10" s="17">
        <f>IF($AF10="","",INDEX(파견수련계획!$V$4:$V$203,$AF10))</f>
        <v/>
      </c>
      <c r="W10" s="17">
        <f>IF(AND($U10="파견중",$T10&lt;&gt;""),$T10-TODAY(),"")</f>
        <v/>
      </c>
      <c r="X10" s="17">
        <f>IF(OR($B10="",TRIM($J10&amp;"")=""),"",SUMPRODUCT((파견수련계획!$Q$4:$Q$203=TRIM($J10&amp;""))*파견수련계획!$W$4:$W$203))</f>
        <v/>
      </c>
      <c r="Y10" s="10">
        <f>IF($B10="","",IF($AG10="","",IF(IF(TRIM($J10&amp;"")="",0,SUMPRODUCT((파견수련계획!$Q$4:$Q$203=TRIM($J10&amp;""))*파견수련계획!$AD$4:$AD$203))&gt;0,$AE10,IF(N($X10)&lt;=0,$AG10,IF($AH10+$AI10=DAY(EOMONTH(요약!$B$3,0)),IF(AND($AH10&gt;=요약!$E$3,$AI10&lt;요약!$E$3),"서울병원",IF(AND($AI10&gt;=요약!$E$3,$AH10&lt;요약!$E$3),"구리병원","⚠15일 판정불가(서울 "&amp;$AH10&amp;"일/구리 "&amp;$AI10&amp;"일)")),IF($AJ10="",$AE10,IF(INDEX(파견수련계획!$T$4:$T$203,$AJ10)="통합수련",INDEX(파견수련계획!$S$4:$S$203,$AJ10),$AE10)))))))</f>
        <v/>
      </c>
      <c r="Z10" s="19">
        <f>IF($B10="","",IF($AB10="","기본자료에 없는 사번",IF(COUNTIF($B$2:$B$201,$B10)&gt;1,"중복 사번",IF($AE10="","소속(입사장소) 입력",IF(IF(TRIM($J10&amp;"")="",0,SUMPRODUCT((파견수련계획!$Q$4:$Q$203=TRIM($J10&amp;""))*(파견수련계획!$AA$4:$AA$203&lt;&gt;"")))&gt;0,"파견수련계획 입력오류 확인",IF(LEFT($Y10,1)="⚠","서울·구리 15일 판정 불가(양쪽 모두 이상/미만)",IF(IF($AC10="",0,N(INDEX(인턴근무계획!$T$3:$T$202,$AC10)))&gt;0,"인턴계획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IF($B10="","",IFERROR(MATCH($B10,기본자료!$B$2:$B$501,0),IFERROR(MATCH($B10&amp;"",기본자료!$B$2:$B$501,0),IFERROR(MATCH(VALUE($B10),기본자료!$B$2:$B$501,0),""))))</f>
        <v/>
      </c>
      <c r="AC10" s="10">
        <f>IF($B10="","",IFERROR(MATCH($B10,인턴근무계획!$D$3:$D$202,0),IFERROR(MATCH($B10&amp;"",인턴근무계획!$D$3:$D$202,0),IFERROR(MATCH(VALUE($B10),인턴근무계획!$D$3:$D$202,0),""))))</f>
        <v/>
      </c>
      <c r="AD10" s="10">
        <f>IF(OR($AC10="",인턴현황!$G$3=""),"",INDEX(인턴근무계획!$M$3:$R$202,$AC10,인턴현황!$G$3)&amp;"")</f>
        <v/>
      </c>
      <c r="AE10" s="10">
        <f>IF($B10="","",IF($M10&lt;&gt;"",$M10,IF($AF10&lt;&gt;"",IF(LEFT(INDEX(파견수련계획!$R$4:$R$203,$AF10),1)&lt;&gt;"⚠",INDEX(파견수련계획!$R$4:$R$203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$203,0),IFERROR(MATCH(TRIM($J10&amp;"")&amp;"|파견예정",파견수련계획!$Y$4:$Y$203,0),IFERROR(MATCH(TRIM($J10&amp;"")&amp;"|파견종료",파견수련계획!$Y$4:$Y$203,0),""))))</f>
        <v/>
      </c>
      <c r="AG10" s="10">
        <f>IF($B10="","",IF(AND(IF(OR($AC10="",인턴현황!$K$2=""),"",INDEX(인턴근무계획!$M$3:$R$202,$AC10,인턴현황!$K$2)&amp;"")&lt;&gt;"",LEFT(IF(OR($AC10="",인턴현황!$K$2=""),"",INDEX(인턴근무계획!$M$3:$R$202,$AC10,인턴현황!$K$2)&amp;""),1)&lt;&gt;"⚠"),LEFT(IF(OR($AC10="",인턴현황!$K$2=""),"",INDEX(인턴근무계획!$M$3:$R$202,$AC10,인턴현황!$K$2)&amp;""),FIND(" ",IF(OR($AC10="",인턴현황!$K$2=""),"",INDEX(인턴근무계획!$M$3:$R$202,$AC10,인턴현황!$K$2)&amp;""))-1),$AE10))</f>
        <v/>
      </c>
      <c r="AH10" s="17">
        <f>IF($B10="","",IF(TRIM($J10&amp;"")="",0,SUMPRODUCT((파견수련계획!$Q$4:$Q$203=TRIM($J10&amp;""))*(파견수련계획!$S$4:$S$203="서울병원")*파견수련계획!$W$4:$W$203))+IF($AG10="서울병원",MAX(0,DAY(EOMONTH(요약!$B$3,0))-N($X10)),0))</f>
        <v/>
      </c>
      <c r="AI10" s="17">
        <f>IF($B10="","",IF(TRIM($J10&amp;"")="",0,SUMPRODUCT((파견수련계획!$Q$4:$Q$203=TRIM($J10&amp;""))*(파견수련계획!$S$4:$S$203="구리병원")*파견수련계획!$W$4:$W$203))+IF($AG10="구리병원",MAX(0,DAY(EOMONTH(요약!$B$3,0))-N($X10)),0))</f>
        <v/>
      </c>
      <c r="AJ10" s="10">
        <f>IF(OR($B10="",TRIM($J10&amp;"")=""),"",IFERROR(MATCH(TRIM($J10&amp;"")&amp;"|월",파견수련계획!$Z$4:$Z$203,0),""))</f>
        <v/>
      </c>
      <c r="AK10" s="10">
        <f>IF(OR($B10="",TRIM($J10&amp;"")=""),"",IFERROR(MATCH(TRIM($J10&amp;"")&amp;"|다기관",파견수련계획!$AE$4:$AE$203,0),""))</f>
        <v/>
      </c>
      <c r="AL10" s="10">
        <f>IF($AK10="","","다기관 "&amp;TEXT(INDEX(파견수련계획!$AB$4:$AB$203,$AK10),"yyyy-mm-dd")&amp;"~"&amp;IF(ISNUMBER(INDEX(파견수련계획!$AC$4:$AC$203,$AK10)),TEXT(INDEX(파견수련계획!$AC$4:$AC$203,$AK10),"yyyy-mm-dd"),""))</f>
        <v/>
      </c>
    </row>
    <row r="11">
      <c r="A11" s="10">
        <f>IF(B11="","",ROW()-1)</f>
        <v/>
      </c>
      <c r="B11" s="18" t="n"/>
      <c r="C11" s="10">
        <f>IF($AB11="","",IF(INDEX(기본자료!$C$2:$C$501,$AB11)="","",INDEX(기본자료!$C$2:$C$501,$AB11)))</f>
        <v/>
      </c>
      <c r="D11" s="10">
        <f>IF($AB11="","",IF(INDEX(기본자료!$J$2:$J$501,$AB11)="","",INDEX(기본자료!$J$2:$J$501,$AB11)))</f>
        <v/>
      </c>
      <c r="E11" s="11">
        <f>IF($AB11="","",IF(INDEX(기본자료!$K$2:$K$501,$AB11)="","",IF(NOT(ISNUMBER(INDEX(기본자료!$K$2:$K$501,$AB11))),INDEX(기본자료!$K$2:$K$501,$AB11),IF(INDEX(기본자료!$K$2:$K$501,$AB11)&lt;1000000,INDEX(기본자료!$K$2:$K$501,$AB11),IF(AND(INDEX(기본자료!$K$2:$K$501,$AB11)&gt;=10000101,INT(MOD(INDEX(기본자료!$K$2:$K$501,$AB11),10000)/100)&gt;=1,INT(MOD(INDEX(기본자료!$K$2:$K$501,$AB11),10000)/100)&lt;=12,MOD(INDEX(기본자료!$K$2:$K$501,$AB11),100)&gt;=1,MOD(INDEX(기본자료!$K$2:$K$501,$AB11),100)&lt;=31),DATE(INT(INDEX(기본자료!$K$2:$K$501,$AB11)/10000),INT(MOD(INDEX(기본자료!$K$2:$K$501,$AB11),10000)/100),MOD(INDEX(기본자료!$K$2:$K$501,$AB11),100)),INDEX(기본자료!$K$2:$K$501,$AB11)&amp;"")))))</f>
        <v/>
      </c>
      <c r="F11" s="10">
        <f>IF($AB11="","",IF(INDEX(기본자료!$D$2:$D$501,$AB11)="","",INDEX(기본자료!$D$2:$D$501,$AB11)))</f>
        <v/>
      </c>
      <c r="G11" s="10">
        <f>IF($AB11="","",IF(INDEX(기본자료!$E$2:$E$501,$AB11)="","",INDEX(기본자료!$E$2:$E$501,$AB11)))</f>
        <v/>
      </c>
      <c r="H11" s="10">
        <f>IF($AB11="","",IF(INDEX(기본자료!$F$2:$F$501,$AB11)="","",INDEX(기본자료!$F$2:$F$501,$AB11)))</f>
        <v/>
      </c>
      <c r="I11" s="11">
        <f>IF($AB11="","",IF(INDEX(기본자료!$G$2:$G$501,$AB11)="","",IF(NOT(ISNUMBER(INDEX(기본자료!$G$2:$G$501,$AB11))),INDEX(기본자료!$G$2:$G$501,$AB11),IF(INDEX(기본자료!$G$2:$G$501,$AB11)&lt;1000000,INDEX(기본자료!$G$2:$G$501,$AB11),IF(AND(INDEX(기본자료!$G$2:$G$501,$AB11)&gt;=10000101,INT(MOD(INDEX(기본자료!$G$2:$G$501,$AB11),10000)/100)&gt;=1,INT(MOD(INDEX(기본자료!$G$2:$G$501,$AB11),10000)/100)&lt;=12,MOD(INDEX(기본자료!$G$2:$G$501,$AB11),100)&gt;=1,MOD(INDEX(기본자료!$G$2:$G$501,$AB11),100)&lt;=31),DATE(INT(INDEX(기본자료!$G$2:$G$501,$AB11)/10000),INT(MOD(INDEX(기본자료!$G$2:$G$501,$AB11),10000)/100),MOD(INDEX(기본자료!$G$2:$G$501,$AB11),100)),INDEX(기본자료!$G$2:$G$501,$AB11)&amp;"")))))</f>
        <v/>
      </c>
      <c r="J11" s="10">
        <f>IF($AB11="","",IF(INDEX(기본자료!$H$2:$H$501,$AB11)="","",INDEX(기본자료!$H$2:$H$501,$AB11)))</f>
        <v/>
      </c>
      <c r="K11" s="10">
        <f>IF($AB11="","",IF(INDEX(기본자료!$I$2:$I$501,$AB11)="","",INDEX(기본자료!$I$2:$I$501,$AB11)))</f>
        <v/>
      </c>
      <c r="L11" s="10">
        <f>IF($AB11="","",IF(INDEX(기본자료!$A$2:$A$501,$AB11)="","",INDEX(기본자료!$A$2:$A$501,$AB11)))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파견수련계획!$AB$4:$AB$203,$AK11),OR(NOT(ISNUMBER(INDEX(파견수련계획!$AC$4:$AC$203,$AK11))),TODAY()&lt;=INDEX(파견수련계획!$AC$4:$AC$203,$AK11))),"다기관",IF($AF11="","",INDEX(파견수련계획!$T$4:$T$203,$AF11))),IF($AF11="","",INDEX(파견수련계획!$T$4:$T$203,$AF11))))</f>
        <v/>
      </c>
      <c r="Q11" s="10">
        <f>IF($AF11="","",INDEX(파견수련계획!$S$4:$S$203,$AF11))</f>
        <v/>
      </c>
      <c r="R11" s="10">
        <f>IF($AF11="","",INDEX(파견수련계획!$U$4:$U$203,$AF11))</f>
        <v/>
      </c>
      <c r="S11" s="11">
        <f>IF($AF11="","",IF(INDEX(파견수련계획!$H$4:$H$203,$AF11)="","",INDEX(파견수련계획!$H$4:$H$203,$AF11)))</f>
        <v/>
      </c>
      <c r="T11" s="11">
        <f>IF($AF11="","",IF(INDEX(파견수련계획!$I$4:$I$203,$AF11)="","",INDEX(파견수련계획!$I$4:$I$203,$AF11)))</f>
        <v/>
      </c>
      <c r="U11" s="10">
        <f>IF($AF11="","",INDEX(파견수련계획!$X$4:$X$203,$AF11))</f>
        <v/>
      </c>
      <c r="V11" s="17">
        <f>IF($AF11="","",INDEX(파견수련계획!$V$4:$V$203,$AF11))</f>
        <v/>
      </c>
      <c r="W11" s="17">
        <f>IF(AND($U11="파견중",$T11&lt;&gt;""),$T11-TODAY(),"")</f>
        <v/>
      </c>
      <c r="X11" s="17">
        <f>IF(OR($B11="",TRIM($J11&amp;"")=""),"",SUMPRODUCT((파견수련계획!$Q$4:$Q$203=TRIM($J11&amp;""))*파견수련계획!$W$4:$W$203))</f>
        <v/>
      </c>
      <c r="Y11" s="10">
        <f>IF($B11="","",IF($AG11="","",IF(IF(TRIM($J11&amp;"")="",0,SUMPRODUCT((파견수련계획!$Q$4:$Q$203=TRIM($J11&amp;""))*파견수련계획!$AD$4:$AD$203))&gt;0,$AE11,IF(N($X11)&lt;=0,$AG11,IF($AH11+$AI11=DAY(EOMONTH(요약!$B$3,0)),IF(AND($AH11&gt;=요약!$E$3,$AI11&lt;요약!$E$3),"서울병원",IF(AND($AI11&gt;=요약!$E$3,$AH11&lt;요약!$E$3),"구리병원","⚠15일 판정불가(서울 "&amp;$AH11&amp;"일/구리 "&amp;$AI11&amp;"일)")),IF($AJ11="",$AE11,IF(INDEX(파견수련계획!$T$4:$T$203,$AJ11)="통합수련",INDEX(파견수련계획!$S$4:$S$203,$AJ11),$AE11)))))))</f>
        <v/>
      </c>
      <c r="Z11" s="19">
        <f>IF($B11="","",IF($AB11="","기본자료에 없는 사번",IF(COUNTIF($B$2:$B$201,$B11)&gt;1,"중복 사번",IF($AE11="","소속(입사장소) 입력",IF(IF(TRIM($J11&amp;"")="",0,SUMPRODUCT((파견수련계획!$Q$4:$Q$203=TRIM($J11&amp;""))*(파견수련계획!$AA$4:$AA$203&lt;&gt;"")))&gt;0,"파견수련계획 입력오류 확인",IF(LEFT($Y11,1)="⚠","서울·구리 15일 판정 불가(양쪽 모두 이상/미만)",IF(IF($AC11="",0,N(INDEX(인턴근무계획!$T$3:$T$202,$AC11)))&gt;0,"인턴계획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IF($B11="","",IFERROR(MATCH($B11,기본자료!$B$2:$B$501,0),IFERROR(MATCH($B11&amp;"",기본자료!$B$2:$B$501,0),IFERROR(MATCH(VALUE($B11),기본자료!$B$2:$B$501,0),""))))</f>
        <v/>
      </c>
      <c r="AC11" s="10">
        <f>IF($B11="","",IFERROR(MATCH($B11,인턴근무계획!$D$3:$D$202,0),IFERROR(MATCH($B11&amp;"",인턴근무계획!$D$3:$D$202,0),IFERROR(MATCH(VALUE($B11),인턴근무계획!$D$3:$D$202,0),""))))</f>
        <v/>
      </c>
      <c r="AD11" s="10">
        <f>IF(OR($AC11="",인턴현황!$G$3=""),"",INDEX(인턴근무계획!$M$3:$R$202,$AC11,인턴현황!$G$3)&amp;"")</f>
        <v/>
      </c>
      <c r="AE11" s="10">
        <f>IF($B11="","",IF($M11&lt;&gt;"",$M11,IF($AF11&lt;&gt;"",IF(LEFT(INDEX(파견수련계획!$R$4:$R$203,$AF11),1)&lt;&gt;"⚠",INDEX(파견수련계획!$R$4:$R$203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$203,0),IFERROR(MATCH(TRIM($J11&amp;"")&amp;"|파견예정",파견수련계획!$Y$4:$Y$203,0),IFERROR(MATCH(TRIM($J11&amp;"")&amp;"|파견종료",파견수련계획!$Y$4:$Y$203,0),""))))</f>
        <v/>
      </c>
      <c r="AG11" s="10">
        <f>IF($B11="","",IF(AND(IF(OR($AC11="",인턴현황!$K$2=""),"",INDEX(인턴근무계획!$M$3:$R$202,$AC11,인턴현황!$K$2)&amp;"")&lt;&gt;"",LEFT(IF(OR($AC11="",인턴현황!$K$2=""),"",INDEX(인턴근무계획!$M$3:$R$202,$AC11,인턴현황!$K$2)&amp;""),1)&lt;&gt;"⚠"),LEFT(IF(OR($AC11="",인턴현황!$K$2=""),"",INDEX(인턴근무계획!$M$3:$R$202,$AC11,인턴현황!$K$2)&amp;""),FIND(" ",IF(OR($AC11="",인턴현황!$K$2=""),"",INDEX(인턴근무계획!$M$3:$R$202,$AC11,인턴현황!$K$2)&amp;""))-1),$AE11))</f>
        <v/>
      </c>
      <c r="AH11" s="17">
        <f>IF($B11="","",IF(TRIM($J11&amp;"")="",0,SUMPRODUCT((파견수련계획!$Q$4:$Q$203=TRIM($J11&amp;""))*(파견수련계획!$S$4:$S$203="서울병원")*파견수련계획!$W$4:$W$203))+IF($AG11="서울병원",MAX(0,DAY(EOMONTH(요약!$B$3,0))-N($X11)),0))</f>
        <v/>
      </c>
      <c r="AI11" s="17">
        <f>IF($B11="","",IF(TRIM($J11&amp;"")="",0,SUMPRODUCT((파견수련계획!$Q$4:$Q$203=TRIM($J11&amp;""))*(파견수련계획!$S$4:$S$203="구리병원")*파견수련계획!$W$4:$W$203))+IF($AG11="구리병원",MAX(0,DAY(EOMONTH(요약!$B$3,0))-N($X11)),0))</f>
        <v/>
      </c>
      <c r="AJ11" s="10">
        <f>IF(OR($B11="",TRIM($J11&amp;"")=""),"",IFERROR(MATCH(TRIM($J11&amp;"")&amp;"|월",파견수련계획!$Z$4:$Z$203,0),""))</f>
        <v/>
      </c>
      <c r="AK11" s="10">
        <f>IF(OR($B11="",TRIM($J11&amp;"")=""),"",IFERROR(MATCH(TRIM($J11&amp;"")&amp;"|다기관",파견수련계획!$AE$4:$AE$203,0),""))</f>
        <v/>
      </c>
      <c r="AL11" s="10">
        <f>IF($AK11="","","다기관 "&amp;TEXT(INDEX(파견수련계획!$AB$4:$AB$203,$AK11),"yyyy-mm-dd")&amp;"~"&amp;IF(ISNUMBER(INDEX(파견수련계획!$AC$4:$AC$203,$AK11)),TEXT(INDEX(파견수련계획!$AC$4:$AC$203,$AK11),"yyyy-mm-dd"),""))</f>
        <v/>
      </c>
    </row>
    <row r="12">
      <c r="A12" s="10">
        <f>IF(B12="","",ROW()-1)</f>
        <v/>
      </c>
      <c r="B12" s="18" t="n"/>
      <c r="C12" s="10">
        <f>IF($AB12="","",IF(INDEX(기본자료!$C$2:$C$501,$AB12)="","",INDEX(기본자료!$C$2:$C$501,$AB12)))</f>
        <v/>
      </c>
      <c r="D12" s="10">
        <f>IF($AB12="","",IF(INDEX(기본자료!$J$2:$J$501,$AB12)="","",INDEX(기본자료!$J$2:$J$501,$AB12)))</f>
        <v/>
      </c>
      <c r="E12" s="11">
        <f>IF($AB12="","",IF(INDEX(기본자료!$K$2:$K$501,$AB12)="","",IF(NOT(ISNUMBER(INDEX(기본자료!$K$2:$K$501,$AB12))),INDEX(기본자료!$K$2:$K$501,$AB12),IF(INDEX(기본자료!$K$2:$K$501,$AB12)&lt;1000000,INDEX(기본자료!$K$2:$K$501,$AB12),IF(AND(INDEX(기본자료!$K$2:$K$501,$AB12)&gt;=10000101,INT(MOD(INDEX(기본자료!$K$2:$K$501,$AB12),10000)/100)&gt;=1,INT(MOD(INDEX(기본자료!$K$2:$K$501,$AB12),10000)/100)&lt;=12,MOD(INDEX(기본자료!$K$2:$K$501,$AB12),100)&gt;=1,MOD(INDEX(기본자료!$K$2:$K$501,$AB12),100)&lt;=31),DATE(INT(INDEX(기본자료!$K$2:$K$501,$AB12)/10000),INT(MOD(INDEX(기본자료!$K$2:$K$501,$AB12),10000)/100),MOD(INDEX(기본자료!$K$2:$K$501,$AB12),100)),INDEX(기본자료!$K$2:$K$501,$AB12)&amp;"")))))</f>
        <v/>
      </c>
      <c r="F12" s="10">
        <f>IF($AB12="","",IF(INDEX(기본자료!$D$2:$D$501,$AB12)="","",INDEX(기본자료!$D$2:$D$501,$AB12)))</f>
        <v/>
      </c>
      <c r="G12" s="10">
        <f>IF($AB12="","",IF(INDEX(기본자료!$E$2:$E$501,$AB12)="","",INDEX(기본자료!$E$2:$E$501,$AB12)))</f>
        <v/>
      </c>
      <c r="H12" s="10">
        <f>IF($AB12="","",IF(INDEX(기본자료!$F$2:$F$501,$AB12)="","",INDEX(기본자료!$F$2:$F$501,$AB12)))</f>
        <v/>
      </c>
      <c r="I12" s="11">
        <f>IF($AB12="","",IF(INDEX(기본자료!$G$2:$G$501,$AB12)="","",IF(NOT(ISNUMBER(INDEX(기본자료!$G$2:$G$501,$AB12))),INDEX(기본자료!$G$2:$G$501,$AB12),IF(INDEX(기본자료!$G$2:$G$501,$AB12)&lt;1000000,INDEX(기본자료!$G$2:$G$501,$AB12),IF(AND(INDEX(기본자료!$G$2:$G$501,$AB12)&gt;=10000101,INT(MOD(INDEX(기본자료!$G$2:$G$501,$AB12),10000)/100)&gt;=1,INT(MOD(INDEX(기본자료!$G$2:$G$501,$AB12),10000)/100)&lt;=12,MOD(INDEX(기본자료!$G$2:$G$501,$AB12),100)&gt;=1,MOD(INDEX(기본자료!$G$2:$G$501,$AB12),100)&lt;=31),DATE(INT(INDEX(기본자료!$G$2:$G$501,$AB12)/10000),INT(MOD(INDEX(기본자료!$G$2:$G$501,$AB12),10000)/100),MOD(INDEX(기본자료!$G$2:$G$501,$AB12),100)),INDEX(기본자료!$G$2:$G$501,$AB12)&amp;"")))))</f>
        <v/>
      </c>
      <c r="J12" s="10">
        <f>IF($AB12="","",IF(INDEX(기본자료!$H$2:$H$501,$AB12)="","",INDEX(기본자료!$H$2:$H$501,$AB12)))</f>
        <v/>
      </c>
      <c r="K12" s="10">
        <f>IF($AB12="","",IF(INDEX(기본자료!$I$2:$I$501,$AB12)="","",INDEX(기본자료!$I$2:$I$501,$AB12)))</f>
        <v/>
      </c>
      <c r="L12" s="10">
        <f>IF($AB12="","",IF(INDEX(기본자료!$A$2:$A$501,$AB12)="","",INDEX(기본자료!$A$2:$A$501,$AB12)))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파견수련계획!$AB$4:$AB$203,$AK12),OR(NOT(ISNUMBER(INDEX(파견수련계획!$AC$4:$AC$203,$AK12))),TODAY()&lt;=INDEX(파견수련계획!$AC$4:$AC$203,$AK12))),"다기관",IF($AF12="","",INDEX(파견수련계획!$T$4:$T$203,$AF12))),IF($AF12="","",INDEX(파견수련계획!$T$4:$T$203,$AF12))))</f>
        <v/>
      </c>
      <c r="Q12" s="10">
        <f>IF($AF12="","",INDEX(파견수련계획!$S$4:$S$203,$AF12))</f>
        <v/>
      </c>
      <c r="R12" s="10">
        <f>IF($AF12="","",INDEX(파견수련계획!$U$4:$U$203,$AF12))</f>
        <v/>
      </c>
      <c r="S12" s="11">
        <f>IF($AF12="","",IF(INDEX(파견수련계획!$H$4:$H$203,$AF12)="","",INDEX(파견수련계획!$H$4:$H$203,$AF12)))</f>
        <v/>
      </c>
      <c r="T12" s="11">
        <f>IF($AF12="","",IF(INDEX(파견수련계획!$I$4:$I$203,$AF12)="","",INDEX(파견수련계획!$I$4:$I$203,$AF12)))</f>
        <v/>
      </c>
      <c r="U12" s="10">
        <f>IF($AF12="","",INDEX(파견수련계획!$X$4:$X$203,$AF12))</f>
        <v/>
      </c>
      <c r="V12" s="17">
        <f>IF($AF12="","",INDEX(파견수련계획!$V$4:$V$203,$AF12))</f>
        <v/>
      </c>
      <c r="W12" s="17">
        <f>IF(AND($U12="파견중",$T12&lt;&gt;""),$T12-TODAY(),"")</f>
        <v/>
      </c>
      <c r="X12" s="17">
        <f>IF(OR($B12="",TRIM($J12&amp;"")=""),"",SUMPRODUCT((파견수련계획!$Q$4:$Q$203=TRIM($J12&amp;""))*파견수련계획!$W$4:$W$203))</f>
        <v/>
      </c>
      <c r="Y12" s="10">
        <f>IF($B12="","",IF($AG12="","",IF(IF(TRIM($J12&amp;"")="",0,SUMPRODUCT((파견수련계획!$Q$4:$Q$203=TRIM($J12&amp;""))*파견수련계획!$AD$4:$AD$203))&gt;0,$AE12,IF(N($X12)&lt;=0,$AG12,IF($AH12+$AI12=DAY(EOMONTH(요약!$B$3,0)),IF(AND($AH12&gt;=요약!$E$3,$AI12&lt;요약!$E$3),"서울병원",IF(AND($AI12&gt;=요약!$E$3,$AH12&lt;요약!$E$3),"구리병원","⚠15일 판정불가(서울 "&amp;$AH12&amp;"일/구리 "&amp;$AI12&amp;"일)")),IF($AJ12="",$AE12,IF(INDEX(파견수련계획!$T$4:$T$203,$AJ12)="통합수련",INDEX(파견수련계획!$S$4:$S$203,$AJ12),$AE12)))))))</f>
        <v/>
      </c>
      <c r="Z12" s="19">
        <f>IF($B12="","",IF($AB12="","기본자료에 없는 사번",IF(COUNTIF($B$2:$B$201,$B12)&gt;1,"중복 사번",IF($AE12="","소속(입사장소) 입력",IF(IF(TRIM($J12&amp;"")="",0,SUMPRODUCT((파견수련계획!$Q$4:$Q$203=TRIM($J12&amp;""))*(파견수련계획!$AA$4:$AA$203&lt;&gt;"")))&gt;0,"파견수련계획 입력오류 확인",IF(LEFT($Y12,1)="⚠","서울·구리 15일 판정 불가(양쪽 모두 이상/미만)",IF(IF($AC12="",0,N(INDEX(인턴근무계획!$T$3:$T$202,$AC12)))&gt;0,"인턴계획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IF($B12="","",IFERROR(MATCH($B12,기본자료!$B$2:$B$501,0),IFERROR(MATCH($B12&amp;"",기본자료!$B$2:$B$501,0),IFERROR(MATCH(VALUE($B12),기본자료!$B$2:$B$501,0),""))))</f>
        <v/>
      </c>
      <c r="AC12" s="10">
        <f>IF($B12="","",IFERROR(MATCH($B12,인턴근무계획!$D$3:$D$202,0),IFERROR(MATCH($B12&amp;"",인턴근무계획!$D$3:$D$202,0),IFERROR(MATCH(VALUE($B12),인턴근무계획!$D$3:$D$202,0),""))))</f>
        <v/>
      </c>
      <c r="AD12" s="10">
        <f>IF(OR($AC12="",인턴현황!$G$3=""),"",INDEX(인턴근무계획!$M$3:$R$202,$AC12,인턴현황!$G$3)&amp;"")</f>
        <v/>
      </c>
      <c r="AE12" s="10">
        <f>IF($B12="","",IF($M12&lt;&gt;"",$M12,IF($AF12&lt;&gt;"",IF(LEFT(INDEX(파견수련계획!$R$4:$R$203,$AF12),1)&lt;&gt;"⚠",INDEX(파견수련계획!$R$4:$R$203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$203,0),IFERROR(MATCH(TRIM($J12&amp;"")&amp;"|파견예정",파견수련계획!$Y$4:$Y$203,0),IFERROR(MATCH(TRIM($J12&amp;"")&amp;"|파견종료",파견수련계획!$Y$4:$Y$203,0),""))))</f>
        <v/>
      </c>
      <c r="AG12" s="10">
        <f>IF($B12="","",IF(AND(IF(OR($AC12="",인턴현황!$K$2=""),"",INDEX(인턴근무계획!$M$3:$R$202,$AC12,인턴현황!$K$2)&amp;"")&lt;&gt;"",LEFT(IF(OR($AC12="",인턴현황!$K$2=""),"",INDEX(인턴근무계획!$M$3:$R$202,$AC12,인턴현황!$K$2)&amp;""),1)&lt;&gt;"⚠"),LEFT(IF(OR($AC12="",인턴현황!$K$2=""),"",INDEX(인턴근무계획!$M$3:$R$202,$AC12,인턴현황!$K$2)&amp;""),FIND(" ",IF(OR($AC12="",인턴현황!$K$2=""),"",INDEX(인턴근무계획!$M$3:$R$202,$AC12,인턴현황!$K$2)&amp;""))-1),$AE12))</f>
        <v/>
      </c>
      <c r="AH12" s="17">
        <f>IF($B12="","",IF(TRIM($J12&amp;"")="",0,SUMPRODUCT((파견수련계획!$Q$4:$Q$203=TRIM($J12&amp;""))*(파견수련계획!$S$4:$S$203="서울병원")*파견수련계획!$W$4:$W$203))+IF($AG12="서울병원",MAX(0,DAY(EOMONTH(요약!$B$3,0))-N($X12)),0))</f>
        <v/>
      </c>
      <c r="AI12" s="17">
        <f>IF($B12="","",IF(TRIM($J12&amp;"")="",0,SUMPRODUCT((파견수련계획!$Q$4:$Q$203=TRIM($J12&amp;""))*(파견수련계획!$S$4:$S$203="구리병원")*파견수련계획!$W$4:$W$203))+IF($AG12="구리병원",MAX(0,DAY(EOMONTH(요약!$B$3,0))-N($X12)),0))</f>
        <v/>
      </c>
      <c r="AJ12" s="10">
        <f>IF(OR($B12="",TRIM($J12&amp;"")=""),"",IFERROR(MATCH(TRIM($J12&amp;"")&amp;"|월",파견수련계획!$Z$4:$Z$203,0),""))</f>
        <v/>
      </c>
      <c r="AK12" s="10">
        <f>IF(OR($B12="",TRIM($J12&amp;"")=""),"",IFERROR(MATCH(TRIM($J12&amp;"")&amp;"|다기관",파견수련계획!$AE$4:$AE$203,0),""))</f>
        <v/>
      </c>
      <c r="AL12" s="10">
        <f>IF($AK12="","","다기관 "&amp;TEXT(INDEX(파견수련계획!$AB$4:$AB$203,$AK12),"yyyy-mm-dd")&amp;"~"&amp;IF(ISNUMBER(INDEX(파견수련계획!$AC$4:$AC$203,$AK12)),TEXT(INDEX(파견수련계획!$AC$4:$AC$203,$AK12),"yyyy-mm-dd"),""))</f>
        <v/>
      </c>
    </row>
    <row r="13">
      <c r="A13" s="10">
        <f>IF(B13="","",ROW()-1)</f>
        <v/>
      </c>
      <c r="B13" s="18" t="n"/>
      <c r="C13" s="10">
        <f>IF($AB13="","",IF(INDEX(기본자료!$C$2:$C$501,$AB13)="","",INDEX(기본자료!$C$2:$C$501,$AB13)))</f>
        <v/>
      </c>
      <c r="D13" s="10">
        <f>IF($AB13="","",IF(INDEX(기본자료!$J$2:$J$501,$AB13)="","",INDEX(기본자료!$J$2:$J$501,$AB13)))</f>
        <v/>
      </c>
      <c r="E13" s="11">
        <f>IF($AB13="","",IF(INDEX(기본자료!$K$2:$K$501,$AB13)="","",IF(NOT(ISNUMBER(INDEX(기본자료!$K$2:$K$501,$AB13))),INDEX(기본자료!$K$2:$K$501,$AB13),IF(INDEX(기본자료!$K$2:$K$501,$AB13)&lt;1000000,INDEX(기본자료!$K$2:$K$501,$AB13),IF(AND(INDEX(기본자료!$K$2:$K$501,$AB13)&gt;=10000101,INT(MOD(INDEX(기본자료!$K$2:$K$501,$AB13),10000)/100)&gt;=1,INT(MOD(INDEX(기본자료!$K$2:$K$501,$AB13),10000)/100)&lt;=12,MOD(INDEX(기본자료!$K$2:$K$501,$AB13),100)&gt;=1,MOD(INDEX(기본자료!$K$2:$K$501,$AB13),100)&lt;=31),DATE(INT(INDEX(기본자료!$K$2:$K$501,$AB13)/10000),INT(MOD(INDEX(기본자료!$K$2:$K$501,$AB13),10000)/100),MOD(INDEX(기본자료!$K$2:$K$501,$AB13),100)),INDEX(기본자료!$K$2:$K$501,$AB13)&amp;"")))))</f>
        <v/>
      </c>
      <c r="F13" s="10">
        <f>IF($AB13="","",IF(INDEX(기본자료!$D$2:$D$501,$AB13)="","",INDEX(기본자료!$D$2:$D$501,$AB13)))</f>
        <v/>
      </c>
      <c r="G13" s="10">
        <f>IF($AB13="","",IF(INDEX(기본자료!$E$2:$E$501,$AB13)="","",INDEX(기본자료!$E$2:$E$501,$AB13)))</f>
        <v/>
      </c>
      <c r="H13" s="10">
        <f>IF($AB13="","",IF(INDEX(기본자료!$F$2:$F$501,$AB13)="","",INDEX(기본자료!$F$2:$F$501,$AB13)))</f>
        <v/>
      </c>
      <c r="I13" s="11">
        <f>IF($AB13="","",IF(INDEX(기본자료!$G$2:$G$501,$AB13)="","",IF(NOT(ISNUMBER(INDEX(기본자료!$G$2:$G$501,$AB13))),INDEX(기본자료!$G$2:$G$501,$AB13),IF(INDEX(기본자료!$G$2:$G$501,$AB13)&lt;1000000,INDEX(기본자료!$G$2:$G$501,$AB13),IF(AND(INDEX(기본자료!$G$2:$G$501,$AB13)&gt;=10000101,INT(MOD(INDEX(기본자료!$G$2:$G$501,$AB13),10000)/100)&gt;=1,INT(MOD(INDEX(기본자료!$G$2:$G$501,$AB13),10000)/100)&lt;=12,MOD(INDEX(기본자료!$G$2:$G$501,$AB13),100)&gt;=1,MOD(INDEX(기본자료!$G$2:$G$501,$AB13),100)&lt;=31),DATE(INT(INDEX(기본자료!$G$2:$G$501,$AB13)/10000),INT(MOD(INDEX(기본자료!$G$2:$G$501,$AB13),10000)/100),MOD(INDEX(기본자료!$G$2:$G$501,$AB13),100)),INDEX(기본자료!$G$2:$G$501,$AB13)&amp;"")))))</f>
        <v/>
      </c>
      <c r="J13" s="10">
        <f>IF($AB13="","",IF(INDEX(기본자료!$H$2:$H$501,$AB13)="","",INDEX(기본자료!$H$2:$H$501,$AB13)))</f>
        <v/>
      </c>
      <c r="K13" s="10">
        <f>IF($AB13="","",IF(INDEX(기본자료!$I$2:$I$501,$AB13)="","",INDEX(기본자료!$I$2:$I$501,$AB13)))</f>
        <v/>
      </c>
      <c r="L13" s="10">
        <f>IF($AB13="","",IF(INDEX(기본자료!$A$2:$A$501,$AB13)="","",INDEX(기본자료!$A$2:$A$501,$AB13)))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파견수련계획!$AB$4:$AB$203,$AK13),OR(NOT(ISNUMBER(INDEX(파견수련계획!$AC$4:$AC$203,$AK13))),TODAY()&lt;=INDEX(파견수련계획!$AC$4:$AC$203,$AK13))),"다기관",IF($AF13="","",INDEX(파견수련계획!$T$4:$T$203,$AF13))),IF($AF13="","",INDEX(파견수련계획!$T$4:$T$203,$AF13))))</f>
        <v/>
      </c>
      <c r="Q13" s="10">
        <f>IF($AF13="","",INDEX(파견수련계획!$S$4:$S$203,$AF13))</f>
        <v/>
      </c>
      <c r="R13" s="10">
        <f>IF($AF13="","",INDEX(파견수련계획!$U$4:$U$203,$AF13))</f>
        <v/>
      </c>
      <c r="S13" s="11">
        <f>IF($AF13="","",IF(INDEX(파견수련계획!$H$4:$H$203,$AF13)="","",INDEX(파견수련계획!$H$4:$H$203,$AF13)))</f>
        <v/>
      </c>
      <c r="T13" s="11">
        <f>IF($AF13="","",IF(INDEX(파견수련계획!$I$4:$I$203,$AF13)="","",INDEX(파견수련계획!$I$4:$I$203,$AF13)))</f>
        <v/>
      </c>
      <c r="U13" s="10">
        <f>IF($AF13="","",INDEX(파견수련계획!$X$4:$X$203,$AF13))</f>
        <v/>
      </c>
      <c r="V13" s="17">
        <f>IF($AF13="","",INDEX(파견수련계획!$V$4:$V$203,$AF13))</f>
        <v/>
      </c>
      <c r="W13" s="17">
        <f>IF(AND($U13="파견중",$T13&lt;&gt;""),$T13-TODAY(),"")</f>
        <v/>
      </c>
      <c r="X13" s="17">
        <f>IF(OR($B13="",TRIM($J13&amp;"")=""),"",SUMPRODUCT((파견수련계획!$Q$4:$Q$203=TRIM($J13&amp;""))*파견수련계획!$W$4:$W$203))</f>
        <v/>
      </c>
      <c r="Y13" s="10">
        <f>IF($B13="","",IF($AG13="","",IF(IF(TRIM($J13&amp;"")="",0,SUMPRODUCT((파견수련계획!$Q$4:$Q$203=TRIM($J13&amp;""))*파견수련계획!$AD$4:$AD$203))&gt;0,$AE13,IF(N($X13)&lt;=0,$AG13,IF($AH13+$AI13=DAY(EOMONTH(요약!$B$3,0)),IF(AND($AH13&gt;=요약!$E$3,$AI13&lt;요약!$E$3),"서울병원",IF(AND($AI13&gt;=요약!$E$3,$AH13&lt;요약!$E$3),"구리병원","⚠15일 판정불가(서울 "&amp;$AH13&amp;"일/구리 "&amp;$AI13&amp;"일)")),IF($AJ13="",$AE13,IF(INDEX(파견수련계획!$T$4:$T$203,$AJ13)="통합수련",INDEX(파견수련계획!$S$4:$S$203,$AJ13),$AE13)))))))</f>
        <v/>
      </c>
      <c r="Z13" s="19">
        <f>IF($B13="","",IF($AB13="","기본자료에 없는 사번",IF(COUNTIF($B$2:$B$201,$B13)&gt;1,"중복 사번",IF($AE13="","소속(입사장소) 입력",IF(IF(TRIM($J13&amp;"")="",0,SUMPRODUCT((파견수련계획!$Q$4:$Q$203=TRIM($J13&amp;""))*(파견수련계획!$AA$4:$AA$203&lt;&gt;"")))&gt;0,"파견수련계획 입력오류 확인",IF(LEFT($Y13,1)="⚠","서울·구리 15일 판정 불가(양쪽 모두 이상/미만)",IF(IF($AC13="",0,N(INDEX(인턴근무계획!$T$3:$T$202,$AC13)))&gt;0,"인턴계획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IF($B13="","",IFERROR(MATCH($B13,기본자료!$B$2:$B$501,0),IFERROR(MATCH($B13&amp;"",기본자료!$B$2:$B$501,0),IFERROR(MATCH(VALUE($B13),기본자료!$B$2:$B$501,0),""))))</f>
        <v/>
      </c>
      <c r="AC13" s="10">
        <f>IF($B13="","",IFERROR(MATCH($B13,인턴근무계획!$D$3:$D$202,0),IFERROR(MATCH($B13&amp;"",인턴근무계획!$D$3:$D$202,0),IFERROR(MATCH(VALUE($B13),인턴근무계획!$D$3:$D$202,0),""))))</f>
        <v/>
      </c>
      <c r="AD13" s="10">
        <f>IF(OR($AC13="",인턴현황!$G$3=""),"",INDEX(인턴근무계획!$M$3:$R$202,$AC13,인턴현황!$G$3)&amp;"")</f>
        <v/>
      </c>
      <c r="AE13" s="10">
        <f>IF($B13="","",IF($M13&lt;&gt;"",$M13,IF($AF13&lt;&gt;"",IF(LEFT(INDEX(파견수련계획!$R$4:$R$203,$AF13),1)&lt;&gt;"⚠",INDEX(파견수련계획!$R$4:$R$203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$203,0),IFERROR(MATCH(TRIM($J13&amp;"")&amp;"|파견예정",파견수련계획!$Y$4:$Y$203,0),IFERROR(MATCH(TRIM($J13&amp;"")&amp;"|파견종료",파견수련계획!$Y$4:$Y$203,0),""))))</f>
        <v/>
      </c>
      <c r="AG13" s="10">
        <f>IF($B13="","",IF(AND(IF(OR($AC13="",인턴현황!$K$2=""),"",INDEX(인턴근무계획!$M$3:$R$202,$AC13,인턴현황!$K$2)&amp;"")&lt;&gt;"",LEFT(IF(OR($AC13="",인턴현황!$K$2=""),"",INDEX(인턴근무계획!$M$3:$R$202,$AC13,인턴현황!$K$2)&amp;""),1)&lt;&gt;"⚠"),LEFT(IF(OR($AC13="",인턴현황!$K$2=""),"",INDEX(인턴근무계획!$M$3:$R$202,$AC13,인턴현황!$K$2)&amp;""),FIND(" ",IF(OR($AC13="",인턴현황!$K$2=""),"",INDEX(인턴근무계획!$M$3:$R$202,$AC13,인턴현황!$K$2)&amp;""))-1),$AE13))</f>
        <v/>
      </c>
      <c r="AH13" s="17">
        <f>IF($B13="","",IF(TRIM($J13&amp;"")="",0,SUMPRODUCT((파견수련계획!$Q$4:$Q$203=TRIM($J13&amp;""))*(파견수련계획!$S$4:$S$203="서울병원")*파견수련계획!$W$4:$W$203))+IF($AG13="서울병원",MAX(0,DAY(EOMONTH(요약!$B$3,0))-N($X13)),0))</f>
        <v/>
      </c>
      <c r="AI13" s="17">
        <f>IF($B13="","",IF(TRIM($J13&amp;"")="",0,SUMPRODUCT((파견수련계획!$Q$4:$Q$203=TRIM($J13&amp;""))*(파견수련계획!$S$4:$S$203="구리병원")*파견수련계획!$W$4:$W$203))+IF($AG13="구리병원",MAX(0,DAY(EOMONTH(요약!$B$3,0))-N($X13)),0))</f>
        <v/>
      </c>
      <c r="AJ13" s="10">
        <f>IF(OR($B13="",TRIM($J13&amp;"")=""),"",IFERROR(MATCH(TRIM($J13&amp;"")&amp;"|월",파견수련계획!$Z$4:$Z$203,0),""))</f>
        <v/>
      </c>
      <c r="AK13" s="10">
        <f>IF(OR($B13="",TRIM($J13&amp;"")=""),"",IFERROR(MATCH(TRIM($J13&amp;"")&amp;"|다기관",파견수련계획!$AE$4:$AE$203,0),""))</f>
        <v/>
      </c>
      <c r="AL13" s="10">
        <f>IF($AK13="","","다기관 "&amp;TEXT(INDEX(파견수련계획!$AB$4:$AB$203,$AK13),"yyyy-mm-dd")&amp;"~"&amp;IF(ISNUMBER(INDEX(파견수련계획!$AC$4:$AC$203,$AK13)),TEXT(INDEX(파견수련계획!$AC$4:$AC$203,$AK13),"yyyy-mm-dd"),""))</f>
        <v/>
      </c>
    </row>
    <row r="14">
      <c r="A14" s="10">
        <f>IF(B14="","",ROW()-1)</f>
        <v/>
      </c>
      <c r="B14" s="18" t="n"/>
      <c r="C14" s="10">
        <f>IF($AB14="","",IF(INDEX(기본자료!$C$2:$C$501,$AB14)="","",INDEX(기본자료!$C$2:$C$501,$AB14)))</f>
        <v/>
      </c>
      <c r="D14" s="10">
        <f>IF($AB14="","",IF(INDEX(기본자료!$J$2:$J$501,$AB14)="","",INDEX(기본자료!$J$2:$J$501,$AB14)))</f>
        <v/>
      </c>
      <c r="E14" s="11">
        <f>IF($AB14="","",IF(INDEX(기본자료!$K$2:$K$501,$AB14)="","",IF(NOT(ISNUMBER(INDEX(기본자료!$K$2:$K$501,$AB14))),INDEX(기본자료!$K$2:$K$501,$AB14),IF(INDEX(기본자료!$K$2:$K$501,$AB14)&lt;1000000,INDEX(기본자료!$K$2:$K$501,$AB14),IF(AND(INDEX(기본자료!$K$2:$K$501,$AB14)&gt;=10000101,INT(MOD(INDEX(기본자료!$K$2:$K$501,$AB14),10000)/100)&gt;=1,INT(MOD(INDEX(기본자료!$K$2:$K$501,$AB14),10000)/100)&lt;=12,MOD(INDEX(기본자료!$K$2:$K$501,$AB14),100)&gt;=1,MOD(INDEX(기본자료!$K$2:$K$501,$AB14),100)&lt;=31),DATE(INT(INDEX(기본자료!$K$2:$K$501,$AB14)/10000),INT(MOD(INDEX(기본자료!$K$2:$K$501,$AB14),10000)/100),MOD(INDEX(기본자료!$K$2:$K$501,$AB14),100)),INDEX(기본자료!$K$2:$K$501,$AB14)&amp;"")))))</f>
        <v/>
      </c>
      <c r="F14" s="10">
        <f>IF($AB14="","",IF(INDEX(기본자료!$D$2:$D$501,$AB14)="","",INDEX(기본자료!$D$2:$D$501,$AB14)))</f>
        <v/>
      </c>
      <c r="G14" s="10">
        <f>IF($AB14="","",IF(INDEX(기본자료!$E$2:$E$501,$AB14)="","",INDEX(기본자료!$E$2:$E$501,$AB14)))</f>
        <v/>
      </c>
      <c r="H14" s="10">
        <f>IF($AB14="","",IF(INDEX(기본자료!$F$2:$F$501,$AB14)="","",INDEX(기본자료!$F$2:$F$501,$AB14)))</f>
        <v/>
      </c>
      <c r="I14" s="11">
        <f>IF($AB14="","",IF(INDEX(기본자료!$G$2:$G$501,$AB14)="","",IF(NOT(ISNUMBER(INDEX(기본자료!$G$2:$G$501,$AB14))),INDEX(기본자료!$G$2:$G$501,$AB14),IF(INDEX(기본자료!$G$2:$G$501,$AB14)&lt;1000000,INDEX(기본자료!$G$2:$G$501,$AB14),IF(AND(INDEX(기본자료!$G$2:$G$501,$AB14)&gt;=10000101,INT(MOD(INDEX(기본자료!$G$2:$G$501,$AB14),10000)/100)&gt;=1,INT(MOD(INDEX(기본자료!$G$2:$G$501,$AB14),10000)/100)&lt;=12,MOD(INDEX(기본자료!$G$2:$G$501,$AB14),100)&gt;=1,MOD(INDEX(기본자료!$G$2:$G$501,$AB14),100)&lt;=31),DATE(INT(INDEX(기본자료!$G$2:$G$501,$AB14)/10000),INT(MOD(INDEX(기본자료!$G$2:$G$501,$AB14),10000)/100),MOD(INDEX(기본자료!$G$2:$G$501,$AB14),100)),INDEX(기본자료!$G$2:$G$501,$AB14)&amp;"")))))</f>
        <v/>
      </c>
      <c r="J14" s="10">
        <f>IF($AB14="","",IF(INDEX(기본자료!$H$2:$H$501,$AB14)="","",INDEX(기본자료!$H$2:$H$501,$AB14)))</f>
        <v/>
      </c>
      <c r="K14" s="10">
        <f>IF($AB14="","",IF(INDEX(기본자료!$I$2:$I$501,$AB14)="","",INDEX(기본자료!$I$2:$I$501,$AB14)))</f>
        <v/>
      </c>
      <c r="L14" s="10">
        <f>IF($AB14="","",IF(INDEX(기본자료!$A$2:$A$501,$AB14)="","",INDEX(기본자료!$A$2:$A$501,$AB14)))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파견수련계획!$AB$4:$AB$203,$AK14),OR(NOT(ISNUMBER(INDEX(파견수련계획!$AC$4:$AC$203,$AK14))),TODAY()&lt;=INDEX(파견수련계획!$AC$4:$AC$203,$AK14))),"다기관",IF($AF14="","",INDEX(파견수련계획!$T$4:$T$203,$AF14))),IF($AF14="","",INDEX(파견수련계획!$T$4:$T$203,$AF14))))</f>
        <v/>
      </c>
      <c r="Q14" s="10">
        <f>IF($AF14="","",INDEX(파견수련계획!$S$4:$S$203,$AF14))</f>
        <v/>
      </c>
      <c r="R14" s="10">
        <f>IF($AF14="","",INDEX(파견수련계획!$U$4:$U$203,$AF14))</f>
        <v/>
      </c>
      <c r="S14" s="11">
        <f>IF($AF14="","",IF(INDEX(파견수련계획!$H$4:$H$203,$AF14)="","",INDEX(파견수련계획!$H$4:$H$203,$AF14)))</f>
        <v/>
      </c>
      <c r="T14" s="11">
        <f>IF($AF14="","",IF(INDEX(파견수련계획!$I$4:$I$203,$AF14)="","",INDEX(파견수련계획!$I$4:$I$203,$AF14)))</f>
        <v/>
      </c>
      <c r="U14" s="10">
        <f>IF($AF14="","",INDEX(파견수련계획!$X$4:$X$203,$AF14))</f>
        <v/>
      </c>
      <c r="V14" s="17">
        <f>IF($AF14="","",INDEX(파견수련계획!$V$4:$V$203,$AF14))</f>
        <v/>
      </c>
      <c r="W14" s="17">
        <f>IF(AND($U14="파견중",$T14&lt;&gt;""),$T14-TODAY(),"")</f>
        <v/>
      </c>
      <c r="X14" s="17">
        <f>IF(OR($B14="",TRIM($J14&amp;"")=""),"",SUMPRODUCT((파견수련계획!$Q$4:$Q$203=TRIM($J14&amp;""))*파견수련계획!$W$4:$W$203))</f>
        <v/>
      </c>
      <c r="Y14" s="10">
        <f>IF($B14="","",IF($AG14="","",IF(IF(TRIM($J14&amp;"")="",0,SUMPRODUCT((파견수련계획!$Q$4:$Q$203=TRIM($J14&amp;""))*파견수련계획!$AD$4:$AD$203))&gt;0,$AE14,IF(N($X14)&lt;=0,$AG14,IF($AH14+$AI14=DAY(EOMONTH(요약!$B$3,0)),IF(AND($AH14&gt;=요약!$E$3,$AI14&lt;요약!$E$3),"서울병원",IF(AND($AI14&gt;=요약!$E$3,$AH14&lt;요약!$E$3),"구리병원","⚠15일 판정불가(서울 "&amp;$AH14&amp;"일/구리 "&amp;$AI14&amp;"일)")),IF($AJ14="",$AE14,IF(INDEX(파견수련계획!$T$4:$T$203,$AJ14)="통합수련",INDEX(파견수련계획!$S$4:$S$203,$AJ14),$AE14)))))))</f>
        <v/>
      </c>
      <c r="Z14" s="19">
        <f>IF($B14="","",IF($AB14="","기본자료에 없는 사번",IF(COUNTIF($B$2:$B$201,$B14)&gt;1,"중복 사번",IF($AE14="","소속(입사장소) 입력",IF(IF(TRIM($J14&amp;"")="",0,SUMPRODUCT((파견수련계획!$Q$4:$Q$203=TRIM($J14&amp;""))*(파견수련계획!$AA$4:$AA$203&lt;&gt;"")))&gt;0,"파견수련계획 입력오류 확인",IF(LEFT($Y14,1)="⚠","서울·구리 15일 판정 불가(양쪽 모두 이상/미만)",IF(IF($AC14="",0,N(INDEX(인턴근무계획!$T$3:$T$202,$AC14)))&gt;0,"인턴계획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IF($B14="","",IFERROR(MATCH($B14,기본자료!$B$2:$B$501,0),IFERROR(MATCH($B14&amp;"",기본자료!$B$2:$B$501,0),IFERROR(MATCH(VALUE($B14),기본자료!$B$2:$B$501,0),""))))</f>
        <v/>
      </c>
      <c r="AC14" s="10">
        <f>IF($B14="","",IFERROR(MATCH($B14,인턴근무계획!$D$3:$D$202,0),IFERROR(MATCH($B14&amp;"",인턴근무계획!$D$3:$D$202,0),IFERROR(MATCH(VALUE($B14),인턴근무계획!$D$3:$D$202,0),""))))</f>
        <v/>
      </c>
      <c r="AD14" s="10">
        <f>IF(OR($AC14="",인턴현황!$G$3=""),"",INDEX(인턴근무계획!$M$3:$R$202,$AC14,인턴현황!$G$3)&amp;"")</f>
        <v/>
      </c>
      <c r="AE14" s="10">
        <f>IF($B14="","",IF($M14&lt;&gt;"",$M14,IF($AF14&lt;&gt;"",IF(LEFT(INDEX(파견수련계획!$R$4:$R$203,$AF14),1)&lt;&gt;"⚠",INDEX(파견수련계획!$R$4:$R$203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$203,0),IFERROR(MATCH(TRIM($J14&amp;"")&amp;"|파견예정",파견수련계획!$Y$4:$Y$203,0),IFERROR(MATCH(TRIM($J14&amp;"")&amp;"|파견종료",파견수련계획!$Y$4:$Y$203,0),""))))</f>
        <v/>
      </c>
      <c r="AG14" s="10">
        <f>IF($B14="","",IF(AND(IF(OR($AC14="",인턴현황!$K$2=""),"",INDEX(인턴근무계획!$M$3:$R$202,$AC14,인턴현황!$K$2)&amp;"")&lt;&gt;"",LEFT(IF(OR($AC14="",인턴현황!$K$2=""),"",INDEX(인턴근무계획!$M$3:$R$202,$AC14,인턴현황!$K$2)&amp;""),1)&lt;&gt;"⚠"),LEFT(IF(OR($AC14="",인턴현황!$K$2=""),"",INDEX(인턴근무계획!$M$3:$R$202,$AC14,인턴현황!$K$2)&amp;""),FIND(" ",IF(OR($AC14="",인턴현황!$K$2=""),"",INDEX(인턴근무계획!$M$3:$R$202,$AC14,인턴현황!$K$2)&amp;""))-1),$AE14))</f>
        <v/>
      </c>
      <c r="AH14" s="17">
        <f>IF($B14="","",IF(TRIM($J14&amp;"")="",0,SUMPRODUCT((파견수련계획!$Q$4:$Q$203=TRIM($J14&amp;""))*(파견수련계획!$S$4:$S$203="서울병원")*파견수련계획!$W$4:$W$203))+IF($AG14="서울병원",MAX(0,DAY(EOMONTH(요약!$B$3,0))-N($X14)),0))</f>
        <v/>
      </c>
      <c r="AI14" s="17">
        <f>IF($B14="","",IF(TRIM($J14&amp;"")="",0,SUMPRODUCT((파견수련계획!$Q$4:$Q$203=TRIM($J14&amp;""))*(파견수련계획!$S$4:$S$203="구리병원")*파견수련계획!$W$4:$W$203))+IF($AG14="구리병원",MAX(0,DAY(EOMONTH(요약!$B$3,0))-N($X14)),0))</f>
        <v/>
      </c>
      <c r="AJ14" s="10">
        <f>IF(OR($B14="",TRIM($J14&amp;"")=""),"",IFERROR(MATCH(TRIM($J14&amp;"")&amp;"|월",파견수련계획!$Z$4:$Z$203,0),""))</f>
        <v/>
      </c>
      <c r="AK14" s="10">
        <f>IF(OR($B14="",TRIM($J14&amp;"")=""),"",IFERROR(MATCH(TRIM($J14&amp;"")&amp;"|다기관",파견수련계획!$AE$4:$AE$203,0),""))</f>
        <v/>
      </c>
      <c r="AL14" s="10">
        <f>IF($AK14="","","다기관 "&amp;TEXT(INDEX(파견수련계획!$AB$4:$AB$203,$AK14),"yyyy-mm-dd")&amp;"~"&amp;IF(ISNUMBER(INDEX(파견수련계획!$AC$4:$AC$203,$AK14)),TEXT(INDEX(파견수련계획!$AC$4:$AC$203,$AK14),"yyyy-mm-dd"),""))</f>
        <v/>
      </c>
    </row>
    <row r="15">
      <c r="A15" s="10">
        <f>IF(B15="","",ROW()-1)</f>
        <v/>
      </c>
      <c r="B15" s="18" t="n"/>
      <c r="C15" s="10">
        <f>IF($AB15="","",IF(INDEX(기본자료!$C$2:$C$501,$AB15)="","",INDEX(기본자료!$C$2:$C$501,$AB15)))</f>
        <v/>
      </c>
      <c r="D15" s="10">
        <f>IF($AB15="","",IF(INDEX(기본자료!$J$2:$J$501,$AB15)="","",INDEX(기본자료!$J$2:$J$501,$AB15)))</f>
        <v/>
      </c>
      <c r="E15" s="11">
        <f>IF($AB15="","",IF(INDEX(기본자료!$K$2:$K$501,$AB15)="","",IF(NOT(ISNUMBER(INDEX(기본자료!$K$2:$K$501,$AB15))),INDEX(기본자료!$K$2:$K$501,$AB15),IF(INDEX(기본자료!$K$2:$K$501,$AB15)&lt;1000000,INDEX(기본자료!$K$2:$K$501,$AB15),IF(AND(INDEX(기본자료!$K$2:$K$501,$AB15)&gt;=10000101,INT(MOD(INDEX(기본자료!$K$2:$K$501,$AB15),10000)/100)&gt;=1,INT(MOD(INDEX(기본자료!$K$2:$K$501,$AB15),10000)/100)&lt;=12,MOD(INDEX(기본자료!$K$2:$K$501,$AB15),100)&gt;=1,MOD(INDEX(기본자료!$K$2:$K$501,$AB15),100)&lt;=31),DATE(INT(INDEX(기본자료!$K$2:$K$501,$AB15)/10000),INT(MOD(INDEX(기본자료!$K$2:$K$501,$AB15),10000)/100),MOD(INDEX(기본자료!$K$2:$K$501,$AB15),100)),INDEX(기본자료!$K$2:$K$501,$AB15)&amp;"")))))</f>
        <v/>
      </c>
      <c r="F15" s="10">
        <f>IF($AB15="","",IF(INDEX(기본자료!$D$2:$D$501,$AB15)="","",INDEX(기본자료!$D$2:$D$501,$AB15)))</f>
        <v/>
      </c>
      <c r="G15" s="10">
        <f>IF($AB15="","",IF(INDEX(기본자료!$E$2:$E$501,$AB15)="","",INDEX(기본자료!$E$2:$E$501,$AB15)))</f>
        <v/>
      </c>
      <c r="H15" s="10">
        <f>IF($AB15="","",IF(INDEX(기본자료!$F$2:$F$501,$AB15)="","",INDEX(기본자료!$F$2:$F$501,$AB15)))</f>
        <v/>
      </c>
      <c r="I15" s="11">
        <f>IF($AB15="","",IF(INDEX(기본자료!$G$2:$G$501,$AB15)="","",IF(NOT(ISNUMBER(INDEX(기본자료!$G$2:$G$501,$AB15))),INDEX(기본자료!$G$2:$G$501,$AB15),IF(INDEX(기본자료!$G$2:$G$501,$AB15)&lt;1000000,INDEX(기본자료!$G$2:$G$501,$AB15),IF(AND(INDEX(기본자료!$G$2:$G$501,$AB15)&gt;=10000101,INT(MOD(INDEX(기본자료!$G$2:$G$501,$AB15),10000)/100)&gt;=1,INT(MOD(INDEX(기본자료!$G$2:$G$501,$AB15),10000)/100)&lt;=12,MOD(INDEX(기본자료!$G$2:$G$501,$AB15),100)&gt;=1,MOD(INDEX(기본자료!$G$2:$G$501,$AB15),100)&lt;=31),DATE(INT(INDEX(기본자료!$G$2:$G$501,$AB15)/10000),INT(MOD(INDEX(기본자료!$G$2:$G$501,$AB15),10000)/100),MOD(INDEX(기본자료!$G$2:$G$501,$AB15),100)),INDEX(기본자료!$G$2:$G$501,$AB15)&amp;"")))))</f>
        <v/>
      </c>
      <c r="J15" s="10">
        <f>IF($AB15="","",IF(INDEX(기본자료!$H$2:$H$501,$AB15)="","",INDEX(기본자료!$H$2:$H$501,$AB15)))</f>
        <v/>
      </c>
      <c r="K15" s="10">
        <f>IF($AB15="","",IF(INDEX(기본자료!$I$2:$I$501,$AB15)="","",INDEX(기본자료!$I$2:$I$501,$AB15)))</f>
        <v/>
      </c>
      <c r="L15" s="10">
        <f>IF($AB15="","",IF(INDEX(기본자료!$A$2:$A$501,$AB15)="","",INDEX(기본자료!$A$2:$A$501,$AB15)))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파견수련계획!$AB$4:$AB$203,$AK15),OR(NOT(ISNUMBER(INDEX(파견수련계획!$AC$4:$AC$203,$AK15))),TODAY()&lt;=INDEX(파견수련계획!$AC$4:$AC$203,$AK15))),"다기관",IF($AF15="","",INDEX(파견수련계획!$T$4:$T$203,$AF15))),IF($AF15="","",INDEX(파견수련계획!$T$4:$T$203,$AF15))))</f>
        <v/>
      </c>
      <c r="Q15" s="10">
        <f>IF($AF15="","",INDEX(파견수련계획!$S$4:$S$203,$AF15))</f>
        <v/>
      </c>
      <c r="R15" s="10">
        <f>IF($AF15="","",INDEX(파견수련계획!$U$4:$U$203,$AF15))</f>
        <v/>
      </c>
      <c r="S15" s="11">
        <f>IF($AF15="","",IF(INDEX(파견수련계획!$H$4:$H$203,$AF15)="","",INDEX(파견수련계획!$H$4:$H$203,$AF15)))</f>
        <v/>
      </c>
      <c r="T15" s="11">
        <f>IF($AF15="","",IF(INDEX(파견수련계획!$I$4:$I$203,$AF15)="","",INDEX(파견수련계획!$I$4:$I$203,$AF15)))</f>
        <v/>
      </c>
      <c r="U15" s="10">
        <f>IF($AF15="","",INDEX(파견수련계획!$X$4:$X$203,$AF15))</f>
        <v/>
      </c>
      <c r="V15" s="17">
        <f>IF($AF15="","",INDEX(파견수련계획!$V$4:$V$203,$AF15))</f>
        <v/>
      </c>
      <c r="W15" s="17">
        <f>IF(AND($U15="파견중",$T15&lt;&gt;""),$T15-TODAY(),"")</f>
        <v/>
      </c>
      <c r="X15" s="17">
        <f>IF(OR($B15="",TRIM($J15&amp;"")=""),"",SUMPRODUCT((파견수련계획!$Q$4:$Q$203=TRIM($J15&amp;""))*파견수련계획!$W$4:$W$203))</f>
        <v/>
      </c>
      <c r="Y15" s="10">
        <f>IF($B15="","",IF($AG15="","",IF(IF(TRIM($J15&amp;"")="",0,SUMPRODUCT((파견수련계획!$Q$4:$Q$203=TRIM($J15&amp;""))*파견수련계획!$AD$4:$AD$203))&gt;0,$AE15,IF(N($X15)&lt;=0,$AG15,IF($AH15+$AI15=DAY(EOMONTH(요약!$B$3,0)),IF(AND($AH15&gt;=요약!$E$3,$AI15&lt;요약!$E$3),"서울병원",IF(AND($AI15&gt;=요약!$E$3,$AH15&lt;요약!$E$3),"구리병원","⚠15일 판정불가(서울 "&amp;$AH15&amp;"일/구리 "&amp;$AI15&amp;"일)")),IF($AJ15="",$AE15,IF(INDEX(파견수련계획!$T$4:$T$203,$AJ15)="통합수련",INDEX(파견수련계획!$S$4:$S$203,$AJ15),$AE15)))))))</f>
        <v/>
      </c>
      <c r="Z15" s="19">
        <f>IF($B15="","",IF($AB15="","기본자료에 없는 사번",IF(COUNTIF($B$2:$B$201,$B15)&gt;1,"중복 사번",IF($AE15="","소속(입사장소) 입력",IF(IF(TRIM($J15&amp;"")="",0,SUMPRODUCT((파견수련계획!$Q$4:$Q$203=TRIM($J15&amp;""))*(파견수련계획!$AA$4:$AA$203&lt;&gt;"")))&gt;0,"파견수련계획 입력오류 확인",IF(LEFT($Y15,1)="⚠","서울·구리 15일 판정 불가(양쪽 모두 이상/미만)",IF(IF($AC15="",0,N(INDEX(인턴근무계획!$T$3:$T$202,$AC15)))&gt;0,"인턴계획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IF($B15="","",IFERROR(MATCH($B15,기본자료!$B$2:$B$501,0),IFERROR(MATCH($B15&amp;"",기본자료!$B$2:$B$501,0),IFERROR(MATCH(VALUE($B15),기본자료!$B$2:$B$501,0),""))))</f>
        <v/>
      </c>
      <c r="AC15" s="10">
        <f>IF($B15="","",IFERROR(MATCH($B15,인턴근무계획!$D$3:$D$202,0),IFERROR(MATCH($B15&amp;"",인턴근무계획!$D$3:$D$202,0),IFERROR(MATCH(VALUE($B15),인턴근무계획!$D$3:$D$202,0),""))))</f>
        <v/>
      </c>
      <c r="AD15" s="10">
        <f>IF(OR($AC15="",인턴현황!$G$3=""),"",INDEX(인턴근무계획!$M$3:$R$202,$AC15,인턴현황!$G$3)&amp;"")</f>
        <v/>
      </c>
      <c r="AE15" s="10">
        <f>IF($B15="","",IF($M15&lt;&gt;"",$M15,IF($AF15&lt;&gt;"",IF(LEFT(INDEX(파견수련계획!$R$4:$R$203,$AF15),1)&lt;&gt;"⚠",INDEX(파견수련계획!$R$4:$R$203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$203,0),IFERROR(MATCH(TRIM($J15&amp;"")&amp;"|파견예정",파견수련계획!$Y$4:$Y$203,0),IFERROR(MATCH(TRIM($J15&amp;"")&amp;"|파견종료",파견수련계획!$Y$4:$Y$203,0),""))))</f>
        <v/>
      </c>
      <c r="AG15" s="10">
        <f>IF($B15="","",IF(AND(IF(OR($AC15="",인턴현황!$K$2=""),"",INDEX(인턴근무계획!$M$3:$R$202,$AC15,인턴현황!$K$2)&amp;"")&lt;&gt;"",LEFT(IF(OR($AC15="",인턴현황!$K$2=""),"",INDEX(인턴근무계획!$M$3:$R$202,$AC15,인턴현황!$K$2)&amp;""),1)&lt;&gt;"⚠"),LEFT(IF(OR($AC15="",인턴현황!$K$2=""),"",INDEX(인턴근무계획!$M$3:$R$202,$AC15,인턴현황!$K$2)&amp;""),FIND(" ",IF(OR($AC15="",인턴현황!$K$2=""),"",INDEX(인턴근무계획!$M$3:$R$202,$AC15,인턴현황!$K$2)&amp;""))-1),$AE15))</f>
        <v/>
      </c>
      <c r="AH15" s="17">
        <f>IF($B15="","",IF(TRIM($J15&amp;"")="",0,SUMPRODUCT((파견수련계획!$Q$4:$Q$203=TRIM($J15&amp;""))*(파견수련계획!$S$4:$S$203="서울병원")*파견수련계획!$W$4:$W$203))+IF($AG15="서울병원",MAX(0,DAY(EOMONTH(요약!$B$3,0))-N($X15)),0))</f>
        <v/>
      </c>
      <c r="AI15" s="17">
        <f>IF($B15="","",IF(TRIM($J15&amp;"")="",0,SUMPRODUCT((파견수련계획!$Q$4:$Q$203=TRIM($J15&amp;""))*(파견수련계획!$S$4:$S$203="구리병원")*파견수련계획!$W$4:$W$203))+IF($AG15="구리병원",MAX(0,DAY(EOMONTH(요약!$B$3,0))-N($X15)),0))</f>
        <v/>
      </c>
      <c r="AJ15" s="10">
        <f>IF(OR($B15="",TRIM($J15&amp;"")=""),"",IFERROR(MATCH(TRIM($J15&amp;"")&amp;"|월",파견수련계획!$Z$4:$Z$203,0),""))</f>
        <v/>
      </c>
      <c r="AK15" s="10">
        <f>IF(OR($B15="",TRIM($J15&amp;"")=""),"",IFERROR(MATCH(TRIM($J15&amp;"")&amp;"|다기관",파견수련계획!$AE$4:$AE$203,0),""))</f>
        <v/>
      </c>
      <c r="AL15" s="10">
        <f>IF($AK15="","","다기관 "&amp;TEXT(INDEX(파견수련계획!$AB$4:$AB$203,$AK15),"yyyy-mm-dd")&amp;"~"&amp;IF(ISNUMBER(INDEX(파견수련계획!$AC$4:$AC$203,$AK15)),TEXT(INDEX(파견수련계획!$AC$4:$AC$203,$AK15),"yyyy-mm-dd"),""))</f>
        <v/>
      </c>
    </row>
    <row r="16">
      <c r="A16" s="10">
        <f>IF(B16="","",ROW()-1)</f>
        <v/>
      </c>
      <c r="B16" s="18" t="n"/>
      <c r="C16" s="10">
        <f>IF($AB16="","",IF(INDEX(기본자료!$C$2:$C$501,$AB16)="","",INDEX(기본자료!$C$2:$C$501,$AB16)))</f>
        <v/>
      </c>
      <c r="D16" s="10">
        <f>IF($AB16="","",IF(INDEX(기본자료!$J$2:$J$501,$AB16)="","",INDEX(기본자료!$J$2:$J$501,$AB16)))</f>
        <v/>
      </c>
      <c r="E16" s="11">
        <f>IF($AB16="","",IF(INDEX(기본자료!$K$2:$K$501,$AB16)="","",IF(NOT(ISNUMBER(INDEX(기본자료!$K$2:$K$501,$AB16))),INDEX(기본자료!$K$2:$K$501,$AB16),IF(INDEX(기본자료!$K$2:$K$501,$AB16)&lt;1000000,INDEX(기본자료!$K$2:$K$501,$AB16),IF(AND(INDEX(기본자료!$K$2:$K$501,$AB16)&gt;=10000101,INT(MOD(INDEX(기본자료!$K$2:$K$501,$AB16),10000)/100)&gt;=1,INT(MOD(INDEX(기본자료!$K$2:$K$501,$AB16),10000)/100)&lt;=12,MOD(INDEX(기본자료!$K$2:$K$501,$AB16),100)&gt;=1,MOD(INDEX(기본자료!$K$2:$K$501,$AB16),100)&lt;=31),DATE(INT(INDEX(기본자료!$K$2:$K$501,$AB16)/10000),INT(MOD(INDEX(기본자료!$K$2:$K$501,$AB16),10000)/100),MOD(INDEX(기본자료!$K$2:$K$501,$AB16),100)),INDEX(기본자료!$K$2:$K$501,$AB16)&amp;"")))))</f>
        <v/>
      </c>
      <c r="F16" s="10">
        <f>IF($AB16="","",IF(INDEX(기본자료!$D$2:$D$501,$AB16)="","",INDEX(기본자료!$D$2:$D$501,$AB16)))</f>
        <v/>
      </c>
      <c r="G16" s="10">
        <f>IF($AB16="","",IF(INDEX(기본자료!$E$2:$E$501,$AB16)="","",INDEX(기본자료!$E$2:$E$501,$AB16)))</f>
        <v/>
      </c>
      <c r="H16" s="10">
        <f>IF($AB16="","",IF(INDEX(기본자료!$F$2:$F$501,$AB16)="","",INDEX(기본자료!$F$2:$F$501,$AB16)))</f>
        <v/>
      </c>
      <c r="I16" s="11">
        <f>IF($AB16="","",IF(INDEX(기본자료!$G$2:$G$501,$AB16)="","",IF(NOT(ISNUMBER(INDEX(기본자료!$G$2:$G$501,$AB16))),INDEX(기본자료!$G$2:$G$501,$AB16),IF(INDEX(기본자료!$G$2:$G$501,$AB16)&lt;1000000,INDEX(기본자료!$G$2:$G$501,$AB16),IF(AND(INDEX(기본자료!$G$2:$G$501,$AB16)&gt;=10000101,INT(MOD(INDEX(기본자료!$G$2:$G$501,$AB16),10000)/100)&gt;=1,INT(MOD(INDEX(기본자료!$G$2:$G$501,$AB16),10000)/100)&lt;=12,MOD(INDEX(기본자료!$G$2:$G$501,$AB16),100)&gt;=1,MOD(INDEX(기본자료!$G$2:$G$501,$AB16),100)&lt;=31),DATE(INT(INDEX(기본자료!$G$2:$G$501,$AB16)/10000),INT(MOD(INDEX(기본자료!$G$2:$G$501,$AB16),10000)/100),MOD(INDEX(기본자료!$G$2:$G$501,$AB16),100)),INDEX(기본자료!$G$2:$G$501,$AB16)&amp;"")))))</f>
        <v/>
      </c>
      <c r="J16" s="10">
        <f>IF($AB16="","",IF(INDEX(기본자료!$H$2:$H$501,$AB16)="","",INDEX(기본자료!$H$2:$H$501,$AB16)))</f>
        <v/>
      </c>
      <c r="K16" s="10">
        <f>IF($AB16="","",IF(INDEX(기본자료!$I$2:$I$501,$AB16)="","",INDEX(기본자료!$I$2:$I$501,$AB16)))</f>
        <v/>
      </c>
      <c r="L16" s="10">
        <f>IF($AB16="","",IF(INDEX(기본자료!$A$2:$A$501,$AB16)="","",INDEX(기본자료!$A$2:$A$501,$AB16)))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파견수련계획!$AB$4:$AB$203,$AK16),OR(NOT(ISNUMBER(INDEX(파견수련계획!$AC$4:$AC$203,$AK16))),TODAY()&lt;=INDEX(파견수련계획!$AC$4:$AC$203,$AK16))),"다기관",IF($AF16="","",INDEX(파견수련계획!$T$4:$T$203,$AF16))),IF($AF16="","",INDEX(파견수련계획!$T$4:$T$203,$AF16))))</f>
        <v/>
      </c>
      <c r="Q16" s="10">
        <f>IF($AF16="","",INDEX(파견수련계획!$S$4:$S$203,$AF16))</f>
        <v/>
      </c>
      <c r="R16" s="10">
        <f>IF($AF16="","",INDEX(파견수련계획!$U$4:$U$203,$AF16))</f>
        <v/>
      </c>
      <c r="S16" s="11">
        <f>IF($AF16="","",IF(INDEX(파견수련계획!$H$4:$H$203,$AF16)="","",INDEX(파견수련계획!$H$4:$H$203,$AF16)))</f>
        <v/>
      </c>
      <c r="T16" s="11">
        <f>IF($AF16="","",IF(INDEX(파견수련계획!$I$4:$I$203,$AF16)="","",INDEX(파견수련계획!$I$4:$I$203,$AF16)))</f>
        <v/>
      </c>
      <c r="U16" s="10">
        <f>IF($AF16="","",INDEX(파견수련계획!$X$4:$X$203,$AF16))</f>
        <v/>
      </c>
      <c r="V16" s="17">
        <f>IF($AF16="","",INDEX(파견수련계획!$V$4:$V$203,$AF16))</f>
        <v/>
      </c>
      <c r="W16" s="17">
        <f>IF(AND($U16="파견중",$T16&lt;&gt;""),$T16-TODAY(),"")</f>
        <v/>
      </c>
      <c r="X16" s="17">
        <f>IF(OR($B16="",TRIM($J16&amp;"")=""),"",SUMPRODUCT((파견수련계획!$Q$4:$Q$203=TRIM($J16&amp;""))*파견수련계획!$W$4:$W$203))</f>
        <v/>
      </c>
      <c r="Y16" s="10">
        <f>IF($B16="","",IF($AG16="","",IF(IF(TRIM($J16&amp;"")="",0,SUMPRODUCT((파견수련계획!$Q$4:$Q$203=TRIM($J16&amp;""))*파견수련계획!$AD$4:$AD$203))&gt;0,$AE16,IF(N($X16)&lt;=0,$AG16,IF($AH16+$AI16=DAY(EOMONTH(요약!$B$3,0)),IF(AND($AH16&gt;=요약!$E$3,$AI16&lt;요약!$E$3),"서울병원",IF(AND($AI16&gt;=요약!$E$3,$AH16&lt;요약!$E$3),"구리병원","⚠15일 판정불가(서울 "&amp;$AH16&amp;"일/구리 "&amp;$AI16&amp;"일)")),IF($AJ16="",$AE16,IF(INDEX(파견수련계획!$T$4:$T$203,$AJ16)="통합수련",INDEX(파견수련계획!$S$4:$S$203,$AJ16),$AE16)))))))</f>
        <v/>
      </c>
      <c r="Z16" s="19">
        <f>IF($B16="","",IF($AB16="","기본자료에 없는 사번",IF(COUNTIF($B$2:$B$201,$B16)&gt;1,"중복 사번",IF($AE16="","소속(입사장소) 입력",IF(IF(TRIM($J16&amp;"")="",0,SUMPRODUCT((파견수련계획!$Q$4:$Q$203=TRIM($J16&amp;""))*(파견수련계획!$AA$4:$AA$203&lt;&gt;"")))&gt;0,"파견수련계획 입력오류 확인",IF(LEFT($Y16,1)="⚠","서울·구리 15일 판정 불가(양쪽 모두 이상/미만)",IF(IF($AC16="",0,N(INDEX(인턴근무계획!$T$3:$T$202,$AC16)))&gt;0,"인턴계획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IF($B16="","",IFERROR(MATCH($B16,기본자료!$B$2:$B$501,0),IFERROR(MATCH($B16&amp;"",기본자료!$B$2:$B$501,0),IFERROR(MATCH(VALUE($B16),기본자료!$B$2:$B$501,0),""))))</f>
        <v/>
      </c>
      <c r="AC16" s="10">
        <f>IF($B16="","",IFERROR(MATCH($B16,인턴근무계획!$D$3:$D$202,0),IFERROR(MATCH($B16&amp;"",인턴근무계획!$D$3:$D$202,0),IFERROR(MATCH(VALUE($B16),인턴근무계획!$D$3:$D$202,0),""))))</f>
        <v/>
      </c>
      <c r="AD16" s="10">
        <f>IF(OR($AC16="",인턴현황!$G$3=""),"",INDEX(인턴근무계획!$M$3:$R$202,$AC16,인턴현황!$G$3)&amp;"")</f>
        <v/>
      </c>
      <c r="AE16" s="10">
        <f>IF($B16="","",IF($M16&lt;&gt;"",$M16,IF($AF16&lt;&gt;"",IF(LEFT(INDEX(파견수련계획!$R$4:$R$203,$AF16),1)&lt;&gt;"⚠",INDEX(파견수련계획!$R$4:$R$203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$203,0),IFERROR(MATCH(TRIM($J16&amp;"")&amp;"|파견예정",파견수련계획!$Y$4:$Y$203,0),IFERROR(MATCH(TRIM($J16&amp;"")&amp;"|파견종료",파견수련계획!$Y$4:$Y$203,0),""))))</f>
        <v/>
      </c>
      <c r="AG16" s="10">
        <f>IF($B16="","",IF(AND(IF(OR($AC16="",인턴현황!$K$2=""),"",INDEX(인턴근무계획!$M$3:$R$202,$AC16,인턴현황!$K$2)&amp;"")&lt;&gt;"",LEFT(IF(OR($AC16="",인턴현황!$K$2=""),"",INDEX(인턴근무계획!$M$3:$R$202,$AC16,인턴현황!$K$2)&amp;""),1)&lt;&gt;"⚠"),LEFT(IF(OR($AC16="",인턴현황!$K$2=""),"",INDEX(인턴근무계획!$M$3:$R$202,$AC16,인턴현황!$K$2)&amp;""),FIND(" ",IF(OR($AC16="",인턴현황!$K$2=""),"",INDEX(인턴근무계획!$M$3:$R$202,$AC16,인턴현황!$K$2)&amp;""))-1),$AE16))</f>
        <v/>
      </c>
      <c r="AH16" s="17">
        <f>IF($B16="","",IF(TRIM($J16&amp;"")="",0,SUMPRODUCT((파견수련계획!$Q$4:$Q$203=TRIM($J16&amp;""))*(파견수련계획!$S$4:$S$203="서울병원")*파견수련계획!$W$4:$W$203))+IF($AG16="서울병원",MAX(0,DAY(EOMONTH(요약!$B$3,0))-N($X16)),0))</f>
        <v/>
      </c>
      <c r="AI16" s="17">
        <f>IF($B16="","",IF(TRIM($J16&amp;"")="",0,SUMPRODUCT((파견수련계획!$Q$4:$Q$203=TRIM($J16&amp;""))*(파견수련계획!$S$4:$S$203="구리병원")*파견수련계획!$W$4:$W$203))+IF($AG16="구리병원",MAX(0,DAY(EOMONTH(요약!$B$3,0))-N($X16)),0))</f>
        <v/>
      </c>
      <c r="AJ16" s="10">
        <f>IF(OR($B16="",TRIM($J16&amp;"")=""),"",IFERROR(MATCH(TRIM($J16&amp;"")&amp;"|월",파견수련계획!$Z$4:$Z$203,0),""))</f>
        <v/>
      </c>
      <c r="AK16" s="10">
        <f>IF(OR($B16="",TRIM($J16&amp;"")=""),"",IFERROR(MATCH(TRIM($J16&amp;"")&amp;"|다기관",파견수련계획!$AE$4:$AE$203,0),""))</f>
        <v/>
      </c>
      <c r="AL16" s="10">
        <f>IF($AK16="","","다기관 "&amp;TEXT(INDEX(파견수련계획!$AB$4:$AB$203,$AK16),"yyyy-mm-dd")&amp;"~"&amp;IF(ISNUMBER(INDEX(파견수련계획!$AC$4:$AC$203,$AK16)),TEXT(INDEX(파견수련계획!$AC$4:$AC$203,$AK16),"yyyy-mm-dd"),""))</f>
        <v/>
      </c>
    </row>
    <row r="17">
      <c r="A17" s="10">
        <f>IF(B17="","",ROW()-1)</f>
        <v/>
      </c>
      <c r="B17" s="18" t="n"/>
      <c r="C17" s="10">
        <f>IF($AB17="","",IF(INDEX(기본자료!$C$2:$C$501,$AB17)="","",INDEX(기본자료!$C$2:$C$501,$AB17)))</f>
        <v/>
      </c>
      <c r="D17" s="10">
        <f>IF($AB17="","",IF(INDEX(기본자료!$J$2:$J$501,$AB17)="","",INDEX(기본자료!$J$2:$J$501,$AB17)))</f>
        <v/>
      </c>
      <c r="E17" s="11">
        <f>IF($AB17="","",IF(INDEX(기본자료!$K$2:$K$501,$AB17)="","",IF(NOT(ISNUMBER(INDEX(기본자료!$K$2:$K$501,$AB17))),INDEX(기본자료!$K$2:$K$501,$AB17),IF(INDEX(기본자료!$K$2:$K$501,$AB17)&lt;1000000,INDEX(기본자료!$K$2:$K$501,$AB17),IF(AND(INDEX(기본자료!$K$2:$K$501,$AB17)&gt;=10000101,INT(MOD(INDEX(기본자료!$K$2:$K$501,$AB17),10000)/100)&gt;=1,INT(MOD(INDEX(기본자료!$K$2:$K$501,$AB17),10000)/100)&lt;=12,MOD(INDEX(기본자료!$K$2:$K$501,$AB17),100)&gt;=1,MOD(INDEX(기본자료!$K$2:$K$501,$AB17),100)&lt;=31),DATE(INT(INDEX(기본자료!$K$2:$K$501,$AB17)/10000),INT(MOD(INDEX(기본자료!$K$2:$K$501,$AB17),10000)/100),MOD(INDEX(기본자료!$K$2:$K$501,$AB17),100)),INDEX(기본자료!$K$2:$K$501,$AB17)&amp;"")))))</f>
        <v/>
      </c>
      <c r="F17" s="10">
        <f>IF($AB17="","",IF(INDEX(기본자료!$D$2:$D$501,$AB17)="","",INDEX(기본자료!$D$2:$D$501,$AB17)))</f>
        <v/>
      </c>
      <c r="G17" s="10">
        <f>IF($AB17="","",IF(INDEX(기본자료!$E$2:$E$501,$AB17)="","",INDEX(기본자료!$E$2:$E$501,$AB17)))</f>
        <v/>
      </c>
      <c r="H17" s="10">
        <f>IF($AB17="","",IF(INDEX(기본자료!$F$2:$F$501,$AB17)="","",INDEX(기본자료!$F$2:$F$501,$AB17)))</f>
        <v/>
      </c>
      <c r="I17" s="11">
        <f>IF($AB17="","",IF(INDEX(기본자료!$G$2:$G$501,$AB17)="","",IF(NOT(ISNUMBER(INDEX(기본자료!$G$2:$G$501,$AB17))),INDEX(기본자료!$G$2:$G$501,$AB17),IF(INDEX(기본자료!$G$2:$G$501,$AB17)&lt;1000000,INDEX(기본자료!$G$2:$G$501,$AB17),IF(AND(INDEX(기본자료!$G$2:$G$501,$AB17)&gt;=10000101,INT(MOD(INDEX(기본자료!$G$2:$G$501,$AB17),10000)/100)&gt;=1,INT(MOD(INDEX(기본자료!$G$2:$G$501,$AB17),10000)/100)&lt;=12,MOD(INDEX(기본자료!$G$2:$G$501,$AB17),100)&gt;=1,MOD(INDEX(기본자료!$G$2:$G$501,$AB17),100)&lt;=31),DATE(INT(INDEX(기본자료!$G$2:$G$501,$AB17)/10000),INT(MOD(INDEX(기본자료!$G$2:$G$501,$AB17),10000)/100),MOD(INDEX(기본자료!$G$2:$G$501,$AB17),100)),INDEX(기본자료!$G$2:$G$501,$AB17)&amp;"")))))</f>
        <v/>
      </c>
      <c r="J17" s="10">
        <f>IF($AB17="","",IF(INDEX(기본자료!$H$2:$H$501,$AB17)="","",INDEX(기본자료!$H$2:$H$501,$AB17)))</f>
        <v/>
      </c>
      <c r="K17" s="10">
        <f>IF($AB17="","",IF(INDEX(기본자료!$I$2:$I$501,$AB17)="","",INDEX(기본자료!$I$2:$I$501,$AB17)))</f>
        <v/>
      </c>
      <c r="L17" s="10">
        <f>IF($AB17="","",IF(INDEX(기본자료!$A$2:$A$501,$AB17)="","",INDEX(기본자료!$A$2:$A$501,$AB17)))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파견수련계획!$AB$4:$AB$203,$AK17),OR(NOT(ISNUMBER(INDEX(파견수련계획!$AC$4:$AC$203,$AK17))),TODAY()&lt;=INDEX(파견수련계획!$AC$4:$AC$203,$AK17))),"다기관",IF($AF17="","",INDEX(파견수련계획!$T$4:$T$203,$AF17))),IF($AF17="","",INDEX(파견수련계획!$T$4:$T$203,$AF17))))</f>
        <v/>
      </c>
      <c r="Q17" s="10">
        <f>IF($AF17="","",INDEX(파견수련계획!$S$4:$S$203,$AF17))</f>
        <v/>
      </c>
      <c r="R17" s="10">
        <f>IF($AF17="","",INDEX(파견수련계획!$U$4:$U$203,$AF17))</f>
        <v/>
      </c>
      <c r="S17" s="11">
        <f>IF($AF17="","",IF(INDEX(파견수련계획!$H$4:$H$203,$AF17)="","",INDEX(파견수련계획!$H$4:$H$203,$AF17)))</f>
        <v/>
      </c>
      <c r="T17" s="11">
        <f>IF($AF17="","",IF(INDEX(파견수련계획!$I$4:$I$203,$AF17)="","",INDEX(파견수련계획!$I$4:$I$203,$AF17)))</f>
        <v/>
      </c>
      <c r="U17" s="10">
        <f>IF($AF17="","",INDEX(파견수련계획!$X$4:$X$203,$AF17))</f>
        <v/>
      </c>
      <c r="V17" s="17">
        <f>IF($AF17="","",INDEX(파견수련계획!$V$4:$V$203,$AF17))</f>
        <v/>
      </c>
      <c r="W17" s="17">
        <f>IF(AND($U17="파견중",$T17&lt;&gt;""),$T17-TODAY(),"")</f>
        <v/>
      </c>
      <c r="X17" s="17">
        <f>IF(OR($B17="",TRIM($J17&amp;"")=""),"",SUMPRODUCT((파견수련계획!$Q$4:$Q$203=TRIM($J17&amp;""))*파견수련계획!$W$4:$W$203))</f>
        <v/>
      </c>
      <c r="Y17" s="10">
        <f>IF($B17="","",IF($AG17="","",IF(IF(TRIM($J17&amp;"")="",0,SUMPRODUCT((파견수련계획!$Q$4:$Q$203=TRIM($J17&amp;""))*파견수련계획!$AD$4:$AD$203))&gt;0,$AE17,IF(N($X17)&lt;=0,$AG17,IF($AH17+$AI17=DAY(EOMONTH(요약!$B$3,0)),IF(AND($AH17&gt;=요약!$E$3,$AI17&lt;요약!$E$3),"서울병원",IF(AND($AI17&gt;=요약!$E$3,$AH17&lt;요약!$E$3),"구리병원","⚠15일 판정불가(서울 "&amp;$AH17&amp;"일/구리 "&amp;$AI17&amp;"일)")),IF($AJ17="",$AE17,IF(INDEX(파견수련계획!$T$4:$T$203,$AJ17)="통합수련",INDEX(파견수련계획!$S$4:$S$203,$AJ17),$AE17)))))))</f>
        <v/>
      </c>
      <c r="Z17" s="19">
        <f>IF($B17="","",IF($AB17="","기본자료에 없는 사번",IF(COUNTIF($B$2:$B$201,$B17)&gt;1,"중복 사번",IF($AE17="","소속(입사장소) 입력",IF(IF(TRIM($J17&amp;"")="",0,SUMPRODUCT((파견수련계획!$Q$4:$Q$203=TRIM($J17&amp;""))*(파견수련계획!$AA$4:$AA$203&lt;&gt;"")))&gt;0,"파견수련계획 입력오류 확인",IF(LEFT($Y17,1)="⚠","서울·구리 15일 판정 불가(양쪽 모두 이상/미만)",IF(IF($AC17="",0,N(INDEX(인턴근무계획!$T$3:$T$202,$AC17)))&gt;0,"인턴계획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IF($B17="","",IFERROR(MATCH($B17,기본자료!$B$2:$B$501,0),IFERROR(MATCH($B17&amp;"",기본자료!$B$2:$B$501,0),IFERROR(MATCH(VALUE($B17),기본자료!$B$2:$B$501,0),""))))</f>
        <v/>
      </c>
      <c r="AC17" s="10">
        <f>IF($B17="","",IFERROR(MATCH($B17,인턴근무계획!$D$3:$D$202,0),IFERROR(MATCH($B17&amp;"",인턴근무계획!$D$3:$D$202,0),IFERROR(MATCH(VALUE($B17),인턴근무계획!$D$3:$D$202,0),""))))</f>
        <v/>
      </c>
      <c r="AD17" s="10">
        <f>IF(OR($AC17="",인턴현황!$G$3=""),"",INDEX(인턴근무계획!$M$3:$R$202,$AC17,인턴현황!$G$3)&amp;"")</f>
        <v/>
      </c>
      <c r="AE17" s="10">
        <f>IF($B17="","",IF($M17&lt;&gt;"",$M17,IF($AF17&lt;&gt;"",IF(LEFT(INDEX(파견수련계획!$R$4:$R$203,$AF17),1)&lt;&gt;"⚠",INDEX(파견수련계획!$R$4:$R$203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$203,0),IFERROR(MATCH(TRIM($J17&amp;"")&amp;"|파견예정",파견수련계획!$Y$4:$Y$203,0),IFERROR(MATCH(TRIM($J17&amp;"")&amp;"|파견종료",파견수련계획!$Y$4:$Y$203,0),""))))</f>
        <v/>
      </c>
      <c r="AG17" s="10">
        <f>IF($B17="","",IF(AND(IF(OR($AC17="",인턴현황!$K$2=""),"",INDEX(인턴근무계획!$M$3:$R$202,$AC17,인턴현황!$K$2)&amp;"")&lt;&gt;"",LEFT(IF(OR($AC17="",인턴현황!$K$2=""),"",INDEX(인턴근무계획!$M$3:$R$202,$AC17,인턴현황!$K$2)&amp;""),1)&lt;&gt;"⚠"),LEFT(IF(OR($AC17="",인턴현황!$K$2=""),"",INDEX(인턴근무계획!$M$3:$R$202,$AC17,인턴현황!$K$2)&amp;""),FIND(" ",IF(OR($AC17="",인턴현황!$K$2=""),"",INDEX(인턴근무계획!$M$3:$R$202,$AC17,인턴현황!$K$2)&amp;""))-1),$AE17))</f>
        <v/>
      </c>
      <c r="AH17" s="17">
        <f>IF($B17="","",IF(TRIM($J17&amp;"")="",0,SUMPRODUCT((파견수련계획!$Q$4:$Q$203=TRIM($J17&amp;""))*(파견수련계획!$S$4:$S$203="서울병원")*파견수련계획!$W$4:$W$203))+IF($AG17="서울병원",MAX(0,DAY(EOMONTH(요약!$B$3,0))-N($X17)),0))</f>
        <v/>
      </c>
      <c r="AI17" s="17">
        <f>IF($B17="","",IF(TRIM($J17&amp;"")="",0,SUMPRODUCT((파견수련계획!$Q$4:$Q$203=TRIM($J17&amp;""))*(파견수련계획!$S$4:$S$203="구리병원")*파견수련계획!$W$4:$W$203))+IF($AG17="구리병원",MAX(0,DAY(EOMONTH(요약!$B$3,0))-N($X17)),0))</f>
        <v/>
      </c>
      <c r="AJ17" s="10">
        <f>IF(OR($B17="",TRIM($J17&amp;"")=""),"",IFERROR(MATCH(TRIM($J17&amp;"")&amp;"|월",파견수련계획!$Z$4:$Z$203,0),""))</f>
        <v/>
      </c>
      <c r="AK17" s="10">
        <f>IF(OR($B17="",TRIM($J17&amp;"")=""),"",IFERROR(MATCH(TRIM($J17&amp;"")&amp;"|다기관",파견수련계획!$AE$4:$AE$203,0),""))</f>
        <v/>
      </c>
      <c r="AL17" s="10">
        <f>IF($AK17="","","다기관 "&amp;TEXT(INDEX(파견수련계획!$AB$4:$AB$203,$AK17),"yyyy-mm-dd")&amp;"~"&amp;IF(ISNUMBER(INDEX(파견수련계획!$AC$4:$AC$203,$AK17)),TEXT(INDEX(파견수련계획!$AC$4:$AC$203,$AK17),"yyyy-mm-dd"),""))</f>
        <v/>
      </c>
    </row>
    <row r="18">
      <c r="A18" s="10">
        <f>IF(B18="","",ROW()-1)</f>
        <v/>
      </c>
      <c r="B18" s="18" t="n"/>
      <c r="C18" s="10">
        <f>IF($AB18="","",IF(INDEX(기본자료!$C$2:$C$501,$AB18)="","",INDEX(기본자료!$C$2:$C$501,$AB18)))</f>
        <v/>
      </c>
      <c r="D18" s="10">
        <f>IF($AB18="","",IF(INDEX(기본자료!$J$2:$J$501,$AB18)="","",INDEX(기본자료!$J$2:$J$501,$AB18)))</f>
        <v/>
      </c>
      <c r="E18" s="11">
        <f>IF($AB18="","",IF(INDEX(기본자료!$K$2:$K$501,$AB18)="","",IF(NOT(ISNUMBER(INDEX(기본자료!$K$2:$K$501,$AB18))),INDEX(기본자료!$K$2:$K$501,$AB18),IF(INDEX(기본자료!$K$2:$K$501,$AB18)&lt;1000000,INDEX(기본자료!$K$2:$K$501,$AB18),IF(AND(INDEX(기본자료!$K$2:$K$501,$AB18)&gt;=10000101,INT(MOD(INDEX(기본자료!$K$2:$K$501,$AB18),10000)/100)&gt;=1,INT(MOD(INDEX(기본자료!$K$2:$K$501,$AB18),10000)/100)&lt;=12,MOD(INDEX(기본자료!$K$2:$K$501,$AB18),100)&gt;=1,MOD(INDEX(기본자료!$K$2:$K$501,$AB18),100)&lt;=31),DATE(INT(INDEX(기본자료!$K$2:$K$501,$AB18)/10000),INT(MOD(INDEX(기본자료!$K$2:$K$501,$AB18),10000)/100),MOD(INDEX(기본자료!$K$2:$K$501,$AB18),100)),INDEX(기본자료!$K$2:$K$501,$AB18)&amp;"")))))</f>
        <v/>
      </c>
      <c r="F18" s="10">
        <f>IF($AB18="","",IF(INDEX(기본자료!$D$2:$D$501,$AB18)="","",INDEX(기본자료!$D$2:$D$501,$AB18)))</f>
        <v/>
      </c>
      <c r="G18" s="10">
        <f>IF($AB18="","",IF(INDEX(기본자료!$E$2:$E$501,$AB18)="","",INDEX(기본자료!$E$2:$E$501,$AB18)))</f>
        <v/>
      </c>
      <c r="H18" s="10">
        <f>IF($AB18="","",IF(INDEX(기본자료!$F$2:$F$501,$AB18)="","",INDEX(기본자료!$F$2:$F$501,$AB18)))</f>
        <v/>
      </c>
      <c r="I18" s="11">
        <f>IF($AB18="","",IF(INDEX(기본자료!$G$2:$G$501,$AB18)="","",IF(NOT(ISNUMBER(INDEX(기본자료!$G$2:$G$501,$AB18))),INDEX(기본자료!$G$2:$G$501,$AB18),IF(INDEX(기본자료!$G$2:$G$501,$AB18)&lt;1000000,INDEX(기본자료!$G$2:$G$501,$AB18),IF(AND(INDEX(기본자료!$G$2:$G$501,$AB18)&gt;=10000101,INT(MOD(INDEX(기본자료!$G$2:$G$501,$AB18),10000)/100)&gt;=1,INT(MOD(INDEX(기본자료!$G$2:$G$501,$AB18),10000)/100)&lt;=12,MOD(INDEX(기본자료!$G$2:$G$501,$AB18),100)&gt;=1,MOD(INDEX(기본자료!$G$2:$G$501,$AB18),100)&lt;=31),DATE(INT(INDEX(기본자료!$G$2:$G$501,$AB18)/10000),INT(MOD(INDEX(기본자료!$G$2:$G$501,$AB18),10000)/100),MOD(INDEX(기본자료!$G$2:$G$501,$AB18),100)),INDEX(기본자료!$G$2:$G$501,$AB18)&amp;"")))))</f>
        <v/>
      </c>
      <c r="J18" s="10">
        <f>IF($AB18="","",IF(INDEX(기본자료!$H$2:$H$501,$AB18)="","",INDEX(기본자료!$H$2:$H$501,$AB18)))</f>
        <v/>
      </c>
      <c r="K18" s="10">
        <f>IF($AB18="","",IF(INDEX(기본자료!$I$2:$I$501,$AB18)="","",INDEX(기본자료!$I$2:$I$501,$AB18)))</f>
        <v/>
      </c>
      <c r="L18" s="10">
        <f>IF($AB18="","",IF(INDEX(기본자료!$A$2:$A$501,$AB18)="","",INDEX(기본자료!$A$2:$A$501,$AB18)))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파견수련계획!$AB$4:$AB$203,$AK18),OR(NOT(ISNUMBER(INDEX(파견수련계획!$AC$4:$AC$203,$AK18))),TODAY()&lt;=INDEX(파견수련계획!$AC$4:$AC$203,$AK18))),"다기관",IF($AF18="","",INDEX(파견수련계획!$T$4:$T$203,$AF18))),IF($AF18="","",INDEX(파견수련계획!$T$4:$T$203,$AF18))))</f>
        <v/>
      </c>
      <c r="Q18" s="10">
        <f>IF($AF18="","",INDEX(파견수련계획!$S$4:$S$203,$AF18))</f>
        <v/>
      </c>
      <c r="R18" s="10">
        <f>IF($AF18="","",INDEX(파견수련계획!$U$4:$U$203,$AF18))</f>
        <v/>
      </c>
      <c r="S18" s="11">
        <f>IF($AF18="","",IF(INDEX(파견수련계획!$H$4:$H$203,$AF18)="","",INDEX(파견수련계획!$H$4:$H$203,$AF18)))</f>
        <v/>
      </c>
      <c r="T18" s="11">
        <f>IF($AF18="","",IF(INDEX(파견수련계획!$I$4:$I$203,$AF18)="","",INDEX(파견수련계획!$I$4:$I$203,$AF18)))</f>
        <v/>
      </c>
      <c r="U18" s="10">
        <f>IF($AF18="","",INDEX(파견수련계획!$X$4:$X$203,$AF18))</f>
        <v/>
      </c>
      <c r="V18" s="17">
        <f>IF($AF18="","",INDEX(파견수련계획!$V$4:$V$203,$AF18))</f>
        <v/>
      </c>
      <c r="W18" s="17">
        <f>IF(AND($U18="파견중",$T18&lt;&gt;""),$T18-TODAY(),"")</f>
        <v/>
      </c>
      <c r="X18" s="17">
        <f>IF(OR($B18="",TRIM($J18&amp;"")=""),"",SUMPRODUCT((파견수련계획!$Q$4:$Q$203=TRIM($J18&amp;""))*파견수련계획!$W$4:$W$203))</f>
        <v/>
      </c>
      <c r="Y18" s="10">
        <f>IF($B18="","",IF($AG18="","",IF(IF(TRIM($J18&amp;"")="",0,SUMPRODUCT((파견수련계획!$Q$4:$Q$203=TRIM($J18&amp;""))*파견수련계획!$AD$4:$AD$203))&gt;0,$AE18,IF(N($X18)&lt;=0,$AG18,IF($AH18+$AI18=DAY(EOMONTH(요약!$B$3,0)),IF(AND($AH18&gt;=요약!$E$3,$AI18&lt;요약!$E$3),"서울병원",IF(AND($AI18&gt;=요약!$E$3,$AH18&lt;요약!$E$3),"구리병원","⚠15일 판정불가(서울 "&amp;$AH18&amp;"일/구리 "&amp;$AI18&amp;"일)")),IF($AJ18="",$AE18,IF(INDEX(파견수련계획!$T$4:$T$203,$AJ18)="통합수련",INDEX(파견수련계획!$S$4:$S$203,$AJ18),$AE18)))))))</f>
        <v/>
      </c>
      <c r="Z18" s="19">
        <f>IF($B18="","",IF($AB18="","기본자료에 없는 사번",IF(COUNTIF($B$2:$B$201,$B18)&gt;1,"중복 사번",IF($AE18="","소속(입사장소) 입력",IF(IF(TRIM($J18&amp;"")="",0,SUMPRODUCT((파견수련계획!$Q$4:$Q$203=TRIM($J18&amp;""))*(파견수련계획!$AA$4:$AA$203&lt;&gt;"")))&gt;0,"파견수련계획 입력오류 확인",IF(LEFT($Y18,1)="⚠","서울·구리 15일 판정 불가(양쪽 모두 이상/미만)",IF(IF($AC18="",0,N(INDEX(인턴근무계획!$T$3:$T$202,$AC18)))&gt;0,"인턴계획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IF($B18="","",IFERROR(MATCH($B18,기본자료!$B$2:$B$501,0),IFERROR(MATCH($B18&amp;"",기본자료!$B$2:$B$501,0),IFERROR(MATCH(VALUE($B18),기본자료!$B$2:$B$501,0),""))))</f>
        <v/>
      </c>
      <c r="AC18" s="10">
        <f>IF($B18="","",IFERROR(MATCH($B18,인턴근무계획!$D$3:$D$202,0),IFERROR(MATCH($B18&amp;"",인턴근무계획!$D$3:$D$202,0),IFERROR(MATCH(VALUE($B18),인턴근무계획!$D$3:$D$202,0),""))))</f>
        <v/>
      </c>
      <c r="AD18" s="10">
        <f>IF(OR($AC18="",인턴현황!$G$3=""),"",INDEX(인턴근무계획!$M$3:$R$202,$AC18,인턴현황!$G$3)&amp;"")</f>
        <v/>
      </c>
      <c r="AE18" s="10">
        <f>IF($B18="","",IF($M18&lt;&gt;"",$M18,IF($AF18&lt;&gt;"",IF(LEFT(INDEX(파견수련계획!$R$4:$R$203,$AF18),1)&lt;&gt;"⚠",INDEX(파견수련계획!$R$4:$R$203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$203,0),IFERROR(MATCH(TRIM($J18&amp;"")&amp;"|파견예정",파견수련계획!$Y$4:$Y$203,0),IFERROR(MATCH(TRIM($J18&amp;"")&amp;"|파견종료",파견수련계획!$Y$4:$Y$203,0),""))))</f>
        <v/>
      </c>
      <c r="AG18" s="10">
        <f>IF($B18="","",IF(AND(IF(OR($AC18="",인턴현황!$K$2=""),"",INDEX(인턴근무계획!$M$3:$R$202,$AC18,인턴현황!$K$2)&amp;"")&lt;&gt;"",LEFT(IF(OR($AC18="",인턴현황!$K$2=""),"",INDEX(인턴근무계획!$M$3:$R$202,$AC18,인턴현황!$K$2)&amp;""),1)&lt;&gt;"⚠"),LEFT(IF(OR($AC18="",인턴현황!$K$2=""),"",INDEX(인턴근무계획!$M$3:$R$202,$AC18,인턴현황!$K$2)&amp;""),FIND(" ",IF(OR($AC18="",인턴현황!$K$2=""),"",INDEX(인턴근무계획!$M$3:$R$202,$AC18,인턴현황!$K$2)&amp;""))-1),$AE18))</f>
        <v/>
      </c>
      <c r="AH18" s="17">
        <f>IF($B18="","",IF(TRIM($J18&amp;"")="",0,SUMPRODUCT((파견수련계획!$Q$4:$Q$203=TRIM($J18&amp;""))*(파견수련계획!$S$4:$S$203="서울병원")*파견수련계획!$W$4:$W$203))+IF($AG18="서울병원",MAX(0,DAY(EOMONTH(요약!$B$3,0))-N($X18)),0))</f>
        <v/>
      </c>
      <c r="AI18" s="17">
        <f>IF($B18="","",IF(TRIM($J18&amp;"")="",0,SUMPRODUCT((파견수련계획!$Q$4:$Q$203=TRIM($J18&amp;""))*(파견수련계획!$S$4:$S$203="구리병원")*파견수련계획!$W$4:$W$203))+IF($AG18="구리병원",MAX(0,DAY(EOMONTH(요약!$B$3,0))-N($X18)),0))</f>
        <v/>
      </c>
      <c r="AJ18" s="10">
        <f>IF(OR($B18="",TRIM($J18&amp;"")=""),"",IFERROR(MATCH(TRIM($J18&amp;"")&amp;"|월",파견수련계획!$Z$4:$Z$203,0),""))</f>
        <v/>
      </c>
      <c r="AK18" s="10">
        <f>IF(OR($B18="",TRIM($J18&amp;"")=""),"",IFERROR(MATCH(TRIM($J18&amp;"")&amp;"|다기관",파견수련계획!$AE$4:$AE$203,0),""))</f>
        <v/>
      </c>
      <c r="AL18" s="10">
        <f>IF($AK18="","","다기관 "&amp;TEXT(INDEX(파견수련계획!$AB$4:$AB$203,$AK18),"yyyy-mm-dd")&amp;"~"&amp;IF(ISNUMBER(INDEX(파견수련계획!$AC$4:$AC$203,$AK18)),TEXT(INDEX(파견수련계획!$AC$4:$AC$203,$AK18),"yyyy-mm-dd"),""))</f>
        <v/>
      </c>
    </row>
    <row r="19">
      <c r="A19" s="10">
        <f>IF(B19="","",ROW()-1)</f>
        <v/>
      </c>
      <c r="B19" s="18" t="n"/>
      <c r="C19" s="10">
        <f>IF($AB19="","",IF(INDEX(기본자료!$C$2:$C$501,$AB19)="","",INDEX(기본자료!$C$2:$C$501,$AB19)))</f>
        <v/>
      </c>
      <c r="D19" s="10">
        <f>IF($AB19="","",IF(INDEX(기본자료!$J$2:$J$501,$AB19)="","",INDEX(기본자료!$J$2:$J$501,$AB19)))</f>
        <v/>
      </c>
      <c r="E19" s="11">
        <f>IF($AB19="","",IF(INDEX(기본자료!$K$2:$K$501,$AB19)="","",IF(NOT(ISNUMBER(INDEX(기본자료!$K$2:$K$501,$AB19))),INDEX(기본자료!$K$2:$K$501,$AB19),IF(INDEX(기본자료!$K$2:$K$501,$AB19)&lt;1000000,INDEX(기본자료!$K$2:$K$501,$AB19),IF(AND(INDEX(기본자료!$K$2:$K$501,$AB19)&gt;=10000101,INT(MOD(INDEX(기본자료!$K$2:$K$501,$AB19),10000)/100)&gt;=1,INT(MOD(INDEX(기본자료!$K$2:$K$501,$AB19),10000)/100)&lt;=12,MOD(INDEX(기본자료!$K$2:$K$501,$AB19),100)&gt;=1,MOD(INDEX(기본자료!$K$2:$K$501,$AB19),100)&lt;=31),DATE(INT(INDEX(기본자료!$K$2:$K$501,$AB19)/10000),INT(MOD(INDEX(기본자료!$K$2:$K$501,$AB19),10000)/100),MOD(INDEX(기본자료!$K$2:$K$501,$AB19),100)),INDEX(기본자료!$K$2:$K$501,$AB19)&amp;"")))))</f>
        <v/>
      </c>
      <c r="F19" s="10">
        <f>IF($AB19="","",IF(INDEX(기본자료!$D$2:$D$501,$AB19)="","",INDEX(기본자료!$D$2:$D$501,$AB19)))</f>
        <v/>
      </c>
      <c r="G19" s="10">
        <f>IF($AB19="","",IF(INDEX(기본자료!$E$2:$E$501,$AB19)="","",INDEX(기본자료!$E$2:$E$501,$AB19)))</f>
        <v/>
      </c>
      <c r="H19" s="10">
        <f>IF($AB19="","",IF(INDEX(기본자료!$F$2:$F$501,$AB19)="","",INDEX(기본자료!$F$2:$F$501,$AB19)))</f>
        <v/>
      </c>
      <c r="I19" s="11">
        <f>IF($AB19="","",IF(INDEX(기본자료!$G$2:$G$501,$AB19)="","",IF(NOT(ISNUMBER(INDEX(기본자료!$G$2:$G$501,$AB19))),INDEX(기본자료!$G$2:$G$501,$AB19),IF(INDEX(기본자료!$G$2:$G$501,$AB19)&lt;1000000,INDEX(기본자료!$G$2:$G$501,$AB19),IF(AND(INDEX(기본자료!$G$2:$G$501,$AB19)&gt;=10000101,INT(MOD(INDEX(기본자료!$G$2:$G$501,$AB19),10000)/100)&gt;=1,INT(MOD(INDEX(기본자료!$G$2:$G$501,$AB19),10000)/100)&lt;=12,MOD(INDEX(기본자료!$G$2:$G$501,$AB19),100)&gt;=1,MOD(INDEX(기본자료!$G$2:$G$501,$AB19),100)&lt;=31),DATE(INT(INDEX(기본자료!$G$2:$G$501,$AB19)/10000),INT(MOD(INDEX(기본자료!$G$2:$G$501,$AB19),10000)/100),MOD(INDEX(기본자료!$G$2:$G$501,$AB19),100)),INDEX(기본자료!$G$2:$G$501,$AB19)&amp;"")))))</f>
        <v/>
      </c>
      <c r="J19" s="10">
        <f>IF($AB19="","",IF(INDEX(기본자료!$H$2:$H$501,$AB19)="","",INDEX(기본자료!$H$2:$H$501,$AB19)))</f>
        <v/>
      </c>
      <c r="K19" s="10">
        <f>IF($AB19="","",IF(INDEX(기본자료!$I$2:$I$501,$AB19)="","",INDEX(기본자료!$I$2:$I$501,$AB19)))</f>
        <v/>
      </c>
      <c r="L19" s="10">
        <f>IF($AB19="","",IF(INDEX(기본자료!$A$2:$A$501,$AB19)="","",INDEX(기본자료!$A$2:$A$501,$AB19)))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파견수련계획!$AB$4:$AB$203,$AK19),OR(NOT(ISNUMBER(INDEX(파견수련계획!$AC$4:$AC$203,$AK19))),TODAY()&lt;=INDEX(파견수련계획!$AC$4:$AC$203,$AK19))),"다기관",IF($AF19="","",INDEX(파견수련계획!$T$4:$T$203,$AF19))),IF($AF19="","",INDEX(파견수련계획!$T$4:$T$203,$AF19))))</f>
        <v/>
      </c>
      <c r="Q19" s="10">
        <f>IF($AF19="","",INDEX(파견수련계획!$S$4:$S$203,$AF19))</f>
        <v/>
      </c>
      <c r="R19" s="10">
        <f>IF($AF19="","",INDEX(파견수련계획!$U$4:$U$203,$AF19))</f>
        <v/>
      </c>
      <c r="S19" s="11">
        <f>IF($AF19="","",IF(INDEX(파견수련계획!$H$4:$H$203,$AF19)="","",INDEX(파견수련계획!$H$4:$H$203,$AF19)))</f>
        <v/>
      </c>
      <c r="T19" s="11">
        <f>IF($AF19="","",IF(INDEX(파견수련계획!$I$4:$I$203,$AF19)="","",INDEX(파견수련계획!$I$4:$I$203,$AF19)))</f>
        <v/>
      </c>
      <c r="U19" s="10">
        <f>IF($AF19="","",INDEX(파견수련계획!$X$4:$X$203,$AF19))</f>
        <v/>
      </c>
      <c r="V19" s="17">
        <f>IF($AF19="","",INDEX(파견수련계획!$V$4:$V$203,$AF19))</f>
        <v/>
      </c>
      <c r="W19" s="17">
        <f>IF(AND($U19="파견중",$T19&lt;&gt;""),$T19-TODAY(),"")</f>
        <v/>
      </c>
      <c r="X19" s="17">
        <f>IF(OR($B19="",TRIM($J19&amp;"")=""),"",SUMPRODUCT((파견수련계획!$Q$4:$Q$203=TRIM($J19&amp;""))*파견수련계획!$W$4:$W$203))</f>
        <v/>
      </c>
      <c r="Y19" s="10">
        <f>IF($B19="","",IF($AG19="","",IF(IF(TRIM($J19&amp;"")="",0,SUMPRODUCT((파견수련계획!$Q$4:$Q$203=TRIM($J19&amp;""))*파견수련계획!$AD$4:$AD$203))&gt;0,$AE19,IF(N($X19)&lt;=0,$AG19,IF($AH19+$AI19=DAY(EOMONTH(요약!$B$3,0)),IF(AND($AH19&gt;=요약!$E$3,$AI19&lt;요약!$E$3),"서울병원",IF(AND($AI19&gt;=요약!$E$3,$AH19&lt;요약!$E$3),"구리병원","⚠15일 판정불가(서울 "&amp;$AH19&amp;"일/구리 "&amp;$AI19&amp;"일)")),IF($AJ19="",$AE19,IF(INDEX(파견수련계획!$T$4:$T$203,$AJ19)="통합수련",INDEX(파견수련계획!$S$4:$S$203,$AJ19),$AE19)))))))</f>
        <v/>
      </c>
      <c r="Z19" s="19">
        <f>IF($B19="","",IF($AB19="","기본자료에 없는 사번",IF(COUNTIF($B$2:$B$201,$B19)&gt;1,"중복 사번",IF($AE19="","소속(입사장소) 입력",IF(IF(TRIM($J19&amp;"")="",0,SUMPRODUCT((파견수련계획!$Q$4:$Q$203=TRIM($J19&amp;""))*(파견수련계획!$AA$4:$AA$203&lt;&gt;"")))&gt;0,"파견수련계획 입력오류 확인",IF(LEFT($Y19,1)="⚠","서울·구리 15일 판정 불가(양쪽 모두 이상/미만)",IF(IF($AC19="",0,N(INDEX(인턴근무계획!$T$3:$T$202,$AC19)))&gt;0,"인턴계획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IF($B19="","",IFERROR(MATCH($B19,기본자료!$B$2:$B$501,0),IFERROR(MATCH($B19&amp;"",기본자료!$B$2:$B$501,0),IFERROR(MATCH(VALUE($B19),기본자료!$B$2:$B$501,0),""))))</f>
        <v/>
      </c>
      <c r="AC19" s="10">
        <f>IF($B19="","",IFERROR(MATCH($B19,인턴근무계획!$D$3:$D$202,0),IFERROR(MATCH($B19&amp;"",인턴근무계획!$D$3:$D$202,0),IFERROR(MATCH(VALUE($B19),인턴근무계획!$D$3:$D$202,0),""))))</f>
        <v/>
      </c>
      <c r="AD19" s="10">
        <f>IF(OR($AC19="",인턴현황!$G$3=""),"",INDEX(인턴근무계획!$M$3:$R$202,$AC19,인턴현황!$G$3)&amp;"")</f>
        <v/>
      </c>
      <c r="AE19" s="10">
        <f>IF($B19="","",IF($M19&lt;&gt;"",$M19,IF($AF19&lt;&gt;"",IF(LEFT(INDEX(파견수련계획!$R$4:$R$203,$AF19),1)&lt;&gt;"⚠",INDEX(파견수련계획!$R$4:$R$203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$203,0),IFERROR(MATCH(TRIM($J19&amp;"")&amp;"|파견예정",파견수련계획!$Y$4:$Y$203,0),IFERROR(MATCH(TRIM($J19&amp;"")&amp;"|파견종료",파견수련계획!$Y$4:$Y$203,0),""))))</f>
        <v/>
      </c>
      <c r="AG19" s="10">
        <f>IF($B19="","",IF(AND(IF(OR($AC19="",인턴현황!$K$2=""),"",INDEX(인턴근무계획!$M$3:$R$202,$AC19,인턴현황!$K$2)&amp;"")&lt;&gt;"",LEFT(IF(OR($AC19="",인턴현황!$K$2=""),"",INDEX(인턴근무계획!$M$3:$R$202,$AC19,인턴현황!$K$2)&amp;""),1)&lt;&gt;"⚠"),LEFT(IF(OR($AC19="",인턴현황!$K$2=""),"",INDEX(인턴근무계획!$M$3:$R$202,$AC19,인턴현황!$K$2)&amp;""),FIND(" ",IF(OR($AC19="",인턴현황!$K$2=""),"",INDEX(인턴근무계획!$M$3:$R$202,$AC19,인턴현황!$K$2)&amp;""))-1),$AE19))</f>
        <v/>
      </c>
      <c r="AH19" s="17">
        <f>IF($B19="","",IF(TRIM($J19&amp;"")="",0,SUMPRODUCT((파견수련계획!$Q$4:$Q$203=TRIM($J19&amp;""))*(파견수련계획!$S$4:$S$203="서울병원")*파견수련계획!$W$4:$W$203))+IF($AG19="서울병원",MAX(0,DAY(EOMONTH(요약!$B$3,0))-N($X19)),0))</f>
        <v/>
      </c>
      <c r="AI19" s="17">
        <f>IF($B19="","",IF(TRIM($J19&amp;"")="",0,SUMPRODUCT((파견수련계획!$Q$4:$Q$203=TRIM($J19&amp;""))*(파견수련계획!$S$4:$S$203="구리병원")*파견수련계획!$W$4:$W$203))+IF($AG19="구리병원",MAX(0,DAY(EOMONTH(요약!$B$3,0))-N($X19)),0))</f>
        <v/>
      </c>
      <c r="AJ19" s="10">
        <f>IF(OR($B19="",TRIM($J19&amp;"")=""),"",IFERROR(MATCH(TRIM($J19&amp;"")&amp;"|월",파견수련계획!$Z$4:$Z$203,0),""))</f>
        <v/>
      </c>
      <c r="AK19" s="10">
        <f>IF(OR($B19="",TRIM($J19&amp;"")=""),"",IFERROR(MATCH(TRIM($J19&amp;"")&amp;"|다기관",파견수련계획!$AE$4:$AE$203,0),""))</f>
        <v/>
      </c>
      <c r="AL19" s="10">
        <f>IF($AK19="","","다기관 "&amp;TEXT(INDEX(파견수련계획!$AB$4:$AB$203,$AK19),"yyyy-mm-dd")&amp;"~"&amp;IF(ISNUMBER(INDEX(파견수련계획!$AC$4:$AC$203,$AK19)),TEXT(INDEX(파견수련계획!$AC$4:$AC$203,$AK19),"yyyy-mm-dd"),""))</f>
        <v/>
      </c>
    </row>
    <row r="20">
      <c r="A20" s="10">
        <f>IF(B20="","",ROW()-1)</f>
        <v/>
      </c>
      <c r="B20" s="18" t="n"/>
      <c r="C20" s="10">
        <f>IF($AB20="","",IF(INDEX(기본자료!$C$2:$C$501,$AB20)="","",INDEX(기본자료!$C$2:$C$501,$AB20)))</f>
        <v/>
      </c>
      <c r="D20" s="10">
        <f>IF($AB20="","",IF(INDEX(기본자료!$J$2:$J$501,$AB20)="","",INDEX(기본자료!$J$2:$J$501,$AB20)))</f>
        <v/>
      </c>
      <c r="E20" s="11">
        <f>IF($AB20="","",IF(INDEX(기본자료!$K$2:$K$501,$AB20)="","",IF(NOT(ISNUMBER(INDEX(기본자료!$K$2:$K$501,$AB20))),INDEX(기본자료!$K$2:$K$501,$AB20),IF(INDEX(기본자료!$K$2:$K$501,$AB20)&lt;1000000,INDEX(기본자료!$K$2:$K$501,$AB20),IF(AND(INDEX(기본자료!$K$2:$K$501,$AB20)&gt;=10000101,INT(MOD(INDEX(기본자료!$K$2:$K$501,$AB20),10000)/100)&gt;=1,INT(MOD(INDEX(기본자료!$K$2:$K$501,$AB20),10000)/100)&lt;=12,MOD(INDEX(기본자료!$K$2:$K$501,$AB20),100)&gt;=1,MOD(INDEX(기본자료!$K$2:$K$501,$AB20),100)&lt;=31),DATE(INT(INDEX(기본자료!$K$2:$K$501,$AB20)/10000),INT(MOD(INDEX(기본자료!$K$2:$K$501,$AB20),10000)/100),MOD(INDEX(기본자료!$K$2:$K$501,$AB20),100)),INDEX(기본자료!$K$2:$K$501,$AB20)&amp;"")))))</f>
        <v/>
      </c>
      <c r="F20" s="10">
        <f>IF($AB20="","",IF(INDEX(기본자료!$D$2:$D$501,$AB20)="","",INDEX(기본자료!$D$2:$D$501,$AB20)))</f>
        <v/>
      </c>
      <c r="G20" s="10">
        <f>IF($AB20="","",IF(INDEX(기본자료!$E$2:$E$501,$AB20)="","",INDEX(기본자료!$E$2:$E$501,$AB20)))</f>
        <v/>
      </c>
      <c r="H20" s="10">
        <f>IF($AB20="","",IF(INDEX(기본자료!$F$2:$F$501,$AB20)="","",INDEX(기본자료!$F$2:$F$501,$AB20)))</f>
        <v/>
      </c>
      <c r="I20" s="11">
        <f>IF($AB20="","",IF(INDEX(기본자료!$G$2:$G$501,$AB20)="","",IF(NOT(ISNUMBER(INDEX(기본자료!$G$2:$G$501,$AB20))),INDEX(기본자료!$G$2:$G$501,$AB20),IF(INDEX(기본자료!$G$2:$G$501,$AB20)&lt;1000000,INDEX(기본자료!$G$2:$G$501,$AB20),IF(AND(INDEX(기본자료!$G$2:$G$501,$AB20)&gt;=10000101,INT(MOD(INDEX(기본자료!$G$2:$G$501,$AB20),10000)/100)&gt;=1,INT(MOD(INDEX(기본자료!$G$2:$G$501,$AB20),10000)/100)&lt;=12,MOD(INDEX(기본자료!$G$2:$G$501,$AB20),100)&gt;=1,MOD(INDEX(기본자료!$G$2:$G$501,$AB20),100)&lt;=31),DATE(INT(INDEX(기본자료!$G$2:$G$501,$AB20)/10000),INT(MOD(INDEX(기본자료!$G$2:$G$501,$AB20),10000)/100),MOD(INDEX(기본자료!$G$2:$G$501,$AB20),100)),INDEX(기본자료!$G$2:$G$501,$AB20)&amp;"")))))</f>
        <v/>
      </c>
      <c r="J20" s="10">
        <f>IF($AB20="","",IF(INDEX(기본자료!$H$2:$H$501,$AB20)="","",INDEX(기본자료!$H$2:$H$501,$AB20)))</f>
        <v/>
      </c>
      <c r="K20" s="10">
        <f>IF($AB20="","",IF(INDEX(기본자료!$I$2:$I$501,$AB20)="","",INDEX(기본자료!$I$2:$I$501,$AB20)))</f>
        <v/>
      </c>
      <c r="L20" s="10">
        <f>IF($AB20="","",IF(INDEX(기본자료!$A$2:$A$501,$AB20)="","",INDEX(기본자료!$A$2:$A$501,$AB20)))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파견수련계획!$AB$4:$AB$203,$AK20),OR(NOT(ISNUMBER(INDEX(파견수련계획!$AC$4:$AC$203,$AK20))),TODAY()&lt;=INDEX(파견수련계획!$AC$4:$AC$203,$AK20))),"다기관",IF($AF20="","",INDEX(파견수련계획!$T$4:$T$203,$AF20))),IF($AF20="","",INDEX(파견수련계획!$T$4:$T$203,$AF20))))</f>
        <v/>
      </c>
      <c r="Q20" s="10">
        <f>IF($AF20="","",INDEX(파견수련계획!$S$4:$S$203,$AF20))</f>
        <v/>
      </c>
      <c r="R20" s="10">
        <f>IF($AF20="","",INDEX(파견수련계획!$U$4:$U$203,$AF20))</f>
        <v/>
      </c>
      <c r="S20" s="11">
        <f>IF($AF20="","",IF(INDEX(파견수련계획!$H$4:$H$203,$AF20)="","",INDEX(파견수련계획!$H$4:$H$203,$AF20)))</f>
        <v/>
      </c>
      <c r="T20" s="11">
        <f>IF($AF20="","",IF(INDEX(파견수련계획!$I$4:$I$203,$AF20)="","",INDEX(파견수련계획!$I$4:$I$203,$AF20)))</f>
        <v/>
      </c>
      <c r="U20" s="10">
        <f>IF($AF20="","",INDEX(파견수련계획!$X$4:$X$203,$AF20))</f>
        <v/>
      </c>
      <c r="V20" s="17">
        <f>IF($AF20="","",INDEX(파견수련계획!$V$4:$V$203,$AF20))</f>
        <v/>
      </c>
      <c r="W20" s="17">
        <f>IF(AND($U20="파견중",$T20&lt;&gt;""),$T20-TODAY(),"")</f>
        <v/>
      </c>
      <c r="X20" s="17">
        <f>IF(OR($B20="",TRIM($J20&amp;"")=""),"",SUMPRODUCT((파견수련계획!$Q$4:$Q$203=TRIM($J20&amp;""))*파견수련계획!$W$4:$W$203))</f>
        <v/>
      </c>
      <c r="Y20" s="10">
        <f>IF($B20="","",IF($AG20="","",IF(IF(TRIM($J20&amp;"")="",0,SUMPRODUCT((파견수련계획!$Q$4:$Q$203=TRIM($J20&amp;""))*파견수련계획!$AD$4:$AD$203))&gt;0,$AE20,IF(N($X20)&lt;=0,$AG20,IF($AH20+$AI20=DAY(EOMONTH(요약!$B$3,0)),IF(AND($AH20&gt;=요약!$E$3,$AI20&lt;요약!$E$3),"서울병원",IF(AND($AI20&gt;=요약!$E$3,$AH20&lt;요약!$E$3),"구리병원","⚠15일 판정불가(서울 "&amp;$AH20&amp;"일/구리 "&amp;$AI20&amp;"일)")),IF($AJ20="",$AE20,IF(INDEX(파견수련계획!$T$4:$T$203,$AJ20)="통합수련",INDEX(파견수련계획!$S$4:$S$203,$AJ20),$AE20)))))))</f>
        <v/>
      </c>
      <c r="Z20" s="19">
        <f>IF($B20="","",IF($AB20="","기본자료에 없는 사번",IF(COUNTIF($B$2:$B$201,$B20)&gt;1,"중복 사번",IF($AE20="","소속(입사장소) 입력",IF(IF(TRIM($J20&amp;"")="",0,SUMPRODUCT((파견수련계획!$Q$4:$Q$203=TRIM($J20&amp;""))*(파견수련계획!$AA$4:$AA$203&lt;&gt;"")))&gt;0,"파견수련계획 입력오류 확인",IF(LEFT($Y20,1)="⚠","서울·구리 15일 판정 불가(양쪽 모두 이상/미만)",IF(IF($AC20="",0,N(INDEX(인턴근무계획!$T$3:$T$202,$AC20)))&gt;0,"인턴계획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IF($B20="","",IFERROR(MATCH($B20,기본자료!$B$2:$B$501,0),IFERROR(MATCH($B20&amp;"",기본자료!$B$2:$B$501,0),IFERROR(MATCH(VALUE($B20),기본자료!$B$2:$B$501,0),""))))</f>
        <v/>
      </c>
      <c r="AC20" s="10">
        <f>IF($B20="","",IFERROR(MATCH($B20,인턴근무계획!$D$3:$D$202,0),IFERROR(MATCH($B20&amp;"",인턴근무계획!$D$3:$D$202,0),IFERROR(MATCH(VALUE($B20),인턴근무계획!$D$3:$D$202,0),""))))</f>
        <v/>
      </c>
      <c r="AD20" s="10">
        <f>IF(OR($AC20="",인턴현황!$G$3=""),"",INDEX(인턴근무계획!$M$3:$R$202,$AC20,인턴현황!$G$3)&amp;"")</f>
        <v/>
      </c>
      <c r="AE20" s="10">
        <f>IF($B20="","",IF($M20&lt;&gt;"",$M20,IF($AF20&lt;&gt;"",IF(LEFT(INDEX(파견수련계획!$R$4:$R$203,$AF20),1)&lt;&gt;"⚠",INDEX(파견수련계획!$R$4:$R$203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$203,0),IFERROR(MATCH(TRIM($J20&amp;"")&amp;"|파견예정",파견수련계획!$Y$4:$Y$203,0),IFERROR(MATCH(TRIM($J20&amp;"")&amp;"|파견종료",파견수련계획!$Y$4:$Y$203,0),""))))</f>
        <v/>
      </c>
      <c r="AG20" s="10">
        <f>IF($B20="","",IF(AND(IF(OR($AC20="",인턴현황!$K$2=""),"",INDEX(인턴근무계획!$M$3:$R$202,$AC20,인턴현황!$K$2)&amp;"")&lt;&gt;"",LEFT(IF(OR($AC20="",인턴현황!$K$2=""),"",INDEX(인턴근무계획!$M$3:$R$202,$AC20,인턴현황!$K$2)&amp;""),1)&lt;&gt;"⚠"),LEFT(IF(OR($AC20="",인턴현황!$K$2=""),"",INDEX(인턴근무계획!$M$3:$R$202,$AC20,인턴현황!$K$2)&amp;""),FIND(" ",IF(OR($AC20="",인턴현황!$K$2=""),"",INDEX(인턴근무계획!$M$3:$R$202,$AC20,인턴현황!$K$2)&amp;""))-1),$AE20))</f>
        <v/>
      </c>
      <c r="AH20" s="17">
        <f>IF($B20="","",IF(TRIM($J20&amp;"")="",0,SUMPRODUCT((파견수련계획!$Q$4:$Q$203=TRIM($J20&amp;""))*(파견수련계획!$S$4:$S$203="서울병원")*파견수련계획!$W$4:$W$203))+IF($AG20="서울병원",MAX(0,DAY(EOMONTH(요약!$B$3,0))-N($X20)),0))</f>
        <v/>
      </c>
      <c r="AI20" s="17">
        <f>IF($B20="","",IF(TRIM($J20&amp;"")="",0,SUMPRODUCT((파견수련계획!$Q$4:$Q$203=TRIM($J20&amp;""))*(파견수련계획!$S$4:$S$203="구리병원")*파견수련계획!$W$4:$W$203))+IF($AG20="구리병원",MAX(0,DAY(EOMONTH(요약!$B$3,0))-N($X20)),0))</f>
        <v/>
      </c>
      <c r="AJ20" s="10">
        <f>IF(OR($B20="",TRIM($J20&amp;"")=""),"",IFERROR(MATCH(TRIM($J20&amp;"")&amp;"|월",파견수련계획!$Z$4:$Z$203,0),""))</f>
        <v/>
      </c>
      <c r="AK20" s="10">
        <f>IF(OR($B20="",TRIM($J20&amp;"")=""),"",IFERROR(MATCH(TRIM($J20&amp;"")&amp;"|다기관",파견수련계획!$AE$4:$AE$203,0),""))</f>
        <v/>
      </c>
      <c r="AL20" s="10">
        <f>IF($AK20="","","다기관 "&amp;TEXT(INDEX(파견수련계획!$AB$4:$AB$203,$AK20),"yyyy-mm-dd")&amp;"~"&amp;IF(ISNUMBER(INDEX(파견수련계획!$AC$4:$AC$203,$AK20)),TEXT(INDEX(파견수련계획!$AC$4:$AC$203,$AK20),"yyyy-mm-dd"),""))</f>
        <v/>
      </c>
    </row>
    <row r="21">
      <c r="A21" s="10">
        <f>IF(B21="","",ROW()-1)</f>
        <v/>
      </c>
      <c r="B21" s="18" t="n"/>
      <c r="C21" s="10">
        <f>IF($AB21="","",IF(INDEX(기본자료!$C$2:$C$501,$AB21)="","",INDEX(기본자료!$C$2:$C$501,$AB21)))</f>
        <v/>
      </c>
      <c r="D21" s="10">
        <f>IF($AB21="","",IF(INDEX(기본자료!$J$2:$J$501,$AB21)="","",INDEX(기본자료!$J$2:$J$501,$AB21)))</f>
        <v/>
      </c>
      <c r="E21" s="11">
        <f>IF($AB21="","",IF(INDEX(기본자료!$K$2:$K$501,$AB21)="","",IF(NOT(ISNUMBER(INDEX(기본자료!$K$2:$K$501,$AB21))),INDEX(기본자료!$K$2:$K$501,$AB21),IF(INDEX(기본자료!$K$2:$K$501,$AB21)&lt;1000000,INDEX(기본자료!$K$2:$K$501,$AB21),IF(AND(INDEX(기본자료!$K$2:$K$501,$AB21)&gt;=10000101,INT(MOD(INDEX(기본자료!$K$2:$K$501,$AB21),10000)/100)&gt;=1,INT(MOD(INDEX(기본자료!$K$2:$K$501,$AB21),10000)/100)&lt;=12,MOD(INDEX(기본자료!$K$2:$K$501,$AB21),100)&gt;=1,MOD(INDEX(기본자료!$K$2:$K$501,$AB21),100)&lt;=31),DATE(INT(INDEX(기본자료!$K$2:$K$501,$AB21)/10000),INT(MOD(INDEX(기본자료!$K$2:$K$501,$AB21),10000)/100),MOD(INDEX(기본자료!$K$2:$K$501,$AB21),100)),INDEX(기본자료!$K$2:$K$501,$AB21)&amp;"")))))</f>
        <v/>
      </c>
      <c r="F21" s="10">
        <f>IF($AB21="","",IF(INDEX(기본자료!$D$2:$D$501,$AB21)="","",INDEX(기본자료!$D$2:$D$501,$AB21)))</f>
        <v/>
      </c>
      <c r="G21" s="10">
        <f>IF($AB21="","",IF(INDEX(기본자료!$E$2:$E$501,$AB21)="","",INDEX(기본자료!$E$2:$E$501,$AB21)))</f>
        <v/>
      </c>
      <c r="H21" s="10">
        <f>IF($AB21="","",IF(INDEX(기본자료!$F$2:$F$501,$AB21)="","",INDEX(기본자료!$F$2:$F$501,$AB21)))</f>
        <v/>
      </c>
      <c r="I21" s="11">
        <f>IF($AB21="","",IF(INDEX(기본자료!$G$2:$G$501,$AB21)="","",IF(NOT(ISNUMBER(INDEX(기본자료!$G$2:$G$501,$AB21))),INDEX(기본자료!$G$2:$G$501,$AB21),IF(INDEX(기본자료!$G$2:$G$501,$AB21)&lt;1000000,INDEX(기본자료!$G$2:$G$501,$AB21),IF(AND(INDEX(기본자료!$G$2:$G$501,$AB21)&gt;=10000101,INT(MOD(INDEX(기본자료!$G$2:$G$501,$AB21),10000)/100)&gt;=1,INT(MOD(INDEX(기본자료!$G$2:$G$501,$AB21),10000)/100)&lt;=12,MOD(INDEX(기본자료!$G$2:$G$501,$AB21),100)&gt;=1,MOD(INDEX(기본자료!$G$2:$G$501,$AB21),100)&lt;=31),DATE(INT(INDEX(기본자료!$G$2:$G$501,$AB21)/10000),INT(MOD(INDEX(기본자료!$G$2:$G$501,$AB21),10000)/100),MOD(INDEX(기본자료!$G$2:$G$501,$AB21),100)),INDEX(기본자료!$G$2:$G$501,$AB21)&amp;"")))))</f>
        <v/>
      </c>
      <c r="J21" s="10">
        <f>IF($AB21="","",IF(INDEX(기본자료!$H$2:$H$501,$AB21)="","",INDEX(기본자료!$H$2:$H$501,$AB21)))</f>
        <v/>
      </c>
      <c r="K21" s="10">
        <f>IF($AB21="","",IF(INDEX(기본자료!$I$2:$I$501,$AB21)="","",INDEX(기본자료!$I$2:$I$501,$AB21)))</f>
        <v/>
      </c>
      <c r="L21" s="10">
        <f>IF($AB21="","",IF(INDEX(기본자료!$A$2:$A$501,$AB21)="","",INDEX(기본자료!$A$2:$A$501,$AB21)))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파견수련계획!$AB$4:$AB$203,$AK21),OR(NOT(ISNUMBER(INDEX(파견수련계획!$AC$4:$AC$203,$AK21))),TODAY()&lt;=INDEX(파견수련계획!$AC$4:$AC$203,$AK21))),"다기관",IF($AF21="","",INDEX(파견수련계획!$T$4:$T$203,$AF21))),IF($AF21="","",INDEX(파견수련계획!$T$4:$T$203,$AF21))))</f>
        <v/>
      </c>
      <c r="Q21" s="10">
        <f>IF($AF21="","",INDEX(파견수련계획!$S$4:$S$203,$AF21))</f>
        <v/>
      </c>
      <c r="R21" s="10">
        <f>IF($AF21="","",INDEX(파견수련계획!$U$4:$U$203,$AF21))</f>
        <v/>
      </c>
      <c r="S21" s="11">
        <f>IF($AF21="","",IF(INDEX(파견수련계획!$H$4:$H$203,$AF21)="","",INDEX(파견수련계획!$H$4:$H$203,$AF21)))</f>
        <v/>
      </c>
      <c r="T21" s="11">
        <f>IF($AF21="","",IF(INDEX(파견수련계획!$I$4:$I$203,$AF21)="","",INDEX(파견수련계획!$I$4:$I$203,$AF21)))</f>
        <v/>
      </c>
      <c r="U21" s="10">
        <f>IF($AF21="","",INDEX(파견수련계획!$X$4:$X$203,$AF21))</f>
        <v/>
      </c>
      <c r="V21" s="17">
        <f>IF($AF21="","",INDEX(파견수련계획!$V$4:$V$203,$AF21))</f>
        <v/>
      </c>
      <c r="W21" s="17">
        <f>IF(AND($U21="파견중",$T21&lt;&gt;""),$T21-TODAY(),"")</f>
        <v/>
      </c>
      <c r="X21" s="17">
        <f>IF(OR($B21="",TRIM($J21&amp;"")=""),"",SUMPRODUCT((파견수련계획!$Q$4:$Q$203=TRIM($J21&amp;""))*파견수련계획!$W$4:$W$203))</f>
        <v/>
      </c>
      <c r="Y21" s="10">
        <f>IF($B21="","",IF($AG21="","",IF(IF(TRIM($J21&amp;"")="",0,SUMPRODUCT((파견수련계획!$Q$4:$Q$203=TRIM($J21&amp;""))*파견수련계획!$AD$4:$AD$203))&gt;0,$AE21,IF(N($X21)&lt;=0,$AG21,IF($AH21+$AI21=DAY(EOMONTH(요약!$B$3,0)),IF(AND($AH21&gt;=요약!$E$3,$AI21&lt;요약!$E$3),"서울병원",IF(AND($AI21&gt;=요약!$E$3,$AH21&lt;요약!$E$3),"구리병원","⚠15일 판정불가(서울 "&amp;$AH21&amp;"일/구리 "&amp;$AI21&amp;"일)")),IF($AJ21="",$AE21,IF(INDEX(파견수련계획!$T$4:$T$203,$AJ21)="통합수련",INDEX(파견수련계획!$S$4:$S$203,$AJ21),$AE21)))))))</f>
        <v/>
      </c>
      <c r="Z21" s="19">
        <f>IF($B21="","",IF($AB21="","기본자료에 없는 사번",IF(COUNTIF($B$2:$B$201,$B21)&gt;1,"중복 사번",IF($AE21="","소속(입사장소) 입력",IF(IF(TRIM($J21&amp;"")="",0,SUMPRODUCT((파견수련계획!$Q$4:$Q$203=TRIM($J21&amp;""))*(파견수련계획!$AA$4:$AA$203&lt;&gt;"")))&gt;0,"파견수련계획 입력오류 확인",IF(LEFT($Y21,1)="⚠","서울·구리 15일 판정 불가(양쪽 모두 이상/미만)",IF(IF($AC21="",0,N(INDEX(인턴근무계획!$T$3:$T$202,$AC21)))&gt;0,"인턴계획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IF($B21="","",IFERROR(MATCH($B21,기본자료!$B$2:$B$501,0),IFERROR(MATCH($B21&amp;"",기본자료!$B$2:$B$501,0),IFERROR(MATCH(VALUE($B21),기본자료!$B$2:$B$501,0),""))))</f>
        <v/>
      </c>
      <c r="AC21" s="10">
        <f>IF($B21="","",IFERROR(MATCH($B21,인턴근무계획!$D$3:$D$202,0),IFERROR(MATCH($B21&amp;"",인턴근무계획!$D$3:$D$202,0),IFERROR(MATCH(VALUE($B21),인턴근무계획!$D$3:$D$202,0),""))))</f>
        <v/>
      </c>
      <c r="AD21" s="10">
        <f>IF(OR($AC21="",인턴현황!$G$3=""),"",INDEX(인턴근무계획!$M$3:$R$202,$AC21,인턴현황!$G$3)&amp;"")</f>
        <v/>
      </c>
      <c r="AE21" s="10">
        <f>IF($B21="","",IF($M21&lt;&gt;"",$M21,IF($AF21&lt;&gt;"",IF(LEFT(INDEX(파견수련계획!$R$4:$R$203,$AF21),1)&lt;&gt;"⚠",INDEX(파견수련계획!$R$4:$R$203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$203,0),IFERROR(MATCH(TRIM($J21&amp;"")&amp;"|파견예정",파견수련계획!$Y$4:$Y$203,0),IFERROR(MATCH(TRIM($J21&amp;"")&amp;"|파견종료",파견수련계획!$Y$4:$Y$203,0),""))))</f>
        <v/>
      </c>
      <c r="AG21" s="10">
        <f>IF($B21="","",IF(AND(IF(OR($AC21="",인턴현황!$K$2=""),"",INDEX(인턴근무계획!$M$3:$R$202,$AC21,인턴현황!$K$2)&amp;"")&lt;&gt;"",LEFT(IF(OR($AC21="",인턴현황!$K$2=""),"",INDEX(인턴근무계획!$M$3:$R$202,$AC21,인턴현황!$K$2)&amp;""),1)&lt;&gt;"⚠"),LEFT(IF(OR($AC21="",인턴현황!$K$2=""),"",INDEX(인턴근무계획!$M$3:$R$202,$AC21,인턴현황!$K$2)&amp;""),FIND(" ",IF(OR($AC21="",인턴현황!$K$2=""),"",INDEX(인턴근무계획!$M$3:$R$202,$AC21,인턴현황!$K$2)&amp;""))-1),$AE21))</f>
        <v/>
      </c>
      <c r="AH21" s="17">
        <f>IF($B21="","",IF(TRIM($J21&amp;"")="",0,SUMPRODUCT((파견수련계획!$Q$4:$Q$203=TRIM($J21&amp;""))*(파견수련계획!$S$4:$S$203="서울병원")*파견수련계획!$W$4:$W$203))+IF($AG21="서울병원",MAX(0,DAY(EOMONTH(요약!$B$3,0))-N($X21)),0))</f>
        <v/>
      </c>
      <c r="AI21" s="17">
        <f>IF($B21="","",IF(TRIM($J21&amp;"")="",0,SUMPRODUCT((파견수련계획!$Q$4:$Q$203=TRIM($J21&amp;""))*(파견수련계획!$S$4:$S$203="구리병원")*파견수련계획!$W$4:$W$203))+IF($AG21="구리병원",MAX(0,DAY(EOMONTH(요약!$B$3,0))-N($X21)),0))</f>
        <v/>
      </c>
      <c r="AJ21" s="10">
        <f>IF(OR($B21="",TRIM($J21&amp;"")=""),"",IFERROR(MATCH(TRIM($J21&amp;"")&amp;"|월",파견수련계획!$Z$4:$Z$203,0),""))</f>
        <v/>
      </c>
      <c r="AK21" s="10">
        <f>IF(OR($B21="",TRIM($J21&amp;"")=""),"",IFERROR(MATCH(TRIM($J21&amp;"")&amp;"|다기관",파견수련계획!$AE$4:$AE$203,0),""))</f>
        <v/>
      </c>
      <c r="AL21" s="10">
        <f>IF($AK21="","","다기관 "&amp;TEXT(INDEX(파견수련계획!$AB$4:$AB$203,$AK21),"yyyy-mm-dd")&amp;"~"&amp;IF(ISNUMBER(INDEX(파견수련계획!$AC$4:$AC$203,$AK21)),TEXT(INDEX(파견수련계획!$AC$4:$AC$203,$AK21),"yyyy-mm-dd"),""))</f>
        <v/>
      </c>
    </row>
    <row r="22">
      <c r="A22" s="10">
        <f>IF(B22="","",ROW()-1)</f>
        <v/>
      </c>
      <c r="B22" s="18" t="n"/>
      <c r="C22" s="10">
        <f>IF($AB22="","",IF(INDEX(기본자료!$C$2:$C$501,$AB22)="","",INDEX(기본자료!$C$2:$C$501,$AB22)))</f>
        <v/>
      </c>
      <c r="D22" s="10">
        <f>IF($AB22="","",IF(INDEX(기본자료!$J$2:$J$501,$AB22)="","",INDEX(기본자료!$J$2:$J$501,$AB22)))</f>
        <v/>
      </c>
      <c r="E22" s="11">
        <f>IF($AB22="","",IF(INDEX(기본자료!$K$2:$K$501,$AB22)="","",IF(NOT(ISNUMBER(INDEX(기본자료!$K$2:$K$501,$AB22))),INDEX(기본자료!$K$2:$K$501,$AB22),IF(INDEX(기본자료!$K$2:$K$501,$AB22)&lt;1000000,INDEX(기본자료!$K$2:$K$501,$AB22),IF(AND(INDEX(기본자료!$K$2:$K$501,$AB22)&gt;=10000101,INT(MOD(INDEX(기본자료!$K$2:$K$501,$AB22),10000)/100)&gt;=1,INT(MOD(INDEX(기본자료!$K$2:$K$501,$AB22),10000)/100)&lt;=12,MOD(INDEX(기본자료!$K$2:$K$501,$AB22),100)&gt;=1,MOD(INDEX(기본자료!$K$2:$K$501,$AB22),100)&lt;=31),DATE(INT(INDEX(기본자료!$K$2:$K$501,$AB22)/10000),INT(MOD(INDEX(기본자료!$K$2:$K$501,$AB22),10000)/100),MOD(INDEX(기본자료!$K$2:$K$501,$AB22),100)),INDEX(기본자료!$K$2:$K$501,$AB22)&amp;"")))))</f>
        <v/>
      </c>
      <c r="F22" s="10">
        <f>IF($AB22="","",IF(INDEX(기본자료!$D$2:$D$501,$AB22)="","",INDEX(기본자료!$D$2:$D$501,$AB22)))</f>
        <v/>
      </c>
      <c r="G22" s="10">
        <f>IF($AB22="","",IF(INDEX(기본자료!$E$2:$E$501,$AB22)="","",INDEX(기본자료!$E$2:$E$501,$AB22)))</f>
        <v/>
      </c>
      <c r="H22" s="10">
        <f>IF($AB22="","",IF(INDEX(기본자료!$F$2:$F$501,$AB22)="","",INDEX(기본자료!$F$2:$F$501,$AB22)))</f>
        <v/>
      </c>
      <c r="I22" s="11">
        <f>IF($AB22="","",IF(INDEX(기본자료!$G$2:$G$501,$AB22)="","",IF(NOT(ISNUMBER(INDEX(기본자료!$G$2:$G$501,$AB22))),INDEX(기본자료!$G$2:$G$501,$AB22),IF(INDEX(기본자료!$G$2:$G$501,$AB22)&lt;1000000,INDEX(기본자료!$G$2:$G$501,$AB22),IF(AND(INDEX(기본자료!$G$2:$G$501,$AB22)&gt;=10000101,INT(MOD(INDEX(기본자료!$G$2:$G$501,$AB22),10000)/100)&gt;=1,INT(MOD(INDEX(기본자료!$G$2:$G$501,$AB22),10000)/100)&lt;=12,MOD(INDEX(기본자료!$G$2:$G$501,$AB22),100)&gt;=1,MOD(INDEX(기본자료!$G$2:$G$501,$AB22),100)&lt;=31),DATE(INT(INDEX(기본자료!$G$2:$G$501,$AB22)/10000),INT(MOD(INDEX(기본자료!$G$2:$G$501,$AB22),10000)/100),MOD(INDEX(기본자료!$G$2:$G$501,$AB22),100)),INDEX(기본자료!$G$2:$G$501,$AB22)&amp;"")))))</f>
        <v/>
      </c>
      <c r="J22" s="10">
        <f>IF($AB22="","",IF(INDEX(기본자료!$H$2:$H$501,$AB22)="","",INDEX(기본자료!$H$2:$H$501,$AB22)))</f>
        <v/>
      </c>
      <c r="K22" s="10">
        <f>IF($AB22="","",IF(INDEX(기본자료!$I$2:$I$501,$AB22)="","",INDEX(기본자료!$I$2:$I$501,$AB22)))</f>
        <v/>
      </c>
      <c r="L22" s="10">
        <f>IF($AB22="","",IF(INDEX(기본자료!$A$2:$A$501,$AB22)="","",INDEX(기본자료!$A$2:$A$501,$AB22)))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파견수련계획!$AB$4:$AB$203,$AK22),OR(NOT(ISNUMBER(INDEX(파견수련계획!$AC$4:$AC$203,$AK22))),TODAY()&lt;=INDEX(파견수련계획!$AC$4:$AC$203,$AK22))),"다기관",IF($AF22="","",INDEX(파견수련계획!$T$4:$T$203,$AF22))),IF($AF22="","",INDEX(파견수련계획!$T$4:$T$203,$AF22))))</f>
        <v/>
      </c>
      <c r="Q22" s="10">
        <f>IF($AF22="","",INDEX(파견수련계획!$S$4:$S$203,$AF22))</f>
        <v/>
      </c>
      <c r="R22" s="10">
        <f>IF($AF22="","",INDEX(파견수련계획!$U$4:$U$203,$AF22))</f>
        <v/>
      </c>
      <c r="S22" s="11">
        <f>IF($AF22="","",IF(INDEX(파견수련계획!$H$4:$H$203,$AF22)="","",INDEX(파견수련계획!$H$4:$H$203,$AF22)))</f>
        <v/>
      </c>
      <c r="T22" s="11">
        <f>IF($AF22="","",IF(INDEX(파견수련계획!$I$4:$I$203,$AF22)="","",INDEX(파견수련계획!$I$4:$I$203,$AF22)))</f>
        <v/>
      </c>
      <c r="U22" s="10">
        <f>IF($AF22="","",INDEX(파견수련계획!$X$4:$X$203,$AF22))</f>
        <v/>
      </c>
      <c r="V22" s="17">
        <f>IF($AF22="","",INDEX(파견수련계획!$V$4:$V$203,$AF22))</f>
        <v/>
      </c>
      <c r="W22" s="17">
        <f>IF(AND($U22="파견중",$T22&lt;&gt;""),$T22-TODAY(),"")</f>
        <v/>
      </c>
      <c r="X22" s="17">
        <f>IF(OR($B22="",TRIM($J22&amp;"")=""),"",SUMPRODUCT((파견수련계획!$Q$4:$Q$203=TRIM($J22&amp;""))*파견수련계획!$W$4:$W$203))</f>
        <v/>
      </c>
      <c r="Y22" s="10">
        <f>IF($B22="","",IF($AG22="","",IF(IF(TRIM($J22&amp;"")="",0,SUMPRODUCT((파견수련계획!$Q$4:$Q$203=TRIM($J22&amp;""))*파견수련계획!$AD$4:$AD$203))&gt;0,$AE22,IF(N($X22)&lt;=0,$AG22,IF($AH22+$AI22=DAY(EOMONTH(요약!$B$3,0)),IF(AND($AH22&gt;=요약!$E$3,$AI22&lt;요약!$E$3),"서울병원",IF(AND($AI22&gt;=요약!$E$3,$AH22&lt;요약!$E$3),"구리병원","⚠15일 판정불가(서울 "&amp;$AH22&amp;"일/구리 "&amp;$AI22&amp;"일)")),IF($AJ22="",$AE22,IF(INDEX(파견수련계획!$T$4:$T$203,$AJ22)="통합수련",INDEX(파견수련계획!$S$4:$S$203,$AJ22),$AE22)))))))</f>
        <v/>
      </c>
      <c r="Z22" s="19">
        <f>IF($B22="","",IF($AB22="","기본자료에 없는 사번",IF(COUNTIF($B$2:$B$201,$B22)&gt;1,"중복 사번",IF($AE22="","소속(입사장소) 입력",IF(IF(TRIM($J22&amp;"")="",0,SUMPRODUCT((파견수련계획!$Q$4:$Q$203=TRIM($J22&amp;""))*(파견수련계획!$AA$4:$AA$203&lt;&gt;"")))&gt;0,"파견수련계획 입력오류 확인",IF(LEFT($Y22,1)="⚠","서울·구리 15일 판정 불가(양쪽 모두 이상/미만)",IF(IF($AC22="",0,N(INDEX(인턴근무계획!$T$3:$T$202,$AC22)))&gt;0,"인턴계획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IF($B22="","",IFERROR(MATCH($B22,기본자료!$B$2:$B$501,0),IFERROR(MATCH($B22&amp;"",기본자료!$B$2:$B$501,0),IFERROR(MATCH(VALUE($B22),기본자료!$B$2:$B$501,0),""))))</f>
        <v/>
      </c>
      <c r="AC22" s="10">
        <f>IF($B22="","",IFERROR(MATCH($B22,인턴근무계획!$D$3:$D$202,0),IFERROR(MATCH($B22&amp;"",인턴근무계획!$D$3:$D$202,0),IFERROR(MATCH(VALUE($B22),인턴근무계획!$D$3:$D$202,0),""))))</f>
        <v/>
      </c>
      <c r="AD22" s="10">
        <f>IF(OR($AC22="",인턴현황!$G$3=""),"",INDEX(인턴근무계획!$M$3:$R$202,$AC22,인턴현황!$G$3)&amp;"")</f>
        <v/>
      </c>
      <c r="AE22" s="10">
        <f>IF($B22="","",IF($M22&lt;&gt;"",$M22,IF($AF22&lt;&gt;"",IF(LEFT(INDEX(파견수련계획!$R$4:$R$203,$AF22),1)&lt;&gt;"⚠",INDEX(파견수련계획!$R$4:$R$203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$203,0),IFERROR(MATCH(TRIM($J22&amp;"")&amp;"|파견예정",파견수련계획!$Y$4:$Y$203,0),IFERROR(MATCH(TRIM($J22&amp;"")&amp;"|파견종료",파견수련계획!$Y$4:$Y$203,0),""))))</f>
        <v/>
      </c>
      <c r="AG22" s="10">
        <f>IF($B22="","",IF(AND(IF(OR($AC22="",인턴현황!$K$2=""),"",INDEX(인턴근무계획!$M$3:$R$202,$AC22,인턴현황!$K$2)&amp;"")&lt;&gt;"",LEFT(IF(OR($AC22="",인턴현황!$K$2=""),"",INDEX(인턴근무계획!$M$3:$R$202,$AC22,인턴현황!$K$2)&amp;""),1)&lt;&gt;"⚠"),LEFT(IF(OR($AC22="",인턴현황!$K$2=""),"",INDEX(인턴근무계획!$M$3:$R$202,$AC22,인턴현황!$K$2)&amp;""),FIND(" ",IF(OR($AC22="",인턴현황!$K$2=""),"",INDEX(인턴근무계획!$M$3:$R$202,$AC22,인턴현황!$K$2)&amp;""))-1),$AE22))</f>
        <v/>
      </c>
      <c r="AH22" s="17">
        <f>IF($B22="","",IF(TRIM($J22&amp;"")="",0,SUMPRODUCT((파견수련계획!$Q$4:$Q$203=TRIM($J22&amp;""))*(파견수련계획!$S$4:$S$203="서울병원")*파견수련계획!$W$4:$W$203))+IF($AG22="서울병원",MAX(0,DAY(EOMONTH(요약!$B$3,0))-N($X22)),0))</f>
        <v/>
      </c>
      <c r="AI22" s="17">
        <f>IF($B22="","",IF(TRIM($J22&amp;"")="",0,SUMPRODUCT((파견수련계획!$Q$4:$Q$203=TRIM($J22&amp;""))*(파견수련계획!$S$4:$S$203="구리병원")*파견수련계획!$W$4:$W$203))+IF($AG22="구리병원",MAX(0,DAY(EOMONTH(요약!$B$3,0))-N($X22)),0))</f>
        <v/>
      </c>
      <c r="AJ22" s="10">
        <f>IF(OR($B22="",TRIM($J22&amp;"")=""),"",IFERROR(MATCH(TRIM($J22&amp;"")&amp;"|월",파견수련계획!$Z$4:$Z$203,0),""))</f>
        <v/>
      </c>
      <c r="AK22" s="10">
        <f>IF(OR($B22="",TRIM($J22&amp;"")=""),"",IFERROR(MATCH(TRIM($J22&amp;"")&amp;"|다기관",파견수련계획!$AE$4:$AE$203,0),""))</f>
        <v/>
      </c>
      <c r="AL22" s="10">
        <f>IF($AK22="","","다기관 "&amp;TEXT(INDEX(파견수련계획!$AB$4:$AB$203,$AK22),"yyyy-mm-dd")&amp;"~"&amp;IF(ISNUMBER(INDEX(파견수련계획!$AC$4:$AC$203,$AK22)),TEXT(INDEX(파견수련계획!$AC$4:$AC$203,$AK22),"yyyy-mm-dd"),""))</f>
        <v/>
      </c>
    </row>
    <row r="23">
      <c r="A23" s="10">
        <f>IF(B23="","",ROW()-1)</f>
        <v/>
      </c>
      <c r="B23" s="18" t="n"/>
      <c r="C23" s="10">
        <f>IF($AB23="","",IF(INDEX(기본자료!$C$2:$C$501,$AB23)="","",INDEX(기본자료!$C$2:$C$501,$AB23)))</f>
        <v/>
      </c>
      <c r="D23" s="10">
        <f>IF($AB23="","",IF(INDEX(기본자료!$J$2:$J$501,$AB23)="","",INDEX(기본자료!$J$2:$J$501,$AB23)))</f>
        <v/>
      </c>
      <c r="E23" s="11">
        <f>IF($AB23="","",IF(INDEX(기본자료!$K$2:$K$501,$AB23)="","",IF(NOT(ISNUMBER(INDEX(기본자료!$K$2:$K$501,$AB23))),INDEX(기본자료!$K$2:$K$501,$AB23),IF(INDEX(기본자료!$K$2:$K$501,$AB23)&lt;1000000,INDEX(기본자료!$K$2:$K$501,$AB23),IF(AND(INDEX(기본자료!$K$2:$K$501,$AB23)&gt;=10000101,INT(MOD(INDEX(기본자료!$K$2:$K$501,$AB23),10000)/100)&gt;=1,INT(MOD(INDEX(기본자료!$K$2:$K$501,$AB23),10000)/100)&lt;=12,MOD(INDEX(기본자료!$K$2:$K$501,$AB23),100)&gt;=1,MOD(INDEX(기본자료!$K$2:$K$501,$AB23),100)&lt;=31),DATE(INT(INDEX(기본자료!$K$2:$K$501,$AB23)/10000),INT(MOD(INDEX(기본자료!$K$2:$K$501,$AB23),10000)/100),MOD(INDEX(기본자료!$K$2:$K$501,$AB23),100)),INDEX(기본자료!$K$2:$K$501,$AB23)&amp;"")))))</f>
        <v/>
      </c>
      <c r="F23" s="10">
        <f>IF($AB23="","",IF(INDEX(기본자료!$D$2:$D$501,$AB23)="","",INDEX(기본자료!$D$2:$D$501,$AB23)))</f>
        <v/>
      </c>
      <c r="G23" s="10">
        <f>IF($AB23="","",IF(INDEX(기본자료!$E$2:$E$501,$AB23)="","",INDEX(기본자료!$E$2:$E$501,$AB23)))</f>
        <v/>
      </c>
      <c r="H23" s="10">
        <f>IF($AB23="","",IF(INDEX(기본자료!$F$2:$F$501,$AB23)="","",INDEX(기본자료!$F$2:$F$501,$AB23)))</f>
        <v/>
      </c>
      <c r="I23" s="11">
        <f>IF($AB23="","",IF(INDEX(기본자료!$G$2:$G$501,$AB23)="","",IF(NOT(ISNUMBER(INDEX(기본자료!$G$2:$G$501,$AB23))),INDEX(기본자료!$G$2:$G$501,$AB23),IF(INDEX(기본자료!$G$2:$G$501,$AB23)&lt;1000000,INDEX(기본자료!$G$2:$G$501,$AB23),IF(AND(INDEX(기본자료!$G$2:$G$501,$AB23)&gt;=10000101,INT(MOD(INDEX(기본자료!$G$2:$G$501,$AB23),10000)/100)&gt;=1,INT(MOD(INDEX(기본자료!$G$2:$G$501,$AB23),10000)/100)&lt;=12,MOD(INDEX(기본자료!$G$2:$G$501,$AB23),100)&gt;=1,MOD(INDEX(기본자료!$G$2:$G$501,$AB23),100)&lt;=31),DATE(INT(INDEX(기본자료!$G$2:$G$501,$AB23)/10000),INT(MOD(INDEX(기본자료!$G$2:$G$501,$AB23),10000)/100),MOD(INDEX(기본자료!$G$2:$G$501,$AB23),100)),INDEX(기본자료!$G$2:$G$501,$AB23)&amp;"")))))</f>
        <v/>
      </c>
      <c r="J23" s="10">
        <f>IF($AB23="","",IF(INDEX(기본자료!$H$2:$H$501,$AB23)="","",INDEX(기본자료!$H$2:$H$501,$AB23)))</f>
        <v/>
      </c>
      <c r="K23" s="10">
        <f>IF($AB23="","",IF(INDEX(기본자료!$I$2:$I$501,$AB23)="","",INDEX(기본자료!$I$2:$I$501,$AB23)))</f>
        <v/>
      </c>
      <c r="L23" s="10">
        <f>IF($AB23="","",IF(INDEX(기본자료!$A$2:$A$501,$AB23)="","",INDEX(기본자료!$A$2:$A$501,$AB23)))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파견수련계획!$AB$4:$AB$203,$AK23),OR(NOT(ISNUMBER(INDEX(파견수련계획!$AC$4:$AC$203,$AK23))),TODAY()&lt;=INDEX(파견수련계획!$AC$4:$AC$203,$AK23))),"다기관",IF($AF23="","",INDEX(파견수련계획!$T$4:$T$203,$AF23))),IF($AF23="","",INDEX(파견수련계획!$T$4:$T$203,$AF23))))</f>
        <v/>
      </c>
      <c r="Q23" s="10">
        <f>IF($AF23="","",INDEX(파견수련계획!$S$4:$S$203,$AF23))</f>
        <v/>
      </c>
      <c r="R23" s="10">
        <f>IF($AF23="","",INDEX(파견수련계획!$U$4:$U$203,$AF23))</f>
        <v/>
      </c>
      <c r="S23" s="11">
        <f>IF($AF23="","",IF(INDEX(파견수련계획!$H$4:$H$203,$AF23)="","",INDEX(파견수련계획!$H$4:$H$203,$AF23)))</f>
        <v/>
      </c>
      <c r="T23" s="11">
        <f>IF($AF23="","",IF(INDEX(파견수련계획!$I$4:$I$203,$AF23)="","",INDEX(파견수련계획!$I$4:$I$203,$AF23)))</f>
        <v/>
      </c>
      <c r="U23" s="10">
        <f>IF($AF23="","",INDEX(파견수련계획!$X$4:$X$203,$AF23))</f>
        <v/>
      </c>
      <c r="V23" s="17">
        <f>IF($AF23="","",INDEX(파견수련계획!$V$4:$V$203,$AF23))</f>
        <v/>
      </c>
      <c r="W23" s="17">
        <f>IF(AND($U23="파견중",$T23&lt;&gt;""),$T23-TODAY(),"")</f>
        <v/>
      </c>
      <c r="X23" s="17">
        <f>IF(OR($B23="",TRIM($J23&amp;"")=""),"",SUMPRODUCT((파견수련계획!$Q$4:$Q$203=TRIM($J23&amp;""))*파견수련계획!$W$4:$W$203))</f>
        <v/>
      </c>
      <c r="Y23" s="10">
        <f>IF($B23="","",IF($AG23="","",IF(IF(TRIM($J23&amp;"")="",0,SUMPRODUCT((파견수련계획!$Q$4:$Q$203=TRIM($J23&amp;""))*파견수련계획!$AD$4:$AD$203))&gt;0,$AE23,IF(N($X23)&lt;=0,$AG23,IF($AH23+$AI23=DAY(EOMONTH(요약!$B$3,0)),IF(AND($AH23&gt;=요약!$E$3,$AI23&lt;요약!$E$3),"서울병원",IF(AND($AI23&gt;=요약!$E$3,$AH23&lt;요약!$E$3),"구리병원","⚠15일 판정불가(서울 "&amp;$AH23&amp;"일/구리 "&amp;$AI23&amp;"일)")),IF($AJ23="",$AE23,IF(INDEX(파견수련계획!$T$4:$T$203,$AJ23)="통합수련",INDEX(파견수련계획!$S$4:$S$203,$AJ23),$AE23)))))))</f>
        <v/>
      </c>
      <c r="Z23" s="19">
        <f>IF($B23="","",IF($AB23="","기본자료에 없는 사번",IF(COUNTIF($B$2:$B$201,$B23)&gt;1,"중복 사번",IF($AE23="","소속(입사장소) 입력",IF(IF(TRIM($J23&amp;"")="",0,SUMPRODUCT((파견수련계획!$Q$4:$Q$203=TRIM($J23&amp;""))*(파견수련계획!$AA$4:$AA$203&lt;&gt;"")))&gt;0,"파견수련계획 입력오류 확인",IF(LEFT($Y23,1)="⚠","서울·구리 15일 판정 불가(양쪽 모두 이상/미만)",IF(IF($AC23="",0,N(INDEX(인턴근무계획!$T$3:$T$202,$AC23)))&gt;0,"인턴계획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IF($B23="","",IFERROR(MATCH($B23,기본자료!$B$2:$B$501,0),IFERROR(MATCH($B23&amp;"",기본자료!$B$2:$B$501,0),IFERROR(MATCH(VALUE($B23),기본자료!$B$2:$B$501,0),""))))</f>
        <v/>
      </c>
      <c r="AC23" s="10">
        <f>IF($B23="","",IFERROR(MATCH($B23,인턴근무계획!$D$3:$D$202,0),IFERROR(MATCH($B23&amp;"",인턴근무계획!$D$3:$D$202,0),IFERROR(MATCH(VALUE($B23),인턴근무계획!$D$3:$D$202,0),""))))</f>
        <v/>
      </c>
      <c r="AD23" s="10">
        <f>IF(OR($AC23="",인턴현황!$G$3=""),"",INDEX(인턴근무계획!$M$3:$R$202,$AC23,인턴현황!$G$3)&amp;"")</f>
        <v/>
      </c>
      <c r="AE23" s="10">
        <f>IF($B23="","",IF($M23&lt;&gt;"",$M23,IF($AF23&lt;&gt;"",IF(LEFT(INDEX(파견수련계획!$R$4:$R$203,$AF23),1)&lt;&gt;"⚠",INDEX(파견수련계획!$R$4:$R$203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$203,0),IFERROR(MATCH(TRIM($J23&amp;"")&amp;"|파견예정",파견수련계획!$Y$4:$Y$203,0),IFERROR(MATCH(TRIM($J23&amp;"")&amp;"|파견종료",파견수련계획!$Y$4:$Y$203,0),""))))</f>
        <v/>
      </c>
      <c r="AG23" s="10">
        <f>IF($B23="","",IF(AND(IF(OR($AC23="",인턴현황!$K$2=""),"",INDEX(인턴근무계획!$M$3:$R$202,$AC23,인턴현황!$K$2)&amp;"")&lt;&gt;"",LEFT(IF(OR($AC23="",인턴현황!$K$2=""),"",INDEX(인턴근무계획!$M$3:$R$202,$AC23,인턴현황!$K$2)&amp;""),1)&lt;&gt;"⚠"),LEFT(IF(OR($AC23="",인턴현황!$K$2=""),"",INDEX(인턴근무계획!$M$3:$R$202,$AC23,인턴현황!$K$2)&amp;""),FIND(" ",IF(OR($AC23="",인턴현황!$K$2=""),"",INDEX(인턴근무계획!$M$3:$R$202,$AC23,인턴현황!$K$2)&amp;""))-1),$AE23))</f>
        <v/>
      </c>
      <c r="AH23" s="17">
        <f>IF($B23="","",IF(TRIM($J23&amp;"")="",0,SUMPRODUCT((파견수련계획!$Q$4:$Q$203=TRIM($J23&amp;""))*(파견수련계획!$S$4:$S$203="서울병원")*파견수련계획!$W$4:$W$203))+IF($AG23="서울병원",MAX(0,DAY(EOMONTH(요약!$B$3,0))-N($X23)),0))</f>
        <v/>
      </c>
      <c r="AI23" s="17">
        <f>IF($B23="","",IF(TRIM($J23&amp;"")="",0,SUMPRODUCT((파견수련계획!$Q$4:$Q$203=TRIM($J23&amp;""))*(파견수련계획!$S$4:$S$203="구리병원")*파견수련계획!$W$4:$W$203))+IF($AG23="구리병원",MAX(0,DAY(EOMONTH(요약!$B$3,0))-N($X23)),0))</f>
        <v/>
      </c>
      <c r="AJ23" s="10">
        <f>IF(OR($B23="",TRIM($J23&amp;"")=""),"",IFERROR(MATCH(TRIM($J23&amp;"")&amp;"|월",파견수련계획!$Z$4:$Z$203,0),""))</f>
        <v/>
      </c>
      <c r="AK23" s="10">
        <f>IF(OR($B23="",TRIM($J23&amp;"")=""),"",IFERROR(MATCH(TRIM($J23&amp;"")&amp;"|다기관",파견수련계획!$AE$4:$AE$203,0),""))</f>
        <v/>
      </c>
      <c r="AL23" s="10">
        <f>IF($AK23="","","다기관 "&amp;TEXT(INDEX(파견수련계획!$AB$4:$AB$203,$AK23),"yyyy-mm-dd")&amp;"~"&amp;IF(ISNUMBER(INDEX(파견수련계획!$AC$4:$AC$203,$AK23)),TEXT(INDEX(파견수련계획!$AC$4:$AC$203,$AK23),"yyyy-mm-dd"),""))</f>
        <v/>
      </c>
    </row>
    <row r="24">
      <c r="A24" s="10">
        <f>IF(B24="","",ROW()-1)</f>
        <v/>
      </c>
      <c r="B24" s="18" t="n"/>
      <c r="C24" s="10">
        <f>IF($AB24="","",IF(INDEX(기본자료!$C$2:$C$501,$AB24)="","",INDEX(기본자료!$C$2:$C$501,$AB24)))</f>
        <v/>
      </c>
      <c r="D24" s="10">
        <f>IF($AB24="","",IF(INDEX(기본자료!$J$2:$J$501,$AB24)="","",INDEX(기본자료!$J$2:$J$501,$AB24)))</f>
        <v/>
      </c>
      <c r="E24" s="11">
        <f>IF($AB24="","",IF(INDEX(기본자료!$K$2:$K$501,$AB24)="","",IF(NOT(ISNUMBER(INDEX(기본자료!$K$2:$K$501,$AB24))),INDEX(기본자료!$K$2:$K$501,$AB24),IF(INDEX(기본자료!$K$2:$K$501,$AB24)&lt;1000000,INDEX(기본자료!$K$2:$K$501,$AB24),IF(AND(INDEX(기본자료!$K$2:$K$501,$AB24)&gt;=10000101,INT(MOD(INDEX(기본자료!$K$2:$K$501,$AB24),10000)/100)&gt;=1,INT(MOD(INDEX(기본자료!$K$2:$K$501,$AB24),10000)/100)&lt;=12,MOD(INDEX(기본자료!$K$2:$K$501,$AB24),100)&gt;=1,MOD(INDEX(기본자료!$K$2:$K$501,$AB24),100)&lt;=31),DATE(INT(INDEX(기본자료!$K$2:$K$501,$AB24)/10000),INT(MOD(INDEX(기본자료!$K$2:$K$501,$AB24),10000)/100),MOD(INDEX(기본자료!$K$2:$K$501,$AB24),100)),INDEX(기본자료!$K$2:$K$501,$AB24)&amp;"")))))</f>
        <v/>
      </c>
      <c r="F24" s="10">
        <f>IF($AB24="","",IF(INDEX(기본자료!$D$2:$D$501,$AB24)="","",INDEX(기본자료!$D$2:$D$501,$AB24)))</f>
        <v/>
      </c>
      <c r="G24" s="10">
        <f>IF($AB24="","",IF(INDEX(기본자료!$E$2:$E$501,$AB24)="","",INDEX(기본자료!$E$2:$E$501,$AB24)))</f>
        <v/>
      </c>
      <c r="H24" s="10">
        <f>IF($AB24="","",IF(INDEX(기본자료!$F$2:$F$501,$AB24)="","",INDEX(기본자료!$F$2:$F$501,$AB24)))</f>
        <v/>
      </c>
      <c r="I24" s="11">
        <f>IF($AB24="","",IF(INDEX(기본자료!$G$2:$G$501,$AB24)="","",IF(NOT(ISNUMBER(INDEX(기본자료!$G$2:$G$501,$AB24))),INDEX(기본자료!$G$2:$G$501,$AB24),IF(INDEX(기본자료!$G$2:$G$501,$AB24)&lt;1000000,INDEX(기본자료!$G$2:$G$501,$AB24),IF(AND(INDEX(기본자료!$G$2:$G$501,$AB24)&gt;=10000101,INT(MOD(INDEX(기본자료!$G$2:$G$501,$AB24),10000)/100)&gt;=1,INT(MOD(INDEX(기본자료!$G$2:$G$501,$AB24),10000)/100)&lt;=12,MOD(INDEX(기본자료!$G$2:$G$501,$AB24),100)&gt;=1,MOD(INDEX(기본자료!$G$2:$G$501,$AB24),100)&lt;=31),DATE(INT(INDEX(기본자료!$G$2:$G$501,$AB24)/10000),INT(MOD(INDEX(기본자료!$G$2:$G$501,$AB24),10000)/100),MOD(INDEX(기본자료!$G$2:$G$501,$AB24),100)),INDEX(기본자료!$G$2:$G$501,$AB24)&amp;"")))))</f>
        <v/>
      </c>
      <c r="J24" s="10">
        <f>IF($AB24="","",IF(INDEX(기본자료!$H$2:$H$501,$AB24)="","",INDEX(기본자료!$H$2:$H$501,$AB24)))</f>
        <v/>
      </c>
      <c r="K24" s="10">
        <f>IF($AB24="","",IF(INDEX(기본자료!$I$2:$I$501,$AB24)="","",INDEX(기본자료!$I$2:$I$501,$AB24)))</f>
        <v/>
      </c>
      <c r="L24" s="10">
        <f>IF($AB24="","",IF(INDEX(기본자료!$A$2:$A$501,$AB24)="","",INDEX(기본자료!$A$2:$A$501,$AB24)))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파견수련계획!$AB$4:$AB$203,$AK24),OR(NOT(ISNUMBER(INDEX(파견수련계획!$AC$4:$AC$203,$AK24))),TODAY()&lt;=INDEX(파견수련계획!$AC$4:$AC$203,$AK24))),"다기관",IF($AF24="","",INDEX(파견수련계획!$T$4:$T$203,$AF24))),IF($AF24="","",INDEX(파견수련계획!$T$4:$T$203,$AF24))))</f>
        <v/>
      </c>
      <c r="Q24" s="10">
        <f>IF($AF24="","",INDEX(파견수련계획!$S$4:$S$203,$AF24))</f>
        <v/>
      </c>
      <c r="R24" s="10">
        <f>IF($AF24="","",INDEX(파견수련계획!$U$4:$U$203,$AF24))</f>
        <v/>
      </c>
      <c r="S24" s="11">
        <f>IF($AF24="","",IF(INDEX(파견수련계획!$H$4:$H$203,$AF24)="","",INDEX(파견수련계획!$H$4:$H$203,$AF24)))</f>
        <v/>
      </c>
      <c r="T24" s="11">
        <f>IF($AF24="","",IF(INDEX(파견수련계획!$I$4:$I$203,$AF24)="","",INDEX(파견수련계획!$I$4:$I$203,$AF24)))</f>
        <v/>
      </c>
      <c r="U24" s="10">
        <f>IF($AF24="","",INDEX(파견수련계획!$X$4:$X$203,$AF24))</f>
        <v/>
      </c>
      <c r="V24" s="17">
        <f>IF($AF24="","",INDEX(파견수련계획!$V$4:$V$203,$AF24))</f>
        <v/>
      </c>
      <c r="W24" s="17">
        <f>IF(AND($U24="파견중",$T24&lt;&gt;""),$T24-TODAY(),"")</f>
        <v/>
      </c>
      <c r="X24" s="17">
        <f>IF(OR($B24="",TRIM($J24&amp;"")=""),"",SUMPRODUCT((파견수련계획!$Q$4:$Q$203=TRIM($J24&amp;""))*파견수련계획!$W$4:$W$203))</f>
        <v/>
      </c>
      <c r="Y24" s="10">
        <f>IF($B24="","",IF($AG24="","",IF(IF(TRIM($J24&amp;"")="",0,SUMPRODUCT((파견수련계획!$Q$4:$Q$203=TRIM($J24&amp;""))*파견수련계획!$AD$4:$AD$203))&gt;0,$AE24,IF(N($X24)&lt;=0,$AG24,IF($AH24+$AI24=DAY(EOMONTH(요약!$B$3,0)),IF(AND($AH24&gt;=요약!$E$3,$AI24&lt;요약!$E$3),"서울병원",IF(AND($AI24&gt;=요약!$E$3,$AH24&lt;요약!$E$3),"구리병원","⚠15일 판정불가(서울 "&amp;$AH24&amp;"일/구리 "&amp;$AI24&amp;"일)")),IF($AJ24="",$AE24,IF(INDEX(파견수련계획!$T$4:$T$203,$AJ24)="통합수련",INDEX(파견수련계획!$S$4:$S$203,$AJ24),$AE24)))))))</f>
        <v/>
      </c>
      <c r="Z24" s="19">
        <f>IF($B24="","",IF($AB24="","기본자료에 없는 사번",IF(COUNTIF($B$2:$B$201,$B24)&gt;1,"중복 사번",IF($AE24="","소속(입사장소) 입력",IF(IF(TRIM($J24&amp;"")="",0,SUMPRODUCT((파견수련계획!$Q$4:$Q$203=TRIM($J24&amp;""))*(파견수련계획!$AA$4:$AA$203&lt;&gt;"")))&gt;0,"파견수련계획 입력오류 확인",IF(LEFT($Y24,1)="⚠","서울·구리 15일 판정 불가(양쪽 모두 이상/미만)",IF(IF($AC24="",0,N(INDEX(인턴근무계획!$T$3:$T$202,$AC24)))&gt;0,"인턴계획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IF($B24="","",IFERROR(MATCH($B24,기본자료!$B$2:$B$501,0),IFERROR(MATCH($B24&amp;"",기본자료!$B$2:$B$501,0),IFERROR(MATCH(VALUE($B24),기본자료!$B$2:$B$501,0),""))))</f>
        <v/>
      </c>
      <c r="AC24" s="10">
        <f>IF($B24="","",IFERROR(MATCH($B24,인턴근무계획!$D$3:$D$202,0),IFERROR(MATCH($B24&amp;"",인턴근무계획!$D$3:$D$202,0),IFERROR(MATCH(VALUE($B24),인턴근무계획!$D$3:$D$202,0),""))))</f>
        <v/>
      </c>
      <c r="AD24" s="10">
        <f>IF(OR($AC24="",인턴현황!$G$3=""),"",INDEX(인턴근무계획!$M$3:$R$202,$AC24,인턴현황!$G$3)&amp;"")</f>
        <v/>
      </c>
      <c r="AE24" s="10">
        <f>IF($B24="","",IF($M24&lt;&gt;"",$M24,IF($AF24&lt;&gt;"",IF(LEFT(INDEX(파견수련계획!$R$4:$R$203,$AF24),1)&lt;&gt;"⚠",INDEX(파견수련계획!$R$4:$R$203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$203,0),IFERROR(MATCH(TRIM($J24&amp;"")&amp;"|파견예정",파견수련계획!$Y$4:$Y$203,0),IFERROR(MATCH(TRIM($J24&amp;"")&amp;"|파견종료",파견수련계획!$Y$4:$Y$203,0),""))))</f>
        <v/>
      </c>
      <c r="AG24" s="10">
        <f>IF($B24="","",IF(AND(IF(OR($AC24="",인턴현황!$K$2=""),"",INDEX(인턴근무계획!$M$3:$R$202,$AC24,인턴현황!$K$2)&amp;"")&lt;&gt;"",LEFT(IF(OR($AC24="",인턴현황!$K$2=""),"",INDEX(인턴근무계획!$M$3:$R$202,$AC24,인턴현황!$K$2)&amp;""),1)&lt;&gt;"⚠"),LEFT(IF(OR($AC24="",인턴현황!$K$2=""),"",INDEX(인턴근무계획!$M$3:$R$202,$AC24,인턴현황!$K$2)&amp;""),FIND(" ",IF(OR($AC24="",인턴현황!$K$2=""),"",INDEX(인턴근무계획!$M$3:$R$202,$AC24,인턴현황!$K$2)&amp;""))-1),$AE24))</f>
        <v/>
      </c>
      <c r="AH24" s="17">
        <f>IF($B24="","",IF(TRIM($J24&amp;"")="",0,SUMPRODUCT((파견수련계획!$Q$4:$Q$203=TRIM($J24&amp;""))*(파견수련계획!$S$4:$S$203="서울병원")*파견수련계획!$W$4:$W$203))+IF($AG24="서울병원",MAX(0,DAY(EOMONTH(요약!$B$3,0))-N($X24)),0))</f>
        <v/>
      </c>
      <c r="AI24" s="17">
        <f>IF($B24="","",IF(TRIM($J24&amp;"")="",0,SUMPRODUCT((파견수련계획!$Q$4:$Q$203=TRIM($J24&amp;""))*(파견수련계획!$S$4:$S$203="구리병원")*파견수련계획!$W$4:$W$203))+IF($AG24="구리병원",MAX(0,DAY(EOMONTH(요약!$B$3,0))-N($X24)),0))</f>
        <v/>
      </c>
      <c r="AJ24" s="10">
        <f>IF(OR($B24="",TRIM($J24&amp;"")=""),"",IFERROR(MATCH(TRIM($J24&amp;"")&amp;"|월",파견수련계획!$Z$4:$Z$203,0),""))</f>
        <v/>
      </c>
      <c r="AK24" s="10">
        <f>IF(OR($B24="",TRIM($J24&amp;"")=""),"",IFERROR(MATCH(TRIM($J24&amp;"")&amp;"|다기관",파견수련계획!$AE$4:$AE$203,0),""))</f>
        <v/>
      </c>
      <c r="AL24" s="10">
        <f>IF($AK24="","","다기관 "&amp;TEXT(INDEX(파견수련계획!$AB$4:$AB$203,$AK24),"yyyy-mm-dd")&amp;"~"&amp;IF(ISNUMBER(INDEX(파견수련계획!$AC$4:$AC$203,$AK24)),TEXT(INDEX(파견수련계획!$AC$4:$AC$203,$AK24),"yyyy-mm-dd"),""))</f>
        <v/>
      </c>
    </row>
    <row r="25">
      <c r="A25" s="10">
        <f>IF(B25="","",ROW()-1)</f>
        <v/>
      </c>
      <c r="B25" s="18" t="n"/>
      <c r="C25" s="10">
        <f>IF($AB25="","",IF(INDEX(기본자료!$C$2:$C$501,$AB25)="","",INDEX(기본자료!$C$2:$C$501,$AB25)))</f>
        <v/>
      </c>
      <c r="D25" s="10">
        <f>IF($AB25="","",IF(INDEX(기본자료!$J$2:$J$501,$AB25)="","",INDEX(기본자료!$J$2:$J$501,$AB25)))</f>
        <v/>
      </c>
      <c r="E25" s="11">
        <f>IF($AB25="","",IF(INDEX(기본자료!$K$2:$K$501,$AB25)="","",IF(NOT(ISNUMBER(INDEX(기본자료!$K$2:$K$501,$AB25))),INDEX(기본자료!$K$2:$K$501,$AB25),IF(INDEX(기본자료!$K$2:$K$501,$AB25)&lt;1000000,INDEX(기본자료!$K$2:$K$501,$AB25),IF(AND(INDEX(기본자료!$K$2:$K$501,$AB25)&gt;=10000101,INT(MOD(INDEX(기본자료!$K$2:$K$501,$AB25),10000)/100)&gt;=1,INT(MOD(INDEX(기본자료!$K$2:$K$501,$AB25),10000)/100)&lt;=12,MOD(INDEX(기본자료!$K$2:$K$501,$AB25),100)&gt;=1,MOD(INDEX(기본자료!$K$2:$K$501,$AB25),100)&lt;=31),DATE(INT(INDEX(기본자료!$K$2:$K$501,$AB25)/10000),INT(MOD(INDEX(기본자료!$K$2:$K$501,$AB25),10000)/100),MOD(INDEX(기본자료!$K$2:$K$501,$AB25),100)),INDEX(기본자료!$K$2:$K$501,$AB25)&amp;"")))))</f>
        <v/>
      </c>
      <c r="F25" s="10">
        <f>IF($AB25="","",IF(INDEX(기본자료!$D$2:$D$501,$AB25)="","",INDEX(기본자료!$D$2:$D$501,$AB25)))</f>
        <v/>
      </c>
      <c r="G25" s="10">
        <f>IF($AB25="","",IF(INDEX(기본자료!$E$2:$E$501,$AB25)="","",INDEX(기본자료!$E$2:$E$501,$AB25)))</f>
        <v/>
      </c>
      <c r="H25" s="10">
        <f>IF($AB25="","",IF(INDEX(기본자료!$F$2:$F$501,$AB25)="","",INDEX(기본자료!$F$2:$F$501,$AB25)))</f>
        <v/>
      </c>
      <c r="I25" s="11">
        <f>IF($AB25="","",IF(INDEX(기본자료!$G$2:$G$501,$AB25)="","",IF(NOT(ISNUMBER(INDEX(기본자료!$G$2:$G$501,$AB25))),INDEX(기본자료!$G$2:$G$501,$AB25),IF(INDEX(기본자료!$G$2:$G$501,$AB25)&lt;1000000,INDEX(기본자료!$G$2:$G$501,$AB25),IF(AND(INDEX(기본자료!$G$2:$G$501,$AB25)&gt;=10000101,INT(MOD(INDEX(기본자료!$G$2:$G$501,$AB25),10000)/100)&gt;=1,INT(MOD(INDEX(기본자료!$G$2:$G$501,$AB25),10000)/100)&lt;=12,MOD(INDEX(기본자료!$G$2:$G$501,$AB25),100)&gt;=1,MOD(INDEX(기본자료!$G$2:$G$501,$AB25),100)&lt;=31),DATE(INT(INDEX(기본자료!$G$2:$G$501,$AB25)/10000),INT(MOD(INDEX(기본자료!$G$2:$G$501,$AB25),10000)/100),MOD(INDEX(기본자료!$G$2:$G$501,$AB25),100)),INDEX(기본자료!$G$2:$G$501,$AB25)&amp;"")))))</f>
        <v/>
      </c>
      <c r="J25" s="10">
        <f>IF($AB25="","",IF(INDEX(기본자료!$H$2:$H$501,$AB25)="","",INDEX(기본자료!$H$2:$H$501,$AB25)))</f>
        <v/>
      </c>
      <c r="K25" s="10">
        <f>IF($AB25="","",IF(INDEX(기본자료!$I$2:$I$501,$AB25)="","",INDEX(기본자료!$I$2:$I$501,$AB25)))</f>
        <v/>
      </c>
      <c r="L25" s="10">
        <f>IF($AB25="","",IF(INDEX(기본자료!$A$2:$A$501,$AB25)="","",INDEX(기본자료!$A$2:$A$501,$AB25)))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파견수련계획!$AB$4:$AB$203,$AK25),OR(NOT(ISNUMBER(INDEX(파견수련계획!$AC$4:$AC$203,$AK25))),TODAY()&lt;=INDEX(파견수련계획!$AC$4:$AC$203,$AK25))),"다기관",IF($AF25="","",INDEX(파견수련계획!$T$4:$T$203,$AF25))),IF($AF25="","",INDEX(파견수련계획!$T$4:$T$203,$AF25))))</f>
        <v/>
      </c>
      <c r="Q25" s="10">
        <f>IF($AF25="","",INDEX(파견수련계획!$S$4:$S$203,$AF25))</f>
        <v/>
      </c>
      <c r="R25" s="10">
        <f>IF($AF25="","",INDEX(파견수련계획!$U$4:$U$203,$AF25))</f>
        <v/>
      </c>
      <c r="S25" s="11">
        <f>IF($AF25="","",IF(INDEX(파견수련계획!$H$4:$H$203,$AF25)="","",INDEX(파견수련계획!$H$4:$H$203,$AF25)))</f>
        <v/>
      </c>
      <c r="T25" s="11">
        <f>IF($AF25="","",IF(INDEX(파견수련계획!$I$4:$I$203,$AF25)="","",INDEX(파견수련계획!$I$4:$I$203,$AF25)))</f>
        <v/>
      </c>
      <c r="U25" s="10">
        <f>IF($AF25="","",INDEX(파견수련계획!$X$4:$X$203,$AF25))</f>
        <v/>
      </c>
      <c r="V25" s="17">
        <f>IF($AF25="","",INDEX(파견수련계획!$V$4:$V$203,$AF25))</f>
        <v/>
      </c>
      <c r="W25" s="17">
        <f>IF(AND($U25="파견중",$T25&lt;&gt;""),$T25-TODAY(),"")</f>
        <v/>
      </c>
      <c r="X25" s="17">
        <f>IF(OR($B25="",TRIM($J25&amp;"")=""),"",SUMPRODUCT((파견수련계획!$Q$4:$Q$203=TRIM($J25&amp;""))*파견수련계획!$W$4:$W$203))</f>
        <v/>
      </c>
      <c r="Y25" s="10">
        <f>IF($B25="","",IF($AG25="","",IF(IF(TRIM($J25&amp;"")="",0,SUMPRODUCT((파견수련계획!$Q$4:$Q$203=TRIM($J25&amp;""))*파견수련계획!$AD$4:$AD$203))&gt;0,$AE25,IF(N($X25)&lt;=0,$AG25,IF($AH25+$AI25=DAY(EOMONTH(요약!$B$3,0)),IF(AND($AH25&gt;=요약!$E$3,$AI25&lt;요약!$E$3),"서울병원",IF(AND($AI25&gt;=요약!$E$3,$AH25&lt;요약!$E$3),"구리병원","⚠15일 판정불가(서울 "&amp;$AH25&amp;"일/구리 "&amp;$AI25&amp;"일)")),IF($AJ25="",$AE25,IF(INDEX(파견수련계획!$T$4:$T$203,$AJ25)="통합수련",INDEX(파견수련계획!$S$4:$S$203,$AJ25),$AE25)))))))</f>
        <v/>
      </c>
      <c r="Z25" s="19">
        <f>IF($B25="","",IF($AB25="","기본자료에 없는 사번",IF(COUNTIF($B$2:$B$201,$B25)&gt;1,"중복 사번",IF($AE25="","소속(입사장소) 입력",IF(IF(TRIM($J25&amp;"")="",0,SUMPRODUCT((파견수련계획!$Q$4:$Q$203=TRIM($J25&amp;""))*(파견수련계획!$AA$4:$AA$203&lt;&gt;"")))&gt;0,"파견수련계획 입력오류 확인",IF(LEFT($Y25,1)="⚠","서울·구리 15일 판정 불가(양쪽 모두 이상/미만)",IF(IF($AC25="",0,N(INDEX(인턴근무계획!$T$3:$T$202,$AC25)))&gt;0,"인턴계획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IF($B25="","",IFERROR(MATCH($B25,기본자료!$B$2:$B$501,0),IFERROR(MATCH($B25&amp;"",기본자료!$B$2:$B$501,0),IFERROR(MATCH(VALUE($B25),기본자료!$B$2:$B$501,0),""))))</f>
        <v/>
      </c>
      <c r="AC25" s="10">
        <f>IF($B25="","",IFERROR(MATCH($B25,인턴근무계획!$D$3:$D$202,0),IFERROR(MATCH($B25&amp;"",인턴근무계획!$D$3:$D$202,0),IFERROR(MATCH(VALUE($B25),인턴근무계획!$D$3:$D$202,0),""))))</f>
        <v/>
      </c>
      <c r="AD25" s="10">
        <f>IF(OR($AC25="",인턴현황!$G$3=""),"",INDEX(인턴근무계획!$M$3:$R$202,$AC25,인턴현황!$G$3)&amp;"")</f>
        <v/>
      </c>
      <c r="AE25" s="10">
        <f>IF($B25="","",IF($M25&lt;&gt;"",$M25,IF($AF25&lt;&gt;"",IF(LEFT(INDEX(파견수련계획!$R$4:$R$203,$AF25),1)&lt;&gt;"⚠",INDEX(파견수련계획!$R$4:$R$203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$203,0),IFERROR(MATCH(TRIM($J25&amp;"")&amp;"|파견예정",파견수련계획!$Y$4:$Y$203,0),IFERROR(MATCH(TRIM($J25&amp;"")&amp;"|파견종료",파견수련계획!$Y$4:$Y$203,0),""))))</f>
        <v/>
      </c>
      <c r="AG25" s="10">
        <f>IF($B25="","",IF(AND(IF(OR($AC25="",인턴현황!$K$2=""),"",INDEX(인턴근무계획!$M$3:$R$202,$AC25,인턴현황!$K$2)&amp;"")&lt;&gt;"",LEFT(IF(OR($AC25="",인턴현황!$K$2=""),"",INDEX(인턴근무계획!$M$3:$R$202,$AC25,인턴현황!$K$2)&amp;""),1)&lt;&gt;"⚠"),LEFT(IF(OR($AC25="",인턴현황!$K$2=""),"",INDEX(인턴근무계획!$M$3:$R$202,$AC25,인턴현황!$K$2)&amp;""),FIND(" ",IF(OR($AC25="",인턴현황!$K$2=""),"",INDEX(인턴근무계획!$M$3:$R$202,$AC25,인턴현황!$K$2)&amp;""))-1),$AE25))</f>
        <v/>
      </c>
      <c r="AH25" s="17">
        <f>IF($B25="","",IF(TRIM($J25&amp;"")="",0,SUMPRODUCT((파견수련계획!$Q$4:$Q$203=TRIM($J25&amp;""))*(파견수련계획!$S$4:$S$203="서울병원")*파견수련계획!$W$4:$W$203))+IF($AG25="서울병원",MAX(0,DAY(EOMONTH(요약!$B$3,0))-N($X25)),0))</f>
        <v/>
      </c>
      <c r="AI25" s="17">
        <f>IF($B25="","",IF(TRIM($J25&amp;"")="",0,SUMPRODUCT((파견수련계획!$Q$4:$Q$203=TRIM($J25&amp;""))*(파견수련계획!$S$4:$S$203="구리병원")*파견수련계획!$W$4:$W$203))+IF($AG25="구리병원",MAX(0,DAY(EOMONTH(요약!$B$3,0))-N($X25)),0))</f>
        <v/>
      </c>
      <c r="AJ25" s="10">
        <f>IF(OR($B25="",TRIM($J25&amp;"")=""),"",IFERROR(MATCH(TRIM($J25&amp;"")&amp;"|월",파견수련계획!$Z$4:$Z$203,0),""))</f>
        <v/>
      </c>
      <c r="AK25" s="10">
        <f>IF(OR($B25="",TRIM($J25&amp;"")=""),"",IFERROR(MATCH(TRIM($J25&amp;"")&amp;"|다기관",파견수련계획!$AE$4:$AE$203,0),""))</f>
        <v/>
      </c>
      <c r="AL25" s="10">
        <f>IF($AK25="","","다기관 "&amp;TEXT(INDEX(파견수련계획!$AB$4:$AB$203,$AK25),"yyyy-mm-dd")&amp;"~"&amp;IF(ISNUMBER(INDEX(파견수련계획!$AC$4:$AC$203,$AK25)),TEXT(INDEX(파견수련계획!$AC$4:$AC$203,$AK25),"yyyy-mm-dd"),""))</f>
        <v/>
      </c>
    </row>
    <row r="26">
      <c r="A26" s="10">
        <f>IF(B26="","",ROW()-1)</f>
        <v/>
      </c>
      <c r="B26" s="18" t="n"/>
      <c r="C26" s="10">
        <f>IF($AB26="","",IF(INDEX(기본자료!$C$2:$C$501,$AB26)="","",INDEX(기본자료!$C$2:$C$501,$AB26)))</f>
        <v/>
      </c>
      <c r="D26" s="10">
        <f>IF($AB26="","",IF(INDEX(기본자료!$J$2:$J$501,$AB26)="","",INDEX(기본자료!$J$2:$J$501,$AB26)))</f>
        <v/>
      </c>
      <c r="E26" s="11">
        <f>IF($AB26="","",IF(INDEX(기본자료!$K$2:$K$501,$AB26)="","",IF(NOT(ISNUMBER(INDEX(기본자료!$K$2:$K$501,$AB26))),INDEX(기본자료!$K$2:$K$501,$AB26),IF(INDEX(기본자료!$K$2:$K$501,$AB26)&lt;1000000,INDEX(기본자료!$K$2:$K$501,$AB26),IF(AND(INDEX(기본자료!$K$2:$K$501,$AB26)&gt;=10000101,INT(MOD(INDEX(기본자료!$K$2:$K$501,$AB26),10000)/100)&gt;=1,INT(MOD(INDEX(기본자료!$K$2:$K$501,$AB26),10000)/100)&lt;=12,MOD(INDEX(기본자료!$K$2:$K$501,$AB26),100)&gt;=1,MOD(INDEX(기본자료!$K$2:$K$501,$AB26),100)&lt;=31),DATE(INT(INDEX(기본자료!$K$2:$K$501,$AB26)/10000),INT(MOD(INDEX(기본자료!$K$2:$K$501,$AB26),10000)/100),MOD(INDEX(기본자료!$K$2:$K$501,$AB26),100)),INDEX(기본자료!$K$2:$K$501,$AB26)&amp;"")))))</f>
        <v/>
      </c>
      <c r="F26" s="10">
        <f>IF($AB26="","",IF(INDEX(기본자료!$D$2:$D$501,$AB26)="","",INDEX(기본자료!$D$2:$D$501,$AB26)))</f>
        <v/>
      </c>
      <c r="G26" s="10">
        <f>IF($AB26="","",IF(INDEX(기본자료!$E$2:$E$501,$AB26)="","",INDEX(기본자료!$E$2:$E$501,$AB26)))</f>
        <v/>
      </c>
      <c r="H26" s="10">
        <f>IF($AB26="","",IF(INDEX(기본자료!$F$2:$F$501,$AB26)="","",INDEX(기본자료!$F$2:$F$501,$AB26)))</f>
        <v/>
      </c>
      <c r="I26" s="11">
        <f>IF($AB26="","",IF(INDEX(기본자료!$G$2:$G$501,$AB26)="","",IF(NOT(ISNUMBER(INDEX(기본자료!$G$2:$G$501,$AB26))),INDEX(기본자료!$G$2:$G$501,$AB26),IF(INDEX(기본자료!$G$2:$G$501,$AB26)&lt;1000000,INDEX(기본자료!$G$2:$G$501,$AB26),IF(AND(INDEX(기본자료!$G$2:$G$501,$AB26)&gt;=10000101,INT(MOD(INDEX(기본자료!$G$2:$G$501,$AB26),10000)/100)&gt;=1,INT(MOD(INDEX(기본자료!$G$2:$G$501,$AB26),10000)/100)&lt;=12,MOD(INDEX(기본자료!$G$2:$G$501,$AB26),100)&gt;=1,MOD(INDEX(기본자료!$G$2:$G$501,$AB26),100)&lt;=31),DATE(INT(INDEX(기본자료!$G$2:$G$501,$AB26)/10000),INT(MOD(INDEX(기본자료!$G$2:$G$501,$AB26),10000)/100),MOD(INDEX(기본자료!$G$2:$G$501,$AB26),100)),INDEX(기본자료!$G$2:$G$501,$AB26)&amp;"")))))</f>
        <v/>
      </c>
      <c r="J26" s="10">
        <f>IF($AB26="","",IF(INDEX(기본자료!$H$2:$H$501,$AB26)="","",INDEX(기본자료!$H$2:$H$501,$AB26)))</f>
        <v/>
      </c>
      <c r="K26" s="10">
        <f>IF($AB26="","",IF(INDEX(기본자료!$I$2:$I$501,$AB26)="","",INDEX(기본자료!$I$2:$I$501,$AB26)))</f>
        <v/>
      </c>
      <c r="L26" s="10">
        <f>IF($AB26="","",IF(INDEX(기본자료!$A$2:$A$501,$AB26)="","",INDEX(기본자료!$A$2:$A$501,$AB26)))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파견수련계획!$AB$4:$AB$203,$AK26),OR(NOT(ISNUMBER(INDEX(파견수련계획!$AC$4:$AC$203,$AK26))),TODAY()&lt;=INDEX(파견수련계획!$AC$4:$AC$203,$AK26))),"다기관",IF($AF26="","",INDEX(파견수련계획!$T$4:$T$203,$AF26))),IF($AF26="","",INDEX(파견수련계획!$T$4:$T$203,$AF26))))</f>
        <v/>
      </c>
      <c r="Q26" s="10">
        <f>IF($AF26="","",INDEX(파견수련계획!$S$4:$S$203,$AF26))</f>
        <v/>
      </c>
      <c r="R26" s="10">
        <f>IF($AF26="","",INDEX(파견수련계획!$U$4:$U$203,$AF26))</f>
        <v/>
      </c>
      <c r="S26" s="11">
        <f>IF($AF26="","",IF(INDEX(파견수련계획!$H$4:$H$203,$AF26)="","",INDEX(파견수련계획!$H$4:$H$203,$AF26)))</f>
        <v/>
      </c>
      <c r="T26" s="11">
        <f>IF($AF26="","",IF(INDEX(파견수련계획!$I$4:$I$203,$AF26)="","",INDEX(파견수련계획!$I$4:$I$203,$AF26)))</f>
        <v/>
      </c>
      <c r="U26" s="10">
        <f>IF($AF26="","",INDEX(파견수련계획!$X$4:$X$203,$AF26))</f>
        <v/>
      </c>
      <c r="V26" s="17">
        <f>IF($AF26="","",INDEX(파견수련계획!$V$4:$V$203,$AF26))</f>
        <v/>
      </c>
      <c r="W26" s="17">
        <f>IF(AND($U26="파견중",$T26&lt;&gt;""),$T26-TODAY(),"")</f>
        <v/>
      </c>
      <c r="X26" s="17">
        <f>IF(OR($B26="",TRIM($J26&amp;"")=""),"",SUMPRODUCT((파견수련계획!$Q$4:$Q$203=TRIM($J26&amp;""))*파견수련계획!$W$4:$W$203))</f>
        <v/>
      </c>
      <c r="Y26" s="10">
        <f>IF($B26="","",IF($AG26="","",IF(IF(TRIM($J26&amp;"")="",0,SUMPRODUCT((파견수련계획!$Q$4:$Q$203=TRIM($J26&amp;""))*파견수련계획!$AD$4:$AD$203))&gt;0,$AE26,IF(N($X26)&lt;=0,$AG26,IF($AH26+$AI26=DAY(EOMONTH(요약!$B$3,0)),IF(AND($AH26&gt;=요약!$E$3,$AI26&lt;요약!$E$3),"서울병원",IF(AND($AI26&gt;=요약!$E$3,$AH26&lt;요약!$E$3),"구리병원","⚠15일 판정불가(서울 "&amp;$AH26&amp;"일/구리 "&amp;$AI26&amp;"일)")),IF($AJ26="",$AE26,IF(INDEX(파견수련계획!$T$4:$T$203,$AJ26)="통합수련",INDEX(파견수련계획!$S$4:$S$203,$AJ26),$AE26)))))))</f>
        <v/>
      </c>
      <c r="Z26" s="19">
        <f>IF($B26="","",IF($AB26="","기본자료에 없는 사번",IF(COUNTIF($B$2:$B$201,$B26)&gt;1,"중복 사번",IF($AE26="","소속(입사장소) 입력",IF(IF(TRIM($J26&amp;"")="",0,SUMPRODUCT((파견수련계획!$Q$4:$Q$203=TRIM($J26&amp;""))*(파견수련계획!$AA$4:$AA$203&lt;&gt;"")))&gt;0,"파견수련계획 입력오류 확인",IF(LEFT($Y26,1)="⚠","서울·구리 15일 판정 불가(양쪽 모두 이상/미만)",IF(IF($AC26="",0,N(INDEX(인턴근무계획!$T$3:$T$202,$AC26)))&gt;0,"인턴계획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IF($B26="","",IFERROR(MATCH($B26,기본자료!$B$2:$B$501,0),IFERROR(MATCH($B26&amp;"",기본자료!$B$2:$B$501,0),IFERROR(MATCH(VALUE($B26),기본자료!$B$2:$B$501,0),""))))</f>
        <v/>
      </c>
      <c r="AC26" s="10">
        <f>IF($B26="","",IFERROR(MATCH($B26,인턴근무계획!$D$3:$D$202,0),IFERROR(MATCH($B26&amp;"",인턴근무계획!$D$3:$D$202,0),IFERROR(MATCH(VALUE($B26),인턴근무계획!$D$3:$D$202,0),""))))</f>
        <v/>
      </c>
      <c r="AD26" s="10">
        <f>IF(OR($AC26="",인턴현황!$G$3=""),"",INDEX(인턴근무계획!$M$3:$R$202,$AC26,인턴현황!$G$3)&amp;"")</f>
        <v/>
      </c>
      <c r="AE26" s="10">
        <f>IF($B26="","",IF($M26&lt;&gt;"",$M26,IF($AF26&lt;&gt;"",IF(LEFT(INDEX(파견수련계획!$R$4:$R$203,$AF26),1)&lt;&gt;"⚠",INDEX(파견수련계획!$R$4:$R$203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$203,0),IFERROR(MATCH(TRIM($J26&amp;"")&amp;"|파견예정",파견수련계획!$Y$4:$Y$203,0),IFERROR(MATCH(TRIM($J26&amp;"")&amp;"|파견종료",파견수련계획!$Y$4:$Y$203,0),""))))</f>
        <v/>
      </c>
      <c r="AG26" s="10">
        <f>IF($B26="","",IF(AND(IF(OR($AC26="",인턴현황!$K$2=""),"",INDEX(인턴근무계획!$M$3:$R$202,$AC26,인턴현황!$K$2)&amp;"")&lt;&gt;"",LEFT(IF(OR($AC26="",인턴현황!$K$2=""),"",INDEX(인턴근무계획!$M$3:$R$202,$AC26,인턴현황!$K$2)&amp;""),1)&lt;&gt;"⚠"),LEFT(IF(OR($AC26="",인턴현황!$K$2=""),"",INDEX(인턴근무계획!$M$3:$R$202,$AC26,인턴현황!$K$2)&amp;""),FIND(" ",IF(OR($AC26="",인턴현황!$K$2=""),"",INDEX(인턴근무계획!$M$3:$R$202,$AC26,인턴현황!$K$2)&amp;""))-1),$AE26))</f>
        <v/>
      </c>
      <c r="AH26" s="17">
        <f>IF($B26="","",IF(TRIM($J26&amp;"")="",0,SUMPRODUCT((파견수련계획!$Q$4:$Q$203=TRIM($J26&amp;""))*(파견수련계획!$S$4:$S$203="서울병원")*파견수련계획!$W$4:$W$203))+IF($AG26="서울병원",MAX(0,DAY(EOMONTH(요약!$B$3,0))-N($X26)),0))</f>
        <v/>
      </c>
      <c r="AI26" s="17">
        <f>IF($B26="","",IF(TRIM($J26&amp;"")="",0,SUMPRODUCT((파견수련계획!$Q$4:$Q$203=TRIM($J26&amp;""))*(파견수련계획!$S$4:$S$203="구리병원")*파견수련계획!$W$4:$W$203))+IF($AG26="구리병원",MAX(0,DAY(EOMONTH(요약!$B$3,0))-N($X26)),0))</f>
        <v/>
      </c>
      <c r="AJ26" s="10">
        <f>IF(OR($B26="",TRIM($J26&amp;"")=""),"",IFERROR(MATCH(TRIM($J26&amp;"")&amp;"|월",파견수련계획!$Z$4:$Z$203,0),""))</f>
        <v/>
      </c>
      <c r="AK26" s="10">
        <f>IF(OR($B26="",TRIM($J26&amp;"")=""),"",IFERROR(MATCH(TRIM($J26&amp;"")&amp;"|다기관",파견수련계획!$AE$4:$AE$203,0),""))</f>
        <v/>
      </c>
      <c r="AL26" s="10">
        <f>IF($AK26="","","다기관 "&amp;TEXT(INDEX(파견수련계획!$AB$4:$AB$203,$AK26),"yyyy-mm-dd")&amp;"~"&amp;IF(ISNUMBER(INDEX(파견수련계획!$AC$4:$AC$203,$AK26)),TEXT(INDEX(파견수련계획!$AC$4:$AC$203,$AK26),"yyyy-mm-dd"),""))</f>
        <v/>
      </c>
    </row>
    <row r="27">
      <c r="A27" s="10">
        <f>IF(B27="","",ROW()-1)</f>
        <v/>
      </c>
      <c r="B27" s="18" t="n"/>
      <c r="C27" s="10">
        <f>IF($AB27="","",IF(INDEX(기본자료!$C$2:$C$501,$AB27)="","",INDEX(기본자료!$C$2:$C$501,$AB27)))</f>
        <v/>
      </c>
      <c r="D27" s="10">
        <f>IF($AB27="","",IF(INDEX(기본자료!$J$2:$J$501,$AB27)="","",INDEX(기본자료!$J$2:$J$501,$AB27)))</f>
        <v/>
      </c>
      <c r="E27" s="11">
        <f>IF($AB27="","",IF(INDEX(기본자료!$K$2:$K$501,$AB27)="","",IF(NOT(ISNUMBER(INDEX(기본자료!$K$2:$K$501,$AB27))),INDEX(기본자료!$K$2:$K$501,$AB27),IF(INDEX(기본자료!$K$2:$K$501,$AB27)&lt;1000000,INDEX(기본자료!$K$2:$K$501,$AB27),IF(AND(INDEX(기본자료!$K$2:$K$501,$AB27)&gt;=10000101,INT(MOD(INDEX(기본자료!$K$2:$K$501,$AB27),10000)/100)&gt;=1,INT(MOD(INDEX(기본자료!$K$2:$K$501,$AB27),10000)/100)&lt;=12,MOD(INDEX(기본자료!$K$2:$K$501,$AB27),100)&gt;=1,MOD(INDEX(기본자료!$K$2:$K$501,$AB27),100)&lt;=31),DATE(INT(INDEX(기본자료!$K$2:$K$501,$AB27)/10000),INT(MOD(INDEX(기본자료!$K$2:$K$501,$AB27),10000)/100),MOD(INDEX(기본자료!$K$2:$K$501,$AB27),100)),INDEX(기본자료!$K$2:$K$501,$AB27)&amp;"")))))</f>
        <v/>
      </c>
      <c r="F27" s="10">
        <f>IF($AB27="","",IF(INDEX(기본자료!$D$2:$D$501,$AB27)="","",INDEX(기본자료!$D$2:$D$501,$AB27)))</f>
        <v/>
      </c>
      <c r="G27" s="10">
        <f>IF($AB27="","",IF(INDEX(기본자료!$E$2:$E$501,$AB27)="","",INDEX(기본자료!$E$2:$E$501,$AB27)))</f>
        <v/>
      </c>
      <c r="H27" s="10">
        <f>IF($AB27="","",IF(INDEX(기본자료!$F$2:$F$501,$AB27)="","",INDEX(기본자료!$F$2:$F$501,$AB27)))</f>
        <v/>
      </c>
      <c r="I27" s="11">
        <f>IF($AB27="","",IF(INDEX(기본자료!$G$2:$G$501,$AB27)="","",IF(NOT(ISNUMBER(INDEX(기본자료!$G$2:$G$501,$AB27))),INDEX(기본자료!$G$2:$G$501,$AB27),IF(INDEX(기본자료!$G$2:$G$501,$AB27)&lt;1000000,INDEX(기본자료!$G$2:$G$501,$AB27),IF(AND(INDEX(기본자료!$G$2:$G$501,$AB27)&gt;=10000101,INT(MOD(INDEX(기본자료!$G$2:$G$501,$AB27),10000)/100)&gt;=1,INT(MOD(INDEX(기본자료!$G$2:$G$501,$AB27),10000)/100)&lt;=12,MOD(INDEX(기본자료!$G$2:$G$501,$AB27),100)&gt;=1,MOD(INDEX(기본자료!$G$2:$G$501,$AB27),100)&lt;=31),DATE(INT(INDEX(기본자료!$G$2:$G$501,$AB27)/10000),INT(MOD(INDEX(기본자료!$G$2:$G$501,$AB27),10000)/100),MOD(INDEX(기본자료!$G$2:$G$501,$AB27),100)),INDEX(기본자료!$G$2:$G$501,$AB27)&amp;"")))))</f>
        <v/>
      </c>
      <c r="J27" s="10">
        <f>IF($AB27="","",IF(INDEX(기본자료!$H$2:$H$501,$AB27)="","",INDEX(기본자료!$H$2:$H$501,$AB27)))</f>
        <v/>
      </c>
      <c r="K27" s="10">
        <f>IF($AB27="","",IF(INDEX(기본자료!$I$2:$I$501,$AB27)="","",INDEX(기본자료!$I$2:$I$501,$AB27)))</f>
        <v/>
      </c>
      <c r="L27" s="10">
        <f>IF($AB27="","",IF(INDEX(기본자료!$A$2:$A$501,$AB27)="","",INDEX(기본자료!$A$2:$A$501,$AB27)))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파견수련계획!$AB$4:$AB$203,$AK27),OR(NOT(ISNUMBER(INDEX(파견수련계획!$AC$4:$AC$203,$AK27))),TODAY()&lt;=INDEX(파견수련계획!$AC$4:$AC$203,$AK27))),"다기관",IF($AF27="","",INDEX(파견수련계획!$T$4:$T$203,$AF27))),IF($AF27="","",INDEX(파견수련계획!$T$4:$T$203,$AF27))))</f>
        <v/>
      </c>
      <c r="Q27" s="10">
        <f>IF($AF27="","",INDEX(파견수련계획!$S$4:$S$203,$AF27))</f>
        <v/>
      </c>
      <c r="R27" s="10">
        <f>IF($AF27="","",INDEX(파견수련계획!$U$4:$U$203,$AF27))</f>
        <v/>
      </c>
      <c r="S27" s="11">
        <f>IF($AF27="","",IF(INDEX(파견수련계획!$H$4:$H$203,$AF27)="","",INDEX(파견수련계획!$H$4:$H$203,$AF27)))</f>
        <v/>
      </c>
      <c r="T27" s="11">
        <f>IF($AF27="","",IF(INDEX(파견수련계획!$I$4:$I$203,$AF27)="","",INDEX(파견수련계획!$I$4:$I$203,$AF27)))</f>
        <v/>
      </c>
      <c r="U27" s="10">
        <f>IF($AF27="","",INDEX(파견수련계획!$X$4:$X$203,$AF27))</f>
        <v/>
      </c>
      <c r="V27" s="17">
        <f>IF($AF27="","",INDEX(파견수련계획!$V$4:$V$203,$AF27))</f>
        <v/>
      </c>
      <c r="W27" s="17">
        <f>IF(AND($U27="파견중",$T27&lt;&gt;""),$T27-TODAY(),"")</f>
        <v/>
      </c>
      <c r="X27" s="17">
        <f>IF(OR($B27="",TRIM($J27&amp;"")=""),"",SUMPRODUCT((파견수련계획!$Q$4:$Q$203=TRIM($J27&amp;""))*파견수련계획!$W$4:$W$203))</f>
        <v/>
      </c>
      <c r="Y27" s="10">
        <f>IF($B27="","",IF($AG27="","",IF(IF(TRIM($J27&amp;"")="",0,SUMPRODUCT((파견수련계획!$Q$4:$Q$203=TRIM($J27&amp;""))*파견수련계획!$AD$4:$AD$203))&gt;0,$AE27,IF(N($X27)&lt;=0,$AG27,IF($AH27+$AI27=DAY(EOMONTH(요약!$B$3,0)),IF(AND($AH27&gt;=요약!$E$3,$AI27&lt;요약!$E$3),"서울병원",IF(AND($AI27&gt;=요약!$E$3,$AH27&lt;요약!$E$3),"구리병원","⚠15일 판정불가(서울 "&amp;$AH27&amp;"일/구리 "&amp;$AI27&amp;"일)")),IF($AJ27="",$AE27,IF(INDEX(파견수련계획!$T$4:$T$203,$AJ27)="통합수련",INDEX(파견수련계획!$S$4:$S$203,$AJ27),$AE27)))))))</f>
        <v/>
      </c>
      <c r="Z27" s="19">
        <f>IF($B27="","",IF($AB27="","기본자료에 없는 사번",IF(COUNTIF($B$2:$B$201,$B27)&gt;1,"중복 사번",IF($AE27="","소속(입사장소) 입력",IF(IF(TRIM($J27&amp;"")="",0,SUMPRODUCT((파견수련계획!$Q$4:$Q$203=TRIM($J27&amp;""))*(파견수련계획!$AA$4:$AA$203&lt;&gt;"")))&gt;0,"파견수련계획 입력오류 확인",IF(LEFT($Y27,1)="⚠","서울·구리 15일 판정 불가(양쪽 모두 이상/미만)",IF(IF($AC27="",0,N(INDEX(인턴근무계획!$T$3:$T$202,$AC27)))&gt;0,"인턴계획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IF($B27="","",IFERROR(MATCH($B27,기본자료!$B$2:$B$501,0),IFERROR(MATCH($B27&amp;"",기본자료!$B$2:$B$501,0),IFERROR(MATCH(VALUE($B27),기본자료!$B$2:$B$501,0),""))))</f>
        <v/>
      </c>
      <c r="AC27" s="10">
        <f>IF($B27="","",IFERROR(MATCH($B27,인턴근무계획!$D$3:$D$202,0),IFERROR(MATCH($B27&amp;"",인턴근무계획!$D$3:$D$202,0),IFERROR(MATCH(VALUE($B27),인턴근무계획!$D$3:$D$202,0),""))))</f>
        <v/>
      </c>
      <c r="AD27" s="10">
        <f>IF(OR($AC27="",인턴현황!$G$3=""),"",INDEX(인턴근무계획!$M$3:$R$202,$AC27,인턴현황!$G$3)&amp;"")</f>
        <v/>
      </c>
      <c r="AE27" s="10">
        <f>IF($B27="","",IF($M27&lt;&gt;"",$M27,IF($AF27&lt;&gt;"",IF(LEFT(INDEX(파견수련계획!$R$4:$R$203,$AF27),1)&lt;&gt;"⚠",INDEX(파견수련계획!$R$4:$R$203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$203,0),IFERROR(MATCH(TRIM($J27&amp;"")&amp;"|파견예정",파견수련계획!$Y$4:$Y$203,0),IFERROR(MATCH(TRIM($J27&amp;"")&amp;"|파견종료",파견수련계획!$Y$4:$Y$203,0),""))))</f>
        <v/>
      </c>
      <c r="AG27" s="10">
        <f>IF($B27="","",IF(AND(IF(OR($AC27="",인턴현황!$K$2=""),"",INDEX(인턴근무계획!$M$3:$R$202,$AC27,인턴현황!$K$2)&amp;"")&lt;&gt;"",LEFT(IF(OR($AC27="",인턴현황!$K$2=""),"",INDEX(인턴근무계획!$M$3:$R$202,$AC27,인턴현황!$K$2)&amp;""),1)&lt;&gt;"⚠"),LEFT(IF(OR($AC27="",인턴현황!$K$2=""),"",INDEX(인턴근무계획!$M$3:$R$202,$AC27,인턴현황!$K$2)&amp;""),FIND(" ",IF(OR($AC27="",인턴현황!$K$2=""),"",INDEX(인턴근무계획!$M$3:$R$202,$AC27,인턴현황!$K$2)&amp;""))-1),$AE27))</f>
        <v/>
      </c>
      <c r="AH27" s="17">
        <f>IF($B27="","",IF(TRIM($J27&amp;"")="",0,SUMPRODUCT((파견수련계획!$Q$4:$Q$203=TRIM($J27&amp;""))*(파견수련계획!$S$4:$S$203="서울병원")*파견수련계획!$W$4:$W$203))+IF($AG27="서울병원",MAX(0,DAY(EOMONTH(요약!$B$3,0))-N($X27)),0))</f>
        <v/>
      </c>
      <c r="AI27" s="17">
        <f>IF($B27="","",IF(TRIM($J27&amp;"")="",0,SUMPRODUCT((파견수련계획!$Q$4:$Q$203=TRIM($J27&amp;""))*(파견수련계획!$S$4:$S$203="구리병원")*파견수련계획!$W$4:$W$203))+IF($AG27="구리병원",MAX(0,DAY(EOMONTH(요약!$B$3,0))-N($X27)),0))</f>
        <v/>
      </c>
      <c r="AJ27" s="10">
        <f>IF(OR($B27="",TRIM($J27&amp;"")=""),"",IFERROR(MATCH(TRIM($J27&amp;"")&amp;"|월",파견수련계획!$Z$4:$Z$203,0),""))</f>
        <v/>
      </c>
      <c r="AK27" s="10">
        <f>IF(OR($B27="",TRIM($J27&amp;"")=""),"",IFERROR(MATCH(TRIM($J27&amp;"")&amp;"|다기관",파견수련계획!$AE$4:$AE$203,0),""))</f>
        <v/>
      </c>
      <c r="AL27" s="10">
        <f>IF($AK27="","","다기관 "&amp;TEXT(INDEX(파견수련계획!$AB$4:$AB$203,$AK27),"yyyy-mm-dd")&amp;"~"&amp;IF(ISNUMBER(INDEX(파견수련계획!$AC$4:$AC$203,$AK27)),TEXT(INDEX(파견수련계획!$AC$4:$AC$203,$AK27),"yyyy-mm-dd"),""))</f>
        <v/>
      </c>
    </row>
    <row r="28">
      <c r="A28" s="10">
        <f>IF(B28="","",ROW()-1)</f>
        <v/>
      </c>
      <c r="B28" s="18" t="n"/>
      <c r="C28" s="10">
        <f>IF($AB28="","",IF(INDEX(기본자료!$C$2:$C$501,$AB28)="","",INDEX(기본자료!$C$2:$C$501,$AB28)))</f>
        <v/>
      </c>
      <c r="D28" s="10">
        <f>IF($AB28="","",IF(INDEX(기본자료!$J$2:$J$501,$AB28)="","",INDEX(기본자료!$J$2:$J$501,$AB28)))</f>
        <v/>
      </c>
      <c r="E28" s="11">
        <f>IF($AB28="","",IF(INDEX(기본자료!$K$2:$K$501,$AB28)="","",IF(NOT(ISNUMBER(INDEX(기본자료!$K$2:$K$501,$AB28))),INDEX(기본자료!$K$2:$K$501,$AB28),IF(INDEX(기본자료!$K$2:$K$501,$AB28)&lt;1000000,INDEX(기본자료!$K$2:$K$501,$AB28),IF(AND(INDEX(기본자료!$K$2:$K$501,$AB28)&gt;=10000101,INT(MOD(INDEX(기본자료!$K$2:$K$501,$AB28),10000)/100)&gt;=1,INT(MOD(INDEX(기본자료!$K$2:$K$501,$AB28),10000)/100)&lt;=12,MOD(INDEX(기본자료!$K$2:$K$501,$AB28),100)&gt;=1,MOD(INDEX(기본자료!$K$2:$K$501,$AB28),100)&lt;=31),DATE(INT(INDEX(기본자료!$K$2:$K$501,$AB28)/10000),INT(MOD(INDEX(기본자료!$K$2:$K$501,$AB28),10000)/100),MOD(INDEX(기본자료!$K$2:$K$501,$AB28),100)),INDEX(기본자료!$K$2:$K$501,$AB28)&amp;"")))))</f>
        <v/>
      </c>
      <c r="F28" s="10">
        <f>IF($AB28="","",IF(INDEX(기본자료!$D$2:$D$501,$AB28)="","",INDEX(기본자료!$D$2:$D$501,$AB28)))</f>
        <v/>
      </c>
      <c r="G28" s="10">
        <f>IF($AB28="","",IF(INDEX(기본자료!$E$2:$E$501,$AB28)="","",INDEX(기본자료!$E$2:$E$501,$AB28)))</f>
        <v/>
      </c>
      <c r="H28" s="10">
        <f>IF($AB28="","",IF(INDEX(기본자료!$F$2:$F$501,$AB28)="","",INDEX(기본자료!$F$2:$F$501,$AB28)))</f>
        <v/>
      </c>
      <c r="I28" s="11">
        <f>IF($AB28="","",IF(INDEX(기본자료!$G$2:$G$501,$AB28)="","",IF(NOT(ISNUMBER(INDEX(기본자료!$G$2:$G$501,$AB28))),INDEX(기본자료!$G$2:$G$501,$AB28),IF(INDEX(기본자료!$G$2:$G$501,$AB28)&lt;1000000,INDEX(기본자료!$G$2:$G$501,$AB28),IF(AND(INDEX(기본자료!$G$2:$G$501,$AB28)&gt;=10000101,INT(MOD(INDEX(기본자료!$G$2:$G$501,$AB28),10000)/100)&gt;=1,INT(MOD(INDEX(기본자료!$G$2:$G$501,$AB28),10000)/100)&lt;=12,MOD(INDEX(기본자료!$G$2:$G$501,$AB28),100)&gt;=1,MOD(INDEX(기본자료!$G$2:$G$501,$AB28),100)&lt;=31),DATE(INT(INDEX(기본자료!$G$2:$G$501,$AB28)/10000),INT(MOD(INDEX(기본자료!$G$2:$G$501,$AB28),10000)/100),MOD(INDEX(기본자료!$G$2:$G$501,$AB28),100)),INDEX(기본자료!$G$2:$G$501,$AB28)&amp;"")))))</f>
        <v/>
      </c>
      <c r="J28" s="10">
        <f>IF($AB28="","",IF(INDEX(기본자료!$H$2:$H$501,$AB28)="","",INDEX(기본자료!$H$2:$H$501,$AB28)))</f>
        <v/>
      </c>
      <c r="K28" s="10">
        <f>IF($AB28="","",IF(INDEX(기본자료!$I$2:$I$501,$AB28)="","",INDEX(기본자료!$I$2:$I$501,$AB28)))</f>
        <v/>
      </c>
      <c r="L28" s="10">
        <f>IF($AB28="","",IF(INDEX(기본자료!$A$2:$A$501,$AB28)="","",INDEX(기본자료!$A$2:$A$501,$AB28)))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파견수련계획!$AB$4:$AB$203,$AK28),OR(NOT(ISNUMBER(INDEX(파견수련계획!$AC$4:$AC$203,$AK28))),TODAY()&lt;=INDEX(파견수련계획!$AC$4:$AC$203,$AK28))),"다기관",IF($AF28="","",INDEX(파견수련계획!$T$4:$T$203,$AF28))),IF($AF28="","",INDEX(파견수련계획!$T$4:$T$203,$AF28))))</f>
        <v/>
      </c>
      <c r="Q28" s="10">
        <f>IF($AF28="","",INDEX(파견수련계획!$S$4:$S$203,$AF28))</f>
        <v/>
      </c>
      <c r="R28" s="10">
        <f>IF($AF28="","",INDEX(파견수련계획!$U$4:$U$203,$AF28))</f>
        <v/>
      </c>
      <c r="S28" s="11">
        <f>IF($AF28="","",IF(INDEX(파견수련계획!$H$4:$H$203,$AF28)="","",INDEX(파견수련계획!$H$4:$H$203,$AF28)))</f>
        <v/>
      </c>
      <c r="T28" s="11">
        <f>IF($AF28="","",IF(INDEX(파견수련계획!$I$4:$I$203,$AF28)="","",INDEX(파견수련계획!$I$4:$I$203,$AF28)))</f>
        <v/>
      </c>
      <c r="U28" s="10">
        <f>IF($AF28="","",INDEX(파견수련계획!$X$4:$X$203,$AF28))</f>
        <v/>
      </c>
      <c r="V28" s="17">
        <f>IF($AF28="","",INDEX(파견수련계획!$V$4:$V$203,$AF28))</f>
        <v/>
      </c>
      <c r="W28" s="17">
        <f>IF(AND($U28="파견중",$T28&lt;&gt;""),$T28-TODAY(),"")</f>
        <v/>
      </c>
      <c r="X28" s="17">
        <f>IF(OR($B28="",TRIM($J28&amp;"")=""),"",SUMPRODUCT((파견수련계획!$Q$4:$Q$203=TRIM($J28&amp;""))*파견수련계획!$W$4:$W$203))</f>
        <v/>
      </c>
      <c r="Y28" s="10">
        <f>IF($B28="","",IF($AG28="","",IF(IF(TRIM($J28&amp;"")="",0,SUMPRODUCT((파견수련계획!$Q$4:$Q$203=TRIM($J28&amp;""))*파견수련계획!$AD$4:$AD$203))&gt;0,$AE28,IF(N($X28)&lt;=0,$AG28,IF($AH28+$AI28=DAY(EOMONTH(요약!$B$3,0)),IF(AND($AH28&gt;=요약!$E$3,$AI28&lt;요약!$E$3),"서울병원",IF(AND($AI28&gt;=요약!$E$3,$AH28&lt;요약!$E$3),"구리병원","⚠15일 판정불가(서울 "&amp;$AH28&amp;"일/구리 "&amp;$AI28&amp;"일)")),IF($AJ28="",$AE28,IF(INDEX(파견수련계획!$T$4:$T$203,$AJ28)="통합수련",INDEX(파견수련계획!$S$4:$S$203,$AJ28),$AE28)))))))</f>
        <v/>
      </c>
      <c r="Z28" s="19">
        <f>IF($B28="","",IF($AB28="","기본자료에 없는 사번",IF(COUNTIF($B$2:$B$201,$B28)&gt;1,"중복 사번",IF($AE28="","소속(입사장소) 입력",IF(IF(TRIM($J28&amp;"")="",0,SUMPRODUCT((파견수련계획!$Q$4:$Q$203=TRIM($J28&amp;""))*(파견수련계획!$AA$4:$AA$203&lt;&gt;"")))&gt;0,"파견수련계획 입력오류 확인",IF(LEFT($Y28,1)="⚠","서울·구리 15일 판정 불가(양쪽 모두 이상/미만)",IF(IF($AC28="",0,N(INDEX(인턴근무계획!$T$3:$T$202,$AC28)))&gt;0,"인턴계획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IF($B28="","",IFERROR(MATCH($B28,기본자료!$B$2:$B$501,0),IFERROR(MATCH($B28&amp;"",기본자료!$B$2:$B$501,0),IFERROR(MATCH(VALUE($B28),기본자료!$B$2:$B$501,0),""))))</f>
        <v/>
      </c>
      <c r="AC28" s="10">
        <f>IF($B28="","",IFERROR(MATCH($B28,인턴근무계획!$D$3:$D$202,0),IFERROR(MATCH($B28&amp;"",인턴근무계획!$D$3:$D$202,0),IFERROR(MATCH(VALUE($B28),인턴근무계획!$D$3:$D$202,0),""))))</f>
        <v/>
      </c>
      <c r="AD28" s="10">
        <f>IF(OR($AC28="",인턴현황!$G$3=""),"",INDEX(인턴근무계획!$M$3:$R$202,$AC28,인턴현황!$G$3)&amp;"")</f>
        <v/>
      </c>
      <c r="AE28" s="10">
        <f>IF($B28="","",IF($M28&lt;&gt;"",$M28,IF($AF28&lt;&gt;"",IF(LEFT(INDEX(파견수련계획!$R$4:$R$203,$AF28),1)&lt;&gt;"⚠",INDEX(파견수련계획!$R$4:$R$203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$203,0),IFERROR(MATCH(TRIM($J28&amp;"")&amp;"|파견예정",파견수련계획!$Y$4:$Y$203,0),IFERROR(MATCH(TRIM($J28&amp;"")&amp;"|파견종료",파견수련계획!$Y$4:$Y$203,0),""))))</f>
        <v/>
      </c>
      <c r="AG28" s="10">
        <f>IF($B28="","",IF(AND(IF(OR($AC28="",인턴현황!$K$2=""),"",INDEX(인턴근무계획!$M$3:$R$202,$AC28,인턴현황!$K$2)&amp;"")&lt;&gt;"",LEFT(IF(OR($AC28="",인턴현황!$K$2=""),"",INDEX(인턴근무계획!$M$3:$R$202,$AC28,인턴현황!$K$2)&amp;""),1)&lt;&gt;"⚠"),LEFT(IF(OR($AC28="",인턴현황!$K$2=""),"",INDEX(인턴근무계획!$M$3:$R$202,$AC28,인턴현황!$K$2)&amp;""),FIND(" ",IF(OR($AC28="",인턴현황!$K$2=""),"",INDEX(인턴근무계획!$M$3:$R$202,$AC28,인턴현황!$K$2)&amp;""))-1),$AE28))</f>
        <v/>
      </c>
      <c r="AH28" s="17">
        <f>IF($B28="","",IF(TRIM($J28&amp;"")="",0,SUMPRODUCT((파견수련계획!$Q$4:$Q$203=TRIM($J28&amp;""))*(파견수련계획!$S$4:$S$203="서울병원")*파견수련계획!$W$4:$W$203))+IF($AG28="서울병원",MAX(0,DAY(EOMONTH(요약!$B$3,0))-N($X28)),0))</f>
        <v/>
      </c>
      <c r="AI28" s="17">
        <f>IF($B28="","",IF(TRIM($J28&amp;"")="",0,SUMPRODUCT((파견수련계획!$Q$4:$Q$203=TRIM($J28&amp;""))*(파견수련계획!$S$4:$S$203="구리병원")*파견수련계획!$W$4:$W$203))+IF($AG28="구리병원",MAX(0,DAY(EOMONTH(요약!$B$3,0))-N($X28)),0))</f>
        <v/>
      </c>
      <c r="AJ28" s="10">
        <f>IF(OR($B28="",TRIM($J28&amp;"")=""),"",IFERROR(MATCH(TRIM($J28&amp;"")&amp;"|월",파견수련계획!$Z$4:$Z$203,0),""))</f>
        <v/>
      </c>
      <c r="AK28" s="10">
        <f>IF(OR($B28="",TRIM($J28&amp;"")=""),"",IFERROR(MATCH(TRIM($J28&amp;"")&amp;"|다기관",파견수련계획!$AE$4:$AE$203,0),""))</f>
        <v/>
      </c>
      <c r="AL28" s="10">
        <f>IF($AK28="","","다기관 "&amp;TEXT(INDEX(파견수련계획!$AB$4:$AB$203,$AK28),"yyyy-mm-dd")&amp;"~"&amp;IF(ISNUMBER(INDEX(파견수련계획!$AC$4:$AC$203,$AK28)),TEXT(INDEX(파견수련계획!$AC$4:$AC$203,$AK28),"yyyy-mm-dd"),""))</f>
        <v/>
      </c>
    </row>
    <row r="29">
      <c r="A29" s="10">
        <f>IF(B29="","",ROW()-1)</f>
        <v/>
      </c>
      <c r="B29" s="18" t="n"/>
      <c r="C29" s="10">
        <f>IF($AB29="","",IF(INDEX(기본자료!$C$2:$C$501,$AB29)="","",INDEX(기본자료!$C$2:$C$501,$AB29)))</f>
        <v/>
      </c>
      <c r="D29" s="10">
        <f>IF($AB29="","",IF(INDEX(기본자료!$J$2:$J$501,$AB29)="","",INDEX(기본자료!$J$2:$J$501,$AB29)))</f>
        <v/>
      </c>
      <c r="E29" s="11">
        <f>IF($AB29="","",IF(INDEX(기본자료!$K$2:$K$501,$AB29)="","",IF(NOT(ISNUMBER(INDEX(기본자료!$K$2:$K$501,$AB29))),INDEX(기본자료!$K$2:$K$501,$AB29),IF(INDEX(기본자료!$K$2:$K$501,$AB29)&lt;1000000,INDEX(기본자료!$K$2:$K$501,$AB29),IF(AND(INDEX(기본자료!$K$2:$K$501,$AB29)&gt;=10000101,INT(MOD(INDEX(기본자료!$K$2:$K$501,$AB29),10000)/100)&gt;=1,INT(MOD(INDEX(기본자료!$K$2:$K$501,$AB29),10000)/100)&lt;=12,MOD(INDEX(기본자료!$K$2:$K$501,$AB29),100)&gt;=1,MOD(INDEX(기본자료!$K$2:$K$501,$AB29),100)&lt;=31),DATE(INT(INDEX(기본자료!$K$2:$K$501,$AB29)/10000),INT(MOD(INDEX(기본자료!$K$2:$K$501,$AB29),10000)/100),MOD(INDEX(기본자료!$K$2:$K$501,$AB29),100)),INDEX(기본자료!$K$2:$K$501,$AB29)&amp;"")))))</f>
        <v/>
      </c>
      <c r="F29" s="10">
        <f>IF($AB29="","",IF(INDEX(기본자료!$D$2:$D$501,$AB29)="","",INDEX(기본자료!$D$2:$D$501,$AB29)))</f>
        <v/>
      </c>
      <c r="G29" s="10">
        <f>IF($AB29="","",IF(INDEX(기본자료!$E$2:$E$501,$AB29)="","",INDEX(기본자료!$E$2:$E$501,$AB29)))</f>
        <v/>
      </c>
      <c r="H29" s="10">
        <f>IF($AB29="","",IF(INDEX(기본자료!$F$2:$F$501,$AB29)="","",INDEX(기본자료!$F$2:$F$501,$AB29)))</f>
        <v/>
      </c>
      <c r="I29" s="11">
        <f>IF($AB29="","",IF(INDEX(기본자료!$G$2:$G$501,$AB29)="","",IF(NOT(ISNUMBER(INDEX(기본자료!$G$2:$G$501,$AB29))),INDEX(기본자료!$G$2:$G$501,$AB29),IF(INDEX(기본자료!$G$2:$G$501,$AB29)&lt;1000000,INDEX(기본자료!$G$2:$G$501,$AB29),IF(AND(INDEX(기본자료!$G$2:$G$501,$AB29)&gt;=10000101,INT(MOD(INDEX(기본자료!$G$2:$G$501,$AB29),10000)/100)&gt;=1,INT(MOD(INDEX(기본자료!$G$2:$G$501,$AB29),10000)/100)&lt;=12,MOD(INDEX(기본자료!$G$2:$G$501,$AB29),100)&gt;=1,MOD(INDEX(기본자료!$G$2:$G$501,$AB29),100)&lt;=31),DATE(INT(INDEX(기본자료!$G$2:$G$501,$AB29)/10000),INT(MOD(INDEX(기본자료!$G$2:$G$501,$AB29),10000)/100),MOD(INDEX(기본자료!$G$2:$G$501,$AB29),100)),INDEX(기본자료!$G$2:$G$501,$AB29)&amp;"")))))</f>
        <v/>
      </c>
      <c r="J29" s="10">
        <f>IF($AB29="","",IF(INDEX(기본자료!$H$2:$H$501,$AB29)="","",INDEX(기본자료!$H$2:$H$501,$AB29)))</f>
        <v/>
      </c>
      <c r="K29" s="10">
        <f>IF($AB29="","",IF(INDEX(기본자료!$I$2:$I$501,$AB29)="","",INDEX(기본자료!$I$2:$I$501,$AB29)))</f>
        <v/>
      </c>
      <c r="L29" s="10">
        <f>IF($AB29="","",IF(INDEX(기본자료!$A$2:$A$501,$AB29)="","",INDEX(기본자료!$A$2:$A$501,$AB29)))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파견수련계획!$AB$4:$AB$203,$AK29),OR(NOT(ISNUMBER(INDEX(파견수련계획!$AC$4:$AC$203,$AK29))),TODAY()&lt;=INDEX(파견수련계획!$AC$4:$AC$203,$AK29))),"다기관",IF($AF29="","",INDEX(파견수련계획!$T$4:$T$203,$AF29))),IF($AF29="","",INDEX(파견수련계획!$T$4:$T$203,$AF29))))</f>
        <v/>
      </c>
      <c r="Q29" s="10">
        <f>IF($AF29="","",INDEX(파견수련계획!$S$4:$S$203,$AF29))</f>
        <v/>
      </c>
      <c r="R29" s="10">
        <f>IF($AF29="","",INDEX(파견수련계획!$U$4:$U$203,$AF29))</f>
        <v/>
      </c>
      <c r="S29" s="11">
        <f>IF($AF29="","",IF(INDEX(파견수련계획!$H$4:$H$203,$AF29)="","",INDEX(파견수련계획!$H$4:$H$203,$AF29)))</f>
        <v/>
      </c>
      <c r="T29" s="11">
        <f>IF($AF29="","",IF(INDEX(파견수련계획!$I$4:$I$203,$AF29)="","",INDEX(파견수련계획!$I$4:$I$203,$AF29)))</f>
        <v/>
      </c>
      <c r="U29" s="10">
        <f>IF($AF29="","",INDEX(파견수련계획!$X$4:$X$203,$AF29))</f>
        <v/>
      </c>
      <c r="V29" s="17">
        <f>IF($AF29="","",INDEX(파견수련계획!$V$4:$V$203,$AF29))</f>
        <v/>
      </c>
      <c r="W29" s="17">
        <f>IF(AND($U29="파견중",$T29&lt;&gt;""),$T29-TODAY(),"")</f>
        <v/>
      </c>
      <c r="X29" s="17">
        <f>IF(OR($B29="",TRIM($J29&amp;"")=""),"",SUMPRODUCT((파견수련계획!$Q$4:$Q$203=TRIM($J29&amp;""))*파견수련계획!$W$4:$W$203))</f>
        <v/>
      </c>
      <c r="Y29" s="10">
        <f>IF($B29="","",IF($AG29="","",IF(IF(TRIM($J29&amp;"")="",0,SUMPRODUCT((파견수련계획!$Q$4:$Q$203=TRIM($J29&amp;""))*파견수련계획!$AD$4:$AD$203))&gt;0,$AE29,IF(N($X29)&lt;=0,$AG29,IF($AH29+$AI29=DAY(EOMONTH(요약!$B$3,0)),IF(AND($AH29&gt;=요약!$E$3,$AI29&lt;요약!$E$3),"서울병원",IF(AND($AI29&gt;=요약!$E$3,$AH29&lt;요약!$E$3),"구리병원","⚠15일 판정불가(서울 "&amp;$AH29&amp;"일/구리 "&amp;$AI29&amp;"일)")),IF($AJ29="",$AE29,IF(INDEX(파견수련계획!$T$4:$T$203,$AJ29)="통합수련",INDEX(파견수련계획!$S$4:$S$203,$AJ29),$AE29)))))))</f>
        <v/>
      </c>
      <c r="Z29" s="19">
        <f>IF($B29="","",IF($AB29="","기본자료에 없는 사번",IF(COUNTIF($B$2:$B$201,$B29)&gt;1,"중복 사번",IF($AE29="","소속(입사장소) 입력",IF(IF(TRIM($J29&amp;"")="",0,SUMPRODUCT((파견수련계획!$Q$4:$Q$203=TRIM($J29&amp;""))*(파견수련계획!$AA$4:$AA$203&lt;&gt;"")))&gt;0,"파견수련계획 입력오류 확인",IF(LEFT($Y29,1)="⚠","서울·구리 15일 판정 불가(양쪽 모두 이상/미만)",IF(IF($AC29="",0,N(INDEX(인턴근무계획!$T$3:$T$202,$AC29)))&gt;0,"인턴계획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IF($B29="","",IFERROR(MATCH($B29,기본자료!$B$2:$B$501,0),IFERROR(MATCH($B29&amp;"",기본자료!$B$2:$B$501,0),IFERROR(MATCH(VALUE($B29),기본자료!$B$2:$B$501,0),""))))</f>
        <v/>
      </c>
      <c r="AC29" s="10">
        <f>IF($B29="","",IFERROR(MATCH($B29,인턴근무계획!$D$3:$D$202,0),IFERROR(MATCH($B29&amp;"",인턴근무계획!$D$3:$D$202,0),IFERROR(MATCH(VALUE($B29),인턴근무계획!$D$3:$D$202,0),""))))</f>
        <v/>
      </c>
      <c r="AD29" s="10">
        <f>IF(OR($AC29="",인턴현황!$G$3=""),"",INDEX(인턴근무계획!$M$3:$R$202,$AC29,인턴현황!$G$3)&amp;"")</f>
        <v/>
      </c>
      <c r="AE29" s="10">
        <f>IF($B29="","",IF($M29&lt;&gt;"",$M29,IF($AF29&lt;&gt;"",IF(LEFT(INDEX(파견수련계획!$R$4:$R$203,$AF29),1)&lt;&gt;"⚠",INDEX(파견수련계획!$R$4:$R$203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$203,0),IFERROR(MATCH(TRIM($J29&amp;"")&amp;"|파견예정",파견수련계획!$Y$4:$Y$203,0),IFERROR(MATCH(TRIM($J29&amp;"")&amp;"|파견종료",파견수련계획!$Y$4:$Y$203,0),""))))</f>
        <v/>
      </c>
      <c r="AG29" s="10">
        <f>IF($B29="","",IF(AND(IF(OR($AC29="",인턴현황!$K$2=""),"",INDEX(인턴근무계획!$M$3:$R$202,$AC29,인턴현황!$K$2)&amp;"")&lt;&gt;"",LEFT(IF(OR($AC29="",인턴현황!$K$2=""),"",INDEX(인턴근무계획!$M$3:$R$202,$AC29,인턴현황!$K$2)&amp;""),1)&lt;&gt;"⚠"),LEFT(IF(OR($AC29="",인턴현황!$K$2=""),"",INDEX(인턴근무계획!$M$3:$R$202,$AC29,인턴현황!$K$2)&amp;""),FIND(" ",IF(OR($AC29="",인턴현황!$K$2=""),"",INDEX(인턴근무계획!$M$3:$R$202,$AC29,인턴현황!$K$2)&amp;""))-1),$AE29))</f>
        <v/>
      </c>
      <c r="AH29" s="17">
        <f>IF($B29="","",IF(TRIM($J29&amp;"")="",0,SUMPRODUCT((파견수련계획!$Q$4:$Q$203=TRIM($J29&amp;""))*(파견수련계획!$S$4:$S$203="서울병원")*파견수련계획!$W$4:$W$203))+IF($AG29="서울병원",MAX(0,DAY(EOMONTH(요약!$B$3,0))-N($X29)),0))</f>
        <v/>
      </c>
      <c r="AI29" s="17">
        <f>IF($B29="","",IF(TRIM($J29&amp;"")="",0,SUMPRODUCT((파견수련계획!$Q$4:$Q$203=TRIM($J29&amp;""))*(파견수련계획!$S$4:$S$203="구리병원")*파견수련계획!$W$4:$W$203))+IF($AG29="구리병원",MAX(0,DAY(EOMONTH(요약!$B$3,0))-N($X29)),0))</f>
        <v/>
      </c>
      <c r="AJ29" s="10">
        <f>IF(OR($B29="",TRIM($J29&amp;"")=""),"",IFERROR(MATCH(TRIM($J29&amp;"")&amp;"|월",파견수련계획!$Z$4:$Z$203,0),""))</f>
        <v/>
      </c>
      <c r="AK29" s="10">
        <f>IF(OR($B29="",TRIM($J29&amp;"")=""),"",IFERROR(MATCH(TRIM($J29&amp;"")&amp;"|다기관",파견수련계획!$AE$4:$AE$203,0),""))</f>
        <v/>
      </c>
      <c r="AL29" s="10">
        <f>IF($AK29="","","다기관 "&amp;TEXT(INDEX(파견수련계획!$AB$4:$AB$203,$AK29),"yyyy-mm-dd")&amp;"~"&amp;IF(ISNUMBER(INDEX(파견수련계획!$AC$4:$AC$203,$AK29)),TEXT(INDEX(파견수련계획!$AC$4:$AC$203,$AK29),"yyyy-mm-dd"),""))</f>
        <v/>
      </c>
    </row>
    <row r="30">
      <c r="A30" s="10">
        <f>IF(B30="","",ROW()-1)</f>
        <v/>
      </c>
      <c r="B30" s="18" t="n"/>
      <c r="C30" s="10">
        <f>IF($AB30="","",IF(INDEX(기본자료!$C$2:$C$501,$AB30)="","",INDEX(기본자료!$C$2:$C$501,$AB30)))</f>
        <v/>
      </c>
      <c r="D30" s="10">
        <f>IF($AB30="","",IF(INDEX(기본자료!$J$2:$J$501,$AB30)="","",INDEX(기본자료!$J$2:$J$501,$AB30)))</f>
        <v/>
      </c>
      <c r="E30" s="11">
        <f>IF($AB30="","",IF(INDEX(기본자료!$K$2:$K$501,$AB30)="","",IF(NOT(ISNUMBER(INDEX(기본자료!$K$2:$K$501,$AB30))),INDEX(기본자료!$K$2:$K$501,$AB30),IF(INDEX(기본자료!$K$2:$K$501,$AB30)&lt;1000000,INDEX(기본자료!$K$2:$K$501,$AB30),IF(AND(INDEX(기본자료!$K$2:$K$501,$AB30)&gt;=10000101,INT(MOD(INDEX(기본자료!$K$2:$K$501,$AB30),10000)/100)&gt;=1,INT(MOD(INDEX(기본자료!$K$2:$K$501,$AB30),10000)/100)&lt;=12,MOD(INDEX(기본자료!$K$2:$K$501,$AB30),100)&gt;=1,MOD(INDEX(기본자료!$K$2:$K$501,$AB30),100)&lt;=31),DATE(INT(INDEX(기본자료!$K$2:$K$501,$AB30)/10000),INT(MOD(INDEX(기본자료!$K$2:$K$501,$AB30),10000)/100),MOD(INDEX(기본자료!$K$2:$K$501,$AB30),100)),INDEX(기본자료!$K$2:$K$501,$AB30)&amp;"")))))</f>
        <v/>
      </c>
      <c r="F30" s="10">
        <f>IF($AB30="","",IF(INDEX(기본자료!$D$2:$D$501,$AB30)="","",INDEX(기본자료!$D$2:$D$501,$AB30)))</f>
        <v/>
      </c>
      <c r="G30" s="10">
        <f>IF($AB30="","",IF(INDEX(기본자료!$E$2:$E$501,$AB30)="","",INDEX(기본자료!$E$2:$E$501,$AB30)))</f>
        <v/>
      </c>
      <c r="H30" s="10">
        <f>IF($AB30="","",IF(INDEX(기본자료!$F$2:$F$501,$AB30)="","",INDEX(기본자료!$F$2:$F$501,$AB30)))</f>
        <v/>
      </c>
      <c r="I30" s="11">
        <f>IF($AB30="","",IF(INDEX(기본자료!$G$2:$G$501,$AB30)="","",IF(NOT(ISNUMBER(INDEX(기본자료!$G$2:$G$501,$AB30))),INDEX(기본자료!$G$2:$G$501,$AB30),IF(INDEX(기본자료!$G$2:$G$501,$AB30)&lt;1000000,INDEX(기본자료!$G$2:$G$501,$AB30),IF(AND(INDEX(기본자료!$G$2:$G$501,$AB30)&gt;=10000101,INT(MOD(INDEX(기본자료!$G$2:$G$501,$AB30),10000)/100)&gt;=1,INT(MOD(INDEX(기본자료!$G$2:$G$501,$AB30),10000)/100)&lt;=12,MOD(INDEX(기본자료!$G$2:$G$501,$AB30),100)&gt;=1,MOD(INDEX(기본자료!$G$2:$G$501,$AB30),100)&lt;=31),DATE(INT(INDEX(기본자료!$G$2:$G$501,$AB30)/10000),INT(MOD(INDEX(기본자료!$G$2:$G$501,$AB30),10000)/100),MOD(INDEX(기본자료!$G$2:$G$501,$AB30),100)),INDEX(기본자료!$G$2:$G$501,$AB30)&amp;"")))))</f>
        <v/>
      </c>
      <c r="J30" s="10">
        <f>IF($AB30="","",IF(INDEX(기본자료!$H$2:$H$501,$AB30)="","",INDEX(기본자료!$H$2:$H$501,$AB30)))</f>
        <v/>
      </c>
      <c r="K30" s="10">
        <f>IF($AB30="","",IF(INDEX(기본자료!$I$2:$I$501,$AB30)="","",INDEX(기본자료!$I$2:$I$501,$AB30)))</f>
        <v/>
      </c>
      <c r="L30" s="10">
        <f>IF($AB30="","",IF(INDEX(기본자료!$A$2:$A$501,$AB30)="","",INDEX(기본자료!$A$2:$A$501,$AB30)))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파견수련계획!$AB$4:$AB$203,$AK30),OR(NOT(ISNUMBER(INDEX(파견수련계획!$AC$4:$AC$203,$AK30))),TODAY()&lt;=INDEX(파견수련계획!$AC$4:$AC$203,$AK30))),"다기관",IF($AF30="","",INDEX(파견수련계획!$T$4:$T$203,$AF30))),IF($AF30="","",INDEX(파견수련계획!$T$4:$T$203,$AF30))))</f>
        <v/>
      </c>
      <c r="Q30" s="10">
        <f>IF($AF30="","",INDEX(파견수련계획!$S$4:$S$203,$AF30))</f>
        <v/>
      </c>
      <c r="R30" s="10">
        <f>IF($AF30="","",INDEX(파견수련계획!$U$4:$U$203,$AF30))</f>
        <v/>
      </c>
      <c r="S30" s="11">
        <f>IF($AF30="","",IF(INDEX(파견수련계획!$H$4:$H$203,$AF30)="","",INDEX(파견수련계획!$H$4:$H$203,$AF30)))</f>
        <v/>
      </c>
      <c r="T30" s="11">
        <f>IF($AF30="","",IF(INDEX(파견수련계획!$I$4:$I$203,$AF30)="","",INDEX(파견수련계획!$I$4:$I$203,$AF30)))</f>
        <v/>
      </c>
      <c r="U30" s="10">
        <f>IF($AF30="","",INDEX(파견수련계획!$X$4:$X$203,$AF30))</f>
        <v/>
      </c>
      <c r="V30" s="17">
        <f>IF($AF30="","",INDEX(파견수련계획!$V$4:$V$203,$AF30))</f>
        <v/>
      </c>
      <c r="W30" s="17">
        <f>IF(AND($U30="파견중",$T30&lt;&gt;""),$T30-TODAY(),"")</f>
        <v/>
      </c>
      <c r="X30" s="17">
        <f>IF(OR($B30="",TRIM($J30&amp;"")=""),"",SUMPRODUCT((파견수련계획!$Q$4:$Q$203=TRIM($J30&amp;""))*파견수련계획!$W$4:$W$203))</f>
        <v/>
      </c>
      <c r="Y30" s="10">
        <f>IF($B30="","",IF($AG30="","",IF(IF(TRIM($J30&amp;"")="",0,SUMPRODUCT((파견수련계획!$Q$4:$Q$203=TRIM($J30&amp;""))*파견수련계획!$AD$4:$AD$203))&gt;0,$AE30,IF(N($X30)&lt;=0,$AG30,IF($AH30+$AI30=DAY(EOMONTH(요약!$B$3,0)),IF(AND($AH30&gt;=요약!$E$3,$AI30&lt;요약!$E$3),"서울병원",IF(AND($AI30&gt;=요약!$E$3,$AH30&lt;요약!$E$3),"구리병원","⚠15일 판정불가(서울 "&amp;$AH30&amp;"일/구리 "&amp;$AI30&amp;"일)")),IF($AJ30="",$AE30,IF(INDEX(파견수련계획!$T$4:$T$203,$AJ30)="통합수련",INDEX(파견수련계획!$S$4:$S$203,$AJ30),$AE30)))))))</f>
        <v/>
      </c>
      <c r="Z30" s="19">
        <f>IF($B30="","",IF($AB30="","기본자료에 없는 사번",IF(COUNTIF($B$2:$B$201,$B30)&gt;1,"중복 사번",IF($AE30="","소속(입사장소) 입력",IF(IF(TRIM($J30&amp;"")="",0,SUMPRODUCT((파견수련계획!$Q$4:$Q$203=TRIM($J30&amp;""))*(파견수련계획!$AA$4:$AA$203&lt;&gt;"")))&gt;0,"파견수련계획 입력오류 확인",IF(LEFT($Y30,1)="⚠","서울·구리 15일 판정 불가(양쪽 모두 이상/미만)",IF(IF($AC30="",0,N(INDEX(인턴근무계획!$T$3:$T$202,$AC30)))&gt;0,"인턴계획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IF($B30="","",IFERROR(MATCH($B30,기본자료!$B$2:$B$501,0),IFERROR(MATCH($B30&amp;"",기본자료!$B$2:$B$501,0),IFERROR(MATCH(VALUE($B30),기본자료!$B$2:$B$501,0),""))))</f>
        <v/>
      </c>
      <c r="AC30" s="10">
        <f>IF($B30="","",IFERROR(MATCH($B30,인턴근무계획!$D$3:$D$202,0),IFERROR(MATCH($B30&amp;"",인턴근무계획!$D$3:$D$202,0),IFERROR(MATCH(VALUE($B30),인턴근무계획!$D$3:$D$202,0),""))))</f>
        <v/>
      </c>
      <c r="AD30" s="10">
        <f>IF(OR($AC30="",인턴현황!$G$3=""),"",INDEX(인턴근무계획!$M$3:$R$202,$AC30,인턴현황!$G$3)&amp;"")</f>
        <v/>
      </c>
      <c r="AE30" s="10">
        <f>IF($B30="","",IF($M30&lt;&gt;"",$M30,IF($AF30&lt;&gt;"",IF(LEFT(INDEX(파견수련계획!$R$4:$R$203,$AF30),1)&lt;&gt;"⚠",INDEX(파견수련계획!$R$4:$R$203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$203,0),IFERROR(MATCH(TRIM($J30&amp;"")&amp;"|파견예정",파견수련계획!$Y$4:$Y$203,0),IFERROR(MATCH(TRIM($J30&amp;"")&amp;"|파견종료",파견수련계획!$Y$4:$Y$203,0),""))))</f>
        <v/>
      </c>
      <c r="AG30" s="10">
        <f>IF($B30="","",IF(AND(IF(OR($AC30="",인턴현황!$K$2=""),"",INDEX(인턴근무계획!$M$3:$R$202,$AC30,인턴현황!$K$2)&amp;"")&lt;&gt;"",LEFT(IF(OR($AC30="",인턴현황!$K$2=""),"",INDEX(인턴근무계획!$M$3:$R$202,$AC30,인턴현황!$K$2)&amp;""),1)&lt;&gt;"⚠"),LEFT(IF(OR($AC30="",인턴현황!$K$2=""),"",INDEX(인턴근무계획!$M$3:$R$202,$AC30,인턴현황!$K$2)&amp;""),FIND(" ",IF(OR($AC30="",인턴현황!$K$2=""),"",INDEX(인턴근무계획!$M$3:$R$202,$AC30,인턴현황!$K$2)&amp;""))-1),$AE30))</f>
        <v/>
      </c>
      <c r="AH30" s="17">
        <f>IF($B30="","",IF(TRIM($J30&amp;"")="",0,SUMPRODUCT((파견수련계획!$Q$4:$Q$203=TRIM($J30&amp;""))*(파견수련계획!$S$4:$S$203="서울병원")*파견수련계획!$W$4:$W$203))+IF($AG30="서울병원",MAX(0,DAY(EOMONTH(요약!$B$3,0))-N($X30)),0))</f>
        <v/>
      </c>
      <c r="AI30" s="17">
        <f>IF($B30="","",IF(TRIM($J30&amp;"")="",0,SUMPRODUCT((파견수련계획!$Q$4:$Q$203=TRIM($J30&amp;""))*(파견수련계획!$S$4:$S$203="구리병원")*파견수련계획!$W$4:$W$203))+IF($AG30="구리병원",MAX(0,DAY(EOMONTH(요약!$B$3,0))-N($X30)),0))</f>
        <v/>
      </c>
      <c r="AJ30" s="10">
        <f>IF(OR($B30="",TRIM($J30&amp;"")=""),"",IFERROR(MATCH(TRIM($J30&amp;"")&amp;"|월",파견수련계획!$Z$4:$Z$203,0),""))</f>
        <v/>
      </c>
      <c r="AK30" s="10">
        <f>IF(OR($B30="",TRIM($J30&amp;"")=""),"",IFERROR(MATCH(TRIM($J30&amp;"")&amp;"|다기관",파견수련계획!$AE$4:$AE$203,0),""))</f>
        <v/>
      </c>
      <c r="AL30" s="10">
        <f>IF($AK30="","","다기관 "&amp;TEXT(INDEX(파견수련계획!$AB$4:$AB$203,$AK30),"yyyy-mm-dd")&amp;"~"&amp;IF(ISNUMBER(INDEX(파견수련계획!$AC$4:$AC$203,$AK30)),TEXT(INDEX(파견수련계획!$AC$4:$AC$203,$AK30),"yyyy-mm-dd"),""))</f>
        <v/>
      </c>
    </row>
    <row r="31">
      <c r="A31" s="10">
        <f>IF(B31="","",ROW()-1)</f>
        <v/>
      </c>
      <c r="B31" s="18" t="n"/>
      <c r="C31" s="10">
        <f>IF($AB31="","",IF(INDEX(기본자료!$C$2:$C$501,$AB31)="","",INDEX(기본자료!$C$2:$C$501,$AB31)))</f>
        <v/>
      </c>
      <c r="D31" s="10">
        <f>IF($AB31="","",IF(INDEX(기본자료!$J$2:$J$501,$AB31)="","",INDEX(기본자료!$J$2:$J$501,$AB31)))</f>
        <v/>
      </c>
      <c r="E31" s="11">
        <f>IF($AB31="","",IF(INDEX(기본자료!$K$2:$K$501,$AB31)="","",IF(NOT(ISNUMBER(INDEX(기본자료!$K$2:$K$501,$AB31))),INDEX(기본자료!$K$2:$K$501,$AB31),IF(INDEX(기본자료!$K$2:$K$501,$AB31)&lt;1000000,INDEX(기본자료!$K$2:$K$501,$AB31),IF(AND(INDEX(기본자료!$K$2:$K$501,$AB31)&gt;=10000101,INT(MOD(INDEX(기본자료!$K$2:$K$501,$AB31),10000)/100)&gt;=1,INT(MOD(INDEX(기본자료!$K$2:$K$501,$AB31),10000)/100)&lt;=12,MOD(INDEX(기본자료!$K$2:$K$501,$AB31),100)&gt;=1,MOD(INDEX(기본자료!$K$2:$K$501,$AB31),100)&lt;=31),DATE(INT(INDEX(기본자료!$K$2:$K$501,$AB31)/10000),INT(MOD(INDEX(기본자료!$K$2:$K$501,$AB31),10000)/100),MOD(INDEX(기본자료!$K$2:$K$501,$AB31),100)),INDEX(기본자료!$K$2:$K$501,$AB31)&amp;"")))))</f>
        <v/>
      </c>
      <c r="F31" s="10">
        <f>IF($AB31="","",IF(INDEX(기본자료!$D$2:$D$501,$AB31)="","",INDEX(기본자료!$D$2:$D$501,$AB31)))</f>
        <v/>
      </c>
      <c r="G31" s="10">
        <f>IF($AB31="","",IF(INDEX(기본자료!$E$2:$E$501,$AB31)="","",INDEX(기본자료!$E$2:$E$501,$AB31)))</f>
        <v/>
      </c>
      <c r="H31" s="10">
        <f>IF($AB31="","",IF(INDEX(기본자료!$F$2:$F$501,$AB31)="","",INDEX(기본자료!$F$2:$F$501,$AB31)))</f>
        <v/>
      </c>
      <c r="I31" s="11">
        <f>IF($AB31="","",IF(INDEX(기본자료!$G$2:$G$501,$AB31)="","",IF(NOT(ISNUMBER(INDEX(기본자료!$G$2:$G$501,$AB31))),INDEX(기본자료!$G$2:$G$501,$AB31),IF(INDEX(기본자료!$G$2:$G$501,$AB31)&lt;1000000,INDEX(기본자료!$G$2:$G$501,$AB31),IF(AND(INDEX(기본자료!$G$2:$G$501,$AB31)&gt;=10000101,INT(MOD(INDEX(기본자료!$G$2:$G$501,$AB31),10000)/100)&gt;=1,INT(MOD(INDEX(기본자료!$G$2:$G$501,$AB31),10000)/100)&lt;=12,MOD(INDEX(기본자료!$G$2:$G$501,$AB31),100)&gt;=1,MOD(INDEX(기본자료!$G$2:$G$501,$AB31),100)&lt;=31),DATE(INT(INDEX(기본자료!$G$2:$G$501,$AB31)/10000),INT(MOD(INDEX(기본자료!$G$2:$G$501,$AB31),10000)/100),MOD(INDEX(기본자료!$G$2:$G$501,$AB31),100)),INDEX(기본자료!$G$2:$G$501,$AB31)&amp;"")))))</f>
        <v/>
      </c>
      <c r="J31" s="10">
        <f>IF($AB31="","",IF(INDEX(기본자료!$H$2:$H$501,$AB31)="","",INDEX(기본자료!$H$2:$H$501,$AB31)))</f>
        <v/>
      </c>
      <c r="K31" s="10">
        <f>IF($AB31="","",IF(INDEX(기본자료!$I$2:$I$501,$AB31)="","",INDEX(기본자료!$I$2:$I$501,$AB31)))</f>
        <v/>
      </c>
      <c r="L31" s="10">
        <f>IF($AB31="","",IF(INDEX(기본자료!$A$2:$A$501,$AB31)="","",INDEX(기본자료!$A$2:$A$501,$AB31)))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파견수련계획!$AB$4:$AB$203,$AK31),OR(NOT(ISNUMBER(INDEX(파견수련계획!$AC$4:$AC$203,$AK31))),TODAY()&lt;=INDEX(파견수련계획!$AC$4:$AC$203,$AK31))),"다기관",IF($AF31="","",INDEX(파견수련계획!$T$4:$T$203,$AF31))),IF($AF31="","",INDEX(파견수련계획!$T$4:$T$203,$AF31))))</f>
        <v/>
      </c>
      <c r="Q31" s="10">
        <f>IF($AF31="","",INDEX(파견수련계획!$S$4:$S$203,$AF31))</f>
        <v/>
      </c>
      <c r="R31" s="10">
        <f>IF($AF31="","",INDEX(파견수련계획!$U$4:$U$203,$AF31))</f>
        <v/>
      </c>
      <c r="S31" s="11">
        <f>IF($AF31="","",IF(INDEX(파견수련계획!$H$4:$H$203,$AF31)="","",INDEX(파견수련계획!$H$4:$H$203,$AF31)))</f>
        <v/>
      </c>
      <c r="T31" s="11">
        <f>IF($AF31="","",IF(INDEX(파견수련계획!$I$4:$I$203,$AF31)="","",INDEX(파견수련계획!$I$4:$I$203,$AF31)))</f>
        <v/>
      </c>
      <c r="U31" s="10">
        <f>IF($AF31="","",INDEX(파견수련계획!$X$4:$X$203,$AF31))</f>
        <v/>
      </c>
      <c r="V31" s="17">
        <f>IF($AF31="","",INDEX(파견수련계획!$V$4:$V$203,$AF31))</f>
        <v/>
      </c>
      <c r="W31" s="17">
        <f>IF(AND($U31="파견중",$T31&lt;&gt;""),$T31-TODAY(),"")</f>
        <v/>
      </c>
      <c r="X31" s="17">
        <f>IF(OR($B31="",TRIM($J31&amp;"")=""),"",SUMPRODUCT((파견수련계획!$Q$4:$Q$203=TRIM($J31&amp;""))*파견수련계획!$W$4:$W$203))</f>
        <v/>
      </c>
      <c r="Y31" s="10">
        <f>IF($B31="","",IF($AG31="","",IF(IF(TRIM($J31&amp;"")="",0,SUMPRODUCT((파견수련계획!$Q$4:$Q$203=TRIM($J31&amp;""))*파견수련계획!$AD$4:$AD$203))&gt;0,$AE31,IF(N($X31)&lt;=0,$AG31,IF($AH31+$AI31=DAY(EOMONTH(요약!$B$3,0)),IF(AND($AH31&gt;=요약!$E$3,$AI31&lt;요약!$E$3),"서울병원",IF(AND($AI31&gt;=요약!$E$3,$AH31&lt;요약!$E$3),"구리병원","⚠15일 판정불가(서울 "&amp;$AH31&amp;"일/구리 "&amp;$AI31&amp;"일)")),IF($AJ31="",$AE31,IF(INDEX(파견수련계획!$T$4:$T$203,$AJ31)="통합수련",INDEX(파견수련계획!$S$4:$S$203,$AJ31),$AE31)))))))</f>
        <v/>
      </c>
      <c r="Z31" s="19">
        <f>IF($B31="","",IF($AB31="","기본자료에 없는 사번",IF(COUNTIF($B$2:$B$201,$B31)&gt;1,"중복 사번",IF($AE31="","소속(입사장소) 입력",IF(IF(TRIM($J31&amp;"")="",0,SUMPRODUCT((파견수련계획!$Q$4:$Q$203=TRIM($J31&amp;""))*(파견수련계획!$AA$4:$AA$203&lt;&gt;"")))&gt;0,"파견수련계획 입력오류 확인",IF(LEFT($Y31,1)="⚠","서울·구리 15일 판정 불가(양쪽 모두 이상/미만)",IF(IF($AC31="",0,N(INDEX(인턴근무계획!$T$3:$T$202,$AC31)))&gt;0,"인턴계획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IF($B31="","",IFERROR(MATCH($B31,기본자료!$B$2:$B$501,0),IFERROR(MATCH($B31&amp;"",기본자료!$B$2:$B$501,0),IFERROR(MATCH(VALUE($B31),기본자료!$B$2:$B$501,0),""))))</f>
        <v/>
      </c>
      <c r="AC31" s="10">
        <f>IF($B31="","",IFERROR(MATCH($B31,인턴근무계획!$D$3:$D$202,0),IFERROR(MATCH($B31&amp;"",인턴근무계획!$D$3:$D$202,0),IFERROR(MATCH(VALUE($B31),인턴근무계획!$D$3:$D$202,0),""))))</f>
        <v/>
      </c>
      <c r="AD31" s="10">
        <f>IF(OR($AC31="",인턴현황!$G$3=""),"",INDEX(인턴근무계획!$M$3:$R$202,$AC31,인턴현황!$G$3)&amp;"")</f>
        <v/>
      </c>
      <c r="AE31" s="10">
        <f>IF($B31="","",IF($M31&lt;&gt;"",$M31,IF($AF31&lt;&gt;"",IF(LEFT(INDEX(파견수련계획!$R$4:$R$203,$AF31),1)&lt;&gt;"⚠",INDEX(파견수련계획!$R$4:$R$203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$203,0),IFERROR(MATCH(TRIM($J31&amp;"")&amp;"|파견예정",파견수련계획!$Y$4:$Y$203,0),IFERROR(MATCH(TRIM($J31&amp;"")&amp;"|파견종료",파견수련계획!$Y$4:$Y$203,0),""))))</f>
        <v/>
      </c>
      <c r="AG31" s="10">
        <f>IF($B31="","",IF(AND(IF(OR($AC31="",인턴현황!$K$2=""),"",INDEX(인턴근무계획!$M$3:$R$202,$AC31,인턴현황!$K$2)&amp;"")&lt;&gt;"",LEFT(IF(OR($AC31="",인턴현황!$K$2=""),"",INDEX(인턴근무계획!$M$3:$R$202,$AC31,인턴현황!$K$2)&amp;""),1)&lt;&gt;"⚠"),LEFT(IF(OR($AC31="",인턴현황!$K$2=""),"",INDEX(인턴근무계획!$M$3:$R$202,$AC31,인턴현황!$K$2)&amp;""),FIND(" ",IF(OR($AC31="",인턴현황!$K$2=""),"",INDEX(인턴근무계획!$M$3:$R$202,$AC31,인턴현황!$K$2)&amp;""))-1),$AE31))</f>
        <v/>
      </c>
      <c r="AH31" s="17">
        <f>IF($B31="","",IF(TRIM($J31&amp;"")="",0,SUMPRODUCT((파견수련계획!$Q$4:$Q$203=TRIM($J31&amp;""))*(파견수련계획!$S$4:$S$203="서울병원")*파견수련계획!$W$4:$W$203))+IF($AG31="서울병원",MAX(0,DAY(EOMONTH(요약!$B$3,0))-N($X31)),0))</f>
        <v/>
      </c>
      <c r="AI31" s="17">
        <f>IF($B31="","",IF(TRIM($J31&amp;"")="",0,SUMPRODUCT((파견수련계획!$Q$4:$Q$203=TRIM($J31&amp;""))*(파견수련계획!$S$4:$S$203="구리병원")*파견수련계획!$W$4:$W$203))+IF($AG31="구리병원",MAX(0,DAY(EOMONTH(요약!$B$3,0))-N($X31)),0))</f>
        <v/>
      </c>
      <c r="AJ31" s="10">
        <f>IF(OR($B31="",TRIM($J31&amp;"")=""),"",IFERROR(MATCH(TRIM($J31&amp;"")&amp;"|월",파견수련계획!$Z$4:$Z$203,0),""))</f>
        <v/>
      </c>
      <c r="AK31" s="10">
        <f>IF(OR($B31="",TRIM($J31&amp;"")=""),"",IFERROR(MATCH(TRIM($J31&amp;"")&amp;"|다기관",파견수련계획!$AE$4:$AE$203,0),""))</f>
        <v/>
      </c>
      <c r="AL31" s="10">
        <f>IF($AK31="","","다기관 "&amp;TEXT(INDEX(파견수련계획!$AB$4:$AB$203,$AK31),"yyyy-mm-dd")&amp;"~"&amp;IF(ISNUMBER(INDEX(파견수련계획!$AC$4:$AC$203,$AK31)),TEXT(INDEX(파견수련계획!$AC$4:$AC$203,$AK31),"yyyy-mm-dd"),""))</f>
        <v/>
      </c>
    </row>
    <row r="32">
      <c r="A32" s="10">
        <f>IF(B32="","",ROW()-1)</f>
        <v/>
      </c>
      <c r="B32" s="18" t="n"/>
      <c r="C32" s="10">
        <f>IF($AB32="","",IF(INDEX(기본자료!$C$2:$C$501,$AB32)="","",INDEX(기본자료!$C$2:$C$501,$AB32)))</f>
        <v/>
      </c>
      <c r="D32" s="10">
        <f>IF($AB32="","",IF(INDEX(기본자료!$J$2:$J$501,$AB32)="","",INDEX(기본자료!$J$2:$J$501,$AB32)))</f>
        <v/>
      </c>
      <c r="E32" s="11">
        <f>IF($AB32="","",IF(INDEX(기본자료!$K$2:$K$501,$AB32)="","",IF(NOT(ISNUMBER(INDEX(기본자료!$K$2:$K$501,$AB32))),INDEX(기본자료!$K$2:$K$501,$AB32),IF(INDEX(기본자료!$K$2:$K$501,$AB32)&lt;1000000,INDEX(기본자료!$K$2:$K$501,$AB32),IF(AND(INDEX(기본자료!$K$2:$K$501,$AB32)&gt;=10000101,INT(MOD(INDEX(기본자료!$K$2:$K$501,$AB32),10000)/100)&gt;=1,INT(MOD(INDEX(기본자료!$K$2:$K$501,$AB32),10000)/100)&lt;=12,MOD(INDEX(기본자료!$K$2:$K$501,$AB32),100)&gt;=1,MOD(INDEX(기본자료!$K$2:$K$501,$AB32),100)&lt;=31),DATE(INT(INDEX(기본자료!$K$2:$K$501,$AB32)/10000),INT(MOD(INDEX(기본자료!$K$2:$K$501,$AB32),10000)/100),MOD(INDEX(기본자료!$K$2:$K$501,$AB32),100)),INDEX(기본자료!$K$2:$K$501,$AB32)&amp;"")))))</f>
        <v/>
      </c>
      <c r="F32" s="10">
        <f>IF($AB32="","",IF(INDEX(기본자료!$D$2:$D$501,$AB32)="","",INDEX(기본자료!$D$2:$D$501,$AB32)))</f>
        <v/>
      </c>
      <c r="G32" s="10">
        <f>IF($AB32="","",IF(INDEX(기본자료!$E$2:$E$501,$AB32)="","",INDEX(기본자료!$E$2:$E$501,$AB32)))</f>
        <v/>
      </c>
      <c r="H32" s="10">
        <f>IF($AB32="","",IF(INDEX(기본자료!$F$2:$F$501,$AB32)="","",INDEX(기본자료!$F$2:$F$501,$AB32)))</f>
        <v/>
      </c>
      <c r="I32" s="11">
        <f>IF($AB32="","",IF(INDEX(기본자료!$G$2:$G$501,$AB32)="","",IF(NOT(ISNUMBER(INDEX(기본자료!$G$2:$G$501,$AB32))),INDEX(기본자료!$G$2:$G$501,$AB32),IF(INDEX(기본자료!$G$2:$G$501,$AB32)&lt;1000000,INDEX(기본자료!$G$2:$G$501,$AB32),IF(AND(INDEX(기본자료!$G$2:$G$501,$AB32)&gt;=10000101,INT(MOD(INDEX(기본자료!$G$2:$G$501,$AB32),10000)/100)&gt;=1,INT(MOD(INDEX(기본자료!$G$2:$G$501,$AB32),10000)/100)&lt;=12,MOD(INDEX(기본자료!$G$2:$G$501,$AB32),100)&gt;=1,MOD(INDEX(기본자료!$G$2:$G$501,$AB32),100)&lt;=31),DATE(INT(INDEX(기본자료!$G$2:$G$501,$AB32)/10000),INT(MOD(INDEX(기본자료!$G$2:$G$501,$AB32),10000)/100),MOD(INDEX(기본자료!$G$2:$G$501,$AB32),100)),INDEX(기본자료!$G$2:$G$501,$AB32)&amp;"")))))</f>
        <v/>
      </c>
      <c r="J32" s="10">
        <f>IF($AB32="","",IF(INDEX(기본자료!$H$2:$H$501,$AB32)="","",INDEX(기본자료!$H$2:$H$501,$AB32)))</f>
        <v/>
      </c>
      <c r="K32" s="10">
        <f>IF($AB32="","",IF(INDEX(기본자료!$I$2:$I$501,$AB32)="","",INDEX(기본자료!$I$2:$I$501,$AB32)))</f>
        <v/>
      </c>
      <c r="L32" s="10">
        <f>IF($AB32="","",IF(INDEX(기본자료!$A$2:$A$501,$AB32)="","",INDEX(기본자료!$A$2:$A$501,$AB32)))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파견수련계획!$AB$4:$AB$203,$AK32),OR(NOT(ISNUMBER(INDEX(파견수련계획!$AC$4:$AC$203,$AK32))),TODAY()&lt;=INDEX(파견수련계획!$AC$4:$AC$203,$AK32))),"다기관",IF($AF32="","",INDEX(파견수련계획!$T$4:$T$203,$AF32))),IF($AF32="","",INDEX(파견수련계획!$T$4:$T$203,$AF32))))</f>
        <v/>
      </c>
      <c r="Q32" s="10">
        <f>IF($AF32="","",INDEX(파견수련계획!$S$4:$S$203,$AF32))</f>
        <v/>
      </c>
      <c r="R32" s="10">
        <f>IF($AF32="","",INDEX(파견수련계획!$U$4:$U$203,$AF32))</f>
        <v/>
      </c>
      <c r="S32" s="11">
        <f>IF($AF32="","",IF(INDEX(파견수련계획!$H$4:$H$203,$AF32)="","",INDEX(파견수련계획!$H$4:$H$203,$AF32)))</f>
        <v/>
      </c>
      <c r="T32" s="11">
        <f>IF($AF32="","",IF(INDEX(파견수련계획!$I$4:$I$203,$AF32)="","",INDEX(파견수련계획!$I$4:$I$203,$AF32)))</f>
        <v/>
      </c>
      <c r="U32" s="10">
        <f>IF($AF32="","",INDEX(파견수련계획!$X$4:$X$203,$AF32))</f>
        <v/>
      </c>
      <c r="V32" s="17">
        <f>IF($AF32="","",INDEX(파견수련계획!$V$4:$V$203,$AF32))</f>
        <v/>
      </c>
      <c r="W32" s="17">
        <f>IF(AND($U32="파견중",$T32&lt;&gt;""),$T32-TODAY(),"")</f>
        <v/>
      </c>
      <c r="X32" s="17">
        <f>IF(OR($B32="",TRIM($J32&amp;"")=""),"",SUMPRODUCT((파견수련계획!$Q$4:$Q$203=TRIM($J32&amp;""))*파견수련계획!$W$4:$W$203))</f>
        <v/>
      </c>
      <c r="Y32" s="10">
        <f>IF($B32="","",IF($AG32="","",IF(IF(TRIM($J32&amp;"")="",0,SUMPRODUCT((파견수련계획!$Q$4:$Q$203=TRIM($J32&amp;""))*파견수련계획!$AD$4:$AD$203))&gt;0,$AE32,IF(N($X32)&lt;=0,$AG32,IF($AH32+$AI32=DAY(EOMONTH(요약!$B$3,0)),IF(AND($AH32&gt;=요약!$E$3,$AI32&lt;요약!$E$3),"서울병원",IF(AND($AI32&gt;=요약!$E$3,$AH32&lt;요약!$E$3),"구리병원","⚠15일 판정불가(서울 "&amp;$AH32&amp;"일/구리 "&amp;$AI32&amp;"일)")),IF($AJ32="",$AE32,IF(INDEX(파견수련계획!$T$4:$T$203,$AJ32)="통합수련",INDEX(파견수련계획!$S$4:$S$203,$AJ32),$AE32)))))))</f>
        <v/>
      </c>
      <c r="Z32" s="19">
        <f>IF($B32="","",IF($AB32="","기본자료에 없는 사번",IF(COUNTIF($B$2:$B$201,$B32)&gt;1,"중복 사번",IF($AE32="","소속(입사장소) 입력",IF(IF(TRIM($J32&amp;"")="",0,SUMPRODUCT((파견수련계획!$Q$4:$Q$203=TRIM($J32&amp;""))*(파견수련계획!$AA$4:$AA$203&lt;&gt;"")))&gt;0,"파견수련계획 입력오류 확인",IF(LEFT($Y32,1)="⚠","서울·구리 15일 판정 불가(양쪽 모두 이상/미만)",IF(IF($AC32="",0,N(INDEX(인턴근무계획!$T$3:$T$202,$AC32)))&gt;0,"인턴계획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IF($B32="","",IFERROR(MATCH($B32,기본자료!$B$2:$B$501,0),IFERROR(MATCH($B32&amp;"",기본자료!$B$2:$B$501,0),IFERROR(MATCH(VALUE($B32),기본자료!$B$2:$B$501,0),""))))</f>
        <v/>
      </c>
      <c r="AC32" s="10">
        <f>IF($B32="","",IFERROR(MATCH($B32,인턴근무계획!$D$3:$D$202,0),IFERROR(MATCH($B32&amp;"",인턴근무계획!$D$3:$D$202,0),IFERROR(MATCH(VALUE($B32),인턴근무계획!$D$3:$D$202,0),""))))</f>
        <v/>
      </c>
      <c r="AD32" s="10">
        <f>IF(OR($AC32="",인턴현황!$G$3=""),"",INDEX(인턴근무계획!$M$3:$R$202,$AC32,인턴현황!$G$3)&amp;"")</f>
        <v/>
      </c>
      <c r="AE32" s="10">
        <f>IF($B32="","",IF($M32&lt;&gt;"",$M32,IF($AF32&lt;&gt;"",IF(LEFT(INDEX(파견수련계획!$R$4:$R$203,$AF32),1)&lt;&gt;"⚠",INDEX(파견수련계획!$R$4:$R$203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$203,0),IFERROR(MATCH(TRIM($J32&amp;"")&amp;"|파견예정",파견수련계획!$Y$4:$Y$203,0),IFERROR(MATCH(TRIM($J32&amp;"")&amp;"|파견종료",파견수련계획!$Y$4:$Y$203,0),""))))</f>
        <v/>
      </c>
      <c r="AG32" s="10">
        <f>IF($B32="","",IF(AND(IF(OR($AC32="",인턴현황!$K$2=""),"",INDEX(인턴근무계획!$M$3:$R$202,$AC32,인턴현황!$K$2)&amp;"")&lt;&gt;"",LEFT(IF(OR($AC32="",인턴현황!$K$2=""),"",INDEX(인턴근무계획!$M$3:$R$202,$AC32,인턴현황!$K$2)&amp;""),1)&lt;&gt;"⚠"),LEFT(IF(OR($AC32="",인턴현황!$K$2=""),"",INDEX(인턴근무계획!$M$3:$R$202,$AC32,인턴현황!$K$2)&amp;""),FIND(" ",IF(OR($AC32="",인턴현황!$K$2=""),"",INDEX(인턴근무계획!$M$3:$R$202,$AC32,인턴현황!$K$2)&amp;""))-1),$AE32))</f>
        <v/>
      </c>
      <c r="AH32" s="17">
        <f>IF($B32="","",IF(TRIM($J32&amp;"")="",0,SUMPRODUCT((파견수련계획!$Q$4:$Q$203=TRIM($J32&amp;""))*(파견수련계획!$S$4:$S$203="서울병원")*파견수련계획!$W$4:$W$203))+IF($AG32="서울병원",MAX(0,DAY(EOMONTH(요약!$B$3,0))-N($X32)),0))</f>
        <v/>
      </c>
      <c r="AI32" s="17">
        <f>IF($B32="","",IF(TRIM($J32&amp;"")="",0,SUMPRODUCT((파견수련계획!$Q$4:$Q$203=TRIM($J32&amp;""))*(파견수련계획!$S$4:$S$203="구리병원")*파견수련계획!$W$4:$W$203))+IF($AG32="구리병원",MAX(0,DAY(EOMONTH(요약!$B$3,0))-N($X32)),0))</f>
        <v/>
      </c>
      <c r="AJ32" s="10">
        <f>IF(OR($B32="",TRIM($J32&amp;"")=""),"",IFERROR(MATCH(TRIM($J32&amp;"")&amp;"|월",파견수련계획!$Z$4:$Z$203,0),""))</f>
        <v/>
      </c>
      <c r="AK32" s="10">
        <f>IF(OR($B32="",TRIM($J32&amp;"")=""),"",IFERROR(MATCH(TRIM($J32&amp;"")&amp;"|다기관",파견수련계획!$AE$4:$AE$203,0),""))</f>
        <v/>
      </c>
      <c r="AL32" s="10">
        <f>IF($AK32="","","다기관 "&amp;TEXT(INDEX(파견수련계획!$AB$4:$AB$203,$AK32),"yyyy-mm-dd")&amp;"~"&amp;IF(ISNUMBER(INDEX(파견수련계획!$AC$4:$AC$203,$AK32)),TEXT(INDEX(파견수련계획!$AC$4:$AC$203,$AK32),"yyyy-mm-dd"),""))</f>
        <v/>
      </c>
    </row>
    <row r="33">
      <c r="A33" s="10">
        <f>IF(B33="","",ROW()-1)</f>
        <v/>
      </c>
      <c r="B33" s="18" t="n"/>
      <c r="C33" s="10">
        <f>IF($AB33="","",IF(INDEX(기본자료!$C$2:$C$501,$AB33)="","",INDEX(기본자료!$C$2:$C$501,$AB33)))</f>
        <v/>
      </c>
      <c r="D33" s="10">
        <f>IF($AB33="","",IF(INDEX(기본자료!$J$2:$J$501,$AB33)="","",INDEX(기본자료!$J$2:$J$501,$AB33)))</f>
        <v/>
      </c>
      <c r="E33" s="11">
        <f>IF($AB33="","",IF(INDEX(기본자료!$K$2:$K$501,$AB33)="","",IF(NOT(ISNUMBER(INDEX(기본자료!$K$2:$K$501,$AB33))),INDEX(기본자료!$K$2:$K$501,$AB33),IF(INDEX(기본자료!$K$2:$K$501,$AB33)&lt;1000000,INDEX(기본자료!$K$2:$K$501,$AB33),IF(AND(INDEX(기본자료!$K$2:$K$501,$AB33)&gt;=10000101,INT(MOD(INDEX(기본자료!$K$2:$K$501,$AB33),10000)/100)&gt;=1,INT(MOD(INDEX(기본자료!$K$2:$K$501,$AB33),10000)/100)&lt;=12,MOD(INDEX(기본자료!$K$2:$K$501,$AB33),100)&gt;=1,MOD(INDEX(기본자료!$K$2:$K$501,$AB33),100)&lt;=31),DATE(INT(INDEX(기본자료!$K$2:$K$501,$AB33)/10000),INT(MOD(INDEX(기본자료!$K$2:$K$501,$AB33),10000)/100),MOD(INDEX(기본자료!$K$2:$K$501,$AB33),100)),INDEX(기본자료!$K$2:$K$501,$AB33)&amp;"")))))</f>
        <v/>
      </c>
      <c r="F33" s="10">
        <f>IF($AB33="","",IF(INDEX(기본자료!$D$2:$D$501,$AB33)="","",INDEX(기본자료!$D$2:$D$501,$AB33)))</f>
        <v/>
      </c>
      <c r="G33" s="10">
        <f>IF($AB33="","",IF(INDEX(기본자료!$E$2:$E$501,$AB33)="","",INDEX(기본자료!$E$2:$E$501,$AB33)))</f>
        <v/>
      </c>
      <c r="H33" s="10">
        <f>IF($AB33="","",IF(INDEX(기본자료!$F$2:$F$501,$AB33)="","",INDEX(기본자료!$F$2:$F$501,$AB33)))</f>
        <v/>
      </c>
      <c r="I33" s="11">
        <f>IF($AB33="","",IF(INDEX(기본자료!$G$2:$G$501,$AB33)="","",IF(NOT(ISNUMBER(INDEX(기본자료!$G$2:$G$501,$AB33))),INDEX(기본자료!$G$2:$G$501,$AB33),IF(INDEX(기본자료!$G$2:$G$501,$AB33)&lt;1000000,INDEX(기본자료!$G$2:$G$501,$AB33),IF(AND(INDEX(기본자료!$G$2:$G$501,$AB33)&gt;=10000101,INT(MOD(INDEX(기본자료!$G$2:$G$501,$AB33),10000)/100)&gt;=1,INT(MOD(INDEX(기본자료!$G$2:$G$501,$AB33),10000)/100)&lt;=12,MOD(INDEX(기본자료!$G$2:$G$501,$AB33),100)&gt;=1,MOD(INDEX(기본자료!$G$2:$G$501,$AB33),100)&lt;=31),DATE(INT(INDEX(기본자료!$G$2:$G$501,$AB33)/10000),INT(MOD(INDEX(기본자료!$G$2:$G$501,$AB33),10000)/100),MOD(INDEX(기본자료!$G$2:$G$501,$AB33),100)),INDEX(기본자료!$G$2:$G$501,$AB33)&amp;"")))))</f>
        <v/>
      </c>
      <c r="J33" s="10">
        <f>IF($AB33="","",IF(INDEX(기본자료!$H$2:$H$501,$AB33)="","",INDEX(기본자료!$H$2:$H$501,$AB33)))</f>
        <v/>
      </c>
      <c r="K33" s="10">
        <f>IF($AB33="","",IF(INDEX(기본자료!$I$2:$I$501,$AB33)="","",INDEX(기본자료!$I$2:$I$501,$AB33)))</f>
        <v/>
      </c>
      <c r="L33" s="10">
        <f>IF($AB33="","",IF(INDEX(기본자료!$A$2:$A$501,$AB33)="","",INDEX(기본자료!$A$2:$A$501,$AB33)))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파견수련계획!$AB$4:$AB$203,$AK33),OR(NOT(ISNUMBER(INDEX(파견수련계획!$AC$4:$AC$203,$AK33))),TODAY()&lt;=INDEX(파견수련계획!$AC$4:$AC$203,$AK33))),"다기관",IF($AF33="","",INDEX(파견수련계획!$T$4:$T$203,$AF33))),IF($AF33="","",INDEX(파견수련계획!$T$4:$T$203,$AF33))))</f>
        <v/>
      </c>
      <c r="Q33" s="10">
        <f>IF($AF33="","",INDEX(파견수련계획!$S$4:$S$203,$AF33))</f>
        <v/>
      </c>
      <c r="R33" s="10">
        <f>IF($AF33="","",INDEX(파견수련계획!$U$4:$U$203,$AF33))</f>
        <v/>
      </c>
      <c r="S33" s="11">
        <f>IF($AF33="","",IF(INDEX(파견수련계획!$H$4:$H$203,$AF33)="","",INDEX(파견수련계획!$H$4:$H$203,$AF33)))</f>
        <v/>
      </c>
      <c r="T33" s="11">
        <f>IF($AF33="","",IF(INDEX(파견수련계획!$I$4:$I$203,$AF33)="","",INDEX(파견수련계획!$I$4:$I$203,$AF33)))</f>
        <v/>
      </c>
      <c r="U33" s="10">
        <f>IF($AF33="","",INDEX(파견수련계획!$X$4:$X$203,$AF33))</f>
        <v/>
      </c>
      <c r="V33" s="17">
        <f>IF($AF33="","",INDEX(파견수련계획!$V$4:$V$203,$AF33))</f>
        <v/>
      </c>
      <c r="W33" s="17">
        <f>IF(AND($U33="파견중",$T33&lt;&gt;""),$T33-TODAY(),"")</f>
        <v/>
      </c>
      <c r="X33" s="17">
        <f>IF(OR($B33="",TRIM($J33&amp;"")=""),"",SUMPRODUCT((파견수련계획!$Q$4:$Q$203=TRIM($J33&amp;""))*파견수련계획!$W$4:$W$203))</f>
        <v/>
      </c>
      <c r="Y33" s="10">
        <f>IF($B33="","",IF($AG33="","",IF(IF(TRIM($J33&amp;"")="",0,SUMPRODUCT((파견수련계획!$Q$4:$Q$203=TRIM($J33&amp;""))*파견수련계획!$AD$4:$AD$203))&gt;0,$AE33,IF(N($X33)&lt;=0,$AG33,IF($AH33+$AI33=DAY(EOMONTH(요약!$B$3,0)),IF(AND($AH33&gt;=요약!$E$3,$AI33&lt;요약!$E$3),"서울병원",IF(AND($AI33&gt;=요약!$E$3,$AH33&lt;요약!$E$3),"구리병원","⚠15일 판정불가(서울 "&amp;$AH33&amp;"일/구리 "&amp;$AI33&amp;"일)")),IF($AJ33="",$AE33,IF(INDEX(파견수련계획!$T$4:$T$203,$AJ33)="통합수련",INDEX(파견수련계획!$S$4:$S$203,$AJ33),$AE33)))))))</f>
        <v/>
      </c>
      <c r="Z33" s="19">
        <f>IF($B33="","",IF($AB33="","기본자료에 없는 사번",IF(COUNTIF($B$2:$B$201,$B33)&gt;1,"중복 사번",IF($AE33="","소속(입사장소) 입력",IF(IF(TRIM($J33&amp;"")="",0,SUMPRODUCT((파견수련계획!$Q$4:$Q$203=TRIM($J33&amp;""))*(파견수련계획!$AA$4:$AA$203&lt;&gt;"")))&gt;0,"파견수련계획 입력오류 확인",IF(LEFT($Y33,1)="⚠","서울·구리 15일 판정 불가(양쪽 모두 이상/미만)",IF(IF($AC33="",0,N(INDEX(인턴근무계획!$T$3:$T$202,$AC33)))&gt;0,"인턴계획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IF($B33="","",IFERROR(MATCH($B33,기본자료!$B$2:$B$501,0),IFERROR(MATCH($B33&amp;"",기본자료!$B$2:$B$501,0),IFERROR(MATCH(VALUE($B33),기본자료!$B$2:$B$501,0),""))))</f>
        <v/>
      </c>
      <c r="AC33" s="10">
        <f>IF($B33="","",IFERROR(MATCH($B33,인턴근무계획!$D$3:$D$202,0),IFERROR(MATCH($B33&amp;"",인턴근무계획!$D$3:$D$202,0),IFERROR(MATCH(VALUE($B33),인턴근무계획!$D$3:$D$202,0),""))))</f>
        <v/>
      </c>
      <c r="AD33" s="10">
        <f>IF(OR($AC33="",인턴현황!$G$3=""),"",INDEX(인턴근무계획!$M$3:$R$202,$AC33,인턴현황!$G$3)&amp;"")</f>
        <v/>
      </c>
      <c r="AE33" s="10">
        <f>IF($B33="","",IF($M33&lt;&gt;"",$M33,IF($AF33&lt;&gt;"",IF(LEFT(INDEX(파견수련계획!$R$4:$R$203,$AF33),1)&lt;&gt;"⚠",INDEX(파견수련계획!$R$4:$R$203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$203,0),IFERROR(MATCH(TRIM($J33&amp;"")&amp;"|파견예정",파견수련계획!$Y$4:$Y$203,0),IFERROR(MATCH(TRIM($J33&amp;"")&amp;"|파견종료",파견수련계획!$Y$4:$Y$203,0),""))))</f>
        <v/>
      </c>
      <c r="AG33" s="10">
        <f>IF($B33="","",IF(AND(IF(OR($AC33="",인턴현황!$K$2=""),"",INDEX(인턴근무계획!$M$3:$R$202,$AC33,인턴현황!$K$2)&amp;"")&lt;&gt;"",LEFT(IF(OR($AC33="",인턴현황!$K$2=""),"",INDEX(인턴근무계획!$M$3:$R$202,$AC33,인턴현황!$K$2)&amp;""),1)&lt;&gt;"⚠"),LEFT(IF(OR($AC33="",인턴현황!$K$2=""),"",INDEX(인턴근무계획!$M$3:$R$202,$AC33,인턴현황!$K$2)&amp;""),FIND(" ",IF(OR($AC33="",인턴현황!$K$2=""),"",INDEX(인턴근무계획!$M$3:$R$202,$AC33,인턴현황!$K$2)&amp;""))-1),$AE33))</f>
        <v/>
      </c>
      <c r="AH33" s="17">
        <f>IF($B33="","",IF(TRIM($J33&amp;"")="",0,SUMPRODUCT((파견수련계획!$Q$4:$Q$203=TRIM($J33&amp;""))*(파견수련계획!$S$4:$S$203="서울병원")*파견수련계획!$W$4:$W$203))+IF($AG33="서울병원",MAX(0,DAY(EOMONTH(요약!$B$3,0))-N($X33)),0))</f>
        <v/>
      </c>
      <c r="AI33" s="17">
        <f>IF($B33="","",IF(TRIM($J33&amp;"")="",0,SUMPRODUCT((파견수련계획!$Q$4:$Q$203=TRIM($J33&amp;""))*(파견수련계획!$S$4:$S$203="구리병원")*파견수련계획!$W$4:$W$203))+IF($AG33="구리병원",MAX(0,DAY(EOMONTH(요약!$B$3,0))-N($X33)),0))</f>
        <v/>
      </c>
      <c r="AJ33" s="10">
        <f>IF(OR($B33="",TRIM($J33&amp;"")=""),"",IFERROR(MATCH(TRIM($J33&amp;"")&amp;"|월",파견수련계획!$Z$4:$Z$203,0),""))</f>
        <v/>
      </c>
      <c r="AK33" s="10">
        <f>IF(OR($B33="",TRIM($J33&amp;"")=""),"",IFERROR(MATCH(TRIM($J33&amp;"")&amp;"|다기관",파견수련계획!$AE$4:$AE$203,0),""))</f>
        <v/>
      </c>
      <c r="AL33" s="10">
        <f>IF($AK33="","","다기관 "&amp;TEXT(INDEX(파견수련계획!$AB$4:$AB$203,$AK33),"yyyy-mm-dd")&amp;"~"&amp;IF(ISNUMBER(INDEX(파견수련계획!$AC$4:$AC$203,$AK33)),TEXT(INDEX(파견수련계획!$AC$4:$AC$203,$AK33),"yyyy-mm-dd"),""))</f>
        <v/>
      </c>
    </row>
    <row r="34">
      <c r="A34" s="10">
        <f>IF(B34="","",ROW()-1)</f>
        <v/>
      </c>
      <c r="B34" s="18" t="n"/>
      <c r="C34" s="10">
        <f>IF($AB34="","",IF(INDEX(기본자료!$C$2:$C$501,$AB34)="","",INDEX(기본자료!$C$2:$C$501,$AB34)))</f>
        <v/>
      </c>
      <c r="D34" s="10">
        <f>IF($AB34="","",IF(INDEX(기본자료!$J$2:$J$501,$AB34)="","",INDEX(기본자료!$J$2:$J$501,$AB34)))</f>
        <v/>
      </c>
      <c r="E34" s="11">
        <f>IF($AB34="","",IF(INDEX(기본자료!$K$2:$K$501,$AB34)="","",IF(NOT(ISNUMBER(INDEX(기본자료!$K$2:$K$501,$AB34))),INDEX(기본자료!$K$2:$K$501,$AB34),IF(INDEX(기본자료!$K$2:$K$501,$AB34)&lt;1000000,INDEX(기본자료!$K$2:$K$501,$AB34),IF(AND(INDEX(기본자료!$K$2:$K$501,$AB34)&gt;=10000101,INT(MOD(INDEX(기본자료!$K$2:$K$501,$AB34),10000)/100)&gt;=1,INT(MOD(INDEX(기본자료!$K$2:$K$501,$AB34),10000)/100)&lt;=12,MOD(INDEX(기본자료!$K$2:$K$501,$AB34),100)&gt;=1,MOD(INDEX(기본자료!$K$2:$K$501,$AB34),100)&lt;=31),DATE(INT(INDEX(기본자료!$K$2:$K$501,$AB34)/10000),INT(MOD(INDEX(기본자료!$K$2:$K$501,$AB34),10000)/100),MOD(INDEX(기본자료!$K$2:$K$501,$AB34),100)),INDEX(기본자료!$K$2:$K$501,$AB34)&amp;"")))))</f>
        <v/>
      </c>
      <c r="F34" s="10">
        <f>IF($AB34="","",IF(INDEX(기본자료!$D$2:$D$501,$AB34)="","",INDEX(기본자료!$D$2:$D$501,$AB34)))</f>
        <v/>
      </c>
      <c r="G34" s="10">
        <f>IF($AB34="","",IF(INDEX(기본자료!$E$2:$E$501,$AB34)="","",INDEX(기본자료!$E$2:$E$501,$AB34)))</f>
        <v/>
      </c>
      <c r="H34" s="10">
        <f>IF($AB34="","",IF(INDEX(기본자료!$F$2:$F$501,$AB34)="","",INDEX(기본자료!$F$2:$F$501,$AB34)))</f>
        <v/>
      </c>
      <c r="I34" s="11">
        <f>IF($AB34="","",IF(INDEX(기본자료!$G$2:$G$501,$AB34)="","",IF(NOT(ISNUMBER(INDEX(기본자료!$G$2:$G$501,$AB34))),INDEX(기본자료!$G$2:$G$501,$AB34),IF(INDEX(기본자료!$G$2:$G$501,$AB34)&lt;1000000,INDEX(기본자료!$G$2:$G$501,$AB34),IF(AND(INDEX(기본자료!$G$2:$G$501,$AB34)&gt;=10000101,INT(MOD(INDEX(기본자료!$G$2:$G$501,$AB34),10000)/100)&gt;=1,INT(MOD(INDEX(기본자료!$G$2:$G$501,$AB34),10000)/100)&lt;=12,MOD(INDEX(기본자료!$G$2:$G$501,$AB34),100)&gt;=1,MOD(INDEX(기본자료!$G$2:$G$501,$AB34),100)&lt;=31),DATE(INT(INDEX(기본자료!$G$2:$G$501,$AB34)/10000),INT(MOD(INDEX(기본자료!$G$2:$G$501,$AB34),10000)/100),MOD(INDEX(기본자료!$G$2:$G$501,$AB34),100)),INDEX(기본자료!$G$2:$G$501,$AB34)&amp;"")))))</f>
        <v/>
      </c>
      <c r="J34" s="10">
        <f>IF($AB34="","",IF(INDEX(기본자료!$H$2:$H$501,$AB34)="","",INDEX(기본자료!$H$2:$H$501,$AB34)))</f>
        <v/>
      </c>
      <c r="K34" s="10">
        <f>IF($AB34="","",IF(INDEX(기본자료!$I$2:$I$501,$AB34)="","",INDEX(기본자료!$I$2:$I$501,$AB34)))</f>
        <v/>
      </c>
      <c r="L34" s="10">
        <f>IF($AB34="","",IF(INDEX(기본자료!$A$2:$A$501,$AB34)="","",INDEX(기본자료!$A$2:$A$501,$AB34)))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파견수련계획!$AB$4:$AB$203,$AK34),OR(NOT(ISNUMBER(INDEX(파견수련계획!$AC$4:$AC$203,$AK34))),TODAY()&lt;=INDEX(파견수련계획!$AC$4:$AC$203,$AK34))),"다기관",IF($AF34="","",INDEX(파견수련계획!$T$4:$T$203,$AF34))),IF($AF34="","",INDEX(파견수련계획!$T$4:$T$203,$AF34))))</f>
        <v/>
      </c>
      <c r="Q34" s="10">
        <f>IF($AF34="","",INDEX(파견수련계획!$S$4:$S$203,$AF34))</f>
        <v/>
      </c>
      <c r="R34" s="10">
        <f>IF($AF34="","",INDEX(파견수련계획!$U$4:$U$203,$AF34))</f>
        <v/>
      </c>
      <c r="S34" s="11">
        <f>IF($AF34="","",IF(INDEX(파견수련계획!$H$4:$H$203,$AF34)="","",INDEX(파견수련계획!$H$4:$H$203,$AF34)))</f>
        <v/>
      </c>
      <c r="T34" s="11">
        <f>IF($AF34="","",IF(INDEX(파견수련계획!$I$4:$I$203,$AF34)="","",INDEX(파견수련계획!$I$4:$I$203,$AF34)))</f>
        <v/>
      </c>
      <c r="U34" s="10">
        <f>IF($AF34="","",INDEX(파견수련계획!$X$4:$X$203,$AF34))</f>
        <v/>
      </c>
      <c r="V34" s="17">
        <f>IF($AF34="","",INDEX(파견수련계획!$V$4:$V$203,$AF34))</f>
        <v/>
      </c>
      <c r="W34" s="17">
        <f>IF(AND($U34="파견중",$T34&lt;&gt;""),$T34-TODAY(),"")</f>
        <v/>
      </c>
      <c r="X34" s="17">
        <f>IF(OR($B34="",TRIM($J34&amp;"")=""),"",SUMPRODUCT((파견수련계획!$Q$4:$Q$203=TRIM($J34&amp;""))*파견수련계획!$W$4:$W$203))</f>
        <v/>
      </c>
      <c r="Y34" s="10">
        <f>IF($B34="","",IF($AG34="","",IF(IF(TRIM($J34&amp;"")="",0,SUMPRODUCT((파견수련계획!$Q$4:$Q$203=TRIM($J34&amp;""))*파견수련계획!$AD$4:$AD$203))&gt;0,$AE34,IF(N($X34)&lt;=0,$AG34,IF($AH34+$AI34=DAY(EOMONTH(요약!$B$3,0)),IF(AND($AH34&gt;=요약!$E$3,$AI34&lt;요약!$E$3),"서울병원",IF(AND($AI34&gt;=요약!$E$3,$AH34&lt;요약!$E$3),"구리병원","⚠15일 판정불가(서울 "&amp;$AH34&amp;"일/구리 "&amp;$AI34&amp;"일)")),IF($AJ34="",$AE34,IF(INDEX(파견수련계획!$T$4:$T$203,$AJ34)="통합수련",INDEX(파견수련계획!$S$4:$S$203,$AJ34),$AE34)))))))</f>
        <v/>
      </c>
      <c r="Z34" s="19">
        <f>IF($B34="","",IF($AB34="","기본자료에 없는 사번",IF(COUNTIF($B$2:$B$201,$B34)&gt;1,"중복 사번",IF($AE34="","소속(입사장소) 입력",IF(IF(TRIM($J34&amp;"")="",0,SUMPRODUCT((파견수련계획!$Q$4:$Q$203=TRIM($J34&amp;""))*(파견수련계획!$AA$4:$AA$203&lt;&gt;"")))&gt;0,"파견수련계획 입력오류 확인",IF(LEFT($Y34,1)="⚠","서울·구리 15일 판정 불가(양쪽 모두 이상/미만)",IF(IF($AC34="",0,N(INDEX(인턴근무계획!$T$3:$T$202,$AC34)))&gt;0,"인턴계획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IF($B34="","",IFERROR(MATCH($B34,기본자료!$B$2:$B$501,0),IFERROR(MATCH($B34&amp;"",기본자료!$B$2:$B$501,0),IFERROR(MATCH(VALUE($B34),기본자료!$B$2:$B$501,0),""))))</f>
        <v/>
      </c>
      <c r="AC34" s="10">
        <f>IF($B34="","",IFERROR(MATCH($B34,인턴근무계획!$D$3:$D$202,0),IFERROR(MATCH($B34&amp;"",인턴근무계획!$D$3:$D$202,0),IFERROR(MATCH(VALUE($B34),인턴근무계획!$D$3:$D$202,0),""))))</f>
        <v/>
      </c>
      <c r="AD34" s="10">
        <f>IF(OR($AC34="",인턴현황!$G$3=""),"",INDEX(인턴근무계획!$M$3:$R$202,$AC34,인턴현황!$G$3)&amp;"")</f>
        <v/>
      </c>
      <c r="AE34" s="10">
        <f>IF($B34="","",IF($M34&lt;&gt;"",$M34,IF($AF34&lt;&gt;"",IF(LEFT(INDEX(파견수련계획!$R$4:$R$203,$AF34),1)&lt;&gt;"⚠",INDEX(파견수련계획!$R$4:$R$203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$203,0),IFERROR(MATCH(TRIM($J34&amp;"")&amp;"|파견예정",파견수련계획!$Y$4:$Y$203,0),IFERROR(MATCH(TRIM($J34&amp;"")&amp;"|파견종료",파견수련계획!$Y$4:$Y$203,0),""))))</f>
        <v/>
      </c>
      <c r="AG34" s="10">
        <f>IF($B34="","",IF(AND(IF(OR($AC34="",인턴현황!$K$2=""),"",INDEX(인턴근무계획!$M$3:$R$202,$AC34,인턴현황!$K$2)&amp;"")&lt;&gt;"",LEFT(IF(OR($AC34="",인턴현황!$K$2=""),"",INDEX(인턴근무계획!$M$3:$R$202,$AC34,인턴현황!$K$2)&amp;""),1)&lt;&gt;"⚠"),LEFT(IF(OR($AC34="",인턴현황!$K$2=""),"",INDEX(인턴근무계획!$M$3:$R$202,$AC34,인턴현황!$K$2)&amp;""),FIND(" ",IF(OR($AC34="",인턴현황!$K$2=""),"",INDEX(인턴근무계획!$M$3:$R$202,$AC34,인턴현황!$K$2)&amp;""))-1),$AE34))</f>
        <v/>
      </c>
      <c r="AH34" s="17">
        <f>IF($B34="","",IF(TRIM($J34&amp;"")="",0,SUMPRODUCT((파견수련계획!$Q$4:$Q$203=TRIM($J34&amp;""))*(파견수련계획!$S$4:$S$203="서울병원")*파견수련계획!$W$4:$W$203))+IF($AG34="서울병원",MAX(0,DAY(EOMONTH(요약!$B$3,0))-N($X34)),0))</f>
        <v/>
      </c>
      <c r="AI34" s="17">
        <f>IF($B34="","",IF(TRIM($J34&amp;"")="",0,SUMPRODUCT((파견수련계획!$Q$4:$Q$203=TRIM($J34&amp;""))*(파견수련계획!$S$4:$S$203="구리병원")*파견수련계획!$W$4:$W$203))+IF($AG34="구리병원",MAX(0,DAY(EOMONTH(요약!$B$3,0))-N($X34)),0))</f>
        <v/>
      </c>
      <c r="AJ34" s="10">
        <f>IF(OR($B34="",TRIM($J34&amp;"")=""),"",IFERROR(MATCH(TRIM($J34&amp;"")&amp;"|월",파견수련계획!$Z$4:$Z$203,0),""))</f>
        <v/>
      </c>
      <c r="AK34" s="10">
        <f>IF(OR($B34="",TRIM($J34&amp;"")=""),"",IFERROR(MATCH(TRIM($J34&amp;"")&amp;"|다기관",파견수련계획!$AE$4:$AE$203,0),""))</f>
        <v/>
      </c>
      <c r="AL34" s="10">
        <f>IF($AK34="","","다기관 "&amp;TEXT(INDEX(파견수련계획!$AB$4:$AB$203,$AK34),"yyyy-mm-dd")&amp;"~"&amp;IF(ISNUMBER(INDEX(파견수련계획!$AC$4:$AC$203,$AK34)),TEXT(INDEX(파견수련계획!$AC$4:$AC$203,$AK34),"yyyy-mm-dd"),""))</f>
        <v/>
      </c>
    </row>
    <row r="35">
      <c r="A35" s="10">
        <f>IF(B35="","",ROW()-1)</f>
        <v/>
      </c>
      <c r="B35" s="18" t="n"/>
      <c r="C35" s="10">
        <f>IF($AB35="","",IF(INDEX(기본자료!$C$2:$C$501,$AB35)="","",INDEX(기본자료!$C$2:$C$501,$AB35)))</f>
        <v/>
      </c>
      <c r="D35" s="10">
        <f>IF($AB35="","",IF(INDEX(기본자료!$J$2:$J$501,$AB35)="","",INDEX(기본자료!$J$2:$J$501,$AB35)))</f>
        <v/>
      </c>
      <c r="E35" s="11">
        <f>IF($AB35="","",IF(INDEX(기본자료!$K$2:$K$501,$AB35)="","",IF(NOT(ISNUMBER(INDEX(기본자료!$K$2:$K$501,$AB35))),INDEX(기본자료!$K$2:$K$501,$AB35),IF(INDEX(기본자료!$K$2:$K$501,$AB35)&lt;1000000,INDEX(기본자료!$K$2:$K$501,$AB35),IF(AND(INDEX(기본자료!$K$2:$K$501,$AB35)&gt;=10000101,INT(MOD(INDEX(기본자료!$K$2:$K$501,$AB35),10000)/100)&gt;=1,INT(MOD(INDEX(기본자료!$K$2:$K$501,$AB35),10000)/100)&lt;=12,MOD(INDEX(기본자료!$K$2:$K$501,$AB35),100)&gt;=1,MOD(INDEX(기본자료!$K$2:$K$501,$AB35),100)&lt;=31),DATE(INT(INDEX(기본자료!$K$2:$K$501,$AB35)/10000),INT(MOD(INDEX(기본자료!$K$2:$K$501,$AB35),10000)/100),MOD(INDEX(기본자료!$K$2:$K$501,$AB35),100)),INDEX(기본자료!$K$2:$K$501,$AB35)&amp;"")))))</f>
        <v/>
      </c>
      <c r="F35" s="10">
        <f>IF($AB35="","",IF(INDEX(기본자료!$D$2:$D$501,$AB35)="","",INDEX(기본자료!$D$2:$D$501,$AB35)))</f>
        <v/>
      </c>
      <c r="G35" s="10">
        <f>IF($AB35="","",IF(INDEX(기본자료!$E$2:$E$501,$AB35)="","",INDEX(기본자료!$E$2:$E$501,$AB35)))</f>
        <v/>
      </c>
      <c r="H35" s="10">
        <f>IF($AB35="","",IF(INDEX(기본자료!$F$2:$F$501,$AB35)="","",INDEX(기본자료!$F$2:$F$501,$AB35)))</f>
        <v/>
      </c>
      <c r="I35" s="11">
        <f>IF($AB35="","",IF(INDEX(기본자료!$G$2:$G$501,$AB35)="","",IF(NOT(ISNUMBER(INDEX(기본자료!$G$2:$G$501,$AB35))),INDEX(기본자료!$G$2:$G$501,$AB35),IF(INDEX(기본자료!$G$2:$G$501,$AB35)&lt;1000000,INDEX(기본자료!$G$2:$G$501,$AB35),IF(AND(INDEX(기본자료!$G$2:$G$501,$AB35)&gt;=10000101,INT(MOD(INDEX(기본자료!$G$2:$G$501,$AB35),10000)/100)&gt;=1,INT(MOD(INDEX(기본자료!$G$2:$G$501,$AB35),10000)/100)&lt;=12,MOD(INDEX(기본자료!$G$2:$G$501,$AB35),100)&gt;=1,MOD(INDEX(기본자료!$G$2:$G$501,$AB35),100)&lt;=31),DATE(INT(INDEX(기본자료!$G$2:$G$501,$AB35)/10000),INT(MOD(INDEX(기본자료!$G$2:$G$501,$AB35),10000)/100),MOD(INDEX(기본자료!$G$2:$G$501,$AB35),100)),INDEX(기본자료!$G$2:$G$501,$AB35)&amp;"")))))</f>
        <v/>
      </c>
      <c r="J35" s="10">
        <f>IF($AB35="","",IF(INDEX(기본자료!$H$2:$H$501,$AB35)="","",INDEX(기본자료!$H$2:$H$501,$AB35)))</f>
        <v/>
      </c>
      <c r="K35" s="10">
        <f>IF($AB35="","",IF(INDEX(기본자료!$I$2:$I$501,$AB35)="","",INDEX(기본자료!$I$2:$I$501,$AB35)))</f>
        <v/>
      </c>
      <c r="L35" s="10">
        <f>IF($AB35="","",IF(INDEX(기본자료!$A$2:$A$501,$AB35)="","",INDEX(기본자료!$A$2:$A$501,$AB35)))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파견수련계획!$AB$4:$AB$203,$AK35),OR(NOT(ISNUMBER(INDEX(파견수련계획!$AC$4:$AC$203,$AK35))),TODAY()&lt;=INDEX(파견수련계획!$AC$4:$AC$203,$AK35))),"다기관",IF($AF35="","",INDEX(파견수련계획!$T$4:$T$203,$AF35))),IF($AF35="","",INDEX(파견수련계획!$T$4:$T$203,$AF35))))</f>
        <v/>
      </c>
      <c r="Q35" s="10">
        <f>IF($AF35="","",INDEX(파견수련계획!$S$4:$S$203,$AF35))</f>
        <v/>
      </c>
      <c r="R35" s="10">
        <f>IF($AF35="","",INDEX(파견수련계획!$U$4:$U$203,$AF35))</f>
        <v/>
      </c>
      <c r="S35" s="11">
        <f>IF($AF35="","",IF(INDEX(파견수련계획!$H$4:$H$203,$AF35)="","",INDEX(파견수련계획!$H$4:$H$203,$AF35)))</f>
        <v/>
      </c>
      <c r="T35" s="11">
        <f>IF($AF35="","",IF(INDEX(파견수련계획!$I$4:$I$203,$AF35)="","",INDEX(파견수련계획!$I$4:$I$203,$AF35)))</f>
        <v/>
      </c>
      <c r="U35" s="10">
        <f>IF($AF35="","",INDEX(파견수련계획!$X$4:$X$203,$AF35))</f>
        <v/>
      </c>
      <c r="V35" s="17">
        <f>IF($AF35="","",INDEX(파견수련계획!$V$4:$V$203,$AF35))</f>
        <v/>
      </c>
      <c r="W35" s="17">
        <f>IF(AND($U35="파견중",$T35&lt;&gt;""),$T35-TODAY(),"")</f>
        <v/>
      </c>
      <c r="X35" s="17">
        <f>IF(OR($B35="",TRIM($J35&amp;"")=""),"",SUMPRODUCT((파견수련계획!$Q$4:$Q$203=TRIM($J35&amp;""))*파견수련계획!$W$4:$W$203))</f>
        <v/>
      </c>
      <c r="Y35" s="10">
        <f>IF($B35="","",IF($AG35="","",IF(IF(TRIM($J35&amp;"")="",0,SUMPRODUCT((파견수련계획!$Q$4:$Q$203=TRIM($J35&amp;""))*파견수련계획!$AD$4:$AD$203))&gt;0,$AE35,IF(N($X35)&lt;=0,$AG35,IF($AH35+$AI35=DAY(EOMONTH(요약!$B$3,0)),IF(AND($AH35&gt;=요약!$E$3,$AI35&lt;요약!$E$3),"서울병원",IF(AND($AI35&gt;=요약!$E$3,$AH35&lt;요약!$E$3),"구리병원","⚠15일 판정불가(서울 "&amp;$AH35&amp;"일/구리 "&amp;$AI35&amp;"일)")),IF($AJ35="",$AE35,IF(INDEX(파견수련계획!$T$4:$T$203,$AJ35)="통합수련",INDEX(파견수련계획!$S$4:$S$203,$AJ35),$AE35)))))))</f>
        <v/>
      </c>
      <c r="Z35" s="19">
        <f>IF($B35="","",IF($AB35="","기본자료에 없는 사번",IF(COUNTIF($B$2:$B$201,$B35)&gt;1,"중복 사번",IF($AE35="","소속(입사장소) 입력",IF(IF(TRIM($J35&amp;"")="",0,SUMPRODUCT((파견수련계획!$Q$4:$Q$203=TRIM($J35&amp;""))*(파견수련계획!$AA$4:$AA$203&lt;&gt;"")))&gt;0,"파견수련계획 입력오류 확인",IF(LEFT($Y35,1)="⚠","서울·구리 15일 판정 불가(양쪽 모두 이상/미만)",IF(IF($AC35="",0,N(INDEX(인턴근무계획!$T$3:$T$202,$AC35)))&gt;0,"인턴계획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IF($B35="","",IFERROR(MATCH($B35,기본자료!$B$2:$B$501,0),IFERROR(MATCH($B35&amp;"",기본자료!$B$2:$B$501,0),IFERROR(MATCH(VALUE($B35),기본자료!$B$2:$B$501,0),""))))</f>
        <v/>
      </c>
      <c r="AC35" s="10">
        <f>IF($B35="","",IFERROR(MATCH($B35,인턴근무계획!$D$3:$D$202,0),IFERROR(MATCH($B35&amp;"",인턴근무계획!$D$3:$D$202,0),IFERROR(MATCH(VALUE($B35),인턴근무계획!$D$3:$D$202,0),""))))</f>
        <v/>
      </c>
      <c r="AD35" s="10">
        <f>IF(OR($AC35="",인턴현황!$G$3=""),"",INDEX(인턴근무계획!$M$3:$R$202,$AC35,인턴현황!$G$3)&amp;"")</f>
        <v/>
      </c>
      <c r="AE35" s="10">
        <f>IF($B35="","",IF($M35&lt;&gt;"",$M35,IF($AF35&lt;&gt;"",IF(LEFT(INDEX(파견수련계획!$R$4:$R$203,$AF35),1)&lt;&gt;"⚠",INDEX(파견수련계획!$R$4:$R$203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$203,0),IFERROR(MATCH(TRIM($J35&amp;"")&amp;"|파견예정",파견수련계획!$Y$4:$Y$203,0),IFERROR(MATCH(TRIM($J35&amp;"")&amp;"|파견종료",파견수련계획!$Y$4:$Y$203,0),""))))</f>
        <v/>
      </c>
      <c r="AG35" s="10">
        <f>IF($B35="","",IF(AND(IF(OR($AC35="",인턴현황!$K$2=""),"",INDEX(인턴근무계획!$M$3:$R$202,$AC35,인턴현황!$K$2)&amp;"")&lt;&gt;"",LEFT(IF(OR($AC35="",인턴현황!$K$2=""),"",INDEX(인턴근무계획!$M$3:$R$202,$AC35,인턴현황!$K$2)&amp;""),1)&lt;&gt;"⚠"),LEFT(IF(OR($AC35="",인턴현황!$K$2=""),"",INDEX(인턴근무계획!$M$3:$R$202,$AC35,인턴현황!$K$2)&amp;""),FIND(" ",IF(OR($AC35="",인턴현황!$K$2=""),"",INDEX(인턴근무계획!$M$3:$R$202,$AC35,인턴현황!$K$2)&amp;""))-1),$AE35))</f>
        <v/>
      </c>
      <c r="AH35" s="17">
        <f>IF($B35="","",IF(TRIM($J35&amp;"")="",0,SUMPRODUCT((파견수련계획!$Q$4:$Q$203=TRIM($J35&amp;""))*(파견수련계획!$S$4:$S$203="서울병원")*파견수련계획!$W$4:$W$203))+IF($AG35="서울병원",MAX(0,DAY(EOMONTH(요약!$B$3,0))-N($X35)),0))</f>
        <v/>
      </c>
      <c r="AI35" s="17">
        <f>IF($B35="","",IF(TRIM($J35&amp;"")="",0,SUMPRODUCT((파견수련계획!$Q$4:$Q$203=TRIM($J35&amp;""))*(파견수련계획!$S$4:$S$203="구리병원")*파견수련계획!$W$4:$W$203))+IF($AG35="구리병원",MAX(0,DAY(EOMONTH(요약!$B$3,0))-N($X35)),0))</f>
        <v/>
      </c>
      <c r="AJ35" s="10">
        <f>IF(OR($B35="",TRIM($J35&amp;"")=""),"",IFERROR(MATCH(TRIM($J35&amp;"")&amp;"|월",파견수련계획!$Z$4:$Z$203,0),""))</f>
        <v/>
      </c>
      <c r="AK35" s="10">
        <f>IF(OR($B35="",TRIM($J35&amp;"")=""),"",IFERROR(MATCH(TRIM($J35&amp;"")&amp;"|다기관",파견수련계획!$AE$4:$AE$203,0),""))</f>
        <v/>
      </c>
      <c r="AL35" s="10">
        <f>IF($AK35="","","다기관 "&amp;TEXT(INDEX(파견수련계획!$AB$4:$AB$203,$AK35),"yyyy-mm-dd")&amp;"~"&amp;IF(ISNUMBER(INDEX(파견수련계획!$AC$4:$AC$203,$AK35)),TEXT(INDEX(파견수련계획!$AC$4:$AC$203,$AK35),"yyyy-mm-dd"),""))</f>
        <v/>
      </c>
    </row>
    <row r="36">
      <c r="A36" s="10">
        <f>IF(B36="","",ROW()-1)</f>
        <v/>
      </c>
      <c r="B36" s="18" t="n"/>
      <c r="C36" s="10">
        <f>IF($AB36="","",IF(INDEX(기본자료!$C$2:$C$501,$AB36)="","",INDEX(기본자료!$C$2:$C$501,$AB36)))</f>
        <v/>
      </c>
      <c r="D36" s="10">
        <f>IF($AB36="","",IF(INDEX(기본자료!$J$2:$J$501,$AB36)="","",INDEX(기본자료!$J$2:$J$501,$AB36)))</f>
        <v/>
      </c>
      <c r="E36" s="11">
        <f>IF($AB36="","",IF(INDEX(기본자료!$K$2:$K$501,$AB36)="","",IF(NOT(ISNUMBER(INDEX(기본자료!$K$2:$K$501,$AB36))),INDEX(기본자료!$K$2:$K$501,$AB36),IF(INDEX(기본자료!$K$2:$K$501,$AB36)&lt;1000000,INDEX(기본자료!$K$2:$K$501,$AB36),IF(AND(INDEX(기본자료!$K$2:$K$501,$AB36)&gt;=10000101,INT(MOD(INDEX(기본자료!$K$2:$K$501,$AB36),10000)/100)&gt;=1,INT(MOD(INDEX(기본자료!$K$2:$K$501,$AB36),10000)/100)&lt;=12,MOD(INDEX(기본자료!$K$2:$K$501,$AB36),100)&gt;=1,MOD(INDEX(기본자료!$K$2:$K$501,$AB36),100)&lt;=31),DATE(INT(INDEX(기본자료!$K$2:$K$501,$AB36)/10000),INT(MOD(INDEX(기본자료!$K$2:$K$501,$AB36),10000)/100),MOD(INDEX(기본자료!$K$2:$K$501,$AB36),100)),INDEX(기본자료!$K$2:$K$501,$AB36)&amp;"")))))</f>
        <v/>
      </c>
      <c r="F36" s="10">
        <f>IF($AB36="","",IF(INDEX(기본자료!$D$2:$D$501,$AB36)="","",INDEX(기본자료!$D$2:$D$501,$AB36)))</f>
        <v/>
      </c>
      <c r="G36" s="10">
        <f>IF($AB36="","",IF(INDEX(기본자료!$E$2:$E$501,$AB36)="","",INDEX(기본자료!$E$2:$E$501,$AB36)))</f>
        <v/>
      </c>
      <c r="H36" s="10">
        <f>IF($AB36="","",IF(INDEX(기본자료!$F$2:$F$501,$AB36)="","",INDEX(기본자료!$F$2:$F$501,$AB36)))</f>
        <v/>
      </c>
      <c r="I36" s="11">
        <f>IF($AB36="","",IF(INDEX(기본자료!$G$2:$G$501,$AB36)="","",IF(NOT(ISNUMBER(INDEX(기본자료!$G$2:$G$501,$AB36))),INDEX(기본자료!$G$2:$G$501,$AB36),IF(INDEX(기본자료!$G$2:$G$501,$AB36)&lt;1000000,INDEX(기본자료!$G$2:$G$501,$AB36),IF(AND(INDEX(기본자료!$G$2:$G$501,$AB36)&gt;=10000101,INT(MOD(INDEX(기본자료!$G$2:$G$501,$AB36),10000)/100)&gt;=1,INT(MOD(INDEX(기본자료!$G$2:$G$501,$AB36),10000)/100)&lt;=12,MOD(INDEX(기본자료!$G$2:$G$501,$AB36),100)&gt;=1,MOD(INDEX(기본자료!$G$2:$G$501,$AB36),100)&lt;=31),DATE(INT(INDEX(기본자료!$G$2:$G$501,$AB36)/10000),INT(MOD(INDEX(기본자료!$G$2:$G$501,$AB36),10000)/100),MOD(INDEX(기본자료!$G$2:$G$501,$AB36),100)),INDEX(기본자료!$G$2:$G$501,$AB36)&amp;"")))))</f>
        <v/>
      </c>
      <c r="J36" s="10">
        <f>IF($AB36="","",IF(INDEX(기본자료!$H$2:$H$501,$AB36)="","",INDEX(기본자료!$H$2:$H$501,$AB36)))</f>
        <v/>
      </c>
      <c r="K36" s="10">
        <f>IF($AB36="","",IF(INDEX(기본자료!$I$2:$I$501,$AB36)="","",INDEX(기본자료!$I$2:$I$501,$AB36)))</f>
        <v/>
      </c>
      <c r="L36" s="10">
        <f>IF($AB36="","",IF(INDEX(기본자료!$A$2:$A$501,$AB36)="","",INDEX(기본자료!$A$2:$A$501,$AB36)))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파견수련계획!$AB$4:$AB$203,$AK36),OR(NOT(ISNUMBER(INDEX(파견수련계획!$AC$4:$AC$203,$AK36))),TODAY()&lt;=INDEX(파견수련계획!$AC$4:$AC$203,$AK36))),"다기관",IF($AF36="","",INDEX(파견수련계획!$T$4:$T$203,$AF36))),IF($AF36="","",INDEX(파견수련계획!$T$4:$T$203,$AF36))))</f>
        <v/>
      </c>
      <c r="Q36" s="10">
        <f>IF($AF36="","",INDEX(파견수련계획!$S$4:$S$203,$AF36))</f>
        <v/>
      </c>
      <c r="R36" s="10">
        <f>IF($AF36="","",INDEX(파견수련계획!$U$4:$U$203,$AF36))</f>
        <v/>
      </c>
      <c r="S36" s="11">
        <f>IF($AF36="","",IF(INDEX(파견수련계획!$H$4:$H$203,$AF36)="","",INDEX(파견수련계획!$H$4:$H$203,$AF36)))</f>
        <v/>
      </c>
      <c r="T36" s="11">
        <f>IF($AF36="","",IF(INDEX(파견수련계획!$I$4:$I$203,$AF36)="","",INDEX(파견수련계획!$I$4:$I$203,$AF36)))</f>
        <v/>
      </c>
      <c r="U36" s="10">
        <f>IF($AF36="","",INDEX(파견수련계획!$X$4:$X$203,$AF36))</f>
        <v/>
      </c>
      <c r="V36" s="17">
        <f>IF($AF36="","",INDEX(파견수련계획!$V$4:$V$203,$AF36))</f>
        <v/>
      </c>
      <c r="W36" s="17">
        <f>IF(AND($U36="파견중",$T36&lt;&gt;""),$T36-TODAY(),"")</f>
        <v/>
      </c>
      <c r="X36" s="17">
        <f>IF(OR($B36="",TRIM($J36&amp;"")=""),"",SUMPRODUCT((파견수련계획!$Q$4:$Q$203=TRIM($J36&amp;""))*파견수련계획!$W$4:$W$203))</f>
        <v/>
      </c>
      <c r="Y36" s="10">
        <f>IF($B36="","",IF($AG36="","",IF(IF(TRIM($J36&amp;"")="",0,SUMPRODUCT((파견수련계획!$Q$4:$Q$203=TRIM($J36&amp;""))*파견수련계획!$AD$4:$AD$203))&gt;0,$AE36,IF(N($X36)&lt;=0,$AG36,IF($AH36+$AI36=DAY(EOMONTH(요약!$B$3,0)),IF(AND($AH36&gt;=요약!$E$3,$AI36&lt;요약!$E$3),"서울병원",IF(AND($AI36&gt;=요약!$E$3,$AH36&lt;요약!$E$3),"구리병원","⚠15일 판정불가(서울 "&amp;$AH36&amp;"일/구리 "&amp;$AI36&amp;"일)")),IF($AJ36="",$AE36,IF(INDEX(파견수련계획!$T$4:$T$203,$AJ36)="통합수련",INDEX(파견수련계획!$S$4:$S$203,$AJ36),$AE36)))))))</f>
        <v/>
      </c>
      <c r="Z36" s="19">
        <f>IF($B36="","",IF($AB36="","기본자료에 없는 사번",IF(COUNTIF($B$2:$B$201,$B36)&gt;1,"중복 사번",IF($AE36="","소속(입사장소) 입력",IF(IF(TRIM($J36&amp;"")="",0,SUMPRODUCT((파견수련계획!$Q$4:$Q$203=TRIM($J36&amp;""))*(파견수련계획!$AA$4:$AA$203&lt;&gt;"")))&gt;0,"파견수련계획 입력오류 확인",IF(LEFT($Y36,1)="⚠","서울·구리 15일 판정 불가(양쪽 모두 이상/미만)",IF(IF($AC36="",0,N(INDEX(인턴근무계획!$T$3:$T$202,$AC36)))&gt;0,"인턴계획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IF($B36="","",IFERROR(MATCH($B36,기본자료!$B$2:$B$501,0),IFERROR(MATCH($B36&amp;"",기본자료!$B$2:$B$501,0),IFERROR(MATCH(VALUE($B36),기본자료!$B$2:$B$501,0),""))))</f>
        <v/>
      </c>
      <c r="AC36" s="10">
        <f>IF($B36="","",IFERROR(MATCH($B36,인턴근무계획!$D$3:$D$202,0),IFERROR(MATCH($B36&amp;"",인턴근무계획!$D$3:$D$202,0),IFERROR(MATCH(VALUE($B36),인턴근무계획!$D$3:$D$202,0),""))))</f>
        <v/>
      </c>
      <c r="AD36" s="10">
        <f>IF(OR($AC36="",인턴현황!$G$3=""),"",INDEX(인턴근무계획!$M$3:$R$202,$AC36,인턴현황!$G$3)&amp;"")</f>
        <v/>
      </c>
      <c r="AE36" s="10">
        <f>IF($B36="","",IF($M36&lt;&gt;"",$M36,IF($AF36&lt;&gt;"",IF(LEFT(INDEX(파견수련계획!$R$4:$R$203,$AF36),1)&lt;&gt;"⚠",INDEX(파견수련계획!$R$4:$R$203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$203,0),IFERROR(MATCH(TRIM($J36&amp;"")&amp;"|파견예정",파견수련계획!$Y$4:$Y$203,0),IFERROR(MATCH(TRIM($J36&amp;"")&amp;"|파견종료",파견수련계획!$Y$4:$Y$203,0),""))))</f>
        <v/>
      </c>
      <c r="AG36" s="10">
        <f>IF($B36="","",IF(AND(IF(OR($AC36="",인턴현황!$K$2=""),"",INDEX(인턴근무계획!$M$3:$R$202,$AC36,인턴현황!$K$2)&amp;"")&lt;&gt;"",LEFT(IF(OR($AC36="",인턴현황!$K$2=""),"",INDEX(인턴근무계획!$M$3:$R$202,$AC36,인턴현황!$K$2)&amp;""),1)&lt;&gt;"⚠"),LEFT(IF(OR($AC36="",인턴현황!$K$2=""),"",INDEX(인턴근무계획!$M$3:$R$202,$AC36,인턴현황!$K$2)&amp;""),FIND(" ",IF(OR($AC36="",인턴현황!$K$2=""),"",INDEX(인턴근무계획!$M$3:$R$202,$AC36,인턴현황!$K$2)&amp;""))-1),$AE36))</f>
        <v/>
      </c>
      <c r="AH36" s="17">
        <f>IF($B36="","",IF(TRIM($J36&amp;"")="",0,SUMPRODUCT((파견수련계획!$Q$4:$Q$203=TRIM($J36&amp;""))*(파견수련계획!$S$4:$S$203="서울병원")*파견수련계획!$W$4:$W$203))+IF($AG36="서울병원",MAX(0,DAY(EOMONTH(요약!$B$3,0))-N($X36)),0))</f>
        <v/>
      </c>
      <c r="AI36" s="17">
        <f>IF($B36="","",IF(TRIM($J36&amp;"")="",0,SUMPRODUCT((파견수련계획!$Q$4:$Q$203=TRIM($J36&amp;""))*(파견수련계획!$S$4:$S$203="구리병원")*파견수련계획!$W$4:$W$203))+IF($AG36="구리병원",MAX(0,DAY(EOMONTH(요약!$B$3,0))-N($X36)),0))</f>
        <v/>
      </c>
      <c r="AJ36" s="10">
        <f>IF(OR($B36="",TRIM($J36&amp;"")=""),"",IFERROR(MATCH(TRIM($J36&amp;"")&amp;"|월",파견수련계획!$Z$4:$Z$203,0),""))</f>
        <v/>
      </c>
      <c r="AK36" s="10">
        <f>IF(OR($B36="",TRIM($J36&amp;"")=""),"",IFERROR(MATCH(TRIM($J36&amp;"")&amp;"|다기관",파견수련계획!$AE$4:$AE$203,0),""))</f>
        <v/>
      </c>
      <c r="AL36" s="10">
        <f>IF($AK36="","","다기관 "&amp;TEXT(INDEX(파견수련계획!$AB$4:$AB$203,$AK36),"yyyy-mm-dd")&amp;"~"&amp;IF(ISNUMBER(INDEX(파견수련계획!$AC$4:$AC$203,$AK36)),TEXT(INDEX(파견수련계획!$AC$4:$AC$203,$AK36),"yyyy-mm-dd"),""))</f>
        <v/>
      </c>
    </row>
    <row r="37">
      <c r="A37" s="10">
        <f>IF(B37="","",ROW()-1)</f>
        <v/>
      </c>
      <c r="B37" s="18" t="n"/>
      <c r="C37" s="10">
        <f>IF($AB37="","",IF(INDEX(기본자료!$C$2:$C$501,$AB37)="","",INDEX(기본자료!$C$2:$C$501,$AB37)))</f>
        <v/>
      </c>
      <c r="D37" s="10">
        <f>IF($AB37="","",IF(INDEX(기본자료!$J$2:$J$501,$AB37)="","",INDEX(기본자료!$J$2:$J$501,$AB37)))</f>
        <v/>
      </c>
      <c r="E37" s="11">
        <f>IF($AB37="","",IF(INDEX(기본자료!$K$2:$K$501,$AB37)="","",IF(NOT(ISNUMBER(INDEX(기본자료!$K$2:$K$501,$AB37))),INDEX(기본자료!$K$2:$K$501,$AB37),IF(INDEX(기본자료!$K$2:$K$501,$AB37)&lt;1000000,INDEX(기본자료!$K$2:$K$501,$AB37),IF(AND(INDEX(기본자료!$K$2:$K$501,$AB37)&gt;=10000101,INT(MOD(INDEX(기본자료!$K$2:$K$501,$AB37),10000)/100)&gt;=1,INT(MOD(INDEX(기본자료!$K$2:$K$501,$AB37),10000)/100)&lt;=12,MOD(INDEX(기본자료!$K$2:$K$501,$AB37),100)&gt;=1,MOD(INDEX(기본자료!$K$2:$K$501,$AB37),100)&lt;=31),DATE(INT(INDEX(기본자료!$K$2:$K$501,$AB37)/10000),INT(MOD(INDEX(기본자료!$K$2:$K$501,$AB37),10000)/100),MOD(INDEX(기본자료!$K$2:$K$501,$AB37),100)),INDEX(기본자료!$K$2:$K$501,$AB37)&amp;"")))))</f>
        <v/>
      </c>
      <c r="F37" s="10">
        <f>IF($AB37="","",IF(INDEX(기본자료!$D$2:$D$501,$AB37)="","",INDEX(기본자료!$D$2:$D$501,$AB37)))</f>
        <v/>
      </c>
      <c r="G37" s="10">
        <f>IF($AB37="","",IF(INDEX(기본자료!$E$2:$E$501,$AB37)="","",INDEX(기본자료!$E$2:$E$501,$AB37)))</f>
        <v/>
      </c>
      <c r="H37" s="10">
        <f>IF($AB37="","",IF(INDEX(기본자료!$F$2:$F$501,$AB37)="","",INDEX(기본자료!$F$2:$F$501,$AB37)))</f>
        <v/>
      </c>
      <c r="I37" s="11">
        <f>IF($AB37="","",IF(INDEX(기본자료!$G$2:$G$501,$AB37)="","",IF(NOT(ISNUMBER(INDEX(기본자료!$G$2:$G$501,$AB37))),INDEX(기본자료!$G$2:$G$501,$AB37),IF(INDEX(기본자료!$G$2:$G$501,$AB37)&lt;1000000,INDEX(기본자료!$G$2:$G$501,$AB37),IF(AND(INDEX(기본자료!$G$2:$G$501,$AB37)&gt;=10000101,INT(MOD(INDEX(기본자료!$G$2:$G$501,$AB37),10000)/100)&gt;=1,INT(MOD(INDEX(기본자료!$G$2:$G$501,$AB37),10000)/100)&lt;=12,MOD(INDEX(기본자료!$G$2:$G$501,$AB37),100)&gt;=1,MOD(INDEX(기본자료!$G$2:$G$501,$AB37),100)&lt;=31),DATE(INT(INDEX(기본자료!$G$2:$G$501,$AB37)/10000),INT(MOD(INDEX(기본자료!$G$2:$G$501,$AB37),10000)/100),MOD(INDEX(기본자료!$G$2:$G$501,$AB37),100)),INDEX(기본자료!$G$2:$G$501,$AB37)&amp;"")))))</f>
        <v/>
      </c>
      <c r="J37" s="10">
        <f>IF($AB37="","",IF(INDEX(기본자료!$H$2:$H$501,$AB37)="","",INDEX(기본자료!$H$2:$H$501,$AB37)))</f>
        <v/>
      </c>
      <c r="K37" s="10">
        <f>IF($AB37="","",IF(INDEX(기본자료!$I$2:$I$501,$AB37)="","",INDEX(기본자료!$I$2:$I$501,$AB37)))</f>
        <v/>
      </c>
      <c r="L37" s="10">
        <f>IF($AB37="","",IF(INDEX(기본자료!$A$2:$A$501,$AB37)="","",INDEX(기본자료!$A$2:$A$501,$AB37)))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파견수련계획!$AB$4:$AB$203,$AK37),OR(NOT(ISNUMBER(INDEX(파견수련계획!$AC$4:$AC$203,$AK37))),TODAY()&lt;=INDEX(파견수련계획!$AC$4:$AC$203,$AK37))),"다기관",IF($AF37="","",INDEX(파견수련계획!$T$4:$T$203,$AF37))),IF($AF37="","",INDEX(파견수련계획!$T$4:$T$203,$AF37))))</f>
        <v/>
      </c>
      <c r="Q37" s="10">
        <f>IF($AF37="","",INDEX(파견수련계획!$S$4:$S$203,$AF37))</f>
        <v/>
      </c>
      <c r="R37" s="10">
        <f>IF($AF37="","",INDEX(파견수련계획!$U$4:$U$203,$AF37))</f>
        <v/>
      </c>
      <c r="S37" s="11">
        <f>IF($AF37="","",IF(INDEX(파견수련계획!$H$4:$H$203,$AF37)="","",INDEX(파견수련계획!$H$4:$H$203,$AF37)))</f>
        <v/>
      </c>
      <c r="T37" s="11">
        <f>IF($AF37="","",IF(INDEX(파견수련계획!$I$4:$I$203,$AF37)="","",INDEX(파견수련계획!$I$4:$I$203,$AF37)))</f>
        <v/>
      </c>
      <c r="U37" s="10">
        <f>IF($AF37="","",INDEX(파견수련계획!$X$4:$X$203,$AF37))</f>
        <v/>
      </c>
      <c r="V37" s="17">
        <f>IF($AF37="","",INDEX(파견수련계획!$V$4:$V$203,$AF37))</f>
        <v/>
      </c>
      <c r="W37" s="17">
        <f>IF(AND($U37="파견중",$T37&lt;&gt;""),$T37-TODAY(),"")</f>
        <v/>
      </c>
      <c r="X37" s="17">
        <f>IF(OR($B37="",TRIM($J37&amp;"")=""),"",SUMPRODUCT((파견수련계획!$Q$4:$Q$203=TRIM($J37&amp;""))*파견수련계획!$W$4:$W$203))</f>
        <v/>
      </c>
      <c r="Y37" s="10">
        <f>IF($B37="","",IF($AG37="","",IF(IF(TRIM($J37&amp;"")="",0,SUMPRODUCT((파견수련계획!$Q$4:$Q$203=TRIM($J37&amp;""))*파견수련계획!$AD$4:$AD$203))&gt;0,$AE37,IF(N($X37)&lt;=0,$AG37,IF($AH37+$AI37=DAY(EOMONTH(요약!$B$3,0)),IF(AND($AH37&gt;=요약!$E$3,$AI37&lt;요약!$E$3),"서울병원",IF(AND($AI37&gt;=요약!$E$3,$AH37&lt;요약!$E$3),"구리병원","⚠15일 판정불가(서울 "&amp;$AH37&amp;"일/구리 "&amp;$AI37&amp;"일)")),IF($AJ37="",$AE37,IF(INDEX(파견수련계획!$T$4:$T$203,$AJ37)="통합수련",INDEX(파견수련계획!$S$4:$S$203,$AJ37),$AE37)))))))</f>
        <v/>
      </c>
      <c r="Z37" s="19">
        <f>IF($B37="","",IF($AB37="","기본자료에 없는 사번",IF(COUNTIF($B$2:$B$201,$B37)&gt;1,"중복 사번",IF($AE37="","소속(입사장소) 입력",IF(IF(TRIM($J37&amp;"")="",0,SUMPRODUCT((파견수련계획!$Q$4:$Q$203=TRIM($J37&amp;""))*(파견수련계획!$AA$4:$AA$203&lt;&gt;"")))&gt;0,"파견수련계획 입력오류 확인",IF(LEFT($Y37,1)="⚠","서울·구리 15일 판정 불가(양쪽 모두 이상/미만)",IF(IF($AC37="",0,N(INDEX(인턴근무계획!$T$3:$T$202,$AC37)))&gt;0,"인턴계획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IF($B37="","",IFERROR(MATCH($B37,기본자료!$B$2:$B$501,0),IFERROR(MATCH($B37&amp;"",기본자료!$B$2:$B$501,0),IFERROR(MATCH(VALUE($B37),기본자료!$B$2:$B$501,0),""))))</f>
        <v/>
      </c>
      <c r="AC37" s="10">
        <f>IF($B37="","",IFERROR(MATCH($B37,인턴근무계획!$D$3:$D$202,0),IFERROR(MATCH($B37&amp;"",인턴근무계획!$D$3:$D$202,0),IFERROR(MATCH(VALUE($B37),인턴근무계획!$D$3:$D$202,0),""))))</f>
        <v/>
      </c>
      <c r="AD37" s="10">
        <f>IF(OR($AC37="",인턴현황!$G$3=""),"",INDEX(인턴근무계획!$M$3:$R$202,$AC37,인턴현황!$G$3)&amp;"")</f>
        <v/>
      </c>
      <c r="AE37" s="10">
        <f>IF($B37="","",IF($M37&lt;&gt;"",$M37,IF($AF37&lt;&gt;"",IF(LEFT(INDEX(파견수련계획!$R$4:$R$203,$AF37),1)&lt;&gt;"⚠",INDEX(파견수련계획!$R$4:$R$203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$203,0),IFERROR(MATCH(TRIM($J37&amp;"")&amp;"|파견예정",파견수련계획!$Y$4:$Y$203,0),IFERROR(MATCH(TRIM($J37&amp;"")&amp;"|파견종료",파견수련계획!$Y$4:$Y$203,0),""))))</f>
        <v/>
      </c>
      <c r="AG37" s="10">
        <f>IF($B37="","",IF(AND(IF(OR($AC37="",인턴현황!$K$2=""),"",INDEX(인턴근무계획!$M$3:$R$202,$AC37,인턴현황!$K$2)&amp;"")&lt;&gt;"",LEFT(IF(OR($AC37="",인턴현황!$K$2=""),"",INDEX(인턴근무계획!$M$3:$R$202,$AC37,인턴현황!$K$2)&amp;""),1)&lt;&gt;"⚠"),LEFT(IF(OR($AC37="",인턴현황!$K$2=""),"",INDEX(인턴근무계획!$M$3:$R$202,$AC37,인턴현황!$K$2)&amp;""),FIND(" ",IF(OR($AC37="",인턴현황!$K$2=""),"",INDEX(인턴근무계획!$M$3:$R$202,$AC37,인턴현황!$K$2)&amp;""))-1),$AE37))</f>
        <v/>
      </c>
      <c r="AH37" s="17">
        <f>IF($B37="","",IF(TRIM($J37&amp;"")="",0,SUMPRODUCT((파견수련계획!$Q$4:$Q$203=TRIM($J37&amp;""))*(파견수련계획!$S$4:$S$203="서울병원")*파견수련계획!$W$4:$W$203))+IF($AG37="서울병원",MAX(0,DAY(EOMONTH(요약!$B$3,0))-N($X37)),0))</f>
        <v/>
      </c>
      <c r="AI37" s="17">
        <f>IF($B37="","",IF(TRIM($J37&amp;"")="",0,SUMPRODUCT((파견수련계획!$Q$4:$Q$203=TRIM($J37&amp;""))*(파견수련계획!$S$4:$S$203="구리병원")*파견수련계획!$W$4:$W$203))+IF($AG37="구리병원",MAX(0,DAY(EOMONTH(요약!$B$3,0))-N($X37)),0))</f>
        <v/>
      </c>
      <c r="AJ37" s="10">
        <f>IF(OR($B37="",TRIM($J37&amp;"")=""),"",IFERROR(MATCH(TRIM($J37&amp;"")&amp;"|월",파견수련계획!$Z$4:$Z$203,0),""))</f>
        <v/>
      </c>
      <c r="AK37" s="10">
        <f>IF(OR($B37="",TRIM($J37&amp;"")=""),"",IFERROR(MATCH(TRIM($J37&amp;"")&amp;"|다기관",파견수련계획!$AE$4:$AE$203,0),""))</f>
        <v/>
      </c>
      <c r="AL37" s="10">
        <f>IF($AK37="","","다기관 "&amp;TEXT(INDEX(파견수련계획!$AB$4:$AB$203,$AK37),"yyyy-mm-dd")&amp;"~"&amp;IF(ISNUMBER(INDEX(파견수련계획!$AC$4:$AC$203,$AK37)),TEXT(INDEX(파견수련계획!$AC$4:$AC$203,$AK37),"yyyy-mm-dd"),""))</f>
        <v/>
      </c>
    </row>
    <row r="38">
      <c r="A38" s="10">
        <f>IF(B38="","",ROW()-1)</f>
        <v/>
      </c>
      <c r="B38" s="18" t="n"/>
      <c r="C38" s="10">
        <f>IF($AB38="","",IF(INDEX(기본자료!$C$2:$C$501,$AB38)="","",INDEX(기본자료!$C$2:$C$501,$AB38)))</f>
        <v/>
      </c>
      <c r="D38" s="10">
        <f>IF($AB38="","",IF(INDEX(기본자료!$J$2:$J$501,$AB38)="","",INDEX(기본자료!$J$2:$J$501,$AB38)))</f>
        <v/>
      </c>
      <c r="E38" s="11">
        <f>IF($AB38="","",IF(INDEX(기본자료!$K$2:$K$501,$AB38)="","",IF(NOT(ISNUMBER(INDEX(기본자료!$K$2:$K$501,$AB38))),INDEX(기본자료!$K$2:$K$501,$AB38),IF(INDEX(기본자료!$K$2:$K$501,$AB38)&lt;1000000,INDEX(기본자료!$K$2:$K$501,$AB38),IF(AND(INDEX(기본자료!$K$2:$K$501,$AB38)&gt;=10000101,INT(MOD(INDEX(기본자료!$K$2:$K$501,$AB38),10000)/100)&gt;=1,INT(MOD(INDEX(기본자료!$K$2:$K$501,$AB38),10000)/100)&lt;=12,MOD(INDEX(기본자료!$K$2:$K$501,$AB38),100)&gt;=1,MOD(INDEX(기본자료!$K$2:$K$501,$AB38),100)&lt;=31),DATE(INT(INDEX(기본자료!$K$2:$K$501,$AB38)/10000),INT(MOD(INDEX(기본자료!$K$2:$K$501,$AB38),10000)/100),MOD(INDEX(기본자료!$K$2:$K$501,$AB38),100)),INDEX(기본자료!$K$2:$K$501,$AB38)&amp;"")))))</f>
        <v/>
      </c>
      <c r="F38" s="10">
        <f>IF($AB38="","",IF(INDEX(기본자료!$D$2:$D$501,$AB38)="","",INDEX(기본자료!$D$2:$D$501,$AB38)))</f>
        <v/>
      </c>
      <c r="G38" s="10">
        <f>IF($AB38="","",IF(INDEX(기본자료!$E$2:$E$501,$AB38)="","",INDEX(기본자료!$E$2:$E$501,$AB38)))</f>
        <v/>
      </c>
      <c r="H38" s="10">
        <f>IF($AB38="","",IF(INDEX(기본자료!$F$2:$F$501,$AB38)="","",INDEX(기본자료!$F$2:$F$501,$AB38)))</f>
        <v/>
      </c>
      <c r="I38" s="11">
        <f>IF($AB38="","",IF(INDEX(기본자료!$G$2:$G$501,$AB38)="","",IF(NOT(ISNUMBER(INDEX(기본자료!$G$2:$G$501,$AB38))),INDEX(기본자료!$G$2:$G$501,$AB38),IF(INDEX(기본자료!$G$2:$G$501,$AB38)&lt;1000000,INDEX(기본자료!$G$2:$G$501,$AB38),IF(AND(INDEX(기본자료!$G$2:$G$501,$AB38)&gt;=10000101,INT(MOD(INDEX(기본자료!$G$2:$G$501,$AB38),10000)/100)&gt;=1,INT(MOD(INDEX(기본자료!$G$2:$G$501,$AB38),10000)/100)&lt;=12,MOD(INDEX(기본자료!$G$2:$G$501,$AB38),100)&gt;=1,MOD(INDEX(기본자료!$G$2:$G$501,$AB38),100)&lt;=31),DATE(INT(INDEX(기본자료!$G$2:$G$501,$AB38)/10000),INT(MOD(INDEX(기본자료!$G$2:$G$501,$AB38),10000)/100),MOD(INDEX(기본자료!$G$2:$G$501,$AB38),100)),INDEX(기본자료!$G$2:$G$501,$AB38)&amp;"")))))</f>
        <v/>
      </c>
      <c r="J38" s="10">
        <f>IF($AB38="","",IF(INDEX(기본자료!$H$2:$H$501,$AB38)="","",INDEX(기본자료!$H$2:$H$501,$AB38)))</f>
        <v/>
      </c>
      <c r="K38" s="10">
        <f>IF($AB38="","",IF(INDEX(기본자료!$I$2:$I$501,$AB38)="","",INDEX(기본자료!$I$2:$I$501,$AB38)))</f>
        <v/>
      </c>
      <c r="L38" s="10">
        <f>IF($AB38="","",IF(INDEX(기본자료!$A$2:$A$501,$AB38)="","",INDEX(기본자료!$A$2:$A$501,$AB38)))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파견수련계획!$AB$4:$AB$203,$AK38),OR(NOT(ISNUMBER(INDEX(파견수련계획!$AC$4:$AC$203,$AK38))),TODAY()&lt;=INDEX(파견수련계획!$AC$4:$AC$203,$AK38))),"다기관",IF($AF38="","",INDEX(파견수련계획!$T$4:$T$203,$AF38))),IF($AF38="","",INDEX(파견수련계획!$T$4:$T$203,$AF38))))</f>
        <v/>
      </c>
      <c r="Q38" s="10">
        <f>IF($AF38="","",INDEX(파견수련계획!$S$4:$S$203,$AF38))</f>
        <v/>
      </c>
      <c r="R38" s="10">
        <f>IF($AF38="","",INDEX(파견수련계획!$U$4:$U$203,$AF38))</f>
        <v/>
      </c>
      <c r="S38" s="11">
        <f>IF($AF38="","",IF(INDEX(파견수련계획!$H$4:$H$203,$AF38)="","",INDEX(파견수련계획!$H$4:$H$203,$AF38)))</f>
        <v/>
      </c>
      <c r="T38" s="11">
        <f>IF($AF38="","",IF(INDEX(파견수련계획!$I$4:$I$203,$AF38)="","",INDEX(파견수련계획!$I$4:$I$203,$AF38)))</f>
        <v/>
      </c>
      <c r="U38" s="10">
        <f>IF($AF38="","",INDEX(파견수련계획!$X$4:$X$203,$AF38))</f>
        <v/>
      </c>
      <c r="V38" s="17">
        <f>IF($AF38="","",INDEX(파견수련계획!$V$4:$V$203,$AF38))</f>
        <v/>
      </c>
      <c r="W38" s="17">
        <f>IF(AND($U38="파견중",$T38&lt;&gt;""),$T38-TODAY(),"")</f>
        <v/>
      </c>
      <c r="X38" s="17">
        <f>IF(OR($B38="",TRIM($J38&amp;"")=""),"",SUMPRODUCT((파견수련계획!$Q$4:$Q$203=TRIM($J38&amp;""))*파견수련계획!$W$4:$W$203))</f>
        <v/>
      </c>
      <c r="Y38" s="10">
        <f>IF($B38="","",IF($AG38="","",IF(IF(TRIM($J38&amp;"")="",0,SUMPRODUCT((파견수련계획!$Q$4:$Q$203=TRIM($J38&amp;""))*파견수련계획!$AD$4:$AD$203))&gt;0,$AE38,IF(N($X38)&lt;=0,$AG38,IF($AH38+$AI38=DAY(EOMONTH(요약!$B$3,0)),IF(AND($AH38&gt;=요약!$E$3,$AI38&lt;요약!$E$3),"서울병원",IF(AND($AI38&gt;=요약!$E$3,$AH38&lt;요약!$E$3),"구리병원","⚠15일 판정불가(서울 "&amp;$AH38&amp;"일/구리 "&amp;$AI38&amp;"일)")),IF($AJ38="",$AE38,IF(INDEX(파견수련계획!$T$4:$T$203,$AJ38)="통합수련",INDEX(파견수련계획!$S$4:$S$203,$AJ38),$AE38)))))))</f>
        <v/>
      </c>
      <c r="Z38" s="19">
        <f>IF($B38="","",IF($AB38="","기본자료에 없는 사번",IF(COUNTIF($B$2:$B$201,$B38)&gt;1,"중복 사번",IF($AE38="","소속(입사장소) 입력",IF(IF(TRIM($J38&amp;"")="",0,SUMPRODUCT((파견수련계획!$Q$4:$Q$203=TRIM($J38&amp;""))*(파견수련계획!$AA$4:$AA$203&lt;&gt;"")))&gt;0,"파견수련계획 입력오류 확인",IF(LEFT($Y38,1)="⚠","서울·구리 15일 판정 불가(양쪽 모두 이상/미만)",IF(IF($AC38="",0,N(INDEX(인턴근무계획!$T$3:$T$202,$AC38)))&gt;0,"인턴계획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IF($B38="","",IFERROR(MATCH($B38,기본자료!$B$2:$B$501,0),IFERROR(MATCH($B38&amp;"",기본자료!$B$2:$B$501,0),IFERROR(MATCH(VALUE($B38),기본자료!$B$2:$B$501,0),""))))</f>
        <v/>
      </c>
      <c r="AC38" s="10">
        <f>IF($B38="","",IFERROR(MATCH($B38,인턴근무계획!$D$3:$D$202,0),IFERROR(MATCH($B38&amp;"",인턴근무계획!$D$3:$D$202,0),IFERROR(MATCH(VALUE($B38),인턴근무계획!$D$3:$D$202,0),""))))</f>
        <v/>
      </c>
      <c r="AD38" s="10">
        <f>IF(OR($AC38="",인턴현황!$G$3=""),"",INDEX(인턴근무계획!$M$3:$R$202,$AC38,인턴현황!$G$3)&amp;"")</f>
        <v/>
      </c>
      <c r="AE38" s="10">
        <f>IF($B38="","",IF($M38&lt;&gt;"",$M38,IF($AF38&lt;&gt;"",IF(LEFT(INDEX(파견수련계획!$R$4:$R$203,$AF38),1)&lt;&gt;"⚠",INDEX(파견수련계획!$R$4:$R$203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$203,0),IFERROR(MATCH(TRIM($J38&amp;"")&amp;"|파견예정",파견수련계획!$Y$4:$Y$203,0),IFERROR(MATCH(TRIM($J38&amp;"")&amp;"|파견종료",파견수련계획!$Y$4:$Y$203,0),""))))</f>
        <v/>
      </c>
      <c r="AG38" s="10">
        <f>IF($B38="","",IF(AND(IF(OR($AC38="",인턴현황!$K$2=""),"",INDEX(인턴근무계획!$M$3:$R$202,$AC38,인턴현황!$K$2)&amp;"")&lt;&gt;"",LEFT(IF(OR($AC38="",인턴현황!$K$2=""),"",INDEX(인턴근무계획!$M$3:$R$202,$AC38,인턴현황!$K$2)&amp;""),1)&lt;&gt;"⚠"),LEFT(IF(OR($AC38="",인턴현황!$K$2=""),"",INDEX(인턴근무계획!$M$3:$R$202,$AC38,인턴현황!$K$2)&amp;""),FIND(" ",IF(OR($AC38="",인턴현황!$K$2=""),"",INDEX(인턴근무계획!$M$3:$R$202,$AC38,인턴현황!$K$2)&amp;""))-1),$AE38))</f>
        <v/>
      </c>
      <c r="AH38" s="17">
        <f>IF($B38="","",IF(TRIM($J38&amp;"")="",0,SUMPRODUCT((파견수련계획!$Q$4:$Q$203=TRIM($J38&amp;""))*(파견수련계획!$S$4:$S$203="서울병원")*파견수련계획!$W$4:$W$203))+IF($AG38="서울병원",MAX(0,DAY(EOMONTH(요약!$B$3,0))-N($X38)),0))</f>
        <v/>
      </c>
      <c r="AI38" s="17">
        <f>IF($B38="","",IF(TRIM($J38&amp;"")="",0,SUMPRODUCT((파견수련계획!$Q$4:$Q$203=TRIM($J38&amp;""))*(파견수련계획!$S$4:$S$203="구리병원")*파견수련계획!$W$4:$W$203))+IF($AG38="구리병원",MAX(0,DAY(EOMONTH(요약!$B$3,0))-N($X38)),0))</f>
        <v/>
      </c>
      <c r="AJ38" s="10">
        <f>IF(OR($B38="",TRIM($J38&amp;"")=""),"",IFERROR(MATCH(TRIM($J38&amp;"")&amp;"|월",파견수련계획!$Z$4:$Z$203,0),""))</f>
        <v/>
      </c>
      <c r="AK38" s="10">
        <f>IF(OR($B38="",TRIM($J38&amp;"")=""),"",IFERROR(MATCH(TRIM($J38&amp;"")&amp;"|다기관",파견수련계획!$AE$4:$AE$203,0),""))</f>
        <v/>
      </c>
      <c r="AL38" s="10">
        <f>IF($AK38="","","다기관 "&amp;TEXT(INDEX(파견수련계획!$AB$4:$AB$203,$AK38),"yyyy-mm-dd")&amp;"~"&amp;IF(ISNUMBER(INDEX(파견수련계획!$AC$4:$AC$203,$AK38)),TEXT(INDEX(파견수련계획!$AC$4:$AC$203,$AK38),"yyyy-mm-dd"),""))</f>
        <v/>
      </c>
    </row>
    <row r="39">
      <c r="A39" s="10">
        <f>IF(B39="","",ROW()-1)</f>
        <v/>
      </c>
      <c r="B39" s="18" t="n"/>
      <c r="C39" s="10">
        <f>IF($AB39="","",IF(INDEX(기본자료!$C$2:$C$501,$AB39)="","",INDEX(기본자료!$C$2:$C$501,$AB39)))</f>
        <v/>
      </c>
      <c r="D39" s="10">
        <f>IF($AB39="","",IF(INDEX(기본자료!$J$2:$J$501,$AB39)="","",INDEX(기본자료!$J$2:$J$501,$AB39)))</f>
        <v/>
      </c>
      <c r="E39" s="11">
        <f>IF($AB39="","",IF(INDEX(기본자료!$K$2:$K$501,$AB39)="","",IF(NOT(ISNUMBER(INDEX(기본자료!$K$2:$K$501,$AB39))),INDEX(기본자료!$K$2:$K$501,$AB39),IF(INDEX(기본자료!$K$2:$K$501,$AB39)&lt;1000000,INDEX(기본자료!$K$2:$K$501,$AB39),IF(AND(INDEX(기본자료!$K$2:$K$501,$AB39)&gt;=10000101,INT(MOD(INDEX(기본자료!$K$2:$K$501,$AB39),10000)/100)&gt;=1,INT(MOD(INDEX(기본자료!$K$2:$K$501,$AB39),10000)/100)&lt;=12,MOD(INDEX(기본자료!$K$2:$K$501,$AB39),100)&gt;=1,MOD(INDEX(기본자료!$K$2:$K$501,$AB39),100)&lt;=31),DATE(INT(INDEX(기본자료!$K$2:$K$501,$AB39)/10000),INT(MOD(INDEX(기본자료!$K$2:$K$501,$AB39),10000)/100),MOD(INDEX(기본자료!$K$2:$K$501,$AB39),100)),INDEX(기본자료!$K$2:$K$501,$AB39)&amp;"")))))</f>
        <v/>
      </c>
      <c r="F39" s="10">
        <f>IF($AB39="","",IF(INDEX(기본자료!$D$2:$D$501,$AB39)="","",INDEX(기본자료!$D$2:$D$501,$AB39)))</f>
        <v/>
      </c>
      <c r="G39" s="10">
        <f>IF($AB39="","",IF(INDEX(기본자료!$E$2:$E$501,$AB39)="","",INDEX(기본자료!$E$2:$E$501,$AB39)))</f>
        <v/>
      </c>
      <c r="H39" s="10">
        <f>IF($AB39="","",IF(INDEX(기본자료!$F$2:$F$501,$AB39)="","",INDEX(기본자료!$F$2:$F$501,$AB39)))</f>
        <v/>
      </c>
      <c r="I39" s="11">
        <f>IF($AB39="","",IF(INDEX(기본자료!$G$2:$G$501,$AB39)="","",IF(NOT(ISNUMBER(INDEX(기본자료!$G$2:$G$501,$AB39))),INDEX(기본자료!$G$2:$G$501,$AB39),IF(INDEX(기본자료!$G$2:$G$501,$AB39)&lt;1000000,INDEX(기본자료!$G$2:$G$501,$AB39),IF(AND(INDEX(기본자료!$G$2:$G$501,$AB39)&gt;=10000101,INT(MOD(INDEX(기본자료!$G$2:$G$501,$AB39),10000)/100)&gt;=1,INT(MOD(INDEX(기본자료!$G$2:$G$501,$AB39),10000)/100)&lt;=12,MOD(INDEX(기본자료!$G$2:$G$501,$AB39),100)&gt;=1,MOD(INDEX(기본자료!$G$2:$G$501,$AB39),100)&lt;=31),DATE(INT(INDEX(기본자료!$G$2:$G$501,$AB39)/10000),INT(MOD(INDEX(기본자료!$G$2:$G$501,$AB39),10000)/100),MOD(INDEX(기본자료!$G$2:$G$501,$AB39),100)),INDEX(기본자료!$G$2:$G$501,$AB39)&amp;"")))))</f>
        <v/>
      </c>
      <c r="J39" s="10">
        <f>IF($AB39="","",IF(INDEX(기본자료!$H$2:$H$501,$AB39)="","",INDEX(기본자료!$H$2:$H$501,$AB39)))</f>
        <v/>
      </c>
      <c r="K39" s="10">
        <f>IF($AB39="","",IF(INDEX(기본자료!$I$2:$I$501,$AB39)="","",INDEX(기본자료!$I$2:$I$501,$AB39)))</f>
        <v/>
      </c>
      <c r="L39" s="10">
        <f>IF($AB39="","",IF(INDEX(기본자료!$A$2:$A$501,$AB39)="","",INDEX(기본자료!$A$2:$A$501,$AB39)))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파견수련계획!$AB$4:$AB$203,$AK39),OR(NOT(ISNUMBER(INDEX(파견수련계획!$AC$4:$AC$203,$AK39))),TODAY()&lt;=INDEX(파견수련계획!$AC$4:$AC$203,$AK39))),"다기관",IF($AF39="","",INDEX(파견수련계획!$T$4:$T$203,$AF39))),IF($AF39="","",INDEX(파견수련계획!$T$4:$T$203,$AF39))))</f>
        <v/>
      </c>
      <c r="Q39" s="10">
        <f>IF($AF39="","",INDEX(파견수련계획!$S$4:$S$203,$AF39))</f>
        <v/>
      </c>
      <c r="R39" s="10">
        <f>IF($AF39="","",INDEX(파견수련계획!$U$4:$U$203,$AF39))</f>
        <v/>
      </c>
      <c r="S39" s="11">
        <f>IF($AF39="","",IF(INDEX(파견수련계획!$H$4:$H$203,$AF39)="","",INDEX(파견수련계획!$H$4:$H$203,$AF39)))</f>
        <v/>
      </c>
      <c r="T39" s="11">
        <f>IF($AF39="","",IF(INDEX(파견수련계획!$I$4:$I$203,$AF39)="","",INDEX(파견수련계획!$I$4:$I$203,$AF39)))</f>
        <v/>
      </c>
      <c r="U39" s="10">
        <f>IF($AF39="","",INDEX(파견수련계획!$X$4:$X$203,$AF39))</f>
        <v/>
      </c>
      <c r="V39" s="17">
        <f>IF($AF39="","",INDEX(파견수련계획!$V$4:$V$203,$AF39))</f>
        <v/>
      </c>
      <c r="W39" s="17">
        <f>IF(AND($U39="파견중",$T39&lt;&gt;""),$T39-TODAY(),"")</f>
        <v/>
      </c>
      <c r="X39" s="17">
        <f>IF(OR($B39="",TRIM($J39&amp;"")=""),"",SUMPRODUCT((파견수련계획!$Q$4:$Q$203=TRIM($J39&amp;""))*파견수련계획!$W$4:$W$203))</f>
        <v/>
      </c>
      <c r="Y39" s="10">
        <f>IF($B39="","",IF($AG39="","",IF(IF(TRIM($J39&amp;"")="",0,SUMPRODUCT((파견수련계획!$Q$4:$Q$203=TRIM($J39&amp;""))*파견수련계획!$AD$4:$AD$203))&gt;0,$AE39,IF(N($X39)&lt;=0,$AG39,IF($AH39+$AI39=DAY(EOMONTH(요약!$B$3,0)),IF(AND($AH39&gt;=요약!$E$3,$AI39&lt;요약!$E$3),"서울병원",IF(AND($AI39&gt;=요약!$E$3,$AH39&lt;요약!$E$3),"구리병원","⚠15일 판정불가(서울 "&amp;$AH39&amp;"일/구리 "&amp;$AI39&amp;"일)")),IF($AJ39="",$AE39,IF(INDEX(파견수련계획!$T$4:$T$203,$AJ39)="통합수련",INDEX(파견수련계획!$S$4:$S$203,$AJ39),$AE39)))))))</f>
        <v/>
      </c>
      <c r="Z39" s="19">
        <f>IF($B39="","",IF($AB39="","기본자료에 없는 사번",IF(COUNTIF($B$2:$B$201,$B39)&gt;1,"중복 사번",IF($AE39="","소속(입사장소) 입력",IF(IF(TRIM($J39&amp;"")="",0,SUMPRODUCT((파견수련계획!$Q$4:$Q$203=TRIM($J39&amp;""))*(파견수련계획!$AA$4:$AA$203&lt;&gt;"")))&gt;0,"파견수련계획 입력오류 확인",IF(LEFT($Y39,1)="⚠","서울·구리 15일 판정 불가(양쪽 모두 이상/미만)",IF(IF($AC39="",0,N(INDEX(인턴근무계획!$T$3:$T$202,$AC39)))&gt;0,"인턴계획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IF($B39="","",IFERROR(MATCH($B39,기본자료!$B$2:$B$501,0),IFERROR(MATCH($B39&amp;"",기본자료!$B$2:$B$501,0),IFERROR(MATCH(VALUE($B39),기본자료!$B$2:$B$501,0),""))))</f>
        <v/>
      </c>
      <c r="AC39" s="10">
        <f>IF($B39="","",IFERROR(MATCH($B39,인턴근무계획!$D$3:$D$202,0),IFERROR(MATCH($B39&amp;"",인턴근무계획!$D$3:$D$202,0),IFERROR(MATCH(VALUE($B39),인턴근무계획!$D$3:$D$202,0),""))))</f>
        <v/>
      </c>
      <c r="AD39" s="10">
        <f>IF(OR($AC39="",인턴현황!$G$3=""),"",INDEX(인턴근무계획!$M$3:$R$202,$AC39,인턴현황!$G$3)&amp;"")</f>
        <v/>
      </c>
      <c r="AE39" s="10">
        <f>IF($B39="","",IF($M39&lt;&gt;"",$M39,IF($AF39&lt;&gt;"",IF(LEFT(INDEX(파견수련계획!$R$4:$R$203,$AF39),1)&lt;&gt;"⚠",INDEX(파견수련계획!$R$4:$R$203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$203,0),IFERROR(MATCH(TRIM($J39&amp;"")&amp;"|파견예정",파견수련계획!$Y$4:$Y$203,0),IFERROR(MATCH(TRIM($J39&amp;"")&amp;"|파견종료",파견수련계획!$Y$4:$Y$203,0),""))))</f>
        <v/>
      </c>
      <c r="AG39" s="10">
        <f>IF($B39="","",IF(AND(IF(OR($AC39="",인턴현황!$K$2=""),"",INDEX(인턴근무계획!$M$3:$R$202,$AC39,인턴현황!$K$2)&amp;"")&lt;&gt;"",LEFT(IF(OR($AC39="",인턴현황!$K$2=""),"",INDEX(인턴근무계획!$M$3:$R$202,$AC39,인턴현황!$K$2)&amp;""),1)&lt;&gt;"⚠"),LEFT(IF(OR($AC39="",인턴현황!$K$2=""),"",INDEX(인턴근무계획!$M$3:$R$202,$AC39,인턴현황!$K$2)&amp;""),FIND(" ",IF(OR($AC39="",인턴현황!$K$2=""),"",INDEX(인턴근무계획!$M$3:$R$202,$AC39,인턴현황!$K$2)&amp;""))-1),$AE39))</f>
        <v/>
      </c>
      <c r="AH39" s="17">
        <f>IF($B39="","",IF(TRIM($J39&amp;"")="",0,SUMPRODUCT((파견수련계획!$Q$4:$Q$203=TRIM($J39&amp;""))*(파견수련계획!$S$4:$S$203="서울병원")*파견수련계획!$W$4:$W$203))+IF($AG39="서울병원",MAX(0,DAY(EOMONTH(요약!$B$3,0))-N($X39)),0))</f>
        <v/>
      </c>
      <c r="AI39" s="17">
        <f>IF($B39="","",IF(TRIM($J39&amp;"")="",0,SUMPRODUCT((파견수련계획!$Q$4:$Q$203=TRIM($J39&amp;""))*(파견수련계획!$S$4:$S$203="구리병원")*파견수련계획!$W$4:$W$203))+IF($AG39="구리병원",MAX(0,DAY(EOMONTH(요약!$B$3,0))-N($X39)),0))</f>
        <v/>
      </c>
      <c r="AJ39" s="10">
        <f>IF(OR($B39="",TRIM($J39&amp;"")=""),"",IFERROR(MATCH(TRIM($J39&amp;"")&amp;"|월",파견수련계획!$Z$4:$Z$203,0),""))</f>
        <v/>
      </c>
      <c r="AK39" s="10">
        <f>IF(OR($B39="",TRIM($J39&amp;"")=""),"",IFERROR(MATCH(TRIM($J39&amp;"")&amp;"|다기관",파견수련계획!$AE$4:$AE$203,0),""))</f>
        <v/>
      </c>
      <c r="AL39" s="10">
        <f>IF($AK39="","","다기관 "&amp;TEXT(INDEX(파견수련계획!$AB$4:$AB$203,$AK39),"yyyy-mm-dd")&amp;"~"&amp;IF(ISNUMBER(INDEX(파견수련계획!$AC$4:$AC$203,$AK39)),TEXT(INDEX(파견수련계획!$AC$4:$AC$203,$AK39),"yyyy-mm-dd"),""))</f>
        <v/>
      </c>
    </row>
    <row r="40">
      <c r="A40" s="10">
        <f>IF(B40="","",ROW()-1)</f>
        <v/>
      </c>
      <c r="B40" s="18" t="n"/>
      <c r="C40" s="10">
        <f>IF($AB40="","",IF(INDEX(기본자료!$C$2:$C$501,$AB40)="","",INDEX(기본자료!$C$2:$C$501,$AB40)))</f>
        <v/>
      </c>
      <c r="D40" s="10">
        <f>IF($AB40="","",IF(INDEX(기본자료!$J$2:$J$501,$AB40)="","",INDEX(기본자료!$J$2:$J$501,$AB40)))</f>
        <v/>
      </c>
      <c r="E40" s="11">
        <f>IF($AB40="","",IF(INDEX(기본자료!$K$2:$K$501,$AB40)="","",IF(NOT(ISNUMBER(INDEX(기본자료!$K$2:$K$501,$AB40))),INDEX(기본자료!$K$2:$K$501,$AB40),IF(INDEX(기본자료!$K$2:$K$501,$AB40)&lt;1000000,INDEX(기본자료!$K$2:$K$501,$AB40),IF(AND(INDEX(기본자료!$K$2:$K$501,$AB40)&gt;=10000101,INT(MOD(INDEX(기본자료!$K$2:$K$501,$AB40),10000)/100)&gt;=1,INT(MOD(INDEX(기본자료!$K$2:$K$501,$AB40),10000)/100)&lt;=12,MOD(INDEX(기본자료!$K$2:$K$501,$AB40),100)&gt;=1,MOD(INDEX(기본자료!$K$2:$K$501,$AB40),100)&lt;=31),DATE(INT(INDEX(기본자료!$K$2:$K$501,$AB40)/10000),INT(MOD(INDEX(기본자료!$K$2:$K$501,$AB40),10000)/100),MOD(INDEX(기본자료!$K$2:$K$501,$AB40),100)),INDEX(기본자료!$K$2:$K$501,$AB40)&amp;"")))))</f>
        <v/>
      </c>
      <c r="F40" s="10">
        <f>IF($AB40="","",IF(INDEX(기본자료!$D$2:$D$501,$AB40)="","",INDEX(기본자료!$D$2:$D$501,$AB40)))</f>
        <v/>
      </c>
      <c r="G40" s="10">
        <f>IF($AB40="","",IF(INDEX(기본자료!$E$2:$E$501,$AB40)="","",INDEX(기본자료!$E$2:$E$501,$AB40)))</f>
        <v/>
      </c>
      <c r="H40" s="10">
        <f>IF($AB40="","",IF(INDEX(기본자료!$F$2:$F$501,$AB40)="","",INDEX(기본자료!$F$2:$F$501,$AB40)))</f>
        <v/>
      </c>
      <c r="I40" s="11">
        <f>IF($AB40="","",IF(INDEX(기본자료!$G$2:$G$501,$AB40)="","",IF(NOT(ISNUMBER(INDEX(기본자료!$G$2:$G$501,$AB40))),INDEX(기본자료!$G$2:$G$501,$AB40),IF(INDEX(기본자료!$G$2:$G$501,$AB40)&lt;1000000,INDEX(기본자료!$G$2:$G$501,$AB40),IF(AND(INDEX(기본자료!$G$2:$G$501,$AB40)&gt;=10000101,INT(MOD(INDEX(기본자료!$G$2:$G$501,$AB40),10000)/100)&gt;=1,INT(MOD(INDEX(기본자료!$G$2:$G$501,$AB40),10000)/100)&lt;=12,MOD(INDEX(기본자료!$G$2:$G$501,$AB40),100)&gt;=1,MOD(INDEX(기본자료!$G$2:$G$501,$AB40),100)&lt;=31),DATE(INT(INDEX(기본자료!$G$2:$G$501,$AB40)/10000),INT(MOD(INDEX(기본자료!$G$2:$G$501,$AB40),10000)/100),MOD(INDEX(기본자료!$G$2:$G$501,$AB40),100)),INDEX(기본자료!$G$2:$G$501,$AB40)&amp;"")))))</f>
        <v/>
      </c>
      <c r="J40" s="10">
        <f>IF($AB40="","",IF(INDEX(기본자료!$H$2:$H$501,$AB40)="","",INDEX(기본자료!$H$2:$H$501,$AB40)))</f>
        <v/>
      </c>
      <c r="K40" s="10">
        <f>IF($AB40="","",IF(INDEX(기본자료!$I$2:$I$501,$AB40)="","",INDEX(기본자료!$I$2:$I$501,$AB40)))</f>
        <v/>
      </c>
      <c r="L40" s="10">
        <f>IF($AB40="","",IF(INDEX(기본자료!$A$2:$A$501,$AB40)="","",INDEX(기본자료!$A$2:$A$501,$AB40)))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파견수련계획!$AB$4:$AB$203,$AK40),OR(NOT(ISNUMBER(INDEX(파견수련계획!$AC$4:$AC$203,$AK40))),TODAY()&lt;=INDEX(파견수련계획!$AC$4:$AC$203,$AK40))),"다기관",IF($AF40="","",INDEX(파견수련계획!$T$4:$T$203,$AF40))),IF($AF40="","",INDEX(파견수련계획!$T$4:$T$203,$AF40))))</f>
        <v/>
      </c>
      <c r="Q40" s="10">
        <f>IF($AF40="","",INDEX(파견수련계획!$S$4:$S$203,$AF40))</f>
        <v/>
      </c>
      <c r="R40" s="10">
        <f>IF($AF40="","",INDEX(파견수련계획!$U$4:$U$203,$AF40))</f>
        <v/>
      </c>
      <c r="S40" s="11">
        <f>IF($AF40="","",IF(INDEX(파견수련계획!$H$4:$H$203,$AF40)="","",INDEX(파견수련계획!$H$4:$H$203,$AF40)))</f>
        <v/>
      </c>
      <c r="T40" s="11">
        <f>IF($AF40="","",IF(INDEX(파견수련계획!$I$4:$I$203,$AF40)="","",INDEX(파견수련계획!$I$4:$I$203,$AF40)))</f>
        <v/>
      </c>
      <c r="U40" s="10">
        <f>IF($AF40="","",INDEX(파견수련계획!$X$4:$X$203,$AF40))</f>
        <v/>
      </c>
      <c r="V40" s="17">
        <f>IF($AF40="","",INDEX(파견수련계획!$V$4:$V$203,$AF40))</f>
        <v/>
      </c>
      <c r="W40" s="17">
        <f>IF(AND($U40="파견중",$T40&lt;&gt;""),$T40-TODAY(),"")</f>
        <v/>
      </c>
      <c r="X40" s="17">
        <f>IF(OR($B40="",TRIM($J40&amp;"")=""),"",SUMPRODUCT((파견수련계획!$Q$4:$Q$203=TRIM($J40&amp;""))*파견수련계획!$W$4:$W$203))</f>
        <v/>
      </c>
      <c r="Y40" s="10">
        <f>IF($B40="","",IF($AG40="","",IF(IF(TRIM($J40&amp;"")="",0,SUMPRODUCT((파견수련계획!$Q$4:$Q$203=TRIM($J40&amp;""))*파견수련계획!$AD$4:$AD$203))&gt;0,$AE40,IF(N($X40)&lt;=0,$AG40,IF($AH40+$AI40=DAY(EOMONTH(요약!$B$3,0)),IF(AND($AH40&gt;=요약!$E$3,$AI40&lt;요약!$E$3),"서울병원",IF(AND($AI40&gt;=요약!$E$3,$AH40&lt;요약!$E$3),"구리병원","⚠15일 판정불가(서울 "&amp;$AH40&amp;"일/구리 "&amp;$AI40&amp;"일)")),IF($AJ40="",$AE40,IF(INDEX(파견수련계획!$T$4:$T$203,$AJ40)="통합수련",INDEX(파견수련계획!$S$4:$S$203,$AJ40),$AE40)))))))</f>
        <v/>
      </c>
      <c r="Z40" s="19">
        <f>IF($B40="","",IF($AB40="","기본자료에 없는 사번",IF(COUNTIF($B$2:$B$201,$B40)&gt;1,"중복 사번",IF($AE40="","소속(입사장소) 입력",IF(IF(TRIM($J40&amp;"")="",0,SUMPRODUCT((파견수련계획!$Q$4:$Q$203=TRIM($J40&amp;""))*(파견수련계획!$AA$4:$AA$203&lt;&gt;"")))&gt;0,"파견수련계획 입력오류 확인",IF(LEFT($Y40,1)="⚠","서울·구리 15일 판정 불가(양쪽 모두 이상/미만)",IF(IF($AC40="",0,N(INDEX(인턴근무계획!$T$3:$T$202,$AC40)))&gt;0,"인턴계획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IF($B40="","",IFERROR(MATCH($B40,기본자료!$B$2:$B$501,0),IFERROR(MATCH($B40&amp;"",기본자료!$B$2:$B$501,0),IFERROR(MATCH(VALUE($B40),기본자료!$B$2:$B$501,0),""))))</f>
        <v/>
      </c>
      <c r="AC40" s="10">
        <f>IF($B40="","",IFERROR(MATCH($B40,인턴근무계획!$D$3:$D$202,0),IFERROR(MATCH($B40&amp;"",인턴근무계획!$D$3:$D$202,0),IFERROR(MATCH(VALUE($B40),인턴근무계획!$D$3:$D$202,0),""))))</f>
        <v/>
      </c>
      <c r="AD40" s="10">
        <f>IF(OR($AC40="",인턴현황!$G$3=""),"",INDEX(인턴근무계획!$M$3:$R$202,$AC40,인턴현황!$G$3)&amp;"")</f>
        <v/>
      </c>
      <c r="AE40" s="10">
        <f>IF($B40="","",IF($M40&lt;&gt;"",$M40,IF($AF40&lt;&gt;"",IF(LEFT(INDEX(파견수련계획!$R$4:$R$203,$AF40),1)&lt;&gt;"⚠",INDEX(파견수련계획!$R$4:$R$203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$203,0),IFERROR(MATCH(TRIM($J40&amp;"")&amp;"|파견예정",파견수련계획!$Y$4:$Y$203,0),IFERROR(MATCH(TRIM($J40&amp;"")&amp;"|파견종료",파견수련계획!$Y$4:$Y$203,0),""))))</f>
        <v/>
      </c>
      <c r="AG40" s="10">
        <f>IF($B40="","",IF(AND(IF(OR($AC40="",인턴현황!$K$2=""),"",INDEX(인턴근무계획!$M$3:$R$202,$AC40,인턴현황!$K$2)&amp;"")&lt;&gt;"",LEFT(IF(OR($AC40="",인턴현황!$K$2=""),"",INDEX(인턴근무계획!$M$3:$R$202,$AC40,인턴현황!$K$2)&amp;""),1)&lt;&gt;"⚠"),LEFT(IF(OR($AC40="",인턴현황!$K$2=""),"",INDEX(인턴근무계획!$M$3:$R$202,$AC40,인턴현황!$K$2)&amp;""),FIND(" ",IF(OR($AC40="",인턴현황!$K$2=""),"",INDEX(인턴근무계획!$M$3:$R$202,$AC40,인턴현황!$K$2)&amp;""))-1),$AE40))</f>
        <v/>
      </c>
      <c r="AH40" s="17">
        <f>IF($B40="","",IF(TRIM($J40&amp;"")="",0,SUMPRODUCT((파견수련계획!$Q$4:$Q$203=TRIM($J40&amp;""))*(파견수련계획!$S$4:$S$203="서울병원")*파견수련계획!$W$4:$W$203))+IF($AG40="서울병원",MAX(0,DAY(EOMONTH(요약!$B$3,0))-N($X40)),0))</f>
        <v/>
      </c>
      <c r="AI40" s="17">
        <f>IF($B40="","",IF(TRIM($J40&amp;"")="",0,SUMPRODUCT((파견수련계획!$Q$4:$Q$203=TRIM($J40&amp;""))*(파견수련계획!$S$4:$S$203="구리병원")*파견수련계획!$W$4:$W$203))+IF($AG40="구리병원",MAX(0,DAY(EOMONTH(요약!$B$3,0))-N($X40)),0))</f>
        <v/>
      </c>
      <c r="AJ40" s="10">
        <f>IF(OR($B40="",TRIM($J40&amp;"")=""),"",IFERROR(MATCH(TRIM($J40&amp;"")&amp;"|월",파견수련계획!$Z$4:$Z$203,0),""))</f>
        <v/>
      </c>
      <c r="AK40" s="10">
        <f>IF(OR($B40="",TRIM($J40&amp;"")=""),"",IFERROR(MATCH(TRIM($J40&amp;"")&amp;"|다기관",파견수련계획!$AE$4:$AE$203,0),""))</f>
        <v/>
      </c>
      <c r="AL40" s="10">
        <f>IF($AK40="","","다기관 "&amp;TEXT(INDEX(파견수련계획!$AB$4:$AB$203,$AK40),"yyyy-mm-dd")&amp;"~"&amp;IF(ISNUMBER(INDEX(파견수련계획!$AC$4:$AC$203,$AK40)),TEXT(INDEX(파견수련계획!$AC$4:$AC$203,$AK40),"yyyy-mm-dd"),""))</f>
        <v/>
      </c>
    </row>
    <row r="41">
      <c r="A41" s="10">
        <f>IF(B41="","",ROW()-1)</f>
        <v/>
      </c>
      <c r="B41" s="18" t="n"/>
      <c r="C41" s="10">
        <f>IF($AB41="","",IF(INDEX(기본자료!$C$2:$C$501,$AB41)="","",INDEX(기본자료!$C$2:$C$501,$AB41)))</f>
        <v/>
      </c>
      <c r="D41" s="10">
        <f>IF($AB41="","",IF(INDEX(기본자료!$J$2:$J$501,$AB41)="","",INDEX(기본자료!$J$2:$J$501,$AB41)))</f>
        <v/>
      </c>
      <c r="E41" s="11">
        <f>IF($AB41="","",IF(INDEX(기본자료!$K$2:$K$501,$AB41)="","",IF(NOT(ISNUMBER(INDEX(기본자료!$K$2:$K$501,$AB41))),INDEX(기본자료!$K$2:$K$501,$AB41),IF(INDEX(기본자료!$K$2:$K$501,$AB41)&lt;1000000,INDEX(기본자료!$K$2:$K$501,$AB41),IF(AND(INDEX(기본자료!$K$2:$K$501,$AB41)&gt;=10000101,INT(MOD(INDEX(기본자료!$K$2:$K$501,$AB41),10000)/100)&gt;=1,INT(MOD(INDEX(기본자료!$K$2:$K$501,$AB41),10000)/100)&lt;=12,MOD(INDEX(기본자료!$K$2:$K$501,$AB41),100)&gt;=1,MOD(INDEX(기본자료!$K$2:$K$501,$AB41),100)&lt;=31),DATE(INT(INDEX(기본자료!$K$2:$K$501,$AB41)/10000),INT(MOD(INDEX(기본자료!$K$2:$K$501,$AB41),10000)/100),MOD(INDEX(기본자료!$K$2:$K$501,$AB41),100)),INDEX(기본자료!$K$2:$K$501,$AB41)&amp;"")))))</f>
        <v/>
      </c>
      <c r="F41" s="10">
        <f>IF($AB41="","",IF(INDEX(기본자료!$D$2:$D$501,$AB41)="","",INDEX(기본자료!$D$2:$D$501,$AB41)))</f>
        <v/>
      </c>
      <c r="G41" s="10">
        <f>IF($AB41="","",IF(INDEX(기본자료!$E$2:$E$501,$AB41)="","",INDEX(기본자료!$E$2:$E$501,$AB41)))</f>
        <v/>
      </c>
      <c r="H41" s="10">
        <f>IF($AB41="","",IF(INDEX(기본자료!$F$2:$F$501,$AB41)="","",INDEX(기본자료!$F$2:$F$501,$AB41)))</f>
        <v/>
      </c>
      <c r="I41" s="11">
        <f>IF($AB41="","",IF(INDEX(기본자료!$G$2:$G$501,$AB41)="","",IF(NOT(ISNUMBER(INDEX(기본자료!$G$2:$G$501,$AB41))),INDEX(기본자료!$G$2:$G$501,$AB41),IF(INDEX(기본자료!$G$2:$G$501,$AB41)&lt;1000000,INDEX(기본자료!$G$2:$G$501,$AB41),IF(AND(INDEX(기본자료!$G$2:$G$501,$AB41)&gt;=10000101,INT(MOD(INDEX(기본자료!$G$2:$G$501,$AB41),10000)/100)&gt;=1,INT(MOD(INDEX(기본자료!$G$2:$G$501,$AB41),10000)/100)&lt;=12,MOD(INDEX(기본자료!$G$2:$G$501,$AB41),100)&gt;=1,MOD(INDEX(기본자료!$G$2:$G$501,$AB41),100)&lt;=31),DATE(INT(INDEX(기본자료!$G$2:$G$501,$AB41)/10000),INT(MOD(INDEX(기본자료!$G$2:$G$501,$AB41),10000)/100),MOD(INDEX(기본자료!$G$2:$G$501,$AB41),100)),INDEX(기본자료!$G$2:$G$501,$AB41)&amp;"")))))</f>
        <v/>
      </c>
      <c r="J41" s="10">
        <f>IF($AB41="","",IF(INDEX(기본자료!$H$2:$H$501,$AB41)="","",INDEX(기본자료!$H$2:$H$501,$AB41)))</f>
        <v/>
      </c>
      <c r="K41" s="10">
        <f>IF($AB41="","",IF(INDEX(기본자료!$I$2:$I$501,$AB41)="","",INDEX(기본자료!$I$2:$I$501,$AB41)))</f>
        <v/>
      </c>
      <c r="L41" s="10">
        <f>IF($AB41="","",IF(INDEX(기본자료!$A$2:$A$501,$AB41)="","",INDEX(기본자료!$A$2:$A$501,$AB41)))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파견수련계획!$AB$4:$AB$203,$AK41),OR(NOT(ISNUMBER(INDEX(파견수련계획!$AC$4:$AC$203,$AK41))),TODAY()&lt;=INDEX(파견수련계획!$AC$4:$AC$203,$AK41))),"다기관",IF($AF41="","",INDEX(파견수련계획!$T$4:$T$203,$AF41))),IF($AF41="","",INDEX(파견수련계획!$T$4:$T$203,$AF41))))</f>
        <v/>
      </c>
      <c r="Q41" s="10">
        <f>IF($AF41="","",INDEX(파견수련계획!$S$4:$S$203,$AF41))</f>
        <v/>
      </c>
      <c r="R41" s="10">
        <f>IF($AF41="","",INDEX(파견수련계획!$U$4:$U$203,$AF41))</f>
        <v/>
      </c>
      <c r="S41" s="11">
        <f>IF($AF41="","",IF(INDEX(파견수련계획!$H$4:$H$203,$AF41)="","",INDEX(파견수련계획!$H$4:$H$203,$AF41)))</f>
        <v/>
      </c>
      <c r="T41" s="11">
        <f>IF($AF41="","",IF(INDEX(파견수련계획!$I$4:$I$203,$AF41)="","",INDEX(파견수련계획!$I$4:$I$203,$AF41)))</f>
        <v/>
      </c>
      <c r="U41" s="10">
        <f>IF($AF41="","",INDEX(파견수련계획!$X$4:$X$203,$AF41))</f>
        <v/>
      </c>
      <c r="V41" s="17">
        <f>IF($AF41="","",INDEX(파견수련계획!$V$4:$V$203,$AF41))</f>
        <v/>
      </c>
      <c r="W41" s="17">
        <f>IF(AND($U41="파견중",$T41&lt;&gt;""),$T41-TODAY(),"")</f>
        <v/>
      </c>
      <c r="X41" s="17">
        <f>IF(OR($B41="",TRIM($J41&amp;"")=""),"",SUMPRODUCT((파견수련계획!$Q$4:$Q$203=TRIM($J41&amp;""))*파견수련계획!$W$4:$W$203))</f>
        <v/>
      </c>
      <c r="Y41" s="10">
        <f>IF($B41="","",IF($AG41="","",IF(IF(TRIM($J41&amp;"")="",0,SUMPRODUCT((파견수련계획!$Q$4:$Q$203=TRIM($J41&amp;""))*파견수련계획!$AD$4:$AD$203))&gt;0,$AE41,IF(N($X41)&lt;=0,$AG41,IF($AH41+$AI41=DAY(EOMONTH(요약!$B$3,0)),IF(AND($AH41&gt;=요약!$E$3,$AI41&lt;요약!$E$3),"서울병원",IF(AND($AI41&gt;=요약!$E$3,$AH41&lt;요약!$E$3),"구리병원","⚠15일 판정불가(서울 "&amp;$AH41&amp;"일/구리 "&amp;$AI41&amp;"일)")),IF($AJ41="",$AE41,IF(INDEX(파견수련계획!$T$4:$T$203,$AJ41)="통합수련",INDEX(파견수련계획!$S$4:$S$203,$AJ41),$AE41)))))))</f>
        <v/>
      </c>
      <c r="Z41" s="19">
        <f>IF($B41="","",IF($AB41="","기본자료에 없는 사번",IF(COUNTIF($B$2:$B$201,$B41)&gt;1,"중복 사번",IF($AE41="","소속(입사장소) 입력",IF(IF(TRIM($J41&amp;"")="",0,SUMPRODUCT((파견수련계획!$Q$4:$Q$203=TRIM($J41&amp;""))*(파견수련계획!$AA$4:$AA$203&lt;&gt;"")))&gt;0,"파견수련계획 입력오류 확인",IF(LEFT($Y41,1)="⚠","서울·구리 15일 판정 불가(양쪽 모두 이상/미만)",IF(IF($AC41="",0,N(INDEX(인턴근무계획!$T$3:$T$202,$AC41)))&gt;0,"인턴계획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IF($B41="","",IFERROR(MATCH($B41,기본자료!$B$2:$B$501,0),IFERROR(MATCH($B41&amp;"",기본자료!$B$2:$B$501,0),IFERROR(MATCH(VALUE($B41),기본자료!$B$2:$B$501,0),""))))</f>
        <v/>
      </c>
      <c r="AC41" s="10">
        <f>IF($B41="","",IFERROR(MATCH($B41,인턴근무계획!$D$3:$D$202,0),IFERROR(MATCH($B41&amp;"",인턴근무계획!$D$3:$D$202,0),IFERROR(MATCH(VALUE($B41),인턴근무계획!$D$3:$D$202,0),""))))</f>
        <v/>
      </c>
      <c r="AD41" s="10">
        <f>IF(OR($AC41="",인턴현황!$G$3=""),"",INDEX(인턴근무계획!$M$3:$R$202,$AC41,인턴현황!$G$3)&amp;"")</f>
        <v/>
      </c>
      <c r="AE41" s="10">
        <f>IF($B41="","",IF($M41&lt;&gt;"",$M41,IF($AF41&lt;&gt;"",IF(LEFT(INDEX(파견수련계획!$R$4:$R$203,$AF41),1)&lt;&gt;"⚠",INDEX(파견수련계획!$R$4:$R$203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$203,0),IFERROR(MATCH(TRIM($J41&amp;"")&amp;"|파견예정",파견수련계획!$Y$4:$Y$203,0),IFERROR(MATCH(TRIM($J41&amp;"")&amp;"|파견종료",파견수련계획!$Y$4:$Y$203,0),""))))</f>
        <v/>
      </c>
      <c r="AG41" s="10">
        <f>IF($B41="","",IF(AND(IF(OR($AC41="",인턴현황!$K$2=""),"",INDEX(인턴근무계획!$M$3:$R$202,$AC41,인턴현황!$K$2)&amp;"")&lt;&gt;"",LEFT(IF(OR($AC41="",인턴현황!$K$2=""),"",INDEX(인턴근무계획!$M$3:$R$202,$AC41,인턴현황!$K$2)&amp;""),1)&lt;&gt;"⚠"),LEFT(IF(OR($AC41="",인턴현황!$K$2=""),"",INDEX(인턴근무계획!$M$3:$R$202,$AC41,인턴현황!$K$2)&amp;""),FIND(" ",IF(OR($AC41="",인턴현황!$K$2=""),"",INDEX(인턴근무계획!$M$3:$R$202,$AC41,인턴현황!$K$2)&amp;""))-1),$AE41))</f>
        <v/>
      </c>
      <c r="AH41" s="17">
        <f>IF($B41="","",IF(TRIM($J41&amp;"")="",0,SUMPRODUCT((파견수련계획!$Q$4:$Q$203=TRIM($J41&amp;""))*(파견수련계획!$S$4:$S$203="서울병원")*파견수련계획!$W$4:$W$203))+IF($AG41="서울병원",MAX(0,DAY(EOMONTH(요약!$B$3,0))-N($X41)),0))</f>
        <v/>
      </c>
      <c r="AI41" s="17">
        <f>IF($B41="","",IF(TRIM($J41&amp;"")="",0,SUMPRODUCT((파견수련계획!$Q$4:$Q$203=TRIM($J41&amp;""))*(파견수련계획!$S$4:$S$203="구리병원")*파견수련계획!$W$4:$W$203))+IF($AG41="구리병원",MAX(0,DAY(EOMONTH(요약!$B$3,0))-N($X41)),0))</f>
        <v/>
      </c>
      <c r="AJ41" s="10">
        <f>IF(OR($B41="",TRIM($J41&amp;"")=""),"",IFERROR(MATCH(TRIM($J41&amp;"")&amp;"|월",파견수련계획!$Z$4:$Z$203,0),""))</f>
        <v/>
      </c>
      <c r="AK41" s="10">
        <f>IF(OR($B41="",TRIM($J41&amp;"")=""),"",IFERROR(MATCH(TRIM($J41&amp;"")&amp;"|다기관",파견수련계획!$AE$4:$AE$203,0),""))</f>
        <v/>
      </c>
      <c r="AL41" s="10">
        <f>IF($AK41="","","다기관 "&amp;TEXT(INDEX(파견수련계획!$AB$4:$AB$203,$AK41),"yyyy-mm-dd")&amp;"~"&amp;IF(ISNUMBER(INDEX(파견수련계획!$AC$4:$AC$203,$AK41)),TEXT(INDEX(파견수련계획!$AC$4:$AC$203,$AK41),"yyyy-mm-dd"),""))</f>
        <v/>
      </c>
    </row>
    <row r="42">
      <c r="A42" s="10">
        <f>IF(B42="","",ROW()-1)</f>
        <v/>
      </c>
      <c r="B42" s="18" t="n"/>
      <c r="C42" s="10">
        <f>IF($AB42="","",IF(INDEX(기본자료!$C$2:$C$501,$AB42)="","",INDEX(기본자료!$C$2:$C$501,$AB42)))</f>
        <v/>
      </c>
      <c r="D42" s="10">
        <f>IF($AB42="","",IF(INDEX(기본자료!$J$2:$J$501,$AB42)="","",INDEX(기본자료!$J$2:$J$501,$AB42)))</f>
        <v/>
      </c>
      <c r="E42" s="11">
        <f>IF($AB42="","",IF(INDEX(기본자료!$K$2:$K$501,$AB42)="","",IF(NOT(ISNUMBER(INDEX(기본자료!$K$2:$K$501,$AB42))),INDEX(기본자료!$K$2:$K$501,$AB42),IF(INDEX(기본자료!$K$2:$K$501,$AB42)&lt;1000000,INDEX(기본자료!$K$2:$K$501,$AB42),IF(AND(INDEX(기본자료!$K$2:$K$501,$AB42)&gt;=10000101,INT(MOD(INDEX(기본자료!$K$2:$K$501,$AB42),10000)/100)&gt;=1,INT(MOD(INDEX(기본자료!$K$2:$K$501,$AB42),10000)/100)&lt;=12,MOD(INDEX(기본자료!$K$2:$K$501,$AB42),100)&gt;=1,MOD(INDEX(기본자료!$K$2:$K$501,$AB42),100)&lt;=31),DATE(INT(INDEX(기본자료!$K$2:$K$501,$AB42)/10000),INT(MOD(INDEX(기본자료!$K$2:$K$501,$AB42),10000)/100),MOD(INDEX(기본자료!$K$2:$K$501,$AB42),100)),INDEX(기본자료!$K$2:$K$501,$AB42)&amp;"")))))</f>
        <v/>
      </c>
      <c r="F42" s="10">
        <f>IF($AB42="","",IF(INDEX(기본자료!$D$2:$D$501,$AB42)="","",INDEX(기본자료!$D$2:$D$501,$AB42)))</f>
        <v/>
      </c>
      <c r="G42" s="10">
        <f>IF($AB42="","",IF(INDEX(기본자료!$E$2:$E$501,$AB42)="","",INDEX(기본자료!$E$2:$E$501,$AB42)))</f>
        <v/>
      </c>
      <c r="H42" s="10">
        <f>IF($AB42="","",IF(INDEX(기본자료!$F$2:$F$501,$AB42)="","",INDEX(기본자료!$F$2:$F$501,$AB42)))</f>
        <v/>
      </c>
      <c r="I42" s="11">
        <f>IF($AB42="","",IF(INDEX(기본자료!$G$2:$G$501,$AB42)="","",IF(NOT(ISNUMBER(INDEX(기본자료!$G$2:$G$501,$AB42))),INDEX(기본자료!$G$2:$G$501,$AB42),IF(INDEX(기본자료!$G$2:$G$501,$AB42)&lt;1000000,INDEX(기본자료!$G$2:$G$501,$AB42),IF(AND(INDEX(기본자료!$G$2:$G$501,$AB42)&gt;=10000101,INT(MOD(INDEX(기본자료!$G$2:$G$501,$AB42),10000)/100)&gt;=1,INT(MOD(INDEX(기본자료!$G$2:$G$501,$AB42),10000)/100)&lt;=12,MOD(INDEX(기본자료!$G$2:$G$501,$AB42),100)&gt;=1,MOD(INDEX(기본자료!$G$2:$G$501,$AB42),100)&lt;=31),DATE(INT(INDEX(기본자료!$G$2:$G$501,$AB42)/10000),INT(MOD(INDEX(기본자료!$G$2:$G$501,$AB42),10000)/100),MOD(INDEX(기본자료!$G$2:$G$501,$AB42),100)),INDEX(기본자료!$G$2:$G$501,$AB42)&amp;"")))))</f>
        <v/>
      </c>
      <c r="J42" s="10">
        <f>IF($AB42="","",IF(INDEX(기본자료!$H$2:$H$501,$AB42)="","",INDEX(기본자료!$H$2:$H$501,$AB42)))</f>
        <v/>
      </c>
      <c r="K42" s="10">
        <f>IF($AB42="","",IF(INDEX(기본자료!$I$2:$I$501,$AB42)="","",INDEX(기본자료!$I$2:$I$501,$AB42)))</f>
        <v/>
      </c>
      <c r="L42" s="10">
        <f>IF($AB42="","",IF(INDEX(기본자료!$A$2:$A$501,$AB42)="","",INDEX(기본자료!$A$2:$A$501,$AB42)))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파견수련계획!$AB$4:$AB$203,$AK42),OR(NOT(ISNUMBER(INDEX(파견수련계획!$AC$4:$AC$203,$AK42))),TODAY()&lt;=INDEX(파견수련계획!$AC$4:$AC$203,$AK42))),"다기관",IF($AF42="","",INDEX(파견수련계획!$T$4:$T$203,$AF42))),IF($AF42="","",INDEX(파견수련계획!$T$4:$T$203,$AF42))))</f>
        <v/>
      </c>
      <c r="Q42" s="10">
        <f>IF($AF42="","",INDEX(파견수련계획!$S$4:$S$203,$AF42))</f>
        <v/>
      </c>
      <c r="R42" s="10">
        <f>IF($AF42="","",INDEX(파견수련계획!$U$4:$U$203,$AF42))</f>
        <v/>
      </c>
      <c r="S42" s="11">
        <f>IF($AF42="","",IF(INDEX(파견수련계획!$H$4:$H$203,$AF42)="","",INDEX(파견수련계획!$H$4:$H$203,$AF42)))</f>
        <v/>
      </c>
      <c r="T42" s="11">
        <f>IF($AF42="","",IF(INDEX(파견수련계획!$I$4:$I$203,$AF42)="","",INDEX(파견수련계획!$I$4:$I$203,$AF42)))</f>
        <v/>
      </c>
      <c r="U42" s="10">
        <f>IF($AF42="","",INDEX(파견수련계획!$X$4:$X$203,$AF42))</f>
        <v/>
      </c>
      <c r="V42" s="17">
        <f>IF($AF42="","",INDEX(파견수련계획!$V$4:$V$203,$AF42))</f>
        <v/>
      </c>
      <c r="W42" s="17">
        <f>IF(AND($U42="파견중",$T42&lt;&gt;""),$T42-TODAY(),"")</f>
        <v/>
      </c>
      <c r="X42" s="17">
        <f>IF(OR($B42="",TRIM($J42&amp;"")=""),"",SUMPRODUCT((파견수련계획!$Q$4:$Q$203=TRIM($J42&amp;""))*파견수련계획!$W$4:$W$203))</f>
        <v/>
      </c>
      <c r="Y42" s="10">
        <f>IF($B42="","",IF($AG42="","",IF(IF(TRIM($J42&amp;"")="",0,SUMPRODUCT((파견수련계획!$Q$4:$Q$203=TRIM($J42&amp;""))*파견수련계획!$AD$4:$AD$203))&gt;0,$AE42,IF(N($X42)&lt;=0,$AG42,IF($AH42+$AI42=DAY(EOMONTH(요약!$B$3,0)),IF(AND($AH42&gt;=요약!$E$3,$AI42&lt;요약!$E$3),"서울병원",IF(AND($AI42&gt;=요약!$E$3,$AH42&lt;요약!$E$3),"구리병원","⚠15일 판정불가(서울 "&amp;$AH42&amp;"일/구리 "&amp;$AI42&amp;"일)")),IF($AJ42="",$AE42,IF(INDEX(파견수련계획!$T$4:$T$203,$AJ42)="통합수련",INDEX(파견수련계획!$S$4:$S$203,$AJ42),$AE42)))))))</f>
        <v/>
      </c>
      <c r="Z42" s="19">
        <f>IF($B42="","",IF($AB42="","기본자료에 없는 사번",IF(COUNTIF($B$2:$B$201,$B42)&gt;1,"중복 사번",IF($AE42="","소속(입사장소) 입력",IF(IF(TRIM($J42&amp;"")="",0,SUMPRODUCT((파견수련계획!$Q$4:$Q$203=TRIM($J42&amp;""))*(파견수련계획!$AA$4:$AA$203&lt;&gt;"")))&gt;0,"파견수련계획 입력오류 확인",IF(LEFT($Y42,1)="⚠","서울·구리 15일 판정 불가(양쪽 모두 이상/미만)",IF(IF($AC42="",0,N(INDEX(인턴근무계획!$T$3:$T$202,$AC42)))&gt;0,"인턴계획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IF($B42="","",IFERROR(MATCH($B42,기본자료!$B$2:$B$501,0),IFERROR(MATCH($B42&amp;"",기본자료!$B$2:$B$501,0),IFERROR(MATCH(VALUE($B42),기본자료!$B$2:$B$501,0),""))))</f>
        <v/>
      </c>
      <c r="AC42" s="10">
        <f>IF($B42="","",IFERROR(MATCH($B42,인턴근무계획!$D$3:$D$202,0),IFERROR(MATCH($B42&amp;"",인턴근무계획!$D$3:$D$202,0),IFERROR(MATCH(VALUE($B42),인턴근무계획!$D$3:$D$202,0),""))))</f>
        <v/>
      </c>
      <c r="AD42" s="10">
        <f>IF(OR($AC42="",인턴현황!$G$3=""),"",INDEX(인턴근무계획!$M$3:$R$202,$AC42,인턴현황!$G$3)&amp;"")</f>
        <v/>
      </c>
      <c r="AE42" s="10">
        <f>IF($B42="","",IF($M42&lt;&gt;"",$M42,IF($AF42&lt;&gt;"",IF(LEFT(INDEX(파견수련계획!$R$4:$R$203,$AF42),1)&lt;&gt;"⚠",INDEX(파견수련계획!$R$4:$R$203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$203,0),IFERROR(MATCH(TRIM($J42&amp;"")&amp;"|파견예정",파견수련계획!$Y$4:$Y$203,0),IFERROR(MATCH(TRIM($J42&amp;"")&amp;"|파견종료",파견수련계획!$Y$4:$Y$203,0),""))))</f>
        <v/>
      </c>
      <c r="AG42" s="10">
        <f>IF($B42="","",IF(AND(IF(OR($AC42="",인턴현황!$K$2=""),"",INDEX(인턴근무계획!$M$3:$R$202,$AC42,인턴현황!$K$2)&amp;"")&lt;&gt;"",LEFT(IF(OR($AC42="",인턴현황!$K$2=""),"",INDEX(인턴근무계획!$M$3:$R$202,$AC42,인턴현황!$K$2)&amp;""),1)&lt;&gt;"⚠"),LEFT(IF(OR($AC42="",인턴현황!$K$2=""),"",INDEX(인턴근무계획!$M$3:$R$202,$AC42,인턴현황!$K$2)&amp;""),FIND(" ",IF(OR($AC42="",인턴현황!$K$2=""),"",INDEX(인턴근무계획!$M$3:$R$202,$AC42,인턴현황!$K$2)&amp;""))-1),$AE42))</f>
        <v/>
      </c>
      <c r="AH42" s="17">
        <f>IF($B42="","",IF(TRIM($J42&amp;"")="",0,SUMPRODUCT((파견수련계획!$Q$4:$Q$203=TRIM($J42&amp;""))*(파견수련계획!$S$4:$S$203="서울병원")*파견수련계획!$W$4:$W$203))+IF($AG42="서울병원",MAX(0,DAY(EOMONTH(요약!$B$3,0))-N($X42)),0))</f>
        <v/>
      </c>
      <c r="AI42" s="17">
        <f>IF($B42="","",IF(TRIM($J42&amp;"")="",0,SUMPRODUCT((파견수련계획!$Q$4:$Q$203=TRIM($J42&amp;""))*(파견수련계획!$S$4:$S$203="구리병원")*파견수련계획!$W$4:$W$203))+IF($AG42="구리병원",MAX(0,DAY(EOMONTH(요약!$B$3,0))-N($X42)),0))</f>
        <v/>
      </c>
      <c r="AJ42" s="10">
        <f>IF(OR($B42="",TRIM($J42&amp;"")=""),"",IFERROR(MATCH(TRIM($J42&amp;"")&amp;"|월",파견수련계획!$Z$4:$Z$203,0),""))</f>
        <v/>
      </c>
      <c r="AK42" s="10">
        <f>IF(OR($B42="",TRIM($J42&amp;"")=""),"",IFERROR(MATCH(TRIM($J42&amp;"")&amp;"|다기관",파견수련계획!$AE$4:$AE$203,0),""))</f>
        <v/>
      </c>
      <c r="AL42" s="10">
        <f>IF($AK42="","","다기관 "&amp;TEXT(INDEX(파견수련계획!$AB$4:$AB$203,$AK42),"yyyy-mm-dd")&amp;"~"&amp;IF(ISNUMBER(INDEX(파견수련계획!$AC$4:$AC$203,$AK42)),TEXT(INDEX(파견수련계획!$AC$4:$AC$203,$AK42),"yyyy-mm-dd"),""))</f>
        <v/>
      </c>
    </row>
    <row r="43">
      <c r="A43" s="10">
        <f>IF(B43="","",ROW()-1)</f>
        <v/>
      </c>
      <c r="B43" s="18" t="n"/>
      <c r="C43" s="10">
        <f>IF($AB43="","",IF(INDEX(기본자료!$C$2:$C$501,$AB43)="","",INDEX(기본자료!$C$2:$C$501,$AB43)))</f>
        <v/>
      </c>
      <c r="D43" s="10">
        <f>IF($AB43="","",IF(INDEX(기본자료!$J$2:$J$501,$AB43)="","",INDEX(기본자료!$J$2:$J$501,$AB43)))</f>
        <v/>
      </c>
      <c r="E43" s="11">
        <f>IF($AB43="","",IF(INDEX(기본자료!$K$2:$K$501,$AB43)="","",IF(NOT(ISNUMBER(INDEX(기본자료!$K$2:$K$501,$AB43))),INDEX(기본자료!$K$2:$K$501,$AB43),IF(INDEX(기본자료!$K$2:$K$501,$AB43)&lt;1000000,INDEX(기본자료!$K$2:$K$501,$AB43),IF(AND(INDEX(기본자료!$K$2:$K$501,$AB43)&gt;=10000101,INT(MOD(INDEX(기본자료!$K$2:$K$501,$AB43),10000)/100)&gt;=1,INT(MOD(INDEX(기본자료!$K$2:$K$501,$AB43),10000)/100)&lt;=12,MOD(INDEX(기본자료!$K$2:$K$501,$AB43),100)&gt;=1,MOD(INDEX(기본자료!$K$2:$K$501,$AB43),100)&lt;=31),DATE(INT(INDEX(기본자료!$K$2:$K$501,$AB43)/10000),INT(MOD(INDEX(기본자료!$K$2:$K$501,$AB43),10000)/100),MOD(INDEX(기본자료!$K$2:$K$501,$AB43),100)),INDEX(기본자료!$K$2:$K$501,$AB43)&amp;"")))))</f>
        <v/>
      </c>
      <c r="F43" s="10">
        <f>IF($AB43="","",IF(INDEX(기본자료!$D$2:$D$501,$AB43)="","",INDEX(기본자료!$D$2:$D$501,$AB43)))</f>
        <v/>
      </c>
      <c r="G43" s="10">
        <f>IF($AB43="","",IF(INDEX(기본자료!$E$2:$E$501,$AB43)="","",INDEX(기본자료!$E$2:$E$501,$AB43)))</f>
        <v/>
      </c>
      <c r="H43" s="10">
        <f>IF($AB43="","",IF(INDEX(기본자료!$F$2:$F$501,$AB43)="","",INDEX(기본자료!$F$2:$F$501,$AB43)))</f>
        <v/>
      </c>
      <c r="I43" s="11">
        <f>IF($AB43="","",IF(INDEX(기본자료!$G$2:$G$501,$AB43)="","",IF(NOT(ISNUMBER(INDEX(기본자료!$G$2:$G$501,$AB43))),INDEX(기본자료!$G$2:$G$501,$AB43),IF(INDEX(기본자료!$G$2:$G$501,$AB43)&lt;1000000,INDEX(기본자료!$G$2:$G$501,$AB43),IF(AND(INDEX(기본자료!$G$2:$G$501,$AB43)&gt;=10000101,INT(MOD(INDEX(기본자료!$G$2:$G$501,$AB43),10000)/100)&gt;=1,INT(MOD(INDEX(기본자료!$G$2:$G$501,$AB43),10000)/100)&lt;=12,MOD(INDEX(기본자료!$G$2:$G$501,$AB43),100)&gt;=1,MOD(INDEX(기본자료!$G$2:$G$501,$AB43),100)&lt;=31),DATE(INT(INDEX(기본자료!$G$2:$G$501,$AB43)/10000),INT(MOD(INDEX(기본자료!$G$2:$G$501,$AB43),10000)/100),MOD(INDEX(기본자료!$G$2:$G$501,$AB43),100)),INDEX(기본자료!$G$2:$G$501,$AB43)&amp;"")))))</f>
        <v/>
      </c>
      <c r="J43" s="10">
        <f>IF($AB43="","",IF(INDEX(기본자료!$H$2:$H$501,$AB43)="","",INDEX(기본자료!$H$2:$H$501,$AB43)))</f>
        <v/>
      </c>
      <c r="K43" s="10">
        <f>IF($AB43="","",IF(INDEX(기본자료!$I$2:$I$501,$AB43)="","",INDEX(기본자료!$I$2:$I$501,$AB43)))</f>
        <v/>
      </c>
      <c r="L43" s="10">
        <f>IF($AB43="","",IF(INDEX(기본자료!$A$2:$A$501,$AB43)="","",INDEX(기본자료!$A$2:$A$501,$AB43)))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파견수련계획!$AB$4:$AB$203,$AK43),OR(NOT(ISNUMBER(INDEX(파견수련계획!$AC$4:$AC$203,$AK43))),TODAY()&lt;=INDEX(파견수련계획!$AC$4:$AC$203,$AK43))),"다기관",IF($AF43="","",INDEX(파견수련계획!$T$4:$T$203,$AF43))),IF($AF43="","",INDEX(파견수련계획!$T$4:$T$203,$AF43))))</f>
        <v/>
      </c>
      <c r="Q43" s="10">
        <f>IF($AF43="","",INDEX(파견수련계획!$S$4:$S$203,$AF43))</f>
        <v/>
      </c>
      <c r="R43" s="10">
        <f>IF($AF43="","",INDEX(파견수련계획!$U$4:$U$203,$AF43))</f>
        <v/>
      </c>
      <c r="S43" s="11">
        <f>IF($AF43="","",IF(INDEX(파견수련계획!$H$4:$H$203,$AF43)="","",INDEX(파견수련계획!$H$4:$H$203,$AF43)))</f>
        <v/>
      </c>
      <c r="T43" s="11">
        <f>IF($AF43="","",IF(INDEX(파견수련계획!$I$4:$I$203,$AF43)="","",INDEX(파견수련계획!$I$4:$I$203,$AF43)))</f>
        <v/>
      </c>
      <c r="U43" s="10">
        <f>IF($AF43="","",INDEX(파견수련계획!$X$4:$X$203,$AF43))</f>
        <v/>
      </c>
      <c r="V43" s="17">
        <f>IF($AF43="","",INDEX(파견수련계획!$V$4:$V$203,$AF43))</f>
        <v/>
      </c>
      <c r="W43" s="17">
        <f>IF(AND($U43="파견중",$T43&lt;&gt;""),$T43-TODAY(),"")</f>
        <v/>
      </c>
      <c r="X43" s="17">
        <f>IF(OR($B43="",TRIM($J43&amp;"")=""),"",SUMPRODUCT((파견수련계획!$Q$4:$Q$203=TRIM($J43&amp;""))*파견수련계획!$W$4:$W$203))</f>
        <v/>
      </c>
      <c r="Y43" s="10">
        <f>IF($B43="","",IF($AG43="","",IF(IF(TRIM($J43&amp;"")="",0,SUMPRODUCT((파견수련계획!$Q$4:$Q$203=TRIM($J43&amp;""))*파견수련계획!$AD$4:$AD$203))&gt;0,$AE43,IF(N($X43)&lt;=0,$AG43,IF($AH43+$AI43=DAY(EOMONTH(요약!$B$3,0)),IF(AND($AH43&gt;=요약!$E$3,$AI43&lt;요약!$E$3),"서울병원",IF(AND($AI43&gt;=요약!$E$3,$AH43&lt;요약!$E$3),"구리병원","⚠15일 판정불가(서울 "&amp;$AH43&amp;"일/구리 "&amp;$AI43&amp;"일)")),IF($AJ43="",$AE43,IF(INDEX(파견수련계획!$T$4:$T$203,$AJ43)="통합수련",INDEX(파견수련계획!$S$4:$S$203,$AJ43),$AE43)))))))</f>
        <v/>
      </c>
      <c r="Z43" s="19">
        <f>IF($B43="","",IF($AB43="","기본자료에 없는 사번",IF(COUNTIF($B$2:$B$201,$B43)&gt;1,"중복 사번",IF($AE43="","소속(입사장소) 입력",IF(IF(TRIM($J43&amp;"")="",0,SUMPRODUCT((파견수련계획!$Q$4:$Q$203=TRIM($J43&amp;""))*(파견수련계획!$AA$4:$AA$203&lt;&gt;"")))&gt;0,"파견수련계획 입력오류 확인",IF(LEFT($Y43,1)="⚠","서울·구리 15일 판정 불가(양쪽 모두 이상/미만)",IF(IF($AC43="",0,N(INDEX(인턴근무계획!$T$3:$T$202,$AC43)))&gt;0,"인턴계획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IF($B43="","",IFERROR(MATCH($B43,기본자료!$B$2:$B$501,0),IFERROR(MATCH($B43&amp;"",기본자료!$B$2:$B$501,0),IFERROR(MATCH(VALUE($B43),기본자료!$B$2:$B$501,0),""))))</f>
        <v/>
      </c>
      <c r="AC43" s="10">
        <f>IF($B43="","",IFERROR(MATCH($B43,인턴근무계획!$D$3:$D$202,0),IFERROR(MATCH($B43&amp;"",인턴근무계획!$D$3:$D$202,0),IFERROR(MATCH(VALUE($B43),인턴근무계획!$D$3:$D$202,0),""))))</f>
        <v/>
      </c>
      <c r="AD43" s="10">
        <f>IF(OR($AC43="",인턴현황!$G$3=""),"",INDEX(인턴근무계획!$M$3:$R$202,$AC43,인턴현황!$G$3)&amp;"")</f>
        <v/>
      </c>
      <c r="AE43" s="10">
        <f>IF($B43="","",IF($M43&lt;&gt;"",$M43,IF($AF43&lt;&gt;"",IF(LEFT(INDEX(파견수련계획!$R$4:$R$203,$AF43),1)&lt;&gt;"⚠",INDEX(파견수련계획!$R$4:$R$203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$203,0),IFERROR(MATCH(TRIM($J43&amp;"")&amp;"|파견예정",파견수련계획!$Y$4:$Y$203,0),IFERROR(MATCH(TRIM($J43&amp;"")&amp;"|파견종료",파견수련계획!$Y$4:$Y$203,0),""))))</f>
        <v/>
      </c>
      <c r="AG43" s="10">
        <f>IF($B43="","",IF(AND(IF(OR($AC43="",인턴현황!$K$2=""),"",INDEX(인턴근무계획!$M$3:$R$202,$AC43,인턴현황!$K$2)&amp;"")&lt;&gt;"",LEFT(IF(OR($AC43="",인턴현황!$K$2=""),"",INDEX(인턴근무계획!$M$3:$R$202,$AC43,인턴현황!$K$2)&amp;""),1)&lt;&gt;"⚠"),LEFT(IF(OR($AC43="",인턴현황!$K$2=""),"",INDEX(인턴근무계획!$M$3:$R$202,$AC43,인턴현황!$K$2)&amp;""),FIND(" ",IF(OR($AC43="",인턴현황!$K$2=""),"",INDEX(인턴근무계획!$M$3:$R$202,$AC43,인턴현황!$K$2)&amp;""))-1),$AE43))</f>
        <v/>
      </c>
      <c r="AH43" s="17">
        <f>IF($B43="","",IF(TRIM($J43&amp;"")="",0,SUMPRODUCT((파견수련계획!$Q$4:$Q$203=TRIM($J43&amp;""))*(파견수련계획!$S$4:$S$203="서울병원")*파견수련계획!$W$4:$W$203))+IF($AG43="서울병원",MAX(0,DAY(EOMONTH(요약!$B$3,0))-N($X43)),0))</f>
        <v/>
      </c>
      <c r="AI43" s="17">
        <f>IF($B43="","",IF(TRIM($J43&amp;"")="",0,SUMPRODUCT((파견수련계획!$Q$4:$Q$203=TRIM($J43&amp;""))*(파견수련계획!$S$4:$S$203="구리병원")*파견수련계획!$W$4:$W$203))+IF($AG43="구리병원",MAX(0,DAY(EOMONTH(요약!$B$3,0))-N($X43)),0))</f>
        <v/>
      </c>
      <c r="AJ43" s="10">
        <f>IF(OR($B43="",TRIM($J43&amp;"")=""),"",IFERROR(MATCH(TRIM($J43&amp;"")&amp;"|월",파견수련계획!$Z$4:$Z$203,0),""))</f>
        <v/>
      </c>
      <c r="AK43" s="10">
        <f>IF(OR($B43="",TRIM($J43&amp;"")=""),"",IFERROR(MATCH(TRIM($J43&amp;"")&amp;"|다기관",파견수련계획!$AE$4:$AE$203,0),""))</f>
        <v/>
      </c>
      <c r="AL43" s="10">
        <f>IF($AK43="","","다기관 "&amp;TEXT(INDEX(파견수련계획!$AB$4:$AB$203,$AK43),"yyyy-mm-dd")&amp;"~"&amp;IF(ISNUMBER(INDEX(파견수련계획!$AC$4:$AC$203,$AK43)),TEXT(INDEX(파견수련계획!$AC$4:$AC$203,$AK43),"yyyy-mm-dd"),""))</f>
        <v/>
      </c>
    </row>
    <row r="44">
      <c r="A44" s="10">
        <f>IF(B44="","",ROW()-1)</f>
        <v/>
      </c>
      <c r="B44" s="18" t="n"/>
      <c r="C44" s="10">
        <f>IF($AB44="","",IF(INDEX(기본자료!$C$2:$C$501,$AB44)="","",INDEX(기본자료!$C$2:$C$501,$AB44)))</f>
        <v/>
      </c>
      <c r="D44" s="10">
        <f>IF($AB44="","",IF(INDEX(기본자료!$J$2:$J$501,$AB44)="","",INDEX(기본자료!$J$2:$J$501,$AB44)))</f>
        <v/>
      </c>
      <c r="E44" s="11">
        <f>IF($AB44="","",IF(INDEX(기본자료!$K$2:$K$501,$AB44)="","",IF(NOT(ISNUMBER(INDEX(기본자료!$K$2:$K$501,$AB44))),INDEX(기본자료!$K$2:$K$501,$AB44),IF(INDEX(기본자료!$K$2:$K$501,$AB44)&lt;1000000,INDEX(기본자료!$K$2:$K$501,$AB44),IF(AND(INDEX(기본자료!$K$2:$K$501,$AB44)&gt;=10000101,INT(MOD(INDEX(기본자료!$K$2:$K$501,$AB44),10000)/100)&gt;=1,INT(MOD(INDEX(기본자료!$K$2:$K$501,$AB44),10000)/100)&lt;=12,MOD(INDEX(기본자료!$K$2:$K$501,$AB44),100)&gt;=1,MOD(INDEX(기본자료!$K$2:$K$501,$AB44),100)&lt;=31),DATE(INT(INDEX(기본자료!$K$2:$K$501,$AB44)/10000),INT(MOD(INDEX(기본자료!$K$2:$K$501,$AB44),10000)/100),MOD(INDEX(기본자료!$K$2:$K$501,$AB44),100)),INDEX(기본자료!$K$2:$K$501,$AB44)&amp;"")))))</f>
        <v/>
      </c>
      <c r="F44" s="10">
        <f>IF($AB44="","",IF(INDEX(기본자료!$D$2:$D$501,$AB44)="","",INDEX(기본자료!$D$2:$D$501,$AB44)))</f>
        <v/>
      </c>
      <c r="G44" s="10">
        <f>IF($AB44="","",IF(INDEX(기본자료!$E$2:$E$501,$AB44)="","",INDEX(기본자료!$E$2:$E$501,$AB44)))</f>
        <v/>
      </c>
      <c r="H44" s="10">
        <f>IF($AB44="","",IF(INDEX(기본자료!$F$2:$F$501,$AB44)="","",INDEX(기본자료!$F$2:$F$501,$AB44)))</f>
        <v/>
      </c>
      <c r="I44" s="11">
        <f>IF($AB44="","",IF(INDEX(기본자료!$G$2:$G$501,$AB44)="","",IF(NOT(ISNUMBER(INDEX(기본자료!$G$2:$G$501,$AB44))),INDEX(기본자료!$G$2:$G$501,$AB44),IF(INDEX(기본자료!$G$2:$G$501,$AB44)&lt;1000000,INDEX(기본자료!$G$2:$G$501,$AB44),IF(AND(INDEX(기본자료!$G$2:$G$501,$AB44)&gt;=10000101,INT(MOD(INDEX(기본자료!$G$2:$G$501,$AB44),10000)/100)&gt;=1,INT(MOD(INDEX(기본자료!$G$2:$G$501,$AB44),10000)/100)&lt;=12,MOD(INDEX(기본자료!$G$2:$G$501,$AB44),100)&gt;=1,MOD(INDEX(기본자료!$G$2:$G$501,$AB44),100)&lt;=31),DATE(INT(INDEX(기본자료!$G$2:$G$501,$AB44)/10000),INT(MOD(INDEX(기본자료!$G$2:$G$501,$AB44),10000)/100),MOD(INDEX(기본자료!$G$2:$G$501,$AB44),100)),INDEX(기본자료!$G$2:$G$501,$AB44)&amp;"")))))</f>
        <v/>
      </c>
      <c r="J44" s="10">
        <f>IF($AB44="","",IF(INDEX(기본자료!$H$2:$H$501,$AB44)="","",INDEX(기본자료!$H$2:$H$501,$AB44)))</f>
        <v/>
      </c>
      <c r="K44" s="10">
        <f>IF($AB44="","",IF(INDEX(기본자료!$I$2:$I$501,$AB44)="","",INDEX(기본자료!$I$2:$I$501,$AB44)))</f>
        <v/>
      </c>
      <c r="L44" s="10">
        <f>IF($AB44="","",IF(INDEX(기본자료!$A$2:$A$501,$AB44)="","",INDEX(기본자료!$A$2:$A$501,$AB44)))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파견수련계획!$AB$4:$AB$203,$AK44),OR(NOT(ISNUMBER(INDEX(파견수련계획!$AC$4:$AC$203,$AK44))),TODAY()&lt;=INDEX(파견수련계획!$AC$4:$AC$203,$AK44))),"다기관",IF($AF44="","",INDEX(파견수련계획!$T$4:$T$203,$AF44))),IF($AF44="","",INDEX(파견수련계획!$T$4:$T$203,$AF44))))</f>
        <v/>
      </c>
      <c r="Q44" s="10">
        <f>IF($AF44="","",INDEX(파견수련계획!$S$4:$S$203,$AF44))</f>
        <v/>
      </c>
      <c r="R44" s="10">
        <f>IF($AF44="","",INDEX(파견수련계획!$U$4:$U$203,$AF44))</f>
        <v/>
      </c>
      <c r="S44" s="11">
        <f>IF($AF44="","",IF(INDEX(파견수련계획!$H$4:$H$203,$AF44)="","",INDEX(파견수련계획!$H$4:$H$203,$AF44)))</f>
        <v/>
      </c>
      <c r="T44" s="11">
        <f>IF($AF44="","",IF(INDEX(파견수련계획!$I$4:$I$203,$AF44)="","",INDEX(파견수련계획!$I$4:$I$203,$AF44)))</f>
        <v/>
      </c>
      <c r="U44" s="10">
        <f>IF($AF44="","",INDEX(파견수련계획!$X$4:$X$203,$AF44))</f>
        <v/>
      </c>
      <c r="V44" s="17">
        <f>IF($AF44="","",INDEX(파견수련계획!$V$4:$V$203,$AF44))</f>
        <v/>
      </c>
      <c r="W44" s="17">
        <f>IF(AND($U44="파견중",$T44&lt;&gt;""),$T44-TODAY(),"")</f>
        <v/>
      </c>
      <c r="X44" s="17">
        <f>IF(OR($B44="",TRIM($J44&amp;"")=""),"",SUMPRODUCT((파견수련계획!$Q$4:$Q$203=TRIM($J44&amp;""))*파견수련계획!$W$4:$W$203))</f>
        <v/>
      </c>
      <c r="Y44" s="10">
        <f>IF($B44="","",IF($AG44="","",IF(IF(TRIM($J44&amp;"")="",0,SUMPRODUCT((파견수련계획!$Q$4:$Q$203=TRIM($J44&amp;""))*파견수련계획!$AD$4:$AD$203))&gt;0,$AE44,IF(N($X44)&lt;=0,$AG44,IF($AH44+$AI44=DAY(EOMONTH(요약!$B$3,0)),IF(AND($AH44&gt;=요약!$E$3,$AI44&lt;요약!$E$3),"서울병원",IF(AND($AI44&gt;=요약!$E$3,$AH44&lt;요약!$E$3),"구리병원","⚠15일 판정불가(서울 "&amp;$AH44&amp;"일/구리 "&amp;$AI44&amp;"일)")),IF($AJ44="",$AE44,IF(INDEX(파견수련계획!$T$4:$T$203,$AJ44)="통합수련",INDEX(파견수련계획!$S$4:$S$203,$AJ44),$AE44)))))))</f>
        <v/>
      </c>
      <c r="Z44" s="19">
        <f>IF($B44="","",IF($AB44="","기본자료에 없는 사번",IF(COUNTIF($B$2:$B$201,$B44)&gt;1,"중복 사번",IF($AE44="","소속(입사장소) 입력",IF(IF(TRIM($J44&amp;"")="",0,SUMPRODUCT((파견수련계획!$Q$4:$Q$203=TRIM($J44&amp;""))*(파견수련계획!$AA$4:$AA$203&lt;&gt;"")))&gt;0,"파견수련계획 입력오류 확인",IF(LEFT($Y44,1)="⚠","서울·구리 15일 판정 불가(양쪽 모두 이상/미만)",IF(IF($AC44="",0,N(INDEX(인턴근무계획!$T$3:$T$202,$AC44)))&gt;0,"인턴계획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IF($B44="","",IFERROR(MATCH($B44,기본자료!$B$2:$B$501,0),IFERROR(MATCH($B44&amp;"",기본자료!$B$2:$B$501,0),IFERROR(MATCH(VALUE($B44),기본자료!$B$2:$B$501,0),""))))</f>
        <v/>
      </c>
      <c r="AC44" s="10">
        <f>IF($B44="","",IFERROR(MATCH($B44,인턴근무계획!$D$3:$D$202,0),IFERROR(MATCH($B44&amp;"",인턴근무계획!$D$3:$D$202,0),IFERROR(MATCH(VALUE($B44),인턴근무계획!$D$3:$D$202,0),""))))</f>
        <v/>
      </c>
      <c r="AD44" s="10">
        <f>IF(OR($AC44="",인턴현황!$G$3=""),"",INDEX(인턴근무계획!$M$3:$R$202,$AC44,인턴현황!$G$3)&amp;"")</f>
        <v/>
      </c>
      <c r="AE44" s="10">
        <f>IF($B44="","",IF($M44&lt;&gt;"",$M44,IF($AF44&lt;&gt;"",IF(LEFT(INDEX(파견수련계획!$R$4:$R$203,$AF44),1)&lt;&gt;"⚠",INDEX(파견수련계획!$R$4:$R$203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$203,0),IFERROR(MATCH(TRIM($J44&amp;"")&amp;"|파견예정",파견수련계획!$Y$4:$Y$203,0),IFERROR(MATCH(TRIM($J44&amp;"")&amp;"|파견종료",파견수련계획!$Y$4:$Y$203,0),""))))</f>
        <v/>
      </c>
      <c r="AG44" s="10">
        <f>IF($B44="","",IF(AND(IF(OR($AC44="",인턴현황!$K$2=""),"",INDEX(인턴근무계획!$M$3:$R$202,$AC44,인턴현황!$K$2)&amp;"")&lt;&gt;"",LEFT(IF(OR($AC44="",인턴현황!$K$2=""),"",INDEX(인턴근무계획!$M$3:$R$202,$AC44,인턴현황!$K$2)&amp;""),1)&lt;&gt;"⚠"),LEFT(IF(OR($AC44="",인턴현황!$K$2=""),"",INDEX(인턴근무계획!$M$3:$R$202,$AC44,인턴현황!$K$2)&amp;""),FIND(" ",IF(OR($AC44="",인턴현황!$K$2=""),"",INDEX(인턴근무계획!$M$3:$R$202,$AC44,인턴현황!$K$2)&amp;""))-1),$AE44))</f>
        <v/>
      </c>
      <c r="AH44" s="17">
        <f>IF($B44="","",IF(TRIM($J44&amp;"")="",0,SUMPRODUCT((파견수련계획!$Q$4:$Q$203=TRIM($J44&amp;""))*(파견수련계획!$S$4:$S$203="서울병원")*파견수련계획!$W$4:$W$203))+IF($AG44="서울병원",MAX(0,DAY(EOMONTH(요약!$B$3,0))-N($X44)),0))</f>
        <v/>
      </c>
      <c r="AI44" s="17">
        <f>IF($B44="","",IF(TRIM($J44&amp;"")="",0,SUMPRODUCT((파견수련계획!$Q$4:$Q$203=TRIM($J44&amp;""))*(파견수련계획!$S$4:$S$203="구리병원")*파견수련계획!$W$4:$W$203))+IF($AG44="구리병원",MAX(0,DAY(EOMONTH(요약!$B$3,0))-N($X44)),0))</f>
        <v/>
      </c>
      <c r="AJ44" s="10">
        <f>IF(OR($B44="",TRIM($J44&amp;"")=""),"",IFERROR(MATCH(TRIM($J44&amp;"")&amp;"|월",파견수련계획!$Z$4:$Z$203,0),""))</f>
        <v/>
      </c>
      <c r="AK44" s="10">
        <f>IF(OR($B44="",TRIM($J44&amp;"")=""),"",IFERROR(MATCH(TRIM($J44&amp;"")&amp;"|다기관",파견수련계획!$AE$4:$AE$203,0),""))</f>
        <v/>
      </c>
      <c r="AL44" s="10">
        <f>IF($AK44="","","다기관 "&amp;TEXT(INDEX(파견수련계획!$AB$4:$AB$203,$AK44),"yyyy-mm-dd")&amp;"~"&amp;IF(ISNUMBER(INDEX(파견수련계획!$AC$4:$AC$203,$AK44)),TEXT(INDEX(파견수련계획!$AC$4:$AC$203,$AK44),"yyyy-mm-dd"),""))</f>
        <v/>
      </c>
    </row>
    <row r="45">
      <c r="A45" s="10">
        <f>IF(B45="","",ROW()-1)</f>
        <v/>
      </c>
      <c r="B45" s="18" t="n"/>
      <c r="C45" s="10">
        <f>IF($AB45="","",IF(INDEX(기본자료!$C$2:$C$501,$AB45)="","",INDEX(기본자료!$C$2:$C$501,$AB45)))</f>
        <v/>
      </c>
      <c r="D45" s="10">
        <f>IF($AB45="","",IF(INDEX(기본자료!$J$2:$J$501,$AB45)="","",INDEX(기본자료!$J$2:$J$501,$AB45)))</f>
        <v/>
      </c>
      <c r="E45" s="11">
        <f>IF($AB45="","",IF(INDEX(기본자료!$K$2:$K$501,$AB45)="","",IF(NOT(ISNUMBER(INDEX(기본자료!$K$2:$K$501,$AB45))),INDEX(기본자료!$K$2:$K$501,$AB45),IF(INDEX(기본자료!$K$2:$K$501,$AB45)&lt;1000000,INDEX(기본자료!$K$2:$K$501,$AB45),IF(AND(INDEX(기본자료!$K$2:$K$501,$AB45)&gt;=10000101,INT(MOD(INDEX(기본자료!$K$2:$K$501,$AB45),10000)/100)&gt;=1,INT(MOD(INDEX(기본자료!$K$2:$K$501,$AB45),10000)/100)&lt;=12,MOD(INDEX(기본자료!$K$2:$K$501,$AB45),100)&gt;=1,MOD(INDEX(기본자료!$K$2:$K$501,$AB45),100)&lt;=31),DATE(INT(INDEX(기본자료!$K$2:$K$501,$AB45)/10000),INT(MOD(INDEX(기본자료!$K$2:$K$501,$AB45),10000)/100),MOD(INDEX(기본자료!$K$2:$K$501,$AB45),100)),INDEX(기본자료!$K$2:$K$501,$AB45)&amp;"")))))</f>
        <v/>
      </c>
      <c r="F45" s="10">
        <f>IF($AB45="","",IF(INDEX(기본자료!$D$2:$D$501,$AB45)="","",INDEX(기본자료!$D$2:$D$501,$AB45)))</f>
        <v/>
      </c>
      <c r="G45" s="10">
        <f>IF($AB45="","",IF(INDEX(기본자료!$E$2:$E$501,$AB45)="","",INDEX(기본자료!$E$2:$E$501,$AB45)))</f>
        <v/>
      </c>
      <c r="H45" s="10">
        <f>IF($AB45="","",IF(INDEX(기본자료!$F$2:$F$501,$AB45)="","",INDEX(기본자료!$F$2:$F$501,$AB45)))</f>
        <v/>
      </c>
      <c r="I45" s="11">
        <f>IF($AB45="","",IF(INDEX(기본자료!$G$2:$G$501,$AB45)="","",IF(NOT(ISNUMBER(INDEX(기본자료!$G$2:$G$501,$AB45))),INDEX(기본자료!$G$2:$G$501,$AB45),IF(INDEX(기본자료!$G$2:$G$501,$AB45)&lt;1000000,INDEX(기본자료!$G$2:$G$501,$AB45),IF(AND(INDEX(기본자료!$G$2:$G$501,$AB45)&gt;=10000101,INT(MOD(INDEX(기본자료!$G$2:$G$501,$AB45),10000)/100)&gt;=1,INT(MOD(INDEX(기본자료!$G$2:$G$501,$AB45),10000)/100)&lt;=12,MOD(INDEX(기본자료!$G$2:$G$501,$AB45),100)&gt;=1,MOD(INDEX(기본자료!$G$2:$G$501,$AB45),100)&lt;=31),DATE(INT(INDEX(기본자료!$G$2:$G$501,$AB45)/10000),INT(MOD(INDEX(기본자료!$G$2:$G$501,$AB45),10000)/100),MOD(INDEX(기본자료!$G$2:$G$501,$AB45),100)),INDEX(기본자료!$G$2:$G$501,$AB45)&amp;"")))))</f>
        <v/>
      </c>
      <c r="J45" s="10">
        <f>IF($AB45="","",IF(INDEX(기본자료!$H$2:$H$501,$AB45)="","",INDEX(기본자료!$H$2:$H$501,$AB45)))</f>
        <v/>
      </c>
      <c r="K45" s="10">
        <f>IF($AB45="","",IF(INDEX(기본자료!$I$2:$I$501,$AB45)="","",INDEX(기본자료!$I$2:$I$501,$AB45)))</f>
        <v/>
      </c>
      <c r="L45" s="10">
        <f>IF($AB45="","",IF(INDEX(기본자료!$A$2:$A$501,$AB45)="","",INDEX(기본자료!$A$2:$A$501,$AB45)))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파견수련계획!$AB$4:$AB$203,$AK45),OR(NOT(ISNUMBER(INDEX(파견수련계획!$AC$4:$AC$203,$AK45))),TODAY()&lt;=INDEX(파견수련계획!$AC$4:$AC$203,$AK45))),"다기관",IF($AF45="","",INDEX(파견수련계획!$T$4:$T$203,$AF45))),IF($AF45="","",INDEX(파견수련계획!$T$4:$T$203,$AF45))))</f>
        <v/>
      </c>
      <c r="Q45" s="10">
        <f>IF($AF45="","",INDEX(파견수련계획!$S$4:$S$203,$AF45))</f>
        <v/>
      </c>
      <c r="R45" s="10">
        <f>IF($AF45="","",INDEX(파견수련계획!$U$4:$U$203,$AF45))</f>
        <v/>
      </c>
      <c r="S45" s="11">
        <f>IF($AF45="","",IF(INDEX(파견수련계획!$H$4:$H$203,$AF45)="","",INDEX(파견수련계획!$H$4:$H$203,$AF45)))</f>
        <v/>
      </c>
      <c r="T45" s="11">
        <f>IF($AF45="","",IF(INDEX(파견수련계획!$I$4:$I$203,$AF45)="","",INDEX(파견수련계획!$I$4:$I$203,$AF45)))</f>
        <v/>
      </c>
      <c r="U45" s="10">
        <f>IF($AF45="","",INDEX(파견수련계획!$X$4:$X$203,$AF45))</f>
        <v/>
      </c>
      <c r="V45" s="17">
        <f>IF($AF45="","",INDEX(파견수련계획!$V$4:$V$203,$AF45))</f>
        <v/>
      </c>
      <c r="W45" s="17">
        <f>IF(AND($U45="파견중",$T45&lt;&gt;""),$T45-TODAY(),"")</f>
        <v/>
      </c>
      <c r="X45" s="17">
        <f>IF(OR($B45="",TRIM($J45&amp;"")=""),"",SUMPRODUCT((파견수련계획!$Q$4:$Q$203=TRIM($J45&amp;""))*파견수련계획!$W$4:$W$203))</f>
        <v/>
      </c>
      <c r="Y45" s="10">
        <f>IF($B45="","",IF($AG45="","",IF(IF(TRIM($J45&amp;"")="",0,SUMPRODUCT((파견수련계획!$Q$4:$Q$203=TRIM($J45&amp;""))*파견수련계획!$AD$4:$AD$203))&gt;0,$AE45,IF(N($X45)&lt;=0,$AG45,IF($AH45+$AI45=DAY(EOMONTH(요약!$B$3,0)),IF(AND($AH45&gt;=요약!$E$3,$AI45&lt;요약!$E$3),"서울병원",IF(AND($AI45&gt;=요약!$E$3,$AH45&lt;요약!$E$3),"구리병원","⚠15일 판정불가(서울 "&amp;$AH45&amp;"일/구리 "&amp;$AI45&amp;"일)")),IF($AJ45="",$AE45,IF(INDEX(파견수련계획!$T$4:$T$203,$AJ45)="통합수련",INDEX(파견수련계획!$S$4:$S$203,$AJ45),$AE45)))))))</f>
        <v/>
      </c>
      <c r="Z45" s="19">
        <f>IF($B45="","",IF($AB45="","기본자료에 없는 사번",IF(COUNTIF($B$2:$B$201,$B45)&gt;1,"중복 사번",IF($AE45="","소속(입사장소) 입력",IF(IF(TRIM($J45&amp;"")="",0,SUMPRODUCT((파견수련계획!$Q$4:$Q$203=TRIM($J45&amp;""))*(파견수련계획!$AA$4:$AA$203&lt;&gt;"")))&gt;0,"파견수련계획 입력오류 확인",IF(LEFT($Y45,1)="⚠","서울·구리 15일 판정 불가(양쪽 모두 이상/미만)",IF(IF($AC45="",0,N(INDEX(인턴근무계획!$T$3:$T$202,$AC45)))&gt;0,"인턴계획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IF($B45="","",IFERROR(MATCH($B45,기본자료!$B$2:$B$501,0),IFERROR(MATCH($B45&amp;"",기본자료!$B$2:$B$501,0),IFERROR(MATCH(VALUE($B45),기본자료!$B$2:$B$501,0),""))))</f>
        <v/>
      </c>
      <c r="AC45" s="10">
        <f>IF($B45="","",IFERROR(MATCH($B45,인턴근무계획!$D$3:$D$202,0),IFERROR(MATCH($B45&amp;"",인턴근무계획!$D$3:$D$202,0),IFERROR(MATCH(VALUE($B45),인턴근무계획!$D$3:$D$202,0),""))))</f>
        <v/>
      </c>
      <c r="AD45" s="10">
        <f>IF(OR($AC45="",인턴현황!$G$3=""),"",INDEX(인턴근무계획!$M$3:$R$202,$AC45,인턴현황!$G$3)&amp;"")</f>
        <v/>
      </c>
      <c r="AE45" s="10">
        <f>IF($B45="","",IF($M45&lt;&gt;"",$M45,IF($AF45&lt;&gt;"",IF(LEFT(INDEX(파견수련계획!$R$4:$R$203,$AF45),1)&lt;&gt;"⚠",INDEX(파견수련계획!$R$4:$R$203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$203,0),IFERROR(MATCH(TRIM($J45&amp;"")&amp;"|파견예정",파견수련계획!$Y$4:$Y$203,0),IFERROR(MATCH(TRIM($J45&amp;"")&amp;"|파견종료",파견수련계획!$Y$4:$Y$203,0),""))))</f>
        <v/>
      </c>
      <c r="AG45" s="10">
        <f>IF($B45="","",IF(AND(IF(OR($AC45="",인턴현황!$K$2=""),"",INDEX(인턴근무계획!$M$3:$R$202,$AC45,인턴현황!$K$2)&amp;"")&lt;&gt;"",LEFT(IF(OR($AC45="",인턴현황!$K$2=""),"",INDEX(인턴근무계획!$M$3:$R$202,$AC45,인턴현황!$K$2)&amp;""),1)&lt;&gt;"⚠"),LEFT(IF(OR($AC45="",인턴현황!$K$2=""),"",INDEX(인턴근무계획!$M$3:$R$202,$AC45,인턴현황!$K$2)&amp;""),FIND(" ",IF(OR($AC45="",인턴현황!$K$2=""),"",INDEX(인턴근무계획!$M$3:$R$202,$AC45,인턴현황!$K$2)&amp;""))-1),$AE45))</f>
        <v/>
      </c>
      <c r="AH45" s="17">
        <f>IF($B45="","",IF(TRIM($J45&amp;"")="",0,SUMPRODUCT((파견수련계획!$Q$4:$Q$203=TRIM($J45&amp;""))*(파견수련계획!$S$4:$S$203="서울병원")*파견수련계획!$W$4:$W$203))+IF($AG45="서울병원",MAX(0,DAY(EOMONTH(요약!$B$3,0))-N($X45)),0))</f>
        <v/>
      </c>
      <c r="AI45" s="17">
        <f>IF($B45="","",IF(TRIM($J45&amp;"")="",0,SUMPRODUCT((파견수련계획!$Q$4:$Q$203=TRIM($J45&amp;""))*(파견수련계획!$S$4:$S$203="구리병원")*파견수련계획!$W$4:$W$203))+IF($AG45="구리병원",MAX(0,DAY(EOMONTH(요약!$B$3,0))-N($X45)),0))</f>
        <v/>
      </c>
      <c r="AJ45" s="10">
        <f>IF(OR($B45="",TRIM($J45&amp;"")=""),"",IFERROR(MATCH(TRIM($J45&amp;"")&amp;"|월",파견수련계획!$Z$4:$Z$203,0),""))</f>
        <v/>
      </c>
      <c r="AK45" s="10">
        <f>IF(OR($B45="",TRIM($J45&amp;"")=""),"",IFERROR(MATCH(TRIM($J45&amp;"")&amp;"|다기관",파견수련계획!$AE$4:$AE$203,0),""))</f>
        <v/>
      </c>
      <c r="AL45" s="10">
        <f>IF($AK45="","","다기관 "&amp;TEXT(INDEX(파견수련계획!$AB$4:$AB$203,$AK45),"yyyy-mm-dd")&amp;"~"&amp;IF(ISNUMBER(INDEX(파견수련계획!$AC$4:$AC$203,$AK45)),TEXT(INDEX(파견수련계획!$AC$4:$AC$203,$AK45),"yyyy-mm-dd"),""))</f>
        <v/>
      </c>
    </row>
    <row r="46">
      <c r="A46" s="10">
        <f>IF(B46="","",ROW()-1)</f>
        <v/>
      </c>
      <c r="B46" s="18" t="n"/>
      <c r="C46" s="10">
        <f>IF($AB46="","",IF(INDEX(기본자료!$C$2:$C$501,$AB46)="","",INDEX(기본자료!$C$2:$C$501,$AB46)))</f>
        <v/>
      </c>
      <c r="D46" s="10">
        <f>IF($AB46="","",IF(INDEX(기본자료!$J$2:$J$501,$AB46)="","",INDEX(기본자료!$J$2:$J$501,$AB46)))</f>
        <v/>
      </c>
      <c r="E46" s="11">
        <f>IF($AB46="","",IF(INDEX(기본자료!$K$2:$K$501,$AB46)="","",IF(NOT(ISNUMBER(INDEX(기본자료!$K$2:$K$501,$AB46))),INDEX(기본자료!$K$2:$K$501,$AB46),IF(INDEX(기본자료!$K$2:$K$501,$AB46)&lt;1000000,INDEX(기본자료!$K$2:$K$501,$AB46),IF(AND(INDEX(기본자료!$K$2:$K$501,$AB46)&gt;=10000101,INT(MOD(INDEX(기본자료!$K$2:$K$501,$AB46),10000)/100)&gt;=1,INT(MOD(INDEX(기본자료!$K$2:$K$501,$AB46),10000)/100)&lt;=12,MOD(INDEX(기본자료!$K$2:$K$501,$AB46),100)&gt;=1,MOD(INDEX(기본자료!$K$2:$K$501,$AB46),100)&lt;=31),DATE(INT(INDEX(기본자료!$K$2:$K$501,$AB46)/10000),INT(MOD(INDEX(기본자료!$K$2:$K$501,$AB46),10000)/100),MOD(INDEX(기본자료!$K$2:$K$501,$AB46),100)),INDEX(기본자료!$K$2:$K$501,$AB46)&amp;"")))))</f>
        <v/>
      </c>
      <c r="F46" s="10">
        <f>IF($AB46="","",IF(INDEX(기본자료!$D$2:$D$501,$AB46)="","",INDEX(기본자료!$D$2:$D$501,$AB46)))</f>
        <v/>
      </c>
      <c r="G46" s="10">
        <f>IF($AB46="","",IF(INDEX(기본자료!$E$2:$E$501,$AB46)="","",INDEX(기본자료!$E$2:$E$501,$AB46)))</f>
        <v/>
      </c>
      <c r="H46" s="10">
        <f>IF($AB46="","",IF(INDEX(기본자료!$F$2:$F$501,$AB46)="","",INDEX(기본자료!$F$2:$F$501,$AB46)))</f>
        <v/>
      </c>
      <c r="I46" s="11">
        <f>IF($AB46="","",IF(INDEX(기본자료!$G$2:$G$501,$AB46)="","",IF(NOT(ISNUMBER(INDEX(기본자료!$G$2:$G$501,$AB46))),INDEX(기본자료!$G$2:$G$501,$AB46),IF(INDEX(기본자료!$G$2:$G$501,$AB46)&lt;1000000,INDEX(기본자료!$G$2:$G$501,$AB46),IF(AND(INDEX(기본자료!$G$2:$G$501,$AB46)&gt;=10000101,INT(MOD(INDEX(기본자료!$G$2:$G$501,$AB46),10000)/100)&gt;=1,INT(MOD(INDEX(기본자료!$G$2:$G$501,$AB46),10000)/100)&lt;=12,MOD(INDEX(기본자료!$G$2:$G$501,$AB46),100)&gt;=1,MOD(INDEX(기본자료!$G$2:$G$501,$AB46),100)&lt;=31),DATE(INT(INDEX(기본자료!$G$2:$G$501,$AB46)/10000),INT(MOD(INDEX(기본자료!$G$2:$G$501,$AB46),10000)/100),MOD(INDEX(기본자료!$G$2:$G$501,$AB46),100)),INDEX(기본자료!$G$2:$G$501,$AB46)&amp;"")))))</f>
        <v/>
      </c>
      <c r="J46" s="10">
        <f>IF($AB46="","",IF(INDEX(기본자료!$H$2:$H$501,$AB46)="","",INDEX(기본자료!$H$2:$H$501,$AB46)))</f>
        <v/>
      </c>
      <c r="K46" s="10">
        <f>IF($AB46="","",IF(INDEX(기본자료!$I$2:$I$501,$AB46)="","",INDEX(기본자료!$I$2:$I$501,$AB46)))</f>
        <v/>
      </c>
      <c r="L46" s="10">
        <f>IF($AB46="","",IF(INDEX(기본자료!$A$2:$A$501,$AB46)="","",INDEX(기본자료!$A$2:$A$501,$AB46)))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파견수련계획!$AB$4:$AB$203,$AK46),OR(NOT(ISNUMBER(INDEX(파견수련계획!$AC$4:$AC$203,$AK46))),TODAY()&lt;=INDEX(파견수련계획!$AC$4:$AC$203,$AK46))),"다기관",IF($AF46="","",INDEX(파견수련계획!$T$4:$T$203,$AF46))),IF($AF46="","",INDEX(파견수련계획!$T$4:$T$203,$AF46))))</f>
        <v/>
      </c>
      <c r="Q46" s="10">
        <f>IF($AF46="","",INDEX(파견수련계획!$S$4:$S$203,$AF46))</f>
        <v/>
      </c>
      <c r="R46" s="10">
        <f>IF($AF46="","",INDEX(파견수련계획!$U$4:$U$203,$AF46))</f>
        <v/>
      </c>
      <c r="S46" s="11">
        <f>IF($AF46="","",IF(INDEX(파견수련계획!$H$4:$H$203,$AF46)="","",INDEX(파견수련계획!$H$4:$H$203,$AF46)))</f>
        <v/>
      </c>
      <c r="T46" s="11">
        <f>IF($AF46="","",IF(INDEX(파견수련계획!$I$4:$I$203,$AF46)="","",INDEX(파견수련계획!$I$4:$I$203,$AF46)))</f>
        <v/>
      </c>
      <c r="U46" s="10">
        <f>IF($AF46="","",INDEX(파견수련계획!$X$4:$X$203,$AF46))</f>
        <v/>
      </c>
      <c r="V46" s="17">
        <f>IF($AF46="","",INDEX(파견수련계획!$V$4:$V$203,$AF46))</f>
        <v/>
      </c>
      <c r="W46" s="17">
        <f>IF(AND($U46="파견중",$T46&lt;&gt;""),$T46-TODAY(),"")</f>
        <v/>
      </c>
      <c r="X46" s="17">
        <f>IF(OR($B46="",TRIM($J46&amp;"")=""),"",SUMPRODUCT((파견수련계획!$Q$4:$Q$203=TRIM($J46&amp;""))*파견수련계획!$W$4:$W$203))</f>
        <v/>
      </c>
      <c r="Y46" s="10">
        <f>IF($B46="","",IF($AG46="","",IF(IF(TRIM($J46&amp;"")="",0,SUMPRODUCT((파견수련계획!$Q$4:$Q$203=TRIM($J46&amp;""))*파견수련계획!$AD$4:$AD$203))&gt;0,$AE46,IF(N($X46)&lt;=0,$AG46,IF($AH46+$AI46=DAY(EOMONTH(요약!$B$3,0)),IF(AND($AH46&gt;=요약!$E$3,$AI46&lt;요약!$E$3),"서울병원",IF(AND($AI46&gt;=요약!$E$3,$AH46&lt;요약!$E$3),"구리병원","⚠15일 판정불가(서울 "&amp;$AH46&amp;"일/구리 "&amp;$AI46&amp;"일)")),IF($AJ46="",$AE46,IF(INDEX(파견수련계획!$T$4:$T$203,$AJ46)="통합수련",INDEX(파견수련계획!$S$4:$S$203,$AJ46),$AE46)))))))</f>
        <v/>
      </c>
      <c r="Z46" s="19">
        <f>IF($B46="","",IF($AB46="","기본자료에 없는 사번",IF(COUNTIF($B$2:$B$201,$B46)&gt;1,"중복 사번",IF($AE46="","소속(입사장소) 입력",IF(IF(TRIM($J46&amp;"")="",0,SUMPRODUCT((파견수련계획!$Q$4:$Q$203=TRIM($J46&amp;""))*(파견수련계획!$AA$4:$AA$203&lt;&gt;"")))&gt;0,"파견수련계획 입력오류 확인",IF(LEFT($Y46,1)="⚠","서울·구리 15일 판정 불가(양쪽 모두 이상/미만)",IF(IF($AC46="",0,N(INDEX(인턴근무계획!$T$3:$T$202,$AC46)))&gt;0,"인턴계획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IF($B46="","",IFERROR(MATCH($B46,기본자료!$B$2:$B$501,0),IFERROR(MATCH($B46&amp;"",기본자료!$B$2:$B$501,0),IFERROR(MATCH(VALUE($B46),기본자료!$B$2:$B$501,0),""))))</f>
        <v/>
      </c>
      <c r="AC46" s="10">
        <f>IF($B46="","",IFERROR(MATCH($B46,인턴근무계획!$D$3:$D$202,0),IFERROR(MATCH($B46&amp;"",인턴근무계획!$D$3:$D$202,0),IFERROR(MATCH(VALUE($B46),인턴근무계획!$D$3:$D$202,0),""))))</f>
        <v/>
      </c>
      <c r="AD46" s="10">
        <f>IF(OR($AC46="",인턴현황!$G$3=""),"",INDEX(인턴근무계획!$M$3:$R$202,$AC46,인턴현황!$G$3)&amp;"")</f>
        <v/>
      </c>
      <c r="AE46" s="10">
        <f>IF($B46="","",IF($M46&lt;&gt;"",$M46,IF($AF46&lt;&gt;"",IF(LEFT(INDEX(파견수련계획!$R$4:$R$203,$AF46),1)&lt;&gt;"⚠",INDEX(파견수련계획!$R$4:$R$203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$203,0),IFERROR(MATCH(TRIM($J46&amp;"")&amp;"|파견예정",파견수련계획!$Y$4:$Y$203,0),IFERROR(MATCH(TRIM($J46&amp;"")&amp;"|파견종료",파견수련계획!$Y$4:$Y$203,0),""))))</f>
        <v/>
      </c>
      <c r="AG46" s="10">
        <f>IF($B46="","",IF(AND(IF(OR($AC46="",인턴현황!$K$2=""),"",INDEX(인턴근무계획!$M$3:$R$202,$AC46,인턴현황!$K$2)&amp;"")&lt;&gt;"",LEFT(IF(OR($AC46="",인턴현황!$K$2=""),"",INDEX(인턴근무계획!$M$3:$R$202,$AC46,인턴현황!$K$2)&amp;""),1)&lt;&gt;"⚠"),LEFT(IF(OR($AC46="",인턴현황!$K$2=""),"",INDEX(인턴근무계획!$M$3:$R$202,$AC46,인턴현황!$K$2)&amp;""),FIND(" ",IF(OR($AC46="",인턴현황!$K$2=""),"",INDEX(인턴근무계획!$M$3:$R$202,$AC46,인턴현황!$K$2)&amp;""))-1),$AE46))</f>
        <v/>
      </c>
      <c r="AH46" s="17">
        <f>IF($B46="","",IF(TRIM($J46&amp;"")="",0,SUMPRODUCT((파견수련계획!$Q$4:$Q$203=TRIM($J46&amp;""))*(파견수련계획!$S$4:$S$203="서울병원")*파견수련계획!$W$4:$W$203))+IF($AG46="서울병원",MAX(0,DAY(EOMONTH(요약!$B$3,0))-N($X46)),0))</f>
        <v/>
      </c>
      <c r="AI46" s="17">
        <f>IF($B46="","",IF(TRIM($J46&amp;"")="",0,SUMPRODUCT((파견수련계획!$Q$4:$Q$203=TRIM($J46&amp;""))*(파견수련계획!$S$4:$S$203="구리병원")*파견수련계획!$W$4:$W$203))+IF($AG46="구리병원",MAX(0,DAY(EOMONTH(요약!$B$3,0))-N($X46)),0))</f>
        <v/>
      </c>
      <c r="AJ46" s="10">
        <f>IF(OR($B46="",TRIM($J46&amp;"")=""),"",IFERROR(MATCH(TRIM($J46&amp;"")&amp;"|월",파견수련계획!$Z$4:$Z$203,0),""))</f>
        <v/>
      </c>
      <c r="AK46" s="10">
        <f>IF(OR($B46="",TRIM($J46&amp;"")=""),"",IFERROR(MATCH(TRIM($J46&amp;"")&amp;"|다기관",파견수련계획!$AE$4:$AE$203,0),""))</f>
        <v/>
      </c>
      <c r="AL46" s="10">
        <f>IF($AK46="","","다기관 "&amp;TEXT(INDEX(파견수련계획!$AB$4:$AB$203,$AK46),"yyyy-mm-dd")&amp;"~"&amp;IF(ISNUMBER(INDEX(파견수련계획!$AC$4:$AC$203,$AK46)),TEXT(INDEX(파견수련계획!$AC$4:$AC$203,$AK46),"yyyy-mm-dd"),""))</f>
        <v/>
      </c>
    </row>
    <row r="47">
      <c r="A47" s="10">
        <f>IF(B47="","",ROW()-1)</f>
        <v/>
      </c>
      <c r="B47" s="18" t="n"/>
      <c r="C47" s="10">
        <f>IF($AB47="","",IF(INDEX(기본자료!$C$2:$C$501,$AB47)="","",INDEX(기본자료!$C$2:$C$501,$AB47)))</f>
        <v/>
      </c>
      <c r="D47" s="10">
        <f>IF($AB47="","",IF(INDEX(기본자료!$J$2:$J$501,$AB47)="","",INDEX(기본자료!$J$2:$J$501,$AB47)))</f>
        <v/>
      </c>
      <c r="E47" s="11">
        <f>IF($AB47="","",IF(INDEX(기본자료!$K$2:$K$501,$AB47)="","",IF(NOT(ISNUMBER(INDEX(기본자료!$K$2:$K$501,$AB47))),INDEX(기본자료!$K$2:$K$501,$AB47),IF(INDEX(기본자료!$K$2:$K$501,$AB47)&lt;1000000,INDEX(기본자료!$K$2:$K$501,$AB47),IF(AND(INDEX(기본자료!$K$2:$K$501,$AB47)&gt;=10000101,INT(MOD(INDEX(기본자료!$K$2:$K$501,$AB47),10000)/100)&gt;=1,INT(MOD(INDEX(기본자료!$K$2:$K$501,$AB47),10000)/100)&lt;=12,MOD(INDEX(기본자료!$K$2:$K$501,$AB47),100)&gt;=1,MOD(INDEX(기본자료!$K$2:$K$501,$AB47),100)&lt;=31),DATE(INT(INDEX(기본자료!$K$2:$K$501,$AB47)/10000),INT(MOD(INDEX(기본자료!$K$2:$K$501,$AB47),10000)/100),MOD(INDEX(기본자료!$K$2:$K$501,$AB47),100)),INDEX(기본자료!$K$2:$K$501,$AB47)&amp;"")))))</f>
        <v/>
      </c>
      <c r="F47" s="10">
        <f>IF($AB47="","",IF(INDEX(기본자료!$D$2:$D$501,$AB47)="","",INDEX(기본자료!$D$2:$D$501,$AB47)))</f>
        <v/>
      </c>
      <c r="G47" s="10">
        <f>IF($AB47="","",IF(INDEX(기본자료!$E$2:$E$501,$AB47)="","",INDEX(기본자료!$E$2:$E$501,$AB47)))</f>
        <v/>
      </c>
      <c r="H47" s="10">
        <f>IF($AB47="","",IF(INDEX(기본자료!$F$2:$F$501,$AB47)="","",INDEX(기본자료!$F$2:$F$501,$AB47)))</f>
        <v/>
      </c>
      <c r="I47" s="11">
        <f>IF($AB47="","",IF(INDEX(기본자료!$G$2:$G$501,$AB47)="","",IF(NOT(ISNUMBER(INDEX(기본자료!$G$2:$G$501,$AB47))),INDEX(기본자료!$G$2:$G$501,$AB47),IF(INDEX(기본자료!$G$2:$G$501,$AB47)&lt;1000000,INDEX(기본자료!$G$2:$G$501,$AB47),IF(AND(INDEX(기본자료!$G$2:$G$501,$AB47)&gt;=10000101,INT(MOD(INDEX(기본자료!$G$2:$G$501,$AB47),10000)/100)&gt;=1,INT(MOD(INDEX(기본자료!$G$2:$G$501,$AB47),10000)/100)&lt;=12,MOD(INDEX(기본자료!$G$2:$G$501,$AB47),100)&gt;=1,MOD(INDEX(기본자료!$G$2:$G$501,$AB47),100)&lt;=31),DATE(INT(INDEX(기본자료!$G$2:$G$501,$AB47)/10000),INT(MOD(INDEX(기본자료!$G$2:$G$501,$AB47),10000)/100),MOD(INDEX(기본자료!$G$2:$G$501,$AB47),100)),INDEX(기본자료!$G$2:$G$501,$AB47)&amp;"")))))</f>
        <v/>
      </c>
      <c r="J47" s="10">
        <f>IF($AB47="","",IF(INDEX(기본자료!$H$2:$H$501,$AB47)="","",INDEX(기본자료!$H$2:$H$501,$AB47)))</f>
        <v/>
      </c>
      <c r="K47" s="10">
        <f>IF($AB47="","",IF(INDEX(기본자료!$I$2:$I$501,$AB47)="","",INDEX(기본자료!$I$2:$I$501,$AB47)))</f>
        <v/>
      </c>
      <c r="L47" s="10">
        <f>IF($AB47="","",IF(INDEX(기본자료!$A$2:$A$501,$AB47)="","",INDEX(기본자료!$A$2:$A$501,$AB47)))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파견수련계획!$AB$4:$AB$203,$AK47),OR(NOT(ISNUMBER(INDEX(파견수련계획!$AC$4:$AC$203,$AK47))),TODAY()&lt;=INDEX(파견수련계획!$AC$4:$AC$203,$AK47))),"다기관",IF($AF47="","",INDEX(파견수련계획!$T$4:$T$203,$AF47))),IF($AF47="","",INDEX(파견수련계획!$T$4:$T$203,$AF47))))</f>
        <v/>
      </c>
      <c r="Q47" s="10">
        <f>IF($AF47="","",INDEX(파견수련계획!$S$4:$S$203,$AF47))</f>
        <v/>
      </c>
      <c r="R47" s="10">
        <f>IF($AF47="","",INDEX(파견수련계획!$U$4:$U$203,$AF47))</f>
        <v/>
      </c>
      <c r="S47" s="11">
        <f>IF($AF47="","",IF(INDEX(파견수련계획!$H$4:$H$203,$AF47)="","",INDEX(파견수련계획!$H$4:$H$203,$AF47)))</f>
        <v/>
      </c>
      <c r="T47" s="11">
        <f>IF($AF47="","",IF(INDEX(파견수련계획!$I$4:$I$203,$AF47)="","",INDEX(파견수련계획!$I$4:$I$203,$AF47)))</f>
        <v/>
      </c>
      <c r="U47" s="10">
        <f>IF($AF47="","",INDEX(파견수련계획!$X$4:$X$203,$AF47))</f>
        <v/>
      </c>
      <c r="V47" s="17">
        <f>IF($AF47="","",INDEX(파견수련계획!$V$4:$V$203,$AF47))</f>
        <v/>
      </c>
      <c r="W47" s="17">
        <f>IF(AND($U47="파견중",$T47&lt;&gt;""),$T47-TODAY(),"")</f>
        <v/>
      </c>
      <c r="X47" s="17">
        <f>IF(OR($B47="",TRIM($J47&amp;"")=""),"",SUMPRODUCT((파견수련계획!$Q$4:$Q$203=TRIM($J47&amp;""))*파견수련계획!$W$4:$W$203))</f>
        <v/>
      </c>
      <c r="Y47" s="10">
        <f>IF($B47="","",IF($AG47="","",IF(IF(TRIM($J47&amp;"")="",0,SUMPRODUCT((파견수련계획!$Q$4:$Q$203=TRIM($J47&amp;""))*파견수련계획!$AD$4:$AD$203))&gt;0,$AE47,IF(N($X47)&lt;=0,$AG47,IF($AH47+$AI47=DAY(EOMONTH(요약!$B$3,0)),IF(AND($AH47&gt;=요약!$E$3,$AI47&lt;요약!$E$3),"서울병원",IF(AND($AI47&gt;=요약!$E$3,$AH47&lt;요약!$E$3),"구리병원","⚠15일 판정불가(서울 "&amp;$AH47&amp;"일/구리 "&amp;$AI47&amp;"일)")),IF($AJ47="",$AE47,IF(INDEX(파견수련계획!$T$4:$T$203,$AJ47)="통합수련",INDEX(파견수련계획!$S$4:$S$203,$AJ47),$AE47)))))))</f>
        <v/>
      </c>
      <c r="Z47" s="19">
        <f>IF($B47="","",IF($AB47="","기본자료에 없는 사번",IF(COUNTIF($B$2:$B$201,$B47)&gt;1,"중복 사번",IF($AE47="","소속(입사장소) 입력",IF(IF(TRIM($J47&amp;"")="",0,SUMPRODUCT((파견수련계획!$Q$4:$Q$203=TRIM($J47&amp;""))*(파견수련계획!$AA$4:$AA$203&lt;&gt;"")))&gt;0,"파견수련계획 입력오류 확인",IF(LEFT($Y47,1)="⚠","서울·구리 15일 판정 불가(양쪽 모두 이상/미만)",IF(IF($AC47="",0,N(INDEX(인턴근무계획!$T$3:$T$202,$AC47)))&gt;0,"인턴계획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IF($B47="","",IFERROR(MATCH($B47,기본자료!$B$2:$B$501,0),IFERROR(MATCH($B47&amp;"",기본자료!$B$2:$B$501,0),IFERROR(MATCH(VALUE($B47),기본자료!$B$2:$B$501,0),""))))</f>
        <v/>
      </c>
      <c r="AC47" s="10">
        <f>IF($B47="","",IFERROR(MATCH($B47,인턴근무계획!$D$3:$D$202,0),IFERROR(MATCH($B47&amp;"",인턴근무계획!$D$3:$D$202,0),IFERROR(MATCH(VALUE($B47),인턴근무계획!$D$3:$D$202,0),""))))</f>
        <v/>
      </c>
      <c r="AD47" s="10">
        <f>IF(OR($AC47="",인턴현황!$G$3=""),"",INDEX(인턴근무계획!$M$3:$R$202,$AC47,인턴현황!$G$3)&amp;"")</f>
        <v/>
      </c>
      <c r="AE47" s="10">
        <f>IF($B47="","",IF($M47&lt;&gt;"",$M47,IF($AF47&lt;&gt;"",IF(LEFT(INDEX(파견수련계획!$R$4:$R$203,$AF47),1)&lt;&gt;"⚠",INDEX(파견수련계획!$R$4:$R$203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$203,0),IFERROR(MATCH(TRIM($J47&amp;"")&amp;"|파견예정",파견수련계획!$Y$4:$Y$203,0),IFERROR(MATCH(TRIM($J47&amp;"")&amp;"|파견종료",파견수련계획!$Y$4:$Y$203,0),""))))</f>
        <v/>
      </c>
      <c r="AG47" s="10">
        <f>IF($B47="","",IF(AND(IF(OR($AC47="",인턴현황!$K$2=""),"",INDEX(인턴근무계획!$M$3:$R$202,$AC47,인턴현황!$K$2)&amp;"")&lt;&gt;"",LEFT(IF(OR($AC47="",인턴현황!$K$2=""),"",INDEX(인턴근무계획!$M$3:$R$202,$AC47,인턴현황!$K$2)&amp;""),1)&lt;&gt;"⚠"),LEFT(IF(OR($AC47="",인턴현황!$K$2=""),"",INDEX(인턴근무계획!$M$3:$R$202,$AC47,인턴현황!$K$2)&amp;""),FIND(" ",IF(OR($AC47="",인턴현황!$K$2=""),"",INDEX(인턴근무계획!$M$3:$R$202,$AC47,인턴현황!$K$2)&amp;""))-1),$AE47))</f>
        <v/>
      </c>
      <c r="AH47" s="17">
        <f>IF($B47="","",IF(TRIM($J47&amp;"")="",0,SUMPRODUCT((파견수련계획!$Q$4:$Q$203=TRIM($J47&amp;""))*(파견수련계획!$S$4:$S$203="서울병원")*파견수련계획!$W$4:$W$203))+IF($AG47="서울병원",MAX(0,DAY(EOMONTH(요약!$B$3,0))-N($X47)),0))</f>
        <v/>
      </c>
      <c r="AI47" s="17">
        <f>IF($B47="","",IF(TRIM($J47&amp;"")="",0,SUMPRODUCT((파견수련계획!$Q$4:$Q$203=TRIM($J47&amp;""))*(파견수련계획!$S$4:$S$203="구리병원")*파견수련계획!$W$4:$W$203))+IF($AG47="구리병원",MAX(0,DAY(EOMONTH(요약!$B$3,0))-N($X47)),0))</f>
        <v/>
      </c>
      <c r="AJ47" s="10">
        <f>IF(OR($B47="",TRIM($J47&amp;"")=""),"",IFERROR(MATCH(TRIM($J47&amp;"")&amp;"|월",파견수련계획!$Z$4:$Z$203,0),""))</f>
        <v/>
      </c>
      <c r="AK47" s="10">
        <f>IF(OR($B47="",TRIM($J47&amp;"")=""),"",IFERROR(MATCH(TRIM($J47&amp;"")&amp;"|다기관",파견수련계획!$AE$4:$AE$203,0),""))</f>
        <v/>
      </c>
      <c r="AL47" s="10">
        <f>IF($AK47="","","다기관 "&amp;TEXT(INDEX(파견수련계획!$AB$4:$AB$203,$AK47),"yyyy-mm-dd")&amp;"~"&amp;IF(ISNUMBER(INDEX(파견수련계획!$AC$4:$AC$203,$AK47)),TEXT(INDEX(파견수련계획!$AC$4:$AC$203,$AK47),"yyyy-mm-dd"),""))</f>
        <v/>
      </c>
    </row>
    <row r="48">
      <c r="A48" s="10">
        <f>IF(B48="","",ROW()-1)</f>
        <v/>
      </c>
      <c r="B48" s="18" t="n"/>
      <c r="C48" s="10">
        <f>IF($AB48="","",IF(INDEX(기본자료!$C$2:$C$501,$AB48)="","",INDEX(기본자료!$C$2:$C$501,$AB48)))</f>
        <v/>
      </c>
      <c r="D48" s="10">
        <f>IF($AB48="","",IF(INDEX(기본자료!$J$2:$J$501,$AB48)="","",INDEX(기본자료!$J$2:$J$501,$AB48)))</f>
        <v/>
      </c>
      <c r="E48" s="11">
        <f>IF($AB48="","",IF(INDEX(기본자료!$K$2:$K$501,$AB48)="","",IF(NOT(ISNUMBER(INDEX(기본자료!$K$2:$K$501,$AB48))),INDEX(기본자료!$K$2:$K$501,$AB48),IF(INDEX(기본자료!$K$2:$K$501,$AB48)&lt;1000000,INDEX(기본자료!$K$2:$K$501,$AB48),IF(AND(INDEX(기본자료!$K$2:$K$501,$AB48)&gt;=10000101,INT(MOD(INDEX(기본자료!$K$2:$K$501,$AB48),10000)/100)&gt;=1,INT(MOD(INDEX(기본자료!$K$2:$K$501,$AB48),10000)/100)&lt;=12,MOD(INDEX(기본자료!$K$2:$K$501,$AB48),100)&gt;=1,MOD(INDEX(기본자료!$K$2:$K$501,$AB48),100)&lt;=31),DATE(INT(INDEX(기본자료!$K$2:$K$501,$AB48)/10000),INT(MOD(INDEX(기본자료!$K$2:$K$501,$AB48),10000)/100),MOD(INDEX(기본자료!$K$2:$K$501,$AB48),100)),INDEX(기본자료!$K$2:$K$501,$AB48)&amp;"")))))</f>
        <v/>
      </c>
      <c r="F48" s="10">
        <f>IF($AB48="","",IF(INDEX(기본자료!$D$2:$D$501,$AB48)="","",INDEX(기본자료!$D$2:$D$501,$AB48)))</f>
        <v/>
      </c>
      <c r="G48" s="10">
        <f>IF($AB48="","",IF(INDEX(기본자료!$E$2:$E$501,$AB48)="","",INDEX(기본자료!$E$2:$E$501,$AB48)))</f>
        <v/>
      </c>
      <c r="H48" s="10">
        <f>IF($AB48="","",IF(INDEX(기본자료!$F$2:$F$501,$AB48)="","",INDEX(기본자료!$F$2:$F$501,$AB48)))</f>
        <v/>
      </c>
      <c r="I48" s="11">
        <f>IF($AB48="","",IF(INDEX(기본자료!$G$2:$G$501,$AB48)="","",IF(NOT(ISNUMBER(INDEX(기본자료!$G$2:$G$501,$AB48))),INDEX(기본자료!$G$2:$G$501,$AB48),IF(INDEX(기본자료!$G$2:$G$501,$AB48)&lt;1000000,INDEX(기본자료!$G$2:$G$501,$AB48),IF(AND(INDEX(기본자료!$G$2:$G$501,$AB48)&gt;=10000101,INT(MOD(INDEX(기본자료!$G$2:$G$501,$AB48),10000)/100)&gt;=1,INT(MOD(INDEX(기본자료!$G$2:$G$501,$AB48),10000)/100)&lt;=12,MOD(INDEX(기본자료!$G$2:$G$501,$AB48),100)&gt;=1,MOD(INDEX(기본자료!$G$2:$G$501,$AB48),100)&lt;=31),DATE(INT(INDEX(기본자료!$G$2:$G$501,$AB48)/10000),INT(MOD(INDEX(기본자료!$G$2:$G$501,$AB48),10000)/100),MOD(INDEX(기본자료!$G$2:$G$501,$AB48),100)),INDEX(기본자료!$G$2:$G$501,$AB48)&amp;"")))))</f>
        <v/>
      </c>
      <c r="J48" s="10">
        <f>IF($AB48="","",IF(INDEX(기본자료!$H$2:$H$501,$AB48)="","",INDEX(기본자료!$H$2:$H$501,$AB48)))</f>
        <v/>
      </c>
      <c r="K48" s="10">
        <f>IF($AB48="","",IF(INDEX(기본자료!$I$2:$I$501,$AB48)="","",INDEX(기본자료!$I$2:$I$501,$AB48)))</f>
        <v/>
      </c>
      <c r="L48" s="10">
        <f>IF($AB48="","",IF(INDEX(기본자료!$A$2:$A$501,$AB48)="","",INDEX(기본자료!$A$2:$A$501,$AB48)))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파견수련계획!$AB$4:$AB$203,$AK48),OR(NOT(ISNUMBER(INDEX(파견수련계획!$AC$4:$AC$203,$AK48))),TODAY()&lt;=INDEX(파견수련계획!$AC$4:$AC$203,$AK48))),"다기관",IF($AF48="","",INDEX(파견수련계획!$T$4:$T$203,$AF48))),IF($AF48="","",INDEX(파견수련계획!$T$4:$T$203,$AF48))))</f>
        <v/>
      </c>
      <c r="Q48" s="10">
        <f>IF($AF48="","",INDEX(파견수련계획!$S$4:$S$203,$AF48))</f>
        <v/>
      </c>
      <c r="R48" s="10">
        <f>IF($AF48="","",INDEX(파견수련계획!$U$4:$U$203,$AF48))</f>
        <v/>
      </c>
      <c r="S48" s="11">
        <f>IF($AF48="","",IF(INDEX(파견수련계획!$H$4:$H$203,$AF48)="","",INDEX(파견수련계획!$H$4:$H$203,$AF48)))</f>
        <v/>
      </c>
      <c r="T48" s="11">
        <f>IF($AF48="","",IF(INDEX(파견수련계획!$I$4:$I$203,$AF48)="","",INDEX(파견수련계획!$I$4:$I$203,$AF48)))</f>
        <v/>
      </c>
      <c r="U48" s="10">
        <f>IF($AF48="","",INDEX(파견수련계획!$X$4:$X$203,$AF48))</f>
        <v/>
      </c>
      <c r="V48" s="17">
        <f>IF($AF48="","",INDEX(파견수련계획!$V$4:$V$203,$AF48))</f>
        <v/>
      </c>
      <c r="W48" s="17">
        <f>IF(AND($U48="파견중",$T48&lt;&gt;""),$T48-TODAY(),"")</f>
        <v/>
      </c>
      <c r="X48" s="17">
        <f>IF(OR($B48="",TRIM($J48&amp;"")=""),"",SUMPRODUCT((파견수련계획!$Q$4:$Q$203=TRIM($J48&amp;""))*파견수련계획!$W$4:$W$203))</f>
        <v/>
      </c>
      <c r="Y48" s="10">
        <f>IF($B48="","",IF($AG48="","",IF(IF(TRIM($J48&amp;"")="",0,SUMPRODUCT((파견수련계획!$Q$4:$Q$203=TRIM($J48&amp;""))*파견수련계획!$AD$4:$AD$203))&gt;0,$AE48,IF(N($X48)&lt;=0,$AG48,IF($AH48+$AI48=DAY(EOMONTH(요약!$B$3,0)),IF(AND($AH48&gt;=요약!$E$3,$AI48&lt;요약!$E$3),"서울병원",IF(AND($AI48&gt;=요약!$E$3,$AH48&lt;요약!$E$3),"구리병원","⚠15일 판정불가(서울 "&amp;$AH48&amp;"일/구리 "&amp;$AI48&amp;"일)")),IF($AJ48="",$AE48,IF(INDEX(파견수련계획!$T$4:$T$203,$AJ48)="통합수련",INDEX(파견수련계획!$S$4:$S$203,$AJ48),$AE48)))))))</f>
        <v/>
      </c>
      <c r="Z48" s="19">
        <f>IF($B48="","",IF($AB48="","기본자료에 없는 사번",IF(COUNTIF($B$2:$B$201,$B48)&gt;1,"중복 사번",IF($AE48="","소속(입사장소) 입력",IF(IF(TRIM($J48&amp;"")="",0,SUMPRODUCT((파견수련계획!$Q$4:$Q$203=TRIM($J48&amp;""))*(파견수련계획!$AA$4:$AA$203&lt;&gt;"")))&gt;0,"파견수련계획 입력오류 확인",IF(LEFT($Y48,1)="⚠","서울·구리 15일 판정 불가(양쪽 모두 이상/미만)",IF(IF($AC48="",0,N(INDEX(인턴근무계획!$T$3:$T$202,$AC48)))&gt;0,"인턴계획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IF($B48="","",IFERROR(MATCH($B48,기본자료!$B$2:$B$501,0),IFERROR(MATCH($B48&amp;"",기본자료!$B$2:$B$501,0),IFERROR(MATCH(VALUE($B48),기본자료!$B$2:$B$501,0),""))))</f>
        <v/>
      </c>
      <c r="AC48" s="10">
        <f>IF($B48="","",IFERROR(MATCH($B48,인턴근무계획!$D$3:$D$202,0),IFERROR(MATCH($B48&amp;"",인턴근무계획!$D$3:$D$202,0),IFERROR(MATCH(VALUE($B48),인턴근무계획!$D$3:$D$202,0),""))))</f>
        <v/>
      </c>
      <c r="AD48" s="10">
        <f>IF(OR($AC48="",인턴현황!$G$3=""),"",INDEX(인턴근무계획!$M$3:$R$202,$AC48,인턴현황!$G$3)&amp;"")</f>
        <v/>
      </c>
      <c r="AE48" s="10">
        <f>IF($B48="","",IF($M48&lt;&gt;"",$M48,IF($AF48&lt;&gt;"",IF(LEFT(INDEX(파견수련계획!$R$4:$R$203,$AF48),1)&lt;&gt;"⚠",INDEX(파견수련계획!$R$4:$R$203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$203,0),IFERROR(MATCH(TRIM($J48&amp;"")&amp;"|파견예정",파견수련계획!$Y$4:$Y$203,0),IFERROR(MATCH(TRIM($J48&amp;"")&amp;"|파견종료",파견수련계획!$Y$4:$Y$203,0),""))))</f>
        <v/>
      </c>
      <c r="AG48" s="10">
        <f>IF($B48="","",IF(AND(IF(OR($AC48="",인턴현황!$K$2=""),"",INDEX(인턴근무계획!$M$3:$R$202,$AC48,인턴현황!$K$2)&amp;"")&lt;&gt;"",LEFT(IF(OR($AC48="",인턴현황!$K$2=""),"",INDEX(인턴근무계획!$M$3:$R$202,$AC48,인턴현황!$K$2)&amp;""),1)&lt;&gt;"⚠"),LEFT(IF(OR($AC48="",인턴현황!$K$2=""),"",INDEX(인턴근무계획!$M$3:$R$202,$AC48,인턴현황!$K$2)&amp;""),FIND(" ",IF(OR($AC48="",인턴현황!$K$2=""),"",INDEX(인턴근무계획!$M$3:$R$202,$AC48,인턴현황!$K$2)&amp;""))-1),$AE48))</f>
        <v/>
      </c>
      <c r="AH48" s="17">
        <f>IF($B48="","",IF(TRIM($J48&amp;"")="",0,SUMPRODUCT((파견수련계획!$Q$4:$Q$203=TRIM($J48&amp;""))*(파견수련계획!$S$4:$S$203="서울병원")*파견수련계획!$W$4:$W$203))+IF($AG48="서울병원",MAX(0,DAY(EOMONTH(요약!$B$3,0))-N($X48)),0))</f>
        <v/>
      </c>
      <c r="AI48" s="17">
        <f>IF($B48="","",IF(TRIM($J48&amp;"")="",0,SUMPRODUCT((파견수련계획!$Q$4:$Q$203=TRIM($J48&amp;""))*(파견수련계획!$S$4:$S$203="구리병원")*파견수련계획!$W$4:$W$203))+IF($AG48="구리병원",MAX(0,DAY(EOMONTH(요약!$B$3,0))-N($X48)),0))</f>
        <v/>
      </c>
      <c r="AJ48" s="10">
        <f>IF(OR($B48="",TRIM($J48&amp;"")=""),"",IFERROR(MATCH(TRIM($J48&amp;"")&amp;"|월",파견수련계획!$Z$4:$Z$203,0),""))</f>
        <v/>
      </c>
      <c r="AK48" s="10">
        <f>IF(OR($B48="",TRIM($J48&amp;"")=""),"",IFERROR(MATCH(TRIM($J48&amp;"")&amp;"|다기관",파견수련계획!$AE$4:$AE$203,0),""))</f>
        <v/>
      </c>
      <c r="AL48" s="10">
        <f>IF($AK48="","","다기관 "&amp;TEXT(INDEX(파견수련계획!$AB$4:$AB$203,$AK48),"yyyy-mm-dd")&amp;"~"&amp;IF(ISNUMBER(INDEX(파견수련계획!$AC$4:$AC$203,$AK48)),TEXT(INDEX(파견수련계획!$AC$4:$AC$203,$AK48),"yyyy-mm-dd"),""))</f>
        <v/>
      </c>
    </row>
    <row r="49">
      <c r="A49" s="10">
        <f>IF(B49="","",ROW()-1)</f>
        <v/>
      </c>
      <c r="B49" s="18" t="n"/>
      <c r="C49" s="10">
        <f>IF($AB49="","",IF(INDEX(기본자료!$C$2:$C$501,$AB49)="","",INDEX(기본자료!$C$2:$C$501,$AB49)))</f>
        <v/>
      </c>
      <c r="D49" s="10">
        <f>IF($AB49="","",IF(INDEX(기본자료!$J$2:$J$501,$AB49)="","",INDEX(기본자료!$J$2:$J$501,$AB49)))</f>
        <v/>
      </c>
      <c r="E49" s="11">
        <f>IF($AB49="","",IF(INDEX(기본자료!$K$2:$K$501,$AB49)="","",IF(NOT(ISNUMBER(INDEX(기본자료!$K$2:$K$501,$AB49))),INDEX(기본자료!$K$2:$K$501,$AB49),IF(INDEX(기본자료!$K$2:$K$501,$AB49)&lt;1000000,INDEX(기본자료!$K$2:$K$501,$AB49),IF(AND(INDEX(기본자료!$K$2:$K$501,$AB49)&gt;=10000101,INT(MOD(INDEX(기본자료!$K$2:$K$501,$AB49),10000)/100)&gt;=1,INT(MOD(INDEX(기본자료!$K$2:$K$501,$AB49),10000)/100)&lt;=12,MOD(INDEX(기본자료!$K$2:$K$501,$AB49),100)&gt;=1,MOD(INDEX(기본자료!$K$2:$K$501,$AB49),100)&lt;=31),DATE(INT(INDEX(기본자료!$K$2:$K$501,$AB49)/10000),INT(MOD(INDEX(기본자료!$K$2:$K$501,$AB49),10000)/100),MOD(INDEX(기본자료!$K$2:$K$501,$AB49),100)),INDEX(기본자료!$K$2:$K$501,$AB49)&amp;"")))))</f>
        <v/>
      </c>
      <c r="F49" s="10">
        <f>IF($AB49="","",IF(INDEX(기본자료!$D$2:$D$501,$AB49)="","",INDEX(기본자료!$D$2:$D$501,$AB49)))</f>
        <v/>
      </c>
      <c r="G49" s="10">
        <f>IF($AB49="","",IF(INDEX(기본자료!$E$2:$E$501,$AB49)="","",INDEX(기본자료!$E$2:$E$501,$AB49)))</f>
        <v/>
      </c>
      <c r="H49" s="10">
        <f>IF($AB49="","",IF(INDEX(기본자료!$F$2:$F$501,$AB49)="","",INDEX(기본자료!$F$2:$F$501,$AB49)))</f>
        <v/>
      </c>
      <c r="I49" s="11">
        <f>IF($AB49="","",IF(INDEX(기본자료!$G$2:$G$501,$AB49)="","",IF(NOT(ISNUMBER(INDEX(기본자료!$G$2:$G$501,$AB49))),INDEX(기본자료!$G$2:$G$501,$AB49),IF(INDEX(기본자료!$G$2:$G$501,$AB49)&lt;1000000,INDEX(기본자료!$G$2:$G$501,$AB49),IF(AND(INDEX(기본자료!$G$2:$G$501,$AB49)&gt;=10000101,INT(MOD(INDEX(기본자료!$G$2:$G$501,$AB49),10000)/100)&gt;=1,INT(MOD(INDEX(기본자료!$G$2:$G$501,$AB49),10000)/100)&lt;=12,MOD(INDEX(기본자료!$G$2:$G$501,$AB49),100)&gt;=1,MOD(INDEX(기본자료!$G$2:$G$501,$AB49),100)&lt;=31),DATE(INT(INDEX(기본자료!$G$2:$G$501,$AB49)/10000),INT(MOD(INDEX(기본자료!$G$2:$G$501,$AB49),10000)/100),MOD(INDEX(기본자료!$G$2:$G$501,$AB49),100)),INDEX(기본자료!$G$2:$G$501,$AB49)&amp;"")))))</f>
        <v/>
      </c>
      <c r="J49" s="10">
        <f>IF($AB49="","",IF(INDEX(기본자료!$H$2:$H$501,$AB49)="","",INDEX(기본자료!$H$2:$H$501,$AB49)))</f>
        <v/>
      </c>
      <c r="K49" s="10">
        <f>IF($AB49="","",IF(INDEX(기본자료!$I$2:$I$501,$AB49)="","",INDEX(기본자료!$I$2:$I$501,$AB49)))</f>
        <v/>
      </c>
      <c r="L49" s="10">
        <f>IF($AB49="","",IF(INDEX(기본자료!$A$2:$A$501,$AB49)="","",INDEX(기본자료!$A$2:$A$501,$AB49)))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파견수련계획!$AB$4:$AB$203,$AK49),OR(NOT(ISNUMBER(INDEX(파견수련계획!$AC$4:$AC$203,$AK49))),TODAY()&lt;=INDEX(파견수련계획!$AC$4:$AC$203,$AK49))),"다기관",IF($AF49="","",INDEX(파견수련계획!$T$4:$T$203,$AF49))),IF($AF49="","",INDEX(파견수련계획!$T$4:$T$203,$AF49))))</f>
        <v/>
      </c>
      <c r="Q49" s="10">
        <f>IF($AF49="","",INDEX(파견수련계획!$S$4:$S$203,$AF49))</f>
        <v/>
      </c>
      <c r="R49" s="10">
        <f>IF($AF49="","",INDEX(파견수련계획!$U$4:$U$203,$AF49))</f>
        <v/>
      </c>
      <c r="S49" s="11">
        <f>IF($AF49="","",IF(INDEX(파견수련계획!$H$4:$H$203,$AF49)="","",INDEX(파견수련계획!$H$4:$H$203,$AF49)))</f>
        <v/>
      </c>
      <c r="T49" s="11">
        <f>IF($AF49="","",IF(INDEX(파견수련계획!$I$4:$I$203,$AF49)="","",INDEX(파견수련계획!$I$4:$I$203,$AF49)))</f>
        <v/>
      </c>
      <c r="U49" s="10">
        <f>IF($AF49="","",INDEX(파견수련계획!$X$4:$X$203,$AF49))</f>
        <v/>
      </c>
      <c r="V49" s="17">
        <f>IF($AF49="","",INDEX(파견수련계획!$V$4:$V$203,$AF49))</f>
        <v/>
      </c>
      <c r="W49" s="17">
        <f>IF(AND($U49="파견중",$T49&lt;&gt;""),$T49-TODAY(),"")</f>
        <v/>
      </c>
      <c r="X49" s="17">
        <f>IF(OR($B49="",TRIM($J49&amp;"")=""),"",SUMPRODUCT((파견수련계획!$Q$4:$Q$203=TRIM($J49&amp;""))*파견수련계획!$W$4:$W$203))</f>
        <v/>
      </c>
      <c r="Y49" s="10">
        <f>IF($B49="","",IF($AG49="","",IF(IF(TRIM($J49&amp;"")="",0,SUMPRODUCT((파견수련계획!$Q$4:$Q$203=TRIM($J49&amp;""))*파견수련계획!$AD$4:$AD$203))&gt;0,$AE49,IF(N($X49)&lt;=0,$AG49,IF($AH49+$AI49=DAY(EOMONTH(요약!$B$3,0)),IF(AND($AH49&gt;=요약!$E$3,$AI49&lt;요약!$E$3),"서울병원",IF(AND($AI49&gt;=요약!$E$3,$AH49&lt;요약!$E$3),"구리병원","⚠15일 판정불가(서울 "&amp;$AH49&amp;"일/구리 "&amp;$AI49&amp;"일)")),IF($AJ49="",$AE49,IF(INDEX(파견수련계획!$T$4:$T$203,$AJ49)="통합수련",INDEX(파견수련계획!$S$4:$S$203,$AJ49),$AE49)))))))</f>
        <v/>
      </c>
      <c r="Z49" s="19">
        <f>IF($B49="","",IF($AB49="","기본자료에 없는 사번",IF(COUNTIF($B$2:$B$201,$B49)&gt;1,"중복 사번",IF($AE49="","소속(입사장소) 입력",IF(IF(TRIM($J49&amp;"")="",0,SUMPRODUCT((파견수련계획!$Q$4:$Q$203=TRIM($J49&amp;""))*(파견수련계획!$AA$4:$AA$203&lt;&gt;"")))&gt;0,"파견수련계획 입력오류 확인",IF(LEFT($Y49,1)="⚠","서울·구리 15일 판정 불가(양쪽 모두 이상/미만)",IF(IF($AC49="",0,N(INDEX(인턴근무계획!$T$3:$T$202,$AC49)))&gt;0,"인턴계획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IF($B49="","",IFERROR(MATCH($B49,기본자료!$B$2:$B$501,0),IFERROR(MATCH($B49&amp;"",기본자료!$B$2:$B$501,0),IFERROR(MATCH(VALUE($B49),기본자료!$B$2:$B$501,0),""))))</f>
        <v/>
      </c>
      <c r="AC49" s="10">
        <f>IF($B49="","",IFERROR(MATCH($B49,인턴근무계획!$D$3:$D$202,0),IFERROR(MATCH($B49&amp;"",인턴근무계획!$D$3:$D$202,0),IFERROR(MATCH(VALUE($B49),인턴근무계획!$D$3:$D$202,0),""))))</f>
        <v/>
      </c>
      <c r="AD49" s="10">
        <f>IF(OR($AC49="",인턴현황!$G$3=""),"",INDEX(인턴근무계획!$M$3:$R$202,$AC49,인턴현황!$G$3)&amp;"")</f>
        <v/>
      </c>
      <c r="AE49" s="10">
        <f>IF($B49="","",IF($M49&lt;&gt;"",$M49,IF($AF49&lt;&gt;"",IF(LEFT(INDEX(파견수련계획!$R$4:$R$203,$AF49),1)&lt;&gt;"⚠",INDEX(파견수련계획!$R$4:$R$203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$203,0),IFERROR(MATCH(TRIM($J49&amp;"")&amp;"|파견예정",파견수련계획!$Y$4:$Y$203,0),IFERROR(MATCH(TRIM($J49&amp;"")&amp;"|파견종료",파견수련계획!$Y$4:$Y$203,0),""))))</f>
        <v/>
      </c>
      <c r="AG49" s="10">
        <f>IF($B49="","",IF(AND(IF(OR($AC49="",인턴현황!$K$2=""),"",INDEX(인턴근무계획!$M$3:$R$202,$AC49,인턴현황!$K$2)&amp;"")&lt;&gt;"",LEFT(IF(OR($AC49="",인턴현황!$K$2=""),"",INDEX(인턴근무계획!$M$3:$R$202,$AC49,인턴현황!$K$2)&amp;""),1)&lt;&gt;"⚠"),LEFT(IF(OR($AC49="",인턴현황!$K$2=""),"",INDEX(인턴근무계획!$M$3:$R$202,$AC49,인턴현황!$K$2)&amp;""),FIND(" ",IF(OR($AC49="",인턴현황!$K$2=""),"",INDEX(인턴근무계획!$M$3:$R$202,$AC49,인턴현황!$K$2)&amp;""))-1),$AE49))</f>
        <v/>
      </c>
      <c r="AH49" s="17">
        <f>IF($B49="","",IF(TRIM($J49&amp;"")="",0,SUMPRODUCT((파견수련계획!$Q$4:$Q$203=TRIM($J49&amp;""))*(파견수련계획!$S$4:$S$203="서울병원")*파견수련계획!$W$4:$W$203))+IF($AG49="서울병원",MAX(0,DAY(EOMONTH(요약!$B$3,0))-N($X49)),0))</f>
        <v/>
      </c>
      <c r="AI49" s="17">
        <f>IF($B49="","",IF(TRIM($J49&amp;"")="",0,SUMPRODUCT((파견수련계획!$Q$4:$Q$203=TRIM($J49&amp;""))*(파견수련계획!$S$4:$S$203="구리병원")*파견수련계획!$W$4:$W$203))+IF($AG49="구리병원",MAX(0,DAY(EOMONTH(요약!$B$3,0))-N($X49)),0))</f>
        <v/>
      </c>
      <c r="AJ49" s="10">
        <f>IF(OR($B49="",TRIM($J49&amp;"")=""),"",IFERROR(MATCH(TRIM($J49&amp;"")&amp;"|월",파견수련계획!$Z$4:$Z$203,0),""))</f>
        <v/>
      </c>
      <c r="AK49" s="10">
        <f>IF(OR($B49="",TRIM($J49&amp;"")=""),"",IFERROR(MATCH(TRIM($J49&amp;"")&amp;"|다기관",파견수련계획!$AE$4:$AE$203,0),""))</f>
        <v/>
      </c>
      <c r="AL49" s="10">
        <f>IF($AK49="","","다기관 "&amp;TEXT(INDEX(파견수련계획!$AB$4:$AB$203,$AK49),"yyyy-mm-dd")&amp;"~"&amp;IF(ISNUMBER(INDEX(파견수련계획!$AC$4:$AC$203,$AK49)),TEXT(INDEX(파견수련계획!$AC$4:$AC$203,$AK49),"yyyy-mm-dd"),""))</f>
        <v/>
      </c>
    </row>
    <row r="50">
      <c r="A50" s="10">
        <f>IF(B50="","",ROW()-1)</f>
        <v/>
      </c>
      <c r="B50" s="18" t="n"/>
      <c r="C50" s="10">
        <f>IF($AB50="","",IF(INDEX(기본자료!$C$2:$C$501,$AB50)="","",INDEX(기본자료!$C$2:$C$501,$AB50)))</f>
        <v/>
      </c>
      <c r="D50" s="10">
        <f>IF($AB50="","",IF(INDEX(기본자료!$J$2:$J$501,$AB50)="","",INDEX(기본자료!$J$2:$J$501,$AB50)))</f>
        <v/>
      </c>
      <c r="E50" s="11">
        <f>IF($AB50="","",IF(INDEX(기본자료!$K$2:$K$501,$AB50)="","",IF(NOT(ISNUMBER(INDEX(기본자료!$K$2:$K$501,$AB50))),INDEX(기본자료!$K$2:$K$501,$AB50),IF(INDEX(기본자료!$K$2:$K$501,$AB50)&lt;1000000,INDEX(기본자료!$K$2:$K$501,$AB50),IF(AND(INDEX(기본자료!$K$2:$K$501,$AB50)&gt;=10000101,INT(MOD(INDEX(기본자료!$K$2:$K$501,$AB50),10000)/100)&gt;=1,INT(MOD(INDEX(기본자료!$K$2:$K$501,$AB50),10000)/100)&lt;=12,MOD(INDEX(기본자료!$K$2:$K$501,$AB50),100)&gt;=1,MOD(INDEX(기본자료!$K$2:$K$501,$AB50),100)&lt;=31),DATE(INT(INDEX(기본자료!$K$2:$K$501,$AB50)/10000),INT(MOD(INDEX(기본자료!$K$2:$K$501,$AB50),10000)/100),MOD(INDEX(기본자료!$K$2:$K$501,$AB50),100)),INDEX(기본자료!$K$2:$K$501,$AB50)&amp;"")))))</f>
        <v/>
      </c>
      <c r="F50" s="10">
        <f>IF($AB50="","",IF(INDEX(기본자료!$D$2:$D$501,$AB50)="","",INDEX(기본자료!$D$2:$D$501,$AB50)))</f>
        <v/>
      </c>
      <c r="G50" s="10">
        <f>IF($AB50="","",IF(INDEX(기본자료!$E$2:$E$501,$AB50)="","",INDEX(기본자료!$E$2:$E$501,$AB50)))</f>
        <v/>
      </c>
      <c r="H50" s="10">
        <f>IF($AB50="","",IF(INDEX(기본자료!$F$2:$F$501,$AB50)="","",INDEX(기본자료!$F$2:$F$501,$AB50)))</f>
        <v/>
      </c>
      <c r="I50" s="11">
        <f>IF($AB50="","",IF(INDEX(기본자료!$G$2:$G$501,$AB50)="","",IF(NOT(ISNUMBER(INDEX(기본자료!$G$2:$G$501,$AB50))),INDEX(기본자료!$G$2:$G$501,$AB50),IF(INDEX(기본자료!$G$2:$G$501,$AB50)&lt;1000000,INDEX(기본자료!$G$2:$G$501,$AB50),IF(AND(INDEX(기본자료!$G$2:$G$501,$AB50)&gt;=10000101,INT(MOD(INDEX(기본자료!$G$2:$G$501,$AB50),10000)/100)&gt;=1,INT(MOD(INDEX(기본자료!$G$2:$G$501,$AB50),10000)/100)&lt;=12,MOD(INDEX(기본자료!$G$2:$G$501,$AB50),100)&gt;=1,MOD(INDEX(기본자료!$G$2:$G$501,$AB50),100)&lt;=31),DATE(INT(INDEX(기본자료!$G$2:$G$501,$AB50)/10000),INT(MOD(INDEX(기본자료!$G$2:$G$501,$AB50),10000)/100),MOD(INDEX(기본자료!$G$2:$G$501,$AB50),100)),INDEX(기본자료!$G$2:$G$501,$AB50)&amp;"")))))</f>
        <v/>
      </c>
      <c r="J50" s="10">
        <f>IF($AB50="","",IF(INDEX(기본자료!$H$2:$H$501,$AB50)="","",INDEX(기본자료!$H$2:$H$501,$AB50)))</f>
        <v/>
      </c>
      <c r="K50" s="10">
        <f>IF($AB50="","",IF(INDEX(기본자료!$I$2:$I$501,$AB50)="","",INDEX(기본자료!$I$2:$I$501,$AB50)))</f>
        <v/>
      </c>
      <c r="L50" s="10">
        <f>IF($AB50="","",IF(INDEX(기본자료!$A$2:$A$501,$AB50)="","",INDEX(기본자료!$A$2:$A$501,$AB50)))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파견수련계획!$AB$4:$AB$203,$AK50),OR(NOT(ISNUMBER(INDEX(파견수련계획!$AC$4:$AC$203,$AK50))),TODAY()&lt;=INDEX(파견수련계획!$AC$4:$AC$203,$AK50))),"다기관",IF($AF50="","",INDEX(파견수련계획!$T$4:$T$203,$AF50))),IF($AF50="","",INDEX(파견수련계획!$T$4:$T$203,$AF50))))</f>
        <v/>
      </c>
      <c r="Q50" s="10">
        <f>IF($AF50="","",INDEX(파견수련계획!$S$4:$S$203,$AF50))</f>
        <v/>
      </c>
      <c r="R50" s="10">
        <f>IF($AF50="","",INDEX(파견수련계획!$U$4:$U$203,$AF50))</f>
        <v/>
      </c>
      <c r="S50" s="11">
        <f>IF($AF50="","",IF(INDEX(파견수련계획!$H$4:$H$203,$AF50)="","",INDEX(파견수련계획!$H$4:$H$203,$AF50)))</f>
        <v/>
      </c>
      <c r="T50" s="11">
        <f>IF($AF50="","",IF(INDEX(파견수련계획!$I$4:$I$203,$AF50)="","",INDEX(파견수련계획!$I$4:$I$203,$AF50)))</f>
        <v/>
      </c>
      <c r="U50" s="10">
        <f>IF($AF50="","",INDEX(파견수련계획!$X$4:$X$203,$AF50))</f>
        <v/>
      </c>
      <c r="V50" s="17">
        <f>IF($AF50="","",INDEX(파견수련계획!$V$4:$V$203,$AF50))</f>
        <v/>
      </c>
      <c r="W50" s="17">
        <f>IF(AND($U50="파견중",$T50&lt;&gt;""),$T50-TODAY(),"")</f>
        <v/>
      </c>
      <c r="X50" s="17">
        <f>IF(OR($B50="",TRIM($J50&amp;"")=""),"",SUMPRODUCT((파견수련계획!$Q$4:$Q$203=TRIM($J50&amp;""))*파견수련계획!$W$4:$W$203))</f>
        <v/>
      </c>
      <c r="Y50" s="10">
        <f>IF($B50="","",IF($AG50="","",IF(IF(TRIM($J50&amp;"")="",0,SUMPRODUCT((파견수련계획!$Q$4:$Q$203=TRIM($J50&amp;""))*파견수련계획!$AD$4:$AD$203))&gt;0,$AE50,IF(N($X50)&lt;=0,$AG50,IF($AH50+$AI50=DAY(EOMONTH(요약!$B$3,0)),IF(AND($AH50&gt;=요약!$E$3,$AI50&lt;요약!$E$3),"서울병원",IF(AND($AI50&gt;=요약!$E$3,$AH50&lt;요약!$E$3),"구리병원","⚠15일 판정불가(서울 "&amp;$AH50&amp;"일/구리 "&amp;$AI50&amp;"일)")),IF($AJ50="",$AE50,IF(INDEX(파견수련계획!$T$4:$T$203,$AJ50)="통합수련",INDEX(파견수련계획!$S$4:$S$203,$AJ50),$AE50)))))))</f>
        <v/>
      </c>
      <c r="Z50" s="19">
        <f>IF($B50="","",IF($AB50="","기본자료에 없는 사번",IF(COUNTIF($B$2:$B$201,$B50)&gt;1,"중복 사번",IF($AE50="","소속(입사장소) 입력",IF(IF(TRIM($J50&amp;"")="",0,SUMPRODUCT((파견수련계획!$Q$4:$Q$203=TRIM($J50&amp;""))*(파견수련계획!$AA$4:$AA$203&lt;&gt;"")))&gt;0,"파견수련계획 입력오류 확인",IF(LEFT($Y50,1)="⚠","서울·구리 15일 판정 불가(양쪽 모두 이상/미만)",IF(IF($AC50="",0,N(INDEX(인턴근무계획!$T$3:$T$202,$AC50)))&gt;0,"인턴계획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IF($B50="","",IFERROR(MATCH($B50,기본자료!$B$2:$B$501,0),IFERROR(MATCH($B50&amp;"",기본자료!$B$2:$B$501,0),IFERROR(MATCH(VALUE($B50),기본자료!$B$2:$B$501,0),""))))</f>
        <v/>
      </c>
      <c r="AC50" s="10">
        <f>IF($B50="","",IFERROR(MATCH($B50,인턴근무계획!$D$3:$D$202,0),IFERROR(MATCH($B50&amp;"",인턴근무계획!$D$3:$D$202,0),IFERROR(MATCH(VALUE($B50),인턴근무계획!$D$3:$D$202,0),""))))</f>
        <v/>
      </c>
      <c r="AD50" s="10">
        <f>IF(OR($AC50="",인턴현황!$G$3=""),"",INDEX(인턴근무계획!$M$3:$R$202,$AC50,인턴현황!$G$3)&amp;"")</f>
        <v/>
      </c>
      <c r="AE50" s="10">
        <f>IF($B50="","",IF($M50&lt;&gt;"",$M50,IF($AF50&lt;&gt;"",IF(LEFT(INDEX(파견수련계획!$R$4:$R$203,$AF50),1)&lt;&gt;"⚠",INDEX(파견수련계획!$R$4:$R$203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$203,0),IFERROR(MATCH(TRIM($J50&amp;"")&amp;"|파견예정",파견수련계획!$Y$4:$Y$203,0),IFERROR(MATCH(TRIM($J50&amp;"")&amp;"|파견종료",파견수련계획!$Y$4:$Y$203,0),""))))</f>
        <v/>
      </c>
      <c r="AG50" s="10">
        <f>IF($B50="","",IF(AND(IF(OR($AC50="",인턴현황!$K$2=""),"",INDEX(인턴근무계획!$M$3:$R$202,$AC50,인턴현황!$K$2)&amp;"")&lt;&gt;"",LEFT(IF(OR($AC50="",인턴현황!$K$2=""),"",INDEX(인턴근무계획!$M$3:$R$202,$AC50,인턴현황!$K$2)&amp;""),1)&lt;&gt;"⚠"),LEFT(IF(OR($AC50="",인턴현황!$K$2=""),"",INDEX(인턴근무계획!$M$3:$R$202,$AC50,인턴현황!$K$2)&amp;""),FIND(" ",IF(OR($AC50="",인턴현황!$K$2=""),"",INDEX(인턴근무계획!$M$3:$R$202,$AC50,인턴현황!$K$2)&amp;""))-1),$AE50))</f>
        <v/>
      </c>
      <c r="AH50" s="17">
        <f>IF($B50="","",IF(TRIM($J50&amp;"")="",0,SUMPRODUCT((파견수련계획!$Q$4:$Q$203=TRIM($J50&amp;""))*(파견수련계획!$S$4:$S$203="서울병원")*파견수련계획!$W$4:$W$203))+IF($AG50="서울병원",MAX(0,DAY(EOMONTH(요약!$B$3,0))-N($X50)),0))</f>
        <v/>
      </c>
      <c r="AI50" s="17">
        <f>IF($B50="","",IF(TRIM($J50&amp;"")="",0,SUMPRODUCT((파견수련계획!$Q$4:$Q$203=TRIM($J50&amp;""))*(파견수련계획!$S$4:$S$203="구리병원")*파견수련계획!$W$4:$W$203))+IF($AG50="구리병원",MAX(0,DAY(EOMONTH(요약!$B$3,0))-N($X50)),0))</f>
        <v/>
      </c>
      <c r="AJ50" s="10">
        <f>IF(OR($B50="",TRIM($J50&amp;"")=""),"",IFERROR(MATCH(TRIM($J50&amp;"")&amp;"|월",파견수련계획!$Z$4:$Z$203,0),""))</f>
        <v/>
      </c>
      <c r="AK50" s="10">
        <f>IF(OR($B50="",TRIM($J50&amp;"")=""),"",IFERROR(MATCH(TRIM($J50&amp;"")&amp;"|다기관",파견수련계획!$AE$4:$AE$203,0),""))</f>
        <v/>
      </c>
      <c r="AL50" s="10">
        <f>IF($AK50="","","다기관 "&amp;TEXT(INDEX(파견수련계획!$AB$4:$AB$203,$AK50),"yyyy-mm-dd")&amp;"~"&amp;IF(ISNUMBER(INDEX(파견수련계획!$AC$4:$AC$203,$AK50)),TEXT(INDEX(파견수련계획!$AC$4:$AC$203,$AK50),"yyyy-mm-dd"),""))</f>
        <v/>
      </c>
    </row>
    <row r="51">
      <c r="A51" s="10">
        <f>IF(B51="","",ROW()-1)</f>
        <v/>
      </c>
      <c r="B51" s="18" t="n"/>
      <c r="C51" s="10">
        <f>IF($AB51="","",IF(INDEX(기본자료!$C$2:$C$501,$AB51)="","",INDEX(기본자료!$C$2:$C$501,$AB51)))</f>
        <v/>
      </c>
      <c r="D51" s="10">
        <f>IF($AB51="","",IF(INDEX(기본자료!$J$2:$J$501,$AB51)="","",INDEX(기본자료!$J$2:$J$501,$AB51)))</f>
        <v/>
      </c>
      <c r="E51" s="11">
        <f>IF($AB51="","",IF(INDEX(기본자료!$K$2:$K$501,$AB51)="","",IF(NOT(ISNUMBER(INDEX(기본자료!$K$2:$K$501,$AB51))),INDEX(기본자료!$K$2:$K$501,$AB51),IF(INDEX(기본자료!$K$2:$K$501,$AB51)&lt;1000000,INDEX(기본자료!$K$2:$K$501,$AB51),IF(AND(INDEX(기본자료!$K$2:$K$501,$AB51)&gt;=10000101,INT(MOD(INDEX(기본자료!$K$2:$K$501,$AB51),10000)/100)&gt;=1,INT(MOD(INDEX(기본자료!$K$2:$K$501,$AB51),10000)/100)&lt;=12,MOD(INDEX(기본자료!$K$2:$K$501,$AB51),100)&gt;=1,MOD(INDEX(기본자료!$K$2:$K$501,$AB51),100)&lt;=31),DATE(INT(INDEX(기본자료!$K$2:$K$501,$AB51)/10000),INT(MOD(INDEX(기본자료!$K$2:$K$501,$AB51),10000)/100),MOD(INDEX(기본자료!$K$2:$K$501,$AB51),100)),INDEX(기본자료!$K$2:$K$501,$AB51)&amp;"")))))</f>
        <v/>
      </c>
      <c r="F51" s="10">
        <f>IF($AB51="","",IF(INDEX(기본자료!$D$2:$D$501,$AB51)="","",INDEX(기본자료!$D$2:$D$501,$AB51)))</f>
        <v/>
      </c>
      <c r="G51" s="10">
        <f>IF($AB51="","",IF(INDEX(기본자료!$E$2:$E$501,$AB51)="","",INDEX(기본자료!$E$2:$E$501,$AB51)))</f>
        <v/>
      </c>
      <c r="H51" s="10">
        <f>IF($AB51="","",IF(INDEX(기본자료!$F$2:$F$501,$AB51)="","",INDEX(기본자료!$F$2:$F$501,$AB51)))</f>
        <v/>
      </c>
      <c r="I51" s="11">
        <f>IF($AB51="","",IF(INDEX(기본자료!$G$2:$G$501,$AB51)="","",IF(NOT(ISNUMBER(INDEX(기본자료!$G$2:$G$501,$AB51))),INDEX(기본자료!$G$2:$G$501,$AB51),IF(INDEX(기본자료!$G$2:$G$501,$AB51)&lt;1000000,INDEX(기본자료!$G$2:$G$501,$AB51),IF(AND(INDEX(기본자료!$G$2:$G$501,$AB51)&gt;=10000101,INT(MOD(INDEX(기본자료!$G$2:$G$501,$AB51),10000)/100)&gt;=1,INT(MOD(INDEX(기본자료!$G$2:$G$501,$AB51),10000)/100)&lt;=12,MOD(INDEX(기본자료!$G$2:$G$501,$AB51),100)&gt;=1,MOD(INDEX(기본자료!$G$2:$G$501,$AB51),100)&lt;=31),DATE(INT(INDEX(기본자료!$G$2:$G$501,$AB51)/10000),INT(MOD(INDEX(기본자료!$G$2:$G$501,$AB51),10000)/100),MOD(INDEX(기본자료!$G$2:$G$501,$AB51),100)),INDEX(기본자료!$G$2:$G$501,$AB51)&amp;"")))))</f>
        <v/>
      </c>
      <c r="J51" s="10">
        <f>IF($AB51="","",IF(INDEX(기본자료!$H$2:$H$501,$AB51)="","",INDEX(기본자료!$H$2:$H$501,$AB51)))</f>
        <v/>
      </c>
      <c r="K51" s="10">
        <f>IF($AB51="","",IF(INDEX(기본자료!$I$2:$I$501,$AB51)="","",INDEX(기본자료!$I$2:$I$501,$AB51)))</f>
        <v/>
      </c>
      <c r="L51" s="10">
        <f>IF($AB51="","",IF(INDEX(기본자료!$A$2:$A$501,$AB51)="","",INDEX(기본자료!$A$2:$A$501,$AB51)))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파견수련계획!$AB$4:$AB$203,$AK51),OR(NOT(ISNUMBER(INDEX(파견수련계획!$AC$4:$AC$203,$AK51))),TODAY()&lt;=INDEX(파견수련계획!$AC$4:$AC$203,$AK51))),"다기관",IF($AF51="","",INDEX(파견수련계획!$T$4:$T$203,$AF51))),IF($AF51="","",INDEX(파견수련계획!$T$4:$T$203,$AF51))))</f>
        <v/>
      </c>
      <c r="Q51" s="10">
        <f>IF($AF51="","",INDEX(파견수련계획!$S$4:$S$203,$AF51))</f>
        <v/>
      </c>
      <c r="R51" s="10">
        <f>IF($AF51="","",INDEX(파견수련계획!$U$4:$U$203,$AF51))</f>
        <v/>
      </c>
      <c r="S51" s="11">
        <f>IF($AF51="","",IF(INDEX(파견수련계획!$H$4:$H$203,$AF51)="","",INDEX(파견수련계획!$H$4:$H$203,$AF51)))</f>
        <v/>
      </c>
      <c r="T51" s="11">
        <f>IF($AF51="","",IF(INDEX(파견수련계획!$I$4:$I$203,$AF51)="","",INDEX(파견수련계획!$I$4:$I$203,$AF51)))</f>
        <v/>
      </c>
      <c r="U51" s="10">
        <f>IF($AF51="","",INDEX(파견수련계획!$X$4:$X$203,$AF51))</f>
        <v/>
      </c>
      <c r="V51" s="17">
        <f>IF($AF51="","",INDEX(파견수련계획!$V$4:$V$203,$AF51))</f>
        <v/>
      </c>
      <c r="W51" s="17">
        <f>IF(AND($U51="파견중",$T51&lt;&gt;""),$T51-TODAY(),"")</f>
        <v/>
      </c>
      <c r="X51" s="17">
        <f>IF(OR($B51="",TRIM($J51&amp;"")=""),"",SUMPRODUCT((파견수련계획!$Q$4:$Q$203=TRIM($J51&amp;""))*파견수련계획!$W$4:$W$203))</f>
        <v/>
      </c>
      <c r="Y51" s="10">
        <f>IF($B51="","",IF($AG51="","",IF(IF(TRIM($J51&amp;"")="",0,SUMPRODUCT((파견수련계획!$Q$4:$Q$203=TRIM($J51&amp;""))*파견수련계획!$AD$4:$AD$203))&gt;0,$AE51,IF(N($X51)&lt;=0,$AG51,IF($AH51+$AI51=DAY(EOMONTH(요약!$B$3,0)),IF(AND($AH51&gt;=요약!$E$3,$AI51&lt;요약!$E$3),"서울병원",IF(AND($AI51&gt;=요약!$E$3,$AH51&lt;요약!$E$3),"구리병원","⚠15일 판정불가(서울 "&amp;$AH51&amp;"일/구리 "&amp;$AI51&amp;"일)")),IF($AJ51="",$AE51,IF(INDEX(파견수련계획!$T$4:$T$203,$AJ51)="통합수련",INDEX(파견수련계획!$S$4:$S$203,$AJ51),$AE51)))))))</f>
        <v/>
      </c>
      <c r="Z51" s="19">
        <f>IF($B51="","",IF($AB51="","기본자료에 없는 사번",IF(COUNTIF($B$2:$B$201,$B51)&gt;1,"중복 사번",IF($AE51="","소속(입사장소) 입력",IF(IF(TRIM($J51&amp;"")="",0,SUMPRODUCT((파견수련계획!$Q$4:$Q$203=TRIM($J51&amp;""))*(파견수련계획!$AA$4:$AA$203&lt;&gt;"")))&gt;0,"파견수련계획 입력오류 확인",IF(LEFT($Y51,1)="⚠","서울·구리 15일 판정 불가(양쪽 모두 이상/미만)",IF(IF($AC51="",0,N(INDEX(인턴근무계획!$T$3:$T$202,$AC51)))&gt;0,"인턴계획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IF($B51="","",IFERROR(MATCH($B51,기본자료!$B$2:$B$501,0),IFERROR(MATCH($B51&amp;"",기본자료!$B$2:$B$501,0),IFERROR(MATCH(VALUE($B51),기본자료!$B$2:$B$501,0),""))))</f>
        <v/>
      </c>
      <c r="AC51" s="10">
        <f>IF($B51="","",IFERROR(MATCH($B51,인턴근무계획!$D$3:$D$202,0),IFERROR(MATCH($B51&amp;"",인턴근무계획!$D$3:$D$202,0),IFERROR(MATCH(VALUE($B51),인턴근무계획!$D$3:$D$202,0),""))))</f>
        <v/>
      </c>
      <c r="AD51" s="10">
        <f>IF(OR($AC51="",인턴현황!$G$3=""),"",INDEX(인턴근무계획!$M$3:$R$202,$AC51,인턴현황!$G$3)&amp;"")</f>
        <v/>
      </c>
      <c r="AE51" s="10">
        <f>IF($B51="","",IF($M51&lt;&gt;"",$M51,IF($AF51&lt;&gt;"",IF(LEFT(INDEX(파견수련계획!$R$4:$R$203,$AF51),1)&lt;&gt;"⚠",INDEX(파견수련계획!$R$4:$R$203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$203,0),IFERROR(MATCH(TRIM($J51&amp;"")&amp;"|파견예정",파견수련계획!$Y$4:$Y$203,0),IFERROR(MATCH(TRIM($J51&amp;"")&amp;"|파견종료",파견수련계획!$Y$4:$Y$203,0),""))))</f>
        <v/>
      </c>
      <c r="AG51" s="10">
        <f>IF($B51="","",IF(AND(IF(OR($AC51="",인턴현황!$K$2=""),"",INDEX(인턴근무계획!$M$3:$R$202,$AC51,인턴현황!$K$2)&amp;"")&lt;&gt;"",LEFT(IF(OR($AC51="",인턴현황!$K$2=""),"",INDEX(인턴근무계획!$M$3:$R$202,$AC51,인턴현황!$K$2)&amp;""),1)&lt;&gt;"⚠"),LEFT(IF(OR($AC51="",인턴현황!$K$2=""),"",INDEX(인턴근무계획!$M$3:$R$202,$AC51,인턴현황!$K$2)&amp;""),FIND(" ",IF(OR($AC51="",인턴현황!$K$2=""),"",INDEX(인턴근무계획!$M$3:$R$202,$AC51,인턴현황!$K$2)&amp;""))-1),$AE51))</f>
        <v/>
      </c>
      <c r="AH51" s="17">
        <f>IF($B51="","",IF(TRIM($J51&amp;"")="",0,SUMPRODUCT((파견수련계획!$Q$4:$Q$203=TRIM($J51&amp;""))*(파견수련계획!$S$4:$S$203="서울병원")*파견수련계획!$W$4:$W$203))+IF($AG51="서울병원",MAX(0,DAY(EOMONTH(요약!$B$3,0))-N($X51)),0))</f>
        <v/>
      </c>
      <c r="AI51" s="17">
        <f>IF($B51="","",IF(TRIM($J51&amp;"")="",0,SUMPRODUCT((파견수련계획!$Q$4:$Q$203=TRIM($J51&amp;""))*(파견수련계획!$S$4:$S$203="구리병원")*파견수련계획!$W$4:$W$203))+IF($AG51="구리병원",MAX(0,DAY(EOMONTH(요약!$B$3,0))-N($X51)),0))</f>
        <v/>
      </c>
      <c r="AJ51" s="10">
        <f>IF(OR($B51="",TRIM($J51&amp;"")=""),"",IFERROR(MATCH(TRIM($J51&amp;"")&amp;"|월",파견수련계획!$Z$4:$Z$203,0),""))</f>
        <v/>
      </c>
      <c r="AK51" s="10">
        <f>IF(OR($B51="",TRIM($J51&amp;"")=""),"",IFERROR(MATCH(TRIM($J51&amp;"")&amp;"|다기관",파견수련계획!$AE$4:$AE$203,0),""))</f>
        <v/>
      </c>
      <c r="AL51" s="10">
        <f>IF($AK51="","","다기관 "&amp;TEXT(INDEX(파견수련계획!$AB$4:$AB$203,$AK51),"yyyy-mm-dd")&amp;"~"&amp;IF(ISNUMBER(INDEX(파견수련계획!$AC$4:$AC$203,$AK51)),TEXT(INDEX(파견수련계획!$AC$4:$AC$203,$AK51),"yyyy-mm-dd"),""))</f>
        <v/>
      </c>
    </row>
    <row r="52">
      <c r="A52" s="10">
        <f>IF(B52="","",ROW()-1)</f>
        <v/>
      </c>
      <c r="B52" s="18" t="n"/>
      <c r="C52" s="10">
        <f>IF($AB52="","",IF(INDEX(기본자료!$C$2:$C$501,$AB52)="","",INDEX(기본자료!$C$2:$C$501,$AB52)))</f>
        <v/>
      </c>
      <c r="D52" s="10">
        <f>IF($AB52="","",IF(INDEX(기본자료!$J$2:$J$501,$AB52)="","",INDEX(기본자료!$J$2:$J$501,$AB52)))</f>
        <v/>
      </c>
      <c r="E52" s="11">
        <f>IF($AB52="","",IF(INDEX(기본자료!$K$2:$K$501,$AB52)="","",IF(NOT(ISNUMBER(INDEX(기본자료!$K$2:$K$501,$AB52))),INDEX(기본자료!$K$2:$K$501,$AB52),IF(INDEX(기본자료!$K$2:$K$501,$AB52)&lt;1000000,INDEX(기본자료!$K$2:$K$501,$AB52),IF(AND(INDEX(기본자료!$K$2:$K$501,$AB52)&gt;=10000101,INT(MOD(INDEX(기본자료!$K$2:$K$501,$AB52),10000)/100)&gt;=1,INT(MOD(INDEX(기본자료!$K$2:$K$501,$AB52),10000)/100)&lt;=12,MOD(INDEX(기본자료!$K$2:$K$501,$AB52),100)&gt;=1,MOD(INDEX(기본자료!$K$2:$K$501,$AB52),100)&lt;=31),DATE(INT(INDEX(기본자료!$K$2:$K$501,$AB52)/10000),INT(MOD(INDEX(기본자료!$K$2:$K$501,$AB52),10000)/100),MOD(INDEX(기본자료!$K$2:$K$501,$AB52),100)),INDEX(기본자료!$K$2:$K$501,$AB52)&amp;"")))))</f>
        <v/>
      </c>
      <c r="F52" s="10">
        <f>IF($AB52="","",IF(INDEX(기본자료!$D$2:$D$501,$AB52)="","",INDEX(기본자료!$D$2:$D$501,$AB52)))</f>
        <v/>
      </c>
      <c r="G52" s="10">
        <f>IF($AB52="","",IF(INDEX(기본자료!$E$2:$E$501,$AB52)="","",INDEX(기본자료!$E$2:$E$501,$AB52)))</f>
        <v/>
      </c>
      <c r="H52" s="10">
        <f>IF($AB52="","",IF(INDEX(기본자료!$F$2:$F$501,$AB52)="","",INDEX(기본자료!$F$2:$F$501,$AB52)))</f>
        <v/>
      </c>
      <c r="I52" s="11">
        <f>IF($AB52="","",IF(INDEX(기본자료!$G$2:$G$501,$AB52)="","",IF(NOT(ISNUMBER(INDEX(기본자료!$G$2:$G$501,$AB52))),INDEX(기본자료!$G$2:$G$501,$AB52),IF(INDEX(기본자료!$G$2:$G$501,$AB52)&lt;1000000,INDEX(기본자료!$G$2:$G$501,$AB52),IF(AND(INDEX(기본자료!$G$2:$G$501,$AB52)&gt;=10000101,INT(MOD(INDEX(기본자료!$G$2:$G$501,$AB52),10000)/100)&gt;=1,INT(MOD(INDEX(기본자료!$G$2:$G$501,$AB52),10000)/100)&lt;=12,MOD(INDEX(기본자료!$G$2:$G$501,$AB52),100)&gt;=1,MOD(INDEX(기본자료!$G$2:$G$501,$AB52),100)&lt;=31),DATE(INT(INDEX(기본자료!$G$2:$G$501,$AB52)/10000),INT(MOD(INDEX(기본자료!$G$2:$G$501,$AB52),10000)/100),MOD(INDEX(기본자료!$G$2:$G$501,$AB52),100)),INDEX(기본자료!$G$2:$G$501,$AB52)&amp;"")))))</f>
        <v/>
      </c>
      <c r="J52" s="10">
        <f>IF($AB52="","",IF(INDEX(기본자료!$H$2:$H$501,$AB52)="","",INDEX(기본자료!$H$2:$H$501,$AB52)))</f>
        <v/>
      </c>
      <c r="K52" s="10">
        <f>IF($AB52="","",IF(INDEX(기본자료!$I$2:$I$501,$AB52)="","",INDEX(기본자료!$I$2:$I$501,$AB52)))</f>
        <v/>
      </c>
      <c r="L52" s="10">
        <f>IF($AB52="","",IF(INDEX(기본자료!$A$2:$A$501,$AB52)="","",INDEX(기본자료!$A$2:$A$501,$AB52)))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파견수련계획!$AB$4:$AB$203,$AK52),OR(NOT(ISNUMBER(INDEX(파견수련계획!$AC$4:$AC$203,$AK52))),TODAY()&lt;=INDEX(파견수련계획!$AC$4:$AC$203,$AK52))),"다기관",IF($AF52="","",INDEX(파견수련계획!$T$4:$T$203,$AF52))),IF($AF52="","",INDEX(파견수련계획!$T$4:$T$203,$AF52))))</f>
        <v/>
      </c>
      <c r="Q52" s="10">
        <f>IF($AF52="","",INDEX(파견수련계획!$S$4:$S$203,$AF52))</f>
        <v/>
      </c>
      <c r="R52" s="10">
        <f>IF($AF52="","",INDEX(파견수련계획!$U$4:$U$203,$AF52))</f>
        <v/>
      </c>
      <c r="S52" s="11">
        <f>IF($AF52="","",IF(INDEX(파견수련계획!$H$4:$H$203,$AF52)="","",INDEX(파견수련계획!$H$4:$H$203,$AF52)))</f>
        <v/>
      </c>
      <c r="T52" s="11">
        <f>IF($AF52="","",IF(INDEX(파견수련계획!$I$4:$I$203,$AF52)="","",INDEX(파견수련계획!$I$4:$I$203,$AF52)))</f>
        <v/>
      </c>
      <c r="U52" s="10">
        <f>IF($AF52="","",INDEX(파견수련계획!$X$4:$X$203,$AF52))</f>
        <v/>
      </c>
      <c r="V52" s="17">
        <f>IF($AF52="","",INDEX(파견수련계획!$V$4:$V$203,$AF52))</f>
        <v/>
      </c>
      <c r="W52" s="17">
        <f>IF(AND($U52="파견중",$T52&lt;&gt;""),$T52-TODAY(),"")</f>
        <v/>
      </c>
      <c r="X52" s="17">
        <f>IF(OR($B52="",TRIM($J52&amp;"")=""),"",SUMPRODUCT((파견수련계획!$Q$4:$Q$203=TRIM($J52&amp;""))*파견수련계획!$W$4:$W$203))</f>
        <v/>
      </c>
      <c r="Y52" s="10">
        <f>IF($B52="","",IF($AG52="","",IF(IF(TRIM($J52&amp;"")="",0,SUMPRODUCT((파견수련계획!$Q$4:$Q$203=TRIM($J52&amp;""))*파견수련계획!$AD$4:$AD$203))&gt;0,$AE52,IF(N($X52)&lt;=0,$AG52,IF($AH52+$AI52=DAY(EOMONTH(요약!$B$3,0)),IF(AND($AH52&gt;=요약!$E$3,$AI52&lt;요약!$E$3),"서울병원",IF(AND($AI52&gt;=요약!$E$3,$AH52&lt;요약!$E$3),"구리병원","⚠15일 판정불가(서울 "&amp;$AH52&amp;"일/구리 "&amp;$AI52&amp;"일)")),IF($AJ52="",$AE52,IF(INDEX(파견수련계획!$T$4:$T$203,$AJ52)="통합수련",INDEX(파견수련계획!$S$4:$S$203,$AJ52),$AE52)))))))</f>
        <v/>
      </c>
      <c r="Z52" s="19">
        <f>IF($B52="","",IF($AB52="","기본자료에 없는 사번",IF(COUNTIF($B$2:$B$201,$B52)&gt;1,"중복 사번",IF($AE52="","소속(입사장소) 입력",IF(IF(TRIM($J52&amp;"")="",0,SUMPRODUCT((파견수련계획!$Q$4:$Q$203=TRIM($J52&amp;""))*(파견수련계획!$AA$4:$AA$203&lt;&gt;"")))&gt;0,"파견수련계획 입력오류 확인",IF(LEFT($Y52,1)="⚠","서울·구리 15일 판정 불가(양쪽 모두 이상/미만)",IF(IF($AC52="",0,N(INDEX(인턴근무계획!$T$3:$T$202,$AC52)))&gt;0,"인턴계획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IF($B52="","",IFERROR(MATCH($B52,기본자료!$B$2:$B$501,0),IFERROR(MATCH($B52&amp;"",기본자료!$B$2:$B$501,0),IFERROR(MATCH(VALUE($B52),기본자료!$B$2:$B$501,0),""))))</f>
        <v/>
      </c>
      <c r="AC52" s="10">
        <f>IF($B52="","",IFERROR(MATCH($B52,인턴근무계획!$D$3:$D$202,0),IFERROR(MATCH($B52&amp;"",인턴근무계획!$D$3:$D$202,0),IFERROR(MATCH(VALUE($B52),인턴근무계획!$D$3:$D$202,0),""))))</f>
        <v/>
      </c>
      <c r="AD52" s="10">
        <f>IF(OR($AC52="",인턴현황!$G$3=""),"",INDEX(인턴근무계획!$M$3:$R$202,$AC52,인턴현황!$G$3)&amp;"")</f>
        <v/>
      </c>
      <c r="AE52" s="10">
        <f>IF($B52="","",IF($M52&lt;&gt;"",$M52,IF($AF52&lt;&gt;"",IF(LEFT(INDEX(파견수련계획!$R$4:$R$203,$AF52),1)&lt;&gt;"⚠",INDEX(파견수련계획!$R$4:$R$203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$203,0),IFERROR(MATCH(TRIM($J52&amp;"")&amp;"|파견예정",파견수련계획!$Y$4:$Y$203,0),IFERROR(MATCH(TRIM($J52&amp;"")&amp;"|파견종료",파견수련계획!$Y$4:$Y$203,0),""))))</f>
        <v/>
      </c>
      <c r="AG52" s="10">
        <f>IF($B52="","",IF(AND(IF(OR($AC52="",인턴현황!$K$2=""),"",INDEX(인턴근무계획!$M$3:$R$202,$AC52,인턴현황!$K$2)&amp;"")&lt;&gt;"",LEFT(IF(OR($AC52="",인턴현황!$K$2=""),"",INDEX(인턴근무계획!$M$3:$R$202,$AC52,인턴현황!$K$2)&amp;""),1)&lt;&gt;"⚠"),LEFT(IF(OR($AC52="",인턴현황!$K$2=""),"",INDEX(인턴근무계획!$M$3:$R$202,$AC52,인턴현황!$K$2)&amp;""),FIND(" ",IF(OR($AC52="",인턴현황!$K$2=""),"",INDEX(인턴근무계획!$M$3:$R$202,$AC52,인턴현황!$K$2)&amp;""))-1),$AE52))</f>
        <v/>
      </c>
      <c r="AH52" s="17">
        <f>IF($B52="","",IF(TRIM($J52&amp;"")="",0,SUMPRODUCT((파견수련계획!$Q$4:$Q$203=TRIM($J52&amp;""))*(파견수련계획!$S$4:$S$203="서울병원")*파견수련계획!$W$4:$W$203))+IF($AG52="서울병원",MAX(0,DAY(EOMONTH(요약!$B$3,0))-N($X52)),0))</f>
        <v/>
      </c>
      <c r="AI52" s="17">
        <f>IF($B52="","",IF(TRIM($J52&amp;"")="",0,SUMPRODUCT((파견수련계획!$Q$4:$Q$203=TRIM($J52&amp;""))*(파견수련계획!$S$4:$S$203="구리병원")*파견수련계획!$W$4:$W$203))+IF($AG52="구리병원",MAX(0,DAY(EOMONTH(요약!$B$3,0))-N($X52)),0))</f>
        <v/>
      </c>
      <c r="AJ52" s="10">
        <f>IF(OR($B52="",TRIM($J52&amp;"")=""),"",IFERROR(MATCH(TRIM($J52&amp;"")&amp;"|월",파견수련계획!$Z$4:$Z$203,0),""))</f>
        <v/>
      </c>
      <c r="AK52" s="10">
        <f>IF(OR($B52="",TRIM($J52&amp;"")=""),"",IFERROR(MATCH(TRIM($J52&amp;"")&amp;"|다기관",파견수련계획!$AE$4:$AE$203,0),""))</f>
        <v/>
      </c>
      <c r="AL52" s="10">
        <f>IF($AK52="","","다기관 "&amp;TEXT(INDEX(파견수련계획!$AB$4:$AB$203,$AK52),"yyyy-mm-dd")&amp;"~"&amp;IF(ISNUMBER(INDEX(파견수련계획!$AC$4:$AC$203,$AK52)),TEXT(INDEX(파견수련계획!$AC$4:$AC$203,$AK52),"yyyy-mm-dd"),""))</f>
        <v/>
      </c>
    </row>
    <row r="53">
      <c r="A53" s="10">
        <f>IF(B53="","",ROW()-1)</f>
        <v/>
      </c>
      <c r="B53" s="18" t="n"/>
      <c r="C53" s="10">
        <f>IF($AB53="","",IF(INDEX(기본자료!$C$2:$C$501,$AB53)="","",INDEX(기본자료!$C$2:$C$501,$AB53)))</f>
        <v/>
      </c>
      <c r="D53" s="10">
        <f>IF($AB53="","",IF(INDEX(기본자료!$J$2:$J$501,$AB53)="","",INDEX(기본자료!$J$2:$J$501,$AB53)))</f>
        <v/>
      </c>
      <c r="E53" s="11">
        <f>IF($AB53="","",IF(INDEX(기본자료!$K$2:$K$501,$AB53)="","",IF(NOT(ISNUMBER(INDEX(기본자료!$K$2:$K$501,$AB53))),INDEX(기본자료!$K$2:$K$501,$AB53),IF(INDEX(기본자료!$K$2:$K$501,$AB53)&lt;1000000,INDEX(기본자료!$K$2:$K$501,$AB53),IF(AND(INDEX(기본자료!$K$2:$K$501,$AB53)&gt;=10000101,INT(MOD(INDEX(기본자료!$K$2:$K$501,$AB53),10000)/100)&gt;=1,INT(MOD(INDEX(기본자료!$K$2:$K$501,$AB53),10000)/100)&lt;=12,MOD(INDEX(기본자료!$K$2:$K$501,$AB53),100)&gt;=1,MOD(INDEX(기본자료!$K$2:$K$501,$AB53),100)&lt;=31),DATE(INT(INDEX(기본자료!$K$2:$K$501,$AB53)/10000),INT(MOD(INDEX(기본자료!$K$2:$K$501,$AB53),10000)/100),MOD(INDEX(기본자료!$K$2:$K$501,$AB53),100)),INDEX(기본자료!$K$2:$K$501,$AB53)&amp;"")))))</f>
        <v/>
      </c>
      <c r="F53" s="10">
        <f>IF($AB53="","",IF(INDEX(기본자료!$D$2:$D$501,$AB53)="","",INDEX(기본자료!$D$2:$D$501,$AB53)))</f>
        <v/>
      </c>
      <c r="G53" s="10">
        <f>IF($AB53="","",IF(INDEX(기본자료!$E$2:$E$501,$AB53)="","",INDEX(기본자료!$E$2:$E$501,$AB53)))</f>
        <v/>
      </c>
      <c r="H53" s="10">
        <f>IF($AB53="","",IF(INDEX(기본자료!$F$2:$F$501,$AB53)="","",INDEX(기본자료!$F$2:$F$501,$AB53)))</f>
        <v/>
      </c>
      <c r="I53" s="11">
        <f>IF($AB53="","",IF(INDEX(기본자료!$G$2:$G$501,$AB53)="","",IF(NOT(ISNUMBER(INDEX(기본자료!$G$2:$G$501,$AB53))),INDEX(기본자료!$G$2:$G$501,$AB53),IF(INDEX(기본자료!$G$2:$G$501,$AB53)&lt;1000000,INDEX(기본자료!$G$2:$G$501,$AB53),IF(AND(INDEX(기본자료!$G$2:$G$501,$AB53)&gt;=10000101,INT(MOD(INDEX(기본자료!$G$2:$G$501,$AB53),10000)/100)&gt;=1,INT(MOD(INDEX(기본자료!$G$2:$G$501,$AB53),10000)/100)&lt;=12,MOD(INDEX(기본자료!$G$2:$G$501,$AB53),100)&gt;=1,MOD(INDEX(기본자료!$G$2:$G$501,$AB53),100)&lt;=31),DATE(INT(INDEX(기본자료!$G$2:$G$501,$AB53)/10000),INT(MOD(INDEX(기본자료!$G$2:$G$501,$AB53),10000)/100),MOD(INDEX(기본자료!$G$2:$G$501,$AB53),100)),INDEX(기본자료!$G$2:$G$501,$AB53)&amp;"")))))</f>
        <v/>
      </c>
      <c r="J53" s="10">
        <f>IF($AB53="","",IF(INDEX(기본자료!$H$2:$H$501,$AB53)="","",INDEX(기본자료!$H$2:$H$501,$AB53)))</f>
        <v/>
      </c>
      <c r="K53" s="10">
        <f>IF($AB53="","",IF(INDEX(기본자료!$I$2:$I$501,$AB53)="","",INDEX(기본자료!$I$2:$I$501,$AB53)))</f>
        <v/>
      </c>
      <c r="L53" s="10">
        <f>IF($AB53="","",IF(INDEX(기본자료!$A$2:$A$501,$AB53)="","",INDEX(기본자료!$A$2:$A$501,$AB53)))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파견수련계획!$AB$4:$AB$203,$AK53),OR(NOT(ISNUMBER(INDEX(파견수련계획!$AC$4:$AC$203,$AK53))),TODAY()&lt;=INDEX(파견수련계획!$AC$4:$AC$203,$AK53))),"다기관",IF($AF53="","",INDEX(파견수련계획!$T$4:$T$203,$AF53))),IF($AF53="","",INDEX(파견수련계획!$T$4:$T$203,$AF53))))</f>
        <v/>
      </c>
      <c r="Q53" s="10">
        <f>IF($AF53="","",INDEX(파견수련계획!$S$4:$S$203,$AF53))</f>
        <v/>
      </c>
      <c r="R53" s="10">
        <f>IF($AF53="","",INDEX(파견수련계획!$U$4:$U$203,$AF53))</f>
        <v/>
      </c>
      <c r="S53" s="11">
        <f>IF($AF53="","",IF(INDEX(파견수련계획!$H$4:$H$203,$AF53)="","",INDEX(파견수련계획!$H$4:$H$203,$AF53)))</f>
        <v/>
      </c>
      <c r="T53" s="11">
        <f>IF($AF53="","",IF(INDEX(파견수련계획!$I$4:$I$203,$AF53)="","",INDEX(파견수련계획!$I$4:$I$203,$AF53)))</f>
        <v/>
      </c>
      <c r="U53" s="10">
        <f>IF($AF53="","",INDEX(파견수련계획!$X$4:$X$203,$AF53))</f>
        <v/>
      </c>
      <c r="V53" s="17">
        <f>IF($AF53="","",INDEX(파견수련계획!$V$4:$V$203,$AF53))</f>
        <v/>
      </c>
      <c r="W53" s="17">
        <f>IF(AND($U53="파견중",$T53&lt;&gt;""),$T53-TODAY(),"")</f>
        <v/>
      </c>
      <c r="X53" s="17">
        <f>IF(OR($B53="",TRIM($J53&amp;"")=""),"",SUMPRODUCT((파견수련계획!$Q$4:$Q$203=TRIM($J53&amp;""))*파견수련계획!$W$4:$W$203))</f>
        <v/>
      </c>
      <c r="Y53" s="10">
        <f>IF($B53="","",IF($AG53="","",IF(IF(TRIM($J53&amp;"")="",0,SUMPRODUCT((파견수련계획!$Q$4:$Q$203=TRIM($J53&amp;""))*파견수련계획!$AD$4:$AD$203))&gt;0,$AE53,IF(N($X53)&lt;=0,$AG53,IF($AH53+$AI53=DAY(EOMONTH(요약!$B$3,0)),IF(AND($AH53&gt;=요약!$E$3,$AI53&lt;요약!$E$3),"서울병원",IF(AND($AI53&gt;=요약!$E$3,$AH53&lt;요약!$E$3),"구리병원","⚠15일 판정불가(서울 "&amp;$AH53&amp;"일/구리 "&amp;$AI53&amp;"일)")),IF($AJ53="",$AE53,IF(INDEX(파견수련계획!$T$4:$T$203,$AJ53)="통합수련",INDEX(파견수련계획!$S$4:$S$203,$AJ53),$AE53)))))))</f>
        <v/>
      </c>
      <c r="Z53" s="19">
        <f>IF($B53="","",IF($AB53="","기본자료에 없는 사번",IF(COUNTIF($B$2:$B$201,$B53)&gt;1,"중복 사번",IF($AE53="","소속(입사장소) 입력",IF(IF(TRIM($J53&amp;"")="",0,SUMPRODUCT((파견수련계획!$Q$4:$Q$203=TRIM($J53&amp;""))*(파견수련계획!$AA$4:$AA$203&lt;&gt;"")))&gt;0,"파견수련계획 입력오류 확인",IF(LEFT($Y53,1)="⚠","서울·구리 15일 판정 불가(양쪽 모두 이상/미만)",IF(IF($AC53="",0,N(INDEX(인턴근무계획!$T$3:$T$202,$AC53)))&gt;0,"인턴계획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IF($B53="","",IFERROR(MATCH($B53,기본자료!$B$2:$B$501,0),IFERROR(MATCH($B53&amp;"",기본자료!$B$2:$B$501,0),IFERROR(MATCH(VALUE($B53),기본자료!$B$2:$B$501,0),""))))</f>
        <v/>
      </c>
      <c r="AC53" s="10">
        <f>IF($B53="","",IFERROR(MATCH($B53,인턴근무계획!$D$3:$D$202,0),IFERROR(MATCH($B53&amp;"",인턴근무계획!$D$3:$D$202,0),IFERROR(MATCH(VALUE($B53),인턴근무계획!$D$3:$D$202,0),""))))</f>
        <v/>
      </c>
      <c r="AD53" s="10">
        <f>IF(OR($AC53="",인턴현황!$G$3=""),"",INDEX(인턴근무계획!$M$3:$R$202,$AC53,인턴현황!$G$3)&amp;"")</f>
        <v/>
      </c>
      <c r="AE53" s="10">
        <f>IF($B53="","",IF($M53&lt;&gt;"",$M53,IF($AF53&lt;&gt;"",IF(LEFT(INDEX(파견수련계획!$R$4:$R$203,$AF53),1)&lt;&gt;"⚠",INDEX(파견수련계획!$R$4:$R$203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$203,0),IFERROR(MATCH(TRIM($J53&amp;"")&amp;"|파견예정",파견수련계획!$Y$4:$Y$203,0),IFERROR(MATCH(TRIM($J53&amp;"")&amp;"|파견종료",파견수련계획!$Y$4:$Y$203,0),""))))</f>
        <v/>
      </c>
      <c r="AG53" s="10">
        <f>IF($B53="","",IF(AND(IF(OR($AC53="",인턴현황!$K$2=""),"",INDEX(인턴근무계획!$M$3:$R$202,$AC53,인턴현황!$K$2)&amp;"")&lt;&gt;"",LEFT(IF(OR($AC53="",인턴현황!$K$2=""),"",INDEX(인턴근무계획!$M$3:$R$202,$AC53,인턴현황!$K$2)&amp;""),1)&lt;&gt;"⚠"),LEFT(IF(OR($AC53="",인턴현황!$K$2=""),"",INDEX(인턴근무계획!$M$3:$R$202,$AC53,인턴현황!$K$2)&amp;""),FIND(" ",IF(OR($AC53="",인턴현황!$K$2=""),"",INDEX(인턴근무계획!$M$3:$R$202,$AC53,인턴현황!$K$2)&amp;""))-1),$AE53))</f>
        <v/>
      </c>
      <c r="AH53" s="17">
        <f>IF($B53="","",IF(TRIM($J53&amp;"")="",0,SUMPRODUCT((파견수련계획!$Q$4:$Q$203=TRIM($J53&amp;""))*(파견수련계획!$S$4:$S$203="서울병원")*파견수련계획!$W$4:$W$203))+IF($AG53="서울병원",MAX(0,DAY(EOMONTH(요약!$B$3,0))-N($X53)),0))</f>
        <v/>
      </c>
      <c r="AI53" s="17">
        <f>IF($B53="","",IF(TRIM($J53&amp;"")="",0,SUMPRODUCT((파견수련계획!$Q$4:$Q$203=TRIM($J53&amp;""))*(파견수련계획!$S$4:$S$203="구리병원")*파견수련계획!$W$4:$W$203))+IF($AG53="구리병원",MAX(0,DAY(EOMONTH(요약!$B$3,0))-N($X53)),0))</f>
        <v/>
      </c>
      <c r="AJ53" s="10">
        <f>IF(OR($B53="",TRIM($J53&amp;"")=""),"",IFERROR(MATCH(TRIM($J53&amp;"")&amp;"|월",파견수련계획!$Z$4:$Z$203,0),""))</f>
        <v/>
      </c>
      <c r="AK53" s="10">
        <f>IF(OR($B53="",TRIM($J53&amp;"")=""),"",IFERROR(MATCH(TRIM($J53&amp;"")&amp;"|다기관",파견수련계획!$AE$4:$AE$203,0),""))</f>
        <v/>
      </c>
      <c r="AL53" s="10">
        <f>IF($AK53="","","다기관 "&amp;TEXT(INDEX(파견수련계획!$AB$4:$AB$203,$AK53),"yyyy-mm-dd")&amp;"~"&amp;IF(ISNUMBER(INDEX(파견수련계획!$AC$4:$AC$203,$AK53)),TEXT(INDEX(파견수련계획!$AC$4:$AC$203,$AK53),"yyyy-mm-dd"),""))</f>
        <v/>
      </c>
    </row>
    <row r="54">
      <c r="A54" s="10">
        <f>IF(B54="","",ROW()-1)</f>
        <v/>
      </c>
      <c r="B54" s="18" t="n"/>
      <c r="C54" s="10">
        <f>IF($AB54="","",IF(INDEX(기본자료!$C$2:$C$501,$AB54)="","",INDEX(기본자료!$C$2:$C$501,$AB54)))</f>
        <v/>
      </c>
      <c r="D54" s="10">
        <f>IF($AB54="","",IF(INDEX(기본자료!$J$2:$J$501,$AB54)="","",INDEX(기본자료!$J$2:$J$501,$AB54)))</f>
        <v/>
      </c>
      <c r="E54" s="11">
        <f>IF($AB54="","",IF(INDEX(기본자료!$K$2:$K$501,$AB54)="","",IF(NOT(ISNUMBER(INDEX(기본자료!$K$2:$K$501,$AB54))),INDEX(기본자료!$K$2:$K$501,$AB54),IF(INDEX(기본자료!$K$2:$K$501,$AB54)&lt;1000000,INDEX(기본자료!$K$2:$K$501,$AB54),IF(AND(INDEX(기본자료!$K$2:$K$501,$AB54)&gt;=10000101,INT(MOD(INDEX(기본자료!$K$2:$K$501,$AB54),10000)/100)&gt;=1,INT(MOD(INDEX(기본자료!$K$2:$K$501,$AB54),10000)/100)&lt;=12,MOD(INDEX(기본자료!$K$2:$K$501,$AB54),100)&gt;=1,MOD(INDEX(기본자료!$K$2:$K$501,$AB54),100)&lt;=31),DATE(INT(INDEX(기본자료!$K$2:$K$501,$AB54)/10000),INT(MOD(INDEX(기본자료!$K$2:$K$501,$AB54),10000)/100),MOD(INDEX(기본자료!$K$2:$K$501,$AB54),100)),INDEX(기본자료!$K$2:$K$501,$AB54)&amp;"")))))</f>
        <v/>
      </c>
      <c r="F54" s="10">
        <f>IF($AB54="","",IF(INDEX(기본자료!$D$2:$D$501,$AB54)="","",INDEX(기본자료!$D$2:$D$501,$AB54)))</f>
        <v/>
      </c>
      <c r="G54" s="10">
        <f>IF($AB54="","",IF(INDEX(기본자료!$E$2:$E$501,$AB54)="","",INDEX(기본자료!$E$2:$E$501,$AB54)))</f>
        <v/>
      </c>
      <c r="H54" s="10">
        <f>IF($AB54="","",IF(INDEX(기본자료!$F$2:$F$501,$AB54)="","",INDEX(기본자료!$F$2:$F$501,$AB54)))</f>
        <v/>
      </c>
      <c r="I54" s="11">
        <f>IF($AB54="","",IF(INDEX(기본자료!$G$2:$G$501,$AB54)="","",IF(NOT(ISNUMBER(INDEX(기본자료!$G$2:$G$501,$AB54))),INDEX(기본자료!$G$2:$G$501,$AB54),IF(INDEX(기본자료!$G$2:$G$501,$AB54)&lt;1000000,INDEX(기본자료!$G$2:$G$501,$AB54),IF(AND(INDEX(기본자료!$G$2:$G$501,$AB54)&gt;=10000101,INT(MOD(INDEX(기본자료!$G$2:$G$501,$AB54),10000)/100)&gt;=1,INT(MOD(INDEX(기본자료!$G$2:$G$501,$AB54),10000)/100)&lt;=12,MOD(INDEX(기본자료!$G$2:$G$501,$AB54),100)&gt;=1,MOD(INDEX(기본자료!$G$2:$G$501,$AB54),100)&lt;=31),DATE(INT(INDEX(기본자료!$G$2:$G$501,$AB54)/10000),INT(MOD(INDEX(기본자료!$G$2:$G$501,$AB54),10000)/100),MOD(INDEX(기본자료!$G$2:$G$501,$AB54),100)),INDEX(기본자료!$G$2:$G$501,$AB54)&amp;"")))))</f>
        <v/>
      </c>
      <c r="J54" s="10">
        <f>IF($AB54="","",IF(INDEX(기본자료!$H$2:$H$501,$AB54)="","",INDEX(기본자료!$H$2:$H$501,$AB54)))</f>
        <v/>
      </c>
      <c r="K54" s="10">
        <f>IF($AB54="","",IF(INDEX(기본자료!$I$2:$I$501,$AB54)="","",INDEX(기본자료!$I$2:$I$501,$AB54)))</f>
        <v/>
      </c>
      <c r="L54" s="10">
        <f>IF($AB54="","",IF(INDEX(기본자료!$A$2:$A$501,$AB54)="","",INDEX(기본자료!$A$2:$A$501,$AB54)))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파견수련계획!$AB$4:$AB$203,$AK54),OR(NOT(ISNUMBER(INDEX(파견수련계획!$AC$4:$AC$203,$AK54))),TODAY()&lt;=INDEX(파견수련계획!$AC$4:$AC$203,$AK54))),"다기관",IF($AF54="","",INDEX(파견수련계획!$T$4:$T$203,$AF54))),IF($AF54="","",INDEX(파견수련계획!$T$4:$T$203,$AF54))))</f>
        <v/>
      </c>
      <c r="Q54" s="10">
        <f>IF($AF54="","",INDEX(파견수련계획!$S$4:$S$203,$AF54))</f>
        <v/>
      </c>
      <c r="R54" s="10">
        <f>IF($AF54="","",INDEX(파견수련계획!$U$4:$U$203,$AF54))</f>
        <v/>
      </c>
      <c r="S54" s="11">
        <f>IF($AF54="","",IF(INDEX(파견수련계획!$H$4:$H$203,$AF54)="","",INDEX(파견수련계획!$H$4:$H$203,$AF54)))</f>
        <v/>
      </c>
      <c r="T54" s="11">
        <f>IF($AF54="","",IF(INDEX(파견수련계획!$I$4:$I$203,$AF54)="","",INDEX(파견수련계획!$I$4:$I$203,$AF54)))</f>
        <v/>
      </c>
      <c r="U54" s="10">
        <f>IF($AF54="","",INDEX(파견수련계획!$X$4:$X$203,$AF54))</f>
        <v/>
      </c>
      <c r="V54" s="17">
        <f>IF($AF54="","",INDEX(파견수련계획!$V$4:$V$203,$AF54))</f>
        <v/>
      </c>
      <c r="W54" s="17">
        <f>IF(AND($U54="파견중",$T54&lt;&gt;""),$T54-TODAY(),"")</f>
        <v/>
      </c>
      <c r="X54" s="17">
        <f>IF(OR($B54="",TRIM($J54&amp;"")=""),"",SUMPRODUCT((파견수련계획!$Q$4:$Q$203=TRIM($J54&amp;""))*파견수련계획!$W$4:$W$203))</f>
        <v/>
      </c>
      <c r="Y54" s="10">
        <f>IF($B54="","",IF($AG54="","",IF(IF(TRIM($J54&amp;"")="",0,SUMPRODUCT((파견수련계획!$Q$4:$Q$203=TRIM($J54&amp;""))*파견수련계획!$AD$4:$AD$203))&gt;0,$AE54,IF(N($X54)&lt;=0,$AG54,IF($AH54+$AI54=DAY(EOMONTH(요약!$B$3,0)),IF(AND($AH54&gt;=요약!$E$3,$AI54&lt;요약!$E$3),"서울병원",IF(AND($AI54&gt;=요약!$E$3,$AH54&lt;요약!$E$3),"구리병원","⚠15일 판정불가(서울 "&amp;$AH54&amp;"일/구리 "&amp;$AI54&amp;"일)")),IF($AJ54="",$AE54,IF(INDEX(파견수련계획!$T$4:$T$203,$AJ54)="통합수련",INDEX(파견수련계획!$S$4:$S$203,$AJ54),$AE54)))))))</f>
        <v/>
      </c>
      <c r="Z54" s="19">
        <f>IF($B54="","",IF($AB54="","기본자료에 없는 사번",IF(COUNTIF($B$2:$B$201,$B54)&gt;1,"중복 사번",IF($AE54="","소속(입사장소) 입력",IF(IF(TRIM($J54&amp;"")="",0,SUMPRODUCT((파견수련계획!$Q$4:$Q$203=TRIM($J54&amp;""))*(파견수련계획!$AA$4:$AA$203&lt;&gt;"")))&gt;0,"파견수련계획 입력오류 확인",IF(LEFT($Y54,1)="⚠","서울·구리 15일 판정 불가(양쪽 모두 이상/미만)",IF(IF($AC54="",0,N(INDEX(인턴근무계획!$T$3:$T$202,$AC54)))&gt;0,"인턴계획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IF($B54="","",IFERROR(MATCH($B54,기본자료!$B$2:$B$501,0),IFERROR(MATCH($B54&amp;"",기본자료!$B$2:$B$501,0),IFERROR(MATCH(VALUE($B54),기본자료!$B$2:$B$501,0),""))))</f>
        <v/>
      </c>
      <c r="AC54" s="10">
        <f>IF($B54="","",IFERROR(MATCH($B54,인턴근무계획!$D$3:$D$202,0),IFERROR(MATCH($B54&amp;"",인턴근무계획!$D$3:$D$202,0),IFERROR(MATCH(VALUE($B54),인턴근무계획!$D$3:$D$202,0),""))))</f>
        <v/>
      </c>
      <c r="AD54" s="10">
        <f>IF(OR($AC54="",인턴현황!$G$3=""),"",INDEX(인턴근무계획!$M$3:$R$202,$AC54,인턴현황!$G$3)&amp;"")</f>
        <v/>
      </c>
      <c r="AE54" s="10">
        <f>IF($B54="","",IF($M54&lt;&gt;"",$M54,IF($AF54&lt;&gt;"",IF(LEFT(INDEX(파견수련계획!$R$4:$R$203,$AF54),1)&lt;&gt;"⚠",INDEX(파견수련계획!$R$4:$R$203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$203,0),IFERROR(MATCH(TRIM($J54&amp;"")&amp;"|파견예정",파견수련계획!$Y$4:$Y$203,0),IFERROR(MATCH(TRIM($J54&amp;"")&amp;"|파견종료",파견수련계획!$Y$4:$Y$203,0),""))))</f>
        <v/>
      </c>
      <c r="AG54" s="10">
        <f>IF($B54="","",IF(AND(IF(OR($AC54="",인턴현황!$K$2=""),"",INDEX(인턴근무계획!$M$3:$R$202,$AC54,인턴현황!$K$2)&amp;"")&lt;&gt;"",LEFT(IF(OR($AC54="",인턴현황!$K$2=""),"",INDEX(인턴근무계획!$M$3:$R$202,$AC54,인턴현황!$K$2)&amp;""),1)&lt;&gt;"⚠"),LEFT(IF(OR($AC54="",인턴현황!$K$2=""),"",INDEX(인턴근무계획!$M$3:$R$202,$AC54,인턴현황!$K$2)&amp;""),FIND(" ",IF(OR($AC54="",인턴현황!$K$2=""),"",INDEX(인턴근무계획!$M$3:$R$202,$AC54,인턴현황!$K$2)&amp;""))-1),$AE54))</f>
        <v/>
      </c>
      <c r="AH54" s="17">
        <f>IF($B54="","",IF(TRIM($J54&amp;"")="",0,SUMPRODUCT((파견수련계획!$Q$4:$Q$203=TRIM($J54&amp;""))*(파견수련계획!$S$4:$S$203="서울병원")*파견수련계획!$W$4:$W$203))+IF($AG54="서울병원",MAX(0,DAY(EOMONTH(요약!$B$3,0))-N($X54)),0))</f>
        <v/>
      </c>
      <c r="AI54" s="17">
        <f>IF($B54="","",IF(TRIM($J54&amp;"")="",0,SUMPRODUCT((파견수련계획!$Q$4:$Q$203=TRIM($J54&amp;""))*(파견수련계획!$S$4:$S$203="구리병원")*파견수련계획!$W$4:$W$203))+IF($AG54="구리병원",MAX(0,DAY(EOMONTH(요약!$B$3,0))-N($X54)),0))</f>
        <v/>
      </c>
      <c r="AJ54" s="10">
        <f>IF(OR($B54="",TRIM($J54&amp;"")=""),"",IFERROR(MATCH(TRIM($J54&amp;"")&amp;"|월",파견수련계획!$Z$4:$Z$203,0),""))</f>
        <v/>
      </c>
      <c r="AK54" s="10">
        <f>IF(OR($B54="",TRIM($J54&amp;"")=""),"",IFERROR(MATCH(TRIM($J54&amp;"")&amp;"|다기관",파견수련계획!$AE$4:$AE$203,0),""))</f>
        <v/>
      </c>
      <c r="AL54" s="10">
        <f>IF($AK54="","","다기관 "&amp;TEXT(INDEX(파견수련계획!$AB$4:$AB$203,$AK54),"yyyy-mm-dd")&amp;"~"&amp;IF(ISNUMBER(INDEX(파견수련계획!$AC$4:$AC$203,$AK54)),TEXT(INDEX(파견수련계획!$AC$4:$AC$203,$AK54),"yyyy-mm-dd"),""))</f>
        <v/>
      </c>
    </row>
    <row r="55">
      <c r="A55" s="10">
        <f>IF(B55="","",ROW()-1)</f>
        <v/>
      </c>
      <c r="B55" s="18" t="n"/>
      <c r="C55" s="10">
        <f>IF($AB55="","",IF(INDEX(기본자료!$C$2:$C$501,$AB55)="","",INDEX(기본자료!$C$2:$C$501,$AB55)))</f>
        <v/>
      </c>
      <c r="D55" s="10">
        <f>IF($AB55="","",IF(INDEX(기본자료!$J$2:$J$501,$AB55)="","",INDEX(기본자료!$J$2:$J$501,$AB55)))</f>
        <v/>
      </c>
      <c r="E55" s="11">
        <f>IF($AB55="","",IF(INDEX(기본자료!$K$2:$K$501,$AB55)="","",IF(NOT(ISNUMBER(INDEX(기본자료!$K$2:$K$501,$AB55))),INDEX(기본자료!$K$2:$K$501,$AB55),IF(INDEX(기본자료!$K$2:$K$501,$AB55)&lt;1000000,INDEX(기본자료!$K$2:$K$501,$AB55),IF(AND(INDEX(기본자료!$K$2:$K$501,$AB55)&gt;=10000101,INT(MOD(INDEX(기본자료!$K$2:$K$501,$AB55),10000)/100)&gt;=1,INT(MOD(INDEX(기본자료!$K$2:$K$501,$AB55),10000)/100)&lt;=12,MOD(INDEX(기본자료!$K$2:$K$501,$AB55),100)&gt;=1,MOD(INDEX(기본자료!$K$2:$K$501,$AB55),100)&lt;=31),DATE(INT(INDEX(기본자료!$K$2:$K$501,$AB55)/10000),INT(MOD(INDEX(기본자료!$K$2:$K$501,$AB55),10000)/100),MOD(INDEX(기본자료!$K$2:$K$501,$AB55),100)),INDEX(기본자료!$K$2:$K$501,$AB55)&amp;"")))))</f>
        <v/>
      </c>
      <c r="F55" s="10">
        <f>IF($AB55="","",IF(INDEX(기본자료!$D$2:$D$501,$AB55)="","",INDEX(기본자료!$D$2:$D$501,$AB55)))</f>
        <v/>
      </c>
      <c r="G55" s="10">
        <f>IF($AB55="","",IF(INDEX(기본자료!$E$2:$E$501,$AB55)="","",INDEX(기본자료!$E$2:$E$501,$AB55)))</f>
        <v/>
      </c>
      <c r="H55" s="10">
        <f>IF($AB55="","",IF(INDEX(기본자료!$F$2:$F$501,$AB55)="","",INDEX(기본자료!$F$2:$F$501,$AB55)))</f>
        <v/>
      </c>
      <c r="I55" s="11">
        <f>IF($AB55="","",IF(INDEX(기본자료!$G$2:$G$501,$AB55)="","",IF(NOT(ISNUMBER(INDEX(기본자료!$G$2:$G$501,$AB55))),INDEX(기본자료!$G$2:$G$501,$AB55),IF(INDEX(기본자료!$G$2:$G$501,$AB55)&lt;1000000,INDEX(기본자료!$G$2:$G$501,$AB55),IF(AND(INDEX(기본자료!$G$2:$G$501,$AB55)&gt;=10000101,INT(MOD(INDEX(기본자료!$G$2:$G$501,$AB55),10000)/100)&gt;=1,INT(MOD(INDEX(기본자료!$G$2:$G$501,$AB55),10000)/100)&lt;=12,MOD(INDEX(기본자료!$G$2:$G$501,$AB55),100)&gt;=1,MOD(INDEX(기본자료!$G$2:$G$501,$AB55),100)&lt;=31),DATE(INT(INDEX(기본자료!$G$2:$G$501,$AB55)/10000),INT(MOD(INDEX(기본자료!$G$2:$G$501,$AB55),10000)/100),MOD(INDEX(기본자료!$G$2:$G$501,$AB55),100)),INDEX(기본자료!$G$2:$G$501,$AB55)&amp;"")))))</f>
        <v/>
      </c>
      <c r="J55" s="10">
        <f>IF($AB55="","",IF(INDEX(기본자료!$H$2:$H$501,$AB55)="","",INDEX(기본자료!$H$2:$H$501,$AB55)))</f>
        <v/>
      </c>
      <c r="K55" s="10">
        <f>IF($AB55="","",IF(INDEX(기본자료!$I$2:$I$501,$AB55)="","",INDEX(기본자료!$I$2:$I$501,$AB55)))</f>
        <v/>
      </c>
      <c r="L55" s="10">
        <f>IF($AB55="","",IF(INDEX(기본자료!$A$2:$A$501,$AB55)="","",INDEX(기본자료!$A$2:$A$501,$AB55)))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파견수련계획!$AB$4:$AB$203,$AK55),OR(NOT(ISNUMBER(INDEX(파견수련계획!$AC$4:$AC$203,$AK55))),TODAY()&lt;=INDEX(파견수련계획!$AC$4:$AC$203,$AK55))),"다기관",IF($AF55="","",INDEX(파견수련계획!$T$4:$T$203,$AF55))),IF($AF55="","",INDEX(파견수련계획!$T$4:$T$203,$AF55))))</f>
        <v/>
      </c>
      <c r="Q55" s="10">
        <f>IF($AF55="","",INDEX(파견수련계획!$S$4:$S$203,$AF55))</f>
        <v/>
      </c>
      <c r="R55" s="10">
        <f>IF($AF55="","",INDEX(파견수련계획!$U$4:$U$203,$AF55))</f>
        <v/>
      </c>
      <c r="S55" s="11">
        <f>IF($AF55="","",IF(INDEX(파견수련계획!$H$4:$H$203,$AF55)="","",INDEX(파견수련계획!$H$4:$H$203,$AF55)))</f>
        <v/>
      </c>
      <c r="T55" s="11">
        <f>IF($AF55="","",IF(INDEX(파견수련계획!$I$4:$I$203,$AF55)="","",INDEX(파견수련계획!$I$4:$I$203,$AF55)))</f>
        <v/>
      </c>
      <c r="U55" s="10">
        <f>IF($AF55="","",INDEX(파견수련계획!$X$4:$X$203,$AF55))</f>
        <v/>
      </c>
      <c r="V55" s="17">
        <f>IF($AF55="","",INDEX(파견수련계획!$V$4:$V$203,$AF55))</f>
        <v/>
      </c>
      <c r="W55" s="17">
        <f>IF(AND($U55="파견중",$T55&lt;&gt;""),$T55-TODAY(),"")</f>
        <v/>
      </c>
      <c r="X55" s="17">
        <f>IF(OR($B55="",TRIM($J55&amp;"")=""),"",SUMPRODUCT((파견수련계획!$Q$4:$Q$203=TRIM($J55&amp;""))*파견수련계획!$W$4:$W$203))</f>
        <v/>
      </c>
      <c r="Y55" s="10">
        <f>IF($B55="","",IF($AG55="","",IF(IF(TRIM($J55&amp;"")="",0,SUMPRODUCT((파견수련계획!$Q$4:$Q$203=TRIM($J55&amp;""))*파견수련계획!$AD$4:$AD$203))&gt;0,$AE55,IF(N($X55)&lt;=0,$AG55,IF($AH55+$AI55=DAY(EOMONTH(요약!$B$3,0)),IF(AND($AH55&gt;=요약!$E$3,$AI55&lt;요약!$E$3),"서울병원",IF(AND($AI55&gt;=요약!$E$3,$AH55&lt;요약!$E$3),"구리병원","⚠15일 판정불가(서울 "&amp;$AH55&amp;"일/구리 "&amp;$AI55&amp;"일)")),IF($AJ55="",$AE55,IF(INDEX(파견수련계획!$T$4:$T$203,$AJ55)="통합수련",INDEX(파견수련계획!$S$4:$S$203,$AJ55),$AE55)))))))</f>
        <v/>
      </c>
      <c r="Z55" s="19">
        <f>IF($B55="","",IF($AB55="","기본자료에 없는 사번",IF(COUNTIF($B$2:$B$201,$B55)&gt;1,"중복 사번",IF($AE55="","소속(입사장소) 입력",IF(IF(TRIM($J55&amp;"")="",0,SUMPRODUCT((파견수련계획!$Q$4:$Q$203=TRIM($J55&amp;""))*(파견수련계획!$AA$4:$AA$203&lt;&gt;"")))&gt;0,"파견수련계획 입력오류 확인",IF(LEFT($Y55,1)="⚠","서울·구리 15일 판정 불가(양쪽 모두 이상/미만)",IF(IF($AC55="",0,N(INDEX(인턴근무계획!$T$3:$T$202,$AC55)))&gt;0,"인턴계획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IF($B55="","",IFERROR(MATCH($B55,기본자료!$B$2:$B$501,0),IFERROR(MATCH($B55&amp;"",기본자료!$B$2:$B$501,0),IFERROR(MATCH(VALUE($B55),기본자료!$B$2:$B$501,0),""))))</f>
        <v/>
      </c>
      <c r="AC55" s="10">
        <f>IF($B55="","",IFERROR(MATCH($B55,인턴근무계획!$D$3:$D$202,0),IFERROR(MATCH($B55&amp;"",인턴근무계획!$D$3:$D$202,0),IFERROR(MATCH(VALUE($B55),인턴근무계획!$D$3:$D$202,0),""))))</f>
        <v/>
      </c>
      <c r="AD55" s="10">
        <f>IF(OR($AC55="",인턴현황!$G$3=""),"",INDEX(인턴근무계획!$M$3:$R$202,$AC55,인턴현황!$G$3)&amp;"")</f>
        <v/>
      </c>
      <c r="AE55" s="10">
        <f>IF($B55="","",IF($M55&lt;&gt;"",$M55,IF($AF55&lt;&gt;"",IF(LEFT(INDEX(파견수련계획!$R$4:$R$203,$AF55),1)&lt;&gt;"⚠",INDEX(파견수련계획!$R$4:$R$203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$203,0),IFERROR(MATCH(TRIM($J55&amp;"")&amp;"|파견예정",파견수련계획!$Y$4:$Y$203,0),IFERROR(MATCH(TRIM($J55&amp;"")&amp;"|파견종료",파견수련계획!$Y$4:$Y$203,0),""))))</f>
        <v/>
      </c>
      <c r="AG55" s="10">
        <f>IF($B55="","",IF(AND(IF(OR($AC55="",인턴현황!$K$2=""),"",INDEX(인턴근무계획!$M$3:$R$202,$AC55,인턴현황!$K$2)&amp;"")&lt;&gt;"",LEFT(IF(OR($AC55="",인턴현황!$K$2=""),"",INDEX(인턴근무계획!$M$3:$R$202,$AC55,인턴현황!$K$2)&amp;""),1)&lt;&gt;"⚠"),LEFT(IF(OR($AC55="",인턴현황!$K$2=""),"",INDEX(인턴근무계획!$M$3:$R$202,$AC55,인턴현황!$K$2)&amp;""),FIND(" ",IF(OR($AC55="",인턴현황!$K$2=""),"",INDEX(인턴근무계획!$M$3:$R$202,$AC55,인턴현황!$K$2)&amp;""))-1),$AE55))</f>
        <v/>
      </c>
      <c r="AH55" s="17">
        <f>IF($B55="","",IF(TRIM($J55&amp;"")="",0,SUMPRODUCT((파견수련계획!$Q$4:$Q$203=TRIM($J55&amp;""))*(파견수련계획!$S$4:$S$203="서울병원")*파견수련계획!$W$4:$W$203))+IF($AG55="서울병원",MAX(0,DAY(EOMONTH(요약!$B$3,0))-N($X55)),0))</f>
        <v/>
      </c>
      <c r="AI55" s="17">
        <f>IF($B55="","",IF(TRIM($J55&amp;"")="",0,SUMPRODUCT((파견수련계획!$Q$4:$Q$203=TRIM($J55&amp;""))*(파견수련계획!$S$4:$S$203="구리병원")*파견수련계획!$W$4:$W$203))+IF($AG55="구리병원",MAX(0,DAY(EOMONTH(요약!$B$3,0))-N($X55)),0))</f>
        <v/>
      </c>
      <c r="AJ55" s="10">
        <f>IF(OR($B55="",TRIM($J55&amp;"")=""),"",IFERROR(MATCH(TRIM($J55&amp;"")&amp;"|월",파견수련계획!$Z$4:$Z$203,0),""))</f>
        <v/>
      </c>
      <c r="AK55" s="10">
        <f>IF(OR($B55="",TRIM($J55&amp;"")=""),"",IFERROR(MATCH(TRIM($J55&amp;"")&amp;"|다기관",파견수련계획!$AE$4:$AE$203,0),""))</f>
        <v/>
      </c>
      <c r="AL55" s="10">
        <f>IF($AK55="","","다기관 "&amp;TEXT(INDEX(파견수련계획!$AB$4:$AB$203,$AK55),"yyyy-mm-dd")&amp;"~"&amp;IF(ISNUMBER(INDEX(파견수련계획!$AC$4:$AC$203,$AK55)),TEXT(INDEX(파견수련계획!$AC$4:$AC$203,$AK55),"yyyy-mm-dd"),""))</f>
        <v/>
      </c>
    </row>
    <row r="56">
      <c r="A56" s="10">
        <f>IF(B56="","",ROW()-1)</f>
        <v/>
      </c>
      <c r="B56" s="18" t="n"/>
      <c r="C56" s="10">
        <f>IF($AB56="","",IF(INDEX(기본자료!$C$2:$C$501,$AB56)="","",INDEX(기본자료!$C$2:$C$501,$AB56)))</f>
        <v/>
      </c>
      <c r="D56" s="10">
        <f>IF($AB56="","",IF(INDEX(기본자료!$J$2:$J$501,$AB56)="","",INDEX(기본자료!$J$2:$J$501,$AB56)))</f>
        <v/>
      </c>
      <c r="E56" s="11">
        <f>IF($AB56="","",IF(INDEX(기본자료!$K$2:$K$501,$AB56)="","",IF(NOT(ISNUMBER(INDEX(기본자료!$K$2:$K$501,$AB56))),INDEX(기본자료!$K$2:$K$501,$AB56),IF(INDEX(기본자료!$K$2:$K$501,$AB56)&lt;1000000,INDEX(기본자료!$K$2:$K$501,$AB56),IF(AND(INDEX(기본자료!$K$2:$K$501,$AB56)&gt;=10000101,INT(MOD(INDEX(기본자료!$K$2:$K$501,$AB56),10000)/100)&gt;=1,INT(MOD(INDEX(기본자료!$K$2:$K$501,$AB56),10000)/100)&lt;=12,MOD(INDEX(기본자료!$K$2:$K$501,$AB56),100)&gt;=1,MOD(INDEX(기본자료!$K$2:$K$501,$AB56),100)&lt;=31),DATE(INT(INDEX(기본자료!$K$2:$K$501,$AB56)/10000),INT(MOD(INDEX(기본자료!$K$2:$K$501,$AB56),10000)/100),MOD(INDEX(기본자료!$K$2:$K$501,$AB56),100)),INDEX(기본자료!$K$2:$K$501,$AB56)&amp;"")))))</f>
        <v/>
      </c>
      <c r="F56" s="10">
        <f>IF($AB56="","",IF(INDEX(기본자료!$D$2:$D$501,$AB56)="","",INDEX(기본자료!$D$2:$D$501,$AB56)))</f>
        <v/>
      </c>
      <c r="G56" s="10">
        <f>IF($AB56="","",IF(INDEX(기본자료!$E$2:$E$501,$AB56)="","",INDEX(기본자료!$E$2:$E$501,$AB56)))</f>
        <v/>
      </c>
      <c r="H56" s="10">
        <f>IF($AB56="","",IF(INDEX(기본자료!$F$2:$F$501,$AB56)="","",INDEX(기본자료!$F$2:$F$501,$AB56)))</f>
        <v/>
      </c>
      <c r="I56" s="11">
        <f>IF($AB56="","",IF(INDEX(기본자료!$G$2:$G$501,$AB56)="","",IF(NOT(ISNUMBER(INDEX(기본자료!$G$2:$G$501,$AB56))),INDEX(기본자료!$G$2:$G$501,$AB56),IF(INDEX(기본자료!$G$2:$G$501,$AB56)&lt;1000000,INDEX(기본자료!$G$2:$G$501,$AB56),IF(AND(INDEX(기본자료!$G$2:$G$501,$AB56)&gt;=10000101,INT(MOD(INDEX(기본자료!$G$2:$G$501,$AB56),10000)/100)&gt;=1,INT(MOD(INDEX(기본자료!$G$2:$G$501,$AB56),10000)/100)&lt;=12,MOD(INDEX(기본자료!$G$2:$G$501,$AB56),100)&gt;=1,MOD(INDEX(기본자료!$G$2:$G$501,$AB56),100)&lt;=31),DATE(INT(INDEX(기본자료!$G$2:$G$501,$AB56)/10000),INT(MOD(INDEX(기본자료!$G$2:$G$501,$AB56),10000)/100),MOD(INDEX(기본자료!$G$2:$G$501,$AB56),100)),INDEX(기본자료!$G$2:$G$501,$AB56)&amp;"")))))</f>
        <v/>
      </c>
      <c r="J56" s="10">
        <f>IF($AB56="","",IF(INDEX(기본자료!$H$2:$H$501,$AB56)="","",INDEX(기본자료!$H$2:$H$501,$AB56)))</f>
        <v/>
      </c>
      <c r="K56" s="10">
        <f>IF($AB56="","",IF(INDEX(기본자료!$I$2:$I$501,$AB56)="","",INDEX(기본자료!$I$2:$I$501,$AB56)))</f>
        <v/>
      </c>
      <c r="L56" s="10">
        <f>IF($AB56="","",IF(INDEX(기본자료!$A$2:$A$501,$AB56)="","",INDEX(기본자료!$A$2:$A$501,$AB56)))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파견수련계획!$AB$4:$AB$203,$AK56),OR(NOT(ISNUMBER(INDEX(파견수련계획!$AC$4:$AC$203,$AK56))),TODAY()&lt;=INDEX(파견수련계획!$AC$4:$AC$203,$AK56))),"다기관",IF($AF56="","",INDEX(파견수련계획!$T$4:$T$203,$AF56))),IF($AF56="","",INDEX(파견수련계획!$T$4:$T$203,$AF56))))</f>
        <v/>
      </c>
      <c r="Q56" s="10">
        <f>IF($AF56="","",INDEX(파견수련계획!$S$4:$S$203,$AF56))</f>
        <v/>
      </c>
      <c r="R56" s="10">
        <f>IF($AF56="","",INDEX(파견수련계획!$U$4:$U$203,$AF56))</f>
        <v/>
      </c>
      <c r="S56" s="11">
        <f>IF($AF56="","",IF(INDEX(파견수련계획!$H$4:$H$203,$AF56)="","",INDEX(파견수련계획!$H$4:$H$203,$AF56)))</f>
        <v/>
      </c>
      <c r="T56" s="11">
        <f>IF($AF56="","",IF(INDEX(파견수련계획!$I$4:$I$203,$AF56)="","",INDEX(파견수련계획!$I$4:$I$203,$AF56)))</f>
        <v/>
      </c>
      <c r="U56" s="10">
        <f>IF($AF56="","",INDEX(파견수련계획!$X$4:$X$203,$AF56))</f>
        <v/>
      </c>
      <c r="V56" s="17">
        <f>IF($AF56="","",INDEX(파견수련계획!$V$4:$V$203,$AF56))</f>
        <v/>
      </c>
      <c r="W56" s="17">
        <f>IF(AND($U56="파견중",$T56&lt;&gt;""),$T56-TODAY(),"")</f>
        <v/>
      </c>
      <c r="X56" s="17">
        <f>IF(OR($B56="",TRIM($J56&amp;"")=""),"",SUMPRODUCT((파견수련계획!$Q$4:$Q$203=TRIM($J56&amp;""))*파견수련계획!$W$4:$W$203))</f>
        <v/>
      </c>
      <c r="Y56" s="10">
        <f>IF($B56="","",IF($AG56="","",IF(IF(TRIM($J56&amp;"")="",0,SUMPRODUCT((파견수련계획!$Q$4:$Q$203=TRIM($J56&amp;""))*파견수련계획!$AD$4:$AD$203))&gt;0,$AE56,IF(N($X56)&lt;=0,$AG56,IF($AH56+$AI56=DAY(EOMONTH(요약!$B$3,0)),IF(AND($AH56&gt;=요약!$E$3,$AI56&lt;요약!$E$3),"서울병원",IF(AND($AI56&gt;=요약!$E$3,$AH56&lt;요약!$E$3),"구리병원","⚠15일 판정불가(서울 "&amp;$AH56&amp;"일/구리 "&amp;$AI56&amp;"일)")),IF($AJ56="",$AE56,IF(INDEX(파견수련계획!$T$4:$T$203,$AJ56)="통합수련",INDEX(파견수련계획!$S$4:$S$203,$AJ56),$AE56)))))))</f>
        <v/>
      </c>
      <c r="Z56" s="19">
        <f>IF($B56="","",IF($AB56="","기본자료에 없는 사번",IF(COUNTIF($B$2:$B$201,$B56)&gt;1,"중복 사번",IF($AE56="","소속(입사장소) 입력",IF(IF(TRIM($J56&amp;"")="",0,SUMPRODUCT((파견수련계획!$Q$4:$Q$203=TRIM($J56&amp;""))*(파견수련계획!$AA$4:$AA$203&lt;&gt;"")))&gt;0,"파견수련계획 입력오류 확인",IF(LEFT($Y56,1)="⚠","서울·구리 15일 판정 불가(양쪽 모두 이상/미만)",IF(IF($AC56="",0,N(INDEX(인턴근무계획!$T$3:$T$202,$AC56)))&gt;0,"인턴계획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IF($B56="","",IFERROR(MATCH($B56,기본자료!$B$2:$B$501,0),IFERROR(MATCH($B56&amp;"",기본자료!$B$2:$B$501,0),IFERROR(MATCH(VALUE($B56),기본자료!$B$2:$B$501,0),""))))</f>
        <v/>
      </c>
      <c r="AC56" s="10">
        <f>IF($B56="","",IFERROR(MATCH($B56,인턴근무계획!$D$3:$D$202,0),IFERROR(MATCH($B56&amp;"",인턴근무계획!$D$3:$D$202,0),IFERROR(MATCH(VALUE($B56),인턴근무계획!$D$3:$D$202,0),""))))</f>
        <v/>
      </c>
      <c r="AD56" s="10">
        <f>IF(OR($AC56="",인턴현황!$G$3=""),"",INDEX(인턴근무계획!$M$3:$R$202,$AC56,인턴현황!$G$3)&amp;"")</f>
        <v/>
      </c>
      <c r="AE56" s="10">
        <f>IF($B56="","",IF($M56&lt;&gt;"",$M56,IF($AF56&lt;&gt;"",IF(LEFT(INDEX(파견수련계획!$R$4:$R$203,$AF56),1)&lt;&gt;"⚠",INDEX(파견수련계획!$R$4:$R$203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$203,0),IFERROR(MATCH(TRIM($J56&amp;"")&amp;"|파견예정",파견수련계획!$Y$4:$Y$203,0),IFERROR(MATCH(TRIM($J56&amp;"")&amp;"|파견종료",파견수련계획!$Y$4:$Y$203,0),""))))</f>
        <v/>
      </c>
      <c r="AG56" s="10">
        <f>IF($B56="","",IF(AND(IF(OR($AC56="",인턴현황!$K$2=""),"",INDEX(인턴근무계획!$M$3:$R$202,$AC56,인턴현황!$K$2)&amp;"")&lt;&gt;"",LEFT(IF(OR($AC56="",인턴현황!$K$2=""),"",INDEX(인턴근무계획!$M$3:$R$202,$AC56,인턴현황!$K$2)&amp;""),1)&lt;&gt;"⚠"),LEFT(IF(OR($AC56="",인턴현황!$K$2=""),"",INDEX(인턴근무계획!$M$3:$R$202,$AC56,인턴현황!$K$2)&amp;""),FIND(" ",IF(OR($AC56="",인턴현황!$K$2=""),"",INDEX(인턴근무계획!$M$3:$R$202,$AC56,인턴현황!$K$2)&amp;""))-1),$AE56))</f>
        <v/>
      </c>
      <c r="AH56" s="17">
        <f>IF($B56="","",IF(TRIM($J56&amp;"")="",0,SUMPRODUCT((파견수련계획!$Q$4:$Q$203=TRIM($J56&amp;""))*(파견수련계획!$S$4:$S$203="서울병원")*파견수련계획!$W$4:$W$203))+IF($AG56="서울병원",MAX(0,DAY(EOMONTH(요약!$B$3,0))-N($X56)),0))</f>
        <v/>
      </c>
      <c r="AI56" s="17">
        <f>IF($B56="","",IF(TRIM($J56&amp;"")="",0,SUMPRODUCT((파견수련계획!$Q$4:$Q$203=TRIM($J56&amp;""))*(파견수련계획!$S$4:$S$203="구리병원")*파견수련계획!$W$4:$W$203))+IF($AG56="구리병원",MAX(0,DAY(EOMONTH(요약!$B$3,0))-N($X56)),0))</f>
        <v/>
      </c>
      <c r="AJ56" s="10">
        <f>IF(OR($B56="",TRIM($J56&amp;"")=""),"",IFERROR(MATCH(TRIM($J56&amp;"")&amp;"|월",파견수련계획!$Z$4:$Z$203,0),""))</f>
        <v/>
      </c>
      <c r="AK56" s="10">
        <f>IF(OR($B56="",TRIM($J56&amp;"")=""),"",IFERROR(MATCH(TRIM($J56&amp;"")&amp;"|다기관",파견수련계획!$AE$4:$AE$203,0),""))</f>
        <v/>
      </c>
      <c r="AL56" s="10">
        <f>IF($AK56="","","다기관 "&amp;TEXT(INDEX(파견수련계획!$AB$4:$AB$203,$AK56),"yyyy-mm-dd")&amp;"~"&amp;IF(ISNUMBER(INDEX(파견수련계획!$AC$4:$AC$203,$AK56)),TEXT(INDEX(파견수련계획!$AC$4:$AC$203,$AK56),"yyyy-mm-dd"),""))</f>
        <v/>
      </c>
    </row>
    <row r="57">
      <c r="A57" s="10">
        <f>IF(B57="","",ROW()-1)</f>
        <v/>
      </c>
      <c r="B57" s="18" t="n"/>
      <c r="C57" s="10">
        <f>IF($AB57="","",IF(INDEX(기본자료!$C$2:$C$501,$AB57)="","",INDEX(기본자료!$C$2:$C$501,$AB57)))</f>
        <v/>
      </c>
      <c r="D57" s="10">
        <f>IF($AB57="","",IF(INDEX(기본자료!$J$2:$J$501,$AB57)="","",INDEX(기본자료!$J$2:$J$501,$AB57)))</f>
        <v/>
      </c>
      <c r="E57" s="11">
        <f>IF($AB57="","",IF(INDEX(기본자료!$K$2:$K$501,$AB57)="","",IF(NOT(ISNUMBER(INDEX(기본자료!$K$2:$K$501,$AB57))),INDEX(기본자료!$K$2:$K$501,$AB57),IF(INDEX(기본자료!$K$2:$K$501,$AB57)&lt;1000000,INDEX(기본자료!$K$2:$K$501,$AB57),IF(AND(INDEX(기본자료!$K$2:$K$501,$AB57)&gt;=10000101,INT(MOD(INDEX(기본자료!$K$2:$K$501,$AB57),10000)/100)&gt;=1,INT(MOD(INDEX(기본자료!$K$2:$K$501,$AB57),10000)/100)&lt;=12,MOD(INDEX(기본자료!$K$2:$K$501,$AB57),100)&gt;=1,MOD(INDEX(기본자료!$K$2:$K$501,$AB57),100)&lt;=31),DATE(INT(INDEX(기본자료!$K$2:$K$501,$AB57)/10000),INT(MOD(INDEX(기본자료!$K$2:$K$501,$AB57),10000)/100),MOD(INDEX(기본자료!$K$2:$K$501,$AB57),100)),INDEX(기본자료!$K$2:$K$501,$AB57)&amp;"")))))</f>
        <v/>
      </c>
      <c r="F57" s="10">
        <f>IF($AB57="","",IF(INDEX(기본자료!$D$2:$D$501,$AB57)="","",INDEX(기본자료!$D$2:$D$501,$AB57)))</f>
        <v/>
      </c>
      <c r="G57" s="10">
        <f>IF($AB57="","",IF(INDEX(기본자료!$E$2:$E$501,$AB57)="","",INDEX(기본자료!$E$2:$E$501,$AB57)))</f>
        <v/>
      </c>
      <c r="H57" s="10">
        <f>IF($AB57="","",IF(INDEX(기본자료!$F$2:$F$501,$AB57)="","",INDEX(기본자료!$F$2:$F$501,$AB57)))</f>
        <v/>
      </c>
      <c r="I57" s="11">
        <f>IF($AB57="","",IF(INDEX(기본자료!$G$2:$G$501,$AB57)="","",IF(NOT(ISNUMBER(INDEX(기본자료!$G$2:$G$501,$AB57))),INDEX(기본자료!$G$2:$G$501,$AB57),IF(INDEX(기본자료!$G$2:$G$501,$AB57)&lt;1000000,INDEX(기본자료!$G$2:$G$501,$AB57),IF(AND(INDEX(기본자료!$G$2:$G$501,$AB57)&gt;=10000101,INT(MOD(INDEX(기본자료!$G$2:$G$501,$AB57),10000)/100)&gt;=1,INT(MOD(INDEX(기본자료!$G$2:$G$501,$AB57),10000)/100)&lt;=12,MOD(INDEX(기본자료!$G$2:$G$501,$AB57),100)&gt;=1,MOD(INDEX(기본자료!$G$2:$G$501,$AB57),100)&lt;=31),DATE(INT(INDEX(기본자료!$G$2:$G$501,$AB57)/10000),INT(MOD(INDEX(기본자료!$G$2:$G$501,$AB57),10000)/100),MOD(INDEX(기본자료!$G$2:$G$501,$AB57),100)),INDEX(기본자료!$G$2:$G$501,$AB57)&amp;"")))))</f>
        <v/>
      </c>
      <c r="J57" s="10">
        <f>IF($AB57="","",IF(INDEX(기본자료!$H$2:$H$501,$AB57)="","",INDEX(기본자료!$H$2:$H$501,$AB57)))</f>
        <v/>
      </c>
      <c r="K57" s="10">
        <f>IF($AB57="","",IF(INDEX(기본자료!$I$2:$I$501,$AB57)="","",INDEX(기본자료!$I$2:$I$501,$AB57)))</f>
        <v/>
      </c>
      <c r="L57" s="10">
        <f>IF($AB57="","",IF(INDEX(기본자료!$A$2:$A$501,$AB57)="","",INDEX(기본자료!$A$2:$A$501,$AB57)))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파견수련계획!$AB$4:$AB$203,$AK57),OR(NOT(ISNUMBER(INDEX(파견수련계획!$AC$4:$AC$203,$AK57))),TODAY()&lt;=INDEX(파견수련계획!$AC$4:$AC$203,$AK57))),"다기관",IF($AF57="","",INDEX(파견수련계획!$T$4:$T$203,$AF57))),IF($AF57="","",INDEX(파견수련계획!$T$4:$T$203,$AF57))))</f>
        <v/>
      </c>
      <c r="Q57" s="10">
        <f>IF($AF57="","",INDEX(파견수련계획!$S$4:$S$203,$AF57))</f>
        <v/>
      </c>
      <c r="R57" s="10">
        <f>IF($AF57="","",INDEX(파견수련계획!$U$4:$U$203,$AF57))</f>
        <v/>
      </c>
      <c r="S57" s="11">
        <f>IF($AF57="","",IF(INDEX(파견수련계획!$H$4:$H$203,$AF57)="","",INDEX(파견수련계획!$H$4:$H$203,$AF57)))</f>
        <v/>
      </c>
      <c r="T57" s="11">
        <f>IF($AF57="","",IF(INDEX(파견수련계획!$I$4:$I$203,$AF57)="","",INDEX(파견수련계획!$I$4:$I$203,$AF57)))</f>
        <v/>
      </c>
      <c r="U57" s="10">
        <f>IF($AF57="","",INDEX(파견수련계획!$X$4:$X$203,$AF57))</f>
        <v/>
      </c>
      <c r="V57" s="17">
        <f>IF($AF57="","",INDEX(파견수련계획!$V$4:$V$203,$AF57))</f>
        <v/>
      </c>
      <c r="W57" s="17">
        <f>IF(AND($U57="파견중",$T57&lt;&gt;""),$T57-TODAY(),"")</f>
        <v/>
      </c>
      <c r="X57" s="17">
        <f>IF(OR($B57="",TRIM($J57&amp;"")=""),"",SUMPRODUCT((파견수련계획!$Q$4:$Q$203=TRIM($J57&amp;""))*파견수련계획!$W$4:$W$203))</f>
        <v/>
      </c>
      <c r="Y57" s="10">
        <f>IF($B57="","",IF($AG57="","",IF(IF(TRIM($J57&amp;"")="",0,SUMPRODUCT((파견수련계획!$Q$4:$Q$203=TRIM($J57&amp;""))*파견수련계획!$AD$4:$AD$203))&gt;0,$AE57,IF(N($X57)&lt;=0,$AG57,IF($AH57+$AI57=DAY(EOMONTH(요약!$B$3,0)),IF(AND($AH57&gt;=요약!$E$3,$AI57&lt;요약!$E$3),"서울병원",IF(AND($AI57&gt;=요약!$E$3,$AH57&lt;요약!$E$3),"구리병원","⚠15일 판정불가(서울 "&amp;$AH57&amp;"일/구리 "&amp;$AI57&amp;"일)")),IF($AJ57="",$AE57,IF(INDEX(파견수련계획!$T$4:$T$203,$AJ57)="통합수련",INDEX(파견수련계획!$S$4:$S$203,$AJ57),$AE57)))))))</f>
        <v/>
      </c>
      <c r="Z57" s="19">
        <f>IF($B57="","",IF($AB57="","기본자료에 없는 사번",IF(COUNTIF($B$2:$B$201,$B57)&gt;1,"중복 사번",IF($AE57="","소속(입사장소) 입력",IF(IF(TRIM($J57&amp;"")="",0,SUMPRODUCT((파견수련계획!$Q$4:$Q$203=TRIM($J57&amp;""))*(파견수련계획!$AA$4:$AA$203&lt;&gt;"")))&gt;0,"파견수련계획 입력오류 확인",IF(LEFT($Y57,1)="⚠","서울·구리 15일 판정 불가(양쪽 모두 이상/미만)",IF(IF($AC57="",0,N(INDEX(인턴근무계획!$T$3:$T$202,$AC57)))&gt;0,"인턴계획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IF($B57="","",IFERROR(MATCH($B57,기본자료!$B$2:$B$501,0),IFERROR(MATCH($B57&amp;"",기본자료!$B$2:$B$501,0),IFERROR(MATCH(VALUE($B57),기본자료!$B$2:$B$501,0),""))))</f>
        <v/>
      </c>
      <c r="AC57" s="10">
        <f>IF($B57="","",IFERROR(MATCH($B57,인턴근무계획!$D$3:$D$202,0),IFERROR(MATCH($B57&amp;"",인턴근무계획!$D$3:$D$202,0),IFERROR(MATCH(VALUE($B57),인턴근무계획!$D$3:$D$202,0),""))))</f>
        <v/>
      </c>
      <c r="AD57" s="10">
        <f>IF(OR($AC57="",인턴현황!$G$3=""),"",INDEX(인턴근무계획!$M$3:$R$202,$AC57,인턴현황!$G$3)&amp;"")</f>
        <v/>
      </c>
      <c r="AE57" s="10">
        <f>IF($B57="","",IF($M57&lt;&gt;"",$M57,IF($AF57&lt;&gt;"",IF(LEFT(INDEX(파견수련계획!$R$4:$R$203,$AF57),1)&lt;&gt;"⚠",INDEX(파견수련계획!$R$4:$R$203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$203,0),IFERROR(MATCH(TRIM($J57&amp;"")&amp;"|파견예정",파견수련계획!$Y$4:$Y$203,0),IFERROR(MATCH(TRIM($J57&amp;"")&amp;"|파견종료",파견수련계획!$Y$4:$Y$203,0),""))))</f>
        <v/>
      </c>
      <c r="AG57" s="10">
        <f>IF($B57="","",IF(AND(IF(OR($AC57="",인턴현황!$K$2=""),"",INDEX(인턴근무계획!$M$3:$R$202,$AC57,인턴현황!$K$2)&amp;"")&lt;&gt;"",LEFT(IF(OR($AC57="",인턴현황!$K$2=""),"",INDEX(인턴근무계획!$M$3:$R$202,$AC57,인턴현황!$K$2)&amp;""),1)&lt;&gt;"⚠"),LEFT(IF(OR($AC57="",인턴현황!$K$2=""),"",INDEX(인턴근무계획!$M$3:$R$202,$AC57,인턴현황!$K$2)&amp;""),FIND(" ",IF(OR($AC57="",인턴현황!$K$2=""),"",INDEX(인턴근무계획!$M$3:$R$202,$AC57,인턴현황!$K$2)&amp;""))-1),$AE57))</f>
        <v/>
      </c>
      <c r="AH57" s="17">
        <f>IF($B57="","",IF(TRIM($J57&amp;"")="",0,SUMPRODUCT((파견수련계획!$Q$4:$Q$203=TRIM($J57&amp;""))*(파견수련계획!$S$4:$S$203="서울병원")*파견수련계획!$W$4:$W$203))+IF($AG57="서울병원",MAX(0,DAY(EOMONTH(요약!$B$3,0))-N($X57)),0))</f>
        <v/>
      </c>
      <c r="AI57" s="17">
        <f>IF($B57="","",IF(TRIM($J57&amp;"")="",0,SUMPRODUCT((파견수련계획!$Q$4:$Q$203=TRIM($J57&amp;""))*(파견수련계획!$S$4:$S$203="구리병원")*파견수련계획!$W$4:$W$203))+IF($AG57="구리병원",MAX(0,DAY(EOMONTH(요약!$B$3,0))-N($X57)),0))</f>
        <v/>
      </c>
      <c r="AJ57" s="10">
        <f>IF(OR($B57="",TRIM($J57&amp;"")=""),"",IFERROR(MATCH(TRIM($J57&amp;"")&amp;"|월",파견수련계획!$Z$4:$Z$203,0),""))</f>
        <v/>
      </c>
      <c r="AK57" s="10">
        <f>IF(OR($B57="",TRIM($J57&amp;"")=""),"",IFERROR(MATCH(TRIM($J57&amp;"")&amp;"|다기관",파견수련계획!$AE$4:$AE$203,0),""))</f>
        <v/>
      </c>
      <c r="AL57" s="10">
        <f>IF($AK57="","","다기관 "&amp;TEXT(INDEX(파견수련계획!$AB$4:$AB$203,$AK57),"yyyy-mm-dd")&amp;"~"&amp;IF(ISNUMBER(INDEX(파견수련계획!$AC$4:$AC$203,$AK57)),TEXT(INDEX(파견수련계획!$AC$4:$AC$203,$AK57),"yyyy-mm-dd"),""))</f>
        <v/>
      </c>
    </row>
    <row r="58">
      <c r="A58" s="10">
        <f>IF(B58="","",ROW()-1)</f>
        <v/>
      </c>
      <c r="B58" s="18" t="n"/>
      <c r="C58" s="10">
        <f>IF($AB58="","",IF(INDEX(기본자료!$C$2:$C$501,$AB58)="","",INDEX(기본자료!$C$2:$C$501,$AB58)))</f>
        <v/>
      </c>
      <c r="D58" s="10">
        <f>IF($AB58="","",IF(INDEX(기본자료!$J$2:$J$501,$AB58)="","",INDEX(기본자료!$J$2:$J$501,$AB58)))</f>
        <v/>
      </c>
      <c r="E58" s="11">
        <f>IF($AB58="","",IF(INDEX(기본자료!$K$2:$K$501,$AB58)="","",IF(NOT(ISNUMBER(INDEX(기본자료!$K$2:$K$501,$AB58))),INDEX(기본자료!$K$2:$K$501,$AB58),IF(INDEX(기본자료!$K$2:$K$501,$AB58)&lt;1000000,INDEX(기본자료!$K$2:$K$501,$AB58),IF(AND(INDEX(기본자료!$K$2:$K$501,$AB58)&gt;=10000101,INT(MOD(INDEX(기본자료!$K$2:$K$501,$AB58),10000)/100)&gt;=1,INT(MOD(INDEX(기본자료!$K$2:$K$501,$AB58),10000)/100)&lt;=12,MOD(INDEX(기본자료!$K$2:$K$501,$AB58),100)&gt;=1,MOD(INDEX(기본자료!$K$2:$K$501,$AB58),100)&lt;=31),DATE(INT(INDEX(기본자료!$K$2:$K$501,$AB58)/10000),INT(MOD(INDEX(기본자료!$K$2:$K$501,$AB58),10000)/100),MOD(INDEX(기본자료!$K$2:$K$501,$AB58),100)),INDEX(기본자료!$K$2:$K$501,$AB58)&amp;"")))))</f>
        <v/>
      </c>
      <c r="F58" s="10">
        <f>IF($AB58="","",IF(INDEX(기본자료!$D$2:$D$501,$AB58)="","",INDEX(기본자료!$D$2:$D$501,$AB58)))</f>
        <v/>
      </c>
      <c r="G58" s="10">
        <f>IF($AB58="","",IF(INDEX(기본자료!$E$2:$E$501,$AB58)="","",INDEX(기본자료!$E$2:$E$501,$AB58)))</f>
        <v/>
      </c>
      <c r="H58" s="10">
        <f>IF($AB58="","",IF(INDEX(기본자료!$F$2:$F$501,$AB58)="","",INDEX(기본자료!$F$2:$F$501,$AB58)))</f>
        <v/>
      </c>
      <c r="I58" s="11">
        <f>IF($AB58="","",IF(INDEX(기본자료!$G$2:$G$501,$AB58)="","",IF(NOT(ISNUMBER(INDEX(기본자료!$G$2:$G$501,$AB58))),INDEX(기본자료!$G$2:$G$501,$AB58),IF(INDEX(기본자료!$G$2:$G$501,$AB58)&lt;1000000,INDEX(기본자료!$G$2:$G$501,$AB58),IF(AND(INDEX(기본자료!$G$2:$G$501,$AB58)&gt;=10000101,INT(MOD(INDEX(기본자료!$G$2:$G$501,$AB58),10000)/100)&gt;=1,INT(MOD(INDEX(기본자료!$G$2:$G$501,$AB58),10000)/100)&lt;=12,MOD(INDEX(기본자료!$G$2:$G$501,$AB58),100)&gt;=1,MOD(INDEX(기본자료!$G$2:$G$501,$AB58),100)&lt;=31),DATE(INT(INDEX(기본자료!$G$2:$G$501,$AB58)/10000),INT(MOD(INDEX(기본자료!$G$2:$G$501,$AB58),10000)/100),MOD(INDEX(기본자료!$G$2:$G$501,$AB58),100)),INDEX(기본자료!$G$2:$G$501,$AB58)&amp;"")))))</f>
        <v/>
      </c>
      <c r="J58" s="10">
        <f>IF($AB58="","",IF(INDEX(기본자료!$H$2:$H$501,$AB58)="","",INDEX(기본자료!$H$2:$H$501,$AB58)))</f>
        <v/>
      </c>
      <c r="K58" s="10">
        <f>IF($AB58="","",IF(INDEX(기본자료!$I$2:$I$501,$AB58)="","",INDEX(기본자료!$I$2:$I$501,$AB58)))</f>
        <v/>
      </c>
      <c r="L58" s="10">
        <f>IF($AB58="","",IF(INDEX(기본자료!$A$2:$A$501,$AB58)="","",INDEX(기본자료!$A$2:$A$501,$AB58)))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파견수련계획!$AB$4:$AB$203,$AK58),OR(NOT(ISNUMBER(INDEX(파견수련계획!$AC$4:$AC$203,$AK58))),TODAY()&lt;=INDEX(파견수련계획!$AC$4:$AC$203,$AK58))),"다기관",IF($AF58="","",INDEX(파견수련계획!$T$4:$T$203,$AF58))),IF($AF58="","",INDEX(파견수련계획!$T$4:$T$203,$AF58))))</f>
        <v/>
      </c>
      <c r="Q58" s="10">
        <f>IF($AF58="","",INDEX(파견수련계획!$S$4:$S$203,$AF58))</f>
        <v/>
      </c>
      <c r="R58" s="10">
        <f>IF($AF58="","",INDEX(파견수련계획!$U$4:$U$203,$AF58))</f>
        <v/>
      </c>
      <c r="S58" s="11">
        <f>IF($AF58="","",IF(INDEX(파견수련계획!$H$4:$H$203,$AF58)="","",INDEX(파견수련계획!$H$4:$H$203,$AF58)))</f>
        <v/>
      </c>
      <c r="T58" s="11">
        <f>IF($AF58="","",IF(INDEX(파견수련계획!$I$4:$I$203,$AF58)="","",INDEX(파견수련계획!$I$4:$I$203,$AF58)))</f>
        <v/>
      </c>
      <c r="U58" s="10">
        <f>IF($AF58="","",INDEX(파견수련계획!$X$4:$X$203,$AF58))</f>
        <v/>
      </c>
      <c r="V58" s="17">
        <f>IF($AF58="","",INDEX(파견수련계획!$V$4:$V$203,$AF58))</f>
        <v/>
      </c>
      <c r="W58" s="17">
        <f>IF(AND($U58="파견중",$T58&lt;&gt;""),$T58-TODAY(),"")</f>
        <v/>
      </c>
      <c r="X58" s="17">
        <f>IF(OR($B58="",TRIM($J58&amp;"")=""),"",SUMPRODUCT((파견수련계획!$Q$4:$Q$203=TRIM($J58&amp;""))*파견수련계획!$W$4:$W$203))</f>
        <v/>
      </c>
      <c r="Y58" s="10">
        <f>IF($B58="","",IF($AG58="","",IF(IF(TRIM($J58&amp;"")="",0,SUMPRODUCT((파견수련계획!$Q$4:$Q$203=TRIM($J58&amp;""))*파견수련계획!$AD$4:$AD$203))&gt;0,$AE58,IF(N($X58)&lt;=0,$AG58,IF($AH58+$AI58=DAY(EOMONTH(요약!$B$3,0)),IF(AND($AH58&gt;=요약!$E$3,$AI58&lt;요약!$E$3),"서울병원",IF(AND($AI58&gt;=요약!$E$3,$AH58&lt;요약!$E$3),"구리병원","⚠15일 판정불가(서울 "&amp;$AH58&amp;"일/구리 "&amp;$AI58&amp;"일)")),IF($AJ58="",$AE58,IF(INDEX(파견수련계획!$T$4:$T$203,$AJ58)="통합수련",INDEX(파견수련계획!$S$4:$S$203,$AJ58),$AE58)))))))</f>
        <v/>
      </c>
      <c r="Z58" s="19">
        <f>IF($B58="","",IF($AB58="","기본자료에 없는 사번",IF(COUNTIF($B$2:$B$201,$B58)&gt;1,"중복 사번",IF($AE58="","소속(입사장소) 입력",IF(IF(TRIM($J58&amp;"")="",0,SUMPRODUCT((파견수련계획!$Q$4:$Q$203=TRIM($J58&amp;""))*(파견수련계획!$AA$4:$AA$203&lt;&gt;"")))&gt;0,"파견수련계획 입력오류 확인",IF(LEFT($Y58,1)="⚠","서울·구리 15일 판정 불가(양쪽 모두 이상/미만)",IF(IF($AC58="",0,N(INDEX(인턴근무계획!$T$3:$T$202,$AC58)))&gt;0,"인턴계획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IF($B58="","",IFERROR(MATCH($B58,기본자료!$B$2:$B$501,0),IFERROR(MATCH($B58&amp;"",기본자료!$B$2:$B$501,0),IFERROR(MATCH(VALUE($B58),기본자료!$B$2:$B$501,0),""))))</f>
        <v/>
      </c>
      <c r="AC58" s="10">
        <f>IF($B58="","",IFERROR(MATCH($B58,인턴근무계획!$D$3:$D$202,0),IFERROR(MATCH($B58&amp;"",인턴근무계획!$D$3:$D$202,0),IFERROR(MATCH(VALUE($B58),인턴근무계획!$D$3:$D$202,0),""))))</f>
        <v/>
      </c>
      <c r="AD58" s="10">
        <f>IF(OR($AC58="",인턴현황!$G$3=""),"",INDEX(인턴근무계획!$M$3:$R$202,$AC58,인턴현황!$G$3)&amp;"")</f>
        <v/>
      </c>
      <c r="AE58" s="10">
        <f>IF($B58="","",IF($M58&lt;&gt;"",$M58,IF($AF58&lt;&gt;"",IF(LEFT(INDEX(파견수련계획!$R$4:$R$203,$AF58),1)&lt;&gt;"⚠",INDEX(파견수련계획!$R$4:$R$203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$203,0),IFERROR(MATCH(TRIM($J58&amp;"")&amp;"|파견예정",파견수련계획!$Y$4:$Y$203,0),IFERROR(MATCH(TRIM($J58&amp;"")&amp;"|파견종료",파견수련계획!$Y$4:$Y$203,0),""))))</f>
        <v/>
      </c>
      <c r="AG58" s="10">
        <f>IF($B58="","",IF(AND(IF(OR($AC58="",인턴현황!$K$2=""),"",INDEX(인턴근무계획!$M$3:$R$202,$AC58,인턴현황!$K$2)&amp;"")&lt;&gt;"",LEFT(IF(OR($AC58="",인턴현황!$K$2=""),"",INDEX(인턴근무계획!$M$3:$R$202,$AC58,인턴현황!$K$2)&amp;""),1)&lt;&gt;"⚠"),LEFT(IF(OR($AC58="",인턴현황!$K$2=""),"",INDEX(인턴근무계획!$M$3:$R$202,$AC58,인턴현황!$K$2)&amp;""),FIND(" ",IF(OR($AC58="",인턴현황!$K$2=""),"",INDEX(인턴근무계획!$M$3:$R$202,$AC58,인턴현황!$K$2)&amp;""))-1),$AE58))</f>
        <v/>
      </c>
      <c r="AH58" s="17">
        <f>IF($B58="","",IF(TRIM($J58&amp;"")="",0,SUMPRODUCT((파견수련계획!$Q$4:$Q$203=TRIM($J58&amp;""))*(파견수련계획!$S$4:$S$203="서울병원")*파견수련계획!$W$4:$W$203))+IF($AG58="서울병원",MAX(0,DAY(EOMONTH(요약!$B$3,0))-N($X58)),0))</f>
        <v/>
      </c>
      <c r="AI58" s="17">
        <f>IF($B58="","",IF(TRIM($J58&amp;"")="",0,SUMPRODUCT((파견수련계획!$Q$4:$Q$203=TRIM($J58&amp;""))*(파견수련계획!$S$4:$S$203="구리병원")*파견수련계획!$W$4:$W$203))+IF($AG58="구리병원",MAX(0,DAY(EOMONTH(요약!$B$3,0))-N($X58)),0))</f>
        <v/>
      </c>
      <c r="AJ58" s="10">
        <f>IF(OR($B58="",TRIM($J58&amp;"")=""),"",IFERROR(MATCH(TRIM($J58&amp;"")&amp;"|월",파견수련계획!$Z$4:$Z$203,0),""))</f>
        <v/>
      </c>
      <c r="AK58" s="10">
        <f>IF(OR($B58="",TRIM($J58&amp;"")=""),"",IFERROR(MATCH(TRIM($J58&amp;"")&amp;"|다기관",파견수련계획!$AE$4:$AE$203,0),""))</f>
        <v/>
      </c>
      <c r="AL58" s="10">
        <f>IF($AK58="","","다기관 "&amp;TEXT(INDEX(파견수련계획!$AB$4:$AB$203,$AK58),"yyyy-mm-dd")&amp;"~"&amp;IF(ISNUMBER(INDEX(파견수련계획!$AC$4:$AC$203,$AK58)),TEXT(INDEX(파견수련계획!$AC$4:$AC$203,$AK58),"yyyy-mm-dd"),""))</f>
        <v/>
      </c>
    </row>
    <row r="59">
      <c r="A59" s="10">
        <f>IF(B59="","",ROW()-1)</f>
        <v/>
      </c>
      <c r="B59" s="18" t="n"/>
      <c r="C59" s="10">
        <f>IF($AB59="","",IF(INDEX(기본자료!$C$2:$C$501,$AB59)="","",INDEX(기본자료!$C$2:$C$501,$AB59)))</f>
        <v/>
      </c>
      <c r="D59" s="10">
        <f>IF($AB59="","",IF(INDEX(기본자료!$J$2:$J$501,$AB59)="","",INDEX(기본자료!$J$2:$J$501,$AB59)))</f>
        <v/>
      </c>
      <c r="E59" s="11">
        <f>IF($AB59="","",IF(INDEX(기본자료!$K$2:$K$501,$AB59)="","",IF(NOT(ISNUMBER(INDEX(기본자료!$K$2:$K$501,$AB59))),INDEX(기본자료!$K$2:$K$501,$AB59),IF(INDEX(기본자료!$K$2:$K$501,$AB59)&lt;1000000,INDEX(기본자료!$K$2:$K$501,$AB59),IF(AND(INDEX(기본자료!$K$2:$K$501,$AB59)&gt;=10000101,INT(MOD(INDEX(기본자료!$K$2:$K$501,$AB59),10000)/100)&gt;=1,INT(MOD(INDEX(기본자료!$K$2:$K$501,$AB59),10000)/100)&lt;=12,MOD(INDEX(기본자료!$K$2:$K$501,$AB59),100)&gt;=1,MOD(INDEX(기본자료!$K$2:$K$501,$AB59),100)&lt;=31),DATE(INT(INDEX(기본자료!$K$2:$K$501,$AB59)/10000),INT(MOD(INDEX(기본자료!$K$2:$K$501,$AB59),10000)/100),MOD(INDEX(기본자료!$K$2:$K$501,$AB59),100)),INDEX(기본자료!$K$2:$K$501,$AB59)&amp;"")))))</f>
        <v/>
      </c>
      <c r="F59" s="10">
        <f>IF($AB59="","",IF(INDEX(기본자료!$D$2:$D$501,$AB59)="","",INDEX(기본자료!$D$2:$D$501,$AB59)))</f>
        <v/>
      </c>
      <c r="G59" s="10">
        <f>IF($AB59="","",IF(INDEX(기본자료!$E$2:$E$501,$AB59)="","",INDEX(기본자료!$E$2:$E$501,$AB59)))</f>
        <v/>
      </c>
      <c r="H59" s="10">
        <f>IF($AB59="","",IF(INDEX(기본자료!$F$2:$F$501,$AB59)="","",INDEX(기본자료!$F$2:$F$501,$AB59)))</f>
        <v/>
      </c>
      <c r="I59" s="11">
        <f>IF($AB59="","",IF(INDEX(기본자료!$G$2:$G$501,$AB59)="","",IF(NOT(ISNUMBER(INDEX(기본자료!$G$2:$G$501,$AB59))),INDEX(기본자료!$G$2:$G$501,$AB59),IF(INDEX(기본자료!$G$2:$G$501,$AB59)&lt;1000000,INDEX(기본자료!$G$2:$G$501,$AB59),IF(AND(INDEX(기본자료!$G$2:$G$501,$AB59)&gt;=10000101,INT(MOD(INDEX(기본자료!$G$2:$G$501,$AB59),10000)/100)&gt;=1,INT(MOD(INDEX(기본자료!$G$2:$G$501,$AB59),10000)/100)&lt;=12,MOD(INDEX(기본자료!$G$2:$G$501,$AB59),100)&gt;=1,MOD(INDEX(기본자료!$G$2:$G$501,$AB59),100)&lt;=31),DATE(INT(INDEX(기본자료!$G$2:$G$501,$AB59)/10000),INT(MOD(INDEX(기본자료!$G$2:$G$501,$AB59),10000)/100),MOD(INDEX(기본자료!$G$2:$G$501,$AB59),100)),INDEX(기본자료!$G$2:$G$501,$AB59)&amp;"")))))</f>
        <v/>
      </c>
      <c r="J59" s="10">
        <f>IF($AB59="","",IF(INDEX(기본자료!$H$2:$H$501,$AB59)="","",INDEX(기본자료!$H$2:$H$501,$AB59)))</f>
        <v/>
      </c>
      <c r="K59" s="10">
        <f>IF($AB59="","",IF(INDEX(기본자료!$I$2:$I$501,$AB59)="","",INDEX(기본자료!$I$2:$I$501,$AB59)))</f>
        <v/>
      </c>
      <c r="L59" s="10">
        <f>IF($AB59="","",IF(INDEX(기본자료!$A$2:$A$501,$AB59)="","",INDEX(기본자료!$A$2:$A$501,$AB59)))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파견수련계획!$AB$4:$AB$203,$AK59),OR(NOT(ISNUMBER(INDEX(파견수련계획!$AC$4:$AC$203,$AK59))),TODAY()&lt;=INDEX(파견수련계획!$AC$4:$AC$203,$AK59))),"다기관",IF($AF59="","",INDEX(파견수련계획!$T$4:$T$203,$AF59))),IF($AF59="","",INDEX(파견수련계획!$T$4:$T$203,$AF59))))</f>
        <v/>
      </c>
      <c r="Q59" s="10">
        <f>IF($AF59="","",INDEX(파견수련계획!$S$4:$S$203,$AF59))</f>
        <v/>
      </c>
      <c r="R59" s="10">
        <f>IF($AF59="","",INDEX(파견수련계획!$U$4:$U$203,$AF59))</f>
        <v/>
      </c>
      <c r="S59" s="11">
        <f>IF($AF59="","",IF(INDEX(파견수련계획!$H$4:$H$203,$AF59)="","",INDEX(파견수련계획!$H$4:$H$203,$AF59)))</f>
        <v/>
      </c>
      <c r="T59" s="11">
        <f>IF($AF59="","",IF(INDEX(파견수련계획!$I$4:$I$203,$AF59)="","",INDEX(파견수련계획!$I$4:$I$203,$AF59)))</f>
        <v/>
      </c>
      <c r="U59" s="10">
        <f>IF($AF59="","",INDEX(파견수련계획!$X$4:$X$203,$AF59))</f>
        <v/>
      </c>
      <c r="V59" s="17">
        <f>IF($AF59="","",INDEX(파견수련계획!$V$4:$V$203,$AF59))</f>
        <v/>
      </c>
      <c r="W59" s="17">
        <f>IF(AND($U59="파견중",$T59&lt;&gt;""),$T59-TODAY(),"")</f>
        <v/>
      </c>
      <c r="X59" s="17">
        <f>IF(OR($B59="",TRIM($J59&amp;"")=""),"",SUMPRODUCT((파견수련계획!$Q$4:$Q$203=TRIM($J59&amp;""))*파견수련계획!$W$4:$W$203))</f>
        <v/>
      </c>
      <c r="Y59" s="10">
        <f>IF($B59="","",IF($AG59="","",IF(IF(TRIM($J59&amp;"")="",0,SUMPRODUCT((파견수련계획!$Q$4:$Q$203=TRIM($J59&amp;""))*파견수련계획!$AD$4:$AD$203))&gt;0,$AE59,IF(N($X59)&lt;=0,$AG59,IF($AH59+$AI59=DAY(EOMONTH(요약!$B$3,0)),IF(AND($AH59&gt;=요약!$E$3,$AI59&lt;요약!$E$3),"서울병원",IF(AND($AI59&gt;=요약!$E$3,$AH59&lt;요약!$E$3),"구리병원","⚠15일 판정불가(서울 "&amp;$AH59&amp;"일/구리 "&amp;$AI59&amp;"일)")),IF($AJ59="",$AE59,IF(INDEX(파견수련계획!$T$4:$T$203,$AJ59)="통합수련",INDEX(파견수련계획!$S$4:$S$203,$AJ59),$AE59)))))))</f>
        <v/>
      </c>
      <c r="Z59" s="19">
        <f>IF($B59="","",IF($AB59="","기본자료에 없는 사번",IF(COUNTIF($B$2:$B$201,$B59)&gt;1,"중복 사번",IF($AE59="","소속(입사장소) 입력",IF(IF(TRIM($J59&amp;"")="",0,SUMPRODUCT((파견수련계획!$Q$4:$Q$203=TRIM($J59&amp;""))*(파견수련계획!$AA$4:$AA$203&lt;&gt;"")))&gt;0,"파견수련계획 입력오류 확인",IF(LEFT($Y59,1)="⚠","서울·구리 15일 판정 불가(양쪽 모두 이상/미만)",IF(IF($AC59="",0,N(INDEX(인턴근무계획!$T$3:$T$202,$AC59)))&gt;0,"인턴계획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IF($B59="","",IFERROR(MATCH($B59,기본자료!$B$2:$B$501,0),IFERROR(MATCH($B59&amp;"",기본자료!$B$2:$B$501,0),IFERROR(MATCH(VALUE($B59),기본자료!$B$2:$B$501,0),""))))</f>
        <v/>
      </c>
      <c r="AC59" s="10">
        <f>IF($B59="","",IFERROR(MATCH($B59,인턴근무계획!$D$3:$D$202,0),IFERROR(MATCH($B59&amp;"",인턴근무계획!$D$3:$D$202,0),IFERROR(MATCH(VALUE($B59),인턴근무계획!$D$3:$D$202,0),""))))</f>
        <v/>
      </c>
      <c r="AD59" s="10">
        <f>IF(OR($AC59="",인턴현황!$G$3=""),"",INDEX(인턴근무계획!$M$3:$R$202,$AC59,인턴현황!$G$3)&amp;"")</f>
        <v/>
      </c>
      <c r="AE59" s="10">
        <f>IF($B59="","",IF($M59&lt;&gt;"",$M59,IF($AF59&lt;&gt;"",IF(LEFT(INDEX(파견수련계획!$R$4:$R$203,$AF59),1)&lt;&gt;"⚠",INDEX(파견수련계획!$R$4:$R$203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$203,0),IFERROR(MATCH(TRIM($J59&amp;"")&amp;"|파견예정",파견수련계획!$Y$4:$Y$203,0),IFERROR(MATCH(TRIM($J59&amp;"")&amp;"|파견종료",파견수련계획!$Y$4:$Y$203,0),""))))</f>
        <v/>
      </c>
      <c r="AG59" s="10">
        <f>IF($B59="","",IF(AND(IF(OR($AC59="",인턴현황!$K$2=""),"",INDEX(인턴근무계획!$M$3:$R$202,$AC59,인턴현황!$K$2)&amp;"")&lt;&gt;"",LEFT(IF(OR($AC59="",인턴현황!$K$2=""),"",INDEX(인턴근무계획!$M$3:$R$202,$AC59,인턴현황!$K$2)&amp;""),1)&lt;&gt;"⚠"),LEFT(IF(OR($AC59="",인턴현황!$K$2=""),"",INDEX(인턴근무계획!$M$3:$R$202,$AC59,인턴현황!$K$2)&amp;""),FIND(" ",IF(OR($AC59="",인턴현황!$K$2=""),"",INDEX(인턴근무계획!$M$3:$R$202,$AC59,인턴현황!$K$2)&amp;""))-1),$AE59))</f>
        <v/>
      </c>
      <c r="AH59" s="17">
        <f>IF($B59="","",IF(TRIM($J59&amp;"")="",0,SUMPRODUCT((파견수련계획!$Q$4:$Q$203=TRIM($J59&amp;""))*(파견수련계획!$S$4:$S$203="서울병원")*파견수련계획!$W$4:$W$203))+IF($AG59="서울병원",MAX(0,DAY(EOMONTH(요약!$B$3,0))-N($X59)),0))</f>
        <v/>
      </c>
      <c r="AI59" s="17">
        <f>IF($B59="","",IF(TRIM($J59&amp;"")="",0,SUMPRODUCT((파견수련계획!$Q$4:$Q$203=TRIM($J59&amp;""))*(파견수련계획!$S$4:$S$203="구리병원")*파견수련계획!$W$4:$W$203))+IF($AG59="구리병원",MAX(0,DAY(EOMONTH(요약!$B$3,0))-N($X59)),0))</f>
        <v/>
      </c>
      <c r="AJ59" s="10">
        <f>IF(OR($B59="",TRIM($J59&amp;"")=""),"",IFERROR(MATCH(TRIM($J59&amp;"")&amp;"|월",파견수련계획!$Z$4:$Z$203,0),""))</f>
        <v/>
      </c>
      <c r="AK59" s="10">
        <f>IF(OR($B59="",TRIM($J59&amp;"")=""),"",IFERROR(MATCH(TRIM($J59&amp;"")&amp;"|다기관",파견수련계획!$AE$4:$AE$203,0),""))</f>
        <v/>
      </c>
      <c r="AL59" s="10">
        <f>IF($AK59="","","다기관 "&amp;TEXT(INDEX(파견수련계획!$AB$4:$AB$203,$AK59),"yyyy-mm-dd")&amp;"~"&amp;IF(ISNUMBER(INDEX(파견수련계획!$AC$4:$AC$203,$AK59)),TEXT(INDEX(파견수련계획!$AC$4:$AC$203,$AK59),"yyyy-mm-dd"),""))</f>
        <v/>
      </c>
    </row>
    <row r="60">
      <c r="A60" s="10">
        <f>IF(B60="","",ROW()-1)</f>
        <v/>
      </c>
      <c r="B60" s="18" t="n"/>
      <c r="C60" s="10">
        <f>IF($AB60="","",IF(INDEX(기본자료!$C$2:$C$501,$AB60)="","",INDEX(기본자료!$C$2:$C$501,$AB60)))</f>
        <v/>
      </c>
      <c r="D60" s="10">
        <f>IF($AB60="","",IF(INDEX(기본자료!$J$2:$J$501,$AB60)="","",INDEX(기본자료!$J$2:$J$501,$AB60)))</f>
        <v/>
      </c>
      <c r="E60" s="11">
        <f>IF($AB60="","",IF(INDEX(기본자료!$K$2:$K$501,$AB60)="","",IF(NOT(ISNUMBER(INDEX(기본자료!$K$2:$K$501,$AB60))),INDEX(기본자료!$K$2:$K$501,$AB60),IF(INDEX(기본자료!$K$2:$K$501,$AB60)&lt;1000000,INDEX(기본자료!$K$2:$K$501,$AB60),IF(AND(INDEX(기본자료!$K$2:$K$501,$AB60)&gt;=10000101,INT(MOD(INDEX(기본자료!$K$2:$K$501,$AB60),10000)/100)&gt;=1,INT(MOD(INDEX(기본자료!$K$2:$K$501,$AB60),10000)/100)&lt;=12,MOD(INDEX(기본자료!$K$2:$K$501,$AB60),100)&gt;=1,MOD(INDEX(기본자료!$K$2:$K$501,$AB60),100)&lt;=31),DATE(INT(INDEX(기본자료!$K$2:$K$501,$AB60)/10000),INT(MOD(INDEX(기본자료!$K$2:$K$501,$AB60),10000)/100),MOD(INDEX(기본자료!$K$2:$K$501,$AB60),100)),INDEX(기본자료!$K$2:$K$501,$AB60)&amp;"")))))</f>
        <v/>
      </c>
      <c r="F60" s="10">
        <f>IF($AB60="","",IF(INDEX(기본자료!$D$2:$D$501,$AB60)="","",INDEX(기본자료!$D$2:$D$501,$AB60)))</f>
        <v/>
      </c>
      <c r="G60" s="10">
        <f>IF($AB60="","",IF(INDEX(기본자료!$E$2:$E$501,$AB60)="","",INDEX(기본자료!$E$2:$E$501,$AB60)))</f>
        <v/>
      </c>
      <c r="H60" s="10">
        <f>IF($AB60="","",IF(INDEX(기본자료!$F$2:$F$501,$AB60)="","",INDEX(기본자료!$F$2:$F$501,$AB60)))</f>
        <v/>
      </c>
      <c r="I60" s="11">
        <f>IF($AB60="","",IF(INDEX(기본자료!$G$2:$G$501,$AB60)="","",IF(NOT(ISNUMBER(INDEX(기본자료!$G$2:$G$501,$AB60))),INDEX(기본자료!$G$2:$G$501,$AB60),IF(INDEX(기본자료!$G$2:$G$501,$AB60)&lt;1000000,INDEX(기본자료!$G$2:$G$501,$AB60),IF(AND(INDEX(기본자료!$G$2:$G$501,$AB60)&gt;=10000101,INT(MOD(INDEX(기본자료!$G$2:$G$501,$AB60),10000)/100)&gt;=1,INT(MOD(INDEX(기본자료!$G$2:$G$501,$AB60),10000)/100)&lt;=12,MOD(INDEX(기본자료!$G$2:$G$501,$AB60),100)&gt;=1,MOD(INDEX(기본자료!$G$2:$G$501,$AB60),100)&lt;=31),DATE(INT(INDEX(기본자료!$G$2:$G$501,$AB60)/10000),INT(MOD(INDEX(기본자료!$G$2:$G$501,$AB60),10000)/100),MOD(INDEX(기본자료!$G$2:$G$501,$AB60),100)),INDEX(기본자료!$G$2:$G$501,$AB60)&amp;"")))))</f>
        <v/>
      </c>
      <c r="J60" s="10">
        <f>IF($AB60="","",IF(INDEX(기본자료!$H$2:$H$501,$AB60)="","",INDEX(기본자료!$H$2:$H$501,$AB60)))</f>
        <v/>
      </c>
      <c r="K60" s="10">
        <f>IF($AB60="","",IF(INDEX(기본자료!$I$2:$I$501,$AB60)="","",INDEX(기본자료!$I$2:$I$501,$AB60)))</f>
        <v/>
      </c>
      <c r="L60" s="10">
        <f>IF($AB60="","",IF(INDEX(기본자료!$A$2:$A$501,$AB60)="","",INDEX(기본자료!$A$2:$A$501,$AB60)))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파견수련계획!$AB$4:$AB$203,$AK60),OR(NOT(ISNUMBER(INDEX(파견수련계획!$AC$4:$AC$203,$AK60))),TODAY()&lt;=INDEX(파견수련계획!$AC$4:$AC$203,$AK60))),"다기관",IF($AF60="","",INDEX(파견수련계획!$T$4:$T$203,$AF60))),IF($AF60="","",INDEX(파견수련계획!$T$4:$T$203,$AF60))))</f>
        <v/>
      </c>
      <c r="Q60" s="10">
        <f>IF($AF60="","",INDEX(파견수련계획!$S$4:$S$203,$AF60))</f>
        <v/>
      </c>
      <c r="R60" s="10">
        <f>IF($AF60="","",INDEX(파견수련계획!$U$4:$U$203,$AF60))</f>
        <v/>
      </c>
      <c r="S60" s="11">
        <f>IF($AF60="","",IF(INDEX(파견수련계획!$H$4:$H$203,$AF60)="","",INDEX(파견수련계획!$H$4:$H$203,$AF60)))</f>
        <v/>
      </c>
      <c r="T60" s="11">
        <f>IF($AF60="","",IF(INDEX(파견수련계획!$I$4:$I$203,$AF60)="","",INDEX(파견수련계획!$I$4:$I$203,$AF60)))</f>
        <v/>
      </c>
      <c r="U60" s="10">
        <f>IF($AF60="","",INDEX(파견수련계획!$X$4:$X$203,$AF60))</f>
        <v/>
      </c>
      <c r="V60" s="17">
        <f>IF($AF60="","",INDEX(파견수련계획!$V$4:$V$203,$AF60))</f>
        <v/>
      </c>
      <c r="W60" s="17">
        <f>IF(AND($U60="파견중",$T60&lt;&gt;""),$T60-TODAY(),"")</f>
        <v/>
      </c>
      <c r="X60" s="17">
        <f>IF(OR($B60="",TRIM($J60&amp;"")=""),"",SUMPRODUCT((파견수련계획!$Q$4:$Q$203=TRIM($J60&amp;""))*파견수련계획!$W$4:$W$203))</f>
        <v/>
      </c>
      <c r="Y60" s="10">
        <f>IF($B60="","",IF($AG60="","",IF(IF(TRIM($J60&amp;"")="",0,SUMPRODUCT((파견수련계획!$Q$4:$Q$203=TRIM($J60&amp;""))*파견수련계획!$AD$4:$AD$203))&gt;0,$AE60,IF(N($X60)&lt;=0,$AG60,IF($AH60+$AI60=DAY(EOMONTH(요약!$B$3,0)),IF(AND($AH60&gt;=요약!$E$3,$AI60&lt;요약!$E$3),"서울병원",IF(AND($AI60&gt;=요약!$E$3,$AH60&lt;요약!$E$3),"구리병원","⚠15일 판정불가(서울 "&amp;$AH60&amp;"일/구리 "&amp;$AI60&amp;"일)")),IF($AJ60="",$AE60,IF(INDEX(파견수련계획!$T$4:$T$203,$AJ60)="통합수련",INDEX(파견수련계획!$S$4:$S$203,$AJ60),$AE60)))))))</f>
        <v/>
      </c>
      <c r="Z60" s="19">
        <f>IF($B60="","",IF($AB60="","기본자료에 없는 사번",IF(COUNTIF($B$2:$B$201,$B60)&gt;1,"중복 사번",IF($AE60="","소속(입사장소) 입력",IF(IF(TRIM($J60&amp;"")="",0,SUMPRODUCT((파견수련계획!$Q$4:$Q$203=TRIM($J60&amp;""))*(파견수련계획!$AA$4:$AA$203&lt;&gt;"")))&gt;0,"파견수련계획 입력오류 확인",IF(LEFT($Y60,1)="⚠","서울·구리 15일 판정 불가(양쪽 모두 이상/미만)",IF(IF($AC60="",0,N(INDEX(인턴근무계획!$T$3:$T$202,$AC60)))&gt;0,"인턴계획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IF($B60="","",IFERROR(MATCH($B60,기본자료!$B$2:$B$501,0),IFERROR(MATCH($B60&amp;"",기본자료!$B$2:$B$501,0),IFERROR(MATCH(VALUE($B60),기본자료!$B$2:$B$501,0),""))))</f>
        <v/>
      </c>
      <c r="AC60" s="10">
        <f>IF($B60="","",IFERROR(MATCH($B60,인턴근무계획!$D$3:$D$202,0),IFERROR(MATCH($B60&amp;"",인턴근무계획!$D$3:$D$202,0),IFERROR(MATCH(VALUE($B60),인턴근무계획!$D$3:$D$202,0),""))))</f>
        <v/>
      </c>
      <c r="AD60" s="10">
        <f>IF(OR($AC60="",인턴현황!$G$3=""),"",INDEX(인턴근무계획!$M$3:$R$202,$AC60,인턴현황!$G$3)&amp;"")</f>
        <v/>
      </c>
      <c r="AE60" s="10">
        <f>IF($B60="","",IF($M60&lt;&gt;"",$M60,IF($AF60&lt;&gt;"",IF(LEFT(INDEX(파견수련계획!$R$4:$R$203,$AF60),1)&lt;&gt;"⚠",INDEX(파견수련계획!$R$4:$R$203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$203,0),IFERROR(MATCH(TRIM($J60&amp;"")&amp;"|파견예정",파견수련계획!$Y$4:$Y$203,0),IFERROR(MATCH(TRIM($J60&amp;"")&amp;"|파견종료",파견수련계획!$Y$4:$Y$203,0),""))))</f>
        <v/>
      </c>
      <c r="AG60" s="10">
        <f>IF($B60="","",IF(AND(IF(OR($AC60="",인턴현황!$K$2=""),"",INDEX(인턴근무계획!$M$3:$R$202,$AC60,인턴현황!$K$2)&amp;"")&lt;&gt;"",LEFT(IF(OR($AC60="",인턴현황!$K$2=""),"",INDEX(인턴근무계획!$M$3:$R$202,$AC60,인턴현황!$K$2)&amp;""),1)&lt;&gt;"⚠"),LEFT(IF(OR($AC60="",인턴현황!$K$2=""),"",INDEX(인턴근무계획!$M$3:$R$202,$AC60,인턴현황!$K$2)&amp;""),FIND(" ",IF(OR($AC60="",인턴현황!$K$2=""),"",INDEX(인턴근무계획!$M$3:$R$202,$AC60,인턴현황!$K$2)&amp;""))-1),$AE60))</f>
        <v/>
      </c>
      <c r="AH60" s="17">
        <f>IF($B60="","",IF(TRIM($J60&amp;"")="",0,SUMPRODUCT((파견수련계획!$Q$4:$Q$203=TRIM($J60&amp;""))*(파견수련계획!$S$4:$S$203="서울병원")*파견수련계획!$W$4:$W$203))+IF($AG60="서울병원",MAX(0,DAY(EOMONTH(요약!$B$3,0))-N($X60)),0))</f>
        <v/>
      </c>
      <c r="AI60" s="17">
        <f>IF($B60="","",IF(TRIM($J60&amp;"")="",0,SUMPRODUCT((파견수련계획!$Q$4:$Q$203=TRIM($J60&amp;""))*(파견수련계획!$S$4:$S$203="구리병원")*파견수련계획!$W$4:$W$203))+IF($AG60="구리병원",MAX(0,DAY(EOMONTH(요약!$B$3,0))-N($X60)),0))</f>
        <v/>
      </c>
      <c r="AJ60" s="10">
        <f>IF(OR($B60="",TRIM($J60&amp;"")=""),"",IFERROR(MATCH(TRIM($J60&amp;"")&amp;"|월",파견수련계획!$Z$4:$Z$203,0),""))</f>
        <v/>
      </c>
      <c r="AK60" s="10">
        <f>IF(OR($B60="",TRIM($J60&amp;"")=""),"",IFERROR(MATCH(TRIM($J60&amp;"")&amp;"|다기관",파견수련계획!$AE$4:$AE$203,0),""))</f>
        <v/>
      </c>
      <c r="AL60" s="10">
        <f>IF($AK60="","","다기관 "&amp;TEXT(INDEX(파견수련계획!$AB$4:$AB$203,$AK60),"yyyy-mm-dd")&amp;"~"&amp;IF(ISNUMBER(INDEX(파견수련계획!$AC$4:$AC$203,$AK60)),TEXT(INDEX(파견수련계획!$AC$4:$AC$203,$AK60),"yyyy-mm-dd"),""))</f>
        <v/>
      </c>
    </row>
    <row r="61">
      <c r="A61" s="10">
        <f>IF(B61="","",ROW()-1)</f>
        <v/>
      </c>
      <c r="B61" s="18" t="n"/>
      <c r="C61" s="10">
        <f>IF($AB61="","",IF(INDEX(기본자료!$C$2:$C$501,$AB61)="","",INDEX(기본자료!$C$2:$C$501,$AB61)))</f>
        <v/>
      </c>
      <c r="D61" s="10">
        <f>IF($AB61="","",IF(INDEX(기본자료!$J$2:$J$501,$AB61)="","",INDEX(기본자료!$J$2:$J$501,$AB61)))</f>
        <v/>
      </c>
      <c r="E61" s="11">
        <f>IF($AB61="","",IF(INDEX(기본자료!$K$2:$K$501,$AB61)="","",IF(NOT(ISNUMBER(INDEX(기본자료!$K$2:$K$501,$AB61))),INDEX(기본자료!$K$2:$K$501,$AB61),IF(INDEX(기본자료!$K$2:$K$501,$AB61)&lt;1000000,INDEX(기본자료!$K$2:$K$501,$AB61),IF(AND(INDEX(기본자료!$K$2:$K$501,$AB61)&gt;=10000101,INT(MOD(INDEX(기본자료!$K$2:$K$501,$AB61),10000)/100)&gt;=1,INT(MOD(INDEX(기본자료!$K$2:$K$501,$AB61),10000)/100)&lt;=12,MOD(INDEX(기본자료!$K$2:$K$501,$AB61),100)&gt;=1,MOD(INDEX(기본자료!$K$2:$K$501,$AB61),100)&lt;=31),DATE(INT(INDEX(기본자료!$K$2:$K$501,$AB61)/10000),INT(MOD(INDEX(기본자료!$K$2:$K$501,$AB61),10000)/100),MOD(INDEX(기본자료!$K$2:$K$501,$AB61),100)),INDEX(기본자료!$K$2:$K$501,$AB61)&amp;"")))))</f>
        <v/>
      </c>
      <c r="F61" s="10">
        <f>IF($AB61="","",IF(INDEX(기본자료!$D$2:$D$501,$AB61)="","",INDEX(기본자료!$D$2:$D$501,$AB61)))</f>
        <v/>
      </c>
      <c r="G61" s="10">
        <f>IF($AB61="","",IF(INDEX(기본자료!$E$2:$E$501,$AB61)="","",INDEX(기본자료!$E$2:$E$501,$AB61)))</f>
        <v/>
      </c>
      <c r="H61" s="10">
        <f>IF($AB61="","",IF(INDEX(기본자료!$F$2:$F$501,$AB61)="","",INDEX(기본자료!$F$2:$F$501,$AB61)))</f>
        <v/>
      </c>
      <c r="I61" s="11">
        <f>IF($AB61="","",IF(INDEX(기본자료!$G$2:$G$501,$AB61)="","",IF(NOT(ISNUMBER(INDEX(기본자료!$G$2:$G$501,$AB61))),INDEX(기본자료!$G$2:$G$501,$AB61),IF(INDEX(기본자료!$G$2:$G$501,$AB61)&lt;1000000,INDEX(기본자료!$G$2:$G$501,$AB61),IF(AND(INDEX(기본자료!$G$2:$G$501,$AB61)&gt;=10000101,INT(MOD(INDEX(기본자료!$G$2:$G$501,$AB61),10000)/100)&gt;=1,INT(MOD(INDEX(기본자료!$G$2:$G$501,$AB61),10000)/100)&lt;=12,MOD(INDEX(기본자료!$G$2:$G$501,$AB61),100)&gt;=1,MOD(INDEX(기본자료!$G$2:$G$501,$AB61),100)&lt;=31),DATE(INT(INDEX(기본자료!$G$2:$G$501,$AB61)/10000),INT(MOD(INDEX(기본자료!$G$2:$G$501,$AB61),10000)/100),MOD(INDEX(기본자료!$G$2:$G$501,$AB61),100)),INDEX(기본자료!$G$2:$G$501,$AB61)&amp;"")))))</f>
        <v/>
      </c>
      <c r="J61" s="10">
        <f>IF($AB61="","",IF(INDEX(기본자료!$H$2:$H$501,$AB61)="","",INDEX(기본자료!$H$2:$H$501,$AB61)))</f>
        <v/>
      </c>
      <c r="K61" s="10">
        <f>IF($AB61="","",IF(INDEX(기본자료!$I$2:$I$501,$AB61)="","",INDEX(기본자료!$I$2:$I$501,$AB61)))</f>
        <v/>
      </c>
      <c r="L61" s="10">
        <f>IF($AB61="","",IF(INDEX(기본자료!$A$2:$A$501,$AB61)="","",INDEX(기본자료!$A$2:$A$501,$AB61)))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파견수련계획!$AB$4:$AB$203,$AK61),OR(NOT(ISNUMBER(INDEX(파견수련계획!$AC$4:$AC$203,$AK61))),TODAY()&lt;=INDEX(파견수련계획!$AC$4:$AC$203,$AK61))),"다기관",IF($AF61="","",INDEX(파견수련계획!$T$4:$T$203,$AF61))),IF($AF61="","",INDEX(파견수련계획!$T$4:$T$203,$AF61))))</f>
        <v/>
      </c>
      <c r="Q61" s="10">
        <f>IF($AF61="","",INDEX(파견수련계획!$S$4:$S$203,$AF61))</f>
        <v/>
      </c>
      <c r="R61" s="10">
        <f>IF($AF61="","",INDEX(파견수련계획!$U$4:$U$203,$AF61))</f>
        <v/>
      </c>
      <c r="S61" s="11">
        <f>IF($AF61="","",IF(INDEX(파견수련계획!$H$4:$H$203,$AF61)="","",INDEX(파견수련계획!$H$4:$H$203,$AF61)))</f>
        <v/>
      </c>
      <c r="T61" s="11">
        <f>IF($AF61="","",IF(INDEX(파견수련계획!$I$4:$I$203,$AF61)="","",INDEX(파견수련계획!$I$4:$I$203,$AF61)))</f>
        <v/>
      </c>
      <c r="U61" s="10">
        <f>IF($AF61="","",INDEX(파견수련계획!$X$4:$X$203,$AF61))</f>
        <v/>
      </c>
      <c r="V61" s="17">
        <f>IF($AF61="","",INDEX(파견수련계획!$V$4:$V$203,$AF61))</f>
        <v/>
      </c>
      <c r="W61" s="17">
        <f>IF(AND($U61="파견중",$T61&lt;&gt;""),$T61-TODAY(),"")</f>
        <v/>
      </c>
      <c r="X61" s="17">
        <f>IF(OR($B61="",TRIM($J61&amp;"")=""),"",SUMPRODUCT((파견수련계획!$Q$4:$Q$203=TRIM($J61&amp;""))*파견수련계획!$W$4:$W$203))</f>
        <v/>
      </c>
      <c r="Y61" s="10">
        <f>IF($B61="","",IF($AG61="","",IF(IF(TRIM($J61&amp;"")="",0,SUMPRODUCT((파견수련계획!$Q$4:$Q$203=TRIM($J61&amp;""))*파견수련계획!$AD$4:$AD$203))&gt;0,$AE61,IF(N($X61)&lt;=0,$AG61,IF($AH61+$AI61=DAY(EOMONTH(요약!$B$3,0)),IF(AND($AH61&gt;=요약!$E$3,$AI61&lt;요약!$E$3),"서울병원",IF(AND($AI61&gt;=요약!$E$3,$AH61&lt;요약!$E$3),"구리병원","⚠15일 판정불가(서울 "&amp;$AH61&amp;"일/구리 "&amp;$AI61&amp;"일)")),IF($AJ61="",$AE61,IF(INDEX(파견수련계획!$T$4:$T$203,$AJ61)="통합수련",INDEX(파견수련계획!$S$4:$S$203,$AJ61),$AE61)))))))</f>
        <v/>
      </c>
      <c r="Z61" s="19">
        <f>IF($B61="","",IF($AB61="","기본자료에 없는 사번",IF(COUNTIF($B$2:$B$201,$B61)&gt;1,"중복 사번",IF($AE61="","소속(입사장소) 입력",IF(IF(TRIM($J61&amp;"")="",0,SUMPRODUCT((파견수련계획!$Q$4:$Q$203=TRIM($J61&amp;""))*(파견수련계획!$AA$4:$AA$203&lt;&gt;"")))&gt;0,"파견수련계획 입력오류 확인",IF(LEFT($Y61,1)="⚠","서울·구리 15일 판정 불가(양쪽 모두 이상/미만)",IF(IF($AC61="",0,N(INDEX(인턴근무계획!$T$3:$T$202,$AC61)))&gt;0,"인턴계획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IF($B61="","",IFERROR(MATCH($B61,기본자료!$B$2:$B$501,0),IFERROR(MATCH($B61&amp;"",기본자료!$B$2:$B$501,0),IFERROR(MATCH(VALUE($B61),기본자료!$B$2:$B$501,0),""))))</f>
        <v/>
      </c>
      <c r="AC61" s="10">
        <f>IF($B61="","",IFERROR(MATCH($B61,인턴근무계획!$D$3:$D$202,0),IFERROR(MATCH($B61&amp;"",인턴근무계획!$D$3:$D$202,0),IFERROR(MATCH(VALUE($B61),인턴근무계획!$D$3:$D$202,0),""))))</f>
        <v/>
      </c>
      <c r="AD61" s="10">
        <f>IF(OR($AC61="",인턴현황!$G$3=""),"",INDEX(인턴근무계획!$M$3:$R$202,$AC61,인턴현황!$G$3)&amp;"")</f>
        <v/>
      </c>
      <c r="AE61" s="10">
        <f>IF($B61="","",IF($M61&lt;&gt;"",$M61,IF($AF61&lt;&gt;"",IF(LEFT(INDEX(파견수련계획!$R$4:$R$203,$AF61),1)&lt;&gt;"⚠",INDEX(파견수련계획!$R$4:$R$203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$203,0),IFERROR(MATCH(TRIM($J61&amp;"")&amp;"|파견예정",파견수련계획!$Y$4:$Y$203,0),IFERROR(MATCH(TRIM($J61&amp;"")&amp;"|파견종료",파견수련계획!$Y$4:$Y$203,0),""))))</f>
        <v/>
      </c>
      <c r="AG61" s="10">
        <f>IF($B61="","",IF(AND(IF(OR($AC61="",인턴현황!$K$2=""),"",INDEX(인턴근무계획!$M$3:$R$202,$AC61,인턴현황!$K$2)&amp;"")&lt;&gt;"",LEFT(IF(OR($AC61="",인턴현황!$K$2=""),"",INDEX(인턴근무계획!$M$3:$R$202,$AC61,인턴현황!$K$2)&amp;""),1)&lt;&gt;"⚠"),LEFT(IF(OR($AC61="",인턴현황!$K$2=""),"",INDEX(인턴근무계획!$M$3:$R$202,$AC61,인턴현황!$K$2)&amp;""),FIND(" ",IF(OR($AC61="",인턴현황!$K$2=""),"",INDEX(인턴근무계획!$M$3:$R$202,$AC61,인턴현황!$K$2)&amp;""))-1),$AE61))</f>
        <v/>
      </c>
      <c r="AH61" s="17">
        <f>IF($B61="","",IF(TRIM($J61&amp;"")="",0,SUMPRODUCT((파견수련계획!$Q$4:$Q$203=TRIM($J61&amp;""))*(파견수련계획!$S$4:$S$203="서울병원")*파견수련계획!$W$4:$W$203))+IF($AG61="서울병원",MAX(0,DAY(EOMONTH(요약!$B$3,0))-N($X61)),0))</f>
        <v/>
      </c>
      <c r="AI61" s="17">
        <f>IF($B61="","",IF(TRIM($J61&amp;"")="",0,SUMPRODUCT((파견수련계획!$Q$4:$Q$203=TRIM($J61&amp;""))*(파견수련계획!$S$4:$S$203="구리병원")*파견수련계획!$W$4:$W$203))+IF($AG61="구리병원",MAX(0,DAY(EOMONTH(요약!$B$3,0))-N($X61)),0))</f>
        <v/>
      </c>
      <c r="AJ61" s="10">
        <f>IF(OR($B61="",TRIM($J61&amp;"")=""),"",IFERROR(MATCH(TRIM($J61&amp;"")&amp;"|월",파견수련계획!$Z$4:$Z$203,0),""))</f>
        <v/>
      </c>
      <c r="AK61" s="10">
        <f>IF(OR($B61="",TRIM($J61&amp;"")=""),"",IFERROR(MATCH(TRIM($J61&amp;"")&amp;"|다기관",파견수련계획!$AE$4:$AE$203,0),""))</f>
        <v/>
      </c>
      <c r="AL61" s="10">
        <f>IF($AK61="","","다기관 "&amp;TEXT(INDEX(파견수련계획!$AB$4:$AB$203,$AK61),"yyyy-mm-dd")&amp;"~"&amp;IF(ISNUMBER(INDEX(파견수련계획!$AC$4:$AC$203,$AK61)),TEXT(INDEX(파견수련계획!$AC$4:$AC$203,$AK61),"yyyy-mm-dd"),""))</f>
        <v/>
      </c>
    </row>
    <row r="62">
      <c r="A62" s="10">
        <f>IF(B62="","",ROW()-1)</f>
        <v/>
      </c>
      <c r="B62" s="18" t="n"/>
      <c r="C62" s="10">
        <f>IF($AB62="","",IF(INDEX(기본자료!$C$2:$C$501,$AB62)="","",INDEX(기본자료!$C$2:$C$501,$AB62)))</f>
        <v/>
      </c>
      <c r="D62" s="10">
        <f>IF($AB62="","",IF(INDEX(기본자료!$J$2:$J$501,$AB62)="","",INDEX(기본자료!$J$2:$J$501,$AB62)))</f>
        <v/>
      </c>
      <c r="E62" s="11">
        <f>IF($AB62="","",IF(INDEX(기본자료!$K$2:$K$501,$AB62)="","",IF(NOT(ISNUMBER(INDEX(기본자료!$K$2:$K$501,$AB62))),INDEX(기본자료!$K$2:$K$501,$AB62),IF(INDEX(기본자료!$K$2:$K$501,$AB62)&lt;1000000,INDEX(기본자료!$K$2:$K$501,$AB62),IF(AND(INDEX(기본자료!$K$2:$K$501,$AB62)&gt;=10000101,INT(MOD(INDEX(기본자료!$K$2:$K$501,$AB62),10000)/100)&gt;=1,INT(MOD(INDEX(기본자료!$K$2:$K$501,$AB62),10000)/100)&lt;=12,MOD(INDEX(기본자료!$K$2:$K$501,$AB62),100)&gt;=1,MOD(INDEX(기본자료!$K$2:$K$501,$AB62),100)&lt;=31),DATE(INT(INDEX(기본자료!$K$2:$K$501,$AB62)/10000),INT(MOD(INDEX(기본자료!$K$2:$K$501,$AB62),10000)/100),MOD(INDEX(기본자료!$K$2:$K$501,$AB62),100)),INDEX(기본자료!$K$2:$K$501,$AB62)&amp;"")))))</f>
        <v/>
      </c>
      <c r="F62" s="10">
        <f>IF($AB62="","",IF(INDEX(기본자료!$D$2:$D$501,$AB62)="","",INDEX(기본자료!$D$2:$D$501,$AB62)))</f>
        <v/>
      </c>
      <c r="G62" s="10">
        <f>IF($AB62="","",IF(INDEX(기본자료!$E$2:$E$501,$AB62)="","",INDEX(기본자료!$E$2:$E$501,$AB62)))</f>
        <v/>
      </c>
      <c r="H62" s="10">
        <f>IF($AB62="","",IF(INDEX(기본자료!$F$2:$F$501,$AB62)="","",INDEX(기본자료!$F$2:$F$501,$AB62)))</f>
        <v/>
      </c>
      <c r="I62" s="11">
        <f>IF($AB62="","",IF(INDEX(기본자료!$G$2:$G$501,$AB62)="","",IF(NOT(ISNUMBER(INDEX(기본자료!$G$2:$G$501,$AB62))),INDEX(기본자료!$G$2:$G$501,$AB62),IF(INDEX(기본자료!$G$2:$G$501,$AB62)&lt;1000000,INDEX(기본자료!$G$2:$G$501,$AB62),IF(AND(INDEX(기본자료!$G$2:$G$501,$AB62)&gt;=10000101,INT(MOD(INDEX(기본자료!$G$2:$G$501,$AB62),10000)/100)&gt;=1,INT(MOD(INDEX(기본자료!$G$2:$G$501,$AB62),10000)/100)&lt;=12,MOD(INDEX(기본자료!$G$2:$G$501,$AB62),100)&gt;=1,MOD(INDEX(기본자료!$G$2:$G$501,$AB62),100)&lt;=31),DATE(INT(INDEX(기본자료!$G$2:$G$501,$AB62)/10000),INT(MOD(INDEX(기본자료!$G$2:$G$501,$AB62),10000)/100),MOD(INDEX(기본자료!$G$2:$G$501,$AB62),100)),INDEX(기본자료!$G$2:$G$501,$AB62)&amp;"")))))</f>
        <v/>
      </c>
      <c r="J62" s="10">
        <f>IF($AB62="","",IF(INDEX(기본자료!$H$2:$H$501,$AB62)="","",INDEX(기본자료!$H$2:$H$501,$AB62)))</f>
        <v/>
      </c>
      <c r="K62" s="10">
        <f>IF($AB62="","",IF(INDEX(기본자료!$I$2:$I$501,$AB62)="","",INDEX(기본자료!$I$2:$I$501,$AB62)))</f>
        <v/>
      </c>
      <c r="L62" s="10">
        <f>IF($AB62="","",IF(INDEX(기본자료!$A$2:$A$501,$AB62)="","",INDEX(기본자료!$A$2:$A$501,$AB62)))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파견수련계획!$AB$4:$AB$203,$AK62),OR(NOT(ISNUMBER(INDEX(파견수련계획!$AC$4:$AC$203,$AK62))),TODAY()&lt;=INDEX(파견수련계획!$AC$4:$AC$203,$AK62))),"다기관",IF($AF62="","",INDEX(파견수련계획!$T$4:$T$203,$AF62))),IF($AF62="","",INDEX(파견수련계획!$T$4:$T$203,$AF62))))</f>
        <v/>
      </c>
      <c r="Q62" s="10">
        <f>IF($AF62="","",INDEX(파견수련계획!$S$4:$S$203,$AF62))</f>
        <v/>
      </c>
      <c r="R62" s="10">
        <f>IF($AF62="","",INDEX(파견수련계획!$U$4:$U$203,$AF62))</f>
        <v/>
      </c>
      <c r="S62" s="11">
        <f>IF($AF62="","",IF(INDEX(파견수련계획!$H$4:$H$203,$AF62)="","",INDEX(파견수련계획!$H$4:$H$203,$AF62)))</f>
        <v/>
      </c>
      <c r="T62" s="11">
        <f>IF($AF62="","",IF(INDEX(파견수련계획!$I$4:$I$203,$AF62)="","",INDEX(파견수련계획!$I$4:$I$203,$AF62)))</f>
        <v/>
      </c>
      <c r="U62" s="10">
        <f>IF($AF62="","",INDEX(파견수련계획!$X$4:$X$203,$AF62))</f>
        <v/>
      </c>
      <c r="V62" s="17">
        <f>IF($AF62="","",INDEX(파견수련계획!$V$4:$V$203,$AF62))</f>
        <v/>
      </c>
      <c r="W62" s="17">
        <f>IF(AND($U62="파견중",$T62&lt;&gt;""),$T62-TODAY(),"")</f>
        <v/>
      </c>
      <c r="X62" s="17">
        <f>IF(OR($B62="",TRIM($J62&amp;"")=""),"",SUMPRODUCT((파견수련계획!$Q$4:$Q$203=TRIM($J62&amp;""))*파견수련계획!$W$4:$W$203))</f>
        <v/>
      </c>
      <c r="Y62" s="10">
        <f>IF($B62="","",IF($AG62="","",IF(IF(TRIM($J62&amp;"")="",0,SUMPRODUCT((파견수련계획!$Q$4:$Q$203=TRIM($J62&amp;""))*파견수련계획!$AD$4:$AD$203))&gt;0,$AE62,IF(N($X62)&lt;=0,$AG62,IF($AH62+$AI62=DAY(EOMONTH(요약!$B$3,0)),IF(AND($AH62&gt;=요약!$E$3,$AI62&lt;요약!$E$3),"서울병원",IF(AND($AI62&gt;=요약!$E$3,$AH62&lt;요약!$E$3),"구리병원","⚠15일 판정불가(서울 "&amp;$AH62&amp;"일/구리 "&amp;$AI62&amp;"일)")),IF($AJ62="",$AE62,IF(INDEX(파견수련계획!$T$4:$T$203,$AJ62)="통합수련",INDEX(파견수련계획!$S$4:$S$203,$AJ62),$AE62)))))))</f>
        <v/>
      </c>
      <c r="Z62" s="19">
        <f>IF($B62="","",IF($AB62="","기본자료에 없는 사번",IF(COUNTIF($B$2:$B$201,$B62)&gt;1,"중복 사번",IF($AE62="","소속(입사장소) 입력",IF(IF(TRIM($J62&amp;"")="",0,SUMPRODUCT((파견수련계획!$Q$4:$Q$203=TRIM($J62&amp;""))*(파견수련계획!$AA$4:$AA$203&lt;&gt;"")))&gt;0,"파견수련계획 입력오류 확인",IF(LEFT($Y62,1)="⚠","서울·구리 15일 판정 불가(양쪽 모두 이상/미만)",IF(IF($AC62="",0,N(INDEX(인턴근무계획!$T$3:$T$202,$AC62)))&gt;0,"인턴계획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IF($B62="","",IFERROR(MATCH($B62,기본자료!$B$2:$B$501,0),IFERROR(MATCH($B62&amp;"",기본자료!$B$2:$B$501,0),IFERROR(MATCH(VALUE($B62),기본자료!$B$2:$B$501,0),""))))</f>
        <v/>
      </c>
      <c r="AC62" s="10">
        <f>IF($B62="","",IFERROR(MATCH($B62,인턴근무계획!$D$3:$D$202,0),IFERROR(MATCH($B62&amp;"",인턴근무계획!$D$3:$D$202,0),IFERROR(MATCH(VALUE($B62),인턴근무계획!$D$3:$D$202,0),""))))</f>
        <v/>
      </c>
      <c r="AD62" s="10">
        <f>IF(OR($AC62="",인턴현황!$G$3=""),"",INDEX(인턴근무계획!$M$3:$R$202,$AC62,인턴현황!$G$3)&amp;"")</f>
        <v/>
      </c>
      <c r="AE62" s="10">
        <f>IF($B62="","",IF($M62&lt;&gt;"",$M62,IF($AF62&lt;&gt;"",IF(LEFT(INDEX(파견수련계획!$R$4:$R$203,$AF62),1)&lt;&gt;"⚠",INDEX(파견수련계획!$R$4:$R$203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파견수련계획!$Y$4:$Y$203,0),IFERROR(MATCH(TRIM($J62&amp;"")&amp;"|파견예정",파견수련계획!$Y$4:$Y$203,0),IFERROR(MATCH(TRIM($J62&amp;"")&amp;"|파견종료",파견수련계획!$Y$4:$Y$203,0),""))))</f>
        <v/>
      </c>
      <c r="AG62" s="10">
        <f>IF($B62="","",IF(AND(IF(OR($AC62="",인턴현황!$K$2=""),"",INDEX(인턴근무계획!$M$3:$R$202,$AC62,인턴현황!$K$2)&amp;"")&lt;&gt;"",LEFT(IF(OR($AC62="",인턴현황!$K$2=""),"",INDEX(인턴근무계획!$M$3:$R$202,$AC62,인턴현황!$K$2)&amp;""),1)&lt;&gt;"⚠"),LEFT(IF(OR($AC62="",인턴현황!$K$2=""),"",INDEX(인턴근무계획!$M$3:$R$202,$AC62,인턴현황!$K$2)&amp;""),FIND(" ",IF(OR($AC62="",인턴현황!$K$2=""),"",INDEX(인턴근무계획!$M$3:$R$202,$AC62,인턴현황!$K$2)&amp;""))-1),$AE62))</f>
        <v/>
      </c>
      <c r="AH62" s="17">
        <f>IF($B62="","",IF(TRIM($J62&amp;"")="",0,SUMPRODUCT((파견수련계획!$Q$4:$Q$203=TRIM($J62&amp;""))*(파견수련계획!$S$4:$S$203="서울병원")*파견수련계획!$W$4:$W$203))+IF($AG62="서울병원",MAX(0,DAY(EOMONTH(요약!$B$3,0))-N($X62)),0))</f>
        <v/>
      </c>
      <c r="AI62" s="17">
        <f>IF($B62="","",IF(TRIM($J62&amp;"")="",0,SUMPRODUCT((파견수련계획!$Q$4:$Q$203=TRIM($J62&amp;""))*(파견수련계획!$S$4:$S$203="구리병원")*파견수련계획!$W$4:$W$203))+IF($AG62="구리병원",MAX(0,DAY(EOMONTH(요약!$B$3,0))-N($X62)),0))</f>
        <v/>
      </c>
      <c r="AJ62" s="10">
        <f>IF(OR($B62="",TRIM($J62&amp;"")=""),"",IFERROR(MATCH(TRIM($J62&amp;"")&amp;"|월",파견수련계획!$Z$4:$Z$203,0),""))</f>
        <v/>
      </c>
      <c r="AK62" s="10">
        <f>IF(OR($B62="",TRIM($J62&amp;"")=""),"",IFERROR(MATCH(TRIM($J62&amp;"")&amp;"|다기관",파견수련계획!$AE$4:$AE$203,0),""))</f>
        <v/>
      </c>
      <c r="AL62" s="10">
        <f>IF($AK62="","","다기관 "&amp;TEXT(INDEX(파견수련계획!$AB$4:$AB$203,$AK62),"yyyy-mm-dd")&amp;"~"&amp;IF(ISNUMBER(INDEX(파견수련계획!$AC$4:$AC$203,$AK62)),TEXT(INDEX(파견수련계획!$AC$4:$AC$203,$AK62),"yyyy-mm-dd"),""))</f>
        <v/>
      </c>
    </row>
    <row r="63">
      <c r="A63" s="10">
        <f>IF(B63="","",ROW()-1)</f>
        <v/>
      </c>
      <c r="B63" s="18" t="n"/>
      <c r="C63" s="10">
        <f>IF($AB63="","",IF(INDEX(기본자료!$C$2:$C$501,$AB63)="","",INDEX(기본자료!$C$2:$C$501,$AB63)))</f>
        <v/>
      </c>
      <c r="D63" s="10">
        <f>IF($AB63="","",IF(INDEX(기본자료!$J$2:$J$501,$AB63)="","",INDEX(기본자료!$J$2:$J$501,$AB63)))</f>
        <v/>
      </c>
      <c r="E63" s="11">
        <f>IF($AB63="","",IF(INDEX(기본자료!$K$2:$K$501,$AB63)="","",IF(NOT(ISNUMBER(INDEX(기본자료!$K$2:$K$501,$AB63))),INDEX(기본자료!$K$2:$K$501,$AB63),IF(INDEX(기본자료!$K$2:$K$501,$AB63)&lt;1000000,INDEX(기본자료!$K$2:$K$501,$AB63),IF(AND(INDEX(기본자료!$K$2:$K$501,$AB63)&gt;=10000101,INT(MOD(INDEX(기본자료!$K$2:$K$501,$AB63),10000)/100)&gt;=1,INT(MOD(INDEX(기본자료!$K$2:$K$501,$AB63),10000)/100)&lt;=12,MOD(INDEX(기본자료!$K$2:$K$501,$AB63),100)&gt;=1,MOD(INDEX(기본자료!$K$2:$K$501,$AB63),100)&lt;=31),DATE(INT(INDEX(기본자료!$K$2:$K$501,$AB63)/10000),INT(MOD(INDEX(기본자료!$K$2:$K$501,$AB63),10000)/100),MOD(INDEX(기본자료!$K$2:$K$501,$AB63),100)),INDEX(기본자료!$K$2:$K$501,$AB63)&amp;"")))))</f>
        <v/>
      </c>
      <c r="F63" s="10">
        <f>IF($AB63="","",IF(INDEX(기본자료!$D$2:$D$501,$AB63)="","",INDEX(기본자료!$D$2:$D$501,$AB63)))</f>
        <v/>
      </c>
      <c r="G63" s="10">
        <f>IF($AB63="","",IF(INDEX(기본자료!$E$2:$E$501,$AB63)="","",INDEX(기본자료!$E$2:$E$501,$AB63)))</f>
        <v/>
      </c>
      <c r="H63" s="10">
        <f>IF($AB63="","",IF(INDEX(기본자료!$F$2:$F$501,$AB63)="","",INDEX(기본자료!$F$2:$F$501,$AB63)))</f>
        <v/>
      </c>
      <c r="I63" s="11">
        <f>IF($AB63="","",IF(INDEX(기본자료!$G$2:$G$501,$AB63)="","",IF(NOT(ISNUMBER(INDEX(기본자료!$G$2:$G$501,$AB63))),INDEX(기본자료!$G$2:$G$501,$AB63),IF(INDEX(기본자료!$G$2:$G$501,$AB63)&lt;1000000,INDEX(기본자료!$G$2:$G$501,$AB63),IF(AND(INDEX(기본자료!$G$2:$G$501,$AB63)&gt;=10000101,INT(MOD(INDEX(기본자료!$G$2:$G$501,$AB63),10000)/100)&gt;=1,INT(MOD(INDEX(기본자료!$G$2:$G$501,$AB63),10000)/100)&lt;=12,MOD(INDEX(기본자료!$G$2:$G$501,$AB63),100)&gt;=1,MOD(INDEX(기본자료!$G$2:$G$501,$AB63),100)&lt;=31),DATE(INT(INDEX(기본자료!$G$2:$G$501,$AB63)/10000),INT(MOD(INDEX(기본자료!$G$2:$G$501,$AB63),10000)/100),MOD(INDEX(기본자료!$G$2:$G$501,$AB63),100)),INDEX(기본자료!$G$2:$G$501,$AB63)&amp;"")))))</f>
        <v/>
      </c>
      <c r="J63" s="10">
        <f>IF($AB63="","",IF(INDEX(기본자료!$H$2:$H$501,$AB63)="","",INDEX(기본자료!$H$2:$H$501,$AB63)))</f>
        <v/>
      </c>
      <c r="K63" s="10">
        <f>IF($AB63="","",IF(INDEX(기본자료!$I$2:$I$501,$AB63)="","",INDEX(기본자료!$I$2:$I$501,$AB63)))</f>
        <v/>
      </c>
      <c r="L63" s="10">
        <f>IF($AB63="","",IF(INDEX(기본자료!$A$2:$A$501,$AB63)="","",INDEX(기본자료!$A$2:$A$501,$AB63)))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파견수련계획!$AB$4:$AB$203,$AK63),OR(NOT(ISNUMBER(INDEX(파견수련계획!$AC$4:$AC$203,$AK63))),TODAY()&lt;=INDEX(파견수련계획!$AC$4:$AC$203,$AK63))),"다기관",IF($AF63="","",INDEX(파견수련계획!$T$4:$T$203,$AF63))),IF($AF63="","",INDEX(파견수련계획!$T$4:$T$203,$AF63))))</f>
        <v/>
      </c>
      <c r="Q63" s="10">
        <f>IF($AF63="","",INDEX(파견수련계획!$S$4:$S$203,$AF63))</f>
        <v/>
      </c>
      <c r="R63" s="10">
        <f>IF($AF63="","",INDEX(파견수련계획!$U$4:$U$203,$AF63))</f>
        <v/>
      </c>
      <c r="S63" s="11">
        <f>IF($AF63="","",IF(INDEX(파견수련계획!$H$4:$H$203,$AF63)="","",INDEX(파견수련계획!$H$4:$H$203,$AF63)))</f>
        <v/>
      </c>
      <c r="T63" s="11">
        <f>IF($AF63="","",IF(INDEX(파견수련계획!$I$4:$I$203,$AF63)="","",INDEX(파견수련계획!$I$4:$I$203,$AF63)))</f>
        <v/>
      </c>
      <c r="U63" s="10">
        <f>IF($AF63="","",INDEX(파견수련계획!$X$4:$X$203,$AF63))</f>
        <v/>
      </c>
      <c r="V63" s="17">
        <f>IF($AF63="","",INDEX(파견수련계획!$V$4:$V$203,$AF63))</f>
        <v/>
      </c>
      <c r="W63" s="17">
        <f>IF(AND($U63="파견중",$T63&lt;&gt;""),$T63-TODAY(),"")</f>
        <v/>
      </c>
      <c r="X63" s="17">
        <f>IF(OR($B63="",TRIM($J63&amp;"")=""),"",SUMPRODUCT((파견수련계획!$Q$4:$Q$203=TRIM($J63&amp;""))*파견수련계획!$W$4:$W$203))</f>
        <v/>
      </c>
      <c r="Y63" s="10">
        <f>IF($B63="","",IF($AG63="","",IF(IF(TRIM($J63&amp;"")="",0,SUMPRODUCT((파견수련계획!$Q$4:$Q$203=TRIM($J63&amp;""))*파견수련계획!$AD$4:$AD$203))&gt;0,$AE63,IF(N($X63)&lt;=0,$AG63,IF($AH63+$AI63=DAY(EOMONTH(요약!$B$3,0)),IF(AND($AH63&gt;=요약!$E$3,$AI63&lt;요약!$E$3),"서울병원",IF(AND($AI63&gt;=요약!$E$3,$AH63&lt;요약!$E$3),"구리병원","⚠15일 판정불가(서울 "&amp;$AH63&amp;"일/구리 "&amp;$AI63&amp;"일)")),IF($AJ63="",$AE63,IF(INDEX(파견수련계획!$T$4:$T$203,$AJ63)="통합수련",INDEX(파견수련계획!$S$4:$S$203,$AJ63),$AE63)))))))</f>
        <v/>
      </c>
      <c r="Z63" s="19">
        <f>IF($B63="","",IF($AB63="","기본자료에 없는 사번",IF(COUNTIF($B$2:$B$201,$B63)&gt;1,"중복 사번",IF($AE63="","소속(입사장소) 입력",IF(IF(TRIM($J63&amp;"")="",0,SUMPRODUCT((파견수련계획!$Q$4:$Q$203=TRIM($J63&amp;""))*(파견수련계획!$AA$4:$AA$203&lt;&gt;"")))&gt;0,"파견수련계획 입력오류 확인",IF(LEFT($Y63,1)="⚠","서울·구리 15일 판정 불가(양쪽 모두 이상/미만)",IF(IF($AC63="",0,N(INDEX(인턴근무계획!$T$3:$T$202,$AC63)))&gt;0,"인턴계획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IF($B63="","",IFERROR(MATCH($B63,기본자료!$B$2:$B$501,0),IFERROR(MATCH($B63&amp;"",기본자료!$B$2:$B$501,0),IFERROR(MATCH(VALUE($B63),기본자료!$B$2:$B$501,0),""))))</f>
        <v/>
      </c>
      <c r="AC63" s="10">
        <f>IF($B63="","",IFERROR(MATCH($B63,인턴근무계획!$D$3:$D$202,0),IFERROR(MATCH($B63&amp;"",인턴근무계획!$D$3:$D$202,0),IFERROR(MATCH(VALUE($B63),인턴근무계획!$D$3:$D$202,0),""))))</f>
        <v/>
      </c>
      <c r="AD63" s="10">
        <f>IF(OR($AC63="",인턴현황!$G$3=""),"",INDEX(인턴근무계획!$M$3:$R$202,$AC63,인턴현황!$G$3)&amp;"")</f>
        <v/>
      </c>
      <c r="AE63" s="10">
        <f>IF($B63="","",IF($M63&lt;&gt;"",$M63,IF($AF63&lt;&gt;"",IF(LEFT(INDEX(파견수련계획!$R$4:$R$203,$AF63),1)&lt;&gt;"⚠",INDEX(파견수련계획!$R$4:$R$203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파견수련계획!$Y$4:$Y$203,0),IFERROR(MATCH(TRIM($J63&amp;"")&amp;"|파견예정",파견수련계획!$Y$4:$Y$203,0),IFERROR(MATCH(TRIM($J63&amp;"")&amp;"|파견종료",파견수련계획!$Y$4:$Y$203,0),""))))</f>
        <v/>
      </c>
      <c r="AG63" s="10">
        <f>IF($B63="","",IF(AND(IF(OR($AC63="",인턴현황!$K$2=""),"",INDEX(인턴근무계획!$M$3:$R$202,$AC63,인턴현황!$K$2)&amp;"")&lt;&gt;"",LEFT(IF(OR($AC63="",인턴현황!$K$2=""),"",INDEX(인턴근무계획!$M$3:$R$202,$AC63,인턴현황!$K$2)&amp;""),1)&lt;&gt;"⚠"),LEFT(IF(OR($AC63="",인턴현황!$K$2=""),"",INDEX(인턴근무계획!$M$3:$R$202,$AC63,인턴현황!$K$2)&amp;""),FIND(" ",IF(OR($AC63="",인턴현황!$K$2=""),"",INDEX(인턴근무계획!$M$3:$R$202,$AC63,인턴현황!$K$2)&amp;""))-1),$AE63))</f>
        <v/>
      </c>
      <c r="AH63" s="17">
        <f>IF($B63="","",IF(TRIM($J63&amp;"")="",0,SUMPRODUCT((파견수련계획!$Q$4:$Q$203=TRIM($J63&amp;""))*(파견수련계획!$S$4:$S$203="서울병원")*파견수련계획!$W$4:$W$203))+IF($AG63="서울병원",MAX(0,DAY(EOMONTH(요약!$B$3,0))-N($X63)),0))</f>
        <v/>
      </c>
      <c r="AI63" s="17">
        <f>IF($B63="","",IF(TRIM($J63&amp;"")="",0,SUMPRODUCT((파견수련계획!$Q$4:$Q$203=TRIM($J63&amp;""))*(파견수련계획!$S$4:$S$203="구리병원")*파견수련계획!$W$4:$W$203))+IF($AG63="구리병원",MAX(0,DAY(EOMONTH(요약!$B$3,0))-N($X63)),0))</f>
        <v/>
      </c>
      <c r="AJ63" s="10">
        <f>IF(OR($B63="",TRIM($J63&amp;"")=""),"",IFERROR(MATCH(TRIM($J63&amp;"")&amp;"|월",파견수련계획!$Z$4:$Z$203,0),""))</f>
        <v/>
      </c>
      <c r="AK63" s="10">
        <f>IF(OR($B63="",TRIM($J63&amp;"")=""),"",IFERROR(MATCH(TRIM($J63&amp;"")&amp;"|다기관",파견수련계획!$AE$4:$AE$203,0),""))</f>
        <v/>
      </c>
      <c r="AL63" s="10">
        <f>IF($AK63="","","다기관 "&amp;TEXT(INDEX(파견수련계획!$AB$4:$AB$203,$AK63),"yyyy-mm-dd")&amp;"~"&amp;IF(ISNUMBER(INDEX(파견수련계획!$AC$4:$AC$203,$AK63)),TEXT(INDEX(파견수련계획!$AC$4:$AC$203,$AK63),"yyyy-mm-dd"),""))</f>
        <v/>
      </c>
    </row>
    <row r="64">
      <c r="A64" s="10">
        <f>IF(B64="","",ROW()-1)</f>
        <v/>
      </c>
      <c r="B64" s="18" t="n"/>
      <c r="C64" s="10">
        <f>IF($AB64="","",IF(INDEX(기본자료!$C$2:$C$501,$AB64)="","",INDEX(기본자료!$C$2:$C$501,$AB64)))</f>
        <v/>
      </c>
      <c r="D64" s="10">
        <f>IF($AB64="","",IF(INDEX(기본자료!$J$2:$J$501,$AB64)="","",INDEX(기본자료!$J$2:$J$501,$AB64)))</f>
        <v/>
      </c>
      <c r="E64" s="11">
        <f>IF($AB64="","",IF(INDEX(기본자료!$K$2:$K$501,$AB64)="","",IF(NOT(ISNUMBER(INDEX(기본자료!$K$2:$K$501,$AB64))),INDEX(기본자료!$K$2:$K$501,$AB64),IF(INDEX(기본자료!$K$2:$K$501,$AB64)&lt;1000000,INDEX(기본자료!$K$2:$K$501,$AB64),IF(AND(INDEX(기본자료!$K$2:$K$501,$AB64)&gt;=10000101,INT(MOD(INDEX(기본자료!$K$2:$K$501,$AB64),10000)/100)&gt;=1,INT(MOD(INDEX(기본자료!$K$2:$K$501,$AB64),10000)/100)&lt;=12,MOD(INDEX(기본자료!$K$2:$K$501,$AB64),100)&gt;=1,MOD(INDEX(기본자료!$K$2:$K$501,$AB64),100)&lt;=31),DATE(INT(INDEX(기본자료!$K$2:$K$501,$AB64)/10000),INT(MOD(INDEX(기본자료!$K$2:$K$501,$AB64),10000)/100),MOD(INDEX(기본자료!$K$2:$K$501,$AB64),100)),INDEX(기본자료!$K$2:$K$501,$AB64)&amp;"")))))</f>
        <v/>
      </c>
      <c r="F64" s="10">
        <f>IF($AB64="","",IF(INDEX(기본자료!$D$2:$D$501,$AB64)="","",INDEX(기본자료!$D$2:$D$501,$AB64)))</f>
        <v/>
      </c>
      <c r="G64" s="10">
        <f>IF($AB64="","",IF(INDEX(기본자료!$E$2:$E$501,$AB64)="","",INDEX(기본자료!$E$2:$E$501,$AB64)))</f>
        <v/>
      </c>
      <c r="H64" s="10">
        <f>IF($AB64="","",IF(INDEX(기본자료!$F$2:$F$501,$AB64)="","",INDEX(기본자료!$F$2:$F$501,$AB64)))</f>
        <v/>
      </c>
      <c r="I64" s="11">
        <f>IF($AB64="","",IF(INDEX(기본자료!$G$2:$G$501,$AB64)="","",IF(NOT(ISNUMBER(INDEX(기본자료!$G$2:$G$501,$AB64))),INDEX(기본자료!$G$2:$G$501,$AB64),IF(INDEX(기본자료!$G$2:$G$501,$AB64)&lt;1000000,INDEX(기본자료!$G$2:$G$501,$AB64),IF(AND(INDEX(기본자료!$G$2:$G$501,$AB64)&gt;=10000101,INT(MOD(INDEX(기본자료!$G$2:$G$501,$AB64),10000)/100)&gt;=1,INT(MOD(INDEX(기본자료!$G$2:$G$501,$AB64),10000)/100)&lt;=12,MOD(INDEX(기본자료!$G$2:$G$501,$AB64),100)&gt;=1,MOD(INDEX(기본자료!$G$2:$G$501,$AB64),100)&lt;=31),DATE(INT(INDEX(기본자료!$G$2:$G$501,$AB64)/10000),INT(MOD(INDEX(기본자료!$G$2:$G$501,$AB64),10000)/100),MOD(INDEX(기본자료!$G$2:$G$501,$AB64),100)),INDEX(기본자료!$G$2:$G$501,$AB64)&amp;"")))))</f>
        <v/>
      </c>
      <c r="J64" s="10">
        <f>IF($AB64="","",IF(INDEX(기본자료!$H$2:$H$501,$AB64)="","",INDEX(기본자료!$H$2:$H$501,$AB64)))</f>
        <v/>
      </c>
      <c r="K64" s="10">
        <f>IF($AB64="","",IF(INDEX(기본자료!$I$2:$I$501,$AB64)="","",INDEX(기본자료!$I$2:$I$501,$AB64)))</f>
        <v/>
      </c>
      <c r="L64" s="10">
        <f>IF($AB64="","",IF(INDEX(기본자료!$A$2:$A$501,$AB64)="","",INDEX(기본자료!$A$2:$A$501,$AB64)))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파견수련계획!$AB$4:$AB$203,$AK64),OR(NOT(ISNUMBER(INDEX(파견수련계획!$AC$4:$AC$203,$AK64))),TODAY()&lt;=INDEX(파견수련계획!$AC$4:$AC$203,$AK64))),"다기관",IF($AF64="","",INDEX(파견수련계획!$T$4:$T$203,$AF64))),IF($AF64="","",INDEX(파견수련계획!$T$4:$T$203,$AF64))))</f>
        <v/>
      </c>
      <c r="Q64" s="10">
        <f>IF($AF64="","",INDEX(파견수련계획!$S$4:$S$203,$AF64))</f>
        <v/>
      </c>
      <c r="R64" s="10">
        <f>IF($AF64="","",INDEX(파견수련계획!$U$4:$U$203,$AF64))</f>
        <v/>
      </c>
      <c r="S64" s="11">
        <f>IF($AF64="","",IF(INDEX(파견수련계획!$H$4:$H$203,$AF64)="","",INDEX(파견수련계획!$H$4:$H$203,$AF64)))</f>
        <v/>
      </c>
      <c r="T64" s="11">
        <f>IF($AF64="","",IF(INDEX(파견수련계획!$I$4:$I$203,$AF64)="","",INDEX(파견수련계획!$I$4:$I$203,$AF64)))</f>
        <v/>
      </c>
      <c r="U64" s="10">
        <f>IF($AF64="","",INDEX(파견수련계획!$X$4:$X$203,$AF64))</f>
        <v/>
      </c>
      <c r="V64" s="17">
        <f>IF($AF64="","",INDEX(파견수련계획!$V$4:$V$203,$AF64))</f>
        <v/>
      </c>
      <c r="W64" s="17">
        <f>IF(AND($U64="파견중",$T64&lt;&gt;""),$T64-TODAY(),"")</f>
        <v/>
      </c>
      <c r="X64" s="17">
        <f>IF(OR($B64="",TRIM($J64&amp;"")=""),"",SUMPRODUCT((파견수련계획!$Q$4:$Q$203=TRIM($J64&amp;""))*파견수련계획!$W$4:$W$203))</f>
        <v/>
      </c>
      <c r="Y64" s="10">
        <f>IF($B64="","",IF($AG64="","",IF(IF(TRIM($J64&amp;"")="",0,SUMPRODUCT((파견수련계획!$Q$4:$Q$203=TRIM($J64&amp;""))*파견수련계획!$AD$4:$AD$203))&gt;0,$AE64,IF(N($X64)&lt;=0,$AG64,IF($AH64+$AI64=DAY(EOMONTH(요약!$B$3,0)),IF(AND($AH64&gt;=요약!$E$3,$AI64&lt;요약!$E$3),"서울병원",IF(AND($AI64&gt;=요약!$E$3,$AH64&lt;요약!$E$3),"구리병원","⚠15일 판정불가(서울 "&amp;$AH64&amp;"일/구리 "&amp;$AI64&amp;"일)")),IF($AJ64="",$AE64,IF(INDEX(파견수련계획!$T$4:$T$203,$AJ64)="통합수련",INDEX(파견수련계획!$S$4:$S$203,$AJ64),$AE64)))))))</f>
        <v/>
      </c>
      <c r="Z64" s="19">
        <f>IF($B64="","",IF($AB64="","기본자료에 없는 사번",IF(COUNTIF($B$2:$B$201,$B64)&gt;1,"중복 사번",IF($AE64="","소속(입사장소) 입력",IF(IF(TRIM($J64&amp;"")="",0,SUMPRODUCT((파견수련계획!$Q$4:$Q$203=TRIM($J64&amp;""))*(파견수련계획!$AA$4:$AA$203&lt;&gt;"")))&gt;0,"파견수련계획 입력오류 확인",IF(LEFT($Y64,1)="⚠","서울·구리 15일 판정 불가(양쪽 모두 이상/미만)",IF(IF($AC64="",0,N(INDEX(인턴근무계획!$T$3:$T$202,$AC64)))&gt;0,"인턴계획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IF($B64="","",IFERROR(MATCH($B64,기본자료!$B$2:$B$501,0),IFERROR(MATCH($B64&amp;"",기본자료!$B$2:$B$501,0),IFERROR(MATCH(VALUE($B64),기본자료!$B$2:$B$501,0),""))))</f>
        <v/>
      </c>
      <c r="AC64" s="10">
        <f>IF($B64="","",IFERROR(MATCH($B64,인턴근무계획!$D$3:$D$202,0),IFERROR(MATCH($B64&amp;"",인턴근무계획!$D$3:$D$202,0),IFERROR(MATCH(VALUE($B64),인턴근무계획!$D$3:$D$202,0),""))))</f>
        <v/>
      </c>
      <c r="AD64" s="10">
        <f>IF(OR($AC64="",인턴현황!$G$3=""),"",INDEX(인턴근무계획!$M$3:$R$202,$AC64,인턴현황!$G$3)&amp;"")</f>
        <v/>
      </c>
      <c r="AE64" s="10">
        <f>IF($B64="","",IF($M64&lt;&gt;"",$M64,IF($AF64&lt;&gt;"",IF(LEFT(INDEX(파견수련계획!$R$4:$R$203,$AF64),1)&lt;&gt;"⚠",INDEX(파견수련계획!$R$4:$R$203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파견수련계획!$Y$4:$Y$203,0),IFERROR(MATCH(TRIM($J64&amp;"")&amp;"|파견예정",파견수련계획!$Y$4:$Y$203,0),IFERROR(MATCH(TRIM($J64&amp;"")&amp;"|파견종료",파견수련계획!$Y$4:$Y$203,0),""))))</f>
        <v/>
      </c>
      <c r="AG64" s="10">
        <f>IF($B64="","",IF(AND(IF(OR($AC64="",인턴현황!$K$2=""),"",INDEX(인턴근무계획!$M$3:$R$202,$AC64,인턴현황!$K$2)&amp;"")&lt;&gt;"",LEFT(IF(OR($AC64="",인턴현황!$K$2=""),"",INDEX(인턴근무계획!$M$3:$R$202,$AC64,인턴현황!$K$2)&amp;""),1)&lt;&gt;"⚠"),LEFT(IF(OR($AC64="",인턴현황!$K$2=""),"",INDEX(인턴근무계획!$M$3:$R$202,$AC64,인턴현황!$K$2)&amp;""),FIND(" ",IF(OR($AC64="",인턴현황!$K$2=""),"",INDEX(인턴근무계획!$M$3:$R$202,$AC64,인턴현황!$K$2)&amp;""))-1),$AE64))</f>
        <v/>
      </c>
      <c r="AH64" s="17">
        <f>IF($B64="","",IF(TRIM($J64&amp;"")="",0,SUMPRODUCT((파견수련계획!$Q$4:$Q$203=TRIM($J64&amp;""))*(파견수련계획!$S$4:$S$203="서울병원")*파견수련계획!$W$4:$W$203))+IF($AG64="서울병원",MAX(0,DAY(EOMONTH(요약!$B$3,0))-N($X64)),0))</f>
        <v/>
      </c>
      <c r="AI64" s="17">
        <f>IF($B64="","",IF(TRIM($J64&amp;"")="",0,SUMPRODUCT((파견수련계획!$Q$4:$Q$203=TRIM($J64&amp;""))*(파견수련계획!$S$4:$S$203="구리병원")*파견수련계획!$W$4:$W$203))+IF($AG64="구리병원",MAX(0,DAY(EOMONTH(요약!$B$3,0))-N($X64)),0))</f>
        <v/>
      </c>
      <c r="AJ64" s="10">
        <f>IF(OR($B64="",TRIM($J64&amp;"")=""),"",IFERROR(MATCH(TRIM($J64&amp;"")&amp;"|월",파견수련계획!$Z$4:$Z$203,0),""))</f>
        <v/>
      </c>
      <c r="AK64" s="10">
        <f>IF(OR($B64="",TRIM($J64&amp;"")=""),"",IFERROR(MATCH(TRIM($J64&amp;"")&amp;"|다기관",파견수련계획!$AE$4:$AE$203,0),""))</f>
        <v/>
      </c>
      <c r="AL64" s="10">
        <f>IF($AK64="","","다기관 "&amp;TEXT(INDEX(파견수련계획!$AB$4:$AB$203,$AK64),"yyyy-mm-dd")&amp;"~"&amp;IF(ISNUMBER(INDEX(파견수련계획!$AC$4:$AC$203,$AK64)),TEXT(INDEX(파견수련계획!$AC$4:$AC$203,$AK64),"yyyy-mm-dd"),""))</f>
        <v/>
      </c>
    </row>
    <row r="65">
      <c r="A65" s="10">
        <f>IF(B65="","",ROW()-1)</f>
        <v/>
      </c>
      <c r="B65" s="18" t="n"/>
      <c r="C65" s="10">
        <f>IF($AB65="","",IF(INDEX(기본자료!$C$2:$C$501,$AB65)="","",INDEX(기본자료!$C$2:$C$501,$AB65)))</f>
        <v/>
      </c>
      <c r="D65" s="10">
        <f>IF($AB65="","",IF(INDEX(기본자료!$J$2:$J$501,$AB65)="","",INDEX(기본자료!$J$2:$J$501,$AB65)))</f>
        <v/>
      </c>
      <c r="E65" s="11">
        <f>IF($AB65="","",IF(INDEX(기본자료!$K$2:$K$501,$AB65)="","",IF(NOT(ISNUMBER(INDEX(기본자료!$K$2:$K$501,$AB65))),INDEX(기본자료!$K$2:$K$501,$AB65),IF(INDEX(기본자료!$K$2:$K$501,$AB65)&lt;1000000,INDEX(기본자료!$K$2:$K$501,$AB65),IF(AND(INDEX(기본자료!$K$2:$K$501,$AB65)&gt;=10000101,INT(MOD(INDEX(기본자료!$K$2:$K$501,$AB65),10000)/100)&gt;=1,INT(MOD(INDEX(기본자료!$K$2:$K$501,$AB65),10000)/100)&lt;=12,MOD(INDEX(기본자료!$K$2:$K$501,$AB65),100)&gt;=1,MOD(INDEX(기본자료!$K$2:$K$501,$AB65),100)&lt;=31),DATE(INT(INDEX(기본자료!$K$2:$K$501,$AB65)/10000),INT(MOD(INDEX(기본자료!$K$2:$K$501,$AB65),10000)/100),MOD(INDEX(기본자료!$K$2:$K$501,$AB65),100)),INDEX(기본자료!$K$2:$K$501,$AB65)&amp;"")))))</f>
        <v/>
      </c>
      <c r="F65" s="10">
        <f>IF($AB65="","",IF(INDEX(기본자료!$D$2:$D$501,$AB65)="","",INDEX(기본자료!$D$2:$D$501,$AB65)))</f>
        <v/>
      </c>
      <c r="G65" s="10">
        <f>IF($AB65="","",IF(INDEX(기본자료!$E$2:$E$501,$AB65)="","",INDEX(기본자료!$E$2:$E$501,$AB65)))</f>
        <v/>
      </c>
      <c r="H65" s="10">
        <f>IF($AB65="","",IF(INDEX(기본자료!$F$2:$F$501,$AB65)="","",INDEX(기본자료!$F$2:$F$501,$AB65)))</f>
        <v/>
      </c>
      <c r="I65" s="11">
        <f>IF($AB65="","",IF(INDEX(기본자료!$G$2:$G$501,$AB65)="","",IF(NOT(ISNUMBER(INDEX(기본자료!$G$2:$G$501,$AB65))),INDEX(기본자료!$G$2:$G$501,$AB65),IF(INDEX(기본자료!$G$2:$G$501,$AB65)&lt;1000000,INDEX(기본자료!$G$2:$G$501,$AB65),IF(AND(INDEX(기본자료!$G$2:$G$501,$AB65)&gt;=10000101,INT(MOD(INDEX(기본자료!$G$2:$G$501,$AB65),10000)/100)&gt;=1,INT(MOD(INDEX(기본자료!$G$2:$G$501,$AB65),10000)/100)&lt;=12,MOD(INDEX(기본자료!$G$2:$G$501,$AB65),100)&gt;=1,MOD(INDEX(기본자료!$G$2:$G$501,$AB65),100)&lt;=31),DATE(INT(INDEX(기본자료!$G$2:$G$501,$AB65)/10000),INT(MOD(INDEX(기본자료!$G$2:$G$501,$AB65),10000)/100),MOD(INDEX(기본자료!$G$2:$G$501,$AB65),100)),INDEX(기본자료!$G$2:$G$501,$AB65)&amp;"")))))</f>
        <v/>
      </c>
      <c r="J65" s="10">
        <f>IF($AB65="","",IF(INDEX(기본자료!$H$2:$H$501,$AB65)="","",INDEX(기본자료!$H$2:$H$501,$AB65)))</f>
        <v/>
      </c>
      <c r="K65" s="10">
        <f>IF($AB65="","",IF(INDEX(기본자료!$I$2:$I$501,$AB65)="","",INDEX(기본자료!$I$2:$I$501,$AB65)))</f>
        <v/>
      </c>
      <c r="L65" s="10">
        <f>IF($AB65="","",IF(INDEX(기본자료!$A$2:$A$501,$AB65)="","",INDEX(기본자료!$A$2:$A$501,$AB65)))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파견수련계획!$AB$4:$AB$203,$AK65),OR(NOT(ISNUMBER(INDEX(파견수련계획!$AC$4:$AC$203,$AK65))),TODAY()&lt;=INDEX(파견수련계획!$AC$4:$AC$203,$AK65))),"다기관",IF($AF65="","",INDEX(파견수련계획!$T$4:$T$203,$AF65))),IF($AF65="","",INDEX(파견수련계획!$T$4:$T$203,$AF65))))</f>
        <v/>
      </c>
      <c r="Q65" s="10">
        <f>IF($AF65="","",INDEX(파견수련계획!$S$4:$S$203,$AF65))</f>
        <v/>
      </c>
      <c r="R65" s="10">
        <f>IF($AF65="","",INDEX(파견수련계획!$U$4:$U$203,$AF65))</f>
        <v/>
      </c>
      <c r="S65" s="11">
        <f>IF($AF65="","",IF(INDEX(파견수련계획!$H$4:$H$203,$AF65)="","",INDEX(파견수련계획!$H$4:$H$203,$AF65)))</f>
        <v/>
      </c>
      <c r="T65" s="11">
        <f>IF($AF65="","",IF(INDEX(파견수련계획!$I$4:$I$203,$AF65)="","",INDEX(파견수련계획!$I$4:$I$203,$AF65)))</f>
        <v/>
      </c>
      <c r="U65" s="10">
        <f>IF($AF65="","",INDEX(파견수련계획!$X$4:$X$203,$AF65))</f>
        <v/>
      </c>
      <c r="V65" s="17">
        <f>IF($AF65="","",INDEX(파견수련계획!$V$4:$V$203,$AF65))</f>
        <v/>
      </c>
      <c r="W65" s="17">
        <f>IF(AND($U65="파견중",$T65&lt;&gt;""),$T65-TODAY(),"")</f>
        <v/>
      </c>
      <c r="X65" s="17">
        <f>IF(OR($B65="",TRIM($J65&amp;"")=""),"",SUMPRODUCT((파견수련계획!$Q$4:$Q$203=TRIM($J65&amp;""))*파견수련계획!$W$4:$W$203))</f>
        <v/>
      </c>
      <c r="Y65" s="10">
        <f>IF($B65="","",IF($AG65="","",IF(IF(TRIM($J65&amp;"")="",0,SUMPRODUCT((파견수련계획!$Q$4:$Q$203=TRIM($J65&amp;""))*파견수련계획!$AD$4:$AD$203))&gt;0,$AE65,IF(N($X65)&lt;=0,$AG65,IF($AH65+$AI65=DAY(EOMONTH(요약!$B$3,0)),IF(AND($AH65&gt;=요약!$E$3,$AI65&lt;요약!$E$3),"서울병원",IF(AND($AI65&gt;=요약!$E$3,$AH65&lt;요약!$E$3),"구리병원","⚠15일 판정불가(서울 "&amp;$AH65&amp;"일/구리 "&amp;$AI65&amp;"일)")),IF($AJ65="",$AE65,IF(INDEX(파견수련계획!$T$4:$T$203,$AJ65)="통합수련",INDEX(파견수련계획!$S$4:$S$203,$AJ65),$AE65)))))))</f>
        <v/>
      </c>
      <c r="Z65" s="19">
        <f>IF($B65="","",IF($AB65="","기본자료에 없는 사번",IF(COUNTIF($B$2:$B$201,$B65)&gt;1,"중복 사번",IF($AE65="","소속(입사장소) 입력",IF(IF(TRIM($J65&amp;"")="",0,SUMPRODUCT((파견수련계획!$Q$4:$Q$203=TRIM($J65&amp;""))*(파견수련계획!$AA$4:$AA$203&lt;&gt;"")))&gt;0,"파견수련계획 입력오류 확인",IF(LEFT($Y65,1)="⚠","서울·구리 15일 판정 불가(양쪽 모두 이상/미만)",IF(IF($AC65="",0,N(INDEX(인턴근무계획!$T$3:$T$202,$AC65)))&gt;0,"인턴계획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IF($B65="","",IFERROR(MATCH($B65,기본자료!$B$2:$B$501,0),IFERROR(MATCH($B65&amp;"",기본자료!$B$2:$B$501,0),IFERROR(MATCH(VALUE($B65),기본자료!$B$2:$B$501,0),""))))</f>
        <v/>
      </c>
      <c r="AC65" s="10">
        <f>IF($B65="","",IFERROR(MATCH($B65,인턴근무계획!$D$3:$D$202,0),IFERROR(MATCH($B65&amp;"",인턴근무계획!$D$3:$D$202,0),IFERROR(MATCH(VALUE($B65),인턴근무계획!$D$3:$D$202,0),""))))</f>
        <v/>
      </c>
      <c r="AD65" s="10">
        <f>IF(OR($AC65="",인턴현황!$G$3=""),"",INDEX(인턴근무계획!$M$3:$R$202,$AC65,인턴현황!$G$3)&amp;"")</f>
        <v/>
      </c>
      <c r="AE65" s="10">
        <f>IF($B65="","",IF($M65&lt;&gt;"",$M65,IF($AF65&lt;&gt;"",IF(LEFT(INDEX(파견수련계획!$R$4:$R$203,$AF65),1)&lt;&gt;"⚠",INDEX(파견수련계획!$R$4:$R$203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파견수련계획!$Y$4:$Y$203,0),IFERROR(MATCH(TRIM($J65&amp;"")&amp;"|파견예정",파견수련계획!$Y$4:$Y$203,0),IFERROR(MATCH(TRIM($J65&amp;"")&amp;"|파견종료",파견수련계획!$Y$4:$Y$203,0),""))))</f>
        <v/>
      </c>
      <c r="AG65" s="10">
        <f>IF($B65="","",IF(AND(IF(OR($AC65="",인턴현황!$K$2=""),"",INDEX(인턴근무계획!$M$3:$R$202,$AC65,인턴현황!$K$2)&amp;"")&lt;&gt;"",LEFT(IF(OR($AC65="",인턴현황!$K$2=""),"",INDEX(인턴근무계획!$M$3:$R$202,$AC65,인턴현황!$K$2)&amp;""),1)&lt;&gt;"⚠"),LEFT(IF(OR($AC65="",인턴현황!$K$2=""),"",INDEX(인턴근무계획!$M$3:$R$202,$AC65,인턴현황!$K$2)&amp;""),FIND(" ",IF(OR($AC65="",인턴현황!$K$2=""),"",INDEX(인턴근무계획!$M$3:$R$202,$AC65,인턴현황!$K$2)&amp;""))-1),$AE65))</f>
        <v/>
      </c>
      <c r="AH65" s="17">
        <f>IF($B65="","",IF(TRIM($J65&amp;"")="",0,SUMPRODUCT((파견수련계획!$Q$4:$Q$203=TRIM($J65&amp;""))*(파견수련계획!$S$4:$S$203="서울병원")*파견수련계획!$W$4:$W$203))+IF($AG65="서울병원",MAX(0,DAY(EOMONTH(요약!$B$3,0))-N($X65)),0))</f>
        <v/>
      </c>
      <c r="AI65" s="17">
        <f>IF($B65="","",IF(TRIM($J65&amp;"")="",0,SUMPRODUCT((파견수련계획!$Q$4:$Q$203=TRIM($J65&amp;""))*(파견수련계획!$S$4:$S$203="구리병원")*파견수련계획!$W$4:$W$203))+IF($AG65="구리병원",MAX(0,DAY(EOMONTH(요약!$B$3,0))-N($X65)),0))</f>
        <v/>
      </c>
      <c r="AJ65" s="10">
        <f>IF(OR($B65="",TRIM($J65&amp;"")=""),"",IFERROR(MATCH(TRIM($J65&amp;"")&amp;"|월",파견수련계획!$Z$4:$Z$203,0),""))</f>
        <v/>
      </c>
      <c r="AK65" s="10">
        <f>IF(OR($B65="",TRIM($J65&amp;"")=""),"",IFERROR(MATCH(TRIM($J65&amp;"")&amp;"|다기관",파견수련계획!$AE$4:$AE$203,0),""))</f>
        <v/>
      </c>
      <c r="AL65" s="10">
        <f>IF($AK65="","","다기관 "&amp;TEXT(INDEX(파견수련계획!$AB$4:$AB$203,$AK65),"yyyy-mm-dd")&amp;"~"&amp;IF(ISNUMBER(INDEX(파견수련계획!$AC$4:$AC$203,$AK65)),TEXT(INDEX(파견수련계획!$AC$4:$AC$203,$AK65),"yyyy-mm-dd"),""))</f>
        <v/>
      </c>
    </row>
    <row r="66">
      <c r="A66" s="10">
        <f>IF(B66="","",ROW()-1)</f>
        <v/>
      </c>
      <c r="B66" s="18" t="n"/>
      <c r="C66" s="10">
        <f>IF($AB66="","",IF(INDEX(기본자료!$C$2:$C$501,$AB66)="","",INDEX(기본자료!$C$2:$C$501,$AB66)))</f>
        <v/>
      </c>
      <c r="D66" s="10">
        <f>IF($AB66="","",IF(INDEX(기본자료!$J$2:$J$501,$AB66)="","",INDEX(기본자료!$J$2:$J$501,$AB66)))</f>
        <v/>
      </c>
      <c r="E66" s="11">
        <f>IF($AB66="","",IF(INDEX(기본자료!$K$2:$K$501,$AB66)="","",IF(NOT(ISNUMBER(INDEX(기본자료!$K$2:$K$501,$AB66))),INDEX(기본자료!$K$2:$K$501,$AB66),IF(INDEX(기본자료!$K$2:$K$501,$AB66)&lt;1000000,INDEX(기본자료!$K$2:$K$501,$AB66),IF(AND(INDEX(기본자료!$K$2:$K$501,$AB66)&gt;=10000101,INT(MOD(INDEX(기본자료!$K$2:$K$501,$AB66),10000)/100)&gt;=1,INT(MOD(INDEX(기본자료!$K$2:$K$501,$AB66),10000)/100)&lt;=12,MOD(INDEX(기본자료!$K$2:$K$501,$AB66),100)&gt;=1,MOD(INDEX(기본자료!$K$2:$K$501,$AB66),100)&lt;=31),DATE(INT(INDEX(기본자료!$K$2:$K$501,$AB66)/10000),INT(MOD(INDEX(기본자료!$K$2:$K$501,$AB66),10000)/100),MOD(INDEX(기본자료!$K$2:$K$501,$AB66),100)),INDEX(기본자료!$K$2:$K$501,$AB66)&amp;"")))))</f>
        <v/>
      </c>
      <c r="F66" s="10">
        <f>IF($AB66="","",IF(INDEX(기본자료!$D$2:$D$501,$AB66)="","",INDEX(기본자료!$D$2:$D$501,$AB66)))</f>
        <v/>
      </c>
      <c r="G66" s="10">
        <f>IF($AB66="","",IF(INDEX(기본자료!$E$2:$E$501,$AB66)="","",INDEX(기본자료!$E$2:$E$501,$AB66)))</f>
        <v/>
      </c>
      <c r="H66" s="10">
        <f>IF($AB66="","",IF(INDEX(기본자료!$F$2:$F$501,$AB66)="","",INDEX(기본자료!$F$2:$F$501,$AB66)))</f>
        <v/>
      </c>
      <c r="I66" s="11">
        <f>IF($AB66="","",IF(INDEX(기본자료!$G$2:$G$501,$AB66)="","",IF(NOT(ISNUMBER(INDEX(기본자료!$G$2:$G$501,$AB66))),INDEX(기본자료!$G$2:$G$501,$AB66),IF(INDEX(기본자료!$G$2:$G$501,$AB66)&lt;1000000,INDEX(기본자료!$G$2:$G$501,$AB66),IF(AND(INDEX(기본자료!$G$2:$G$501,$AB66)&gt;=10000101,INT(MOD(INDEX(기본자료!$G$2:$G$501,$AB66),10000)/100)&gt;=1,INT(MOD(INDEX(기본자료!$G$2:$G$501,$AB66),10000)/100)&lt;=12,MOD(INDEX(기본자료!$G$2:$G$501,$AB66),100)&gt;=1,MOD(INDEX(기본자료!$G$2:$G$501,$AB66),100)&lt;=31),DATE(INT(INDEX(기본자료!$G$2:$G$501,$AB66)/10000),INT(MOD(INDEX(기본자료!$G$2:$G$501,$AB66),10000)/100),MOD(INDEX(기본자료!$G$2:$G$501,$AB66),100)),INDEX(기본자료!$G$2:$G$501,$AB66)&amp;"")))))</f>
        <v/>
      </c>
      <c r="J66" s="10">
        <f>IF($AB66="","",IF(INDEX(기본자료!$H$2:$H$501,$AB66)="","",INDEX(기본자료!$H$2:$H$501,$AB66)))</f>
        <v/>
      </c>
      <c r="K66" s="10">
        <f>IF($AB66="","",IF(INDEX(기본자료!$I$2:$I$501,$AB66)="","",INDEX(기본자료!$I$2:$I$501,$AB66)))</f>
        <v/>
      </c>
      <c r="L66" s="10">
        <f>IF($AB66="","",IF(INDEX(기본자료!$A$2:$A$501,$AB66)="","",INDEX(기본자료!$A$2:$A$501,$AB66)))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파견수련계획!$AB$4:$AB$203,$AK66),OR(NOT(ISNUMBER(INDEX(파견수련계획!$AC$4:$AC$203,$AK66))),TODAY()&lt;=INDEX(파견수련계획!$AC$4:$AC$203,$AK66))),"다기관",IF($AF66="","",INDEX(파견수련계획!$T$4:$T$203,$AF66))),IF($AF66="","",INDEX(파견수련계획!$T$4:$T$203,$AF66))))</f>
        <v/>
      </c>
      <c r="Q66" s="10">
        <f>IF($AF66="","",INDEX(파견수련계획!$S$4:$S$203,$AF66))</f>
        <v/>
      </c>
      <c r="R66" s="10">
        <f>IF($AF66="","",INDEX(파견수련계획!$U$4:$U$203,$AF66))</f>
        <v/>
      </c>
      <c r="S66" s="11">
        <f>IF($AF66="","",IF(INDEX(파견수련계획!$H$4:$H$203,$AF66)="","",INDEX(파견수련계획!$H$4:$H$203,$AF66)))</f>
        <v/>
      </c>
      <c r="T66" s="11">
        <f>IF($AF66="","",IF(INDEX(파견수련계획!$I$4:$I$203,$AF66)="","",INDEX(파견수련계획!$I$4:$I$203,$AF66)))</f>
        <v/>
      </c>
      <c r="U66" s="10">
        <f>IF($AF66="","",INDEX(파견수련계획!$X$4:$X$203,$AF66))</f>
        <v/>
      </c>
      <c r="V66" s="17">
        <f>IF($AF66="","",INDEX(파견수련계획!$V$4:$V$203,$AF66))</f>
        <v/>
      </c>
      <c r="W66" s="17">
        <f>IF(AND($U66="파견중",$T66&lt;&gt;""),$T66-TODAY(),"")</f>
        <v/>
      </c>
      <c r="X66" s="17">
        <f>IF(OR($B66="",TRIM($J66&amp;"")=""),"",SUMPRODUCT((파견수련계획!$Q$4:$Q$203=TRIM($J66&amp;""))*파견수련계획!$W$4:$W$203))</f>
        <v/>
      </c>
      <c r="Y66" s="10">
        <f>IF($B66="","",IF($AG66="","",IF(IF(TRIM($J66&amp;"")="",0,SUMPRODUCT((파견수련계획!$Q$4:$Q$203=TRIM($J66&amp;""))*파견수련계획!$AD$4:$AD$203))&gt;0,$AE66,IF(N($X66)&lt;=0,$AG66,IF($AH66+$AI66=DAY(EOMONTH(요약!$B$3,0)),IF(AND($AH66&gt;=요약!$E$3,$AI66&lt;요약!$E$3),"서울병원",IF(AND($AI66&gt;=요약!$E$3,$AH66&lt;요약!$E$3),"구리병원","⚠15일 판정불가(서울 "&amp;$AH66&amp;"일/구리 "&amp;$AI66&amp;"일)")),IF($AJ66="",$AE66,IF(INDEX(파견수련계획!$T$4:$T$203,$AJ66)="통합수련",INDEX(파견수련계획!$S$4:$S$203,$AJ66),$AE66)))))))</f>
        <v/>
      </c>
      <c r="Z66" s="19">
        <f>IF($B66="","",IF($AB66="","기본자료에 없는 사번",IF(COUNTIF($B$2:$B$201,$B66)&gt;1,"중복 사번",IF($AE66="","소속(입사장소) 입력",IF(IF(TRIM($J66&amp;"")="",0,SUMPRODUCT((파견수련계획!$Q$4:$Q$203=TRIM($J66&amp;""))*(파견수련계획!$AA$4:$AA$203&lt;&gt;"")))&gt;0,"파견수련계획 입력오류 확인",IF(LEFT($Y66,1)="⚠","서울·구리 15일 판정 불가(양쪽 모두 이상/미만)",IF(IF($AC66="",0,N(INDEX(인턴근무계획!$T$3:$T$202,$AC66)))&gt;0,"인턴계획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IF($B66="","",IFERROR(MATCH($B66,기본자료!$B$2:$B$501,0),IFERROR(MATCH($B66&amp;"",기본자료!$B$2:$B$501,0),IFERROR(MATCH(VALUE($B66),기본자료!$B$2:$B$501,0),""))))</f>
        <v/>
      </c>
      <c r="AC66" s="10">
        <f>IF($B66="","",IFERROR(MATCH($B66,인턴근무계획!$D$3:$D$202,0),IFERROR(MATCH($B66&amp;"",인턴근무계획!$D$3:$D$202,0),IFERROR(MATCH(VALUE($B66),인턴근무계획!$D$3:$D$202,0),""))))</f>
        <v/>
      </c>
      <c r="AD66" s="10">
        <f>IF(OR($AC66="",인턴현황!$G$3=""),"",INDEX(인턴근무계획!$M$3:$R$202,$AC66,인턴현황!$G$3)&amp;"")</f>
        <v/>
      </c>
      <c r="AE66" s="10">
        <f>IF($B66="","",IF($M66&lt;&gt;"",$M66,IF($AF66&lt;&gt;"",IF(LEFT(INDEX(파견수련계획!$R$4:$R$203,$AF66),1)&lt;&gt;"⚠",INDEX(파견수련계획!$R$4:$R$203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파견수련계획!$Y$4:$Y$203,0),IFERROR(MATCH(TRIM($J66&amp;"")&amp;"|파견예정",파견수련계획!$Y$4:$Y$203,0),IFERROR(MATCH(TRIM($J66&amp;"")&amp;"|파견종료",파견수련계획!$Y$4:$Y$203,0),""))))</f>
        <v/>
      </c>
      <c r="AG66" s="10">
        <f>IF($B66="","",IF(AND(IF(OR($AC66="",인턴현황!$K$2=""),"",INDEX(인턴근무계획!$M$3:$R$202,$AC66,인턴현황!$K$2)&amp;"")&lt;&gt;"",LEFT(IF(OR($AC66="",인턴현황!$K$2=""),"",INDEX(인턴근무계획!$M$3:$R$202,$AC66,인턴현황!$K$2)&amp;""),1)&lt;&gt;"⚠"),LEFT(IF(OR($AC66="",인턴현황!$K$2=""),"",INDEX(인턴근무계획!$M$3:$R$202,$AC66,인턴현황!$K$2)&amp;""),FIND(" ",IF(OR($AC66="",인턴현황!$K$2=""),"",INDEX(인턴근무계획!$M$3:$R$202,$AC66,인턴현황!$K$2)&amp;""))-1),$AE66))</f>
        <v/>
      </c>
      <c r="AH66" s="17">
        <f>IF($B66="","",IF(TRIM($J66&amp;"")="",0,SUMPRODUCT((파견수련계획!$Q$4:$Q$203=TRIM($J66&amp;""))*(파견수련계획!$S$4:$S$203="서울병원")*파견수련계획!$W$4:$W$203))+IF($AG66="서울병원",MAX(0,DAY(EOMONTH(요약!$B$3,0))-N($X66)),0))</f>
        <v/>
      </c>
      <c r="AI66" s="17">
        <f>IF($B66="","",IF(TRIM($J66&amp;"")="",0,SUMPRODUCT((파견수련계획!$Q$4:$Q$203=TRIM($J66&amp;""))*(파견수련계획!$S$4:$S$203="구리병원")*파견수련계획!$W$4:$W$203))+IF($AG66="구리병원",MAX(0,DAY(EOMONTH(요약!$B$3,0))-N($X66)),0))</f>
        <v/>
      </c>
      <c r="AJ66" s="10">
        <f>IF(OR($B66="",TRIM($J66&amp;"")=""),"",IFERROR(MATCH(TRIM($J66&amp;"")&amp;"|월",파견수련계획!$Z$4:$Z$203,0),""))</f>
        <v/>
      </c>
      <c r="AK66" s="10">
        <f>IF(OR($B66="",TRIM($J66&amp;"")=""),"",IFERROR(MATCH(TRIM($J66&amp;"")&amp;"|다기관",파견수련계획!$AE$4:$AE$203,0),""))</f>
        <v/>
      </c>
      <c r="AL66" s="10">
        <f>IF($AK66="","","다기관 "&amp;TEXT(INDEX(파견수련계획!$AB$4:$AB$203,$AK66),"yyyy-mm-dd")&amp;"~"&amp;IF(ISNUMBER(INDEX(파견수련계획!$AC$4:$AC$203,$AK66)),TEXT(INDEX(파견수련계획!$AC$4:$AC$203,$AK66),"yyyy-mm-dd"),""))</f>
        <v/>
      </c>
    </row>
    <row r="67">
      <c r="A67" s="10">
        <f>IF(B67="","",ROW()-1)</f>
        <v/>
      </c>
      <c r="B67" s="18" t="n"/>
      <c r="C67" s="10">
        <f>IF($AB67="","",IF(INDEX(기본자료!$C$2:$C$501,$AB67)="","",INDEX(기본자료!$C$2:$C$501,$AB67)))</f>
        <v/>
      </c>
      <c r="D67" s="10">
        <f>IF($AB67="","",IF(INDEX(기본자료!$J$2:$J$501,$AB67)="","",INDEX(기본자료!$J$2:$J$501,$AB67)))</f>
        <v/>
      </c>
      <c r="E67" s="11">
        <f>IF($AB67="","",IF(INDEX(기본자료!$K$2:$K$501,$AB67)="","",IF(NOT(ISNUMBER(INDEX(기본자료!$K$2:$K$501,$AB67))),INDEX(기본자료!$K$2:$K$501,$AB67),IF(INDEX(기본자료!$K$2:$K$501,$AB67)&lt;1000000,INDEX(기본자료!$K$2:$K$501,$AB67),IF(AND(INDEX(기본자료!$K$2:$K$501,$AB67)&gt;=10000101,INT(MOD(INDEX(기본자료!$K$2:$K$501,$AB67),10000)/100)&gt;=1,INT(MOD(INDEX(기본자료!$K$2:$K$501,$AB67),10000)/100)&lt;=12,MOD(INDEX(기본자료!$K$2:$K$501,$AB67),100)&gt;=1,MOD(INDEX(기본자료!$K$2:$K$501,$AB67),100)&lt;=31),DATE(INT(INDEX(기본자료!$K$2:$K$501,$AB67)/10000),INT(MOD(INDEX(기본자료!$K$2:$K$501,$AB67),10000)/100),MOD(INDEX(기본자료!$K$2:$K$501,$AB67),100)),INDEX(기본자료!$K$2:$K$501,$AB67)&amp;"")))))</f>
        <v/>
      </c>
      <c r="F67" s="10">
        <f>IF($AB67="","",IF(INDEX(기본자료!$D$2:$D$501,$AB67)="","",INDEX(기본자료!$D$2:$D$501,$AB67)))</f>
        <v/>
      </c>
      <c r="G67" s="10">
        <f>IF($AB67="","",IF(INDEX(기본자료!$E$2:$E$501,$AB67)="","",INDEX(기본자료!$E$2:$E$501,$AB67)))</f>
        <v/>
      </c>
      <c r="H67" s="10">
        <f>IF($AB67="","",IF(INDEX(기본자료!$F$2:$F$501,$AB67)="","",INDEX(기본자료!$F$2:$F$501,$AB67)))</f>
        <v/>
      </c>
      <c r="I67" s="11">
        <f>IF($AB67="","",IF(INDEX(기본자료!$G$2:$G$501,$AB67)="","",IF(NOT(ISNUMBER(INDEX(기본자료!$G$2:$G$501,$AB67))),INDEX(기본자료!$G$2:$G$501,$AB67),IF(INDEX(기본자료!$G$2:$G$501,$AB67)&lt;1000000,INDEX(기본자료!$G$2:$G$501,$AB67),IF(AND(INDEX(기본자료!$G$2:$G$501,$AB67)&gt;=10000101,INT(MOD(INDEX(기본자료!$G$2:$G$501,$AB67),10000)/100)&gt;=1,INT(MOD(INDEX(기본자료!$G$2:$G$501,$AB67),10000)/100)&lt;=12,MOD(INDEX(기본자료!$G$2:$G$501,$AB67),100)&gt;=1,MOD(INDEX(기본자료!$G$2:$G$501,$AB67),100)&lt;=31),DATE(INT(INDEX(기본자료!$G$2:$G$501,$AB67)/10000),INT(MOD(INDEX(기본자료!$G$2:$G$501,$AB67),10000)/100),MOD(INDEX(기본자료!$G$2:$G$501,$AB67),100)),INDEX(기본자료!$G$2:$G$501,$AB67)&amp;"")))))</f>
        <v/>
      </c>
      <c r="J67" s="10">
        <f>IF($AB67="","",IF(INDEX(기본자료!$H$2:$H$501,$AB67)="","",INDEX(기본자료!$H$2:$H$501,$AB67)))</f>
        <v/>
      </c>
      <c r="K67" s="10">
        <f>IF($AB67="","",IF(INDEX(기본자료!$I$2:$I$501,$AB67)="","",INDEX(기본자료!$I$2:$I$501,$AB67)))</f>
        <v/>
      </c>
      <c r="L67" s="10">
        <f>IF($AB67="","",IF(INDEX(기본자료!$A$2:$A$501,$AB67)="","",INDEX(기본자료!$A$2:$A$501,$AB67)))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파견수련계획!$AB$4:$AB$203,$AK67),OR(NOT(ISNUMBER(INDEX(파견수련계획!$AC$4:$AC$203,$AK67))),TODAY()&lt;=INDEX(파견수련계획!$AC$4:$AC$203,$AK67))),"다기관",IF($AF67="","",INDEX(파견수련계획!$T$4:$T$203,$AF67))),IF($AF67="","",INDEX(파견수련계획!$T$4:$T$203,$AF67))))</f>
        <v/>
      </c>
      <c r="Q67" s="10">
        <f>IF($AF67="","",INDEX(파견수련계획!$S$4:$S$203,$AF67))</f>
        <v/>
      </c>
      <c r="R67" s="10">
        <f>IF($AF67="","",INDEX(파견수련계획!$U$4:$U$203,$AF67))</f>
        <v/>
      </c>
      <c r="S67" s="11">
        <f>IF($AF67="","",IF(INDEX(파견수련계획!$H$4:$H$203,$AF67)="","",INDEX(파견수련계획!$H$4:$H$203,$AF67)))</f>
        <v/>
      </c>
      <c r="T67" s="11">
        <f>IF($AF67="","",IF(INDEX(파견수련계획!$I$4:$I$203,$AF67)="","",INDEX(파견수련계획!$I$4:$I$203,$AF67)))</f>
        <v/>
      </c>
      <c r="U67" s="10">
        <f>IF($AF67="","",INDEX(파견수련계획!$X$4:$X$203,$AF67))</f>
        <v/>
      </c>
      <c r="V67" s="17">
        <f>IF($AF67="","",INDEX(파견수련계획!$V$4:$V$203,$AF67))</f>
        <v/>
      </c>
      <c r="W67" s="17">
        <f>IF(AND($U67="파견중",$T67&lt;&gt;""),$T67-TODAY(),"")</f>
        <v/>
      </c>
      <c r="X67" s="17">
        <f>IF(OR($B67="",TRIM($J67&amp;"")=""),"",SUMPRODUCT((파견수련계획!$Q$4:$Q$203=TRIM($J67&amp;""))*파견수련계획!$W$4:$W$203))</f>
        <v/>
      </c>
      <c r="Y67" s="10">
        <f>IF($B67="","",IF($AG67="","",IF(IF(TRIM($J67&amp;"")="",0,SUMPRODUCT((파견수련계획!$Q$4:$Q$203=TRIM($J67&amp;""))*파견수련계획!$AD$4:$AD$203))&gt;0,$AE67,IF(N($X67)&lt;=0,$AG67,IF($AH67+$AI67=DAY(EOMONTH(요약!$B$3,0)),IF(AND($AH67&gt;=요약!$E$3,$AI67&lt;요약!$E$3),"서울병원",IF(AND($AI67&gt;=요약!$E$3,$AH67&lt;요약!$E$3),"구리병원","⚠15일 판정불가(서울 "&amp;$AH67&amp;"일/구리 "&amp;$AI67&amp;"일)")),IF($AJ67="",$AE67,IF(INDEX(파견수련계획!$T$4:$T$203,$AJ67)="통합수련",INDEX(파견수련계획!$S$4:$S$203,$AJ67),$AE67)))))))</f>
        <v/>
      </c>
      <c r="Z67" s="19">
        <f>IF($B67="","",IF($AB67="","기본자료에 없는 사번",IF(COUNTIF($B$2:$B$201,$B67)&gt;1,"중복 사번",IF($AE67="","소속(입사장소) 입력",IF(IF(TRIM($J67&amp;"")="",0,SUMPRODUCT((파견수련계획!$Q$4:$Q$203=TRIM($J67&amp;""))*(파견수련계획!$AA$4:$AA$203&lt;&gt;"")))&gt;0,"파견수련계획 입력오류 확인",IF(LEFT($Y67,1)="⚠","서울·구리 15일 판정 불가(양쪽 모두 이상/미만)",IF(IF($AC67="",0,N(INDEX(인턴근무계획!$T$3:$T$202,$AC67)))&gt;0,"인턴계획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IF($B67="","",IFERROR(MATCH($B67,기본자료!$B$2:$B$501,0),IFERROR(MATCH($B67&amp;"",기본자료!$B$2:$B$501,0),IFERROR(MATCH(VALUE($B67),기본자료!$B$2:$B$501,0),""))))</f>
        <v/>
      </c>
      <c r="AC67" s="10">
        <f>IF($B67="","",IFERROR(MATCH($B67,인턴근무계획!$D$3:$D$202,0),IFERROR(MATCH($B67&amp;"",인턴근무계획!$D$3:$D$202,0),IFERROR(MATCH(VALUE($B67),인턴근무계획!$D$3:$D$202,0),""))))</f>
        <v/>
      </c>
      <c r="AD67" s="10">
        <f>IF(OR($AC67="",인턴현황!$G$3=""),"",INDEX(인턴근무계획!$M$3:$R$202,$AC67,인턴현황!$G$3)&amp;"")</f>
        <v/>
      </c>
      <c r="AE67" s="10">
        <f>IF($B67="","",IF($M67&lt;&gt;"",$M67,IF($AF67&lt;&gt;"",IF(LEFT(INDEX(파견수련계획!$R$4:$R$203,$AF67),1)&lt;&gt;"⚠",INDEX(파견수련계획!$R$4:$R$203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파견수련계획!$Y$4:$Y$203,0),IFERROR(MATCH(TRIM($J67&amp;"")&amp;"|파견예정",파견수련계획!$Y$4:$Y$203,0),IFERROR(MATCH(TRIM($J67&amp;"")&amp;"|파견종료",파견수련계획!$Y$4:$Y$203,0),""))))</f>
        <v/>
      </c>
      <c r="AG67" s="10">
        <f>IF($B67="","",IF(AND(IF(OR($AC67="",인턴현황!$K$2=""),"",INDEX(인턴근무계획!$M$3:$R$202,$AC67,인턴현황!$K$2)&amp;"")&lt;&gt;"",LEFT(IF(OR($AC67="",인턴현황!$K$2=""),"",INDEX(인턴근무계획!$M$3:$R$202,$AC67,인턴현황!$K$2)&amp;""),1)&lt;&gt;"⚠"),LEFT(IF(OR($AC67="",인턴현황!$K$2=""),"",INDEX(인턴근무계획!$M$3:$R$202,$AC67,인턴현황!$K$2)&amp;""),FIND(" ",IF(OR($AC67="",인턴현황!$K$2=""),"",INDEX(인턴근무계획!$M$3:$R$202,$AC67,인턴현황!$K$2)&amp;""))-1),$AE67))</f>
        <v/>
      </c>
      <c r="AH67" s="17">
        <f>IF($B67="","",IF(TRIM($J67&amp;"")="",0,SUMPRODUCT((파견수련계획!$Q$4:$Q$203=TRIM($J67&amp;""))*(파견수련계획!$S$4:$S$203="서울병원")*파견수련계획!$W$4:$W$203))+IF($AG67="서울병원",MAX(0,DAY(EOMONTH(요약!$B$3,0))-N($X67)),0))</f>
        <v/>
      </c>
      <c r="AI67" s="17">
        <f>IF($B67="","",IF(TRIM($J67&amp;"")="",0,SUMPRODUCT((파견수련계획!$Q$4:$Q$203=TRIM($J67&amp;""))*(파견수련계획!$S$4:$S$203="구리병원")*파견수련계획!$W$4:$W$203))+IF($AG67="구리병원",MAX(0,DAY(EOMONTH(요약!$B$3,0))-N($X67)),0))</f>
        <v/>
      </c>
      <c r="AJ67" s="10">
        <f>IF(OR($B67="",TRIM($J67&amp;"")=""),"",IFERROR(MATCH(TRIM($J67&amp;"")&amp;"|월",파견수련계획!$Z$4:$Z$203,0),""))</f>
        <v/>
      </c>
      <c r="AK67" s="10">
        <f>IF(OR($B67="",TRIM($J67&amp;"")=""),"",IFERROR(MATCH(TRIM($J67&amp;"")&amp;"|다기관",파견수련계획!$AE$4:$AE$203,0),""))</f>
        <v/>
      </c>
      <c r="AL67" s="10">
        <f>IF($AK67="","","다기관 "&amp;TEXT(INDEX(파견수련계획!$AB$4:$AB$203,$AK67),"yyyy-mm-dd")&amp;"~"&amp;IF(ISNUMBER(INDEX(파견수련계획!$AC$4:$AC$203,$AK67)),TEXT(INDEX(파견수련계획!$AC$4:$AC$203,$AK67),"yyyy-mm-dd"),""))</f>
        <v/>
      </c>
    </row>
    <row r="68">
      <c r="A68" s="10">
        <f>IF(B68="","",ROW()-1)</f>
        <v/>
      </c>
      <c r="B68" s="18" t="n"/>
      <c r="C68" s="10">
        <f>IF($AB68="","",IF(INDEX(기본자료!$C$2:$C$501,$AB68)="","",INDEX(기본자료!$C$2:$C$501,$AB68)))</f>
        <v/>
      </c>
      <c r="D68" s="10">
        <f>IF($AB68="","",IF(INDEX(기본자료!$J$2:$J$501,$AB68)="","",INDEX(기본자료!$J$2:$J$501,$AB68)))</f>
        <v/>
      </c>
      <c r="E68" s="11">
        <f>IF($AB68="","",IF(INDEX(기본자료!$K$2:$K$501,$AB68)="","",IF(NOT(ISNUMBER(INDEX(기본자료!$K$2:$K$501,$AB68))),INDEX(기본자료!$K$2:$K$501,$AB68),IF(INDEX(기본자료!$K$2:$K$501,$AB68)&lt;1000000,INDEX(기본자료!$K$2:$K$501,$AB68),IF(AND(INDEX(기본자료!$K$2:$K$501,$AB68)&gt;=10000101,INT(MOD(INDEX(기본자료!$K$2:$K$501,$AB68),10000)/100)&gt;=1,INT(MOD(INDEX(기본자료!$K$2:$K$501,$AB68),10000)/100)&lt;=12,MOD(INDEX(기본자료!$K$2:$K$501,$AB68),100)&gt;=1,MOD(INDEX(기본자료!$K$2:$K$501,$AB68),100)&lt;=31),DATE(INT(INDEX(기본자료!$K$2:$K$501,$AB68)/10000),INT(MOD(INDEX(기본자료!$K$2:$K$501,$AB68),10000)/100),MOD(INDEX(기본자료!$K$2:$K$501,$AB68),100)),INDEX(기본자료!$K$2:$K$501,$AB68)&amp;"")))))</f>
        <v/>
      </c>
      <c r="F68" s="10">
        <f>IF($AB68="","",IF(INDEX(기본자료!$D$2:$D$501,$AB68)="","",INDEX(기본자료!$D$2:$D$501,$AB68)))</f>
        <v/>
      </c>
      <c r="G68" s="10">
        <f>IF($AB68="","",IF(INDEX(기본자료!$E$2:$E$501,$AB68)="","",INDEX(기본자료!$E$2:$E$501,$AB68)))</f>
        <v/>
      </c>
      <c r="H68" s="10">
        <f>IF($AB68="","",IF(INDEX(기본자료!$F$2:$F$501,$AB68)="","",INDEX(기본자료!$F$2:$F$501,$AB68)))</f>
        <v/>
      </c>
      <c r="I68" s="11">
        <f>IF($AB68="","",IF(INDEX(기본자료!$G$2:$G$501,$AB68)="","",IF(NOT(ISNUMBER(INDEX(기본자료!$G$2:$G$501,$AB68))),INDEX(기본자료!$G$2:$G$501,$AB68),IF(INDEX(기본자료!$G$2:$G$501,$AB68)&lt;1000000,INDEX(기본자료!$G$2:$G$501,$AB68),IF(AND(INDEX(기본자료!$G$2:$G$501,$AB68)&gt;=10000101,INT(MOD(INDEX(기본자료!$G$2:$G$501,$AB68),10000)/100)&gt;=1,INT(MOD(INDEX(기본자료!$G$2:$G$501,$AB68),10000)/100)&lt;=12,MOD(INDEX(기본자료!$G$2:$G$501,$AB68),100)&gt;=1,MOD(INDEX(기본자료!$G$2:$G$501,$AB68),100)&lt;=31),DATE(INT(INDEX(기본자료!$G$2:$G$501,$AB68)/10000),INT(MOD(INDEX(기본자료!$G$2:$G$501,$AB68),10000)/100),MOD(INDEX(기본자료!$G$2:$G$501,$AB68),100)),INDEX(기본자료!$G$2:$G$501,$AB68)&amp;"")))))</f>
        <v/>
      </c>
      <c r="J68" s="10">
        <f>IF($AB68="","",IF(INDEX(기본자료!$H$2:$H$501,$AB68)="","",INDEX(기본자료!$H$2:$H$501,$AB68)))</f>
        <v/>
      </c>
      <c r="K68" s="10">
        <f>IF($AB68="","",IF(INDEX(기본자료!$I$2:$I$501,$AB68)="","",INDEX(기본자료!$I$2:$I$501,$AB68)))</f>
        <v/>
      </c>
      <c r="L68" s="10">
        <f>IF($AB68="","",IF(INDEX(기본자료!$A$2:$A$501,$AB68)="","",INDEX(기본자료!$A$2:$A$501,$AB68)))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파견수련계획!$AB$4:$AB$203,$AK68),OR(NOT(ISNUMBER(INDEX(파견수련계획!$AC$4:$AC$203,$AK68))),TODAY()&lt;=INDEX(파견수련계획!$AC$4:$AC$203,$AK68))),"다기관",IF($AF68="","",INDEX(파견수련계획!$T$4:$T$203,$AF68))),IF($AF68="","",INDEX(파견수련계획!$T$4:$T$203,$AF68))))</f>
        <v/>
      </c>
      <c r="Q68" s="10">
        <f>IF($AF68="","",INDEX(파견수련계획!$S$4:$S$203,$AF68))</f>
        <v/>
      </c>
      <c r="R68" s="10">
        <f>IF($AF68="","",INDEX(파견수련계획!$U$4:$U$203,$AF68))</f>
        <v/>
      </c>
      <c r="S68" s="11">
        <f>IF($AF68="","",IF(INDEX(파견수련계획!$H$4:$H$203,$AF68)="","",INDEX(파견수련계획!$H$4:$H$203,$AF68)))</f>
        <v/>
      </c>
      <c r="T68" s="11">
        <f>IF($AF68="","",IF(INDEX(파견수련계획!$I$4:$I$203,$AF68)="","",INDEX(파견수련계획!$I$4:$I$203,$AF68)))</f>
        <v/>
      </c>
      <c r="U68" s="10">
        <f>IF($AF68="","",INDEX(파견수련계획!$X$4:$X$203,$AF68))</f>
        <v/>
      </c>
      <c r="V68" s="17">
        <f>IF($AF68="","",INDEX(파견수련계획!$V$4:$V$203,$AF68))</f>
        <v/>
      </c>
      <c r="W68" s="17">
        <f>IF(AND($U68="파견중",$T68&lt;&gt;""),$T68-TODAY(),"")</f>
        <v/>
      </c>
      <c r="X68" s="17">
        <f>IF(OR($B68="",TRIM($J68&amp;"")=""),"",SUMPRODUCT((파견수련계획!$Q$4:$Q$203=TRIM($J68&amp;""))*파견수련계획!$W$4:$W$203))</f>
        <v/>
      </c>
      <c r="Y68" s="10">
        <f>IF($B68="","",IF($AG68="","",IF(IF(TRIM($J68&amp;"")="",0,SUMPRODUCT((파견수련계획!$Q$4:$Q$203=TRIM($J68&amp;""))*파견수련계획!$AD$4:$AD$203))&gt;0,$AE68,IF(N($X68)&lt;=0,$AG68,IF($AH68+$AI68=DAY(EOMONTH(요약!$B$3,0)),IF(AND($AH68&gt;=요약!$E$3,$AI68&lt;요약!$E$3),"서울병원",IF(AND($AI68&gt;=요약!$E$3,$AH68&lt;요약!$E$3),"구리병원","⚠15일 판정불가(서울 "&amp;$AH68&amp;"일/구리 "&amp;$AI68&amp;"일)")),IF($AJ68="",$AE68,IF(INDEX(파견수련계획!$T$4:$T$203,$AJ68)="통합수련",INDEX(파견수련계획!$S$4:$S$203,$AJ68),$AE68)))))))</f>
        <v/>
      </c>
      <c r="Z68" s="19">
        <f>IF($B68="","",IF($AB68="","기본자료에 없는 사번",IF(COUNTIF($B$2:$B$201,$B68)&gt;1,"중복 사번",IF($AE68="","소속(입사장소) 입력",IF(IF(TRIM($J68&amp;"")="",0,SUMPRODUCT((파견수련계획!$Q$4:$Q$203=TRIM($J68&amp;""))*(파견수련계획!$AA$4:$AA$203&lt;&gt;"")))&gt;0,"파견수련계획 입력오류 확인",IF(LEFT($Y68,1)="⚠","서울·구리 15일 판정 불가(양쪽 모두 이상/미만)",IF(IF($AC68="",0,N(INDEX(인턴근무계획!$T$3:$T$202,$AC68)))&gt;0,"인턴계획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IF($B68="","",IFERROR(MATCH($B68,기본자료!$B$2:$B$501,0),IFERROR(MATCH($B68&amp;"",기본자료!$B$2:$B$501,0),IFERROR(MATCH(VALUE($B68),기본자료!$B$2:$B$501,0),""))))</f>
        <v/>
      </c>
      <c r="AC68" s="10">
        <f>IF($B68="","",IFERROR(MATCH($B68,인턴근무계획!$D$3:$D$202,0),IFERROR(MATCH($B68&amp;"",인턴근무계획!$D$3:$D$202,0),IFERROR(MATCH(VALUE($B68),인턴근무계획!$D$3:$D$202,0),""))))</f>
        <v/>
      </c>
      <c r="AD68" s="10">
        <f>IF(OR($AC68="",인턴현황!$G$3=""),"",INDEX(인턴근무계획!$M$3:$R$202,$AC68,인턴현황!$G$3)&amp;"")</f>
        <v/>
      </c>
      <c r="AE68" s="10">
        <f>IF($B68="","",IF($M68&lt;&gt;"",$M68,IF($AF68&lt;&gt;"",IF(LEFT(INDEX(파견수련계획!$R$4:$R$203,$AF68),1)&lt;&gt;"⚠",INDEX(파견수련계획!$R$4:$R$203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파견수련계획!$Y$4:$Y$203,0),IFERROR(MATCH(TRIM($J68&amp;"")&amp;"|파견예정",파견수련계획!$Y$4:$Y$203,0),IFERROR(MATCH(TRIM($J68&amp;"")&amp;"|파견종료",파견수련계획!$Y$4:$Y$203,0),""))))</f>
        <v/>
      </c>
      <c r="AG68" s="10">
        <f>IF($B68="","",IF(AND(IF(OR($AC68="",인턴현황!$K$2=""),"",INDEX(인턴근무계획!$M$3:$R$202,$AC68,인턴현황!$K$2)&amp;"")&lt;&gt;"",LEFT(IF(OR($AC68="",인턴현황!$K$2=""),"",INDEX(인턴근무계획!$M$3:$R$202,$AC68,인턴현황!$K$2)&amp;""),1)&lt;&gt;"⚠"),LEFT(IF(OR($AC68="",인턴현황!$K$2=""),"",INDEX(인턴근무계획!$M$3:$R$202,$AC68,인턴현황!$K$2)&amp;""),FIND(" ",IF(OR($AC68="",인턴현황!$K$2=""),"",INDEX(인턴근무계획!$M$3:$R$202,$AC68,인턴현황!$K$2)&amp;""))-1),$AE68))</f>
        <v/>
      </c>
      <c r="AH68" s="17">
        <f>IF($B68="","",IF(TRIM($J68&amp;"")="",0,SUMPRODUCT((파견수련계획!$Q$4:$Q$203=TRIM($J68&amp;""))*(파견수련계획!$S$4:$S$203="서울병원")*파견수련계획!$W$4:$W$203))+IF($AG68="서울병원",MAX(0,DAY(EOMONTH(요약!$B$3,0))-N($X68)),0))</f>
        <v/>
      </c>
      <c r="AI68" s="17">
        <f>IF($B68="","",IF(TRIM($J68&amp;"")="",0,SUMPRODUCT((파견수련계획!$Q$4:$Q$203=TRIM($J68&amp;""))*(파견수련계획!$S$4:$S$203="구리병원")*파견수련계획!$W$4:$W$203))+IF($AG68="구리병원",MAX(0,DAY(EOMONTH(요약!$B$3,0))-N($X68)),0))</f>
        <v/>
      </c>
      <c r="AJ68" s="10">
        <f>IF(OR($B68="",TRIM($J68&amp;"")=""),"",IFERROR(MATCH(TRIM($J68&amp;"")&amp;"|월",파견수련계획!$Z$4:$Z$203,0),""))</f>
        <v/>
      </c>
      <c r="AK68" s="10">
        <f>IF(OR($B68="",TRIM($J68&amp;"")=""),"",IFERROR(MATCH(TRIM($J68&amp;"")&amp;"|다기관",파견수련계획!$AE$4:$AE$203,0),""))</f>
        <v/>
      </c>
      <c r="AL68" s="10">
        <f>IF($AK68="","","다기관 "&amp;TEXT(INDEX(파견수련계획!$AB$4:$AB$203,$AK68),"yyyy-mm-dd")&amp;"~"&amp;IF(ISNUMBER(INDEX(파견수련계획!$AC$4:$AC$203,$AK68)),TEXT(INDEX(파견수련계획!$AC$4:$AC$203,$AK68),"yyyy-mm-dd"),""))</f>
        <v/>
      </c>
    </row>
    <row r="69">
      <c r="A69" s="10">
        <f>IF(B69="","",ROW()-1)</f>
        <v/>
      </c>
      <c r="B69" s="18" t="n"/>
      <c r="C69" s="10">
        <f>IF($AB69="","",IF(INDEX(기본자료!$C$2:$C$501,$AB69)="","",INDEX(기본자료!$C$2:$C$501,$AB69)))</f>
        <v/>
      </c>
      <c r="D69" s="10">
        <f>IF($AB69="","",IF(INDEX(기본자료!$J$2:$J$501,$AB69)="","",INDEX(기본자료!$J$2:$J$501,$AB69)))</f>
        <v/>
      </c>
      <c r="E69" s="11">
        <f>IF($AB69="","",IF(INDEX(기본자료!$K$2:$K$501,$AB69)="","",IF(NOT(ISNUMBER(INDEX(기본자료!$K$2:$K$501,$AB69))),INDEX(기본자료!$K$2:$K$501,$AB69),IF(INDEX(기본자료!$K$2:$K$501,$AB69)&lt;1000000,INDEX(기본자료!$K$2:$K$501,$AB69),IF(AND(INDEX(기본자료!$K$2:$K$501,$AB69)&gt;=10000101,INT(MOD(INDEX(기본자료!$K$2:$K$501,$AB69),10000)/100)&gt;=1,INT(MOD(INDEX(기본자료!$K$2:$K$501,$AB69),10000)/100)&lt;=12,MOD(INDEX(기본자료!$K$2:$K$501,$AB69),100)&gt;=1,MOD(INDEX(기본자료!$K$2:$K$501,$AB69),100)&lt;=31),DATE(INT(INDEX(기본자료!$K$2:$K$501,$AB69)/10000),INT(MOD(INDEX(기본자료!$K$2:$K$501,$AB69),10000)/100),MOD(INDEX(기본자료!$K$2:$K$501,$AB69),100)),INDEX(기본자료!$K$2:$K$501,$AB69)&amp;"")))))</f>
        <v/>
      </c>
      <c r="F69" s="10">
        <f>IF($AB69="","",IF(INDEX(기본자료!$D$2:$D$501,$AB69)="","",INDEX(기본자료!$D$2:$D$501,$AB69)))</f>
        <v/>
      </c>
      <c r="G69" s="10">
        <f>IF($AB69="","",IF(INDEX(기본자료!$E$2:$E$501,$AB69)="","",INDEX(기본자료!$E$2:$E$501,$AB69)))</f>
        <v/>
      </c>
      <c r="H69" s="10">
        <f>IF($AB69="","",IF(INDEX(기본자료!$F$2:$F$501,$AB69)="","",INDEX(기본자료!$F$2:$F$501,$AB69)))</f>
        <v/>
      </c>
      <c r="I69" s="11">
        <f>IF($AB69="","",IF(INDEX(기본자료!$G$2:$G$501,$AB69)="","",IF(NOT(ISNUMBER(INDEX(기본자료!$G$2:$G$501,$AB69))),INDEX(기본자료!$G$2:$G$501,$AB69),IF(INDEX(기본자료!$G$2:$G$501,$AB69)&lt;1000000,INDEX(기본자료!$G$2:$G$501,$AB69),IF(AND(INDEX(기본자료!$G$2:$G$501,$AB69)&gt;=10000101,INT(MOD(INDEX(기본자료!$G$2:$G$501,$AB69),10000)/100)&gt;=1,INT(MOD(INDEX(기본자료!$G$2:$G$501,$AB69),10000)/100)&lt;=12,MOD(INDEX(기본자료!$G$2:$G$501,$AB69),100)&gt;=1,MOD(INDEX(기본자료!$G$2:$G$501,$AB69),100)&lt;=31),DATE(INT(INDEX(기본자료!$G$2:$G$501,$AB69)/10000),INT(MOD(INDEX(기본자료!$G$2:$G$501,$AB69),10000)/100),MOD(INDEX(기본자료!$G$2:$G$501,$AB69),100)),INDEX(기본자료!$G$2:$G$501,$AB69)&amp;"")))))</f>
        <v/>
      </c>
      <c r="J69" s="10">
        <f>IF($AB69="","",IF(INDEX(기본자료!$H$2:$H$501,$AB69)="","",INDEX(기본자료!$H$2:$H$501,$AB69)))</f>
        <v/>
      </c>
      <c r="K69" s="10">
        <f>IF($AB69="","",IF(INDEX(기본자료!$I$2:$I$501,$AB69)="","",INDEX(기본자료!$I$2:$I$501,$AB69)))</f>
        <v/>
      </c>
      <c r="L69" s="10">
        <f>IF($AB69="","",IF(INDEX(기본자료!$A$2:$A$501,$AB69)="","",INDEX(기본자료!$A$2:$A$501,$AB69)))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파견수련계획!$AB$4:$AB$203,$AK69),OR(NOT(ISNUMBER(INDEX(파견수련계획!$AC$4:$AC$203,$AK69))),TODAY()&lt;=INDEX(파견수련계획!$AC$4:$AC$203,$AK69))),"다기관",IF($AF69="","",INDEX(파견수련계획!$T$4:$T$203,$AF69))),IF($AF69="","",INDEX(파견수련계획!$T$4:$T$203,$AF69))))</f>
        <v/>
      </c>
      <c r="Q69" s="10">
        <f>IF($AF69="","",INDEX(파견수련계획!$S$4:$S$203,$AF69))</f>
        <v/>
      </c>
      <c r="R69" s="10">
        <f>IF($AF69="","",INDEX(파견수련계획!$U$4:$U$203,$AF69))</f>
        <v/>
      </c>
      <c r="S69" s="11">
        <f>IF($AF69="","",IF(INDEX(파견수련계획!$H$4:$H$203,$AF69)="","",INDEX(파견수련계획!$H$4:$H$203,$AF69)))</f>
        <v/>
      </c>
      <c r="T69" s="11">
        <f>IF($AF69="","",IF(INDEX(파견수련계획!$I$4:$I$203,$AF69)="","",INDEX(파견수련계획!$I$4:$I$203,$AF69)))</f>
        <v/>
      </c>
      <c r="U69" s="10">
        <f>IF($AF69="","",INDEX(파견수련계획!$X$4:$X$203,$AF69))</f>
        <v/>
      </c>
      <c r="V69" s="17">
        <f>IF($AF69="","",INDEX(파견수련계획!$V$4:$V$203,$AF69))</f>
        <v/>
      </c>
      <c r="W69" s="17">
        <f>IF(AND($U69="파견중",$T69&lt;&gt;""),$T69-TODAY(),"")</f>
        <v/>
      </c>
      <c r="X69" s="17">
        <f>IF(OR($B69="",TRIM($J69&amp;"")=""),"",SUMPRODUCT((파견수련계획!$Q$4:$Q$203=TRIM($J69&amp;""))*파견수련계획!$W$4:$W$203))</f>
        <v/>
      </c>
      <c r="Y69" s="10">
        <f>IF($B69="","",IF($AG69="","",IF(IF(TRIM($J69&amp;"")="",0,SUMPRODUCT((파견수련계획!$Q$4:$Q$203=TRIM($J69&amp;""))*파견수련계획!$AD$4:$AD$203))&gt;0,$AE69,IF(N($X69)&lt;=0,$AG69,IF($AH69+$AI69=DAY(EOMONTH(요약!$B$3,0)),IF(AND($AH69&gt;=요약!$E$3,$AI69&lt;요약!$E$3),"서울병원",IF(AND($AI69&gt;=요약!$E$3,$AH69&lt;요약!$E$3),"구리병원","⚠15일 판정불가(서울 "&amp;$AH69&amp;"일/구리 "&amp;$AI69&amp;"일)")),IF($AJ69="",$AE69,IF(INDEX(파견수련계획!$T$4:$T$203,$AJ69)="통합수련",INDEX(파견수련계획!$S$4:$S$203,$AJ69),$AE69)))))))</f>
        <v/>
      </c>
      <c r="Z69" s="19">
        <f>IF($B69="","",IF($AB69="","기본자료에 없는 사번",IF(COUNTIF($B$2:$B$201,$B69)&gt;1,"중복 사번",IF($AE69="","소속(입사장소) 입력",IF(IF(TRIM($J69&amp;"")="",0,SUMPRODUCT((파견수련계획!$Q$4:$Q$203=TRIM($J69&amp;""))*(파견수련계획!$AA$4:$AA$203&lt;&gt;"")))&gt;0,"파견수련계획 입력오류 확인",IF(LEFT($Y69,1)="⚠","서울·구리 15일 판정 불가(양쪽 모두 이상/미만)",IF(IF($AC69="",0,N(INDEX(인턴근무계획!$T$3:$T$202,$AC69)))&gt;0,"인턴계획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IF($B69="","",IFERROR(MATCH($B69,기본자료!$B$2:$B$501,0),IFERROR(MATCH($B69&amp;"",기본자료!$B$2:$B$501,0),IFERROR(MATCH(VALUE($B69),기본자료!$B$2:$B$501,0),""))))</f>
        <v/>
      </c>
      <c r="AC69" s="10">
        <f>IF($B69="","",IFERROR(MATCH($B69,인턴근무계획!$D$3:$D$202,0),IFERROR(MATCH($B69&amp;"",인턴근무계획!$D$3:$D$202,0),IFERROR(MATCH(VALUE($B69),인턴근무계획!$D$3:$D$202,0),""))))</f>
        <v/>
      </c>
      <c r="AD69" s="10">
        <f>IF(OR($AC69="",인턴현황!$G$3=""),"",INDEX(인턴근무계획!$M$3:$R$202,$AC69,인턴현황!$G$3)&amp;"")</f>
        <v/>
      </c>
      <c r="AE69" s="10">
        <f>IF($B69="","",IF($M69&lt;&gt;"",$M69,IF($AF69&lt;&gt;"",IF(LEFT(INDEX(파견수련계획!$R$4:$R$203,$AF69),1)&lt;&gt;"⚠",INDEX(파견수련계획!$R$4:$R$203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파견수련계획!$Y$4:$Y$203,0),IFERROR(MATCH(TRIM($J69&amp;"")&amp;"|파견예정",파견수련계획!$Y$4:$Y$203,0),IFERROR(MATCH(TRIM($J69&amp;"")&amp;"|파견종료",파견수련계획!$Y$4:$Y$203,0),""))))</f>
        <v/>
      </c>
      <c r="AG69" s="10">
        <f>IF($B69="","",IF(AND(IF(OR($AC69="",인턴현황!$K$2=""),"",INDEX(인턴근무계획!$M$3:$R$202,$AC69,인턴현황!$K$2)&amp;"")&lt;&gt;"",LEFT(IF(OR($AC69="",인턴현황!$K$2=""),"",INDEX(인턴근무계획!$M$3:$R$202,$AC69,인턴현황!$K$2)&amp;""),1)&lt;&gt;"⚠"),LEFT(IF(OR($AC69="",인턴현황!$K$2=""),"",INDEX(인턴근무계획!$M$3:$R$202,$AC69,인턴현황!$K$2)&amp;""),FIND(" ",IF(OR($AC69="",인턴현황!$K$2=""),"",INDEX(인턴근무계획!$M$3:$R$202,$AC69,인턴현황!$K$2)&amp;""))-1),$AE69))</f>
        <v/>
      </c>
      <c r="AH69" s="17">
        <f>IF($B69="","",IF(TRIM($J69&amp;"")="",0,SUMPRODUCT((파견수련계획!$Q$4:$Q$203=TRIM($J69&amp;""))*(파견수련계획!$S$4:$S$203="서울병원")*파견수련계획!$W$4:$W$203))+IF($AG69="서울병원",MAX(0,DAY(EOMONTH(요약!$B$3,0))-N($X69)),0))</f>
        <v/>
      </c>
      <c r="AI69" s="17">
        <f>IF($B69="","",IF(TRIM($J69&amp;"")="",0,SUMPRODUCT((파견수련계획!$Q$4:$Q$203=TRIM($J69&amp;""))*(파견수련계획!$S$4:$S$203="구리병원")*파견수련계획!$W$4:$W$203))+IF($AG69="구리병원",MAX(0,DAY(EOMONTH(요약!$B$3,0))-N($X69)),0))</f>
        <v/>
      </c>
      <c r="AJ69" s="10">
        <f>IF(OR($B69="",TRIM($J69&amp;"")=""),"",IFERROR(MATCH(TRIM($J69&amp;"")&amp;"|월",파견수련계획!$Z$4:$Z$203,0),""))</f>
        <v/>
      </c>
      <c r="AK69" s="10">
        <f>IF(OR($B69="",TRIM($J69&amp;"")=""),"",IFERROR(MATCH(TRIM($J69&amp;"")&amp;"|다기관",파견수련계획!$AE$4:$AE$203,0),""))</f>
        <v/>
      </c>
      <c r="AL69" s="10">
        <f>IF($AK69="","","다기관 "&amp;TEXT(INDEX(파견수련계획!$AB$4:$AB$203,$AK69),"yyyy-mm-dd")&amp;"~"&amp;IF(ISNUMBER(INDEX(파견수련계획!$AC$4:$AC$203,$AK69)),TEXT(INDEX(파견수련계획!$AC$4:$AC$203,$AK69),"yyyy-mm-dd"),""))</f>
        <v/>
      </c>
    </row>
    <row r="70">
      <c r="A70" s="10">
        <f>IF(B70="","",ROW()-1)</f>
        <v/>
      </c>
      <c r="B70" s="18" t="n"/>
      <c r="C70" s="10">
        <f>IF($AB70="","",IF(INDEX(기본자료!$C$2:$C$501,$AB70)="","",INDEX(기본자료!$C$2:$C$501,$AB70)))</f>
        <v/>
      </c>
      <c r="D70" s="10">
        <f>IF($AB70="","",IF(INDEX(기본자료!$J$2:$J$501,$AB70)="","",INDEX(기본자료!$J$2:$J$501,$AB70)))</f>
        <v/>
      </c>
      <c r="E70" s="11">
        <f>IF($AB70="","",IF(INDEX(기본자료!$K$2:$K$501,$AB70)="","",IF(NOT(ISNUMBER(INDEX(기본자료!$K$2:$K$501,$AB70))),INDEX(기본자료!$K$2:$K$501,$AB70),IF(INDEX(기본자료!$K$2:$K$501,$AB70)&lt;1000000,INDEX(기본자료!$K$2:$K$501,$AB70),IF(AND(INDEX(기본자료!$K$2:$K$501,$AB70)&gt;=10000101,INT(MOD(INDEX(기본자료!$K$2:$K$501,$AB70),10000)/100)&gt;=1,INT(MOD(INDEX(기본자료!$K$2:$K$501,$AB70),10000)/100)&lt;=12,MOD(INDEX(기본자료!$K$2:$K$501,$AB70),100)&gt;=1,MOD(INDEX(기본자료!$K$2:$K$501,$AB70),100)&lt;=31),DATE(INT(INDEX(기본자료!$K$2:$K$501,$AB70)/10000),INT(MOD(INDEX(기본자료!$K$2:$K$501,$AB70),10000)/100),MOD(INDEX(기본자료!$K$2:$K$501,$AB70),100)),INDEX(기본자료!$K$2:$K$501,$AB70)&amp;"")))))</f>
        <v/>
      </c>
      <c r="F70" s="10">
        <f>IF($AB70="","",IF(INDEX(기본자료!$D$2:$D$501,$AB70)="","",INDEX(기본자료!$D$2:$D$501,$AB70)))</f>
        <v/>
      </c>
      <c r="G70" s="10">
        <f>IF($AB70="","",IF(INDEX(기본자료!$E$2:$E$501,$AB70)="","",INDEX(기본자료!$E$2:$E$501,$AB70)))</f>
        <v/>
      </c>
      <c r="H70" s="10">
        <f>IF($AB70="","",IF(INDEX(기본자료!$F$2:$F$501,$AB70)="","",INDEX(기본자료!$F$2:$F$501,$AB70)))</f>
        <v/>
      </c>
      <c r="I70" s="11">
        <f>IF($AB70="","",IF(INDEX(기본자료!$G$2:$G$501,$AB70)="","",IF(NOT(ISNUMBER(INDEX(기본자료!$G$2:$G$501,$AB70))),INDEX(기본자료!$G$2:$G$501,$AB70),IF(INDEX(기본자료!$G$2:$G$501,$AB70)&lt;1000000,INDEX(기본자료!$G$2:$G$501,$AB70),IF(AND(INDEX(기본자료!$G$2:$G$501,$AB70)&gt;=10000101,INT(MOD(INDEX(기본자료!$G$2:$G$501,$AB70),10000)/100)&gt;=1,INT(MOD(INDEX(기본자료!$G$2:$G$501,$AB70),10000)/100)&lt;=12,MOD(INDEX(기본자료!$G$2:$G$501,$AB70),100)&gt;=1,MOD(INDEX(기본자료!$G$2:$G$501,$AB70),100)&lt;=31),DATE(INT(INDEX(기본자료!$G$2:$G$501,$AB70)/10000),INT(MOD(INDEX(기본자료!$G$2:$G$501,$AB70),10000)/100),MOD(INDEX(기본자료!$G$2:$G$501,$AB70),100)),INDEX(기본자료!$G$2:$G$501,$AB70)&amp;"")))))</f>
        <v/>
      </c>
      <c r="J70" s="10">
        <f>IF($AB70="","",IF(INDEX(기본자료!$H$2:$H$501,$AB70)="","",INDEX(기본자료!$H$2:$H$501,$AB70)))</f>
        <v/>
      </c>
      <c r="K70" s="10">
        <f>IF($AB70="","",IF(INDEX(기본자료!$I$2:$I$501,$AB70)="","",INDEX(기본자료!$I$2:$I$501,$AB70)))</f>
        <v/>
      </c>
      <c r="L70" s="10">
        <f>IF($AB70="","",IF(INDEX(기본자료!$A$2:$A$501,$AB70)="","",INDEX(기본자료!$A$2:$A$501,$AB70)))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파견수련계획!$AB$4:$AB$203,$AK70),OR(NOT(ISNUMBER(INDEX(파견수련계획!$AC$4:$AC$203,$AK70))),TODAY()&lt;=INDEX(파견수련계획!$AC$4:$AC$203,$AK70))),"다기관",IF($AF70="","",INDEX(파견수련계획!$T$4:$T$203,$AF70))),IF($AF70="","",INDEX(파견수련계획!$T$4:$T$203,$AF70))))</f>
        <v/>
      </c>
      <c r="Q70" s="10">
        <f>IF($AF70="","",INDEX(파견수련계획!$S$4:$S$203,$AF70))</f>
        <v/>
      </c>
      <c r="R70" s="10">
        <f>IF($AF70="","",INDEX(파견수련계획!$U$4:$U$203,$AF70))</f>
        <v/>
      </c>
      <c r="S70" s="11">
        <f>IF($AF70="","",IF(INDEX(파견수련계획!$H$4:$H$203,$AF70)="","",INDEX(파견수련계획!$H$4:$H$203,$AF70)))</f>
        <v/>
      </c>
      <c r="T70" s="11">
        <f>IF($AF70="","",IF(INDEX(파견수련계획!$I$4:$I$203,$AF70)="","",INDEX(파견수련계획!$I$4:$I$203,$AF70)))</f>
        <v/>
      </c>
      <c r="U70" s="10">
        <f>IF($AF70="","",INDEX(파견수련계획!$X$4:$X$203,$AF70))</f>
        <v/>
      </c>
      <c r="V70" s="17">
        <f>IF($AF70="","",INDEX(파견수련계획!$V$4:$V$203,$AF70))</f>
        <v/>
      </c>
      <c r="W70" s="17">
        <f>IF(AND($U70="파견중",$T70&lt;&gt;""),$T70-TODAY(),"")</f>
        <v/>
      </c>
      <c r="X70" s="17">
        <f>IF(OR($B70="",TRIM($J70&amp;"")=""),"",SUMPRODUCT((파견수련계획!$Q$4:$Q$203=TRIM($J70&amp;""))*파견수련계획!$W$4:$W$203))</f>
        <v/>
      </c>
      <c r="Y70" s="10">
        <f>IF($B70="","",IF($AG70="","",IF(IF(TRIM($J70&amp;"")="",0,SUMPRODUCT((파견수련계획!$Q$4:$Q$203=TRIM($J70&amp;""))*파견수련계획!$AD$4:$AD$203))&gt;0,$AE70,IF(N($X70)&lt;=0,$AG70,IF($AH70+$AI70=DAY(EOMONTH(요약!$B$3,0)),IF(AND($AH70&gt;=요약!$E$3,$AI70&lt;요약!$E$3),"서울병원",IF(AND($AI70&gt;=요약!$E$3,$AH70&lt;요약!$E$3),"구리병원","⚠15일 판정불가(서울 "&amp;$AH70&amp;"일/구리 "&amp;$AI70&amp;"일)")),IF($AJ70="",$AE70,IF(INDEX(파견수련계획!$T$4:$T$203,$AJ70)="통합수련",INDEX(파견수련계획!$S$4:$S$203,$AJ70),$AE70)))))))</f>
        <v/>
      </c>
      <c r="Z70" s="19">
        <f>IF($B70="","",IF($AB70="","기본자료에 없는 사번",IF(COUNTIF($B$2:$B$201,$B70)&gt;1,"중복 사번",IF($AE70="","소속(입사장소) 입력",IF(IF(TRIM($J70&amp;"")="",0,SUMPRODUCT((파견수련계획!$Q$4:$Q$203=TRIM($J70&amp;""))*(파견수련계획!$AA$4:$AA$203&lt;&gt;"")))&gt;0,"파견수련계획 입력오류 확인",IF(LEFT($Y70,1)="⚠","서울·구리 15일 판정 불가(양쪽 모두 이상/미만)",IF(IF($AC70="",0,N(INDEX(인턴근무계획!$T$3:$T$202,$AC70)))&gt;0,"인턴계획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IF($B70="","",IFERROR(MATCH($B70,기본자료!$B$2:$B$501,0),IFERROR(MATCH($B70&amp;"",기본자료!$B$2:$B$501,0),IFERROR(MATCH(VALUE($B70),기본자료!$B$2:$B$501,0),""))))</f>
        <v/>
      </c>
      <c r="AC70" s="10">
        <f>IF($B70="","",IFERROR(MATCH($B70,인턴근무계획!$D$3:$D$202,0),IFERROR(MATCH($B70&amp;"",인턴근무계획!$D$3:$D$202,0),IFERROR(MATCH(VALUE($B70),인턴근무계획!$D$3:$D$202,0),""))))</f>
        <v/>
      </c>
      <c r="AD70" s="10">
        <f>IF(OR($AC70="",인턴현황!$G$3=""),"",INDEX(인턴근무계획!$M$3:$R$202,$AC70,인턴현황!$G$3)&amp;"")</f>
        <v/>
      </c>
      <c r="AE70" s="10">
        <f>IF($B70="","",IF($M70&lt;&gt;"",$M70,IF($AF70&lt;&gt;"",IF(LEFT(INDEX(파견수련계획!$R$4:$R$203,$AF70),1)&lt;&gt;"⚠",INDEX(파견수련계획!$R$4:$R$203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파견수련계획!$Y$4:$Y$203,0),IFERROR(MATCH(TRIM($J70&amp;"")&amp;"|파견예정",파견수련계획!$Y$4:$Y$203,0),IFERROR(MATCH(TRIM($J70&amp;"")&amp;"|파견종료",파견수련계획!$Y$4:$Y$203,0),""))))</f>
        <v/>
      </c>
      <c r="AG70" s="10">
        <f>IF($B70="","",IF(AND(IF(OR($AC70="",인턴현황!$K$2=""),"",INDEX(인턴근무계획!$M$3:$R$202,$AC70,인턴현황!$K$2)&amp;"")&lt;&gt;"",LEFT(IF(OR($AC70="",인턴현황!$K$2=""),"",INDEX(인턴근무계획!$M$3:$R$202,$AC70,인턴현황!$K$2)&amp;""),1)&lt;&gt;"⚠"),LEFT(IF(OR($AC70="",인턴현황!$K$2=""),"",INDEX(인턴근무계획!$M$3:$R$202,$AC70,인턴현황!$K$2)&amp;""),FIND(" ",IF(OR($AC70="",인턴현황!$K$2=""),"",INDEX(인턴근무계획!$M$3:$R$202,$AC70,인턴현황!$K$2)&amp;""))-1),$AE70))</f>
        <v/>
      </c>
      <c r="AH70" s="17">
        <f>IF($B70="","",IF(TRIM($J70&amp;"")="",0,SUMPRODUCT((파견수련계획!$Q$4:$Q$203=TRIM($J70&amp;""))*(파견수련계획!$S$4:$S$203="서울병원")*파견수련계획!$W$4:$W$203))+IF($AG70="서울병원",MAX(0,DAY(EOMONTH(요약!$B$3,0))-N($X70)),0))</f>
        <v/>
      </c>
      <c r="AI70" s="17">
        <f>IF($B70="","",IF(TRIM($J70&amp;"")="",0,SUMPRODUCT((파견수련계획!$Q$4:$Q$203=TRIM($J70&amp;""))*(파견수련계획!$S$4:$S$203="구리병원")*파견수련계획!$W$4:$W$203))+IF($AG70="구리병원",MAX(0,DAY(EOMONTH(요약!$B$3,0))-N($X70)),0))</f>
        <v/>
      </c>
      <c r="AJ70" s="10">
        <f>IF(OR($B70="",TRIM($J70&amp;"")=""),"",IFERROR(MATCH(TRIM($J70&amp;"")&amp;"|월",파견수련계획!$Z$4:$Z$203,0),""))</f>
        <v/>
      </c>
      <c r="AK70" s="10">
        <f>IF(OR($B70="",TRIM($J70&amp;"")=""),"",IFERROR(MATCH(TRIM($J70&amp;"")&amp;"|다기관",파견수련계획!$AE$4:$AE$203,0),""))</f>
        <v/>
      </c>
      <c r="AL70" s="10">
        <f>IF($AK70="","","다기관 "&amp;TEXT(INDEX(파견수련계획!$AB$4:$AB$203,$AK70),"yyyy-mm-dd")&amp;"~"&amp;IF(ISNUMBER(INDEX(파견수련계획!$AC$4:$AC$203,$AK70)),TEXT(INDEX(파견수련계획!$AC$4:$AC$203,$AK70),"yyyy-mm-dd"),""))</f>
        <v/>
      </c>
    </row>
    <row r="71">
      <c r="A71" s="10">
        <f>IF(B71="","",ROW()-1)</f>
        <v/>
      </c>
      <c r="B71" s="18" t="n"/>
      <c r="C71" s="10">
        <f>IF($AB71="","",IF(INDEX(기본자료!$C$2:$C$501,$AB71)="","",INDEX(기본자료!$C$2:$C$501,$AB71)))</f>
        <v/>
      </c>
      <c r="D71" s="10">
        <f>IF($AB71="","",IF(INDEX(기본자료!$J$2:$J$501,$AB71)="","",INDEX(기본자료!$J$2:$J$501,$AB71)))</f>
        <v/>
      </c>
      <c r="E71" s="11">
        <f>IF($AB71="","",IF(INDEX(기본자료!$K$2:$K$501,$AB71)="","",IF(NOT(ISNUMBER(INDEX(기본자료!$K$2:$K$501,$AB71))),INDEX(기본자료!$K$2:$K$501,$AB71),IF(INDEX(기본자료!$K$2:$K$501,$AB71)&lt;1000000,INDEX(기본자료!$K$2:$K$501,$AB71),IF(AND(INDEX(기본자료!$K$2:$K$501,$AB71)&gt;=10000101,INT(MOD(INDEX(기본자료!$K$2:$K$501,$AB71),10000)/100)&gt;=1,INT(MOD(INDEX(기본자료!$K$2:$K$501,$AB71),10000)/100)&lt;=12,MOD(INDEX(기본자료!$K$2:$K$501,$AB71),100)&gt;=1,MOD(INDEX(기본자료!$K$2:$K$501,$AB71),100)&lt;=31),DATE(INT(INDEX(기본자료!$K$2:$K$501,$AB71)/10000),INT(MOD(INDEX(기본자료!$K$2:$K$501,$AB71),10000)/100),MOD(INDEX(기본자료!$K$2:$K$501,$AB71),100)),INDEX(기본자료!$K$2:$K$501,$AB71)&amp;"")))))</f>
        <v/>
      </c>
      <c r="F71" s="10">
        <f>IF($AB71="","",IF(INDEX(기본자료!$D$2:$D$501,$AB71)="","",INDEX(기본자료!$D$2:$D$501,$AB71)))</f>
        <v/>
      </c>
      <c r="G71" s="10">
        <f>IF($AB71="","",IF(INDEX(기본자료!$E$2:$E$501,$AB71)="","",INDEX(기본자료!$E$2:$E$501,$AB71)))</f>
        <v/>
      </c>
      <c r="H71" s="10">
        <f>IF($AB71="","",IF(INDEX(기본자료!$F$2:$F$501,$AB71)="","",INDEX(기본자료!$F$2:$F$501,$AB71)))</f>
        <v/>
      </c>
      <c r="I71" s="11">
        <f>IF($AB71="","",IF(INDEX(기본자료!$G$2:$G$501,$AB71)="","",IF(NOT(ISNUMBER(INDEX(기본자료!$G$2:$G$501,$AB71))),INDEX(기본자료!$G$2:$G$501,$AB71),IF(INDEX(기본자료!$G$2:$G$501,$AB71)&lt;1000000,INDEX(기본자료!$G$2:$G$501,$AB71),IF(AND(INDEX(기본자료!$G$2:$G$501,$AB71)&gt;=10000101,INT(MOD(INDEX(기본자료!$G$2:$G$501,$AB71),10000)/100)&gt;=1,INT(MOD(INDEX(기본자료!$G$2:$G$501,$AB71),10000)/100)&lt;=12,MOD(INDEX(기본자료!$G$2:$G$501,$AB71),100)&gt;=1,MOD(INDEX(기본자료!$G$2:$G$501,$AB71),100)&lt;=31),DATE(INT(INDEX(기본자료!$G$2:$G$501,$AB71)/10000),INT(MOD(INDEX(기본자료!$G$2:$G$501,$AB71),10000)/100),MOD(INDEX(기본자료!$G$2:$G$501,$AB71),100)),INDEX(기본자료!$G$2:$G$501,$AB71)&amp;"")))))</f>
        <v/>
      </c>
      <c r="J71" s="10">
        <f>IF($AB71="","",IF(INDEX(기본자료!$H$2:$H$501,$AB71)="","",INDEX(기본자료!$H$2:$H$501,$AB71)))</f>
        <v/>
      </c>
      <c r="K71" s="10">
        <f>IF($AB71="","",IF(INDEX(기본자료!$I$2:$I$501,$AB71)="","",INDEX(기본자료!$I$2:$I$501,$AB71)))</f>
        <v/>
      </c>
      <c r="L71" s="10">
        <f>IF($AB71="","",IF(INDEX(기본자료!$A$2:$A$501,$AB71)="","",INDEX(기본자료!$A$2:$A$501,$AB71)))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파견수련계획!$AB$4:$AB$203,$AK71),OR(NOT(ISNUMBER(INDEX(파견수련계획!$AC$4:$AC$203,$AK71))),TODAY()&lt;=INDEX(파견수련계획!$AC$4:$AC$203,$AK71))),"다기관",IF($AF71="","",INDEX(파견수련계획!$T$4:$T$203,$AF71))),IF($AF71="","",INDEX(파견수련계획!$T$4:$T$203,$AF71))))</f>
        <v/>
      </c>
      <c r="Q71" s="10">
        <f>IF($AF71="","",INDEX(파견수련계획!$S$4:$S$203,$AF71))</f>
        <v/>
      </c>
      <c r="R71" s="10">
        <f>IF($AF71="","",INDEX(파견수련계획!$U$4:$U$203,$AF71))</f>
        <v/>
      </c>
      <c r="S71" s="11">
        <f>IF($AF71="","",IF(INDEX(파견수련계획!$H$4:$H$203,$AF71)="","",INDEX(파견수련계획!$H$4:$H$203,$AF71)))</f>
        <v/>
      </c>
      <c r="T71" s="11">
        <f>IF($AF71="","",IF(INDEX(파견수련계획!$I$4:$I$203,$AF71)="","",INDEX(파견수련계획!$I$4:$I$203,$AF71)))</f>
        <v/>
      </c>
      <c r="U71" s="10">
        <f>IF($AF71="","",INDEX(파견수련계획!$X$4:$X$203,$AF71))</f>
        <v/>
      </c>
      <c r="V71" s="17">
        <f>IF($AF71="","",INDEX(파견수련계획!$V$4:$V$203,$AF71))</f>
        <v/>
      </c>
      <c r="W71" s="17">
        <f>IF(AND($U71="파견중",$T71&lt;&gt;""),$T71-TODAY(),"")</f>
        <v/>
      </c>
      <c r="X71" s="17">
        <f>IF(OR($B71="",TRIM($J71&amp;"")=""),"",SUMPRODUCT((파견수련계획!$Q$4:$Q$203=TRIM($J71&amp;""))*파견수련계획!$W$4:$W$203))</f>
        <v/>
      </c>
      <c r="Y71" s="10">
        <f>IF($B71="","",IF($AG71="","",IF(IF(TRIM($J71&amp;"")="",0,SUMPRODUCT((파견수련계획!$Q$4:$Q$203=TRIM($J71&amp;""))*파견수련계획!$AD$4:$AD$203))&gt;0,$AE71,IF(N($X71)&lt;=0,$AG71,IF($AH71+$AI71=DAY(EOMONTH(요약!$B$3,0)),IF(AND($AH71&gt;=요약!$E$3,$AI71&lt;요약!$E$3),"서울병원",IF(AND($AI71&gt;=요약!$E$3,$AH71&lt;요약!$E$3),"구리병원","⚠15일 판정불가(서울 "&amp;$AH71&amp;"일/구리 "&amp;$AI71&amp;"일)")),IF($AJ71="",$AE71,IF(INDEX(파견수련계획!$T$4:$T$203,$AJ71)="통합수련",INDEX(파견수련계획!$S$4:$S$203,$AJ71),$AE71)))))))</f>
        <v/>
      </c>
      <c r="Z71" s="19">
        <f>IF($B71="","",IF($AB71="","기본자료에 없는 사번",IF(COUNTIF($B$2:$B$201,$B71)&gt;1,"중복 사번",IF($AE71="","소속(입사장소) 입력",IF(IF(TRIM($J71&amp;"")="",0,SUMPRODUCT((파견수련계획!$Q$4:$Q$203=TRIM($J71&amp;""))*(파견수련계획!$AA$4:$AA$203&lt;&gt;"")))&gt;0,"파견수련계획 입력오류 확인",IF(LEFT($Y71,1)="⚠","서울·구리 15일 판정 불가(양쪽 모두 이상/미만)",IF(IF($AC71="",0,N(INDEX(인턴근무계획!$T$3:$T$202,$AC71)))&gt;0,"인턴계획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IF($B71="","",IFERROR(MATCH($B71,기본자료!$B$2:$B$501,0),IFERROR(MATCH($B71&amp;"",기본자료!$B$2:$B$501,0),IFERROR(MATCH(VALUE($B71),기본자료!$B$2:$B$501,0),""))))</f>
        <v/>
      </c>
      <c r="AC71" s="10">
        <f>IF($B71="","",IFERROR(MATCH($B71,인턴근무계획!$D$3:$D$202,0),IFERROR(MATCH($B71&amp;"",인턴근무계획!$D$3:$D$202,0),IFERROR(MATCH(VALUE($B71),인턴근무계획!$D$3:$D$202,0),""))))</f>
        <v/>
      </c>
      <c r="AD71" s="10">
        <f>IF(OR($AC71="",인턴현황!$G$3=""),"",INDEX(인턴근무계획!$M$3:$R$202,$AC71,인턴현황!$G$3)&amp;"")</f>
        <v/>
      </c>
      <c r="AE71" s="10">
        <f>IF($B71="","",IF($M71&lt;&gt;"",$M71,IF($AF71&lt;&gt;"",IF(LEFT(INDEX(파견수련계획!$R$4:$R$203,$AF71),1)&lt;&gt;"⚠",INDEX(파견수련계획!$R$4:$R$203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파견수련계획!$Y$4:$Y$203,0),IFERROR(MATCH(TRIM($J71&amp;"")&amp;"|파견예정",파견수련계획!$Y$4:$Y$203,0),IFERROR(MATCH(TRIM($J71&amp;"")&amp;"|파견종료",파견수련계획!$Y$4:$Y$203,0),""))))</f>
        <v/>
      </c>
      <c r="AG71" s="10">
        <f>IF($B71="","",IF(AND(IF(OR($AC71="",인턴현황!$K$2=""),"",INDEX(인턴근무계획!$M$3:$R$202,$AC71,인턴현황!$K$2)&amp;"")&lt;&gt;"",LEFT(IF(OR($AC71="",인턴현황!$K$2=""),"",INDEX(인턴근무계획!$M$3:$R$202,$AC71,인턴현황!$K$2)&amp;""),1)&lt;&gt;"⚠"),LEFT(IF(OR($AC71="",인턴현황!$K$2=""),"",INDEX(인턴근무계획!$M$3:$R$202,$AC71,인턴현황!$K$2)&amp;""),FIND(" ",IF(OR($AC71="",인턴현황!$K$2=""),"",INDEX(인턴근무계획!$M$3:$R$202,$AC71,인턴현황!$K$2)&amp;""))-1),$AE71))</f>
        <v/>
      </c>
      <c r="AH71" s="17">
        <f>IF($B71="","",IF(TRIM($J71&amp;"")="",0,SUMPRODUCT((파견수련계획!$Q$4:$Q$203=TRIM($J71&amp;""))*(파견수련계획!$S$4:$S$203="서울병원")*파견수련계획!$W$4:$W$203))+IF($AG71="서울병원",MAX(0,DAY(EOMONTH(요약!$B$3,0))-N($X71)),0))</f>
        <v/>
      </c>
      <c r="AI71" s="17">
        <f>IF($B71="","",IF(TRIM($J71&amp;"")="",0,SUMPRODUCT((파견수련계획!$Q$4:$Q$203=TRIM($J71&amp;""))*(파견수련계획!$S$4:$S$203="구리병원")*파견수련계획!$W$4:$W$203))+IF($AG71="구리병원",MAX(0,DAY(EOMONTH(요약!$B$3,0))-N($X71)),0))</f>
        <v/>
      </c>
      <c r="AJ71" s="10">
        <f>IF(OR($B71="",TRIM($J71&amp;"")=""),"",IFERROR(MATCH(TRIM($J71&amp;"")&amp;"|월",파견수련계획!$Z$4:$Z$203,0),""))</f>
        <v/>
      </c>
      <c r="AK71" s="10">
        <f>IF(OR($B71="",TRIM($J71&amp;"")=""),"",IFERROR(MATCH(TRIM($J71&amp;"")&amp;"|다기관",파견수련계획!$AE$4:$AE$203,0),""))</f>
        <v/>
      </c>
      <c r="AL71" s="10">
        <f>IF($AK71="","","다기관 "&amp;TEXT(INDEX(파견수련계획!$AB$4:$AB$203,$AK71),"yyyy-mm-dd")&amp;"~"&amp;IF(ISNUMBER(INDEX(파견수련계획!$AC$4:$AC$203,$AK71)),TEXT(INDEX(파견수련계획!$AC$4:$AC$203,$AK71),"yyyy-mm-dd"),""))</f>
        <v/>
      </c>
    </row>
    <row r="72">
      <c r="A72" s="10">
        <f>IF(B72="","",ROW()-1)</f>
        <v/>
      </c>
      <c r="B72" s="18" t="n"/>
      <c r="C72" s="10">
        <f>IF($AB72="","",IF(INDEX(기본자료!$C$2:$C$501,$AB72)="","",INDEX(기본자료!$C$2:$C$501,$AB72)))</f>
        <v/>
      </c>
      <c r="D72" s="10">
        <f>IF($AB72="","",IF(INDEX(기본자료!$J$2:$J$501,$AB72)="","",INDEX(기본자료!$J$2:$J$501,$AB72)))</f>
        <v/>
      </c>
      <c r="E72" s="11">
        <f>IF($AB72="","",IF(INDEX(기본자료!$K$2:$K$501,$AB72)="","",IF(NOT(ISNUMBER(INDEX(기본자료!$K$2:$K$501,$AB72))),INDEX(기본자료!$K$2:$K$501,$AB72),IF(INDEX(기본자료!$K$2:$K$501,$AB72)&lt;1000000,INDEX(기본자료!$K$2:$K$501,$AB72),IF(AND(INDEX(기본자료!$K$2:$K$501,$AB72)&gt;=10000101,INT(MOD(INDEX(기본자료!$K$2:$K$501,$AB72),10000)/100)&gt;=1,INT(MOD(INDEX(기본자료!$K$2:$K$501,$AB72),10000)/100)&lt;=12,MOD(INDEX(기본자료!$K$2:$K$501,$AB72),100)&gt;=1,MOD(INDEX(기본자료!$K$2:$K$501,$AB72),100)&lt;=31),DATE(INT(INDEX(기본자료!$K$2:$K$501,$AB72)/10000),INT(MOD(INDEX(기본자료!$K$2:$K$501,$AB72),10000)/100),MOD(INDEX(기본자료!$K$2:$K$501,$AB72),100)),INDEX(기본자료!$K$2:$K$501,$AB72)&amp;"")))))</f>
        <v/>
      </c>
      <c r="F72" s="10">
        <f>IF($AB72="","",IF(INDEX(기본자료!$D$2:$D$501,$AB72)="","",INDEX(기본자료!$D$2:$D$501,$AB72)))</f>
        <v/>
      </c>
      <c r="G72" s="10">
        <f>IF($AB72="","",IF(INDEX(기본자료!$E$2:$E$501,$AB72)="","",INDEX(기본자료!$E$2:$E$501,$AB72)))</f>
        <v/>
      </c>
      <c r="H72" s="10">
        <f>IF($AB72="","",IF(INDEX(기본자료!$F$2:$F$501,$AB72)="","",INDEX(기본자료!$F$2:$F$501,$AB72)))</f>
        <v/>
      </c>
      <c r="I72" s="11">
        <f>IF($AB72="","",IF(INDEX(기본자료!$G$2:$G$501,$AB72)="","",IF(NOT(ISNUMBER(INDEX(기본자료!$G$2:$G$501,$AB72))),INDEX(기본자료!$G$2:$G$501,$AB72),IF(INDEX(기본자료!$G$2:$G$501,$AB72)&lt;1000000,INDEX(기본자료!$G$2:$G$501,$AB72),IF(AND(INDEX(기본자료!$G$2:$G$501,$AB72)&gt;=10000101,INT(MOD(INDEX(기본자료!$G$2:$G$501,$AB72),10000)/100)&gt;=1,INT(MOD(INDEX(기본자료!$G$2:$G$501,$AB72),10000)/100)&lt;=12,MOD(INDEX(기본자료!$G$2:$G$501,$AB72),100)&gt;=1,MOD(INDEX(기본자료!$G$2:$G$501,$AB72),100)&lt;=31),DATE(INT(INDEX(기본자료!$G$2:$G$501,$AB72)/10000),INT(MOD(INDEX(기본자료!$G$2:$G$501,$AB72),10000)/100),MOD(INDEX(기본자료!$G$2:$G$501,$AB72),100)),INDEX(기본자료!$G$2:$G$501,$AB72)&amp;"")))))</f>
        <v/>
      </c>
      <c r="J72" s="10">
        <f>IF($AB72="","",IF(INDEX(기본자료!$H$2:$H$501,$AB72)="","",INDEX(기본자료!$H$2:$H$501,$AB72)))</f>
        <v/>
      </c>
      <c r="K72" s="10">
        <f>IF($AB72="","",IF(INDEX(기본자료!$I$2:$I$501,$AB72)="","",INDEX(기본자료!$I$2:$I$501,$AB72)))</f>
        <v/>
      </c>
      <c r="L72" s="10">
        <f>IF($AB72="","",IF(INDEX(기본자료!$A$2:$A$501,$AB72)="","",INDEX(기본자료!$A$2:$A$501,$AB72)))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파견수련계획!$AB$4:$AB$203,$AK72),OR(NOT(ISNUMBER(INDEX(파견수련계획!$AC$4:$AC$203,$AK72))),TODAY()&lt;=INDEX(파견수련계획!$AC$4:$AC$203,$AK72))),"다기관",IF($AF72="","",INDEX(파견수련계획!$T$4:$T$203,$AF72))),IF($AF72="","",INDEX(파견수련계획!$T$4:$T$203,$AF72))))</f>
        <v/>
      </c>
      <c r="Q72" s="10">
        <f>IF($AF72="","",INDEX(파견수련계획!$S$4:$S$203,$AF72))</f>
        <v/>
      </c>
      <c r="R72" s="10">
        <f>IF($AF72="","",INDEX(파견수련계획!$U$4:$U$203,$AF72))</f>
        <v/>
      </c>
      <c r="S72" s="11">
        <f>IF($AF72="","",IF(INDEX(파견수련계획!$H$4:$H$203,$AF72)="","",INDEX(파견수련계획!$H$4:$H$203,$AF72)))</f>
        <v/>
      </c>
      <c r="T72" s="11">
        <f>IF($AF72="","",IF(INDEX(파견수련계획!$I$4:$I$203,$AF72)="","",INDEX(파견수련계획!$I$4:$I$203,$AF72)))</f>
        <v/>
      </c>
      <c r="U72" s="10">
        <f>IF($AF72="","",INDEX(파견수련계획!$X$4:$X$203,$AF72))</f>
        <v/>
      </c>
      <c r="V72" s="17">
        <f>IF($AF72="","",INDEX(파견수련계획!$V$4:$V$203,$AF72))</f>
        <v/>
      </c>
      <c r="W72" s="17">
        <f>IF(AND($U72="파견중",$T72&lt;&gt;""),$T72-TODAY(),"")</f>
        <v/>
      </c>
      <c r="X72" s="17">
        <f>IF(OR($B72="",TRIM($J72&amp;"")=""),"",SUMPRODUCT((파견수련계획!$Q$4:$Q$203=TRIM($J72&amp;""))*파견수련계획!$W$4:$W$203))</f>
        <v/>
      </c>
      <c r="Y72" s="10">
        <f>IF($B72="","",IF($AG72="","",IF(IF(TRIM($J72&amp;"")="",0,SUMPRODUCT((파견수련계획!$Q$4:$Q$203=TRIM($J72&amp;""))*파견수련계획!$AD$4:$AD$203))&gt;0,$AE72,IF(N($X72)&lt;=0,$AG72,IF($AH72+$AI72=DAY(EOMONTH(요약!$B$3,0)),IF(AND($AH72&gt;=요약!$E$3,$AI72&lt;요약!$E$3),"서울병원",IF(AND($AI72&gt;=요약!$E$3,$AH72&lt;요약!$E$3),"구리병원","⚠15일 판정불가(서울 "&amp;$AH72&amp;"일/구리 "&amp;$AI72&amp;"일)")),IF($AJ72="",$AE72,IF(INDEX(파견수련계획!$T$4:$T$203,$AJ72)="통합수련",INDEX(파견수련계획!$S$4:$S$203,$AJ72),$AE72)))))))</f>
        <v/>
      </c>
      <c r="Z72" s="19">
        <f>IF($B72="","",IF($AB72="","기본자료에 없는 사번",IF(COUNTIF($B$2:$B$201,$B72)&gt;1,"중복 사번",IF($AE72="","소속(입사장소) 입력",IF(IF(TRIM($J72&amp;"")="",0,SUMPRODUCT((파견수련계획!$Q$4:$Q$203=TRIM($J72&amp;""))*(파견수련계획!$AA$4:$AA$203&lt;&gt;"")))&gt;0,"파견수련계획 입력오류 확인",IF(LEFT($Y72,1)="⚠","서울·구리 15일 판정 불가(양쪽 모두 이상/미만)",IF(IF($AC72="",0,N(INDEX(인턴근무계획!$T$3:$T$202,$AC72)))&gt;0,"인턴계획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IF($B72="","",IFERROR(MATCH($B72,기본자료!$B$2:$B$501,0),IFERROR(MATCH($B72&amp;"",기본자료!$B$2:$B$501,0),IFERROR(MATCH(VALUE($B72),기본자료!$B$2:$B$501,0),""))))</f>
        <v/>
      </c>
      <c r="AC72" s="10">
        <f>IF($B72="","",IFERROR(MATCH($B72,인턴근무계획!$D$3:$D$202,0),IFERROR(MATCH($B72&amp;"",인턴근무계획!$D$3:$D$202,0),IFERROR(MATCH(VALUE($B72),인턴근무계획!$D$3:$D$202,0),""))))</f>
        <v/>
      </c>
      <c r="AD72" s="10">
        <f>IF(OR($AC72="",인턴현황!$G$3=""),"",INDEX(인턴근무계획!$M$3:$R$202,$AC72,인턴현황!$G$3)&amp;"")</f>
        <v/>
      </c>
      <c r="AE72" s="10">
        <f>IF($B72="","",IF($M72&lt;&gt;"",$M72,IF($AF72&lt;&gt;"",IF(LEFT(INDEX(파견수련계획!$R$4:$R$203,$AF72),1)&lt;&gt;"⚠",INDEX(파견수련계획!$R$4:$R$203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파견수련계획!$Y$4:$Y$203,0),IFERROR(MATCH(TRIM($J72&amp;"")&amp;"|파견예정",파견수련계획!$Y$4:$Y$203,0),IFERROR(MATCH(TRIM($J72&amp;"")&amp;"|파견종료",파견수련계획!$Y$4:$Y$203,0),""))))</f>
        <v/>
      </c>
      <c r="AG72" s="10">
        <f>IF($B72="","",IF(AND(IF(OR($AC72="",인턴현황!$K$2=""),"",INDEX(인턴근무계획!$M$3:$R$202,$AC72,인턴현황!$K$2)&amp;"")&lt;&gt;"",LEFT(IF(OR($AC72="",인턴현황!$K$2=""),"",INDEX(인턴근무계획!$M$3:$R$202,$AC72,인턴현황!$K$2)&amp;""),1)&lt;&gt;"⚠"),LEFT(IF(OR($AC72="",인턴현황!$K$2=""),"",INDEX(인턴근무계획!$M$3:$R$202,$AC72,인턴현황!$K$2)&amp;""),FIND(" ",IF(OR($AC72="",인턴현황!$K$2=""),"",INDEX(인턴근무계획!$M$3:$R$202,$AC72,인턴현황!$K$2)&amp;""))-1),$AE72))</f>
        <v/>
      </c>
      <c r="AH72" s="17">
        <f>IF($B72="","",IF(TRIM($J72&amp;"")="",0,SUMPRODUCT((파견수련계획!$Q$4:$Q$203=TRIM($J72&amp;""))*(파견수련계획!$S$4:$S$203="서울병원")*파견수련계획!$W$4:$W$203))+IF($AG72="서울병원",MAX(0,DAY(EOMONTH(요약!$B$3,0))-N($X72)),0))</f>
        <v/>
      </c>
      <c r="AI72" s="17">
        <f>IF($B72="","",IF(TRIM($J72&amp;"")="",0,SUMPRODUCT((파견수련계획!$Q$4:$Q$203=TRIM($J72&amp;""))*(파견수련계획!$S$4:$S$203="구리병원")*파견수련계획!$W$4:$W$203))+IF($AG72="구리병원",MAX(0,DAY(EOMONTH(요약!$B$3,0))-N($X72)),0))</f>
        <v/>
      </c>
      <c r="AJ72" s="10">
        <f>IF(OR($B72="",TRIM($J72&amp;"")=""),"",IFERROR(MATCH(TRIM($J72&amp;"")&amp;"|월",파견수련계획!$Z$4:$Z$203,0),""))</f>
        <v/>
      </c>
      <c r="AK72" s="10">
        <f>IF(OR($B72="",TRIM($J72&amp;"")=""),"",IFERROR(MATCH(TRIM($J72&amp;"")&amp;"|다기관",파견수련계획!$AE$4:$AE$203,0),""))</f>
        <v/>
      </c>
      <c r="AL72" s="10">
        <f>IF($AK72="","","다기관 "&amp;TEXT(INDEX(파견수련계획!$AB$4:$AB$203,$AK72),"yyyy-mm-dd")&amp;"~"&amp;IF(ISNUMBER(INDEX(파견수련계획!$AC$4:$AC$203,$AK72)),TEXT(INDEX(파견수련계획!$AC$4:$AC$203,$AK72),"yyyy-mm-dd"),""))</f>
        <v/>
      </c>
    </row>
    <row r="73">
      <c r="A73" s="10">
        <f>IF(B73="","",ROW()-1)</f>
        <v/>
      </c>
      <c r="B73" s="18" t="n"/>
      <c r="C73" s="10">
        <f>IF($AB73="","",IF(INDEX(기본자료!$C$2:$C$501,$AB73)="","",INDEX(기본자료!$C$2:$C$501,$AB73)))</f>
        <v/>
      </c>
      <c r="D73" s="10">
        <f>IF($AB73="","",IF(INDEX(기본자료!$J$2:$J$501,$AB73)="","",INDEX(기본자료!$J$2:$J$501,$AB73)))</f>
        <v/>
      </c>
      <c r="E73" s="11">
        <f>IF($AB73="","",IF(INDEX(기본자료!$K$2:$K$501,$AB73)="","",IF(NOT(ISNUMBER(INDEX(기본자료!$K$2:$K$501,$AB73))),INDEX(기본자료!$K$2:$K$501,$AB73),IF(INDEX(기본자료!$K$2:$K$501,$AB73)&lt;1000000,INDEX(기본자료!$K$2:$K$501,$AB73),IF(AND(INDEX(기본자료!$K$2:$K$501,$AB73)&gt;=10000101,INT(MOD(INDEX(기본자료!$K$2:$K$501,$AB73),10000)/100)&gt;=1,INT(MOD(INDEX(기본자료!$K$2:$K$501,$AB73),10000)/100)&lt;=12,MOD(INDEX(기본자료!$K$2:$K$501,$AB73),100)&gt;=1,MOD(INDEX(기본자료!$K$2:$K$501,$AB73),100)&lt;=31),DATE(INT(INDEX(기본자료!$K$2:$K$501,$AB73)/10000),INT(MOD(INDEX(기본자료!$K$2:$K$501,$AB73),10000)/100),MOD(INDEX(기본자료!$K$2:$K$501,$AB73),100)),INDEX(기본자료!$K$2:$K$501,$AB73)&amp;"")))))</f>
        <v/>
      </c>
      <c r="F73" s="10">
        <f>IF($AB73="","",IF(INDEX(기본자료!$D$2:$D$501,$AB73)="","",INDEX(기본자료!$D$2:$D$501,$AB73)))</f>
        <v/>
      </c>
      <c r="G73" s="10">
        <f>IF($AB73="","",IF(INDEX(기본자료!$E$2:$E$501,$AB73)="","",INDEX(기본자료!$E$2:$E$501,$AB73)))</f>
        <v/>
      </c>
      <c r="H73" s="10">
        <f>IF($AB73="","",IF(INDEX(기본자료!$F$2:$F$501,$AB73)="","",INDEX(기본자료!$F$2:$F$501,$AB73)))</f>
        <v/>
      </c>
      <c r="I73" s="11">
        <f>IF($AB73="","",IF(INDEX(기본자료!$G$2:$G$501,$AB73)="","",IF(NOT(ISNUMBER(INDEX(기본자료!$G$2:$G$501,$AB73))),INDEX(기본자료!$G$2:$G$501,$AB73),IF(INDEX(기본자료!$G$2:$G$501,$AB73)&lt;1000000,INDEX(기본자료!$G$2:$G$501,$AB73),IF(AND(INDEX(기본자료!$G$2:$G$501,$AB73)&gt;=10000101,INT(MOD(INDEX(기본자료!$G$2:$G$501,$AB73),10000)/100)&gt;=1,INT(MOD(INDEX(기본자료!$G$2:$G$501,$AB73),10000)/100)&lt;=12,MOD(INDEX(기본자료!$G$2:$G$501,$AB73),100)&gt;=1,MOD(INDEX(기본자료!$G$2:$G$501,$AB73),100)&lt;=31),DATE(INT(INDEX(기본자료!$G$2:$G$501,$AB73)/10000),INT(MOD(INDEX(기본자료!$G$2:$G$501,$AB73),10000)/100),MOD(INDEX(기본자료!$G$2:$G$501,$AB73),100)),INDEX(기본자료!$G$2:$G$501,$AB73)&amp;"")))))</f>
        <v/>
      </c>
      <c r="J73" s="10">
        <f>IF($AB73="","",IF(INDEX(기본자료!$H$2:$H$501,$AB73)="","",INDEX(기본자료!$H$2:$H$501,$AB73)))</f>
        <v/>
      </c>
      <c r="K73" s="10">
        <f>IF($AB73="","",IF(INDEX(기본자료!$I$2:$I$501,$AB73)="","",INDEX(기본자료!$I$2:$I$501,$AB73)))</f>
        <v/>
      </c>
      <c r="L73" s="10">
        <f>IF($AB73="","",IF(INDEX(기본자료!$A$2:$A$501,$AB73)="","",INDEX(기본자료!$A$2:$A$501,$AB73)))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파견수련계획!$AB$4:$AB$203,$AK73),OR(NOT(ISNUMBER(INDEX(파견수련계획!$AC$4:$AC$203,$AK73))),TODAY()&lt;=INDEX(파견수련계획!$AC$4:$AC$203,$AK73))),"다기관",IF($AF73="","",INDEX(파견수련계획!$T$4:$T$203,$AF73))),IF($AF73="","",INDEX(파견수련계획!$T$4:$T$203,$AF73))))</f>
        <v/>
      </c>
      <c r="Q73" s="10">
        <f>IF($AF73="","",INDEX(파견수련계획!$S$4:$S$203,$AF73))</f>
        <v/>
      </c>
      <c r="R73" s="10">
        <f>IF($AF73="","",INDEX(파견수련계획!$U$4:$U$203,$AF73))</f>
        <v/>
      </c>
      <c r="S73" s="11">
        <f>IF($AF73="","",IF(INDEX(파견수련계획!$H$4:$H$203,$AF73)="","",INDEX(파견수련계획!$H$4:$H$203,$AF73)))</f>
        <v/>
      </c>
      <c r="T73" s="11">
        <f>IF($AF73="","",IF(INDEX(파견수련계획!$I$4:$I$203,$AF73)="","",INDEX(파견수련계획!$I$4:$I$203,$AF73)))</f>
        <v/>
      </c>
      <c r="U73" s="10">
        <f>IF($AF73="","",INDEX(파견수련계획!$X$4:$X$203,$AF73))</f>
        <v/>
      </c>
      <c r="V73" s="17">
        <f>IF($AF73="","",INDEX(파견수련계획!$V$4:$V$203,$AF73))</f>
        <v/>
      </c>
      <c r="W73" s="17">
        <f>IF(AND($U73="파견중",$T73&lt;&gt;""),$T73-TODAY(),"")</f>
        <v/>
      </c>
      <c r="X73" s="17">
        <f>IF(OR($B73="",TRIM($J73&amp;"")=""),"",SUMPRODUCT((파견수련계획!$Q$4:$Q$203=TRIM($J73&amp;""))*파견수련계획!$W$4:$W$203))</f>
        <v/>
      </c>
      <c r="Y73" s="10">
        <f>IF($B73="","",IF($AG73="","",IF(IF(TRIM($J73&amp;"")="",0,SUMPRODUCT((파견수련계획!$Q$4:$Q$203=TRIM($J73&amp;""))*파견수련계획!$AD$4:$AD$203))&gt;0,$AE73,IF(N($X73)&lt;=0,$AG73,IF($AH73+$AI73=DAY(EOMONTH(요약!$B$3,0)),IF(AND($AH73&gt;=요약!$E$3,$AI73&lt;요약!$E$3),"서울병원",IF(AND($AI73&gt;=요약!$E$3,$AH73&lt;요약!$E$3),"구리병원","⚠15일 판정불가(서울 "&amp;$AH73&amp;"일/구리 "&amp;$AI73&amp;"일)")),IF($AJ73="",$AE73,IF(INDEX(파견수련계획!$T$4:$T$203,$AJ73)="통합수련",INDEX(파견수련계획!$S$4:$S$203,$AJ73),$AE73)))))))</f>
        <v/>
      </c>
      <c r="Z73" s="19">
        <f>IF($B73="","",IF($AB73="","기본자료에 없는 사번",IF(COUNTIF($B$2:$B$201,$B73)&gt;1,"중복 사번",IF($AE73="","소속(입사장소) 입력",IF(IF(TRIM($J73&amp;"")="",0,SUMPRODUCT((파견수련계획!$Q$4:$Q$203=TRIM($J73&amp;""))*(파견수련계획!$AA$4:$AA$203&lt;&gt;"")))&gt;0,"파견수련계획 입력오류 확인",IF(LEFT($Y73,1)="⚠","서울·구리 15일 판정 불가(양쪽 모두 이상/미만)",IF(IF($AC73="",0,N(INDEX(인턴근무계획!$T$3:$T$202,$AC73)))&gt;0,"인턴계획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IF($B73="","",IFERROR(MATCH($B73,기본자료!$B$2:$B$501,0),IFERROR(MATCH($B73&amp;"",기본자료!$B$2:$B$501,0),IFERROR(MATCH(VALUE($B73),기본자료!$B$2:$B$501,0),""))))</f>
        <v/>
      </c>
      <c r="AC73" s="10">
        <f>IF($B73="","",IFERROR(MATCH($B73,인턴근무계획!$D$3:$D$202,0),IFERROR(MATCH($B73&amp;"",인턴근무계획!$D$3:$D$202,0),IFERROR(MATCH(VALUE($B73),인턴근무계획!$D$3:$D$202,0),""))))</f>
        <v/>
      </c>
      <c r="AD73" s="10">
        <f>IF(OR($AC73="",인턴현황!$G$3=""),"",INDEX(인턴근무계획!$M$3:$R$202,$AC73,인턴현황!$G$3)&amp;"")</f>
        <v/>
      </c>
      <c r="AE73" s="10">
        <f>IF($B73="","",IF($M73&lt;&gt;"",$M73,IF($AF73&lt;&gt;"",IF(LEFT(INDEX(파견수련계획!$R$4:$R$203,$AF73),1)&lt;&gt;"⚠",INDEX(파견수련계획!$R$4:$R$203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파견수련계획!$Y$4:$Y$203,0),IFERROR(MATCH(TRIM($J73&amp;"")&amp;"|파견예정",파견수련계획!$Y$4:$Y$203,0),IFERROR(MATCH(TRIM($J73&amp;"")&amp;"|파견종료",파견수련계획!$Y$4:$Y$203,0),""))))</f>
        <v/>
      </c>
      <c r="AG73" s="10">
        <f>IF($B73="","",IF(AND(IF(OR($AC73="",인턴현황!$K$2=""),"",INDEX(인턴근무계획!$M$3:$R$202,$AC73,인턴현황!$K$2)&amp;"")&lt;&gt;"",LEFT(IF(OR($AC73="",인턴현황!$K$2=""),"",INDEX(인턴근무계획!$M$3:$R$202,$AC73,인턴현황!$K$2)&amp;""),1)&lt;&gt;"⚠"),LEFT(IF(OR($AC73="",인턴현황!$K$2=""),"",INDEX(인턴근무계획!$M$3:$R$202,$AC73,인턴현황!$K$2)&amp;""),FIND(" ",IF(OR($AC73="",인턴현황!$K$2=""),"",INDEX(인턴근무계획!$M$3:$R$202,$AC73,인턴현황!$K$2)&amp;""))-1),$AE73))</f>
        <v/>
      </c>
      <c r="AH73" s="17">
        <f>IF($B73="","",IF(TRIM($J73&amp;"")="",0,SUMPRODUCT((파견수련계획!$Q$4:$Q$203=TRIM($J73&amp;""))*(파견수련계획!$S$4:$S$203="서울병원")*파견수련계획!$W$4:$W$203))+IF($AG73="서울병원",MAX(0,DAY(EOMONTH(요약!$B$3,0))-N($X73)),0))</f>
        <v/>
      </c>
      <c r="AI73" s="17">
        <f>IF($B73="","",IF(TRIM($J73&amp;"")="",0,SUMPRODUCT((파견수련계획!$Q$4:$Q$203=TRIM($J73&amp;""))*(파견수련계획!$S$4:$S$203="구리병원")*파견수련계획!$W$4:$W$203))+IF($AG73="구리병원",MAX(0,DAY(EOMONTH(요약!$B$3,0))-N($X73)),0))</f>
        <v/>
      </c>
      <c r="AJ73" s="10">
        <f>IF(OR($B73="",TRIM($J73&amp;"")=""),"",IFERROR(MATCH(TRIM($J73&amp;"")&amp;"|월",파견수련계획!$Z$4:$Z$203,0),""))</f>
        <v/>
      </c>
      <c r="AK73" s="10">
        <f>IF(OR($B73="",TRIM($J73&amp;"")=""),"",IFERROR(MATCH(TRIM($J73&amp;"")&amp;"|다기관",파견수련계획!$AE$4:$AE$203,0),""))</f>
        <v/>
      </c>
      <c r="AL73" s="10">
        <f>IF($AK73="","","다기관 "&amp;TEXT(INDEX(파견수련계획!$AB$4:$AB$203,$AK73),"yyyy-mm-dd")&amp;"~"&amp;IF(ISNUMBER(INDEX(파견수련계획!$AC$4:$AC$203,$AK73)),TEXT(INDEX(파견수련계획!$AC$4:$AC$203,$AK73),"yyyy-mm-dd"),""))</f>
        <v/>
      </c>
    </row>
    <row r="74">
      <c r="A74" s="10">
        <f>IF(B74="","",ROW()-1)</f>
        <v/>
      </c>
      <c r="B74" s="18" t="n"/>
      <c r="C74" s="10">
        <f>IF($AB74="","",IF(INDEX(기본자료!$C$2:$C$501,$AB74)="","",INDEX(기본자료!$C$2:$C$501,$AB74)))</f>
        <v/>
      </c>
      <c r="D74" s="10">
        <f>IF($AB74="","",IF(INDEX(기본자료!$J$2:$J$501,$AB74)="","",INDEX(기본자료!$J$2:$J$501,$AB74)))</f>
        <v/>
      </c>
      <c r="E74" s="11">
        <f>IF($AB74="","",IF(INDEX(기본자료!$K$2:$K$501,$AB74)="","",IF(NOT(ISNUMBER(INDEX(기본자료!$K$2:$K$501,$AB74))),INDEX(기본자료!$K$2:$K$501,$AB74),IF(INDEX(기본자료!$K$2:$K$501,$AB74)&lt;1000000,INDEX(기본자료!$K$2:$K$501,$AB74),IF(AND(INDEX(기본자료!$K$2:$K$501,$AB74)&gt;=10000101,INT(MOD(INDEX(기본자료!$K$2:$K$501,$AB74),10000)/100)&gt;=1,INT(MOD(INDEX(기본자료!$K$2:$K$501,$AB74),10000)/100)&lt;=12,MOD(INDEX(기본자료!$K$2:$K$501,$AB74),100)&gt;=1,MOD(INDEX(기본자료!$K$2:$K$501,$AB74),100)&lt;=31),DATE(INT(INDEX(기본자료!$K$2:$K$501,$AB74)/10000),INT(MOD(INDEX(기본자료!$K$2:$K$501,$AB74),10000)/100),MOD(INDEX(기본자료!$K$2:$K$501,$AB74),100)),INDEX(기본자료!$K$2:$K$501,$AB74)&amp;"")))))</f>
        <v/>
      </c>
      <c r="F74" s="10">
        <f>IF($AB74="","",IF(INDEX(기본자료!$D$2:$D$501,$AB74)="","",INDEX(기본자료!$D$2:$D$501,$AB74)))</f>
        <v/>
      </c>
      <c r="G74" s="10">
        <f>IF($AB74="","",IF(INDEX(기본자료!$E$2:$E$501,$AB74)="","",INDEX(기본자료!$E$2:$E$501,$AB74)))</f>
        <v/>
      </c>
      <c r="H74" s="10">
        <f>IF($AB74="","",IF(INDEX(기본자료!$F$2:$F$501,$AB74)="","",INDEX(기본자료!$F$2:$F$501,$AB74)))</f>
        <v/>
      </c>
      <c r="I74" s="11">
        <f>IF($AB74="","",IF(INDEX(기본자료!$G$2:$G$501,$AB74)="","",IF(NOT(ISNUMBER(INDEX(기본자료!$G$2:$G$501,$AB74))),INDEX(기본자료!$G$2:$G$501,$AB74),IF(INDEX(기본자료!$G$2:$G$501,$AB74)&lt;1000000,INDEX(기본자료!$G$2:$G$501,$AB74),IF(AND(INDEX(기본자료!$G$2:$G$501,$AB74)&gt;=10000101,INT(MOD(INDEX(기본자료!$G$2:$G$501,$AB74),10000)/100)&gt;=1,INT(MOD(INDEX(기본자료!$G$2:$G$501,$AB74),10000)/100)&lt;=12,MOD(INDEX(기본자료!$G$2:$G$501,$AB74),100)&gt;=1,MOD(INDEX(기본자료!$G$2:$G$501,$AB74),100)&lt;=31),DATE(INT(INDEX(기본자료!$G$2:$G$501,$AB74)/10000),INT(MOD(INDEX(기본자료!$G$2:$G$501,$AB74),10000)/100),MOD(INDEX(기본자료!$G$2:$G$501,$AB74),100)),INDEX(기본자료!$G$2:$G$501,$AB74)&amp;"")))))</f>
        <v/>
      </c>
      <c r="J74" s="10">
        <f>IF($AB74="","",IF(INDEX(기본자료!$H$2:$H$501,$AB74)="","",INDEX(기본자료!$H$2:$H$501,$AB74)))</f>
        <v/>
      </c>
      <c r="K74" s="10">
        <f>IF($AB74="","",IF(INDEX(기본자료!$I$2:$I$501,$AB74)="","",INDEX(기본자료!$I$2:$I$501,$AB74)))</f>
        <v/>
      </c>
      <c r="L74" s="10">
        <f>IF($AB74="","",IF(INDEX(기본자료!$A$2:$A$501,$AB74)="","",INDEX(기본자료!$A$2:$A$501,$AB74)))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파견수련계획!$AB$4:$AB$203,$AK74),OR(NOT(ISNUMBER(INDEX(파견수련계획!$AC$4:$AC$203,$AK74))),TODAY()&lt;=INDEX(파견수련계획!$AC$4:$AC$203,$AK74))),"다기관",IF($AF74="","",INDEX(파견수련계획!$T$4:$T$203,$AF74))),IF($AF74="","",INDEX(파견수련계획!$T$4:$T$203,$AF74))))</f>
        <v/>
      </c>
      <c r="Q74" s="10">
        <f>IF($AF74="","",INDEX(파견수련계획!$S$4:$S$203,$AF74))</f>
        <v/>
      </c>
      <c r="R74" s="10">
        <f>IF($AF74="","",INDEX(파견수련계획!$U$4:$U$203,$AF74))</f>
        <v/>
      </c>
      <c r="S74" s="11">
        <f>IF($AF74="","",IF(INDEX(파견수련계획!$H$4:$H$203,$AF74)="","",INDEX(파견수련계획!$H$4:$H$203,$AF74)))</f>
        <v/>
      </c>
      <c r="T74" s="11">
        <f>IF($AF74="","",IF(INDEX(파견수련계획!$I$4:$I$203,$AF74)="","",INDEX(파견수련계획!$I$4:$I$203,$AF74)))</f>
        <v/>
      </c>
      <c r="U74" s="10">
        <f>IF($AF74="","",INDEX(파견수련계획!$X$4:$X$203,$AF74))</f>
        <v/>
      </c>
      <c r="V74" s="17">
        <f>IF($AF74="","",INDEX(파견수련계획!$V$4:$V$203,$AF74))</f>
        <v/>
      </c>
      <c r="W74" s="17">
        <f>IF(AND($U74="파견중",$T74&lt;&gt;""),$T74-TODAY(),"")</f>
        <v/>
      </c>
      <c r="X74" s="17">
        <f>IF(OR($B74="",TRIM($J74&amp;"")=""),"",SUMPRODUCT((파견수련계획!$Q$4:$Q$203=TRIM($J74&amp;""))*파견수련계획!$W$4:$W$203))</f>
        <v/>
      </c>
      <c r="Y74" s="10">
        <f>IF($B74="","",IF($AG74="","",IF(IF(TRIM($J74&amp;"")="",0,SUMPRODUCT((파견수련계획!$Q$4:$Q$203=TRIM($J74&amp;""))*파견수련계획!$AD$4:$AD$203))&gt;0,$AE74,IF(N($X74)&lt;=0,$AG74,IF($AH74+$AI74=DAY(EOMONTH(요약!$B$3,0)),IF(AND($AH74&gt;=요약!$E$3,$AI74&lt;요약!$E$3),"서울병원",IF(AND($AI74&gt;=요약!$E$3,$AH74&lt;요약!$E$3),"구리병원","⚠15일 판정불가(서울 "&amp;$AH74&amp;"일/구리 "&amp;$AI74&amp;"일)")),IF($AJ74="",$AE74,IF(INDEX(파견수련계획!$T$4:$T$203,$AJ74)="통합수련",INDEX(파견수련계획!$S$4:$S$203,$AJ74),$AE74)))))))</f>
        <v/>
      </c>
      <c r="Z74" s="19">
        <f>IF($B74="","",IF($AB74="","기본자료에 없는 사번",IF(COUNTIF($B$2:$B$201,$B74)&gt;1,"중복 사번",IF($AE74="","소속(입사장소) 입력",IF(IF(TRIM($J74&amp;"")="",0,SUMPRODUCT((파견수련계획!$Q$4:$Q$203=TRIM($J74&amp;""))*(파견수련계획!$AA$4:$AA$203&lt;&gt;"")))&gt;0,"파견수련계획 입력오류 확인",IF(LEFT($Y74,1)="⚠","서울·구리 15일 판정 불가(양쪽 모두 이상/미만)",IF(IF($AC74="",0,N(INDEX(인턴근무계획!$T$3:$T$202,$AC74)))&gt;0,"인턴계획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IF($B74="","",IFERROR(MATCH($B74,기본자료!$B$2:$B$501,0),IFERROR(MATCH($B74&amp;"",기본자료!$B$2:$B$501,0),IFERROR(MATCH(VALUE($B74),기본자료!$B$2:$B$501,0),""))))</f>
        <v/>
      </c>
      <c r="AC74" s="10">
        <f>IF($B74="","",IFERROR(MATCH($B74,인턴근무계획!$D$3:$D$202,0),IFERROR(MATCH($B74&amp;"",인턴근무계획!$D$3:$D$202,0),IFERROR(MATCH(VALUE($B74),인턴근무계획!$D$3:$D$202,0),""))))</f>
        <v/>
      </c>
      <c r="AD74" s="10">
        <f>IF(OR($AC74="",인턴현황!$G$3=""),"",INDEX(인턴근무계획!$M$3:$R$202,$AC74,인턴현황!$G$3)&amp;"")</f>
        <v/>
      </c>
      <c r="AE74" s="10">
        <f>IF($B74="","",IF($M74&lt;&gt;"",$M74,IF($AF74&lt;&gt;"",IF(LEFT(INDEX(파견수련계획!$R$4:$R$203,$AF74),1)&lt;&gt;"⚠",INDEX(파견수련계획!$R$4:$R$203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파견수련계획!$Y$4:$Y$203,0),IFERROR(MATCH(TRIM($J74&amp;"")&amp;"|파견예정",파견수련계획!$Y$4:$Y$203,0),IFERROR(MATCH(TRIM($J74&amp;"")&amp;"|파견종료",파견수련계획!$Y$4:$Y$203,0),""))))</f>
        <v/>
      </c>
      <c r="AG74" s="10">
        <f>IF($B74="","",IF(AND(IF(OR($AC74="",인턴현황!$K$2=""),"",INDEX(인턴근무계획!$M$3:$R$202,$AC74,인턴현황!$K$2)&amp;"")&lt;&gt;"",LEFT(IF(OR($AC74="",인턴현황!$K$2=""),"",INDEX(인턴근무계획!$M$3:$R$202,$AC74,인턴현황!$K$2)&amp;""),1)&lt;&gt;"⚠"),LEFT(IF(OR($AC74="",인턴현황!$K$2=""),"",INDEX(인턴근무계획!$M$3:$R$202,$AC74,인턴현황!$K$2)&amp;""),FIND(" ",IF(OR($AC74="",인턴현황!$K$2=""),"",INDEX(인턴근무계획!$M$3:$R$202,$AC74,인턴현황!$K$2)&amp;""))-1),$AE74))</f>
        <v/>
      </c>
      <c r="AH74" s="17">
        <f>IF($B74="","",IF(TRIM($J74&amp;"")="",0,SUMPRODUCT((파견수련계획!$Q$4:$Q$203=TRIM($J74&amp;""))*(파견수련계획!$S$4:$S$203="서울병원")*파견수련계획!$W$4:$W$203))+IF($AG74="서울병원",MAX(0,DAY(EOMONTH(요약!$B$3,0))-N($X74)),0))</f>
        <v/>
      </c>
      <c r="AI74" s="17">
        <f>IF($B74="","",IF(TRIM($J74&amp;"")="",0,SUMPRODUCT((파견수련계획!$Q$4:$Q$203=TRIM($J74&amp;""))*(파견수련계획!$S$4:$S$203="구리병원")*파견수련계획!$W$4:$W$203))+IF($AG74="구리병원",MAX(0,DAY(EOMONTH(요약!$B$3,0))-N($X74)),0))</f>
        <v/>
      </c>
      <c r="AJ74" s="10">
        <f>IF(OR($B74="",TRIM($J74&amp;"")=""),"",IFERROR(MATCH(TRIM($J74&amp;"")&amp;"|월",파견수련계획!$Z$4:$Z$203,0),""))</f>
        <v/>
      </c>
      <c r="AK74" s="10">
        <f>IF(OR($B74="",TRIM($J74&amp;"")=""),"",IFERROR(MATCH(TRIM($J74&amp;"")&amp;"|다기관",파견수련계획!$AE$4:$AE$203,0),""))</f>
        <v/>
      </c>
      <c r="AL74" s="10">
        <f>IF($AK74="","","다기관 "&amp;TEXT(INDEX(파견수련계획!$AB$4:$AB$203,$AK74),"yyyy-mm-dd")&amp;"~"&amp;IF(ISNUMBER(INDEX(파견수련계획!$AC$4:$AC$203,$AK74)),TEXT(INDEX(파견수련계획!$AC$4:$AC$203,$AK74),"yyyy-mm-dd"),""))</f>
        <v/>
      </c>
    </row>
    <row r="75">
      <c r="A75" s="10">
        <f>IF(B75="","",ROW()-1)</f>
        <v/>
      </c>
      <c r="B75" s="18" t="n"/>
      <c r="C75" s="10">
        <f>IF($AB75="","",IF(INDEX(기본자료!$C$2:$C$501,$AB75)="","",INDEX(기본자료!$C$2:$C$501,$AB75)))</f>
        <v/>
      </c>
      <c r="D75" s="10">
        <f>IF($AB75="","",IF(INDEX(기본자료!$J$2:$J$501,$AB75)="","",INDEX(기본자료!$J$2:$J$501,$AB75)))</f>
        <v/>
      </c>
      <c r="E75" s="11">
        <f>IF($AB75="","",IF(INDEX(기본자료!$K$2:$K$501,$AB75)="","",IF(NOT(ISNUMBER(INDEX(기본자료!$K$2:$K$501,$AB75))),INDEX(기본자료!$K$2:$K$501,$AB75),IF(INDEX(기본자료!$K$2:$K$501,$AB75)&lt;1000000,INDEX(기본자료!$K$2:$K$501,$AB75),IF(AND(INDEX(기본자료!$K$2:$K$501,$AB75)&gt;=10000101,INT(MOD(INDEX(기본자료!$K$2:$K$501,$AB75),10000)/100)&gt;=1,INT(MOD(INDEX(기본자료!$K$2:$K$501,$AB75),10000)/100)&lt;=12,MOD(INDEX(기본자료!$K$2:$K$501,$AB75),100)&gt;=1,MOD(INDEX(기본자료!$K$2:$K$501,$AB75),100)&lt;=31),DATE(INT(INDEX(기본자료!$K$2:$K$501,$AB75)/10000),INT(MOD(INDEX(기본자료!$K$2:$K$501,$AB75),10000)/100),MOD(INDEX(기본자료!$K$2:$K$501,$AB75),100)),INDEX(기본자료!$K$2:$K$501,$AB75)&amp;"")))))</f>
        <v/>
      </c>
      <c r="F75" s="10">
        <f>IF($AB75="","",IF(INDEX(기본자료!$D$2:$D$501,$AB75)="","",INDEX(기본자료!$D$2:$D$501,$AB75)))</f>
        <v/>
      </c>
      <c r="G75" s="10">
        <f>IF($AB75="","",IF(INDEX(기본자료!$E$2:$E$501,$AB75)="","",INDEX(기본자료!$E$2:$E$501,$AB75)))</f>
        <v/>
      </c>
      <c r="H75" s="10">
        <f>IF($AB75="","",IF(INDEX(기본자료!$F$2:$F$501,$AB75)="","",INDEX(기본자료!$F$2:$F$501,$AB75)))</f>
        <v/>
      </c>
      <c r="I75" s="11">
        <f>IF($AB75="","",IF(INDEX(기본자료!$G$2:$G$501,$AB75)="","",IF(NOT(ISNUMBER(INDEX(기본자료!$G$2:$G$501,$AB75))),INDEX(기본자료!$G$2:$G$501,$AB75),IF(INDEX(기본자료!$G$2:$G$501,$AB75)&lt;1000000,INDEX(기본자료!$G$2:$G$501,$AB75),IF(AND(INDEX(기본자료!$G$2:$G$501,$AB75)&gt;=10000101,INT(MOD(INDEX(기본자료!$G$2:$G$501,$AB75),10000)/100)&gt;=1,INT(MOD(INDEX(기본자료!$G$2:$G$501,$AB75),10000)/100)&lt;=12,MOD(INDEX(기본자료!$G$2:$G$501,$AB75),100)&gt;=1,MOD(INDEX(기본자료!$G$2:$G$501,$AB75),100)&lt;=31),DATE(INT(INDEX(기본자료!$G$2:$G$501,$AB75)/10000),INT(MOD(INDEX(기본자료!$G$2:$G$501,$AB75),10000)/100),MOD(INDEX(기본자료!$G$2:$G$501,$AB75),100)),INDEX(기본자료!$G$2:$G$501,$AB75)&amp;"")))))</f>
        <v/>
      </c>
      <c r="J75" s="10">
        <f>IF($AB75="","",IF(INDEX(기본자료!$H$2:$H$501,$AB75)="","",INDEX(기본자료!$H$2:$H$501,$AB75)))</f>
        <v/>
      </c>
      <c r="K75" s="10">
        <f>IF($AB75="","",IF(INDEX(기본자료!$I$2:$I$501,$AB75)="","",INDEX(기본자료!$I$2:$I$501,$AB75)))</f>
        <v/>
      </c>
      <c r="L75" s="10">
        <f>IF($AB75="","",IF(INDEX(기본자료!$A$2:$A$501,$AB75)="","",INDEX(기본자료!$A$2:$A$501,$AB75)))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파견수련계획!$AB$4:$AB$203,$AK75),OR(NOT(ISNUMBER(INDEX(파견수련계획!$AC$4:$AC$203,$AK75))),TODAY()&lt;=INDEX(파견수련계획!$AC$4:$AC$203,$AK75))),"다기관",IF($AF75="","",INDEX(파견수련계획!$T$4:$T$203,$AF75))),IF($AF75="","",INDEX(파견수련계획!$T$4:$T$203,$AF75))))</f>
        <v/>
      </c>
      <c r="Q75" s="10">
        <f>IF($AF75="","",INDEX(파견수련계획!$S$4:$S$203,$AF75))</f>
        <v/>
      </c>
      <c r="R75" s="10">
        <f>IF($AF75="","",INDEX(파견수련계획!$U$4:$U$203,$AF75))</f>
        <v/>
      </c>
      <c r="S75" s="11">
        <f>IF($AF75="","",IF(INDEX(파견수련계획!$H$4:$H$203,$AF75)="","",INDEX(파견수련계획!$H$4:$H$203,$AF75)))</f>
        <v/>
      </c>
      <c r="T75" s="11">
        <f>IF($AF75="","",IF(INDEX(파견수련계획!$I$4:$I$203,$AF75)="","",INDEX(파견수련계획!$I$4:$I$203,$AF75)))</f>
        <v/>
      </c>
      <c r="U75" s="10">
        <f>IF($AF75="","",INDEX(파견수련계획!$X$4:$X$203,$AF75))</f>
        <v/>
      </c>
      <c r="V75" s="17">
        <f>IF($AF75="","",INDEX(파견수련계획!$V$4:$V$203,$AF75))</f>
        <v/>
      </c>
      <c r="W75" s="17">
        <f>IF(AND($U75="파견중",$T75&lt;&gt;""),$T75-TODAY(),"")</f>
        <v/>
      </c>
      <c r="X75" s="17">
        <f>IF(OR($B75="",TRIM($J75&amp;"")=""),"",SUMPRODUCT((파견수련계획!$Q$4:$Q$203=TRIM($J75&amp;""))*파견수련계획!$W$4:$W$203))</f>
        <v/>
      </c>
      <c r="Y75" s="10">
        <f>IF($B75="","",IF($AG75="","",IF(IF(TRIM($J75&amp;"")="",0,SUMPRODUCT((파견수련계획!$Q$4:$Q$203=TRIM($J75&amp;""))*파견수련계획!$AD$4:$AD$203))&gt;0,$AE75,IF(N($X75)&lt;=0,$AG75,IF($AH75+$AI75=DAY(EOMONTH(요약!$B$3,0)),IF(AND($AH75&gt;=요약!$E$3,$AI75&lt;요약!$E$3),"서울병원",IF(AND($AI75&gt;=요약!$E$3,$AH75&lt;요약!$E$3),"구리병원","⚠15일 판정불가(서울 "&amp;$AH75&amp;"일/구리 "&amp;$AI75&amp;"일)")),IF($AJ75="",$AE75,IF(INDEX(파견수련계획!$T$4:$T$203,$AJ75)="통합수련",INDEX(파견수련계획!$S$4:$S$203,$AJ75),$AE75)))))))</f>
        <v/>
      </c>
      <c r="Z75" s="19">
        <f>IF($B75="","",IF($AB75="","기본자료에 없는 사번",IF(COUNTIF($B$2:$B$201,$B75)&gt;1,"중복 사번",IF($AE75="","소속(입사장소) 입력",IF(IF(TRIM($J75&amp;"")="",0,SUMPRODUCT((파견수련계획!$Q$4:$Q$203=TRIM($J75&amp;""))*(파견수련계획!$AA$4:$AA$203&lt;&gt;"")))&gt;0,"파견수련계획 입력오류 확인",IF(LEFT($Y75,1)="⚠","서울·구리 15일 판정 불가(양쪽 모두 이상/미만)",IF(IF($AC75="",0,N(INDEX(인턴근무계획!$T$3:$T$202,$AC75)))&gt;0,"인턴계획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IF($B75="","",IFERROR(MATCH($B75,기본자료!$B$2:$B$501,0),IFERROR(MATCH($B75&amp;"",기본자료!$B$2:$B$501,0),IFERROR(MATCH(VALUE($B75),기본자료!$B$2:$B$501,0),""))))</f>
        <v/>
      </c>
      <c r="AC75" s="10">
        <f>IF($B75="","",IFERROR(MATCH($B75,인턴근무계획!$D$3:$D$202,0),IFERROR(MATCH($B75&amp;"",인턴근무계획!$D$3:$D$202,0),IFERROR(MATCH(VALUE($B75),인턴근무계획!$D$3:$D$202,0),""))))</f>
        <v/>
      </c>
      <c r="AD75" s="10">
        <f>IF(OR($AC75="",인턴현황!$G$3=""),"",INDEX(인턴근무계획!$M$3:$R$202,$AC75,인턴현황!$G$3)&amp;"")</f>
        <v/>
      </c>
      <c r="AE75" s="10">
        <f>IF($B75="","",IF($M75&lt;&gt;"",$M75,IF($AF75&lt;&gt;"",IF(LEFT(INDEX(파견수련계획!$R$4:$R$203,$AF75),1)&lt;&gt;"⚠",INDEX(파견수련계획!$R$4:$R$203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파견수련계획!$Y$4:$Y$203,0),IFERROR(MATCH(TRIM($J75&amp;"")&amp;"|파견예정",파견수련계획!$Y$4:$Y$203,0),IFERROR(MATCH(TRIM($J75&amp;"")&amp;"|파견종료",파견수련계획!$Y$4:$Y$203,0),""))))</f>
        <v/>
      </c>
      <c r="AG75" s="10">
        <f>IF($B75="","",IF(AND(IF(OR($AC75="",인턴현황!$K$2=""),"",INDEX(인턴근무계획!$M$3:$R$202,$AC75,인턴현황!$K$2)&amp;"")&lt;&gt;"",LEFT(IF(OR($AC75="",인턴현황!$K$2=""),"",INDEX(인턴근무계획!$M$3:$R$202,$AC75,인턴현황!$K$2)&amp;""),1)&lt;&gt;"⚠"),LEFT(IF(OR($AC75="",인턴현황!$K$2=""),"",INDEX(인턴근무계획!$M$3:$R$202,$AC75,인턴현황!$K$2)&amp;""),FIND(" ",IF(OR($AC75="",인턴현황!$K$2=""),"",INDEX(인턴근무계획!$M$3:$R$202,$AC75,인턴현황!$K$2)&amp;""))-1),$AE75))</f>
        <v/>
      </c>
      <c r="AH75" s="17">
        <f>IF($B75="","",IF(TRIM($J75&amp;"")="",0,SUMPRODUCT((파견수련계획!$Q$4:$Q$203=TRIM($J75&amp;""))*(파견수련계획!$S$4:$S$203="서울병원")*파견수련계획!$W$4:$W$203))+IF($AG75="서울병원",MAX(0,DAY(EOMONTH(요약!$B$3,0))-N($X75)),0))</f>
        <v/>
      </c>
      <c r="AI75" s="17">
        <f>IF($B75="","",IF(TRIM($J75&amp;"")="",0,SUMPRODUCT((파견수련계획!$Q$4:$Q$203=TRIM($J75&amp;""))*(파견수련계획!$S$4:$S$203="구리병원")*파견수련계획!$W$4:$W$203))+IF($AG75="구리병원",MAX(0,DAY(EOMONTH(요약!$B$3,0))-N($X75)),0))</f>
        <v/>
      </c>
      <c r="AJ75" s="10">
        <f>IF(OR($B75="",TRIM($J75&amp;"")=""),"",IFERROR(MATCH(TRIM($J75&amp;"")&amp;"|월",파견수련계획!$Z$4:$Z$203,0),""))</f>
        <v/>
      </c>
      <c r="AK75" s="10">
        <f>IF(OR($B75="",TRIM($J75&amp;"")=""),"",IFERROR(MATCH(TRIM($J75&amp;"")&amp;"|다기관",파견수련계획!$AE$4:$AE$203,0),""))</f>
        <v/>
      </c>
      <c r="AL75" s="10">
        <f>IF($AK75="","","다기관 "&amp;TEXT(INDEX(파견수련계획!$AB$4:$AB$203,$AK75),"yyyy-mm-dd")&amp;"~"&amp;IF(ISNUMBER(INDEX(파견수련계획!$AC$4:$AC$203,$AK75)),TEXT(INDEX(파견수련계획!$AC$4:$AC$203,$AK75),"yyyy-mm-dd"),""))</f>
        <v/>
      </c>
    </row>
    <row r="76">
      <c r="A76" s="10">
        <f>IF(B76="","",ROW()-1)</f>
        <v/>
      </c>
      <c r="B76" s="18" t="n"/>
      <c r="C76" s="10">
        <f>IF($AB76="","",IF(INDEX(기본자료!$C$2:$C$501,$AB76)="","",INDEX(기본자료!$C$2:$C$501,$AB76)))</f>
        <v/>
      </c>
      <c r="D76" s="10">
        <f>IF($AB76="","",IF(INDEX(기본자료!$J$2:$J$501,$AB76)="","",INDEX(기본자료!$J$2:$J$501,$AB76)))</f>
        <v/>
      </c>
      <c r="E76" s="11">
        <f>IF($AB76="","",IF(INDEX(기본자료!$K$2:$K$501,$AB76)="","",IF(NOT(ISNUMBER(INDEX(기본자료!$K$2:$K$501,$AB76))),INDEX(기본자료!$K$2:$K$501,$AB76),IF(INDEX(기본자료!$K$2:$K$501,$AB76)&lt;1000000,INDEX(기본자료!$K$2:$K$501,$AB76),IF(AND(INDEX(기본자료!$K$2:$K$501,$AB76)&gt;=10000101,INT(MOD(INDEX(기본자료!$K$2:$K$501,$AB76),10000)/100)&gt;=1,INT(MOD(INDEX(기본자료!$K$2:$K$501,$AB76),10000)/100)&lt;=12,MOD(INDEX(기본자료!$K$2:$K$501,$AB76),100)&gt;=1,MOD(INDEX(기본자료!$K$2:$K$501,$AB76),100)&lt;=31),DATE(INT(INDEX(기본자료!$K$2:$K$501,$AB76)/10000),INT(MOD(INDEX(기본자료!$K$2:$K$501,$AB76),10000)/100),MOD(INDEX(기본자료!$K$2:$K$501,$AB76),100)),INDEX(기본자료!$K$2:$K$501,$AB76)&amp;"")))))</f>
        <v/>
      </c>
      <c r="F76" s="10">
        <f>IF($AB76="","",IF(INDEX(기본자료!$D$2:$D$501,$AB76)="","",INDEX(기본자료!$D$2:$D$501,$AB76)))</f>
        <v/>
      </c>
      <c r="G76" s="10">
        <f>IF($AB76="","",IF(INDEX(기본자료!$E$2:$E$501,$AB76)="","",INDEX(기본자료!$E$2:$E$501,$AB76)))</f>
        <v/>
      </c>
      <c r="H76" s="10">
        <f>IF($AB76="","",IF(INDEX(기본자료!$F$2:$F$501,$AB76)="","",INDEX(기본자료!$F$2:$F$501,$AB76)))</f>
        <v/>
      </c>
      <c r="I76" s="11">
        <f>IF($AB76="","",IF(INDEX(기본자료!$G$2:$G$501,$AB76)="","",IF(NOT(ISNUMBER(INDEX(기본자료!$G$2:$G$501,$AB76))),INDEX(기본자료!$G$2:$G$501,$AB76),IF(INDEX(기본자료!$G$2:$G$501,$AB76)&lt;1000000,INDEX(기본자료!$G$2:$G$501,$AB76),IF(AND(INDEX(기본자료!$G$2:$G$501,$AB76)&gt;=10000101,INT(MOD(INDEX(기본자료!$G$2:$G$501,$AB76),10000)/100)&gt;=1,INT(MOD(INDEX(기본자료!$G$2:$G$501,$AB76),10000)/100)&lt;=12,MOD(INDEX(기본자료!$G$2:$G$501,$AB76),100)&gt;=1,MOD(INDEX(기본자료!$G$2:$G$501,$AB76),100)&lt;=31),DATE(INT(INDEX(기본자료!$G$2:$G$501,$AB76)/10000),INT(MOD(INDEX(기본자료!$G$2:$G$501,$AB76),10000)/100),MOD(INDEX(기본자료!$G$2:$G$501,$AB76),100)),INDEX(기본자료!$G$2:$G$501,$AB76)&amp;"")))))</f>
        <v/>
      </c>
      <c r="J76" s="10">
        <f>IF($AB76="","",IF(INDEX(기본자료!$H$2:$H$501,$AB76)="","",INDEX(기본자료!$H$2:$H$501,$AB76)))</f>
        <v/>
      </c>
      <c r="K76" s="10">
        <f>IF($AB76="","",IF(INDEX(기본자료!$I$2:$I$501,$AB76)="","",INDEX(기본자료!$I$2:$I$501,$AB76)))</f>
        <v/>
      </c>
      <c r="L76" s="10">
        <f>IF($AB76="","",IF(INDEX(기본자료!$A$2:$A$501,$AB76)="","",INDEX(기본자료!$A$2:$A$501,$AB76)))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파견수련계획!$AB$4:$AB$203,$AK76),OR(NOT(ISNUMBER(INDEX(파견수련계획!$AC$4:$AC$203,$AK76))),TODAY()&lt;=INDEX(파견수련계획!$AC$4:$AC$203,$AK76))),"다기관",IF($AF76="","",INDEX(파견수련계획!$T$4:$T$203,$AF76))),IF($AF76="","",INDEX(파견수련계획!$T$4:$T$203,$AF76))))</f>
        <v/>
      </c>
      <c r="Q76" s="10">
        <f>IF($AF76="","",INDEX(파견수련계획!$S$4:$S$203,$AF76))</f>
        <v/>
      </c>
      <c r="R76" s="10">
        <f>IF($AF76="","",INDEX(파견수련계획!$U$4:$U$203,$AF76))</f>
        <v/>
      </c>
      <c r="S76" s="11">
        <f>IF($AF76="","",IF(INDEX(파견수련계획!$H$4:$H$203,$AF76)="","",INDEX(파견수련계획!$H$4:$H$203,$AF76)))</f>
        <v/>
      </c>
      <c r="T76" s="11">
        <f>IF($AF76="","",IF(INDEX(파견수련계획!$I$4:$I$203,$AF76)="","",INDEX(파견수련계획!$I$4:$I$203,$AF76)))</f>
        <v/>
      </c>
      <c r="U76" s="10">
        <f>IF($AF76="","",INDEX(파견수련계획!$X$4:$X$203,$AF76))</f>
        <v/>
      </c>
      <c r="V76" s="17">
        <f>IF($AF76="","",INDEX(파견수련계획!$V$4:$V$203,$AF76))</f>
        <v/>
      </c>
      <c r="W76" s="17">
        <f>IF(AND($U76="파견중",$T76&lt;&gt;""),$T76-TODAY(),"")</f>
        <v/>
      </c>
      <c r="X76" s="17">
        <f>IF(OR($B76="",TRIM($J76&amp;"")=""),"",SUMPRODUCT((파견수련계획!$Q$4:$Q$203=TRIM($J76&amp;""))*파견수련계획!$W$4:$W$203))</f>
        <v/>
      </c>
      <c r="Y76" s="10">
        <f>IF($B76="","",IF($AG76="","",IF(IF(TRIM($J76&amp;"")="",0,SUMPRODUCT((파견수련계획!$Q$4:$Q$203=TRIM($J76&amp;""))*파견수련계획!$AD$4:$AD$203))&gt;0,$AE76,IF(N($X76)&lt;=0,$AG76,IF($AH76+$AI76=DAY(EOMONTH(요약!$B$3,0)),IF(AND($AH76&gt;=요약!$E$3,$AI76&lt;요약!$E$3),"서울병원",IF(AND($AI76&gt;=요약!$E$3,$AH76&lt;요약!$E$3),"구리병원","⚠15일 판정불가(서울 "&amp;$AH76&amp;"일/구리 "&amp;$AI76&amp;"일)")),IF($AJ76="",$AE76,IF(INDEX(파견수련계획!$T$4:$T$203,$AJ76)="통합수련",INDEX(파견수련계획!$S$4:$S$203,$AJ76),$AE76)))))))</f>
        <v/>
      </c>
      <c r="Z76" s="19">
        <f>IF($B76="","",IF($AB76="","기본자료에 없는 사번",IF(COUNTIF($B$2:$B$201,$B76)&gt;1,"중복 사번",IF($AE76="","소속(입사장소) 입력",IF(IF(TRIM($J76&amp;"")="",0,SUMPRODUCT((파견수련계획!$Q$4:$Q$203=TRIM($J76&amp;""))*(파견수련계획!$AA$4:$AA$203&lt;&gt;"")))&gt;0,"파견수련계획 입력오류 확인",IF(LEFT($Y76,1)="⚠","서울·구리 15일 판정 불가(양쪽 모두 이상/미만)",IF(IF($AC76="",0,N(INDEX(인턴근무계획!$T$3:$T$202,$AC76)))&gt;0,"인턴계획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IF($B76="","",IFERROR(MATCH($B76,기본자료!$B$2:$B$501,0),IFERROR(MATCH($B76&amp;"",기본자료!$B$2:$B$501,0),IFERROR(MATCH(VALUE($B76),기본자료!$B$2:$B$501,0),""))))</f>
        <v/>
      </c>
      <c r="AC76" s="10">
        <f>IF($B76="","",IFERROR(MATCH($B76,인턴근무계획!$D$3:$D$202,0),IFERROR(MATCH($B76&amp;"",인턴근무계획!$D$3:$D$202,0),IFERROR(MATCH(VALUE($B76),인턴근무계획!$D$3:$D$202,0),""))))</f>
        <v/>
      </c>
      <c r="AD76" s="10">
        <f>IF(OR($AC76="",인턴현황!$G$3=""),"",INDEX(인턴근무계획!$M$3:$R$202,$AC76,인턴현황!$G$3)&amp;"")</f>
        <v/>
      </c>
      <c r="AE76" s="10">
        <f>IF($B76="","",IF($M76&lt;&gt;"",$M76,IF($AF76&lt;&gt;"",IF(LEFT(INDEX(파견수련계획!$R$4:$R$203,$AF76),1)&lt;&gt;"⚠",INDEX(파견수련계획!$R$4:$R$203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파견수련계획!$Y$4:$Y$203,0),IFERROR(MATCH(TRIM($J76&amp;"")&amp;"|파견예정",파견수련계획!$Y$4:$Y$203,0),IFERROR(MATCH(TRIM($J76&amp;"")&amp;"|파견종료",파견수련계획!$Y$4:$Y$203,0),""))))</f>
        <v/>
      </c>
      <c r="AG76" s="10">
        <f>IF($B76="","",IF(AND(IF(OR($AC76="",인턴현황!$K$2=""),"",INDEX(인턴근무계획!$M$3:$R$202,$AC76,인턴현황!$K$2)&amp;"")&lt;&gt;"",LEFT(IF(OR($AC76="",인턴현황!$K$2=""),"",INDEX(인턴근무계획!$M$3:$R$202,$AC76,인턴현황!$K$2)&amp;""),1)&lt;&gt;"⚠"),LEFT(IF(OR($AC76="",인턴현황!$K$2=""),"",INDEX(인턴근무계획!$M$3:$R$202,$AC76,인턴현황!$K$2)&amp;""),FIND(" ",IF(OR($AC76="",인턴현황!$K$2=""),"",INDEX(인턴근무계획!$M$3:$R$202,$AC76,인턴현황!$K$2)&amp;""))-1),$AE76))</f>
        <v/>
      </c>
      <c r="AH76" s="17">
        <f>IF($B76="","",IF(TRIM($J76&amp;"")="",0,SUMPRODUCT((파견수련계획!$Q$4:$Q$203=TRIM($J76&amp;""))*(파견수련계획!$S$4:$S$203="서울병원")*파견수련계획!$W$4:$W$203))+IF($AG76="서울병원",MAX(0,DAY(EOMONTH(요약!$B$3,0))-N($X76)),0))</f>
        <v/>
      </c>
      <c r="AI76" s="17">
        <f>IF($B76="","",IF(TRIM($J76&amp;"")="",0,SUMPRODUCT((파견수련계획!$Q$4:$Q$203=TRIM($J76&amp;""))*(파견수련계획!$S$4:$S$203="구리병원")*파견수련계획!$W$4:$W$203))+IF($AG76="구리병원",MAX(0,DAY(EOMONTH(요약!$B$3,0))-N($X76)),0))</f>
        <v/>
      </c>
      <c r="AJ76" s="10">
        <f>IF(OR($B76="",TRIM($J76&amp;"")=""),"",IFERROR(MATCH(TRIM($J76&amp;"")&amp;"|월",파견수련계획!$Z$4:$Z$203,0),""))</f>
        <v/>
      </c>
      <c r="AK76" s="10">
        <f>IF(OR($B76="",TRIM($J76&amp;"")=""),"",IFERROR(MATCH(TRIM($J76&amp;"")&amp;"|다기관",파견수련계획!$AE$4:$AE$203,0),""))</f>
        <v/>
      </c>
      <c r="AL76" s="10">
        <f>IF($AK76="","","다기관 "&amp;TEXT(INDEX(파견수련계획!$AB$4:$AB$203,$AK76),"yyyy-mm-dd")&amp;"~"&amp;IF(ISNUMBER(INDEX(파견수련계획!$AC$4:$AC$203,$AK76)),TEXT(INDEX(파견수련계획!$AC$4:$AC$203,$AK76),"yyyy-mm-dd"),""))</f>
        <v/>
      </c>
    </row>
    <row r="77">
      <c r="A77" s="10">
        <f>IF(B77="","",ROW()-1)</f>
        <v/>
      </c>
      <c r="B77" s="18" t="n"/>
      <c r="C77" s="10">
        <f>IF($AB77="","",IF(INDEX(기본자료!$C$2:$C$501,$AB77)="","",INDEX(기본자료!$C$2:$C$501,$AB77)))</f>
        <v/>
      </c>
      <c r="D77" s="10">
        <f>IF($AB77="","",IF(INDEX(기본자료!$J$2:$J$501,$AB77)="","",INDEX(기본자료!$J$2:$J$501,$AB77)))</f>
        <v/>
      </c>
      <c r="E77" s="11">
        <f>IF($AB77="","",IF(INDEX(기본자료!$K$2:$K$501,$AB77)="","",IF(NOT(ISNUMBER(INDEX(기본자료!$K$2:$K$501,$AB77))),INDEX(기본자료!$K$2:$K$501,$AB77),IF(INDEX(기본자료!$K$2:$K$501,$AB77)&lt;1000000,INDEX(기본자료!$K$2:$K$501,$AB77),IF(AND(INDEX(기본자료!$K$2:$K$501,$AB77)&gt;=10000101,INT(MOD(INDEX(기본자료!$K$2:$K$501,$AB77),10000)/100)&gt;=1,INT(MOD(INDEX(기본자료!$K$2:$K$501,$AB77),10000)/100)&lt;=12,MOD(INDEX(기본자료!$K$2:$K$501,$AB77),100)&gt;=1,MOD(INDEX(기본자료!$K$2:$K$501,$AB77),100)&lt;=31),DATE(INT(INDEX(기본자료!$K$2:$K$501,$AB77)/10000),INT(MOD(INDEX(기본자료!$K$2:$K$501,$AB77),10000)/100),MOD(INDEX(기본자료!$K$2:$K$501,$AB77),100)),INDEX(기본자료!$K$2:$K$501,$AB77)&amp;"")))))</f>
        <v/>
      </c>
      <c r="F77" s="10">
        <f>IF($AB77="","",IF(INDEX(기본자료!$D$2:$D$501,$AB77)="","",INDEX(기본자료!$D$2:$D$501,$AB77)))</f>
        <v/>
      </c>
      <c r="G77" s="10">
        <f>IF($AB77="","",IF(INDEX(기본자료!$E$2:$E$501,$AB77)="","",INDEX(기본자료!$E$2:$E$501,$AB77)))</f>
        <v/>
      </c>
      <c r="H77" s="10">
        <f>IF($AB77="","",IF(INDEX(기본자료!$F$2:$F$501,$AB77)="","",INDEX(기본자료!$F$2:$F$501,$AB77)))</f>
        <v/>
      </c>
      <c r="I77" s="11">
        <f>IF($AB77="","",IF(INDEX(기본자료!$G$2:$G$501,$AB77)="","",IF(NOT(ISNUMBER(INDEX(기본자료!$G$2:$G$501,$AB77))),INDEX(기본자료!$G$2:$G$501,$AB77),IF(INDEX(기본자료!$G$2:$G$501,$AB77)&lt;1000000,INDEX(기본자료!$G$2:$G$501,$AB77),IF(AND(INDEX(기본자료!$G$2:$G$501,$AB77)&gt;=10000101,INT(MOD(INDEX(기본자료!$G$2:$G$501,$AB77),10000)/100)&gt;=1,INT(MOD(INDEX(기본자료!$G$2:$G$501,$AB77),10000)/100)&lt;=12,MOD(INDEX(기본자료!$G$2:$G$501,$AB77),100)&gt;=1,MOD(INDEX(기본자료!$G$2:$G$501,$AB77),100)&lt;=31),DATE(INT(INDEX(기본자료!$G$2:$G$501,$AB77)/10000),INT(MOD(INDEX(기본자료!$G$2:$G$501,$AB77),10000)/100),MOD(INDEX(기본자료!$G$2:$G$501,$AB77),100)),INDEX(기본자료!$G$2:$G$501,$AB77)&amp;"")))))</f>
        <v/>
      </c>
      <c r="J77" s="10">
        <f>IF($AB77="","",IF(INDEX(기본자료!$H$2:$H$501,$AB77)="","",INDEX(기본자료!$H$2:$H$501,$AB77)))</f>
        <v/>
      </c>
      <c r="K77" s="10">
        <f>IF($AB77="","",IF(INDEX(기본자료!$I$2:$I$501,$AB77)="","",INDEX(기본자료!$I$2:$I$501,$AB77)))</f>
        <v/>
      </c>
      <c r="L77" s="10">
        <f>IF($AB77="","",IF(INDEX(기본자료!$A$2:$A$501,$AB77)="","",INDEX(기본자료!$A$2:$A$501,$AB77)))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파견수련계획!$AB$4:$AB$203,$AK77),OR(NOT(ISNUMBER(INDEX(파견수련계획!$AC$4:$AC$203,$AK77))),TODAY()&lt;=INDEX(파견수련계획!$AC$4:$AC$203,$AK77))),"다기관",IF($AF77="","",INDEX(파견수련계획!$T$4:$T$203,$AF77))),IF($AF77="","",INDEX(파견수련계획!$T$4:$T$203,$AF77))))</f>
        <v/>
      </c>
      <c r="Q77" s="10">
        <f>IF($AF77="","",INDEX(파견수련계획!$S$4:$S$203,$AF77))</f>
        <v/>
      </c>
      <c r="R77" s="10">
        <f>IF($AF77="","",INDEX(파견수련계획!$U$4:$U$203,$AF77))</f>
        <v/>
      </c>
      <c r="S77" s="11">
        <f>IF($AF77="","",IF(INDEX(파견수련계획!$H$4:$H$203,$AF77)="","",INDEX(파견수련계획!$H$4:$H$203,$AF77)))</f>
        <v/>
      </c>
      <c r="T77" s="11">
        <f>IF($AF77="","",IF(INDEX(파견수련계획!$I$4:$I$203,$AF77)="","",INDEX(파견수련계획!$I$4:$I$203,$AF77)))</f>
        <v/>
      </c>
      <c r="U77" s="10">
        <f>IF($AF77="","",INDEX(파견수련계획!$X$4:$X$203,$AF77))</f>
        <v/>
      </c>
      <c r="V77" s="17">
        <f>IF($AF77="","",INDEX(파견수련계획!$V$4:$V$203,$AF77))</f>
        <v/>
      </c>
      <c r="W77" s="17">
        <f>IF(AND($U77="파견중",$T77&lt;&gt;""),$T77-TODAY(),"")</f>
        <v/>
      </c>
      <c r="X77" s="17">
        <f>IF(OR($B77="",TRIM($J77&amp;"")=""),"",SUMPRODUCT((파견수련계획!$Q$4:$Q$203=TRIM($J77&amp;""))*파견수련계획!$W$4:$W$203))</f>
        <v/>
      </c>
      <c r="Y77" s="10">
        <f>IF($B77="","",IF($AG77="","",IF(IF(TRIM($J77&amp;"")="",0,SUMPRODUCT((파견수련계획!$Q$4:$Q$203=TRIM($J77&amp;""))*파견수련계획!$AD$4:$AD$203))&gt;0,$AE77,IF(N($X77)&lt;=0,$AG77,IF($AH77+$AI77=DAY(EOMONTH(요약!$B$3,0)),IF(AND($AH77&gt;=요약!$E$3,$AI77&lt;요약!$E$3),"서울병원",IF(AND($AI77&gt;=요약!$E$3,$AH77&lt;요약!$E$3),"구리병원","⚠15일 판정불가(서울 "&amp;$AH77&amp;"일/구리 "&amp;$AI77&amp;"일)")),IF($AJ77="",$AE77,IF(INDEX(파견수련계획!$T$4:$T$203,$AJ77)="통합수련",INDEX(파견수련계획!$S$4:$S$203,$AJ77),$AE77)))))))</f>
        <v/>
      </c>
      <c r="Z77" s="19">
        <f>IF($B77="","",IF($AB77="","기본자료에 없는 사번",IF(COUNTIF($B$2:$B$201,$B77)&gt;1,"중복 사번",IF($AE77="","소속(입사장소) 입력",IF(IF(TRIM($J77&amp;"")="",0,SUMPRODUCT((파견수련계획!$Q$4:$Q$203=TRIM($J77&amp;""))*(파견수련계획!$AA$4:$AA$203&lt;&gt;"")))&gt;0,"파견수련계획 입력오류 확인",IF(LEFT($Y77,1)="⚠","서울·구리 15일 판정 불가(양쪽 모두 이상/미만)",IF(IF($AC77="",0,N(INDEX(인턴근무계획!$T$3:$T$202,$AC77)))&gt;0,"인턴계획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IF($B77="","",IFERROR(MATCH($B77,기본자료!$B$2:$B$501,0),IFERROR(MATCH($B77&amp;"",기본자료!$B$2:$B$501,0),IFERROR(MATCH(VALUE($B77),기본자료!$B$2:$B$501,0),""))))</f>
        <v/>
      </c>
      <c r="AC77" s="10">
        <f>IF($B77="","",IFERROR(MATCH($B77,인턴근무계획!$D$3:$D$202,0),IFERROR(MATCH($B77&amp;"",인턴근무계획!$D$3:$D$202,0),IFERROR(MATCH(VALUE($B77),인턴근무계획!$D$3:$D$202,0),""))))</f>
        <v/>
      </c>
      <c r="AD77" s="10">
        <f>IF(OR($AC77="",인턴현황!$G$3=""),"",INDEX(인턴근무계획!$M$3:$R$202,$AC77,인턴현황!$G$3)&amp;"")</f>
        <v/>
      </c>
      <c r="AE77" s="10">
        <f>IF($B77="","",IF($M77&lt;&gt;"",$M77,IF($AF77&lt;&gt;"",IF(LEFT(INDEX(파견수련계획!$R$4:$R$203,$AF77),1)&lt;&gt;"⚠",INDEX(파견수련계획!$R$4:$R$203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파견수련계획!$Y$4:$Y$203,0),IFERROR(MATCH(TRIM($J77&amp;"")&amp;"|파견예정",파견수련계획!$Y$4:$Y$203,0),IFERROR(MATCH(TRIM($J77&amp;"")&amp;"|파견종료",파견수련계획!$Y$4:$Y$203,0),""))))</f>
        <v/>
      </c>
      <c r="AG77" s="10">
        <f>IF($B77="","",IF(AND(IF(OR($AC77="",인턴현황!$K$2=""),"",INDEX(인턴근무계획!$M$3:$R$202,$AC77,인턴현황!$K$2)&amp;"")&lt;&gt;"",LEFT(IF(OR($AC77="",인턴현황!$K$2=""),"",INDEX(인턴근무계획!$M$3:$R$202,$AC77,인턴현황!$K$2)&amp;""),1)&lt;&gt;"⚠"),LEFT(IF(OR($AC77="",인턴현황!$K$2=""),"",INDEX(인턴근무계획!$M$3:$R$202,$AC77,인턴현황!$K$2)&amp;""),FIND(" ",IF(OR($AC77="",인턴현황!$K$2=""),"",INDEX(인턴근무계획!$M$3:$R$202,$AC77,인턴현황!$K$2)&amp;""))-1),$AE77))</f>
        <v/>
      </c>
      <c r="AH77" s="17">
        <f>IF($B77="","",IF(TRIM($J77&amp;"")="",0,SUMPRODUCT((파견수련계획!$Q$4:$Q$203=TRIM($J77&amp;""))*(파견수련계획!$S$4:$S$203="서울병원")*파견수련계획!$W$4:$W$203))+IF($AG77="서울병원",MAX(0,DAY(EOMONTH(요약!$B$3,0))-N($X77)),0))</f>
        <v/>
      </c>
      <c r="AI77" s="17">
        <f>IF($B77="","",IF(TRIM($J77&amp;"")="",0,SUMPRODUCT((파견수련계획!$Q$4:$Q$203=TRIM($J77&amp;""))*(파견수련계획!$S$4:$S$203="구리병원")*파견수련계획!$W$4:$W$203))+IF($AG77="구리병원",MAX(0,DAY(EOMONTH(요약!$B$3,0))-N($X77)),0))</f>
        <v/>
      </c>
      <c r="AJ77" s="10">
        <f>IF(OR($B77="",TRIM($J77&amp;"")=""),"",IFERROR(MATCH(TRIM($J77&amp;"")&amp;"|월",파견수련계획!$Z$4:$Z$203,0),""))</f>
        <v/>
      </c>
      <c r="AK77" s="10">
        <f>IF(OR($B77="",TRIM($J77&amp;"")=""),"",IFERROR(MATCH(TRIM($J77&amp;"")&amp;"|다기관",파견수련계획!$AE$4:$AE$203,0),""))</f>
        <v/>
      </c>
      <c r="AL77" s="10">
        <f>IF($AK77="","","다기관 "&amp;TEXT(INDEX(파견수련계획!$AB$4:$AB$203,$AK77),"yyyy-mm-dd")&amp;"~"&amp;IF(ISNUMBER(INDEX(파견수련계획!$AC$4:$AC$203,$AK77)),TEXT(INDEX(파견수련계획!$AC$4:$AC$203,$AK77),"yyyy-mm-dd"),""))</f>
        <v/>
      </c>
    </row>
    <row r="78">
      <c r="A78" s="10">
        <f>IF(B78="","",ROW()-1)</f>
        <v/>
      </c>
      <c r="B78" s="18" t="n"/>
      <c r="C78" s="10">
        <f>IF($AB78="","",IF(INDEX(기본자료!$C$2:$C$501,$AB78)="","",INDEX(기본자료!$C$2:$C$501,$AB78)))</f>
        <v/>
      </c>
      <c r="D78" s="10">
        <f>IF($AB78="","",IF(INDEX(기본자료!$J$2:$J$501,$AB78)="","",INDEX(기본자료!$J$2:$J$501,$AB78)))</f>
        <v/>
      </c>
      <c r="E78" s="11">
        <f>IF($AB78="","",IF(INDEX(기본자료!$K$2:$K$501,$AB78)="","",IF(NOT(ISNUMBER(INDEX(기본자료!$K$2:$K$501,$AB78))),INDEX(기본자료!$K$2:$K$501,$AB78),IF(INDEX(기본자료!$K$2:$K$501,$AB78)&lt;1000000,INDEX(기본자료!$K$2:$K$501,$AB78),IF(AND(INDEX(기본자료!$K$2:$K$501,$AB78)&gt;=10000101,INT(MOD(INDEX(기본자료!$K$2:$K$501,$AB78),10000)/100)&gt;=1,INT(MOD(INDEX(기본자료!$K$2:$K$501,$AB78),10000)/100)&lt;=12,MOD(INDEX(기본자료!$K$2:$K$501,$AB78),100)&gt;=1,MOD(INDEX(기본자료!$K$2:$K$501,$AB78),100)&lt;=31),DATE(INT(INDEX(기본자료!$K$2:$K$501,$AB78)/10000),INT(MOD(INDEX(기본자료!$K$2:$K$501,$AB78),10000)/100),MOD(INDEX(기본자료!$K$2:$K$501,$AB78),100)),INDEX(기본자료!$K$2:$K$501,$AB78)&amp;"")))))</f>
        <v/>
      </c>
      <c r="F78" s="10">
        <f>IF($AB78="","",IF(INDEX(기본자료!$D$2:$D$501,$AB78)="","",INDEX(기본자료!$D$2:$D$501,$AB78)))</f>
        <v/>
      </c>
      <c r="G78" s="10">
        <f>IF($AB78="","",IF(INDEX(기본자료!$E$2:$E$501,$AB78)="","",INDEX(기본자료!$E$2:$E$501,$AB78)))</f>
        <v/>
      </c>
      <c r="H78" s="10">
        <f>IF($AB78="","",IF(INDEX(기본자료!$F$2:$F$501,$AB78)="","",INDEX(기본자료!$F$2:$F$501,$AB78)))</f>
        <v/>
      </c>
      <c r="I78" s="11">
        <f>IF($AB78="","",IF(INDEX(기본자료!$G$2:$G$501,$AB78)="","",IF(NOT(ISNUMBER(INDEX(기본자료!$G$2:$G$501,$AB78))),INDEX(기본자료!$G$2:$G$501,$AB78),IF(INDEX(기본자료!$G$2:$G$501,$AB78)&lt;1000000,INDEX(기본자료!$G$2:$G$501,$AB78),IF(AND(INDEX(기본자료!$G$2:$G$501,$AB78)&gt;=10000101,INT(MOD(INDEX(기본자료!$G$2:$G$501,$AB78),10000)/100)&gt;=1,INT(MOD(INDEX(기본자료!$G$2:$G$501,$AB78),10000)/100)&lt;=12,MOD(INDEX(기본자료!$G$2:$G$501,$AB78),100)&gt;=1,MOD(INDEX(기본자료!$G$2:$G$501,$AB78),100)&lt;=31),DATE(INT(INDEX(기본자료!$G$2:$G$501,$AB78)/10000),INT(MOD(INDEX(기본자료!$G$2:$G$501,$AB78),10000)/100),MOD(INDEX(기본자료!$G$2:$G$501,$AB78),100)),INDEX(기본자료!$G$2:$G$501,$AB78)&amp;"")))))</f>
        <v/>
      </c>
      <c r="J78" s="10">
        <f>IF($AB78="","",IF(INDEX(기본자료!$H$2:$H$501,$AB78)="","",INDEX(기본자료!$H$2:$H$501,$AB78)))</f>
        <v/>
      </c>
      <c r="K78" s="10">
        <f>IF($AB78="","",IF(INDEX(기본자료!$I$2:$I$501,$AB78)="","",INDEX(기본자료!$I$2:$I$501,$AB78)))</f>
        <v/>
      </c>
      <c r="L78" s="10">
        <f>IF($AB78="","",IF(INDEX(기본자료!$A$2:$A$501,$AB78)="","",INDEX(기본자료!$A$2:$A$501,$AB78)))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파견수련계획!$AB$4:$AB$203,$AK78),OR(NOT(ISNUMBER(INDEX(파견수련계획!$AC$4:$AC$203,$AK78))),TODAY()&lt;=INDEX(파견수련계획!$AC$4:$AC$203,$AK78))),"다기관",IF($AF78="","",INDEX(파견수련계획!$T$4:$T$203,$AF78))),IF($AF78="","",INDEX(파견수련계획!$T$4:$T$203,$AF78))))</f>
        <v/>
      </c>
      <c r="Q78" s="10">
        <f>IF($AF78="","",INDEX(파견수련계획!$S$4:$S$203,$AF78))</f>
        <v/>
      </c>
      <c r="R78" s="10">
        <f>IF($AF78="","",INDEX(파견수련계획!$U$4:$U$203,$AF78))</f>
        <v/>
      </c>
      <c r="S78" s="11">
        <f>IF($AF78="","",IF(INDEX(파견수련계획!$H$4:$H$203,$AF78)="","",INDEX(파견수련계획!$H$4:$H$203,$AF78)))</f>
        <v/>
      </c>
      <c r="T78" s="11">
        <f>IF($AF78="","",IF(INDEX(파견수련계획!$I$4:$I$203,$AF78)="","",INDEX(파견수련계획!$I$4:$I$203,$AF78)))</f>
        <v/>
      </c>
      <c r="U78" s="10">
        <f>IF($AF78="","",INDEX(파견수련계획!$X$4:$X$203,$AF78))</f>
        <v/>
      </c>
      <c r="V78" s="17">
        <f>IF($AF78="","",INDEX(파견수련계획!$V$4:$V$203,$AF78))</f>
        <v/>
      </c>
      <c r="W78" s="17">
        <f>IF(AND($U78="파견중",$T78&lt;&gt;""),$T78-TODAY(),"")</f>
        <v/>
      </c>
      <c r="X78" s="17">
        <f>IF(OR($B78="",TRIM($J78&amp;"")=""),"",SUMPRODUCT((파견수련계획!$Q$4:$Q$203=TRIM($J78&amp;""))*파견수련계획!$W$4:$W$203))</f>
        <v/>
      </c>
      <c r="Y78" s="10">
        <f>IF($B78="","",IF($AG78="","",IF(IF(TRIM($J78&amp;"")="",0,SUMPRODUCT((파견수련계획!$Q$4:$Q$203=TRIM($J78&amp;""))*파견수련계획!$AD$4:$AD$203))&gt;0,$AE78,IF(N($X78)&lt;=0,$AG78,IF($AH78+$AI78=DAY(EOMONTH(요약!$B$3,0)),IF(AND($AH78&gt;=요약!$E$3,$AI78&lt;요약!$E$3),"서울병원",IF(AND($AI78&gt;=요약!$E$3,$AH78&lt;요약!$E$3),"구리병원","⚠15일 판정불가(서울 "&amp;$AH78&amp;"일/구리 "&amp;$AI78&amp;"일)")),IF($AJ78="",$AE78,IF(INDEX(파견수련계획!$T$4:$T$203,$AJ78)="통합수련",INDEX(파견수련계획!$S$4:$S$203,$AJ78),$AE78)))))))</f>
        <v/>
      </c>
      <c r="Z78" s="19">
        <f>IF($B78="","",IF($AB78="","기본자료에 없는 사번",IF(COUNTIF($B$2:$B$201,$B78)&gt;1,"중복 사번",IF($AE78="","소속(입사장소) 입력",IF(IF(TRIM($J78&amp;"")="",0,SUMPRODUCT((파견수련계획!$Q$4:$Q$203=TRIM($J78&amp;""))*(파견수련계획!$AA$4:$AA$203&lt;&gt;"")))&gt;0,"파견수련계획 입력오류 확인",IF(LEFT($Y78,1)="⚠","서울·구리 15일 판정 불가(양쪽 모두 이상/미만)",IF(IF($AC78="",0,N(INDEX(인턴근무계획!$T$3:$T$202,$AC78)))&gt;0,"인턴계획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IF($B78="","",IFERROR(MATCH($B78,기본자료!$B$2:$B$501,0),IFERROR(MATCH($B78&amp;"",기본자료!$B$2:$B$501,0),IFERROR(MATCH(VALUE($B78),기본자료!$B$2:$B$501,0),""))))</f>
        <v/>
      </c>
      <c r="AC78" s="10">
        <f>IF($B78="","",IFERROR(MATCH($B78,인턴근무계획!$D$3:$D$202,0),IFERROR(MATCH($B78&amp;"",인턴근무계획!$D$3:$D$202,0),IFERROR(MATCH(VALUE($B78),인턴근무계획!$D$3:$D$202,0),""))))</f>
        <v/>
      </c>
      <c r="AD78" s="10">
        <f>IF(OR($AC78="",인턴현황!$G$3=""),"",INDEX(인턴근무계획!$M$3:$R$202,$AC78,인턴현황!$G$3)&amp;"")</f>
        <v/>
      </c>
      <c r="AE78" s="10">
        <f>IF($B78="","",IF($M78&lt;&gt;"",$M78,IF($AF78&lt;&gt;"",IF(LEFT(INDEX(파견수련계획!$R$4:$R$203,$AF78),1)&lt;&gt;"⚠",INDEX(파견수련계획!$R$4:$R$203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파견수련계획!$Y$4:$Y$203,0),IFERROR(MATCH(TRIM($J78&amp;"")&amp;"|파견예정",파견수련계획!$Y$4:$Y$203,0),IFERROR(MATCH(TRIM($J78&amp;"")&amp;"|파견종료",파견수련계획!$Y$4:$Y$203,0),""))))</f>
        <v/>
      </c>
      <c r="AG78" s="10">
        <f>IF($B78="","",IF(AND(IF(OR($AC78="",인턴현황!$K$2=""),"",INDEX(인턴근무계획!$M$3:$R$202,$AC78,인턴현황!$K$2)&amp;"")&lt;&gt;"",LEFT(IF(OR($AC78="",인턴현황!$K$2=""),"",INDEX(인턴근무계획!$M$3:$R$202,$AC78,인턴현황!$K$2)&amp;""),1)&lt;&gt;"⚠"),LEFT(IF(OR($AC78="",인턴현황!$K$2=""),"",INDEX(인턴근무계획!$M$3:$R$202,$AC78,인턴현황!$K$2)&amp;""),FIND(" ",IF(OR($AC78="",인턴현황!$K$2=""),"",INDEX(인턴근무계획!$M$3:$R$202,$AC78,인턴현황!$K$2)&amp;""))-1),$AE78))</f>
        <v/>
      </c>
      <c r="AH78" s="17">
        <f>IF($B78="","",IF(TRIM($J78&amp;"")="",0,SUMPRODUCT((파견수련계획!$Q$4:$Q$203=TRIM($J78&amp;""))*(파견수련계획!$S$4:$S$203="서울병원")*파견수련계획!$W$4:$W$203))+IF($AG78="서울병원",MAX(0,DAY(EOMONTH(요약!$B$3,0))-N($X78)),0))</f>
        <v/>
      </c>
      <c r="AI78" s="17">
        <f>IF($B78="","",IF(TRIM($J78&amp;"")="",0,SUMPRODUCT((파견수련계획!$Q$4:$Q$203=TRIM($J78&amp;""))*(파견수련계획!$S$4:$S$203="구리병원")*파견수련계획!$W$4:$W$203))+IF($AG78="구리병원",MAX(0,DAY(EOMONTH(요약!$B$3,0))-N($X78)),0))</f>
        <v/>
      </c>
      <c r="AJ78" s="10">
        <f>IF(OR($B78="",TRIM($J78&amp;"")=""),"",IFERROR(MATCH(TRIM($J78&amp;"")&amp;"|월",파견수련계획!$Z$4:$Z$203,0),""))</f>
        <v/>
      </c>
      <c r="AK78" s="10">
        <f>IF(OR($B78="",TRIM($J78&amp;"")=""),"",IFERROR(MATCH(TRIM($J78&amp;"")&amp;"|다기관",파견수련계획!$AE$4:$AE$203,0),""))</f>
        <v/>
      </c>
      <c r="AL78" s="10">
        <f>IF($AK78="","","다기관 "&amp;TEXT(INDEX(파견수련계획!$AB$4:$AB$203,$AK78),"yyyy-mm-dd")&amp;"~"&amp;IF(ISNUMBER(INDEX(파견수련계획!$AC$4:$AC$203,$AK78)),TEXT(INDEX(파견수련계획!$AC$4:$AC$203,$AK78),"yyyy-mm-dd"),""))</f>
        <v/>
      </c>
    </row>
    <row r="79">
      <c r="A79" s="10">
        <f>IF(B79="","",ROW()-1)</f>
        <v/>
      </c>
      <c r="B79" s="18" t="n"/>
      <c r="C79" s="10">
        <f>IF($AB79="","",IF(INDEX(기본자료!$C$2:$C$501,$AB79)="","",INDEX(기본자료!$C$2:$C$501,$AB79)))</f>
        <v/>
      </c>
      <c r="D79" s="10">
        <f>IF($AB79="","",IF(INDEX(기본자료!$J$2:$J$501,$AB79)="","",INDEX(기본자료!$J$2:$J$501,$AB79)))</f>
        <v/>
      </c>
      <c r="E79" s="11">
        <f>IF($AB79="","",IF(INDEX(기본자료!$K$2:$K$501,$AB79)="","",IF(NOT(ISNUMBER(INDEX(기본자료!$K$2:$K$501,$AB79))),INDEX(기본자료!$K$2:$K$501,$AB79),IF(INDEX(기본자료!$K$2:$K$501,$AB79)&lt;1000000,INDEX(기본자료!$K$2:$K$501,$AB79),IF(AND(INDEX(기본자료!$K$2:$K$501,$AB79)&gt;=10000101,INT(MOD(INDEX(기본자료!$K$2:$K$501,$AB79),10000)/100)&gt;=1,INT(MOD(INDEX(기본자료!$K$2:$K$501,$AB79),10000)/100)&lt;=12,MOD(INDEX(기본자료!$K$2:$K$501,$AB79),100)&gt;=1,MOD(INDEX(기본자료!$K$2:$K$501,$AB79),100)&lt;=31),DATE(INT(INDEX(기본자료!$K$2:$K$501,$AB79)/10000),INT(MOD(INDEX(기본자료!$K$2:$K$501,$AB79),10000)/100),MOD(INDEX(기본자료!$K$2:$K$501,$AB79),100)),INDEX(기본자료!$K$2:$K$501,$AB79)&amp;"")))))</f>
        <v/>
      </c>
      <c r="F79" s="10">
        <f>IF($AB79="","",IF(INDEX(기본자료!$D$2:$D$501,$AB79)="","",INDEX(기본자료!$D$2:$D$501,$AB79)))</f>
        <v/>
      </c>
      <c r="G79" s="10">
        <f>IF($AB79="","",IF(INDEX(기본자료!$E$2:$E$501,$AB79)="","",INDEX(기본자료!$E$2:$E$501,$AB79)))</f>
        <v/>
      </c>
      <c r="H79" s="10">
        <f>IF($AB79="","",IF(INDEX(기본자료!$F$2:$F$501,$AB79)="","",INDEX(기본자료!$F$2:$F$501,$AB79)))</f>
        <v/>
      </c>
      <c r="I79" s="11">
        <f>IF($AB79="","",IF(INDEX(기본자료!$G$2:$G$501,$AB79)="","",IF(NOT(ISNUMBER(INDEX(기본자료!$G$2:$G$501,$AB79))),INDEX(기본자료!$G$2:$G$501,$AB79),IF(INDEX(기본자료!$G$2:$G$501,$AB79)&lt;1000000,INDEX(기본자료!$G$2:$G$501,$AB79),IF(AND(INDEX(기본자료!$G$2:$G$501,$AB79)&gt;=10000101,INT(MOD(INDEX(기본자료!$G$2:$G$501,$AB79),10000)/100)&gt;=1,INT(MOD(INDEX(기본자료!$G$2:$G$501,$AB79),10000)/100)&lt;=12,MOD(INDEX(기본자료!$G$2:$G$501,$AB79),100)&gt;=1,MOD(INDEX(기본자료!$G$2:$G$501,$AB79),100)&lt;=31),DATE(INT(INDEX(기본자료!$G$2:$G$501,$AB79)/10000),INT(MOD(INDEX(기본자료!$G$2:$G$501,$AB79),10000)/100),MOD(INDEX(기본자료!$G$2:$G$501,$AB79),100)),INDEX(기본자료!$G$2:$G$501,$AB79)&amp;"")))))</f>
        <v/>
      </c>
      <c r="J79" s="10">
        <f>IF($AB79="","",IF(INDEX(기본자료!$H$2:$H$501,$AB79)="","",INDEX(기본자료!$H$2:$H$501,$AB79)))</f>
        <v/>
      </c>
      <c r="K79" s="10">
        <f>IF($AB79="","",IF(INDEX(기본자료!$I$2:$I$501,$AB79)="","",INDEX(기본자료!$I$2:$I$501,$AB79)))</f>
        <v/>
      </c>
      <c r="L79" s="10">
        <f>IF($AB79="","",IF(INDEX(기본자료!$A$2:$A$501,$AB79)="","",INDEX(기본자료!$A$2:$A$501,$AB79)))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파견수련계획!$AB$4:$AB$203,$AK79),OR(NOT(ISNUMBER(INDEX(파견수련계획!$AC$4:$AC$203,$AK79))),TODAY()&lt;=INDEX(파견수련계획!$AC$4:$AC$203,$AK79))),"다기관",IF($AF79="","",INDEX(파견수련계획!$T$4:$T$203,$AF79))),IF($AF79="","",INDEX(파견수련계획!$T$4:$T$203,$AF79))))</f>
        <v/>
      </c>
      <c r="Q79" s="10">
        <f>IF($AF79="","",INDEX(파견수련계획!$S$4:$S$203,$AF79))</f>
        <v/>
      </c>
      <c r="R79" s="10">
        <f>IF($AF79="","",INDEX(파견수련계획!$U$4:$U$203,$AF79))</f>
        <v/>
      </c>
      <c r="S79" s="11">
        <f>IF($AF79="","",IF(INDEX(파견수련계획!$H$4:$H$203,$AF79)="","",INDEX(파견수련계획!$H$4:$H$203,$AF79)))</f>
        <v/>
      </c>
      <c r="T79" s="11">
        <f>IF($AF79="","",IF(INDEX(파견수련계획!$I$4:$I$203,$AF79)="","",INDEX(파견수련계획!$I$4:$I$203,$AF79)))</f>
        <v/>
      </c>
      <c r="U79" s="10">
        <f>IF($AF79="","",INDEX(파견수련계획!$X$4:$X$203,$AF79))</f>
        <v/>
      </c>
      <c r="V79" s="17">
        <f>IF($AF79="","",INDEX(파견수련계획!$V$4:$V$203,$AF79))</f>
        <v/>
      </c>
      <c r="W79" s="17">
        <f>IF(AND($U79="파견중",$T79&lt;&gt;""),$T79-TODAY(),"")</f>
        <v/>
      </c>
      <c r="X79" s="17">
        <f>IF(OR($B79="",TRIM($J79&amp;"")=""),"",SUMPRODUCT((파견수련계획!$Q$4:$Q$203=TRIM($J79&amp;""))*파견수련계획!$W$4:$W$203))</f>
        <v/>
      </c>
      <c r="Y79" s="10">
        <f>IF($B79="","",IF($AG79="","",IF(IF(TRIM($J79&amp;"")="",0,SUMPRODUCT((파견수련계획!$Q$4:$Q$203=TRIM($J79&amp;""))*파견수련계획!$AD$4:$AD$203))&gt;0,$AE79,IF(N($X79)&lt;=0,$AG79,IF($AH79+$AI79=DAY(EOMONTH(요약!$B$3,0)),IF(AND($AH79&gt;=요약!$E$3,$AI79&lt;요약!$E$3),"서울병원",IF(AND($AI79&gt;=요약!$E$3,$AH79&lt;요약!$E$3),"구리병원","⚠15일 판정불가(서울 "&amp;$AH79&amp;"일/구리 "&amp;$AI79&amp;"일)")),IF($AJ79="",$AE79,IF(INDEX(파견수련계획!$T$4:$T$203,$AJ79)="통합수련",INDEX(파견수련계획!$S$4:$S$203,$AJ79),$AE79)))))))</f>
        <v/>
      </c>
      <c r="Z79" s="19">
        <f>IF($B79="","",IF($AB79="","기본자료에 없는 사번",IF(COUNTIF($B$2:$B$201,$B79)&gt;1,"중복 사번",IF($AE79="","소속(입사장소) 입력",IF(IF(TRIM($J79&amp;"")="",0,SUMPRODUCT((파견수련계획!$Q$4:$Q$203=TRIM($J79&amp;""))*(파견수련계획!$AA$4:$AA$203&lt;&gt;"")))&gt;0,"파견수련계획 입력오류 확인",IF(LEFT($Y79,1)="⚠","서울·구리 15일 판정 불가(양쪽 모두 이상/미만)",IF(IF($AC79="",0,N(INDEX(인턴근무계획!$T$3:$T$202,$AC79)))&gt;0,"인턴계획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IF($B79="","",IFERROR(MATCH($B79,기본자료!$B$2:$B$501,0),IFERROR(MATCH($B79&amp;"",기본자료!$B$2:$B$501,0),IFERROR(MATCH(VALUE($B79),기본자료!$B$2:$B$501,0),""))))</f>
        <v/>
      </c>
      <c r="AC79" s="10">
        <f>IF($B79="","",IFERROR(MATCH($B79,인턴근무계획!$D$3:$D$202,0),IFERROR(MATCH($B79&amp;"",인턴근무계획!$D$3:$D$202,0),IFERROR(MATCH(VALUE($B79),인턴근무계획!$D$3:$D$202,0),""))))</f>
        <v/>
      </c>
      <c r="AD79" s="10">
        <f>IF(OR($AC79="",인턴현황!$G$3=""),"",INDEX(인턴근무계획!$M$3:$R$202,$AC79,인턴현황!$G$3)&amp;"")</f>
        <v/>
      </c>
      <c r="AE79" s="10">
        <f>IF($B79="","",IF($M79&lt;&gt;"",$M79,IF($AF79&lt;&gt;"",IF(LEFT(INDEX(파견수련계획!$R$4:$R$203,$AF79),1)&lt;&gt;"⚠",INDEX(파견수련계획!$R$4:$R$203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파견수련계획!$Y$4:$Y$203,0),IFERROR(MATCH(TRIM($J79&amp;"")&amp;"|파견예정",파견수련계획!$Y$4:$Y$203,0),IFERROR(MATCH(TRIM($J79&amp;"")&amp;"|파견종료",파견수련계획!$Y$4:$Y$203,0),""))))</f>
        <v/>
      </c>
      <c r="AG79" s="10">
        <f>IF($B79="","",IF(AND(IF(OR($AC79="",인턴현황!$K$2=""),"",INDEX(인턴근무계획!$M$3:$R$202,$AC79,인턴현황!$K$2)&amp;"")&lt;&gt;"",LEFT(IF(OR($AC79="",인턴현황!$K$2=""),"",INDEX(인턴근무계획!$M$3:$R$202,$AC79,인턴현황!$K$2)&amp;""),1)&lt;&gt;"⚠"),LEFT(IF(OR($AC79="",인턴현황!$K$2=""),"",INDEX(인턴근무계획!$M$3:$R$202,$AC79,인턴현황!$K$2)&amp;""),FIND(" ",IF(OR($AC79="",인턴현황!$K$2=""),"",INDEX(인턴근무계획!$M$3:$R$202,$AC79,인턴현황!$K$2)&amp;""))-1),$AE79))</f>
        <v/>
      </c>
      <c r="AH79" s="17">
        <f>IF($B79="","",IF(TRIM($J79&amp;"")="",0,SUMPRODUCT((파견수련계획!$Q$4:$Q$203=TRIM($J79&amp;""))*(파견수련계획!$S$4:$S$203="서울병원")*파견수련계획!$W$4:$W$203))+IF($AG79="서울병원",MAX(0,DAY(EOMONTH(요약!$B$3,0))-N($X79)),0))</f>
        <v/>
      </c>
      <c r="AI79" s="17">
        <f>IF($B79="","",IF(TRIM($J79&amp;"")="",0,SUMPRODUCT((파견수련계획!$Q$4:$Q$203=TRIM($J79&amp;""))*(파견수련계획!$S$4:$S$203="구리병원")*파견수련계획!$W$4:$W$203))+IF($AG79="구리병원",MAX(0,DAY(EOMONTH(요약!$B$3,0))-N($X79)),0))</f>
        <v/>
      </c>
      <c r="AJ79" s="10">
        <f>IF(OR($B79="",TRIM($J79&amp;"")=""),"",IFERROR(MATCH(TRIM($J79&amp;"")&amp;"|월",파견수련계획!$Z$4:$Z$203,0),""))</f>
        <v/>
      </c>
      <c r="AK79" s="10">
        <f>IF(OR($B79="",TRIM($J79&amp;"")=""),"",IFERROR(MATCH(TRIM($J79&amp;"")&amp;"|다기관",파견수련계획!$AE$4:$AE$203,0),""))</f>
        <v/>
      </c>
      <c r="AL79" s="10">
        <f>IF($AK79="","","다기관 "&amp;TEXT(INDEX(파견수련계획!$AB$4:$AB$203,$AK79),"yyyy-mm-dd")&amp;"~"&amp;IF(ISNUMBER(INDEX(파견수련계획!$AC$4:$AC$203,$AK79)),TEXT(INDEX(파견수련계획!$AC$4:$AC$203,$AK79),"yyyy-mm-dd"),""))</f>
        <v/>
      </c>
    </row>
    <row r="80">
      <c r="A80" s="10">
        <f>IF(B80="","",ROW()-1)</f>
        <v/>
      </c>
      <c r="B80" s="18" t="n"/>
      <c r="C80" s="10">
        <f>IF($AB80="","",IF(INDEX(기본자료!$C$2:$C$501,$AB80)="","",INDEX(기본자료!$C$2:$C$501,$AB80)))</f>
        <v/>
      </c>
      <c r="D80" s="10">
        <f>IF($AB80="","",IF(INDEX(기본자료!$J$2:$J$501,$AB80)="","",INDEX(기본자료!$J$2:$J$501,$AB80)))</f>
        <v/>
      </c>
      <c r="E80" s="11">
        <f>IF($AB80="","",IF(INDEX(기본자료!$K$2:$K$501,$AB80)="","",IF(NOT(ISNUMBER(INDEX(기본자료!$K$2:$K$501,$AB80))),INDEX(기본자료!$K$2:$K$501,$AB80),IF(INDEX(기본자료!$K$2:$K$501,$AB80)&lt;1000000,INDEX(기본자료!$K$2:$K$501,$AB80),IF(AND(INDEX(기본자료!$K$2:$K$501,$AB80)&gt;=10000101,INT(MOD(INDEX(기본자료!$K$2:$K$501,$AB80),10000)/100)&gt;=1,INT(MOD(INDEX(기본자료!$K$2:$K$501,$AB80),10000)/100)&lt;=12,MOD(INDEX(기본자료!$K$2:$K$501,$AB80),100)&gt;=1,MOD(INDEX(기본자료!$K$2:$K$501,$AB80),100)&lt;=31),DATE(INT(INDEX(기본자료!$K$2:$K$501,$AB80)/10000),INT(MOD(INDEX(기본자료!$K$2:$K$501,$AB80),10000)/100),MOD(INDEX(기본자료!$K$2:$K$501,$AB80),100)),INDEX(기본자료!$K$2:$K$501,$AB80)&amp;"")))))</f>
        <v/>
      </c>
      <c r="F80" s="10">
        <f>IF($AB80="","",IF(INDEX(기본자료!$D$2:$D$501,$AB80)="","",INDEX(기본자료!$D$2:$D$501,$AB80)))</f>
        <v/>
      </c>
      <c r="G80" s="10">
        <f>IF($AB80="","",IF(INDEX(기본자료!$E$2:$E$501,$AB80)="","",INDEX(기본자료!$E$2:$E$501,$AB80)))</f>
        <v/>
      </c>
      <c r="H80" s="10">
        <f>IF($AB80="","",IF(INDEX(기본자료!$F$2:$F$501,$AB80)="","",INDEX(기본자료!$F$2:$F$501,$AB80)))</f>
        <v/>
      </c>
      <c r="I80" s="11">
        <f>IF($AB80="","",IF(INDEX(기본자료!$G$2:$G$501,$AB80)="","",IF(NOT(ISNUMBER(INDEX(기본자료!$G$2:$G$501,$AB80))),INDEX(기본자료!$G$2:$G$501,$AB80),IF(INDEX(기본자료!$G$2:$G$501,$AB80)&lt;1000000,INDEX(기본자료!$G$2:$G$501,$AB80),IF(AND(INDEX(기본자료!$G$2:$G$501,$AB80)&gt;=10000101,INT(MOD(INDEX(기본자료!$G$2:$G$501,$AB80),10000)/100)&gt;=1,INT(MOD(INDEX(기본자료!$G$2:$G$501,$AB80),10000)/100)&lt;=12,MOD(INDEX(기본자료!$G$2:$G$501,$AB80),100)&gt;=1,MOD(INDEX(기본자료!$G$2:$G$501,$AB80),100)&lt;=31),DATE(INT(INDEX(기본자료!$G$2:$G$501,$AB80)/10000),INT(MOD(INDEX(기본자료!$G$2:$G$501,$AB80),10000)/100),MOD(INDEX(기본자료!$G$2:$G$501,$AB80),100)),INDEX(기본자료!$G$2:$G$501,$AB80)&amp;"")))))</f>
        <v/>
      </c>
      <c r="J80" s="10">
        <f>IF($AB80="","",IF(INDEX(기본자료!$H$2:$H$501,$AB80)="","",INDEX(기본자료!$H$2:$H$501,$AB80)))</f>
        <v/>
      </c>
      <c r="K80" s="10">
        <f>IF($AB80="","",IF(INDEX(기본자료!$I$2:$I$501,$AB80)="","",INDEX(기본자료!$I$2:$I$501,$AB80)))</f>
        <v/>
      </c>
      <c r="L80" s="10">
        <f>IF($AB80="","",IF(INDEX(기본자료!$A$2:$A$501,$AB80)="","",INDEX(기본자료!$A$2:$A$501,$AB80)))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파견수련계획!$AB$4:$AB$203,$AK80),OR(NOT(ISNUMBER(INDEX(파견수련계획!$AC$4:$AC$203,$AK80))),TODAY()&lt;=INDEX(파견수련계획!$AC$4:$AC$203,$AK80))),"다기관",IF($AF80="","",INDEX(파견수련계획!$T$4:$T$203,$AF80))),IF($AF80="","",INDEX(파견수련계획!$T$4:$T$203,$AF80))))</f>
        <v/>
      </c>
      <c r="Q80" s="10">
        <f>IF($AF80="","",INDEX(파견수련계획!$S$4:$S$203,$AF80))</f>
        <v/>
      </c>
      <c r="R80" s="10">
        <f>IF($AF80="","",INDEX(파견수련계획!$U$4:$U$203,$AF80))</f>
        <v/>
      </c>
      <c r="S80" s="11">
        <f>IF($AF80="","",IF(INDEX(파견수련계획!$H$4:$H$203,$AF80)="","",INDEX(파견수련계획!$H$4:$H$203,$AF80)))</f>
        <v/>
      </c>
      <c r="T80" s="11">
        <f>IF($AF80="","",IF(INDEX(파견수련계획!$I$4:$I$203,$AF80)="","",INDEX(파견수련계획!$I$4:$I$203,$AF80)))</f>
        <v/>
      </c>
      <c r="U80" s="10">
        <f>IF($AF80="","",INDEX(파견수련계획!$X$4:$X$203,$AF80))</f>
        <v/>
      </c>
      <c r="V80" s="17">
        <f>IF($AF80="","",INDEX(파견수련계획!$V$4:$V$203,$AF80))</f>
        <v/>
      </c>
      <c r="W80" s="17">
        <f>IF(AND($U80="파견중",$T80&lt;&gt;""),$T80-TODAY(),"")</f>
        <v/>
      </c>
      <c r="X80" s="17">
        <f>IF(OR($B80="",TRIM($J80&amp;"")=""),"",SUMPRODUCT((파견수련계획!$Q$4:$Q$203=TRIM($J80&amp;""))*파견수련계획!$W$4:$W$203))</f>
        <v/>
      </c>
      <c r="Y80" s="10">
        <f>IF($B80="","",IF($AG80="","",IF(IF(TRIM($J80&amp;"")="",0,SUMPRODUCT((파견수련계획!$Q$4:$Q$203=TRIM($J80&amp;""))*파견수련계획!$AD$4:$AD$203))&gt;0,$AE80,IF(N($X80)&lt;=0,$AG80,IF($AH80+$AI80=DAY(EOMONTH(요약!$B$3,0)),IF(AND($AH80&gt;=요약!$E$3,$AI80&lt;요약!$E$3),"서울병원",IF(AND($AI80&gt;=요약!$E$3,$AH80&lt;요약!$E$3),"구리병원","⚠15일 판정불가(서울 "&amp;$AH80&amp;"일/구리 "&amp;$AI80&amp;"일)")),IF($AJ80="",$AE80,IF(INDEX(파견수련계획!$T$4:$T$203,$AJ80)="통합수련",INDEX(파견수련계획!$S$4:$S$203,$AJ80),$AE80)))))))</f>
        <v/>
      </c>
      <c r="Z80" s="19">
        <f>IF($B80="","",IF($AB80="","기본자료에 없는 사번",IF(COUNTIF($B$2:$B$201,$B80)&gt;1,"중복 사번",IF($AE80="","소속(입사장소) 입력",IF(IF(TRIM($J80&amp;"")="",0,SUMPRODUCT((파견수련계획!$Q$4:$Q$203=TRIM($J80&amp;""))*(파견수련계획!$AA$4:$AA$203&lt;&gt;"")))&gt;0,"파견수련계획 입력오류 확인",IF(LEFT($Y80,1)="⚠","서울·구리 15일 판정 불가(양쪽 모두 이상/미만)",IF(IF($AC80="",0,N(INDEX(인턴근무계획!$T$3:$T$202,$AC80)))&gt;0,"인턴계획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IF($B80="","",IFERROR(MATCH($B80,기본자료!$B$2:$B$501,0),IFERROR(MATCH($B80&amp;"",기본자료!$B$2:$B$501,0),IFERROR(MATCH(VALUE($B80),기본자료!$B$2:$B$501,0),""))))</f>
        <v/>
      </c>
      <c r="AC80" s="10">
        <f>IF($B80="","",IFERROR(MATCH($B80,인턴근무계획!$D$3:$D$202,0),IFERROR(MATCH($B80&amp;"",인턴근무계획!$D$3:$D$202,0),IFERROR(MATCH(VALUE($B80),인턴근무계획!$D$3:$D$202,0),""))))</f>
        <v/>
      </c>
      <c r="AD80" s="10">
        <f>IF(OR($AC80="",인턴현황!$G$3=""),"",INDEX(인턴근무계획!$M$3:$R$202,$AC80,인턴현황!$G$3)&amp;"")</f>
        <v/>
      </c>
      <c r="AE80" s="10">
        <f>IF($B80="","",IF($M80&lt;&gt;"",$M80,IF($AF80&lt;&gt;"",IF(LEFT(INDEX(파견수련계획!$R$4:$R$203,$AF80),1)&lt;&gt;"⚠",INDEX(파견수련계획!$R$4:$R$203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파견수련계획!$Y$4:$Y$203,0),IFERROR(MATCH(TRIM($J80&amp;"")&amp;"|파견예정",파견수련계획!$Y$4:$Y$203,0),IFERROR(MATCH(TRIM($J80&amp;"")&amp;"|파견종료",파견수련계획!$Y$4:$Y$203,0),""))))</f>
        <v/>
      </c>
      <c r="AG80" s="10">
        <f>IF($B80="","",IF(AND(IF(OR($AC80="",인턴현황!$K$2=""),"",INDEX(인턴근무계획!$M$3:$R$202,$AC80,인턴현황!$K$2)&amp;"")&lt;&gt;"",LEFT(IF(OR($AC80="",인턴현황!$K$2=""),"",INDEX(인턴근무계획!$M$3:$R$202,$AC80,인턴현황!$K$2)&amp;""),1)&lt;&gt;"⚠"),LEFT(IF(OR($AC80="",인턴현황!$K$2=""),"",INDEX(인턴근무계획!$M$3:$R$202,$AC80,인턴현황!$K$2)&amp;""),FIND(" ",IF(OR($AC80="",인턴현황!$K$2=""),"",INDEX(인턴근무계획!$M$3:$R$202,$AC80,인턴현황!$K$2)&amp;""))-1),$AE80))</f>
        <v/>
      </c>
      <c r="AH80" s="17">
        <f>IF($B80="","",IF(TRIM($J80&amp;"")="",0,SUMPRODUCT((파견수련계획!$Q$4:$Q$203=TRIM($J80&amp;""))*(파견수련계획!$S$4:$S$203="서울병원")*파견수련계획!$W$4:$W$203))+IF($AG80="서울병원",MAX(0,DAY(EOMONTH(요약!$B$3,0))-N($X80)),0))</f>
        <v/>
      </c>
      <c r="AI80" s="17">
        <f>IF($B80="","",IF(TRIM($J80&amp;"")="",0,SUMPRODUCT((파견수련계획!$Q$4:$Q$203=TRIM($J80&amp;""))*(파견수련계획!$S$4:$S$203="구리병원")*파견수련계획!$W$4:$W$203))+IF($AG80="구리병원",MAX(0,DAY(EOMONTH(요약!$B$3,0))-N($X80)),0))</f>
        <v/>
      </c>
      <c r="AJ80" s="10">
        <f>IF(OR($B80="",TRIM($J80&amp;"")=""),"",IFERROR(MATCH(TRIM($J80&amp;"")&amp;"|월",파견수련계획!$Z$4:$Z$203,0),""))</f>
        <v/>
      </c>
      <c r="AK80" s="10">
        <f>IF(OR($B80="",TRIM($J80&amp;"")=""),"",IFERROR(MATCH(TRIM($J80&amp;"")&amp;"|다기관",파견수련계획!$AE$4:$AE$203,0),""))</f>
        <v/>
      </c>
      <c r="AL80" s="10">
        <f>IF($AK80="","","다기관 "&amp;TEXT(INDEX(파견수련계획!$AB$4:$AB$203,$AK80),"yyyy-mm-dd")&amp;"~"&amp;IF(ISNUMBER(INDEX(파견수련계획!$AC$4:$AC$203,$AK80)),TEXT(INDEX(파견수련계획!$AC$4:$AC$203,$AK80),"yyyy-mm-dd"),""))</f>
        <v/>
      </c>
    </row>
    <row r="81">
      <c r="A81" s="10">
        <f>IF(B81="","",ROW()-1)</f>
        <v/>
      </c>
      <c r="B81" s="18" t="n"/>
      <c r="C81" s="10">
        <f>IF($AB81="","",IF(INDEX(기본자료!$C$2:$C$501,$AB81)="","",INDEX(기본자료!$C$2:$C$501,$AB81)))</f>
        <v/>
      </c>
      <c r="D81" s="10">
        <f>IF($AB81="","",IF(INDEX(기본자료!$J$2:$J$501,$AB81)="","",INDEX(기본자료!$J$2:$J$501,$AB81)))</f>
        <v/>
      </c>
      <c r="E81" s="11">
        <f>IF($AB81="","",IF(INDEX(기본자료!$K$2:$K$501,$AB81)="","",IF(NOT(ISNUMBER(INDEX(기본자료!$K$2:$K$501,$AB81))),INDEX(기본자료!$K$2:$K$501,$AB81),IF(INDEX(기본자료!$K$2:$K$501,$AB81)&lt;1000000,INDEX(기본자료!$K$2:$K$501,$AB81),IF(AND(INDEX(기본자료!$K$2:$K$501,$AB81)&gt;=10000101,INT(MOD(INDEX(기본자료!$K$2:$K$501,$AB81),10000)/100)&gt;=1,INT(MOD(INDEX(기본자료!$K$2:$K$501,$AB81),10000)/100)&lt;=12,MOD(INDEX(기본자료!$K$2:$K$501,$AB81),100)&gt;=1,MOD(INDEX(기본자료!$K$2:$K$501,$AB81),100)&lt;=31),DATE(INT(INDEX(기본자료!$K$2:$K$501,$AB81)/10000),INT(MOD(INDEX(기본자료!$K$2:$K$501,$AB81),10000)/100),MOD(INDEX(기본자료!$K$2:$K$501,$AB81),100)),INDEX(기본자료!$K$2:$K$501,$AB81)&amp;"")))))</f>
        <v/>
      </c>
      <c r="F81" s="10">
        <f>IF($AB81="","",IF(INDEX(기본자료!$D$2:$D$501,$AB81)="","",INDEX(기본자료!$D$2:$D$501,$AB81)))</f>
        <v/>
      </c>
      <c r="G81" s="10">
        <f>IF($AB81="","",IF(INDEX(기본자료!$E$2:$E$501,$AB81)="","",INDEX(기본자료!$E$2:$E$501,$AB81)))</f>
        <v/>
      </c>
      <c r="H81" s="10">
        <f>IF($AB81="","",IF(INDEX(기본자료!$F$2:$F$501,$AB81)="","",INDEX(기본자료!$F$2:$F$501,$AB81)))</f>
        <v/>
      </c>
      <c r="I81" s="11">
        <f>IF($AB81="","",IF(INDEX(기본자료!$G$2:$G$501,$AB81)="","",IF(NOT(ISNUMBER(INDEX(기본자료!$G$2:$G$501,$AB81))),INDEX(기본자료!$G$2:$G$501,$AB81),IF(INDEX(기본자료!$G$2:$G$501,$AB81)&lt;1000000,INDEX(기본자료!$G$2:$G$501,$AB81),IF(AND(INDEX(기본자료!$G$2:$G$501,$AB81)&gt;=10000101,INT(MOD(INDEX(기본자료!$G$2:$G$501,$AB81),10000)/100)&gt;=1,INT(MOD(INDEX(기본자료!$G$2:$G$501,$AB81),10000)/100)&lt;=12,MOD(INDEX(기본자료!$G$2:$G$501,$AB81),100)&gt;=1,MOD(INDEX(기본자료!$G$2:$G$501,$AB81),100)&lt;=31),DATE(INT(INDEX(기본자료!$G$2:$G$501,$AB81)/10000),INT(MOD(INDEX(기본자료!$G$2:$G$501,$AB81),10000)/100),MOD(INDEX(기본자료!$G$2:$G$501,$AB81),100)),INDEX(기본자료!$G$2:$G$501,$AB81)&amp;"")))))</f>
        <v/>
      </c>
      <c r="J81" s="10">
        <f>IF($AB81="","",IF(INDEX(기본자료!$H$2:$H$501,$AB81)="","",INDEX(기본자료!$H$2:$H$501,$AB81)))</f>
        <v/>
      </c>
      <c r="K81" s="10">
        <f>IF($AB81="","",IF(INDEX(기본자료!$I$2:$I$501,$AB81)="","",INDEX(기본자료!$I$2:$I$501,$AB81)))</f>
        <v/>
      </c>
      <c r="L81" s="10">
        <f>IF($AB81="","",IF(INDEX(기본자료!$A$2:$A$501,$AB81)="","",INDEX(기본자료!$A$2:$A$501,$AB81)))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파견수련계획!$AB$4:$AB$203,$AK81),OR(NOT(ISNUMBER(INDEX(파견수련계획!$AC$4:$AC$203,$AK81))),TODAY()&lt;=INDEX(파견수련계획!$AC$4:$AC$203,$AK81))),"다기관",IF($AF81="","",INDEX(파견수련계획!$T$4:$T$203,$AF81))),IF($AF81="","",INDEX(파견수련계획!$T$4:$T$203,$AF81))))</f>
        <v/>
      </c>
      <c r="Q81" s="10">
        <f>IF($AF81="","",INDEX(파견수련계획!$S$4:$S$203,$AF81))</f>
        <v/>
      </c>
      <c r="R81" s="10">
        <f>IF($AF81="","",INDEX(파견수련계획!$U$4:$U$203,$AF81))</f>
        <v/>
      </c>
      <c r="S81" s="11">
        <f>IF($AF81="","",IF(INDEX(파견수련계획!$H$4:$H$203,$AF81)="","",INDEX(파견수련계획!$H$4:$H$203,$AF81)))</f>
        <v/>
      </c>
      <c r="T81" s="11">
        <f>IF($AF81="","",IF(INDEX(파견수련계획!$I$4:$I$203,$AF81)="","",INDEX(파견수련계획!$I$4:$I$203,$AF81)))</f>
        <v/>
      </c>
      <c r="U81" s="10">
        <f>IF($AF81="","",INDEX(파견수련계획!$X$4:$X$203,$AF81))</f>
        <v/>
      </c>
      <c r="V81" s="17">
        <f>IF($AF81="","",INDEX(파견수련계획!$V$4:$V$203,$AF81))</f>
        <v/>
      </c>
      <c r="W81" s="17">
        <f>IF(AND($U81="파견중",$T81&lt;&gt;""),$T81-TODAY(),"")</f>
        <v/>
      </c>
      <c r="X81" s="17">
        <f>IF(OR($B81="",TRIM($J81&amp;"")=""),"",SUMPRODUCT((파견수련계획!$Q$4:$Q$203=TRIM($J81&amp;""))*파견수련계획!$W$4:$W$203))</f>
        <v/>
      </c>
      <c r="Y81" s="10">
        <f>IF($B81="","",IF($AG81="","",IF(IF(TRIM($J81&amp;"")="",0,SUMPRODUCT((파견수련계획!$Q$4:$Q$203=TRIM($J81&amp;""))*파견수련계획!$AD$4:$AD$203))&gt;0,$AE81,IF(N($X81)&lt;=0,$AG81,IF($AH81+$AI81=DAY(EOMONTH(요약!$B$3,0)),IF(AND($AH81&gt;=요약!$E$3,$AI81&lt;요약!$E$3),"서울병원",IF(AND($AI81&gt;=요약!$E$3,$AH81&lt;요약!$E$3),"구리병원","⚠15일 판정불가(서울 "&amp;$AH81&amp;"일/구리 "&amp;$AI81&amp;"일)")),IF($AJ81="",$AE81,IF(INDEX(파견수련계획!$T$4:$T$203,$AJ81)="통합수련",INDEX(파견수련계획!$S$4:$S$203,$AJ81),$AE81)))))))</f>
        <v/>
      </c>
      <c r="Z81" s="19">
        <f>IF($B81="","",IF($AB81="","기본자료에 없는 사번",IF(COUNTIF($B$2:$B$201,$B81)&gt;1,"중복 사번",IF($AE81="","소속(입사장소) 입력",IF(IF(TRIM($J81&amp;"")="",0,SUMPRODUCT((파견수련계획!$Q$4:$Q$203=TRIM($J81&amp;""))*(파견수련계획!$AA$4:$AA$203&lt;&gt;"")))&gt;0,"파견수련계획 입력오류 확인",IF(LEFT($Y81,1)="⚠","서울·구리 15일 판정 불가(양쪽 모두 이상/미만)",IF(IF($AC81="",0,N(INDEX(인턴근무계획!$T$3:$T$202,$AC81)))&gt;0,"인턴계획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IF($B81="","",IFERROR(MATCH($B81,기본자료!$B$2:$B$501,0),IFERROR(MATCH($B81&amp;"",기본자료!$B$2:$B$501,0),IFERROR(MATCH(VALUE($B81),기본자료!$B$2:$B$501,0),""))))</f>
        <v/>
      </c>
      <c r="AC81" s="10">
        <f>IF($B81="","",IFERROR(MATCH($B81,인턴근무계획!$D$3:$D$202,0),IFERROR(MATCH($B81&amp;"",인턴근무계획!$D$3:$D$202,0),IFERROR(MATCH(VALUE($B81),인턴근무계획!$D$3:$D$202,0),""))))</f>
        <v/>
      </c>
      <c r="AD81" s="10">
        <f>IF(OR($AC81="",인턴현황!$G$3=""),"",INDEX(인턴근무계획!$M$3:$R$202,$AC81,인턴현황!$G$3)&amp;"")</f>
        <v/>
      </c>
      <c r="AE81" s="10">
        <f>IF($B81="","",IF($M81&lt;&gt;"",$M81,IF($AF81&lt;&gt;"",IF(LEFT(INDEX(파견수련계획!$R$4:$R$203,$AF81),1)&lt;&gt;"⚠",INDEX(파견수련계획!$R$4:$R$203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파견수련계획!$Y$4:$Y$203,0),IFERROR(MATCH(TRIM($J81&amp;"")&amp;"|파견예정",파견수련계획!$Y$4:$Y$203,0),IFERROR(MATCH(TRIM($J81&amp;"")&amp;"|파견종료",파견수련계획!$Y$4:$Y$203,0),""))))</f>
        <v/>
      </c>
      <c r="AG81" s="10">
        <f>IF($B81="","",IF(AND(IF(OR($AC81="",인턴현황!$K$2=""),"",INDEX(인턴근무계획!$M$3:$R$202,$AC81,인턴현황!$K$2)&amp;"")&lt;&gt;"",LEFT(IF(OR($AC81="",인턴현황!$K$2=""),"",INDEX(인턴근무계획!$M$3:$R$202,$AC81,인턴현황!$K$2)&amp;""),1)&lt;&gt;"⚠"),LEFT(IF(OR($AC81="",인턴현황!$K$2=""),"",INDEX(인턴근무계획!$M$3:$R$202,$AC81,인턴현황!$K$2)&amp;""),FIND(" ",IF(OR($AC81="",인턴현황!$K$2=""),"",INDEX(인턴근무계획!$M$3:$R$202,$AC81,인턴현황!$K$2)&amp;""))-1),$AE81))</f>
        <v/>
      </c>
      <c r="AH81" s="17">
        <f>IF($B81="","",IF(TRIM($J81&amp;"")="",0,SUMPRODUCT((파견수련계획!$Q$4:$Q$203=TRIM($J81&amp;""))*(파견수련계획!$S$4:$S$203="서울병원")*파견수련계획!$W$4:$W$203))+IF($AG81="서울병원",MAX(0,DAY(EOMONTH(요약!$B$3,0))-N($X81)),0))</f>
        <v/>
      </c>
      <c r="AI81" s="17">
        <f>IF($B81="","",IF(TRIM($J81&amp;"")="",0,SUMPRODUCT((파견수련계획!$Q$4:$Q$203=TRIM($J81&amp;""))*(파견수련계획!$S$4:$S$203="구리병원")*파견수련계획!$W$4:$W$203))+IF($AG81="구리병원",MAX(0,DAY(EOMONTH(요약!$B$3,0))-N($X81)),0))</f>
        <v/>
      </c>
      <c r="AJ81" s="10">
        <f>IF(OR($B81="",TRIM($J81&amp;"")=""),"",IFERROR(MATCH(TRIM($J81&amp;"")&amp;"|월",파견수련계획!$Z$4:$Z$203,0),""))</f>
        <v/>
      </c>
      <c r="AK81" s="10">
        <f>IF(OR($B81="",TRIM($J81&amp;"")=""),"",IFERROR(MATCH(TRIM($J81&amp;"")&amp;"|다기관",파견수련계획!$AE$4:$AE$203,0),""))</f>
        <v/>
      </c>
      <c r="AL81" s="10">
        <f>IF($AK81="","","다기관 "&amp;TEXT(INDEX(파견수련계획!$AB$4:$AB$203,$AK81),"yyyy-mm-dd")&amp;"~"&amp;IF(ISNUMBER(INDEX(파견수련계획!$AC$4:$AC$203,$AK81)),TEXT(INDEX(파견수련계획!$AC$4:$AC$203,$AK81),"yyyy-mm-dd"),""))</f>
        <v/>
      </c>
    </row>
    <row r="82">
      <c r="A82" s="10">
        <f>IF(B82="","",ROW()-1)</f>
        <v/>
      </c>
      <c r="B82" s="18" t="n"/>
      <c r="C82" s="10">
        <f>IF($AB82="","",IF(INDEX(기본자료!$C$2:$C$501,$AB82)="","",INDEX(기본자료!$C$2:$C$501,$AB82)))</f>
        <v/>
      </c>
      <c r="D82" s="10">
        <f>IF($AB82="","",IF(INDEX(기본자료!$J$2:$J$501,$AB82)="","",INDEX(기본자료!$J$2:$J$501,$AB82)))</f>
        <v/>
      </c>
      <c r="E82" s="11">
        <f>IF($AB82="","",IF(INDEX(기본자료!$K$2:$K$501,$AB82)="","",IF(NOT(ISNUMBER(INDEX(기본자료!$K$2:$K$501,$AB82))),INDEX(기본자료!$K$2:$K$501,$AB82),IF(INDEX(기본자료!$K$2:$K$501,$AB82)&lt;1000000,INDEX(기본자료!$K$2:$K$501,$AB82),IF(AND(INDEX(기본자료!$K$2:$K$501,$AB82)&gt;=10000101,INT(MOD(INDEX(기본자료!$K$2:$K$501,$AB82),10000)/100)&gt;=1,INT(MOD(INDEX(기본자료!$K$2:$K$501,$AB82),10000)/100)&lt;=12,MOD(INDEX(기본자료!$K$2:$K$501,$AB82),100)&gt;=1,MOD(INDEX(기본자료!$K$2:$K$501,$AB82),100)&lt;=31),DATE(INT(INDEX(기본자료!$K$2:$K$501,$AB82)/10000),INT(MOD(INDEX(기본자료!$K$2:$K$501,$AB82),10000)/100),MOD(INDEX(기본자료!$K$2:$K$501,$AB82),100)),INDEX(기본자료!$K$2:$K$501,$AB82)&amp;"")))))</f>
        <v/>
      </c>
      <c r="F82" s="10">
        <f>IF($AB82="","",IF(INDEX(기본자료!$D$2:$D$501,$AB82)="","",INDEX(기본자료!$D$2:$D$501,$AB82)))</f>
        <v/>
      </c>
      <c r="G82" s="10">
        <f>IF($AB82="","",IF(INDEX(기본자료!$E$2:$E$501,$AB82)="","",INDEX(기본자료!$E$2:$E$501,$AB82)))</f>
        <v/>
      </c>
      <c r="H82" s="10">
        <f>IF($AB82="","",IF(INDEX(기본자료!$F$2:$F$501,$AB82)="","",INDEX(기본자료!$F$2:$F$501,$AB82)))</f>
        <v/>
      </c>
      <c r="I82" s="11">
        <f>IF($AB82="","",IF(INDEX(기본자료!$G$2:$G$501,$AB82)="","",IF(NOT(ISNUMBER(INDEX(기본자료!$G$2:$G$501,$AB82))),INDEX(기본자료!$G$2:$G$501,$AB82),IF(INDEX(기본자료!$G$2:$G$501,$AB82)&lt;1000000,INDEX(기본자료!$G$2:$G$501,$AB82),IF(AND(INDEX(기본자료!$G$2:$G$501,$AB82)&gt;=10000101,INT(MOD(INDEX(기본자료!$G$2:$G$501,$AB82),10000)/100)&gt;=1,INT(MOD(INDEX(기본자료!$G$2:$G$501,$AB82),10000)/100)&lt;=12,MOD(INDEX(기본자료!$G$2:$G$501,$AB82),100)&gt;=1,MOD(INDEX(기본자료!$G$2:$G$501,$AB82),100)&lt;=31),DATE(INT(INDEX(기본자료!$G$2:$G$501,$AB82)/10000),INT(MOD(INDEX(기본자료!$G$2:$G$501,$AB82),10000)/100),MOD(INDEX(기본자료!$G$2:$G$501,$AB82),100)),INDEX(기본자료!$G$2:$G$501,$AB82)&amp;"")))))</f>
        <v/>
      </c>
      <c r="J82" s="10">
        <f>IF($AB82="","",IF(INDEX(기본자료!$H$2:$H$501,$AB82)="","",INDEX(기본자료!$H$2:$H$501,$AB82)))</f>
        <v/>
      </c>
      <c r="K82" s="10">
        <f>IF($AB82="","",IF(INDEX(기본자료!$I$2:$I$501,$AB82)="","",INDEX(기본자료!$I$2:$I$501,$AB82)))</f>
        <v/>
      </c>
      <c r="L82" s="10">
        <f>IF($AB82="","",IF(INDEX(기본자료!$A$2:$A$501,$AB82)="","",INDEX(기본자료!$A$2:$A$501,$AB82)))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파견수련계획!$AB$4:$AB$203,$AK82),OR(NOT(ISNUMBER(INDEX(파견수련계획!$AC$4:$AC$203,$AK82))),TODAY()&lt;=INDEX(파견수련계획!$AC$4:$AC$203,$AK82))),"다기관",IF($AF82="","",INDEX(파견수련계획!$T$4:$T$203,$AF82))),IF($AF82="","",INDEX(파견수련계획!$T$4:$T$203,$AF82))))</f>
        <v/>
      </c>
      <c r="Q82" s="10">
        <f>IF($AF82="","",INDEX(파견수련계획!$S$4:$S$203,$AF82))</f>
        <v/>
      </c>
      <c r="R82" s="10">
        <f>IF($AF82="","",INDEX(파견수련계획!$U$4:$U$203,$AF82))</f>
        <v/>
      </c>
      <c r="S82" s="11">
        <f>IF($AF82="","",IF(INDEX(파견수련계획!$H$4:$H$203,$AF82)="","",INDEX(파견수련계획!$H$4:$H$203,$AF82)))</f>
        <v/>
      </c>
      <c r="T82" s="11">
        <f>IF($AF82="","",IF(INDEX(파견수련계획!$I$4:$I$203,$AF82)="","",INDEX(파견수련계획!$I$4:$I$203,$AF82)))</f>
        <v/>
      </c>
      <c r="U82" s="10">
        <f>IF($AF82="","",INDEX(파견수련계획!$X$4:$X$203,$AF82))</f>
        <v/>
      </c>
      <c r="V82" s="17">
        <f>IF($AF82="","",INDEX(파견수련계획!$V$4:$V$203,$AF82))</f>
        <v/>
      </c>
      <c r="W82" s="17">
        <f>IF(AND($U82="파견중",$T82&lt;&gt;""),$T82-TODAY(),"")</f>
        <v/>
      </c>
      <c r="X82" s="17">
        <f>IF(OR($B82="",TRIM($J82&amp;"")=""),"",SUMPRODUCT((파견수련계획!$Q$4:$Q$203=TRIM($J82&amp;""))*파견수련계획!$W$4:$W$203))</f>
        <v/>
      </c>
      <c r="Y82" s="10">
        <f>IF($B82="","",IF($AG82="","",IF(IF(TRIM($J82&amp;"")="",0,SUMPRODUCT((파견수련계획!$Q$4:$Q$203=TRIM($J82&amp;""))*파견수련계획!$AD$4:$AD$203))&gt;0,$AE82,IF(N($X82)&lt;=0,$AG82,IF($AH82+$AI82=DAY(EOMONTH(요약!$B$3,0)),IF(AND($AH82&gt;=요약!$E$3,$AI82&lt;요약!$E$3),"서울병원",IF(AND($AI82&gt;=요약!$E$3,$AH82&lt;요약!$E$3),"구리병원","⚠15일 판정불가(서울 "&amp;$AH82&amp;"일/구리 "&amp;$AI82&amp;"일)")),IF($AJ82="",$AE82,IF(INDEX(파견수련계획!$T$4:$T$203,$AJ82)="통합수련",INDEX(파견수련계획!$S$4:$S$203,$AJ82),$AE82)))))))</f>
        <v/>
      </c>
      <c r="Z82" s="19">
        <f>IF($B82="","",IF($AB82="","기본자료에 없는 사번",IF(COUNTIF($B$2:$B$201,$B82)&gt;1,"중복 사번",IF($AE82="","소속(입사장소) 입력",IF(IF(TRIM($J82&amp;"")="",0,SUMPRODUCT((파견수련계획!$Q$4:$Q$203=TRIM($J82&amp;""))*(파견수련계획!$AA$4:$AA$203&lt;&gt;"")))&gt;0,"파견수련계획 입력오류 확인",IF(LEFT($Y82,1)="⚠","서울·구리 15일 판정 불가(양쪽 모두 이상/미만)",IF(IF($AC82="",0,N(INDEX(인턴근무계획!$T$3:$T$202,$AC82)))&gt;0,"인턴계획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IF($B82="","",IFERROR(MATCH($B82,기본자료!$B$2:$B$501,0),IFERROR(MATCH($B82&amp;"",기본자료!$B$2:$B$501,0),IFERROR(MATCH(VALUE($B82),기본자료!$B$2:$B$501,0),""))))</f>
        <v/>
      </c>
      <c r="AC82" s="10">
        <f>IF($B82="","",IFERROR(MATCH($B82,인턴근무계획!$D$3:$D$202,0),IFERROR(MATCH($B82&amp;"",인턴근무계획!$D$3:$D$202,0),IFERROR(MATCH(VALUE($B82),인턴근무계획!$D$3:$D$202,0),""))))</f>
        <v/>
      </c>
      <c r="AD82" s="10">
        <f>IF(OR($AC82="",인턴현황!$G$3=""),"",INDEX(인턴근무계획!$M$3:$R$202,$AC82,인턴현황!$G$3)&amp;"")</f>
        <v/>
      </c>
      <c r="AE82" s="10">
        <f>IF($B82="","",IF($M82&lt;&gt;"",$M82,IF($AF82&lt;&gt;"",IF(LEFT(INDEX(파견수련계획!$R$4:$R$203,$AF82),1)&lt;&gt;"⚠",INDEX(파견수련계획!$R$4:$R$203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파견수련계획!$Y$4:$Y$203,0),IFERROR(MATCH(TRIM($J82&amp;"")&amp;"|파견예정",파견수련계획!$Y$4:$Y$203,0),IFERROR(MATCH(TRIM($J82&amp;"")&amp;"|파견종료",파견수련계획!$Y$4:$Y$203,0),""))))</f>
        <v/>
      </c>
      <c r="AG82" s="10">
        <f>IF($B82="","",IF(AND(IF(OR($AC82="",인턴현황!$K$2=""),"",INDEX(인턴근무계획!$M$3:$R$202,$AC82,인턴현황!$K$2)&amp;"")&lt;&gt;"",LEFT(IF(OR($AC82="",인턴현황!$K$2=""),"",INDEX(인턴근무계획!$M$3:$R$202,$AC82,인턴현황!$K$2)&amp;""),1)&lt;&gt;"⚠"),LEFT(IF(OR($AC82="",인턴현황!$K$2=""),"",INDEX(인턴근무계획!$M$3:$R$202,$AC82,인턴현황!$K$2)&amp;""),FIND(" ",IF(OR($AC82="",인턴현황!$K$2=""),"",INDEX(인턴근무계획!$M$3:$R$202,$AC82,인턴현황!$K$2)&amp;""))-1),$AE82))</f>
        <v/>
      </c>
      <c r="AH82" s="17">
        <f>IF($B82="","",IF(TRIM($J82&amp;"")="",0,SUMPRODUCT((파견수련계획!$Q$4:$Q$203=TRIM($J82&amp;""))*(파견수련계획!$S$4:$S$203="서울병원")*파견수련계획!$W$4:$W$203))+IF($AG82="서울병원",MAX(0,DAY(EOMONTH(요약!$B$3,0))-N($X82)),0))</f>
        <v/>
      </c>
      <c r="AI82" s="17">
        <f>IF($B82="","",IF(TRIM($J82&amp;"")="",0,SUMPRODUCT((파견수련계획!$Q$4:$Q$203=TRIM($J82&amp;""))*(파견수련계획!$S$4:$S$203="구리병원")*파견수련계획!$W$4:$W$203))+IF($AG82="구리병원",MAX(0,DAY(EOMONTH(요약!$B$3,0))-N($X82)),0))</f>
        <v/>
      </c>
      <c r="AJ82" s="10">
        <f>IF(OR($B82="",TRIM($J82&amp;"")=""),"",IFERROR(MATCH(TRIM($J82&amp;"")&amp;"|월",파견수련계획!$Z$4:$Z$203,0),""))</f>
        <v/>
      </c>
      <c r="AK82" s="10">
        <f>IF(OR($B82="",TRIM($J82&amp;"")=""),"",IFERROR(MATCH(TRIM($J82&amp;"")&amp;"|다기관",파견수련계획!$AE$4:$AE$203,0),""))</f>
        <v/>
      </c>
      <c r="AL82" s="10">
        <f>IF($AK82="","","다기관 "&amp;TEXT(INDEX(파견수련계획!$AB$4:$AB$203,$AK82),"yyyy-mm-dd")&amp;"~"&amp;IF(ISNUMBER(INDEX(파견수련계획!$AC$4:$AC$203,$AK82)),TEXT(INDEX(파견수련계획!$AC$4:$AC$203,$AK82),"yyyy-mm-dd"),""))</f>
        <v/>
      </c>
    </row>
    <row r="83">
      <c r="A83" s="10">
        <f>IF(B83="","",ROW()-1)</f>
        <v/>
      </c>
      <c r="B83" s="18" t="n"/>
      <c r="C83" s="10">
        <f>IF($AB83="","",IF(INDEX(기본자료!$C$2:$C$501,$AB83)="","",INDEX(기본자료!$C$2:$C$501,$AB83)))</f>
        <v/>
      </c>
      <c r="D83" s="10">
        <f>IF($AB83="","",IF(INDEX(기본자료!$J$2:$J$501,$AB83)="","",INDEX(기본자료!$J$2:$J$501,$AB83)))</f>
        <v/>
      </c>
      <c r="E83" s="11">
        <f>IF($AB83="","",IF(INDEX(기본자료!$K$2:$K$501,$AB83)="","",IF(NOT(ISNUMBER(INDEX(기본자료!$K$2:$K$501,$AB83))),INDEX(기본자료!$K$2:$K$501,$AB83),IF(INDEX(기본자료!$K$2:$K$501,$AB83)&lt;1000000,INDEX(기본자료!$K$2:$K$501,$AB83),IF(AND(INDEX(기본자료!$K$2:$K$501,$AB83)&gt;=10000101,INT(MOD(INDEX(기본자료!$K$2:$K$501,$AB83),10000)/100)&gt;=1,INT(MOD(INDEX(기본자료!$K$2:$K$501,$AB83),10000)/100)&lt;=12,MOD(INDEX(기본자료!$K$2:$K$501,$AB83),100)&gt;=1,MOD(INDEX(기본자료!$K$2:$K$501,$AB83),100)&lt;=31),DATE(INT(INDEX(기본자료!$K$2:$K$501,$AB83)/10000),INT(MOD(INDEX(기본자료!$K$2:$K$501,$AB83),10000)/100),MOD(INDEX(기본자료!$K$2:$K$501,$AB83),100)),INDEX(기본자료!$K$2:$K$501,$AB83)&amp;"")))))</f>
        <v/>
      </c>
      <c r="F83" s="10">
        <f>IF($AB83="","",IF(INDEX(기본자료!$D$2:$D$501,$AB83)="","",INDEX(기본자료!$D$2:$D$501,$AB83)))</f>
        <v/>
      </c>
      <c r="G83" s="10">
        <f>IF($AB83="","",IF(INDEX(기본자료!$E$2:$E$501,$AB83)="","",INDEX(기본자료!$E$2:$E$501,$AB83)))</f>
        <v/>
      </c>
      <c r="H83" s="10">
        <f>IF($AB83="","",IF(INDEX(기본자료!$F$2:$F$501,$AB83)="","",INDEX(기본자료!$F$2:$F$501,$AB83)))</f>
        <v/>
      </c>
      <c r="I83" s="11">
        <f>IF($AB83="","",IF(INDEX(기본자료!$G$2:$G$501,$AB83)="","",IF(NOT(ISNUMBER(INDEX(기본자료!$G$2:$G$501,$AB83))),INDEX(기본자료!$G$2:$G$501,$AB83),IF(INDEX(기본자료!$G$2:$G$501,$AB83)&lt;1000000,INDEX(기본자료!$G$2:$G$501,$AB83),IF(AND(INDEX(기본자료!$G$2:$G$501,$AB83)&gt;=10000101,INT(MOD(INDEX(기본자료!$G$2:$G$501,$AB83),10000)/100)&gt;=1,INT(MOD(INDEX(기본자료!$G$2:$G$501,$AB83),10000)/100)&lt;=12,MOD(INDEX(기본자료!$G$2:$G$501,$AB83),100)&gt;=1,MOD(INDEX(기본자료!$G$2:$G$501,$AB83),100)&lt;=31),DATE(INT(INDEX(기본자료!$G$2:$G$501,$AB83)/10000),INT(MOD(INDEX(기본자료!$G$2:$G$501,$AB83),10000)/100),MOD(INDEX(기본자료!$G$2:$G$501,$AB83),100)),INDEX(기본자료!$G$2:$G$501,$AB83)&amp;"")))))</f>
        <v/>
      </c>
      <c r="J83" s="10">
        <f>IF($AB83="","",IF(INDEX(기본자료!$H$2:$H$501,$AB83)="","",INDEX(기본자료!$H$2:$H$501,$AB83)))</f>
        <v/>
      </c>
      <c r="K83" s="10">
        <f>IF($AB83="","",IF(INDEX(기본자료!$I$2:$I$501,$AB83)="","",INDEX(기본자료!$I$2:$I$501,$AB83)))</f>
        <v/>
      </c>
      <c r="L83" s="10">
        <f>IF($AB83="","",IF(INDEX(기본자료!$A$2:$A$501,$AB83)="","",INDEX(기본자료!$A$2:$A$501,$AB83)))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파견수련계획!$AB$4:$AB$203,$AK83),OR(NOT(ISNUMBER(INDEX(파견수련계획!$AC$4:$AC$203,$AK83))),TODAY()&lt;=INDEX(파견수련계획!$AC$4:$AC$203,$AK83))),"다기관",IF($AF83="","",INDEX(파견수련계획!$T$4:$T$203,$AF83))),IF($AF83="","",INDEX(파견수련계획!$T$4:$T$203,$AF83))))</f>
        <v/>
      </c>
      <c r="Q83" s="10">
        <f>IF($AF83="","",INDEX(파견수련계획!$S$4:$S$203,$AF83))</f>
        <v/>
      </c>
      <c r="R83" s="10">
        <f>IF($AF83="","",INDEX(파견수련계획!$U$4:$U$203,$AF83))</f>
        <v/>
      </c>
      <c r="S83" s="11">
        <f>IF($AF83="","",IF(INDEX(파견수련계획!$H$4:$H$203,$AF83)="","",INDEX(파견수련계획!$H$4:$H$203,$AF83)))</f>
        <v/>
      </c>
      <c r="T83" s="11">
        <f>IF($AF83="","",IF(INDEX(파견수련계획!$I$4:$I$203,$AF83)="","",INDEX(파견수련계획!$I$4:$I$203,$AF83)))</f>
        <v/>
      </c>
      <c r="U83" s="10">
        <f>IF($AF83="","",INDEX(파견수련계획!$X$4:$X$203,$AF83))</f>
        <v/>
      </c>
      <c r="V83" s="17">
        <f>IF($AF83="","",INDEX(파견수련계획!$V$4:$V$203,$AF83))</f>
        <v/>
      </c>
      <c r="W83" s="17">
        <f>IF(AND($U83="파견중",$T83&lt;&gt;""),$T83-TODAY(),"")</f>
        <v/>
      </c>
      <c r="X83" s="17">
        <f>IF(OR($B83="",TRIM($J83&amp;"")=""),"",SUMPRODUCT((파견수련계획!$Q$4:$Q$203=TRIM($J83&amp;""))*파견수련계획!$W$4:$W$203))</f>
        <v/>
      </c>
      <c r="Y83" s="10">
        <f>IF($B83="","",IF($AG83="","",IF(IF(TRIM($J83&amp;"")="",0,SUMPRODUCT((파견수련계획!$Q$4:$Q$203=TRIM($J83&amp;""))*파견수련계획!$AD$4:$AD$203))&gt;0,$AE83,IF(N($X83)&lt;=0,$AG83,IF($AH83+$AI83=DAY(EOMONTH(요약!$B$3,0)),IF(AND($AH83&gt;=요약!$E$3,$AI83&lt;요약!$E$3),"서울병원",IF(AND($AI83&gt;=요약!$E$3,$AH83&lt;요약!$E$3),"구리병원","⚠15일 판정불가(서울 "&amp;$AH83&amp;"일/구리 "&amp;$AI83&amp;"일)")),IF($AJ83="",$AE83,IF(INDEX(파견수련계획!$T$4:$T$203,$AJ83)="통합수련",INDEX(파견수련계획!$S$4:$S$203,$AJ83),$AE83)))))))</f>
        <v/>
      </c>
      <c r="Z83" s="19">
        <f>IF($B83="","",IF($AB83="","기본자료에 없는 사번",IF(COUNTIF($B$2:$B$201,$B83)&gt;1,"중복 사번",IF($AE83="","소속(입사장소) 입력",IF(IF(TRIM($J83&amp;"")="",0,SUMPRODUCT((파견수련계획!$Q$4:$Q$203=TRIM($J83&amp;""))*(파견수련계획!$AA$4:$AA$203&lt;&gt;"")))&gt;0,"파견수련계획 입력오류 확인",IF(LEFT($Y83,1)="⚠","서울·구리 15일 판정 불가(양쪽 모두 이상/미만)",IF(IF($AC83="",0,N(INDEX(인턴근무계획!$T$3:$T$202,$AC83)))&gt;0,"인턴계획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IF($B83="","",IFERROR(MATCH($B83,기본자료!$B$2:$B$501,0),IFERROR(MATCH($B83&amp;"",기본자료!$B$2:$B$501,0),IFERROR(MATCH(VALUE($B83),기본자료!$B$2:$B$501,0),""))))</f>
        <v/>
      </c>
      <c r="AC83" s="10">
        <f>IF($B83="","",IFERROR(MATCH($B83,인턴근무계획!$D$3:$D$202,0),IFERROR(MATCH($B83&amp;"",인턴근무계획!$D$3:$D$202,0),IFERROR(MATCH(VALUE($B83),인턴근무계획!$D$3:$D$202,0),""))))</f>
        <v/>
      </c>
      <c r="AD83" s="10">
        <f>IF(OR($AC83="",인턴현황!$G$3=""),"",INDEX(인턴근무계획!$M$3:$R$202,$AC83,인턴현황!$G$3)&amp;"")</f>
        <v/>
      </c>
      <c r="AE83" s="10">
        <f>IF($B83="","",IF($M83&lt;&gt;"",$M83,IF($AF83&lt;&gt;"",IF(LEFT(INDEX(파견수련계획!$R$4:$R$203,$AF83),1)&lt;&gt;"⚠",INDEX(파견수련계획!$R$4:$R$203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파견수련계획!$Y$4:$Y$203,0),IFERROR(MATCH(TRIM($J83&amp;"")&amp;"|파견예정",파견수련계획!$Y$4:$Y$203,0),IFERROR(MATCH(TRIM($J83&amp;"")&amp;"|파견종료",파견수련계획!$Y$4:$Y$203,0),""))))</f>
        <v/>
      </c>
      <c r="AG83" s="10">
        <f>IF($B83="","",IF(AND(IF(OR($AC83="",인턴현황!$K$2=""),"",INDEX(인턴근무계획!$M$3:$R$202,$AC83,인턴현황!$K$2)&amp;"")&lt;&gt;"",LEFT(IF(OR($AC83="",인턴현황!$K$2=""),"",INDEX(인턴근무계획!$M$3:$R$202,$AC83,인턴현황!$K$2)&amp;""),1)&lt;&gt;"⚠"),LEFT(IF(OR($AC83="",인턴현황!$K$2=""),"",INDEX(인턴근무계획!$M$3:$R$202,$AC83,인턴현황!$K$2)&amp;""),FIND(" ",IF(OR($AC83="",인턴현황!$K$2=""),"",INDEX(인턴근무계획!$M$3:$R$202,$AC83,인턴현황!$K$2)&amp;""))-1),$AE83))</f>
        <v/>
      </c>
      <c r="AH83" s="17">
        <f>IF($B83="","",IF(TRIM($J83&amp;"")="",0,SUMPRODUCT((파견수련계획!$Q$4:$Q$203=TRIM($J83&amp;""))*(파견수련계획!$S$4:$S$203="서울병원")*파견수련계획!$W$4:$W$203))+IF($AG83="서울병원",MAX(0,DAY(EOMONTH(요약!$B$3,0))-N($X83)),0))</f>
        <v/>
      </c>
      <c r="AI83" s="17">
        <f>IF($B83="","",IF(TRIM($J83&amp;"")="",0,SUMPRODUCT((파견수련계획!$Q$4:$Q$203=TRIM($J83&amp;""))*(파견수련계획!$S$4:$S$203="구리병원")*파견수련계획!$W$4:$W$203))+IF($AG83="구리병원",MAX(0,DAY(EOMONTH(요약!$B$3,0))-N($X83)),0))</f>
        <v/>
      </c>
      <c r="AJ83" s="10">
        <f>IF(OR($B83="",TRIM($J83&amp;"")=""),"",IFERROR(MATCH(TRIM($J83&amp;"")&amp;"|월",파견수련계획!$Z$4:$Z$203,0),""))</f>
        <v/>
      </c>
      <c r="AK83" s="10">
        <f>IF(OR($B83="",TRIM($J83&amp;"")=""),"",IFERROR(MATCH(TRIM($J83&amp;"")&amp;"|다기관",파견수련계획!$AE$4:$AE$203,0),""))</f>
        <v/>
      </c>
      <c r="AL83" s="10">
        <f>IF($AK83="","","다기관 "&amp;TEXT(INDEX(파견수련계획!$AB$4:$AB$203,$AK83),"yyyy-mm-dd")&amp;"~"&amp;IF(ISNUMBER(INDEX(파견수련계획!$AC$4:$AC$203,$AK83)),TEXT(INDEX(파견수련계획!$AC$4:$AC$203,$AK83),"yyyy-mm-dd"),""))</f>
        <v/>
      </c>
    </row>
    <row r="84">
      <c r="A84" s="10">
        <f>IF(B84="","",ROW()-1)</f>
        <v/>
      </c>
      <c r="B84" s="18" t="n"/>
      <c r="C84" s="10">
        <f>IF($AB84="","",IF(INDEX(기본자료!$C$2:$C$501,$AB84)="","",INDEX(기본자료!$C$2:$C$501,$AB84)))</f>
        <v/>
      </c>
      <c r="D84" s="10">
        <f>IF($AB84="","",IF(INDEX(기본자료!$J$2:$J$501,$AB84)="","",INDEX(기본자료!$J$2:$J$501,$AB84)))</f>
        <v/>
      </c>
      <c r="E84" s="11">
        <f>IF($AB84="","",IF(INDEX(기본자료!$K$2:$K$501,$AB84)="","",IF(NOT(ISNUMBER(INDEX(기본자료!$K$2:$K$501,$AB84))),INDEX(기본자료!$K$2:$K$501,$AB84),IF(INDEX(기본자료!$K$2:$K$501,$AB84)&lt;1000000,INDEX(기본자료!$K$2:$K$501,$AB84),IF(AND(INDEX(기본자료!$K$2:$K$501,$AB84)&gt;=10000101,INT(MOD(INDEX(기본자료!$K$2:$K$501,$AB84),10000)/100)&gt;=1,INT(MOD(INDEX(기본자료!$K$2:$K$501,$AB84),10000)/100)&lt;=12,MOD(INDEX(기본자료!$K$2:$K$501,$AB84),100)&gt;=1,MOD(INDEX(기본자료!$K$2:$K$501,$AB84),100)&lt;=31),DATE(INT(INDEX(기본자료!$K$2:$K$501,$AB84)/10000),INT(MOD(INDEX(기본자료!$K$2:$K$501,$AB84),10000)/100),MOD(INDEX(기본자료!$K$2:$K$501,$AB84),100)),INDEX(기본자료!$K$2:$K$501,$AB84)&amp;"")))))</f>
        <v/>
      </c>
      <c r="F84" s="10">
        <f>IF($AB84="","",IF(INDEX(기본자료!$D$2:$D$501,$AB84)="","",INDEX(기본자료!$D$2:$D$501,$AB84)))</f>
        <v/>
      </c>
      <c r="G84" s="10">
        <f>IF($AB84="","",IF(INDEX(기본자료!$E$2:$E$501,$AB84)="","",INDEX(기본자료!$E$2:$E$501,$AB84)))</f>
        <v/>
      </c>
      <c r="H84" s="10">
        <f>IF($AB84="","",IF(INDEX(기본자료!$F$2:$F$501,$AB84)="","",INDEX(기본자료!$F$2:$F$501,$AB84)))</f>
        <v/>
      </c>
      <c r="I84" s="11">
        <f>IF($AB84="","",IF(INDEX(기본자료!$G$2:$G$501,$AB84)="","",IF(NOT(ISNUMBER(INDEX(기본자료!$G$2:$G$501,$AB84))),INDEX(기본자료!$G$2:$G$501,$AB84),IF(INDEX(기본자료!$G$2:$G$501,$AB84)&lt;1000000,INDEX(기본자료!$G$2:$G$501,$AB84),IF(AND(INDEX(기본자료!$G$2:$G$501,$AB84)&gt;=10000101,INT(MOD(INDEX(기본자료!$G$2:$G$501,$AB84),10000)/100)&gt;=1,INT(MOD(INDEX(기본자료!$G$2:$G$501,$AB84),10000)/100)&lt;=12,MOD(INDEX(기본자료!$G$2:$G$501,$AB84),100)&gt;=1,MOD(INDEX(기본자료!$G$2:$G$501,$AB84),100)&lt;=31),DATE(INT(INDEX(기본자료!$G$2:$G$501,$AB84)/10000),INT(MOD(INDEX(기본자료!$G$2:$G$501,$AB84),10000)/100),MOD(INDEX(기본자료!$G$2:$G$501,$AB84),100)),INDEX(기본자료!$G$2:$G$501,$AB84)&amp;"")))))</f>
        <v/>
      </c>
      <c r="J84" s="10">
        <f>IF($AB84="","",IF(INDEX(기본자료!$H$2:$H$501,$AB84)="","",INDEX(기본자료!$H$2:$H$501,$AB84)))</f>
        <v/>
      </c>
      <c r="K84" s="10">
        <f>IF($AB84="","",IF(INDEX(기본자료!$I$2:$I$501,$AB84)="","",INDEX(기본자료!$I$2:$I$501,$AB84)))</f>
        <v/>
      </c>
      <c r="L84" s="10">
        <f>IF($AB84="","",IF(INDEX(기본자료!$A$2:$A$501,$AB84)="","",INDEX(기본자료!$A$2:$A$501,$AB84)))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파견수련계획!$AB$4:$AB$203,$AK84),OR(NOT(ISNUMBER(INDEX(파견수련계획!$AC$4:$AC$203,$AK84))),TODAY()&lt;=INDEX(파견수련계획!$AC$4:$AC$203,$AK84))),"다기관",IF($AF84="","",INDEX(파견수련계획!$T$4:$T$203,$AF84))),IF($AF84="","",INDEX(파견수련계획!$T$4:$T$203,$AF84))))</f>
        <v/>
      </c>
      <c r="Q84" s="10">
        <f>IF($AF84="","",INDEX(파견수련계획!$S$4:$S$203,$AF84))</f>
        <v/>
      </c>
      <c r="R84" s="10">
        <f>IF($AF84="","",INDEX(파견수련계획!$U$4:$U$203,$AF84))</f>
        <v/>
      </c>
      <c r="S84" s="11">
        <f>IF($AF84="","",IF(INDEX(파견수련계획!$H$4:$H$203,$AF84)="","",INDEX(파견수련계획!$H$4:$H$203,$AF84)))</f>
        <v/>
      </c>
      <c r="T84" s="11">
        <f>IF($AF84="","",IF(INDEX(파견수련계획!$I$4:$I$203,$AF84)="","",INDEX(파견수련계획!$I$4:$I$203,$AF84)))</f>
        <v/>
      </c>
      <c r="U84" s="10">
        <f>IF($AF84="","",INDEX(파견수련계획!$X$4:$X$203,$AF84))</f>
        <v/>
      </c>
      <c r="V84" s="17">
        <f>IF($AF84="","",INDEX(파견수련계획!$V$4:$V$203,$AF84))</f>
        <v/>
      </c>
      <c r="W84" s="17">
        <f>IF(AND($U84="파견중",$T84&lt;&gt;""),$T84-TODAY(),"")</f>
        <v/>
      </c>
      <c r="X84" s="17">
        <f>IF(OR($B84="",TRIM($J84&amp;"")=""),"",SUMPRODUCT((파견수련계획!$Q$4:$Q$203=TRIM($J84&amp;""))*파견수련계획!$W$4:$W$203))</f>
        <v/>
      </c>
      <c r="Y84" s="10">
        <f>IF($B84="","",IF($AG84="","",IF(IF(TRIM($J84&amp;"")="",0,SUMPRODUCT((파견수련계획!$Q$4:$Q$203=TRIM($J84&amp;""))*파견수련계획!$AD$4:$AD$203))&gt;0,$AE84,IF(N($X84)&lt;=0,$AG84,IF($AH84+$AI84=DAY(EOMONTH(요약!$B$3,0)),IF(AND($AH84&gt;=요약!$E$3,$AI84&lt;요약!$E$3),"서울병원",IF(AND($AI84&gt;=요약!$E$3,$AH84&lt;요약!$E$3),"구리병원","⚠15일 판정불가(서울 "&amp;$AH84&amp;"일/구리 "&amp;$AI84&amp;"일)")),IF($AJ84="",$AE84,IF(INDEX(파견수련계획!$T$4:$T$203,$AJ84)="통합수련",INDEX(파견수련계획!$S$4:$S$203,$AJ84),$AE84)))))))</f>
        <v/>
      </c>
      <c r="Z84" s="19">
        <f>IF($B84="","",IF($AB84="","기본자료에 없는 사번",IF(COUNTIF($B$2:$B$201,$B84)&gt;1,"중복 사번",IF($AE84="","소속(입사장소) 입력",IF(IF(TRIM($J84&amp;"")="",0,SUMPRODUCT((파견수련계획!$Q$4:$Q$203=TRIM($J84&amp;""))*(파견수련계획!$AA$4:$AA$203&lt;&gt;"")))&gt;0,"파견수련계획 입력오류 확인",IF(LEFT($Y84,1)="⚠","서울·구리 15일 판정 불가(양쪽 모두 이상/미만)",IF(IF($AC84="",0,N(INDEX(인턴근무계획!$T$3:$T$202,$AC84)))&gt;0,"인턴계획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IF($B84="","",IFERROR(MATCH($B84,기본자료!$B$2:$B$501,0),IFERROR(MATCH($B84&amp;"",기본자료!$B$2:$B$501,0),IFERROR(MATCH(VALUE($B84),기본자료!$B$2:$B$501,0),""))))</f>
        <v/>
      </c>
      <c r="AC84" s="10">
        <f>IF($B84="","",IFERROR(MATCH($B84,인턴근무계획!$D$3:$D$202,0),IFERROR(MATCH($B84&amp;"",인턴근무계획!$D$3:$D$202,0),IFERROR(MATCH(VALUE($B84),인턴근무계획!$D$3:$D$202,0),""))))</f>
        <v/>
      </c>
      <c r="AD84" s="10">
        <f>IF(OR($AC84="",인턴현황!$G$3=""),"",INDEX(인턴근무계획!$M$3:$R$202,$AC84,인턴현황!$G$3)&amp;"")</f>
        <v/>
      </c>
      <c r="AE84" s="10">
        <f>IF($B84="","",IF($M84&lt;&gt;"",$M84,IF($AF84&lt;&gt;"",IF(LEFT(INDEX(파견수련계획!$R$4:$R$203,$AF84),1)&lt;&gt;"⚠",INDEX(파견수련계획!$R$4:$R$203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파견수련계획!$Y$4:$Y$203,0),IFERROR(MATCH(TRIM($J84&amp;"")&amp;"|파견예정",파견수련계획!$Y$4:$Y$203,0),IFERROR(MATCH(TRIM($J84&amp;"")&amp;"|파견종료",파견수련계획!$Y$4:$Y$203,0),""))))</f>
        <v/>
      </c>
      <c r="AG84" s="10">
        <f>IF($B84="","",IF(AND(IF(OR($AC84="",인턴현황!$K$2=""),"",INDEX(인턴근무계획!$M$3:$R$202,$AC84,인턴현황!$K$2)&amp;"")&lt;&gt;"",LEFT(IF(OR($AC84="",인턴현황!$K$2=""),"",INDEX(인턴근무계획!$M$3:$R$202,$AC84,인턴현황!$K$2)&amp;""),1)&lt;&gt;"⚠"),LEFT(IF(OR($AC84="",인턴현황!$K$2=""),"",INDEX(인턴근무계획!$M$3:$R$202,$AC84,인턴현황!$K$2)&amp;""),FIND(" ",IF(OR($AC84="",인턴현황!$K$2=""),"",INDEX(인턴근무계획!$M$3:$R$202,$AC84,인턴현황!$K$2)&amp;""))-1),$AE84))</f>
        <v/>
      </c>
      <c r="AH84" s="17">
        <f>IF($B84="","",IF(TRIM($J84&amp;"")="",0,SUMPRODUCT((파견수련계획!$Q$4:$Q$203=TRIM($J84&amp;""))*(파견수련계획!$S$4:$S$203="서울병원")*파견수련계획!$W$4:$W$203))+IF($AG84="서울병원",MAX(0,DAY(EOMONTH(요약!$B$3,0))-N($X84)),0))</f>
        <v/>
      </c>
      <c r="AI84" s="17">
        <f>IF($B84="","",IF(TRIM($J84&amp;"")="",0,SUMPRODUCT((파견수련계획!$Q$4:$Q$203=TRIM($J84&amp;""))*(파견수련계획!$S$4:$S$203="구리병원")*파견수련계획!$W$4:$W$203))+IF($AG84="구리병원",MAX(0,DAY(EOMONTH(요약!$B$3,0))-N($X84)),0))</f>
        <v/>
      </c>
      <c r="AJ84" s="10">
        <f>IF(OR($B84="",TRIM($J84&amp;"")=""),"",IFERROR(MATCH(TRIM($J84&amp;"")&amp;"|월",파견수련계획!$Z$4:$Z$203,0),""))</f>
        <v/>
      </c>
      <c r="AK84" s="10">
        <f>IF(OR($B84="",TRIM($J84&amp;"")=""),"",IFERROR(MATCH(TRIM($J84&amp;"")&amp;"|다기관",파견수련계획!$AE$4:$AE$203,0),""))</f>
        <v/>
      </c>
      <c r="AL84" s="10">
        <f>IF($AK84="","","다기관 "&amp;TEXT(INDEX(파견수련계획!$AB$4:$AB$203,$AK84),"yyyy-mm-dd")&amp;"~"&amp;IF(ISNUMBER(INDEX(파견수련계획!$AC$4:$AC$203,$AK84)),TEXT(INDEX(파견수련계획!$AC$4:$AC$203,$AK84),"yyyy-mm-dd"),""))</f>
        <v/>
      </c>
    </row>
    <row r="85">
      <c r="A85" s="10">
        <f>IF(B85="","",ROW()-1)</f>
        <v/>
      </c>
      <c r="B85" s="18" t="n"/>
      <c r="C85" s="10">
        <f>IF($AB85="","",IF(INDEX(기본자료!$C$2:$C$501,$AB85)="","",INDEX(기본자료!$C$2:$C$501,$AB85)))</f>
        <v/>
      </c>
      <c r="D85" s="10">
        <f>IF($AB85="","",IF(INDEX(기본자료!$J$2:$J$501,$AB85)="","",INDEX(기본자료!$J$2:$J$501,$AB85)))</f>
        <v/>
      </c>
      <c r="E85" s="11">
        <f>IF($AB85="","",IF(INDEX(기본자료!$K$2:$K$501,$AB85)="","",IF(NOT(ISNUMBER(INDEX(기본자료!$K$2:$K$501,$AB85))),INDEX(기본자료!$K$2:$K$501,$AB85),IF(INDEX(기본자료!$K$2:$K$501,$AB85)&lt;1000000,INDEX(기본자료!$K$2:$K$501,$AB85),IF(AND(INDEX(기본자료!$K$2:$K$501,$AB85)&gt;=10000101,INT(MOD(INDEX(기본자료!$K$2:$K$501,$AB85),10000)/100)&gt;=1,INT(MOD(INDEX(기본자료!$K$2:$K$501,$AB85),10000)/100)&lt;=12,MOD(INDEX(기본자료!$K$2:$K$501,$AB85),100)&gt;=1,MOD(INDEX(기본자료!$K$2:$K$501,$AB85),100)&lt;=31),DATE(INT(INDEX(기본자료!$K$2:$K$501,$AB85)/10000),INT(MOD(INDEX(기본자료!$K$2:$K$501,$AB85),10000)/100),MOD(INDEX(기본자료!$K$2:$K$501,$AB85),100)),INDEX(기본자료!$K$2:$K$501,$AB85)&amp;"")))))</f>
        <v/>
      </c>
      <c r="F85" s="10">
        <f>IF($AB85="","",IF(INDEX(기본자료!$D$2:$D$501,$AB85)="","",INDEX(기본자료!$D$2:$D$501,$AB85)))</f>
        <v/>
      </c>
      <c r="G85" s="10">
        <f>IF($AB85="","",IF(INDEX(기본자료!$E$2:$E$501,$AB85)="","",INDEX(기본자료!$E$2:$E$501,$AB85)))</f>
        <v/>
      </c>
      <c r="H85" s="10">
        <f>IF($AB85="","",IF(INDEX(기본자료!$F$2:$F$501,$AB85)="","",INDEX(기본자료!$F$2:$F$501,$AB85)))</f>
        <v/>
      </c>
      <c r="I85" s="11">
        <f>IF($AB85="","",IF(INDEX(기본자료!$G$2:$G$501,$AB85)="","",IF(NOT(ISNUMBER(INDEX(기본자료!$G$2:$G$501,$AB85))),INDEX(기본자료!$G$2:$G$501,$AB85),IF(INDEX(기본자료!$G$2:$G$501,$AB85)&lt;1000000,INDEX(기본자료!$G$2:$G$501,$AB85),IF(AND(INDEX(기본자료!$G$2:$G$501,$AB85)&gt;=10000101,INT(MOD(INDEX(기본자료!$G$2:$G$501,$AB85),10000)/100)&gt;=1,INT(MOD(INDEX(기본자료!$G$2:$G$501,$AB85),10000)/100)&lt;=12,MOD(INDEX(기본자료!$G$2:$G$501,$AB85),100)&gt;=1,MOD(INDEX(기본자료!$G$2:$G$501,$AB85),100)&lt;=31),DATE(INT(INDEX(기본자료!$G$2:$G$501,$AB85)/10000),INT(MOD(INDEX(기본자료!$G$2:$G$501,$AB85),10000)/100),MOD(INDEX(기본자료!$G$2:$G$501,$AB85),100)),INDEX(기본자료!$G$2:$G$501,$AB85)&amp;"")))))</f>
        <v/>
      </c>
      <c r="J85" s="10">
        <f>IF($AB85="","",IF(INDEX(기본자료!$H$2:$H$501,$AB85)="","",INDEX(기본자료!$H$2:$H$501,$AB85)))</f>
        <v/>
      </c>
      <c r="K85" s="10">
        <f>IF($AB85="","",IF(INDEX(기본자료!$I$2:$I$501,$AB85)="","",INDEX(기본자료!$I$2:$I$501,$AB85)))</f>
        <v/>
      </c>
      <c r="L85" s="10">
        <f>IF($AB85="","",IF(INDEX(기본자료!$A$2:$A$501,$AB85)="","",INDEX(기본자료!$A$2:$A$501,$AB85)))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파견수련계획!$AB$4:$AB$203,$AK85),OR(NOT(ISNUMBER(INDEX(파견수련계획!$AC$4:$AC$203,$AK85))),TODAY()&lt;=INDEX(파견수련계획!$AC$4:$AC$203,$AK85))),"다기관",IF($AF85="","",INDEX(파견수련계획!$T$4:$T$203,$AF85))),IF($AF85="","",INDEX(파견수련계획!$T$4:$T$203,$AF85))))</f>
        <v/>
      </c>
      <c r="Q85" s="10">
        <f>IF($AF85="","",INDEX(파견수련계획!$S$4:$S$203,$AF85))</f>
        <v/>
      </c>
      <c r="R85" s="10">
        <f>IF($AF85="","",INDEX(파견수련계획!$U$4:$U$203,$AF85))</f>
        <v/>
      </c>
      <c r="S85" s="11">
        <f>IF($AF85="","",IF(INDEX(파견수련계획!$H$4:$H$203,$AF85)="","",INDEX(파견수련계획!$H$4:$H$203,$AF85)))</f>
        <v/>
      </c>
      <c r="T85" s="11">
        <f>IF($AF85="","",IF(INDEX(파견수련계획!$I$4:$I$203,$AF85)="","",INDEX(파견수련계획!$I$4:$I$203,$AF85)))</f>
        <v/>
      </c>
      <c r="U85" s="10">
        <f>IF($AF85="","",INDEX(파견수련계획!$X$4:$X$203,$AF85))</f>
        <v/>
      </c>
      <c r="V85" s="17">
        <f>IF($AF85="","",INDEX(파견수련계획!$V$4:$V$203,$AF85))</f>
        <v/>
      </c>
      <c r="W85" s="17">
        <f>IF(AND($U85="파견중",$T85&lt;&gt;""),$T85-TODAY(),"")</f>
        <v/>
      </c>
      <c r="X85" s="17">
        <f>IF(OR($B85="",TRIM($J85&amp;"")=""),"",SUMPRODUCT((파견수련계획!$Q$4:$Q$203=TRIM($J85&amp;""))*파견수련계획!$W$4:$W$203))</f>
        <v/>
      </c>
      <c r="Y85" s="10">
        <f>IF($B85="","",IF($AG85="","",IF(IF(TRIM($J85&amp;"")="",0,SUMPRODUCT((파견수련계획!$Q$4:$Q$203=TRIM($J85&amp;""))*파견수련계획!$AD$4:$AD$203))&gt;0,$AE85,IF(N($X85)&lt;=0,$AG85,IF($AH85+$AI85=DAY(EOMONTH(요약!$B$3,0)),IF(AND($AH85&gt;=요약!$E$3,$AI85&lt;요약!$E$3),"서울병원",IF(AND($AI85&gt;=요약!$E$3,$AH85&lt;요약!$E$3),"구리병원","⚠15일 판정불가(서울 "&amp;$AH85&amp;"일/구리 "&amp;$AI85&amp;"일)")),IF($AJ85="",$AE85,IF(INDEX(파견수련계획!$T$4:$T$203,$AJ85)="통합수련",INDEX(파견수련계획!$S$4:$S$203,$AJ85),$AE85)))))))</f>
        <v/>
      </c>
      <c r="Z85" s="19">
        <f>IF($B85="","",IF($AB85="","기본자료에 없는 사번",IF(COUNTIF($B$2:$B$201,$B85)&gt;1,"중복 사번",IF($AE85="","소속(입사장소) 입력",IF(IF(TRIM($J85&amp;"")="",0,SUMPRODUCT((파견수련계획!$Q$4:$Q$203=TRIM($J85&amp;""))*(파견수련계획!$AA$4:$AA$203&lt;&gt;"")))&gt;0,"파견수련계획 입력오류 확인",IF(LEFT($Y85,1)="⚠","서울·구리 15일 판정 불가(양쪽 모두 이상/미만)",IF(IF($AC85="",0,N(INDEX(인턴근무계획!$T$3:$T$202,$AC85)))&gt;0,"인턴계획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IF($B85="","",IFERROR(MATCH($B85,기본자료!$B$2:$B$501,0),IFERROR(MATCH($B85&amp;"",기본자료!$B$2:$B$501,0),IFERROR(MATCH(VALUE($B85),기본자료!$B$2:$B$501,0),""))))</f>
        <v/>
      </c>
      <c r="AC85" s="10">
        <f>IF($B85="","",IFERROR(MATCH($B85,인턴근무계획!$D$3:$D$202,0),IFERROR(MATCH($B85&amp;"",인턴근무계획!$D$3:$D$202,0),IFERROR(MATCH(VALUE($B85),인턴근무계획!$D$3:$D$202,0),""))))</f>
        <v/>
      </c>
      <c r="AD85" s="10">
        <f>IF(OR($AC85="",인턴현황!$G$3=""),"",INDEX(인턴근무계획!$M$3:$R$202,$AC85,인턴현황!$G$3)&amp;"")</f>
        <v/>
      </c>
      <c r="AE85" s="10">
        <f>IF($B85="","",IF($M85&lt;&gt;"",$M85,IF($AF85&lt;&gt;"",IF(LEFT(INDEX(파견수련계획!$R$4:$R$203,$AF85),1)&lt;&gt;"⚠",INDEX(파견수련계획!$R$4:$R$203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파견수련계획!$Y$4:$Y$203,0),IFERROR(MATCH(TRIM($J85&amp;"")&amp;"|파견예정",파견수련계획!$Y$4:$Y$203,0),IFERROR(MATCH(TRIM($J85&amp;"")&amp;"|파견종료",파견수련계획!$Y$4:$Y$203,0),""))))</f>
        <v/>
      </c>
      <c r="AG85" s="10">
        <f>IF($B85="","",IF(AND(IF(OR($AC85="",인턴현황!$K$2=""),"",INDEX(인턴근무계획!$M$3:$R$202,$AC85,인턴현황!$K$2)&amp;"")&lt;&gt;"",LEFT(IF(OR($AC85="",인턴현황!$K$2=""),"",INDEX(인턴근무계획!$M$3:$R$202,$AC85,인턴현황!$K$2)&amp;""),1)&lt;&gt;"⚠"),LEFT(IF(OR($AC85="",인턴현황!$K$2=""),"",INDEX(인턴근무계획!$M$3:$R$202,$AC85,인턴현황!$K$2)&amp;""),FIND(" ",IF(OR($AC85="",인턴현황!$K$2=""),"",INDEX(인턴근무계획!$M$3:$R$202,$AC85,인턴현황!$K$2)&amp;""))-1),$AE85))</f>
        <v/>
      </c>
      <c r="AH85" s="17">
        <f>IF($B85="","",IF(TRIM($J85&amp;"")="",0,SUMPRODUCT((파견수련계획!$Q$4:$Q$203=TRIM($J85&amp;""))*(파견수련계획!$S$4:$S$203="서울병원")*파견수련계획!$W$4:$W$203))+IF($AG85="서울병원",MAX(0,DAY(EOMONTH(요약!$B$3,0))-N($X85)),0))</f>
        <v/>
      </c>
      <c r="AI85" s="17">
        <f>IF($B85="","",IF(TRIM($J85&amp;"")="",0,SUMPRODUCT((파견수련계획!$Q$4:$Q$203=TRIM($J85&amp;""))*(파견수련계획!$S$4:$S$203="구리병원")*파견수련계획!$W$4:$W$203))+IF($AG85="구리병원",MAX(0,DAY(EOMONTH(요약!$B$3,0))-N($X85)),0))</f>
        <v/>
      </c>
      <c r="AJ85" s="10">
        <f>IF(OR($B85="",TRIM($J85&amp;"")=""),"",IFERROR(MATCH(TRIM($J85&amp;"")&amp;"|월",파견수련계획!$Z$4:$Z$203,0),""))</f>
        <v/>
      </c>
      <c r="AK85" s="10">
        <f>IF(OR($B85="",TRIM($J85&amp;"")=""),"",IFERROR(MATCH(TRIM($J85&amp;"")&amp;"|다기관",파견수련계획!$AE$4:$AE$203,0),""))</f>
        <v/>
      </c>
      <c r="AL85" s="10">
        <f>IF($AK85="","","다기관 "&amp;TEXT(INDEX(파견수련계획!$AB$4:$AB$203,$AK85),"yyyy-mm-dd")&amp;"~"&amp;IF(ISNUMBER(INDEX(파견수련계획!$AC$4:$AC$203,$AK85)),TEXT(INDEX(파견수련계획!$AC$4:$AC$203,$AK85),"yyyy-mm-dd"),""))</f>
        <v/>
      </c>
    </row>
    <row r="86">
      <c r="A86" s="10">
        <f>IF(B86="","",ROW()-1)</f>
        <v/>
      </c>
      <c r="B86" s="18" t="n"/>
      <c r="C86" s="10">
        <f>IF($AB86="","",IF(INDEX(기본자료!$C$2:$C$501,$AB86)="","",INDEX(기본자료!$C$2:$C$501,$AB86)))</f>
        <v/>
      </c>
      <c r="D86" s="10">
        <f>IF($AB86="","",IF(INDEX(기본자료!$J$2:$J$501,$AB86)="","",INDEX(기본자료!$J$2:$J$501,$AB86)))</f>
        <v/>
      </c>
      <c r="E86" s="11">
        <f>IF($AB86="","",IF(INDEX(기본자료!$K$2:$K$501,$AB86)="","",IF(NOT(ISNUMBER(INDEX(기본자료!$K$2:$K$501,$AB86))),INDEX(기본자료!$K$2:$K$501,$AB86),IF(INDEX(기본자료!$K$2:$K$501,$AB86)&lt;1000000,INDEX(기본자료!$K$2:$K$501,$AB86),IF(AND(INDEX(기본자료!$K$2:$K$501,$AB86)&gt;=10000101,INT(MOD(INDEX(기본자료!$K$2:$K$501,$AB86),10000)/100)&gt;=1,INT(MOD(INDEX(기본자료!$K$2:$K$501,$AB86),10000)/100)&lt;=12,MOD(INDEX(기본자료!$K$2:$K$501,$AB86),100)&gt;=1,MOD(INDEX(기본자료!$K$2:$K$501,$AB86),100)&lt;=31),DATE(INT(INDEX(기본자료!$K$2:$K$501,$AB86)/10000),INT(MOD(INDEX(기본자료!$K$2:$K$501,$AB86),10000)/100),MOD(INDEX(기본자료!$K$2:$K$501,$AB86),100)),INDEX(기본자료!$K$2:$K$501,$AB86)&amp;"")))))</f>
        <v/>
      </c>
      <c r="F86" s="10">
        <f>IF($AB86="","",IF(INDEX(기본자료!$D$2:$D$501,$AB86)="","",INDEX(기본자료!$D$2:$D$501,$AB86)))</f>
        <v/>
      </c>
      <c r="G86" s="10">
        <f>IF($AB86="","",IF(INDEX(기본자료!$E$2:$E$501,$AB86)="","",INDEX(기본자료!$E$2:$E$501,$AB86)))</f>
        <v/>
      </c>
      <c r="H86" s="10">
        <f>IF($AB86="","",IF(INDEX(기본자료!$F$2:$F$501,$AB86)="","",INDEX(기본자료!$F$2:$F$501,$AB86)))</f>
        <v/>
      </c>
      <c r="I86" s="11">
        <f>IF($AB86="","",IF(INDEX(기본자료!$G$2:$G$501,$AB86)="","",IF(NOT(ISNUMBER(INDEX(기본자료!$G$2:$G$501,$AB86))),INDEX(기본자료!$G$2:$G$501,$AB86),IF(INDEX(기본자료!$G$2:$G$501,$AB86)&lt;1000000,INDEX(기본자료!$G$2:$G$501,$AB86),IF(AND(INDEX(기본자료!$G$2:$G$501,$AB86)&gt;=10000101,INT(MOD(INDEX(기본자료!$G$2:$G$501,$AB86),10000)/100)&gt;=1,INT(MOD(INDEX(기본자료!$G$2:$G$501,$AB86),10000)/100)&lt;=12,MOD(INDEX(기본자료!$G$2:$G$501,$AB86),100)&gt;=1,MOD(INDEX(기본자료!$G$2:$G$501,$AB86),100)&lt;=31),DATE(INT(INDEX(기본자료!$G$2:$G$501,$AB86)/10000),INT(MOD(INDEX(기본자료!$G$2:$G$501,$AB86),10000)/100),MOD(INDEX(기본자료!$G$2:$G$501,$AB86),100)),INDEX(기본자료!$G$2:$G$501,$AB86)&amp;"")))))</f>
        <v/>
      </c>
      <c r="J86" s="10">
        <f>IF($AB86="","",IF(INDEX(기본자료!$H$2:$H$501,$AB86)="","",INDEX(기본자료!$H$2:$H$501,$AB86)))</f>
        <v/>
      </c>
      <c r="K86" s="10">
        <f>IF($AB86="","",IF(INDEX(기본자료!$I$2:$I$501,$AB86)="","",INDEX(기본자료!$I$2:$I$501,$AB86)))</f>
        <v/>
      </c>
      <c r="L86" s="10">
        <f>IF($AB86="","",IF(INDEX(기본자료!$A$2:$A$501,$AB86)="","",INDEX(기본자료!$A$2:$A$501,$AB86)))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파견수련계획!$AB$4:$AB$203,$AK86),OR(NOT(ISNUMBER(INDEX(파견수련계획!$AC$4:$AC$203,$AK86))),TODAY()&lt;=INDEX(파견수련계획!$AC$4:$AC$203,$AK86))),"다기관",IF($AF86="","",INDEX(파견수련계획!$T$4:$T$203,$AF86))),IF($AF86="","",INDEX(파견수련계획!$T$4:$T$203,$AF86))))</f>
        <v/>
      </c>
      <c r="Q86" s="10">
        <f>IF($AF86="","",INDEX(파견수련계획!$S$4:$S$203,$AF86))</f>
        <v/>
      </c>
      <c r="R86" s="10">
        <f>IF($AF86="","",INDEX(파견수련계획!$U$4:$U$203,$AF86))</f>
        <v/>
      </c>
      <c r="S86" s="11">
        <f>IF($AF86="","",IF(INDEX(파견수련계획!$H$4:$H$203,$AF86)="","",INDEX(파견수련계획!$H$4:$H$203,$AF86)))</f>
        <v/>
      </c>
      <c r="T86" s="11">
        <f>IF($AF86="","",IF(INDEX(파견수련계획!$I$4:$I$203,$AF86)="","",INDEX(파견수련계획!$I$4:$I$203,$AF86)))</f>
        <v/>
      </c>
      <c r="U86" s="10">
        <f>IF($AF86="","",INDEX(파견수련계획!$X$4:$X$203,$AF86))</f>
        <v/>
      </c>
      <c r="V86" s="17">
        <f>IF($AF86="","",INDEX(파견수련계획!$V$4:$V$203,$AF86))</f>
        <v/>
      </c>
      <c r="W86" s="17">
        <f>IF(AND($U86="파견중",$T86&lt;&gt;""),$T86-TODAY(),"")</f>
        <v/>
      </c>
      <c r="X86" s="17">
        <f>IF(OR($B86="",TRIM($J86&amp;"")=""),"",SUMPRODUCT((파견수련계획!$Q$4:$Q$203=TRIM($J86&amp;""))*파견수련계획!$W$4:$W$203))</f>
        <v/>
      </c>
      <c r="Y86" s="10">
        <f>IF($B86="","",IF($AG86="","",IF(IF(TRIM($J86&amp;"")="",0,SUMPRODUCT((파견수련계획!$Q$4:$Q$203=TRIM($J86&amp;""))*파견수련계획!$AD$4:$AD$203))&gt;0,$AE86,IF(N($X86)&lt;=0,$AG86,IF($AH86+$AI86=DAY(EOMONTH(요약!$B$3,0)),IF(AND($AH86&gt;=요약!$E$3,$AI86&lt;요약!$E$3),"서울병원",IF(AND($AI86&gt;=요약!$E$3,$AH86&lt;요약!$E$3),"구리병원","⚠15일 판정불가(서울 "&amp;$AH86&amp;"일/구리 "&amp;$AI86&amp;"일)")),IF($AJ86="",$AE86,IF(INDEX(파견수련계획!$T$4:$T$203,$AJ86)="통합수련",INDEX(파견수련계획!$S$4:$S$203,$AJ86),$AE86)))))))</f>
        <v/>
      </c>
      <c r="Z86" s="19">
        <f>IF($B86="","",IF($AB86="","기본자료에 없는 사번",IF(COUNTIF($B$2:$B$201,$B86)&gt;1,"중복 사번",IF($AE86="","소속(입사장소) 입력",IF(IF(TRIM($J86&amp;"")="",0,SUMPRODUCT((파견수련계획!$Q$4:$Q$203=TRIM($J86&amp;""))*(파견수련계획!$AA$4:$AA$203&lt;&gt;"")))&gt;0,"파견수련계획 입력오류 확인",IF(LEFT($Y86,1)="⚠","서울·구리 15일 판정 불가(양쪽 모두 이상/미만)",IF(IF($AC86="",0,N(INDEX(인턴근무계획!$T$3:$T$202,$AC86)))&gt;0,"인턴계획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IF($B86="","",IFERROR(MATCH($B86,기본자료!$B$2:$B$501,0),IFERROR(MATCH($B86&amp;"",기본자료!$B$2:$B$501,0),IFERROR(MATCH(VALUE($B86),기본자료!$B$2:$B$501,0),""))))</f>
        <v/>
      </c>
      <c r="AC86" s="10">
        <f>IF($B86="","",IFERROR(MATCH($B86,인턴근무계획!$D$3:$D$202,0),IFERROR(MATCH($B86&amp;"",인턴근무계획!$D$3:$D$202,0),IFERROR(MATCH(VALUE($B86),인턴근무계획!$D$3:$D$202,0),""))))</f>
        <v/>
      </c>
      <c r="AD86" s="10">
        <f>IF(OR($AC86="",인턴현황!$G$3=""),"",INDEX(인턴근무계획!$M$3:$R$202,$AC86,인턴현황!$G$3)&amp;"")</f>
        <v/>
      </c>
      <c r="AE86" s="10">
        <f>IF($B86="","",IF($M86&lt;&gt;"",$M86,IF($AF86&lt;&gt;"",IF(LEFT(INDEX(파견수련계획!$R$4:$R$203,$AF86),1)&lt;&gt;"⚠",INDEX(파견수련계획!$R$4:$R$203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파견수련계획!$Y$4:$Y$203,0),IFERROR(MATCH(TRIM($J86&amp;"")&amp;"|파견예정",파견수련계획!$Y$4:$Y$203,0),IFERROR(MATCH(TRIM($J86&amp;"")&amp;"|파견종료",파견수련계획!$Y$4:$Y$203,0),""))))</f>
        <v/>
      </c>
      <c r="AG86" s="10">
        <f>IF($B86="","",IF(AND(IF(OR($AC86="",인턴현황!$K$2=""),"",INDEX(인턴근무계획!$M$3:$R$202,$AC86,인턴현황!$K$2)&amp;"")&lt;&gt;"",LEFT(IF(OR($AC86="",인턴현황!$K$2=""),"",INDEX(인턴근무계획!$M$3:$R$202,$AC86,인턴현황!$K$2)&amp;""),1)&lt;&gt;"⚠"),LEFT(IF(OR($AC86="",인턴현황!$K$2=""),"",INDEX(인턴근무계획!$M$3:$R$202,$AC86,인턴현황!$K$2)&amp;""),FIND(" ",IF(OR($AC86="",인턴현황!$K$2=""),"",INDEX(인턴근무계획!$M$3:$R$202,$AC86,인턴현황!$K$2)&amp;""))-1),$AE86))</f>
        <v/>
      </c>
      <c r="AH86" s="17">
        <f>IF($B86="","",IF(TRIM($J86&amp;"")="",0,SUMPRODUCT((파견수련계획!$Q$4:$Q$203=TRIM($J86&amp;""))*(파견수련계획!$S$4:$S$203="서울병원")*파견수련계획!$W$4:$W$203))+IF($AG86="서울병원",MAX(0,DAY(EOMONTH(요약!$B$3,0))-N($X86)),0))</f>
        <v/>
      </c>
      <c r="AI86" s="17">
        <f>IF($B86="","",IF(TRIM($J86&amp;"")="",0,SUMPRODUCT((파견수련계획!$Q$4:$Q$203=TRIM($J86&amp;""))*(파견수련계획!$S$4:$S$203="구리병원")*파견수련계획!$W$4:$W$203))+IF($AG86="구리병원",MAX(0,DAY(EOMONTH(요약!$B$3,0))-N($X86)),0))</f>
        <v/>
      </c>
      <c r="AJ86" s="10">
        <f>IF(OR($B86="",TRIM($J86&amp;"")=""),"",IFERROR(MATCH(TRIM($J86&amp;"")&amp;"|월",파견수련계획!$Z$4:$Z$203,0),""))</f>
        <v/>
      </c>
      <c r="AK86" s="10">
        <f>IF(OR($B86="",TRIM($J86&amp;"")=""),"",IFERROR(MATCH(TRIM($J86&amp;"")&amp;"|다기관",파견수련계획!$AE$4:$AE$203,0),""))</f>
        <v/>
      </c>
      <c r="AL86" s="10">
        <f>IF($AK86="","","다기관 "&amp;TEXT(INDEX(파견수련계획!$AB$4:$AB$203,$AK86),"yyyy-mm-dd")&amp;"~"&amp;IF(ISNUMBER(INDEX(파견수련계획!$AC$4:$AC$203,$AK86)),TEXT(INDEX(파견수련계획!$AC$4:$AC$203,$AK86),"yyyy-mm-dd"),""))</f>
        <v/>
      </c>
    </row>
    <row r="87">
      <c r="A87" s="10">
        <f>IF(B87="","",ROW()-1)</f>
        <v/>
      </c>
      <c r="B87" s="18" t="n"/>
      <c r="C87" s="10">
        <f>IF($AB87="","",IF(INDEX(기본자료!$C$2:$C$501,$AB87)="","",INDEX(기본자료!$C$2:$C$501,$AB87)))</f>
        <v/>
      </c>
      <c r="D87" s="10">
        <f>IF($AB87="","",IF(INDEX(기본자료!$J$2:$J$501,$AB87)="","",INDEX(기본자료!$J$2:$J$501,$AB87)))</f>
        <v/>
      </c>
      <c r="E87" s="11">
        <f>IF($AB87="","",IF(INDEX(기본자료!$K$2:$K$501,$AB87)="","",IF(NOT(ISNUMBER(INDEX(기본자료!$K$2:$K$501,$AB87))),INDEX(기본자료!$K$2:$K$501,$AB87),IF(INDEX(기본자료!$K$2:$K$501,$AB87)&lt;1000000,INDEX(기본자료!$K$2:$K$501,$AB87),IF(AND(INDEX(기본자료!$K$2:$K$501,$AB87)&gt;=10000101,INT(MOD(INDEX(기본자료!$K$2:$K$501,$AB87),10000)/100)&gt;=1,INT(MOD(INDEX(기본자료!$K$2:$K$501,$AB87),10000)/100)&lt;=12,MOD(INDEX(기본자료!$K$2:$K$501,$AB87),100)&gt;=1,MOD(INDEX(기본자료!$K$2:$K$501,$AB87),100)&lt;=31),DATE(INT(INDEX(기본자료!$K$2:$K$501,$AB87)/10000),INT(MOD(INDEX(기본자료!$K$2:$K$501,$AB87),10000)/100),MOD(INDEX(기본자료!$K$2:$K$501,$AB87),100)),INDEX(기본자료!$K$2:$K$501,$AB87)&amp;"")))))</f>
        <v/>
      </c>
      <c r="F87" s="10">
        <f>IF($AB87="","",IF(INDEX(기본자료!$D$2:$D$501,$AB87)="","",INDEX(기본자료!$D$2:$D$501,$AB87)))</f>
        <v/>
      </c>
      <c r="G87" s="10">
        <f>IF($AB87="","",IF(INDEX(기본자료!$E$2:$E$501,$AB87)="","",INDEX(기본자료!$E$2:$E$501,$AB87)))</f>
        <v/>
      </c>
      <c r="H87" s="10">
        <f>IF($AB87="","",IF(INDEX(기본자료!$F$2:$F$501,$AB87)="","",INDEX(기본자료!$F$2:$F$501,$AB87)))</f>
        <v/>
      </c>
      <c r="I87" s="11">
        <f>IF($AB87="","",IF(INDEX(기본자료!$G$2:$G$501,$AB87)="","",IF(NOT(ISNUMBER(INDEX(기본자료!$G$2:$G$501,$AB87))),INDEX(기본자료!$G$2:$G$501,$AB87),IF(INDEX(기본자료!$G$2:$G$501,$AB87)&lt;1000000,INDEX(기본자료!$G$2:$G$501,$AB87),IF(AND(INDEX(기본자료!$G$2:$G$501,$AB87)&gt;=10000101,INT(MOD(INDEX(기본자료!$G$2:$G$501,$AB87),10000)/100)&gt;=1,INT(MOD(INDEX(기본자료!$G$2:$G$501,$AB87),10000)/100)&lt;=12,MOD(INDEX(기본자료!$G$2:$G$501,$AB87),100)&gt;=1,MOD(INDEX(기본자료!$G$2:$G$501,$AB87),100)&lt;=31),DATE(INT(INDEX(기본자료!$G$2:$G$501,$AB87)/10000),INT(MOD(INDEX(기본자료!$G$2:$G$501,$AB87),10000)/100),MOD(INDEX(기본자료!$G$2:$G$501,$AB87),100)),INDEX(기본자료!$G$2:$G$501,$AB87)&amp;"")))))</f>
        <v/>
      </c>
      <c r="J87" s="10">
        <f>IF($AB87="","",IF(INDEX(기본자료!$H$2:$H$501,$AB87)="","",INDEX(기본자료!$H$2:$H$501,$AB87)))</f>
        <v/>
      </c>
      <c r="K87" s="10">
        <f>IF($AB87="","",IF(INDEX(기본자료!$I$2:$I$501,$AB87)="","",INDEX(기본자료!$I$2:$I$501,$AB87)))</f>
        <v/>
      </c>
      <c r="L87" s="10">
        <f>IF($AB87="","",IF(INDEX(기본자료!$A$2:$A$501,$AB87)="","",INDEX(기본자료!$A$2:$A$501,$AB87)))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파견수련계획!$AB$4:$AB$203,$AK87),OR(NOT(ISNUMBER(INDEX(파견수련계획!$AC$4:$AC$203,$AK87))),TODAY()&lt;=INDEX(파견수련계획!$AC$4:$AC$203,$AK87))),"다기관",IF($AF87="","",INDEX(파견수련계획!$T$4:$T$203,$AF87))),IF($AF87="","",INDEX(파견수련계획!$T$4:$T$203,$AF87))))</f>
        <v/>
      </c>
      <c r="Q87" s="10">
        <f>IF($AF87="","",INDEX(파견수련계획!$S$4:$S$203,$AF87))</f>
        <v/>
      </c>
      <c r="R87" s="10">
        <f>IF($AF87="","",INDEX(파견수련계획!$U$4:$U$203,$AF87))</f>
        <v/>
      </c>
      <c r="S87" s="11">
        <f>IF($AF87="","",IF(INDEX(파견수련계획!$H$4:$H$203,$AF87)="","",INDEX(파견수련계획!$H$4:$H$203,$AF87)))</f>
        <v/>
      </c>
      <c r="T87" s="11">
        <f>IF($AF87="","",IF(INDEX(파견수련계획!$I$4:$I$203,$AF87)="","",INDEX(파견수련계획!$I$4:$I$203,$AF87)))</f>
        <v/>
      </c>
      <c r="U87" s="10">
        <f>IF($AF87="","",INDEX(파견수련계획!$X$4:$X$203,$AF87))</f>
        <v/>
      </c>
      <c r="V87" s="17">
        <f>IF($AF87="","",INDEX(파견수련계획!$V$4:$V$203,$AF87))</f>
        <v/>
      </c>
      <c r="W87" s="17">
        <f>IF(AND($U87="파견중",$T87&lt;&gt;""),$T87-TODAY(),"")</f>
        <v/>
      </c>
      <c r="X87" s="17">
        <f>IF(OR($B87="",TRIM($J87&amp;"")=""),"",SUMPRODUCT((파견수련계획!$Q$4:$Q$203=TRIM($J87&amp;""))*파견수련계획!$W$4:$W$203))</f>
        <v/>
      </c>
      <c r="Y87" s="10">
        <f>IF($B87="","",IF($AG87="","",IF(IF(TRIM($J87&amp;"")="",0,SUMPRODUCT((파견수련계획!$Q$4:$Q$203=TRIM($J87&amp;""))*파견수련계획!$AD$4:$AD$203))&gt;0,$AE87,IF(N($X87)&lt;=0,$AG87,IF($AH87+$AI87=DAY(EOMONTH(요약!$B$3,0)),IF(AND($AH87&gt;=요약!$E$3,$AI87&lt;요약!$E$3),"서울병원",IF(AND($AI87&gt;=요약!$E$3,$AH87&lt;요약!$E$3),"구리병원","⚠15일 판정불가(서울 "&amp;$AH87&amp;"일/구리 "&amp;$AI87&amp;"일)")),IF($AJ87="",$AE87,IF(INDEX(파견수련계획!$T$4:$T$203,$AJ87)="통합수련",INDEX(파견수련계획!$S$4:$S$203,$AJ87),$AE87)))))))</f>
        <v/>
      </c>
      <c r="Z87" s="19">
        <f>IF($B87="","",IF($AB87="","기본자료에 없는 사번",IF(COUNTIF($B$2:$B$201,$B87)&gt;1,"중복 사번",IF($AE87="","소속(입사장소) 입력",IF(IF(TRIM($J87&amp;"")="",0,SUMPRODUCT((파견수련계획!$Q$4:$Q$203=TRIM($J87&amp;""))*(파견수련계획!$AA$4:$AA$203&lt;&gt;"")))&gt;0,"파견수련계획 입력오류 확인",IF(LEFT($Y87,1)="⚠","서울·구리 15일 판정 불가(양쪽 모두 이상/미만)",IF(IF($AC87="",0,N(INDEX(인턴근무계획!$T$3:$T$202,$AC87)))&gt;0,"인턴계획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IF($B87="","",IFERROR(MATCH($B87,기본자료!$B$2:$B$501,0),IFERROR(MATCH($B87&amp;"",기본자료!$B$2:$B$501,0),IFERROR(MATCH(VALUE($B87),기본자료!$B$2:$B$501,0),""))))</f>
        <v/>
      </c>
      <c r="AC87" s="10">
        <f>IF($B87="","",IFERROR(MATCH($B87,인턴근무계획!$D$3:$D$202,0),IFERROR(MATCH($B87&amp;"",인턴근무계획!$D$3:$D$202,0),IFERROR(MATCH(VALUE($B87),인턴근무계획!$D$3:$D$202,0),""))))</f>
        <v/>
      </c>
      <c r="AD87" s="10">
        <f>IF(OR($AC87="",인턴현황!$G$3=""),"",INDEX(인턴근무계획!$M$3:$R$202,$AC87,인턴현황!$G$3)&amp;"")</f>
        <v/>
      </c>
      <c r="AE87" s="10">
        <f>IF($B87="","",IF($M87&lt;&gt;"",$M87,IF($AF87&lt;&gt;"",IF(LEFT(INDEX(파견수련계획!$R$4:$R$203,$AF87),1)&lt;&gt;"⚠",INDEX(파견수련계획!$R$4:$R$203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파견수련계획!$Y$4:$Y$203,0),IFERROR(MATCH(TRIM($J87&amp;"")&amp;"|파견예정",파견수련계획!$Y$4:$Y$203,0),IFERROR(MATCH(TRIM($J87&amp;"")&amp;"|파견종료",파견수련계획!$Y$4:$Y$203,0),""))))</f>
        <v/>
      </c>
      <c r="AG87" s="10">
        <f>IF($B87="","",IF(AND(IF(OR($AC87="",인턴현황!$K$2=""),"",INDEX(인턴근무계획!$M$3:$R$202,$AC87,인턴현황!$K$2)&amp;"")&lt;&gt;"",LEFT(IF(OR($AC87="",인턴현황!$K$2=""),"",INDEX(인턴근무계획!$M$3:$R$202,$AC87,인턴현황!$K$2)&amp;""),1)&lt;&gt;"⚠"),LEFT(IF(OR($AC87="",인턴현황!$K$2=""),"",INDEX(인턴근무계획!$M$3:$R$202,$AC87,인턴현황!$K$2)&amp;""),FIND(" ",IF(OR($AC87="",인턴현황!$K$2=""),"",INDEX(인턴근무계획!$M$3:$R$202,$AC87,인턴현황!$K$2)&amp;""))-1),$AE87))</f>
        <v/>
      </c>
      <c r="AH87" s="17">
        <f>IF($B87="","",IF(TRIM($J87&amp;"")="",0,SUMPRODUCT((파견수련계획!$Q$4:$Q$203=TRIM($J87&amp;""))*(파견수련계획!$S$4:$S$203="서울병원")*파견수련계획!$W$4:$W$203))+IF($AG87="서울병원",MAX(0,DAY(EOMONTH(요약!$B$3,0))-N($X87)),0))</f>
        <v/>
      </c>
      <c r="AI87" s="17">
        <f>IF($B87="","",IF(TRIM($J87&amp;"")="",0,SUMPRODUCT((파견수련계획!$Q$4:$Q$203=TRIM($J87&amp;""))*(파견수련계획!$S$4:$S$203="구리병원")*파견수련계획!$W$4:$W$203))+IF($AG87="구리병원",MAX(0,DAY(EOMONTH(요약!$B$3,0))-N($X87)),0))</f>
        <v/>
      </c>
      <c r="AJ87" s="10">
        <f>IF(OR($B87="",TRIM($J87&amp;"")=""),"",IFERROR(MATCH(TRIM($J87&amp;"")&amp;"|월",파견수련계획!$Z$4:$Z$203,0),""))</f>
        <v/>
      </c>
      <c r="AK87" s="10">
        <f>IF(OR($B87="",TRIM($J87&amp;"")=""),"",IFERROR(MATCH(TRIM($J87&amp;"")&amp;"|다기관",파견수련계획!$AE$4:$AE$203,0),""))</f>
        <v/>
      </c>
      <c r="AL87" s="10">
        <f>IF($AK87="","","다기관 "&amp;TEXT(INDEX(파견수련계획!$AB$4:$AB$203,$AK87),"yyyy-mm-dd")&amp;"~"&amp;IF(ISNUMBER(INDEX(파견수련계획!$AC$4:$AC$203,$AK87)),TEXT(INDEX(파견수련계획!$AC$4:$AC$203,$AK87),"yyyy-mm-dd"),""))</f>
        <v/>
      </c>
    </row>
    <row r="88">
      <c r="A88" s="10">
        <f>IF(B88="","",ROW()-1)</f>
        <v/>
      </c>
      <c r="B88" s="18" t="n"/>
      <c r="C88" s="10">
        <f>IF($AB88="","",IF(INDEX(기본자료!$C$2:$C$501,$AB88)="","",INDEX(기본자료!$C$2:$C$501,$AB88)))</f>
        <v/>
      </c>
      <c r="D88" s="10">
        <f>IF($AB88="","",IF(INDEX(기본자료!$J$2:$J$501,$AB88)="","",INDEX(기본자료!$J$2:$J$501,$AB88)))</f>
        <v/>
      </c>
      <c r="E88" s="11">
        <f>IF($AB88="","",IF(INDEX(기본자료!$K$2:$K$501,$AB88)="","",IF(NOT(ISNUMBER(INDEX(기본자료!$K$2:$K$501,$AB88))),INDEX(기본자료!$K$2:$K$501,$AB88),IF(INDEX(기본자료!$K$2:$K$501,$AB88)&lt;1000000,INDEX(기본자료!$K$2:$K$501,$AB88),IF(AND(INDEX(기본자료!$K$2:$K$501,$AB88)&gt;=10000101,INT(MOD(INDEX(기본자료!$K$2:$K$501,$AB88),10000)/100)&gt;=1,INT(MOD(INDEX(기본자료!$K$2:$K$501,$AB88),10000)/100)&lt;=12,MOD(INDEX(기본자료!$K$2:$K$501,$AB88),100)&gt;=1,MOD(INDEX(기본자료!$K$2:$K$501,$AB88),100)&lt;=31),DATE(INT(INDEX(기본자료!$K$2:$K$501,$AB88)/10000),INT(MOD(INDEX(기본자료!$K$2:$K$501,$AB88),10000)/100),MOD(INDEX(기본자료!$K$2:$K$501,$AB88),100)),INDEX(기본자료!$K$2:$K$501,$AB88)&amp;"")))))</f>
        <v/>
      </c>
      <c r="F88" s="10">
        <f>IF($AB88="","",IF(INDEX(기본자료!$D$2:$D$501,$AB88)="","",INDEX(기본자료!$D$2:$D$501,$AB88)))</f>
        <v/>
      </c>
      <c r="G88" s="10">
        <f>IF($AB88="","",IF(INDEX(기본자료!$E$2:$E$501,$AB88)="","",INDEX(기본자료!$E$2:$E$501,$AB88)))</f>
        <v/>
      </c>
      <c r="H88" s="10">
        <f>IF($AB88="","",IF(INDEX(기본자료!$F$2:$F$501,$AB88)="","",INDEX(기본자료!$F$2:$F$501,$AB88)))</f>
        <v/>
      </c>
      <c r="I88" s="11">
        <f>IF($AB88="","",IF(INDEX(기본자료!$G$2:$G$501,$AB88)="","",IF(NOT(ISNUMBER(INDEX(기본자료!$G$2:$G$501,$AB88))),INDEX(기본자료!$G$2:$G$501,$AB88),IF(INDEX(기본자료!$G$2:$G$501,$AB88)&lt;1000000,INDEX(기본자료!$G$2:$G$501,$AB88),IF(AND(INDEX(기본자료!$G$2:$G$501,$AB88)&gt;=10000101,INT(MOD(INDEX(기본자료!$G$2:$G$501,$AB88),10000)/100)&gt;=1,INT(MOD(INDEX(기본자료!$G$2:$G$501,$AB88),10000)/100)&lt;=12,MOD(INDEX(기본자료!$G$2:$G$501,$AB88),100)&gt;=1,MOD(INDEX(기본자료!$G$2:$G$501,$AB88),100)&lt;=31),DATE(INT(INDEX(기본자료!$G$2:$G$501,$AB88)/10000),INT(MOD(INDEX(기본자료!$G$2:$G$501,$AB88),10000)/100),MOD(INDEX(기본자료!$G$2:$G$501,$AB88),100)),INDEX(기본자료!$G$2:$G$501,$AB88)&amp;"")))))</f>
        <v/>
      </c>
      <c r="J88" s="10">
        <f>IF($AB88="","",IF(INDEX(기본자료!$H$2:$H$501,$AB88)="","",INDEX(기본자료!$H$2:$H$501,$AB88)))</f>
        <v/>
      </c>
      <c r="K88" s="10">
        <f>IF($AB88="","",IF(INDEX(기본자료!$I$2:$I$501,$AB88)="","",INDEX(기본자료!$I$2:$I$501,$AB88)))</f>
        <v/>
      </c>
      <c r="L88" s="10">
        <f>IF($AB88="","",IF(INDEX(기본자료!$A$2:$A$501,$AB88)="","",INDEX(기본자료!$A$2:$A$501,$AB88)))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파견수련계획!$AB$4:$AB$203,$AK88),OR(NOT(ISNUMBER(INDEX(파견수련계획!$AC$4:$AC$203,$AK88))),TODAY()&lt;=INDEX(파견수련계획!$AC$4:$AC$203,$AK88))),"다기관",IF($AF88="","",INDEX(파견수련계획!$T$4:$T$203,$AF88))),IF($AF88="","",INDEX(파견수련계획!$T$4:$T$203,$AF88))))</f>
        <v/>
      </c>
      <c r="Q88" s="10">
        <f>IF($AF88="","",INDEX(파견수련계획!$S$4:$S$203,$AF88))</f>
        <v/>
      </c>
      <c r="R88" s="10">
        <f>IF($AF88="","",INDEX(파견수련계획!$U$4:$U$203,$AF88))</f>
        <v/>
      </c>
      <c r="S88" s="11">
        <f>IF($AF88="","",IF(INDEX(파견수련계획!$H$4:$H$203,$AF88)="","",INDEX(파견수련계획!$H$4:$H$203,$AF88)))</f>
        <v/>
      </c>
      <c r="T88" s="11">
        <f>IF($AF88="","",IF(INDEX(파견수련계획!$I$4:$I$203,$AF88)="","",INDEX(파견수련계획!$I$4:$I$203,$AF88)))</f>
        <v/>
      </c>
      <c r="U88" s="10">
        <f>IF($AF88="","",INDEX(파견수련계획!$X$4:$X$203,$AF88))</f>
        <v/>
      </c>
      <c r="V88" s="17">
        <f>IF($AF88="","",INDEX(파견수련계획!$V$4:$V$203,$AF88))</f>
        <v/>
      </c>
      <c r="W88" s="17">
        <f>IF(AND($U88="파견중",$T88&lt;&gt;""),$T88-TODAY(),"")</f>
        <v/>
      </c>
      <c r="X88" s="17">
        <f>IF(OR($B88="",TRIM($J88&amp;"")=""),"",SUMPRODUCT((파견수련계획!$Q$4:$Q$203=TRIM($J88&amp;""))*파견수련계획!$W$4:$W$203))</f>
        <v/>
      </c>
      <c r="Y88" s="10">
        <f>IF($B88="","",IF($AG88="","",IF(IF(TRIM($J88&amp;"")="",0,SUMPRODUCT((파견수련계획!$Q$4:$Q$203=TRIM($J88&amp;""))*파견수련계획!$AD$4:$AD$203))&gt;0,$AE88,IF(N($X88)&lt;=0,$AG88,IF($AH88+$AI88=DAY(EOMONTH(요약!$B$3,0)),IF(AND($AH88&gt;=요약!$E$3,$AI88&lt;요약!$E$3),"서울병원",IF(AND($AI88&gt;=요약!$E$3,$AH88&lt;요약!$E$3),"구리병원","⚠15일 판정불가(서울 "&amp;$AH88&amp;"일/구리 "&amp;$AI88&amp;"일)")),IF($AJ88="",$AE88,IF(INDEX(파견수련계획!$T$4:$T$203,$AJ88)="통합수련",INDEX(파견수련계획!$S$4:$S$203,$AJ88),$AE88)))))))</f>
        <v/>
      </c>
      <c r="Z88" s="19">
        <f>IF($B88="","",IF($AB88="","기본자료에 없는 사번",IF(COUNTIF($B$2:$B$201,$B88)&gt;1,"중복 사번",IF($AE88="","소속(입사장소) 입력",IF(IF(TRIM($J88&amp;"")="",0,SUMPRODUCT((파견수련계획!$Q$4:$Q$203=TRIM($J88&amp;""))*(파견수련계획!$AA$4:$AA$203&lt;&gt;"")))&gt;0,"파견수련계획 입력오류 확인",IF(LEFT($Y88,1)="⚠","서울·구리 15일 판정 불가(양쪽 모두 이상/미만)",IF(IF($AC88="",0,N(INDEX(인턴근무계획!$T$3:$T$202,$AC88)))&gt;0,"인턴계획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IF($B88="","",IFERROR(MATCH($B88,기본자료!$B$2:$B$501,0),IFERROR(MATCH($B88&amp;"",기본자료!$B$2:$B$501,0),IFERROR(MATCH(VALUE($B88),기본자료!$B$2:$B$501,0),""))))</f>
        <v/>
      </c>
      <c r="AC88" s="10">
        <f>IF($B88="","",IFERROR(MATCH($B88,인턴근무계획!$D$3:$D$202,0),IFERROR(MATCH($B88&amp;"",인턴근무계획!$D$3:$D$202,0),IFERROR(MATCH(VALUE($B88),인턴근무계획!$D$3:$D$202,0),""))))</f>
        <v/>
      </c>
      <c r="AD88" s="10">
        <f>IF(OR($AC88="",인턴현황!$G$3=""),"",INDEX(인턴근무계획!$M$3:$R$202,$AC88,인턴현황!$G$3)&amp;"")</f>
        <v/>
      </c>
      <c r="AE88" s="10">
        <f>IF($B88="","",IF($M88&lt;&gt;"",$M88,IF($AF88&lt;&gt;"",IF(LEFT(INDEX(파견수련계획!$R$4:$R$203,$AF88),1)&lt;&gt;"⚠",INDEX(파견수련계획!$R$4:$R$203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파견수련계획!$Y$4:$Y$203,0),IFERROR(MATCH(TRIM($J88&amp;"")&amp;"|파견예정",파견수련계획!$Y$4:$Y$203,0),IFERROR(MATCH(TRIM($J88&amp;"")&amp;"|파견종료",파견수련계획!$Y$4:$Y$203,0),""))))</f>
        <v/>
      </c>
      <c r="AG88" s="10">
        <f>IF($B88="","",IF(AND(IF(OR($AC88="",인턴현황!$K$2=""),"",INDEX(인턴근무계획!$M$3:$R$202,$AC88,인턴현황!$K$2)&amp;"")&lt;&gt;"",LEFT(IF(OR($AC88="",인턴현황!$K$2=""),"",INDEX(인턴근무계획!$M$3:$R$202,$AC88,인턴현황!$K$2)&amp;""),1)&lt;&gt;"⚠"),LEFT(IF(OR($AC88="",인턴현황!$K$2=""),"",INDEX(인턴근무계획!$M$3:$R$202,$AC88,인턴현황!$K$2)&amp;""),FIND(" ",IF(OR($AC88="",인턴현황!$K$2=""),"",INDEX(인턴근무계획!$M$3:$R$202,$AC88,인턴현황!$K$2)&amp;""))-1),$AE88))</f>
        <v/>
      </c>
      <c r="AH88" s="17">
        <f>IF($B88="","",IF(TRIM($J88&amp;"")="",0,SUMPRODUCT((파견수련계획!$Q$4:$Q$203=TRIM($J88&amp;""))*(파견수련계획!$S$4:$S$203="서울병원")*파견수련계획!$W$4:$W$203))+IF($AG88="서울병원",MAX(0,DAY(EOMONTH(요약!$B$3,0))-N($X88)),0))</f>
        <v/>
      </c>
      <c r="AI88" s="17">
        <f>IF($B88="","",IF(TRIM($J88&amp;"")="",0,SUMPRODUCT((파견수련계획!$Q$4:$Q$203=TRIM($J88&amp;""))*(파견수련계획!$S$4:$S$203="구리병원")*파견수련계획!$W$4:$W$203))+IF($AG88="구리병원",MAX(0,DAY(EOMONTH(요약!$B$3,0))-N($X88)),0))</f>
        <v/>
      </c>
      <c r="AJ88" s="10">
        <f>IF(OR($B88="",TRIM($J88&amp;"")=""),"",IFERROR(MATCH(TRIM($J88&amp;"")&amp;"|월",파견수련계획!$Z$4:$Z$203,0),""))</f>
        <v/>
      </c>
      <c r="AK88" s="10">
        <f>IF(OR($B88="",TRIM($J88&amp;"")=""),"",IFERROR(MATCH(TRIM($J88&amp;"")&amp;"|다기관",파견수련계획!$AE$4:$AE$203,0),""))</f>
        <v/>
      </c>
      <c r="AL88" s="10">
        <f>IF($AK88="","","다기관 "&amp;TEXT(INDEX(파견수련계획!$AB$4:$AB$203,$AK88),"yyyy-mm-dd")&amp;"~"&amp;IF(ISNUMBER(INDEX(파견수련계획!$AC$4:$AC$203,$AK88)),TEXT(INDEX(파견수련계획!$AC$4:$AC$203,$AK88),"yyyy-mm-dd"),""))</f>
        <v/>
      </c>
    </row>
    <row r="89">
      <c r="A89" s="10">
        <f>IF(B89="","",ROW()-1)</f>
        <v/>
      </c>
      <c r="B89" s="18" t="n"/>
      <c r="C89" s="10">
        <f>IF($AB89="","",IF(INDEX(기본자료!$C$2:$C$501,$AB89)="","",INDEX(기본자료!$C$2:$C$501,$AB89)))</f>
        <v/>
      </c>
      <c r="D89" s="10">
        <f>IF($AB89="","",IF(INDEX(기본자료!$J$2:$J$501,$AB89)="","",INDEX(기본자료!$J$2:$J$501,$AB89)))</f>
        <v/>
      </c>
      <c r="E89" s="11">
        <f>IF($AB89="","",IF(INDEX(기본자료!$K$2:$K$501,$AB89)="","",IF(NOT(ISNUMBER(INDEX(기본자료!$K$2:$K$501,$AB89))),INDEX(기본자료!$K$2:$K$501,$AB89),IF(INDEX(기본자료!$K$2:$K$501,$AB89)&lt;1000000,INDEX(기본자료!$K$2:$K$501,$AB89),IF(AND(INDEX(기본자료!$K$2:$K$501,$AB89)&gt;=10000101,INT(MOD(INDEX(기본자료!$K$2:$K$501,$AB89),10000)/100)&gt;=1,INT(MOD(INDEX(기본자료!$K$2:$K$501,$AB89),10000)/100)&lt;=12,MOD(INDEX(기본자료!$K$2:$K$501,$AB89),100)&gt;=1,MOD(INDEX(기본자료!$K$2:$K$501,$AB89),100)&lt;=31),DATE(INT(INDEX(기본자료!$K$2:$K$501,$AB89)/10000),INT(MOD(INDEX(기본자료!$K$2:$K$501,$AB89),10000)/100),MOD(INDEX(기본자료!$K$2:$K$501,$AB89),100)),INDEX(기본자료!$K$2:$K$501,$AB89)&amp;"")))))</f>
        <v/>
      </c>
      <c r="F89" s="10">
        <f>IF($AB89="","",IF(INDEX(기본자료!$D$2:$D$501,$AB89)="","",INDEX(기본자료!$D$2:$D$501,$AB89)))</f>
        <v/>
      </c>
      <c r="G89" s="10">
        <f>IF($AB89="","",IF(INDEX(기본자료!$E$2:$E$501,$AB89)="","",INDEX(기본자료!$E$2:$E$501,$AB89)))</f>
        <v/>
      </c>
      <c r="H89" s="10">
        <f>IF($AB89="","",IF(INDEX(기본자료!$F$2:$F$501,$AB89)="","",INDEX(기본자료!$F$2:$F$501,$AB89)))</f>
        <v/>
      </c>
      <c r="I89" s="11">
        <f>IF($AB89="","",IF(INDEX(기본자료!$G$2:$G$501,$AB89)="","",IF(NOT(ISNUMBER(INDEX(기본자료!$G$2:$G$501,$AB89))),INDEX(기본자료!$G$2:$G$501,$AB89),IF(INDEX(기본자료!$G$2:$G$501,$AB89)&lt;1000000,INDEX(기본자료!$G$2:$G$501,$AB89),IF(AND(INDEX(기본자료!$G$2:$G$501,$AB89)&gt;=10000101,INT(MOD(INDEX(기본자료!$G$2:$G$501,$AB89),10000)/100)&gt;=1,INT(MOD(INDEX(기본자료!$G$2:$G$501,$AB89),10000)/100)&lt;=12,MOD(INDEX(기본자료!$G$2:$G$501,$AB89),100)&gt;=1,MOD(INDEX(기본자료!$G$2:$G$501,$AB89),100)&lt;=31),DATE(INT(INDEX(기본자료!$G$2:$G$501,$AB89)/10000),INT(MOD(INDEX(기본자료!$G$2:$G$501,$AB89),10000)/100),MOD(INDEX(기본자료!$G$2:$G$501,$AB89),100)),INDEX(기본자료!$G$2:$G$501,$AB89)&amp;"")))))</f>
        <v/>
      </c>
      <c r="J89" s="10">
        <f>IF($AB89="","",IF(INDEX(기본자료!$H$2:$H$501,$AB89)="","",INDEX(기본자료!$H$2:$H$501,$AB89)))</f>
        <v/>
      </c>
      <c r="K89" s="10">
        <f>IF($AB89="","",IF(INDEX(기본자료!$I$2:$I$501,$AB89)="","",INDEX(기본자료!$I$2:$I$501,$AB89)))</f>
        <v/>
      </c>
      <c r="L89" s="10">
        <f>IF($AB89="","",IF(INDEX(기본자료!$A$2:$A$501,$AB89)="","",INDEX(기본자료!$A$2:$A$501,$AB89)))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파견수련계획!$AB$4:$AB$203,$AK89),OR(NOT(ISNUMBER(INDEX(파견수련계획!$AC$4:$AC$203,$AK89))),TODAY()&lt;=INDEX(파견수련계획!$AC$4:$AC$203,$AK89))),"다기관",IF($AF89="","",INDEX(파견수련계획!$T$4:$T$203,$AF89))),IF($AF89="","",INDEX(파견수련계획!$T$4:$T$203,$AF89))))</f>
        <v/>
      </c>
      <c r="Q89" s="10">
        <f>IF($AF89="","",INDEX(파견수련계획!$S$4:$S$203,$AF89))</f>
        <v/>
      </c>
      <c r="R89" s="10">
        <f>IF($AF89="","",INDEX(파견수련계획!$U$4:$U$203,$AF89))</f>
        <v/>
      </c>
      <c r="S89" s="11">
        <f>IF($AF89="","",IF(INDEX(파견수련계획!$H$4:$H$203,$AF89)="","",INDEX(파견수련계획!$H$4:$H$203,$AF89)))</f>
        <v/>
      </c>
      <c r="T89" s="11">
        <f>IF($AF89="","",IF(INDEX(파견수련계획!$I$4:$I$203,$AF89)="","",INDEX(파견수련계획!$I$4:$I$203,$AF89)))</f>
        <v/>
      </c>
      <c r="U89" s="10">
        <f>IF($AF89="","",INDEX(파견수련계획!$X$4:$X$203,$AF89))</f>
        <v/>
      </c>
      <c r="V89" s="17">
        <f>IF($AF89="","",INDEX(파견수련계획!$V$4:$V$203,$AF89))</f>
        <v/>
      </c>
      <c r="W89" s="17">
        <f>IF(AND($U89="파견중",$T89&lt;&gt;""),$T89-TODAY(),"")</f>
        <v/>
      </c>
      <c r="X89" s="17">
        <f>IF(OR($B89="",TRIM($J89&amp;"")=""),"",SUMPRODUCT((파견수련계획!$Q$4:$Q$203=TRIM($J89&amp;""))*파견수련계획!$W$4:$W$203))</f>
        <v/>
      </c>
      <c r="Y89" s="10">
        <f>IF($B89="","",IF($AG89="","",IF(IF(TRIM($J89&amp;"")="",0,SUMPRODUCT((파견수련계획!$Q$4:$Q$203=TRIM($J89&amp;""))*파견수련계획!$AD$4:$AD$203))&gt;0,$AE89,IF(N($X89)&lt;=0,$AG89,IF($AH89+$AI89=DAY(EOMONTH(요약!$B$3,0)),IF(AND($AH89&gt;=요약!$E$3,$AI89&lt;요약!$E$3),"서울병원",IF(AND($AI89&gt;=요약!$E$3,$AH89&lt;요약!$E$3),"구리병원","⚠15일 판정불가(서울 "&amp;$AH89&amp;"일/구리 "&amp;$AI89&amp;"일)")),IF($AJ89="",$AE89,IF(INDEX(파견수련계획!$T$4:$T$203,$AJ89)="통합수련",INDEX(파견수련계획!$S$4:$S$203,$AJ89),$AE89)))))))</f>
        <v/>
      </c>
      <c r="Z89" s="19">
        <f>IF($B89="","",IF($AB89="","기본자료에 없는 사번",IF(COUNTIF($B$2:$B$201,$B89)&gt;1,"중복 사번",IF($AE89="","소속(입사장소) 입력",IF(IF(TRIM($J89&amp;"")="",0,SUMPRODUCT((파견수련계획!$Q$4:$Q$203=TRIM($J89&amp;""))*(파견수련계획!$AA$4:$AA$203&lt;&gt;"")))&gt;0,"파견수련계획 입력오류 확인",IF(LEFT($Y89,1)="⚠","서울·구리 15일 판정 불가(양쪽 모두 이상/미만)",IF(IF($AC89="",0,N(INDEX(인턴근무계획!$T$3:$T$202,$AC89)))&gt;0,"인턴계획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IF($B89="","",IFERROR(MATCH($B89,기본자료!$B$2:$B$501,0),IFERROR(MATCH($B89&amp;"",기본자료!$B$2:$B$501,0),IFERROR(MATCH(VALUE($B89),기본자료!$B$2:$B$501,0),""))))</f>
        <v/>
      </c>
      <c r="AC89" s="10">
        <f>IF($B89="","",IFERROR(MATCH($B89,인턴근무계획!$D$3:$D$202,0),IFERROR(MATCH($B89&amp;"",인턴근무계획!$D$3:$D$202,0),IFERROR(MATCH(VALUE($B89),인턴근무계획!$D$3:$D$202,0),""))))</f>
        <v/>
      </c>
      <c r="AD89" s="10">
        <f>IF(OR($AC89="",인턴현황!$G$3=""),"",INDEX(인턴근무계획!$M$3:$R$202,$AC89,인턴현황!$G$3)&amp;"")</f>
        <v/>
      </c>
      <c r="AE89" s="10">
        <f>IF($B89="","",IF($M89&lt;&gt;"",$M89,IF($AF89&lt;&gt;"",IF(LEFT(INDEX(파견수련계획!$R$4:$R$203,$AF89),1)&lt;&gt;"⚠",INDEX(파견수련계획!$R$4:$R$203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파견수련계획!$Y$4:$Y$203,0),IFERROR(MATCH(TRIM($J89&amp;"")&amp;"|파견예정",파견수련계획!$Y$4:$Y$203,0),IFERROR(MATCH(TRIM($J89&amp;"")&amp;"|파견종료",파견수련계획!$Y$4:$Y$203,0),""))))</f>
        <v/>
      </c>
      <c r="AG89" s="10">
        <f>IF($B89="","",IF(AND(IF(OR($AC89="",인턴현황!$K$2=""),"",INDEX(인턴근무계획!$M$3:$R$202,$AC89,인턴현황!$K$2)&amp;"")&lt;&gt;"",LEFT(IF(OR($AC89="",인턴현황!$K$2=""),"",INDEX(인턴근무계획!$M$3:$R$202,$AC89,인턴현황!$K$2)&amp;""),1)&lt;&gt;"⚠"),LEFT(IF(OR($AC89="",인턴현황!$K$2=""),"",INDEX(인턴근무계획!$M$3:$R$202,$AC89,인턴현황!$K$2)&amp;""),FIND(" ",IF(OR($AC89="",인턴현황!$K$2=""),"",INDEX(인턴근무계획!$M$3:$R$202,$AC89,인턴현황!$K$2)&amp;""))-1),$AE89))</f>
        <v/>
      </c>
      <c r="AH89" s="17">
        <f>IF($B89="","",IF(TRIM($J89&amp;"")="",0,SUMPRODUCT((파견수련계획!$Q$4:$Q$203=TRIM($J89&amp;""))*(파견수련계획!$S$4:$S$203="서울병원")*파견수련계획!$W$4:$W$203))+IF($AG89="서울병원",MAX(0,DAY(EOMONTH(요약!$B$3,0))-N($X89)),0))</f>
        <v/>
      </c>
      <c r="AI89" s="17">
        <f>IF($B89="","",IF(TRIM($J89&amp;"")="",0,SUMPRODUCT((파견수련계획!$Q$4:$Q$203=TRIM($J89&amp;""))*(파견수련계획!$S$4:$S$203="구리병원")*파견수련계획!$W$4:$W$203))+IF($AG89="구리병원",MAX(0,DAY(EOMONTH(요약!$B$3,0))-N($X89)),0))</f>
        <v/>
      </c>
      <c r="AJ89" s="10">
        <f>IF(OR($B89="",TRIM($J89&amp;"")=""),"",IFERROR(MATCH(TRIM($J89&amp;"")&amp;"|월",파견수련계획!$Z$4:$Z$203,0),""))</f>
        <v/>
      </c>
      <c r="AK89" s="10">
        <f>IF(OR($B89="",TRIM($J89&amp;"")=""),"",IFERROR(MATCH(TRIM($J89&amp;"")&amp;"|다기관",파견수련계획!$AE$4:$AE$203,0),""))</f>
        <v/>
      </c>
      <c r="AL89" s="10">
        <f>IF($AK89="","","다기관 "&amp;TEXT(INDEX(파견수련계획!$AB$4:$AB$203,$AK89),"yyyy-mm-dd")&amp;"~"&amp;IF(ISNUMBER(INDEX(파견수련계획!$AC$4:$AC$203,$AK89)),TEXT(INDEX(파견수련계획!$AC$4:$AC$203,$AK89),"yyyy-mm-dd"),""))</f>
        <v/>
      </c>
    </row>
    <row r="90">
      <c r="A90" s="10">
        <f>IF(B90="","",ROW()-1)</f>
        <v/>
      </c>
      <c r="B90" s="18" t="n"/>
      <c r="C90" s="10">
        <f>IF($AB90="","",IF(INDEX(기본자료!$C$2:$C$501,$AB90)="","",INDEX(기본자료!$C$2:$C$501,$AB90)))</f>
        <v/>
      </c>
      <c r="D90" s="10">
        <f>IF($AB90="","",IF(INDEX(기본자료!$J$2:$J$501,$AB90)="","",INDEX(기본자료!$J$2:$J$501,$AB90)))</f>
        <v/>
      </c>
      <c r="E90" s="11">
        <f>IF($AB90="","",IF(INDEX(기본자료!$K$2:$K$501,$AB90)="","",IF(NOT(ISNUMBER(INDEX(기본자료!$K$2:$K$501,$AB90))),INDEX(기본자료!$K$2:$K$501,$AB90),IF(INDEX(기본자료!$K$2:$K$501,$AB90)&lt;1000000,INDEX(기본자료!$K$2:$K$501,$AB90),IF(AND(INDEX(기본자료!$K$2:$K$501,$AB90)&gt;=10000101,INT(MOD(INDEX(기본자료!$K$2:$K$501,$AB90),10000)/100)&gt;=1,INT(MOD(INDEX(기본자료!$K$2:$K$501,$AB90),10000)/100)&lt;=12,MOD(INDEX(기본자료!$K$2:$K$501,$AB90),100)&gt;=1,MOD(INDEX(기본자료!$K$2:$K$501,$AB90),100)&lt;=31),DATE(INT(INDEX(기본자료!$K$2:$K$501,$AB90)/10000),INT(MOD(INDEX(기본자료!$K$2:$K$501,$AB90),10000)/100),MOD(INDEX(기본자료!$K$2:$K$501,$AB90),100)),INDEX(기본자료!$K$2:$K$501,$AB90)&amp;"")))))</f>
        <v/>
      </c>
      <c r="F90" s="10">
        <f>IF($AB90="","",IF(INDEX(기본자료!$D$2:$D$501,$AB90)="","",INDEX(기본자료!$D$2:$D$501,$AB90)))</f>
        <v/>
      </c>
      <c r="G90" s="10">
        <f>IF($AB90="","",IF(INDEX(기본자료!$E$2:$E$501,$AB90)="","",INDEX(기본자료!$E$2:$E$501,$AB90)))</f>
        <v/>
      </c>
      <c r="H90" s="10">
        <f>IF($AB90="","",IF(INDEX(기본자료!$F$2:$F$501,$AB90)="","",INDEX(기본자료!$F$2:$F$501,$AB90)))</f>
        <v/>
      </c>
      <c r="I90" s="11">
        <f>IF($AB90="","",IF(INDEX(기본자료!$G$2:$G$501,$AB90)="","",IF(NOT(ISNUMBER(INDEX(기본자료!$G$2:$G$501,$AB90))),INDEX(기본자료!$G$2:$G$501,$AB90),IF(INDEX(기본자료!$G$2:$G$501,$AB90)&lt;1000000,INDEX(기본자료!$G$2:$G$501,$AB90),IF(AND(INDEX(기본자료!$G$2:$G$501,$AB90)&gt;=10000101,INT(MOD(INDEX(기본자료!$G$2:$G$501,$AB90),10000)/100)&gt;=1,INT(MOD(INDEX(기본자료!$G$2:$G$501,$AB90),10000)/100)&lt;=12,MOD(INDEX(기본자료!$G$2:$G$501,$AB90),100)&gt;=1,MOD(INDEX(기본자료!$G$2:$G$501,$AB90),100)&lt;=31),DATE(INT(INDEX(기본자료!$G$2:$G$501,$AB90)/10000),INT(MOD(INDEX(기본자료!$G$2:$G$501,$AB90),10000)/100),MOD(INDEX(기본자료!$G$2:$G$501,$AB90),100)),INDEX(기본자료!$G$2:$G$501,$AB90)&amp;"")))))</f>
        <v/>
      </c>
      <c r="J90" s="10">
        <f>IF($AB90="","",IF(INDEX(기본자료!$H$2:$H$501,$AB90)="","",INDEX(기본자료!$H$2:$H$501,$AB90)))</f>
        <v/>
      </c>
      <c r="K90" s="10">
        <f>IF($AB90="","",IF(INDEX(기본자료!$I$2:$I$501,$AB90)="","",INDEX(기본자료!$I$2:$I$501,$AB90)))</f>
        <v/>
      </c>
      <c r="L90" s="10">
        <f>IF($AB90="","",IF(INDEX(기본자료!$A$2:$A$501,$AB90)="","",INDEX(기본자료!$A$2:$A$501,$AB90)))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파견수련계획!$AB$4:$AB$203,$AK90),OR(NOT(ISNUMBER(INDEX(파견수련계획!$AC$4:$AC$203,$AK90))),TODAY()&lt;=INDEX(파견수련계획!$AC$4:$AC$203,$AK90))),"다기관",IF($AF90="","",INDEX(파견수련계획!$T$4:$T$203,$AF90))),IF($AF90="","",INDEX(파견수련계획!$T$4:$T$203,$AF90))))</f>
        <v/>
      </c>
      <c r="Q90" s="10">
        <f>IF($AF90="","",INDEX(파견수련계획!$S$4:$S$203,$AF90))</f>
        <v/>
      </c>
      <c r="R90" s="10">
        <f>IF($AF90="","",INDEX(파견수련계획!$U$4:$U$203,$AF90))</f>
        <v/>
      </c>
      <c r="S90" s="11">
        <f>IF($AF90="","",IF(INDEX(파견수련계획!$H$4:$H$203,$AF90)="","",INDEX(파견수련계획!$H$4:$H$203,$AF90)))</f>
        <v/>
      </c>
      <c r="T90" s="11">
        <f>IF($AF90="","",IF(INDEX(파견수련계획!$I$4:$I$203,$AF90)="","",INDEX(파견수련계획!$I$4:$I$203,$AF90)))</f>
        <v/>
      </c>
      <c r="U90" s="10">
        <f>IF($AF90="","",INDEX(파견수련계획!$X$4:$X$203,$AF90))</f>
        <v/>
      </c>
      <c r="V90" s="17">
        <f>IF($AF90="","",INDEX(파견수련계획!$V$4:$V$203,$AF90))</f>
        <v/>
      </c>
      <c r="W90" s="17">
        <f>IF(AND($U90="파견중",$T90&lt;&gt;""),$T90-TODAY(),"")</f>
        <v/>
      </c>
      <c r="X90" s="17">
        <f>IF(OR($B90="",TRIM($J90&amp;"")=""),"",SUMPRODUCT((파견수련계획!$Q$4:$Q$203=TRIM($J90&amp;""))*파견수련계획!$W$4:$W$203))</f>
        <v/>
      </c>
      <c r="Y90" s="10">
        <f>IF($B90="","",IF($AG90="","",IF(IF(TRIM($J90&amp;"")="",0,SUMPRODUCT((파견수련계획!$Q$4:$Q$203=TRIM($J90&amp;""))*파견수련계획!$AD$4:$AD$203))&gt;0,$AE90,IF(N($X90)&lt;=0,$AG90,IF($AH90+$AI90=DAY(EOMONTH(요약!$B$3,0)),IF(AND($AH90&gt;=요약!$E$3,$AI90&lt;요약!$E$3),"서울병원",IF(AND($AI90&gt;=요약!$E$3,$AH90&lt;요약!$E$3),"구리병원","⚠15일 판정불가(서울 "&amp;$AH90&amp;"일/구리 "&amp;$AI90&amp;"일)")),IF($AJ90="",$AE90,IF(INDEX(파견수련계획!$T$4:$T$203,$AJ90)="통합수련",INDEX(파견수련계획!$S$4:$S$203,$AJ90),$AE90)))))))</f>
        <v/>
      </c>
      <c r="Z90" s="19">
        <f>IF($B90="","",IF($AB90="","기본자료에 없는 사번",IF(COUNTIF($B$2:$B$201,$B90)&gt;1,"중복 사번",IF($AE90="","소속(입사장소) 입력",IF(IF(TRIM($J90&amp;"")="",0,SUMPRODUCT((파견수련계획!$Q$4:$Q$203=TRIM($J90&amp;""))*(파견수련계획!$AA$4:$AA$203&lt;&gt;"")))&gt;0,"파견수련계획 입력오류 확인",IF(LEFT($Y90,1)="⚠","서울·구리 15일 판정 불가(양쪽 모두 이상/미만)",IF(IF($AC90="",0,N(INDEX(인턴근무계획!$T$3:$T$202,$AC90)))&gt;0,"인턴계획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IF($B90="","",IFERROR(MATCH($B90,기본자료!$B$2:$B$501,0),IFERROR(MATCH($B90&amp;"",기본자료!$B$2:$B$501,0),IFERROR(MATCH(VALUE($B90),기본자료!$B$2:$B$501,0),""))))</f>
        <v/>
      </c>
      <c r="AC90" s="10">
        <f>IF($B90="","",IFERROR(MATCH($B90,인턴근무계획!$D$3:$D$202,0),IFERROR(MATCH($B90&amp;"",인턴근무계획!$D$3:$D$202,0),IFERROR(MATCH(VALUE($B90),인턴근무계획!$D$3:$D$202,0),""))))</f>
        <v/>
      </c>
      <c r="AD90" s="10">
        <f>IF(OR($AC90="",인턴현황!$G$3=""),"",INDEX(인턴근무계획!$M$3:$R$202,$AC90,인턴현황!$G$3)&amp;"")</f>
        <v/>
      </c>
      <c r="AE90" s="10">
        <f>IF($B90="","",IF($M90&lt;&gt;"",$M90,IF($AF90&lt;&gt;"",IF(LEFT(INDEX(파견수련계획!$R$4:$R$203,$AF90),1)&lt;&gt;"⚠",INDEX(파견수련계획!$R$4:$R$203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파견수련계획!$Y$4:$Y$203,0),IFERROR(MATCH(TRIM($J90&amp;"")&amp;"|파견예정",파견수련계획!$Y$4:$Y$203,0),IFERROR(MATCH(TRIM($J90&amp;"")&amp;"|파견종료",파견수련계획!$Y$4:$Y$203,0),""))))</f>
        <v/>
      </c>
      <c r="AG90" s="10">
        <f>IF($B90="","",IF(AND(IF(OR($AC90="",인턴현황!$K$2=""),"",INDEX(인턴근무계획!$M$3:$R$202,$AC90,인턴현황!$K$2)&amp;"")&lt;&gt;"",LEFT(IF(OR($AC90="",인턴현황!$K$2=""),"",INDEX(인턴근무계획!$M$3:$R$202,$AC90,인턴현황!$K$2)&amp;""),1)&lt;&gt;"⚠"),LEFT(IF(OR($AC90="",인턴현황!$K$2=""),"",INDEX(인턴근무계획!$M$3:$R$202,$AC90,인턴현황!$K$2)&amp;""),FIND(" ",IF(OR($AC90="",인턴현황!$K$2=""),"",INDEX(인턴근무계획!$M$3:$R$202,$AC90,인턴현황!$K$2)&amp;""))-1),$AE90))</f>
        <v/>
      </c>
      <c r="AH90" s="17">
        <f>IF($B90="","",IF(TRIM($J90&amp;"")="",0,SUMPRODUCT((파견수련계획!$Q$4:$Q$203=TRIM($J90&amp;""))*(파견수련계획!$S$4:$S$203="서울병원")*파견수련계획!$W$4:$W$203))+IF($AG90="서울병원",MAX(0,DAY(EOMONTH(요약!$B$3,0))-N($X90)),0))</f>
        <v/>
      </c>
      <c r="AI90" s="17">
        <f>IF($B90="","",IF(TRIM($J90&amp;"")="",0,SUMPRODUCT((파견수련계획!$Q$4:$Q$203=TRIM($J90&amp;""))*(파견수련계획!$S$4:$S$203="구리병원")*파견수련계획!$W$4:$W$203))+IF($AG90="구리병원",MAX(0,DAY(EOMONTH(요약!$B$3,0))-N($X90)),0))</f>
        <v/>
      </c>
      <c r="AJ90" s="10">
        <f>IF(OR($B90="",TRIM($J90&amp;"")=""),"",IFERROR(MATCH(TRIM($J90&amp;"")&amp;"|월",파견수련계획!$Z$4:$Z$203,0),""))</f>
        <v/>
      </c>
      <c r="AK90" s="10">
        <f>IF(OR($B90="",TRIM($J90&amp;"")=""),"",IFERROR(MATCH(TRIM($J90&amp;"")&amp;"|다기관",파견수련계획!$AE$4:$AE$203,0),""))</f>
        <v/>
      </c>
      <c r="AL90" s="10">
        <f>IF($AK90="","","다기관 "&amp;TEXT(INDEX(파견수련계획!$AB$4:$AB$203,$AK90),"yyyy-mm-dd")&amp;"~"&amp;IF(ISNUMBER(INDEX(파견수련계획!$AC$4:$AC$203,$AK90)),TEXT(INDEX(파견수련계획!$AC$4:$AC$203,$AK90),"yyyy-mm-dd"),""))</f>
        <v/>
      </c>
    </row>
    <row r="91">
      <c r="A91" s="10">
        <f>IF(B91="","",ROW()-1)</f>
        <v/>
      </c>
      <c r="B91" s="18" t="n"/>
      <c r="C91" s="10">
        <f>IF($AB91="","",IF(INDEX(기본자료!$C$2:$C$501,$AB91)="","",INDEX(기본자료!$C$2:$C$501,$AB91)))</f>
        <v/>
      </c>
      <c r="D91" s="10">
        <f>IF($AB91="","",IF(INDEX(기본자료!$J$2:$J$501,$AB91)="","",INDEX(기본자료!$J$2:$J$501,$AB91)))</f>
        <v/>
      </c>
      <c r="E91" s="11">
        <f>IF($AB91="","",IF(INDEX(기본자료!$K$2:$K$501,$AB91)="","",IF(NOT(ISNUMBER(INDEX(기본자료!$K$2:$K$501,$AB91))),INDEX(기본자료!$K$2:$K$501,$AB91),IF(INDEX(기본자료!$K$2:$K$501,$AB91)&lt;1000000,INDEX(기본자료!$K$2:$K$501,$AB91),IF(AND(INDEX(기본자료!$K$2:$K$501,$AB91)&gt;=10000101,INT(MOD(INDEX(기본자료!$K$2:$K$501,$AB91),10000)/100)&gt;=1,INT(MOD(INDEX(기본자료!$K$2:$K$501,$AB91),10000)/100)&lt;=12,MOD(INDEX(기본자료!$K$2:$K$501,$AB91),100)&gt;=1,MOD(INDEX(기본자료!$K$2:$K$501,$AB91),100)&lt;=31),DATE(INT(INDEX(기본자료!$K$2:$K$501,$AB91)/10000),INT(MOD(INDEX(기본자료!$K$2:$K$501,$AB91),10000)/100),MOD(INDEX(기본자료!$K$2:$K$501,$AB91),100)),INDEX(기본자료!$K$2:$K$501,$AB91)&amp;"")))))</f>
        <v/>
      </c>
      <c r="F91" s="10">
        <f>IF($AB91="","",IF(INDEX(기본자료!$D$2:$D$501,$AB91)="","",INDEX(기본자료!$D$2:$D$501,$AB91)))</f>
        <v/>
      </c>
      <c r="G91" s="10">
        <f>IF($AB91="","",IF(INDEX(기본자료!$E$2:$E$501,$AB91)="","",INDEX(기본자료!$E$2:$E$501,$AB91)))</f>
        <v/>
      </c>
      <c r="H91" s="10">
        <f>IF($AB91="","",IF(INDEX(기본자료!$F$2:$F$501,$AB91)="","",INDEX(기본자료!$F$2:$F$501,$AB91)))</f>
        <v/>
      </c>
      <c r="I91" s="11">
        <f>IF($AB91="","",IF(INDEX(기본자료!$G$2:$G$501,$AB91)="","",IF(NOT(ISNUMBER(INDEX(기본자료!$G$2:$G$501,$AB91))),INDEX(기본자료!$G$2:$G$501,$AB91),IF(INDEX(기본자료!$G$2:$G$501,$AB91)&lt;1000000,INDEX(기본자료!$G$2:$G$501,$AB91),IF(AND(INDEX(기본자료!$G$2:$G$501,$AB91)&gt;=10000101,INT(MOD(INDEX(기본자료!$G$2:$G$501,$AB91),10000)/100)&gt;=1,INT(MOD(INDEX(기본자료!$G$2:$G$501,$AB91),10000)/100)&lt;=12,MOD(INDEX(기본자료!$G$2:$G$501,$AB91),100)&gt;=1,MOD(INDEX(기본자료!$G$2:$G$501,$AB91),100)&lt;=31),DATE(INT(INDEX(기본자료!$G$2:$G$501,$AB91)/10000),INT(MOD(INDEX(기본자료!$G$2:$G$501,$AB91),10000)/100),MOD(INDEX(기본자료!$G$2:$G$501,$AB91),100)),INDEX(기본자료!$G$2:$G$501,$AB91)&amp;"")))))</f>
        <v/>
      </c>
      <c r="J91" s="10">
        <f>IF($AB91="","",IF(INDEX(기본자료!$H$2:$H$501,$AB91)="","",INDEX(기본자료!$H$2:$H$501,$AB91)))</f>
        <v/>
      </c>
      <c r="K91" s="10">
        <f>IF($AB91="","",IF(INDEX(기본자료!$I$2:$I$501,$AB91)="","",INDEX(기본자료!$I$2:$I$501,$AB91)))</f>
        <v/>
      </c>
      <c r="L91" s="10">
        <f>IF($AB91="","",IF(INDEX(기본자료!$A$2:$A$501,$AB91)="","",INDEX(기본자료!$A$2:$A$501,$AB91)))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파견수련계획!$AB$4:$AB$203,$AK91),OR(NOT(ISNUMBER(INDEX(파견수련계획!$AC$4:$AC$203,$AK91))),TODAY()&lt;=INDEX(파견수련계획!$AC$4:$AC$203,$AK91))),"다기관",IF($AF91="","",INDEX(파견수련계획!$T$4:$T$203,$AF91))),IF($AF91="","",INDEX(파견수련계획!$T$4:$T$203,$AF91))))</f>
        <v/>
      </c>
      <c r="Q91" s="10">
        <f>IF($AF91="","",INDEX(파견수련계획!$S$4:$S$203,$AF91))</f>
        <v/>
      </c>
      <c r="R91" s="10">
        <f>IF($AF91="","",INDEX(파견수련계획!$U$4:$U$203,$AF91))</f>
        <v/>
      </c>
      <c r="S91" s="11">
        <f>IF($AF91="","",IF(INDEX(파견수련계획!$H$4:$H$203,$AF91)="","",INDEX(파견수련계획!$H$4:$H$203,$AF91)))</f>
        <v/>
      </c>
      <c r="T91" s="11">
        <f>IF($AF91="","",IF(INDEX(파견수련계획!$I$4:$I$203,$AF91)="","",INDEX(파견수련계획!$I$4:$I$203,$AF91)))</f>
        <v/>
      </c>
      <c r="U91" s="10">
        <f>IF($AF91="","",INDEX(파견수련계획!$X$4:$X$203,$AF91))</f>
        <v/>
      </c>
      <c r="V91" s="17">
        <f>IF($AF91="","",INDEX(파견수련계획!$V$4:$V$203,$AF91))</f>
        <v/>
      </c>
      <c r="W91" s="17">
        <f>IF(AND($U91="파견중",$T91&lt;&gt;""),$T91-TODAY(),"")</f>
        <v/>
      </c>
      <c r="X91" s="17">
        <f>IF(OR($B91="",TRIM($J91&amp;"")=""),"",SUMPRODUCT((파견수련계획!$Q$4:$Q$203=TRIM($J91&amp;""))*파견수련계획!$W$4:$W$203))</f>
        <v/>
      </c>
      <c r="Y91" s="10">
        <f>IF($B91="","",IF($AG91="","",IF(IF(TRIM($J91&amp;"")="",0,SUMPRODUCT((파견수련계획!$Q$4:$Q$203=TRIM($J91&amp;""))*파견수련계획!$AD$4:$AD$203))&gt;0,$AE91,IF(N($X91)&lt;=0,$AG91,IF($AH91+$AI91=DAY(EOMONTH(요약!$B$3,0)),IF(AND($AH91&gt;=요약!$E$3,$AI91&lt;요약!$E$3),"서울병원",IF(AND($AI91&gt;=요약!$E$3,$AH91&lt;요약!$E$3),"구리병원","⚠15일 판정불가(서울 "&amp;$AH91&amp;"일/구리 "&amp;$AI91&amp;"일)")),IF($AJ91="",$AE91,IF(INDEX(파견수련계획!$T$4:$T$203,$AJ91)="통합수련",INDEX(파견수련계획!$S$4:$S$203,$AJ91),$AE91)))))))</f>
        <v/>
      </c>
      <c r="Z91" s="19">
        <f>IF($B91="","",IF($AB91="","기본자료에 없는 사번",IF(COUNTIF($B$2:$B$201,$B91)&gt;1,"중복 사번",IF($AE91="","소속(입사장소) 입력",IF(IF(TRIM($J91&amp;"")="",0,SUMPRODUCT((파견수련계획!$Q$4:$Q$203=TRIM($J91&amp;""))*(파견수련계획!$AA$4:$AA$203&lt;&gt;"")))&gt;0,"파견수련계획 입력오류 확인",IF(LEFT($Y91,1)="⚠","서울·구리 15일 판정 불가(양쪽 모두 이상/미만)",IF(IF($AC91="",0,N(INDEX(인턴근무계획!$T$3:$T$202,$AC91)))&gt;0,"인턴계획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IF($B91="","",IFERROR(MATCH($B91,기본자료!$B$2:$B$501,0),IFERROR(MATCH($B91&amp;"",기본자료!$B$2:$B$501,0),IFERROR(MATCH(VALUE($B91),기본자료!$B$2:$B$501,0),""))))</f>
        <v/>
      </c>
      <c r="AC91" s="10">
        <f>IF($B91="","",IFERROR(MATCH($B91,인턴근무계획!$D$3:$D$202,0),IFERROR(MATCH($B91&amp;"",인턴근무계획!$D$3:$D$202,0),IFERROR(MATCH(VALUE($B91),인턴근무계획!$D$3:$D$202,0),""))))</f>
        <v/>
      </c>
      <c r="AD91" s="10">
        <f>IF(OR($AC91="",인턴현황!$G$3=""),"",INDEX(인턴근무계획!$M$3:$R$202,$AC91,인턴현황!$G$3)&amp;"")</f>
        <v/>
      </c>
      <c r="AE91" s="10">
        <f>IF($B91="","",IF($M91&lt;&gt;"",$M91,IF($AF91&lt;&gt;"",IF(LEFT(INDEX(파견수련계획!$R$4:$R$203,$AF91),1)&lt;&gt;"⚠",INDEX(파견수련계획!$R$4:$R$203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파견수련계획!$Y$4:$Y$203,0),IFERROR(MATCH(TRIM($J91&amp;"")&amp;"|파견예정",파견수련계획!$Y$4:$Y$203,0),IFERROR(MATCH(TRIM($J91&amp;"")&amp;"|파견종료",파견수련계획!$Y$4:$Y$203,0),""))))</f>
        <v/>
      </c>
      <c r="AG91" s="10">
        <f>IF($B91="","",IF(AND(IF(OR($AC91="",인턴현황!$K$2=""),"",INDEX(인턴근무계획!$M$3:$R$202,$AC91,인턴현황!$K$2)&amp;"")&lt;&gt;"",LEFT(IF(OR($AC91="",인턴현황!$K$2=""),"",INDEX(인턴근무계획!$M$3:$R$202,$AC91,인턴현황!$K$2)&amp;""),1)&lt;&gt;"⚠"),LEFT(IF(OR($AC91="",인턴현황!$K$2=""),"",INDEX(인턴근무계획!$M$3:$R$202,$AC91,인턴현황!$K$2)&amp;""),FIND(" ",IF(OR($AC91="",인턴현황!$K$2=""),"",INDEX(인턴근무계획!$M$3:$R$202,$AC91,인턴현황!$K$2)&amp;""))-1),$AE91))</f>
        <v/>
      </c>
      <c r="AH91" s="17">
        <f>IF($B91="","",IF(TRIM($J91&amp;"")="",0,SUMPRODUCT((파견수련계획!$Q$4:$Q$203=TRIM($J91&amp;""))*(파견수련계획!$S$4:$S$203="서울병원")*파견수련계획!$W$4:$W$203))+IF($AG91="서울병원",MAX(0,DAY(EOMONTH(요약!$B$3,0))-N($X91)),0))</f>
        <v/>
      </c>
      <c r="AI91" s="17">
        <f>IF($B91="","",IF(TRIM($J91&amp;"")="",0,SUMPRODUCT((파견수련계획!$Q$4:$Q$203=TRIM($J91&amp;""))*(파견수련계획!$S$4:$S$203="구리병원")*파견수련계획!$W$4:$W$203))+IF($AG91="구리병원",MAX(0,DAY(EOMONTH(요약!$B$3,0))-N($X91)),0))</f>
        <v/>
      </c>
      <c r="AJ91" s="10">
        <f>IF(OR($B91="",TRIM($J91&amp;"")=""),"",IFERROR(MATCH(TRIM($J91&amp;"")&amp;"|월",파견수련계획!$Z$4:$Z$203,0),""))</f>
        <v/>
      </c>
      <c r="AK91" s="10">
        <f>IF(OR($B91="",TRIM($J91&amp;"")=""),"",IFERROR(MATCH(TRIM($J91&amp;"")&amp;"|다기관",파견수련계획!$AE$4:$AE$203,0),""))</f>
        <v/>
      </c>
      <c r="AL91" s="10">
        <f>IF($AK91="","","다기관 "&amp;TEXT(INDEX(파견수련계획!$AB$4:$AB$203,$AK91),"yyyy-mm-dd")&amp;"~"&amp;IF(ISNUMBER(INDEX(파견수련계획!$AC$4:$AC$203,$AK91)),TEXT(INDEX(파견수련계획!$AC$4:$AC$203,$AK91),"yyyy-mm-dd"),""))</f>
        <v/>
      </c>
    </row>
    <row r="92">
      <c r="A92" s="10">
        <f>IF(B92="","",ROW()-1)</f>
        <v/>
      </c>
      <c r="B92" s="18" t="n"/>
      <c r="C92" s="10">
        <f>IF($AB92="","",IF(INDEX(기본자료!$C$2:$C$501,$AB92)="","",INDEX(기본자료!$C$2:$C$501,$AB92)))</f>
        <v/>
      </c>
      <c r="D92" s="10">
        <f>IF($AB92="","",IF(INDEX(기본자료!$J$2:$J$501,$AB92)="","",INDEX(기본자료!$J$2:$J$501,$AB92)))</f>
        <v/>
      </c>
      <c r="E92" s="11">
        <f>IF($AB92="","",IF(INDEX(기본자료!$K$2:$K$501,$AB92)="","",IF(NOT(ISNUMBER(INDEX(기본자료!$K$2:$K$501,$AB92))),INDEX(기본자료!$K$2:$K$501,$AB92),IF(INDEX(기본자료!$K$2:$K$501,$AB92)&lt;1000000,INDEX(기본자료!$K$2:$K$501,$AB92),IF(AND(INDEX(기본자료!$K$2:$K$501,$AB92)&gt;=10000101,INT(MOD(INDEX(기본자료!$K$2:$K$501,$AB92),10000)/100)&gt;=1,INT(MOD(INDEX(기본자료!$K$2:$K$501,$AB92),10000)/100)&lt;=12,MOD(INDEX(기본자료!$K$2:$K$501,$AB92),100)&gt;=1,MOD(INDEX(기본자료!$K$2:$K$501,$AB92),100)&lt;=31),DATE(INT(INDEX(기본자료!$K$2:$K$501,$AB92)/10000),INT(MOD(INDEX(기본자료!$K$2:$K$501,$AB92),10000)/100),MOD(INDEX(기본자료!$K$2:$K$501,$AB92),100)),INDEX(기본자료!$K$2:$K$501,$AB92)&amp;"")))))</f>
        <v/>
      </c>
      <c r="F92" s="10">
        <f>IF($AB92="","",IF(INDEX(기본자료!$D$2:$D$501,$AB92)="","",INDEX(기본자료!$D$2:$D$501,$AB92)))</f>
        <v/>
      </c>
      <c r="G92" s="10">
        <f>IF($AB92="","",IF(INDEX(기본자료!$E$2:$E$501,$AB92)="","",INDEX(기본자료!$E$2:$E$501,$AB92)))</f>
        <v/>
      </c>
      <c r="H92" s="10">
        <f>IF($AB92="","",IF(INDEX(기본자료!$F$2:$F$501,$AB92)="","",INDEX(기본자료!$F$2:$F$501,$AB92)))</f>
        <v/>
      </c>
      <c r="I92" s="11">
        <f>IF($AB92="","",IF(INDEX(기본자료!$G$2:$G$501,$AB92)="","",IF(NOT(ISNUMBER(INDEX(기본자료!$G$2:$G$501,$AB92))),INDEX(기본자료!$G$2:$G$501,$AB92),IF(INDEX(기본자료!$G$2:$G$501,$AB92)&lt;1000000,INDEX(기본자료!$G$2:$G$501,$AB92),IF(AND(INDEX(기본자료!$G$2:$G$501,$AB92)&gt;=10000101,INT(MOD(INDEX(기본자료!$G$2:$G$501,$AB92),10000)/100)&gt;=1,INT(MOD(INDEX(기본자료!$G$2:$G$501,$AB92),10000)/100)&lt;=12,MOD(INDEX(기본자료!$G$2:$G$501,$AB92),100)&gt;=1,MOD(INDEX(기본자료!$G$2:$G$501,$AB92),100)&lt;=31),DATE(INT(INDEX(기본자료!$G$2:$G$501,$AB92)/10000),INT(MOD(INDEX(기본자료!$G$2:$G$501,$AB92),10000)/100),MOD(INDEX(기본자료!$G$2:$G$501,$AB92),100)),INDEX(기본자료!$G$2:$G$501,$AB92)&amp;"")))))</f>
        <v/>
      </c>
      <c r="J92" s="10">
        <f>IF($AB92="","",IF(INDEX(기본자료!$H$2:$H$501,$AB92)="","",INDEX(기본자료!$H$2:$H$501,$AB92)))</f>
        <v/>
      </c>
      <c r="K92" s="10">
        <f>IF($AB92="","",IF(INDEX(기본자료!$I$2:$I$501,$AB92)="","",INDEX(기본자료!$I$2:$I$501,$AB92)))</f>
        <v/>
      </c>
      <c r="L92" s="10">
        <f>IF($AB92="","",IF(INDEX(기본자료!$A$2:$A$501,$AB92)="","",INDEX(기본자료!$A$2:$A$501,$AB92)))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파견수련계획!$AB$4:$AB$203,$AK92),OR(NOT(ISNUMBER(INDEX(파견수련계획!$AC$4:$AC$203,$AK92))),TODAY()&lt;=INDEX(파견수련계획!$AC$4:$AC$203,$AK92))),"다기관",IF($AF92="","",INDEX(파견수련계획!$T$4:$T$203,$AF92))),IF($AF92="","",INDEX(파견수련계획!$T$4:$T$203,$AF92))))</f>
        <v/>
      </c>
      <c r="Q92" s="10">
        <f>IF($AF92="","",INDEX(파견수련계획!$S$4:$S$203,$AF92))</f>
        <v/>
      </c>
      <c r="R92" s="10">
        <f>IF($AF92="","",INDEX(파견수련계획!$U$4:$U$203,$AF92))</f>
        <v/>
      </c>
      <c r="S92" s="11">
        <f>IF($AF92="","",IF(INDEX(파견수련계획!$H$4:$H$203,$AF92)="","",INDEX(파견수련계획!$H$4:$H$203,$AF92)))</f>
        <v/>
      </c>
      <c r="T92" s="11">
        <f>IF($AF92="","",IF(INDEX(파견수련계획!$I$4:$I$203,$AF92)="","",INDEX(파견수련계획!$I$4:$I$203,$AF92)))</f>
        <v/>
      </c>
      <c r="U92" s="10">
        <f>IF($AF92="","",INDEX(파견수련계획!$X$4:$X$203,$AF92))</f>
        <v/>
      </c>
      <c r="V92" s="17">
        <f>IF($AF92="","",INDEX(파견수련계획!$V$4:$V$203,$AF92))</f>
        <v/>
      </c>
      <c r="W92" s="17">
        <f>IF(AND($U92="파견중",$T92&lt;&gt;""),$T92-TODAY(),"")</f>
        <v/>
      </c>
      <c r="X92" s="17">
        <f>IF(OR($B92="",TRIM($J92&amp;"")=""),"",SUMPRODUCT((파견수련계획!$Q$4:$Q$203=TRIM($J92&amp;""))*파견수련계획!$W$4:$W$203))</f>
        <v/>
      </c>
      <c r="Y92" s="10">
        <f>IF($B92="","",IF($AG92="","",IF(IF(TRIM($J92&amp;"")="",0,SUMPRODUCT((파견수련계획!$Q$4:$Q$203=TRIM($J92&amp;""))*파견수련계획!$AD$4:$AD$203))&gt;0,$AE92,IF(N($X92)&lt;=0,$AG92,IF($AH92+$AI92=DAY(EOMONTH(요약!$B$3,0)),IF(AND($AH92&gt;=요약!$E$3,$AI92&lt;요약!$E$3),"서울병원",IF(AND($AI92&gt;=요약!$E$3,$AH92&lt;요약!$E$3),"구리병원","⚠15일 판정불가(서울 "&amp;$AH92&amp;"일/구리 "&amp;$AI92&amp;"일)")),IF($AJ92="",$AE92,IF(INDEX(파견수련계획!$T$4:$T$203,$AJ92)="통합수련",INDEX(파견수련계획!$S$4:$S$203,$AJ92),$AE92)))))))</f>
        <v/>
      </c>
      <c r="Z92" s="19">
        <f>IF($B92="","",IF($AB92="","기본자료에 없는 사번",IF(COUNTIF($B$2:$B$201,$B92)&gt;1,"중복 사번",IF($AE92="","소속(입사장소) 입력",IF(IF(TRIM($J92&amp;"")="",0,SUMPRODUCT((파견수련계획!$Q$4:$Q$203=TRIM($J92&amp;""))*(파견수련계획!$AA$4:$AA$203&lt;&gt;"")))&gt;0,"파견수련계획 입력오류 확인",IF(LEFT($Y92,1)="⚠","서울·구리 15일 판정 불가(양쪽 모두 이상/미만)",IF(IF($AC92="",0,N(INDEX(인턴근무계획!$T$3:$T$202,$AC92)))&gt;0,"인턴계획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IF($B92="","",IFERROR(MATCH($B92,기본자료!$B$2:$B$501,0),IFERROR(MATCH($B92&amp;"",기본자료!$B$2:$B$501,0),IFERROR(MATCH(VALUE($B92),기본자료!$B$2:$B$501,0),""))))</f>
        <v/>
      </c>
      <c r="AC92" s="10">
        <f>IF($B92="","",IFERROR(MATCH($B92,인턴근무계획!$D$3:$D$202,0),IFERROR(MATCH($B92&amp;"",인턴근무계획!$D$3:$D$202,0),IFERROR(MATCH(VALUE($B92),인턴근무계획!$D$3:$D$202,0),""))))</f>
        <v/>
      </c>
      <c r="AD92" s="10">
        <f>IF(OR($AC92="",인턴현황!$G$3=""),"",INDEX(인턴근무계획!$M$3:$R$202,$AC92,인턴현황!$G$3)&amp;"")</f>
        <v/>
      </c>
      <c r="AE92" s="10">
        <f>IF($B92="","",IF($M92&lt;&gt;"",$M92,IF($AF92&lt;&gt;"",IF(LEFT(INDEX(파견수련계획!$R$4:$R$203,$AF92),1)&lt;&gt;"⚠",INDEX(파견수련계획!$R$4:$R$203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파견수련계획!$Y$4:$Y$203,0),IFERROR(MATCH(TRIM($J92&amp;"")&amp;"|파견예정",파견수련계획!$Y$4:$Y$203,0),IFERROR(MATCH(TRIM($J92&amp;"")&amp;"|파견종료",파견수련계획!$Y$4:$Y$203,0),""))))</f>
        <v/>
      </c>
      <c r="AG92" s="10">
        <f>IF($B92="","",IF(AND(IF(OR($AC92="",인턴현황!$K$2=""),"",INDEX(인턴근무계획!$M$3:$R$202,$AC92,인턴현황!$K$2)&amp;"")&lt;&gt;"",LEFT(IF(OR($AC92="",인턴현황!$K$2=""),"",INDEX(인턴근무계획!$M$3:$R$202,$AC92,인턴현황!$K$2)&amp;""),1)&lt;&gt;"⚠"),LEFT(IF(OR($AC92="",인턴현황!$K$2=""),"",INDEX(인턴근무계획!$M$3:$R$202,$AC92,인턴현황!$K$2)&amp;""),FIND(" ",IF(OR($AC92="",인턴현황!$K$2=""),"",INDEX(인턴근무계획!$M$3:$R$202,$AC92,인턴현황!$K$2)&amp;""))-1),$AE92))</f>
        <v/>
      </c>
      <c r="AH92" s="17">
        <f>IF($B92="","",IF(TRIM($J92&amp;"")="",0,SUMPRODUCT((파견수련계획!$Q$4:$Q$203=TRIM($J92&amp;""))*(파견수련계획!$S$4:$S$203="서울병원")*파견수련계획!$W$4:$W$203))+IF($AG92="서울병원",MAX(0,DAY(EOMONTH(요약!$B$3,0))-N($X92)),0))</f>
        <v/>
      </c>
      <c r="AI92" s="17">
        <f>IF($B92="","",IF(TRIM($J92&amp;"")="",0,SUMPRODUCT((파견수련계획!$Q$4:$Q$203=TRIM($J92&amp;""))*(파견수련계획!$S$4:$S$203="구리병원")*파견수련계획!$W$4:$W$203))+IF($AG92="구리병원",MAX(0,DAY(EOMONTH(요약!$B$3,0))-N($X92)),0))</f>
        <v/>
      </c>
      <c r="AJ92" s="10">
        <f>IF(OR($B92="",TRIM($J92&amp;"")=""),"",IFERROR(MATCH(TRIM($J92&amp;"")&amp;"|월",파견수련계획!$Z$4:$Z$203,0),""))</f>
        <v/>
      </c>
      <c r="AK92" s="10">
        <f>IF(OR($B92="",TRIM($J92&amp;"")=""),"",IFERROR(MATCH(TRIM($J92&amp;"")&amp;"|다기관",파견수련계획!$AE$4:$AE$203,0),""))</f>
        <v/>
      </c>
      <c r="AL92" s="10">
        <f>IF($AK92="","","다기관 "&amp;TEXT(INDEX(파견수련계획!$AB$4:$AB$203,$AK92),"yyyy-mm-dd")&amp;"~"&amp;IF(ISNUMBER(INDEX(파견수련계획!$AC$4:$AC$203,$AK92)),TEXT(INDEX(파견수련계획!$AC$4:$AC$203,$AK92),"yyyy-mm-dd"),""))</f>
        <v/>
      </c>
    </row>
    <row r="93">
      <c r="A93" s="10">
        <f>IF(B93="","",ROW()-1)</f>
        <v/>
      </c>
      <c r="B93" s="18" t="n"/>
      <c r="C93" s="10">
        <f>IF($AB93="","",IF(INDEX(기본자료!$C$2:$C$501,$AB93)="","",INDEX(기본자료!$C$2:$C$501,$AB93)))</f>
        <v/>
      </c>
      <c r="D93" s="10">
        <f>IF($AB93="","",IF(INDEX(기본자료!$J$2:$J$501,$AB93)="","",INDEX(기본자료!$J$2:$J$501,$AB93)))</f>
        <v/>
      </c>
      <c r="E93" s="11">
        <f>IF($AB93="","",IF(INDEX(기본자료!$K$2:$K$501,$AB93)="","",IF(NOT(ISNUMBER(INDEX(기본자료!$K$2:$K$501,$AB93))),INDEX(기본자료!$K$2:$K$501,$AB93),IF(INDEX(기본자료!$K$2:$K$501,$AB93)&lt;1000000,INDEX(기본자료!$K$2:$K$501,$AB93),IF(AND(INDEX(기본자료!$K$2:$K$501,$AB93)&gt;=10000101,INT(MOD(INDEX(기본자료!$K$2:$K$501,$AB93),10000)/100)&gt;=1,INT(MOD(INDEX(기본자료!$K$2:$K$501,$AB93),10000)/100)&lt;=12,MOD(INDEX(기본자료!$K$2:$K$501,$AB93),100)&gt;=1,MOD(INDEX(기본자료!$K$2:$K$501,$AB93),100)&lt;=31),DATE(INT(INDEX(기본자료!$K$2:$K$501,$AB93)/10000),INT(MOD(INDEX(기본자료!$K$2:$K$501,$AB93),10000)/100),MOD(INDEX(기본자료!$K$2:$K$501,$AB93),100)),INDEX(기본자료!$K$2:$K$501,$AB93)&amp;"")))))</f>
        <v/>
      </c>
      <c r="F93" s="10">
        <f>IF($AB93="","",IF(INDEX(기본자료!$D$2:$D$501,$AB93)="","",INDEX(기본자료!$D$2:$D$501,$AB93)))</f>
        <v/>
      </c>
      <c r="G93" s="10">
        <f>IF($AB93="","",IF(INDEX(기본자료!$E$2:$E$501,$AB93)="","",INDEX(기본자료!$E$2:$E$501,$AB93)))</f>
        <v/>
      </c>
      <c r="H93" s="10">
        <f>IF($AB93="","",IF(INDEX(기본자료!$F$2:$F$501,$AB93)="","",INDEX(기본자료!$F$2:$F$501,$AB93)))</f>
        <v/>
      </c>
      <c r="I93" s="11">
        <f>IF($AB93="","",IF(INDEX(기본자료!$G$2:$G$501,$AB93)="","",IF(NOT(ISNUMBER(INDEX(기본자료!$G$2:$G$501,$AB93))),INDEX(기본자료!$G$2:$G$501,$AB93),IF(INDEX(기본자료!$G$2:$G$501,$AB93)&lt;1000000,INDEX(기본자료!$G$2:$G$501,$AB93),IF(AND(INDEX(기본자료!$G$2:$G$501,$AB93)&gt;=10000101,INT(MOD(INDEX(기본자료!$G$2:$G$501,$AB93),10000)/100)&gt;=1,INT(MOD(INDEX(기본자료!$G$2:$G$501,$AB93),10000)/100)&lt;=12,MOD(INDEX(기본자료!$G$2:$G$501,$AB93),100)&gt;=1,MOD(INDEX(기본자료!$G$2:$G$501,$AB93),100)&lt;=31),DATE(INT(INDEX(기본자료!$G$2:$G$501,$AB93)/10000),INT(MOD(INDEX(기본자료!$G$2:$G$501,$AB93),10000)/100),MOD(INDEX(기본자료!$G$2:$G$501,$AB93),100)),INDEX(기본자료!$G$2:$G$501,$AB93)&amp;"")))))</f>
        <v/>
      </c>
      <c r="J93" s="10">
        <f>IF($AB93="","",IF(INDEX(기본자료!$H$2:$H$501,$AB93)="","",INDEX(기본자료!$H$2:$H$501,$AB93)))</f>
        <v/>
      </c>
      <c r="K93" s="10">
        <f>IF($AB93="","",IF(INDEX(기본자료!$I$2:$I$501,$AB93)="","",INDEX(기본자료!$I$2:$I$501,$AB93)))</f>
        <v/>
      </c>
      <c r="L93" s="10">
        <f>IF($AB93="","",IF(INDEX(기본자료!$A$2:$A$501,$AB93)="","",INDEX(기본자료!$A$2:$A$501,$AB93)))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파견수련계획!$AB$4:$AB$203,$AK93),OR(NOT(ISNUMBER(INDEX(파견수련계획!$AC$4:$AC$203,$AK93))),TODAY()&lt;=INDEX(파견수련계획!$AC$4:$AC$203,$AK93))),"다기관",IF($AF93="","",INDEX(파견수련계획!$T$4:$T$203,$AF93))),IF($AF93="","",INDEX(파견수련계획!$T$4:$T$203,$AF93))))</f>
        <v/>
      </c>
      <c r="Q93" s="10">
        <f>IF($AF93="","",INDEX(파견수련계획!$S$4:$S$203,$AF93))</f>
        <v/>
      </c>
      <c r="R93" s="10">
        <f>IF($AF93="","",INDEX(파견수련계획!$U$4:$U$203,$AF93))</f>
        <v/>
      </c>
      <c r="S93" s="11">
        <f>IF($AF93="","",IF(INDEX(파견수련계획!$H$4:$H$203,$AF93)="","",INDEX(파견수련계획!$H$4:$H$203,$AF93)))</f>
        <v/>
      </c>
      <c r="T93" s="11">
        <f>IF($AF93="","",IF(INDEX(파견수련계획!$I$4:$I$203,$AF93)="","",INDEX(파견수련계획!$I$4:$I$203,$AF93)))</f>
        <v/>
      </c>
      <c r="U93" s="10">
        <f>IF($AF93="","",INDEX(파견수련계획!$X$4:$X$203,$AF93))</f>
        <v/>
      </c>
      <c r="V93" s="17">
        <f>IF($AF93="","",INDEX(파견수련계획!$V$4:$V$203,$AF93))</f>
        <v/>
      </c>
      <c r="W93" s="17">
        <f>IF(AND($U93="파견중",$T93&lt;&gt;""),$T93-TODAY(),"")</f>
        <v/>
      </c>
      <c r="X93" s="17">
        <f>IF(OR($B93="",TRIM($J93&amp;"")=""),"",SUMPRODUCT((파견수련계획!$Q$4:$Q$203=TRIM($J93&amp;""))*파견수련계획!$W$4:$W$203))</f>
        <v/>
      </c>
      <c r="Y93" s="10">
        <f>IF($B93="","",IF($AG93="","",IF(IF(TRIM($J93&amp;"")="",0,SUMPRODUCT((파견수련계획!$Q$4:$Q$203=TRIM($J93&amp;""))*파견수련계획!$AD$4:$AD$203))&gt;0,$AE93,IF(N($X93)&lt;=0,$AG93,IF($AH93+$AI93=DAY(EOMONTH(요약!$B$3,0)),IF(AND($AH93&gt;=요약!$E$3,$AI93&lt;요약!$E$3),"서울병원",IF(AND($AI93&gt;=요약!$E$3,$AH93&lt;요약!$E$3),"구리병원","⚠15일 판정불가(서울 "&amp;$AH93&amp;"일/구리 "&amp;$AI93&amp;"일)")),IF($AJ93="",$AE93,IF(INDEX(파견수련계획!$T$4:$T$203,$AJ93)="통합수련",INDEX(파견수련계획!$S$4:$S$203,$AJ93),$AE93)))))))</f>
        <v/>
      </c>
      <c r="Z93" s="19">
        <f>IF($B93="","",IF($AB93="","기본자료에 없는 사번",IF(COUNTIF($B$2:$B$201,$B93)&gt;1,"중복 사번",IF($AE93="","소속(입사장소) 입력",IF(IF(TRIM($J93&amp;"")="",0,SUMPRODUCT((파견수련계획!$Q$4:$Q$203=TRIM($J93&amp;""))*(파견수련계획!$AA$4:$AA$203&lt;&gt;"")))&gt;0,"파견수련계획 입력오류 확인",IF(LEFT($Y93,1)="⚠","서울·구리 15일 판정 불가(양쪽 모두 이상/미만)",IF(IF($AC93="",0,N(INDEX(인턴근무계획!$T$3:$T$202,$AC93)))&gt;0,"인턴계획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IF($B93="","",IFERROR(MATCH($B93,기본자료!$B$2:$B$501,0),IFERROR(MATCH($B93&amp;"",기본자료!$B$2:$B$501,0),IFERROR(MATCH(VALUE($B93),기본자료!$B$2:$B$501,0),""))))</f>
        <v/>
      </c>
      <c r="AC93" s="10">
        <f>IF($B93="","",IFERROR(MATCH($B93,인턴근무계획!$D$3:$D$202,0),IFERROR(MATCH($B93&amp;"",인턴근무계획!$D$3:$D$202,0),IFERROR(MATCH(VALUE($B93),인턴근무계획!$D$3:$D$202,0),""))))</f>
        <v/>
      </c>
      <c r="AD93" s="10">
        <f>IF(OR($AC93="",인턴현황!$G$3=""),"",INDEX(인턴근무계획!$M$3:$R$202,$AC93,인턴현황!$G$3)&amp;"")</f>
        <v/>
      </c>
      <c r="AE93" s="10">
        <f>IF($B93="","",IF($M93&lt;&gt;"",$M93,IF($AF93&lt;&gt;"",IF(LEFT(INDEX(파견수련계획!$R$4:$R$203,$AF93),1)&lt;&gt;"⚠",INDEX(파견수련계획!$R$4:$R$203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파견수련계획!$Y$4:$Y$203,0),IFERROR(MATCH(TRIM($J93&amp;"")&amp;"|파견예정",파견수련계획!$Y$4:$Y$203,0),IFERROR(MATCH(TRIM($J93&amp;"")&amp;"|파견종료",파견수련계획!$Y$4:$Y$203,0),""))))</f>
        <v/>
      </c>
      <c r="AG93" s="10">
        <f>IF($B93="","",IF(AND(IF(OR($AC93="",인턴현황!$K$2=""),"",INDEX(인턴근무계획!$M$3:$R$202,$AC93,인턴현황!$K$2)&amp;"")&lt;&gt;"",LEFT(IF(OR($AC93="",인턴현황!$K$2=""),"",INDEX(인턴근무계획!$M$3:$R$202,$AC93,인턴현황!$K$2)&amp;""),1)&lt;&gt;"⚠"),LEFT(IF(OR($AC93="",인턴현황!$K$2=""),"",INDEX(인턴근무계획!$M$3:$R$202,$AC93,인턴현황!$K$2)&amp;""),FIND(" ",IF(OR($AC93="",인턴현황!$K$2=""),"",INDEX(인턴근무계획!$M$3:$R$202,$AC93,인턴현황!$K$2)&amp;""))-1),$AE93))</f>
        <v/>
      </c>
      <c r="AH93" s="17">
        <f>IF($B93="","",IF(TRIM($J93&amp;"")="",0,SUMPRODUCT((파견수련계획!$Q$4:$Q$203=TRIM($J93&amp;""))*(파견수련계획!$S$4:$S$203="서울병원")*파견수련계획!$W$4:$W$203))+IF($AG93="서울병원",MAX(0,DAY(EOMONTH(요약!$B$3,0))-N($X93)),0))</f>
        <v/>
      </c>
      <c r="AI93" s="17">
        <f>IF($B93="","",IF(TRIM($J93&amp;"")="",0,SUMPRODUCT((파견수련계획!$Q$4:$Q$203=TRIM($J93&amp;""))*(파견수련계획!$S$4:$S$203="구리병원")*파견수련계획!$W$4:$W$203))+IF($AG93="구리병원",MAX(0,DAY(EOMONTH(요약!$B$3,0))-N($X93)),0))</f>
        <v/>
      </c>
      <c r="AJ93" s="10">
        <f>IF(OR($B93="",TRIM($J93&amp;"")=""),"",IFERROR(MATCH(TRIM($J93&amp;"")&amp;"|월",파견수련계획!$Z$4:$Z$203,0),""))</f>
        <v/>
      </c>
      <c r="AK93" s="10">
        <f>IF(OR($B93="",TRIM($J93&amp;"")=""),"",IFERROR(MATCH(TRIM($J93&amp;"")&amp;"|다기관",파견수련계획!$AE$4:$AE$203,0),""))</f>
        <v/>
      </c>
      <c r="AL93" s="10">
        <f>IF($AK93="","","다기관 "&amp;TEXT(INDEX(파견수련계획!$AB$4:$AB$203,$AK93),"yyyy-mm-dd")&amp;"~"&amp;IF(ISNUMBER(INDEX(파견수련계획!$AC$4:$AC$203,$AK93)),TEXT(INDEX(파견수련계획!$AC$4:$AC$203,$AK93),"yyyy-mm-dd"),""))</f>
        <v/>
      </c>
    </row>
    <row r="94">
      <c r="A94" s="10">
        <f>IF(B94="","",ROW()-1)</f>
        <v/>
      </c>
      <c r="B94" s="18" t="n"/>
      <c r="C94" s="10">
        <f>IF($AB94="","",IF(INDEX(기본자료!$C$2:$C$501,$AB94)="","",INDEX(기본자료!$C$2:$C$501,$AB94)))</f>
        <v/>
      </c>
      <c r="D94" s="10">
        <f>IF($AB94="","",IF(INDEX(기본자료!$J$2:$J$501,$AB94)="","",INDEX(기본자료!$J$2:$J$501,$AB94)))</f>
        <v/>
      </c>
      <c r="E94" s="11">
        <f>IF($AB94="","",IF(INDEX(기본자료!$K$2:$K$501,$AB94)="","",IF(NOT(ISNUMBER(INDEX(기본자료!$K$2:$K$501,$AB94))),INDEX(기본자료!$K$2:$K$501,$AB94),IF(INDEX(기본자료!$K$2:$K$501,$AB94)&lt;1000000,INDEX(기본자료!$K$2:$K$501,$AB94),IF(AND(INDEX(기본자료!$K$2:$K$501,$AB94)&gt;=10000101,INT(MOD(INDEX(기본자료!$K$2:$K$501,$AB94),10000)/100)&gt;=1,INT(MOD(INDEX(기본자료!$K$2:$K$501,$AB94),10000)/100)&lt;=12,MOD(INDEX(기본자료!$K$2:$K$501,$AB94),100)&gt;=1,MOD(INDEX(기본자료!$K$2:$K$501,$AB94),100)&lt;=31),DATE(INT(INDEX(기본자료!$K$2:$K$501,$AB94)/10000),INT(MOD(INDEX(기본자료!$K$2:$K$501,$AB94),10000)/100),MOD(INDEX(기본자료!$K$2:$K$501,$AB94),100)),INDEX(기본자료!$K$2:$K$501,$AB94)&amp;"")))))</f>
        <v/>
      </c>
      <c r="F94" s="10">
        <f>IF($AB94="","",IF(INDEX(기본자료!$D$2:$D$501,$AB94)="","",INDEX(기본자료!$D$2:$D$501,$AB94)))</f>
        <v/>
      </c>
      <c r="G94" s="10">
        <f>IF($AB94="","",IF(INDEX(기본자료!$E$2:$E$501,$AB94)="","",INDEX(기본자료!$E$2:$E$501,$AB94)))</f>
        <v/>
      </c>
      <c r="H94" s="10">
        <f>IF($AB94="","",IF(INDEX(기본자료!$F$2:$F$501,$AB94)="","",INDEX(기본자료!$F$2:$F$501,$AB94)))</f>
        <v/>
      </c>
      <c r="I94" s="11">
        <f>IF($AB94="","",IF(INDEX(기본자료!$G$2:$G$501,$AB94)="","",IF(NOT(ISNUMBER(INDEX(기본자료!$G$2:$G$501,$AB94))),INDEX(기본자료!$G$2:$G$501,$AB94),IF(INDEX(기본자료!$G$2:$G$501,$AB94)&lt;1000000,INDEX(기본자료!$G$2:$G$501,$AB94),IF(AND(INDEX(기본자료!$G$2:$G$501,$AB94)&gt;=10000101,INT(MOD(INDEX(기본자료!$G$2:$G$501,$AB94),10000)/100)&gt;=1,INT(MOD(INDEX(기본자료!$G$2:$G$501,$AB94),10000)/100)&lt;=12,MOD(INDEX(기본자료!$G$2:$G$501,$AB94),100)&gt;=1,MOD(INDEX(기본자료!$G$2:$G$501,$AB94),100)&lt;=31),DATE(INT(INDEX(기본자료!$G$2:$G$501,$AB94)/10000),INT(MOD(INDEX(기본자료!$G$2:$G$501,$AB94),10000)/100),MOD(INDEX(기본자료!$G$2:$G$501,$AB94),100)),INDEX(기본자료!$G$2:$G$501,$AB94)&amp;"")))))</f>
        <v/>
      </c>
      <c r="J94" s="10">
        <f>IF($AB94="","",IF(INDEX(기본자료!$H$2:$H$501,$AB94)="","",INDEX(기본자료!$H$2:$H$501,$AB94)))</f>
        <v/>
      </c>
      <c r="K94" s="10">
        <f>IF($AB94="","",IF(INDEX(기본자료!$I$2:$I$501,$AB94)="","",INDEX(기본자료!$I$2:$I$501,$AB94)))</f>
        <v/>
      </c>
      <c r="L94" s="10">
        <f>IF($AB94="","",IF(INDEX(기본자료!$A$2:$A$501,$AB94)="","",INDEX(기본자료!$A$2:$A$501,$AB94)))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파견수련계획!$AB$4:$AB$203,$AK94),OR(NOT(ISNUMBER(INDEX(파견수련계획!$AC$4:$AC$203,$AK94))),TODAY()&lt;=INDEX(파견수련계획!$AC$4:$AC$203,$AK94))),"다기관",IF($AF94="","",INDEX(파견수련계획!$T$4:$T$203,$AF94))),IF($AF94="","",INDEX(파견수련계획!$T$4:$T$203,$AF94))))</f>
        <v/>
      </c>
      <c r="Q94" s="10">
        <f>IF($AF94="","",INDEX(파견수련계획!$S$4:$S$203,$AF94))</f>
        <v/>
      </c>
      <c r="R94" s="10">
        <f>IF($AF94="","",INDEX(파견수련계획!$U$4:$U$203,$AF94))</f>
        <v/>
      </c>
      <c r="S94" s="11">
        <f>IF($AF94="","",IF(INDEX(파견수련계획!$H$4:$H$203,$AF94)="","",INDEX(파견수련계획!$H$4:$H$203,$AF94)))</f>
        <v/>
      </c>
      <c r="T94" s="11">
        <f>IF($AF94="","",IF(INDEX(파견수련계획!$I$4:$I$203,$AF94)="","",INDEX(파견수련계획!$I$4:$I$203,$AF94)))</f>
        <v/>
      </c>
      <c r="U94" s="10">
        <f>IF($AF94="","",INDEX(파견수련계획!$X$4:$X$203,$AF94))</f>
        <v/>
      </c>
      <c r="V94" s="17">
        <f>IF($AF94="","",INDEX(파견수련계획!$V$4:$V$203,$AF94))</f>
        <v/>
      </c>
      <c r="W94" s="17">
        <f>IF(AND($U94="파견중",$T94&lt;&gt;""),$T94-TODAY(),"")</f>
        <v/>
      </c>
      <c r="X94" s="17">
        <f>IF(OR($B94="",TRIM($J94&amp;"")=""),"",SUMPRODUCT((파견수련계획!$Q$4:$Q$203=TRIM($J94&amp;""))*파견수련계획!$W$4:$W$203))</f>
        <v/>
      </c>
      <c r="Y94" s="10">
        <f>IF($B94="","",IF($AG94="","",IF(IF(TRIM($J94&amp;"")="",0,SUMPRODUCT((파견수련계획!$Q$4:$Q$203=TRIM($J94&amp;""))*파견수련계획!$AD$4:$AD$203))&gt;0,$AE94,IF(N($X94)&lt;=0,$AG94,IF($AH94+$AI94=DAY(EOMONTH(요약!$B$3,0)),IF(AND($AH94&gt;=요약!$E$3,$AI94&lt;요약!$E$3),"서울병원",IF(AND($AI94&gt;=요약!$E$3,$AH94&lt;요약!$E$3),"구리병원","⚠15일 판정불가(서울 "&amp;$AH94&amp;"일/구리 "&amp;$AI94&amp;"일)")),IF($AJ94="",$AE94,IF(INDEX(파견수련계획!$T$4:$T$203,$AJ94)="통합수련",INDEX(파견수련계획!$S$4:$S$203,$AJ94),$AE94)))))))</f>
        <v/>
      </c>
      <c r="Z94" s="19">
        <f>IF($B94="","",IF($AB94="","기본자료에 없는 사번",IF(COUNTIF($B$2:$B$201,$B94)&gt;1,"중복 사번",IF($AE94="","소속(입사장소) 입력",IF(IF(TRIM($J94&amp;"")="",0,SUMPRODUCT((파견수련계획!$Q$4:$Q$203=TRIM($J94&amp;""))*(파견수련계획!$AA$4:$AA$203&lt;&gt;"")))&gt;0,"파견수련계획 입력오류 확인",IF(LEFT($Y94,1)="⚠","서울·구리 15일 판정 불가(양쪽 모두 이상/미만)",IF(IF($AC94="",0,N(INDEX(인턴근무계획!$T$3:$T$202,$AC94)))&gt;0,"인턴계획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IF($B94="","",IFERROR(MATCH($B94,기본자료!$B$2:$B$501,0),IFERROR(MATCH($B94&amp;"",기본자료!$B$2:$B$501,0),IFERROR(MATCH(VALUE($B94),기본자료!$B$2:$B$501,0),""))))</f>
        <v/>
      </c>
      <c r="AC94" s="10">
        <f>IF($B94="","",IFERROR(MATCH($B94,인턴근무계획!$D$3:$D$202,0),IFERROR(MATCH($B94&amp;"",인턴근무계획!$D$3:$D$202,0),IFERROR(MATCH(VALUE($B94),인턴근무계획!$D$3:$D$202,0),""))))</f>
        <v/>
      </c>
      <c r="AD94" s="10">
        <f>IF(OR($AC94="",인턴현황!$G$3=""),"",INDEX(인턴근무계획!$M$3:$R$202,$AC94,인턴현황!$G$3)&amp;"")</f>
        <v/>
      </c>
      <c r="AE94" s="10">
        <f>IF($B94="","",IF($M94&lt;&gt;"",$M94,IF($AF94&lt;&gt;"",IF(LEFT(INDEX(파견수련계획!$R$4:$R$203,$AF94),1)&lt;&gt;"⚠",INDEX(파견수련계획!$R$4:$R$203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파견수련계획!$Y$4:$Y$203,0),IFERROR(MATCH(TRIM($J94&amp;"")&amp;"|파견예정",파견수련계획!$Y$4:$Y$203,0),IFERROR(MATCH(TRIM($J94&amp;"")&amp;"|파견종료",파견수련계획!$Y$4:$Y$203,0),""))))</f>
        <v/>
      </c>
      <c r="AG94" s="10">
        <f>IF($B94="","",IF(AND(IF(OR($AC94="",인턴현황!$K$2=""),"",INDEX(인턴근무계획!$M$3:$R$202,$AC94,인턴현황!$K$2)&amp;"")&lt;&gt;"",LEFT(IF(OR($AC94="",인턴현황!$K$2=""),"",INDEX(인턴근무계획!$M$3:$R$202,$AC94,인턴현황!$K$2)&amp;""),1)&lt;&gt;"⚠"),LEFT(IF(OR($AC94="",인턴현황!$K$2=""),"",INDEX(인턴근무계획!$M$3:$R$202,$AC94,인턴현황!$K$2)&amp;""),FIND(" ",IF(OR($AC94="",인턴현황!$K$2=""),"",INDEX(인턴근무계획!$M$3:$R$202,$AC94,인턴현황!$K$2)&amp;""))-1),$AE94))</f>
        <v/>
      </c>
      <c r="AH94" s="17">
        <f>IF($B94="","",IF(TRIM($J94&amp;"")="",0,SUMPRODUCT((파견수련계획!$Q$4:$Q$203=TRIM($J94&amp;""))*(파견수련계획!$S$4:$S$203="서울병원")*파견수련계획!$W$4:$W$203))+IF($AG94="서울병원",MAX(0,DAY(EOMONTH(요약!$B$3,0))-N($X94)),0))</f>
        <v/>
      </c>
      <c r="AI94" s="17">
        <f>IF($B94="","",IF(TRIM($J94&amp;"")="",0,SUMPRODUCT((파견수련계획!$Q$4:$Q$203=TRIM($J94&amp;""))*(파견수련계획!$S$4:$S$203="구리병원")*파견수련계획!$W$4:$W$203))+IF($AG94="구리병원",MAX(0,DAY(EOMONTH(요약!$B$3,0))-N($X94)),0))</f>
        <v/>
      </c>
      <c r="AJ94" s="10">
        <f>IF(OR($B94="",TRIM($J94&amp;"")=""),"",IFERROR(MATCH(TRIM($J94&amp;"")&amp;"|월",파견수련계획!$Z$4:$Z$203,0),""))</f>
        <v/>
      </c>
      <c r="AK94" s="10">
        <f>IF(OR($B94="",TRIM($J94&amp;"")=""),"",IFERROR(MATCH(TRIM($J94&amp;"")&amp;"|다기관",파견수련계획!$AE$4:$AE$203,0),""))</f>
        <v/>
      </c>
      <c r="AL94" s="10">
        <f>IF($AK94="","","다기관 "&amp;TEXT(INDEX(파견수련계획!$AB$4:$AB$203,$AK94),"yyyy-mm-dd")&amp;"~"&amp;IF(ISNUMBER(INDEX(파견수련계획!$AC$4:$AC$203,$AK94)),TEXT(INDEX(파견수련계획!$AC$4:$AC$203,$AK94),"yyyy-mm-dd"),""))</f>
        <v/>
      </c>
    </row>
    <row r="95">
      <c r="A95" s="10">
        <f>IF(B95="","",ROW()-1)</f>
        <v/>
      </c>
      <c r="B95" s="18" t="n"/>
      <c r="C95" s="10">
        <f>IF($AB95="","",IF(INDEX(기본자료!$C$2:$C$501,$AB95)="","",INDEX(기본자료!$C$2:$C$501,$AB95)))</f>
        <v/>
      </c>
      <c r="D95" s="10">
        <f>IF($AB95="","",IF(INDEX(기본자료!$J$2:$J$501,$AB95)="","",INDEX(기본자료!$J$2:$J$501,$AB95)))</f>
        <v/>
      </c>
      <c r="E95" s="11">
        <f>IF($AB95="","",IF(INDEX(기본자료!$K$2:$K$501,$AB95)="","",IF(NOT(ISNUMBER(INDEX(기본자료!$K$2:$K$501,$AB95))),INDEX(기본자료!$K$2:$K$501,$AB95),IF(INDEX(기본자료!$K$2:$K$501,$AB95)&lt;1000000,INDEX(기본자료!$K$2:$K$501,$AB95),IF(AND(INDEX(기본자료!$K$2:$K$501,$AB95)&gt;=10000101,INT(MOD(INDEX(기본자료!$K$2:$K$501,$AB95),10000)/100)&gt;=1,INT(MOD(INDEX(기본자료!$K$2:$K$501,$AB95),10000)/100)&lt;=12,MOD(INDEX(기본자료!$K$2:$K$501,$AB95),100)&gt;=1,MOD(INDEX(기본자료!$K$2:$K$501,$AB95),100)&lt;=31),DATE(INT(INDEX(기본자료!$K$2:$K$501,$AB95)/10000),INT(MOD(INDEX(기본자료!$K$2:$K$501,$AB95),10000)/100),MOD(INDEX(기본자료!$K$2:$K$501,$AB95),100)),INDEX(기본자료!$K$2:$K$501,$AB95)&amp;"")))))</f>
        <v/>
      </c>
      <c r="F95" s="10">
        <f>IF($AB95="","",IF(INDEX(기본자료!$D$2:$D$501,$AB95)="","",INDEX(기본자료!$D$2:$D$501,$AB95)))</f>
        <v/>
      </c>
      <c r="G95" s="10">
        <f>IF($AB95="","",IF(INDEX(기본자료!$E$2:$E$501,$AB95)="","",INDEX(기본자료!$E$2:$E$501,$AB95)))</f>
        <v/>
      </c>
      <c r="H95" s="10">
        <f>IF($AB95="","",IF(INDEX(기본자료!$F$2:$F$501,$AB95)="","",INDEX(기본자료!$F$2:$F$501,$AB95)))</f>
        <v/>
      </c>
      <c r="I95" s="11">
        <f>IF($AB95="","",IF(INDEX(기본자료!$G$2:$G$501,$AB95)="","",IF(NOT(ISNUMBER(INDEX(기본자료!$G$2:$G$501,$AB95))),INDEX(기본자료!$G$2:$G$501,$AB95),IF(INDEX(기본자료!$G$2:$G$501,$AB95)&lt;1000000,INDEX(기본자료!$G$2:$G$501,$AB95),IF(AND(INDEX(기본자료!$G$2:$G$501,$AB95)&gt;=10000101,INT(MOD(INDEX(기본자료!$G$2:$G$501,$AB95),10000)/100)&gt;=1,INT(MOD(INDEX(기본자료!$G$2:$G$501,$AB95),10000)/100)&lt;=12,MOD(INDEX(기본자료!$G$2:$G$501,$AB95),100)&gt;=1,MOD(INDEX(기본자료!$G$2:$G$501,$AB95),100)&lt;=31),DATE(INT(INDEX(기본자료!$G$2:$G$501,$AB95)/10000),INT(MOD(INDEX(기본자료!$G$2:$G$501,$AB95),10000)/100),MOD(INDEX(기본자료!$G$2:$G$501,$AB95),100)),INDEX(기본자료!$G$2:$G$501,$AB95)&amp;"")))))</f>
        <v/>
      </c>
      <c r="J95" s="10">
        <f>IF($AB95="","",IF(INDEX(기본자료!$H$2:$H$501,$AB95)="","",INDEX(기본자료!$H$2:$H$501,$AB95)))</f>
        <v/>
      </c>
      <c r="K95" s="10">
        <f>IF($AB95="","",IF(INDEX(기본자료!$I$2:$I$501,$AB95)="","",INDEX(기본자료!$I$2:$I$501,$AB95)))</f>
        <v/>
      </c>
      <c r="L95" s="10">
        <f>IF($AB95="","",IF(INDEX(기본자료!$A$2:$A$501,$AB95)="","",INDEX(기본자료!$A$2:$A$501,$AB95)))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파견수련계획!$AB$4:$AB$203,$AK95),OR(NOT(ISNUMBER(INDEX(파견수련계획!$AC$4:$AC$203,$AK95))),TODAY()&lt;=INDEX(파견수련계획!$AC$4:$AC$203,$AK95))),"다기관",IF($AF95="","",INDEX(파견수련계획!$T$4:$T$203,$AF95))),IF($AF95="","",INDEX(파견수련계획!$T$4:$T$203,$AF95))))</f>
        <v/>
      </c>
      <c r="Q95" s="10">
        <f>IF($AF95="","",INDEX(파견수련계획!$S$4:$S$203,$AF95))</f>
        <v/>
      </c>
      <c r="R95" s="10">
        <f>IF($AF95="","",INDEX(파견수련계획!$U$4:$U$203,$AF95))</f>
        <v/>
      </c>
      <c r="S95" s="11">
        <f>IF($AF95="","",IF(INDEX(파견수련계획!$H$4:$H$203,$AF95)="","",INDEX(파견수련계획!$H$4:$H$203,$AF95)))</f>
        <v/>
      </c>
      <c r="T95" s="11">
        <f>IF($AF95="","",IF(INDEX(파견수련계획!$I$4:$I$203,$AF95)="","",INDEX(파견수련계획!$I$4:$I$203,$AF95)))</f>
        <v/>
      </c>
      <c r="U95" s="10">
        <f>IF($AF95="","",INDEX(파견수련계획!$X$4:$X$203,$AF95))</f>
        <v/>
      </c>
      <c r="V95" s="17">
        <f>IF($AF95="","",INDEX(파견수련계획!$V$4:$V$203,$AF95))</f>
        <v/>
      </c>
      <c r="W95" s="17">
        <f>IF(AND($U95="파견중",$T95&lt;&gt;""),$T95-TODAY(),"")</f>
        <v/>
      </c>
      <c r="X95" s="17">
        <f>IF(OR($B95="",TRIM($J95&amp;"")=""),"",SUMPRODUCT((파견수련계획!$Q$4:$Q$203=TRIM($J95&amp;""))*파견수련계획!$W$4:$W$203))</f>
        <v/>
      </c>
      <c r="Y95" s="10">
        <f>IF($B95="","",IF($AG95="","",IF(IF(TRIM($J95&amp;"")="",0,SUMPRODUCT((파견수련계획!$Q$4:$Q$203=TRIM($J95&amp;""))*파견수련계획!$AD$4:$AD$203))&gt;0,$AE95,IF(N($X95)&lt;=0,$AG95,IF($AH95+$AI95=DAY(EOMONTH(요약!$B$3,0)),IF(AND($AH95&gt;=요약!$E$3,$AI95&lt;요약!$E$3),"서울병원",IF(AND($AI95&gt;=요약!$E$3,$AH95&lt;요약!$E$3),"구리병원","⚠15일 판정불가(서울 "&amp;$AH95&amp;"일/구리 "&amp;$AI95&amp;"일)")),IF($AJ95="",$AE95,IF(INDEX(파견수련계획!$T$4:$T$203,$AJ95)="통합수련",INDEX(파견수련계획!$S$4:$S$203,$AJ95),$AE95)))))))</f>
        <v/>
      </c>
      <c r="Z95" s="19">
        <f>IF($B95="","",IF($AB95="","기본자료에 없는 사번",IF(COUNTIF($B$2:$B$201,$B95)&gt;1,"중복 사번",IF($AE95="","소속(입사장소) 입력",IF(IF(TRIM($J95&amp;"")="",0,SUMPRODUCT((파견수련계획!$Q$4:$Q$203=TRIM($J95&amp;""))*(파견수련계획!$AA$4:$AA$203&lt;&gt;"")))&gt;0,"파견수련계획 입력오류 확인",IF(LEFT($Y95,1)="⚠","서울·구리 15일 판정 불가(양쪽 모두 이상/미만)",IF(IF($AC95="",0,N(INDEX(인턴근무계획!$T$3:$T$202,$AC95)))&gt;0,"인턴계획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IF($B95="","",IFERROR(MATCH($B95,기본자료!$B$2:$B$501,0),IFERROR(MATCH($B95&amp;"",기본자료!$B$2:$B$501,0),IFERROR(MATCH(VALUE($B95),기본자료!$B$2:$B$501,0),""))))</f>
        <v/>
      </c>
      <c r="AC95" s="10">
        <f>IF($B95="","",IFERROR(MATCH($B95,인턴근무계획!$D$3:$D$202,0),IFERROR(MATCH($B95&amp;"",인턴근무계획!$D$3:$D$202,0),IFERROR(MATCH(VALUE($B95),인턴근무계획!$D$3:$D$202,0),""))))</f>
        <v/>
      </c>
      <c r="AD95" s="10">
        <f>IF(OR($AC95="",인턴현황!$G$3=""),"",INDEX(인턴근무계획!$M$3:$R$202,$AC95,인턴현황!$G$3)&amp;"")</f>
        <v/>
      </c>
      <c r="AE95" s="10">
        <f>IF($B95="","",IF($M95&lt;&gt;"",$M95,IF($AF95&lt;&gt;"",IF(LEFT(INDEX(파견수련계획!$R$4:$R$203,$AF95),1)&lt;&gt;"⚠",INDEX(파견수련계획!$R$4:$R$203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파견수련계획!$Y$4:$Y$203,0),IFERROR(MATCH(TRIM($J95&amp;"")&amp;"|파견예정",파견수련계획!$Y$4:$Y$203,0),IFERROR(MATCH(TRIM($J95&amp;"")&amp;"|파견종료",파견수련계획!$Y$4:$Y$203,0),""))))</f>
        <v/>
      </c>
      <c r="AG95" s="10">
        <f>IF($B95="","",IF(AND(IF(OR($AC95="",인턴현황!$K$2=""),"",INDEX(인턴근무계획!$M$3:$R$202,$AC95,인턴현황!$K$2)&amp;"")&lt;&gt;"",LEFT(IF(OR($AC95="",인턴현황!$K$2=""),"",INDEX(인턴근무계획!$M$3:$R$202,$AC95,인턴현황!$K$2)&amp;""),1)&lt;&gt;"⚠"),LEFT(IF(OR($AC95="",인턴현황!$K$2=""),"",INDEX(인턴근무계획!$M$3:$R$202,$AC95,인턴현황!$K$2)&amp;""),FIND(" ",IF(OR($AC95="",인턴현황!$K$2=""),"",INDEX(인턴근무계획!$M$3:$R$202,$AC95,인턴현황!$K$2)&amp;""))-1),$AE95))</f>
        <v/>
      </c>
      <c r="AH95" s="17">
        <f>IF($B95="","",IF(TRIM($J95&amp;"")="",0,SUMPRODUCT((파견수련계획!$Q$4:$Q$203=TRIM($J95&amp;""))*(파견수련계획!$S$4:$S$203="서울병원")*파견수련계획!$W$4:$W$203))+IF($AG95="서울병원",MAX(0,DAY(EOMONTH(요약!$B$3,0))-N($X95)),0))</f>
        <v/>
      </c>
      <c r="AI95" s="17">
        <f>IF($B95="","",IF(TRIM($J95&amp;"")="",0,SUMPRODUCT((파견수련계획!$Q$4:$Q$203=TRIM($J95&amp;""))*(파견수련계획!$S$4:$S$203="구리병원")*파견수련계획!$W$4:$W$203))+IF($AG95="구리병원",MAX(0,DAY(EOMONTH(요약!$B$3,0))-N($X95)),0))</f>
        <v/>
      </c>
      <c r="AJ95" s="10">
        <f>IF(OR($B95="",TRIM($J95&amp;"")=""),"",IFERROR(MATCH(TRIM($J95&amp;"")&amp;"|월",파견수련계획!$Z$4:$Z$203,0),""))</f>
        <v/>
      </c>
      <c r="AK95" s="10">
        <f>IF(OR($B95="",TRIM($J95&amp;"")=""),"",IFERROR(MATCH(TRIM($J95&amp;"")&amp;"|다기관",파견수련계획!$AE$4:$AE$203,0),""))</f>
        <v/>
      </c>
      <c r="AL95" s="10">
        <f>IF($AK95="","","다기관 "&amp;TEXT(INDEX(파견수련계획!$AB$4:$AB$203,$AK95),"yyyy-mm-dd")&amp;"~"&amp;IF(ISNUMBER(INDEX(파견수련계획!$AC$4:$AC$203,$AK95)),TEXT(INDEX(파견수련계획!$AC$4:$AC$203,$AK95),"yyyy-mm-dd"),""))</f>
        <v/>
      </c>
    </row>
    <row r="96">
      <c r="A96" s="10">
        <f>IF(B96="","",ROW()-1)</f>
        <v/>
      </c>
      <c r="B96" s="18" t="n"/>
      <c r="C96" s="10">
        <f>IF($AB96="","",IF(INDEX(기본자료!$C$2:$C$501,$AB96)="","",INDEX(기본자료!$C$2:$C$501,$AB96)))</f>
        <v/>
      </c>
      <c r="D96" s="10">
        <f>IF($AB96="","",IF(INDEX(기본자료!$J$2:$J$501,$AB96)="","",INDEX(기본자료!$J$2:$J$501,$AB96)))</f>
        <v/>
      </c>
      <c r="E96" s="11">
        <f>IF($AB96="","",IF(INDEX(기본자료!$K$2:$K$501,$AB96)="","",IF(NOT(ISNUMBER(INDEX(기본자료!$K$2:$K$501,$AB96))),INDEX(기본자료!$K$2:$K$501,$AB96),IF(INDEX(기본자료!$K$2:$K$501,$AB96)&lt;1000000,INDEX(기본자료!$K$2:$K$501,$AB96),IF(AND(INDEX(기본자료!$K$2:$K$501,$AB96)&gt;=10000101,INT(MOD(INDEX(기본자료!$K$2:$K$501,$AB96),10000)/100)&gt;=1,INT(MOD(INDEX(기본자료!$K$2:$K$501,$AB96),10000)/100)&lt;=12,MOD(INDEX(기본자료!$K$2:$K$501,$AB96),100)&gt;=1,MOD(INDEX(기본자료!$K$2:$K$501,$AB96),100)&lt;=31),DATE(INT(INDEX(기본자료!$K$2:$K$501,$AB96)/10000),INT(MOD(INDEX(기본자료!$K$2:$K$501,$AB96),10000)/100),MOD(INDEX(기본자료!$K$2:$K$501,$AB96),100)),INDEX(기본자료!$K$2:$K$501,$AB96)&amp;"")))))</f>
        <v/>
      </c>
      <c r="F96" s="10">
        <f>IF($AB96="","",IF(INDEX(기본자료!$D$2:$D$501,$AB96)="","",INDEX(기본자료!$D$2:$D$501,$AB96)))</f>
        <v/>
      </c>
      <c r="G96" s="10">
        <f>IF($AB96="","",IF(INDEX(기본자료!$E$2:$E$501,$AB96)="","",INDEX(기본자료!$E$2:$E$501,$AB96)))</f>
        <v/>
      </c>
      <c r="H96" s="10">
        <f>IF($AB96="","",IF(INDEX(기본자료!$F$2:$F$501,$AB96)="","",INDEX(기본자료!$F$2:$F$501,$AB96)))</f>
        <v/>
      </c>
      <c r="I96" s="11">
        <f>IF($AB96="","",IF(INDEX(기본자료!$G$2:$G$501,$AB96)="","",IF(NOT(ISNUMBER(INDEX(기본자료!$G$2:$G$501,$AB96))),INDEX(기본자료!$G$2:$G$501,$AB96),IF(INDEX(기본자료!$G$2:$G$501,$AB96)&lt;1000000,INDEX(기본자료!$G$2:$G$501,$AB96),IF(AND(INDEX(기본자료!$G$2:$G$501,$AB96)&gt;=10000101,INT(MOD(INDEX(기본자료!$G$2:$G$501,$AB96),10000)/100)&gt;=1,INT(MOD(INDEX(기본자료!$G$2:$G$501,$AB96),10000)/100)&lt;=12,MOD(INDEX(기본자료!$G$2:$G$501,$AB96),100)&gt;=1,MOD(INDEX(기본자료!$G$2:$G$501,$AB96),100)&lt;=31),DATE(INT(INDEX(기본자료!$G$2:$G$501,$AB96)/10000),INT(MOD(INDEX(기본자료!$G$2:$G$501,$AB96),10000)/100),MOD(INDEX(기본자료!$G$2:$G$501,$AB96),100)),INDEX(기본자료!$G$2:$G$501,$AB96)&amp;"")))))</f>
        <v/>
      </c>
      <c r="J96" s="10">
        <f>IF($AB96="","",IF(INDEX(기본자료!$H$2:$H$501,$AB96)="","",INDEX(기본자료!$H$2:$H$501,$AB96)))</f>
        <v/>
      </c>
      <c r="K96" s="10">
        <f>IF($AB96="","",IF(INDEX(기본자료!$I$2:$I$501,$AB96)="","",INDEX(기본자료!$I$2:$I$501,$AB96)))</f>
        <v/>
      </c>
      <c r="L96" s="10">
        <f>IF($AB96="","",IF(INDEX(기본자료!$A$2:$A$501,$AB96)="","",INDEX(기본자료!$A$2:$A$501,$AB96)))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파견수련계획!$AB$4:$AB$203,$AK96),OR(NOT(ISNUMBER(INDEX(파견수련계획!$AC$4:$AC$203,$AK96))),TODAY()&lt;=INDEX(파견수련계획!$AC$4:$AC$203,$AK96))),"다기관",IF($AF96="","",INDEX(파견수련계획!$T$4:$T$203,$AF96))),IF($AF96="","",INDEX(파견수련계획!$T$4:$T$203,$AF96))))</f>
        <v/>
      </c>
      <c r="Q96" s="10">
        <f>IF($AF96="","",INDEX(파견수련계획!$S$4:$S$203,$AF96))</f>
        <v/>
      </c>
      <c r="R96" s="10">
        <f>IF($AF96="","",INDEX(파견수련계획!$U$4:$U$203,$AF96))</f>
        <v/>
      </c>
      <c r="S96" s="11">
        <f>IF($AF96="","",IF(INDEX(파견수련계획!$H$4:$H$203,$AF96)="","",INDEX(파견수련계획!$H$4:$H$203,$AF96)))</f>
        <v/>
      </c>
      <c r="T96" s="11">
        <f>IF($AF96="","",IF(INDEX(파견수련계획!$I$4:$I$203,$AF96)="","",INDEX(파견수련계획!$I$4:$I$203,$AF96)))</f>
        <v/>
      </c>
      <c r="U96" s="10">
        <f>IF($AF96="","",INDEX(파견수련계획!$X$4:$X$203,$AF96))</f>
        <v/>
      </c>
      <c r="V96" s="17">
        <f>IF($AF96="","",INDEX(파견수련계획!$V$4:$V$203,$AF96))</f>
        <v/>
      </c>
      <c r="W96" s="17">
        <f>IF(AND($U96="파견중",$T96&lt;&gt;""),$T96-TODAY(),"")</f>
        <v/>
      </c>
      <c r="X96" s="17">
        <f>IF(OR($B96="",TRIM($J96&amp;"")=""),"",SUMPRODUCT((파견수련계획!$Q$4:$Q$203=TRIM($J96&amp;""))*파견수련계획!$W$4:$W$203))</f>
        <v/>
      </c>
      <c r="Y96" s="10">
        <f>IF($B96="","",IF($AG96="","",IF(IF(TRIM($J96&amp;"")="",0,SUMPRODUCT((파견수련계획!$Q$4:$Q$203=TRIM($J96&amp;""))*파견수련계획!$AD$4:$AD$203))&gt;0,$AE96,IF(N($X96)&lt;=0,$AG96,IF($AH96+$AI96=DAY(EOMONTH(요약!$B$3,0)),IF(AND($AH96&gt;=요약!$E$3,$AI96&lt;요약!$E$3),"서울병원",IF(AND($AI96&gt;=요약!$E$3,$AH96&lt;요약!$E$3),"구리병원","⚠15일 판정불가(서울 "&amp;$AH96&amp;"일/구리 "&amp;$AI96&amp;"일)")),IF($AJ96="",$AE96,IF(INDEX(파견수련계획!$T$4:$T$203,$AJ96)="통합수련",INDEX(파견수련계획!$S$4:$S$203,$AJ96),$AE96)))))))</f>
        <v/>
      </c>
      <c r="Z96" s="19">
        <f>IF($B96="","",IF($AB96="","기본자료에 없는 사번",IF(COUNTIF($B$2:$B$201,$B96)&gt;1,"중복 사번",IF($AE96="","소속(입사장소) 입력",IF(IF(TRIM($J96&amp;"")="",0,SUMPRODUCT((파견수련계획!$Q$4:$Q$203=TRIM($J96&amp;""))*(파견수련계획!$AA$4:$AA$203&lt;&gt;"")))&gt;0,"파견수련계획 입력오류 확인",IF(LEFT($Y96,1)="⚠","서울·구리 15일 판정 불가(양쪽 모두 이상/미만)",IF(IF($AC96="",0,N(INDEX(인턴근무계획!$T$3:$T$202,$AC96)))&gt;0,"인턴계획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IF($B96="","",IFERROR(MATCH($B96,기본자료!$B$2:$B$501,0),IFERROR(MATCH($B96&amp;"",기본자료!$B$2:$B$501,0),IFERROR(MATCH(VALUE($B96),기본자료!$B$2:$B$501,0),""))))</f>
        <v/>
      </c>
      <c r="AC96" s="10">
        <f>IF($B96="","",IFERROR(MATCH($B96,인턴근무계획!$D$3:$D$202,0),IFERROR(MATCH($B96&amp;"",인턴근무계획!$D$3:$D$202,0),IFERROR(MATCH(VALUE($B96),인턴근무계획!$D$3:$D$202,0),""))))</f>
        <v/>
      </c>
      <c r="AD96" s="10">
        <f>IF(OR($AC96="",인턴현황!$G$3=""),"",INDEX(인턴근무계획!$M$3:$R$202,$AC96,인턴현황!$G$3)&amp;"")</f>
        <v/>
      </c>
      <c r="AE96" s="10">
        <f>IF($B96="","",IF($M96&lt;&gt;"",$M96,IF($AF96&lt;&gt;"",IF(LEFT(INDEX(파견수련계획!$R$4:$R$203,$AF96),1)&lt;&gt;"⚠",INDEX(파견수련계획!$R$4:$R$203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파견수련계획!$Y$4:$Y$203,0),IFERROR(MATCH(TRIM($J96&amp;"")&amp;"|파견예정",파견수련계획!$Y$4:$Y$203,0),IFERROR(MATCH(TRIM($J96&amp;"")&amp;"|파견종료",파견수련계획!$Y$4:$Y$203,0),""))))</f>
        <v/>
      </c>
      <c r="AG96" s="10">
        <f>IF($B96="","",IF(AND(IF(OR($AC96="",인턴현황!$K$2=""),"",INDEX(인턴근무계획!$M$3:$R$202,$AC96,인턴현황!$K$2)&amp;"")&lt;&gt;"",LEFT(IF(OR($AC96="",인턴현황!$K$2=""),"",INDEX(인턴근무계획!$M$3:$R$202,$AC96,인턴현황!$K$2)&amp;""),1)&lt;&gt;"⚠"),LEFT(IF(OR($AC96="",인턴현황!$K$2=""),"",INDEX(인턴근무계획!$M$3:$R$202,$AC96,인턴현황!$K$2)&amp;""),FIND(" ",IF(OR($AC96="",인턴현황!$K$2=""),"",INDEX(인턴근무계획!$M$3:$R$202,$AC96,인턴현황!$K$2)&amp;""))-1),$AE96))</f>
        <v/>
      </c>
      <c r="AH96" s="17">
        <f>IF($B96="","",IF(TRIM($J96&amp;"")="",0,SUMPRODUCT((파견수련계획!$Q$4:$Q$203=TRIM($J96&amp;""))*(파견수련계획!$S$4:$S$203="서울병원")*파견수련계획!$W$4:$W$203))+IF($AG96="서울병원",MAX(0,DAY(EOMONTH(요약!$B$3,0))-N($X96)),0))</f>
        <v/>
      </c>
      <c r="AI96" s="17">
        <f>IF($B96="","",IF(TRIM($J96&amp;"")="",0,SUMPRODUCT((파견수련계획!$Q$4:$Q$203=TRIM($J96&amp;""))*(파견수련계획!$S$4:$S$203="구리병원")*파견수련계획!$W$4:$W$203))+IF($AG96="구리병원",MAX(0,DAY(EOMONTH(요약!$B$3,0))-N($X96)),0))</f>
        <v/>
      </c>
      <c r="AJ96" s="10">
        <f>IF(OR($B96="",TRIM($J96&amp;"")=""),"",IFERROR(MATCH(TRIM($J96&amp;"")&amp;"|월",파견수련계획!$Z$4:$Z$203,0),""))</f>
        <v/>
      </c>
      <c r="AK96" s="10">
        <f>IF(OR($B96="",TRIM($J96&amp;"")=""),"",IFERROR(MATCH(TRIM($J96&amp;"")&amp;"|다기관",파견수련계획!$AE$4:$AE$203,0),""))</f>
        <v/>
      </c>
      <c r="AL96" s="10">
        <f>IF($AK96="","","다기관 "&amp;TEXT(INDEX(파견수련계획!$AB$4:$AB$203,$AK96),"yyyy-mm-dd")&amp;"~"&amp;IF(ISNUMBER(INDEX(파견수련계획!$AC$4:$AC$203,$AK96)),TEXT(INDEX(파견수련계획!$AC$4:$AC$203,$AK96),"yyyy-mm-dd"),""))</f>
        <v/>
      </c>
    </row>
    <row r="97">
      <c r="A97" s="10">
        <f>IF(B97="","",ROW()-1)</f>
        <v/>
      </c>
      <c r="B97" s="18" t="n"/>
      <c r="C97" s="10">
        <f>IF($AB97="","",IF(INDEX(기본자료!$C$2:$C$501,$AB97)="","",INDEX(기본자료!$C$2:$C$501,$AB97)))</f>
        <v/>
      </c>
      <c r="D97" s="10">
        <f>IF($AB97="","",IF(INDEX(기본자료!$J$2:$J$501,$AB97)="","",INDEX(기본자료!$J$2:$J$501,$AB97)))</f>
        <v/>
      </c>
      <c r="E97" s="11">
        <f>IF($AB97="","",IF(INDEX(기본자료!$K$2:$K$501,$AB97)="","",IF(NOT(ISNUMBER(INDEX(기본자료!$K$2:$K$501,$AB97))),INDEX(기본자료!$K$2:$K$501,$AB97),IF(INDEX(기본자료!$K$2:$K$501,$AB97)&lt;1000000,INDEX(기본자료!$K$2:$K$501,$AB97),IF(AND(INDEX(기본자료!$K$2:$K$501,$AB97)&gt;=10000101,INT(MOD(INDEX(기본자료!$K$2:$K$501,$AB97),10000)/100)&gt;=1,INT(MOD(INDEX(기본자료!$K$2:$K$501,$AB97),10000)/100)&lt;=12,MOD(INDEX(기본자료!$K$2:$K$501,$AB97),100)&gt;=1,MOD(INDEX(기본자료!$K$2:$K$501,$AB97),100)&lt;=31),DATE(INT(INDEX(기본자료!$K$2:$K$501,$AB97)/10000),INT(MOD(INDEX(기본자료!$K$2:$K$501,$AB97),10000)/100),MOD(INDEX(기본자료!$K$2:$K$501,$AB97),100)),INDEX(기본자료!$K$2:$K$501,$AB97)&amp;"")))))</f>
        <v/>
      </c>
      <c r="F97" s="10">
        <f>IF($AB97="","",IF(INDEX(기본자료!$D$2:$D$501,$AB97)="","",INDEX(기본자료!$D$2:$D$501,$AB97)))</f>
        <v/>
      </c>
      <c r="G97" s="10">
        <f>IF($AB97="","",IF(INDEX(기본자료!$E$2:$E$501,$AB97)="","",INDEX(기본자료!$E$2:$E$501,$AB97)))</f>
        <v/>
      </c>
      <c r="H97" s="10">
        <f>IF($AB97="","",IF(INDEX(기본자료!$F$2:$F$501,$AB97)="","",INDEX(기본자료!$F$2:$F$501,$AB97)))</f>
        <v/>
      </c>
      <c r="I97" s="11">
        <f>IF($AB97="","",IF(INDEX(기본자료!$G$2:$G$501,$AB97)="","",IF(NOT(ISNUMBER(INDEX(기본자료!$G$2:$G$501,$AB97))),INDEX(기본자료!$G$2:$G$501,$AB97),IF(INDEX(기본자료!$G$2:$G$501,$AB97)&lt;1000000,INDEX(기본자료!$G$2:$G$501,$AB97),IF(AND(INDEX(기본자료!$G$2:$G$501,$AB97)&gt;=10000101,INT(MOD(INDEX(기본자료!$G$2:$G$501,$AB97),10000)/100)&gt;=1,INT(MOD(INDEX(기본자료!$G$2:$G$501,$AB97),10000)/100)&lt;=12,MOD(INDEX(기본자료!$G$2:$G$501,$AB97),100)&gt;=1,MOD(INDEX(기본자료!$G$2:$G$501,$AB97),100)&lt;=31),DATE(INT(INDEX(기본자료!$G$2:$G$501,$AB97)/10000),INT(MOD(INDEX(기본자료!$G$2:$G$501,$AB97),10000)/100),MOD(INDEX(기본자료!$G$2:$G$501,$AB97),100)),INDEX(기본자료!$G$2:$G$501,$AB97)&amp;"")))))</f>
        <v/>
      </c>
      <c r="J97" s="10">
        <f>IF($AB97="","",IF(INDEX(기본자료!$H$2:$H$501,$AB97)="","",INDEX(기본자료!$H$2:$H$501,$AB97)))</f>
        <v/>
      </c>
      <c r="K97" s="10">
        <f>IF($AB97="","",IF(INDEX(기본자료!$I$2:$I$501,$AB97)="","",INDEX(기본자료!$I$2:$I$501,$AB97)))</f>
        <v/>
      </c>
      <c r="L97" s="10">
        <f>IF($AB97="","",IF(INDEX(기본자료!$A$2:$A$501,$AB97)="","",INDEX(기본자료!$A$2:$A$501,$AB97)))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파견수련계획!$AB$4:$AB$203,$AK97),OR(NOT(ISNUMBER(INDEX(파견수련계획!$AC$4:$AC$203,$AK97))),TODAY()&lt;=INDEX(파견수련계획!$AC$4:$AC$203,$AK97))),"다기관",IF($AF97="","",INDEX(파견수련계획!$T$4:$T$203,$AF97))),IF($AF97="","",INDEX(파견수련계획!$T$4:$T$203,$AF97))))</f>
        <v/>
      </c>
      <c r="Q97" s="10">
        <f>IF($AF97="","",INDEX(파견수련계획!$S$4:$S$203,$AF97))</f>
        <v/>
      </c>
      <c r="R97" s="10">
        <f>IF($AF97="","",INDEX(파견수련계획!$U$4:$U$203,$AF97))</f>
        <v/>
      </c>
      <c r="S97" s="11">
        <f>IF($AF97="","",IF(INDEX(파견수련계획!$H$4:$H$203,$AF97)="","",INDEX(파견수련계획!$H$4:$H$203,$AF97)))</f>
        <v/>
      </c>
      <c r="T97" s="11">
        <f>IF($AF97="","",IF(INDEX(파견수련계획!$I$4:$I$203,$AF97)="","",INDEX(파견수련계획!$I$4:$I$203,$AF97)))</f>
        <v/>
      </c>
      <c r="U97" s="10">
        <f>IF($AF97="","",INDEX(파견수련계획!$X$4:$X$203,$AF97))</f>
        <v/>
      </c>
      <c r="V97" s="17">
        <f>IF($AF97="","",INDEX(파견수련계획!$V$4:$V$203,$AF97))</f>
        <v/>
      </c>
      <c r="W97" s="17">
        <f>IF(AND($U97="파견중",$T97&lt;&gt;""),$T97-TODAY(),"")</f>
        <v/>
      </c>
      <c r="X97" s="17">
        <f>IF(OR($B97="",TRIM($J97&amp;"")=""),"",SUMPRODUCT((파견수련계획!$Q$4:$Q$203=TRIM($J97&amp;""))*파견수련계획!$W$4:$W$203))</f>
        <v/>
      </c>
      <c r="Y97" s="10">
        <f>IF($B97="","",IF($AG97="","",IF(IF(TRIM($J97&amp;"")="",0,SUMPRODUCT((파견수련계획!$Q$4:$Q$203=TRIM($J97&amp;""))*파견수련계획!$AD$4:$AD$203))&gt;0,$AE97,IF(N($X97)&lt;=0,$AG97,IF($AH97+$AI97=DAY(EOMONTH(요약!$B$3,0)),IF(AND($AH97&gt;=요약!$E$3,$AI97&lt;요약!$E$3),"서울병원",IF(AND($AI97&gt;=요약!$E$3,$AH97&lt;요약!$E$3),"구리병원","⚠15일 판정불가(서울 "&amp;$AH97&amp;"일/구리 "&amp;$AI97&amp;"일)")),IF($AJ97="",$AE97,IF(INDEX(파견수련계획!$T$4:$T$203,$AJ97)="통합수련",INDEX(파견수련계획!$S$4:$S$203,$AJ97),$AE97)))))))</f>
        <v/>
      </c>
      <c r="Z97" s="19">
        <f>IF($B97="","",IF($AB97="","기본자료에 없는 사번",IF(COUNTIF($B$2:$B$201,$B97)&gt;1,"중복 사번",IF($AE97="","소속(입사장소) 입력",IF(IF(TRIM($J97&amp;"")="",0,SUMPRODUCT((파견수련계획!$Q$4:$Q$203=TRIM($J97&amp;""))*(파견수련계획!$AA$4:$AA$203&lt;&gt;"")))&gt;0,"파견수련계획 입력오류 확인",IF(LEFT($Y97,1)="⚠","서울·구리 15일 판정 불가(양쪽 모두 이상/미만)",IF(IF($AC97="",0,N(INDEX(인턴근무계획!$T$3:$T$202,$AC97)))&gt;0,"인턴계획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IF($B97="","",IFERROR(MATCH($B97,기본자료!$B$2:$B$501,0),IFERROR(MATCH($B97&amp;"",기본자료!$B$2:$B$501,0),IFERROR(MATCH(VALUE($B97),기본자료!$B$2:$B$501,0),""))))</f>
        <v/>
      </c>
      <c r="AC97" s="10">
        <f>IF($B97="","",IFERROR(MATCH($B97,인턴근무계획!$D$3:$D$202,0),IFERROR(MATCH($B97&amp;"",인턴근무계획!$D$3:$D$202,0),IFERROR(MATCH(VALUE($B97),인턴근무계획!$D$3:$D$202,0),""))))</f>
        <v/>
      </c>
      <c r="AD97" s="10">
        <f>IF(OR($AC97="",인턴현황!$G$3=""),"",INDEX(인턴근무계획!$M$3:$R$202,$AC97,인턴현황!$G$3)&amp;"")</f>
        <v/>
      </c>
      <c r="AE97" s="10">
        <f>IF($B97="","",IF($M97&lt;&gt;"",$M97,IF($AF97&lt;&gt;"",IF(LEFT(INDEX(파견수련계획!$R$4:$R$203,$AF97),1)&lt;&gt;"⚠",INDEX(파견수련계획!$R$4:$R$203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파견수련계획!$Y$4:$Y$203,0),IFERROR(MATCH(TRIM($J97&amp;"")&amp;"|파견예정",파견수련계획!$Y$4:$Y$203,0),IFERROR(MATCH(TRIM($J97&amp;"")&amp;"|파견종료",파견수련계획!$Y$4:$Y$203,0),""))))</f>
        <v/>
      </c>
      <c r="AG97" s="10">
        <f>IF($B97="","",IF(AND(IF(OR($AC97="",인턴현황!$K$2=""),"",INDEX(인턴근무계획!$M$3:$R$202,$AC97,인턴현황!$K$2)&amp;"")&lt;&gt;"",LEFT(IF(OR($AC97="",인턴현황!$K$2=""),"",INDEX(인턴근무계획!$M$3:$R$202,$AC97,인턴현황!$K$2)&amp;""),1)&lt;&gt;"⚠"),LEFT(IF(OR($AC97="",인턴현황!$K$2=""),"",INDEX(인턴근무계획!$M$3:$R$202,$AC97,인턴현황!$K$2)&amp;""),FIND(" ",IF(OR($AC97="",인턴현황!$K$2=""),"",INDEX(인턴근무계획!$M$3:$R$202,$AC97,인턴현황!$K$2)&amp;""))-1),$AE97))</f>
        <v/>
      </c>
      <c r="AH97" s="17">
        <f>IF($B97="","",IF(TRIM($J97&amp;"")="",0,SUMPRODUCT((파견수련계획!$Q$4:$Q$203=TRIM($J97&amp;""))*(파견수련계획!$S$4:$S$203="서울병원")*파견수련계획!$W$4:$W$203))+IF($AG97="서울병원",MAX(0,DAY(EOMONTH(요약!$B$3,0))-N($X97)),0))</f>
        <v/>
      </c>
      <c r="AI97" s="17">
        <f>IF($B97="","",IF(TRIM($J97&amp;"")="",0,SUMPRODUCT((파견수련계획!$Q$4:$Q$203=TRIM($J97&amp;""))*(파견수련계획!$S$4:$S$203="구리병원")*파견수련계획!$W$4:$W$203))+IF($AG97="구리병원",MAX(0,DAY(EOMONTH(요약!$B$3,0))-N($X97)),0))</f>
        <v/>
      </c>
      <c r="AJ97" s="10">
        <f>IF(OR($B97="",TRIM($J97&amp;"")=""),"",IFERROR(MATCH(TRIM($J97&amp;"")&amp;"|월",파견수련계획!$Z$4:$Z$203,0),""))</f>
        <v/>
      </c>
      <c r="AK97" s="10">
        <f>IF(OR($B97="",TRIM($J97&amp;"")=""),"",IFERROR(MATCH(TRIM($J97&amp;"")&amp;"|다기관",파견수련계획!$AE$4:$AE$203,0),""))</f>
        <v/>
      </c>
      <c r="AL97" s="10">
        <f>IF($AK97="","","다기관 "&amp;TEXT(INDEX(파견수련계획!$AB$4:$AB$203,$AK97),"yyyy-mm-dd")&amp;"~"&amp;IF(ISNUMBER(INDEX(파견수련계획!$AC$4:$AC$203,$AK97)),TEXT(INDEX(파견수련계획!$AC$4:$AC$203,$AK97),"yyyy-mm-dd"),""))</f>
        <v/>
      </c>
    </row>
    <row r="98">
      <c r="A98" s="10">
        <f>IF(B98="","",ROW()-1)</f>
        <v/>
      </c>
      <c r="B98" s="18" t="n"/>
      <c r="C98" s="10">
        <f>IF($AB98="","",IF(INDEX(기본자료!$C$2:$C$501,$AB98)="","",INDEX(기본자료!$C$2:$C$501,$AB98)))</f>
        <v/>
      </c>
      <c r="D98" s="10">
        <f>IF($AB98="","",IF(INDEX(기본자료!$J$2:$J$501,$AB98)="","",INDEX(기본자료!$J$2:$J$501,$AB98)))</f>
        <v/>
      </c>
      <c r="E98" s="11">
        <f>IF($AB98="","",IF(INDEX(기본자료!$K$2:$K$501,$AB98)="","",IF(NOT(ISNUMBER(INDEX(기본자료!$K$2:$K$501,$AB98))),INDEX(기본자료!$K$2:$K$501,$AB98),IF(INDEX(기본자료!$K$2:$K$501,$AB98)&lt;1000000,INDEX(기본자료!$K$2:$K$501,$AB98),IF(AND(INDEX(기본자료!$K$2:$K$501,$AB98)&gt;=10000101,INT(MOD(INDEX(기본자료!$K$2:$K$501,$AB98),10000)/100)&gt;=1,INT(MOD(INDEX(기본자료!$K$2:$K$501,$AB98),10000)/100)&lt;=12,MOD(INDEX(기본자료!$K$2:$K$501,$AB98),100)&gt;=1,MOD(INDEX(기본자료!$K$2:$K$501,$AB98),100)&lt;=31),DATE(INT(INDEX(기본자료!$K$2:$K$501,$AB98)/10000),INT(MOD(INDEX(기본자료!$K$2:$K$501,$AB98),10000)/100),MOD(INDEX(기본자료!$K$2:$K$501,$AB98),100)),INDEX(기본자료!$K$2:$K$501,$AB98)&amp;"")))))</f>
        <v/>
      </c>
      <c r="F98" s="10">
        <f>IF($AB98="","",IF(INDEX(기본자료!$D$2:$D$501,$AB98)="","",INDEX(기본자료!$D$2:$D$501,$AB98)))</f>
        <v/>
      </c>
      <c r="G98" s="10">
        <f>IF($AB98="","",IF(INDEX(기본자료!$E$2:$E$501,$AB98)="","",INDEX(기본자료!$E$2:$E$501,$AB98)))</f>
        <v/>
      </c>
      <c r="H98" s="10">
        <f>IF($AB98="","",IF(INDEX(기본자료!$F$2:$F$501,$AB98)="","",INDEX(기본자료!$F$2:$F$501,$AB98)))</f>
        <v/>
      </c>
      <c r="I98" s="11">
        <f>IF($AB98="","",IF(INDEX(기본자료!$G$2:$G$501,$AB98)="","",IF(NOT(ISNUMBER(INDEX(기본자료!$G$2:$G$501,$AB98))),INDEX(기본자료!$G$2:$G$501,$AB98),IF(INDEX(기본자료!$G$2:$G$501,$AB98)&lt;1000000,INDEX(기본자료!$G$2:$G$501,$AB98),IF(AND(INDEX(기본자료!$G$2:$G$501,$AB98)&gt;=10000101,INT(MOD(INDEX(기본자료!$G$2:$G$501,$AB98),10000)/100)&gt;=1,INT(MOD(INDEX(기본자료!$G$2:$G$501,$AB98),10000)/100)&lt;=12,MOD(INDEX(기본자료!$G$2:$G$501,$AB98),100)&gt;=1,MOD(INDEX(기본자료!$G$2:$G$501,$AB98),100)&lt;=31),DATE(INT(INDEX(기본자료!$G$2:$G$501,$AB98)/10000),INT(MOD(INDEX(기본자료!$G$2:$G$501,$AB98),10000)/100),MOD(INDEX(기본자료!$G$2:$G$501,$AB98),100)),INDEX(기본자료!$G$2:$G$501,$AB98)&amp;"")))))</f>
        <v/>
      </c>
      <c r="J98" s="10">
        <f>IF($AB98="","",IF(INDEX(기본자료!$H$2:$H$501,$AB98)="","",INDEX(기본자료!$H$2:$H$501,$AB98)))</f>
        <v/>
      </c>
      <c r="K98" s="10">
        <f>IF($AB98="","",IF(INDEX(기본자료!$I$2:$I$501,$AB98)="","",INDEX(기본자료!$I$2:$I$501,$AB98)))</f>
        <v/>
      </c>
      <c r="L98" s="10">
        <f>IF($AB98="","",IF(INDEX(기본자료!$A$2:$A$501,$AB98)="","",INDEX(기본자료!$A$2:$A$501,$AB98)))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파견수련계획!$AB$4:$AB$203,$AK98),OR(NOT(ISNUMBER(INDEX(파견수련계획!$AC$4:$AC$203,$AK98))),TODAY()&lt;=INDEX(파견수련계획!$AC$4:$AC$203,$AK98))),"다기관",IF($AF98="","",INDEX(파견수련계획!$T$4:$T$203,$AF98))),IF($AF98="","",INDEX(파견수련계획!$T$4:$T$203,$AF98))))</f>
        <v/>
      </c>
      <c r="Q98" s="10">
        <f>IF($AF98="","",INDEX(파견수련계획!$S$4:$S$203,$AF98))</f>
        <v/>
      </c>
      <c r="R98" s="10">
        <f>IF($AF98="","",INDEX(파견수련계획!$U$4:$U$203,$AF98))</f>
        <v/>
      </c>
      <c r="S98" s="11">
        <f>IF($AF98="","",IF(INDEX(파견수련계획!$H$4:$H$203,$AF98)="","",INDEX(파견수련계획!$H$4:$H$203,$AF98)))</f>
        <v/>
      </c>
      <c r="T98" s="11">
        <f>IF($AF98="","",IF(INDEX(파견수련계획!$I$4:$I$203,$AF98)="","",INDEX(파견수련계획!$I$4:$I$203,$AF98)))</f>
        <v/>
      </c>
      <c r="U98" s="10">
        <f>IF($AF98="","",INDEX(파견수련계획!$X$4:$X$203,$AF98))</f>
        <v/>
      </c>
      <c r="V98" s="17">
        <f>IF($AF98="","",INDEX(파견수련계획!$V$4:$V$203,$AF98))</f>
        <v/>
      </c>
      <c r="W98" s="17">
        <f>IF(AND($U98="파견중",$T98&lt;&gt;""),$T98-TODAY(),"")</f>
        <v/>
      </c>
      <c r="X98" s="17">
        <f>IF(OR($B98="",TRIM($J98&amp;"")=""),"",SUMPRODUCT((파견수련계획!$Q$4:$Q$203=TRIM($J98&amp;""))*파견수련계획!$W$4:$W$203))</f>
        <v/>
      </c>
      <c r="Y98" s="10">
        <f>IF($B98="","",IF($AG98="","",IF(IF(TRIM($J98&amp;"")="",0,SUMPRODUCT((파견수련계획!$Q$4:$Q$203=TRIM($J98&amp;""))*파견수련계획!$AD$4:$AD$203))&gt;0,$AE98,IF(N($X98)&lt;=0,$AG98,IF($AH98+$AI98=DAY(EOMONTH(요약!$B$3,0)),IF(AND($AH98&gt;=요약!$E$3,$AI98&lt;요약!$E$3),"서울병원",IF(AND($AI98&gt;=요약!$E$3,$AH98&lt;요약!$E$3),"구리병원","⚠15일 판정불가(서울 "&amp;$AH98&amp;"일/구리 "&amp;$AI98&amp;"일)")),IF($AJ98="",$AE98,IF(INDEX(파견수련계획!$T$4:$T$203,$AJ98)="통합수련",INDEX(파견수련계획!$S$4:$S$203,$AJ98),$AE98)))))))</f>
        <v/>
      </c>
      <c r="Z98" s="19">
        <f>IF($B98="","",IF($AB98="","기본자료에 없는 사번",IF(COUNTIF($B$2:$B$201,$B98)&gt;1,"중복 사번",IF($AE98="","소속(입사장소) 입력",IF(IF(TRIM($J98&amp;"")="",0,SUMPRODUCT((파견수련계획!$Q$4:$Q$203=TRIM($J98&amp;""))*(파견수련계획!$AA$4:$AA$203&lt;&gt;"")))&gt;0,"파견수련계획 입력오류 확인",IF(LEFT($Y98,1)="⚠","서울·구리 15일 판정 불가(양쪽 모두 이상/미만)",IF(IF($AC98="",0,N(INDEX(인턴근무계획!$T$3:$T$202,$AC98)))&gt;0,"인턴계획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IF($B98="","",IFERROR(MATCH($B98,기본자료!$B$2:$B$501,0),IFERROR(MATCH($B98&amp;"",기본자료!$B$2:$B$501,0),IFERROR(MATCH(VALUE($B98),기본자료!$B$2:$B$501,0),""))))</f>
        <v/>
      </c>
      <c r="AC98" s="10">
        <f>IF($B98="","",IFERROR(MATCH($B98,인턴근무계획!$D$3:$D$202,0),IFERROR(MATCH($B98&amp;"",인턴근무계획!$D$3:$D$202,0),IFERROR(MATCH(VALUE($B98),인턴근무계획!$D$3:$D$202,0),""))))</f>
        <v/>
      </c>
      <c r="AD98" s="10">
        <f>IF(OR($AC98="",인턴현황!$G$3=""),"",INDEX(인턴근무계획!$M$3:$R$202,$AC98,인턴현황!$G$3)&amp;"")</f>
        <v/>
      </c>
      <c r="AE98" s="10">
        <f>IF($B98="","",IF($M98&lt;&gt;"",$M98,IF($AF98&lt;&gt;"",IF(LEFT(INDEX(파견수련계획!$R$4:$R$203,$AF98),1)&lt;&gt;"⚠",INDEX(파견수련계획!$R$4:$R$203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파견수련계획!$Y$4:$Y$203,0),IFERROR(MATCH(TRIM($J98&amp;"")&amp;"|파견예정",파견수련계획!$Y$4:$Y$203,0),IFERROR(MATCH(TRIM($J98&amp;"")&amp;"|파견종료",파견수련계획!$Y$4:$Y$203,0),""))))</f>
        <v/>
      </c>
      <c r="AG98" s="10">
        <f>IF($B98="","",IF(AND(IF(OR($AC98="",인턴현황!$K$2=""),"",INDEX(인턴근무계획!$M$3:$R$202,$AC98,인턴현황!$K$2)&amp;"")&lt;&gt;"",LEFT(IF(OR($AC98="",인턴현황!$K$2=""),"",INDEX(인턴근무계획!$M$3:$R$202,$AC98,인턴현황!$K$2)&amp;""),1)&lt;&gt;"⚠"),LEFT(IF(OR($AC98="",인턴현황!$K$2=""),"",INDEX(인턴근무계획!$M$3:$R$202,$AC98,인턴현황!$K$2)&amp;""),FIND(" ",IF(OR($AC98="",인턴현황!$K$2=""),"",INDEX(인턴근무계획!$M$3:$R$202,$AC98,인턴현황!$K$2)&amp;""))-1),$AE98))</f>
        <v/>
      </c>
      <c r="AH98" s="17">
        <f>IF($B98="","",IF(TRIM($J98&amp;"")="",0,SUMPRODUCT((파견수련계획!$Q$4:$Q$203=TRIM($J98&amp;""))*(파견수련계획!$S$4:$S$203="서울병원")*파견수련계획!$W$4:$W$203))+IF($AG98="서울병원",MAX(0,DAY(EOMONTH(요약!$B$3,0))-N($X98)),0))</f>
        <v/>
      </c>
      <c r="AI98" s="17">
        <f>IF($B98="","",IF(TRIM($J98&amp;"")="",0,SUMPRODUCT((파견수련계획!$Q$4:$Q$203=TRIM($J98&amp;""))*(파견수련계획!$S$4:$S$203="구리병원")*파견수련계획!$W$4:$W$203))+IF($AG98="구리병원",MAX(0,DAY(EOMONTH(요약!$B$3,0))-N($X98)),0))</f>
        <v/>
      </c>
      <c r="AJ98" s="10">
        <f>IF(OR($B98="",TRIM($J98&amp;"")=""),"",IFERROR(MATCH(TRIM($J98&amp;"")&amp;"|월",파견수련계획!$Z$4:$Z$203,0),""))</f>
        <v/>
      </c>
      <c r="AK98" s="10">
        <f>IF(OR($B98="",TRIM($J98&amp;"")=""),"",IFERROR(MATCH(TRIM($J98&amp;"")&amp;"|다기관",파견수련계획!$AE$4:$AE$203,0),""))</f>
        <v/>
      </c>
      <c r="AL98" s="10">
        <f>IF($AK98="","","다기관 "&amp;TEXT(INDEX(파견수련계획!$AB$4:$AB$203,$AK98),"yyyy-mm-dd")&amp;"~"&amp;IF(ISNUMBER(INDEX(파견수련계획!$AC$4:$AC$203,$AK98)),TEXT(INDEX(파견수련계획!$AC$4:$AC$203,$AK98),"yyyy-mm-dd"),""))</f>
        <v/>
      </c>
    </row>
    <row r="99">
      <c r="A99" s="10">
        <f>IF(B99="","",ROW()-1)</f>
        <v/>
      </c>
      <c r="B99" s="18" t="n"/>
      <c r="C99" s="10">
        <f>IF($AB99="","",IF(INDEX(기본자료!$C$2:$C$501,$AB99)="","",INDEX(기본자료!$C$2:$C$501,$AB99)))</f>
        <v/>
      </c>
      <c r="D99" s="10">
        <f>IF($AB99="","",IF(INDEX(기본자료!$J$2:$J$501,$AB99)="","",INDEX(기본자료!$J$2:$J$501,$AB99)))</f>
        <v/>
      </c>
      <c r="E99" s="11">
        <f>IF($AB99="","",IF(INDEX(기본자료!$K$2:$K$501,$AB99)="","",IF(NOT(ISNUMBER(INDEX(기본자료!$K$2:$K$501,$AB99))),INDEX(기본자료!$K$2:$K$501,$AB99),IF(INDEX(기본자료!$K$2:$K$501,$AB99)&lt;1000000,INDEX(기본자료!$K$2:$K$501,$AB99),IF(AND(INDEX(기본자료!$K$2:$K$501,$AB99)&gt;=10000101,INT(MOD(INDEX(기본자료!$K$2:$K$501,$AB99),10000)/100)&gt;=1,INT(MOD(INDEX(기본자료!$K$2:$K$501,$AB99),10000)/100)&lt;=12,MOD(INDEX(기본자료!$K$2:$K$501,$AB99),100)&gt;=1,MOD(INDEX(기본자료!$K$2:$K$501,$AB99),100)&lt;=31),DATE(INT(INDEX(기본자료!$K$2:$K$501,$AB99)/10000),INT(MOD(INDEX(기본자료!$K$2:$K$501,$AB99),10000)/100),MOD(INDEX(기본자료!$K$2:$K$501,$AB99),100)),INDEX(기본자료!$K$2:$K$501,$AB99)&amp;"")))))</f>
        <v/>
      </c>
      <c r="F99" s="10">
        <f>IF($AB99="","",IF(INDEX(기본자료!$D$2:$D$501,$AB99)="","",INDEX(기본자료!$D$2:$D$501,$AB99)))</f>
        <v/>
      </c>
      <c r="G99" s="10">
        <f>IF($AB99="","",IF(INDEX(기본자료!$E$2:$E$501,$AB99)="","",INDEX(기본자료!$E$2:$E$501,$AB99)))</f>
        <v/>
      </c>
      <c r="H99" s="10">
        <f>IF($AB99="","",IF(INDEX(기본자료!$F$2:$F$501,$AB99)="","",INDEX(기본자료!$F$2:$F$501,$AB99)))</f>
        <v/>
      </c>
      <c r="I99" s="11">
        <f>IF($AB99="","",IF(INDEX(기본자료!$G$2:$G$501,$AB99)="","",IF(NOT(ISNUMBER(INDEX(기본자료!$G$2:$G$501,$AB99))),INDEX(기본자료!$G$2:$G$501,$AB99),IF(INDEX(기본자료!$G$2:$G$501,$AB99)&lt;1000000,INDEX(기본자료!$G$2:$G$501,$AB99),IF(AND(INDEX(기본자료!$G$2:$G$501,$AB99)&gt;=10000101,INT(MOD(INDEX(기본자료!$G$2:$G$501,$AB99),10000)/100)&gt;=1,INT(MOD(INDEX(기본자료!$G$2:$G$501,$AB99),10000)/100)&lt;=12,MOD(INDEX(기본자료!$G$2:$G$501,$AB99),100)&gt;=1,MOD(INDEX(기본자료!$G$2:$G$501,$AB99),100)&lt;=31),DATE(INT(INDEX(기본자료!$G$2:$G$501,$AB99)/10000),INT(MOD(INDEX(기본자료!$G$2:$G$501,$AB99),10000)/100),MOD(INDEX(기본자료!$G$2:$G$501,$AB99),100)),INDEX(기본자료!$G$2:$G$501,$AB99)&amp;"")))))</f>
        <v/>
      </c>
      <c r="J99" s="10">
        <f>IF($AB99="","",IF(INDEX(기본자료!$H$2:$H$501,$AB99)="","",INDEX(기본자료!$H$2:$H$501,$AB99)))</f>
        <v/>
      </c>
      <c r="K99" s="10">
        <f>IF($AB99="","",IF(INDEX(기본자료!$I$2:$I$501,$AB99)="","",INDEX(기본자료!$I$2:$I$501,$AB99)))</f>
        <v/>
      </c>
      <c r="L99" s="10">
        <f>IF($AB99="","",IF(INDEX(기본자료!$A$2:$A$501,$AB99)="","",INDEX(기본자료!$A$2:$A$501,$AB99)))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파견수련계획!$AB$4:$AB$203,$AK99),OR(NOT(ISNUMBER(INDEX(파견수련계획!$AC$4:$AC$203,$AK99))),TODAY()&lt;=INDEX(파견수련계획!$AC$4:$AC$203,$AK99))),"다기관",IF($AF99="","",INDEX(파견수련계획!$T$4:$T$203,$AF99))),IF($AF99="","",INDEX(파견수련계획!$T$4:$T$203,$AF99))))</f>
        <v/>
      </c>
      <c r="Q99" s="10">
        <f>IF($AF99="","",INDEX(파견수련계획!$S$4:$S$203,$AF99))</f>
        <v/>
      </c>
      <c r="R99" s="10">
        <f>IF($AF99="","",INDEX(파견수련계획!$U$4:$U$203,$AF99))</f>
        <v/>
      </c>
      <c r="S99" s="11">
        <f>IF($AF99="","",IF(INDEX(파견수련계획!$H$4:$H$203,$AF99)="","",INDEX(파견수련계획!$H$4:$H$203,$AF99)))</f>
        <v/>
      </c>
      <c r="T99" s="11">
        <f>IF($AF99="","",IF(INDEX(파견수련계획!$I$4:$I$203,$AF99)="","",INDEX(파견수련계획!$I$4:$I$203,$AF99)))</f>
        <v/>
      </c>
      <c r="U99" s="10">
        <f>IF($AF99="","",INDEX(파견수련계획!$X$4:$X$203,$AF99))</f>
        <v/>
      </c>
      <c r="V99" s="17">
        <f>IF($AF99="","",INDEX(파견수련계획!$V$4:$V$203,$AF99))</f>
        <v/>
      </c>
      <c r="W99" s="17">
        <f>IF(AND($U99="파견중",$T99&lt;&gt;""),$T99-TODAY(),"")</f>
        <v/>
      </c>
      <c r="X99" s="17">
        <f>IF(OR($B99="",TRIM($J99&amp;"")=""),"",SUMPRODUCT((파견수련계획!$Q$4:$Q$203=TRIM($J99&amp;""))*파견수련계획!$W$4:$W$203))</f>
        <v/>
      </c>
      <c r="Y99" s="10">
        <f>IF($B99="","",IF($AG99="","",IF(IF(TRIM($J99&amp;"")="",0,SUMPRODUCT((파견수련계획!$Q$4:$Q$203=TRIM($J99&amp;""))*파견수련계획!$AD$4:$AD$203))&gt;0,$AE99,IF(N($X99)&lt;=0,$AG99,IF($AH99+$AI99=DAY(EOMONTH(요약!$B$3,0)),IF(AND($AH99&gt;=요약!$E$3,$AI99&lt;요약!$E$3),"서울병원",IF(AND($AI99&gt;=요약!$E$3,$AH99&lt;요약!$E$3),"구리병원","⚠15일 판정불가(서울 "&amp;$AH99&amp;"일/구리 "&amp;$AI99&amp;"일)")),IF($AJ99="",$AE99,IF(INDEX(파견수련계획!$T$4:$T$203,$AJ99)="통합수련",INDEX(파견수련계획!$S$4:$S$203,$AJ99),$AE99)))))))</f>
        <v/>
      </c>
      <c r="Z99" s="19">
        <f>IF($B99="","",IF($AB99="","기본자료에 없는 사번",IF(COUNTIF($B$2:$B$201,$B99)&gt;1,"중복 사번",IF($AE99="","소속(입사장소) 입력",IF(IF(TRIM($J99&amp;"")="",0,SUMPRODUCT((파견수련계획!$Q$4:$Q$203=TRIM($J99&amp;""))*(파견수련계획!$AA$4:$AA$203&lt;&gt;"")))&gt;0,"파견수련계획 입력오류 확인",IF(LEFT($Y99,1)="⚠","서울·구리 15일 판정 불가(양쪽 모두 이상/미만)",IF(IF($AC99="",0,N(INDEX(인턴근무계획!$T$3:$T$202,$AC99)))&gt;0,"인턴계획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IF($B99="","",IFERROR(MATCH($B99,기본자료!$B$2:$B$501,0),IFERROR(MATCH($B99&amp;"",기본자료!$B$2:$B$501,0),IFERROR(MATCH(VALUE($B99),기본자료!$B$2:$B$501,0),""))))</f>
        <v/>
      </c>
      <c r="AC99" s="10">
        <f>IF($B99="","",IFERROR(MATCH($B99,인턴근무계획!$D$3:$D$202,0),IFERROR(MATCH($B99&amp;"",인턴근무계획!$D$3:$D$202,0),IFERROR(MATCH(VALUE($B99),인턴근무계획!$D$3:$D$202,0),""))))</f>
        <v/>
      </c>
      <c r="AD99" s="10">
        <f>IF(OR($AC99="",인턴현황!$G$3=""),"",INDEX(인턴근무계획!$M$3:$R$202,$AC99,인턴현황!$G$3)&amp;"")</f>
        <v/>
      </c>
      <c r="AE99" s="10">
        <f>IF($B99="","",IF($M99&lt;&gt;"",$M99,IF($AF99&lt;&gt;"",IF(LEFT(INDEX(파견수련계획!$R$4:$R$203,$AF99),1)&lt;&gt;"⚠",INDEX(파견수련계획!$R$4:$R$203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파견수련계획!$Y$4:$Y$203,0),IFERROR(MATCH(TRIM($J99&amp;"")&amp;"|파견예정",파견수련계획!$Y$4:$Y$203,0),IFERROR(MATCH(TRIM($J99&amp;"")&amp;"|파견종료",파견수련계획!$Y$4:$Y$203,0),""))))</f>
        <v/>
      </c>
      <c r="AG99" s="10">
        <f>IF($B99="","",IF(AND(IF(OR($AC99="",인턴현황!$K$2=""),"",INDEX(인턴근무계획!$M$3:$R$202,$AC99,인턴현황!$K$2)&amp;"")&lt;&gt;"",LEFT(IF(OR($AC99="",인턴현황!$K$2=""),"",INDEX(인턴근무계획!$M$3:$R$202,$AC99,인턴현황!$K$2)&amp;""),1)&lt;&gt;"⚠"),LEFT(IF(OR($AC99="",인턴현황!$K$2=""),"",INDEX(인턴근무계획!$M$3:$R$202,$AC99,인턴현황!$K$2)&amp;""),FIND(" ",IF(OR($AC99="",인턴현황!$K$2=""),"",INDEX(인턴근무계획!$M$3:$R$202,$AC99,인턴현황!$K$2)&amp;""))-1),$AE99))</f>
        <v/>
      </c>
      <c r="AH99" s="17">
        <f>IF($B99="","",IF(TRIM($J99&amp;"")="",0,SUMPRODUCT((파견수련계획!$Q$4:$Q$203=TRIM($J99&amp;""))*(파견수련계획!$S$4:$S$203="서울병원")*파견수련계획!$W$4:$W$203))+IF($AG99="서울병원",MAX(0,DAY(EOMONTH(요약!$B$3,0))-N($X99)),0))</f>
        <v/>
      </c>
      <c r="AI99" s="17">
        <f>IF($B99="","",IF(TRIM($J99&amp;"")="",0,SUMPRODUCT((파견수련계획!$Q$4:$Q$203=TRIM($J99&amp;""))*(파견수련계획!$S$4:$S$203="구리병원")*파견수련계획!$W$4:$W$203))+IF($AG99="구리병원",MAX(0,DAY(EOMONTH(요약!$B$3,0))-N($X99)),0))</f>
        <v/>
      </c>
      <c r="AJ99" s="10">
        <f>IF(OR($B99="",TRIM($J99&amp;"")=""),"",IFERROR(MATCH(TRIM($J99&amp;"")&amp;"|월",파견수련계획!$Z$4:$Z$203,0),""))</f>
        <v/>
      </c>
      <c r="AK99" s="10">
        <f>IF(OR($B99="",TRIM($J99&amp;"")=""),"",IFERROR(MATCH(TRIM($J99&amp;"")&amp;"|다기관",파견수련계획!$AE$4:$AE$203,0),""))</f>
        <v/>
      </c>
      <c r="AL99" s="10">
        <f>IF($AK99="","","다기관 "&amp;TEXT(INDEX(파견수련계획!$AB$4:$AB$203,$AK99),"yyyy-mm-dd")&amp;"~"&amp;IF(ISNUMBER(INDEX(파견수련계획!$AC$4:$AC$203,$AK99)),TEXT(INDEX(파견수련계획!$AC$4:$AC$203,$AK99),"yyyy-mm-dd"),""))</f>
        <v/>
      </c>
    </row>
    <row r="100">
      <c r="A100" s="10">
        <f>IF(B100="","",ROW()-1)</f>
        <v/>
      </c>
      <c r="B100" s="18" t="n"/>
      <c r="C100" s="10">
        <f>IF($AB100="","",IF(INDEX(기본자료!$C$2:$C$501,$AB100)="","",INDEX(기본자료!$C$2:$C$501,$AB100)))</f>
        <v/>
      </c>
      <c r="D100" s="10">
        <f>IF($AB100="","",IF(INDEX(기본자료!$J$2:$J$501,$AB100)="","",INDEX(기본자료!$J$2:$J$501,$AB100)))</f>
        <v/>
      </c>
      <c r="E100" s="11">
        <f>IF($AB100="","",IF(INDEX(기본자료!$K$2:$K$501,$AB100)="","",IF(NOT(ISNUMBER(INDEX(기본자료!$K$2:$K$501,$AB100))),INDEX(기본자료!$K$2:$K$501,$AB100),IF(INDEX(기본자료!$K$2:$K$501,$AB100)&lt;1000000,INDEX(기본자료!$K$2:$K$501,$AB100),IF(AND(INDEX(기본자료!$K$2:$K$501,$AB100)&gt;=10000101,INT(MOD(INDEX(기본자료!$K$2:$K$501,$AB100),10000)/100)&gt;=1,INT(MOD(INDEX(기본자료!$K$2:$K$501,$AB100),10000)/100)&lt;=12,MOD(INDEX(기본자료!$K$2:$K$501,$AB100),100)&gt;=1,MOD(INDEX(기본자료!$K$2:$K$501,$AB100),100)&lt;=31),DATE(INT(INDEX(기본자료!$K$2:$K$501,$AB100)/10000),INT(MOD(INDEX(기본자료!$K$2:$K$501,$AB100),10000)/100),MOD(INDEX(기본자료!$K$2:$K$501,$AB100),100)),INDEX(기본자료!$K$2:$K$501,$AB100)&amp;"")))))</f>
        <v/>
      </c>
      <c r="F100" s="10">
        <f>IF($AB100="","",IF(INDEX(기본자료!$D$2:$D$501,$AB100)="","",INDEX(기본자료!$D$2:$D$501,$AB100)))</f>
        <v/>
      </c>
      <c r="G100" s="10">
        <f>IF($AB100="","",IF(INDEX(기본자료!$E$2:$E$501,$AB100)="","",INDEX(기본자료!$E$2:$E$501,$AB100)))</f>
        <v/>
      </c>
      <c r="H100" s="10">
        <f>IF($AB100="","",IF(INDEX(기본자료!$F$2:$F$501,$AB100)="","",INDEX(기본자료!$F$2:$F$501,$AB100)))</f>
        <v/>
      </c>
      <c r="I100" s="11">
        <f>IF($AB100="","",IF(INDEX(기본자료!$G$2:$G$501,$AB100)="","",IF(NOT(ISNUMBER(INDEX(기본자료!$G$2:$G$501,$AB100))),INDEX(기본자료!$G$2:$G$501,$AB100),IF(INDEX(기본자료!$G$2:$G$501,$AB100)&lt;1000000,INDEX(기본자료!$G$2:$G$501,$AB100),IF(AND(INDEX(기본자료!$G$2:$G$501,$AB100)&gt;=10000101,INT(MOD(INDEX(기본자료!$G$2:$G$501,$AB100),10000)/100)&gt;=1,INT(MOD(INDEX(기본자료!$G$2:$G$501,$AB100),10000)/100)&lt;=12,MOD(INDEX(기본자료!$G$2:$G$501,$AB100),100)&gt;=1,MOD(INDEX(기본자료!$G$2:$G$501,$AB100),100)&lt;=31),DATE(INT(INDEX(기본자료!$G$2:$G$501,$AB100)/10000),INT(MOD(INDEX(기본자료!$G$2:$G$501,$AB100),10000)/100),MOD(INDEX(기본자료!$G$2:$G$501,$AB100),100)),INDEX(기본자료!$G$2:$G$501,$AB100)&amp;"")))))</f>
        <v/>
      </c>
      <c r="J100" s="10">
        <f>IF($AB100="","",IF(INDEX(기본자료!$H$2:$H$501,$AB100)="","",INDEX(기본자료!$H$2:$H$501,$AB100)))</f>
        <v/>
      </c>
      <c r="K100" s="10">
        <f>IF($AB100="","",IF(INDEX(기본자료!$I$2:$I$501,$AB100)="","",INDEX(기본자료!$I$2:$I$501,$AB100)))</f>
        <v/>
      </c>
      <c r="L100" s="10">
        <f>IF($AB100="","",IF(INDEX(기본자료!$A$2:$A$501,$AB100)="","",INDEX(기본자료!$A$2:$A$501,$AB100)))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파견수련계획!$AB$4:$AB$203,$AK100),OR(NOT(ISNUMBER(INDEX(파견수련계획!$AC$4:$AC$203,$AK100))),TODAY()&lt;=INDEX(파견수련계획!$AC$4:$AC$203,$AK100))),"다기관",IF($AF100="","",INDEX(파견수련계획!$T$4:$T$203,$AF100))),IF($AF100="","",INDEX(파견수련계획!$T$4:$T$203,$AF100))))</f>
        <v/>
      </c>
      <c r="Q100" s="10">
        <f>IF($AF100="","",INDEX(파견수련계획!$S$4:$S$203,$AF100))</f>
        <v/>
      </c>
      <c r="R100" s="10">
        <f>IF($AF100="","",INDEX(파견수련계획!$U$4:$U$203,$AF100))</f>
        <v/>
      </c>
      <c r="S100" s="11">
        <f>IF($AF100="","",IF(INDEX(파견수련계획!$H$4:$H$203,$AF100)="","",INDEX(파견수련계획!$H$4:$H$203,$AF100)))</f>
        <v/>
      </c>
      <c r="T100" s="11">
        <f>IF($AF100="","",IF(INDEX(파견수련계획!$I$4:$I$203,$AF100)="","",INDEX(파견수련계획!$I$4:$I$203,$AF100)))</f>
        <v/>
      </c>
      <c r="U100" s="10">
        <f>IF($AF100="","",INDEX(파견수련계획!$X$4:$X$203,$AF100))</f>
        <v/>
      </c>
      <c r="V100" s="17">
        <f>IF($AF100="","",INDEX(파견수련계획!$V$4:$V$203,$AF100))</f>
        <v/>
      </c>
      <c r="W100" s="17">
        <f>IF(AND($U100="파견중",$T100&lt;&gt;""),$T100-TODAY(),"")</f>
        <v/>
      </c>
      <c r="X100" s="17">
        <f>IF(OR($B100="",TRIM($J100&amp;"")=""),"",SUMPRODUCT((파견수련계획!$Q$4:$Q$203=TRIM($J100&amp;""))*파견수련계획!$W$4:$W$203))</f>
        <v/>
      </c>
      <c r="Y100" s="10">
        <f>IF($B100="","",IF($AG100="","",IF(IF(TRIM($J100&amp;"")="",0,SUMPRODUCT((파견수련계획!$Q$4:$Q$203=TRIM($J100&amp;""))*파견수련계획!$AD$4:$AD$203))&gt;0,$AE100,IF(N($X100)&lt;=0,$AG100,IF($AH100+$AI100=DAY(EOMONTH(요약!$B$3,0)),IF(AND($AH100&gt;=요약!$E$3,$AI100&lt;요약!$E$3),"서울병원",IF(AND($AI100&gt;=요약!$E$3,$AH100&lt;요약!$E$3),"구리병원","⚠15일 판정불가(서울 "&amp;$AH100&amp;"일/구리 "&amp;$AI100&amp;"일)")),IF($AJ100="",$AE100,IF(INDEX(파견수련계획!$T$4:$T$203,$AJ100)="통합수련",INDEX(파견수련계획!$S$4:$S$203,$AJ100),$AE100)))))))</f>
        <v/>
      </c>
      <c r="Z100" s="19">
        <f>IF($B100="","",IF($AB100="","기본자료에 없는 사번",IF(COUNTIF($B$2:$B$201,$B100)&gt;1,"중복 사번",IF($AE100="","소속(입사장소) 입력",IF(IF(TRIM($J100&amp;"")="",0,SUMPRODUCT((파견수련계획!$Q$4:$Q$203=TRIM($J100&amp;""))*(파견수련계획!$AA$4:$AA$203&lt;&gt;"")))&gt;0,"파견수련계획 입력오류 확인",IF(LEFT($Y100,1)="⚠","서울·구리 15일 판정 불가(양쪽 모두 이상/미만)",IF(IF($AC100="",0,N(INDEX(인턴근무계획!$T$3:$T$202,$AC100)))&gt;0,"인턴계획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IF($B100="","",IFERROR(MATCH($B100,기본자료!$B$2:$B$501,0),IFERROR(MATCH($B100&amp;"",기본자료!$B$2:$B$501,0),IFERROR(MATCH(VALUE($B100),기본자료!$B$2:$B$501,0),""))))</f>
        <v/>
      </c>
      <c r="AC100" s="10">
        <f>IF($B100="","",IFERROR(MATCH($B100,인턴근무계획!$D$3:$D$202,0),IFERROR(MATCH($B100&amp;"",인턴근무계획!$D$3:$D$202,0),IFERROR(MATCH(VALUE($B100),인턴근무계획!$D$3:$D$202,0),""))))</f>
        <v/>
      </c>
      <c r="AD100" s="10">
        <f>IF(OR($AC100="",인턴현황!$G$3=""),"",INDEX(인턴근무계획!$M$3:$R$202,$AC100,인턴현황!$G$3)&amp;"")</f>
        <v/>
      </c>
      <c r="AE100" s="10">
        <f>IF($B100="","",IF($M100&lt;&gt;"",$M100,IF($AF100&lt;&gt;"",IF(LEFT(INDEX(파견수련계획!$R$4:$R$203,$AF100),1)&lt;&gt;"⚠",INDEX(파견수련계획!$R$4:$R$203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파견수련계획!$Y$4:$Y$203,0),IFERROR(MATCH(TRIM($J100&amp;"")&amp;"|파견예정",파견수련계획!$Y$4:$Y$203,0),IFERROR(MATCH(TRIM($J100&amp;"")&amp;"|파견종료",파견수련계획!$Y$4:$Y$203,0),""))))</f>
        <v/>
      </c>
      <c r="AG100" s="10">
        <f>IF($B100="","",IF(AND(IF(OR($AC100="",인턴현황!$K$2=""),"",INDEX(인턴근무계획!$M$3:$R$202,$AC100,인턴현황!$K$2)&amp;"")&lt;&gt;"",LEFT(IF(OR($AC100="",인턴현황!$K$2=""),"",INDEX(인턴근무계획!$M$3:$R$202,$AC100,인턴현황!$K$2)&amp;""),1)&lt;&gt;"⚠"),LEFT(IF(OR($AC100="",인턴현황!$K$2=""),"",INDEX(인턴근무계획!$M$3:$R$202,$AC100,인턴현황!$K$2)&amp;""),FIND(" ",IF(OR($AC100="",인턴현황!$K$2=""),"",INDEX(인턴근무계획!$M$3:$R$202,$AC100,인턴현황!$K$2)&amp;""))-1),$AE100))</f>
        <v/>
      </c>
      <c r="AH100" s="17">
        <f>IF($B100="","",IF(TRIM($J100&amp;"")="",0,SUMPRODUCT((파견수련계획!$Q$4:$Q$203=TRIM($J100&amp;""))*(파견수련계획!$S$4:$S$203="서울병원")*파견수련계획!$W$4:$W$203))+IF($AG100="서울병원",MAX(0,DAY(EOMONTH(요약!$B$3,0))-N($X100)),0))</f>
        <v/>
      </c>
      <c r="AI100" s="17">
        <f>IF($B100="","",IF(TRIM($J100&amp;"")="",0,SUMPRODUCT((파견수련계획!$Q$4:$Q$203=TRIM($J100&amp;""))*(파견수련계획!$S$4:$S$203="구리병원")*파견수련계획!$W$4:$W$203))+IF($AG100="구리병원",MAX(0,DAY(EOMONTH(요약!$B$3,0))-N($X100)),0))</f>
        <v/>
      </c>
      <c r="AJ100" s="10">
        <f>IF(OR($B100="",TRIM($J100&amp;"")=""),"",IFERROR(MATCH(TRIM($J100&amp;"")&amp;"|월",파견수련계획!$Z$4:$Z$203,0),""))</f>
        <v/>
      </c>
      <c r="AK100" s="10">
        <f>IF(OR($B100="",TRIM($J100&amp;"")=""),"",IFERROR(MATCH(TRIM($J100&amp;"")&amp;"|다기관",파견수련계획!$AE$4:$AE$203,0),""))</f>
        <v/>
      </c>
      <c r="AL100" s="10">
        <f>IF($AK100="","","다기관 "&amp;TEXT(INDEX(파견수련계획!$AB$4:$AB$203,$AK100),"yyyy-mm-dd")&amp;"~"&amp;IF(ISNUMBER(INDEX(파견수련계획!$AC$4:$AC$203,$AK100)),TEXT(INDEX(파견수련계획!$AC$4:$AC$203,$AK100),"yyyy-mm-dd"),""))</f>
        <v/>
      </c>
    </row>
    <row r="101">
      <c r="A101" s="10">
        <f>IF(B101="","",ROW()-1)</f>
        <v/>
      </c>
      <c r="B101" s="18" t="n"/>
      <c r="C101" s="10">
        <f>IF($AB101="","",IF(INDEX(기본자료!$C$2:$C$501,$AB101)="","",INDEX(기본자료!$C$2:$C$501,$AB101)))</f>
        <v/>
      </c>
      <c r="D101" s="10">
        <f>IF($AB101="","",IF(INDEX(기본자료!$J$2:$J$501,$AB101)="","",INDEX(기본자료!$J$2:$J$501,$AB101)))</f>
        <v/>
      </c>
      <c r="E101" s="11">
        <f>IF($AB101="","",IF(INDEX(기본자료!$K$2:$K$501,$AB101)="","",IF(NOT(ISNUMBER(INDEX(기본자료!$K$2:$K$501,$AB101))),INDEX(기본자료!$K$2:$K$501,$AB101),IF(INDEX(기본자료!$K$2:$K$501,$AB101)&lt;1000000,INDEX(기본자료!$K$2:$K$501,$AB101),IF(AND(INDEX(기본자료!$K$2:$K$501,$AB101)&gt;=10000101,INT(MOD(INDEX(기본자료!$K$2:$K$501,$AB101),10000)/100)&gt;=1,INT(MOD(INDEX(기본자료!$K$2:$K$501,$AB101),10000)/100)&lt;=12,MOD(INDEX(기본자료!$K$2:$K$501,$AB101),100)&gt;=1,MOD(INDEX(기본자료!$K$2:$K$501,$AB101),100)&lt;=31),DATE(INT(INDEX(기본자료!$K$2:$K$501,$AB101)/10000),INT(MOD(INDEX(기본자료!$K$2:$K$501,$AB101),10000)/100),MOD(INDEX(기본자료!$K$2:$K$501,$AB101),100)),INDEX(기본자료!$K$2:$K$501,$AB101)&amp;"")))))</f>
        <v/>
      </c>
      <c r="F101" s="10">
        <f>IF($AB101="","",IF(INDEX(기본자료!$D$2:$D$501,$AB101)="","",INDEX(기본자료!$D$2:$D$501,$AB101)))</f>
        <v/>
      </c>
      <c r="G101" s="10">
        <f>IF($AB101="","",IF(INDEX(기본자료!$E$2:$E$501,$AB101)="","",INDEX(기본자료!$E$2:$E$501,$AB101)))</f>
        <v/>
      </c>
      <c r="H101" s="10">
        <f>IF($AB101="","",IF(INDEX(기본자료!$F$2:$F$501,$AB101)="","",INDEX(기본자료!$F$2:$F$501,$AB101)))</f>
        <v/>
      </c>
      <c r="I101" s="11">
        <f>IF($AB101="","",IF(INDEX(기본자료!$G$2:$G$501,$AB101)="","",IF(NOT(ISNUMBER(INDEX(기본자료!$G$2:$G$501,$AB101))),INDEX(기본자료!$G$2:$G$501,$AB101),IF(INDEX(기본자료!$G$2:$G$501,$AB101)&lt;1000000,INDEX(기본자료!$G$2:$G$501,$AB101),IF(AND(INDEX(기본자료!$G$2:$G$501,$AB101)&gt;=10000101,INT(MOD(INDEX(기본자료!$G$2:$G$501,$AB101),10000)/100)&gt;=1,INT(MOD(INDEX(기본자료!$G$2:$G$501,$AB101),10000)/100)&lt;=12,MOD(INDEX(기본자료!$G$2:$G$501,$AB101),100)&gt;=1,MOD(INDEX(기본자료!$G$2:$G$501,$AB101),100)&lt;=31),DATE(INT(INDEX(기본자료!$G$2:$G$501,$AB101)/10000),INT(MOD(INDEX(기본자료!$G$2:$G$501,$AB101),10000)/100),MOD(INDEX(기본자료!$G$2:$G$501,$AB101),100)),INDEX(기본자료!$G$2:$G$501,$AB101)&amp;"")))))</f>
        <v/>
      </c>
      <c r="J101" s="10">
        <f>IF($AB101="","",IF(INDEX(기본자료!$H$2:$H$501,$AB101)="","",INDEX(기본자료!$H$2:$H$501,$AB101)))</f>
        <v/>
      </c>
      <c r="K101" s="10">
        <f>IF($AB101="","",IF(INDEX(기본자료!$I$2:$I$501,$AB101)="","",INDEX(기본자료!$I$2:$I$501,$AB101)))</f>
        <v/>
      </c>
      <c r="L101" s="10">
        <f>IF($AB101="","",IF(INDEX(기본자료!$A$2:$A$501,$AB101)="","",INDEX(기본자료!$A$2:$A$501,$AB101)))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파견수련계획!$AB$4:$AB$203,$AK101),OR(NOT(ISNUMBER(INDEX(파견수련계획!$AC$4:$AC$203,$AK101))),TODAY()&lt;=INDEX(파견수련계획!$AC$4:$AC$203,$AK101))),"다기관",IF($AF101="","",INDEX(파견수련계획!$T$4:$T$203,$AF101))),IF($AF101="","",INDEX(파견수련계획!$T$4:$T$203,$AF101))))</f>
        <v/>
      </c>
      <c r="Q101" s="10">
        <f>IF($AF101="","",INDEX(파견수련계획!$S$4:$S$203,$AF101))</f>
        <v/>
      </c>
      <c r="R101" s="10">
        <f>IF($AF101="","",INDEX(파견수련계획!$U$4:$U$203,$AF101))</f>
        <v/>
      </c>
      <c r="S101" s="11">
        <f>IF($AF101="","",IF(INDEX(파견수련계획!$H$4:$H$203,$AF101)="","",INDEX(파견수련계획!$H$4:$H$203,$AF101)))</f>
        <v/>
      </c>
      <c r="T101" s="11">
        <f>IF($AF101="","",IF(INDEX(파견수련계획!$I$4:$I$203,$AF101)="","",INDEX(파견수련계획!$I$4:$I$203,$AF101)))</f>
        <v/>
      </c>
      <c r="U101" s="10">
        <f>IF($AF101="","",INDEX(파견수련계획!$X$4:$X$203,$AF101))</f>
        <v/>
      </c>
      <c r="V101" s="17">
        <f>IF($AF101="","",INDEX(파견수련계획!$V$4:$V$203,$AF101))</f>
        <v/>
      </c>
      <c r="W101" s="17">
        <f>IF(AND($U101="파견중",$T101&lt;&gt;""),$T101-TODAY(),"")</f>
        <v/>
      </c>
      <c r="X101" s="17">
        <f>IF(OR($B101="",TRIM($J101&amp;"")=""),"",SUMPRODUCT((파견수련계획!$Q$4:$Q$203=TRIM($J101&amp;""))*파견수련계획!$W$4:$W$203))</f>
        <v/>
      </c>
      <c r="Y101" s="10">
        <f>IF($B101="","",IF($AG101="","",IF(IF(TRIM($J101&amp;"")="",0,SUMPRODUCT((파견수련계획!$Q$4:$Q$203=TRIM($J101&amp;""))*파견수련계획!$AD$4:$AD$203))&gt;0,$AE101,IF(N($X101)&lt;=0,$AG101,IF($AH101+$AI101=DAY(EOMONTH(요약!$B$3,0)),IF(AND($AH101&gt;=요약!$E$3,$AI101&lt;요약!$E$3),"서울병원",IF(AND($AI101&gt;=요약!$E$3,$AH101&lt;요약!$E$3),"구리병원","⚠15일 판정불가(서울 "&amp;$AH101&amp;"일/구리 "&amp;$AI101&amp;"일)")),IF($AJ101="",$AE101,IF(INDEX(파견수련계획!$T$4:$T$203,$AJ101)="통합수련",INDEX(파견수련계획!$S$4:$S$203,$AJ101),$AE101)))))))</f>
        <v/>
      </c>
      <c r="Z101" s="19">
        <f>IF($B101="","",IF($AB101="","기본자료에 없는 사번",IF(COUNTIF($B$2:$B$201,$B101)&gt;1,"중복 사번",IF($AE101="","소속(입사장소) 입력",IF(IF(TRIM($J101&amp;"")="",0,SUMPRODUCT((파견수련계획!$Q$4:$Q$203=TRIM($J101&amp;""))*(파견수련계획!$AA$4:$AA$203&lt;&gt;"")))&gt;0,"파견수련계획 입력오류 확인",IF(LEFT($Y101,1)="⚠","서울·구리 15일 판정 불가(양쪽 모두 이상/미만)",IF(IF($AC101="",0,N(INDEX(인턴근무계획!$T$3:$T$202,$AC101)))&gt;0,"인턴계획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IF($B101="","",IFERROR(MATCH($B101,기본자료!$B$2:$B$501,0),IFERROR(MATCH($B101&amp;"",기본자료!$B$2:$B$501,0),IFERROR(MATCH(VALUE($B101),기본자료!$B$2:$B$501,0),""))))</f>
        <v/>
      </c>
      <c r="AC101" s="10">
        <f>IF($B101="","",IFERROR(MATCH($B101,인턴근무계획!$D$3:$D$202,0),IFERROR(MATCH($B101&amp;"",인턴근무계획!$D$3:$D$202,0),IFERROR(MATCH(VALUE($B101),인턴근무계획!$D$3:$D$202,0),""))))</f>
        <v/>
      </c>
      <c r="AD101" s="10">
        <f>IF(OR($AC101="",인턴현황!$G$3=""),"",INDEX(인턴근무계획!$M$3:$R$202,$AC101,인턴현황!$G$3)&amp;"")</f>
        <v/>
      </c>
      <c r="AE101" s="10">
        <f>IF($B101="","",IF($M101&lt;&gt;"",$M101,IF($AF101&lt;&gt;"",IF(LEFT(INDEX(파견수련계획!$R$4:$R$203,$AF101),1)&lt;&gt;"⚠",INDEX(파견수련계획!$R$4:$R$203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파견수련계획!$Y$4:$Y$203,0),IFERROR(MATCH(TRIM($J101&amp;"")&amp;"|파견예정",파견수련계획!$Y$4:$Y$203,0),IFERROR(MATCH(TRIM($J101&amp;"")&amp;"|파견종료",파견수련계획!$Y$4:$Y$203,0),""))))</f>
        <v/>
      </c>
      <c r="AG101" s="10">
        <f>IF($B101="","",IF(AND(IF(OR($AC101="",인턴현황!$K$2=""),"",INDEX(인턴근무계획!$M$3:$R$202,$AC101,인턴현황!$K$2)&amp;"")&lt;&gt;"",LEFT(IF(OR($AC101="",인턴현황!$K$2=""),"",INDEX(인턴근무계획!$M$3:$R$202,$AC101,인턴현황!$K$2)&amp;""),1)&lt;&gt;"⚠"),LEFT(IF(OR($AC101="",인턴현황!$K$2=""),"",INDEX(인턴근무계획!$M$3:$R$202,$AC101,인턴현황!$K$2)&amp;""),FIND(" ",IF(OR($AC101="",인턴현황!$K$2=""),"",INDEX(인턴근무계획!$M$3:$R$202,$AC101,인턴현황!$K$2)&amp;""))-1),$AE101))</f>
        <v/>
      </c>
      <c r="AH101" s="17">
        <f>IF($B101="","",IF(TRIM($J101&amp;"")="",0,SUMPRODUCT((파견수련계획!$Q$4:$Q$203=TRIM($J101&amp;""))*(파견수련계획!$S$4:$S$203="서울병원")*파견수련계획!$W$4:$W$203))+IF($AG101="서울병원",MAX(0,DAY(EOMONTH(요약!$B$3,0))-N($X101)),0))</f>
        <v/>
      </c>
      <c r="AI101" s="17">
        <f>IF($B101="","",IF(TRIM($J101&amp;"")="",0,SUMPRODUCT((파견수련계획!$Q$4:$Q$203=TRIM($J101&amp;""))*(파견수련계획!$S$4:$S$203="구리병원")*파견수련계획!$W$4:$W$203))+IF($AG101="구리병원",MAX(0,DAY(EOMONTH(요약!$B$3,0))-N($X101)),0))</f>
        <v/>
      </c>
      <c r="AJ101" s="10">
        <f>IF(OR($B101="",TRIM($J101&amp;"")=""),"",IFERROR(MATCH(TRIM($J101&amp;"")&amp;"|월",파견수련계획!$Z$4:$Z$203,0),""))</f>
        <v/>
      </c>
      <c r="AK101" s="10">
        <f>IF(OR($B101="",TRIM($J101&amp;"")=""),"",IFERROR(MATCH(TRIM($J101&amp;"")&amp;"|다기관",파견수련계획!$AE$4:$AE$203,0),""))</f>
        <v/>
      </c>
      <c r="AL101" s="10">
        <f>IF($AK101="","","다기관 "&amp;TEXT(INDEX(파견수련계획!$AB$4:$AB$203,$AK101),"yyyy-mm-dd")&amp;"~"&amp;IF(ISNUMBER(INDEX(파견수련계획!$AC$4:$AC$203,$AK101)),TEXT(INDEX(파견수련계획!$AC$4:$AC$203,$AK101),"yyyy-mm-dd"),""))</f>
        <v/>
      </c>
    </row>
    <row r="102">
      <c r="A102" s="10">
        <f>IF(B102="","",ROW()-1)</f>
        <v/>
      </c>
      <c r="B102" s="18" t="n"/>
      <c r="C102" s="10">
        <f>IF($AB102="","",IF(INDEX(기본자료!$C$2:$C$501,$AB102)="","",INDEX(기본자료!$C$2:$C$501,$AB102)))</f>
        <v/>
      </c>
      <c r="D102" s="10">
        <f>IF($AB102="","",IF(INDEX(기본자료!$J$2:$J$501,$AB102)="","",INDEX(기본자료!$J$2:$J$501,$AB102)))</f>
        <v/>
      </c>
      <c r="E102" s="11">
        <f>IF($AB102="","",IF(INDEX(기본자료!$K$2:$K$501,$AB102)="","",IF(NOT(ISNUMBER(INDEX(기본자료!$K$2:$K$501,$AB102))),INDEX(기본자료!$K$2:$K$501,$AB102),IF(INDEX(기본자료!$K$2:$K$501,$AB102)&lt;1000000,INDEX(기본자료!$K$2:$K$501,$AB102),IF(AND(INDEX(기본자료!$K$2:$K$501,$AB102)&gt;=10000101,INT(MOD(INDEX(기본자료!$K$2:$K$501,$AB102),10000)/100)&gt;=1,INT(MOD(INDEX(기본자료!$K$2:$K$501,$AB102),10000)/100)&lt;=12,MOD(INDEX(기본자료!$K$2:$K$501,$AB102),100)&gt;=1,MOD(INDEX(기본자료!$K$2:$K$501,$AB102),100)&lt;=31),DATE(INT(INDEX(기본자료!$K$2:$K$501,$AB102)/10000),INT(MOD(INDEX(기본자료!$K$2:$K$501,$AB102),10000)/100),MOD(INDEX(기본자료!$K$2:$K$501,$AB102),100)),INDEX(기본자료!$K$2:$K$501,$AB102)&amp;"")))))</f>
        <v/>
      </c>
      <c r="F102" s="10">
        <f>IF($AB102="","",IF(INDEX(기본자료!$D$2:$D$501,$AB102)="","",INDEX(기본자료!$D$2:$D$501,$AB102)))</f>
        <v/>
      </c>
      <c r="G102" s="10">
        <f>IF($AB102="","",IF(INDEX(기본자료!$E$2:$E$501,$AB102)="","",INDEX(기본자료!$E$2:$E$501,$AB102)))</f>
        <v/>
      </c>
      <c r="H102" s="10">
        <f>IF($AB102="","",IF(INDEX(기본자료!$F$2:$F$501,$AB102)="","",INDEX(기본자료!$F$2:$F$501,$AB102)))</f>
        <v/>
      </c>
      <c r="I102" s="11">
        <f>IF($AB102="","",IF(INDEX(기본자료!$G$2:$G$501,$AB102)="","",IF(NOT(ISNUMBER(INDEX(기본자료!$G$2:$G$501,$AB102))),INDEX(기본자료!$G$2:$G$501,$AB102),IF(INDEX(기본자료!$G$2:$G$501,$AB102)&lt;1000000,INDEX(기본자료!$G$2:$G$501,$AB102),IF(AND(INDEX(기본자료!$G$2:$G$501,$AB102)&gt;=10000101,INT(MOD(INDEX(기본자료!$G$2:$G$501,$AB102),10000)/100)&gt;=1,INT(MOD(INDEX(기본자료!$G$2:$G$501,$AB102),10000)/100)&lt;=12,MOD(INDEX(기본자료!$G$2:$G$501,$AB102),100)&gt;=1,MOD(INDEX(기본자료!$G$2:$G$501,$AB102),100)&lt;=31),DATE(INT(INDEX(기본자료!$G$2:$G$501,$AB102)/10000),INT(MOD(INDEX(기본자료!$G$2:$G$501,$AB102),10000)/100),MOD(INDEX(기본자료!$G$2:$G$501,$AB102),100)),INDEX(기본자료!$G$2:$G$501,$AB102)&amp;"")))))</f>
        <v/>
      </c>
      <c r="J102" s="10">
        <f>IF($AB102="","",IF(INDEX(기본자료!$H$2:$H$501,$AB102)="","",INDEX(기본자료!$H$2:$H$501,$AB102)))</f>
        <v/>
      </c>
      <c r="K102" s="10">
        <f>IF($AB102="","",IF(INDEX(기본자료!$I$2:$I$501,$AB102)="","",INDEX(기본자료!$I$2:$I$501,$AB102)))</f>
        <v/>
      </c>
      <c r="L102" s="10">
        <f>IF($AB102="","",IF(INDEX(기본자료!$A$2:$A$501,$AB102)="","",INDEX(기본자료!$A$2:$A$501,$AB102)))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파견수련계획!$AB$4:$AB$203,$AK102),OR(NOT(ISNUMBER(INDEX(파견수련계획!$AC$4:$AC$203,$AK102))),TODAY()&lt;=INDEX(파견수련계획!$AC$4:$AC$203,$AK102))),"다기관",IF($AF102="","",INDEX(파견수련계획!$T$4:$T$203,$AF102))),IF($AF102="","",INDEX(파견수련계획!$T$4:$T$203,$AF102))))</f>
        <v/>
      </c>
      <c r="Q102" s="10">
        <f>IF($AF102="","",INDEX(파견수련계획!$S$4:$S$203,$AF102))</f>
        <v/>
      </c>
      <c r="R102" s="10">
        <f>IF($AF102="","",INDEX(파견수련계획!$U$4:$U$203,$AF102))</f>
        <v/>
      </c>
      <c r="S102" s="11">
        <f>IF($AF102="","",IF(INDEX(파견수련계획!$H$4:$H$203,$AF102)="","",INDEX(파견수련계획!$H$4:$H$203,$AF102)))</f>
        <v/>
      </c>
      <c r="T102" s="11">
        <f>IF($AF102="","",IF(INDEX(파견수련계획!$I$4:$I$203,$AF102)="","",INDEX(파견수련계획!$I$4:$I$203,$AF102)))</f>
        <v/>
      </c>
      <c r="U102" s="10">
        <f>IF($AF102="","",INDEX(파견수련계획!$X$4:$X$203,$AF102))</f>
        <v/>
      </c>
      <c r="V102" s="17">
        <f>IF($AF102="","",INDEX(파견수련계획!$V$4:$V$203,$AF102))</f>
        <v/>
      </c>
      <c r="W102" s="17">
        <f>IF(AND($U102="파견중",$T102&lt;&gt;""),$T102-TODAY(),"")</f>
        <v/>
      </c>
      <c r="X102" s="17">
        <f>IF(OR($B102="",TRIM($J102&amp;"")=""),"",SUMPRODUCT((파견수련계획!$Q$4:$Q$203=TRIM($J102&amp;""))*파견수련계획!$W$4:$W$203))</f>
        <v/>
      </c>
      <c r="Y102" s="10">
        <f>IF($B102="","",IF($AG102="","",IF(IF(TRIM($J102&amp;"")="",0,SUMPRODUCT((파견수련계획!$Q$4:$Q$203=TRIM($J102&amp;""))*파견수련계획!$AD$4:$AD$203))&gt;0,$AE102,IF(N($X102)&lt;=0,$AG102,IF($AH102+$AI102=DAY(EOMONTH(요약!$B$3,0)),IF(AND($AH102&gt;=요약!$E$3,$AI102&lt;요약!$E$3),"서울병원",IF(AND($AI102&gt;=요약!$E$3,$AH102&lt;요약!$E$3),"구리병원","⚠15일 판정불가(서울 "&amp;$AH102&amp;"일/구리 "&amp;$AI102&amp;"일)")),IF($AJ102="",$AE102,IF(INDEX(파견수련계획!$T$4:$T$203,$AJ102)="통합수련",INDEX(파견수련계획!$S$4:$S$203,$AJ102),$AE102)))))))</f>
        <v/>
      </c>
      <c r="Z102" s="19">
        <f>IF($B102="","",IF($AB102="","기본자료에 없는 사번",IF(COUNTIF($B$2:$B$201,$B102)&gt;1,"중복 사번",IF($AE102="","소속(입사장소) 입력",IF(IF(TRIM($J102&amp;"")="",0,SUMPRODUCT((파견수련계획!$Q$4:$Q$203=TRIM($J102&amp;""))*(파견수련계획!$AA$4:$AA$203&lt;&gt;"")))&gt;0,"파견수련계획 입력오류 확인",IF(LEFT($Y102,1)="⚠","서울·구리 15일 판정 불가(양쪽 모두 이상/미만)",IF(IF($AC102="",0,N(INDEX(인턴근무계획!$T$3:$T$202,$AC102)))&gt;0,"인턴계획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IF($B102="","",IFERROR(MATCH($B102,기본자료!$B$2:$B$501,0),IFERROR(MATCH($B102&amp;"",기본자료!$B$2:$B$501,0),IFERROR(MATCH(VALUE($B102),기본자료!$B$2:$B$501,0),""))))</f>
        <v/>
      </c>
      <c r="AC102" s="10">
        <f>IF($B102="","",IFERROR(MATCH($B102,인턴근무계획!$D$3:$D$202,0),IFERROR(MATCH($B102&amp;"",인턴근무계획!$D$3:$D$202,0),IFERROR(MATCH(VALUE($B102),인턴근무계획!$D$3:$D$202,0),""))))</f>
        <v/>
      </c>
      <c r="AD102" s="10">
        <f>IF(OR($AC102="",인턴현황!$G$3=""),"",INDEX(인턴근무계획!$M$3:$R$202,$AC102,인턴현황!$G$3)&amp;"")</f>
        <v/>
      </c>
      <c r="AE102" s="10">
        <f>IF($B102="","",IF($M102&lt;&gt;"",$M102,IF($AF102&lt;&gt;"",IF(LEFT(INDEX(파견수련계획!$R$4:$R$203,$AF102),1)&lt;&gt;"⚠",INDEX(파견수련계획!$R$4:$R$203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파견수련계획!$Y$4:$Y$203,0),IFERROR(MATCH(TRIM($J102&amp;"")&amp;"|파견예정",파견수련계획!$Y$4:$Y$203,0),IFERROR(MATCH(TRIM($J102&amp;"")&amp;"|파견종료",파견수련계획!$Y$4:$Y$203,0),""))))</f>
        <v/>
      </c>
      <c r="AG102" s="10">
        <f>IF($B102="","",IF(AND(IF(OR($AC102="",인턴현황!$K$2=""),"",INDEX(인턴근무계획!$M$3:$R$202,$AC102,인턴현황!$K$2)&amp;"")&lt;&gt;"",LEFT(IF(OR($AC102="",인턴현황!$K$2=""),"",INDEX(인턴근무계획!$M$3:$R$202,$AC102,인턴현황!$K$2)&amp;""),1)&lt;&gt;"⚠"),LEFT(IF(OR($AC102="",인턴현황!$K$2=""),"",INDEX(인턴근무계획!$M$3:$R$202,$AC102,인턴현황!$K$2)&amp;""),FIND(" ",IF(OR($AC102="",인턴현황!$K$2=""),"",INDEX(인턴근무계획!$M$3:$R$202,$AC102,인턴현황!$K$2)&amp;""))-1),$AE102))</f>
        <v/>
      </c>
      <c r="AH102" s="17">
        <f>IF($B102="","",IF(TRIM($J102&amp;"")="",0,SUMPRODUCT((파견수련계획!$Q$4:$Q$203=TRIM($J102&amp;""))*(파견수련계획!$S$4:$S$203="서울병원")*파견수련계획!$W$4:$W$203))+IF($AG102="서울병원",MAX(0,DAY(EOMONTH(요약!$B$3,0))-N($X102)),0))</f>
        <v/>
      </c>
      <c r="AI102" s="17">
        <f>IF($B102="","",IF(TRIM($J102&amp;"")="",0,SUMPRODUCT((파견수련계획!$Q$4:$Q$203=TRIM($J102&amp;""))*(파견수련계획!$S$4:$S$203="구리병원")*파견수련계획!$W$4:$W$203))+IF($AG102="구리병원",MAX(0,DAY(EOMONTH(요약!$B$3,0))-N($X102)),0))</f>
        <v/>
      </c>
      <c r="AJ102" s="10">
        <f>IF(OR($B102="",TRIM($J102&amp;"")=""),"",IFERROR(MATCH(TRIM($J102&amp;"")&amp;"|월",파견수련계획!$Z$4:$Z$203,0),""))</f>
        <v/>
      </c>
      <c r="AK102" s="10">
        <f>IF(OR($B102="",TRIM($J102&amp;"")=""),"",IFERROR(MATCH(TRIM($J102&amp;"")&amp;"|다기관",파견수련계획!$AE$4:$AE$203,0),""))</f>
        <v/>
      </c>
      <c r="AL102" s="10">
        <f>IF($AK102="","","다기관 "&amp;TEXT(INDEX(파견수련계획!$AB$4:$AB$203,$AK102),"yyyy-mm-dd")&amp;"~"&amp;IF(ISNUMBER(INDEX(파견수련계획!$AC$4:$AC$203,$AK102)),TEXT(INDEX(파견수련계획!$AC$4:$AC$203,$AK102),"yyyy-mm-dd"),""))</f>
        <v/>
      </c>
    </row>
    <row r="103">
      <c r="A103" s="10">
        <f>IF(B103="","",ROW()-1)</f>
        <v/>
      </c>
      <c r="B103" s="18" t="n"/>
      <c r="C103" s="10">
        <f>IF($AB103="","",IF(INDEX(기본자료!$C$2:$C$501,$AB103)="","",INDEX(기본자료!$C$2:$C$501,$AB103)))</f>
        <v/>
      </c>
      <c r="D103" s="10">
        <f>IF($AB103="","",IF(INDEX(기본자료!$J$2:$J$501,$AB103)="","",INDEX(기본자료!$J$2:$J$501,$AB103)))</f>
        <v/>
      </c>
      <c r="E103" s="11">
        <f>IF($AB103="","",IF(INDEX(기본자료!$K$2:$K$501,$AB103)="","",IF(NOT(ISNUMBER(INDEX(기본자료!$K$2:$K$501,$AB103))),INDEX(기본자료!$K$2:$K$501,$AB103),IF(INDEX(기본자료!$K$2:$K$501,$AB103)&lt;1000000,INDEX(기본자료!$K$2:$K$501,$AB103),IF(AND(INDEX(기본자료!$K$2:$K$501,$AB103)&gt;=10000101,INT(MOD(INDEX(기본자료!$K$2:$K$501,$AB103),10000)/100)&gt;=1,INT(MOD(INDEX(기본자료!$K$2:$K$501,$AB103),10000)/100)&lt;=12,MOD(INDEX(기본자료!$K$2:$K$501,$AB103),100)&gt;=1,MOD(INDEX(기본자료!$K$2:$K$501,$AB103),100)&lt;=31),DATE(INT(INDEX(기본자료!$K$2:$K$501,$AB103)/10000),INT(MOD(INDEX(기본자료!$K$2:$K$501,$AB103),10000)/100),MOD(INDEX(기본자료!$K$2:$K$501,$AB103),100)),INDEX(기본자료!$K$2:$K$501,$AB103)&amp;"")))))</f>
        <v/>
      </c>
      <c r="F103" s="10">
        <f>IF($AB103="","",IF(INDEX(기본자료!$D$2:$D$501,$AB103)="","",INDEX(기본자료!$D$2:$D$501,$AB103)))</f>
        <v/>
      </c>
      <c r="G103" s="10">
        <f>IF($AB103="","",IF(INDEX(기본자료!$E$2:$E$501,$AB103)="","",INDEX(기본자료!$E$2:$E$501,$AB103)))</f>
        <v/>
      </c>
      <c r="H103" s="10">
        <f>IF($AB103="","",IF(INDEX(기본자료!$F$2:$F$501,$AB103)="","",INDEX(기본자료!$F$2:$F$501,$AB103)))</f>
        <v/>
      </c>
      <c r="I103" s="11">
        <f>IF($AB103="","",IF(INDEX(기본자료!$G$2:$G$501,$AB103)="","",IF(NOT(ISNUMBER(INDEX(기본자료!$G$2:$G$501,$AB103))),INDEX(기본자료!$G$2:$G$501,$AB103),IF(INDEX(기본자료!$G$2:$G$501,$AB103)&lt;1000000,INDEX(기본자료!$G$2:$G$501,$AB103),IF(AND(INDEX(기본자료!$G$2:$G$501,$AB103)&gt;=10000101,INT(MOD(INDEX(기본자료!$G$2:$G$501,$AB103),10000)/100)&gt;=1,INT(MOD(INDEX(기본자료!$G$2:$G$501,$AB103),10000)/100)&lt;=12,MOD(INDEX(기본자료!$G$2:$G$501,$AB103),100)&gt;=1,MOD(INDEX(기본자료!$G$2:$G$501,$AB103),100)&lt;=31),DATE(INT(INDEX(기본자료!$G$2:$G$501,$AB103)/10000),INT(MOD(INDEX(기본자료!$G$2:$G$501,$AB103),10000)/100),MOD(INDEX(기본자료!$G$2:$G$501,$AB103),100)),INDEX(기본자료!$G$2:$G$501,$AB103)&amp;"")))))</f>
        <v/>
      </c>
      <c r="J103" s="10">
        <f>IF($AB103="","",IF(INDEX(기본자료!$H$2:$H$501,$AB103)="","",INDEX(기본자료!$H$2:$H$501,$AB103)))</f>
        <v/>
      </c>
      <c r="K103" s="10">
        <f>IF($AB103="","",IF(INDEX(기본자료!$I$2:$I$501,$AB103)="","",INDEX(기본자료!$I$2:$I$501,$AB103)))</f>
        <v/>
      </c>
      <c r="L103" s="10">
        <f>IF($AB103="","",IF(INDEX(기본자료!$A$2:$A$501,$AB103)="","",INDEX(기본자료!$A$2:$A$501,$AB103)))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파견수련계획!$AB$4:$AB$203,$AK103),OR(NOT(ISNUMBER(INDEX(파견수련계획!$AC$4:$AC$203,$AK103))),TODAY()&lt;=INDEX(파견수련계획!$AC$4:$AC$203,$AK103))),"다기관",IF($AF103="","",INDEX(파견수련계획!$T$4:$T$203,$AF103))),IF($AF103="","",INDEX(파견수련계획!$T$4:$T$203,$AF103))))</f>
        <v/>
      </c>
      <c r="Q103" s="10">
        <f>IF($AF103="","",INDEX(파견수련계획!$S$4:$S$203,$AF103))</f>
        <v/>
      </c>
      <c r="R103" s="10">
        <f>IF($AF103="","",INDEX(파견수련계획!$U$4:$U$203,$AF103))</f>
        <v/>
      </c>
      <c r="S103" s="11">
        <f>IF($AF103="","",IF(INDEX(파견수련계획!$H$4:$H$203,$AF103)="","",INDEX(파견수련계획!$H$4:$H$203,$AF103)))</f>
        <v/>
      </c>
      <c r="T103" s="11">
        <f>IF($AF103="","",IF(INDEX(파견수련계획!$I$4:$I$203,$AF103)="","",INDEX(파견수련계획!$I$4:$I$203,$AF103)))</f>
        <v/>
      </c>
      <c r="U103" s="10">
        <f>IF($AF103="","",INDEX(파견수련계획!$X$4:$X$203,$AF103))</f>
        <v/>
      </c>
      <c r="V103" s="17">
        <f>IF($AF103="","",INDEX(파견수련계획!$V$4:$V$203,$AF103))</f>
        <v/>
      </c>
      <c r="W103" s="17">
        <f>IF(AND($U103="파견중",$T103&lt;&gt;""),$T103-TODAY(),"")</f>
        <v/>
      </c>
      <c r="X103" s="17">
        <f>IF(OR($B103="",TRIM($J103&amp;"")=""),"",SUMPRODUCT((파견수련계획!$Q$4:$Q$203=TRIM($J103&amp;""))*파견수련계획!$W$4:$W$203))</f>
        <v/>
      </c>
      <c r="Y103" s="10">
        <f>IF($B103="","",IF($AG103="","",IF(IF(TRIM($J103&amp;"")="",0,SUMPRODUCT((파견수련계획!$Q$4:$Q$203=TRIM($J103&amp;""))*파견수련계획!$AD$4:$AD$203))&gt;0,$AE103,IF(N($X103)&lt;=0,$AG103,IF($AH103+$AI103=DAY(EOMONTH(요약!$B$3,0)),IF(AND($AH103&gt;=요약!$E$3,$AI103&lt;요약!$E$3),"서울병원",IF(AND($AI103&gt;=요약!$E$3,$AH103&lt;요약!$E$3),"구리병원","⚠15일 판정불가(서울 "&amp;$AH103&amp;"일/구리 "&amp;$AI103&amp;"일)")),IF($AJ103="",$AE103,IF(INDEX(파견수련계획!$T$4:$T$203,$AJ103)="통합수련",INDEX(파견수련계획!$S$4:$S$203,$AJ103),$AE103)))))))</f>
        <v/>
      </c>
      <c r="Z103" s="19">
        <f>IF($B103="","",IF($AB103="","기본자료에 없는 사번",IF(COUNTIF($B$2:$B$201,$B103)&gt;1,"중복 사번",IF($AE103="","소속(입사장소) 입력",IF(IF(TRIM($J103&amp;"")="",0,SUMPRODUCT((파견수련계획!$Q$4:$Q$203=TRIM($J103&amp;""))*(파견수련계획!$AA$4:$AA$203&lt;&gt;"")))&gt;0,"파견수련계획 입력오류 확인",IF(LEFT($Y103,1)="⚠","서울·구리 15일 판정 불가(양쪽 모두 이상/미만)",IF(IF($AC103="",0,N(INDEX(인턴근무계획!$T$3:$T$202,$AC103)))&gt;0,"인턴계획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IF($B103="","",IFERROR(MATCH($B103,기본자료!$B$2:$B$501,0),IFERROR(MATCH($B103&amp;"",기본자료!$B$2:$B$501,0),IFERROR(MATCH(VALUE($B103),기본자료!$B$2:$B$501,0),""))))</f>
        <v/>
      </c>
      <c r="AC103" s="10">
        <f>IF($B103="","",IFERROR(MATCH($B103,인턴근무계획!$D$3:$D$202,0),IFERROR(MATCH($B103&amp;"",인턴근무계획!$D$3:$D$202,0),IFERROR(MATCH(VALUE($B103),인턴근무계획!$D$3:$D$202,0),""))))</f>
        <v/>
      </c>
      <c r="AD103" s="10">
        <f>IF(OR($AC103="",인턴현황!$G$3=""),"",INDEX(인턴근무계획!$M$3:$R$202,$AC103,인턴현황!$G$3)&amp;"")</f>
        <v/>
      </c>
      <c r="AE103" s="10">
        <f>IF($B103="","",IF($M103&lt;&gt;"",$M103,IF($AF103&lt;&gt;"",IF(LEFT(INDEX(파견수련계획!$R$4:$R$203,$AF103),1)&lt;&gt;"⚠",INDEX(파견수련계획!$R$4:$R$203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파견수련계획!$Y$4:$Y$203,0),IFERROR(MATCH(TRIM($J103&amp;"")&amp;"|파견예정",파견수련계획!$Y$4:$Y$203,0),IFERROR(MATCH(TRIM($J103&amp;"")&amp;"|파견종료",파견수련계획!$Y$4:$Y$203,0),""))))</f>
        <v/>
      </c>
      <c r="AG103" s="10">
        <f>IF($B103="","",IF(AND(IF(OR($AC103="",인턴현황!$K$2=""),"",INDEX(인턴근무계획!$M$3:$R$202,$AC103,인턴현황!$K$2)&amp;"")&lt;&gt;"",LEFT(IF(OR($AC103="",인턴현황!$K$2=""),"",INDEX(인턴근무계획!$M$3:$R$202,$AC103,인턴현황!$K$2)&amp;""),1)&lt;&gt;"⚠"),LEFT(IF(OR($AC103="",인턴현황!$K$2=""),"",INDEX(인턴근무계획!$M$3:$R$202,$AC103,인턴현황!$K$2)&amp;""),FIND(" ",IF(OR($AC103="",인턴현황!$K$2=""),"",INDEX(인턴근무계획!$M$3:$R$202,$AC103,인턴현황!$K$2)&amp;""))-1),$AE103))</f>
        <v/>
      </c>
      <c r="AH103" s="17">
        <f>IF($B103="","",IF(TRIM($J103&amp;"")="",0,SUMPRODUCT((파견수련계획!$Q$4:$Q$203=TRIM($J103&amp;""))*(파견수련계획!$S$4:$S$203="서울병원")*파견수련계획!$W$4:$W$203))+IF($AG103="서울병원",MAX(0,DAY(EOMONTH(요약!$B$3,0))-N($X103)),0))</f>
        <v/>
      </c>
      <c r="AI103" s="17">
        <f>IF($B103="","",IF(TRIM($J103&amp;"")="",0,SUMPRODUCT((파견수련계획!$Q$4:$Q$203=TRIM($J103&amp;""))*(파견수련계획!$S$4:$S$203="구리병원")*파견수련계획!$W$4:$W$203))+IF($AG103="구리병원",MAX(0,DAY(EOMONTH(요약!$B$3,0))-N($X103)),0))</f>
        <v/>
      </c>
      <c r="AJ103" s="10">
        <f>IF(OR($B103="",TRIM($J103&amp;"")=""),"",IFERROR(MATCH(TRIM($J103&amp;"")&amp;"|월",파견수련계획!$Z$4:$Z$203,0),""))</f>
        <v/>
      </c>
      <c r="AK103" s="10">
        <f>IF(OR($B103="",TRIM($J103&amp;"")=""),"",IFERROR(MATCH(TRIM($J103&amp;"")&amp;"|다기관",파견수련계획!$AE$4:$AE$203,0),""))</f>
        <v/>
      </c>
      <c r="AL103" s="10">
        <f>IF($AK103="","","다기관 "&amp;TEXT(INDEX(파견수련계획!$AB$4:$AB$203,$AK103),"yyyy-mm-dd")&amp;"~"&amp;IF(ISNUMBER(INDEX(파견수련계획!$AC$4:$AC$203,$AK103)),TEXT(INDEX(파견수련계획!$AC$4:$AC$203,$AK103),"yyyy-mm-dd"),""))</f>
        <v/>
      </c>
    </row>
    <row r="104">
      <c r="A104" s="10">
        <f>IF(B104="","",ROW()-1)</f>
        <v/>
      </c>
      <c r="B104" s="18" t="n"/>
      <c r="C104" s="10">
        <f>IF($AB104="","",IF(INDEX(기본자료!$C$2:$C$501,$AB104)="","",INDEX(기본자료!$C$2:$C$501,$AB104)))</f>
        <v/>
      </c>
      <c r="D104" s="10">
        <f>IF($AB104="","",IF(INDEX(기본자료!$J$2:$J$501,$AB104)="","",INDEX(기본자료!$J$2:$J$501,$AB104)))</f>
        <v/>
      </c>
      <c r="E104" s="11">
        <f>IF($AB104="","",IF(INDEX(기본자료!$K$2:$K$501,$AB104)="","",IF(NOT(ISNUMBER(INDEX(기본자료!$K$2:$K$501,$AB104))),INDEX(기본자료!$K$2:$K$501,$AB104),IF(INDEX(기본자료!$K$2:$K$501,$AB104)&lt;1000000,INDEX(기본자료!$K$2:$K$501,$AB104),IF(AND(INDEX(기본자료!$K$2:$K$501,$AB104)&gt;=10000101,INT(MOD(INDEX(기본자료!$K$2:$K$501,$AB104),10000)/100)&gt;=1,INT(MOD(INDEX(기본자료!$K$2:$K$501,$AB104),10000)/100)&lt;=12,MOD(INDEX(기본자료!$K$2:$K$501,$AB104),100)&gt;=1,MOD(INDEX(기본자료!$K$2:$K$501,$AB104),100)&lt;=31),DATE(INT(INDEX(기본자료!$K$2:$K$501,$AB104)/10000),INT(MOD(INDEX(기본자료!$K$2:$K$501,$AB104),10000)/100),MOD(INDEX(기본자료!$K$2:$K$501,$AB104),100)),INDEX(기본자료!$K$2:$K$501,$AB104)&amp;"")))))</f>
        <v/>
      </c>
      <c r="F104" s="10">
        <f>IF($AB104="","",IF(INDEX(기본자료!$D$2:$D$501,$AB104)="","",INDEX(기본자료!$D$2:$D$501,$AB104)))</f>
        <v/>
      </c>
      <c r="G104" s="10">
        <f>IF($AB104="","",IF(INDEX(기본자료!$E$2:$E$501,$AB104)="","",INDEX(기본자료!$E$2:$E$501,$AB104)))</f>
        <v/>
      </c>
      <c r="H104" s="10">
        <f>IF($AB104="","",IF(INDEX(기본자료!$F$2:$F$501,$AB104)="","",INDEX(기본자료!$F$2:$F$501,$AB104)))</f>
        <v/>
      </c>
      <c r="I104" s="11">
        <f>IF($AB104="","",IF(INDEX(기본자료!$G$2:$G$501,$AB104)="","",IF(NOT(ISNUMBER(INDEX(기본자료!$G$2:$G$501,$AB104))),INDEX(기본자료!$G$2:$G$501,$AB104),IF(INDEX(기본자료!$G$2:$G$501,$AB104)&lt;1000000,INDEX(기본자료!$G$2:$G$501,$AB104),IF(AND(INDEX(기본자료!$G$2:$G$501,$AB104)&gt;=10000101,INT(MOD(INDEX(기본자료!$G$2:$G$501,$AB104),10000)/100)&gt;=1,INT(MOD(INDEX(기본자료!$G$2:$G$501,$AB104),10000)/100)&lt;=12,MOD(INDEX(기본자료!$G$2:$G$501,$AB104),100)&gt;=1,MOD(INDEX(기본자료!$G$2:$G$501,$AB104),100)&lt;=31),DATE(INT(INDEX(기본자료!$G$2:$G$501,$AB104)/10000),INT(MOD(INDEX(기본자료!$G$2:$G$501,$AB104),10000)/100),MOD(INDEX(기본자료!$G$2:$G$501,$AB104),100)),INDEX(기본자료!$G$2:$G$501,$AB104)&amp;"")))))</f>
        <v/>
      </c>
      <c r="J104" s="10">
        <f>IF($AB104="","",IF(INDEX(기본자료!$H$2:$H$501,$AB104)="","",INDEX(기본자료!$H$2:$H$501,$AB104)))</f>
        <v/>
      </c>
      <c r="K104" s="10">
        <f>IF($AB104="","",IF(INDEX(기본자료!$I$2:$I$501,$AB104)="","",INDEX(기본자료!$I$2:$I$501,$AB104)))</f>
        <v/>
      </c>
      <c r="L104" s="10">
        <f>IF($AB104="","",IF(INDEX(기본자료!$A$2:$A$501,$AB104)="","",INDEX(기본자료!$A$2:$A$501,$AB104)))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파견수련계획!$AB$4:$AB$203,$AK104),OR(NOT(ISNUMBER(INDEX(파견수련계획!$AC$4:$AC$203,$AK104))),TODAY()&lt;=INDEX(파견수련계획!$AC$4:$AC$203,$AK104))),"다기관",IF($AF104="","",INDEX(파견수련계획!$T$4:$T$203,$AF104))),IF($AF104="","",INDEX(파견수련계획!$T$4:$T$203,$AF104))))</f>
        <v/>
      </c>
      <c r="Q104" s="10">
        <f>IF($AF104="","",INDEX(파견수련계획!$S$4:$S$203,$AF104))</f>
        <v/>
      </c>
      <c r="R104" s="10">
        <f>IF($AF104="","",INDEX(파견수련계획!$U$4:$U$203,$AF104))</f>
        <v/>
      </c>
      <c r="S104" s="11">
        <f>IF($AF104="","",IF(INDEX(파견수련계획!$H$4:$H$203,$AF104)="","",INDEX(파견수련계획!$H$4:$H$203,$AF104)))</f>
        <v/>
      </c>
      <c r="T104" s="11">
        <f>IF($AF104="","",IF(INDEX(파견수련계획!$I$4:$I$203,$AF104)="","",INDEX(파견수련계획!$I$4:$I$203,$AF104)))</f>
        <v/>
      </c>
      <c r="U104" s="10">
        <f>IF($AF104="","",INDEX(파견수련계획!$X$4:$X$203,$AF104))</f>
        <v/>
      </c>
      <c r="V104" s="17">
        <f>IF($AF104="","",INDEX(파견수련계획!$V$4:$V$203,$AF104))</f>
        <v/>
      </c>
      <c r="W104" s="17">
        <f>IF(AND($U104="파견중",$T104&lt;&gt;""),$T104-TODAY(),"")</f>
        <v/>
      </c>
      <c r="X104" s="17">
        <f>IF(OR($B104="",TRIM($J104&amp;"")=""),"",SUMPRODUCT((파견수련계획!$Q$4:$Q$203=TRIM($J104&amp;""))*파견수련계획!$W$4:$W$203))</f>
        <v/>
      </c>
      <c r="Y104" s="10">
        <f>IF($B104="","",IF($AG104="","",IF(IF(TRIM($J104&amp;"")="",0,SUMPRODUCT((파견수련계획!$Q$4:$Q$203=TRIM($J104&amp;""))*파견수련계획!$AD$4:$AD$203))&gt;0,$AE104,IF(N($X104)&lt;=0,$AG104,IF($AH104+$AI104=DAY(EOMONTH(요약!$B$3,0)),IF(AND($AH104&gt;=요약!$E$3,$AI104&lt;요약!$E$3),"서울병원",IF(AND($AI104&gt;=요약!$E$3,$AH104&lt;요약!$E$3),"구리병원","⚠15일 판정불가(서울 "&amp;$AH104&amp;"일/구리 "&amp;$AI104&amp;"일)")),IF($AJ104="",$AE104,IF(INDEX(파견수련계획!$T$4:$T$203,$AJ104)="통합수련",INDEX(파견수련계획!$S$4:$S$203,$AJ104),$AE104)))))))</f>
        <v/>
      </c>
      <c r="Z104" s="19">
        <f>IF($B104="","",IF($AB104="","기본자료에 없는 사번",IF(COUNTIF($B$2:$B$201,$B104)&gt;1,"중복 사번",IF($AE104="","소속(입사장소) 입력",IF(IF(TRIM($J104&amp;"")="",0,SUMPRODUCT((파견수련계획!$Q$4:$Q$203=TRIM($J104&amp;""))*(파견수련계획!$AA$4:$AA$203&lt;&gt;"")))&gt;0,"파견수련계획 입력오류 확인",IF(LEFT($Y104,1)="⚠","서울·구리 15일 판정 불가(양쪽 모두 이상/미만)",IF(IF($AC104="",0,N(INDEX(인턴근무계획!$T$3:$T$202,$AC104)))&gt;0,"인턴계획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IF($B104="","",IFERROR(MATCH($B104,기본자료!$B$2:$B$501,0),IFERROR(MATCH($B104&amp;"",기본자료!$B$2:$B$501,0),IFERROR(MATCH(VALUE($B104),기본자료!$B$2:$B$501,0),""))))</f>
        <v/>
      </c>
      <c r="AC104" s="10">
        <f>IF($B104="","",IFERROR(MATCH($B104,인턴근무계획!$D$3:$D$202,0),IFERROR(MATCH($B104&amp;"",인턴근무계획!$D$3:$D$202,0),IFERROR(MATCH(VALUE($B104),인턴근무계획!$D$3:$D$202,0),""))))</f>
        <v/>
      </c>
      <c r="AD104" s="10">
        <f>IF(OR($AC104="",인턴현황!$G$3=""),"",INDEX(인턴근무계획!$M$3:$R$202,$AC104,인턴현황!$G$3)&amp;"")</f>
        <v/>
      </c>
      <c r="AE104" s="10">
        <f>IF($B104="","",IF($M104&lt;&gt;"",$M104,IF($AF104&lt;&gt;"",IF(LEFT(INDEX(파견수련계획!$R$4:$R$203,$AF104),1)&lt;&gt;"⚠",INDEX(파견수련계획!$R$4:$R$203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파견수련계획!$Y$4:$Y$203,0),IFERROR(MATCH(TRIM($J104&amp;"")&amp;"|파견예정",파견수련계획!$Y$4:$Y$203,0),IFERROR(MATCH(TRIM($J104&amp;"")&amp;"|파견종료",파견수련계획!$Y$4:$Y$203,0),""))))</f>
        <v/>
      </c>
      <c r="AG104" s="10">
        <f>IF($B104="","",IF(AND(IF(OR($AC104="",인턴현황!$K$2=""),"",INDEX(인턴근무계획!$M$3:$R$202,$AC104,인턴현황!$K$2)&amp;"")&lt;&gt;"",LEFT(IF(OR($AC104="",인턴현황!$K$2=""),"",INDEX(인턴근무계획!$M$3:$R$202,$AC104,인턴현황!$K$2)&amp;""),1)&lt;&gt;"⚠"),LEFT(IF(OR($AC104="",인턴현황!$K$2=""),"",INDEX(인턴근무계획!$M$3:$R$202,$AC104,인턴현황!$K$2)&amp;""),FIND(" ",IF(OR($AC104="",인턴현황!$K$2=""),"",INDEX(인턴근무계획!$M$3:$R$202,$AC104,인턴현황!$K$2)&amp;""))-1),$AE104))</f>
        <v/>
      </c>
      <c r="AH104" s="17">
        <f>IF($B104="","",IF(TRIM($J104&amp;"")="",0,SUMPRODUCT((파견수련계획!$Q$4:$Q$203=TRIM($J104&amp;""))*(파견수련계획!$S$4:$S$203="서울병원")*파견수련계획!$W$4:$W$203))+IF($AG104="서울병원",MAX(0,DAY(EOMONTH(요약!$B$3,0))-N($X104)),0))</f>
        <v/>
      </c>
      <c r="AI104" s="17">
        <f>IF($B104="","",IF(TRIM($J104&amp;"")="",0,SUMPRODUCT((파견수련계획!$Q$4:$Q$203=TRIM($J104&amp;""))*(파견수련계획!$S$4:$S$203="구리병원")*파견수련계획!$W$4:$W$203))+IF($AG104="구리병원",MAX(0,DAY(EOMONTH(요약!$B$3,0))-N($X104)),0))</f>
        <v/>
      </c>
      <c r="AJ104" s="10">
        <f>IF(OR($B104="",TRIM($J104&amp;"")=""),"",IFERROR(MATCH(TRIM($J104&amp;"")&amp;"|월",파견수련계획!$Z$4:$Z$203,0),""))</f>
        <v/>
      </c>
      <c r="AK104" s="10">
        <f>IF(OR($B104="",TRIM($J104&amp;"")=""),"",IFERROR(MATCH(TRIM($J104&amp;"")&amp;"|다기관",파견수련계획!$AE$4:$AE$203,0),""))</f>
        <v/>
      </c>
      <c r="AL104" s="10">
        <f>IF($AK104="","","다기관 "&amp;TEXT(INDEX(파견수련계획!$AB$4:$AB$203,$AK104),"yyyy-mm-dd")&amp;"~"&amp;IF(ISNUMBER(INDEX(파견수련계획!$AC$4:$AC$203,$AK104)),TEXT(INDEX(파견수련계획!$AC$4:$AC$203,$AK104),"yyyy-mm-dd"),""))</f>
        <v/>
      </c>
    </row>
    <row r="105">
      <c r="A105" s="10">
        <f>IF(B105="","",ROW()-1)</f>
        <v/>
      </c>
      <c r="B105" s="18" t="n"/>
      <c r="C105" s="10">
        <f>IF($AB105="","",IF(INDEX(기본자료!$C$2:$C$501,$AB105)="","",INDEX(기본자료!$C$2:$C$501,$AB105)))</f>
        <v/>
      </c>
      <c r="D105" s="10">
        <f>IF($AB105="","",IF(INDEX(기본자료!$J$2:$J$501,$AB105)="","",INDEX(기본자료!$J$2:$J$501,$AB105)))</f>
        <v/>
      </c>
      <c r="E105" s="11">
        <f>IF($AB105="","",IF(INDEX(기본자료!$K$2:$K$501,$AB105)="","",IF(NOT(ISNUMBER(INDEX(기본자료!$K$2:$K$501,$AB105))),INDEX(기본자료!$K$2:$K$501,$AB105),IF(INDEX(기본자료!$K$2:$K$501,$AB105)&lt;1000000,INDEX(기본자료!$K$2:$K$501,$AB105),IF(AND(INDEX(기본자료!$K$2:$K$501,$AB105)&gt;=10000101,INT(MOD(INDEX(기본자료!$K$2:$K$501,$AB105),10000)/100)&gt;=1,INT(MOD(INDEX(기본자료!$K$2:$K$501,$AB105),10000)/100)&lt;=12,MOD(INDEX(기본자료!$K$2:$K$501,$AB105),100)&gt;=1,MOD(INDEX(기본자료!$K$2:$K$501,$AB105),100)&lt;=31),DATE(INT(INDEX(기본자료!$K$2:$K$501,$AB105)/10000),INT(MOD(INDEX(기본자료!$K$2:$K$501,$AB105),10000)/100),MOD(INDEX(기본자료!$K$2:$K$501,$AB105),100)),INDEX(기본자료!$K$2:$K$501,$AB105)&amp;"")))))</f>
        <v/>
      </c>
      <c r="F105" s="10">
        <f>IF($AB105="","",IF(INDEX(기본자료!$D$2:$D$501,$AB105)="","",INDEX(기본자료!$D$2:$D$501,$AB105)))</f>
        <v/>
      </c>
      <c r="G105" s="10">
        <f>IF($AB105="","",IF(INDEX(기본자료!$E$2:$E$501,$AB105)="","",INDEX(기본자료!$E$2:$E$501,$AB105)))</f>
        <v/>
      </c>
      <c r="H105" s="10">
        <f>IF($AB105="","",IF(INDEX(기본자료!$F$2:$F$501,$AB105)="","",INDEX(기본자료!$F$2:$F$501,$AB105)))</f>
        <v/>
      </c>
      <c r="I105" s="11">
        <f>IF($AB105="","",IF(INDEX(기본자료!$G$2:$G$501,$AB105)="","",IF(NOT(ISNUMBER(INDEX(기본자료!$G$2:$G$501,$AB105))),INDEX(기본자료!$G$2:$G$501,$AB105),IF(INDEX(기본자료!$G$2:$G$501,$AB105)&lt;1000000,INDEX(기본자료!$G$2:$G$501,$AB105),IF(AND(INDEX(기본자료!$G$2:$G$501,$AB105)&gt;=10000101,INT(MOD(INDEX(기본자료!$G$2:$G$501,$AB105),10000)/100)&gt;=1,INT(MOD(INDEX(기본자료!$G$2:$G$501,$AB105),10000)/100)&lt;=12,MOD(INDEX(기본자료!$G$2:$G$501,$AB105),100)&gt;=1,MOD(INDEX(기본자료!$G$2:$G$501,$AB105),100)&lt;=31),DATE(INT(INDEX(기본자료!$G$2:$G$501,$AB105)/10000),INT(MOD(INDEX(기본자료!$G$2:$G$501,$AB105),10000)/100),MOD(INDEX(기본자료!$G$2:$G$501,$AB105),100)),INDEX(기본자료!$G$2:$G$501,$AB105)&amp;"")))))</f>
        <v/>
      </c>
      <c r="J105" s="10">
        <f>IF($AB105="","",IF(INDEX(기본자료!$H$2:$H$501,$AB105)="","",INDEX(기본자료!$H$2:$H$501,$AB105)))</f>
        <v/>
      </c>
      <c r="K105" s="10">
        <f>IF($AB105="","",IF(INDEX(기본자료!$I$2:$I$501,$AB105)="","",INDEX(기본자료!$I$2:$I$501,$AB105)))</f>
        <v/>
      </c>
      <c r="L105" s="10">
        <f>IF($AB105="","",IF(INDEX(기본자료!$A$2:$A$501,$AB105)="","",INDEX(기본자료!$A$2:$A$501,$AB105)))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파견수련계획!$AB$4:$AB$203,$AK105),OR(NOT(ISNUMBER(INDEX(파견수련계획!$AC$4:$AC$203,$AK105))),TODAY()&lt;=INDEX(파견수련계획!$AC$4:$AC$203,$AK105))),"다기관",IF($AF105="","",INDEX(파견수련계획!$T$4:$T$203,$AF105))),IF($AF105="","",INDEX(파견수련계획!$T$4:$T$203,$AF105))))</f>
        <v/>
      </c>
      <c r="Q105" s="10">
        <f>IF($AF105="","",INDEX(파견수련계획!$S$4:$S$203,$AF105))</f>
        <v/>
      </c>
      <c r="R105" s="10">
        <f>IF($AF105="","",INDEX(파견수련계획!$U$4:$U$203,$AF105))</f>
        <v/>
      </c>
      <c r="S105" s="11">
        <f>IF($AF105="","",IF(INDEX(파견수련계획!$H$4:$H$203,$AF105)="","",INDEX(파견수련계획!$H$4:$H$203,$AF105)))</f>
        <v/>
      </c>
      <c r="T105" s="11">
        <f>IF($AF105="","",IF(INDEX(파견수련계획!$I$4:$I$203,$AF105)="","",INDEX(파견수련계획!$I$4:$I$203,$AF105)))</f>
        <v/>
      </c>
      <c r="U105" s="10">
        <f>IF($AF105="","",INDEX(파견수련계획!$X$4:$X$203,$AF105))</f>
        <v/>
      </c>
      <c r="V105" s="17">
        <f>IF($AF105="","",INDEX(파견수련계획!$V$4:$V$203,$AF105))</f>
        <v/>
      </c>
      <c r="W105" s="17">
        <f>IF(AND($U105="파견중",$T105&lt;&gt;""),$T105-TODAY(),"")</f>
        <v/>
      </c>
      <c r="X105" s="17">
        <f>IF(OR($B105="",TRIM($J105&amp;"")=""),"",SUMPRODUCT((파견수련계획!$Q$4:$Q$203=TRIM($J105&amp;""))*파견수련계획!$W$4:$W$203))</f>
        <v/>
      </c>
      <c r="Y105" s="10">
        <f>IF($B105="","",IF($AG105="","",IF(IF(TRIM($J105&amp;"")="",0,SUMPRODUCT((파견수련계획!$Q$4:$Q$203=TRIM($J105&amp;""))*파견수련계획!$AD$4:$AD$203))&gt;0,$AE105,IF(N($X105)&lt;=0,$AG105,IF($AH105+$AI105=DAY(EOMONTH(요약!$B$3,0)),IF(AND($AH105&gt;=요약!$E$3,$AI105&lt;요약!$E$3),"서울병원",IF(AND($AI105&gt;=요약!$E$3,$AH105&lt;요약!$E$3),"구리병원","⚠15일 판정불가(서울 "&amp;$AH105&amp;"일/구리 "&amp;$AI105&amp;"일)")),IF($AJ105="",$AE105,IF(INDEX(파견수련계획!$T$4:$T$203,$AJ105)="통합수련",INDEX(파견수련계획!$S$4:$S$203,$AJ105),$AE105)))))))</f>
        <v/>
      </c>
      <c r="Z105" s="19">
        <f>IF($B105="","",IF($AB105="","기본자료에 없는 사번",IF(COUNTIF($B$2:$B$201,$B105)&gt;1,"중복 사번",IF($AE105="","소속(입사장소) 입력",IF(IF(TRIM($J105&amp;"")="",0,SUMPRODUCT((파견수련계획!$Q$4:$Q$203=TRIM($J105&amp;""))*(파견수련계획!$AA$4:$AA$203&lt;&gt;"")))&gt;0,"파견수련계획 입력오류 확인",IF(LEFT($Y105,1)="⚠","서울·구리 15일 판정 불가(양쪽 모두 이상/미만)",IF(IF($AC105="",0,N(INDEX(인턴근무계획!$T$3:$T$202,$AC105)))&gt;0,"인턴계획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IF($B105="","",IFERROR(MATCH($B105,기본자료!$B$2:$B$501,0),IFERROR(MATCH($B105&amp;"",기본자료!$B$2:$B$501,0),IFERROR(MATCH(VALUE($B105),기본자료!$B$2:$B$501,0),""))))</f>
        <v/>
      </c>
      <c r="AC105" s="10">
        <f>IF($B105="","",IFERROR(MATCH($B105,인턴근무계획!$D$3:$D$202,0),IFERROR(MATCH($B105&amp;"",인턴근무계획!$D$3:$D$202,0),IFERROR(MATCH(VALUE($B105),인턴근무계획!$D$3:$D$202,0),""))))</f>
        <v/>
      </c>
      <c r="AD105" s="10">
        <f>IF(OR($AC105="",인턴현황!$G$3=""),"",INDEX(인턴근무계획!$M$3:$R$202,$AC105,인턴현황!$G$3)&amp;"")</f>
        <v/>
      </c>
      <c r="AE105" s="10">
        <f>IF($B105="","",IF($M105&lt;&gt;"",$M105,IF($AF105&lt;&gt;"",IF(LEFT(INDEX(파견수련계획!$R$4:$R$203,$AF105),1)&lt;&gt;"⚠",INDEX(파견수련계획!$R$4:$R$203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파견수련계획!$Y$4:$Y$203,0),IFERROR(MATCH(TRIM($J105&amp;"")&amp;"|파견예정",파견수련계획!$Y$4:$Y$203,0),IFERROR(MATCH(TRIM($J105&amp;"")&amp;"|파견종료",파견수련계획!$Y$4:$Y$203,0),""))))</f>
        <v/>
      </c>
      <c r="AG105" s="10">
        <f>IF($B105="","",IF(AND(IF(OR($AC105="",인턴현황!$K$2=""),"",INDEX(인턴근무계획!$M$3:$R$202,$AC105,인턴현황!$K$2)&amp;"")&lt;&gt;"",LEFT(IF(OR($AC105="",인턴현황!$K$2=""),"",INDEX(인턴근무계획!$M$3:$R$202,$AC105,인턴현황!$K$2)&amp;""),1)&lt;&gt;"⚠"),LEFT(IF(OR($AC105="",인턴현황!$K$2=""),"",INDEX(인턴근무계획!$M$3:$R$202,$AC105,인턴현황!$K$2)&amp;""),FIND(" ",IF(OR($AC105="",인턴현황!$K$2=""),"",INDEX(인턴근무계획!$M$3:$R$202,$AC105,인턴현황!$K$2)&amp;""))-1),$AE105))</f>
        <v/>
      </c>
      <c r="AH105" s="17">
        <f>IF($B105="","",IF(TRIM($J105&amp;"")="",0,SUMPRODUCT((파견수련계획!$Q$4:$Q$203=TRIM($J105&amp;""))*(파견수련계획!$S$4:$S$203="서울병원")*파견수련계획!$W$4:$W$203))+IF($AG105="서울병원",MAX(0,DAY(EOMONTH(요약!$B$3,0))-N($X105)),0))</f>
        <v/>
      </c>
      <c r="AI105" s="17">
        <f>IF($B105="","",IF(TRIM($J105&amp;"")="",0,SUMPRODUCT((파견수련계획!$Q$4:$Q$203=TRIM($J105&amp;""))*(파견수련계획!$S$4:$S$203="구리병원")*파견수련계획!$W$4:$W$203))+IF($AG105="구리병원",MAX(0,DAY(EOMONTH(요약!$B$3,0))-N($X105)),0))</f>
        <v/>
      </c>
      <c r="AJ105" s="10">
        <f>IF(OR($B105="",TRIM($J105&amp;"")=""),"",IFERROR(MATCH(TRIM($J105&amp;"")&amp;"|월",파견수련계획!$Z$4:$Z$203,0),""))</f>
        <v/>
      </c>
      <c r="AK105" s="10">
        <f>IF(OR($B105="",TRIM($J105&amp;"")=""),"",IFERROR(MATCH(TRIM($J105&amp;"")&amp;"|다기관",파견수련계획!$AE$4:$AE$203,0),""))</f>
        <v/>
      </c>
      <c r="AL105" s="10">
        <f>IF($AK105="","","다기관 "&amp;TEXT(INDEX(파견수련계획!$AB$4:$AB$203,$AK105),"yyyy-mm-dd")&amp;"~"&amp;IF(ISNUMBER(INDEX(파견수련계획!$AC$4:$AC$203,$AK105)),TEXT(INDEX(파견수련계획!$AC$4:$AC$203,$AK105),"yyyy-mm-dd"),""))</f>
        <v/>
      </c>
    </row>
    <row r="106">
      <c r="A106" s="10">
        <f>IF(B106="","",ROW()-1)</f>
        <v/>
      </c>
      <c r="B106" s="18" t="n"/>
      <c r="C106" s="10">
        <f>IF($AB106="","",IF(INDEX(기본자료!$C$2:$C$501,$AB106)="","",INDEX(기본자료!$C$2:$C$501,$AB106)))</f>
        <v/>
      </c>
      <c r="D106" s="10">
        <f>IF($AB106="","",IF(INDEX(기본자료!$J$2:$J$501,$AB106)="","",INDEX(기본자료!$J$2:$J$501,$AB106)))</f>
        <v/>
      </c>
      <c r="E106" s="11">
        <f>IF($AB106="","",IF(INDEX(기본자료!$K$2:$K$501,$AB106)="","",IF(NOT(ISNUMBER(INDEX(기본자료!$K$2:$K$501,$AB106))),INDEX(기본자료!$K$2:$K$501,$AB106),IF(INDEX(기본자료!$K$2:$K$501,$AB106)&lt;1000000,INDEX(기본자료!$K$2:$K$501,$AB106),IF(AND(INDEX(기본자료!$K$2:$K$501,$AB106)&gt;=10000101,INT(MOD(INDEX(기본자료!$K$2:$K$501,$AB106),10000)/100)&gt;=1,INT(MOD(INDEX(기본자료!$K$2:$K$501,$AB106),10000)/100)&lt;=12,MOD(INDEX(기본자료!$K$2:$K$501,$AB106),100)&gt;=1,MOD(INDEX(기본자료!$K$2:$K$501,$AB106),100)&lt;=31),DATE(INT(INDEX(기본자료!$K$2:$K$501,$AB106)/10000),INT(MOD(INDEX(기본자료!$K$2:$K$501,$AB106),10000)/100),MOD(INDEX(기본자료!$K$2:$K$501,$AB106),100)),INDEX(기본자료!$K$2:$K$501,$AB106)&amp;"")))))</f>
        <v/>
      </c>
      <c r="F106" s="10">
        <f>IF($AB106="","",IF(INDEX(기본자료!$D$2:$D$501,$AB106)="","",INDEX(기본자료!$D$2:$D$501,$AB106)))</f>
        <v/>
      </c>
      <c r="G106" s="10">
        <f>IF($AB106="","",IF(INDEX(기본자료!$E$2:$E$501,$AB106)="","",INDEX(기본자료!$E$2:$E$501,$AB106)))</f>
        <v/>
      </c>
      <c r="H106" s="10">
        <f>IF($AB106="","",IF(INDEX(기본자료!$F$2:$F$501,$AB106)="","",INDEX(기본자료!$F$2:$F$501,$AB106)))</f>
        <v/>
      </c>
      <c r="I106" s="11">
        <f>IF($AB106="","",IF(INDEX(기본자료!$G$2:$G$501,$AB106)="","",IF(NOT(ISNUMBER(INDEX(기본자료!$G$2:$G$501,$AB106))),INDEX(기본자료!$G$2:$G$501,$AB106),IF(INDEX(기본자료!$G$2:$G$501,$AB106)&lt;1000000,INDEX(기본자료!$G$2:$G$501,$AB106),IF(AND(INDEX(기본자료!$G$2:$G$501,$AB106)&gt;=10000101,INT(MOD(INDEX(기본자료!$G$2:$G$501,$AB106),10000)/100)&gt;=1,INT(MOD(INDEX(기본자료!$G$2:$G$501,$AB106),10000)/100)&lt;=12,MOD(INDEX(기본자료!$G$2:$G$501,$AB106),100)&gt;=1,MOD(INDEX(기본자료!$G$2:$G$501,$AB106),100)&lt;=31),DATE(INT(INDEX(기본자료!$G$2:$G$501,$AB106)/10000),INT(MOD(INDEX(기본자료!$G$2:$G$501,$AB106),10000)/100),MOD(INDEX(기본자료!$G$2:$G$501,$AB106),100)),INDEX(기본자료!$G$2:$G$501,$AB106)&amp;"")))))</f>
        <v/>
      </c>
      <c r="J106" s="10">
        <f>IF($AB106="","",IF(INDEX(기본자료!$H$2:$H$501,$AB106)="","",INDEX(기본자료!$H$2:$H$501,$AB106)))</f>
        <v/>
      </c>
      <c r="K106" s="10">
        <f>IF($AB106="","",IF(INDEX(기본자료!$I$2:$I$501,$AB106)="","",INDEX(기본자료!$I$2:$I$501,$AB106)))</f>
        <v/>
      </c>
      <c r="L106" s="10">
        <f>IF($AB106="","",IF(INDEX(기본자료!$A$2:$A$501,$AB106)="","",INDEX(기본자료!$A$2:$A$501,$AB106)))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파견수련계획!$AB$4:$AB$203,$AK106),OR(NOT(ISNUMBER(INDEX(파견수련계획!$AC$4:$AC$203,$AK106))),TODAY()&lt;=INDEX(파견수련계획!$AC$4:$AC$203,$AK106))),"다기관",IF($AF106="","",INDEX(파견수련계획!$T$4:$T$203,$AF106))),IF($AF106="","",INDEX(파견수련계획!$T$4:$T$203,$AF106))))</f>
        <v/>
      </c>
      <c r="Q106" s="10">
        <f>IF($AF106="","",INDEX(파견수련계획!$S$4:$S$203,$AF106))</f>
        <v/>
      </c>
      <c r="R106" s="10">
        <f>IF($AF106="","",INDEX(파견수련계획!$U$4:$U$203,$AF106))</f>
        <v/>
      </c>
      <c r="S106" s="11">
        <f>IF($AF106="","",IF(INDEX(파견수련계획!$H$4:$H$203,$AF106)="","",INDEX(파견수련계획!$H$4:$H$203,$AF106)))</f>
        <v/>
      </c>
      <c r="T106" s="11">
        <f>IF($AF106="","",IF(INDEX(파견수련계획!$I$4:$I$203,$AF106)="","",INDEX(파견수련계획!$I$4:$I$203,$AF106)))</f>
        <v/>
      </c>
      <c r="U106" s="10">
        <f>IF($AF106="","",INDEX(파견수련계획!$X$4:$X$203,$AF106))</f>
        <v/>
      </c>
      <c r="V106" s="17">
        <f>IF($AF106="","",INDEX(파견수련계획!$V$4:$V$203,$AF106))</f>
        <v/>
      </c>
      <c r="W106" s="17">
        <f>IF(AND($U106="파견중",$T106&lt;&gt;""),$T106-TODAY(),"")</f>
        <v/>
      </c>
      <c r="X106" s="17">
        <f>IF(OR($B106="",TRIM($J106&amp;"")=""),"",SUMPRODUCT((파견수련계획!$Q$4:$Q$203=TRIM($J106&amp;""))*파견수련계획!$W$4:$W$203))</f>
        <v/>
      </c>
      <c r="Y106" s="10">
        <f>IF($B106="","",IF($AG106="","",IF(IF(TRIM($J106&amp;"")="",0,SUMPRODUCT((파견수련계획!$Q$4:$Q$203=TRIM($J106&amp;""))*파견수련계획!$AD$4:$AD$203))&gt;0,$AE106,IF(N($X106)&lt;=0,$AG106,IF($AH106+$AI106=DAY(EOMONTH(요약!$B$3,0)),IF(AND($AH106&gt;=요약!$E$3,$AI106&lt;요약!$E$3),"서울병원",IF(AND($AI106&gt;=요약!$E$3,$AH106&lt;요약!$E$3),"구리병원","⚠15일 판정불가(서울 "&amp;$AH106&amp;"일/구리 "&amp;$AI106&amp;"일)")),IF($AJ106="",$AE106,IF(INDEX(파견수련계획!$T$4:$T$203,$AJ106)="통합수련",INDEX(파견수련계획!$S$4:$S$203,$AJ106),$AE106)))))))</f>
        <v/>
      </c>
      <c r="Z106" s="19">
        <f>IF($B106="","",IF($AB106="","기본자료에 없는 사번",IF(COUNTIF($B$2:$B$201,$B106)&gt;1,"중복 사번",IF($AE106="","소속(입사장소) 입력",IF(IF(TRIM($J106&amp;"")="",0,SUMPRODUCT((파견수련계획!$Q$4:$Q$203=TRIM($J106&amp;""))*(파견수련계획!$AA$4:$AA$203&lt;&gt;"")))&gt;0,"파견수련계획 입력오류 확인",IF(LEFT($Y106,1)="⚠","서울·구리 15일 판정 불가(양쪽 모두 이상/미만)",IF(IF($AC106="",0,N(INDEX(인턴근무계획!$T$3:$T$202,$AC106)))&gt;0,"인턴계획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IF($B106="","",IFERROR(MATCH($B106,기본자료!$B$2:$B$501,0),IFERROR(MATCH($B106&amp;"",기본자료!$B$2:$B$501,0),IFERROR(MATCH(VALUE($B106),기본자료!$B$2:$B$501,0),""))))</f>
        <v/>
      </c>
      <c r="AC106" s="10">
        <f>IF($B106="","",IFERROR(MATCH($B106,인턴근무계획!$D$3:$D$202,0),IFERROR(MATCH($B106&amp;"",인턴근무계획!$D$3:$D$202,0),IFERROR(MATCH(VALUE($B106),인턴근무계획!$D$3:$D$202,0),""))))</f>
        <v/>
      </c>
      <c r="AD106" s="10">
        <f>IF(OR($AC106="",인턴현황!$G$3=""),"",INDEX(인턴근무계획!$M$3:$R$202,$AC106,인턴현황!$G$3)&amp;"")</f>
        <v/>
      </c>
      <c r="AE106" s="10">
        <f>IF($B106="","",IF($M106&lt;&gt;"",$M106,IF($AF106&lt;&gt;"",IF(LEFT(INDEX(파견수련계획!$R$4:$R$203,$AF106),1)&lt;&gt;"⚠",INDEX(파견수련계획!$R$4:$R$203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파견수련계획!$Y$4:$Y$203,0),IFERROR(MATCH(TRIM($J106&amp;"")&amp;"|파견예정",파견수련계획!$Y$4:$Y$203,0),IFERROR(MATCH(TRIM($J106&amp;"")&amp;"|파견종료",파견수련계획!$Y$4:$Y$203,0),""))))</f>
        <v/>
      </c>
      <c r="AG106" s="10">
        <f>IF($B106="","",IF(AND(IF(OR($AC106="",인턴현황!$K$2=""),"",INDEX(인턴근무계획!$M$3:$R$202,$AC106,인턴현황!$K$2)&amp;"")&lt;&gt;"",LEFT(IF(OR($AC106="",인턴현황!$K$2=""),"",INDEX(인턴근무계획!$M$3:$R$202,$AC106,인턴현황!$K$2)&amp;""),1)&lt;&gt;"⚠"),LEFT(IF(OR($AC106="",인턴현황!$K$2=""),"",INDEX(인턴근무계획!$M$3:$R$202,$AC106,인턴현황!$K$2)&amp;""),FIND(" ",IF(OR($AC106="",인턴현황!$K$2=""),"",INDEX(인턴근무계획!$M$3:$R$202,$AC106,인턴현황!$K$2)&amp;""))-1),$AE106))</f>
        <v/>
      </c>
      <c r="AH106" s="17">
        <f>IF($B106="","",IF(TRIM($J106&amp;"")="",0,SUMPRODUCT((파견수련계획!$Q$4:$Q$203=TRIM($J106&amp;""))*(파견수련계획!$S$4:$S$203="서울병원")*파견수련계획!$W$4:$W$203))+IF($AG106="서울병원",MAX(0,DAY(EOMONTH(요약!$B$3,0))-N($X106)),0))</f>
        <v/>
      </c>
      <c r="AI106" s="17">
        <f>IF($B106="","",IF(TRIM($J106&amp;"")="",0,SUMPRODUCT((파견수련계획!$Q$4:$Q$203=TRIM($J106&amp;""))*(파견수련계획!$S$4:$S$203="구리병원")*파견수련계획!$W$4:$W$203))+IF($AG106="구리병원",MAX(0,DAY(EOMONTH(요약!$B$3,0))-N($X106)),0))</f>
        <v/>
      </c>
      <c r="AJ106" s="10">
        <f>IF(OR($B106="",TRIM($J106&amp;"")=""),"",IFERROR(MATCH(TRIM($J106&amp;"")&amp;"|월",파견수련계획!$Z$4:$Z$203,0),""))</f>
        <v/>
      </c>
      <c r="AK106" s="10">
        <f>IF(OR($B106="",TRIM($J106&amp;"")=""),"",IFERROR(MATCH(TRIM($J106&amp;"")&amp;"|다기관",파견수련계획!$AE$4:$AE$203,0),""))</f>
        <v/>
      </c>
      <c r="AL106" s="10">
        <f>IF($AK106="","","다기관 "&amp;TEXT(INDEX(파견수련계획!$AB$4:$AB$203,$AK106),"yyyy-mm-dd")&amp;"~"&amp;IF(ISNUMBER(INDEX(파견수련계획!$AC$4:$AC$203,$AK106)),TEXT(INDEX(파견수련계획!$AC$4:$AC$203,$AK106),"yyyy-mm-dd"),""))</f>
        <v/>
      </c>
    </row>
    <row r="107">
      <c r="A107" s="10">
        <f>IF(B107="","",ROW()-1)</f>
        <v/>
      </c>
      <c r="B107" s="18" t="n"/>
      <c r="C107" s="10">
        <f>IF($AB107="","",IF(INDEX(기본자료!$C$2:$C$501,$AB107)="","",INDEX(기본자료!$C$2:$C$501,$AB107)))</f>
        <v/>
      </c>
      <c r="D107" s="10">
        <f>IF($AB107="","",IF(INDEX(기본자료!$J$2:$J$501,$AB107)="","",INDEX(기본자료!$J$2:$J$501,$AB107)))</f>
        <v/>
      </c>
      <c r="E107" s="11">
        <f>IF($AB107="","",IF(INDEX(기본자료!$K$2:$K$501,$AB107)="","",IF(NOT(ISNUMBER(INDEX(기본자료!$K$2:$K$501,$AB107))),INDEX(기본자료!$K$2:$K$501,$AB107),IF(INDEX(기본자료!$K$2:$K$501,$AB107)&lt;1000000,INDEX(기본자료!$K$2:$K$501,$AB107),IF(AND(INDEX(기본자료!$K$2:$K$501,$AB107)&gt;=10000101,INT(MOD(INDEX(기본자료!$K$2:$K$501,$AB107),10000)/100)&gt;=1,INT(MOD(INDEX(기본자료!$K$2:$K$501,$AB107),10000)/100)&lt;=12,MOD(INDEX(기본자료!$K$2:$K$501,$AB107),100)&gt;=1,MOD(INDEX(기본자료!$K$2:$K$501,$AB107),100)&lt;=31),DATE(INT(INDEX(기본자료!$K$2:$K$501,$AB107)/10000),INT(MOD(INDEX(기본자료!$K$2:$K$501,$AB107),10000)/100),MOD(INDEX(기본자료!$K$2:$K$501,$AB107),100)),INDEX(기본자료!$K$2:$K$501,$AB107)&amp;"")))))</f>
        <v/>
      </c>
      <c r="F107" s="10">
        <f>IF($AB107="","",IF(INDEX(기본자료!$D$2:$D$501,$AB107)="","",INDEX(기본자료!$D$2:$D$501,$AB107)))</f>
        <v/>
      </c>
      <c r="G107" s="10">
        <f>IF($AB107="","",IF(INDEX(기본자료!$E$2:$E$501,$AB107)="","",INDEX(기본자료!$E$2:$E$501,$AB107)))</f>
        <v/>
      </c>
      <c r="H107" s="10">
        <f>IF($AB107="","",IF(INDEX(기본자료!$F$2:$F$501,$AB107)="","",INDEX(기본자료!$F$2:$F$501,$AB107)))</f>
        <v/>
      </c>
      <c r="I107" s="11">
        <f>IF($AB107="","",IF(INDEX(기본자료!$G$2:$G$501,$AB107)="","",IF(NOT(ISNUMBER(INDEX(기본자료!$G$2:$G$501,$AB107))),INDEX(기본자료!$G$2:$G$501,$AB107),IF(INDEX(기본자료!$G$2:$G$501,$AB107)&lt;1000000,INDEX(기본자료!$G$2:$G$501,$AB107),IF(AND(INDEX(기본자료!$G$2:$G$501,$AB107)&gt;=10000101,INT(MOD(INDEX(기본자료!$G$2:$G$501,$AB107),10000)/100)&gt;=1,INT(MOD(INDEX(기본자료!$G$2:$G$501,$AB107),10000)/100)&lt;=12,MOD(INDEX(기본자료!$G$2:$G$501,$AB107),100)&gt;=1,MOD(INDEX(기본자료!$G$2:$G$501,$AB107),100)&lt;=31),DATE(INT(INDEX(기본자료!$G$2:$G$501,$AB107)/10000),INT(MOD(INDEX(기본자료!$G$2:$G$501,$AB107),10000)/100),MOD(INDEX(기본자료!$G$2:$G$501,$AB107),100)),INDEX(기본자료!$G$2:$G$501,$AB107)&amp;"")))))</f>
        <v/>
      </c>
      <c r="J107" s="10">
        <f>IF($AB107="","",IF(INDEX(기본자료!$H$2:$H$501,$AB107)="","",INDEX(기본자료!$H$2:$H$501,$AB107)))</f>
        <v/>
      </c>
      <c r="K107" s="10">
        <f>IF($AB107="","",IF(INDEX(기본자료!$I$2:$I$501,$AB107)="","",INDEX(기본자료!$I$2:$I$501,$AB107)))</f>
        <v/>
      </c>
      <c r="L107" s="10">
        <f>IF($AB107="","",IF(INDEX(기본자료!$A$2:$A$501,$AB107)="","",INDEX(기본자료!$A$2:$A$501,$AB107)))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파견수련계획!$AB$4:$AB$203,$AK107),OR(NOT(ISNUMBER(INDEX(파견수련계획!$AC$4:$AC$203,$AK107))),TODAY()&lt;=INDEX(파견수련계획!$AC$4:$AC$203,$AK107))),"다기관",IF($AF107="","",INDEX(파견수련계획!$T$4:$T$203,$AF107))),IF($AF107="","",INDEX(파견수련계획!$T$4:$T$203,$AF107))))</f>
        <v/>
      </c>
      <c r="Q107" s="10">
        <f>IF($AF107="","",INDEX(파견수련계획!$S$4:$S$203,$AF107))</f>
        <v/>
      </c>
      <c r="R107" s="10">
        <f>IF($AF107="","",INDEX(파견수련계획!$U$4:$U$203,$AF107))</f>
        <v/>
      </c>
      <c r="S107" s="11">
        <f>IF($AF107="","",IF(INDEX(파견수련계획!$H$4:$H$203,$AF107)="","",INDEX(파견수련계획!$H$4:$H$203,$AF107)))</f>
        <v/>
      </c>
      <c r="T107" s="11">
        <f>IF($AF107="","",IF(INDEX(파견수련계획!$I$4:$I$203,$AF107)="","",INDEX(파견수련계획!$I$4:$I$203,$AF107)))</f>
        <v/>
      </c>
      <c r="U107" s="10">
        <f>IF($AF107="","",INDEX(파견수련계획!$X$4:$X$203,$AF107))</f>
        <v/>
      </c>
      <c r="V107" s="17">
        <f>IF($AF107="","",INDEX(파견수련계획!$V$4:$V$203,$AF107))</f>
        <v/>
      </c>
      <c r="W107" s="17">
        <f>IF(AND($U107="파견중",$T107&lt;&gt;""),$T107-TODAY(),"")</f>
        <v/>
      </c>
      <c r="X107" s="17">
        <f>IF(OR($B107="",TRIM($J107&amp;"")=""),"",SUMPRODUCT((파견수련계획!$Q$4:$Q$203=TRIM($J107&amp;""))*파견수련계획!$W$4:$W$203))</f>
        <v/>
      </c>
      <c r="Y107" s="10">
        <f>IF($B107="","",IF($AG107="","",IF(IF(TRIM($J107&amp;"")="",0,SUMPRODUCT((파견수련계획!$Q$4:$Q$203=TRIM($J107&amp;""))*파견수련계획!$AD$4:$AD$203))&gt;0,$AE107,IF(N($X107)&lt;=0,$AG107,IF($AH107+$AI107=DAY(EOMONTH(요약!$B$3,0)),IF(AND($AH107&gt;=요약!$E$3,$AI107&lt;요약!$E$3),"서울병원",IF(AND($AI107&gt;=요약!$E$3,$AH107&lt;요약!$E$3),"구리병원","⚠15일 판정불가(서울 "&amp;$AH107&amp;"일/구리 "&amp;$AI107&amp;"일)")),IF($AJ107="",$AE107,IF(INDEX(파견수련계획!$T$4:$T$203,$AJ107)="통합수련",INDEX(파견수련계획!$S$4:$S$203,$AJ107),$AE107)))))))</f>
        <v/>
      </c>
      <c r="Z107" s="19">
        <f>IF($B107="","",IF($AB107="","기본자료에 없는 사번",IF(COUNTIF($B$2:$B$201,$B107)&gt;1,"중복 사번",IF($AE107="","소속(입사장소) 입력",IF(IF(TRIM($J107&amp;"")="",0,SUMPRODUCT((파견수련계획!$Q$4:$Q$203=TRIM($J107&amp;""))*(파견수련계획!$AA$4:$AA$203&lt;&gt;"")))&gt;0,"파견수련계획 입력오류 확인",IF(LEFT($Y107,1)="⚠","서울·구리 15일 판정 불가(양쪽 모두 이상/미만)",IF(IF($AC107="",0,N(INDEX(인턴근무계획!$T$3:$T$202,$AC107)))&gt;0,"인턴계획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IF($B107="","",IFERROR(MATCH($B107,기본자료!$B$2:$B$501,0),IFERROR(MATCH($B107&amp;"",기본자료!$B$2:$B$501,0),IFERROR(MATCH(VALUE($B107),기본자료!$B$2:$B$501,0),""))))</f>
        <v/>
      </c>
      <c r="AC107" s="10">
        <f>IF($B107="","",IFERROR(MATCH($B107,인턴근무계획!$D$3:$D$202,0),IFERROR(MATCH($B107&amp;"",인턴근무계획!$D$3:$D$202,0),IFERROR(MATCH(VALUE($B107),인턴근무계획!$D$3:$D$202,0),""))))</f>
        <v/>
      </c>
      <c r="AD107" s="10">
        <f>IF(OR($AC107="",인턴현황!$G$3=""),"",INDEX(인턴근무계획!$M$3:$R$202,$AC107,인턴현황!$G$3)&amp;"")</f>
        <v/>
      </c>
      <c r="AE107" s="10">
        <f>IF($B107="","",IF($M107&lt;&gt;"",$M107,IF($AF107&lt;&gt;"",IF(LEFT(INDEX(파견수련계획!$R$4:$R$203,$AF107),1)&lt;&gt;"⚠",INDEX(파견수련계획!$R$4:$R$203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파견수련계획!$Y$4:$Y$203,0),IFERROR(MATCH(TRIM($J107&amp;"")&amp;"|파견예정",파견수련계획!$Y$4:$Y$203,0),IFERROR(MATCH(TRIM($J107&amp;"")&amp;"|파견종료",파견수련계획!$Y$4:$Y$203,0),""))))</f>
        <v/>
      </c>
      <c r="AG107" s="10">
        <f>IF($B107="","",IF(AND(IF(OR($AC107="",인턴현황!$K$2=""),"",INDEX(인턴근무계획!$M$3:$R$202,$AC107,인턴현황!$K$2)&amp;"")&lt;&gt;"",LEFT(IF(OR($AC107="",인턴현황!$K$2=""),"",INDEX(인턴근무계획!$M$3:$R$202,$AC107,인턴현황!$K$2)&amp;""),1)&lt;&gt;"⚠"),LEFT(IF(OR($AC107="",인턴현황!$K$2=""),"",INDEX(인턴근무계획!$M$3:$R$202,$AC107,인턴현황!$K$2)&amp;""),FIND(" ",IF(OR($AC107="",인턴현황!$K$2=""),"",INDEX(인턴근무계획!$M$3:$R$202,$AC107,인턴현황!$K$2)&amp;""))-1),$AE107))</f>
        <v/>
      </c>
      <c r="AH107" s="17">
        <f>IF($B107="","",IF(TRIM($J107&amp;"")="",0,SUMPRODUCT((파견수련계획!$Q$4:$Q$203=TRIM($J107&amp;""))*(파견수련계획!$S$4:$S$203="서울병원")*파견수련계획!$W$4:$W$203))+IF($AG107="서울병원",MAX(0,DAY(EOMONTH(요약!$B$3,0))-N($X107)),0))</f>
        <v/>
      </c>
      <c r="AI107" s="17">
        <f>IF($B107="","",IF(TRIM($J107&amp;"")="",0,SUMPRODUCT((파견수련계획!$Q$4:$Q$203=TRIM($J107&amp;""))*(파견수련계획!$S$4:$S$203="구리병원")*파견수련계획!$W$4:$W$203))+IF($AG107="구리병원",MAX(0,DAY(EOMONTH(요약!$B$3,0))-N($X107)),0))</f>
        <v/>
      </c>
      <c r="AJ107" s="10">
        <f>IF(OR($B107="",TRIM($J107&amp;"")=""),"",IFERROR(MATCH(TRIM($J107&amp;"")&amp;"|월",파견수련계획!$Z$4:$Z$203,0),""))</f>
        <v/>
      </c>
      <c r="AK107" s="10">
        <f>IF(OR($B107="",TRIM($J107&amp;"")=""),"",IFERROR(MATCH(TRIM($J107&amp;"")&amp;"|다기관",파견수련계획!$AE$4:$AE$203,0),""))</f>
        <v/>
      </c>
      <c r="AL107" s="10">
        <f>IF($AK107="","","다기관 "&amp;TEXT(INDEX(파견수련계획!$AB$4:$AB$203,$AK107),"yyyy-mm-dd")&amp;"~"&amp;IF(ISNUMBER(INDEX(파견수련계획!$AC$4:$AC$203,$AK107)),TEXT(INDEX(파견수련계획!$AC$4:$AC$203,$AK107),"yyyy-mm-dd"),""))</f>
        <v/>
      </c>
    </row>
    <row r="108">
      <c r="A108" s="10">
        <f>IF(B108="","",ROW()-1)</f>
        <v/>
      </c>
      <c r="B108" s="18" t="n"/>
      <c r="C108" s="10">
        <f>IF($AB108="","",IF(INDEX(기본자료!$C$2:$C$501,$AB108)="","",INDEX(기본자료!$C$2:$C$501,$AB108)))</f>
        <v/>
      </c>
      <c r="D108" s="10">
        <f>IF($AB108="","",IF(INDEX(기본자료!$J$2:$J$501,$AB108)="","",INDEX(기본자료!$J$2:$J$501,$AB108)))</f>
        <v/>
      </c>
      <c r="E108" s="11">
        <f>IF($AB108="","",IF(INDEX(기본자료!$K$2:$K$501,$AB108)="","",IF(NOT(ISNUMBER(INDEX(기본자료!$K$2:$K$501,$AB108))),INDEX(기본자료!$K$2:$K$501,$AB108),IF(INDEX(기본자료!$K$2:$K$501,$AB108)&lt;1000000,INDEX(기본자료!$K$2:$K$501,$AB108),IF(AND(INDEX(기본자료!$K$2:$K$501,$AB108)&gt;=10000101,INT(MOD(INDEX(기본자료!$K$2:$K$501,$AB108),10000)/100)&gt;=1,INT(MOD(INDEX(기본자료!$K$2:$K$501,$AB108),10000)/100)&lt;=12,MOD(INDEX(기본자료!$K$2:$K$501,$AB108),100)&gt;=1,MOD(INDEX(기본자료!$K$2:$K$501,$AB108),100)&lt;=31),DATE(INT(INDEX(기본자료!$K$2:$K$501,$AB108)/10000),INT(MOD(INDEX(기본자료!$K$2:$K$501,$AB108),10000)/100),MOD(INDEX(기본자료!$K$2:$K$501,$AB108),100)),INDEX(기본자료!$K$2:$K$501,$AB108)&amp;"")))))</f>
        <v/>
      </c>
      <c r="F108" s="10">
        <f>IF($AB108="","",IF(INDEX(기본자료!$D$2:$D$501,$AB108)="","",INDEX(기본자료!$D$2:$D$501,$AB108)))</f>
        <v/>
      </c>
      <c r="G108" s="10">
        <f>IF($AB108="","",IF(INDEX(기본자료!$E$2:$E$501,$AB108)="","",INDEX(기본자료!$E$2:$E$501,$AB108)))</f>
        <v/>
      </c>
      <c r="H108" s="10">
        <f>IF($AB108="","",IF(INDEX(기본자료!$F$2:$F$501,$AB108)="","",INDEX(기본자료!$F$2:$F$501,$AB108)))</f>
        <v/>
      </c>
      <c r="I108" s="11">
        <f>IF($AB108="","",IF(INDEX(기본자료!$G$2:$G$501,$AB108)="","",IF(NOT(ISNUMBER(INDEX(기본자료!$G$2:$G$501,$AB108))),INDEX(기본자료!$G$2:$G$501,$AB108),IF(INDEX(기본자료!$G$2:$G$501,$AB108)&lt;1000000,INDEX(기본자료!$G$2:$G$501,$AB108),IF(AND(INDEX(기본자료!$G$2:$G$501,$AB108)&gt;=10000101,INT(MOD(INDEX(기본자료!$G$2:$G$501,$AB108),10000)/100)&gt;=1,INT(MOD(INDEX(기본자료!$G$2:$G$501,$AB108),10000)/100)&lt;=12,MOD(INDEX(기본자료!$G$2:$G$501,$AB108),100)&gt;=1,MOD(INDEX(기본자료!$G$2:$G$501,$AB108),100)&lt;=31),DATE(INT(INDEX(기본자료!$G$2:$G$501,$AB108)/10000),INT(MOD(INDEX(기본자료!$G$2:$G$501,$AB108),10000)/100),MOD(INDEX(기본자료!$G$2:$G$501,$AB108),100)),INDEX(기본자료!$G$2:$G$501,$AB108)&amp;"")))))</f>
        <v/>
      </c>
      <c r="J108" s="10">
        <f>IF($AB108="","",IF(INDEX(기본자료!$H$2:$H$501,$AB108)="","",INDEX(기본자료!$H$2:$H$501,$AB108)))</f>
        <v/>
      </c>
      <c r="K108" s="10">
        <f>IF($AB108="","",IF(INDEX(기본자료!$I$2:$I$501,$AB108)="","",INDEX(기본자료!$I$2:$I$501,$AB108)))</f>
        <v/>
      </c>
      <c r="L108" s="10">
        <f>IF($AB108="","",IF(INDEX(기본자료!$A$2:$A$501,$AB108)="","",INDEX(기본자료!$A$2:$A$501,$AB108)))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파견수련계획!$AB$4:$AB$203,$AK108),OR(NOT(ISNUMBER(INDEX(파견수련계획!$AC$4:$AC$203,$AK108))),TODAY()&lt;=INDEX(파견수련계획!$AC$4:$AC$203,$AK108))),"다기관",IF($AF108="","",INDEX(파견수련계획!$T$4:$T$203,$AF108))),IF($AF108="","",INDEX(파견수련계획!$T$4:$T$203,$AF108))))</f>
        <v/>
      </c>
      <c r="Q108" s="10">
        <f>IF($AF108="","",INDEX(파견수련계획!$S$4:$S$203,$AF108))</f>
        <v/>
      </c>
      <c r="R108" s="10">
        <f>IF($AF108="","",INDEX(파견수련계획!$U$4:$U$203,$AF108))</f>
        <v/>
      </c>
      <c r="S108" s="11">
        <f>IF($AF108="","",IF(INDEX(파견수련계획!$H$4:$H$203,$AF108)="","",INDEX(파견수련계획!$H$4:$H$203,$AF108)))</f>
        <v/>
      </c>
      <c r="T108" s="11">
        <f>IF($AF108="","",IF(INDEX(파견수련계획!$I$4:$I$203,$AF108)="","",INDEX(파견수련계획!$I$4:$I$203,$AF108)))</f>
        <v/>
      </c>
      <c r="U108" s="10">
        <f>IF($AF108="","",INDEX(파견수련계획!$X$4:$X$203,$AF108))</f>
        <v/>
      </c>
      <c r="V108" s="17">
        <f>IF($AF108="","",INDEX(파견수련계획!$V$4:$V$203,$AF108))</f>
        <v/>
      </c>
      <c r="W108" s="17">
        <f>IF(AND($U108="파견중",$T108&lt;&gt;""),$T108-TODAY(),"")</f>
        <v/>
      </c>
      <c r="X108" s="17">
        <f>IF(OR($B108="",TRIM($J108&amp;"")=""),"",SUMPRODUCT((파견수련계획!$Q$4:$Q$203=TRIM($J108&amp;""))*파견수련계획!$W$4:$W$203))</f>
        <v/>
      </c>
      <c r="Y108" s="10">
        <f>IF($B108="","",IF($AG108="","",IF(IF(TRIM($J108&amp;"")="",0,SUMPRODUCT((파견수련계획!$Q$4:$Q$203=TRIM($J108&amp;""))*파견수련계획!$AD$4:$AD$203))&gt;0,$AE108,IF(N($X108)&lt;=0,$AG108,IF($AH108+$AI108=DAY(EOMONTH(요약!$B$3,0)),IF(AND($AH108&gt;=요약!$E$3,$AI108&lt;요약!$E$3),"서울병원",IF(AND($AI108&gt;=요약!$E$3,$AH108&lt;요약!$E$3),"구리병원","⚠15일 판정불가(서울 "&amp;$AH108&amp;"일/구리 "&amp;$AI108&amp;"일)")),IF($AJ108="",$AE108,IF(INDEX(파견수련계획!$T$4:$T$203,$AJ108)="통합수련",INDEX(파견수련계획!$S$4:$S$203,$AJ108),$AE108)))))))</f>
        <v/>
      </c>
      <c r="Z108" s="19">
        <f>IF($B108="","",IF($AB108="","기본자료에 없는 사번",IF(COUNTIF($B$2:$B$201,$B108)&gt;1,"중복 사번",IF($AE108="","소속(입사장소) 입력",IF(IF(TRIM($J108&amp;"")="",0,SUMPRODUCT((파견수련계획!$Q$4:$Q$203=TRIM($J108&amp;""))*(파견수련계획!$AA$4:$AA$203&lt;&gt;"")))&gt;0,"파견수련계획 입력오류 확인",IF(LEFT($Y108,1)="⚠","서울·구리 15일 판정 불가(양쪽 모두 이상/미만)",IF(IF($AC108="",0,N(INDEX(인턴근무계획!$T$3:$T$202,$AC108)))&gt;0,"인턴계획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IF($B108="","",IFERROR(MATCH($B108,기본자료!$B$2:$B$501,0),IFERROR(MATCH($B108&amp;"",기본자료!$B$2:$B$501,0),IFERROR(MATCH(VALUE($B108),기본자료!$B$2:$B$501,0),""))))</f>
        <v/>
      </c>
      <c r="AC108" s="10">
        <f>IF($B108="","",IFERROR(MATCH($B108,인턴근무계획!$D$3:$D$202,0),IFERROR(MATCH($B108&amp;"",인턴근무계획!$D$3:$D$202,0),IFERROR(MATCH(VALUE($B108),인턴근무계획!$D$3:$D$202,0),""))))</f>
        <v/>
      </c>
      <c r="AD108" s="10">
        <f>IF(OR($AC108="",인턴현황!$G$3=""),"",INDEX(인턴근무계획!$M$3:$R$202,$AC108,인턴현황!$G$3)&amp;"")</f>
        <v/>
      </c>
      <c r="AE108" s="10">
        <f>IF($B108="","",IF($M108&lt;&gt;"",$M108,IF($AF108&lt;&gt;"",IF(LEFT(INDEX(파견수련계획!$R$4:$R$203,$AF108),1)&lt;&gt;"⚠",INDEX(파견수련계획!$R$4:$R$203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파견수련계획!$Y$4:$Y$203,0),IFERROR(MATCH(TRIM($J108&amp;"")&amp;"|파견예정",파견수련계획!$Y$4:$Y$203,0),IFERROR(MATCH(TRIM($J108&amp;"")&amp;"|파견종료",파견수련계획!$Y$4:$Y$203,0),""))))</f>
        <v/>
      </c>
      <c r="AG108" s="10">
        <f>IF($B108="","",IF(AND(IF(OR($AC108="",인턴현황!$K$2=""),"",INDEX(인턴근무계획!$M$3:$R$202,$AC108,인턴현황!$K$2)&amp;"")&lt;&gt;"",LEFT(IF(OR($AC108="",인턴현황!$K$2=""),"",INDEX(인턴근무계획!$M$3:$R$202,$AC108,인턴현황!$K$2)&amp;""),1)&lt;&gt;"⚠"),LEFT(IF(OR($AC108="",인턴현황!$K$2=""),"",INDEX(인턴근무계획!$M$3:$R$202,$AC108,인턴현황!$K$2)&amp;""),FIND(" ",IF(OR($AC108="",인턴현황!$K$2=""),"",INDEX(인턴근무계획!$M$3:$R$202,$AC108,인턴현황!$K$2)&amp;""))-1),$AE108))</f>
        <v/>
      </c>
      <c r="AH108" s="17">
        <f>IF($B108="","",IF(TRIM($J108&amp;"")="",0,SUMPRODUCT((파견수련계획!$Q$4:$Q$203=TRIM($J108&amp;""))*(파견수련계획!$S$4:$S$203="서울병원")*파견수련계획!$W$4:$W$203))+IF($AG108="서울병원",MAX(0,DAY(EOMONTH(요약!$B$3,0))-N($X108)),0))</f>
        <v/>
      </c>
      <c r="AI108" s="17">
        <f>IF($B108="","",IF(TRIM($J108&amp;"")="",0,SUMPRODUCT((파견수련계획!$Q$4:$Q$203=TRIM($J108&amp;""))*(파견수련계획!$S$4:$S$203="구리병원")*파견수련계획!$W$4:$W$203))+IF($AG108="구리병원",MAX(0,DAY(EOMONTH(요약!$B$3,0))-N($X108)),0))</f>
        <v/>
      </c>
      <c r="AJ108" s="10">
        <f>IF(OR($B108="",TRIM($J108&amp;"")=""),"",IFERROR(MATCH(TRIM($J108&amp;"")&amp;"|월",파견수련계획!$Z$4:$Z$203,0),""))</f>
        <v/>
      </c>
      <c r="AK108" s="10">
        <f>IF(OR($B108="",TRIM($J108&amp;"")=""),"",IFERROR(MATCH(TRIM($J108&amp;"")&amp;"|다기관",파견수련계획!$AE$4:$AE$203,0),""))</f>
        <v/>
      </c>
      <c r="AL108" s="10">
        <f>IF($AK108="","","다기관 "&amp;TEXT(INDEX(파견수련계획!$AB$4:$AB$203,$AK108),"yyyy-mm-dd")&amp;"~"&amp;IF(ISNUMBER(INDEX(파견수련계획!$AC$4:$AC$203,$AK108)),TEXT(INDEX(파견수련계획!$AC$4:$AC$203,$AK108),"yyyy-mm-dd"),""))</f>
        <v/>
      </c>
    </row>
    <row r="109">
      <c r="A109" s="10">
        <f>IF(B109="","",ROW()-1)</f>
        <v/>
      </c>
      <c r="B109" s="18" t="n"/>
      <c r="C109" s="10">
        <f>IF($AB109="","",IF(INDEX(기본자료!$C$2:$C$501,$AB109)="","",INDEX(기본자료!$C$2:$C$501,$AB109)))</f>
        <v/>
      </c>
      <c r="D109" s="10">
        <f>IF($AB109="","",IF(INDEX(기본자료!$J$2:$J$501,$AB109)="","",INDEX(기본자료!$J$2:$J$501,$AB109)))</f>
        <v/>
      </c>
      <c r="E109" s="11">
        <f>IF($AB109="","",IF(INDEX(기본자료!$K$2:$K$501,$AB109)="","",IF(NOT(ISNUMBER(INDEX(기본자료!$K$2:$K$501,$AB109))),INDEX(기본자료!$K$2:$K$501,$AB109),IF(INDEX(기본자료!$K$2:$K$501,$AB109)&lt;1000000,INDEX(기본자료!$K$2:$K$501,$AB109),IF(AND(INDEX(기본자료!$K$2:$K$501,$AB109)&gt;=10000101,INT(MOD(INDEX(기본자료!$K$2:$K$501,$AB109),10000)/100)&gt;=1,INT(MOD(INDEX(기본자료!$K$2:$K$501,$AB109),10000)/100)&lt;=12,MOD(INDEX(기본자료!$K$2:$K$501,$AB109),100)&gt;=1,MOD(INDEX(기본자료!$K$2:$K$501,$AB109),100)&lt;=31),DATE(INT(INDEX(기본자료!$K$2:$K$501,$AB109)/10000),INT(MOD(INDEX(기본자료!$K$2:$K$501,$AB109),10000)/100),MOD(INDEX(기본자료!$K$2:$K$501,$AB109),100)),INDEX(기본자료!$K$2:$K$501,$AB109)&amp;"")))))</f>
        <v/>
      </c>
      <c r="F109" s="10">
        <f>IF($AB109="","",IF(INDEX(기본자료!$D$2:$D$501,$AB109)="","",INDEX(기본자료!$D$2:$D$501,$AB109)))</f>
        <v/>
      </c>
      <c r="G109" s="10">
        <f>IF($AB109="","",IF(INDEX(기본자료!$E$2:$E$501,$AB109)="","",INDEX(기본자료!$E$2:$E$501,$AB109)))</f>
        <v/>
      </c>
      <c r="H109" s="10">
        <f>IF($AB109="","",IF(INDEX(기본자료!$F$2:$F$501,$AB109)="","",INDEX(기본자료!$F$2:$F$501,$AB109)))</f>
        <v/>
      </c>
      <c r="I109" s="11">
        <f>IF($AB109="","",IF(INDEX(기본자료!$G$2:$G$501,$AB109)="","",IF(NOT(ISNUMBER(INDEX(기본자료!$G$2:$G$501,$AB109))),INDEX(기본자료!$G$2:$G$501,$AB109),IF(INDEX(기본자료!$G$2:$G$501,$AB109)&lt;1000000,INDEX(기본자료!$G$2:$G$501,$AB109),IF(AND(INDEX(기본자료!$G$2:$G$501,$AB109)&gt;=10000101,INT(MOD(INDEX(기본자료!$G$2:$G$501,$AB109),10000)/100)&gt;=1,INT(MOD(INDEX(기본자료!$G$2:$G$501,$AB109),10000)/100)&lt;=12,MOD(INDEX(기본자료!$G$2:$G$501,$AB109),100)&gt;=1,MOD(INDEX(기본자료!$G$2:$G$501,$AB109),100)&lt;=31),DATE(INT(INDEX(기본자료!$G$2:$G$501,$AB109)/10000),INT(MOD(INDEX(기본자료!$G$2:$G$501,$AB109),10000)/100),MOD(INDEX(기본자료!$G$2:$G$501,$AB109),100)),INDEX(기본자료!$G$2:$G$501,$AB109)&amp;"")))))</f>
        <v/>
      </c>
      <c r="J109" s="10">
        <f>IF($AB109="","",IF(INDEX(기본자료!$H$2:$H$501,$AB109)="","",INDEX(기본자료!$H$2:$H$501,$AB109)))</f>
        <v/>
      </c>
      <c r="K109" s="10">
        <f>IF($AB109="","",IF(INDEX(기본자료!$I$2:$I$501,$AB109)="","",INDEX(기본자료!$I$2:$I$501,$AB109)))</f>
        <v/>
      </c>
      <c r="L109" s="10">
        <f>IF($AB109="","",IF(INDEX(기본자료!$A$2:$A$501,$AB109)="","",INDEX(기본자료!$A$2:$A$501,$AB109)))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파견수련계획!$AB$4:$AB$203,$AK109),OR(NOT(ISNUMBER(INDEX(파견수련계획!$AC$4:$AC$203,$AK109))),TODAY()&lt;=INDEX(파견수련계획!$AC$4:$AC$203,$AK109))),"다기관",IF($AF109="","",INDEX(파견수련계획!$T$4:$T$203,$AF109))),IF($AF109="","",INDEX(파견수련계획!$T$4:$T$203,$AF109))))</f>
        <v/>
      </c>
      <c r="Q109" s="10">
        <f>IF($AF109="","",INDEX(파견수련계획!$S$4:$S$203,$AF109))</f>
        <v/>
      </c>
      <c r="R109" s="10">
        <f>IF($AF109="","",INDEX(파견수련계획!$U$4:$U$203,$AF109))</f>
        <v/>
      </c>
      <c r="S109" s="11">
        <f>IF($AF109="","",IF(INDEX(파견수련계획!$H$4:$H$203,$AF109)="","",INDEX(파견수련계획!$H$4:$H$203,$AF109)))</f>
        <v/>
      </c>
      <c r="T109" s="11">
        <f>IF($AF109="","",IF(INDEX(파견수련계획!$I$4:$I$203,$AF109)="","",INDEX(파견수련계획!$I$4:$I$203,$AF109)))</f>
        <v/>
      </c>
      <c r="U109" s="10">
        <f>IF($AF109="","",INDEX(파견수련계획!$X$4:$X$203,$AF109))</f>
        <v/>
      </c>
      <c r="V109" s="17">
        <f>IF($AF109="","",INDEX(파견수련계획!$V$4:$V$203,$AF109))</f>
        <v/>
      </c>
      <c r="W109" s="17">
        <f>IF(AND($U109="파견중",$T109&lt;&gt;""),$T109-TODAY(),"")</f>
        <v/>
      </c>
      <c r="X109" s="17">
        <f>IF(OR($B109="",TRIM($J109&amp;"")=""),"",SUMPRODUCT((파견수련계획!$Q$4:$Q$203=TRIM($J109&amp;""))*파견수련계획!$W$4:$W$203))</f>
        <v/>
      </c>
      <c r="Y109" s="10">
        <f>IF($B109="","",IF($AG109="","",IF(IF(TRIM($J109&amp;"")="",0,SUMPRODUCT((파견수련계획!$Q$4:$Q$203=TRIM($J109&amp;""))*파견수련계획!$AD$4:$AD$203))&gt;0,$AE109,IF(N($X109)&lt;=0,$AG109,IF($AH109+$AI109=DAY(EOMONTH(요약!$B$3,0)),IF(AND($AH109&gt;=요약!$E$3,$AI109&lt;요약!$E$3),"서울병원",IF(AND($AI109&gt;=요약!$E$3,$AH109&lt;요약!$E$3),"구리병원","⚠15일 판정불가(서울 "&amp;$AH109&amp;"일/구리 "&amp;$AI109&amp;"일)")),IF($AJ109="",$AE109,IF(INDEX(파견수련계획!$T$4:$T$203,$AJ109)="통합수련",INDEX(파견수련계획!$S$4:$S$203,$AJ109),$AE109)))))))</f>
        <v/>
      </c>
      <c r="Z109" s="19">
        <f>IF($B109="","",IF($AB109="","기본자료에 없는 사번",IF(COUNTIF($B$2:$B$201,$B109)&gt;1,"중복 사번",IF($AE109="","소속(입사장소) 입력",IF(IF(TRIM($J109&amp;"")="",0,SUMPRODUCT((파견수련계획!$Q$4:$Q$203=TRIM($J109&amp;""))*(파견수련계획!$AA$4:$AA$203&lt;&gt;"")))&gt;0,"파견수련계획 입력오류 확인",IF(LEFT($Y109,1)="⚠","서울·구리 15일 판정 불가(양쪽 모두 이상/미만)",IF(IF($AC109="",0,N(INDEX(인턴근무계획!$T$3:$T$202,$AC109)))&gt;0,"인턴계획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IF($B109="","",IFERROR(MATCH($B109,기본자료!$B$2:$B$501,0),IFERROR(MATCH($B109&amp;"",기본자료!$B$2:$B$501,0),IFERROR(MATCH(VALUE($B109),기본자료!$B$2:$B$501,0),""))))</f>
        <v/>
      </c>
      <c r="AC109" s="10">
        <f>IF($B109="","",IFERROR(MATCH($B109,인턴근무계획!$D$3:$D$202,0),IFERROR(MATCH($B109&amp;"",인턴근무계획!$D$3:$D$202,0),IFERROR(MATCH(VALUE($B109),인턴근무계획!$D$3:$D$202,0),""))))</f>
        <v/>
      </c>
      <c r="AD109" s="10">
        <f>IF(OR($AC109="",인턴현황!$G$3=""),"",INDEX(인턴근무계획!$M$3:$R$202,$AC109,인턴현황!$G$3)&amp;"")</f>
        <v/>
      </c>
      <c r="AE109" s="10">
        <f>IF($B109="","",IF($M109&lt;&gt;"",$M109,IF($AF109&lt;&gt;"",IF(LEFT(INDEX(파견수련계획!$R$4:$R$203,$AF109),1)&lt;&gt;"⚠",INDEX(파견수련계획!$R$4:$R$203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파견수련계획!$Y$4:$Y$203,0),IFERROR(MATCH(TRIM($J109&amp;"")&amp;"|파견예정",파견수련계획!$Y$4:$Y$203,0),IFERROR(MATCH(TRIM($J109&amp;"")&amp;"|파견종료",파견수련계획!$Y$4:$Y$203,0),""))))</f>
        <v/>
      </c>
      <c r="AG109" s="10">
        <f>IF($B109="","",IF(AND(IF(OR($AC109="",인턴현황!$K$2=""),"",INDEX(인턴근무계획!$M$3:$R$202,$AC109,인턴현황!$K$2)&amp;"")&lt;&gt;"",LEFT(IF(OR($AC109="",인턴현황!$K$2=""),"",INDEX(인턴근무계획!$M$3:$R$202,$AC109,인턴현황!$K$2)&amp;""),1)&lt;&gt;"⚠"),LEFT(IF(OR($AC109="",인턴현황!$K$2=""),"",INDEX(인턴근무계획!$M$3:$R$202,$AC109,인턴현황!$K$2)&amp;""),FIND(" ",IF(OR($AC109="",인턴현황!$K$2=""),"",INDEX(인턴근무계획!$M$3:$R$202,$AC109,인턴현황!$K$2)&amp;""))-1),$AE109))</f>
        <v/>
      </c>
      <c r="AH109" s="17">
        <f>IF($B109="","",IF(TRIM($J109&amp;"")="",0,SUMPRODUCT((파견수련계획!$Q$4:$Q$203=TRIM($J109&amp;""))*(파견수련계획!$S$4:$S$203="서울병원")*파견수련계획!$W$4:$W$203))+IF($AG109="서울병원",MAX(0,DAY(EOMONTH(요약!$B$3,0))-N($X109)),0))</f>
        <v/>
      </c>
      <c r="AI109" s="17">
        <f>IF($B109="","",IF(TRIM($J109&amp;"")="",0,SUMPRODUCT((파견수련계획!$Q$4:$Q$203=TRIM($J109&amp;""))*(파견수련계획!$S$4:$S$203="구리병원")*파견수련계획!$W$4:$W$203))+IF($AG109="구리병원",MAX(0,DAY(EOMONTH(요약!$B$3,0))-N($X109)),0))</f>
        <v/>
      </c>
      <c r="AJ109" s="10">
        <f>IF(OR($B109="",TRIM($J109&amp;"")=""),"",IFERROR(MATCH(TRIM($J109&amp;"")&amp;"|월",파견수련계획!$Z$4:$Z$203,0),""))</f>
        <v/>
      </c>
      <c r="AK109" s="10">
        <f>IF(OR($B109="",TRIM($J109&amp;"")=""),"",IFERROR(MATCH(TRIM($J109&amp;"")&amp;"|다기관",파견수련계획!$AE$4:$AE$203,0),""))</f>
        <v/>
      </c>
      <c r="AL109" s="10">
        <f>IF($AK109="","","다기관 "&amp;TEXT(INDEX(파견수련계획!$AB$4:$AB$203,$AK109),"yyyy-mm-dd")&amp;"~"&amp;IF(ISNUMBER(INDEX(파견수련계획!$AC$4:$AC$203,$AK109)),TEXT(INDEX(파견수련계획!$AC$4:$AC$203,$AK109),"yyyy-mm-dd"),""))</f>
        <v/>
      </c>
    </row>
    <row r="110">
      <c r="A110" s="10">
        <f>IF(B110="","",ROW()-1)</f>
        <v/>
      </c>
      <c r="B110" s="18" t="n"/>
      <c r="C110" s="10">
        <f>IF($AB110="","",IF(INDEX(기본자료!$C$2:$C$501,$AB110)="","",INDEX(기본자료!$C$2:$C$501,$AB110)))</f>
        <v/>
      </c>
      <c r="D110" s="10">
        <f>IF($AB110="","",IF(INDEX(기본자료!$J$2:$J$501,$AB110)="","",INDEX(기본자료!$J$2:$J$501,$AB110)))</f>
        <v/>
      </c>
      <c r="E110" s="11">
        <f>IF($AB110="","",IF(INDEX(기본자료!$K$2:$K$501,$AB110)="","",IF(NOT(ISNUMBER(INDEX(기본자료!$K$2:$K$501,$AB110))),INDEX(기본자료!$K$2:$K$501,$AB110),IF(INDEX(기본자료!$K$2:$K$501,$AB110)&lt;1000000,INDEX(기본자료!$K$2:$K$501,$AB110),IF(AND(INDEX(기본자료!$K$2:$K$501,$AB110)&gt;=10000101,INT(MOD(INDEX(기본자료!$K$2:$K$501,$AB110),10000)/100)&gt;=1,INT(MOD(INDEX(기본자료!$K$2:$K$501,$AB110),10000)/100)&lt;=12,MOD(INDEX(기본자료!$K$2:$K$501,$AB110),100)&gt;=1,MOD(INDEX(기본자료!$K$2:$K$501,$AB110),100)&lt;=31),DATE(INT(INDEX(기본자료!$K$2:$K$501,$AB110)/10000),INT(MOD(INDEX(기본자료!$K$2:$K$501,$AB110),10000)/100),MOD(INDEX(기본자료!$K$2:$K$501,$AB110),100)),INDEX(기본자료!$K$2:$K$501,$AB110)&amp;"")))))</f>
        <v/>
      </c>
      <c r="F110" s="10">
        <f>IF($AB110="","",IF(INDEX(기본자료!$D$2:$D$501,$AB110)="","",INDEX(기본자료!$D$2:$D$501,$AB110)))</f>
        <v/>
      </c>
      <c r="G110" s="10">
        <f>IF($AB110="","",IF(INDEX(기본자료!$E$2:$E$501,$AB110)="","",INDEX(기본자료!$E$2:$E$501,$AB110)))</f>
        <v/>
      </c>
      <c r="H110" s="10">
        <f>IF($AB110="","",IF(INDEX(기본자료!$F$2:$F$501,$AB110)="","",INDEX(기본자료!$F$2:$F$501,$AB110)))</f>
        <v/>
      </c>
      <c r="I110" s="11">
        <f>IF($AB110="","",IF(INDEX(기본자료!$G$2:$G$501,$AB110)="","",IF(NOT(ISNUMBER(INDEX(기본자료!$G$2:$G$501,$AB110))),INDEX(기본자료!$G$2:$G$501,$AB110),IF(INDEX(기본자료!$G$2:$G$501,$AB110)&lt;1000000,INDEX(기본자료!$G$2:$G$501,$AB110),IF(AND(INDEX(기본자료!$G$2:$G$501,$AB110)&gt;=10000101,INT(MOD(INDEX(기본자료!$G$2:$G$501,$AB110),10000)/100)&gt;=1,INT(MOD(INDEX(기본자료!$G$2:$G$501,$AB110),10000)/100)&lt;=12,MOD(INDEX(기본자료!$G$2:$G$501,$AB110),100)&gt;=1,MOD(INDEX(기본자료!$G$2:$G$501,$AB110),100)&lt;=31),DATE(INT(INDEX(기본자료!$G$2:$G$501,$AB110)/10000),INT(MOD(INDEX(기본자료!$G$2:$G$501,$AB110),10000)/100),MOD(INDEX(기본자료!$G$2:$G$501,$AB110),100)),INDEX(기본자료!$G$2:$G$501,$AB110)&amp;"")))))</f>
        <v/>
      </c>
      <c r="J110" s="10">
        <f>IF($AB110="","",IF(INDEX(기본자료!$H$2:$H$501,$AB110)="","",INDEX(기본자료!$H$2:$H$501,$AB110)))</f>
        <v/>
      </c>
      <c r="K110" s="10">
        <f>IF($AB110="","",IF(INDEX(기본자료!$I$2:$I$501,$AB110)="","",INDEX(기본자료!$I$2:$I$501,$AB110)))</f>
        <v/>
      </c>
      <c r="L110" s="10">
        <f>IF($AB110="","",IF(INDEX(기본자료!$A$2:$A$501,$AB110)="","",INDEX(기본자료!$A$2:$A$501,$AB110)))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파견수련계획!$AB$4:$AB$203,$AK110),OR(NOT(ISNUMBER(INDEX(파견수련계획!$AC$4:$AC$203,$AK110))),TODAY()&lt;=INDEX(파견수련계획!$AC$4:$AC$203,$AK110))),"다기관",IF($AF110="","",INDEX(파견수련계획!$T$4:$T$203,$AF110))),IF($AF110="","",INDEX(파견수련계획!$T$4:$T$203,$AF110))))</f>
        <v/>
      </c>
      <c r="Q110" s="10">
        <f>IF($AF110="","",INDEX(파견수련계획!$S$4:$S$203,$AF110))</f>
        <v/>
      </c>
      <c r="R110" s="10">
        <f>IF($AF110="","",INDEX(파견수련계획!$U$4:$U$203,$AF110))</f>
        <v/>
      </c>
      <c r="S110" s="11">
        <f>IF($AF110="","",IF(INDEX(파견수련계획!$H$4:$H$203,$AF110)="","",INDEX(파견수련계획!$H$4:$H$203,$AF110)))</f>
        <v/>
      </c>
      <c r="T110" s="11">
        <f>IF($AF110="","",IF(INDEX(파견수련계획!$I$4:$I$203,$AF110)="","",INDEX(파견수련계획!$I$4:$I$203,$AF110)))</f>
        <v/>
      </c>
      <c r="U110" s="10">
        <f>IF($AF110="","",INDEX(파견수련계획!$X$4:$X$203,$AF110))</f>
        <v/>
      </c>
      <c r="V110" s="17">
        <f>IF($AF110="","",INDEX(파견수련계획!$V$4:$V$203,$AF110))</f>
        <v/>
      </c>
      <c r="W110" s="17">
        <f>IF(AND($U110="파견중",$T110&lt;&gt;""),$T110-TODAY(),"")</f>
        <v/>
      </c>
      <c r="X110" s="17">
        <f>IF(OR($B110="",TRIM($J110&amp;"")=""),"",SUMPRODUCT((파견수련계획!$Q$4:$Q$203=TRIM($J110&amp;""))*파견수련계획!$W$4:$W$203))</f>
        <v/>
      </c>
      <c r="Y110" s="10">
        <f>IF($B110="","",IF($AG110="","",IF(IF(TRIM($J110&amp;"")="",0,SUMPRODUCT((파견수련계획!$Q$4:$Q$203=TRIM($J110&amp;""))*파견수련계획!$AD$4:$AD$203))&gt;0,$AE110,IF(N($X110)&lt;=0,$AG110,IF($AH110+$AI110=DAY(EOMONTH(요약!$B$3,0)),IF(AND($AH110&gt;=요약!$E$3,$AI110&lt;요약!$E$3),"서울병원",IF(AND($AI110&gt;=요약!$E$3,$AH110&lt;요약!$E$3),"구리병원","⚠15일 판정불가(서울 "&amp;$AH110&amp;"일/구리 "&amp;$AI110&amp;"일)")),IF($AJ110="",$AE110,IF(INDEX(파견수련계획!$T$4:$T$203,$AJ110)="통합수련",INDEX(파견수련계획!$S$4:$S$203,$AJ110),$AE110)))))))</f>
        <v/>
      </c>
      <c r="Z110" s="19">
        <f>IF($B110="","",IF($AB110="","기본자료에 없는 사번",IF(COUNTIF($B$2:$B$201,$B110)&gt;1,"중복 사번",IF($AE110="","소속(입사장소) 입력",IF(IF(TRIM($J110&amp;"")="",0,SUMPRODUCT((파견수련계획!$Q$4:$Q$203=TRIM($J110&amp;""))*(파견수련계획!$AA$4:$AA$203&lt;&gt;"")))&gt;0,"파견수련계획 입력오류 확인",IF(LEFT($Y110,1)="⚠","서울·구리 15일 판정 불가(양쪽 모두 이상/미만)",IF(IF($AC110="",0,N(INDEX(인턴근무계획!$T$3:$T$202,$AC110)))&gt;0,"인턴계획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IF($B110="","",IFERROR(MATCH($B110,기본자료!$B$2:$B$501,0),IFERROR(MATCH($B110&amp;"",기본자료!$B$2:$B$501,0),IFERROR(MATCH(VALUE($B110),기본자료!$B$2:$B$501,0),""))))</f>
        <v/>
      </c>
      <c r="AC110" s="10">
        <f>IF($B110="","",IFERROR(MATCH($B110,인턴근무계획!$D$3:$D$202,0),IFERROR(MATCH($B110&amp;"",인턴근무계획!$D$3:$D$202,0),IFERROR(MATCH(VALUE($B110),인턴근무계획!$D$3:$D$202,0),""))))</f>
        <v/>
      </c>
      <c r="AD110" s="10">
        <f>IF(OR($AC110="",인턴현황!$G$3=""),"",INDEX(인턴근무계획!$M$3:$R$202,$AC110,인턴현황!$G$3)&amp;"")</f>
        <v/>
      </c>
      <c r="AE110" s="10">
        <f>IF($B110="","",IF($M110&lt;&gt;"",$M110,IF($AF110&lt;&gt;"",IF(LEFT(INDEX(파견수련계획!$R$4:$R$203,$AF110),1)&lt;&gt;"⚠",INDEX(파견수련계획!$R$4:$R$203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파견수련계획!$Y$4:$Y$203,0),IFERROR(MATCH(TRIM($J110&amp;"")&amp;"|파견예정",파견수련계획!$Y$4:$Y$203,0),IFERROR(MATCH(TRIM($J110&amp;"")&amp;"|파견종료",파견수련계획!$Y$4:$Y$203,0),""))))</f>
        <v/>
      </c>
      <c r="AG110" s="10">
        <f>IF($B110="","",IF(AND(IF(OR($AC110="",인턴현황!$K$2=""),"",INDEX(인턴근무계획!$M$3:$R$202,$AC110,인턴현황!$K$2)&amp;"")&lt;&gt;"",LEFT(IF(OR($AC110="",인턴현황!$K$2=""),"",INDEX(인턴근무계획!$M$3:$R$202,$AC110,인턴현황!$K$2)&amp;""),1)&lt;&gt;"⚠"),LEFT(IF(OR($AC110="",인턴현황!$K$2=""),"",INDEX(인턴근무계획!$M$3:$R$202,$AC110,인턴현황!$K$2)&amp;""),FIND(" ",IF(OR($AC110="",인턴현황!$K$2=""),"",INDEX(인턴근무계획!$M$3:$R$202,$AC110,인턴현황!$K$2)&amp;""))-1),$AE110))</f>
        <v/>
      </c>
      <c r="AH110" s="17">
        <f>IF($B110="","",IF(TRIM($J110&amp;"")="",0,SUMPRODUCT((파견수련계획!$Q$4:$Q$203=TRIM($J110&amp;""))*(파견수련계획!$S$4:$S$203="서울병원")*파견수련계획!$W$4:$W$203))+IF($AG110="서울병원",MAX(0,DAY(EOMONTH(요약!$B$3,0))-N($X110)),0))</f>
        <v/>
      </c>
      <c r="AI110" s="17">
        <f>IF($B110="","",IF(TRIM($J110&amp;"")="",0,SUMPRODUCT((파견수련계획!$Q$4:$Q$203=TRIM($J110&amp;""))*(파견수련계획!$S$4:$S$203="구리병원")*파견수련계획!$W$4:$W$203))+IF($AG110="구리병원",MAX(0,DAY(EOMONTH(요약!$B$3,0))-N($X110)),0))</f>
        <v/>
      </c>
      <c r="AJ110" s="10">
        <f>IF(OR($B110="",TRIM($J110&amp;"")=""),"",IFERROR(MATCH(TRIM($J110&amp;"")&amp;"|월",파견수련계획!$Z$4:$Z$203,0),""))</f>
        <v/>
      </c>
      <c r="AK110" s="10">
        <f>IF(OR($B110="",TRIM($J110&amp;"")=""),"",IFERROR(MATCH(TRIM($J110&amp;"")&amp;"|다기관",파견수련계획!$AE$4:$AE$203,0),""))</f>
        <v/>
      </c>
      <c r="AL110" s="10">
        <f>IF($AK110="","","다기관 "&amp;TEXT(INDEX(파견수련계획!$AB$4:$AB$203,$AK110),"yyyy-mm-dd")&amp;"~"&amp;IF(ISNUMBER(INDEX(파견수련계획!$AC$4:$AC$203,$AK110)),TEXT(INDEX(파견수련계획!$AC$4:$AC$203,$AK110),"yyyy-mm-dd"),""))</f>
        <v/>
      </c>
    </row>
    <row r="111">
      <c r="A111" s="10">
        <f>IF(B111="","",ROW()-1)</f>
        <v/>
      </c>
      <c r="B111" s="18" t="n"/>
      <c r="C111" s="10">
        <f>IF($AB111="","",IF(INDEX(기본자료!$C$2:$C$501,$AB111)="","",INDEX(기본자료!$C$2:$C$501,$AB111)))</f>
        <v/>
      </c>
      <c r="D111" s="10">
        <f>IF($AB111="","",IF(INDEX(기본자료!$J$2:$J$501,$AB111)="","",INDEX(기본자료!$J$2:$J$501,$AB111)))</f>
        <v/>
      </c>
      <c r="E111" s="11">
        <f>IF($AB111="","",IF(INDEX(기본자료!$K$2:$K$501,$AB111)="","",IF(NOT(ISNUMBER(INDEX(기본자료!$K$2:$K$501,$AB111))),INDEX(기본자료!$K$2:$K$501,$AB111),IF(INDEX(기본자료!$K$2:$K$501,$AB111)&lt;1000000,INDEX(기본자료!$K$2:$K$501,$AB111),IF(AND(INDEX(기본자료!$K$2:$K$501,$AB111)&gt;=10000101,INT(MOD(INDEX(기본자료!$K$2:$K$501,$AB111),10000)/100)&gt;=1,INT(MOD(INDEX(기본자료!$K$2:$K$501,$AB111),10000)/100)&lt;=12,MOD(INDEX(기본자료!$K$2:$K$501,$AB111),100)&gt;=1,MOD(INDEX(기본자료!$K$2:$K$501,$AB111),100)&lt;=31),DATE(INT(INDEX(기본자료!$K$2:$K$501,$AB111)/10000),INT(MOD(INDEX(기본자료!$K$2:$K$501,$AB111),10000)/100),MOD(INDEX(기본자료!$K$2:$K$501,$AB111),100)),INDEX(기본자료!$K$2:$K$501,$AB111)&amp;"")))))</f>
        <v/>
      </c>
      <c r="F111" s="10">
        <f>IF($AB111="","",IF(INDEX(기본자료!$D$2:$D$501,$AB111)="","",INDEX(기본자료!$D$2:$D$501,$AB111)))</f>
        <v/>
      </c>
      <c r="G111" s="10">
        <f>IF($AB111="","",IF(INDEX(기본자료!$E$2:$E$501,$AB111)="","",INDEX(기본자료!$E$2:$E$501,$AB111)))</f>
        <v/>
      </c>
      <c r="H111" s="10">
        <f>IF($AB111="","",IF(INDEX(기본자료!$F$2:$F$501,$AB111)="","",INDEX(기본자료!$F$2:$F$501,$AB111)))</f>
        <v/>
      </c>
      <c r="I111" s="11">
        <f>IF($AB111="","",IF(INDEX(기본자료!$G$2:$G$501,$AB111)="","",IF(NOT(ISNUMBER(INDEX(기본자료!$G$2:$G$501,$AB111))),INDEX(기본자료!$G$2:$G$501,$AB111),IF(INDEX(기본자료!$G$2:$G$501,$AB111)&lt;1000000,INDEX(기본자료!$G$2:$G$501,$AB111),IF(AND(INDEX(기본자료!$G$2:$G$501,$AB111)&gt;=10000101,INT(MOD(INDEX(기본자료!$G$2:$G$501,$AB111),10000)/100)&gt;=1,INT(MOD(INDEX(기본자료!$G$2:$G$501,$AB111),10000)/100)&lt;=12,MOD(INDEX(기본자료!$G$2:$G$501,$AB111),100)&gt;=1,MOD(INDEX(기본자료!$G$2:$G$501,$AB111),100)&lt;=31),DATE(INT(INDEX(기본자료!$G$2:$G$501,$AB111)/10000),INT(MOD(INDEX(기본자료!$G$2:$G$501,$AB111),10000)/100),MOD(INDEX(기본자료!$G$2:$G$501,$AB111),100)),INDEX(기본자료!$G$2:$G$501,$AB111)&amp;"")))))</f>
        <v/>
      </c>
      <c r="J111" s="10">
        <f>IF($AB111="","",IF(INDEX(기본자료!$H$2:$H$501,$AB111)="","",INDEX(기본자료!$H$2:$H$501,$AB111)))</f>
        <v/>
      </c>
      <c r="K111" s="10">
        <f>IF($AB111="","",IF(INDEX(기본자료!$I$2:$I$501,$AB111)="","",INDEX(기본자료!$I$2:$I$501,$AB111)))</f>
        <v/>
      </c>
      <c r="L111" s="10">
        <f>IF($AB111="","",IF(INDEX(기본자료!$A$2:$A$501,$AB111)="","",INDEX(기본자료!$A$2:$A$501,$AB111)))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파견수련계획!$AB$4:$AB$203,$AK111),OR(NOT(ISNUMBER(INDEX(파견수련계획!$AC$4:$AC$203,$AK111))),TODAY()&lt;=INDEX(파견수련계획!$AC$4:$AC$203,$AK111))),"다기관",IF($AF111="","",INDEX(파견수련계획!$T$4:$T$203,$AF111))),IF($AF111="","",INDEX(파견수련계획!$T$4:$T$203,$AF111))))</f>
        <v/>
      </c>
      <c r="Q111" s="10">
        <f>IF($AF111="","",INDEX(파견수련계획!$S$4:$S$203,$AF111))</f>
        <v/>
      </c>
      <c r="R111" s="10">
        <f>IF($AF111="","",INDEX(파견수련계획!$U$4:$U$203,$AF111))</f>
        <v/>
      </c>
      <c r="S111" s="11">
        <f>IF($AF111="","",IF(INDEX(파견수련계획!$H$4:$H$203,$AF111)="","",INDEX(파견수련계획!$H$4:$H$203,$AF111)))</f>
        <v/>
      </c>
      <c r="T111" s="11">
        <f>IF($AF111="","",IF(INDEX(파견수련계획!$I$4:$I$203,$AF111)="","",INDEX(파견수련계획!$I$4:$I$203,$AF111)))</f>
        <v/>
      </c>
      <c r="U111" s="10">
        <f>IF($AF111="","",INDEX(파견수련계획!$X$4:$X$203,$AF111))</f>
        <v/>
      </c>
      <c r="V111" s="17">
        <f>IF($AF111="","",INDEX(파견수련계획!$V$4:$V$203,$AF111))</f>
        <v/>
      </c>
      <c r="W111" s="17">
        <f>IF(AND($U111="파견중",$T111&lt;&gt;""),$T111-TODAY(),"")</f>
        <v/>
      </c>
      <c r="X111" s="17">
        <f>IF(OR($B111="",TRIM($J111&amp;"")=""),"",SUMPRODUCT((파견수련계획!$Q$4:$Q$203=TRIM($J111&amp;""))*파견수련계획!$W$4:$W$203))</f>
        <v/>
      </c>
      <c r="Y111" s="10">
        <f>IF($B111="","",IF($AG111="","",IF(IF(TRIM($J111&amp;"")="",0,SUMPRODUCT((파견수련계획!$Q$4:$Q$203=TRIM($J111&amp;""))*파견수련계획!$AD$4:$AD$203))&gt;0,$AE111,IF(N($X111)&lt;=0,$AG111,IF($AH111+$AI111=DAY(EOMONTH(요약!$B$3,0)),IF(AND($AH111&gt;=요약!$E$3,$AI111&lt;요약!$E$3),"서울병원",IF(AND($AI111&gt;=요약!$E$3,$AH111&lt;요약!$E$3),"구리병원","⚠15일 판정불가(서울 "&amp;$AH111&amp;"일/구리 "&amp;$AI111&amp;"일)")),IF($AJ111="",$AE111,IF(INDEX(파견수련계획!$T$4:$T$203,$AJ111)="통합수련",INDEX(파견수련계획!$S$4:$S$203,$AJ111),$AE111)))))))</f>
        <v/>
      </c>
      <c r="Z111" s="19">
        <f>IF($B111="","",IF($AB111="","기본자료에 없는 사번",IF(COUNTIF($B$2:$B$201,$B111)&gt;1,"중복 사번",IF($AE111="","소속(입사장소) 입력",IF(IF(TRIM($J111&amp;"")="",0,SUMPRODUCT((파견수련계획!$Q$4:$Q$203=TRIM($J111&amp;""))*(파견수련계획!$AA$4:$AA$203&lt;&gt;"")))&gt;0,"파견수련계획 입력오류 확인",IF(LEFT($Y111,1)="⚠","서울·구리 15일 판정 불가(양쪽 모두 이상/미만)",IF(IF($AC111="",0,N(INDEX(인턴근무계획!$T$3:$T$202,$AC111)))&gt;0,"인턴계획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IF($B111="","",IFERROR(MATCH($B111,기본자료!$B$2:$B$501,0),IFERROR(MATCH($B111&amp;"",기본자료!$B$2:$B$501,0),IFERROR(MATCH(VALUE($B111),기본자료!$B$2:$B$501,0),""))))</f>
        <v/>
      </c>
      <c r="AC111" s="10">
        <f>IF($B111="","",IFERROR(MATCH($B111,인턴근무계획!$D$3:$D$202,0),IFERROR(MATCH($B111&amp;"",인턴근무계획!$D$3:$D$202,0),IFERROR(MATCH(VALUE($B111),인턴근무계획!$D$3:$D$202,0),""))))</f>
        <v/>
      </c>
      <c r="AD111" s="10">
        <f>IF(OR($AC111="",인턴현황!$G$3=""),"",INDEX(인턴근무계획!$M$3:$R$202,$AC111,인턴현황!$G$3)&amp;"")</f>
        <v/>
      </c>
      <c r="AE111" s="10">
        <f>IF($B111="","",IF($M111&lt;&gt;"",$M111,IF($AF111&lt;&gt;"",IF(LEFT(INDEX(파견수련계획!$R$4:$R$203,$AF111),1)&lt;&gt;"⚠",INDEX(파견수련계획!$R$4:$R$203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파견수련계획!$Y$4:$Y$203,0),IFERROR(MATCH(TRIM($J111&amp;"")&amp;"|파견예정",파견수련계획!$Y$4:$Y$203,0),IFERROR(MATCH(TRIM($J111&amp;"")&amp;"|파견종료",파견수련계획!$Y$4:$Y$203,0),""))))</f>
        <v/>
      </c>
      <c r="AG111" s="10">
        <f>IF($B111="","",IF(AND(IF(OR($AC111="",인턴현황!$K$2=""),"",INDEX(인턴근무계획!$M$3:$R$202,$AC111,인턴현황!$K$2)&amp;"")&lt;&gt;"",LEFT(IF(OR($AC111="",인턴현황!$K$2=""),"",INDEX(인턴근무계획!$M$3:$R$202,$AC111,인턴현황!$K$2)&amp;""),1)&lt;&gt;"⚠"),LEFT(IF(OR($AC111="",인턴현황!$K$2=""),"",INDEX(인턴근무계획!$M$3:$R$202,$AC111,인턴현황!$K$2)&amp;""),FIND(" ",IF(OR($AC111="",인턴현황!$K$2=""),"",INDEX(인턴근무계획!$M$3:$R$202,$AC111,인턴현황!$K$2)&amp;""))-1),$AE111))</f>
        <v/>
      </c>
      <c r="AH111" s="17">
        <f>IF($B111="","",IF(TRIM($J111&amp;"")="",0,SUMPRODUCT((파견수련계획!$Q$4:$Q$203=TRIM($J111&amp;""))*(파견수련계획!$S$4:$S$203="서울병원")*파견수련계획!$W$4:$W$203))+IF($AG111="서울병원",MAX(0,DAY(EOMONTH(요약!$B$3,0))-N($X111)),0))</f>
        <v/>
      </c>
      <c r="AI111" s="17">
        <f>IF($B111="","",IF(TRIM($J111&amp;"")="",0,SUMPRODUCT((파견수련계획!$Q$4:$Q$203=TRIM($J111&amp;""))*(파견수련계획!$S$4:$S$203="구리병원")*파견수련계획!$W$4:$W$203))+IF($AG111="구리병원",MAX(0,DAY(EOMONTH(요약!$B$3,0))-N($X111)),0))</f>
        <v/>
      </c>
      <c r="AJ111" s="10">
        <f>IF(OR($B111="",TRIM($J111&amp;"")=""),"",IFERROR(MATCH(TRIM($J111&amp;"")&amp;"|월",파견수련계획!$Z$4:$Z$203,0),""))</f>
        <v/>
      </c>
      <c r="AK111" s="10">
        <f>IF(OR($B111="",TRIM($J111&amp;"")=""),"",IFERROR(MATCH(TRIM($J111&amp;"")&amp;"|다기관",파견수련계획!$AE$4:$AE$203,0),""))</f>
        <v/>
      </c>
      <c r="AL111" s="10">
        <f>IF($AK111="","","다기관 "&amp;TEXT(INDEX(파견수련계획!$AB$4:$AB$203,$AK111),"yyyy-mm-dd")&amp;"~"&amp;IF(ISNUMBER(INDEX(파견수련계획!$AC$4:$AC$203,$AK111)),TEXT(INDEX(파견수련계획!$AC$4:$AC$203,$AK111),"yyyy-mm-dd"),""))</f>
        <v/>
      </c>
    </row>
    <row r="112">
      <c r="A112" s="10">
        <f>IF(B112="","",ROW()-1)</f>
        <v/>
      </c>
      <c r="B112" s="18" t="n"/>
      <c r="C112" s="10">
        <f>IF($AB112="","",IF(INDEX(기본자료!$C$2:$C$501,$AB112)="","",INDEX(기본자료!$C$2:$C$501,$AB112)))</f>
        <v/>
      </c>
      <c r="D112" s="10">
        <f>IF($AB112="","",IF(INDEX(기본자료!$J$2:$J$501,$AB112)="","",INDEX(기본자료!$J$2:$J$501,$AB112)))</f>
        <v/>
      </c>
      <c r="E112" s="11">
        <f>IF($AB112="","",IF(INDEX(기본자료!$K$2:$K$501,$AB112)="","",IF(NOT(ISNUMBER(INDEX(기본자료!$K$2:$K$501,$AB112))),INDEX(기본자료!$K$2:$K$501,$AB112),IF(INDEX(기본자료!$K$2:$K$501,$AB112)&lt;1000000,INDEX(기본자료!$K$2:$K$501,$AB112),IF(AND(INDEX(기본자료!$K$2:$K$501,$AB112)&gt;=10000101,INT(MOD(INDEX(기본자료!$K$2:$K$501,$AB112),10000)/100)&gt;=1,INT(MOD(INDEX(기본자료!$K$2:$K$501,$AB112),10000)/100)&lt;=12,MOD(INDEX(기본자료!$K$2:$K$501,$AB112),100)&gt;=1,MOD(INDEX(기본자료!$K$2:$K$501,$AB112),100)&lt;=31),DATE(INT(INDEX(기본자료!$K$2:$K$501,$AB112)/10000),INT(MOD(INDEX(기본자료!$K$2:$K$501,$AB112),10000)/100),MOD(INDEX(기본자료!$K$2:$K$501,$AB112),100)),INDEX(기본자료!$K$2:$K$501,$AB112)&amp;"")))))</f>
        <v/>
      </c>
      <c r="F112" s="10">
        <f>IF($AB112="","",IF(INDEX(기본자료!$D$2:$D$501,$AB112)="","",INDEX(기본자료!$D$2:$D$501,$AB112)))</f>
        <v/>
      </c>
      <c r="G112" s="10">
        <f>IF($AB112="","",IF(INDEX(기본자료!$E$2:$E$501,$AB112)="","",INDEX(기본자료!$E$2:$E$501,$AB112)))</f>
        <v/>
      </c>
      <c r="H112" s="10">
        <f>IF($AB112="","",IF(INDEX(기본자료!$F$2:$F$501,$AB112)="","",INDEX(기본자료!$F$2:$F$501,$AB112)))</f>
        <v/>
      </c>
      <c r="I112" s="11">
        <f>IF($AB112="","",IF(INDEX(기본자료!$G$2:$G$501,$AB112)="","",IF(NOT(ISNUMBER(INDEX(기본자료!$G$2:$G$501,$AB112))),INDEX(기본자료!$G$2:$G$501,$AB112),IF(INDEX(기본자료!$G$2:$G$501,$AB112)&lt;1000000,INDEX(기본자료!$G$2:$G$501,$AB112),IF(AND(INDEX(기본자료!$G$2:$G$501,$AB112)&gt;=10000101,INT(MOD(INDEX(기본자료!$G$2:$G$501,$AB112),10000)/100)&gt;=1,INT(MOD(INDEX(기본자료!$G$2:$G$501,$AB112),10000)/100)&lt;=12,MOD(INDEX(기본자료!$G$2:$G$501,$AB112),100)&gt;=1,MOD(INDEX(기본자료!$G$2:$G$501,$AB112),100)&lt;=31),DATE(INT(INDEX(기본자료!$G$2:$G$501,$AB112)/10000),INT(MOD(INDEX(기본자료!$G$2:$G$501,$AB112),10000)/100),MOD(INDEX(기본자료!$G$2:$G$501,$AB112),100)),INDEX(기본자료!$G$2:$G$501,$AB112)&amp;"")))))</f>
        <v/>
      </c>
      <c r="J112" s="10">
        <f>IF($AB112="","",IF(INDEX(기본자료!$H$2:$H$501,$AB112)="","",INDEX(기본자료!$H$2:$H$501,$AB112)))</f>
        <v/>
      </c>
      <c r="K112" s="10">
        <f>IF($AB112="","",IF(INDEX(기본자료!$I$2:$I$501,$AB112)="","",INDEX(기본자료!$I$2:$I$501,$AB112)))</f>
        <v/>
      </c>
      <c r="L112" s="10">
        <f>IF($AB112="","",IF(INDEX(기본자료!$A$2:$A$501,$AB112)="","",INDEX(기본자료!$A$2:$A$501,$AB112)))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파견수련계획!$AB$4:$AB$203,$AK112),OR(NOT(ISNUMBER(INDEX(파견수련계획!$AC$4:$AC$203,$AK112))),TODAY()&lt;=INDEX(파견수련계획!$AC$4:$AC$203,$AK112))),"다기관",IF($AF112="","",INDEX(파견수련계획!$T$4:$T$203,$AF112))),IF($AF112="","",INDEX(파견수련계획!$T$4:$T$203,$AF112))))</f>
        <v/>
      </c>
      <c r="Q112" s="10">
        <f>IF($AF112="","",INDEX(파견수련계획!$S$4:$S$203,$AF112))</f>
        <v/>
      </c>
      <c r="R112" s="10">
        <f>IF($AF112="","",INDEX(파견수련계획!$U$4:$U$203,$AF112))</f>
        <v/>
      </c>
      <c r="S112" s="11">
        <f>IF($AF112="","",IF(INDEX(파견수련계획!$H$4:$H$203,$AF112)="","",INDEX(파견수련계획!$H$4:$H$203,$AF112)))</f>
        <v/>
      </c>
      <c r="T112" s="11">
        <f>IF($AF112="","",IF(INDEX(파견수련계획!$I$4:$I$203,$AF112)="","",INDEX(파견수련계획!$I$4:$I$203,$AF112)))</f>
        <v/>
      </c>
      <c r="U112" s="10">
        <f>IF($AF112="","",INDEX(파견수련계획!$X$4:$X$203,$AF112))</f>
        <v/>
      </c>
      <c r="V112" s="17">
        <f>IF($AF112="","",INDEX(파견수련계획!$V$4:$V$203,$AF112))</f>
        <v/>
      </c>
      <c r="W112" s="17">
        <f>IF(AND($U112="파견중",$T112&lt;&gt;""),$T112-TODAY(),"")</f>
        <v/>
      </c>
      <c r="X112" s="17">
        <f>IF(OR($B112="",TRIM($J112&amp;"")=""),"",SUMPRODUCT((파견수련계획!$Q$4:$Q$203=TRIM($J112&amp;""))*파견수련계획!$W$4:$W$203))</f>
        <v/>
      </c>
      <c r="Y112" s="10">
        <f>IF($B112="","",IF($AG112="","",IF(IF(TRIM($J112&amp;"")="",0,SUMPRODUCT((파견수련계획!$Q$4:$Q$203=TRIM($J112&amp;""))*파견수련계획!$AD$4:$AD$203))&gt;0,$AE112,IF(N($X112)&lt;=0,$AG112,IF($AH112+$AI112=DAY(EOMONTH(요약!$B$3,0)),IF(AND($AH112&gt;=요약!$E$3,$AI112&lt;요약!$E$3),"서울병원",IF(AND($AI112&gt;=요약!$E$3,$AH112&lt;요약!$E$3),"구리병원","⚠15일 판정불가(서울 "&amp;$AH112&amp;"일/구리 "&amp;$AI112&amp;"일)")),IF($AJ112="",$AE112,IF(INDEX(파견수련계획!$T$4:$T$203,$AJ112)="통합수련",INDEX(파견수련계획!$S$4:$S$203,$AJ112),$AE112)))))))</f>
        <v/>
      </c>
      <c r="Z112" s="19">
        <f>IF($B112="","",IF($AB112="","기본자료에 없는 사번",IF(COUNTIF($B$2:$B$201,$B112)&gt;1,"중복 사번",IF($AE112="","소속(입사장소) 입력",IF(IF(TRIM($J112&amp;"")="",0,SUMPRODUCT((파견수련계획!$Q$4:$Q$203=TRIM($J112&amp;""))*(파견수련계획!$AA$4:$AA$203&lt;&gt;"")))&gt;0,"파견수련계획 입력오류 확인",IF(LEFT($Y112,1)="⚠","서울·구리 15일 판정 불가(양쪽 모두 이상/미만)",IF(IF($AC112="",0,N(INDEX(인턴근무계획!$T$3:$T$202,$AC112)))&gt;0,"인턴계획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IF($B112="","",IFERROR(MATCH($B112,기본자료!$B$2:$B$501,0),IFERROR(MATCH($B112&amp;"",기본자료!$B$2:$B$501,0),IFERROR(MATCH(VALUE($B112),기본자료!$B$2:$B$501,0),""))))</f>
        <v/>
      </c>
      <c r="AC112" s="10">
        <f>IF($B112="","",IFERROR(MATCH($B112,인턴근무계획!$D$3:$D$202,0),IFERROR(MATCH($B112&amp;"",인턴근무계획!$D$3:$D$202,0),IFERROR(MATCH(VALUE($B112),인턴근무계획!$D$3:$D$202,0),""))))</f>
        <v/>
      </c>
      <c r="AD112" s="10">
        <f>IF(OR($AC112="",인턴현황!$G$3=""),"",INDEX(인턴근무계획!$M$3:$R$202,$AC112,인턴현황!$G$3)&amp;"")</f>
        <v/>
      </c>
      <c r="AE112" s="10">
        <f>IF($B112="","",IF($M112&lt;&gt;"",$M112,IF($AF112&lt;&gt;"",IF(LEFT(INDEX(파견수련계획!$R$4:$R$203,$AF112),1)&lt;&gt;"⚠",INDEX(파견수련계획!$R$4:$R$203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파견수련계획!$Y$4:$Y$203,0),IFERROR(MATCH(TRIM($J112&amp;"")&amp;"|파견예정",파견수련계획!$Y$4:$Y$203,0),IFERROR(MATCH(TRIM($J112&amp;"")&amp;"|파견종료",파견수련계획!$Y$4:$Y$203,0),""))))</f>
        <v/>
      </c>
      <c r="AG112" s="10">
        <f>IF($B112="","",IF(AND(IF(OR($AC112="",인턴현황!$K$2=""),"",INDEX(인턴근무계획!$M$3:$R$202,$AC112,인턴현황!$K$2)&amp;"")&lt;&gt;"",LEFT(IF(OR($AC112="",인턴현황!$K$2=""),"",INDEX(인턴근무계획!$M$3:$R$202,$AC112,인턴현황!$K$2)&amp;""),1)&lt;&gt;"⚠"),LEFT(IF(OR($AC112="",인턴현황!$K$2=""),"",INDEX(인턴근무계획!$M$3:$R$202,$AC112,인턴현황!$K$2)&amp;""),FIND(" ",IF(OR($AC112="",인턴현황!$K$2=""),"",INDEX(인턴근무계획!$M$3:$R$202,$AC112,인턴현황!$K$2)&amp;""))-1),$AE112))</f>
        <v/>
      </c>
      <c r="AH112" s="17">
        <f>IF($B112="","",IF(TRIM($J112&amp;"")="",0,SUMPRODUCT((파견수련계획!$Q$4:$Q$203=TRIM($J112&amp;""))*(파견수련계획!$S$4:$S$203="서울병원")*파견수련계획!$W$4:$W$203))+IF($AG112="서울병원",MAX(0,DAY(EOMONTH(요약!$B$3,0))-N($X112)),0))</f>
        <v/>
      </c>
      <c r="AI112" s="17">
        <f>IF($B112="","",IF(TRIM($J112&amp;"")="",0,SUMPRODUCT((파견수련계획!$Q$4:$Q$203=TRIM($J112&amp;""))*(파견수련계획!$S$4:$S$203="구리병원")*파견수련계획!$W$4:$W$203))+IF($AG112="구리병원",MAX(0,DAY(EOMONTH(요약!$B$3,0))-N($X112)),0))</f>
        <v/>
      </c>
      <c r="AJ112" s="10">
        <f>IF(OR($B112="",TRIM($J112&amp;"")=""),"",IFERROR(MATCH(TRIM($J112&amp;"")&amp;"|월",파견수련계획!$Z$4:$Z$203,0),""))</f>
        <v/>
      </c>
      <c r="AK112" s="10">
        <f>IF(OR($B112="",TRIM($J112&amp;"")=""),"",IFERROR(MATCH(TRIM($J112&amp;"")&amp;"|다기관",파견수련계획!$AE$4:$AE$203,0),""))</f>
        <v/>
      </c>
      <c r="AL112" s="10">
        <f>IF($AK112="","","다기관 "&amp;TEXT(INDEX(파견수련계획!$AB$4:$AB$203,$AK112),"yyyy-mm-dd")&amp;"~"&amp;IF(ISNUMBER(INDEX(파견수련계획!$AC$4:$AC$203,$AK112)),TEXT(INDEX(파견수련계획!$AC$4:$AC$203,$AK112),"yyyy-mm-dd"),""))</f>
        <v/>
      </c>
    </row>
    <row r="113">
      <c r="A113" s="10">
        <f>IF(B113="","",ROW()-1)</f>
        <v/>
      </c>
      <c r="B113" s="18" t="n"/>
      <c r="C113" s="10">
        <f>IF($AB113="","",IF(INDEX(기본자료!$C$2:$C$501,$AB113)="","",INDEX(기본자료!$C$2:$C$501,$AB113)))</f>
        <v/>
      </c>
      <c r="D113" s="10">
        <f>IF($AB113="","",IF(INDEX(기본자료!$J$2:$J$501,$AB113)="","",INDEX(기본자료!$J$2:$J$501,$AB113)))</f>
        <v/>
      </c>
      <c r="E113" s="11">
        <f>IF($AB113="","",IF(INDEX(기본자료!$K$2:$K$501,$AB113)="","",IF(NOT(ISNUMBER(INDEX(기본자료!$K$2:$K$501,$AB113))),INDEX(기본자료!$K$2:$K$501,$AB113),IF(INDEX(기본자료!$K$2:$K$501,$AB113)&lt;1000000,INDEX(기본자료!$K$2:$K$501,$AB113),IF(AND(INDEX(기본자료!$K$2:$K$501,$AB113)&gt;=10000101,INT(MOD(INDEX(기본자료!$K$2:$K$501,$AB113),10000)/100)&gt;=1,INT(MOD(INDEX(기본자료!$K$2:$K$501,$AB113),10000)/100)&lt;=12,MOD(INDEX(기본자료!$K$2:$K$501,$AB113),100)&gt;=1,MOD(INDEX(기본자료!$K$2:$K$501,$AB113),100)&lt;=31),DATE(INT(INDEX(기본자료!$K$2:$K$501,$AB113)/10000),INT(MOD(INDEX(기본자료!$K$2:$K$501,$AB113),10000)/100),MOD(INDEX(기본자료!$K$2:$K$501,$AB113),100)),INDEX(기본자료!$K$2:$K$501,$AB113)&amp;"")))))</f>
        <v/>
      </c>
      <c r="F113" s="10">
        <f>IF($AB113="","",IF(INDEX(기본자료!$D$2:$D$501,$AB113)="","",INDEX(기본자료!$D$2:$D$501,$AB113)))</f>
        <v/>
      </c>
      <c r="G113" s="10">
        <f>IF($AB113="","",IF(INDEX(기본자료!$E$2:$E$501,$AB113)="","",INDEX(기본자료!$E$2:$E$501,$AB113)))</f>
        <v/>
      </c>
      <c r="H113" s="10">
        <f>IF($AB113="","",IF(INDEX(기본자료!$F$2:$F$501,$AB113)="","",INDEX(기본자료!$F$2:$F$501,$AB113)))</f>
        <v/>
      </c>
      <c r="I113" s="11">
        <f>IF($AB113="","",IF(INDEX(기본자료!$G$2:$G$501,$AB113)="","",IF(NOT(ISNUMBER(INDEX(기본자료!$G$2:$G$501,$AB113))),INDEX(기본자료!$G$2:$G$501,$AB113),IF(INDEX(기본자료!$G$2:$G$501,$AB113)&lt;1000000,INDEX(기본자료!$G$2:$G$501,$AB113),IF(AND(INDEX(기본자료!$G$2:$G$501,$AB113)&gt;=10000101,INT(MOD(INDEX(기본자료!$G$2:$G$501,$AB113),10000)/100)&gt;=1,INT(MOD(INDEX(기본자료!$G$2:$G$501,$AB113),10000)/100)&lt;=12,MOD(INDEX(기본자료!$G$2:$G$501,$AB113),100)&gt;=1,MOD(INDEX(기본자료!$G$2:$G$501,$AB113),100)&lt;=31),DATE(INT(INDEX(기본자료!$G$2:$G$501,$AB113)/10000),INT(MOD(INDEX(기본자료!$G$2:$G$501,$AB113),10000)/100),MOD(INDEX(기본자료!$G$2:$G$501,$AB113),100)),INDEX(기본자료!$G$2:$G$501,$AB113)&amp;"")))))</f>
        <v/>
      </c>
      <c r="J113" s="10">
        <f>IF($AB113="","",IF(INDEX(기본자료!$H$2:$H$501,$AB113)="","",INDEX(기본자료!$H$2:$H$501,$AB113)))</f>
        <v/>
      </c>
      <c r="K113" s="10">
        <f>IF($AB113="","",IF(INDEX(기본자료!$I$2:$I$501,$AB113)="","",INDEX(기본자료!$I$2:$I$501,$AB113)))</f>
        <v/>
      </c>
      <c r="L113" s="10">
        <f>IF($AB113="","",IF(INDEX(기본자료!$A$2:$A$501,$AB113)="","",INDEX(기본자료!$A$2:$A$501,$AB113)))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파견수련계획!$AB$4:$AB$203,$AK113),OR(NOT(ISNUMBER(INDEX(파견수련계획!$AC$4:$AC$203,$AK113))),TODAY()&lt;=INDEX(파견수련계획!$AC$4:$AC$203,$AK113))),"다기관",IF($AF113="","",INDEX(파견수련계획!$T$4:$T$203,$AF113))),IF($AF113="","",INDEX(파견수련계획!$T$4:$T$203,$AF113))))</f>
        <v/>
      </c>
      <c r="Q113" s="10">
        <f>IF($AF113="","",INDEX(파견수련계획!$S$4:$S$203,$AF113))</f>
        <v/>
      </c>
      <c r="R113" s="10">
        <f>IF($AF113="","",INDEX(파견수련계획!$U$4:$U$203,$AF113))</f>
        <v/>
      </c>
      <c r="S113" s="11">
        <f>IF($AF113="","",IF(INDEX(파견수련계획!$H$4:$H$203,$AF113)="","",INDEX(파견수련계획!$H$4:$H$203,$AF113)))</f>
        <v/>
      </c>
      <c r="T113" s="11">
        <f>IF($AF113="","",IF(INDEX(파견수련계획!$I$4:$I$203,$AF113)="","",INDEX(파견수련계획!$I$4:$I$203,$AF113)))</f>
        <v/>
      </c>
      <c r="U113" s="10">
        <f>IF($AF113="","",INDEX(파견수련계획!$X$4:$X$203,$AF113))</f>
        <v/>
      </c>
      <c r="V113" s="17">
        <f>IF($AF113="","",INDEX(파견수련계획!$V$4:$V$203,$AF113))</f>
        <v/>
      </c>
      <c r="W113" s="17">
        <f>IF(AND($U113="파견중",$T113&lt;&gt;""),$T113-TODAY(),"")</f>
        <v/>
      </c>
      <c r="X113" s="17">
        <f>IF(OR($B113="",TRIM($J113&amp;"")=""),"",SUMPRODUCT((파견수련계획!$Q$4:$Q$203=TRIM($J113&amp;""))*파견수련계획!$W$4:$W$203))</f>
        <v/>
      </c>
      <c r="Y113" s="10">
        <f>IF($B113="","",IF($AG113="","",IF(IF(TRIM($J113&amp;"")="",0,SUMPRODUCT((파견수련계획!$Q$4:$Q$203=TRIM($J113&amp;""))*파견수련계획!$AD$4:$AD$203))&gt;0,$AE113,IF(N($X113)&lt;=0,$AG113,IF($AH113+$AI113=DAY(EOMONTH(요약!$B$3,0)),IF(AND($AH113&gt;=요약!$E$3,$AI113&lt;요약!$E$3),"서울병원",IF(AND($AI113&gt;=요약!$E$3,$AH113&lt;요약!$E$3),"구리병원","⚠15일 판정불가(서울 "&amp;$AH113&amp;"일/구리 "&amp;$AI113&amp;"일)")),IF($AJ113="",$AE113,IF(INDEX(파견수련계획!$T$4:$T$203,$AJ113)="통합수련",INDEX(파견수련계획!$S$4:$S$203,$AJ113),$AE113)))))))</f>
        <v/>
      </c>
      <c r="Z113" s="19">
        <f>IF($B113="","",IF($AB113="","기본자료에 없는 사번",IF(COUNTIF($B$2:$B$201,$B113)&gt;1,"중복 사번",IF($AE113="","소속(입사장소) 입력",IF(IF(TRIM($J113&amp;"")="",0,SUMPRODUCT((파견수련계획!$Q$4:$Q$203=TRIM($J113&amp;""))*(파견수련계획!$AA$4:$AA$203&lt;&gt;"")))&gt;0,"파견수련계획 입력오류 확인",IF(LEFT($Y113,1)="⚠","서울·구리 15일 판정 불가(양쪽 모두 이상/미만)",IF(IF($AC113="",0,N(INDEX(인턴근무계획!$T$3:$T$202,$AC113)))&gt;0,"인턴계획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IF($B113="","",IFERROR(MATCH($B113,기본자료!$B$2:$B$501,0),IFERROR(MATCH($B113&amp;"",기본자료!$B$2:$B$501,0),IFERROR(MATCH(VALUE($B113),기본자료!$B$2:$B$501,0),""))))</f>
        <v/>
      </c>
      <c r="AC113" s="10">
        <f>IF($B113="","",IFERROR(MATCH($B113,인턴근무계획!$D$3:$D$202,0),IFERROR(MATCH($B113&amp;"",인턴근무계획!$D$3:$D$202,0),IFERROR(MATCH(VALUE($B113),인턴근무계획!$D$3:$D$202,0),""))))</f>
        <v/>
      </c>
      <c r="AD113" s="10">
        <f>IF(OR($AC113="",인턴현황!$G$3=""),"",INDEX(인턴근무계획!$M$3:$R$202,$AC113,인턴현황!$G$3)&amp;"")</f>
        <v/>
      </c>
      <c r="AE113" s="10">
        <f>IF($B113="","",IF($M113&lt;&gt;"",$M113,IF($AF113&lt;&gt;"",IF(LEFT(INDEX(파견수련계획!$R$4:$R$203,$AF113),1)&lt;&gt;"⚠",INDEX(파견수련계획!$R$4:$R$203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파견수련계획!$Y$4:$Y$203,0),IFERROR(MATCH(TRIM($J113&amp;"")&amp;"|파견예정",파견수련계획!$Y$4:$Y$203,0),IFERROR(MATCH(TRIM($J113&amp;"")&amp;"|파견종료",파견수련계획!$Y$4:$Y$203,0),""))))</f>
        <v/>
      </c>
      <c r="AG113" s="10">
        <f>IF($B113="","",IF(AND(IF(OR($AC113="",인턴현황!$K$2=""),"",INDEX(인턴근무계획!$M$3:$R$202,$AC113,인턴현황!$K$2)&amp;"")&lt;&gt;"",LEFT(IF(OR($AC113="",인턴현황!$K$2=""),"",INDEX(인턴근무계획!$M$3:$R$202,$AC113,인턴현황!$K$2)&amp;""),1)&lt;&gt;"⚠"),LEFT(IF(OR($AC113="",인턴현황!$K$2=""),"",INDEX(인턴근무계획!$M$3:$R$202,$AC113,인턴현황!$K$2)&amp;""),FIND(" ",IF(OR($AC113="",인턴현황!$K$2=""),"",INDEX(인턴근무계획!$M$3:$R$202,$AC113,인턴현황!$K$2)&amp;""))-1),$AE113))</f>
        <v/>
      </c>
      <c r="AH113" s="17">
        <f>IF($B113="","",IF(TRIM($J113&amp;"")="",0,SUMPRODUCT((파견수련계획!$Q$4:$Q$203=TRIM($J113&amp;""))*(파견수련계획!$S$4:$S$203="서울병원")*파견수련계획!$W$4:$W$203))+IF($AG113="서울병원",MAX(0,DAY(EOMONTH(요약!$B$3,0))-N($X113)),0))</f>
        <v/>
      </c>
      <c r="AI113" s="17">
        <f>IF($B113="","",IF(TRIM($J113&amp;"")="",0,SUMPRODUCT((파견수련계획!$Q$4:$Q$203=TRIM($J113&amp;""))*(파견수련계획!$S$4:$S$203="구리병원")*파견수련계획!$W$4:$W$203))+IF($AG113="구리병원",MAX(0,DAY(EOMONTH(요약!$B$3,0))-N($X113)),0))</f>
        <v/>
      </c>
      <c r="AJ113" s="10">
        <f>IF(OR($B113="",TRIM($J113&amp;"")=""),"",IFERROR(MATCH(TRIM($J113&amp;"")&amp;"|월",파견수련계획!$Z$4:$Z$203,0),""))</f>
        <v/>
      </c>
      <c r="AK113" s="10">
        <f>IF(OR($B113="",TRIM($J113&amp;"")=""),"",IFERROR(MATCH(TRIM($J113&amp;"")&amp;"|다기관",파견수련계획!$AE$4:$AE$203,0),""))</f>
        <v/>
      </c>
      <c r="AL113" s="10">
        <f>IF($AK113="","","다기관 "&amp;TEXT(INDEX(파견수련계획!$AB$4:$AB$203,$AK113),"yyyy-mm-dd")&amp;"~"&amp;IF(ISNUMBER(INDEX(파견수련계획!$AC$4:$AC$203,$AK113)),TEXT(INDEX(파견수련계획!$AC$4:$AC$203,$AK113),"yyyy-mm-dd"),""))</f>
        <v/>
      </c>
    </row>
    <row r="114">
      <c r="A114" s="10">
        <f>IF(B114="","",ROW()-1)</f>
        <v/>
      </c>
      <c r="B114" s="18" t="n"/>
      <c r="C114" s="10">
        <f>IF($AB114="","",IF(INDEX(기본자료!$C$2:$C$501,$AB114)="","",INDEX(기본자료!$C$2:$C$501,$AB114)))</f>
        <v/>
      </c>
      <c r="D114" s="10">
        <f>IF($AB114="","",IF(INDEX(기본자료!$J$2:$J$501,$AB114)="","",INDEX(기본자료!$J$2:$J$501,$AB114)))</f>
        <v/>
      </c>
      <c r="E114" s="11">
        <f>IF($AB114="","",IF(INDEX(기본자료!$K$2:$K$501,$AB114)="","",IF(NOT(ISNUMBER(INDEX(기본자료!$K$2:$K$501,$AB114))),INDEX(기본자료!$K$2:$K$501,$AB114),IF(INDEX(기본자료!$K$2:$K$501,$AB114)&lt;1000000,INDEX(기본자료!$K$2:$K$501,$AB114),IF(AND(INDEX(기본자료!$K$2:$K$501,$AB114)&gt;=10000101,INT(MOD(INDEX(기본자료!$K$2:$K$501,$AB114),10000)/100)&gt;=1,INT(MOD(INDEX(기본자료!$K$2:$K$501,$AB114),10000)/100)&lt;=12,MOD(INDEX(기본자료!$K$2:$K$501,$AB114),100)&gt;=1,MOD(INDEX(기본자료!$K$2:$K$501,$AB114),100)&lt;=31),DATE(INT(INDEX(기본자료!$K$2:$K$501,$AB114)/10000),INT(MOD(INDEX(기본자료!$K$2:$K$501,$AB114),10000)/100),MOD(INDEX(기본자료!$K$2:$K$501,$AB114),100)),INDEX(기본자료!$K$2:$K$501,$AB114)&amp;"")))))</f>
        <v/>
      </c>
      <c r="F114" s="10">
        <f>IF($AB114="","",IF(INDEX(기본자료!$D$2:$D$501,$AB114)="","",INDEX(기본자료!$D$2:$D$501,$AB114)))</f>
        <v/>
      </c>
      <c r="G114" s="10">
        <f>IF($AB114="","",IF(INDEX(기본자료!$E$2:$E$501,$AB114)="","",INDEX(기본자료!$E$2:$E$501,$AB114)))</f>
        <v/>
      </c>
      <c r="H114" s="10">
        <f>IF($AB114="","",IF(INDEX(기본자료!$F$2:$F$501,$AB114)="","",INDEX(기본자료!$F$2:$F$501,$AB114)))</f>
        <v/>
      </c>
      <c r="I114" s="11">
        <f>IF($AB114="","",IF(INDEX(기본자료!$G$2:$G$501,$AB114)="","",IF(NOT(ISNUMBER(INDEX(기본자료!$G$2:$G$501,$AB114))),INDEX(기본자료!$G$2:$G$501,$AB114),IF(INDEX(기본자료!$G$2:$G$501,$AB114)&lt;1000000,INDEX(기본자료!$G$2:$G$501,$AB114),IF(AND(INDEX(기본자료!$G$2:$G$501,$AB114)&gt;=10000101,INT(MOD(INDEX(기본자료!$G$2:$G$501,$AB114),10000)/100)&gt;=1,INT(MOD(INDEX(기본자료!$G$2:$G$501,$AB114),10000)/100)&lt;=12,MOD(INDEX(기본자료!$G$2:$G$501,$AB114),100)&gt;=1,MOD(INDEX(기본자료!$G$2:$G$501,$AB114),100)&lt;=31),DATE(INT(INDEX(기본자료!$G$2:$G$501,$AB114)/10000),INT(MOD(INDEX(기본자료!$G$2:$G$501,$AB114),10000)/100),MOD(INDEX(기본자료!$G$2:$G$501,$AB114),100)),INDEX(기본자료!$G$2:$G$501,$AB114)&amp;"")))))</f>
        <v/>
      </c>
      <c r="J114" s="10">
        <f>IF($AB114="","",IF(INDEX(기본자료!$H$2:$H$501,$AB114)="","",INDEX(기본자료!$H$2:$H$501,$AB114)))</f>
        <v/>
      </c>
      <c r="K114" s="10">
        <f>IF($AB114="","",IF(INDEX(기본자료!$I$2:$I$501,$AB114)="","",INDEX(기본자료!$I$2:$I$501,$AB114)))</f>
        <v/>
      </c>
      <c r="L114" s="10">
        <f>IF($AB114="","",IF(INDEX(기본자료!$A$2:$A$501,$AB114)="","",INDEX(기본자료!$A$2:$A$501,$AB114)))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파견수련계획!$AB$4:$AB$203,$AK114),OR(NOT(ISNUMBER(INDEX(파견수련계획!$AC$4:$AC$203,$AK114))),TODAY()&lt;=INDEX(파견수련계획!$AC$4:$AC$203,$AK114))),"다기관",IF($AF114="","",INDEX(파견수련계획!$T$4:$T$203,$AF114))),IF($AF114="","",INDEX(파견수련계획!$T$4:$T$203,$AF114))))</f>
        <v/>
      </c>
      <c r="Q114" s="10">
        <f>IF($AF114="","",INDEX(파견수련계획!$S$4:$S$203,$AF114))</f>
        <v/>
      </c>
      <c r="R114" s="10">
        <f>IF($AF114="","",INDEX(파견수련계획!$U$4:$U$203,$AF114))</f>
        <v/>
      </c>
      <c r="S114" s="11">
        <f>IF($AF114="","",IF(INDEX(파견수련계획!$H$4:$H$203,$AF114)="","",INDEX(파견수련계획!$H$4:$H$203,$AF114)))</f>
        <v/>
      </c>
      <c r="T114" s="11">
        <f>IF($AF114="","",IF(INDEX(파견수련계획!$I$4:$I$203,$AF114)="","",INDEX(파견수련계획!$I$4:$I$203,$AF114)))</f>
        <v/>
      </c>
      <c r="U114" s="10">
        <f>IF($AF114="","",INDEX(파견수련계획!$X$4:$X$203,$AF114))</f>
        <v/>
      </c>
      <c r="V114" s="17">
        <f>IF($AF114="","",INDEX(파견수련계획!$V$4:$V$203,$AF114))</f>
        <v/>
      </c>
      <c r="W114" s="17">
        <f>IF(AND($U114="파견중",$T114&lt;&gt;""),$T114-TODAY(),"")</f>
        <v/>
      </c>
      <c r="X114" s="17">
        <f>IF(OR($B114="",TRIM($J114&amp;"")=""),"",SUMPRODUCT((파견수련계획!$Q$4:$Q$203=TRIM($J114&amp;""))*파견수련계획!$W$4:$W$203))</f>
        <v/>
      </c>
      <c r="Y114" s="10">
        <f>IF($B114="","",IF($AG114="","",IF(IF(TRIM($J114&amp;"")="",0,SUMPRODUCT((파견수련계획!$Q$4:$Q$203=TRIM($J114&amp;""))*파견수련계획!$AD$4:$AD$203))&gt;0,$AE114,IF(N($X114)&lt;=0,$AG114,IF($AH114+$AI114=DAY(EOMONTH(요약!$B$3,0)),IF(AND($AH114&gt;=요약!$E$3,$AI114&lt;요약!$E$3),"서울병원",IF(AND($AI114&gt;=요약!$E$3,$AH114&lt;요약!$E$3),"구리병원","⚠15일 판정불가(서울 "&amp;$AH114&amp;"일/구리 "&amp;$AI114&amp;"일)")),IF($AJ114="",$AE114,IF(INDEX(파견수련계획!$T$4:$T$203,$AJ114)="통합수련",INDEX(파견수련계획!$S$4:$S$203,$AJ114),$AE114)))))))</f>
        <v/>
      </c>
      <c r="Z114" s="19">
        <f>IF($B114="","",IF($AB114="","기본자료에 없는 사번",IF(COUNTIF($B$2:$B$201,$B114)&gt;1,"중복 사번",IF($AE114="","소속(입사장소) 입력",IF(IF(TRIM($J114&amp;"")="",0,SUMPRODUCT((파견수련계획!$Q$4:$Q$203=TRIM($J114&amp;""))*(파견수련계획!$AA$4:$AA$203&lt;&gt;"")))&gt;0,"파견수련계획 입력오류 확인",IF(LEFT($Y114,1)="⚠","서울·구리 15일 판정 불가(양쪽 모두 이상/미만)",IF(IF($AC114="",0,N(INDEX(인턴근무계획!$T$3:$T$202,$AC114)))&gt;0,"인턴계획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IF($B114="","",IFERROR(MATCH($B114,기본자료!$B$2:$B$501,0),IFERROR(MATCH($B114&amp;"",기본자료!$B$2:$B$501,0),IFERROR(MATCH(VALUE($B114),기본자료!$B$2:$B$501,0),""))))</f>
        <v/>
      </c>
      <c r="AC114" s="10">
        <f>IF($B114="","",IFERROR(MATCH($B114,인턴근무계획!$D$3:$D$202,0),IFERROR(MATCH($B114&amp;"",인턴근무계획!$D$3:$D$202,0),IFERROR(MATCH(VALUE($B114),인턴근무계획!$D$3:$D$202,0),""))))</f>
        <v/>
      </c>
      <c r="AD114" s="10">
        <f>IF(OR($AC114="",인턴현황!$G$3=""),"",INDEX(인턴근무계획!$M$3:$R$202,$AC114,인턴현황!$G$3)&amp;"")</f>
        <v/>
      </c>
      <c r="AE114" s="10">
        <f>IF($B114="","",IF($M114&lt;&gt;"",$M114,IF($AF114&lt;&gt;"",IF(LEFT(INDEX(파견수련계획!$R$4:$R$203,$AF114),1)&lt;&gt;"⚠",INDEX(파견수련계획!$R$4:$R$203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파견수련계획!$Y$4:$Y$203,0),IFERROR(MATCH(TRIM($J114&amp;"")&amp;"|파견예정",파견수련계획!$Y$4:$Y$203,0),IFERROR(MATCH(TRIM($J114&amp;"")&amp;"|파견종료",파견수련계획!$Y$4:$Y$203,0),""))))</f>
        <v/>
      </c>
      <c r="AG114" s="10">
        <f>IF($B114="","",IF(AND(IF(OR($AC114="",인턴현황!$K$2=""),"",INDEX(인턴근무계획!$M$3:$R$202,$AC114,인턴현황!$K$2)&amp;"")&lt;&gt;"",LEFT(IF(OR($AC114="",인턴현황!$K$2=""),"",INDEX(인턴근무계획!$M$3:$R$202,$AC114,인턴현황!$K$2)&amp;""),1)&lt;&gt;"⚠"),LEFT(IF(OR($AC114="",인턴현황!$K$2=""),"",INDEX(인턴근무계획!$M$3:$R$202,$AC114,인턴현황!$K$2)&amp;""),FIND(" ",IF(OR($AC114="",인턴현황!$K$2=""),"",INDEX(인턴근무계획!$M$3:$R$202,$AC114,인턴현황!$K$2)&amp;""))-1),$AE114))</f>
        <v/>
      </c>
      <c r="AH114" s="17">
        <f>IF($B114="","",IF(TRIM($J114&amp;"")="",0,SUMPRODUCT((파견수련계획!$Q$4:$Q$203=TRIM($J114&amp;""))*(파견수련계획!$S$4:$S$203="서울병원")*파견수련계획!$W$4:$W$203))+IF($AG114="서울병원",MAX(0,DAY(EOMONTH(요약!$B$3,0))-N($X114)),0))</f>
        <v/>
      </c>
      <c r="AI114" s="17">
        <f>IF($B114="","",IF(TRIM($J114&amp;"")="",0,SUMPRODUCT((파견수련계획!$Q$4:$Q$203=TRIM($J114&amp;""))*(파견수련계획!$S$4:$S$203="구리병원")*파견수련계획!$W$4:$W$203))+IF($AG114="구리병원",MAX(0,DAY(EOMONTH(요약!$B$3,0))-N($X114)),0))</f>
        <v/>
      </c>
      <c r="AJ114" s="10">
        <f>IF(OR($B114="",TRIM($J114&amp;"")=""),"",IFERROR(MATCH(TRIM($J114&amp;"")&amp;"|월",파견수련계획!$Z$4:$Z$203,0),""))</f>
        <v/>
      </c>
      <c r="AK114" s="10">
        <f>IF(OR($B114="",TRIM($J114&amp;"")=""),"",IFERROR(MATCH(TRIM($J114&amp;"")&amp;"|다기관",파견수련계획!$AE$4:$AE$203,0),""))</f>
        <v/>
      </c>
      <c r="AL114" s="10">
        <f>IF($AK114="","","다기관 "&amp;TEXT(INDEX(파견수련계획!$AB$4:$AB$203,$AK114),"yyyy-mm-dd")&amp;"~"&amp;IF(ISNUMBER(INDEX(파견수련계획!$AC$4:$AC$203,$AK114)),TEXT(INDEX(파견수련계획!$AC$4:$AC$203,$AK114),"yyyy-mm-dd"),""))</f>
        <v/>
      </c>
    </row>
    <row r="115">
      <c r="A115" s="10">
        <f>IF(B115="","",ROW()-1)</f>
        <v/>
      </c>
      <c r="B115" s="18" t="n"/>
      <c r="C115" s="10">
        <f>IF($AB115="","",IF(INDEX(기본자료!$C$2:$C$501,$AB115)="","",INDEX(기본자료!$C$2:$C$501,$AB115)))</f>
        <v/>
      </c>
      <c r="D115" s="10">
        <f>IF($AB115="","",IF(INDEX(기본자료!$J$2:$J$501,$AB115)="","",INDEX(기본자료!$J$2:$J$501,$AB115)))</f>
        <v/>
      </c>
      <c r="E115" s="11">
        <f>IF($AB115="","",IF(INDEX(기본자료!$K$2:$K$501,$AB115)="","",IF(NOT(ISNUMBER(INDEX(기본자료!$K$2:$K$501,$AB115))),INDEX(기본자료!$K$2:$K$501,$AB115),IF(INDEX(기본자료!$K$2:$K$501,$AB115)&lt;1000000,INDEX(기본자료!$K$2:$K$501,$AB115),IF(AND(INDEX(기본자료!$K$2:$K$501,$AB115)&gt;=10000101,INT(MOD(INDEX(기본자료!$K$2:$K$501,$AB115),10000)/100)&gt;=1,INT(MOD(INDEX(기본자료!$K$2:$K$501,$AB115),10000)/100)&lt;=12,MOD(INDEX(기본자료!$K$2:$K$501,$AB115),100)&gt;=1,MOD(INDEX(기본자료!$K$2:$K$501,$AB115),100)&lt;=31),DATE(INT(INDEX(기본자료!$K$2:$K$501,$AB115)/10000),INT(MOD(INDEX(기본자료!$K$2:$K$501,$AB115),10000)/100),MOD(INDEX(기본자료!$K$2:$K$501,$AB115),100)),INDEX(기본자료!$K$2:$K$501,$AB115)&amp;"")))))</f>
        <v/>
      </c>
      <c r="F115" s="10">
        <f>IF($AB115="","",IF(INDEX(기본자료!$D$2:$D$501,$AB115)="","",INDEX(기본자료!$D$2:$D$501,$AB115)))</f>
        <v/>
      </c>
      <c r="G115" s="10">
        <f>IF($AB115="","",IF(INDEX(기본자료!$E$2:$E$501,$AB115)="","",INDEX(기본자료!$E$2:$E$501,$AB115)))</f>
        <v/>
      </c>
      <c r="H115" s="10">
        <f>IF($AB115="","",IF(INDEX(기본자료!$F$2:$F$501,$AB115)="","",INDEX(기본자료!$F$2:$F$501,$AB115)))</f>
        <v/>
      </c>
      <c r="I115" s="11">
        <f>IF($AB115="","",IF(INDEX(기본자료!$G$2:$G$501,$AB115)="","",IF(NOT(ISNUMBER(INDEX(기본자료!$G$2:$G$501,$AB115))),INDEX(기본자료!$G$2:$G$501,$AB115),IF(INDEX(기본자료!$G$2:$G$501,$AB115)&lt;1000000,INDEX(기본자료!$G$2:$G$501,$AB115),IF(AND(INDEX(기본자료!$G$2:$G$501,$AB115)&gt;=10000101,INT(MOD(INDEX(기본자료!$G$2:$G$501,$AB115),10000)/100)&gt;=1,INT(MOD(INDEX(기본자료!$G$2:$G$501,$AB115),10000)/100)&lt;=12,MOD(INDEX(기본자료!$G$2:$G$501,$AB115),100)&gt;=1,MOD(INDEX(기본자료!$G$2:$G$501,$AB115),100)&lt;=31),DATE(INT(INDEX(기본자료!$G$2:$G$501,$AB115)/10000),INT(MOD(INDEX(기본자료!$G$2:$G$501,$AB115),10000)/100),MOD(INDEX(기본자료!$G$2:$G$501,$AB115),100)),INDEX(기본자료!$G$2:$G$501,$AB115)&amp;"")))))</f>
        <v/>
      </c>
      <c r="J115" s="10">
        <f>IF($AB115="","",IF(INDEX(기본자료!$H$2:$H$501,$AB115)="","",INDEX(기본자료!$H$2:$H$501,$AB115)))</f>
        <v/>
      </c>
      <c r="K115" s="10">
        <f>IF($AB115="","",IF(INDEX(기본자료!$I$2:$I$501,$AB115)="","",INDEX(기본자료!$I$2:$I$501,$AB115)))</f>
        <v/>
      </c>
      <c r="L115" s="10">
        <f>IF($AB115="","",IF(INDEX(기본자료!$A$2:$A$501,$AB115)="","",INDEX(기본자료!$A$2:$A$501,$AB115)))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파견수련계획!$AB$4:$AB$203,$AK115),OR(NOT(ISNUMBER(INDEX(파견수련계획!$AC$4:$AC$203,$AK115))),TODAY()&lt;=INDEX(파견수련계획!$AC$4:$AC$203,$AK115))),"다기관",IF($AF115="","",INDEX(파견수련계획!$T$4:$T$203,$AF115))),IF($AF115="","",INDEX(파견수련계획!$T$4:$T$203,$AF115))))</f>
        <v/>
      </c>
      <c r="Q115" s="10">
        <f>IF($AF115="","",INDEX(파견수련계획!$S$4:$S$203,$AF115))</f>
        <v/>
      </c>
      <c r="R115" s="10">
        <f>IF($AF115="","",INDEX(파견수련계획!$U$4:$U$203,$AF115))</f>
        <v/>
      </c>
      <c r="S115" s="11">
        <f>IF($AF115="","",IF(INDEX(파견수련계획!$H$4:$H$203,$AF115)="","",INDEX(파견수련계획!$H$4:$H$203,$AF115)))</f>
        <v/>
      </c>
      <c r="T115" s="11">
        <f>IF($AF115="","",IF(INDEX(파견수련계획!$I$4:$I$203,$AF115)="","",INDEX(파견수련계획!$I$4:$I$203,$AF115)))</f>
        <v/>
      </c>
      <c r="U115" s="10">
        <f>IF($AF115="","",INDEX(파견수련계획!$X$4:$X$203,$AF115))</f>
        <v/>
      </c>
      <c r="V115" s="17">
        <f>IF($AF115="","",INDEX(파견수련계획!$V$4:$V$203,$AF115))</f>
        <v/>
      </c>
      <c r="W115" s="17">
        <f>IF(AND($U115="파견중",$T115&lt;&gt;""),$T115-TODAY(),"")</f>
        <v/>
      </c>
      <c r="X115" s="17">
        <f>IF(OR($B115="",TRIM($J115&amp;"")=""),"",SUMPRODUCT((파견수련계획!$Q$4:$Q$203=TRIM($J115&amp;""))*파견수련계획!$W$4:$W$203))</f>
        <v/>
      </c>
      <c r="Y115" s="10">
        <f>IF($B115="","",IF($AG115="","",IF(IF(TRIM($J115&amp;"")="",0,SUMPRODUCT((파견수련계획!$Q$4:$Q$203=TRIM($J115&amp;""))*파견수련계획!$AD$4:$AD$203))&gt;0,$AE115,IF(N($X115)&lt;=0,$AG115,IF($AH115+$AI115=DAY(EOMONTH(요약!$B$3,0)),IF(AND($AH115&gt;=요약!$E$3,$AI115&lt;요약!$E$3),"서울병원",IF(AND($AI115&gt;=요약!$E$3,$AH115&lt;요약!$E$3),"구리병원","⚠15일 판정불가(서울 "&amp;$AH115&amp;"일/구리 "&amp;$AI115&amp;"일)")),IF($AJ115="",$AE115,IF(INDEX(파견수련계획!$T$4:$T$203,$AJ115)="통합수련",INDEX(파견수련계획!$S$4:$S$203,$AJ115),$AE115)))))))</f>
        <v/>
      </c>
      <c r="Z115" s="19">
        <f>IF($B115="","",IF($AB115="","기본자료에 없는 사번",IF(COUNTIF($B$2:$B$201,$B115)&gt;1,"중복 사번",IF($AE115="","소속(입사장소) 입력",IF(IF(TRIM($J115&amp;"")="",0,SUMPRODUCT((파견수련계획!$Q$4:$Q$203=TRIM($J115&amp;""))*(파견수련계획!$AA$4:$AA$203&lt;&gt;"")))&gt;0,"파견수련계획 입력오류 확인",IF(LEFT($Y115,1)="⚠","서울·구리 15일 판정 불가(양쪽 모두 이상/미만)",IF(IF($AC115="",0,N(INDEX(인턴근무계획!$T$3:$T$202,$AC115)))&gt;0,"인턴계획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IF($B115="","",IFERROR(MATCH($B115,기본자료!$B$2:$B$501,0),IFERROR(MATCH($B115&amp;"",기본자료!$B$2:$B$501,0),IFERROR(MATCH(VALUE($B115),기본자료!$B$2:$B$501,0),""))))</f>
        <v/>
      </c>
      <c r="AC115" s="10">
        <f>IF($B115="","",IFERROR(MATCH($B115,인턴근무계획!$D$3:$D$202,0),IFERROR(MATCH($B115&amp;"",인턴근무계획!$D$3:$D$202,0),IFERROR(MATCH(VALUE($B115),인턴근무계획!$D$3:$D$202,0),""))))</f>
        <v/>
      </c>
      <c r="AD115" s="10">
        <f>IF(OR($AC115="",인턴현황!$G$3=""),"",INDEX(인턴근무계획!$M$3:$R$202,$AC115,인턴현황!$G$3)&amp;"")</f>
        <v/>
      </c>
      <c r="AE115" s="10">
        <f>IF($B115="","",IF($M115&lt;&gt;"",$M115,IF($AF115&lt;&gt;"",IF(LEFT(INDEX(파견수련계획!$R$4:$R$203,$AF115),1)&lt;&gt;"⚠",INDEX(파견수련계획!$R$4:$R$203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파견수련계획!$Y$4:$Y$203,0),IFERROR(MATCH(TRIM($J115&amp;"")&amp;"|파견예정",파견수련계획!$Y$4:$Y$203,0),IFERROR(MATCH(TRIM($J115&amp;"")&amp;"|파견종료",파견수련계획!$Y$4:$Y$203,0),""))))</f>
        <v/>
      </c>
      <c r="AG115" s="10">
        <f>IF($B115="","",IF(AND(IF(OR($AC115="",인턴현황!$K$2=""),"",INDEX(인턴근무계획!$M$3:$R$202,$AC115,인턴현황!$K$2)&amp;"")&lt;&gt;"",LEFT(IF(OR($AC115="",인턴현황!$K$2=""),"",INDEX(인턴근무계획!$M$3:$R$202,$AC115,인턴현황!$K$2)&amp;""),1)&lt;&gt;"⚠"),LEFT(IF(OR($AC115="",인턴현황!$K$2=""),"",INDEX(인턴근무계획!$M$3:$R$202,$AC115,인턴현황!$K$2)&amp;""),FIND(" ",IF(OR($AC115="",인턴현황!$K$2=""),"",INDEX(인턴근무계획!$M$3:$R$202,$AC115,인턴현황!$K$2)&amp;""))-1),$AE115))</f>
        <v/>
      </c>
      <c r="AH115" s="17">
        <f>IF($B115="","",IF(TRIM($J115&amp;"")="",0,SUMPRODUCT((파견수련계획!$Q$4:$Q$203=TRIM($J115&amp;""))*(파견수련계획!$S$4:$S$203="서울병원")*파견수련계획!$W$4:$W$203))+IF($AG115="서울병원",MAX(0,DAY(EOMONTH(요약!$B$3,0))-N($X115)),0))</f>
        <v/>
      </c>
      <c r="AI115" s="17">
        <f>IF($B115="","",IF(TRIM($J115&amp;"")="",0,SUMPRODUCT((파견수련계획!$Q$4:$Q$203=TRIM($J115&amp;""))*(파견수련계획!$S$4:$S$203="구리병원")*파견수련계획!$W$4:$W$203))+IF($AG115="구리병원",MAX(0,DAY(EOMONTH(요약!$B$3,0))-N($X115)),0))</f>
        <v/>
      </c>
      <c r="AJ115" s="10">
        <f>IF(OR($B115="",TRIM($J115&amp;"")=""),"",IFERROR(MATCH(TRIM($J115&amp;"")&amp;"|월",파견수련계획!$Z$4:$Z$203,0),""))</f>
        <v/>
      </c>
      <c r="AK115" s="10">
        <f>IF(OR($B115="",TRIM($J115&amp;"")=""),"",IFERROR(MATCH(TRIM($J115&amp;"")&amp;"|다기관",파견수련계획!$AE$4:$AE$203,0),""))</f>
        <v/>
      </c>
      <c r="AL115" s="10">
        <f>IF($AK115="","","다기관 "&amp;TEXT(INDEX(파견수련계획!$AB$4:$AB$203,$AK115),"yyyy-mm-dd")&amp;"~"&amp;IF(ISNUMBER(INDEX(파견수련계획!$AC$4:$AC$203,$AK115)),TEXT(INDEX(파견수련계획!$AC$4:$AC$203,$AK115),"yyyy-mm-dd"),""))</f>
        <v/>
      </c>
    </row>
    <row r="116">
      <c r="A116" s="10">
        <f>IF(B116="","",ROW()-1)</f>
        <v/>
      </c>
      <c r="B116" s="18" t="n"/>
      <c r="C116" s="10">
        <f>IF($AB116="","",IF(INDEX(기본자료!$C$2:$C$501,$AB116)="","",INDEX(기본자료!$C$2:$C$501,$AB116)))</f>
        <v/>
      </c>
      <c r="D116" s="10">
        <f>IF($AB116="","",IF(INDEX(기본자료!$J$2:$J$501,$AB116)="","",INDEX(기본자료!$J$2:$J$501,$AB116)))</f>
        <v/>
      </c>
      <c r="E116" s="11">
        <f>IF($AB116="","",IF(INDEX(기본자료!$K$2:$K$501,$AB116)="","",IF(NOT(ISNUMBER(INDEX(기본자료!$K$2:$K$501,$AB116))),INDEX(기본자료!$K$2:$K$501,$AB116),IF(INDEX(기본자료!$K$2:$K$501,$AB116)&lt;1000000,INDEX(기본자료!$K$2:$K$501,$AB116),IF(AND(INDEX(기본자료!$K$2:$K$501,$AB116)&gt;=10000101,INT(MOD(INDEX(기본자료!$K$2:$K$501,$AB116),10000)/100)&gt;=1,INT(MOD(INDEX(기본자료!$K$2:$K$501,$AB116),10000)/100)&lt;=12,MOD(INDEX(기본자료!$K$2:$K$501,$AB116),100)&gt;=1,MOD(INDEX(기본자료!$K$2:$K$501,$AB116),100)&lt;=31),DATE(INT(INDEX(기본자료!$K$2:$K$501,$AB116)/10000),INT(MOD(INDEX(기본자료!$K$2:$K$501,$AB116),10000)/100),MOD(INDEX(기본자료!$K$2:$K$501,$AB116),100)),INDEX(기본자료!$K$2:$K$501,$AB116)&amp;"")))))</f>
        <v/>
      </c>
      <c r="F116" s="10">
        <f>IF($AB116="","",IF(INDEX(기본자료!$D$2:$D$501,$AB116)="","",INDEX(기본자료!$D$2:$D$501,$AB116)))</f>
        <v/>
      </c>
      <c r="G116" s="10">
        <f>IF($AB116="","",IF(INDEX(기본자료!$E$2:$E$501,$AB116)="","",INDEX(기본자료!$E$2:$E$501,$AB116)))</f>
        <v/>
      </c>
      <c r="H116" s="10">
        <f>IF($AB116="","",IF(INDEX(기본자료!$F$2:$F$501,$AB116)="","",INDEX(기본자료!$F$2:$F$501,$AB116)))</f>
        <v/>
      </c>
      <c r="I116" s="11">
        <f>IF($AB116="","",IF(INDEX(기본자료!$G$2:$G$501,$AB116)="","",IF(NOT(ISNUMBER(INDEX(기본자료!$G$2:$G$501,$AB116))),INDEX(기본자료!$G$2:$G$501,$AB116),IF(INDEX(기본자료!$G$2:$G$501,$AB116)&lt;1000000,INDEX(기본자료!$G$2:$G$501,$AB116),IF(AND(INDEX(기본자료!$G$2:$G$501,$AB116)&gt;=10000101,INT(MOD(INDEX(기본자료!$G$2:$G$501,$AB116),10000)/100)&gt;=1,INT(MOD(INDEX(기본자료!$G$2:$G$501,$AB116),10000)/100)&lt;=12,MOD(INDEX(기본자료!$G$2:$G$501,$AB116),100)&gt;=1,MOD(INDEX(기본자료!$G$2:$G$501,$AB116),100)&lt;=31),DATE(INT(INDEX(기본자료!$G$2:$G$501,$AB116)/10000),INT(MOD(INDEX(기본자료!$G$2:$G$501,$AB116),10000)/100),MOD(INDEX(기본자료!$G$2:$G$501,$AB116),100)),INDEX(기본자료!$G$2:$G$501,$AB116)&amp;"")))))</f>
        <v/>
      </c>
      <c r="J116" s="10">
        <f>IF($AB116="","",IF(INDEX(기본자료!$H$2:$H$501,$AB116)="","",INDEX(기본자료!$H$2:$H$501,$AB116)))</f>
        <v/>
      </c>
      <c r="K116" s="10">
        <f>IF($AB116="","",IF(INDEX(기본자료!$I$2:$I$501,$AB116)="","",INDEX(기본자료!$I$2:$I$501,$AB116)))</f>
        <v/>
      </c>
      <c r="L116" s="10">
        <f>IF($AB116="","",IF(INDEX(기본자료!$A$2:$A$501,$AB116)="","",INDEX(기본자료!$A$2:$A$501,$AB116)))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파견수련계획!$AB$4:$AB$203,$AK116),OR(NOT(ISNUMBER(INDEX(파견수련계획!$AC$4:$AC$203,$AK116))),TODAY()&lt;=INDEX(파견수련계획!$AC$4:$AC$203,$AK116))),"다기관",IF($AF116="","",INDEX(파견수련계획!$T$4:$T$203,$AF116))),IF($AF116="","",INDEX(파견수련계획!$T$4:$T$203,$AF116))))</f>
        <v/>
      </c>
      <c r="Q116" s="10">
        <f>IF($AF116="","",INDEX(파견수련계획!$S$4:$S$203,$AF116))</f>
        <v/>
      </c>
      <c r="R116" s="10">
        <f>IF($AF116="","",INDEX(파견수련계획!$U$4:$U$203,$AF116))</f>
        <v/>
      </c>
      <c r="S116" s="11">
        <f>IF($AF116="","",IF(INDEX(파견수련계획!$H$4:$H$203,$AF116)="","",INDEX(파견수련계획!$H$4:$H$203,$AF116)))</f>
        <v/>
      </c>
      <c r="T116" s="11">
        <f>IF($AF116="","",IF(INDEX(파견수련계획!$I$4:$I$203,$AF116)="","",INDEX(파견수련계획!$I$4:$I$203,$AF116)))</f>
        <v/>
      </c>
      <c r="U116" s="10">
        <f>IF($AF116="","",INDEX(파견수련계획!$X$4:$X$203,$AF116))</f>
        <v/>
      </c>
      <c r="V116" s="17">
        <f>IF($AF116="","",INDEX(파견수련계획!$V$4:$V$203,$AF116))</f>
        <v/>
      </c>
      <c r="W116" s="17">
        <f>IF(AND($U116="파견중",$T116&lt;&gt;""),$T116-TODAY(),"")</f>
        <v/>
      </c>
      <c r="X116" s="17">
        <f>IF(OR($B116="",TRIM($J116&amp;"")=""),"",SUMPRODUCT((파견수련계획!$Q$4:$Q$203=TRIM($J116&amp;""))*파견수련계획!$W$4:$W$203))</f>
        <v/>
      </c>
      <c r="Y116" s="10">
        <f>IF($B116="","",IF($AG116="","",IF(IF(TRIM($J116&amp;"")="",0,SUMPRODUCT((파견수련계획!$Q$4:$Q$203=TRIM($J116&amp;""))*파견수련계획!$AD$4:$AD$203))&gt;0,$AE116,IF(N($X116)&lt;=0,$AG116,IF($AH116+$AI116=DAY(EOMONTH(요약!$B$3,0)),IF(AND($AH116&gt;=요약!$E$3,$AI116&lt;요약!$E$3),"서울병원",IF(AND($AI116&gt;=요약!$E$3,$AH116&lt;요약!$E$3),"구리병원","⚠15일 판정불가(서울 "&amp;$AH116&amp;"일/구리 "&amp;$AI116&amp;"일)")),IF($AJ116="",$AE116,IF(INDEX(파견수련계획!$T$4:$T$203,$AJ116)="통합수련",INDEX(파견수련계획!$S$4:$S$203,$AJ116),$AE116)))))))</f>
        <v/>
      </c>
      <c r="Z116" s="19">
        <f>IF($B116="","",IF($AB116="","기본자료에 없는 사번",IF(COUNTIF($B$2:$B$201,$B116)&gt;1,"중복 사번",IF($AE116="","소속(입사장소) 입력",IF(IF(TRIM($J116&amp;"")="",0,SUMPRODUCT((파견수련계획!$Q$4:$Q$203=TRIM($J116&amp;""))*(파견수련계획!$AA$4:$AA$203&lt;&gt;"")))&gt;0,"파견수련계획 입력오류 확인",IF(LEFT($Y116,1)="⚠","서울·구리 15일 판정 불가(양쪽 모두 이상/미만)",IF(IF($AC116="",0,N(INDEX(인턴근무계획!$T$3:$T$202,$AC116)))&gt;0,"인턴계획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IF($B116="","",IFERROR(MATCH($B116,기본자료!$B$2:$B$501,0),IFERROR(MATCH($B116&amp;"",기본자료!$B$2:$B$501,0),IFERROR(MATCH(VALUE($B116),기본자료!$B$2:$B$501,0),""))))</f>
        <v/>
      </c>
      <c r="AC116" s="10">
        <f>IF($B116="","",IFERROR(MATCH($B116,인턴근무계획!$D$3:$D$202,0),IFERROR(MATCH($B116&amp;"",인턴근무계획!$D$3:$D$202,0),IFERROR(MATCH(VALUE($B116),인턴근무계획!$D$3:$D$202,0),""))))</f>
        <v/>
      </c>
      <c r="AD116" s="10">
        <f>IF(OR($AC116="",인턴현황!$G$3=""),"",INDEX(인턴근무계획!$M$3:$R$202,$AC116,인턴현황!$G$3)&amp;"")</f>
        <v/>
      </c>
      <c r="AE116" s="10">
        <f>IF($B116="","",IF($M116&lt;&gt;"",$M116,IF($AF116&lt;&gt;"",IF(LEFT(INDEX(파견수련계획!$R$4:$R$203,$AF116),1)&lt;&gt;"⚠",INDEX(파견수련계획!$R$4:$R$203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파견수련계획!$Y$4:$Y$203,0),IFERROR(MATCH(TRIM($J116&amp;"")&amp;"|파견예정",파견수련계획!$Y$4:$Y$203,0),IFERROR(MATCH(TRIM($J116&amp;"")&amp;"|파견종료",파견수련계획!$Y$4:$Y$203,0),""))))</f>
        <v/>
      </c>
      <c r="AG116" s="10">
        <f>IF($B116="","",IF(AND(IF(OR($AC116="",인턴현황!$K$2=""),"",INDEX(인턴근무계획!$M$3:$R$202,$AC116,인턴현황!$K$2)&amp;"")&lt;&gt;"",LEFT(IF(OR($AC116="",인턴현황!$K$2=""),"",INDEX(인턴근무계획!$M$3:$R$202,$AC116,인턴현황!$K$2)&amp;""),1)&lt;&gt;"⚠"),LEFT(IF(OR($AC116="",인턴현황!$K$2=""),"",INDEX(인턴근무계획!$M$3:$R$202,$AC116,인턴현황!$K$2)&amp;""),FIND(" ",IF(OR($AC116="",인턴현황!$K$2=""),"",INDEX(인턴근무계획!$M$3:$R$202,$AC116,인턴현황!$K$2)&amp;""))-1),$AE116))</f>
        <v/>
      </c>
      <c r="AH116" s="17">
        <f>IF($B116="","",IF(TRIM($J116&amp;"")="",0,SUMPRODUCT((파견수련계획!$Q$4:$Q$203=TRIM($J116&amp;""))*(파견수련계획!$S$4:$S$203="서울병원")*파견수련계획!$W$4:$W$203))+IF($AG116="서울병원",MAX(0,DAY(EOMONTH(요약!$B$3,0))-N($X116)),0))</f>
        <v/>
      </c>
      <c r="AI116" s="17">
        <f>IF($B116="","",IF(TRIM($J116&amp;"")="",0,SUMPRODUCT((파견수련계획!$Q$4:$Q$203=TRIM($J116&amp;""))*(파견수련계획!$S$4:$S$203="구리병원")*파견수련계획!$W$4:$W$203))+IF($AG116="구리병원",MAX(0,DAY(EOMONTH(요약!$B$3,0))-N($X116)),0))</f>
        <v/>
      </c>
      <c r="AJ116" s="10">
        <f>IF(OR($B116="",TRIM($J116&amp;"")=""),"",IFERROR(MATCH(TRIM($J116&amp;"")&amp;"|월",파견수련계획!$Z$4:$Z$203,0),""))</f>
        <v/>
      </c>
      <c r="AK116" s="10">
        <f>IF(OR($B116="",TRIM($J116&amp;"")=""),"",IFERROR(MATCH(TRIM($J116&amp;"")&amp;"|다기관",파견수련계획!$AE$4:$AE$203,0),""))</f>
        <v/>
      </c>
      <c r="AL116" s="10">
        <f>IF($AK116="","","다기관 "&amp;TEXT(INDEX(파견수련계획!$AB$4:$AB$203,$AK116),"yyyy-mm-dd")&amp;"~"&amp;IF(ISNUMBER(INDEX(파견수련계획!$AC$4:$AC$203,$AK116)),TEXT(INDEX(파견수련계획!$AC$4:$AC$203,$AK116),"yyyy-mm-dd"),""))</f>
        <v/>
      </c>
    </row>
    <row r="117">
      <c r="A117" s="10">
        <f>IF(B117="","",ROW()-1)</f>
        <v/>
      </c>
      <c r="B117" s="18" t="n"/>
      <c r="C117" s="10">
        <f>IF($AB117="","",IF(INDEX(기본자료!$C$2:$C$501,$AB117)="","",INDEX(기본자료!$C$2:$C$501,$AB117)))</f>
        <v/>
      </c>
      <c r="D117" s="10">
        <f>IF($AB117="","",IF(INDEX(기본자료!$J$2:$J$501,$AB117)="","",INDEX(기본자료!$J$2:$J$501,$AB117)))</f>
        <v/>
      </c>
      <c r="E117" s="11">
        <f>IF($AB117="","",IF(INDEX(기본자료!$K$2:$K$501,$AB117)="","",IF(NOT(ISNUMBER(INDEX(기본자료!$K$2:$K$501,$AB117))),INDEX(기본자료!$K$2:$K$501,$AB117),IF(INDEX(기본자료!$K$2:$K$501,$AB117)&lt;1000000,INDEX(기본자료!$K$2:$K$501,$AB117),IF(AND(INDEX(기본자료!$K$2:$K$501,$AB117)&gt;=10000101,INT(MOD(INDEX(기본자료!$K$2:$K$501,$AB117),10000)/100)&gt;=1,INT(MOD(INDEX(기본자료!$K$2:$K$501,$AB117),10000)/100)&lt;=12,MOD(INDEX(기본자료!$K$2:$K$501,$AB117),100)&gt;=1,MOD(INDEX(기본자료!$K$2:$K$501,$AB117),100)&lt;=31),DATE(INT(INDEX(기본자료!$K$2:$K$501,$AB117)/10000),INT(MOD(INDEX(기본자료!$K$2:$K$501,$AB117),10000)/100),MOD(INDEX(기본자료!$K$2:$K$501,$AB117),100)),INDEX(기본자료!$K$2:$K$501,$AB117)&amp;"")))))</f>
        <v/>
      </c>
      <c r="F117" s="10">
        <f>IF($AB117="","",IF(INDEX(기본자료!$D$2:$D$501,$AB117)="","",INDEX(기본자료!$D$2:$D$501,$AB117)))</f>
        <v/>
      </c>
      <c r="G117" s="10">
        <f>IF($AB117="","",IF(INDEX(기본자료!$E$2:$E$501,$AB117)="","",INDEX(기본자료!$E$2:$E$501,$AB117)))</f>
        <v/>
      </c>
      <c r="H117" s="10">
        <f>IF($AB117="","",IF(INDEX(기본자료!$F$2:$F$501,$AB117)="","",INDEX(기본자료!$F$2:$F$501,$AB117)))</f>
        <v/>
      </c>
      <c r="I117" s="11">
        <f>IF($AB117="","",IF(INDEX(기본자료!$G$2:$G$501,$AB117)="","",IF(NOT(ISNUMBER(INDEX(기본자료!$G$2:$G$501,$AB117))),INDEX(기본자료!$G$2:$G$501,$AB117),IF(INDEX(기본자료!$G$2:$G$501,$AB117)&lt;1000000,INDEX(기본자료!$G$2:$G$501,$AB117),IF(AND(INDEX(기본자료!$G$2:$G$501,$AB117)&gt;=10000101,INT(MOD(INDEX(기본자료!$G$2:$G$501,$AB117),10000)/100)&gt;=1,INT(MOD(INDEX(기본자료!$G$2:$G$501,$AB117),10000)/100)&lt;=12,MOD(INDEX(기본자료!$G$2:$G$501,$AB117),100)&gt;=1,MOD(INDEX(기본자료!$G$2:$G$501,$AB117),100)&lt;=31),DATE(INT(INDEX(기본자료!$G$2:$G$501,$AB117)/10000),INT(MOD(INDEX(기본자료!$G$2:$G$501,$AB117),10000)/100),MOD(INDEX(기본자료!$G$2:$G$501,$AB117),100)),INDEX(기본자료!$G$2:$G$501,$AB117)&amp;"")))))</f>
        <v/>
      </c>
      <c r="J117" s="10">
        <f>IF($AB117="","",IF(INDEX(기본자료!$H$2:$H$501,$AB117)="","",INDEX(기본자료!$H$2:$H$501,$AB117)))</f>
        <v/>
      </c>
      <c r="K117" s="10">
        <f>IF($AB117="","",IF(INDEX(기본자료!$I$2:$I$501,$AB117)="","",INDEX(기본자료!$I$2:$I$501,$AB117)))</f>
        <v/>
      </c>
      <c r="L117" s="10">
        <f>IF($AB117="","",IF(INDEX(기본자료!$A$2:$A$501,$AB117)="","",INDEX(기본자료!$A$2:$A$501,$AB117)))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파견수련계획!$AB$4:$AB$203,$AK117),OR(NOT(ISNUMBER(INDEX(파견수련계획!$AC$4:$AC$203,$AK117))),TODAY()&lt;=INDEX(파견수련계획!$AC$4:$AC$203,$AK117))),"다기관",IF($AF117="","",INDEX(파견수련계획!$T$4:$T$203,$AF117))),IF($AF117="","",INDEX(파견수련계획!$T$4:$T$203,$AF117))))</f>
        <v/>
      </c>
      <c r="Q117" s="10">
        <f>IF($AF117="","",INDEX(파견수련계획!$S$4:$S$203,$AF117))</f>
        <v/>
      </c>
      <c r="R117" s="10">
        <f>IF($AF117="","",INDEX(파견수련계획!$U$4:$U$203,$AF117))</f>
        <v/>
      </c>
      <c r="S117" s="11">
        <f>IF($AF117="","",IF(INDEX(파견수련계획!$H$4:$H$203,$AF117)="","",INDEX(파견수련계획!$H$4:$H$203,$AF117)))</f>
        <v/>
      </c>
      <c r="T117" s="11">
        <f>IF($AF117="","",IF(INDEX(파견수련계획!$I$4:$I$203,$AF117)="","",INDEX(파견수련계획!$I$4:$I$203,$AF117)))</f>
        <v/>
      </c>
      <c r="U117" s="10">
        <f>IF($AF117="","",INDEX(파견수련계획!$X$4:$X$203,$AF117))</f>
        <v/>
      </c>
      <c r="V117" s="17">
        <f>IF($AF117="","",INDEX(파견수련계획!$V$4:$V$203,$AF117))</f>
        <v/>
      </c>
      <c r="W117" s="17">
        <f>IF(AND($U117="파견중",$T117&lt;&gt;""),$T117-TODAY(),"")</f>
        <v/>
      </c>
      <c r="X117" s="17">
        <f>IF(OR($B117="",TRIM($J117&amp;"")=""),"",SUMPRODUCT((파견수련계획!$Q$4:$Q$203=TRIM($J117&amp;""))*파견수련계획!$W$4:$W$203))</f>
        <v/>
      </c>
      <c r="Y117" s="10">
        <f>IF($B117="","",IF($AG117="","",IF(IF(TRIM($J117&amp;"")="",0,SUMPRODUCT((파견수련계획!$Q$4:$Q$203=TRIM($J117&amp;""))*파견수련계획!$AD$4:$AD$203))&gt;0,$AE117,IF(N($X117)&lt;=0,$AG117,IF($AH117+$AI117=DAY(EOMONTH(요약!$B$3,0)),IF(AND($AH117&gt;=요약!$E$3,$AI117&lt;요약!$E$3),"서울병원",IF(AND($AI117&gt;=요약!$E$3,$AH117&lt;요약!$E$3),"구리병원","⚠15일 판정불가(서울 "&amp;$AH117&amp;"일/구리 "&amp;$AI117&amp;"일)")),IF($AJ117="",$AE117,IF(INDEX(파견수련계획!$T$4:$T$203,$AJ117)="통합수련",INDEX(파견수련계획!$S$4:$S$203,$AJ117),$AE117)))))))</f>
        <v/>
      </c>
      <c r="Z117" s="19">
        <f>IF($B117="","",IF($AB117="","기본자료에 없는 사번",IF(COUNTIF($B$2:$B$201,$B117)&gt;1,"중복 사번",IF($AE117="","소속(입사장소) 입력",IF(IF(TRIM($J117&amp;"")="",0,SUMPRODUCT((파견수련계획!$Q$4:$Q$203=TRIM($J117&amp;""))*(파견수련계획!$AA$4:$AA$203&lt;&gt;"")))&gt;0,"파견수련계획 입력오류 확인",IF(LEFT($Y117,1)="⚠","서울·구리 15일 판정 불가(양쪽 모두 이상/미만)",IF(IF($AC117="",0,N(INDEX(인턴근무계획!$T$3:$T$202,$AC117)))&gt;0,"인턴계획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IF($B117="","",IFERROR(MATCH($B117,기본자료!$B$2:$B$501,0),IFERROR(MATCH($B117&amp;"",기본자료!$B$2:$B$501,0),IFERROR(MATCH(VALUE($B117),기본자료!$B$2:$B$501,0),""))))</f>
        <v/>
      </c>
      <c r="AC117" s="10">
        <f>IF($B117="","",IFERROR(MATCH($B117,인턴근무계획!$D$3:$D$202,0),IFERROR(MATCH($B117&amp;"",인턴근무계획!$D$3:$D$202,0),IFERROR(MATCH(VALUE($B117),인턴근무계획!$D$3:$D$202,0),""))))</f>
        <v/>
      </c>
      <c r="AD117" s="10">
        <f>IF(OR($AC117="",인턴현황!$G$3=""),"",INDEX(인턴근무계획!$M$3:$R$202,$AC117,인턴현황!$G$3)&amp;"")</f>
        <v/>
      </c>
      <c r="AE117" s="10">
        <f>IF($B117="","",IF($M117&lt;&gt;"",$M117,IF($AF117&lt;&gt;"",IF(LEFT(INDEX(파견수련계획!$R$4:$R$203,$AF117),1)&lt;&gt;"⚠",INDEX(파견수련계획!$R$4:$R$203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파견수련계획!$Y$4:$Y$203,0),IFERROR(MATCH(TRIM($J117&amp;"")&amp;"|파견예정",파견수련계획!$Y$4:$Y$203,0),IFERROR(MATCH(TRIM($J117&amp;"")&amp;"|파견종료",파견수련계획!$Y$4:$Y$203,0),""))))</f>
        <v/>
      </c>
      <c r="AG117" s="10">
        <f>IF($B117="","",IF(AND(IF(OR($AC117="",인턴현황!$K$2=""),"",INDEX(인턴근무계획!$M$3:$R$202,$AC117,인턴현황!$K$2)&amp;"")&lt;&gt;"",LEFT(IF(OR($AC117="",인턴현황!$K$2=""),"",INDEX(인턴근무계획!$M$3:$R$202,$AC117,인턴현황!$K$2)&amp;""),1)&lt;&gt;"⚠"),LEFT(IF(OR($AC117="",인턴현황!$K$2=""),"",INDEX(인턴근무계획!$M$3:$R$202,$AC117,인턴현황!$K$2)&amp;""),FIND(" ",IF(OR($AC117="",인턴현황!$K$2=""),"",INDEX(인턴근무계획!$M$3:$R$202,$AC117,인턴현황!$K$2)&amp;""))-1),$AE117))</f>
        <v/>
      </c>
      <c r="AH117" s="17">
        <f>IF($B117="","",IF(TRIM($J117&amp;"")="",0,SUMPRODUCT((파견수련계획!$Q$4:$Q$203=TRIM($J117&amp;""))*(파견수련계획!$S$4:$S$203="서울병원")*파견수련계획!$W$4:$W$203))+IF($AG117="서울병원",MAX(0,DAY(EOMONTH(요약!$B$3,0))-N($X117)),0))</f>
        <v/>
      </c>
      <c r="AI117" s="17">
        <f>IF($B117="","",IF(TRIM($J117&amp;"")="",0,SUMPRODUCT((파견수련계획!$Q$4:$Q$203=TRIM($J117&amp;""))*(파견수련계획!$S$4:$S$203="구리병원")*파견수련계획!$W$4:$W$203))+IF($AG117="구리병원",MAX(0,DAY(EOMONTH(요약!$B$3,0))-N($X117)),0))</f>
        <v/>
      </c>
      <c r="AJ117" s="10">
        <f>IF(OR($B117="",TRIM($J117&amp;"")=""),"",IFERROR(MATCH(TRIM($J117&amp;"")&amp;"|월",파견수련계획!$Z$4:$Z$203,0),""))</f>
        <v/>
      </c>
      <c r="AK117" s="10">
        <f>IF(OR($B117="",TRIM($J117&amp;"")=""),"",IFERROR(MATCH(TRIM($J117&amp;"")&amp;"|다기관",파견수련계획!$AE$4:$AE$203,0),""))</f>
        <v/>
      </c>
      <c r="AL117" s="10">
        <f>IF($AK117="","","다기관 "&amp;TEXT(INDEX(파견수련계획!$AB$4:$AB$203,$AK117),"yyyy-mm-dd")&amp;"~"&amp;IF(ISNUMBER(INDEX(파견수련계획!$AC$4:$AC$203,$AK117)),TEXT(INDEX(파견수련계획!$AC$4:$AC$203,$AK117),"yyyy-mm-dd"),""))</f>
        <v/>
      </c>
    </row>
    <row r="118">
      <c r="A118" s="10">
        <f>IF(B118="","",ROW()-1)</f>
        <v/>
      </c>
      <c r="B118" s="18" t="n"/>
      <c r="C118" s="10">
        <f>IF($AB118="","",IF(INDEX(기본자료!$C$2:$C$501,$AB118)="","",INDEX(기본자료!$C$2:$C$501,$AB118)))</f>
        <v/>
      </c>
      <c r="D118" s="10">
        <f>IF($AB118="","",IF(INDEX(기본자료!$J$2:$J$501,$AB118)="","",INDEX(기본자료!$J$2:$J$501,$AB118)))</f>
        <v/>
      </c>
      <c r="E118" s="11">
        <f>IF($AB118="","",IF(INDEX(기본자료!$K$2:$K$501,$AB118)="","",IF(NOT(ISNUMBER(INDEX(기본자료!$K$2:$K$501,$AB118))),INDEX(기본자료!$K$2:$K$501,$AB118),IF(INDEX(기본자료!$K$2:$K$501,$AB118)&lt;1000000,INDEX(기본자료!$K$2:$K$501,$AB118),IF(AND(INDEX(기본자료!$K$2:$K$501,$AB118)&gt;=10000101,INT(MOD(INDEX(기본자료!$K$2:$K$501,$AB118),10000)/100)&gt;=1,INT(MOD(INDEX(기본자료!$K$2:$K$501,$AB118),10000)/100)&lt;=12,MOD(INDEX(기본자료!$K$2:$K$501,$AB118),100)&gt;=1,MOD(INDEX(기본자료!$K$2:$K$501,$AB118),100)&lt;=31),DATE(INT(INDEX(기본자료!$K$2:$K$501,$AB118)/10000),INT(MOD(INDEX(기본자료!$K$2:$K$501,$AB118),10000)/100),MOD(INDEX(기본자료!$K$2:$K$501,$AB118),100)),INDEX(기본자료!$K$2:$K$501,$AB118)&amp;"")))))</f>
        <v/>
      </c>
      <c r="F118" s="10">
        <f>IF($AB118="","",IF(INDEX(기본자료!$D$2:$D$501,$AB118)="","",INDEX(기본자료!$D$2:$D$501,$AB118)))</f>
        <v/>
      </c>
      <c r="G118" s="10">
        <f>IF($AB118="","",IF(INDEX(기본자료!$E$2:$E$501,$AB118)="","",INDEX(기본자료!$E$2:$E$501,$AB118)))</f>
        <v/>
      </c>
      <c r="H118" s="10">
        <f>IF($AB118="","",IF(INDEX(기본자료!$F$2:$F$501,$AB118)="","",INDEX(기본자료!$F$2:$F$501,$AB118)))</f>
        <v/>
      </c>
      <c r="I118" s="11">
        <f>IF($AB118="","",IF(INDEX(기본자료!$G$2:$G$501,$AB118)="","",IF(NOT(ISNUMBER(INDEX(기본자료!$G$2:$G$501,$AB118))),INDEX(기본자료!$G$2:$G$501,$AB118),IF(INDEX(기본자료!$G$2:$G$501,$AB118)&lt;1000000,INDEX(기본자료!$G$2:$G$501,$AB118),IF(AND(INDEX(기본자료!$G$2:$G$501,$AB118)&gt;=10000101,INT(MOD(INDEX(기본자료!$G$2:$G$501,$AB118),10000)/100)&gt;=1,INT(MOD(INDEX(기본자료!$G$2:$G$501,$AB118),10000)/100)&lt;=12,MOD(INDEX(기본자료!$G$2:$G$501,$AB118),100)&gt;=1,MOD(INDEX(기본자료!$G$2:$G$501,$AB118),100)&lt;=31),DATE(INT(INDEX(기본자료!$G$2:$G$501,$AB118)/10000),INT(MOD(INDEX(기본자료!$G$2:$G$501,$AB118),10000)/100),MOD(INDEX(기본자료!$G$2:$G$501,$AB118),100)),INDEX(기본자료!$G$2:$G$501,$AB118)&amp;"")))))</f>
        <v/>
      </c>
      <c r="J118" s="10">
        <f>IF($AB118="","",IF(INDEX(기본자료!$H$2:$H$501,$AB118)="","",INDEX(기본자료!$H$2:$H$501,$AB118)))</f>
        <v/>
      </c>
      <c r="K118" s="10">
        <f>IF($AB118="","",IF(INDEX(기본자료!$I$2:$I$501,$AB118)="","",INDEX(기본자료!$I$2:$I$501,$AB118)))</f>
        <v/>
      </c>
      <c r="L118" s="10">
        <f>IF($AB118="","",IF(INDEX(기본자료!$A$2:$A$501,$AB118)="","",INDEX(기본자료!$A$2:$A$501,$AB118)))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파견수련계획!$AB$4:$AB$203,$AK118),OR(NOT(ISNUMBER(INDEX(파견수련계획!$AC$4:$AC$203,$AK118))),TODAY()&lt;=INDEX(파견수련계획!$AC$4:$AC$203,$AK118))),"다기관",IF($AF118="","",INDEX(파견수련계획!$T$4:$T$203,$AF118))),IF($AF118="","",INDEX(파견수련계획!$T$4:$T$203,$AF118))))</f>
        <v/>
      </c>
      <c r="Q118" s="10">
        <f>IF($AF118="","",INDEX(파견수련계획!$S$4:$S$203,$AF118))</f>
        <v/>
      </c>
      <c r="R118" s="10">
        <f>IF($AF118="","",INDEX(파견수련계획!$U$4:$U$203,$AF118))</f>
        <v/>
      </c>
      <c r="S118" s="11">
        <f>IF($AF118="","",IF(INDEX(파견수련계획!$H$4:$H$203,$AF118)="","",INDEX(파견수련계획!$H$4:$H$203,$AF118)))</f>
        <v/>
      </c>
      <c r="T118" s="11">
        <f>IF($AF118="","",IF(INDEX(파견수련계획!$I$4:$I$203,$AF118)="","",INDEX(파견수련계획!$I$4:$I$203,$AF118)))</f>
        <v/>
      </c>
      <c r="U118" s="10">
        <f>IF($AF118="","",INDEX(파견수련계획!$X$4:$X$203,$AF118))</f>
        <v/>
      </c>
      <c r="V118" s="17">
        <f>IF($AF118="","",INDEX(파견수련계획!$V$4:$V$203,$AF118))</f>
        <v/>
      </c>
      <c r="W118" s="17">
        <f>IF(AND($U118="파견중",$T118&lt;&gt;""),$T118-TODAY(),"")</f>
        <v/>
      </c>
      <c r="X118" s="17">
        <f>IF(OR($B118="",TRIM($J118&amp;"")=""),"",SUMPRODUCT((파견수련계획!$Q$4:$Q$203=TRIM($J118&amp;""))*파견수련계획!$W$4:$W$203))</f>
        <v/>
      </c>
      <c r="Y118" s="10">
        <f>IF($B118="","",IF($AG118="","",IF(IF(TRIM($J118&amp;"")="",0,SUMPRODUCT((파견수련계획!$Q$4:$Q$203=TRIM($J118&amp;""))*파견수련계획!$AD$4:$AD$203))&gt;0,$AE118,IF(N($X118)&lt;=0,$AG118,IF($AH118+$AI118=DAY(EOMONTH(요약!$B$3,0)),IF(AND($AH118&gt;=요약!$E$3,$AI118&lt;요약!$E$3),"서울병원",IF(AND($AI118&gt;=요약!$E$3,$AH118&lt;요약!$E$3),"구리병원","⚠15일 판정불가(서울 "&amp;$AH118&amp;"일/구리 "&amp;$AI118&amp;"일)")),IF($AJ118="",$AE118,IF(INDEX(파견수련계획!$T$4:$T$203,$AJ118)="통합수련",INDEX(파견수련계획!$S$4:$S$203,$AJ118),$AE118)))))))</f>
        <v/>
      </c>
      <c r="Z118" s="19">
        <f>IF($B118="","",IF($AB118="","기본자료에 없는 사번",IF(COUNTIF($B$2:$B$201,$B118)&gt;1,"중복 사번",IF($AE118="","소속(입사장소) 입력",IF(IF(TRIM($J118&amp;"")="",0,SUMPRODUCT((파견수련계획!$Q$4:$Q$203=TRIM($J118&amp;""))*(파견수련계획!$AA$4:$AA$203&lt;&gt;"")))&gt;0,"파견수련계획 입력오류 확인",IF(LEFT($Y118,1)="⚠","서울·구리 15일 판정 불가(양쪽 모두 이상/미만)",IF(IF($AC118="",0,N(INDEX(인턴근무계획!$T$3:$T$202,$AC118)))&gt;0,"인턴계획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IF($B118="","",IFERROR(MATCH($B118,기본자료!$B$2:$B$501,0),IFERROR(MATCH($B118&amp;"",기본자료!$B$2:$B$501,0),IFERROR(MATCH(VALUE($B118),기본자료!$B$2:$B$501,0),""))))</f>
        <v/>
      </c>
      <c r="AC118" s="10">
        <f>IF($B118="","",IFERROR(MATCH($B118,인턴근무계획!$D$3:$D$202,0),IFERROR(MATCH($B118&amp;"",인턴근무계획!$D$3:$D$202,0),IFERROR(MATCH(VALUE($B118),인턴근무계획!$D$3:$D$202,0),""))))</f>
        <v/>
      </c>
      <c r="AD118" s="10">
        <f>IF(OR($AC118="",인턴현황!$G$3=""),"",INDEX(인턴근무계획!$M$3:$R$202,$AC118,인턴현황!$G$3)&amp;"")</f>
        <v/>
      </c>
      <c r="AE118" s="10">
        <f>IF($B118="","",IF($M118&lt;&gt;"",$M118,IF($AF118&lt;&gt;"",IF(LEFT(INDEX(파견수련계획!$R$4:$R$203,$AF118),1)&lt;&gt;"⚠",INDEX(파견수련계획!$R$4:$R$203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파견수련계획!$Y$4:$Y$203,0),IFERROR(MATCH(TRIM($J118&amp;"")&amp;"|파견예정",파견수련계획!$Y$4:$Y$203,0),IFERROR(MATCH(TRIM($J118&amp;"")&amp;"|파견종료",파견수련계획!$Y$4:$Y$203,0),""))))</f>
        <v/>
      </c>
      <c r="AG118" s="10">
        <f>IF($B118="","",IF(AND(IF(OR($AC118="",인턴현황!$K$2=""),"",INDEX(인턴근무계획!$M$3:$R$202,$AC118,인턴현황!$K$2)&amp;"")&lt;&gt;"",LEFT(IF(OR($AC118="",인턴현황!$K$2=""),"",INDEX(인턴근무계획!$M$3:$R$202,$AC118,인턴현황!$K$2)&amp;""),1)&lt;&gt;"⚠"),LEFT(IF(OR($AC118="",인턴현황!$K$2=""),"",INDEX(인턴근무계획!$M$3:$R$202,$AC118,인턴현황!$K$2)&amp;""),FIND(" ",IF(OR($AC118="",인턴현황!$K$2=""),"",INDEX(인턴근무계획!$M$3:$R$202,$AC118,인턴현황!$K$2)&amp;""))-1),$AE118))</f>
        <v/>
      </c>
      <c r="AH118" s="17">
        <f>IF($B118="","",IF(TRIM($J118&amp;"")="",0,SUMPRODUCT((파견수련계획!$Q$4:$Q$203=TRIM($J118&amp;""))*(파견수련계획!$S$4:$S$203="서울병원")*파견수련계획!$W$4:$W$203))+IF($AG118="서울병원",MAX(0,DAY(EOMONTH(요약!$B$3,0))-N($X118)),0))</f>
        <v/>
      </c>
      <c r="AI118" s="17">
        <f>IF($B118="","",IF(TRIM($J118&amp;"")="",0,SUMPRODUCT((파견수련계획!$Q$4:$Q$203=TRIM($J118&amp;""))*(파견수련계획!$S$4:$S$203="구리병원")*파견수련계획!$W$4:$W$203))+IF($AG118="구리병원",MAX(0,DAY(EOMONTH(요약!$B$3,0))-N($X118)),0))</f>
        <v/>
      </c>
      <c r="AJ118" s="10">
        <f>IF(OR($B118="",TRIM($J118&amp;"")=""),"",IFERROR(MATCH(TRIM($J118&amp;"")&amp;"|월",파견수련계획!$Z$4:$Z$203,0),""))</f>
        <v/>
      </c>
      <c r="AK118" s="10">
        <f>IF(OR($B118="",TRIM($J118&amp;"")=""),"",IFERROR(MATCH(TRIM($J118&amp;"")&amp;"|다기관",파견수련계획!$AE$4:$AE$203,0),""))</f>
        <v/>
      </c>
      <c r="AL118" s="10">
        <f>IF($AK118="","","다기관 "&amp;TEXT(INDEX(파견수련계획!$AB$4:$AB$203,$AK118),"yyyy-mm-dd")&amp;"~"&amp;IF(ISNUMBER(INDEX(파견수련계획!$AC$4:$AC$203,$AK118)),TEXT(INDEX(파견수련계획!$AC$4:$AC$203,$AK118),"yyyy-mm-dd"),""))</f>
        <v/>
      </c>
    </row>
    <row r="119">
      <c r="A119" s="10">
        <f>IF(B119="","",ROW()-1)</f>
        <v/>
      </c>
      <c r="B119" s="18" t="n"/>
      <c r="C119" s="10">
        <f>IF($AB119="","",IF(INDEX(기본자료!$C$2:$C$501,$AB119)="","",INDEX(기본자료!$C$2:$C$501,$AB119)))</f>
        <v/>
      </c>
      <c r="D119" s="10">
        <f>IF($AB119="","",IF(INDEX(기본자료!$J$2:$J$501,$AB119)="","",INDEX(기본자료!$J$2:$J$501,$AB119)))</f>
        <v/>
      </c>
      <c r="E119" s="11">
        <f>IF($AB119="","",IF(INDEX(기본자료!$K$2:$K$501,$AB119)="","",IF(NOT(ISNUMBER(INDEX(기본자료!$K$2:$K$501,$AB119))),INDEX(기본자료!$K$2:$K$501,$AB119),IF(INDEX(기본자료!$K$2:$K$501,$AB119)&lt;1000000,INDEX(기본자료!$K$2:$K$501,$AB119),IF(AND(INDEX(기본자료!$K$2:$K$501,$AB119)&gt;=10000101,INT(MOD(INDEX(기본자료!$K$2:$K$501,$AB119),10000)/100)&gt;=1,INT(MOD(INDEX(기본자료!$K$2:$K$501,$AB119),10000)/100)&lt;=12,MOD(INDEX(기본자료!$K$2:$K$501,$AB119),100)&gt;=1,MOD(INDEX(기본자료!$K$2:$K$501,$AB119),100)&lt;=31),DATE(INT(INDEX(기본자료!$K$2:$K$501,$AB119)/10000),INT(MOD(INDEX(기본자료!$K$2:$K$501,$AB119),10000)/100),MOD(INDEX(기본자료!$K$2:$K$501,$AB119),100)),INDEX(기본자료!$K$2:$K$501,$AB119)&amp;"")))))</f>
        <v/>
      </c>
      <c r="F119" s="10">
        <f>IF($AB119="","",IF(INDEX(기본자료!$D$2:$D$501,$AB119)="","",INDEX(기본자료!$D$2:$D$501,$AB119)))</f>
        <v/>
      </c>
      <c r="G119" s="10">
        <f>IF($AB119="","",IF(INDEX(기본자료!$E$2:$E$501,$AB119)="","",INDEX(기본자료!$E$2:$E$501,$AB119)))</f>
        <v/>
      </c>
      <c r="H119" s="10">
        <f>IF($AB119="","",IF(INDEX(기본자료!$F$2:$F$501,$AB119)="","",INDEX(기본자료!$F$2:$F$501,$AB119)))</f>
        <v/>
      </c>
      <c r="I119" s="11">
        <f>IF($AB119="","",IF(INDEX(기본자료!$G$2:$G$501,$AB119)="","",IF(NOT(ISNUMBER(INDEX(기본자료!$G$2:$G$501,$AB119))),INDEX(기본자료!$G$2:$G$501,$AB119),IF(INDEX(기본자료!$G$2:$G$501,$AB119)&lt;1000000,INDEX(기본자료!$G$2:$G$501,$AB119),IF(AND(INDEX(기본자료!$G$2:$G$501,$AB119)&gt;=10000101,INT(MOD(INDEX(기본자료!$G$2:$G$501,$AB119),10000)/100)&gt;=1,INT(MOD(INDEX(기본자료!$G$2:$G$501,$AB119),10000)/100)&lt;=12,MOD(INDEX(기본자료!$G$2:$G$501,$AB119),100)&gt;=1,MOD(INDEX(기본자료!$G$2:$G$501,$AB119),100)&lt;=31),DATE(INT(INDEX(기본자료!$G$2:$G$501,$AB119)/10000),INT(MOD(INDEX(기본자료!$G$2:$G$501,$AB119),10000)/100),MOD(INDEX(기본자료!$G$2:$G$501,$AB119),100)),INDEX(기본자료!$G$2:$G$501,$AB119)&amp;"")))))</f>
        <v/>
      </c>
      <c r="J119" s="10">
        <f>IF($AB119="","",IF(INDEX(기본자료!$H$2:$H$501,$AB119)="","",INDEX(기본자료!$H$2:$H$501,$AB119)))</f>
        <v/>
      </c>
      <c r="K119" s="10">
        <f>IF($AB119="","",IF(INDEX(기본자료!$I$2:$I$501,$AB119)="","",INDEX(기본자료!$I$2:$I$501,$AB119)))</f>
        <v/>
      </c>
      <c r="L119" s="10">
        <f>IF($AB119="","",IF(INDEX(기본자료!$A$2:$A$501,$AB119)="","",INDEX(기본자료!$A$2:$A$501,$AB119)))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파견수련계획!$AB$4:$AB$203,$AK119),OR(NOT(ISNUMBER(INDEX(파견수련계획!$AC$4:$AC$203,$AK119))),TODAY()&lt;=INDEX(파견수련계획!$AC$4:$AC$203,$AK119))),"다기관",IF($AF119="","",INDEX(파견수련계획!$T$4:$T$203,$AF119))),IF($AF119="","",INDEX(파견수련계획!$T$4:$T$203,$AF119))))</f>
        <v/>
      </c>
      <c r="Q119" s="10">
        <f>IF($AF119="","",INDEX(파견수련계획!$S$4:$S$203,$AF119))</f>
        <v/>
      </c>
      <c r="R119" s="10">
        <f>IF($AF119="","",INDEX(파견수련계획!$U$4:$U$203,$AF119))</f>
        <v/>
      </c>
      <c r="S119" s="11">
        <f>IF($AF119="","",IF(INDEX(파견수련계획!$H$4:$H$203,$AF119)="","",INDEX(파견수련계획!$H$4:$H$203,$AF119)))</f>
        <v/>
      </c>
      <c r="T119" s="11">
        <f>IF($AF119="","",IF(INDEX(파견수련계획!$I$4:$I$203,$AF119)="","",INDEX(파견수련계획!$I$4:$I$203,$AF119)))</f>
        <v/>
      </c>
      <c r="U119" s="10">
        <f>IF($AF119="","",INDEX(파견수련계획!$X$4:$X$203,$AF119))</f>
        <v/>
      </c>
      <c r="V119" s="17">
        <f>IF($AF119="","",INDEX(파견수련계획!$V$4:$V$203,$AF119))</f>
        <v/>
      </c>
      <c r="W119" s="17">
        <f>IF(AND($U119="파견중",$T119&lt;&gt;""),$T119-TODAY(),"")</f>
        <v/>
      </c>
      <c r="X119" s="17">
        <f>IF(OR($B119="",TRIM($J119&amp;"")=""),"",SUMPRODUCT((파견수련계획!$Q$4:$Q$203=TRIM($J119&amp;""))*파견수련계획!$W$4:$W$203))</f>
        <v/>
      </c>
      <c r="Y119" s="10">
        <f>IF($B119="","",IF($AG119="","",IF(IF(TRIM($J119&amp;"")="",0,SUMPRODUCT((파견수련계획!$Q$4:$Q$203=TRIM($J119&amp;""))*파견수련계획!$AD$4:$AD$203))&gt;0,$AE119,IF(N($X119)&lt;=0,$AG119,IF($AH119+$AI119=DAY(EOMONTH(요약!$B$3,0)),IF(AND($AH119&gt;=요약!$E$3,$AI119&lt;요약!$E$3),"서울병원",IF(AND($AI119&gt;=요약!$E$3,$AH119&lt;요약!$E$3),"구리병원","⚠15일 판정불가(서울 "&amp;$AH119&amp;"일/구리 "&amp;$AI119&amp;"일)")),IF($AJ119="",$AE119,IF(INDEX(파견수련계획!$T$4:$T$203,$AJ119)="통합수련",INDEX(파견수련계획!$S$4:$S$203,$AJ119),$AE119)))))))</f>
        <v/>
      </c>
      <c r="Z119" s="19">
        <f>IF($B119="","",IF($AB119="","기본자료에 없는 사번",IF(COUNTIF($B$2:$B$201,$B119)&gt;1,"중복 사번",IF($AE119="","소속(입사장소) 입력",IF(IF(TRIM($J119&amp;"")="",0,SUMPRODUCT((파견수련계획!$Q$4:$Q$203=TRIM($J119&amp;""))*(파견수련계획!$AA$4:$AA$203&lt;&gt;"")))&gt;0,"파견수련계획 입력오류 확인",IF(LEFT($Y119,1)="⚠","서울·구리 15일 판정 불가(양쪽 모두 이상/미만)",IF(IF($AC119="",0,N(INDEX(인턴근무계획!$T$3:$T$202,$AC119)))&gt;0,"인턴계획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IF($B119="","",IFERROR(MATCH($B119,기본자료!$B$2:$B$501,0),IFERROR(MATCH($B119&amp;"",기본자료!$B$2:$B$501,0),IFERROR(MATCH(VALUE($B119),기본자료!$B$2:$B$501,0),""))))</f>
        <v/>
      </c>
      <c r="AC119" s="10">
        <f>IF($B119="","",IFERROR(MATCH($B119,인턴근무계획!$D$3:$D$202,0),IFERROR(MATCH($B119&amp;"",인턴근무계획!$D$3:$D$202,0),IFERROR(MATCH(VALUE($B119),인턴근무계획!$D$3:$D$202,0),""))))</f>
        <v/>
      </c>
      <c r="AD119" s="10">
        <f>IF(OR($AC119="",인턴현황!$G$3=""),"",INDEX(인턴근무계획!$M$3:$R$202,$AC119,인턴현황!$G$3)&amp;"")</f>
        <v/>
      </c>
      <c r="AE119" s="10">
        <f>IF($B119="","",IF($M119&lt;&gt;"",$M119,IF($AF119&lt;&gt;"",IF(LEFT(INDEX(파견수련계획!$R$4:$R$203,$AF119),1)&lt;&gt;"⚠",INDEX(파견수련계획!$R$4:$R$203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파견수련계획!$Y$4:$Y$203,0),IFERROR(MATCH(TRIM($J119&amp;"")&amp;"|파견예정",파견수련계획!$Y$4:$Y$203,0),IFERROR(MATCH(TRIM($J119&amp;"")&amp;"|파견종료",파견수련계획!$Y$4:$Y$203,0),""))))</f>
        <v/>
      </c>
      <c r="AG119" s="10">
        <f>IF($B119="","",IF(AND(IF(OR($AC119="",인턴현황!$K$2=""),"",INDEX(인턴근무계획!$M$3:$R$202,$AC119,인턴현황!$K$2)&amp;"")&lt;&gt;"",LEFT(IF(OR($AC119="",인턴현황!$K$2=""),"",INDEX(인턴근무계획!$M$3:$R$202,$AC119,인턴현황!$K$2)&amp;""),1)&lt;&gt;"⚠"),LEFT(IF(OR($AC119="",인턴현황!$K$2=""),"",INDEX(인턴근무계획!$M$3:$R$202,$AC119,인턴현황!$K$2)&amp;""),FIND(" ",IF(OR($AC119="",인턴현황!$K$2=""),"",INDEX(인턴근무계획!$M$3:$R$202,$AC119,인턴현황!$K$2)&amp;""))-1),$AE119))</f>
        <v/>
      </c>
      <c r="AH119" s="17">
        <f>IF($B119="","",IF(TRIM($J119&amp;"")="",0,SUMPRODUCT((파견수련계획!$Q$4:$Q$203=TRIM($J119&amp;""))*(파견수련계획!$S$4:$S$203="서울병원")*파견수련계획!$W$4:$W$203))+IF($AG119="서울병원",MAX(0,DAY(EOMONTH(요약!$B$3,0))-N($X119)),0))</f>
        <v/>
      </c>
      <c r="AI119" s="17">
        <f>IF($B119="","",IF(TRIM($J119&amp;"")="",0,SUMPRODUCT((파견수련계획!$Q$4:$Q$203=TRIM($J119&amp;""))*(파견수련계획!$S$4:$S$203="구리병원")*파견수련계획!$W$4:$W$203))+IF($AG119="구리병원",MAX(0,DAY(EOMONTH(요약!$B$3,0))-N($X119)),0))</f>
        <v/>
      </c>
      <c r="AJ119" s="10">
        <f>IF(OR($B119="",TRIM($J119&amp;"")=""),"",IFERROR(MATCH(TRIM($J119&amp;"")&amp;"|월",파견수련계획!$Z$4:$Z$203,0),""))</f>
        <v/>
      </c>
      <c r="AK119" s="10">
        <f>IF(OR($B119="",TRIM($J119&amp;"")=""),"",IFERROR(MATCH(TRIM($J119&amp;"")&amp;"|다기관",파견수련계획!$AE$4:$AE$203,0),""))</f>
        <v/>
      </c>
      <c r="AL119" s="10">
        <f>IF($AK119="","","다기관 "&amp;TEXT(INDEX(파견수련계획!$AB$4:$AB$203,$AK119),"yyyy-mm-dd")&amp;"~"&amp;IF(ISNUMBER(INDEX(파견수련계획!$AC$4:$AC$203,$AK119)),TEXT(INDEX(파견수련계획!$AC$4:$AC$203,$AK119),"yyyy-mm-dd"),""))</f>
        <v/>
      </c>
    </row>
    <row r="120">
      <c r="A120" s="10">
        <f>IF(B120="","",ROW()-1)</f>
        <v/>
      </c>
      <c r="B120" s="18" t="n"/>
      <c r="C120" s="10">
        <f>IF($AB120="","",IF(INDEX(기본자료!$C$2:$C$501,$AB120)="","",INDEX(기본자료!$C$2:$C$501,$AB120)))</f>
        <v/>
      </c>
      <c r="D120" s="10">
        <f>IF($AB120="","",IF(INDEX(기본자료!$J$2:$J$501,$AB120)="","",INDEX(기본자료!$J$2:$J$501,$AB120)))</f>
        <v/>
      </c>
      <c r="E120" s="11">
        <f>IF($AB120="","",IF(INDEX(기본자료!$K$2:$K$501,$AB120)="","",IF(NOT(ISNUMBER(INDEX(기본자료!$K$2:$K$501,$AB120))),INDEX(기본자료!$K$2:$K$501,$AB120),IF(INDEX(기본자료!$K$2:$K$501,$AB120)&lt;1000000,INDEX(기본자료!$K$2:$K$501,$AB120),IF(AND(INDEX(기본자료!$K$2:$K$501,$AB120)&gt;=10000101,INT(MOD(INDEX(기본자료!$K$2:$K$501,$AB120),10000)/100)&gt;=1,INT(MOD(INDEX(기본자료!$K$2:$K$501,$AB120),10000)/100)&lt;=12,MOD(INDEX(기본자료!$K$2:$K$501,$AB120),100)&gt;=1,MOD(INDEX(기본자료!$K$2:$K$501,$AB120),100)&lt;=31),DATE(INT(INDEX(기본자료!$K$2:$K$501,$AB120)/10000),INT(MOD(INDEX(기본자료!$K$2:$K$501,$AB120),10000)/100),MOD(INDEX(기본자료!$K$2:$K$501,$AB120),100)),INDEX(기본자료!$K$2:$K$501,$AB120)&amp;"")))))</f>
        <v/>
      </c>
      <c r="F120" s="10">
        <f>IF($AB120="","",IF(INDEX(기본자료!$D$2:$D$501,$AB120)="","",INDEX(기본자료!$D$2:$D$501,$AB120)))</f>
        <v/>
      </c>
      <c r="G120" s="10">
        <f>IF($AB120="","",IF(INDEX(기본자료!$E$2:$E$501,$AB120)="","",INDEX(기본자료!$E$2:$E$501,$AB120)))</f>
        <v/>
      </c>
      <c r="H120" s="10">
        <f>IF($AB120="","",IF(INDEX(기본자료!$F$2:$F$501,$AB120)="","",INDEX(기본자료!$F$2:$F$501,$AB120)))</f>
        <v/>
      </c>
      <c r="I120" s="11">
        <f>IF($AB120="","",IF(INDEX(기본자료!$G$2:$G$501,$AB120)="","",IF(NOT(ISNUMBER(INDEX(기본자료!$G$2:$G$501,$AB120))),INDEX(기본자료!$G$2:$G$501,$AB120),IF(INDEX(기본자료!$G$2:$G$501,$AB120)&lt;1000000,INDEX(기본자료!$G$2:$G$501,$AB120),IF(AND(INDEX(기본자료!$G$2:$G$501,$AB120)&gt;=10000101,INT(MOD(INDEX(기본자료!$G$2:$G$501,$AB120),10000)/100)&gt;=1,INT(MOD(INDEX(기본자료!$G$2:$G$501,$AB120),10000)/100)&lt;=12,MOD(INDEX(기본자료!$G$2:$G$501,$AB120),100)&gt;=1,MOD(INDEX(기본자료!$G$2:$G$501,$AB120),100)&lt;=31),DATE(INT(INDEX(기본자료!$G$2:$G$501,$AB120)/10000),INT(MOD(INDEX(기본자료!$G$2:$G$501,$AB120),10000)/100),MOD(INDEX(기본자료!$G$2:$G$501,$AB120),100)),INDEX(기본자료!$G$2:$G$501,$AB120)&amp;"")))))</f>
        <v/>
      </c>
      <c r="J120" s="10">
        <f>IF($AB120="","",IF(INDEX(기본자료!$H$2:$H$501,$AB120)="","",INDEX(기본자료!$H$2:$H$501,$AB120)))</f>
        <v/>
      </c>
      <c r="K120" s="10">
        <f>IF($AB120="","",IF(INDEX(기본자료!$I$2:$I$501,$AB120)="","",INDEX(기본자료!$I$2:$I$501,$AB120)))</f>
        <v/>
      </c>
      <c r="L120" s="10">
        <f>IF($AB120="","",IF(INDEX(기본자료!$A$2:$A$501,$AB120)="","",INDEX(기본자료!$A$2:$A$501,$AB120)))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파견수련계획!$AB$4:$AB$203,$AK120),OR(NOT(ISNUMBER(INDEX(파견수련계획!$AC$4:$AC$203,$AK120))),TODAY()&lt;=INDEX(파견수련계획!$AC$4:$AC$203,$AK120))),"다기관",IF($AF120="","",INDEX(파견수련계획!$T$4:$T$203,$AF120))),IF($AF120="","",INDEX(파견수련계획!$T$4:$T$203,$AF120))))</f>
        <v/>
      </c>
      <c r="Q120" s="10">
        <f>IF($AF120="","",INDEX(파견수련계획!$S$4:$S$203,$AF120))</f>
        <v/>
      </c>
      <c r="R120" s="10">
        <f>IF($AF120="","",INDEX(파견수련계획!$U$4:$U$203,$AF120))</f>
        <v/>
      </c>
      <c r="S120" s="11">
        <f>IF($AF120="","",IF(INDEX(파견수련계획!$H$4:$H$203,$AF120)="","",INDEX(파견수련계획!$H$4:$H$203,$AF120)))</f>
        <v/>
      </c>
      <c r="T120" s="11">
        <f>IF($AF120="","",IF(INDEX(파견수련계획!$I$4:$I$203,$AF120)="","",INDEX(파견수련계획!$I$4:$I$203,$AF120)))</f>
        <v/>
      </c>
      <c r="U120" s="10">
        <f>IF($AF120="","",INDEX(파견수련계획!$X$4:$X$203,$AF120))</f>
        <v/>
      </c>
      <c r="V120" s="17">
        <f>IF($AF120="","",INDEX(파견수련계획!$V$4:$V$203,$AF120))</f>
        <v/>
      </c>
      <c r="W120" s="17">
        <f>IF(AND($U120="파견중",$T120&lt;&gt;""),$T120-TODAY(),"")</f>
        <v/>
      </c>
      <c r="X120" s="17">
        <f>IF(OR($B120="",TRIM($J120&amp;"")=""),"",SUMPRODUCT((파견수련계획!$Q$4:$Q$203=TRIM($J120&amp;""))*파견수련계획!$W$4:$W$203))</f>
        <v/>
      </c>
      <c r="Y120" s="10">
        <f>IF($B120="","",IF($AG120="","",IF(IF(TRIM($J120&amp;"")="",0,SUMPRODUCT((파견수련계획!$Q$4:$Q$203=TRIM($J120&amp;""))*파견수련계획!$AD$4:$AD$203))&gt;0,$AE120,IF(N($X120)&lt;=0,$AG120,IF($AH120+$AI120=DAY(EOMONTH(요약!$B$3,0)),IF(AND($AH120&gt;=요약!$E$3,$AI120&lt;요약!$E$3),"서울병원",IF(AND($AI120&gt;=요약!$E$3,$AH120&lt;요약!$E$3),"구리병원","⚠15일 판정불가(서울 "&amp;$AH120&amp;"일/구리 "&amp;$AI120&amp;"일)")),IF($AJ120="",$AE120,IF(INDEX(파견수련계획!$T$4:$T$203,$AJ120)="통합수련",INDEX(파견수련계획!$S$4:$S$203,$AJ120),$AE120)))))))</f>
        <v/>
      </c>
      <c r="Z120" s="19">
        <f>IF($B120="","",IF($AB120="","기본자료에 없는 사번",IF(COUNTIF($B$2:$B$201,$B120)&gt;1,"중복 사번",IF($AE120="","소속(입사장소) 입력",IF(IF(TRIM($J120&amp;"")="",0,SUMPRODUCT((파견수련계획!$Q$4:$Q$203=TRIM($J120&amp;""))*(파견수련계획!$AA$4:$AA$203&lt;&gt;"")))&gt;0,"파견수련계획 입력오류 확인",IF(LEFT($Y120,1)="⚠","서울·구리 15일 판정 불가(양쪽 모두 이상/미만)",IF(IF($AC120="",0,N(INDEX(인턴근무계획!$T$3:$T$202,$AC120)))&gt;0,"인턴계획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IF($B120="","",IFERROR(MATCH($B120,기본자료!$B$2:$B$501,0),IFERROR(MATCH($B120&amp;"",기본자료!$B$2:$B$501,0),IFERROR(MATCH(VALUE($B120),기본자료!$B$2:$B$501,0),""))))</f>
        <v/>
      </c>
      <c r="AC120" s="10">
        <f>IF($B120="","",IFERROR(MATCH($B120,인턴근무계획!$D$3:$D$202,0),IFERROR(MATCH($B120&amp;"",인턴근무계획!$D$3:$D$202,0),IFERROR(MATCH(VALUE($B120),인턴근무계획!$D$3:$D$202,0),""))))</f>
        <v/>
      </c>
      <c r="AD120" s="10">
        <f>IF(OR($AC120="",인턴현황!$G$3=""),"",INDEX(인턴근무계획!$M$3:$R$202,$AC120,인턴현황!$G$3)&amp;"")</f>
        <v/>
      </c>
      <c r="AE120" s="10">
        <f>IF($B120="","",IF($M120&lt;&gt;"",$M120,IF($AF120&lt;&gt;"",IF(LEFT(INDEX(파견수련계획!$R$4:$R$203,$AF120),1)&lt;&gt;"⚠",INDEX(파견수련계획!$R$4:$R$203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파견수련계획!$Y$4:$Y$203,0),IFERROR(MATCH(TRIM($J120&amp;"")&amp;"|파견예정",파견수련계획!$Y$4:$Y$203,0),IFERROR(MATCH(TRIM($J120&amp;"")&amp;"|파견종료",파견수련계획!$Y$4:$Y$203,0),""))))</f>
        <v/>
      </c>
      <c r="AG120" s="10">
        <f>IF($B120="","",IF(AND(IF(OR($AC120="",인턴현황!$K$2=""),"",INDEX(인턴근무계획!$M$3:$R$202,$AC120,인턴현황!$K$2)&amp;"")&lt;&gt;"",LEFT(IF(OR($AC120="",인턴현황!$K$2=""),"",INDEX(인턴근무계획!$M$3:$R$202,$AC120,인턴현황!$K$2)&amp;""),1)&lt;&gt;"⚠"),LEFT(IF(OR($AC120="",인턴현황!$K$2=""),"",INDEX(인턴근무계획!$M$3:$R$202,$AC120,인턴현황!$K$2)&amp;""),FIND(" ",IF(OR($AC120="",인턴현황!$K$2=""),"",INDEX(인턴근무계획!$M$3:$R$202,$AC120,인턴현황!$K$2)&amp;""))-1),$AE120))</f>
        <v/>
      </c>
      <c r="AH120" s="17">
        <f>IF($B120="","",IF(TRIM($J120&amp;"")="",0,SUMPRODUCT((파견수련계획!$Q$4:$Q$203=TRIM($J120&amp;""))*(파견수련계획!$S$4:$S$203="서울병원")*파견수련계획!$W$4:$W$203))+IF($AG120="서울병원",MAX(0,DAY(EOMONTH(요약!$B$3,0))-N($X120)),0))</f>
        <v/>
      </c>
      <c r="AI120" s="17">
        <f>IF($B120="","",IF(TRIM($J120&amp;"")="",0,SUMPRODUCT((파견수련계획!$Q$4:$Q$203=TRIM($J120&amp;""))*(파견수련계획!$S$4:$S$203="구리병원")*파견수련계획!$W$4:$W$203))+IF($AG120="구리병원",MAX(0,DAY(EOMONTH(요약!$B$3,0))-N($X120)),0))</f>
        <v/>
      </c>
      <c r="AJ120" s="10">
        <f>IF(OR($B120="",TRIM($J120&amp;"")=""),"",IFERROR(MATCH(TRIM($J120&amp;"")&amp;"|월",파견수련계획!$Z$4:$Z$203,0),""))</f>
        <v/>
      </c>
      <c r="AK120" s="10">
        <f>IF(OR($B120="",TRIM($J120&amp;"")=""),"",IFERROR(MATCH(TRIM($J120&amp;"")&amp;"|다기관",파견수련계획!$AE$4:$AE$203,0),""))</f>
        <v/>
      </c>
      <c r="AL120" s="10">
        <f>IF($AK120="","","다기관 "&amp;TEXT(INDEX(파견수련계획!$AB$4:$AB$203,$AK120),"yyyy-mm-dd")&amp;"~"&amp;IF(ISNUMBER(INDEX(파견수련계획!$AC$4:$AC$203,$AK120)),TEXT(INDEX(파견수련계획!$AC$4:$AC$203,$AK120),"yyyy-mm-dd"),""))</f>
        <v/>
      </c>
    </row>
    <row r="121">
      <c r="A121" s="10">
        <f>IF(B121="","",ROW()-1)</f>
        <v/>
      </c>
      <c r="B121" s="18" t="n"/>
      <c r="C121" s="10">
        <f>IF($AB121="","",IF(INDEX(기본자료!$C$2:$C$501,$AB121)="","",INDEX(기본자료!$C$2:$C$501,$AB121)))</f>
        <v/>
      </c>
      <c r="D121" s="10">
        <f>IF($AB121="","",IF(INDEX(기본자료!$J$2:$J$501,$AB121)="","",INDEX(기본자료!$J$2:$J$501,$AB121)))</f>
        <v/>
      </c>
      <c r="E121" s="11">
        <f>IF($AB121="","",IF(INDEX(기본자료!$K$2:$K$501,$AB121)="","",IF(NOT(ISNUMBER(INDEX(기본자료!$K$2:$K$501,$AB121))),INDEX(기본자료!$K$2:$K$501,$AB121),IF(INDEX(기본자료!$K$2:$K$501,$AB121)&lt;1000000,INDEX(기본자료!$K$2:$K$501,$AB121),IF(AND(INDEX(기본자료!$K$2:$K$501,$AB121)&gt;=10000101,INT(MOD(INDEX(기본자료!$K$2:$K$501,$AB121),10000)/100)&gt;=1,INT(MOD(INDEX(기본자료!$K$2:$K$501,$AB121),10000)/100)&lt;=12,MOD(INDEX(기본자료!$K$2:$K$501,$AB121),100)&gt;=1,MOD(INDEX(기본자료!$K$2:$K$501,$AB121),100)&lt;=31),DATE(INT(INDEX(기본자료!$K$2:$K$501,$AB121)/10000),INT(MOD(INDEX(기본자료!$K$2:$K$501,$AB121),10000)/100),MOD(INDEX(기본자료!$K$2:$K$501,$AB121),100)),INDEX(기본자료!$K$2:$K$501,$AB121)&amp;"")))))</f>
        <v/>
      </c>
      <c r="F121" s="10">
        <f>IF($AB121="","",IF(INDEX(기본자료!$D$2:$D$501,$AB121)="","",INDEX(기본자료!$D$2:$D$501,$AB121)))</f>
        <v/>
      </c>
      <c r="G121" s="10">
        <f>IF($AB121="","",IF(INDEX(기본자료!$E$2:$E$501,$AB121)="","",INDEX(기본자료!$E$2:$E$501,$AB121)))</f>
        <v/>
      </c>
      <c r="H121" s="10">
        <f>IF($AB121="","",IF(INDEX(기본자료!$F$2:$F$501,$AB121)="","",INDEX(기본자료!$F$2:$F$501,$AB121)))</f>
        <v/>
      </c>
      <c r="I121" s="11">
        <f>IF($AB121="","",IF(INDEX(기본자료!$G$2:$G$501,$AB121)="","",IF(NOT(ISNUMBER(INDEX(기본자료!$G$2:$G$501,$AB121))),INDEX(기본자료!$G$2:$G$501,$AB121),IF(INDEX(기본자료!$G$2:$G$501,$AB121)&lt;1000000,INDEX(기본자료!$G$2:$G$501,$AB121),IF(AND(INDEX(기본자료!$G$2:$G$501,$AB121)&gt;=10000101,INT(MOD(INDEX(기본자료!$G$2:$G$501,$AB121),10000)/100)&gt;=1,INT(MOD(INDEX(기본자료!$G$2:$G$501,$AB121),10000)/100)&lt;=12,MOD(INDEX(기본자료!$G$2:$G$501,$AB121),100)&gt;=1,MOD(INDEX(기본자료!$G$2:$G$501,$AB121),100)&lt;=31),DATE(INT(INDEX(기본자료!$G$2:$G$501,$AB121)/10000),INT(MOD(INDEX(기본자료!$G$2:$G$501,$AB121),10000)/100),MOD(INDEX(기본자료!$G$2:$G$501,$AB121),100)),INDEX(기본자료!$G$2:$G$501,$AB121)&amp;"")))))</f>
        <v/>
      </c>
      <c r="J121" s="10">
        <f>IF($AB121="","",IF(INDEX(기본자료!$H$2:$H$501,$AB121)="","",INDEX(기본자료!$H$2:$H$501,$AB121)))</f>
        <v/>
      </c>
      <c r="K121" s="10">
        <f>IF($AB121="","",IF(INDEX(기본자료!$I$2:$I$501,$AB121)="","",INDEX(기본자료!$I$2:$I$501,$AB121)))</f>
        <v/>
      </c>
      <c r="L121" s="10">
        <f>IF($AB121="","",IF(INDEX(기본자료!$A$2:$A$501,$AB121)="","",INDEX(기본자료!$A$2:$A$501,$AB121)))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파견수련계획!$AB$4:$AB$203,$AK121),OR(NOT(ISNUMBER(INDEX(파견수련계획!$AC$4:$AC$203,$AK121))),TODAY()&lt;=INDEX(파견수련계획!$AC$4:$AC$203,$AK121))),"다기관",IF($AF121="","",INDEX(파견수련계획!$T$4:$T$203,$AF121))),IF($AF121="","",INDEX(파견수련계획!$T$4:$T$203,$AF121))))</f>
        <v/>
      </c>
      <c r="Q121" s="10">
        <f>IF($AF121="","",INDEX(파견수련계획!$S$4:$S$203,$AF121))</f>
        <v/>
      </c>
      <c r="R121" s="10">
        <f>IF($AF121="","",INDEX(파견수련계획!$U$4:$U$203,$AF121))</f>
        <v/>
      </c>
      <c r="S121" s="11">
        <f>IF($AF121="","",IF(INDEX(파견수련계획!$H$4:$H$203,$AF121)="","",INDEX(파견수련계획!$H$4:$H$203,$AF121)))</f>
        <v/>
      </c>
      <c r="T121" s="11">
        <f>IF($AF121="","",IF(INDEX(파견수련계획!$I$4:$I$203,$AF121)="","",INDEX(파견수련계획!$I$4:$I$203,$AF121)))</f>
        <v/>
      </c>
      <c r="U121" s="10">
        <f>IF($AF121="","",INDEX(파견수련계획!$X$4:$X$203,$AF121))</f>
        <v/>
      </c>
      <c r="V121" s="17">
        <f>IF($AF121="","",INDEX(파견수련계획!$V$4:$V$203,$AF121))</f>
        <v/>
      </c>
      <c r="W121" s="17">
        <f>IF(AND($U121="파견중",$T121&lt;&gt;""),$T121-TODAY(),"")</f>
        <v/>
      </c>
      <c r="X121" s="17">
        <f>IF(OR($B121="",TRIM($J121&amp;"")=""),"",SUMPRODUCT((파견수련계획!$Q$4:$Q$203=TRIM($J121&amp;""))*파견수련계획!$W$4:$W$203))</f>
        <v/>
      </c>
      <c r="Y121" s="10">
        <f>IF($B121="","",IF($AG121="","",IF(IF(TRIM($J121&amp;"")="",0,SUMPRODUCT((파견수련계획!$Q$4:$Q$203=TRIM($J121&amp;""))*파견수련계획!$AD$4:$AD$203))&gt;0,$AE121,IF(N($X121)&lt;=0,$AG121,IF($AH121+$AI121=DAY(EOMONTH(요약!$B$3,0)),IF(AND($AH121&gt;=요약!$E$3,$AI121&lt;요약!$E$3),"서울병원",IF(AND($AI121&gt;=요약!$E$3,$AH121&lt;요약!$E$3),"구리병원","⚠15일 판정불가(서울 "&amp;$AH121&amp;"일/구리 "&amp;$AI121&amp;"일)")),IF($AJ121="",$AE121,IF(INDEX(파견수련계획!$T$4:$T$203,$AJ121)="통합수련",INDEX(파견수련계획!$S$4:$S$203,$AJ121),$AE121)))))))</f>
        <v/>
      </c>
      <c r="Z121" s="19">
        <f>IF($B121="","",IF($AB121="","기본자료에 없는 사번",IF(COUNTIF($B$2:$B$201,$B121)&gt;1,"중복 사번",IF($AE121="","소속(입사장소) 입력",IF(IF(TRIM($J121&amp;"")="",0,SUMPRODUCT((파견수련계획!$Q$4:$Q$203=TRIM($J121&amp;""))*(파견수련계획!$AA$4:$AA$203&lt;&gt;"")))&gt;0,"파견수련계획 입력오류 확인",IF(LEFT($Y121,1)="⚠","서울·구리 15일 판정 불가(양쪽 모두 이상/미만)",IF(IF($AC121="",0,N(INDEX(인턴근무계획!$T$3:$T$202,$AC121)))&gt;0,"인턴계획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IF($B121="","",IFERROR(MATCH($B121,기본자료!$B$2:$B$501,0),IFERROR(MATCH($B121&amp;"",기본자료!$B$2:$B$501,0),IFERROR(MATCH(VALUE($B121),기본자료!$B$2:$B$501,0),""))))</f>
        <v/>
      </c>
      <c r="AC121" s="10">
        <f>IF($B121="","",IFERROR(MATCH($B121,인턴근무계획!$D$3:$D$202,0),IFERROR(MATCH($B121&amp;"",인턴근무계획!$D$3:$D$202,0),IFERROR(MATCH(VALUE($B121),인턴근무계획!$D$3:$D$202,0),""))))</f>
        <v/>
      </c>
      <c r="AD121" s="10">
        <f>IF(OR($AC121="",인턴현황!$G$3=""),"",INDEX(인턴근무계획!$M$3:$R$202,$AC121,인턴현황!$G$3)&amp;"")</f>
        <v/>
      </c>
      <c r="AE121" s="10">
        <f>IF($B121="","",IF($M121&lt;&gt;"",$M121,IF($AF121&lt;&gt;"",IF(LEFT(INDEX(파견수련계획!$R$4:$R$203,$AF121),1)&lt;&gt;"⚠",INDEX(파견수련계획!$R$4:$R$203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파견수련계획!$Y$4:$Y$203,0),IFERROR(MATCH(TRIM($J121&amp;"")&amp;"|파견예정",파견수련계획!$Y$4:$Y$203,0),IFERROR(MATCH(TRIM($J121&amp;"")&amp;"|파견종료",파견수련계획!$Y$4:$Y$203,0),""))))</f>
        <v/>
      </c>
      <c r="AG121" s="10">
        <f>IF($B121="","",IF(AND(IF(OR($AC121="",인턴현황!$K$2=""),"",INDEX(인턴근무계획!$M$3:$R$202,$AC121,인턴현황!$K$2)&amp;"")&lt;&gt;"",LEFT(IF(OR($AC121="",인턴현황!$K$2=""),"",INDEX(인턴근무계획!$M$3:$R$202,$AC121,인턴현황!$K$2)&amp;""),1)&lt;&gt;"⚠"),LEFT(IF(OR($AC121="",인턴현황!$K$2=""),"",INDEX(인턴근무계획!$M$3:$R$202,$AC121,인턴현황!$K$2)&amp;""),FIND(" ",IF(OR($AC121="",인턴현황!$K$2=""),"",INDEX(인턴근무계획!$M$3:$R$202,$AC121,인턴현황!$K$2)&amp;""))-1),$AE121))</f>
        <v/>
      </c>
      <c r="AH121" s="17">
        <f>IF($B121="","",IF(TRIM($J121&amp;"")="",0,SUMPRODUCT((파견수련계획!$Q$4:$Q$203=TRIM($J121&amp;""))*(파견수련계획!$S$4:$S$203="서울병원")*파견수련계획!$W$4:$W$203))+IF($AG121="서울병원",MAX(0,DAY(EOMONTH(요약!$B$3,0))-N($X121)),0))</f>
        <v/>
      </c>
      <c r="AI121" s="17">
        <f>IF($B121="","",IF(TRIM($J121&amp;"")="",0,SUMPRODUCT((파견수련계획!$Q$4:$Q$203=TRIM($J121&amp;""))*(파견수련계획!$S$4:$S$203="구리병원")*파견수련계획!$W$4:$W$203))+IF($AG121="구리병원",MAX(0,DAY(EOMONTH(요약!$B$3,0))-N($X121)),0))</f>
        <v/>
      </c>
      <c r="AJ121" s="10">
        <f>IF(OR($B121="",TRIM($J121&amp;"")=""),"",IFERROR(MATCH(TRIM($J121&amp;"")&amp;"|월",파견수련계획!$Z$4:$Z$203,0),""))</f>
        <v/>
      </c>
      <c r="AK121" s="10">
        <f>IF(OR($B121="",TRIM($J121&amp;"")=""),"",IFERROR(MATCH(TRIM($J121&amp;"")&amp;"|다기관",파견수련계획!$AE$4:$AE$203,0),""))</f>
        <v/>
      </c>
      <c r="AL121" s="10">
        <f>IF($AK121="","","다기관 "&amp;TEXT(INDEX(파견수련계획!$AB$4:$AB$203,$AK121),"yyyy-mm-dd")&amp;"~"&amp;IF(ISNUMBER(INDEX(파견수련계획!$AC$4:$AC$203,$AK121)),TEXT(INDEX(파견수련계획!$AC$4:$AC$203,$AK121),"yyyy-mm-dd"),""))</f>
        <v/>
      </c>
    </row>
    <row r="122">
      <c r="A122" s="10">
        <f>IF(B122="","",ROW()-1)</f>
        <v/>
      </c>
      <c r="B122" s="18" t="n"/>
      <c r="C122" s="10">
        <f>IF($AB122="","",IF(INDEX(기본자료!$C$2:$C$501,$AB122)="","",INDEX(기본자료!$C$2:$C$501,$AB122)))</f>
        <v/>
      </c>
      <c r="D122" s="10">
        <f>IF($AB122="","",IF(INDEX(기본자료!$J$2:$J$501,$AB122)="","",INDEX(기본자료!$J$2:$J$501,$AB122)))</f>
        <v/>
      </c>
      <c r="E122" s="11">
        <f>IF($AB122="","",IF(INDEX(기본자료!$K$2:$K$501,$AB122)="","",IF(NOT(ISNUMBER(INDEX(기본자료!$K$2:$K$501,$AB122))),INDEX(기본자료!$K$2:$K$501,$AB122),IF(INDEX(기본자료!$K$2:$K$501,$AB122)&lt;1000000,INDEX(기본자료!$K$2:$K$501,$AB122),IF(AND(INDEX(기본자료!$K$2:$K$501,$AB122)&gt;=10000101,INT(MOD(INDEX(기본자료!$K$2:$K$501,$AB122),10000)/100)&gt;=1,INT(MOD(INDEX(기본자료!$K$2:$K$501,$AB122),10000)/100)&lt;=12,MOD(INDEX(기본자료!$K$2:$K$501,$AB122),100)&gt;=1,MOD(INDEX(기본자료!$K$2:$K$501,$AB122),100)&lt;=31),DATE(INT(INDEX(기본자료!$K$2:$K$501,$AB122)/10000),INT(MOD(INDEX(기본자료!$K$2:$K$501,$AB122),10000)/100),MOD(INDEX(기본자료!$K$2:$K$501,$AB122),100)),INDEX(기본자료!$K$2:$K$501,$AB122)&amp;"")))))</f>
        <v/>
      </c>
      <c r="F122" s="10">
        <f>IF($AB122="","",IF(INDEX(기본자료!$D$2:$D$501,$AB122)="","",INDEX(기본자료!$D$2:$D$501,$AB122)))</f>
        <v/>
      </c>
      <c r="G122" s="10">
        <f>IF($AB122="","",IF(INDEX(기본자료!$E$2:$E$501,$AB122)="","",INDEX(기본자료!$E$2:$E$501,$AB122)))</f>
        <v/>
      </c>
      <c r="H122" s="10">
        <f>IF($AB122="","",IF(INDEX(기본자료!$F$2:$F$501,$AB122)="","",INDEX(기본자료!$F$2:$F$501,$AB122)))</f>
        <v/>
      </c>
      <c r="I122" s="11">
        <f>IF($AB122="","",IF(INDEX(기본자료!$G$2:$G$501,$AB122)="","",IF(NOT(ISNUMBER(INDEX(기본자료!$G$2:$G$501,$AB122))),INDEX(기본자료!$G$2:$G$501,$AB122),IF(INDEX(기본자료!$G$2:$G$501,$AB122)&lt;1000000,INDEX(기본자료!$G$2:$G$501,$AB122),IF(AND(INDEX(기본자료!$G$2:$G$501,$AB122)&gt;=10000101,INT(MOD(INDEX(기본자료!$G$2:$G$501,$AB122),10000)/100)&gt;=1,INT(MOD(INDEX(기본자료!$G$2:$G$501,$AB122),10000)/100)&lt;=12,MOD(INDEX(기본자료!$G$2:$G$501,$AB122),100)&gt;=1,MOD(INDEX(기본자료!$G$2:$G$501,$AB122),100)&lt;=31),DATE(INT(INDEX(기본자료!$G$2:$G$501,$AB122)/10000),INT(MOD(INDEX(기본자료!$G$2:$G$501,$AB122),10000)/100),MOD(INDEX(기본자료!$G$2:$G$501,$AB122),100)),INDEX(기본자료!$G$2:$G$501,$AB122)&amp;"")))))</f>
        <v/>
      </c>
      <c r="J122" s="10">
        <f>IF($AB122="","",IF(INDEX(기본자료!$H$2:$H$501,$AB122)="","",INDEX(기본자료!$H$2:$H$501,$AB122)))</f>
        <v/>
      </c>
      <c r="K122" s="10">
        <f>IF($AB122="","",IF(INDEX(기본자료!$I$2:$I$501,$AB122)="","",INDEX(기본자료!$I$2:$I$501,$AB122)))</f>
        <v/>
      </c>
      <c r="L122" s="10">
        <f>IF($AB122="","",IF(INDEX(기본자료!$A$2:$A$501,$AB122)="","",INDEX(기본자료!$A$2:$A$501,$AB122)))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파견수련계획!$AB$4:$AB$203,$AK122),OR(NOT(ISNUMBER(INDEX(파견수련계획!$AC$4:$AC$203,$AK122))),TODAY()&lt;=INDEX(파견수련계획!$AC$4:$AC$203,$AK122))),"다기관",IF($AF122="","",INDEX(파견수련계획!$T$4:$T$203,$AF122))),IF($AF122="","",INDEX(파견수련계획!$T$4:$T$203,$AF122))))</f>
        <v/>
      </c>
      <c r="Q122" s="10">
        <f>IF($AF122="","",INDEX(파견수련계획!$S$4:$S$203,$AF122))</f>
        <v/>
      </c>
      <c r="R122" s="10">
        <f>IF($AF122="","",INDEX(파견수련계획!$U$4:$U$203,$AF122))</f>
        <v/>
      </c>
      <c r="S122" s="11">
        <f>IF($AF122="","",IF(INDEX(파견수련계획!$H$4:$H$203,$AF122)="","",INDEX(파견수련계획!$H$4:$H$203,$AF122)))</f>
        <v/>
      </c>
      <c r="T122" s="11">
        <f>IF($AF122="","",IF(INDEX(파견수련계획!$I$4:$I$203,$AF122)="","",INDEX(파견수련계획!$I$4:$I$203,$AF122)))</f>
        <v/>
      </c>
      <c r="U122" s="10">
        <f>IF($AF122="","",INDEX(파견수련계획!$X$4:$X$203,$AF122))</f>
        <v/>
      </c>
      <c r="V122" s="17">
        <f>IF($AF122="","",INDEX(파견수련계획!$V$4:$V$203,$AF122))</f>
        <v/>
      </c>
      <c r="W122" s="17">
        <f>IF(AND($U122="파견중",$T122&lt;&gt;""),$T122-TODAY(),"")</f>
        <v/>
      </c>
      <c r="X122" s="17">
        <f>IF(OR($B122="",TRIM($J122&amp;"")=""),"",SUMPRODUCT((파견수련계획!$Q$4:$Q$203=TRIM($J122&amp;""))*파견수련계획!$W$4:$W$203))</f>
        <v/>
      </c>
      <c r="Y122" s="10">
        <f>IF($B122="","",IF($AG122="","",IF(IF(TRIM($J122&amp;"")="",0,SUMPRODUCT((파견수련계획!$Q$4:$Q$203=TRIM($J122&amp;""))*파견수련계획!$AD$4:$AD$203))&gt;0,$AE122,IF(N($X122)&lt;=0,$AG122,IF($AH122+$AI122=DAY(EOMONTH(요약!$B$3,0)),IF(AND($AH122&gt;=요약!$E$3,$AI122&lt;요약!$E$3),"서울병원",IF(AND($AI122&gt;=요약!$E$3,$AH122&lt;요약!$E$3),"구리병원","⚠15일 판정불가(서울 "&amp;$AH122&amp;"일/구리 "&amp;$AI122&amp;"일)")),IF($AJ122="",$AE122,IF(INDEX(파견수련계획!$T$4:$T$203,$AJ122)="통합수련",INDEX(파견수련계획!$S$4:$S$203,$AJ122),$AE122)))))))</f>
        <v/>
      </c>
      <c r="Z122" s="19">
        <f>IF($B122="","",IF($AB122="","기본자료에 없는 사번",IF(COUNTIF($B$2:$B$201,$B122)&gt;1,"중복 사번",IF($AE122="","소속(입사장소) 입력",IF(IF(TRIM($J122&amp;"")="",0,SUMPRODUCT((파견수련계획!$Q$4:$Q$203=TRIM($J122&amp;""))*(파견수련계획!$AA$4:$AA$203&lt;&gt;"")))&gt;0,"파견수련계획 입력오류 확인",IF(LEFT($Y122,1)="⚠","서울·구리 15일 판정 불가(양쪽 모두 이상/미만)",IF(IF($AC122="",0,N(INDEX(인턴근무계획!$T$3:$T$202,$AC122)))&gt;0,"인턴계획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IF($B122="","",IFERROR(MATCH($B122,기본자료!$B$2:$B$501,0),IFERROR(MATCH($B122&amp;"",기본자료!$B$2:$B$501,0),IFERROR(MATCH(VALUE($B122),기본자료!$B$2:$B$501,0),""))))</f>
        <v/>
      </c>
      <c r="AC122" s="10">
        <f>IF($B122="","",IFERROR(MATCH($B122,인턴근무계획!$D$3:$D$202,0),IFERROR(MATCH($B122&amp;"",인턴근무계획!$D$3:$D$202,0),IFERROR(MATCH(VALUE($B122),인턴근무계획!$D$3:$D$202,0),""))))</f>
        <v/>
      </c>
      <c r="AD122" s="10">
        <f>IF(OR($AC122="",인턴현황!$G$3=""),"",INDEX(인턴근무계획!$M$3:$R$202,$AC122,인턴현황!$G$3)&amp;"")</f>
        <v/>
      </c>
      <c r="AE122" s="10">
        <f>IF($B122="","",IF($M122&lt;&gt;"",$M122,IF($AF122&lt;&gt;"",IF(LEFT(INDEX(파견수련계획!$R$4:$R$203,$AF122),1)&lt;&gt;"⚠",INDEX(파견수련계획!$R$4:$R$203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파견수련계획!$Y$4:$Y$203,0),IFERROR(MATCH(TRIM($J122&amp;"")&amp;"|파견예정",파견수련계획!$Y$4:$Y$203,0),IFERROR(MATCH(TRIM($J122&amp;"")&amp;"|파견종료",파견수련계획!$Y$4:$Y$203,0),""))))</f>
        <v/>
      </c>
      <c r="AG122" s="10">
        <f>IF($B122="","",IF(AND(IF(OR($AC122="",인턴현황!$K$2=""),"",INDEX(인턴근무계획!$M$3:$R$202,$AC122,인턴현황!$K$2)&amp;"")&lt;&gt;"",LEFT(IF(OR($AC122="",인턴현황!$K$2=""),"",INDEX(인턴근무계획!$M$3:$R$202,$AC122,인턴현황!$K$2)&amp;""),1)&lt;&gt;"⚠"),LEFT(IF(OR($AC122="",인턴현황!$K$2=""),"",INDEX(인턴근무계획!$M$3:$R$202,$AC122,인턴현황!$K$2)&amp;""),FIND(" ",IF(OR($AC122="",인턴현황!$K$2=""),"",INDEX(인턴근무계획!$M$3:$R$202,$AC122,인턴현황!$K$2)&amp;""))-1),$AE122))</f>
        <v/>
      </c>
      <c r="AH122" s="17">
        <f>IF($B122="","",IF(TRIM($J122&amp;"")="",0,SUMPRODUCT((파견수련계획!$Q$4:$Q$203=TRIM($J122&amp;""))*(파견수련계획!$S$4:$S$203="서울병원")*파견수련계획!$W$4:$W$203))+IF($AG122="서울병원",MAX(0,DAY(EOMONTH(요약!$B$3,0))-N($X122)),0))</f>
        <v/>
      </c>
      <c r="AI122" s="17">
        <f>IF($B122="","",IF(TRIM($J122&amp;"")="",0,SUMPRODUCT((파견수련계획!$Q$4:$Q$203=TRIM($J122&amp;""))*(파견수련계획!$S$4:$S$203="구리병원")*파견수련계획!$W$4:$W$203))+IF($AG122="구리병원",MAX(0,DAY(EOMONTH(요약!$B$3,0))-N($X122)),0))</f>
        <v/>
      </c>
      <c r="AJ122" s="10">
        <f>IF(OR($B122="",TRIM($J122&amp;"")=""),"",IFERROR(MATCH(TRIM($J122&amp;"")&amp;"|월",파견수련계획!$Z$4:$Z$203,0),""))</f>
        <v/>
      </c>
      <c r="AK122" s="10">
        <f>IF(OR($B122="",TRIM($J122&amp;"")=""),"",IFERROR(MATCH(TRIM($J122&amp;"")&amp;"|다기관",파견수련계획!$AE$4:$AE$203,0),""))</f>
        <v/>
      </c>
      <c r="AL122" s="10">
        <f>IF($AK122="","","다기관 "&amp;TEXT(INDEX(파견수련계획!$AB$4:$AB$203,$AK122),"yyyy-mm-dd")&amp;"~"&amp;IF(ISNUMBER(INDEX(파견수련계획!$AC$4:$AC$203,$AK122)),TEXT(INDEX(파견수련계획!$AC$4:$AC$203,$AK122),"yyyy-mm-dd"),""))</f>
        <v/>
      </c>
    </row>
    <row r="123">
      <c r="A123" s="10">
        <f>IF(B123="","",ROW()-1)</f>
        <v/>
      </c>
      <c r="B123" s="18" t="n"/>
      <c r="C123" s="10">
        <f>IF($AB123="","",IF(INDEX(기본자료!$C$2:$C$501,$AB123)="","",INDEX(기본자료!$C$2:$C$501,$AB123)))</f>
        <v/>
      </c>
      <c r="D123" s="10">
        <f>IF($AB123="","",IF(INDEX(기본자료!$J$2:$J$501,$AB123)="","",INDEX(기본자료!$J$2:$J$501,$AB123)))</f>
        <v/>
      </c>
      <c r="E123" s="11">
        <f>IF($AB123="","",IF(INDEX(기본자료!$K$2:$K$501,$AB123)="","",IF(NOT(ISNUMBER(INDEX(기본자료!$K$2:$K$501,$AB123))),INDEX(기본자료!$K$2:$K$501,$AB123),IF(INDEX(기본자료!$K$2:$K$501,$AB123)&lt;1000000,INDEX(기본자료!$K$2:$K$501,$AB123),IF(AND(INDEX(기본자료!$K$2:$K$501,$AB123)&gt;=10000101,INT(MOD(INDEX(기본자료!$K$2:$K$501,$AB123),10000)/100)&gt;=1,INT(MOD(INDEX(기본자료!$K$2:$K$501,$AB123),10000)/100)&lt;=12,MOD(INDEX(기본자료!$K$2:$K$501,$AB123),100)&gt;=1,MOD(INDEX(기본자료!$K$2:$K$501,$AB123),100)&lt;=31),DATE(INT(INDEX(기본자료!$K$2:$K$501,$AB123)/10000),INT(MOD(INDEX(기본자료!$K$2:$K$501,$AB123),10000)/100),MOD(INDEX(기본자료!$K$2:$K$501,$AB123),100)),INDEX(기본자료!$K$2:$K$501,$AB123)&amp;"")))))</f>
        <v/>
      </c>
      <c r="F123" s="10">
        <f>IF($AB123="","",IF(INDEX(기본자료!$D$2:$D$501,$AB123)="","",INDEX(기본자료!$D$2:$D$501,$AB123)))</f>
        <v/>
      </c>
      <c r="G123" s="10">
        <f>IF($AB123="","",IF(INDEX(기본자료!$E$2:$E$501,$AB123)="","",INDEX(기본자료!$E$2:$E$501,$AB123)))</f>
        <v/>
      </c>
      <c r="H123" s="10">
        <f>IF($AB123="","",IF(INDEX(기본자료!$F$2:$F$501,$AB123)="","",INDEX(기본자료!$F$2:$F$501,$AB123)))</f>
        <v/>
      </c>
      <c r="I123" s="11">
        <f>IF($AB123="","",IF(INDEX(기본자료!$G$2:$G$501,$AB123)="","",IF(NOT(ISNUMBER(INDEX(기본자료!$G$2:$G$501,$AB123))),INDEX(기본자료!$G$2:$G$501,$AB123),IF(INDEX(기본자료!$G$2:$G$501,$AB123)&lt;1000000,INDEX(기본자료!$G$2:$G$501,$AB123),IF(AND(INDEX(기본자료!$G$2:$G$501,$AB123)&gt;=10000101,INT(MOD(INDEX(기본자료!$G$2:$G$501,$AB123),10000)/100)&gt;=1,INT(MOD(INDEX(기본자료!$G$2:$G$501,$AB123),10000)/100)&lt;=12,MOD(INDEX(기본자료!$G$2:$G$501,$AB123),100)&gt;=1,MOD(INDEX(기본자료!$G$2:$G$501,$AB123),100)&lt;=31),DATE(INT(INDEX(기본자료!$G$2:$G$501,$AB123)/10000),INT(MOD(INDEX(기본자료!$G$2:$G$501,$AB123),10000)/100),MOD(INDEX(기본자료!$G$2:$G$501,$AB123),100)),INDEX(기본자료!$G$2:$G$501,$AB123)&amp;"")))))</f>
        <v/>
      </c>
      <c r="J123" s="10">
        <f>IF($AB123="","",IF(INDEX(기본자료!$H$2:$H$501,$AB123)="","",INDEX(기본자료!$H$2:$H$501,$AB123)))</f>
        <v/>
      </c>
      <c r="K123" s="10">
        <f>IF($AB123="","",IF(INDEX(기본자료!$I$2:$I$501,$AB123)="","",INDEX(기본자료!$I$2:$I$501,$AB123)))</f>
        <v/>
      </c>
      <c r="L123" s="10">
        <f>IF($AB123="","",IF(INDEX(기본자료!$A$2:$A$501,$AB123)="","",INDEX(기본자료!$A$2:$A$501,$AB123)))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파견수련계획!$AB$4:$AB$203,$AK123),OR(NOT(ISNUMBER(INDEX(파견수련계획!$AC$4:$AC$203,$AK123))),TODAY()&lt;=INDEX(파견수련계획!$AC$4:$AC$203,$AK123))),"다기관",IF($AF123="","",INDEX(파견수련계획!$T$4:$T$203,$AF123))),IF($AF123="","",INDEX(파견수련계획!$T$4:$T$203,$AF123))))</f>
        <v/>
      </c>
      <c r="Q123" s="10">
        <f>IF($AF123="","",INDEX(파견수련계획!$S$4:$S$203,$AF123))</f>
        <v/>
      </c>
      <c r="R123" s="10">
        <f>IF($AF123="","",INDEX(파견수련계획!$U$4:$U$203,$AF123))</f>
        <v/>
      </c>
      <c r="S123" s="11">
        <f>IF($AF123="","",IF(INDEX(파견수련계획!$H$4:$H$203,$AF123)="","",INDEX(파견수련계획!$H$4:$H$203,$AF123)))</f>
        <v/>
      </c>
      <c r="T123" s="11">
        <f>IF($AF123="","",IF(INDEX(파견수련계획!$I$4:$I$203,$AF123)="","",INDEX(파견수련계획!$I$4:$I$203,$AF123)))</f>
        <v/>
      </c>
      <c r="U123" s="10">
        <f>IF($AF123="","",INDEX(파견수련계획!$X$4:$X$203,$AF123))</f>
        <v/>
      </c>
      <c r="V123" s="17">
        <f>IF($AF123="","",INDEX(파견수련계획!$V$4:$V$203,$AF123))</f>
        <v/>
      </c>
      <c r="W123" s="17">
        <f>IF(AND($U123="파견중",$T123&lt;&gt;""),$T123-TODAY(),"")</f>
        <v/>
      </c>
      <c r="X123" s="17">
        <f>IF(OR($B123="",TRIM($J123&amp;"")=""),"",SUMPRODUCT((파견수련계획!$Q$4:$Q$203=TRIM($J123&amp;""))*파견수련계획!$W$4:$W$203))</f>
        <v/>
      </c>
      <c r="Y123" s="10">
        <f>IF($B123="","",IF($AG123="","",IF(IF(TRIM($J123&amp;"")="",0,SUMPRODUCT((파견수련계획!$Q$4:$Q$203=TRIM($J123&amp;""))*파견수련계획!$AD$4:$AD$203))&gt;0,$AE123,IF(N($X123)&lt;=0,$AG123,IF($AH123+$AI123=DAY(EOMONTH(요약!$B$3,0)),IF(AND($AH123&gt;=요약!$E$3,$AI123&lt;요약!$E$3),"서울병원",IF(AND($AI123&gt;=요약!$E$3,$AH123&lt;요약!$E$3),"구리병원","⚠15일 판정불가(서울 "&amp;$AH123&amp;"일/구리 "&amp;$AI123&amp;"일)")),IF($AJ123="",$AE123,IF(INDEX(파견수련계획!$T$4:$T$203,$AJ123)="통합수련",INDEX(파견수련계획!$S$4:$S$203,$AJ123),$AE123)))))))</f>
        <v/>
      </c>
      <c r="Z123" s="19">
        <f>IF($B123="","",IF($AB123="","기본자료에 없는 사번",IF(COUNTIF($B$2:$B$201,$B123)&gt;1,"중복 사번",IF($AE123="","소속(입사장소) 입력",IF(IF(TRIM($J123&amp;"")="",0,SUMPRODUCT((파견수련계획!$Q$4:$Q$203=TRIM($J123&amp;""))*(파견수련계획!$AA$4:$AA$203&lt;&gt;"")))&gt;0,"파견수련계획 입력오류 확인",IF(LEFT($Y123,1)="⚠","서울·구리 15일 판정 불가(양쪽 모두 이상/미만)",IF(IF($AC123="",0,N(INDEX(인턴근무계획!$T$3:$T$202,$AC123)))&gt;0,"인턴계획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IF($B123="","",IFERROR(MATCH($B123,기본자료!$B$2:$B$501,0),IFERROR(MATCH($B123&amp;"",기본자료!$B$2:$B$501,0),IFERROR(MATCH(VALUE($B123),기본자료!$B$2:$B$501,0),""))))</f>
        <v/>
      </c>
      <c r="AC123" s="10">
        <f>IF($B123="","",IFERROR(MATCH($B123,인턴근무계획!$D$3:$D$202,0),IFERROR(MATCH($B123&amp;"",인턴근무계획!$D$3:$D$202,0),IFERROR(MATCH(VALUE($B123),인턴근무계획!$D$3:$D$202,0),""))))</f>
        <v/>
      </c>
      <c r="AD123" s="10">
        <f>IF(OR($AC123="",인턴현황!$G$3=""),"",INDEX(인턴근무계획!$M$3:$R$202,$AC123,인턴현황!$G$3)&amp;"")</f>
        <v/>
      </c>
      <c r="AE123" s="10">
        <f>IF($B123="","",IF($M123&lt;&gt;"",$M123,IF($AF123&lt;&gt;"",IF(LEFT(INDEX(파견수련계획!$R$4:$R$203,$AF123),1)&lt;&gt;"⚠",INDEX(파견수련계획!$R$4:$R$203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파견수련계획!$Y$4:$Y$203,0),IFERROR(MATCH(TRIM($J123&amp;"")&amp;"|파견예정",파견수련계획!$Y$4:$Y$203,0),IFERROR(MATCH(TRIM($J123&amp;"")&amp;"|파견종료",파견수련계획!$Y$4:$Y$203,0),""))))</f>
        <v/>
      </c>
      <c r="AG123" s="10">
        <f>IF($B123="","",IF(AND(IF(OR($AC123="",인턴현황!$K$2=""),"",INDEX(인턴근무계획!$M$3:$R$202,$AC123,인턴현황!$K$2)&amp;"")&lt;&gt;"",LEFT(IF(OR($AC123="",인턴현황!$K$2=""),"",INDEX(인턴근무계획!$M$3:$R$202,$AC123,인턴현황!$K$2)&amp;""),1)&lt;&gt;"⚠"),LEFT(IF(OR($AC123="",인턴현황!$K$2=""),"",INDEX(인턴근무계획!$M$3:$R$202,$AC123,인턴현황!$K$2)&amp;""),FIND(" ",IF(OR($AC123="",인턴현황!$K$2=""),"",INDEX(인턴근무계획!$M$3:$R$202,$AC123,인턴현황!$K$2)&amp;""))-1),$AE123))</f>
        <v/>
      </c>
      <c r="AH123" s="17">
        <f>IF($B123="","",IF(TRIM($J123&amp;"")="",0,SUMPRODUCT((파견수련계획!$Q$4:$Q$203=TRIM($J123&amp;""))*(파견수련계획!$S$4:$S$203="서울병원")*파견수련계획!$W$4:$W$203))+IF($AG123="서울병원",MAX(0,DAY(EOMONTH(요약!$B$3,0))-N($X123)),0))</f>
        <v/>
      </c>
      <c r="AI123" s="17">
        <f>IF($B123="","",IF(TRIM($J123&amp;"")="",0,SUMPRODUCT((파견수련계획!$Q$4:$Q$203=TRIM($J123&amp;""))*(파견수련계획!$S$4:$S$203="구리병원")*파견수련계획!$W$4:$W$203))+IF($AG123="구리병원",MAX(0,DAY(EOMONTH(요약!$B$3,0))-N($X123)),0))</f>
        <v/>
      </c>
      <c r="AJ123" s="10">
        <f>IF(OR($B123="",TRIM($J123&amp;"")=""),"",IFERROR(MATCH(TRIM($J123&amp;"")&amp;"|월",파견수련계획!$Z$4:$Z$203,0),""))</f>
        <v/>
      </c>
      <c r="AK123" s="10">
        <f>IF(OR($B123="",TRIM($J123&amp;"")=""),"",IFERROR(MATCH(TRIM($J123&amp;"")&amp;"|다기관",파견수련계획!$AE$4:$AE$203,0),""))</f>
        <v/>
      </c>
      <c r="AL123" s="10">
        <f>IF($AK123="","","다기관 "&amp;TEXT(INDEX(파견수련계획!$AB$4:$AB$203,$AK123),"yyyy-mm-dd")&amp;"~"&amp;IF(ISNUMBER(INDEX(파견수련계획!$AC$4:$AC$203,$AK123)),TEXT(INDEX(파견수련계획!$AC$4:$AC$203,$AK123),"yyyy-mm-dd"),""))</f>
        <v/>
      </c>
    </row>
    <row r="124">
      <c r="A124" s="10">
        <f>IF(B124="","",ROW()-1)</f>
        <v/>
      </c>
      <c r="B124" s="18" t="n"/>
      <c r="C124" s="10">
        <f>IF($AB124="","",IF(INDEX(기본자료!$C$2:$C$501,$AB124)="","",INDEX(기본자료!$C$2:$C$501,$AB124)))</f>
        <v/>
      </c>
      <c r="D124" s="10">
        <f>IF($AB124="","",IF(INDEX(기본자료!$J$2:$J$501,$AB124)="","",INDEX(기본자료!$J$2:$J$501,$AB124)))</f>
        <v/>
      </c>
      <c r="E124" s="11">
        <f>IF($AB124="","",IF(INDEX(기본자료!$K$2:$K$501,$AB124)="","",IF(NOT(ISNUMBER(INDEX(기본자료!$K$2:$K$501,$AB124))),INDEX(기본자료!$K$2:$K$501,$AB124),IF(INDEX(기본자료!$K$2:$K$501,$AB124)&lt;1000000,INDEX(기본자료!$K$2:$K$501,$AB124),IF(AND(INDEX(기본자료!$K$2:$K$501,$AB124)&gt;=10000101,INT(MOD(INDEX(기본자료!$K$2:$K$501,$AB124),10000)/100)&gt;=1,INT(MOD(INDEX(기본자료!$K$2:$K$501,$AB124),10000)/100)&lt;=12,MOD(INDEX(기본자료!$K$2:$K$501,$AB124),100)&gt;=1,MOD(INDEX(기본자료!$K$2:$K$501,$AB124),100)&lt;=31),DATE(INT(INDEX(기본자료!$K$2:$K$501,$AB124)/10000),INT(MOD(INDEX(기본자료!$K$2:$K$501,$AB124),10000)/100),MOD(INDEX(기본자료!$K$2:$K$501,$AB124),100)),INDEX(기본자료!$K$2:$K$501,$AB124)&amp;"")))))</f>
        <v/>
      </c>
      <c r="F124" s="10">
        <f>IF($AB124="","",IF(INDEX(기본자료!$D$2:$D$501,$AB124)="","",INDEX(기본자료!$D$2:$D$501,$AB124)))</f>
        <v/>
      </c>
      <c r="G124" s="10">
        <f>IF($AB124="","",IF(INDEX(기본자료!$E$2:$E$501,$AB124)="","",INDEX(기본자료!$E$2:$E$501,$AB124)))</f>
        <v/>
      </c>
      <c r="H124" s="10">
        <f>IF($AB124="","",IF(INDEX(기본자료!$F$2:$F$501,$AB124)="","",INDEX(기본자료!$F$2:$F$501,$AB124)))</f>
        <v/>
      </c>
      <c r="I124" s="11">
        <f>IF($AB124="","",IF(INDEX(기본자료!$G$2:$G$501,$AB124)="","",IF(NOT(ISNUMBER(INDEX(기본자료!$G$2:$G$501,$AB124))),INDEX(기본자료!$G$2:$G$501,$AB124),IF(INDEX(기본자료!$G$2:$G$501,$AB124)&lt;1000000,INDEX(기본자료!$G$2:$G$501,$AB124),IF(AND(INDEX(기본자료!$G$2:$G$501,$AB124)&gt;=10000101,INT(MOD(INDEX(기본자료!$G$2:$G$501,$AB124),10000)/100)&gt;=1,INT(MOD(INDEX(기본자료!$G$2:$G$501,$AB124),10000)/100)&lt;=12,MOD(INDEX(기본자료!$G$2:$G$501,$AB124),100)&gt;=1,MOD(INDEX(기본자료!$G$2:$G$501,$AB124),100)&lt;=31),DATE(INT(INDEX(기본자료!$G$2:$G$501,$AB124)/10000),INT(MOD(INDEX(기본자료!$G$2:$G$501,$AB124),10000)/100),MOD(INDEX(기본자료!$G$2:$G$501,$AB124),100)),INDEX(기본자료!$G$2:$G$501,$AB124)&amp;"")))))</f>
        <v/>
      </c>
      <c r="J124" s="10">
        <f>IF($AB124="","",IF(INDEX(기본자료!$H$2:$H$501,$AB124)="","",INDEX(기본자료!$H$2:$H$501,$AB124)))</f>
        <v/>
      </c>
      <c r="K124" s="10">
        <f>IF($AB124="","",IF(INDEX(기본자료!$I$2:$I$501,$AB124)="","",INDEX(기본자료!$I$2:$I$501,$AB124)))</f>
        <v/>
      </c>
      <c r="L124" s="10">
        <f>IF($AB124="","",IF(INDEX(기본자료!$A$2:$A$501,$AB124)="","",INDEX(기본자료!$A$2:$A$501,$AB124)))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파견수련계획!$AB$4:$AB$203,$AK124),OR(NOT(ISNUMBER(INDEX(파견수련계획!$AC$4:$AC$203,$AK124))),TODAY()&lt;=INDEX(파견수련계획!$AC$4:$AC$203,$AK124))),"다기관",IF($AF124="","",INDEX(파견수련계획!$T$4:$T$203,$AF124))),IF($AF124="","",INDEX(파견수련계획!$T$4:$T$203,$AF124))))</f>
        <v/>
      </c>
      <c r="Q124" s="10">
        <f>IF($AF124="","",INDEX(파견수련계획!$S$4:$S$203,$AF124))</f>
        <v/>
      </c>
      <c r="R124" s="10">
        <f>IF($AF124="","",INDEX(파견수련계획!$U$4:$U$203,$AF124))</f>
        <v/>
      </c>
      <c r="S124" s="11">
        <f>IF($AF124="","",IF(INDEX(파견수련계획!$H$4:$H$203,$AF124)="","",INDEX(파견수련계획!$H$4:$H$203,$AF124)))</f>
        <v/>
      </c>
      <c r="T124" s="11">
        <f>IF($AF124="","",IF(INDEX(파견수련계획!$I$4:$I$203,$AF124)="","",INDEX(파견수련계획!$I$4:$I$203,$AF124)))</f>
        <v/>
      </c>
      <c r="U124" s="10">
        <f>IF($AF124="","",INDEX(파견수련계획!$X$4:$X$203,$AF124))</f>
        <v/>
      </c>
      <c r="V124" s="17">
        <f>IF($AF124="","",INDEX(파견수련계획!$V$4:$V$203,$AF124))</f>
        <v/>
      </c>
      <c r="W124" s="17">
        <f>IF(AND($U124="파견중",$T124&lt;&gt;""),$T124-TODAY(),"")</f>
        <v/>
      </c>
      <c r="X124" s="17">
        <f>IF(OR($B124="",TRIM($J124&amp;"")=""),"",SUMPRODUCT((파견수련계획!$Q$4:$Q$203=TRIM($J124&amp;""))*파견수련계획!$W$4:$W$203))</f>
        <v/>
      </c>
      <c r="Y124" s="10">
        <f>IF($B124="","",IF($AG124="","",IF(IF(TRIM($J124&amp;"")="",0,SUMPRODUCT((파견수련계획!$Q$4:$Q$203=TRIM($J124&amp;""))*파견수련계획!$AD$4:$AD$203))&gt;0,$AE124,IF(N($X124)&lt;=0,$AG124,IF($AH124+$AI124=DAY(EOMONTH(요약!$B$3,0)),IF(AND($AH124&gt;=요약!$E$3,$AI124&lt;요약!$E$3),"서울병원",IF(AND($AI124&gt;=요약!$E$3,$AH124&lt;요약!$E$3),"구리병원","⚠15일 판정불가(서울 "&amp;$AH124&amp;"일/구리 "&amp;$AI124&amp;"일)")),IF($AJ124="",$AE124,IF(INDEX(파견수련계획!$T$4:$T$203,$AJ124)="통합수련",INDEX(파견수련계획!$S$4:$S$203,$AJ124),$AE124)))))))</f>
        <v/>
      </c>
      <c r="Z124" s="19">
        <f>IF($B124="","",IF($AB124="","기본자료에 없는 사번",IF(COUNTIF($B$2:$B$201,$B124)&gt;1,"중복 사번",IF($AE124="","소속(입사장소) 입력",IF(IF(TRIM($J124&amp;"")="",0,SUMPRODUCT((파견수련계획!$Q$4:$Q$203=TRIM($J124&amp;""))*(파견수련계획!$AA$4:$AA$203&lt;&gt;"")))&gt;0,"파견수련계획 입력오류 확인",IF(LEFT($Y124,1)="⚠","서울·구리 15일 판정 불가(양쪽 모두 이상/미만)",IF(IF($AC124="",0,N(INDEX(인턴근무계획!$T$3:$T$202,$AC124)))&gt;0,"인턴계획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IF($B124="","",IFERROR(MATCH($B124,기본자료!$B$2:$B$501,0),IFERROR(MATCH($B124&amp;"",기본자료!$B$2:$B$501,0),IFERROR(MATCH(VALUE($B124),기본자료!$B$2:$B$501,0),""))))</f>
        <v/>
      </c>
      <c r="AC124" s="10">
        <f>IF($B124="","",IFERROR(MATCH($B124,인턴근무계획!$D$3:$D$202,0),IFERROR(MATCH($B124&amp;"",인턴근무계획!$D$3:$D$202,0),IFERROR(MATCH(VALUE($B124),인턴근무계획!$D$3:$D$202,0),""))))</f>
        <v/>
      </c>
      <c r="AD124" s="10">
        <f>IF(OR($AC124="",인턴현황!$G$3=""),"",INDEX(인턴근무계획!$M$3:$R$202,$AC124,인턴현황!$G$3)&amp;"")</f>
        <v/>
      </c>
      <c r="AE124" s="10">
        <f>IF($B124="","",IF($M124&lt;&gt;"",$M124,IF($AF124&lt;&gt;"",IF(LEFT(INDEX(파견수련계획!$R$4:$R$203,$AF124),1)&lt;&gt;"⚠",INDEX(파견수련계획!$R$4:$R$203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파견수련계획!$Y$4:$Y$203,0),IFERROR(MATCH(TRIM($J124&amp;"")&amp;"|파견예정",파견수련계획!$Y$4:$Y$203,0),IFERROR(MATCH(TRIM($J124&amp;"")&amp;"|파견종료",파견수련계획!$Y$4:$Y$203,0),""))))</f>
        <v/>
      </c>
      <c r="AG124" s="10">
        <f>IF($B124="","",IF(AND(IF(OR($AC124="",인턴현황!$K$2=""),"",INDEX(인턴근무계획!$M$3:$R$202,$AC124,인턴현황!$K$2)&amp;"")&lt;&gt;"",LEFT(IF(OR($AC124="",인턴현황!$K$2=""),"",INDEX(인턴근무계획!$M$3:$R$202,$AC124,인턴현황!$K$2)&amp;""),1)&lt;&gt;"⚠"),LEFT(IF(OR($AC124="",인턴현황!$K$2=""),"",INDEX(인턴근무계획!$M$3:$R$202,$AC124,인턴현황!$K$2)&amp;""),FIND(" ",IF(OR($AC124="",인턴현황!$K$2=""),"",INDEX(인턴근무계획!$M$3:$R$202,$AC124,인턴현황!$K$2)&amp;""))-1),$AE124))</f>
        <v/>
      </c>
      <c r="AH124" s="17">
        <f>IF($B124="","",IF(TRIM($J124&amp;"")="",0,SUMPRODUCT((파견수련계획!$Q$4:$Q$203=TRIM($J124&amp;""))*(파견수련계획!$S$4:$S$203="서울병원")*파견수련계획!$W$4:$W$203))+IF($AG124="서울병원",MAX(0,DAY(EOMONTH(요약!$B$3,0))-N($X124)),0))</f>
        <v/>
      </c>
      <c r="AI124" s="17">
        <f>IF($B124="","",IF(TRIM($J124&amp;"")="",0,SUMPRODUCT((파견수련계획!$Q$4:$Q$203=TRIM($J124&amp;""))*(파견수련계획!$S$4:$S$203="구리병원")*파견수련계획!$W$4:$W$203))+IF($AG124="구리병원",MAX(0,DAY(EOMONTH(요약!$B$3,0))-N($X124)),0))</f>
        <v/>
      </c>
      <c r="AJ124" s="10">
        <f>IF(OR($B124="",TRIM($J124&amp;"")=""),"",IFERROR(MATCH(TRIM($J124&amp;"")&amp;"|월",파견수련계획!$Z$4:$Z$203,0),""))</f>
        <v/>
      </c>
      <c r="AK124" s="10">
        <f>IF(OR($B124="",TRIM($J124&amp;"")=""),"",IFERROR(MATCH(TRIM($J124&amp;"")&amp;"|다기관",파견수련계획!$AE$4:$AE$203,0),""))</f>
        <v/>
      </c>
      <c r="AL124" s="10">
        <f>IF($AK124="","","다기관 "&amp;TEXT(INDEX(파견수련계획!$AB$4:$AB$203,$AK124),"yyyy-mm-dd")&amp;"~"&amp;IF(ISNUMBER(INDEX(파견수련계획!$AC$4:$AC$203,$AK124)),TEXT(INDEX(파견수련계획!$AC$4:$AC$203,$AK124),"yyyy-mm-dd"),""))</f>
        <v/>
      </c>
    </row>
    <row r="125">
      <c r="A125" s="10">
        <f>IF(B125="","",ROW()-1)</f>
        <v/>
      </c>
      <c r="B125" s="18" t="n"/>
      <c r="C125" s="10">
        <f>IF($AB125="","",IF(INDEX(기본자료!$C$2:$C$501,$AB125)="","",INDEX(기본자료!$C$2:$C$501,$AB125)))</f>
        <v/>
      </c>
      <c r="D125" s="10">
        <f>IF($AB125="","",IF(INDEX(기본자료!$J$2:$J$501,$AB125)="","",INDEX(기본자료!$J$2:$J$501,$AB125)))</f>
        <v/>
      </c>
      <c r="E125" s="11">
        <f>IF($AB125="","",IF(INDEX(기본자료!$K$2:$K$501,$AB125)="","",IF(NOT(ISNUMBER(INDEX(기본자료!$K$2:$K$501,$AB125))),INDEX(기본자료!$K$2:$K$501,$AB125),IF(INDEX(기본자료!$K$2:$K$501,$AB125)&lt;1000000,INDEX(기본자료!$K$2:$K$501,$AB125),IF(AND(INDEX(기본자료!$K$2:$K$501,$AB125)&gt;=10000101,INT(MOD(INDEX(기본자료!$K$2:$K$501,$AB125),10000)/100)&gt;=1,INT(MOD(INDEX(기본자료!$K$2:$K$501,$AB125),10000)/100)&lt;=12,MOD(INDEX(기본자료!$K$2:$K$501,$AB125),100)&gt;=1,MOD(INDEX(기본자료!$K$2:$K$501,$AB125),100)&lt;=31),DATE(INT(INDEX(기본자료!$K$2:$K$501,$AB125)/10000),INT(MOD(INDEX(기본자료!$K$2:$K$501,$AB125),10000)/100),MOD(INDEX(기본자료!$K$2:$K$501,$AB125),100)),INDEX(기본자료!$K$2:$K$501,$AB125)&amp;"")))))</f>
        <v/>
      </c>
      <c r="F125" s="10">
        <f>IF($AB125="","",IF(INDEX(기본자료!$D$2:$D$501,$AB125)="","",INDEX(기본자료!$D$2:$D$501,$AB125)))</f>
        <v/>
      </c>
      <c r="G125" s="10">
        <f>IF($AB125="","",IF(INDEX(기본자료!$E$2:$E$501,$AB125)="","",INDEX(기본자료!$E$2:$E$501,$AB125)))</f>
        <v/>
      </c>
      <c r="H125" s="10">
        <f>IF($AB125="","",IF(INDEX(기본자료!$F$2:$F$501,$AB125)="","",INDEX(기본자료!$F$2:$F$501,$AB125)))</f>
        <v/>
      </c>
      <c r="I125" s="11">
        <f>IF($AB125="","",IF(INDEX(기본자료!$G$2:$G$501,$AB125)="","",IF(NOT(ISNUMBER(INDEX(기본자료!$G$2:$G$501,$AB125))),INDEX(기본자료!$G$2:$G$501,$AB125),IF(INDEX(기본자료!$G$2:$G$501,$AB125)&lt;1000000,INDEX(기본자료!$G$2:$G$501,$AB125),IF(AND(INDEX(기본자료!$G$2:$G$501,$AB125)&gt;=10000101,INT(MOD(INDEX(기본자료!$G$2:$G$501,$AB125),10000)/100)&gt;=1,INT(MOD(INDEX(기본자료!$G$2:$G$501,$AB125),10000)/100)&lt;=12,MOD(INDEX(기본자료!$G$2:$G$501,$AB125),100)&gt;=1,MOD(INDEX(기본자료!$G$2:$G$501,$AB125),100)&lt;=31),DATE(INT(INDEX(기본자료!$G$2:$G$501,$AB125)/10000),INT(MOD(INDEX(기본자료!$G$2:$G$501,$AB125),10000)/100),MOD(INDEX(기본자료!$G$2:$G$501,$AB125),100)),INDEX(기본자료!$G$2:$G$501,$AB125)&amp;"")))))</f>
        <v/>
      </c>
      <c r="J125" s="10">
        <f>IF($AB125="","",IF(INDEX(기본자료!$H$2:$H$501,$AB125)="","",INDEX(기본자료!$H$2:$H$501,$AB125)))</f>
        <v/>
      </c>
      <c r="K125" s="10">
        <f>IF($AB125="","",IF(INDEX(기본자료!$I$2:$I$501,$AB125)="","",INDEX(기본자료!$I$2:$I$501,$AB125)))</f>
        <v/>
      </c>
      <c r="L125" s="10">
        <f>IF($AB125="","",IF(INDEX(기본자료!$A$2:$A$501,$AB125)="","",INDEX(기본자료!$A$2:$A$501,$AB125)))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파견수련계획!$AB$4:$AB$203,$AK125),OR(NOT(ISNUMBER(INDEX(파견수련계획!$AC$4:$AC$203,$AK125))),TODAY()&lt;=INDEX(파견수련계획!$AC$4:$AC$203,$AK125))),"다기관",IF($AF125="","",INDEX(파견수련계획!$T$4:$T$203,$AF125))),IF($AF125="","",INDEX(파견수련계획!$T$4:$T$203,$AF125))))</f>
        <v/>
      </c>
      <c r="Q125" s="10">
        <f>IF($AF125="","",INDEX(파견수련계획!$S$4:$S$203,$AF125))</f>
        <v/>
      </c>
      <c r="R125" s="10">
        <f>IF($AF125="","",INDEX(파견수련계획!$U$4:$U$203,$AF125))</f>
        <v/>
      </c>
      <c r="S125" s="11">
        <f>IF($AF125="","",IF(INDEX(파견수련계획!$H$4:$H$203,$AF125)="","",INDEX(파견수련계획!$H$4:$H$203,$AF125)))</f>
        <v/>
      </c>
      <c r="T125" s="11">
        <f>IF($AF125="","",IF(INDEX(파견수련계획!$I$4:$I$203,$AF125)="","",INDEX(파견수련계획!$I$4:$I$203,$AF125)))</f>
        <v/>
      </c>
      <c r="U125" s="10">
        <f>IF($AF125="","",INDEX(파견수련계획!$X$4:$X$203,$AF125))</f>
        <v/>
      </c>
      <c r="V125" s="17">
        <f>IF($AF125="","",INDEX(파견수련계획!$V$4:$V$203,$AF125))</f>
        <v/>
      </c>
      <c r="W125" s="17">
        <f>IF(AND($U125="파견중",$T125&lt;&gt;""),$T125-TODAY(),"")</f>
        <v/>
      </c>
      <c r="X125" s="17">
        <f>IF(OR($B125="",TRIM($J125&amp;"")=""),"",SUMPRODUCT((파견수련계획!$Q$4:$Q$203=TRIM($J125&amp;""))*파견수련계획!$W$4:$W$203))</f>
        <v/>
      </c>
      <c r="Y125" s="10">
        <f>IF($B125="","",IF($AG125="","",IF(IF(TRIM($J125&amp;"")="",0,SUMPRODUCT((파견수련계획!$Q$4:$Q$203=TRIM($J125&amp;""))*파견수련계획!$AD$4:$AD$203))&gt;0,$AE125,IF(N($X125)&lt;=0,$AG125,IF($AH125+$AI125=DAY(EOMONTH(요약!$B$3,0)),IF(AND($AH125&gt;=요약!$E$3,$AI125&lt;요약!$E$3),"서울병원",IF(AND($AI125&gt;=요약!$E$3,$AH125&lt;요약!$E$3),"구리병원","⚠15일 판정불가(서울 "&amp;$AH125&amp;"일/구리 "&amp;$AI125&amp;"일)")),IF($AJ125="",$AE125,IF(INDEX(파견수련계획!$T$4:$T$203,$AJ125)="통합수련",INDEX(파견수련계획!$S$4:$S$203,$AJ125),$AE125)))))))</f>
        <v/>
      </c>
      <c r="Z125" s="19">
        <f>IF($B125="","",IF($AB125="","기본자료에 없는 사번",IF(COUNTIF($B$2:$B$201,$B125)&gt;1,"중복 사번",IF($AE125="","소속(입사장소) 입력",IF(IF(TRIM($J125&amp;"")="",0,SUMPRODUCT((파견수련계획!$Q$4:$Q$203=TRIM($J125&amp;""))*(파견수련계획!$AA$4:$AA$203&lt;&gt;"")))&gt;0,"파견수련계획 입력오류 확인",IF(LEFT($Y125,1)="⚠","서울·구리 15일 판정 불가(양쪽 모두 이상/미만)",IF(IF($AC125="",0,N(INDEX(인턴근무계획!$T$3:$T$202,$AC125)))&gt;0,"인턴계획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IF($B125="","",IFERROR(MATCH($B125,기본자료!$B$2:$B$501,0),IFERROR(MATCH($B125&amp;"",기본자료!$B$2:$B$501,0),IFERROR(MATCH(VALUE($B125),기본자료!$B$2:$B$501,0),""))))</f>
        <v/>
      </c>
      <c r="AC125" s="10">
        <f>IF($B125="","",IFERROR(MATCH($B125,인턴근무계획!$D$3:$D$202,0),IFERROR(MATCH($B125&amp;"",인턴근무계획!$D$3:$D$202,0),IFERROR(MATCH(VALUE($B125),인턴근무계획!$D$3:$D$202,0),""))))</f>
        <v/>
      </c>
      <c r="AD125" s="10">
        <f>IF(OR($AC125="",인턴현황!$G$3=""),"",INDEX(인턴근무계획!$M$3:$R$202,$AC125,인턴현황!$G$3)&amp;"")</f>
        <v/>
      </c>
      <c r="AE125" s="10">
        <f>IF($B125="","",IF($M125&lt;&gt;"",$M125,IF($AF125&lt;&gt;"",IF(LEFT(INDEX(파견수련계획!$R$4:$R$203,$AF125),1)&lt;&gt;"⚠",INDEX(파견수련계획!$R$4:$R$203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파견수련계획!$Y$4:$Y$203,0),IFERROR(MATCH(TRIM($J125&amp;"")&amp;"|파견예정",파견수련계획!$Y$4:$Y$203,0),IFERROR(MATCH(TRIM($J125&amp;"")&amp;"|파견종료",파견수련계획!$Y$4:$Y$203,0),""))))</f>
        <v/>
      </c>
      <c r="AG125" s="10">
        <f>IF($B125="","",IF(AND(IF(OR($AC125="",인턴현황!$K$2=""),"",INDEX(인턴근무계획!$M$3:$R$202,$AC125,인턴현황!$K$2)&amp;"")&lt;&gt;"",LEFT(IF(OR($AC125="",인턴현황!$K$2=""),"",INDEX(인턴근무계획!$M$3:$R$202,$AC125,인턴현황!$K$2)&amp;""),1)&lt;&gt;"⚠"),LEFT(IF(OR($AC125="",인턴현황!$K$2=""),"",INDEX(인턴근무계획!$M$3:$R$202,$AC125,인턴현황!$K$2)&amp;""),FIND(" ",IF(OR($AC125="",인턴현황!$K$2=""),"",INDEX(인턴근무계획!$M$3:$R$202,$AC125,인턴현황!$K$2)&amp;""))-1),$AE125))</f>
        <v/>
      </c>
      <c r="AH125" s="17">
        <f>IF($B125="","",IF(TRIM($J125&amp;"")="",0,SUMPRODUCT((파견수련계획!$Q$4:$Q$203=TRIM($J125&amp;""))*(파견수련계획!$S$4:$S$203="서울병원")*파견수련계획!$W$4:$W$203))+IF($AG125="서울병원",MAX(0,DAY(EOMONTH(요약!$B$3,0))-N($X125)),0))</f>
        <v/>
      </c>
      <c r="AI125" s="17">
        <f>IF($B125="","",IF(TRIM($J125&amp;"")="",0,SUMPRODUCT((파견수련계획!$Q$4:$Q$203=TRIM($J125&amp;""))*(파견수련계획!$S$4:$S$203="구리병원")*파견수련계획!$W$4:$W$203))+IF($AG125="구리병원",MAX(0,DAY(EOMONTH(요약!$B$3,0))-N($X125)),0))</f>
        <v/>
      </c>
      <c r="AJ125" s="10">
        <f>IF(OR($B125="",TRIM($J125&amp;"")=""),"",IFERROR(MATCH(TRIM($J125&amp;"")&amp;"|월",파견수련계획!$Z$4:$Z$203,0),""))</f>
        <v/>
      </c>
      <c r="AK125" s="10">
        <f>IF(OR($B125="",TRIM($J125&amp;"")=""),"",IFERROR(MATCH(TRIM($J125&amp;"")&amp;"|다기관",파견수련계획!$AE$4:$AE$203,0),""))</f>
        <v/>
      </c>
      <c r="AL125" s="10">
        <f>IF($AK125="","","다기관 "&amp;TEXT(INDEX(파견수련계획!$AB$4:$AB$203,$AK125),"yyyy-mm-dd")&amp;"~"&amp;IF(ISNUMBER(INDEX(파견수련계획!$AC$4:$AC$203,$AK125)),TEXT(INDEX(파견수련계획!$AC$4:$AC$203,$AK125),"yyyy-mm-dd"),""))</f>
        <v/>
      </c>
    </row>
    <row r="126">
      <c r="A126" s="10">
        <f>IF(B126="","",ROW()-1)</f>
        <v/>
      </c>
      <c r="B126" s="18" t="n"/>
      <c r="C126" s="10">
        <f>IF($AB126="","",IF(INDEX(기본자료!$C$2:$C$501,$AB126)="","",INDEX(기본자료!$C$2:$C$501,$AB126)))</f>
        <v/>
      </c>
      <c r="D126" s="10">
        <f>IF($AB126="","",IF(INDEX(기본자료!$J$2:$J$501,$AB126)="","",INDEX(기본자료!$J$2:$J$501,$AB126)))</f>
        <v/>
      </c>
      <c r="E126" s="11">
        <f>IF($AB126="","",IF(INDEX(기본자료!$K$2:$K$501,$AB126)="","",IF(NOT(ISNUMBER(INDEX(기본자료!$K$2:$K$501,$AB126))),INDEX(기본자료!$K$2:$K$501,$AB126),IF(INDEX(기본자료!$K$2:$K$501,$AB126)&lt;1000000,INDEX(기본자료!$K$2:$K$501,$AB126),IF(AND(INDEX(기본자료!$K$2:$K$501,$AB126)&gt;=10000101,INT(MOD(INDEX(기본자료!$K$2:$K$501,$AB126),10000)/100)&gt;=1,INT(MOD(INDEX(기본자료!$K$2:$K$501,$AB126),10000)/100)&lt;=12,MOD(INDEX(기본자료!$K$2:$K$501,$AB126),100)&gt;=1,MOD(INDEX(기본자료!$K$2:$K$501,$AB126),100)&lt;=31),DATE(INT(INDEX(기본자료!$K$2:$K$501,$AB126)/10000),INT(MOD(INDEX(기본자료!$K$2:$K$501,$AB126),10000)/100),MOD(INDEX(기본자료!$K$2:$K$501,$AB126),100)),INDEX(기본자료!$K$2:$K$501,$AB126)&amp;"")))))</f>
        <v/>
      </c>
      <c r="F126" s="10">
        <f>IF($AB126="","",IF(INDEX(기본자료!$D$2:$D$501,$AB126)="","",INDEX(기본자료!$D$2:$D$501,$AB126)))</f>
        <v/>
      </c>
      <c r="G126" s="10">
        <f>IF($AB126="","",IF(INDEX(기본자료!$E$2:$E$501,$AB126)="","",INDEX(기본자료!$E$2:$E$501,$AB126)))</f>
        <v/>
      </c>
      <c r="H126" s="10">
        <f>IF($AB126="","",IF(INDEX(기본자료!$F$2:$F$501,$AB126)="","",INDEX(기본자료!$F$2:$F$501,$AB126)))</f>
        <v/>
      </c>
      <c r="I126" s="11">
        <f>IF($AB126="","",IF(INDEX(기본자료!$G$2:$G$501,$AB126)="","",IF(NOT(ISNUMBER(INDEX(기본자료!$G$2:$G$501,$AB126))),INDEX(기본자료!$G$2:$G$501,$AB126),IF(INDEX(기본자료!$G$2:$G$501,$AB126)&lt;1000000,INDEX(기본자료!$G$2:$G$501,$AB126),IF(AND(INDEX(기본자료!$G$2:$G$501,$AB126)&gt;=10000101,INT(MOD(INDEX(기본자료!$G$2:$G$501,$AB126),10000)/100)&gt;=1,INT(MOD(INDEX(기본자료!$G$2:$G$501,$AB126),10000)/100)&lt;=12,MOD(INDEX(기본자료!$G$2:$G$501,$AB126),100)&gt;=1,MOD(INDEX(기본자료!$G$2:$G$501,$AB126),100)&lt;=31),DATE(INT(INDEX(기본자료!$G$2:$G$501,$AB126)/10000),INT(MOD(INDEX(기본자료!$G$2:$G$501,$AB126),10000)/100),MOD(INDEX(기본자료!$G$2:$G$501,$AB126),100)),INDEX(기본자료!$G$2:$G$501,$AB126)&amp;"")))))</f>
        <v/>
      </c>
      <c r="J126" s="10">
        <f>IF($AB126="","",IF(INDEX(기본자료!$H$2:$H$501,$AB126)="","",INDEX(기본자료!$H$2:$H$501,$AB126)))</f>
        <v/>
      </c>
      <c r="K126" s="10">
        <f>IF($AB126="","",IF(INDEX(기본자료!$I$2:$I$501,$AB126)="","",INDEX(기본자료!$I$2:$I$501,$AB126)))</f>
        <v/>
      </c>
      <c r="L126" s="10">
        <f>IF($AB126="","",IF(INDEX(기본자료!$A$2:$A$501,$AB126)="","",INDEX(기본자료!$A$2:$A$501,$AB126)))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파견수련계획!$AB$4:$AB$203,$AK126),OR(NOT(ISNUMBER(INDEX(파견수련계획!$AC$4:$AC$203,$AK126))),TODAY()&lt;=INDEX(파견수련계획!$AC$4:$AC$203,$AK126))),"다기관",IF($AF126="","",INDEX(파견수련계획!$T$4:$T$203,$AF126))),IF($AF126="","",INDEX(파견수련계획!$T$4:$T$203,$AF126))))</f>
        <v/>
      </c>
      <c r="Q126" s="10">
        <f>IF($AF126="","",INDEX(파견수련계획!$S$4:$S$203,$AF126))</f>
        <v/>
      </c>
      <c r="R126" s="10">
        <f>IF($AF126="","",INDEX(파견수련계획!$U$4:$U$203,$AF126))</f>
        <v/>
      </c>
      <c r="S126" s="11">
        <f>IF($AF126="","",IF(INDEX(파견수련계획!$H$4:$H$203,$AF126)="","",INDEX(파견수련계획!$H$4:$H$203,$AF126)))</f>
        <v/>
      </c>
      <c r="T126" s="11">
        <f>IF($AF126="","",IF(INDEX(파견수련계획!$I$4:$I$203,$AF126)="","",INDEX(파견수련계획!$I$4:$I$203,$AF126)))</f>
        <v/>
      </c>
      <c r="U126" s="10">
        <f>IF($AF126="","",INDEX(파견수련계획!$X$4:$X$203,$AF126))</f>
        <v/>
      </c>
      <c r="V126" s="17">
        <f>IF($AF126="","",INDEX(파견수련계획!$V$4:$V$203,$AF126))</f>
        <v/>
      </c>
      <c r="W126" s="17">
        <f>IF(AND($U126="파견중",$T126&lt;&gt;""),$T126-TODAY(),"")</f>
        <v/>
      </c>
      <c r="X126" s="17">
        <f>IF(OR($B126="",TRIM($J126&amp;"")=""),"",SUMPRODUCT((파견수련계획!$Q$4:$Q$203=TRIM($J126&amp;""))*파견수련계획!$W$4:$W$203))</f>
        <v/>
      </c>
      <c r="Y126" s="10">
        <f>IF($B126="","",IF($AG126="","",IF(IF(TRIM($J126&amp;"")="",0,SUMPRODUCT((파견수련계획!$Q$4:$Q$203=TRIM($J126&amp;""))*파견수련계획!$AD$4:$AD$203))&gt;0,$AE126,IF(N($X126)&lt;=0,$AG126,IF($AH126+$AI126=DAY(EOMONTH(요약!$B$3,0)),IF(AND($AH126&gt;=요약!$E$3,$AI126&lt;요약!$E$3),"서울병원",IF(AND($AI126&gt;=요약!$E$3,$AH126&lt;요약!$E$3),"구리병원","⚠15일 판정불가(서울 "&amp;$AH126&amp;"일/구리 "&amp;$AI126&amp;"일)")),IF($AJ126="",$AE126,IF(INDEX(파견수련계획!$T$4:$T$203,$AJ126)="통합수련",INDEX(파견수련계획!$S$4:$S$203,$AJ126),$AE126)))))))</f>
        <v/>
      </c>
      <c r="Z126" s="19">
        <f>IF($B126="","",IF($AB126="","기본자료에 없는 사번",IF(COUNTIF($B$2:$B$201,$B126)&gt;1,"중복 사번",IF($AE126="","소속(입사장소) 입력",IF(IF(TRIM($J126&amp;"")="",0,SUMPRODUCT((파견수련계획!$Q$4:$Q$203=TRIM($J126&amp;""))*(파견수련계획!$AA$4:$AA$203&lt;&gt;"")))&gt;0,"파견수련계획 입력오류 확인",IF(LEFT($Y126,1)="⚠","서울·구리 15일 판정 불가(양쪽 모두 이상/미만)",IF(IF($AC126="",0,N(INDEX(인턴근무계획!$T$3:$T$202,$AC126)))&gt;0,"인턴계획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IF($B126="","",IFERROR(MATCH($B126,기본자료!$B$2:$B$501,0),IFERROR(MATCH($B126&amp;"",기본자료!$B$2:$B$501,0),IFERROR(MATCH(VALUE($B126),기본자료!$B$2:$B$501,0),""))))</f>
        <v/>
      </c>
      <c r="AC126" s="10">
        <f>IF($B126="","",IFERROR(MATCH($B126,인턴근무계획!$D$3:$D$202,0),IFERROR(MATCH($B126&amp;"",인턴근무계획!$D$3:$D$202,0),IFERROR(MATCH(VALUE($B126),인턴근무계획!$D$3:$D$202,0),""))))</f>
        <v/>
      </c>
      <c r="AD126" s="10">
        <f>IF(OR($AC126="",인턴현황!$G$3=""),"",INDEX(인턴근무계획!$M$3:$R$202,$AC126,인턴현황!$G$3)&amp;"")</f>
        <v/>
      </c>
      <c r="AE126" s="10">
        <f>IF($B126="","",IF($M126&lt;&gt;"",$M126,IF($AF126&lt;&gt;"",IF(LEFT(INDEX(파견수련계획!$R$4:$R$203,$AF126),1)&lt;&gt;"⚠",INDEX(파견수련계획!$R$4:$R$203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파견수련계획!$Y$4:$Y$203,0),IFERROR(MATCH(TRIM($J126&amp;"")&amp;"|파견예정",파견수련계획!$Y$4:$Y$203,0),IFERROR(MATCH(TRIM($J126&amp;"")&amp;"|파견종료",파견수련계획!$Y$4:$Y$203,0),""))))</f>
        <v/>
      </c>
      <c r="AG126" s="10">
        <f>IF($B126="","",IF(AND(IF(OR($AC126="",인턴현황!$K$2=""),"",INDEX(인턴근무계획!$M$3:$R$202,$AC126,인턴현황!$K$2)&amp;"")&lt;&gt;"",LEFT(IF(OR($AC126="",인턴현황!$K$2=""),"",INDEX(인턴근무계획!$M$3:$R$202,$AC126,인턴현황!$K$2)&amp;""),1)&lt;&gt;"⚠"),LEFT(IF(OR($AC126="",인턴현황!$K$2=""),"",INDEX(인턴근무계획!$M$3:$R$202,$AC126,인턴현황!$K$2)&amp;""),FIND(" ",IF(OR($AC126="",인턴현황!$K$2=""),"",INDEX(인턴근무계획!$M$3:$R$202,$AC126,인턴현황!$K$2)&amp;""))-1),$AE126))</f>
        <v/>
      </c>
      <c r="AH126" s="17">
        <f>IF($B126="","",IF(TRIM($J126&amp;"")="",0,SUMPRODUCT((파견수련계획!$Q$4:$Q$203=TRIM($J126&amp;""))*(파견수련계획!$S$4:$S$203="서울병원")*파견수련계획!$W$4:$W$203))+IF($AG126="서울병원",MAX(0,DAY(EOMONTH(요약!$B$3,0))-N($X126)),0))</f>
        <v/>
      </c>
      <c r="AI126" s="17">
        <f>IF($B126="","",IF(TRIM($J126&amp;"")="",0,SUMPRODUCT((파견수련계획!$Q$4:$Q$203=TRIM($J126&amp;""))*(파견수련계획!$S$4:$S$203="구리병원")*파견수련계획!$W$4:$W$203))+IF($AG126="구리병원",MAX(0,DAY(EOMONTH(요약!$B$3,0))-N($X126)),0))</f>
        <v/>
      </c>
      <c r="AJ126" s="10">
        <f>IF(OR($B126="",TRIM($J126&amp;"")=""),"",IFERROR(MATCH(TRIM($J126&amp;"")&amp;"|월",파견수련계획!$Z$4:$Z$203,0),""))</f>
        <v/>
      </c>
      <c r="AK126" s="10">
        <f>IF(OR($B126="",TRIM($J126&amp;"")=""),"",IFERROR(MATCH(TRIM($J126&amp;"")&amp;"|다기관",파견수련계획!$AE$4:$AE$203,0),""))</f>
        <v/>
      </c>
      <c r="AL126" s="10">
        <f>IF($AK126="","","다기관 "&amp;TEXT(INDEX(파견수련계획!$AB$4:$AB$203,$AK126),"yyyy-mm-dd")&amp;"~"&amp;IF(ISNUMBER(INDEX(파견수련계획!$AC$4:$AC$203,$AK126)),TEXT(INDEX(파견수련계획!$AC$4:$AC$203,$AK126),"yyyy-mm-dd"),""))</f>
        <v/>
      </c>
    </row>
    <row r="127">
      <c r="A127" s="10">
        <f>IF(B127="","",ROW()-1)</f>
        <v/>
      </c>
      <c r="B127" s="18" t="n"/>
      <c r="C127" s="10">
        <f>IF($AB127="","",IF(INDEX(기본자료!$C$2:$C$501,$AB127)="","",INDEX(기본자료!$C$2:$C$501,$AB127)))</f>
        <v/>
      </c>
      <c r="D127" s="10">
        <f>IF($AB127="","",IF(INDEX(기본자료!$J$2:$J$501,$AB127)="","",INDEX(기본자료!$J$2:$J$501,$AB127)))</f>
        <v/>
      </c>
      <c r="E127" s="11">
        <f>IF($AB127="","",IF(INDEX(기본자료!$K$2:$K$501,$AB127)="","",IF(NOT(ISNUMBER(INDEX(기본자료!$K$2:$K$501,$AB127))),INDEX(기본자료!$K$2:$K$501,$AB127),IF(INDEX(기본자료!$K$2:$K$501,$AB127)&lt;1000000,INDEX(기본자료!$K$2:$K$501,$AB127),IF(AND(INDEX(기본자료!$K$2:$K$501,$AB127)&gt;=10000101,INT(MOD(INDEX(기본자료!$K$2:$K$501,$AB127),10000)/100)&gt;=1,INT(MOD(INDEX(기본자료!$K$2:$K$501,$AB127),10000)/100)&lt;=12,MOD(INDEX(기본자료!$K$2:$K$501,$AB127),100)&gt;=1,MOD(INDEX(기본자료!$K$2:$K$501,$AB127),100)&lt;=31),DATE(INT(INDEX(기본자료!$K$2:$K$501,$AB127)/10000),INT(MOD(INDEX(기본자료!$K$2:$K$501,$AB127),10000)/100),MOD(INDEX(기본자료!$K$2:$K$501,$AB127),100)),INDEX(기본자료!$K$2:$K$501,$AB127)&amp;"")))))</f>
        <v/>
      </c>
      <c r="F127" s="10">
        <f>IF($AB127="","",IF(INDEX(기본자료!$D$2:$D$501,$AB127)="","",INDEX(기본자료!$D$2:$D$501,$AB127)))</f>
        <v/>
      </c>
      <c r="G127" s="10">
        <f>IF($AB127="","",IF(INDEX(기본자료!$E$2:$E$501,$AB127)="","",INDEX(기본자료!$E$2:$E$501,$AB127)))</f>
        <v/>
      </c>
      <c r="H127" s="10">
        <f>IF($AB127="","",IF(INDEX(기본자료!$F$2:$F$501,$AB127)="","",INDEX(기본자료!$F$2:$F$501,$AB127)))</f>
        <v/>
      </c>
      <c r="I127" s="11">
        <f>IF($AB127="","",IF(INDEX(기본자료!$G$2:$G$501,$AB127)="","",IF(NOT(ISNUMBER(INDEX(기본자료!$G$2:$G$501,$AB127))),INDEX(기본자료!$G$2:$G$501,$AB127),IF(INDEX(기본자료!$G$2:$G$501,$AB127)&lt;1000000,INDEX(기본자료!$G$2:$G$501,$AB127),IF(AND(INDEX(기본자료!$G$2:$G$501,$AB127)&gt;=10000101,INT(MOD(INDEX(기본자료!$G$2:$G$501,$AB127),10000)/100)&gt;=1,INT(MOD(INDEX(기본자료!$G$2:$G$501,$AB127),10000)/100)&lt;=12,MOD(INDEX(기본자료!$G$2:$G$501,$AB127),100)&gt;=1,MOD(INDEX(기본자료!$G$2:$G$501,$AB127),100)&lt;=31),DATE(INT(INDEX(기본자료!$G$2:$G$501,$AB127)/10000),INT(MOD(INDEX(기본자료!$G$2:$G$501,$AB127),10000)/100),MOD(INDEX(기본자료!$G$2:$G$501,$AB127),100)),INDEX(기본자료!$G$2:$G$501,$AB127)&amp;"")))))</f>
        <v/>
      </c>
      <c r="J127" s="10">
        <f>IF($AB127="","",IF(INDEX(기본자료!$H$2:$H$501,$AB127)="","",INDEX(기본자료!$H$2:$H$501,$AB127)))</f>
        <v/>
      </c>
      <c r="K127" s="10">
        <f>IF($AB127="","",IF(INDEX(기본자료!$I$2:$I$501,$AB127)="","",INDEX(기본자료!$I$2:$I$501,$AB127)))</f>
        <v/>
      </c>
      <c r="L127" s="10">
        <f>IF($AB127="","",IF(INDEX(기본자료!$A$2:$A$501,$AB127)="","",INDEX(기본자료!$A$2:$A$501,$AB127)))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파견수련계획!$AB$4:$AB$203,$AK127),OR(NOT(ISNUMBER(INDEX(파견수련계획!$AC$4:$AC$203,$AK127))),TODAY()&lt;=INDEX(파견수련계획!$AC$4:$AC$203,$AK127))),"다기관",IF($AF127="","",INDEX(파견수련계획!$T$4:$T$203,$AF127))),IF($AF127="","",INDEX(파견수련계획!$T$4:$T$203,$AF127))))</f>
        <v/>
      </c>
      <c r="Q127" s="10">
        <f>IF($AF127="","",INDEX(파견수련계획!$S$4:$S$203,$AF127))</f>
        <v/>
      </c>
      <c r="R127" s="10">
        <f>IF($AF127="","",INDEX(파견수련계획!$U$4:$U$203,$AF127))</f>
        <v/>
      </c>
      <c r="S127" s="11">
        <f>IF($AF127="","",IF(INDEX(파견수련계획!$H$4:$H$203,$AF127)="","",INDEX(파견수련계획!$H$4:$H$203,$AF127)))</f>
        <v/>
      </c>
      <c r="T127" s="11">
        <f>IF($AF127="","",IF(INDEX(파견수련계획!$I$4:$I$203,$AF127)="","",INDEX(파견수련계획!$I$4:$I$203,$AF127)))</f>
        <v/>
      </c>
      <c r="U127" s="10">
        <f>IF($AF127="","",INDEX(파견수련계획!$X$4:$X$203,$AF127))</f>
        <v/>
      </c>
      <c r="V127" s="17">
        <f>IF($AF127="","",INDEX(파견수련계획!$V$4:$V$203,$AF127))</f>
        <v/>
      </c>
      <c r="W127" s="17">
        <f>IF(AND($U127="파견중",$T127&lt;&gt;""),$T127-TODAY(),"")</f>
        <v/>
      </c>
      <c r="X127" s="17">
        <f>IF(OR($B127="",TRIM($J127&amp;"")=""),"",SUMPRODUCT((파견수련계획!$Q$4:$Q$203=TRIM($J127&amp;""))*파견수련계획!$W$4:$W$203))</f>
        <v/>
      </c>
      <c r="Y127" s="10">
        <f>IF($B127="","",IF($AG127="","",IF(IF(TRIM($J127&amp;"")="",0,SUMPRODUCT((파견수련계획!$Q$4:$Q$203=TRIM($J127&amp;""))*파견수련계획!$AD$4:$AD$203))&gt;0,$AE127,IF(N($X127)&lt;=0,$AG127,IF($AH127+$AI127=DAY(EOMONTH(요약!$B$3,0)),IF(AND($AH127&gt;=요약!$E$3,$AI127&lt;요약!$E$3),"서울병원",IF(AND($AI127&gt;=요약!$E$3,$AH127&lt;요약!$E$3),"구리병원","⚠15일 판정불가(서울 "&amp;$AH127&amp;"일/구리 "&amp;$AI127&amp;"일)")),IF($AJ127="",$AE127,IF(INDEX(파견수련계획!$T$4:$T$203,$AJ127)="통합수련",INDEX(파견수련계획!$S$4:$S$203,$AJ127),$AE127)))))))</f>
        <v/>
      </c>
      <c r="Z127" s="19">
        <f>IF($B127="","",IF($AB127="","기본자료에 없는 사번",IF(COUNTIF($B$2:$B$201,$B127)&gt;1,"중복 사번",IF($AE127="","소속(입사장소) 입력",IF(IF(TRIM($J127&amp;"")="",0,SUMPRODUCT((파견수련계획!$Q$4:$Q$203=TRIM($J127&amp;""))*(파견수련계획!$AA$4:$AA$203&lt;&gt;"")))&gt;0,"파견수련계획 입력오류 확인",IF(LEFT($Y127,1)="⚠","서울·구리 15일 판정 불가(양쪽 모두 이상/미만)",IF(IF($AC127="",0,N(INDEX(인턴근무계획!$T$3:$T$202,$AC127)))&gt;0,"인턴계획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IF($B127="","",IFERROR(MATCH($B127,기본자료!$B$2:$B$501,0),IFERROR(MATCH($B127&amp;"",기본자료!$B$2:$B$501,0),IFERROR(MATCH(VALUE($B127),기본자료!$B$2:$B$501,0),""))))</f>
        <v/>
      </c>
      <c r="AC127" s="10">
        <f>IF($B127="","",IFERROR(MATCH($B127,인턴근무계획!$D$3:$D$202,0),IFERROR(MATCH($B127&amp;"",인턴근무계획!$D$3:$D$202,0),IFERROR(MATCH(VALUE($B127),인턴근무계획!$D$3:$D$202,0),""))))</f>
        <v/>
      </c>
      <c r="AD127" s="10">
        <f>IF(OR($AC127="",인턴현황!$G$3=""),"",INDEX(인턴근무계획!$M$3:$R$202,$AC127,인턴현황!$G$3)&amp;"")</f>
        <v/>
      </c>
      <c r="AE127" s="10">
        <f>IF($B127="","",IF($M127&lt;&gt;"",$M127,IF($AF127&lt;&gt;"",IF(LEFT(INDEX(파견수련계획!$R$4:$R$203,$AF127),1)&lt;&gt;"⚠",INDEX(파견수련계획!$R$4:$R$203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파견수련계획!$Y$4:$Y$203,0),IFERROR(MATCH(TRIM($J127&amp;"")&amp;"|파견예정",파견수련계획!$Y$4:$Y$203,0),IFERROR(MATCH(TRIM($J127&amp;"")&amp;"|파견종료",파견수련계획!$Y$4:$Y$203,0),""))))</f>
        <v/>
      </c>
      <c r="AG127" s="10">
        <f>IF($B127="","",IF(AND(IF(OR($AC127="",인턴현황!$K$2=""),"",INDEX(인턴근무계획!$M$3:$R$202,$AC127,인턴현황!$K$2)&amp;"")&lt;&gt;"",LEFT(IF(OR($AC127="",인턴현황!$K$2=""),"",INDEX(인턴근무계획!$M$3:$R$202,$AC127,인턴현황!$K$2)&amp;""),1)&lt;&gt;"⚠"),LEFT(IF(OR($AC127="",인턴현황!$K$2=""),"",INDEX(인턴근무계획!$M$3:$R$202,$AC127,인턴현황!$K$2)&amp;""),FIND(" ",IF(OR($AC127="",인턴현황!$K$2=""),"",INDEX(인턴근무계획!$M$3:$R$202,$AC127,인턴현황!$K$2)&amp;""))-1),$AE127))</f>
        <v/>
      </c>
      <c r="AH127" s="17">
        <f>IF($B127="","",IF(TRIM($J127&amp;"")="",0,SUMPRODUCT((파견수련계획!$Q$4:$Q$203=TRIM($J127&amp;""))*(파견수련계획!$S$4:$S$203="서울병원")*파견수련계획!$W$4:$W$203))+IF($AG127="서울병원",MAX(0,DAY(EOMONTH(요약!$B$3,0))-N($X127)),0))</f>
        <v/>
      </c>
      <c r="AI127" s="17">
        <f>IF($B127="","",IF(TRIM($J127&amp;"")="",0,SUMPRODUCT((파견수련계획!$Q$4:$Q$203=TRIM($J127&amp;""))*(파견수련계획!$S$4:$S$203="구리병원")*파견수련계획!$W$4:$W$203))+IF($AG127="구리병원",MAX(0,DAY(EOMONTH(요약!$B$3,0))-N($X127)),0))</f>
        <v/>
      </c>
      <c r="AJ127" s="10">
        <f>IF(OR($B127="",TRIM($J127&amp;"")=""),"",IFERROR(MATCH(TRIM($J127&amp;"")&amp;"|월",파견수련계획!$Z$4:$Z$203,0),""))</f>
        <v/>
      </c>
      <c r="AK127" s="10">
        <f>IF(OR($B127="",TRIM($J127&amp;"")=""),"",IFERROR(MATCH(TRIM($J127&amp;"")&amp;"|다기관",파견수련계획!$AE$4:$AE$203,0),""))</f>
        <v/>
      </c>
      <c r="AL127" s="10">
        <f>IF($AK127="","","다기관 "&amp;TEXT(INDEX(파견수련계획!$AB$4:$AB$203,$AK127),"yyyy-mm-dd")&amp;"~"&amp;IF(ISNUMBER(INDEX(파견수련계획!$AC$4:$AC$203,$AK127)),TEXT(INDEX(파견수련계획!$AC$4:$AC$203,$AK127),"yyyy-mm-dd"),""))</f>
        <v/>
      </c>
    </row>
    <row r="128">
      <c r="A128" s="10">
        <f>IF(B128="","",ROW()-1)</f>
        <v/>
      </c>
      <c r="B128" s="18" t="n"/>
      <c r="C128" s="10">
        <f>IF($AB128="","",IF(INDEX(기본자료!$C$2:$C$501,$AB128)="","",INDEX(기본자료!$C$2:$C$501,$AB128)))</f>
        <v/>
      </c>
      <c r="D128" s="10">
        <f>IF($AB128="","",IF(INDEX(기본자료!$J$2:$J$501,$AB128)="","",INDEX(기본자료!$J$2:$J$501,$AB128)))</f>
        <v/>
      </c>
      <c r="E128" s="11">
        <f>IF($AB128="","",IF(INDEX(기본자료!$K$2:$K$501,$AB128)="","",IF(NOT(ISNUMBER(INDEX(기본자료!$K$2:$K$501,$AB128))),INDEX(기본자료!$K$2:$K$501,$AB128),IF(INDEX(기본자료!$K$2:$K$501,$AB128)&lt;1000000,INDEX(기본자료!$K$2:$K$501,$AB128),IF(AND(INDEX(기본자료!$K$2:$K$501,$AB128)&gt;=10000101,INT(MOD(INDEX(기본자료!$K$2:$K$501,$AB128),10000)/100)&gt;=1,INT(MOD(INDEX(기본자료!$K$2:$K$501,$AB128),10000)/100)&lt;=12,MOD(INDEX(기본자료!$K$2:$K$501,$AB128),100)&gt;=1,MOD(INDEX(기본자료!$K$2:$K$501,$AB128),100)&lt;=31),DATE(INT(INDEX(기본자료!$K$2:$K$501,$AB128)/10000),INT(MOD(INDEX(기본자료!$K$2:$K$501,$AB128),10000)/100),MOD(INDEX(기본자료!$K$2:$K$501,$AB128),100)),INDEX(기본자료!$K$2:$K$501,$AB128)&amp;"")))))</f>
        <v/>
      </c>
      <c r="F128" s="10">
        <f>IF($AB128="","",IF(INDEX(기본자료!$D$2:$D$501,$AB128)="","",INDEX(기본자료!$D$2:$D$501,$AB128)))</f>
        <v/>
      </c>
      <c r="G128" s="10">
        <f>IF($AB128="","",IF(INDEX(기본자료!$E$2:$E$501,$AB128)="","",INDEX(기본자료!$E$2:$E$501,$AB128)))</f>
        <v/>
      </c>
      <c r="H128" s="10">
        <f>IF($AB128="","",IF(INDEX(기본자료!$F$2:$F$501,$AB128)="","",INDEX(기본자료!$F$2:$F$501,$AB128)))</f>
        <v/>
      </c>
      <c r="I128" s="11">
        <f>IF($AB128="","",IF(INDEX(기본자료!$G$2:$G$501,$AB128)="","",IF(NOT(ISNUMBER(INDEX(기본자료!$G$2:$G$501,$AB128))),INDEX(기본자료!$G$2:$G$501,$AB128),IF(INDEX(기본자료!$G$2:$G$501,$AB128)&lt;1000000,INDEX(기본자료!$G$2:$G$501,$AB128),IF(AND(INDEX(기본자료!$G$2:$G$501,$AB128)&gt;=10000101,INT(MOD(INDEX(기본자료!$G$2:$G$501,$AB128),10000)/100)&gt;=1,INT(MOD(INDEX(기본자료!$G$2:$G$501,$AB128),10000)/100)&lt;=12,MOD(INDEX(기본자료!$G$2:$G$501,$AB128),100)&gt;=1,MOD(INDEX(기본자료!$G$2:$G$501,$AB128),100)&lt;=31),DATE(INT(INDEX(기본자료!$G$2:$G$501,$AB128)/10000),INT(MOD(INDEX(기본자료!$G$2:$G$501,$AB128),10000)/100),MOD(INDEX(기본자료!$G$2:$G$501,$AB128),100)),INDEX(기본자료!$G$2:$G$501,$AB128)&amp;"")))))</f>
        <v/>
      </c>
      <c r="J128" s="10">
        <f>IF($AB128="","",IF(INDEX(기본자료!$H$2:$H$501,$AB128)="","",INDEX(기본자료!$H$2:$H$501,$AB128)))</f>
        <v/>
      </c>
      <c r="K128" s="10">
        <f>IF($AB128="","",IF(INDEX(기본자료!$I$2:$I$501,$AB128)="","",INDEX(기본자료!$I$2:$I$501,$AB128)))</f>
        <v/>
      </c>
      <c r="L128" s="10">
        <f>IF($AB128="","",IF(INDEX(기본자료!$A$2:$A$501,$AB128)="","",INDEX(기본자료!$A$2:$A$501,$AB128)))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파견수련계획!$AB$4:$AB$203,$AK128),OR(NOT(ISNUMBER(INDEX(파견수련계획!$AC$4:$AC$203,$AK128))),TODAY()&lt;=INDEX(파견수련계획!$AC$4:$AC$203,$AK128))),"다기관",IF($AF128="","",INDEX(파견수련계획!$T$4:$T$203,$AF128))),IF($AF128="","",INDEX(파견수련계획!$T$4:$T$203,$AF128))))</f>
        <v/>
      </c>
      <c r="Q128" s="10">
        <f>IF($AF128="","",INDEX(파견수련계획!$S$4:$S$203,$AF128))</f>
        <v/>
      </c>
      <c r="R128" s="10">
        <f>IF($AF128="","",INDEX(파견수련계획!$U$4:$U$203,$AF128))</f>
        <v/>
      </c>
      <c r="S128" s="11">
        <f>IF($AF128="","",IF(INDEX(파견수련계획!$H$4:$H$203,$AF128)="","",INDEX(파견수련계획!$H$4:$H$203,$AF128)))</f>
        <v/>
      </c>
      <c r="T128" s="11">
        <f>IF($AF128="","",IF(INDEX(파견수련계획!$I$4:$I$203,$AF128)="","",INDEX(파견수련계획!$I$4:$I$203,$AF128)))</f>
        <v/>
      </c>
      <c r="U128" s="10">
        <f>IF($AF128="","",INDEX(파견수련계획!$X$4:$X$203,$AF128))</f>
        <v/>
      </c>
      <c r="V128" s="17">
        <f>IF($AF128="","",INDEX(파견수련계획!$V$4:$V$203,$AF128))</f>
        <v/>
      </c>
      <c r="W128" s="17">
        <f>IF(AND($U128="파견중",$T128&lt;&gt;""),$T128-TODAY(),"")</f>
        <v/>
      </c>
      <c r="X128" s="17">
        <f>IF(OR($B128="",TRIM($J128&amp;"")=""),"",SUMPRODUCT((파견수련계획!$Q$4:$Q$203=TRIM($J128&amp;""))*파견수련계획!$W$4:$W$203))</f>
        <v/>
      </c>
      <c r="Y128" s="10">
        <f>IF($B128="","",IF($AG128="","",IF(IF(TRIM($J128&amp;"")="",0,SUMPRODUCT((파견수련계획!$Q$4:$Q$203=TRIM($J128&amp;""))*파견수련계획!$AD$4:$AD$203))&gt;0,$AE128,IF(N($X128)&lt;=0,$AG128,IF($AH128+$AI128=DAY(EOMONTH(요약!$B$3,0)),IF(AND($AH128&gt;=요약!$E$3,$AI128&lt;요약!$E$3),"서울병원",IF(AND($AI128&gt;=요약!$E$3,$AH128&lt;요약!$E$3),"구리병원","⚠15일 판정불가(서울 "&amp;$AH128&amp;"일/구리 "&amp;$AI128&amp;"일)")),IF($AJ128="",$AE128,IF(INDEX(파견수련계획!$T$4:$T$203,$AJ128)="통합수련",INDEX(파견수련계획!$S$4:$S$203,$AJ128),$AE128)))))))</f>
        <v/>
      </c>
      <c r="Z128" s="19">
        <f>IF($B128="","",IF($AB128="","기본자료에 없는 사번",IF(COUNTIF($B$2:$B$201,$B128)&gt;1,"중복 사번",IF($AE128="","소속(입사장소) 입력",IF(IF(TRIM($J128&amp;"")="",0,SUMPRODUCT((파견수련계획!$Q$4:$Q$203=TRIM($J128&amp;""))*(파견수련계획!$AA$4:$AA$203&lt;&gt;"")))&gt;0,"파견수련계획 입력오류 확인",IF(LEFT($Y128,1)="⚠","서울·구리 15일 판정 불가(양쪽 모두 이상/미만)",IF(IF($AC128="",0,N(INDEX(인턴근무계획!$T$3:$T$202,$AC128)))&gt;0,"인턴계획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IF($B128="","",IFERROR(MATCH($B128,기본자료!$B$2:$B$501,0),IFERROR(MATCH($B128&amp;"",기본자료!$B$2:$B$501,0),IFERROR(MATCH(VALUE($B128),기본자료!$B$2:$B$501,0),""))))</f>
        <v/>
      </c>
      <c r="AC128" s="10">
        <f>IF($B128="","",IFERROR(MATCH($B128,인턴근무계획!$D$3:$D$202,0),IFERROR(MATCH($B128&amp;"",인턴근무계획!$D$3:$D$202,0),IFERROR(MATCH(VALUE($B128),인턴근무계획!$D$3:$D$202,0),""))))</f>
        <v/>
      </c>
      <c r="AD128" s="10">
        <f>IF(OR($AC128="",인턴현황!$G$3=""),"",INDEX(인턴근무계획!$M$3:$R$202,$AC128,인턴현황!$G$3)&amp;"")</f>
        <v/>
      </c>
      <c r="AE128" s="10">
        <f>IF($B128="","",IF($M128&lt;&gt;"",$M128,IF($AF128&lt;&gt;"",IF(LEFT(INDEX(파견수련계획!$R$4:$R$203,$AF128),1)&lt;&gt;"⚠",INDEX(파견수련계획!$R$4:$R$203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파견수련계획!$Y$4:$Y$203,0),IFERROR(MATCH(TRIM($J128&amp;"")&amp;"|파견예정",파견수련계획!$Y$4:$Y$203,0),IFERROR(MATCH(TRIM($J128&amp;"")&amp;"|파견종료",파견수련계획!$Y$4:$Y$203,0),""))))</f>
        <v/>
      </c>
      <c r="AG128" s="10">
        <f>IF($B128="","",IF(AND(IF(OR($AC128="",인턴현황!$K$2=""),"",INDEX(인턴근무계획!$M$3:$R$202,$AC128,인턴현황!$K$2)&amp;"")&lt;&gt;"",LEFT(IF(OR($AC128="",인턴현황!$K$2=""),"",INDEX(인턴근무계획!$M$3:$R$202,$AC128,인턴현황!$K$2)&amp;""),1)&lt;&gt;"⚠"),LEFT(IF(OR($AC128="",인턴현황!$K$2=""),"",INDEX(인턴근무계획!$M$3:$R$202,$AC128,인턴현황!$K$2)&amp;""),FIND(" ",IF(OR($AC128="",인턴현황!$K$2=""),"",INDEX(인턴근무계획!$M$3:$R$202,$AC128,인턴현황!$K$2)&amp;""))-1),$AE128))</f>
        <v/>
      </c>
      <c r="AH128" s="17">
        <f>IF($B128="","",IF(TRIM($J128&amp;"")="",0,SUMPRODUCT((파견수련계획!$Q$4:$Q$203=TRIM($J128&amp;""))*(파견수련계획!$S$4:$S$203="서울병원")*파견수련계획!$W$4:$W$203))+IF($AG128="서울병원",MAX(0,DAY(EOMONTH(요약!$B$3,0))-N($X128)),0))</f>
        <v/>
      </c>
      <c r="AI128" s="17">
        <f>IF($B128="","",IF(TRIM($J128&amp;"")="",0,SUMPRODUCT((파견수련계획!$Q$4:$Q$203=TRIM($J128&amp;""))*(파견수련계획!$S$4:$S$203="구리병원")*파견수련계획!$W$4:$W$203))+IF($AG128="구리병원",MAX(0,DAY(EOMONTH(요약!$B$3,0))-N($X128)),0))</f>
        <v/>
      </c>
      <c r="AJ128" s="10">
        <f>IF(OR($B128="",TRIM($J128&amp;"")=""),"",IFERROR(MATCH(TRIM($J128&amp;"")&amp;"|월",파견수련계획!$Z$4:$Z$203,0),""))</f>
        <v/>
      </c>
      <c r="AK128" s="10">
        <f>IF(OR($B128="",TRIM($J128&amp;"")=""),"",IFERROR(MATCH(TRIM($J128&amp;"")&amp;"|다기관",파견수련계획!$AE$4:$AE$203,0),""))</f>
        <v/>
      </c>
      <c r="AL128" s="10">
        <f>IF($AK128="","","다기관 "&amp;TEXT(INDEX(파견수련계획!$AB$4:$AB$203,$AK128),"yyyy-mm-dd")&amp;"~"&amp;IF(ISNUMBER(INDEX(파견수련계획!$AC$4:$AC$203,$AK128)),TEXT(INDEX(파견수련계획!$AC$4:$AC$203,$AK128),"yyyy-mm-dd"),""))</f>
        <v/>
      </c>
    </row>
    <row r="129">
      <c r="A129" s="10">
        <f>IF(B129="","",ROW()-1)</f>
        <v/>
      </c>
      <c r="B129" s="18" t="n"/>
      <c r="C129" s="10">
        <f>IF($AB129="","",IF(INDEX(기본자료!$C$2:$C$501,$AB129)="","",INDEX(기본자료!$C$2:$C$501,$AB129)))</f>
        <v/>
      </c>
      <c r="D129" s="10">
        <f>IF($AB129="","",IF(INDEX(기본자료!$J$2:$J$501,$AB129)="","",INDEX(기본자료!$J$2:$J$501,$AB129)))</f>
        <v/>
      </c>
      <c r="E129" s="11">
        <f>IF($AB129="","",IF(INDEX(기본자료!$K$2:$K$501,$AB129)="","",IF(NOT(ISNUMBER(INDEX(기본자료!$K$2:$K$501,$AB129))),INDEX(기본자료!$K$2:$K$501,$AB129),IF(INDEX(기본자료!$K$2:$K$501,$AB129)&lt;1000000,INDEX(기본자료!$K$2:$K$501,$AB129),IF(AND(INDEX(기본자료!$K$2:$K$501,$AB129)&gt;=10000101,INT(MOD(INDEX(기본자료!$K$2:$K$501,$AB129),10000)/100)&gt;=1,INT(MOD(INDEX(기본자료!$K$2:$K$501,$AB129),10000)/100)&lt;=12,MOD(INDEX(기본자료!$K$2:$K$501,$AB129),100)&gt;=1,MOD(INDEX(기본자료!$K$2:$K$501,$AB129),100)&lt;=31),DATE(INT(INDEX(기본자료!$K$2:$K$501,$AB129)/10000),INT(MOD(INDEX(기본자료!$K$2:$K$501,$AB129),10000)/100),MOD(INDEX(기본자료!$K$2:$K$501,$AB129),100)),INDEX(기본자료!$K$2:$K$501,$AB129)&amp;"")))))</f>
        <v/>
      </c>
      <c r="F129" s="10">
        <f>IF($AB129="","",IF(INDEX(기본자료!$D$2:$D$501,$AB129)="","",INDEX(기본자료!$D$2:$D$501,$AB129)))</f>
        <v/>
      </c>
      <c r="G129" s="10">
        <f>IF($AB129="","",IF(INDEX(기본자료!$E$2:$E$501,$AB129)="","",INDEX(기본자료!$E$2:$E$501,$AB129)))</f>
        <v/>
      </c>
      <c r="H129" s="10">
        <f>IF($AB129="","",IF(INDEX(기본자료!$F$2:$F$501,$AB129)="","",INDEX(기본자료!$F$2:$F$501,$AB129)))</f>
        <v/>
      </c>
      <c r="I129" s="11">
        <f>IF($AB129="","",IF(INDEX(기본자료!$G$2:$G$501,$AB129)="","",IF(NOT(ISNUMBER(INDEX(기본자료!$G$2:$G$501,$AB129))),INDEX(기본자료!$G$2:$G$501,$AB129),IF(INDEX(기본자료!$G$2:$G$501,$AB129)&lt;1000000,INDEX(기본자료!$G$2:$G$501,$AB129),IF(AND(INDEX(기본자료!$G$2:$G$501,$AB129)&gt;=10000101,INT(MOD(INDEX(기본자료!$G$2:$G$501,$AB129),10000)/100)&gt;=1,INT(MOD(INDEX(기본자료!$G$2:$G$501,$AB129),10000)/100)&lt;=12,MOD(INDEX(기본자료!$G$2:$G$501,$AB129),100)&gt;=1,MOD(INDEX(기본자료!$G$2:$G$501,$AB129),100)&lt;=31),DATE(INT(INDEX(기본자료!$G$2:$G$501,$AB129)/10000),INT(MOD(INDEX(기본자료!$G$2:$G$501,$AB129),10000)/100),MOD(INDEX(기본자료!$G$2:$G$501,$AB129),100)),INDEX(기본자료!$G$2:$G$501,$AB129)&amp;"")))))</f>
        <v/>
      </c>
      <c r="J129" s="10">
        <f>IF($AB129="","",IF(INDEX(기본자료!$H$2:$H$501,$AB129)="","",INDEX(기본자료!$H$2:$H$501,$AB129)))</f>
        <v/>
      </c>
      <c r="K129" s="10">
        <f>IF($AB129="","",IF(INDEX(기본자료!$I$2:$I$501,$AB129)="","",INDEX(기본자료!$I$2:$I$501,$AB129)))</f>
        <v/>
      </c>
      <c r="L129" s="10">
        <f>IF($AB129="","",IF(INDEX(기본자료!$A$2:$A$501,$AB129)="","",INDEX(기본자료!$A$2:$A$501,$AB129)))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파견수련계획!$AB$4:$AB$203,$AK129),OR(NOT(ISNUMBER(INDEX(파견수련계획!$AC$4:$AC$203,$AK129))),TODAY()&lt;=INDEX(파견수련계획!$AC$4:$AC$203,$AK129))),"다기관",IF($AF129="","",INDEX(파견수련계획!$T$4:$T$203,$AF129))),IF($AF129="","",INDEX(파견수련계획!$T$4:$T$203,$AF129))))</f>
        <v/>
      </c>
      <c r="Q129" s="10">
        <f>IF($AF129="","",INDEX(파견수련계획!$S$4:$S$203,$AF129))</f>
        <v/>
      </c>
      <c r="R129" s="10">
        <f>IF($AF129="","",INDEX(파견수련계획!$U$4:$U$203,$AF129))</f>
        <v/>
      </c>
      <c r="S129" s="11">
        <f>IF($AF129="","",IF(INDEX(파견수련계획!$H$4:$H$203,$AF129)="","",INDEX(파견수련계획!$H$4:$H$203,$AF129)))</f>
        <v/>
      </c>
      <c r="T129" s="11">
        <f>IF($AF129="","",IF(INDEX(파견수련계획!$I$4:$I$203,$AF129)="","",INDEX(파견수련계획!$I$4:$I$203,$AF129)))</f>
        <v/>
      </c>
      <c r="U129" s="10">
        <f>IF($AF129="","",INDEX(파견수련계획!$X$4:$X$203,$AF129))</f>
        <v/>
      </c>
      <c r="V129" s="17">
        <f>IF($AF129="","",INDEX(파견수련계획!$V$4:$V$203,$AF129))</f>
        <v/>
      </c>
      <c r="W129" s="17">
        <f>IF(AND($U129="파견중",$T129&lt;&gt;""),$T129-TODAY(),"")</f>
        <v/>
      </c>
      <c r="X129" s="17">
        <f>IF(OR($B129="",TRIM($J129&amp;"")=""),"",SUMPRODUCT((파견수련계획!$Q$4:$Q$203=TRIM($J129&amp;""))*파견수련계획!$W$4:$W$203))</f>
        <v/>
      </c>
      <c r="Y129" s="10">
        <f>IF($B129="","",IF($AG129="","",IF(IF(TRIM($J129&amp;"")="",0,SUMPRODUCT((파견수련계획!$Q$4:$Q$203=TRIM($J129&amp;""))*파견수련계획!$AD$4:$AD$203))&gt;0,$AE129,IF(N($X129)&lt;=0,$AG129,IF($AH129+$AI129=DAY(EOMONTH(요약!$B$3,0)),IF(AND($AH129&gt;=요약!$E$3,$AI129&lt;요약!$E$3),"서울병원",IF(AND($AI129&gt;=요약!$E$3,$AH129&lt;요약!$E$3),"구리병원","⚠15일 판정불가(서울 "&amp;$AH129&amp;"일/구리 "&amp;$AI129&amp;"일)")),IF($AJ129="",$AE129,IF(INDEX(파견수련계획!$T$4:$T$203,$AJ129)="통합수련",INDEX(파견수련계획!$S$4:$S$203,$AJ129),$AE129)))))))</f>
        <v/>
      </c>
      <c r="Z129" s="19">
        <f>IF($B129="","",IF($AB129="","기본자료에 없는 사번",IF(COUNTIF($B$2:$B$201,$B129)&gt;1,"중복 사번",IF($AE129="","소속(입사장소) 입력",IF(IF(TRIM($J129&amp;"")="",0,SUMPRODUCT((파견수련계획!$Q$4:$Q$203=TRIM($J129&amp;""))*(파견수련계획!$AA$4:$AA$203&lt;&gt;"")))&gt;0,"파견수련계획 입력오류 확인",IF(LEFT($Y129,1)="⚠","서울·구리 15일 판정 불가(양쪽 모두 이상/미만)",IF(IF($AC129="",0,N(INDEX(인턴근무계획!$T$3:$T$202,$AC129)))&gt;0,"인턴계획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IF($B129="","",IFERROR(MATCH($B129,기본자료!$B$2:$B$501,0),IFERROR(MATCH($B129&amp;"",기본자료!$B$2:$B$501,0),IFERROR(MATCH(VALUE($B129),기본자료!$B$2:$B$501,0),""))))</f>
        <v/>
      </c>
      <c r="AC129" s="10">
        <f>IF($B129="","",IFERROR(MATCH($B129,인턴근무계획!$D$3:$D$202,0),IFERROR(MATCH($B129&amp;"",인턴근무계획!$D$3:$D$202,0),IFERROR(MATCH(VALUE($B129),인턴근무계획!$D$3:$D$202,0),""))))</f>
        <v/>
      </c>
      <c r="AD129" s="10">
        <f>IF(OR($AC129="",인턴현황!$G$3=""),"",INDEX(인턴근무계획!$M$3:$R$202,$AC129,인턴현황!$G$3)&amp;"")</f>
        <v/>
      </c>
      <c r="AE129" s="10">
        <f>IF($B129="","",IF($M129&lt;&gt;"",$M129,IF($AF129&lt;&gt;"",IF(LEFT(INDEX(파견수련계획!$R$4:$R$203,$AF129),1)&lt;&gt;"⚠",INDEX(파견수련계획!$R$4:$R$203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파견수련계획!$Y$4:$Y$203,0),IFERROR(MATCH(TRIM($J129&amp;"")&amp;"|파견예정",파견수련계획!$Y$4:$Y$203,0),IFERROR(MATCH(TRIM($J129&amp;"")&amp;"|파견종료",파견수련계획!$Y$4:$Y$203,0),""))))</f>
        <v/>
      </c>
      <c r="AG129" s="10">
        <f>IF($B129="","",IF(AND(IF(OR($AC129="",인턴현황!$K$2=""),"",INDEX(인턴근무계획!$M$3:$R$202,$AC129,인턴현황!$K$2)&amp;"")&lt;&gt;"",LEFT(IF(OR($AC129="",인턴현황!$K$2=""),"",INDEX(인턴근무계획!$M$3:$R$202,$AC129,인턴현황!$K$2)&amp;""),1)&lt;&gt;"⚠"),LEFT(IF(OR($AC129="",인턴현황!$K$2=""),"",INDEX(인턴근무계획!$M$3:$R$202,$AC129,인턴현황!$K$2)&amp;""),FIND(" ",IF(OR($AC129="",인턴현황!$K$2=""),"",INDEX(인턴근무계획!$M$3:$R$202,$AC129,인턴현황!$K$2)&amp;""))-1),$AE129))</f>
        <v/>
      </c>
      <c r="AH129" s="17">
        <f>IF($B129="","",IF(TRIM($J129&amp;"")="",0,SUMPRODUCT((파견수련계획!$Q$4:$Q$203=TRIM($J129&amp;""))*(파견수련계획!$S$4:$S$203="서울병원")*파견수련계획!$W$4:$W$203))+IF($AG129="서울병원",MAX(0,DAY(EOMONTH(요약!$B$3,0))-N($X129)),0))</f>
        <v/>
      </c>
      <c r="AI129" s="17">
        <f>IF($B129="","",IF(TRIM($J129&amp;"")="",0,SUMPRODUCT((파견수련계획!$Q$4:$Q$203=TRIM($J129&amp;""))*(파견수련계획!$S$4:$S$203="구리병원")*파견수련계획!$W$4:$W$203))+IF($AG129="구리병원",MAX(0,DAY(EOMONTH(요약!$B$3,0))-N($X129)),0))</f>
        <v/>
      </c>
      <c r="AJ129" s="10">
        <f>IF(OR($B129="",TRIM($J129&amp;"")=""),"",IFERROR(MATCH(TRIM($J129&amp;"")&amp;"|월",파견수련계획!$Z$4:$Z$203,0),""))</f>
        <v/>
      </c>
      <c r="AK129" s="10">
        <f>IF(OR($B129="",TRIM($J129&amp;"")=""),"",IFERROR(MATCH(TRIM($J129&amp;"")&amp;"|다기관",파견수련계획!$AE$4:$AE$203,0),""))</f>
        <v/>
      </c>
      <c r="AL129" s="10">
        <f>IF($AK129="","","다기관 "&amp;TEXT(INDEX(파견수련계획!$AB$4:$AB$203,$AK129),"yyyy-mm-dd")&amp;"~"&amp;IF(ISNUMBER(INDEX(파견수련계획!$AC$4:$AC$203,$AK129)),TEXT(INDEX(파견수련계획!$AC$4:$AC$203,$AK129),"yyyy-mm-dd"),""))</f>
        <v/>
      </c>
    </row>
    <row r="130">
      <c r="A130" s="10">
        <f>IF(B130="","",ROW()-1)</f>
        <v/>
      </c>
      <c r="B130" s="18" t="n"/>
      <c r="C130" s="10">
        <f>IF($AB130="","",IF(INDEX(기본자료!$C$2:$C$501,$AB130)="","",INDEX(기본자료!$C$2:$C$501,$AB130)))</f>
        <v/>
      </c>
      <c r="D130" s="10">
        <f>IF($AB130="","",IF(INDEX(기본자료!$J$2:$J$501,$AB130)="","",INDEX(기본자료!$J$2:$J$501,$AB130)))</f>
        <v/>
      </c>
      <c r="E130" s="11">
        <f>IF($AB130="","",IF(INDEX(기본자료!$K$2:$K$501,$AB130)="","",IF(NOT(ISNUMBER(INDEX(기본자료!$K$2:$K$501,$AB130))),INDEX(기본자료!$K$2:$K$501,$AB130),IF(INDEX(기본자료!$K$2:$K$501,$AB130)&lt;1000000,INDEX(기본자료!$K$2:$K$501,$AB130),IF(AND(INDEX(기본자료!$K$2:$K$501,$AB130)&gt;=10000101,INT(MOD(INDEX(기본자료!$K$2:$K$501,$AB130),10000)/100)&gt;=1,INT(MOD(INDEX(기본자료!$K$2:$K$501,$AB130),10000)/100)&lt;=12,MOD(INDEX(기본자료!$K$2:$K$501,$AB130),100)&gt;=1,MOD(INDEX(기본자료!$K$2:$K$501,$AB130),100)&lt;=31),DATE(INT(INDEX(기본자료!$K$2:$K$501,$AB130)/10000),INT(MOD(INDEX(기본자료!$K$2:$K$501,$AB130),10000)/100),MOD(INDEX(기본자료!$K$2:$K$501,$AB130),100)),INDEX(기본자료!$K$2:$K$501,$AB130)&amp;"")))))</f>
        <v/>
      </c>
      <c r="F130" s="10">
        <f>IF($AB130="","",IF(INDEX(기본자료!$D$2:$D$501,$AB130)="","",INDEX(기본자료!$D$2:$D$501,$AB130)))</f>
        <v/>
      </c>
      <c r="G130" s="10">
        <f>IF($AB130="","",IF(INDEX(기본자료!$E$2:$E$501,$AB130)="","",INDEX(기본자료!$E$2:$E$501,$AB130)))</f>
        <v/>
      </c>
      <c r="H130" s="10">
        <f>IF($AB130="","",IF(INDEX(기본자료!$F$2:$F$501,$AB130)="","",INDEX(기본자료!$F$2:$F$501,$AB130)))</f>
        <v/>
      </c>
      <c r="I130" s="11">
        <f>IF($AB130="","",IF(INDEX(기본자료!$G$2:$G$501,$AB130)="","",IF(NOT(ISNUMBER(INDEX(기본자료!$G$2:$G$501,$AB130))),INDEX(기본자료!$G$2:$G$501,$AB130),IF(INDEX(기본자료!$G$2:$G$501,$AB130)&lt;1000000,INDEX(기본자료!$G$2:$G$501,$AB130),IF(AND(INDEX(기본자료!$G$2:$G$501,$AB130)&gt;=10000101,INT(MOD(INDEX(기본자료!$G$2:$G$501,$AB130),10000)/100)&gt;=1,INT(MOD(INDEX(기본자료!$G$2:$G$501,$AB130),10000)/100)&lt;=12,MOD(INDEX(기본자료!$G$2:$G$501,$AB130),100)&gt;=1,MOD(INDEX(기본자료!$G$2:$G$501,$AB130),100)&lt;=31),DATE(INT(INDEX(기본자료!$G$2:$G$501,$AB130)/10000),INT(MOD(INDEX(기본자료!$G$2:$G$501,$AB130),10000)/100),MOD(INDEX(기본자료!$G$2:$G$501,$AB130),100)),INDEX(기본자료!$G$2:$G$501,$AB130)&amp;"")))))</f>
        <v/>
      </c>
      <c r="J130" s="10">
        <f>IF($AB130="","",IF(INDEX(기본자료!$H$2:$H$501,$AB130)="","",INDEX(기본자료!$H$2:$H$501,$AB130)))</f>
        <v/>
      </c>
      <c r="K130" s="10">
        <f>IF($AB130="","",IF(INDEX(기본자료!$I$2:$I$501,$AB130)="","",INDEX(기본자료!$I$2:$I$501,$AB130)))</f>
        <v/>
      </c>
      <c r="L130" s="10">
        <f>IF($AB130="","",IF(INDEX(기본자료!$A$2:$A$501,$AB130)="","",INDEX(기본자료!$A$2:$A$501,$AB130)))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파견수련계획!$AB$4:$AB$203,$AK130),OR(NOT(ISNUMBER(INDEX(파견수련계획!$AC$4:$AC$203,$AK130))),TODAY()&lt;=INDEX(파견수련계획!$AC$4:$AC$203,$AK130))),"다기관",IF($AF130="","",INDEX(파견수련계획!$T$4:$T$203,$AF130))),IF($AF130="","",INDEX(파견수련계획!$T$4:$T$203,$AF130))))</f>
        <v/>
      </c>
      <c r="Q130" s="10">
        <f>IF($AF130="","",INDEX(파견수련계획!$S$4:$S$203,$AF130))</f>
        <v/>
      </c>
      <c r="R130" s="10">
        <f>IF($AF130="","",INDEX(파견수련계획!$U$4:$U$203,$AF130))</f>
        <v/>
      </c>
      <c r="S130" s="11">
        <f>IF($AF130="","",IF(INDEX(파견수련계획!$H$4:$H$203,$AF130)="","",INDEX(파견수련계획!$H$4:$H$203,$AF130)))</f>
        <v/>
      </c>
      <c r="T130" s="11">
        <f>IF($AF130="","",IF(INDEX(파견수련계획!$I$4:$I$203,$AF130)="","",INDEX(파견수련계획!$I$4:$I$203,$AF130)))</f>
        <v/>
      </c>
      <c r="U130" s="10">
        <f>IF($AF130="","",INDEX(파견수련계획!$X$4:$X$203,$AF130))</f>
        <v/>
      </c>
      <c r="V130" s="17">
        <f>IF($AF130="","",INDEX(파견수련계획!$V$4:$V$203,$AF130))</f>
        <v/>
      </c>
      <c r="W130" s="17">
        <f>IF(AND($U130="파견중",$T130&lt;&gt;""),$T130-TODAY(),"")</f>
        <v/>
      </c>
      <c r="X130" s="17">
        <f>IF(OR($B130="",TRIM($J130&amp;"")=""),"",SUMPRODUCT((파견수련계획!$Q$4:$Q$203=TRIM($J130&amp;""))*파견수련계획!$W$4:$W$203))</f>
        <v/>
      </c>
      <c r="Y130" s="10">
        <f>IF($B130="","",IF($AG130="","",IF(IF(TRIM($J130&amp;"")="",0,SUMPRODUCT((파견수련계획!$Q$4:$Q$203=TRIM($J130&amp;""))*파견수련계획!$AD$4:$AD$203))&gt;0,$AE130,IF(N($X130)&lt;=0,$AG130,IF($AH130+$AI130=DAY(EOMONTH(요약!$B$3,0)),IF(AND($AH130&gt;=요약!$E$3,$AI130&lt;요약!$E$3),"서울병원",IF(AND($AI130&gt;=요약!$E$3,$AH130&lt;요약!$E$3),"구리병원","⚠15일 판정불가(서울 "&amp;$AH130&amp;"일/구리 "&amp;$AI130&amp;"일)")),IF($AJ130="",$AE130,IF(INDEX(파견수련계획!$T$4:$T$203,$AJ130)="통합수련",INDEX(파견수련계획!$S$4:$S$203,$AJ130),$AE130)))))))</f>
        <v/>
      </c>
      <c r="Z130" s="19">
        <f>IF($B130="","",IF($AB130="","기본자료에 없는 사번",IF(COUNTIF($B$2:$B$201,$B130)&gt;1,"중복 사번",IF($AE130="","소속(입사장소) 입력",IF(IF(TRIM($J130&amp;"")="",0,SUMPRODUCT((파견수련계획!$Q$4:$Q$203=TRIM($J130&amp;""))*(파견수련계획!$AA$4:$AA$203&lt;&gt;"")))&gt;0,"파견수련계획 입력오류 확인",IF(LEFT($Y130,1)="⚠","서울·구리 15일 판정 불가(양쪽 모두 이상/미만)",IF(IF($AC130="",0,N(INDEX(인턴근무계획!$T$3:$T$202,$AC130)))&gt;0,"인턴계획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IF($B130="","",IFERROR(MATCH($B130,기본자료!$B$2:$B$501,0),IFERROR(MATCH($B130&amp;"",기본자료!$B$2:$B$501,0),IFERROR(MATCH(VALUE($B130),기본자료!$B$2:$B$501,0),""))))</f>
        <v/>
      </c>
      <c r="AC130" s="10">
        <f>IF($B130="","",IFERROR(MATCH($B130,인턴근무계획!$D$3:$D$202,0),IFERROR(MATCH($B130&amp;"",인턴근무계획!$D$3:$D$202,0),IFERROR(MATCH(VALUE($B130),인턴근무계획!$D$3:$D$202,0),""))))</f>
        <v/>
      </c>
      <c r="AD130" s="10">
        <f>IF(OR($AC130="",인턴현황!$G$3=""),"",INDEX(인턴근무계획!$M$3:$R$202,$AC130,인턴현황!$G$3)&amp;"")</f>
        <v/>
      </c>
      <c r="AE130" s="10">
        <f>IF($B130="","",IF($M130&lt;&gt;"",$M130,IF($AF130&lt;&gt;"",IF(LEFT(INDEX(파견수련계획!$R$4:$R$203,$AF130),1)&lt;&gt;"⚠",INDEX(파견수련계획!$R$4:$R$203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파견수련계획!$Y$4:$Y$203,0),IFERROR(MATCH(TRIM($J130&amp;"")&amp;"|파견예정",파견수련계획!$Y$4:$Y$203,0),IFERROR(MATCH(TRIM($J130&amp;"")&amp;"|파견종료",파견수련계획!$Y$4:$Y$203,0),""))))</f>
        <v/>
      </c>
      <c r="AG130" s="10">
        <f>IF($B130="","",IF(AND(IF(OR($AC130="",인턴현황!$K$2=""),"",INDEX(인턴근무계획!$M$3:$R$202,$AC130,인턴현황!$K$2)&amp;"")&lt;&gt;"",LEFT(IF(OR($AC130="",인턴현황!$K$2=""),"",INDEX(인턴근무계획!$M$3:$R$202,$AC130,인턴현황!$K$2)&amp;""),1)&lt;&gt;"⚠"),LEFT(IF(OR($AC130="",인턴현황!$K$2=""),"",INDEX(인턴근무계획!$M$3:$R$202,$AC130,인턴현황!$K$2)&amp;""),FIND(" ",IF(OR($AC130="",인턴현황!$K$2=""),"",INDEX(인턴근무계획!$M$3:$R$202,$AC130,인턴현황!$K$2)&amp;""))-1),$AE130))</f>
        <v/>
      </c>
      <c r="AH130" s="17">
        <f>IF($B130="","",IF(TRIM($J130&amp;"")="",0,SUMPRODUCT((파견수련계획!$Q$4:$Q$203=TRIM($J130&amp;""))*(파견수련계획!$S$4:$S$203="서울병원")*파견수련계획!$W$4:$W$203))+IF($AG130="서울병원",MAX(0,DAY(EOMONTH(요약!$B$3,0))-N($X130)),0))</f>
        <v/>
      </c>
      <c r="AI130" s="17">
        <f>IF($B130="","",IF(TRIM($J130&amp;"")="",0,SUMPRODUCT((파견수련계획!$Q$4:$Q$203=TRIM($J130&amp;""))*(파견수련계획!$S$4:$S$203="구리병원")*파견수련계획!$W$4:$W$203))+IF($AG130="구리병원",MAX(0,DAY(EOMONTH(요약!$B$3,0))-N($X130)),0))</f>
        <v/>
      </c>
      <c r="AJ130" s="10">
        <f>IF(OR($B130="",TRIM($J130&amp;"")=""),"",IFERROR(MATCH(TRIM($J130&amp;"")&amp;"|월",파견수련계획!$Z$4:$Z$203,0),""))</f>
        <v/>
      </c>
      <c r="AK130" s="10">
        <f>IF(OR($B130="",TRIM($J130&amp;"")=""),"",IFERROR(MATCH(TRIM($J130&amp;"")&amp;"|다기관",파견수련계획!$AE$4:$AE$203,0),""))</f>
        <v/>
      </c>
      <c r="AL130" s="10">
        <f>IF($AK130="","","다기관 "&amp;TEXT(INDEX(파견수련계획!$AB$4:$AB$203,$AK130),"yyyy-mm-dd")&amp;"~"&amp;IF(ISNUMBER(INDEX(파견수련계획!$AC$4:$AC$203,$AK130)),TEXT(INDEX(파견수련계획!$AC$4:$AC$203,$AK130),"yyyy-mm-dd"),""))</f>
        <v/>
      </c>
    </row>
    <row r="131">
      <c r="A131" s="10">
        <f>IF(B131="","",ROW()-1)</f>
        <v/>
      </c>
      <c r="B131" s="18" t="n"/>
      <c r="C131" s="10">
        <f>IF($AB131="","",IF(INDEX(기본자료!$C$2:$C$501,$AB131)="","",INDEX(기본자료!$C$2:$C$501,$AB131)))</f>
        <v/>
      </c>
      <c r="D131" s="10">
        <f>IF($AB131="","",IF(INDEX(기본자료!$J$2:$J$501,$AB131)="","",INDEX(기본자료!$J$2:$J$501,$AB131)))</f>
        <v/>
      </c>
      <c r="E131" s="11">
        <f>IF($AB131="","",IF(INDEX(기본자료!$K$2:$K$501,$AB131)="","",IF(NOT(ISNUMBER(INDEX(기본자료!$K$2:$K$501,$AB131))),INDEX(기본자료!$K$2:$K$501,$AB131),IF(INDEX(기본자료!$K$2:$K$501,$AB131)&lt;1000000,INDEX(기본자료!$K$2:$K$501,$AB131),IF(AND(INDEX(기본자료!$K$2:$K$501,$AB131)&gt;=10000101,INT(MOD(INDEX(기본자료!$K$2:$K$501,$AB131),10000)/100)&gt;=1,INT(MOD(INDEX(기본자료!$K$2:$K$501,$AB131),10000)/100)&lt;=12,MOD(INDEX(기본자료!$K$2:$K$501,$AB131),100)&gt;=1,MOD(INDEX(기본자료!$K$2:$K$501,$AB131),100)&lt;=31),DATE(INT(INDEX(기본자료!$K$2:$K$501,$AB131)/10000),INT(MOD(INDEX(기본자료!$K$2:$K$501,$AB131),10000)/100),MOD(INDEX(기본자료!$K$2:$K$501,$AB131),100)),INDEX(기본자료!$K$2:$K$501,$AB131)&amp;"")))))</f>
        <v/>
      </c>
      <c r="F131" s="10">
        <f>IF($AB131="","",IF(INDEX(기본자료!$D$2:$D$501,$AB131)="","",INDEX(기본자료!$D$2:$D$501,$AB131)))</f>
        <v/>
      </c>
      <c r="G131" s="10">
        <f>IF($AB131="","",IF(INDEX(기본자료!$E$2:$E$501,$AB131)="","",INDEX(기본자료!$E$2:$E$501,$AB131)))</f>
        <v/>
      </c>
      <c r="H131" s="10">
        <f>IF($AB131="","",IF(INDEX(기본자료!$F$2:$F$501,$AB131)="","",INDEX(기본자료!$F$2:$F$501,$AB131)))</f>
        <v/>
      </c>
      <c r="I131" s="11">
        <f>IF($AB131="","",IF(INDEX(기본자료!$G$2:$G$501,$AB131)="","",IF(NOT(ISNUMBER(INDEX(기본자료!$G$2:$G$501,$AB131))),INDEX(기본자료!$G$2:$G$501,$AB131),IF(INDEX(기본자료!$G$2:$G$501,$AB131)&lt;1000000,INDEX(기본자료!$G$2:$G$501,$AB131),IF(AND(INDEX(기본자료!$G$2:$G$501,$AB131)&gt;=10000101,INT(MOD(INDEX(기본자료!$G$2:$G$501,$AB131),10000)/100)&gt;=1,INT(MOD(INDEX(기본자료!$G$2:$G$501,$AB131),10000)/100)&lt;=12,MOD(INDEX(기본자료!$G$2:$G$501,$AB131),100)&gt;=1,MOD(INDEX(기본자료!$G$2:$G$501,$AB131),100)&lt;=31),DATE(INT(INDEX(기본자료!$G$2:$G$501,$AB131)/10000),INT(MOD(INDEX(기본자료!$G$2:$G$501,$AB131),10000)/100),MOD(INDEX(기본자료!$G$2:$G$501,$AB131),100)),INDEX(기본자료!$G$2:$G$501,$AB131)&amp;"")))))</f>
        <v/>
      </c>
      <c r="J131" s="10">
        <f>IF($AB131="","",IF(INDEX(기본자료!$H$2:$H$501,$AB131)="","",INDEX(기본자료!$H$2:$H$501,$AB131)))</f>
        <v/>
      </c>
      <c r="K131" s="10">
        <f>IF($AB131="","",IF(INDEX(기본자료!$I$2:$I$501,$AB131)="","",INDEX(기본자료!$I$2:$I$501,$AB131)))</f>
        <v/>
      </c>
      <c r="L131" s="10">
        <f>IF($AB131="","",IF(INDEX(기본자료!$A$2:$A$501,$AB131)="","",INDEX(기본자료!$A$2:$A$501,$AB131)))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파견수련계획!$AB$4:$AB$203,$AK131),OR(NOT(ISNUMBER(INDEX(파견수련계획!$AC$4:$AC$203,$AK131))),TODAY()&lt;=INDEX(파견수련계획!$AC$4:$AC$203,$AK131))),"다기관",IF($AF131="","",INDEX(파견수련계획!$T$4:$T$203,$AF131))),IF($AF131="","",INDEX(파견수련계획!$T$4:$T$203,$AF131))))</f>
        <v/>
      </c>
      <c r="Q131" s="10">
        <f>IF($AF131="","",INDEX(파견수련계획!$S$4:$S$203,$AF131))</f>
        <v/>
      </c>
      <c r="R131" s="10">
        <f>IF($AF131="","",INDEX(파견수련계획!$U$4:$U$203,$AF131))</f>
        <v/>
      </c>
      <c r="S131" s="11">
        <f>IF($AF131="","",IF(INDEX(파견수련계획!$H$4:$H$203,$AF131)="","",INDEX(파견수련계획!$H$4:$H$203,$AF131)))</f>
        <v/>
      </c>
      <c r="T131" s="11">
        <f>IF($AF131="","",IF(INDEX(파견수련계획!$I$4:$I$203,$AF131)="","",INDEX(파견수련계획!$I$4:$I$203,$AF131)))</f>
        <v/>
      </c>
      <c r="U131" s="10">
        <f>IF($AF131="","",INDEX(파견수련계획!$X$4:$X$203,$AF131))</f>
        <v/>
      </c>
      <c r="V131" s="17">
        <f>IF($AF131="","",INDEX(파견수련계획!$V$4:$V$203,$AF131))</f>
        <v/>
      </c>
      <c r="W131" s="17">
        <f>IF(AND($U131="파견중",$T131&lt;&gt;""),$T131-TODAY(),"")</f>
        <v/>
      </c>
      <c r="X131" s="17">
        <f>IF(OR($B131="",TRIM($J131&amp;"")=""),"",SUMPRODUCT((파견수련계획!$Q$4:$Q$203=TRIM($J131&amp;""))*파견수련계획!$W$4:$W$203))</f>
        <v/>
      </c>
      <c r="Y131" s="10">
        <f>IF($B131="","",IF($AG131="","",IF(IF(TRIM($J131&amp;"")="",0,SUMPRODUCT((파견수련계획!$Q$4:$Q$203=TRIM($J131&amp;""))*파견수련계획!$AD$4:$AD$203))&gt;0,$AE131,IF(N($X131)&lt;=0,$AG131,IF($AH131+$AI131=DAY(EOMONTH(요약!$B$3,0)),IF(AND($AH131&gt;=요약!$E$3,$AI131&lt;요약!$E$3),"서울병원",IF(AND($AI131&gt;=요약!$E$3,$AH131&lt;요약!$E$3),"구리병원","⚠15일 판정불가(서울 "&amp;$AH131&amp;"일/구리 "&amp;$AI131&amp;"일)")),IF($AJ131="",$AE131,IF(INDEX(파견수련계획!$T$4:$T$203,$AJ131)="통합수련",INDEX(파견수련계획!$S$4:$S$203,$AJ131),$AE131)))))))</f>
        <v/>
      </c>
      <c r="Z131" s="19">
        <f>IF($B131="","",IF($AB131="","기본자료에 없는 사번",IF(COUNTIF($B$2:$B$201,$B131)&gt;1,"중복 사번",IF($AE131="","소속(입사장소) 입력",IF(IF(TRIM($J131&amp;"")="",0,SUMPRODUCT((파견수련계획!$Q$4:$Q$203=TRIM($J131&amp;""))*(파견수련계획!$AA$4:$AA$203&lt;&gt;"")))&gt;0,"파견수련계획 입력오류 확인",IF(LEFT($Y131,1)="⚠","서울·구리 15일 판정 불가(양쪽 모두 이상/미만)",IF(IF($AC131="",0,N(INDEX(인턴근무계획!$T$3:$T$202,$AC131)))&gt;0,"인턴계획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IF($B131="","",IFERROR(MATCH($B131,기본자료!$B$2:$B$501,0),IFERROR(MATCH($B131&amp;"",기본자료!$B$2:$B$501,0),IFERROR(MATCH(VALUE($B131),기본자료!$B$2:$B$501,0),""))))</f>
        <v/>
      </c>
      <c r="AC131" s="10">
        <f>IF($B131="","",IFERROR(MATCH($B131,인턴근무계획!$D$3:$D$202,0),IFERROR(MATCH($B131&amp;"",인턴근무계획!$D$3:$D$202,0),IFERROR(MATCH(VALUE($B131),인턴근무계획!$D$3:$D$202,0),""))))</f>
        <v/>
      </c>
      <c r="AD131" s="10">
        <f>IF(OR($AC131="",인턴현황!$G$3=""),"",INDEX(인턴근무계획!$M$3:$R$202,$AC131,인턴현황!$G$3)&amp;"")</f>
        <v/>
      </c>
      <c r="AE131" s="10">
        <f>IF($B131="","",IF($M131&lt;&gt;"",$M131,IF($AF131&lt;&gt;"",IF(LEFT(INDEX(파견수련계획!$R$4:$R$203,$AF131),1)&lt;&gt;"⚠",INDEX(파견수련계획!$R$4:$R$203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파견수련계획!$Y$4:$Y$203,0),IFERROR(MATCH(TRIM($J131&amp;"")&amp;"|파견예정",파견수련계획!$Y$4:$Y$203,0),IFERROR(MATCH(TRIM($J131&amp;"")&amp;"|파견종료",파견수련계획!$Y$4:$Y$203,0),""))))</f>
        <v/>
      </c>
      <c r="AG131" s="10">
        <f>IF($B131="","",IF(AND(IF(OR($AC131="",인턴현황!$K$2=""),"",INDEX(인턴근무계획!$M$3:$R$202,$AC131,인턴현황!$K$2)&amp;"")&lt;&gt;"",LEFT(IF(OR($AC131="",인턴현황!$K$2=""),"",INDEX(인턴근무계획!$M$3:$R$202,$AC131,인턴현황!$K$2)&amp;""),1)&lt;&gt;"⚠"),LEFT(IF(OR($AC131="",인턴현황!$K$2=""),"",INDEX(인턴근무계획!$M$3:$R$202,$AC131,인턴현황!$K$2)&amp;""),FIND(" ",IF(OR($AC131="",인턴현황!$K$2=""),"",INDEX(인턴근무계획!$M$3:$R$202,$AC131,인턴현황!$K$2)&amp;""))-1),$AE131))</f>
        <v/>
      </c>
      <c r="AH131" s="17">
        <f>IF($B131="","",IF(TRIM($J131&amp;"")="",0,SUMPRODUCT((파견수련계획!$Q$4:$Q$203=TRIM($J131&amp;""))*(파견수련계획!$S$4:$S$203="서울병원")*파견수련계획!$W$4:$W$203))+IF($AG131="서울병원",MAX(0,DAY(EOMONTH(요약!$B$3,0))-N($X131)),0))</f>
        <v/>
      </c>
      <c r="AI131" s="17">
        <f>IF($B131="","",IF(TRIM($J131&amp;"")="",0,SUMPRODUCT((파견수련계획!$Q$4:$Q$203=TRIM($J131&amp;""))*(파견수련계획!$S$4:$S$203="구리병원")*파견수련계획!$W$4:$W$203))+IF($AG131="구리병원",MAX(0,DAY(EOMONTH(요약!$B$3,0))-N($X131)),0))</f>
        <v/>
      </c>
      <c r="AJ131" s="10">
        <f>IF(OR($B131="",TRIM($J131&amp;"")=""),"",IFERROR(MATCH(TRIM($J131&amp;"")&amp;"|월",파견수련계획!$Z$4:$Z$203,0),""))</f>
        <v/>
      </c>
      <c r="AK131" s="10">
        <f>IF(OR($B131="",TRIM($J131&amp;"")=""),"",IFERROR(MATCH(TRIM($J131&amp;"")&amp;"|다기관",파견수련계획!$AE$4:$AE$203,0),""))</f>
        <v/>
      </c>
      <c r="AL131" s="10">
        <f>IF($AK131="","","다기관 "&amp;TEXT(INDEX(파견수련계획!$AB$4:$AB$203,$AK131),"yyyy-mm-dd")&amp;"~"&amp;IF(ISNUMBER(INDEX(파견수련계획!$AC$4:$AC$203,$AK131)),TEXT(INDEX(파견수련계획!$AC$4:$AC$203,$AK131),"yyyy-mm-dd"),""))</f>
        <v/>
      </c>
    </row>
    <row r="132">
      <c r="A132" s="10">
        <f>IF(B132="","",ROW()-1)</f>
        <v/>
      </c>
      <c r="B132" s="18" t="n"/>
      <c r="C132" s="10">
        <f>IF($AB132="","",IF(INDEX(기본자료!$C$2:$C$501,$AB132)="","",INDEX(기본자료!$C$2:$C$501,$AB132)))</f>
        <v/>
      </c>
      <c r="D132" s="10">
        <f>IF($AB132="","",IF(INDEX(기본자료!$J$2:$J$501,$AB132)="","",INDEX(기본자료!$J$2:$J$501,$AB132)))</f>
        <v/>
      </c>
      <c r="E132" s="11">
        <f>IF($AB132="","",IF(INDEX(기본자료!$K$2:$K$501,$AB132)="","",IF(NOT(ISNUMBER(INDEX(기본자료!$K$2:$K$501,$AB132))),INDEX(기본자료!$K$2:$K$501,$AB132),IF(INDEX(기본자료!$K$2:$K$501,$AB132)&lt;1000000,INDEX(기본자료!$K$2:$K$501,$AB132),IF(AND(INDEX(기본자료!$K$2:$K$501,$AB132)&gt;=10000101,INT(MOD(INDEX(기본자료!$K$2:$K$501,$AB132),10000)/100)&gt;=1,INT(MOD(INDEX(기본자료!$K$2:$K$501,$AB132),10000)/100)&lt;=12,MOD(INDEX(기본자료!$K$2:$K$501,$AB132),100)&gt;=1,MOD(INDEX(기본자료!$K$2:$K$501,$AB132),100)&lt;=31),DATE(INT(INDEX(기본자료!$K$2:$K$501,$AB132)/10000),INT(MOD(INDEX(기본자료!$K$2:$K$501,$AB132),10000)/100),MOD(INDEX(기본자료!$K$2:$K$501,$AB132),100)),INDEX(기본자료!$K$2:$K$501,$AB132)&amp;"")))))</f>
        <v/>
      </c>
      <c r="F132" s="10">
        <f>IF($AB132="","",IF(INDEX(기본자료!$D$2:$D$501,$AB132)="","",INDEX(기본자료!$D$2:$D$501,$AB132)))</f>
        <v/>
      </c>
      <c r="G132" s="10">
        <f>IF($AB132="","",IF(INDEX(기본자료!$E$2:$E$501,$AB132)="","",INDEX(기본자료!$E$2:$E$501,$AB132)))</f>
        <v/>
      </c>
      <c r="H132" s="10">
        <f>IF($AB132="","",IF(INDEX(기본자료!$F$2:$F$501,$AB132)="","",INDEX(기본자료!$F$2:$F$501,$AB132)))</f>
        <v/>
      </c>
      <c r="I132" s="11">
        <f>IF($AB132="","",IF(INDEX(기본자료!$G$2:$G$501,$AB132)="","",IF(NOT(ISNUMBER(INDEX(기본자료!$G$2:$G$501,$AB132))),INDEX(기본자료!$G$2:$G$501,$AB132),IF(INDEX(기본자료!$G$2:$G$501,$AB132)&lt;1000000,INDEX(기본자료!$G$2:$G$501,$AB132),IF(AND(INDEX(기본자료!$G$2:$G$501,$AB132)&gt;=10000101,INT(MOD(INDEX(기본자료!$G$2:$G$501,$AB132),10000)/100)&gt;=1,INT(MOD(INDEX(기본자료!$G$2:$G$501,$AB132),10000)/100)&lt;=12,MOD(INDEX(기본자료!$G$2:$G$501,$AB132),100)&gt;=1,MOD(INDEX(기본자료!$G$2:$G$501,$AB132),100)&lt;=31),DATE(INT(INDEX(기본자료!$G$2:$G$501,$AB132)/10000),INT(MOD(INDEX(기본자료!$G$2:$G$501,$AB132),10000)/100),MOD(INDEX(기본자료!$G$2:$G$501,$AB132),100)),INDEX(기본자료!$G$2:$G$501,$AB132)&amp;"")))))</f>
        <v/>
      </c>
      <c r="J132" s="10">
        <f>IF($AB132="","",IF(INDEX(기본자료!$H$2:$H$501,$AB132)="","",INDEX(기본자료!$H$2:$H$501,$AB132)))</f>
        <v/>
      </c>
      <c r="K132" s="10">
        <f>IF($AB132="","",IF(INDEX(기본자료!$I$2:$I$501,$AB132)="","",INDEX(기본자료!$I$2:$I$501,$AB132)))</f>
        <v/>
      </c>
      <c r="L132" s="10">
        <f>IF($AB132="","",IF(INDEX(기본자료!$A$2:$A$501,$AB132)="","",INDEX(기본자료!$A$2:$A$501,$AB132)))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파견수련계획!$AB$4:$AB$203,$AK132),OR(NOT(ISNUMBER(INDEX(파견수련계획!$AC$4:$AC$203,$AK132))),TODAY()&lt;=INDEX(파견수련계획!$AC$4:$AC$203,$AK132))),"다기관",IF($AF132="","",INDEX(파견수련계획!$T$4:$T$203,$AF132))),IF($AF132="","",INDEX(파견수련계획!$T$4:$T$203,$AF132))))</f>
        <v/>
      </c>
      <c r="Q132" s="10">
        <f>IF($AF132="","",INDEX(파견수련계획!$S$4:$S$203,$AF132))</f>
        <v/>
      </c>
      <c r="R132" s="10">
        <f>IF($AF132="","",INDEX(파견수련계획!$U$4:$U$203,$AF132))</f>
        <v/>
      </c>
      <c r="S132" s="11">
        <f>IF($AF132="","",IF(INDEX(파견수련계획!$H$4:$H$203,$AF132)="","",INDEX(파견수련계획!$H$4:$H$203,$AF132)))</f>
        <v/>
      </c>
      <c r="T132" s="11">
        <f>IF($AF132="","",IF(INDEX(파견수련계획!$I$4:$I$203,$AF132)="","",INDEX(파견수련계획!$I$4:$I$203,$AF132)))</f>
        <v/>
      </c>
      <c r="U132" s="10">
        <f>IF($AF132="","",INDEX(파견수련계획!$X$4:$X$203,$AF132))</f>
        <v/>
      </c>
      <c r="V132" s="17">
        <f>IF($AF132="","",INDEX(파견수련계획!$V$4:$V$203,$AF132))</f>
        <v/>
      </c>
      <c r="W132" s="17">
        <f>IF(AND($U132="파견중",$T132&lt;&gt;""),$T132-TODAY(),"")</f>
        <v/>
      </c>
      <c r="X132" s="17">
        <f>IF(OR($B132="",TRIM($J132&amp;"")=""),"",SUMPRODUCT((파견수련계획!$Q$4:$Q$203=TRIM($J132&amp;""))*파견수련계획!$W$4:$W$203))</f>
        <v/>
      </c>
      <c r="Y132" s="10">
        <f>IF($B132="","",IF($AG132="","",IF(IF(TRIM($J132&amp;"")="",0,SUMPRODUCT((파견수련계획!$Q$4:$Q$203=TRIM($J132&amp;""))*파견수련계획!$AD$4:$AD$203))&gt;0,$AE132,IF(N($X132)&lt;=0,$AG132,IF($AH132+$AI132=DAY(EOMONTH(요약!$B$3,0)),IF(AND($AH132&gt;=요약!$E$3,$AI132&lt;요약!$E$3),"서울병원",IF(AND($AI132&gt;=요약!$E$3,$AH132&lt;요약!$E$3),"구리병원","⚠15일 판정불가(서울 "&amp;$AH132&amp;"일/구리 "&amp;$AI132&amp;"일)")),IF($AJ132="",$AE132,IF(INDEX(파견수련계획!$T$4:$T$203,$AJ132)="통합수련",INDEX(파견수련계획!$S$4:$S$203,$AJ132),$AE132)))))))</f>
        <v/>
      </c>
      <c r="Z132" s="19">
        <f>IF($B132="","",IF($AB132="","기본자료에 없는 사번",IF(COUNTIF($B$2:$B$201,$B132)&gt;1,"중복 사번",IF($AE132="","소속(입사장소) 입력",IF(IF(TRIM($J132&amp;"")="",0,SUMPRODUCT((파견수련계획!$Q$4:$Q$203=TRIM($J132&amp;""))*(파견수련계획!$AA$4:$AA$203&lt;&gt;"")))&gt;0,"파견수련계획 입력오류 확인",IF(LEFT($Y132,1)="⚠","서울·구리 15일 판정 불가(양쪽 모두 이상/미만)",IF(IF($AC132="",0,N(INDEX(인턴근무계획!$T$3:$T$202,$AC132)))&gt;0,"인턴계획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IF($B132="","",IFERROR(MATCH($B132,기본자료!$B$2:$B$501,0),IFERROR(MATCH($B132&amp;"",기본자료!$B$2:$B$501,0),IFERROR(MATCH(VALUE($B132),기본자료!$B$2:$B$501,0),""))))</f>
        <v/>
      </c>
      <c r="AC132" s="10">
        <f>IF($B132="","",IFERROR(MATCH($B132,인턴근무계획!$D$3:$D$202,0),IFERROR(MATCH($B132&amp;"",인턴근무계획!$D$3:$D$202,0),IFERROR(MATCH(VALUE($B132),인턴근무계획!$D$3:$D$202,0),""))))</f>
        <v/>
      </c>
      <c r="AD132" s="10">
        <f>IF(OR($AC132="",인턴현황!$G$3=""),"",INDEX(인턴근무계획!$M$3:$R$202,$AC132,인턴현황!$G$3)&amp;"")</f>
        <v/>
      </c>
      <c r="AE132" s="10">
        <f>IF($B132="","",IF($M132&lt;&gt;"",$M132,IF($AF132&lt;&gt;"",IF(LEFT(INDEX(파견수련계획!$R$4:$R$203,$AF132),1)&lt;&gt;"⚠",INDEX(파견수련계획!$R$4:$R$203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파견수련계획!$Y$4:$Y$203,0),IFERROR(MATCH(TRIM($J132&amp;"")&amp;"|파견예정",파견수련계획!$Y$4:$Y$203,0),IFERROR(MATCH(TRIM($J132&amp;"")&amp;"|파견종료",파견수련계획!$Y$4:$Y$203,0),""))))</f>
        <v/>
      </c>
      <c r="AG132" s="10">
        <f>IF($B132="","",IF(AND(IF(OR($AC132="",인턴현황!$K$2=""),"",INDEX(인턴근무계획!$M$3:$R$202,$AC132,인턴현황!$K$2)&amp;"")&lt;&gt;"",LEFT(IF(OR($AC132="",인턴현황!$K$2=""),"",INDEX(인턴근무계획!$M$3:$R$202,$AC132,인턴현황!$K$2)&amp;""),1)&lt;&gt;"⚠"),LEFT(IF(OR($AC132="",인턴현황!$K$2=""),"",INDEX(인턴근무계획!$M$3:$R$202,$AC132,인턴현황!$K$2)&amp;""),FIND(" ",IF(OR($AC132="",인턴현황!$K$2=""),"",INDEX(인턴근무계획!$M$3:$R$202,$AC132,인턴현황!$K$2)&amp;""))-1),$AE132))</f>
        <v/>
      </c>
      <c r="AH132" s="17">
        <f>IF($B132="","",IF(TRIM($J132&amp;"")="",0,SUMPRODUCT((파견수련계획!$Q$4:$Q$203=TRIM($J132&amp;""))*(파견수련계획!$S$4:$S$203="서울병원")*파견수련계획!$W$4:$W$203))+IF($AG132="서울병원",MAX(0,DAY(EOMONTH(요약!$B$3,0))-N($X132)),0))</f>
        <v/>
      </c>
      <c r="AI132" s="17">
        <f>IF($B132="","",IF(TRIM($J132&amp;"")="",0,SUMPRODUCT((파견수련계획!$Q$4:$Q$203=TRIM($J132&amp;""))*(파견수련계획!$S$4:$S$203="구리병원")*파견수련계획!$W$4:$W$203))+IF($AG132="구리병원",MAX(0,DAY(EOMONTH(요약!$B$3,0))-N($X132)),0))</f>
        <v/>
      </c>
      <c r="AJ132" s="10">
        <f>IF(OR($B132="",TRIM($J132&amp;"")=""),"",IFERROR(MATCH(TRIM($J132&amp;"")&amp;"|월",파견수련계획!$Z$4:$Z$203,0),""))</f>
        <v/>
      </c>
      <c r="AK132" s="10">
        <f>IF(OR($B132="",TRIM($J132&amp;"")=""),"",IFERROR(MATCH(TRIM($J132&amp;"")&amp;"|다기관",파견수련계획!$AE$4:$AE$203,0),""))</f>
        <v/>
      </c>
      <c r="AL132" s="10">
        <f>IF($AK132="","","다기관 "&amp;TEXT(INDEX(파견수련계획!$AB$4:$AB$203,$AK132),"yyyy-mm-dd")&amp;"~"&amp;IF(ISNUMBER(INDEX(파견수련계획!$AC$4:$AC$203,$AK132)),TEXT(INDEX(파견수련계획!$AC$4:$AC$203,$AK132),"yyyy-mm-dd"),""))</f>
        <v/>
      </c>
    </row>
    <row r="133">
      <c r="A133" s="10">
        <f>IF(B133="","",ROW()-1)</f>
        <v/>
      </c>
      <c r="B133" s="18" t="n"/>
      <c r="C133" s="10">
        <f>IF($AB133="","",IF(INDEX(기본자료!$C$2:$C$501,$AB133)="","",INDEX(기본자료!$C$2:$C$501,$AB133)))</f>
        <v/>
      </c>
      <c r="D133" s="10">
        <f>IF($AB133="","",IF(INDEX(기본자료!$J$2:$J$501,$AB133)="","",INDEX(기본자료!$J$2:$J$501,$AB133)))</f>
        <v/>
      </c>
      <c r="E133" s="11">
        <f>IF($AB133="","",IF(INDEX(기본자료!$K$2:$K$501,$AB133)="","",IF(NOT(ISNUMBER(INDEX(기본자료!$K$2:$K$501,$AB133))),INDEX(기본자료!$K$2:$K$501,$AB133),IF(INDEX(기본자료!$K$2:$K$501,$AB133)&lt;1000000,INDEX(기본자료!$K$2:$K$501,$AB133),IF(AND(INDEX(기본자료!$K$2:$K$501,$AB133)&gt;=10000101,INT(MOD(INDEX(기본자료!$K$2:$K$501,$AB133),10000)/100)&gt;=1,INT(MOD(INDEX(기본자료!$K$2:$K$501,$AB133),10000)/100)&lt;=12,MOD(INDEX(기본자료!$K$2:$K$501,$AB133),100)&gt;=1,MOD(INDEX(기본자료!$K$2:$K$501,$AB133),100)&lt;=31),DATE(INT(INDEX(기본자료!$K$2:$K$501,$AB133)/10000),INT(MOD(INDEX(기본자료!$K$2:$K$501,$AB133),10000)/100),MOD(INDEX(기본자료!$K$2:$K$501,$AB133),100)),INDEX(기본자료!$K$2:$K$501,$AB133)&amp;"")))))</f>
        <v/>
      </c>
      <c r="F133" s="10">
        <f>IF($AB133="","",IF(INDEX(기본자료!$D$2:$D$501,$AB133)="","",INDEX(기본자료!$D$2:$D$501,$AB133)))</f>
        <v/>
      </c>
      <c r="G133" s="10">
        <f>IF($AB133="","",IF(INDEX(기본자료!$E$2:$E$501,$AB133)="","",INDEX(기본자료!$E$2:$E$501,$AB133)))</f>
        <v/>
      </c>
      <c r="H133" s="10">
        <f>IF($AB133="","",IF(INDEX(기본자료!$F$2:$F$501,$AB133)="","",INDEX(기본자료!$F$2:$F$501,$AB133)))</f>
        <v/>
      </c>
      <c r="I133" s="11">
        <f>IF($AB133="","",IF(INDEX(기본자료!$G$2:$G$501,$AB133)="","",IF(NOT(ISNUMBER(INDEX(기본자료!$G$2:$G$501,$AB133))),INDEX(기본자료!$G$2:$G$501,$AB133),IF(INDEX(기본자료!$G$2:$G$501,$AB133)&lt;1000000,INDEX(기본자료!$G$2:$G$501,$AB133),IF(AND(INDEX(기본자료!$G$2:$G$501,$AB133)&gt;=10000101,INT(MOD(INDEX(기본자료!$G$2:$G$501,$AB133),10000)/100)&gt;=1,INT(MOD(INDEX(기본자료!$G$2:$G$501,$AB133),10000)/100)&lt;=12,MOD(INDEX(기본자료!$G$2:$G$501,$AB133),100)&gt;=1,MOD(INDEX(기본자료!$G$2:$G$501,$AB133),100)&lt;=31),DATE(INT(INDEX(기본자료!$G$2:$G$501,$AB133)/10000),INT(MOD(INDEX(기본자료!$G$2:$G$501,$AB133),10000)/100),MOD(INDEX(기본자료!$G$2:$G$501,$AB133),100)),INDEX(기본자료!$G$2:$G$501,$AB133)&amp;"")))))</f>
        <v/>
      </c>
      <c r="J133" s="10">
        <f>IF($AB133="","",IF(INDEX(기본자료!$H$2:$H$501,$AB133)="","",INDEX(기본자료!$H$2:$H$501,$AB133)))</f>
        <v/>
      </c>
      <c r="K133" s="10">
        <f>IF($AB133="","",IF(INDEX(기본자료!$I$2:$I$501,$AB133)="","",INDEX(기본자료!$I$2:$I$501,$AB133)))</f>
        <v/>
      </c>
      <c r="L133" s="10">
        <f>IF($AB133="","",IF(INDEX(기본자료!$A$2:$A$501,$AB133)="","",INDEX(기본자료!$A$2:$A$501,$AB133)))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파견수련계획!$AB$4:$AB$203,$AK133),OR(NOT(ISNUMBER(INDEX(파견수련계획!$AC$4:$AC$203,$AK133))),TODAY()&lt;=INDEX(파견수련계획!$AC$4:$AC$203,$AK133))),"다기관",IF($AF133="","",INDEX(파견수련계획!$T$4:$T$203,$AF133))),IF($AF133="","",INDEX(파견수련계획!$T$4:$T$203,$AF133))))</f>
        <v/>
      </c>
      <c r="Q133" s="10">
        <f>IF($AF133="","",INDEX(파견수련계획!$S$4:$S$203,$AF133))</f>
        <v/>
      </c>
      <c r="R133" s="10">
        <f>IF($AF133="","",INDEX(파견수련계획!$U$4:$U$203,$AF133))</f>
        <v/>
      </c>
      <c r="S133" s="11">
        <f>IF($AF133="","",IF(INDEX(파견수련계획!$H$4:$H$203,$AF133)="","",INDEX(파견수련계획!$H$4:$H$203,$AF133)))</f>
        <v/>
      </c>
      <c r="T133" s="11">
        <f>IF($AF133="","",IF(INDEX(파견수련계획!$I$4:$I$203,$AF133)="","",INDEX(파견수련계획!$I$4:$I$203,$AF133)))</f>
        <v/>
      </c>
      <c r="U133" s="10">
        <f>IF($AF133="","",INDEX(파견수련계획!$X$4:$X$203,$AF133))</f>
        <v/>
      </c>
      <c r="V133" s="17">
        <f>IF($AF133="","",INDEX(파견수련계획!$V$4:$V$203,$AF133))</f>
        <v/>
      </c>
      <c r="W133" s="17">
        <f>IF(AND($U133="파견중",$T133&lt;&gt;""),$T133-TODAY(),"")</f>
        <v/>
      </c>
      <c r="X133" s="17">
        <f>IF(OR($B133="",TRIM($J133&amp;"")=""),"",SUMPRODUCT((파견수련계획!$Q$4:$Q$203=TRIM($J133&amp;""))*파견수련계획!$W$4:$W$203))</f>
        <v/>
      </c>
      <c r="Y133" s="10">
        <f>IF($B133="","",IF($AG133="","",IF(IF(TRIM($J133&amp;"")="",0,SUMPRODUCT((파견수련계획!$Q$4:$Q$203=TRIM($J133&amp;""))*파견수련계획!$AD$4:$AD$203))&gt;0,$AE133,IF(N($X133)&lt;=0,$AG133,IF($AH133+$AI133=DAY(EOMONTH(요약!$B$3,0)),IF(AND($AH133&gt;=요약!$E$3,$AI133&lt;요약!$E$3),"서울병원",IF(AND($AI133&gt;=요약!$E$3,$AH133&lt;요약!$E$3),"구리병원","⚠15일 판정불가(서울 "&amp;$AH133&amp;"일/구리 "&amp;$AI133&amp;"일)")),IF($AJ133="",$AE133,IF(INDEX(파견수련계획!$T$4:$T$203,$AJ133)="통합수련",INDEX(파견수련계획!$S$4:$S$203,$AJ133),$AE133)))))))</f>
        <v/>
      </c>
      <c r="Z133" s="19">
        <f>IF($B133="","",IF($AB133="","기본자료에 없는 사번",IF(COUNTIF($B$2:$B$201,$B133)&gt;1,"중복 사번",IF($AE133="","소속(입사장소) 입력",IF(IF(TRIM($J133&amp;"")="",0,SUMPRODUCT((파견수련계획!$Q$4:$Q$203=TRIM($J133&amp;""))*(파견수련계획!$AA$4:$AA$203&lt;&gt;"")))&gt;0,"파견수련계획 입력오류 확인",IF(LEFT($Y133,1)="⚠","서울·구리 15일 판정 불가(양쪽 모두 이상/미만)",IF(IF($AC133="",0,N(INDEX(인턴근무계획!$T$3:$T$202,$AC133)))&gt;0,"인턴계획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IF($B133="","",IFERROR(MATCH($B133,기본자료!$B$2:$B$501,0),IFERROR(MATCH($B133&amp;"",기본자료!$B$2:$B$501,0),IFERROR(MATCH(VALUE($B133),기본자료!$B$2:$B$501,0),""))))</f>
        <v/>
      </c>
      <c r="AC133" s="10">
        <f>IF($B133="","",IFERROR(MATCH($B133,인턴근무계획!$D$3:$D$202,0),IFERROR(MATCH($B133&amp;"",인턴근무계획!$D$3:$D$202,0),IFERROR(MATCH(VALUE($B133),인턴근무계획!$D$3:$D$202,0),""))))</f>
        <v/>
      </c>
      <c r="AD133" s="10">
        <f>IF(OR($AC133="",인턴현황!$G$3=""),"",INDEX(인턴근무계획!$M$3:$R$202,$AC133,인턴현황!$G$3)&amp;"")</f>
        <v/>
      </c>
      <c r="AE133" s="10">
        <f>IF($B133="","",IF($M133&lt;&gt;"",$M133,IF($AF133&lt;&gt;"",IF(LEFT(INDEX(파견수련계획!$R$4:$R$203,$AF133),1)&lt;&gt;"⚠",INDEX(파견수련계획!$R$4:$R$203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파견수련계획!$Y$4:$Y$203,0),IFERROR(MATCH(TRIM($J133&amp;"")&amp;"|파견예정",파견수련계획!$Y$4:$Y$203,0),IFERROR(MATCH(TRIM($J133&amp;"")&amp;"|파견종료",파견수련계획!$Y$4:$Y$203,0),""))))</f>
        <v/>
      </c>
      <c r="AG133" s="10">
        <f>IF($B133="","",IF(AND(IF(OR($AC133="",인턴현황!$K$2=""),"",INDEX(인턴근무계획!$M$3:$R$202,$AC133,인턴현황!$K$2)&amp;"")&lt;&gt;"",LEFT(IF(OR($AC133="",인턴현황!$K$2=""),"",INDEX(인턴근무계획!$M$3:$R$202,$AC133,인턴현황!$K$2)&amp;""),1)&lt;&gt;"⚠"),LEFT(IF(OR($AC133="",인턴현황!$K$2=""),"",INDEX(인턴근무계획!$M$3:$R$202,$AC133,인턴현황!$K$2)&amp;""),FIND(" ",IF(OR($AC133="",인턴현황!$K$2=""),"",INDEX(인턴근무계획!$M$3:$R$202,$AC133,인턴현황!$K$2)&amp;""))-1),$AE133))</f>
        <v/>
      </c>
      <c r="AH133" s="17">
        <f>IF($B133="","",IF(TRIM($J133&amp;"")="",0,SUMPRODUCT((파견수련계획!$Q$4:$Q$203=TRIM($J133&amp;""))*(파견수련계획!$S$4:$S$203="서울병원")*파견수련계획!$W$4:$W$203))+IF($AG133="서울병원",MAX(0,DAY(EOMONTH(요약!$B$3,0))-N($X133)),0))</f>
        <v/>
      </c>
      <c r="AI133" s="17">
        <f>IF($B133="","",IF(TRIM($J133&amp;"")="",0,SUMPRODUCT((파견수련계획!$Q$4:$Q$203=TRIM($J133&amp;""))*(파견수련계획!$S$4:$S$203="구리병원")*파견수련계획!$W$4:$W$203))+IF($AG133="구리병원",MAX(0,DAY(EOMONTH(요약!$B$3,0))-N($X133)),0))</f>
        <v/>
      </c>
      <c r="AJ133" s="10">
        <f>IF(OR($B133="",TRIM($J133&amp;"")=""),"",IFERROR(MATCH(TRIM($J133&amp;"")&amp;"|월",파견수련계획!$Z$4:$Z$203,0),""))</f>
        <v/>
      </c>
      <c r="AK133" s="10">
        <f>IF(OR($B133="",TRIM($J133&amp;"")=""),"",IFERROR(MATCH(TRIM($J133&amp;"")&amp;"|다기관",파견수련계획!$AE$4:$AE$203,0),""))</f>
        <v/>
      </c>
      <c r="AL133" s="10">
        <f>IF($AK133="","","다기관 "&amp;TEXT(INDEX(파견수련계획!$AB$4:$AB$203,$AK133),"yyyy-mm-dd")&amp;"~"&amp;IF(ISNUMBER(INDEX(파견수련계획!$AC$4:$AC$203,$AK133)),TEXT(INDEX(파견수련계획!$AC$4:$AC$203,$AK133),"yyyy-mm-dd"),""))</f>
        <v/>
      </c>
    </row>
    <row r="134">
      <c r="A134" s="10">
        <f>IF(B134="","",ROW()-1)</f>
        <v/>
      </c>
      <c r="B134" s="18" t="n"/>
      <c r="C134" s="10">
        <f>IF($AB134="","",IF(INDEX(기본자료!$C$2:$C$501,$AB134)="","",INDEX(기본자료!$C$2:$C$501,$AB134)))</f>
        <v/>
      </c>
      <c r="D134" s="10">
        <f>IF($AB134="","",IF(INDEX(기본자료!$J$2:$J$501,$AB134)="","",INDEX(기본자료!$J$2:$J$501,$AB134)))</f>
        <v/>
      </c>
      <c r="E134" s="11">
        <f>IF($AB134="","",IF(INDEX(기본자료!$K$2:$K$501,$AB134)="","",IF(NOT(ISNUMBER(INDEX(기본자료!$K$2:$K$501,$AB134))),INDEX(기본자료!$K$2:$K$501,$AB134),IF(INDEX(기본자료!$K$2:$K$501,$AB134)&lt;1000000,INDEX(기본자료!$K$2:$K$501,$AB134),IF(AND(INDEX(기본자료!$K$2:$K$501,$AB134)&gt;=10000101,INT(MOD(INDEX(기본자료!$K$2:$K$501,$AB134),10000)/100)&gt;=1,INT(MOD(INDEX(기본자료!$K$2:$K$501,$AB134),10000)/100)&lt;=12,MOD(INDEX(기본자료!$K$2:$K$501,$AB134),100)&gt;=1,MOD(INDEX(기본자료!$K$2:$K$501,$AB134),100)&lt;=31),DATE(INT(INDEX(기본자료!$K$2:$K$501,$AB134)/10000),INT(MOD(INDEX(기본자료!$K$2:$K$501,$AB134),10000)/100),MOD(INDEX(기본자료!$K$2:$K$501,$AB134),100)),INDEX(기본자료!$K$2:$K$501,$AB134)&amp;"")))))</f>
        <v/>
      </c>
      <c r="F134" s="10">
        <f>IF($AB134="","",IF(INDEX(기본자료!$D$2:$D$501,$AB134)="","",INDEX(기본자료!$D$2:$D$501,$AB134)))</f>
        <v/>
      </c>
      <c r="G134" s="10">
        <f>IF($AB134="","",IF(INDEX(기본자료!$E$2:$E$501,$AB134)="","",INDEX(기본자료!$E$2:$E$501,$AB134)))</f>
        <v/>
      </c>
      <c r="H134" s="10">
        <f>IF($AB134="","",IF(INDEX(기본자료!$F$2:$F$501,$AB134)="","",INDEX(기본자료!$F$2:$F$501,$AB134)))</f>
        <v/>
      </c>
      <c r="I134" s="11">
        <f>IF($AB134="","",IF(INDEX(기본자료!$G$2:$G$501,$AB134)="","",IF(NOT(ISNUMBER(INDEX(기본자료!$G$2:$G$501,$AB134))),INDEX(기본자료!$G$2:$G$501,$AB134),IF(INDEX(기본자료!$G$2:$G$501,$AB134)&lt;1000000,INDEX(기본자료!$G$2:$G$501,$AB134),IF(AND(INDEX(기본자료!$G$2:$G$501,$AB134)&gt;=10000101,INT(MOD(INDEX(기본자료!$G$2:$G$501,$AB134),10000)/100)&gt;=1,INT(MOD(INDEX(기본자료!$G$2:$G$501,$AB134),10000)/100)&lt;=12,MOD(INDEX(기본자료!$G$2:$G$501,$AB134),100)&gt;=1,MOD(INDEX(기본자료!$G$2:$G$501,$AB134),100)&lt;=31),DATE(INT(INDEX(기본자료!$G$2:$G$501,$AB134)/10000),INT(MOD(INDEX(기본자료!$G$2:$G$501,$AB134),10000)/100),MOD(INDEX(기본자료!$G$2:$G$501,$AB134),100)),INDEX(기본자료!$G$2:$G$501,$AB134)&amp;"")))))</f>
        <v/>
      </c>
      <c r="J134" s="10">
        <f>IF($AB134="","",IF(INDEX(기본자료!$H$2:$H$501,$AB134)="","",INDEX(기본자료!$H$2:$H$501,$AB134)))</f>
        <v/>
      </c>
      <c r="K134" s="10">
        <f>IF($AB134="","",IF(INDEX(기본자료!$I$2:$I$501,$AB134)="","",INDEX(기본자료!$I$2:$I$501,$AB134)))</f>
        <v/>
      </c>
      <c r="L134" s="10">
        <f>IF($AB134="","",IF(INDEX(기본자료!$A$2:$A$501,$AB134)="","",INDEX(기본자료!$A$2:$A$501,$AB134)))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파견수련계획!$AB$4:$AB$203,$AK134),OR(NOT(ISNUMBER(INDEX(파견수련계획!$AC$4:$AC$203,$AK134))),TODAY()&lt;=INDEX(파견수련계획!$AC$4:$AC$203,$AK134))),"다기관",IF($AF134="","",INDEX(파견수련계획!$T$4:$T$203,$AF134))),IF($AF134="","",INDEX(파견수련계획!$T$4:$T$203,$AF134))))</f>
        <v/>
      </c>
      <c r="Q134" s="10">
        <f>IF($AF134="","",INDEX(파견수련계획!$S$4:$S$203,$AF134))</f>
        <v/>
      </c>
      <c r="R134" s="10">
        <f>IF($AF134="","",INDEX(파견수련계획!$U$4:$U$203,$AF134))</f>
        <v/>
      </c>
      <c r="S134" s="11">
        <f>IF($AF134="","",IF(INDEX(파견수련계획!$H$4:$H$203,$AF134)="","",INDEX(파견수련계획!$H$4:$H$203,$AF134)))</f>
        <v/>
      </c>
      <c r="T134" s="11">
        <f>IF($AF134="","",IF(INDEX(파견수련계획!$I$4:$I$203,$AF134)="","",INDEX(파견수련계획!$I$4:$I$203,$AF134)))</f>
        <v/>
      </c>
      <c r="U134" s="10">
        <f>IF($AF134="","",INDEX(파견수련계획!$X$4:$X$203,$AF134))</f>
        <v/>
      </c>
      <c r="V134" s="17">
        <f>IF($AF134="","",INDEX(파견수련계획!$V$4:$V$203,$AF134))</f>
        <v/>
      </c>
      <c r="W134" s="17">
        <f>IF(AND($U134="파견중",$T134&lt;&gt;""),$T134-TODAY(),"")</f>
        <v/>
      </c>
      <c r="X134" s="17">
        <f>IF(OR($B134="",TRIM($J134&amp;"")=""),"",SUMPRODUCT((파견수련계획!$Q$4:$Q$203=TRIM($J134&amp;""))*파견수련계획!$W$4:$W$203))</f>
        <v/>
      </c>
      <c r="Y134" s="10">
        <f>IF($B134="","",IF($AG134="","",IF(IF(TRIM($J134&amp;"")="",0,SUMPRODUCT((파견수련계획!$Q$4:$Q$203=TRIM($J134&amp;""))*파견수련계획!$AD$4:$AD$203))&gt;0,$AE134,IF(N($X134)&lt;=0,$AG134,IF($AH134+$AI134=DAY(EOMONTH(요약!$B$3,0)),IF(AND($AH134&gt;=요약!$E$3,$AI134&lt;요약!$E$3),"서울병원",IF(AND($AI134&gt;=요약!$E$3,$AH134&lt;요약!$E$3),"구리병원","⚠15일 판정불가(서울 "&amp;$AH134&amp;"일/구리 "&amp;$AI134&amp;"일)")),IF($AJ134="",$AE134,IF(INDEX(파견수련계획!$T$4:$T$203,$AJ134)="통합수련",INDEX(파견수련계획!$S$4:$S$203,$AJ134),$AE134)))))))</f>
        <v/>
      </c>
      <c r="Z134" s="19">
        <f>IF($B134="","",IF($AB134="","기본자료에 없는 사번",IF(COUNTIF($B$2:$B$201,$B134)&gt;1,"중복 사번",IF($AE134="","소속(입사장소) 입력",IF(IF(TRIM($J134&amp;"")="",0,SUMPRODUCT((파견수련계획!$Q$4:$Q$203=TRIM($J134&amp;""))*(파견수련계획!$AA$4:$AA$203&lt;&gt;"")))&gt;0,"파견수련계획 입력오류 확인",IF(LEFT($Y134,1)="⚠","서울·구리 15일 판정 불가(양쪽 모두 이상/미만)",IF(IF($AC134="",0,N(INDEX(인턴근무계획!$T$3:$T$202,$AC134)))&gt;0,"인턴계획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IF($B134="","",IFERROR(MATCH($B134,기본자료!$B$2:$B$501,0),IFERROR(MATCH($B134&amp;"",기본자료!$B$2:$B$501,0),IFERROR(MATCH(VALUE($B134),기본자료!$B$2:$B$501,0),""))))</f>
        <v/>
      </c>
      <c r="AC134" s="10">
        <f>IF($B134="","",IFERROR(MATCH($B134,인턴근무계획!$D$3:$D$202,0),IFERROR(MATCH($B134&amp;"",인턴근무계획!$D$3:$D$202,0),IFERROR(MATCH(VALUE($B134),인턴근무계획!$D$3:$D$202,0),""))))</f>
        <v/>
      </c>
      <c r="AD134" s="10">
        <f>IF(OR($AC134="",인턴현황!$G$3=""),"",INDEX(인턴근무계획!$M$3:$R$202,$AC134,인턴현황!$G$3)&amp;"")</f>
        <v/>
      </c>
      <c r="AE134" s="10">
        <f>IF($B134="","",IF($M134&lt;&gt;"",$M134,IF($AF134&lt;&gt;"",IF(LEFT(INDEX(파견수련계획!$R$4:$R$203,$AF134),1)&lt;&gt;"⚠",INDEX(파견수련계획!$R$4:$R$203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파견수련계획!$Y$4:$Y$203,0),IFERROR(MATCH(TRIM($J134&amp;"")&amp;"|파견예정",파견수련계획!$Y$4:$Y$203,0),IFERROR(MATCH(TRIM($J134&amp;"")&amp;"|파견종료",파견수련계획!$Y$4:$Y$203,0),""))))</f>
        <v/>
      </c>
      <c r="AG134" s="10">
        <f>IF($B134="","",IF(AND(IF(OR($AC134="",인턴현황!$K$2=""),"",INDEX(인턴근무계획!$M$3:$R$202,$AC134,인턴현황!$K$2)&amp;"")&lt;&gt;"",LEFT(IF(OR($AC134="",인턴현황!$K$2=""),"",INDEX(인턴근무계획!$M$3:$R$202,$AC134,인턴현황!$K$2)&amp;""),1)&lt;&gt;"⚠"),LEFT(IF(OR($AC134="",인턴현황!$K$2=""),"",INDEX(인턴근무계획!$M$3:$R$202,$AC134,인턴현황!$K$2)&amp;""),FIND(" ",IF(OR($AC134="",인턴현황!$K$2=""),"",INDEX(인턴근무계획!$M$3:$R$202,$AC134,인턴현황!$K$2)&amp;""))-1),$AE134))</f>
        <v/>
      </c>
      <c r="AH134" s="17">
        <f>IF($B134="","",IF(TRIM($J134&amp;"")="",0,SUMPRODUCT((파견수련계획!$Q$4:$Q$203=TRIM($J134&amp;""))*(파견수련계획!$S$4:$S$203="서울병원")*파견수련계획!$W$4:$W$203))+IF($AG134="서울병원",MAX(0,DAY(EOMONTH(요약!$B$3,0))-N($X134)),0))</f>
        <v/>
      </c>
      <c r="AI134" s="17">
        <f>IF($B134="","",IF(TRIM($J134&amp;"")="",0,SUMPRODUCT((파견수련계획!$Q$4:$Q$203=TRIM($J134&amp;""))*(파견수련계획!$S$4:$S$203="구리병원")*파견수련계획!$W$4:$W$203))+IF($AG134="구리병원",MAX(0,DAY(EOMONTH(요약!$B$3,0))-N($X134)),0))</f>
        <v/>
      </c>
      <c r="AJ134" s="10">
        <f>IF(OR($B134="",TRIM($J134&amp;"")=""),"",IFERROR(MATCH(TRIM($J134&amp;"")&amp;"|월",파견수련계획!$Z$4:$Z$203,0),""))</f>
        <v/>
      </c>
      <c r="AK134" s="10">
        <f>IF(OR($B134="",TRIM($J134&amp;"")=""),"",IFERROR(MATCH(TRIM($J134&amp;"")&amp;"|다기관",파견수련계획!$AE$4:$AE$203,0),""))</f>
        <v/>
      </c>
      <c r="AL134" s="10">
        <f>IF($AK134="","","다기관 "&amp;TEXT(INDEX(파견수련계획!$AB$4:$AB$203,$AK134),"yyyy-mm-dd")&amp;"~"&amp;IF(ISNUMBER(INDEX(파견수련계획!$AC$4:$AC$203,$AK134)),TEXT(INDEX(파견수련계획!$AC$4:$AC$203,$AK134),"yyyy-mm-dd"),""))</f>
        <v/>
      </c>
    </row>
    <row r="135">
      <c r="A135" s="10">
        <f>IF(B135="","",ROW()-1)</f>
        <v/>
      </c>
      <c r="B135" s="18" t="n"/>
      <c r="C135" s="10">
        <f>IF($AB135="","",IF(INDEX(기본자료!$C$2:$C$501,$AB135)="","",INDEX(기본자료!$C$2:$C$501,$AB135)))</f>
        <v/>
      </c>
      <c r="D135" s="10">
        <f>IF($AB135="","",IF(INDEX(기본자료!$J$2:$J$501,$AB135)="","",INDEX(기본자료!$J$2:$J$501,$AB135)))</f>
        <v/>
      </c>
      <c r="E135" s="11">
        <f>IF($AB135="","",IF(INDEX(기본자료!$K$2:$K$501,$AB135)="","",IF(NOT(ISNUMBER(INDEX(기본자료!$K$2:$K$501,$AB135))),INDEX(기본자료!$K$2:$K$501,$AB135),IF(INDEX(기본자료!$K$2:$K$501,$AB135)&lt;1000000,INDEX(기본자료!$K$2:$K$501,$AB135),IF(AND(INDEX(기본자료!$K$2:$K$501,$AB135)&gt;=10000101,INT(MOD(INDEX(기본자료!$K$2:$K$501,$AB135),10000)/100)&gt;=1,INT(MOD(INDEX(기본자료!$K$2:$K$501,$AB135),10000)/100)&lt;=12,MOD(INDEX(기본자료!$K$2:$K$501,$AB135),100)&gt;=1,MOD(INDEX(기본자료!$K$2:$K$501,$AB135),100)&lt;=31),DATE(INT(INDEX(기본자료!$K$2:$K$501,$AB135)/10000),INT(MOD(INDEX(기본자료!$K$2:$K$501,$AB135),10000)/100),MOD(INDEX(기본자료!$K$2:$K$501,$AB135),100)),INDEX(기본자료!$K$2:$K$501,$AB135)&amp;"")))))</f>
        <v/>
      </c>
      <c r="F135" s="10">
        <f>IF($AB135="","",IF(INDEX(기본자료!$D$2:$D$501,$AB135)="","",INDEX(기본자료!$D$2:$D$501,$AB135)))</f>
        <v/>
      </c>
      <c r="G135" s="10">
        <f>IF($AB135="","",IF(INDEX(기본자료!$E$2:$E$501,$AB135)="","",INDEX(기본자료!$E$2:$E$501,$AB135)))</f>
        <v/>
      </c>
      <c r="H135" s="10">
        <f>IF($AB135="","",IF(INDEX(기본자료!$F$2:$F$501,$AB135)="","",INDEX(기본자료!$F$2:$F$501,$AB135)))</f>
        <v/>
      </c>
      <c r="I135" s="11">
        <f>IF($AB135="","",IF(INDEX(기본자료!$G$2:$G$501,$AB135)="","",IF(NOT(ISNUMBER(INDEX(기본자료!$G$2:$G$501,$AB135))),INDEX(기본자료!$G$2:$G$501,$AB135),IF(INDEX(기본자료!$G$2:$G$501,$AB135)&lt;1000000,INDEX(기본자료!$G$2:$G$501,$AB135),IF(AND(INDEX(기본자료!$G$2:$G$501,$AB135)&gt;=10000101,INT(MOD(INDEX(기본자료!$G$2:$G$501,$AB135),10000)/100)&gt;=1,INT(MOD(INDEX(기본자료!$G$2:$G$501,$AB135),10000)/100)&lt;=12,MOD(INDEX(기본자료!$G$2:$G$501,$AB135),100)&gt;=1,MOD(INDEX(기본자료!$G$2:$G$501,$AB135),100)&lt;=31),DATE(INT(INDEX(기본자료!$G$2:$G$501,$AB135)/10000),INT(MOD(INDEX(기본자료!$G$2:$G$501,$AB135),10000)/100),MOD(INDEX(기본자료!$G$2:$G$501,$AB135),100)),INDEX(기본자료!$G$2:$G$501,$AB135)&amp;"")))))</f>
        <v/>
      </c>
      <c r="J135" s="10">
        <f>IF($AB135="","",IF(INDEX(기본자료!$H$2:$H$501,$AB135)="","",INDEX(기본자료!$H$2:$H$501,$AB135)))</f>
        <v/>
      </c>
      <c r="K135" s="10">
        <f>IF($AB135="","",IF(INDEX(기본자료!$I$2:$I$501,$AB135)="","",INDEX(기본자료!$I$2:$I$501,$AB135)))</f>
        <v/>
      </c>
      <c r="L135" s="10">
        <f>IF($AB135="","",IF(INDEX(기본자료!$A$2:$A$501,$AB135)="","",INDEX(기본자료!$A$2:$A$501,$AB135)))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파견수련계획!$AB$4:$AB$203,$AK135),OR(NOT(ISNUMBER(INDEX(파견수련계획!$AC$4:$AC$203,$AK135))),TODAY()&lt;=INDEX(파견수련계획!$AC$4:$AC$203,$AK135))),"다기관",IF($AF135="","",INDEX(파견수련계획!$T$4:$T$203,$AF135))),IF($AF135="","",INDEX(파견수련계획!$T$4:$T$203,$AF135))))</f>
        <v/>
      </c>
      <c r="Q135" s="10">
        <f>IF($AF135="","",INDEX(파견수련계획!$S$4:$S$203,$AF135))</f>
        <v/>
      </c>
      <c r="R135" s="10">
        <f>IF($AF135="","",INDEX(파견수련계획!$U$4:$U$203,$AF135))</f>
        <v/>
      </c>
      <c r="S135" s="11">
        <f>IF($AF135="","",IF(INDEX(파견수련계획!$H$4:$H$203,$AF135)="","",INDEX(파견수련계획!$H$4:$H$203,$AF135)))</f>
        <v/>
      </c>
      <c r="T135" s="11">
        <f>IF($AF135="","",IF(INDEX(파견수련계획!$I$4:$I$203,$AF135)="","",INDEX(파견수련계획!$I$4:$I$203,$AF135)))</f>
        <v/>
      </c>
      <c r="U135" s="10">
        <f>IF($AF135="","",INDEX(파견수련계획!$X$4:$X$203,$AF135))</f>
        <v/>
      </c>
      <c r="V135" s="17">
        <f>IF($AF135="","",INDEX(파견수련계획!$V$4:$V$203,$AF135))</f>
        <v/>
      </c>
      <c r="W135" s="17">
        <f>IF(AND($U135="파견중",$T135&lt;&gt;""),$T135-TODAY(),"")</f>
        <v/>
      </c>
      <c r="X135" s="17">
        <f>IF(OR($B135="",TRIM($J135&amp;"")=""),"",SUMPRODUCT((파견수련계획!$Q$4:$Q$203=TRIM($J135&amp;""))*파견수련계획!$W$4:$W$203))</f>
        <v/>
      </c>
      <c r="Y135" s="10">
        <f>IF($B135="","",IF($AG135="","",IF(IF(TRIM($J135&amp;"")="",0,SUMPRODUCT((파견수련계획!$Q$4:$Q$203=TRIM($J135&amp;""))*파견수련계획!$AD$4:$AD$203))&gt;0,$AE135,IF(N($X135)&lt;=0,$AG135,IF($AH135+$AI135=DAY(EOMONTH(요약!$B$3,0)),IF(AND($AH135&gt;=요약!$E$3,$AI135&lt;요약!$E$3),"서울병원",IF(AND($AI135&gt;=요약!$E$3,$AH135&lt;요약!$E$3),"구리병원","⚠15일 판정불가(서울 "&amp;$AH135&amp;"일/구리 "&amp;$AI135&amp;"일)")),IF($AJ135="",$AE135,IF(INDEX(파견수련계획!$T$4:$T$203,$AJ135)="통합수련",INDEX(파견수련계획!$S$4:$S$203,$AJ135),$AE135)))))))</f>
        <v/>
      </c>
      <c r="Z135" s="19">
        <f>IF($B135="","",IF($AB135="","기본자료에 없는 사번",IF(COUNTIF($B$2:$B$201,$B135)&gt;1,"중복 사번",IF($AE135="","소속(입사장소) 입력",IF(IF(TRIM($J135&amp;"")="",0,SUMPRODUCT((파견수련계획!$Q$4:$Q$203=TRIM($J135&amp;""))*(파견수련계획!$AA$4:$AA$203&lt;&gt;"")))&gt;0,"파견수련계획 입력오류 확인",IF(LEFT($Y135,1)="⚠","서울·구리 15일 판정 불가(양쪽 모두 이상/미만)",IF(IF($AC135="",0,N(INDEX(인턴근무계획!$T$3:$T$202,$AC135)))&gt;0,"인턴계획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IF($B135="","",IFERROR(MATCH($B135,기본자료!$B$2:$B$501,0),IFERROR(MATCH($B135&amp;"",기본자료!$B$2:$B$501,0),IFERROR(MATCH(VALUE($B135),기본자료!$B$2:$B$501,0),""))))</f>
        <v/>
      </c>
      <c r="AC135" s="10">
        <f>IF($B135="","",IFERROR(MATCH($B135,인턴근무계획!$D$3:$D$202,0),IFERROR(MATCH($B135&amp;"",인턴근무계획!$D$3:$D$202,0),IFERROR(MATCH(VALUE($B135),인턴근무계획!$D$3:$D$202,0),""))))</f>
        <v/>
      </c>
      <c r="AD135" s="10">
        <f>IF(OR($AC135="",인턴현황!$G$3=""),"",INDEX(인턴근무계획!$M$3:$R$202,$AC135,인턴현황!$G$3)&amp;"")</f>
        <v/>
      </c>
      <c r="AE135" s="10">
        <f>IF($B135="","",IF($M135&lt;&gt;"",$M135,IF($AF135&lt;&gt;"",IF(LEFT(INDEX(파견수련계획!$R$4:$R$203,$AF135),1)&lt;&gt;"⚠",INDEX(파견수련계획!$R$4:$R$203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파견수련계획!$Y$4:$Y$203,0),IFERROR(MATCH(TRIM($J135&amp;"")&amp;"|파견예정",파견수련계획!$Y$4:$Y$203,0),IFERROR(MATCH(TRIM($J135&amp;"")&amp;"|파견종료",파견수련계획!$Y$4:$Y$203,0),""))))</f>
        <v/>
      </c>
      <c r="AG135" s="10">
        <f>IF($B135="","",IF(AND(IF(OR($AC135="",인턴현황!$K$2=""),"",INDEX(인턴근무계획!$M$3:$R$202,$AC135,인턴현황!$K$2)&amp;"")&lt;&gt;"",LEFT(IF(OR($AC135="",인턴현황!$K$2=""),"",INDEX(인턴근무계획!$M$3:$R$202,$AC135,인턴현황!$K$2)&amp;""),1)&lt;&gt;"⚠"),LEFT(IF(OR($AC135="",인턴현황!$K$2=""),"",INDEX(인턴근무계획!$M$3:$R$202,$AC135,인턴현황!$K$2)&amp;""),FIND(" ",IF(OR($AC135="",인턴현황!$K$2=""),"",INDEX(인턴근무계획!$M$3:$R$202,$AC135,인턴현황!$K$2)&amp;""))-1),$AE135))</f>
        <v/>
      </c>
      <c r="AH135" s="17">
        <f>IF($B135="","",IF(TRIM($J135&amp;"")="",0,SUMPRODUCT((파견수련계획!$Q$4:$Q$203=TRIM($J135&amp;""))*(파견수련계획!$S$4:$S$203="서울병원")*파견수련계획!$W$4:$W$203))+IF($AG135="서울병원",MAX(0,DAY(EOMONTH(요약!$B$3,0))-N($X135)),0))</f>
        <v/>
      </c>
      <c r="AI135" s="17">
        <f>IF($B135="","",IF(TRIM($J135&amp;"")="",0,SUMPRODUCT((파견수련계획!$Q$4:$Q$203=TRIM($J135&amp;""))*(파견수련계획!$S$4:$S$203="구리병원")*파견수련계획!$W$4:$W$203))+IF($AG135="구리병원",MAX(0,DAY(EOMONTH(요약!$B$3,0))-N($X135)),0))</f>
        <v/>
      </c>
      <c r="AJ135" s="10">
        <f>IF(OR($B135="",TRIM($J135&amp;"")=""),"",IFERROR(MATCH(TRIM($J135&amp;"")&amp;"|월",파견수련계획!$Z$4:$Z$203,0),""))</f>
        <v/>
      </c>
      <c r="AK135" s="10">
        <f>IF(OR($B135="",TRIM($J135&amp;"")=""),"",IFERROR(MATCH(TRIM($J135&amp;"")&amp;"|다기관",파견수련계획!$AE$4:$AE$203,0),""))</f>
        <v/>
      </c>
      <c r="AL135" s="10">
        <f>IF($AK135="","","다기관 "&amp;TEXT(INDEX(파견수련계획!$AB$4:$AB$203,$AK135),"yyyy-mm-dd")&amp;"~"&amp;IF(ISNUMBER(INDEX(파견수련계획!$AC$4:$AC$203,$AK135)),TEXT(INDEX(파견수련계획!$AC$4:$AC$203,$AK135),"yyyy-mm-dd"),""))</f>
        <v/>
      </c>
    </row>
    <row r="136">
      <c r="A136" s="10">
        <f>IF(B136="","",ROW()-1)</f>
        <v/>
      </c>
      <c r="B136" s="18" t="n"/>
      <c r="C136" s="10">
        <f>IF($AB136="","",IF(INDEX(기본자료!$C$2:$C$501,$AB136)="","",INDEX(기본자료!$C$2:$C$501,$AB136)))</f>
        <v/>
      </c>
      <c r="D136" s="10">
        <f>IF($AB136="","",IF(INDEX(기본자료!$J$2:$J$501,$AB136)="","",INDEX(기본자료!$J$2:$J$501,$AB136)))</f>
        <v/>
      </c>
      <c r="E136" s="11">
        <f>IF($AB136="","",IF(INDEX(기본자료!$K$2:$K$501,$AB136)="","",IF(NOT(ISNUMBER(INDEX(기본자료!$K$2:$K$501,$AB136))),INDEX(기본자료!$K$2:$K$501,$AB136),IF(INDEX(기본자료!$K$2:$K$501,$AB136)&lt;1000000,INDEX(기본자료!$K$2:$K$501,$AB136),IF(AND(INDEX(기본자료!$K$2:$K$501,$AB136)&gt;=10000101,INT(MOD(INDEX(기본자료!$K$2:$K$501,$AB136),10000)/100)&gt;=1,INT(MOD(INDEX(기본자료!$K$2:$K$501,$AB136),10000)/100)&lt;=12,MOD(INDEX(기본자료!$K$2:$K$501,$AB136),100)&gt;=1,MOD(INDEX(기본자료!$K$2:$K$501,$AB136),100)&lt;=31),DATE(INT(INDEX(기본자료!$K$2:$K$501,$AB136)/10000),INT(MOD(INDEX(기본자료!$K$2:$K$501,$AB136),10000)/100),MOD(INDEX(기본자료!$K$2:$K$501,$AB136),100)),INDEX(기본자료!$K$2:$K$501,$AB136)&amp;"")))))</f>
        <v/>
      </c>
      <c r="F136" s="10">
        <f>IF($AB136="","",IF(INDEX(기본자료!$D$2:$D$501,$AB136)="","",INDEX(기본자료!$D$2:$D$501,$AB136)))</f>
        <v/>
      </c>
      <c r="G136" s="10">
        <f>IF($AB136="","",IF(INDEX(기본자료!$E$2:$E$501,$AB136)="","",INDEX(기본자료!$E$2:$E$501,$AB136)))</f>
        <v/>
      </c>
      <c r="H136" s="10">
        <f>IF($AB136="","",IF(INDEX(기본자료!$F$2:$F$501,$AB136)="","",INDEX(기본자료!$F$2:$F$501,$AB136)))</f>
        <v/>
      </c>
      <c r="I136" s="11">
        <f>IF($AB136="","",IF(INDEX(기본자료!$G$2:$G$501,$AB136)="","",IF(NOT(ISNUMBER(INDEX(기본자료!$G$2:$G$501,$AB136))),INDEX(기본자료!$G$2:$G$501,$AB136),IF(INDEX(기본자료!$G$2:$G$501,$AB136)&lt;1000000,INDEX(기본자료!$G$2:$G$501,$AB136),IF(AND(INDEX(기본자료!$G$2:$G$501,$AB136)&gt;=10000101,INT(MOD(INDEX(기본자료!$G$2:$G$501,$AB136),10000)/100)&gt;=1,INT(MOD(INDEX(기본자료!$G$2:$G$501,$AB136),10000)/100)&lt;=12,MOD(INDEX(기본자료!$G$2:$G$501,$AB136),100)&gt;=1,MOD(INDEX(기본자료!$G$2:$G$501,$AB136),100)&lt;=31),DATE(INT(INDEX(기본자료!$G$2:$G$501,$AB136)/10000),INT(MOD(INDEX(기본자료!$G$2:$G$501,$AB136),10000)/100),MOD(INDEX(기본자료!$G$2:$G$501,$AB136),100)),INDEX(기본자료!$G$2:$G$501,$AB136)&amp;"")))))</f>
        <v/>
      </c>
      <c r="J136" s="10">
        <f>IF($AB136="","",IF(INDEX(기본자료!$H$2:$H$501,$AB136)="","",INDEX(기본자료!$H$2:$H$501,$AB136)))</f>
        <v/>
      </c>
      <c r="K136" s="10">
        <f>IF($AB136="","",IF(INDEX(기본자료!$I$2:$I$501,$AB136)="","",INDEX(기본자료!$I$2:$I$501,$AB136)))</f>
        <v/>
      </c>
      <c r="L136" s="10">
        <f>IF($AB136="","",IF(INDEX(기본자료!$A$2:$A$501,$AB136)="","",INDEX(기본자료!$A$2:$A$501,$AB136)))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파견수련계획!$AB$4:$AB$203,$AK136),OR(NOT(ISNUMBER(INDEX(파견수련계획!$AC$4:$AC$203,$AK136))),TODAY()&lt;=INDEX(파견수련계획!$AC$4:$AC$203,$AK136))),"다기관",IF($AF136="","",INDEX(파견수련계획!$T$4:$T$203,$AF136))),IF($AF136="","",INDEX(파견수련계획!$T$4:$T$203,$AF136))))</f>
        <v/>
      </c>
      <c r="Q136" s="10">
        <f>IF($AF136="","",INDEX(파견수련계획!$S$4:$S$203,$AF136))</f>
        <v/>
      </c>
      <c r="R136" s="10">
        <f>IF($AF136="","",INDEX(파견수련계획!$U$4:$U$203,$AF136))</f>
        <v/>
      </c>
      <c r="S136" s="11">
        <f>IF($AF136="","",IF(INDEX(파견수련계획!$H$4:$H$203,$AF136)="","",INDEX(파견수련계획!$H$4:$H$203,$AF136)))</f>
        <v/>
      </c>
      <c r="T136" s="11">
        <f>IF($AF136="","",IF(INDEX(파견수련계획!$I$4:$I$203,$AF136)="","",INDEX(파견수련계획!$I$4:$I$203,$AF136)))</f>
        <v/>
      </c>
      <c r="U136" s="10">
        <f>IF($AF136="","",INDEX(파견수련계획!$X$4:$X$203,$AF136))</f>
        <v/>
      </c>
      <c r="V136" s="17">
        <f>IF($AF136="","",INDEX(파견수련계획!$V$4:$V$203,$AF136))</f>
        <v/>
      </c>
      <c r="W136" s="17">
        <f>IF(AND($U136="파견중",$T136&lt;&gt;""),$T136-TODAY(),"")</f>
        <v/>
      </c>
      <c r="X136" s="17">
        <f>IF(OR($B136="",TRIM($J136&amp;"")=""),"",SUMPRODUCT((파견수련계획!$Q$4:$Q$203=TRIM($J136&amp;""))*파견수련계획!$W$4:$W$203))</f>
        <v/>
      </c>
      <c r="Y136" s="10">
        <f>IF($B136="","",IF($AG136="","",IF(IF(TRIM($J136&amp;"")="",0,SUMPRODUCT((파견수련계획!$Q$4:$Q$203=TRIM($J136&amp;""))*파견수련계획!$AD$4:$AD$203))&gt;0,$AE136,IF(N($X136)&lt;=0,$AG136,IF($AH136+$AI136=DAY(EOMONTH(요약!$B$3,0)),IF(AND($AH136&gt;=요약!$E$3,$AI136&lt;요약!$E$3),"서울병원",IF(AND($AI136&gt;=요약!$E$3,$AH136&lt;요약!$E$3),"구리병원","⚠15일 판정불가(서울 "&amp;$AH136&amp;"일/구리 "&amp;$AI136&amp;"일)")),IF($AJ136="",$AE136,IF(INDEX(파견수련계획!$T$4:$T$203,$AJ136)="통합수련",INDEX(파견수련계획!$S$4:$S$203,$AJ136),$AE136)))))))</f>
        <v/>
      </c>
      <c r="Z136" s="19">
        <f>IF($B136="","",IF($AB136="","기본자료에 없는 사번",IF(COUNTIF($B$2:$B$201,$B136)&gt;1,"중복 사번",IF($AE136="","소속(입사장소) 입력",IF(IF(TRIM($J136&amp;"")="",0,SUMPRODUCT((파견수련계획!$Q$4:$Q$203=TRIM($J136&amp;""))*(파견수련계획!$AA$4:$AA$203&lt;&gt;"")))&gt;0,"파견수련계획 입력오류 확인",IF(LEFT($Y136,1)="⚠","서울·구리 15일 판정 불가(양쪽 모두 이상/미만)",IF(IF($AC136="",0,N(INDEX(인턴근무계획!$T$3:$T$202,$AC136)))&gt;0,"인턴계획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IF($B136="","",IFERROR(MATCH($B136,기본자료!$B$2:$B$501,0),IFERROR(MATCH($B136&amp;"",기본자료!$B$2:$B$501,0),IFERROR(MATCH(VALUE($B136),기본자료!$B$2:$B$501,0),""))))</f>
        <v/>
      </c>
      <c r="AC136" s="10">
        <f>IF($B136="","",IFERROR(MATCH($B136,인턴근무계획!$D$3:$D$202,0),IFERROR(MATCH($B136&amp;"",인턴근무계획!$D$3:$D$202,0),IFERROR(MATCH(VALUE($B136),인턴근무계획!$D$3:$D$202,0),""))))</f>
        <v/>
      </c>
      <c r="AD136" s="10">
        <f>IF(OR($AC136="",인턴현황!$G$3=""),"",INDEX(인턴근무계획!$M$3:$R$202,$AC136,인턴현황!$G$3)&amp;"")</f>
        <v/>
      </c>
      <c r="AE136" s="10">
        <f>IF($B136="","",IF($M136&lt;&gt;"",$M136,IF($AF136&lt;&gt;"",IF(LEFT(INDEX(파견수련계획!$R$4:$R$203,$AF136),1)&lt;&gt;"⚠",INDEX(파견수련계획!$R$4:$R$203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파견수련계획!$Y$4:$Y$203,0),IFERROR(MATCH(TRIM($J136&amp;"")&amp;"|파견예정",파견수련계획!$Y$4:$Y$203,0),IFERROR(MATCH(TRIM($J136&amp;"")&amp;"|파견종료",파견수련계획!$Y$4:$Y$203,0),""))))</f>
        <v/>
      </c>
      <c r="AG136" s="10">
        <f>IF($B136="","",IF(AND(IF(OR($AC136="",인턴현황!$K$2=""),"",INDEX(인턴근무계획!$M$3:$R$202,$AC136,인턴현황!$K$2)&amp;"")&lt;&gt;"",LEFT(IF(OR($AC136="",인턴현황!$K$2=""),"",INDEX(인턴근무계획!$M$3:$R$202,$AC136,인턴현황!$K$2)&amp;""),1)&lt;&gt;"⚠"),LEFT(IF(OR($AC136="",인턴현황!$K$2=""),"",INDEX(인턴근무계획!$M$3:$R$202,$AC136,인턴현황!$K$2)&amp;""),FIND(" ",IF(OR($AC136="",인턴현황!$K$2=""),"",INDEX(인턴근무계획!$M$3:$R$202,$AC136,인턴현황!$K$2)&amp;""))-1),$AE136))</f>
        <v/>
      </c>
      <c r="AH136" s="17">
        <f>IF($B136="","",IF(TRIM($J136&amp;"")="",0,SUMPRODUCT((파견수련계획!$Q$4:$Q$203=TRIM($J136&amp;""))*(파견수련계획!$S$4:$S$203="서울병원")*파견수련계획!$W$4:$W$203))+IF($AG136="서울병원",MAX(0,DAY(EOMONTH(요약!$B$3,0))-N($X136)),0))</f>
        <v/>
      </c>
      <c r="AI136" s="17">
        <f>IF($B136="","",IF(TRIM($J136&amp;"")="",0,SUMPRODUCT((파견수련계획!$Q$4:$Q$203=TRIM($J136&amp;""))*(파견수련계획!$S$4:$S$203="구리병원")*파견수련계획!$W$4:$W$203))+IF($AG136="구리병원",MAX(0,DAY(EOMONTH(요약!$B$3,0))-N($X136)),0))</f>
        <v/>
      </c>
      <c r="AJ136" s="10">
        <f>IF(OR($B136="",TRIM($J136&amp;"")=""),"",IFERROR(MATCH(TRIM($J136&amp;"")&amp;"|월",파견수련계획!$Z$4:$Z$203,0),""))</f>
        <v/>
      </c>
      <c r="AK136" s="10">
        <f>IF(OR($B136="",TRIM($J136&amp;"")=""),"",IFERROR(MATCH(TRIM($J136&amp;"")&amp;"|다기관",파견수련계획!$AE$4:$AE$203,0),""))</f>
        <v/>
      </c>
      <c r="AL136" s="10">
        <f>IF($AK136="","","다기관 "&amp;TEXT(INDEX(파견수련계획!$AB$4:$AB$203,$AK136),"yyyy-mm-dd")&amp;"~"&amp;IF(ISNUMBER(INDEX(파견수련계획!$AC$4:$AC$203,$AK136)),TEXT(INDEX(파견수련계획!$AC$4:$AC$203,$AK136),"yyyy-mm-dd"),""))</f>
        <v/>
      </c>
    </row>
    <row r="137">
      <c r="A137" s="10">
        <f>IF(B137="","",ROW()-1)</f>
        <v/>
      </c>
      <c r="B137" s="18" t="n"/>
      <c r="C137" s="10">
        <f>IF($AB137="","",IF(INDEX(기본자료!$C$2:$C$501,$AB137)="","",INDEX(기본자료!$C$2:$C$501,$AB137)))</f>
        <v/>
      </c>
      <c r="D137" s="10">
        <f>IF($AB137="","",IF(INDEX(기본자료!$J$2:$J$501,$AB137)="","",INDEX(기본자료!$J$2:$J$501,$AB137)))</f>
        <v/>
      </c>
      <c r="E137" s="11">
        <f>IF($AB137="","",IF(INDEX(기본자료!$K$2:$K$501,$AB137)="","",IF(NOT(ISNUMBER(INDEX(기본자료!$K$2:$K$501,$AB137))),INDEX(기본자료!$K$2:$K$501,$AB137),IF(INDEX(기본자료!$K$2:$K$501,$AB137)&lt;1000000,INDEX(기본자료!$K$2:$K$501,$AB137),IF(AND(INDEX(기본자료!$K$2:$K$501,$AB137)&gt;=10000101,INT(MOD(INDEX(기본자료!$K$2:$K$501,$AB137),10000)/100)&gt;=1,INT(MOD(INDEX(기본자료!$K$2:$K$501,$AB137),10000)/100)&lt;=12,MOD(INDEX(기본자료!$K$2:$K$501,$AB137),100)&gt;=1,MOD(INDEX(기본자료!$K$2:$K$501,$AB137),100)&lt;=31),DATE(INT(INDEX(기본자료!$K$2:$K$501,$AB137)/10000),INT(MOD(INDEX(기본자료!$K$2:$K$501,$AB137),10000)/100),MOD(INDEX(기본자료!$K$2:$K$501,$AB137),100)),INDEX(기본자료!$K$2:$K$501,$AB137)&amp;"")))))</f>
        <v/>
      </c>
      <c r="F137" s="10">
        <f>IF($AB137="","",IF(INDEX(기본자료!$D$2:$D$501,$AB137)="","",INDEX(기본자료!$D$2:$D$501,$AB137)))</f>
        <v/>
      </c>
      <c r="G137" s="10">
        <f>IF($AB137="","",IF(INDEX(기본자료!$E$2:$E$501,$AB137)="","",INDEX(기본자료!$E$2:$E$501,$AB137)))</f>
        <v/>
      </c>
      <c r="H137" s="10">
        <f>IF($AB137="","",IF(INDEX(기본자료!$F$2:$F$501,$AB137)="","",INDEX(기본자료!$F$2:$F$501,$AB137)))</f>
        <v/>
      </c>
      <c r="I137" s="11">
        <f>IF($AB137="","",IF(INDEX(기본자료!$G$2:$G$501,$AB137)="","",IF(NOT(ISNUMBER(INDEX(기본자료!$G$2:$G$501,$AB137))),INDEX(기본자료!$G$2:$G$501,$AB137),IF(INDEX(기본자료!$G$2:$G$501,$AB137)&lt;1000000,INDEX(기본자료!$G$2:$G$501,$AB137),IF(AND(INDEX(기본자료!$G$2:$G$501,$AB137)&gt;=10000101,INT(MOD(INDEX(기본자료!$G$2:$G$501,$AB137),10000)/100)&gt;=1,INT(MOD(INDEX(기본자료!$G$2:$G$501,$AB137),10000)/100)&lt;=12,MOD(INDEX(기본자료!$G$2:$G$501,$AB137),100)&gt;=1,MOD(INDEX(기본자료!$G$2:$G$501,$AB137),100)&lt;=31),DATE(INT(INDEX(기본자료!$G$2:$G$501,$AB137)/10000),INT(MOD(INDEX(기본자료!$G$2:$G$501,$AB137),10000)/100),MOD(INDEX(기본자료!$G$2:$G$501,$AB137),100)),INDEX(기본자료!$G$2:$G$501,$AB137)&amp;"")))))</f>
        <v/>
      </c>
      <c r="J137" s="10">
        <f>IF($AB137="","",IF(INDEX(기본자료!$H$2:$H$501,$AB137)="","",INDEX(기본자료!$H$2:$H$501,$AB137)))</f>
        <v/>
      </c>
      <c r="K137" s="10">
        <f>IF($AB137="","",IF(INDEX(기본자료!$I$2:$I$501,$AB137)="","",INDEX(기본자료!$I$2:$I$501,$AB137)))</f>
        <v/>
      </c>
      <c r="L137" s="10">
        <f>IF($AB137="","",IF(INDEX(기본자료!$A$2:$A$501,$AB137)="","",INDEX(기본자료!$A$2:$A$501,$AB137)))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파견수련계획!$AB$4:$AB$203,$AK137),OR(NOT(ISNUMBER(INDEX(파견수련계획!$AC$4:$AC$203,$AK137))),TODAY()&lt;=INDEX(파견수련계획!$AC$4:$AC$203,$AK137))),"다기관",IF($AF137="","",INDEX(파견수련계획!$T$4:$T$203,$AF137))),IF($AF137="","",INDEX(파견수련계획!$T$4:$T$203,$AF137))))</f>
        <v/>
      </c>
      <c r="Q137" s="10">
        <f>IF($AF137="","",INDEX(파견수련계획!$S$4:$S$203,$AF137))</f>
        <v/>
      </c>
      <c r="R137" s="10">
        <f>IF($AF137="","",INDEX(파견수련계획!$U$4:$U$203,$AF137))</f>
        <v/>
      </c>
      <c r="S137" s="11">
        <f>IF($AF137="","",IF(INDEX(파견수련계획!$H$4:$H$203,$AF137)="","",INDEX(파견수련계획!$H$4:$H$203,$AF137)))</f>
        <v/>
      </c>
      <c r="T137" s="11">
        <f>IF($AF137="","",IF(INDEX(파견수련계획!$I$4:$I$203,$AF137)="","",INDEX(파견수련계획!$I$4:$I$203,$AF137)))</f>
        <v/>
      </c>
      <c r="U137" s="10">
        <f>IF($AF137="","",INDEX(파견수련계획!$X$4:$X$203,$AF137))</f>
        <v/>
      </c>
      <c r="V137" s="17">
        <f>IF($AF137="","",INDEX(파견수련계획!$V$4:$V$203,$AF137))</f>
        <v/>
      </c>
      <c r="W137" s="17">
        <f>IF(AND($U137="파견중",$T137&lt;&gt;""),$T137-TODAY(),"")</f>
        <v/>
      </c>
      <c r="X137" s="17">
        <f>IF(OR($B137="",TRIM($J137&amp;"")=""),"",SUMPRODUCT((파견수련계획!$Q$4:$Q$203=TRIM($J137&amp;""))*파견수련계획!$W$4:$W$203))</f>
        <v/>
      </c>
      <c r="Y137" s="10">
        <f>IF($B137="","",IF($AG137="","",IF(IF(TRIM($J137&amp;"")="",0,SUMPRODUCT((파견수련계획!$Q$4:$Q$203=TRIM($J137&amp;""))*파견수련계획!$AD$4:$AD$203))&gt;0,$AE137,IF(N($X137)&lt;=0,$AG137,IF($AH137+$AI137=DAY(EOMONTH(요약!$B$3,0)),IF(AND($AH137&gt;=요약!$E$3,$AI137&lt;요약!$E$3),"서울병원",IF(AND($AI137&gt;=요약!$E$3,$AH137&lt;요약!$E$3),"구리병원","⚠15일 판정불가(서울 "&amp;$AH137&amp;"일/구리 "&amp;$AI137&amp;"일)")),IF($AJ137="",$AE137,IF(INDEX(파견수련계획!$T$4:$T$203,$AJ137)="통합수련",INDEX(파견수련계획!$S$4:$S$203,$AJ137),$AE137)))))))</f>
        <v/>
      </c>
      <c r="Z137" s="19">
        <f>IF($B137="","",IF($AB137="","기본자료에 없는 사번",IF(COUNTIF($B$2:$B$201,$B137)&gt;1,"중복 사번",IF($AE137="","소속(입사장소) 입력",IF(IF(TRIM($J137&amp;"")="",0,SUMPRODUCT((파견수련계획!$Q$4:$Q$203=TRIM($J137&amp;""))*(파견수련계획!$AA$4:$AA$203&lt;&gt;"")))&gt;0,"파견수련계획 입력오류 확인",IF(LEFT($Y137,1)="⚠","서울·구리 15일 판정 불가(양쪽 모두 이상/미만)",IF(IF($AC137="",0,N(INDEX(인턴근무계획!$T$3:$T$202,$AC137)))&gt;0,"인턴계획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IF($B137="","",IFERROR(MATCH($B137,기본자료!$B$2:$B$501,0),IFERROR(MATCH($B137&amp;"",기본자료!$B$2:$B$501,0),IFERROR(MATCH(VALUE($B137),기본자료!$B$2:$B$501,0),""))))</f>
        <v/>
      </c>
      <c r="AC137" s="10">
        <f>IF($B137="","",IFERROR(MATCH($B137,인턴근무계획!$D$3:$D$202,0),IFERROR(MATCH($B137&amp;"",인턴근무계획!$D$3:$D$202,0),IFERROR(MATCH(VALUE($B137),인턴근무계획!$D$3:$D$202,0),""))))</f>
        <v/>
      </c>
      <c r="AD137" s="10">
        <f>IF(OR($AC137="",인턴현황!$G$3=""),"",INDEX(인턴근무계획!$M$3:$R$202,$AC137,인턴현황!$G$3)&amp;"")</f>
        <v/>
      </c>
      <c r="AE137" s="10">
        <f>IF($B137="","",IF($M137&lt;&gt;"",$M137,IF($AF137&lt;&gt;"",IF(LEFT(INDEX(파견수련계획!$R$4:$R$203,$AF137),1)&lt;&gt;"⚠",INDEX(파견수련계획!$R$4:$R$203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파견수련계획!$Y$4:$Y$203,0),IFERROR(MATCH(TRIM($J137&amp;"")&amp;"|파견예정",파견수련계획!$Y$4:$Y$203,0),IFERROR(MATCH(TRIM($J137&amp;"")&amp;"|파견종료",파견수련계획!$Y$4:$Y$203,0),""))))</f>
        <v/>
      </c>
      <c r="AG137" s="10">
        <f>IF($B137="","",IF(AND(IF(OR($AC137="",인턴현황!$K$2=""),"",INDEX(인턴근무계획!$M$3:$R$202,$AC137,인턴현황!$K$2)&amp;"")&lt;&gt;"",LEFT(IF(OR($AC137="",인턴현황!$K$2=""),"",INDEX(인턴근무계획!$M$3:$R$202,$AC137,인턴현황!$K$2)&amp;""),1)&lt;&gt;"⚠"),LEFT(IF(OR($AC137="",인턴현황!$K$2=""),"",INDEX(인턴근무계획!$M$3:$R$202,$AC137,인턴현황!$K$2)&amp;""),FIND(" ",IF(OR($AC137="",인턴현황!$K$2=""),"",INDEX(인턴근무계획!$M$3:$R$202,$AC137,인턴현황!$K$2)&amp;""))-1),$AE137))</f>
        <v/>
      </c>
      <c r="AH137" s="17">
        <f>IF($B137="","",IF(TRIM($J137&amp;"")="",0,SUMPRODUCT((파견수련계획!$Q$4:$Q$203=TRIM($J137&amp;""))*(파견수련계획!$S$4:$S$203="서울병원")*파견수련계획!$W$4:$W$203))+IF($AG137="서울병원",MAX(0,DAY(EOMONTH(요약!$B$3,0))-N($X137)),0))</f>
        <v/>
      </c>
      <c r="AI137" s="17">
        <f>IF($B137="","",IF(TRIM($J137&amp;"")="",0,SUMPRODUCT((파견수련계획!$Q$4:$Q$203=TRIM($J137&amp;""))*(파견수련계획!$S$4:$S$203="구리병원")*파견수련계획!$W$4:$W$203))+IF($AG137="구리병원",MAX(0,DAY(EOMONTH(요약!$B$3,0))-N($X137)),0))</f>
        <v/>
      </c>
      <c r="AJ137" s="10">
        <f>IF(OR($B137="",TRIM($J137&amp;"")=""),"",IFERROR(MATCH(TRIM($J137&amp;"")&amp;"|월",파견수련계획!$Z$4:$Z$203,0),""))</f>
        <v/>
      </c>
      <c r="AK137" s="10">
        <f>IF(OR($B137="",TRIM($J137&amp;"")=""),"",IFERROR(MATCH(TRIM($J137&amp;"")&amp;"|다기관",파견수련계획!$AE$4:$AE$203,0),""))</f>
        <v/>
      </c>
      <c r="AL137" s="10">
        <f>IF($AK137="","","다기관 "&amp;TEXT(INDEX(파견수련계획!$AB$4:$AB$203,$AK137),"yyyy-mm-dd")&amp;"~"&amp;IF(ISNUMBER(INDEX(파견수련계획!$AC$4:$AC$203,$AK137)),TEXT(INDEX(파견수련계획!$AC$4:$AC$203,$AK137),"yyyy-mm-dd"),""))</f>
        <v/>
      </c>
    </row>
    <row r="138">
      <c r="A138" s="10">
        <f>IF(B138="","",ROW()-1)</f>
        <v/>
      </c>
      <c r="B138" s="18" t="n"/>
      <c r="C138" s="10">
        <f>IF($AB138="","",IF(INDEX(기본자료!$C$2:$C$501,$AB138)="","",INDEX(기본자료!$C$2:$C$501,$AB138)))</f>
        <v/>
      </c>
      <c r="D138" s="10">
        <f>IF($AB138="","",IF(INDEX(기본자료!$J$2:$J$501,$AB138)="","",INDEX(기본자료!$J$2:$J$501,$AB138)))</f>
        <v/>
      </c>
      <c r="E138" s="11">
        <f>IF($AB138="","",IF(INDEX(기본자료!$K$2:$K$501,$AB138)="","",IF(NOT(ISNUMBER(INDEX(기본자료!$K$2:$K$501,$AB138))),INDEX(기본자료!$K$2:$K$501,$AB138),IF(INDEX(기본자료!$K$2:$K$501,$AB138)&lt;1000000,INDEX(기본자료!$K$2:$K$501,$AB138),IF(AND(INDEX(기본자료!$K$2:$K$501,$AB138)&gt;=10000101,INT(MOD(INDEX(기본자료!$K$2:$K$501,$AB138),10000)/100)&gt;=1,INT(MOD(INDEX(기본자료!$K$2:$K$501,$AB138),10000)/100)&lt;=12,MOD(INDEX(기본자료!$K$2:$K$501,$AB138),100)&gt;=1,MOD(INDEX(기본자료!$K$2:$K$501,$AB138),100)&lt;=31),DATE(INT(INDEX(기본자료!$K$2:$K$501,$AB138)/10000),INT(MOD(INDEX(기본자료!$K$2:$K$501,$AB138),10000)/100),MOD(INDEX(기본자료!$K$2:$K$501,$AB138),100)),INDEX(기본자료!$K$2:$K$501,$AB138)&amp;"")))))</f>
        <v/>
      </c>
      <c r="F138" s="10">
        <f>IF($AB138="","",IF(INDEX(기본자료!$D$2:$D$501,$AB138)="","",INDEX(기본자료!$D$2:$D$501,$AB138)))</f>
        <v/>
      </c>
      <c r="G138" s="10">
        <f>IF($AB138="","",IF(INDEX(기본자료!$E$2:$E$501,$AB138)="","",INDEX(기본자료!$E$2:$E$501,$AB138)))</f>
        <v/>
      </c>
      <c r="H138" s="10">
        <f>IF($AB138="","",IF(INDEX(기본자료!$F$2:$F$501,$AB138)="","",INDEX(기본자료!$F$2:$F$501,$AB138)))</f>
        <v/>
      </c>
      <c r="I138" s="11">
        <f>IF($AB138="","",IF(INDEX(기본자료!$G$2:$G$501,$AB138)="","",IF(NOT(ISNUMBER(INDEX(기본자료!$G$2:$G$501,$AB138))),INDEX(기본자료!$G$2:$G$501,$AB138),IF(INDEX(기본자료!$G$2:$G$501,$AB138)&lt;1000000,INDEX(기본자료!$G$2:$G$501,$AB138),IF(AND(INDEX(기본자료!$G$2:$G$501,$AB138)&gt;=10000101,INT(MOD(INDEX(기본자료!$G$2:$G$501,$AB138),10000)/100)&gt;=1,INT(MOD(INDEX(기본자료!$G$2:$G$501,$AB138),10000)/100)&lt;=12,MOD(INDEX(기본자료!$G$2:$G$501,$AB138),100)&gt;=1,MOD(INDEX(기본자료!$G$2:$G$501,$AB138),100)&lt;=31),DATE(INT(INDEX(기본자료!$G$2:$G$501,$AB138)/10000),INT(MOD(INDEX(기본자료!$G$2:$G$501,$AB138),10000)/100),MOD(INDEX(기본자료!$G$2:$G$501,$AB138),100)),INDEX(기본자료!$G$2:$G$501,$AB138)&amp;"")))))</f>
        <v/>
      </c>
      <c r="J138" s="10">
        <f>IF($AB138="","",IF(INDEX(기본자료!$H$2:$H$501,$AB138)="","",INDEX(기본자료!$H$2:$H$501,$AB138)))</f>
        <v/>
      </c>
      <c r="K138" s="10">
        <f>IF($AB138="","",IF(INDEX(기본자료!$I$2:$I$501,$AB138)="","",INDEX(기본자료!$I$2:$I$501,$AB138)))</f>
        <v/>
      </c>
      <c r="L138" s="10">
        <f>IF($AB138="","",IF(INDEX(기본자료!$A$2:$A$501,$AB138)="","",INDEX(기본자료!$A$2:$A$501,$AB138)))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파견수련계획!$AB$4:$AB$203,$AK138),OR(NOT(ISNUMBER(INDEX(파견수련계획!$AC$4:$AC$203,$AK138))),TODAY()&lt;=INDEX(파견수련계획!$AC$4:$AC$203,$AK138))),"다기관",IF($AF138="","",INDEX(파견수련계획!$T$4:$T$203,$AF138))),IF($AF138="","",INDEX(파견수련계획!$T$4:$T$203,$AF138))))</f>
        <v/>
      </c>
      <c r="Q138" s="10">
        <f>IF($AF138="","",INDEX(파견수련계획!$S$4:$S$203,$AF138))</f>
        <v/>
      </c>
      <c r="R138" s="10">
        <f>IF($AF138="","",INDEX(파견수련계획!$U$4:$U$203,$AF138))</f>
        <v/>
      </c>
      <c r="S138" s="11">
        <f>IF($AF138="","",IF(INDEX(파견수련계획!$H$4:$H$203,$AF138)="","",INDEX(파견수련계획!$H$4:$H$203,$AF138)))</f>
        <v/>
      </c>
      <c r="T138" s="11">
        <f>IF($AF138="","",IF(INDEX(파견수련계획!$I$4:$I$203,$AF138)="","",INDEX(파견수련계획!$I$4:$I$203,$AF138)))</f>
        <v/>
      </c>
      <c r="U138" s="10">
        <f>IF($AF138="","",INDEX(파견수련계획!$X$4:$X$203,$AF138))</f>
        <v/>
      </c>
      <c r="V138" s="17">
        <f>IF($AF138="","",INDEX(파견수련계획!$V$4:$V$203,$AF138))</f>
        <v/>
      </c>
      <c r="W138" s="17">
        <f>IF(AND($U138="파견중",$T138&lt;&gt;""),$T138-TODAY(),"")</f>
        <v/>
      </c>
      <c r="X138" s="17">
        <f>IF(OR($B138="",TRIM($J138&amp;"")=""),"",SUMPRODUCT((파견수련계획!$Q$4:$Q$203=TRIM($J138&amp;""))*파견수련계획!$W$4:$W$203))</f>
        <v/>
      </c>
      <c r="Y138" s="10">
        <f>IF($B138="","",IF($AG138="","",IF(IF(TRIM($J138&amp;"")="",0,SUMPRODUCT((파견수련계획!$Q$4:$Q$203=TRIM($J138&amp;""))*파견수련계획!$AD$4:$AD$203))&gt;0,$AE138,IF(N($X138)&lt;=0,$AG138,IF($AH138+$AI138=DAY(EOMONTH(요약!$B$3,0)),IF(AND($AH138&gt;=요약!$E$3,$AI138&lt;요약!$E$3),"서울병원",IF(AND($AI138&gt;=요약!$E$3,$AH138&lt;요약!$E$3),"구리병원","⚠15일 판정불가(서울 "&amp;$AH138&amp;"일/구리 "&amp;$AI138&amp;"일)")),IF($AJ138="",$AE138,IF(INDEX(파견수련계획!$T$4:$T$203,$AJ138)="통합수련",INDEX(파견수련계획!$S$4:$S$203,$AJ138),$AE138)))))))</f>
        <v/>
      </c>
      <c r="Z138" s="19">
        <f>IF($B138="","",IF($AB138="","기본자료에 없는 사번",IF(COUNTIF($B$2:$B$201,$B138)&gt;1,"중복 사번",IF($AE138="","소속(입사장소) 입력",IF(IF(TRIM($J138&amp;"")="",0,SUMPRODUCT((파견수련계획!$Q$4:$Q$203=TRIM($J138&amp;""))*(파견수련계획!$AA$4:$AA$203&lt;&gt;"")))&gt;0,"파견수련계획 입력오류 확인",IF(LEFT($Y138,1)="⚠","서울·구리 15일 판정 불가(양쪽 모두 이상/미만)",IF(IF($AC138="",0,N(INDEX(인턴근무계획!$T$3:$T$202,$AC138)))&gt;0,"인턴계획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IF($B138="","",IFERROR(MATCH($B138,기본자료!$B$2:$B$501,0),IFERROR(MATCH($B138&amp;"",기본자료!$B$2:$B$501,0),IFERROR(MATCH(VALUE($B138),기본자료!$B$2:$B$501,0),""))))</f>
        <v/>
      </c>
      <c r="AC138" s="10">
        <f>IF($B138="","",IFERROR(MATCH($B138,인턴근무계획!$D$3:$D$202,0),IFERROR(MATCH($B138&amp;"",인턴근무계획!$D$3:$D$202,0),IFERROR(MATCH(VALUE($B138),인턴근무계획!$D$3:$D$202,0),""))))</f>
        <v/>
      </c>
      <c r="AD138" s="10">
        <f>IF(OR($AC138="",인턴현황!$G$3=""),"",INDEX(인턴근무계획!$M$3:$R$202,$AC138,인턴현황!$G$3)&amp;"")</f>
        <v/>
      </c>
      <c r="AE138" s="10">
        <f>IF($B138="","",IF($M138&lt;&gt;"",$M138,IF($AF138&lt;&gt;"",IF(LEFT(INDEX(파견수련계획!$R$4:$R$203,$AF138),1)&lt;&gt;"⚠",INDEX(파견수련계획!$R$4:$R$203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파견수련계획!$Y$4:$Y$203,0),IFERROR(MATCH(TRIM($J138&amp;"")&amp;"|파견예정",파견수련계획!$Y$4:$Y$203,0),IFERROR(MATCH(TRIM($J138&amp;"")&amp;"|파견종료",파견수련계획!$Y$4:$Y$203,0),""))))</f>
        <v/>
      </c>
      <c r="AG138" s="10">
        <f>IF($B138="","",IF(AND(IF(OR($AC138="",인턴현황!$K$2=""),"",INDEX(인턴근무계획!$M$3:$R$202,$AC138,인턴현황!$K$2)&amp;"")&lt;&gt;"",LEFT(IF(OR($AC138="",인턴현황!$K$2=""),"",INDEX(인턴근무계획!$M$3:$R$202,$AC138,인턴현황!$K$2)&amp;""),1)&lt;&gt;"⚠"),LEFT(IF(OR($AC138="",인턴현황!$K$2=""),"",INDEX(인턴근무계획!$M$3:$R$202,$AC138,인턴현황!$K$2)&amp;""),FIND(" ",IF(OR($AC138="",인턴현황!$K$2=""),"",INDEX(인턴근무계획!$M$3:$R$202,$AC138,인턴현황!$K$2)&amp;""))-1),$AE138))</f>
        <v/>
      </c>
      <c r="AH138" s="17">
        <f>IF($B138="","",IF(TRIM($J138&amp;"")="",0,SUMPRODUCT((파견수련계획!$Q$4:$Q$203=TRIM($J138&amp;""))*(파견수련계획!$S$4:$S$203="서울병원")*파견수련계획!$W$4:$W$203))+IF($AG138="서울병원",MAX(0,DAY(EOMONTH(요약!$B$3,0))-N($X138)),0))</f>
        <v/>
      </c>
      <c r="AI138" s="17">
        <f>IF($B138="","",IF(TRIM($J138&amp;"")="",0,SUMPRODUCT((파견수련계획!$Q$4:$Q$203=TRIM($J138&amp;""))*(파견수련계획!$S$4:$S$203="구리병원")*파견수련계획!$W$4:$W$203))+IF($AG138="구리병원",MAX(0,DAY(EOMONTH(요약!$B$3,0))-N($X138)),0))</f>
        <v/>
      </c>
      <c r="AJ138" s="10">
        <f>IF(OR($B138="",TRIM($J138&amp;"")=""),"",IFERROR(MATCH(TRIM($J138&amp;"")&amp;"|월",파견수련계획!$Z$4:$Z$203,0),""))</f>
        <v/>
      </c>
      <c r="AK138" s="10">
        <f>IF(OR($B138="",TRIM($J138&amp;"")=""),"",IFERROR(MATCH(TRIM($J138&amp;"")&amp;"|다기관",파견수련계획!$AE$4:$AE$203,0),""))</f>
        <v/>
      </c>
      <c r="AL138" s="10">
        <f>IF($AK138="","","다기관 "&amp;TEXT(INDEX(파견수련계획!$AB$4:$AB$203,$AK138),"yyyy-mm-dd")&amp;"~"&amp;IF(ISNUMBER(INDEX(파견수련계획!$AC$4:$AC$203,$AK138)),TEXT(INDEX(파견수련계획!$AC$4:$AC$203,$AK138),"yyyy-mm-dd"),""))</f>
        <v/>
      </c>
    </row>
    <row r="139">
      <c r="A139" s="10">
        <f>IF(B139="","",ROW()-1)</f>
        <v/>
      </c>
      <c r="B139" s="18" t="n"/>
      <c r="C139" s="10">
        <f>IF($AB139="","",IF(INDEX(기본자료!$C$2:$C$501,$AB139)="","",INDEX(기본자료!$C$2:$C$501,$AB139)))</f>
        <v/>
      </c>
      <c r="D139" s="10">
        <f>IF($AB139="","",IF(INDEX(기본자료!$J$2:$J$501,$AB139)="","",INDEX(기본자료!$J$2:$J$501,$AB139)))</f>
        <v/>
      </c>
      <c r="E139" s="11">
        <f>IF($AB139="","",IF(INDEX(기본자료!$K$2:$K$501,$AB139)="","",IF(NOT(ISNUMBER(INDEX(기본자료!$K$2:$K$501,$AB139))),INDEX(기본자료!$K$2:$K$501,$AB139),IF(INDEX(기본자료!$K$2:$K$501,$AB139)&lt;1000000,INDEX(기본자료!$K$2:$K$501,$AB139),IF(AND(INDEX(기본자료!$K$2:$K$501,$AB139)&gt;=10000101,INT(MOD(INDEX(기본자료!$K$2:$K$501,$AB139),10000)/100)&gt;=1,INT(MOD(INDEX(기본자료!$K$2:$K$501,$AB139),10000)/100)&lt;=12,MOD(INDEX(기본자료!$K$2:$K$501,$AB139),100)&gt;=1,MOD(INDEX(기본자료!$K$2:$K$501,$AB139),100)&lt;=31),DATE(INT(INDEX(기본자료!$K$2:$K$501,$AB139)/10000),INT(MOD(INDEX(기본자료!$K$2:$K$501,$AB139),10000)/100),MOD(INDEX(기본자료!$K$2:$K$501,$AB139),100)),INDEX(기본자료!$K$2:$K$501,$AB139)&amp;"")))))</f>
        <v/>
      </c>
      <c r="F139" s="10">
        <f>IF($AB139="","",IF(INDEX(기본자료!$D$2:$D$501,$AB139)="","",INDEX(기본자료!$D$2:$D$501,$AB139)))</f>
        <v/>
      </c>
      <c r="G139" s="10">
        <f>IF($AB139="","",IF(INDEX(기본자료!$E$2:$E$501,$AB139)="","",INDEX(기본자료!$E$2:$E$501,$AB139)))</f>
        <v/>
      </c>
      <c r="H139" s="10">
        <f>IF($AB139="","",IF(INDEX(기본자료!$F$2:$F$501,$AB139)="","",INDEX(기본자료!$F$2:$F$501,$AB139)))</f>
        <v/>
      </c>
      <c r="I139" s="11">
        <f>IF($AB139="","",IF(INDEX(기본자료!$G$2:$G$501,$AB139)="","",IF(NOT(ISNUMBER(INDEX(기본자료!$G$2:$G$501,$AB139))),INDEX(기본자료!$G$2:$G$501,$AB139),IF(INDEX(기본자료!$G$2:$G$501,$AB139)&lt;1000000,INDEX(기본자료!$G$2:$G$501,$AB139),IF(AND(INDEX(기본자료!$G$2:$G$501,$AB139)&gt;=10000101,INT(MOD(INDEX(기본자료!$G$2:$G$501,$AB139),10000)/100)&gt;=1,INT(MOD(INDEX(기본자료!$G$2:$G$501,$AB139),10000)/100)&lt;=12,MOD(INDEX(기본자료!$G$2:$G$501,$AB139),100)&gt;=1,MOD(INDEX(기본자료!$G$2:$G$501,$AB139),100)&lt;=31),DATE(INT(INDEX(기본자료!$G$2:$G$501,$AB139)/10000),INT(MOD(INDEX(기본자료!$G$2:$G$501,$AB139),10000)/100),MOD(INDEX(기본자료!$G$2:$G$501,$AB139),100)),INDEX(기본자료!$G$2:$G$501,$AB139)&amp;"")))))</f>
        <v/>
      </c>
      <c r="J139" s="10">
        <f>IF($AB139="","",IF(INDEX(기본자료!$H$2:$H$501,$AB139)="","",INDEX(기본자료!$H$2:$H$501,$AB139)))</f>
        <v/>
      </c>
      <c r="K139" s="10">
        <f>IF($AB139="","",IF(INDEX(기본자료!$I$2:$I$501,$AB139)="","",INDEX(기본자료!$I$2:$I$501,$AB139)))</f>
        <v/>
      </c>
      <c r="L139" s="10">
        <f>IF($AB139="","",IF(INDEX(기본자료!$A$2:$A$501,$AB139)="","",INDEX(기본자료!$A$2:$A$501,$AB139)))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파견수련계획!$AB$4:$AB$203,$AK139),OR(NOT(ISNUMBER(INDEX(파견수련계획!$AC$4:$AC$203,$AK139))),TODAY()&lt;=INDEX(파견수련계획!$AC$4:$AC$203,$AK139))),"다기관",IF($AF139="","",INDEX(파견수련계획!$T$4:$T$203,$AF139))),IF($AF139="","",INDEX(파견수련계획!$T$4:$T$203,$AF139))))</f>
        <v/>
      </c>
      <c r="Q139" s="10">
        <f>IF($AF139="","",INDEX(파견수련계획!$S$4:$S$203,$AF139))</f>
        <v/>
      </c>
      <c r="R139" s="10">
        <f>IF($AF139="","",INDEX(파견수련계획!$U$4:$U$203,$AF139))</f>
        <v/>
      </c>
      <c r="S139" s="11">
        <f>IF($AF139="","",IF(INDEX(파견수련계획!$H$4:$H$203,$AF139)="","",INDEX(파견수련계획!$H$4:$H$203,$AF139)))</f>
        <v/>
      </c>
      <c r="T139" s="11">
        <f>IF($AF139="","",IF(INDEX(파견수련계획!$I$4:$I$203,$AF139)="","",INDEX(파견수련계획!$I$4:$I$203,$AF139)))</f>
        <v/>
      </c>
      <c r="U139" s="10">
        <f>IF($AF139="","",INDEX(파견수련계획!$X$4:$X$203,$AF139))</f>
        <v/>
      </c>
      <c r="V139" s="17">
        <f>IF($AF139="","",INDEX(파견수련계획!$V$4:$V$203,$AF139))</f>
        <v/>
      </c>
      <c r="W139" s="17">
        <f>IF(AND($U139="파견중",$T139&lt;&gt;""),$T139-TODAY(),"")</f>
        <v/>
      </c>
      <c r="X139" s="17">
        <f>IF(OR($B139="",TRIM($J139&amp;"")=""),"",SUMPRODUCT((파견수련계획!$Q$4:$Q$203=TRIM($J139&amp;""))*파견수련계획!$W$4:$W$203))</f>
        <v/>
      </c>
      <c r="Y139" s="10">
        <f>IF($B139="","",IF($AG139="","",IF(IF(TRIM($J139&amp;"")="",0,SUMPRODUCT((파견수련계획!$Q$4:$Q$203=TRIM($J139&amp;""))*파견수련계획!$AD$4:$AD$203))&gt;0,$AE139,IF(N($X139)&lt;=0,$AG139,IF($AH139+$AI139=DAY(EOMONTH(요약!$B$3,0)),IF(AND($AH139&gt;=요약!$E$3,$AI139&lt;요약!$E$3),"서울병원",IF(AND($AI139&gt;=요약!$E$3,$AH139&lt;요약!$E$3),"구리병원","⚠15일 판정불가(서울 "&amp;$AH139&amp;"일/구리 "&amp;$AI139&amp;"일)")),IF($AJ139="",$AE139,IF(INDEX(파견수련계획!$T$4:$T$203,$AJ139)="통합수련",INDEX(파견수련계획!$S$4:$S$203,$AJ139),$AE139)))))))</f>
        <v/>
      </c>
      <c r="Z139" s="19">
        <f>IF($B139="","",IF($AB139="","기본자료에 없는 사번",IF(COUNTIF($B$2:$B$201,$B139)&gt;1,"중복 사번",IF($AE139="","소속(입사장소) 입력",IF(IF(TRIM($J139&amp;"")="",0,SUMPRODUCT((파견수련계획!$Q$4:$Q$203=TRIM($J139&amp;""))*(파견수련계획!$AA$4:$AA$203&lt;&gt;"")))&gt;0,"파견수련계획 입력오류 확인",IF(LEFT($Y139,1)="⚠","서울·구리 15일 판정 불가(양쪽 모두 이상/미만)",IF(IF($AC139="",0,N(INDEX(인턴근무계획!$T$3:$T$202,$AC139)))&gt;0,"인턴계획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IF($B139="","",IFERROR(MATCH($B139,기본자료!$B$2:$B$501,0),IFERROR(MATCH($B139&amp;"",기본자료!$B$2:$B$501,0),IFERROR(MATCH(VALUE($B139),기본자료!$B$2:$B$501,0),""))))</f>
        <v/>
      </c>
      <c r="AC139" s="10">
        <f>IF($B139="","",IFERROR(MATCH($B139,인턴근무계획!$D$3:$D$202,0),IFERROR(MATCH($B139&amp;"",인턴근무계획!$D$3:$D$202,0),IFERROR(MATCH(VALUE($B139),인턴근무계획!$D$3:$D$202,0),""))))</f>
        <v/>
      </c>
      <c r="AD139" s="10">
        <f>IF(OR($AC139="",인턴현황!$G$3=""),"",INDEX(인턴근무계획!$M$3:$R$202,$AC139,인턴현황!$G$3)&amp;"")</f>
        <v/>
      </c>
      <c r="AE139" s="10">
        <f>IF($B139="","",IF($M139&lt;&gt;"",$M139,IF($AF139&lt;&gt;"",IF(LEFT(INDEX(파견수련계획!$R$4:$R$203,$AF139),1)&lt;&gt;"⚠",INDEX(파견수련계획!$R$4:$R$203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파견수련계획!$Y$4:$Y$203,0),IFERROR(MATCH(TRIM($J139&amp;"")&amp;"|파견예정",파견수련계획!$Y$4:$Y$203,0),IFERROR(MATCH(TRIM($J139&amp;"")&amp;"|파견종료",파견수련계획!$Y$4:$Y$203,0),""))))</f>
        <v/>
      </c>
      <c r="AG139" s="10">
        <f>IF($B139="","",IF(AND(IF(OR($AC139="",인턴현황!$K$2=""),"",INDEX(인턴근무계획!$M$3:$R$202,$AC139,인턴현황!$K$2)&amp;"")&lt;&gt;"",LEFT(IF(OR($AC139="",인턴현황!$K$2=""),"",INDEX(인턴근무계획!$M$3:$R$202,$AC139,인턴현황!$K$2)&amp;""),1)&lt;&gt;"⚠"),LEFT(IF(OR($AC139="",인턴현황!$K$2=""),"",INDEX(인턴근무계획!$M$3:$R$202,$AC139,인턴현황!$K$2)&amp;""),FIND(" ",IF(OR($AC139="",인턴현황!$K$2=""),"",INDEX(인턴근무계획!$M$3:$R$202,$AC139,인턴현황!$K$2)&amp;""))-1),$AE139))</f>
        <v/>
      </c>
      <c r="AH139" s="17">
        <f>IF($B139="","",IF(TRIM($J139&amp;"")="",0,SUMPRODUCT((파견수련계획!$Q$4:$Q$203=TRIM($J139&amp;""))*(파견수련계획!$S$4:$S$203="서울병원")*파견수련계획!$W$4:$W$203))+IF($AG139="서울병원",MAX(0,DAY(EOMONTH(요약!$B$3,0))-N($X139)),0))</f>
        <v/>
      </c>
      <c r="AI139" s="17">
        <f>IF($B139="","",IF(TRIM($J139&amp;"")="",0,SUMPRODUCT((파견수련계획!$Q$4:$Q$203=TRIM($J139&amp;""))*(파견수련계획!$S$4:$S$203="구리병원")*파견수련계획!$W$4:$W$203))+IF($AG139="구리병원",MAX(0,DAY(EOMONTH(요약!$B$3,0))-N($X139)),0))</f>
        <v/>
      </c>
      <c r="AJ139" s="10">
        <f>IF(OR($B139="",TRIM($J139&amp;"")=""),"",IFERROR(MATCH(TRIM($J139&amp;"")&amp;"|월",파견수련계획!$Z$4:$Z$203,0),""))</f>
        <v/>
      </c>
      <c r="AK139" s="10">
        <f>IF(OR($B139="",TRIM($J139&amp;"")=""),"",IFERROR(MATCH(TRIM($J139&amp;"")&amp;"|다기관",파견수련계획!$AE$4:$AE$203,0),""))</f>
        <v/>
      </c>
      <c r="AL139" s="10">
        <f>IF($AK139="","","다기관 "&amp;TEXT(INDEX(파견수련계획!$AB$4:$AB$203,$AK139),"yyyy-mm-dd")&amp;"~"&amp;IF(ISNUMBER(INDEX(파견수련계획!$AC$4:$AC$203,$AK139)),TEXT(INDEX(파견수련계획!$AC$4:$AC$203,$AK139),"yyyy-mm-dd"),""))</f>
        <v/>
      </c>
    </row>
    <row r="140">
      <c r="A140" s="10">
        <f>IF(B140="","",ROW()-1)</f>
        <v/>
      </c>
      <c r="B140" s="18" t="n"/>
      <c r="C140" s="10">
        <f>IF($AB140="","",IF(INDEX(기본자료!$C$2:$C$501,$AB140)="","",INDEX(기본자료!$C$2:$C$501,$AB140)))</f>
        <v/>
      </c>
      <c r="D140" s="10">
        <f>IF($AB140="","",IF(INDEX(기본자료!$J$2:$J$501,$AB140)="","",INDEX(기본자료!$J$2:$J$501,$AB140)))</f>
        <v/>
      </c>
      <c r="E140" s="11">
        <f>IF($AB140="","",IF(INDEX(기본자료!$K$2:$K$501,$AB140)="","",IF(NOT(ISNUMBER(INDEX(기본자료!$K$2:$K$501,$AB140))),INDEX(기본자료!$K$2:$K$501,$AB140),IF(INDEX(기본자료!$K$2:$K$501,$AB140)&lt;1000000,INDEX(기본자료!$K$2:$K$501,$AB140),IF(AND(INDEX(기본자료!$K$2:$K$501,$AB140)&gt;=10000101,INT(MOD(INDEX(기본자료!$K$2:$K$501,$AB140),10000)/100)&gt;=1,INT(MOD(INDEX(기본자료!$K$2:$K$501,$AB140),10000)/100)&lt;=12,MOD(INDEX(기본자료!$K$2:$K$501,$AB140),100)&gt;=1,MOD(INDEX(기본자료!$K$2:$K$501,$AB140),100)&lt;=31),DATE(INT(INDEX(기본자료!$K$2:$K$501,$AB140)/10000),INT(MOD(INDEX(기본자료!$K$2:$K$501,$AB140),10000)/100),MOD(INDEX(기본자료!$K$2:$K$501,$AB140),100)),INDEX(기본자료!$K$2:$K$501,$AB140)&amp;"")))))</f>
        <v/>
      </c>
      <c r="F140" s="10">
        <f>IF($AB140="","",IF(INDEX(기본자료!$D$2:$D$501,$AB140)="","",INDEX(기본자료!$D$2:$D$501,$AB140)))</f>
        <v/>
      </c>
      <c r="G140" s="10">
        <f>IF($AB140="","",IF(INDEX(기본자료!$E$2:$E$501,$AB140)="","",INDEX(기본자료!$E$2:$E$501,$AB140)))</f>
        <v/>
      </c>
      <c r="H140" s="10">
        <f>IF($AB140="","",IF(INDEX(기본자료!$F$2:$F$501,$AB140)="","",INDEX(기본자료!$F$2:$F$501,$AB140)))</f>
        <v/>
      </c>
      <c r="I140" s="11">
        <f>IF($AB140="","",IF(INDEX(기본자료!$G$2:$G$501,$AB140)="","",IF(NOT(ISNUMBER(INDEX(기본자료!$G$2:$G$501,$AB140))),INDEX(기본자료!$G$2:$G$501,$AB140),IF(INDEX(기본자료!$G$2:$G$501,$AB140)&lt;1000000,INDEX(기본자료!$G$2:$G$501,$AB140),IF(AND(INDEX(기본자료!$G$2:$G$501,$AB140)&gt;=10000101,INT(MOD(INDEX(기본자료!$G$2:$G$501,$AB140),10000)/100)&gt;=1,INT(MOD(INDEX(기본자료!$G$2:$G$501,$AB140),10000)/100)&lt;=12,MOD(INDEX(기본자료!$G$2:$G$501,$AB140),100)&gt;=1,MOD(INDEX(기본자료!$G$2:$G$501,$AB140),100)&lt;=31),DATE(INT(INDEX(기본자료!$G$2:$G$501,$AB140)/10000),INT(MOD(INDEX(기본자료!$G$2:$G$501,$AB140),10000)/100),MOD(INDEX(기본자료!$G$2:$G$501,$AB140),100)),INDEX(기본자료!$G$2:$G$501,$AB140)&amp;"")))))</f>
        <v/>
      </c>
      <c r="J140" s="10">
        <f>IF($AB140="","",IF(INDEX(기본자료!$H$2:$H$501,$AB140)="","",INDEX(기본자료!$H$2:$H$501,$AB140)))</f>
        <v/>
      </c>
      <c r="K140" s="10">
        <f>IF($AB140="","",IF(INDEX(기본자료!$I$2:$I$501,$AB140)="","",INDEX(기본자료!$I$2:$I$501,$AB140)))</f>
        <v/>
      </c>
      <c r="L140" s="10">
        <f>IF($AB140="","",IF(INDEX(기본자료!$A$2:$A$501,$AB140)="","",INDEX(기본자료!$A$2:$A$501,$AB140)))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파견수련계획!$AB$4:$AB$203,$AK140),OR(NOT(ISNUMBER(INDEX(파견수련계획!$AC$4:$AC$203,$AK140))),TODAY()&lt;=INDEX(파견수련계획!$AC$4:$AC$203,$AK140))),"다기관",IF($AF140="","",INDEX(파견수련계획!$T$4:$T$203,$AF140))),IF($AF140="","",INDEX(파견수련계획!$T$4:$T$203,$AF140))))</f>
        <v/>
      </c>
      <c r="Q140" s="10">
        <f>IF($AF140="","",INDEX(파견수련계획!$S$4:$S$203,$AF140))</f>
        <v/>
      </c>
      <c r="R140" s="10">
        <f>IF($AF140="","",INDEX(파견수련계획!$U$4:$U$203,$AF140))</f>
        <v/>
      </c>
      <c r="S140" s="11">
        <f>IF($AF140="","",IF(INDEX(파견수련계획!$H$4:$H$203,$AF140)="","",INDEX(파견수련계획!$H$4:$H$203,$AF140)))</f>
        <v/>
      </c>
      <c r="T140" s="11">
        <f>IF($AF140="","",IF(INDEX(파견수련계획!$I$4:$I$203,$AF140)="","",INDEX(파견수련계획!$I$4:$I$203,$AF140)))</f>
        <v/>
      </c>
      <c r="U140" s="10">
        <f>IF($AF140="","",INDEX(파견수련계획!$X$4:$X$203,$AF140))</f>
        <v/>
      </c>
      <c r="V140" s="17">
        <f>IF($AF140="","",INDEX(파견수련계획!$V$4:$V$203,$AF140))</f>
        <v/>
      </c>
      <c r="W140" s="17">
        <f>IF(AND($U140="파견중",$T140&lt;&gt;""),$T140-TODAY(),"")</f>
        <v/>
      </c>
      <c r="X140" s="17">
        <f>IF(OR($B140="",TRIM($J140&amp;"")=""),"",SUMPRODUCT((파견수련계획!$Q$4:$Q$203=TRIM($J140&amp;""))*파견수련계획!$W$4:$W$203))</f>
        <v/>
      </c>
      <c r="Y140" s="10">
        <f>IF($B140="","",IF($AG140="","",IF(IF(TRIM($J140&amp;"")="",0,SUMPRODUCT((파견수련계획!$Q$4:$Q$203=TRIM($J140&amp;""))*파견수련계획!$AD$4:$AD$203))&gt;0,$AE140,IF(N($X140)&lt;=0,$AG140,IF($AH140+$AI140=DAY(EOMONTH(요약!$B$3,0)),IF(AND($AH140&gt;=요약!$E$3,$AI140&lt;요약!$E$3),"서울병원",IF(AND($AI140&gt;=요약!$E$3,$AH140&lt;요약!$E$3),"구리병원","⚠15일 판정불가(서울 "&amp;$AH140&amp;"일/구리 "&amp;$AI140&amp;"일)")),IF($AJ140="",$AE140,IF(INDEX(파견수련계획!$T$4:$T$203,$AJ140)="통합수련",INDEX(파견수련계획!$S$4:$S$203,$AJ140),$AE140)))))))</f>
        <v/>
      </c>
      <c r="Z140" s="19">
        <f>IF($B140="","",IF($AB140="","기본자료에 없는 사번",IF(COUNTIF($B$2:$B$201,$B140)&gt;1,"중복 사번",IF($AE140="","소속(입사장소) 입력",IF(IF(TRIM($J140&amp;"")="",0,SUMPRODUCT((파견수련계획!$Q$4:$Q$203=TRIM($J140&amp;""))*(파견수련계획!$AA$4:$AA$203&lt;&gt;"")))&gt;0,"파견수련계획 입력오류 확인",IF(LEFT($Y140,1)="⚠","서울·구리 15일 판정 불가(양쪽 모두 이상/미만)",IF(IF($AC140="",0,N(INDEX(인턴근무계획!$T$3:$T$202,$AC140)))&gt;0,"인턴계획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IF($B140="","",IFERROR(MATCH($B140,기본자료!$B$2:$B$501,0),IFERROR(MATCH($B140&amp;"",기본자료!$B$2:$B$501,0),IFERROR(MATCH(VALUE($B140),기본자료!$B$2:$B$501,0),""))))</f>
        <v/>
      </c>
      <c r="AC140" s="10">
        <f>IF($B140="","",IFERROR(MATCH($B140,인턴근무계획!$D$3:$D$202,0),IFERROR(MATCH($B140&amp;"",인턴근무계획!$D$3:$D$202,0),IFERROR(MATCH(VALUE($B140),인턴근무계획!$D$3:$D$202,0),""))))</f>
        <v/>
      </c>
      <c r="AD140" s="10">
        <f>IF(OR($AC140="",인턴현황!$G$3=""),"",INDEX(인턴근무계획!$M$3:$R$202,$AC140,인턴현황!$G$3)&amp;"")</f>
        <v/>
      </c>
      <c r="AE140" s="10">
        <f>IF($B140="","",IF($M140&lt;&gt;"",$M140,IF($AF140&lt;&gt;"",IF(LEFT(INDEX(파견수련계획!$R$4:$R$203,$AF140),1)&lt;&gt;"⚠",INDEX(파견수련계획!$R$4:$R$203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파견수련계획!$Y$4:$Y$203,0),IFERROR(MATCH(TRIM($J140&amp;"")&amp;"|파견예정",파견수련계획!$Y$4:$Y$203,0),IFERROR(MATCH(TRIM($J140&amp;"")&amp;"|파견종료",파견수련계획!$Y$4:$Y$203,0),""))))</f>
        <v/>
      </c>
      <c r="AG140" s="10">
        <f>IF($B140="","",IF(AND(IF(OR($AC140="",인턴현황!$K$2=""),"",INDEX(인턴근무계획!$M$3:$R$202,$AC140,인턴현황!$K$2)&amp;"")&lt;&gt;"",LEFT(IF(OR($AC140="",인턴현황!$K$2=""),"",INDEX(인턴근무계획!$M$3:$R$202,$AC140,인턴현황!$K$2)&amp;""),1)&lt;&gt;"⚠"),LEFT(IF(OR($AC140="",인턴현황!$K$2=""),"",INDEX(인턴근무계획!$M$3:$R$202,$AC140,인턴현황!$K$2)&amp;""),FIND(" ",IF(OR($AC140="",인턴현황!$K$2=""),"",INDEX(인턴근무계획!$M$3:$R$202,$AC140,인턴현황!$K$2)&amp;""))-1),$AE140))</f>
        <v/>
      </c>
      <c r="AH140" s="17">
        <f>IF($B140="","",IF(TRIM($J140&amp;"")="",0,SUMPRODUCT((파견수련계획!$Q$4:$Q$203=TRIM($J140&amp;""))*(파견수련계획!$S$4:$S$203="서울병원")*파견수련계획!$W$4:$W$203))+IF($AG140="서울병원",MAX(0,DAY(EOMONTH(요약!$B$3,0))-N($X140)),0))</f>
        <v/>
      </c>
      <c r="AI140" s="17">
        <f>IF($B140="","",IF(TRIM($J140&amp;"")="",0,SUMPRODUCT((파견수련계획!$Q$4:$Q$203=TRIM($J140&amp;""))*(파견수련계획!$S$4:$S$203="구리병원")*파견수련계획!$W$4:$W$203))+IF($AG140="구리병원",MAX(0,DAY(EOMONTH(요약!$B$3,0))-N($X140)),0))</f>
        <v/>
      </c>
      <c r="AJ140" s="10">
        <f>IF(OR($B140="",TRIM($J140&amp;"")=""),"",IFERROR(MATCH(TRIM($J140&amp;"")&amp;"|월",파견수련계획!$Z$4:$Z$203,0),""))</f>
        <v/>
      </c>
      <c r="AK140" s="10">
        <f>IF(OR($B140="",TRIM($J140&amp;"")=""),"",IFERROR(MATCH(TRIM($J140&amp;"")&amp;"|다기관",파견수련계획!$AE$4:$AE$203,0),""))</f>
        <v/>
      </c>
      <c r="AL140" s="10">
        <f>IF($AK140="","","다기관 "&amp;TEXT(INDEX(파견수련계획!$AB$4:$AB$203,$AK140),"yyyy-mm-dd")&amp;"~"&amp;IF(ISNUMBER(INDEX(파견수련계획!$AC$4:$AC$203,$AK140)),TEXT(INDEX(파견수련계획!$AC$4:$AC$203,$AK140),"yyyy-mm-dd"),""))</f>
        <v/>
      </c>
    </row>
    <row r="141">
      <c r="A141" s="10">
        <f>IF(B141="","",ROW()-1)</f>
        <v/>
      </c>
      <c r="B141" s="18" t="n"/>
      <c r="C141" s="10">
        <f>IF($AB141="","",IF(INDEX(기본자료!$C$2:$C$501,$AB141)="","",INDEX(기본자료!$C$2:$C$501,$AB141)))</f>
        <v/>
      </c>
      <c r="D141" s="10">
        <f>IF($AB141="","",IF(INDEX(기본자료!$J$2:$J$501,$AB141)="","",INDEX(기본자료!$J$2:$J$501,$AB141)))</f>
        <v/>
      </c>
      <c r="E141" s="11">
        <f>IF($AB141="","",IF(INDEX(기본자료!$K$2:$K$501,$AB141)="","",IF(NOT(ISNUMBER(INDEX(기본자료!$K$2:$K$501,$AB141))),INDEX(기본자료!$K$2:$K$501,$AB141),IF(INDEX(기본자료!$K$2:$K$501,$AB141)&lt;1000000,INDEX(기본자료!$K$2:$K$501,$AB141),IF(AND(INDEX(기본자료!$K$2:$K$501,$AB141)&gt;=10000101,INT(MOD(INDEX(기본자료!$K$2:$K$501,$AB141),10000)/100)&gt;=1,INT(MOD(INDEX(기본자료!$K$2:$K$501,$AB141),10000)/100)&lt;=12,MOD(INDEX(기본자료!$K$2:$K$501,$AB141),100)&gt;=1,MOD(INDEX(기본자료!$K$2:$K$501,$AB141),100)&lt;=31),DATE(INT(INDEX(기본자료!$K$2:$K$501,$AB141)/10000),INT(MOD(INDEX(기본자료!$K$2:$K$501,$AB141),10000)/100),MOD(INDEX(기본자료!$K$2:$K$501,$AB141),100)),INDEX(기본자료!$K$2:$K$501,$AB141)&amp;"")))))</f>
        <v/>
      </c>
      <c r="F141" s="10">
        <f>IF($AB141="","",IF(INDEX(기본자료!$D$2:$D$501,$AB141)="","",INDEX(기본자료!$D$2:$D$501,$AB141)))</f>
        <v/>
      </c>
      <c r="G141" s="10">
        <f>IF($AB141="","",IF(INDEX(기본자료!$E$2:$E$501,$AB141)="","",INDEX(기본자료!$E$2:$E$501,$AB141)))</f>
        <v/>
      </c>
      <c r="H141" s="10">
        <f>IF($AB141="","",IF(INDEX(기본자료!$F$2:$F$501,$AB141)="","",INDEX(기본자료!$F$2:$F$501,$AB141)))</f>
        <v/>
      </c>
      <c r="I141" s="11">
        <f>IF($AB141="","",IF(INDEX(기본자료!$G$2:$G$501,$AB141)="","",IF(NOT(ISNUMBER(INDEX(기본자료!$G$2:$G$501,$AB141))),INDEX(기본자료!$G$2:$G$501,$AB141),IF(INDEX(기본자료!$G$2:$G$501,$AB141)&lt;1000000,INDEX(기본자료!$G$2:$G$501,$AB141),IF(AND(INDEX(기본자료!$G$2:$G$501,$AB141)&gt;=10000101,INT(MOD(INDEX(기본자료!$G$2:$G$501,$AB141),10000)/100)&gt;=1,INT(MOD(INDEX(기본자료!$G$2:$G$501,$AB141),10000)/100)&lt;=12,MOD(INDEX(기본자료!$G$2:$G$501,$AB141),100)&gt;=1,MOD(INDEX(기본자료!$G$2:$G$501,$AB141),100)&lt;=31),DATE(INT(INDEX(기본자료!$G$2:$G$501,$AB141)/10000),INT(MOD(INDEX(기본자료!$G$2:$G$501,$AB141),10000)/100),MOD(INDEX(기본자료!$G$2:$G$501,$AB141),100)),INDEX(기본자료!$G$2:$G$501,$AB141)&amp;"")))))</f>
        <v/>
      </c>
      <c r="J141" s="10">
        <f>IF($AB141="","",IF(INDEX(기본자료!$H$2:$H$501,$AB141)="","",INDEX(기본자료!$H$2:$H$501,$AB141)))</f>
        <v/>
      </c>
      <c r="K141" s="10">
        <f>IF($AB141="","",IF(INDEX(기본자료!$I$2:$I$501,$AB141)="","",INDEX(기본자료!$I$2:$I$501,$AB141)))</f>
        <v/>
      </c>
      <c r="L141" s="10">
        <f>IF($AB141="","",IF(INDEX(기본자료!$A$2:$A$501,$AB141)="","",INDEX(기본자료!$A$2:$A$501,$AB141)))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파견수련계획!$AB$4:$AB$203,$AK141),OR(NOT(ISNUMBER(INDEX(파견수련계획!$AC$4:$AC$203,$AK141))),TODAY()&lt;=INDEX(파견수련계획!$AC$4:$AC$203,$AK141))),"다기관",IF($AF141="","",INDEX(파견수련계획!$T$4:$T$203,$AF141))),IF($AF141="","",INDEX(파견수련계획!$T$4:$T$203,$AF141))))</f>
        <v/>
      </c>
      <c r="Q141" s="10">
        <f>IF($AF141="","",INDEX(파견수련계획!$S$4:$S$203,$AF141))</f>
        <v/>
      </c>
      <c r="R141" s="10">
        <f>IF($AF141="","",INDEX(파견수련계획!$U$4:$U$203,$AF141))</f>
        <v/>
      </c>
      <c r="S141" s="11">
        <f>IF($AF141="","",IF(INDEX(파견수련계획!$H$4:$H$203,$AF141)="","",INDEX(파견수련계획!$H$4:$H$203,$AF141)))</f>
        <v/>
      </c>
      <c r="T141" s="11">
        <f>IF($AF141="","",IF(INDEX(파견수련계획!$I$4:$I$203,$AF141)="","",INDEX(파견수련계획!$I$4:$I$203,$AF141)))</f>
        <v/>
      </c>
      <c r="U141" s="10">
        <f>IF($AF141="","",INDEX(파견수련계획!$X$4:$X$203,$AF141))</f>
        <v/>
      </c>
      <c r="V141" s="17">
        <f>IF($AF141="","",INDEX(파견수련계획!$V$4:$V$203,$AF141))</f>
        <v/>
      </c>
      <c r="W141" s="17">
        <f>IF(AND($U141="파견중",$T141&lt;&gt;""),$T141-TODAY(),"")</f>
        <v/>
      </c>
      <c r="X141" s="17">
        <f>IF(OR($B141="",TRIM($J141&amp;"")=""),"",SUMPRODUCT((파견수련계획!$Q$4:$Q$203=TRIM($J141&amp;""))*파견수련계획!$W$4:$W$203))</f>
        <v/>
      </c>
      <c r="Y141" s="10">
        <f>IF($B141="","",IF($AG141="","",IF(IF(TRIM($J141&amp;"")="",0,SUMPRODUCT((파견수련계획!$Q$4:$Q$203=TRIM($J141&amp;""))*파견수련계획!$AD$4:$AD$203))&gt;0,$AE141,IF(N($X141)&lt;=0,$AG141,IF($AH141+$AI141=DAY(EOMONTH(요약!$B$3,0)),IF(AND($AH141&gt;=요약!$E$3,$AI141&lt;요약!$E$3),"서울병원",IF(AND($AI141&gt;=요약!$E$3,$AH141&lt;요약!$E$3),"구리병원","⚠15일 판정불가(서울 "&amp;$AH141&amp;"일/구리 "&amp;$AI141&amp;"일)")),IF($AJ141="",$AE141,IF(INDEX(파견수련계획!$T$4:$T$203,$AJ141)="통합수련",INDEX(파견수련계획!$S$4:$S$203,$AJ141),$AE141)))))))</f>
        <v/>
      </c>
      <c r="Z141" s="19">
        <f>IF($B141="","",IF($AB141="","기본자료에 없는 사번",IF(COUNTIF($B$2:$B$201,$B141)&gt;1,"중복 사번",IF($AE141="","소속(입사장소) 입력",IF(IF(TRIM($J141&amp;"")="",0,SUMPRODUCT((파견수련계획!$Q$4:$Q$203=TRIM($J141&amp;""))*(파견수련계획!$AA$4:$AA$203&lt;&gt;"")))&gt;0,"파견수련계획 입력오류 확인",IF(LEFT($Y141,1)="⚠","서울·구리 15일 판정 불가(양쪽 모두 이상/미만)",IF(IF($AC141="",0,N(INDEX(인턴근무계획!$T$3:$T$202,$AC141)))&gt;0,"인턴계획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IF($B141="","",IFERROR(MATCH($B141,기본자료!$B$2:$B$501,0),IFERROR(MATCH($B141&amp;"",기본자료!$B$2:$B$501,0),IFERROR(MATCH(VALUE($B141),기본자료!$B$2:$B$501,0),""))))</f>
        <v/>
      </c>
      <c r="AC141" s="10">
        <f>IF($B141="","",IFERROR(MATCH($B141,인턴근무계획!$D$3:$D$202,0),IFERROR(MATCH($B141&amp;"",인턴근무계획!$D$3:$D$202,0),IFERROR(MATCH(VALUE($B141),인턴근무계획!$D$3:$D$202,0),""))))</f>
        <v/>
      </c>
      <c r="AD141" s="10">
        <f>IF(OR($AC141="",인턴현황!$G$3=""),"",INDEX(인턴근무계획!$M$3:$R$202,$AC141,인턴현황!$G$3)&amp;"")</f>
        <v/>
      </c>
      <c r="AE141" s="10">
        <f>IF($B141="","",IF($M141&lt;&gt;"",$M141,IF($AF141&lt;&gt;"",IF(LEFT(INDEX(파견수련계획!$R$4:$R$203,$AF141),1)&lt;&gt;"⚠",INDEX(파견수련계획!$R$4:$R$203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파견수련계획!$Y$4:$Y$203,0),IFERROR(MATCH(TRIM($J141&amp;"")&amp;"|파견예정",파견수련계획!$Y$4:$Y$203,0),IFERROR(MATCH(TRIM($J141&amp;"")&amp;"|파견종료",파견수련계획!$Y$4:$Y$203,0),""))))</f>
        <v/>
      </c>
      <c r="AG141" s="10">
        <f>IF($B141="","",IF(AND(IF(OR($AC141="",인턴현황!$K$2=""),"",INDEX(인턴근무계획!$M$3:$R$202,$AC141,인턴현황!$K$2)&amp;"")&lt;&gt;"",LEFT(IF(OR($AC141="",인턴현황!$K$2=""),"",INDEX(인턴근무계획!$M$3:$R$202,$AC141,인턴현황!$K$2)&amp;""),1)&lt;&gt;"⚠"),LEFT(IF(OR($AC141="",인턴현황!$K$2=""),"",INDEX(인턴근무계획!$M$3:$R$202,$AC141,인턴현황!$K$2)&amp;""),FIND(" ",IF(OR($AC141="",인턴현황!$K$2=""),"",INDEX(인턴근무계획!$M$3:$R$202,$AC141,인턴현황!$K$2)&amp;""))-1),$AE141))</f>
        <v/>
      </c>
      <c r="AH141" s="17">
        <f>IF($B141="","",IF(TRIM($J141&amp;"")="",0,SUMPRODUCT((파견수련계획!$Q$4:$Q$203=TRIM($J141&amp;""))*(파견수련계획!$S$4:$S$203="서울병원")*파견수련계획!$W$4:$W$203))+IF($AG141="서울병원",MAX(0,DAY(EOMONTH(요약!$B$3,0))-N($X141)),0))</f>
        <v/>
      </c>
      <c r="AI141" s="17">
        <f>IF($B141="","",IF(TRIM($J141&amp;"")="",0,SUMPRODUCT((파견수련계획!$Q$4:$Q$203=TRIM($J141&amp;""))*(파견수련계획!$S$4:$S$203="구리병원")*파견수련계획!$W$4:$W$203))+IF($AG141="구리병원",MAX(0,DAY(EOMONTH(요약!$B$3,0))-N($X141)),0))</f>
        <v/>
      </c>
      <c r="AJ141" s="10">
        <f>IF(OR($B141="",TRIM($J141&amp;"")=""),"",IFERROR(MATCH(TRIM($J141&amp;"")&amp;"|월",파견수련계획!$Z$4:$Z$203,0),""))</f>
        <v/>
      </c>
      <c r="AK141" s="10">
        <f>IF(OR($B141="",TRIM($J141&amp;"")=""),"",IFERROR(MATCH(TRIM($J141&amp;"")&amp;"|다기관",파견수련계획!$AE$4:$AE$203,0),""))</f>
        <v/>
      </c>
      <c r="AL141" s="10">
        <f>IF($AK141="","","다기관 "&amp;TEXT(INDEX(파견수련계획!$AB$4:$AB$203,$AK141),"yyyy-mm-dd")&amp;"~"&amp;IF(ISNUMBER(INDEX(파견수련계획!$AC$4:$AC$203,$AK141)),TEXT(INDEX(파견수련계획!$AC$4:$AC$203,$AK141),"yyyy-mm-dd"),""))</f>
        <v/>
      </c>
    </row>
    <row r="142">
      <c r="A142" s="10">
        <f>IF(B142="","",ROW()-1)</f>
        <v/>
      </c>
      <c r="B142" s="18" t="n"/>
      <c r="C142" s="10">
        <f>IF($AB142="","",IF(INDEX(기본자료!$C$2:$C$501,$AB142)="","",INDEX(기본자료!$C$2:$C$501,$AB142)))</f>
        <v/>
      </c>
      <c r="D142" s="10">
        <f>IF($AB142="","",IF(INDEX(기본자료!$J$2:$J$501,$AB142)="","",INDEX(기본자료!$J$2:$J$501,$AB142)))</f>
        <v/>
      </c>
      <c r="E142" s="11">
        <f>IF($AB142="","",IF(INDEX(기본자료!$K$2:$K$501,$AB142)="","",IF(NOT(ISNUMBER(INDEX(기본자료!$K$2:$K$501,$AB142))),INDEX(기본자료!$K$2:$K$501,$AB142),IF(INDEX(기본자료!$K$2:$K$501,$AB142)&lt;1000000,INDEX(기본자료!$K$2:$K$501,$AB142),IF(AND(INDEX(기본자료!$K$2:$K$501,$AB142)&gt;=10000101,INT(MOD(INDEX(기본자료!$K$2:$K$501,$AB142),10000)/100)&gt;=1,INT(MOD(INDEX(기본자료!$K$2:$K$501,$AB142),10000)/100)&lt;=12,MOD(INDEX(기본자료!$K$2:$K$501,$AB142),100)&gt;=1,MOD(INDEX(기본자료!$K$2:$K$501,$AB142),100)&lt;=31),DATE(INT(INDEX(기본자료!$K$2:$K$501,$AB142)/10000),INT(MOD(INDEX(기본자료!$K$2:$K$501,$AB142),10000)/100),MOD(INDEX(기본자료!$K$2:$K$501,$AB142),100)),INDEX(기본자료!$K$2:$K$501,$AB142)&amp;"")))))</f>
        <v/>
      </c>
      <c r="F142" s="10">
        <f>IF($AB142="","",IF(INDEX(기본자료!$D$2:$D$501,$AB142)="","",INDEX(기본자료!$D$2:$D$501,$AB142)))</f>
        <v/>
      </c>
      <c r="G142" s="10">
        <f>IF($AB142="","",IF(INDEX(기본자료!$E$2:$E$501,$AB142)="","",INDEX(기본자료!$E$2:$E$501,$AB142)))</f>
        <v/>
      </c>
      <c r="H142" s="10">
        <f>IF($AB142="","",IF(INDEX(기본자료!$F$2:$F$501,$AB142)="","",INDEX(기본자료!$F$2:$F$501,$AB142)))</f>
        <v/>
      </c>
      <c r="I142" s="11">
        <f>IF($AB142="","",IF(INDEX(기본자료!$G$2:$G$501,$AB142)="","",IF(NOT(ISNUMBER(INDEX(기본자료!$G$2:$G$501,$AB142))),INDEX(기본자료!$G$2:$G$501,$AB142),IF(INDEX(기본자료!$G$2:$G$501,$AB142)&lt;1000000,INDEX(기본자료!$G$2:$G$501,$AB142),IF(AND(INDEX(기본자료!$G$2:$G$501,$AB142)&gt;=10000101,INT(MOD(INDEX(기본자료!$G$2:$G$501,$AB142),10000)/100)&gt;=1,INT(MOD(INDEX(기본자료!$G$2:$G$501,$AB142),10000)/100)&lt;=12,MOD(INDEX(기본자료!$G$2:$G$501,$AB142),100)&gt;=1,MOD(INDEX(기본자료!$G$2:$G$501,$AB142),100)&lt;=31),DATE(INT(INDEX(기본자료!$G$2:$G$501,$AB142)/10000),INT(MOD(INDEX(기본자료!$G$2:$G$501,$AB142),10000)/100),MOD(INDEX(기본자료!$G$2:$G$501,$AB142),100)),INDEX(기본자료!$G$2:$G$501,$AB142)&amp;"")))))</f>
        <v/>
      </c>
      <c r="J142" s="10">
        <f>IF($AB142="","",IF(INDEX(기본자료!$H$2:$H$501,$AB142)="","",INDEX(기본자료!$H$2:$H$501,$AB142)))</f>
        <v/>
      </c>
      <c r="K142" s="10">
        <f>IF($AB142="","",IF(INDEX(기본자료!$I$2:$I$501,$AB142)="","",INDEX(기본자료!$I$2:$I$501,$AB142)))</f>
        <v/>
      </c>
      <c r="L142" s="10">
        <f>IF($AB142="","",IF(INDEX(기본자료!$A$2:$A$501,$AB142)="","",INDEX(기본자료!$A$2:$A$501,$AB142)))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파견수련계획!$AB$4:$AB$203,$AK142),OR(NOT(ISNUMBER(INDEX(파견수련계획!$AC$4:$AC$203,$AK142))),TODAY()&lt;=INDEX(파견수련계획!$AC$4:$AC$203,$AK142))),"다기관",IF($AF142="","",INDEX(파견수련계획!$T$4:$T$203,$AF142))),IF($AF142="","",INDEX(파견수련계획!$T$4:$T$203,$AF142))))</f>
        <v/>
      </c>
      <c r="Q142" s="10">
        <f>IF($AF142="","",INDEX(파견수련계획!$S$4:$S$203,$AF142))</f>
        <v/>
      </c>
      <c r="R142" s="10">
        <f>IF($AF142="","",INDEX(파견수련계획!$U$4:$U$203,$AF142))</f>
        <v/>
      </c>
      <c r="S142" s="11">
        <f>IF($AF142="","",IF(INDEX(파견수련계획!$H$4:$H$203,$AF142)="","",INDEX(파견수련계획!$H$4:$H$203,$AF142)))</f>
        <v/>
      </c>
      <c r="T142" s="11">
        <f>IF($AF142="","",IF(INDEX(파견수련계획!$I$4:$I$203,$AF142)="","",INDEX(파견수련계획!$I$4:$I$203,$AF142)))</f>
        <v/>
      </c>
      <c r="U142" s="10">
        <f>IF($AF142="","",INDEX(파견수련계획!$X$4:$X$203,$AF142))</f>
        <v/>
      </c>
      <c r="V142" s="17">
        <f>IF($AF142="","",INDEX(파견수련계획!$V$4:$V$203,$AF142))</f>
        <v/>
      </c>
      <c r="W142" s="17">
        <f>IF(AND($U142="파견중",$T142&lt;&gt;""),$T142-TODAY(),"")</f>
        <v/>
      </c>
      <c r="X142" s="17">
        <f>IF(OR($B142="",TRIM($J142&amp;"")=""),"",SUMPRODUCT((파견수련계획!$Q$4:$Q$203=TRIM($J142&amp;""))*파견수련계획!$W$4:$W$203))</f>
        <v/>
      </c>
      <c r="Y142" s="10">
        <f>IF($B142="","",IF($AG142="","",IF(IF(TRIM($J142&amp;"")="",0,SUMPRODUCT((파견수련계획!$Q$4:$Q$203=TRIM($J142&amp;""))*파견수련계획!$AD$4:$AD$203))&gt;0,$AE142,IF(N($X142)&lt;=0,$AG142,IF($AH142+$AI142=DAY(EOMONTH(요약!$B$3,0)),IF(AND($AH142&gt;=요약!$E$3,$AI142&lt;요약!$E$3),"서울병원",IF(AND($AI142&gt;=요약!$E$3,$AH142&lt;요약!$E$3),"구리병원","⚠15일 판정불가(서울 "&amp;$AH142&amp;"일/구리 "&amp;$AI142&amp;"일)")),IF($AJ142="",$AE142,IF(INDEX(파견수련계획!$T$4:$T$203,$AJ142)="통합수련",INDEX(파견수련계획!$S$4:$S$203,$AJ142),$AE142)))))))</f>
        <v/>
      </c>
      <c r="Z142" s="19">
        <f>IF($B142="","",IF($AB142="","기본자료에 없는 사번",IF(COUNTIF($B$2:$B$201,$B142)&gt;1,"중복 사번",IF($AE142="","소속(입사장소) 입력",IF(IF(TRIM($J142&amp;"")="",0,SUMPRODUCT((파견수련계획!$Q$4:$Q$203=TRIM($J142&amp;""))*(파견수련계획!$AA$4:$AA$203&lt;&gt;"")))&gt;0,"파견수련계획 입력오류 확인",IF(LEFT($Y142,1)="⚠","서울·구리 15일 판정 불가(양쪽 모두 이상/미만)",IF(IF($AC142="",0,N(INDEX(인턴근무계획!$T$3:$T$202,$AC142)))&gt;0,"인턴계획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IF($B142="","",IFERROR(MATCH($B142,기본자료!$B$2:$B$501,0),IFERROR(MATCH($B142&amp;"",기본자료!$B$2:$B$501,0),IFERROR(MATCH(VALUE($B142),기본자료!$B$2:$B$501,0),""))))</f>
        <v/>
      </c>
      <c r="AC142" s="10">
        <f>IF($B142="","",IFERROR(MATCH($B142,인턴근무계획!$D$3:$D$202,0),IFERROR(MATCH($B142&amp;"",인턴근무계획!$D$3:$D$202,0),IFERROR(MATCH(VALUE($B142),인턴근무계획!$D$3:$D$202,0),""))))</f>
        <v/>
      </c>
      <c r="AD142" s="10">
        <f>IF(OR($AC142="",인턴현황!$G$3=""),"",INDEX(인턴근무계획!$M$3:$R$202,$AC142,인턴현황!$G$3)&amp;"")</f>
        <v/>
      </c>
      <c r="AE142" s="10">
        <f>IF($B142="","",IF($M142&lt;&gt;"",$M142,IF($AF142&lt;&gt;"",IF(LEFT(INDEX(파견수련계획!$R$4:$R$203,$AF142),1)&lt;&gt;"⚠",INDEX(파견수련계획!$R$4:$R$203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파견수련계획!$Y$4:$Y$203,0),IFERROR(MATCH(TRIM($J142&amp;"")&amp;"|파견예정",파견수련계획!$Y$4:$Y$203,0),IFERROR(MATCH(TRIM($J142&amp;"")&amp;"|파견종료",파견수련계획!$Y$4:$Y$203,0),""))))</f>
        <v/>
      </c>
      <c r="AG142" s="10">
        <f>IF($B142="","",IF(AND(IF(OR($AC142="",인턴현황!$K$2=""),"",INDEX(인턴근무계획!$M$3:$R$202,$AC142,인턴현황!$K$2)&amp;"")&lt;&gt;"",LEFT(IF(OR($AC142="",인턴현황!$K$2=""),"",INDEX(인턴근무계획!$M$3:$R$202,$AC142,인턴현황!$K$2)&amp;""),1)&lt;&gt;"⚠"),LEFT(IF(OR($AC142="",인턴현황!$K$2=""),"",INDEX(인턴근무계획!$M$3:$R$202,$AC142,인턴현황!$K$2)&amp;""),FIND(" ",IF(OR($AC142="",인턴현황!$K$2=""),"",INDEX(인턴근무계획!$M$3:$R$202,$AC142,인턴현황!$K$2)&amp;""))-1),$AE142))</f>
        <v/>
      </c>
      <c r="AH142" s="17">
        <f>IF($B142="","",IF(TRIM($J142&amp;"")="",0,SUMPRODUCT((파견수련계획!$Q$4:$Q$203=TRIM($J142&amp;""))*(파견수련계획!$S$4:$S$203="서울병원")*파견수련계획!$W$4:$W$203))+IF($AG142="서울병원",MAX(0,DAY(EOMONTH(요약!$B$3,0))-N($X142)),0))</f>
        <v/>
      </c>
      <c r="AI142" s="17">
        <f>IF($B142="","",IF(TRIM($J142&amp;"")="",0,SUMPRODUCT((파견수련계획!$Q$4:$Q$203=TRIM($J142&amp;""))*(파견수련계획!$S$4:$S$203="구리병원")*파견수련계획!$W$4:$W$203))+IF($AG142="구리병원",MAX(0,DAY(EOMONTH(요약!$B$3,0))-N($X142)),0))</f>
        <v/>
      </c>
      <c r="AJ142" s="10">
        <f>IF(OR($B142="",TRIM($J142&amp;"")=""),"",IFERROR(MATCH(TRIM($J142&amp;"")&amp;"|월",파견수련계획!$Z$4:$Z$203,0),""))</f>
        <v/>
      </c>
      <c r="AK142" s="10">
        <f>IF(OR($B142="",TRIM($J142&amp;"")=""),"",IFERROR(MATCH(TRIM($J142&amp;"")&amp;"|다기관",파견수련계획!$AE$4:$AE$203,0),""))</f>
        <v/>
      </c>
      <c r="AL142" s="10">
        <f>IF($AK142="","","다기관 "&amp;TEXT(INDEX(파견수련계획!$AB$4:$AB$203,$AK142),"yyyy-mm-dd")&amp;"~"&amp;IF(ISNUMBER(INDEX(파견수련계획!$AC$4:$AC$203,$AK142)),TEXT(INDEX(파견수련계획!$AC$4:$AC$203,$AK142),"yyyy-mm-dd"),""))</f>
        <v/>
      </c>
    </row>
    <row r="143">
      <c r="A143" s="10">
        <f>IF(B143="","",ROW()-1)</f>
        <v/>
      </c>
      <c r="B143" s="18" t="n"/>
      <c r="C143" s="10">
        <f>IF($AB143="","",IF(INDEX(기본자료!$C$2:$C$501,$AB143)="","",INDEX(기본자료!$C$2:$C$501,$AB143)))</f>
        <v/>
      </c>
      <c r="D143" s="10">
        <f>IF($AB143="","",IF(INDEX(기본자료!$J$2:$J$501,$AB143)="","",INDEX(기본자료!$J$2:$J$501,$AB143)))</f>
        <v/>
      </c>
      <c r="E143" s="11">
        <f>IF($AB143="","",IF(INDEX(기본자료!$K$2:$K$501,$AB143)="","",IF(NOT(ISNUMBER(INDEX(기본자료!$K$2:$K$501,$AB143))),INDEX(기본자료!$K$2:$K$501,$AB143),IF(INDEX(기본자료!$K$2:$K$501,$AB143)&lt;1000000,INDEX(기본자료!$K$2:$K$501,$AB143),IF(AND(INDEX(기본자료!$K$2:$K$501,$AB143)&gt;=10000101,INT(MOD(INDEX(기본자료!$K$2:$K$501,$AB143),10000)/100)&gt;=1,INT(MOD(INDEX(기본자료!$K$2:$K$501,$AB143),10000)/100)&lt;=12,MOD(INDEX(기본자료!$K$2:$K$501,$AB143),100)&gt;=1,MOD(INDEX(기본자료!$K$2:$K$501,$AB143),100)&lt;=31),DATE(INT(INDEX(기본자료!$K$2:$K$501,$AB143)/10000),INT(MOD(INDEX(기본자료!$K$2:$K$501,$AB143),10000)/100),MOD(INDEX(기본자료!$K$2:$K$501,$AB143),100)),INDEX(기본자료!$K$2:$K$501,$AB143)&amp;"")))))</f>
        <v/>
      </c>
      <c r="F143" s="10">
        <f>IF($AB143="","",IF(INDEX(기본자료!$D$2:$D$501,$AB143)="","",INDEX(기본자료!$D$2:$D$501,$AB143)))</f>
        <v/>
      </c>
      <c r="G143" s="10">
        <f>IF($AB143="","",IF(INDEX(기본자료!$E$2:$E$501,$AB143)="","",INDEX(기본자료!$E$2:$E$501,$AB143)))</f>
        <v/>
      </c>
      <c r="H143" s="10">
        <f>IF($AB143="","",IF(INDEX(기본자료!$F$2:$F$501,$AB143)="","",INDEX(기본자료!$F$2:$F$501,$AB143)))</f>
        <v/>
      </c>
      <c r="I143" s="11">
        <f>IF($AB143="","",IF(INDEX(기본자료!$G$2:$G$501,$AB143)="","",IF(NOT(ISNUMBER(INDEX(기본자료!$G$2:$G$501,$AB143))),INDEX(기본자료!$G$2:$G$501,$AB143),IF(INDEX(기본자료!$G$2:$G$501,$AB143)&lt;1000000,INDEX(기본자료!$G$2:$G$501,$AB143),IF(AND(INDEX(기본자료!$G$2:$G$501,$AB143)&gt;=10000101,INT(MOD(INDEX(기본자료!$G$2:$G$501,$AB143),10000)/100)&gt;=1,INT(MOD(INDEX(기본자료!$G$2:$G$501,$AB143),10000)/100)&lt;=12,MOD(INDEX(기본자료!$G$2:$G$501,$AB143),100)&gt;=1,MOD(INDEX(기본자료!$G$2:$G$501,$AB143),100)&lt;=31),DATE(INT(INDEX(기본자료!$G$2:$G$501,$AB143)/10000),INT(MOD(INDEX(기본자료!$G$2:$G$501,$AB143),10000)/100),MOD(INDEX(기본자료!$G$2:$G$501,$AB143),100)),INDEX(기본자료!$G$2:$G$501,$AB143)&amp;"")))))</f>
        <v/>
      </c>
      <c r="J143" s="10">
        <f>IF($AB143="","",IF(INDEX(기본자료!$H$2:$H$501,$AB143)="","",INDEX(기본자료!$H$2:$H$501,$AB143)))</f>
        <v/>
      </c>
      <c r="K143" s="10">
        <f>IF($AB143="","",IF(INDEX(기본자료!$I$2:$I$501,$AB143)="","",INDEX(기본자료!$I$2:$I$501,$AB143)))</f>
        <v/>
      </c>
      <c r="L143" s="10">
        <f>IF($AB143="","",IF(INDEX(기본자료!$A$2:$A$501,$AB143)="","",INDEX(기본자료!$A$2:$A$501,$AB143)))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파견수련계획!$AB$4:$AB$203,$AK143),OR(NOT(ISNUMBER(INDEX(파견수련계획!$AC$4:$AC$203,$AK143))),TODAY()&lt;=INDEX(파견수련계획!$AC$4:$AC$203,$AK143))),"다기관",IF($AF143="","",INDEX(파견수련계획!$T$4:$T$203,$AF143))),IF($AF143="","",INDEX(파견수련계획!$T$4:$T$203,$AF143))))</f>
        <v/>
      </c>
      <c r="Q143" s="10">
        <f>IF($AF143="","",INDEX(파견수련계획!$S$4:$S$203,$AF143))</f>
        <v/>
      </c>
      <c r="R143" s="10">
        <f>IF($AF143="","",INDEX(파견수련계획!$U$4:$U$203,$AF143))</f>
        <v/>
      </c>
      <c r="S143" s="11">
        <f>IF($AF143="","",IF(INDEX(파견수련계획!$H$4:$H$203,$AF143)="","",INDEX(파견수련계획!$H$4:$H$203,$AF143)))</f>
        <v/>
      </c>
      <c r="T143" s="11">
        <f>IF($AF143="","",IF(INDEX(파견수련계획!$I$4:$I$203,$AF143)="","",INDEX(파견수련계획!$I$4:$I$203,$AF143)))</f>
        <v/>
      </c>
      <c r="U143" s="10">
        <f>IF($AF143="","",INDEX(파견수련계획!$X$4:$X$203,$AF143))</f>
        <v/>
      </c>
      <c r="V143" s="17">
        <f>IF($AF143="","",INDEX(파견수련계획!$V$4:$V$203,$AF143))</f>
        <v/>
      </c>
      <c r="W143" s="17">
        <f>IF(AND($U143="파견중",$T143&lt;&gt;""),$T143-TODAY(),"")</f>
        <v/>
      </c>
      <c r="X143" s="17">
        <f>IF(OR($B143="",TRIM($J143&amp;"")=""),"",SUMPRODUCT((파견수련계획!$Q$4:$Q$203=TRIM($J143&amp;""))*파견수련계획!$W$4:$W$203))</f>
        <v/>
      </c>
      <c r="Y143" s="10">
        <f>IF($B143="","",IF($AG143="","",IF(IF(TRIM($J143&amp;"")="",0,SUMPRODUCT((파견수련계획!$Q$4:$Q$203=TRIM($J143&amp;""))*파견수련계획!$AD$4:$AD$203))&gt;0,$AE143,IF(N($X143)&lt;=0,$AG143,IF($AH143+$AI143=DAY(EOMONTH(요약!$B$3,0)),IF(AND($AH143&gt;=요약!$E$3,$AI143&lt;요약!$E$3),"서울병원",IF(AND($AI143&gt;=요약!$E$3,$AH143&lt;요약!$E$3),"구리병원","⚠15일 판정불가(서울 "&amp;$AH143&amp;"일/구리 "&amp;$AI143&amp;"일)")),IF($AJ143="",$AE143,IF(INDEX(파견수련계획!$T$4:$T$203,$AJ143)="통합수련",INDEX(파견수련계획!$S$4:$S$203,$AJ143),$AE143)))))))</f>
        <v/>
      </c>
      <c r="Z143" s="19">
        <f>IF($B143="","",IF($AB143="","기본자료에 없는 사번",IF(COUNTIF($B$2:$B$201,$B143)&gt;1,"중복 사번",IF($AE143="","소속(입사장소) 입력",IF(IF(TRIM($J143&amp;"")="",0,SUMPRODUCT((파견수련계획!$Q$4:$Q$203=TRIM($J143&amp;""))*(파견수련계획!$AA$4:$AA$203&lt;&gt;"")))&gt;0,"파견수련계획 입력오류 확인",IF(LEFT($Y143,1)="⚠","서울·구리 15일 판정 불가(양쪽 모두 이상/미만)",IF(IF($AC143="",0,N(INDEX(인턴근무계획!$T$3:$T$202,$AC143)))&gt;0,"인턴계획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IF($B143="","",IFERROR(MATCH($B143,기본자료!$B$2:$B$501,0),IFERROR(MATCH($B143&amp;"",기본자료!$B$2:$B$501,0),IFERROR(MATCH(VALUE($B143),기본자료!$B$2:$B$501,0),""))))</f>
        <v/>
      </c>
      <c r="AC143" s="10">
        <f>IF($B143="","",IFERROR(MATCH($B143,인턴근무계획!$D$3:$D$202,0),IFERROR(MATCH($B143&amp;"",인턴근무계획!$D$3:$D$202,0),IFERROR(MATCH(VALUE($B143),인턴근무계획!$D$3:$D$202,0),""))))</f>
        <v/>
      </c>
      <c r="AD143" s="10">
        <f>IF(OR($AC143="",인턴현황!$G$3=""),"",INDEX(인턴근무계획!$M$3:$R$202,$AC143,인턴현황!$G$3)&amp;"")</f>
        <v/>
      </c>
      <c r="AE143" s="10">
        <f>IF($B143="","",IF($M143&lt;&gt;"",$M143,IF($AF143&lt;&gt;"",IF(LEFT(INDEX(파견수련계획!$R$4:$R$203,$AF143),1)&lt;&gt;"⚠",INDEX(파견수련계획!$R$4:$R$203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파견수련계획!$Y$4:$Y$203,0),IFERROR(MATCH(TRIM($J143&amp;"")&amp;"|파견예정",파견수련계획!$Y$4:$Y$203,0),IFERROR(MATCH(TRIM($J143&amp;"")&amp;"|파견종료",파견수련계획!$Y$4:$Y$203,0),""))))</f>
        <v/>
      </c>
      <c r="AG143" s="10">
        <f>IF($B143="","",IF(AND(IF(OR($AC143="",인턴현황!$K$2=""),"",INDEX(인턴근무계획!$M$3:$R$202,$AC143,인턴현황!$K$2)&amp;"")&lt;&gt;"",LEFT(IF(OR($AC143="",인턴현황!$K$2=""),"",INDEX(인턴근무계획!$M$3:$R$202,$AC143,인턴현황!$K$2)&amp;""),1)&lt;&gt;"⚠"),LEFT(IF(OR($AC143="",인턴현황!$K$2=""),"",INDEX(인턴근무계획!$M$3:$R$202,$AC143,인턴현황!$K$2)&amp;""),FIND(" ",IF(OR($AC143="",인턴현황!$K$2=""),"",INDEX(인턴근무계획!$M$3:$R$202,$AC143,인턴현황!$K$2)&amp;""))-1),$AE143))</f>
        <v/>
      </c>
      <c r="AH143" s="17">
        <f>IF($B143="","",IF(TRIM($J143&amp;"")="",0,SUMPRODUCT((파견수련계획!$Q$4:$Q$203=TRIM($J143&amp;""))*(파견수련계획!$S$4:$S$203="서울병원")*파견수련계획!$W$4:$W$203))+IF($AG143="서울병원",MAX(0,DAY(EOMONTH(요약!$B$3,0))-N($X143)),0))</f>
        <v/>
      </c>
      <c r="AI143" s="17">
        <f>IF($B143="","",IF(TRIM($J143&amp;"")="",0,SUMPRODUCT((파견수련계획!$Q$4:$Q$203=TRIM($J143&amp;""))*(파견수련계획!$S$4:$S$203="구리병원")*파견수련계획!$W$4:$W$203))+IF($AG143="구리병원",MAX(0,DAY(EOMONTH(요약!$B$3,0))-N($X143)),0))</f>
        <v/>
      </c>
      <c r="AJ143" s="10">
        <f>IF(OR($B143="",TRIM($J143&amp;"")=""),"",IFERROR(MATCH(TRIM($J143&amp;"")&amp;"|월",파견수련계획!$Z$4:$Z$203,0),""))</f>
        <v/>
      </c>
      <c r="AK143" s="10">
        <f>IF(OR($B143="",TRIM($J143&amp;"")=""),"",IFERROR(MATCH(TRIM($J143&amp;"")&amp;"|다기관",파견수련계획!$AE$4:$AE$203,0),""))</f>
        <v/>
      </c>
      <c r="AL143" s="10">
        <f>IF($AK143="","","다기관 "&amp;TEXT(INDEX(파견수련계획!$AB$4:$AB$203,$AK143),"yyyy-mm-dd")&amp;"~"&amp;IF(ISNUMBER(INDEX(파견수련계획!$AC$4:$AC$203,$AK143)),TEXT(INDEX(파견수련계획!$AC$4:$AC$203,$AK143),"yyyy-mm-dd"),""))</f>
        <v/>
      </c>
    </row>
    <row r="144">
      <c r="A144" s="10">
        <f>IF(B144="","",ROW()-1)</f>
        <v/>
      </c>
      <c r="B144" s="18" t="n"/>
      <c r="C144" s="10">
        <f>IF($AB144="","",IF(INDEX(기본자료!$C$2:$C$501,$AB144)="","",INDEX(기본자료!$C$2:$C$501,$AB144)))</f>
        <v/>
      </c>
      <c r="D144" s="10">
        <f>IF($AB144="","",IF(INDEX(기본자료!$J$2:$J$501,$AB144)="","",INDEX(기본자료!$J$2:$J$501,$AB144)))</f>
        <v/>
      </c>
      <c r="E144" s="11">
        <f>IF($AB144="","",IF(INDEX(기본자료!$K$2:$K$501,$AB144)="","",IF(NOT(ISNUMBER(INDEX(기본자료!$K$2:$K$501,$AB144))),INDEX(기본자료!$K$2:$K$501,$AB144),IF(INDEX(기본자료!$K$2:$K$501,$AB144)&lt;1000000,INDEX(기본자료!$K$2:$K$501,$AB144),IF(AND(INDEX(기본자료!$K$2:$K$501,$AB144)&gt;=10000101,INT(MOD(INDEX(기본자료!$K$2:$K$501,$AB144),10000)/100)&gt;=1,INT(MOD(INDEX(기본자료!$K$2:$K$501,$AB144),10000)/100)&lt;=12,MOD(INDEX(기본자료!$K$2:$K$501,$AB144),100)&gt;=1,MOD(INDEX(기본자료!$K$2:$K$501,$AB144),100)&lt;=31),DATE(INT(INDEX(기본자료!$K$2:$K$501,$AB144)/10000),INT(MOD(INDEX(기본자료!$K$2:$K$501,$AB144),10000)/100),MOD(INDEX(기본자료!$K$2:$K$501,$AB144),100)),INDEX(기본자료!$K$2:$K$501,$AB144)&amp;"")))))</f>
        <v/>
      </c>
      <c r="F144" s="10">
        <f>IF($AB144="","",IF(INDEX(기본자료!$D$2:$D$501,$AB144)="","",INDEX(기본자료!$D$2:$D$501,$AB144)))</f>
        <v/>
      </c>
      <c r="G144" s="10">
        <f>IF($AB144="","",IF(INDEX(기본자료!$E$2:$E$501,$AB144)="","",INDEX(기본자료!$E$2:$E$501,$AB144)))</f>
        <v/>
      </c>
      <c r="H144" s="10">
        <f>IF($AB144="","",IF(INDEX(기본자료!$F$2:$F$501,$AB144)="","",INDEX(기본자료!$F$2:$F$501,$AB144)))</f>
        <v/>
      </c>
      <c r="I144" s="11">
        <f>IF($AB144="","",IF(INDEX(기본자료!$G$2:$G$501,$AB144)="","",IF(NOT(ISNUMBER(INDEX(기본자료!$G$2:$G$501,$AB144))),INDEX(기본자료!$G$2:$G$501,$AB144),IF(INDEX(기본자료!$G$2:$G$501,$AB144)&lt;1000000,INDEX(기본자료!$G$2:$G$501,$AB144),IF(AND(INDEX(기본자료!$G$2:$G$501,$AB144)&gt;=10000101,INT(MOD(INDEX(기본자료!$G$2:$G$501,$AB144),10000)/100)&gt;=1,INT(MOD(INDEX(기본자료!$G$2:$G$501,$AB144),10000)/100)&lt;=12,MOD(INDEX(기본자료!$G$2:$G$501,$AB144),100)&gt;=1,MOD(INDEX(기본자료!$G$2:$G$501,$AB144),100)&lt;=31),DATE(INT(INDEX(기본자료!$G$2:$G$501,$AB144)/10000),INT(MOD(INDEX(기본자료!$G$2:$G$501,$AB144),10000)/100),MOD(INDEX(기본자료!$G$2:$G$501,$AB144),100)),INDEX(기본자료!$G$2:$G$501,$AB144)&amp;"")))))</f>
        <v/>
      </c>
      <c r="J144" s="10">
        <f>IF($AB144="","",IF(INDEX(기본자료!$H$2:$H$501,$AB144)="","",INDEX(기본자료!$H$2:$H$501,$AB144)))</f>
        <v/>
      </c>
      <c r="K144" s="10">
        <f>IF($AB144="","",IF(INDEX(기본자료!$I$2:$I$501,$AB144)="","",INDEX(기본자료!$I$2:$I$501,$AB144)))</f>
        <v/>
      </c>
      <c r="L144" s="10">
        <f>IF($AB144="","",IF(INDEX(기본자료!$A$2:$A$501,$AB144)="","",INDEX(기본자료!$A$2:$A$501,$AB144)))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파견수련계획!$AB$4:$AB$203,$AK144),OR(NOT(ISNUMBER(INDEX(파견수련계획!$AC$4:$AC$203,$AK144))),TODAY()&lt;=INDEX(파견수련계획!$AC$4:$AC$203,$AK144))),"다기관",IF($AF144="","",INDEX(파견수련계획!$T$4:$T$203,$AF144))),IF($AF144="","",INDEX(파견수련계획!$T$4:$T$203,$AF144))))</f>
        <v/>
      </c>
      <c r="Q144" s="10">
        <f>IF($AF144="","",INDEX(파견수련계획!$S$4:$S$203,$AF144))</f>
        <v/>
      </c>
      <c r="R144" s="10">
        <f>IF($AF144="","",INDEX(파견수련계획!$U$4:$U$203,$AF144))</f>
        <v/>
      </c>
      <c r="S144" s="11">
        <f>IF($AF144="","",IF(INDEX(파견수련계획!$H$4:$H$203,$AF144)="","",INDEX(파견수련계획!$H$4:$H$203,$AF144)))</f>
        <v/>
      </c>
      <c r="T144" s="11">
        <f>IF($AF144="","",IF(INDEX(파견수련계획!$I$4:$I$203,$AF144)="","",INDEX(파견수련계획!$I$4:$I$203,$AF144)))</f>
        <v/>
      </c>
      <c r="U144" s="10">
        <f>IF($AF144="","",INDEX(파견수련계획!$X$4:$X$203,$AF144))</f>
        <v/>
      </c>
      <c r="V144" s="17">
        <f>IF($AF144="","",INDEX(파견수련계획!$V$4:$V$203,$AF144))</f>
        <v/>
      </c>
      <c r="W144" s="17">
        <f>IF(AND($U144="파견중",$T144&lt;&gt;""),$T144-TODAY(),"")</f>
        <v/>
      </c>
      <c r="X144" s="17">
        <f>IF(OR($B144="",TRIM($J144&amp;"")=""),"",SUMPRODUCT((파견수련계획!$Q$4:$Q$203=TRIM($J144&amp;""))*파견수련계획!$W$4:$W$203))</f>
        <v/>
      </c>
      <c r="Y144" s="10">
        <f>IF($B144="","",IF($AG144="","",IF(IF(TRIM($J144&amp;"")="",0,SUMPRODUCT((파견수련계획!$Q$4:$Q$203=TRIM($J144&amp;""))*파견수련계획!$AD$4:$AD$203))&gt;0,$AE144,IF(N($X144)&lt;=0,$AG144,IF($AH144+$AI144=DAY(EOMONTH(요약!$B$3,0)),IF(AND($AH144&gt;=요약!$E$3,$AI144&lt;요약!$E$3),"서울병원",IF(AND($AI144&gt;=요약!$E$3,$AH144&lt;요약!$E$3),"구리병원","⚠15일 판정불가(서울 "&amp;$AH144&amp;"일/구리 "&amp;$AI144&amp;"일)")),IF($AJ144="",$AE144,IF(INDEX(파견수련계획!$T$4:$T$203,$AJ144)="통합수련",INDEX(파견수련계획!$S$4:$S$203,$AJ144),$AE144)))))))</f>
        <v/>
      </c>
      <c r="Z144" s="19">
        <f>IF($B144="","",IF($AB144="","기본자료에 없는 사번",IF(COUNTIF($B$2:$B$201,$B144)&gt;1,"중복 사번",IF($AE144="","소속(입사장소) 입력",IF(IF(TRIM($J144&amp;"")="",0,SUMPRODUCT((파견수련계획!$Q$4:$Q$203=TRIM($J144&amp;""))*(파견수련계획!$AA$4:$AA$203&lt;&gt;"")))&gt;0,"파견수련계획 입력오류 확인",IF(LEFT($Y144,1)="⚠","서울·구리 15일 판정 불가(양쪽 모두 이상/미만)",IF(IF($AC144="",0,N(INDEX(인턴근무계획!$T$3:$T$202,$AC144)))&gt;0,"인턴계획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IF($B144="","",IFERROR(MATCH($B144,기본자료!$B$2:$B$501,0),IFERROR(MATCH($B144&amp;"",기본자료!$B$2:$B$501,0),IFERROR(MATCH(VALUE($B144),기본자료!$B$2:$B$501,0),""))))</f>
        <v/>
      </c>
      <c r="AC144" s="10">
        <f>IF($B144="","",IFERROR(MATCH($B144,인턴근무계획!$D$3:$D$202,0),IFERROR(MATCH($B144&amp;"",인턴근무계획!$D$3:$D$202,0),IFERROR(MATCH(VALUE($B144),인턴근무계획!$D$3:$D$202,0),""))))</f>
        <v/>
      </c>
      <c r="AD144" s="10">
        <f>IF(OR($AC144="",인턴현황!$G$3=""),"",INDEX(인턴근무계획!$M$3:$R$202,$AC144,인턴현황!$G$3)&amp;"")</f>
        <v/>
      </c>
      <c r="AE144" s="10">
        <f>IF($B144="","",IF($M144&lt;&gt;"",$M144,IF($AF144&lt;&gt;"",IF(LEFT(INDEX(파견수련계획!$R$4:$R$203,$AF144),1)&lt;&gt;"⚠",INDEX(파견수련계획!$R$4:$R$203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파견수련계획!$Y$4:$Y$203,0),IFERROR(MATCH(TRIM($J144&amp;"")&amp;"|파견예정",파견수련계획!$Y$4:$Y$203,0),IFERROR(MATCH(TRIM($J144&amp;"")&amp;"|파견종료",파견수련계획!$Y$4:$Y$203,0),""))))</f>
        <v/>
      </c>
      <c r="AG144" s="10">
        <f>IF($B144="","",IF(AND(IF(OR($AC144="",인턴현황!$K$2=""),"",INDEX(인턴근무계획!$M$3:$R$202,$AC144,인턴현황!$K$2)&amp;"")&lt;&gt;"",LEFT(IF(OR($AC144="",인턴현황!$K$2=""),"",INDEX(인턴근무계획!$M$3:$R$202,$AC144,인턴현황!$K$2)&amp;""),1)&lt;&gt;"⚠"),LEFT(IF(OR($AC144="",인턴현황!$K$2=""),"",INDEX(인턴근무계획!$M$3:$R$202,$AC144,인턴현황!$K$2)&amp;""),FIND(" ",IF(OR($AC144="",인턴현황!$K$2=""),"",INDEX(인턴근무계획!$M$3:$R$202,$AC144,인턴현황!$K$2)&amp;""))-1),$AE144))</f>
        <v/>
      </c>
      <c r="AH144" s="17">
        <f>IF($B144="","",IF(TRIM($J144&amp;"")="",0,SUMPRODUCT((파견수련계획!$Q$4:$Q$203=TRIM($J144&amp;""))*(파견수련계획!$S$4:$S$203="서울병원")*파견수련계획!$W$4:$W$203))+IF($AG144="서울병원",MAX(0,DAY(EOMONTH(요약!$B$3,0))-N($X144)),0))</f>
        <v/>
      </c>
      <c r="AI144" s="17">
        <f>IF($B144="","",IF(TRIM($J144&amp;"")="",0,SUMPRODUCT((파견수련계획!$Q$4:$Q$203=TRIM($J144&amp;""))*(파견수련계획!$S$4:$S$203="구리병원")*파견수련계획!$W$4:$W$203))+IF($AG144="구리병원",MAX(0,DAY(EOMONTH(요약!$B$3,0))-N($X144)),0))</f>
        <v/>
      </c>
      <c r="AJ144" s="10">
        <f>IF(OR($B144="",TRIM($J144&amp;"")=""),"",IFERROR(MATCH(TRIM($J144&amp;"")&amp;"|월",파견수련계획!$Z$4:$Z$203,0),""))</f>
        <v/>
      </c>
      <c r="AK144" s="10">
        <f>IF(OR($B144="",TRIM($J144&amp;"")=""),"",IFERROR(MATCH(TRIM($J144&amp;"")&amp;"|다기관",파견수련계획!$AE$4:$AE$203,0),""))</f>
        <v/>
      </c>
      <c r="AL144" s="10">
        <f>IF($AK144="","","다기관 "&amp;TEXT(INDEX(파견수련계획!$AB$4:$AB$203,$AK144),"yyyy-mm-dd")&amp;"~"&amp;IF(ISNUMBER(INDEX(파견수련계획!$AC$4:$AC$203,$AK144)),TEXT(INDEX(파견수련계획!$AC$4:$AC$203,$AK144),"yyyy-mm-dd"),""))</f>
        <v/>
      </c>
    </row>
    <row r="145">
      <c r="A145" s="10">
        <f>IF(B145="","",ROW()-1)</f>
        <v/>
      </c>
      <c r="B145" s="18" t="n"/>
      <c r="C145" s="10">
        <f>IF($AB145="","",IF(INDEX(기본자료!$C$2:$C$501,$AB145)="","",INDEX(기본자료!$C$2:$C$501,$AB145)))</f>
        <v/>
      </c>
      <c r="D145" s="10">
        <f>IF($AB145="","",IF(INDEX(기본자료!$J$2:$J$501,$AB145)="","",INDEX(기본자료!$J$2:$J$501,$AB145)))</f>
        <v/>
      </c>
      <c r="E145" s="11">
        <f>IF($AB145="","",IF(INDEX(기본자료!$K$2:$K$501,$AB145)="","",IF(NOT(ISNUMBER(INDEX(기본자료!$K$2:$K$501,$AB145))),INDEX(기본자료!$K$2:$K$501,$AB145),IF(INDEX(기본자료!$K$2:$K$501,$AB145)&lt;1000000,INDEX(기본자료!$K$2:$K$501,$AB145),IF(AND(INDEX(기본자료!$K$2:$K$501,$AB145)&gt;=10000101,INT(MOD(INDEX(기본자료!$K$2:$K$501,$AB145),10000)/100)&gt;=1,INT(MOD(INDEX(기본자료!$K$2:$K$501,$AB145),10000)/100)&lt;=12,MOD(INDEX(기본자료!$K$2:$K$501,$AB145),100)&gt;=1,MOD(INDEX(기본자료!$K$2:$K$501,$AB145),100)&lt;=31),DATE(INT(INDEX(기본자료!$K$2:$K$501,$AB145)/10000),INT(MOD(INDEX(기본자료!$K$2:$K$501,$AB145),10000)/100),MOD(INDEX(기본자료!$K$2:$K$501,$AB145),100)),INDEX(기본자료!$K$2:$K$501,$AB145)&amp;"")))))</f>
        <v/>
      </c>
      <c r="F145" s="10">
        <f>IF($AB145="","",IF(INDEX(기본자료!$D$2:$D$501,$AB145)="","",INDEX(기본자료!$D$2:$D$501,$AB145)))</f>
        <v/>
      </c>
      <c r="G145" s="10">
        <f>IF($AB145="","",IF(INDEX(기본자료!$E$2:$E$501,$AB145)="","",INDEX(기본자료!$E$2:$E$501,$AB145)))</f>
        <v/>
      </c>
      <c r="H145" s="10">
        <f>IF($AB145="","",IF(INDEX(기본자료!$F$2:$F$501,$AB145)="","",INDEX(기본자료!$F$2:$F$501,$AB145)))</f>
        <v/>
      </c>
      <c r="I145" s="11">
        <f>IF($AB145="","",IF(INDEX(기본자료!$G$2:$G$501,$AB145)="","",IF(NOT(ISNUMBER(INDEX(기본자료!$G$2:$G$501,$AB145))),INDEX(기본자료!$G$2:$G$501,$AB145),IF(INDEX(기본자료!$G$2:$G$501,$AB145)&lt;1000000,INDEX(기본자료!$G$2:$G$501,$AB145),IF(AND(INDEX(기본자료!$G$2:$G$501,$AB145)&gt;=10000101,INT(MOD(INDEX(기본자료!$G$2:$G$501,$AB145),10000)/100)&gt;=1,INT(MOD(INDEX(기본자료!$G$2:$G$501,$AB145),10000)/100)&lt;=12,MOD(INDEX(기본자료!$G$2:$G$501,$AB145),100)&gt;=1,MOD(INDEX(기본자료!$G$2:$G$501,$AB145),100)&lt;=31),DATE(INT(INDEX(기본자료!$G$2:$G$501,$AB145)/10000),INT(MOD(INDEX(기본자료!$G$2:$G$501,$AB145),10000)/100),MOD(INDEX(기본자료!$G$2:$G$501,$AB145),100)),INDEX(기본자료!$G$2:$G$501,$AB145)&amp;"")))))</f>
        <v/>
      </c>
      <c r="J145" s="10">
        <f>IF($AB145="","",IF(INDEX(기본자료!$H$2:$H$501,$AB145)="","",INDEX(기본자료!$H$2:$H$501,$AB145)))</f>
        <v/>
      </c>
      <c r="K145" s="10">
        <f>IF($AB145="","",IF(INDEX(기본자료!$I$2:$I$501,$AB145)="","",INDEX(기본자료!$I$2:$I$501,$AB145)))</f>
        <v/>
      </c>
      <c r="L145" s="10">
        <f>IF($AB145="","",IF(INDEX(기본자료!$A$2:$A$501,$AB145)="","",INDEX(기본자료!$A$2:$A$501,$AB145)))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파견수련계획!$AB$4:$AB$203,$AK145),OR(NOT(ISNUMBER(INDEX(파견수련계획!$AC$4:$AC$203,$AK145))),TODAY()&lt;=INDEX(파견수련계획!$AC$4:$AC$203,$AK145))),"다기관",IF($AF145="","",INDEX(파견수련계획!$T$4:$T$203,$AF145))),IF($AF145="","",INDEX(파견수련계획!$T$4:$T$203,$AF145))))</f>
        <v/>
      </c>
      <c r="Q145" s="10">
        <f>IF($AF145="","",INDEX(파견수련계획!$S$4:$S$203,$AF145))</f>
        <v/>
      </c>
      <c r="R145" s="10">
        <f>IF($AF145="","",INDEX(파견수련계획!$U$4:$U$203,$AF145))</f>
        <v/>
      </c>
      <c r="S145" s="11">
        <f>IF($AF145="","",IF(INDEX(파견수련계획!$H$4:$H$203,$AF145)="","",INDEX(파견수련계획!$H$4:$H$203,$AF145)))</f>
        <v/>
      </c>
      <c r="T145" s="11">
        <f>IF($AF145="","",IF(INDEX(파견수련계획!$I$4:$I$203,$AF145)="","",INDEX(파견수련계획!$I$4:$I$203,$AF145)))</f>
        <v/>
      </c>
      <c r="U145" s="10">
        <f>IF($AF145="","",INDEX(파견수련계획!$X$4:$X$203,$AF145))</f>
        <v/>
      </c>
      <c r="V145" s="17">
        <f>IF($AF145="","",INDEX(파견수련계획!$V$4:$V$203,$AF145))</f>
        <v/>
      </c>
      <c r="W145" s="17">
        <f>IF(AND($U145="파견중",$T145&lt;&gt;""),$T145-TODAY(),"")</f>
        <v/>
      </c>
      <c r="X145" s="17">
        <f>IF(OR($B145="",TRIM($J145&amp;"")=""),"",SUMPRODUCT((파견수련계획!$Q$4:$Q$203=TRIM($J145&amp;""))*파견수련계획!$W$4:$W$203))</f>
        <v/>
      </c>
      <c r="Y145" s="10">
        <f>IF($B145="","",IF($AG145="","",IF(IF(TRIM($J145&amp;"")="",0,SUMPRODUCT((파견수련계획!$Q$4:$Q$203=TRIM($J145&amp;""))*파견수련계획!$AD$4:$AD$203))&gt;0,$AE145,IF(N($X145)&lt;=0,$AG145,IF($AH145+$AI145=DAY(EOMONTH(요약!$B$3,0)),IF(AND($AH145&gt;=요약!$E$3,$AI145&lt;요약!$E$3),"서울병원",IF(AND($AI145&gt;=요약!$E$3,$AH145&lt;요약!$E$3),"구리병원","⚠15일 판정불가(서울 "&amp;$AH145&amp;"일/구리 "&amp;$AI145&amp;"일)")),IF($AJ145="",$AE145,IF(INDEX(파견수련계획!$T$4:$T$203,$AJ145)="통합수련",INDEX(파견수련계획!$S$4:$S$203,$AJ145),$AE145)))))))</f>
        <v/>
      </c>
      <c r="Z145" s="19">
        <f>IF($B145="","",IF($AB145="","기본자료에 없는 사번",IF(COUNTIF($B$2:$B$201,$B145)&gt;1,"중복 사번",IF($AE145="","소속(입사장소) 입력",IF(IF(TRIM($J145&amp;"")="",0,SUMPRODUCT((파견수련계획!$Q$4:$Q$203=TRIM($J145&amp;""))*(파견수련계획!$AA$4:$AA$203&lt;&gt;"")))&gt;0,"파견수련계획 입력오류 확인",IF(LEFT($Y145,1)="⚠","서울·구리 15일 판정 불가(양쪽 모두 이상/미만)",IF(IF($AC145="",0,N(INDEX(인턴근무계획!$T$3:$T$202,$AC145)))&gt;0,"인턴계획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IF($B145="","",IFERROR(MATCH($B145,기본자료!$B$2:$B$501,0),IFERROR(MATCH($B145&amp;"",기본자료!$B$2:$B$501,0),IFERROR(MATCH(VALUE($B145),기본자료!$B$2:$B$501,0),""))))</f>
        <v/>
      </c>
      <c r="AC145" s="10">
        <f>IF($B145="","",IFERROR(MATCH($B145,인턴근무계획!$D$3:$D$202,0),IFERROR(MATCH($B145&amp;"",인턴근무계획!$D$3:$D$202,0),IFERROR(MATCH(VALUE($B145),인턴근무계획!$D$3:$D$202,0),""))))</f>
        <v/>
      </c>
      <c r="AD145" s="10">
        <f>IF(OR($AC145="",인턴현황!$G$3=""),"",INDEX(인턴근무계획!$M$3:$R$202,$AC145,인턴현황!$G$3)&amp;"")</f>
        <v/>
      </c>
      <c r="AE145" s="10">
        <f>IF($B145="","",IF($M145&lt;&gt;"",$M145,IF($AF145&lt;&gt;"",IF(LEFT(INDEX(파견수련계획!$R$4:$R$203,$AF145),1)&lt;&gt;"⚠",INDEX(파견수련계획!$R$4:$R$203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파견수련계획!$Y$4:$Y$203,0),IFERROR(MATCH(TRIM($J145&amp;"")&amp;"|파견예정",파견수련계획!$Y$4:$Y$203,0),IFERROR(MATCH(TRIM($J145&amp;"")&amp;"|파견종료",파견수련계획!$Y$4:$Y$203,0),""))))</f>
        <v/>
      </c>
      <c r="AG145" s="10">
        <f>IF($B145="","",IF(AND(IF(OR($AC145="",인턴현황!$K$2=""),"",INDEX(인턴근무계획!$M$3:$R$202,$AC145,인턴현황!$K$2)&amp;"")&lt;&gt;"",LEFT(IF(OR($AC145="",인턴현황!$K$2=""),"",INDEX(인턴근무계획!$M$3:$R$202,$AC145,인턴현황!$K$2)&amp;""),1)&lt;&gt;"⚠"),LEFT(IF(OR($AC145="",인턴현황!$K$2=""),"",INDEX(인턴근무계획!$M$3:$R$202,$AC145,인턴현황!$K$2)&amp;""),FIND(" ",IF(OR($AC145="",인턴현황!$K$2=""),"",INDEX(인턴근무계획!$M$3:$R$202,$AC145,인턴현황!$K$2)&amp;""))-1),$AE145))</f>
        <v/>
      </c>
      <c r="AH145" s="17">
        <f>IF($B145="","",IF(TRIM($J145&amp;"")="",0,SUMPRODUCT((파견수련계획!$Q$4:$Q$203=TRIM($J145&amp;""))*(파견수련계획!$S$4:$S$203="서울병원")*파견수련계획!$W$4:$W$203))+IF($AG145="서울병원",MAX(0,DAY(EOMONTH(요약!$B$3,0))-N($X145)),0))</f>
        <v/>
      </c>
      <c r="AI145" s="17">
        <f>IF($B145="","",IF(TRIM($J145&amp;"")="",0,SUMPRODUCT((파견수련계획!$Q$4:$Q$203=TRIM($J145&amp;""))*(파견수련계획!$S$4:$S$203="구리병원")*파견수련계획!$W$4:$W$203))+IF($AG145="구리병원",MAX(0,DAY(EOMONTH(요약!$B$3,0))-N($X145)),0))</f>
        <v/>
      </c>
      <c r="AJ145" s="10">
        <f>IF(OR($B145="",TRIM($J145&amp;"")=""),"",IFERROR(MATCH(TRIM($J145&amp;"")&amp;"|월",파견수련계획!$Z$4:$Z$203,0),""))</f>
        <v/>
      </c>
      <c r="AK145" s="10">
        <f>IF(OR($B145="",TRIM($J145&amp;"")=""),"",IFERROR(MATCH(TRIM($J145&amp;"")&amp;"|다기관",파견수련계획!$AE$4:$AE$203,0),""))</f>
        <v/>
      </c>
      <c r="AL145" s="10">
        <f>IF($AK145="","","다기관 "&amp;TEXT(INDEX(파견수련계획!$AB$4:$AB$203,$AK145),"yyyy-mm-dd")&amp;"~"&amp;IF(ISNUMBER(INDEX(파견수련계획!$AC$4:$AC$203,$AK145)),TEXT(INDEX(파견수련계획!$AC$4:$AC$203,$AK145),"yyyy-mm-dd"),""))</f>
        <v/>
      </c>
    </row>
    <row r="146">
      <c r="A146" s="10">
        <f>IF(B146="","",ROW()-1)</f>
        <v/>
      </c>
      <c r="B146" s="18" t="n"/>
      <c r="C146" s="10">
        <f>IF($AB146="","",IF(INDEX(기본자료!$C$2:$C$501,$AB146)="","",INDEX(기본자료!$C$2:$C$501,$AB146)))</f>
        <v/>
      </c>
      <c r="D146" s="10">
        <f>IF($AB146="","",IF(INDEX(기본자료!$J$2:$J$501,$AB146)="","",INDEX(기본자료!$J$2:$J$501,$AB146)))</f>
        <v/>
      </c>
      <c r="E146" s="11">
        <f>IF($AB146="","",IF(INDEX(기본자료!$K$2:$K$501,$AB146)="","",IF(NOT(ISNUMBER(INDEX(기본자료!$K$2:$K$501,$AB146))),INDEX(기본자료!$K$2:$K$501,$AB146),IF(INDEX(기본자료!$K$2:$K$501,$AB146)&lt;1000000,INDEX(기본자료!$K$2:$K$501,$AB146),IF(AND(INDEX(기본자료!$K$2:$K$501,$AB146)&gt;=10000101,INT(MOD(INDEX(기본자료!$K$2:$K$501,$AB146),10000)/100)&gt;=1,INT(MOD(INDEX(기본자료!$K$2:$K$501,$AB146),10000)/100)&lt;=12,MOD(INDEX(기본자료!$K$2:$K$501,$AB146),100)&gt;=1,MOD(INDEX(기본자료!$K$2:$K$501,$AB146),100)&lt;=31),DATE(INT(INDEX(기본자료!$K$2:$K$501,$AB146)/10000),INT(MOD(INDEX(기본자료!$K$2:$K$501,$AB146),10000)/100),MOD(INDEX(기본자료!$K$2:$K$501,$AB146),100)),INDEX(기본자료!$K$2:$K$501,$AB146)&amp;"")))))</f>
        <v/>
      </c>
      <c r="F146" s="10">
        <f>IF($AB146="","",IF(INDEX(기본자료!$D$2:$D$501,$AB146)="","",INDEX(기본자료!$D$2:$D$501,$AB146)))</f>
        <v/>
      </c>
      <c r="G146" s="10">
        <f>IF($AB146="","",IF(INDEX(기본자료!$E$2:$E$501,$AB146)="","",INDEX(기본자료!$E$2:$E$501,$AB146)))</f>
        <v/>
      </c>
      <c r="H146" s="10">
        <f>IF($AB146="","",IF(INDEX(기본자료!$F$2:$F$501,$AB146)="","",INDEX(기본자료!$F$2:$F$501,$AB146)))</f>
        <v/>
      </c>
      <c r="I146" s="11">
        <f>IF($AB146="","",IF(INDEX(기본자료!$G$2:$G$501,$AB146)="","",IF(NOT(ISNUMBER(INDEX(기본자료!$G$2:$G$501,$AB146))),INDEX(기본자료!$G$2:$G$501,$AB146),IF(INDEX(기본자료!$G$2:$G$501,$AB146)&lt;1000000,INDEX(기본자료!$G$2:$G$501,$AB146),IF(AND(INDEX(기본자료!$G$2:$G$501,$AB146)&gt;=10000101,INT(MOD(INDEX(기본자료!$G$2:$G$501,$AB146),10000)/100)&gt;=1,INT(MOD(INDEX(기본자료!$G$2:$G$501,$AB146),10000)/100)&lt;=12,MOD(INDEX(기본자료!$G$2:$G$501,$AB146),100)&gt;=1,MOD(INDEX(기본자료!$G$2:$G$501,$AB146),100)&lt;=31),DATE(INT(INDEX(기본자료!$G$2:$G$501,$AB146)/10000),INT(MOD(INDEX(기본자료!$G$2:$G$501,$AB146),10000)/100),MOD(INDEX(기본자료!$G$2:$G$501,$AB146),100)),INDEX(기본자료!$G$2:$G$501,$AB146)&amp;"")))))</f>
        <v/>
      </c>
      <c r="J146" s="10">
        <f>IF($AB146="","",IF(INDEX(기본자료!$H$2:$H$501,$AB146)="","",INDEX(기본자료!$H$2:$H$501,$AB146)))</f>
        <v/>
      </c>
      <c r="K146" s="10">
        <f>IF($AB146="","",IF(INDEX(기본자료!$I$2:$I$501,$AB146)="","",INDEX(기본자료!$I$2:$I$501,$AB146)))</f>
        <v/>
      </c>
      <c r="L146" s="10">
        <f>IF($AB146="","",IF(INDEX(기본자료!$A$2:$A$501,$AB146)="","",INDEX(기본자료!$A$2:$A$501,$AB146)))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파견수련계획!$AB$4:$AB$203,$AK146),OR(NOT(ISNUMBER(INDEX(파견수련계획!$AC$4:$AC$203,$AK146))),TODAY()&lt;=INDEX(파견수련계획!$AC$4:$AC$203,$AK146))),"다기관",IF($AF146="","",INDEX(파견수련계획!$T$4:$T$203,$AF146))),IF($AF146="","",INDEX(파견수련계획!$T$4:$T$203,$AF146))))</f>
        <v/>
      </c>
      <c r="Q146" s="10">
        <f>IF($AF146="","",INDEX(파견수련계획!$S$4:$S$203,$AF146))</f>
        <v/>
      </c>
      <c r="R146" s="10">
        <f>IF($AF146="","",INDEX(파견수련계획!$U$4:$U$203,$AF146))</f>
        <v/>
      </c>
      <c r="S146" s="11">
        <f>IF($AF146="","",IF(INDEX(파견수련계획!$H$4:$H$203,$AF146)="","",INDEX(파견수련계획!$H$4:$H$203,$AF146)))</f>
        <v/>
      </c>
      <c r="T146" s="11">
        <f>IF($AF146="","",IF(INDEX(파견수련계획!$I$4:$I$203,$AF146)="","",INDEX(파견수련계획!$I$4:$I$203,$AF146)))</f>
        <v/>
      </c>
      <c r="U146" s="10">
        <f>IF($AF146="","",INDEX(파견수련계획!$X$4:$X$203,$AF146))</f>
        <v/>
      </c>
      <c r="V146" s="17">
        <f>IF($AF146="","",INDEX(파견수련계획!$V$4:$V$203,$AF146))</f>
        <v/>
      </c>
      <c r="W146" s="17">
        <f>IF(AND($U146="파견중",$T146&lt;&gt;""),$T146-TODAY(),"")</f>
        <v/>
      </c>
      <c r="X146" s="17">
        <f>IF(OR($B146="",TRIM($J146&amp;"")=""),"",SUMPRODUCT((파견수련계획!$Q$4:$Q$203=TRIM($J146&amp;""))*파견수련계획!$W$4:$W$203))</f>
        <v/>
      </c>
      <c r="Y146" s="10">
        <f>IF($B146="","",IF($AG146="","",IF(IF(TRIM($J146&amp;"")="",0,SUMPRODUCT((파견수련계획!$Q$4:$Q$203=TRIM($J146&amp;""))*파견수련계획!$AD$4:$AD$203))&gt;0,$AE146,IF(N($X146)&lt;=0,$AG146,IF($AH146+$AI146=DAY(EOMONTH(요약!$B$3,0)),IF(AND($AH146&gt;=요약!$E$3,$AI146&lt;요약!$E$3),"서울병원",IF(AND($AI146&gt;=요약!$E$3,$AH146&lt;요약!$E$3),"구리병원","⚠15일 판정불가(서울 "&amp;$AH146&amp;"일/구리 "&amp;$AI146&amp;"일)")),IF($AJ146="",$AE146,IF(INDEX(파견수련계획!$T$4:$T$203,$AJ146)="통합수련",INDEX(파견수련계획!$S$4:$S$203,$AJ146),$AE146)))))))</f>
        <v/>
      </c>
      <c r="Z146" s="19">
        <f>IF($B146="","",IF($AB146="","기본자료에 없는 사번",IF(COUNTIF($B$2:$B$201,$B146)&gt;1,"중복 사번",IF($AE146="","소속(입사장소) 입력",IF(IF(TRIM($J146&amp;"")="",0,SUMPRODUCT((파견수련계획!$Q$4:$Q$203=TRIM($J146&amp;""))*(파견수련계획!$AA$4:$AA$203&lt;&gt;"")))&gt;0,"파견수련계획 입력오류 확인",IF(LEFT($Y146,1)="⚠","서울·구리 15일 판정 불가(양쪽 모두 이상/미만)",IF(IF($AC146="",0,N(INDEX(인턴근무계획!$T$3:$T$202,$AC146)))&gt;0,"인턴계획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IF($B146="","",IFERROR(MATCH($B146,기본자료!$B$2:$B$501,0),IFERROR(MATCH($B146&amp;"",기본자료!$B$2:$B$501,0),IFERROR(MATCH(VALUE($B146),기본자료!$B$2:$B$501,0),""))))</f>
        <v/>
      </c>
      <c r="AC146" s="10">
        <f>IF($B146="","",IFERROR(MATCH($B146,인턴근무계획!$D$3:$D$202,0),IFERROR(MATCH($B146&amp;"",인턴근무계획!$D$3:$D$202,0),IFERROR(MATCH(VALUE($B146),인턴근무계획!$D$3:$D$202,0),""))))</f>
        <v/>
      </c>
      <c r="AD146" s="10">
        <f>IF(OR($AC146="",인턴현황!$G$3=""),"",INDEX(인턴근무계획!$M$3:$R$202,$AC146,인턴현황!$G$3)&amp;"")</f>
        <v/>
      </c>
      <c r="AE146" s="10">
        <f>IF($B146="","",IF($M146&lt;&gt;"",$M146,IF($AF146&lt;&gt;"",IF(LEFT(INDEX(파견수련계획!$R$4:$R$203,$AF146),1)&lt;&gt;"⚠",INDEX(파견수련계획!$R$4:$R$203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파견수련계획!$Y$4:$Y$203,0),IFERROR(MATCH(TRIM($J146&amp;"")&amp;"|파견예정",파견수련계획!$Y$4:$Y$203,0),IFERROR(MATCH(TRIM($J146&amp;"")&amp;"|파견종료",파견수련계획!$Y$4:$Y$203,0),""))))</f>
        <v/>
      </c>
      <c r="AG146" s="10">
        <f>IF($B146="","",IF(AND(IF(OR($AC146="",인턴현황!$K$2=""),"",INDEX(인턴근무계획!$M$3:$R$202,$AC146,인턴현황!$K$2)&amp;"")&lt;&gt;"",LEFT(IF(OR($AC146="",인턴현황!$K$2=""),"",INDEX(인턴근무계획!$M$3:$R$202,$AC146,인턴현황!$K$2)&amp;""),1)&lt;&gt;"⚠"),LEFT(IF(OR($AC146="",인턴현황!$K$2=""),"",INDEX(인턴근무계획!$M$3:$R$202,$AC146,인턴현황!$K$2)&amp;""),FIND(" ",IF(OR($AC146="",인턴현황!$K$2=""),"",INDEX(인턴근무계획!$M$3:$R$202,$AC146,인턴현황!$K$2)&amp;""))-1),$AE146))</f>
        <v/>
      </c>
      <c r="AH146" s="17">
        <f>IF($B146="","",IF(TRIM($J146&amp;"")="",0,SUMPRODUCT((파견수련계획!$Q$4:$Q$203=TRIM($J146&amp;""))*(파견수련계획!$S$4:$S$203="서울병원")*파견수련계획!$W$4:$W$203))+IF($AG146="서울병원",MAX(0,DAY(EOMONTH(요약!$B$3,0))-N($X146)),0))</f>
        <v/>
      </c>
      <c r="AI146" s="17">
        <f>IF($B146="","",IF(TRIM($J146&amp;"")="",0,SUMPRODUCT((파견수련계획!$Q$4:$Q$203=TRIM($J146&amp;""))*(파견수련계획!$S$4:$S$203="구리병원")*파견수련계획!$W$4:$W$203))+IF($AG146="구리병원",MAX(0,DAY(EOMONTH(요약!$B$3,0))-N($X146)),0))</f>
        <v/>
      </c>
      <c r="AJ146" s="10">
        <f>IF(OR($B146="",TRIM($J146&amp;"")=""),"",IFERROR(MATCH(TRIM($J146&amp;"")&amp;"|월",파견수련계획!$Z$4:$Z$203,0),""))</f>
        <v/>
      </c>
      <c r="AK146" s="10">
        <f>IF(OR($B146="",TRIM($J146&amp;"")=""),"",IFERROR(MATCH(TRIM($J146&amp;"")&amp;"|다기관",파견수련계획!$AE$4:$AE$203,0),""))</f>
        <v/>
      </c>
      <c r="AL146" s="10">
        <f>IF($AK146="","","다기관 "&amp;TEXT(INDEX(파견수련계획!$AB$4:$AB$203,$AK146),"yyyy-mm-dd")&amp;"~"&amp;IF(ISNUMBER(INDEX(파견수련계획!$AC$4:$AC$203,$AK146)),TEXT(INDEX(파견수련계획!$AC$4:$AC$203,$AK146),"yyyy-mm-dd"),""))</f>
        <v/>
      </c>
    </row>
    <row r="147">
      <c r="A147" s="10">
        <f>IF(B147="","",ROW()-1)</f>
        <v/>
      </c>
      <c r="B147" s="18" t="n"/>
      <c r="C147" s="10">
        <f>IF($AB147="","",IF(INDEX(기본자료!$C$2:$C$501,$AB147)="","",INDEX(기본자료!$C$2:$C$501,$AB147)))</f>
        <v/>
      </c>
      <c r="D147" s="10">
        <f>IF($AB147="","",IF(INDEX(기본자료!$J$2:$J$501,$AB147)="","",INDEX(기본자료!$J$2:$J$501,$AB147)))</f>
        <v/>
      </c>
      <c r="E147" s="11">
        <f>IF($AB147="","",IF(INDEX(기본자료!$K$2:$K$501,$AB147)="","",IF(NOT(ISNUMBER(INDEX(기본자료!$K$2:$K$501,$AB147))),INDEX(기본자료!$K$2:$K$501,$AB147),IF(INDEX(기본자료!$K$2:$K$501,$AB147)&lt;1000000,INDEX(기본자료!$K$2:$K$501,$AB147),IF(AND(INDEX(기본자료!$K$2:$K$501,$AB147)&gt;=10000101,INT(MOD(INDEX(기본자료!$K$2:$K$501,$AB147),10000)/100)&gt;=1,INT(MOD(INDEX(기본자료!$K$2:$K$501,$AB147),10000)/100)&lt;=12,MOD(INDEX(기본자료!$K$2:$K$501,$AB147),100)&gt;=1,MOD(INDEX(기본자료!$K$2:$K$501,$AB147),100)&lt;=31),DATE(INT(INDEX(기본자료!$K$2:$K$501,$AB147)/10000),INT(MOD(INDEX(기본자료!$K$2:$K$501,$AB147),10000)/100),MOD(INDEX(기본자료!$K$2:$K$501,$AB147),100)),INDEX(기본자료!$K$2:$K$501,$AB147)&amp;"")))))</f>
        <v/>
      </c>
      <c r="F147" s="10">
        <f>IF($AB147="","",IF(INDEX(기본자료!$D$2:$D$501,$AB147)="","",INDEX(기본자료!$D$2:$D$501,$AB147)))</f>
        <v/>
      </c>
      <c r="G147" s="10">
        <f>IF($AB147="","",IF(INDEX(기본자료!$E$2:$E$501,$AB147)="","",INDEX(기본자료!$E$2:$E$501,$AB147)))</f>
        <v/>
      </c>
      <c r="H147" s="10">
        <f>IF($AB147="","",IF(INDEX(기본자료!$F$2:$F$501,$AB147)="","",INDEX(기본자료!$F$2:$F$501,$AB147)))</f>
        <v/>
      </c>
      <c r="I147" s="11">
        <f>IF($AB147="","",IF(INDEX(기본자료!$G$2:$G$501,$AB147)="","",IF(NOT(ISNUMBER(INDEX(기본자료!$G$2:$G$501,$AB147))),INDEX(기본자료!$G$2:$G$501,$AB147),IF(INDEX(기본자료!$G$2:$G$501,$AB147)&lt;1000000,INDEX(기본자료!$G$2:$G$501,$AB147),IF(AND(INDEX(기본자료!$G$2:$G$501,$AB147)&gt;=10000101,INT(MOD(INDEX(기본자료!$G$2:$G$501,$AB147),10000)/100)&gt;=1,INT(MOD(INDEX(기본자료!$G$2:$G$501,$AB147),10000)/100)&lt;=12,MOD(INDEX(기본자료!$G$2:$G$501,$AB147),100)&gt;=1,MOD(INDEX(기본자료!$G$2:$G$501,$AB147),100)&lt;=31),DATE(INT(INDEX(기본자료!$G$2:$G$501,$AB147)/10000),INT(MOD(INDEX(기본자료!$G$2:$G$501,$AB147),10000)/100),MOD(INDEX(기본자료!$G$2:$G$501,$AB147),100)),INDEX(기본자료!$G$2:$G$501,$AB147)&amp;"")))))</f>
        <v/>
      </c>
      <c r="J147" s="10">
        <f>IF($AB147="","",IF(INDEX(기본자료!$H$2:$H$501,$AB147)="","",INDEX(기본자료!$H$2:$H$501,$AB147)))</f>
        <v/>
      </c>
      <c r="K147" s="10">
        <f>IF($AB147="","",IF(INDEX(기본자료!$I$2:$I$501,$AB147)="","",INDEX(기본자료!$I$2:$I$501,$AB147)))</f>
        <v/>
      </c>
      <c r="L147" s="10">
        <f>IF($AB147="","",IF(INDEX(기본자료!$A$2:$A$501,$AB147)="","",INDEX(기본자료!$A$2:$A$501,$AB147)))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파견수련계획!$AB$4:$AB$203,$AK147),OR(NOT(ISNUMBER(INDEX(파견수련계획!$AC$4:$AC$203,$AK147))),TODAY()&lt;=INDEX(파견수련계획!$AC$4:$AC$203,$AK147))),"다기관",IF($AF147="","",INDEX(파견수련계획!$T$4:$T$203,$AF147))),IF($AF147="","",INDEX(파견수련계획!$T$4:$T$203,$AF147))))</f>
        <v/>
      </c>
      <c r="Q147" s="10">
        <f>IF($AF147="","",INDEX(파견수련계획!$S$4:$S$203,$AF147))</f>
        <v/>
      </c>
      <c r="R147" s="10">
        <f>IF($AF147="","",INDEX(파견수련계획!$U$4:$U$203,$AF147))</f>
        <v/>
      </c>
      <c r="S147" s="11">
        <f>IF($AF147="","",IF(INDEX(파견수련계획!$H$4:$H$203,$AF147)="","",INDEX(파견수련계획!$H$4:$H$203,$AF147)))</f>
        <v/>
      </c>
      <c r="T147" s="11">
        <f>IF($AF147="","",IF(INDEX(파견수련계획!$I$4:$I$203,$AF147)="","",INDEX(파견수련계획!$I$4:$I$203,$AF147)))</f>
        <v/>
      </c>
      <c r="U147" s="10">
        <f>IF($AF147="","",INDEX(파견수련계획!$X$4:$X$203,$AF147))</f>
        <v/>
      </c>
      <c r="V147" s="17">
        <f>IF($AF147="","",INDEX(파견수련계획!$V$4:$V$203,$AF147))</f>
        <v/>
      </c>
      <c r="W147" s="17">
        <f>IF(AND($U147="파견중",$T147&lt;&gt;""),$T147-TODAY(),"")</f>
        <v/>
      </c>
      <c r="X147" s="17">
        <f>IF(OR($B147="",TRIM($J147&amp;"")=""),"",SUMPRODUCT((파견수련계획!$Q$4:$Q$203=TRIM($J147&amp;""))*파견수련계획!$W$4:$W$203))</f>
        <v/>
      </c>
      <c r="Y147" s="10">
        <f>IF($B147="","",IF($AG147="","",IF(IF(TRIM($J147&amp;"")="",0,SUMPRODUCT((파견수련계획!$Q$4:$Q$203=TRIM($J147&amp;""))*파견수련계획!$AD$4:$AD$203))&gt;0,$AE147,IF(N($X147)&lt;=0,$AG147,IF($AH147+$AI147=DAY(EOMONTH(요약!$B$3,0)),IF(AND($AH147&gt;=요약!$E$3,$AI147&lt;요약!$E$3),"서울병원",IF(AND($AI147&gt;=요약!$E$3,$AH147&lt;요약!$E$3),"구리병원","⚠15일 판정불가(서울 "&amp;$AH147&amp;"일/구리 "&amp;$AI147&amp;"일)")),IF($AJ147="",$AE147,IF(INDEX(파견수련계획!$T$4:$T$203,$AJ147)="통합수련",INDEX(파견수련계획!$S$4:$S$203,$AJ147),$AE147)))))))</f>
        <v/>
      </c>
      <c r="Z147" s="19">
        <f>IF($B147="","",IF($AB147="","기본자료에 없는 사번",IF(COUNTIF($B$2:$B$201,$B147)&gt;1,"중복 사번",IF($AE147="","소속(입사장소) 입력",IF(IF(TRIM($J147&amp;"")="",0,SUMPRODUCT((파견수련계획!$Q$4:$Q$203=TRIM($J147&amp;""))*(파견수련계획!$AA$4:$AA$203&lt;&gt;"")))&gt;0,"파견수련계획 입력오류 확인",IF(LEFT($Y147,1)="⚠","서울·구리 15일 판정 불가(양쪽 모두 이상/미만)",IF(IF($AC147="",0,N(INDEX(인턴근무계획!$T$3:$T$202,$AC147)))&gt;0,"인턴계획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IF($B147="","",IFERROR(MATCH($B147,기본자료!$B$2:$B$501,0),IFERROR(MATCH($B147&amp;"",기본자료!$B$2:$B$501,0),IFERROR(MATCH(VALUE($B147),기본자료!$B$2:$B$501,0),""))))</f>
        <v/>
      </c>
      <c r="AC147" s="10">
        <f>IF($B147="","",IFERROR(MATCH($B147,인턴근무계획!$D$3:$D$202,0),IFERROR(MATCH($B147&amp;"",인턴근무계획!$D$3:$D$202,0),IFERROR(MATCH(VALUE($B147),인턴근무계획!$D$3:$D$202,0),""))))</f>
        <v/>
      </c>
      <c r="AD147" s="10">
        <f>IF(OR($AC147="",인턴현황!$G$3=""),"",INDEX(인턴근무계획!$M$3:$R$202,$AC147,인턴현황!$G$3)&amp;"")</f>
        <v/>
      </c>
      <c r="AE147" s="10">
        <f>IF($B147="","",IF($M147&lt;&gt;"",$M147,IF($AF147&lt;&gt;"",IF(LEFT(INDEX(파견수련계획!$R$4:$R$203,$AF147),1)&lt;&gt;"⚠",INDEX(파견수련계획!$R$4:$R$203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파견수련계획!$Y$4:$Y$203,0),IFERROR(MATCH(TRIM($J147&amp;"")&amp;"|파견예정",파견수련계획!$Y$4:$Y$203,0),IFERROR(MATCH(TRIM($J147&amp;"")&amp;"|파견종료",파견수련계획!$Y$4:$Y$203,0),""))))</f>
        <v/>
      </c>
      <c r="AG147" s="10">
        <f>IF($B147="","",IF(AND(IF(OR($AC147="",인턴현황!$K$2=""),"",INDEX(인턴근무계획!$M$3:$R$202,$AC147,인턴현황!$K$2)&amp;"")&lt;&gt;"",LEFT(IF(OR($AC147="",인턴현황!$K$2=""),"",INDEX(인턴근무계획!$M$3:$R$202,$AC147,인턴현황!$K$2)&amp;""),1)&lt;&gt;"⚠"),LEFT(IF(OR($AC147="",인턴현황!$K$2=""),"",INDEX(인턴근무계획!$M$3:$R$202,$AC147,인턴현황!$K$2)&amp;""),FIND(" ",IF(OR($AC147="",인턴현황!$K$2=""),"",INDEX(인턴근무계획!$M$3:$R$202,$AC147,인턴현황!$K$2)&amp;""))-1),$AE147))</f>
        <v/>
      </c>
      <c r="AH147" s="17">
        <f>IF($B147="","",IF(TRIM($J147&amp;"")="",0,SUMPRODUCT((파견수련계획!$Q$4:$Q$203=TRIM($J147&amp;""))*(파견수련계획!$S$4:$S$203="서울병원")*파견수련계획!$W$4:$W$203))+IF($AG147="서울병원",MAX(0,DAY(EOMONTH(요약!$B$3,0))-N($X147)),0))</f>
        <v/>
      </c>
      <c r="AI147" s="17">
        <f>IF($B147="","",IF(TRIM($J147&amp;"")="",0,SUMPRODUCT((파견수련계획!$Q$4:$Q$203=TRIM($J147&amp;""))*(파견수련계획!$S$4:$S$203="구리병원")*파견수련계획!$W$4:$W$203))+IF($AG147="구리병원",MAX(0,DAY(EOMONTH(요약!$B$3,0))-N($X147)),0))</f>
        <v/>
      </c>
      <c r="AJ147" s="10">
        <f>IF(OR($B147="",TRIM($J147&amp;"")=""),"",IFERROR(MATCH(TRIM($J147&amp;"")&amp;"|월",파견수련계획!$Z$4:$Z$203,0),""))</f>
        <v/>
      </c>
      <c r="AK147" s="10">
        <f>IF(OR($B147="",TRIM($J147&amp;"")=""),"",IFERROR(MATCH(TRIM($J147&amp;"")&amp;"|다기관",파견수련계획!$AE$4:$AE$203,0),""))</f>
        <v/>
      </c>
      <c r="AL147" s="10">
        <f>IF($AK147="","","다기관 "&amp;TEXT(INDEX(파견수련계획!$AB$4:$AB$203,$AK147),"yyyy-mm-dd")&amp;"~"&amp;IF(ISNUMBER(INDEX(파견수련계획!$AC$4:$AC$203,$AK147)),TEXT(INDEX(파견수련계획!$AC$4:$AC$203,$AK147),"yyyy-mm-dd"),""))</f>
        <v/>
      </c>
    </row>
    <row r="148">
      <c r="A148" s="10">
        <f>IF(B148="","",ROW()-1)</f>
        <v/>
      </c>
      <c r="B148" s="18" t="n"/>
      <c r="C148" s="10">
        <f>IF($AB148="","",IF(INDEX(기본자료!$C$2:$C$501,$AB148)="","",INDEX(기본자료!$C$2:$C$501,$AB148)))</f>
        <v/>
      </c>
      <c r="D148" s="10">
        <f>IF($AB148="","",IF(INDEX(기본자료!$J$2:$J$501,$AB148)="","",INDEX(기본자료!$J$2:$J$501,$AB148)))</f>
        <v/>
      </c>
      <c r="E148" s="11">
        <f>IF($AB148="","",IF(INDEX(기본자료!$K$2:$K$501,$AB148)="","",IF(NOT(ISNUMBER(INDEX(기본자료!$K$2:$K$501,$AB148))),INDEX(기본자료!$K$2:$K$501,$AB148),IF(INDEX(기본자료!$K$2:$K$501,$AB148)&lt;1000000,INDEX(기본자료!$K$2:$K$501,$AB148),IF(AND(INDEX(기본자료!$K$2:$K$501,$AB148)&gt;=10000101,INT(MOD(INDEX(기본자료!$K$2:$K$501,$AB148),10000)/100)&gt;=1,INT(MOD(INDEX(기본자료!$K$2:$K$501,$AB148),10000)/100)&lt;=12,MOD(INDEX(기본자료!$K$2:$K$501,$AB148),100)&gt;=1,MOD(INDEX(기본자료!$K$2:$K$501,$AB148),100)&lt;=31),DATE(INT(INDEX(기본자료!$K$2:$K$501,$AB148)/10000),INT(MOD(INDEX(기본자료!$K$2:$K$501,$AB148),10000)/100),MOD(INDEX(기본자료!$K$2:$K$501,$AB148),100)),INDEX(기본자료!$K$2:$K$501,$AB148)&amp;"")))))</f>
        <v/>
      </c>
      <c r="F148" s="10">
        <f>IF($AB148="","",IF(INDEX(기본자료!$D$2:$D$501,$AB148)="","",INDEX(기본자료!$D$2:$D$501,$AB148)))</f>
        <v/>
      </c>
      <c r="G148" s="10">
        <f>IF($AB148="","",IF(INDEX(기본자료!$E$2:$E$501,$AB148)="","",INDEX(기본자료!$E$2:$E$501,$AB148)))</f>
        <v/>
      </c>
      <c r="H148" s="10">
        <f>IF($AB148="","",IF(INDEX(기본자료!$F$2:$F$501,$AB148)="","",INDEX(기본자료!$F$2:$F$501,$AB148)))</f>
        <v/>
      </c>
      <c r="I148" s="11">
        <f>IF($AB148="","",IF(INDEX(기본자료!$G$2:$G$501,$AB148)="","",IF(NOT(ISNUMBER(INDEX(기본자료!$G$2:$G$501,$AB148))),INDEX(기본자료!$G$2:$G$501,$AB148),IF(INDEX(기본자료!$G$2:$G$501,$AB148)&lt;1000000,INDEX(기본자료!$G$2:$G$501,$AB148),IF(AND(INDEX(기본자료!$G$2:$G$501,$AB148)&gt;=10000101,INT(MOD(INDEX(기본자료!$G$2:$G$501,$AB148),10000)/100)&gt;=1,INT(MOD(INDEX(기본자료!$G$2:$G$501,$AB148),10000)/100)&lt;=12,MOD(INDEX(기본자료!$G$2:$G$501,$AB148),100)&gt;=1,MOD(INDEX(기본자료!$G$2:$G$501,$AB148),100)&lt;=31),DATE(INT(INDEX(기본자료!$G$2:$G$501,$AB148)/10000),INT(MOD(INDEX(기본자료!$G$2:$G$501,$AB148),10000)/100),MOD(INDEX(기본자료!$G$2:$G$501,$AB148),100)),INDEX(기본자료!$G$2:$G$501,$AB148)&amp;"")))))</f>
        <v/>
      </c>
      <c r="J148" s="10">
        <f>IF($AB148="","",IF(INDEX(기본자료!$H$2:$H$501,$AB148)="","",INDEX(기본자료!$H$2:$H$501,$AB148)))</f>
        <v/>
      </c>
      <c r="K148" s="10">
        <f>IF($AB148="","",IF(INDEX(기본자료!$I$2:$I$501,$AB148)="","",INDEX(기본자료!$I$2:$I$501,$AB148)))</f>
        <v/>
      </c>
      <c r="L148" s="10">
        <f>IF($AB148="","",IF(INDEX(기본자료!$A$2:$A$501,$AB148)="","",INDEX(기본자료!$A$2:$A$501,$AB148)))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파견수련계획!$AB$4:$AB$203,$AK148),OR(NOT(ISNUMBER(INDEX(파견수련계획!$AC$4:$AC$203,$AK148))),TODAY()&lt;=INDEX(파견수련계획!$AC$4:$AC$203,$AK148))),"다기관",IF($AF148="","",INDEX(파견수련계획!$T$4:$T$203,$AF148))),IF($AF148="","",INDEX(파견수련계획!$T$4:$T$203,$AF148))))</f>
        <v/>
      </c>
      <c r="Q148" s="10">
        <f>IF($AF148="","",INDEX(파견수련계획!$S$4:$S$203,$AF148))</f>
        <v/>
      </c>
      <c r="R148" s="10">
        <f>IF($AF148="","",INDEX(파견수련계획!$U$4:$U$203,$AF148))</f>
        <v/>
      </c>
      <c r="S148" s="11">
        <f>IF($AF148="","",IF(INDEX(파견수련계획!$H$4:$H$203,$AF148)="","",INDEX(파견수련계획!$H$4:$H$203,$AF148)))</f>
        <v/>
      </c>
      <c r="T148" s="11">
        <f>IF($AF148="","",IF(INDEX(파견수련계획!$I$4:$I$203,$AF148)="","",INDEX(파견수련계획!$I$4:$I$203,$AF148)))</f>
        <v/>
      </c>
      <c r="U148" s="10">
        <f>IF($AF148="","",INDEX(파견수련계획!$X$4:$X$203,$AF148))</f>
        <v/>
      </c>
      <c r="V148" s="17">
        <f>IF($AF148="","",INDEX(파견수련계획!$V$4:$V$203,$AF148))</f>
        <v/>
      </c>
      <c r="W148" s="17">
        <f>IF(AND($U148="파견중",$T148&lt;&gt;""),$T148-TODAY(),"")</f>
        <v/>
      </c>
      <c r="X148" s="17">
        <f>IF(OR($B148="",TRIM($J148&amp;"")=""),"",SUMPRODUCT((파견수련계획!$Q$4:$Q$203=TRIM($J148&amp;""))*파견수련계획!$W$4:$W$203))</f>
        <v/>
      </c>
      <c r="Y148" s="10">
        <f>IF($B148="","",IF($AG148="","",IF(IF(TRIM($J148&amp;"")="",0,SUMPRODUCT((파견수련계획!$Q$4:$Q$203=TRIM($J148&amp;""))*파견수련계획!$AD$4:$AD$203))&gt;0,$AE148,IF(N($X148)&lt;=0,$AG148,IF($AH148+$AI148=DAY(EOMONTH(요약!$B$3,0)),IF(AND($AH148&gt;=요약!$E$3,$AI148&lt;요약!$E$3),"서울병원",IF(AND($AI148&gt;=요약!$E$3,$AH148&lt;요약!$E$3),"구리병원","⚠15일 판정불가(서울 "&amp;$AH148&amp;"일/구리 "&amp;$AI148&amp;"일)")),IF($AJ148="",$AE148,IF(INDEX(파견수련계획!$T$4:$T$203,$AJ148)="통합수련",INDEX(파견수련계획!$S$4:$S$203,$AJ148),$AE148)))))))</f>
        <v/>
      </c>
      <c r="Z148" s="19">
        <f>IF($B148="","",IF($AB148="","기본자료에 없는 사번",IF(COUNTIF($B$2:$B$201,$B148)&gt;1,"중복 사번",IF($AE148="","소속(입사장소) 입력",IF(IF(TRIM($J148&amp;"")="",0,SUMPRODUCT((파견수련계획!$Q$4:$Q$203=TRIM($J148&amp;""))*(파견수련계획!$AA$4:$AA$203&lt;&gt;"")))&gt;0,"파견수련계획 입력오류 확인",IF(LEFT($Y148,1)="⚠","서울·구리 15일 판정 불가(양쪽 모두 이상/미만)",IF(IF($AC148="",0,N(INDEX(인턴근무계획!$T$3:$T$202,$AC148)))&gt;0,"인턴계획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IF($B148="","",IFERROR(MATCH($B148,기본자료!$B$2:$B$501,0),IFERROR(MATCH($B148&amp;"",기본자료!$B$2:$B$501,0),IFERROR(MATCH(VALUE($B148),기본자료!$B$2:$B$501,0),""))))</f>
        <v/>
      </c>
      <c r="AC148" s="10">
        <f>IF($B148="","",IFERROR(MATCH($B148,인턴근무계획!$D$3:$D$202,0),IFERROR(MATCH($B148&amp;"",인턴근무계획!$D$3:$D$202,0),IFERROR(MATCH(VALUE($B148),인턴근무계획!$D$3:$D$202,0),""))))</f>
        <v/>
      </c>
      <c r="AD148" s="10">
        <f>IF(OR($AC148="",인턴현황!$G$3=""),"",INDEX(인턴근무계획!$M$3:$R$202,$AC148,인턴현황!$G$3)&amp;"")</f>
        <v/>
      </c>
      <c r="AE148" s="10">
        <f>IF($B148="","",IF($M148&lt;&gt;"",$M148,IF($AF148&lt;&gt;"",IF(LEFT(INDEX(파견수련계획!$R$4:$R$203,$AF148),1)&lt;&gt;"⚠",INDEX(파견수련계획!$R$4:$R$203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파견수련계획!$Y$4:$Y$203,0),IFERROR(MATCH(TRIM($J148&amp;"")&amp;"|파견예정",파견수련계획!$Y$4:$Y$203,0),IFERROR(MATCH(TRIM($J148&amp;"")&amp;"|파견종료",파견수련계획!$Y$4:$Y$203,0),""))))</f>
        <v/>
      </c>
      <c r="AG148" s="10">
        <f>IF($B148="","",IF(AND(IF(OR($AC148="",인턴현황!$K$2=""),"",INDEX(인턴근무계획!$M$3:$R$202,$AC148,인턴현황!$K$2)&amp;"")&lt;&gt;"",LEFT(IF(OR($AC148="",인턴현황!$K$2=""),"",INDEX(인턴근무계획!$M$3:$R$202,$AC148,인턴현황!$K$2)&amp;""),1)&lt;&gt;"⚠"),LEFT(IF(OR($AC148="",인턴현황!$K$2=""),"",INDEX(인턴근무계획!$M$3:$R$202,$AC148,인턴현황!$K$2)&amp;""),FIND(" ",IF(OR($AC148="",인턴현황!$K$2=""),"",INDEX(인턴근무계획!$M$3:$R$202,$AC148,인턴현황!$K$2)&amp;""))-1),$AE148))</f>
        <v/>
      </c>
      <c r="AH148" s="17">
        <f>IF($B148="","",IF(TRIM($J148&amp;"")="",0,SUMPRODUCT((파견수련계획!$Q$4:$Q$203=TRIM($J148&amp;""))*(파견수련계획!$S$4:$S$203="서울병원")*파견수련계획!$W$4:$W$203))+IF($AG148="서울병원",MAX(0,DAY(EOMONTH(요약!$B$3,0))-N($X148)),0))</f>
        <v/>
      </c>
      <c r="AI148" s="17">
        <f>IF($B148="","",IF(TRIM($J148&amp;"")="",0,SUMPRODUCT((파견수련계획!$Q$4:$Q$203=TRIM($J148&amp;""))*(파견수련계획!$S$4:$S$203="구리병원")*파견수련계획!$W$4:$W$203))+IF($AG148="구리병원",MAX(0,DAY(EOMONTH(요약!$B$3,0))-N($X148)),0))</f>
        <v/>
      </c>
      <c r="AJ148" s="10">
        <f>IF(OR($B148="",TRIM($J148&amp;"")=""),"",IFERROR(MATCH(TRIM($J148&amp;"")&amp;"|월",파견수련계획!$Z$4:$Z$203,0),""))</f>
        <v/>
      </c>
      <c r="AK148" s="10">
        <f>IF(OR($B148="",TRIM($J148&amp;"")=""),"",IFERROR(MATCH(TRIM($J148&amp;"")&amp;"|다기관",파견수련계획!$AE$4:$AE$203,0),""))</f>
        <v/>
      </c>
      <c r="AL148" s="10">
        <f>IF($AK148="","","다기관 "&amp;TEXT(INDEX(파견수련계획!$AB$4:$AB$203,$AK148),"yyyy-mm-dd")&amp;"~"&amp;IF(ISNUMBER(INDEX(파견수련계획!$AC$4:$AC$203,$AK148)),TEXT(INDEX(파견수련계획!$AC$4:$AC$203,$AK148),"yyyy-mm-dd"),""))</f>
        <v/>
      </c>
    </row>
    <row r="149">
      <c r="A149" s="10">
        <f>IF(B149="","",ROW()-1)</f>
        <v/>
      </c>
      <c r="B149" s="18" t="n"/>
      <c r="C149" s="10">
        <f>IF($AB149="","",IF(INDEX(기본자료!$C$2:$C$501,$AB149)="","",INDEX(기본자료!$C$2:$C$501,$AB149)))</f>
        <v/>
      </c>
      <c r="D149" s="10">
        <f>IF($AB149="","",IF(INDEX(기본자료!$J$2:$J$501,$AB149)="","",INDEX(기본자료!$J$2:$J$501,$AB149)))</f>
        <v/>
      </c>
      <c r="E149" s="11">
        <f>IF($AB149="","",IF(INDEX(기본자료!$K$2:$K$501,$AB149)="","",IF(NOT(ISNUMBER(INDEX(기본자료!$K$2:$K$501,$AB149))),INDEX(기본자료!$K$2:$K$501,$AB149),IF(INDEX(기본자료!$K$2:$K$501,$AB149)&lt;1000000,INDEX(기본자료!$K$2:$K$501,$AB149),IF(AND(INDEX(기본자료!$K$2:$K$501,$AB149)&gt;=10000101,INT(MOD(INDEX(기본자료!$K$2:$K$501,$AB149),10000)/100)&gt;=1,INT(MOD(INDEX(기본자료!$K$2:$K$501,$AB149),10000)/100)&lt;=12,MOD(INDEX(기본자료!$K$2:$K$501,$AB149),100)&gt;=1,MOD(INDEX(기본자료!$K$2:$K$501,$AB149),100)&lt;=31),DATE(INT(INDEX(기본자료!$K$2:$K$501,$AB149)/10000),INT(MOD(INDEX(기본자료!$K$2:$K$501,$AB149),10000)/100),MOD(INDEX(기본자료!$K$2:$K$501,$AB149),100)),INDEX(기본자료!$K$2:$K$501,$AB149)&amp;"")))))</f>
        <v/>
      </c>
      <c r="F149" s="10">
        <f>IF($AB149="","",IF(INDEX(기본자료!$D$2:$D$501,$AB149)="","",INDEX(기본자료!$D$2:$D$501,$AB149)))</f>
        <v/>
      </c>
      <c r="G149" s="10">
        <f>IF($AB149="","",IF(INDEX(기본자료!$E$2:$E$501,$AB149)="","",INDEX(기본자료!$E$2:$E$501,$AB149)))</f>
        <v/>
      </c>
      <c r="H149" s="10">
        <f>IF($AB149="","",IF(INDEX(기본자료!$F$2:$F$501,$AB149)="","",INDEX(기본자료!$F$2:$F$501,$AB149)))</f>
        <v/>
      </c>
      <c r="I149" s="11">
        <f>IF($AB149="","",IF(INDEX(기본자료!$G$2:$G$501,$AB149)="","",IF(NOT(ISNUMBER(INDEX(기본자료!$G$2:$G$501,$AB149))),INDEX(기본자료!$G$2:$G$501,$AB149),IF(INDEX(기본자료!$G$2:$G$501,$AB149)&lt;1000000,INDEX(기본자료!$G$2:$G$501,$AB149),IF(AND(INDEX(기본자료!$G$2:$G$501,$AB149)&gt;=10000101,INT(MOD(INDEX(기본자료!$G$2:$G$501,$AB149),10000)/100)&gt;=1,INT(MOD(INDEX(기본자료!$G$2:$G$501,$AB149),10000)/100)&lt;=12,MOD(INDEX(기본자료!$G$2:$G$501,$AB149),100)&gt;=1,MOD(INDEX(기본자료!$G$2:$G$501,$AB149),100)&lt;=31),DATE(INT(INDEX(기본자료!$G$2:$G$501,$AB149)/10000),INT(MOD(INDEX(기본자료!$G$2:$G$501,$AB149),10000)/100),MOD(INDEX(기본자료!$G$2:$G$501,$AB149),100)),INDEX(기본자료!$G$2:$G$501,$AB149)&amp;"")))))</f>
        <v/>
      </c>
      <c r="J149" s="10">
        <f>IF($AB149="","",IF(INDEX(기본자료!$H$2:$H$501,$AB149)="","",INDEX(기본자료!$H$2:$H$501,$AB149)))</f>
        <v/>
      </c>
      <c r="K149" s="10">
        <f>IF($AB149="","",IF(INDEX(기본자료!$I$2:$I$501,$AB149)="","",INDEX(기본자료!$I$2:$I$501,$AB149)))</f>
        <v/>
      </c>
      <c r="L149" s="10">
        <f>IF($AB149="","",IF(INDEX(기본자료!$A$2:$A$501,$AB149)="","",INDEX(기본자료!$A$2:$A$501,$AB149)))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파견수련계획!$AB$4:$AB$203,$AK149),OR(NOT(ISNUMBER(INDEX(파견수련계획!$AC$4:$AC$203,$AK149))),TODAY()&lt;=INDEX(파견수련계획!$AC$4:$AC$203,$AK149))),"다기관",IF($AF149="","",INDEX(파견수련계획!$T$4:$T$203,$AF149))),IF($AF149="","",INDEX(파견수련계획!$T$4:$T$203,$AF149))))</f>
        <v/>
      </c>
      <c r="Q149" s="10">
        <f>IF($AF149="","",INDEX(파견수련계획!$S$4:$S$203,$AF149))</f>
        <v/>
      </c>
      <c r="R149" s="10">
        <f>IF($AF149="","",INDEX(파견수련계획!$U$4:$U$203,$AF149))</f>
        <v/>
      </c>
      <c r="S149" s="11">
        <f>IF($AF149="","",IF(INDEX(파견수련계획!$H$4:$H$203,$AF149)="","",INDEX(파견수련계획!$H$4:$H$203,$AF149)))</f>
        <v/>
      </c>
      <c r="T149" s="11">
        <f>IF($AF149="","",IF(INDEX(파견수련계획!$I$4:$I$203,$AF149)="","",INDEX(파견수련계획!$I$4:$I$203,$AF149)))</f>
        <v/>
      </c>
      <c r="U149" s="10">
        <f>IF($AF149="","",INDEX(파견수련계획!$X$4:$X$203,$AF149))</f>
        <v/>
      </c>
      <c r="V149" s="17">
        <f>IF($AF149="","",INDEX(파견수련계획!$V$4:$V$203,$AF149))</f>
        <v/>
      </c>
      <c r="W149" s="17">
        <f>IF(AND($U149="파견중",$T149&lt;&gt;""),$T149-TODAY(),"")</f>
        <v/>
      </c>
      <c r="X149" s="17">
        <f>IF(OR($B149="",TRIM($J149&amp;"")=""),"",SUMPRODUCT((파견수련계획!$Q$4:$Q$203=TRIM($J149&amp;""))*파견수련계획!$W$4:$W$203))</f>
        <v/>
      </c>
      <c r="Y149" s="10">
        <f>IF($B149="","",IF($AG149="","",IF(IF(TRIM($J149&amp;"")="",0,SUMPRODUCT((파견수련계획!$Q$4:$Q$203=TRIM($J149&amp;""))*파견수련계획!$AD$4:$AD$203))&gt;0,$AE149,IF(N($X149)&lt;=0,$AG149,IF($AH149+$AI149=DAY(EOMONTH(요약!$B$3,0)),IF(AND($AH149&gt;=요약!$E$3,$AI149&lt;요약!$E$3),"서울병원",IF(AND($AI149&gt;=요약!$E$3,$AH149&lt;요약!$E$3),"구리병원","⚠15일 판정불가(서울 "&amp;$AH149&amp;"일/구리 "&amp;$AI149&amp;"일)")),IF($AJ149="",$AE149,IF(INDEX(파견수련계획!$T$4:$T$203,$AJ149)="통합수련",INDEX(파견수련계획!$S$4:$S$203,$AJ149),$AE149)))))))</f>
        <v/>
      </c>
      <c r="Z149" s="19">
        <f>IF($B149="","",IF($AB149="","기본자료에 없는 사번",IF(COUNTIF($B$2:$B$201,$B149)&gt;1,"중복 사번",IF($AE149="","소속(입사장소) 입력",IF(IF(TRIM($J149&amp;"")="",0,SUMPRODUCT((파견수련계획!$Q$4:$Q$203=TRIM($J149&amp;""))*(파견수련계획!$AA$4:$AA$203&lt;&gt;"")))&gt;0,"파견수련계획 입력오류 확인",IF(LEFT($Y149,1)="⚠","서울·구리 15일 판정 불가(양쪽 모두 이상/미만)",IF(IF($AC149="",0,N(INDEX(인턴근무계획!$T$3:$T$202,$AC149)))&gt;0,"인턴계획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IF($B149="","",IFERROR(MATCH($B149,기본자료!$B$2:$B$501,0),IFERROR(MATCH($B149&amp;"",기본자료!$B$2:$B$501,0),IFERROR(MATCH(VALUE($B149),기본자료!$B$2:$B$501,0),""))))</f>
        <v/>
      </c>
      <c r="AC149" s="10">
        <f>IF($B149="","",IFERROR(MATCH($B149,인턴근무계획!$D$3:$D$202,0),IFERROR(MATCH($B149&amp;"",인턴근무계획!$D$3:$D$202,0),IFERROR(MATCH(VALUE($B149),인턴근무계획!$D$3:$D$202,0),""))))</f>
        <v/>
      </c>
      <c r="AD149" s="10">
        <f>IF(OR($AC149="",인턴현황!$G$3=""),"",INDEX(인턴근무계획!$M$3:$R$202,$AC149,인턴현황!$G$3)&amp;"")</f>
        <v/>
      </c>
      <c r="AE149" s="10">
        <f>IF($B149="","",IF($M149&lt;&gt;"",$M149,IF($AF149&lt;&gt;"",IF(LEFT(INDEX(파견수련계획!$R$4:$R$203,$AF149),1)&lt;&gt;"⚠",INDEX(파견수련계획!$R$4:$R$203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파견수련계획!$Y$4:$Y$203,0),IFERROR(MATCH(TRIM($J149&amp;"")&amp;"|파견예정",파견수련계획!$Y$4:$Y$203,0),IFERROR(MATCH(TRIM($J149&amp;"")&amp;"|파견종료",파견수련계획!$Y$4:$Y$203,0),""))))</f>
        <v/>
      </c>
      <c r="AG149" s="10">
        <f>IF($B149="","",IF(AND(IF(OR($AC149="",인턴현황!$K$2=""),"",INDEX(인턴근무계획!$M$3:$R$202,$AC149,인턴현황!$K$2)&amp;"")&lt;&gt;"",LEFT(IF(OR($AC149="",인턴현황!$K$2=""),"",INDEX(인턴근무계획!$M$3:$R$202,$AC149,인턴현황!$K$2)&amp;""),1)&lt;&gt;"⚠"),LEFT(IF(OR($AC149="",인턴현황!$K$2=""),"",INDEX(인턴근무계획!$M$3:$R$202,$AC149,인턴현황!$K$2)&amp;""),FIND(" ",IF(OR($AC149="",인턴현황!$K$2=""),"",INDEX(인턴근무계획!$M$3:$R$202,$AC149,인턴현황!$K$2)&amp;""))-1),$AE149))</f>
        <v/>
      </c>
      <c r="AH149" s="17">
        <f>IF($B149="","",IF(TRIM($J149&amp;"")="",0,SUMPRODUCT((파견수련계획!$Q$4:$Q$203=TRIM($J149&amp;""))*(파견수련계획!$S$4:$S$203="서울병원")*파견수련계획!$W$4:$W$203))+IF($AG149="서울병원",MAX(0,DAY(EOMONTH(요약!$B$3,0))-N($X149)),0))</f>
        <v/>
      </c>
      <c r="AI149" s="17">
        <f>IF($B149="","",IF(TRIM($J149&amp;"")="",0,SUMPRODUCT((파견수련계획!$Q$4:$Q$203=TRIM($J149&amp;""))*(파견수련계획!$S$4:$S$203="구리병원")*파견수련계획!$W$4:$W$203))+IF($AG149="구리병원",MAX(0,DAY(EOMONTH(요약!$B$3,0))-N($X149)),0))</f>
        <v/>
      </c>
      <c r="AJ149" s="10">
        <f>IF(OR($B149="",TRIM($J149&amp;"")=""),"",IFERROR(MATCH(TRIM($J149&amp;"")&amp;"|월",파견수련계획!$Z$4:$Z$203,0),""))</f>
        <v/>
      </c>
      <c r="AK149" s="10">
        <f>IF(OR($B149="",TRIM($J149&amp;"")=""),"",IFERROR(MATCH(TRIM($J149&amp;"")&amp;"|다기관",파견수련계획!$AE$4:$AE$203,0),""))</f>
        <v/>
      </c>
      <c r="AL149" s="10">
        <f>IF($AK149="","","다기관 "&amp;TEXT(INDEX(파견수련계획!$AB$4:$AB$203,$AK149),"yyyy-mm-dd")&amp;"~"&amp;IF(ISNUMBER(INDEX(파견수련계획!$AC$4:$AC$203,$AK149)),TEXT(INDEX(파견수련계획!$AC$4:$AC$203,$AK149),"yyyy-mm-dd"),""))</f>
        <v/>
      </c>
    </row>
    <row r="150">
      <c r="A150" s="10">
        <f>IF(B150="","",ROW()-1)</f>
        <v/>
      </c>
      <c r="B150" s="18" t="n"/>
      <c r="C150" s="10">
        <f>IF($AB150="","",IF(INDEX(기본자료!$C$2:$C$501,$AB150)="","",INDEX(기본자료!$C$2:$C$501,$AB150)))</f>
        <v/>
      </c>
      <c r="D150" s="10">
        <f>IF($AB150="","",IF(INDEX(기본자료!$J$2:$J$501,$AB150)="","",INDEX(기본자료!$J$2:$J$501,$AB150)))</f>
        <v/>
      </c>
      <c r="E150" s="11">
        <f>IF($AB150="","",IF(INDEX(기본자료!$K$2:$K$501,$AB150)="","",IF(NOT(ISNUMBER(INDEX(기본자료!$K$2:$K$501,$AB150))),INDEX(기본자료!$K$2:$K$501,$AB150),IF(INDEX(기본자료!$K$2:$K$501,$AB150)&lt;1000000,INDEX(기본자료!$K$2:$K$501,$AB150),IF(AND(INDEX(기본자료!$K$2:$K$501,$AB150)&gt;=10000101,INT(MOD(INDEX(기본자료!$K$2:$K$501,$AB150),10000)/100)&gt;=1,INT(MOD(INDEX(기본자료!$K$2:$K$501,$AB150),10000)/100)&lt;=12,MOD(INDEX(기본자료!$K$2:$K$501,$AB150),100)&gt;=1,MOD(INDEX(기본자료!$K$2:$K$501,$AB150),100)&lt;=31),DATE(INT(INDEX(기본자료!$K$2:$K$501,$AB150)/10000),INT(MOD(INDEX(기본자료!$K$2:$K$501,$AB150),10000)/100),MOD(INDEX(기본자료!$K$2:$K$501,$AB150),100)),INDEX(기본자료!$K$2:$K$501,$AB150)&amp;"")))))</f>
        <v/>
      </c>
      <c r="F150" s="10">
        <f>IF($AB150="","",IF(INDEX(기본자료!$D$2:$D$501,$AB150)="","",INDEX(기본자료!$D$2:$D$501,$AB150)))</f>
        <v/>
      </c>
      <c r="G150" s="10">
        <f>IF($AB150="","",IF(INDEX(기본자료!$E$2:$E$501,$AB150)="","",INDEX(기본자료!$E$2:$E$501,$AB150)))</f>
        <v/>
      </c>
      <c r="H150" s="10">
        <f>IF($AB150="","",IF(INDEX(기본자료!$F$2:$F$501,$AB150)="","",INDEX(기본자료!$F$2:$F$501,$AB150)))</f>
        <v/>
      </c>
      <c r="I150" s="11">
        <f>IF($AB150="","",IF(INDEX(기본자료!$G$2:$G$501,$AB150)="","",IF(NOT(ISNUMBER(INDEX(기본자료!$G$2:$G$501,$AB150))),INDEX(기본자료!$G$2:$G$501,$AB150),IF(INDEX(기본자료!$G$2:$G$501,$AB150)&lt;1000000,INDEX(기본자료!$G$2:$G$501,$AB150),IF(AND(INDEX(기본자료!$G$2:$G$501,$AB150)&gt;=10000101,INT(MOD(INDEX(기본자료!$G$2:$G$501,$AB150),10000)/100)&gt;=1,INT(MOD(INDEX(기본자료!$G$2:$G$501,$AB150),10000)/100)&lt;=12,MOD(INDEX(기본자료!$G$2:$G$501,$AB150),100)&gt;=1,MOD(INDEX(기본자료!$G$2:$G$501,$AB150),100)&lt;=31),DATE(INT(INDEX(기본자료!$G$2:$G$501,$AB150)/10000),INT(MOD(INDEX(기본자료!$G$2:$G$501,$AB150),10000)/100),MOD(INDEX(기본자료!$G$2:$G$501,$AB150),100)),INDEX(기본자료!$G$2:$G$501,$AB150)&amp;"")))))</f>
        <v/>
      </c>
      <c r="J150" s="10">
        <f>IF($AB150="","",IF(INDEX(기본자료!$H$2:$H$501,$AB150)="","",INDEX(기본자료!$H$2:$H$501,$AB150)))</f>
        <v/>
      </c>
      <c r="K150" s="10">
        <f>IF($AB150="","",IF(INDEX(기본자료!$I$2:$I$501,$AB150)="","",INDEX(기본자료!$I$2:$I$501,$AB150)))</f>
        <v/>
      </c>
      <c r="L150" s="10">
        <f>IF($AB150="","",IF(INDEX(기본자료!$A$2:$A$501,$AB150)="","",INDEX(기본자료!$A$2:$A$501,$AB150)))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파견수련계획!$AB$4:$AB$203,$AK150),OR(NOT(ISNUMBER(INDEX(파견수련계획!$AC$4:$AC$203,$AK150))),TODAY()&lt;=INDEX(파견수련계획!$AC$4:$AC$203,$AK150))),"다기관",IF($AF150="","",INDEX(파견수련계획!$T$4:$T$203,$AF150))),IF($AF150="","",INDEX(파견수련계획!$T$4:$T$203,$AF150))))</f>
        <v/>
      </c>
      <c r="Q150" s="10">
        <f>IF($AF150="","",INDEX(파견수련계획!$S$4:$S$203,$AF150))</f>
        <v/>
      </c>
      <c r="R150" s="10">
        <f>IF($AF150="","",INDEX(파견수련계획!$U$4:$U$203,$AF150))</f>
        <v/>
      </c>
      <c r="S150" s="11">
        <f>IF($AF150="","",IF(INDEX(파견수련계획!$H$4:$H$203,$AF150)="","",INDEX(파견수련계획!$H$4:$H$203,$AF150)))</f>
        <v/>
      </c>
      <c r="T150" s="11">
        <f>IF($AF150="","",IF(INDEX(파견수련계획!$I$4:$I$203,$AF150)="","",INDEX(파견수련계획!$I$4:$I$203,$AF150)))</f>
        <v/>
      </c>
      <c r="U150" s="10">
        <f>IF($AF150="","",INDEX(파견수련계획!$X$4:$X$203,$AF150))</f>
        <v/>
      </c>
      <c r="V150" s="17">
        <f>IF($AF150="","",INDEX(파견수련계획!$V$4:$V$203,$AF150))</f>
        <v/>
      </c>
      <c r="W150" s="17">
        <f>IF(AND($U150="파견중",$T150&lt;&gt;""),$T150-TODAY(),"")</f>
        <v/>
      </c>
      <c r="X150" s="17">
        <f>IF(OR($B150="",TRIM($J150&amp;"")=""),"",SUMPRODUCT((파견수련계획!$Q$4:$Q$203=TRIM($J150&amp;""))*파견수련계획!$W$4:$W$203))</f>
        <v/>
      </c>
      <c r="Y150" s="10">
        <f>IF($B150="","",IF($AG150="","",IF(IF(TRIM($J150&amp;"")="",0,SUMPRODUCT((파견수련계획!$Q$4:$Q$203=TRIM($J150&amp;""))*파견수련계획!$AD$4:$AD$203))&gt;0,$AE150,IF(N($X150)&lt;=0,$AG150,IF($AH150+$AI150=DAY(EOMONTH(요약!$B$3,0)),IF(AND($AH150&gt;=요약!$E$3,$AI150&lt;요약!$E$3),"서울병원",IF(AND($AI150&gt;=요약!$E$3,$AH150&lt;요약!$E$3),"구리병원","⚠15일 판정불가(서울 "&amp;$AH150&amp;"일/구리 "&amp;$AI150&amp;"일)")),IF($AJ150="",$AE150,IF(INDEX(파견수련계획!$T$4:$T$203,$AJ150)="통합수련",INDEX(파견수련계획!$S$4:$S$203,$AJ150),$AE150)))))))</f>
        <v/>
      </c>
      <c r="Z150" s="19">
        <f>IF($B150="","",IF($AB150="","기본자료에 없는 사번",IF(COUNTIF($B$2:$B$201,$B150)&gt;1,"중복 사번",IF($AE150="","소속(입사장소) 입력",IF(IF(TRIM($J150&amp;"")="",0,SUMPRODUCT((파견수련계획!$Q$4:$Q$203=TRIM($J150&amp;""))*(파견수련계획!$AA$4:$AA$203&lt;&gt;"")))&gt;0,"파견수련계획 입력오류 확인",IF(LEFT($Y150,1)="⚠","서울·구리 15일 판정 불가(양쪽 모두 이상/미만)",IF(IF($AC150="",0,N(INDEX(인턴근무계획!$T$3:$T$202,$AC150)))&gt;0,"인턴계획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IF($B150="","",IFERROR(MATCH($B150,기본자료!$B$2:$B$501,0),IFERROR(MATCH($B150&amp;"",기본자료!$B$2:$B$501,0),IFERROR(MATCH(VALUE($B150),기본자료!$B$2:$B$501,0),""))))</f>
        <v/>
      </c>
      <c r="AC150" s="10">
        <f>IF($B150="","",IFERROR(MATCH($B150,인턴근무계획!$D$3:$D$202,0),IFERROR(MATCH($B150&amp;"",인턴근무계획!$D$3:$D$202,0),IFERROR(MATCH(VALUE($B150),인턴근무계획!$D$3:$D$202,0),""))))</f>
        <v/>
      </c>
      <c r="AD150" s="10">
        <f>IF(OR($AC150="",인턴현황!$G$3=""),"",INDEX(인턴근무계획!$M$3:$R$202,$AC150,인턴현황!$G$3)&amp;"")</f>
        <v/>
      </c>
      <c r="AE150" s="10">
        <f>IF($B150="","",IF($M150&lt;&gt;"",$M150,IF($AF150&lt;&gt;"",IF(LEFT(INDEX(파견수련계획!$R$4:$R$203,$AF150),1)&lt;&gt;"⚠",INDEX(파견수련계획!$R$4:$R$203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파견수련계획!$Y$4:$Y$203,0),IFERROR(MATCH(TRIM($J150&amp;"")&amp;"|파견예정",파견수련계획!$Y$4:$Y$203,0),IFERROR(MATCH(TRIM($J150&amp;"")&amp;"|파견종료",파견수련계획!$Y$4:$Y$203,0),""))))</f>
        <v/>
      </c>
      <c r="AG150" s="10">
        <f>IF($B150="","",IF(AND(IF(OR($AC150="",인턴현황!$K$2=""),"",INDEX(인턴근무계획!$M$3:$R$202,$AC150,인턴현황!$K$2)&amp;"")&lt;&gt;"",LEFT(IF(OR($AC150="",인턴현황!$K$2=""),"",INDEX(인턴근무계획!$M$3:$R$202,$AC150,인턴현황!$K$2)&amp;""),1)&lt;&gt;"⚠"),LEFT(IF(OR($AC150="",인턴현황!$K$2=""),"",INDEX(인턴근무계획!$M$3:$R$202,$AC150,인턴현황!$K$2)&amp;""),FIND(" ",IF(OR($AC150="",인턴현황!$K$2=""),"",INDEX(인턴근무계획!$M$3:$R$202,$AC150,인턴현황!$K$2)&amp;""))-1),$AE150))</f>
        <v/>
      </c>
      <c r="AH150" s="17">
        <f>IF($B150="","",IF(TRIM($J150&amp;"")="",0,SUMPRODUCT((파견수련계획!$Q$4:$Q$203=TRIM($J150&amp;""))*(파견수련계획!$S$4:$S$203="서울병원")*파견수련계획!$W$4:$W$203))+IF($AG150="서울병원",MAX(0,DAY(EOMONTH(요약!$B$3,0))-N($X150)),0))</f>
        <v/>
      </c>
      <c r="AI150" s="17">
        <f>IF($B150="","",IF(TRIM($J150&amp;"")="",0,SUMPRODUCT((파견수련계획!$Q$4:$Q$203=TRIM($J150&amp;""))*(파견수련계획!$S$4:$S$203="구리병원")*파견수련계획!$W$4:$W$203))+IF($AG150="구리병원",MAX(0,DAY(EOMONTH(요약!$B$3,0))-N($X150)),0))</f>
        <v/>
      </c>
      <c r="AJ150" s="10">
        <f>IF(OR($B150="",TRIM($J150&amp;"")=""),"",IFERROR(MATCH(TRIM($J150&amp;"")&amp;"|월",파견수련계획!$Z$4:$Z$203,0),""))</f>
        <v/>
      </c>
      <c r="AK150" s="10">
        <f>IF(OR($B150="",TRIM($J150&amp;"")=""),"",IFERROR(MATCH(TRIM($J150&amp;"")&amp;"|다기관",파견수련계획!$AE$4:$AE$203,0),""))</f>
        <v/>
      </c>
      <c r="AL150" s="10">
        <f>IF($AK150="","","다기관 "&amp;TEXT(INDEX(파견수련계획!$AB$4:$AB$203,$AK150),"yyyy-mm-dd")&amp;"~"&amp;IF(ISNUMBER(INDEX(파견수련계획!$AC$4:$AC$203,$AK150)),TEXT(INDEX(파견수련계획!$AC$4:$AC$203,$AK150),"yyyy-mm-dd"),""))</f>
        <v/>
      </c>
    </row>
    <row r="151">
      <c r="A151" s="10">
        <f>IF(B151="","",ROW()-1)</f>
        <v/>
      </c>
      <c r="B151" s="18" t="n"/>
      <c r="C151" s="10">
        <f>IF($AB151="","",IF(INDEX(기본자료!$C$2:$C$501,$AB151)="","",INDEX(기본자료!$C$2:$C$501,$AB151)))</f>
        <v/>
      </c>
      <c r="D151" s="10">
        <f>IF($AB151="","",IF(INDEX(기본자료!$J$2:$J$501,$AB151)="","",INDEX(기본자료!$J$2:$J$501,$AB151)))</f>
        <v/>
      </c>
      <c r="E151" s="11">
        <f>IF($AB151="","",IF(INDEX(기본자료!$K$2:$K$501,$AB151)="","",IF(NOT(ISNUMBER(INDEX(기본자료!$K$2:$K$501,$AB151))),INDEX(기본자료!$K$2:$K$501,$AB151),IF(INDEX(기본자료!$K$2:$K$501,$AB151)&lt;1000000,INDEX(기본자료!$K$2:$K$501,$AB151),IF(AND(INDEX(기본자료!$K$2:$K$501,$AB151)&gt;=10000101,INT(MOD(INDEX(기본자료!$K$2:$K$501,$AB151),10000)/100)&gt;=1,INT(MOD(INDEX(기본자료!$K$2:$K$501,$AB151),10000)/100)&lt;=12,MOD(INDEX(기본자료!$K$2:$K$501,$AB151),100)&gt;=1,MOD(INDEX(기본자료!$K$2:$K$501,$AB151),100)&lt;=31),DATE(INT(INDEX(기본자료!$K$2:$K$501,$AB151)/10000),INT(MOD(INDEX(기본자료!$K$2:$K$501,$AB151),10000)/100),MOD(INDEX(기본자료!$K$2:$K$501,$AB151),100)),INDEX(기본자료!$K$2:$K$501,$AB151)&amp;"")))))</f>
        <v/>
      </c>
      <c r="F151" s="10">
        <f>IF($AB151="","",IF(INDEX(기본자료!$D$2:$D$501,$AB151)="","",INDEX(기본자료!$D$2:$D$501,$AB151)))</f>
        <v/>
      </c>
      <c r="G151" s="10">
        <f>IF($AB151="","",IF(INDEX(기본자료!$E$2:$E$501,$AB151)="","",INDEX(기본자료!$E$2:$E$501,$AB151)))</f>
        <v/>
      </c>
      <c r="H151" s="10">
        <f>IF($AB151="","",IF(INDEX(기본자료!$F$2:$F$501,$AB151)="","",INDEX(기본자료!$F$2:$F$501,$AB151)))</f>
        <v/>
      </c>
      <c r="I151" s="11">
        <f>IF($AB151="","",IF(INDEX(기본자료!$G$2:$G$501,$AB151)="","",IF(NOT(ISNUMBER(INDEX(기본자료!$G$2:$G$501,$AB151))),INDEX(기본자료!$G$2:$G$501,$AB151),IF(INDEX(기본자료!$G$2:$G$501,$AB151)&lt;1000000,INDEX(기본자료!$G$2:$G$501,$AB151),IF(AND(INDEX(기본자료!$G$2:$G$501,$AB151)&gt;=10000101,INT(MOD(INDEX(기본자료!$G$2:$G$501,$AB151),10000)/100)&gt;=1,INT(MOD(INDEX(기본자료!$G$2:$G$501,$AB151),10000)/100)&lt;=12,MOD(INDEX(기본자료!$G$2:$G$501,$AB151),100)&gt;=1,MOD(INDEX(기본자료!$G$2:$G$501,$AB151),100)&lt;=31),DATE(INT(INDEX(기본자료!$G$2:$G$501,$AB151)/10000),INT(MOD(INDEX(기본자료!$G$2:$G$501,$AB151),10000)/100),MOD(INDEX(기본자료!$G$2:$G$501,$AB151),100)),INDEX(기본자료!$G$2:$G$501,$AB151)&amp;"")))))</f>
        <v/>
      </c>
      <c r="J151" s="10">
        <f>IF($AB151="","",IF(INDEX(기본자료!$H$2:$H$501,$AB151)="","",INDEX(기본자료!$H$2:$H$501,$AB151)))</f>
        <v/>
      </c>
      <c r="K151" s="10">
        <f>IF($AB151="","",IF(INDEX(기본자료!$I$2:$I$501,$AB151)="","",INDEX(기본자료!$I$2:$I$501,$AB151)))</f>
        <v/>
      </c>
      <c r="L151" s="10">
        <f>IF($AB151="","",IF(INDEX(기본자료!$A$2:$A$501,$AB151)="","",INDEX(기본자료!$A$2:$A$501,$AB151)))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파견수련계획!$AB$4:$AB$203,$AK151),OR(NOT(ISNUMBER(INDEX(파견수련계획!$AC$4:$AC$203,$AK151))),TODAY()&lt;=INDEX(파견수련계획!$AC$4:$AC$203,$AK151))),"다기관",IF($AF151="","",INDEX(파견수련계획!$T$4:$T$203,$AF151))),IF($AF151="","",INDEX(파견수련계획!$T$4:$T$203,$AF151))))</f>
        <v/>
      </c>
      <c r="Q151" s="10">
        <f>IF($AF151="","",INDEX(파견수련계획!$S$4:$S$203,$AF151))</f>
        <v/>
      </c>
      <c r="R151" s="10">
        <f>IF($AF151="","",INDEX(파견수련계획!$U$4:$U$203,$AF151))</f>
        <v/>
      </c>
      <c r="S151" s="11">
        <f>IF($AF151="","",IF(INDEX(파견수련계획!$H$4:$H$203,$AF151)="","",INDEX(파견수련계획!$H$4:$H$203,$AF151)))</f>
        <v/>
      </c>
      <c r="T151" s="11">
        <f>IF($AF151="","",IF(INDEX(파견수련계획!$I$4:$I$203,$AF151)="","",INDEX(파견수련계획!$I$4:$I$203,$AF151)))</f>
        <v/>
      </c>
      <c r="U151" s="10">
        <f>IF($AF151="","",INDEX(파견수련계획!$X$4:$X$203,$AF151))</f>
        <v/>
      </c>
      <c r="V151" s="17">
        <f>IF($AF151="","",INDEX(파견수련계획!$V$4:$V$203,$AF151))</f>
        <v/>
      </c>
      <c r="W151" s="17">
        <f>IF(AND($U151="파견중",$T151&lt;&gt;""),$T151-TODAY(),"")</f>
        <v/>
      </c>
      <c r="X151" s="17">
        <f>IF(OR($B151="",TRIM($J151&amp;"")=""),"",SUMPRODUCT((파견수련계획!$Q$4:$Q$203=TRIM($J151&amp;""))*파견수련계획!$W$4:$W$203))</f>
        <v/>
      </c>
      <c r="Y151" s="10">
        <f>IF($B151="","",IF($AG151="","",IF(IF(TRIM($J151&amp;"")="",0,SUMPRODUCT((파견수련계획!$Q$4:$Q$203=TRIM($J151&amp;""))*파견수련계획!$AD$4:$AD$203))&gt;0,$AE151,IF(N($X151)&lt;=0,$AG151,IF($AH151+$AI151=DAY(EOMONTH(요약!$B$3,0)),IF(AND($AH151&gt;=요약!$E$3,$AI151&lt;요약!$E$3),"서울병원",IF(AND($AI151&gt;=요약!$E$3,$AH151&lt;요약!$E$3),"구리병원","⚠15일 판정불가(서울 "&amp;$AH151&amp;"일/구리 "&amp;$AI151&amp;"일)")),IF($AJ151="",$AE151,IF(INDEX(파견수련계획!$T$4:$T$203,$AJ151)="통합수련",INDEX(파견수련계획!$S$4:$S$203,$AJ151),$AE151)))))))</f>
        <v/>
      </c>
      <c r="Z151" s="19">
        <f>IF($B151="","",IF($AB151="","기본자료에 없는 사번",IF(COUNTIF($B$2:$B$201,$B151)&gt;1,"중복 사번",IF($AE151="","소속(입사장소) 입력",IF(IF(TRIM($J151&amp;"")="",0,SUMPRODUCT((파견수련계획!$Q$4:$Q$203=TRIM($J151&amp;""))*(파견수련계획!$AA$4:$AA$203&lt;&gt;"")))&gt;0,"파견수련계획 입력오류 확인",IF(LEFT($Y151,1)="⚠","서울·구리 15일 판정 불가(양쪽 모두 이상/미만)",IF(IF($AC151="",0,N(INDEX(인턴근무계획!$T$3:$T$202,$AC151)))&gt;0,"인턴계획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IF($B151="","",IFERROR(MATCH($B151,기본자료!$B$2:$B$501,0),IFERROR(MATCH($B151&amp;"",기본자료!$B$2:$B$501,0),IFERROR(MATCH(VALUE($B151),기본자료!$B$2:$B$501,0),""))))</f>
        <v/>
      </c>
      <c r="AC151" s="10">
        <f>IF($B151="","",IFERROR(MATCH($B151,인턴근무계획!$D$3:$D$202,0),IFERROR(MATCH($B151&amp;"",인턴근무계획!$D$3:$D$202,0),IFERROR(MATCH(VALUE($B151),인턴근무계획!$D$3:$D$202,0),""))))</f>
        <v/>
      </c>
      <c r="AD151" s="10">
        <f>IF(OR($AC151="",인턴현황!$G$3=""),"",INDEX(인턴근무계획!$M$3:$R$202,$AC151,인턴현황!$G$3)&amp;"")</f>
        <v/>
      </c>
      <c r="AE151" s="10">
        <f>IF($B151="","",IF($M151&lt;&gt;"",$M151,IF($AF151&lt;&gt;"",IF(LEFT(INDEX(파견수련계획!$R$4:$R$203,$AF151),1)&lt;&gt;"⚠",INDEX(파견수련계획!$R$4:$R$203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파견수련계획!$Y$4:$Y$203,0),IFERROR(MATCH(TRIM($J151&amp;"")&amp;"|파견예정",파견수련계획!$Y$4:$Y$203,0),IFERROR(MATCH(TRIM($J151&amp;"")&amp;"|파견종료",파견수련계획!$Y$4:$Y$203,0),""))))</f>
        <v/>
      </c>
      <c r="AG151" s="10">
        <f>IF($B151="","",IF(AND(IF(OR($AC151="",인턴현황!$K$2=""),"",INDEX(인턴근무계획!$M$3:$R$202,$AC151,인턴현황!$K$2)&amp;"")&lt;&gt;"",LEFT(IF(OR($AC151="",인턴현황!$K$2=""),"",INDEX(인턴근무계획!$M$3:$R$202,$AC151,인턴현황!$K$2)&amp;""),1)&lt;&gt;"⚠"),LEFT(IF(OR($AC151="",인턴현황!$K$2=""),"",INDEX(인턴근무계획!$M$3:$R$202,$AC151,인턴현황!$K$2)&amp;""),FIND(" ",IF(OR($AC151="",인턴현황!$K$2=""),"",INDEX(인턴근무계획!$M$3:$R$202,$AC151,인턴현황!$K$2)&amp;""))-1),$AE151))</f>
        <v/>
      </c>
      <c r="AH151" s="17">
        <f>IF($B151="","",IF(TRIM($J151&amp;"")="",0,SUMPRODUCT((파견수련계획!$Q$4:$Q$203=TRIM($J151&amp;""))*(파견수련계획!$S$4:$S$203="서울병원")*파견수련계획!$W$4:$W$203))+IF($AG151="서울병원",MAX(0,DAY(EOMONTH(요약!$B$3,0))-N($X151)),0))</f>
        <v/>
      </c>
      <c r="AI151" s="17">
        <f>IF($B151="","",IF(TRIM($J151&amp;"")="",0,SUMPRODUCT((파견수련계획!$Q$4:$Q$203=TRIM($J151&amp;""))*(파견수련계획!$S$4:$S$203="구리병원")*파견수련계획!$W$4:$W$203))+IF($AG151="구리병원",MAX(0,DAY(EOMONTH(요약!$B$3,0))-N($X151)),0))</f>
        <v/>
      </c>
      <c r="AJ151" s="10">
        <f>IF(OR($B151="",TRIM($J151&amp;"")=""),"",IFERROR(MATCH(TRIM($J151&amp;"")&amp;"|월",파견수련계획!$Z$4:$Z$203,0),""))</f>
        <v/>
      </c>
      <c r="AK151" s="10">
        <f>IF(OR($B151="",TRIM($J151&amp;"")=""),"",IFERROR(MATCH(TRIM($J151&amp;"")&amp;"|다기관",파견수련계획!$AE$4:$AE$203,0),""))</f>
        <v/>
      </c>
      <c r="AL151" s="10">
        <f>IF($AK151="","","다기관 "&amp;TEXT(INDEX(파견수련계획!$AB$4:$AB$203,$AK151),"yyyy-mm-dd")&amp;"~"&amp;IF(ISNUMBER(INDEX(파견수련계획!$AC$4:$AC$203,$AK151)),TEXT(INDEX(파견수련계획!$AC$4:$AC$203,$AK151),"yyyy-mm-dd"),""))</f>
        <v/>
      </c>
    </row>
    <row r="152">
      <c r="A152" s="10">
        <f>IF(B152="","",ROW()-1)</f>
        <v/>
      </c>
      <c r="B152" s="18" t="n"/>
      <c r="C152" s="10">
        <f>IF($AB152="","",IF(INDEX(기본자료!$C$2:$C$501,$AB152)="","",INDEX(기본자료!$C$2:$C$501,$AB152)))</f>
        <v/>
      </c>
      <c r="D152" s="10">
        <f>IF($AB152="","",IF(INDEX(기본자료!$J$2:$J$501,$AB152)="","",INDEX(기본자료!$J$2:$J$501,$AB152)))</f>
        <v/>
      </c>
      <c r="E152" s="11">
        <f>IF($AB152="","",IF(INDEX(기본자료!$K$2:$K$501,$AB152)="","",IF(NOT(ISNUMBER(INDEX(기본자료!$K$2:$K$501,$AB152))),INDEX(기본자료!$K$2:$K$501,$AB152),IF(INDEX(기본자료!$K$2:$K$501,$AB152)&lt;1000000,INDEX(기본자료!$K$2:$K$501,$AB152),IF(AND(INDEX(기본자료!$K$2:$K$501,$AB152)&gt;=10000101,INT(MOD(INDEX(기본자료!$K$2:$K$501,$AB152),10000)/100)&gt;=1,INT(MOD(INDEX(기본자료!$K$2:$K$501,$AB152),10000)/100)&lt;=12,MOD(INDEX(기본자료!$K$2:$K$501,$AB152),100)&gt;=1,MOD(INDEX(기본자료!$K$2:$K$501,$AB152),100)&lt;=31),DATE(INT(INDEX(기본자료!$K$2:$K$501,$AB152)/10000),INT(MOD(INDEX(기본자료!$K$2:$K$501,$AB152),10000)/100),MOD(INDEX(기본자료!$K$2:$K$501,$AB152),100)),INDEX(기본자료!$K$2:$K$501,$AB152)&amp;"")))))</f>
        <v/>
      </c>
      <c r="F152" s="10">
        <f>IF($AB152="","",IF(INDEX(기본자료!$D$2:$D$501,$AB152)="","",INDEX(기본자료!$D$2:$D$501,$AB152)))</f>
        <v/>
      </c>
      <c r="G152" s="10">
        <f>IF($AB152="","",IF(INDEX(기본자료!$E$2:$E$501,$AB152)="","",INDEX(기본자료!$E$2:$E$501,$AB152)))</f>
        <v/>
      </c>
      <c r="H152" s="10">
        <f>IF($AB152="","",IF(INDEX(기본자료!$F$2:$F$501,$AB152)="","",INDEX(기본자료!$F$2:$F$501,$AB152)))</f>
        <v/>
      </c>
      <c r="I152" s="11">
        <f>IF($AB152="","",IF(INDEX(기본자료!$G$2:$G$501,$AB152)="","",IF(NOT(ISNUMBER(INDEX(기본자료!$G$2:$G$501,$AB152))),INDEX(기본자료!$G$2:$G$501,$AB152),IF(INDEX(기본자료!$G$2:$G$501,$AB152)&lt;1000000,INDEX(기본자료!$G$2:$G$501,$AB152),IF(AND(INDEX(기본자료!$G$2:$G$501,$AB152)&gt;=10000101,INT(MOD(INDEX(기본자료!$G$2:$G$501,$AB152),10000)/100)&gt;=1,INT(MOD(INDEX(기본자료!$G$2:$G$501,$AB152),10000)/100)&lt;=12,MOD(INDEX(기본자료!$G$2:$G$501,$AB152),100)&gt;=1,MOD(INDEX(기본자료!$G$2:$G$501,$AB152),100)&lt;=31),DATE(INT(INDEX(기본자료!$G$2:$G$501,$AB152)/10000),INT(MOD(INDEX(기본자료!$G$2:$G$501,$AB152),10000)/100),MOD(INDEX(기본자료!$G$2:$G$501,$AB152),100)),INDEX(기본자료!$G$2:$G$501,$AB152)&amp;"")))))</f>
        <v/>
      </c>
      <c r="J152" s="10">
        <f>IF($AB152="","",IF(INDEX(기본자료!$H$2:$H$501,$AB152)="","",INDEX(기본자료!$H$2:$H$501,$AB152)))</f>
        <v/>
      </c>
      <c r="K152" s="10">
        <f>IF($AB152="","",IF(INDEX(기본자료!$I$2:$I$501,$AB152)="","",INDEX(기본자료!$I$2:$I$501,$AB152)))</f>
        <v/>
      </c>
      <c r="L152" s="10">
        <f>IF($AB152="","",IF(INDEX(기본자료!$A$2:$A$501,$AB152)="","",INDEX(기본자료!$A$2:$A$501,$AB152)))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파견수련계획!$AB$4:$AB$203,$AK152),OR(NOT(ISNUMBER(INDEX(파견수련계획!$AC$4:$AC$203,$AK152))),TODAY()&lt;=INDEX(파견수련계획!$AC$4:$AC$203,$AK152))),"다기관",IF($AF152="","",INDEX(파견수련계획!$T$4:$T$203,$AF152))),IF($AF152="","",INDEX(파견수련계획!$T$4:$T$203,$AF152))))</f>
        <v/>
      </c>
      <c r="Q152" s="10">
        <f>IF($AF152="","",INDEX(파견수련계획!$S$4:$S$203,$AF152))</f>
        <v/>
      </c>
      <c r="R152" s="10">
        <f>IF($AF152="","",INDEX(파견수련계획!$U$4:$U$203,$AF152))</f>
        <v/>
      </c>
      <c r="S152" s="11">
        <f>IF($AF152="","",IF(INDEX(파견수련계획!$H$4:$H$203,$AF152)="","",INDEX(파견수련계획!$H$4:$H$203,$AF152)))</f>
        <v/>
      </c>
      <c r="T152" s="11">
        <f>IF($AF152="","",IF(INDEX(파견수련계획!$I$4:$I$203,$AF152)="","",INDEX(파견수련계획!$I$4:$I$203,$AF152)))</f>
        <v/>
      </c>
      <c r="U152" s="10">
        <f>IF($AF152="","",INDEX(파견수련계획!$X$4:$X$203,$AF152))</f>
        <v/>
      </c>
      <c r="V152" s="17">
        <f>IF($AF152="","",INDEX(파견수련계획!$V$4:$V$203,$AF152))</f>
        <v/>
      </c>
      <c r="W152" s="17">
        <f>IF(AND($U152="파견중",$T152&lt;&gt;""),$T152-TODAY(),"")</f>
        <v/>
      </c>
      <c r="X152" s="17">
        <f>IF(OR($B152="",TRIM($J152&amp;"")=""),"",SUMPRODUCT((파견수련계획!$Q$4:$Q$203=TRIM($J152&amp;""))*파견수련계획!$W$4:$W$203))</f>
        <v/>
      </c>
      <c r="Y152" s="10">
        <f>IF($B152="","",IF($AG152="","",IF(IF(TRIM($J152&amp;"")="",0,SUMPRODUCT((파견수련계획!$Q$4:$Q$203=TRIM($J152&amp;""))*파견수련계획!$AD$4:$AD$203))&gt;0,$AE152,IF(N($X152)&lt;=0,$AG152,IF($AH152+$AI152=DAY(EOMONTH(요약!$B$3,0)),IF(AND($AH152&gt;=요약!$E$3,$AI152&lt;요약!$E$3),"서울병원",IF(AND($AI152&gt;=요약!$E$3,$AH152&lt;요약!$E$3),"구리병원","⚠15일 판정불가(서울 "&amp;$AH152&amp;"일/구리 "&amp;$AI152&amp;"일)")),IF($AJ152="",$AE152,IF(INDEX(파견수련계획!$T$4:$T$203,$AJ152)="통합수련",INDEX(파견수련계획!$S$4:$S$203,$AJ152),$AE152)))))))</f>
        <v/>
      </c>
      <c r="Z152" s="19">
        <f>IF($B152="","",IF($AB152="","기본자료에 없는 사번",IF(COUNTIF($B$2:$B$201,$B152)&gt;1,"중복 사번",IF($AE152="","소속(입사장소) 입력",IF(IF(TRIM($J152&amp;"")="",0,SUMPRODUCT((파견수련계획!$Q$4:$Q$203=TRIM($J152&amp;""))*(파견수련계획!$AA$4:$AA$203&lt;&gt;"")))&gt;0,"파견수련계획 입력오류 확인",IF(LEFT($Y152,1)="⚠","서울·구리 15일 판정 불가(양쪽 모두 이상/미만)",IF(IF($AC152="",0,N(INDEX(인턴근무계획!$T$3:$T$202,$AC152)))&gt;0,"인턴계획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IF($B152="","",IFERROR(MATCH($B152,기본자료!$B$2:$B$501,0),IFERROR(MATCH($B152&amp;"",기본자료!$B$2:$B$501,0),IFERROR(MATCH(VALUE($B152),기본자료!$B$2:$B$501,0),""))))</f>
        <v/>
      </c>
      <c r="AC152" s="10">
        <f>IF($B152="","",IFERROR(MATCH($B152,인턴근무계획!$D$3:$D$202,0),IFERROR(MATCH($B152&amp;"",인턴근무계획!$D$3:$D$202,0),IFERROR(MATCH(VALUE($B152),인턴근무계획!$D$3:$D$202,0),""))))</f>
        <v/>
      </c>
      <c r="AD152" s="10">
        <f>IF(OR($AC152="",인턴현황!$G$3=""),"",INDEX(인턴근무계획!$M$3:$R$202,$AC152,인턴현황!$G$3)&amp;"")</f>
        <v/>
      </c>
      <c r="AE152" s="10">
        <f>IF($B152="","",IF($M152&lt;&gt;"",$M152,IF($AF152&lt;&gt;"",IF(LEFT(INDEX(파견수련계획!$R$4:$R$203,$AF152),1)&lt;&gt;"⚠",INDEX(파견수련계획!$R$4:$R$203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파견수련계획!$Y$4:$Y$203,0),IFERROR(MATCH(TRIM($J152&amp;"")&amp;"|파견예정",파견수련계획!$Y$4:$Y$203,0),IFERROR(MATCH(TRIM($J152&amp;"")&amp;"|파견종료",파견수련계획!$Y$4:$Y$203,0),""))))</f>
        <v/>
      </c>
      <c r="AG152" s="10">
        <f>IF($B152="","",IF(AND(IF(OR($AC152="",인턴현황!$K$2=""),"",INDEX(인턴근무계획!$M$3:$R$202,$AC152,인턴현황!$K$2)&amp;"")&lt;&gt;"",LEFT(IF(OR($AC152="",인턴현황!$K$2=""),"",INDEX(인턴근무계획!$M$3:$R$202,$AC152,인턴현황!$K$2)&amp;""),1)&lt;&gt;"⚠"),LEFT(IF(OR($AC152="",인턴현황!$K$2=""),"",INDEX(인턴근무계획!$M$3:$R$202,$AC152,인턴현황!$K$2)&amp;""),FIND(" ",IF(OR($AC152="",인턴현황!$K$2=""),"",INDEX(인턴근무계획!$M$3:$R$202,$AC152,인턴현황!$K$2)&amp;""))-1),$AE152))</f>
        <v/>
      </c>
      <c r="AH152" s="17">
        <f>IF($B152="","",IF(TRIM($J152&amp;"")="",0,SUMPRODUCT((파견수련계획!$Q$4:$Q$203=TRIM($J152&amp;""))*(파견수련계획!$S$4:$S$203="서울병원")*파견수련계획!$W$4:$W$203))+IF($AG152="서울병원",MAX(0,DAY(EOMONTH(요약!$B$3,0))-N($X152)),0))</f>
        <v/>
      </c>
      <c r="AI152" s="17">
        <f>IF($B152="","",IF(TRIM($J152&amp;"")="",0,SUMPRODUCT((파견수련계획!$Q$4:$Q$203=TRIM($J152&amp;""))*(파견수련계획!$S$4:$S$203="구리병원")*파견수련계획!$W$4:$W$203))+IF($AG152="구리병원",MAX(0,DAY(EOMONTH(요약!$B$3,0))-N($X152)),0))</f>
        <v/>
      </c>
      <c r="AJ152" s="10">
        <f>IF(OR($B152="",TRIM($J152&amp;"")=""),"",IFERROR(MATCH(TRIM($J152&amp;"")&amp;"|월",파견수련계획!$Z$4:$Z$203,0),""))</f>
        <v/>
      </c>
      <c r="AK152" s="10">
        <f>IF(OR($B152="",TRIM($J152&amp;"")=""),"",IFERROR(MATCH(TRIM($J152&amp;"")&amp;"|다기관",파견수련계획!$AE$4:$AE$203,0),""))</f>
        <v/>
      </c>
      <c r="AL152" s="10">
        <f>IF($AK152="","","다기관 "&amp;TEXT(INDEX(파견수련계획!$AB$4:$AB$203,$AK152),"yyyy-mm-dd")&amp;"~"&amp;IF(ISNUMBER(INDEX(파견수련계획!$AC$4:$AC$203,$AK152)),TEXT(INDEX(파견수련계획!$AC$4:$AC$203,$AK152),"yyyy-mm-dd"),""))</f>
        <v/>
      </c>
    </row>
    <row r="153">
      <c r="A153" s="10">
        <f>IF(B153="","",ROW()-1)</f>
        <v/>
      </c>
      <c r="B153" s="18" t="n"/>
      <c r="C153" s="10">
        <f>IF($AB153="","",IF(INDEX(기본자료!$C$2:$C$501,$AB153)="","",INDEX(기본자료!$C$2:$C$501,$AB153)))</f>
        <v/>
      </c>
      <c r="D153" s="10">
        <f>IF($AB153="","",IF(INDEX(기본자료!$J$2:$J$501,$AB153)="","",INDEX(기본자료!$J$2:$J$501,$AB153)))</f>
        <v/>
      </c>
      <c r="E153" s="11">
        <f>IF($AB153="","",IF(INDEX(기본자료!$K$2:$K$501,$AB153)="","",IF(NOT(ISNUMBER(INDEX(기본자료!$K$2:$K$501,$AB153))),INDEX(기본자료!$K$2:$K$501,$AB153),IF(INDEX(기본자료!$K$2:$K$501,$AB153)&lt;1000000,INDEX(기본자료!$K$2:$K$501,$AB153),IF(AND(INDEX(기본자료!$K$2:$K$501,$AB153)&gt;=10000101,INT(MOD(INDEX(기본자료!$K$2:$K$501,$AB153),10000)/100)&gt;=1,INT(MOD(INDEX(기본자료!$K$2:$K$501,$AB153),10000)/100)&lt;=12,MOD(INDEX(기본자료!$K$2:$K$501,$AB153),100)&gt;=1,MOD(INDEX(기본자료!$K$2:$K$501,$AB153),100)&lt;=31),DATE(INT(INDEX(기본자료!$K$2:$K$501,$AB153)/10000),INT(MOD(INDEX(기본자료!$K$2:$K$501,$AB153),10000)/100),MOD(INDEX(기본자료!$K$2:$K$501,$AB153),100)),INDEX(기본자료!$K$2:$K$501,$AB153)&amp;"")))))</f>
        <v/>
      </c>
      <c r="F153" s="10">
        <f>IF($AB153="","",IF(INDEX(기본자료!$D$2:$D$501,$AB153)="","",INDEX(기본자료!$D$2:$D$501,$AB153)))</f>
        <v/>
      </c>
      <c r="G153" s="10">
        <f>IF($AB153="","",IF(INDEX(기본자료!$E$2:$E$501,$AB153)="","",INDEX(기본자료!$E$2:$E$501,$AB153)))</f>
        <v/>
      </c>
      <c r="H153" s="10">
        <f>IF($AB153="","",IF(INDEX(기본자료!$F$2:$F$501,$AB153)="","",INDEX(기본자료!$F$2:$F$501,$AB153)))</f>
        <v/>
      </c>
      <c r="I153" s="11">
        <f>IF($AB153="","",IF(INDEX(기본자료!$G$2:$G$501,$AB153)="","",IF(NOT(ISNUMBER(INDEX(기본자료!$G$2:$G$501,$AB153))),INDEX(기본자료!$G$2:$G$501,$AB153),IF(INDEX(기본자료!$G$2:$G$501,$AB153)&lt;1000000,INDEX(기본자료!$G$2:$G$501,$AB153),IF(AND(INDEX(기본자료!$G$2:$G$501,$AB153)&gt;=10000101,INT(MOD(INDEX(기본자료!$G$2:$G$501,$AB153),10000)/100)&gt;=1,INT(MOD(INDEX(기본자료!$G$2:$G$501,$AB153),10000)/100)&lt;=12,MOD(INDEX(기본자료!$G$2:$G$501,$AB153),100)&gt;=1,MOD(INDEX(기본자료!$G$2:$G$501,$AB153),100)&lt;=31),DATE(INT(INDEX(기본자료!$G$2:$G$501,$AB153)/10000),INT(MOD(INDEX(기본자료!$G$2:$G$501,$AB153),10000)/100),MOD(INDEX(기본자료!$G$2:$G$501,$AB153),100)),INDEX(기본자료!$G$2:$G$501,$AB153)&amp;"")))))</f>
        <v/>
      </c>
      <c r="J153" s="10">
        <f>IF($AB153="","",IF(INDEX(기본자료!$H$2:$H$501,$AB153)="","",INDEX(기본자료!$H$2:$H$501,$AB153)))</f>
        <v/>
      </c>
      <c r="K153" s="10">
        <f>IF($AB153="","",IF(INDEX(기본자료!$I$2:$I$501,$AB153)="","",INDEX(기본자료!$I$2:$I$501,$AB153)))</f>
        <v/>
      </c>
      <c r="L153" s="10">
        <f>IF($AB153="","",IF(INDEX(기본자료!$A$2:$A$501,$AB153)="","",INDEX(기본자료!$A$2:$A$501,$AB153)))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파견수련계획!$AB$4:$AB$203,$AK153),OR(NOT(ISNUMBER(INDEX(파견수련계획!$AC$4:$AC$203,$AK153))),TODAY()&lt;=INDEX(파견수련계획!$AC$4:$AC$203,$AK153))),"다기관",IF($AF153="","",INDEX(파견수련계획!$T$4:$T$203,$AF153))),IF($AF153="","",INDEX(파견수련계획!$T$4:$T$203,$AF153))))</f>
        <v/>
      </c>
      <c r="Q153" s="10">
        <f>IF($AF153="","",INDEX(파견수련계획!$S$4:$S$203,$AF153))</f>
        <v/>
      </c>
      <c r="R153" s="10">
        <f>IF($AF153="","",INDEX(파견수련계획!$U$4:$U$203,$AF153))</f>
        <v/>
      </c>
      <c r="S153" s="11">
        <f>IF($AF153="","",IF(INDEX(파견수련계획!$H$4:$H$203,$AF153)="","",INDEX(파견수련계획!$H$4:$H$203,$AF153)))</f>
        <v/>
      </c>
      <c r="T153" s="11">
        <f>IF($AF153="","",IF(INDEX(파견수련계획!$I$4:$I$203,$AF153)="","",INDEX(파견수련계획!$I$4:$I$203,$AF153)))</f>
        <v/>
      </c>
      <c r="U153" s="10">
        <f>IF($AF153="","",INDEX(파견수련계획!$X$4:$X$203,$AF153))</f>
        <v/>
      </c>
      <c r="V153" s="17">
        <f>IF($AF153="","",INDEX(파견수련계획!$V$4:$V$203,$AF153))</f>
        <v/>
      </c>
      <c r="W153" s="17">
        <f>IF(AND($U153="파견중",$T153&lt;&gt;""),$T153-TODAY(),"")</f>
        <v/>
      </c>
      <c r="X153" s="17">
        <f>IF(OR($B153="",TRIM($J153&amp;"")=""),"",SUMPRODUCT((파견수련계획!$Q$4:$Q$203=TRIM($J153&amp;""))*파견수련계획!$W$4:$W$203))</f>
        <v/>
      </c>
      <c r="Y153" s="10">
        <f>IF($B153="","",IF($AG153="","",IF(IF(TRIM($J153&amp;"")="",0,SUMPRODUCT((파견수련계획!$Q$4:$Q$203=TRIM($J153&amp;""))*파견수련계획!$AD$4:$AD$203))&gt;0,$AE153,IF(N($X153)&lt;=0,$AG153,IF($AH153+$AI153=DAY(EOMONTH(요약!$B$3,0)),IF(AND($AH153&gt;=요약!$E$3,$AI153&lt;요약!$E$3),"서울병원",IF(AND($AI153&gt;=요약!$E$3,$AH153&lt;요약!$E$3),"구리병원","⚠15일 판정불가(서울 "&amp;$AH153&amp;"일/구리 "&amp;$AI153&amp;"일)")),IF($AJ153="",$AE153,IF(INDEX(파견수련계획!$T$4:$T$203,$AJ153)="통합수련",INDEX(파견수련계획!$S$4:$S$203,$AJ153),$AE153)))))))</f>
        <v/>
      </c>
      <c r="Z153" s="19">
        <f>IF($B153="","",IF($AB153="","기본자료에 없는 사번",IF(COUNTIF($B$2:$B$201,$B153)&gt;1,"중복 사번",IF($AE153="","소속(입사장소) 입력",IF(IF(TRIM($J153&amp;"")="",0,SUMPRODUCT((파견수련계획!$Q$4:$Q$203=TRIM($J153&amp;""))*(파견수련계획!$AA$4:$AA$203&lt;&gt;"")))&gt;0,"파견수련계획 입력오류 확인",IF(LEFT($Y153,1)="⚠","서울·구리 15일 판정 불가(양쪽 모두 이상/미만)",IF(IF($AC153="",0,N(INDEX(인턴근무계획!$T$3:$T$202,$AC153)))&gt;0,"인턴계획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IF($B153="","",IFERROR(MATCH($B153,기본자료!$B$2:$B$501,0),IFERROR(MATCH($B153&amp;"",기본자료!$B$2:$B$501,0),IFERROR(MATCH(VALUE($B153),기본자료!$B$2:$B$501,0),""))))</f>
        <v/>
      </c>
      <c r="AC153" s="10">
        <f>IF($B153="","",IFERROR(MATCH($B153,인턴근무계획!$D$3:$D$202,0),IFERROR(MATCH($B153&amp;"",인턴근무계획!$D$3:$D$202,0),IFERROR(MATCH(VALUE($B153),인턴근무계획!$D$3:$D$202,0),""))))</f>
        <v/>
      </c>
      <c r="AD153" s="10">
        <f>IF(OR($AC153="",인턴현황!$G$3=""),"",INDEX(인턴근무계획!$M$3:$R$202,$AC153,인턴현황!$G$3)&amp;"")</f>
        <v/>
      </c>
      <c r="AE153" s="10">
        <f>IF($B153="","",IF($M153&lt;&gt;"",$M153,IF($AF153&lt;&gt;"",IF(LEFT(INDEX(파견수련계획!$R$4:$R$203,$AF153),1)&lt;&gt;"⚠",INDEX(파견수련계획!$R$4:$R$203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파견수련계획!$Y$4:$Y$203,0),IFERROR(MATCH(TRIM($J153&amp;"")&amp;"|파견예정",파견수련계획!$Y$4:$Y$203,0),IFERROR(MATCH(TRIM($J153&amp;"")&amp;"|파견종료",파견수련계획!$Y$4:$Y$203,0),""))))</f>
        <v/>
      </c>
      <c r="AG153" s="10">
        <f>IF($B153="","",IF(AND(IF(OR($AC153="",인턴현황!$K$2=""),"",INDEX(인턴근무계획!$M$3:$R$202,$AC153,인턴현황!$K$2)&amp;"")&lt;&gt;"",LEFT(IF(OR($AC153="",인턴현황!$K$2=""),"",INDEX(인턴근무계획!$M$3:$R$202,$AC153,인턴현황!$K$2)&amp;""),1)&lt;&gt;"⚠"),LEFT(IF(OR($AC153="",인턴현황!$K$2=""),"",INDEX(인턴근무계획!$M$3:$R$202,$AC153,인턴현황!$K$2)&amp;""),FIND(" ",IF(OR($AC153="",인턴현황!$K$2=""),"",INDEX(인턴근무계획!$M$3:$R$202,$AC153,인턴현황!$K$2)&amp;""))-1),$AE153))</f>
        <v/>
      </c>
      <c r="AH153" s="17">
        <f>IF($B153="","",IF(TRIM($J153&amp;"")="",0,SUMPRODUCT((파견수련계획!$Q$4:$Q$203=TRIM($J153&amp;""))*(파견수련계획!$S$4:$S$203="서울병원")*파견수련계획!$W$4:$W$203))+IF($AG153="서울병원",MAX(0,DAY(EOMONTH(요약!$B$3,0))-N($X153)),0))</f>
        <v/>
      </c>
      <c r="AI153" s="17">
        <f>IF($B153="","",IF(TRIM($J153&amp;"")="",0,SUMPRODUCT((파견수련계획!$Q$4:$Q$203=TRIM($J153&amp;""))*(파견수련계획!$S$4:$S$203="구리병원")*파견수련계획!$W$4:$W$203))+IF($AG153="구리병원",MAX(0,DAY(EOMONTH(요약!$B$3,0))-N($X153)),0))</f>
        <v/>
      </c>
      <c r="AJ153" s="10">
        <f>IF(OR($B153="",TRIM($J153&amp;"")=""),"",IFERROR(MATCH(TRIM($J153&amp;"")&amp;"|월",파견수련계획!$Z$4:$Z$203,0),""))</f>
        <v/>
      </c>
      <c r="AK153" s="10">
        <f>IF(OR($B153="",TRIM($J153&amp;"")=""),"",IFERROR(MATCH(TRIM($J153&amp;"")&amp;"|다기관",파견수련계획!$AE$4:$AE$203,0),""))</f>
        <v/>
      </c>
      <c r="AL153" s="10">
        <f>IF($AK153="","","다기관 "&amp;TEXT(INDEX(파견수련계획!$AB$4:$AB$203,$AK153),"yyyy-mm-dd")&amp;"~"&amp;IF(ISNUMBER(INDEX(파견수련계획!$AC$4:$AC$203,$AK153)),TEXT(INDEX(파견수련계획!$AC$4:$AC$203,$AK153),"yyyy-mm-dd"),""))</f>
        <v/>
      </c>
    </row>
    <row r="154">
      <c r="A154" s="10">
        <f>IF(B154="","",ROW()-1)</f>
        <v/>
      </c>
      <c r="B154" s="18" t="n"/>
      <c r="C154" s="10">
        <f>IF($AB154="","",IF(INDEX(기본자료!$C$2:$C$501,$AB154)="","",INDEX(기본자료!$C$2:$C$501,$AB154)))</f>
        <v/>
      </c>
      <c r="D154" s="10">
        <f>IF($AB154="","",IF(INDEX(기본자료!$J$2:$J$501,$AB154)="","",INDEX(기본자료!$J$2:$J$501,$AB154)))</f>
        <v/>
      </c>
      <c r="E154" s="11">
        <f>IF($AB154="","",IF(INDEX(기본자료!$K$2:$K$501,$AB154)="","",IF(NOT(ISNUMBER(INDEX(기본자료!$K$2:$K$501,$AB154))),INDEX(기본자료!$K$2:$K$501,$AB154),IF(INDEX(기본자료!$K$2:$K$501,$AB154)&lt;1000000,INDEX(기본자료!$K$2:$K$501,$AB154),IF(AND(INDEX(기본자료!$K$2:$K$501,$AB154)&gt;=10000101,INT(MOD(INDEX(기본자료!$K$2:$K$501,$AB154),10000)/100)&gt;=1,INT(MOD(INDEX(기본자료!$K$2:$K$501,$AB154),10000)/100)&lt;=12,MOD(INDEX(기본자료!$K$2:$K$501,$AB154),100)&gt;=1,MOD(INDEX(기본자료!$K$2:$K$501,$AB154),100)&lt;=31),DATE(INT(INDEX(기본자료!$K$2:$K$501,$AB154)/10000),INT(MOD(INDEX(기본자료!$K$2:$K$501,$AB154),10000)/100),MOD(INDEX(기본자료!$K$2:$K$501,$AB154),100)),INDEX(기본자료!$K$2:$K$501,$AB154)&amp;"")))))</f>
        <v/>
      </c>
      <c r="F154" s="10">
        <f>IF($AB154="","",IF(INDEX(기본자료!$D$2:$D$501,$AB154)="","",INDEX(기본자료!$D$2:$D$501,$AB154)))</f>
        <v/>
      </c>
      <c r="G154" s="10">
        <f>IF($AB154="","",IF(INDEX(기본자료!$E$2:$E$501,$AB154)="","",INDEX(기본자료!$E$2:$E$501,$AB154)))</f>
        <v/>
      </c>
      <c r="H154" s="10">
        <f>IF($AB154="","",IF(INDEX(기본자료!$F$2:$F$501,$AB154)="","",INDEX(기본자료!$F$2:$F$501,$AB154)))</f>
        <v/>
      </c>
      <c r="I154" s="11">
        <f>IF($AB154="","",IF(INDEX(기본자료!$G$2:$G$501,$AB154)="","",IF(NOT(ISNUMBER(INDEX(기본자료!$G$2:$G$501,$AB154))),INDEX(기본자료!$G$2:$G$501,$AB154),IF(INDEX(기본자료!$G$2:$G$501,$AB154)&lt;1000000,INDEX(기본자료!$G$2:$G$501,$AB154),IF(AND(INDEX(기본자료!$G$2:$G$501,$AB154)&gt;=10000101,INT(MOD(INDEX(기본자료!$G$2:$G$501,$AB154),10000)/100)&gt;=1,INT(MOD(INDEX(기본자료!$G$2:$G$501,$AB154),10000)/100)&lt;=12,MOD(INDEX(기본자료!$G$2:$G$501,$AB154),100)&gt;=1,MOD(INDEX(기본자료!$G$2:$G$501,$AB154),100)&lt;=31),DATE(INT(INDEX(기본자료!$G$2:$G$501,$AB154)/10000),INT(MOD(INDEX(기본자료!$G$2:$G$501,$AB154),10000)/100),MOD(INDEX(기본자료!$G$2:$G$501,$AB154),100)),INDEX(기본자료!$G$2:$G$501,$AB154)&amp;"")))))</f>
        <v/>
      </c>
      <c r="J154" s="10">
        <f>IF($AB154="","",IF(INDEX(기본자료!$H$2:$H$501,$AB154)="","",INDEX(기본자료!$H$2:$H$501,$AB154)))</f>
        <v/>
      </c>
      <c r="K154" s="10">
        <f>IF($AB154="","",IF(INDEX(기본자료!$I$2:$I$501,$AB154)="","",INDEX(기본자료!$I$2:$I$501,$AB154)))</f>
        <v/>
      </c>
      <c r="L154" s="10">
        <f>IF($AB154="","",IF(INDEX(기본자료!$A$2:$A$501,$AB154)="","",INDEX(기본자료!$A$2:$A$501,$AB154)))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파견수련계획!$AB$4:$AB$203,$AK154),OR(NOT(ISNUMBER(INDEX(파견수련계획!$AC$4:$AC$203,$AK154))),TODAY()&lt;=INDEX(파견수련계획!$AC$4:$AC$203,$AK154))),"다기관",IF($AF154="","",INDEX(파견수련계획!$T$4:$T$203,$AF154))),IF($AF154="","",INDEX(파견수련계획!$T$4:$T$203,$AF154))))</f>
        <v/>
      </c>
      <c r="Q154" s="10">
        <f>IF($AF154="","",INDEX(파견수련계획!$S$4:$S$203,$AF154))</f>
        <v/>
      </c>
      <c r="R154" s="10">
        <f>IF($AF154="","",INDEX(파견수련계획!$U$4:$U$203,$AF154))</f>
        <v/>
      </c>
      <c r="S154" s="11">
        <f>IF($AF154="","",IF(INDEX(파견수련계획!$H$4:$H$203,$AF154)="","",INDEX(파견수련계획!$H$4:$H$203,$AF154)))</f>
        <v/>
      </c>
      <c r="T154" s="11">
        <f>IF($AF154="","",IF(INDEX(파견수련계획!$I$4:$I$203,$AF154)="","",INDEX(파견수련계획!$I$4:$I$203,$AF154)))</f>
        <v/>
      </c>
      <c r="U154" s="10">
        <f>IF($AF154="","",INDEX(파견수련계획!$X$4:$X$203,$AF154))</f>
        <v/>
      </c>
      <c r="V154" s="17">
        <f>IF($AF154="","",INDEX(파견수련계획!$V$4:$V$203,$AF154))</f>
        <v/>
      </c>
      <c r="W154" s="17">
        <f>IF(AND($U154="파견중",$T154&lt;&gt;""),$T154-TODAY(),"")</f>
        <v/>
      </c>
      <c r="X154" s="17">
        <f>IF(OR($B154="",TRIM($J154&amp;"")=""),"",SUMPRODUCT((파견수련계획!$Q$4:$Q$203=TRIM($J154&amp;""))*파견수련계획!$W$4:$W$203))</f>
        <v/>
      </c>
      <c r="Y154" s="10">
        <f>IF($B154="","",IF($AG154="","",IF(IF(TRIM($J154&amp;"")="",0,SUMPRODUCT((파견수련계획!$Q$4:$Q$203=TRIM($J154&amp;""))*파견수련계획!$AD$4:$AD$203))&gt;0,$AE154,IF(N($X154)&lt;=0,$AG154,IF($AH154+$AI154=DAY(EOMONTH(요약!$B$3,0)),IF(AND($AH154&gt;=요약!$E$3,$AI154&lt;요약!$E$3),"서울병원",IF(AND($AI154&gt;=요약!$E$3,$AH154&lt;요약!$E$3),"구리병원","⚠15일 판정불가(서울 "&amp;$AH154&amp;"일/구리 "&amp;$AI154&amp;"일)")),IF($AJ154="",$AE154,IF(INDEX(파견수련계획!$T$4:$T$203,$AJ154)="통합수련",INDEX(파견수련계획!$S$4:$S$203,$AJ154),$AE154)))))))</f>
        <v/>
      </c>
      <c r="Z154" s="19">
        <f>IF($B154="","",IF($AB154="","기본자료에 없는 사번",IF(COUNTIF($B$2:$B$201,$B154)&gt;1,"중복 사번",IF($AE154="","소속(입사장소) 입력",IF(IF(TRIM($J154&amp;"")="",0,SUMPRODUCT((파견수련계획!$Q$4:$Q$203=TRIM($J154&amp;""))*(파견수련계획!$AA$4:$AA$203&lt;&gt;"")))&gt;0,"파견수련계획 입력오류 확인",IF(LEFT($Y154,1)="⚠","서울·구리 15일 판정 불가(양쪽 모두 이상/미만)",IF(IF($AC154="",0,N(INDEX(인턴근무계획!$T$3:$T$202,$AC154)))&gt;0,"인턴계획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IF($B154="","",IFERROR(MATCH($B154,기본자료!$B$2:$B$501,0),IFERROR(MATCH($B154&amp;"",기본자료!$B$2:$B$501,0),IFERROR(MATCH(VALUE($B154),기본자료!$B$2:$B$501,0),""))))</f>
        <v/>
      </c>
      <c r="AC154" s="10">
        <f>IF($B154="","",IFERROR(MATCH($B154,인턴근무계획!$D$3:$D$202,0),IFERROR(MATCH($B154&amp;"",인턴근무계획!$D$3:$D$202,0),IFERROR(MATCH(VALUE($B154),인턴근무계획!$D$3:$D$202,0),""))))</f>
        <v/>
      </c>
      <c r="AD154" s="10">
        <f>IF(OR($AC154="",인턴현황!$G$3=""),"",INDEX(인턴근무계획!$M$3:$R$202,$AC154,인턴현황!$G$3)&amp;"")</f>
        <v/>
      </c>
      <c r="AE154" s="10">
        <f>IF($B154="","",IF($M154&lt;&gt;"",$M154,IF($AF154&lt;&gt;"",IF(LEFT(INDEX(파견수련계획!$R$4:$R$203,$AF154),1)&lt;&gt;"⚠",INDEX(파견수련계획!$R$4:$R$203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파견수련계획!$Y$4:$Y$203,0),IFERROR(MATCH(TRIM($J154&amp;"")&amp;"|파견예정",파견수련계획!$Y$4:$Y$203,0),IFERROR(MATCH(TRIM($J154&amp;"")&amp;"|파견종료",파견수련계획!$Y$4:$Y$203,0),""))))</f>
        <v/>
      </c>
      <c r="AG154" s="10">
        <f>IF($B154="","",IF(AND(IF(OR($AC154="",인턴현황!$K$2=""),"",INDEX(인턴근무계획!$M$3:$R$202,$AC154,인턴현황!$K$2)&amp;"")&lt;&gt;"",LEFT(IF(OR($AC154="",인턴현황!$K$2=""),"",INDEX(인턴근무계획!$M$3:$R$202,$AC154,인턴현황!$K$2)&amp;""),1)&lt;&gt;"⚠"),LEFT(IF(OR($AC154="",인턴현황!$K$2=""),"",INDEX(인턴근무계획!$M$3:$R$202,$AC154,인턴현황!$K$2)&amp;""),FIND(" ",IF(OR($AC154="",인턴현황!$K$2=""),"",INDEX(인턴근무계획!$M$3:$R$202,$AC154,인턴현황!$K$2)&amp;""))-1),$AE154))</f>
        <v/>
      </c>
      <c r="AH154" s="17">
        <f>IF($B154="","",IF(TRIM($J154&amp;"")="",0,SUMPRODUCT((파견수련계획!$Q$4:$Q$203=TRIM($J154&amp;""))*(파견수련계획!$S$4:$S$203="서울병원")*파견수련계획!$W$4:$W$203))+IF($AG154="서울병원",MAX(0,DAY(EOMONTH(요약!$B$3,0))-N($X154)),0))</f>
        <v/>
      </c>
      <c r="AI154" s="17">
        <f>IF($B154="","",IF(TRIM($J154&amp;"")="",0,SUMPRODUCT((파견수련계획!$Q$4:$Q$203=TRIM($J154&amp;""))*(파견수련계획!$S$4:$S$203="구리병원")*파견수련계획!$W$4:$W$203))+IF($AG154="구리병원",MAX(0,DAY(EOMONTH(요약!$B$3,0))-N($X154)),0))</f>
        <v/>
      </c>
      <c r="AJ154" s="10">
        <f>IF(OR($B154="",TRIM($J154&amp;"")=""),"",IFERROR(MATCH(TRIM($J154&amp;"")&amp;"|월",파견수련계획!$Z$4:$Z$203,0),""))</f>
        <v/>
      </c>
      <c r="AK154" s="10">
        <f>IF(OR($B154="",TRIM($J154&amp;"")=""),"",IFERROR(MATCH(TRIM($J154&amp;"")&amp;"|다기관",파견수련계획!$AE$4:$AE$203,0),""))</f>
        <v/>
      </c>
      <c r="AL154" s="10">
        <f>IF($AK154="","","다기관 "&amp;TEXT(INDEX(파견수련계획!$AB$4:$AB$203,$AK154),"yyyy-mm-dd")&amp;"~"&amp;IF(ISNUMBER(INDEX(파견수련계획!$AC$4:$AC$203,$AK154)),TEXT(INDEX(파견수련계획!$AC$4:$AC$203,$AK154),"yyyy-mm-dd"),""))</f>
        <v/>
      </c>
    </row>
    <row r="155">
      <c r="A155" s="10">
        <f>IF(B155="","",ROW()-1)</f>
        <v/>
      </c>
      <c r="B155" s="18" t="n"/>
      <c r="C155" s="10">
        <f>IF($AB155="","",IF(INDEX(기본자료!$C$2:$C$501,$AB155)="","",INDEX(기본자료!$C$2:$C$501,$AB155)))</f>
        <v/>
      </c>
      <c r="D155" s="10">
        <f>IF($AB155="","",IF(INDEX(기본자료!$J$2:$J$501,$AB155)="","",INDEX(기본자료!$J$2:$J$501,$AB155)))</f>
        <v/>
      </c>
      <c r="E155" s="11">
        <f>IF($AB155="","",IF(INDEX(기본자료!$K$2:$K$501,$AB155)="","",IF(NOT(ISNUMBER(INDEX(기본자료!$K$2:$K$501,$AB155))),INDEX(기본자료!$K$2:$K$501,$AB155),IF(INDEX(기본자료!$K$2:$K$501,$AB155)&lt;1000000,INDEX(기본자료!$K$2:$K$501,$AB155),IF(AND(INDEX(기본자료!$K$2:$K$501,$AB155)&gt;=10000101,INT(MOD(INDEX(기본자료!$K$2:$K$501,$AB155),10000)/100)&gt;=1,INT(MOD(INDEX(기본자료!$K$2:$K$501,$AB155),10000)/100)&lt;=12,MOD(INDEX(기본자료!$K$2:$K$501,$AB155),100)&gt;=1,MOD(INDEX(기본자료!$K$2:$K$501,$AB155),100)&lt;=31),DATE(INT(INDEX(기본자료!$K$2:$K$501,$AB155)/10000),INT(MOD(INDEX(기본자료!$K$2:$K$501,$AB155),10000)/100),MOD(INDEX(기본자료!$K$2:$K$501,$AB155),100)),INDEX(기본자료!$K$2:$K$501,$AB155)&amp;"")))))</f>
        <v/>
      </c>
      <c r="F155" s="10">
        <f>IF($AB155="","",IF(INDEX(기본자료!$D$2:$D$501,$AB155)="","",INDEX(기본자료!$D$2:$D$501,$AB155)))</f>
        <v/>
      </c>
      <c r="G155" s="10">
        <f>IF($AB155="","",IF(INDEX(기본자료!$E$2:$E$501,$AB155)="","",INDEX(기본자료!$E$2:$E$501,$AB155)))</f>
        <v/>
      </c>
      <c r="H155" s="10">
        <f>IF($AB155="","",IF(INDEX(기본자료!$F$2:$F$501,$AB155)="","",INDEX(기본자료!$F$2:$F$501,$AB155)))</f>
        <v/>
      </c>
      <c r="I155" s="11">
        <f>IF($AB155="","",IF(INDEX(기본자료!$G$2:$G$501,$AB155)="","",IF(NOT(ISNUMBER(INDEX(기본자료!$G$2:$G$501,$AB155))),INDEX(기본자료!$G$2:$G$501,$AB155),IF(INDEX(기본자료!$G$2:$G$501,$AB155)&lt;1000000,INDEX(기본자료!$G$2:$G$501,$AB155),IF(AND(INDEX(기본자료!$G$2:$G$501,$AB155)&gt;=10000101,INT(MOD(INDEX(기본자료!$G$2:$G$501,$AB155),10000)/100)&gt;=1,INT(MOD(INDEX(기본자료!$G$2:$G$501,$AB155),10000)/100)&lt;=12,MOD(INDEX(기본자료!$G$2:$G$501,$AB155),100)&gt;=1,MOD(INDEX(기본자료!$G$2:$G$501,$AB155),100)&lt;=31),DATE(INT(INDEX(기본자료!$G$2:$G$501,$AB155)/10000),INT(MOD(INDEX(기본자료!$G$2:$G$501,$AB155),10000)/100),MOD(INDEX(기본자료!$G$2:$G$501,$AB155),100)),INDEX(기본자료!$G$2:$G$501,$AB155)&amp;"")))))</f>
        <v/>
      </c>
      <c r="J155" s="10">
        <f>IF($AB155="","",IF(INDEX(기본자료!$H$2:$H$501,$AB155)="","",INDEX(기본자료!$H$2:$H$501,$AB155)))</f>
        <v/>
      </c>
      <c r="K155" s="10">
        <f>IF($AB155="","",IF(INDEX(기본자료!$I$2:$I$501,$AB155)="","",INDEX(기본자료!$I$2:$I$501,$AB155)))</f>
        <v/>
      </c>
      <c r="L155" s="10">
        <f>IF($AB155="","",IF(INDEX(기본자료!$A$2:$A$501,$AB155)="","",INDEX(기본자료!$A$2:$A$501,$AB155)))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파견수련계획!$AB$4:$AB$203,$AK155),OR(NOT(ISNUMBER(INDEX(파견수련계획!$AC$4:$AC$203,$AK155))),TODAY()&lt;=INDEX(파견수련계획!$AC$4:$AC$203,$AK155))),"다기관",IF($AF155="","",INDEX(파견수련계획!$T$4:$T$203,$AF155))),IF($AF155="","",INDEX(파견수련계획!$T$4:$T$203,$AF155))))</f>
        <v/>
      </c>
      <c r="Q155" s="10">
        <f>IF($AF155="","",INDEX(파견수련계획!$S$4:$S$203,$AF155))</f>
        <v/>
      </c>
      <c r="R155" s="10">
        <f>IF($AF155="","",INDEX(파견수련계획!$U$4:$U$203,$AF155))</f>
        <v/>
      </c>
      <c r="S155" s="11">
        <f>IF($AF155="","",IF(INDEX(파견수련계획!$H$4:$H$203,$AF155)="","",INDEX(파견수련계획!$H$4:$H$203,$AF155)))</f>
        <v/>
      </c>
      <c r="T155" s="11">
        <f>IF($AF155="","",IF(INDEX(파견수련계획!$I$4:$I$203,$AF155)="","",INDEX(파견수련계획!$I$4:$I$203,$AF155)))</f>
        <v/>
      </c>
      <c r="U155" s="10">
        <f>IF($AF155="","",INDEX(파견수련계획!$X$4:$X$203,$AF155))</f>
        <v/>
      </c>
      <c r="V155" s="17">
        <f>IF($AF155="","",INDEX(파견수련계획!$V$4:$V$203,$AF155))</f>
        <v/>
      </c>
      <c r="W155" s="17">
        <f>IF(AND($U155="파견중",$T155&lt;&gt;""),$T155-TODAY(),"")</f>
        <v/>
      </c>
      <c r="X155" s="17">
        <f>IF(OR($B155="",TRIM($J155&amp;"")=""),"",SUMPRODUCT((파견수련계획!$Q$4:$Q$203=TRIM($J155&amp;""))*파견수련계획!$W$4:$W$203))</f>
        <v/>
      </c>
      <c r="Y155" s="10">
        <f>IF($B155="","",IF($AG155="","",IF(IF(TRIM($J155&amp;"")="",0,SUMPRODUCT((파견수련계획!$Q$4:$Q$203=TRIM($J155&amp;""))*파견수련계획!$AD$4:$AD$203))&gt;0,$AE155,IF(N($X155)&lt;=0,$AG155,IF($AH155+$AI155=DAY(EOMONTH(요약!$B$3,0)),IF(AND($AH155&gt;=요약!$E$3,$AI155&lt;요약!$E$3),"서울병원",IF(AND($AI155&gt;=요약!$E$3,$AH155&lt;요약!$E$3),"구리병원","⚠15일 판정불가(서울 "&amp;$AH155&amp;"일/구리 "&amp;$AI155&amp;"일)")),IF($AJ155="",$AE155,IF(INDEX(파견수련계획!$T$4:$T$203,$AJ155)="통합수련",INDEX(파견수련계획!$S$4:$S$203,$AJ155),$AE155)))))))</f>
        <v/>
      </c>
      <c r="Z155" s="19">
        <f>IF($B155="","",IF($AB155="","기본자료에 없는 사번",IF(COUNTIF($B$2:$B$201,$B155)&gt;1,"중복 사번",IF($AE155="","소속(입사장소) 입력",IF(IF(TRIM($J155&amp;"")="",0,SUMPRODUCT((파견수련계획!$Q$4:$Q$203=TRIM($J155&amp;""))*(파견수련계획!$AA$4:$AA$203&lt;&gt;"")))&gt;0,"파견수련계획 입력오류 확인",IF(LEFT($Y155,1)="⚠","서울·구리 15일 판정 불가(양쪽 모두 이상/미만)",IF(IF($AC155="",0,N(INDEX(인턴근무계획!$T$3:$T$202,$AC155)))&gt;0,"인턴계획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IF($B155="","",IFERROR(MATCH($B155,기본자료!$B$2:$B$501,0),IFERROR(MATCH($B155&amp;"",기본자료!$B$2:$B$501,0),IFERROR(MATCH(VALUE($B155),기본자료!$B$2:$B$501,0),""))))</f>
        <v/>
      </c>
      <c r="AC155" s="10">
        <f>IF($B155="","",IFERROR(MATCH($B155,인턴근무계획!$D$3:$D$202,0),IFERROR(MATCH($B155&amp;"",인턴근무계획!$D$3:$D$202,0),IFERROR(MATCH(VALUE($B155),인턴근무계획!$D$3:$D$202,0),""))))</f>
        <v/>
      </c>
      <c r="AD155" s="10">
        <f>IF(OR($AC155="",인턴현황!$G$3=""),"",INDEX(인턴근무계획!$M$3:$R$202,$AC155,인턴현황!$G$3)&amp;"")</f>
        <v/>
      </c>
      <c r="AE155" s="10">
        <f>IF($B155="","",IF($M155&lt;&gt;"",$M155,IF($AF155&lt;&gt;"",IF(LEFT(INDEX(파견수련계획!$R$4:$R$203,$AF155),1)&lt;&gt;"⚠",INDEX(파견수련계획!$R$4:$R$203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파견수련계획!$Y$4:$Y$203,0),IFERROR(MATCH(TRIM($J155&amp;"")&amp;"|파견예정",파견수련계획!$Y$4:$Y$203,0),IFERROR(MATCH(TRIM($J155&amp;"")&amp;"|파견종료",파견수련계획!$Y$4:$Y$203,0),""))))</f>
        <v/>
      </c>
      <c r="AG155" s="10">
        <f>IF($B155="","",IF(AND(IF(OR($AC155="",인턴현황!$K$2=""),"",INDEX(인턴근무계획!$M$3:$R$202,$AC155,인턴현황!$K$2)&amp;"")&lt;&gt;"",LEFT(IF(OR($AC155="",인턴현황!$K$2=""),"",INDEX(인턴근무계획!$M$3:$R$202,$AC155,인턴현황!$K$2)&amp;""),1)&lt;&gt;"⚠"),LEFT(IF(OR($AC155="",인턴현황!$K$2=""),"",INDEX(인턴근무계획!$M$3:$R$202,$AC155,인턴현황!$K$2)&amp;""),FIND(" ",IF(OR($AC155="",인턴현황!$K$2=""),"",INDEX(인턴근무계획!$M$3:$R$202,$AC155,인턴현황!$K$2)&amp;""))-1),$AE155))</f>
        <v/>
      </c>
      <c r="AH155" s="17">
        <f>IF($B155="","",IF(TRIM($J155&amp;"")="",0,SUMPRODUCT((파견수련계획!$Q$4:$Q$203=TRIM($J155&amp;""))*(파견수련계획!$S$4:$S$203="서울병원")*파견수련계획!$W$4:$W$203))+IF($AG155="서울병원",MAX(0,DAY(EOMONTH(요약!$B$3,0))-N($X155)),0))</f>
        <v/>
      </c>
      <c r="AI155" s="17">
        <f>IF($B155="","",IF(TRIM($J155&amp;"")="",0,SUMPRODUCT((파견수련계획!$Q$4:$Q$203=TRIM($J155&amp;""))*(파견수련계획!$S$4:$S$203="구리병원")*파견수련계획!$W$4:$W$203))+IF($AG155="구리병원",MAX(0,DAY(EOMONTH(요약!$B$3,0))-N($X155)),0))</f>
        <v/>
      </c>
      <c r="AJ155" s="10">
        <f>IF(OR($B155="",TRIM($J155&amp;"")=""),"",IFERROR(MATCH(TRIM($J155&amp;"")&amp;"|월",파견수련계획!$Z$4:$Z$203,0),""))</f>
        <v/>
      </c>
      <c r="AK155" s="10">
        <f>IF(OR($B155="",TRIM($J155&amp;"")=""),"",IFERROR(MATCH(TRIM($J155&amp;"")&amp;"|다기관",파견수련계획!$AE$4:$AE$203,0),""))</f>
        <v/>
      </c>
      <c r="AL155" s="10">
        <f>IF($AK155="","","다기관 "&amp;TEXT(INDEX(파견수련계획!$AB$4:$AB$203,$AK155),"yyyy-mm-dd")&amp;"~"&amp;IF(ISNUMBER(INDEX(파견수련계획!$AC$4:$AC$203,$AK155)),TEXT(INDEX(파견수련계획!$AC$4:$AC$203,$AK155),"yyyy-mm-dd"),""))</f>
        <v/>
      </c>
    </row>
    <row r="156">
      <c r="A156" s="10">
        <f>IF(B156="","",ROW()-1)</f>
        <v/>
      </c>
      <c r="B156" s="18" t="n"/>
      <c r="C156" s="10">
        <f>IF($AB156="","",IF(INDEX(기본자료!$C$2:$C$501,$AB156)="","",INDEX(기본자료!$C$2:$C$501,$AB156)))</f>
        <v/>
      </c>
      <c r="D156" s="10">
        <f>IF($AB156="","",IF(INDEX(기본자료!$J$2:$J$501,$AB156)="","",INDEX(기본자료!$J$2:$J$501,$AB156)))</f>
        <v/>
      </c>
      <c r="E156" s="11">
        <f>IF($AB156="","",IF(INDEX(기본자료!$K$2:$K$501,$AB156)="","",IF(NOT(ISNUMBER(INDEX(기본자료!$K$2:$K$501,$AB156))),INDEX(기본자료!$K$2:$K$501,$AB156),IF(INDEX(기본자료!$K$2:$K$501,$AB156)&lt;1000000,INDEX(기본자료!$K$2:$K$501,$AB156),IF(AND(INDEX(기본자료!$K$2:$K$501,$AB156)&gt;=10000101,INT(MOD(INDEX(기본자료!$K$2:$K$501,$AB156),10000)/100)&gt;=1,INT(MOD(INDEX(기본자료!$K$2:$K$501,$AB156),10000)/100)&lt;=12,MOD(INDEX(기본자료!$K$2:$K$501,$AB156),100)&gt;=1,MOD(INDEX(기본자료!$K$2:$K$501,$AB156),100)&lt;=31),DATE(INT(INDEX(기본자료!$K$2:$K$501,$AB156)/10000),INT(MOD(INDEX(기본자료!$K$2:$K$501,$AB156),10000)/100),MOD(INDEX(기본자료!$K$2:$K$501,$AB156),100)),INDEX(기본자료!$K$2:$K$501,$AB156)&amp;"")))))</f>
        <v/>
      </c>
      <c r="F156" s="10">
        <f>IF($AB156="","",IF(INDEX(기본자료!$D$2:$D$501,$AB156)="","",INDEX(기본자료!$D$2:$D$501,$AB156)))</f>
        <v/>
      </c>
      <c r="G156" s="10">
        <f>IF($AB156="","",IF(INDEX(기본자료!$E$2:$E$501,$AB156)="","",INDEX(기본자료!$E$2:$E$501,$AB156)))</f>
        <v/>
      </c>
      <c r="H156" s="10">
        <f>IF($AB156="","",IF(INDEX(기본자료!$F$2:$F$501,$AB156)="","",INDEX(기본자료!$F$2:$F$501,$AB156)))</f>
        <v/>
      </c>
      <c r="I156" s="11">
        <f>IF($AB156="","",IF(INDEX(기본자료!$G$2:$G$501,$AB156)="","",IF(NOT(ISNUMBER(INDEX(기본자료!$G$2:$G$501,$AB156))),INDEX(기본자료!$G$2:$G$501,$AB156),IF(INDEX(기본자료!$G$2:$G$501,$AB156)&lt;1000000,INDEX(기본자료!$G$2:$G$501,$AB156),IF(AND(INDEX(기본자료!$G$2:$G$501,$AB156)&gt;=10000101,INT(MOD(INDEX(기본자료!$G$2:$G$501,$AB156),10000)/100)&gt;=1,INT(MOD(INDEX(기본자료!$G$2:$G$501,$AB156),10000)/100)&lt;=12,MOD(INDEX(기본자료!$G$2:$G$501,$AB156),100)&gt;=1,MOD(INDEX(기본자료!$G$2:$G$501,$AB156),100)&lt;=31),DATE(INT(INDEX(기본자료!$G$2:$G$501,$AB156)/10000),INT(MOD(INDEX(기본자료!$G$2:$G$501,$AB156),10000)/100),MOD(INDEX(기본자료!$G$2:$G$501,$AB156),100)),INDEX(기본자료!$G$2:$G$501,$AB156)&amp;"")))))</f>
        <v/>
      </c>
      <c r="J156" s="10">
        <f>IF($AB156="","",IF(INDEX(기본자료!$H$2:$H$501,$AB156)="","",INDEX(기본자료!$H$2:$H$501,$AB156)))</f>
        <v/>
      </c>
      <c r="K156" s="10">
        <f>IF($AB156="","",IF(INDEX(기본자료!$I$2:$I$501,$AB156)="","",INDEX(기본자료!$I$2:$I$501,$AB156)))</f>
        <v/>
      </c>
      <c r="L156" s="10">
        <f>IF($AB156="","",IF(INDEX(기본자료!$A$2:$A$501,$AB156)="","",INDEX(기본자료!$A$2:$A$501,$AB156)))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파견수련계획!$AB$4:$AB$203,$AK156),OR(NOT(ISNUMBER(INDEX(파견수련계획!$AC$4:$AC$203,$AK156))),TODAY()&lt;=INDEX(파견수련계획!$AC$4:$AC$203,$AK156))),"다기관",IF($AF156="","",INDEX(파견수련계획!$T$4:$T$203,$AF156))),IF($AF156="","",INDEX(파견수련계획!$T$4:$T$203,$AF156))))</f>
        <v/>
      </c>
      <c r="Q156" s="10">
        <f>IF($AF156="","",INDEX(파견수련계획!$S$4:$S$203,$AF156))</f>
        <v/>
      </c>
      <c r="R156" s="10">
        <f>IF($AF156="","",INDEX(파견수련계획!$U$4:$U$203,$AF156))</f>
        <v/>
      </c>
      <c r="S156" s="11">
        <f>IF($AF156="","",IF(INDEX(파견수련계획!$H$4:$H$203,$AF156)="","",INDEX(파견수련계획!$H$4:$H$203,$AF156)))</f>
        <v/>
      </c>
      <c r="T156" s="11">
        <f>IF($AF156="","",IF(INDEX(파견수련계획!$I$4:$I$203,$AF156)="","",INDEX(파견수련계획!$I$4:$I$203,$AF156)))</f>
        <v/>
      </c>
      <c r="U156" s="10">
        <f>IF($AF156="","",INDEX(파견수련계획!$X$4:$X$203,$AF156))</f>
        <v/>
      </c>
      <c r="V156" s="17">
        <f>IF($AF156="","",INDEX(파견수련계획!$V$4:$V$203,$AF156))</f>
        <v/>
      </c>
      <c r="W156" s="17">
        <f>IF(AND($U156="파견중",$T156&lt;&gt;""),$T156-TODAY(),"")</f>
        <v/>
      </c>
      <c r="X156" s="17">
        <f>IF(OR($B156="",TRIM($J156&amp;"")=""),"",SUMPRODUCT((파견수련계획!$Q$4:$Q$203=TRIM($J156&amp;""))*파견수련계획!$W$4:$W$203))</f>
        <v/>
      </c>
      <c r="Y156" s="10">
        <f>IF($B156="","",IF($AG156="","",IF(IF(TRIM($J156&amp;"")="",0,SUMPRODUCT((파견수련계획!$Q$4:$Q$203=TRIM($J156&amp;""))*파견수련계획!$AD$4:$AD$203))&gt;0,$AE156,IF(N($X156)&lt;=0,$AG156,IF($AH156+$AI156=DAY(EOMONTH(요약!$B$3,0)),IF(AND($AH156&gt;=요약!$E$3,$AI156&lt;요약!$E$3),"서울병원",IF(AND($AI156&gt;=요약!$E$3,$AH156&lt;요약!$E$3),"구리병원","⚠15일 판정불가(서울 "&amp;$AH156&amp;"일/구리 "&amp;$AI156&amp;"일)")),IF($AJ156="",$AE156,IF(INDEX(파견수련계획!$T$4:$T$203,$AJ156)="통합수련",INDEX(파견수련계획!$S$4:$S$203,$AJ156),$AE156)))))))</f>
        <v/>
      </c>
      <c r="Z156" s="19">
        <f>IF($B156="","",IF($AB156="","기본자료에 없는 사번",IF(COUNTIF($B$2:$B$201,$B156)&gt;1,"중복 사번",IF($AE156="","소속(입사장소) 입력",IF(IF(TRIM($J156&amp;"")="",0,SUMPRODUCT((파견수련계획!$Q$4:$Q$203=TRIM($J156&amp;""))*(파견수련계획!$AA$4:$AA$203&lt;&gt;"")))&gt;0,"파견수련계획 입력오류 확인",IF(LEFT($Y156,1)="⚠","서울·구리 15일 판정 불가(양쪽 모두 이상/미만)",IF(IF($AC156="",0,N(INDEX(인턴근무계획!$T$3:$T$202,$AC156)))&gt;0,"인턴계획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IF($B156="","",IFERROR(MATCH($B156,기본자료!$B$2:$B$501,0),IFERROR(MATCH($B156&amp;"",기본자료!$B$2:$B$501,0),IFERROR(MATCH(VALUE($B156),기본자료!$B$2:$B$501,0),""))))</f>
        <v/>
      </c>
      <c r="AC156" s="10">
        <f>IF($B156="","",IFERROR(MATCH($B156,인턴근무계획!$D$3:$D$202,0),IFERROR(MATCH($B156&amp;"",인턴근무계획!$D$3:$D$202,0),IFERROR(MATCH(VALUE($B156),인턴근무계획!$D$3:$D$202,0),""))))</f>
        <v/>
      </c>
      <c r="AD156" s="10">
        <f>IF(OR($AC156="",인턴현황!$G$3=""),"",INDEX(인턴근무계획!$M$3:$R$202,$AC156,인턴현황!$G$3)&amp;"")</f>
        <v/>
      </c>
      <c r="AE156" s="10">
        <f>IF($B156="","",IF($M156&lt;&gt;"",$M156,IF($AF156&lt;&gt;"",IF(LEFT(INDEX(파견수련계획!$R$4:$R$203,$AF156),1)&lt;&gt;"⚠",INDEX(파견수련계획!$R$4:$R$203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파견수련계획!$Y$4:$Y$203,0),IFERROR(MATCH(TRIM($J156&amp;"")&amp;"|파견예정",파견수련계획!$Y$4:$Y$203,0),IFERROR(MATCH(TRIM($J156&amp;"")&amp;"|파견종료",파견수련계획!$Y$4:$Y$203,0),""))))</f>
        <v/>
      </c>
      <c r="AG156" s="10">
        <f>IF($B156="","",IF(AND(IF(OR($AC156="",인턴현황!$K$2=""),"",INDEX(인턴근무계획!$M$3:$R$202,$AC156,인턴현황!$K$2)&amp;"")&lt;&gt;"",LEFT(IF(OR($AC156="",인턴현황!$K$2=""),"",INDEX(인턴근무계획!$M$3:$R$202,$AC156,인턴현황!$K$2)&amp;""),1)&lt;&gt;"⚠"),LEFT(IF(OR($AC156="",인턴현황!$K$2=""),"",INDEX(인턴근무계획!$M$3:$R$202,$AC156,인턴현황!$K$2)&amp;""),FIND(" ",IF(OR($AC156="",인턴현황!$K$2=""),"",INDEX(인턴근무계획!$M$3:$R$202,$AC156,인턴현황!$K$2)&amp;""))-1),$AE156))</f>
        <v/>
      </c>
      <c r="AH156" s="17">
        <f>IF($B156="","",IF(TRIM($J156&amp;"")="",0,SUMPRODUCT((파견수련계획!$Q$4:$Q$203=TRIM($J156&amp;""))*(파견수련계획!$S$4:$S$203="서울병원")*파견수련계획!$W$4:$W$203))+IF($AG156="서울병원",MAX(0,DAY(EOMONTH(요약!$B$3,0))-N($X156)),0))</f>
        <v/>
      </c>
      <c r="AI156" s="17">
        <f>IF($B156="","",IF(TRIM($J156&amp;"")="",0,SUMPRODUCT((파견수련계획!$Q$4:$Q$203=TRIM($J156&amp;""))*(파견수련계획!$S$4:$S$203="구리병원")*파견수련계획!$W$4:$W$203))+IF($AG156="구리병원",MAX(0,DAY(EOMONTH(요약!$B$3,0))-N($X156)),0))</f>
        <v/>
      </c>
      <c r="AJ156" s="10">
        <f>IF(OR($B156="",TRIM($J156&amp;"")=""),"",IFERROR(MATCH(TRIM($J156&amp;"")&amp;"|월",파견수련계획!$Z$4:$Z$203,0),""))</f>
        <v/>
      </c>
      <c r="AK156" s="10">
        <f>IF(OR($B156="",TRIM($J156&amp;"")=""),"",IFERROR(MATCH(TRIM($J156&amp;"")&amp;"|다기관",파견수련계획!$AE$4:$AE$203,0),""))</f>
        <v/>
      </c>
      <c r="AL156" s="10">
        <f>IF($AK156="","","다기관 "&amp;TEXT(INDEX(파견수련계획!$AB$4:$AB$203,$AK156),"yyyy-mm-dd")&amp;"~"&amp;IF(ISNUMBER(INDEX(파견수련계획!$AC$4:$AC$203,$AK156)),TEXT(INDEX(파견수련계획!$AC$4:$AC$203,$AK156),"yyyy-mm-dd"),""))</f>
        <v/>
      </c>
    </row>
    <row r="157">
      <c r="A157" s="10">
        <f>IF(B157="","",ROW()-1)</f>
        <v/>
      </c>
      <c r="B157" s="18" t="n"/>
      <c r="C157" s="10">
        <f>IF($AB157="","",IF(INDEX(기본자료!$C$2:$C$501,$AB157)="","",INDEX(기본자료!$C$2:$C$501,$AB157)))</f>
        <v/>
      </c>
      <c r="D157" s="10">
        <f>IF($AB157="","",IF(INDEX(기본자료!$J$2:$J$501,$AB157)="","",INDEX(기본자료!$J$2:$J$501,$AB157)))</f>
        <v/>
      </c>
      <c r="E157" s="11">
        <f>IF($AB157="","",IF(INDEX(기본자료!$K$2:$K$501,$AB157)="","",IF(NOT(ISNUMBER(INDEX(기본자료!$K$2:$K$501,$AB157))),INDEX(기본자료!$K$2:$K$501,$AB157),IF(INDEX(기본자료!$K$2:$K$501,$AB157)&lt;1000000,INDEX(기본자료!$K$2:$K$501,$AB157),IF(AND(INDEX(기본자료!$K$2:$K$501,$AB157)&gt;=10000101,INT(MOD(INDEX(기본자료!$K$2:$K$501,$AB157),10000)/100)&gt;=1,INT(MOD(INDEX(기본자료!$K$2:$K$501,$AB157),10000)/100)&lt;=12,MOD(INDEX(기본자료!$K$2:$K$501,$AB157),100)&gt;=1,MOD(INDEX(기본자료!$K$2:$K$501,$AB157),100)&lt;=31),DATE(INT(INDEX(기본자료!$K$2:$K$501,$AB157)/10000),INT(MOD(INDEX(기본자료!$K$2:$K$501,$AB157),10000)/100),MOD(INDEX(기본자료!$K$2:$K$501,$AB157),100)),INDEX(기본자료!$K$2:$K$501,$AB157)&amp;"")))))</f>
        <v/>
      </c>
      <c r="F157" s="10">
        <f>IF($AB157="","",IF(INDEX(기본자료!$D$2:$D$501,$AB157)="","",INDEX(기본자료!$D$2:$D$501,$AB157)))</f>
        <v/>
      </c>
      <c r="G157" s="10">
        <f>IF($AB157="","",IF(INDEX(기본자료!$E$2:$E$501,$AB157)="","",INDEX(기본자료!$E$2:$E$501,$AB157)))</f>
        <v/>
      </c>
      <c r="H157" s="10">
        <f>IF($AB157="","",IF(INDEX(기본자료!$F$2:$F$501,$AB157)="","",INDEX(기본자료!$F$2:$F$501,$AB157)))</f>
        <v/>
      </c>
      <c r="I157" s="11">
        <f>IF($AB157="","",IF(INDEX(기본자료!$G$2:$G$501,$AB157)="","",IF(NOT(ISNUMBER(INDEX(기본자료!$G$2:$G$501,$AB157))),INDEX(기본자료!$G$2:$G$501,$AB157),IF(INDEX(기본자료!$G$2:$G$501,$AB157)&lt;1000000,INDEX(기본자료!$G$2:$G$501,$AB157),IF(AND(INDEX(기본자료!$G$2:$G$501,$AB157)&gt;=10000101,INT(MOD(INDEX(기본자료!$G$2:$G$501,$AB157),10000)/100)&gt;=1,INT(MOD(INDEX(기본자료!$G$2:$G$501,$AB157),10000)/100)&lt;=12,MOD(INDEX(기본자료!$G$2:$G$501,$AB157),100)&gt;=1,MOD(INDEX(기본자료!$G$2:$G$501,$AB157),100)&lt;=31),DATE(INT(INDEX(기본자료!$G$2:$G$501,$AB157)/10000),INT(MOD(INDEX(기본자료!$G$2:$G$501,$AB157),10000)/100),MOD(INDEX(기본자료!$G$2:$G$501,$AB157),100)),INDEX(기본자료!$G$2:$G$501,$AB157)&amp;"")))))</f>
        <v/>
      </c>
      <c r="J157" s="10">
        <f>IF($AB157="","",IF(INDEX(기본자료!$H$2:$H$501,$AB157)="","",INDEX(기본자료!$H$2:$H$501,$AB157)))</f>
        <v/>
      </c>
      <c r="K157" s="10">
        <f>IF($AB157="","",IF(INDEX(기본자료!$I$2:$I$501,$AB157)="","",INDEX(기본자료!$I$2:$I$501,$AB157)))</f>
        <v/>
      </c>
      <c r="L157" s="10">
        <f>IF($AB157="","",IF(INDEX(기본자료!$A$2:$A$501,$AB157)="","",INDEX(기본자료!$A$2:$A$501,$AB157)))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파견수련계획!$AB$4:$AB$203,$AK157),OR(NOT(ISNUMBER(INDEX(파견수련계획!$AC$4:$AC$203,$AK157))),TODAY()&lt;=INDEX(파견수련계획!$AC$4:$AC$203,$AK157))),"다기관",IF($AF157="","",INDEX(파견수련계획!$T$4:$T$203,$AF157))),IF($AF157="","",INDEX(파견수련계획!$T$4:$T$203,$AF157))))</f>
        <v/>
      </c>
      <c r="Q157" s="10">
        <f>IF($AF157="","",INDEX(파견수련계획!$S$4:$S$203,$AF157))</f>
        <v/>
      </c>
      <c r="R157" s="10">
        <f>IF($AF157="","",INDEX(파견수련계획!$U$4:$U$203,$AF157))</f>
        <v/>
      </c>
      <c r="S157" s="11">
        <f>IF($AF157="","",IF(INDEX(파견수련계획!$H$4:$H$203,$AF157)="","",INDEX(파견수련계획!$H$4:$H$203,$AF157)))</f>
        <v/>
      </c>
      <c r="T157" s="11">
        <f>IF($AF157="","",IF(INDEX(파견수련계획!$I$4:$I$203,$AF157)="","",INDEX(파견수련계획!$I$4:$I$203,$AF157)))</f>
        <v/>
      </c>
      <c r="U157" s="10">
        <f>IF($AF157="","",INDEX(파견수련계획!$X$4:$X$203,$AF157))</f>
        <v/>
      </c>
      <c r="V157" s="17">
        <f>IF($AF157="","",INDEX(파견수련계획!$V$4:$V$203,$AF157))</f>
        <v/>
      </c>
      <c r="W157" s="17">
        <f>IF(AND($U157="파견중",$T157&lt;&gt;""),$T157-TODAY(),"")</f>
        <v/>
      </c>
      <c r="X157" s="17">
        <f>IF(OR($B157="",TRIM($J157&amp;"")=""),"",SUMPRODUCT((파견수련계획!$Q$4:$Q$203=TRIM($J157&amp;""))*파견수련계획!$W$4:$W$203))</f>
        <v/>
      </c>
      <c r="Y157" s="10">
        <f>IF($B157="","",IF($AG157="","",IF(IF(TRIM($J157&amp;"")="",0,SUMPRODUCT((파견수련계획!$Q$4:$Q$203=TRIM($J157&amp;""))*파견수련계획!$AD$4:$AD$203))&gt;0,$AE157,IF(N($X157)&lt;=0,$AG157,IF($AH157+$AI157=DAY(EOMONTH(요약!$B$3,0)),IF(AND($AH157&gt;=요약!$E$3,$AI157&lt;요약!$E$3),"서울병원",IF(AND($AI157&gt;=요약!$E$3,$AH157&lt;요약!$E$3),"구리병원","⚠15일 판정불가(서울 "&amp;$AH157&amp;"일/구리 "&amp;$AI157&amp;"일)")),IF($AJ157="",$AE157,IF(INDEX(파견수련계획!$T$4:$T$203,$AJ157)="통합수련",INDEX(파견수련계획!$S$4:$S$203,$AJ157),$AE157)))))))</f>
        <v/>
      </c>
      <c r="Z157" s="19">
        <f>IF($B157="","",IF($AB157="","기본자료에 없는 사번",IF(COUNTIF($B$2:$B$201,$B157)&gt;1,"중복 사번",IF($AE157="","소속(입사장소) 입력",IF(IF(TRIM($J157&amp;"")="",0,SUMPRODUCT((파견수련계획!$Q$4:$Q$203=TRIM($J157&amp;""))*(파견수련계획!$AA$4:$AA$203&lt;&gt;"")))&gt;0,"파견수련계획 입력오류 확인",IF(LEFT($Y157,1)="⚠","서울·구리 15일 판정 불가(양쪽 모두 이상/미만)",IF(IF($AC157="",0,N(INDEX(인턴근무계획!$T$3:$T$202,$AC157)))&gt;0,"인턴계획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IF($B157="","",IFERROR(MATCH($B157,기본자료!$B$2:$B$501,0),IFERROR(MATCH($B157&amp;"",기본자료!$B$2:$B$501,0),IFERROR(MATCH(VALUE($B157),기본자료!$B$2:$B$501,0),""))))</f>
        <v/>
      </c>
      <c r="AC157" s="10">
        <f>IF($B157="","",IFERROR(MATCH($B157,인턴근무계획!$D$3:$D$202,0),IFERROR(MATCH($B157&amp;"",인턴근무계획!$D$3:$D$202,0),IFERROR(MATCH(VALUE($B157),인턴근무계획!$D$3:$D$202,0),""))))</f>
        <v/>
      </c>
      <c r="AD157" s="10">
        <f>IF(OR($AC157="",인턴현황!$G$3=""),"",INDEX(인턴근무계획!$M$3:$R$202,$AC157,인턴현황!$G$3)&amp;"")</f>
        <v/>
      </c>
      <c r="AE157" s="10">
        <f>IF($B157="","",IF($M157&lt;&gt;"",$M157,IF($AF157&lt;&gt;"",IF(LEFT(INDEX(파견수련계획!$R$4:$R$203,$AF157),1)&lt;&gt;"⚠",INDEX(파견수련계획!$R$4:$R$203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파견수련계획!$Y$4:$Y$203,0),IFERROR(MATCH(TRIM($J157&amp;"")&amp;"|파견예정",파견수련계획!$Y$4:$Y$203,0),IFERROR(MATCH(TRIM($J157&amp;"")&amp;"|파견종료",파견수련계획!$Y$4:$Y$203,0),""))))</f>
        <v/>
      </c>
      <c r="AG157" s="10">
        <f>IF($B157="","",IF(AND(IF(OR($AC157="",인턴현황!$K$2=""),"",INDEX(인턴근무계획!$M$3:$R$202,$AC157,인턴현황!$K$2)&amp;"")&lt;&gt;"",LEFT(IF(OR($AC157="",인턴현황!$K$2=""),"",INDEX(인턴근무계획!$M$3:$R$202,$AC157,인턴현황!$K$2)&amp;""),1)&lt;&gt;"⚠"),LEFT(IF(OR($AC157="",인턴현황!$K$2=""),"",INDEX(인턴근무계획!$M$3:$R$202,$AC157,인턴현황!$K$2)&amp;""),FIND(" ",IF(OR($AC157="",인턴현황!$K$2=""),"",INDEX(인턴근무계획!$M$3:$R$202,$AC157,인턴현황!$K$2)&amp;""))-1),$AE157))</f>
        <v/>
      </c>
      <c r="AH157" s="17">
        <f>IF($B157="","",IF(TRIM($J157&amp;"")="",0,SUMPRODUCT((파견수련계획!$Q$4:$Q$203=TRIM($J157&amp;""))*(파견수련계획!$S$4:$S$203="서울병원")*파견수련계획!$W$4:$W$203))+IF($AG157="서울병원",MAX(0,DAY(EOMONTH(요약!$B$3,0))-N($X157)),0))</f>
        <v/>
      </c>
      <c r="AI157" s="17">
        <f>IF($B157="","",IF(TRIM($J157&amp;"")="",0,SUMPRODUCT((파견수련계획!$Q$4:$Q$203=TRIM($J157&amp;""))*(파견수련계획!$S$4:$S$203="구리병원")*파견수련계획!$W$4:$W$203))+IF($AG157="구리병원",MAX(0,DAY(EOMONTH(요약!$B$3,0))-N($X157)),0))</f>
        <v/>
      </c>
      <c r="AJ157" s="10">
        <f>IF(OR($B157="",TRIM($J157&amp;"")=""),"",IFERROR(MATCH(TRIM($J157&amp;"")&amp;"|월",파견수련계획!$Z$4:$Z$203,0),""))</f>
        <v/>
      </c>
      <c r="AK157" s="10">
        <f>IF(OR($B157="",TRIM($J157&amp;"")=""),"",IFERROR(MATCH(TRIM($J157&amp;"")&amp;"|다기관",파견수련계획!$AE$4:$AE$203,0),""))</f>
        <v/>
      </c>
      <c r="AL157" s="10">
        <f>IF($AK157="","","다기관 "&amp;TEXT(INDEX(파견수련계획!$AB$4:$AB$203,$AK157),"yyyy-mm-dd")&amp;"~"&amp;IF(ISNUMBER(INDEX(파견수련계획!$AC$4:$AC$203,$AK157)),TEXT(INDEX(파견수련계획!$AC$4:$AC$203,$AK157),"yyyy-mm-dd"),""))</f>
        <v/>
      </c>
    </row>
    <row r="158">
      <c r="A158" s="10">
        <f>IF(B158="","",ROW()-1)</f>
        <v/>
      </c>
      <c r="B158" s="18" t="n"/>
      <c r="C158" s="10">
        <f>IF($AB158="","",IF(INDEX(기본자료!$C$2:$C$501,$AB158)="","",INDEX(기본자료!$C$2:$C$501,$AB158)))</f>
        <v/>
      </c>
      <c r="D158" s="10">
        <f>IF($AB158="","",IF(INDEX(기본자료!$J$2:$J$501,$AB158)="","",INDEX(기본자료!$J$2:$J$501,$AB158)))</f>
        <v/>
      </c>
      <c r="E158" s="11">
        <f>IF($AB158="","",IF(INDEX(기본자료!$K$2:$K$501,$AB158)="","",IF(NOT(ISNUMBER(INDEX(기본자료!$K$2:$K$501,$AB158))),INDEX(기본자료!$K$2:$K$501,$AB158),IF(INDEX(기본자료!$K$2:$K$501,$AB158)&lt;1000000,INDEX(기본자료!$K$2:$K$501,$AB158),IF(AND(INDEX(기본자료!$K$2:$K$501,$AB158)&gt;=10000101,INT(MOD(INDEX(기본자료!$K$2:$K$501,$AB158),10000)/100)&gt;=1,INT(MOD(INDEX(기본자료!$K$2:$K$501,$AB158),10000)/100)&lt;=12,MOD(INDEX(기본자료!$K$2:$K$501,$AB158),100)&gt;=1,MOD(INDEX(기본자료!$K$2:$K$501,$AB158),100)&lt;=31),DATE(INT(INDEX(기본자료!$K$2:$K$501,$AB158)/10000),INT(MOD(INDEX(기본자료!$K$2:$K$501,$AB158),10000)/100),MOD(INDEX(기본자료!$K$2:$K$501,$AB158),100)),INDEX(기본자료!$K$2:$K$501,$AB158)&amp;"")))))</f>
        <v/>
      </c>
      <c r="F158" s="10">
        <f>IF($AB158="","",IF(INDEX(기본자료!$D$2:$D$501,$AB158)="","",INDEX(기본자료!$D$2:$D$501,$AB158)))</f>
        <v/>
      </c>
      <c r="G158" s="10">
        <f>IF($AB158="","",IF(INDEX(기본자료!$E$2:$E$501,$AB158)="","",INDEX(기본자료!$E$2:$E$501,$AB158)))</f>
        <v/>
      </c>
      <c r="H158" s="10">
        <f>IF($AB158="","",IF(INDEX(기본자료!$F$2:$F$501,$AB158)="","",INDEX(기본자료!$F$2:$F$501,$AB158)))</f>
        <v/>
      </c>
      <c r="I158" s="11">
        <f>IF($AB158="","",IF(INDEX(기본자료!$G$2:$G$501,$AB158)="","",IF(NOT(ISNUMBER(INDEX(기본자료!$G$2:$G$501,$AB158))),INDEX(기본자료!$G$2:$G$501,$AB158),IF(INDEX(기본자료!$G$2:$G$501,$AB158)&lt;1000000,INDEX(기본자료!$G$2:$G$501,$AB158),IF(AND(INDEX(기본자료!$G$2:$G$501,$AB158)&gt;=10000101,INT(MOD(INDEX(기본자료!$G$2:$G$501,$AB158),10000)/100)&gt;=1,INT(MOD(INDEX(기본자료!$G$2:$G$501,$AB158),10000)/100)&lt;=12,MOD(INDEX(기본자료!$G$2:$G$501,$AB158),100)&gt;=1,MOD(INDEX(기본자료!$G$2:$G$501,$AB158),100)&lt;=31),DATE(INT(INDEX(기본자료!$G$2:$G$501,$AB158)/10000),INT(MOD(INDEX(기본자료!$G$2:$G$501,$AB158),10000)/100),MOD(INDEX(기본자료!$G$2:$G$501,$AB158),100)),INDEX(기본자료!$G$2:$G$501,$AB158)&amp;"")))))</f>
        <v/>
      </c>
      <c r="J158" s="10">
        <f>IF($AB158="","",IF(INDEX(기본자료!$H$2:$H$501,$AB158)="","",INDEX(기본자료!$H$2:$H$501,$AB158)))</f>
        <v/>
      </c>
      <c r="K158" s="10">
        <f>IF($AB158="","",IF(INDEX(기본자료!$I$2:$I$501,$AB158)="","",INDEX(기본자료!$I$2:$I$501,$AB158)))</f>
        <v/>
      </c>
      <c r="L158" s="10">
        <f>IF($AB158="","",IF(INDEX(기본자료!$A$2:$A$501,$AB158)="","",INDEX(기본자료!$A$2:$A$501,$AB158)))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파견수련계획!$AB$4:$AB$203,$AK158),OR(NOT(ISNUMBER(INDEX(파견수련계획!$AC$4:$AC$203,$AK158))),TODAY()&lt;=INDEX(파견수련계획!$AC$4:$AC$203,$AK158))),"다기관",IF($AF158="","",INDEX(파견수련계획!$T$4:$T$203,$AF158))),IF($AF158="","",INDEX(파견수련계획!$T$4:$T$203,$AF158))))</f>
        <v/>
      </c>
      <c r="Q158" s="10">
        <f>IF($AF158="","",INDEX(파견수련계획!$S$4:$S$203,$AF158))</f>
        <v/>
      </c>
      <c r="R158" s="10">
        <f>IF($AF158="","",INDEX(파견수련계획!$U$4:$U$203,$AF158))</f>
        <v/>
      </c>
      <c r="S158" s="11">
        <f>IF($AF158="","",IF(INDEX(파견수련계획!$H$4:$H$203,$AF158)="","",INDEX(파견수련계획!$H$4:$H$203,$AF158)))</f>
        <v/>
      </c>
      <c r="T158" s="11">
        <f>IF($AF158="","",IF(INDEX(파견수련계획!$I$4:$I$203,$AF158)="","",INDEX(파견수련계획!$I$4:$I$203,$AF158)))</f>
        <v/>
      </c>
      <c r="U158" s="10">
        <f>IF($AF158="","",INDEX(파견수련계획!$X$4:$X$203,$AF158))</f>
        <v/>
      </c>
      <c r="V158" s="17">
        <f>IF($AF158="","",INDEX(파견수련계획!$V$4:$V$203,$AF158))</f>
        <v/>
      </c>
      <c r="W158" s="17">
        <f>IF(AND($U158="파견중",$T158&lt;&gt;""),$T158-TODAY(),"")</f>
        <v/>
      </c>
      <c r="X158" s="17">
        <f>IF(OR($B158="",TRIM($J158&amp;"")=""),"",SUMPRODUCT((파견수련계획!$Q$4:$Q$203=TRIM($J158&amp;""))*파견수련계획!$W$4:$W$203))</f>
        <v/>
      </c>
      <c r="Y158" s="10">
        <f>IF($B158="","",IF($AG158="","",IF(IF(TRIM($J158&amp;"")="",0,SUMPRODUCT((파견수련계획!$Q$4:$Q$203=TRIM($J158&amp;""))*파견수련계획!$AD$4:$AD$203))&gt;0,$AE158,IF(N($X158)&lt;=0,$AG158,IF($AH158+$AI158=DAY(EOMONTH(요약!$B$3,0)),IF(AND($AH158&gt;=요약!$E$3,$AI158&lt;요약!$E$3),"서울병원",IF(AND($AI158&gt;=요약!$E$3,$AH158&lt;요약!$E$3),"구리병원","⚠15일 판정불가(서울 "&amp;$AH158&amp;"일/구리 "&amp;$AI158&amp;"일)")),IF($AJ158="",$AE158,IF(INDEX(파견수련계획!$T$4:$T$203,$AJ158)="통합수련",INDEX(파견수련계획!$S$4:$S$203,$AJ158),$AE158)))))))</f>
        <v/>
      </c>
      <c r="Z158" s="19">
        <f>IF($B158="","",IF($AB158="","기본자료에 없는 사번",IF(COUNTIF($B$2:$B$201,$B158)&gt;1,"중복 사번",IF($AE158="","소속(입사장소) 입력",IF(IF(TRIM($J158&amp;"")="",0,SUMPRODUCT((파견수련계획!$Q$4:$Q$203=TRIM($J158&amp;""))*(파견수련계획!$AA$4:$AA$203&lt;&gt;"")))&gt;0,"파견수련계획 입력오류 확인",IF(LEFT($Y158,1)="⚠","서울·구리 15일 판정 불가(양쪽 모두 이상/미만)",IF(IF($AC158="",0,N(INDEX(인턴근무계획!$T$3:$T$202,$AC158)))&gt;0,"인턴계획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IF($B158="","",IFERROR(MATCH($B158,기본자료!$B$2:$B$501,0),IFERROR(MATCH($B158&amp;"",기본자료!$B$2:$B$501,0),IFERROR(MATCH(VALUE($B158),기본자료!$B$2:$B$501,0),""))))</f>
        <v/>
      </c>
      <c r="AC158" s="10">
        <f>IF($B158="","",IFERROR(MATCH($B158,인턴근무계획!$D$3:$D$202,0),IFERROR(MATCH($B158&amp;"",인턴근무계획!$D$3:$D$202,0),IFERROR(MATCH(VALUE($B158),인턴근무계획!$D$3:$D$202,0),""))))</f>
        <v/>
      </c>
      <c r="AD158" s="10">
        <f>IF(OR($AC158="",인턴현황!$G$3=""),"",INDEX(인턴근무계획!$M$3:$R$202,$AC158,인턴현황!$G$3)&amp;"")</f>
        <v/>
      </c>
      <c r="AE158" s="10">
        <f>IF($B158="","",IF($M158&lt;&gt;"",$M158,IF($AF158&lt;&gt;"",IF(LEFT(INDEX(파견수련계획!$R$4:$R$203,$AF158),1)&lt;&gt;"⚠",INDEX(파견수련계획!$R$4:$R$203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파견수련계획!$Y$4:$Y$203,0),IFERROR(MATCH(TRIM($J158&amp;"")&amp;"|파견예정",파견수련계획!$Y$4:$Y$203,0),IFERROR(MATCH(TRIM($J158&amp;"")&amp;"|파견종료",파견수련계획!$Y$4:$Y$203,0),""))))</f>
        <v/>
      </c>
      <c r="AG158" s="10">
        <f>IF($B158="","",IF(AND(IF(OR($AC158="",인턴현황!$K$2=""),"",INDEX(인턴근무계획!$M$3:$R$202,$AC158,인턴현황!$K$2)&amp;"")&lt;&gt;"",LEFT(IF(OR($AC158="",인턴현황!$K$2=""),"",INDEX(인턴근무계획!$M$3:$R$202,$AC158,인턴현황!$K$2)&amp;""),1)&lt;&gt;"⚠"),LEFT(IF(OR($AC158="",인턴현황!$K$2=""),"",INDEX(인턴근무계획!$M$3:$R$202,$AC158,인턴현황!$K$2)&amp;""),FIND(" ",IF(OR($AC158="",인턴현황!$K$2=""),"",INDEX(인턴근무계획!$M$3:$R$202,$AC158,인턴현황!$K$2)&amp;""))-1),$AE158))</f>
        <v/>
      </c>
      <c r="AH158" s="17">
        <f>IF($B158="","",IF(TRIM($J158&amp;"")="",0,SUMPRODUCT((파견수련계획!$Q$4:$Q$203=TRIM($J158&amp;""))*(파견수련계획!$S$4:$S$203="서울병원")*파견수련계획!$W$4:$W$203))+IF($AG158="서울병원",MAX(0,DAY(EOMONTH(요약!$B$3,0))-N($X158)),0))</f>
        <v/>
      </c>
      <c r="AI158" s="17">
        <f>IF($B158="","",IF(TRIM($J158&amp;"")="",0,SUMPRODUCT((파견수련계획!$Q$4:$Q$203=TRIM($J158&amp;""))*(파견수련계획!$S$4:$S$203="구리병원")*파견수련계획!$W$4:$W$203))+IF($AG158="구리병원",MAX(0,DAY(EOMONTH(요약!$B$3,0))-N($X158)),0))</f>
        <v/>
      </c>
      <c r="AJ158" s="10">
        <f>IF(OR($B158="",TRIM($J158&amp;"")=""),"",IFERROR(MATCH(TRIM($J158&amp;"")&amp;"|월",파견수련계획!$Z$4:$Z$203,0),""))</f>
        <v/>
      </c>
      <c r="AK158" s="10">
        <f>IF(OR($B158="",TRIM($J158&amp;"")=""),"",IFERROR(MATCH(TRIM($J158&amp;"")&amp;"|다기관",파견수련계획!$AE$4:$AE$203,0),""))</f>
        <v/>
      </c>
      <c r="AL158" s="10">
        <f>IF($AK158="","","다기관 "&amp;TEXT(INDEX(파견수련계획!$AB$4:$AB$203,$AK158),"yyyy-mm-dd")&amp;"~"&amp;IF(ISNUMBER(INDEX(파견수련계획!$AC$4:$AC$203,$AK158)),TEXT(INDEX(파견수련계획!$AC$4:$AC$203,$AK158),"yyyy-mm-dd"),""))</f>
        <v/>
      </c>
    </row>
    <row r="159">
      <c r="A159" s="10">
        <f>IF(B159="","",ROW()-1)</f>
        <v/>
      </c>
      <c r="B159" s="18" t="n"/>
      <c r="C159" s="10">
        <f>IF($AB159="","",IF(INDEX(기본자료!$C$2:$C$501,$AB159)="","",INDEX(기본자료!$C$2:$C$501,$AB159)))</f>
        <v/>
      </c>
      <c r="D159" s="10">
        <f>IF($AB159="","",IF(INDEX(기본자료!$J$2:$J$501,$AB159)="","",INDEX(기본자료!$J$2:$J$501,$AB159)))</f>
        <v/>
      </c>
      <c r="E159" s="11">
        <f>IF($AB159="","",IF(INDEX(기본자료!$K$2:$K$501,$AB159)="","",IF(NOT(ISNUMBER(INDEX(기본자료!$K$2:$K$501,$AB159))),INDEX(기본자료!$K$2:$K$501,$AB159),IF(INDEX(기본자료!$K$2:$K$501,$AB159)&lt;1000000,INDEX(기본자료!$K$2:$K$501,$AB159),IF(AND(INDEX(기본자료!$K$2:$K$501,$AB159)&gt;=10000101,INT(MOD(INDEX(기본자료!$K$2:$K$501,$AB159),10000)/100)&gt;=1,INT(MOD(INDEX(기본자료!$K$2:$K$501,$AB159),10000)/100)&lt;=12,MOD(INDEX(기본자료!$K$2:$K$501,$AB159),100)&gt;=1,MOD(INDEX(기본자료!$K$2:$K$501,$AB159),100)&lt;=31),DATE(INT(INDEX(기본자료!$K$2:$K$501,$AB159)/10000),INT(MOD(INDEX(기본자료!$K$2:$K$501,$AB159),10000)/100),MOD(INDEX(기본자료!$K$2:$K$501,$AB159),100)),INDEX(기본자료!$K$2:$K$501,$AB159)&amp;"")))))</f>
        <v/>
      </c>
      <c r="F159" s="10">
        <f>IF($AB159="","",IF(INDEX(기본자료!$D$2:$D$501,$AB159)="","",INDEX(기본자료!$D$2:$D$501,$AB159)))</f>
        <v/>
      </c>
      <c r="G159" s="10">
        <f>IF($AB159="","",IF(INDEX(기본자료!$E$2:$E$501,$AB159)="","",INDEX(기본자료!$E$2:$E$501,$AB159)))</f>
        <v/>
      </c>
      <c r="H159" s="10">
        <f>IF($AB159="","",IF(INDEX(기본자료!$F$2:$F$501,$AB159)="","",INDEX(기본자료!$F$2:$F$501,$AB159)))</f>
        <v/>
      </c>
      <c r="I159" s="11">
        <f>IF($AB159="","",IF(INDEX(기본자료!$G$2:$G$501,$AB159)="","",IF(NOT(ISNUMBER(INDEX(기본자료!$G$2:$G$501,$AB159))),INDEX(기본자료!$G$2:$G$501,$AB159),IF(INDEX(기본자료!$G$2:$G$501,$AB159)&lt;1000000,INDEX(기본자료!$G$2:$G$501,$AB159),IF(AND(INDEX(기본자료!$G$2:$G$501,$AB159)&gt;=10000101,INT(MOD(INDEX(기본자료!$G$2:$G$501,$AB159),10000)/100)&gt;=1,INT(MOD(INDEX(기본자료!$G$2:$G$501,$AB159),10000)/100)&lt;=12,MOD(INDEX(기본자료!$G$2:$G$501,$AB159),100)&gt;=1,MOD(INDEX(기본자료!$G$2:$G$501,$AB159),100)&lt;=31),DATE(INT(INDEX(기본자료!$G$2:$G$501,$AB159)/10000),INT(MOD(INDEX(기본자료!$G$2:$G$501,$AB159),10000)/100),MOD(INDEX(기본자료!$G$2:$G$501,$AB159),100)),INDEX(기본자료!$G$2:$G$501,$AB159)&amp;"")))))</f>
        <v/>
      </c>
      <c r="J159" s="10">
        <f>IF($AB159="","",IF(INDEX(기본자료!$H$2:$H$501,$AB159)="","",INDEX(기본자료!$H$2:$H$501,$AB159)))</f>
        <v/>
      </c>
      <c r="K159" s="10">
        <f>IF($AB159="","",IF(INDEX(기본자료!$I$2:$I$501,$AB159)="","",INDEX(기본자료!$I$2:$I$501,$AB159)))</f>
        <v/>
      </c>
      <c r="L159" s="10">
        <f>IF($AB159="","",IF(INDEX(기본자료!$A$2:$A$501,$AB159)="","",INDEX(기본자료!$A$2:$A$501,$AB159)))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파견수련계획!$AB$4:$AB$203,$AK159),OR(NOT(ISNUMBER(INDEX(파견수련계획!$AC$4:$AC$203,$AK159))),TODAY()&lt;=INDEX(파견수련계획!$AC$4:$AC$203,$AK159))),"다기관",IF($AF159="","",INDEX(파견수련계획!$T$4:$T$203,$AF159))),IF($AF159="","",INDEX(파견수련계획!$T$4:$T$203,$AF159))))</f>
        <v/>
      </c>
      <c r="Q159" s="10">
        <f>IF($AF159="","",INDEX(파견수련계획!$S$4:$S$203,$AF159))</f>
        <v/>
      </c>
      <c r="R159" s="10">
        <f>IF($AF159="","",INDEX(파견수련계획!$U$4:$U$203,$AF159))</f>
        <v/>
      </c>
      <c r="S159" s="11">
        <f>IF($AF159="","",IF(INDEX(파견수련계획!$H$4:$H$203,$AF159)="","",INDEX(파견수련계획!$H$4:$H$203,$AF159)))</f>
        <v/>
      </c>
      <c r="T159" s="11">
        <f>IF($AF159="","",IF(INDEX(파견수련계획!$I$4:$I$203,$AF159)="","",INDEX(파견수련계획!$I$4:$I$203,$AF159)))</f>
        <v/>
      </c>
      <c r="U159" s="10">
        <f>IF($AF159="","",INDEX(파견수련계획!$X$4:$X$203,$AF159))</f>
        <v/>
      </c>
      <c r="V159" s="17">
        <f>IF($AF159="","",INDEX(파견수련계획!$V$4:$V$203,$AF159))</f>
        <v/>
      </c>
      <c r="W159" s="17">
        <f>IF(AND($U159="파견중",$T159&lt;&gt;""),$T159-TODAY(),"")</f>
        <v/>
      </c>
      <c r="X159" s="17">
        <f>IF(OR($B159="",TRIM($J159&amp;"")=""),"",SUMPRODUCT((파견수련계획!$Q$4:$Q$203=TRIM($J159&amp;""))*파견수련계획!$W$4:$W$203))</f>
        <v/>
      </c>
      <c r="Y159" s="10">
        <f>IF($B159="","",IF($AG159="","",IF(IF(TRIM($J159&amp;"")="",0,SUMPRODUCT((파견수련계획!$Q$4:$Q$203=TRIM($J159&amp;""))*파견수련계획!$AD$4:$AD$203))&gt;0,$AE159,IF(N($X159)&lt;=0,$AG159,IF($AH159+$AI159=DAY(EOMONTH(요약!$B$3,0)),IF(AND($AH159&gt;=요약!$E$3,$AI159&lt;요약!$E$3),"서울병원",IF(AND($AI159&gt;=요약!$E$3,$AH159&lt;요약!$E$3),"구리병원","⚠15일 판정불가(서울 "&amp;$AH159&amp;"일/구리 "&amp;$AI159&amp;"일)")),IF($AJ159="",$AE159,IF(INDEX(파견수련계획!$T$4:$T$203,$AJ159)="통합수련",INDEX(파견수련계획!$S$4:$S$203,$AJ159),$AE159)))))))</f>
        <v/>
      </c>
      <c r="Z159" s="19">
        <f>IF($B159="","",IF($AB159="","기본자료에 없는 사번",IF(COUNTIF($B$2:$B$201,$B159)&gt;1,"중복 사번",IF($AE159="","소속(입사장소) 입력",IF(IF(TRIM($J159&amp;"")="",0,SUMPRODUCT((파견수련계획!$Q$4:$Q$203=TRIM($J159&amp;""))*(파견수련계획!$AA$4:$AA$203&lt;&gt;"")))&gt;0,"파견수련계획 입력오류 확인",IF(LEFT($Y159,1)="⚠","서울·구리 15일 판정 불가(양쪽 모두 이상/미만)",IF(IF($AC159="",0,N(INDEX(인턴근무계획!$T$3:$T$202,$AC159)))&gt;0,"인턴계획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IF($B159="","",IFERROR(MATCH($B159,기본자료!$B$2:$B$501,0),IFERROR(MATCH($B159&amp;"",기본자료!$B$2:$B$501,0),IFERROR(MATCH(VALUE($B159),기본자료!$B$2:$B$501,0),""))))</f>
        <v/>
      </c>
      <c r="AC159" s="10">
        <f>IF($B159="","",IFERROR(MATCH($B159,인턴근무계획!$D$3:$D$202,0),IFERROR(MATCH($B159&amp;"",인턴근무계획!$D$3:$D$202,0),IFERROR(MATCH(VALUE($B159),인턴근무계획!$D$3:$D$202,0),""))))</f>
        <v/>
      </c>
      <c r="AD159" s="10">
        <f>IF(OR($AC159="",인턴현황!$G$3=""),"",INDEX(인턴근무계획!$M$3:$R$202,$AC159,인턴현황!$G$3)&amp;"")</f>
        <v/>
      </c>
      <c r="AE159" s="10">
        <f>IF($B159="","",IF($M159&lt;&gt;"",$M159,IF($AF159&lt;&gt;"",IF(LEFT(INDEX(파견수련계획!$R$4:$R$203,$AF159),1)&lt;&gt;"⚠",INDEX(파견수련계획!$R$4:$R$203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파견수련계획!$Y$4:$Y$203,0),IFERROR(MATCH(TRIM($J159&amp;"")&amp;"|파견예정",파견수련계획!$Y$4:$Y$203,0),IFERROR(MATCH(TRIM($J159&amp;"")&amp;"|파견종료",파견수련계획!$Y$4:$Y$203,0),""))))</f>
        <v/>
      </c>
      <c r="AG159" s="10">
        <f>IF($B159="","",IF(AND(IF(OR($AC159="",인턴현황!$K$2=""),"",INDEX(인턴근무계획!$M$3:$R$202,$AC159,인턴현황!$K$2)&amp;"")&lt;&gt;"",LEFT(IF(OR($AC159="",인턴현황!$K$2=""),"",INDEX(인턴근무계획!$M$3:$R$202,$AC159,인턴현황!$K$2)&amp;""),1)&lt;&gt;"⚠"),LEFT(IF(OR($AC159="",인턴현황!$K$2=""),"",INDEX(인턴근무계획!$M$3:$R$202,$AC159,인턴현황!$K$2)&amp;""),FIND(" ",IF(OR($AC159="",인턴현황!$K$2=""),"",INDEX(인턴근무계획!$M$3:$R$202,$AC159,인턴현황!$K$2)&amp;""))-1),$AE159))</f>
        <v/>
      </c>
      <c r="AH159" s="17">
        <f>IF($B159="","",IF(TRIM($J159&amp;"")="",0,SUMPRODUCT((파견수련계획!$Q$4:$Q$203=TRIM($J159&amp;""))*(파견수련계획!$S$4:$S$203="서울병원")*파견수련계획!$W$4:$W$203))+IF($AG159="서울병원",MAX(0,DAY(EOMONTH(요약!$B$3,0))-N($X159)),0))</f>
        <v/>
      </c>
      <c r="AI159" s="17">
        <f>IF($B159="","",IF(TRIM($J159&amp;"")="",0,SUMPRODUCT((파견수련계획!$Q$4:$Q$203=TRIM($J159&amp;""))*(파견수련계획!$S$4:$S$203="구리병원")*파견수련계획!$W$4:$W$203))+IF($AG159="구리병원",MAX(0,DAY(EOMONTH(요약!$B$3,0))-N($X159)),0))</f>
        <v/>
      </c>
      <c r="AJ159" s="10">
        <f>IF(OR($B159="",TRIM($J159&amp;"")=""),"",IFERROR(MATCH(TRIM($J159&amp;"")&amp;"|월",파견수련계획!$Z$4:$Z$203,0),""))</f>
        <v/>
      </c>
      <c r="AK159" s="10">
        <f>IF(OR($B159="",TRIM($J159&amp;"")=""),"",IFERROR(MATCH(TRIM($J159&amp;"")&amp;"|다기관",파견수련계획!$AE$4:$AE$203,0),""))</f>
        <v/>
      </c>
      <c r="AL159" s="10">
        <f>IF($AK159="","","다기관 "&amp;TEXT(INDEX(파견수련계획!$AB$4:$AB$203,$AK159),"yyyy-mm-dd")&amp;"~"&amp;IF(ISNUMBER(INDEX(파견수련계획!$AC$4:$AC$203,$AK159)),TEXT(INDEX(파견수련계획!$AC$4:$AC$203,$AK159),"yyyy-mm-dd"),""))</f>
        <v/>
      </c>
    </row>
    <row r="160">
      <c r="A160" s="10">
        <f>IF(B160="","",ROW()-1)</f>
        <v/>
      </c>
      <c r="B160" s="18" t="n"/>
      <c r="C160" s="10">
        <f>IF($AB160="","",IF(INDEX(기본자료!$C$2:$C$501,$AB160)="","",INDEX(기본자료!$C$2:$C$501,$AB160)))</f>
        <v/>
      </c>
      <c r="D160" s="10">
        <f>IF($AB160="","",IF(INDEX(기본자료!$J$2:$J$501,$AB160)="","",INDEX(기본자료!$J$2:$J$501,$AB160)))</f>
        <v/>
      </c>
      <c r="E160" s="11">
        <f>IF($AB160="","",IF(INDEX(기본자료!$K$2:$K$501,$AB160)="","",IF(NOT(ISNUMBER(INDEX(기본자료!$K$2:$K$501,$AB160))),INDEX(기본자료!$K$2:$K$501,$AB160),IF(INDEX(기본자료!$K$2:$K$501,$AB160)&lt;1000000,INDEX(기본자료!$K$2:$K$501,$AB160),IF(AND(INDEX(기본자료!$K$2:$K$501,$AB160)&gt;=10000101,INT(MOD(INDEX(기본자료!$K$2:$K$501,$AB160),10000)/100)&gt;=1,INT(MOD(INDEX(기본자료!$K$2:$K$501,$AB160),10000)/100)&lt;=12,MOD(INDEX(기본자료!$K$2:$K$501,$AB160),100)&gt;=1,MOD(INDEX(기본자료!$K$2:$K$501,$AB160),100)&lt;=31),DATE(INT(INDEX(기본자료!$K$2:$K$501,$AB160)/10000),INT(MOD(INDEX(기본자료!$K$2:$K$501,$AB160),10000)/100),MOD(INDEX(기본자료!$K$2:$K$501,$AB160),100)),INDEX(기본자료!$K$2:$K$501,$AB160)&amp;"")))))</f>
        <v/>
      </c>
      <c r="F160" s="10">
        <f>IF($AB160="","",IF(INDEX(기본자료!$D$2:$D$501,$AB160)="","",INDEX(기본자료!$D$2:$D$501,$AB160)))</f>
        <v/>
      </c>
      <c r="G160" s="10">
        <f>IF($AB160="","",IF(INDEX(기본자료!$E$2:$E$501,$AB160)="","",INDEX(기본자료!$E$2:$E$501,$AB160)))</f>
        <v/>
      </c>
      <c r="H160" s="10">
        <f>IF($AB160="","",IF(INDEX(기본자료!$F$2:$F$501,$AB160)="","",INDEX(기본자료!$F$2:$F$501,$AB160)))</f>
        <v/>
      </c>
      <c r="I160" s="11">
        <f>IF($AB160="","",IF(INDEX(기본자료!$G$2:$G$501,$AB160)="","",IF(NOT(ISNUMBER(INDEX(기본자료!$G$2:$G$501,$AB160))),INDEX(기본자료!$G$2:$G$501,$AB160),IF(INDEX(기본자료!$G$2:$G$501,$AB160)&lt;1000000,INDEX(기본자료!$G$2:$G$501,$AB160),IF(AND(INDEX(기본자료!$G$2:$G$501,$AB160)&gt;=10000101,INT(MOD(INDEX(기본자료!$G$2:$G$501,$AB160),10000)/100)&gt;=1,INT(MOD(INDEX(기본자료!$G$2:$G$501,$AB160),10000)/100)&lt;=12,MOD(INDEX(기본자료!$G$2:$G$501,$AB160),100)&gt;=1,MOD(INDEX(기본자료!$G$2:$G$501,$AB160),100)&lt;=31),DATE(INT(INDEX(기본자료!$G$2:$G$501,$AB160)/10000),INT(MOD(INDEX(기본자료!$G$2:$G$501,$AB160),10000)/100),MOD(INDEX(기본자료!$G$2:$G$501,$AB160),100)),INDEX(기본자료!$G$2:$G$501,$AB160)&amp;"")))))</f>
        <v/>
      </c>
      <c r="J160" s="10">
        <f>IF($AB160="","",IF(INDEX(기본자료!$H$2:$H$501,$AB160)="","",INDEX(기본자료!$H$2:$H$501,$AB160)))</f>
        <v/>
      </c>
      <c r="K160" s="10">
        <f>IF($AB160="","",IF(INDEX(기본자료!$I$2:$I$501,$AB160)="","",INDEX(기본자료!$I$2:$I$501,$AB160)))</f>
        <v/>
      </c>
      <c r="L160" s="10">
        <f>IF($AB160="","",IF(INDEX(기본자료!$A$2:$A$501,$AB160)="","",INDEX(기본자료!$A$2:$A$501,$AB160)))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파견수련계획!$AB$4:$AB$203,$AK160),OR(NOT(ISNUMBER(INDEX(파견수련계획!$AC$4:$AC$203,$AK160))),TODAY()&lt;=INDEX(파견수련계획!$AC$4:$AC$203,$AK160))),"다기관",IF($AF160="","",INDEX(파견수련계획!$T$4:$T$203,$AF160))),IF($AF160="","",INDEX(파견수련계획!$T$4:$T$203,$AF160))))</f>
        <v/>
      </c>
      <c r="Q160" s="10">
        <f>IF($AF160="","",INDEX(파견수련계획!$S$4:$S$203,$AF160))</f>
        <v/>
      </c>
      <c r="R160" s="10">
        <f>IF($AF160="","",INDEX(파견수련계획!$U$4:$U$203,$AF160))</f>
        <v/>
      </c>
      <c r="S160" s="11">
        <f>IF($AF160="","",IF(INDEX(파견수련계획!$H$4:$H$203,$AF160)="","",INDEX(파견수련계획!$H$4:$H$203,$AF160)))</f>
        <v/>
      </c>
      <c r="T160" s="11">
        <f>IF($AF160="","",IF(INDEX(파견수련계획!$I$4:$I$203,$AF160)="","",INDEX(파견수련계획!$I$4:$I$203,$AF160)))</f>
        <v/>
      </c>
      <c r="U160" s="10">
        <f>IF($AF160="","",INDEX(파견수련계획!$X$4:$X$203,$AF160))</f>
        <v/>
      </c>
      <c r="V160" s="17">
        <f>IF($AF160="","",INDEX(파견수련계획!$V$4:$V$203,$AF160))</f>
        <v/>
      </c>
      <c r="W160" s="17">
        <f>IF(AND($U160="파견중",$T160&lt;&gt;""),$T160-TODAY(),"")</f>
        <v/>
      </c>
      <c r="X160" s="17">
        <f>IF(OR($B160="",TRIM($J160&amp;"")=""),"",SUMPRODUCT((파견수련계획!$Q$4:$Q$203=TRIM($J160&amp;""))*파견수련계획!$W$4:$W$203))</f>
        <v/>
      </c>
      <c r="Y160" s="10">
        <f>IF($B160="","",IF($AG160="","",IF(IF(TRIM($J160&amp;"")="",0,SUMPRODUCT((파견수련계획!$Q$4:$Q$203=TRIM($J160&amp;""))*파견수련계획!$AD$4:$AD$203))&gt;0,$AE160,IF(N($X160)&lt;=0,$AG160,IF($AH160+$AI160=DAY(EOMONTH(요약!$B$3,0)),IF(AND($AH160&gt;=요약!$E$3,$AI160&lt;요약!$E$3),"서울병원",IF(AND($AI160&gt;=요약!$E$3,$AH160&lt;요약!$E$3),"구리병원","⚠15일 판정불가(서울 "&amp;$AH160&amp;"일/구리 "&amp;$AI160&amp;"일)")),IF($AJ160="",$AE160,IF(INDEX(파견수련계획!$T$4:$T$203,$AJ160)="통합수련",INDEX(파견수련계획!$S$4:$S$203,$AJ160),$AE160)))))))</f>
        <v/>
      </c>
      <c r="Z160" s="19">
        <f>IF($B160="","",IF($AB160="","기본자료에 없는 사번",IF(COUNTIF($B$2:$B$201,$B160)&gt;1,"중복 사번",IF($AE160="","소속(입사장소) 입력",IF(IF(TRIM($J160&amp;"")="",0,SUMPRODUCT((파견수련계획!$Q$4:$Q$203=TRIM($J160&amp;""))*(파견수련계획!$AA$4:$AA$203&lt;&gt;"")))&gt;0,"파견수련계획 입력오류 확인",IF(LEFT($Y160,1)="⚠","서울·구리 15일 판정 불가(양쪽 모두 이상/미만)",IF(IF($AC160="",0,N(INDEX(인턴근무계획!$T$3:$T$202,$AC160)))&gt;0,"인턴계획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IF($B160="","",IFERROR(MATCH($B160,기본자료!$B$2:$B$501,0),IFERROR(MATCH($B160&amp;"",기본자료!$B$2:$B$501,0),IFERROR(MATCH(VALUE($B160),기본자료!$B$2:$B$501,0),""))))</f>
        <v/>
      </c>
      <c r="AC160" s="10">
        <f>IF($B160="","",IFERROR(MATCH($B160,인턴근무계획!$D$3:$D$202,0),IFERROR(MATCH($B160&amp;"",인턴근무계획!$D$3:$D$202,0),IFERROR(MATCH(VALUE($B160),인턴근무계획!$D$3:$D$202,0),""))))</f>
        <v/>
      </c>
      <c r="AD160" s="10">
        <f>IF(OR($AC160="",인턴현황!$G$3=""),"",INDEX(인턴근무계획!$M$3:$R$202,$AC160,인턴현황!$G$3)&amp;"")</f>
        <v/>
      </c>
      <c r="AE160" s="10">
        <f>IF($B160="","",IF($M160&lt;&gt;"",$M160,IF($AF160&lt;&gt;"",IF(LEFT(INDEX(파견수련계획!$R$4:$R$203,$AF160),1)&lt;&gt;"⚠",INDEX(파견수련계획!$R$4:$R$203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파견수련계획!$Y$4:$Y$203,0),IFERROR(MATCH(TRIM($J160&amp;"")&amp;"|파견예정",파견수련계획!$Y$4:$Y$203,0),IFERROR(MATCH(TRIM($J160&amp;"")&amp;"|파견종료",파견수련계획!$Y$4:$Y$203,0),""))))</f>
        <v/>
      </c>
      <c r="AG160" s="10">
        <f>IF($B160="","",IF(AND(IF(OR($AC160="",인턴현황!$K$2=""),"",INDEX(인턴근무계획!$M$3:$R$202,$AC160,인턴현황!$K$2)&amp;"")&lt;&gt;"",LEFT(IF(OR($AC160="",인턴현황!$K$2=""),"",INDEX(인턴근무계획!$M$3:$R$202,$AC160,인턴현황!$K$2)&amp;""),1)&lt;&gt;"⚠"),LEFT(IF(OR($AC160="",인턴현황!$K$2=""),"",INDEX(인턴근무계획!$M$3:$R$202,$AC160,인턴현황!$K$2)&amp;""),FIND(" ",IF(OR($AC160="",인턴현황!$K$2=""),"",INDEX(인턴근무계획!$M$3:$R$202,$AC160,인턴현황!$K$2)&amp;""))-1),$AE160))</f>
        <v/>
      </c>
      <c r="AH160" s="17">
        <f>IF($B160="","",IF(TRIM($J160&amp;"")="",0,SUMPRODUCT((파견수련계획!$Q$4:$Q$203=TRIM($J160&amp;""))*(파견수련계획!$S$4:$S$203="서울병원")*파견수련계획!$W$4:$W$203))+IF($AG160="서울병원",MAX(0,DAY(EOMONTH(요약!$B$3,0))-N($X160)),0))</f>
        <v/>
      </c>
      <c r="AI160" s="17">
        <f>IF($B160="","",IF(TRIM($J160&amp;"")="",0,SUMPRODUCT((파견수련계획!$Q$4:$Q$203=TRIM($J160&amp;""))*(파견수련계획!$S$4:$S$203="구리병원")*파견수련계획!$W$4:$W$203))+IF($AG160="구리병원",MAX(0,DAY(EOMONTH(요약!$B$3,0))-N($X160)),0))</f>
        <v/>
      </c>
      <c r="AJ160" s="10">
        <f>IF(OR($B160="",TRIM($J160&amp;"")=""),"",IFERROR(MATCH(TRIM($J160&amp;"")&amp;"|월",파견수련계획!$Z$4:$Z$203,0),""))</f>
        <v/>
      </c>
      <c r="AK160" s="10">
        <f>IF(OR($B160="",TRIM($J160&amp;"")=""),"",IFERROR(MATCH(TRIM($J160&amp;"")&amp;"|다기관",파견수련계획!$AE$4:$AE$203,0),""))</f>
        <v/>
      </c>
      <c r="AL160" s="10">
        <f>IF($AK160="","","다기관 "&amp;TEXT(INDEX(파견수련계획!$AB$4:$AB$203,$AK160),"yyyy-mm-dd")&amp;"~"&amp;IF(ISNUMBER(INDEX(파견수련계획!$AC$4:$AC$203,$AK160)),TEXT(INDEX(파견수련계획!$AC$4:$AC$203,$AK160),"yyyy-mm-dd"),""))</f>
        <v/>
      </c>
    </row>
    <row r="161">
      <c r="A161" s="10">
        <f>IF(B161="","",ROW()-1)</f>
        <v/>
      </c>
      <c r="B161" s="18" t="n"/>
      <c r="C161" s="10">
        <f>IF($AB161="","",IF(INDEX(기본자료!$C$2:$C$501,$AB161)="","",INDEX(기본자료!$C$2:$C$501,$AB161)))</f>
        <v/>
      </c>
      <c r="D161" s="10">
        <f>IF($AB161="","",IF(INDEX(기본자료!$J$2:$J$501,$AB161)="","",INDEX(기본자료!$J$2:$J$501,$AB161)))</f>
        <v/>
      </c>
      <c r="E161" s="11">
        <f>IF($AB161="","",IF(INDEX(기본자료!$K$2:$K$501,$AB161)="","",IF(NOT(ISNUMBER(INDEX(기본자료!$K$2:$K$501,$AB161))),INDEX(기본자료!$K$2:$K$501,$AB161),IF(INDEX(기본자료!$K$2:$K$501,$AB161)&lt;1000000,INDEX(기본자료!$K$2:$K$501,$AB161),IF(AND(INDEX(기본자료!$K$2:$K$501,$AB161)&gt;=10000101,INT(MOD(INDEX(기본자료!$K$2:$K$501,$AB161),10000)/100)&gt;=1,INT(MOD(INDEX(기본자료!$K$2:$K$501,$AB161),10000)/100)&lt;=12,MOD(INDEX(기본자료!$K$2:$K$501,$AB161),100)&gt;=1,MOD(INDEX(기본자료!$K$2:$K$501,$AB161),100)&lt;=31),DATE(INT(INDEX(기본자료!$K$2:$K$501,$AB161)/10000),INT(MOD(INDEX(기본자료!$K$2:$K$501,$AB161),10000)/100),MOD(INDEX(기본자료!$K$2:$K$501,$AB161),100)),INDEX(기본자료!$K$2:$K$501,$AB161)&amp;"")))))</f>
        <v/>
      </c>
      <c r="F161" s="10">
        <f>IF($AB161="","",IF(INDEX(기본자료!$D$2:$D$501,$AB161)="","",INDEX(기본자료!$D$2:$D$501,$AB161)))</f>
        <v/>
      </c>
      <c r="G161" s="10">
        <f>IF($AB161="","",IF(INDEX(기본자료!$E$2:$E$501,$AB161)="","",INDEX(기본자료!$E$2:$E$501,$AB161)))</f>
        <v/>
      </c>
      <c r="H161" s="10">
        <f>IF($AB161="","",IF(INDEX(기본자료!$F$2:$F$501,$AB161)="","",INDEX(기본자료!$F$2:$F$501,$AB161)))</f>
        <v/>
      </c>
      <c r="I161" s="11">
        <f>IF($AB161="","",IF(INDEX(기본자료!$G$2:$G$501,$AB161)="","",IF(NOT(ISNUMBER(INDEX(기본자료!$G$2:$G$501,$AB161))),INDEX(기본자료!$G$2:$G$501,$AB161),IF(INDEX(기본자료!$G$2:$G$501,$AB161)&lt;1000000,INDEX(기본자료!$G$2:$G$501,$AB161),IF(AND(INDEX(기본자료!$G$2:$G$501,$AB161)&gt;=10000101,INT(MOD(INDEX(기본자료!$G$2:$G$501,$AB161),10000)/100)&gt;=1,INT(MOD(INDEX(기본자료!$G$2:$G$501,$AB161),10000)/100)&lt;=12,MOD(INDEX(기본자료!$G$2:$G$501,$AB161),100)&gt;=1,MOD(INDEX(기본자료!$G$2:$G$501,$AB161),100)&lt;=31),DATE(INT(INDEX(기본자료!$G$2:$G$501,$AB161)/10000),INT(MOD(INDEX(기본자료!$G$2:$G$501,$AB161),10000)/100),MOD(INDEX(기본자료!$G$2:$G$501,$AB161),100)),INDEX(기본자료!$G$2:$G$501,$AB161)&amp;"")))))</f>
        <v/>
      </c>
      <c r="J161" s="10">
        <f>IF($AB161="","",IF(INDEX(기본자료!$H$2:$H$501,$AB161)="","",INDEX(기본자료!$H$2:$H$501,$AB161)))</f>
        <v/>
      </c>
      <c r="K161" s="10">
        <f>IF($AB161="","",IF(INDEX(기본자료!$I$2:$I$501,$AB161)="","",INDEX(기본자료!$I$2:$I$501,$AB161)))</f>
        <v/>
      </c>
      <c r="L161" s="10">
        <f>IF($AB161="","",IF(INDEX(기본자료!$A$2:$A$501,$AB161)="","",INDEX(기본자료!$A$2:$A$501,$AB161)))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파견수련계획!$AB$4:$AB$203,$AK161),OR(NOT(ISNUMBER(INDEX(파견수련계획!$AC$4:$AC$203,$AK161))),TODAY()&lt;=INDEX(파견수련계획!$AC$4:$AC$203,$AK161))),"다기관",IF($AF161="","",INDEX(파견수련계획!$T$4:$T$203,$AF161))),IF($AF161="","",INDEX(파견수련계획!$T$4:$T$203,$AF161))))</f>
        <v/>
      </c>
      <c r="Q161" s="10">
        <f>IF($AF161="","",INDEX(파견수련계획!$S$4:$S$203,$AF161))</f>
        <v/>
      </c>
      <c r="R161" s="10">
        <f>IF($AF161="","",INDEX(파견수련계획!$U$4:$U$203,$AF161))</f>
        <v/>
      </c>
      <c r="S161" s="11">
        <f>IF($AF161="","",IF(INDEX(파견수련계획!$H$4:$H$203,$AF161)="","",INDEX(파견수련계획!$H$4:$H$203,$AF161)))</f>
        <v/>
      </c>
      <c r="T161" s="11">
        <f>IF($AF161="","",IF(INDEX(파견수련계획!$I$4:$I$203,$AF161)="","",INDEX(파견수련계획!$I$4:$I$203,$AF161)))</f>
        <v/>
      </c>
      <c r="U161" s="10">
        <f>IF($AF161="","",INDEX(파견수련계획!$X$4:$X$203,$AF161))</f>
        <v/>
      </c>
      <c r="V161" s="17">
        <f>IF($AF161="","",INDEX(파견수련계획!$V$4:$V$203,$AF161))</f>
        <v/>
      </c>
      <c r="W161" s="17">
        <f>IF(AND($U161="파견중",$T161&lt;&gt;""),$T161-TODAY(),"")</f>
        <v/>
      </c>
      <c r="X161" s="17">
        <f>IF(OR($B161="",TRIM($J161&amp;"")=""),"",SUMPRODUCT((파견수련계획!$Q$4:$Q$203=TRIM($J161&amp;""))*파견수련계획!$W$4:$W$203))</f>
        <v/>
      </c>
      <c r="Y161" s="10">
        <f>IF($B161="","",IF($AG161="","",IF(IF(TRIM($J161&amp;"")="",0,SUMPRODUCT((파견수련계획!$Q$4:$Q$203=TRIM($J161&amp;""))*파견수련계획!$AD$4:$AD$203))&gt;0,$AE161,IF(N($X161)&lt;=0,$AG161,IF($AH161+$AI161=DAY(EOMONTH(요약!$B$3,0)),IF(AND($AH161&gt;=요약!$E$3,$AI161&lt;요약!$E$3),"서울병원",IF(AND($AI161&gt;=요약!$E$3,$AH161&lt;요약!$E$3),"구리병원","⚠15일 판정불가(서울 "&amp;$AH161&amp;"일/구리 "&amp;$AI161&amp;"일)")),IF($AJ161="",$AE161,IF(INDEX(파견수련계획!$T$4:$T$203,$AJ161)="통합수련",INDEX(파견수련계획!$S$4:$S$203,$AJ161),$AE161)))))))</f>
        <v/>
      </c>
      <c r="Z161" s="19">
        <f>IF($B161="","",IF($AB161="","기본자료에 없는 사번",IF(COUNTIF($B$2:$B$201,$B161)&gt;1,"중복 사번",IF($AE161="","소속(입사장소) 입력",IF(IF(TRIM($J161&amp;"")="",0,SUMPRODUCT((파견수련계획!$Q$4:$Q$203=TRIM($J161&amp;""))*(파견수련계획!$AA$4:$AA$203&lt;&gt;"")))&gt;0,"파견수련계획 입력오류 확인",IF(LEFT($Y161,1)="⚠","서울·구리 15일 판정 불가(양쪽 모두 이상/미만)",IF(IF($AC161="",0,N(INDEX(인턴근무계획!$T$3:$T$202,$AC161)))&gt;0,"인턴계획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IF($B161="","",IFERROR(MATCH($B161,기본자료!$B$2:$B$501,0),IFERROR(MATCH($B161&amp;"",기본자료!$B$2:$B$501,0),IFERROR(MATCH(VALUE($B161),기본자료!$B$2:$B$501,0),""))))</f>
        <v/>
      </c>
      <c r="AC161" s="10">
        <f>IF($B161="","",IFERROR(MATCH($B161,인턴근무계획!$D$3:$D$202,0),IFERROR(MATCH($B161&amp;"",인턴근무계획!$D$3:$D$202,0),IFERROR(MATCH(VALUE($B161),인턴근무계획!$D$3:$D$202,0),""))))</f>
        <v/>
      </c>
      <c r="AD161" s="10">
        <f>IF(OR($AC161="",인턴현황!$G$3=""),"",INDEX(인턴근무계획!$M$3:$R$202,$AC161,인턴현황!$G$3)&amp;"")</f>
        <v/>
      </c>
      <c r="AE161" s="10">
        <f>IF($B161="","",IF($M161&lt;&gt;"",$M161,IF($AF161&lt;&gt;"",IF(LEFT(INDEX(파견수련계획!$R$4:$R$203,$AF161),1)&lt;&gt;"⚠",INDEX(파견수련계획!$R$4:$R$203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파견수련계획!$Y$4:$Y$203,0),IFERROR(MATCH(TRIM($J161&amp;"")&amp;"|파견예정",파견수련계획!$Y$4:$Y$203,0),IFERROR(MATCH(TRIM($J161&amp;"")&amp;"|파견종료",파견수련계획!$Y$4:$Y$203,0),""))))</f>
        <v/>
      </c>
      <c r="AG161" s="10">
        <f>IF($B161="","",IF(AND(IF(OR($AC161="",인턴현황!$K$2=""),"",INDEX(인턴근무계획!$M$3:$R$202,$AC161,인턴현황!$K$2)&amp;"")&lt;&gt;"",LEFT(IF(OR($AC161="",인턴현황!$K$2=""),"",INDEX(인턴근무계획!$M$3:$R$202,$AC161,인턴현황!$K$2)&amp;""),1)&lt;&gt;"⚠"),LEFT(IF(OR($AC161="",인턴현황!$K$2=""),"",INDEX(인턴근무계획!$M$3:$R$202,$AC161,인턴현황!$K$2)&amp;""),FIND(" ",IF(OR($AC161="",인턴현황!$K$2=""),"",INDEX(인턴근무계획!$M$3:$R$202,$AC161,인턴현황!$K$2)&amp;""))-1),$AE161))</f>
        <v/>
      </c>
      <c r="AH161" s="17">
        <f>IF($B161="","",IF(TRIM($J161&amp;"")="",0,SUMPRODUCT((파견수련계획!$Q$4:$Q$203=TRIM($J161&amp;""))*(파견수련계획!$S$4:$S$203="서울병원")*파견수련계획!$W$4:$W$203))+IF($AG161="서울병원",MAX(0,DAY(EOMONTH(요약!$B$3,0))-N($X161)),0))</f>
        <v/>
      </c>
      <c r="AI161" s="17">
        <f>IF($B161="","",IF(TRIM($J161&amp;"")="",0,SUMPRODUCT((파견수련계획!$Q$4:$Q$203=TRIM($J161&amp;""))*(파견수련계획!$S$4:$S$203="구리병원")*파견수련계획!$W$4:$W$203))+IF($AG161="구리병원",MAX(0,DAY(EOMONTH(요약!$B$3,0))-N($X161)),0))</f>
        <v/>
      </c>
      <c r="AJ161" s="10">
        <f>IF(OR($B161="",TRIM($J161&amp;"")=""),"",IFERROR(MATCH(TRIM($J161&amp;"")&amp;"|월",파견수련계획!$Z$4:$Z$203,0),""))</f>
        <v/>
      </c>
      <c r="AK161" s="10">
        <f>IF(OR($B161="",TRIM($J161&amp;"")=""),"",IFERROR(MATCH(TRIM($J161&amp;"")&amp;"|다기관",파견수련계획!$AE$4:$AE$203,0),""))</f>
        <v/>
      </c>
      <c r="AL161" s="10">
        <f>IF($AK161="","","다기관 "&amp;TEXT(INDEX(파견수련계획!$AB$4:$AB$203,$AK161),"yyyy-mm-dd")&amp;"~"&amp;IF(ISNUMBER(INDEX(파견수련계획!$AC$4:$AC$203,$AK161)),TEXT(INDEX(파견수련계획!$AC$4:$AC$203,$AK161),"yyyy-mm-dd"),""))</f>
        <v/>
      </c>
    </row>
    <row r="162">
      <c r="A162" s="10">
        <f>IF(B162="","",ROW()-1)</f>
        <v/>
      </c>
      <c r="B162" s="18" t="n"/>
      <c r="C162" s="10">
        <f>IF($AB162="","",IF(INDEX(기본자료!$C$2:$C$501,$AB162)="","",INDEX(기본자료!$C$2:$C$501,$AB162)))</f>
        <v/>
      </c>
      <c r="D162" s="10">
        <f>IF($AB162="","",IF(INDEX(기본자료!$J$2:$J$501,$AB162)="","",INDEX(기본자료!$J$2:$J$501,$AB162)))</f>
        <v/>
      </c>
      <c r="E162" s="11">
        <f>IF($AB162="","",IF(INDEX(기본자료!$K$2:$K$501,$AB162)="","",IF(NOT(ISNUMBER(INDEX(기본자료!$K$2:$K$501,$AB162))),INDEX(기본자료!$K$2:$K$501,$AB162),IF(INDEX(기본자료!$K$2:$K$501,$AB162)&lt;1000000,INDEX(기본자료!$K$2:$K$501,$AB162),IF(AND(INDEX(기본자료!$K$2:$K$501,$AB162)&gt;=10000101,INT(MOD(INDEX(기본자료!$K$2:$K$501,$AB162),10000)/100)&gt;=1,INT(MOD(INDEX(기본자료!$K$2:$K$501,$AB162),10000)/100)&lt;=12,MOD(INDEX(기본자료!$K$2:$K$501,$AB162),100)&gt;=1,MOD(INDEX(기본자료!$K$2:$K$501,$AB162),100)&lt;=31),DATE(INT(INDEX(기본자료!$K$2:$K$501,$AB162)/10000),INT(MOD(INDEX(기본자료!$K$2:$K$501,$AB162),10000)/100),MOD(INDEX(기본자료!$K$2:$K$501,$AB162),100)),INDEX(기본자료!$K$2:$K$501,$AB162)&amp;"")))))</f>
        <v/>
      </c>
      <c r="F162" s="10">
        <f>IF($AB162="","",IF(INDEX(기본자료!$D$2:$D$501,$AB162)="","",INDEX(기본자료!$D$2:$D$501,$AB162)))</f>
        <v/>
      </c>
      <c r="G162" s="10">
        <f>IF($AB162="","",IF(INDEX(기본자료!$E$2:$E$501,$AB162)="","",INDEX(기본자료!$E$2:$E$501,$AB162)))</f>
        <v/>
      </c>
      <c r="H162" s="10">
        <f>IF($AB162="","",IF(INDEX(기본자료!$F$2:$F$501,$AB162)="","",INDEX(기본자료!$F$2:$F$501,$AB162)))</f>
        <v/>
      </c>
      <c r="I162" s="11">
        <f>IF($AB162="","",IF(INDEX(기본자료!$G$2:$G$501,$AB162)="","",IF(NOT(ISNUMBER(INDEX(기본자료!$G$2:$G$501,$AB162))),INDEX(기본자료!$G$2:$G$501,$AB162),IF(INDEX(기본자료!$G$2:$G$501,$AB162)&lt;1000000,INDEX(기본자료!$G$2:$G$501,$AB162),IF(AND(INDEX(기본자료!$G$2:$G$501,$AB162)&gt;=10000101,INT(MOD(INDEX(기본자료!$G$2:$G$501,$AB162),10000)/100)&gt;=1,INT(MOD(INDEX(기본자료!$G$2:$G$501,$AB162),10000)/100)&lt;=12,MOD(INDEX(기본자료!$G$2:$G$501,$AB162),100)&gt;=1,MOD(INDEX(기본자료!$G$2:$G$501,$AB162),100)&lt;=31),DATE(INT(INDEX(기본자료!$G$2:$G$501,$AB162)/10000),INT(MOD(INDEX(기본자료!$G$2:$G$501,$AB162),10000)/100),MOD(INDEX(기본자료!$G$2:$G$501,$AB162),100)),INDEX(기본자료!$G$2:$G$501,$AB162)&amp;"")))))</f>
        <v/>
      </c>
      <c r="J162" s="10">
        <f>IF($AB162="","",IF(INDEX(기본자료!$H$2:$H$501,$AB162)="","",INDEX(기본자료!$H$2:$H$501,$AB162)))</f>
        <v/>
      </c>
      <c r="K162" s="10">
        <f>IF($AB162="","",IF(INDEX(기본자료!$I$2:$I$501,$AB162)="","",INDEX(기본자료!$I$2:$I$501,$AB162)))</f>
        <v/>
      </c>
      <c r="L162" s="10">
        <f>IF($AB162="","",IF(INDEX(기본자료!$A$2:$A$501,$AB162)="","",INDEX(기본자료!$A$2:$A$501,$AB162)))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파견수련계획!$AB$4:$AB$203,$AK162),OR(NOT(ISNUMBER(INDEX(파견수련계획!$AC$4:$AC$203,$AK162))),TODAY()&lt;=INDEX(파견수련계획!$AC$4:$AC$203,$AK162))),"다기관",IF($AF162="","",INDEX(파견수련계획!$T$4:$T$203,$AF162))),IF($AF162="","",INDEX(파견수련계획!$T$4:$T$203,$AF162))))</f>
        <v/>
      </c>
      <c r="Q162" s="10">
        <f>IF($AF162="","",INDEX(파견수련계획!$S$4:$S$203,$AF162))</f>
        <v/>
      </c>
      <c r="R162" s="10">
        <f>IF($AF162="","",INDEX(파견수련계획!$U$4:$U$203,$AF162))</f>
        <v/>
      </c>
      <c r="S162" s="11">
        <f>IF($AF162="","",IF(INDEX(파견수련계획!$H$4:$H$203,$AF162)="","",INDEX(파견수련계획!$H$4:$H$203,$AF162)))</f>
        <v/>
      </c>
      <c r="T162" s="11">
        <f>IF($AF162="","",IF(INDEX(파견수련계획!$I$4:$I$203,$AF162)="","",INDEX(파견수련계획!$I$4:$I$203,$AF162)))</f>
        <v/>
      </c>
      <c r="U162" s="10">
        <f>IF($AF162="","",INDEX(파견수련계획!$X$4:$X$203,$AF162))</f>
        <v/>
      </c>
      <c r="V162" s="17">
        <f>IF($AF162="","",INDEX(파견수련계획!$V$4:$V$203,$AF162))</f>
        <v/>
      </c>
      <c r="W162" s="17">
        <f>IF(AND($U162="파견중",$T162&lt;&gt;""),$T162-TODAY(),"")</f>
        <v/>
      </c>
      <c r="X162" s="17">
        <f>IF(OR($B162="",TRIM($J162&amp;"")=""),"",SUMPRODUCT((파견수련계획!$Q$4:$Q$203=TRIM($J162&amp;""))*파견수련계획!$W$4:$W$203))</f>
        <v/>
      </c>
      <c r="Y162" s="10">
        <f>IF($B162="","",IF($AG162="","",IF(IF(TRIM($J162&amp;"")="",0,SUMPRODUCT((파견수련계획!$Q$4:$Q$203=TRIM($J162&amp;""))*파견수련계획!$AD$4:$AD$203))&gt;0,$AE162,IF(N($X162)&lt;=0,$AG162,IF($AH162+$AI162=DAY(EOMONTH(요약!$B$3,0)),IF(AND($AH162&gt;=요약!$E$3,$AI162&lt;요약!$E$3),"서울병원",IF(AND($AI162&gt;=요약!$E$3,$AH162&lt;요약!$E$3),"구리병원","⚠15일 판정불가(서울 "&amp;$AH162&amp;"일/구리 "&amp;$AI162&amp;"일)")),IF($AJ162="",$AE162,IF(INDEX(파견수련계획!$T$4:$T$203,$AJ162)="통합수련",INDEX(파견수련계획!$S$4:$S$203,$AJ162),$AE162)))))))</f>
        <v/>
      </c>
      <c r="Z162" s="19">
        <f>IF($B162="","",IF($AB162="","기본자료에 없는 사번",IF(COUNTIF($B$2:$B$201,$B162)&gt;1,"중복 사번",IF($AE162="","소속(입사장소) 입력",IF(IF(TRIM($J162&amp;"")="",0,SUMPRODUCT((파견수련계획!$Q$4:$Q$203=TRIM($J162&amp;""))*(파견수련계획!$AA$4:$AA$203&lt;&gt;"")))&gt;0,"파견수련계획 입력오류 확인",IF(LEFT($Y162,1)="⚠","서울·구리 15일 판정 불가(양쪽 모두 이상/미만)",IF(IF($AC162="",0,N(INDEX(인턴근무계획!$T$3:$T$202,$AC162)))&gt;0,"인턴계획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IF($B162="","",IFERROR(MATCH($B162,기본자료!$B$2:$B$501,0),IFERROR(MATCH($B162&amp;"",기본자료!$B$2:$B$501,0),IFERROR(MATCH(VALUE($B162),기본자료!$B$2:$B$501,0),""))))</f>
        <v/>
      </c>
      <c r="AC162" s="10">
        <f>IF($B162="","",IFERROR(MATCH($B162,인턴근무계획!$D$3:$D$202,0),IFERROR(MATCH($B162&amp;"",인턴근무계획!$D$3:$D$202,0),IFERROR(MATCH(VALUE($B162),인턴근무계획!$D$3:$D$202,0),""))))</f>
        <v/>
      </c>
      <c r="AD162" s="10">
        <f>IF(OR($AC162="",인턴현황!$G$3=""),"",INDEX(인턴근무계획!$M$3:$R$202,$AC162,인턴현황!$G$3)&amp;"")</f>
        <v/>
      </c>
      <c r="AE162" s="10">
        <f>IF($B162="","",IF($M162&lt;&gt;"",$M162,IF($AF162&lt;&gt;"",IF(LEFT(INDEX(파견수련계획!$R$4:$R$203,$AF162),1)&lt;&gt;"⚠",INDEX(파견수련계획!$R$4:$R$203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파견수련계획!$Y$4:$Y$203,0),IFERROR(MATCH(TRIM($J162&amp;"")&amp;"|파견예정",파견수련계획!$Y$4:$Y$203,0),IFERROR(MATCH(TRIM($J162&amp;"")&amp;"|파견종료",파견수련계획!$Y$4:$Y$203,0),""))))</f>
        <v/>
      </c>
      <c r="AG162" s="10">
        <f>IF($B162="","",IF(AND(IF(OR($AC162="",인턴현황!$K$2=""),"",INDEX(인턴근무계획!$M$3:$R$202,$AC162,인턴현황!$K$2)&amp;"")&lt;&gt;"",LEFT(IF(OR($AC162="",인턴현황!$K$2=""),"",INDEX(인턴근무계획!$M$3:$R$202,$AC162,인턴현황!$K$2)&amp;""),1)&lt;&gt;"⚠"),LEFT(IF(OR($AC162="",인턴현황!$K$2=""),"",INDEX(인턴근무계획!$M$3:$R$202,$AC162,인턴현황!$K$2)&amp;""),FIND(" ",IF(OR($AC162="",인턴현황!$K$2=""),"",INDEX(인턴근무계획!$M$3:$R$202,$AC162,인턴현황!$K$2)&amp;""))-1),$AE162))</f>
        <v/>
      </c>
      <c r="AH162" s="17">
        <f>IF($B162="","",IF(TRIM($J162&amp;"")="",0,SUMPRODUCT((파견수련계획!$Q$4:$Q$203=TRIM($J162&amp;""))*(파견수련계획!$S$4:$S$203="서울병원")*파견수련계획!$W$4:$W$203))+IF($AG162="서울병원",MAX(0,DAY(EOMONTH(요약!$B$3,0))-N($X162)),0))</f>
        <v/>
      </c>
      <c r="AI162" s="17">
        <f>IF($B162="","",IF(TRIM($J162&amp;"")="",0,SUMPRODUCT((파견수련계획!$Q$4:$Q$203=TRIM($J162&amp;""))*(파견수련계획!$S$4:$S$203="구리병원")*파견수련계획!$W$4:$W$203))+IF($AG162="구리병원",MAX(0,DAY(EOMONTH(요약!$B$3,0))-N($X162)),0))</f>
        <v/>
      </c>
      <c r="AJ162" s="10">
        <f>IF(OR($B162="",TRIM($J162&amp;"")=""),"",IFERROR(MATCH(TRIM($J162&amp;"")&amp;"|월",파견수련계획!$Z$4:$Z$203,0),""))</f>
        <v/>
      </c>
      <c r="AK162" s="10">
        <f>IF(OR($B162="",TRIM($J162&amp;"")=""),"",IFERROR(MATCH(TRIM($J162&amp;"")&amp;"|다기관",파견수련계획!$AE$4:$AE$203,0),""))</f>
        <v/>
      </c>
      <c r="AL162" s="10">
        <f>IF($AK162="","","다기관 "&amp;TEXT(INDEX(파견수련계획!$AB$4:$AB$203,$AK162),"yyyy-mm-dd")&amp;"~"&amp;IF(ISNUMBER(INDEX(파견수련계획!$AC$4:$AC$203,$AK162)),TEXT(INDEX(파견수련계획!$AC$4:$AC$203,$AK162),"yyyy-mm-dd"),""))</f>
        <v/>
      </c>
    </row>
    <row r="163">
      <c r="A163" s="10">
        <f>IF(B163="","",ROW()-1)</f>
        <v/>
      </c>
      <c r="B163" s="18" t="n"/>
      <c r="C163" s="10">
        <f>IF($AB163="","",IF(INDEX(기본자료!$C$2:$C$501,$AB163)="","",INDEX(기본자료!$C$2:$C$501,$AB163)))</f>
        <v/>
      </c>
      <c r="D163" s="10">
        <f>IF($AB163="","",IF(INDEX(기본자료!$J$2:$J$501,$AB163)="","",INDEX(기본자료!$J$2:$J$501,$AB163)))</f>
        <v/>
      </c>
      <c r="E163" s="11">
        <f>IF($AB163="","",IF(INDEX(기본자료!$K$2:$K$501,$AB163)="","",IF(NOT(ISNUMBER(INDEX(기본자료!$K$2:$K$501,$AB163))),INDEX(기본자료!$K$2:$K$501,$AB163),IF(INDEX(기본자료!$K$2:$K$501,$AB163)&lt;1000000,INDEX(기본자료!$K$2:$K$501,$AB163),IF(AND(INDEX(기본자료!$K$2:$K$501,$AB163)&gt;=10000101,INT(MOD(INDEX(기본자료!$K$2:$K$501,$AB163),10000)/100)&gt;=1,INT(MOD(INDEX(기본자료!$K$2:$K$501,$AB163),10000)/100)&lt;=12,MOD(INDEX(기본자료!$K$2:$K$501,$AB163),100)&gt;=1,MOD(INDEX(기본자료!$K$2:$K$501,$AB163),100)&lt;=31),DATE(INT(INDEX(기본자료!$K$2:$K$501,$AB163)/10000),INT(MOD(INDEX(기본자료!$K$2:$K$501,$AB163),10000)/100),MOD(INDEX(기본자료!$K$2:$K$501,$AB163),100)),INDEX(기본자료!$K$2:$K$501,$AB163)&amp;"")))))</f>
        <v/>
      </c>
      <c r="F163" s="10">
        <f>IF($AB163="","",IF(INDEX(기본자료!$D$2:$D$501,$AB163)="","",INDEX(기본자료!$D$2:$D$501,$AB163)))</f>
        <v/>
      </c>
      <c r="G163" s="10">
        <f>IF($AB163="","",IF(INDEX(기본자료!$E$2:$E$501,$AB163)="","",INDEX(기본자료!$E$2:$E$501,$AB163)))</f>
        <v/>
      </c>
      <c r="H163" s="10">
        <f>IF($AB163="","",IF(INDEX(기본자료!$F$2:$F$501,$AB163)="","",INDEX(기본자료!$F$2:$F$501,$AB163)))</f>
        <v/>
      </c>
      <c r="I163" s="11">
        <f>IF($AB163="","",IF(INDEX(기본자료!$G$2:$G$501,$AB163)="","",IF(NOT(ISNUMBER(INDEX(기본자료!$G$2:$G$501,$AB163))),INDEX(기본자료!$G$2:$G$501,$AB163),IF(INDEX(기본자료!$G$2:$G$501,$AB163)&lt;1000000,INDEX(기본자료!$G$2:$G$501,$AB163),IF(AND(INDEX(기본자료!$G$2:$G$501,$AB163)&gt;=10000101,INT(MOD(INDEX(기본자료!$G$2:$G$501,$AB163),10000)/100)&gt;=1,INT(MOD(INDEX(기본자료!$G$2:$G$501,$AB163),10000)/100)&lt;=12,MOD(INDEX(기본자료!$G$2:$G$501,$AB163),100)&gt;=1,MOD(INDEX(기본자료!$G$2:$G$501,$AB163),100)&lt;=31),DATE(INT(INDEX(기본자료!$G$2:$G$501,$AB163)/10000),INT(MOD(INDEX(기본자료!$G$2:$G$501,$AB163),10000)/100),MOD(INDEX(기본자료!$G$2:$G$501,$AB163),100)),INDEX(기본자료!$G$2:$G$501,$AB163)&amp;"")))))</f>
        <v/>
      </c>
      <c r="J163" s="10">
        <f>IF($AB163="","",IF(INDEX(기본자료!$H$2:$H$501,$AB163)="","",INDEX(기본자료!$H$2:$H$501,$AB163)))</f>
        <v/>
      </c>
      <c r="K163" s="10">
        <f>IF($AB163="","",IF(INDEX(기본자료!$I$2:$I$501,$AB163)="","",INDEX(기본자료!$I$2:$I$501,$AB163)))</f>
        <v/>
      </c>
      <c r="L163" s="10">
        <f>IF($AB163="","",IF(INDEX(기본자료!$A$2:$A$501,$AB163)="","",INDEX(기본자료!$A$2:$A$501,$AB163)))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파견수련계획!$AB$4:$AB$203,$AK163),OR(NOT(ISNUMBER(INDEX(파견수련계획!$AC$4:$AC$203,$AK163))),TODAY()&lt;=INDEX(파견수련계획!$AC$4:$AC$203,$AK163))),"다기관",IF($AF163="","",INDEX(파견수련계획!$T$4:$T$203,$AF163))),IF($AF163="","",INDEX(파견수련계획!$T$4:$T$203,$AF163))))</f>
        <v/>
      </c>
      <c r="Q163" s="10">
        <f>IF($AF163="","",INDEX(파견수련계획!$S$4:$S$203,$AF163))</f>
        <v/>
      </c>
      <c r="R163" s="10">
        <f>IF($AF163="","",INDEX(파견수련계획!$U$4:$U$203,$AF163))</f>
        <v/>
      </c>
      <c r="S163" s="11">
        <f>IF($AF163="","",IF(INDEX(파견수련계획!$H$4:$H$203,$AF163)="","",INDEX(파견수련계획!$H$4:$H$203,$AF163)))</f>
        <v/>
      </c>
      <c r="T163" s="11">
        <f>IF($AF163="","",IF(INDEX(파견수련계획!$I$4:$I$203,$AF163)="","",INDEX(파견수련계획!$I$4:$I$203,$AF163)))</f>
        <v/>
      </c>
      <c r="U163" s="10">
        <f>IF($AF163="","",INDEX(파견수련계획!$X$4:$X$203,$AF163))</f>
        <v/>
      </c>
      <c r="V163" s="17">
        <f>IF($AF163="","",INDEX(파견수련계획!$V$4:$V$203,$AF163))</f>
        <v/>
      </c>
      <c r="W163" s="17">
        <f>IF(AND($U163="파견중",$T163&lt;&gt;""),$T163-TODAY(),"")</f>
        <v/>
      </c>
      <c r="X163" s="17">
        <f>IF(OR($B163="",TRIM($J163&amp;"")=""),"",SUMPRODUCT((파견수련계획!$Q$4:$Q$203=TRIM($J163&amp;""))*파견수련계획!$W$4:$W$203))</f>
        <v/>
      </c>
      <c r="Y163" s="10">
        <f>IF($B163="","",IF($AG163="","",IF(IF(TRIM($J163&amp;"")="",0,SUMPRODUCT((파견수련계획!$Q$4:$Q$203=TRIM($J163&amp;""))*파견수련계획!$AD$4:$AD$203))&gt;0,$AE163,IF(N($X163)&lt;=0,$AG163,IF($AH163+$AI163=DAY(EOMONTH(요약!$B$3,0)),IF(AND($AH163&gt;=요약!$E$3,$AI163&lt;요약!$E$3),"서울병원",IF(AND($AI163&gt;=요약!$E$3,$AH163&lt;요약!$E$3),"구리병원","⚠15일 판정불가(서울 "&amp;$AH163&amp;"일/구리 "&amp;$AI163&amp;"일)")),IF($AJ163="",$AE163,IF(INDEX(파견수련계획!$T$4:$T$203,$AJ163)="통합수련",INDEX(파견수련계획!$S$4:$S$203,$AJ163),$AE163)))))))</f>
        <v/>
      </c>
      <c r="Z163" s="19">
        <f>IF($B163="","",IF($AB163="","기본자료에 없는 사번",IF(COUNTIF($B$2:$B$201,$B163)&gt;1,"중복 사번",IF($AE163="","소속(입사장소) 입력",IF(IF(TRIM($J163&amp;"")="",0,SUMPRODUCT((파견수련계획!$Q$4:$Q$203=TRIM($J163&amp;""))*(파견수련계획!$AA$4:$AA$203&lt;&gt;"")))&gt;0,"파견수련계획 입력오류 확인",IF(LEFT($Y163,1)="⚠","서울·구리 15일 판정 불가(양쪽 모두 이상/미만)",IF(IF($AC163="",0,N(INDEX(인턴근무계획!$T$3:$T$202,$AC163)))&gt;0,"인턴계획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IF($B163="","",IFERROR(MATCH($B163,기본자료!$B$2:$B$501,0),IFERROR(MATCH($B163&amp;"",기본자료!$B$2:$B$501,0),IFERROR(MATCH(VALUE($B163),기본자료!$B$2:$B$501,0),""))))</f>
        <v/>
      </c>
      <c r="AC163" s="10">
        <f>IF($B163="","",IFERROR(MATCH($B163,인턴근무계획!$D$3:$D$202,0),IFERROR(MATCH($B163&amp;"",인턴근무계획!$D$3:$D$202,0),IFERROR(MATCH(VALUE($B163),인턴근무계획!$D$3:$D$202,0),""))))</f>
        <v/>
      </c>
      <c r="AD163" s="10">
        <f>IF(OR($AC163="",인턴현황!$G$3=""),"",INDEX(인턴근무계획!$M$3:$R$202,$AC163,인턴현황!$G$3)&amp;"")</f>
        <v/>
      </c>
      <c r="AE163" s="10">
        <f>IF($B163="","",IF($M163&lt;&gt;"",$M163,IF($AF163&lt;&gt;"",IF(LEFT(INDEX(파견수련계획!$R$4:$R$203,$AF163),1)&lt;&gt;"⚠",INDEX(파견수련계획!$R$4:$R$203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파견수련계획!$Y$4:$Y$203,0),IFERROR(MATCH(TRIM($J163&amp;"")&amp;"|파견예정",파견수련계획!$Y$4:$Y$203,0),IFERROR(MATCH(TRIM($J163&amp;"")&amp;"|파견종료",파견수련계획!$Y$4:$Y$203,0),""))))</f>
        <v/>
      </c>
      <c r="AG163" s="10">
        <f>IF($B163="","",IF(AND(IF(OR($AC163="",인턴현황!$K$2=""),"",INDEX(인턴근무계획!$M$3:$R$202,$AC163,인턴현황!$K$2)&amp;"")&lt;&gt;"",LEFT(IF(OR($AC163="",인턴현황!$K$2=""),"",INDEX(인턴근무계획!$M$3:$R$202,$AC163,인턴현황!$K$2)&amp;""),1)&lt;&gt;"⚠"),LEFT(IF(OR($AC163="",인턴현황!$K$2=""),"",INDEX(인턴근무계획!$M$3:$R$202,$AC163,인턴현황!$K$2)&amp;""),FIND(" ",IF(OR($AC163="",인턴현황!$K$2=""),"",INDEX(인턴근무계획!$M$3:$R$202,$AC163,인턴현황!$K$2)&amp;""))-1),$AE163))</f>
        <v/>
      </c>
      <c r="AH163" s="17">
        <f>IF($B163="","",IF(TRIM($J163&amp;"")="",0,SUMPRODUCT((파견수련계획!$Q$4:$Q$203=TRIM($J163&amp;""))*(파견수련계획!$S$4:$S$203="서울병원")*파견수련계획!$W$4:$W$203))+IF($AG163="서울병원",MAX(0,DAY(EOMONTH(요약!$B$3,0))-N($X163)),0))</f>
        <v/>
      </c>
      <c r="AI163" s="17">
        <f>IF($B163="","",IF(TRIM($J163&amp;"")="",0,SUMPRODUCT((파견수련계획!$Q$4:$Q$203=TRIM($J163&amp;""))*(파견수련계획!$S$4:$S$203="구리병원")*파견수련계획!$W$4:$W$203))+IF($AG163="구리병원",MAX(0,DAY(EOMONTH(요약!$B$3,0))-N($X163)),0))</f>
        <v/>
      </c>
      <c r="AJ163" s="10">
        <f>IF(OR($B163="",TRIM($J163&amp;"")=""),"",IFERROR(MATCH(TRIM($J163&amp;"")&amp;"|월",파견수련계획!$Z$4:$Z$203,0),""))</f>
        <v/>
      </c>
      <c r="AK163" s="10">
        <f>IF(OR($B163="",TRIM($J163&amp;"")=""),"",IFERROR(MATCH(TRIM($J163&amp;"")&amp;"|다기관",파견수련계획!$AE$4:$AE$203,0),""))</f>
        <v/>
      </c>
      <c r="AL163" s="10">
        <f>IF($AK163="","","다기관 "&amp;TEXT(INDEX(파견수련계획!$AB$4:$AB$203,$AK163),"yyyy-mm-dd")&amp;"~"&amp;IF(ISNUMBER(INDEX(파견수련계획!$AC$4:$AC$203,$AK163)),TEXT(INDEX(파견수련계획!$AC$4:$AC$203,$AK163),"yyyy-mm-dd"),""))</f>
        <v/>
      </c>
    </row>
    <row r="164">
      <c r="A164" s="10">
        <f>IF(B164="","",ROW()-1)</f>
        <v/>
      </c>
      <c r="B164" s="18" t="n"/>
      <c r="C164" s="10">
        <f>IF($AB164="","",IF(INDEX(기본자료!$C$2:$C$501,$AB164)="","",INDEX(기본자료!$C$2:$C$501,$AB164)))</f>
        <v/>
      </c>
      <c r="D164" s="10">
        <f>IF($AB164="","",IF(INDEX(기본자료!$J$2:$J$501,$AB164)="","",INDEX(기본자료!$J$2:$J$501,$AB164)))</f>
        <v/>
      </c>
      <c r="E164" s="11">
        <f>IF($AB164="","",IF(INDEX(기본자료!$K$2:$K$501,$AB164)="","",IF(NOT(ISNUMBER(INDEX(기본자료!$K$2:$K$501,$AB164))),INDEX(기본자료!$K$2:$K$501,$AB164),IF(INDEX(기본자료!$K$2:$K$501,$AB164)&lt;1000000,INDEX(기본자료!$K$2:$K$501,$AB164),IF(AND(INDEX(기본자료!$K$2:$K$501,$AB164)&gt;=10000101,INT(MOD(INDEX(기본자료!$K$2:$K$501,$AB164),10000)/100)&gt;=1,INT(MOD(INDEX(기본자료!$K$2:$K$501,$AB164),10000)/100)&lt;=12,MOD(INDEX(기본자료!$K$2:$K$501,$AB164),100)&gt;=1,MOD(INDEX(기본자료!$K$2:$K$501,$AB164),100)&lt;=31),DATE(INT(INDEX(기본자료!$K$2:$K$501,$AB164)/10000),INT(MOD(INDEX(기본자료!$K$2:$K$501,$AB164),10000)/100),MOD(INDEX(기본자료!$K$2:$K$501,$AB164),100)),INDEX(기본자료!$K$2:$K$501,$AB164)&amp;"")))))</f>
        <v/>
      </c>
      <c r="F164" s="10">
        <f>IF($AB164="","",IF(INDEX(기본자료!$D$2:$D$501,$AB164)="","",INDEX(기본자료!$D$2:$D$501,$AB164)))</f>
        <v/>
      </c>
      <c r="G164" s="10">
        <f>IF($AB164="","",IF(INDEX(기본자료!$E$2:$E$501,$AB164)="","",INDEX(기본자료!$E$2:$E$501,$AB164)))</f>
        <v/>
      </c>
      <c r="H164" s="10">
        <f>IF($AB164="","",IF(INDEX(기본자료!$F$2:$F$501,$AB164)="","",INDEX(기본자료!$F$2:$F$501,$AB164)))</f>
        <v/>
      </c>
      <c r="I164" s="11">
        <f>IF($AB164="","",IF(INDEX(기본자료!$G$2:$G$501,$AB164)="","",IF(NOT(ISNUMBER(INDEX(기본자료!$G$2:$G$501,$AB164))),INDEX(기본자료!$G$2:$G$501,$AB164),IF(INDEX(기본자료!$G$2:$G$501,$AB164)&lt;1000000,INDEX(기본자료!$G$2:$G$501,$AB164),IF(AND(INDEX(기본자료!$G$2:$G$501,$AB164)&gt;=10000101,INT(MOD(INDEX(기본자료!$G$2:$G$501,$AB164),10000)/100)&gt;=1,INT(MOD(INDEX(기본자료!$G$2:$G$501,$AB164),10000)/100)&lt;=12,MOD(INDEX(기본자료!$G$2:$G$501,$AB164),100)&gt;=1,MOD(INDEX(기본자료!$G$2:$G$501,$AB164),100)&lt;=31),DATE(INT(INDEX(기본자료!$G$2:$G$501,$AB164)/10000),INT(MOD(INDEX(기본자료!$G$2:$G$501,$AB164),10000)/100),MOD(INDEX(기본자료!$G$2:$G$501,$AB164),100)),INDEX(기본자료!$G$2:$G$501,$AB164)&amp;"")))))</f>
        <v/>
      </c>
      <c r="J164" s="10">
        <f>IF($AB164="","",IF(INDEX(기본자료!$H$2:$H$501,$AB164)="","",INDEX(기본자료!$H$2:$H$501,$AB164)))</f>
        <v/>
      </c>
      <c r="K164" s="10">
        <f>IF($AB164="","",IF(INDEX(기본자료!$I$2:$I$501,$AB164)="","",INDEX(기본자료!$I$2:$I$501,$AB164)))</f>
        <v/>
      </c>
      <c r="L164" s="10">
        <f>IF($AB164="","",IF(INDEX(기본자료!$A$2:$A$501,$AB164)="","",INDEX(기본자료!$A$2:$A$501,$AB164)))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파견수련계획!$AB$4:$AB$203,$AK164),OR(NOT(ISNUMBER(INDEX(파견수련계획!$AC$4:$AC$203,$AK164))),TODAY()&lt;=INDEX(파견수련계획!$AC$4:$AC$203,$AK164))),"다기관",IF($AF164="","",INDEX(파견수련계획!$T$4:$T$203,$AF164))),IF($AF164="","",INDEX(파견수련계획!$T$4:$T$203,$AF164))))</f>
        <v/>
      </c>
      <c r="Q164" s="10">
        <f>IF($AF164="","",INDEX(파견수련계획!$S$4:$S$203,$AF164))</f>
        <v/>
      </c>
      <c r="R164" s="10">
        <f>IF($AF164="","",INDEX(파견수련계획!$U$4:$U$203,$AF164))</f>
        <v/>
      </c>
      <c r="S164" s="11">
        <f>IF($AF164="","",IF(INDEX(파견수련계획!$H$4:$H$203,$AF164)="","",INDEX(파견수련계획!$H$4:$H$203,$AF164)))</f>
        <v/>
      </c>
      <c r="T164" s="11">
        <f>IF($AF164="","",IF(INDEX(파견수련계획!$I$4:$I$203,$AF164)="","",INDEX(파견수련계획!$I$4:$I$203,$AF164)))</f>
        <v/>
      </c>
      <c r="U164" s="10">
        <f>IF($AF164="","",INDEX(파견수련계획!$X$4:$X$203,$AF164))</f>
        <v/>
      </c>
      <c r="V164" s="17">
        <f>IF($AF164="","",INDEX(파견수련계획!$V$4:$V$203,$AF164))</f>
        <v/>
      </c>
      <c r="W164" s="17">
        <f>IF(AND($U164="파견중",$T164&lt;&gt;""),$T164-TODAY(),"")</f>
        <v/>
      </c>
      <c r="X164" s="17">
        <f>IF(OR($B164="",TRIM($J164&amp;"")=""),"",SUMPRODUCT((파견수련계획!$Q$4:$Q$203=TRIM($J164&amp;""))*파견수련계획!$W$4:$W$203))</f>
        <v/>
      </c>
      <c r="Y164" s="10">
        <f>IF($B164="","",IF($AG164="","",IF(IF(TRIM($J164&amp;"")="",0,SUMPRODUCT((파견수련계획!$Q$4:$Q$203=TRIM($J164&amp;""))*파견수련계획!$AD$4:$AD$203))&gt;0,$AE164,IF(N($X164)&lt;=0,$AG164,IF($AH164+$AI164=DAY(EOMONTH(요약!$B$3,0)),IF(AND($AH164&gt;=요약!$E$3,$AI164&lt;요약!$E$3),"서울병원",IF(AND($AI164&gt;=요약!$E$3,$AH164&lt;요약!$E$3),"구리병원","⚠15일 판정불가(서울 "&amp;$AH164&amp;"일/구리 "&amp;$AI164&amp;"일)")),IF($AJ164="",$AE164,IF(INDEX(파견수련계획!$T$4:$T$203,$AJ164)="통합수련",INDEX(파견수련계획!$S$4:$S$203,$AJ164),$AE164)))))))</f>
        <v/>
      </c>
      <c r="Z164" s="19">
        <f>IF($B164="","",IF($AB164="","기본자료에 없는 사번",IF(COUNTIF($B$2:$B$201,$B164)&gt;1,"중복 사번",IF($AE164="","소속(입사장소) 입력",IF(IF(TRIM($J164&amp;"")="",0,SUMPRODUCT((파견수련계획!$Q$4:$Q$203=TRIM($J164&amp;""))*(파견수련계획!$AA$4:$AA$203&lt;&gt;"")))&gt;0,"파견수련계획 입력오류 확인",IF(LEFT($Y164,1)="⚠","서울·구리 15일 판정 불가(양쪽 모두 이상/미만)",IF(IF($AC164="",0,N(INDEX(인턴근무계획!$T$3:$T$202,$AC164)))&gt;0,"인턴계획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IF($B164="","",IFERROR(MATCH($B164,기본자료!$B$2:$B$501,0),IFERROR(MATCH($B164&amp;"",기본자료!$B$2:$B$501,0),IFERROR(MATCH(VALUE($B164),기본자료!$B$2:$B$501,0),""))))</f>
        <v/>
      </c>
      <c r="AC164" s="10">
        <f>IF($B164="","",IFERROR(MATCH($B164,인턴근무계획!$D$3:$D$202,0),IFERROR(MATCH($B164&amp;"",인턴근무계획!$D$3:$D$202,0),IFERROR(MATCH(VALUE($B164),인턴근무계획!$D$3:$D$202,0),""))))</f>
        <v/>
      </c>
      <c r="AD164" s="10">
        <f>IF(OR($AC164="",인턴현황!$G$3=""),"",INDEX(인턴근무계획!$M$3:$R$202,$AC164,인턴현황!$G$3)&amp;"")</f>
        <v/>
      </c>
      <c r="AE164" s="10">
        <f>IF($B164="","",IF($M164&lt;&gt;"",$M164,IF($AF164&lt;&gt;"",IF(LEFT(INDEX(파견수련계획!$R$4:$R$203,$AF164),1)&lt;&gt;"⚠",INDEX(파견수련계획!$R$4:$R$203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파견수련계획!$Y$4:$Y$203,0),IFERROR(MATCH(TRIM($J164&amp;"")&amp;"|파견예정",파견수련계획!$Y$4:$Y$203,0),IFERROR(MATCH(TRIM($J164&amp;"")&amp;"|파견종료",파견수련계획!$Y$4:$Y$203,0),""))))</f>
        <v/>
      </c>
      <c r="AG164" s="10">
        <f>IF($B164="","",IF(AND(IF(OR($AC164="",인턴현황!$K$2=""),"",INDEX(인턴근무계획!$M$3:$R$202,$AC164,인턴현황!$K$2)&amp;"")&lt;&gt;"",LEFT(IF(OR($AC164="",인턴현황!$K$2=""),"",INDEX(인턴근무계획!$M$3:$R$202,$AC164,인턴현황!$K$2)&amp;""),1)&lt;&gt;"⚠"),LEFT(IF(OR($AC164="",인턴현황!$K$2=""),"",INDEX(인턴근무계획!$M$3:$R$202,$AC164,인턴현황!$K$2)&amp;""),FIND(" ",IF(OR($AC164="",인턴현황!$K$2=""),"",INDEX(인턴근무계획!$M$3:$R$202,$AC164,인턴현황!$K$2)&amp;""))-1),$AE164))</f>
        <v/>
      </c>
      <c r="AH164" s="17">
        <f>IF($B164="","",IF(TRIM($J164&amp;"")="",0,SUMPRODUCT((파견수련계획!$Q$4:$Q$203=TRIM($J164&amp;""))*(파견수련계획!$S$4:$S$203="서울병원")*파견수련계획!$W$4:$W$203))+IF($AG164="서울병원",MAX(0,DAY(EOMONTH(요약!$B$3,0))-N($X164)),0))</f>
        <v/>
      </c>
      <c r="AI164" s="17">
        <f>IF($B164="","",IF(TRIM($J164&amp;"")="",0,SUMPRODUCT((파견수련계획!$Q$4:$Q$203=TRIM($J164&amp;""))*(파견수련계획!$S$4:$S$203="구리병원")*파견수련계획!$W$4:$W$203))+IF($AG164="구리병원",MAX(0,DAY(EOMONTH(요약!$B$3,0))-N($X164)),0))</f>
        <v/>
      </c>
      <c r="AJ164" s="10">
        <f>IF(OR($B164="",TRIM($J164&amp;"")=""),"",IFERROR(MATCH(TRIM($J164&amp;"")&amp;"|월",파견수련계획!$Z$4:$Z$203,0),""))</f>
        <v/>
      </c>
      <c r="AK164" s="10">
        <f>IF(OR($B164="",TRIM($J164&amp;"")=""),"",IFERROR(MATCH(TRIM($J164&amp;"")&amp;"|다기관",파견수련계획!$AE$4:$AE$203,0),""))</f>
        <v/>
      </c>
      <c r="AL164" s="10">
        <f>IF($AK164="","","다기관 "&amp;TEXT(INDEX(파견수련계획!$AB$4:$AB$203,$AK164),"yyyy-mm-dd")&amp;"~"&amp;IF(ISNUMBER(INDEX(파견수련계획!$AC$4:$AC$203,$AK164)),TEXT(INDEX(파견수련계획!$AC$4:$AC$203,$AK164),"yyyy-mm-dd"),""))</f>
        <v/>
      </c>
    </row>
    <row r="165">
      <c r="A165" s="10">
        <f>IF(B165="","",ROW()-1)</f>
        <v/>
      </c>
      <c r="B165" s="18" t="n"/>
      <c r="C165" s="10">
        <f>IF($AB165="","",IF(INDEX(기본자료!$C$2:$C$501,$AB165)="","",INDEX(기본자료!$C$2:$C$501,$AB165)))</f>
        <v/>
      </c>
      <c r="D165" s="10">
        <f>IF($AB165="","",IF(INDEX(기본자료!$J$2:$J$501,$AB165)="","",INDEX(기본자료!$J$2:$J$501,$AB165)))</f>
        <v/>
      </c>
      <c r="E165" s="11">
        <f>IF($AB165="","",IF(INDEX(기본자료!$K$2:$K$501,$AB165)="","",IF(NOT(ISNUMBER(INDEX(기본자료!$K$2:$K$501,$AB165))),INDEX(기본자료!$K$2:$K$501,$AB165),IF(INDEX(기본자료!$K$2:$K$501,$AB165)&lt;1000000,INDEX(기본자료!$K$2:$K$501,$AB165),IF(AND(INDEX(기본자료!$K$2:$K$501,$AB165)&gt;=10000101,INT(MOD(INDEX(기본자료!$K$2:$K$501,$AB165),10000)/100)&gt;=1,INT(MOD(INDEX(기본자료!$K$2:$K$501,$AB165),10000)/100)&lt;=12,MOD(INDEX(기본자료!$K$2:$K$501,$AB165),100)&gt;=1,MOD(INDEX(기본자료!$K$2:$K$501,$AB165),100)&lt;=31),DATE(INT(INDEX(기본자료!$K$2:$K$501,$AB165)/10000),INT(MOD(INDEX(기본자료!$K$2:$K$501,$AB165),10000)/100),MOD(INDEX(기본자료!$K$2:$K$501,$AB165),100)),INDEX(기본자료!$K$2:$K$501,$AB165)&amp;"")))))</f>
        <v/>
      </c>
      <c r="F165" s="10">
        <f>IF($AB165="","",IF(INDEX(기본자료!$D$2:$D$501,$AB165)="","",INDEX(기본자료!$D$2:$D$501,$AB165)))</f>
        <v/>
      </c>
      <c r="G165" s="10">
        <f>IF($AB165="","",IF(INDEX(기본자료!$E$2:$E$501,$AB165)="","",INDEX(기본자료!$E$2:$E$501,$AB165)))</f>
        <v/>
      </c>
      <c r="H165" s="10">
        <f>IF($AB165="","",IF(INDEX(기본자료!$F$2:$F$501,$AB165)="","",INDEX(기본자료!$F$2:$F$501,$AB165)))</f>
        <v/>
      </c>
      <c r="I165" s="11">
        <f>IF($AB165="","",IF(INDEX(기본자료!$G$2:$G$501,$AB165)="","",IF(NOT(ISNUMBER(INDEX(기본자료!$G$2:$G$501,$AB165))),INDEX(기본자료!$G$2:$G$501,$AB165),IF(INDEX(기본자료!$G$2:$G$501,$AB165)&lt;1000000,INDEX(기본자료!$G$2:$G$501,$AB165),IF(AND(INDEX(기본자료!$G$2:$G$501,$AB165)&gt;=10000101,INT(MOD(INDEX(기본자료!$G$2:$G$501,$AB165),10000)/100)&gt;=1,INT(MOD(INDEX(기본자료!$G$2:$G$501,$AB165),10000)/100)&lt;=12,MOD(INDEX(기본자료!$G$2:$G$501,$AB165),100)&gt;=1,MOD(INDEX(기본자료!$G$2:$G$501,$AB165),100)&lt;=31),DATE(INT(INDEX(기본자료!$G$2:$G$501,$AB165)/10000),INT(MOD(INDEX(기본자료!$G$2:$G$501,$AB165),10000)/100),MOD(INDEX(기본자료!$G$2:$G$501,$AB165),100)),INDEX(기본자료!$G$2:$G$501,$AB165)&amp;"")))))</f>
        <v/>
      </c>
      <c r="J165" s="10">
        <f>IF($AB165="","",IF(INDEX(기본자료!$H$2:$H$501,$AB165)="","",INDEX(기본자료!$H$2:$H$501,$AB165)))</f>
        <v/>
      </c>
      <c r="K165" s="10">
        <f>IF($AB165="","",IF(INDEX(기본자료!$I$2:$I$501,$AB165)="","",INDEX(기본자료!$I$2:$I$501,$AB165)))</f>
        <v/>
      </c>
      <c r="L165" s="10">
        <f>IF($AB165="","",IF(INDEX(기본자료!$A$2:$A$501,$AB165)="","",INDEX(기본자료!$A$2:$A$501,$AB165)))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파견수련계획!$AB$4:$AB$203,$AK165),OR(NOT(ISNUMBER(INDEX(파견수련계획!$AC$4:$AC$203,$AK165))),TODAY()&lt;=INDEX(파견수련계획!$AC$4:$AC$203,$AK165))),"다기관",IF($AF165="","",INDEX(파견수련계획!$T$4:$T$203,$AF165))),IF($AF165="","",INDEX(파견수련계획!$T$4:$T$203,$AF165))))</f>
        <v/>
      </c>
      <c r="Q165" s="10">
        <f>IF($AF165="","",INDEX(파견수련계획!$S$4:$S$203,$AF165))</f>
        <v/>
      </c>
      <c r="R165" s="10">
        <f>IF($AF165="","",INDEX(파견수련계획!$U$4:$U$203,$AF165))</f>
        <v/>
      </c>
      <c r="S165" s="11">
        <f>IF($AF165="","",IF(INDEX(파견수련계획!$H$4:$H$203,$AF165)="","",INDEX(파견수련계획!$H$4:$H$203,$AF165)))</f>
        <v/>
      </c>
      <c r="T165" s="11">
        <f>IF($AF165="","",IF(INDEX(파견수련계획!$I$4:$I$203,$AF165)="","",INDEX(파견수련계획!$I$4:$I$203,$AF165)))</f>
        <v/>
      </c>
      <c r="U165" s="10">
        <f>IF($AF165="","",INDEX(파견수련계획!$X$4:$X$203,$AF165))</f>
        <v/>
      </c>
      <c r="V165" s="17">
        <f>IF($AF165="","",INDEX(파견수련계획!$V$4:$V$203,$AF165))</f>
        <v/>
      </c>
      <c r="W165" s="17">
        <f>IF(AND($U165="파견중",$T165&lt;&gt;""),$T165-TODAY(),"")</f>
        <v/>
      </c>
      <c r="X165" s="17">
        <f>IF(OR($B165="",TRIM($J165&amp;"")=""),"",SUMPRODUCT((파견수련계획!$Q$4:$Q$203=TRIM($J165&amp;""))*파견수련계획!$W$4:$W$203))</f>
        <v/>
      </c>
      <c r="Y165" s="10">
        <f>IF($B165="","",IF($AG165="","",IF(IF(TRIM($J165&amp;"")="",0,SUMPRODUCT((파견수련계획!$Q$4:$Q$203=TRIM($J165&amp;""))*파견수련계획!$AD$4:$AD$203))&gt;0,$AE165,IF(N($X165)&lt;=0,$AG165,IF($AH165+$AI165=DAY(EOMONTH(요약!$B$3,0)),IF(AND($AH165&gt;=요약!$E$3,$AI165&lt;요약!$E$3),"서울병원",IF(AND($AI165&gt;=요약!$E$3,$AH165&lt;요약!$E$3),"구리병원","⚠15일 판정불가(서울 "&amp;$AH165&amp;"일/구리 "&amp;$AI165&amp;"일)")),IF($AJ165="",$AE165,IF(INDEX(파견수련계획!$T$4:$T$203,$AJ165)="통합수련",INDEX(파견수련계획!$S$4:$S$203,$AJ165),$AE165)))))))</f>
        <v/>
      </c>
      <c r="Z165" s="19">
        <f>IF($B165="","",IF($AB165="","기본자료에 없는 사번",IF(COUNTIF($B$2:$B$201,$B165)&gt;1,"중복 사번",IF($AE165="","소속(입사장소) 입력",IF(IF(TRIM($J165&amp;"")="",0,SUMPRODUCT((파견수련계획!$Q$4:$Q$203=TRIM($J165&amp;""))*(파견수련계획!$AA$4:$AA$203&lt;&gt;"")))&gt;0,"파견수련계획 입력오류 확인",IF(LEFT($Y165,1)="⚠","서울·구리 15일 판정 불가(양쪽 모두 이상/미만)",IF(IF($AC165="",0,N(INDEX(인턴근무계획!$T$3:$T$202,$AC165)))&gt;0,"인턴계획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IF($B165="","",IFERROR(MATCH($B165,기본자료!$B$2:$B$501,0),IFERROR(MATCH($B165&amp;"",기본자료!$B$2:$B$501,0),IFERROR(MATCH(VALUE($B165),기본자료!$B$2:$B$501,0),""))))</f>
        <v/>
      </c>
      <c r="AC165" s="10">
        <f>IF($B165="","",IFERROR(MATCH($B165,인턴근무계획!$D$3:$D$202,0),IFERROR(MATCH($B165&amp;"",인턴근무계획!$D$3:$D$202,0),IFERROR(MATCH(VALUE($B165),인턴근무계획!$D$3:$D$202,0),""))))</f>
        <v/>
      </c>
      <c r="AD165" s="10">
        <f>IF(OR($AC165="",인턴현황!$G$3=""),"",INDEX(인턴근무계획!$M$3:$R$202,$AC165,인턴현황!$G$3)&amp;"")</f>
        <v/>
      </c>
      <c r="AE165" s="10">
        <f>IF($B165="","",IF($M165&lt;&gt;"",$M165,IF($AF165&lt;&gt;"",IF(LEFT(INDEX(파견수련계획!$R$4:$R$203,$AF165),1)&lt;&gt;"⚠",INDEX(파견수련계획!$R$4:$R$203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파견수련계획!$Y$4:$Y$203,0),IFERROR(MATCH(TRIM($J165&amp;"")&amp;"|파견예정",파견수련계획!$Y$4:$Y$203,0),IFERROR(MATCH(TRIM($J165&amp;"")&amp;"|파견종료",파견수련계획!$Y$4:$Y$203,0),""))))</f>
        <v/>
      </c>
      <c r="AG165" s="10">
        <f>IF($B165="","",IF(AND(IF(OR($AC165="",인턴현황!$K$2=""),"",INDEX(인턴근무계획!$M$3:$R$202,$AC165,인턴현황!$K$2)&amp;"")&lt;&gt;"",LEFT(IF(OR($AC165="",인턴현황!$K$2=""),"",INDEX(인턴근무계획!$M$3:$R$202,$AC165,인턴현황!$K$2)&amp;""),1)&lt;&gt;"⚠"),LEFT(IF(OR($AC165="",인턴현황!$K$2=""),"",INDEX(인턴근무계획!$M$3:$R$202,$AC165,인턴현황!$K$2)&amp;""),FIND(" ",IF(OR($AC165="",인턴현황!$K$2=""),"",INDEX(인턴근무계획!$M$3:$R$202,$AC165,인턴현황!$K$2)&amp;""))-1),$AE165))</f>
        <v/>
      </c>
      <c r="AH165" s="17">
        <f>IF($B165="","",IF(TRIM($J165&amp;"")="",0,SUMPRODUCT((파견수련계획!$Q$4:$Q$203=TRIM($J165&amp;""))*(파견수련계획!$S$4:$S$203="서울병원")*파견수련계획!$W$4:$W$203))+IF($AG165="서울병원",MAX(0,DAY(EOMONTH(요약!$B$3,0))-N($X165)),0))</f>
        <v/>
      </c>
      <c r="AI165" s="17">
        <f>IF($B165="","",IF(TRIM($J165&amp;"")="",0,SUMPRODUCT((파견수련계획!$Q$4:$Q$203=TRIM($J165&amp;""))*(파견수련계획!$S$4:$S$203="구리병원")*파견수련계획!$W$4:$W$203))+IF($AG165="구리병원",MAX(0,DAY(EOMONTH(요약!$B$3,0))-N($X165)),0))</f>
        <v/>
      </c>
      <c r="AJ165" s="10">
        <f>IF(OR($B165="",TRIM($J165&amp;"")=""),"",IFERROR(MATCH(TRIM($J165&amp;"")&amp;"|월",파견수련계획!$Z$4:$Z$203,0),""))</f>
        <v/>
      </c>
      <c r="AK165" s="10">
        <f>IF(OR($B165="",TRIM($J165&amp;"")=""),"",IFERROR(MATCH(TRIM($J165&amp;"")&amp;"|다기관",파견수련계획!$AE$4:$AE$203,0),""))</f>
        <v/>
      </c>
      <c r="AL165" s="10">
        <f>IF($AK165="","","다기관 "&amp;TEXT(INDEX(파견수련계획!$AB$4:$AB$203,$AK165),"yyyy-mm-dd")&amp;"~"&amp;IF(ISNUMBER(INDEX(파견수련계획!$AC$4:$AC$203,$AK165)),TEXT(INDEX(파견수련계획!$AC$4:$AC$203,$AK165),"yyyy-mm-dd"),""))</f>
        <v/>
      </c>
    </row>
    <row r="166">
      <c r="A166" s="10">
        <f>IF(B166="","",ROW()-1)</f>
        <v/>
      </c>
      <c r="B166" s="18" t="n"/>
      <c r="C166" s="10">
        <f>IF($AB166="","",IF(INDEX(기본자료!$C$2:$C$501,$AB166)="","",INDEX(기본자료!$C$2:$C$501,$AB166)))</f>
        <v/>
      </c>
      <c r="D166" s="10">
        <f>IF($AB166="","",IF(INDEX(기본자료!$J$2:$J$501,$AB166)="","",INDEX(기본자료!$J$2:$J$501,$AB166)))</f>
        <v/>
      </c>
      <c r="E166" s="11">
        <f>IF($AB166="","",IF(INDEX(기본자료!$K$2:$K$501,$AB166)="","",IF(NOT(ISNUMBER(INDEX(기본자료!$K$2:$K$501,$AB166))),INDEX(기본자료!$K$2:$K$501,$AB166),IF(INDEX(기본자료!$K$2:$K$501,$AB166)&lt;1000000,INDEX(기본자료!$K$2:$K$501,$AB166),IF(AND(INDEX(기본자료!$K$2:$K$501,$AB166)&gt;=10000101,INT(MOD(INDEX(기본자료!$K$2:$K$501,$AB166),10000)/100)&gt;=1,INT(MOD(INDEX(기본자료!$K$2:$K$501,$AB166),10000)/100)&lt;=12,MOD(INDEX(기본자료!$K$2:$K$501,$AB166),100)&gt;=1,MOD(INDEX(기본자료!$K$2:$K$501,$AB166),100)&lt;=31),DATE(INT(INDEX(기본자료!$K$2:$K$501,$AB166)/10000),INT(MOD(INDEX(기본자료!$K$2:$K$501,$AB166),10000)/100),MOD(INDEX(기본자료!$K$2:$K$501,$AB166),100)),INDEX(기본자료!$K$2:$K$501,$AB166)&amp;"")))))</f>
        <v/>
      </c>
      <c r="F166" s="10">
        <f>IF($AB166="","",IF(INDEX(기본자료!$D$2:$D$501,$AB166)="","",INDEX(기본자료!$D$2:$D$501,$AB166)))</f>
        <v/>
      </c>
      <c r="G166" s="10">
        <f>IF($AB166="","",IF(INDEX(기본자료!$E$2:$E$501,$AB166)="","",INDEX(기본자료!$E$2:$E$501,$AB166)))</f>
        <v/>
      </c>
      <c r="H166" s="10">
        <f>IF($AB166="","",IF(INDEX(기본자료!$F$2:$F$501,$AB166)="","",INDEX(기본자료!$F$2:$F$501,$AB166)))</f>
        <v/>
      </c>
      <c r="I166" s="11">
        <f>IF($AB166="","",IF(INDEX(기본자료!$G$2:$G$501,$AB166)="","",IF(NOT(ISNUMBER(INDEX(기본자료!$G$2:$G$501,$AB166))),INDEX(기본자료!$G$2:$G$501,$AB166),IF(INDEX(기본자료!$G$2:$G$501,$AB166)&lt;1000000,INDEX(기본자료!$G$2:$G$501,$AB166),IF(AND(INDEX(기본자료!$G$2:$G$501,$AB166)&gt;=10000101,INT(MOD(INDEX(기본자료!$G$2:$G$501,$AB166),10000)/100)&gt;=1,INT(MOD(INDEX(기본자료!$G$2:$G$501,$AB166),10000)/100)&lt;=12,MOD(INDEX(기본자료!$G$2:$G$501,$AB166),100)&gt;=1,MOD(INDEX(기본자료!$G$2:$G$501,$AB166),100)&lt;=31),DATE(INT(INDEX(기본자료!$G$2:$G$501,$AB166)/10000),INT(MOD(INDEX(기본자료!$G$2:$G$501,$AB166),10000)/100),MOD(INDEX(기본자료!$G$2:$G$501,$AB166),100)),INDEX(기본자료!$G$2:$G$501,$AB166)&amp;"")))))</f>
        <v/>
      </c>
      <c r="J166" s="10">
        <f>IF($AB166="","",IF(INDEX(기본자료!$H$2:$H$501,$AB166)="","",INDEX(기본자료!$H$2:$H$501,$AB166)))</f>
        <v/>
      </c>
      <c r="K166" s="10">
        <f>IF($AB166="","",IF(INDEX(기본자료!$I$2:$I$501,$AB166)="","",INDEX(기본자료!$I$2:$I$501,$AB166)))</f>
        <v/>
      </c>
      <c r="L166" s="10">
        <f>IF($AB166="","",IF(INDEX(기본자료!$A$2:$A$501,$AB166)="","",INDEX(기본자료!$A$2:$A$501,$AB166)))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파견수련계획!$AB$4:$AB$203,$AK166),OR(NOT(ISNUMBER(INDEX(파견수련계획!$AC$4:$AC$203,$AK166))),TODAY()&lt;=INDEX(파견수련계획!$AC$4:$AC$203,$AK166))),"다기관",IF($AF166="","",INDEX(파견수련계획!$T$4:$T$203,$AF166))),IF($AF166="","",INDEX(파견수련계획!$T$4:$T$203,$AF166))))</f>
        <v/>
      </c>
      <c r="Q166" s="10">
        <f>IF($AF166="","",INDEX(파견수련계획!$S$4:$S$203,$AF166))</f>
        <v/>
      </c>
      <c r="R166" s="10">
        <f>IF($AF166="","",INDEX(파견수련계획!$U$4:$U$203,$AF166))</f>
        <v/>
      </c>
      <c r="S166" s="11">
        <f>IF($AF166="","",IF(INDEX(파견수련계획!$H$4:$H$203,$AF166)="","",INDEX(파견수련계획!$H$4:$H$203,$AF166)))</f>
        <v/>
      </c>
      <c r="T166" s="11">
        <f>IF($AF166="","",IF(INDEX(파견수련계획!$I$4:$I$203,$AF166)="","",INDEX(파견수련계획!$I$4:$I$203,$AF166)))</f>
        <v/>
      </c>
      <c r="U166" s="10">
        <f>IF($AF166="","",INDEX(파견수련계획!$X$4:$X$203,$AF166))</f>
        <v/>
      </c>
      <c r="V166" s="17">
        <f>IF($AF166="","",INDEX(파견수련계획!$V$4:$V$203,$AF166))</f>
        <v/>
      </c>
      <c r="W166" s="17">
        <f>IF(AND($U166="파견중",$T166&lt;&gt;""),$T166-TODAY(),"")</f>
        <v/>
      </c>
      <c r="X166" s="17">
        <f>IF(OR($B166="",TRIM($J166&amp;"")=""),"",SUMPRODUCT((파견수련계획!$Q$4:$Q$203=TRIM($J166&amp;""))*파견수련계획!$W$4:$W$203))</f>
        <v/>
      </c>
      <c r="Y166" s="10">
        <f>IF($B166="","",IF($AG166="","",IF(IF(TRIM($J166&amp;"")="",0,SUMPRODUCT((파견수련계획!$Q$4:$Q$203=TRIM($J166&amp;""))*파견수련계획!$AD$4:$AD$203))&gt;0,$AE166,IF(N($X166)&lt;=0,$AG166,IF($AH166+$AI166=DAY(EOMONTH(요약!$B$3,0)),IF(AND($AH166&gt;=요약!$E$3,$AI166&lt;요약!$E$3),"서울병원",IF(AND($AI166&gt;=요약!$E$3,$AH166&lt;요약!$E$3),"구리병원","⚠15일 판정불가(서울 "&amp;$AH166&amp;"일/구리 "&amp;$AI166&amp;"일)")),IF($AJ166="",$AE166,IF(INDEX(파견수련계획!$T$4:$T$203,$AJ166)="통합수련",INDEX(파견수련계획!$S$4:$S$203,$AJ166),$AE166)))))))</f>
        <v/>
      </c>
      <c r="Z166" s="19">
        <f>IF($B166="","",IF($AB166="","기본자료에 없는 사번",IF(COUNTIF($B$2:$B$201,$B166)&gt;1,"중복 사번",IF($AE166="","소속(입사장소) 입력",IF(IF(TRIM($J166&amp;"")="",0,SUMPRODUCT((파견수련계획!$Q$4:$Q$203=TRIM($J166&amp;""))*(파견수련계획!$AA$4:$AA$203&lt;&gt;"")))&gt;0,"파견수련계획 입력오류 확인",IF(LEFT($Y166,1)="⚠","서울·구리 15일 판정 불가(양쪽 모두 이상/미만)",IF(IF($AC166="",0,N(INDEX(인턴근무계획!$T$3:$T$202,$AC166)))&gt;0,"인턴계획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IF($B166="","",IFERROR(MATCH($B166,기본자료!$B$2:$B$501,0),IFERROR(MATCH($B166&amp;"",기본자료!$B$2:$B$501,0),IFERROR(MATCH(VALUE($B166),기본자료!$B$2:$B$501,0),""))))</f>
        <v/>
      </c>
      <c r="AC166" s="10">
        <f>IF($B166="","",IFERROR(MATCH($B166,인턴근무계획!$D$3:$D$202,0),IFERROR(MATCH($B166&amp;"",인턴근무계획!$D$3:$D$202,0),IFERROR(MATCH(VALUE($B166),인턴근무계획!$D$3:$D$202,0),""))))</f>
        <v/>
      </c>
      <c r="AD166" s="10">
        <f>IF(OR($AC166="",인턴현황!$G$3=""),"",INDEX(인턴근무계획!$M$3:$R$202,$AC166,인턴현황!$G$3)&amp;"")</f>
        <v/>
      </c>
      <c r="AE166" s="10">
        <f>IF($B166="","",IF($M166&lt;&gt;"",$M166,IF($AF166&lt;&gt;"",IF(LEFT(INDEX(파견수련계획!$R$4:$R$203,$AF166),1)&lt;&gt;"⚠",INDEX(파견수련계획!$R$4:$R$203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파견수련계획!$Y$4:$Y$203,0),IFERROR(MATCH(TRIM($J166&amp;"")&amp;"|파견예정",파견수련계획!$Y$4:$Y$203,0),IFERROR(MATCH(TRIM($J166&amp;"")&amp;"|파견종료",파견수련계획!$Y$4:$Y$203,0),""))))</f>
        <v/>
      </c>
      <c r="AG166" s="10">
        <f>IF($B166="","",IF(AND(IF(OR($AC166="",인턴현황!$K$2=""),"",INDEX(인턴근무계획!$M$3:$R$202,$AC166,인턴현황!$K$2)&amp;"")&lt;&gt;"",LEFT(IF(OR($AC166="",인턴현황!$K$2=""),"",INDEX(인턴근무계획!$M$3:$R$202,$AC166,인턴현황!$K$2)&amp;""),1)&lt;&gt;"⚠"),LEFT(IF(OR($AC166="",인턴현황!$K$2=""),"",INDEX(인턴근무계획!$M$3:$R$202,$AC166,인턴현황!$K$2)&amp;""),FIND(" ",IF(OR($AC166="",인턴현황!$K$2=""),"",INDEX(인턴근무계획!$M$3:$R$202,$AC166,인턴현황!$K$2)&amp;""))-1),$AE166))</f>
        <v/>
      </c>
      <c r="AH166" s="17">
        <f>IF($B166="","",IF(TRIM($J166&amp;"")="",0,SUMPRODUCT((파견수련계획!$Q$4:$Q$203=TRIM($J166&amp;""))*(파견수련계획!$S$4:$S$203="서울병원")*파견수련계획!$W$4:$W$203))+IF($AG166="서울병원",MAX(0,DAY(EOMONTH(요약!$B$3,0))-N($X166)),0))</f>
        <v/>
      </c>
      <c r="AI166" s="17">
        <f>IF($B166="","",IF(TRIM($J166&amp;"")="",0,SUMPRODUCT((파견수련계획!$Q$4:$Q$203=TRIM($J166&amp;""))*(파견수련계획!$S$4:$S$203="구리병원")*파견수련계획!$W$4:$W$203))+IF($AG166="구리병원",MAX(0,DAY(EOMONTH(요약!$B$3,0))-N($X166)),0))</f>
        <v/>
      </c>
      <c r="AJ166" s="10">
        <f>IF(OR($B166="",TRIM($J166&amp;"")=""),"",IFERROR(MATCH(TRIM($J166&amp;"")&amp;"|월",파견수련계획!$Z$4:$Z$203,0),""))</f>
        <v/>
      </c>
      <c r="AK166" s="10">
        <f>IF(OR($B166="",TRIM($J166&amp;"")=""),"",IFERROR(MATCH(TRIM($J166&amp;"")&amp;"|다기관",파견수련계획!$AE$4:$AE$203,0),""))</f>
        <v/>
      </c>
      <c r="AL166" s="10">
        <f>IF($AK166="","","다기관 "&amp;TEXT(INDEX(파견수련계획!$AB$4:$AB$203,$AK166),"yyyy-mm-dd")&amp;"~"&amp;IF(ISNUMBER(INDEX(파견수련계획!$AC$4:$AC$203,$AK166)),TEXT(INDEX(파견수련계획!$AC$4:$AC$203,$AK166),"yyyy-mm-dd"),""))</f>
        <v/>
      </c>
    </row>
    <row r="167">
      <c r="A167" s="10">
        <f>IF(B167="","",ROW()-1)</f>
        <v/>
      </c>
      <c r="B167" s="18" t="n"/>
      <c r="C167" s="10">
        <f>IF($AB167="","",IF(INDEX(기본자료!$C$2:$C$501,$AB167)="","",INDEX(기본자료!$C$2:$C$501,$AB167)))</f>
        <v/>
      </c>
      <c r="D167" s="10">
        <f>IF($AB167="","",IF(INDEX(기본자료!$J$2:$J$501,$AB167)="","",INDEX(기본자료!$J$2:$J$501,$AB167)))</f>
        <v/>
      </c>
      <c r="E167" s="11">
        <f>IF($AB167="","",IF(INDEX(기본자료!$K$2:$K$501,$AB167)="","",IF(NOT(ISNUMBER(INDEX(기본자료!$K$2:$K$501,$AB167))),INDEX(기본자료!$K$2:$K$501,$AB167),IF(INDEX(기본자료!$K$2:$K$501,$AB167)&lt;1000000,INDEX(기본자료!$K$2:$K$501,$AB167),IF(AND(INDEX(기본자료!$K$2:$K$501,$AB167)&gt;=10000101,INT(MOD(INDEX(기본자료!$K$2:$K$501,$AB167),10000)/100)&gt;=1,INT(MOD(INDEX(기본자료!$K$2:$K$501,$AB167),10000)/100)&lt;=12,MOD(INDEX(기본자료!$K$2:$K$501,$AB167),100)&gt;=1,MOD(INDEX(기본자료!$K$2:$K$501,$AB167),100)&lt;=31),DATE(INT(INDEX(기본자료!$K$2:$K$501,$AB167)/10000),INT(MOD(INDEX(기본자료!$K$2:$K$501,$AB167),10000)/100),MOD(INDEX(기본자료!$K$2:$K$501,$AB167),100)),INDEX(기본자료!$K$2:$K$501,$AB167)&amp;"")))))</f>
        <v/>
      </c>
      <c r="F167" s="10">
        <f>IF($AB167="","",IF(INDEX(기본자료!$D$2:$D$501,$AB167)="","",INDEX(기본자료!$D$2:$D$501,$AB167)))</f>
        <v/>
      </c>
      <c r="G167" s="10">
        <f>IF($AB167="","",IF(INDEX(기본자료!$E$2:$E$501,$AB167)="","",INDEX(기본자료!$E$2:$E$501,$AB167)))</f>
        <v/>
      </c>
      <c r="H167" s="10">
        <f>IF($AB167="","",IF(INDEX(기본자료!$F$2:$F$501,$AB167)="","",INDEX(기본자료!$F$2:$F$501,$AB167)))</f>
        <v/>
      </c>
      <c r="I167" s="11">
        <f>IF($AB167="","",IF(INDEX(기본자료!$G$2:$G$501,$AB167)="","",IF(NOT(ISNUMBER(INDEX(기본자료!$G$2:$G$501,$AB167))),INDEX(기본자료!$G$2:$G$501,$AB167),IF(INDEX(기본자료!$G$2:$G$501,$AB167)&lt;1000000,INDEX(기본자료!$G$2:$G$501,$AB167),IF(AND(INDEX(기본자료!$G$2:$G$501,$AB167)&gt;=10000101,INT(MOD(INDEX(기본자료!$G$2:$G$501,$AB167),10000)/100)&gt;=1,INT(MOD(INDEX(기본자료!$G$2:$G$501,$AB167),10000)/100)&lt;=12,MOD(INDEX(기본자료!$G$2:$G$501,$AB167),100)&gt;=1,MOD(INDEX(기본자료!$G$2:$G$501,$AB167),100)&lt;=31),DATE(INT(INDEX(기본자료!$G$2:$G$501,$AB167)/10000),INT(MOD(INDEX(기본자료!$G$2:$G$501,$AB167),10000)/100),MOD(INDEX(기본자료!$G$2:$G$501,$AB167),100)),INDEX(기본자료!$G$2:$G$501,$AB167)&amp;"")))))</f>
        <v/>
      </c>
      <c r="J167" s="10">
        <f>IF($AB167="","",IF(INDEX(기본자료!$H$2:$H$501,$AB167)="","",INDEX(기본자료!$H$2:$H$501,$AB167)))</f>
        <v/>
      </c>
      <c r="K167" s="10">
        <f>IF($AB167="","",IF(INDEX(기본자료!$I$2:$I$501,$AB167)="","",INDEX(기본자료!$I$2:$I$501,$AB167)))</f>
        <v/>
      </c>
      <c r="L167" s="10">
        <f>IF($AB167="","",IF(INDEX(기본자료!$A$2:$A$501,$AB167)="","",INDEX(기본자료!$A$2:$A$501,$AB167)))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파견수련계획!$AB$4:$AB$203,$AK167),OR(NOT(ISNUMBER(INDEX(파견수련계획!$AC$4:$AC$203,$AK167))),TODAY()&lt;=INDEX(파견수련계획!$AC$4:$AC$203,$AK167))),"다기관",IF($AF167="","",INDEX(파견수련계획!$T$4:$T$203,$AF167))),IF($AF167="","",INDEX(파견수련계획!$T$4:$T$203,$AF167))))</f>
        <v/>
      </c>
      <c r="Q167" s="10">
        <f>IF($AF167="","",INDEX(파견수련계획!$S$4:$S$203,$AF167))</f>
        <v/>
      </c>
      <c r="R167" s="10">
        <f>IF($AF167="","",INDEX(파견수련계획!$U$4:$U$203,$AF167))</f>
        <v/>
      </c>
      <c r="S167" s="11">
        <f>IF($AF167="","",IF(INDEX(파견수련계획!$H$4:$H$203,$AF167)="","",INDEX(파견수련계획!$H$4:$H$203,$AF167)))</f>
        <v/>
      </c>
      <c r="T167" s="11">
        <f>IF($AF167="","",IF(INDEX(파견수련계획!$I$4:$I$203,$AF167)="","",INDEX(파견수련계획!$I$4:$I$203,$AF167)))</f>
        <v/>
      </c>
      <c r="U167" s="10">
        <f>IF($AF167="","",INDEX(파견수련계획!$X$4:$X$203,$AF167))</f>
        <v/>
      </c>
      <c r="V167" s="17">
        <f>IF($AF167="","",INDEX(파견수련계획!$V$4:$V$203,$AF167))</f>
        <v/>
      </c>
      <c r="W167" s="17">
        <f>IF(AND($U167="파견중",$T167&lt;&gt;""),$T167-TODAY(),"")</f>
        <v/>
      </c>
      <c r="X167" s="17">
        <f>IF(OR($B167="",TRIM($J167&amp;"")=""),"",SUMPRODUCT((파견수련계획!$Q$4:$Q$203=TRIM($J167&amp;""))*파견수련계획!$W$4:$W$203))</f>
        <v/>
      </c>
      <c r="Y167" s="10">
        <f>IF($B167="","",IF($AG167="","",IF(IF(TRIM($J167&amp;"")="",0,SUMPRODUCT((파견수련계획!$Q$4:$Q$203=TRIM($J167&amp;""))*파견수련계획!$AD$4:$AD$203))&gt;0,$AE167,IF(N($X167)&lt;=0,$AG167,IF($AH167+$AI167=DAY(EOMONTH(요약!$B$3,0)),IF(AND($AH167&gt;=요약!$E$3,$AI167&lt;요약!$E$3),"서울병원",IF(AND($AI167&gt;=요약!$E$3,$AH167&lt;요약!$E$3),"구리병원","⚠15일 판정불가(서울 "&amp;$AH167&amp;"일/구리 "&amp;$AI167&amp;"일)")),IF($AJ167="",$AE167,IF(INDEX(파견수련계획!$T$4:$T$203,$AJ167)="통합수련",INDEX(파견수련계획!$S$4:$S$203,$AJ167),$AE167)))))))</f>
        <v/>
      </c>
      <c r="Z167" s="19">
        <f>IF($B167="","",IF($AB167="","기본자료에 없는 사번",IF(COUNTIF($B$2:$B$201,$B167)&gt;1,"중복 사번",IF($AE167="","소속(입사장소) 입력",IF(IF(TRIM($J167&amp;"")="",0,SUMPRODUCT((파견수련계획!$Q$4:$Q$203=TRIM($J167&amp;""))*(파견수련계획!$AA$4:$AA$203&lt;&gt;"")))&gt;0,"파견수련계획 입력오류 확인",IF(LEFT($Y167,1)="⚠","서울·구리 15일 판정 불가(양쪽 모두 이상/미만)",IF(IF($AC167="",0,N(INDEX(인턴근무계획!$T$3:$T$202,$AC167)))&gt;0,"인턴계획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IF($B167="","",IFERROR(MATCH($B167,기본자료!$B$2:$B$501,0),IFERROR(MATCH($B167&amp;"",기본자료!$B$2:$B$501,0),IFERROR(MATCH(VALUE($B167),기본자료!$B$2:$B$501,0),""))))</f>
        <v/>
      </c>
      <c r="AC167" s="10">
        <f>IF($B167="","",IFERROR(MATCH($B167,인턴근무계획!$D$3:$D$202,0),IFERROR(MATCH($B167&amp;"",인턴근무계획!$D$3:$D$202,0),IFERROR(MATCH(VALUE($B167),인턴근무계획!$D$3:$D$202,0),""))))</f>
        <v/>
      </c>
      <c r="AD167" s="10">
        <f>IF(OR($AC167="",인턴현황!$G$3=""),"",INDEX(인턴근무계획!$M$3:$R$202,$AC167,인턴현황!$G$3)&amp;"")</f>
        <v/>
      </c>
      <c r="AE167" s="10">
        <f>IF($B167="","",IF($M167&lt;&gt;"",$M167,IF($AF167&lt;&gt;"",IF(LEFT(INDEX(파견수련계획!$R$4:$R$203,$AF167),1)&lt;&gt;"⚠",INDEX(파견수련계획!$R$4:$R$203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파견수련계획!$Y$4:$Y$203,0),IFERROR(MATCH(TRIM($J167&amp;"")&amp;"|파견예정",파견수련계획!$Y$4:$Y$203,0),IFERROR(MATCH(TRIM($J167&amp;"")&amp;"|파견종료",파견수련계획!$Y$4:$Y$203,0),""))))</f>
        <v/>
      </c>
      <c r="AG167" s="10">
        <f>IF($B167="","",IF(AND(IF(OR($AC167="",인턴현황!$K$2=""),"",INDEX(인턴근무계획!$M$3:$R$202,$AC167,인턴현황!$K$2)&amp;"")&lt;&gt;"",LEFT(IF(OR($AC167="",인턴현황!$K$2=""),"",INDEX(인턴근무계획!$M$3:$R$202,$AC167,인턴현황!$K$2)&amp;""),1)&lt;&gt;"⚠"),LEFT(IF(OR($AC167="",인턴현황!$K$2=""),"",INDEX(인턴근무계획!$M$3:$R$202,$AC167,인턴현황!$K$2)&amp;""),FIND(" ",IF(OR($AC167="",인턴현황!$K$2=""),"",INDEX(인턴근무계획!$M$3:$R$202,$AC167,인턴현황!$K$2)&amp;""))-1),$AE167))</f>
        <v/>
      </c>
      <c r="AH167" s="17">
        <f>IF($B167="","",IF(TRIM($J167&amp;"")="",0,SUMPRODUCT((파견수련계획!$Q$4:$Q$203=TRIM($J167&amp;""))*(파견수련계획!$S$4:$S$203="서울병원")*파견수련계획!$W$4:$W$203))+IF($AG167="서울병원",MAX(0,DAY(EOMONTH(요약!$B$3,0))-N($X167)),0))</f>
        <v/>
      </c>
      <c r="AI167" s="17">
        <f>IF($B167="","",IF(TRIM($J167&amp;"")="",0,SUMPRODUCT((파견수련계획!$Q$4:$Q$203=TRIM($J167&amp;""))*(파견수련계획!$S$4:$S$203="구리병원")*파견수련계획!$W$4:$W$203))+IF($AG167="구리병원",MAX(0,DAY(EOMONTH(요약!$B$3,0))-N($X167)),0))</f>
        <v/>
      </c>
      <c r="AJ167" s="10">
        <f>IF(OR($B167="",TRIM($J167&amp;"")=""),"",IFERROR(MATCH(TRIM($J167&amp;"")&amp;"|월",파견수련계획!$Z$4:$Z$203,0),""))</f>
        <v/>
      </c>
      <c r="AK167" s="10">
        <f>IF(OR($B167="",TRIM($J167&amp;"")=""),"",IFERROR(MATCH(TRIM($J167&amp;"")&amp;"|다기관",파견수련계획!$AE$4:$AE$203,0),""))</f>
        <v/>
      </c>
      <c r="AL167" s="10">
        <f>IF($AK167="","","다기관 "&amp;TEXT(INDEX(파견수련계획!$AB$4:$AB$203,$AK167),"yyyy-mm-dd")&amp;"~"&amp;IF(ISNUMBER(INDEX(파견수련계획!$AC$4:$AC$203,$AK167)),TEXT(INDEX(파견수련계획!$AC$4:$AC$203,$AK167),"yyyy-mm-dd"),""))</f>
        <v/>
      </c>
    </row>
    <row r="168">
      <c r="A168" s="10">
        <f>IF(B168="","",ROW()-1)</f>
        <v/>
      </c>
      <c r="B168" s="18" t="n"/>
      <c r="C168" s="10">
        <f>IF($AB168="","",IF(INDEX(기본자료!$C$2:$C$501,$AB168)="","",INDEX(기본자료!$C$2:$C$501,$AB168)))</f>
        <v/>
      </c>
      <c r="D168" s="10">
        <f>IF($AB168="","",IF(INDEX(기본자료!$J$2:$J$501,$AB168)="","",INDEX(기본자료!$J$2:$J$501,$AB168)))</f>
        <v/>
      </c>
      <c r="E168" s="11">
        <f>IF($AB168="","",IF(INDEX(기본자료!$K$2:$K$501,$AB168)="","",IF(NOT(ISNUMBER(INDEX(기본자료!$K$2:$K$501,$AB168))),INDEX(기본자료!$K$2:$K$501,$AB168),IF(INDEX(기본자료!$K$2:$K$501,$AB168)&lt;1000000,INDEX(기본자료!$K$2:$K$501,$AB168),IF(AND(INDEX(기본자료!$K$2:$K$501,$AB168)&gt;=10000101,INT(MOD(INDEX(기본자료!$K$2:$K$501,$AB168),10000)/100)&gt;=1,INT(MOD(INDEX(기본자료!$K$2:$K$501,$AB168),10000)/100)&lt;=12,MOD(INDEX(기본자료!$K$2:$K$501,$AB168),100)&gt;=1,MOD(INDEX(기본자료!$K$2:$K$501,$AB168),100)&lt;=31),DATE(INT(INDEX(기본자료!$K$2:$K$501,$AB168)/10000),INT(MOD(INDEX(기본자료!$K$2:$K$501,$AB168),10000)/100),MOD(INDEX(기본자료!$K$2:$K$501,$AB168),100)),INDEX(기본자료!$K$2:$K$501,$AB168)&amp;"")))))</f>
        <v/>
      </c>
      <c r="F168" s="10">
        <f>IF($AB168="","",IF(INDEX(기본자료!$D$2:$D$501,$AB168)="","",INDEX(기본자료!$D$2:$D$501,$AB168)))</f>
        <v/>
      </c>
      <c r="G168" s="10">
        <f>IF($AB168="","",IF(INDEX(기본자료!$E$2:$E$501,$AB168)="","",INDEX(기본자료!$E$2:$E$501,$AB168)))</f>
        <v/>
      </c>
      <c r="H168" s="10">
        <f>IF($AB168="","",IF(INDEX(기본자료!$F$2:$F$501,$AB168)="","",INDEX(기본자료!$F$2:$F$501,$AB168)))</f>
        <v/>
      </c>
      <c r="I168" s="11">
        <f>IF($AB168="","",IF(INDEX(기본자료!$G$2:$G$501,$AB168)="","",IF(NOT(ISNUMBER(INDEX(기본자료!$G$2:$G$501,$AB168))),INDEX(기본자료!$G$2:$G$501,$AB168),IF(INDEX(기본자료!$G$2:$G$501,$AB168)&lt;1000000,INDEX(기본자료!$G$2:$G$501,$AB168),IF(AND(INDEX(기본자료!$G$2:$G$501,$AB168)&gt;=10000101,INT(MOD(INDEX(기본자료!$G$2:$G$501,$AB168),10000)/100)&gt;=1,INT(MOD(INDEX(기본자료!$G$2:$G$501,$AB168),10000)/100)&lt;=12,MOD(INDEX(기본자료!$G$2:$G$501,$AB168),100)&gt;=1,MOD(INDEX(기본자료!$G$2:$G$501,$AB168),100)&lt;=31),DATE(INT(INDEX(기본자료!$G$2:$G$501,$AB168)/10000),INT(MOD(INDEX(기본자료!$G$2:$G$501,$AB168),10000)/100),MOD(INDEX(기본자료!$G$2:$G$501,$AB168),100)),INDEX(기본자료!$G$2:$G$501,$AB168)&amp;"")))))</f>
        <v/>
      </c>
      <c r="J168" s="10">
        <f>IF($AB168="","",IF(INDEX(기본자료!$H$2:$H$501,$AB168)="","",INDEX(기본자료!$H$2:$H$501,$AB168)))</f>
        <v/>
      </c>
      <c r="K168" s="10">
        <f>IF($AB168="","",IF(INDEX(기본자료!$I$2:$I$501,$AB168)="","",INDEX(기본자료!$I$2:$I$501,$AB168)))</f>
        <v/>
      </c>
      <c r="L168" s="10">
        <f>IF($AB168="","",IF(INDEX(기본자료!$A$2:$A$501,$AB168)="","",INDEX(기본자료!$A$2:$A$501,$AB168)))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파견수련계획!$AB$4:$AB$203,$AK168),OR(NOT(ISNUMBER(INDEX(파견수련계획!$AC$4:$AC$203,$AK168))),TODAY()&lt;=INDEX(파견수련계획!$AC$4:$AC$203,$AK168))),"다기관",IF($AF168="","",INDEX(파견수련계획!$T$4:$T$203,$AF168))),IF($AF168="","",INDEX(파견수련계획!$T$4:$T$203,$AF168))))</f>
        <v/>
      </c>
      <c r="Q168" s="10">
        <f>IF($AF168="","",INDEX(파견수련계획!$S$4:$S$203,$AF168))</f>
        <v/>
      </c>
      <c r="R168" s="10">
        <f>IF($AF168="","",INDEX(파견수련계획!$U$4:$U$203,$AF168))</f>
        <v/>
      </c>
      <c r="S168" s="11">
        <f>IF($AF168="","",IF(INDEX(파견수련계획!$H$4:$H$203,$AF168)="","",INDEX(파견수련계획!$H$4:$H$203,$AF168)))</f>
        <v/>
      </c>
      <c r="T168" s="11">
        <f>IF($AF168="","",IF(INDEX(파견수련계획!$I$4:$I$203,$AF168)="","",INDEX(파견수련계획!$I$4:$I$203,$AF168)))</f>
        <v/>
      </c>
      <c r="U168" s="10">
        <f>IF($AF168="","",INDEX(파견수련계획!$X$4:$X$203,$AF168))</f>
        <v/>
      </c>
      <c r="V168" s="17">
        <f>IF($AF168="","",INDEX(파견수련계획!$V$4:$V$203,$AF168))</f>
        <v/>
      </c>
      <c r="W168" s="17">
        <f>IF(AND($U168="파견중",$T168&lt;&gt;""),$T168-TODAY(),"")</f>
        <v/>
      </c>
      <c r="X168" s="17">
        <f>IF(OR($B168="",TRIM($J168&amp;"")=""),"",SUMPRODUCT((파견수련계획!$Q$4:$Q$203=TRIM($J168&amp;""))*파견수련계획!$W$4:$W$203))</f>
        <v/>
      </c>
      <c r="Y168" s="10">
        <f>IF($B168="","",IF($AG168="","",IF(IF(TRIM($J168&amp;"")="",0,SUMPRODUCT((파견수련계획!$Q$4:$Q$203=TRIM($J168&amp;""))*파견수련계획!$AD$4:$AD$203))&gt;0,$AE168,IF(N($X168)&lt;=0,$AG168,IF($AH168+$AI168=DAY(EOMONTH(요약!$B$3,0)),IF(AND($AH168&gt;=요약!$E$3,$AI168&lt;요약!$E$3),"서울병원",IF(AND($AI168&gt;=요약!$E$3,$AH168&lt;요약!$E$3),"구리병원","⚠15일 판정불가(서울 "&amp;$AH168&amp;"일/구리 "&amp;$AI168&amp;"일)")),IF($AJ168="",$AE168,IF(INDEX(파견수련계획!$T$4:$T$203,$AJ168)="통합수련",INDEX(파견수련계획!$S$4:$S$203,$AJ168),$AE168)))))))</f>
        <v/>
      </c>
      <c r="Z168" s="19">
        <f>IF($B168="","",IF($AB168="","기본자료에 없는 사번",IF(COUNTIF($B$2:$B$201,$B168)&gt;1,"중복 사번",IF($AE168="","소속(입사장소) 입력",IF(IF(TRIM($J168&amp;"")="",0,SUMPRODUCT((파견수련계획!$Q$4:$Q$203=TRIM($J168&amp;""))*(파견수련계획!$AA$4:$AA$203&lt;&gt;"")))&gt;0,"파견수련계획 입력오류 확인",IF(LEFT($Y168,1)="⚠","서울·구리 15일 판정 불가(양쪽 모두 이상/미만)",IF(IF($AC168="",0,N(INDEX(인턴근무계획!$T$3:$T$202,$AC168)))&gt;0,"인턴계획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IF($B168="","",IFERROR(MATCH($B168,기본자료!$B$2:$B$501,0),IFERROR(MATCH($B168&amp;"",기본자료!$B$2:$B$501,0),IFERROR(MATCH(VALUE($B168),기본자료!$B$2:$B$501,0),""))))</f>
        <v/>
      </c>
      <c r="AC168" s="10">
        <f>IF($B168="","",IFERROR(MATCH($B168,인턴근무계획!$D$3:$D$202,0),IFERROR(MATCH($B168&amp;"",인턴근무계획!$D$3:$D$202,0),IFERROR(MATCH(VALUE($B168),인턴근무계획!$D$3:$D$202,0),""))))</f>
        <v/>
      </c>
      <c r="AD168" s="10">
        <f>IF(OR($AC168="",인턴현황!$G$3=""),"",INDEX(인턴근무계획!$M$3:$R$202,$AC168,인턴현황!$G$3)&amp;"")</f>
        <v/>
      </c>
      <c r="AE168" s="10">
        <f>IF($B168="","",IF($M168&lt;&gt;"",$M168,IF($AF168&lt;&gt;"",IF(LEFT(INDEX(파견수련계획!$R$4:$R$203,$AF168),1)&lt;&gt;"⚠",INDEX(파견수련계획!$R$4:$R$203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파견수련계획!$Y$4:$Y$203,0),IFERROR(MATCH(TRIM($J168&amp;"")&amp;"|파견예정",파견수련계획!$Y$4:$Y$203,0),IFERROR(MATCH(TRIM($J168&amp;"")&amp;"|파견종료",파견수련계획!$Y$4:$Y$203,0),""))))</f>
        <v/>
      </c>
      <c r="AG168" s="10">
        <f>IF($B168="","",IF(AND(IF(OR($AC168="",인턴현황!$K$2=""),"",INDEX(인턴근무계획!$M$3:$R$202,$AC168,인턴현황!$K$2)&amp;"")&lt;&gt;"",LEFT(IF(OR($AC168="",인턴현황!$K$2=""),"",INDEX(인턴근무계획!$M$3:$R$202,$AC168,인턴현황!$K$2)&amp;""),1)&lt;&gt;"⚠"),LEFT(IF(OR($AC168="",인턴현황!$K$2=""),"",INDEX(인턴근무계획!$M$3:$R$202,$AC168,인턴현황!$K$2)&amp;""),FIND(" ",IF(OR($AC168="",인턴현황!$K$2=""),"",INDEX(인턴근무계획!$M$3:$R$202,$AC168,인턴현황!$K$2)&amp;""))-1),$AE168))</f>
        <v/>
      </c>
      <c r="AH168" s="17">
        <f>IF($B168="","",IF(TRIM($J168&amp;"")="",0,SUMPRODUCT((파견수련계획!$Q$4:$Q$203=TRIM($J168&amp;""))*(파견수련계획!$S$4:$S$203="서울병원")*파견수련계획!$W$4:$W$203))+IF($AG168="서울병원",MAX(0,DAY(EOMONTH(요약!$B$3,0))-N($X168)),0))</f>
        <v/>
      </c>
      <c r="AI168" s="17">
        <f>IF($B168="","",IF(TRIM($J168&amp;"")="",0,SUMPRODUCT((파견수련계획!$Q$4:$Q$203=TRIM($J168&amp;""))*(파견수련계획!$S$4:$S$203="구리병원")*파견수련계획!$W$4:$W$203))+IF($AG168="구리병원",MAX(0,DAY(EOMONTH(요약!$B$3,0))-N($X168)),0))</f>
        <v/>
      </c>
      <c r="AJ168" s="10">
        <f>IF(OR($B168="",TRIM($J168&amp;"")=""),"",IFERROR(MATCH(TRIM($J168&amp;"")&amp;"|월",파견수련계획!$Z$4:$Z$203,0),""))</f>
        <v/>
      </c>
      <c r="AK168" s="10">
        <f>IF(OR($B168="",TRIM($J168&amp;"")=""),"",IFERROR(MATCH(TRIM($J168&amp;"")&amp;"|다기관",파견수련계획!$AE$4:$AE$203,0),""))</f>
        <v/>
      </c>
      <c r="AL168" s="10">
        <f>IF($AK168="","","다기관 "&amp;TEXT(INDEX(파견수련계획!$AB$4:$AB$203,$AK168),"yyyy-mm-dd")&amp;"~"&amp;IF(ISNUMBER(INDEX(파견수련계획!$AC$4:$AC$203,$AK168)),TEXT(INDEX(파견수련계획!$AC$4:$AC$203,$AK168),"yyyy-mm-dd"),""))</f>
        <v/>
      </c>
    </row>
    <row r="169">
      <c r="A169" s="10">
        <f>IF(B169="","",ROW()-1)</f>
        <v/>
      </c>
      <c r="B169" s="18" t="n"/>
      <c r="C169" s="10">
        <f>IF($AB169="","",IF(INDEX(기본자료!$C$2:$C$501,$AB169)="","",INDEX(기본자료!$C$2:$C$501,$AB169)))</f>
        <v/>
      </c>
      <c r="D169" s="10">
        <f>IF($AB169="","",IF(INDEX(기본자료!$J$2:$J$501,$AB169)="","",INDEX(기본자료!$J$2:$J$501,$AB169)))</f>
        <v/>
      </c>
      <c r="E169" s="11">
        <f>IF($AB169="","",IF(INDEX(기본자료!$K$2:$K$501,$AB169)="","",IF(NOT(ISNUMBER(INDEX(기본자료!$K$2:$K$501,$AB169))),INDEX(기본자료!$K$2:$K$501,$AB169),IF(INDEX(기본자료!$K$2:$K$501,$AB169)&lt;1000000,INDEX(기본자료!$K$2:$K$501,$AB169),IF(AND(INDEX(기본자료!$K$2:$K$501,$AB169)&gt;=10000101,INT(MOD(INDEX(기본자료!$K$2:$K$501,$AB169),10000)/100)&gt;=1,INT(MOD(INDEX(기본자료!$K$2:$K$501,$AB169),10000)/100)&lt;=12,MOD(INDEX(기본자료!$K$2:$K$501,$AB169),100)&gt;=1,MOD(INDEX(기본자료!$K$2:$K$501,$AB169),100)&lt;=31),DATE(INT(INDEX(기본자료!$K$2:$K$501,$AB169)/10000),INT(MOD(INDEX(기본자료!$K$2:$K$501,$AB169),10000)/100),MOD(INDEX(기본자료!$K$2:$K$501,$AB169),100)),INDEX(기본자료!$K$2:$K$501,$AB169)&amp;"")))))</f>
        <v/>
      </c>
      <c r="F169" s="10">
        <f>IF($AB169="","",IF(INDEX(기본자료!$D$2:$D$501,$AB169)="","",INDEX(기본자료!$D$2:$D$501,$AB169)))</f>
        <v/>
      </c>
      <c r="G169" s="10">
        <f>IF($AB169="","",IF(INDEX(기본자료!$E$2:$E$501,$AB169)="","",INDEX(기본자료!$E$2:$E$501,$AB169)))</f>
        <v/>
      </c>
      <c r="H169" s="10">
        <f>IF($AB169="","",IF(INDEX(기본자료!$F$2:$F$501,$AB169)="","",INDEX(기본자료!$F$2:$F$501,$AB169)))</f>
        <v/>
      </c>
      <c r="I169" s="11">
        <f>IF($AB169="","",IF(INDEX(기본자료!$G$2:$G$501,$AB169)="","",IF(NOT(ISNUMBER(INDEX(기본자료!$G$2:$G$501,$AB169))),INDEX(기본자료!$G$2:$G$501,$AB169),IF(INDEX(기본자료!$G$2:$G$501,$AB169)&lt;1000000,INDEX(기본자료!$G$2:$G$501,$AB169),IF(AND(INDEX(기본자료!$G$2:$G$501,$AB169)&gt;=10000101,INT(MOD(INDEX(기본자료!$G$2:$G$501,$AB169),10000)/100)&gt;=1,INT(MOD(INDEX(기본자료!$G$2:$G$501,$AB169),10000)/100)&lt;=12,MOD(INDEX(기본자료!$G$2:$G$501,$AB169),100)&gt;=1,MOD(INDEX(기본자료!$G$2:$G$501,$AB169),100)&lt;=31),DATE(INT(INDEX(기본자료!$G$2:$G$501,$AB169)/10000),INT(MOD(INDEX(기본자료!$G$2:$G$501,$AB169),10000)/100),MOD(INDEX(기본자료!$G$2:$G$501,$AB169),100)),INDEX(기본자료!$G$2:$G$501,$AB169)&amp;"")))))</f>
        <v/>
      </c>
      <c r="J169" s="10">
        <f>IF($AB169="","",IF(INDEX(기본자료!$H$2:$H$501,$AB169)="","",INDEX(기본자료!$H$2:$H$501,$AB169)))</f>
        <v/>
      </c>
      <c r="K169" s="10">
        <f>IF($AB169="","",IF(INDEX(기본자료!$I$2:$I$501,$AB169)="","",INDEX(기본자료!$I$2:$I$501,$AB169)))</f>
        <v/>
      </c>
      <c r="L169" s="10">
        <f>IF($AB169="","",IF(INDEX(기본자료!$A$2:$A$501,$AB169)="","",INDEX(기본자료!$A$2:$A$501,$AB169)))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파견수련계획!$AB$4:$AB$203,$AK169),OR(NOT(ISNUMBER(INDEX(파견수련계획!$AC$4:$AC$203,$AK169))),TODAY()&lt;=INDEX(파견수련계획!$AC$4:$AC$203,$AK169))),"다기관",IF($AF169="","",INDEX(파견수련계획!$T$4:$T$203,$AF169))),IF($AF169="","",INDEX(파견수련계획!$T$4:$T$203,$AF169))))</f>
        <v/>
      </c>
      <c r="Q169" s="10">
        <f>IF($AF169="","",INDEX(파견수련계획!$S$4:$S$203,$AF169))</f>
        <v/>
      </c>
      <c r="R169" s="10">
        <f>IF($AF169="","",INDEX(파견수련계획!$U$4:$U$203,$AF169))</f>
        <v/>
      </c>
      <c r="S169" s="11">
        <f>IF($AF169="","",IF(INDEX(파견수련계획!$H$4:$H$203,$AF169)="","",INDEX(파견수련계획!$H$4:$H$203,$AF169)))</f>
        <v/>
      </c>
      <c r="T169" s="11">
        <f>IF($AF169="","",IF(INDEX(파견수련계획!$I$4:$I$203,$AF169)="","",INDEX(파견수련계획!$I$4:$I$203,$AF169)))</f>
        <v/>
      </c>
      <c r="U169" s="10">
        <f>IF($AF169="","",INDEX(파견수련계획!$X$4:$X$203,$AF169))</f>
        <v/>
      </c>
      <c r="V169" s="17">
        <f>IF($AF169="","",INDEX(파견수련계획!$V$4:$V$203,$AF169))</f>
        <v/>
      </c>
      <c r="W169" s="17">
        <f>IF(AND($U169="파견중",$T169&lt;&gt;""),$T169-TODAY(),"")</f>
        <v/>
      </c>
      <c r="X169" s="17">
        <f>IF(OR($B169="",TRIM($J169&amp;"")=""),"",SUMPRODUCT((파견수련계획!$Q$4:$Q$203=TRIM($J169&amp;""))*파견수련계획!$W$4:$W$203))</f>
        <v/>
      </c>
      <c r="Y169" s="10">
        <f>IF($B169="","",IF($AG169="","",IF(IF(TRIM($J169&amp;"")="",0,SUMPRODUCT((파견수련계획!$Q$4:$Q$203=TRIM($J169&amp;""))*파견수련계획!$AD$4:$AD$203))&gt;0,$AE169,IF(N($X169)&lt;=0,$AG169,IF($AH169+$AI169=DAY(EOMONTH(요약!$B$3,0)),IF(AND($AH169&gt;=요약!$E$3,$AI169&lt;요약!$E$3),"서울병원",IF(AND($AI169&gt;=요약!$E$3,$AH169&lt;요약!$E$3),"구리병원","⚠15일 판정불가(서울 "&amp;$AH169&amp;"일/구리 "&amp;$AI169&amp;"일)")),IF($AJ169="",$AE169,IF(INDEX(파견수련계획!$T$4:$T$203,$AJ169)="통합수련",INDEX(파견수련계획!$S$4:$S$203,$AJ169),$AE169)))))))</f>
        <v/>
      </c>
      <c r="Z169" s="19">
        <f>IF($B169="","",IF($AB169="","기본자료에 없는 사번",IF(COUNTIF($B$2:$B$201,$B169)&gt;1,"중복 사번",IF($AE169="","소속(입사장소) 입력",IF(IF(TRIM($J169&amp;"")="",0,SUMPRODUCT((파견수련계획!$Q$4:$Q$203=TRIM($J169&amp;""))*(파견수련계획!$AA$4:$AA$203&lt;&gt;"")))&gt;0,"파견수련계획 입력오류 확인",IF(LEFT($Y169,1)="⚠","서울·구리 15일 판정 불가(양쪽 모두 이상/미만)",IF(IF($AC169="",0,N(INDEX(인턴근무계획!$T$3:$T$202,$AC169)))&gt;0,"인턴계획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IF($B169="","",IFERROR(MATCH($B169,기본자료!$B$2:$B$501,0),IFERROR(MATCH($B169&amp;"",기본자료!$B$2:$B$501,0),IFERROR(MATCH(VALUE($B169),기본자료!$B$2:$B$501,0),""))))</f>
        <v/>
      </c>
      <c r="AC169" s="10">
        <f>IF($B169="","",IFERROR(MATCH($B169,인턴근무계획!$D$3:$D$202,0),IFERROR(MATCH($B169&amp;"",인턴근무계획!$D$3:$D$202,0),IFERROR(MATCH(VALUE($B169),인턴근무계획!$D$3:$D$202,0),""))))</f>
        <v/>
      </c>
      <c r="AD169" s="10">
        <f>IF(OR($AC169="",인턴현황!$G$3=""),"",INDEX(인턴근무계획!$M$3:$R$202,$AC169,인턴현황!$G$3)&amp;"")</f>
        <v/>
      </c>
      <c r="AE169" s="10">
        <f>IF($B169="","",IF($M169&lt;&gt;"",$M169,IF($AF169&lt;&gt;"",IF(LEFT(INDEX(파견수련계획!$R$4:$R$203,$AF169),1)&lt;&gt;"⚠",INDEX(파견수련계획!$R$4:$R$203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파견수련계획!$Y$4:$Y$203,0),IFERROR(MATCH(TRIM($J169&amp;"")&amp;"|파견예정",파견수련계획!$Y$4:$Y$203,0),IFERROR(MATCH(TRIM($J169&amp;"")&amp;"|파견종료",파견수련계획!$Y$4:$Y$203,0),""))))</f>
        <v/>
      </c>
      <c r="AG169" s="10">
        <f>IF($B169="","",IF(AND(IF(OR($AC169="",인턴현황!$K$2=""),"",INDEX(인턴근무계획!$M$3:$R$202,$AC169,인턴현황!$K$2)&amp;"")&lt;&gt;"",LEFT(IF(OR($AC169="",인턴현황!$K$2=""),"",INDEX(인턴근무계획!$M$3:$R$202,$AC169,인턴현황!$K$2)&amp;""),1)&lt;&gt;"⚠"),LEFT(IF(OR($AC169="",인턴현황!$K$2=""),"",INDEX(인턴근무계획!$M$3:$R$202,$AC169,인턴현황!$K$2)&amp;""),FIND(" ",IF(OR($AC169="",인턴현황!$K$2=""),"",INDEX(인턴근무계획!$M$3:$R$202,$AC169,인턴현황!$K$2)&amp;""))-1),$AE169))</f>
        <v/>
      </c>
      <c r="AH169" s="17">
        <f>IF($B169="","",IF(TRIM($J169&amp;"")="",0,SUMPRODUCT((파견수련계획!$Q$4:$Q$203=TRIM($J169&amp;""))*(파견수련계획!$S$4:$S$203="서울병원")*파견수련계획!$W$4:$W$203))+IF($AG169="서울병원",MAX(0,DAY(EOMONTH(요약!$B$3,0))-N($X169)),0))</f>
        <v/>
      </c>
      <c r="AI169" s="17">
        <f>IF($B169="","",IF(TRIM($J169&amp;"")="",0,SUMPRODUCT((파견수련계획!$Q$4:$Q$203=TRIM($J169&amp;""))*(파견수련계획!$S$4:$S$203="구리병원")*파견수련계획!$W$4:$W$203))+IF($AG169="구리병원",MAX(0,DAY(EOMONTH(요약!$B$3,0))-N($X169)),0))</f>
        <v/>
      </c>
      <c r="AJ169" s="10">
        <f>IF(OR($B169="",TRIM($J169&amp;"")=""),"",IFERROR(MATCH(TRIM($J169&amp;"")&amp;"|월",파견수련계획!$Z$4:$Z$203,0),""))</f>
        <v/>
      </c>
      <c r="AK169" s="10">
        <f>IF(OR($B169="",TRIM($J169&amp;"")=""),"",IFERROR(MATCH(TRIM($J169&amp;"")&amp;"|다기관",파견수련계획!$AE$4:$AE$203,0),""))</f>
        <v/>
      </c>
      <c r="AL169" s="10">
        <f>IF($AK169="","","다기관 "&amp;TEXT(INDEX(파견수련계획!$AB$4:$AB$203,$AK169),"yyyy-mm-dd")&amp;"~"&amp;IF(ISNUMBER(INDEX(파견수련계획!$AC$4:$AC$203,$AK169)),TEXT(INDEX(파견수련계획!$AC$4:$AC$203,$AK169),"yyyy-mm-dd"),""))</f>
        <v/>
      </c>
    </row>
    <row r="170">
      <c r="A170" s="10">
        <f>IF(B170="","",ROW()-1)</f>
        <v/>
      </c>
      <c r="B170" s="18" t="n"/>
      <c r="C170" s="10">
        <f>IF($AB170="","",IF(INDEX(기본자료!$C$2:$C$501,$AB170)="","",INDEX(기본자료!$C$2:$C$501,$AB170)))</f>
        <v/>
      </c>
      <c r="D170" s="10">
        <f>IF($AB170="","",IF(INDEX(기본자료!$J$2:$J$501,$AB170)="","",INDEX(기본자료!$J$2:$J$501,$AB170)))</f>
        <v/>
      </c>
      <c r="E170" s="11">
        <f>IF($AB170="","",IF(INDEX(기본자료!$K$2:$K$501,$AB170)="","",IF(NOT(ISNUMBER(INDEX(기본자료!$K$2:$K$501,$AB170))),INDEX(기본자료!$K$2:$K$501,$AB170),IF(INDEX(기본자료!$K$2:$K$501,$AB170)&lt;1000000,INDEX(기본자료!$K$2:$K$501,$AB170),IF(AND(INDEX(기본자료!$K$2:$K$501,$AB170)&gt;=10000101,INT(MOD(INDEX(기본자료!$K$2:$K$501,$AB170),10000)/100)&gt;=1,INT(MOD(INDEX(기본자료!$K$2:$K$501,$AB170),10000)/100)&lt;=12,MOD(INDEX(기본자료!$K$2:$K$501,$AB170),100)&gt;=1,MOD(INDEX(기본자료!$K$2:$K$501,$AB170),100)&lt;=31),DATE(INT(INDEX(기본자료!$K$2:$K$501,$AB170)/10000),INT(MOD(INDEX(기본자료!$K$2:$K$501,$AB170),10000)/100),MOD(INDEX(기본자료!$K$2:$K$501,$AB170),100)),INDEX(기본자료!$K$2:$K$501,$AB170)&amp;"")))))</f>
        <v/>
      </c>
      <c r="F170" s="10">
        <f>IF($AB170="","",IF(INDEX(기본자료!$D$2:$D$501,$AB170)="","",INDEX(기본자료!$D$2:$D$501,$AB170)))</f>
        <v/>
      </c>
      <c r="G170" s="10">
        <f>IF($AB170="","",IF(INDEX(기본자료!$E$2:$E$501,$AB170)="","",INDEX(기본자료!$E$2:$E$501,$AB170)))</f>
        <v/>
      </c>
      <c r="H170" s="10">
        <f>IF($AB170="","",IF(INDEX(기본자료!$F$2:$F$501,$AB170)="","",INDEX(기본자료!$F$2:$F$501,$AB170)))</f>
        <v/>
      </c>
      <c r="I170" s="11">
        <f>IF($AB170="","",IF(INDEX(기본자료!$G$2:$G$501,$AB170)="","",IF(NOT(ISNUMBER(INDEX(기본자료!$G$2:$G$501,$AB170))),INDEX(기본자료!$G$2:$G$501,$AB170),IF(INDEX(기본자료!$G$2:$G$501,$AB170)&lt;1000000,INDEX(기본자료!$G$2:$G$501,$AB170),IF(AND(INDEX(기본자료!$G$2:$G$501,$AB170)&gt;=10000101,INT(MOD(INDEX(기본자료!$G$2:$G$501,$AB170),10000)/100)&gt;=1,INT(MOD(INDEX(기본자료!$G$2:$G$501,$AB170),10000)/100)&lt;=12,MOD(INDEX(기본자료!$G$2:$G$501,$AB170),100)&gt;=1,MOD(INDEX(기본자료!$G$2:$G$501,$AB170),100)&lt;=31),DATE(INT(INDEX(기본자료!$G$2:$G$501,$AB170)/10000),INT(MOD(INDEX(기본자료!$G$2:$G$501,$AB170),10000)/100),MOD(INDEX(기본자료!$G$2:$G$501,$AB170),100)),INDEX(기본자료!$G$2:$G$501,$AB170)&amp;"")))))</f>
        <v/>
      </c>
      <c r="J170" s="10">
        <f>IF($AB170="","",IF(INDEX(기본자료!$H$2:$H$501,$AB170)="","",INDEX(기본자료!$H$2:$H$501,$AB170)))</f>
        <v/>
      </c>
      <c r="K170" s="10">
        <f>IF($AB170="","",IF(INDEX(기본자료!$I$2:$I$501,$AB170)="","",INDEX(기본자료!$I$2:$I$501,$AB170)))</f>
        <v/>
      </c>
      <c r="L170" s="10">
        <f>IF($AB170="","",IF(INDEX(기본자료!$A$2:$A$501,$AB170)="","",INDEX(기본자료!$A$2:$A$501,$AB170)))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파견수련계획!$AB$4:$AB$203,$AK170),OR(NOT(ISNUMBER(INDEX(파견수련계획!$AC$4:$AC$203,$AK170))),TODAY()&lt;=INDEX(파견수련계획!$AC$4:$AC$203,$AK170))),"다기관",IF($AF170="","",INDEX(파견수련계획!$T$4:$T$203,$AF170))),IF($AF170="","",INDEX(파견수련계획!$T$4:$T$203,$AF170))))</f>
        <v/>
      </c>
      <c r="Q170" s="10">
        <f>IF($AF170="","",INDEX(파견수련계획!$S$4:$S$203,$AF170))</f>
        <v/>
      </c>
      <c r="R170" s="10">
        <f>IF($AF170="","",INDEX(파견수련계획!$U$4:$U$203,$AF170))</f>
        <v/>
      </c>
      <c r="S170" s="11">
        <f>IF($AF170="","",IF(INDEX(파견수련계획!$H$4:$H$203,$AF170)="","",INDEX(파견수련계획!$H$4:$H$203,$AF170)))</f>
        <v/>
      </c>
      <c r="T170" s="11">
        <f>IF($AF170="","",IF(INDEX(파견수련계획!$I$4:$I$203,$AF170)="","",INDEX(파견수련계획!$I$4:$I$203,$AF170)))</f>
        <v/>
      </c>
      <c r="U170" s="10">
        <f>IF($AF170="","",INDEX(파견수련계획!$X$4:$X$203,$AF170))</f>
        <v/>
      </c>
      <c r="V170" s="17">
        <f>IF($AF170="","",INDEX(파견수련계획!$V$4:$V$203,$AF170))</f>
        <v/>
      </c>
      <c r="W170" s="17">
        <f>IF(AND($U170="파견중",$T170&lt;&gt;""),$T170-TODAY(),"")</f>
        <v/>
      </c>
      <c r="X170" s="17">
        <f>IF(OR($B170="",TRIM($J170&amp;"")=""),"",SUMPRODUCT((파견수련계획!$Q$4:$Q$203=TRIM($J170&amp;""))*파견수련계획!$W$4:$W$203))</f>
        <v/>
      </c>
      <c r="Y170" s="10">
        <f>IF($B170="","",IF($AG170="","",IF(IF(TRIM($J170&amp;"")="",0,SUMPRODUCT((파견수련계획!$Q$4:$Q$203=TRIM($J170&amp;""))*파견수련계획!$AD$4:$AD$203))&gt;0,$AE170,IF(N($X170)&lt;=0,$AG170,IF($AH170+$AI170=DAY(EOMONTH(요약!$B$3,0)),IF(AND($AH170&gt;=요약!$E$3,$AI170&lt;요약!$E$3),"서울병원",IF(AND($AI170&gt;=요약!$E$3,$AH170&lt;요약!$E$3),"구리병원","⚠15일 판정불가(서울 "&amp;$AH170&amp;"일/구리 "&amp;$AI170&amp;"일)")),IF($AJ170="",$AE170,IF(INDEX(파견수련계획!$T$4:$T$203,$AJ170)="통합수련",INDEX(파견수련계획!$S$4:$S$203,$AJ170),$AE170)))))))</f>
        <v/>
      </c>
      <c r="Z170" s="19">
        <f>IF($B170="","",IF($AB170="","기본자료에 없는 사번",IF(COUNTIF($B$2:$B$201,$B170)&gt;1,"중복 사번",IF($AE170="","소속(입사장소) 입력",IF(IF(TRIM($J170&amp;"")="",0,SUMPRODUCT((파견수련계획!$Q$4:$Q$203=TRIM($J170&amp;""))*(파견수련계획!$AA$4:$AA$203&lt;&gt;"")))&gt;0,"파견수련계획 입력오류 확인",IF(LEFT($Y170,1)="⚠","서울·구리 15일 판정 불가(양쪽 모두 이상/미만)",IF(IF($AC170="",0,N(INDEX(인턴근무계획!$T$3:$T$202,$AC170)))&gt;0,"인턴계획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IF($B170="","",IFERROR(MATCH($B170,기본자료!$B$2:$B$501,0),IFERROR(MATCH($B170&amp;"",기본자료!$B$2:$B$501,0),IFERROR(MATCH(VALUE($B170),기본자료!$B$2:$B$501,0),""))))</f>
        <v/>
      </c>
      <c r="AC170" s="10">
        <f>IF($B170="","",IFERROR(MATCH($B170,인턴근무계획!$D$3:$D$202,0),IFERROR(MATCH($B170&amp;"",인턴근무계획!$D$3:$D$202,0),IFERROR(MATCH(VALUE($B170),인턴근무계획!$D$3:$D$202,0),""))))</f>
        <v/>
      </c>
      <c r="AD170" s="10">
        <f>IF(OR($AC170="",인턴현황!$G$3=""),"",INDEX(인턴근무계획!$M$3:$R$202,$AC170,인턴현황!$G$3)&amp;"")</f>
        <v/>
      </c>
      <c r="AE170" s="10">
        <f>IF($B170="","",IF($M170&lt;&gt;"",$M170,IF($AF170&lt;&gt;"",IF(LEFT(INDEX(파견수련계획!$R$4:$R$203,$AF170),1)&lt;&gt;"⚠",INDEX(파견수련계획!$R$4:$R$203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파견수련계획!$Y$4:$Y$203,0),IFERROR(MATCH(TRIM($J170&amp;"")&amp;"|파견예정",파견수련계획!$Y$4:$Y$203,0),IFERROR(MATCH(TRIM($J170&amp;"")&amp;"|파견종료",파견수련계획!$Y$4:$Y$203,0),""))))</f>
        <v/>
      </c>
      <c r="AG170" s="10">
        <f>IF($B170="","",IF(AND(IF(OR($AC170="",인턴현황!$K$2=""),"",INDEX(인턴근무계획!$M$3:$R$202,$AC170,인턴현황!$K$2)&amp;"")&lt;&gt;"",LEFT(IF(OR($AC170="",인턴현황!$K$2=""),"",INDEX(인턴근무계획!$M$3:$R$202,$AC170,인턴현황!$K$2)&amp;""),1)&lt;&gt;"⚠"),LEFT(IF(OR($AC170="",인턴현황!$K$2=""),"",INDEX(인턴근무계획!$M$3:$R$202,$AC170,인턴현황!$K$2)&amp;""),FIND(" ",IF(OR($AC170="",인턴현황!$K$2=""),"",INDEX(인턴근무계획!$M$3:$R$202,$AC170,인턴현황!$K$2)&amp;""))-1),$AE170))</f>
        <v/>
      </c>
      <c r="AH170" s="17">
        <f>IF($B170="","",IF(TRIM($J170&amp;"")="",0,SUMPRODUCT((파견수련계획!$Q$4:$Q$203=TRIM($J170&amp;""))*(파견수련계획!$S$4:$S$203="서울병원")*파견수련계획!$W$4:$W$203))+IF($AG170="서울병원",MAX(0,DAY(EOMONTH(요약!$B$3,0))-N($X170)),0))</f>
        <v/>
      </c>
      <c r="AI170" s="17">
        <f>IF($B170="","",IF(TRIM($J170&amp;"")="",0,SUMPRODUCT((파견수련계획!$Q$4:$Q$203=TRIM($J170&amp;""))*(파견수련계획!$S$4:$S$203="구리병원")*파견수련계획!$W$4:$W$203))+IF($AG170="구리병원",MAX(0,DAY(EOMONTH(요약!$B$3,0))-N($X170)),0))</f>
        <v/>
      </c>
      <c r="AJ170" s="10">
        <f>IF(OR($B170="",TRIM($J170&amp;"")=""),"",IFERROR(MATCH(TRIM($J170&amp;"")&amp;"|월",파견수련계획!$Z$4:$Z$203,0),""))</f>
        <v/>
      </c>
      <c r="AK170" s="10">
        <f>IF(OR($B170="",TRIM($J170&amp;"")=""),"",IFERROR(MATCH(TRIM($J170&amp;"")&amp;"|다기관",파견수련계획!$AE$4:$AE$203,0),""))</f>
        <v/>
      </c>
      <c r="AL170" s="10">
        <f>IF($AK170="","","다기관 "&amp;TEXT(INDEX(파견수련계획!$AB$4:$AB$203,$AK170),"yyyy-mm-dd")&amp;"~"&amp;IF(ISNUMBER(INDEX(파견수련계획!$AC$4:$AC$203,$AK170)),TEXT(INDEX(파견수련계획!$AC$4:$AC$203,$AK170),"yyyy-mm-dd"),""))</f>
        <v/>
      </c>
    </row>
    <row r="171">
      <c r="A171" s="10">
        <f>IF(B171="","",ROW()-1)</f>
        <v/>
      </c>
      <c r="B171" s="18" t="n"/>
      <c r="C171" s="10">
        <f>IF($AB171="","",IF(INDEX(기본자료!$C$2:$C$501,$AB171)="","",INDEX(기본자료!$C$2:$C$501,$AB171)))</f>
        <v/>
      </c>
      <c r="D171" s="10">
        <f>IF($AB171="","",IF(INDEX(기본자료!$J$2:$J$501,$AB171)="","",INDEX(기본자료!$J$2:$J$501,$AB171)))</f>
        <v/>
      </c>
      <c r="E171" s="11">
        <f>IF($AB171="","",IF(INDEX(기본자료!$K$2:$K$501,$AB171)="","",IF(NOT(ISNUMBER(INDEX(기본자료!$K$2:$K$501,$AB171))),INDEX(기본자료!$K$2:$K$501,$AB171),IF(INDEX(기본자료!$K$2:$K$501,$AB171)&lt;1000000,INDEX(기본자료!$K$2:$K$501,$AB171),IF(AND(INDEX(기본자료!$K$2:$K$501,$AB171)&gt;=10000101,INT(MOD(INDEX(기본자료!$K$2:$K$501,$AB171),10000)/100)&gt;=1,INT(MOD(INDEX(기본자료!$K$2:$K$501,$AB171),10000)/100)&lt;=12,MOD(INDEX(기본자료!$K$2:$K$501,$AB171),100)&gt;=1,MOD(INDEX(기본자료!$K$2:$K$501,$AB171),100)&lt;=31),DATE(INT(INDEX(기본자료!$K$2:$K$501,$AB171)/10000),INT(MOD(INDEX(기본자료!$K$2:$K$501,$AB171),10000)/100),MOD(INDEX(기본자료!$K$2:$K$501,$AB171),100)),INDEX(기본자료!$K$2:$K$501,$AB171)&amp;"")))))</f>
        <v/>
      </c>
      <c r="F171" s="10">
        <f>IF($AB171="","",IF(INDEX(기본자료!$D$2:$D$501,$AB171)="","",INDEX(기본자료!$D$2:$D$501,$AB171)))</f>
        <v/>
      </c>
      <c r="G171" s="10">
        <f>IF($AB171="","",IF(INDEX(기본자료!$E$2:$E$501,$AB171)="","",INDEX(기본자료!$E$2:$E$501,$AB171)))</f>
        <v/>
      </c>
      <c r="H171" s="10">
        <f>IF($AB171="","",IF(INDEX(기본자료!$F$2:$F$501,$AB171)="","",INDEX(기본자료!$F$2:$F$501,$AB171)))</f>
        <v/>
      </c>
      <c r="I171" s="11">
        <f>IF($AB171="","",IF(INDEX(기본자료!$G$2:$G$501,$AB171)="","",IF(NOT(ISNUMBER(INDEX(기본자료!$G$2:$G$501,$AB171))),INDEX(기본자료!$G$2:$G$501,$AB171),IF(INDEX(기본자료!$G$2:$G$501,$AB171)&lt;1000000,INDEX(기본자료!$G$2:$G$501,$AB171),IF(AND(INDEX(기본자료!$G$2:$G$501,$AB171)&gt;=10000101,INT(MOD(INDEX(기본자료!$G$2:$G$501,$AB171),10000)/100)&gt;=1,INT(MOD(INDEX(기본자료!$G$2:$G$501,$AB171),10000)/100)&lt;=12,MOD(INDEX(기본자료!$G$2:$G$501,$AB171),100)&gt;=1,MOD(INDEX(기본자료!$G$2:$G$501,$AB171),100)&lt;=31),DATE(INT(INDEX(기본자료!$G$2:$G$501,$AB171)/10000),INT(MOD(INDEX(기본자료!$G$2:$G$501,$AB171),10000)/100),MOD(INDEX(기본자료!$G$2:$G$501,$AB171),100)),INDEX(기본자료!$G$2:$G$501,$AB171)&amp;"")))))</f>
        <v/>
      </c>
      <c r="J171" s="10">
        <f>IF($AB171="","",IF(INDEX(기본자료!$H$2:$H$501,$AB171)="","",INDEX(기본자료!$H$2:$H$501,$AB171)))</f>
        <v/>
      </c>
      <c r="K171" s="10">
        <f>IF($AB171="","",IF(INDEX(기본자료!$I$2:$I$501,$AB171)="","",INDEX(기본자료!$I$2:$I$501,$AB171)))</f>
        <v/>
      </c>
      <c r="L171" s="10">
        <f>IF($AB171="","",IF(INDEX(기본자료!$A$2:$A$501,$AB171)="","",INDEX(기본자료!$A$2:$A$501,$AB171)))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파견수련계획!$AB$4:$AB$203,$AK171),OR(NOT(ISNUMBER(INDEX(파견수련계획!$AC$4:$AC$203,$AK171))),TODAY()&lt;=INDEX(파견수련계획!$AC$4:$AC$203,$AK171))),"다기관",IF($AF171="","",INDEX(파견수련계획!$T$4:$T$203,$AF171))),IF($AF171="","",INDEX(파견수련계획!$T$4:$T$203,$AF171))))</f>
        <v/>
      </c>
      <c r="Q171" s="10">
        <f>IF($AF171="","",INDEX(파견수련계획!$S$4:$S$203,$AF171))</f>
        <v/>
      </c>
      <c r="R171" s="10">
        <f>IF($AF171="","",INDEX(파견수련계획!$U$4:$U$203,$AF171))</f>
        <v/>
      </c>
      <c r="S171" s="11">
        <f>IF($AF171="","",IF(INDEX(파견수련계획!$H$4:$H$203,$AF171)="","",INDEX(파견수련계획!$H$4:$H$203,$AF171)))</f>
        <v/>
      </c>
      <c r="T171" s="11">
        <f>IF($AF171="","",IF(INDEX(파견수련계획!$I$4:$I$203,$AF171)="","",INDEX(파견수련계획!$I$4:$I$203,$AF171)))</f>
        <v/>
      </c>
      <c r="U171" s="10">
        <f>IF($AF171="","",INDEX(파견수련계획!$X$4:$X$203,$AF171))</f>
        <v/>
      </c>
      <c r="V171" s="17">
        <f>IF($AF171="","",INDEX(파견수련계획!$V$4:$V$203,$AF171))</f>
        <v/>
      </c>
      <c r="W171" s="17">
        <f>IF(AND($U171="파견중",$T171&lt;&gt;""),$T171-TODAY(),"")</f>
        <v/>
      </c>
      <c r="X171" s="17">
        <f>IF(OR($B171="",TRIM($J171&amp;"")=""),"",SUMPRODUCT((파견수련계획!$Q$4:$Q$203=TRIM($J171&amp;""))*파견수련계획!$W$4:$W$203))</f>
        <v/>
      </c>
      <c r="Y171" s="10">
        <f>IF($B171="","",IF($AG171="","",IF(IF(TRIM($J171&amp;"")="",0,SUMPRODUCT((파견수련계획!$Q$4:$Q$203=TRIM($J171&amp;""))*파견수련계획!$AD$4:$AD$203))&gt;0,$AE171,IF(N($X171)&lt;=0,$AG171,IF($AH171+$AI171=DAY(EOMONTH(요약!$B$3,0)),IF(AND($AH171&gt;=요약!$E$3,$AI171&lt;요약!$E$3),"서울병원",IF(AND($AI171&gt;=요약!$E$3,$AH171&lt;요약!$E$3),"구리병원","⚠15일 판정불가(서울 "&amp;$AH171&amp;"일/구리 "&amp;$AI171&amp;"일)")),IF($AJ171="",$AE171,IF(INDEX(파견수련계획!$T$4:$T$203,$AJ171)="통합수련",INDEX(파견수련계획!$S$4:$S$203,$AJ171),$AE171)))))))</f>
        <v/>
      </c>
      <c r="Z171" s="19">
        <f>IF($B171="","",IF($AB171="","기본자료에 없는 사번",IF(COUNTIF($B$2:$B$201,$B171)&gt;1,"중복 사번",IF($AE171="","소속(입사장소) 입력",IF(IF(TRIM($J171&amp;"")="",0,SUMPRODUCT((파견수련계획!$Q$4:$Q$203=TRIM($J171&amp;""))*(파견수련계획!$AA$4:$AA$203&lt;&gt;"")))&gt;0,"파견수련계획 입력오류 확인",IF(LEFT($Y171,1)="⚠","서울·구리 15일 판정 불가(양쪽 모두 이상/미만)",IF(IF($AC171="",0,N(INDEX(인턴근무계획!$T$3:$T$202,$AC171)))&gt;0,"인턴계획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IF($B171="","",IFERROR(MATCH($B171,기본자료!$B$2:$B$501,0),IFERROR(MATCH($B171&amp;"",기본자료!$B$2:$B$501,0),IFERROR(MATCH(VALUE($B171),기본자료!$B$2:$B$501,0),""))))</f>
        <v/>
      </c>
      <c r="AC171" s="10">
        <f>IF($B171="","",IFERROR(MATCH($B171,인턴근무계획!$D$3:$D$202,0),IFERROR(MATCH($B171&amp;"",인턴근무계획!$D$3:$D$202,0),IFERROR(MATCH(VALUE($B171),인턴근무계획!$D$3:$D$202,0),""))))</f>
        <v/>
      </c>
      <c r="AD171" s="10">
        <f>IF(OR($AC171="",인턴현황!$G$3=""),"",INDEX(인턴근무계획!$M$3:$R$202,$AC171,인턴현황!$G$3)&amp;"")</f>
        <v/>
      </c>
      <c r="AE171" s="10">
        <f>IF($B171="","",IF($M171&lt;&gt;"",$M171,IF($AF171&lt;&gt;"",IF(LEFT(INDEX(파견수련계획!$R$4:$R$203,$AF171),1)&lt;&gt;"⚠",INDEX(파견수련계획!$R$4:$R$203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파견수련계획!$Y$4:$Y$203,0),IFERROR(MATCH(TRIM($J171&amp;"")&amp;"|파견예정",파견수련계획!$Y$4:$Y$203,0),IFERROR(MATCH(TRIM($J171&amp;"")&amp;"|파견종료",파견수련계획!$Y$4:$Y$203,0),""))))</f>
        <v/>
      </c>
      <c r="AG171" s="10">
        <f>IF($B171="","",IF(AND(IF(OR($AC171="",인턴현황!$K$2=""),"",INDEX(인턴근무계획!$M$3:$R$202,$AC171,인턴현황!$K$2)&amp;"")&lt;&gt;"",LEFT(IF(OR($AC171="",인턴현황!$K$2=""),"",INDEX(인턴근무계획!$M$3:$R$202,$AC171,인턴현황!$K$2)&amp;""),1)&lt;&gt;"⚠"),LEFT(IF(OR($AC171="",인턴현황!$K$2=""),"",INDEX(인턴근무계획!$M$3:$R$202,$AC171,인턴현황!$K$2)&amp;""),FIND(" ",IF(OR($AC171="",인턴현황!$K$2=""),"",INDEX(인턴근무계획!$M$3:$R$202,$AC171,인턴현황!$K$2)&amp;""))-1),$AE171))</f>
        <v/>
      </c>
      <c r="AH171" s="17">
        <f>IF($B171="","",IF(TRIM($J171&amp;"")="",0,SUMPRODUCT((파견수련계획!$Q$4:$Q$203=TRIM($J171&amp;""))*(파견수련계획!$S$4:$S$203="서울병원")*파견수련계획!$W$4:$W$203))+IF($AG171="서울병원",MAX(0,DAY(EOMONTH(요약!$B$3,0))-N($X171)),0))</f>
        <v/>
      </c>
      <c r="AI171" s="17">
        <f>IF($B171="","",IF(TRIM($J171&amp;"")="",0,SUMPRODUCT((파견수련계획!$Q$4:$Q$203=TRIM($J171&amp;""))*(파견수련계획!$S$4:$S$203="구리병원")*파견수련계획!$W$4:$W$203))+IF($AG171="구리병원",MAX(0,DAY(EOMONTH(요약!$B$3,0))-N($X171)),0))</f>
        <v/>
      </c>
      <c r="AJ171" s="10">
        <f>IF(OR($B171="",TRIM($J171&amp;"")=""),"",IFERROR(MATCH(TRIM($J171&amp;"")&amp;"|월",파견수련계획!$Z$4:$Z$203,0),""))</f>
        <v/>
      </c>
      <c r="AK171" s="10">
        <f>IF(OR($B171="",TRIM($J171&amp;"")=""),"",IFERROR(MATCH(TRIM($J171&amp;"")&amp;"|다기관",파견수련계획!$AE$4:$AE$203,0),""))</f>
        <v/>
      </c>
      <c r="AL171" s="10">
        <f>IF($AK171="","","다기관 "&amp;TEXT(INDEX(파견수련계획!$AB$4:$AB$203,$AK171),"yyyy-mm-dd")&amp;"~"&amp;IF(ISNUMBER(INDEX(파견수련계획!$AC$4:$AC$203,$AK171)),TEXT(INDEX(파견수련계획!$AC$4:$AC$203,$AK171),"yyyy-mm-dd"),""))</f>
        <v/>
      </c>
    </row>
    <row r="172">
      <c r="A172" s="10">
        <f>IF(B172="","",ROW()-1)</f>
        <v/>
      </c>
      <c r="B172" s="18" t="n"/>
      <c r="C172" s="10">
        <f>IF($AB172="","",IF(INDEX(기본자료!$C$2:$C$501,$AB172)="","",INDEX(기본자료!$C$2:$C$501,$AB172)))</f>
        <v/>
      </c>
      <c r="D172" s="10">
        <f>IF($AB172="","",IF(INDEX(기본자료!$J$2:$J$501,$AB172)="","",INDEX(기본자료!$J$2:$J$501,$AB172)))</f>
        <v/>
      </c>
      <c r="E172" s="11">
        <f>IF($AB172="","",IF(INDEX(기본자료!$K$2:$K$501,$AB172)="","",IF(NOT(ISNUMBER(INDEX(기본자료!$K$2:$K$501,$AB172))),INDEX(기본자료!$K$2:$K$501,$AB172),IF(INDEX(기본자료!$K$2:$K$501,$AB172)&lt;1000000,INDEX(기본자료!$K$2:$K$501,$AB172),IF(AND(INDEX(기본자료!$K$2:$K$501,$AB172)&gt;=10000101,INT(MOD(INDEX(기본자료!$K$2:$K$501,$AB172),10000)/100)&gt;=1,INT(MOD(INDEX(기본자료!$K$2:$K$501,$AB172),10000)/100)&lt;=12,MOD(INDEX(기본자료!$K$2:$K$501,$AB172),100)&gt;=1,MOD(INDEX(기본자료!$K$2:$K$501,$AB172),100)&lt;=31),DATE(INT(INDEX(기본자료!$K$2:$K$501,$AB172)/10000),INT(MOD(INDEX(기본자료!$K$2:$K$501,$AB172),10000)/100),MOD(INDEX(기본자료!$K$2:$K$501,$AB172),100)),INDEX(기본자료!$K$2:$K$501,$AB172)&amp;"")))))</f>
        <v/>
      </c>
      <c r="F172" s="10">
        <f>IF($AB172="","",IF(INDEX(기본자료!$D$2:$D$501,$AB172)="","",INDEX(기본자료!$D$2:$D$501,$AB172)))</f>
        <v/>
      </c>
      <c r="G172" s="10">
        <f>IF($AB172="","",IF(INDEX(기본자료!$E$2:$E$501,$AB172)="","",INDEX(기본자료!$E$2:$E$501,$AB172)))</f>
        <v/>
      </c>
      <c r="H172" s="10">
        <f>IF($AB172="","",IF(INDEX(기본자료!$F$2:$F$501,$AB172)="","",INDEX(기본자료!$F$2:$F$501,$AB172)))</f>
        <v/>
      </c>
      <c r="I172" s="11">
        <f>IF($AB172="","",IF(INDEX(기본자료!$G$2:$G$501,$AB172)="","",IF(NOT(ISNUMBER(INDEX(기본자료!$G$2:$G$501,$AB172))),INDEX(기본자료!$G$2:$G$501,$AB172),IF(INDEX(기본자료!$G$2:$G$501,$AB172)&lt;1000000,INDEX(기본자료!$G$2:$G$501,$AB172),IF(AND(INDEX(기본자료!$G$2:$G$501,$AB172)&gt;=10000101,INT(MOD(INDEX(기본자료!$G$2:$G$501,$AB172),10000)/100)&gt;=1,INT(MOD(INDEX(기본자료!$G$2:$G$501,$AB172),10000)/100)&lt;=12,MOD(INDEX(기본자료!$G$2:$G$501,$AB172),100)&gt;=1,MOD(INDEX(기본자료!$G$2:$G$501,$AB172),100)&lt;=31),DATE(INT(INDEX(기본자료!$G$2:$G$501,$AB172)/10000),INT(MOD(INDEX(기본자료!$G$2:$G$501,$AB172),10000)/100),MOD(INDEX(기본자료!$G$2:$G$501,$AB172),100)),INDEX(기본자료!$G$2:$G$501,$AB172)&amp;"")))))</f>
        <v/>
      </c>
      <c r="J172" s="10">
        <f>IF($AB172="","",IF(INDEX(기본자료!$H$2:$H$501,$AB172)="","",INDEX(기본자료!$H$2:$H$501,$AB172)))</f>
        <v/>
      </c>
      <c r="K172" s="10">
        <f>IF($AB172="","",IF(INDEX(기본자료!$I$2:$I$501,$AB172)="","",INDEX(기본자료!$I$2:$I$501,$AB172)))</f>
        <v/>
      </c>
      <c r="L172" s="10">
        <f>IF($AB172="","",IF(INDEX(기본자료!$A$2:$A$501,$AB172)="","",INDEX(기본자료!$A$2:$A$501,$AB172)))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파견수련계획!$AB$4:$AB$203,$AK172),OR(NOT(ISNUMBER(INDEX(파견수련계획!$AC$4:$AC$203,$AK172))),TODAY()&lt;=INDEX(파견수련계획!$AC$4:$AC$203,$AK172))),"다기관",IF($AF172="","",INDEX(파견수련계획!$T$4:$T$203,$AF172))),IF($AF172="","",INDEX(파견수련계획!$T$4:$T$203,$AF172))))</f>
        <v/>
      </c>
      <c r="Q172" s="10">
        <f>IF($AF172="","",INDEX(파견수련계획!$S$4:$S$203,$AF172))</f>
        <v/>
      </c>
      <c r="R172" s="10">
        <f>IF($AF172="","",INDEX(파견수련계획!$U$4:$U$203,$AF172))</f>
        <v/>
      </c>
      <c r="S172" s="11">
        <f>IF($AF172="","",IF(INDEX(파견수련계획!$H$4:$H$203,$AF172)="","",INDEX(파견수련계획!$H$4:$H$203,$AF172)))</f>
        <v/>
      </c>
      <c r="T172" s="11">
        <f>IF($AF172="","",IF(INDEX(파견수련계획!$I$4:$I$203,$AF172)="","",INDEX(파견수련계획!$I$4:$I$203,$AF172)))</f>
        <v/>
      </c>
      <c r="U172" s="10">
        <f>IF($AF172="","",INDEX(파견수련계획!$X$4:$X$203,$AF172))</f>
        <v/>
      </c>
      <c r="V172" s="17">
        <f>IF($AF172="","",INDEX(파견수련계획!$V$4:$V$203,$AF172))</f>
        <v/>
      </c>
      <c r="W172" s="17">
        <f>IF(AND($U172="파견중",$T172&lt;&gt;""),$T172-TODAY(),"")</f>
        <v/>
      </c>
      <c r="X172" s="17">
        <f>IF(OR($B172="",TRIM($J172&amp;"")=""),"",SUMPRODUCT((파견수련계획!$Q$4:$Q$203=TRIM($J172&amp;""))*파견수련계획!$W$4:$W$203))</f>
        <v/>
      </c>
      <c r="Y172" s="10">
        <f>IF($B172="","",IF($AG172="","",IF(IF(TRIM($J172&amp;"")="",0,SUMPRODUCT((파견수련계획!$Q$4:$Q$203=TRIM($J172&amp;""))*파견수련계획!$AD$4:$AD$203))&gt;0,$AE172,IF(N($X172)&lt;=0,$AG172,IF($AH172+$AI172=DAY(EOMONTH(요약!$B$3,0)),IF(AND($AH172&gt;=요약!$E$3,$AI172&lt;요약!$E$3),"서울병원",IF(AND($AI172&gt;=요약!$E$3,$AH172&lt;요약!$E$3),"구리병원","⚠15일 판정불가(서울 "&amp;$AH172&amp;"일/구리 "&amp;$AI172&amp;"일)")),IF($AJ172="",$AE172,IF(INDEX(파견수련계획!$T$4:$T$203,$AJ172)="통합수련",INDEX(파견수련계획!$S$4:$S$203,$AJ172),$AE172)))))))</f>
        <v/>
      </c>
      <c r="Z172" s="19">
        <f>IF($B172="","",IF($AB172="","기본자료에 없는 사번",IF(COUNTIF($B$2:$B$201,$B172)&gt;1,"중복 사번",IF($AE172="","소속(입사장소) 입력",IF(IF(TRIM($J172&amp;"")="",0,SUMPRODUCT((파견수련계획!$Q$4:$Q$203=TRIM($J172&amp;""))*(파견수련계획!$AA$4:$AA$203&lt;&gt;"")))&gt;0,"파견수련계획 입력오류 확인",IF(LEFT($Y172,1)="⚠","서울·구리 15일 판정 불가(양쪽 모두 이상/미만)",IF(IF($AC172="",0,N(INDEX(인턴근무계획!$T$3:$T$202,$AC172)))&gt;0,"인턴계획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IF($B172="","",IFERROR(MATCH($B172,기본자료!$B$2:$B$501,0),IFERROR(MATCH($B172&amp;"",기본자료!$B$2:$B$501,0),IFERROR(MATCH(VALUE($B172),기본자료!$B$2:$B$501,0),""))))</f>
        <v/>
      </c>
      <c r="AC172" s="10">
        <f>IF($B172="","",IFERROR(MATCH($B172,인턴근무계획!$D$3:$D$202,0),IFERROR(MATCH($B172&amp;"",인턴근무계획!$D$3:$D$202,0),IFERROR(MATCH(VALUE($B172),인턴근무계획!$D$3:$D$202,0),""))))</f>
        <v/>
      </c>
      <c r="AD172" s="10">
        <f>IF(OR($AC172="",인턴현황!$G$3=""),"",INDEX(인턴근무계획!$M$3:$R$202,$AC172,인턴현황!$G$3)&amp;"")</f>
        <v/>
      </c>
      <c r="AE172" s="10">
        <f>IF($B172="","",IF($M172&lt;&gt;"",$M172,IF($AF172&lt;&gt;"",IF(LEFT(INDEX(파견수련계획!$R$4:$R$203,$AF172),1)&lt;&gt;"⚠",INDEX(파견수련계획!$R$4:$R$203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파견수련계획!$Y$4:$Y$203,0),IFERROR(MATCH(TRIM($J172&amp;"")&amp;"|파견예정",파견수련계획!$Y$4:$Y$203,0),IFERROR(MATCH(TRIM($J172&amp;"")&amp;"|파견종료",파견수련계획!$Y$4:$Y$203,0),""))))</f>
        <v/>
      </c>
      <c r="AG172" s="10">
        <f>IF($B172="","",IF(AND(IF(OR($AC172="",인턴현황!$K$2=""),"",INDEX(인턴근무계획!$M$3:$R$202,$AC172,인턴현황!$K$2)&amp;"")&lt;&gt;"",LEFT(IF(OR($AC172="",인턴현황!$K$2=""),"",INDEX(인턴근무계획!$M$3:$R$202,$AC172,인턴현황!$K$2)&amp;""),1)&lt;&gt;"⚠"),LEFT(IF(OR($AC172="",인턴현황!$K$2=""),"",INDEX(인턴근무계획!$M$3:$R$202,$AC172,인턴현황!$K$2)&amp;""),FIND(" ",IF(OR($AC172="",인턴현황!$K$2=""),"",INDEX(인턴근무계획!$M$3:$R$202,$AC172,인턴현황!$K$2)&amp;""))-1),$AE172))</f>
        <v/>
      </c>
      <c r="AH172" s="17">
        <f>IF($B172="","",IF(TRIM($J172&amp;"")="",0,SUMPRODUCT((파견수련계획!$Q$4:$Q$203=TRIM($J172&amp;""))*(파견수련계획!$S$4:$S$203="서울병원")*파견수련계획!$W$4:$W$203))+IF($AG172="서울병원",MAX(0,DAY(EOMONTH(요약!$B$3,0))-N($X172)),0))</f>
        <v/>
      </c>
      <c r="AI172" s="17">
        <f>IF($B172="","",IF(TRIM($J172&amp;"")="",0,SUMPRODUCT((파견수련계획!$Q$4:$Q$203=TRIM($J172&amp;""))*(파견수련계획!$S$4:$S$203="구리병원")*파견수련계획!$W$4:$W$203))+IF($AG172="구리병원",MAX(0,DAY(EOMONTH(요약!$B$3,0))-N($X172)),0))</f>
        <v/>
      </c>
      <c r="AJ172" s="10">
        <f>IF(OR($B172="",TRIM($J172&amp;"")=""),"",IFERROR(MATCH(TRIM($J172&amp;"")&amp;"|월",파견수련계획!$Z$4:$Z$203,0),""))</f>
        <v/>
      </c>
      <c r="AK172" s="10">
        <f>IF(OR($B172="",TRIM($J172&amp;"")=""),"",IFERROR(MATCH(TRIM($J172&amp;"")&amp;"|다기관",파견수련계획!$AE$4:$AE$203,0),""))</f>
        <v/>
      </c>
      <c r="AL172" s="10">
        <f>IF($AK172="","","다기관 "&amp;TEXT(INDEX(파견수련계획!$AB$4:$AB$203,$AK172),"yyyy-mm-dd")&amp;"~"&amp;IF(ISNUMBER(INDEX(파견수련계획!$AC$4:$AC$203,$AK172)),TEXT(INDEX(파견수련계획!$AC$4:$AC$203,$AK172),"yyyy-mm-dd"),""))</f>
        <v/>
      </c>
    </row>
    <row r="173">
      <c r="A173" s="10">
        <f>IF(B173="","",ROW()-1)</f>
        <v/>
      </c>
      <c r="B173" s="18" t="n"/>
      <c r="C173" s="10">
        <f>IF($AB173="","",IF(INDEX(기본자료!$C$2:$C$501,$AB173)="","",INDEX(기본자료!$C$2:$C$501,$AB173)))</f>
        <v/>
      </c>
      <c r="D173" s="10">
        <f>IF($AB173="","",IF(INDEX(기본자료!$J$2:$J$501,$AB173)="","",INDEX(기본자료!$J$2:$J$501,$AB173)))</f>
        <v/>
      </c>
      <c r="E173" s="11">
        <f>IF($AB173="","",IF(INDEX(기본자료!$K$2:$K$501,$AB173)="","",IF(NOT(ISNUMBER(INDEX(기본자료!$K$2:$K$501,$AB173))),INDEX(기본자료!$K$2:$K$501,$AB173),IF(INDEX(기본자료!$K$2:$K$501,$AB173)&lt;1000000,INDEX(기본자료!$K$2:$K$501,$AB173),IF(AND(INDEX(기본자료!$K$2:$K$501,$AB173)&gt;=10000101,INT(MOD(INDEX(기본자료!$K$2:$K$501,$AB173),10000)/100)&gt;=1,INT(MOD(INDEX(기본자료!$K$2:$K$501,$AB173),10000)/100)&lt;=12,MOD(INDEX(기본자료!$K$2:$K$501,$AB173),100)&gt;=1,MOD(INDEX(기본자료!$K$2:$K$501,$AB173),100)&lt;=31),DATE(INT(INDEX(기본자료!$K$2:$K$501,$AB173)/10000),INT(MOD(INDEX(기본자료!$K$2:$K$501,$AB173),10000)/100),MOD(INDEX(기본자료!$K$2:$K$501,$AB173),100)),INDEX(기본자료!$K$2:$K$501,$AB173)&amp;"")))))</f>
        <v/>
      </c>
      <c r="F173" s="10">
        <f>IF($AB173="","",IF(INDEX(기본자료!$D$2:$D$501,$AB173)="","",INDEX(기본자료!$D$2:$D$501,$AB173)))</f>
        <v/>
      </c>
      <c r="G173" s="10">
        <f>IF($AB173="","",IF(INDEX(기본자료!$E$2:$E$501,$AB173)="","",INDEX(기본자료!$E$2:$E$501,$AB173)))</f>
        <v/>
      </c>
      <c r="H173" s="10">
        <f>IF($AB173="","",IF(INDEX(기본자료!$F$2:$F$501,$AB173)="","",INDEX(기본자료!$F$2:$F$501,$AB173)))</f>
        <v/>
      </c>
      <c r="I173" s="11">
        <f>IF($AB173="","",IF(INDEX(기본자료!$G$2:$G$501,$AB173)="","",IF(NOT(ISNUMBER(INDEX(기본자료!$G$2:$G$501,$AB173))),INDEX(기본자료!$G$2:$G$501,$AB173),IF(INDEX(기본자료!$G$2:$G$501,$AB173)&lt;1000000,INDEX(기본자료!$G$2:$G$501,$AB173),IF(AND(INDEX(기본자료!$G$2:$G$501,$AB173)&gt;=10000101,INT(MOD(INDEX(기본자료!$G$2:$G$501,$AB173),10000)/100)&gt;=1,INT(MOD(INDEX(기본자료!$G$2:$G$501,$AB173),10000)/100)&lt;=12,MOD(INDEX(기본자료!$G$2:$G$501,$AB173),100)&gt;=1,MOD(INDEX(기본자료!$G$2:$G$501,$AB173),100)&lt;=31),DATE(INT(INDEX(기본자료!$G$2:$G$501,$AB173)/10000),INT(MOD(INDEX(기본자료!$G$2:$G$501,$AB173),10000)/100),MOD(INDEX(기본자료!$G$2:$G$501,$AB173),100)),INDEX(기본자료!$G$2:$G$501,$AB173)&amp;"")))))</f>
        <v/>
      </c>
      <c r="J173" s="10">
        <f>IF($AB173="","",IF(INDEX(기본자료!$H$2:$H$501,$AB173)="","",INDEX(기본자료!$H$2:$H$501,$AB173)))</f>
        <v/>
      </c>
      <c r="K173" s="10">
        <f>IF($AB173="","",IF(INDEX(기본자료!$I$2:$I$501,$AB173)="","",INDEX(기본자료!$I$2:$I$501,$AB173)))</f>
        <v/>
      </c>
      <c r="L173" s="10">
        <f>IF($AB173="","",IF(INDEX(기본자료!$A$2:$A$501,$AB173)="","",INDEX(기본자료!$A$2:$A$501,$AB173)))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파견수련계획!$AB$4:$AB$203,$AK173),OR(NOT(ISNUMBER(INDEX(파견수련계획!$AC$4:$AC$203,$AK173))),TODAY()&lt;=INDEX(파견수련계획!$AC$4:$AC$203,$AK173))),"다기관",IF($AF173="","",INDEX(파견수련계획!$T$4:$T$203,$AF173))),IF($AF173="","",INDEX(파견수련계획!$T$4:$T$203,$AF173))))</f>
        <v/>
      </c>
      <c r="Q173" s="10">
        <f>IF($AF173="","",INDEX(파견수련계획!$S$4:$S$203,$AF173))</f>
        <v/>
      </c>
      <c r="R173" s="10">
        <f>IF($AF173="","",INDEX(파견수련계획!$U$4:$U$203,$AF173))</f>
        <v/>
      </c>
      <c r="S173" s="11">
        <f>IF($AF173="","",IF(INDEX(파견수련계획!$H$4:$H$203,$AF173)="","",INDEX(파견수련계획!$H$4:$H$203,$AF173)))</f>
        <v/>
      </c>
      <c r="T173" s="11">
        <f>IF($AF173="","",IF(INDEX(파견수련계획!$I$4:$I$203,$AF173)="","",INDEX(파견수련계획!$I$4:$I$203,$AF173)))</f>
        <v/>
      </c>
      <c r="U173" s="10">
        <f>IF($AF173="","",INDEX(파견수련계획!$X$4:$X$203,$AF173))</f>
        <v/>
      </c>
      <c r="V173" s="17">
        <f>IF($AF173="","",INDEX(파견수련계획!$V$4:$V$203,$AF173))</f>
        <v/>
      </c>
      <c r="W173" s="17">
        <f>IF(AND($U173="파견중",$T173&lt;&gt;""),$T173-TODAY(),"")</f>
        <v/>
      </c>
      <c r="X173" s="17">
        <f>IF(OR($B173="",TRIM($J173&amp;"")=""),"",SUMPRODUCT((파견수련계획!$Q$4:$Q$203=TRIM($J173&amp;""))*파견수련계획!$W$4:$W$203))</f>
        <v/>
      </c>
      <c r="Y173" s="10">
        <f>IF($B173="","",IF($AG173="","",IF(IF(TRIM($J173&amp;"")="",0,SUMPRODUCT((파견수련계획!$Q$4:$Q$203=TRIM($J173&amp;""))*파견수련계획!$AD$4:$AD$203))&gt;0,$AE173,IF(N($X173)&lt;=0,$AG173,IF($AH173+$AI173=DAY(EOMONTH(요약!$B$3,0)),IF(AND($AH173&gt;=요약!$E$3,$AI173&lt;요약!$E$3),"서울병원",IF(AND($AI173&gt;=요약!$E$3,$AH173&lt;요약!$E$3),"구리병원","⚠15일 판정불가(서울 "&amp;$AH173&amp;"일/구리 "&amp;$AI173&amp;"일)")),IF($AJ173="",$AE173,IF(INDEX(파견수련계획!$T$4:$T$203,$AJ173)="통합수련",INDEX(파견수련계획!$S$4:$S$203,$AJ173),$AE173)))))))</f>
        <v/>
      </c>
      <c r="Z173" s="19">
        <f>IF($B173="","",IF($AB173="","기본자료에 없는 사번",IF(COUNTIF($B$2:$B$201,$B173)&gt;1,"중복 사번",IF($AE173="","소속(입사장소) 입력",IF(IF(TRIM($J173&amp;"")="",0,SUMPRODUCT((파견수련계획!$Q$4:$Q$203=TRIM($J173&amp;""))*(파견수련계획!$AA$4:$AA$203&lt;&gt;"")))&gt;0,"파견수련계획 입력오류 확인",IF(LEFT($Y173,1)="⚠","서울·구리 15일 판정 불가(양쪽 모두 이상/미만)",IF(IF($AC173="",0,N(INDEX(인턴근무계획!$T$3:$T$202,$AC173)))&gt;0,"인턴계획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IF($B173="","",IFERROR(MATCH($B173,기본자료!$B$2:$B$501,0),IFERROR(MATCH($B173&amp;"",기본자료!$B$2:$B$501,0),IFERROR(MATCH(VALUE($B173),기본자료!$B$2:$B$501,0),""))))</f>
        <v/>
      </c>
      <c r="AC173" s="10">
        <f>IF($B173="","",IFERROR(MATCH($B173,인턴근무계획!$D$3:$D$202,0),IFERROR(MATCH($B173&amp;"",인턴근무계획!$D$3:$D$202,0),IFERROR(MATCH(VALUE($B173),인턴근무계획!$D$3:$D$202,0),""))))</f>
        <v/>
      </c>
      <c r="AD173" s="10">
        <f>IF(OR($AC173="",인턴현황!$G$3=""),"",INDEX(인턴근무계획!$M$3:$R$202,$AC173,인턴현황!$G$3)&amp;"")</f>
        <v/>
      </c>
      <c r="AE173" s="10">
        <f>IF($B173="","",IF($M173&lt;&gt;"",$M173,IF($AF173&lt;&gt;"",IF(LEFT(INDEX(파견수련계획!$R$4:$R$203,$AF173),1)&lt;&gt;"⚠",INDEX(파견수련계획!$R$4:$R$203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파견수련계획!$Y$4:$Y$203,0),IFERROR(MATCH(TRIM($J173&amp;"")&amp;"|파견예정",파견수련계획!$Y$4:$Y$203,0),IFERROR(MATCH(TRIM($J173&amp;"")&amp;"|파견종료",파견수련계획!$Y$4:$Y$203,0),""))))</f>
        <v/>
      </c>
      <c r="AG173" s="10">
        <f>IF($B173="","",IF(AND(IF(OR($AC173="",인턴현황!$K$2=""),"",INDEX(인턴근무계획!$M$3:$R$202,$AC173,인턴현황!$K$2)&amp;"")&lt;&gt;"",LEFT(IF(OR($AC173="",인턴현황!$K$2=""),"",INDEX(인턴근무계획!$M$3:$R$202,$AC173,인턴현황!$K$2)&amp;""),1)&lt;&gt;"⚠"),LEFT(IF(OR($AC173="",인턴현황!$K$2=""),"",INDEX(인턴근무계획!$M$3:$R$202,$AC173,인턴현황!$K$2)&amp;""),FIND(" ",IF(OR($AC173="",인턴현황!$K$2=""),"",INDEX(인턴근무계획!$M$3:$R$202,$AC173,인턴현황!$K$2)&amp;""))-1),$AE173))</f>
        <v/>
      </c>
      <c r="AH173" s="17">
        <f>IF($B173="","",IF(TRIM($J173&amp;"")="",0,SUMPRODUCT((파견수련계획!$Q$4:$Q$203=TRIM($J173&amp;""))*(파견수련계획!$S$4:$S$203="서울병원")*파견수련계획!$W$4:$W$203))+IF($AG173="서울병원",MAX(0,DAY(EOMONTH(요약!$B$3,0))-N($X173)),0))</f>
        <v/>
      </c>
      <c r="AI173" s="17">
        <f>IF($B173="","",IF(TRIM($J173&amp;"")="",0,SUMPRODUCT((파견수련계획!$Q$4:$Q$203=TRIM($J173&amp;""))*(파견수련계획!$S$4:$S$203="구리병원")*파견수련계획!$W$4:$W$203))+IF($AG173="구리병원",MAX(0,DAY(EOMONTH(요약!$B$3,0))-N($X173)),0))</f>
        <v/>
      </c>
      <c r="AJ173" s="10">
        <f>IF(OR($B173="",TRIM($J173&amp;"")=""),"",IFERROR(MATCH(TRIM($J173&amp;"")&amp;"|월",파견수련계획!$Z$4:$Z$203,0),""))</f>
        <v/>
      </c>
      <c r="AK173" s="10">
        <f>IF(OR($B173="",TRIM($J173&amp;"")=""),"",IFERROR(MATCH(TRIM($J173&amp;"")&amp;"|다기관",파견수련계획!$AE$4:$AE$203,0),""))</f>
        <v/>
      </c>
      <c r="AL173" s="10">
        <f>IF($AK173="","","다기관 "&amp;TEXT(INDEX(파견수련계획!$AB$4:$AB$203,$AK173),"yyyy-mm-dd")&amp;"~"&amp;IF(ISNUMBER(INDEX(파견수련계획!$AC$4:$AC$203,$AK173)),TEXT(INDEX(파견수련계획!$AC$4:$AC$203,$AK173),"yyyy-mm-dd"),""))</f>
        <v/>
      </c>
    </row>
    <row r="174">
      <c r="A174" s="10">
        <f>IF(B174="","",ROW()-1)</f>
        <v/>
      </c>
      <c r="B174" s="18" t="n"/>
      <c r="C174" s="10">
        <f>IF($AB174="","",IF(INDEX(기본자료!$C$2:$C$501,$AB174)="","",INDEX(기본자료!$C$2:$C$501,$AB174)))</f>
        <v/>
      </c>
      <c r="D174" s="10">
        <f>IF($AB174="","",IF(INDEX(기본자료!$J$2:$J$501,$AB174)="","",INDEX(기본자료!$J$2:$J$501,$AB174)))</f>
        <v/>
      </c>
      <c r="E174" s="11">
        <f>IF($AB174="","",IF(INDEX(기본자료!$K$2:$K$501,$AB174)="","",IF(NOT(ISNUMBER(INDEX(기본자료!$K$2:$K$501,$AB174))),INDEX(기본자료!$K$2:$K$501,$AB174),IF(INDEX(기본자료!$K$2:$K$501,$AB174)&lt;1000000,INDEX(기본자료!$K$2:$K$501,$AB174),IF(AND(INDEX(기본자료!$K$2:$K$501,$AB174)&gt;=10000101,INT(MOD(INDEX(기본자료!$K$2:$K$501,$AB174),10000)/100)&gt;=1,INT(MOD(INDEX(기본자료!$K$2:$K$501,$AB174),10000)/100)&lt;=12,MOD(INDEX(기본자료!$K$2:$K$501,$AB174),100)&gt;=1,MOD(INDEX(기본자료!$K$2:$K$501,$AB174),100)&lt;=31),DATE(INT(INDEX(기본자료!$K$2:$K$501,$AB174)/10000),INT(MOD(INDEX(기본자료!$K$2:$K$501,$AB174),10000)/100),MOD(INDEX(기본자료!$K$2:$K$501,$AB174),100)),INDEX(기본자료!$K$2:$K$501,$AB174)&amp;"")))))</f>
        <v/>
      </c>
      <c r="F174" s="10">
        <f>IF($AB174="","",IF(INDEX(기본자료!$D$2:$D$501,$AB174)="","",INDEX(기본자료!$D$2:$D$501,$AB174)))</f>
        <v/>
      </c>
      <c r="G174" s="10">
        <f>IF($AB174="","",IF(INDEX(기본자료!$E$2:$E$501,$AB174)="","",INDEX(기본자료!$E$2:$E$501,$AB174)))</f>
        <v/>
      </c>
      <c r="H174" s="10">
        <f>IF($AB174="","",IF(INDEX(기본자료!$F$2:$F$501,$AB174)="","",INDEX(기본자료!$F$2:$F$501,$AB174)))</f>
        <v/>
      </c>
      <c r="I174" s="11">
        <f>IF($AB174="","",IF(INDEX(기본자료!$G$2:$G$501,$AB174)="","",IF(NOT(ISNUMBER(INDEX(기본자료!$G$2:$G$501,$AB174))),INDEX(기본자료!$G$2:$G$501,$AB174),IF(INDEX(기본자료!$G$2:$G$501,$AB174)&lt;1000000,INDEX(기본자료!$G$2:$G$501,$AB174),IF(AND(INDEX(기본자료!$G$2:$G$501,$AB174)&gt;=10000101,INT(MOD(INDEX(기본자료!$G$2:$G$501,$AB174),10000)/100)&gt;=1,INT(MOD(INDEX(기본자료!$G$2:$G$501,$AB174),10000)/100)&lt;=12,MOD(INDEX(기본자료!$G$2:$G$501,$AB174),100)&gt;=1,MOD(INDEX(기본자료!$G$2:$G$501,$AB174),100)&lt;=31),DATE(INT(INDEX(기본자료!$G$2:$G$501,$AB174)/10000),INT(MOD(INDEX(기본자료!$G$2:$G$501,$AB174),10000)/100),MOD(INDEX(기본자료!$G$2:$G$501,$AB174),100)),INDEX(기본자료!$G$2:$G$501,$AB174)&amp;"")))))</f>
        <v/>
      </c>
      <c r="J174" s="10">
        <f>IF($AB174="","",IF(INDEX(기본자료!$H$2:$H$501,$AB174)="","",INDEX(기본자료!$H$2:$H$501,$AB174)))</f>
        <v/>
      </c>
      <c r="K174" s="10">
        <f>IF($AB174="","",IF(INDEX(기본자료!$I$2:$I$501,$AB174)="","",INDEX(기본자료!$I$2:$I$501,$AB174)))</f>
        <v/>
      </c>
      <c r="L174" s="10">
        <f>IF($AB174="","",IF(INDEX(기본자료!$A$2:$A$501,$AB174)="","",INDEX(기본자료!$A$2:$A$501,$AB174)))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파견수련계획!$AB$4:$AB$203,$AK174),OR(NOT(ISNUMBER(INDEX(파견수련계획!$AC$4:$AC$203,$AK174))),TODAY()&lt;=INDEX(파견수련계획!$AC$4:$AC$203,$AK174))),"다기관",IF($AF174="","",INDEX(파견수련계획!$T$4:$T$203,$AF174))),IF($AF174="","",INDEX(파견수련계획!$T$4:$T$203,$AF174))))</f>
        <v/>
      </c>
      <c r="Q174" s="10">
        <f>IF($AF174="","",INDEX(파견수련계획!$S$4:$S$203,$AF174))</f>
        <v/>
      </c>
      <c r="R174" s="10">
        <f>IF($AF174="","",INDEX(파견수련계획!$U$4:$U$203,$AF174))</f>
        <v/>
      </c>
      <c r="S174" s="11">
        <f>IF($AF174="","",IF(INDEX(파견수련계획!$H$4:$H$203,$AF174)="","",INDEX(파견수련계획!$H$4:$H$203,$AF174)))</f>
        <v/>
      </c>
      <c r="T174" s="11">
        <f>IF($AF174="","",IF(INDEX(파견수련계획!$I$4:$I$203,$AF174)="","",INDEX(파견수련계획!$I$4:$I$203,$AF174)))</f>
        <v/>
      </c>
      <c r="U174" s="10">
        <f>IF($AF174="","",INDEX(파견수련계획!$X$4:$X$203,$AF174))</f>
        <v/>
      </c>
      <c r="V174" s="17">
        <f>IF($AF174="","",INDEX(파견수련계획!$V$4:$V$203,$AF174))</f>
        <v/>
      </c>
      <c r="W174" s="17">
        <f>IF(AND($U174="파견중",$T174&lt;&gt;""),$T174-TODAY(),"")</f>
        <v/>
      </c>
      <c r="X174" s="17">
        <f>IF(OR($B174="",TRIM($J174&amp;"")=""),"",SUMPRODUCT((파견수련계획!$Q$4:$Q$203=TRIM($J174&amp;""))*파견수련계획!$W$4:$W$203))</f>
        <v/>
      </c>
      <c r="Y174" s="10">
        <f>IF($B174="","",IF($AG174="","",IF(IF(TRIM($J174&amp;"")="",0,SUMPRODUCT((파견수련계획!$Q$4:$Q$203=TRIM($J174&amp;""))*파견수련계획!$AD$4:$AD$203))&gt;0,$AE174,IF(N($X174)&lt;=0,$AG174,IF($AH174+$AI174=DAY(EOMONTH(요약!$B$3,0)),IF(AND($AH174&gt;=요약!$E$3,$AI174&lt;요약!$E$3),"서울병원",IF(AND($AI174&gt;=요약!$E$3,$AH174&lt;요약!$E$3),"구리병원","⚠15일 판정불가(서울 "&amp;$AH174&amp;"일/구리 "&amp;$AI174&amp;"일)")),IF($AJ174="",$AE174,IF(INDEX(파견수련계획!$T$4:$T$203,$AJ174)="통합수련",INDEX(파견수련계획!$S$4:$S$203,$AJ174),$AE174)))))))</f>
        <v/>
      </c>
      <c r="Z174" s="19">
        <f>IF($B174="","",IF($AB174="","기본자료에 없는 사번",IF(COUNTIF($B$2:$B$201,$B174)&gt;1,"중복 사번",IF($AE174="","소속(입사장소) 입력",IF(IF(TRIM($J174&amp;"")="",0,SUMPRODUCT((파견수련계획!$Q$4:$Q$203=TRIM($J174&amp;""))*(파견수련계획!$AA$4:$AA$203&lt;&gt;"")))&gt;0,"파견수련계획 입력오류 확인",IF(LEFT($Y174,1)="⚠","서울·구리 15일 판정 불가(양쪽 모두 이상/미만)",IF(IF($AC174="",0,N(INDEX(인턴근무계획!$T$3:$T$202,$AC174)))&gt;0,"인턴계획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IF($B174="","",IFERROR(MATCH($B174,기본자료!$B$2:$B$501,0),IFERROR(MATCH($B174&amp;"",기본자료!$B$2:$B$501,0),IFERROR(MATCH(VALUE($B174),기본자료!$B$2:$B$501,0),""))))</f>
        <v/>
      </c>
      <c r="AC174" s="10">
        <f>IF($B174="","",IFERROR(MATCH($B174,인턴근무계획!$D$3:$D$202,0),IFERROR(MATCH($B174&amp;"",인턴근무계획!$D$3:$D$202,0),IFERROR(MATCH(VALUE($B174),인턴근무계획!$D$3:$D$202,0),""))))</f>
        <v/>
      </c>
      <c r="AD174" s="10">
        <f>IF(OR($AC174="",인턴현황!$G$3=""),"",INDEX(인턴근무계획!$M$3:$R$202,$AC174,인턴현황!$G$3)&amp;"")</f>
        <v/>
      </c>
      <c r="AE174" s="10">
        <f>IF($B174="","",IF($M174&lt;&gt;"",$M174,IF($AF174&lt;&gt;"",IF(LEFT(INDEX(파견수련계획!$R$4:$R$203,$AF174),1)&lt;&gt;"⚠",INDEX(파견수련계획!$R$4:$R$203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파견수련계획!$Y$4:$Y$203,0),IFERROR(MATCH(TRIM($J174&amp;"")&amp;"|파견예정",파견수련계획!$Y$4:$Y$203,0),IFERROR(MATCH(TRIM($J174&amp;"")&amp;"|파견종료",파견수련계획!$Y$4:$Y$203,0),""))))</f>
        <v/>
      </c>
      <c r="AG174" s="10">
        <f>IF($B174="","",IF(AND(IF(OR($AC174="",인턴현황!$K$2=""),"",INDEX(인턴근무계획!$M$3:$R$202,$AC174,인턴현황!$K$2)&amp;"")&lt;&gt;"",LEFT(IF(OR($AC174="",인턴현황!$K$2=""),"",INDEX(인턴근무계획!$M$3:$R$202,$AC174,인턴현황!$K$2)&amp;""),1)&lt;&gt;"⚠"),LEFT(IF(OR($AC174="",인턴현황!$K$2=""),"",INDEX(인턴근무계획!$M$3:$R$202,$AC174,인턴현황!$K$2)&amp;""),FIND(" ",IF(OR($AC174="",인턴현황!$K$2=""),"",INDEX(인턴근무계획!$M$3:$R$202,$AC174,인턴현황!$K$2)&amp;""))-1),$AE174))</f>
        <v/>
      </c>
      <c r="AH174" s="17">
        <f>IF($B174="","",IF(TRIM($J174&amp;"")="",0,SUMPRODUCT((파견수련계획!$Q$4:$Q$203=TRIM($J174&amp;""))*(파견수련계획!$S$4:$S$203="서울병원")*파견수련계획!$W$4:$W$203))+IF($AG174="서울병원",MAX(0,DAY(EOMONTH(요약!$B$3,0))-N($X174)),0))</f>
        <v/>
      </c>
      <c r="AI174" s="17">
        <f>IF($B174="","",IF(TRIM($J174&amp;"")="",0,SUMPRODUCT((파견수련계획!$Q$4:$Q$203=TRIM($J174&amp;""))*(파견수련계획!$S$4:$S$203="구리병원")*파견수련계획!$W$4:$W$203))+IF($AG174="구리병원",MAX(0,DAY(EOMONTH(요약!$B$3,0))-N($X174)),0))</f>
        <v/>
      </c>
      <c r="AJ174" s="10">
        <f>IF(OR($B174="",TRIM($J174&amp;"")=""),"",IFERROR(MATCH(TRIM($J174&amp;"")&amp;"|월",파견수련계획!$Z$4:$Z$203,0),""))</f>
        <v/>
      </c>
      <c r="AK174" s="10">
        <f>IF(OR($B174="",TRIM($J174&amp;"")=""),"",IFERROR(MATCH(TRIM($J174&amp;"")&amp;"|다기관",파견수련계획!$AE$4:$AE$203,0),""))</f>
        <v/>
      </c>
      <c r="AL174" s="10">
        <f>IF($AK174="","","다기관 "&amp;TEXT(INDEX(파견수련계획!$AB$4:$AB$203,$AK174),"yyyy-mm-dd")&amp;"~"&amp;IF(ISNUMBER(INDEX(파견수련계획!$AC$4:$AC$203,$AK174)),TEXT(INDEX(파견수련계획!$AC$4:$AC$203,$AK174),"yyyy-mm-dd"),""))</f>
        <v/>
      </c>
    </row>
    <row r="175">
      <c r="A175" s="10">
        <f>IF(B175="","",ROW()-1)</f>
        <v/>
      </c>
      <c r="B175" s="18" t="n"/>
      <c r="C175" s="10">
        <f>IF($AB175="","",IF(INDEX(기본자료!$C$2:$C$501,$AB175)="","",INDEX(기본자료!$C$2:$C$501,$AB175)))</f>
        <v/>
      </c>
      <c r="D175" s="10">
        <f>IF($AB175="","",IF(INDEX(기본자료!$J$2:$J$501,$AB175)="","",INDEX(기본자료!$J$2:$J$501,$AB175)))</f>
        <v/>
      </c>
      <c r="E175" s="11">
        <f>IF($AB175="","",IF(INDEX(기본자료!$K$2:$K$501,$AB175)="","",IF(NOT(ISNUMBER(INDEX(기본자료!$K$2:$K$501,$AB175))),INDEX(기본자료!$K$2:$K$501,$AB175),IF(INDEX(기본자료!$K$2:$K$501,$AB175)&lt;1000000,INDEX(기본자료!$K$2:$K$501,$AB175),IF(AND(INDEX(기본자료!$K$2:$K$501,$AB175)&gt;=10000101,INT(MOD(INDEX(기본자료!$K$2:$K$501,$AB175),10000)/100)&gt;=1,INT(MOD(INDEX(기본자료!$K$2:$K$501,$AB175),10000)/100)&lt;=12,MOD(INDEX(기본자료!$K$2:$K$501,$AB175),100)&gt;=1,MOD(INDEX(기본자료!$K$2:$K$501,$AB175),100)&lt;=31),DATE(INT(INDEX(기본자료!$K$2:$K$501,$AB175)/10000),INT(MOD(INDEX(기본자료!$K$2:$K$501,$AB175),10000)/100),MOD(INDEX(기본자료!$K$2:$K$501,$AB175),100)),INDEX(기본자료!$K$2:$K$501,$AB175)&amp;"")))))</f>
        <v/>
      </c>
      <c r="F175" s="10">
        <f>IF($AB175="","",IF(INDEX(기본자료!$D$2:$D$501,$AB175)="","",INDEX(기본자료!$D$2:$D$501,$AB175)))</f>
        <v/>
      </c>
      <c r="G175" s="10">
        <f>IF($AB175="","",IF(INDEX(기본자료!$E$2:$E$501,$AB175)="","",INDEX(기본자료!$E$2:$E$501,$AB175)))</f>
        <v/>
      </c>
      <c r="H175" s="10">
        <f>IF($AB175="","",IF(INDEX(기본자료!$F$2:$F$501,$AB175)="","",INDEX(기본자료!$F$2:$F$501,$AB175)))</f>
        <v/>
      </c>
      <c r="I175" s="11">
        <f>IF($AB175="","",IF(INDEX(기본자료!$G$2:$G$501,$AB175)="","",IF(NOT(ISNUMBER(INDEX(기본자료!$G$2:$G$501,$AB175))),INDEX(기본자료!$G$2:$G$501,$AB175),IF(INDEX(기본자료!$G$2:$G$501,$AB175)&lt;1000000,INDEX(기본자료!$G$2:$G$501,$AB175),IF(AND(INDEX(기본자료!$G$2:$G$501,$AB175)&gt;=10000101,INT(MOD(INDEX(기본자료!$G$2:$G$501,$AB175),10000)/100)&gt;=1,INT(MOD(INDEX(기본자료!$G$2:$G$501,$AB175),10000)/100)&lt;=12,MOD(INDEX(기본자료!$G$2:$G$501,$AB175),100)&gt;=1,MOD(INDEX(기본자료!$G$2:$G$501,$AB175),100)&lt;=31),DATE(INT(INDEX(기본자료!$G$2:$G$501,$AB175)/10000),INT(MOD(INDEX(기본자료!$G$2:$G$501,$AB175),10000)/100),MOD(INDEX(기본자료!$G$2:$G$501,$AB175),100)),INDEX(기본자료!$G$2:$G$501,$AB175)&amp;"")))))</f>
        <v/>
      </c>
      <c r="J175" s="10">
        <f>IF($AB175="","",IF(INDEX(기본자료!$H$2:$H$501,$AB175)="","",INDEX(기본자료!$H$2:$H$501,$AB175)))</f>
        <v/>
      </c>
      <c r="K175" s="10">
        <f>IF($AB175="","",IF(INDEX(기본자료!$I$2:$I$501,$AB175)="","",INDEX(기본자료!$I$2:$I$501,$AB175)))</f>
        <v/>
      </c>
      <c r="L175" s="10">
        <f>IF($AB175="","",IF(INDEX(기본자료!$A$2:$A$501,$AB175)="","",INDEX(기본자료!$A$2:$A$501,$AB175)))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파견수련계획!$AB$4:$AB$203,$AK175),OR(NOT(ISNUMBER(INDEX(파견수련계획!$AC$4:$AC$203,$AK175))),TODAY()&lt;=INDEX(파견수련계획!$AC$4:$AC$203,$AK175))),"다기관",IF($AF175="","",INDEX(파견수련계획!$T$4:$T$203,$AF175))),IF($AF175="","",INDEX(파견수련계획!$T$4:$T$203,$AF175))))</f>
        <v/>
      </c>
      <c r="Q175" s="10">
        <f>IF($AF175="","",INDEX(파견수련계획!$S$4:$S$203,$AF175))</f>
        <v/>
      </c>
      <c r="R175" s="10">
        <f>IF($AF175="","",INDEX(파견수련계획!$U$4:$U$203,$AF175))</f>
        <v/>
      </c>
      <c r="S175" s="11">
        <f>IF($AF175="","",IF(INDEX(파견수련계획!$H$4:$H$203,$AF175)="","",INDEX(파견수련계획!$H$4:$H$203,$AF175)))</f>
        <v/>
      </c>
      <c r="T175" s="11">
        <f>IF($AF175="","",IF(INDEX(파견수련계획!$I$4:$I$203,$AF175)="","",INDEX(파견수련계획!$I$4:$I$203,$AF175)))</f>
        <v/>
      </c>
      <c r="U175" s="10">
        <f>IF($AF175="","",INDEX(파견수련계획!$X$4:$X$203,$AF175))</f>
        <v/>
      </c>
      <c r="V175" s="17">
        <f>IF($AF175="","",INDEX(파견수련계획!$V$4:$V$203,$AF175))</f>
        <v/>
      </c>
      <c r="W175" s="17">
        <f>IF(AND($U175="파견중",$T175&lt;&gt;""),$T175-TODAY(),"")</f>
        <v/>
      </c>
      <c r="X175" s="17">
        <f>IF(OR($B175="",TRIM($J175&amp;"")=""),"",SUMPRODUCT((파견수련계획!$Q$4:$Q$203=TRIM($J175&amp;""))*파견수련계획!$W$4:$W$203))</f>
        <v/>
      </c>
      <c r="Y175" s="10">
        <f>IF($B175="","",IF($AG175="","",IF(IF(TRIM($J175&amp;"")="",0,SUMPRODUCT((파견수련계획!$Q$4:$Q$203=TRIM($J175&amp;""))*파견수련계획!$AD$4:$AD$203))&gt;0,$AE175,IF(N($X175)&lt;=0,$AG175,IF($AH175+$AI175=DAY(EOMONTH(요약!$B$3,0)),IF(AND($AH175&gt;=요약!$E$3,$AI175&lt;요약!$E$3),"서울병원",IF(AND($AI175&gt;=요약!$E$3,$AH175&lt;요약!$E$3),"구리병원","⚠15일 판정불가(서울 "&amp;$AH175&amp;"일/구리 "&amp;$AI175&amp;"일)")),IF($AJ175="",$AE175,IF(INDEX(파견수련계획!$T$4:$T$203,$AJ175)="통합수련",INDEX(파견수련계획!$S$4:$S$203,$AJ175),$AE175)))))))</f>
        <v/>
      </c>
      <c r="Z175" s="19">
        <f>IF($B175="","",IF($AB175="","기본자료에 없는 사번",IF(COUNTIF($B$2:$B$201,$B175)&gt;1,"중복 사번",IF($AE175="","소속(입사장소) 입력",IF(IF(TRIM($J175&amp;"")="",0,SUMPRODUCT((파견수련계획!$Q$4:$Q$203=TRIM($J175&amp;""))*(파견수련계획!$AA$4:$AA$203&lt;&gt;"")))&gt;0,"파견수련계획 입력오류 확인",IF(LEFT($Y175,1)="⚠","서울·구리 15일 판정 불가(양쪽 모두 이상/미만)",IF(IF($AC175="",0,N(INDEX(인턴근무계획!$T$3:$T$202,$AC175)))&gt;0,"인턴계획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IF($B175="","",IFERROR(MATCH($B175,기본자료!$B$2:$B$501,0),IFERROR(MATCH($B175&amp;"",기본자료!$B$2:$B$501,0),IFERROR(MATCH(VALUE($B175),기본자료!$B$2:$B$501,0),""))))</f>
        <v/>
      </c>
      <c r="AC175" s="10">
        <f>IF($B175="","",IFERROR(MATCH($B175,인턴근무계획!$D$3:$D$202,0),IFERROR(MATCH($B175&amp;"",인턴근무계획!$D$3:$D$202,0),IFERROR(MATCH(VALUE($B175),인턴근무계획!$D$3:$D$202,0),""))))</f>
        <v/>
      </c>
      <c r="AD175" s="10">
        <f>IF(OR($AC175="",인턴현황!$G$3=""),"",INDEX(인턴근무계획!$M$3:$R$202,$AC175,인턴현황!$G$3)&amp;"")</f>
        <v/>
      </c>
      <c r="AE175" s="10">
        <f>IF($B175="","",IF($M175&lt;&gt;"",$M175,IF($AF175&lt;&gt;"",IF(LEFT(INDEX(파견수련계획!$R$4:$R$203,$AF175),1)&lt;&gt;"⚠",INDEX(파견수련계획!$R$4:$R$203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파견수련계획!$Y$4:$Y$203,0),IFERROR(MATCH(TRIM($J175&amp;"")&amp;"|파견예정",파견수련계획!$Y$4:$Y$203,0),IFERROR(MATCH(TRIM($J175&amp;"")&amp;"|파견종료",파견수련계획!$Y$4:$Y$203,0),""))))</f>
        <v/>
      </c>
      <c r="AG175" s="10">
        <f>IF($B175="","",IF(AND(IF(OR($AC175="",인턴현황!$K$2=""),"",INDEX(인턴근무계획!$M$3:$R$202,$AC175,인턴현황!$K$2)&amp;"")&lt;&gt;"",LEFT(IF(OR($AC175="",인턴현황!$K$2=""),"",INDEX(인턴근무계획!$M$3:$R$202,$AC175,인턴현황!$K$2)&amp;""),1)&lt;&gt;"⚠"),LEFT(IF(OR($AC175="",인턴현황!$K$2=""),"",INDEX(인턴근무계획!$M$3:$R$202,$AC175,인턴현황!$K$2)&amp;""),FIND(" ",IF(OR($AC175="",인턴현황!$K$2=""),"",INDEX(인턴근무계획!$M$3:$R$202,$AC175,인턴현황!$K$2)&amp;""))-1),$AE175))</f>
        <v/>
      </c>
      <c r="AH175" s="17">
        <f>IF($B175="","",IF(TRIM($J175&amp;"")="",0,SUMPRODUCT((파견수련계획!$Q$4:$Q$203=TRIM($J175&amp;""))*(파견수련계획!$S$4:$S$203="서울병원")*파견수련계획!$W$4:$W$203))+IF($AG175="서울병원",MAX(0,DAY(EOMONTH(요약!$B$3,0))-N($X175)),0))</f>
        <v/>
      </c>
      <c r="AI175" s="17">
        <f>IF($B175="","",IF(TRIM($J175&amp;"")="",0,SUMPRODUCT((파견수련계획!$Q$4:$Q$203=TRIM($J175&amp;""))*(파견수련계획!$S$4:$S$203="구리병원")*파견수련계획!$W$4:$W$203))+IF($AG175="구리병원",MAX(0,DAY(EOMONTH(요약!$B$3,0))-N($X175)),0))</f>
        <v/>
      </c>
      <c r="AJ175" s="10">
        <f>IF(OR($B175="",TRIM($J175&amp;"")=""),"",IFERROR(MATCH(TRIM($J175&amp;"")&amp;"|월",파견수련계획!$Z$4:$Z$203,0),""))</f>
        <v/>
      </c>
      <c r="AK175" s="10">
        <f>IF(OR($B175="",TRIM($J175&amp;"")=""),"",IFERROR(MATCH(TRIM($J175&amp;"")&amp;"|다기관",파견수련계획!$AE$4:$AE$203,0),""))</f>
        <v/>
      </c>
      <c r="AL175" s="10">
        <f>IF($AK175="","","다기관 "&amp;TEXT(INDEX(파견수련계획!$AB$4:$AB$203,$AK175),"yyyy-mm-dd")&amp;"~"&amp;IF(ISNUMBER(INDEX(파견수련계획!$AC$4:$AC$203,$AK175)),TEXT(INDEX(파견수련계획!$AC$4:$AC$203,$AK175),"yyyy-mm-dd"),""))</f>
        <v/>
      </c>
    </row>
    <row r="176">
      <c r="A176" s="10">
        <f>IF(B176="","",ROW()-1)</f>
        <v/>
      </c>
      <c r="B176" s="18" t="n"/>
      <c r="C176" s="10">
        <f>IF($AB176="","",IF(INDEX(기본자료!$C$2:$C$501,$AB176)="","",INDEX(기본자료!$C$2:$C$501,$AB176)))</f>
        <v/>
      </c>
      <c r="D176" s="10">
        <f>IF($AB176="","",IF(INDEX(기본자료!$J$2:$J$501,$AB176)="","",INDEX(기본자료!$J$2:$J$501,$AB176)))</f>
        <v/>
      </c>
      <c r="E176" s="11">
        <f>IF($AB176="","",IF(INDEX(기본자료!$K$2:$K$501,$AB176)="","",IF(NOT(ISNUMBER(INDEX(기본자료!$K$2:$K$501,$AB176))),INDEX(기본자료!$K$2:$K$501,$AB176),IF(INDEX(기본자료!$K$2:$K$501,$AB176)&lt;1000000,INDEX(기본자료!$K$2:$K$501,$AB176),IF(AND(INDEX(기본자료!$K$2:$K$501,$AB176)&gt;=10000101,INT(MOD(INDEX(기본자료!$K$2:$K$501,$AB176),10000)/100)&gt;=1,INT(MOD(INDEX(기본자료!$K$2:$K$501,$AB176),10000)/100)&lt;=12,MOD(INDEX(기본자료!$K$2:$K$501,$AB176),100)&gt;=1,MOD(INDEX(기본자료!$K$2:$K$501,$AB176),100)&lt;=31),DATE(INT(INDEX(기본자료!$K$2:$K$501,$AB176)/10000),INT(MOD(INDEX(기본자료!$K$2:$K$501,$AB176),10000)/100),MOD(INDEX(기본자료!$K$2:$K$501,$AB176),100)),INDEX(기본자료!$K$2:$K$501,$AB176)&amp;"")))))</f>
        <v/>
      </c>
      <c r="F176" s="10">
        <f>IF($AB176="","",IF(INDEX(기본자료!$D$2:$D$501,$AB176)="","",INDEX(기본자료!$D$2:$D$501,$AB176)))</f>
        <v/>
      </c>
      <c r="G176" s="10">
        <f>IF($AB176="","",IF(INDEX(기본자료!$E$2:$E$501,$AB176)="","",INDEX(기본자료!$E$2:$E$501,$AB176)))</f>
        <v/>
      </c>
      <c r="H176" s="10">
        <f>IF($AB176="","",IF(INDEX(기본자료!$F$2:$F$501,$AB176)="","",INDEX(기본자료!$F$2:$F$501,$AB176)))</f>
        <v/>
      </c>
      <c r="I176" s="11">
        <f>IF($AB176="","",IF(INDEX(기본자료!$G$2:$G$501,$AB176)="","",IF(NOT(ISNUMBER(INDEX(기본자료!$G$2:$G$501,$AB176))),INDEX(기본자료!$G$2:$G$501,$AB176),IF(INDEX(기본자료!$G$2:$G$501,$AB176)&lt;1000000,INDEX(기본자료!$G$2:$G$501,$AB176),IF(AND(INDEX(기본자료!$G$2:$G$501,$AB176)&gt;=10000101,INT(MOD(INDEX(기본자료!$G$2:$G$501,$AB176),10000)/100)&gt;=1,INT(MOD(INDEX(기본자료!$G$2:$G$501,$AB176),10000)/100)&lt;=12,MOD(INDEX(기본자료!$G$2:$G$501,$AB176),100)&gt;=1,MOD(INDEX(기본자료!$G$2:$G$501,$AB176),100)&lt;=31),DATE(INT(INDEX(기본자료!$G$2:$G$501,$AB176)/10000),INT(MOD(INDEX(기본자료!$G$2:$G$501,$AB176),10000)/100),MOD(INDEX(기본자료!$G$2:$G$501,$AB176),100)),INDEX(기본자료!$G$2:$G$501,$AB176)&amp;"")))))</f>
        <v/>
      </c>
      <c r="J176" s="10">
        <f>IF($AB176="","",IF(INDEX(기본자료!$H$2:$H$501,$AB176)="","",INDEX(기본자료!$H$2:$H$501,$AB176)))</f>
        <v/>
      </c>
      <c r="K176" s="10">
        <f>IF($AB176="","",IF(INDEX(기본자료!$I$2:$I$501,$AB176)="","",INDEX(기본자료!$I$2:$I$501,$AB176)))</f>
        <v/>
      </c>
      <c r="L176" s="10">
        <f>IF($AB176="","",IF(INDEX(기본자료!$A$2:$A$501,$AB176)="","",INDEX(기본자료!$A$2:$A$501,$AB176)))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파견수련계획!$AB$4:$AB$203,$AK176),OR(NOT(ISNUMBER(INDEX(파견수련계획!$AC$4:$AC$203,$AK176))),TODAY()&lt;=INDEX(파견수련계획!$AC$4:$AC$203,$AK176))),"다기관",IF($AF176="","",INDEX(파견수련계획!$T$4:$T$203,$AF176))),IF($AF176="","",INDEX(파견수련계획!$T$4:$T$203,$AF176))))</f>
        <v/>
      </c>
      <c r="Q176" s="10">
        <f>IF($AF176="","",INDEX(파견수련계획!$S$4:$S$203,$AF176))</f>
        <v/>
      </c>
      <c r="R176" s="10">
        <f>IF($AF176="","",INDEX(파견수련계획!$U$4:$U$203,$AF176))</f>
        <v/>
      </c>
      <c r="S176" s="11">
        <f>IF($AF176="","",IF(INDEX(파견수련계획!$H$4:$H$203,$AF176)="","",INDEX(파견수련계획!$H$4:$H$203,$AF176)))</f>
        <v/>
      </c>
      <c r="T176" s="11">
        <f>IF($AF176="","",IF(INDEX(파견수련계획!$I$4:$I$203,$AF176)="","",INDEX(파견수련계획!$I$4:$I$203,$AF176)))</f>
        <v/>
      </c>
      <c r="U176" s="10">
        <f>IF($AF176="","",INDEX(파견수련계획!$X$4:$X$203,$AF176))</f>
        <v/>
      </c>
      <c r="V176" s="17">
        <f>IF($AF176="","",INDEX(파견수련계획!$V$4:$V$203,$AF176))</f>
        <v/>
      </c>
      <c r="W176" s="17">
        <f>IF(AND($U176="파견중",$T176&lt;&gt;""),$T176-TODAY(),"")</f>
        <v/>
      </c>
      <c r="X176" s="17">
        <f>IF(OR($B176="",TRIM($J176&amp;"")=""),"",SUMPRODUCT((파견수련계획!$Q$4:$Q$203=TRIM($J176&amp;""))*파견수련계획!$W$4:$W$203))</f>
        <v/>
      </c>
      <c r="Y176" s="10">
        <f>IF($B176="","",IF($AG176="","",IF(IF(TRIM($J176&amp;"")="",0,SUMPRODUCT((파견수련계획!$Q$4:$Q$203=TRIM($J176&amp;""))*파견수련계획!$AD$4:$AD$203))&gt;0,$AE176,IF(N($X176)&lt;=0,$AG176,IF($AH176+$AI176=DAY(EOMONTH(요약!$B$3,0)),IF(AND($AH176&gt;=요약!$E$3,$AI176&lt;요약!$E$3),"서울병원",IF(AND($AI176&gt;=요약!$E$3,$AH176&lt;요약!$E$3),"구리병원","⚠15일 판정불가(서울 "&amp;$AH176&amp;"일/구리 "&amp;$AI176&amp;"일)")),IF($AJ176="",$AE176,IF(INDEX(파견수련계획!$T$4:$T$203,$AJ176)="통합수련",INDEX(파견수련계획!$S$4:$S$203,$AJ176),$AE176)))))))</f>
        <v/>
      </c>
      <c r="Z176" s="19">
        <f>IF($B176="","",IF($AB176="","기본자료에 없는 사번",IF(COUNTIF($B$2:$B$201,$B176)&gt;1,"중복 사번",IF($AE176="","소속(입사장소) 입력",IF(IF(TRIM($J176&amp;"")="",0,SUMPRODUCT((파견수련계획!$Q$4:$Q$203=TRIM($J176&amp;""))*(파견수련계획!$AA$4:$AA$203&lt;&gt;"")))&gt;0,"파견수련계획 입력오류 확인",IF(LEFT($Y176,1)="⚠","서울·구리 15일 판정 불가(양쪽 모두 이상/미만)",IF(IF($AC176="",0,N(INDEX(인턴근무계획!$T$3:$T$202,$AC176)))&gt;0,"인턴계획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IF($B176="","",IFERROR(MATCH($B176,기본자료!$B$2:$B$501,0),IFERROR(MATCH($B176&amp;"",기본자료!$B$2:$B$501,0),IFERROR(MATCH(VALUE($B176),기본자료!$B$2:$B$501,0),""))))</f>
        <v/>
      </c>
      <c r="AC176" s="10">
        <f>IF($B176="","",IFERROR(MATCH($B176,인턴근무계획!$D$3:$D$202,0),IFERROR(MATCH($B176&amp;"",인턴근무계획!$D$3:$D$202,0),IFERROR(MATCH(VALUE($B176),인턴근무계획!$D$3:$D$202,0),""))))</f>
        <v/>
      </c>
      <c r="AD176" s="10">
        <f>IF(OR($AC176="",인턴현황!$G$3=""),"",INDEX(인턴근무계획!$M$3:$R$202,$AC176,인턴현황!$G$3)&amp;"")</f>
        <v/>
      </c>
      <c r="AE176" s="10">
        <f>IF($B176="","",IF($M176&lt;&gt;"",$M176,IF($AF176&lt;&gt;"",IF(LEFT(INDEX(파견수련계획!$R$4:$R$203,$AF176),1)&lt;&gt;"⚠",INDEX(파견수련계획!$R$4:$R$203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파견수련계획!$Y$4:$Y$203,0),IFERROR(MATCH(TRIM($J176&amp;"")&amp;"|파견예정",파견수련계획!$Y$4:$Y$203,0),IFERROR(MATCH(TRIM($J176&amp;"")&amp;"|파견종료",파견수련계획!$Y$4:$Y$203,0),""))))</f>
        <v/>
      </c>
      <c r="AG176" s="10">
        <f>IF($B176="","",IF(AND(IF(OR($AC176="",인턴현황!$K$2=""),"",INDEX(인턴근무계획!$M$3:$R$202,$AC176,인턴현황!$K$2)&amp;"")&lt;&gt;"",LEFT(IF(OR($AC176="",인턴현황!$K$2=""),"",INDEX(인턴근무계획!$M$3:$R$202,$AC176,인턴현황!$K$2)&amp;""),1)&lt;&gt;"⚠"),LEFT(IF(OR($AC176="",인턴현황!$K$2=""),"",INDEX(인턴근무계획!$M$3:$R$202,$AC176,인턴현황!$K$2)&amp;""),FIND(" ",IF(OR($AC176="",인턴현황!$K$2=""),"",INDEX(인턴근무계획!$M$3:$R$202,$AC176,인턴현황!$K$2)&amp;""))-1),$AE176))</f>
        <v/>
      </c>
      <c r="AH176" s="17">
        <f>IF($B176="","",IF(TRIM($J176&amp;"")="",0,SUMPRODUCT((파견수련계획!$Q$4:$Q$203=TRIM($J176&amp;""))*(파견수련계획!$S$4:$S$203="서울병원")*파견수련계획!$W$4:$W$203))+IF($AG176="서울병원",MAX(0,DAY(EOMONTH(요약!$B$3,0))-N($X176)),0))</f>
        <v/>
      </c>
      <c r="AI176" s="17">
        <f>IF($B176="","",IF(TRIM($J176&amp;"")="",0,SUMPRODUCT((파견수련계획!$Q$4:$Q$203=TRIM($J176&amp;""))*(파견수련계획!$S$4:$S$203="구리병원")*파견수련계획!$W$4:$W$203))+IF($AG176="구리병원",MAX(0,DAY(EOMONTH(요약!$B$3,0))-N($X176)),0))</f>
        <v/>
      </c>
      <c r="AJ176" s="10">
        <f>IF(OR($B176="",TRIM($J176&amp;"")=""),"",IFERROR(MATCH(TRIM($J176&amp;"")&amp;"|월",파견수련계획!$Z$4:$Z$203,0),""))</f>
        <v/>
      </c>
      <c r="AK176" s="10">
        <f>IF(OR($B176="",TRIM($J176&amp;"")=""),"",IFERROR(MATCH(TRIM($J176&amp;"")&amp;"|다기관",파견수련계획!$AE$4:$AE$203,0),""))</f>
        <v/>
      </c>
      <c r="AL176" s="10">
        <f>IF($AK176="","","다기관 "&amp;TEXT(INDEX(파견수련계획!$AB$4:$AB$203,$AK176),"yyyy-mm-dd")&amp;"~"&amp;IF(ISNUMBER(INDEX(파견수련계획!$AC$4:$AC$203,$AK176)),TEXT(INDEX(파견수련계획!$AC$4:$AC$203,$AK176),"yyyy-mm-dd"),""))</f>
        <v/>
      </c>
    </row>
    <row r="177">
      <c r="A177" s="10">
        <f>IF(B177="","",ROW()-1)</f>
        <v/>
      </c>
      <c r="B177" s="18" t="n"/>
      <c r="C177" s="10">
        <f>IF($AB177="","",IF(INDEX(기본자료!$C$2:$C$501,$AB177)="","",INDEX(기본자료!$C$2:$C$501,$AB177)))</f>
        <v/>
      </c>
      <c r="D177" s="10">
        <f>IF($AB177="","",IF(INDEX(기본자료!$J$2:$J$501,$AB177)="","",INDEX(기본자료!$J$2:$J$501,$AB177)))</f>
        <v/>
      </c>
      <c r="E177" s="11">
        <f>IF($AB177="","",IF(INDEX(기본자료!$K$2:$K$501,$AB177)="","",IF(NOT(ISNUMBER(INDEX(기본자료!$K$2:$K$501,$AB177))),INDEX(기본자료!$K$2:$K$501,$AB177),IF(INDEX(기본자료!$K$2:$K$501,$AB177)&lt;1000000,INDEX(기본자료!$K$2:$K$501,$AB177),IF(AND(INDEX(기본자료!$K$2:$K$501,$AB177)&gt;=10000101,INT(MOD(INDEX(기본자료!$K$2:$K$501,$AB177),10000)/100)&gt;=1,INT(MOD(INDEX(기본자료!$K$2:$K$501,$AB177),10000)/100)&lt;=12,MOD(INDEX(기본자료!$K$2:$K$501,$AB177),100)&gt;=1,MOD(INDEX(기본자료!$K$2:$K$501,$AB177),100)&lt;=31),DATE(INT(INDEX(기본자료!$K$2:$K$501,$AB177)/10000),INT(MOD(INDEX(기본자료!$K$2:$K$501,$AB177),10000)/100),MOD(INDEX(기본자료!$K$2:$K$501,$AB177),100)),INDEX(기본자료!$K$2:$K$501,$AB177)&amp;"")))))</f>
        <v/>
      </c>
      <c r="F177" s="10">
        <f>IF($AB177="","",IF(INDEX(기본자료!$D$2:$D$501,$AB177)="","",INDEX(기본자료!$D$2:$D$501,$AB177)))</f>
        <v/>
      </c>
      <c r="G177" s="10">
        <f>IF($AB177="","",IF(INDEX(기본자료!$E$2:$E$501,$AB177)="","",INDEX(기본자료!$E$2:$E$501,$AB177)))</f>
        <v/>
      </c>
      <c r="H177" s="10">
        <f>IF($AB177="","",IF(INDEX(기본자료!$F$2:$F$501,$AB177)="","",INDEX(기본자료!$F$2:$F$501,$AB177)))</f>
        <v/>
      </c>
      <c r="I177" s="11">
        <f>IF($AB177="","",IF(INDEX(기본자료!$G$2:$G$501,$AB177)="","",IF(NOT(ISNUMBER(INDEX(기본자료!$G$2:$G$501,$AB177))),INDEX(기본자료!$G$2:$G$501,$AB177),IF(INDEX(기본자료!$G$2:$G$501,$AB177)&lt;1000000,INDEX(기본자료!$G$2:$G$501,$AB177),IF(AND(INDEX(기본자료!$G$2:$G$501,$AB177)&gt;=10000101,INT(MOD(INDEX(기본자료!$G$2:$G$501,$AB177),10000)/100)&gt;=1,INT(MOD(INDEX(기본자료!$G$2:$G$501,$AB177),10000)/100)&lt;=12,MOD(INDEX(기본자료!$G$2:$G$501,$AB177),100)&gt;=1,MOD(INDEX(기본자료!$G$2:$G$501,$AB177),100)&lt;=31),DATE(INT(INDEX(기본자료!$G$2:$G$501,$AB177)/10000),INT(MOD(INDEX(기본자료!$G$2:$G$501,$AB177),10000)/100),MOD(INDEX(기본자료!$G$2:$G$501,$AB177),100)),INDEX(기본자료!$G$2:$G$501,$AB177)&amp;"")))))</f>
        <v/>
      </c>
      <c r="J177" s="10">
        <f>IF($AB177="","",IF(INDEX(기본자료!$H$2:$H$501,$AB177)="","",INDEX(기본자료!$H$2:$H$501,$AB177)))</f>
        <v/>
      </c>
      <c r="K177" s="10">
        <f>IF($AB177="","",IF(INDEX(기본자료!$I$2:$I$501,$AB177)="","",INDEX(기본자료!$I$2:$I$501,$AB177)))</f>
        <v/>
      </c>
      <c r="L177" s="10">
        <f>IF($AB177="","",IF(INDEX(기본자료!$A$2:$A$501,$AB177)="","",INDEX(기본자료!$A$2:$A$501,$AB177)))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파견수련계획!$AB$4:$AB$203,$AK177),OR(NOT(ISNUMBER(INDEX(파견수련계획!$AC$4:$AC$203,$AK177))),TODAY()&lt;=INDEX(파견수련계획!$AC$4:$AC$203,$AK177))),"다기관",IF($AF177="","",INDEX(파견수련계획!$T$4:$T$203,$AF177))),IF($AF177="","",INDEX(파견수련계획!$T$4:$T$203,$AF177))))</f>
        <v/>
      </c>
      <c r="Q177" s="10">
        <f>IF($AF177="","",INDEX(파견수련계획!$S$4:$S$203,$AF177))</f>
        <v/>
      </c>
      <c r="R177" s="10">
        <f>IF($AF177="","",INDEX(파견수련계획!$U$4:$U$203,$AF177))</f>
        <v/>
      </c>
      <c r="S177" s="11">
        <f>IF($AF177="","",IF(INDEX(파견수련계획!$H$4:$H$203,$AF177)="","",INDEX(파견수련계획!$H$4:$H$203,$AF177)))</f>
        <v/>
      </c>
      <c r="T177" s="11">
        <f>IF($AF177="","",IF(INDEX(파견수련계획!$I$4:$I$203,$AF177)="","",INDEX(파견수련계획!$I$4:$I$203,$AF177)))</f>
        <v/>
      </c>
      <c r="U177" s="10">
        <f>IF($AF177="","",INDEX(파견수련계획!$X$4:$X$203,$AF177))</f>
        <v/>
      </c>
      <c r="V177" s="17">
        <f>IF($AF177="","",INDEX(파견수련계획!$V$4:$V$203,$AF177))</f>
        <v/>
      </c>
      <c r="W177" s="17">
        <f>IF(AND($U177="파견중",$T177&lt;&gt;""),$T177-TODAY(),"")</f>
        <v/>
      </c>
      <c r="X177" s="17">
        <f>IF(OR($B177="",TRIM($J177&amp;"")=""),"",SUMPRODUCT((파견수련계획!$Q$4:$Q$203=TRIM($J177&amp;""))*파견수련계획!$W$4:$W$203))</f>
        <v/>
      </c>
      <c r="Y177" s="10">
        <f>IF($B177="","",IF($AG177="","",IF(IF(TRIM($J177&amp;"")="",0,SUMPRODUCT((파견수련계획!$Q$4:$Q$203=TRIM($J177&amp;""))*파견수련계획!$AD$4:$AD$203))&gt;0,$AE177,IF(N($X177)&lt;=0,$AG177,IF($AH177+$AI177=DAY(EOMONTH(요약!$B$3,0)),IF(AND($AH177&gt;=요약!$E$3,$AI177&lt;요약!$E$3),"서울병원",IF(AND($AI177&gt;=요약!$E$3,$AH177&lt;요약!$E$3),"구리병원","⚠15일 판정불가(서울 "&amp;$AH177&amp;"일/구리 "&amp;$AI177&amp;"일)")),IF($AJ177="",$AE177,IF(INDEX(파견수련계획!$T$4:$T$203,$AJ177)="통합수련",INDEX(파견수련계획!$S$4:$S$203,$AJ177),$AE177)))))))</f>
        <v/>
      </c>
      <c r="Z177" s="19">
        <f>IF($B177="","",IF($AB177="","기본자료에 없는 사번",IF(COUNTIF($B$2:$B$201,$B177)&gt;1,"중복 사번",IF($AE177="","소속(입사장소) 입력",IF(IF(TRIM($J177&amp;"")="",0,SUMPRODUCT((파견수련계획!$Q$4:$Q$203=TRIM($J177&amp;""))*(파견수련계획!$AA$4:$AA$203&lt;&gt;"")))&gt;0,"파견수련계획 입력오류 확인",IF(LEFT($Y177,1)="⚠","서울·구리 15일 판정 불가(양쪽 모두 이상/미만)",IF(IF($AC177="",0,N(INDEX(인턴근무계획!$T$3:$T$202,$AC177)))&gt;0,"인턴계획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IF($B177="","",IFERROR(MATCH($B177,기본자료!$B$2:$B$501,0),IFERROR(MATCH($B177&amp;"",기본자료!$B$2:$B$501,0),IFERROR(MATCH(VALUE($B177),기본자료!$B$2:$B$501,0),""))))</f>
        <v/>
      </c>
      <c r="AC177" s="10">
        <f>IF($B177="","",IFERROR(MATCH($B177,인턴근무계획!$D$3:$D$202,0),IFERROR(MATCH($B177&amp;"",인턴근무계획!$D$3:$D$202,0),IFERROR(MATCH(VALUE($B177),인턴근무계획!$D$3:$D$202,0),""))))</f>
        <v/>
      </c>
      <c r="AD177" s="10">
        <f>IF(OR($AC177="",인턴현황!$G$3=""),"",INDEX(인턴근무계획!$M$3:$R$202,$AC177,인턴현황!$G$3)&amp;"")</f>
        <v/>
      </c>
      <c r="AE177" s="10">
        <f>IF($B177="","",IF($M177&lt;&gt;"",$M177,IF($AF177&lt;&gt;"",IF(LEFT(INDEX(파견수련계획!$R$4:$R$203,$AF177),1)&lt;&gt;"⚠",INDEX(파견수련계획!$R$4:$R$203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파견수련계획!$Y$4:$Y$203,0),IFERROR(MATCH(TRIM($J177&amp;"")&amp;"|파견예정",파견수련계획!$Y$4:$Y$203,0),IFERROR(MATCH(TRIM($J177&amp;"")&amp;"|파견종료",파견수련계획!$Y$4:$Y$203,0),""))))</f>
        <v/>
      </c>
      <c r="AG177" s="10">
        <f>IF($B177="","",IF(AND(IF(OR($AC177="",인턴현황!$K$2=""),"",INDEX(인턴근무계획!$M$3:$R$202,$AC177,인턴현황!$K$2)&amp;"")&lt;&gt;"",LEFT(IF(OR($AC177="",인턴현황!$K$2=""),"",INDEX(인턴근무계획!$M$3:$R$202,$AC177,인턴현황!$K$2)&amp;""),1)&lt;&gt;"⚠"),LEFT(IF(OR($AC177="",인턴현황!$K$2=""),"",INDEX(인턴근무계획!$M$3:$R$202,$AC177,인턴현황!$K$2)&amp;""),FIND(" ",IF(OR($AC177="",인턴현황!$K$2=""),"",INDEX(인턴근무계획!$M$3:$R$202,$AC177,인턴현황!$K$2)&amp;""))-1),$AE177))</f>
        <v/>
      </c>
      <c r="AH177" s="17">
        <f>IF($B177="","",IF(TRIM($J177&amp;"")="",0,SUMPRODUCT((파견수련계획!$Q$4:$Q$203=TRIM($J177&amp;""))*(파견수련계획!$S$4:$S$203="서울병원")*파견수련계획!$W$4:$W$203))+IF($AG177="서울병원",MAX(0,DAY(EOMONTH(요약!$B$3,0))-N($X177)),0))</f>
        <v/>
      </c>
      <c r="AI177" s="17">
        <f>IF($B177="","",IF(TRIM($J177&amp;"")="",0,SUMPRODUCT((파견수련계획!$Q$4:$Q$203=TRIM($J177&amp;""))*(파견수련계획!$S$4:$S$203="구리병원")*파견수련계획!$W$4:$W$203))+IF($AG177="구리병원",MAX(0,DAY(EOMONTH(요약!$B$3,0))-N($X177)),0))</f>
        <v/>
      </c>
      <c r="AJ177" s="10">
        <f>IF(OR($B177="",TRIM($J177&amp;"")=""),"",IFERROR(MATCH(TRIM($J177&amp;"")&amp;"|월",파견수련계획!$Z$4:$Z$203,0),""))</f>
        <v/>
      </c>
      <c r="AK177" s="10">
        <f>IF(OR($B177="",TRIM($J177&amp;"")=""),"",IFERROR(MATCH(TRIM($J177&amp;"")&amp;"|다기관",파견수련계획!$AE$4:$AE$203,0),""))</f>
        <v/>
      </c>
      <c r="AL177" s="10">
        <f>IF($AK177="","","다기관 "&amp;TEXT(INDEX(파견수련계획!$AB$4:$AB$203,$AK177),"yyyy-mm-dd")&amp;"~"&amp;IF(ISNUMBER(INDEX(파견수련계획!$AC$4:$AC$203,$AK177)),TEXT(INDEX(파견수련계획!$AC$4:$AC$203,$AK177),"yyyy-mm-dd"),""))</f>
        <v/>
      </c>
    </row>
    <row r="178">
      <c r="A178" s="10">
        <f>IF(B178="","",ROW()-1)</f>
        <v/>
      </c>
      <c r="B178" s="18" t="n"/>
      <c r="C178" s="10">
        <f>IF($AB178="","",IF(INDEX(기본자료!$C$2:$C$501,$AB178)="","",INDEX(기본자료!$C$2:$C$501,$AB178)))</f>
        <v/>
      </c>
      <c r="D178" s="10">
        <f>IF($AB178="","",IF(INDEX(기본자료!$J$2:$J$501,$AB178)="","",INDEX(기본자료!$J$2:$J$501,$AB178)))</f>
        <v/>
      </c>
      <c r="E178" s="11">
        <f>IF($AB178="","",IF(INDEX(기본자료!$K$2:$K$501,$AB178)="","",IF(NOT(ISNUMBER(INDEX(기본자료!$K$2:$K$501,$AB178))),INDEX(기본자료!$K$2:$K$501,$AB178),IF(INDEX(기본자료!$K$2:$K$501,$AB178)&lt;1000000,INDEX(기본자료!$K$2:$K$501,$AB178),IF(AND(INDEX(기본자료!$K$2:$K$501,$AB178)&gt;=10000101,INT(MOD(INDEX(기본자료!$K$2:$K$501,$AB178),10000)/100)&gt;=1,INT(MOD(INDEX(기본자료!$K$2:$K$501,$AB178),10000)/100)&lt;=12,MOD(INDEX(기본자료!$K$2:$K$501,$AB178),100)&gt;=1,MOD(INDEX(기본자료!$K$2:$K$501,$AB178),100)&lt;=31),DATE(INT(INDEX(기본자료!$K$2:$K$501,$AB178)/10000),INT(MOD(INDEX(기본자료!$K$2:$K$501,$AB178),10000)/100),MOD(INDEX(기본자료!$K$2:$K$501,$AB178),100)),INDEX(기본자료!$K$2:$K$501,$AB178)&amp;"")))))</f>
        <v/>
      </c>
      <c r="F178" s="10">
        <f>IF($AB178="","",IF(INDEX(기본자료!$D$2:$D$501,$AB178)="","",INDEX(기본자료!$D$2:$D$501,$AB178)))</f>
        <v/>
      </c>
      <c r="G178" s="10">
        <f>IF($AB178="","",IF(INDEX(기본자료!$E$2:$E$501,$AB178)="","",INDEX(기본자료!$E$2:$E$501,$AB178)))</f>
        <v/>
      </c>
      <c r="H178" s="10">
        <f>IF($AB178="","",IF(INDEX(기본자료!$F$2:$F$501,$AB178)="","",INDEX(기본자료!$F$2:$F$501,$AB178)))</f>
        <v/>
      </c>
      <c r="I178" s="11">
        <f>IF($AB178="","",IF(INDEX(기본자료!$G$2:$G$501,$AB178)="","",IF(NOT(ISNUMBER(INDEX(기본자료!$G$2:$G$501,$AB178))),INDEX(기본자료!$G$2:$G$501,$AB178),IF(INDEX(기본자료!$G$2:$G$501,$AB178)&lt;1000000,INDEX(기본자료!$G$2:$G$501,$AB178),IF(AND(INDEX(기본자료!$G$2:$G$501,$AB178)&gt;=10000101,INT(MOD(INDEX(기본자료!$G$2:$G$501,$AB178),10000)/100)&gt;=1,INT(MOD(INDEX(기본자료!$G$2:$G$501,$AB178),10000)/100)&lt;=12,MOD(INDEX(기본자료!$G$2:$G$501,$AB178),100)&gt;=1,MOD(INDEX(기본자료!$G$2:$G$501,$AB178),100)&lt;=31),DATE(INT(INDEX(기본자료!$G$2:$G$501,$AB178)/10000),INT(MOD(INDEX(기본자료!$G$2:$G$501,$AB178),10000)/100),MOD(INDEX(기본자료!$G$2:$G$501,$AB178),100)),INDEX(기본자료!$G$2:$G$501,$AB178)&amp;"")))))</f>
        <v/>
      </c>
      <c r="J178" s="10">
        <f>IF($AB178="","",IF(INDEX(기본자료!$H$2:$H$501,$AB178)="","",INDEX(기본자료!$H$2:$H$501,$AB178)))</f>
        <v/>
      </c>
      <c r="K178" s="10">
        <f>IF($AB178="","",IF(INDEX(기본자료!$I$2:$I$501,$AB178)="","",INDEX(기본자료!$I$2:$I$501,$AB178)))</f>
        <v/>
      </c>
      <c r="L178" s="10">
        <f>IF($AB178="","",IF(INDEX(기본자료!$A$2:$A$501,$AB178)="","",INDEX(기본자료!$A$2:$A$501,$AB178)))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파견수련계획!$AB$4:$AB$203,$AK178),OR(NOT(ISNUMBER(INDEX(파견수련계획!$AC$4:$AC$203,$AK178))),TODAY()&lt;=INDEX(파견수련계획!$AC$4:$AC$203,$AK178))),"다기관",IF($AF178="","",INDEX(파견수련계획!$T$4:$T$203,$AF178))),IF($AF178="","",INDEX(파견수련계획!$T$4:$T$203,$AF178))))</f>
        <v/>
      </c>
      <c r="Q178" s="10">
        <f>IF($AF178="","",INDEX(파견수련계획!$S$4:$S$203,$AF178))</f>
        <v/>
      </c>
      <c r="R178" s="10">
        <f>IF($AF178="","",INDEX(파견수련계획!$U$4:$U$203,$AF178))</f>
        <v/>
      </c>
      <c r="S178" s="11">
        <f>IF($AF178="","",IF(INDEX(파견수련계획!$H$4:$H$203,$AF178)="","",INDEX(파견수련계획!$H$4:$H$203,$AF178)))</f>
        <v/>
      </c>
      <c r="T178" s="11">
        <f>IF($AF178="","",IF(INDEX(파견수련계획!$I$4:$I$203,$AF178)="","",INDEX(파견수련계획!$I$4:$I$203,$AF178)))</f>
        <v/>
      </c>
      <c r="U178" s="10">
        <f>IF($AF178="","",INDEX(파견수련계획!$X$4:$X$203,$AF178))</f>
        <v/>
      </c>
      <c r="V178" s="17">
        <f>IF($AF178="","",INDEX(파견수련계획!$V$4:$V$203,$AF178))</f>
        <v/>
      </c>
      <c r="W178" s="17">
        <f>IF(AND($U178="파견중",$T178&lt;&gt;""),$T178-TODAY(),"")</f>
        <v/>
      </c>
      <c r="X178" s="17">
        <f>IF(OR($B178="",TRIM($J178&amp;"")=""),"",SUMPRODUCT((파견수련계획!$Q$4:$Q$203=TRIM($J178&amp;""))*파견수련계획!$W$4:$W$203))</f>
        <v/>
      </c>
      <c r="Y178" s="10">
        <f>IF($B178="","",IF($AG178="","",IF(IF(TRIM($J178&amp;"")="",0,SUMPRODUCT((파견수련계획!$Q$4:$Q$203=TRIM($J178&amp;""))*파견수련계획!$AD$4:$AD$203))&gt;0,$AE178,IF(N($X178)&lt;=0,$AG178,IF($AH178+$AI178=DAY(EOMONTH(요약!$B$3,0)),IF(AND($AH178&gt;=요약!$E$3,$AI178&lt;요약!$E$3),"서울병원",IF(AND($AI178&gt;=요약!$E$3,$AH178&lt;요약!$E$3),"구리병원","⚠15일 판정불가(서울 "&amp;$AH178&amp;"일/구리 "&amp;$AI178&amp;"일)")),IF($AJ178="",$AE178,IF(INDEX(파견수련계획!$T$4:$T$203,$AJ178)="통합수련",INDEX(파견수련계획!$S$4:$S$203,$AJ178),$AE178)))))))</f>
        <v/>
      </c>
      <c r="Z178" s="19">
        <f>IF($B178="","",IF($AB178="","기본자료에 없는 사번",IF(COUNTIF($B$2:$B$201,$B178)&gt;1,"중복 사번",IF($AE178="","소속(입사장소) 입력",IF(IF(TRIM($J178&amp;"")="",0,SUMPRODUCT((파견수련계획!$Q$4:$Q$203=TRIM($J178&amp;""))*(파견수련계획!$AA$4:$AA$203&lt;&gt;"")))&gt;0,"파견수련계획 입력오류 확인",IF(LEFT($Y178,1)="⚠","서울·구리 15일 판정 불가(양쪽 모두 이상/미만)",IF(IF($AC178="",0,N(INDEX(인턴근무계획!$T$3:$T$202,$AC178)))&gt;0,"인턴계획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IF($B178="","",IFERROR(MATCH($B178,기본자료!$B$2:$B$501,0),IFERROR(MATCH($B178&amp;"",기본자료!$B$2:$B$501,0),IFERROR(MATCH(VALUE($B178),기본자료!$B$2:$B$501,0),""))))</f>
        <v/>
      </c>
      <c r="AC178" s="10">
        <f>IF($B178="","",IFERROR(MATCH($B178,인턴근무계획!$D$3:$D$202,0),IFERROR(MATCH($B178&amp;"",인턴근무계획!$D$3:$D$202,0),IFERROR(MATCH(VALUE($B178),인턴근무계획!$D$3:$D$202,0),""))))</f>
        <v/>
      </c>
      <c r="AD178" s="10">
        <f>IF(OR($AC178="",인턴현황!$G$3=""),"",INDEX(인턴근무계획!$M$3:$R$202,$AC178,인턴현황!$G$3)&amp;"")</f>
        <v/>
      </c>
      <c r="AE178" s="10">
        <f>IF($B178="","",IF($M178&lt;&gt;"",$M178,IF($AF178&lt;&gt;"",IF(LEFT(INDEX(파견수련계획!$R$4:$R$203,$AF178),1)&lt;&gt;"⚠",INDEX(파견수련계획!$R$4:$R$203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파견수련계획!$Y$4:$Y$203,0),IFERROR(MATCH(TRIM($J178&amp;"")&amp;"|파견예정",파견수련계획!$Y$4:$Y$203,0),IFERROR(MATCH(TRIM($J178&amp;"")&amp;"|파견종료",파견수련계획!$Y$4:$Y$203,0),""))))</f>
        <v/>
      </c>
      <c r="AG178" s="10">
        <f>IF($B178="","",IF(AND(IF(OR($AC178="",인턴현황!$K$2=""),"",INDEX(인턴근무계획!$M$3:$R$202,$AC178,인턴현황!$K$2)&amp;"")&lt;&gt;"",LEFT(IF(OR($AC178="",인턴현황!$K$2=""),"",INDEX(인턴근무계획!$M$3:$R$202,$AC178,인턴현황!$K$2)&amp;""),1)&lt;&gt;"⚠"),LEFT(IF(OR($AC178="",인턴현황!$K$2=""),"",INDEX(인턴근무계획!$M$3:$R$202,$AC178,인턴현황!$K$2)&amp;""),FIND(" ",IF(OR($AC178="",인턴현황!$K$2=""),"",INDEX(인턴근무계획!$M$3:$R$202,$AC178,인턴현황!$K$2)&amp;""))-1),$AE178))</f>
        <v/>
      </c>
      <c r="AH178" s="17">
        <f>IF($B178="","",IF(TRIM($J178&amp;"")="",0,SUMPRODUCT((파견수련계획!$Q$4:$Q$203=TRIM($J178&amp;""))*(파견수련계획!$S$4:$S$203="서울병원")*파견수련계획!$W$4:$W$203))+IF($AG178="서울병원",MAX(0,DAY(EOMONTH(요약!$B$3,0))-N($X178)),0))</f>
        <v/>
      </c>
      <c r="AI178" s="17">
        <f>IF($B178="","",IF(TRIM($J178&amp;"")="",0,SUMPRODUCT((파견수련계획!$Q$4:$Q$203=TRIM($J178&amp;""))*(파견수련계획!$S$4:$S$203="구리병원")*파견수련계획!$W$4:$W$203))+IF($AG178="구리병원",MAX(0,DAY(EOMONTH(요약!$B$3,0))-N($X178)),0))</f>
        <v/>
      </c>
      <c r="AJ178" s="10">
        <f>IF(OR($B178="",TRIM($J178&amp;"")=""),"",IFERROR(MATCH(TRIM($J178&amp;"")&amp;"|월",파견수련계획!$Z$4:$Z$203,0),""))</f>
        <v/>
      </c>
      <c r="AK178" s="10">
        <f>IF(OR($B178="",TRIM($J178&amp;"")=""),"",IFERROR(MATCH(TRIM($J178&amp;"")&amp;"|다기관",파견수련계획!$AE$4:$AE$203,0),""))</f>
        <v/>
      </c>
      <c r="AL178" s="10">
        <f>IF($AK178="","","다기관 "&amp;TEXT(INDEX(파견수련계획!$AB$4:$AB$203,$AK178),"yyyy-mm-dd")&amp;"~"&amp;IF(ISNUMBER(INDEX(파견수련계획!$AC$4:$AC$203,$AK178)),TEXT(INDEX(파견수련계획!$AC$4:$AC$203,$AK178),"yyyy-mm-dd"),""))</f>
        <v/>
      </c>
    </row>
    <row r="179">
      <c r="A179" s="10">
        <f>IF(B179="","",ROW()-1)</f>
        <v/>
      </c>
      <c r="B179" s="18" t="n"/>
      <c r="C179" s="10">
        <f>IF($AB179="","",IF(INDEX(기본자료!$C$2:$C$501,$AB179)="","",INDEX(기본자료!$C$2:$C$501,$AB179)))</f>
        <v/>
      </c>
      <c r="D179" s="10">
        <f>IF($AB179="","",IF(INDEX(기본자료!$J$2:$J$501,$AB179)="","",INDEX(기본자료!$J$2:$J$501,$AB179)))</f>
        <v/>
      </c>
      <c r="E179" s="11">
        <f>IF($AB179="","",IF(INDEX(기본자료!$K$2:$K$501,$AB179)="","",IF(NOT(ISNUMBER(INDEX(기본자료!$K$2:$K$501,$AB179))),INDEX(기본자료!$K$2:$K$501,$AB179),IF(INDEX(기본자료!$K$2:$K$501,$AB179)&lt;1000000,INDEX(기본자료!$K$2:$K$501,$AB179),IF(AND(INDEX(기본자료!$K$2:$K$501,$AB179)&gt;=10000101,INT(MOD(INDEX(기본자료!$K$2:$K$501,$AB179),10000)/100)&gt;=1,INT(MOD(INDEX(기본자료!$K$2:$K$501,$AB179),10000)/100)&lt;=12,MOD(INDEX(기본자료!$K$2:$K$501,$AB179),100)&gt;=1,MOD(INDEX(기본자료!$K$2:$K$501,$AB179),100)&lt;=31),DATE(INT(INDEX(기본자료!$K$2:$K$501,$AB179)/10000),INT(MOD(INDEX(기본자료!$K$2:$K$501,$AB179),10000)/100),MOD(INDEX(기본자료!$K$2:$K$501,$AB179),100)),INDEX(기본자료!$K$2:$K$501,$AB179)&amp;"")))))</f>
        <v/>
      </c>
      <c r="F179" s="10">
        <f>IF($AB179="","",IF(INDEX(기본자료!$D$2:$D$501,$AB179)="","",INDEX(기본자료!$D$2:$D$501,$AB179)))</f>
        <v/>
      </c>
      <c r="G179" s="10">
        <f>IF($AB179="","",IF(INDEX(기본자료!$E$2:$E$501,$AB179)="","",INDEX(기본자료!$E$2:$E$501,$AB179)))</f>
        <v/>
      </c>
      <c r="H179" s="10">
        <f>IF($AB179="","",IF(INDEX(기본자료!$F$2:$F$501,$AB179)="","",INDEX(기본자료!$F$2:$F$501,$AB179)))</f>
        <v/>
      </c>
      <c r="I179" s="11">
        <f>IF($AB179="","",IF(INDEX(기본자료!$G$2:$G$501,$AB179)="","",IF(NOT(ISNUMBER(INDEX(기본자료!$G$2:$G$501,$AB179))),INDEX(기본자료!$G$2:$G$501,$AB179),IF(INDEX(기본자료!$G$2:$G$501,$AB179)&lt;1000000,INDEX(기본자료!$G$2:$G$501,$AB179),IF(AND(INDEX(기본자료!$G$2:$G$501,$AB179)&gt;=10000101,INT(MOD(INDEX(기본자료!$G$2:$G$501,$AB179),10000)/100)&gt;=1,INT(MOD(INDEX(기본자료!$G$2:$G$501,$AB179),10000)/100)&lt;=12,MOD(INDEX(기본자료!$G$2:$G$501,$AB179),100)&gt;=1,MOD(INDEX(기본자료!$G$2:$G$501,$AB179),100)&lt;=31),DATE(INT(INDEX(기본자료!$G$2:$G$501,$AB179)/10000),INT(MOD(INDEX(기본자료!$G$2:$G$501,$AB179),10000)/100),MOD(INDEX(기본자료!$G$2:$G$501,$AB179),100)),INDEX(기본자료!$G$2:$G$501,$AB179)&amp;"")))))</f>
        <v/>
      </c>
      <c r="J179" s="10">
        <f>IF($AB179="","",IF(INDEX(기본자료!$H$2:$H$501,$AB179)="","",INDEX(기본자료!$H$2:$H$501,$AB179)))</f>
        <v/>
      </c>
      <c r="K179" s="10">
        <f>IF($AB179="","",IF(INDEX(기본자료!$I$2:$I$501,$AB179)="","",INDEX(기본자료!$I$2:$I$501,$AB179)))</f>
        <v/>
      </c>
      <c r="L179" s="10">
        <f>IF($AB179="","",IF(INDEX(기본자료!$A$2:$A$501,$AB179)="","",INDEX(기본자료!$A$2:$A$501,$AB179)))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파견수련계획!$AB$4:$AB$203,$AK179),OR(NOT(ISNUMBER(INDEX(파견수련계획!$AC$4:$AC$203,$AK179))),TODAY()&lt;=INDEX(파견수련계획!$AC$4:$AC$203,$AK179))),"다기관",IF($AF179="","",INDEX(파견수련계획!$T$4:$T$203,$AF179))),IF($AF179="","",INDEX(파견수련계획!$T$4:$T$203,$AF179))))</f>
        <v/>
      </c>
      <c r="Q179" s="10">
        <f>IF($AF179="","",INDEX(파견수련계획!$S$4:$S$203,$AF179))</f>
        <v/>
      </c>
      <c r="R179" s="10">
        <f>IF($AF179="","",INDEX(파견수련계획!$U$4:$U$203,$AF179))</f>
        <v/>
      </c>
      <c r="S179" s="11">
        <f>IF($AF179="","",IF(INDEX(파견수련계획!$H$4:$H$203,$AF179)="","",INDEX(파견수련계획!$H$4:$H$203,$AF179)))</f>
        <v/>
      </c>
      <c r="T179" s="11">
        <f>IF($AF179="","",IF(INDEX(파견수련계획!$I$4:$I$203,$AF179)="","",INDEX(파견수련계획!$I$4:$I$203,$AF179)))</f>
        <v/>
      </c>
      <c r="U179" s="10">
        <f>IF($AF179="","",INDEX(파견수련계획!$X$4:$X$203,$AF179))</f>
        <v/>
      </c>
      <c r="V179" s="17">
        <f>IF($AF179="","",INDEX(파견수련계획!$V$4:$V$203,$AF179))</f>
        <v/>
      </c>
      <c r="W179" s="17">
        <f>IF(AND($U179="파견중",$T179&lt;&gt;""),$T179-TODAY(),"")</f>
        <v/>
      </c>
      <c r="X179" s="17">
        <f>IF(OR($B179="",TRIM($J179&amp;"")=""),"",SUMPRODUCT((파견수련계획!$Q$4:$Q$203=TRIM($J179&amp;""))*파견수련계획!$W$4:$W$203))</f>
        <v/>
      </c>
      <c r="Y179" s="10">
        <f>IF($B179="","",IF($AG179="","",IF(IF(TRIM($J179&amp;"")="",0,SUMPRODUCT((파견수련계획!$Q$4:$Q$203=TRIM($J179&amp;""))*파견수련계획!$AD$4:$AD$203))&gt;0,$AE179,IF(N($X179)&lt;=0,$AG179,IF($AH179+$AI179=DAY(EOMONTH(요약!$B$3,0)),IF(AND($AH179&gt;=요약!$E$3,$AI179&lt;요약!$E$3),"서울병원",IF(AND($AI179&gt;=요약!$E$3,$AH179&lt;요약!$E$3),"구리병원","⚠15일 판정불가(서울 "&amp;$AH179&amp;"일/구리 "&amp;$AI179&amp;"일)")),IF($AJ179="",$AE179,IF(INDEX(파견수련계획!$T$4:$T$203,$AJ179)="통합수련",INDEX(파견수련계획!$S$4:$S$203,$AJ179),$AE179)))))))</f>
        <v/>
      </c>
      <c r="Z179" s="19">
        <f>IF($B179="","",IF($AB179="","기본자료에 없는 사번",IF(COUNTIF($B$2:$B$201,$B179)&gt;1,"중복 사번",IF($AE179="","소속(입사장소) 입력",IF(IF(TRIM($J179&amp;"")="",0,SUMPRODUCT((파견수련계획!$Q$4:$Q$203=TRIM($J179&amp;""))*(파견수련계획!$AA$4:$AA$203&lt;&gt;"")))&gt;0,"파견수련계획 입력오류 확인",IF(LEFT($Y179,1)="⚠","서울·구리 15일 판정 불가(양쪽 모두 이상/미만)",IF(IF($AC179="",0,N(INDEX(인턴근무계획!$T$3:$T$202,$AC179)))&gt;0,"인턴계획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IF($B179="","",IFERROR(MATCH($B179,기본자료!$B$2:$B$501,0),IFERROR(MATCH($B179&amp;"",기본자료!$B$2:$B$501,0),IFERROR(MATCH(VALUE($B179),기본자료!$B$2:$B$501,0),""))))</f>
        <v/>
      </c>
      <c r="AC179" s="10">
        <f>IF($B179="","",IFERROR(MATCH($B179,인턴근무계획!$D$3:$D$202,0),IFERROR(MATCH($B179&amp;"",인턴근무계획!$D$3:$D$202,0),IFERROR(MATCH(VALUE($B179),인턴근무계획!$D$3:$D$202,0),""))))</f>
        <v/>
      </c>
      <c r="AD179" s="10">
        <f>IF(OR($AC179="",인턴현황!$G$3=""),"",INDEX(인턴근무계획!$M$3:$R$202,$AC179,인턴현황!$G$3)&amp;"")</f>
        <v/>
      </c>
      <c r="AE179" s="10">
        <f>IF($B179="","",IF($M179&lt;&gt;"",$M179,IF($AF179&lt;&gt;"",IF(LEFT(INDEX(파견수련계획!$R$4:$R$203,$AF179),1)&lt;&gt;"⚠",INDEX(파견수련계획!$R$4:$R$203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파견수련계획!$Y$4:$Y$203,0),IFERROR(MATCH(TRIM($J179&amp;"")&amp;"|파견예정",파견수련계획!$Y$4:$Y$203,0),IFERROR(MATCH(TRIM($J179&amp;"")&amp;"|파견종료",파견수련계획!$Y$4:$Y$203,0),""))))</f>
        <v/>
      </c>
      <c r="AG179" s="10">
        <f>IF($B179="","",IF(AND(IF(OR($AC179="",인턴현황!$K$2=""),"",INDEX(인턴근무계획!$M$3:$R$202,$AC179,인턴현황!$K$2)&amp;"")&lt;&gt;"",LEFT(IF(OR($AC179="",인턴현황!$K$2=""),"",INDEX(인턴근무계획!$M$3:$R$202,$AC179,인턴현황!$K$2)&amp;""),1)&lt;&gt;"⚠"),LEFT(IF(OR($AC179="",인턴현황!$K$2=""),"",INDEX(인턴근무계획!$M$3:$R$202,$AC179,인턴현황!$K$2)&amp;""),FIND(" ",IF(OR($AC179="",인턴현황!$K$2=""),"",INDEX(인턴근무계획!$M$3:$R$202,$AC179,인턴현황!$K$2)&amp;""))-1),$AE179))</f>
        <v/>
      </c>
      <c r="AH179" s="17">
        <f>IF($B179="","",IF(TRIM($J179&amp;"")="",0,SUMPRODUCT((파견수련계획!$Q$4:$Q$203=TRIM($J179&amp;""))*(파견수련계획!$S$4:$S$203="서울병원")*파견수련계획!$W$4:$W$203))+IF($AG179="서울병원",MAX(0,DAY(EOMONTH(요약!$B$3,0))-N($X179)),0))</f>
        <v/>
      </c>
      <c r="AI179" s="17">
        <f>IF($B179="","",IF(TRIM($J179&amp;"")="",0,SUMPRODUCT((파견수련계획!$Q$4:$Q$203=TRIM($J179&amp;""))*(파견수련계획!$S$4:$S$203="구리병원")*파견수련계획!$W$4:$W$203))+IF($AG179="구리병원",MAX(0,DAY(EOMONTH(요약!$B$3,0))-N($X179)),0))</f>
        <v/>
      </c>
      <c r="AJ179" s="10">
        <f>IF(OR($B179="",TRIM($J179&amp;"")=""),"",IFERROR(MATCH(TRIM($J179&amp;"")&amp;"|월",파견수련계획!$Z$4:$Z$203,0),""))</f>
        <v/>
      </c>
      <c r="AK179" s="10">
        <f>IF(OR($B179="",TRIM($J179&amp;"")=""),"",IFERROR(MATCH(TRIM($J179&amp;"")&amp;"|다기관",파견수련계획!$AE$4:$AE$203,0),""))</f>
        <v/>
      </c>
      <c r="AL179" s="10">
        <f>IF($AK179="","","다기관 "&amp;TEXT(INDEX(파견수련계획!$AB$4:$AB$203,$AK179),"yyyy-mm-dd")&amp;"~"&amp;IF(ISNUMBER(INDEX(파견수련계획!$AC$4:$AC$203,$AK179)),TEXT(INDEX(파견수련계획!$AC$4:$AC$203,$AK179),"yyyy-mm-dd"),""))</f>
        <v/>
      </c>
    </row>
    <row r="180">
      <c r="A180" s="10">
        <f>IF(B180="","",ROW()-1)</f>
        <v/>
      </c>
      <c r="B180" s="18" t="n"/>
      <c r="C180" s="10">
        <f>IF($AB180="","",IF(INDEX(기본자료!$C$2:$C$501,$AB180)="","",INDEX(기본자료!$C$2:$C$501,$AB180)))</f>
        <v/>
      </c>
      <c r="D180" s="10">
        <f>IF($AB180="","",IF(INDEX(기본자료!$J$2:$J$501,$AB180)="","",INDEX(기본자료!$J$2:$J$501,$AB180)))</f>
        <v/>
      </c>
      <c r="E180" s="11">
        <f>IF($AB180="","",IF(INDEX(기본자료!$K$2:$K$501,$AB180)="","",IF(NOT(ISNUMBER(INDEX(기본자료!$K$2:$K$501,$AB180))),INDEX(기본자료!$K$2:$K$501,$AB180),IF(INDEX(기본자료!$K$2:$K$501,$AB180)&lt;1000000,INDEX(기본자료!$K$2:$K$501,$AB180),IF(AND(INDEX(기본자료!$K$2:$K$501,$AB180)&gt;=10000101,INT(MOD(INDEX(기본자료!$K$2:$K$501,$AB180),10000)/100)&gt;=1,INT(MOD(INDEX(기본자료!$K$2:$K$501,$AB180),10000)/100)&lt;=12,MOD(INDEX(기본자료!$K$2:$K$501,$AB180),100)&gt;=1,MOD(INDEX(기본자료!$K$2:$K$501,$AB180),100)&lt;=31),DATE(INT(INDEX(기본자료!$K$2:$K$501,$AB180)/10000),INT(MOD(INDEX(기본자료!$K$2:$K$501,$AB180),10000)/100),MOD(INDEX(기본자료!$K$2:$K$501,$AB180),100)),INDEX(기본자료!$K$2:$K$501,$AB180)&amp;"")))))</f>
        <v/>
      </c>
      <c r="F180" s="10">
        <f>IF($AB180="","",IF(INDEX(기본자료!$D$2:$D$501,$AB180)="","",INDEX(기본자료!$D$2:$D$501,$AB180)))</f>
        <v/>
      </c>
      <c r="G180" s="10">
        <f>IF($AB180="","",IF(INDEX(기본자료!$E$2:$E$501,$AB180)="","",INDEX(기본자료!$E$2:$E$501,$AB180)))</f>
        <v/>
      </c>
      <c r="H180" s="10">
        <f>IF($AB180="","",IF(INDEX(기본자료!$F$2:$F$501,$AB180)="","",INDEX(기본자료!$F$2:$F$501,$AB180)))</f>
        <v/>
      </c>
      <c r="I180" s="11">
        <f>IF($AB180="","",IF(INDEX(기본자료!$G$2:$G$501,$AB180)="","",IF(NOT(ISNUMBER(INDEX(기본자료!$G$2:$G$501,$AB180))),INDEX(기본자료!$G$2:$G$501,$AB180),IF(INDEX(기본자료!$G$2:$G$501,$AB180)&lt;1000000,INDEX(기본자료!$G$2:$G$501,$AB180),IF(AND(INDEX(기본자료!$G$2:$G$501,$AB180)&gt;=10000101,INT(MOD(INDEX(기본자료!$G$2:$G$501,$AB180),10000)/100)&gt;=1,INT(MOD(INDEX(기본자료!$G$2:$G$501,$AB180),10000)/100)&lt;=12,MOD(INDEX(기본자료!$G$2:$G$501,$AB180),100)&gt;=1,MOD(INDEX(기본자료!$G$2:$G$501,$AB180),100)&lt;=31),DATE(INT(INDEX(기본자료!$G$2:$G$501,$AB180)/10000),INT(MOD(INDEX(기본자료!$G$2:$G$501,$AB180),10000)/100),MOD(INDEX(기본자료!$G$2:$G$501,$AB180),100)),INDEX(기본자료!$G$2:$G$501,$AB180)&amp;"")))))</f>
        <v/>
      </c>
      <c r="J180" s="10">
        <f>IF($AB180="","",IF(INDEX(기본자료!$H$2:$H$501,$AB180)="","",INDEX(기본자료!$H$2:$H$501,$AB180)))</f>
        <v/>
      </c>
      <c r="K180" s="10">
        <f>IF($AB180="","",IF(INDEX(기본자료!$I$2:$I$501,$AB180)="","",INDEX(기본자료!$I$2:$I$501,$AB180)))</f>
        <v/>
      </c>
      <c r="L180" s="10">
        <f>IF($AB180="","",IF(INDEX(기본자료!$A$2:$A$501,$AB180)="","",INDEX(기본자료!$A$2:$A$501,$AB180)))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파견수련계획!$AB$4:$AB$203,$AK180),OR(NOT(ISNUMBER(INDEX(파견수련계획!$AC$4:$AC$203,$AK180))),TODAY()&lt;=INDEX(파견수련계획!$AC$4:$AC$203,$AK180))),"다기관",IF($AF180="","",INDEX(파견수련계획!$T$4:$T$203,$AF180))),IF($AF180="","",INDEX(파견수련계획!$T$4:$T$203,$AF180))))</f>
        <v/>
      </c>
      <c r="Q180" s="10">
        <f>IF($AF180="","",INDEX(파견수련계획!$S$4:$S$203,$AF180))</f>
        <v/>
      </c>
      <c r="R180" s="10">
        <f>IF($AF180="","",INDEX(파견수련계획!$U$4:$U$203,$AF180))</f>
        <v/>
      </c>
      <c r="S180" s="11">
        <f>IF($AF180="","",IF(INDEX(파견수련계획!$H$4:$H$203,$AF180)="","",INDEX(파견수련계획!$H$4:$H$203,$AF180)))</f>
        <v/>
      </c>
      <c r="T180" s="11">
        <f>IF($AF180="","",IF(INDEX(파견수련계획!$I$4:$I$203,$AF180)="","",INDEX(파견수련계획!$I$4:$I$203,$AF180)))</f>
        <v/>
      </c>
      <c r="U180" s="10">
        <f>IF($AF180="","",INDEX(파견수련계획!$X$4:$X$203,$AF180))</f>
        <v/>
      </c>
      <c r="V180" s="17">
        <f>IF($AF180="","",INDEX(파견수련계획!$V$4:$V$203,$AF180))</f>
        <v/>
      </c>
      <c r="W180" s="17">
        <f>IF(AND($U180="파견중",$T180&lt;&gt;""),$T180-TODAY(),"")</f>
        <v/>
      </c>
      <c r="X180" s="17">
        <f>IF(OR($B180="",TRIM($J180&amp;"")=""),"",SUMPRODUCT((파견수련계획!$Q$4:$Q$203=TRIM($J180&amp;""))*파견수련계획!$W$4:$W$203))</f>
        <v/>
      </c>
      <c r="Y180" s="10">
        <f>IF($B180="","",IF($AG180="","",IF(IF(TRIM($J180&amp;"")="",0,SUMPRODUCT((파견수련계획!$Q$4:$Q$203=TRIM($J180&amp;""))*파견수련계획!$AD$4:$AD$203))&gt;0,$AE180,IF(N($X180)&lt;=0,$AG180,IF($AH180+$AI180=DAY(EOMONTH(요약!$B$3,0)),IF(AND($AH180&gt;=요약!$E$3,$AI180&lt;요약!$E$3),"서울병원",IF(AND($AI180&gt;=요약!$E$3,$AH180&lt;요약!$E$3),"구리병원","⚠15일 판정불가(서울 "&amp;$AH180&amp;"일/구리 "&amp;$AI180&amp;"일)")),IF($AJ180="",$AE180,IF(INDEX(파견수련계획!$T$4:$T$203,$AJ180)="통합수련",INDEX(파견수련계획!$S$4:$S$203,$AJ180),$AE180)))))))</f>
        <v/>
      </c>
      <c r="Z180" s="19">
        <f>IF($B180="","",IF($AB180="","기본자료에 없는 사번",IF(COUNTIF($B$2:$B$201,$B180)&gt;1,"중복 사번",IF($AE180="","소속(입사장소) 입력",IF(IF(TRIM($J180&amp;"")="",0,SUMPRODUCT((파견수련계획!$Q$4:$Q$203=TRIM($J180&amp;""))*(파견수련계획!$AA$4:$AA$203&lt;&gt;"")))&gt;0,"파견수련계획 입력오류 확인",IF(LEFT($Y180,1)="⚠","서울·구리 15일 판정 불가(양쪽 모두 이상/미만)",IF(IF($AC180="",0,N(INDEX(인턴근무계획!$T$3:$T$202,$AC180)))&gt;0,"인턴계획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IF($B180="","",IFERROR(MATCH($B180,기본자료!$B$2:$B$501,0),IFERROR(MATCH($B180&amp;"",기본자료!$B$2:$B$501,0),IFERROR(MATCH(VALUE($B180),기본자료!$B$2:$B$501,0),""))))</f>
        <v/>
      </c>
      <c r="AC180" s="10">
        <f>IF($B180="","",IFERROR(MATCH($B180,인턴근무계획!$D$3:$D$202,0),IFERROR(MATCH($B180&amp;"",인턴근무계획!$D$3:$D$202,0),IFERROR(MATCH(VALUE($B180),인턴근무계획!$D$3:$D$202,0),""))))</f>
        <v/>
      </c>
      <c r="AD180" s="10">
        <f>IF(OR($AC180="",인턴현황!$G$3=""),"",INDEX(인턴근무계획!$M$3:$R$202,$AC180,인턴현황!$G$3)&amp;"")</f>
        <v/>
      </c>
      <c r="AE180" s="10">
        <f>IF($B180="","",IF($M180&lt;&gt;"",$M180,IF($AF180&lt;&gt;"",IF(LEFT(INDEX(파견수련계획!$R$4:$R$203,$AF180),1)&lt;&gt;"⚠",INDEX(파견수련계획!$R$4:$R$203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파견수련계획!$Y$4:$Y$203,0),IFERROR(MATCH(TRIM($J180&amp;"")&amp;"|파견예정",파견수련계획!$Y$4:$Y$203,0),IFERROR(MATCH(TRIM($J180&amp;"")&amp;"|파견종료",파견수련계획!$Y$4:$Y$203,0),""))))</f>
        <v/>
      </c>
      <c r="AG180" s="10">
        <f>IF($B180="","",IF(AND(IF(OR($AC180="",인턴현황!$K$2=""),"",INDEX(인턴근무계획!$M$3:$R$202,$AC180,인턴현황!$K$2)&amp;"")&lt;&gt;"",LEFT(IF(OR($AC180="",인턴현황!$K$2=""),"",INDEX(인턴근무계획!$M$3:$R$202,$AC180,인턴현황!$K$2)&amp;""),1)&lt;&gt;"⚠"),LEFT(IF(OR($AC180="",인턴현황!$K$2=""),"",INDEX(인턴근무계획!$M$3:$R$202,$AC180,인턴현황!$K$2)&amp;""),FIND(" ",IF(OR($AC180="",인턴현황!$K$2=""),"",INDEX(인턴근무계획!$M$3:$R$202,$AC180,인턴현황!$K$2)&amp;""))-1),$AE180))</f>
        <v/>
      </c>
      <c r="AH180" s="17">
        <f>IF($B180="","",IF(TRIM($J180&amp;"")="",0,SUMPRODUCT((파견수련계획!$Q$4:$Q$203=TRIM($J180&amp;""))*(파견수련계획!$S$4:$S$203="서울병원")*파견수련계획!$W$4:$W$203))+IF($AG180="서울병원",MAX(0,DAY(EOMONTH(요약!$B$3,0))-N($X180)),0))</f>
        <v/>
      </c>
      <c r="AI180" s="17">
        <f>IF($B180="","",IF(TRIM($J180&amp;"")="",0,SUMPRODUCT((파견수련계획!$Q$4:$Q$203=TRIM($J180&amp;""))*(파견수련계획!$S$4:$S$203="구리병원")*파견수련계획!$W$4:$W$203))+IF($AG180="구리병원",MAX(0,DAY(EOMONTH(요약!$B$3,0))-N($X180)),0))</f>
        <v/>
      </c>
      <c r="AJ180" s="10">
        <f>IF(OR($B180="",TRIM($J180&amp;"")=""),"",IFERROR(MATCH(TRIM($J180&amp;"")&amp;"|월",파견수련계획!$Z$4:$Z$203,0),""))</f>
        <v/>
      </c>
      <c r="AK180" s="10">
        <f>IF(OR($B180="",TRIM($J180&amp;"")=""),"",IFERROR(MATCH(TRIM($J180&amp;"")&amp;"|다기관",파견수련계획!$AE$4:$AE$203,0),""))</f>
        <v/>
      </c>
      <c r="AL180" s="10">
        <f>IF($AK180="","","다기관 "&amp;TEXT(INDEX(파견수련계획!$AB$4:$AB$203,$AK180),"yyyy-mm-dd")&amp;"~"&amp;IF(ISNUMBER(INDEX(파견수련계획!$AC$4:$AC$203,$AK180)),TEXT(INDEX(파견수련계획!$AC$4:$AC$203,$AK180),"yyyy-mm-dd"),""))</f>
        <v/>
      </c>
    </row>
    <row r="181">
      <c r="A181" s="10">
        <f>IF(B181="","",ROW()-1)</f>
        <v/>
      </c>
      <c r="B181" s="18" t="n"/>
      <c r="C181" s="10">
        <f>IF($AB181="","",IF(INDEX(기본자료!$C$2:$C$501,$AB181)="","",INDEX(기본자료!$C$2:$C$501,$AB181)))</f>
        <v/>
      </c>
      <c r="D181" s="10">
        <f>IF($AB181="","",IF(INDEX(기본자료!$J$2:$J$501,$AB181)="","",INDEX(기본자료!$J$2:$J$501,$AB181)))</f>
        <v/>
      </c>
      <c r="E181" s="11">
        <f>IF($AB181="","",IF(INDEX(기본자료!$K$2:$K$501,$AB181)="","",IF(NOT(ISNUMBER(INDEX(기본자료!$K$2:$K$501,$AB181))),INDEX(기본자료!$K$2:$K$501,$AB181),IF(INDEX(기본자료!$K$2:$K$501,$AB181)&lt;1000000,INDEX(기본자료!$K$2:$K$501,$AB181),IF(AND(INDEX(기본자료!$K$2:$K$501,$AB181)&gt;=10000101,INT(MOD(INDEX(기본자료!$K$2:$K$501,$AB181),10000)/100)&gt;=1,INT(MOD(INDEX(기본자료!$K$2:$K$501,$AB181),10000)/100)&lt;=12,MOD(INDEX(기본자료!$K$2:$K$501,$AB181),100)&gt;=1,MOD(INDEX(기본자료!$K$2:$K$501,$AB181),100)&lt;=31),DATE(INT(INDEX(기본자료!$K$2:$K$501,$AB181)/10000),INT(MOD(INDEX(기본자료!$K$2:$K$501,$AB181),10000)/100),MOD(INDEX(기본자료!$K$2:$K$501,$AB181),100)),INDEX(기본자료!$K$2:$K$501,$AB181)&amp;"")))))</f>
        <v/>
      </c>
      <c r="F181" s="10">
        <f>IF($AB181="","",IF(INDEX(기본자료!$D$2:$D$501,$AB181)="","",INDEX(기본자료!$D$2:$D$501,$AB181)))</f>
        <v/>
      </c>
      <c r="G181" s="10">
        <f>IF($AB181="","",IF(INDEX(기본자료!$E$2:$E$501,$AB181)="","",INDEX(기본자료!$E$2:$E$501,$AB181)))</f>
        <v/>
      </c>
      <c r="H181" s="10">
        <f>IF($AB181="","",IF(INDEX(기본자료!$F$2:$F$501,$AB181)="","",INDEX(기본자료!$F$2:$F$501,$AB181)))</f>
        <v/>
      </c>
      <c r="I181" s="11">
        <f>IF($AB181="","",IF(INDEX(기본자료!$G$2:$G$501,$AB181)="","",IF(NOT(ISNUMBER(INDEX(기본자료!$G$2:$G$501,$AB181))),INDEX(기본자료!$G$2:$G$501,$AB181),IF(INDEX(기본자료!$G$2:$G$501,$AB181)&lt;1000000,INDEX(기본자료!$G$2:$G$501,$AB181),IF(AND(INDEX(기본자료!$G$2:$G$501,$AB181)&gt;=10000101,INT(MOD(INDEX(기본자료!$G$2:$G$501,$AB181),10000)/100)&gt;=1,INT(MOD(INDEX(기본자료!$G$2:$G$501,$AB181),10000)/100)&lt;=12,MOD(INDEX(기본자료!$G$2:$G$501,$AB181),100)&gt;=1,MOD(INDEX(기본자료!$G$2:$G$501,$AB181),100)&lt;=31),DATE(INT(INDEX(기본자료!$G$2:$G$501,$AB181)/10000),INT(MOD(INDEX(기본자료!$G$2:$G$501,$AB181),10000)/100),MOD(INDEX(기본자료!$G$2:$G$501,$AB181),100)),INDEX(기본자료!$G$2:$G$501,$AB181)&amp;"")))))</f>
        <v/>
      </c>
      <c r="J181" s="10">
        <f>IF($AB181="","",IF(INDEX(기본자료!$H$2:$H$501,$AB181)="","",INDEX(기본자료!$H$2:$H$501,$AB181)))</f>
        <v/>
      </c>
      <c r="K181" s="10">
        <f>IF($AB181="","",IF(INDEX(기본자료!$I$2:$I$501,$AB181)="","",INDEX(기본자료!$I$2:$I$501,$AB181)))</f>
        <v/>
      </c>
      <c r="L181" s="10">
        <f>IF($AB181="","",IF(INDEX(기본자료!$A$2:$A$501,$AB181)="","",INDEX(기본자료!$A$2:$A$501,$AB181)))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파견수련계획!$AB$4:$AB$203,$AK181),OR(NOT(ISNUMBER(INDEX(파견수련계획!$AC$4:$AC$203,$AK181))),TODAY()&lt;=INDEX(파견수련계획!$AC$4:$AC$203,$AK181))),"다기관",IF($AF181="","",INDEX(파견수련계획!$T$4:$T$203,$AF181))),IF($AF181="","",INDEX(파견수련계획!$T$4:$T$203,$AF181))))</f>
        <v/>
      </c>
      <c r="Q181" s="10">
        <f>IF($AF181="","",INDEX(파견수련계획!$S$4:$S$203,$AF181))</f>
        <v/>
      </c>
      <c r="R181" s="10">
        <f>IF($AF181="","",INDEX(파견수련계획!$U$4:$U$203,$AF181))</f>
        <v/>
      </c>
      <c r="S181" s="11">
        <f>IF($AF181="","",IF(INDEX(파견수련계획!$H$4:$H$203,$AF181)="","",INDEX(파견수련계획!$H$4:$H$203,$AF181)))</f>
        <v/>
      </c>
      <c r="T181" s="11">
        <f>IF($AF181="","",IF(INDEX(파견수련계획!$I$4:$I$203,$AF181)="","",INDEX(파견수련계획!$I$4:$I$203,$AF181)))</f>
        <v/>
      </c>
      <c r="U181" s="10">
        <f>IF($AF181="","",INDEX(파견수련계획!$X$4:$X$203,$AF181))</f>
        <v/>
      </c>
      <c r="V181" s="17">
        <f>IF($AF181="","",INDEX(파견수련계획!$V$4:$V$203,$AF181))</f>
        <v/>
      </c>
      <c r="W181" s="17">
        <f>IF(AND($U181="파견중",$T181&lt;&gt;""),$T181-TODAY(),"")</f>
        <v/>
      </c>
      <c r="X181" s="17">
        <f>IF(OR($B181="",TRIM($J181&amp;"")=""),"",SUMPRODUCT((파견수련계획!$Q$4:$Q$203=TRIM($J181&amp;""))*파견수련계획!$W$4:$W$203))</f>
        <v/>
      </c>
      <c r="Y181" s="10">
        <f>IF($B181="","",IF($AG181="","",IF(IF(TRIM($J181&amp;"")="",0,SUMPRODUCT((파견수련계획!$Q$4:$Q$203=TRIM($J181&amp;""))*파견수련계획!$AD$4:$AD$203))&gt;0,$AE181,IF(N($X181)&lt;=0,$AG181,IF($AH181+$AI181=DAY(EOMONTH(요약!$B$3,0)),IF(AND($AH181&gt;=요약!$E$3,$AI181&lt;요약!$E$3),"서울병원",IF(AND($AI181&gt;=요약!$E$3,$AH181&lt;요약!$E$3),"구리병원","⚠15일 판정불가(서울 "&amp;$AH181&amp;"일/구리 "&amp;$AI181&amp;"일)")),IF($AJ181="",$AE181,IF(INDEX(파견수련계획!$T$4:$T$203,$AJ181)="통합수련",INDEX(파견수련계획!$S$4:$S$203,$AJ181),$AE181)))))))</f>
        <v/>
      </c>
      <c r="Z181" s="19">
        <f>IF($B181="","",IF($AB181="","기본자료에 없는 사번",IF(COUNTIF($B$2:$B$201,$B181)&gt;1,"중복 사번",IF($AE181="","소속(입사장소) 입력",IF(IF(TRIM($J181&amp;"")="",0,SUMPRODUCT((파견수련계획!$Q$4:$Q$203=TRIM($J181&amp;""))*(파견수련계획!$AA$4:$AA$203&lt;&gt;"")))&gt;0,"파견수련계획 입력오류 확인",IF(LEFT($Y181,1)="⚠","서울·구리 15일 판정 불가(양쪽 모두 이상/미만)",IF(IF($AC181="",0,N(INDEX(인턴근무계획!$T$3:$T$202,$AC181)))&gt;0,"인턴계획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IF($B181="","",IFERROR(MATCH($B181,기본자료!$B$2:$B$501,0),IFERROR(MATCH($B181&amp;"",기본자료!$B$2:$B$501,0),IFERROR(MATCH(VALUE($B181),기본자료!$B$2:$B$501,0),""))))</f>
        <v/>
      </c>
      <c r="AC181" s="10">
        <f>IF($B181="","",IFERROR(MATCH($B181,인턴근무계획!$D$3:$D$202,0),IFERROR(MATCH($B181&amp;"",인턴근무계획!$D$3:$D$202,0),IFERROR(MATCH(VALUE($B181),인턴근무계획!$D$3:$D$202,0),""))))</f>
        <v/>
      </c>
      <c r="AD181" s="10">
        <f>IF(OR($AC181="",인턴현황!$G$3=""),"",INDEX(인턴근무계획!$M$3:$R$202,$AC181,인턴현황!$G$3)&amp;"")</f>
        <v/>
      </c>
      <c r="AE181" s="10">
        <f>IF($B181="","",IF($M181&lt;&gt;"",$M181,IF($AF181&lt;&gt;"",IF(LEFT(INDEX(파견수련계획!$R$4:$R$203,$AF181),1)&lt;&gt;"⚠",INDEX(파견수련계획!$R$4:$R$203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파견수련계획!$Y$4:$Y$203,0),IFERROR(MATCH(TRIM($J181&amp;"")&amp;"|파견예정",파견수련계획!$Y$4:$Y$203,0),IFERROR(MATCH(TRIM($J181&amp;"")&amp;"|파견종료",파견수련계획!$Y$4:$Y$203,0),""))))</f>
        <v/>
      </c>
      <c r="AG181" s="10">
        <f>IF($B181="","",IF(AND(IF(OR($AC181="",인턴현황!$K$2=""),"",INDEX(인턴근무계획!$M$3:$R$202,$AC181,인턴현황!$K$2)&amp;"")&lt;&gt;"",LEFT(IF(OR($AC181="",인턴현황!$K$2=""),"",INDEX(인턴근무계획!$M$3:$R$202,$AC181,인턴현황!$K$2)&amp;""),1)&lt;&gt;"⚠"),LEFT(IF(OR($AC181="",인턴현황!$K$2=""),"",INDEX(인턴근무계획!$M$3:$R$202,$AC181,인턴현황!$K$2)&amp;""),FIND(" ",IF(OR($AC181="",인턴현황!$K$2=""),"",INDEX(인턴근무계획!$M$3:$R$202,$AC181,인턴현황!$K$2)&amp;""))-1),$AE181))</f>
        <v/>
      </c>
      <c r="AH181" s="17">
        <f>IF($B181="","",IF(TRIM($J181&amp;"")="",0,SUMPRODUCT((파견수련계획!$Q$4:$Q$203=TRIM($J181&amp;""))*(파견수련계획!$S$4:$S$203="서울병원")*파견수련계획!$W$4:$W$203))+IF($AG181="서울병원",MAX(0,DAY(EOMONTH(요약!$B$3,0))-N($X181)),0))</f>
        <v/>
      </c>
      <c r="AI181" s="17">
        <f>IF($B181="","",IF(TRIM($J181&amp;"")="",0,SUMPRODUCT((파견수련계획!$Q$4:$Q$203=TRIM($J181&amp;""))*(파견수련계획!$S$4:$S$203="구리병원")*파견수련계획!$W$4:$W$203))+IF($AG181="구리병원",MAX(0,DAY(EOMONTH(요약!$B$3,0))-N($X181)),0))</f>
        <v/>
      </c>
      <c r="AJ181" s="10">
        <f>IF(OR($B181="",TRIM($J181&amp;"")=""),"",IFERROR(MATCH(TRIM($J181&amp;"")&amp;"|월",파견수련계획!$Z$4:$Z$203,0),""))</f>
        <v/>
      </c>
      <c r="AK181" s="10">
        <f>IF(OR($B181="",TRIM($J181&amp;"")=""),"",IFERROR(MATCH(TRIM($J181&amp;"")&amp;"|다기관",파견수련계획!$AE$4:$AE$203,0),""))</f>
        <v/>
      </c>
      <c r="AL181" s="10">
        <f>IF($AK181="","","다기관 "&amp;TEXT(INDEX(파견수련계획!$AB$4:$AB$203,$AK181),"yyyy-mm-dd")&amp;"~"&amp;IF(ISNUMBER(INDEX(파견수련계획!$AC$4:$AC$203,$AK181)),TEXT(INDEX(파견수련계획!$AC$4:$AC$203,$AK181),"yyyy-mm-dd"),""))</f>
        <v/>
      </c>
    </row>
    <row r="182">
      <c r="A182" s="10">
        <f>IF(B182="","",ROW()-1)</f>
        <v/>
      </c>
      <c r="B182" s="18" t="n"/>
      <c r="C182" s="10">
        <f>IF($AB182="","",IF(INDEX(기본자료!$C$2:$C$501,$AB182)="","",INDEX(기본자료!$C$2:$C$501,$AB182)))</f>
        <v/>
      </c>
      <c r="D182" s="10">
        <f>IF($AB182="","",IF(INDEX(기본자료!$J$2:$J$501,$AB182)="","",INDEX(기본자료!$J$2:$J$501,$AB182)))</f>
        <v/>
      </c>
      <c r="E182" s="11">
        <f>IF($AB182="","",IF(INDEX(기본자료!$K$2:$K$501,$AB182)="","",IF(NOT(ISNUMBER(INDEX(기본자료!$K$2:$K$501,$AB182))),INDEX(기본자료!$K$2:$K$501,$AB182),IF(INDEX(기본자료!$K$2:$K$501,$AB182)&lt;1000000,INDEX(기본자료!$K$2:$K$501,$AB182),IF(AND(INDEX(기본자료!$K$2:$K$501,$AB182)&gt;=10000101,INT(MOD(INDEX(기본자료!$K$2:$K$501,$AB182),10000)/100)&gt;=1,INT(MOD(INDEX(기본자료!$K$2:$K$501,$AB182),10000)/100)&lt;=12,MOD(INDEX(기본자료!$K$2:$K$501,$AB182),100)&gt;=1,MOD(INDEX(기본자료!$K$2:$K$501,$AB182),100)&lt;=31),DATE(INT(INDEX(기본자료!$K$2:$K$501,$AB182)/10000),INT(MOD(INDEX(기본자료!$K$2:$K$501,$AB182),10000)/100),MOD(INDEX(기본자료!$K$2:$K$501,$AB182),100)),INDEX(기본자료!$K$2:$K$501,$AB182)&amp;"")))))</f>
        <v/>
      </c>
      <c r="F182" s="10">
        <f>IF($AB182="","",IF(INDEX(기본자료!$D$2:$D$501,$AB182)="","",INDEX(기본자료!$D$2:$D$501,$AB182)))</f>
        <v/>
      </c>
      <c r="G182" s="10">
        <f>IF($AB182="","",IF(INDEX(기본자료!$E$2:$E$501,$AB182)="","",INDEX(기본자료!$E$2:$E$501,$AB182)))</f>
        <v/>
      </c>
      <c r="H182" s="10">
        <f>IF($AB182="","",IF(INDEX(기본자료!$F$2:$F$501,$AB182)="","",INDEX(기본자료!$F$2:$F$501,$AB182)))</f>
        <v/>
      </c>
      <c r="I182" s="11">
        <f>IF($AB182="","",IF(INDEX(기본자료!$G$2:$G$501,$AB182)="","",IF(NOT(ISNUMBER(INDEX(기본자료!$G$2:$G$501,$AB182))),INDEX(기본자료!$G$2:$G$501,$AB182),IF(INDEX(기본자료!$G$2:$G$501,$AB182)&lt;1000000,INDEX(기본자료!$G$2:$G$501,$AB182),IF(AND(INDEX(기본자료!$G$2:$G$501,$AB182)&gt;=10000101,INT(MOD(INDEX(기본자료!$G$2:$G$501,$AB182),10000)/100)&gt;=1,INT(MOD(INDEX(기본자료!$G$2:$G$501,$AB182),10000)/100)&lt;=12,MOD(INDEX(기본자료!$G$2:$G$501,$AB182),100)&gt;=1,MOD(INDEX(기본자료!$G$2:$G$501,$AB182),100)&lt;=31),DATE(INT(INDEX(기본자료!$G$2:$G$501,$AB182)/10000),INT(MOD(INDEX(기본자료!$G$2:$G$501,$AB182),10000)/100),MOD(INDEX(기본자료!$G$2:$G$501,$AB182),100)),INDEX(기본자료!$G$2:$G$501,$AB182)&amp;"")))))</f>
        <v/>
      </c>
      <c r="J182" s="10">
        <f>IF($AB182="","",IF(INDEX(기본자료!$H$2:$H$501,$AB182)="","",INDEX(기본자료!$H$2:$H$501,$AB182)))</f>
        <v/>
      </c>
      <c r="K182" s="10">
        <f>IF($AB182="","",IF(INDEX(기본자료!$I$2:$I$501,$AB182)="","",INDEX(기본자료!$I$2:$I$501,$AB182)))</f>
        <v/>
      </c>
      <c r="L182" s="10">
        <f>IF($AB182="","",IF(INDEX(기본자료!$A$2:$A$501,$AB182)="","",INDEX(기본자료!$A$2:$A$501,$AB182)))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파견수련계획!$AB$4:$AB$203,$AK182),OR(NOT(ISNUMBER(INDEX(파견수련계획!$AC$4:$AC$203,$AK182))),TODAY()&lt;=INDEX(파견수련계획!$AC$4:$AC$203,$AK182))),"다기관",IF($AF182="","",INDEX(파견수련계획!$T$4:$T$203,$AF182))),IF($AF182="","",INDEX(파견수련계획!$T$4:$T$203,$AF182))))</f>
        <v/>
      </c>
      <c r="Q182" s="10">
        <f>IF($AF182="","",INDEX(파견수련계획!$S$4:$S$203,$AF182))</f>
        <v/>
      </c>
      <c r="R182" s="10">
        <f>IF($AF182="","",INDEX(파견수련계획!$U$4:$U$203,$AF182))</f>
        <v/>
      </c>
      <c r="S182" s="11">
        <f>IF($AF182="","",IF(INDEX(파견수련계획!$H$4:$H$203,$AF182)="","",INDEX(파견수련계획!$H$4:$H$203,$AF182)))</f>
        <v/>
      </c>
      <c r="T182" s="11">
        <f>IF($AF182="","",IF(INDEX(파견수련계획!$I$4:$I$203,$AF182)="","",INDEX(파견수련계획!$I$4:$I$203,$AF182)))</f>
        <v/>
      </c>
      <c r="U182" s="10">
        <f>IF($AF182="","",INDEX(파견수련계획!$X$4:$X$203,$AF182))</f>
        <v/>
      </c>
      <c r="V182" s="17">
        <f>IF($AF182="","",INDEX(파견수련계획!$V$4:$V$203,$AF182))</f>
        <v/>
      </c>
      <c r="W182" s="17">
        <f>IF(AND($U182="파견중",$T182&lt;&gt;""),$T182-TODAY(),"")</f>
        <v/>
      </c>
      <c r="X182" s="17">
        <f>IF(OR($B182="",TRIM($J182&amp;"")=""),"",SUMPRODUCT((파견수련계획!$Q$4:$Q$203=TRIM($J182&amp;""))*파견수련계획!$W$4:$W$203))</f>
        <v/>
      </c>
      <c r="Y182" s="10">
        <f>IF($B182="","",IF($AG182="","",IF(IF(TRIM($J182&amp;"")="",0,SUMPRODUCT((파견수련계획!$Q$4:$Q$203=TRIM($J182&amp;""))*파견수련계획!$AD$4:$AD$203))&gt;0,$AE182,IF(N($X182)&lt;=0,$AG182,IF($AH182+$AI182=DAY(EOMONTH(요약!$B$3,0)),IF(AND($AH182&gt;=요약!$E$3,$AI182&lt;요약!$E$3),"서울병원",IF(AND($AI182&gt;=요약!$E$3,$AH182&lt;요약!$E$3),"구리병원","⚠15일 판정불가(서울 "&amp;$AH182&amp;"일/구리 "&amp;$AI182&amp;"일)")),IF($AJ182="",$AE182,IF(INDEX(파견수련계획!$T$4:$T$203,$AJ182)="통합수련",INDEX(파견수련계획!$S$4:$S$203,$AJ182),$AE182)))))))</f>
        <v/>
      </c>
      <c r="Z182" s="19">
        <f>IF($B182="","",IF($AB182="","기본자료에 없는 사번",IF(COUNTIF($B$2:$B$201,$B182)&gt;1,"중복 사번",IF($AE182="","소속(입사장소) 입력",IF(IF(TRIM($J182&amp;"")="",0,SUMPRODUCT((파견수련계획!$Q$4:$Q$203=TRIM($J182&amp;""))*(파견수련계획!$AA$4:$AA$203&lt;&gt;"")))&gt;0,"파견수련계획 입력오류 확인",IF(LEFT($Y182,1)="⚠","서울·구리 15일 판정 불가(양쪽 모두 이상/미만)",IF(IF($AC182="",0,N(INDEX(인턴근무계획!$T$3:$T$202,$AC182)))&gt;0,"인턴계획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IF($B182="","",IFERROR(MATCH($B182,기본자료!$B$2:$B$501,0),IFERROR(MATCH($B182&amp;"",기본자료!$B$2:$B$501,0),IFERROR(MATCH(VALUE($B182),기본자료!$B$2:$B$501,0),""))))</f>
        <v/>
      </c>
      <c r="AC182" s="10">
        <f>IF($B182="","",IFERROR(MATCH($B182,인턴근무계획!$D$3:$D$202,0),IFERROR(MATCH($B182&amp;"",인턴근무계획!$D$3:$D$202,0),IFERROR(MATCH(VALUE($B182),인턴근무계획!$D$3:$D$202,0),""))))</f>
        <v/>
      </c>
      <c r="AD182" s="10">
        <f>IF(OR($AC182="",인턴현황!$G$3=""),"",INDEX(인턴근무계획!$M$3:$R$202,$AC182,인턴현황!$G$3)&amp;"")</f>
        <v/>
      </c>
      <c r="AE182" s="10">
        <f>IF($B182="","",IF($M182&lt;&gt;"",$M182,IF($AF182&lt;&gt;"",IF(LEFT(INDEX(파견수련계획!$R$4:$R$203,$AF182),1)&lt;&gt;"⚠",INDEX(파견수련계획!$R$4:$R$203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파견수련계획!$Y$4:$Y$203,0),IFERROR(MATCH(TRIM($J182&amp;"")&amp;"|파견예정",파견수련계획!$Y$4:$Y$203,0),IFERROR(MATCH(TRIM($J182&amp;"")&amp;"|파견종료",파견수련계획!$Y$4:$Y$203,0),""))))</f>
        <v/>
      </c>
      <c r="AG182" s="10">
        <f>IF($B182="","",IF(AND(IF(OR($AC182="",인턴현황!$K$2=""),"",INDEX(인턴근무계획!$M$3:$R$202,$AC182,인턴현황!$K$2)&amp;"")&lt;&gt;"",LEFT(IF(OR($AC182="",인턴현황!$K$2=""),"",INDEX(인턴근무계획!$M$3:$R$202,$AC182,인턴현황!$K$2)&amp;""),1)&lt;&gt;"⚠"),LEFT(IF(OR($AC182="",인턴현황!$K$2=""),"",INDEX(인턴근무계획!$M$3:$R$202,$AC182,인턴현황!$K$2)&amp;""),FIND(" ",IF(OR($AC182="",인턴현황!$K$2=""),"",INDEX(인턴근무계획!$M$3:$R$202,$AC182,인턴현황!$K$2)&amp;""))-1),$AE182))</f>
        <v/>
      </c>
      <c r="AH182" s="17">
        <f>IF($B182="","",IF(TRIM($J182&amp;"")="",0,SUMPRODUCT((파견수련계획!$Q$4:$Q$203=TRIM($J182&amp;""))*(파견수련계획!$S$4:$S$203="서울병원")*파견수련계획!$W$4:$W$203))+IF($AG182="서울병원",MAX(0,DAY(EOMONTH(요약!$B$3,0))-N($X182)),0))</f>
        <v/>
      </c>
      <c r="AI182" s="17">
        <f>IF($B182="","",IF(TRIM($J182&amp;"")="",0,SUMPRODUCT((파견수련계획!$Q$4:$Q$203=TRIM($J182&amp;""))*(파견수련계획!$S$4:$S$203="구리병원")*파견수련계획!$W$4:$W$203))+IF($AG182="구리병원",MAX(0,DAY(EOMONTH(요약!$B$3,0))-N($X182)),0))</f>
        <v/>
      </c>
      <c r="AJ182" s="10">
        <f>IF(OR($B182="",TRIM($J182&amp;"")=""),"",IFERROR(MATCH(TRIM($J182&amp;"")&amp;"|월",파견수련계획!$Z$4:$Z$203,0),""))</f>
        <v/>
      </c>
      <c r="AK182" s="10">
        <f>IF(OR($B182="",TRIM($J182&amp;"")=""),"",IFERROR(MATCH(TRIM($J182&amp;"")&amp;"|다기관",파견수련계획!$AE$4:$AE$203,0),""))</f>
        <v/>
      </c>
      <c r="AL182" s="10">
        <f>IF($AK182="","","다기관 "&amp;TEXT(INDEX(파견수련계획!$AB$4:$AB$203,$AK182),"yyyy-mm-dd")&amp;"~"&amp;IF(ISNUMBER(INDEX(파견수련계획!$AC$4:$AC$203,$AK182)),TEXT(INDEX(파견수련계획!$AC$4:$AC$203,$AK182),"yyyy-mm-dd"),""))</f>
        <v/>
      </c>
    </row>
    <row r="183">
      <c r="A183" s="10">
        <f>IF(B183="","",ROW()-1)</f>
        <v/>
      </c>
      <c r="B183" s="18" t="n"/>
      <c r="C183" s="10">
        <f>IF($AB183="","",IF(INDEX(기본자료!$C$2:$C$501,$AB183)="","",INDEX(기본자료!$C$2:$C$501,$AB183)))</f>
        <v/>
      </c>
      <c r="D183" s="10">
        <f>IF($AB183="","",IF(INDEX(기본자료!$J$2:$J$501,$AB183)="","",INDEX(기본자료!$J$2:$J$501,$AB183)))</f>
        <v/>
      </c>
      <c r="E183" s="11">
        <f>IF($AB183="","",IF(INDEX(기본자료!$K$2:$K$501,$AB183)="","",IF(NOT(ISNUMBER(INDEX(기본자료!$K$2:$K$501,$AB183))),INDEX(기본자료!$K$2:$K$501,$AB183),IF(INDEX(기본자료!$K$2:$K$501,$AB183)&lt;1000000,INDEX(기본자료!$K$2:$K$501,$AB183),IF(AND(INDEX(기본자료!$K$2:$K$501,$AB183)&gt;=10000101,INT(MOD(INDEX(기본자료!$K$2:$K$501,$AB183),10000)/100)&gt;=1,INT(MOD(INDEX(기본자료!$K$2:$K$501,$AB183),10000)/100)&lt;=12,MOD(INDEX(기본자료!$K$2:$K$501,$AB183),100)&gt;=1,MOD(INDEX(기본자료!$K$2:$K$501,$AB183),100)&lt;=31),DATE(INT(INDEX(기본자료!$K$2:$K$501,$AB183)/10000),INT(MOD(INDEX(기본자료!$K$2:$K$501,$AB183),10000)/100),MOD(INDEX(기본자료!$K$2:$K$501,$AB183),100)),INDEX(기본자료!$K$2:$K$501,$AB183)&amp;"")))))</f>
        <v/>
      </c>
      <c r="F183" s="10">
        <f>IF($AB183="","",IF(INDEX(기본자료!$D$2:$D$501,$AB183)="","",INDEX(기본자료!$D$2:$D$501,$AB183)))</f>
        <v/>
      </c>
      <c r="G183" s="10">
        <f>IF($AB183="","",IF(INDEX(기본자료!$E$2:$E$501,$AB183)="","",INDEX(기본자료!$E$2:$E$501,$AB183)))</f>
        <v/>
      </c>
      <c r="H183" s="10">
        <f>IF($AB183="","",IF(INDEX(기본자료!$F$2:$F$501,$AB183)="","",INDEX(기본자료!$F$2:$F$501,$AB183)))</f>
        <v/>
      </c>
      <c r="I183" s="11">
        <f>IF($AB183="","",IF(INDEX(기본자료!$G$2:$G$501,$AB183)="","",IF(NOT(ISNUMBER(INDEX(기본자료!$G$2:$G$501,$AB183))),INDEX(기본자료!$G$2:$G$501,$AB183),IF(INDEX(기본자료!$G$2:$G$501,$AB183)&lt;1000000,INDEX(기본자료!$G$2:$G$501,$AB183),IF(AND(INDEX(기본자료!$G$2:$G$501,$AB183)&gt;=10000101,INT(MOD(INDEX(기본자료!$G$2:$G$501,$AB183),10000)/100)&gt;=1,INT(MOD(INDEX(기본자료!$G$2:$G$501,$AB183),10000)/100)&lt;=12,MOD(INDEX(기본자료!$G$2:$G$501,$AB183),100)&gt;=1,MOD(INDEX(기본자료!$G$2:$G$501,$AB183),100)&lt;=31),DATE(INT(INDEX(기본자료!$G$2:$G$501,$AB183)/10000),INT(MOD(INDEX(기본자료!$G$2:$G$501,$AB183),10000)/100),MOD(INDEX(기본자료!$G$2:$G$501,$AB183),100)),INDEX(기본자료!$G$2:$G$501,$AB183)&amp;"")))))</f>
        <v/>
      </c>
      <c r="J183" s="10">
        <f>IF($AB183="","",IF(INDEX(기본자료!$H$2:$H$501,$AB183)="","",INDEX(기본자료!$H$2:$H$501,$AB183)))</f>
        <v/>
      </c>
      <c r="K183" s="10">
        <f>IF($AB183="","",IF(INDEX(기본자료!$I$2:$I$501,$AB183)="","",INDEX(기본자료!$I$2:$I$501,$AB183)))</f>
        <v/>
      </c>
      <c r="L183" s="10">
        <f>IF($AB183="","",IF(INDEX(기본자료!$A$2:$A$501,$AB183)="","",INDEX(기본자료!$A$2:$A$501,$AB183)))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파견수련계획!$AB$4:$AB$203,$AK183),OR(NOT(ISNUMBER(INDEX(파견수련계획!$AC$4:$AC$203,$AK183))),TODAY()&lt;=INDEX(파견수련계획!$AC$4:$AC$203,$AK183))),"다기관",IF($AF183="","",INDEX(파견수련계획!$T$4:$T$203,$AF183))),IF($AF183="","",INDEX(파견수련계획!$T$4:$T$203,$AF183))))</f>
        <v/>
      </c>
      <c r="Q183" s="10">
        <f>IF($AF183="","",INDEX(파견수련계획!$S$4:$S$203,$AF183))</f>
        <v/>
      </c>
      <c r="R183" s="10">
        <f>IF($AF183="","",INDEX(파견수련계획!$U$4:$U$203,$AF183))</f>
        <v/>
      </c>
      <c r="S183" s="11">
        <f>IF($AF183="","",IF(INDEX(파견수련계획!$H$4:$H$203,$AF183)="","",INDEX(파견수련계획!$H$4:$H$203,$AF183)))</f>
        <v/>
      </c>
      <c r="T183" s="11">
        <f>IF($AF183="","",IF(INDEX(파견수련계획!$I$4:$I$203,$AF183)="","",INDEX(파견수련계획!$I$4:$I$203,$AF183)))</f>
        <v/>
      </c>
      <c r="U183" s="10">
        <f>IF($AF183="","",INDEX(파견수련계획!$X$4:$X$203,$AF183))</f>
        <v/>
      </c>
      <c r="V183" s="17">
        <f>IF($AF183="","",INDEX(파견수련계획!$V$4:$V$203,$AF183))</f>
        <v/>
      </c>
      <c r="W183" s="17">
        <f>IF(AND($U183="파견중",$T183&lt;&gt;""),$T183-TODAY(),"")</f>
        <v/>
      </c>
      <c r="X183" s="17">
        <f>IF(OR($B183="",TRIM($J183&amp;"")=""),"",SUMPRODUCT((파견수련계획!$Q$4:$Q$203=TRIM($J183&amp;""))*파견수련계획!$W$4:$W$203))</f>
        <v/>
      </c>
      <c r="Y183" s="10">
        <f>IF($B183="","",IF($AG183="","",IF(IF(TRIM($J183&amp;"")="",0,SUMPRODUCT((파견수련계획!$Q$4:$Q$203=TRIM($J183&amp;""))*파견수련계획!$AD$4:$AD$203))&gt;0,$AE183,IF(N($X183)&lt;=0,$AG183,IF($AH183+$AI183=DAY(EOMONTH(요약!$B$3,0)),IF(AND($AH183&gt;=요약!$E$3,$AI183&lt;요약!$E$3),"서울병원",IF(AND($AI183&gt;=요약!$E$3,$AH183&lt;요약!$E$3),"구리병원","⚠15일 판정불가(서울 "&amp;$AH183&amp;"일/구리 "&amp;$AI183&amp;"일)")),IF($AJ183="",$AE183,IF(INDEX(파견수련계획!$T$4:$T$203,$AJ183)="통합수련",INDEX(파견수련계획!$S$4:$S$203,$AJ183),$AE183)))))))</f>
        <v/>
      </c>
      <c r="Z183" s="19">
        <f>IF($B183="","",IF($AB183="","기본자료에 없는 사번",IF(COUNTIF($B$2:$B$201,$B183)&gt;1,"중복 사번",IF($AE183="","소속(입사장소) 입력",IF(IF(TRIM($J183&amp;"")="",0,SUMPRODUCT((파견수련계획!$Q$4:$Q$203=TRIM($J183&amp;""))*(파견수련계획!$AA$4:$AA$203&lt;&gt;"")))&gt;0,"파견수련계획 입력오류 확인",IF(LEFT($Y183,1)="⚠","서울·구리 15일 판정 불가(양쪽 모두 이상/미만)",IF(IF($AC183="",0,N(INDEX(인턴근무계획!$T$3:$T$202,$AC183)))&gt;0,"인턴계획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IF($B183="","",IFERROR(MATCH($B183,기본자료!$B$2:$B$501,0),IFERROR(MATCH($B183&amp;"",기본자료!$B$2:$B$501,0),IFERROR(MATCH(VALUE($B183),기본자료!$B$2:$B$501,0),""))))</f>
        <v/>
      </c>
      <c r="AC183" s="10">
        <f>IF($B183="","",IFERROR(MATCH($B183,인턴근무계획!$D$3:$D$202,0),IFERROR(MATCH($B183&amp;"",인턴근무계획!$D$3:$D$202,0),IFERROR(MATCH(VALUE($B183),인턴근무계획!$D$3:$D$202,0),""))))</f>
        <v/>
      </c>
      <c r="AD183" s="10">
        <f>IF(OR($AC183="",인턴현황!$G$3=""),"",INDEX(인턴근무계획!$M$3:$R$202,$AC183,인턴현황!$G$3)&amp;"")</f>
        <v/>
      </c>
      <c r="AE183" s="10">
        <f>IF($B183="","",IF($M183&lt;&gt;"",$M183,IF($AF183&lt;&gt;"",IF(LEFT(INDEX(파견수련계획!$R$4:$R$203,$AF183),1)&lt;&gt;"⚠",INDEX(파견수련계획!$R$4:$R$203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파견수련계획!$Y$4:$Y$203,0),IFERROR(MATCH(TRIM($J183&amp;"")&amp;"|파견예정",파견수련계획!$Y$4:$Y$203,0),IFERROR(MATCH(TRIM($J183&amp;"")&amp;"|파견종료",파견수련계획!$Y$4:$Y$203,0),""))))</f>
        <v/>
      </c>
      <c r="AG183" s="10">
        <f>IF($B183="","",IF(AND(IF(OR($AC183="",인턴현황!$K$2=""),"",INDEX(인턴근무계획!$M$3:$R$202,$AC183,인턴현황!$K$2)&amp;"")&lt;&gt;"",LEFT(IF(OR($AC183="",인턴현황!$K$2=""),"",INDEX(인턴근무계획!$M$3:$R$202,$AC183,인턴현황!$K$2)&amp;""),1)&lt;&gt;"⚠"),LEFT(IF(OR($AC183="",인턴현황!$K$2=""),"",INDEX(인턴근무계획!$M$3:$R$202,$AC183,인턴현황!$K$2)&amp;""),FIND(" ",IF(OR($AC183="",인턴현황!$K$2=""),"",INDEX(인턴근무계획!$M$3:$R$202,$AC183,인턴현황!$K$2)&amp;""))-1),$AE183))</f>
        <v/>
      </c>
      <c r="AH183" s="17">
        <f>IF($B183="","",IF(TRIM($J183&amp;"")="",0,SUMPRODUCT((파견수련계획!$Q$4:$Q$203=TRIM($J183&amp;""))*(파견수련계획!$S$4:$S$203="서울병원")*파견수련계획!$W$4:$W$203))+IF($AG183="서울병원",MAX(0,DAY(EOMONTH(요약!$B$3,0))-N($X183)),0))</f>
        <v/>
      </c>
      <c r="AI183" s="17">
        <f>IF($B183="","",IF(TRIM($J183&amp;"")="",0,SUMPRODUCT((파견수련계획!$Q$4:$Q$203=TRIM($J183&amp;""))*(파견수련계획!$S$4:$S$203="구리병원")*파견수련계획!$W$4:$W$203))+IF($AG183="구리병원",MAX(0,DAY(EOMONTH(요약!$B$3,0))-N($X183)),0))</f>
        <v/>
      </c>
      <c r="AJ183" s="10">
        <f>IF(OR($B183="",TRIM($J183&amp;"")=""),"",IFERROR(MATCH(TRIM($J183&amp;"")&amp;"|월",파견수련계획!$Z$4:$Z$203,0),""))</f>
        <v/>
      </c>
      <c r="AK183" s="10">
        <f>IF(OR($B183="",TRIM($J183&amp;"")=""),"",IFERROR(MATCH(TRIM($J183&amp;"")&amp;"|다기관",파견수련계획!$AE$4:$AE$203,0),""))</f>
        <v/>
      </c>
      <c r="AL183" s="10">
        <f>IF($AK183="","","다기관 "&amp;TEXT(INDEX(파견수련계획!$AB$4:$AB$203,$AK183),"yyyy-mm-dd")&amp;"~"&amp;IF(ISNUMBER(INDEX(파견수련계획!$AC$4:$AC$203,$AK183)),TEXT(INDEX(파견수련계획!$AC$4:$AC$203,$AK183),"yyyy-mm-dd"),""))</f>
        <v/>
      </c>
    </row>
    <row r="184">
      <c r="A184" s="10">
        <f>IF(B184="","",ROW()-1)</f>
        <v/>
      </c>
      <c r="B184" s="18" t="n"/>
      <c r="C184" s="10">
        <f>IF($AB184="","",IF(INDEX(기본자료!$C$2:$C$501,$AB184)="","",INDEX(기본자료!$C$2:$C$501,$AB184)))</f>
        <v/>
      </c>
      <c r="D184" s="10">
        <f>IF($AB184="","",IF(INDEX(기본자료!$J$2:$J$501,$AB184)="","",INDEX(기본자료!$J$2:$J$501,$AB184)))</f>
        <v/>
      </c>
      <c r="E184" s="11">
        <f>IF($AB184="","",IF(INDEX(기본자료!$K$2:$K$501,$AB184)="","",IF(NOT(ISNUMBER(INDEX(기본자료!$K$2:$K$501,$AB184))),INDEX(기본자료!$K$2:$K$501,$AB184),IF(INDEX(기본자료!$K$2:$K$501,$AB184)&lt;1000000,INDEX(기본자료!$K$2:$K$501,$AB184),IF(AND(INDEX(기본자료!$K$2:$K$501,$AB184)&gt;=10000101,INT(MOD(INDEX(기본자료!$K$2:$K$501,$AB184),10000)/100)&gt;=1,INT(MOD(INDEX(기본자료!$K$2:$K$501,$AB184),10000)/100)&lt;=12,MOD(INDEX(기본자료!$K$2:$K$501,$AB184),100)&gt;=1,MOD(INDEX(기본자료!$K$2:$K$501,$AB184),100)&lt;=31),DATE(INT(INDEX(기본자료!$K$2:$K$501,$AB184)/10000),INT(MOD(INDEX(기본자료!$K$2:$K$501,$AB184),10000)/100),MOD(INDEX(기본자료!$K$2:$K$501,$AB184),100)),INDEX(기본자료!$K$2:$K$501,$AB184)&amp;"")))))</f>
        <v/>
      </c>
      <c r="F184" s="10">
        <f>IF($AB184="","",IF(INDEX(기본자료!$D$2:$D$501,$AB184)="","",INDEX(기본자료!$D$2:$D$501,$AB184)))</f>
        <v/>
      </c>
      <c r="G184" s="10">
        <f>IF($AB184="","",IF(INDEX(기본자료!$E$2:$E$501,$AB184)="","",INDEX(기본자료!$E$2:$E$501,$AB184)))</f>
        <v/>
      </c>
      <c r="H184" s="10">
        <f>IF($AB184="","",IF(INDEX(기본자료!$F$2:$F$501,$AB184)="","",INDEX(기본자료!$F$2:$F$501,$AB184)))</f>
        <v/>
      </c>
      <c r="I184" s="11">
        <f>IF($AB184="","",IF(INDEX(기본자료!$G$2:$G$501,$AB184)="","",IF(NOT(ISNUMBER(INDEX(기본자료!$G$2:$G$501,$AB184))),INDEX(기본자료!$G$2:$G$501,$AB184),IF(INDEX(기본자료!$G$2:$G$501,$AB184)&lt;1000000,INDEX(기본자료!$G$2:$G$501,$AB184),IF(AND(INDEX(기본자료!$G$2:$G$501,$AB184)&gt;=10000101,INT(MOD(INDEX(기본자료!$G$2:$G$501,$AB184),10000)/100)&gt;=1,INT(MOD(INDEX(기본자료!$G$2:$G$501,$AB184),10000)/100)&lt;=12,MOD(INDEX(기본자료!$G$2:$G$501,$AB184),100)&gt;=1,MOD(INDEX(기본자료!$G$2:$G$501,$AB184),100)&lt;=31),DATE(INT(INDEX(기본자료!$G$2:$G$501,$AB184)/10000),INT(MOD(INDEX(기본자료!$G$2:$G$501,$AB184),10000)/100),MOD(INDEX(기본자료!$G$2:$G$501,$AB184),100)),INDEX(기본자료!$G$2:$G$501,$AB184)&amp;"")))))</f>
        <v/>
      </c>
      <c r="J184" s="10">
        <f>IF($AB184="","",IF(INDEX(기본자료!$H$2:$H$501,$AB184)="","",INDEX(기본자료!$H$2:$H$501,$AB184)))</f>
        <v/>
      </c>
      <c r="K184" s="10">
        <f>IF($AB184="","",IF(INDEX(기본자료!$I$2:$I$501,$AB184)="","",INDEX(기본자료!$I$2:$I$501,$AB184)))</f>
        <v/>
      </c>
      <c r="L184" s="10">
        <f>IF($AB184="","",IF(INDEX(기본자료!$A$2:$A$501,$AB184)="","",INDEX(기본자료!$A$2:$A$501,$AB184)))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파견수련계획!$AB$4:$AB$203,$AK184),OR(NOT(ISNUMBER(INDEX(파견수련계획!$AC$4:$AC$203,$AK184))),TODAY()&lt;=INDEX(파견수련계획!$AC$4:$AC$203,$AK184))),"다기관",IF($AF184="","",INDEX(파견수련계획!$T$4:$T$203,$AF184))),IF($AF184="","",INDEX(파견수련계획!$T$4:$T$203,$AF184))))</f>
        <v/>
      </c>
      <c r="Q184" s="10">
        <f>IF($AF184="","",INDEX(파견수련계획!$S$4:$S$203,$AF184))</f>
        <v/>
      </c>
      <c r="R184" s="10">
        <f>IF($AF184="","",INDEX(파견수련계획!$U$4:$U$203,$AF184))</f>
        <v/>
      </c>
      <c r="S184" s="11">
        <f>IF($AF184="","",IF(INDEX(파견수련계획!$H$4:$H$203,$AF184)="","",INDEX(파견수련계획!$H$4:$H$203,$AF184)))</f>
        <v/>
      </c>
      <c r="T184" s="11">
        <f>IF($AF184="","",IF(INDEX(파견수련계획!$I$4:$I$203,$AF184)="","",INDEX(파견수련계획!$I$4:$I$203,$AF184)))</f>
        <v/>
      </c>
      <c r="U184" s="10">
        <f>IF($AF184="","",INDEX(파견수련계획!$X$4:$X$203,$AF184))</f>
        <v/>
      </c>
      <c r="V184" s="17">
        <f>IF($AF184="","",INDEX(파견수련계획!$V$4:$V$203,$AF184))</f>
        <v/>
      </c>
      <c r="W184" s="17">
        <f>IF(AND($U184="파견중",$T184&lt;&gt;""),$T184-TODAY(),"")</f>
        <v/>
      </c>
      <c r="X184" s="17">
        <f>IF(OR($B184="",TRIM($J184&amp;"")=""),"",SUMPRODUCT((파견수련계획!$Q$4:$Q$203=TRIM($J184&amp;""))*파견수련계획!$W$4:$W$203))</f>
        <v/>
      </c>
      <c r="Y184" s="10">
        <f>IF($B184="","",IF($AG184="","",IF(IF(TRIM($J184&amp;"")="",0,SUMPRODUCT((파견수련계획!$Q$4:$Q$203=TRIM($J184&amp;""))*파견수련계획!$AD$4:$AD$203))&gt;0,$AE184,IF(N($X184)&lt;=0,$AG184,IF($AH184+$AI184=DAY(EOMONTH(요약!$B$3,0)),IF(AND($AH184&gt;=요약!$E$3,$AI184&lt;요약!$E$3),"서울병원",IF(AND($AI184&gt;=요약!$E$3,$AH184&lt;요약!$E$3),"구리병원","⚠15일 판정불가(서울 "&amp;$AH184&amp;"일/구리 "&amp;$AI184&amp;"일)")),IF($AJ184="",$AE184,IF(INDEX(파견수련계획!$T$4:$T$203,$AJ184)="통합수련",INDEX(파견수련계획!$S$4:$S$203,$AJ184),$AE184)))))))</f>
        <v/>
      </c>
      <c r="Z184" s="19">
        <f>IF($B184="","",IF($AB184="","기본자료에 없는 사번",IF(COUNTIF($B$2:$B$201,$B184)&gt;1,"중복 사번",IF($AE184="","소속(입사장소) 입력",IF(IF(TRIM($J184&amp;"")="",0,SUMPRODUCT((파견수련계획!$Q$4:$Q$203=TRIM($J184&amp;""))*(파견수련계획!$AA$4:$AA$203&lt;&gt;"")))&gt;0,"파견수련계획 입력오류 확인",IF(LEFT($Y184,1)="⚠","서울·구리 15일 판정 불가(양쪽 모두 이상/미만)",IF(IF($AC184="",0,N(INDEX(인턴근무계획!$T$3:$T$202,$AC184)))&gt;0,"인턴계획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IF($B184="","",IFERROR(MATCH($B184,기본자료!$B$2:$B$501,0),IFERROR(MATCH($B184&amp;"",기본자료!$B$2:$B$501,0),IFERROR(MATCH(VALUE($B184),기본자료!$B$2:$B$501,0),""))))</f>
        <v/>
      </c>
      <c r="AC184" s="10">
        <f>IF($B184="","",IFERROR(MATCH($B184,인턴근무계획!$D$3:$D$202,0),IFERROR(MATCH($B184&amp;"",인턴근무계획!$D$3:$D$202,0),IFERROR(MATCH(VALUE($B184),인턴근무계획!$D$3:$D$202,0),""))))</f>
        <v/>
      </c>
      <c r="AD184" s="10">
        <f>IF(OR($AC184="",인턴현황!$G$3=""),"",INDEX(인턴근무계획!$M$3:$R$202,$AC184,인턴현황!$G$3)&amp;"")</f>
        <v/>
      </c>
      <c r="AE184" s="10">
        <f>IF($B184="","",IF($M184&lt;&gt;"",$M184,IF($AF184&lt;&gt;"",IF(LEFT(INDEX(파견수련계획!$R$4:$R$203,$AF184),1)&lt;&gt;"⚠",INDEX(파견수련계획!$R$4:$R$203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파견수련계획!$Y$4:$Y$203,0),IFERROR(MATCH(TRIM($J184&amp;"")&amp;"|파견예정",파견수련계획!$Y$4:$Y$203,0),IFERROR(MATCH(TRIM($J184&amp;"")&amp;"|파견종료",파견수련계획!$Y$4:$Y$203,0),""))))</f>
        <v/>
      </c>
      <c r="AG184" s="10">
        <f>IF($B184="","",IF(AND(IF(OR($AC184="",인턴현황!$K$2=""),"",INDEX(인턴근무계획!$M$3:$R$202,$AC184,인턴현황!$K$2)&amp;"")&lt;&gt;"",LEFT(IF(OR($AC184="",인턴현황!$K$2=""),"",INDEX(인턴근무계획!$M$3:$R$202,$AC184,인턴현황!$K$2)&amp;""),1)&lt;&gt;"⚠"),LEFT(IF(OR($AC184="",인턴현황!$K$2=""),"",INDEX(인턴근무계획!$M$3:$R$202,$AC184,인턴현황!$K$2)&amp;""),FIND(" ",IF(OR($AC184="",인턴현황!$K$2=""),"",INDEX(인턴근무계획!$M$3:$R$202,$AC184,인턴현황!$K$2)&amp;""))-1),$AE184))</f>
        <v/>
      </c>
      <c r="AH184" s="17">
        <f>IF($B184="","",IF(TRIM($J184&amp;"")="",0,SUMPRODUCT((파견수련계획!$Q$4:$Q$203=TRIM($J184&amp;""))*(파견수련계획!$S$4:$S$203="서울병원")*파견수련계획!$W$4:$W$203))+IF($AG184="서울병원",MAX(0,DAY(EOMONTH(요약!$B$3,0))-N($X184)),0))</f>
        <v/>
      </c>
      <c r="AI184" s="17">
        <f>IF($B184="","",IF(TRIM($J184&amp;"")="",0,SUMPRODUCT((파견수련계획!$Q$4:$Q$203=TRIM($J184&amp;""))*(파견수련계획!$S$4:$S$203="구리병원")*파견수련계획!$W$4:$W$203))+IF($AG184="구리병원",MAX(0,DAY(EOMONTH(요약!$B$3,0))-N($X184)),0))</f>
        <v/>
      </c>
      <c r="AJ184" s="10">
        <f>IF(OR($B184="",TRIM($J184&amp;"")=""),"",IFERROR(MATCH(TRIM($J184&amp;"")&amp;"|월",파견수련계획!$Z$4:$Z$203,0),""))</f>
        <v/>
      </c>
      <c r="AK184" s="10">
        <f>IF(OR($B184="",TRIM($J184&amp;"")=""),"",IFERROR(MATCH(TRIM($J184&amp;"")&amp;"|다기관",파견수련계획!$AE$4:$AE$203,0),""))</f>
        <v/>
      </c>
      <c r="AL184" s="10">
        <f>IF($AK184="","","다기관 "&amp;TEXT(INDEX(파견수련계획!$AB$4:$AB$203,$AK184),"yyyy-mm-dd")&amp;"~"&amp;IF(ISNUMBER(INDEX(파견수련계획!$AC$4:$AC$203,$AK184)),TEXT(INDEX(파견수련계획!$AC$4:$AC$203,$AK184),"yyyy-mm-dd"),""))</f>
        <v/>
      </c>
    </row>
    <row r="185">
      <c r="A185" s="10">
        <f>IF(B185="","",ROW()-1)</f>
        <v/>
      </c>
      <c r="B185" s="18" t="n"/>
      <c r="C185" s="10">
        <f>IF($AB185="","",IF(INDEX(기본자료!$C$2:$C$501,$AB185)="","",INDEX(기본자료!$C$2:$C$501,$AB185)))</f>
        <v/>
      </c>
      <c r="D185" s="10">
        <f>IF($AB185="","",IF(INDEX(기본자료!$J$2:$J$501,$AB185)="","",INDEX(기본자료!$J$2:$J$501,$AB185)))</f>
        <v/>
      </c>
      <c r="E185" s="11">
        <f>IF($AB185="","",IF(INDEX(기본자료!$K$2:$K$501,$AB185)="","",IF(NOT(ISNUMBER(INDEX(기본자료!$K$2:$K$501,$AB185))),INDEX(기본자료!$K$2:$K$501,$AB185),IF(INDEX(기본자료!$K$2:$K$501,$AB185)&lt;1000000,INDEX(기본자료!$K$2:$K$501,$AB185),IF(AND(INDEX(기본자료!$K$2:$K$501,$AB185)&gt;=10000101,INT(MOD(INDEX(기본자료!$K$2:$K$501,$AB185),10000)/100)&gt;=1,INT(MOD(INDEX(기본자료!$K$2:$K$501,$AB185),10000)/100)&lt;=12,MOD(INDEX(기본자료!$K$2:$K$501,$AB185),100)&gt;=1,MOD(INDEX(기본자료!$K$2:$K$501,$AB185),100)&lt;=31),DATE(INT(INDEX(기본자료!$K$2:$K$501,$AB185)/10000),INT(MOD(INDEX(기본자료!$K$2:$K$501,$AB185),10000)/100),MOD(INDEX(기본자료!$K$2:$K$501,$AB185),100)),INDEX(기본자료!$K$2:$K$501,$AB185)&amp;"")))))</f>
        <v/>
      </c>
      <c r="F185" s="10">
        <f>IF($AB185="","",IF(INDEX(기본자료!$D$2:$D$501,$AB185)="","",INDEX(기본자료!$D$2:$D$501,$AB185)))</f>
        <v/>
      </c>
      <c r="G185" s="10">
        <f>IF($AB185="","",IF(INDEX(기본자료!$E$2:$E$501,$AB185)="","",INDEX(기본자료!$E$2:$E$501,$AB185)))</f>
        <v/>
      </c>
      <c r="H185" s="10">
        <f>IF($AB185="","",IF(INDEX(기본자료!$F$2:$F$501,$AB185)="","",INDEX(기본자료!$F$2:$F$501,$AB185)))</f>
        <v/>
      </c>
      <c r="I185" s="11">
        <f>IF($AB185="","",IF(INDEX(기본자료!$G$2:$G$501,$AB185)="","",IF(NOT(ISNUMBER(INDEX(기본자료!$G$2:$G$501,$AB185))),INDEX(기본자료!$G$2:$G$501,$AB185),IF(INDEX(기본자료!$G$2:$G$501,$AB185)&lt;1000000,INDEX(기본자료!$G$2:$G$501,$AB185),IF(AND(INDEX(기본자료!$G$2:$G$501,$AB185)&gt;=10000101,INT(MOD(INDEX(기본자료!$G$2:$G$501,$AB185),10000)/100)&gt;=1,INT(MOD(INDEX(기본자료!$G$2:$G$501,$AB185),10000)/100)&lt;=12,MOD(INDEX(기본자료!$G$2:$G$501,$AB185),100)&gt;=1,MOD(INDEX(기본자료!$G$2:$G$501,$AB185),100)&lt;=31),DATE(INT(INDEX(기본자료!$G$2:$G$501,$AB185)/10000),INT(MOD(INDEX(기본자료!$G$2:$G$501,$AB185),10000)/100),MOD(INDEX(기본자료!$G$2:$G$501,$AB185),100)),INDEX(기본자료!$G$2:$G$501,$AB185)&amp;"")))))</f>
        <v/>
      </c>
      <c r="J185" s="10">
        <f>IF($AB185="","",IF(INDEX(기본자료!$H$2:$H$501,$AB185)="","",INDEX(기본자료!$H$2:$H$501,$AB185)))</f>
        <v/>
      </c>
      <c r="K185" s="10">
        <f>IF($AB185="","",IF(INDEX(기본자료!$I$2:$I$501,$AB185)="","",INDEX(기본자료!$I$2:$I$501,$AB185)))</f>
        <v/>
      </c>
      <c r="L185" s="10">
        <f>IF($AB185="","",IF(INDEX(기본자료!$A$2:$A$501,$AB185)="","",INDEX(기본자료!$A$2:$A$501,$AB185)))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파견수련계획!$AB$4:$AB$203,$AK185),OR(NOT(ISNUMBER(INDEX(파견수련계획!$AC$4:$AC$203,$AK185))),TODAY()&lt;=INDEX(파견수련계획!$AC$4:$AC$203,$AK185))),"다기관",IF($AF185="","",INDEX(파견수련계획!$T$4:$T$203,$AF185))),IF($AF185="","",INDEX(파견수련계획!$T$4:$T$203,$AF185))))</f>
        <v/>
      </c>
      <c r="Q185" s="10">
        <f>IF($AF185="","",INDEX(파견수련계획!$S$4:$S$203,$AF185))</f>
        <v/>
      </c>
      <c r="R185" s="10">
        <f>IF($AF185="","",INDEX(파견수련계획!$U$4:$U$203,$AF185))</f>
        <v/>
      </c>
      <c r="S185" s="11">
        <f>IF($AF185="","",IF(INDEX(파견수련계획!$H$4:$H$203,$AF185)="","",INDEX(파견수련계획!$H$4:$H$203,$AF185)))</f>
        <v/>
      </c>
      <c r="T185" s="11">
        <f>IF($AF185="","",IF(INDEX(파견수련계획!$I$4:$I$203,$AF185)="","",INDEX(파견수련계획!$I$4:$I$203,$AF185)))</f>
        <v/>
      </c>
      <c r="U185" s="10">
        <f>IF($AF185="","",INDEX(파견수련계획!$X$4:$X$203,$AF185))</f>
        <v/>
      </c>
      <c r="V185" s="17">
        <f>IF($AF185="","",INDEX(파견수련계획!$V$4:$V$203,$AF185))</f>
        <v/>
      </c>
      <c r="W185" s="17">
        <f>IF(AND($U185="파견중",$T185&lt;&gt;""),$T185-TODAY(),"")</f>
        <v/>
      </c>
      <c r="X185" s="17">
        <f>IF(OR($B185="",TRIM($J185&amp;"")=""),"",SUMPRODUCT((파견수련계획!$Q$4:$Q$203=TRIM($J185&amp;""))*파견수련계획!$W$4:$W$203))</f>
        <v/>
      </c>
      <c r="Y185" s="10">
        <f>IF($B185="","",IF($AG185="","",IF(IF(TRIM($J185&amp;"")="",0,SUMPRODUCT((파견수련계획!$Q$4:$Q$203=TRIM($J185&amp;""))*파견수련계획!$AD$4:$AD$203))&gt;0,$AE185,IF(N($X185)&lt;=0,$AG185,IF($AH185+$AI185=DAY(EOMONTH(요약!$B$3,0)),IF(AND($AH185&gt;=요약!$E$3,$AI185&lt;요약!$E$3),"서울병원",IF(AND($AI185&gt;=요약!$E$3,$AH185&lt;요약!$E$3),"구리병원","⚠15일 판정불가(서울 "&amp;$AH185&amp;"일/구리 "&amp;$AI185&amp;"일)")),IF($AJ185="",$AE185,IF(INDEX(파견수련계획!$T$4:$T$203,$AJ185)="통합수련",INDEX(파견수련계획!$S$4:$S$203,$AJ185),$AE185)))))))</f>
        <v/>
      </c>
      <c r="Z185" s="19">
        <f>IF($B185="","",IF($AB185="","기본자료에 없는 사번",IF(COUNTIF($B$2:$B$201,$B185)&gt;1,"중복 사번",IF($AE185="","소속(입사장소) 입력",IF(IF(TRIM($J185&amp;"")="",0,SUMPRODUCT((파견수련계획!$Q$4:$Q$203=TRIM($J185&amp;""))*(파견수련계획!$AA$4:$AA$203&lt;&gt;"")))&gt;0,"파견수련계획 입력오류 확인",IF(LEFT($Y185,1)="⚠","서울·구리 15일 판정 불가(양쪽 모두 이상/미만)",IF(IF($AC185="",0,N(INDEX(인턴근무계획!$T$3:$T$202,$AC185)))&gt;0,"인턴계획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IF($B185="","",IFERROR(MATCH($B185,기본자료!$B$2:$B$501,0),IFERROR(MATCH($B185&amp;"",기본자료!$B$2:$B$501,0),IFERROR(MATCH(VALUE($B185),기본자료!$B$2:$B$501,0),""))))</f>
        <v/>
      </c>
      <c r="AC185" s="10">
        <f>IF($B185="","",IFERROR(MATCH($B185,인턴근무계획!$D$3:$D$202,0),IFERROR(MATCH($B185&amp;"",인턴근무계획!$D$3:$D$202,0),IFERROR(MATCH(VALUE($B185),인턴근무계획!$D$3:$D$202,0),""))))</f>
        <v/>
      </c>
      <c r="AD185" s="10">
        <f>IF(OR($AC185="",인턴현황!$G$3=""),"",INDEX(인턴근무계획!$M$3:$R$202,$AC185,인턴현황!$G$3)&amp;"")</f>
        <v/>
      </c>
      <c r="AE185" s="10">
        <f>IF($B185="","",IF($M185&lt;&gt;"",$M185,IF($AF185&lt;&gt;"",IF(LEFT(INDEX(파견수련계획!$R$4:$R$203,$AF185),1)&lt;&gt;"⚠",INDEX(파견수련계획!$R$4:$R$203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파견수련계획!$Y$4:$Y$203,0),IFERROR(MATCH(TRIM($J185&amp;"")&amp;"|파견예정",파견수련계획!$Y$4:$Y$203,0),IFERROR(MATCH(TRIM($J185&amp;"")&amp;"|파견종료",파견수련계획!$Y$4:$Y$203,0),""))))</f>
        <v/>
      </c>
      <c r="AG185" s="10">
        <f>IF($B185="","",IF(AND(IF(OR($AC185="",인턴현황!$K$2=""),"",INDEX(인턴근무계획!$M$3:$R$202,$AC185,인턴현황!$K$2)&amp;"")&lt;&gt;"",LEFT(IF(OR($AC185="",인턴현황!$K$2=""),"",INDEX(인턴근무계획!$M$3:$R$202,$AC185,인턴현황!$K$2)&amp;""),1)&lt;&gt;"⚠"),LEFT(IF(OR($AC185="",인턴현황!$K$2=""),"",INDEX(인턴근무계획!$M$3:$R$202,$AC185,인턴현황!$K$2)&amp;""),FIND(" ",IF(OR($AC185="",인턴현황!$K$2=""),"",INDEX(인턴근무계획!$M$3:$R$202,$AC185,인턴현황!$K$2)&amp;""))-1),$AE185))</f>
        <v/>
      </c>
      <c r="AH185" s="17">
        <f>IF($B185="","",IF(TRIM($J185&amp;"")="",0,SUMPRODUCT((파견수련계획!$Q$4:$Q$203=TRIM($J185&amp;""))*(파견수련계획!$S$4:$S$203="서울병원")*파견수련계획!$W$4:$W$203))+IF($AG185="서울병원",MAX(0,DAY(EOMONTH(요약!$B$3,0))-N($X185)),0))</f>
        <v/>
      </c>
      <c r="AI185" s="17">
        <f>IF($B185="","",IF(TRIM($J185&amp;"")="",0,SUMPRODUCT((파견수련계획!$Q$4:$Q$203=TRIM($J185&amp;""))*(파견수련계획!$S$4:$S$203="구리병원")*파견수련계획!$W$4:$W$203))+IF($AG185="구리병원",MAX(0,DAY(EOMONTH(요약!$B$3,0))-N($X185)),0))</f>
        <v/>
      </c>
      <c r="AJ185" s="10">
        <f>IF(OR($B185="",TRIM($J185&amp;"")=""),"",IFERROR(MATCH(TRIM($J185&amp;"")&amp;"|월",파견수련계획!$Z$4:$Z$203,0),""))</f>
        <v/>
      </c>
      <c r="AK185" s="10">
        <f>IF(OR($B185="",TRIM($J185&amp;"")=""),"",IFERROR(MATCH(TRIM($J185&amp;"")&amp;"|다기관",파견수련계획!$AE$4:$AE$203,0),""))</f>
        <v/>
      </c>
      <c r="AL185" s="10">
        <f>IF($AK185="","","다기관 "&amp;TEXT(INDEX(파견수련계획!$AB$4:$AB$203,$AK185),"yyyy-mm-dd")&amp;"~"&amp;IF(ISNUMBER(INDEX(파견수련계획!$AC$4:$AC$203,$AK185)),TEXT(INDEX(파견수련계획!$AC$4:$AC$203,$AK185),"yyyy-mm-dd"),""))</f>
        <v/>
      </c>
    </row>
    <row r="186">
      <c r="A186" s="10">
        <f>IF(B186="","",ROW()-1)</f>
        <v/>
      </c>
      <c r="B186" s="18" t="n"/>
      <c r="C186" s="10">
        <f>IF($AB186="","",IF(INDEX(기본자료!$C$2:$C$501,$AB186)="","",INDEX(기본자료!$C$2:$C$501,$AB186)))</f>
        <v/>
      </c>
      <c r="D186" s="10">
        <f>IF($AB186="","",IF(INDEX(기본자료!$J$2:$J$501,$AB186)="","",INDEX(기본자료!$J$2:$J$501,$AB186)))</f>
        <v/>
      </c>
      <c r="E186" s="11">
        <f>IF($AB186="","",IF(INDEX(기본자료!$K$2:$K$501,$AB186)="","",IF(NOT(ISNUMBER(INDEX(기본자료!$K$2:$K$501,$AB186))),INDEX(기본자료!$K$2:$K$501,$AB186),IF(INDEX(기본자료!$K$2:$K$501,$AB186)&lt;1000000,INDEX(기본자료!$K$2:$K$501,$AB186),IF(AND(INDEX(기본자료!$K$2:$K$501,$AB186)&gt;=10000101,INT(MOD(INDEX(기본자료!$K$2:$K$501,$AB186),10000)/100)&gt;=1,INT(MOD(INDEX(기본자료!$K$2:$K$501,$AB186),10000)/100)&lt;=12,MOD(INDEX(기본자료!$K$2:$K$501,$AB186),100)&gt;=1,MOD(INDEX(기본자료!$K$2:$K$501,$AB186),100)&lt;=31),DATE(INT(INDEX(기본자료!$K$2:$K$501,$AB186)/10000),INT(MOD(INDEX(기본자료!$K$2:$K$501,$AB186),10000)/100),MOD(INDEX(기본자료!$K$2:$K$501,$AB186),100)),INDEX(기본자료!$K$2:$K$501,$AB186)&amp;"")))))</f>
        <v/>
      </c>
      <c r="F186" s="10">
        <f>IF($AB186="","",IF(INDEX(기본자료!$D$2:$D$501,$AB186)="","",INDEX(기본자료!$D$2:$D$501,$AB186)))</f>
        <v/>
      </c>
      <c r="G186" s="10">
        <f>IF($AB186="","",IF(INDEX(기본자료!$E$2:$E$501,$AB186)="","",INDEX(기본자료!$E$2:$E$501,$AB186)))</f>
        <v/>
      </c>
      <c r="H186" s="10">
        <f>IF($AB186="","",IF(INDEX(기본자료!$F$2:$F$501,$AB186)="","",INDEX(기본자료!$F$2:$F$501,$AB186)))</f>
        <v/>
      </c>
      <c r="I186" s="11">
        <f>IF($AB186="","",IF(INDEX(기본자료!$G$2:$G$501,$AB186)="","",IF(NOT(ISNUMBER(INDEX(기본자료!$G$2:$G$501,$AB186))),INDEX(기본자료!$G$2:$G$501,$AB186),IF(INDEX(기본자료!$G$2:$G$501,$AB186)&lt;1000000,INDEX(기본자료!$G$2:$G$501,$AB186),IF(AND(INDEX(기본자료!$G$2:$G$501,$AB186)&gt;=10000101,INT(MOD(INDEX(기본자료!$G$2:$G$501,$AB186),10000)/100)&gt;=1,INT(MOD(INDEX(기본자료!$G$2:$G$501,$AB186),10000)/100)&lt;=12,MOD(INDEX(기본자료!$G$2:$G$501,$AB186),100)&gt;=1,MOD(INDEX(기본자료!$G$2:$G$501,$AB186),100)&lt;=31),DATE(INT(INDEX(기본자료!$G$2:$G$501,$AB186)/10000),INT(MOD(INDEX(기본자료!$G$2:$G$501,$AB186),10000)/100),MOD(INDEX(기본자료!$G$2:$G$501,$AB186),100)),INDEX(기본자료!$G$2:$G$501,$AB186)&amp;"")))))</f>
        <v/>
      </c>
      <c r="J186" s="10">
        <f>IF($AB186="","",IF(INDEX(기본자료!$H$2:$H$501,$AB186)="","",INDEX(기본자료!$H$2:$H$501,$AB186)))</f>
        <v/>
      </c>
      <c r="K186" s="10">
        <f>IF($AB186="","",IF(INDEX(기본자료!$I$2:$I$501,$AB186)="","",INDEX(기본자료!$I$2:$I$501,$AB186)))</f>
        <v/>
      </c>
      <c r="L186" s="10">
        <f>IF($AB186="","",IF(INDEX(기본자료!$A$2:$A$501,$AB186)="","",INDEX(기본자료!$A$2:$A$501,$AB186)))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파견수련계획!$AB$4:$AB$203,$AK186),OR(NOT(ISNUMBER(INDEX(파견수련계획!$AC$4:$AC$203,$AK186))),TODAY()&lt;=INDEX(파견수련계획!$AC$4:$AC$203,$AK186))),"다기관",IF($AF186="","",INDEX(파견수련계획!$T$4:$T$203,$AF186))),IF($AF186="","",INDEX(파견수련계획!$T$4:$T$203,$AF186))))</f>
        <v/>
      </c>
      <c r="Q186" s="10">
        <f>IF($AF186="","",INDEX(파견수련계획!$S$4:$S$203,$AF186))</f>
        <v/>
      </c>
      <c r="R186" s="10">
        <f>IF($AF186="","",INDEX(파견수련계획!$U$4:$U$203,$AF186))</f>
        <v/>
      </c>
      <c r="S186" s="11">
        <f>IF($AF186="","",IF(INDEX(파견수련계획!$H$4:$H$203,$AF186)="","",INDEX(파견수련계획!$H$4:$H$203,$AF186)))</f>
        <v/>
      </c>
      <c r="T186" s="11">
        <f>IF($AF186="","",IF(INDEX(파견수련계획!$I$4:$I$203,$AF186)="","",INDEX(파견수련계획!$I$4:$I$203,$AF186)))</f>
        <v/>
      </c>
      <c r="U186" s="10">
        <f>IF($AF186="","",INDEX(파견수련계획!$X$4:$X$203,$AF186))</f>
        <v/>
      </c>
      <c r="V186" s="17">
        <f>IF($AF186="","",INDEX(파견수련계획!$V$4:$V$203,$AF186))</f>
        <v/>
      </c>
      <c r="W186" s="17">
        <f>IF(AND($U186="파견중",$T186&lt;&gt;""),$T186-TODAY(),"")</f>
        <v/>
      </c>
      <c r="X186" s="17">
        <f>IF(OR($B186="",TRIM($J186&amp;"")=""),"",SUMPRODUCT((파견수련계획!$Q$4:$Q$203=TRIM($J186&amp;""))*파견수련계획!$W$4:$W$203))</f>
        <v/>
      </c>
      <c r="Y186" s="10">
        <f>IF($B186="","",IF($AG186="","",IF(IF(TRIM($J186&amp;"")="",0,SUMPRODUCT((파견수련계획!$Q$4:$Q$203=TRIM($J186&amp;""))*파견수련계획!$AD$4:$AD$203))&gt;0,$AE186,IF(N($X186)&lt;=0,$AG186,IF($AH186+$AI186=DAY(EOMONTH(요약!$B$3,0)),IF(AND($AH186&gt;=요약!$E$3,$AI186&lt;요약!$E$3),"서울병원",IF(AND($AI186&gt;=요약!$E$3,$AH186&lt;요약!$E$3),"구리병원","⚠15일 판정불가(서울 "&amp;$AH186&amp;"일/구리 "&amp;$AI186&amp;"일)")),IF($AJ186="",$AE186,IF(INDEX(파견수련계획!$T$4:$T$203,$AJ186)="통합수련",INDEX(파견수련계획!$S$4:$S$203,$AJ186),$AE186)))))))</f>
        <v/>
      </c>
      <c r="Z186" s="19">
        <f>IF($B186="","",IF($AB186="","기본자료에 없는 사번",IF(COUNTIF($B$2:$B$201,$B186)&gt;1,"중복 사번",IF($AE186="","소속(입사장소) 입력",IF(IF(TRIM($J186&amp;"")="",0,SUMPRODUCT((파견수련계획!$Q$4:$Q$203=TRIM($J186&amp;""))*(파견수련계획!$AA$4:$AA$203&lt;&gt;"")))&gt;0,"파견수련계획 입력오류 확인",IF(LEFT($Y186,1)="⚠","서울·구리 15일 판정 불가(양쪽 모두 이상/미만)",IF(IF($AC186="",0,N(INDEX(인턴근무계획!$T$3:$T$202,$AC186)))&gt;0,"인턴계획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IF($B186="","",IFERROR(MATCH($B186,기본자료!$B$2:$B$501,0),IFERROR(MATCH($B186&amp;"",기본자료!$B$2:$B$501,0),IFERROR(MATCH(VALUE($B186),기본자료!$B$2:$B$501,0),""))))</f>
        <v/>
      </c>
      <c r="AC186" s="10">
        <f>IF($B186="","",IFERROR(MATCH($B186,인턴근무계획!$D$3:$D$202,0),IFERROR(MATCH($B186&amp;"",인턴근무계획!$D$3:$D$202,0),IFERROR(MATCH(VALUE($B186),인턴근무계획!$D$3:$D$202,0),""))))</f>
        <v/>
      </c>
      <c r="AD186" s="10">
        <f>IF(OR($AC186="",인턴현황!$G$3=""),"",INDEX(인턴근무계획!$M$3:$R$202,$AC186,인턴현황!$G$3)&amp;"")</f>
        <v/>
      </c>
      <c r="AE186" s="10">
        <f>IF($B186="","",IF($M186&lt;&gt;"",$M186,IF($AF186&lt;&gt;"",IF(LEFT(INDEX(파견수련계획!$R$4:$R$203,$AF186),1)&lt;&gt;"⚠",INDEX(파견수련계획!$R$4:$R$203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파견수련계획!$Y$4:$Y$203,0),IFERROR(MATCH(TRIM($J186&amp;"")&amp;"|파견예정",파견수련계획!$Y$4:$Y$203,0),IFERROR(MATCH(TRIM($J186&amp;"")&amp;"|파견종료",파견수련계획!$Y$4:$Y$203,0),""))))</f>
        <v/>
      </c>
      <c r="AG186" s="10">
        <f>IF($B186="","",IF(AND(IF(OR($AC186="",인턴현황!$K$2=""),"",INDEX(인턴근무계획!$M$3:$R$202,$AC186,인턴현황!$K$2)&amp;"")&lt;&gt;"",LEFT(IF(OR($AC186="",인턴현황!$K$2=""),"",INDEX(인턴근무계획!$M$3:$R$202,$AC186,인턴현황!$K$2)&amp;""),1)&lt;&gt;"⚠"),LEFT(IF(OR($AC186="",인턴현황!$K$2=""),"",INDEX(인턴근무계획!$M$3:$R$202,$AC186,인턴현황!$K$2)&amp;""),FIND(" ",IF(OR($AC186="",인턴현황!$K$2=""),"",INDEX(인턴근무계획!$M$3:$R$202,$AC186,인턴현황!$K$2)&amp;""))-1),$AE186))</f>
        <v/>
      </c>
      <c r="AH186" s="17">
        <f>IF($B186="","",IF(TRIM($J186&amp;"")="",0,SUMPRODUCT((파견수련계획!$Q$4:$Q$203=TRIM($J186&amp;""))*(파견수련계획!$S$4:$S$203="서울병원")*파견수련계획!$W$4:$W$203))+IF($AG186="서울병원",MAX(0,DAY(EOMONTH(요약!$B$3,0))-N($X186)),0))</f>
        <v/>
      </c>
      <c r="AI186" s="17">
        <f>IF($B186="","",IF(TRIM($J186&amp;"")="",0,SUMPRODUCT((파견수련계획!$Q$4:$Q$203=TRIM($J186&amp;""))*(파견수련계획!$S$4:$S$203="구리병원")*파견수련계획!$W$4:$W$203))+IF($AG186="구리병원",MAX(0,DAY(EOMONTH(요약!$B$3,0))-N($X186)),0))</f>
        <v/>
      </c>
      <c r="AJ186" s="10">
        <f>IF(OR($B186="",TRIM($J186&amp;"")=""),"",IFERROR(MATCH(TRIM($J186&amp;"")&amp;"|월",파견수련계획!$Z$4:$Z$203,0),""))</f>
        <v/>
      </c>
      <c r="AK186" s="10">
        <f>IF(OR($B186="",TRIM($J186&amp;"")=""),"",IFERROR(MATCH(TRIM($J186&amp;"")&amp;"|다기관",파견수련계획!$AE$4:$AE$203,0),""))</f>
        <v/>
      </c>
      <c r="AL186" s="10">
        <f>IF($AK186="","","다기관 "&amp;TEXT(INDEX(파견수련계획!$AB$4:$AB$203,$AK186),"yyyy-mm-dd")&amp;"~"&amp;IF(ISNUMBER(INDEX(파견수련계획!$AC$4:$AC$203,$AK186)),TEXT(INDEX(파견수련계획!$AC$4:$AC$203,$AK186),"yyyy-mm-dd"),""))</f>
        <v/>
      </c>
    </row>
    <row r="187">
      <c r="A187" s="10">
        <f>IF(B187="","",ROW()-1)</f>
        <v/>
      </c>
      <c r="B187" s="18" t="n"/>
      <c r="C187" s="10">
        <f>IF($AB187="","",IF(INDEX(기본자료!$C$2:$C$501,$AB187)="","",INDEX(기본자료!$C$2:$C$501,$AB187)))</f>
        <v/>
      </c>
      <c r="D187" s="10">
        <f>IF($AB187="","",IF(INDEX(기본자료!$J$2:$J$501,$AB187)="","",INDEX(기본자료!$J$2:$J$501,$AB187)))</f>
        <v/>
      </c>
      <c r="E187" s="11">
        <f>IF($AB187="","",IF(INDEX(기본자료!$K$2:$K$501,$AB187)="","",IF(NOT(ISNUMBER(INDEX(기본자료!$K$2:$K$501,$AB187))),INDEX(기본자료!$K$2:$K$501,$AB187),IF(INDEX(기본자료!$K$2:$K$501,$AB187)&lt;1000000,INDEX(기본자료!$K$2:$K$501,$AB187),IF(AND(INDEX(기본자료!$K$2:$K$501,$AB187)&gt;=10000101,INT(MOD(INDEX(기본자료!$K$2:$K$501,$AB187),10000)/100)&gt;=1,INT(MOD(INDEX(기본자료!$K$2:$K$501,$AB187),10000)/100)&lt;=12,MOD(INDEX(기본자료!$K$2:$K$501,$AB187),100)&gt;=1,MOD(INDEX(기본자료!$K$2:$K$501,$AB187),100)&lt;=31),DATE(INT(INDEX(기본자료!$K$2:$K$501,$AB187)/10000),INT(MOD(INDEX(기본자료!$K$2:$K$501,$AB187),10000)/100),MOD(INDEX(기본자료!$K$2:$K$501,$AB187),100)),INDEX(기본자료!$K$2:$K$501,$AB187)&amp;"")))))</f>
        <v/>
      </c>
      <c r="F187" s="10">
        <f>IF($AB187="","",IF(INDEX(기본자료!$D$2:$D$501,$AB187)="","",INDEX(기본자료!$D$2:$D$501,$AB187)))</f>
        <v/>
      </c>
      <c r="G187" s="10">
        <f>IF($AB187="","",IF(INDEX(기본자료!$E$2:$E$501,$AB187)="","",INDEX(기본자료!$E$2:$E$501,$AB187)))</f>
        <v/>
      </c>
      <c r="H187" s="10">
        <f>IF($AB187="","",IF(INDEX(기본자료!$F$2:$F$501,$AB187)="","",INDEX(기본자료!$F$2:$F$501,$AB187)))</f>
        <v/>
      </c>
      <c r="I187" s="11">
        <f>IF($AB187="","",IF(INDEX(기본자료!$G$2:$G$501,$AB187)="","",IF(NOT(ISNUMBER(INDEX(기본자료!$G$2:$G$501,$AB187))),INDEX(기본자료!$G$2:$G$501,$AB187),IF(INDEX(기본자료!$G$2:$G$501,$AB187)&lt;1000000,INDEX(기본자료!$G$2:$G$501,$AB187),IF(AND(INDEX(기본자료!$G$2:$G$501,$AB187)&gt;=10000101,INT(MOD(INDEX(기본자료!$G$2:$G$501,$AB187),10000)/100)&gt;=1,INT(MOD(INDEX(기본자료!$G$2:$G$501,$AB187),10000)/100)&lt;=12,MOD(INDEX(기본자료!$G$2:$G$501,$AB187),100)&gt;=1,MOD(INDEX(기본자료!$G$2:$G$501,$AB187),100)&lt;=31),DATE(INT(INDEX(기본자료!$G$2:$G$501,$AB187)/10000),INT(MOD(INDEX(기본자료!$G$2:$G$501,$AB187),10000)/100),MOD(INDEX(기본자료!$G$2:$G$501,$AB187),100)),INDEX(기본자료!$G$2:$G$501,$AB187)&amp;"")))))</f>
        <v/>
      </c>
      <c r="J187" s="10">
        <f>IF($AB187="","",IF(INDEX(기본자료!$H$2:$H$501,$AB187)="","",INDEX(기본자료!$H$2:$H$501,$AB187)))</f>
        <v/>
      </c>
      <c r="K187" s="10">
        <f>IF($AB187="","",IF(INDEX(기본자료!$I$2:$I$501,$AB187)="","",INDEX(기본자료!$I$2:$I$501,$AB187)))</f>
        <v/>
      </c>
      <c r="L187" s="10">
        <f>IF($AB187="","",IF(INDEX(기본자료!$A$2:$A$501,$AB187)="","",INDEX(기본자료!$A$2:$A$501,$AB187)))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파견수련계획!$AB$4:$AB$203,$AK187),OR(NOT(ISNUMBER(INDEX(파견수련계획!$AC$4:$AC$203,$AK187))),TODAY()&lt;=INDEX(파견수련계획!$AC$4:$AC$203,$AK187))),"다기관",IF($AF187="","",INDEX(파견수련계획!$T$4:$T$203,$AF187))),IF($AF187="","",INDEX(파견수련계획!$T$4:$T$203,$AF187))))</f>
        <v/>
      </c>
      <c r="Q187" s="10">
        <f>IF($AF187="","",INDEX(파견수련계획!$S$4:$S$203,$AF187))</f>
        <v/>
      </c>
      <c r="R187" s="10">
        <f>IF($AF187="","",INDEX(파견수련계획!$U$4:$U$203,$AF187))</f>
        <v/>
      </c>
      <c r="S187" s="11">
        <f>IF($AF187="","",IF(INDEX(파견수련계획!$H$4:$H$203,$AF187)="","",INDEX(파견수련계획!$H$4:$H$203,$AF187)))</f>
        <v/>
      </c>
      <c r="T187" s="11">
        <f>IF($AF187="","",IF(INDEX(파견수련계획!$I$4:$I$203,$AF187)="","",INDEX(파견수련계획!$I$4:$I$203,$AF187)))</f>
        <v/>
      </c>
      <c r="U187" s="10">
        <f>IF($AF187="","",INDEX(파견수련계획!$X$4:$X$203,$AF187))</f>
        <v/>
      </c>
      <c r="V187" s="17">
        <f>IF($AF187="","",INDEX(파견수련계획!$V$4:$V$203,$AF187))</f>
        <v/>
      </c>
      <c r="W187" s="17">
        <f>IF(AND($U187="파견중",$T187&lt;&gt;""),$T187-TODAY(),"")</f>
        <v/>
      </c>
      <c r="X187" s="17">
        <f>IF(OR($B187="",TRIM($J187&amp;"")=""),"",SUMPRODUCT((파견수련계획!$Q$4:$Q$203=TRIM($J187&amp;""))*파견수련계획!$W$4:$W$203))</f>
        <v/>
      </c>
      <c r="Y187" s="10">
        <f>IF($B187="","",IF($AG187="","",IF(IF(TRIM($J187&amp;"")="",0,SUMPRODUCT((파견수련계획!$Q$4:$Q$203=TRIM($J187&amp;""))*파견수련계획!$AD$4:$AD$203))&gt;0,$AE187,IF(N($X187)&lt;=0,$AG187,IF($AH187+$AI187=DAY(EOMONTH(요약!$B$3,0)),IF(AND($AH187&gt;=요약!$E$3,$AI187&lt;요약!$E$3),"서울병원",IF(AND($AI187&gt;=요약!$E$3,$AH187&lt;요약!$E$3),"구리병원","⚠15일 판정불가(서울 "&amp;$AH187&amp;"일/구리 "&amp;$AI187&amp;"일)")),IF($AJ187="",$AE187,IF(INDEX(파견수련계획!$T$4:$T$203,$AJ187)="통합수련",INDEX(파견수련계획!$S$4:$S$203,$AJ187),$AE187)))))))</f>
        <v/>
      </c>
      <c r="Z187" s="19">
        <f>IF($B187="","",IF($AB187="","기본자료에 없는 사번",IF(COUNTIF($B$2:$B$201,$B187)&gt;1,"중복 사번",IF($AE187="","소속(입사장소) 입력",IF(IF(TRIM($J187&amp;"")="",0,SUMPRODUCT((파견수련계획!$Q$4:$Q$203=TRIM($J187&amp;""))*(파견수련계획!$AA$4:$AA$203&lt;&gt;"")))&gt;0,"파견수련계획 입력오류 확인",IF(LEFT($Y187,1)="⚠","서울·구리 15일 판정 불가(양쪽 모두 이상/미만)",IF(IF($AC187="",0,N(INDEX(인턴근무계획!$T$3:$T$202,$AC187)))&gt;0,"인턴계획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IF($B187="","",IFERROR(MATCH($B187,기본자료!$B$2:$B$501,0),IFERROR(MATCH($B187&amp;"",기본자료!$B$2:$B$501,0),IFERROR(MATCH(VALUE($B187),기본자료!$B$2:$B$501,0),""))))</f>
        <v/>
      </c>
      <c r="AC187" s="10">
        <f>IF($B187="","",IFERROR(MATCH($B187,인턴근무계획!$D$3:$D$202,0),IFERROR(MATCH($B187&amp;"",인턴근무계획!$D$3:$D$202,0),IFERROR(MATCH(VALUE($B187),인턴근무계획!$D$3:$D$202,0),""))))</f>
        <v/>
      </c>
      <c r="AD187" s="10">
        <f>IF(OR($AC187="",인턴현황!$G$3=""),"",INDEX(인턴근무계획!$M$3:$R$202,$AC187,인턴현황!$G$3)&amp;"")</f>
        <v/>
      </c>
      <c r="AE187" s="10">
        <f>IF($B187="","",IF($M187&lt;&gt;"",$M187,IF($AF187&lt;&gt;"",IF(LEFT(INDEX(파견수련계획!$R$4:$R$203,$AF187),1)&lt;&gt;"⚠",INDEX(파견수련계획!$R$4:$R$203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파견수련계획!$Y$4:$Y$203,0),IFERROR(MATCH(TRIM($J187&amp;"")&amp;"|파견예정",파견수련계획!$Y$4:$Y$203,0),IFERROR(MATCH(TRIM($J187&amp;"")&amp;"|파견종료",파견수련계획!$Y$4:$Y$203,0),""))))</f>
        <v/>
      </c>
      <c r="AG187" s="10">
        <f>IF($B187="","",IF(AND(IF(OR($AC187="",인턴현황!$K$2=""),"",INDEX(인턴근무계획!$M$3:$R$202,$AC187,인턴현황!$K$2)&amp;"")&lt;&gt;"",LEFT(IF(OR($AC187="",인턴현황!$K$2=""),"",INDEX(인턴근무계획!$M$3:$R$202,$AC187,인턴현황!$K$2)&amp;""),1)&lt;&gt;"⚠"),LEFT(IF(OR($AC187="",인턴현황!$K$2=""),"",INDEX(인턴근무계획!$M$3:$R$202,$AC187,인턴현황!$K$2)&amp;""),FIND(" ",IF(OR($AC187="",인턴현황!$K$2=""),"",INDEX(인턴근무계획!$M$3:$R$202,$AC187,인턴현황!$K$2)&amp;""))-1),$AE187))</f>
        <v/>
      </c>
      <c r="AH187" s="17">
        <f>IF($B187="","",IF(TRIM($J187&amp;"")="",0,SUMPRODUCT((파견수련계획!$Q$4:$Q$203=TRIM($J187&amp;""))*(파견수련계획!$S$4:$S$203="서울병원")*파견수련계획!$W$4:$W$203))+IF($AG187="서울병원",MAX(0,DAY(EOMONTH(요약!$B$3,0))-N($X187)),0))</f>
        <v/>
      </c>
      <c r="AI187" s="17">
        <f>IF($B187="","",IF(TRIM($J187&amp;"")="",0,SUMPRODUCT((파견수련계획!$Q$4:$Q$203=TRIM($J187&amp;""))*(파견수련계획!$S$4:$S$203="구리병원")*파견수련계획!$W$4:$W$203))+IF($AG187="구리병원",MAX(0,DAY(EOMONTH(요약!$B$3,0))-N($X187)),0))</f>
        <v/>
      </c>
      <c r="AJ187" s="10">
        <f>IF(OR($B187="",TRIM($J187&amp;"")=""),"",IFERROR(MATCH(TRIM($J187&amp;"")&amp;"|월",파견수련계획!$Z$4:$Z$203,0),""))</f>
        <v/>
      </c>
      <c r="AK187" s="10">
        <f>IF(OR($B187="",TRIM($J187&amp;"")=""),"",IFERROR(MATCH(TRIM($J187&amp;"")&amp;"|다기관",파견수련계획!$AE$4:$AE$203,0),""))</f>
        <v/>
      </c>
      <c r="AL187" s="10">
        <f>IF($AK187="","","다기관 "&amp;TEXT(INDEX(파견수련계획!$AB$4:$AB$203,$AK187),"yyyy-mm-dd")&amp;"~"&amp;IF(ISNUMBER(INDEX(파견수련계획!$AC$4:$AC$203,$AK187)),TEXT(INDEX(파견수련계획!$AC$4:$AC$203,$AK187),"yyyy-mm-dd"),""))</f>
        <v/>
      </c>
    </row>
    <row r="188">
      <c r="A188" s="10">
        <f>IF(B188="","",ROW()-1)</f>
        <v/>
      </c>
      <c r="B188" s="18" t="n"/>
      <c r="C188" s="10">
        <f>IF($AB188="","",IF(INDEX(기본자료!$C$2:$C$501,$AB188)="","",INDEX(기본자료!$C$2:$C$501,$AB188)))</f>
        <v/>
      </c>
      <c r="D188" s="10">
        <f>IF($AB188="","",IF(INDEX(기본자료!$J$2:$J$501,$AB188)="","",INDEX(기본자료!$J$2:$J$501,$AB188)))</f>
        <v/>
      </c>
      <c r="E188" s="11">
        <f>IF($AB188="","",IF(INDEX(기본자료!$K$2:$K$501,$AB188)="","",IF(NOT(ISNUMBER(INDEX(기본자료!$K$2:$K$501,$AB188))),INDEX(기본자료!$K$2:$K$501,$AB188),IF(INDEX(기본자료!$K$2:$K$501,$AB188)&lt;1000000,INDEX(기본자료!$K$2:$K$501,$AB188),IF(AND(INDEX(기본자료!$K$2:$K$501,$AB188)&gt;=10000101,INT(MOD(INDEX(기본자료!$K$2:$K$501,$AB188),10000)/100)&gt;=1,INT(MOD(INDEX(기본자료!$K$2:$K$501,$AB188),10000)/100)&lt;=12,MOD(INDEX(기본자료!$K$2:$K$501,$AB188),100)&gt;=1,MOD(INDEX(기본자료!$K$2:$K$501,$AB188),100)&lt;=31),DATE(INT(INDEX(기본자료!$K$2:$K$501,$AB188)/10000),INT(MOD(INDEX(기본자료!$K$2:$K$501,$AB188),10000)/100),MOD(INDEX(기본자료!$K$2:$K$501,$AB188),100)),INDEX(기본자료!$K$2:$K$501,$AB188)&amp;"")))))</f>
        <v/>
      </c>
      <c r="F188" s="10">
        <f>IF($AB188="","",IF(INDEX(기본자료!$D$2:$D$501,$AB188)="","",INDEX(기본자료!$D$2:$D$501,$AB188)))</f>
        <v/>
      </c>
      <c r="G188" s="10">
        <f>IF($AB188="","",IF(INDEX(기본자료!$E$2:$E$501,$AB188)="","",INDEX(기본자료!$E$2:$E$501,$AB188)))</f>
        <v/>
      </c>
      <c r="H188" s="10">
        <f>IF($AB188="","",IF(INDEX(기본자료!$F$2:$F$501,$AB188)="","",INDEX(기본자료!$F$2:$F$501,$AB188)))</f>
        <v/>
      </c>
      <c r="I188" s="11">
        <f>IF($AB188="","",IF(INDEX(기본자료!$G$2:$G$501,$AB188)="","",IF(NOT(ISNUMBER(INDEX(기본자료!$G$2:$G$501,$AB188))),INDEX(기본자료!$G$2:$G$501,$AB188),IF(INDEX(기본자료!$G$2:$G$501,$AB188)&lt;1000000,INDEX(기본자료!$G$2:$G$501,$AB188),IF(AND(INDEX(기본자료!$G$2:$G$501,$AB188)&gt;=10000101,INT(MOD(INDEX(기본자료!$G$2:$G$501,$AB188),10000)/100)&gt;=1,INT(MOD(INDEX(기본자료!$G$2:$G$501,$AB188),10000)/100)&lt;=12,MOD(INDEX(기본자료!$G$2:$G$501,$AB188),100)&gt;=1,MOD(INDEX(기본자료!$G$2:$G$501,$AB188),100)&lt;=31),DATE(INT(INDEX(기본자료!$G$2:$G$501,$AB188)/10000),INT(MOD(INDEX(기본자료!$G$2:$G$501,$AB188),10000)/100),MOD(INDEX(기본자료!$G$2:$G$501,$AB188),100)),INDEX(기본자료!$G$2:$G$501,$AB188)&amp;"")))))</f>
        <v/>
      </c>
      <c r="J188" s="10">
        <f>IF($AB188="","",IF(INDEX(기본자료!$H$2:$H$501,$AB188)="","",INDEX(기본자료!$H$2:$H$501,$AB188)))</f>
        <v/>
      </c>
      <c r="K188" s="10">
        <f>IF($AB188="","",IF(INDEX(기본자료!$I$2:$I$501,$AB188)="","",INDEX(기본자료!$I$2:$I$501,$AB188)))</f>
        <v/>
      </c>
      <c r="L188" s="10">
        <f>IF($AB188="","",IF(INDEX(기본자료!$A$2:$A$501,$AB188)="","",INDEX(기본자료!$A$2:$A$501,$AB188)))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파견수련계획!$AB$4:$AB$203,$AK188),OR(NOT(ISNUMBER(INDEX(파견수련계획!$AC$4:$AC$203,$AK188))),TODAY()&lt;=INDEX(파견수련계획!$AC$4:$AC$203,$AK188))),"다기관",IF($AF188="","",INDEX(파견수련계획!$T$4:$T$203,$AF188))),IF($AF188="","",INDEX(파견수련계획!$T$4:$T$203,$AF188))))</f>
        <v/>
      </c>
      <c r="Q188" s="10">
        <f>IF($AF188="","",INDEX(파견수련계획!$S$4:$S$203,$AF188))</f>
        <v/>
      </c>
      <c r="R188" s="10">
        <f>IF($AF188="","",INDEX(파견수련계획!$U$4:$U$203,$AF188))</f>
        <v/>
      </c>
      <c r="S188" s="11">
        <f>IF($AF188="","",IF(INDEX(파견수련계획!$H$4:$H$203,$AF188)="","",INDEX(파견수련계획!$H$4:$H$203,$AF188)))</f>
        <v/>
      </c>
      <c r="T188" s="11">
        <f>IF($AF188="","",IF(INDEX(파견수련계획!$I$4:$I$203,$AF188)="","",INDEX(파견수련계획!$I$4:$I$203,$AF188)))</f>
        <v/>
      </c>
      <c r="U188" s="10">
        <f>IF($AF188="","",INDEX(파견수련계획!$X$4:$X$203,$AF188))</f>
        <v/>
      </c>
      <c r="V188" s="17">
        <f>IF($AF188="","",INDEX(파견수련계획!$V$4:$V$203,$AF188))</f>
        <v/>
      </c>
      <c r="W188" s="17">
        <f>IF(AND($U188="파견중",$T188&lt;&gt;""),$T188-TODAY(),"")</f>
        <v/>
      </c>
      <c r="X188" s="17">
        <f>IF(OR($B188="",TRIM($J188&amp;"")=""),"",SUMPRODUCT((파견수련계획!$Q$4:$Q$203=TRIM($J188&amp;""))*파견수련계획!$W$4:$W$203))</f>
        <v/>
      </c>
      <c r="Y188" s="10">
        <f>IF($B188="","",IF($AG188="","",IF(IF(TRIM($J188&amp;"")="",0,SUMPRODUCT((파견수련계획!$Q$4:$Q$203=TRIM($J188&amp;""))*파견수련계획!$AD$4:$AD$203))&gt;0,$AE188,IF(N($X188)&lt;=0,$AG188,IF($AH188+$AI188=DAY(EOMONTH(요약!$B$3,0)),IF(AND($AH188&gt;=요약!$E$3,$AI188&lt;요약!$E$3),"서울병원",IF(AND($AI188&gt;=요약!$E$3,$AH188&lt;요약!$E$3),"구리병원","⚠15일 판정불가(서울 "&amp;$AH188&amp;"일/구리 "&amp;$AI188&amp;"일)")),IF($AJ188="",$AE188,IF(INDEX(파견수련계획!$T$4:$T$203,$AJ188)="통합수련",INDEX(파견수련계획!$S$4:$S$203,$AJ188),$AE188)))))))</f>
        <v/>
      </c>
      <c r="Z188" s="19">
        <f>IF($B188="","",IF($AB188="","기본자료에 없는 사번",IF(COUNTIF($B$2:$B$201,$B188)&gt;1,"중복 사번",IF($AE188="","소속(입사장소) 입력",IF(IF(TRIM($J188&amp;"")="",0,SUMPRODUCT((파견수련계획!$Q$4:$Q$203=TRIM($J188&amp;""))*(파견수련계획!$AA$4:$AA$203&lt;&gt;"")))&gt;0,"파견수련계획 입력오류 확인",IF(LEFT($Y188,1)="⚠","서울·구리 15일 판정 불가(양쪽 모두 이상/미만)",IF(IF($AC188="",0,N(INDEX(인턴근무계획!$T$3:$T$202,$AC188)))&gt;0,"인턴계획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IF($B188="","",IFERROR(MATCH($B188,기본자료!$B$2:$B$501,0),IFERROR(MATCH($B188&amp;"",기본자료!$B$2:$B$501,0),IFERROR(MATCH(VALUE($B188),기본자료!$B$2:$B$501,0),""))))</f>
        <v/>
      </c>
      <c r="AC188" s="10">
        <f>IF($B188="","",IFERROR(MATCH($B188,인턴근무계획!$D$3:$D$202,0),IFERROR(MATCH($B188&amp;"",인턴근무계획!$D$3:$D$202,0),IFERROR(MATCH(VALUE($B188),인턴근무계획!$D$3:$D$202,0),""))))</f>
        <v/>
      </c>
      <c r="AD188" s="10">
        <f>IF(OR($AC188="",인턴현황!$G$3=""),"",INDEX(인턴근무계획!$M$3:$R$202,$AC188,인턴현황!$G$3)&amp;"")</f>
        <v/>
      </c>
      <c r="AE188" s="10">
        <f>IF($B188="","",IF($M188&lt;&gt;"",$M188,IF($AF188&lt;&gt;"",IF(LEFT(INDEX(파견수련계획!$R$4:$R$203,$AF188),1)&lt;&gt;"⚠",INDEX(파견수련계획!$R$4:$R$203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파견수련계획!$Y$4:$Y$203,0),IFERROR(MATCH(TRIM($J188&amp;"")&amp;"|파견예정",파견수련계획!$Y$4:$Y$203,0),IFERROR(MATCH(TRIM($J188&amp;"")&amp;"|파견종료",파견수련계획!$Y$4:$Y$203,0),""))))</f>
        <v/>
      </c>
      <c r="AG188" s="10">
        <f>IF($B188="","",IF(AND(IF(OR($AC188="",인턴현황!$K$2=""),"",INDEX(인턴근무계획!$M$3:$R$202,$AC188,인턴현황!$K$2)&amp;"")&lt;&gt;"",LEFT(IF(OR($AC188="",인턴현황!$K$2=""),"",INDEX(인턴근무계획!$M$3:$R$202,$AC188,인턴현황!$K$2)&amp;""),1)&lt;&gt;"⚠"),LEFT(IF(OR($AC188="",인턴현황!$K$2=""),"",INDEX(인턴근무계획!$M$3:$R$202,$AC188,인턴현황!$K$2)&amp;""),FIND(" ",IF(OR($AC188="",인턴현황!$K$2=""),"",INDEX(인턴근무계획!$M$3:$R$202,$AC188,인턴현황!$K$2)&amp;""))-1),$AE188))</f>
        <v/>
      </c>
      <c r="AH188" s="17">
        <f>IF($B188="","",IF(TRIM($J188&amp;"")="",0,SUMPRODUCT((파견수련계획!$Q$4:$Q$203=TRIM($J188&amp;""))*(파견수련계획!$S$4:$S$203="서울병원")*파견수련계획!$W$4:$W$203))+IF($AG188="서울병원",MAX(0,DAY(EOMONTH(요약!$B$3,0))-N($X188)),0))</f>
        <v/>
      </c>
      <c r="AI188" s="17">
        <f>IF($B188="","",IF(TRIM($J188&amp;"")="",0,SUMPRODUCT((파견수련계획!$Q$4:$Q$203=TRIM($J188&amp;""))*(파견수련계획!$S$4:$S$203="구리병원")*파견수련계획!$W$4:$W$203))+IF($AG188="구리병원",MAX(0,DAY(EOMONTH(요약!$B$3,0))-N($X188)),0))</f>
        <v/>
      </c>
      <c r="AJ188" s="10">
        <f>IF(OR($B188="",TRIM($J188&amp;"")=""),"",IFERROR(MATCH(TRIM($J188&amp;"")&amp;"|월",파견수련계획!$Z$4:$Z$203,0),""))</f>
        <v/>
      </c>
      <c r="AK188" s="10">
        <f>IF(OR($B188="",TRIM($J188&amp;"")=""),"",IFERROR(MATCH(TRIM($J188&amp;"")&amp;"|다기관",파견수련계획!$AE$4:$AE$203,0),""))</f>
        <v/>
      </c>
      <c r="AL188" s="10">
        <f>IF($AK188="","","다기관 "&amp;TEXT(INDEX(파견수련계획!$AB$4:$AB$203,$AK188),"yyyy-mm-dd")&amp;"~"&amp;IF(ISNUMBER(INDEX(파견수련계획!$AC$4:$AC$203,$AK188)),TEXT(INDEX(파견수련계획!$AC$4:$AC$203,$AK188),"yyyy-mm-dd"),""))</f>
        <v/>
      </c>
    </row>
    <row r="189">
      <c r="A189" s="10">
        <f>IF(B189="","",ROW()-1)</f>
        <v/>
      </c>
      <c r="B189" s="18" t="n"/>
      <c r="C189" s="10">
        <f>IF($AB189="","",IF(INDEX(기본자료!$C$2:$C$501,$AB189)="","",INDEX(기본자료!$C$2:$C$501,$AB189)))</f>
        <v/>
      </c>
      <c r="D189" s="10">
        <f>IF($AB189="","",IF(INDEX(기본자료!$J$2:$J$501,$AB189)="","",INDEX(기본자료!$J$2:$J$501,$AB189)))</f>
        <v/>
      </c>
      <c r="E189" s="11">
        <f>IF($AB189="","",IF(INDEX(기본자료!$K$2:$K$501,$AB189)="","",IF(NOT(ISNUMBER(INDEX(기본자료!$K$2:$K$501,$AB189))),INDEX(기본자료!$K$2:$K$501,$AB189),IF(INDEX(기본자료!$K$2:$K$501,$AB189)&lt;1000000,INDEX(기본자료!$K$2:$K$501,$AB189),IF(AND(INDEX(기본자료!$K$2:$K$501,$AB189)&gt;=10000101,INT(MOD(INDEX(기본자료!$K$2:$K$501,$AB189),10000)/100)&gt;=1,INT(MOD(INDEX(기본자료!$K$2:$K$501,$AB189),10000)/100)&lt;=12,MOD(INDEX(기본자료!$K$2:$K$501,$AB189),100)&gt;=1,MOD(INDEX(기본자료!$K$2:$K$501,$AB189),100)&lt;=31),DATE(INT(INDEX(기본자료!$K$2:$K$501,$AB189)/10000),INT(MOD(INDEX(기본자료!$K$2:$K$501,$AB189),10000)/100),MOD(INDEX(기본자료!$K$2:$K$501,$AB189),100)),INDEX(기본자료!$K$2:$K$501,$AB189)&amp;"")))))</f>
        <v/>
      </c>
      <c r="F189" s="10">
        <f>IF($AB189="","",IF(INDEX(기본자료!$D$2:$D$501,$AB189)="","",INDEX(기본자료!$D$2:$D$501,$AB189)))</f>
        <v/>
      </c>
      <c r="G189" s="10">
        <f>IF($AB189="","",IF(INDEX(기본자료!$E$2:$E$501,$AB189)="","",INDEX(기본자료!$E$2:$E$501,$AB189)))</f>
        <v/>
      </c>
      <c r="H189" s="10">
        <f>IF($AB189="","",IF(INDEX(기본자료!$F$2:$F$501,$AB189)="","",INDEX(기본자료!$F$2:$F$501,$AB189)))</f>
        <v/>
      </c>
      <c r="I189" s="11">
        <f>IF($AB189="","",IF(INDEX(기본자료!$G$2:$G$501,$AB189)="","",IF(NOT(ISNUMBER(INDEX(기본자료!$G$2:$G$501,$AB189))),INDEX(기본자료!$G$2:$G$501,$AB189),IF(INDEX(기본자료!$G$2:$G$501,$AB189)&lt;1000000,INDEX(기본자료!$G$2:$G$501,$AB189),IF(AND(INDEX(기본자료!$G$2:$G$501,$AB189)&gt;=10000101,INT(MOD(INDEX(기본자료!$G$2:$G$501,$AB189),10000)/100)&gt;=1,INT(MOD(INDEX(기본자료!$G$2:$G$501,$AB189),10000)/100)&lt;=12,MOD(INDEX(기본자료!$G$2:$G$501,$AB189),100)&gt;=1,MOD(INDEX(기본자료!$G$2:$G$501,$AB189),100)&lt;=31),DATE(INT(INDEX(기본자료!$G$2:$G$501,$AB189)/10000),INT(MOD(INDEX(기본자료!$G$2:$G$501,$AB189),10000)/100),MOD(INDEX(기본자료!$G$2:$G$501,$AB189),100)),INDEX(기본자료!$G$2:$G$501,$AB189)&amp;"")))))</f>
        <v/>
      </c>
      <c r="J189" s="10">
        <f>IF($AB189="","",IF(INDEX(기본자료!$H$2:$H$501,$AB189)="","",INDEX(기본자료!$H$2:$H$501,$AB189)))</f>
        <v/>
      </c>
      <c r="K189" s="10">
        <f>IF($AB189="","",IF(INDEX(기본자료!$I$2:$I$501,$AB189)="","",INDEX(기본자료!$I$2:$I$501,$AB189)))</f>
        <v/>
      </c>
      <c r="L189" s="10">
        <f>IF($AB189="","",IF(INDEX(기본자료!$A$2:$A$501,$AB189)="","",INDEX(기본자료!$A$2:$A$501,$AB189)))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파견수련계획!$AB$4:$AB$203,$AK189),OR(NOT(ISNUMBER(INDEX(파견수련계획!$AC$4:$AC$203,$AK189))),TODAY()&lt;=INDEX(파견수련계획!$AC$4:$AC$203,$AK189))),"다기관",IF($AF189="","",INDEX(파견수련계획!$T$4:$T$203,$AF189))),IF($AF189="","",INDEX(파견수련계획!$T$4:$T$203,$AF189))))</f>
        <v/>
      </c>
      <c r="Q189" s="10">
        <f>IF($AF189="","",INDEX(파견수련계획!$S$4:$S$203,$AF189))</f>
        <v/>
      </c>
      <c r="R189" s="10">
        <f>IF($AF189="","",INDEX(파견수련계획!$U$4:$U$203,$AF189))</f>
        <v/>
      </c>
      <c r="S189" s="11">
        <f>IF($AF189="","",IF(INDEX(파견수련계획!$H$4:$H$203,$AF189)="","",INDEX(파견수련계획!$H$4:$H$203,$AF189)))</f>
        <v/>
      </c>
      <c r="T189" s="11">
        <f>IF($AF189="","",IF(INDEX(파견수련계획!$I$4:$I$203,$AF189)="","",INDEX(파견수련계획!$I$4:$I$203,$AF189)))</f>
        <v/>
      </c>
      <c r="U189" s="10">
        <f>IF($AF189="","",INDEX(파견수련계획!$X$4:$X$203,$AF189))</f>
        <v/>
      </c>
      <c r="V189" s="17">
        <f>IF($AF189="","",INDEX(파견수련계획!$V$4:$V$203,$AF189))</f>
        <v/>
      </c>
      <c r="W189" s="17">
        <f>IF(AND($U189="파견중",$T189&lt;&gt;""),$T189-TODAY(),"")</f>
        <v/>
      </c>
      <c r="X189" s="17">
        <f>IF(OR($B189="",TRIM($J189&amp;"")=""),"",SUMPRODUCT((파견수련계획!$Q$4:$Q$203=TRIM($J189&amp;""))*파견수련계획!$W$4:$W$203))</f>
        <v/>
      </c>
      <c r="Y189" s="10">
        <f>IF($B189="","",IF($AG189="","",IF(IF(TRIM($J189&amp;"")="",0,SUMPRODUCT((파견수련계획!$Q$4:$Q$203=TRIM($J189&amp;""))*파견수련계획!$AD$4:$AD$203))&gt;0,$AE189,IF(N($X189)&lt;=0,$AG189,IF($AH189+$AI189=DAY(EOMONTH(요약!$B$3,0)),IF(AND($AH189&gt;=요약!$E$3,$AI189&lt;요약!$E$3),"서울병원",IF(AND($AI189&gt;=요약!$E$3,$AH189&lt;요약!$E$3),"구리병원","⚠15일 판정불가(서울 "&amp;$AH189&amp;"일/구리 "&amp;$AI189&amp;"일)")),IF($AJ189="",$AE189,IF(INDEX(파견수련계획!$T$4:$T$203,$AJ189)="통합수련",INDEX(파견수련계획!$S$4:$S$203,$AJ189),$AE189)))))))</f>
        <v/>
      </c>
      <c r="Z189" s="19">
        <f>IF($B189="","",IF($AB189="","기본자료에 없는 사번",IF(COUNTIF($B$2:$B$201,$B189)&gt;1,"중복 사번",IF($AE189="","소속(입사장소) 입력",IF(IF(TRIM($J189&amp;"")="",0,SUMPRODUCT((파견수련계획!$Q$4:$Q$203=TRIM($J189&amp;""))*(파견수련계획!$AA$4:$AA$203&lt;&gt;"")))&gt;0,"파견수련계획 입력오류 확인",IF(LEFT($Y189,1)="⚠","서울·구리 15일 판정 불가(양쪽 모두 이상/미만)",IF(IF($AC189="",0,N(INDEX(인턴근무계획!$T$3:$T$202,$AC189)))&gt;0,"인턴계획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IF($B189="","",IFERROR(MATCH($B189,기본자료!$B$2:$B$501,0),IFERROR(MATCH($B189&amp;"",기본자료!$B$2:$B$501,0),IFERROR(MATCH(VALUE($B189),기본자료!$B$2:$B$501,0),""))))</f>
        <v/>
      </c>
      <c r="AC189" s="10">
        <f>IF($B189="","",IFERROR(MATCH($B189,인턴근무계획!$D$3:$D$202,0),IFERROR(MATCH($B189&amp;"",인턴근무계획!$D$3:$D$202,0),IFERROR(MATCH(VALUE($B189),인턴근무계획!$D$3:$D$202,0),""))))</f>
        <v/>
      </c>
      <c r="AD189" s="10">
        <f>IF(OR($AC189="",인턴현황!$G$3=""),"",INDEX(인턴근무계획!$M$3:$R$202,$AC189,인턴현황!$G$3)&amp;"")</f>
        <v/>
      </c>
      <c r="AE189" s="10">
        <f>IF($B189="","",IF($M189&lt;&gt;"",$M189,IF($AF189&lt;&gt;"",IF(LEFT(INDEX(파견수련계획!$R$4:$R$203,$AF189),1)&lt;&gt;"⚠",INDEX(파견수련계획!$R$4:$R$203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파견수련계획!$Y$4:$Y$203,0),IFERROR(MATCH(TRIM($J189&amp;"")&amp;"|파견예정",파견수련계획!$Y$4:$Y$203,0),IFERROR(MATCH(TRIM($J189&amp;"")&amp;"|파견종료",파견수련계획!$Y$4:$Y$203,0),""))))</f>
        <v/>
      </c>
      <c r="AG189" s="10">
        <f>IF($B189="","",IF(AND(IF(OR($AC189="",인턴현황!$K$2=""),"",INDEX(인턴근무계획!$M$3:$R$202,$AC189,인턴현황!$K$2)&amp;"")&lt;&gt;"",LEFT(IF(OR($AC189="",인턴현황!$K$2=""),"",INDEX(인턴근무계획!$M$3:$R$202,$AC189,인턴현황!$K$2)&amp;""),1)&lt;&gt;"⚠"),LEFT(IF(OR($AC189="",인턴현황!$K$2=""),"",INDEX(인턴근무계획!$M$3:$R$202,$AC189,인턴현황!$K$2)&amp;""),FIND(" ",IF(OR($AC189="",인턴현황!$K$2=""),"",INDEX(인턴근무계획!$M$3:$R$202,$AC189,인턴현황!$K$2)&amp;""))-1),$AE189))</f>
        <v/>
      </c>
      <c r="AH189" s="17">
        <f>IF($B189="","",IF(TRIM($J189&amp;"")="",0,SUMPRODUCT((파견수련계획!$Q$4:$Q$203=TRIM($J189&amp;""))*(파견수련계획!$S$4:$S$203="서울병원")*파견수련계획!$W$4:$W$203))+IF($AG189="서울병원",MAX(0,DAY(EOMONTH(요약!$B$3,0))-N($X189)),0))</f>
        <v/>
      </c>
      <c r="AI189" s="17">
        <f>IF($B189="","",IF(TRIM($J189&amp;"")="",0,SUMPRODUCT((파견수련계획!$Q$4:$Q$203=TRIM($J189&amp;""))*(파견수련계획!$S$4:$S$203="구리병원")*파견수련계획!$W$4:$W$203))+IF($AG189="구리병원",MAX(0,DAY(EOMONTH(요약!$B$3,0))-N($X189)),0))</f>
        <v/>
      </c>
      <c r="AJ189" s="10">
        <f>IF(OR($B189="",TRIM($J189&amp;"")=""),"",IFERROR(MATCH(TRIM($J189&amp;"")&amp;"|월",파견수련계획!$Z$4:$Z$203,0),""))</f>
        <v/>
      </c>
      <c r="AK189" s="10">
        <f>IF(OR($B189="",TRIM($J189&amp;"")=""),"",IFERROR(MATCH(TRIM($J189&amp;"")&amp;"|다기관",파견수련계획!$AE$4:$AE$203,0),""))</f>
        <v/>
      </c>
      <c r="AL189" s="10">
        <f>IF($AK189="","","다기관 "&amp;TEXT(INDEX(파견수련계획!$AB$4:$AB$203,$AK189),"yyyy-mm-dd")&amp;"~"&amp;IF(ISNUMBER(INDEX(파견수련계획!$AC$4:$AC$203,$AK189)),TEXT(INDEX(파견수련계획!$AC$4:$AC$203,$AK189),"yyyy-mm-dd"),""))</f>
        <v/>
      </c>
    </row>
    <row r="190">
      <c r="A190" s="10">
        <f>IF(B190="","",ROW()-1)</f>
        <v/>
      </c>
      <c r="B190" s="18" t="n"/>
      <c r="C190" s="10">
        <f>IF($AB190="","",IF(INDEX(기본자료!$C$2:$C$501,$AB190)="","",INDEX(기본자료!$C$2:$C$501,$AB190)))</f>
        <v/>
      </c>
      <c r="D190" s="10">
        <f>IF($AB190="","",IF(INDEX(기본자료!$J$2:$J$501,$AB190)="","",INDEX(기본자료!$J$2:$J$501,$AB190)))</f>
        <v/>
      </c>
      <c r="E190" s="11">
        <f>IF($AB190="","",IF(INDEX(기본자료!$K$2:$K$501,$AB190)="","",IF(NOT(ISNUMBER(INDEX(기본자료!$K$2:$K$501,$AB190))),INDEX(기본자료!$K$2:$K$501,$AB190),IF(INDEX(기본자료!$K$2:$K$501,$AB190)&lt;1000000,INDEX(기본자료!$K$2:$K$501,$AB190),IF(AND(INDEX(기본자료!$K$2:$K$501,$AB190)&gt;=10000101,INT(MOD(INDEX(기본자료!$K$2:$K$501,$AB190),10000)/100)&gt;=1,INT(MOD(INDEX(기본자료!$K$2:$K$501,$AB190),10000)/100)&lt;=12,MOD(INDEX(기본자료!$K$2:$K$501,$AB190),100)&gt;=1,MOD(INDEX(기본자료!$K$2:$K$501,$AB190),100)&lt;=31),DATE(INT(INDEX(기본자료!$K$2:$K$501,$AB190)/10000),INT(MOD(INDEX(기본자료!$K$2:$K$501,$AB190),10000)/100),MOD(INDEX(기본자료!$K$2:$K$501,$AB190),100)),INDEX(기본자료!$K$2:$K$501,$AB190)&amp;"")))))</f>
        <v/>
      </c>
      <c r="F190" s="10">
        <f>IF($AB190="","",IF(INDEX(기본자료!$D$2:$D$501,$AB190)="","",INDEX(기본자료!$D$2:$D$501,$AB190)))</f>
        <v/>
      </c>
      <c r="G190" s="10">
        <f>IF($AB190="","",IF(INDEX(기본자료!$E$2:$E$501,$AB190)="","",INDEX(기본자료!$E$2:$E$501,$AB190)))</f>
        <v/>
      </c>
      <c r="H190" s="10">
        <f>IF($AB190="","",IF(INDEX(기본자료!$F$2:$F$501,$AB190)="","",INDEX(기본자료!$F$2:$F$501,$AB190)))</f>
        <v/>
      </c>
      <c r="I190" s="11">
        <f>IF($AB190="","",IF(INDEX(기본자료!$G$2:$G$501,$AB190)="","",IF(NOT(ISNUMBER(INDEX(기본자료!$G$2:$G$501,$AB190))),INDEX(기본자료!$G$2:$G$501,$AB190),IF(INDEX(기본자료!$G$2:$G$501,$AB190)&lt;1000000,INDEX(기본자료!$G$2:$G$501,$AB190),IF(AND(INDEX(기본자료!$G$2:$G$501,$AB190)&gt;=10000101,INT(MOD(INDEX(기본자료!$G$2:$G$501,$AB190),10000)/100)&gt;=1,INT(MOD(INDEX(기본자료!$G$2:$G$501,$AB190),10000)/100)&lt;=12,MOD(INDEX(기본자료!$G$2:$G$501,$AB190),100)&gt;=1,MOD(INDEX(기본자료!$G$2:$G$501,$AB190),100)&lt;=31),DATE(INT(INDEX(기본자료!$G$2:$G$501,$AB190)/10000),INT(MOD(INDEX(기본자료!$G$2:$G$501,$AB190),10000)/100),MOD(INDEX(기본자료!$G$2:$G$501,$AB190),100)),INDEX(기본자료!$G$2:$G$501,$AB190)&amp;"")))))</f>
        <v/>
      </c>
      <c r="J190" s="10">
        <f>IF($AB190="","",IF(INDEX(기본자료!$H$2:$H$501,$AB190)="","",INDEX(기본자료!$H$2:$H$501,$AB190)))</f>
        <v/>
      </c>
      <c r="K190" s="10">
        <f>IF($AB190="","",IF(INDEX(기본자료!$I$2:$I$501,$AB190)="","",INDEX(기본자료!$I$2:$I$501,$AB190)))</f>
        <v/>
      </c>
      <c r="L190" s="10">
        <f>IF($AB190="","",IF(INDEX(기본자료!$A$2:$A$501,$AB190)="","",INDEX(기본자료!$A$2:$A$501,$AB190)))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파견수련계획!$AB$4:$AB$203,$AK190),OR(NOT(ISNUMBER(INDEX(파견수련계획!$AC$4:$AC$203,$AK190))),TODAY()&lt;=INDEX(파견수련계획!$AC$4:$AC$203,$AK190))),"다기관",IF($AF190="","",INDEX(파견수련계획!$T$4:$T$203,$AF190))),IF($AF190="","",INDEX(파견수련계획!$T$4:$T$203,$AF190))))</f>
        <v/>
      </c>
      <c r="Q190" s="10">
        <f>IF($AF190="","",INDEX(파견수련계획!$S$4:$S$203,$AF190))</f>
        <v/>
      </c>
      <c r="R190" s="10">
        <f>IF($AF190="","",INDEX(파견수련계획!$U$4:$U$203,$AF190))</f>
        <v/>
      </c>
      <c r="S190" s="11">
        <f>IF($AF190="","",IF(INDEX(파견수련계획!$H$4:$H$203,$AF190)="","",INDEX(파견수련계획!$H$4:$H$203,$AF190)))</f>
        <v/>
      </c>
      <c r="T190" s="11">
        <f>IF($AF190="","",IF(INDEX(파견수련계획!$I$4:$I$203,$AF190)="","",INDEX(파견수련계획!$I$4:$I$203,$AF190)))</f>
        <v/>
      </c>
      <c r="U190" s="10">
        <f>IF($AF190="","",INDEX(파견수련계획!$X$4:$X$203,$AF190))</f>
        <v/>
      </c>
      <c r="V190" s="17">
        <f>IF($AF190="","",INDEX(파견수련계획!$V$4:$V$203,$AF190))</f>
        <v/>
      </c>
      <c r="W190" s="17">
        <f>IF(AND($U190="파견중",$T190&lt;&gt;""),$T190-TODAY(),"")</f>
        <v/>
      </c>
      <c r="X190" s="17">
        <f>IF(OR($B190="",TRIM($J190&amp;"")=""),"",SUMPRODUCT((파견수련계획!$Q$4:$Q$203=TRIM($J190&amp;""))*파견수련계획!$W$4:$W$203))</f>
        <v/>
      </c>
      <c r="Y190" s="10">
        <f>IF($B190="","",IF($AG190="","",IF(IF(TRIM($J190&amp;"")="",0,SUMPRODUCT((파견수련계획!$Q$4:$Q$203=TRIM($J190&amp;""))*파견수련계획!$AD$4:$AD$203))&gt;0,$AE190,IF(N($X190)&lt;=0,$AG190,IF($AH190+$AI190=DAY(EOMONTH(요약!$B$3,0)),IF(AND($AH190&gt;=요약!$E$3,$AI190&lt;요약!$E$3),"서울병원",IF(AND($AI190&gt;=요약!$E$3,$AH190&lt;요약!$E$3),"구리병원","⚠15일 판정불가(서울 "&amp;$AH190&amp;"일/구리 "&amp;$AI190&amp;"일)")),IF($AJ190="",$AE190,IF(INDEX(파견수련계획!$T$4:$T$203,$AJ190)="통합수련",INDEX(파견수련계획!$S$4:$S$203,$AJ190),$AE190)))))))</f>
        <v/>
      </c>
      <c r="Z190" s="19">
        <f>IF($B190="","",IF($AB190="","기본자료에 없는 사번",IF(COUNTIF($B$2:$B$201,$B190)&gt;1,"중복 사번",IF($AE190="","소속(입사장소) 입력",IF(IF(TRIM($J190&amp;"")="",0,SUMPRODUCT((파견수련계획!$Q$4:$Q$203=TRIM($J190&amp;""))*(파견수련계획!$AA$4:$AA$203&lt;&gt;"")))&gt;0,"파견수련계획 입력오류 확인",IF(LEFT($Y190,1)="⚠","서울·구리 15일 판정 불가(양쪽 모두 이상/미만)",IF(IF($AC190="",0,N(INDEX(인턴근무계획!$T$3:$T$202,$AC190)))&gt;0,"인턴계획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IF($B190="","",IFERROR(MATCH($B190,기본자료!$B$2:$B$501,0),IFERROR(MATCH($B190&amp;"",기본자료!$B$2:$B$501,0),IFERROR(MATCH(VALUE($B190),기본자료!$B$2:$B$501,0),""))))</f>
        <v/>
      </c>
      <c r="AC190" s="10">
        <f>IF($B190="","",IFERROR(MATCH($B190,인턴근무계획!$D$3:$D$202,0),IFERROR(MATCH($B190&amp;"",인턴근무계획!$D$3:$D$202,0),IFERROR(MATCH(VALUE($B190),인턴근무계획!$D$3:$D$202,0),""))))</f>
        <v/>
      </c>
      <c r="AD190" s="10">
        <f>IF(OR($AC190="",인턴현황!$G$3=""),"",INDEX(인턴근무계획!$M$3:$R$202,$AC190,인턴현황!$G$3)&amp;"")</f>
        <v/>
      </c>
      <c r="AE190" s="10">
        <f>IF($B190="","",IF($M190&lt;&gt;"",$M190,IF($AF190&lt;&gt;"",IF(LEFT(INDEX(파견수련계획!$R$4:$R$203,$AF190),1)&lt;&gt;"⚠",INDEX(파견수련계획!$R$4:$R$203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파견수련계획!$Y$4:$Y$203,0),IFERROR(MATCH(TRIM($J190&amp;"")&amp;"|파견예정",파견수련계획!$Y$4:$Y$203,0),IFERROR(MATCH(TRIM($J190&amp;"")&amp;"|파견종료",파견수련계획!$Y$4:$Y$203,0),""))))</f>
        <v/>
      </c>
      <c r="AG190" s="10">
        <f>IF($B190="","",IF(AND(IF(OR($AC190="",인턴현황!$K$2=""),"",INDEX(인턴근무계획!$M$3:$R$202,$AC190,인턴현황!$K$2)&amp;"")&lt;&gt;"",LEFT(IF(OR($AC190="",인턴현황!$K$2=""),"",INDEX(인턴근무계획!$M$3:$R$202,$AC190,인턴현황!$K$2)&amp;""),1)&lt;&gt;"⚠"),LEFT(IF(OR($AC190="",인턴현황!$K$2=""),"",INDEX(인턴근무계획!$M$3:$R$202,$AC190,인턴현황!$K$2)&amp;""),FIND(" ",IF(OR($AC190="",인턴현황!$K$2=""),"",INDEX(인턴근무계획!$M$3:$R$202,$AC190,인턴현황!$K$2)&amp;""))-1),$AE190))</f>
        <v/>
      </c>
      <c r="AH190" s="17">
        <f>IF($B190="","",IF(TRIM($J190&amp;"")="",0,SUMPRODUCT((파견수련계획!$Q$4:$Q$203=TRIM($J190&amp;""))*(파견수련계획!$S$4:$S$203="서울병원")*파견수련계획!$W$4:$W$203))+IF($AG190="서울병원",MAX(0,DAY(EOMONTH(요약!$B$3,0))-N($X190)),0))</f>
        <v/>
      </c>
      <c r="AI190" s="17">
        <f>IF($B190="","",IF(TRIM($J190&amp;"")="",0,SUMPRODUCT((파견수련계획!$Q$4:$Q$203=TRIM($J190&amp;""))*(파견수련계획!$S$4:$S$203="구리병원")*파견수련계획!$W$4:$W$203))+IF($AG190="구리병원",MAX(0,DAY(EOMONTH(요약!$B$3,0))-N($X190)),0))</f>
        <v/>
      </c>
      <c r="AJ190" s="10">
        <f>IF(OR($B190="",TRIM($J190&amp;"")=""),"",IFERROR(MATCH(TRIM($J190&amp;"")&amp;"|월",파견수련계획!$Z$4:$Z$203,0),""))</f>
        <v/>
      </c>
      <c r="AK190" s="10">
        <f>IF(OR($B190="",TRIM($J190&amp;"")=""),"",IFERROR(MATCH(TRIM($J190&amp;"")&amp;"|다기관",파견수련계획!$AE$4:$AE$203,0),""))</f>
        <v/>
      </c>
      <c r="AL190" s="10">
        <f>IF($AK190="","","다기관 "&amp;TEXT(INDEX(파견수련계획!$AB$4:$AB$203,$AK190),"yyyy-mm-dd")&amp;"~"&amp;IF(ISNUMBER(INDEX(파견수련계획!$AC$4:$AC$203,$AK190)),TEXT(INDEX(파견수련계획!$AC$4:$AC$203,$AK190),"yyyy-mm-dd"),""))</f>
        <v/>
      </c>
    </row>
    <row r="191">
      <c r="A191" s="10">
        <f>IF(B191="","",ROW()-1)</f>
        <v/>
      </c>
      <c r="B191" s="18" t="n"/>
      <c r="C191" s="10">
        <f>IF($AB191="","",IF(INDEX(기본자료!$C$2:$C$501,$AB191)="","",INDEX(기본자료!$C$2:$C$501,$AB191)))</f>
        <v/>
      </c>
      <c r="D191" s="10">
        <f>IF($AB191="","",IF(INDEX(기본자료!$J$2:$J$501,$AB191)="","",INDEX(기본자료!$J$2:$J$501,$AB191)))</f>
        <v/>
      </c>
      <c r="E191" s="11">
        <f>IF($AB191="","",IF(INDEX(기본자료!$K$2:$K$501,$AB191)="","",IF(NOT(ISNUMBER(INDEX(기본자료!$K$2:$K$501,$AB191))),INDEX(기본자료!$K$2:$K$501,$AB191),IF(INDEX(기본자료!$K$2:$K$501,$AB191)&lt;1000000,INDEX(기본자료!$K$2:$K$501,$AB191),IF(AND(INDEX(기본자료!$K$2:$K$501,$AB191)&gt;=10000101,INT(MOD(INDEX(기본자료!$K$2:$K$501,$AB191),10000)/100)&gt;=1,INT(MOD(INDEX(기본자료!$K$2:$K$501,$AB191),10000)/100)&lt;=12,MOD(INDEX(기본자료!$K$2:$K$501,$AB191),100)&gt;=1,MOD(INDEX(기본자료!$K$2:$K$501,$AB191),100)&lt;=31),DATE(INT(INDEX(기본자료!$K$2:$K$501,$AB191)/10000),INT(MOD(INDEX(기본자료!$K$2:$K$501,$AB191),10000)/100),MOD(INDEX(기본자료!$K$2:$K$501,$AB191),100)),INDEX(기본자료!$K$2:$K$501,$AB191)&amp;"")))))</f>
        <v/>
      </c>
      <c r="F191" s="10">
        <f>IF($AB191="","",IF(INDEX(기본자료!$D$2:$D$501,$AB191)="","",INDEX(기본자료!$D$2:$D$501,$AB191)))</f>
        <v/>
      </c>
      <c r="G191" s="10">
        <f>IF($AB191="","",IF(INDEX(기본자료!$E$2:$E$501,$AB191)="","",INDEX(기본자료!$E$2:$E$501,$AB191)))</f>
        <v/>
      </c>
      <c r="H191" s="10">
        <f>IF($AB191="","",IF(INDEX(기본자료!$F$2:$F$501,$AB191)="","",INDEX(기본자료!$F$2:$F$501,$AB191)))</f>
        <v/>
      </c>
      <c r="I191" s="11">
        <f>IF($AB191="","",IF(INDEX(기본자료!$G$2:$G$501,$AB191)="","",IF(NOT(ISNUMBER(INDEX(기본자료!$G$2:$G$501,$AB191))),INDEX(기본자료!$G$2:$G$501,$AB191),IF(INDEX(기본자료!$G$2:$G$501,$AB191)&lt;1000000,INDEX(기본자료!$G$2:$G$501,$AB191),IF(AND(INDEX(기본자료!$G$2:$G$501,$AB191)&gt;=10000101,INT(MOD(INDEX(기본자료!$G$2:$G$501,$AB191),10000)/100)&gt;=1,INT(MOD(INDEX(기본자료!$G$2:$G$501,$AB191),10000)/100)&lt;=12,MOD(INDEX(기본자료!$G$2:$G$501,$AB191),100)&gt;=1,MOD(INDEX(기본자료!$G$2:$G$501,$AB191),100)&lt;=31),DATE(INT(INDEX(기본자료!$G$2:$G$501,$AB191)/10000),INT(MOD(INDEX(기본자료!$G$2:$G$501,$AB191),10000)/100),MOD(INDEX(기본자료!$G$2:$G$501,$AB191),100)),INDEX(기본자료!$G$2:$G$501,$AB191)&amp;"")))))</f>
        <v/>
      </c>
      <c r="J191" s="10">
        <f>IF($AB191="","",IF(INDEX(기본자료!$H$2:$H$501,$AB191)="","",INDEX(기본자료!$H$2:$H$501,$AB191)))</f>
        <v/>
      </c>
      <c r="K191" s="10">
        <f>IF($AB191="","",IF(INDEX(기본자료!$I$2:$I$501,$AB191)="","",INDEX(기본자료!$I$2:$I$501,$AB191)))</f>
        <v/>
      </c>
      <c r="L191" s="10">
        <f>IF($AB191="","",IF(INDEX(기본자료!$A$2:$A$501,$AB191)="","",INDEX(기본자료!$A$2:$A$501,$AB191)))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파견수련계획!$AB$4:$AB$203,$AK191),OR(NOT(ISNUMBER(INDEX(파견수련계획!$AC$4:$AC$203,$AK191))),TODAY()&lt;=INDEX(파견수련계획!$AC$4:$AC$203,$AK191))),"다기관",IF($AF191="","",INDEX(파견수련계획!$T$4:$T$203,$AF191))),IF($AF191="","",INDEX(파견수련계획!$T$4:$T$203,$AF191))))</f>
        <v/>
      </c>
      <c r="Q191" s="10">
        <f>IF($AF191="","",INDEX(파견수련계획!$S$4:$S$203,$AF191))</f>
        <v/>
      </c>
      <c r="R191" s="10">
        <f>IF($AF191="","",INDEX(파견수련계획!$U$4:$U$203,$AF191))</f>
        <v/>
      </c>
      <c r="S191" s="11">
        <f>IF($AF191="","",IF(INDEX(파견수련계획!$H$4:$H$203,$AF191)="","",INDEX(파견수련계획!$H$4:$H$203,$AF191)))</f>
        <v/>
      </c>
      <c r="T191" s="11">
        <f>IF($AF191="","",IF(INDEX(파견수련계획!$I$4:$I$203,$AF191)="","",INDEX(파견수련계획!$I$4:$I$203,$AF191)))</f>
        <v/>
      </c>
      <c r="U191" s="10">
        <f>IF($AF191="","",INDEX(파견수련계획!$X$4:$X$203,$AF191))</f>
        <v/>
      </c>
      <c r="V191" s="17">
        <f>IF($AF191="","",INDEX(파견수련계획!$V$4:$V$203,$AF191))</f>
        <v/>
      </c>
      <c r="W191" s="17">
        <f>IF(AND($U191="파견중",$T191&lt;&gt;""),$T191-TODAY(),"")</f>
        <v/>
      </c>
      <c r="X191" s="17">
        <f>IF(OR($B191="",TRIM($J191&amp;"")=""),"",SUMPRODUCT((파견수련계획!$Q$4:$Q$203=TRIM($J191&amp;""))*파견수련계획!$W$4:$W$203))</f>
        <v/>
      </c>
      <c r="Y191" s="10">
        <f>IF($B191="","",IF($AG191="","",IF(IF(TRIM($J191&amp;"")="",0,SUMPRODUCT((파견수련계획!$Q$4:$Q$203=TRIM($J191&amp;""))*파견수련계획!$AD$4:$AD$203))&gt;0,$AE191,IF(N($X191)&lt;=0,$AG191,IF($AH191+$AI191=DAY(EOMONTH(요약!$B$3,0)),IF(AND($AH191&gt;=요약!$E$3,$AI191&lt;요약!$E$3),"서울병원",IF(AND($AI191&gt;=요약!$E$3,$AH191&lt;요약!$E$3),"구리병원","⚠15일 판정불가(서울 "&amp;$AH191&amp;"일/구리 "&amp;$AI191&amp;"일)")),IF($AJ191="",$AE191,IF(INDEX(파견수련계획!$T$4:$T$203,$AJ191)="통합수련",INDEX(파견수련계획!$S$4:$S$203,$AJ191),$AE191)))))))</f>
        <v/>
      </c>
      <c r="Z191" s="19">
        <f>IF($B191="","",IF($AB191="","기본자료에 없는 사번",IF(COUNTIF($B$2:$B$201,$B191)&gt;1,"중복 사번",IF($AE191="","소속(입사장소) 입력",IF(IF(TRIM($J191&amp;"")="",0,SUMPRODUCT((파견수련계획!$Q$4:$Q$203=TRIM($J191&amp;""))*(파견수련계획!$AA$4:$AA$203&lt;&gt;"")))&gt;0,"파견수련계획 입력오류 확인",IF(LEFT($Y191,1)="⚠","서울·구리 15일 판정 불가(양쪽 모두 이상/미만)",IF(IF($AC191="",0,N(INDEX(인턴근무계획!$T$3:$T$202,$AC191)))&gt;0,"인턴계획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IF($B191="","",IFERROR(MATCH($B191,기본자료!$B$2:$B$501,0),IFERROR(MATCH($B191&amp;"",기본자료!$B$2:$B$501,0),IFERROR(MATCH(VALUE($B191),기본자료!$B$2:$B$501,0),""))))</f>
        <v/>
      </c>
      <c r="AC191" s="10">
        <f>IF($B191="","",IFERROR(MATCH($B191,인턴근무계획!$D$3:$D$202,0),IFERROR(MATCH($B191&amp;"",인턴근무계획!$D$3:$D$202,0),IFERROR(MATCH(VALUE($B191),인턴근무계획!$D$3:$D$202,0),""))))</f>
        <v/>
      </c>
      <c r="AD191" s="10">
        <f>IF(OR($AC191="",인턴현황!$G$3=""),"",INDEX(인턴근무계획!$M$3:$R$202,$AC191,인턴현황!$G$3)&amp;"")</f>
        <v/>
      </c>
      <c r="AE191" s="10">
        <f>IF($B191="","",IF($M191&lt;&gt;"",$M191,IF($AF191&lt;&gt;"",IF(LEFT(INDEX(파견수련계획!$R$4:$R$203,$AF191),1)&lt;&gt;"⚠",INDEX(파견수련계획!$R$4:$R$203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파견수련계획!$Y$4:$Y$203,0),IFERROR(MATCH(TRIM($J191&amp;"")&amp;"|파견예정",파견수련계획!$Y$4:$Y$203,0),IFERROR(MATCH(TRIM($J191&amp;"")&amp;"|파견종료",파견수련계획!$Y$4:$Y$203,0),""))))</f>
        <v/>
      </c>
      <c r="AG191" s="10">
        <f>IF($B191="","",IF(AND(IF(OR($AC191="",인턴현황!$K$2=""),"",INDEX(인턴근무계획!$M$3:$R$202,$AC191,인턴현황!$K$2)&amp;"")&lt;&gt;"",LEFT(IF(OR($AC191="",인턴현황!$K$2=""),"",INDEX(인턴근무계획!$M$3:$R$202,$AC191,인턴현황!$K$2)&amp;""),1)&lt;&gt;"⚠"),LEFT(IF(OR($AC191="",인턴현황!$K$2=""),"",INDEX(인턴근무계획!$M$3:$R$202,$AC191,인턴현황!$K$2)&amp;""),FIND(" ",IF(OR($AC191="",인턴현황!$K$2=""),"",INDEX(인턴근무계획!$M$3:$R$202,$AC191,인턴현황!$K$2)&amp;""))-1),$AE191))</f>
        <v/>
      </c>
      <c r="AH191" s="17">
        <f>IF($B191="","",IF(TRIM($J191&amp;"")="",0,SUMPRODUCT((파견수련계획!$Q$4:$Q$203=TRIM($J191&amp;""))*(파견수련계획!$S$4:$S$203="서울병원")*파견수련계획!$W$4:$W$203))+IF($AG191="서울병원",MAX(0,DAY(EOMONTH(요약!$B$3,0))-N($X191)),0))</f>
        <v/>
      </c>
      <c r="AI191" s="17">
        <f>IF($B191="","",IF(TRIM($J191&amp;"")="",0,SUMPRODUCT((파견수련계획!$Q$4:$Q$203=TRIM($J191&amp;""))*(파견수련계획!$S$4:$S$203="구리병원")*파견수련계획!$W$4:$W$203))+IF($AG191="구리병원",MAX(0,DAY(EOMONTH(요약!$B$3,0))-N($X191)),0))</f>
        <v/>
      </c>
      <c r="AJ191" s="10">
        <f>IF(OR($B191="",TRIM($J191&amp;"")=""),"",IFERROR(MATCH(TRIM($J191&amp;"")&amp;"|월",파견수련계획!$Z$4:$Z$203,0),""))</f>
        <v/>
      </c>
      <c r="AK191" s="10">
        <f>IF(OR($B191="",TRIM($J191&amp;"")=""),"",IFERROR(MATCH(TRIM($J191&amp;"")&amp;"|다기관",파견수련계획!$AE$4:$AE$203,0),""))</f>
        <v/>
      </c>
      <c r="AL191" s="10">
        <f>IF($AK191="","","다기관 "&amp;TEXT(INDEX(파견수련계획!$AB$4:$AB$203,$AK191),"yyyy-mm-dd")&amp;"~"&amp;IF(ISNUMBER(INDEX(파견수련계획!$AC$4:$AC$203,$AK191)),TEXT(INDEX(파견수련계획!$AC$4:$AC$203,$AK191),"yyyy-mm-dd"),""))</f>
        <v/>
      </c>
    </row>
    <row r="192">
      <c r="A192" s="10">
        <f>IF(B192="","",ROW()-1)</f>
        <v/>
      </c>
      <c r="B192" s="18" t="n"/>
      <c r="C192" s="10">
        <f>IF($AB192="","",IF(INDEX(기본자료!$C$2:$C$501,$AB192)="","",INDEX(기본자료!$C$2:$C$501,$AB192)))</f>
        <v/>
      </c>
      <c r="D192" s="10">
        <f>IF($AB192="","",IF(INDEX(기본자료!$J$2:$J$501,$AB192)="","",INDEX(기본자료!$J$2:$J$501,$AB192)))</f>
        <v/>
      </c>
      <c r="E192" s="11">
        <f>IF($AB192="","",IF(INDEX(기본자료!$K$2:$K$501,$AB192)="","",IF(NOT(ISNUMBER(INDEX(기본자료!$K$2:$K$501,$AB192))),INDEX(기본자료!$K$2:$K$501,$AB192),IF(INDEX(기본자료!$K$2:$K$501,$AB192)&lt;1000000,INDEX(기본자료!$K$2:$K$501,$AB192),IF(AND(INDEX(기본자료!$K$2:$K$501,$AB192)&gt;=10000101,INT(MOD(INDEX(기본자료!$K$2:$K$501,$AB192),10000)/100)&gt;=1,INT(MOD(INDEX(기본자료!$K$2:$K$501,$AB192),10000)/100)&lt;=12,MOD(INDEX(기본자료!$K$2:$K$501,$AB192),100)&gt;=1,MOD(INDEX(기본자료!$K$2:$K$501,$AB192),100)&lt;=31),DATE(INT(INDEX(기본자료!$K$2:$K$501,$AB192)/10000),INT(MOD(INDEX(기본자료!$K$2:$K$501,$AB192),10000)/100),MOD(INDEX(기본자료!$K$2:$K$501,$AB192),100)),INDEX(기본자료!$K$2:$K$501,$AB192)&amp;"")))))</f>
        <v/>
      </c>
      <c r="F192" s="10">
        <f>IF($AB192="","",IF(INDEX(기본자료!$D$2:$D$501,$AB192)="","",INDEX(기본자료!$D$2:$D$501,$AB192)))</f>
        <v/>
      </c>
      <c r="G192" s="10">
        <f>IF($AB192="","",IF(INDEX(기본자료!$E$2:$E$501,$AB192)="","",INDEX(기본자료!$E$2:$E$501,$AB192)))</f>
        <v/>
      </c>
      <c r="H192" s="10">
        <f>IF($AB192="","",IF(INDEX(기본자료!$F$2:$F$501,$AB192)="","",INDEX(기본자료!$F$2:$F$501,$AB192)))</f>
        <v/>
      </c>
      <c r="I192" s="11">
        <f>IF($AB192="","",IF(INDEX(기본자료!$G$2:$G$501,$AB192)="","",IF(NOT(ISNUMBER(INDEX(기본자료!$G$2:$G$501,$AB192))),INDEX(기본자료!$G$2:$G$501,$AB192),IF(INDEX(기본자료!$G$2:$G$501,$AB192)&lt;1000000,INDEX(기본자료!$G$2:$G$501,$AB192),IF(AND(INDEX(기본자료!$G$2:$G$501,$AB192)&gt;=10000101,INT(MOD(INDEX(기본자료!$G$2:$G$501,$AB192),10000)/100)&gt;=1,INT(MOD(INDEX(기본자료!$G$2:$G$501,$AB192),10000)/100)&lt;=12,MOD(INDEX(기본자료!$G$2:$G$501,$AB192),100)&gt;=1,MOD(INDEX(기본자료!$G$2:$G$501,$AB192),100)&lt;=31),DATE(INT(INDEX(기본자료!$G$2:$G$501,$AB192)/10000),INT(MOD(INDEX(기본자료!$G$2:$G$501,$AB192),10000)/100),MOD(INDEX(기본자료!$G$2:$G$501,$AB192),100)),INDEX(기본자료!$G$2:$G$501,$AB192)&amp;"")))))</f>
        <v/>
      </c>
      <c r="J192" s="10">
        <f>IF($AB192="","",IF(INDEX(기본자료!$H$2:$H$501,$AB192)="","",INDEX(기본자료!$H$2:$H$501,$AB192)))</f>
        <v/>
      </c>
      <c r="K192" s="10">
        <f>IF($AB192="","",IF(INDEX(기본자료!$I$2:$I$501,$AB192)="","",INDEX(기본자료!$I$2:$I$501,$AB192)))</f>
        <v/>
      </c>
      <c r="L192" s="10">
        <f>IF($AB192="","",IF(INDEX(기본자료!$A$2:$A$501,$AB192)="","",INDEX(기본자료!$A$2:$A$501,$AB192)))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파견수련계획!$AB$4:$AB$203,$AK192),OR(NOT(ISNUMBER(INDEX(파견수련계획!$AC$4:$AC$203,$AK192))),TODAY()&lt;=INDEX(파견수련계획!$AC$4:$AC$203,$AK192))),"다기관",IF($AF192="","",INDEX(파견수련계획!$T$4:$T$203,$AF192))),IF($AF192="","",INDEX(파견수련계획!$T$4:$T$203,$AF192))))</f>
        <v/>
      </c>
      <c r="Q192" s="10">
        <f>IF($AF192="","",INDEX(파견수련계획!$S$4:$S$203,$AF192))</f>
        <v/>
      </c>
      <c r="R192" s="10">
        <f>IF($AF192="","",INDEX(파견수련계획!$U$4:$U$203,$AF192))</f>
        <v/>
      </c>
      <c r="S192" s="11">
        <f>IF($AF192="","",IF(INDEX(파견수련계획!$H$4:$H$203,$AF192)="","",INDEX(파견수련계획!$H$4:$H$203,$AF192)))</f>
        <v/>
      </c>
      <c r="T192" s="11">
        <f>IF($AF192="","",IF(INDEX(파견수련계획!$I$4:$I$203,$AF192)="","",INDEX(파견수련계획!$I$4:$I$203,$AF192)))</f>
        <v/>
      </c>
      <c r="U192" s="10">
        <f>IF($AF192="","",INDEX(파견수련계획!$X$4:$X$203,$AF192))</f>
        <v/>
      </c>
      <c r="V192" s="17">
        <f>IF($AF192="","",INDEX(파견수련계획!$V$4:$V$203,$AF192))</f>
        <v/>
      </c>
      <c r="W192" s="17">
        <f>IF(AND($U192="파견중",$T192&lt;&gt;""),$T192-TODAY(),"")</f>
        <v/>
      </c>
      <c r="X192" s="17">
        <f>IF(OR($B192="",TRIM($J192&amp;"")=""),"",SUMPRODUCT((파견수련계획!$Q$4:$Q$203=TRIM($J192&amp;""))*파견수련계획!$W$4:$W$203))</f>
        <v/>
      </c>
      <c r="Y192" s="10">
        <f>IF($B192="","",IF($AG192="","",IF(IF(TRIM($J192&amp;"")="",0,SUMPRODUCT((파견수련계획!$Q$4:$Q$203=TRIM($J192&amp;""))*파견수련계획!$AD$4:$AD$203))&gt;0,$AE192,IF(N($X192)&lt;=0,$AG192,IF($AH192+$AI192=DAY(EOMONTH(요약!$B$3,0)),IF(AND($AH192&gt;=요약!$E$3,$AI192&lt;요약!$E$3),"서울병원",IF(AND($AI192&gt;=요약!$E$3,$AH192&lt;요약!$E$3),"구리병원","⚠15일 판정불가(서울 "&amp;$AH192&amp;"일/구리 "&amp;$AI192&amp;"일)")),IF($AJ192="",$AE192,IF(INDEX(파견수련계획!$T$4:$T$203,$AJ192)="통합수련",INDEX(파견수련계획!$S$4:$S$203,$AJ192),$AE192)))))))</f>
        <v/>
      </c>
      <c r="Z192" s="19">
        <f>IF($B192="","",IF($AB192="","기본자료에 없는 사번",IF(COUNTIF($B$2:$B$201,$B192)&gt;1,"중복 사번",IF($AE192="","소속(입사장소) 입력",IF(IF(TRIM($J192&amp;"")="",0,SUMPRODUCT((파견수련계획!$Q$4:$Q$203=TRIM($J192&amp;""))*(파견수련계획!$AA$4:$AA$203&lt;&gt;"")))&gt;0,"파견수련계획 입력오류 확인",IF(LEFT($Y192,1)="⚠","서울·구리 15일 판정 불가(양쪽 모두 이상/미만)",IF(IF($AC192="",0,N(INDEX(인턴근무계획!$T$3:$T$202,$AC192)))&gt;0,"인턴계획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IF($B192="","",IFERROR(MATCH($B192,기본자료!$B$2:$B$501,0),IFERROR(MATCH($B192&amp;"",기본자료!$B$2:$B$501,0),IFERROR(MATCH(VALUE($B192),기본자료!$B$2:$B$501,0),""))))</f>
        <v/>
      </c>
      <c r="AC192" s="10">
        <f>IF($B192="","",IFERROR(MATCH($B192,인턴근무계획!$D$3:$D$202,0),IFERROR(MATCH($B192&amp;"",인턴근무계획!$D$3:$D$202,0),IFERROR(MATCH(VALUE($B192),인턴근무계획!$D$3:$D$202,0),""))))</f>
        <v/>
      </c>
      <c r="AD192" s="10">
        <f>IF(OR($AC192="",인턴현황!$G$3=""),"",INDEX(인턴근무계획!$M$3:$R$202,$AC192,인턴현황!$G$3)&amp;"")</f>
        <v/>
      </c>
      <c r="AE192" s="10">
        <f>IF($B192="","",IF($M192&lt;&gt;"",$M192,IF($AF192&lt;&gt;"",IF(LEFT(INDEX(파견수련계획!$R$4:$R$203,$AF192),1)&lt;&gt;"⚠",INDEX(파견수련계획!$R$4:$R$203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파견수련계획!$Y$4:$Y$203,0),IFERROR(MATCH(TRIM($J192&amp;"")&amp;"|파견예정",파견수련계획!$Y$4:$Y$203,0),IFERROR(MATCH(TRIM($J192&amp;"")&amp;"|파견종료",파견수련계획!$Y$4:$Y$203,0),""))))</f>
        <v/>
      </c>
      <c r="AG192" s="10">
        <f>IF($B192="","",IF(AND(IF(OR($AC192="",인턴현황!$K$2=""),"",INDEX(인턴근무계획!$M$3:$R$202,$AC192,인턴현황!$K$2)&amp;"")&lt;&gt;"",LEFT(IF(OR($AC192="",인턴현황!$K$2=""),"",INDEX(인턴근무계획!$M$3:$R$202,$AC192,인턴현황!$K$2)&amp;""),1)&lt;&gt;"⚠"),LEFT(IF(OR($AC192="",인턴현황!$K$2=""),"",INDEX(인턴근무계획!$M$3:$R$202,$AC192,인턴현황!$K$2)&amp;""),FIND(" ",IF(OR($AC192="",인턴현황!$K$2=""),"",INDEX(인턴근무계획!$M$3:$R$202,$AC192,인턴현황!$K$2)&amp;""))-1),$AE192))</f>
        <v/>
      </c>
      <c r="AH192" s="17">
        <f>IF($B192="","",IF(TRIM($J192&amp;"")="",0,SUMPRODUCT((파견수련계획!$Q$4:$Q$203=TRIM($J192&amp;""))*(파견수련계획!$S$4:$S$203="서울병원")*파견수련계획!$W$4:$W$203))+IF($AG192="서울병원",MAX(0,DAY(EOMONTH(요약!$B$3,0))-N($X192)),0))</f>
        <v/>
      </c>
      <c r="AI192" s="17">
        <f>IF($B192="","",IF(TRIM($J192&amp;"")="",0,SUMPRODUCT((파견수련계획!$Q$4:$Q$203=TRIM($J192&amp;""))*(파견수련계획!$S$4:$S$203="구리병원")*파견수련계획!$W$4:$W$203))+IF($AG192="구리병원",MAX(0,DAY(EOMONTH(요약!$B$3,0))-N($X192)),0))</f>
        <v/>
      </c>
      <c r="AJ192" s="10">
        <f>IF(OR($B192="",TRIM($J192&amp;"")=""),"",IFERROR(MATCH(TRIM($J192&amp;"")&amp;"|월",파견수련계획!$Z$4:$Z$203,0),""))</f>
        <v/>
      </c>
      <c r="AK192" s="10">
        <f>IF(OR($B192="",TRIM($J192&amp;"")=""),"",IFERROR(MATCH(TRIM($J192&amp;"")&amp;"|다기관",파견수련계획!$AE$4:$AE$203,0),""))</f>
        <v/>
      </c>
      <c r="AL192" s="10">
        <f>IF($AK192="","","다기관 "&amp;TEXT(INDEX(파견수련계획!$AB$4:$AB$203,$AK192),"yyyy-mm-dd")&amp;"~"&amp;IF(ISNUMBER(INDEX(파견수련계획!$AC$4:$AC$203,$AK192)),TEXT(INDEX(파견수련계획!$AC$4:$AC$203,$AK192),"yyyy-mm-dd"),""))</f>
        <v/>
      </c>
    </row>
    <row r="193">
      <c r="A193" s="10">
        <f>IF(B193="","",ROW()-1)</f>
        <v/>
      </c>
      <c r="B193" s="18" t="n"/>
      <c r="C193" s="10">
        <f>IF($AB193="","",IF(INDEX(기본자료!$C$2:$C$501,$AB193)="","",INDEX(기본자료!$C$2:$C$501,$AB193)))</f>
        <v/>
      </c>
      <c r="D193" s="10">
        <f>IF($AB193="","",IF(INDEX(기본자료!$J$2:$J$501,$AB193)="","",INDEX(기본자료!$J$2:$J$501,$AB193)))</f>
        <v/>
      </c>
      <c r="E193" s="11">
        <f>IF($AB193="","",IF(INDEX(기본자료!$K$2:$K$501,$AB193)="","",IF(NOT(ISNUMBER(INDEX(기본자료!$K$2:$K$501,$AB193))),INDEX(기본자료!$K$2:$K$501,$AB193),IF(INDEX(기본자료!$K$2:$K$501,$AB193)&lt;1000000,INDEX(기본자료!$K$2:$K$501,$AB193),IF(AND(INDEX(기본자료!$K$2:$K$501,$AB193)&gt;=10000101,INT(MOD(INDEX(기본자료!$K$2:$K$501,$AB193),10000)/100)&gt;=1,INT(MOD(INDEX(기본자료!$K$2:$K$501,$AB193),10000)/100)&lt;=12,MOD(INDEX(기본자료!$K$2:$K$501,$AB193),100)&gt;=1,MOD(INDEX(기본자료!$K$2:$K$501,$AB193),100)&lt;=31),DATE(INT(INDEX(기본자료!$K$2:$K$501,$AB193)/10000),INT(MOD(INDEX(기본자료!$K$2:$K$501,$AB193),10000)/100),MOD(INDEX(기본자료!$K$2:$K$501,$AB193),100)),INDEX(기본자료!$K$2:$K$501,$AB193)&amp;"")))))</f>
        <v/>
      </c>
      <c r="F193" s="10">
        <f>IF($AB193="","",IF(INDEX(기본자료!$D$2:$D$501,$AB193)="","",INDEX(기본자료!$D$2:$D$501,$AB193)))</f>
        <v/>
      </c>
      <c r="G193" s="10">
        <f>IF($AB193="","",IF(INDEX(기본자료!$E$2:$E$501,$AB193)="","",INDEX(기본자료!$E$2:$E$501,$AB193)))</f>
        <v/>
      </c>
      <c r="H193" s="10">
        <f>IF($AB193="","",IF(INDEX(기본자료!$F$2:$F$501,$AB193)="","",INDEX(기본자료!$F$2:$F$501,$AB193)))</f>
        <v/>
      </c>
      <c r="I193" s="11">
        <f>IF($AB193="","",IF(INDEX(기본자료!$G$2:$G$501,$AB193)="","",IF(NOT(ISNUMBER(INDEX(기본자료!$G$2:$G$501,$AB193))),INDEX(기본자료!$G$2:$G$501,$AB193),IF(INDEX(기본자료!$G$2:$G$501,$AB193)&lt;1000000,INDEX(기본자료!$G$2:$G$501,$AB193),IF(AND(INDEX(기본자료!$G$2:$G$501,$AB193)&gt;=10000101,INT(MOD(INDEX(기본자료!$G$2:$G$501,$AB193),10000)/100)&gt;=1,INT(MOD(INDEX(기본자료!$G$2:$G$501,$AB193),10000)/100)&lt;=12,MOD(INDEX(기본자료!$G$2:$G$501,$AB193),100)&gt;=1,MOD(INDEX(기본자료!$G$2:$G$501,$AB193),100)&lt;=31),DATE(INT(INDEX(기본자료!$G$2:$G$501,$AB193)/10000),INT(MOD(INDEX(기본자료!$G$2:$G$501,$AB193),10000)/100),MOD(INDEX(기본자료!$G$2:$G$501,$AB193),100)),INDEX(기본자료!$G$2:$G$501,$AB193)&amp;"")))))</f>
        <v/>
      </c>
      <c r="J193" s="10">
        <f>IF($AB193="","",IF(INDEX(기본자료!$H$2:$H$501,$AB193)="","",INDEX(기본자료!$H$2:$H$501,$AB193)))</f>
        <v/>
      </c>
      <c r="K193" s="10">
        <f>IF($AB193="","",IF(INDEX(기본자료!$I$2:$I$501,$AB193)="","",INDEX(기본자료!$I$2:$I$501,$AB193)))</f>
        <v/>
      </c>
      <c r="L193" s="10">
        <f>IF($AB193="","",IF(INDEX(기본자료!$A$2:$A$501,$AB193)="","",INDEX(기본자료!$A$2:$A$501,$AB193)))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파견수련계획!$AB$4:$AB$203,$AK193),OR(NOT(ISNUMBER(INDEX(파견수련계획!$AC$4:$AC$203,$AK193))),TODAY()&lt;=INDEX(파견수련계획!$AC$4:$AC$203,$AK193))),"다기관",IF($AF193="","",INDEX(파견수련계획!$T$4:$T$203,$AF193))),IF($AF193="","",INDEX(파견수련계획!$T$4:$T$203,$AF193))))</f>
        <v/>
      </c>
      <c r="Q193" s="10">
        <f>IF($AF193="","",INDEX(파견수련계획!$S$4:$S$203,$AF193))</f>
        <v/>
      </c>
      <c r="R193" s="10">
        <f>IF($AF193="","",INDEX(파견수련계획!$U$4:$U$203,$AF193))</f>
        <v/>
      </c>
      <c r="S193" s="11">
        <f>IF($AF193="","",IF(INDEX(파견수련계획!$H$4:$H$203,$AF193)="","",INDEX(파견수련계획!$H$4:$H$203,$AF193)))</f>
        <v/>
      </c>
      <c r="T193" s="11">
        <f>IF($AF193="","",IF(INDEX(파견수련계획!$I$4:$I$203,$AF193)="","",INDEX(파견수련계획!$I$4:$I$203,$AF193)))</f>
        <v/>
      </c>
      <c r="U193" s="10">
        <f>IF($AF193="","",INDEX(파견수련계획!$X$4:$X$203,$AF193))</f>
        <v/>
      </c>
      <c r="V193" s="17">
        <f>IF($AF193="","",INDEX(파견수련계획!$V$4:$V$203,$AF193))</f>
        <v/>
      </c>
      <c r="W193" s="17">
        <f>IF(AND($U193="파견중",$T193&lt;&gt;""),$T193-TODAY(),"")</f>
        <v/>
      </c>
      <c r="X193" s="17">
        <f>IF(OR($B193="",TRIM($J193&amp;"")=""),"",SUMPRODUCT((파견수련계획!$Q$4:$Q$203=TRIM($J193&amp;""))*파견수련계획!$W$4:$W$203))</f>
        <v/>
      </c>
      <c r="Y193" s="10">
        <f>IF($B193="","",IF($AG193="","",IF(IF(TRIM($J193&amp;"")="",0,SUMPRODUCT((파견수련계획!$Q$4:$Q$203=TRIM($J193&amp;""))*파견수련계획!$AD$4:$AD$203))&gt;0,$AE193,IF(N($X193)&lt;=0,$AG193,IF($AH193+$AI193=DAY(EOMONTH(요약!$B$3,0)),IF(AND($AH193&gt;=요약!$E$3,$AI193&lt;요약!$E$3),"서울병원",IF(AND($AI193&gt;=요약!$E$3,$AH193&lt;요약!$E$3),"구리병원","⚠15일 판정불가(서울 "&amp;$AH193&amp;"일/구리 "&amp;$AI193&amp;"일)")),IF($AJ193="",$AE193,IF(INDEX(파견수련계획!$T$4:$T$203,$AJ193)="통합수련",INDEX(파견수련계획!$S$4:$S$203,$AJ193),$AE193)))))))</f>
        <v/>
      </c>
      <c r="Z193" s="19">
        <f>IF($B193="","",IF($AB193="","기본자료에 없는 사번",IF(COUNTIF($B$2:$B$201,$B193)&gt;1,"중복 사번",IF($AE193="","소속(입사장소) 입력",IF(IF(TRIM($J193&amp;"")="",0,SUMPRODUCT((파견수련계획!$Q$4:$Q$203=TRIM($J193&amp;""))*(파견수련계획!$AA$4:$AA$203&lt;&gt;"")))&gt;0,"파견수련계획 입력오류 확인",IF(LEFT($Y193,1)="⚠","서울·구리 15일 판정 불가(양쪽 모두 이상/미만)",IF(IF($AC193="",0,N(INDEX(인턴근무계획!$T$3:$T$202,$AC193)))&gt;0,"인턴계획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IF($B193="","",IFERROR(MATCH($B193,기본자료!$B$2:$B$501,0),IFERROR(MATCH($B193&amp;"",기본자료!$B$2:$B$501,0),IFERROR(MATCH(VALUE($B193),기본자료!$B$2:$B$501,0),""))))</f>
        <v/>
      </c>
      <c r="AC193" s="10">
        <f>IF($B193="","",IFERROR(MATCH($B193,인턴근무계획!$D$3:$D$202,0),IFERROR(MATCH($B193&amp;"",인턴근무계획!$D$3:$D$202,0),IFERROR(MATCH(VALUE($B193),인턴근무계획!$D$3:$D$202,0),""))))</f>
        <v/>
      </c>
      <c r="AD193" s="10">
        <f>IF(OR($AC193="",인턴현황!$G$3=""),"",INDEX(인턴근무계획!$M$3:$R$202,$AC193,인턴현황!$G$3)&amp;"")</f>
        <v/>
      </c>
      <c r="AE193" s="10">
        <f>IF($B193="","",IF($M193&lt;&gt;"",$M193,IF($AF193&lt;&gt;"",IF(LEFT(INDEX(파견수련계획!$R$4:$R$203,$AF193),1)&lt;&gt;"⚠",INDEX(파견수련계획!$R$4:$R$203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파견수련계획!$Y$4:$Y$203,0),IFERROR(MATCH(TRIM($J193&amp;"")&amp;"|파견예정",파견수련계획!$Y$4:$Y$203,0),IFERROR(MATCH(TRIM($J193&amp;"")&amp;"|파견종료",파견수련계획!$Y$4:$Y$203,0),""))))</f>
        <v/>
      </c>
      <c r="AG193" s="10">
        <f>IF($B193="","",IF(AND(IF(OR($AC193="",인턴현황!$K$2=""),"",INDEX(인턴근무계획!$M$3:$R$202,$AC193,인턴현황!$K$2)&amp;"")&lt;&gt;"",LEFT(IF(OR($AC193="",인턴현황!$K$2=""),"",INDEX(인턴근무계획!$M$3:$R$202,$AC193,인턴현황!$K$2)&amp;""),1)&lt;&gt;"⚠"),LEFT(IF(OR($AC193="",인턴현황!$K$2=""),"",INDEX(인턴근무계획!$M$3:$R$202,$AC193,인턴현황!$K$2)&amp;""),FIND(" ",IF(OR($AC193="",인턴현황!$K$2=""),"",INDEX(인턴근무계획!$M$3:$R$202,$AC193,인턴현황!$K$2)&amp;""))-1),$AE193))</f>
        <v/>
      </c>
      <c r="AH193" s="17">
        <f>IF($B193="","",IF(TRIM($J193&amp;"")="",0,SUMPRODUCT((파견수련계획!$Q$4:$Q$203=TRIM($J193&amp;""))*(파견수련계획!$S$4:$S$203="서울병원")*파견수련계획!$W$4:$W$203))+IF($AG193="서울병원",MAX(0,DAY(EOMONTH(요약!$B$3,0))-N($X193)),0))</f>
        <v/>
      </c>
      <c r="AI193" s="17">
        <f>IF($B193="","",IF(TRIM($J193&amp;"")="",0,SUMPRODUCT((파견수련계획!$Q$4:$Q$203=TRIM($J193&amp;""))*(파견수련계획!$S$4:$S$203="구리병원")*파견수련계획!$W$4:$W$203))+IF($AG193="구리병원",MAX(0,DAY(EOMONTH(요약!$B$3,0))-N($X193)),0))</f>
        <v/>
      </c>
      <c r="AJ193" s="10">
        <f>IF(OR($B193="",TRIM($J193&amp;"")=""),"",IFERROR(MATCH(TRIM($J193&amp;"")&amp;"|월",파견수련계획!$Z$4:$Z$203,0),""))</f>
        <v/>
      </c>
      <c r="AK193" s="10">
        <f>IF(OR($B193="",TRIM($J193&amp;"")=""),"",IFERROR(MATCH(TRIM($J193&amp;"")&amp;"|다기관",파견수련계획!$AE$4:$AE$203,0),""))</f>
        <v/>
      </c>
      <c r="AL193" s="10">
        <f>IF($AK193="","","다기관 "&amp;TEXT(INDEX(파견수련계획!$AB$4:$AB$203,$AK193),"yyyy-mm-dd")&amp;"~"&amp;IF(ISNUMBER(INDEX(파견수련계획!$AC$4:$AC$203,$AK193)),TEXT(INDEX(파견수련계획!$AC$4:$AC$203,$AK193),"yyyy-mm-dd"),""))</f>
        <v/>
      </c>
    </row>
    <row r="194">
      <c r="A194" s="10">
        <f>IF(B194="","",ROW()-1)</f>
        <v/>
      </c>
      <c r="B194" s="18" t="n"/>
      <c r="C194" s="10">
        <f>IF($AB194="","",IF(INDEX(기본자료!$C$2:$C$501,$AB194)="","",INDEX(기본자료!$C$2:$C$501,$AB194)))</f>
        <v/>
      </c>
      <c r="D194" s="10">
        <f>IF($AB194="","",IF(INDEX(기본자료!$J$2:$J$501,$AB194)="","",INDEX(기본자료!$J$2:$J$501,$AB194)))</f>
        <v/>
      </c>
      <c r="E194" s="11">
        <f>IF($AB194="","",IF(INDEX(기본자료!$K$2:$K$501,$AB194)="","",IF(NOT(ISNUMBER(INDEX(기본자료!$K$2:$K$501,$AB194))),INDEX(기본자료!$K$2:$K$501,$AB194),IF(INDEX(기본자료!$K$2:$K$501,$AB194)&lt;1000000,INDEX(기본자료!$K$2:$K$501,$AB194),IF(AND(INDEX(기본자료!$K$2:$K$501,$AB194)&gt;=10000101,INT(MOD(INDEX(기본자료!$K$2:$K$501,$AB194),10000)/100)&gt;=1,INT(MOD(INDEX(기본자료!$K$2:$K$501,$AB194),10000)/100)&lt;=12,MOD(INDEX(기본자료!$K$2:$K$501,$AB194),100)&gt;=1,MOD(INDEX(기본자료!$K$2:$K$501,$AB194),100)&lt;=31),DATE(INT(INDEX(기본자료!$K$2:$K$501,$AB194)/10000),INT(MOD(INDEX(기본자료!$K$2:$K$501,$AB194),10000)/100),MOD(INDEX(기본자료!$K$2:$K$501,$AB194),100)),INDEX(기본자료!$K$2:$K$501,$AB194)&amp;"")))))</f>
        <v/>
      </c>
      <c r="F194" s="10">
        <f>IF($AB194="","",IF(INDEX(기본자료!$D$2:$D$501,$AB194)="","",INDEX(기본자료!$D$2:$D$501,$AB194)))</f>
        <v/>
      </c>
      <c r="G194" s="10">
        <f>IF($AB194="","",IF(INDEX(기본자료!$E$2:$E$501,$AB194)="","",INDEX(기본자료!$E$2:$E$501,$AB194)))</f>
        <v/>
      </c>
      <c r="H194" s="10">
        <f>IF($AB194="","",IF(INDEX(기본자료!$F$2:$F$501,$AB194)="","",INDEX(기본자료!$F$2:$F$501,$AB194)))</f>
        <v/>
      </c>
      <c r="I194" s="11">
        <f>IF($AB194="","",IF(INDEX(기본자료!$G$2:$G$501,$AB194)="","",IF(NOT(ISNUMBER(INDEX(기본자료!$G$2:$G$501,$AB194))),INDEX(기본자료!$G$2:$G$501,$AB194),IF(INDEX(기본자료!$G$2:$G$501,$AB194)&lt;1000000,INDEX(기본자료!$G$2:$G$501,$AB194),IF(AND(INDEX(기본자료!$G$2:$G$501,$AB194)&gt;=10000101,INT(MOD(INDEX(기본자료!$G$2:$G$501,$AB194),10000)/100)&gt;=1,INT(MOD(INDEX(기본자료!$G$2:$G$501,$AB194),10000)/100)&lt;=12,MOD(INDEX(기본자료!$G$2:$G$501,$AB194),100)&gt;=1,MOD(INDEX(기본자료!$G$2:$G$501,$AB194),100)&lt;=31),DATE(INT(INDEX(기본자료!$G$2:$G$501,$AB194)/10000),INT(MOD(INDEX(기본자료!$G$2:$G$501,$AB194),10000)/100),MOD(INDEX(기본자료!$G$2:$G$501,$AB194),100)),INDEX(기본자료!$G$2:$G$501,$AB194)&amp;"")))))</f>
        <v/>
      </c>
      <c r="J194" s="10">
        <f>IF($AB194="","",IF(INDEX(기본자료!$H$2:$H$501,$AB194)="","",INDEX(기본자료!$H$2:$H$501,$AB194)))</f>
        <v/>
      </c>
      <c r="K194" s="10">
        <f>IF($AB194="","",IF(INDEX(기본자료!$I$2:$I$501,$AB194)="","",INDEX(기본자료!$I$2:$I$501,$AB194)))</f>
        <v/>
      </c>
      <c r="L194" s="10">
        <f>IF($AB194="","",IF(INDEX(기본자료!$A$2:$A$501,$AB194)="","",INDEX(기본자료!$A$2:$A$501,$AB194)))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파견수련계획!$AB$4:$AB$203,$AK194),OR(NOT(ISNUMBER(INDEX(파견수련계획!$AC$4:$AC$203,$AK194))),TODAY()&lt;=INDEX(파견수련계획!$AC$4:$AC$203,$AK194))),"다기관",IF($AF194="","",INDEX(파견수련계획!$T$4:$T$203,$AF194))),IF($AF194="","",INDEX(파견수련계획!$T$4:$T$203,$AF194))))</f>
        <v/>
      </c>
      <c r="Q194" s="10">
        <f>IF($AF194="","",INDEX(파견수련계획!$S$4:$S$203,$AF194))</f>
        <v/>
      </c>
      <c r="R194" s="10">
        <f>IF($AF194="","",INDEX(파견수련계획!$U$4:$U$203,$AF194))</f>
        <v/>
      </c>
      <c r="S194" s="11">
        <f>IF($AF194="","",IF(INDEX(파견수련계획!$H$4:$H$203,$AF194)="","",INDEX(파견수련계획!$H$4:$H$203,$AF194)))</f>
        <v/>
      </c>
      <c r="T194" s="11">
        <f>IF($AF194="","",IF(INDEX(파견수련계획!$I$4:$I$203,$AF194)="","",INDEX(파견수련계획!$I$4:$I$203,$AF194)))</f>
        <v/>
      </c>
      <c r="U194" s="10">
        <f>IF($AF194="","",INDEX(파견수련계획!$X$4:$X$203,$AF194))</f>
        <v/>
      </c>
      <c r="V194" s="17">
        <f>IF($AF194="","",INDEX(파견수련계획!$V$4:$V$203,$AF194))</f>
        <v/>
      </c>
      <c r="W194" s="17">
        <f>IF(AND($U194="파견중",$T194&lt;&gt;""),$T194-TODAY(),"")</f>
        <v/>
      </c>
      <c r="X194" s="17">
        <f>IF(OR($B194="",TRIM($J194&amp;"")=""),"",SUMPRODUCT((파견수련계획!$Q$4:$Q$203=TRIM($J194&amp;""))*파견수련계획!$W$4:$W$203))</f>
        <v/>
      </c>
      <c r="Y194" s="10">
        <f>IF($B194="","",IF($AG194="","",IF(IF(TRIM($J194&amp;"")="",0,SUMPRODUCT((파견수련계획!$Q$4:$Q$203=TRIM($J194&amp;""))*파견수련계획!$AD$4:$AD$203))&gt;0,$AE194,IF(N($X194)&lt;=0,$AG194,IF($AH194+$AI194=DAY(EOMONTH(요약!$B$3,0)),IF(AND($AH194&gt;=요약!$E$3,$AI194&lt;요약!$E$3),"서울병원",IF(AND($AI194&gt;=요약!$E$3,$AH194&lt;요약!$E$3),"구리병원","⚠15일 판정불가(서울 "&amp;$AH194&amp;"일/구리 "&amp;$AI194&amp;"일)")),IF($AJ194="",$AE194,IF(INDEX(파견수련계획!$T$4:$T$203,$AJ194)="통합수련",INDEX(파견수련계획!$S$4:$S$203,$AJ194),$AE194)))))))</f>
        <v/>
      </c>
      <c r="Z194" s="19">
        <f>IF($B194="","",IF($AB194="","기본자료에 없는 사번",IF(COUNTIF($B$2:$B$201,$B194)&gt;1,"중복 사번",IF($AE194="","소속(입사장소) 입력",IF(IF(TRIM($J194&amp;"")="",0,SUMPRODUCT((파견수련계획!$Q$4:$Q$203=TRIM($J194&amp;""))*(파견수련계획!$AA$4:$AA$203&lt;&gt;"")))&gt;0,"파견수련계획 입력오류 확인",IF(LEFT($Y194,1)="⚠","서울·구리 15일 판정 불가(양쪽 모두 이상/미만)",IF(IF($AC194="",0,N(INDEX(인턴근무계획!$T$3:$T$202,$AC194)))&gt;0,"인턴계획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IF($B194="","",IFERROR(MATCH($B194,기본자료!$B$2:$B$501,0),IFERROR(MATCH($B194&amp;"",기본자료!$B$2:$B$501,0),IFERROR(MATCH(VALUE($B194),기본자료!$B$2:$B$501,0),""))))</f>
        <v/>
      </c>
      <c r="AC194" s="10">
        <f>IF($B194="","",IFERROR(MATCH($B194,인턴근무계획!$D$3:$D$202,0),IFERROR(MATCH($B194&amp;"",인턴근무계획!$D$3:$D$202,0),IFERROR(MATCH(VALUE($B194),인턴근무계획!$D$3:$D$202,0),""))))</f>
        <v/>
      </c>
      <c r="AD194" s="10">
        <f>IF(OR($AC194="",인턴현황!$G$3=""),"",INDEX(인턴근무계획!$M$3:$R$202,$AC194,인턴현황!$G$3)&amp;"")</f>
        <v/>
      </c>
      <c r="AE194" s="10">
        <f>IF($B194="","",IF($M194&lt;&gt;"",$M194,IF($AF194&lt;&gt;"",IF(LEFT(INDEX(파견수련계획!$R$4:$R$203,$AF194),1)&lt;&gt;"⚠",INDEX(파견수련계획!$R$4:$R$203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파견수련계획!$Y$4:$Y$203,0),IFERROR(MATCH(TRIM($J194&amp;"")&amp;"|파견예정",파견수련계획!$Y$4:$Y$203,0),IFERROR(MATCH(TRIM($J194&amp;"")&amp;"|파견종료",파견수련계획!$Y$4:$Y$203,0),""))))</f>
        <v/>
      </c>
      <c r="AG194" s="10">
        <f>IF($B194="","",IF(AND(IF(OR($AC194="",인턴현황!$K$2=""),"",INDEX(인턴근무계획!$M$3:$R$202,$AC194,인턴현황!$K$2)&amp;"")&lt;&gt;"",LEFT(IF(OR($AC194="",인턴현황!$K$2=""),"",INDEX(인턴근무계획!$M$3:$R$202,$AC194,인턴현황!$K$2)&amp;""),1)&lt;&gt;"⚠"),LEFT(IF(OR($AC194="",인턴현황!$K$2=""),"",INDEX(인턴근무계획!$M$3:$R$202,$AC194,인턴현황!$K$2)&amp;""),FIND(" ",IF(OR($AC194="",인턴현황!$K$2=""),"",INDEX(인턴근무계획!$M$3:$R$202,$AC194,인턴현황!$K$2)&amp;""))-1),$AE194))</f>
        <v/>
      </c>
      <c r="AH194" s="17">
        <f>IF($B194="","",IF(TRIM($J194&amp;"")="",0,SUMPRODUCT((파견수련계획!$Q$4:$Q$203=TRIM($J194&amp;""))*(파견수련계획!$S$4:$S$203="서울병원")*파견수련계획!$W$4:$W$203))+IF($AG194="서울병원",MAX(0,DAY(EOMONTH(요약!$B$3,0))-N($X194)),0))</f>
        <v/>
      </c>
      <c r="AI194" s="17">
        <f>IF($B194="","",IF(TRIM($J194&amp;"")="",0,SUMPRODUCT((파견수련계획!$Q$4:$Q$203=TRIM($J194&amp;""))*(파견수련계획!$S$4:$S$203="구리병원")*파견수련계획!$W$4:$W$203))+IF($AG194="구리병원",MAX(0,DAY(EOMONTH(요약!$B$3,0))-N($X194)),0))</f>
        <v/>
      </c>
      <c r="AJ194" s="10">
        <f>IF(OR($B194="",TRIM($J194&amp;"")=""),"",IFERROR(MATCH(TRIM($J194&amp;"")&amp;"|월",파견수련계획!$Z$4:$Z$203,0),""))</f>
        <v/>
      </c>
      <c r="AK194" s="10">
        <f>IF(OR($B194="",TRIM($J194&amp;"")=""),"",IFERROR(MATCH(TRIM($J194&amp;"")&amp;"|다기관",파견수련계획!$AE$4:$AE$203,0),""))</f>
        <v/>
      </c>
      <c r="AL194" s="10">
        <f>IF($AK194="","","다기관 "&amp;TEXT(INDEX(파견수련계획!$AB$4:$AB$203,$AK194),"yyyy-mm-dd")&amp;"~"&amp;IF(ISNUMBER(INDEX(파견수련계획!$AC$4:$AC$203,$AK194)),TEXT(INDEX(파견수련계획!$AC$4:$AC$203,$AK194),"yyyy-mm-dd"),""))</f>
        <v/>
      </c>
    </row>
    <row r="195">
      <c r="A195" s="10">
        <f>IF(B195="","",ROW()-1)</f>
        <v/>
      </c>
      <c r="B195" s="18" t="n"/>
      <c r="C195" s="10">
        <f>IF($AB195="","",IF(INDEX(기본자료!$C$2:$C$501,$AB195)="","",INDEX(기본자료!$C$2:$C$501,$AB195)))</f>
        <v/>
      </c>
      <c r="D195" s="10">
        <f>IF($AB195="","",IF(INDEX(기본자료!$J$2:$J$501,$AB195)="","",INDEX(기본자료!$J$2:$J$501,$AB195)))</f>
        <v/>
      </c>
      <c r="E195" s="11">
        <f>IF($AB195="","",IF(INDEX(기본자료!$K$2:$K$501,$AB195)="","",IF(NOT(ISNUMBER(INDEX(기본자료!$K$2:$K$501,$AB195))),INDEX(기본자료!$K$2:$K$501,$AB195),IF(INDEX(기본자료!$K$2:$K$501,$AB195)&lt;1000000,INDEX(기본자료!$K$2:$K$501,$AB195),IF(AND(INDEX(기본자료!$K$2:$K$501,$AB195)&gt;=10000101,INT(MOD(INDEX(기본자료!$K$2:$K$501,$AB195),10000)/100)&gt;=1,INT(MOD(INDEX(기본자료!$K$2:$K$501,$AB195),10000)/100)&lt;=12,MOD(INDEX(기본자료!$K$2:$K$501,$AB195),100)&gt;=1,MOD(INDEX(기본자료!$K$2:$K$501,$AB195),100)&lt;=31),DATE(INT(INDEX(기본자료!$K$2:$K$501,$AB195)/10000),INT(MOD(INDEX(기본자료!$K$2:$K$501,$AB195),10000)/100),MOD(INDEX(기본자료!$K$2:$K$501,$AB195),100)),INDEX(기본자료!$K$2:$K$501,$AB195)&amp;"")))))</f>
        <v/>
      </c>
      <c r="F195" s="10">
        <f>IF($AB195="","",IF(INDEX(기본자료!$D$2:$D$501,$AB195)="","",INDEX(기본자료!$D$2:$D$501,$AB195)))</f>
        <v/>
      </c>
      <c r="G195" s="10">
        <f>IF($AB195="","",IF(INDEX(기본자료!$E$2:$E$501,$AB195)="","",INDEX(기본자료!$E$2:$E$501,$AB195)))</f>
        <v/>
      </c>
      <c r="H195" s="10">
        <f>IF($AB195="","",IF(INDEX(기본자료!$F$2:$F$501,$AB195)="","",INDEX(기본자료!$F$2:$F$501,$AB195)))</f>
        <v/>
      </c>
      <c r="I195" s="11">
        <f>IF($AB195="","",IF(INDEX(기본자료!$G$2:$G$501,$AB195)="","",IF(NOT(ISNUMBER(INDEX(기본자료!$G$2:$G$501,$AB195))),INDEX(기본자료!$G$2:$G$501,$AB195),IF(INDEX(기본자료!$G$2:$G$501,$AB195)&lt;1000000,INDEX(기본자료!$G$2:$G$501,$AB195),IF(AND(INDEX(기본자료!$G$2:$G$501,$AB195)&gt;=10000101,INT(MOD(INDEX(기본자료!$G$2:$G$501,$AB195),10000)/100)&gt;=1,INT(MOD(INDEX(기본자료!$G$2:$G$501,$AB195),10000)/100)&lt;=12,MOD(INDEX(기본자료!$G$2:$G$501,$AB195),100)&gt;=1,MOD(INDEX(기본자료!$G$2:$G$501,$AB195),100)&lt;=31),DATE(INT(INDEX(기본자료!$G$2:$G$501,$AB195)/10000),INT(MOD(INDEX(기본자료!$G$2:$G$501,$AB195),10000)/100),MOD(INDEX(기본자료!$G$2:$G$501,$AB195),100)),INDEX(기본자료!$G$2:$G$501,$AB195)&amp;"")))))</f>
        <v/>
      </c>
      <c r="J195" s="10">
        <f>IF($AB195="","",IF(INDEX(기본자료!$H$2:$H$501,$AB195)="","",INDEX(기본자료!$H$2:$H$501,$AB195)))</f>
        <v/>
      </c>
      <c r="K195" s="10">
        <f>IF($AB195="","",IF(INDEX(기본자료!$I$2:$I$501,$AB195)="","",INDEX(기본자료!$I$2:$I$501,$AB195)))</f>
        <v/>
      </c>
      <c r="L195" s="10">
        <f>IF($AB195="","",IF(INDEX(기본자료!$A$2:$A$501,$AB195)="","",INDEX(기본자료!$A$2:$A$501,$AB195)))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파견수련계획!$AB$4:$AB$203,$AK195),OR(NOT(ISNUMBER(INDEX(파견수련계획!$AC$4:$AC$203,$AK195))),TODAY()&lt;=INDEX(파견수련계획!$AC$4:$AC$203,$AK195))),"다기관",IF($AF195="","",INDEX(파견수련계획!$T$4:$T$203,$AF195))),IF($AF195="","",INDEX(파견수련계획!$T$4:$T$203,$AF195))))</f>
        <v/>
      </c>
      <c r="Q195" s="10">
        <f>IF($AF195="","",INDEX(파견수련계획!$S$4:$S$203,$AF195))</f>
        <v/>
      </c>
      <c r="R195" s="10">
        <f>IF($AF195="","",INDEX(파견수련계획!$U$4:$U$203,$AF195))</f>
        <v/>
      </c>
      <c r="S195" s="11">
        <f>IF($AF195="","",IF(INDEX(파견수련계획!$H$4:$H$203,$AF195)="","",INDEX(파견수련계획!$H$4:$H$203,$AF195)))</f>
        <v/>
      </c>
      <c r="T195" s="11">
        <f>IF($AF195="","",IF(INDEX(파견수련계획!$I$4:$I$203,$AF195)="","",INDEX(파견수련계획!$I$4:$I$203,$AF195)))</f>
        <v/>
      </c>
      <c r="U195" s="10">
        <f>IF($AF195="","",INDEX(파견수련계획!$X$4:$X$203,$AF195))</f>
        <v/>
      </c>
      <c r="V195" s="17">
        <f>IF($AF195="","",INDEX(파견수련계획!$V$4:$V$203,$AF195))</f>
        <v/>
      </c>
      <c r="W195" s="17">
        <f>IF(AND($U195="파견중",$T195&lt;&gt;""),$T195-TODAY(),"")</f>
        <v/>
      </c>
      <c r="X195" s="17">
        <f>IF(OR($B195="",TRIM($J195&amp;"")=""),"",SUMPRODUCT((파견수련계획!$Q$4:$Q$203=TRIM($J195&amp;""))*파견수련계획!$W$4:$W$203))</f>
        <v/>
      </c>
      <c r="Y195" s="10">
        <f>IF($B195="","",IF($AG195="","",IF(IF(TRIM($J195&amp;"")="",0,SUMPRODUCT((파견수련계획!$Q$4:$Q$203=TRIM($J195&amp;""))*파견수련계획!$AD$4:$AD$203))&gt;0,$AE195,IF(N($X195)&lt;=0,$AG195,IF($AH195+$AI195=DAY(EOMONTH(요약!$B$3,0)),IF(AND($AH195&gt;=요약!$E$3,$AI195&lt;요약!$E$3),"서울병원",IF(AND($AI195&gt;=요약!$E$3,$AH195&lt;요약!$E$3),"구리병원","⚠15일 판정불가(서울 "&amp;$AH195&amp;"일/구리 "&amp;$AI195&amp;"일)")),IF($AJ195="",$AE195,IF(INDEX(파견수련계획!$T$4:$T$203,$AJ195)="통합수련",INDEX(파견수련계획!$S$4:$S$203,$AJ195),$AE195)))))))</f>
        <v/>
      </c>
      <c r="Z195" s="19">
        <f>IF($B195="","",IF($AB195="","기본자료에 없는 사번",IF(COUNTIF($B$2:$B$201,$B195)&gt;1,"중복 사번",IF($AE195="","소속(입사장소) 입력",IF(IF(TRIM($J195&amp;"")="",0,SUMPRODUCT((파견수련계획!$Q$4:$Q$203=TRIM($J195&amp;""))*(파견수련계획!$AA$4:$AA$203&lt;&gt;"")))&gt;0,"파견수련계획 입력오류 확인",IF(LEFT($Y195,1)="⚠","서울·구리 15일 판정 불가(양쪽 모두 이상/미만)",IF(IF($AC195="",0,N(INDEX(인턴근무계획!$T$3:$T$202,$AC195)))&gt;0,"인턴계획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IF($B195="","",IFERROR(MATCH($B195,기본자료!$B$2:$B$501,0),IFERROR(MATCH($B195&amp;"",기본자료!$B$2:$B$501,0),IFERROR(MATCH(VALUE($B195),기본자료!$B$2:$B$501,0),""))))</f>
        <v/>
      </c>
      <c r="AC195" s="10">
        <f>IF($B195="","",IFERROR(MATCH($B195,인턴근무계획!$D$3:$D$202,0),IFERROR(MATCH($B195&amp;"",인턴근무계획!$D$3:$D$202,0),IFERROR(MATCH(VALUE($B195),인턴근무계획!$D$3:$D$202,0),""))))</f>
        <v/>
      </c>
      <c r="AD195" s="10">
        <f>IF(OR($AC195="",인턴현황!$G$3=""),"",INDEX(인턴근무계획!$M$3:$R$202,$AC195,인턴현황!$G$3)&amp;"")</f>
        <v/>
      </c>
      <c r="AE195" s="10">
        <f>IF($B195="","",IF($M195&lt;&gt;"",$M195,IF($AF195&lt;&gt;"",IF(LEFT(INDEX(파견수련계획!$R$4:$R$203,$AF195),1)&lt;&gt;"⚠",INDEX(파견수련계획!$R$4:$R$203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파견수련계획!$Y$4:$Y$203,0),IFERROR(MATCH(TRIM($J195&amp;"")&amp;"|파견예정",파견수련계획!$Y$4:$Y$203,0),IFERROR(MATCH(TRIM($J195&amp;"")&amp;"|파견종료",파견수련계획!$Y$4:$Y$203,0),""))))</f>
        <v/>
      </c>
      <c r="AG195" s="10">
        <f>IF($B195="","",IF(AND(IF(OR($AC195="",인턴현황!$K$2=""),"",INDEX(인턴근무계획!$M$3:$R$202,$AC195,인턴현황!$K$2)&amp;"")&lt;&gt;"",LEFT(IF(OR($AC195="",인턴현황!$K$2=""),"",INDEX(인턴근무계획!$M$3:$R$202,$AC195,인턴현황!$K$2)&amp;""),1)&lt;&gt;"⚠"),LEFT(IF(OR($AC195="",인턴현황!$K$2=""),"",INDEX(인턴근무계획!$M$3:$R$202,$AC195,인턴현황!$K$2)&amp;""),FIND(" ",IF(OR($AC195="",인턴현황!$K$2=""),"",INDEX(인턴근무계획!$M$3:$R$202,$AC195,인턴현황!$K$2)&amp;""))-1),$AE195))</f>
        <v/>
      </c>
      <c r="AH195" s="17">
        <f>IF($B195="","",IF(TRIM($J195&amp;"")="",0,SUMPRODUCT((파견수련계획!$Q$4:$Q$203=TRIM($J195&amp;""))*(파견수련계획!$S$4:$S$203="서울병원")*파견수련계획!$W$4:$W$203))+IF($AG195="서울병원",MAX(0,DAY(EOMONTH(요약!$B$3,0))-N($X195)),0))</f>
        <v/>
      </c>
      <c r="AI195" s="17">
        <f>IF($B195="","",IF(TRIM($J195&amp;"")="",0,SUMPRODUCT((파견수련계획!$Q$4:$Q$203=TRIM($J195&amp;""))*(파견수련계획!$S$4:$S$203="구리병원")*파견수련계획!$W$4:$W$203))+IF($AG195="구리병원",MAX(0,DAY(EOMONTH(요약!$B$3,0))-N($X195)),0))</f>
        <v/>
      </c>
      <c r="AJ195" s="10">
        <f>IF(OR($B195="",TRIM($J195&amp;"")=""),"",IFERROR(MATCH(TRIM($J195&amp;"")&amp;"|월",파견수련계획!$Z$4:$Z$203,0),""))</f>
        <v/>
      </c>
      <c r="AK195" s="10">
        <f>IF(OR($B195="",TRIM($J195&amp;"")=""),"",IFERROR(MATCH(TRIM($J195&amp;"")&amp;"|다기관",파견수련계획!$AE$4:$AE$203,0),""))</f>
        <v/>
      </c>
      <c r="AL195" s="10">
        <f>IF($AK195="","","다기관 "&amp;TEXT(INDEX(파견수련계획!$AB$4:$AB$203,$AK195),"yyyy-mm-dd")&amp;"~"&amp;IF(ISNUMBER(INDEX(파견수련계획!$AC$4:$AC$203,$AK195)),TEXT(INDEX(파견수련계획!$AC$4:$AC$203,$AK195),"yyyy-mm-dd"),""))</f>
        <v/>
      </c>
    </row>
    <row r="196">
      <c r="A196" s="10">
        <f>IF(B196="","",ROW()-1)</f>
        <v/>
      </c>
      <c r="B196" s="18" t="n"/>
      <c r="C196" s="10">
        <f>IF($AB196="","",IF(INDEX(기본자료!$C$2:$C$501,$AB196)="","",INDEX(기본자료!$C$2:$C$501,$AB196)))</f>
        <v/>
      </c>
      <c r="D196" s="10">
        <f>IF($AB196="","",IF(INDEX(기본자료!$J$2:$J$501,$AB196)="","",INDEX(기본자료!$J$2:$J$501,$AB196)))</f>
        <v/>
      </c>
      <c r="E196" s="11">
        <f>IF($AB196="","",IF(INDEX(기본자료!$K$2:$K$501,$AB196)="","",IF(NOT(ISNUMBER(INDEX(기본자료!$K$2:$K$501,$AB196))),INDEX(기본자료!$K$2:$K$501,$AB196),IF(INDEX(기본자료!$K$2:$K$501,$AB196)&lt;1000000,INDEX(기본자료!$K$2:$K$501,$AB196),IF(AND(INDEX(기본자료!$K$2:$K$501,$AB196)&gt;=10000101,INT(MOD(INDEX(기본자료!$K$2:$K$501,$AB196),10000)/100)&gt;=1,INT(MOD(INDEX(기본자료!$K$2:$K$501,$AB196),10000)/100)&lt;=12,MOD(INDEX(기본자료!$K$2:$K$501,$AB196),100)&gt;=1,MOD(INDEX(기본자료!$K$2:$K$501,$AB196),100)&lt;=31),DATE(INT(INDEX(기본자료!$K$2:$K$501,$AB196)/10000),INT(MOD(INDEX(기본자료!$K$2:$K$501,$AB196),10000)/100),MOD(INDEX(기본자료!$K$2:$K$501,$AB196),100)),INDEX(기본자료!$K$2:$K$501,$AB196)&amp;"")))))</f>
        <v/>
      </c>
      <c r="F196" s="10">
        <f>IF($AB196="","",IF(INDEX(기본자료!$D$2:$D$501,$AB196)="","",INDEX(기본자료!$D$2:$D$501,$AB196)))</f>
        <v/>
      </c>
      <c r="G196" s="10">
        <f>IF($AB196="","",IF(INDEX(기본자료!$E$2:$E$501,$AB196)="","",INDEX(기본자료!$E$2:$E$501,$AB196)))</f>
        <v/>
      </c>
      <c r="H196" s="10">
        <f>IF($AB196="","",IF(INDEX(기본자료!$F$2:$F$501,$AB196)="","",INDEX(기본자료!$F$2:$F$501,$AB196)))</f>
        <v/>
      </c>
      <c r="I196" s="11">
        <f>IF($AB196="","",IF(INDEX(기본자료!$G$2:$G$501,$AB196)="","",IF(NOT(ISNUMBER(INDEX(기본자료!$G$2:$G$501,$AB196))),INDEX(기본자료!$G$2:$G$501,$AB196),IF(INDEX(기본자료!$G$2:$G$501,$AB196)&lt;1000000,INDEX(기본자료!$G$2:$G$501,$AB196),IF(AND(INDEX(기본자료!$G$2:$G$501,$AB196)&gt;=10000101,INT(MOD(INDEX(기본자료!$G$2:$G$501,$AB196),10000)/100)&gt;=1,INT(MOD(INDEX(기본자료!$G$2:$G$501,$AB196),10000)/100)&lt;=12,MOD(INDEX(기본자료!$G$2:$G$501,$AB196),100)&gt;=1,MOD(INDEX(기본자료!$G$2:$G$501,$AB196),100)&lt;=31),DATE(INT(INDEX(기본자료!$G$2:$G$501,$AB196)/10000),INT(MOD(INDEX(기본자료!$G$2:$G$501,$AB196),10000)/100),MOD(INDEX(기본자료!$G$2:$G$501,$AB196),100)),INDEX(기본자료!$G$2:$G$501,$AB196)&amp;"")))))</f>
        <v/>
      </c>
      <c r="J196" s="10">
        <f>IF($AB196="","",IF(INDEX(기본자료!$H$2:$H$501,$AB196)="","",INDEX(기본자료!$H$2:$H$501,$AB196)))</f>
        <v/>
      </c>
      <c r="K196" s="10">
        <f>IF($AB196="","",IF(INDEX(기본자료!$I$2:$I$501,$AB196)="","",INDEX(기본자료!$I$2:$I$501,$AB196)))</f>
        <v/>
      </c>
      <c r="L196" s="10">
        <f>IF($AB196="","",IF(INDEX(기본자료!$A$2:$A$501,$AB196)="","",INDEX(기본자료!$A$2:$A$501,$AB196)))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파견수련계획!$AB$4:$AB$203,$AK196),OR(NOT(ISNUMBER(INDEX(파견수련계획!$AC$4:$AC$203,$AK196))),TODAY()&lt;=INDEX(파견수련계획!$AC$4:$AC$203,$AK196))),"다기관",IF($AF196="","",INDEX(파견수련계획!$T$4:$T$203,$AF196))),IF($AF196="","",INDEX(파견수련계획!$T$4:$T$203,$AF196))))</f>
        <v/>
      </c>
      <c r="Q196" s="10">
        <f>IF($AF196="","",INDEX(파견수련계획!$S$4:$S$203,$AF196))</f>
        <v/>
      </c>
      <c r="R196" s="10">
        <f>IF($AF196="","",INDEX(파견수련계획!$U$4:$U$203,$AF196))</f>
        <v/>
      </c>
      <c r="S196" s="11">
        <f>IF($AF196="","",IF(INDEX(파견수련계획!$H$4:$H$203,$AF196)="","",INDEX(파견수련계획!$H$4:$H$203,$AF196)))</f>
        <v/>
      </c>
      <c r="T196" s="11">
        <f>IF($AF196="","",IF(INDEX(파견수련계획!$I$4:$I$203,$AF196)="","",INDEX(파견수련계획!$I$4:$I$203,$AF196)))</f>
        <v/>
      </c>
      <c r="U196" s="10">
        <f>IF($AF196="","",INDEX(파견수련계획!$X$4:$X$203,$AF196))</f>
        <v/>
      </c>
      <c r="V196" s="17">
        <f>IF($AF196="","",INDEX(파견수련계획!$V$4:$V$203,$AF196))</f>
        <v/>
      </c>
      <c r="W196" s="17">
        <f>IF(AND($U196="파견중",$T196&lt;&gt;""),$T196-TODAY(),"")</f>
        <v/>
      </c>
      <c r="X196" s="17">
        <f>IF(OR($B196="",TRIM($J196&amp;"")=""),"",SUMPRODUCT((파견수련계획!$Q$4:$Q$203=TRIM($J196&amp;""))*파견수련계획!$W$4:$W$203))</f>
        <v/>
      </c>
      <c r="Y196" s="10">
        <f>IF($B196="","",IF($AG196="","",IF(IF(TRIM($J196&amp;"")="",0,SUMPRODUCT((파견수련계획!$Q$4:$Q$203=TRIM($J196&amp;""))*파견수련계획!$AD$4:$AD$203))&gt;0,$AE196,IF(N($X196)&lt;=0,$AG196,IF($AH196+$AI196=DAY(EOMONTH(요약!$B$3,0)),IF(AND($AH196&gt;=요약!$E$3,$AI196&lt;요약!$E$3),"서울병원",IF(AND($AI196&gt;=요약!$E$3,$AH196&lt;요약!$E$3),"구리병원","⚠15일 판정불가(서울 "&amp;$AH196&amp;"일/구리 "&amp;$AI196&amp;"일)")),IF($AJ196="",$AE196,IF(INDEX(파견수련계획!$T$4:$T$203,$AJ196)="통합수련",INDEX(파견수련계획!$S$4:$S$203,$AJ196),$AE196)))))))</f>
        <v/>
      </c>
      <c r="Z196" s="19">
        <f>IF($B196="","",IF($AB196="","기본자료에 없는 사번",IF(COUNTIF($B$2:$B$201,$B196)&gt;1,"중복 사번",IF($AE196="","소속(입사장소) 입력",IF(IF(TRIM($J196&amp;"")="",0,SUMPRODUCT((파견수련계획!$Q$4:$Q$203=TRIM($J196&amp;""))*(파견수련계획!$AA$4:$AA$203&lt;&gt;"")))&gt;0,"파견수련계획 입력오류 확인",IF(LEFT($Y196,1)="⚠","서울·구리 15일 판정 불가(양쪽 모두 이상/미만)",IF(IF($AC196="",0,N(INDEX(인턴근무계획!$T$3:$T$202,$AC196)))&gt;0,"인턴계획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IF($B196="","",IFERROR(MATCH($B196,기본자료!$B$2:$B$501,0),IFERROR(MATCH($B196&amp;"",기본자료!$B$2:$B$501,0),IFERROR(MATCH(VALUE($B196),기본자료!$B$2:$B$501,0),""))))</f>
        <v/>
      </c>
      <c r="AC196" s="10">
        <f>IF($B196="","",IFERROR(MATCH($B196,인턴근무계획!$D$3:$D$202,0),IFERROR(MATCH($B196&amp;"",인턴근무계획!$D$3:$D$202,0),IFERROR(MATCH(VALUE($B196),인턴근무계획!$D$3:$D$202,0),""))))</f>
        <v/>
      </c>
      <c r="AD196" s="10">
        <f>IF(OR($AC196="",인턴현황!$G$3=""),"",INDEX(인턴근무계획!$M$3:$R$202,$AC196,인턴현황!$G$3)&amp;"")</f>
        <v/>
      </c>
      <c r="AE196" s="10">
        <f>IF($B196="","",IF($M196&lt;&gt;"",$M196,IF($AF196&lt;&gt;"",IF(LEFT(INDEX(파견수련계획!$R$4:$R$203,$AF196),1)&lt;&gt;"⚠",INDEX(파견수련계획!$R$4:$R$203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파견수련계획!$Y$4:$Y$203,0),IFERROR(MATCH(TRIM($J196&amp;"")&amp;"|파견예정",파견수련계획!$Y$4:$Y$203,0),IFERROR(MATCH(TRIM($J196&amp;"")&amp;"|파견종료",파견수련계획!$Y$4:$Y$203,0),""))))</f>
        <v/>
      </c>
      <c r="AG196" s="10">
        <f>IF($B196="","",IF(AND(IF(OR($AC196="",인턴현황!$K$2=""),"",INDEX(인턴근무계획!$M$3:$R$202,$AC196,인턴현황!$K$2)&amp;"")&lt;&gt;"",LEFT(IF(OR($AC196="",인턴현황!$K$2=""),"",INDEX(인턴근무계획!$M$3:$R$202,$AC196,인턴현황!$K$2)&amp;""),1)&lt;&gt;"⚠"),LEFT(IF(OR($AC196="",인턴현황!$K$2=""),"",INDEX(인턴근무계획!$M$3:$R$202,$AC196,인턴현황!$K$2)&amp;""),FIND(" ",IF(OR($AC196="",인턴현황!$K$2=""),"",INDEX(인턴근무계획!$M$3:$R$202,$AC196,인턴현황!$K$2)&amp;""))-1),$AE196))</f>
        <v/>
      </c>
      <c r="AH196" s="17">
        <f>IF($B196="","",IF(TRIM($J196&amp;"")="",0,SUMPRODUCT((파견수련계획!$Q$4:$Q$203=TRIM($J196&amp;""))*(파견수련계획!$S$4:$S$203="서울병원")*파견수련계획!$W$4:$W$203))+IF($AG196="서울병원",MAX(0,DAY(EOMONTH(요약!$B$3,0))-N($X196)),0))</f>
        <v/>
      </c>
      <c r="AI196" s="17">
        <f>IF($B196="","",IF(TRIM($J196&amp;"")="",0,SUMPRODUCT((파견수련계획!$Q$4:$Q$203=TRIM($J196&amp;""))*(파견수련계획!$S$4:$S$203="구리병원")*파견수련계획!$W$4:$W$203))+IF($AG196="구리병원",MAX(0,DAY(EOMONTH(요약!$B$3,0))-N($X196)),0))</f>
        <v/>
      </c>
      <c r="AJ196" s="10">
        <f>IF(OR($B196="",TRIM($J196&amp;"")=""),"",IFERROR(MATCH(TRIM($J196&amp;"")&amp;"|월",파견수련계획!$Z$4:$Z$203,0),""))</f>
        <v/>
      </c>
      <c r="AK196" s="10">
        <f>IF(OR($B196="",TRIM($J196&amp;"")=""),"",IFERROR(MATCH(TRIM($J196&amp;"")&amp;"|다기관",파견수련계획!$AE$4:$AE$203,0),""))</f>
        <v/>
      </c>
      <c r="AL196" s="10">
        <f>IF($AK196="","","다기관 "&amp;TEXT(INDEX(파견수련계획!$AB$4:$AB$203,$AK196),"yyyy-mm-dd")&amp;"~"&amp;IF(ISNUMBER(INDEX(파견수련계획!$AC$4:$AC$203,$AK196)),TEXT(INDEX(파견수련계획!$AC$4:$AC$203,$AK196),"yyyy-mm-dd"),""))</f>
        <v/>
      </c>
    </row>
    <row r="197">
      <c r="A197" s="10">
        <f>IF(B197="","",ROW()-1)</f>
        <v/>
      </c>
      <c r="B197" s="18" t="n"/>
      <c r="C197" s="10">
        <f>IF($AB197="","",IF(INDEX(기본자료!$C$2:$C$501,$AB197)="","",INDEX(기본자료!$C$2:$C$501,$AB197)))</f>
        <v/>
      </c>
      <c r="D197" s="10">
        <f>IF($AB197="","",IF(INDEX(기본자료!$J$2:$J$501,$AB197)="","",INDEX(기본자료!$J$2:$J$501,$AB197)))</f>
        <v/>
      </c>
      <c r="E197" s="11">
        <f>IF($AB197="","",IF(INDEX(기본자료!$K$2:$K$501,$AB197)="","",IF(NOT(ISNUMBER(INDEX(기본자료!$K$2:$K$501,$AB197))),INDEX(기본자료!$K$2:$K$501,$AB197),IF(INDEX(기본자료!$K$2:$K$501,$AB197)&lt;1000000,INDEX(기본자료!$K$2:$K$501,$AB197),IF(AND(INDEX(기본자료!$K$2:$K$501,$AB197)&gt;=10000101,INT(MOD(INDEX(기본자료!$K$2:$K$501,$AB197),10000)/100)&gt;=1,INT(MOD(INDEX(기본자료!$K$2:$K$501,$AB197),10000)/100)&lt;=12,MOD(INDEX(기본자료!$K$2:$K$501,$AB197),100)&gt;=1,MOD(INDEX(기본자료!$K$2:$K$501,$AB197),100)&lt;=31),DATE(INT(INDEX(기본자료!$K$2:$K$501,$AB197)/10000),INT(MOD(INDEX(기본자료!$K$2:$K$501,$AB197),10000)/100),MOD(INDEX(기본자료!$K$2:$K$501,$AB197),100)),INDEX(기본자료!$K$2:$K$501,$AB197)&amp;"")))))</f>
        <v/>
      </c>
      <c r="F197" s="10">
        <f>IF($AB197="","",IF(INDEX(기본자료!$D$2:$D$501,$AB197)="","",INDEX(기본자료!$D$2:$D$501,$AB197)))</f>
        <v/>
      </c>
      <c r="G197" s="10">
        <f>IF($AB197="","",IF(INDEX(기본자료!$E$2:$E$501,$AB197)="","",INDEX(기본자료!$E$2:$E$501,$AB197)))</f>
        <v/>
      </c>
      <c r="H197" s="10">
        <f>IF($AB197="","",IF(INDEX(기본자료!$F$2:$F$501,$AB197)="","",INDEX(기본자료!$F$2:$F$501,$AB197)))</f>
        <v/>
      </c>
      <c r="I197" s="11">
        <f>IF($AB197="","",IF(INDEX(기본자료!$G$2:$G$501,$AB197)="","",IF(NOT(ISNUMBER(INDEX(기본자료!$G$2:$G$501,$AB197))),INDEX(기본자료!$G$2:$G$501,$AB197),IF(INDEX(기본자료!$G$2:$G$501,$AB197)&lt;1000000,INDEX(기본자료!$G$2:$G$501,$AB197),IF(AND(INDEX(기본자료!$G$2:$G$501,$AB197)&gt;=10000101,INT(MOD(INDEX(기본자료!$G$2:$G$501,$AB197),10000)/100)&gt;=1,INT(MOD(INDEX(기본자료!$G$2:$G$501,$AB197),10000)/100)&lt;=12,MOD(INDEX(기본자료!$G$2:$G$501,$AB197),100)&gt;=1,MOD(INDEX(기본자료!$G$2:$G$501,$AB197),100)&lt;=31),DATE(INT(INDEX(기본자료!$G$2:$G$501,$AB197)/10000),INT(MOD(INDEX(기본자료!$G$2:$G$501,$AB197),10000)/100),MOD(INDEX(기본자료!$G$2:$G$501,$AB197),100)),INDEX(기본자료!$G$2:$G$501,$AB197)&amp;"")))))</f>
        <v/>
      </c>
      <c r="J197" s="10">
        <f>IF($AB197="","",IF(INDEX(기본자료!$H$2:$H$501,$AB197)="","",INDEX(기본자료!$H$2:$H$501,$AB197)))</f>
        <v/>
      </c>
      <c r="K197" s="10">
        <f>IF($AB197="","",IF(INDEX(기본자료!$I$2:$I$501,$AB197)="","",INDEX(기본자료!$I$2:$I$501,$AB197)))</f>
        <v/>
      </c>
      <c r="L197" s="10">
        <f>IF($AB197="","",IF(INDEX(기본자료!$A$2:$A$501,$AB197)="","",INDEX(기본자료!$A$2:$A$501,$AB197)))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파견수련계획!$AB$4:$AB$203,$AK197),OR(NOT(ISNUMBER(INDEX(파견수련계획!$AC$4:$AC$203,$AK197))),TODAY()&lt;=INDEX(파견수련계획!$AC$4:$AC$203,$AK197))),"다기관",IF($AF197="","",INDEX(파견수련계획!$T$4:$T$203,$AF197))),IF($AF197="","",INDEX(파견수련계획!$T$4:$T$203,$AF197))))</f>
        <v/>
      </c>
      <c r="Q197" s="10">
        <f>IF($AF197="","",INDEX(파견수련계획!$S$4:$S$203,$AF197))</f>
        <v/>
      </c>
      <c r="R197" s="10">
        <f>IF($AF197="","",INDEX(파견수련계획!$U$4:$U$203,$AF197))</f>
        <v/>
      </c>
      <c r="S197" s="11">
        <f>IF($AF197="","",IF(INDEX(파견수련계획!$H$4:$H$203,$AF197)="","",INDEX(파견수련계획!$H$4:$H$203,$AF197)))</f>
        <v/>
      </c>
      <c r="T197" s="11">
        <f>IF($AF197="","",IF(INDEX(파견수련계획!$I$4:$I$203,$AF197)="","",INDEX(파견수련계획!$I$4:$I$203,$AF197)))</f>
        <v/>
      </c>
      <c r="U197" s="10">
        <f>IF($AF197="","",INDEX(파견수련계획!$X$4:$X$203,$AF197))</f>
        <v/>
      </c>
      <c r="V197" s="17">
        <f>IF($AF197="","",INDEX(파견수련계획!$V$4:$V$203,$AF197))</f>
        <v/>
      </c>
      <c r="W197" s="17">
        <f>IF(AND($U197="파견중",$T197&lt;&gt;""),$T197-TODAY(),"")</f>
        <v/>
      </c>
      <c r="X197" s="17">
        <f>IF(OR($B197="",TRIM($J197&amp;"")=""),"",SUMPRODUCT((파견수련계획!$Q$4:$Q$203=TRIM($J197&amp;""))*파견수련계획!$W$4:$W$203))</f>
        <v/>
      </c>
      <c r="Y197" s="10">
        <f>IF($B197="","",IF($AG197="","",IF(IF(TRIM($J197&amp;"")="",0,SUMPRODUCT((파견수련계획!$Q$4:$Q$203=TRIM($J197&amp;""))*파견수련계획!$AD$4:$AD$203))&gt;0,$AE197,IF(N($X197)&lt;=0,$AG197,IF($AH197+$AI197=DAY(EOMONTH(요약!$B$3,0)),IF(AND($AH197&gt;=요약!$E$3,$AI197&lt;요약!$E$3),"서울병원",IF(AND($AI197&gt;=요약!$E$3,$AH197&lt;요약!$E$3),"구리병원","⚠15일 판정불가(서울 "&amp;$AH197&amp;"일/구리 "&amp;$AI197&amp;"일)")),IF($AJ197="",$AE197,IF(INDEX(파견수련계획!$T$4:$T$203,$AJ197)="통합수련",INDEX(파견수련계획!$S$4:$S$203,$AJ197),$AE197)))))))</f>
        <v/>
      </c>
      <c r="Z197" s="19">
        <f>IF($B197="","",IF($AB197="","기본자료에 없는 사번",IF(COUNTIF($B$2:$B$201,$B197)&gt;1,"중복 사번",IF($AE197="","소속(입사장소) 입력",IF(IF(TRIM($J197&amp;"")="",0,SUMPRODUCT((파견수련계획!$Q$4:$Q$203=TRIM($J197&amp;""))*(파견수련계획!$AA$4:$AA$203&lt;&gt;"")))&gt;0,"파견수련계획 입력오류 확인",IF(LEFT($Y197,1)="⚠","서울·구리 15일 판정 불가(양쪽 모두 이상/미만)",IF(IF($AC197="",0,N(INDEX(인턴근무계획!$T$3:$T$202,$AC197)))&gt;0,"인턴계획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IF($B197="","",IFERROR(MATCH($B197,기본자료!$B$2:$B$501,0),IFERROR(MATCH($B197&amp;"",기본자료!$B$2:$B$501,0),IFERROR(MATCH(VALUE($B197),기본자료!$B$2:$B$501,0),""))))</f>
        <v/>
      </c>
      <c r="AC197" s="10">
        <f>IF($B197="","",IFERROR(MATCH($B197,인턴근무계획!$D$3:$D$202,0),IFERROR(MATCH($B197&amp;"",인턴근무계획!$D$3:$D$202,0),IFERROR(MATCH(VALUE($B197),인턴근무계획!$D$3:$D$202,0),""))))</f>
        <v/>
      </c>
      <c r="AD197" s="10">
        <f>IF(OR($AC197="",인턴현황!$G$3=""),"",INDEX(인턴근무계획!$M$3:$R$202,$AC197,인턴현황!$G$3)&amp;"")</f>
        <v/>
      </c>
      <c r="AE197" s="10">
        <f>IF($B197="","",IF($M197&lt;&gt;"",$M197,IF($AF197&lt;&gt;"",IF(LEFT(INDEX(파견수련계획!$R$4:$R$203,$AF197),1)&lt;&gt;"⚠",INDEX(파견수련계획!$R$4:$R$203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파견수련계획!$Y$4:$Y$203,0),IFERROR(MATCH(TRIM($J197&amp;"")&amp;"|파견예정",파견수련계획!$Y$4:$Y$203,0),IFERROR(MATCH(TRIM($J197&amp;"")&amp;"|파견종료",파견수련계획!$Y$4:$Y$203,0),""))))</f>
        <v/>
      </c>
      <c r="AG197" s="10">
        <f>IF($B197="","",IF(AND(IF(OR($AC197="",인턴현황!$K$2=""),"",INDEX(인턴근무계획!$M$3:$R$202,$AC197,인턴현황!$K$2)&amp;"")&lt;&gt;"",LEFT(IF(OR($AC197="",인턴현황!$K$2=""),"",INDEX(인턴근무계획!$M$3:$R$202,$AC197,인턴현황!$K$2)&amp;""),1)&lt;&gt;"⚠"),LEFT(IF(OR($AC197="",인턴현황!$K$2=""),"",INDEX(인턴근무계획!$M$3:$R$202,$AC197,인턴현황!$K$2)&amp;""),FIND(" ",IF(OR($AC197="",인턴현황!$K$2=""),"",INDEX(인턴근무계획!$M$3:$R$202,$AC197,인턴현황!$K$2)&amp;""))-1),$AE197))</f>
        <v/>
      </c>
      <c r="AH197" s="17">
        <f>IF($B197="","",IF(TRIM($J197&amp;"")="",0,SUMPRODUCT((파견수련계획!$Q$4:$Q$203=TRIM($J197&amp;""))*(파견수련계획!$S$4:$S$203="서울병원")*파견수련계획!$W$4:$W$203))+IF($AG197="서울병원",MAX(0,DAY(EOMONTH(요약!$B$3,0))-N($X197)),0))</f>
        <v/>
      </c>
      <c r="AI197" s="17">
        <f>IF($B197="","",IF(TRIM($J197&amp;"")="",0,SUMPRODUCT((파견수련계획!$Q$4:$Q$203=TRIM($J197&amp;""))*(파견수련계획!$S$4:$S$203="구리병원")*파견수련계획!$W$4:$W$203))+IF($AG197="구리병원",MAX(0,DAY(EOMONTH(요약!$B$3,0))-N($X197)),0))</f>
        <v/>
      </c>
      <c r="AJ197" s="10">
        <f>IF(OR($B197="",TRIM($J197&amp;"")=""),"",IFERROR(MATCH(TRIM($J197&amp;"")&amp;"|월",파견수련계획!$Z$4:$Z$203,0),""))</f>
        <v/>
      </c>
      <c r="AK197" s="10">
        <f>IF(OR($B197="",TRIM($J197&amp;"")=""),"",IFERROR(MATCH(TRIM($J197&amp;"")&amp;"|다기관",파견수련계획!$AE$4:$AE$203,0),""))</f>
        <v/>
      </c>
      <c r="AL197" s="10">
        <f>IF($AK197="","","다기관 "&amp;TEXT(INDEX(파견수련계획!$AB$4:$AB$203,$AK197),"yyyy-mm-dd")&amp;"~"&amp;IF(ISNUMBER(INDEX(파견수련계획!$AC$4:$AC$203,$AK197)),TEXT(INDEX(파견수련계획!$AC$4:$AC$203,$AK197),"yyyy-mm-dd"),""))</f>
        <v/>
      </c>
    </row>
    <row r="198">
      <c r="A198" s="10">
        <f>IF(B198="","",ROW()-1)</f>
        <v/>
      </c>
      <c r="B198" s="18" t="n"/>
      <c r="C198" s="10">
        <f>IF($AB198="","",IF(INDEX(기본자료!$C$2:$C$501,$AB198)="","",INDEX(기본자료!$C$2:$C$501,$AB198)))</f>
        <v/>
      </c>
      <c r="D198" s="10">
        <f>IF($AB198="","",IF(INDEX(기본자료!$J$2:$J$501,$AB198)="","",INDEX(기본자료!$J$2:$J$501,$AB198)))</f>
        <v/>
      </c>
      <c r="E198" s="11">
        <f>IF($AB198="","",IF(INDEX(기본자료!$K$2:$K$501,$AB198)="","",IF(NOT(ISNUMBER(INDEX(기본자료!$K$2:$K$501,$AB198))),INDEX(기본자료!$K$2:$K$501,$AB198),IF(INDEX(기본자료!$K$2:$K$501,$AB198)&lt;1000000,INDEX(기본자료!$K$2:$K$501,$AB198),IF(AND(INDEX(기본자료!$K$2:$K$501,$AB198)&gt;=10000101,INT(MOD(INDEX(기본자료!$K$2:$K$501,$AB198),10000)/100)&gt;=1,INT(MOD(INDEX(기본자료!$K$2:$K$501,$AB198),10000)/100)&lt;=12,MOD(INDEX(기본자료!$K$2:$K$501,$AB198),100)&gt;=1,MOD(INDEX(기본자료!$K$2:$K$501,$AB198),100)&lt;=31),DATE(INT(INDEX(기본자료!$K$2:$K$501,$AB198)/10000),INT(MOD(INDEX(기본자료!$K$2:$K$501,$AB198),10000)/100),MOD(INDEX(기본자료!$K$2:$K$501,$AB198),100)),INDEX(기본자료!$K$2:$K$501,$AB198)&amp;"")))))</f>
        <v/>
      </c>
      <c r="F198" s="10">
        <f>IF($AB198="","",IF(INDEX(기본자료!$D$2:$D$501,$AB198)="","",INDEX(기본자료!$D$2:$D$501,$AB198)))</f>
        <v/>
      </c>
      <c r="G198" s="10">
        <f>IF($AB198="","",IF(INDEX(기본자료!$E$2:$E$501,$AB198)="","",INDEX(기본자료!$E$2:$E$501,$AB198)))</f>
        <v/>
      </c>
      <c r="H198" s="10">
        <f>IF($AB198="","",IF(INDEX(기본자료!$F$2:$F$501,$AB198)="","",INDEX(기본자료!$F$2:$F$501,$AB198)))</f>
        <v/>
      </c>
      <c r="I198" s="11">
        <f>IF($AB198="","",IF(INDEX(기본자료!$G$2:$G$501,$AB198)="","",IF(NOT(ISNUMBER(INDEX(기본자료!$G$2:$G$501,$AB198))),INDEX(기본자료!$G$2:$G$501,$AB198),IF(INDEX(기본자료!$G$2:$G$501,$AB198)&lt;1000000,INDEX(기본자료!$G$2:$G$501,$AB198),IF(AND(INDEX(기본자료!$G$2:$G$501,$AB198)&gt;=10000101,INT(MOD(INDEX(기본자료!$G$2:$G$501,$AB198),10000)/100)&gt;=1,INT(MOD(INDEX(기본자료!$G$2:$G$501,$AB198),10000)/100)&lt;=12,MOD(INDEX(기본자료!$G$2:$G$501,$AB198),100)&gt;=1,MOD(INDEX(기본자료!$G$2:$G$501,$AB198),100)&lt;=31),DATE(INT(INDEX(기본자료!$G$2:$G$501,$AB198)/10000),INT(MOD(INDEX(기본자료!$G$2:$G$501,$AB198),10000)/100),MOD(INDEX(기본자료!$G$2:$G$501,$AB198),100)),INDEX(기본자료!$G$2:$G$501,$AB198)&amp;"")))))</f>
        <v/>
      </c>
      <c r="J198" s="10">
        <f>IF($AB198="","",IF(INDEX(기본자료!$H$2:$H$501,$AB198)="","",INDEX(기본자료!$H$2:$H$501,$AB198)))</f>
        <v/>
      </c>
      <c r="K198" s="10">
        <f>IF($AB198="","",IF(INDEX(기본자료!$I$2:$I$501,$AB198)="","",INDEX(기본자료!$I$2:$I$501,$AB198)))</f>
        <v/>
      </c>
      <c r="L198" s="10">
        <f>IF($AB198="","",IF(INDEX(기본자료!$A$2:$A$501,$AB198)="","",INDEX(기본자료!$A$2:$A$501,$AB198)))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파견수련계획!$AB$4:$AB$203,$AK198),OR(NOT(ISNUMBER(INDEX(파견수련계획!$AC$4:$AC$203,$AK198))),TODAY()&lt;=INDEX(파견수련계획!$AC$4:$AC$203,$AK198))),"다기관",IF($AF198="","",INDEX(파견수련계획!$T$4:$T$203,$AF198))),IF($AF198="","",INDEX(파견수련계획!$T$4:$T$203,$AF198))))</f>
        <v/>
      </c>
      <c r="Q198" s="10">
        <f>IF($AF198="","",INDEX(파견수련계획!$S$4:$S$203,$AF198))</f>
        <v/>
      </c>
      <c r="R198" s="10">
        <f>IF($AF198="","",INDEX(파견수련계획!$U$4:$U$203,$AF198))</f>
        <v/>
      </c>
      <c r="S198" s="11">
        <f>IF($AF198="","",IF(INDEX(파견수련계획!$H$4:$H$203,$AF198)="","",INDEX(파견수련계획!$H$4:$H$203,$AF198)))</f>
        <v/>
      </c>
      <c r="T198" s="11">
        <f>IF($AF198="","",IF(INDEX(파견수련계획!$I$4:$I$203,$AF198)="","",INDEX(파견수련계획!$I$4:$I$203,$AF198)))</f>
        <v/>
      </c>
      <c r="U198" s="10">
        <f>IF($AF198="","",INDEX(파견수련계획!$X$4:$X$203,$AF198))</f>
        <v/>
      </c>
      <c r="V198" s="17">
        <f>IF($AF198="","",INDEX(파견수련계획!$V$4:$V$203,$AF198))</f>
        <v/>
      </c>
      <c r="W198" s="17">
        <f>IF(AND($U198="파견중",$T198&lt;&gt;""),$T198-TODAY(),"")</f>
        <v/>
      </c>
      <c r="X198" s="17">
        <f>IF(OR($B198="",TRIM($J198&amp;"")=""),"",SUMPRODUCT((파견수련계획!$Q$4:$Q$203=TRIM($J198&amp;""))*파견수련계획!$W$4:$W$203))</f>
        <v/>
      </c>
      <c r="Y198" s="10">
        <f>IF($B198="","",IF($AG198="","",IF(IF(TRIM($J198&amp;"")="",0,SUMPRODUCT((파견수련계획!$Q$4:$Q$203=TRIM($J198&amp;""))*파견수련계획!$AD$4:$AD$203))&gt;0,$AE198,IF(N($X198)&lt;=0,$AG198,IF($AH198+$AI198=DAY(EOMONTH(요약!$B$3,0)),IF(AND($AH198&gt;=요약!$E$3,$AI198&lt;요약!$E$3),"서울병원",IF(AND($AI198&gt;=요약!$E$3,$AH198&lt;요약!$E$3),"구리병원","⚠15일 판정불가(서울 "&amp;$AH198&amp;"일/구리 "&amp;$AI198&amp;"일)")),IF($AJ198="",$AE198,IF(INDEX(파견수련계획!$T$4:$T$203,$AJ198)="통합수련",INDEX(파견수련계획!$S$4:$S$203,$AJ198),$AE198)))))))</f>
        <v/>
      </c>
      <c r="Z198" s="19">
        <f>IF($B198="","",IF($AB198="","기본자료에 없는 사번",IF(COUNTIF($B$2:$B$201,$B198)&gt;1,"중복 사번",IF($AE198="","소속(입사장소) 입력",IF(IF(TRIM($J198&amp;"")="",0,SUMPRODUCT((파견수련계획!$Q$4:$Q$203=TRIM($J198&amp;""))*(파견수련계획!$AA$4:$AA$203&lt;&gt;"")))&gt;0,"파견수련계획 입력오류 확인",IF(LEFT($Y198,1)="⚠","서울·구리 15일 판정 불가(양쪽 모두 이상/미만)",IF(IF($AC198="",0,N(INDEX(인턴근무계획!$T$3:$T$202,$AC198)))&gt;0,"인턴계획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IF($B198="","",IFERROR(MATCH($B198,기본자료!$B$2:$B$501,0),IFERROR(MATCH($B198&amp;"",기본자료!$B$2:$B$501,0),IFERROR(MATCH(VALUE($B198),기본자료!$B$2:$B$501,0),""))))</f>
        <v/>
      </c>
      <c r="AC198" s="10">
        <f>IF($B198="","",IFERROR(MATCH($B198,인턴근무계획!$D$3:$D$202,0),IFERROR(MATCH($B198&amp;"",인턴근무계획!$D$3:$D$202,0),IFERROR(MATCH(VALUE($B198),인턴근무계획!$D$3:$D$202,0),""))))</f>
        <v/>
      </c>
      <c r="AD198" s="10">
        <f>IF(OR($AC198="",인턴현황!$G$3=""),"",INDEX(인턴근무계획!$M$3:$R$202,$AC198,인턴현황!$G$3)&amp;"")</f>
        <v/>
      </c>
      <c r="AE198" s="10">
        <f>IF($B198="","",IF($M198&lt;&gt;"",$M198,IF($AF198&lt;&gt;"",IF(LEFT(INDEX(파견수련계획!$R$4:$R$203,$AF198),1)&lt;&gt;"⚠",INDEX(파견수련계획!$R$4:$R$203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파견수련계획!$Y$4:$Y$203,0),IFERROR(MATCH(TRIM($J198&amp;"")&amp;"|파견예정",파견수련계획!$Y$4:$Y$203,0),IFERROR(MATCH(TRIM($J198&amp;"")&amp;"|파견종료",파견수련계획!$Y$4:$Y$203,0),""))))</f>
        <v/>
      </c>
      <c r="AG198" s="10">
        <f>IF($B198="","",IF(AND(IF(OR($AC198="",인턴현황!$K$2=""),"",INDEX(인턴근무계획!$M$3:$R$202,$AC198,인턴현황!$K$2)&amp;"")&lt;&gt;"",LEFT(IF(OR($AC198="",인턴현황!$K$2=""),"",INDEX(인턴근무계획!$M$3:$R$202,$AC198,인턴현황!$K$2)&amp;""),1)&lt;&gt;"⚠"),LEFT(IF(OR($AC198="",인턴현황!$K$2=""),"",INDEX(인턴근무계획!$M$3:$R$202,$AC198,인턴현황!$K$2)&amp;""),FIND(" ",IF(OR($AC198="",인턴현황!$K$2=""),"",INDEX(인턴근무계획!$M$3:$R$202,$AC198,인턴현황!$K$2)&amp;""))-1),$AE198))</f>
        <v/>
      </c>
      <c r="AH198" s="17">
        <f>IF($B198="","",IF(TRIM($J198&amp;"")="",0,SUMPRODUCT((파견수련계획!$Q$4:$Q$203=TRIM($J198&amp;""))*(파견수련계획!$S$4:$S$203="서울병원")*파견수련계획!$W$4:$W$203))+IF($AG198="서울병원",MAX(0,DAY(EOMONTH(요약!$B$3,0))-N($X198)),0))</f>
        <v/>
      </c>
      <c r="AI198" s="17">
        <f>IF($B198="","",IF(TRIM($J198&amp;"")="",0,SUMPRODUCT((파견수련계획!$Q$4:$Q$203=TRIM($J198&amp;""))*(파견수련계획!$S$4:$S$203="구리병원")*파견수련계획!$W$4:$W$203))+IF($AG198="구리병원",MAX(0,DAY(EOMONTH(요약!$B$3,0))-N($X198)),0))</f>
        <v/>
      </c>
      <c r="AJ198" s="10">
        <f>IF(OR($B198="",TRIM($J198&amp;"")=""),"",IFERROR(MATCH(TRIM($J198&amp;"")&amp;"|월",파견수련계획!$Z$4:$Z$203,0),""))</f>
        <v/>
      </c>
      <c r="AK198" s="10">
        <f>IF(OR($B198="",TRIM($J198&amp;"")=""),"",IFERROR(MATCH(TRIM($J198&amp;"")&amp;"|다기관",파견수련계획!$AE$4:$AE$203,0),""))</f>
        <v/>
      </c>
      <c r="AL198" s="10">
        <f>IF($AK198="","","다기관 "&amp;TEXT(INDEX(파견수련계획!$AB$4:$AB$203,$AK198),"yyyy-mm-dd")&amp;"~"&amp;IF(ISNUMBER(INDEX(파견수련계획!$AC$4:$AC$203,$AK198)),TEXT(INDEX(파견수련계획!$AC$4:$AC$203,$AK198),"yyyy-mm-dd"),""))</f>
        <v/>
      </c>
    </row>
    <row r="199">
      <c r="A199" s="10">
        <f>IF(B199="","",ROW()-1)</f>
        <v/>
      </c>
      <c r="B199" s="18" t="n"/>
      <c r="C199" s="10">
        <f>IF($AB199="","",IF(INDEX(기본자료!$C$2:$C$501,$AB199)="","",INDEX(기본자료!$C$2:$C$501,$AB199)))</f>
        <v/>
      </c>
      <c r="D199" s="10">
        <f>IF($AB199="","",IF(INDEX(기본자료!$J$2:$J$501,$AB199)="","",INDEX(기본자료!$J$2:$J$501,$AB199)))</f>
        <v/>
      </c>
      <c r="E199" s="11">
        <f>IF($AB199="","",IF(INDEX(기본자료!$K$2:$K$501,$AB199)="","",IF(NOT(ISNUMBER(INDEX(기본자료!$K$2:$K$501,$AB199))),INDEX(기본자료!$K$2:$K$501,$AB199),IF(INDEX(기본자료!$K$2:$K$501,$AB199)&lt;1000000,INDEX(기본자료!$K$2:$K$501,$AB199),IF(AND(INDEX(기본자료!$K$2:$K$501,$AB199)&gt;=10000101,INT(MOD(INDEX(기본자료!$K$2:$K$501,$AB199),10000)/100)&gt;=1,INT(MOD(INDEX(기본자료!$K$2:$K$501,$AB199),10000)/100)&lt;=12,MOD(INDEX(기본자료!$K$2:$K$501,$AB199),100)&gt;=1,MOD(INDEX(기본자료!$K$2:$K$501,$AB199),100)&lt;=31),DATE(INT(INDEX(기본자료!$K$2:$K$501,$AB199)/10000),INT(MOD(INDEX(기본자료!$K$2:$K$501,$AB199),10000)/100),MOD(INDEX(기본자료!$K$2:$K$501,$AB199),100)),INDEX(기본자료!$K$2:$K$501,$AB199)&amp;"")))))</f>
        <v/>
      </c>
      <c r="F199" s="10">
        <f>IF($AB199="","",IF(INDEX(기본자료!$D$2:$D$501,$AB199)="","",INDEX(기본자료!$D$2:$D$501,$AB199)))</f>
        <v/>
      </c>
      <c r="G199" s="10">
        <f>IF($AB199="","",IF(INDEX(기본자료!$E$2:$E$501,$AB199)="","",INDEX(기본자료!$E$2:$E$501,$AB199)))</f>
        <v/>
      </c>
      <c r="H199" s="10">
        <f>IF($AB199="","",IF(INDEX(기본자료!$F$2:$F$501,$AB199)="","",INDEX(기본자료!$F$2:$F$501,$AB199)))</f>
        <v/>
      </c>
      <c r="I199" s="11">
        <f>IF($AB199="","",IF(INDEX(기본자료!$G$2:$G$501,$AB199)="","",IF(NOT(ISNUMBER(INDEX(기본자료!$G$2:$G$501,$AB199))),INDEX(기본자료!$G$2:$G$501,$AB199),IF(INDEX(기본자료!$G$2:$G$501,$AB199)&lt;1000000,INDEX(기본자료!$G$2:$G$501,$AB199),IF(AND(INDEX(기본자료!$G$2:$G$501,$AB199)&gt;=10000101,INT(MOD(INDEX(기본자료!$G$2:$G$501,$AB199),10000)/100)&gt;=1,INT(MOD(INDEX(기본자료!$G$2:$G$501,$AB199),10000)/100)&lt;=12,MOD(INDEX(기본자료!$G$2:$G$501,$AB199),100)&gt;=1,MOD(INDEX(기본자료!$G$2:$G$501,$AB199),100)&lt;=31),DATE(INT(INDEX(기본자료!$G$2:$G$501,$AB199)/10000),INT(MOD(INDEX(기본자료!$G$2:$G$501,$AB199),10000)/100),MOD(INDEX(기본자료!$G$2:$G$501,$AB199),100)),INDEX(기본자료!$G$2:$G$501,$AB199)&amp;"")))))</f>
        <v/>
      </c>
      <c r="J199" s="10">
        <f>IF($AB199="","",IF(INDEX(기본자료!$H$2:$H$501,$AB199)="","",INDEX(기본자료!$H$2:$H$501,$AB199)))</f>
        <v/>
      </c>
      <c r="K199" s="10">
        <f>IF($AB199="","",IF(INDEX(기본자료!$I$2:$I$501,$AB199)="","",INDEX(기본자료!$I$2:$I$501,$AB199)))</f>
        <v/>
      </c>
      <c r="L199" s="10">
        <f>IF($AB199="","",IF(INDEX(기본자료!$A$2:$A$501,$AB199)="","",INDEX(기본자료!$A$2:$A$501,$AB199)))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파견수련계획!$AB$4:$AB$203,$AK199),OR(NOT(ISNUMBER(INDEX(파견수련계획!$AC$4:$AC$203,$AK199))),TODAY()&lt;=INDEX(파견수련계획!$AC$4:$AC$203,$AK199))),"다기관",IF($AF199="","",INDEX(파견수련계획!$T$4:$T$203,$AF199))),IF($AF199="","",INDEX(파견수련계획!$T$4:$T$203,$AF199))))</f>
        <v/>
      </c>
      <c r="Q199" s="10">
        <f>IF($AF199="","",INDEX(파견수련계획!$S$4:$S$203,$AF199))</f>
        <v/>
      </c>
      <c r="R199" s="10">
        <f>IF($AF199="","",INDEX(파견수련계획!$U$4:$U$203,$AF199))</f>
        <v/>
      </c>
      <c r="S199" s="11">
        <f>IF($AF199="","",IF(INDEX(파견수련계획!$H$4:$H$203,$AF199)="","",INDEX(파견수련계획!$H$4:$H$203,$AF199)))</f>
        <v/>
      </c>
      <c r="T199" s="11">
        <f>IF($AF199="","",IF(INDEX(파견수련계획!$I$4:$I$203,$AF199)="","",INDEX(파견수련계획!$I$4:$I$203,$AF199)))</f>
        <v/>
      </c>
      <c r="U199" s="10">
        <f>IF($AF199="","",INDEX(파견수련계획!$X$4:$X$203,$AF199))</f>
        <v/>
      </c>
      <c r="V199" s="17">
        <f>IF($AF199="","",INDEX(파견수련계획!$V$4:$V$203,$AF199))</f>
        <v/>
      </c>
      <c r="W199" s="17">
        <f>IF(AND($U199="파견중",$T199&lt;&gt;""),$T199-TODAY(),"")</f>
        <v/>
      </c>
      <c r="X199" s="17">
        <f>IF(OR($B199="",TRIM($J199&amp;"")=""),"",SUMPRODUCT((파견수련계획!$Q$4:$Q$203=TRIM($J199&amp;""))*파견수련계획!$W$4:$W$203))</f>
        <v/>
      </c>
      <c r="Y199" s="10">
        <f>IF($B199="","",IF($AG199="","",IF(IF(TRIM($J199&amp;"")="",0,SUMPRODUCT((파견수련계획!$Q$4:$Q$203=TRIM($J199&amp;""))*파견수련계획!$AD$4:$AD$203))&gt;0,$AE199,IF(N($X199)&lt;=0,$AG199,IF($AH199+$AI199=DAY(EOMONTH(요약!$B$3,0)),IF(AND($AH199&gt;=요약!$E$3,$AI199&lt;요약!$E$3),"서울병원",IF(AND($AI199&gt;=요약!$E$3,$AH199&lt;요약!$E$3),"구리병원","⚠15일 판정불가(서울 "&amp;$AH199&amp;"일/구리 "&amp;$AI199&amp;"일)")),IF($AJ199="",$AE199,IF(INDEX(파견수련계획!$T$4:$T$203,$AJ199)="통합수련",INDEX(파견수련계획!$S$4:$S$203,$AJ199),$AE199)))))))</f>
        <v/>
      </c>
      <c r="Z199" s="19">
        <f>IF($B199="","",IF($AB199="","기본자료에 없는 사번",IF(COUNTIF($B$2:$B$201,$B199)&gt;1,"중복 사번",IF($AE199="","소속(입사장소) 입력",IF(IF(TRIM($J199&amp;"")="",0,SUMPRODUCT((파견수련계획!$Q$4:$Q$203=TRIM($J199&amp;""))*(파견수련계획!$AA$4:$AA$203&lt;&gt;"")))&gt;0,"파견수련계획 입력오류 확인",IF(LEFT($Y199,1)="⚠","서울·구리 15일 판정 불가(양쪽 모두 이상/미만)",IF(IF($AC199="",0,N(INDEX(인턴근무계획!$T$3:$T$202,$AC199)))&gt;0,"인턴계획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IF($B199="","",IFERROR(MATCH($B199,기본자료!$B$2:$B$501,0),IFERROR(MATCH($B199&amp;"",기본자료!$B$2:$B$501,0),IFERROR(MATCH(VALUE($B199),기본자료!$B$2:$B$501,0),""))))</f>
        <v/>
      </c>
      <c r="AC199" s="10">
        <f>IF($B199="","",IFERROR(MATCH($B199,인턴근무계획!$D$3:$D$202,0),IFERROR(MATCH($B199&amp;"",인턴근무계획!$D$3:$D$202,0),IFERROR(MATCH(VALUE($B199),인턴근무계획!$D$3:$D$202,0),""))))</f>
        <v/>
      </c>
      <c r="AD199" s="10">
        <f>IF(OR($AC199="",인턴현황!$G$3=""),"",INDEX(인턴근무계획!$M$3:$R$202,$AC199,인턴현황!$G$3)&amp;"")</f>
        <v/>
      </c>
      <c r="AE199" s="10">
        <f>IF($B199="","",IF($M199&lt;&gt;"",$M199,IF($AF199&lt;&gt;"",IF(LEFT(INDEX(파견수련계획!$R$4:$R$203,$AF199),1)&lt;&gt;"⚠",INDEX(파견수련계획!$R$4:$R$203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파견수련계획!$Y$4:$Y$203,0),IFERROR(MATCH(TRIM($J199&amp;"")&amp;"|파견예정",파견수련계획!$Y$4:$Y$203,0),IFERROR(MATCH(TRIM($J199&amp;"")&amp;"|파견종료",파견수련계획!$Y$4:$Y$203,0),""))))</f>
        <v/>
      </c>
      <c r="AG199" s="10">
        <f>IF($B199="","",IF(AND(IF(OR($AC199="",인턴현황!$K$2=""),"",INDEX(인턴근무계획!$M$3:$R$202,$AC199,인턴현황!$K$2)&amp;"")&lt;&gt;"",LEFT(IF(OR($AC199="",인턴현황!$K$2=""),"",INDEX(인턴근무계획!$M$3:$R$202,$AC199,인턴현황!$K$2)&amp;""),1)&lt;&gt;"⚠"),LEFT(IF(OR($AC199="",인턴현황!$K$2=""),"",INDEX(인턴근무계획!$M$3:$R$202,$AC199,인턴현황!$K$2)&amp;""),FIND(" ",IF(OR($AC199="",인턴현황!$K$2=""),"",INDEX(인턴근무계획!$M$3:$R$202,$AC199,인턴현황!$K$2)&amp;""))-1),$AE199))</f>
        <v/>
      </c>
      <c r="AH199" s="17">
        <f>IF($B199="","",IF(TRIM($J199&amp;"")="",0,SUMPRODUCT((파견수련계획!$Q$4:$Q$203=TRIM($J199&amp;""))*(파견수련계획!$S$4:$S$203="서울병원")*파견수련계획!$W$4:$W$203))+IF($AG199="서울병원",MAX(0,DAY(EOMONTH(요약!$B$3,0))-N($X199)),0))</f>
        <v/>
      </c>
      <c r="AI199" s="17">
        <f>IF($B199="","",IF(TRIM($J199&amp;"")="",0,SUMPRODUCT((파견수련계획!$Q$4:$Q$203=TRIM($J199&amp;""))*(파견수련계획!$S$4:$S$203="구리병원")*파견수련계획!$W$4:$W$203))+IF($AG199="구리병원",MAX(0,DAY(EOMONTH(요약!$B$3,0))-N($X199)),0))</f>
        <v/>
      </c>
      <c r="AJ199" s="10">
        <f>IF(OR($B199="",TRIM($J199&amp;"")=""),"",IFERROR(MATCH(TRIM($J199&amp;"")&amp;"|월",파견수련계획!$Z$4:$Z$203,0),""))</f>
        <v/>
      </c>
      <c r="AK199" s="10">
        <f>IF(OR($B199="",TRIM($J199&amp;"")=""),"",IFERROR(MATCH(TRIM($J199&amp;"")&amp;"|다기관",파견수련계획!$AE$4:$AE$203,0),""))</f>
        <v/>
      </c>
      <c r="AL199" s="10">
        <f>IF($AK199="","","다기관 "&amp;TEXT(INDEX(파견수련계획!$AB$4:$AB$203,$AK199),"yyyy-mm-dd")&amp;"~"&amp;IF(ISNUMBER(INDEX(파견수련계획!$AC$4:$AC$203,$AK199)),TEXT(INDEX(파견수련계획!$AC$4:$AC$203,$AK199),"yyyy-mm-dd"),""))</f>
        <v/>
      </c>
    </row>
    <row r="200">
      <c r="A200" s="10">
        <f>IF(B200="","",ROW()-1)</f>
        <v/>
      </c>
      <c r="B200" s="18" t="n"/>
      <c r="C200" s="10">
        <f>IF($AB200="","",IF(INDEX(기본자료!$C$2:$C$501,$AB200)="","",INDEX(기본자료!$C$2:$C$501,$AB200)))</f>
        <v/>
      </c>
      <c r="D200" s="10">
        <f>IF($AB200="","",IF(INDEX(기본자료!$J$2:$J$501,$AB200)="","",INDEX(기본자료!$J$2:$J$501,$AB200)))</f>
        <v/>
      </c>
      <c r="E200" s="11">
        <f>IF($AB200="","",IF(INDEX(기본자료!$K$2:$K$501,$AB200)="","",IF(NOT(ISNUMBER(INDEX(기본자료!$K$2:$K$501,$AB200))),INDEX(기본자료!$K$2:$K$501,$AB200),IF(INDEX(기본자료!$K$2:$K$501,$AB200)&lt;1000000,INDEX(기본자료!$K$2:$K$501,$AB200),IF(AND(INDEX(기본자료!$K$2:$K$501,$AB200)&gt;=10000101,INT(MOD(INDEX(기본자료!$K$2:$K$501,$AB200),10000)/100)&gt;=1,INT(MOD(INDEX(기본자료!$K$2:$K$501,$AB200),10000)/100)&lt;=12,MOD(INDEX(기본자료!$K$2:$K$501,$AB200),100)&gt;=1,MOD(INDEX(기본자료!$K$2:$K$501,$AB200),100)&lt;=31),DATE(INT(INDEX(기본자료!$K$2:$K$501,$AB200)/10000),INT(MOD(INDEX(기본자료!$K$2:$K$501,$AB200),10000)/100),MOD(INDEX(기본자료!$K$2:$K$501,$AB200),100)),INDEX(기본자료!$K$2:$K$501,$AB200)&amp;"")))))</f>
        <v/>
      </c>
      <c r="F200" s="10">
        <f>IF($AB200="","",IF(INDEX(기본자료!$D$2:$D$501,$AB200)="","",INDEX(기본자료!$D$2:$D$501,$AB200)))</f>
        <v/>
      </c>
      <c r="G200" s="10">
        <f>IF($AB200="","",IF(INDEX(기본자료!$E$2:$E$501,$AB200)="","",INDEX(기본자료!$E$2:$E$501,$AB200)))</f>
        <v/>
      </c>
      <c r="H200" s="10">
        <f>IF($AB200="","",IF(INDEX(기본자료!$F$2:$F$501,$AB200)="","",INDEX(기본자료!$F$2:$F$501,$AB200)))</f>
        <v/>
      </c>
      <c r="I200" s="11">
        <f>IF($AB200="","",IF(INDEX(기본자료!$G$2:$G$501,$AB200)="","",IF(NOT(ISNUMBER(INDEX(기본자료!$G$2:$G$501,$AB200))),INDEX(기본자료!$G$2:$G$501,$AB200),IF(INDEX(기본자료!$G$2:$G$501,$AB200)&lt;1000000,INDEX(기본자료!$G$2:$G$501,$AB200),IF(AND(INDEX(기본자료!$G$2:$G$501,$AB200)&gt;=10000101,INT(MOD(INDEX(기본자료!$G$2:$G$501,$AB200),10000)/100)&gt;=1,INT(MOD(INDEX(기본자료!$G$2:$G$501,$AB200),10000)/100)&lt;=12,MOD(INDEX(기본자료!$G$2:$G$501,$AB200),100)&gt;=1,MOD(INDEX(기본자료!$G$2:$G$501,$AB200),100)&lt;=31),DATE(INT(INDEX(기본자료!$G$2:$G$501,$AB200)/10000),INT(MOD(INDEX(기본자료!$G$2:$G$501,$AB200),10000)/100),MOD(INDEX(기본자료!$G$2:$G$501,$AB200),100)),INDEX(기본자료!$G$2:$G$501,$AB200)&amp;"")))))</f>
        <v/>
      </c>
      <c r="J200" s="10">
        <f>IF($AB200="","",IF(INDEX(기본자료!$H$2:$H$501,$AB200)="","",INDEX(기본자료!$H$2:$H$501,$AB200)))</f>
        <v/>
      </c>
      <c r="K200" s="10">
        <f>IF($AB200="","",IF(INDEX(기본자료!$I$2:$I$501,$AB200)="","",INDEX(기본자료!$I$2:$I$501,$AB200)))</f>
        <v/>
      </c>
      <c r="L200" s="10">
        <f>IF($AB200="","",IF(INDEX(기본자료!$A$2:$A$501,$AB200)="","",INDEX(기본자료!$A$2:$A$501,$AB200)))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파견수련계획!$AB$4:$AB$203,$AK200),OR(NOT(ISNUMBER(INDEX(파견수련계획!$AC$4:$AC$203,$AK200))),TODAY()&lt;=INDEX(파견수련계획!$AC$4:$AC$203,$AK200))),"다기관",IF($AF200="","",INDEX(파견수련계획!$T$4:$T$203,$AF200))),IF($AF200="","",INDEX(파견수련계획!$T$4:$T$203,$AF200))))</f>
        <v/>
      </c>
      <c r="Q200" s="10">
        <f>IF($AF200="","",INDEX(파견수련계획!$S$4:$S$203,$AF200))</f>
        <v/>
      </c>
      <c r="R200" s="10">
        <f>IF($AF200="","",INDEX(파견수련계획!$U$4:$U$203,$AF200))</f>
        <v/>
      </c>
      <c r="S200" s="11">
        <f>IF($AF200="","",IF(INDEX(파견수련계획!$H$4:$H$203,$AF200)="","",INDEX(파견수련계획!$H$4:$H$203,$AF200)))</f>
        <v/>
      </c>
      <c r="T200" s="11">
        <f>IF($AF200="","",IF(INDEX(파견수련계획!$I$4:$I$203,$AF200)="","",INDEX(파견수련계획!$I$4:$I$203,$AF200)))</f>
        <v/>
      </c>
      <c r="U200" s="10">
        <f>IF($AF200="","",INDEX(파견수련계획!$X$4:$X$203,$AF200))</f>
        <v/>
      </c>
      <c r="V200" s="17">
        <f>IF($AF200="","",INDEX(파견수련계획!$V$4:$V$203,$AF200))</f>
        <v/>
      </c>
      <c r="W200" s="17">
        <f>IF(AND($U200="파견중",$T200&lt;&gt;""),$T200-TODAY(),"")</f>
        <v/>
      </c>
      <c r="X200" s="17">
        <f>IF(OR($B200="",TRIM($J200&amp;"")=""),"",SUMPRODUCT((파견수련계획!$Q$4:$Q$203=TRIM($J200&amp;""))*파견수련계획!$W$4:$W$203))</f>
        <v/>
      </c>
      <c r="Y200" s="10">
        <f>IF($B200="","",IF($AG200="","",IF(IF(TRIM($J200&amp;"")="",0,SUMPRODUCT((파견수련계획!$Q$4:$Q$203=TRIM($J200&amp;""))*파견수련계획!$AD$4:$AD$203))&gt;0,$AE200,IF(N($X200)&lt;=0,$AG200,IF($AH200+$AI200=DAY(EOMONTH(요약!$B$3,0)),IF(AND($AH200&gt;=요약!$E$3,$AI200&lt;요약!$E$3),"서울병원",IF(AND($AI200&gt;=요약!$E$3,$AH200&lt;요약!$E$3),"구리병원","⚠15일 판정불가(서울 "&amp;$AH200&amp;"일/구리 "&amp;$AI200&amp;"일)")),IF($AJ200="",$AE200,IF(INDEX(파견수련계획!$T$4:$T$203,$AJ200)="통합수련",INDEX(파견수련계획!$S$4:$S$203,$AJ200),$AE200)))))))</f>
        <v/>
      </c>
      <c r="Z200" s="19">
        <f>IF($B200="","",IF($AB200="","기본자료에 없는 사번",IF(COUNTIF($B$2:$B$201,$B200)&gt;1,"중복 사번",IF($AE200="","소속(입사장소) 입력",IF(IF(TRIM($J200&amp;"")="",0,SUMPRODUCT((파견수련계획!$Q$4:$Q$203=TRIM($J200&amp;""))*(파견수련계획!$AA$4:$AA$203&lt;&gt;"")))&gt;0,"파견수련계획 입력오류 확인",IF(LEFT($Y200,1)="⚠","서울·구리 15일 판정 불가(양쪽 모두 이상/미만)",IF(IF($AC200="",0,N(INDEX(인턴근무계획!$T$3:$T$202,$AC200)))&gt;0,"인턴계획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IF($B200="","",IFERROR(MATCH($B200,기본자료!$B$2:$B$501,0),IFERROR(MATCH($B200&amp;"",기본자료!$B$2:$B$501,0),IFERROR(MATCH(VALUE($B200),기본자료!$B$2:$B$501,0),""))))</f>
        <v/>
      </c>
      <c r="AC200" s="10">
        <f>IF($B200="","",IFERROR(MATCH($B200,인턴근무계획!$D$3:$D$202,0),IFERROR(MATCH($B200&amp;"",인턴근무계획!$D$3:$D$202,0),IFERROR(MATCH(VALUE($B200),인턴근무계획!$D$3:$D$202,0),""))))</f>
        <v/>
      </c>
      <c r="AD200" s="10">
        <f>IF(OR($AC200="",인턴현황!$G$3=""),"",INDEX(인턴근무계획!$M$3:$R$202,$AC200,인턴현황!$G$3)&amp;"")</f>
        <v/>
      </c>
      <c r="AE200" s="10">
        <f>IF($B200="","",IF($M200&lt;&gt;"",$M200,IF($AF200&lt;&gt;"",IF(LEFT(INDEX(파견수련계획!$R$4:$R$203,$AF200),1)&lt;&gt;"⚠",INDEX(파견수련계획!$R$4:$R$203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파견수련계획!$Y$4:$Y$203,0),IFERROR(MATCH(TRIM($J200&amp;"")&amp;"|파견예정",파견수련계획!$Y$4:$Y$203,0),IFERROR(MATCH(TRIM($J200&amp;"")&amp;"|파견종료",파견수련계획!$Y$4:$Y$203,0),""))))</f>
        <v/>
      </c>
      <c r="AG200" s="10">
        <f>IF($B200="","",IF(AND(IF(OR($AC200="",인턴현황!$K$2=""),"",INDEX(인턴근무계획!$M$3:$R$202,$AC200,인턴현황!$K$2)&amp;"")&lt;&gt;"",LEFT(IF(OR($AC200="",인턴현황!$K$2=""),"",INDEX(인턴근무계획!$M$3:$R$202,$AC200,인턴현황!$K$2)&amp;""),1)&lt;&gt;"⚠"),LEFT(IF(OR($AC200="",인턴현황!$K$2=""),"",INDEX(인턴근무계획!$M$3:$R$202,$AC200,인턴현황!$K$2)&amp;""),FIND(" ",IF(OR($AC200="",인턴현황!$K$2=""),"",INDEX(인턴근무계획!$M$3:$R$202,$AC200,인턴현황!$K$2)&amp;""))-1),$AE200))</f>
        <v/>
      </c>
      <c r="AH200" s="17">
        <f>IF($B200="","",IF(TRIM($J200&amp;"")="",0,SUMPRODUCT((파견수련계획!$Q$4:$Q$203=TRIM($J200&amp;""))*(파견수련계획!$S$4:$S$203="서울병원")*파견수련계획!$W$4:$W$203))+IF($AG200="서울병원",MAX(0,DAY(EOMONTH(요약!$B$3,0))-N($X200)),0))</f>
        <v/>
      </c>
      <c r="AI200" s="17">
        <f>IF($B200="","",IF(TRIM($J200&amp;"")="",0,SUMPRODUCT((파견수련계획!$Q$4:$Q$203=TRIM($J200&amp;""))*(파견수련계획!$S$4:$S$203="구리병원")*파견수련계획!$W$4:$W$203))+IF($AG200="구리병원",MAX(0,DAY(EOMONTH(요약!$B$3,0))-N($X200)),0))</f>
        <v/>
      </c>
      <c r="AJ200" s="10">
        <f>IF(OR($B200="",TRIM($J200&amp;"")=""),"",IFERROR(MATCH(TRIM($J200&amp;"")&amp;"|월",파견수련계획!$Z$4:$Z$203,0),""))</f>
        <v/>
      </c>
      <c r="AK200" s="10">
        <f>IF(OR($B200="",TRIM($J200&amp;"")=""),"",IFERROR(MATCH(TRIM($J200&amp;"")&amp;"|다기관",파견수련계획!$AE$4:$AE$203,0),""))</f>
        <v/>
      </c>
      <c r="AL200" s="10">
        <f>IF($AK200="","","다기관 "&amp;TEXT(INDEX(파견수련계획!$AB$4:$AB$203,$AK200),"yyyy-mm-dd")&amp;"~"&amp;IF(ISNUMBER(INDEX(파견수련계획!$AC$4:$AC$203,$AK200)),TEXT(INDEX(파견수련계획!$AC$4:$AC$203,$AK200),"yyyy-mm-dd"),""))</f>
        <v/>
      </c>
    </row>
    <row r="201">
      <c r="A201" s="10">
        <f>IF(B201="","",ROW()-1)</f>
        <v/>
      </c>
      <c r="B201" s="18" t="n"/>
      <c r="C201" s="10">
        <f>IF($AB201="","",IF(INDEX(기본자료!$C$2:$C$501,$AB201)="","",INDEX(기본자료!$C$2:$C$501,$AB201)))</f>
        <v/>
      </c>
      <c r="D201" s="10">
        <f>IF($AB201="","",IF(INDEX(기본자료!$J$2:$J$501,$AB201)="","",INDEX(기본자료!$J$2:$J$501,$AB201)))</f>
        <v/>
      </c>
      <c r="E201" s="11">
        <f>IF($AB201="","",IF(INDEX(기본자료!$K$2:$K$501,$AB201)="","",IF(NOT(ISNUMBER(INDEX(기본자료!$K$2:$K$501,$AB201))),INDEX(기본자료!$K$2:$K$501,$AB201),IF(INDEX(기본자료!$K$2:$K$501,$AB201)&lt;1000000,INDEX(기본자료!$K$2:$K$501,$AB201),IF(AND(INDEX(기본자료!$K$2:$K$501,$AB201)&gt;=10000101,INT(MOD(INDEX(기본자료!$K$2:$K$501,$AB201),10000)/100)&gt;=1,INT(MOD(INDEX(기본자료!$K$2:$K$501,$AB201),10000)/100)&lt;=12,MOD(INDEX(기본자료!$K$2:$K$501,$AB201),100)&gt;=1,MOD(INDEX(기본자료!$K$2:$K$501,$AB201),100)&lt;=31),DATE(INT(INDEX(기본자료!$K$2:$K$501,$AB201)/10000),INT(MOD(INDEX(기본자료!$K$2:$K$501,$AB201),10000)/100),MOD(INDEX(기본자료!$K$2:$K$501,$AB201),100)),INDEX(기본자료!$K$2:$K$501,$AB201)&amp;"")))))</f>
        <v/>
      </c>
      <c r="F201" s="10">
        <f>IF($AB201="","",IF(INDEX(기본자료!$D$2:$D$501,$AB201)="","",INDEX(기본자료!$D$2:$D$501,$AB201)))</f>
        <v/>
      </c>
      <c r="G201" s="10">
        <f>IF($AB201="","",IF(INDEX(기본자료!$E$2:$E$501,$AB201)="","",INDEX(기본자료!$E$2:$E$501,$AB201)))</f>
        <v/>
      </c>
      <c r="H201" s="10">
        <f>IF($AB201="","",IF(INDEX(기본자료!$F$2:$F$501,$AB201)="","",INDEX(기본자료!$F$2:$F$501,$AB201)))</f>
        <v/>
      </c>
      <c r="I201" s="11">
        <f>IF($AB201="","",IF(INDEX(기본자료!$G$2:$G$501,$AB201)="","",IF(NOT(ISNUMBER(INDEX(기본자료!$G$2:$G$501,$AB201))),INDEX(기본자료!$G$2:$G$501,$AB201),IF(INDEX(기본자료!$G$2:$G$501,$AB201)&lt;1000000,INDEX(기본자료!$G$2:$G$501,$AB201),IF(AND(INDEX(기본자료!$G$2:$G$501,$AB201)&gt;=10000101,INT(MOD(INDEX(기본자료!$G$2:$G$501,$AB201),10000)/100)&gt;=1,INT(MOD(INDEX(기본자료!$G$2:$G$501,$AB201),10000)/100)&lt;=12,MOD(INDEX(기본자료!$G$2:$G$501,$AB201),100)&gt;=1,MOD(INDEX(기본자료!$G$2:$G$501,$AB201),100)&lt;=31),DATE(INT(INDEX(기본자료!$G$2:$G$501,$AB201)/10000),INT(MOD(INDEX(기본자료!$G$2:$G$501,$AB201),10000)/100),MOD(INDEX(기본자료!$G$2:$G$501,$AB201),100)),INDEX(기본자료!$G$2:$G$501,$AB201)&amp;"")))))</f>
        <v/>
      </c>
      <c r="J201" s="10">
        <f>IF($AB201="","",IF(INDEX(기본자료!$H$2:$H$501,$AB201)="","",INDEX(기본자료!$H$2:$H$501,$AB201)))</f>
        <v/>
      </c>
      <c r="K201" s="10">
        <f>IF($AB201="","",IF(INDEX(기본자료!$I$2:$I$501,$AB201)="","",INDEX(기본자료!$I$2:$I$501,$AB201)))</f>
        <v/>
      </c>
      <c r="L201" s="10">
        <f>IF($AB201="","",IF(INDEX(기본자료!$A$2:$A$501,$AB201)="","",INDEX(기본자료!$A$2:$A$501,$AB201)))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파견수련계획!$AB$4:$AB$203,$AK201),OR(NOT(ISNUMBER(INDEX(파견수련계획!$AC$4:$AC$203,$AK201))),TODAY()&lt;=INDEX(파견수련계획!$AC$4:$AC$203,$AK201))),"다기관",IF($AF201="","",INDEX(파견수련계획!$T$4:$T$203,$AF201))),IF($AF201="","",INDEX(파견수련계획!$T$4:$T$203,$AF201))))</f>
        <v/>
      </c>
      <c r="Q201" s="10">
        <f>IF($AF201="","",INDEX(파견수련계획!$S$4:$S$203,$AF201))</f>
        <v/>
      </c>
      <c r="R201" s="10">
        <f>IF($AF201="","",INDEX(파견수련계획!$U$4:$U$203,$AF201))</f>
        <v/>
      </c>
      <c r="S201" s="11">
        <f>IF($AF201="","",IF(INDEX(파견수련계획!$H$4:$H$203,$AF201)="","",INDEX(파견수련계획!$H$4:$H$203,$AF201)))</f>
        <v/>
      </c>
      <c r="T201" s="11">
        <f>IF($AF201="","",IF(INDEX(파견수련계획!$I$4:$I$203,$AF201)="","",INDEX(파견수련계획!$I$4:$I$203,$AF201)))</f>
        <v/>
      </c>
      <c r="U201" s="10">
        <f>IF($AF201="","",INDEX(파견수련계획!$X$4:$X$203,$AF201))</f>
        <v/>
      </c>
      <c r="V201" s="17">
        <f>IF($AF201="","",INDEX(파견수련계획!$V$4:$V$203,$AF201))</f>
        <v/>
      </c>
      <c r="W201" s="17">
        <f>IF(AND($U201="파견중",$T201&lt;&gt;""),$T201-TODAY(),"")</f>
        <v/>
      </c>
      <c r="X201" s="17">
        <f>IF(OR($B201="",TRIM($J201&amp;"")=""),"",SUMPRODUCT((파견수련계획!$Q$4:$Q$203=TRIM($J201&amp;""))*파견수련계획!$W$4:$W$203))</f>
        <v/>
      </c>
      <c r="Y201" s="10">
        <f>IF($B201="","",IF($AG201="","",IF(IF(TRIM($J201&amp;"")="",0,SUMPRODUCT((파견수련계획!$Q$4:$Q$203=TRIM($J201&amp;""))*파견수련계획!$AD$4:$AD$203))&gt;0,$AE201,IF(N($X201)&lt;=0,$AG201,IF($AH201+$AI201=DAY(EOMONTH(요약!$B$3,0)),IF(AND($AH201&gt;=요약!$E$3,$AI201&lt;요약!$E$3),"서울병원",IF(AND($AI201&gt;=요약!$E$3,$AH201&lt;요약!$E$3),"구리병원","⚠15일 판정불가(서울 "&amp;$AH201&amp;"일/구리 "&amp;$AI201&amp;"일)")),IF($AJ201="",$AE201,IF(INDEX(파견수련계획!$T$4:$T$203,$AJ201)="통합수련",INDEX(파견수련계획!$S$4:$S$203,$AJ201),$AE201)))))))</f>
        <v/>
      </c>
      <c r="Z201" s="19">
        <f>IF($B201="","",IF($AB201="","기본자료에 없는 사번",IF(COUNTIF($B$2:$B$201,$B201)&gt;1,"중복 사번",IF($AE201="","소속(입사장소) 입력",IF(IF(TRIM($J201&amp;"")="",0,SUMPRODUCT((파견수련계획!$Q$4:$Q$203=TRIM($J201&amp;""))*(파견수련계획!$AA$4:$AA$203&lt;&gt;"")))&gt;0,"파견수련계획 입력오류 확인",IF(LEFT($Y201,1)="⚠","서울·구리 15일 판정 불가(양쪽 모두 이상/미만)",IF(IF($AC201="",0,N(INDEX(인턴근무계획!$T$3:$T$202,$AC201)))&gt;0,"인턴계획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IF($B201="","",IFERROR(MATCH($B201,기본자료!$B$2:$B$501,0),IFERROR(MATCH($B201&amp;"",기본자료!$B$2:$B$501,0),IFERROR(MATCH(VALUE($B201),기본자료!$B$2:$B$501,0),""))))</f>
        <v/>
      </c>
      <c r="AC201" s="10">
        <f>IF($B201="","",IFERROR(MATCH($B201,인턴근무계획!$D$3:$D$202,0),IFERROR(MATCH($B201&amp;"",인턴근무계획!$D$3:$D$202,0),IFERROR(MATCH(VALUE($B201),인턴근무계획!$D$3:$D$202,0),""))))</f>
        <v/>
      </c>
      <c r="AD201" s="10">
        <f>IF(OR($AC201="",인턴현황!$G$3=""),"",INDEX(인턴근무계획!$M$3:$R$202,$AC201,인턴현황!$G$3)&amp;"")</f>
        <v/>
      </c>
      <c r="AE201" s="10">
        <f>IF($B201="","",IF($M201&lt;&gt;"",$M201,IF($AF201&lt;&gt;"",IF(LEFT(INDEX(파견수련계획!$R$4:$R$203,$AF201),1)&lt;&gt;"⚠",INDEX(파견수련계획!$R$4:$R$203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파견수련계획!$Y$4:$Y$203,0),IFERROR(MATCH(TRIM($J201&amp;"")&amp;"|파견예정",파견수련계획!$Y$4:$Y$203,0),IFERROR(MATCH(TRIM($J201&amp;"")&amp;"|파견종료",파견수련계획!$Y$4:$Y$203,0),""))))</f>
        <v/>
      </c>
      <c r="AG201" s="10">
        <f>IF($B201="","",IF(AND(IF(OR($AC201="",인턴현황!$K$2=""),"",INDEX(인턴근무계획!$M$3:$R$202,$AC201,인턴현황!$K$2)&amp;"")&lt;&gt;"",LEFT(IF(OR($AC201="",인턴현황!$K$2=""),"",INDEX(인턴근무계획!$M$3:$R$202,$AC201,인턴현황!$K$2)&amp;""),1)&lt;&gt;"⚠"),LEFT(IF(OR($AC201="",인턴현황!$K$2=""),"",INDEX(인턴근무계획!$M$3:$R$202,$AC201,인턴현황!$K$2)&amp;""),FIND(" ",IF(OR($AC201="",인턴현황!$K$2=""),"",INDEX(인턴근무계획!$M$3:$R$202,$AC201,인턴현황!$K$2)&amp;""))-1),$AE201))</f>
        <v/>
      </c>
      <c r="AH201" s="17">
        <f>IF($B201="","",IF(TRIM($J201&amp;"")="",0,SUMPRODUCT((파견수련계획!$Q$4:$Q$203=TRIM($J201&amp;""))*(파견수련계획!$S$4:$S$203="서울병원")*파견수련계획!$W$4:$W$203))+IF($AG201="서울병원",MAX(0,DAY(EOMONTH(요약!$B$3,0))-N($X201)),0))</f>
        <v/>
      </c>
      <c r="AI201" s="17">
        <f>IF($B201="","",IF(TRIM($J201&amp;"")="",0,SUMPRODUCT((파견수련계획!$Q$4:$Q$203=TRIM($J201&amp;""))*(파견수련계획!$S$4:$S$203="구리병원")*파견수련계획!$W$4:$W$203))+IF($AG201="구리병원",MAX(0,DAY(EOMONTH(요약!$B$3,0))-N($X201)),0))</f>
        <v/>
      </c>
      <c r="AJ201" s="10">
        <f>IF(OR($B201="",TRIM($J201&amp;"")=""),"",IFERROR(MATCH(TRIM($J201&amp;"")&amp;"|월",파견수련계획!$Z$4:$Z$203,0),""))</f>
        <v/>
      </c>
      <c r="AK201" s="10">
        <f>IF(OR($B201="",TRIM($J201&amp;"")=""),"",IFERROR(MATCH(TRIM($J201&amp;"")&amp;"|다기관",파견수련계획!$AE$4:$AE$203,0),""))</f>
        <v/>
      </c>
      <c r="AL201" s="10">
        <f>IF($AK201="","","다기관 "&amp;TEXT(INDEX(파견수련계획!$AB$4:$AB$203,$AK201),"yyyy-mm-dd")&amp;"~"&amp;IF(ISNUMBER(INDEX(파견수련계획!$AC$4:$AC$203,$AK201)),TEXT(INDEX(파견수련계획!$AC$4:$AC$203,$AK201),"yyyy-mm-dd"),""))</f>
        <v/>
      </c>
    </row>
  </sheetData>
  <conditionalFormatting sqref="B2:B201">
    <cfRule type="expression" priority="1" dxfId="3">
      <formula>AND($B2&lt;&gt;"",$AB2="")</formula>
    </cfRule>
    <cfRule type="expression" priority="2" dxfId="4">
      <formula>AND($B2&lt;&gt;"",COUNTIF($B$2:$B$201,$B2)&gt;1)</formula>
    </cfRule>
  </conditionalFormatting>
  <conditionalFormatting sqref="E2:E201">
    <cfRule type="expression" priority="3" dxfId="5">
      <formula>ISTEXT($E2)</formula>
    </cfRule>
  </conditionalFormatting>
  <conditionalFormatting sqref="I2:I201">
    <cfRule type="expression" priority="4" dxfId="5">
      <formula>ISTEXT($I2)</formula>
    </cfRule>
  </conditionalFormatting>
  <conditionalFormatting sqref="Z2:Z201">
    <cfRule type="expression" priority="5" dxfId="6">
      <formula>AND($Z2&lt;&gt;"",$Z2&lt;&gt;"정상")</formula>
    </cfRule>
  </conditionalFormatting>
  <conditionalFormatting sqref="U2:W201">
    <cfRule type="expression" priority="6" dxfId="7">
      <formula>$U2="파견종료"</formula>
    </cfRule>
  </conditionalFormatting>
  <conditionalFormatting sqref="A2:T201">
    <cfRule type="expression" priority="7" dxfId="8">
      <formula>AND($U2="파견중",$W2&lt;&gt;"",$W2&lt;=요약!$E$2)</formula>
    </cfRule>
  </conditionalFormatting>
  <conditionalFormatting sqref="U2:U2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2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2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COUNTIF(전공의명단!$U$2:$U$201,A5)</f>
        <v/>
      </c>
      <c r="D5" s="23">
        <f>IF(코드표!A2="","",코드표!A2)</f>
        <v/>
      </c>
      <c r="E5" s="23">
        <f>IF(D5="","",COUNTIF(전공의명단!$N$2:$N$201,D5))</f>
        <v/>
      </c>
      <c r="F5" s="23">
        <f>IF(D5="","",COUNTIF(전공의명단!$Y$2:$Y$201,D5))</f>
        <v/>
      </c>
      <c r="G5" s="23">
        <f>IF(D5="","",COUNTIFS(전공의명단!$Q$2:$Q$201,D5,전공의명단!$U$2:$U$201,"파견중"))</f>
        <v/>
      </c>
      <c r="I5" s="23">
        <f>IF(코드표!B2="","",코드표!B2)</f>
        <v/>
      </c>
      <c r="J5" s="23">
        <f>IF(I5="","",COUNTIF(전공의명단!$O$2:$O$201,I5))</f>
        <v/>
      </c>
    </row>
    <row r="6">
      <c r="A6" s="23" t="inlineStr">
        <is>
          <t>파견예정</t>
        </is>
      </c>
      <c r="B6" s="23">
        <f>COUNTIF(전공의명단!$U$2:$U$201,A6)</f>
        <v/>
      </c>
      <c r="D6" s="23">
        <f>IF(코드표!A3="","",코드표!A3)</f>
        <v/>
      </c>
      <c r="E6" s="23">
        <f>IF(D6="","",COUNTIF(전공의명단!$N$2:$N$201,D6))</f>
        <v/>
      </c>
      <c r="F6" s="23">
        <f>IF(D6="","",COUNTIF(전공의명단!$Y$2:$Y$201,D6))</f>
        <v/>
      </c>
      <c r="G6" s="23">
        <f>IF(D6="","",COUNTIFS(전공의명단!$Q$2:$Q$201,D6,전공의명단!$U$2:$U$201,"파견중"))</f>
        <v/>
      </c>
      <c r="I6" s="23">
        <f>IF(코드표!B3="","",코드표!B3)</f>
        <v/>
      </c>
      <c r="J6" s="23">
        <f>IF(I6="","",COUNTIF(전공의명단!$O$2:$O$201,I6))</f>
        <v/>
      </c>
    </row>
    <row r="7">
      <c r="A7" s="23" t="inlineStr">
        <is>
          <t>파견종료</t>
        </is>
      </c>
      <c r="B7" s="23">
        <f>COUNTIF(전공의명단!$U$2:$U$201,A7)</f>
        <v/>
      </c>
      <c r="D7" s="23">
        <f>IF(코드표!A4="","",코드표!A4)</f>
        <v/>
      </c>
      <c r="E7" s="23">
        <f>IF(D7="","",COUNTIF(전공의명단!$N$2:$N$201,D7))</f>
        <v/>
      </c>
      <c r="F7" s="23">
        <f>IF(D7="","",COUNTIF(전공의명단!$Y$2:$Y$201,D7))</f>
        <v/>
      </c>
      <c r="G7" s="23">
        <f>IF(D7="","",COUNTIFS(전공의명단!$Q$2:$Q$201,D7,전공의명단!$U$2:$U$201,"파견중"))</f>
        <v/>
      </c>
      <c r="I7" s="23">
        <f>IF(코드표!B4="","",코드표!B4)</f>
        <v/>
      </c>
      <c r="J7" s="23">
        <f>IF(I7="","",COUNTIF(전공의명단!$O$2:$O$201,I7))</f>
        <v/>
      </c>
    </row>
    <row r="8">
      <c r="A8" s="24" t="inlineStr">
        <is>
          <t>명단 등록 인원</t>
        </is>
      </c>
      <c r="B8" s="24">
        <f>COUNTA(전공의명단!$B$2:$B$201)</f>
        <v/>
      </c>
      <c r="D8" s="23">
        <f>IF(코드표!A5="","",코드표!A5)</f>
        <v/>
      </c>
      <c r="E8" s="23">
        <f>IF(D8="","",COUNTIF(전공의명단!$N$2:$N$201,D8))</f>
        <v/>
      </c>
      <c r="F8" s="23">
        <f>IF(D8="","",COUNTIF(전공의명단!$Y$2:$Y$201,D8))</f>
        <v/>
      </c>
      <c r="G8" s="23">
        <f>IF(D8="","",COUNTIFS(전공의명단!$Q$2:$Q$201,D8,전공의명단!$U$2:$U$201,"파견중"))</f>
        <v/>
      </c>
      <c r="I8" s="23">
        <f>IF(코드표!B5="","",코드표!B5)</f>
        <v/>
      </c>
      <c r="J8" s="23">
        <f>IF(I8="","",COUNTIF(전공의명단!$O$2:$O$201,I8))</f>
        <v/>
      </c>
    </row>
    <row r="9">
      <c r="A9" s="23" t="inlineStr">
        <is>
          <t>종료 임박(파견중)</t>
        </is>
      </c>
      <c r="B9" s="23">
        <f>COUNTIFS(전공의명단!$U$2:$U$201,"파견중",전공의명단!$W$2:$W$201,"&lt;="&amp;$E$2)</f>
        <v/>
      </c>
      <c r="D9" s="23">
        <f>IF(코드표!A6="","",코드표!A6)</f>
        <v/>
      </c>
      <c r="E9" s="23">
        <f>IF(D9="","",COUNTIF(전공의명단!$N$2:$N$201,D9))</f>
        <v/>
      </c>
      <c r="F9" s="23">
        <f>IF(D9="","",COUNTIF(전공의명단!$Y$2:$Y$201,D9))</f>
        <v/>
      </c>
      <c r="G9" s="23">
        <f>IF(D9="","",COUNTIFS(전공의명단!$Q$2:$Q$201,D9,전공의명단!$U$2:$U$201,"파견중"))</f>
        <v/>
      </c>
      <c r="I9" s="23">
        <f>IF(코드표!B6="","",코드표!B6)</f>
        <v/>
      </c>
      <c r="J9" s="23">
        <f>IF(I9="","",COUNTIF(전공의명단!$O$2:$O$201,I9))</f>
        <v/>
      </c>
    </row>
    <row r="10">
      <c r="D10" s="23">
        <f>IF(코드표!A7="","",코드표!A7)</f>
        <v/>
      </c>
      <c r="E10" s="23">
        <f>IF(D10="","",COUNTIF(전공의명단!$N$2:$N$201,D10))</f>
        <v/>
      </c>
      <c r="F10" s="23">
        <f>IF(D10="","",COUNTIF(전공의명단!$Y$2:$Y$201,D10))</f>
        <v/>
      </c>
      <c r="G10" s="23">
        <f>IF(D10="","",COUNTIFS(전공의명단!$Q$2:$Q$201,D10,전공의명단!$U$2:$U$201,"파견중"))</f>
        <v/>
      </c>
      <c r="I10" s="23">
        <f>IF(코드표!B7="","",코드표!B7)</f>
        <v/>
      </c>
      <c r="J10" s="23">
        <f>IF(I10="","",COUNTIF(전공의명단!$O$2:$O$201,I10))</f>
        <v/>
      </c>
    </row>
    <row r="11">
      <c r="D11" s="23">
        <f>IF(코드표!A8="","",코드표!A8)</f>
        <v/>
      </c>
      <c r="E11" s="23">
        <f>IF(D11="","",COUNTIF(전공의명단!$N$2:$N$201,D11))</f>
        <v/>
      </c>
      <c r="F11" s="23">
        <f>IF(D11="","",COUNTIF(전공의명단!$Y$2:$Y$201,D11))</f>
        <v/>
      </c>
      <c r="G11" s="23">
        <f>IF(D11="","",COUNTIFS(전공의명단!$Q$2:$Q$201,D11,전공의명단!$U$2:$U$201,"파견중"))</f>
        <v/>
      </c>
      <c r="I11" s="23">
        <f>IF(코드표!B8="","",코드표!B8)</f>
        <v/>
      </c>
      <c r="J11" s="23">
        <f>IF(I11="","",COUNTIF(전공의명단!$O$2:$O$201,I11))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IF(D12="","",COUNTIF(전공의명단!$N$2:$N$201,D12))</f>
        <v/>
      </c>
      <c r="F12" s="23">
        <f>IF(D12="","",COUNTIF(전공의명단!$Y$2:$Y$201,D12))</f>
        <v/>
      </c>
      <c r="G12" s="23">
        <f>IF(D12="","",COUNTIFS(전공의명단!$Q$2:$Q$201,D12,전공의명단!$U$2:$U$201,"파견중"))</f>
        <v/>
      </c>
      <c r="I12" s="23">
        <f>IF(코드표!B9="","",코드표!B9)</f>
        <v/>
      </c>
      <c r="J12" s="23">
        <f>IF(I12="","",COUNTIF(전공의명단!$O$2:$O$201,I12))</f>
        <v/>
      </c>
    </row>
    <row r="13">
      <c r="A13" s="23">
        <f>IF(코드표!C2="","",코드표!C2)</f>
        <v/>
      </c>
      <c r="B13" s="23">
        <f>IF(A13="","",COUNTIF(전공의명단!$P$2:$P$201,A13))</f>
        <v/>
      </c>
      <c r="D13" s="23">
        <f>IF(코드표!A10="","",코드표!A10)</f>
        <v/>
      </c>
      <c r="E13" s="23">
        <f>IF(D13="","",COUNTIF(전공의명단!$N$2:$N$201,D13))</f>
        <v/>
      </c>
      <c r="F13" s="23">
        <f>IF(D13="","",COUNTIF(전공의명단!$Y$2:$Y$201,D13))</f>
        <v/>
      </c>
      <c r="G13" s="23">
        <f>IF(D13="","",COUNTIFS(전공의명단!$Q$2:$Q$201,D13,전공의명단!$U$2:$U$201,"파견중"))</f>
        <v/>
      </c>
      <c r="I13" s="23">
        <f>IF(코드표!B10="","",코드표!B10)</f>
        <v/>
      </c>
      <c r="J13" s="23">
        <f>IF(I13="","",COUNTIF(전공의명단!$O$2:$O$201,I13))</f>
        <v/>
      </c>
    </row>
    <row r="14">
      <c r="A14" s="23">
        <f>IF(코드표!C3="","",코드표!C3)</f>
        <v/>
      </c>
      <c r="B14" s="23">
        <f>IF(A14="","",COUNTIF(전공의명단!$P$2:$P$201,A14))</f>
        <v/>
      </c>
      <c r="D14" s="23">
        <f>IF(코드표!A11="","",코드표!A11)</f>
        <v/>
      </c>
      <c r="E14" s="23">
        <f>IF(D14="","",COUNTIF(전공의명단!$N$2:$N$201,D14))</f>
        <v/>
      </c>
      <c r="F14" s="23">
        <f>IF(D14="","",COUNTIF(전공의명단!$Y$2:$Y$201,D14))</f>
        <v/>
      </c>
      <c r="G14" s="23">
        <f>IF(D14="","",COUNTIFS(전공의명단!$Q$2:$Q$201,D14,전공의명단!$U$2:$U$201,"파견중"))</f>
        <v/>
      </c>
      <c r="I14" s="23">
        <f>IF(코드표!B11="","",코드표!B11)</f>
        <v/>
      </c>
      <c r="J14" s="23">
        <f>IF(I14="","",COUNTIF(전공의명단!$O$2:$O$201,I14))</f>
        <v/>
      </c>
    </row>
    <row r="15">
      <c r="A15" s="23">
        <f>IF(코드표!C4="","",코드표!C4)</f>
        <v/>
      </c>
      <c r="B15" s="23">
        <f>IF(A15="","",COUNTIF(전공의명단!$P$2:$P$201,A15))</f>
        <v/>
      </c>
      <c r="D15" s="23">
        <f>IF(코드표!A12="","",코드표!A12)</f>
        <v/>
      </c>
      <c r="E15" s="23">
        <f>IF(D15="","",COUNTIF(전공의명단!$N$2:$N$201,D15))</f>
        <v/>
      </c>
      <c r="F15" s="23">
        <f>IF(D15="","",COUNTIF(전공의명단!$Y$2:$Y$201,D15))</f>
        <v/>
      </c>
      <c r="G15" s="23">
        <f>IF(D15="","",COUNTIFS(전공의명단!$Q$2:$Q$201,D15,전공의명단!$U$2:$U$201,"파견중"))</f>
        <v/>
      </c>
      <c r="I15" s="23">
        <f>IF(코드표!B12="","",코드표!B12)</f>
        <v/>
      </c>
      <c r="J15" s="23">
        <f>IF(I15="","",COUNTIF(전공의명단!$O$2:$O$201,I15))</f>
        <v/>
      </c>
    </row>
    <row r="16">
      <c r="A16" s="23">
        <f>IF(코드표!C5="","",코드표!C5)</f>
        <v/>
      </c>
      <c r="B16" s="23">
        <f>IF(A16="","",COUNTIF(전공의명단!$P$2:$P$201,A16))</f>
        <v/>
      </c>
      <c r="D16" s="23">
        <f>IF(코드표!A13="","",코드표!A13)</f>
        <v/>
      </c>
      <c r="E16" s="23">
        <f>IF(D16="","",COUNTIF(전공의명단!$N$2:$N$201,D16))</f>
        <v/>
      </c>
      <c r="F16" s="23">
        <f>IF(D16="","",COUNTIF(전공의명단!$Y$2:$Y$201,D16))</f>
        <v/>
      </c>
      <c r="G16" s="23">
        <f>IF(D16="","",COUNTIFS(전공의명단!$Q$2:$Q$201,D16,전공의명단!$U$2:$U$201,"파견중"))</f>
        <v/>
      </c>
      <c r="I16" s="23">
        <f>IF(코드표!B13="","",코드표!B13)</f>
        <v/>
      </c>
      <c r="J16" s="23">
        <f>IF(I16="","",COUNTIF(전공의명단!$O$2:$O$201,I16))</f>
        <v/>
      </c>
    </row>
    <row r="17">
      <c r="A17" s="23">
        <f>IF(코드표!C6="","",코드표!C6)</f>
        <v/>
      </c>
      <c r="B17" s="23">
        <f>IF(A17="","",COUNTIF(전공의명단!$P$2:$P$201,A17))</f>
        <v/>
      </c>
      <c r="D17" s="23">
        <f>IF(코드표!A14="","",코드표!A14)</f>
        <v/>
      </c>
      <c r="E17" s="23">
        <f>IF(D17="","",COUNTIF(전공의명단!$N$2:$N$201,D17))</f>
        <v/>
      </c>
      <c r="F17" s="23">
        <f>IF(D17="","",COUNTIF(전공의명단!$Y$2:$Y$201,D17))</f>
        <v/>
      </c>
      <c r="G17" s="23">
        <f>IF(D17="","",COUNTIFS(전공의명단!$Q$2:$Q$201,D17,전공의명단!$U$2:$U$201,"파견중"))</f>
        <v/>
      </c>
      <c r="I17" s="23">
        <f>IF(코드표!B14="","",코드표!B14)</f>
        <v/>
      </c>
      <c r="J17" s="23">
        <f>IF(I17="","",COUNTIF(전공의명단!$O$2:$O$201,I17))</f>
        <v/>
      </c>
    </row>
    <row r="18">
      <c r="A18" s="23">
        <f>IF(코드표!C7="","",코드표!C7)</f>
        <v/>
      </c>
      <c r="B18" s="23">
        <f>IF(A18="","",COUNTIF(전공의명단!$P$2:$P$201,A18))</f>
        <v/>
      </c>
      <c r="D18" s="23">
        <f>IF(코드표!A15="","",코드표!A15)</f>
        <v/>
      </c>
      <c r="E18" s="23">
        <f>IF(D18="","",COUNTIF(전공의명단!$N$2:$N$201,D18))</f>
        <v/>
      </c>
      <c r="F18" s="23">
        <f>IF(D18="","",COUNTIF(전공의명단!$Y$2:$Y$201,D18))</f>
        <v/>
      </c>
      <c r="G18" s="23">
        <f>IF(D18="","",COUNTIFS(전공의명단!$Q$2:$Q$201,D18,전공의명단!$U$2:$U$201,"파견중"))</f>
        <v/>
      </c>
      <c r="I18" s="23">
        <f>IF(코드표!B15="","",코드표!B15)</f>
        <v/>
      </c>
      <c r="J18" s="23">
        <f>IF(I18="","",COUNTIF(전공의명단!$O$2:$O$201,I18))</f>
        <v/>
      </c>
    </row>
    <row r="19">
      <c r="A19" s="23">
        <f>IF(코드표!C8="","",코드표!C8)</f>
        <v/>
      </c>
      <c r="B19" s="23">
        <f>IF(A19="","",COUNTIF(전공의명단!$P$2:$P$201,A19))</f>
        <v/>
      </c>
      <c r="D19" s="23">
        <f>IF(코드표!A16="","",코드표!A16)</f>
        <v/>
      </c>
      <c r="E19" s="23">
        <f>IF(D19="","",COUNTIF(전공의명단!$N$2:$N$201,D19))</f>
        <v/>
      </c>
      <c r="F19" s="23">
        <f>IF(D19="","",COUNTIF(전공의명단!$Y$2:$Y$201,D19))</f>
        <v/>
      </c>
      <c r="G19" s="23">
        <f>IF(D19="","",COUNTIFS(전공의명단!$Q$2:$Q$201,D19,전공의명단!$U$2:$U$201,"파견중"))</f>
        <v/>
      </c>
      <c r="I19" s="23">
        <f>IF(코드표!B16="","",코드표!B16)</f>
        <v/>
      </c>
      <c r="J19" s="23">
        <f>IF(I19="","",COUNTIF(전공의명단!$O$2:$O$201,I19))</f>
        <v/>
      </c>
    </row>
    <row r="20">
      <c r="A20" s="23">
        <f>IF(코드표!C9="","",코드표!C9)</f>
        <v/>
      </c>
      <c r="B20" s="23">
        <f>IF(A20="","",COUNTIF(전공의명단!$P$2:$P$201,A20))</f>
        <v/>
      </c>
      <c r="D20" s="23">
        <f>IF(코드표!A17="","",코드표!A17)</f>
        <v/>
      </c>
      <c r="E20" s="23">
        <f>IF(D20="","",COUNTIF(전공의명단!$N$2:$N$201,D20))</f>
        <v/>
      </c>
      <c r="F20" s="23">
        <f>IF(D20="","",COUNTIF(전공의명단!$Y$2:$Y$201,D20))</f>
        <v/>
      </c>
      <c r="G20" s="23">
        <f>IF(D20="","",COUNTIFS(전공의명단!$Q$2:$Q$201,D20,전공의명단!$U$2:$U$201,"파견중"))</f>
        <v/>
      </c>
      <c r="I20" s="23">
        <f>IF(코드표!B17="","",코드표!B17)</f>
        <v/>
      </c>
      <c r="J20" s="23">
        <f>IF(I20="","",COUNTIF(전공의명단!$O$2:$O$201,I20))</f>
        <v/>
      </c>
    </row>
    <row r="21">
      <c r="D21" s="23">
        <f>IF(코드표!A18="","",코드표!A18)</f>
        <v/>
      </c>
      <c r="E21" s="23">
        <f>IF(D21="","",COUNTIF(전공의명단!$N$2:$N$201,D21))</f>
        <v/>
      </c>
      <c r="F21" s="23">
        <f>IF(D21="","",COUNTIF(전공의명단!$Y$2:$Y$201,D21))</f>
        <v/>
      </c>
      <c r="G21" s="23">
        <f>IF(D21="","",COUNTIFS(전공의명단!$Q$2:$Q$201,D21,전공의명단!$U$2:$U$201,"파견중"))</f>
        <v/>
      </c>
      <c r="I21" s="23">
        <f>IF(코드표!B18="","",코드표!B18)</f>
        <v/>
      </c>
      <c r="J21" s="23">
        <f>IF(I21="","",COUNTIF(전공의명단!$O$2:$O$201,I21))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IF(D22="","",COUNTIF(전공의명단!$N$2:$N$201,D22))</f>
        <v/>
      </c>
      <c r="F22" s="23">
        <f>IF(D22="","",COUNTIF(전공의명단!$Y$2:$Y$201,D22))</f>
        <v/>
      </c>
      <c r="G22" s="23">
        <f>IF(D22="","",COUNTIFS(전공의명단!$Q$2:$Q$201,D22,전공의명단!$U$2:$U$201,"파견중"))</f>
        <v/>
      </c>
      <c r="I22" s="23">
        <f>IF(코드표!B19="","",코드표!B19)</f>
        <v/>
      </c>
      <c r="J22" s="23">
        <f>IF(I22="","",COUNTIF(전공의명단!$O$2:$O$201,I22))</f>
        <v/>
      </c>
    </row>
    <row r="23">
      <c r="A23" s="23" t="inlineStr">
        <is>
          <t>기본자료 인원</t>
        </is>
      </c>
      <c r="B23" s="23">
        <f>COUNTA(기본자료!$B$2:$B$501)</f>
        <v/>
      </c>
      <c r="D23" s="23">
        <f>IF(코드표!A20="","",코드표!A20)</f>
        <v/>
      </c>
      <c r="E23" s="23">
        <f>IF(D23="","",COUNTIF(전공의명단!$N$2:$N$201,D23))</f>
        <v/>
      </c>
      <c r="F23" s="23">
        <f>IF(D23="","",COUNTIF(전공의명단!$Y$2:$Y$201,D23))</f>
        <v/>
      </c>
      <c r="G23" s="23">
        <f>IF(D23="","",COUNTIFS(전공의명단!$Q$2:$Q$201,D23,전공의명단!$U$2:$U$201,"파견중"))</f>
        <v/>
      </c>
      <c r="I23" s="23">
        <f>IF(코드표!B20="","",코드표!B20)</f>
        <v/>
      </c>
      <c r="J23" s="23">
        <f>IF(I23="","",COUNTIF(전공의명단!$O$2:$O$201,I23))</f>
        <v/>
      </c>
    </row>
    <row r="24">
      <c r="A24" s="23" t="inlineStr">
        <is>
          <t>기본자료 재직 인원</t>
        </is>
      </c>
      <c r="B24" s="23">
        <f>COUNTIF(기본자료!$A$2:$A$501,"재직")</f>
        <v/>
      </c>
      <c r="D24" s="23">
        <f>IF(코드표!A21="","",코드표!A21)</f>
        <v/>
      </c>
      <c r="E24" s="23">
        <f>IF(D24="","",COUNTIF(전공의명단!$N$2:$N$201,D24))</f>
        <v/>
      </c>
      <c r="F24" s="23">
        <f>IF(D24="","",COUNTIF(전공의명단!$Y$2:$Y$201,D24))</f>
        <v/>
      </c>
      <c r="G24" s="23">
        <f>IF(D24="","",COUNTIFS(전공의명단!$Q$2:$Q$201,D24,전공의명단!$U$2:$U$201,"파견중"))</f>
        <v/>
      </c>
      <c r="I24" s="23">
        <f>IF(코드표!B21="","",코드표!B21)</f>
        <v/>
      </c>
      <c r="J24" s="23">
        <f>IF(I24="","",COUNTIF(전공의명단!$O$2:$O$201,I24))</f>
        <v/>
      </c>
    </row>
    <row r="25">
      <c r="A25" s="23" t="inlineStr">
        <is>
          <t>기본자료에 없는 사번</t>
        </is>
      </c>
      <c r="B25" s="23">
        <f>SUMPRODUCT((전공의명단!$B$2:$B$201&lt;&gt;"")*(전공의명단!$AB$2:$AB$201=""))</f>
        <v/>
      </c>
      <c r="I25" s="23">
        <f>IF(코드표!B22="","",코드표!B22)</f>
        <v/>
      </c>
      <c r="J25" s="23">
        <f>IF(I25="","",COUNTIF(전공의명단!$O$2:$O$201,I25))</f>
        <v/>
      </c>
    </row>
    <row r="26">
      <c r="A26" s="23" t="inlineStr">
        <is>
          <t>명단 중복 사번</t>
        </is>
      </c>
      <c r="B26" s="23">
        <f>SUMPRODUCT((전공의명단!$B$2:$B$201&lt;&gt;"")*(COUNTIF(전공의명단!$B$2:$B$201,전공의명단!$B$2:$B$201)&gt;1))</f>
        <v/>
      </c>
      <c r="I26" s="23">
        <f>IF(코드표!B23="","",코드표!B23)</f>
        <v/>
      </c>
      <c r="J26" s="23">
        <f>IF(I26="","",COUNTIF(전공의명단!$O$2:$O$201,I26))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SUMPRODUCT((전공의명단!$E$2:$E$201&lt;&gt;"")*1)-COUNT(전공의명단!$E$2:$E$201)+SUMPRODUCT((전공의명단!$I$2:$I$201&lt;&gt;"")*1)-COUNT(전공의명단!$I$2:$I$201)</f>
        <v/>
      </c>
      <c r="I27" s="23">
        <f>IF(코드표!B24="","",코드표!B24)</f>
        <v/>
      </c>
      <c r="J27" s="23">
        <f>IF(I27="","",COUNTIF(전공의명단!$O$2:$O$201,I27))</f>
        <v/>
      </c>
    </row>
    <row r="28">
      <c r="A28" s="23" t="inlineStr">
        <is>
          <t>인턴계획 입력 오류(병원/진료과)</t>
        </is>
      </c>
      <c r="B28" s="23">
        <f>SUM(인턴근무계획!$T$3:$T$202)</f>
        <v/>
      </c>
      <c r="I28" s="23">
        <f>IF(코드표!B25="","",코드표!B25)</f>
        <v/>
      </c>
      <c r="J28" s="23">
        <f>IF(I28="","",COUNTIF(전공의명단!$O$2:$O$201,I28))</f>
        <v/>
      </c>
    </row>
    <row r="29">
      <c r="A29" s="23" t="inlineStr">
        <is>
          <t>파견수련계획 입력 오류</t>
        </is>
      </c>
      <c r="B29" s="23">
        <f>SUMPRODUCT(--(LEN(파견수련계획!$AA$4:$AA$203)&gt;0))</f>
        <v/>
      </c>
      <c r="I29" s="23">
        <f>IF(코드표!B26="","",코드표!B26)</f>
        <v/>
      </c>
      <c r="J29" s="23">
        <f>IF(I29="","",COUNTIF(전공의명단!$O$2:$O$201,I29))</f>
        <v/>
      </c>
    </row>
    <row r="30">
      <c r="A30" s="23" t="inlineStr">
        <is>
          <t>명단에 없는 파견 기록(등록번호)</t>
        </is>
      </c>
      <c r="B30" s="23">
        <f>SUMPRODUCT((파견수련계획!$Q$4:$Q$203&lt;&gt;"")*ISNA(MATCH(파견수련계획!$Q$4:$Q$203,전공의명단!$J$2:$J$201,0)))</f>
        <v/>
      </c>
      <c r="I30" s="23">
        <f>IF(코드표!B27="","",코드표!B27)</f>
        <v/>
      </c>
      <c r="J30" s="23">
        <f>IF(I30="","",COUNTIF(전공의명단!$O$2:$O$201,I30))</f>
        <v/>
      </c>
    </row>
    <row r="31">
      <c r="A31" s="23" t="inlineStr">
        <is>
          <t>서울·구리 15일 판정 불가(양쪽 모두 이상/미만)</t>
        </is>
      </c>
      <c r="B31" s="23">
        <f>COUNTIF(전공의명단!$Y$2:$Y$201,"⚠*")</f>
        <v/>
      </c>
      <c r="I31" s="23">
        <f>IF(코드표!B28="","",코드표!B28)</f>
        <v/>
      </c>
      <c r="J31" s="23">
        <f>IF(I31="","",COUNTIF(전공의명단!$O$2:$O$201,I31))</f>
        <v/>
      </c>
    </row>
    <row r="32">
      <c r="A32" s="23" t="inlineStr">
        <is>
          <t>점검 필요 행(전공의명단 '점검' 열)</t>
        </is>
      </c>
      <c r="B32" s="23">
        <f>SUMPRODUCT((전공의명단!$B$2:$B$201&lt;&gt;"")*(전공의명단!$Z$2:$Z$201&lt;&gt;"정상"))</f>
        <v/>
      </c>
      <c r="I32" s="23">
        <f>IF(코드표!B29="","",코드표!B29)</f>
        <v/>
      </c>
      <c r="J32" s="23">
        <f>IF(I32="","",COUNTIF(전공의명단!$O$2:$O$201,I32))</f>
        <v/>
      </c>
    </row>
    <row r="33">
      <c r="I33" s="23">
        <f>IF(코드표!B30="","",코드표!B30)</f>
        <v/>
      </c>
      <c r="J33" s="23">
        <f>IF(I33="","",COUNTIF(전공의명단!$O$2:$O$201,I33))</f>
        <v/>
      </c>
    </row>
    <row r="34">
      <c r="I34" s="23">
        <f>IF(코드표!B31="","",코드표!B31)</f>
        <v/>
      </c>
      <c r="J34" s="23">
        <f>IF(I34="","",COUNTIF(전공의명단!$O$2:$O$201,I34))</f>
        <v/>
      </c>
    </row>
    <row r="35">
      <c r="I35" s="23">
        <f>IF(코드표!B32="","",코드표!B32)</f>
        <v/>
      </c>
      <c r="J35" s="23">
        <f>IF(I35="","",COUNTIF(전공의명단!$O$2:$O$201,I35))</f>
        <v/>
      </c>
    </row>
    <row r="36">
      <c r="I36" s="23">
        <f>IF(코드표!B33="","",코드표!B33)</f>
        <v/>
      </c>
      <c r="J36" s="23">
        <f>IF(I36="","",COUNTIF(전공의명단!$O$2:$O$201,I36))</f>
        <v/>
      </c>
    </row>
    <row r="37">
      <c r="I37" s="23">
        <f>IF(코드표!B34="","",코드표!B34)</f>
        <v/>
      </c>
      <c r="J37" s="23">
        <f>IF(I37="","",COUNTIF(전공의명단!$O$2:$O$201,I37))</f>
        <v/>
      </c>
    </row>
    <row r="38">
      <c r="I38" s="23">
        <f>IF(코드표!B35="","",코드표!B35)</f>
        <v/>
      </c>
      <c r="J38" s="23">
        <f>IF(I38="","",COUNTIF(전공의명단!$O$2:$O$201,I38))</f>
        <v/>
      </c>
    </row>
    <row r="39">
      <c r="I39" s="23">
        <f>IF(코드표!B36="","",코드표!B36)</f>
        <v/>
      </c>
      <c r="J39" s="23">
        <f>IF(I39="","",COUNTIF(전공의명단!$O$2:$O$201,I39))</f>
        <v/>
      </c>
    </row>
    <row r="40">
      <c r="I40" s="23">
        <f>IF(코드표!B37="","",코드표!B37)</f>
        <v/>
      </c>
      <c r="J40" s="23">
        <f>IF(I40="","",COUNTIF(전공의명단!$O$2:$O$201,I40))</f>
        <v/>
      </c>
    </row>
    <row r="41">
      <c r="I41" s="23">
        <f>IF(코드표!B38="","",코드표!B38)</f>
        <v/>
      </c>
      <c r="J41" s="23">
        <f>IF(I41="","",COUNTIF(전공의명단!$O$2:$O$201,I41))</f>
        <v/>
      </c>
    </row>
    <row r="42">
      <c r="I42" s="23">
        <f>IF(코드표!B39="","",코드표!B39)</f>
        <v/>
      </c>
      <c r="J42" s="23">
        <f>IF(I42="","",COUNTIF(전공의명단!$O$2:$O$201,I42))</f>
        <v/>
      </c>
    </row>
    <row r="43">
      <c r="I43" s="23">
        <f>IF(코드표!B40="","",코드표!B40)</f>
        <v/>
      </c>
      <c r="J43" s="23">
        <f>IF(I43="","",COUNTIF(전공의명단!$O$2:$O$201,I43))</f>
        <v/>
      </c>
    </row>
    <row r="44">
      <c r="I44" s="23">
        <f>IF(코드표!B41="","",코드표!B41)</f>
        <v/>
      </c>
      <c r="J44" s="23">
        <f>IF(I44="","",COUNTIF(전공의명단!$O$2:$O$201,I44))</f>
        <v/>
      </c>
    </row>
    <row r="45">
      <c r="I45" s="23">
        <f>IF(코드표!D2="","",코드표!D2&amp;" (인턴)")</f>
        <v/>
      </c>
      <c r="J45" s="23">
        <f>IF(코드표!D2="","",COUNTIF(전공의명단!$O$2:$O$201,코드표!D2))</f>
        <v/>
      </c>
    </row>
    <row r="46">
      <c r="I46" s="23">
        <f>IF(코드표!D3="","",코드표!D3&amp;" (인턴)")</f>
        <v/>
      </c>
      <c r="J46" s="23">
        <f>IF(코드표!D3="","",COUNTIF(전공의명단!$O$2:$O$201,코드표!D3))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IF($C6="","",INDEX(인턴근무계획!$B$3:$B$202,$A6))</f>
        <v/>
      </c>
      <c r="C6" s="23">
        <f>IFERROR(TRIM(INDEX(인턴근무계획!$C$3:$C$202,$A6)&amp;""),"")</f>
        <v/>
      </c>
      <c r="D6" s="23">
        <f>IF($C6="","",INDEX(인턴근무계획!$D$3:$D$202,$A6))</f>
        <v/>
      </c>
      <c r="E6" s="23">
        <f>IF($C6="","",IF(IFERROR(MATCH($D6,기본자료!$B$2:$B$501,0),IFERROR(MATCH($D6&amp;"",기본자료!$B$2:$B$501,0),IFERROR(MATCH(VALUE($D6),기본자료!$B$2:$B$501,0),0)))&gt;0,"확인","미등록"))</f>
        <v/>
      </c>
      <c r="F6" s="27">
        <f>IF($C6="","",INDEX(인턴근무계획!$S$3:$S$202,$A6))</f>
        <v/>
      </c>
      <c r="G6" s="23">
        <f>IF(OR($C6="",$G$3=""),"",IF(INDEX(인턴근무계획!$M$3:$R$202,$A6,$G$3)&amp;""="","",IF(LEFT(INDEX(인턴근무계획!$M$3:$R$202,$A6,$G$3)&amp;"",1)="⚠",INDEX(인턴근무계획!$M$3:$R$202,$A6,$G$3)&amp;"",LEFT(INDEX(인턴근무계획!$M$3:$R$202,$A6,$G$3)&amp;"",FIND(" ",INDEX(인턴근무계획!$M$3:$R$202,$A6,$G$3)&amp;"")-1))))</f>
        <v/>
      </c>
      <c r="H6" s="23">
        <f>IF(OR($C6="",$G$3=""),"",IF(INDEX(인턴근무계획!$M$3:$R$202,$A6,$G$3)&amp;""="","",IF(LEFT(INDEX(인턴근무계획!$M$3:$R$202,$A6,$G$3)&amp;"",1)="⚠","",MID(INDEX(인턴근무계획!$M$3:$R$202,$A6,$G$3)&amp;"",FIND(" ",INDEX(인턴근무계획!$M$3:$R$202,$A6,$G$3)&amp;"")+1,60))))</f>
        <v/>
      </c>
      <c r="I6" s="23">
        <f>IF(OR($C6="",$I$3=""),"",IF(INDEX(인턴근무계획!$M$3:$R$202,$A6,$I$3)&amp;""="","",IF(LEFT(INDEX(인턴근무계획!$M$3:$R$202,$A6,$I$3)&amp;"",1)="⚠",INDEX(인턴근무계획!$M$3:$R$202,$A6,$I$3)&amp;"",LEFT(INDEX(인턴근무계획!$M$3:$R$202,$A6,$I$3)&amp;"",FIND(" ",INDEX(인턴근무계획!$M$3:$R$202,$A6,$I$3)&amp;"")-1))))</f>
        <v/>
      </c>
      <c r="J6" s="23">
        <f>IF(OR($C6="",$I$3=""),"",IF(INDEX(인턴근무계획!$M$3:$R$202,$A6,$I$3)&amp;""="","",IF(LEFT(INDEX(인턴근무계획!$M$3:$R$202,$A6,$I$3)&amp;"",1)="⚠","",MID(INDEX(인턴근무계획!$M$3:$R$202,$A6,$I$3)&amp;"",FIND(" ",INDEX(인턴근무계획!$M$3:$R$202,$A6,$I$3)&amp;"")+1,60))))</f>
        <v/>
      </c>
      <c r="K6" s="23">
        <f>IF($C6="","",INDEX(인턴근무계획!$M$3:$M$202,$A6)&amp;"")</f>
        <v/>
      </c>
      <c r="L6" s="23">
        <f>IF($C6="","",INDEX(인턴근무계획!$N$3:$N$202,$A6)&amp;"")</f>
        <v/>
      </c>
      <c r="M6" s="23">
        <f>IF($C6="","",INDEX(인턴근무계획!$O$3:$O$202,$A6)&amp;"")</f>
        <v/>
      </c>
      <c r="N6" s="23">
        <f>IF($C6="","",INDEX(인턴근무계획!$P$3:$P$202,$A6)&amp;"")</f>
        <v/>
      </c>
      <c r="O6" s="23">
        <f>IF($C6="","",INDEX(인턴근무계획!$Q$3:$Q$202,$A6)&amp;"")</f>
        <v/>
      </c>
      <c r="P6" s="23">
        <f>IF($C6="","",INDEX(인턴근무계획!$R$3:$R$202,$A6)&amp;"")</f>
        <v/>
      </c>
      <c r="Q6" s="23">
        <f>IF($C6="","",INDEX(인턴근무계획!$T$3:$T$202,$A6))</f>
        <v/>
      </c>
      <c r="S6" s="23">
        <f>IF(코드표!A2="","",코드표!A2)</f>
        <v/>
      </c>
      <c r="T6" s="23">
        <f>IF($S6="","",COUNTIF(K$6:K$205,$S6&amp;" *"))</f>
        <v/>
      </c>
      <c r="U6" s="23">
        <f>IF($S6="","",COUNTIF(L$6:L$205,$S6&amp;" *"))</f>
        <v/>
      </c>
      <c r="V6" s="23">
        <f>IF($S6="","",COUNTIF(M$6:M$205,$S6&amp;" *"))</f>
        <v/>
      </c>
      <c r="W6" s="23">
        <f>IF($S6="","",COUNTIF(N$6:N$205,$S6&amp;" *"))</f>
        <v/>
      </c>
      <c r="X6" s="23">
        <f>IF($S6="","",COUNTIF(O$6:O$205,$S6&amp;" *"))</f>
        <v/>
      </c>
      <c r="Y6" s="23">
        <f>IF($S6="","",COUNTIF(P$6:P$205,$S6&amp;" *"))</f>
        <v/>
      </c>
    </row>
    <row r="7">
      <c r="A7" s="26" t="n">
        <v>2</v>
      </c>
      <c r="B7" s="23">
        <f>IF($C7="","",INDEX(인턴근무계획!$B$3:$B$202,$A7))</f>
        <v/>
      </c>
      <c r="C7" s="23">
        <f>IFERROR(TRIM(INDEX(인턴근무계획!$C$3:$C$202,$A7)&amp;""),"")</f>
        <v/>
      </c>
      <c r="D7" s="23">
        <f>IF($C7="","",INDEX(인턴근무계획!$D$3:$D$202,$A7))</f>
        <v/>
      </c>
      <c r="E7" s="23">
        <f>IF($C7="","",IF(IFERROR(MATCH($D7,기본자료!$B$2:$B$501,0),IFERROR(MATCH($D7&amp;"",기본자료!$B$2:$B$501,0),IFERROR(MATCH(VALUE($D7),기본자료!$B$2:$B$501,0),0)))&gt;0,"확인","미등록"))</f>
        <v/>
      </c>
      <c r="F7" s="27">
        <f>IF($C7="","",INDEX(인턴근무계획!$S$3:$S$202,$A7))</f>
        <v/>
      </c>
      <c r="G7" s="23">
        <f>IF(OR($C7="",$G$3=""),"",IF(INDEX(인턴근무계획!$M$3:$R$202,$A7,$G$3)&amp;""="","",IF(LEFT(INDEX(인턴근무계획!$M$3:$R$202,$A7,$G$3)&amp;"",1)="⚠",INDEX(인턴근무계획!$M$3:$R$202,$A7,$G$3)&amp;"",LEFT(INDEX(인턴근무계획!$M$3:$R$202,$A7,$G$3)&amp;"",FIND(" ",INDEX(인턴근무계획!$M$3:$R$202,$A7,$G$3)&amp;"")-1))))</f>
        <v/>
      </c>
      <c r="H7" s="23">
        <f>IF(OR($C7="",$G$3=""),"",IF(INDEX(인턴근무계획!$M$3:$R$202,$A7,$G$3)&amp;""="","",IF(LEFT(INDEX(인턴근무계획!$M$3:$R$202,$A7,$G$3)&amp;"",1)="⚠","",MID(INDEX(인턴근무계획!$M$3:$R$202,$A7,$G$3)&amp;"",FIND(" ",INDEX(인턴근무계획!$M$3:$R$202,$A7,$G$3)&amp;"")+1,60))))</f>
        <v/>
      </c>
      <c r="I7" s="23">
        <f>IF(OR($C7="",$I$3=""),"",IF(INDEX(인턴근무계획!$M$3:$R$202,$A7,$I$3)&amp;""="","",IF(LEFT(INDEX(인턴근무계획!$M$3:$R$202,$A7,$I$3)&amp;"",1)="⚠",INDEX(인턴근무계획!$M$3:$R$202,$A7,$I$3)&amp;"",LEFT(INDEX(인턴근무계획!$M$3:$R$202,$A7,$I$3)&amp;"",FIND(" ",INDEX(인턴근무계획!$M$3:$R$202,$A7,$I$3)&amp;"")-1))))</f>
        <v/>
      </c>
      <c r="J7" s="23">
        <f>IF(OR($C7="",$I$3=""),"",IF(INDEX(인턴근무계획!$M$3:$R$202,$A7,$I$3)&amp;""="","",IF(LEFT(INDEX(인턴근무계획!$M$3:$R$202,$A7,$I$3)&amp;"",1)="⚠","",MID(INDEX(인턴근무계획!$M$3:$R$202,$A7,$I$3)&amp;"",FIND(" ",INDEX(인턴근무계획!$M$3:$R$202,$A7,$I$3)&amp;"")+1,60))))</f>
        <v/>
      </c>
      <c r="K7" s="23">
        <f>IF($C7="","",INDEX(인턴근무계획!$M$3:$M$202,$A7)&amp;"")</f>
        <v/>
      </c>
      <c r="L7" s="23">
        <f>IF($C7="","",INDEX(인턴근무계획!$N$3:$N$202,$A7)&amp;"")</f>
        <v/>
      </c>
      <c r="M7" s="23">
        <f>IF($C7="","",INDEX(인턴근무계획!$O$3:$O$202,$A7)&amp;"")</f>
        <v/>
      </c>
      <c r="N7" s="23">
        <f>IF($C7="","",INDEX(인턴근무계획!$P$3:$P$202,$A7)&amp;"")</f>
        <v/>
      </c>
      <c r="O7" s="23">
        <f>IF($C7="","",INDEX(인턴근무계획!$Q$3:$Q$202,$A7)&amp;"")</f>
        <v/>
      </c>
      <c r="P7" s="23">
        <f>IF($C7="","",INDEX(인턴근무계획!$R$3:$R$202,$A7)&amp;"")</f>
        <v/>
      </c>
      <c r="Q7" s="23">
        <f>IF($C7="","",INDEX(인턴근무계획!$T$3:$T$202,$A7))</f>
        <v/>
      </c>
      <c r="S7" s="23">
        <f>IF(코드표!A3="","",코드표!A3)</f>
        <v/>
      </c>
      <c r="T7" s="23">
        <f>IF($S7="","",COUNTIF(K$6:K$205,$S7&amp;" *"))</f>
        <v/>
      </c>
      <c r="U7" s="23">
        <f>IF($S7="","",COUNTIF(L$6:L$205,$S7&amp;" *"))</f>
        <v/>
      </c>
      <c r="V7" s="23">
        <f>IF($S7="","",COUNTIF(M$6:M$205,$S7&amp;" *"))</f>
        <v/>
      </c>
      <c r="W7" s="23">
        <f>IF($S7="","",COUNTIF(N$6:N$205,$S7&amp;" *"))</f>
        <v/>
      </c>
      <c r="X7" s="23">
        <f>IF($S7="","",COUNTIF(O$6:O$205,$S7&amp;" *"))</f>
        <v/>
      </c>
      <c r="Y7" s="23">
        <f>IF($S7="","",COUNTIF(P$6:P$205,$S7&amp;" *"))</f>
        <v/>
      </c>
    </row>
    <row r="8">
      <c r="A8" s="26" t="n">
        <v>3</v>
      </c>
      <c r="B8" s="23">
        <f>IF($C8="","",INDEX(인턴근무계획!$B$3:$B$202,$A8))</f>
        <v/>
      </c>
      <c r="C8" s="23">
        <f>IFERROR(TRIM(INDEX(인턴근무계획!$C$3:$C$202,$A8)&amp;""),"")</f>
        <v/>
      </c>
      <c r="D8" s="23">
        <f>IF($C8="","",INDEX(인턴근무계획!$D$3:$D$202,$A8))</f>
        <v/>
      </c>
      <c r="E8" s="23">
        <f>IF($C8="","",IF(IFERROR(MATCH($D8,기본자료!$B$2:$B$501,0),IFERROR(MATCH($D8&amp;"",기본자료!$B$2:$B$501,0),IFERROR(MATCH(VALUE($D8),기본자료!$B$2:$B$501,0),0)))&gt;0,"확인","미등록"))</f>
        <v/>
      </c>
      <c r="F8" s="27">
        <f>IF($C8="","",INDEX(인턴근무계획!$S$3:$S$202,$A8))</f>
        <v/>
      </c>
      <c r="G8" s="23">
        <f>IF(OR($C8="",$G$3=""),"",IF(INDEX(인턴근무계획!$M$3:$R$202,$A8,$G$3)&amp;""="","",IF(LEFT(INDEX(인턴근무계획!$M$3:$R$202,$A8,$G$3)&amp;"",1)="⚠",INDEX(인턴근무계획!$M$3:$R$202,$A8,$G$3)&amp;"",LEFT(INDEX(인턴근무계획!$M$3:$R$202,$A8,$G$3)&amp;"",FIND(" ",INDEX(인턴근무계획!$M$3:$R$202,$A8,$G$3)&amp;"")-1))))</f>
        <v/>
      </c>
      <c r="H8" s="23">
        <f>IF(OR($C8="",$G$3=""),"",IF(INDEX(인턴근무계획!$M$3:$R$202,$A8,$G$3)&amp;""="","",IF(LEFT(INDEX(인턴근무계획!$M$3:$R$202,$A8,$G$3)&amp;"",1)="⚠","",MID(INDEX(인턴근무계획!$M$3:$R$202,$A8,$G$3)&amp;"",FIND(" ",INDEX(인턴근무계획!$M$3:$R$202,$A8,$G$3)&amp;"")+1,60))))</f>
        <v/>
      </c>
      <c r="I8" s="23">
        <f>IF(OR($C8="",$I$3=""),"",IF(INDEX(인턴근무계획!$M$3:$R$202,$A8,$I$3)&amp;""="","",IF(LEFT(INDEX(인턴근무계획!$M$3:$R$202,$A8,$I$3)&amp;"",1)="⚠",INDEX(인턴근무계획!$M$3:$R$202,$A8,$I$3)&amp;"",LEFT(INDEX(인턴근무계획!$M$3:$R$202,$A8,$I$3)&amp;"",FIND(" ",INDEX(인턴근무계획!$M$3:$R$202,$A8,$I$3)&amp;"")-1))))</f>
        <v/>
      </c>
      <c r="J8" s="23">
        <f>IF(OR($C8="",$I$3=""),"",IF(INDEX(인턴근무계획!$M$3:$R$202,$A8,$I$3)&amp;""="","",IF(LEFT(INDEX(인턴근무계획!$M$3:$R$202,$A8,$I$3)&amp;"",1)="⚠","",MID(INDEX(인턴근무계획!$M$3:$R$202,$A8,$I$3)&amp;"",FIND(" ",INDEX(인턴근무계획!$M$3:$R$202,$A8,$I$3)&amp;"")+1,60))))</f>
        <v/>
      </c>
      <c r="K8" s="23">
        <f>IF($C8="","",INDEX(인턴근무계획!$M$3:$M$202,$A8)&amp;"")</f>
        <v/>
      </c>
      <c r="L8" s="23">
        <f>IF($C8="","",INDEX(인턴근무계획!$N$3:$N$202,$A8)&amp;"")</f>
        <v/>
      </c>
      <c r="M8" s="23">
        <f>IF($C8="","",INDEX(인턴근무계획!$O$3:$O$202,$A8)&amp;"")</f>
        <v/>
      </c>
      <c r="N8" s="23">
        <f>IF($C8="","",INDEX(인턴근무계획!$P$3:$P$202,$A8)&amp;"")</f>
        <v/>
      </c>
      <c r="O8" s="23">
        <f>IF($C8="","",INDEX(인턴근무계획!$Q$3:$Q$202,$A8)&amp;"")</f>
        <v/>
      </c>
      <c r="P8" s="23">
        <f>IF($C8="","",INDEX(인턴근무계획!$R$3:$R$202,$A8)&amp;"")</f>
        <v/>
      </c>
      <c r="Q8" s="23">
        <f>IF($C8="","",INDEX(인턴근무계획!$T$3:$T$202,$A8))</f>
        <v/>
      </c>
      <c r="S8" s="23">
        <f>IF(코드표!A4="","",코드표!A4)</f>
        <v/>
      </c>
      <c r="T8" s="23">
        <f>IF($S8="","",COUNTIF(K$6:K$205,$S8&amp;" *"))</f>
        <v/>
      </c>
      <c r="U8" s="23">
        <f>IF($S8="","",COUNTIF(L$6:L$205,$S8&amp;" *"))</f>
        <v/>
      </c>
      <c r="V8" s="23">
        <f>IF($S8="","",COUNTIF(M$6:M$205,$S8&amp;" *"))</f>
        <v/>
      </c>
      <c r="W8" s="23">
        <f>IF($S8="","",COUNTIF(N$6:N$205,$S8&amp;" *"))</f>
        <v/>
      </c>
      <c r="X8" s="23">
        <f>IF($S8="","",COUNTIF(O$6:O$205,$S8&amp;" *"))</f>
        <v/>
      </c>
      <c r="Y8" s="23">
        <f>IF($S8="","",COUNTIF(P$6:P$205,$S8&amp;" *"))</f>
        <v/>
      </c>
    </row>
    <row r="9">
      <c r="A9" s="26" t="n">
        <v>4</v>
      </c>
      <c r="B9" s="23">
        <f>IF($C9="","",INDEX(인턴근무계획!$B$3:$B$202,$A9))</f>
        <v/>
      </c>
      <c r="C9" s="23">
        <f>IFERROR(TRIM(INDEX(인턴근무계획!$C$3:$C$202,$A9)&amp;""),"")</f>
        <v/>
      </c>
      <c r="D9" s="23">
        <f>IF($C9="","",INDEX(인턴근무계획!$D$3:$D$202,$A9))</f>
        <v/>
      </c>
      <c r="E9" s="23">
        <f>IF($C9="","",IF(IFERROR(MATCH($D9,기본자료!$B$2:$B$501,0),IFERROR(MATCH($D9&amp;"",기본자료!$B$2:$B$501,0),IFERROR(MATCH(VALUE($D9),기본자료!$B$2:$B$501,0),0)))&gt;0,"확인","미등록"))</f>
        <v/>
      </c>
      <c r="F9" s="27">
        <f>IF($C9="","",INDEX(인턴근무계획!$S$3:$S$202,$A9))</f>
        <v/>
      </c>
      <c r="G9" s="23">
        <f>IF(OR($C9="",$G$3=""),"",IF(INDEX(인턴근무계획!$M$3:$R$202,$A9,$G$3)&amp;""="","",IF(LEFT(INDEX(인턴근무계획!$M$3:$R$202,$A9,$G$3)&amp;"",1)="⚠",INDEX(인턴근무계획!$M$3:$R$202,$A9,$G$3)&amp;"",LEFT(INDEX(인턴근무계획!$M$3:$R$202,$A9,$G$3)&amp;"",FIND(" ",INDEX(인턴근무계획!$M$3:$R$202,$A9,$G$3)&amp;"")-1))))</f>
        <v/>
      </c>
      <c r="H9" s="23">
        <f>IF(OR($C9="",$G$3=""),"",IF(INDEX(인턴근무계획!$M$3:$R$202,$A9,$G$3)&amp;""="","",IF(LEFT(INDEX(인턴근무계획!$M$3:$R$202,$A9,$G$3)&amp;"",1)="⚠","",MID(INDEX(인턴근무계획!$M$3:$R$202,$A9,$G$3)&amp;"",FIND(" ",INDEX(인턴근무계획!$M$3:$R$202,$A9,$G$3)&amp;"")+1,60))))</f>
        <v/>
      </c>
      <c r="I9" s="23">
        <f>IF(OR($C9="",$I$3=""),"",IF(INDEX(인턴근무계획!$M$3:$R$202,$A9,$I$3)&amp;""="","",IF(LEFT(INDEX(인턴근무계획!$M$3:$R$202,$A9,$I$3)&amp;"",1)="⚠",INDEX(인턴근무계획!$M$3:$R$202,$A9,$I$3)&amp;"",LEFT(INDEX(인턴근무계획!$M$3:$R$202,$A9,$I$3)&amp;"",FIND(" ",INDEX(인턴근무계획!$M$3:$R$202,$A9,$I$3)&amp;"")-1))))</f>
        <v/>
      </c>
      <c r="J9" s="23">
        <f>IF(OR($C9="",$I$3=""),"",IF(INDEX(인턴근무계획!$M$3:$R$202,$A9,$I$3)&amp;""="","",IF(LEFT(INDEX(인턴근무계획!$M$3:$R$202,$A9,$I$3)&amp;"",1)="⚠","",MID(INDEX(인턴근무계획!$M$3:$R$202,$A9,$I$3)&amp;"",FIND(" ",INDEX(인턴근무계획!$M$3:$R$202,$A9,$I$3)&amp;"")+1,60))))</f>
        <v/>
      </c>
      <c r="K9" s="23">
        <f>IF($C9="","",INDEX(인턴근무계획!$M$3:$M$202,$A9)&amp;"")</f>
        <v/>
      </c>
      <c r="L9" s="23">
        <f>IF($C9="","",INDEX(인턴근무계획!$N$3:$N$202,$A9)&amp;"")</f>
        <v/>
      </c>
      <c r="M9" s="23">
        <f>IF($C9="","",INDEX(인턴근무계획!$O$3:$O$202,$A9)&amp;"")</f>
        <v/>
      </c>
      <c r="N9" s="23">
        <f>IF($C9="","",INDEX(인턴근무계획!$P$3:$P$202,$A9)&amp;"")</f>
        <v/>
      </c>
      <c r="O9" s="23">
        <f>IF($C9="","",INDEX(인턴근무계획!$Q$3:$Q$202,$A9)&amp;"")</f>
        <v/>
      </c>
      <c r="P9" s="23">
        <f>IF($C9="","",INDEX(인턴근무계획!$R$3:$R$202,$A9)&amp;"")</f>
        <v/>
      </c>
      <c r="Q9" s="23">
        <f>IF($C9="","",INDEX(인턴근무계획!$T$3:$T$202,$A9))</f>
        <v/>
      </c>
      <c r="S9" s="23">
        <f>IF(코드표!A5="","",코드표!A5)</f>
        <v/>
      </c>
      <c r="T9" s="23">
        <f>IF($S9="","",COUNTIF(K$6:K$205,$S9&amp;" *"))</f>
        <v/>
      </c>
      <c r="U9" s="23">
        <f>IF($S9="","",COUNTIF(L$6:L$205,$S9&amp;" *"))</f>
        <v/>
      </c>
      <c r="V9" s="23">
        <f>IF($S9="","",COUNTIF(M$6:M$205,$S9&amp;" *"))</f>
        <v/>
      </c>
      <c r="W9" s="23">
        <f>IF($S9="","",COUNTIF(N$6:N$205,$S9&amp;" *"))</f>
        <v/>
      </c>
      <c r="X9" s="23">
        <f>IF($S9="","",COUNTIF(O$6:O$205,$S9&amp;" *"))</f>
        <v/>
      </c>
      <c r="Y9" s="23">
        <f>IF($S9="","",COUNTIF(P$6:P$205,$S9&amp;" *"))</f>
        <v/>
      </c>
    </row>
    <row r="10">
      <c r="A10" s="26" t="n">
        <v>5</v>
      </c>
      <c r="B10" s="23">
        <f>IF($C10="","",INDEX(인턴근무계획!$B$3:$B$202,$A10))</f>
        <v/>
      </c>
      <c r="C10" s="23">
        <f>IFERROR(TRIM(INDEX(인턴근무계획!$C$3:$C$202,$A10)&amp;""),"")</f>
        <v/>
      </c>
      <c r="D10" s="23">
        <f>IF($C10="","",INDEX(인턴근무계획!$D$3:$D$202,$A10))</f>
        <v/>
      </c>
      <c r="E10" s="23">
        <f>IF($C10="","",IF(IFERROR(MATCH($D10,기본자료!$B$2:$B$501,0),IFERROR(MATCH($D10&amp;"",기본자료!$B$2:$B$501,0),IFERROR(MATCH(VALUE($D10),기본자료!$B$2:$B$501,0),0)))&gt;0,"확인","미등록"))</f>
        <v/>
      </c>
      <c r="F10" s="27">
        <f>IF($C10="","",INDEX(인턴근무계획!$S$3:$S$202,$A10))</f>
        <v/>
      </c>
      <c r="G10" s="23">
        <f>IF(OR($C10="",$G$3=""),"",IF(INDEX(인턴근무계획!$M$3:$R$202,$A10,$G$3)&amp;""="","",IF(LEFT(INDEX(인턴근무계획!$M$3:$R$202,$A10,$G$3)&amp;"",1)="⚠",INDEX(인턴근무계획!$M$3:$R$202,$A10,$G$3)&amp;"",LEFT(INDEX(인턴근무계획!$M$3:$R$202,$A10,$G$3)&amp;"",FIND(" ",INDEX(인턴근무계획!$M$3:$R$202,$A10,$G$3)&amp;"")-1))))</f>
        <v/>
      </c>
      <c r="H10" s="23">
        <f>IF(OR($C10="",$G$3=""),"",IF(INDEX(인턴근무계획!$M$3:$R$202,$A10,$G$3)&amp;""="","",IF(LEFT(INDEX(인턴근무계획!$M$3:$R$202,$A10,$G$3)&amp;"",1)="⚠","",MID(INDEX(인턴근무계획!$M$3:$R$202,$A10,$G$3)&amp;"",FIND(" ",INDEX(인턴근무계획!$M$3:$R$202,$A10,$G$3)&amp;"")+1,60))))</f>
        <v/>
      </c>
      <c r="I10" s="23">
        <f>IF(OR($C10="",$I$3=""),"",IF(INDEX(인턴근무계획!$M$3:$R$202,$A10,$I$3)&amp;""="","",IF(LEFT(INDEX(인턴근무계획!$M$3:$R$202,$A10,$I$3)&amp;"",1)="⚠",INDEX(인턴근무계획!$M$3:$R$202,$A10,$I$3)&amp;"",LEFT(INDEX(인턴근무계획!$M$3:$R$202,$A10,$I$3)&amp;"",FIND(" ",INDEX(인턴근무계획!$M$3:$R$202,$A10,$I$3)&amp;"")-1))))</f>
        <v/>
      </c>
      <c r="J10" s="23">
        <f>IF(OR($C10="",$I$3=""),"",IF(INDEX(인턴근무계획!$M$3:$R$202,$A10,$I$3)&amp;""="","",IF(LEFT(INDEX(인턴근무계획!$M$3:$R$202,$A10,$I$3)&amp;"",1)="⚠","",MID(INDEX(인턴근무계획!$M$3:$R$202,$A10,$I$3)&amp;"",FIND(" ",INDEX(인턴근무계획!$M$3:$R$202,$A10,$I$3)&amp;"")+1,60))))</f>
        <v/>
      </c>
      <c r="K10" s="23">
        <f>IF($C10="","",INDEX(인턴근무계획!$M$3:$M$202,$A10)&amp;"")</f>
        <v/>
      </c>
      <c r="L10" s="23">
        <f>IF($C10="","",INDEX(인턴근무계획!$N$3:$N$202,$A10)&amp;"")</f>
        <v/>
      </c>
      <c r="M10" s="23">
        <f>IF($C10="","",INDEX(인턴근무계획!$O$3:$O$202,$A10)&amp;"")</f>
        <v/>
      </c>
      <c r="N10" s="23">
        <f>IF($C10="","",INDEX(인턴근무계획!$P$3:$P$202,$A10)&amp;"")</f>
        <v/>
      </c>
      <c r="O10" s="23">
        <f>IF($C10="","",INDEX(인턴근무계획!$Q$3:$Q$202,$A10)&amp;"")</f>
        <v/>
      </c>
      <c r="P10" s="23">
        <f>IF($C10="","",INDEX(인턴근무계획!$R$3:$R$202,$A10)&amp;"")</f>
        <v/>
      </c>
      <c r="Q10" s="23">
        <f>IF($C10="","",INDEX(인턴근무계획!$T$3:$T$202,$A10))</f>
        <v/>
      </c>
      <c r="S10" s="23">
        <f>IF(코드표!A6="","",코드표!A6)</f>
        <v/>
      </c>
      <c r="T10" s="23">
        <f>IF($S10="","",COUNTIF(K$6:K$205,$S10&amp;" *"))</f>
        <v/>
      </c>
      <c r="U10" s="23">
        <f>IF($S10="","",COUNTIF(L$6:L$205,$S10&amp;" *"))</f>
        <v/>
      </c>
      <c r="V10" s="23">
        <f>IF($S10="","",COUNTIF(M$6:M$205,$S10&amp;" *"))</f>
        <v/>
      </c>
      <c r="W10" s="23">
        <f>IF($S10="","",COUNTIF(N$6:N$205,$S10&amp;" *"))</f>
        <v/>
      </c>
      <c r="X10" s="23">
        <f>IF($S10="","",COUNTIF(O$6:O$205,$S10&amp;" *"))</f>
        <v/>
      </c>
      <c r="Y10" s="23">
        <f>IF($S10="","",COUNTIF(P$6:P$205,$S10&amp;" *"))</f>
        <v/>
      </c>
    </row>
    <row r="11">
      <c r="A11" s="26" t="n">
        <v>6</v>
      </c>
      <c r="B11" s="23">
        <f>IF($C11="","",INDEX(인턴근무계획!$B$3:$B$202,$A11))</f>
        <v/>
      </c>
      <c r="C11" s="23">
        <f>IFERROR(TRIM(INDEX(인턴근무계획!$C$3:$C$202,$A11)&amp;""),"")</f>
        <v/>
      </c>
      <c r="D11" s="23">
        <f>IF($C11="","",INDEX(인턴근무계획!$D$3:$D$202,$A11))</f>
        <v/>
      </c>
      <c r="E11" s="23">
        <f>IF($C11="","",IF(IFERROR(MATCH($D11,기본자료!$B$2:$B$501,0),IFERROR(MATCH($D11&amp;"",기본자료!$B$2:$B$501,0),IFERROR(MATCH(VALUE($D11),기본자료!$B$2:$B$501,0),0)))&gt;0,"확인","미등록"))</f>
        <v/>
      </c>
      <c r="F11" s="27">
        <f>IF($C11="","",INDEX(인턴근무계획!$S$3:$S$202,$A11))</f>
        <v/>
      </c>
      <c r="G11" s="23">
        <f>IF(OR($C11="",$G$3=""),"",IF(INDEX(인턴근무계획!$M$3:$R$202,$A11,$G$3)&amp;""="","",IF(LEFT(INDEX(인턴근무계획!$M$3:$R$202,$A11,$G$3)&amp;"",1)="⚠",INDEX(인턴근무계획!$M$3:$R$202,$A11,$G$3)&amp;"",LEFT(INDEX(인턴근무계획!$M$3:$R$202,$A11,$G$3)&amp;"",FIND(" ",INDEX(인턴근무계획!$M$3:$R$202,$A11,$G$3)&amp;"")-1))))</f>
        <v/>
      </c>
      <c r="H11" s="23">
        <f>IF(OR($C11="",$G$3=""),"",IF(INDEX(인턴근무계획!$M$3:$R$202,$A11,$G$3)&amp;""="","",IF(LEFT(INDEX(인턴근무계획!$M$3:$R$202,$A11,$G$3)&amp;"",1)="⚠","",MID(INDEX(인턴근무계획!$M$3:$R$202,$A11,$G$3)&amp;"",FIND(" ",INDEX(인턴근무계획!$M$3:$R$202,$A11,$G$3)&amp;"")+1,60))))</f>
        <v/>
      </c>
      <c r="I11" s="23">
        <f>IF(OR($C11="",$I$3=""),"",IF(INDEX(인턴근무계획!$M$3:$R$202,$A11,$I$3)&amp;""="","",IF(LEFT(INDEX(인턴근무계획!$M$3:$R$202,$A11,$I$3)&amp;"",1)="⚠",INDEX(인턴근무계획!$M$3:$R$202,$A11,$I$3)&amp;"",LEFT(INDEX(인턴근무계획!$M$3:$R$202,$A11,$I$3)&amp;"",FIND(" ",INDEX(인턴근무계획!$M$3:$R$202,$A11,$I$3)&amp;"")-1))))</f>
        <v/>
      </c>
      <c r="J11" s="23">
        <f>IF(OR($C11="",$I$3=""),"",IF(INDEX(인턴근무계획!$M$3:$R$202,$A11,$I$3)&amp;""="","",IF(LEFT(INDEX(인턴근무계획!$M$3:$R$202,$A11,$I$3)&amp;"",1)="⚠","",MID(INDEX(인턴근무계획!$M$3:$R$202,$A11,$I$3)&amp;"",FIND(" ",INDEX(인턴근무계획!$M$3:$R$202,$A11,$I$3)&amp;"")+1,60))))</f>
        <v/>
      </c>
      <c r="K11" s="23">
        <f>IF($C11="","",INDEX(인턴근무계획!$M$3:$M$202,$A11)&amp;"")</f>
        <v/>
      </c>
      <c r="L11" s="23">
        <f>IF($C11="","",INDEX(인턴근무계획!$N$3:$N$202,$A11)&amp;"")</f>
        <v/>
      </c>
      <c r="M11" s="23">
        <f>IF($C11="","",INDEX(인턴근무계획!$O$3:$O$202,$A11)&amp;"")</f>
        <v/>
      </c>
      <c r="N11" s="23">
        <f>IF($C11="","",INDEX(인턴근무계획!$P$3:$P$202,$A11)&amp;"")</f>
        <v/>
      </c>
      <c r="O11" s="23">
        <f>IF($C11="","",INDEX(인턴근무계획!$Q$3:$Q$202,$A11)&amp;"")</f>
        <v/>
      </c>
      <c r="P11" s="23">
        <f>IF($C11="","",INDEX(인턴근무계획!$R$3:$R$202,$A11)&amp;"")</f>
        <v/>
      </c>
      <c r="Q11" s="23">
        <f>IF($C11="","",INDEX(인턴근무계획!$T$3:$T$202,$A11))</f>
        <v/>
      </c>
      <c r="S11" s="23">
        <f>IF(코드표!A7="","",코드표!A7)</f>
        <v/>
      </c>
      <c r="T11" s="23">
        <f>IF($S11="","",COUNTIF(K$6:K$205,$S11&amp;" *"))</f>
        <v/>
      </c>
      <c r="U11" s="23">
        <f>IF($S11="","",COUNTIF(L$6:L$205,$S11&amp;" *"))</f>
        <v/>
      </c>
      <c r="V11" s="23">
        <f>IF($S11="","",COUNTIF(M$6:M$205,$S11&amp;" *"))</f>
        <v/>
      </c>
      <c r="W11" s="23">
        <f>IF($S11="","",COUNTIF(N$6:N$205,$S11&amp;" *"))</f>
        <v/>
      </c>
      <c r="X11" s="23">
        <f>IF($S11="","",COUNTIF(O$6:O$205,$S11&amp;" *"))</f>
        <v/>
      </c>
      <c r="Y11" s="23">
        <f>IF($S11="","",COUNTIF(P$6:P$205,$S11&amp;" *"))</f>
        <v/>
      </c>
    </row>
    <row r="12">
      <c r="A12" s="26" t="n">
        <v>7</v>
      </c>
      <c r="B12" s="23">
        <f>IF($C12="","",INDEX(인턴근무계획!$B$3:$B$202,$A12))</f>
        <v/>
      </c>
      <c r="C12" s="23">
        <f>IFERROR(TRIM(INDEX(인턴근무계획!$C$3:$C$202,$A12)&amp;""),"")</f>
        <v/>
      </c>
      <c r="D12" s="23">
        <f>IF($C12="","",INDEX(인턴근무계획!$D$3:$D$202,$A12))</f>
        <v/>
      </c>
      <c r="E12" s="23">
        <f>IF($C12="","",IF(IFERROR(MATCH($D12,기본자료!$B$2:$B$501,0),IFERROR(MATCH($D12&amp;"",기본자료!$B$2:$B$501,0),IFERROR(MATCH(VALUE($D12),기본자료!$B$2:$B$501,0),0)))&gt;0,"확인","미등록"))</f>
        <v/>
      </c>
      <c r="F12" s="27">
        <f>IF($C12="","",INDEX(인턴근무계획!$S$3:$S$202,$A12))</f>
        <v/>
      </c>
      <c r="G12" s="23">
        <f>IF(OR($C12="",$G$3=""),"",IF(INDEX(인턴근무계획!$M$3:$R$202,$A12,$G$3)&amp;""="","",IF(LEFT(INDEX(인턴근무계획!$M$3:$R$202,$A12,$G$3)&amp;"",1)="⚠",INDEX(인턴근무계획!$M$3:$R$202,$A12,$G$3)&amp;"",LEFT(INDEX(인턴근무계획!$M$3:$R$202,$A12,$G$3)&amp;"",FIND(" ",INDEX(인턴근무계획!$M$3:$R$202,$A12,$G$3)&amp;"")-1))))</f>
        <v/>
      </c>
      <c r="H12" s="23">
        <f>IF(OR($C12="",$G$3=""),"",IF(INDEX(인턴근무계획!$M$3:$R$202,$A12,$G$3)&amp;""="","",IF(LEFT(INDEX(인턴근무계획!$M$3:$R$202,$A12,$G$3)&amp;"",1)="⚠","",MID(INDEX(인턴근무계획!$M$3:$R$202,$A12,$G$3)&amp;"",FIND(" ",INDEX(인턴근무계획!$M$3:$R$202,$A12,$G$3)&amp;"")+1,60))))</f>
        <v/>
      </c>
      <c r="I12" s="23">
        <f>IF(OR($C12="",$I$3=""),"",IF(INDEX(인턴근무계획!$M$3:$R$202,$A12,$I$3)&amp;""="","",IF(LEFT(INDEX(인턴근무계획!$M$3:$R$202,$A12,$I$3)&amp;"",1)="⚠",INDEX(인턴근무계획!$M$3:$R$202,$A12,$I$3)&amp;"",LEFT(INDEX(인턴근무계획!$M$3:$R$202,$A12,$I$3)&amp;"",FIND(" ",INDEX(인턴근무계획!$M$3:$R$202,$A12,$I$3)&amp;"")-1))))</f>
        <v/>
      </c>
      <c r="J12" s="23">
        <f>IF(OR($C12="",$I$3=""),"",IF(INDEX(인턴근무계획!$M$3:$R$202,$A12,$I$3)&amp;""="","",IF(LEFT(INDEX(인턴근무계획!$M$3:$R$202,$A12,$I$3)&amp;"",1)="⚠","",MID(INDEX(인턴근무계획!$M$3:$R$202,$A12,$I$3)&amp;"",FIND(" ",INDEX(인턴근무계획!$M$3:$R$202,$A12,$I$3)&amp;"")+1,60))))</f>
        <v/>
      </c>
      <c r="K12" s="23">
        <f>IF($C12="","",INDEX(인턴근무계획!$M$3:$M$202,$A12)&amp;"")</f>
        <v/>
      </c>
      <c r="L12" s="23">
        <f>IF($C12="","",INDEX(인턴근무계획!$N$3:$N$202,$A12)&amp;"")</f>
        <v/>
      </c>
      <c r="M12" s="23">
        <f>IF($C12="","",INDEX(인턴근무계획!$O$3:$O$202,$A12)&amp;"")</f>
        <v/>
      </c>
      <c r="N12" s="23">
        <f>IF($C12="","",INDEX(인턴근무계획!$P$3:$P$202,$A12)&amp;"")</f>
        <v/>
      </c>
      <c r="O12" s="23">
        <f>IF($C12="","",INDEX(인턴근무계획!$Q$3:$Q$202,$A12)&amp;"")</f>
        <v/>
      </c>
      <c r="P12" s="23">
        <f>IF($C12="","",INDEX(인턴근무계획!$R$3:$R$202,$A12)&amp;"")</f>
        <v/>
      </c>
      <c r="Q12" s="23">
        <f>IF($C12="","",INDEX(인턴근무계획!$T$3:$T$202,$A12))</f>
        <v/>
      </c>
      <c r="S12" s="23">
        <f>IF(코드표!A8="","",코드표!A8)</f>
        <v/>
      </c>
      <c r="T12" s="23">
        <f>IF($S12="","",COUNTIF(K$6:K$205,$S12&amp;" *"))</f>
        <v/>
      </c>
      <c r="U12" s="23">
        <f>IF($S12="","",COUNTIF(L$6:L$205,$S12&amp;" *"))</f>
        <v/>
      </c>
      <c r="V12" s="23">
        <f>IF($S12="","",COUNTIF(M$6:M$205,$S12&amp;" *"))</f>
        <v/>
      </c>
      <c r="W12" s="23">
        <f>IF($S12="","",COUNTIF(N$6:N$205,$S12&amp;" *"))</f>
        <v/>
      </c>
      <c r="X12" s="23">
        <f>IF($S12="","",COUNTIF(O$6:O$205,$S12&amp;" *"))</f>
        <v/>
      </c>
      <c r="Y12" s="23">
        <f>IF($S12="","",COUNTIF(P$6:P$205,$S12&amp;" *"))</f>
        <v/>
      </c>
    </row>
    <row r="13">
      <c r="A13" s="26" t="n">
        <v>8</v>
      </c>
      <c r="B13" s="23">
        <f>IF($C13="","",INDEX(인턴근무계획!$B$3:$B$202,$A13))</f>
        <v/>
      </c>
      <c r="C13" s="23">
        <f>IFERROR(TRIM(INDEX(인턴근무계획!$C$3:$C$202,$A13)&amp;""),"")</f>
        <v/>
      </c>
      <c r="D13" s="23">
        <f>IF($C13="","",INDEX(인턴근무계획!$D$3:$D$202,$A13))</f>
        <v/>
      </c>
      <c r="E13" s="23">
        <f>IF($C13="","",IF(IFERROR(MATCH($D13,기본자료!$B$2:$B$501,0),IFERROR(MATCH($D13&amp;"",기본자료!$B$2:$B$501,0),IFERROR(MATCH(VALUE($D13),기본자료!$B$2:$B$501,0),0)))&gt;0,"확인","미등록"))</f>
        <v/>
      </c>
      <c r="F13" s="27">
        <f>IF($C13="","",INDEX(인턴근무계획!$S$3:$S$202,$A13))</f>
        <v/>
      </c>
      <c r="G13" s="23">
        <f>IF(OR($C13="",$G$3=""),"",IF(INDEX(인턴근무계획!$M$3:$R$202,$A13,$G$3)&amp;""="","",IF(LEFT(INDEX(인턴근무계획!$M$3:$R$202,$A13,$G$3)&amp;"",1)="⚠",INDEX(인턴근무계획!$M$3:$R$202,$A13,$G$3)&amp;"",LEFT(INDEX(인턴근무계획!$M$3:$R$202,$A13,$G$3)&amp;"",FIND(" ",INDEX(인턴근무계획!$M$3:$R$202,$A13,$G$3)&amp;"")-1))))</f>
        <v/>
      </c>
      <c r="H13" s="23">
        <f>IF(OR($C13="",$G$3=""),"",IF(INDEX(인턴근무계획!$M$3:$R$202,$A13,$G$3)&amp;""="","",IF(LEFT(INDEX(인턴근무계획!$M$3:$R$202,$A13,$G$3)&amp;"",1)="⚠","",MID(INDEX(인턴근무계획!$M$3:$R$202,$A13,$G$3)&amp;"",FIND(" ",INDEX(인턴근무계획!$M$3:$R$202,$A13,$G$3)&amp;"")+1,60))))</f>
        <v/>
      </c>
      <c r="I13" s="23">
        <f>IF(OR($C13="",$I$3=""),"",IF(INDEX(인턴근무계획!$M$3:$R$202,$A13,$I$3)&amp;""="","",IF(LEFT(INDEX(인턴근무계획!$M$3:$R$202,$A13,$I$3)&amp;"",1)="⚠",INDEX(인턴근무계획!$M$3:$R$202,$A13,$I$3)&amp;"",LEFT(INDEX(인턴근무계획!$M$3:$R$202,$A13,$I$3)&amp;"",FIND(" ",INDEX(인턴근무계획!$M$3:$R$202,$A13,$I$3)&amp;"")-1))))</f>
        <v/>
      </c>
      <c r="J13" s="23">
        <f>IF(OR($C13="",$I$3=""),"",IF(INDEX(인턴근무계획!$M$3:$R$202,$A13,$I$3)&amp;""="","",IF(LEFT(INDEX(인턴근무계획!$M$3:$R$202,$A13,$I$3)&amp;"",1)="⚠","",MID(INDEX(인턴근무계획!$M$3:$R$202,$A13,$I$3)&amp;"",FIND(" ",INDEX(인턴근무계획!$M$3:$R$202,$A13,$I$3)&amp;"")+1,60))))</f>
        <v/>
      </c>
      <c r="K13" s="23">
        <f>IF($C13="","",INDEX(인턴근무계획!$M$3:$M$202,$A13)&amp;"")</f>
        <v/>
      </c>
      <c r="L13" s="23">
        <f>IF($C13="","",INDEX(인턴근무계획!$N$3:$N$202,$A13)&amp;"")</f>
        <v/>
      </c>
      <c r="M13" s="23">
        <f>IF($C13="","",INDEX(인턴근무계획!$O$3:$O$202,$A13)&amp;"")</f>
        <v/>
      </c>
      <c r="N13" s="23">
        <f>IF($C13="","",INDEX(인턴근무계획!$P$3:$P$202,$A13)&amp;"")</f>
        <v/>
      </c>
      <c r="O13" s="23">
        <f>IF($C13="","",INDEX(인턴근무계획!$Q$3:$Q$202,$A13)&amp;"")</f>
        <v/>
      </c>
      <c r="P13" s="23">
        <f>IF($C13="","",INDEX(인턴근무계획!$R$3:$R$202,$A13)&amp;"")</f>
        <v/>
      </c>
      <c r="Q13" s="23">
        <f>IF($C13="","",INDEX(인턴근무계획!$T$3:$T$202,$A13))</f>
        <v/>
      </c>
      <c r="S13" s="23">
        <f>IF(코드표!A9="","",코드표!A9)</f>
        <v/>
      </c>
      <c r="T13" s="23">
        <f>IF($S13="","",COUNTIF(K$6:K$205,$S13&amp;" *"))</f>
        <v/>
      </c>
      <c r="U13" s="23">
        <f>IF($S13="","",COUNTIF(L$6:L$205,$S13&amp;" *"))</f>
        <v/>
      </c>
      <c r="V13" s="23">
        <f>IF($S13="","",COUNTIF(M$6:M$205,$S13&amp;" *"))</f>
        <v/>
      </c>
      <c r="W13" s="23">
        <f>IF($S13="","",COUNTIF(N$6:N$205,$S13&amp;" *"))</f>
        <v/>
      </c>
      <c r="X13" s="23">
        <f>IF($S13="","",COUNTIF(O$6:O$205,$S13&amp;" *"))</f>
        <v/>
      </c>
      <c r="Y13" s="23">
        <f>IF($S13="","",COUNTIF(P$6:P$205,$S13&amp;" *"))</f>
        <v/>
      </c>
    </row>
    <row r="14">
      <c r="A14" s="26" t="n">
        <v>9</v>
      </c>
      <c r="B14" s="23">
        <f>IF($C14="","",INDEX(인턴근무계획!$B$3:$B$202,$A14))</f>
        <v/>
      </c>
      <c r="C14" s="23">
        <f>IFERROR(TRIM(INDEX(인턴근무계획!$C$3:$C$202,$A14)&amp;""),"")</f>
        <v/>
      </c>
      <c r="D14" s="23">
        <f>IF($C14="","",INDEX(인턴근무계획!$D$3:$D$202,$A14))</f>
        <v/>
      </c>
      <c r="E14" s="23">
        <f>IF($C14="","",IF(IFERROR(MATCH($D14,기본자료!$B$2:$B$501,0),IFERROR(MATCH($D14&amp;"",기본자료!$B$2:$B$501,0),IFERROR(MATCH(VALUE($D14),기본자료!$B$2:$B$501,0),0)))&gt;0,"확인","미등록"))</f>
        <v/>
      </c>
      <c r="F14" s="27">
        <f>IF($C14="","",INDEX(인턴근무계획!$S$3:$S$202,$A14))</f>
        <v/>
      </c>
      <c r="G14" s="23">
        <f>IF(OR($C14="",$G$3=""),"",IF(INDEX(인턴근무계획!$M$3:$R$202,$A14,$G$3)&amp;""="","",IF(LEFT(INDEX(인턴근무계획!$M$3:$R$202,$A14,$G$3)&amp;"",1)="⚠",INDEX(인턴근무계획!$M$3:$R$202,$A14,$G$3)&amp;"",LEFT(INDEX(인턴근무계획!$M$3:$R$202,$A14,$G$3)&amp;"",FIND(" ",INDEX(인턴근무계획!$M$3:$R$202,$A14,$G$3)&amp;"")-1))))</f>
        <v/>
      </c>
      <c r="H14" s="23">
        <f>IF(OR($C14="",$G$3=""),"",IF(INDEX(인턴근무계획!$M$3:$R$202,$A14,$G$3)&amp;""="","",IF(LEFT(INDEX(인턴근무계획!$M$3:$R$202,$A14,$G$3)&amp;"",1)="⚠","",MID(INDEX(인턴근무계획!$M$3:$R$202,$A14,$G$3)&amp;"",FIND(" ",INDEX(인턴근무계획!$M$3:$R$202,$A14,$G$3)&amp;"")+1,60))))</f>
        <v/>
      </c>
      <c r="I14" s="23">
        <f>IF(OR($C14="",$I$3=""),"",IF(INDEX(인턴근무계획!$M$3:$R$202,$A14,$I$3)&amp;""="","",IF(LEFT(INDEX(인턴근무계획!$M$3:$R$202,$A14,$I$3)&amp;"",1)="⚠",INDEX(인턴근무계획!$M$3:$R$202,$A14,$I$3)&amp;"",LEFT(INDEX(인턴근무계획!$M$3:$R$202,$A14,$I$3)&amp;"",FIND(" ",INDEX(인턴근무계획!$M$3:$R$202,$A14,$I$3)&amp;"")-1))))</f>
        <v/>
      </c>
      <c r="J14" s="23">
        <f>IF(OR($C14="",$I$3=""),"",IF(INDEX(인턴근무계획!$M$3:$R$202,$A14,$I$3)&amp;""="","",IF(LEFT(INDEX(인턴근무계획!$M$3:$R$202,$A14,$I$3)&amp;"",1)="⚠","",MID(INDEX(인턴근무계획!$M$3:$R$202,$A14,$I$3)&amp;"",FIND(" ",INDEX(인턴근무계획!$M$3:$R$202,$A14,$I$3)&amp;"")+1,60))))</f>
        <v/>
      </c>
      <c r="K14" s="23">
        <f>IF($C14="","",INDEX(인턴근무계획!$M$3:$M$202,$A14)&amp;"")</f>
        <v/>
      </c>
      <c r="L14" s="23">
        <f>IF($C14="","",INDEX(인턴근무계획!$N$3:$N$202,$A14)&amp;"")</f>
        <v/>
      </c>
      <c r="M14" s="23">
        <f>IF($C14="","",INDEX(인턴근무계획!$O$3:$O$202,$A14)&amp;"")</f>
        <v/>
      </c>
      <c r="N14" s="23">
        <f>IF($C14="","",INDEX(인턴근무계획!$P$3:$P$202,$A14)&amp;"")</f>
        <v/>
      </c>
      <c r="O14" s="23">
        <f>IF($C14="","",INDEX(인턴근무계획!$Q$3:$Q$202,$A14)&amp;"")</f>
        <v/>
      </c>
      <c r="P14" s="23">
        <f>IF($C14="","",INDEX(인턴근무계획!$R$3:$R$202,$A14)&amp;"")</f>
        <v/>
      </c>
      <c r="Q14" s="23">
        <f>IF($C14="","",INDEX(인턴근무계획!$T$3:$T$202,$A14))</f>
        <v/>
      </c>
      <c r="S14" s="23">
        <f>IF(코드표!A10="","",코드표!A10)</f>
        <v/>
      </c>
      <c r="T14" s="23">
        <f>IF($S14="","",COUNTIF(K$6:K$205,$S14&amp;" *"))</f>
        <v/>
      </c>
      <c r="U14" s="23">
        <f>IF($S14="","",COUNTIF(L$6:L$205,$S14&amp;" *"))</f>
        <v/>
      </c>
      <c r="V14" s="23">
        <f>IF($S14="","",COUNTIF(M$6:M$205,$S14&amp;" *"))</f>
        <v/>
      </c>
      <c r="W14" s="23">
        <f>IF($S14="","",COUNTIF(N$6:N$205,$S14&amp;" *"))</f>
        <v/>
      </c>
      <c r="X14" s="23">
        <f>IF($S14="","",COUNTIF(O$6:O$205,$S14&amp;" *"))</f>
        <v/>
      </c>
      <c r="Y14" s="23">
        <f>IF($S14="","",COUNTIF(P$6:P$205,$S14&amp;" *"))</f>
        <v/>
      </c>
    </row>
    <row r="15">
      <c r="A15" s="26" t="n">
        <v>10</v>
      </c>
      <c r="B15" s="23">
        <f>IF($C15="","",INDEX(인턴근무계획!$B$3:$B$202,$A15))</f>
        <v/>
      </c>
      <c r="C15" s="23">
        <f>IFERROR(TRIM(INDEX(인턴근무계획!$C$3:$C$202,$A15)&amp;""),"")</f>
        <v/>
      </c>
      <c r="D15" s="23">
        <f>IF($C15="","",INDEX(인턴근무계획!$D$3:$D$202,$A15))</f>
        <v/>
      </c>
      <c r="E15" s="23">
        <f>IF($C15="","",IF(IFERROR(MATCH($D15,기본자료!$B$2:$B$501,0),IFERROR(MATCH($D15&amp;"",기본자료!$B$2:$B$501,0),IFERROR(MATCH(VALUE($D15),기본자료!$B$2:$B$501,0),0)))&gt;0,"확인","미등록"))</f>
        <v/>
      </c>
      <c r="F15" s="27">
        <f>IF($C15="","",INDEX(인턴근무계획!$S$3:$S$202,$A15))</f>
        <v/>
      </c>
      <c r="G15" s="23">
        <f>IF(OR($C15="",$G$3=""),"",IF(INDEX(인턴근무계획!$M$3:$R$202,$A15,$G$3)&amp;""="","",IF(LEFT(INDEX(인턴근무계획!$M$3:$R$202,$A15,$G$3)&amp;"",1)="⚠",INDEX(인턴근무계획!$M$3:$R$202,$A15,$G$3)&amp;"",LEFT(INDEX(인턴근무계획!$M$3:$R$202,$A15,$G$3)&amp;"",FIND(" ",INDEX(인턴근무계획!$M$3:$R$202,$A15,$G$3)&amp;"")-1))))</f>
        <v/>
      </c>
      <c r="H15" s="23">
        <f>IF(OR($C15="",$G$3=""),"",IF(INDEX(인턴근무계획!$M$3:$R$202,$A15,$G$3)&amp;""="","",IF(LEFT(INDEX(인턴근무계획!$M$3:$R$202,$A15,$G$3)&amp;"",1)="⚠","",MID(INDEX(인턴근무계획!$M$3:$R$202,$A15,$G$3)&amp;"",FIND(" ",INDEX(인턴근무계획!$M$3:$R$202,$A15,$G$3)&amp;"")+1,60))))</f>
        <v/>
      </c>
      <c r="I15" s="23">
        <f>IF(OR($C15="",$I$3=""),"",IF(INDEX(인턴근무계획!$M$3:$R$202,$A15,$I$3)&amp;""="","",IF(LEFT(INDEX(인턴근무계획!$M$3:$R$202,$A15,$I$3)&amp;"",1)="⚠",INDEX(인턴근무계획!$M$3:$R$202,$A15,$I$3)&amp;"",LEFT(INDEX(인턴근무계획!$M$3:$R$202,$A15,$I$3)&amp;"",FIND(" ",INDEX(인턴근무계획!$M$3:$R$202,$A15,$I$3)&amp;"")-1))))</f>
        <v/>
      </c>
      <c r="J15" s="23">
        <f>IF(OR($C15="",$I$3=""),"",IF(INDEX(인턴근무계획!$M$3:$R$202,$A15,$I$3)&amp;""="","",IF(LEFT(INDEX(인턴근무계획!$M$3:$R$202,$A15,$I$3)&amp;"",1)="⚠","",MID(INDEX(인턴근무계획!$M$3:$R$202,$A15,$I$3)&amp;"",FIND(" ",INDEX(인턴근무계획!$M$3:$R$202,$A15,$I$3)&amp;"")+1,60))))</f>
        <v/>
      </c>
      <c r="K15" s="23">
        <f>IF($C15="","",INDEX(인턴근무계획!$M$3:$M$202,$A15)&amp;"")</f>
        <v/>
      </c>
      <c r="L15" s="23">
        <f>IF($C15="","",INDEX(인턴근무계획!$N$3:$N$202,$A15)&amp;"")</f>
        <v/>
      </c>
      <c r="M15" s="23">
        <f>IF($C15="","",INDEX(인턴근무계획!$O$3:$O$202,$A15)&amp;"")</f>
        <v/>
      </c>
      <c r="N15" s="23">
        <f>IF($C15="","",INDEX(인턴근무계획!$P$3:$P$202,$A15)&amp;"")</f>
        <v/>
      </c>
      <c r="O15" s="23">
        <f>IF($C15="","",INDEX(인턴근무계획!$Q$3:$Q$202,$A15)&amp;"")</f>
        <v/>
      </c>
      <c r="P15" s="23">
        <f>IF($C15="","",INDEX(인턴근무계획!$R$3:$R$202,$A15)&amp;"")</f>
        <v/>
      </c>
      <c r="Q15" s="23">
        <f>IF($C15="","",INDEX(인턴근무계획!$T$3:$T$202,$A15))</f>
        <v/>
      </c>
      <c r="S15" s="23">
        <f>IF(코드표!A11="","",코드표!A11)</f>
        <v/>
      </c>
      <c r="T15" s="23">
        <f>IF($S15="","",COUNTIF(K$6:K$205,$S15&amp;" *"))</f>
        <v/>
      </c>
      <c r="U15" s="23">
        <f>IF($S15="","",COUNTIF(L$6:L$205,$S15&amp;" *"))</f>
        <v/>
      </c>
      <c r="V15" s="23">
        <f>IF($S15="","",COUNTIF(M$6:M$205,$S15&amp;" *"))</f>
        <v/>
      </c>
      <c r="W15" s="23">
        <f>IF($S15="","",COUNTIF(N$6:N$205,$S15&amp;" *"))</f>
        <v/>
      </c>
      <c r="X15" s="23">
        <f>IF($S15="","",COUNTIF(O$6:O$205,$S15&amp;" *"))</f>
        <v/>
      </c>
      <c r="Y15" s="23">
        <f>IF($S15="","",COUNTIF(P$6:P$205,$S15&amp;" *"))</f>
        <v/>
      </c>
    </row>
    <row r="16">
      <c r="A16" s="26" t="n">
        <v>11</v>
      </c>
      <c r="B16" s="23">
        <f>IF($C16="","",INDEX(인턴근무계획!$B$3:$B$202,$A16))</f>
        <v/>
      </c>
      <c r="C16" s="23">
        <f>IFERROR(TRIM(INDEX(인턴근무계획!$C$3:$C$202,$A16)&amp;""),"")</f>
        <v/>
      </c>
      <c r="D16" s="23">
        <f>IF($C16="","",INDEX(인턴근무계획!$D$3:$D$202,$A16))</f>
        <v/>
      </c>
      <c r="E16" s="23">
        <f>IF($C16="","",IF(IFERROR(MATCH($D16,기본자료!$B$2:$B$501,0),IFERROR(MATCH($D16&amp;"",기본자료!$B$2:$B$501,0),IFERROR(MATCH(VALUE($D16),기본자료!$B$2:$B$501,0),0)))&gt;0,"확인","미등록"))</f>
        <v/>
      </c>
      <c r="F16" s="27">
        <f>IF($C16="","",INDEX(인턴근무계획!$S$3:$S$202,$A16))</f>
        <v/>
      </c>
      <c r="G16" s="23">
        <f>IF(OR($C16="",$G$3=""),"",IF(INDEX(인턴근무계획!$M$3:$R$202,$A16,$G$3)&amp;""="","",IF(LEFT(INDEX(인턴근무계획!$M$3:$R$202,$A16,$G$3)&amp;"",1)="⚠",INDEX(인턴근무계획!$M$3:$R$202,$A16,$G$3)&amp;"",LEFT(INDEX(인턴근무계획!$M$3:$R$202,$A16,$G$3)&amp;"",FIND(" ",INDEX(인턴근무계획!$M$3:$R$202,$A16,$G$3)&amp;"")-1))))</f>
        <v/>
      </c>
      <c r="H16" s="23">
        <f>IF(OR($C16="",$G$3=""),"",IF(INDEX(인턴근무계획!$M$3:$R$202,$A16,$G$3)&amp;""="","",IF(LEFT(INDEX(인턴근무계획!$M$3:$R$202,$A16,$G$3)&amp;"",1)="⚠","",MID(INDEX(인턴근무계획!$M$3:$R$202,$A16,$G$3)&amp;"",FIND(" ",INDEX(인턴근무계획!$M$3:$R$202,$A16,$G$3)&amp;"")+1,60))))</f>
        <v/>
      </c>
      <c r="I16" s="23">
        <f>IF(OR($C16="",$I$3=""),"",IF(INDEX(인턴근무계획!$M$3:$R$202,$A16,$I$3)&amp;""="","",IF(LEFT(INDEX(인턴근무계획!$M$3:$R$202,$A16,$I$3)&amp;"",1)="⚠",INDEX(인턴근무계획!$M$3:$R$202,$A16,$I$3)&amp;"",LEFT(INDEX(인턴근무계획!$M$3:$R$202,$A16,$I$3)&amp;"",FIND(" ",INDEX(인턴근무계획!$M$3:$R$202,$A16,$I$3)&amp;"")-1))))</f>
        <v/>
      </c>
      <c r="J16" s="23">
        <f>IF(OR($C16="",$I$3=""),"",IF(INDEX(인턴근무계획!$M$3:$R$202,$A16,$I$3)&amp;""="","",IF(LEFT(INDEX(인턴근무계획!$M$3:$R$202,$A16,$I$3)&amp;"",1)="⚠","",MID(INDEX(인턴근무계획!$M$3:$R$202,$A16,$I$3)&amp;"",FIND(" ",INDEX(인턴근무계획!$M$3:$R$202,$A16,$I$3)&amp;"")+1,60))))</f>
        <v/>
      </c>
      <c r="K16" s="23">
        <f>IF($C16="","",INDEX(인턴근무계획!$M$3:$M$202,$A16)&amp;"")</f>
        <v/>
      </c>
      <c r="L16" s="23">
        <f>IF($C16="","",INDEX(인턴근무계획!$N$3:$N$202,$A16)&amp;"")</f>
        <v/>
      </c>
      <c r="M16" s="23">
        <f>IF($C16="","",INDEX(인턴근무계획!$O$3:$O$202,$A16)&amp;"")</f>
        <v/>
      </c>
      <c r="N16" s="23">
        <f>IF($C16="","",INDEX(인턴근무계획!$P$3:$P$202,$A16)&amp;"")</f>
        <v/>
      </c>
      <c r="O16" s="23">
        <f>IF($C16="","",INDEX(인턴근무계획!$Q$3:$Q$202,$A16)&amp;"")</f>
        <v/>
      </c>
      <c r="P16" s="23">
        <f>IF($C16="","",INDEX(인턴근무계획!$R$3:$R$202,$A16)&amp;"")</f>
        <v/>
      </c>
      <c r="Q16" s="23">
        <f>IF($C16="","",INDEX(인턴근무계획!$T$3:$T$202,$A16))</f>
        <v/>
      </c>
      <c r="S16" s="23">
        <f>IF(코드표!A12="","",코드표!A12)</f>
        <v/>
      </c>
      <c r="T16" s="23">
        <f>IF($S16="","",COUNTIF(K$6:K$205,$S16&amp;" *"))</f>
        <v/>
      </c>
      <c r="U16" s="23">
        <f>IF($S16="","",COUNTIF(L$6:L$205,$S16&amp;" *"))</f>
        <v/>
      </c>
      <c r="V16" s="23">
        <f>IF($S16="","",COUNTIF(M$6:M$205,$S16&amp;" *"))</f>
        <v/>
      </c>
      <c r="W16" s="23">
        <f>IF($S16="","",COUNTIF(N$6:N$205,$S16&amp;" *"))</f>
        <v/>
      </c>
      <c r="X16" s="23">
        <f>IF($S16="","",COUNTIF(O$6:O$205,$S16&amp;" *"))</f>
        <v/>
      </c>
      <c r="Y16" s="23">
        <f>IF($S16="","",COUNTIF(P$6:P$205,$S16&amp;" *"))</f>
        <v/>
      </c>
    </row>
    <row r="17">
      <c r="A17" s="26" t="n">
        <v>12</v>
      </c>
      <c r="B17" s="23">
        <f>IF($C17="","",INDEX(인턴근무계획!$B$3:$B$202,$A17))</f>
        <v/>
      </c>
      <c r="C17" s="23">
        <f>IFERROR(TRIM(INDEX(인턴근무계획!$C$3:$C$202,$A17)&amp;""),"")</f>
        <v/>
      </c>
      <c r="D17" s="23">
        <f>IF($C17="","",INDEX(인턴근무계획!$D$3:$D$202,$A17))</f>
        <v/>
      </c>
      <c r="E17" s="23">
        <f>IF($C17="","",IF(IFERROR(MATCH($D17,기본자료!$B$2:$B$501,0),IFERROR(MATCH($D17&amp;"",기본자료!$B$2:$B$501,0),IFERROR(MATCH(VALUE($D17),기본자료!$B$2:$B$501,0),0)))&gt;0,"확인","미등록"))</f>
        <v/>
      </c>
      <c r="F17" s="27">
        <f>IF($C17="","",INDEX(인턴근무계획!$S$3:$S$202,$A17))</f>
        <v/>
      </c>
      <c r="G17" s="23">
        <f>IF(OR($C17="",$G$3=""),"",IF(INDEX(인턴근무계획!$M$3:$R$202,$A17,$G$3)&amp;""="","",IF(LEFT(INDEX(인턴근무계획!$M$3:$R$202,$A17,$G$3)&amp;"",1)="⚠",INDEX(인턴근무계획!$M$3:$R$202,$A17,$G$3)&amp;"",LEFT(INDEX(인턴근무계획!$M$3:$R$202,$A17,$G$3)&amp;"",FIND(" ",INDEX(인턴근무계획!$M$3:$R$202,$A17,$G$3)&amp;"")-1))))</f>
        <v/>
      </c>
      <c r="H17" s="23">
        <f>IF(OR($C17="",$G$3=""),"",IF(INDEX(인턴근무계획!$M$3:$R$202,$A17,$G$3)&amp;""="","",IF(LEFT(INDEX(인턴근무계획!$M$3:$R$202,$A17,$G$3)&amp;"",1)="⚠","",MID(INDEX(인턴근무계획!$M$3:$R$202,$A17,$G$3)&amp;"",FIND(" ",INDEX(인턴근무계획!$M$3:$R$202,$A17,$G$3)&amp;"")+1,60))))</f>
        <v/>
      </c>
      <c r="I17" s="23">
        <f>IF(OR($C17="",$I$3=""),"",IF(INDEX(인턴근무계획!$M$3:$R$202,$A17,$I$3)&amp;""="","",IF(LEFT(INDEX(인턴근무계획!$M$3:$R$202,$A17,$I$3)&amp;"",1)="⚠",INDEX(인턴근무계획!$M$3:$R$202,$A17,$I$3)&amp;"",LEFT(INDEX(인턴근무계획!$M$3:$R$202,$A17,$I$3)&amp;"",FIND(" ",INDEX(인턴근무계획!$M$3:$R$202,$A17,$I$3)&amp;"")-1))))</f>
        <v/>
      </c>
      <c r="J17" s="23">
        <f>IF(OR($C17="",$I$3=""),"",IF(INDEX(인턴근무계획!$M$3:$R$202,$A17,$I$3)&amp;""="","",IF(LEFT(INDEX(인턴근무계획!$M$3:$R$202,$A17,$I$3)&amp;"",1)="⚠","",MID(INDEX(인턴근무계획!$M$3:$R$202,$A17,$I$3)&amp;"",FIND(" ",INDEX(인턴근무계획!$M$3:$R$202,$A17,$I$3)&amp;"")+1,60))))</f>
        <v/>
      </c>
      <c r="K17" s="23">
        <f>IF($C17="","",INDEX(인턴근무계획!$M$3:$M$202,$A17)&amp;"")</f>
        <v/>
      </c>
      <c r="L17" s="23">
        <f>IF($C17="","",INDEX(인턴근무계획!$N$3:$N$202,$A17)&amp;"")</f>
        <v/>
      </c>
      <c r="M17" s="23">
        <f>IF($C17="","",INDEX(인턴근무계획!$O$3:$O$202,$A17)&amp;"")</f>
        <v/>
      </c>
      <c r="N17" s="23">
        <f>IF($C17="","",INDEX(인턴근무계획!$P$3:$P$202,$A17)&amp;"")</f>
        <v/>
      </c>
      <c r="O17" s="23">
        <f>IF($C17="","",INDEX(인턴근무계획!$Q$3:$Q$202,$A17)&amp;"")</f>
        <v/>
      </c>
      <c r="P17" s="23">
        <f>IF($C17="","",INDEX(인턴근무계획!$R$3:$R$202,$A17)&amp;"")</f>
        <v/>
      </c>
      <c r="Q17" s="23">
        <f>IF($C17="","",INDEX(인턴근무계획!$T$3:$T$202,$A17))</f>
        <v/>
      </c>
      <c r="S17" s="23">
        <f>IF(코드표!A13="","",코드표!A13)</f>
        <v/>
      </c>
      <c r="T17" s="23">
        <f>IF($S17="","",COUNTIF(K$6:K$205,$S17&amp;" *"))</f>
        <v/>
      </c>
      <c r="U17" s="23">
        <f>IF($S17="","",COUNTIF(L$6:L$205,$S17&amp;" *"))</f>
        <v/>
      </c>
      <c r="V17" s="23">
        <f>IF($S17="","",COUNTIF(M$6:M$205,$S17&amp;" *"))</f>
        <v/>
      </c>
      <c r="W17" s="23">
        <f>IF($S17="","",COUNTIF(N$6:N$205,$S17&amp;" *"))</f>
        <v/>
      </c>
      <c r="X17" s="23">
        <f>IF($S17="","",COUNTIF(O$6:O$205,$S17&amp;" *"))</f>
        <v/>
      </c>
      <c r="Y17" s="23">
        <f>IF($S17="","",COUNTIF(P$6:P$205,$S17&amp;" *"))</f>
        <v/>
      </c>
    </row>
    <row r="18">
      <c r="A18" s="26" t="n">
        <v>13</v>
      </c>
      <c r="B18" s="23">
        <f>IF($C18="","",INDEX(인턴근무계획!$B$3:$B$202,$A18))</f>
        <v/>
      </c>
      <c r="C18" s="23">
        <f>IFERROR(TRIM(INDEX(인턴근무계획!$C$3:$C$202,$A18)&amp;""),"")</f>
        <v/>
      </c>
      <c r="D18" s="23">
        <f>IF($C18="","",INDEX(인턴근무계획!$D$3:$D$202,$A18))</f>
        <v/>
      </c>
      <c r="E18" s="23">
        <f>IF($C18="","",IF(IFERROR(MATCH($D18,기본자료!$B$2:$B$501,0),IFERROR(MATCH($D18&amp;"",기본자료!$B$2:$B$501,0),IFERROR(MATCH(VALUE($D18),기본자료!$B$2:$B$501,0),0)))&gt;0,"확인","미등록"))</f>
        <v/>
      </c>
      <c r="F18" s="27">
        <f>IF($C18="","",INDEX(인턴근무계획!$S$3:$S$202,$A18))</f>
        <v/>
      </c>
      <c r="G18" s="23">
        <f>IF(OR($C18="",$G$3=""),"",IF(INDEX(인턴근무계획!$M$3:$R$202,$A18,$G$3)&amp;""="","",IF(LEFT(INDEX(인턴근무계획!$M$3:$R$202,$A18,$G$3)&amp;"",1)="⚠",INDEX(인턴근무계획!$M$3:$R$202,$A18,$G$3)&amp;"",LEFT(INDEX(인턴근무계획!$M$3:$R$202,$A18,$G$3)&amp;"",FIND(" ",INDEX(인턴근무계획!$M$3:$R$202,$A18,$G$3)&amp;"")-1))))</f>
        <v/>
      </c>
      <c r="H18" s="23">
        <f>IF(OR($C18="",$G$3=""),"",IF(INDEX(인턴근무계획!$M$3:$R$202,$A18,$G$3)&amp;""="","",IF(LEFT(INDEX(인턴근무계획!$M$3:$R$202,$A18,$G$3)&amp;"",1)="⚠","",MID(INDEX(인턴근무계획!$M$3:$R$202,$A18,$G$3)&amp;"",FIND(" ",INDEX(인턴근무계획!$M$3:$R$202,$A18,$G$3)&amp;"")+1,60))))</f>
        <v/>
      </c>
      <c r="I18" s="23">
        <f>IF(OR($C18="",$I$3=""),"",IF(INDEX(인턴근무계획!$M$3:$R$202,$A18,$I$3)&amp;""="","",IF(LEFT(INDEX(인턴근무계획!$M$3:$R$202,$A18,$I$3)&amp;"",1)="⚠",INDEX(인턴근무계획!$M$3:$R$202,$A18,$I$3)&amp;"",LEFT(INDEX(인턴근무계획!$M$3:$R$202,$A18,$I$3)&amp;"",FIND(" ",INDEX(인턴근무계획!$M$3:$R$202,$A18,$I$3)&amp;"")-1))))</f>
        <v/>
      </c>
      <c r="J18" s="23">
        <f>IF(OR($C18="",$I$3=""),"",IF(INDEX(인턴근무계획!$M$3:$R$202,$A18,$I$3)&amp;""="","",IF(LEFT(INDEX(인턴근무계획!$M$3:$R$202,$A18,$I$3)&amp;"",1)="⚠","",MID(INDEX(인턴근무계획!$M$3:$R$202,$A18,$I$3)&amp;"",FIND(" ",INDEX(인턴근무계획!$M$3:$R$202,$A18,$I$3)&amp;"")+1,60))))</f>
        <v/>
      </c>
      <c r="K18" s="23">
        <f>IF($C18="","",INDEX(인턴근무계획!$M$3:$M$202,$A18)&amp;"")</f>
        <v/>
      </c>
      <c r="L18" s="23">
        <f>IF($C18="","",INDEX(인턴근무계획!$N$3:$N$202,$A18)&amp;"")</f>
        <v/>
      </c>
      <c r="M18" s="23">
        <f>IF($C18="","",INDEX(인턴근무계획!$O$3:$O$202,$A18)&amp;"")</f>
        <v/>
      </c>
      <c r="N18" s="23">
        <f>IF($C18="","",INDEX(인턴근무계획!$P$3:$P$202,$A18)&amp;"")</f>
        <v/>
      </c>
      <c r="O18" s="23">
        <f>IF($C18="","",INDEX(인턴근무계획!$Q$3:$Q$202,$A18)&amp;"")</f>
        <v/>
      </c>
      <c r="P18" s="23">
        <f>IF($C18="","",INDEX(인턴근무계획!$R$3:$R$202,$A18)&amp;"")</f>
        <v/>
      </c>
      <c r="Q18" s="23">
        <f>IF($C18="","",INDEX(인턴근무계획!$T$3:$T$202,$A18))</f>
        <v/>
      </c>
      <c r="S18" s="23">
        <f>IF(코드표!A14="","",코드표!A14)</f>
        <v/>
      </c>
      <c r="T18" s="23">
        <f>IF($S18="","",COUNTIF(K$6:K$205,$S18&amp;" *"))</f>
        <v/>
      </c>
      <c r="U18" s="23">
        <f>IF($S18="","",COUNTIF(L$6:L$205,$S18&amp;" *"))</f>
        <v/>
      </c>
      <c r="V18" s="23">
        <f>IF($S18="","",COUNTIF(M$6:M$205,$S18&amp;" *"))</f>
        <v/>
      </c>
      <c r="W18" s="23">
        <f>IF($S18="","",COUNTIF(N$6:N$205,$S18&amp;" *"))</f>
        <v/>
      </c>
      <c r="X18" s="23">
        <f>IF($S18="","",COUNTIF(O$6:O$205,$S18&amp;" *"))</f>
        <v/>
      </c>
      <c r="Y18" s="23">
        <f>IF($S18="","",COUNTIF(P$6:P$205,$S18&amp;" *"))</f>
        <v/>
      </c>
    </row>
    <row r="19">
      <c r="A19" s="26" t="n">
        <v>14</v>
      </c>
      <c r="B19" s="23">
        <f>IF($C19="","",INDEX(인턴근무계획!$B$3:$B$202,$A19))</f>
        <v/>
      </c>
      <c r="C19" s="23">
        <f>IFERROR(TRIM(INDEX(인턴근무계획!$C$3:$C$202,$A19)&amp;""),"")</f>
        <v/>
      </c>
      <c r="D19" s="23">
        <f>IF($C19="","",INDEX(인턴근무계획!$D$3:$D$202,$A19))</f>
        <v/>
      </c>
      <c r="E19" s="23">
        <f>IF($C19="","",IF(IFERROR(MATCH($D19,기본자료!$B$2:$B$501,0),IFERROR(MATCH($D19&amp;"",기본자료!$B$2:$B$501,0),IFERROR(MATCH(VALUE($D19),기본자료!$B$2:$B$501,0),0)))&gt;0,"확인","미등록"))</f>
        <v/>
      </c>
      <c r="F19" s="27">
        <f>IF($C19="","",INDEX(인턴근무계획!$S$3:$S$202,$A19))</f>
        <v/>
      </c>
      <c r="G19" s="23">
        <f>IF(OR($C19="",$G$3=""),"",IF(INDEX(인턴근무계획!$M$3:$R$202,$A19,$G$3)&amp;""="","",IF(LEFT(INDEX(인턴근무계획!$M$3:$R$202,$A19,$G$3)&amp;"",1)="⚠",INDEX(인턴근무계획!$M$3:$R$202,$A19,$G$3)&amp;"",LEFT(INDEX(인턴근무계획!$M$3:$R$202,$A19,$G$3)&amp;"",FIND(" ",INDEX(인턴근무계획!$M$3:$R$202,$A19,$G$3)&amp;"")-1))))</f>
        <v/>
      </c>
      <c r="H19" s="23">
        <f>IF(OR($C19="",$G$3=""),"",IF(INDEX(인턴근무계획!$M$3:$R$202,$A19,$G$3)&amp;""="","",IF(LEFT(INDEX(인턴근무계획!$M$3:$R$202,$A19,$G$3)&amp;"",1)="⚠","",MID(INDEX(인턴근무계획!$M$3:$R$202,$A19,$G$3)&amp;"",FIND(" ",INDEX(인턴근무계획!$M$3:$R$202,$A19,$G$3)&amp;"")+1,60))))</f>
        <v/>
      </c>
      <c r="I19" s="23">
        <f>IF(OR($C19="",$I$3=""),"",IF(INDEX(인턴근무계획!$M$3:$R$202,$A19,$I$3)&amp;""="","",IF(LEFT(INDEX(인턴근무계획!$M$3:$R$202,$A19,$I$3)&amp;"",1)="⚠",INDEX(인턴근무계획!$M$3:$R$202,$A19,$I$3)&amp;"",LEFT(INDEX(인턴근무계획!$M$3:$R$202,$A19,$I$3)&amp;"",FIND(" ",INDEX(인턴근무계획!$M$3:$R$202,$A19,$I$3)&amp;"")-1))))</f>
        <v/>
      </c>
      <c r="J19" s="23">
        <f>IF(OR($C19="",$I$3=""),"",IF(INDEX(인턴근무계획!$M$3:$R$202,$A19,$I$3)&amp;""="","",IF(LEFT(INDEX(인턴근무계획!$M$3:$R$202,$A19,$I$3)&amp;"",1)="⚠","",MID(INDEX(인턴근무계획!$M$3:$R$202,$A19,$I$3)&amp;"",FIND(" ",INDEX(인턴근무계획!$M$3:$R$202,$A19,$I$3)&amp;"")+1,60))))</f>
        <v/>
      </c>
      <c r="K19" s="23">
        <f>IF($C19="","",INDEX(인턴근무계획!$M$3:$M$202,$A19)&amp;"")</f>
        <v/>
      </c>
      <c r="L19" s="23">
        <f>IF($C19="","",INDEX(인턴근무계획!$N$3:$N$202,$A19)&amp;"")</f>
        <v/>
      </c>
      <c r="M19" s="23">
        <f>IF($C19="","",INDEX(인턴근무계획!$O$3:$O$202,$A19)&amp;"")</f>
        <v/>
      </c>
      <c r="N19" s="23">
        <f>IF($C19="","",INDEX(인턴근무계획!$P$3:$P$202,$A19)&amp;"")</f>
        <v/>
      </c>
      <c r="O19" s="23">
        <f>IF($C19="","",INDEX(인턴근무계획!$Q$3:$Q$202,$A19)&amp;"")</f>
        <v/>
      </c>
      <c r="P19" s="23">
        <f>IF($C19="","",INDEX(인턴근무계획!$R$3:$R$202,$A19)&amp;"")</f>
        <v/>
      </c>
      <c r="Q19" s="23">
        <f>IF($C19="","",INDEX(인턴근무계획!$T$3:$T$202,$A19))</f>
        <v/>
      </c>
      <c r="S19" s="23">
        <f>IF(코드표!A15="","",코드표!A15)</f>
        <v/>
      </c>
      <c r="T19" s="23">
        <f>IF($S19="","",COUNTIF(K$6:K$205,$S19&amp;" *"))</f>
        <v/>
      </c>
      <c r="U19" s="23">
        <f>IF($S19="","",COUNTIF(L$6:L$205,$S19&amp;" *"))</f>
        <v/>
      </c>
      <c r="V19" s="23">
        <f>IF($S19="","",COUNTIF(M$6:M$205,$S19&amp;" *"))</f>
        <v/>
      </c>
      <c r="W19" s="23">
        <f>IF($S19="","",COUNTIF(N$6:N$205,$S19&amp;" *"))</f>
        <v/>
      </c>
      <c r="X19" s="23">
        <f>IF($S19="","",COUNTIF(O$6:O$205,$S19&amp;" *"))</f>
        <v/>
      </c>
      <c r="Y19" s="23">
        <f>IF($S19="","",COUNTIF(P$6:P$205,$S19&amp;" *"))</f>
        <v/>
      </c>
    </row>
    <row r="20">
      <c r="A20" s="26" t="n">
        <v>15</v>
      </c>
      <c r="B20" s="23">
        <f>IF($C20="","",INDEX(인턴근무계획!$B$3:$B$202,$A20))</f>
        <v/>
      </c>
      <c r="C20" s="23">
        <f>IFERROR(TRIM(INDEX(인턴근무계획!$C$3:$C$202,$A20)&amp;""),"")</f>
        <v/>
      </c>
      <c r="D20" s="23">
        <f>IF($C20="","",INDEX(인턴근무계획!$D$3:$D$202,$A20))</f>
        <v/>
      </c>
      <c r="E20" s="23">
        <f>IF($C20="","",IF(IFERROR(MATCH($D20,기본자료!$B$2:$B$501,0),IFERROR(MATCH($D20&amp;"",기본자료!$B$2:$B$501,0),IFERROR(MATCH(VALUE($D20),기본자료!$B$2:$B$501,0),0)))&gt;0,"확인","미등록"))</f>
        <v/>
      </c>
      <c r="F20" s="27">
        <f>IF($C20="","",INDEX(인턴근무계획!$S$3:$S$202,$A20))</f>
        <v/>
      </c>
      <c r="G20" s="23">
        <f>IF(OR($C20="",$G$3=""),"",IF(INDEX(인턴근무계획!$M$3:$R$202,$A20,$G$3)&amp;""="","",IF(LEFT(INDEX(인턴근무계획!$M$3:$R$202,$A20,$G$3)&amp;"",1)="⚠",INDEX(인턴근무계획!$M$3:$R$202,$A20,$G$3)&amp;"",LEFT(INDEX(인턴근무계획!$M$3:$R$202,$A20,$G$3)&amp;"",FIND(" ",INDEX(인턴근무계획!$M$3:$R$202,$A20,$G$3)&amp;"")-1))))</f>
        <v/>
      </c>
      <c r="H20" s="23">
        <f>IF(OR($C20="",$G$3=""),"",IF(INDEX(인턴근무계획!$M$3:$R$202,$A20,$G$3)&amp;""="","",IF(LEFT(INDEX(인턴근무계획!$M$3:$R$202,$A20,$G$3)&amp;"",1)="⚠","",MID(INDEX(인턴근무계획!$M$3:$R$202,$A20,$G$3)&amp;"",FIND(" ",INDEX(인턴근무계획!$M$3:$R$202,$A20,$G$3)&amp;"")+1,60))))</f>
        <v/>
      </c>
      <c r="I20" s="23">
        <f>IF(OR($C20="",$I$3=""),"",IF(INDEX(인턴근무계획!$M$3:$R$202,$A20,$I$3)&amp;""="","",IF(LEFT(INDEX(인턴근무계획!$M$3:$R$202,$A20,$I$3)&amp;"",1)="⚠",INDEX(인턴근무계획!$M$3:$R$202,$A20,$I$3)&amp;"",LEFT(INDEX(인턴근무계획!$M$3:$R$202,$A20,$I$3)&amp;"",FIND(" ",INDEX(인턴근무계획!$M$3:$R$202,$A20,$I$3)&amp;"")-1))))</f>
        <v/>
      </c>
      <c r="J20" s="23">
        <f>IF(OR($C20="",$I$3=""),"",IF(INDEX(인턴근무계획!$M$3:$R$202,$A20,$I$3)&amp;""="","",IF(LEFT(INDEX(인턴근무계획!$M$3:$R$202,$A20,$I$3)&amp;"",1)="⚠","",MID(INDEX(인턴근무계획!$M$3:$R$202,$A20,$I$3)&amp;"",FIND(" ",INDEX(인턴근무계획!$M$3:$R$202,$A20,$I$3)&amp;"")+1,60))))</f>
        <v/>
      </c>
      <c r="K20" s="23">
        <f>IF($C20="","",INDEX(인턴근무계획!$M$3:$M$202,$A20)&amp;"")</f>
        <v/>
      </c>
      <c r="L20" s="23">
        <f>IF($C20="","",INDEX(인턴근무계획!$N$3:$N$202,$A20)&amp;"")</f>
        <v/>
      </c>
      <c r="M20" s="23">
        <f>IF($C20="","",INDEX(인턴근무계획!$O$3:$O$202,$A20)&amp;"")</f>
        <v/>
      </c>
      <c r="N20" s="23">
        <f>IF($C20="","",INDEX(인턴근무계획!$P$3:$P$202,$A20)&amp;"")</f>
        <v/>
      </c>
      <c r="O20" s="23">
        <f>IF($C20="","",INDEX(인턴근무계획!$Q$3:$Q$202,$A20)&amp;"")</f>
        <v/>
      </c>
      <c r="P20" s="23">
        <f>IF($C20="","",INDEX(인턴근무계획!$R$3:$R$202,$A20)&amp;"")</f>
        <v/>
      </c>
      <c r="Q20" s="23">
        <f>IF($C20="","",INDEX(인턴근무계획!$T$3:$T$202,$A20))</f>
        <v/>
      </c>
      <c r="S20" s="23">
        <f>IF(코드표!A16="","",코드표!A16)</f>
        <v/>
      </c>
      <c r="T20" s="23">
        <f>IF($S20="","",COUNTIF(K$6:K$205,$S20&amp;" *"))</f>
        <v/>
      </c>
      <c r="U20" s="23">
        <f>IF($S20="","",COUNTIF(L$6:L$205,$S20&amp;" *"))</f>
        <v/>
      </c>
      <c r="V20" s="23">
        <f>IF($S20="","",COUNTIF(M$6:M$205,$S20&amp;" *"))</f>
        <v/>
      </c>
      <c r="W20" s="23">
        <f>IF($S20="","",COUNTIF(N$6:N$205,$S20&amp;" *"))</f>
        <v/>
      </c>
      <c r="X20" s="23">
        <f>IF($S20="","",COUNTIF(O$6:O$205,$S20&amp;" *"))</f>
        <v/>
      </c>
      <c r="Y20" s="23">
        <f>IF($S20="","",COUNTIF(P$6:P$205,$S20&amp;" *"))</f>
        <v/>
      </c>
    </row>
    <row r="21">
      <c r="A21" s="26" t="n">
        <v>16</v>
      </c>
      <c r="B21" s="23">
        <f>IF($C21="","",INDEX(인턴근무계획!$B$3:$B$202,$A21))</f>
        <v/>
      </c>
      <c r="C21" s="23">
        <f>IFERROR(TRIM(INDEX(인턴근무계획!$C$3:$C$202,$A21)&amp;""),"")</f>
        <v/>
      </c>
      <c r="D21" s="23">
        <f>IF($C21="","",INDEX(인턴근무계획!$D$3:$D$202,$A21))</f>
        <v/>
      </c>
      <c r="E21" s="23">
        <f>IF($C21="","",IF(IFERROR(MATCH($D21,기본자료!$B$2:$B$501,0),IFERROR(MATCH($D21&amp;"",기본자료!$B$2:$B$501,0),IFERROR(MATCH(VALUE($D21),기본자료!$B$2:$B$501,0),0)))&gt;0,"확인","미등록"))</f>
        <v/>
      </c>
      <c r="F21" s="27">
        <f>IF($C21="","",INDEX(인턴근무계획!$S$3:$S$202,$A21))</f>
        <v/>
      </c>
      <c r="G21" s="23">
        <f>IF(OR($C21="",$G$3=""),"",IF(INDEX(인턴근무계획!$M$3:$R$202,$A21,$G$3)&amp;""="","",IF(LEFT(INDEX(인턴근무계획!$M$3:$R$202,$A21,$G$3)&amp;"",1)="⚠",INDEX(인턴근무계획!$M$3:$R$202,$A21,$G$3)&amp;"",LEFT(INDEX(인턴근무계획!$M$3:$R$202,$A21,$G$3)&amp;"",FIND(" ",INDEX(인턴근무계획!$M$3:$R$202,$A21,$G$3)&amp;"")-1))))</f>
        <v/>
      </c>
      <c r="H21" s="23">
        <f>IF(OR($C21="",$G$3=""),"",IF(INDEX(인턴근무계획!$M$3:$R$202,$A21,$G$3)&amp;""="","",IF(LEFT(INDEX(인턴근무계획!$M$3:$R$202,$A21,$G$3)&amp;"",1)="⚠","",MID(INDEX(인턴근무계획!$M$3:$R$202,$A21,$G$3)&amp;"",FIND(" ",INDEX(인턴근무계획!$M$3:$R$202,$A21,$G$3)&amp;"")+1,60))))</f>
        <v/>
      </c>
      <c r="I21" s="23">
        <f>IF(OR($C21="",$I$3=""),"",IF(INDEX(인턴근무계획!$M$3:$R$202,$A21,$I$3)&amp;""="","",IF(LEFT(INDEX(인턴근무계획!$M$3:$R$202,$A21,$I$3)&amp;"",1)="⚠",INDEX(인턴근무계획!$M$3:$R$202,$A21,$I$3)&amp;"",LEFT(INDEX(인턴근무계획!$M$3:$R$202,$A21,$I$3)&amp;"",FIND(" ",INDEX(인턴근무계획!$M$3:$R$202,$A21,$I$3)&amp;"")-1))))</f>
        <v/>
      </c>
      <c r="J21" s="23">
        <f>IF(OR($C21="",$I$3=""),"",IF(INDEX(인턴근무계획!$M$3:$R$202,$A21,$I$3)&amp;""="","",IF(LEFT(INDEX(인턴근무계획!$M$3:$R$202,$A21,$I$3)&amp;"",1)="⚠","",MID(INDEX(인턴근무계획!$M$3:$R$202,$A21,$I$3)&amp;"",FIND(" ",INDEX(인턴근무계획!$M$3:$R$202,$A21,$I$3)&amp;"")+1,60))))</f>
        <v/>
      </c>
      <c r="K21" s="23">
        <f>IF($C21="","",INDEX(인턴근무계획!$M$3:$M$202,$A21)&amp;"")</f>
        <v/>
      </c>
      <c r="L21" s="23">
        <f>IF($C21="","",INDEX(인턴근무계획!$N$3:$N$202,$A21)&amp;"")</f>
        <v/>
      </c>
      <c r="M21" s="23">
        <f>IF($C21="","",INDEX(인턴근무계획!$O$3:$O$202,$A21)&amp;"")</f>
        <v/>
      </c>
      <c r="N21" s="23">
        <f>IF($C21="","",INDEX(인턴근무계획!$P$3:$P$202,$A21)&amp;"")</f>
        <v/>
      </c>
      <c r="O21" s="23">
        <f>IF($C21="","",INDEX(인턴근무계획!$Q$3:$Q$202,$A21)&amp;"")</f>
        <v/>
      </c>
      <c r="P21" s="23">
        <f>IF($C21="","",INDEX(인턴근무계획!$R$3:$R$202,$A21)&amp;"")</f>
        <v/>
      </c>
      <c r="Q21" s="23">
        <f>IF($C21="","",INDEX(인턴근무계획!$T$3:$T$202,$A21))</f>
        <v/>
      </c>
      <c r="S21" s="23">
        <f>IF(코드표!A17="","",코드표!A17)</f>
        <v/>
      </c>
      <c r="T21" s="23">
        <f>IF($S21="","",COUNTIF(K$6:K$205,$S21&amp;" *"))</f>
        <v/>
      </c>
      <c r="U21" s="23">
        <f>IF($S21="","",COUNTIF(L$6:L$205,$S21&amp;" *"))</f>
        <v/>
      </c>
      <c r="V21" s="23">
        <f>IF($S21="","",COUNTIF(M$6:M$205,$S21&amp;" *"))</f>
        <v/>
      </c>
      <c r="W21" s="23">
        <f>IF($S21="","",COUNTIF(N$6:N$205,$S21&amp;" *"))</f>
        <v/>
      </c>
      <c r="X21" s="23">
        <f>IF($S21="","",COUNTIF(O$6:O$205,$S21&amp;" *"))</f>
        <v/>
      </c>
      <c r="Y21" s="23">
        <f>IF($S21="","",COUNTIF(P$6:P$205,$S21&amp;" *"))</f>
        <v/>
      </c>
    </row>
    <row r="22">
      <c r="A22" s="26" t="n">
        <v>17</v>
      </c>
      <c r="B22" s="23">
        <f>IF($C22="","",INDEX(인턴근무계획!$B$3:$B$202,$A22))</f>
        <v/>
      </c>
      <c r="C22" s="23">
        <f>IFERROR(TRIM(INDEX(인턴근무계획!$C$3:$C$202,$A22)&amp;""),"")</f>
        <v/>
      </c>
      <c r="D22" s="23">
        <f>IF($C22="","",INDEX(인턴근무계획!$D$3:$D$202,$A22))</f>
        <v/>
      </c>
      <c r="E22" s="23">
        <f>IF($C22="","",IF(IFERROR(MATCH($D22,기본자료!$B$2:$B$501,0),IFERROR(MATCH($D22&amp;"",기본자료!$B$2:$B$501,0),IFERROR(MATCH(VALUE($D22),기본자료!$B$2:$B$501,0),0)))&gt;0,"확인","미등록"))</f>
        <v/>
      </c>
      <c r="F22" s="27">
        <f>IF($C22="","",INDEX(인턴근무계획!$S$3:$S$202,$A22))</f>
        <v/>
      </c>
      <c r="G22" s="23">
        <f>IF(OR($C22="",$G$3=""),"",IF(INDEX(인턴근무계획!$M$3:$R$202,$A22,$G$3)&amp;""="","",IF(LEFT(INDEX(인턴근무계획!$M$3:$R$202,$A22,$G$3)&amp;"",1)="⚠",INDEX(인턴근무계획!$M$3:$R$202,$A22,$G$3)&amp;"",LEFT(INDEX(인턴근무계획!$M$3:$R$202,$A22,$G$3)&amp;"",FIND(" ",INDEX(인턴근무계획!$M$3:$R$202,$A22,$G$3)&amp;"")-1))))</f>
        <v/>
      </c>
      <c r="H22" s="23">
        <f>IF(OR($C22="",$G$3=""),"",IF(INDEX(인턴근무계획!$M$3:$R$202,$A22,$G$3)&amp;""="","",IF(LEFT(INDEX(인턴근무계획!$M$3:$R$202,$A22,$G$3)&amp;"",1)="⚠","",MID(INDEX(인턴근무계획!$M$3:$R$202,$A22,$G$3)&amp;"",FIND(" ",INDEX(인턴근무계획!$M$3:$R$202,$A22,$G$3)&amp;"")+1,60))))</f>
        <v/>
      </c>
      <c r="I22" s="23">
        <f>IF(OR($C22="",$I$3=""),"",IF(INDEX(인턴근무계획!$M$3:$R$202,$A22,$I$3)&amp;""="","",IF(LEFT(INDEX(인턴근무계획!$M$3:$R$202,$A22,$I$3)&amp;"",1)="⚠",INDEX(인턴근무계획!$M$3:$R$202,$A22,$I$3)&amp;"",LEFT(INDEX(인턴근무계획!$M$3:$R$202,$A22,$I$3)&amp;"",FIND(" ",INDEX(인턴근무계획!$M$3:$R$202,$A22,$I$3)&amp;"")-1))))</f>
        <v/>
      </c>
      <c r="J22" s="23">
        <f>IF(OR($C22="",$I$3=""),"",IF(INDEX(인턴근무계획!$M$3:$R$202,$A22,$I$3)&amp;""="","",IF(LEFT(INDEX(인턴근무계획!$M$3:$R$202,$A22,$I$3)&amp;"",1)="⚠","",MID(INDEX(인턴근무계획!$M$3:$R$202,$A22,$I$3)&amp;"",FIND(" ",INDEX(인턴근무계획!$M$3:$R$202,$A22,$I$3)&amp;"")+1,60))))</f>
        <v/>
      </c>
      <c r="K22" s="23">
        <f>IF($C22="","",INDEX(인턴근무계획!$M$3:$M$202,$A22)&amp;"")</f>
        <v/>
      </c>
      <c r="L22" s="23">
        <f>IF($C22="","",INDEX(인턴근무계획!$N$3:$N$202,$A22)&amp;"")</f>
        <v/>
      </c>
      <c r="M22" s="23">
        <f>IF($C22="","",INDEX(인턴근무계획!$O$3:$O$202,$A22)&amp;"")</f>
        <v/>
      </c>
      <c r="N22" s="23">
        <f>IF($C22="","",INDEX(인턴근무계획!$P$3:$P$202,$A22)&amp;"")</f>
        <v/>
      </c>
      <c r="O22" s="23">
        <f>IF($C22="","",INDEX(인턴근무계획!$Q$3:$Q$202,$A22)&amp;"")</f>
        <v/>
      </c>
      <c r="P22" s="23">
        <f>IF($C22="","",INDEX(인턴근무계획!$R$3:$R$202,$A22)&amp;"")</f>
        <v/>
      </c>
      <c r="Q22" s="23">
        <f>IF($C22="","",INDEX(인턴근무계획!$T$3:$T$202,$A22))</f>
        <v/>
      </c>
      <c r="S22" s="23">
        <f>IF(코드표!A18="","",코드표!A18)</f>
        <v/>
      </c>
      <c r="T22" s="23">
        <f>IF($S22="","",COUNTIF(K$6:K$205,$S22&amp;" *"))</f>
        <v/>
      </c>
      <c r="U22" s="23">
        <f>IF($S22="","",COUNTIF(L$6:L$205,$S22&amp;" *"))</f>
        <v/>
      </c>
      <c r="V22" s="23">
        <f>IF($S22="","",COUNTIF(M$6:M$205,$S22&amp;" *"))</f>
        <v/>
      </c>
      <c r="W22" s="23">
        <f>IF($S22="","",COUNTIF(N$6:N$205,$S22&amp;" *"))</f>
        <v/>
      </c>
      <c r="X22" s="23">
        <f>IF($S22="","",COUNTIF(O$6:O$205,$S22&amp;" *"))</f>
        <v/>
      </c>
      <c r="Y22" s="23">
        <f>IF($S22="","",COUNTIF(P$6:P$205,$S22&amp;" *"))</f>
        <v/>
      </c>
    </row>
    <row r="23">
      <c r="A23" s="26" t="n">
        <v>18</v>
      </c>
      <c r="B23" s="23">
        <f>IF($C23="","",INDEX(인턴근무계획!$B$3:$B$202,$A23))</f>
        <v/>
      </c>
      <c r="C23" s="23">
        <f>IFERROR(TRIM(INDEX(인턴근무계획!$C$3:$C$202,$A23)&amp;""),"")</f>
        <v/>
      </c>
      <c r="D23" s="23">
        <f>IF($C23="","",INDEX(인턴근무계획!$D$3:$D$202,$A23))</f>
        <v/>
      </c>
      <c r="E23" s="23">
        <f>IF($C23="","",IF(IFERROR(MATCH($D23,기본자료!$B$2:$B$501,0),IFERROR(MATCH($D23&amp;"",기본자료!$B$2:$B$501,0),IFERROR(MATCH(VALUE($D23),기본자료!$B$2:$B$501,0),0)))&gt;0,"확인","미등록"))</f>
        <v/>
      </c>
      <c r="F23" s="27">
        <f>IF($C23="","",INDEX(인턴근무계획!$S$3:$S$202,$A23))</f>
        <v/>
      </c>
      <c r="G23" s="23">
        <f>IF(OR($C23="",$G$3=""),"",IF(INDEX(인턴근무계획!$M$3:$R$202,$A23,$G$3)&amp;""="","",IF(LEFT(INDEX(인턴근무계획!$M$3:$R$202,$A23,$G$3)&amp;"",1)="⚠",INDEX(인턴근무계획!$M$3:$R$202,$A23,$G$3)&amp;"",LEFT(INDEX(인턴근무계획!$M$3:$R$202,$A23,$G$3)&amp;"",FIND(" ",INDEX(인턴근무계획!$M$3:$R$202,$A23,$G$3)&amp;"")-1))))</f>
        <v/>
      </c>
      <c r="H23" s="23">
        <f>IF(OR($C23="",$G$3=""),"",IF(INDEX(인턴근무계획!$M$3:$R$202,$A23,$G$3)&amp;""="","",IF(LEFT(INDEX(인턴근무계획!$M$3:$R$202,$A23,$G$3)&amp;"",1)="⚠","",MID(INDEX(인턴근무계획!$M$3:$R$202,$A23,$G$3)&amp;"",FIND(" ",INDEX(인턴근무계획!$M$3:$R$202,$A23,$G$3)&amp;"")+1,60))))</f>
        <v/>
      </c>
      <c r="I23" s="23">
        <f>IF(OR($C23="",$I$3=""),"",IF(INDEX(인턴근무계획!$M$3:$R$202,$A23,$I$3)&amp;""="","",IF(LEFT(INDEX(인턴근무계획!$M$3:$R$202,$A23,$I$3)&amp;"",1)="⚠",INDEX(인턴근무계획!$M$3:$R$202,$A23,$I$3)&amp;"",LEFT(INDEX(인턴근무계획!$M$3:$R$202,$A23,$I$3)&amp;"",FIND(" ",INDEX(인턴근무계획!$M$3:$R$202,$A23,$I$3)&amp;"")-1))))</f>
        <v/>
      </c>
      <c r="J23" s="23">
        <f>IF(OR($C23="",$I$3=""),"",IF(INDEX(인턴근무계획!$M$3:$R$202,$A23,$I$3)&amp;""="","",IF(LEFT(INDEX(인턴근무계획!$M$3:$R$202,$A23,$I$3)&amp;"",1)="⚠","",MID(INDEX(인턴근무계획!$M$3:$R$202,$A23,$I$3)&amp;"",FIND(" ",INDEX(인턴근무계획!$M$3:$R$202,$A23,$I$3)&amp;"")+1,60))))</f>
        <v/>
      </c>
      <c r="K23" s="23">
        <f>IF($C23="","",INDEX(인턴근무계획!$M$3:$M$202,$A23)&amp;"")</f>
        <v/>
      </c>
      <c r="L23" s="23">
        <f>IF($C23="","",INDEX(인턴근무계획!$N$3:$N$202,$A23)&amp;"")</f>
        <v/>
      </c>
      <c r="M23" s="23">
        <f>IF($C23="","",INDEX(인턴근무계획!$O$3:$O$202,$A23)&amp;"")</f>
        <v/>
      </c>
      <c r="N23" s="23">
        <f>IF($C23="","",INDEX(인턴근무계획!$P$3:$P$202,$A23)&amp;"")</f>
        <v/>
      </c>
      <c r="O23" s="23">
        <f>IF($C23="","",INDEX(인턴근무계획!$Q$3:$Q$202,$A23)&amp;"")</f>
        <v/>
      </c>
      <c r="P23" s="23">
        <f>IF($C23="","",INDEX(인턴근무계획!$R$3:$R$202,$A23)&amp;"")</f>
        <v/>
      </c>
      <c r="Q23" s="23">
        <f>IF($C23="","",INDEX(인턴근무계획!$T$3:$T$202,$A23))</f>
        <v/>
      </c>
      <c r="S23" s="23">
        <f>IF(코드표!A19="","",코드표!A19)</f>
        <v/>
      </c>
      <c r="T23" s="23">
        <f>IF($S23="","",COUNTIF(K$6:K$205,$S23&amp;" *"))</f>
        <v/>
      </c>
      <c r="U23" s="23">
        <f>IF($S23="","",COUNTIF(L$6:L$205,$S23&amp;" *"))</f>
        <v/>
      </c>
      <c r="V23" s="23">
        <f>IF($S23="","",COUNTIF(M$6:M$205,$S23&amp;" *"))</f>
        <v/>
      </c>
      <c r="W23" s="23">
        <f>IF($S23="","",COUNTIF(N$6:N$205,$S23&amp;" *"))</f>
        <v/>
      </c>
      <c r="X23" s="23">
        <f>IF($S23="","",COUNTIF(O$6:O$205,$S23&amp;" *"))</f>
        <v/>
      </c>
      <c r="Y23" s="23">
        <f>IF($S23="","",COUNTIF(P$6:P$205,$S23&amp;" *"))</f>
        <v/>
      </c>
    </row>
    <row r="24">
      <c r="A24" s="26" t="n">
        <v>19</v>
      </c>
      <c r="B24" s="23">
        <f>IF($C24="","",INDEX(인턴근무계획!$B$3:$B$202,$A24))</f>
        <v/>
      </c>
      <c r="C24" s="23">
        <f>IFERROR(TRIM(INDEX(인턴근무계획!$C$3:$C$202,$A24)&amp;""),"")</f>
        <v/>
      </c>
      <c r="D24" s="23">
        <f>IF($C24="","",INDEX(인턴근무계획!$D$3:$D$202,$A24))</f>
        <v/>
      </c>
      <c r="E24" s="23">
        <f>IF($C24="","",IF(IFERROR(MATCH($D24,기본자료!$B$2:$B$501,0),IFERROR(MATCH($D24&amp;"",기본자료!$B$2:$B$501,0),IFERROR(MATCH(VALUE($D24),기본자료!$B$2:$B$501,0),0)))&gt;0,"확인","미등록"))</f>
        <v/>
      </c>
      <c r="F24" s="27">
        <f>IF($C24="","",INDEX(인턴근무계획!$S$3:$S$202,$A24))</f>
        <v/>
      </c>
      <c r="G24" s="23">
        <f>IF(OR($C24="",$G$3=""),"",IF(INDEX(인턴근무계획!$M$3:$R$202,$A24,$G$3)&amp;""="","",IF(LEFT(INDEX(인턴근무계획!$M$3:$R$202,$A24,$G$3)&amp;"",1)="⚠",INDEX(인턴근무계획!$M$3:$R$202,$A24,$G$3)&amp;"",LEFT(INDEX(인턴근무계획!$M$3:$R$202,$A24,$G$3)&amp;"",FIND(" ",INDEX(인턴근무계획!$M$3:$R$202,$A24,$G$3)&amp;"")-1))))</f>
        <v/>
      </c>
      <c r="H24" s="23">
        <f>IF(OR($C24="",$G$3=""),"",IF(INDEX(인턴근무계획!$M$3:$R$202,$A24,$G$3)&amp;""="","",IF(LEFT(INDEX(인턴근무계획!$M$3:$R$202,$A24,$G$3)&amp;"",1)="⚠","",MID(INDEX(인턴근무계획!$M$3:$R$202,$A24,$G$3)&amp;"",FIND(" ",INDEX(인턴근무계획!$M$3:$R$202,$A24,$G$3)&amp;"")+1,60))))</f>
        <v/>
      </c>
      <c r="I24" s="23">
        <f>IF(OR($C24="",$I$3=""),"",IF(INDEX(인턴근무계획!$M$3:$R$202,$A24,$I$3)&amp;""="","",IF(LEFT(INDEX(인턴근무계획!$M$3:$R$202,$A24,$I$3)&amp;"",1)="⚠",INDEX(인턴근무계획!$M$3:$R$202,$A24,$I$3)&amp;"",LEFT(INDEX(인턴근무계획!$M$3:$R$202,$A24,$I$3)&amp;"",FIND(" ",INDEX(인턴근무계획!$M$3:$R$202,$A24,$I$3)&amp;"")-1))))</f>
        <v/>
      </c>
      <c r="J24" s="23">
        <f>IF(OR($C24="",$I$3=""),"",IF(INDEX(인턴근무계획!$M$3:$R$202,$A24,$I$3)&amp;""="","",IF(LEFT(INDEX(인턴근무계획!$M$3:$R$202,$A24,$I$3)&amp;"",1)="⚠","",MID(INDEX(인턴근무계획!$M$3:$R$202,$A24,$I$3)&amp;"",FIND(" ",INDEX(인턴근무계획!$M$3:$R$202,$A24,$I$3)&amp;"")+1,60))))</f>
        <v/>
      </c>
      <c r="K24" s="23">
        <f>IF($C24="","",INDEX(인턴근무계획!$M$3:$M$202,$A24)&amp;"")</f>
        <v/>
      </c>
      <c r="L24" s="23">
        <f>IF($C24="","",INDEX(인턴근무계획!$N$3:$N$202,$A24)&amp;"")</f>
        <v/>
      </c>
      <c r="M24" s="23">
        <f>IF($C24="","",INDEX(인턴근무계획!$O$3:$O$202,$A24)&amp;"")</f>
        <v/>
      </c>
      <c r="N24" s="23">
        <f>IF($C24="","",INDEX(인턴근무계획!$P$3:$P$202,$A24)&amp;"")</f>
        <v/>
      </c>
      <c r="O24" s="23">
        <f>IF($C24="","",INDEX(인턴근무계획!$Q$3:$Q$202,$A24)&amp;"")</f>
        <v/>
      </c>
      <c r="P24" s="23">
        <f>IF($C24="","",INDEX(인턴근무계획!$R$3:$R$202,$A24)&amp;"")</f>
        <v/>
      </c>
      <c r="Q24" s="23">
        <f>IF($C24="","",INDEX(인턴근무계획!$T$3:$T$202,$A24))</f>
        <v/>
      </c>
      <c r="S24" s="23">
        <f>IF(코드표!A20="","",코드표!A20)</f>
        <v/>
      </c>
      <c r="T24" s="23">
        <f>IF($S24="","",COUNTIF(K$6:K$205,$S24&amp;" *"))</f>
        <v/>
      </c>
      <c r="U24" s="23">
        <f>IF($S24="","",COUNTIF(L$6:L$205,$S24&amp;" *"))</f>
        <v/>
      </c>
      <c r="V24" s="23">
        <f>IF($S24="","",COUNTIF(M$6:M$205,$S24&amp;" *"))</f>
        <v/>
      </c>
      <c r="W24" s="23">
        <f>IF($S24="","",COUNTIF(N$6:N$205,$S24&amp;" *"))</f>
        <v/>
      </c>
      <c r="X24" s="23">
        <f>IF($S24="","",COUNTIF(O$6:O$205,$S24&amp;" *"))</f>
        <v/>
      </c>
      <c r="Y24" s="23">
        <f>IF($S24="","",COUNTIF(P$6:P$205,$S24&amp;" *"))</f>
        <v/>
      </c>
    </row>
    <row r="25">
      <c r="A25" s="26" t="n">
        <v>20</v>
      </c>
      <c r="B25" s="23">
        <f>IF($C25="","",INDEX(인턴근무계획!$B$3:$B$202,$A25))</f>
        <v/>
      </c>
      <c r="C25" s="23">
        <f>IFERROR(TRIM(INDEX(인턴근무계획!$C$3:$C$202,$A25)&amp;""),"")</f>
        <v/>
      </c>
      <c r="D25" s="23">
        <f>IF($C25="","",INDEX(인턴근무계획!$D$3:$D$202,$A25))</f>
        <v/>
      </c>
      <c r="E25" s="23">
        <f>IF($C25="","",IF(IFERROR(MATCH($D25,기본자료!$B$2:$B$501,0),IFERROR(MATCH($D25&amp;"",기본자료!$B$2:$B$501,0),IFERROR(MATCH(VALUE($D25),기본자료!$B$2:$B$501,0),0)))&gt;0,"확인","미등록"))</f>
        <v/>
      </c>
      <c r="F25" s="27">
        <f>IF($C25="","",INDEX(인턴근무계획!$S$3:$S$202,$A25))</f>
        <v/>
      </c>
      <c r="G25" s="23">
        <f>IF(OR($C25="",$G$3=""),"",IF(INDEX(인턴근무계획!$M$3:$R$202,$A25,$G$3)&amp;""="","",IF(LEFT(INDEX(인턴근무계획!$M$3:$R$202,$A25,$G$3)&amp;"",1)="⚠",INDEX(인턴근무계획!$M$3:$R$202,$A25,$G$3)&amp;"",LEFT(INDEX(인턴근무계획!$M$3:$R$202,$A25,$G$3)&amp;"",FIND(" ",INDEX(인턴근무계획!$M$3:$R$202,$A25,$G$3)&amp;"")-1))))</f>
        <v/>
      </c>
      <c r="H25" s="23">
        <f>IF(OR($C25="",$G$3=""),"",IF(INDEX(인턴근무계획!$M$3:$R$202,$A25,$G$3)&amp;""="","",IF(LEFT(INDEX(인턴근무계획!$M$3:$R$202,$A25,$G$3)&amp;"",1)="⚠","",MID(INDEX(인턴근무계획!$M$3:$R$202,$A25,$G$3)&amp;"",FIND(" ",INDEX(인턴근무계획!$M$3:$R$202,$A25,$G$3)&amp;"")+1,60))))</f>
        <v/>
      </c>
      <c r="I25" s="23">
        <f>IF(OR($C25="",$I$3=""),"",IF(INDEX(인턴근무계획!$M$3:$R$202,$A25,$I$3)&amp;""="","",IF(LEFT(INDEX(인턴근무계획!$M$3:$R$202,$A25,$I$3)&amp;"",1)="⚠",INDEX(인턴근무계획!$M$3:$R$202,$A25,$I$3)&amp;"",LEFT(INDEX(인턴근무계획!$M$3:$R$202,$A25,$I$3)&amp;"",FIND(" ",INDEX(인턴근무계획!$M$3:$R$202,$A25,$I$3)&amp;"")-1))))</f>
        <v/>
      </c>
      <c r="J25" s="23">
        <f>IF(OR($C25="",$I$3=""),"",IF(INDEX(인턴근무계획!$M$3:$R$202,$A25,$I$3)&amp;""="","",IF(LEFT(INDEX(인턴근무계획!$M$3:$R$202,$A25,$I$3)&amp;"",1)="⚠","",MID(INDEX(인턴근무계획!$M$3:$R$202,$A25,$I$3)&amp;"",FIND(" ",INDEX(인턴근무계획!$M$3:$R$202,$A25,$I$3)&amp;"")+1,60))))</f>
        <v/>
      </c>
      <c r="K25" s="23">
        <f>IF($C25="","",INDEX(인턴근무계획!$M$3:$M$202,$A25)&amp;"")</f>
        <v/>
      </c>
      <c r="L25" s="23">
        <f>IF($C25="","",INDEX(인턴근무계획!$N$3:$N$202,$A25)&amp;"")</f>
        <v/>
      </c>
      <c r="M25" s="23">
        <f>IF($C25="","",INDEX(인턴근무계획!$O$3:$O$202,$A25)&amp;"")</f>
        <v/>
      </c>
      <c r="N25" s="23">
        <f>IF($C25="","",INDEX(인턴근무계획!$P$3:$P$202,$A25)&amp;"")</f>
        <v/>
      </c>
      <c r="O25" s="23">
        <f>IF($C25="","",INDEX(인턴근무계획!$Q$3:$Q$202,$A25)&amp;"")</f>
        <v/>
      </c>
      <c r="P25" s="23">
        <f>IF($C25="","",INDEX(인턴근무계획!$R$3:$R$202,$A25)&amp;"")</f>
        <v/>
      </c>
      <c r="Q25" s="23">
        <f>IF($C25="","",INDEX(인턴근무계획!$T$3:$T$202,$A25))</f>
        <v/>
      </c>
      <c r="S25" s="23">
        <f>IF(코드표!A21="","",코드표!A21)</f>
        <v/>
      </c>
      <c r="T25" s="23">
        <f>IF($S25="","",COUNTIF(K$6:K$205,$S25&amp;" *"))</f>
        <v/>
      </c>
      <c r="U25" s="23">
        <f>IF($S25="","",COUNTIF(L$6:L$205,$S25&amp;" *"))</f>
        <v/>
      </c>
      <c r="V25" s="23">
        <f>IF($S25="","",COUNTIF(M$6:M$205,$S25&amp;" *"))</f>
        <v/>
      </c>
      <c r="W25" s="23">
        <f>IF($S25="","",COUNTIF(N$6:N$205,$S25&amp;" *"))</f>
        <v/>
      </c>
      <c r="X25" s="23">
        <f>IF($S25="","",COUNTIF(O$6:O$205,$S25&amp;" *"))</f>
        <v/>
      </c>
      <c r="Y25" s="23">
        <f>IF($S25="","",COUNTIF(P$6:P$205,$S25&amp;" *"))</f>
        <v/>
      </c>
    </row>
    <row r="26">
      <c r="A26" s="26" t="n">
        <v>21</v>
      </c>
      <c r="B26" s="23">
        <f>IF($C26="","",INDEX(인턴근무계획!$B$3:$B$202,$A26))</f>
        <v/>
      </c>
      <c r="C26" s="23">
        <f>IFERROR(TRIM(INDEX(인턴근무계획!$C$3:$C$202,$A26)&amp;""),"")</f>
        <v/>
      </c>
      <c r="D26" s="23">
        <f>IF($C26="","",INDEX(인턴근무계획!$D$3:$D$202,$A26))</f>
        <v/>
      </c>
      <c r="E26" s="23">
        <f>IF($C26="","",IF(IFERROR(MATCH($D26,기본자료!$B$2:$B$501,0),IFERROR(MATCH($D26&amp;"",기본자료!$B$2:$B$501,0),IFERROR(MATCH(VALUE($D26),기본자료!$B$2:$B$501,0),0)))&gt;0,"확인","미등록"))</f>
        <v/>
      </c>
      <c r="F26" s="27">
        <f>IF($C26="","",INDEX(인턴근무계획!$S$3:$S$202,$A26))</f>
        <v/>
      </c>
      <c r="G26" s="23">
        <f>IF(OR($C26="",$G$3=""),"",IF(INDEX(인턴근무계획!$M$3:$R$202,$A26,$G$3)&amp;""="","",IF(LEFT(INDEX(인턴근무계획!$M$3:$R$202,$A26,$G$3)&amp;"",1)="⚠",INDEX(인턴근무계획!$M$3:$R$202,$A26,$G$3)&amp;"",LEFT(INDEX(인턴근무계획!$M$3:$R$202,$A26,$G$3)&amp;"",FIND(" ",INDEX(인턴근무계획!$M$3:$R$202,$A26,$G$3)&amp;"")-1))))</f>
        <v/>
      </c>
      <c r="H26" s="23">
        <f>IF(OR($C26="",$G$3=""),"",IF(INDEX(인턴근무계획!$M$3:$R$202,$A26,$G$3)&amp;""="","",IF(LEFT(INDEX(인턴근무계획!$M$3:$R$202,$A26,$G$3)&amp;"",1)="⚠","",MID(INDEX(인턴근무계획!$M$3:$R$202,$A26,$G$3)&amp;"",FIND(" ",INDEX(인턴근무계획!$M$3:$R$202,$A26,$G$3)&amp;"")+1,60))))</f>
        <v/>
      </c>
      <c r="I26" s="23">
        <f>IF(OR($C26="",$I$3=""),"",IF(INDEX(인턴근무계획!$M$3:$R$202,$A26,$I$3)&amp;""="","",IF(LEFT(INDEX(인턴근무계획!$M$3:$R$202,$A26,$I$3)&amp;"",1)="⚠",INDEX(인턴근무계획!$M$3:$R$202,$A26,$I$3)&amp;"",LEFT(INDEX(인턴근무계획!$M$3:$R$202,$A26,$I$3)&amp;"",FIND(" ",INDEX(인턴근무계획!$M$3:$R$202,$A26,$I$3)&amp;"")-1))))</f>
        <v/>
      </c>
      <c r="J26" s="23">
        <f>IF(OR($C26="",$I$3=""),"",IF(INDEX(인턴근무계획!$M$3:$R$202,$A26,$I$3)&amp;""="","",IF(LEFT(INDEX(인턴근무계획!$M$3:$R$202,$A26,$I$3)&amp;"",1)="⚠","",MID(INDEX(인턴근무계획!$M$3:$R$202,$A26,$I$3)&amp;"",FIND(" ",INDEX(인턴근무계획!$M$3:$R$202,$A26,$I$3)&amp;"")+1,60))))</f>
        <v/>
      </c>
      <c r="K26" s="23">
        <f>IF($C26="","",INDEX(인턴근무계획!$M$3:$M$202,$A26)&amp;"")</f>
        <v/>
      </c>
      <c r="L26" s="23">
        <f>IF($C26="","",INDEX(인턴근무계획!$N$3:$N$202,$A26)&amp;"")</f>
        <v/>
      </c>
      <c r="M26" s="23">
        <f>IF($C26="","",INDEX(인턴근무계획!$O$3:$O$202,$A26)&amp;"")</f>
        <v/>
      </c>
      <c r="N26" s="23">
        <f>IF($C26="","",INDEX(인턴근무계획!$P$3:$P$202,$A26)&amp;"")</f>
        <v/>
      </c>
      <c r="O26" s="23">
        <f>IF($C26="","",INDEX(인턴근무계획!$Q$3:$Q$202,$A26)&amp;"")</f>
        <v/>
      </c>
      <c r="P26" s="23">
        <f>IF($C26="","",INDEX(인턴근무계획!$R$3:$R$202,$A26)&amp;"")</f>
        <v/>
      </c>
      <c r="Q26" s="23">
        <f>IF($C26="","",INDEX(인턴근무계획!$T$3:$T$202,$A26))</f>
        <v/>
      </c>
      <c r="S26" s="24" t="inlineStr">
        <is>
          <t>⚠ 오류(인식 불가)</t>
        </is>
      </c>
      <c r="T26" s="24">
        <f>COUNTIF(K$6:K$205,"⚠*")</f>
        <v/>
      </c>
      <c r="U26" s="24">
        <f>COUNTIF(L$6:L$205,"⚠*")</f>
        <v/>
      </c>
      <c r="V26" s="24">
        <f>COUNTIF(M$6:M$205,"⚠*")</f>
        <v/>
      </c>
      <c r="W26" s="24">
        <f>COUNTIF(N$6:N$205,"⚠*")</f>
        <v/>
      </c>
      <c r="X26" s="24">
        <f>COUNTIF(O$6:O$205,"⚠*")</f>
        <v/>
      </c>
      <c r="Y26" s="24">
        <f>COUNTIF(P$6:P$205,"⚠*")</f>
        <v/>
      </c>
    </row>
    <row r="27">
      <c r="A27" s="26" t="n">
        <v>22</v>
      </c>
      <c r="B27" s="23">
        <f>IF($C27="","",INDEX(인턴근무계획!$B$3:$B$202,$A27))</f>
        <v/>
      </c>
      <c r="C27" s="23">
        <f>IFERROR(TRIM(INDEX(인턴근무계획!$C$3:$C$202,$A27)&amp;""),"")</f>
        <v/>
      </c>
      <c r="D27" s="23">
        <f>IF($C27="","",INDEX(인턴근무계획!$D$3:$D$202,$A27))</f>
        <v/>
      </c>
      <c r="E27" s="23">
        <f>IF($C27="","",IF(IFERROR(MATCH($D27,기본자료!$B$2:$B$501,0),IFERROR(MATCH($D27&amp;"",기본자료!$B$2:$B$501,0),IFERROR(MATCH(VALUE($D27),기본자료!$B$2:$B$501,0),0)))&gt;0,"확인","미등록"))</f>
        <v/>
      </c>
      <c r="F27" s="27">
        <f>IF($C27="","",INDEX(인턴근무계획!$S$3:$S$202,$A27))</f>
        <v/>
      </c>
      <c r="G27" s="23">
        <f>IF(OR($C27="",$G$3=""),"",IF(INDEX(인턴근무계획!$M$3:$R$202,$A27,$G$3)&amp;""="","",IF(LEFT(INDEX(인턴근무계획!$M$3:$R$202,$A27,$G$3)&amp;"",1)="⚠",INDEX(인턴근무계획!$M$3:$R$202,$A27,$G$3)&amp;"",LEFT(INDEX(인턴근무계획!$M$3:$R$202,$A27,$G$3)&amp;"",FIND(" ",INDEX(인턴근무계획!$M$3:$R$202,$A27,$G$3)&amp;"")-1))))</f>
        <v/>
      </c>
      <c r="H27" s="23">
        <f>IF(OR($C27="",$G$3=""),"",IF(INDEX(인턴근무계획!$M$3:$R$202,$A27,$G$3)&amp;""="","",IF(LEFT(INDEX(인턴근무계획!$M$3:$R$202,$A27,$G$3)&amp;"",1)="⚠","",MID(INDEX(인턴근무계획!$M$3:$R$202,$A27,$G$3)&amp;"",FIND(" ",INDEX(인턴근무계획!$M$3:$R$202,$A27,$G$3)&amp;"")+1,60))))</f>
        <v/>
      </c>
      <c r="I27" s="23">
        <f>IF(OR($C27="",$I$3=""),"",IF(INDEX(인턴근무계획!$M$3:$R$202,$A27,$I$3)&amp;""="","",IF(LEFT(INDEX(인턴근무계획!$M$3:$R$202,$A27,$I$3)&amp;"",1)="⚠",INDEX(인턴근무계획!$M$3:$R$202,$A27,$I$3)&amp;"",LEFT(INDEX(인턴근무계획!$M$3:$R$202,$A27,$I$3)&amp;"",FIND(" ",INDEX(인턴근무계획!$M$3:$R$202,$A27,$I$3)&amp;"")-1))))</f>
        <v/>
      </c>
      <c r="J27" s="23">
        <f>IF(OR($C27="",$I$3=""),"",IF(INDEX(인턴근무계획!$M$3:$R$202,$A27,$I$3)&amp;""="","",IF(LEFT(INDEX(인턴근무계획!$M$3:$R$202,$A27,$I$3)&amp;"",1)="⚠","",MID(INDEX(인턴근무계획!$M$3:$R$202,$A27,$I$3)&amp;"",FIND(" ",INDEX(인턴근무계획!$M$3:$R$202,$A27,$I$3)&amp;"")+1,60))))</f>
        <v/>
      </c>
      <c r="K27" s="23">
        <f>IF($C27="","",INDEX(인턴근무계획!$M$3:$M$202,$A27)&amp;"")</f>
        <v/>
      </c>
      <c r="L27" s="23">
        <f>IF($C27="","",INDEX(인턴근무계획!$N$3:$N$202,$A27)&amp;"")</f>
        <v/>
      </c>
      <c r="M27" s="23">
        <f>IF($C27="","",INDEX(인턴근무계획!$O$3:$O$202,$A27)&amp;"")</f>
        <v/>
      </c>
      <c r="N27" s="23">
        <f>IF($C27="","",INDEX(인턴근무계획!$P$3:$P$202,$A27)&amp;"")</f>
        <v/>
      </c>
      <c r="O27" s="23">
        <f>IF($C27="","",INDEX(인턴근무계획!$Q$3:$Q$202,$A27)&amp;"")</f>
        <v/>
      </c>
      <c r="P27" s="23">
        <f>IF($C27="","",INDEX(인턴근무계획!$R$3:$R$202,$A27)&amp;"")</f>
        <v/>
      </c>
      <c r="Q27" s="23">
        <f>IF($C27="","",INDEX(인턴근무계획!$T$3:$T$202,$A27))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IF($C28="","",INDEX(인턴근무계획!$B$3:$B$202,$A28))</f>
        <v/>
      </c>
      <c r="C28" s="23">
        <f>IFERROR(TRIM(INDEX(인턴근무계획!$C$3:$C$202,$A28)&amp;""),"")</f>
        <v/>
      </c>
      <c r="D28" s="23">
        <f>IF($C28="","",INDEX(인턴근무계획!$D$3:$D$202,$A28))</f>
        <v/>
      </c>
      <c r="E28" s="23">
        <f>IF($C28="","",IF(IFERROR(MATCH($D28,기본자료!$B$2:$B$501,0),IFERROR(MATCH($D28&amp;"",기본자료!$B$2:$B$501,0),IFERROR(MATCH(VALUE($D28),기본자료!$B$2:$B$501,0),0)))&gt;0,"확인","미등록"))</f>
        <v/>
      </c>
      <c r="F28" s="27">
        <f>IF($C28="","",INDEX(인턴근무계획!$S$3:$S$202,$A28))</f>
        <v/>
      </c>
      <c r="G28" s="23">
        <f>IF(OR($C28="",$G$3=""),"",IF(INDEX(인턴근무계획!$M$3:$R$202,$A28,$G$3)&amp;""="","",IF(LEFT(INDEX(인턴근무계획!$M$3:$R$202,$A28,$G$3)&amp;"",1)="⚠",INDEX(인턴근무계획!$M$3:$R$202,$A28,$G$3)&amp;"",LEFT(INDEX(인턴근무계획!$M$3:$R$202,$A28,$G$3)&amp;"",FIND(" ",INDEX(인턴근무계획!$M$3:$R$202,$A28,$G$3)&amp;"")-1))))</f>
        <v/>
      </c>
      <c r="H28" s="23">
        <f>IF(OR($C28="",$G$3=""),"",IF(INDEX(인턴근무계획!$M$3:$R$202,$A28,$G$3)&amp;""="","",IF(LEFT(INDEX(인턴근무계획!$M$3:$R$202,$A28,$G$3)&amp;"",1)="⚠","",MID(INDEX(인턴근무계획!$M$3:$R$202,$A28,$G$3)&amp;"",FIND(" ",INDEX(인턴근무계획!$M$3:$R$202,$A28,$G$3)&amp;"")+1,60))))</f>
        <v/>
      </c>
      <c r="I28" s="23">
        <f>IF(OR($C28="",$I$3=""),"",IF(INDEX(인턴근무계획!$M$3:$R$202,$A28,$I$3)&amp;""="","",IF(LEFT(INDEX(인턴근무계획!$M$3:$R$202,$A28,$I$3)&amp;"",1)="⚠",INDEX(인턴근무계획!$M$3:$R$202,$A28,$I$3)&amp;"",LEFT(INDEX(인턴근무계획!$M$3:$R$202,$A28,$I$3)&amp;"",FIND(" ",INDEX(인턴근무계획!$M$3:$R$202,$A28,$I$3)&amp;"")-1))))</f>
        <v/>
      </c>
      <c r="J28" s="23">
        <f>IF(OR($C28="",$I$3=""),"",IF(INDEX(인턴근무계획!$M$3:$R$202,$A28,$I$3)&amp;""="","",IF(LEFT(INDEX(인턴근무계획!$M$3:$R$202,$A28,$I$3)&amp;"",1)="⚠","",MID(INDEX(인턴근무계획!$M$3:$R$202,$A28,$I$3)&amp;"",FIND(" ",INDEX(인턴근무계획!$M$3:$R$202,$A28,$I$3)&amp;"")+1,60))))</f>
        <v/>
      </c>
      <c r="K28" s="23">
        <f>IF($C28="","",INDEX(인턴근무계획!$M$3:$M$202,$A28)&amp;"")</f>
        <v/>
      </c>
      <c r="L28" s="23">
        <f>IF($C28="","",INDEX(인턴근무계획!$N$3:$N$202,$A28)&amp;"")</f>
        <v/>
      </c>
      <c r="M28" s="23">
        <f>IF($C28="","",INDEX(인턴근무계획!$O$3:$O$202,$A28)&amp;"")</f>
        <v/>
      </c>
      <c r="N28" s="23">
        <f>IF($C28="","",INDEX(인턴근무계획!$P$3:$P$202,$A28)&amp;"")</f>
        <v/>
      </c>
      <c r="O28" s="23">
        <f>IF($C28="","",INDEX(인턴근무계획!$Q$3:$Q$202,$A28)&amp;"")</f>
        <v/>
      </c>
      <c r="P28" s="23">
        <f>IF($C28="","",INDEX(인턴근무계획!$R$3:$R$202,$A28)&amp;"")</f>
        <v/>
      </c>
      <c r="Q28" s="23">
        <f>IF($C28="","",INDEX(인턴근무계획!$T$3:$T$202,$A28))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IF($C29="","",INDEX(인턴근무계획!$B$3:$B$202,$A29))</f>
        <v/>
      </c>
      <c r="C29" s="23">
        <f>IFERROR(TRIM(INDEX(인턴근무계획!$C$3:$C$202,$A29)&amp;""),"")</f>
        <v/>
      </c>
      <c r="D29" s="23">
        <f>IF($C29="","",INDEX(인턴근무계획!$D$3:$D$202,$A29))</f>
        <v/>
      </c>
      <c r="E29" s="23">
        <f>IF($C29="","",IF(IFERROR(MATCH($D29,기본자료!$B$2:$B$501,0),IFERROR(MATCH($D29&amp;"",기본자료!$B$2:$B$501,0),IFERROR(MATCH(VALUE($D29),기본자료!$B$2:$B$501,0),0)))&gt;0,"확인","미등록"))</f>
        <v/>
      </c>
      <c r="F29" s="27">
        <f>IF($C29="","",INDEX(인턴근무계획!$S$3:$S$202,$A29))</f>
        <v/>
      </c>
      <c r="G29" s="23">
        <f>IF(OR($C29="",$G$3=""),"",IF(INDEX(인턴근무계획!$M$3:$R$202,$A29,$G$3)&amp;""="","",IF(LEFT(INDEX(인턴근무계획!$M$3:$R$202,$A29,$G$3)&amp;"",1)="⚠",INDEX(인턴근무계획!$M$3:$R$202,$A29,$G$3)&amp;"",LEFT(INDEX(인턴근무계획!$M$3:$R$202,$A29,$G$3)&amp;"",FIND(" ",INDEX(인턴근무계획!$M$3:$R$202,$A29,$G$3)&amp;"")-1))))</f>
        <v/>
      </c>
      <c r="H29" s="23">
        <f>IF(OR($C29="",$G$3=""),"",IF(INDEX(인턴근무계획!$M$3:$R$202,$A29,$G$3)&amp;""="","",IF(LEFT(INDEX(인턴근무계획!$M$3:$R$202,$A29,$G$3)&amp;"",1)="⚠","",MID(INDEX(인턴근무계획!$M$3:$R$202,$A29,$G$3)&amp;"",FIND(" ",INDEX(인턴근무계획!$M$3:$R$202,$A29,$G$3)&amp;"")+1,60))))</f>
        <v/>
      </c>
      <c r="I29" s="23">
        <f>IF(OR($C29="",$I$3=""),"",IF(INDEX(인턴근무계획!$M$3:$R$202,$A29,$I$3)&amp;""="","",IF(LEFT(INDEX(인턴근무계획!$M$3:$R$202,$A29,$I$3)&amp;"",1)="⚠",INDEX(인턴근무계획!$M$3:$R$202,$A29,$I$3)&amp;"",LEFT(INDEX(인턴근무계획!$M$3:$R$202,$A29,$I$3)&amp;"",FIND(" ",INDEX(인턴근무계획!$M$3:$R$202,$A29,$I$3)&amp;"")-1))))</f>
        <v/>
      </c>
      <c r="J29" s="23">
        <f>IF(OR($C29="",$I$3=""),"",IF(INDEX(인턴근무계획!$M$3:$R$202,$A29,$I$3)&amp;""="","",IF(LEFT(INDEX(인턴근무계획!$M$3:$R$202,$A29,$I$3)&amp;"",1)="⚠","",MID(INDEX(인턴근무계획!$M$3:$R$202,$A29,$I$3)&amp;"",FIND(" ",INDEX(인턴근무계획!$M$3:$R$202,$A29,$I$3)&amp;"")+1,60))))</f>
        <v/>
      </c>
      <c r="K29" s="23">
        <f>IF($C29="","",INDEX(인턴근무계획!$M$3:$M$202,$A29)&amp;"")</f>
        <v/>
      </c>
      <c r="L29" s="23">
        <f>IF($C29="","",INDEX(인턴근무계획!$N$3:$N$202,$A29)&amp;"")</f>
        <v/>
      </c>
      <c r="M29" s="23">
        <f>IF($C29="","",INDEX(인턴근무계획!$O$3:$O$202,$A29)&amp;"")</f>
        <v/>
      </c>
      <c r="N29" s="23">
        <f>IF($C29="","",INDEX(인턴근무계획!$P$3:$P$202,$A29)&amp;"")</f>
        <v/>
      </c>
      <c r="O29" s="23">
        <f>IF($C29="","",INDEX(인턴근무계획!$Q$3:$Q$202,$A29)&amp;"")</f>
        <v/>
      </c>
      <c r="P29" s="23">
        <f>IF($C29="","",INDEX(인턴근무계획!$R$3:$R$202,$A29)&amp;"")</f>
        <v/>
      </c>
      <c r="Q29" s="23">
        <f>IF($C29="","",INDEX(인턴근무계획!$T$3:$T$202,$A29))</f>
        <v/>
      </c>
    </row>
    <row r="30">
      <c r="A30" s="26" t="n">
        <v>25</v>
      </c>
      <c r="B30" s="23">
        <f>IF($C30="","",INDEX(인턴근무계획!$B$3:$B$202,$A30))</f>
        <v/>
      </c>
      <c r="C30" s="23">
        <f>IFERROR(TRIM(INDEX(인턴근무계획!$C$3:$C$202,$A30)&amp;""),"")</f>
        <v/>
      </c>
      <c r="D30" s="23">
        <f>IF($C30="","",INDEX(인턴근무계획!$D$3:$D$202,$A30))</f>
        <v/>
      </c>
      <c r="E30" s="23">
        <f>IF($C30="","",IF(IFERROR(MATCH($D30,기본자료!$B$2:$B$501,0),IFERROR(MATCH($D30&amp;"",기본자료!$B$2:$B$501,0),IFERROR(MATCH(VALUE($D30),기본자료!$B$2:$B$501,0),0)))&gt;0,"확인","미등록"))</f>
        <v/>
      </c>
      <c r="F30" s="27">
        <f>IF($C30="","",INDEX(인턴근무계획!$S$3:$S$202,$A30))</f>
        <v/>
      </c>
      <c r="G30" s="23">
        <f>IF(OR($C30="",$G$3=""),"",IF(INDEX(인턴근무계획!$M$3:$R$202,$A30,$G$3)&amp;""="","",IF(LEFT(INDEX(인턴근무계획!$M$3:$R$202,$A30,$G$3)&amp;"",1)="⚠",INDEX(인턴근무계획!$M$3:$R$202,$A30,$G$3)&amp;"",LEFT(INDEX(인턴근무계획!$M$3:$R$202,$A30,$G$3)&amp;"",FIND(" ",INDEX(인턴근무계획!$M$3:$R$202,$A30,$G$3)&amp;"")-1))))</f>
        <v/>
      </c>
      <c r="H30" s="23">
        <f>IF(OR($C30="",$G$3=""),"",IF(INDEX(인턴근무계획!$M$3:$R$202,$A30,$G$3)&amp;""="","",IF(LEFT(INDEX(인턴근무계획!$M$3:$R$202,$A30,$G$3)&amp;"",1)="⚠","",MID(INDEX(인턴근무계획!$M$3:$R$202,$A30,$G$3)&amp;"",FIND(" ",INDEX(인턴근무계획!$M$3:$R$202,$A30,$G$3)&amp;"")+1,60))))</f>
        <v/>
      </c>
      <c r="I30" s="23">
        <f>IF(OR($C30="",$I$3=""),"",IF(INDEX(인턴근무계획!$M$3:$R$202,$A30,$I$3)&amp;""="","",IF(LEFT(INDEX(인턴근무계획!$M$3:$R$202,$A30,$I$3)&amp;"",1)="⚠",INDEX(인턴근무계획!$M$3:$R$202,$A30,$I$3)&amp;"",LEFT(INDEX(인턴근무계획!$M$3:$R$202,$A30,$I$3)&amp;"",FIND(" ",INDEX(인턴근무계획!$M$3:$R$202,$A30,$I$3)&amp;"")-1))))</f>
        <v/>
      </c>
      <c r="J30" s="23">
        <f>IF(OR($C30="",$I$3=""),"",IF(INDEX(인턴근무계획!$M$3:$R$202,$A30,$I$3)&amp;""="","",IF(LEFT(INDEX(인턴근무계획!$M$3:$R$202,$A30,$I$3)&amp;"",1)="⚠","",MID(INDEX(인턴근무계획!$M$3:$R$202,$A30,$I$3)&amp;"",FIND(" ",INDEX(인턴근무계획!$M$3:$R$202,$A30,$I$3)&amp;"")+1,60))))</f>
        <v/>
      </c>
      <c r="K30" s="23">
        <f>IF($C30="","",INDEX(인턴근무계획!$M$3:$M$202,$A30)&amp;"")</f>
        <v/>
      </c>
      <c r="L30" s="23">
        <f>IF($C30="","",INDEX(인턴근무계획!$N$3:$N$202,$A30)&amp;"")</f>
        <v/>
      </c>
      <c r="M30" s="23">
        <f>IF($C30="","",INDEX(인턴근무계획!$O$3:$O$202,$A30)&amp;"")</f>
        <v/>
      </c>
      <c r="N30" s="23">
        <f>IF($C30="","",INDEX(인턴근무계획!$P$3:$P$202,$A30)&amp;"")</f>
        <v/>
      </c>
      <c r="O30" s="23">
        <f>IF($C30="","",INDEX(인턴근무계획!$Q$3:$Q$202,$A30)&amp;"")</f>
        <v/>
      </c>
      <c r="P30" s="23">
        <f>IF($C30="","",INDEX(인턴근무계획!$R$3:$R$202,$A30)&amp;"")</f>
        <v/>
      </c>
      <c r="Q30" s="23">
        <f>IF($C30="","",INDEX(인턴근무계획!$T$3:$T$202,$A30))</f>
        <v/>
      </c>
    </row>
    <row r="31">
      <c r="A31" s="26" t="n">
        <v>26</v>
      </c>
      <c r="B31" s="23">
        <f>IF($C31="","",INDEX(인턴근무계획!$B$3:$B$202,$A31))</f>
        <v/>
      </c>
      <c r="C31" s="23">
        <f>IFERROR(TRIM(INDEX(인턴근무계획!$C$3:$C$202,$A31)&amp;""),"")</f>
        <v/>
      </c>
      <c r="D31" s="23">
        <f>IF($C31="","",INDEX(인턴근무계획!$D$3:$D$202,$A31))</f>
        <v/>
      </c>
      <c r="E31" s="23">
        <f>IF($C31="","",IF(IFERROR(MATCH($D31,기본자료!$B$2:$B$501,0),IFERROR(MATCH($D31&amp;"",기본자료!$B$2:$B$501,0),IFERROR(MATCH(VALUE($D31),기본자료!$B$2:$B$501,0),0)))&gt;0,"확인","미등록"))</f>
        <v/>
      </c>
      <c r="F31" s="27">
        <f>IF($C31="","",INDEX(인턴근무계획!$S$3:$S$202,$A31))</f>
        <v/>
      </c>
      <c r="G31" s="23">
        <f>IF(OR($C31="",$G$3=""),"",IF(INDEX(인턴근무계획!$M$3:$R$202,$A31,$G$3)&amp;""="","",IF(LEFT(INDEX(인턴근무계획!$M$3:$R$202,$A31,$G$3)&amp;"",1)="⚠",INDEX(인턴근무계획!$M$3:$R$202,$A31,$G$3)&amp;"",LEFT(INDEX(인턴근무계획!$M$3:$R$202,$A31,$G$3)&amp;"",FIND(" ",INDEX(인턴근무계획!$M$3:$R$202,$A31,$G$3)&amp;"")-1))))</f>
        <v/>
      </c>
      <c r="H31" s="23">
        <f>IF(OR($C31="",$G$3=""),"",IF(INDEX(인턴근무계획!$M$3:$R$202,$A31,$G$3)&amp;""="","",IF(LEFT(INDEX(인턴근무계획!$M$3:$R$202,$A31,$G$3)&amp;"",1)="⚠","",MID(INDEX(인턴근무계획!$M$3:$R$202,$A31,$G$3)&amp;"",FIND(" ",INDEX(인턴근무계획!$M$3:$R$202,$A31,$G$3)&amp;"")+1,60))))</f>
        <v/>
      </c>
      <c r="I31" s="23">
        <f>IF(OR($C31="",$I$3=""),"",IF(INDEX(인턴근무계획!$M$3:$R$202,$A31,$I$3)&amp;""="","",IF(LEFT(INDEX(인턴근무계획!$M$3:$R$202,$A31,$I$3)&amp;"",1)="⚠",INDEX(인턴근무계획!$M$3:$R$202,$A31,$I$3)&amp;"",LEFT(INDEX(인턴근무계획!$M$3:$R$202,$A31,$I$3)&amp;"",FIND(" ",INDEX(인턴근무계획!$M$3:$R$202,$A31,$I$3)&amp;"")-1))))</f>
        <v/>
      </c>
      <c r="J31" s="23">
        <f>IF(OR($C31="",$I$3=""),"",IF(INDEX(인턴근무계획!$M$3:$R$202,$A31,$I$3)&amp;""="","",IF(LEFT(INDEX(인턴근무계획!$M$3:$R$202,$A31,$I$3)&amp;"",1)="⚠","",MID(INDEX(인턴근무계획!$M$3:$R$202,$A31,$I$3)&amp;"",FIND(" ",INDEX(인턴근무계획!$M$3:$R$202,$A31,$I$3)&amp;"")+1,60))))</f>
        <v/>
      </c>
      <c r="K31" s="23">
        <f>IF($C31="","",INDEX(인턴근무계획!$M$3:$M$202,$A31)&amp;"")</f>
        <v/>
      </c>
      <c r="L31" s="23">
        <f>IF($C31="","",INDEX(인턴근무계획!$N$3:$N$202,$A31)&amp;"")</f>
        <v/>
      </c>
      <c r="M31" s="23">
        <f>IF($C31="","",INDEX(인턴근무계획!$O$3:$O$202,$A31)&amp;"")</f>
        <v/>
      </c>
      <c r="N31" s="23">
        <f>IF($C31="","",INDEX(인턴근무계획!$P$3:$P$202,$A31)&amp;"")</f>
        <v/>
      </c>
      <c r="O31" s="23">
        <f>IF($C31="","",INDEX(인턴근무계획!$Q$3:$Q$202,$A31)&amp;"")</f>
        <v/>
      </c>
      <c r="P31" s="23">
        <f>IF($C31="","",INDEX(인턴근무계획!$R$3:$R$202,$A31)&amp;"")</f>
        <v/>
      </c>
      <c r="Q31" s="23">
        <f>IF($C31="","",INDEX(인턴근무계획!$T$3:$T$202,$A31))</f>
        <v/>
      </c>
    </row>
    <row r="32">
      <c r="A32" s="26" t="n">
        <v>27</v>
      </c>
      <c r="B32" s="23">
        <f>IF($C32="","",INDEX(인턴근무계획!$B$3:$B$202,$A32))</f>
        <v/>
      </c>
      <c r="C32" s="23">
        <f>IFERROR(TRIM(INDEX(인턴근무계획!$C$3:$C$202,$A32)&amp;""),"")</f>
        <v/>
      </c>
      <c r="D32" s="23">
        <f>IF($C32="","",INDEX(인턴근무계획!$D$3:$D$202,$A32))</f>
        <v/>
      </c>
      <c r="E32" s="23">
        <f>IF($C32="","",IF(IFERROR(MATCH($D32,기본자료!$B$2:$B$501,0),IFERROR(MATCH($D32&amp;"",기본자료!$B$2:$B$501,0),IFERROR(MATCH(VALUE($D32),기본자료!$B$2:$B$501,0),0)))&gt;0,"확인","미등록"))</f>
        <v/>
      </c>
      <c r="F32" s="27">
        <f>IF($C32="","",INDEX(인턴근무계획!$S$3:$S$202,$A32))</f>
        <v/>
      </c>
      <c r="G32" s="23">
        <f>IF(OR($C32="",$G$3=""),"",IF(INDEX(인턴근무계획!$M$3:$R$202,$A32,$G$3)&amp;""="","",IF(LEFT(INDEX(인턴근무계획!$M$3:$R$202,$A32,$G$3)&amp;"",1)="⚠",INDEX(인턴근무계획!$M$3:$R$202,$A32,$G$3)&amp;"",LEFT(INDEX(인턴근무계획!$M$3:$R$202,$A32,$G$3)&amp;"",FIND(" ",INDEX(인턴근무계획!$M$3:$R$202,$A32,$G$3)&amp;"")-1))))</f>
        <v/>
      </c>
      <c r="H32" s="23">
        <f>IF(OR($C32="",$G$3=""),"",IF(INDEX(인턴근무계획!$M$3:$R$202,$A32,$G$3)&amp;""="","",IF(LEFT(INDEX(인턴근무계획!$M$3:$R$202,$A32,$G$3)&amp;"",1)="⚠","",MID(INDEX(인턴근무계획!$M$3:$R$202,$A32,$G$3)&amp;"",FIND(" ",INDEX(인턴근무계획!$M$3:$R$202,$A32,$G$3)&amp;"")+1,60))))</f>
        <v/>
      </c>
      <c r="I32" s="23">
        <f>IF(OR($C32="",$I$3=""),"",IF(INDEX(인턴근무계획!$M$3:$R$202,$A32,$I$3)&amp;""="","",IF(LEFT(INDEX(인턴근무계획!$M$3:$R$202,$A32,$I$3)&amp;"",1)="⚠",INDEX(인턴근무계획!$M$3:$R$202,$A32,$I$3)&amp;"",LEFT(INDEX(인턴근무계획!$M$3:$R$202,$A32,$I$3)&amp;"",FIND(" ",INDEX(인턴근무계획!$M$3:$R$202,$A32,$I$3)&amp;"")-1))))</f>
        <v/>
      </c>
      <c r="J32" s="23">
        <f>IF(OR($C32="",$I$3=""),"",IF(INDEX(인턴근무계획!$M$3:$R$202,$A32,$I$3)&amp;""="","",IF(LEFT(INDEX(인턴근무계획!$M$3:$R$202,$A32,$I$3)&amp;"",1)="⚠","",MID(INDEX(인턴근무계획!$M$3:$R$202,$A32,$I$3)&amp;"",FIND(" ",INDEX(인턴근무계획!$M$3:$R$202,$A32,$I$3)&amp;"")+1,60))))</f>
        <v/>
      </c>
      <c r="K32" s="23">
        <f>IF($C32="","",INDEX(인턴근무계획!$M$3:$M$202,$A32)&amp;"")</f>
        <v/>
      </c>
      <c r="L32" s="23">
        <f>IF($C32="","",INDEX(인턴근무계획!$N$3:$N$202,$A32)&amp;"")</f>
        <v/>
      </c>
      <c r="M32" s="23">
        <f>IF($C32="","",INDEX(인턴근무계획!$O$3:$O$202,$A32)&amp;"")</f>
        <v/>
      </c>
      <c r="N32" s="23">
        <f>IF($C32="","",INDEX(인턴근무계획!$P$3:$P$202,$A32)&amp;"")</f>
        <v/>
      </c>
      <c r="O32" s="23">
        <f>IF($C32="","",INDEX(인턴근무계획!$Q$3:$Q$202,$A32)&amp;"")</f>
        <v/>
      </c>
      <c r="P32" s="23">
        <f>IF($C32="","",INDEX(인턴근무계획!$R$3:$R$202,$A32)&amp;"")</f>
        <v/>
      </c>
      <c r="Q32" s="23">
        <f>IF($C32="","",INDEX(인턴근무계획!$T$3:$T$202,$A32))</f>
        <v/>
      </c>
    </row>
    <row r="33">
      <c r="A33" s="26" t="n">
        <v>28</v>
      </c>
      <c r="B33" s="23">
        <f>IF($C33="","",INDEX(인턴근무계획!$B$3:$B$202,$A33))</f>
        <v/>
      </c>
      <c r="C33" s="23">
        <f>IFERROR(TRIM(INDEX(인턴근무계획!$C$3:$C$202,$A33)&amp;""),"")</f>
        <v/>
      </c>
      <c r="D33" s="23">
        <f>IF($C33="","",INDEX(인턴근무계획!$D$3:$D$202,$A33))</f>
        <v/>
      </c>
      <c r="E33" s="23">
        <f>IF($C33="","",IF(IFERROR(MATCH($D33,기본자료!$B$2:$B$501,0),IFERROR(MATCH($D33&amp;"",기본자료!$B$2:$B$501,0),IFERROR(MATCH(VALUE($D33),기본자료!$B$2:$B$501,0),0)))&gt;0,"확인","미등록"))</f>
        <v/>
      </c>
      <c r="F33" s="27">
        <f>IF($C33="","",INDEX(인턴근무계획!$S$3:$S$202,$A33))</f>
        <v/>
      </c>
      <c r="G33" s="23">
        <f>IF(OR($C33="",$G$3=""),"",IF(INDEX(인턴근무계획!$M$3:$R$202,$A33,$G$3)&amp;""="","",IF(LEFT(INDEX(인턴근무계획!$M$3:$R$202,$A33,$G$3)&amp;"",1)="⚠",INDEX(인턴근무계획!$M$3:$R$202,$A33,$G$3)&amp;"",LEFT(INDEX(인턴근무계획!$M$3:$R$202,$A33,$G$3)&amp;"",FIND(" ",INDEX(인턴근무계획!$M$3:$R$202,$A33,$G$3)&amp;"")-1))))</f>
        <v/>
      </c>
      <c r="H33" s="23">
        <f>IF(OR($C33="",$G$3=""),"",IF(INDEX(인턴근무계획!$M$3:$R$202,$A33,$G$3)&amp;""="","",IF(LEFT(INDEX(인턴근무계획!$M$3:$R$202,$A33,$G$3)&amp;"",1)="⚠","",MID(INDEX(인턴근무계획!$M$3:$R$202,$A33,$G$3)&amp;"",FIND(" ",INDEX(인턴근무계획!$M$3:$R$202,$A33,$G$3)&amp;"")+1,60))))</f>
        <v/>
      </c>
      <c r="I33" s="23">
        <f>IF(OR($C33="",$I$3=""),"",IF(INDEX(인턴근무계획!$M$3:$R$202,$A33,$I$3)&amp;""="","",IF(LEFT(INDEX(인턴근무계획!$M$3:$R$202,$A33,$I$3)&amp;"",1)="⚠",INDEX(인턴근무계획!$M$3:$R$202,$A33,$I$3)&amp;"",LEFT(INDEX(인턴근무계획!$M$3:$R$202,$A33,$I$3)&amp;"",FIND(" ",INDEX(인턴근무계획!$M$3:$R$202,$A33,$I$3)&amp;"")-1))))</f>
        <v/>
      </c>
      <c r="J33" s="23">
        <f>IF(OR($C33="",$I$3=""),"",IF(INDEX(인턴근무계획!$M$3:$R$202,$A33,$I$3)&amp;""="","",IF(LEFT(INDEX(인턴근무계획!$M$3:$R$202,$A33,$I$3)&amp;"",1)="⚠","",MID(INDEX(인턴근무계획!$M$3:$R$202,$A33,$I$3)&amp;"",FIND(" ",INDEX(인턴근무계획!$M$3:$R$202,$A33,$I$3)&amp;"")+1,60))))</f>
        <v/>
      </c>
      <c r="K33" s="23">
        <f>IF($C33="","",INDEX(인턴근무계획!$M$3:$M$202,$A33)&amp;"")</f>
        <v/>
      </c>
      <c r="L33" s="23">
        <f>IF($C33="","",INDEX(인턴근무계획!$N$3:$N$202,$A33)&amp;"")</f>
        <v/>
      </c>
      <c r="M33" s="23">
        <f>IF($C33="","",INDEX(인턴근무계획!$O$3:$O$202,$A33)&amp;"")</f>
        <v/>
      </c>
      <c r="N33" s="23">
        <f>IF($C33="","",INDEX(인턴근무계획!$P$3:$P$202,$A33)&amp;"")</f>
        <v/>
      </c>
      <c r="O33" s="23">
        <f>IF($C33="","",INDEX(인턴근무계획!$Q$3:$Q$202,$A33)&amp;"")</f>
        <v/>
      </c>
      <c r="P33" s="23">
        <f>IF($C33="","",INDEX(인턴근무계획!$R$3:$R$202,$A33)&amp;"")</f>
        <v/>
      </c>
      <c r="Q33" s="23">
        <f>IF($C33="","",INDEX(인턴근무계획!$T$3:$T$202,$A33))</f>
        <v/>
      </c>
    </row>
    <row r="34">
      <c r="A34" s="26" t="n">
        <v>29</v>
      </c>
      <c r="B34" s="23">
        <f>IF($C34="","",INDEX(인턴근무계획!$B$3:$B$202,$A34))</f>
        <v/>
      </c>
      <c r="C34" s="23">
        <f>IFERROR(TRIM(INDEX(인턴근무계획!$C$3:$C$202,$A34)&amp;""),"")</f>
        <v/>
      </c>
      <c r="D34" s="23">
        <f>IF($C34="","",INDEX(인턴근무계획!$D$3:$D$202,$A34))</f>
        <v/>
      </c>
      <c r="E34" s="23">
        <f>IF($C34="","",IF(IFERROR(MATCH($D34,기본자료!$B$2:$B$501,0),IFERROR(MATCH($D34&amp;"",기본자료!$B$2:$B$501,0),IFERROR(MATCH(VALUE($D34),기본자료!$B$2:$B$501,0),0)))&gt;0,"확인","미등록"))</f>
        <v/>
      </c>
      <c r="F34" s="27">
        <f>IF($C34="","",INDEX(인턴근무계획!$S$3:$S$202,$A34))</f>
        <v/>
      </c>
      <c r="G34" s="23">
        <f>IF(OR($C34="",$G$3=""),"",IF(INDEX(인턴근무계획!$M$3:$R$202,$A34,$G$3)&amp;""="","",IF(LEFT(INDEX(인턴근무계획!$M$3:$R$202,$A34,$G$3)&amp;"",1)="⚠",INDEX(인턴근무계획!$M$3:$R$202,$A34,$G$3)&amp;"",LEFT(INDEX(인턴근무계획!$M$3:$R$202,$A34,$G$3)&amp;"",FIND(" ",INDEX(인턴근무계획!$M$3:$R$202,$A34,$G$3)&amp;"")-1))))</f>
        <v/>
      </c>
      <c r="H34" s="23">
        <f>IF(OR($C34="",$G$3=""),"",IF(INDEX(인턴근무계획!$M$3:$R$202,$A34,$G$3)&amp;""="","",IF(LEFT(INDEX(인턴근무계획!$M$3:$R$202,$A34,$G$3)&amp;"",1)="⚠","",MID(INDEX(인턴근무계획!$M$3:$R$202,$A34,$G$3)&amp;"",FIND(" ",INDEX(인턴근무계획!$M$3:$R$202,$A34,$G$3)&amp;"")+1,60))))</f>
        <v/>
      </c>
      <c r="I34" s="23">
        <f>IF(OR($C34="",$I$3=""),"",IF(INDEX(인턴근무계획!$M$3:$R$202,$A34,$I$3)&amp;""="","",IF(LEFT(INDEX(인턴근무계획!$M$3:$R$202,$A34,$I$3)&amp;"",1)="⚠",INDEX(인턴근무계획!$M$3:$R$202,$A34,$I$3)&amp;"",LEFT(INDEX(인턴근무계획!$M$3:$R$202,$A34,$I$3)&amp;"",FIND(" ",INDEX(인턴근무계획!$M$3:$R$202,$A34,$I$3)&amp;"")-1))))</f>
        <v/>
      </c>
      <c r="J34" s="23">
        <f>IF(OR($C34="",$I$3=""),"",IF(INDEX(인턴근무계획!$M$3:$R$202,$A34,$I$3)&amp;""="","",IF(LEFT(INDEX(인턴근무계획!$M$3:$R$202,$A34,$I$3)&amp;"",1)="⚠","",MID(INDEX(인턴근무계획!$M$3:$R$202,$A34,$I$3)&amp;"",FIND(" ",INDEX(인턴근무계획!$M$3:$R$202,$A34,$I$3)&amp;"")+1,60))))</f>
        <v/>
      </c>
      <c r="K34" s="23">
        <f>IF($C34="","",INDEX(인턴근무계획!$M$3:$M$202,$A34)&amp;"")</f>
        <v/>
      </c>
      <c r="L34" s="23">
        <f>IF($C34="","",INDEX(인턴근무계획!$N$3:$N$202,$A34)&amp;"")</f>
        <v/>
      </c>
      <c r="M34" s="23">
        <f>IF($C34="","",INDEX(인턴근무계획!$O$3:$O$202,$A34)&amp;"")</f>
        <v/>
      </c>
      <c r="N34" s="23">
        <f>IF($C34="","",INDEX(인턴근무계획!$P$3:$P$202,$A34)&amp;"")</f>
        <v/>
      </c>
      <c r="O34" s="23">
        <f>IF($C34="","",INDEX(인턴근무계획!$Q$3:$Q$202,$A34)&amp;"")</f>
        <v/>
      </c>
      <c r="P34" s="23">
        <f>IF($C34="","",INDEX(인턴근무계획!$R$3:$R$202,$A34)&amp;"")</f>
        <v/>
      </c>
      <c r="Q34" s="23">
        <f>IF($C34="","",INDEX(인턴근무계획!$T$3:$T$202,$A34))</f>
        <v/>
      </c>
    </row>
    <row r="35">
      <c r="A35" s="26" t="n">
        <v>30</v>
      </c>
      <c r="B35" s="23">
        <f>IF($C35="","",INDEX(인턴근무계획!$B$3:$B$202,$A35))</f>
        <v/>
      </c>
      <c r="C35" s="23">
        <f>IFERROR(TRIM(INDEX(인턴근무계획!$C$3:$C$202,$A35)&amp;""),"")</f>
        <v/>
      </c>
      <c r="D35" s="23">
        <f>IF($C35="","",INDEX(인턴근무계획!$D$3:$D$202,$A35))</f>
        <v/>
      </c>
      <c r="E35" s="23">
        <f>IF($C35="","",IF(IFERROR(MATCH($D35,기본자료!$B$2:$B$501,0),IFERROR(MATCH($D35&amp;"",기본자료!$B$2:$B$501,0),IFERROR(MATCH(VALUE($D35),기본자료!$B$2:$B$501,0),0)))&gt;0,"확인","미등록"))</f>
        <v/>
      </c>
      <c r="F35" s="27">
        <f>IF($C35="","",INDEX(인턴근무계획!$S$3:$S$202,$A35))</f>
        <v/>
      </c>
      <c r="G35" s="23">
        <f>IF(OR($C35="",$G$3=""),"",IF(INDEX(인턴근무계획!$M$3:$R$202,$A35,$G$3)&amp;""="","",IF(LEFT(INDEX(인턴근무계획!$M$3:$R$202,$A35,$G$3)&amp;"",1)="⚠",INDEX(인턴근무계획!$M$3:$R$202,$A35,$G$3)&amp;"",LEFT(INDEX(인턴근무계획!$M$3:$R$202,$A35,$G$3)&amp;"",FIND(" ",INDEX(인턴근무계획!$M$3:$R$202,$A35,$G$3)&amp;"")-1))))</f>
        <v/>
      </c>
      <c r="H35" s="23">
        <f>IF(OR($C35="",$G$3=""),"",IF(INDEX(인턴근무계획!$M$3:$R$202,$A35,$G$3)&amp;""="","",IF(LEFT(INDEX(인턴근무계획!$M$3:$R$202,$A35,$G$3)&amp;"",1)="⚠","",MID(INDEX(인턴근무계획!$M$3:$R$202,$A35,$G$3)&amp;"",FIND(" ",INDEX(인턴근무계획!$M$3:$R$202,$A35,$G$3)&amp;"")+1,60))))</f>
        <v/>
      </c>
      <c r="I35" s="23">
        <f>IF(OR($C35="",$I$3=""),"",IF(INDEX(인턴근무계획!$M$3:$R$202,$A35,$I$3)&amp;""="","",IF(LEFT(INDEX(인턴근무계획!$M$3:$R$202,$A35,$I$3)&amp;"",1)="⚠",INDEX(인턴근무계획!$M$3:$R$202,$A35,$I$3)&amp;"",LEFT(INDEX(인턴근무계획!$M$3:$R$202,$A35,$I$3)&amp;"",FIND(" ",INDEX(인턴근무계획!$M$3:$R$202,$A35,$I$3)&amp;"")-1))))</f>
        <v/>
      </c>
      <c r="J35" s="23">
        <f>IF(OR($C35="",$I$3=""),"",IF(INDEX(인턴근무계획!$M$3:$R$202,$A35,$I$3)&amp;""="","",IF(LEFT(INDEX(인턴근무계획!$M$3:$R$202,$A35,$I$3)&amp;"",1)="⚠","",MID(INDEX(인턴근무계획!$M$3:$R$202,$A35,$I$3)&amp;"",FIND(" ",INDEX(인턴근무계획!$M$3:$R$202,$A35,$I$3)&amp;"")+1,60))))</f>
        <v/>
      </c>
      <c r="K35" s="23">
        <f>IF($C35="","",INDEX(인턴근무계획!$M$3:$M$202,$A35)&amp;"")</f>
        <v/>
      </c>
      <c r="L35" s="23">
        <f>IF($C35="","",INDEX(인턴근무계획!$N$3:$N$202,$A35)&amp;"")</f>
        <v/>
      </c>
      <c r="M35" s="23">
        <f>IF($C35="","",INDEX(인턴근무계획!$O$3:$O$202,$A35)&amp;"")</f>
        <v/>
      </c>
      <c r="N35" s="23">
        <f>IF($C35="","",INDEX(인턴근무계획!$P$3:$P$202,$A35)&amp;"")</f>
        <v/>
      </c>
      <c r="O35" s="23">
        <f>IF($C35="","",INDEX(인턴근무계획!$Q$3:$Q$202,$A35)&amp;"")</f>
        <v/>
      </c>
      <c r="P35" s="23">
        <f>IF($C35="","",INDEX(인턴근무계획!$R$3:$R$202,$A35)&amp;"")</f>
        <v/>
      </c>
      <c r="Q35" s="23">
        <f>IF($C35="","",INDEX(인턴근무계획!$T$3:$T$202,$A35))</f>
        <v/>
      </c>
    </row>
    <row r="36">
      <c r="A36" s="26" t="n">
        <v>31</v>
      </c>
      <c r="B36" s="23">
        <f>IF($C36="","",INDEX(인턴근무계획!$B$3:$B$202,$A36))</f>
        <v/>
      </c>
      <c r="C36" s="23">
        <f>IFERROR(TRIM(INDEX(인턴근무계획!$C$3:$C$202,$A36)&amp;""),"")</f>
        <v/>
      </c>
      <c r="D36" s="23">
        <f>IF($C36="","",INDEX(인턴근무계획!$D$3:$D$202,$A36))</f>
        <v/>
      </c>
      <c r="E36" s="23">
        <f>IF($C36="","",IF(IFERROR(MATCH($D36,기본자료!$B$2:$B$501,0),IFERROR(MATCH($D36&amp;"",기본자료!$B$2:$B$501,0),IFERROR(MATCH(VALUE($D36),기본자료!$B$2:$B$501,0),0)))&gt;0,"확인","미등록"))</f>
        <v/>
      </c>
      <c r="F36" s="27">
        <f>IF($C36="","",INDEX(인턴근무계획!$S$3:$S$202,$A36))</f>
        <v/>
      </c>
      <c r="G36" s="23">
        <f>IF(OR($C36="",$G$3=""),"",IF(INDEX(인턴근무계획!$M$3:$R$202,$A36,$G$3)&amp;""="","",IF(LEFT(INDEX(인턴근무계획!$M$3:$R$202,$A36,$G$3)&amp;"",1)="⚠",INDEX(인턴근무계획!$M$3:$R$202,$A36,$G$3)&amp;"",LEFT(INDEX(인턴근무계획!$M$3:$R$202,$A36,$G$3)&amp;"",FIND(" ",INDEX(인턴근무계획!$M$3:$R$202,$A36,$G$3)&amp;"")-1))))</f>
        <v/>
      </c>
      <c r="H36" s="23">
        <f>IF(OR($C36="",$G$3=""),"",IF(INDEX(인턴근무계획!$M$3:$R$202,$A36,$G$3)&amp;""="","",IF(LEFT(INDEX(인턴근무계획!$M$3:$R$202,$A36,$G$3)&amp;"",1)="⚠","",MID(INDEX(인턴근무계획!$M$3:$R$202,$A36,$G$3)&amp;"",FIND(" ",INDEX(인턴근무계획!$M$3:$R$202,$A36,$G$3)&amp;"")+1,60))))</f>
        <v/>
      </c>
      <c r="I36" s="23">
        <f>IF(OR($C36="",$I$3=""),"",IF(INDEX(인턴근무계획!$M$3:$R$202,$A36,$I$3)&amp;""="","",IF(LEFT(INDEX(인턴근무계획!$M$3:$R$202,$A36,$I$3)&amp;"",1)="⚠",INDEX(인턴근무계획!$M$3:$R$202,$A36,$I$3)&amp;"",LEFT(INDEX(인턴근무계획!$M$3:$R$202,$A36,$I$3)&amp;"",FIND(" ",INDEX(인턴근무계획!$M$3:$R$202,$A36,$I$3)&amp;"")-1))))</f>
        <v/>
      </c>
      <c r="J36" s="23">
        <f>IF(OR($C36="",$I$3=""),"",IF(INDEX(인턴근무계획!$M$3:$R$202,$A36,$I$3)&amp;""="","",IF(LEFT(INDEX(인턴근무계획!$M$3:$R$202,$A36,$I$3)&amp;"",1)="⚠","",MID(INDEX(인턴근무계획!$M$3:$R$202,$A36,$I$3)&amp;"",FIND(" ",INDEX(인턴근무계획!$M$3:$R$202,$A36,$I$3)&amp;"")+1,60))))</f>
        <v/>
      </c>
      <c r="K36" s="23">
        <f>IF($C36="","",INDEX(인턴근무계획!$M$3:$M$202,$A36)&amp;"")</f>
        <v/>
      </c>
      <c r="L36" s="23">
        <f>IF($C36="","",INDEX(인턴근무계획!$N$3:$N$202,$A36)&amp;"")</f>
        <v/>
      </c>
      <c r="M36" s="23">
        <f>IF($C36="","",INDEX(인턴근무계획!$O$3:$O$202,$A36)&amp;"")</f>
        <v/>
      </c>
      <c r="N36" s="23">
        <f>IF($C36="","",INDEX(인턴근무계획!$P$3:$P$202,$A36)&amp;"")</f>
        <v/>
      </c>
      <c r="O36" s="23">
        <f>IF($C36="","",INDEX(인턴근무계획!$Q$3:$Q$202,$A36)&amp;"")</f>
        <v/>
      </c>
      <c r="P36" s="23">
        <f>IF($C36="","",INDEX(인턴근무계획!$R$3:$R$202,$A36)&amp;"")</f>
        <v/>
      </c>
      <c r="Q36" s="23">
        <f>IF($C36="","",INDEX(인턴근무계획!$T$3:$T$202,$A36))</f>
        <v/>
      </c>
    </row>
    <row r="37">
      <c r="A37" s="26" t="n">
        <v>32</v>
      </c>
      <c r="B37" s="23">
        <f>IF($C37="","",INDEX(인턴근무계획!$B$3:$B$202,$A37))</f>
        <v/>
      </c>
      <c r="C37" s="23">
        <f>IFERROR(TRIM(INDEX(인턴근무계획!$C$3:$C$202,$A37)&amp;""),"")</f>
        <v/>
      </c>
      <c r="D37" s="23">
        <f>IF($C37="","",INDEX(인턴근무계획!$D$3:$D$202,$A37))</f>
        <v/>
      </c>
      <c r="E37" s="23">
        <f>IF($C37="","",IF(IFERROR(MATCH($D37,기본자료!$B$2:$B$501,0),IFERROR(MATCH($D37&amp;"",기본자료!$B$2:$B$501,0),IFERROR(MATCH(VALUE($D37),기본자료!$B$2:$B$501,0),0)))&gt;0,"확인","미등록"))</f>
        <v/>
      </c>
      <c r="F37" s="27">
        <f>IF($C37="","",INDEX(인턴근무계획!$S$3:$S$202,$A37))</f>
        <v/>
      </c>
      <c r="G37" s="23">
        <f>IF(OR($C37="",$G$3=""),"",IF(INDEX(인턴근무계획!$M$3:$R$202,$A37,$G$3)&amp;""="","",IF(LEFT(INDEX(인턴근무계획!$M$3:$R$202,$A37,$G$3)&amp;"",1)="⚠",INDEX(인턴근무계획!$M$3:$R$202,$A37,$G$3)&amp;"",LEFT(INDEX(인턴근무계획!$M$3:$R$202,$A37,$G$3)&amp;"",FIND(" ",INDEX(인턴근무계획!$M$3:$R$202,$A37,$G$3)&amp;"")-1))))</f>
        <v/>
      </c>
      <c r="H37" s="23">
        <f>IF(OR($C37="",$G$3=""),"",IF(INDEX(인턴근무계획!$M$3:$R$202,$A37,$G$3)&amp;""="","",IF(LEFT(INDEX(인턴근무계획!$M$3:$R$202,$A37,$G$3)&amp;"",1)="⚠","",MID(INDEX(인턴근무계획!$M$3:$R$202,$A37,$G$3)&amp;"",FIND(" ",INDEX(인턴근무계획!$M$3:$R$202,$A37,$G$3)&amp;"")+1,60))))</f>
        <v/>
      </c>
      <c r="I37" s="23">
        <f>IF(OR($C37="",$I$3=""),"",IF(INDEX(인턴근무계획!$M$3:$R$202,$A37,$I$3)&amp;""="","",IF(LEFT(INDEX(인턴근무계획!$M$3:$R$202,$A37,$I$3)&amp;"",1)="⚠",INDEX(인턴근무계획!$M$3:$R$202,$A37,$I$3)&amp;"",LEFT(INDEX(인턴근무계획!$M$3:$R$202,$A37,$I$3)&amp;"",FIND(" ",INDEX(인턴근무계획!$M$3:$R$202,$A37,$I$3)&amp;"")-1))))</f>
        <v/>
      </c>
      <c r="J37" s="23">
        <f>IF(OR($C37="",$I$3=""),"",IF(INDEX(인턴근무계획!$M$3:$R$202,$A37,$I$3)&amp;""="","",IF(LEFT(INDEX(인턴근무계획!$M$3:$R$202,$A37,$I$3)&amp;"",1)="⚠","",MID(INDEX(인턴근무계획!$M$3:$R$202,$A37,$I$3)&amp;"",FIND(" ",INDEX(인턴근무계획!$M$3:$R$202,$A37,$I$3)&amp;"")+1,60))))</f>
        <v/>
      </c>
      <c r="K37" s="23">
        <f>IF($C37="","",INDEX(인턴근무계획!$M$3:$M$202,$A37)&amp;"")</f>
        <v/>
      </c>
      <c r="L37" s="23">
        <f>IF($C37="","",INDEX(인턴근무계획!$N$3:$N$202,$A37)&amp;"")</f>
        <v/>
      </c>
      <c r="M37" s="23">
        <f>IF($C37="","",INDEX(인턴근무계획!$O$3:$O$202,$A37)&amp;"")</f>
        <v/>
      </c>
      <c r="N37" s="23">
        <f>IF($C37="","",INDEX(인턴근무계획!$P$3:$P$202,$A37)&amp;"")</f>
        <v/>
      </c>
      <c r="O37" s="23">
        <f>IF($C37="","",INDEX(인턴근무계획!$Q$3:$Q$202,$A37)&amp;"")</f>
        <v/>
      </c>
      <c r="P37" s="23">
        <f>IF($C37="","",INDEX(인턴근무계획!$R$3:$R$202,$A37)&amp;"")</f>
        <v/>
      </c>
      <c r="Q37" s="23">
        <f>IF($C37="","",INDEX(인턴근무계획!$T$3:$T$202,$A37))</f>
        <v/>
      </c>
    </row>
    <row r="38">
      <c r="A38" s="26" t="n">
        <v>33</v>
      </c>
      <c r="B38" s="23">
        <f>IF($C38="","",INDEX(인턴근무계획!$B$3:$B$202,$A38))</f>
        <v/>
      </c>
      <c r="C38" s="23">
        <f>IFERROR(TRIM(INDEX(인턴근무계획!$C$3:$C$202,$A38)&amp;""),"")</f>
        <v/>
      </c>
      <c r="D38" s="23">
        <f>IF($C38="","",INDEX(인턴근무계획!$D$3:$D$202,$A38))</f>
        <v/>
      </c>
      <c r="E38" s="23">
        <f>IF($C38="","",IF(IFERROR(MATCH($D38,기본자료!$B$2:$B$501,0),IFERROR(MATCH($D38&amp;"",기본자료!$B$2:$B$501,0),IFERROR(MATCH(VALUE($D38),기본자료!$B$2:$B$501,0),0)))&gt;0,"확인","미등록"))</f>
        <v/>
      </c>
      <c r="F38" s="27">
        <f>IF($C38="","",INDEX(인턴근무계획!$S$3:$S$202,$A38))</f>
        <v/>
      </c>
      <c r="G38" s="23">
        <f>IF(OR($C38="",$G$3=""),"",IF(INDEX(인턴근무계획!$M$3:$R$202,$A38,$G$3)&amp;""="","",IF(LEFT(INDEX(인턴근무계획!$M$3:$R$202,$A38,$G$3)&amp;"",1)="⚠",INDEX(인턴근무계획!$M$3:$R$202,$A38,$G$3)&amp;"",LEFT(INDEX(인턴근무계획!$M$3:$R$202,$A38,$G$3)&amp;"",FIND(" ",INDEX(인턴근무계획!$M$3:$R$202,$A38,$G$3)&amp;"")-1))))</f>
        <v/>
      </c>
      <c r="H38" s="23">
        <f>IF(OR($C38="",$G$3=""),"",IF(INDEX(인턴근무계획!$M$3:$R$202,$A38,$G$3)&amp;""="","",IF(LEFT(INDEX(인턴근무계획!$M$3:$R$202,$A38,$G$3)&amp;"",1)="⚠","",MID(INDEX(인턴근무계획!$M$3:$R$202,$A38,$G$3)&amp;"",FIND(" ",INDEX(인턴근무계획!$M$3:$R$202,$A38,$G$3)&amp;"")+1,60))))</f>
        <v/>
      </c>
      <c r="I38" s="23">
        <f>IF(OR($C38="",$I$3=""),"",IF(INDEX(인턴근무계획!$M$3:$R$202,$A38,$I$3)&amp;""="","",IF(LEFT(INDEX(인턴근무계획!$M$3:$R$202,$A38,$I$3)&amp;"",1)="⚠",INDEX(인턴근무계획!$M$3:$R$202,$A38,$I$3)&amp;"",LEFT(INDEX(인턴근무계획!$M$3:$R$202,$A38,$I$3)&amp;"",FIND(" ",INDEX(인턴근무계획!$M$3:$R$202,$A38,$I$3)&amp;"")-1))))</f>
        <v/>
      </c>
      <c r="J38" s="23">
        <f>IF(OR($C38="",$I$3=""),"",IF(INDEX(인턴근무계획!$M$3:$R$202,$A38,$I$3)&amp;""="","",IF(LEFT(INDEX(인턴근무계획!$M$3:$R$202,$A38,$I$3)&amp;"",1)="⚠","",MID(INDEX(인턴근무계획!$M$3:$R$202,$A38,$I$3)&amp;"",FIND(" ",INDEX(인턴근무계획!$M$3:$R$202,$A38,$I$3)&amp;"")+1,60))))</f>
        <v/>
      </c>
      <c r="K38" s="23">
        <f>IF($C38="","",INDEX(인턴근무계획!$M$3:$M$202,$A38)&amp;"")</f>
        <v/>
      </c>
      <c r="L38" s="23">
        <f>IF($C38="","",INDEX(인턴근무계획!$N$3:$N$202,$A38)&amp;"")</f>
        <v/>
      </c>
      <c r="M38" s="23">
        <f>IF($C38="","",INDEX(인턴근무계획!$O$3:$O$202,$A38)&amp;"")</f>
        <v/>
      </c>
      <c r="N38" s="23">
        <f>IF($C38="","",INDEX(인턴근무계획!$P$3:$P$202,$A38)&amp;"")</f>
        <v/>
      </c>
      <c r="O38" s="23">
        <f>IF($C38="","",INDEX(인턴근무계획!$Q$3:$Q$202,$A38)&amp;"")</f>
        <v/>
      </c>
      <c r="P38" s="23">
        <f>IF($C38="","",INDEX(인턴근무계획!$R$3:$R$202,$A38)&amp;"")</f>
        <v/>
      </c>
      <c r="Q38" s="23">
        <f>IF($C38="","",INDEX(인턴근무계획!$T$3:$T$202,$A38))</f>
        <v/>
      </c>
    </row>
    <row r="39">
      <c r="A39" s="26" t="n">
        <v>34</v>
      </c>
      <c r="B39" s="23">
        <f>IF($C39="","",INDEX(인턴근무계획!$B$3:$B$202,$A39))</f>
        <v/>
      </c>
      <c r="C39" s="23">
        <f>IFERROR(TRIM(INDEX(인턴근무계획!$C$3:$C$202,$A39)&amp;""),"")</f>
        <v/>
      </c>
      <c r="D39" s="23">
        <f>IF($C39="","",INDEX(인턴근무계획!$D$3:$D$202,$A39))</f>
        <v/>
      </c>
      <c r="E39" s="23">
        <f>IF($C39="","",IF(IFERROR(MATCH($D39,기본자료!$B$2:$B$501,0),IFERROR(MATCH($D39&amp;"",기본자료!$B$2:$B$501,0),IFERROR(MATCH(VALUE($D39),기본자료!$B$2:$B$501,0),0)))&gt;0,"확인","미등록"))</f>
        <v/>
      </c>
      <c r="F39" s="27">
        <f>IF($C39="","",INDEX(인턴근무계획!$S$3:$S$202,$A39))</f>
        <v/>
      </c>
      <c r="G39" s="23">
        <f>IF(OR($C39="",$G$3=""),"",IF(INDEX(인턴근무계획!$M$3:$R$202,$A39,$G$3)&amp;""="","",IF(LEFT(INDEX(인턴근무계획!$M$3:$R$202,$A39,$G$3)&amp;"",1)="⚠",INDEX(인턴근무계획!$M$3:$R$202,$A39,$G$3)&amp;"",LEFT(INDEX(인턴근무계획!$M$3:$R$202,$A39,$G$3)&amp;"",FIND(" ",INDEX(인턴근무계획!$M$3:$R$202,$A39,$G$3)&amp;"")-1))))</f>
        <v/>
      </c>
      <c r="H39" s="23">
        <f>IF(OR($C39="",$G$3=""),"",IF(INDEX(인턴근무계획!$M$3:$R$202,$A39,$G$3)&amp;""="","",IF(LEFT(INDEX(인턴근무계획!$M$3:$R$202,$A39,$G$3)&amp;"",1)="⚠","",MID(INDEX(인턴근무계획!$M$3:$R$202,$A39,$G$3)&amp;"",FIND(" ",INDEX(인턴근무계획!$M$3:$R$202,$A39,$G$3)&amp;"")+1,60))))</f>
        <v/>
      </c>
      <c r="I39" s="23">
        <f>IF(OR($C39="",$I$3=""),"",IF(INDEX(인턴근무계획!$M$3:$R$202,$A39,$I$3)&amp;""="","",IF(LEFT(INDEX(인턴근무계획!$M$3:$R$202,$A39,$I$3)&amp;"",1)="⚠",INDEX(인턴근무계획!$M$3:$R$202,$A39,$I$3)&amp;"",LEFT(INDEX(인턴근무계획!$M$3:$R$202,$A39,$I$3)&amp;"",FIND(" ",INDEX(인턴근무계획!$M$3:$R$202,$A39,$I$3)&amp;"")-1))))</f>
        <v/>
      </c>
      <c r="J39" s="23">
        <f>IF(OR($C39="",$I$3=""),"",IF(INDEX(인턴근무계획!$M$3:$R$202,$A39,$I$3)&amp;""="","",IF(LEFT(INDEX(인턴근무계획!$M$3:$R$202,$A39,$I$3)&amp;"",1)="⚠","",MID(INDEX(인턴근무계획!$M$3:$R$202,$A39,$I$3)&amp;"",FIND(" ",INDEX(인턴근무계획!$M$3:$R$202,$A39,$I$3)&amp;"")+1,60))))</f>
        <v/>
      </c>
      <c r="K39" s="23">
        <f>IF($C39="","",INDEX(인턴근무계획!$M$3:$M$202,$A39)&amp;"")</f>
        <v/>
      </c>
      <c r="L39" s="23">
        <f>IF($C39="","",INDEX(인턴근무계획!$N$3:$N$202,$A39)&amp;"")</f>
        <v/>
      </c>
      <c r="M39" s="23">
        <f>IF($C39="","",INDEX(인턴근무계획!$O$3:$O$202,$A39)&amp;"")</f>
        <v/>
      </c>
      <c r="N39" s="23">
        <f>IF($C39="","",INDEX(인턴근무계획!$P$3:$P$202,$A39)&amp;"")</f>
        <v/>
      </c>
      <c r="O39" s="23">
        <f>IF($C39="","",INDEX(인턴근무계획!$Q$3:$Q$202,$A39)&amp;"")</f>
        <v/>
      </c>
      <c r="P39" s="23">
        <f>IF($C39="","",INDEX(인턴근무계획!$R$3:$R$202,$A39)&amp;"")</f>
        <v/>
      </c>
      <c r="Q39" s="23">
        <f>IF($C39="","",INDEX(인턴근무계획!$T$3:$T$202,$A39))</f>
        <v/>
      </c>
    </row>
    <row r="40">
      <c r="A40" s="26" t="n">
        <v>35</v>
      </c>
      <c r="B40" s="23">
        <f>IF($C40="","",INDEX(인턴근무계획!$B$3:$B$202,$A40))</f>
        <v/>
      </c>
      <c r="C40" s="23">
        <f>IFERROR(TRIM(INDEX(인턴근무계획!$C$3:$C$202,$A40)&amp;""),"")</f>
        <v/>
      </c>
      <c r="D40" s="23">
        <f>IF($C40="","",INDEX(인턴근무계획!$D$3:$D$202,$A40))</f>
        <v/>
      </c>
      <c r="E40" s="23">
        <f>IF($C40="","",IF(IFERROR(MATCH($D40,기본자료!$B$2:$B$501,0),IFERROR(MATCH($D40&amp;"",기본자료!$B$2:$B$501,0),IFERROR(MATCH(VALUE($D40),기본자료!$B$2:$B$501,0),0)))&gt;0,"확인","미등록"))</f>
        <v/>
      </c>
      <c r="F40" s="27">
        <f>IF($C40="","",INDEX(인턴근무계획!$S$3:$S$202,$A40))</f>
        <v/>
      </c>
      <c r="G40" s="23">
        <f>IF(OR($C40="",$G$3=""),"",IF(INDEX(인턴근무계획!$M$3:$R$202,$A40,$G$3)&amp;""="","",IF(LEFT(INDEX(인턴근무계획!$M$3:$R$202,$A40,$G$3)&amp;"",1)="⚠",INDEX(인턴근무계획!$M$3:$R$202,$A40,$G$3)&amp;"",LEFT(INDEX(인턴근무계획!$M$3:$R$202,$A40,$G$3)&amp;"",FIND(" ",INDEX(인턴근무계획!$M$3:$R$202,$A40,$G$3)&amp;"")-1))))</f>
        <v/>
      </c>
      <c r="H40" s="23">
        <f>IF(OR($C40="",$G$3=""),"",IF(INDEX(인턴근무계획!$M$3:$R$202,$A40,$G$3)&amp;""="","",IF(LEFT(INDEX(인턴근무계획!$M$3:$R$202,$A40,$G$3)&amp;"",1)="⚠","",MID(INDEX(인턴근무계획!$M$3:$R$202,$A40,$G$3)&amp;"",FIND(" ",INDEX(인턴근무계획!$M$3:$R$202,$A40,$G$3)&amp;"")+1,60))))</f>
        <v/>
      </c>
      <c r="I40" s="23">
        <f>IF(OR($C40="",$I$3=""),"",IF(INDEX(인턴근무계획!$M$3:$R$202,$A40,$I$3)&amp;""="","",IF(LEFT(INDEX(인턴근무계획!$M$3:$R$202,$A40,$I$3)&amp;"",1)="⚠",INDEX(인턴근무계획!$M$3:$R$202,$A40,$I$3)&amp;"",LEFT(INDEX(인턴근무계획!$M$3:$R$202,$A40,$I$3)&amp;"",FIND(" ",INDEX(인턴근무계획!$M$3:$R$202,$A40,$I$3)&amp;"")-1))))</f>
        <v/>
      </c>
      <c r="J40" s="23">
        <f>IF(OR($C40="",$I$3=""),"",IF(INDEX(인턴근무계획!$M$3:$R$202,$A40,$I$3)&amp;""="","",IF(LEFT(INDEX(인턴근무계획!$M$3:$R$202,$A40,$I$3)&amp;"",1)="⚠","",MID(INDEX(인턴근무계획!$M$3:$R$202,$A40,$I$3)&amp;"",FIND(" ",INDEX(인턴근무계획!$M$3:$R$202,$A40,$I$3)&amp;"")+1,60))))</f>
        <v/>
      </c>
      <c r="K40" s="23">
        <f>IF($C40="","",INDEX(인턴근무계획!$M$3:$M$202,$A40)&amp;"")</f>
        <v/>
      </c>
      <c r="L40" s="23">
        <f>IF($C40="","",INDEX(인턴근무계획!$N$3:$N$202,$A40)&amp;"")</f>
        <v/>
      </c>
      <c r="M40" s="23">
        <f>IF($C40="","",INDEX(인턴근무계획!$O$3:$O$202,$A40)&amp;"")</f>
        <v/>
      </c>
      <c r="N40" s="23">
        <f>IF($C40="","",INDEX(인턴근무계획!$P$3:$P$202,$A40)&amp;"")</f>
        <v/>
      </c>
      <c r="O40" s="23">
        <f>IF($C40="","",INDEX(인턴근무계획!$Q$3:$Q$202,$A40)&amp;"")</f>
        <v/>
      </c>
      <c r="P40" s="23">
        <f>IF($C40="","",INDEX(인턴근무계획!$R$3:$R$202,$A40)&amp;"")</f>
        <v/>
      </c>
      <c r="Q40" s="23">
        <f>IF($C40="","",INDEX(인턴근무계획!$T$3:$T$202,$A40))</f>
        <v/>
      </c>
    </row>
    <row r="41">
      <c r="A41" s="26" t="n">
        <v>36</v>
      </c>
      <c r="B41" s="23">
        <f>IF($C41="","",INDEX(인턴근무계획!$B$3:$B$202,$A41))</f>
        <v/>
      </c>
      <c r="C41" s="23">
        <f>IFERROR(TRIM(INDEX(인턴근무계획!$C$3:$C$202,$A41)&amp;""),"")</f>
        <v/>
      </c>
      <c r="D41" s="23">
        <f>IF($C41="","",INDEX(인턴근무계획!$D$3:$D$202,$A41))</f>
        <v/>
      </c>
      <c r="E41" s="23">
        <f>IF($C41="","",IF(IFERROR(MATCH($D41,기본자료!$B$2:$B$501,0),IFERROR(MATCH($D41&amp;"",기본자료!$B$2:$B$501,0),IFERROR(MATCH(VALUE($D41),기본자료!$B$2:$B$501,0),0)))&gt;0,"확인","미등록"))</f>
        <v/>
      </c>
      <c r="F41" s="27">
        <f>IF($C41="","",INDEX(인턴근무계획!$S$3:$S$202,$A41))</f>
        <v/>
      </c>
      <c r="G41" s="23">
        <f>IF(OR($C41="",$G$3=""),"",IF(INDEX(인턴근무계획!$M$3:$R$202,$A41,$G$3)&amp;""="","",IF(LEFT(INDEX(인턴근무계획!$M$3:$R$202,$A41,$G$3)&amp;"",1)="⚠",INDEX(인턴근무계획!$M$3:$R$202,$A41,$G$3)&amp;"",LEFT(INDEX(인턴근무계획!$M$3:$R$202,$A41,$G$3)&amp;"",FIND(" ",INDEX(인턴근무계획!$M$3:$R$202,$A41,$G$3)&amp;"")-1))))</f>
        <v/>
      </c>
      <c r="H41" s="23">
        <f>IF(OR($C41="",$G$3=""),"",IF(INDEX(인턴근무계획!$M$3:$R$202,$A41,$G$3)&amp;""="","",IF(LEFT(INDEX(인턴근무계획!$M$3:$R$202,$A41,$G$3)&amp;"",1)="⚠","",MID(INDEX(인턴근무계획!$M$3:$R$202,$A41,$G$3)&amp;"",FIND(" ",INDEX(인턴근무계획!$M$3:$R$202,$A41,$G$3)&amp;"")+1,60))))</f>
        <v/>
      </c>
      <c r="I41" s="23">
        <f>IF(OR($C41="",$I$3=""),"",IF(INDEX(인턴근무계획!$M$3:$R$202,$A41,$I$3)&amp;""="","",IF(LEFT(INDEX(인턴근무계획!$M$3:$R$202,$A41,$I$3)&amp;"",1)="⚠",INDEX(인턴근무계획!$M$3:$R$202,$A41,$I$3)&amp;"",LEFT(INDEX(인턴근무계획!$M$3:$R$202,$A41,$I$3)&amp;"",FIND(" ",INDEX(인턴근무계획!$M$3:$R$202,$A41,$I$3)&amp;"")-1))))</f>
        <v/>
      </c>
      <c r="J41" s="23">
        <f>IF(OR($C41="",$I$3=""),"",IF(INDEX(인턴근무계획!$M$3:$R$202,$A41,$I$3)&amp;""="","",IF(LEFT(INDEX(인턴근무계획!$M$3:$R$202,$A41,$I$3)&amp;"",1)="⚠","",MID(INDEX(인턴근무계획!$M$3:$R$202,$A41,$I$3)&amp;"",FIND(" ",INDEX(인턴근무계획!$M$3:$R$202,$A41,$I$3)&amp;"")+1,60))))</f>
        <v/>
      </c>
      <c r="K41" s="23">
        <f>IF($C41="","",INDEX(인턴근무계획!$M$3:$M$202,$A41)&amp;"")</f>
        <v/>
      </c>
      <c r="L41" s="23">
        <f>IF($C41="","",INDEX(인턴근무계획!$N$3:$N$202,$A41)&amp;"")</f>
        <v/>
      </c>
      <c r="M41" s="23">
        <f>IF($C41="","",INDEX(인턴근무계획!$O$3:$O$202,$A41)&amp;"")</f>
        <v/>
      </c>
      <c r="N41" s="23">
        <f>IF($C41="","",INDEX(인턴근무계획!$P$3:$P$202,$A41)&amp;"")</f>
        <v/>
      </c>
      <c r="O41" s="23">
        <f>IF($C41="","",INDEX(인턴근무계획!$Q$3:$Q$202,$A41)&amp;"")</f>
        <v/>
      </c>
      <c r="P41" s="23">
        <f>IF($C41="","",INDEX(인턴근무계획!$R$3:$R$202,$A41)&amp;"")</f>
        <v/>
      </c>
      <c r="Q41" s="23">
        <f>IF($C41="","",INDEX(인턴근무계획!$T$3:$T$202,$A41))</f>
        <v/>
      </c>
    </row>
    <row r="42">
      <c r="A42" s="26" t="n">
        <v>37</v>
      </c>
      <c r="B42" s="23">
        <f>IF($C42="","",INDEX(인턴근무계획!$B$3:$B$202,$A42))</f>
        <v/>
      </c>
      <c r="C42" s="23">
        <f>IFERROR(TRIM(INDEX(인턴근무계획!$C$3:$C$202,$A42)&amp;""),"")</f>
        <v/>
      </c>
      <c r="D42" s="23">
        <f>IF($C42="","",INDEX(인턴근무계획!$D$3:$D$202,$A42))</f>
        <v/>
      </c>
      <c r="E42" s="23">
        <f>IF($C42="","",IF(IFERROR(MATCH($D42,기본자료!$B$2:$B$501,0),IFERROR(MATCH($D42&amp;"",기본자료!$B$2:$B$501,0),IFERROR(MATCH(VALUE($D42),기본자료!$B$2:$B$501,0),0)))&gt;0,"확인","미등록"))</f>
        <v/>
      </c>
      <c r="F42" s="27">
        <f>IF($C42="","",INDEX(인턴근무계획!$S$3:$S$202,$A42))</f>
        <v/>
      </c>
      <c r="G42" s="23">
        <f>IF(OR($C42="",$G$3=""),"",IF(INDEX(인턴근무계획!$M$3:$R$202,$A42,$G$3)&amp;""="","",IF(LEFT(INDEX(인턴근무계획!$M$3:$R$202,$A42,$G$3)&amp;"",1)="⚠",INDEX(인턴근무계획!$M$3:$R$202,$A42,$G$3)&amp;"",LEFT(INDEX(인턴근무계획!$M$3:$R$202,$A42,$G$3)&amp;"",FIND(" ",INDEX(인턴근무계획!$M$3:$R$202,$A42,$G$3)&amp;"")-1))))</f>
        <v/>
      </c>
      <c r="H42" s="23">
        <f>IF(OR($C42="",$G$3=""),"",IF(INDEX(인턴근무계획!$M$3:$R$202,$A42,$G$3)&amp;""="","",IF(LEFT(INDEX(인턴근무계획!$M$3:$R$202,$A42,$G$3)&amp;"",1)="⚠","",MID(INDEX(인턴근무계획!$M$3:$R$202,$A42,$G$3)&amp;"",FIND(" ",INDEX(인턴근무계획!$M$3:$R$202,$A42,$G$3)&amp;"")+1,60))))</f>
        <v/>
      </c>
      <c r="I42" s="23">
        <f>IF(OR($C42="",$I$3=""),"",IF(INDEX(인턴근무계획!$M$3:$R$202,$A42,$I$3)&amp;""="","",IF(LEFT(INDEX(인턴근무계획!$M$3:$R$202,$A42,$I$3)&amp;"",1)="⚠",INDEX(인턴근무계획!$M$3:$R$202,$A42,$I$3)&amp;"",LEFT(INDEX(인턴근무계획!$M$3:$R$202,$A42,$I$3)&amp;"",FIND(" ",INDEX(인턴근무계획!$M$3:$R$202,$A42,$I$3)&amp;"")-1))))</f>
        <v/>
      </c>
      <c r="J42" s="23">
        <f>IF(OR($C42="",$I$3=""),"",IF(INDEX(인턴근무계획!$M$3:$R$202,$A42,$I$3)&amp;""="","",IF(LEFT(INDEX(인턴근무계획!$M$3:$R$202,$A42,$I$3)&amp;"",1)="⚠","",MID(INDEX(인턴근무계획!$M$3:$R$202,$A42,$I$3)&amp;"",FIND(" ",INDEX(인턴근무계획!$M$3:$R$202,$A42,$I$3)&amp;"")+1,60))))</f>
        <v/>
      </c>
      <c r="K42" s="23">
        <f>IF($C42="","",INDEX(인턴근무계획!$M$3:$M$202,$A42)&amp;"")</f>
        <v/>
      </c>
      <c r="L42" s="23">
        <f>IF($C42="","",INDEX(인턴근무계획!$N$3:$N$202,$A42)&amp;"")</f>
        <v/>
      </c>
      <c r="M42" s="23">
        <f>IF($C42="","",INDEX(인턴근무계획!$O$3:$O$202,$A42)&amp;"")</f>
        <v/>
      </c>
      <c r="N42" s="23">
        <f>IF($C42="","",INDEX(인턴근무계획!$P$3:$P$202,$A42)&amp;"")</f>
        <v/>
      </c>
      <c r="O42" s="23">
        <f>IF($C42="","",INDEX(인턴근무계획!$Q$3:$Q$202,$A42)&amp;"")</f>
        <v/>
      </c>
      <c r="P42" s="23">
        <f>IF($C42="","",INDEX(인턴근무계획!$R$3:$R$202,$A42)&amp;"")</f>
        <v/>
      </c>
      <c r="Q42" s="23">
        <f>IF($C42="","",INDEX(인턴근무계획!$T$3:$T$202,$A42))</f>
        <v/>
      </c>
    </row>
    <row r="43">
      <c r="A43" s="26" t="n">
        <v>38</v>
      </c>
      <c r="B43" s="23">
        <f>IF($C43="","",INDEX(인턴근무계획!$B$3:$B$202,$A43))</f>
        <v/>
      </c>
      <c r="C43" s="23">
        <f>IFERROR(TRIM(INDEX(인턴근무계획!$C$3:$C$202,$A43)&amp;""),"")</f>
        <v/>
      </c>
      <c r="D43" s="23">
        <f>IF($C43="","",INDEX(인턴근무계획!$D$3:$D$202,$A43))</f>
        <v/>
      </c>
      <c r="E43" s="23">
        <f>IF($C43="","",IF(IFERROR(MATCH($D43,기본자료!$B$2:$B$501,0),IFERROR(MATCH($D43&amp;"",기본자료!$B$2:$B$501,0),IFERROR(MATCH(VALUE($D43),기본자료!$B$2:$B$501,0),0)))&gt;0,"확인","미등록"))</f>
        <v/>
      </c>
      <c r="F43" s="27">
        <f>IF($C43="","",INDEX(인턴근무계획!$S$3:$S$202,$A43))</f>
        <v/>
      </c>
      <c r="G43" s="23">
        <f>IF(OR($C43="",$G$3=""),"",IF(INDEX(인턴근무계획!$M$3:$R$202,$A43,$G$3)&amp;""="","",IF(LEFT(INDEX(인턴근무계획!$M$3:$R$202,$A43,$G$3)&amp;"",1)="⚠",INDEX(인턴근무계획!$M$3:$R$202,$A43,$G$3)&amp;"",LEFT(INDEX(인턴근무계획!$M$3:$R$202,$A43,$G$3)&amp;"",FIND(" ",INDEX(인턴근무계획!$M$3:$R$202,$A43,$G$3)&amp;"")-1))))</f>
        <v/>
      </c>
      <c r="H43" s="23">
        <f>IF(OR($C43="",$G$3=""),"",IF(INDEX(인턴근무계획!$M$3:$R$202,$A43,$G$3)&amp;""="","",IF(LEFT(INDEX(인턴근무계획!$M$3:$R$202,$A43,$G$3)&amp;"",1)="⚠","",MID(INDEX(인턴근무계획!$M$3:$R$202,$A43,$G$3)&amp;"",FIND(" ",INDEX(인턴근무계획!$M$3:$R$202,$A43,$G$3)&amp;"")+1,60))))</f>
        <v/>
      </c>
      <c r="I43" s="23">
        <f>IF(OR($C43="",$I$3=""),"",IF(INDEX(인턴근무계획!$M$3:$R$202,$A43,$I$3)&amp;""="","",IF(LEFT(INDEX(인턴근무계획!$M$3:$R$202,$A43,$I$3)&amp;"",1)="⚠",INDEX(인턴근무계획!$M$3:$R$202,$A43,$I$3)&amp;"",LEFT(INDEX(인턴근무계획!$M$3:$R$202,$A43,$I$3)&amp;"",FIND(" ",INDEX(인턴근무계획!$M$3:$R$202,$A43,$I$3)&amp;"")-1))))</f>
        <v/>
      </c>
      <c r="J43" s="23">
        <f>IF(OR($C43="",$I$3=""),"",IF(INDEX(인턴근무계획!$M$3:$R$202,$A43,$I$3)&amp;""="","",IF(LEFT(INDEX(인턴근무계획!$M$3:$R$202,$A43,$I$3)&amp;"",1)="⚠","",MID(INDEX(인턴근무계획!$M$3:$R$202,$A43,$I$3)&amp;"",FIND(" ",INDEX(인턴근무계획!$M$3:$R$202,$A43,$I$3)&amp;"")+1,60))))</f>
        <v/>
      </c>
      <c r="K43" s="23">
        <f>IF($C43="","",INDEX(인턴근무계획!$M$3:$M$202,$A43)&amp;"")</f>
        <v/>
      </c>
      <c r="L43" s="23">
        <f>IF($C43="","",INDEX(인턴근무계획!$N$3:$N$202,$A43)&amp;"")</f>
        <v/>
      </c>
      <c r="M43" s="23">
        <f>IF($C43="","",INDEX(인턴근무계획!$O$3:$O$202,$A43)&amp;"")</f>
        <v/>
      </c>
      <c r="N43" s="23">
        <f>IF($C43="","",INDEX(인턴근무계획!$P$3:$P$202,$A43)&amp;"")</f>
        <v/>
      </c>
      <c r="O43" s="23">
        <f>IF($C43="","",INDEX(인턴근무계획!$Q$3:$Q$202,$A43)&amp;"")</f>
        <v/>
      </c>
      <c r="P43" s="23">
        <f>IF($C43="","",INDEX(인턴근무계획!$R$3:$R$202,$A43)&amp;"")</f>
        <v/>
      </c>
      <c r="Q43" s="23">
        <f>IF($C43="","",INDEX(인턴근무계획!$T$3:$T$202,$A43))</f>
        <v/>
      </c>
    </row>
    <row r="44">
      <c r="A44" s="26" t="n">
        <v>39</v>
      </c>
      <c r="B44" s="23">
        <f>IF($C44="","",INDEX(인턴근무계획!$B$3:$B$202,$A44))</f>
        <v/>
      </c>
      <c r="C44" s="23">
        <f>IFERROR(TRIM(INDEX(인턴근무계획!$C$3:$C$202,$A44)&amp;""),"")</f>
        <v/>
      </c>
      <c r="D44" s="23">
        <f>IF($C44="","",INDEX(인턴근무계획!$D$3:$D$202,$A44))</f>
        <v/>
      </c>
      <c r="E44" s="23">
        <f>IF($C44="","",IF(IFERROR(MATCH($D44,기본자료!$B$2:$B$501,0),IFERROR(MATCH($D44&amp;"",기본자료!$B$2:$B$501,0),IFERROR(MATCH(VALUE($D44),기본자료!$B$2:$B$501,0),0)))&gt;0,"확인","미등록"))</f>
        <v/>
      </c>
      <c r="F44" s="27">
        <f>IF($C44="","",INDEX(인턴근무계획!$S$3:$S$202,$A44))</f>
        <v/>
      </c>
      <c r="G44" s="23">
        <f>IF(OR($C44="",$G$3=""),"",IF(INDEX(인턴근무계획!$M$3:$R$202,$A44,$G$3)&amp;""="","",IF(LEFT(INDEX(인턴근무계획!$M$3:$R$202,$A44,$G$3)&amp;"",1)="⚠",INDEX(인턴근무계획!$M$3:$R$202,$A44,$G$3)&amp;"",LEFT(INDEX(인턴근무계획!$M$3:$R$202,$A44,$G$3)&amp;"",FIND(" ",INDEX(인턴근무계획!$M$3:$R$202,$A44,$G$3)&amp;"")-1))))</f>
        <v/>
      </c>
      <c r="H44" s="23">
        <f>IF(OR($C44="",$G$3=""),"",IF(INDEX(인턴근무계획!$M$3:$R$202,$A44,$G$3)&amp;""="","",IF(LEFT(INDEX(인턴근무계획!$M$3:$R$202,$A44,$G$3)&amp;"",1)="⚠","",MID(INDEX(인턴근무계획!$M$3:$R$202,$A44,$G$3)&amp;"",FIND(" ",INDEX(인턴근무계획!$M$3:$R$202,$A44,$G$3)&amp;"")+1,60))))</f>
        <v/>
      </c>
      <c r="I44" s="23">
        <f>IF(OR($C44="",$I$3=""),"",IF(INDEX(인턴근무계획!$M$3:$R$202,$A44,$I$3)&amp;""="","",IF(LEFT(INDEX(인턴근무계획!$M$3:$R$202,$A44,$I$3)&amp;"",1)="⚠",INDEX(인턴근무계획!$M$3:$R$202,$A44,$I$3)&amp;"",LEFT(INDEX(인턴근무계획!$M$3:$R$202,$A44,$I$3)&amp;"",FIND(" ",INDEX(인턴근무계획!$M$3:$R$202,$A44,$I$3)&amp;"")-1))))</f>
        <v/>
      </c>
      <c r="J44" s="23">
        <f>IF(OR($C44="",$I$3=""),"",IF(INDEX(인턴근무계획!$M$3:$R$202,$A44,$I$3)&amp;""="","",IF(LEFT(INDEX(인턴근무계획!$M$3:$R$202,$A44,$I$3)&amp;"",1)="⚠","",MID(INDEX(인턴근무계획!$M$3:$R$202,$A44,$I$3)&amp;"",FIND(" ",INDEX(인턴근무계획!$M$3:$R$202,$A44,$I$3)&amp;"")+1,60))))</f>
        <v/>
      </c>
      <c r="K44" s="23">
        <f>IF($C44="","",INDEX(인턴근무계획!$M$3:$M$202,$A44)&amp;"")</f>
        <v/>
      </c>
      <c r="L44" s="23">
        <f>IF($C44="","",INDEX(인턴근무계획!$N$3:$N$202,$A44)&amp;"")</f>
        <v/>
      </c>
      <c r="M44" s="23">
        <f>IF($C44="","",INDEX(인턴근무계획!$O$3:$O$202,$A44)&amp;"")</f>
        <v/>
      </c>
      <c r="N44" s="23">
        <f>IF($C44="","",INDEX(인턴근무계획!$P$3:$P$202,$A44)&amp;"")</f>
        <v/>
      </c>
      <c r="O44" s="23">
        <f>IF($C44="","",INDEX(인턴근무계획!$Q$3:$Q$202,$A44)&amp;"")</f>
        <v/>
      </c>
      <c r="P44" s="23">
        <f>IF($C44="","",INDEX(인턴근무계획!$R$3:$R$202,$A44)&amp;"")</f>
        <v/>
      </c>
      <c r="Q44" s="23">
        <f>IF($C44="","",INDEX(인턴근무계획!$T$3:$T$202,$A44))</f>
        <v/>
      </c>
    </row>
    <row r="45">
      <c r="A45" s="26" t="n">
        <v>40</v>
      </c>
      <c r="B45" s="23">
        <f>IF($C45="","",INDEX(인턴근무계획!$B$3:$B$202,$A45))</f>
        <v/>
      </c>
      <c r="C45" s="23">
        <f>IFERROR(TRIM(INDEX(인턴근무계획!$C$3:$C$202,$A45)&amp;""),"")</f>
        <v/>
      </c>
      <c r="D45" s="23">
        <f>IF($C45="","",INDEX(인턴근무계획!$D$3:$D$202,$A45))</f>
        <v/>
      </c>
      <c r="E45" s="23">
        <f>IF($C45="","",IF(IFERROR(MATCH($D45,기본자료!$B$2:$B$501,0),IFERROR(MATCH($D45&amp;"",기본자료!$B$2:$B$501,0),IFERROR(MATCH(VALUE($D45),기본자료!$B$2:$B$501,0),0)))&gt;0,"확인","미등록"))</f>
        <v/>
      </c>
      <c r="F45" s="27">
        <f>IF($C45="","",INDEX(인턴근무계획!$S$3:$S$202,$A45))</f>
        <v/>
      </c>
      <c r="G45" s="23">
        <f>IF(OR($C45="",$G$3=""),"",IF(INDEX(인턴근무계획!$M$3:$R$202,$A45,$G$3)&amp;""="","",IF(LEFT(INDEX(인턴근무계획!$M$3:$R$202,$A45,$G$3)&amp;"",1)="⚠",INDEX(인턴근무계획!$M$3:$R$202,$A45,$G$3)&amp;"",LEFT(INDEX(인턴근무계획!$M$3:$R$202,$A45,$G$3)&amp;"",FIND(" ",INDEX(인턴근무계획!$M$3:$R$202,$A45,$G$3)&amp;"")-1))))</f>
        <v/>
      </c>
      <c r="H45" s="23">
        <f>IF(OR($C45="",$G$3=""),"",IF(INDEX(인턴근무계획!$M$3:$R$202,$A45,$G$3)&amp;""="","",IF(LEFT(INDEX(인턴근무계획!$M$3:$R$202,$A45,$G$3)&amp;"",1)="⚠","",MID(INDEX(인턴근무계획!$M$3:$R$202,$A45,$G$3)&amp;"",FIND(" ",INDEX(인턴근무계획!$M$3:$R$202,$A45,$G$3)&amp;"")+1,60))))</f>
        <v/>
      </c>
      <c r="I45" s="23">
        <f>IF(OR($C45="",$I$3=""),"",IF(INDEX(인턴근무계획!$M$3:$R$202,$A45,$I$3)&amp;""="","",IF(LEFT(INDEX(인턴근무계획!$M$3:$R$202,$A45,$I$3)&amp;"",1)="⚠",INDEX(인턴근무계획!$M$3:$R$202,$A45,$I$3)&amp;"",LEFT(INDEX(인턴근무계획!$M$3:$R$202,$A45,$I$3)&amp;"",FIND(" ",INDEX(인턴근무계획!$M$3:$R$202,$A45,$I$3)&amp;"")-1))))</f>
        <v/>
      </c>
      <c r="J45" s="23">
        <f>IF(OR($C45="",$I$3=""),"",IF(INDEX(인턴근무계획!$M$3:$R$202,$A45,$I$3)&amp;""="","",IF(LEFT(INDEX(인턴근무계획!$M$3:$R$202,$A45,$I$3)&amp;"",1)="⚠","",MID(INDEX(인턴근무계획!$M$3:$R$202,$A45,$I$3)&amp;"",FIND(" ",INDEX(인턴근무계획!$M$3:$R$202,$A45,$I$3)&amp;"")+1,60))))</f>
        <v/>
      </c>
      <c r="K45" s="23">
        <f>IF($C45="","",INDEX(인턴근무계획!$M$3:$M$202,$A45)&amp;"")</f>
        <v/>
      </c>
      <c r="L45" s="23">
        <f>IF($C45="","",INDEX(인턴근무계획!$N$3:$N$202,$A45)&amp;"")</f>
        <v/>
      </c>
      <c r="M45" s="23">
        <f>IF($C45="","",INDEX(인턴근무계획!$O$3:$O$202,$A45)&amp;"")</f>
        <v/>
      </c>
      <c r="N45" s="23">
        <f>IF($C45="","",INDEX(인턴근무계획!$P$3:$P$202,$A45)&amp;"")</f>
        <v/>
      </c>
      <c r="O45" s="23">
        <f>IF($C45="","",INDEX(인턴근무계획!$Q$3:$Q$202,$A45)&amp;"")</f>
        <v/>
      </c>
      <c r="P45" s="23">
        <f>IF($C45="","",INDEX(인턴근무계획!$R$3:$R$202,$A45)&amp;"")</f>
        <v/>
      </c>
      <c r="Q45" s="23">
        <f>IF($C45="","",INDEX(인턴근무계획!$T$3:$T$202,$A45))</f>
        <v/>
      </c>
    </row>
    <row r="46">
      <c r="A46" s="26" t="n">
        <v>41</v>
      </c>
      <c r="B46" s="23">
        <f>IF($C46="","",INDEX(인턴근무계획!$B$3:$B$202,$A46))</f>
        <v/>
      </c>
      <c r="C46" s="23">
        <f>IFERROR(TRIM(INDEX(인턴근무계획!$C$3:$C$202,$A46)&amp;""),"")</f>
        <v/>
      </c>
      <c r="D46" s="23">
        <f>IF($C46="","",INDEX(인턴근무계획!$D$3:$D$202,$A46))</f>
        <v/>
      </c>
      <c r="E46" s="23">
        <f>IF($C46="","",IF(IFERROR(MATCH($D46,기본자료!$B$2:$B$501,0),IFERROR(MATCH($D46&amp;"",기본자료!$B$2:$B$501,0),IFERROR(MATCH(VALUE($D46),기본자료!$B$2:$B$501,0),0)))&gt;0,"확인","미등록"))</f>
        <v/>
      </c>
      <c r="F46" s="27">
        <f>IF($C46="","",INDEX(인턴근무계획!$S$3:$S$202,$A46))</f>
        <v/>
      </c>
      <c r="G46" s="23">
        <f>IF(OR($C46="",$G$3=""),"",IF(INDEX(인턴근무계획!$M$3:$R$202,$A46,$G$3)&amp;""="","",IF(LEFT(INDEX(인턴근무계획!$M$3:$R$202,$A46,$G$3)&amp;"",1)="⚠",INDEX(인턴근무계획!$M$3:$R$202,$A46,$G$3)&amp;"",LEFT(INDEX(인턴근무계획!$M$3:$R$202,$A46,$G$3)&amp;"",FIND(" ",INDEX(인턴근무계획!$M$3:$R$202,$A46,$G$3)&amp;"")-1))))</f>
        <v/>
      </c>
      <c r="H46" s="23">
        <f>IF(OR($C46="",$G$3=""),"",IF(INDEX(인턴근무계획!$M$3:$R$202,$A46,$G$3)&amp;""="","",IF(LEFT(INDEX(인턴근무계획!$M$3:$R$202,$A46,$G$3)&amp;"",1)="⚠","",MID(INDEX(인턴근무계획!$M$3:$R$202,$A46,$G$3)&amp;"",FIND(" ",INDEX(인턴근무계획!$M$3:$R$202,$A46,$G$3)&amp;"")+1,60))))</f>
        <v/>
      </c>
      <c r="I46" s="23">
        <f>IF(OR($C46="",$I$3=""),"",IF(INDEX(인턴근무계획!$M$3:$R$202,$A46,$I$3)&amp;""="","",IF(LEFT(INDEX(인턴근무계획!$M$3:$R$202,$A46,$I$3)&amp;"",1)="⚠",INDEX(인턴근무계획!$M$3:$R$202,$A46,$I$3)&amp;"",LEFT(INDEX(인턴근무계획!$M$3:$R$202,$A46,$I$3)&amp;"",FIND(" ",INDEX(인턴근무계획!$M$3:$R$202,$A46,$I$3)&amp;"")-1))))</f>
        <v/>
      </c>
      <c r="J46" s="23">
        <f>IF(OR($C46="",$I$3=""),"",IF(INDEX(인턴근무계획!$M$3:$R$202,$A46,$I$3)&amp;""="","",IF(LEFT(INDEX(인턴근무계획!$M$3:$R$202,$A46,$I$3)&amp;"",1)="⚠","",MID(INDEX(인턴근무계획!$M$3:$R$202,$A46,$I$3)&amp;"",FIND(" ",INDEX(인턴근무계획!$M$3:$R$202,$A46,$I$3)&amp;"")+1,60))))</f>
        <v/>
      </c>
      <c r="K46" s="23">
        <f>IF($C46="","",INDEX(인턴근무계획!$M$3:$M$202,$A46)&amp;"")</f>
        <v/>
      </c>
      <c r="L46" s="23">
        <f>IF($C46="","",INDEX(인턴근무계획!$N$3:$N$202,$A46)&amp;"")</f>
        <v/>
      </c>
      <c r="M46" s="23">
        <f>IF($C46="","",INDEX(인턴근무계획!$O$3:$O$202,$A46)&amp;"")</f>
        <v/>
      </c>
      <c r="N46" s="23">
        <f>IF($C46="","",INDEX(인턴근무계획!$P$3:$P$202,$A46)&amp;"")</f>
        <v/>
      </c>
      <c r="O46" s="23">
        <f>IF($C46="","",INDEX(인턴근무계획!$Q$3:$Q$202,$A46)&amp;"")</f>
        <v/>
      </c>
      <c r="P46" s="23">
        <f>IF($C46="","",INDEX(인턴근무계획!$R$3:$R$202,$A46)&amp;"")</f>
        <v/>
      </c>
      <c r="Q46" s="23">
        <f>IF($C46="","",INDEX(인턴근무계획!$T$3:$T$202,$A46))</f>
        <v/>
      </c>
    </row>
    <row r="47">
      <c r="A47" s="26" t="n">
        <v>42</v>
      </c>
      <c r="B47" s="23">
        <f>IF($C47="","",INDEX(인턴근무계획!$B$3:$B$202,$A47))</f>
        <v/>
      </c>
      <c r="C47" s="23">
        <f>IFERROR(TRIM(INDEX(인턴근무계획!$C$3:$C$202,$A47)&amp;""),"")</f>
        <v/>
      </c>
      <c r="D47" s="23">
        <f>IF($C47="","",INDEX(인턴근무계획!$D$3:$D$202,$A47))</f>
        <v/>
      </c>
      <c r="E47" s="23">
        <f>IF($C47="","",IF(IFERROR(MATCH($D47,기본자료!$B$2:$B$501,0),IFERROR(MATCH($D47&amp;"",기본자료!$B$2:$B$501,0),IFERROR(MATCH(VALUE($D47),기본자료!$B$2:$B$501,0),0)))&gt;0,"확인","미등록"))</f>
        <v/>
      </c>
      <c r="F47" s="27">
        <f>IF($C47="","",INDEX(인턴근무계획!$S$3:$S$202,$A47))</f>
        <v/>
      </c>
      <c r="G47" s="23">
        <f>IF(OR($C47="",$G$3=""),"",IF(INDEX(인턴근무계획!$M$3:$R$202,$A47,$G$3)&amp;""="","",IF(LEFT(INDEX(인턴근무계획!$M$3:$R$202,$A47,$G$3)&amp;"",1)="⚠",INDEX(인턴근무계획!$M$3:$R$202,$A47,$G$3)&amp;"",LEFT(INDEX(인턴근무계획!$M$3:$R$202,$A47,$G$3)&amp;"",FIND(" ",INDEX(인턴근무계획!$M$3:$R$202,$A47,$G$3)&amp;"")-1))))</f>
        <v/>
      </c>
      <c r="H47" s="23">
        <f>IF(OR($C47="",$G$3=""),"",IF(INDEX(인턴근무계획!$M$3:$R$202,$A47,$G$3)&amp;""="","",IF(LEFT(INDEX(인턴근무계획!$M$3:$R$202,$A47,$G$3)&amp;"",1)="⚠","",MID(INDEX(인턴근무계획!$M$3:$R$202,$A47,$G$3)&amp;"",FIND(" ",INDEX(인턴근무계획!$M$3:$R$202,$A47,$G$3)&amp;"")+1,60))))</f>
        <v/>
      </c>
      <c r="I47" s="23">
        <f>IF(OR($C47="",$I$3=""),"",IF(INDEX(인턴근무계획!$M$3:$R$202,$A47,$I$3)&amp;""="","",IF(LEFT(INDEX(인턴근무계획!$M$3:$R$202,$A47,$I$3)&amp;"",1)="⚠",INDEX(인턴근무계획!$M$3:$R$202,$A47,$I$3)&amp;"",LEFT(INDEX(인턴근무계획!$M$3:$R$202,$A47,$I$3)&amp;"",FIND(" ",INDEX(인턴근무계획!$M$3:$R$202,$A47,$I$3)&amp;"")-1))))</f>
        <v/>
      </c>
      <c r="J47" s="23">
        <f>IF(OR($C47="",$I$3=""),"",IF(INDEX(인턴근무계획!$M$3:$R$202,$A47,$I$3)&amp;""="","",IF(LEFT(INDEX(인턴근무계획!$M$3:$R$202,$A47,$I$3)&amp;"",1)="⚠","",MID(INDEX(인턴근무계획!$M$3:$R$202,$A47,$I$3)&amp;"",FIND(" ",INDEX(인턴근무계획!$M$3:$R$202,$A47,$I$3)&amp;"")+1,60))))</f>
        <v/>
      </c>
      <c r="K47" s="23">
        <f>IF($C47="","",INDEX(인턴근무계획!$M$3:$M$202,$A47)&amp;"")</f>
        <v/>
      </c>
      <c r="L47" s="23">
        <f>IF($C47="","",INDEX(인턴근무계획!$N$3:$N$202,$A47)&amp;"")</f>
        <v/>
      </c>
      <c r="M47" s="23">
        <f>IF($C47="","",INDEX(인턴근무계획!$O$3:$O$202,$A47)&amp;"")</f>
        <v/>
      </c>
      <c r="N47" s="23">
        <f>IF($C47="","",INDEX(인턴근무계획!$P$3:$P$202,$A47)&amp;"")</f>
        <v/>
      </c>
      <c r="O47" s="23">
        <f>IF($C47="","",INDEX(인턴근무계획!$Q$3:$Q$202,$A47)&amp;"")</f>
        <v/>
      </c>
      <c r="P47" s="23">
        <f>IF($C47="","",INDEX(인턴근무계획!$R$3:$R$202,$A47)&amp;"")</f>
        <v/>
      </c>
      <c r="Q47" s="23">
        <f>IF($C47="","",INDEX(인턴근무계획!$T$3:$T$202,$A47))</f>
        <v/>
      </c>
    </row>
    <row r="48">
      <c r="A48" s="26" t="n">
        <v>43</v>
      </c>
      <c r="B48" s="23">
        <f>IF($C48="","",INDEX(인턴근무계획!$B$3:$B$202,$A48))</f>
        <v/>
      </c>
      <c r="C48" s="23">
        <f>IFERROR(TRIM(INDEX(인턴근무계획!$C$3:$C$202,$A48)&amp;""),"")</f>
        <v/>
      </c>
      <c r="D48" s="23">
        <f>IF($C48="","",INDEX(인턴근무계획!$D$3:$D$202,$A48))</f>
        <v/>
      </c>
      <c r="E48" s="23">
        <f>IF($C48="","",IF(IFERROR(MATCH($D48,기본자료!$B$2:$B$501,0),IFERROR(MATCH($D48&amp;"",기본자료!$B$2:$B$501,0),IFERROR(MATCH(VALUE($D48),기본자료!$B$2:$B$501,0),0)))&gt;0,"확인","미등록"))</f>
        <v/>
      </c>
      <c r="F48" s="27">
        <f>IF($C48="","",INDEX(인턴근무계획!$S$3:$S$202,$A48))</f>
        <v/>
      </c>
      <c r="G48" s="23">
        <f>IF(OR($C48="",$G$3=""),"",IF(INDEX(인턴근무계획!$M$3:$R$202,$A48,$G$3)&amp;""="","",IF(LEFT(INDEX(인턴근무계획!$M$3:$R$202,$A48,$G$3)&amp;"",1)="⚠",INDEX(인턴근무계획!$M$3:$R$202,$A48,$G$3)&amp;"",LEFT(INDEX(인턴근무계획!$M$3:$R$202,$A48,$G$3)&amp;"",FIND(" ",INDEX(인턴근무계획!$M$3:$R$202,$A48,$G$3)&amp;"")-1))))</f>
        <v/>
      </c>
      <c r="H48" s="23">
        <f>IF(OR($C48="",$G$3=""),"",IF(INDEX(인턴근무계획!$M$3:$R$202,$A48,$G$3)&amp;""="","",IF(LEFT(INDEX(인턴근무계획!$M$3:$R$202,$A48,$G$3)&amp;"",1)="⚠","",MID(INDEX(인턴근무계획!$M$3:$R$202,$A48,$G$3)&amp;"",FIND(" ",INDEX(인턴근무계획!$M$3:$R$202,$A48,$G$3)&amp;"")+1,60))))</f>
        <v/>
      </c>
      <c r="I48" s="23">
        <f>IF(OR($C48="",$I$3=""),"",IF(INDEX(인턴근무계획!$M$3:$R$202,$A48,$I$3)&amp;""="","",IF(LEFT(INDEX(인턴근무계획!$M$3:$R$202,$A48,$I$3)&amp;"",1)="⚠",INDEX(인턴근무계획!$M$3:$R$202,$A48,$I$3)&amp;"",LEFT(INDEX(인턴근무계획!$M$3:$R$202,$A48,$I$3)&amp;"",FIND(" ",INDEX(인턴근무계획!$M$3:$R$202,$A48,$I$3)&amp;"")-1))))</f>
        <v/>
      </c>
      <c r="J48" s="23">
        <f>IF(OR($C48="",$I$3=""),"",IF(INDEX(인턴근무계획!$M$3:$R$202,$A48,$I$3)&amp;""="","",IF(LEFT(INDEX(인턴근무계획!$M$3:$R$202,$A48,$I$3)&amp;"",1)="⚠","",MID(INDEX(인턴근무계획!$M$3:$R$202,$A48,$I$3)&amp;"",FIND(" ",INDEX(인턴근무계획!$M$3:$R$202,$A48,$I$3)&amp;"")+1,60))))</f>
        <v/>
      </c>
      <c r="K48" s="23">
        <f>IF($C48="","",INDEX(인턴근무계획!$M$3:$M$202,$A48)&amp;"")</f>
        <v/>
      </c>
      <c r="L48" s="23">
        <f>IF($C48="","",INDEX(인턴근무계획!$N$3:$N$202,$A48)&amp;"")</f>
        <v/>
      </c>
      <c r="M48" s="23">
        <f>IF($C48="","",INDEX(인턴근무계획!$O$3:$O$202,$A48)&amp;"")</f>
        <v/>
      </c>
      <c r="N48" s="23">
        <f>IF($C48="","",INDEX(인턴근무계획!$P$3:$P$202,$A48)&amp;"")</f>
        <v/>
      </c>
      <c r="O48" s="23">
        <f>IF($C48="","",INDEX(인턴근무계획!$Q$3:$Q$202,$A48)&amp;"")</f>
        <v/>
      </c>
      <c r="P48" s="23">
        <f>IF($C48="","",INDEX(인턴근무계획!$R$3:$R$202,$A48)&amp;"")</f>
        <v/>
      </c>
      <c r="Q48" s="23">
        <f>IF($C48="","",INDEX(인턴근무계획!$T$3:$T$202,$A48))</f>
        <v/>
      </c>
    </row>
    <row r="49">
      <c r="A49" s="26" t="n">
        <v>44</v>
      </c>
      <c r="B49" s="23">
        <f>IF($C49="","",INDEX(인턴근무계획!$B$3:$B$202,$A49))</f>
        <v/>
      </c>
      <c r="C49" s="23">
        <f>IFERROR(TRIM(INDEX(인턴근무계획!$C$3:$C$202,$A49)&amp;""),"")</f>
        <v/>
      </c>
      <c r="D49" s="23">
        <f>IF($C49="","",INDEX(인턴근무계획!$D$3:$D$202,$A49))</f>
        <v/>
      </c>
      <c r="E49" s="23">
        <f>IF($C49="","",IF(IFERROR(MATCH($D49,기본자료!$B$2:$B$501,0),IFERROR(MATCH($D49&amp;"",기본자료!$B$2:$B$501,0),IFERROR(MATCH(VALUE($D49),기본자료!$B$2:$B$501,0),0)))&gt;0,"확인","미등록"))</f>
        <v/>
      </c>
      <c r="F49" s="27">
        <f>IF($C49="","",INDEX(인턴근무계획!$S$3:$S$202,$A49))</f>
        <v/>
      </c>
      <c r="G49" s="23">
        <f>IF(OR($C49="",$G$3=""),"",IF(INDEX(인턴근무계획!$M$3:$R$202,$A49,$G$3)&amp;""="","",IF(LEFT(INDEX(인턴근무계획!$M$3:$R$202,$A49,$G$3)&amp;"",1)="⚠",INDEX(인턴근무계획!$M$3:$R$202,$A49,$G$3)&amp;"",LEFT(INDEX(인턴근무계획!$M$3:$R$202,$A49,$G$3)&amp;"",FIND(" ",INDEX(인턴근무계획!$M$3:$R$202,$A49,$G$3)&amp;"")-1))))</f>
        <v/>
      </c>
      <c r="H49" s="23">
        <f>IF(OR($C49="",$G$3=""),"",IF(INDEX(인턴근무계획!$M$3:$R$202,$A49,$G$3)&amp;""="","",IF(LEFT(INDEX(인턴근무계획!$M$3:$R$202,$A49,$G$3)&amp;"",1)="⚠","",MID(INDEX(인턴근무계획!$M$3:$R$202,$A49,$G$3)&amp;"",FIND(" ",INDEX(인턴근무계획!$M$3:$R$202,$A49,$G$3)&amp;"")+1,60))))</f>
        <v/>
      </c>
      <c r="I49" s="23">
        <f>IF(OR($C49="",$I$3=""),"",IF(INDEX(인턴근무계획!$M$3:$R$202,$A49,$I$3)&amp;""="","",IF(LEFT(INDEX(인턴근무계획!$M$3:$R$202,$A49,$I$3)&amp;"",1)="⚠",INDEX(인턴근무계획!$M$3:$R$202,$A49,$I$3)&amp;"",LEFT(INDEX(인턴근무계획!$M$3:$R$202,$A49,$I$3)&amp;"",FIND(" ",INDEX(인턴근무계획!$M$3:$R$202,$A49,$I$3)&amp;"")-1))))</f>
        <v/>
      </c>
      <c r="J49" s="23">
        <f>IF(OR($C49="",$I$3=""),"",IF(INDEX(인턴근무계획!$M$3:$R$202,$A49,$I$3)&amp;""="","",IF(LEFT(INDEX(인턴근무계획!$M$3:$R$202,$A49,$I$3)&amp;"",1)="⚠","",MID(INDEX(인턴근무계획!$M$3:$R$202,$A49,$I$3)&amp;"",FIND(" ",INDEX(인턴근무계획!$M$3:$R$202,$A49,$I$3)&amp;"")+1,60))))</f>
        <v/>
      </c>
      <c r="K49" s="23">
        <f>IF($C49="","",INDEX(인턴근무계획!$M$3:$M$202,$A49)&amp;"")</f>
        <v/>
      </c>
      <c r="L49" s="23">
        <f>IF($C49="","",INDEX(인턴근무계획!$N$3:$N$202,$A49)&amp;"")</f>
        <v/>
      </c>
      <c r="M49" s="23">
        <f>IF($C49="","",INDEX(인턴근무계획!$O$3:$O$202,$A49)&amp;"")</f>
        <v/>
      </c>
      <c r="N49" s="23">
        <f>IF($C49="","",INDEX(인턴근무계획!$P$3:$P$202,$A49)&amp;"")</f>
        <v/>
      </c>
      <c r="O49" s="23">
        <f>IF($C49="","",INDEX(인턴근무계획!$Q$3:$Q$202,$A49)&amp;"")</f>
        <v/>
      </c>
      <c r="P49" s="23">
        <f>IF($C49="","",INDEX(인턴근무계획!$R$3:$R$202,$A49)&amp;"")</f>
        <v/>
      </c>
      <c r="Q49" s="23">
        <f>IF($C49="","",INDEX(인턴근무계획!$T$3:$T$202,$A49))</f>
        <v/>
      </c>
    </row>
    <row r="50">
      <c r="A50" s="26" t="n">
        <v>45</v>
      </c>
      <c r="B50" s="23">
        <f>IF($C50="","",INDEX(인턴근무계획!$B$3:$B$202,$A50))</f>
        <v/>
      </c>
      <c r="C50" s="23">
        <f>IFERROR(TRIM(INDEX(인턴근무계획!$C$3:$C$202,$A50)&amp;""),"")</f>
        <v/>
      </c>
      <c r="D50" s="23">
        <f>IF($C50="","",INDEX(인턴근무계획!$D$3:$D$202,$A50))</f>
        <v/>
      </c>
      <c r="E50" s="23">
        <f>IF($C50="","",IF(IFERROR(MATCH($D50,기본자료!$B$2:$B$501,0),IFERROR(MATCH($D50&amp;"",기본자료!$B$2:$B$501,0),IFERROR(MATCH(VALUE($D50),기본자료!$B$2:$B$501,0),0)))&gt;0,"확인","미등록"))</f>
        <v/>
      </c>
      <c r="F50" s="27">
        <f>IF($C50="","",INDEX(인턴근무계획!$S$3:$S$202,$A50))</f>
        <v/>
      </c>
      <c r="G50" s="23">
        <f>IF(OR($C50="",$G$3=""),"",IF(INDEX(인턴근무계획!$M$3:$R$202,$A50,$G$3)&amp;""="","",IF(LEFT(INDEX(인턴근무계획!$M$3:$R$202,$A50,$G$3)&amp;"",1)="⚠",INDEX(인턴근무계획!$M$3:$R$202,$A50,$G$3)&amp;"",LEFT(INDEX(인턴근무계획!$M$3:$R$202,$A50,$G$3)&amp;"",FIND(" ",INDEX(인턴근무계획!$M$3:$R$202,$A50,$G$3)&amp;"")-1))))</f>
        <v/>
      </c>
      <c r="H50" s="23">
        <f>IF(OR($C50="",$G$3=""),"",IF(INDEX(인턴근무계획!$M$3:$R$202,$A50,$G$3)&amp;""="","",IF(LEFT(INDEX(인턴근무계획!$M$3:$R$202,$A50,$G$3)&amp;"",1)="⚠","",MID(INDEX(인턴근무계획!$M$3:$R$202,$A50,$G$3)&amp;"",FIND(" ",INDEX(인턴근무계획!$M$3:$R$202,$A50,$G$3)&amp;"")+1,60))))</f>
        <v/>
      </c>
      <c r="I50" s="23">
        <f>IF(OR($C50="",$I$3=""),"",IF(INDEX(인턴근무계획!$M$3:$R$202,$A50,$I$3)&amp;""="","",IF(LEFT(INDEX(인턴근무계획!$M$3:$R$202,$A50,$I$3)&amp;"",1)="⚠",INDEX(인턴근무계획!$M$3:$R$202,$A50,$I$3)&amp;"",LEFT(INDEX(인턴근무계획!$M$3:$R$202,$A50,$I$3)&amp;"",FIND(" ",INDEX(인턴근무계획!$M$3:$R$202,$A50,$I$3)&amp;"")-1))))</f>
        <v/>
      </c>
      <c r="J50" s="23">
        <f>IF(OR($C50="",$I$3=""),"",IF(INDEX(인턴근무계획!$M$3:$R$202,$A50,$I$3)&amp;""="","",IF(LEFT(INDEX(인턴근무계획!$M$3:$R$202,$A50,$I$3)&amp;"",1)="⚠","",MID(INDEX(인턴근무계획!$M$3:$R$202,$A50,$I$3)&amp;"",FIND(" ",INDEX(인턴근무계획!$M$3:$R$202,$A50,$I$3)&amp;"")+1,60))))</f>
        <v/>
      </c>
      <c r="K50" s="23">
        <f>IF($C50="","",INDEX(인턴근무계획!$M$3:$M$202,$A50)&amp;"")</f>
        <v/>
      </c>
      <c r="L50" s="23">
        <f>IF($C50="","",INDEX(인턴근무계획!$N$3:$N$202,$A50)&amp;"")</f>
        <v/>
      </c>
      <c r="M50" s="23">
        <f>IF($C50="","",INDEX(인턴근무계획!$O$3:$O$202,$A50)&amp;"")</f>
        <v/>
      </c>
      <c r="N50" s="23">
        <f>IF($C50="","",INDEX(인턴근무계획!$P$3:$P$202,$A50)&amp;"")</f>
        <v/>
      </c>
      <c r="O50" s="23">
        <f>IF($C50="","",INDEX(인턴근무계획!$Q$3:$Q$202,$A50)&amp;"")</f>
        <v/>
      </c>
      <c r="P50" s="23">
        <f>IF($C50="","",INDEX(인턴근무계획!$R$3:$R$202,$A50)&amp;"")</f>
        <v/>
      </c>
      <c r="Q50" s="23">
        <f>IF($C50="","",INDEX(인턴근무계획!$T$3:$T$202,$A50))</f>
        <v/>
      </c>
    </row>
    <row r="51">
      <c r="A51" s="26" t="n">
        <v>46</v>
      </c>
      <c r="B51" s="23">
        <f>IF($C51="","",INDEX(인턴근무계획!$B$3:$B$202,$A51))</f>
        <v/>
      </c>
      <c r="C51" s="23">
        <f>IFERROR(TRIM(INDEX(인턴근무계획!$C$3:$C$202,$A51)&amp;""),"")</f>
        <v/>
      </c>
      <c r="D51" s="23">
        <f>IF($C51="","",INDEX(인턴근무계획!$D$3:$D$202,$A51))</f>
        <v/>
      </c>
      <c r="E51" s="23">
        <f>IF($C51="","",IF(IFERROR(MATCH($D51,기본자료!$B$2:$B$501,0),IFERROR(MATCH($D51&amp;"",기본자료!$B$2:$B$501,0),IFERROR(MATCH(VALUE($D51),기본자료!$B$2:$B$501,0),0)))&gt;0,"확인","미등록"))</f>
        <v/>
      </c>
      <c r="F51" s="27">
        <f>IF($C51="","",INDEX(인턴근무계획!$S$3:$S$202,$A51))</f>
        <v/>
      </c>
      <c r="G51" s="23">
        <f>IF(OR($C51="",$G$3=""),"",IF(INDEX(인턴근무계획!$M$3:$R$202,$A51,$G$3)&amp;""="","",IF(LEFT(INDEX(인턴근무계획!$M$3:$R$202,$A51,$G$3)&amp;"",1)="⚠",INDEX(인턴근무계획!$M$3:$R$202,$A51,$G$3)&amp;"",LEFT(INDEX(인턴근무계획!$M$3:$R$202,$A51,$G$3)&amp;"",FIND(" ",INDEX(인턴근무계획!$M$3:$R$202,$A51,$G$3)&amp;"")-1))))</f>
        <v/>
      </c>
      <c r="H51" s="23">
        <f>IF(OR($C51="",$G$3=""),"",IF(INDEX(인턴근무계획!$M$3:$R$202,$A51,$G$3)&amp;""="","",IF(LEFT(INDEX(인턴근무계획!$M$3:$R$202,$A51,$G$3)&amp;"",1)="⚠","",MID(INDEX(인턴근무계획!$M$3:$R$202,$A51,$G$3)&amp;"",FIND(" ",INDEX(인턴근무계획!$M$3:$R$202,$A51,$G$3)&amp;"")+1,60))))</f>
        <v/>
      </c>
      <c r="I51" s="23">
        <f>IF(OR($C51="",$I$3=""),"",IF(INDEX(인턴근무계획!$M$3:$R$202,$A51,$I$3)&amp;""="","",IF(LEFT(INDEX(인턴근무계획!$M$3:$R$202,$A51,$I$3)&amp;"",1)="⚠",INDEX(인턴근무계획!$M$3:$R$202,$A51,$I$3)&amp;"",LEFT(INDEX(인턴근무계획!$M$3:$R$202,$A51,$I$3)&amp;"",FIND(" ",INDEX(인턴근무계획!$M$3:$R$202,$A51,$I$3)&amp;"")-1))))</f>
        <v/>
      </c>
      <c r="J51" s="23">
        <f>IF(OR($C51="",$I$3=""),"",IF(INDEX(인턴근무계획!$M$3:$R$202,$A51,$I$3)&amp;""="","",IF(LEFT(INDEX(인턴근무계획!$M$3:$R$202,$A51,$I$3)&amp;"",1)="⚠","",MID(INDEX(인턴근무계획!$M$3:$R$202,$A51,$I$3)&amp;"",FIND(" ",INDEX(인턴근무계획!$M$3:$R$202,$A51,$I$3)&amp;"")+1,60))))</f>
        <v/>
      </c>
      <c r="K51" s="23">
        <f>IF($C51="","",INDEX(인턴근무계획!$M$3:$M$202,$A51)&amp;"")</f>
        <v/>
      </c>
      <c r="L51" s="23">
        <f>IF($C51="","",INDEX(인턴근무계획!$N$3:$N$202,$A51)&amp;"")</f>
        <v/>
      </c>
      <c r="M51" s="23">
        <f>IF($C51="","",INDEX(인턴근무계획!$O$3:$O$202,$A51)&amp;"")</f>
        <v/>
      </c>
      <c r="N51" s="23">
        <f>IF($C51="","",INDEX(인턴근무계획!$P$3:$P$202,$A51)&amp;"")</f>
        <v/>
      </c>
      <c r="O51" s="23">
        <f>IF($C51="","",INDEX(인턴근무계획!$Q$3:$Q$202,$A51)&amp;"")</f>
        <v/>
      </c>
      <c r="P51" s="23">
        <f>IF($C51="","",INDEX(인턴근무계획!$R$3:$R$202,$A51)&amp;"")</f>
        <v/>
      </c>
      <c r="Q51" s="23">
        <f>IF($C51="","",INDEX(인턴근무계획!$T$3:$T$202,$A51))</f>
        <v/>
      </c>
    </row>
    <row r="52">
      <c r="A52" s="26" t="n">
        <v>47</v>
      </c>
      <c r="B52" s="23">
        <f>IF($C52="","",INDEX(인턴근무계획!$B$3:$B$202,$A52))</f>
        <v/>
      </c>
      <c r="C52" s="23">
        <f>IFERROR(TRIM(INDEX(인턴근무계획!$C$3:$C$202,$A52)&amp;""),"")</f>
        <v/>
      </c>
      <c r="D52" s="23">
        <f>IF($C52="","",INDEX(인턴근무계획!$D$3:$D$202,$A52))</f>
        <v/>
      </c>
      <c r="E52" s="23">
        <f>IF($C52="","",IF(IFERROR(MATCH($D52,기본자료!$B$2:$B$501,0),IFERROR(MATCH($D52&amp;"",기본자료!$B$2:$B$501,0),IFERROR(MATCH(VALUE($D52),기본자료!$B$2:$B$501,0),0)))&gt;0,"확인","미등록"))</f>
        <v/>
      </c>
      <c r="F52" s="27">
        <f>IF($C52="","",INDEX(인턴근무계획!$S$3:$S$202,$A52))</f>
        <v/>
      </c>
      <c r="G52" s="23">
        <f>IF(OR($C52="",$G$3=""),"",IF(INDEX(인턴근무계획!$M$3:$R$202,$A52,$G$3)&amp;""="","",IF(LEFT(INDEX(인턴근무계획!$M$3:$R$202,$A52,$G$3)&amp;"",1)="⚠",INDEX(인턴근무계획!$M$3:$R$202,$A52,$G$3)&amp;"",LEFT(INDEX(인턴근무계획!$M$3:$R$202,$A52,$G$3)&amp;"",FIND(" ",INDEX(인턴근무계획!$M$3:$R$202,$A52,$G$3)&amp;"")-1))))</f>
        <v/>
      </c>
      <c r="H52" s="23">
        <f>IF(OR($C52="",$G$3=""),"",IF(INDEX(인턴근무계획!$M$3:$R$202,$A52,$G$3)&amp;""="","",IF(LEFT(INDEX(인턴근무계획!$M$3:$R$202,$A52,$G$3)&amp;"",1)="⚠","",MID(INDEX(인턴근무계획!$M$3:$R$202,$A52,$G$3)&amp;"",FIND(" ",INDEX(인턴근무계획!$M$3:$R$202,$A52,$G$3)&amp;"")+1,60))))</f>
        <v/>
      </c>
      <c r="I52" s="23">
        <f>IF(OR($C52="",$I$3=""),"",IF(INDEX(인턴근무계획!$M$3:$R$202,$A52,$I$3)&amp;""="","",IF(LEFT(INDEX(인턴근무계획!$M$3:$R$202,$A52,$I$3)&amp;"",1)="⚠",INDEX(인턴근무계획!$M$3:$R$202,$A52,$I$3)&amp;"",LEFT(INDEX(인턴근무계획!$M$3:$R$202,$A52,$I$3)&amp;"",FIND(" ",INDEX(인턴근무계획!$M$3:$R$202,$A52,$I$3)&amp;"")-1))))</f>
        <v/>
      </c>
      <c r="J52" s="23">
        <f>IF(OR($C52="",$I$3=""),"",IF(INDEX(인턴근무계획!$M$3:$R$202,$A52,$I$3)&amp;""="","",IF(LEFT(INDEX(인턴근무계획!$M$3:$R$202,$A52,$I$3)&amp;"",1)="⚠","",MID(INDEX(인턴근무계획!$M$3:$R$202,$A52,$I$3)&amp;"",FIND(" ",INDEX(인턴근무계획!$M$3:$R$202,$A52,$I$3)&amp;"")+1,60))))</f>
        <v/>
      </c>
      <c r="K52" s="23">
        <f>IF($C52="","",INDEX(인턴근무계획!$M$3:$M$202,$A52)&amp;"")</f>
        <v/>
      </c>
      <c r="L52" s="23">
        <f>IF($C52="","",INDEX(인턴근무계획!$N$3:$N$202,$A52)&amp;"")</f>
        <v/>
      </c>
      <c r="M52" s="23">
        <f>IF($C52="","",INDEX(인턴근무계획!$O$3:$O$202,$A52)&amp;"")</f>
        <v/>
      </c>
      <c r="N52" s="23">
        <f>IF($C52="","",INDEX(인턴근무계획!$P$3:$P$202,$A52)&amp;"")</f>
        <v/>
      </c>
      <c r="O52" s="23">
        <f>IF($C52="","",INDEX(인턴근무계획!$Q$3:$Q$202,$A52)&amp;"")</f>
        <v/>
      </c>
      <c r="P52" s="23">
        <f>IF($C52="","",INDEX(인턴근무계획!$R$3:$R$202,$A52)&amp;"")</f>
        <v/>
      </c>
      <c r="Q52" s="23">
        <f>IF($C52="","",INDEX(인턴근무계획!$T$3:$T$202,$A52))</f>
        <v/>
      </c>
    </row>
    <row r="53">
      <c r="A53" s="26" t="n">
        <v>48</v>
      </c>
      <c r="B53" s="23">
        <f>IF($C53="","",INDEX(인턴근무계획!$B$3:$B$202,$A53))</f>
        <v/>
      </c>
      <c r="C53" s="23">
        <f>IFERROR(TRIM(INDEX(인턴근무계획!$C$3:$C$202,$A53)&amp;""),"")</f>
        <v/>
      </c>
      <c r="D53" s="23">
        <f>IF($C53="","",INDEX(인턴근무계획!$D$3:$D$202,$A53))</f>
        <v/>
      </c>
      <c r="E53" s="23">
        <f>IF($C53="","",IF(IFERROR(MATCH($D53,기본자료!$B$2:$B$501,0),IFERROR(MATCH($D53&amp;"",기본자료!$B$2:$B$501,0),IFERROR(MATCH(VALUE($D53),기본자료!$B$2:$B$501,0),0)))&gt;0,"확인","미등록"))</f>
        <v/>
      </c>
      <c r="F53" s="27">
        <f>IF($C53="","",INDEX(인턴근무계획!$S$3:$S$202,$A53))</f>
        <v/>
      </c>
      <c r="G53" s="23">
        <f>IF(OR($C53="",$G$3=""),"",IF(INDEX(인턴근무계획!$M$3:$R$202,$A53,$G$3)&amp;""="","",IF(LEFT(INDEX(인턴근무계획!$M$3:$R$202,$A53,$G$3)&amp;"",1)="⚠",INDEX(인턴근무계획!$M$3:$R$202,$A53,$G$3)&amp;"",LEFT(INDEX(인턴근무계획!$M$3:$R$202,$A53,$G$3)&amp;"",FIND(" ",INDEX(인턴근무계획!$M$3:$R$202,$A53,$G$3)&amp;"")-1))))</f>
        <v/>
      </c>
      <c r="H53" s="23">
        <f>IF(OR($C53="",$G$3=""),"",IF(INDEX(인턴근무계획!$M$3:$R$202,$A53,$G$3)&amp;""="","",IF(LEFT(INDEX(인턴근무계획!$M$3:$R$202,$A53,$G$3)&amp;"",1)="⚠","",MID(INDEX(인턴근무계획!$M$3:$R$202,$A53,$G$3)&amp;"",FIND(" ",INDEX(인턴근무계획!$M$3:$R$202,$A53,$G$3)&amp;"")+1,60))))</f>
        <v/>
      </c>
      <c r="I53" s="23">
        <f>IF(OR($C53="",$I$3=""),"",IF(INDEX(인턴근무계획!$M$3:$R$202,$A53,$I$3)&amp;""="","",IF(LEFT(INDEX(인턴근무계획!$M$3:$R$202,$A53,$I$3)&amp;"",1)="⚠",INDEX(인턴근무계획!$M$3:$R$202,$A53,$I$3)&amp;"",LEFT(INDEX(인턴근무계획!$M$3:$R$202,$A53,$I$3)&amp;"",FIND(" ",INDEX(인턴근무계획!$M$3:$R$202,$A53,$I$3)&amp;"")-1))))</f>
        <v/>
      </c>
      <c r="J53" s="23">
        <f>IF(OR($C53="",$I$3=""),"",IF(INDEX(인턴근무계획!$M$3:$R$202,$A53,$I$3)&amp;""="","",IF(LEFT(INDEX(인턴근무계획!$M$3:$R$202,$A53,$I$3)&amp;"",1)="⚠","",MID(INDEX(인턴근무계획!$M$3:$R$202,$A53,$I$3)&amp;"",FIND(" ",INDEX(인턴근무계획!$M$3:$R$202,$A53,$I$3)&amp;"")+1,60))))</f>
        <v/>
      </c>
      <c r="K53" s="23">
        <f>IF($C53="","",INDEX(인턴근무계획!$M$3:$M$202,$A53)&amp;"")</f>
        <v/>
      </c>
      <c r="L53" s="23">
        <f>IF($C53="","",INDEX(인턴근무계획!$N$3:$N$202,$A53)&amp;"")</f>
        <v/>
      </c>
      <c r="M53" s="23">
        <f>IF($C53="","",INDEX(인턴근무계획!$O$3:$O$202,$A53)&amp;"")</f>
        <v/>
      </c>
      <c r="N53" s="23">
        <f>IF($C53="","",INDEX(인턴근무계획!$P$3:$P$202,$A53)&amp;"")</f>
        <v/>
      </c>
      <c r="O53" s="23">
        <f>IF($C53="","",INDEX(인턴근무계획!$Q$3:$Q$202,$A53)&amp;"")</f>
        <v/>
      </c>
      <c r="P53" s="23">
        <f>IF($C53="","",INDEX(인턴근무계획!$R$3:$R$202,$A53)&amp;"")</f>
        <v/>
      </c>
      <c r="Q53" s="23">
        <f>IF($C53="","",INDEX(인턴근무계획!$T$3:$T$202,$A53))</f>
        <v/>
      </c>
    </row>
    <row r="54">
      <c r="A54" s="26" t="n">
        <v>49</v>
      </c>
      <c r="B54" s="23">
        <f>IF($C54="","",INDEX(인턴근무계획!$B$3:$B$202,$A54))</f>
        <v/>
      </c>
      <c r="C54" s="23">
        <f>IFERROR(TRIM(INDEX(인턴근무계획!$C$3:$C$202,$A54)&amp;""),"")</f>
        <v/>
      </c>
      <c r="D54" s="23">
        <f>IF($C54="","",INDEX(인턴근무계획!$D$3:$D$202,$A54))</f>
        <v/>
      </c>
      <c r="E54" s="23">
        <f>IF($C54="","",IF(IFERROR(MATCH($D54,기본자료!$B$2:$B$501,0),IFERROR(MATCH($D54&amp;"",기본자료!$B$2:$B$501,0),IFERROR(MATCH(VALUE($D54),기본자료!$B$2:$B$501,0),0)))&gt;0,"확인","미등록"))</f>
        <v/>
      </c>
      <c r="F54" s="27">
        <f>IF($C54="","",INDEX(인턴근무계획!$S$3:$S$202,$A54))</f>
        <v/>
      </c>
      <c r="G54" s="23">
        <f>IF(OR($C54="",$G$3=""),"",IF(INDEX(인턴근무계획!$M$3:$R$202,$A54,$G$3)&amp;""="","",IF(LEFT(INDEX(인턴근무계획!$M$3:$R$202,$A54,$G$3)&amp;"",1)="⚠",INDEX(인턴근무계획!$M$3:$R$202,$A54,$G$3)&amp;"",LEFT(INDEX(인턴근무계획!$M$3:$R$202,$A54,$G$3)&amp;"",FIND(" ",INDEX(인턴근무계획!$M$3:$R$202,$A54,$G$3)&amp;"")-1))))</f>
        <v/>
      </c>
      <c r="H54" s="23">
        <f>IF(OR($C54="",$G$3=""),"",IF(INDEX(인턴근무계획!$M$3:$R$202,$A54,$G$3)&amp;""="","",IF(LEFT(INDEX(인턴근무계획!$M$3:$R$202,$A54,$G$3)&amp;"",1)="⚠","",MID(INDEX(인턴근무계획!$M$3:$R$202,$A54,$G$3)&amp;"",FIND(" ",INDEX(인턴근무계획!$M$3:$R$202,$A54,$G$3)&amp;"")+1,60))))</f>
        <v/>
      </c>
      <c r="I54" s="23">
        <f>IF(OR($C54="",$I$3=""),"",IF(INDEX(인턴근무계획!$M$3:$R$202,$A54,$I$3)&amp;""="","",IF(LEFT(INDEX(인턴근무계획!$M$3:$R$202,$A54,$I$3)&amp;"",1)="⚠",INDEX(인턴근무계획!$M$3:$R$202,$A54,$I$3)&amp;"",LEFT(INDEX(인턴근무계획!$M$3:$R$202,$A54,$I$3)&amp;"",FIND(" ",INDEX(인턴근무계획!$M$3:$R$202,$A54,$I$3)&amp;"")-1))))</f>
        <v/>
      </c>
      <c r="J54" s="23">
        <f>IF(OR($C54="",$I$3=""),"",IF(INDEX(인턴근무계획!$M$3:$R$202,$A54,$I$3)&amp;""="","",IF(LEFT(INDEX(인턴근무계획!$M$3:$R$202,$A54,$I$3)&amp;"",1)="⚠","",MID(INDEX(인턴근무계획!$M$3:$R$202,$A54,$I$3)&amp;"",FIND(" ",INDEX(인턴근무계획!$M$3:$R$202,$A54,$I$3)&amp;"")+1,60))))</f>
        <v/>
      </c>
      <c r="K54" s="23">
        <f>IF($C54="","",INDEX(인턴근무계획!$M$3:$M$202,$A54)&amp;"")</f>
        <v/>
      </c>
      <c r="L54" s="23">
        <f>IF($C54="","",INDEX(인턴근무계획!$N$3:$N$202,$A54)&amp;"")</f>
        <v/>
      </c>
      <c r="M54" s="23">
        <f>IF($C54="","",INDEX(인턴근무계획!$O$3:$O$202,$A54)&amp;"")</f>
        <v/>
      </c>
      <c r="N54" s="23">
        <f>IF($C54="","",INDEX(인턴근무계획!$P$3:$P$202,$A54)&amp;"")</f>
        <v/>
      </c>
      <c r="O54" s="23">
        <f>IF($C54="","",INDEX(인턴근무계획!$Q$3:$Q$202,$A54)&amp;"")</f>
        <v/>
      </c>
      <c r="P54" s="23">
        <f>IF($C54="","",INDEX(인턴근무계획!$R$3:$R$202,$A54)&amp;"")</f>
        <v/>
      </c>
      <c r="Q54" s="23">
        <f>IF($C54="","",INDEX(인턴근무계획!$T$3:$T$202,$A54))</f>
        <v/>
      </c>
    </row>
    <row r="55">
      <c r="A55" s="26" t="n">
        <v>50</v>
      </c>
      <c r="B55" s="23">
        <f>IF($C55="","",INDEX(인턴근무계획!$B$3:$B$202,$A55))</f>
        <v/>
      </c>
      <c r="C55" s="23">
        <f>IFERROR(TRIM(INDEX(인턴근무계획!$C$3:$C$202,$A55)&amp;""),"")</f>
        <v/>
      </c>
      <c r="D55" s="23">
        <f>IF($C55="","",INDEX(인턴근무계획!$D$3:$D$202,$A55))</f>
        <v/>
      </c>
      <c r="E55" s="23">
        <f>IF($C55="","",IF(IFERROR(MATCH($D55,기본자료!$B$2:$B$501,0),IFERROR(MATCH($D55&amp;"",기본자료!$B$2:$B$501,0),IFERROR(MATCH(VALUE($D55),기본자료!$B$2:$B$501,0),0)))&gt;0,"확인","미등록"))</f>
        <v/>
      </c>
      <c r="F55" s="27">
        <f>IF($C55="","",INDEX(인턴근무계획!$S$3:$S$202,$A55))</f>
        <v/>
      </c>
      <c r="G55" s="23">
        <f>IF(OR($C55="",$G$3=""),"",IF(INDEX(인턴근무계획!$M$3:$R$202,$A55,$G$3)&amp;""="","",IF(LEFT(INDEX(인턴근무계획!$M$3:$R$202,$A55,$G$3)&amp;"",1)="⚠",INDEX(인턴근무계획!$M$3:$R$202,$A55,$G$3)&amp;"",LEFT(INDEX(인턴근무계획!$M$3:$R$202,$A55,$G$3)&amp;"",FIND(" ",INDEX(인턴근무계획!$M$3:$R$202,$A55,$G$3)&amp;"")-1))))</f>
        <v/>
      </c>
      <c r="H55" s="23">
        <f>IF(OR($C55="",$G$3=""),"",IF(INDEX(인턴근무계획!$M$3:$R$202,$A55,$G$3)&amp;""="","",IF(LEFT(INDEX(인턴근무계획!$M$3:$R$202,$A55,$G$3)&amp;"",1)="⚠","",MID(INDEX(인턴근무계획!$M$3:$R$202,$A55,$G$3)&amp;"",FIND(" ",INDEX(인턴근무계획!$M$3:$R$202,$A55,$G$3)&amp;"")+1,60))))</f>
        <v/>
      </c>
      <c r="I55" s="23">
        <f>IF(OR($C55="",$I$3=""),"",IF(INDEX(인턴근무계획!$M$3:$R$202,$A55,$I$3)&amp;""="","",IF(LEFT(INDEX(인턴근무계획!$M$3:$R$202,$A55,$I$3)&amp;"",1)="⚠",INDEX(인턴근무계획!$M$3:$R$202,$A55,$I$3)&amp;"",LEFT(INDEX(인턴근무계획!$M$3:$R$202,$A55,$I$3)&amp;"",FIND(" ",INDEX(인턴근무계획!$M$3:$R$202,$A55,$I$3)&amp;"")-1))))</f>
        <v/>
      </c>
      <c r="J55" s="23">
        <f>IF(OR($C55="",$I$3=""),"",IF(INDEX(인턴근무계획!$M$3:$R$202,$A55,$I$3)&amp;""="","",IF(LEFT(INDEX(인턴근무계획!$M$3:$R$202,$A55,$I$3)&amp;"",1)="⚠","",MID(INDEX(인턴근무계획!$M$3:$R$202,$A55,$I$3)&amp;"",FIND(" ",INDEX(인턴근무계획!$M$3:$R$202,$A55,$I$3)&amp;"")+1,60))))</f>
        <v/>
      </c>
      <c r="K55" s="23">
        <f>IF($C55="","",INDEX(인턴근무계획!$M$3:$M$202,$A55)&amp;"")</f>
        <v/>
      </c>
      <c r="L55" s="23">
        <f>IF($C55="","",INDEX(인턴근무계획!$N$3:$N$202,$A55)&amp;"")</f>
        <v/>
      </c>
      <c r="M55" s="23">
        <f>IF($C55="","",INDEX(인턴근무계획!$O$3:$O$202,$A55)&amp;"")</f>
        <v/>
      </c>
      <c r="N55" s="23">
        <f>IF($C55="","",INDEX(인턴근무계획!$P$3:$P$202,$A55)&amp;"")</f>
        <v/>
      </c>
      <c r="O55" s="23">
        <f>IF($C55="","",INDEX(인턴근무계획!$Q$3:$Q$202,$A55)&amp;"")</f>
        <v/>
      </c>
      <c r="P55" s="23">
        <f>IF($C55="","",INDEX(인턴근무계획!$R$3:$R$202,$A55)&amp;"")</f>
        <v/>
      </c>
      <c r="Q55" s="23">
        <f>IF($C55="","",INDEX(인턴근무계획!$T$3:$T$202,$A55))</f>
        <v/>
      </c>
    </row>
    <row r="56">
      <c r="A56" s="26" t="n">
        <v>51</v>
      </c>
      <c r="B56" s="23">
        <f>IF($C56="","",INDEX(인턴근무계획!$B$3:$B$202,$A56))</f>
        <v/>
      </c>
      <c r="C56" s="23">
        <f>IFERROR(TRIM(INDEX(인턴근무계획!$C$3:$C$202,$A56)&amp;""),"")</f>
        <v/>
      </c>
      <c r="D56" s="23">
        <f>IF($C56="","",INDEX(인턴근무계획!$D$3:$D$202,$A56))</f>
        <v/>
      </c>
      <c r="E56" s="23">
        <f>IF($C56="","",IF(IFERROR(MATCH($D56,기본자료!$B$2:$B$501,0),IFERROR(MATCH($D56&amp;"",기본자료!$B$2:$B$501,0),IFERROR(MATCH(VALUE($D56),기본자료!$B$2:$B$501,0),0)))&gt;0,"확인","미등록"))</f>
        <v/>
      </c>
      <c r="F56" s="27">
        <f>IF($C56="","",INDEX(인턴근무계획!$S$3:$S$202,$A56))</f>
        <v/>
      </c>
      <c r="G56" s="23">
        <f>IF(OR($C56="",$G$3=""),"",IF(INDEX(인턴근무계획!$M$3:$R$202,$A56,$G$3)&amp;""="","",IF(LEFT(INDEX(인턴근무계획!$M$3:$R$202,$A56,$G$3)&amp;"",1)="⚠",INDEX(인턴근무계획!$M$3:$R$202,$A56,$G$3)&amp;"",LEFT(INDEX(인턴근무계획!$M$3:$R$202,$A56,$G$3)&amp;"",FIND(" ",INDEX(인턴근무계획!$M$3:$R$202,$A56,$G$3)&amp;"")-1))))</f>
        <v/>
      </c>
      <c r="H56" s="23">
        <f>IF(OR($C56="",$G$3=""),"",IF(INDEX(인턴근무계획!$M$3:$R$202,$A56,$G$3)&amp;""="","",IF(LEFT(INDEX(인턴근무계획!$M$3:$R$202,$A56,$G$3)&amp;"",1)="⚠","",MID(INDEX(인턴근무계획!$M$3:$R$202,$A56,$G$3)&amp;"",FIND(" ",INDEX(인턴근무계획!$M$3:$R$202,$A56,$G$3)&amp;"")+1,60))))</f>
        <v/>
      </c>
      <c r="I56" s="23">
        <f>IF(OR($C56="",$I$3=""),"",IF(INDEX(인턴근무계획!$M$3:$R$202,$A56,$I$3)&amp;""="","",IF(LEFT(INDEX(인턴근무계획!$M$3:$R$202,$A56,$I$3)&amp;"",1)="⚠",INDEX(인턴근무계획!$M$3:$R$202,$A56,$I$3)&amp;"",LEFT(INDEX(인턴근무계획!$M$3:$R$202,$A56,$I$3)&amp;"",FIND(" ",INDEX(인턴근무계획!$M$3:$R$202,$A56,$I$3)&amp;"")-1))))</f>
        <v/>
      </c>
      <c r="J56" s="23">
        <f>IF(OR($C56="",$I$3=""),"",IF(INDEX(인턴근무계획!$M$3:$R$202,$A56,$I$3)&amp;""="","",IF(LEFT(INDEX(인턴근무계획!$M$3:$R$202,$A56,$I$3)&amp;"",1)="⚠","",MID(INDEX(인턴근무계획!$M$3:$R$202,$A56,$I$3)&amp;"",FIND(" ",INDEX(인턴근무계획!$M$3:$R$202,$A56,$I$3)&amp;"")+1,60))))</f>
        <v/>
      </c>
      <c r="K56" s="23">
        <f>IF($C56="","",INDEX(인턴근무계획!$M$3:$M$202,$A56)&amp;"")</f>
        <v/>
      </c>
      <c r="L56" s="23">
        <f>IF($C56="","",INDEX(인턴근무계획!$N$3:$N$202,$A56)&amp;"")</f>
        <v/>
      </c>
      <c r="M56" s="23">
        <f>IF($C56="","",INDEX(인턴근무계획!$O$3:$O$202,$A56)&amp;"")</f>
        <v/>
      </c>
      <c r="N56" s="23">
        <f>IF($C56="","",INDEX(인턴근무계획!$P$3:$P$202,$A56)&amp;"")</f>
        <v/>
      </c>
      <c r="O56" s="23">
        <f>IF($C56="","",INDEX(인턴근무계획!$Q$3:$Q$202,$A56)&amp;"")</f>
        <v/>
      </c>
      <c r="P56" s="23">
        <f>IF($C56="","",INDEX(인턴근무계획!$R$3:$R$202,$A56)&amp;"")</f>
        <v/>
      </c>
      <c r="Q56" s="23">
        <f>IF($C56="","",INDEX(인턴근무계획!$T$3:$T$202,$A56))</f>
        <v/>
      </c>
    </row>
    <row r="57">
      <c r="A57" s="26" t="n">
        <v>52</v>
      </c>
      <c r="B57" s="23">
        <f>IF($C57="","",INDEX(인턴근무계획!$B$3:$B$202,$A57))</f>
        <v/>
      </c>
      <c r="C57" s="23">
        <f>IFERROR(TRIM(INDEX(인턴근무계획!$C$3:$C$202,$A57)&amp;""),"")</f>
        <v/>
      </c>
      <c r="D57" s="23">
        <f>IF($C57="","",INDEX(인턴근무계획!$D$3:$D$202,$A57))</f>
        <v/>
      </c>
      <c r="E57" s="23">
        <f>IF($C57="","",IF(IFERROR(MATCH($D57,기본자료!$B$2:$B$501,0),IFERROR(MATCH($D57&amp;"",기본자료!$B$2:$B$501,0),IFERROR(MATCH(VALUE($D57),기본자료!$B$2:$B$501,0),0)))&gt;0,"확인","미등록"))</f>
        <v/>
      </c>
      <c r="F57" s="27">
        <f>IF($C57="","",INDEX(인턴근무계획!$S$3:$S$202,$A57))</f>
        <v/>
      </c>
      <c r="G57" s="23">
        <f>IF(OR($C57="",$G$3=""),"",IF(INDEX(인턴근무계획!$M$3:$R$202,$A57,$G$3)&amp;""="","",IF(LEFT(INDEX(인턴근무계획!$M$3:$R$202,$A57,$G$3)&amp;"",1)="⚠",INDEX(인턴근무계획!$M$3:$R$202,$A57,$G$3)&amp;"",LEFT(INDEX(인턴근무계획!$M$3:$R$202,$A57,$G$3)&amp;"",FIND(" ",INDEX(인턴근무계획!$M$3:$R$202,$A57,$G$3)&amp;"")-1))))</f>
        <v/>
      </c>
      <c r="H57" s="23">
        <f>IF(OR($C57="",$G$3=""),"",IF(INDEX(인턴근무계획!$M$3:$R$202,$A57,$G$3)&amp;""="","",IF(LEFT(INDEX(인턴근무계획!$M$3:$R$202,$A57,$G$3)&amp;"",1)="⚠","",MID(INDEX(인턴근무계획!$M$3:$R$202,$A57,$G$3)&amp;"",FIND(" ",INDEX(인턴근무계획!$M$3:$R$202,$A57,$G$3)&amp;"")+1,60))))</f>
        <v/>
      </c>
      <c r="I57" s="23">
        <f>IF(OR($C57="",$I$3=""),"",IF(INDEX(인턴근무계획!$M$3:$R$202,$A57,$I$3)&amp;""="","",IF(LEFT(INDEX(인턴근무계획!$M$3:$R$202,$A57,$I$3)&amp;"",1)="⚠",INDEX(인턴근무계획!$M$3:$R$202,$A57,$I$3)&amp;"",LEFT(INDEX(인턴근무계획!$M$3:$R$202,$A57,$I$3)&amp;"",FIND(" ",INDEX(인턴근무계획!$M$3:$R$202,$A57,$I$3)&amp;"")-1))))</f>
        <v/>
      </c>
      <c r="J57" s="23">
        <f>IF(OR($C57="",$I$3=""),"",IF(INDEX(인턴근무계획!$M$3:$R$202,$A57,$I$3)&amp;""="","",IF(LEFT(INDEX(인턴근무계획!$M$3:$R$202,$A57,$I$3)&amp;"",1)="⚠","",MID(INDEX(인턴근무계획!$M$3:$R$202,$A57,$I$3)&amp;"",FIND(" ",INDEX(인턴근무계획!$M$3:$R$202,$A57,$I$3)&amp;"")+1,60))))</f>
        <v/>
      </c>
      <c r="K57" s="23">
        <f>IF($C57="","",INDEX(인턴근무계획!$M$3:$M$202,$A57)&amp;"")</f>
        <v/>
      </c>
      <c r="L57" s="23">
        <f>IF($C57="","",INDEX(인턴근무계획!$N$3:$N$202,$A57)&amp;"")</f>
        <v/>
      </c>
      <c r="M57" s="23">
        <f>IF($C57="","",INDEX(인턴근무계획!$O$3:$O$202,$A57)&amp;"")</f>
        <v/>
      </c>
      <c r="N57" s="23">
        <f>IF($C57="","",INDEX(인턴근무계획!$P$3:$P$202,$A57)&amp;"")</f>
        <v/>
      </c>
      <c r="O57" s="23">
        <f>IF($C57="","",INDEX(인턴근무계획!$Q$3:$Q$202,$A57)&amp;"")</f>
        <v/>
      </c>
      <c r="P57" s="23">
        <f>IF($C57="","",INDEX(인턴근무계획!$R$3:$R$202,$A57)&amp;"")</f>
        <v/>
      </c>
      <c r="Q57" s="23">
        <f>IF($C57="","",INDEX(인턴근무계획!$T$3:$T$202,$A57))</f>
        <v/>
      </c>
    </row>
    <row r="58">
      <c r="A58" s="26" t="n">
        <v>53</v>
      </c>
      <c r="B58" s="23">
        <f>IF($C58="","",INDEX(인턴근무계획!$B$3:$B$202,$A58))</f>
        <v/>
      </c>
      <c r="C58" s="23">
        <f>IFERROR(TRIM(INDEX(인턴근무계획!$C$3:$C$202,$A58)&amp;""),"")</f>
        <v/>
      </c>
      <c r="D58" s="23">
        <f>IF($C58="","",INDEX(인턴근무계획!$D$3:$D$202,$A58))</f>
        <v/>
      </c>
      <c r="E58" s="23">
        <f>IF($C58="","",IF(IFERROR(MATCH($D58,기본자료!$B$2:$B$501,0),IFERROR(MATCH($D58&amp;"",기본자료!$B$2:$B$501,0),IFERROR(MATCH(VALUE($D58),기본자료!$B$2:$B$501,0),0)))&gt;0,"확인","미등록"))</f>
        <v/>
      </c>
      <c r="F58" s="27">
        <f>IF($C58="","",INDEX(인턴근무계획!$S$3:$S$202,$A58))</f>
        <v/>
      </c>
      <c r="G58" s="23">
        <f>IF(OR($C58="",$G$3=""),"",IF(INDEX(인턴근무계획!$M$3:$R$202,$A58,$G$3)&amp;""="","",IF(LEFT(INDEX(인턴근무계획!$M$3:$R$202,$A58,$G$3)&amp;"",1)="⚠",INDEX(인턴근무계획!$M$3:$R$202,$A58,$G$3)&amp;"",LEFT(INDEX(인턴근무계획!$M$3:$R$202,$A58,$G$3)&amp;"",FIND(" ",INDEX(인턴근무계획!$M$3:$R$202,$A58,$G$3)&amp;"")-1))))</f>
        <v/>
      </c>
      <c r="H58" s="23">
        <f>IF(OR($C58="",$G$3=""),"",IF(INDEX(인턴근무계획!$M$3:$R$202,$A58,$G$3)&amp;""="","",IF(LEFT(INDEX(인턴근무계획!$M$3:$R$202,$A58,$G$3)&amp;"",1)="⚠","",MID(INDEX(인턴근무계획!$M$3:$R$202,$A58,$G$3)&amp;"",FIND(" ",INDEX(인턴근무계획!$M$3:$R$202,$A58,$G$3)&amp;"")+1,60))))</f>
        <v/>
      </c>
      <c r="I58" s="23">
        <f>IF(OR($C58="",$I$3=""),"",IF(INDEX(인턴근무계획!$M$3:$R$202,$A58,$I$3)&amp;""="","",IF(LEFT(INDEX(인턴근무계획!$M$3:$R$202,$A58,$I$3)&amp;"",1)="⚠",INDEX(인턴근무계획!$M$3:$R$202,$A58,$I$3)&amp;"",LEFT(INDEX(인턴근무계획!$M$3:$R$202,$A58,$I$3)&amp;"",FIND(" ",INDEX(인턴근무계획!$M$3:$R$202,$A58,$I$3)&amp;"")-1))))</f>
        <v/>
      </c>
      <c r="J58" s="23">
        <f>IF(OR($C58="",$I$3=""),"",IF(INDEX(인턴근무계획!$M$3:$R$202,$A58,$I$3)&amp;""="","",IF(LEFT(INDEX(인턴근무계획!$M$3:$R$202,$A58,$I$3)&amp;"",1)="⚠","",MID(INDEX(인턴근무계획!$M$3:$R$202,$A58,$I$3)&amp;"",FIND(" ",INDEX(인턴근무계획!$M$3:$R$202,$A58,$I$3)&amp;"")+1,60))))</f>
        <v/>
      </c>
      <c r="K58" s="23">
        <f>IF($C58="","",INDEX(인턴근무계획!$M$3:$M$202,$A58)&amp;"")</f>
        <v/>
      </c>
      <c r="L58" s="23">
        <f>IF($C58="","",INDEX(인턴근무계획!$N$3:$N$202,$A58)&amp;"")</f>
        <v/>
      </c>
      <c r="M58" s="23">
        <f>IF($C58="","",INDEX(인턴근무계획!$O$3:$O$202,$A58)&amp;"")</f>
        <v/>
      </c>
      <c r="N58" s="23">
        <f>IF($C58="","",INDEX(인턴근무계획!$P$3:$P$202,$A58)&amp;"")</f>
        <v/>
      </c>
      <c r="O58" s="23">
        <f>IF($C58="","",INDEX(인턴근무계획!$Q$3:$Q$202,$A58)&amp;"")</f>
        <v/>
      </c>
      <c r="P58" s="23">
        <f>IF($C58="","",INDEX(인턴근무계획!$R$3:$R$202,$A58)&amp;"")</f>
        <v/>
      </c>
      <c r="Q58" s="23">
        <f>IF($C58="","",INDEX(인턴근무계획!$T$3:$T$202,$A58))</f>
        <v/>
      </c>
    </row>
    <row r="59">
      <c r="A59" s="26" t="n">
        <v>54</v>
      </c>
      <c r="B59" s="23">
        <f>IF($C59="","",INDEX(인턴근무계획!$B$3:$B$202,$A59))</f>
        <v/>
      </c>
      <c r="C59" s="23">
        <f>IFERROR(TRIM(INDEX(인턴근무계획!$C$3:$C$202,$A59)&amp;""),"")</f>
        <v/>
      </c>
      <c r="D59" s="23">
        <f>IF($C59="","",INDEX(인턴근무계획!$D$3:$D$202,$A59))</f>
        <v/>
      </c>
      <c r="E59" s="23">
        <f>IF($C59="","",IF(IFERROR(MATCH($D59,기본자료!$B$2:$B$501,0),IFERROR(MATCH($D59&amp;"",기본자료!$B$2:$B$501,0),IFERROR(MATCH(VALUE($D59),기본자료!$B$2:$B$501,0),0)))&gt;0,"확인","미등록"))</f>
        <v/>
      </c>
      <c r="F59" s="27">
        <f>IF($C59="","",INDEX(인턴근무계획!$S$3:$S$202,$A59))</f>
        <v/>
      </c>
      <c r="G59" s="23">
        <f>IF(OR($C59="",$G$3=""),"",IF(INDEX(인턴근무계획!$M$3:$R$202,$A59,$G$3)&amp;""="","",IF(LEFT(INDEX(인턴근무계획!$M$3:$R$202,$A59,$G$3)&amp;"",1)="⚠",INDEX(인턴근무계획!$M$3:$R$202,$A59,$G$3)&amp;"",LEFT(INDEX(인턴근무계획!$M$3:$R$202,$A59,$G$3)&amp;"",FIND(" ",INDEX(인턴근무계획!$M$3:$R$202,$A59,$G$3)&amp;"")-1))))</f>
        <v/>
      </c>
      <c r="H59" s="23">
        <f>IF(OR($C59="",$G$3=""),"",IF(INDEX(인턴근무계획!$M$3:$R$202,$A59,$G$3)&amp;""="","",IF(LEFT(INDEX(인턴근무계획!$M$3:$R$202,$A59,$G$3)&amp;"",1)="⚠","",MID(INDEX(인턴근무계획!$M$3:$R$202,$A59,$G$3)&amp;"",FIND(" ",INDEX(인턴근무계획!$M$3:$R$202,$A59,$G$3)&amp;"")+1,60))))</f>
        <v/>
      </c>
      <c r="I59" s="23">
        <f>IF(OR($C59="",$I$3=""),"",IF(INDEX(인턴근무계획!$M$3:$R$202,$A59,$I$3)&amp;""="","",IF(LEFT(INDEX(인턴근무계획!$M$3:$R$202,$A59,$I$3)&amp;"",1)="⚠",INDEX(인턴근무계획!$M$3:$R$202,$A59,$I$3)&amp;"",LEFT(INDEX(인턴근무계획!$M$3:$R$202,$A59,$I$3)&amp;"",FIND(" ",INDEX(인턴근무계획!$M$3:$R$202,$A59,$I$3)&amp;"")-1))))</f>
        <v/>
      </c>
      <c r="J59" s="23">
        <f>IF(OR($C59="",$I$3=""),"",IF(INDEX(인턴근무계획!$M$3:$R$202,$A59,$I$3)&amp;""="","",IF(LEFT(INDEX(인턴근무계획!$M$3:$R$202,$A59,$I$3)&amp;"",1)="⚠","",MID(INDEX(인턴근무계획!$M$3:$R$202,$A59,$I$3)&amp;"",FIND(" ",INDEX(인턴근무계획!$M$3:$R$202,$A59,$I$3)&amp;"")+1,60))))</f>
        <v/>
      </c>
      <c r="K59" s="23">
        <f>IF($C59="","",INDEX(인턴근무계획!$M$3:$M$202,$A59)&amp;"")</f>
        <v/>
      </c>
      <c r="L59" s="23">
        <f>IF($C59="","",INDEX(인턴근무계획!$N$3:$N$202,$A59)&amp;"")</f>
        <v/>
      </c>
      <c r="M59" s="23">
        <f>IF($C59="","",INDEX(인턴근무계획!$O$3:$O$202,$A59)&amp;"")</f>
        <v/>
      </c>
      <c r="N59" s="23">
        <f>IF($C59="","",INDEX(인턴근무계획!$P$3:$P$202,$A59)&amp;"")</f>
        <v/>
      </c>
      <c r="O59" s="23">
        <f>IF($C59="","",INDEX(인턴근무계획!$Q$3:$Q$202,$A59)&amp;"")</f>
        <v/>
      </c>
      <c r="P59" s="23">
        <f>IF($C59="","",INDEX(인턴근무계획!$R$3:$R$202,$A59)&amp;"")</f>
        <v/>
      </c>
      <c r="Q59" s="23">
        <f>IF($C59="","",INDEX(인턴근무계획!$T$3:$T$202,$A59))</f>
        <v/>
      </c>
    </row>
    <row r="60">
      <c r="A60" s="26" t="n">
        <v>55</v>
      </c>
      <c r="B60" s="23">
        <f>IF($C60="","",INDEX(인턴근무계획!$B$3:$B$202,$A60))</f>
        <v/>
      </c>
      <c r="C60" s="23">
        <f>IFERROR(TRIM(INDEX(인턴근무계획!$C$3:$C$202,$A60)&amp;""),"")</f>
        <v/>
      </c>
      <c r="D60" s="23">
        <f>IF($C60="","",INDEX(인턴근무계획!$D$3:$D$202,$A60))</f>
        <v/>
      </c>
      <c r="E60" s="23">
        <f>IF($C60="","",IF(IFERROR(MATCH($D60,기본자료!$B$2:$B$501,0),IFERROR(MATCH($D60&amp;"",기본자료!$B$2:$B$501,0),IFERROR(MATCH(VALUE($D60),기본자료!$B$2:$B$501,0),0)))&gt;0,"확인","미등록"))</f>
        <v/>
      </c>
      <c r="F60" s="27">
        <f>IF($C60="","",INDEX(인턴근무계획!$S$3:$S$202,$A60))</f>
        <v/>
      </c>
      <c r="G60" s="23">
        <f>IF(OR($C60="",$G$3=""),"",IF(INDEX(인턴근무계획!$M$3:$R$202,$A60,$G$3)&amp;""="","",IF(LEFT(INDEX(인턴근무계획!$M$3:$R$202,$A60,$G$3)&amp;"",1)="⚠",INDEX(인턴근무계획!$M$3:$R$202,$A60,$G$3)&amp;"",LEFT(INDEX(인턴근무계획!$M$3:$R$202,$A60,$G$3)&amp;"",FIND(" ",INDEX(인턴근무계획!$M$3:$R$202,$A60,$G$3)&amp;"")-1))))</f>
        <v/>
      </c>
      <c r="H60" s="23">
        <f>IF(OR($C60="",$G$3=""),"",IF(INDEX(인턴근무계획!$M$3:$R$202,$A60,$G$3)&amp;""="","",IF(LEFT(INDEX(인턴근무계획!$M$3:$R$202,$A60,$G$3)&amp;"",1)="⚠","",MID(INDEX(인턴근무계획!$M$3:$R$202,$A60,$G$3)&amp;"",FIND(" ",INDEX(인턴근무계획!$M$3:$R$202,$A60,$G$3)&amp;"")+1,60))))</f>
        <v/>
      </c>
      <c r="I60" s="23">
        <f>IF(OR($C60="",$I$3=""),"",IF(INDEX(인턴근무계획!$M$3:$R$202,$A60,$I$3)&amp;""="","",IF(LEFT(INDEX(인턴근무계획!$M$3:$R$202,$A60,$I$3)&amp;"",1)="⚠",INDEX(인턴근무계획!$M$3:$R$202,$A60,$I$3)&amp;"",LEFT(INDEX(인턴근무계획!$M$3:$R$202,$A60,$I$3)&amp;"",FIND(" ",INDEX(인턴근무계획!$M$3:$R$202,$A60,$I$3)&amp;"")-1))))</f>
        <v/>
      </c>
      <c r="J60" s="23">
        <f>IF(OR($C60="",$I$3=""),"",IF(INDEX(인턴근무계획!$M$3:$R$202,$A60,$I$3)&amp;""="","",IF(LEFT(INDEX(인턴근무계획!$M$3:$R$202,$A60,$I$3)&amp;"",1)="⚠","",MID(INDEX(인턴근무계획!$M$3:$R$202,$A60,$I$3)&amp;"",FIND(" ",INDEX(인턴근무계획!$M$3:$R$202,$A60,$I$3)&amp;"")+1,60))))</f>
        <v/>
      </c>
      <c r="K60" s="23">
        <f>IF($C60="","",INDEX(인턴근무계획!$M$3:$M$202,$A60)&amp;"")</f>
        <v/>
      </c>
      <c r="L60" s="23">
        <f>IF($C60="","",INDEX(인턴근무계획!$N$3:$N$202,$A60)&amp;"")</f>
        <v/>
      </c>
      <c r="M60" s="23">
        <f>IF($C60="","",INDEX(인턴근무계획!$O$3:$O$202,$A60)&amp;"")</f>
        <v/>
      </c>
      <c r="N60" s="23">
        <f>IF($C60="","",INDEX(인턴근무계획!$P$3:$P$202,$A60)&amp;"")</f>
        <v/>
      </c>
      <c r="O60" s="23">
        <f>IF($C60="","",INDEX(인턴근무계획!$Q$3:$Q$202,$A60)&amp;"")</f>
        <v/>
      </c>
      <c r="P60" s="23">
        <f>IF($C60="","",INDEX(인턴근무계획!$R$3:$R$202,$A60)&amp;"")</f>
        <v/>
      </c>
      <c r="Q60" s="23">
        <f>IF($C60="","",INDEX(인턴근무계획!$T$3:$T$202,$A60))</f>
        <v/>
      </c>
    </row>
    <row r="61">
      <c r="A61" s="26" t="n">
        <v>56</v>
      </c>
      <c r="B61" s="23">
        <f>IF($C61="","",INDEX(인턴근무계획!$B$3:$B$202,$A61))</f>
        <v/>
      </c>
      <c r="C61" s="23">
        <f>IFERROR(TRIM(INDEX(인턴근무계획!$C$3:$C$202,$A61)&amp;""),"")</f>
        <v/>
      </c>
      <c r="D61" s="23">
        <f>IF($C61="","",INDEX(인턴근무계획!$D$3:$D$202,$A61))</f>
        <v/>
      </c>
      <c r="E61" s="23">
        <f>IF($C61="","",IF(IFERROR(MATCH($D61,기본자료!$B$2:$B$501,0),IFERROR(MATCH($D61&amp;"",기본자료!$B$2:$B$501,0),IFERROR(MATCH(VALUE($D61),기본자료!$B$2:$B$501,0),0)))&gt;0,"확인","미등록"))</f>
        <v/>
      </c>
      <c r="F61" s="27">
        <f>IF($C61="","",INDEX(인턴근무계획!$S$3:$S$202,$A61))</f>
        <v/>
      </c>
      <c r="G61" s="23">
        <f>IF(OR($C61="",$G$3=""),"",IF(INDEX(인턴근무계획!$M$3:$R$202,$A61,$G$3)&amp;""="","",IF(LEFT(INDEX(인턴근무계획!$M$3:$R$202,$A61,$G$3)&amp;"",1)="⚠",INDEX(인턴근무계획!$M$3:$R$202,$A61,$G$3)&amp;"",LEFT(INDEX(인턴근무계획!$M$3:$R$202,$A61,$G$3)&amp;"",FIND(" ",INDEX(인턴근무계획!$M$3:$R$202,$A61,$G$3)&amp;"")-1))))</f>
        <v/>
      </c>
      <c r="H61" s="23">
        <f>IF(OR($C61="",$G$3=""),"",IF(INDEX(인턴근무계획!$M$3:$R$202,$A61,$G$3)&amp;""="","",IF(LEFT(INDEX(인턴근무계획!$M$3:$R$202,$A61,$G$3)&amp;"",1)="⚠","",MID(INDEX(인턴근무계획!$M$3:$R$202,$A61,$G$3)&amp;"",FIND(" ",INDEX(인턴근무계획!$M$3:$R$202,$A61,$G$3)&amp;"")+1,60))))</f>
        <v/>
      </c>
      <c r="I61" s="23">
        <f>IF(OR($C61="",$I$3=""),"",IF(INDEX(인턴근무계획!$M$3:$R$202,$A61,$I$3)&amp;""="","",IF(LEFT(INDEX(인턴근무계획!$M$3:$R$202,$A61,$I$3)&amp;"",1)="⚠",INDEX(인턴근무계획!$M$3:$R$202,$A61,$I$3)&amp;"",LEFT(INDEX(인턴근무계획!$M$3:$R$202,$A61,$I$3)&amp;"",FIND(" ",INDEX(인턴근무계획!$M$3:$R$202,$A61,$I$3)&amp;"")-1))))</f>
        <v/>
      </c>
      <c r="J61" s="23">
        <f>IF(OR($C61="",$I$3=""),"",IF(INDEX(인턴근무계획!$M$3:$R$202,$A61,$I$3)&amp;""="","",IF(LEFT(INDEX(인턴근무계획!$M$3:$R$202,$A61,$I$3)&amp;"",1)="⚠","",MID(INDEX(인턴근무계획!$M$3:$R$202,$A61,$I$3)&amp;"",FIND(" ",INDEX(인턴근무계획!$M$3:$R$202,$A61,$I$3)&amp;"")+1,60))))</f>
        <v/>
      </c>
      <c r="K61" s="23">
        <f>IF($C61="","",INDEX(인턴근무계획!$M$3:$M$202,$A61)&amp;"")</f>
        <v/>
      </c>
      <c r="L61" s="23">
        <f>IF($C61="","",INDEX(인턴근무계획!$N$3:$N$202,$A61)&amp;"")</f>
        <v/>
      </c>
      <c r="M61" s="23">
        <f>IF($C61="","",INDEX(인턴근무계획!$O$3:$O$202,$A61)&amp;"")</f>
        <v/>
      </c>
      <c r="N61" s="23">
        <f>IF($C61="","",INDEX(인턴근무계획!$P$3:$P$202,$A61)&amp;"")</f>
        <v/>
      </c>
      <c r="O61" s="23">
        <f>IF($C61="","",INDEX(인턴근무계획!$Q$3:$Q$202,$A61)&amp;"")</f>
        <v/>
      </c>
      <c r="P61" s="23">
        <f>IF($C61="","",INDEX(인턴근무계획!$R$3:$R$202,$A61)&amp;"")</f>
        <v/>
      </c>
      <c r="Q61" s="23">
        <f>IF($C61="","",INDEX(인턴근무계획!$T$3:$T$202,$A61))</f>
        <v/>
      </c>
    </row>
    <row r="62">
      <c r="A62" s="26" t="n">
        <v>57</v>
      </c>
      <c r="B62" s="23">
        <f>IF($C62="","",INDEX(인턴근무계획!$B$3:$B$202,$A62))</f>
        <v/>
      </c>
      <c r="C62" s="23">
        <f>IFERROR(TRIM(INDEX(인턴근무계획!$C$3:$C$202,$A62)&amp;""),"")</f>
        <v/>
      </c>
      <c r="D62" s="23">
        <f>IF($C62="","",INDEX(인턴근무계획!$D$3:$D$202,$A62))</f>
        <v/>
      </c>
      <c r="E62" s="23">
        <f>IF($C62="","",IF(IFERROR(MATCH($D62,기본자료!$B$2:$B$501,0),IFERROR(MATCH($D62&amp;"",기본자료!$B$2:$B$501,0),IFERROR(MATCH(VALUE($D62),기본자료!$B$2:$B$501,0),0)))&gt;0,"확인","미등록"))</f>
        <v/>
      </c>
      <c r="F62" s="27">
        <f>IF($C62="","",INDEX(인턴근무계획!$S$3:$S$202,$A62))</f>
        <v/>
      </c>
      <c r="G62" s="23">
        <f>IF(OR($C62="",$G$3=""),"",IF(INDEX(인턴근무계획!$M$3:$R$202,$A62,$G$3)&amp;""="","",IF(LEFT(INDEX(인턴근무계획!$M$3:$R$202,$A62,$G$3)&amp;"",1)="⚠",INDEX(인턴근무계획!$M$3:$R$202,$A62,$G$3)&amp;"",LEFT(INDEX(인턴근무계획!$M$3:$R$202,$A62,$G$3)&amp;"",FIND(" ",INDEX(인턴근무계획!$M$3:$R$202,$A62,$G$3)&amp;"")-1))))</f>
        <v/>
      </c>
      <c r="H62" s="23">
        <f>IF(OR($C62="",$G$3=""),"",IF(INDEX(인턴근무계획!$M$3:$R$202,$A62,$G$3)&amp;""="","",IF(LEFT(INDEX(인턴근무계획!$M$3:$R$202,$A62,$G$3)&amp;"",1)="⚠","",MID(INDEX(인턴근무계획!$M$3:$R$202,$A62,$G$3)&amp;"",FIND(" ",INDEX(인턴근무계획!$M$3:$R$202,$A62,$G$3)&amp;"")+1,60))))</f>
        <v/>
      </c>
      <c r="I62" s="23">
        <f>IF(OR($C62="",$I$3=""),"",IF(INDEX(인턴근무계획!$M$3:$R$202,$A62,$I$3)&amp;""="","",IF(LEFT(INDEX(인턴근무계획!$M$3:$R$202,$A62,$I$3)&amp;"",1)="⚠",INDEX(인턴근무계획!$M$3:$R$202,$A62,$I$3)&amp;"",LEFT(INDEX(인턴근무계획!$M$3:$R$202,$A62,$I$3)&amp;"",FIND(" ",INDEX(인턴근무계획!$M$3:$R$202,$A62,$I$3)&amp;"")-1))))</f>
        <v/>
      </c>
      <c r="J62" s="23">
        <f>IF(OR($C62="",$I$3=""),"",IF(INDEX(인턴근무계획!$M$3:$R$202,$A62,$I$3)&amp;""="","",IF(LEFT(INDEX(인턴근무계획!$M$3:$R$202,$A62,$I$3)&amp;"",1)="⚠","",MID(INDEX(인턴근무계획!$M$3:$R$202,$A62,$I$3)&amp;"",FIND(" ",INDEX(인턴근무계획!$M$3:$R$202,$A62,$I$3)&amp;"")+1,60))))</f>
        <v/>
      </c>
      <c r="K62" s="23">
        <f>IF($C62="","",INDEX(인턴근무계획!$M$3:$M$202,$A62)&amp;"")</f>
        <v/>
      </c>
      <c r="L62" s="23">
        <f>IF($C62="","",INDEX(인턴근무계획!$N$3:$N$202,$A62)&amp;"")</f>
        <v/>
      </c>
      <c r="M62" s="23">
        <f>IF($C62="","",INDEX(인턴근무계획!$O$3:$O$202,$A62)&amp;"")</f>
        <v/>
      </c>
      <c r="N62" s="23">
        <f>IF($C62="","",INDEX(인턴근무계획!$P$3:$P$202,$A62)&amp;"")</f>
        <v/>
      </c>
      <c r="O62" s="23">
        <f>IF($C62="","",INDEX(인턴근무계획!$Q$3:$Q$202,$A62)&amp;"")</f>
        <v/>
      </c>
      <c r="P62" s="23">
        <f>IF($C62="","",INDEX(인턴근무계획!$R$3:$R$202,$A62)&amp;"")</f>
        <v/>
      </c>
      <c r="Q62" s="23">
        <f>IF($C62="","",INDEX(인턴근무계획!$T$3:$T$202,$A62))</f>
        <v/>
      </c>
    </row>
    <row r="63">
      <c r="A63" s="26" t="n">
        <v>58</v>
      </c>
      <c r="B63" s="23">
        <f>IF($C63="","",INDEX(인턴근무계획!$B$3:$B$202,$A63))</f>
        <v/>
      </c>
      <c r="C63" s="23">
        <f>IFERROR(TRIM(INDEX(인턴근무계획!$C$3:$C$202,$A63)&amp;""),"")</f>
        <v/>
      </c>
      <c r="D63" s="23">
        <f>IF($C63="","",INDEX(인턴근무계획!$D$3:$D$202,$A63))</f>
        <v/>
      </c>
      <c r="E63" s="23">
        <f>IF($C63="","",IF(IFERROR(MATCH($D63,기본자료!$B$2:$B$501,0),IFERROR(MATCH($D63&amp;"",기본자료!$B$2:$B$501,0),IFERROR(MATCH(VALUE($D63),기본자료!$B$2:$B$501,0),0)))&gt;0,"확인","미등록"))</f>
        <v/>
      </c>
      <c r="F63" s="27">
        <f>IF($C63="","",INDEX(인턴근무계획!$S$3:$S$202,$A63))</f>
        <v/>
      </c>
      <c r="G63" s="23">
        <f>IF(OR($C63="",$G$3=""),"",IF(INDEX(인턴근무계획!$M$3:$R$202,$A63,$G$3)&amp;""="","",IF(LEFT(INDEX(인턴근무계획!$M$3:$R$202,$A63,$G$3)&amp;"",1)="⚠",INDEX(인턴근무계획!$M$3:$R$202,$A63,$G$3)&amp;"",LEFT(INDEX(인턴근무계획!$M$3:$R$202,$A63,$G$3)&amp;"",FIND(" ",INDEX(인턴근무계획!$M$3:$R$202,$A63,$G$3)&amp;"")-1))))</f>
        <v/>
      </c>
      <c r="H63" s="23">
        <f>IF(OR($C63="",$G$3=""),"",IF(INDEX(인턴근무계획!$M$3:$R$202,$A63,$G$3)&amp;""="","",IF(LEFT(INDEX(인턴근무계획!$M$3:$R$202,$A63,$G$3)&amp;"",1)="⚠","",MID(INDEX(인턴근무계획!$M$3:$R$202,$A63,$G$3)&amp;"",FIND(" ",INDEX(인턴근무계획!$M$3:$R$202,$A63,$G$3)&amp;"")+1,60))))</f>
        <v/>
      </c>
      <c r="I63" s="23">
        <f>IF(OR($C63="",$I$3=""),"",IF(INDEX(인턴근무계획!$M$3:$R$202,$A63,$I$3)&amp;""="","",IF(LEFT(INDEX(인턴근무계획!$M$3:$R$202,$A63,$I$3)&amp;"",1)="⚠",INDEX(인턴근무계획!$M$3:$R$202,$A63,$I$3)&amp;"",LEFT(INDEX(인턴근무계획!$M$3:$R$202,$A63,$I$3)&amp;"",FIND(" ",INDEX(인턴근무계획!$M$3:$R$202,$A63,$I$3)&amp;"")-1))))</f>
        <v/>
      </c>
      <c r="J63" s="23">
        <f>IF(OR($C63="",$I$3=""),"",IF(INDEX(인턴근무계획!$M$3:$R$202,$A63,$I$3)&amp;""="","",IF(LEFT(INDEX(인턴근무계획!$M$3:$R$202,$A63,$I$3)&amp;"",1)="⚠","",MID(INDEX(인턴근무계획!$M$3:$R$202,$A63,$I$3)&amp;"",FIND(" ",INDEX(인턴근무계획!$M$3:$R$202,$A63,$I$3)&amp;"")+1,60))))</f>
        <v/>
      </c>
      <c r="K63" s="23">
        <f>IF($C63="","",INDEX(인턴근무계획!$M$3:$M$202,$A63)&amp;"")</f>
        <v/>
      </c>
      <c r="L63" s="23">
        <f>IF($C63="","",INDEX(인턴근무계획!$N$3:$N$202,$A63)&amp;"")</f>
        <v/>
      </c>
      <c r="M63" s="23">
        <f>IF($C63="","",INDEX(인턴근무계획!$O$3:$O$202,$A63)&amp;"")</f>
        <v/>
      </c>
      <c r="N63" s="23">
        <f>IF($C63="","",INDEX(인턴근무계획!$P$3:$P$202,$A63)&amp;"")</f>
        <v/>
      </c>
      <c r="O63" s="23">
        <f>IF($C63="","",INDEX(인턴근무계획!$Q$3:$Q$202,$A63)&amp;"")</f>
        <v/>
      </c>
      <c r="P63" s="23">
        <f>IF($C63="","",INDEX(인턴근무계획!$R$3:$R$202,$A63)&amp;"")</f>
        <v/>
      </c>
      <c r="Q63" s="23">
        <f>IF($C63="","",INDEX(인턴근무계획!$T$3:$T$202,$A63))</f>
        <v/>
      </c>
    </row>
    <row r="64">
      <c r="A64" s="26" t="n">
        <v>59</v>
      </c>
      <c r="B64" s="23">
        <f>IF($C64="","",INDEX(인턴근무계획!$B$3:$B$202,$A64))</f>
        <v/>
      </c>
      <c r="C64" s="23">
        <f>IFERROR(TRIM(INDEX(인턴근무계획!$C$3:$C$202,$A64)&amp;""),"")</f>
        <v/>
      </c>
      <c r="D64" s="23">
        <f>IF($C64="","",INDEX(인턴근무계획!$D$3:$D$202,$A64))</f>
        <v/>
      </c>
      <c r="E64" s="23">
        <f>IF($C64="","",IF(IFERROR(MATCH($D64,기본자료!$B$2:$B$501,0),IFERROR(MATCH($D64&amp;"",기본자료!$B$2:$B$501,0),IFERROR(MATCH(VALUE($D64),기본자료!$B$2:$B$501,0),0)))&gt;0,"확인","미등록"))</f>
        <v/>
      </c>
      <c r="F64" s="27">
        <f>IF($C64="","",INDEX(인턴근무계획!$S$3:$S$202,$A64))</f>
        <v/>
      </c>
      <c r="G64" s="23">
        <f>IF(OR($C64="",$G$3=""),"",IF(INDEX(인턴근무계획!$M$3:$R$202,$A64,$G$3)&amp;""="","",IF(LEFT(INDEX(인턴근무계획!$M$3:$R$202,$A64,$G$3)&amp;"",1)="⚠",INDEX(인턴근무계획!$M$3:$R$202,$A64,$G$3)&amp;"",LEFT(INDEX(인턴근무계획!$M$3:$R$202,$A64,$G$3)&amp;"",FIND(" ",INDEX(인턴근무계획!$M$3:$R$202,$A64,$G$3)&amp;"")-1))))</f>
        <v/>
      </c>
      <c r="H64" s="23">
        <f>IF(OR($C64="",$G$3=""),"",IF(INDEX(인턴근무계획!$M$3:$R$202,$A64,$G$3)&amp;""="","",IF(LEFT(INDEX(인턴근무계획!$M$3:$R$202,$A64,$G$3)&amp;"",1)="⚠","",MID(INDEX(인턴근무계획!$M$3:$R$202,$A64,$G$3)&amp;"",FIND(" ",INDEX(인턴근무계획!$M$3:$R$202,$A64,$G$3)&amp;"")+1,60))))</f>
        <v/>
      </c>
      <c r="I64" s="23">
        <f>IF(OR($C64="",$I$3=""),"",IF(INDEX(인턴근무계획!$M$3:$R$202,$A64,$I$3)&amp;""="","",IF(LEFT(INDEX(인턴근무계획!$M$3:$R$202,$A64,$I$3)&amp;"",1)="⚠",INDEX(인턴근무계획!$M$3:$R$202,$A64,$I$3)&amp;"",LEFT(INDEX(인턴근무계획!$M$3:$R$202,$A64,$I$3)&amp;"",FIND(" ",INDEX(인턴근무계획!$M$3:$R$202,$A64,$I$3)&amp;"")-1))))</f>
        <v/>
      </c>
      <c r="J64" s="23">
        <f>IF(OR($C64="",$I$3=""),"",IF(INDEX(인턴근무계획!$M$3:$R$202,$A64,$I$3)&amp;""="","",IF(LEFT(INDEX(인턴근무계획!$M$3:$R$202,$A64,$I$3)&amp;"",1)="⚠","",MID(INDEX(인턴근무계획!$M$3:$R$202,$A64,$I$3)&amp;"",FIND(" ",INDEX(인턴근무계획!$M$3:$R$202,$A64,$I$3)&amp;"")+1,60))))</f>
        <v/>
      </c>
      <c r="K64" s="23">
        <f>IF($C64="","",INDEX(인턴근무계획!$M$3:$M$202,$A64)&amp;"")</f>
        <v/>
      </c>
      <c r="L64" s="23">
        <f>IF($C64="","",INDEX(인턴근무계획!$N$3:$N$202,$A64)&amp;"")</f>
        <v/>
      </c>
      <c r="M64" s="23">
        <f>IF($C64="","",INDEX(인턴근무계획!$O$3:$O$202,$A64)&amp;"")</f>
        <v/>
      </c>
      <c r="N64" s="23">
        <f>IF($C64="","",INDEX(인턴근무계획!$P$3:$P$202,$A64)&amp;"")</f>
        <v/>
      </c>
      <c r="O64" s="23">
        <f>IF($C64="","",INDEX(인턴근무계획!$Q$3:$Q$202,$A64)&amp;"")</f>
        <v/>
      </c>
      <c r="P64" s="23">
        <f>IF($C64="","",INDEX(인턴근무계획!$R$3:$R$202,$A64)&amp;"")</f>
        <v/>
      </c>
      <c r="Q64" s="23">
        <f>IF($C64="","",INDEX(인턴근무계획!$T$3:$T$202,$A64))</f>
        <v/>
      </c>
    </row>
    <row r="65">
      <c r="A65" s="26" t="n">
        <v>60</v>
      </c>
      <c r="B65" s="23">
        <f>IF($C65="","",INDEX(인턴근무계획!$B$3:$B$202,$A65))</f>
        <v/>
      </c>
      <c r="C65" s="23">
        <f>IFERROR(TRIM(INDEX(인턴근무계획!$C$3:$C$202,$A65)&amp;""),"")</f>
        <v/>
      </c>
      <c r="D65" s="23">
        <f>IF($C65="","",INDEX(인턴근무계획!$D$3:$D$202,$A65))</f>
        <v/>
      </c>
      <c r="E65" s="23">
        <f>IF($C65="","",IF(IFERROR(MATCH($D65,기본자료!$B$2:$B$501,0),IFERROR(MATCH($D65&amp;"",기본자료!$B$2:$B$501,0),IFERROR(MATCH(VALUE($D65),기본자료!$B$2:$B$501,0),0)))&gt;0,"확인","미등록"))</f>
        <v/>
      </c>
      <c r="F65" s="27">
        <f>IF($C65="","",INDEX(인턴근무계획!$S$3:$S$202,$A65))</f>
        <v/>
      </c>
      <c r="G65" s="23">
        <f>IF(OR($C65="",$G$3=""),"",IF(INDEX(인턴근무계획!$M$3:$R$202,$A65,$G$3)&amp;""="","",IF(LEFT(INDEX(인턴근무계획!$M$3:$R$202,$A65,$G$3)&amp;"",1)="⚠",INDEX(인턴근무계획!$M$3:$R$202,$A65,$G$3)&amp;"",LEFT(INDEX(인턴근무계획!$M$3:$R$202,$A65,$G$3)&amp;"",FIND(" ",INDEX(인턴근무계획!$M$3:$R$202,$A65,$G$3)&amp;"")-1))))</f>
        <v/>
      </c>
      <c r="H65" s="23">
        <f>IF(OR($C65="",$G$3=""),"",IF(INDEX(인턴근무계획!$M$3:$R$202,$A65,$G$3)&amp;""="","",IF(LEFT(INDEX(인턴근무계획!$M$3:$R$202,$A65,$G$3)&amp;"",1)="⚠","",MID(INDEX(인턴근무계획!$M$3:$R$202,$A65,$G$3)&amp;"",FIND(" ",INDEX(인턴근무계획!$M$3:$R$202,$A65,$G$3)&amp;"")+1,60))))</f>
        <v/>
      </c>
      <c r="I65" s="23">
        <f>IF(OR($C65="",$I$3=""),"",IF(INDEX(인턴근무계획!$M$3:$R$202,$A65,$I$3)&amp;""="","",IF(LEFT(INDEX(인턴근무계획!$M$3:$R$202,$A65,$I$3)&amp;"",1)="⚠",INDEX(인턴근무계획!$M$3:$R$202,$A65,$I$3)&amp;"",LEFT(INDEX(인턴근무계획!$M$3:$R$202,$A65,$I$3)&amp;"",FIND(" ",INDEX(인턴근무계획!$M$3:$R$202,$A65,$I$3)&amp;"")-1))))</f>
        <v/>
      </c>
      <c r="J65" s="23">
        <f>IF(OR($C65="",$I$3=""),"",IF(INDEX(인턴근무계획!$M$3:$R$202,$A65,$I$3)&amp;""="","",IF(LEFT(INDEX(인턴근무계획!$M$3:$R$202,$A65,$I$3)&amp;"",1)="⚠","",MID(INDEX(인턴근무계획!$M$3:$R$202,$A65,$I$3)&amp;"",FIND(" ",INDEX(인턴근무계획!$M$3:$R$202,$A65,$I$3)&amp;"")+1,60))))</f>
        <v/>
      </c>
      <c r="K65" s="23">
        <f>IF($C65="","",INDEX(인턴근무계획!$M$3:$M$202,$A65)&amp;"")</f>
        <v/>
      </c>
      <c r="L65" s="23">
        <f>IF($C65="","",INDEX(인턴근무계획!$N$3:$N$202,$A65)&amp;"")</f>
        <v/>
      </c>
      <c r="M65" s="23">
        <f>IF($C65="","",INDEX(인턴근무계획!$O$3:$O$202,$A65)&amp;"")</f>
        <v/>
      </c>
      <c r="N65" s="23">
        <f>IF($C65="","",INDEX(인턴근무계획!$P$3:$P$202,$A65)&amp;"")</f>
        <v/>
      </c>
      <c r="O65" s="23">
        <f>IF($C65="","",INDEX(인턴근무계획!$Q$3:$Q$202,$A65)&amp;"")</f>
        <v/>
      </c>
      <c r="P65" s="23">
        <f>IF($C65="","",INDEX(인턴근무계획!$R$3:$R$202,$A65)&amp;"")</f>
        <v/>
      </c>
      <c r="Q65" s="23">
        <f>IF($C65="","",INDEX(인턴근무계획!$T$3:$T$202,$A65))</f>
        <v/>
      </c>
    </row>
    <row r="66">
      <c r="A66" s="26" t="n">
        <v>61</v>
      </c>
      <c r="B66" s="23">
        <f>IF($C66="","",INDEX(인턴근무계획!$B$3:$B$202,$A66))</f>
        <v/>
      </c>
      <c r="C66" s="23">
        <f>IFERROR(TRIM(INDEX(인턴근무계획!$C$3:$C$202,$A66)&amp;""),"")</f>
        <v/>
      </c>
      <c r="D66" s="23">
        <f>IF($C66="","",INDEX(인턴근무계획!$D$3:$D$202,$A66))</f>
        <v/>
      </c>
      <c r="E66" s="23">
        <f>IF($C66="","",IF(IFERROR(MATCH($D66,기본자료!$B$2:$B$501,0),IFERROR(MATCH($D66&amp;"",기본자료!$B$2:$B$501,0),IFERROR(MATCH(VALUE($D66),기본자료!$B$2:$B$501,0),0)))&gt;0,"확인","미등록"))</f>
        <v/>
      </c>
      <c r="F66" s="27">
        <f>IF($C66="","",INDEX(인턴근무계획!$S$3:$S$202,$A66))</f>
        <v/>
      </c>
      <c r="G66" s="23">
        <f>IF(OR($C66="",$G$3=""),"",IF(INDEX(인턴근무계획!$M$3:$R$202,$A66,$G$3)&amp;""="","",IF(LEFT(INDEX(인턴근무계획!$M$3:$R$202,$A66,$G$3)&amp;"",1)="⚠",INDEX(인턴근무계획!$M$3:$R$202,$A66,$G$3)&amp;"",LEFT(INDEX(인턴근무계획!$M$3:$R$202,$A66,$G$3)&amp;"",FIND(" ",INDEX(인턴근무계획!$M$3:$R$202,$A66,$G$3)&amp;"")-1))))</f>
        <v/>
      </c>
      <c r="H66" s="23">
        <f>IF(OR($C66="",$G$3=""),"",IF(INDEX(인턴근무계획!$M$3:$R$202,$A66,$G$3)&amp;""="","",IF(LEFT(INDEX(인턴근무계획!$M$3:$R$202,$A66,$G$3)&amp;"",1)="⚠","",MID(INDEX(인턴근무계획!$M$3:$R$202,$A66,$G$3)&amp;"",FIND(" ",INDEX(인턴근무계획!$M$3:$R$202,$A66,$G$3)&amp;"")+1,60))))</f>
        <v/>
      </c>
      <c r="I66" s="23">
        <f>IF(OR($C66="",$I$3=""),"",IF(INDEX(인턴근무계획!$M$3:$R$202,$A66,$I$3)&amp;""="","",IF(LEFT(INDEX(인턴근무계획!$M$3:$R$202,$A66,$I$3)&amp;"",1)="⚠",INDEX(인턴근무계획!$M$3:$R$202,$A66,$I$3)&amp;"",LEFT(INDEX(인턴근무계획!$M$3:$R$202,$A66,$I$3)&amp;"",FIND(" ",INDEX(인턴근무계획!$M$3:$R$202,$A66,$I$3)&amp;"")-1))))</f>
        <v/>
      </c>
      <c r="J66" s="23">
        <f>IF(OR($C66="",$I$3=""),"",IF(INDEX(인턴근무계획!$M$3:$R$202,$A66,$I$3)&amp;""="","",IF(LEFT(INDEX(인턴근무계획!$M$3:$R$202,$A66,$I$3)&amp;"",1)="⚠","",MID(INDEX(인턴근무계획!$M$3:$R$202,$A66,$I$3)&amp;"",FIND(" ",INDEX(인턴근무계획!$M$3:$R$202,$A66,$I$3)&amp;"")+1,60))))</f>
        <v/>
      </c>
      <c r="K66" s="23">
        <f>IF($C66="","",INDEX(인턴근무계획!$M$3:$M$202,$A66)&amp;"")</f>
        <v/>
      </c>
      <c r="L66" s="23">
        <f>IF($C66="","",INDEX(인턴근무계획!$N$3:$N$202,$A66)&amp;"")</f>
        <v/>
      </c>
      <c r="M66" s="23">
        <f>IF($C66="","",INDEX(인턴근무계획!$O$3:$O$202,$A66)&amp;"")</f>
        <v/>
      </c>
      <c r="N66" s="23">
        <f>IF($C66="","",INDEX(인턴근무계획!$P$3:$P$202,$A66)&amp;"")</f>
        <v/>
      </c>
      <c r="O66" s="23">
        <f>IF($C66="","",INDEX(인턴근무계획!$Q$3:$Q$202,$A66)&amp;"")</f>
        <v/>
      </c>
      <c r="P66" s="23">
        <f>IF($C66="","",INDEX(인턴근무계획!$R$3:$R$202,$A66)&amp;"")</f>
        <v/>
      </c>
      <c r="Q66" s="23">
        <f>IF($C66="","",INDEX(인턴근무계획!$T$3:$T$202,$A66))</f>
        <v/>
      </c>
    </row>
    <row r="67">
      <c r="A67" s="26" t="n">
        <v>62</v>
      </c>
      <c r="B67" s="23">
        <f>IF($C67="","",INDEX(인턴근무계획!$B$3:$B$202,$A67))</f>
        <v/>
      </c>
      <c r="C67" s="23">
        <f>IFERROR(TRIM(INDEX(인턴근무계획!$C$3:$C$202,$A67)&amp;""),"")</f>
        <v/>
      </c>
      <c r="D67" s="23">
        <f>IF($C67="","",INDEX(인턴근무계획!$D$3:$D$202,$A67))</f>
        <v/>
      </c>
      <c r="E67" s="23">
        <f>IF($C67="","",IF(IFERROR(MATCH($D67,기본자료!$B$2:$B$501,0),IFERROR(MATCH($D67&amp;"",기본자료!$B$2:$B$501,0),IFERROR(MATCH(VALUE($D67),기본자료!$B$2:$B$501,0),0)))&gt;0,"확인","미등록"))</f>
        <v/>
      </c>
      <c r="F67" s="27">
        <f>IF($C67="","",INDEX(인턴근무계획!$S$3:$S$202,$A67))</f>
        <v/>
      </c>
      <c r="G67" s="23">
        <f>IF(OR($C67="",$G$3=""),"",IF(INDEX(인턴근무계획!$M$3:$R$202,$A67,$G$3)&amp;""="","",IF(LEFT(INDEX(인턴근무계획!$M$3:$R$202,$A67,$G$3)&amp;"",1)="⚠",INDEX(인턴근무계획!$M$3:$R$202,$A67,$G$3)&amp;"",LEFT(INDEX(인턴근무계획!$M$3:$R$202,$A67,$G$3)&amp;"",FIND(" ",INDEX(인턴근무계획!$M$3:$R$202,$A67,$G$3)&amp;"")-1))))</f>
        <v/>
      </c>
      <c r="H67" s="23">
        <f>IF(OR($C67="",$G$3=""),"",IF(INDEX(인턴근무계획!$M$3:$R$202,$A67,$G$3)&amp;""="","",IF(LEFT(INDEX(인턴근무계획!$M$3:$R$202,$A67,$G$3)&amp;"",1)="⚠","",MID(INDEX(인턴근무계획!$M$3:$R$202,$A67,$G$3)&amp;"",FIND(" ",INDEX(인턴근무계획!$M$3:$R$202,$A67,$G$3)&amp;"")+1,60))))</f>
        <v/>
      </c>
      <c r="I67" s="23">
        <f>IF(OR($C67="",$I$3=""),"",IF(INDEX(인턴근무계획!$M$3:$R$202,$A67,$I$3)&amp;""="","",IF(LEFT(INDEX(인턴근무계획!$M$3:$R$202,$A67,$I$3)&amp;"",1)="⚠",INDEX(인턴근무계획!$M$3:$R$202,$A67,$I$3)&amp;"",LEFT(INDEX(인턴근무계획!$M$3:$R$202,$A67,$I$3)&amp;"",FIND(" ",INDEX(인턴근무계획!$M$3:$R$202,$A67,$I$3)&amp;"")-1))))</f>
        <v/>
      </c>
      <c r="J67" s="23">
        <f>IF(OR($C67="",$I$3=""),"",IF(INDEX(인턴근무계획!$M$3:$R$202,$A67,$I$3)&amp;""="","",IF(LEFT(INDEX(인턴근무계획!$M$3:$R$202,$A67,$I$3)&amp;"",1)="⚠","",MID(INDEX(인턴근무계획!$M$3:$R$202,$A67,$I$3)&amp;"",FIND(" ",INDEX(인턴근무계획!$M$3:$R$202,$A67,$I$3)&amp;"")+1,60))))</f>
        <v/>
      </c>
      <c r="K67" s="23">
        <f>IF($C67="","",INDEX(인턴근무계획!$M$3:$M$202,$A67)&amp;"")</f>
        <v/>
      </c>
      <c r="L67" s="23">
        <f>IF($C67="","",INDEX(인턴근무계획!$N$3:$N$202,$A67)&amp;"")</f>
        <v/>
      </c>
      <c r="M67" s="23">
        <f>IF($C67="","",INDEX(인턴근무계획!$O$3:$O$202,$A67)&amp;"")</f>
        <v/>
      </c>
      <c r="N67" s="23">
        <f>IF($C67="","",INDEX(인턴근무계획!$P$3:$P$202,$A67)&amp;"")</f>
        <v/>
      </c>
      <c r="O67" s="23">
        <f>IF($C67="","",INDEX(인턴근무계획!$Q$3:$Q$202,$A67)&amp;"")</f>
        <v/>
      </c>
      <c r="P67" s="23">
        <f>IF($C67="","",INDEX(인턴근무계획!$R$3:$R$202,$A67)&amp;"")</f>
        <v/>
      </c>
      <c r="Q67" s="23">
        <f>IF($C67="","",INDEX(인턴근무계획!$T$3:$T$202,$A67))</f>
        <v/>
      </c>
    </row>
    <row r="68">
      <c r="A68" s="26" t="n">
        <v>63</v>
      </c>
      <c r="B68" s="23">
        <f>IF($C68="","",INDEX(인턴근무계획!$B$3:$B$202,$A68))</f>
        <v/>
      </c>
      <c r="C68" s="23">
        <f>IFERROR(TRIM(INDEX(인턴근무계획!$C$3:$C$202,$A68)&amp;""),"")</f>
        <v/>
      </c>
      <c r="D68" s="23">
        <f>IF($C68="","",INDEX(인턴근무계획!$D$3:$D$202,$A68))</f>
        <v/>
      </c>
      <c r="E68" s="23">
        <f>IF($C68="","",IF(IFERROR(MATCH($D68,기본자료!$B$2:$B$501,0),IFERROR(MATCH($D68&amp;"",기본자료!$B$2:$B$501,0),IFERROR(MATCH(VALUE($D68),기본자료!$B$2:$B$501,0),0)))&gt;0,"확인","미등록"))</f>
        <v/>
      </c>
      <c r="F68" s="27">
        <f>IF($C68="","",INDEX(인턴근무계획!$S$3:$S$202,$A68))</f>
        <v/>
      </c>
      <c r="G68" s="23">
        <f>IF(OR($C68="",$G$3=""),"",IF(INDEX(인턴근무계획!$M$3:$R$202,$A68,$G$3)&amp;""="","",IF(LEFT(INDEX(인턴근무계획!$M$3:$R$202,$A68,$G$3)&amp;"",1)="⚠",INDEX(인턴근무계획!$M$3:$R$202,$A68,$G$3)&amp;"",LEFT(INDEX(인턴근무계획!$M$3:$R$202,$A68,$G$3)&amp;"",FIND(" ",INDEX(인턴근무계획!$M$3:$R$202,$A68,$G$3)&amp;"")-1))))</f>
        <v/>
      </c>
      <c r="H68" s="23">
        <f>IF(OR($C68="",$G$3=""),"",IF(INDEX(인턴근무계획!$M$3:$R$202,$A68,$G$3)&amp;""="","",IF(LEFT(INDEX(인턴근무계획!$M$3:$R$202,$A68,$G$3)&amp;"",1)="⚠","",MID(INDEX(인턴근무계획!$M$3:$R$202,$A68,$G$3)&amp;"",FIND(" ",INDEX(인턴근무계획!$M$3:$R$202,$A68,$G$3)&amp;"")+1,60))))</f>
        <v/>
      </c>
      <c r="I68" s="23">
        <f>IF(OR($C68="",$I$3=""),"",IF(INDEX(인턴근무계획!$M$3:$R$202,$A68,$I$3)&amp;""="","",IF(LEFT(INDEX(인턴근무계획!$M$3:$R$202,$A68,$I$3)&amp;"",1)="⚠",INDEX(인턴근무계획!$M$3:$R$202,$A68,$I$3)&amp;"",LEFT(INDEX(인턴근무계획!$M$3:$R$202,$A68,$I$3)&amp;"",FIND(" ",INDEX(인턴근무계획!$M$3:$R$202,$A68,$I$3)&amp;"")-1))))</f>
        <v/>
      </c>
      <c r="J68" s="23">
        <f>IF(OR($C68="",$I$3=""),"",IF(INDEX(인턴근무계획!$M$3:$R$202,$A68,$I$3)&amp;""="","",IF(LEFT(INDEX(인턴근무계획!$M$3:$R$202,$A68,$I$3)&amp;"",1)="⚠","",MID(INDEX(인턴근무계획!$M$3:$R$202,$A68,$I$3)&amp;"",FIND(" ",INDEX(인턴근무계획!$M$3:$R$202,$A68,$I$3)&amp;"")+1,60))))</f>
        <v/>
      </c>
      <c r="K68" s="23">
        <f>IF($C68="","",INDEX(인턴근무계획!$M$3:$M$202,$A68)&amp;"")</f>
        <v/>
      </c>
      <c r="L68" s="23">
        <f>IF($C68="","",INDEX(인턴근무계획!$N$3:$N$202,$A68)&amp;"")</f>
        <v/>
      </c>
      <c r="M68" s="23">
        <f>IF($C68="","",INDEX(인턴근무계획!$O$3:$O$202,$A68)&amp;"")</f>
        <v/>
      </c>
      <c r="N68" s="23">
        <f>IF($C68="","",INDEX(인턴근무계획!$P$3:$P$202,$A68)&amp;"")</f>
        <v/>
      </c>
      <c r="O68" s="23">
        <f>IF($C68="","",INDEX(인턴근무계획!$Q$3:$Q$202,$A68)&amp;"")</f>
        <v/>
      </c>
      <c r="P68" s="23">
        <f>IF($C68="","",INDEX(인턴근무계획!$R$3:$R$202,$A68)&amp;"")</f>
        <v/>
      </c>
      <c r="Q68" s="23">
        <f>IF($C68="","",INDEX(인턴근무계획!$T$3:$T$202,$A68))</f>
        <v/>
      </c>
    </row>
    <row r="69">
      <c r="A69" s="26" t="n">
        <v>64</v>
      </c>
      <c r="B69" s="23">
        <f>IF($C69="","",INDEX(인턴근무계획!$B$3:$B$202,$A69))</f>
        <v/>
      </c>
      <c r="C69" s="23">
        <f>IFERROR(TRIM(INDEX(인턴근무계획!$C$3:$C$202,$A69)&amp;""),"")</f>
        <v/>
      </c>
      <c r="D69" s="23">
        <f>IF($C69="","",INDEX(인턴근무계획!$D$3:$D$202,$A69))</f>
        <v/>
      </c>
      <c r="E69" s="23">
        <f>IF($C69="","",IF(IFERROR(MATCH($D69,기본자료!$B$2:$B$501,0),IFERROR(MATCH($D69&amp;"",기본자료!$B$2:$B$501,0),IFERROR(MATCH(VALUE($D69),기본자료!$B$2:$B$501,0),0)))&gt;0,"확인","미등록"))</f>
        <v/>
      </c>
      <c r="F69" s="27">
        <f>IF($C69="","",INDEX(인턴근무계획!$S$3:$S$202,$A69))</f>
        <v/>
      </c>
      <c r="G69" s="23">
        <f>IF(OR($C69="",$G$3=""),"",IF(INDEX(인턴근무계획!$M$3:$R$202,$A69,$G$3)&amp;""="","",IF(LEFT(INDEX(인턴근무계획!$M$3:$R$202,$A69,$G$3)&amp;"",1)="⚠",INDEX(인턴근무계획!$M$3:$R$202,$A69,$G$3)&amp;"",LEFT(INDEX(인턴근무계획!$M$3:$R$202,$A69,$G$3)&amp;"",FIND(" ",INDEX(인턴근무계획!$M$3:$R$202,$A69,$G$3)&amp;"")-1))))</f>
        <v/>
      </c>
      <c r="H69" s="23">
        <f>IF(OR($C69="",$G$3=""),"",IF(INDEX(인턴근무계획!$M$3:$R$202,$A69,$G$3)&amp;""="","",IF(LEFT(INDEX(인턴근무계획!$M$3:$R$202,$A69,$G$3)&amp;"",1)="⚠","",MID(INDEX(인턴근무계획!$M$3:$R$202,$A69,$G$3)&amp;"",FIND(" ",INDEX(인턴근무계획!$M$3:$R$202,$A69,$G$3)&amp;"")+1,60))))</f>
        <v/>
      </c>
      <c r="I69" s="23">
        <f>IF(OR($C69="",$I$3=""),"",IF(INDEX(인턴근무계획!$M$3:$R$202,$A69,$I$3)&amp;""="","",IF(LEFT(INDEX(인턴근무계획!$M$3:$R$202,$A69,$I$3)&amp;"",1)="⚠",INDEX(인턴근무계획!$M$3:$R$202,$A69,$I$3)&amp;"",LEFT(INDEX(인턴근무계획!$M$3:$R$202,$A69,$I$3)&amp;"",FIND(" ",INDEX(인턴근무계획!$M$3:$R$202,$A69,$I$3)&amp;"")-1))))</f>
        <v/>
      </c>
      <c r="J69" s="23">
        <f>IF(OR($C69="",$I$3=""),"",IF(INDEX(인턴근무계획!$M$3:$R$202,$A69,$I$3)&amp;""="","",IF(LEFT(INDEX(인턴근무계획!$M$3:$R$202,$A69,$I$3)&amp;"",1)="⚠","",MID(INDEX(인턴근무계획!$M$3:$R$202,$A69,$I$3)&amp;"",FIND(" ",INDEX(인턴근무계획!$M$3:$R$202,$A69,$I$3)&amp;"")+1,60))))</f>
        <v/>
      </c>
      <c r="K69" s="23">
        <f>IF($C69="","",INDEX(인턴근무계획!$M$3:$M$202,$A69)&amp;"")</f>
        <v/>
      </c>
      <c r="L69" s="23">
        <f>IF($C69="","",INDEX(인턴근무계획!$N$3:$N$202,$A69)&amp;"")</f>
        <v/>
      </c>
      <c r="M69" s="23">
        <f>IF($C69="","",INDEX(인턴근무계획!$O$3:$O$202,$A69)&amp;"")</f>
        <v/>
      </c>
      <c r="N69" s="23">
        <f>IF($C69="","",INDEX(인턴근무계획!$P$3:$P$202,$A69)&amp;"")</f>
        <v/>
      </c>
      <c r="O69" s="23">
        <f>IF($C69="","",INDEX(인턴근무계획!$Q$3:$Q$202,$A69)&amp;"")</f>
        <v/>
      </c>
      <c r="P69" s="23">
        <f>IF($C69="","",INDEX(인턴근무계획!$R$3:$R$202,$A69)&amp;"")</f>
        <v/>
      </c>
      <c r="Q69" s="23">
        <f>IF($C69="","",INDEX(인턴근무계획!$T$3:$T$202,$A69))</f>
        <v/>
      </c>
    </row>
    <row r="70">
      <c r="A70" s="26" t="n">
        <v>65</v>
      </c>
      <c r="B70" s="23">
        <f>IF($C70="","",INDEX(인턴근무계획!$B$3:$B$202,$A70))</f>
        <v/>
      </c>
      <c r="C70" s="23">
        <f>IFERROR(TRIM(INDEX(인턴근무계획!$C$3:$C$202,$A70)&amp;""),"")</f>
        <v/>
      </c>
      <c r="D70" s="23">
        <f>IF($C70="","",INDEX(인턴근무계획!$D$3:$D$202,$A70))</f>
        <v/>
      </c>
      <c r="E70" s="23">
        <f>IF($C70="","",IF(IFERROR(MATCH($D70,기본자료!$B$2:$B$501,0),IFERROR(MATCH($D70&amp;"",기본자료!$B$2:$B$501,0),IFERROR(MATCH(VALUE($D70),기본자료!$B$2:$B$501,0),0)))&gt;0,"확인","미등록"))</f>
        <v/>
      </c>
      <c r="F70" s="27">
        <f>IF($C70="","",INDEX(인턴근무계획!$S$3:$S$202,$A70))</f>
        <v/>
      </c>
      <c r="G70" s="23">
        <f>IF(OR($C70="",$G$3=""),"",IF(INDEX(인턴근무계획!$M$3:$R$202,$A70,$G$3)&amp;""="","",IF(LEFT(INDEX(인턴근무계획!$M$3:$R$202,$A70,$G$3)&amp;"",1)="⚠",INDEX(인턴근무계획!$M$3:$R$202,$A70,$G$3)&amp;"",LEFT(INDEX(인턴근무계획!$M$3:$R$202,$A70,$G$3)&amp;"",FIND(" ",INDEX(인턴근무계획!$M$3:$R$202,$A70,$G$3)&amp;"")-1))))</f>
        <v/>
      </c>
      <c r="H70" s="23">
        <f>IF(OR($C70="",$G$3=""),"",IF(INDEX(인턴근무계획!$M$3:$R$202,$A70,$G$3)&amp;""="","",IF(LEFT(INDEX(인턴근무계획!$M$3:$R$202,$A70,$G$3)&amp;"",1)="⚠","",MID(INDEX(인턴근무계획!$M$3:$R$202,$A70,$G$3)&amp;"",FIND(" ",INDEX(인턴근무계획!$M$3:$R$202,$A70,$G$3)&amp;"")+1,60))))</f>
        <v/>
      </c>
      <c r="I70" s="23">
        <f>IF(OR($C70="",$I$3=""),"",IF(INDEX(인턴근무계획!$M$3:$R$202,$A70,$I$3)&amp;""="","",IF(LEFT(INDEX(인턴근무계획!$M$3:$R$202,$A70,$I$3)&amp;"",1)="⚠",INDEX(인턴근무계획!$M$3:$R$202,$A70,$I$3)&amp;"",LEFT(INDEX(인턴근무계획!$M$3:$R$202,$A70,$I$3)&amp;"",FIND(" ",INDEX(인턴근무계획!$M$3:$R$202,$A70,$I$3)&amp;"")-1))))</f>
        <v/>
      </c>
      <c r="J70" s="23">
        <f>IF(OR($C70="",$I$3=""),"",IF(INDEX(인턴근무계획!$M$3:$R$202,$A70,$I$3)&amp;""="","",IF(LEFT(INDEX(인턴근무계획!$M$3:$R$202,$A70,$I$3)&amp;"",1)="⚠","",MID(INDEX(인턴근무계획!$M$3:$R$202,$A70,$I$3)&amp;"",FIND(" ",INDEX(인턴근무계획!$M$3:$R$202,$A70,$I$3)&amp;"")+1,60))))</f>
        <v/>
      </c>
      <c r="K70" s="23">
        <f>IF($C70="","",INDEX(인턴근무계획!$M$3:$M$202,$A70)&amp;"")</f>
        <v/>
      </c>
      <c r="L70" s="23">
        <f>IF($C70="","",INDEX(인턴근무계획!$N$3:$N$202,$A70)&amp;"")</f>
        <v/>
      </c>
      <c r="M70" s="23">
        <f>IF($C70="","",INDEX(인턴근무계획!$O$3:$O$202,$A70)&amp;"")</f>
        <v/>
      </c>
      <c r="N70" s="23">
        <f>IF($C70="","",INDEX(인턴근무계획!$P$3:$P$202,$A70)&amp;"")</f>
        <v/>
      </c>
      <c r="O70" s="23">
        <f>IF($C70="","",INDEX(인턴근무계획!$Q$3:$Q$202,$A70)&amp;"")</f>
        <v/>
      </c>
      <c r="P70" s="23">
        <f>IF($C70="","",INDEX(인턴근무계획!$R$3:$R$202,$A70)&amp;"")</f>
        <v/>
      </c>
      <c r="Q70" s="23">
        <f>IF($C70="","",INDEX(인턴근무계획!$T$3:$T$202,$A70))</f>
        <v/>
      </c>
    </row>
    <row r="71">
      <c r="A71" s="26" t="n">
        <v>66</v>
      </c>
      <c r="B71" s="23">
        <f>IF($C71="","",INDEX(인턴근무계획!$B$3:$B$202,$A71))</f>
        <v/>
      </c>
      <c r="C71" s="23">
        <f>IFERROR(TRIM(INDEX(인턴근무계획!$C$3:$C$202,$A71)&amp;""),"")</f>
        <v/>
      </c>
      <c r="D71" s="23">
        <f>IF($C71="","",INDEX(인턴근무계획!$D$3:$D$202,$A71))</f>
        <v/>
      </c>
      <c r="E71" s="23">
        <f>IF($C71="","",IF(IFERROR(MATCH($D71,기본자료!$B$2:$B$501,0),IFERROR(MATCH($D71&amp;"",기본자료!$B$2:$B$501,0),IFERROR(MATCH(VALUE($D71),기본자료!$B$2:$B$501,0),0)))&gt;0,"확인","미등록"))</f>
        <v/>
      </c>
      <c r="F71" s="27">
        <f>IF($C71="","",INDEX(인턴근무계획!$S$3:$S$202,$A71))</f>
        <v/>
      </c>
      <c r="G71" s="23">
        <f>IF(OR($C71="",$G$3=""),"",IF(INDEX(인턴근무계획!$M$3:$R$202,$A71,$G$3)&amp;""="","",IF(LEFT(INDEX(인턴근무계획!$M$3:$R$202,$A71,$G$3)&amp;"",1)="⚠",INDEX(인턴근무계획!$M$3:$R$202,$A71,$G$3)&amp;"",LEFT(INDEX(인턴근무계획!$M$3:$R$202,$A71,$G$3)&amp;"",FIND(" ",INDEX(인턴근무계획!$M$3:$R$202,$A71,$G$3)&amp;"")-1))))</f>
        <v/>
      </c>
      <c r="H71" s="23">
        <f>IF(OR($C71="",$G$3=""),"",IF(INDEX(인턴근무계획!$M$3:$R$202,$A71,$G$3)&amp;""="","",IF(LEFT(INDEX(인턴근무계획!$M$3:$R$202,$A71,$G$3)&amp;"",1)="⚠","",MID(INDEX(인턴근무계획!$M$3:$R$202,$A71,$G$3)&amp;"",FIND(" ",INDEX(인턴근무계획!$M$3:$R$202,$A71,$G$3)&amp;"")+1,60))))</f>
        <v/>
      </c>
      <c r="I71" s="23">
        <f>IF(OR($C71="",$I$3=""),"",IF(INDEX(인턴근무계획!$M$3:$R$202,$A71,$I$3)&amp;""="","",IF(LEFT(INDEX(인턴근무계획!$M$3:$R$202,$A71,$I$3)&amp;"",1)="⚠",INDEX(인턴근무계획!$M$3:$R$202,$A71,$I$3)&amp;"",LEFT(INDEX(인턴근무계획!$M$3:$R$202,$A71,$I$3)&amp;"",FIND(" ",INDEX(인턴근무계획!$M$3:$R$202,$A71,$I$3)&amp;"")-1))))</f>
        <v/>
      </c>
      <c r="J71" s="23">
        <f>IF(OR($C71="",$I$3=""),"",IF(INDEX(인턴근무계획!$M$3:$R$202,$A71,$I$3)&amp;""="","",IF(LEFT(INDEX(인턴근무계획!$M$3:$R$202,$A71,$I$3)&amp;"",1)="⚠","",MID(INDEX(인턴근무계획!$M$3:$R$202,$A71,$I$3)&amp;"",FIND(" ",INDEX(인턴근무계획!$M$3:$R$202,$A71,$I$3)&amp;"")+1,60))))</f>
        <v/>
      </c>
      <c r="K71" s="23">
        <f>IF($C71="","",INDEX(인턴근무계획!$M$3:$M$202,$A71)&amp;"")</f>
        <v/>
      </c>
      <c r="L71" s="23">
        <f>IF($C71="","",INDEX(인턴근무계획!$N$3:$N$202,$A71)&amp;"")</f>
        <v/>
      </c>
      <c r="M71" s="23">
        <f>IF($C71="","",INDEX(인턴근무계획!$O$3:$O$202,$A71)&amp;"")</f>
        <v/>
      </c>
      <c r="N71" s="23">
        <f>IF($C71="","",INDEX(인턴근무계획!$P$3:$P$202,$A71)&amp;"")</f>
        <v/>
      </c>
      <c r="O71" s="23">
        <f>IF($C71="","",INDEX(인턴근무계획!$Q$3:$Q$202,$A71)&amp;"")</f>
        <v/>
      </c>
      <c r="P71" s="23">
        <f>IF($C71="","",INDEX(인턴근무계획!$R$3:$R$202,$A71)&amp;"")</f>
        <v/>
      </c>
      <c r="Q71" s="23">
        <f>IF($C71="","",INDEX(인턴근무계획!$T$3:$T$202,$A71))</f>
        <v/>
      </c>
    </row>
    <row r="72">
      <c r="A72" s="26" t="n">
        <v>67</v>
      </c>
      <c r="B72" s="23">
        <f>IF($C72="","",INDEX(인턴근무계획!$B$3:$B$202,$A72))</f>
        <v/>
      </c>
      <c r="C72" s="23">
        <f>IFERROR(TRIM(INDEX(인턴근무계획!$C$3:$C$202,$A72)&amp;""),"")</f>
        <v/>
      </c>
      <c r="D72" s="23">
        <f>IF($C72="","",INDEX(인턴근무계획!$D$3:$D$202,$A72))</f>
        <v/>
      </c>
      <c r="E72" s="23">
        <f>IF($C72="","",IF(IFERROR(MATCH($D72,기본자료!$B$2:$B$501,0),IFERROR(MATCH($D72&amp;"",기본자료!$B$2:$B$501,0),IFERROR(MATCH(VALUE($D72),기본자료!$B$2:$B$501,0),0)))&gt;0,"확인","미등록"))</f>
        <v/>
      </c>
      <c r="F72" s="27">
        <f>IF($C72="","",INDEX(인턴근무계획!$S$3:$S$202,$A72))</f>
        <v/>
      </c>
      <c r="G72" s="23">
        <f>IF(OR($C72="",$G$3=""),"",IF(INDEX(인턴근무계획!$M$3:$R$202,$A72,$G$3)&amp;""="","",IF(LEFT(INDEX(인턴근무계획!$M$3:$R$202,$A72,$G$3)&amp;"",1)="⚠",INDEX(인턴근무계획!$M$3:$R$202,$A72,$G$3)&amp;"",LEFT(INDEX(인턴근무계획!$M$3:$R$202,$A72,$G$3)&amp;"",FIND(" ",INDEX(인턴근무계획!$M$3:$R$202,$A72,$G$3)&amp;"")-1))))</f>
        <v/>
      </c>
      <c r="H72" s="23">
        <f>IF(OR($C72="",$G$3=""),"",IF(INDEX(인턴근무계획!$M$3:$R$202,$A72,$G$3)&amp;""="","",IF(LEFT(INDEX(인턴근무계획!$M$3:$R$202,$A72,$G$3)&amp;"",1)="⚠","",MID(INDEX(인턴근무계획!$M$3:$R$202,$A72,$G$3)&amp;"",FIND(" ",INDEX(인턴근무계획!$M$3:$R$202,$A72,$G$3)&amp;"")+1,60))))</f>
        <v/>
      </c>
      <c r="I72" s="23">
        <f>IF(OR($C72="",$I$3=""),"",IF(INDEX(인턴근무계획!$M$3:$R$202,$A72,$I$3)&amp;""="","",IF(LEFT(INDEX(인턴근무계획!$M$3:$R$202,$A72,$I$3)&amp;"",1)="⚠",INDEX(인턴근무계획!$M$3:$R$202,$A72,$I$3)&amp;"",LEFT(INDEX(인턴근무계획!$M$3:$R$202,$A72,$I$3)&amp;"",FIND(" ",INDEX(인턴근무계획!$M$3:$R$202,$A72,$I$3)&amp;"")-1))))</f>
        <v/>
      </c>
      <c r="J72" s="23">
        <f>IF(OR($C72="",$I$3=""),"",IF(INDEX(인턴근무계획!$M$3:$R$202,$A72,$I$3)&amp;""="","",IF(LEFT(INDEX(인턴근무계획!$M$3:$R$202,$A72,$I$3)&amp;"",1)="⚠","",MID(INDEX(인턴근무계획!$M$3:$R$202,$A72,$I$3)&amp;"",FIND(" ",INDEX(인턴근무계획!$M$3:$R$202,$A72,$I$3)&amp;"")+1,60))))</f>
        <v/>
      </c>
      <c r="K72" s="23">
        <f>IF($C72="","",INDEX(인턴근무계획!$M$3:$M$202,$A72)&amp;"")</f>
        <v/>
      </c>
      <c r="L72" s="23">
        <f>IF($C72="","",INDEX(인턴근무계획!$N$3:$N$202,$A72)&amp;"")</f>
        <v/>
      </c>
      <c r="M72" s="23">
        <f>IF($C72="","",INDEX(인턴근무계획!$O$3:$O$202,$A72)&amp;"")</f>
        <v/>
      </c>
      <c r="N72" s="23">
        <f>IF($C72="","",INDEX(인턴근무계획!$P$3:$P$202,$A72)&amp;"")</f>
        <v/>
      </c>
      <c r="O72" s="23">
        <f>IF($C72="","",INDEX(인턴근무계획!$Q$3:$Q$202,$A72)&amp;"")</f>
        <v/>
      </c>
      <c r="P72" s="23">
        <f>IF($C72="","",INDEX(인턴근무계획!$R$3:$R$202,$A72)&amp;"")</f>
        <v/>
      </c>
      <c r="Q72" s="23">
        <f>IF($C72="","",INDEX(인턴근무계획!$T$3:$T$202,$A72))</f>
        <v/>
      </c>
    </row>
    <row r="73">
      <c r="A73" s="26" t="n">
        <v>68</v>
      </c>
      <c r="B73" s="23">
        <f>IF($C73="","",INDEX(인턴근무계획!$B$3:$B$202,$A73))</f>
        <v/>
      </c>
      <c r="C73" s="23">
        <f>IFERROR(TRIM(INDEX(인턴근무계획!$C$3:$C$202,$A73)&amp;""),"")</f>
        <v/>
      </c>
      <c r="D73" s="23">
        <f>IF($C73="","",INDEX(인턴근무계획!$D$3:$D$202,$A73))</f>
        <v/>
      </c>
      <c r="E73" s="23">
        <f>IF($C73="","",IF(IFERROR(MATCH($D73,기본자료!$B$2:$B$501,0),IFERROR(MATCH($D73&amp;"",기본자료!$B$2:$B$501,0),IFERROR(MATCH(VALUE($D73),기본자료!$B$2:$B$501,0),0)))&gt;0,"확인","미등록"))</f>
        <v/>
      </c>
      <c r="F73" s="27">
        <f>IF($C73="","",INDEX(인턴근무계획!$S$3:$S$202,$A73))</f>
        <v/>
      </c>
      <c r="G73" s="23">
        <f>IF(OR($C73="",$G$3=""),"",IF(INDEX(인턴근무계획!$M$3:$R$202,$A73,$G$3)&amp;""="","",IF(LEFT(INDEX(인턴근무계획!$M$3:$R$202,$A73,$G$3)&amp;"",1)="⚠",INDEX(인턴근무계획!$M$3:$R$202,$A73,$G$3)&amp;"",LEFT(INDEX(인턴근무계획!$M$3:$R$202,$A73,$G$3)&amp;"",FIND(" ",INDEX(인턴근무계획!$M$3:$R$202,$A73,$G$3)&amp;"")-1))))</f>
        <v/>
      </c>
      <c r="H73" s="23">
        <f>IF(OR($C73="",$G$3=""),"",IF(INDEX(인턴근무계획!$M$3:$R$202,$A73,$G$3)&amp;""="","",IF(LEFT(INDEX(인턴근무계획!$M$3:$R$202,$A73,$G$3)&amp;"",1)="⚠","",MID(INDEX(인턴근무계획!$M$3:$R$202,$A73,$G$3)&amp;"",FIND(" ",INDEX(인턴근무계획!$M$3:$R$202,$A73,$G$3)&amp;"")+1,60))))</f>
        <v/>
      </c>
      <c r="I73" s="23">
        <f>IF(OR($C73="",$I$3=""),"",IF(INDEX(인턴근무계획!$M$3:$R$202,$A73,$I$3)&amp;""="","",IF(LEFT(INDEX(인턴근무계획!$M$3:$R$202,$A73,$I$3)&amp;"",1)="⚠",INDEX(인턴근무계획!$M$3:$R$202,$A73,$I$3)&amp;"",LEFT(INDEX(인턴근무계획!$M$3:$R$202,$A73,$I$3)&amp;"",FIND(" ",INDEX(인턴근무계획!$M$3:$R$202,$A73,$I$3)&amp;"")-1))))</f>
        <v/>
      </c>
      <c r="J73" s="23">
        <f>IF(OR($C73="",$I$3=""),"",IF(INDEX(인턴근무계획!$M$3:$R$202,$A73,$I$3)&amp;""="","",IF(LEFT(INDEX(인턴근무계획!$M$3:$R$202,$A73,$I$3)&amp;"",1)="⚠","",MID(INDEX(인턴근무계획!$M$3:$R$202,$A73,$I$3)&amp;"",FIND(" ",INDEX(인턴근무계획!$M$3:$R$202,$A73,$I$3)&amp;"")+1,60))))</f>
        <v/>
      </c>
      <c r="K73" s="23">
        <f>IF($C73="","",INDEX(인턴근무계획!$M$3:$M$202,$A73)&amp;"")</f>
        <v/>
      </c>
      <c r="L73" s="23">
        <f>IF($C73="","",INDEX(인턴근무계획!$N$3:$N$202,$A73)&amp;"")</f>
        <v/>
      </c>
      <c r="M73" s="23">
        <f>IF($C73="","",INDEX(인턴근무계획!$O$3:$O$202,$A73)&amp;"")</f>
        <v/>
      </c>
      <c r="N73" s="23">
        <f>IF($C73="","",INDEX(인턴근무계획!$P$3:$P$202,$A73)&amp;"")</f>
        <v/>
      </c>
      <c r="O73" s="23">
        <f>IF($C73="","",INDEX(인턴근무계획!$Q$3:$Q$202,$A73)&amp;"")</f>
        <v/>
      </c>
      <c r="P73" s="23">
        <f>IF($C73="","",INDEX(인턴근무계획!$R$3:$R$202,$A73)&amp;"")</f>
        <v/>
      </c>
      <c r="Q73" s="23">
        <f>IF($C73="","",INDEX(인턴근무계획!$T$3:$T$202,$A73))</f>
        <v/>
      </c>
    </row>
    <row r="74">
      <c r="A74" s="26" t="n">
        <v>69</v>
      </c>
      <c r="B74" s="23">
        <f>IF($C74="","",INDEX(인턴근무계획!$B$3:$B$202,$A74))</f>
        <v/>
      </c>
      <c r="C74" s="23">
        <f>IFERROR(TRIM(INDEX(인턴근무계획!$C$3:$C$202,$A74)&amp;""),"")</f>
        <v/>
      </c>
      <c r="D74" s="23">
        <f>IF($C74="","",INDEX(인턴근무계획!$D$3:$D$202,$A74))</f>
        <v/>
      </c>
      <c r="E74" s="23">
        <f>IF($C74="","",IF(IFERROR(MATCH($D74,기본자료!$B$2:$B$501,0),IFERROR(MATCH($D74&amp;"",기본자료!$B$2:$B$501,0),IFERROR(MATCH(VALUE($D74),기본자료!$B$2:$B$501,0),0)))&gt;0,"확인","미등록"))</f>
        <v/>
      </c>
      <c r="F74" s="27">
        <f>IF($C74="","",INDEX(인턴근무계획!$S$3:$S$202,$A74))</f>
        <v/>
      </c>
      <c r="G74" s="23">
        <f>IF(OR($C74="",$G$3=""),"",IF(INDEX(인턴근무계획!$M$3:$R$202,$A74,$G$3)&amp;""="","",IF(LEFT(INDEX(인턴근무계획!$M$3:$R$202,$A74,$G$3)&amp;"",1)="⚠",INDEX(인턴근무계획!$M$3:$R$202,$A74,$G$3)&amp;"",LEFT(INDEX(인턴근무계획!$M$3:$R$202,$A74,$G$3)&amp;"",FIND(" ",INDEX(인턴근무계획!$M$3:$R$202,$A74,$G$3)&amp;"")-1))))</f>
        <v/>
      </c>
      <c r="H74" s="23">
        <f>IF(OR($C74="",$G$3=""),"",IF(INDEX(인턴근무계획!$M$3:$R$202,$A74,$G$3)&amp;""="","",IF(LEFT(INDEX(인턴근무계획!$M$3:$R$202,$A74,$G$3)&amp;"",1)="⚠","",MID(INDEX(인턴근무계획!$M$3:$R$202,$A74,$G$3)&amp;"",FIND(" ",INDEX(인턴근무계획!$M$3:$R$202,$A74,$G$3)&amp;"")+1,60))))</f>
        <v/>
      </c>
      <c r="I74" s="23">
        <f>IF(OR($C74="",$I$3=""),"",IF(INDEX(인턴근무계획!$M$3:$R$202,$A74,$I$3)&amp;""="","",IF(LEFT(INDEX(인턴근무계획!$M$3:$R$202,$A74,$I$3)&amp;"",1)="⚠",INDEX(인턴근무계획!$M$3:$R$202,$A74,$I$3)&amp;"",LEFT(INDEX(인턴근무계획!$M$3:$R$202,$A74,$I$3)&amp;"",FIND(" ",INDEX(인턴근무계획!$M$3:$R$202,$A74,$I$3)&amp;"")-1))))</f>
        <v/>
      </c>
      <c r="J74" s="23">
        <f>IF(OR($C74="",$I$3=""),"",IF(INDEX(인턴근무계획!$M$3:$R$202,$A74,$I$3)&amp;""="","",IF(LEFT(INDEX(인턴근무계획!$M$3:$R$202,$A74,$I$3)&amp;"",1)="⚠","",MID(INDEX(인턴근무계획!$M$3:$R$202,$A74,$I$3)&amp;"",FIND(" ",INDEX(인턴근무계획!$M$3:$R$202,$A74,$I$3)&amp;"")+1,60))))</f>
        <v/>
      </c>
      <c r="K74" s="23">
        <f>IF($C74="","",INDEX(인턴근무계획!$M$3:$M$202,$A74)&amp;"")</f>
        <v/>
      </c>
      <c r="L74" s="23">
        <f>IF($C74="","",INDEX(인턴근무계획!$N$3:$N$202,$A74)&amp;"")</f>
        <v/>
      </c>
      <c r="M74" s="23">
        <f>IF($C74="","",INDEX(인턴근무계획!$O$3:$O$202,$A74)&amp;"")</f>
        <v/>
      </c>
      <c r="N74" s="23">
        <f>IF($C74="","",INDEX(인턴근무계획!$P$3:$P$202,$A74)&amp;"")</f>
        <v/>
      </c>
      <c r="O74" s="23">
        <f>IF($C74="","",INDEX(인턴근무계획!$Q$3:$Q$202,$A74)&amp;"")</f>
        <v/>
      </c>
      <c r="P74" s="23">
        <f>IF($C74="","",INDEX(인턴근무계획!$R$3:$R$202,$A74)&amp;"")</f>
        <v/>
      </c>
      <c r="Q74" s="23">
        <f>IF($C74="","",INDEX(인턴근무계획!$T$3:$T$202,$A74))</f>
        <v/>
      </c>
    </row>
    <row r="75">
      <c r="A75" s="26" t="n">
        <v>70</v>
      </c>
      <c r="B75" s="23">
        <f>IF($C75="","",INDEX(인턴근무계획!$B$3:$B$202,$A75))</f>
        <v/>
      </c>
      <c r="C75" s="23">
        <f>IFERROR(TRIM(INDEX(인턴근무계획!$C$3:$C$202,$A75)&amp;""),"")</f>
        <v/>
      </c>
      <c r="D75" s="23">
        <f>IF($C75="","",INDEX(인턴근무계획!$D$3:$D$202,$A75))</f>
        <v/>
      </c>
      <c r="E75" s="23">
        <f>IF($C75="","",IF(IFERROR(MATCH($D75,기본자료!$B$2:$B$501,0),IFERROR(MATCH($D75&amp;"",기본자료!$B$2:$B$501,0),IFERROR(MATCH(VALUE($D75),기본자료!$B$2:$B$501,0),0)))&gt;0,"확인","미등록"))</f>
        <v/>
      </c>
      <c r="F75" s="27">
        <f>IF($C75="","",INDEX(인턴근무계획!$S$3:$S$202,$A75))</f>
        <v/>
      </c>
      <c r="G75" s="23">
        <f>IF(OR($C75="",$G$3=""),"",IF(INDEX(인턴근무계획!$M$3:$R$202,$A75,$G$3)&amp;""="","",IF(LEFT(INDEX(인턴근무계획!$M$3:$R$202,$A75,$G$3)&amp;"",1)="⚠",INDEX(인턴근무계획!$M$3:$R$202,$A75,$G$3)&amp;"",LEFT(INDEX(인턴근무계획!$M$3:$R$202,$A75,$G$3)&amp;"",FIND(" ",INDEX(인턴근무계획!$M$3:$R$202,$A75,$G$3)&amp;"")-1))))</f>
        <v/>
      </c>
      <c r="H75" s="23">
        <f>IF(OR($C75="",$G$3=""),"",IF(INDEX(인턴근무계획!$M$3:$R$202,$A75,$G$3)&amp;""="","",IF(LEFT(INDEX(인턴근무계획!$M$3:$R$202,$A75,$G$3)&amp;"",1)="⚠","",MID(INDEX(인턴근무계획!$M$3:$R$202,$A75,$G$3)&amp;"",FIND(" ",INDEX(인턴근무계획!$M$3:$R$202,$A75,$G$3)&amp;"")+1,60))))</f>
        <v/>
      </c>
      <c r="I75" s="23">
        <f>IF(OR($C75="",$I$3=""),"",IF(INDEX(인턴근무계획!$M$3:$R$202,$A75,$I$3)&amp;""="","",IF(LEFT(INDEX(인턴근무계획!$M$3:$R$202,$A75,$I$3)&amp;"",1)="⚠",INDEX(인턴근무계획!$M$3:$R$202,$A75,$I$3)&amp;"",LEFT(INDEX(인턴근무계획!$M$3:$R$202,$A75,$I$3)&amp;"",FIND(" ",INDEX(인턴근무계획!$M$3:$R$202,$A75,$I$3)&amp;"")-1))))</f>
        <v/>
      </c>
      <c r="J75" s="23">
        <f>IF(OR($C75="",$I$3=""),"",IF(INDEX(인턴근무계획!$M$3:$R$202,$A75,$I$3)&amp;""="","",IF(LEFT(INDEX(인턴근무계획!$M$3:$R$202,$A75,$I$3)&amp;"",1)="⚠","",MID(INDEX(인턴근무계획!$M$3:$R$202,$A75,$I$3)&amp;"",FIND(" ",INDEX(인턴근무계획!$M$3:$R$202,$A75,$I$3)&amp;"")+1,60))))</f>
        <v/>
      </c>
      <c r="K75" s="23">
        <f>IF($C75="","",INDEX(인턴근무계획!$M$3:$M$202,$A75)&amp;"")</f>
        <v/>
      </c>
      <c r="L75" s="23">
        <f>IF($C75="","",INDEX(인턴근무계획!$N$3:$N$202,$A75)&amp;"")</f>
        <v/>
      </c>
      <c r="M75" s="23">
        <f>IF($C75="","",INDEX(인턴근무계획!$O$3:$O$202,$A75)&amp;"")</f>
        <v/>
      </c>
      <c r="N75" s="23">
        <f>IF($C75="","",INDEX(인턴근무계획!$P$3:$P$202,$A75)&amp;"")</f>
        <v/>
      </c>
      <c r="O75" s="23">
        <f>IF($C75="","",INDEX(인턴근무계획!$Q$3:$Q$202,$A75)&amp;"")</f>
        <v/>
      </c>
      <c r="P75" s="23">
        <f>IF($C75="","",INDEX(인턴근무계획!$R$3:$R$202,$A75)&amp;"")</f>
        <v/>
      </c>
      <c r="Q75" s="23">
        <f>IF($C75="","",INDEX(인턴근무계획!$T$3:$T$202,$A75))</f>
        <v/>
      </c>
    </row>
    <row r="76">
      <c r="A76" s="26" t="n">
        <v>71</v>
      </c>
      <c r="B76" s="23">
        <f>IF($C76="","",INDEX(인턴근무계획!$B$3:$B$202,$A76))</f>
        <v/>
      </c>
      <c r="C76" s="23">
        <f>IFERROR(TRIM(INDEX(인턴근무계획!$C$3:$C$202,$A76)&amp;""),"")</f>
        <v/>
      </c>
      <c r="D76" s="23">
        <f>IF($C76="","",INDEX(인턴근무계획!$D$3:$D$202,$A76))</f>
        <v/>
      </c>
      <c r="E76" s="23">
        <f>IF($C76="","",IF(IFERROR(MATCH($D76,기본자료!$B$2:$B$501,0),IFERROR(MATCH($D76&amp;"",기본자료!$B$2:$B$501,0),IFERROR(MATCH(VALUE($D76),기본자료!$B$2:$B$501,0),0)))&gt;0,"확인","미등록"))</f>
        <v/>
      </c>
      <c r="F76" s="27">
        <f>IF($C76="","",INDEX(인턴근무계획!$S$3:$S$202,$A76))</f>
        <v/>
      </c>
      <c r="G76" s="23">
        <f>IF(OR($C76="",$G$3=""),"",IF(INDEX(인턴근무계획!$M$3:$R$202,$A76,$G$3)&amp;""="","",IF(LEFT(INDEX(인턴근무계획!$M$3:$R$202,$A76,$G$3)&amp;"",1)="⚠",INDEX(인턴근무계획!$M$3:$R$202,$A76,$G$3)&amp;"",LEFT(INDEX(인턴근무계획!$M$3:$R$202,$A76,$G$3)&amp;"",FIND(" ",INDEX(인턴근무계획!$M$3:$R$202,$A76,$G$3)&amp;"")-1))))</f>
        <v/>
      </c>
      <c r="H76" s="23">
        <f>IF(OR($C76="",$G$3=""),"",IF(INDEX(인턴근무계획!$M$3:$R$202,$A76,$G$3)&amp;""="","",IF(LEFT(INDEX(인턴근무계획!$M$3:$R$202,$A76,$G$3)&amp;"",1)="⚠","",MID(INDEX(인턴근무계획!$M$3:$R$202,$A76,$G$3)&amp;"",FIND(" ",INDEX(인턴근무계획!$M$3:$R$202,$A76,$G$3)&amp;"")+1,60))))</f>
        <v/>
      </c>
      <c r="I76" s="23">
        <f>IF(OR($C76="",$I$3=""),"",IF(INDEX(인턴근무계획!$M$3:$R$202,$A76,$I$3)&amp;""="","",IF(LEFT(INDEX(인턴근무계획!$M$3:$R$202,$A76,$I$3)&amp;"",1)="⚠",INDEX(인턴근무계획!$M$3:$R$202,$A76,$I$3)&amp;"",LEFT(INDEX(인턴근무계획!$M$3:$R$202,$A76,$I$3)&amp;"",FIND(" ",INDEX(인턴근무계획!$M$3:$R$202,$A76,$I$3)&amp;"")-1))))</f>
        <v/>
      </c>
      <c r="J76" s="23">
        <f>IF(OR($C76="",$I$3=""),"",IF(INDEX(인턴근무계획!$M$3:$R$202,$A76,$I$3)&amp;""="","",IF(LEFT(INDEX(인턴근무계획!$M$3:$R$202,$A76,$I$3)&amp;"",1)="⚠","",MID(INDEX(인턴근무계획!$M$3:$R$202,$A76,$I$3)&amp;"",FIND(" ",INDEX(인턴근무계획!$M$3:$R$202,$A76,$I$3)&amp;"")+1,60))))</f>
        <v/>
      </c>
      <c r="K76" s="23">
        <f>IF($C76="","",INDEX(인턴근무계획!$M$3:$M$202,$A76)&amp;"")</f>
        <v/>
      </c>
      <c r="L76" s="23">
        <f>IF($C76="","",INDEX(인턴근무계획!$N$3:$N$202,$A76)&amp;"")</f>
        <v/>
      </c>
      <c r="M76" s="23">
        <f>IF($C76="","",INDEX(인턴근무계획!$O$3:$O$202,$A76)&amp;"")</f>
        <v/>
      </c>
      <c r="N76" s="23">
        <f>IF($C76="","",INDEX(인턴근무계획!$P$3:$P$202,$A76)&amp;"")</f>
        <v/>
      </c>
      <c r="O76" s="23">
        <f>IF($C76="","",INDEX(인턴근무계획!$Q$3:$Q$202,$A76)&amp;"")</f>
        <v/>
      </c>
      <c r="P76" s="23">
        <f>IF($C76="","",INDEX(인턴근무계획!$R$3:$R$202,$A76)&amp;"")</f>
        <v/>
      </c>
      <c r="Q76" s="23">
        <f>IF($C76="","",INDEX(인턴근무계획!$T$3:$T$202,$A76))</f>
        <v/>
      </c>
    </row>
    <row r="77">
      <c r="A77" s="26" t="n">
        <v>72</v>
      </c>
      <c r="B77" s="23">
        <f>IF($C77="","",INDEX(인턴근무계획!$B$3:$B$202,$A77))</f>
        <v/>
      </c>
      <c r="C77" s="23">
        <f>IFERROR(TRIM(INDEX(인턴근무계획!$C$3:$C$202,$A77)&amp;""),"")</f>
        <v/>
      </c>
      <c r="D77" s="23">
        <f>IF($C77="","",INDEX(인턴근무계획!$D$3:$D$202,$A77))</f>
        <v/>
      </c>
      <c r="E77" s="23">
        <f>IF($C77="","",IF(IFERROR(MATCH($D77,기본자료!$B$2:$B$501,0),IFERROR(MATCH($D77&amp;"",기본자료!$B$2:$B$501,0),IFERROR(MATCH(VALUE($D77),기본자료!$B$2:$B$501,0),0)))&gt;0,"확인","미등록"))</f>
        <v/>
      </c>
      <c r="F77" s="27">
        <f>IF($C77="","",INDEX(인턴근무계획!$S$3:$S$202,$A77))</f>
        <v/>
      </c>
      <c r="G77" s="23">
        <f>IF(OR($C77="",$G$3=""),"",IF(INDEX(인턴근무계획!$M$3:$R$202,$A77,$G$3)&amp;""="","",IF(LEFT(INDEX(인턴근무계획!$M$3:$R$202,$A77,$G$3)&amp;"",1)="⚠",INDEX(인턴근무계획!$M$3:$R$202,$A77,$G$3)&amp;"",LEFT(INDEX(인턴근무계획!$M$3:$R$202,$A77,$G$3)&amp;"",FIND(" ",INDEX(인턴근무계획!$M$3:$R$202,$A77,$G$3)&amp;"")-1))))</f>
        <v/>
      </c>
      <c r="H77" s="23">
        <f>IF(OR($C77="",$G$3=""),"",IF(INDEX(인턴근무계획!$M$3:$R$202,$A77,$G$3)&amp;""="","",IF(LEFT(INDEX(인턴근무계획!$M$3:$R$202,$A77,$G$3)&amp;"",1)="⚠","",MID(INDEX(인턴근무계획!$M$3:$R$202,$A77,$G$3)&amp;"",FIND(" ",INDEX(인턴근무계획!$M$3:$R$202,$A77,$G$3)&amp;"")+1,60))))</f>
        <v/>
      </c>
      <c r="I77" s="23">
        <f>IF(OR($C77="",$I$3=""),"",IF(INDEX(인턴근무계획!$M$3:$R$202,$A77,$I$3)&amp;""="","",IF(LEFT(INDEX(인턴근무계획!$M$3:$R$202,$A77,$I$3)&amp;"",1)="⚠",INDEX(인턴근무계획!$M$3:$R$202,$A77,$I$3)&amp;"",LEFT(INDEX(인턴근무계획!$M$3:$R$202,$A77,$I$3)&amp;"",FIND(" ",INDEX(인턴근무계획!$M$3:$R$202,$A77,$I$3)&amp;"")-1))))</f>
        <v/>
      </c>
      <c r="J77" s="23">
        <f>IF(OR($C77="",$I$3=""),"",IF(INDEX(인턴근무계획!$M$3:$R$202,$A77,$I$3)&amp;""="","",IF(LEFT(INDEX(인턴근무계획!$M$3:$R$202,$A77,$I$3)&amp;"",1)="⚠","",MID(INDEX(인턴근무계획!$M$3:$R$202,$A77,$I$3)&amp;"",FIND(" ",INDEX(인턴근무계획!$M$3:$R$202,$A77,$I$3)&amp;"")+1,60))))</f>
        <v/>
      </c>
      <c r="K77" s="23">
        <f>IF($C77="","",INDEX(인턴근무계획!$M$3:$M$202,$A77)&amp;"")</f>
        <v/>
      </c>
      <c r="L77" s="23">
        <f>IF($C77="","",INDEX(인턴근무계획!$N$3:$N$202,$A77)&amp;"")</f>
        <v/>
      </c>
      <c r="M77" s="23">
        <f>IF($C77="","",INDEX(인턴근무계획!$O$3:$O$202,$A77)&amp;"")</f>
        <v/>
      </c>
      <c r="N77" s="23">
        <f>IF($C77="","",INDEX(인턴근무계획!$P$3:$P$202,$A77)&amp;"")</f>
        <v/>
      </c>
      <c r="O77" s="23">
        <f>IF($C77="","",INDEX(인턴근무계획!$Q$3:$Q$202,$A77)&amp;"")</f>
        <v/>
      </c>
      <c r="P77" s="23">
        <f>IF($C77="","",INDEX(인턴근무계획!$R$3:$R$202,$A77)&amp;"")</f>
        <v/>
      </c>
      <c r="Q77" s="23">
        <f>IF($C77="","",INDEX(인턴근무계획!$T$3:$T$202,$A77))</f>
        <v/>
      </c>
    </row>
    <row r="78">
      <c r="A78" s="26" t="n">
        <v>73</v>
      </c>
      <c r="B78" s="23">
        <f>IF($C78="","",INDEX(인턴근무계획!$B$3:$B$202,$A78))</f>
        <v/>
      </c>
      <c r="C78" s="23">
        <f>IFERROR(TRIM(INDEX(인턴근무계획!$C$3:$C$202,$A78)&amp;""),"")</f>
        <v/>
      </c>
      <c r="D78" s="23">
        <f>IF($C78="","",INDEX(인턴근무계획!$D$3:$D$202,$A78))</f>
        <v/>
      </c>
      <c r="E78" s="23">
        <f>IF($C78="","",IF(IFERROR(MATCH($D78,기본자료!$B$2:$B$501,0),IFERROR(MATCH($D78&amp;"",기본자료!$B$2:$B$501,0),IFERROR(MATCH(VALUE($D78),기본자료!$B$2:$B$501,0),0)))&gt;0,"확인","미등록"))</f>
        <v/>
      </c>
      <c r="F78" s="27">
        <f>IF($C78="","",INDEX(인턴근무계획!$S$3:$S$202,$A78))</f>
        <v/>
      </c>
      <c r="G78" s="23">
        <f>IF(OR($C78="",$G$3=""),"",IF(INDEX(인턴근무계획!$M$3:$R$202,$A78,$G$3)&amp;""="","",IF(LEFT(INDEX(인턴근무계획!$M$3:$R$202,$A78,$G$3)&amp;"",1)="⚠",INDEX(인턴근무계획!$M$3:$R$202,$A78,$G$3)&amp;"",LEFT(INDEX(인턴근무계획!$M$3:$R$202,$A78,$G$3)&amp;"",FIND(" ",INDEX(인턴근무계획!$M$3:$R$202,$A78,$G$3)&amp;"")-1))))</f>
        <v/>
      </c>
      <c r="H78" s="23">
        <f>IF(OR($C78="",$G$3=""),"",IF(INDEX(인턴근무계획!$M$3:$R$202,$A78,$G$3)&amp;""="","",IF(LEFT(INDEX(인턴근무계획!$M$3:$R$202,$A78,$G$3)&amp;"",1)="⚠","",MID(INDEX(인턴근무계획!$M$3:$R$202,$A78,$G$3)&amp;"",FIND(" ",INDEX(인턴근무계획!$M$3:$R$202,$A78,$G$3)&amp;"")+1,60))))</f>
        <v/>
      </c>
      <c r="I78" s="23">
        <f>IF(OR($C78="",$I$3=""),"",IF(INDEX(인턴근무계획!$M$3:$R$202,$A78,$I$3)&amp;""="","",IF(LEFT(INDEX(인턴근무계획!$M$3:$R$202,$A78,$I$3)&amp;"",1)="⚠",INDEX(인턴근무계획!$M$3:$R$202,$A78,$I$3)&amp;"",LEFT(INDEX(인턴근무계획!$M$3:$R$202,$A78,$I$3)&amp;"",FIND(" ",INDEX(인턴근무계획!$M$3:$R$202,$A78,$I$3)&amp;"")-1))))</f>
        <v/>
      </c>
      <c r="J78" s="23">
        <f>IF(OR($C78="",$I$3=""),"",IF(INDEX(인턴근무계획!$M$3:$R$202,$A78,$I$3)&amp;""="","",IF(LEFT(INDEX(인턴근무계획!$M$3:$R$202,$A78,$I$3)&amp;"",1)="⚠","",MID(INDEX(인턴근무계획!$M$3:$R$202,$A78,$I$3)&amp;"",FIND(" ",INDEX(인턴근무계획!$M$3:$R$202,$A78,$I$3)&amp;"")+1,60))))</f>
        <v/>
      </c>
      <c r="K78" s="23">
        <f>IF($C78="","",INDEX(인턴근무계획!$M$3:$M$202,$A78)&amp;"")</f>
        <v/>
      </c>
      <c r="L78" s="23">
        <f>IF($C78="","",INDEX(인턴근무계획!$N$3:$N$202,$A78)&amp;"")</f>
        <v/>
      </c>
      <c r="M78" s="23">
        <f>IF($C78="","",INDEX(인턴근무계획!$O$3:$O$202,$A78)&amp;"")</f>
        <v/>
      </c>
      <c r="N78" s="23">
        <f>IF($C78="","",INDEX(인턴근무계획!$P$3:$P$202,$A78)&amp;"")</f>
        <v/>
      </c>
      <c r="O78" s="23">
        <f>IF($C78="","",INDEX(인턴근무계획!$Q$3:$Q$202,$A78)&amp;"")</f>
        <v/>
      </c>
      <c r="P78" s="23">
        <f>IF($C78="","",INDEX(인턴근무계획!$R$3:$R$202,$A78)&amp;"")</f>
        <v/>
      </c>
      <c r="Q78" s="23">
        <f>IF($C78="","",INDEX(인턴근무계획!$T$3:$T$202,$A78))</f>
        <v/>
      </c>
    </row>
    <row r="79">
      <c r="A79" s="26" t="n">
        <v>74</v>
      </c>
      <c r="B79" s="23">
        <f>IF($C79="","",INDEX(인턴근무계획!$B$3:$B$202,$A79))</f>
        <v/>
      </c>
      <c r="C79" s="23">
        <f>IFERROR(TRIM(INDEX(인턴근무계획!$C$3:$C$202,$A79)&amp;""),"")</f>
        <v/>
      </c>
      <c r="D79" s="23">
        <f>IF($C79="","",INDEX(인턴근무계획!$D$3:$D$202,$A79))</f>
        <v/>
      </c>
      <c r="E79" s="23">
        <f>IF($C79="","",IF(IFERROR(MATCH($D79,기본자료!$B$2:$B$501,0),IFERROR(MATCH($D79&amp;"",기본자료!$B$2:$B$501,0),IFERROR(MATCH(VALUE($D79),기본자료!$B$2:$B$501,0),0)))&gt;0,"확인","미등록"))</f>
        <v/>
      </c>
      <c r="F79" s="27">
        <f>IF($C79="","",INDEX(인턴근무계획!$S$3:$S$202,$A79))</f>
        <v/>
      </c>
      <c r="G79" s="23">
        <f>IF(OR($C79="",$G$3=""),"",IF(INDEX(인턴근무계획!$M$3:$R$202,$A79,$G$3)&amp;""="","",IF(LEFT(INDEX(인턴근무계획!$M$3:$R$202,$A79,$G$3)&amp;"",1)="⚠",INDEX(인턴근무계획!$M$3:$R$202,$A79,$G$3)&amp;"",LEFT(INDEX(인턴근무계획!$M$3:$R$202,$A79,$G$3)&amp;"",FIND(" ",INDEX(인턴근무계획!$M$3:$R$202,$A79,$G$3)&amp;"")-1))))</f>
        <v/>
      </c>
      <c r="H79" s="23">
        <f>IF(OR($C79="",$G$3=""),"",IF(INDEX(인턴근무계획!$M$3:$R$202,$A79,$G$3)&amp;""="","",IF(LEFT(INDEX(인턴근무계획!$M$3:$R$202,$A79,$G$3)&amp;"",1)="⚠","",MID(INDEX(인턴근무계획!$M$3:$R$202,$A79,$G$3)&amp;"",FIND(" ",INDEX(인턴근무계획!$M$3:$R$202,$A79,$G$3)&amp;"")+1,60))))</f>
        <v/>
      </c>
      <c r="I79" s="23">
        <f>IF(OR($C79="",$I$3=""),"",IF(INDEX(인턴근무계획!$M$3:$R$202,$A79,$I$3)&amp;""="","",IF(LEFT(INDEX(인턴근무계획!$M$3:$R$202,$A79,$I$3)&amp;"",1)="⚠",INDEX(인턴근무계획!$M$3:$R$202,$A79,$I$3)&amp;"",LEFT(INDEX(인턴근무계획!$M$3:$R$202,$A79,$I$3)&amp;"",FIND(" ",INDEX(인턴근무계획!$M$3:$R$202,$A79,$I$3)&amp;"")-1))))</f>
        <v/>
      </c>
      <c r="J79" s="23">
        <f>IF(OR($C79="",$I$3=""),"",IF(INDEX(인턴근무계획!$M$3:$R$202,$A79,$I$3)&amp;""="","",IF(LEFT(INDEX(인턴근무계획!$M$3:$R$202,$A79,$I$3)&amp;"",1)="⚠","",MID(INDEX(인턴근무계획!$M$3:$R$202,$A79,$I$3)&amp;"",FIND(" ",INDEX(인턴근무계획!$M$3:$R$202,$A79,$I$3)&amp;"")+1,60))))</f>
        <v/>
      </c>
      <c r="K79" s="23">
        <f>IF($C79="","",INDEX(인턴근무계획!$M$3:$M$202,$A79)&amp;"")</f>
        <v/>
      </c>
      <c r="L79" s="23">
        <f>IF($C79="","",INDEX(인턴근무계획!$N$3:$N$202,$A79)&amp;"")</f>
        <v/>
      </c>
      <c r="M79" s="23">
        <f>IF($C79="","",INDEX(인턴근무계획!$O$3:$O$202,$A79)&amp;"")</f>
        <v/>
      </c>
      <c r="N79" s="23">
        <f>IF($C79="","",INDEX(인턴근무계획!$P$3:$P$202,$A79)&amp;"")</f>
        <v/>
      </c>
      <c r="O79" s="23">
        <f>IF($C79="","",INDEX(인턴근무계획!$Q$3:$Q$202,$A79)&amp;"")</f>
        <v/>
      </c>
      <c r="P79" s="23">
        <f>IF($C79="","",INDEX(인턴근무계획!$R$3:$R$202,$A79)&amp;"")</f>
        <v/>
      </c>
      <c r="Q79" s="23">
        <f>IF($C79="","",INDEX(인턴근무계획!$T$3:$T$202,$A79))</f>
        <v/>
      </c>
    </row>
    <row r="80">
      <c r="A80" s="26" t="n">
        <v>75</v>
      </c>
      <c r="B80" s="23">
        <f>IF($C80="","",INDEX(인턴근무계획!$B$3:$B$202,$A80))</f>
        <v/>
      </c>
      <c r="C80" s="23">
        <f>IFERROR(TRIM(INDEX(인턴근무계획!$C$3:$C$202,$A80)&amp;""),"")</f>
        <v/>
      </c>
      <c r="D80" s="23">
        <f>IF($C80="","",INDEX(인턴근무계획!$D$3:$D$202,$A80))</f>
        <v/>
      </c>
      <c r="E80" s="23">
        <f>IF($C80="","",IF(IFERROR(MATCH($D80,기본자료!$B$2:$B$501,0),IFERROR(MATCH($D80&amp;"",기본자료!$B$2:$B$501,0),IFERROR(MATCH(VALUE($D80),기본자료!$B$2:$B$501,0),0)))&gt;0,"확인","미등록"))</f>
        <v/>
      </c>
      <c r="F80" s="27">
        <f>IF($C80="","",INDEX(인턴근무계획!$S$3:$S$202,$A80))</f>
        <v/>
      </c>
      <c r="G80" s="23">
        <f>IF(OR($C80="",$G$3=""),"",IF(INDEX(인턴근무계획!$M$3:$R$202,$A80,$G$3)&amp;""="","",IF(LEFT(INDEX(인턴근무계획!$M$3:$R$202,$A80,$G$3)&amp;"",1)="⚠",INDEX(인턴근무계획!$M$3:$R$202,$A80,$G$3)&amp;"",LEFT(INDEX(인턴근무계획!$M$3:$R$202,$A80,$G$3)&amp;"",FIND(" ",INDEX(인턴근무계획!$M$3:$R$202,$A80,$G$3)&amp;"")-1))))</f>
        <v/>
      </c>
      <c r="H80" s="23">
        <f>IF(OR($C80="",$G$3=""),"",IF(INDEX(인턴근무계획!$M$3:$R$202,$A80,$G$3)&amp;""="","",IF(LEFT(INDEX(인턴근무계획!$M$3:$R$202,$A80,$G$3)&amp;"",1)="⚠","",MID(INDEX(인턴근무계획!$M$3:$R$202,$A80,$G$3)&amp;"",FIND(" ",INDEX(인턴근무계획!$M$3:$R$202,$A80,$G$3)&amp;"")+1,60))))</f>
        <v/>
      </c>
      <c r="I80" s="23">
        <f>IF(OR($C80="",$I$3=""),"",IF(INDEX(인턴근무계획!$M$3:$R$202,$A80,$I$3)&amp;""="","",IF(LEFT(INDEX(인턴근무계획!$M$3:$R$202,$A80,$I$3)&amp;"",1)="⚠",INDEX(인턴근무계획!$M$3:$R$202,$A80,$I$3)&amp;"",LEFT(INDEX(인턴근무계획!$M$3:$R$202,$A80,$I$3)&amp;"",FIND(" ",INDEX(인턴근무계획!$M$3:$R$202,$A80,$I$3)&amp;"")-1))))</f>
        <v/>
      </c>
      <c r="J80" s="23">
        <f>IF(OR($C80="",$I$3=""),"",IF(INDEX(인턴근무계획!$M$3:$R$202,$A80,$I$3)&amp;""="","",IF(LEFT(INDEX(인턴근무계획!$M$3:$R$202,$A80,$I$3)&amp;"",1)="⚠","",MID(INDEX(인턴근무계획!$M$3:$R$202,$A80,$I$3)&amp;"",FIND(" ",INDEX(인턴근무계획!$M$3:$R$202,$A80,$I$3)&amp;"")+1,60))))</f>
        <v/>
      </c>
      <c r="K80" s="23">
        <f>IF($C80="","",INDEX(인턴근무계획!$M$3:$M$202,$A80)&amp;"")</f>
        <v/>
      </c>
      <c r="L80" s="23">
        <f>IF($C80="","",INDEX(인턴근무계획!$N$3:$N$202,$A80)&amp;"")</f>
        <v/>
      </c>
      <c r="M80" s="23">
        <f>IF($C80="","",INDEX(인턴근무계획!$O$3:$O$202,$A80)&amp;"")</f>
        <v/>
      </c>
      <c r="N80" s="23">
        <f>IF($C80="","",INDEX(인턴근무계획!$P$3:$P$202,$A80)&amp;"")</f>
        <v/>
      </c>
      <c r="O80" s="23">
        <f>IF($C80="","",INDEX(인턴근무계획!$Q$3:$Q$202,$A80)&amp;"")</f>
        <v/>
      </c>
      <c r="P80" s="23">
        <f>IF($C80="","",INDEX(인턴근무계획!$R$3:$R$202,$A80)&amp;"")</f>
        <v/>
      </c>
      <c r="Q80" s="23">
        <f>IF($C80="","",INDEX(인턴근무계획!$T$3:$T$202,$A80))</f>
        <v/>
      </c>
    </row>
    <row r="81">
      <c r="A81" s="26" t="n">
        <v>76</v>
      </c>
      <c r="B81" s="23">
        <f>IF($C81="","",INDEX(인턴근무계획!$B$3:$B$202,$A81))</f>
        <v/>
      </c>
      <c r="C81" s="23">
        <f>IFERROR(TRIM(INDEX(인턴근무계획!$C$3:$C$202,$A81)&amp;""),"")</f>
        <v/>
      </c>
      <c r="D81" s="23">
        <f>IF($C81="","",INDEX(인턴근무계획!$D$3:$D$202,$A81))</f>
        <v/>
      </c>
      <c r="E81" s="23">
        <f>IF($C81="","",IF(IFERROR(MATCH($D81,기본자료!$B$2:$B$501,0),IFERROR(MATCH($D81&amp;"",기본자료!$B$2:$B$501,0),IFERROR(MATCH(VALUE($D81),기본자료!$B$2:$B$501,0),0)))&gt;0,"확인","미등록"))</f>
        <v/>
      </c>
      <c r="F81" s="27">
        <f>IF($C81="","",INDEX(인턴근무계획!$S$3:$S$202,$A81))</f>
        <v/>
      </c>
      <c r="G81" s="23">
        <f>IF(OR($C81="",$G$3=""),"",IF(INDEX(인턴근무계획!$M$3:$R$202,$A81,$G$3)&amp;""="","",IF(LEFT(INDEX(인턴근무계획!$M$3:$R$202,$A81,$G$3)&amp;"",1)="⚠",INDEX(인턴근무계획!$M$3:$R$202,$A81,$G$3)&amp;"",LEFT(INDEX(인턴근무계획!$M$3:$R$202,$A81,$G$3)&amp;"",FIND(" ",INDEX(인턴근무계획!$M$3:$R$202,$A81,$G$3)&amp;"")-1))))</f>
        <v/>
      </c>
      <c r="H81" s="23">
        <f>IF(OR($C81="",$G$3=""),"",IF(INDEX(인턴근무계획!$M$3:$R$202,$A81,$G$3)&amp;""="","",IF(LEFT(INDEX(인턴근무계획!$M$3:$R$202,$A81,$G$3)&amp;"",1)="⚠","",MID(INDEX(인턴근무계획!$M$3:$R$202,$A81,$G$3)&amp;"",FIND(" ",INDEX(인턴근무계획!$M$3:$R$202,$A81,$G$3)&amp;"")+1,60))))</f>
        <v/>
      </c>
      <c r="I81" s="23">
        <f>IF(OR($C81="",$I$3=""),"",IF(INDEX(인턴근무계획!$M$3:$R$202,$A81,$I$3)&amp;""="","",IF(LEFT(INDEX(인턴근무계획!$M$3:$R$202,$A81,$I$3)&amp;"",1)="⚠",INDEX(인턴근무계획!$M$3:$R$202,$A81,$I$3)&amp;"",LEFT(INDEX(인턴근무계획!$M$3:$R$202,$A81,$I$3)&amp;"",FIND(" ",INDEX(인턴근무계획!$M$3:$R$202,$A81,$I$3)&amp;"")-1))))</f>
        <v/>
      </c>
      <c r="J81" s="23">
        <f>IF(OR($C81="",$I$3=""),"",IF(INDEX(인턴근무계획!$M$3:$R$202,$A81,$I$3)&amp;""="","",IF(LEFT(INDEX(인턴근무계획!$M$3:$R$202,$A81,$I$3)&amp;"",1)="⚠","",MID(INDEX(인턴근무계획!$M$3:$R$202,$A81,$I$3)&amp;"",FIND(" ",INDEX(인턴근무계획!$M$3:$R$202,$A81,$I$3)&amp;"")+1,60))))</f>
        <v/>
      </c>
      <c r="K81" s="23">
        <f>IF($C81="","",INDEX(인턴근무계획!$M$3:$M$202,$A81)&amp;"")</f>
        <v/>
      </c>
      <c r="L81" s="23">
        <f>IF($C81="","",INDEX(인턴근무계획!$N$3:$N$202,$A81)&amp;"")</f>
        <v/>
      </c>
      <c r="M81" s="23">
        <f>IF($C81="","",INDEX(인턴근무계획!$O$3:$O$202,$A81)&amp;"")</f>
        <v/>
      </c>
      <c r="N81" s="23">
        <f>IF($C81="","",INDEX(인턴근무계획!$P$3:$P$202,$A81)&amp;"")</f>
        <v/>
      </c>
      <c r="O81" s="23">
        <f>IF($C81="","",INDEX(인턴근무계획!$Q$3:$Q$202,$A81)&amp;"")</f>
        <v/>
      </c>
      <c r="P81" s="23">
        <f>IF($C81="","",INDEX(인턴근무계획!$R$3:$R$202,$A81)&amp;"")</f>
        <v/>
      </c>
      <c r="Q81" s="23">
        <f>IF($C81="","",INDEX(인턴근무계획!$T$3:$T$202,$A81))</f>
        <v/>
      </c>
    </row>
    <row r="82">
      <c r="A82" s="26" t="n">
        <v>77</v>
      </c>
      <c r="B82" s="23">
        <f>IF($C82="","",INDEX(인턴근무계획!$B$3:$B$202,$A82))</f>
        <v/>
      </c>
      <c r="C82" s="23">
        <f>IFERROR(TRIM(INDEX(인턴근무계획!$C$3:$C$202,$A82)&amp;""),"")</f>
        <v/>
      </c>
      <c r="D82" s="23">
        <f>IF($C82="","",INDEX(인턴근무계획!$D$3:$D$202,$A82))</f>
        <v/>
      </c>
      <c r="E82" s="23">
        <f>IF($C82="","",IF(IFERROR(MATCH($D82,기본자료!$B$2:$B$501,0),IFERROR(MATCH($D82&amp;"",기본자료!$B$2:$B$501,0),IFERROR(MATCH(VALUE($D82),기본자료!$B$2:$B$501,0),0)))&gt;0,"확인","미등록"))</f>
        <v/>
      </c>
      <c r="F82" s="27">
        <f>IF($C82="","",INDEX(인턴근무계획!$S$3:$S$202,$A82))</f>
        <v/>
      </c>
      <c r="G82" s="23">
        <f>IF(OR($C82="",$G$3=""),"",IF(INDEX(인턴근무계획!$M$3:$R$202,$A82,$G$3)&amp;""="","",IF(LEFT(INDEX(인턴근무계획!$M$3:$R$202,$A82,$G$3)&amp;"",1)="⚠",INDEX(인턴근무계획!$M$3:$R$202,$A82,$G$3)&amp;"",LEFT(INDEX(인턴근무계획!$M$3:$R$202,$A82,$G$3)&amp;"",FIND(" ",INDEX(인턴근무계획!$M$3:$R$202,$A82,$G$3)&amp;"")-1))))</f>
        <v/>
      </c>
      <c r="H82" s="23">
        <f>IF(OR($C82="",$G$3=""),"",IF(INDEX(인턴근무계획!$M$3:$R$202,$A82,$G$3)&amp;""="","",IF(LEFT(INDEX(인턴근무계획!$M$3:$R$202,$A82,$G$3)&amp;"",1)="⚠","",MID(INDEX(인턴근무계획!$M$3:$R$202,$A82,$G$3)&amp;"",FIND(" ",INDEX(인턴근무계획!$M$3:$R$202,$A82,$G$3)&amp;"")+1,60))))</f>
        <v/>
      </c>
      <c r="I82" s="23">
        <f>IF(OR($C82="",$I$3=""),"",IF(INDEX(인턴근무계획!$M$3:$R$202,$A82,$I$3)&amp;""="","",IF(LEFT(INDEX(인턴근무계획!$M$3:$R$202,$A82,$I$3)&amp;"",1)="⚠",INDEX(인턴근무계획!$M$3:$R$202,$A82,$I$3)&amp;"",LEFT(INDEX(인턴근무계획!$M$3:$R$202,$A82,$I$3)&amp;"",FIND(" ",INDEX(인턴근무계획!$M$3:$R$202,$A82,$I$3)&amp;"")-1))))</f>
        <v/>
      </c>
      <c r="J82" s="23">
        <f>IF(OR($C82="",$I$3=""),"",IF(INDEX(인턴근무계획!$M$3:$R$202,$A82,$I$3)&amp;""="","",IF(LEFT(INDEX(인턴근무계획!$M$3:$R$202,$A82,$I$3)&amp;"",1)="⚠","",MID(INDEX(인턴근무계획!$M$3:$R$202,$A82,$I$3)&amp;"",FIND(" ",INDEX(인턴근무계획!$M$3:$R$202,$A82,$I$3)&amp;"")+1,60))))</f>
        <v/>
      </c>
      <c r="K82" s="23">
        <f>IF($C82="","",INDEX(인턴근무계획!$M$3:$M$202,$A82)&amp;"")</f>
        <v/>
      </c>
      <c r="L82" s="23">
        <f>IF($C82="","",INDEX(인턴근무계획!$N$3:$N$202,$A82)&amp;"")</f>
        <v/>
      </c>
      <c r="M82" s="23">
        <f>IF($C82="","",INDEX(인턴근무계획!$O$3:$O$202,$A82)&amp;"")</f>
        <v/>
      </c>
      <c r="N82" s="23">
        <f>IF($C82="","",INDEX(인턴근무계획!$P$3:$P$202,$A82)&amp;"")</f>
        <v/>
      </c>
      <c r="O82" s="23">
        <f>IF($C82="","",INDEX(인턴근무계획!$Q$3:$Q$202,$A82)&amp;"")</f>
        <v/>
      </c>
      <c r="P82" s="23">
        <f>IF($C82="","",INDEX(인턴근무계획!$R$3:$R$202,$A82)&amp;"")</f>
        <v/>
      </c>
      <c r="Q82" s="23">
        <f>IF($C82="","",INDEX(인턴근무계획!$T$3:$T$202,$A82))</f>
        <v/>
      </c>
    </row>
    <row r="83">
      <c r="A83" s="26" t="n">
        <v>78</v>
      </c>
      <c r="B83" s="23">
        <f>IF($C83="","",INDEX(인턴근무계획!$B$3:$B$202,$A83))</f>
        <v/>
      </c>
      <c r="C83" s="23">
        <f>IFERROR(TRIM(INDEX(인턴근무계획!$C$3:$C$202,$A83)&amp;""),"")</f>
        <v/>
      </c>
      <c r="D83" s="23">
        <f>IF($C83="","",INDEX(인턴근무계획!$D$3:$D$202,$A83))</f>
        <v/>
      </c>
      <c r="E83" s="23">
        <f>IF($C83="","",IF(IFERROR(MATCH($D83,기본자료!$B$2:$B$501,0),IFERROR(MATCH($D83&amp;"",기본자료!$B$2:$B$501,0),IFERROR(MATCH(VALUE($D83),기본자료!$B$2:$B$501,0),0)))&gt;0,"확인","미등록"))</f>
        <v/>
      </c>
      <c r="F83" s="27">
        <f>IF($C83="","",INDEX(인턴근무계획!$S$3:$S$202,$A83))</f>
        <v/>
      </c>
      <c r="G83" s="23">
        <f>IF(OR($C83="",$G$3=""),"",IF(INDEX(인턴근무계획!$M$3:$R$202,$A83,$G$3)&amp;""="","",IF(LEFT(INDEX(인턴근무계획!$M$3:$R$202,$A83,$G$3)&amp;"",1)="⚠",INDEX(인턴근무계획!$M$3:$R$202,$A83,$G$3)&amp;"",LEFT(INDEX(인턴근무계획!$M$3:$R$202,$A83,$G$3)&amp;"",FIND(" ",INDEX(인턴근무계획!$M$3:$R$202,$A83,$G$3)&amp;"")-1))))</f>
        <v/>
      </c>
      <c r="H83" s="23">
        <f>IF(OR($C83="",$G$3=""),"",IF(INDEX(인턴근무계획!$M$3:$R$202,$A83,$G$3)&amp;""="","",IF(LEFT(INDEX(인턴근무계획!$M$3:$R$202,$A83,$G$3)&amp;"",1)="⚠","",MID(INDEX(인턴근무계획!$M$3:$R$202,$A83,$G$3)&amp;"",FIND(" ",INDEX(인턴근무계획!$M$3:$R$202,$A83,$G$3)&amp;"")+1,60))))</f>
        <v/>
      </c>
      <c r="I83" s="23">
        <f>IF(OR($C83="",$I$3=""),"",IF(INDEX(인턴근무계획!$M$3:$R$202,$A83,$I$3)&amp;""="","",IF(LEFT(INDEX(인턴근무계획!$M$3:$R$202,$A83,$I$3)&amp;"",1)="⚠",INDEX(인턴근무계획!$M$3:$R$202,$A83,$I$3)&amp;"",LEFT(INDEX(인턴근무계획!$M$3:$R$202,$A83,$I$3)&amp;"",FIND(" ",INDEX(인턴근무계획!$M$3:$R$202,$A83,$I$3)&amp;"")-1))))</f>
        <v/>
      </c>
      <c r="J83" s="23">
        <f>IF(OR($C83="",$I$3=""),"",IF(INDEX(인턴근무계획!$M$3:$R$202,$A83,$I$3)&amp;""="","",IF(LEFT(INDEX(인턴근무계획!$M$3:$R$202,$A83,$I$3)&amp;"",1)="⚠","",MID(INDEX(인턴근무계획!$M$3:$R$202,$A83,$I$3)&amp;"",FIND(" ",INDEX(인턴근무계획!$M$3:$R$202,$A83,$I$3)&amp;"")+1,60))))</f>
        <v/>
      </c>
      <c r="K83" s="23">
        <f>IF($C83="","",INDEX(인턴근무계획!$M$3:$M$202,$A83)&amp;"")</f>
        <v/>
      </c>
      <c r="L83" s="23">
        <f>IF($C83="","",INDEX(인턴근무계획!$N$3:$N$202,$A83)&amp;"")</f>
        <v/>
      </c>
      <c r="M83" s="23">
        <f>IF($C83="","",INDEX(인턴근무계획!$O$3:$O$202,$A83)&amp;"")</f>
        <v/>
      </c>
      <c r="N83" s="23">
        <f>IF($C83="","",INDEX(인턴근무계획!$P$3:$P$202,$A83)&amp;"")</f>
        <v/>
      </c>
      <c r="O83" s="23">
        <f>IF($C83="","",INDEX(인턴근무계획!$Q$3:$Q$202,$A83)&amp;"")</f>
        <v/>
      </c>
      <c r="P83" s="23">
        <f>IF($C83="","",INDEX(인턴근무계획!$R$3:$R$202,$A83)&amp;"")</f>
        <v/>
      </c>
      <c r="Q83" s="23">
        <f>IF($C83="","",INDEX(인턴근무계획!$T$3:$T$202,$A83))</f>
        <v/>
      </c>
    </row>
    <row r="84">
      <c r="A84" s="26" t="n">
        <v>79</v>
      </c>
      <c r="B84" s="23">
        <f>IF($C84="","",INDEX(인턴근무계획!$B$3:$B$202,$A84))</f>
        <v/>
      </c>
      <c r="C84" s="23">
        <f>IFERROR(TRIM(INDEX(인턴근무계획!$C$3:$C$202,$A84)&amp;""),"")</f>
        <v/>
      </c>
      <c r="D84" s="23">
        <f>IF($C84="","",INDEX(인턴근무계획!$D$3:$D$202,$A84))</f>
        <v/>
      </c>
      <c r="E84" s="23">
        <f>IF($C84="","",IF(IFERROR(MATCH($D84,기본자료!$B$2:$B$501,0),IFERROR(MATCH($D84&amp;"",기본자료!$B$2:$B$501,0),IFERROR(MATCH(VALUE($D84),기본자료!$B$2:$B$501,0),0)))&gt;0,"확인","미등록"))</f>
        <v/>
      </c>
      <c r="F84" s="27">
        <f>IF($C84="","",INDEX(인턴근무계획!$S$3:$S$202,$A84))</f>
        <v/>
      </c>
      <c r="G84" s="23">
        <f>IF(OR($C84="",$G$3=""),"",IF(INDEX(인턴근무계획!$M$3:$R$202,$A84,$G$3)&amp;""="","",IF(LEFT(INDEX(인턴근무계획!$M$3:$R$202,$A84,$G$3)&amp;"",1)="⚠",INDEX(인턴근무계획!$M$3:$R$202,$A84,$G$3)&amp;"",LEFT(INDEX(인턴근무계획!$M$3:$R$202,$A84,$G$3)&amp;"",FIND(" ",INDEX(인턴근무계획!$M$3:$R$202,$A84,$G$3)&amp;"")-1))))</f>
        <v/>
      </c>
      <c r="H84" s="23">
        <f>IF(OR($C84="",$G$3=""),"",IF(INDEX(인턴근무계획!$M$3:$R$202,$A84,$G$3)&amp;""="","",IF(LEFT(INDEX(인턴근무계획!$M$3:$R$202,$A84,$G$3)&amp;"",1)="⚠","",MID(INDEX(인턴근무계획!$M$3:$R$202,$A84,$G$3)&amp;"",FIND(" ",INDEX(인턴근무계획!$M$3:$R$202,$A84,$G$3)&amp;"")+1,60))))</f>
        <v/>
      </c>
      <c r="I84" s="23">
        <f>IF(OR($C84="",$I$3=""),"",IF(INDEX(인턴근무계획!$M$3:$R$202,$A84,$I$3)&amp;""="","",IF(LEFT(INDEX(인턴근무계획!$M$3:$R$202,$A84,$I$3)&amp;"",1)="⚠",INDEX(인턴근무계획!$M$3:$R$202,$A84,$I$3)&amp;"",LEFT(INDEX(인턴근무계획!$M$3:$R$202,$A84,$I$3)&amp;"",FIND(" ",INDEX(인턴근무계획!$M$3:$R$202,$A84,$I$3)&amp;"")-1))))</f>
        <v/>
      </c>
      <c r="J84" s="23">
        <f>IF(OR($C84="",$I$3=""),"",IF(INDEX(인턴근무계획!$M$3:$R$202,$A84,$I$3)&amp;""="","",IF(LEFT(INDEX(인턴근무계획!$M$3:$R$202,$A84,$I$3)&amp;"",1)="⚠","",MID(INDEX(인턴근무계획!$M$3:$R$202,$A84,$I$3)&amp;"",FIND(" ",INDEX(인턴근무계획!$M$3:$R$202,$A84,$I$3)&amp;"")+1,60))))</f>
        <v/>
      </c>
      <c r="K84" s="23">
        <f>IF($C84="","",INDEX(인턴근무계획!$M$3:$M$202,$A84)&amp;"")</f>
        <v/>
      </c>
      <c r="L84" s="23">
        <f>IF($C84="","",INDEX(인턴근무계획!$N$3:$N$202,$A84)&amp;"")</f>
        <v/>
      </c>
      <c r="M84" s="23">
        <f>IF($C84="","",INDEX(인턴근무계획!$O$3:$O$202,$A84)&amp;"")</f>
        <v/>
      </c>
      <c r="N84" s="23">
        <f>IF($C84="","",INDEX(인턴근무계획!$P$3:$P$202,$A84)&amp;"")</f>
        <v/>
      </c>
      <c r="O84" s="23">
        <f>IF($C84="","",INDEX(인턴근무계획!$Q$3:$Q$202,$A84)&amp;"")</f>
        <v/>
      </c>
      <c r="P84" s="23">
        <f>IF($C84="","",INDEX(인턴근무계획!$R$3:$R$202,$A84)&amp;"")</f>
        <v/>
      </c>
      <c r="Q84" s="23">
        <f>IF($C84="","",INDEX(인턴근무계획!$T$3:$T$202,$A84))</f>
        <v/>
      </c>
    </row>
    <row r="85">
      <c r="A85" s="26" t="n">
        <v>80</v>
      </c>
      <c r="B85" s="23">
        <f>IF($C85="","",INDEX(인턴근무계획!$B$3:$B$202,$A85))</f>
        <v/>
      </c>
      <c r="C85" s="23">
        <f>IFERROR(TRIM(INDEX(인턴근무계획!$C$3:$C$202,$A85)&amp;""),"")</f>
        <v/>
      </c>
      <c r="D85" s="23">
        <f>IF($C85="","",INDEX(인턴근무계획!$D$3:$D$202,$A85))</f>
        <v/>
      </c>
      <c r="E85" s="23">
        <f>IF($C85="","",IF(IFERROR(MATCH($D85,기본자료!$B$2:$B$501,0),IFERROR(MATCH($D85&amp;"",기본자료!$B$2:$B$501,0),IFERROR(MATCH(VALUE($D85),기본자료!$B$2:$B$501,0),0)))&gt;0,"확인","미등록"))</f>
        <v/>
      </c>
      <c r="F85" s="27">
        <f>IF($C85="","",INDEX(인턴근무계획!$S$3:$S$202,$A85))</f>
        <v/>
      </c>
      <c r="G85" s="23">
        <f>IF(OR($C85="",$G$3=""),"",IF(INDEX(인턴근무계획!$M$3:$R$202,$A85,$G$3)&amp;""="","",IF(LEFT(INDEX(인턴근무계획!$M$3:$R$202,$A85,$G$3)&amp;"",1)="⚠",INDEX(인턴근무계획!$M$3:$R$202,$A85,$G$3)&amp;"",LEFT(INDEX(인턴근무계획!$M$3:$R$202,$A85,$G$3)&amp;"",FIND(" ",INDEX(인턴근무계획!$M$3:$R$202,$A85,$G$3)&amp;"")-1))))</f>
        <v/>
      </c>
      <c r="H85" s="23">
        <f>IF(OR($C85="",$G$3=""),"",IF(INDEX(인턴근무계획!$M$3:$R$202,$A85,$G$3)&amp;""="","",IF(LEFT(INDEX(인턴근무계획!$M$3:$R$202,$A85,$G$3)&amp;"",1)="⚠","",MID(INDEX(인턴근무계획!$M$3:$R$202,$A85,$G$3)&amp;"",FIND(" ",INDEX(인턴근무계획!$M$3:$R$202,$A85,$G$3)&amp;"")+1,60))))</f>
        <v/>
      </c>
      <c r="I85" s="23">
        <f>IF(OR($C85="",$I$3=""),"",IF(INDEX(인턴근무계획!$M$3:$R$202,$A85,$I$3)&amp;""="","",IF(LEFT(INDEX(인턴근무계획!$M$3:$R$202,$A85,$I$3)&amp;"",1)="⚠",INDEX(인턴근무계획!$M$3:$R$202,$A85,$I$3)&amp;"",LEFT(INDEX(인턴근무계획!$M$3:$R$202,$A85,$I$3)&amp;"",FIND(" ",INDEX(인턴근무계획!$M$3:$R$202,$A85,$I$3)&amp;"")-1))))</f>
        <v/>
      </c>
      <c r="J85" s="23">
        <f>IF(OR($C85="",$I$3=""),"",IF(INDEX(인턴근무계획!$M$3:$R$202,$A85,$I$3)&amp;""="","",IF(LEFT(INDEX(인턴근무계획!$M$3:$R$202,$A85,$I$3)&amp;"",1)="⚠","",MID(INDEX(인턴근무계획!$M$3:$R$202,$A85,$I$3)&amp;"",FIND(" ",INDEX(인턴근무계획!$M$3:$R$202,$A85,$I$3)&amp;"")+1,60))))</f>
        <v/>
      </c>
      <c r="K85" s="23">
        <f>IF($C85="","",INDEX(인턴근무계획!$M$3:$M$202,$A85)&amp;"")</f>
        <v/>
      </c>
      <c r="L85" s="23">
        <f>IF($C85="","",INDEX(인턴근무계획!$N$3:$N$202,$A85)&amp;"")</f>
        <v/>
      </c>
      <c r="M85" s="23">
        <f>IF($C85="","",INDEX(인턴근무계획!$O$3:$O$202,$A85)&amp;"")</f>
        <v/>
      </c>
      <c r="N85" s="23">
        <f>IF($C85="","",INDEX(인턴근무계획!$P$3:$P$202,$A85)&amp;"")</f>
        <v/>
      </c>
      <c r="O85" s="23">
        <f>IF($C85="","",INDEX(인턴근무계획!$Q$3:$Q$202,$A85)&amp;"")</f>
        <v/>
      </c>
      <c r="P85" s="23">
        <f>IF($C85="","",INDEX(인턴근무계획!$R$3:$R$202,$A85)&amp;"")</f>
        <v/>
      </c>
      <c r="Q85" s="23">
        <f>IF($C85="","",INDEX(인턴근무계획!$T$3:$T$202,$A85))</f>
        <v/>
      </c>
    </row>
    <row r="86">
      <c r="A86" s="26" t="n">
        <v>81</v>
      </c>
      <c r="B86" s="23">
        <f>IF($C86="","",INDEX(인턴근무계획!$B$3:$B$202,$A86))</f>
        <v/>
      </c>
      <c r="C86" s="23">
        <f>IFERROR(TRIM(INDEX(인턴근무계획!$C$3:$C$202,$A86)&amp;""),"")</f>
        <v/>
      </c>
      <c r="D86" s="23">
        <f>IF($C86="","",INDEX(인턴근무계획!$D$3:$D$202,$A86))</f>
        <v/>
      </c>
      <c r="E86" s="23">
        <f>IF($C86="","",IF(IFERROR(MATCH($D86,기본자료!$B$2:$B$501,0),IFERROR(MATCH($D86&amp;"",기본자료!$B$2:$B$501,0),IFERROR(MATCH(VALUE($D86),기본자료!$B$2:$B$501,0),0)))&gt;0,"확인","미등록"))</f>
        <v/>
      </c>
      <c r="F86" s="27">
        <f>IF($C86="","",INDEX(인턴근무계획!$S$3:$S$202,$A86))</f>
        <v/>
      </c>
      <c r="G86" s="23">
        <f>IF(OR($C86="",$G$3=""),"",IF(INDEX(인턴근무계획!$M$3:$R$202,$A86,$G$3)&amp;""="","",IF(LEFT(INDEX(인턴근무계획!$M$3:$R$202,$A86,$G$3)&amp;"",1)="⚠",INDEX(인턴근무계획!$M$3:$R$202,$A86,$G$3)&amp;"",LEFT(INDEX(인턴근무계획!$M$3:$R$202,$A86,$G$3)&amp;"",FIND(" ",INDEX(인턴근무계획!$M$3:$R$202,$A86,$G$3)&amp;"")-1))))</f>
        <v/>
      </c>
      <c r="H86" s="23">
        <f>IF(OR($C86="",$G$3=""),"",IF(INDEX(인턴근무계획!$M$3:$R$202,$A86,$G$3)&amp;""="","",IF(LEFT(INDEX(인턴근무계획!$M$3:$R$202,$A86,$G$3)&amp;"",1)="⚠","",MID(INDEX(인턴근무계획!$M$3:$R$202,$A86,$G$3)&amp;"",FIND(" ",INDEX(인턴근무계획!$M$3:$R$202,$A86,$G$3)&amp;"")+1,60))))</f>
        <v/>
      </c>
      <c r="I86" s="23">
        <f>IF(OR($C86="",$I$3=""),"",IF(INDEX(인턴근무계획!$M$3:$R$202,$A86,$I$3)&amp;""="","",IF(LEFT(INDEX(인턴근무계획!$M$3:$R$202,$A86,$I$3)&amp;"",1)="⚠",INDEX(인턴근무계획!$M$3:$R$202,$A86,$I$3)&amp;"",LEFT(INDEX(인턴근무계획!$M$3:$R$202,$A86,$I$3)&amp;"",FIND(" ",INDEX(인턴근무계획!$M$3:$R$202,$A86,$I$3)&amp;"")-1))))</f>
        <v/>
      </c>
      <c r="J86" s="23">
        <f>IF(OR($C86="",$I$3=""),"",IF(INDEX(인턴근무계획!$M$3:$R$202,$A86,$I$3)&amp;""="","",IF(LEFT(INDEX(인턴근무계획!$M$3:$R$202,$A86,$I$3)&amp;"",1)="⚠","",MID(INDEX(인턴근무계획!$M$3:$R$202,$A86,$I$3)&amp;"",FIND(" ",INDEX(인턴근무계획!$M$3:$R$202,$A86,$I$3)&amp;"")+1,60))))</f>
        <v/>
      </c>
      <c r="K86" s="23">
        <f>IF($C86="","",INDEX(인턴근무계획!$M$3:$M$202,$A86)&amp;"")</f>
        <v/>
      </c>
      <c r="L86" s="23">
        <f>IF($C86="","",INDEX(인턴근무계획!$N$3:$N$202,$A86)&amp;"")</f>
        <v/>
      </c>
      <c r="M86" s="23">
        <f>IF($C86="","",INDEX(인턴근무계획!$O$3:$O$202,$A86)&amp;"")</f>
        <v/>
      </c>
      <c r="N86" s="23">
        <f>IF($C86="","",INDEX(인턴근무계획!$P$3:$P$202,$A86)&amp;"")</f>
        <v/>
      </c>
      <c r="O86" s="23">
        <f>IF($C86="","",INDEX(인턴근무계획!$Q$3:$Q$202,$A86)&amp;"")</f>
        <v/>
      </c>
      <c r="P86" s="23">
        <f>IF($C86="","",INDEX(인턴근무계획!$R$3:$R$202,$A86)&amp;"")</f>
        <v/>
      </c>
      <c r="Q86" s="23">
        <f>IF($C86="","",INDEX(인턴근무계획!$T$3:$T$202,$A86))</f>
        <v/>
      </c>
    </row>
    <row r="87">
      <c r="A87" s="26" t="n">
        <v>82</v>
      </c>
      <c r="B87" s="23">
        <f>IF($C87="","",INDEX(인턴근무계획!$B$3:$B$202,$A87))</f>
        <v/>
      </c>
      <c r="C87" s="23">
        <f>IFERROR(TRIM(INDEX(인턴근무계획!$C$3:$C$202,$A87)&amp;""),"")</f>
        <v/>
      </c>
      <c r="D87" s="23">
        <f>IF($C87="","",INDEX(인턴근무계획!$D$3:$D$202,$A87))</f>
        <v/>
      </c>
      <c r="E87" s="23">
        <f>IF($C87="","",IF(IFERROR(MATCH($D87,기본자료!$B$2:$B$501,0),IFERROR(MATCH($D87&amp;"",기본자료!$B$2:$B$501,0),IFERROR(MATCH(VALUE($D87),기본자료!$B$2:$B$501,0),0)))&gt;0,"확인","미등록"))</f>
        <v/>
      </c>
      <c r="F87" s="27">
        <f>IF($C87="","",INDEX(인턴근무계획!$S$3:$S$202,$A87))</f>
        <v/>
      </c>
      <c r="G87" s="23">
        <f>IF(OR($C87="",$G$3=""),"",IF(INDEX(인턴근무계획!$M$3:$R$202,$A87,$G$3)&amp;""="","",IF(LEFT(INDEX(인턴근무계획!$M$3:$R$202,$A87,$G$3)&amp;"",1)="⚠",INDEX(인턴근무계획!$M$3:$R$202,$A87,$G$3)&amp;"",LEFT(INDEX(인턴근무계획!$M$3:$R$202,$A87,$G$3)&amp;"",FIND(" ",INDEX(인턴근무계획!$M$3:$R$202,$A87,$G$3)&amp;"")-1))))</f>
        <v/>
      </c>
      <c r="H87" s="23">
        <f>IF(OR($C87="",$G$3=""),"",IF(INDEX(인턴근무계획!$M$3:$R$202,$A87,$G$3)&amp;""="","",IF(LEFT(INDEX(인턴근무계획!$M$3:$R$202,$A87,$G$3)&amp;"",1)="⚠","",MID(INDEX(인턴근무계획!$M$3:$R$202,$A87,$G$3)&amp;"",FIND(" ",INDEX(인턴근무계획!$M$3:$R$202,$A87,$G$3)&amp;"")+1,60))))</f>
        <v/>
      </c>
      <c r="I87" s="23">
        <f>IF(OR($C87="",$I$3=""),"",IF(INDEX(인턴근무계획!$M$3:$R$202,$A87,$I$3)&amp;""="","",IF(LEFT(INDEX(인턴근무계획!$M$3:$R$202,$A87,$I$3)&amp;"",1)="⚠",INDEX(인턴근무계획!$M$3:$R$202,$A87,$I$3)&amp;"",LEFT(INDEX(인턴근무계획!$M$3:$R$202,$A87,$I$3)&amp;"",FIND(" ",INDEX(인턴근무계획!$M$3:$R$202,$A87,$I$3)&amp;"")-1))))</f>
        <v/>
      </c>
      <c r="J87" s="23">
        <f>IF(OR($C87="",$I$3=""),"",IF(INDEX(인턴근무계획!$M$3:$R$202,$A87,$I$3)&amp;""="","",IF(LEFT(INDEX(인턴근무계획!$M$3:$R$202,$A87,$I$3)&amp;"",1)="⚠","",MID(INDEX(인턴근무계획!$M$3:$R$202,$A87,$I$3)&amp;"",FIND(" ",INDEX(인턴근무계획!$M$3:$R$202,$A87,$I$3)&amp;"")+1,60))))</f>
        <v/>
      </c>
      <c r="K87" s="23">
        <f>IF($C87="","",INDEX(인턴근무계획!$M$3:$M$202,$A87)&amp;"")</f>
        <v/>
      </c>
      <c r="L87" s="23">
        <f>IF($C87="","",INDEX(인턴근무계획!$N$3:$N$202,$A87)&amp;"")</f>
        <v/>
      </c>
      <c r="M87" s="23">
        <f>IF($C87="","",INDEX(인턴근무계획!$O$3:$O$202,$A87)&amp;"")</f>
        <v/>
      </c>
      <c r="N87" s="23">
        <f>IF($C87="","",INDEX(인턴근무계획!$P$3:$P$202,$A87)&amp;"")</f>
        <v/>
      </c>
      <c r="O87" s="23">
        <f>IF($C87="","",INDEX(인턴근무계획!$Q$3:$Q$202,$A87)&amp;"")</f>
        <v/>
      </c>
      <c r="P87" s="23">
        <f>IF($C87="","",INDEX(인턴근무계획!$R$3:$R$202,$A87)&amp;"")</f>
        <v/>
      </c>
      <c r="Q87" s="23">
        <f>IF($C87="","",INDEX(인턴근무계획!$T$3:$T$202,$A87))</f>
        <v/>
      </c>
    </row>
    <row r="88">
      <c r="A88" s="26" t="n">
        <v>83</v>
      </c>
      <c r="B88" s="23">
        <f>IF($C88="","",INDEX(인턴근무계획!$B$3:$B$202,$A88))</f>
        <v/>
      </c>
      <c r="C88" s="23">
        <f>IFERROR(TRIM(INDEX(인턴근무계획!$C$3:$C$202,$A88)&amp;""),"")</f>
        <v/>
      </c>
      <c r="D88" s="23">
        <f>IF($C88="","",INDEX(인턴근무계획!$D$3:$D$202,$A88))</f>
        <v/>
      </c>
      <c r="E88" s="23">
        <f>IF($C88="","",IF(IFERROR(MATCH($D88,기본자료!$B$2:$B$501,0),IFERROR(MATCH($D88&amp;"",기본자료!$B$2:$B$501,0),IFERROR(MATCH(VALUE($D88),기본자료!$B$2:$B$501,0),0)))&gt;0,"확인","미등록"))</f>
        <v/>
      </c>
      <c r="F88" s="27">
        <f>IF($C88="","",INDEX(인턴근무계획!$S$3:$S$202,$A88))</f>
        <v/>
      </c>
      <c r="G88" s="23">
        <f>IF(OR($C88="",$G$3=""),"",IF(INDEX(인턴근무계획!$M$3:$R$202,$A88,$G$3)&amp;""="","",IF(LEFT(INDEX(인턴근무계획!$M$3:$R$202,$A88,$G$3)&amp;"",1)="⚠",INDEX(인턴근무계획!$M$3:$R$202,$A88,$G$3)&amp;"",LEFT(INDEX(인턴근무계획!$M$3:$R$202,$A88,$G$3)&amp;"",FIND(" ",INDEX(인턴근무계획!$M$3:$R$202,$A88,$G$3)&amp;"")-1))))</f>
        <v/>
      </c>
      <c r="H88" s="23">
        <f>IF(OR($C88="",$G$3=""),"",IF(INDEX(인턴근무계획!$M$3:$R$202,$A88,$G$3)&amp;""="","",IF(LEFT(INDEX(인턴근무계획!$M$3:$R$202,$A88,$G$3)&amp;"",1)="⚠","",MID(INDEX(인턴근무계획!$M$3:$R$202,$A88,$G$3)&amp;"",FIND(" ",INDEX(인턴근무계획!$M$3:$R$202,$A88,$G$3)&amp;"")+1,60))))</f>
        <v/>
      </c>
      <c r="I88" s="23">
        <f>IF(OR($C88="",$I$3=""),"",IF(INDEX(인턴근무계획!$M$3:$R$202,$A88,$I$3)&amp;""="","",IF(LEFT(INDEX(인턴근무계획!$M$3:$R$202,$A88,$I$3)&amp;"",1)="⚠",INDEX(인턴근무계획!$M$3:$R$202,$A88,$I$3)&amp;"",LEFT(INDEX(인턴근무계획!$M$3:$R$202,$A88,$I$3)&amp;"",FIND(" ",INDEX(인턴근무계획!$M$3:$R$202,$A88,$I$3)&amp;"")-1))))</f>
        <v/>
      </c>
      <c r="J88" s="23">
        <f>IF(OR($C88="",$I$3=""),"",IF(INDEX(인턴근무계획!$M$3:$R$202,$A88,$I$3)&amp;""="","",IF(LEFT(INDEX(인턴근무계획!$M$3:$R$202,$A88,$I$3)&amp;"",1)="⚠","",MID(INDEX(인턴근무계획!$M$3:$R$202,$A88,$I$3)&amp;"",FIND(" ",INDEX(인턴근무계획!$M$3:$R$202,$A88,$I$3)&amp;"")+1,60))))</f>
        <v/>
      </c>
      <c r="K88" s="23">
        <f>IF($C88="","",INDEX(인턴근무계획!$M$3:$M$202,$A88)&amp;"")</f>
        <v/>
      </c>
      <c r="L88" s="23">
        <f>IF($C88="","",INDEX(인턴근무계획!$N$3:$N$202,$A88)&amp;"")</f>
        <v/>
      </c>
      <c r="M88" s="23">
        <f>IF($C88="","",INDEX(인턴근무계획!$O$3:$O$202,$A88)&amp;"")</f>
        <v/>
      </c>
      <c r="N88" s="23">
        <f>IF($C88="","",INDEX(인턴근무계획!$P$3:$P$202,$A88)&amp;"")</f>
        <v/>
      </c>
      <c r="O88" s="23">
        <f>IF($C88="","",INDEX(인턴근무계획!$Q$3:$Q$202,$A88)&amp;"")</f>
        <v/>
      </c>
      <c r="P88" s="23">
        <f>IF($C88="","",INDEX(인턴근무계획!$R$3:$R$202,$A88)&amp;"")</f>
        <v/>
      </c>
      <c r="Q88" s="23">
        <f>IF($C88="","",INDEX(인턴근무계획!$T$3:$T$202,$A88))</f>
        <v/>
      </c>
    </row>
    <row r="89">
      <c r="A89" s="26" t="n">
        <v>84</v>
      </c>
      <c r="B89" s="23">
        <f>IF($C89="","",INDEX(인턴근무계획!$B$3:$B$202,$A89))</f>
        <v/>
      </c>
      <c r="C89" s="23">
        <f>IFERROR(TRIM(INDEX(인턴근무계획!$C$3:$C$202,$A89)&amp;""),"")</f>
        <v/>
      </c>
      <c r="D89" s="23">
        <f>IF($C89="","",INDEX(인턴근무계획!$D$3:$D$202,$A89))</f>
        <v/>
      </c>
      <c r="E89" s="23">
        <f>IF($C89="","",IF(IFERROR(MATCH($D89,기본자료!$B$2:$B$501,0),IFERROR(MATCH($D89&amp;"",기본자료!$B$2:$B$501,0),IFERROR(MATCH(VALUE($D89),기본자료!$B$2:$B$501,0),0)))&gt;0,"확인","미등록"))</f>
        <v/>
      </c>
      <c r="F89" s="27">
        <f>IF($C89="","",INDEX(인턴근무계획!$S$3:$S$202,$A89))</f>
        <v/>
      </c>
      <c r="G89" s="23">
        <f>IF(OR($C89="",$G$3=""),"",IF(INDEX(인턴근무계획!$M$3:$R$202,$A89,$G$3)&amp;""="","",IF(LEFT(INDEX(인턴근무계획!$M$3:$R$202,$A89,$G$3)&amp;"",1)="⚠",INDEX(인턴근무계획!$M$3:$R$202,$A89,$G$3)&amp;"",LEFT(INDEX(인턴근무계획!$M$3:$R$202,$A89,$G$3)&amp;"",FIND(" ",INDEX(인턴근무계획!$M$3:$R$202,$A89,$G$3)&amp;"")-1))))</f>
        <v/>
      </c>
      <c r="H89" s="23">
        <f>IF(OR($C89="",$G$3=""),"",IF(INDEX(인턴근무계획!$M$3:$R$202,$A89,$G$3)&amp;""="","",IF(LEFT(INDEX(인턴근무계획!$M$3:$R$202,$A89,$G$3)&amp;"",1)="⚠","",MID(INDEX(인턴근무계획!$M$3:$R$202,$A89,$G$3)&amp;"",FIND(" ",INDEX(인턴근무계획!$M$3:$R$202,$A89,$G$3)&amp;"")+1,60))))</f>
        <v/>
      </c>
      <c r="I89" s="23">
        <f>IF(OR($C89="",$I$3=""),"",IF(INDEX(인턴근무계획!$M$3:$R$202,$A89,$I$3)&amp;""="","",IF(LEFT(INDEX(인턴근무계획!$M$3:$R$202,$A89,$I$3)&amp;"",1)="⚠",INDEX(인턴근무계획!$M$3:$R$202,$A89,$I$3)&amp;"",LEFT(INDEX(인턴근무계획!$M$3:$R$202,$A89,$I$3)&amp;"",FIND(" ",INDEX(인턴근무계획!$M$3:$R$202,$A89,$I$3)&amp;"")-1))))</f>
        <v/>
      </c>
      <c r="J89" s="23">
        <f>IF(OR($C89="",$I$3=""),"",IF(INDEX(인턴근무계획!$M$3:$R$202,$A89,$I$3)&amp;""="","",IF(LEFT(INDEX(인턴근무계획!$M$3:$R$202,$A89,$I$3)&amp;"",1)="⚠","",MID(INDEX(인턴근무계획!$M$3:$R$202,$A89,$I$3)&amp;"",FIND(" ",INDEX(인턴근무계획!$M$3:$R$202,$A89,$I$3)&amp;"")+1,60))))</f>
        <v/>
      </c>
      <c r="K89" s="23">
        <f>IF($C89="","",INDEX(인턴근무계획!$M$3:$M$202,$A89)&amp;"")</f>
        <v/>
      </c>
      <c r="L89" s="23">
        <f>IF($C89="","",INDEX(인턴근무계획!$N$3:$N$202,$A89)&amp;"")</f>
        <v/>
      </c>
      <c r="M89" s="23">
        <f>IF($C89="","",INDEX(인턴근무계획!$O$3:$O$202,$A89)&amp;"")</f>
        <v/>
      </c>
      <c r="N89" s="23">
        <f>IF($C89="","",INDEX(인턴근무계획!$P$3:$P$202,$A89)&amp;"")</f>
        <v/>
      </c>
      <c r="O89" s="23">
        <f>IF($C89="","",INDEX(인턴근무계획!$Q$3:$Q$202,$A89)&amp;"")</f>
        <v/>
      </c>
      <c r="P89" s="23">
        <f>IF($C89="","",INDEX(인턴근무계획!$R$3:$R$202,$A89)&amp;"")</f>
        <v/>
      </c>
      <c r="Q89" s="23">
        <f>IF($C89="","",INDEX(인턴근무계획!$T$3:$T$202,$A89))</f>
        <v/>
      </c>
    </row>
    <row r="90">
      <c r="A90" s="26" t="n">
        <v>85</v>
      </c>
      <c r="B90" s="23">
        <f>IF($C90="","",INDEX(인턴근무계획!$B$3:$B$202,$A90))</f>
        <v/>
      </c>
      <c r="C90" s="23">
        <f>IFERROR(TRIM(INDEX(인턴근무계획!$C$3:$C$202,$A90)&amp;""),"")</f>
        <v/>
      </c>
      <c r="D90" s="23">
        <f>IF($C90="","",INDEX(인턴근무계획!$D$3:$D$202,$A90))</f>
        <v/>
      </c>
      <c r="E90" s="23">
        <f>IF($C90="","",IF(IFERROR(MATCH($D90,기본자료!$B$2:$B$501,0),IFERROR(MATCH($D90&amp;"",기본자료!$B$2:$B$501,0),IFERROR(MATCH(VALUE($D90),기본자료!$B$2:$B$501,0),0)))&gt;0,"확인","미등록"))</f>
        <v/>
      </c>
      <c r="F90" s="27">
        <f>IF($C90="","",INDEX(인턴근무계획!$S$3:$S$202,$A90))</f>
        <v/>
      </c>
      <c r="G90" s="23">
        <f>IF(OR($C90="",$G$3=""),"",IF(INDEX(인턴근무계획!$M$3:$R$202,$A90,$G$3)&amp;""="","",IF(LEFT(INDEX(인턴근무계획!$M$3:$R$202,$A90,$G$3)&amp;"",1)="⚠",INDEX(인턴근무계획!$M$3:$R$202,$A90,$G$3)&amp;"",LEFT(INDEX(인턴근무계획!$M$3:$R$202,$A90,$G$3)&amp;"",FIND(" ",INDEX(인턴근무계획!$M$3:$R$202,$A90,$G$3)&amp;"")-1))))</f>
        <v/>
      </c>
      <c r="H90" s="23">
        <f>IF(OR($C90="",$G$3=""),"",IF(INDEX(인턴근무계획!$M$3:$R$202,$A90,$G$3)&amp;""="","",IF(LEFT(INDEX(인턴근무계획!$M$3:$R$202,$A90,$G$3)&amp;"",1)="⚠","",MID(INDEX(인턴근무계획!$M$3:$R$202,$A90,$G$3)&amp;"",FIND(" ",INDEX(인턴근무계획!$M$3:$R$202,$A90,$G$3)&amp;"")+1,60))))</f>
        <v/>
      </c>
      <c r="I90" s="23">
        <f>IF(OR($C90="",$I$3=""),"",IF(INDEX(인턴근무계획!$M$3:$R$202,$A90,$I$3)&amp;""="","",IF(LEFT(INDEX(인턴근무계획!$M$3:$R$202,$A90,$I$3)&amp;"",1)="⚠",INDEX(인턴근무계획!$M$3:$R$202,$A90,$I$3)&amp;"",LEFT(INDEX(인턴근무계획!$M$3:$R$202,$A90,$I$3)&amp;"",FIND(" ",INDEX(인턴근무계획!$M$3:$R$202,$A90,$I$3)&amp;"")-1))))</f>
        <v/>
      </c>
      <c r="J90" s="23">
        <f>IF(OR($C90="",$I$3=""),"",IF(INDEX(인턴근무계획!$M$3:$R$202,$A90,$I$3)&amp;""="","",IF(LEFT(INDEX(인턴근무계획!$M$3:$R$202,$A90,$I$3)&amp;"",1)="⚠","",MID(INDEX(인턴근무계획!$M$3:$R$202,$A90,$I$3)&amp;"",FIND(" ",INDEX(인턴근무계획!$M$3:$R$202,$A90,$I$3)&amp;"")+1,60))))</f>
        <v/>
      </c>
      <c r="K90" s="23">
        <f>IF($C90="","",INDEX(인턴근무계획!$M$3:$M$202,$A90)&amp;"")</f>
        <v/>
      </c>
      <c r="L90" s="23">
        <f>IF($C90="","",INDEX(인턴근무계획!$N$3:$N$202,$A90)&amp;"")</f>
        <v/>
      </c>
      <c r="M90" s="23">
        <f>IF($C90="","",INDEX(인턴근무계획!$O$3:$O$202,$A90)&amp;"")</f>
        <v/>
      </c>
      <c r="N90" s="23">
        <f>IF($C90="","",INDEX(인턴근무계획!$P$3:$P$202,$A90)&amp;"")</f>
        <v/>
      </c>
      <c r="O90" s="23">
        <f>IF($C90="","",INDEX(인턴근무계획!$Q$3:$Q$202,$A90)&amp;"")</f>
        <v/>
      </c>
      <c r="P90" s="23">
        <f>IF($C90="","",INDEX(인턴근무계획!$R$3:$R$202,$A90)&amp;"")</f>
        <v/>
      </c>
      <c r="Q90" s="23">
        <f>IF($C90="","",INDEX(인턴근무계획!$T$3:$T$202,$A90))</f>
        <v/>
      </c>
    </row>
    <row r="91">
      <c r="A91" s="26" t="n">
        <v>86</v>
      </c>
      <c r="B91" s="23">
        <f>IF($C91="","",INDEX(인턴근무계획!$B$3:$B$202,$A91))</f>
        <v/>
      </c>
      <c r="C91" s="23">
        <f>IFERROR(TRIM(INDEX(인턴근무계획!$C$3:$C$202,$A91)&amp;""),"")</f>
        <v/>
      </c>
      <c r="D91" s="23">
        <f>IF($C91="","",INDEX(인턴근무계획!$D$3:$D$202,$A91))</f>
        <v/>
      </c>
      <c r="E91" s="23">
        <f>IF($C91="","",IF(IFERROR(MATCH($D91,기본자료!$B$2:$B$501,0),IFERROR(MATCH($D91&amp;"",기본자료!$B$2:$B$501,0),IFERROR(MATCH(VALUE($D91),기본자료!$B$2:$B$501,0),0)))&gt;0,"확인","미등록"))</f>
        <v/>
      </c>
      <c r="F91" s="27">
        <f>IF($C91="","",INDEX(인턴근무계획!$S$3:$S$202,$A91))</f>
        <v/>
      </c>
      <c r="G91" s="23">
        <f>IF(OR($C91="",$G$3=""),"",IF(INDEX(인턴근무계획!$M$3:$R$202,$A91,$G$3)&amp;""="","",IF(LEFT(INDEX(인턴근무계획!$M$3:$R$202,$A91,$G$3)&amp;"",1)="⚠",INDEX(인턴근무계획!$M$3:$R$202,$A91,$G$3)&amp;"",LEFT(INDEX(인턴근무계획!$M$3:$R$202,$A91,$G$3)&amp;"",FIND(" ",INDEX(인턴근무계획!$M$3:$R$202,$A91,$G$3)&amp;"")-1))))</f>
        <v/>
      </c>
      <c r="H91" s="23">
        <f>IF(OR($C91="",$G$3=""),"",IF(INDEX(인턴근무계획!$M$3:$R$202,$A91,$G$3)&amp;""="","",IF(LEFT(INDEX(인턴근무계획!$M$3:$R$202,$A91,$G$3)&amp;"",1)="⚠","",MID(INDEX(인턴근무계획!$M$3:$R$202,$A91,$G$3)&amp;"",FIND(" ",INDEX(인턴근무계획!$M$3:$R$202,$A91,$G$3)&amp;"")+1,60))))</f>
        <v/>
      </c>
      <c r="I91" s="23">
        <f>IF(OR($C91="",$I$3=""),"",IF(INDEX(인턴근무계획!$M$3:$R$202,$A91,$I$3)&amp;""="","",IF(LEFT(INDEX(인턴근무계획!$M$3:$R$202,$A91,$I$3)&amp;"",1)="⚠",INDEX(인턴근무계획!$M$3:$R$202,$A91,$I$3)&amp;"",LEFT(INDEX(인턴근무계획!$M$3:$R$202,$A91,$I$3)&amp;"",FIND(" ",INDEX(인턴근무계획!$M$3:$R$202,$A91,$I$3)&amp;"")-1))))</f>
        <v/>
      </c>
      <c r="J91" s="23">
        <f>IF(OR($C91="",$I$3=""),"",IF(INDEX(인턴근무계획!$M$3:$R$202,$A91,$I$3)&amp;""="","",IF(LEFT(INDEX(인턴근무계획!$M$3:$R$202,$A91,$I$3)&amp;"",1)="⚠","",MID(INDEX(인턴근무계획!$M$3:$R$202,$A91,$I$3)&amp;"",FIND(" ",INDEX(인턴근무계획!$M$3:$R$202,$A91,$I$3)&amp;"")+1,60))))</f>
        <v/>
      </c>
      <c r="K91" s="23">
        <f>IF($C91="","",INDEX(인턴근무계획!$M$3:$M$202,$A91)&amp;"")</f>
        <v/>
      </c>
      <c r="L91" s="23">
        <f>IF($C91="","",INDEX(인턴근무계획!$N$3:$N$202,$A91)&amp;"")</f>
        <v/>
      </c>
      <c r="M91" s="23">
        <f>IF($C91="","",INDEX(인턴근무계획!$O$3:$O$202,$A91)&amp;"")</f>
        <v/>
      </c>
      <c r="N91" s="23">
        <f>IF($C91="","",INDEX(인턴근무계획!$P$3:$P$202,$A91)&amp;"")</f>
        <v/>
      </c>
      <c r="O91" s="23">
        <f>IF($C91="","",INDEX(인턴근무계획!$Q$3:$Q$202,$A91)&amp;"")</f>
        <v/>
      </c>
      <c r="P91" s="23">
        <f>IF($C91="","",INDEX(인턴근무계획!$R$3:$R$202,$A91)&amp;"")</f>
        <v/>
      </c>
      <c r="Q91" s="23">
        <f>IF($C91="","",INDEX(인턴근무계획!$T$3:$T$202,$A91))</f>
        <v/>
      </c>
    </row>
    <row r="92">
      <c r="A92" s="26" t="n">
        <v>87</v>
      </c>
      <c r="B92" s="23">
        <f>IF($C92="","",INDEX(인턴근무계획!$B$3:$B$202,$A92))</f>
        <v/>
      </c>
      <c r="C92" s="23">
        <f>IFERROR(TRIM(INDEX(인턴근무계획!$C$3:$C$202,$A92)&amp;""),"")</f>
        <v/>
      </c>
      <c r="D92" s="23">
        <f>IF($C92="","",INDEX(인턴근무계획!$D$3:$D$202,$A92))</f>
        <v/>
      </c>
      <c r="E92" s="23">
        <f>IF($C92="","",IF(IFERROR(MATCH($D92,기본자료!$B$2:$B$501,0),IFERROR(MATCH($D92&amp;"",기본자료!$B$2:$B$501,0),IFERROR(MATCH(VALUE($D92),기본자료!$B$2:$B$501,0),0)))&gt;0,"확인","미등록"))</f>
        <v/>
      </c>
      <c r="F92" s="27">
        <f>IF($C92="","",INDEX(인턴근무계획!$S$3:$S$202,$A92))</f>
        <v/>
      </c>
      <c r="G92" s="23">
        <f>IF(OR($C92="",$G$3=""),"",IF(INDEX(인턴근무계획!$M$3:$R$202,$A92,$G$3)&amp;""="","",IF(LEFT(INDEX(인턴근무계획!$M$3:$R$202,$A92,$G$3)&amp;"",1)="⚠",INDEX(인턴근무계획!$M$3:$R$202,$A92,$G$3)&amp;"",LEFT(INDEX(인턴근무계획!$M$3:$R$202,$A92,$G$3)&amp;"",FIND(" ",INDEX(인턴근무계획!$M$3:$R$202,$A92,$G$3)&amp;"")-1))))</f>
        <v/>
      </c>
      <c r="H92" s="23">
        <f>IF(OR($C92="",$G$3=""),"",IF(INDEX(인턴근무계획!$M$3:$R$202,$A92,$G$3)&amp;""="","",IF(LEFT(INDEX(인턴근무계획!$M$3:$R$202,$A92,$G$3)&amp;"",1)="⚠","",MID(INDEX(인턴근무계획!$M$3:$R$202,$A92,$G$3)&amp;"",FIND(" ",INDEX(인턴근무계획!$M$3:$R$202,$A92,$G$3)&amp;"")+1,60))))</f>
        <v/>
      </c>
      <c r="I92" s="23">
        <f>IF(OR($C92="",$I$3=""),"",IF(INDEX(인턴근무계획!$M$3:$R$202,$A92,$I$3)&amp;""="","",IF(LEFT(INDEX(인턴근무계획!$M$3:$R$202,$A92,$I$3)&amp;"",1)="⚠",INDEX(인턴근무계획!$M$3:$R$202,$A92,$I$3)&amp;"",LEFT(INDEX(인턴근무계획!$M$3:$R$202,$A92,$I$3)&amp;"",FIND(" ",INDEX(인턴근무계획!$M$3:$R$202,$A92,$I$3)&amp;"")-1))))</f>
        <v/>
      </c>
      <c r="J92" s="23">
        <f>IF(OR($C92="",$I$3=""),"",IF(INDEX(인턴근무계획!$M$3:$R$202,$A92,$I$3)&amp;""="","",IF(LEFT(INDEX(인턴근무계획!$M$3:$R$202,$A92,$I$3)&amp;"",1)="⚠","",MID(INDEX(인턴근무계획!$M$3:$R$202,$A92,$I$3)&amp;"",FIND(" ",INDEX(인턴근무계획!$M$3:$R$202,$A92,$I$3)&amp;"")+1,60))))</f>
        <v/>
      </c>
      <c r="K92" s="23">
        <f>IF($C92="","",INDEX(인턴근무계획!$M$3:$M$202,$A92)&amp;"")</f>
        <v/>
      </c>
      <c r="L92" s="23">
        <f>IF($C92="","",INDEX(인턴근무계획!$N$3:$N$202,$A92)&amp;"")</f>
        <v/>
      </c>
      <c r="M92" s="23">
        <f>IF($C92="","",INDEX(인턴근무계획!$O$3:$O$202,$A92)&amp;"")</f>
        <v/>
      </c>
      <c r="N92" s="23">
        <f>IF($C92="","",INDEX(인턴근무계획!$P$3:$P$202,$A92)&amp;"")</f>
        <v/>
      </c>
      <c r="O92" s="23">
        <f>IF($C92="","",INDEX(인턴근무계획!$Q$3:$Q$202,$A92)&amp;"")</f>
        <v/>
      </c>
      <c r="P92" s="23">
        <f>IF($C92="","",INDEX(인턴근무계획!$R$3:$R$202,$A92)&amp;"")</f>
        <v/>
      </c>
      <c r="Q92" s="23">
        <f>IF($C92="","",INDEX(인턴근무계획!$T$3:$T$202,$A92))</f>
        <v/>
      </c>
    </row>
    <row r="93">
      <c r="A93" s="26" t="n">
        <v>88</v>
      </c>
      <c r="B93" s="23">
        <f>IF($C93="","",INDEX(인턴근무계획!$B$3:$B$202,$A93))</f>
        <v/>
      </c>
      <c r="C93" s="23">
        <f>IFERROR(TRIM(INDEX(인턴근무계획!$C$3:$C$202,$A93)&amp;""),"")</f>
        <v/>
      </c>
      <c r="D93" s="23">
        <f>IF($C93="","",INDEX(인턴근무계획!$D$3:$D$202,$A93))</f>
        <v/>
      </c>
      <c r="E93" s="23">
        <f>IF($C93="","",IF(IFERROR(MATCH($D93,기본자료!$B$2:$B$501,0),IFERROR(MATCH($D93&amp;"",기본자료!$B$2:$B$501,0),IFERROR(MATCH(VALUE($D93),기본자료!$B$2:$B$501,0),0)))&gt;0,"확인","미등록"))</f>
        <v/>
      </c>
      <c r="F93" s="27">
        <f>IF($C93="","",INDEX(인턴근무계획!$S$3:$S$202,$A93))</f>
        <v/>
      </c>
      <c r="G93" s="23">
        <f>IF(OR($C93="",$G$3=""),"",IF(INDEX(인턴근무계획!$M$3:$R$202,$A93,$G$3)&amp;""="","",IF(LEFT(INDEX(인턴근무계획!$M$3:$R$202,$A93,$G$3)&amp;"",1)="⚠",INDEX(인턴근무계획!$M$3:$R$202,$A93,$G$3)&amp;"",LEFT(INDEX(인턴근무계획!$M$3:$R$202,$A93,$G$3)&amp;"",FIND(" ",INDEX(인턴근무계획!$M$3:$R$202,$A93,$G$3)&amp;"")-1))))</f>
        <v/>
      </c>
      <c r="H93" s="23">
        <f>IF(OR($C93="",$G$3=""),"",IF(INDEX(인턴근무계획!$M$3:$R$202,$A93,$G$3)&amp;""="","",IF(LEFT(INDEX(인턴근무계획!$M$3:$R$202,$A93,$G$3)&amp;"",1)="⚠","",MID(INDEX(인턴근무계획!$M$3:$R$202,$A93,$G$3)&amp;"",FIND(" ",INDEX(인턴근무계획!$M$3:$R$202,$A93,$G$3)&amp;"")+1,60))))</f>
        <v/>
      </c>
      <c r="I93" s="23">
        <f>IF(OR($C93="",$I$3=""),"",IF(INDEX(인턴근무계획!$M$3:$R$202,$A93,$I$3)&amp;""="","",IF(LEFT(INDEX(인턴근무계획!$M$3:$R$202,$A93,$I$3)&amp;"",1)="⚠",INDEX(인턴근무계획!$M$3:$R$202,$A93,$I$3)&amp;"",LEFT(INDEX(인턴근무계획!$M$3:$R$202,$A93,$I$3)&amp;"",FIND(" ",INDEX(인턴근무계획!$M$3:$R$202,$A93,$I$3)&amp;"")-1))))</f>
        <v/>
      </c>
      <c r="J93" s="23">
        <f>IF(OR($C93="",$I$3=""),"",IF(INDEX(인턴근무계획!$M$3:$R$202,$A93,$I$3)&amp;""="","",IF(LEFT(INDEX(인턴근무계획!$M$3:$R$202,$A93,$I$3)&amp;"",1)="⚠","",MID(INDEX(인턴근무계획!$M$3:$R$202,$A93,$I$3)&amp;"",FIND(" ",INDEX(인턴근무계획!$M$3:$R$202,$A93,$I$3)&amp;"")+1,60))))</f>
        <v/>
      </c>
      <c r="K93" s="23">
        <f>IF($C93="","",INDEX(인턴근무계획!$M$3:$M$202,$A93)&amp;"")</f>
        <v/>
      </c>
      <c r="L93" s="23">
        <f>IF($C93="","",INDEX(인턴근무계획!$N$3:$N$202,$A93)&amp;"")</f>
        <v/>
      </c>
      <c r="M93" s="23">
        <f>IF($C93="","",INDEX(인턴근무계획!$O$3:$O$202,$A93)&amp;"")</f>
        <v/>
      </c>
      <c r="N93" s="23">
        <f>IF($C93="","",INDEX(인턴근무계획!$P$3:$P$202,$A93)&amp;"")</f>
        <v/>
      </c>
      <c r="O93" s="23">
        <f>IF($C93="","",INDEX(인턴근무계획!$Q$3:$Q$202,$A93)&amp;"")</f>
        <v/>
      </c>
      <c r="P93" s="23">
        <f>IF($C93="","",INDEX(인턴근무계획!$R$3:$R$202,$A93)&amp;"")</f>
        <v/>
      </c>
      <c r="Q93" s="23">
        <f>IF($C93="","",INDEX(인턴근무계획!$T$3:$T$202,$A93))</f>
        <v/>
      </c>
    </row>
    <row r="94">
      <c r="A94" s="26" t="n">
        <v>89</v>
      </c>
      <c r="B94" s="23">
        <f>IF($C94="","",INDEX(인턴근무계획!$B$3:$B$202,$A94))</f>
        <v/>
      </c>
      <c r="C94" s="23">
        <f>IFERROR(TRIM(INDEX(인턴근무계획!$C$3:$C$202,$A94)&amp;""),"")</f>
        <v/>
      </c>
      <c r="D94" s="23">
        <f>IF($C94="","",INDEX(인턴근무계획!$D$3:$D$202,$A94))</f>
        <v/>
      </c>
      <c r="E94" s="23">
        <f>IF($C94="","",IF(IFERROR(MATCH($D94,기본자료!$B$2:$B$501,0),IFERROR(MATCH($D94&amp;"",기본자료!$B$2:$B$501,0),IFERROR(MATCH(VALUE($D94),기본자료!$B$2:$B$501,0),0)))&gt;0,"확인","미등록"))</f>
        <v/>
      </c>
      <c r="F94" s="27">
        <f>IF($C94="","",INDEX(인턴근무계획!$S$3:$S$202,$A94))</f>
        <v/>
      </c>
      <c r="G94" s="23">
        <f>IF(OR($C94="",$G$3=""),"",IF(INDEX(인턴근무계획!$M$3:$R$202,$A94,$G$3)&amp;""="","",IF(LEFT(INDEX(인턴근무계획!$M$3:$R$202,$A94,$G$3)&amp;"",1)="⚠",INDEX(인턴근무계획!$M$3:$R$202,$A94,$G$3)&amp;"",LEFT(INDEX(인턴근무계획!$M$3:$R$202,$A94,$G$3)&amp;"",FIND(" ",INDEX(인턴근무계획!$M$3:$R$202,$A94,$G$3)&amp;"")-1))))</f>
        <v/>
      </c>
      <c r="H94" s="23">
        <f>IF(OR($C94="",$G$3=""),"",IF(INDEX(인턴근무계획!$M$3:$R$202,$A94,$G$3)&amp;""="","",IF(LEFT(INDEX(인턴근무계획!$M$3:$R$202,$A94,$G$3)&amp;"",1)="⚠","",MID(INDEX(인턴근무계획!$M$3:$R$202,$A94,$G$3)&amp;"",FIND(" ",INDEX(인턴근무계획!$M$3:$R$202,$A94,$G$3)&amp;"")+1,60))))</f>
        <v/>
      </c>
      <c r="I94" s="23">
        <f>IF(OR($C94="",$I$3=""),"",IF(INDEX(인턴근무계획!$M$3:$R$202,$A94,$I$3)&amp;""="","",IF(LEFT(INDEX(인턴근무계획!$M$3:$R$202,$A94,$I$3)&amp;"",1)="⚠",INDEX(인턴근무계획!$M$3:$R$202,$A94,$I$3)&amp;"",LEFT(INDEX(인턴근무계획!$M$3:$R$202,$A94,$I$3)&amp;"",FIND(" ",INDEX(인턴근무계획!$M$3:$R$202,$A94,$I$3)&amp;"")-1))))</f>
        <v/>
      </c>
      <c r="J94" s="23">
        <f>IF(OR($C94="",$I$3=""),"",IF(INDEX(인턴근무계획!$M$3:$R$202,$A94,$I$3)&amp;""="","",IF(LEFT(INDEX(인턴근무계획!$M$3:$R$202,$A94,$I$3)&amp;"",1)="⚠","",MID(INDEX(인턴근무계획!$M$3:$R$202,$A94,$I$3)&amp;"",FIND(" ",INDEX(인턴근무계획!$M$3:$R$202,$A94,$I$3)&amp;"")+1,60))))</f>
        <v/>
      </c>
      <c r="K94" s="23">
        <f>IF($C94="","",INDEX(인턴근무계획!$M$3:$M$202,$A94)&amp;"")</f>
        <v/>
      </c>
      <c r="L94" s="23">
        <f>IF($C94="","",INDEX(인턴근무계획!$N$3:$N$202,$A94)&amp;"")</f>
        <v/>
      </c>
      <c r="M94" s="23">
        <f>IF($C94="","",INDEX(인턴근무계획!$O$3:$O$202,$A94)&amp;"")</f>
        <v/>
      </c>
      <c r="N94" s="23">
        <f>IF($C94="","",INDEX(인턴근무계획!$P$3:$P$202,$A94)&amp;"")</f>
        <v/>
      </c>
      <c r="O94" s="23">
        <f>IF($C94="","",INDEX(인턴근무계획!$Q$3:$Q$202,$A94)&amp;"")</f>
        <v/>
      </c>
      <c r="P94" s="23">
        <f>IF($C94="","",INDEX(인턴근무계획!$R$3:$R$202,$A94)&amp;"")</f>
        <v/>
      </c>
      <c r="Q94" s="23">
        <f>IF($C94="","",INDEX(인턴근무계획!$T$3:$T$202,$A94))</f>
        <v/>
      </c>
    </row>
    <row r="95">
      <c r="A95" s="26" t="n">
        <v>90</v>
      </c>
      <c r="B95" s="23">
        <f>IF($C95="","",INDEX(인턴근무계획!$B$3:$B$202,$A95))</f>
        <v/>
      </c>
      <c r="C95" s="23">
        <f>IFERROR(TRIM(INDEX(인턴근무계획!$C$3:$C$202,$A95)&amp;""),"")</f>
        <v/>
      </c>
      <c r="D95" s="23">
        <f>IF($C95="","",INDEX(인턴근무계획!$D$3:$D$202,$A95))</f>
        <v/>
      </c>
      <c r="E95" s="23">
        <f>IF($C95="","",IF(IFERROR(MATCH($D95,기본자료!$B$2:$B$501,0),IFERROR(MATCH($D95&amp;"",기본자료!$B$2:$B$501,0),IFERROR(MATCH(VALUE($D95),기본자료!$B$2:$B$501,0),0)))&gt;0,"확인","미등록"))</f>
        <v/>
      </c>
      <c r="F95" s="27">
        <f>IF($C95="","",INDEX(인턴근무계획!$S$3:$S$202,$A95))</f>
        <v/>
      </c>
      <c r="G95" s="23">
        <f>IF(OR($C95="",$G$3=""),"",IF(INDEX(인턴근무계획!$M$3:$R$202,$A95,$G$3)&amp;""="","",IF(LEFT(INDEX(인턴근무계획!$M$3:$R$202,$A95,$G$3)&amp;"",1)="⚠",INDEX(인턴근무계획!$M$3:$R$202,$A95,$G$3)&amp;"",LEFT(INDEX(인턴근무계획!$M$3:$R$202,$A95,$G$3)&amp;"",FIND(" ",INDEX(인턴근무계획!$M$3:$R$202,$A95,$G$3)&amp;"")-1))))</f>
        <v/>
      </c>
      <c r="H95" s="23">
        <f>IF(OR($C95="",$G$3=""),"",IF(INDEX(인턴근무계획!$M$3:$R$202,$A95,$G$3)&amp;""="","",IF(LEFT(INDEX(인턴근무계획!$M$3:$R$202,$A95,$G$3)&amp;"",1)="⚠","",MID(INDEX(인턴근무계획!$M$3:$R$202,$A95,$G$3)&amp;"",FIND(" ",INDEX(인턴근무계획!$M$3:$R$202,$A95,$G$3)&amp;"")+1,60))))</f>
        <v/>
      </c>
      <c r="I95" s="23">
        <f>IF(OR($C95="",$I$3=""),"",IF(INDEX(인턴근무계획!$M$3:$R$202,$A95,$I$3)&amp;""="","",IF(LEFT(INDEX(인턴근무계획!$M$3:$R$202,$A95,$I$3)&amp;"",1)="⚠",INDEX(인턴근무계획!$M$3:$R$202,$A95,$I$3)&amp;"",LEFT(INDEX(인턴근무계획!$M$3:$R$202,$A95,$I$3)&amp;"",FIND(" ",INDEX(인턴근무계획!$M$3:$R$202,$A95,$I$3)&amp;"")-1))))</f>
        <v/>
      </c>
      <c r="J95" s="23">
        <f>IF(OR($C95="",$I$3=""),"",IF(INDEX(인턴근무계획!$M$3:$R$202,$A95,$I$3)&amp;""="","",IF(LEFT(INDEX(인턴근무계획!$M$3:$R$202,$A95,$I$3)&amp;"",1)="⚠","",MID(INDEX(인턴근무계획!$M$3:$R$202,$A95,$I$3)&amp;"",FIND(" ",INDEX(인턴근무계획!$M$3:$R$202,$A95,$I$3)&amp;"")+1,60))))</f>
        <v/>
      </c>
      <c r="K95" s="23">
        <f>IF($C95="","",INDEX(인턴근무계획!$M$3:$M$202,$A95)&amp;"")</f>
        <v/>
      </c>
      <c r="L95" s="23">
        <f>IF($C95="","",INDEX(인턴근무계획!$N$3:$N$202,$A95)&amp;"")</f>
        <v/>
      </c>
      <c r="M95" s="23">
        <f>IF($C95="","",INDEX(인턴근무계획!$O$3:$O$202,$A95)&amp;"")</f>
        <v/>
      </c>
      <c r="N95" s="23">
        <f>IF($C95="","",INDEX(인턴근무계획!$P$3:$P$202,$A95)&amp;"")</f>
        <v/>
      </c>
      <c r="O95" s="23">
        <f>IF($C95="","",INDEX(인턴근무계획!$Q$3:$Q$202,$A95)&amp;"")</f>
        <v/>
      </c>
      <c r="P95" s="23">
        <f>IF($C95="","",INDEX(인턴근무계획!$R$3:$R$202,$A95)&amp;"")</f>
        <v/>
      </c>
      <c r="Q95" s="23">
        <f>IF($C95="","",INDEX(인턴근무계획!$T$3:$T$202,$A95))</f>
        <v/>
      </c>
    </row>
    <row r="96">
      <c r="A96" s="26" t="n">
        <v>91</v>
      </c>
      <c r="B96" s="23">
        <f>IF($C96="","",INDEX(인턴근무계획!$B$3:$B$202,$A96))</f>
        <v/>
      </c>
      <c r="C96" s="23">
        <f>IFERROR(TRIM(INDEX(인턴근무계획!$C$3:$C$202,$A96)&amp;""),"")</f>
        <v/>
      </c>
      <c r="D96" s="23">
        <f>IF($C96="","",INDEX(인턴근무계획!$D$3:$D$202,$A96))</f>
        <v/>
      </c>
      <c r="E96" s="23">
        <f>IF($C96="","",IF(IFERROR(MATCH($D96,기본자료!$B$2:$B$501,0),IFERROR(MATCH($D96&amp;"",기본자료!$B$2:$B$501,0),IFERROR(MATCH(VALUE($D96),기본자료!$B$2:$B$501,0),0)))&gt;0,"확인","미등록"))</f>
        <v/>
      </c>
      <c r="F96" s="27">
        <f>IF($C96="","",INDEX(인턴근무계획!$S$3:$S$202,$A96))</f>
        <v/>
      </c>
      <c r="G96" s="23">
        <f>IF(OR($C96="",$G$3=""),"",IF(INDEX(인턴근무계획!$M$3:$R$202,$A96,$G$3)&amp;""="","",IF(LEFT(INDEX(인턴근무계획!$M$3:$R$202,$A96,$G$3)&amp;"",1)="⚠",INDEX(인턴근무계획!$M$3:$R$202,$A96,$G$3)&amp;"",LEFT(INDEX(인턴근무계획!$M$3:$R$202,$A96,$G$3)&amp;"",FIND(" ",INDEX(인턴근무계획!$M$3:$R$202,$A96,$G$3)&amp;"")-1))))</f>
        <v/>
      </c>
      <c r="H96" s="23">
        <f>IF(OR($C96="",$G$3=""),"",IF(INDEX(인턴근무계획!$M$3:$R$202,$A96,$G$3)&amp;""="","",IF(LEFT(INDEX(인턴근무계획!$M$3:$R$202,$A96,$G$3)&amp;"",1)="⚠","",MID(INDEX(인턴근무계획!$M$3:$R$202,$A96,$G$3)&amp;"",FIND(" ",INDEX(인턴근무계획!$M$3:$R$202,$A96,$G$3)&amp;"")+1,60))))</f>
        <v/>
      </c>
      <c r="I96" s="23">
        <f>IF(OR($C96="",$I$3=""),"",IF(INDEX(인턴근무계획!$M$3:$R$202,$A96,$I$3)&amp;""="","",IF(LEFT(INDEX(인턴근무계획!$M$3:$R$202,$A96,$I$3)&amp;"",1)="⚠",INDEX(인턴근무계획!$M$3:$R$202,$A96,$I$3)&amp;"",LEFT(INDEX(인턴근무계획!$M$3:$R$202,$A96,$I$3)&amp;"",FIND(" ",INDEX(인턴근무계획!$M$3:$R$202,$A96,$I$3)&amp;"")-1))))</f>
        <v/>
      </c>
      <c r="J96" s="23">
        <f>IF(OR($C96="",$I$3=""),"",IF(INDEX(인턴근무계획!$M$3:$R$202,$A96,$I$3)&amp;""="","",IF(LEFT(INDEX(인턴근무계획!$M$3:$R$202,$A96,$I$3)&amp;"",1)="⚠","",MID(INDEX(인턴근무계획!$M$3:$R$202,$A96,$I$3)&amp;"",FIND(" ",INDEX(인턴근무계획!$M$3:$R$202,$A96,$I$3)&amp;"")+1,60))))</f>
        <v/>
      </c>
      <c r="K96" s="23">
        <f>IF($C96="","",INDEX(인턴근무계획!$M$3:$M$202,$A96)&amp;"")</f>
        <v/>
      </c>
      <c r="L96" s="23">
        <f>IF($C96="","",INDEX(인턴근무계획!$N$3:$N$202,$A96)&amp;"")</f>
        <v/>
      </c>
      <c r="M96" s="23">
        <f>IF($C96="","",INDEX(인턴근무계획!$O$3:$O$202,$A96)&amp;"")</f>
        <v/>
      </c>
      <c r="N96" s="23">
        <f>IF($C96="","",INDEX(인턴근무계획!$P$3:$P$202,$A96)&amp;"")</f>
        <v/>
      </c>
      <c r="O96" s="23">
        <f>IF($C96="","",INDEX(인턴근무계획!$Q$3:$Q$202,$A96)&amp;"")</f>
        <v/>
      </c>
      <c r="P96" s="23">
        <f>IF($C96="","",INDEX(인턴근무계획!$R$3:$R$202,$A96)&amp;"")</f>
        <v/>
      </c>
      <c r="Q96" s="23">
        <f>IF($C96="","",INDEX(인턴근무계획!$T$3:$T$202,$A96))</f>
        <v/>
      </c>
    </row>
    <row r="97">
      <c r="A97" s="26" t="n">
        <v>92</v>
      </c>
      <c r="B97" s="23">
        <f>IF($C97="","",INDEX(인턴근무계획!$B$3:$B$202,$A97))</f>
        <v/>
      </c>
      <c r="C97" s="23">
        <f>IFERROR(TRIM(INDEX(인턴근무계획!$C$3:$C$202,$A97)&amp;""),"")</f>
        <v/>
      </c>
      <c r="D97" s="23">
        <f>IF($C97="","",INDEX(인턴근무계획!$D$3:$D$202,$A97))</f>
        <v/>
      </c>
      <c r="E97" s="23">
        <f>IF($C97="","",IF(IFERROR(MATCH($D97,기본자료!$B$2:$B$501,0),IFERROR(MATCH($D97&amp;"",기본자료!$B$2:$B$501,0),IFERROR(MATCH(VALUE($D97),기본자료!$B$2:$B$501,0),0)))&gt;0,"확인","미등록"))</f>
        <v/>
      </c>
      <c r="F97" s="27">
        <f>IF($C97="","",INDEX(인턴근무계획!$S$3:$S$202,$A97))</f>
        <v/>
      </c>
      <c r="G97" s="23">
        <f>IF(OR($C97="",$G$3=""),"",IF(INDEX(인턴근무계획!$M$3:$R$202,$A97,$G$3)&amp;""="","",IF(LEFT(INDEX(인턴근무계획!$M$3:$R$202,$A97,$G$3)&amp;"",1)="⚠",INDEX(인턴근무계획!$M$3:$R$202,$A97,$G$3)&amp;"",LEFT(INDEX(인턴근무계획!$M$3:$R$202,$A97,$G$3)&amp;"",FIND(" ",INDEX(인턴근무계획!$M$3:$R$202,$A97,$G$3)&amp;"")-1))))</f>
        <v/>
      </c>
      <c r="H97" s="23">
        <f>IF(OR($C97="",$G$3=""),"",IF(INDEX(인턴근무계획!$M$3:$R$202,$A97,$G$3)&amp;""="","",IF(LEFT(INDEX(인턴근무계획!$M$3:$R$202,$A97,$G$3)&amp;"",1)="⚠","",MID(INDEX(인턴근무계획!$M$3:$R$202,$A97,$G$3)&amp;"",FIND(" ",INDEX(인턴근무계획!$M$3:$R$202,$A97,$G$3)&amp;"")+1,60))))</f>
        <v/>
      </c>
      <c r="I97" s="23">
        <f>IF(OR($C97="",$I$3=""),"",IF(INDEX(인턴근무계획!$M$3:$R$202,$A97,$I$3)&amp;""="","",IF(LEFT(INDEX(인턴근무계획!$M$3:$R$202,$A97,$I$3)&amp;"",1)="⚠",INDEX(인턴근무계획!$M$3:$R$202,$A97,$I$3)&amp;"",LEFT(INDEX(인턴근무계획!$M$3:$R$202,$A97,$I$3)&amp;"",FIND(" ",INDEX(인턴근무계획!$M$3:$R$202,$A97,$I$3)&amp;"")-1))))</f>
        <v/>
      </c>
      <c r="J97" s="23">
        <f>IF(OR($C97="",$I$3=""),"",IF(INDEX(인턴근무계획!$M$3:$R$202,$A97,$I$3)&amp;""="","",IF(LEFT(INDEX(인턴근무계획!$M$3:$R$202,$A97,$I$3)&amp;"",1)="⚠","",MID(INDEX(인턴근무계획!$M$3:$R$202,$A97,$I$3)&amp;"",FIND(" ",INDEX(인턴근무계획!$M$3:$R$202,$A97,$I$3)&amp;"")+1,60))))</f>
        <v/>
      </c>
      <c r="K97" s="23">
        <f>IF($C97="","",INDEX(인턴근무계획!$M$3:$M$202,$A97)&amp;"")</f>
        <v/>
      </c>
      <c r="L97" s="23">
        <f>IF($C97="","",INDEX(인턴근무계획!$N$3:$N$202,$A97)&amp;"")</f>
        <v/>
      </c>
      <c r="M97" s="23">
        <f>IF($C97="","",INDEX(인턴근무계획!$O$3:$O$202,$A97)&amp;"")</f>
        <v/>
      </c>
      <c r="N97" s="23">
        <f>IF($C97="","",INDEX(인턴근무계획!$P$3:$P$202,$A97)&amp;"")</f>
        <v/>
      </c>
      <c r="O97" s="23">
        <f>IF($C97="","",INDEX(인턴근무계획!$Q$3:$Q$202,$A97)&amp;"")</f>
        <v/>
      </c>
      <c r="P97" s="23">
        <f>IF($C97="","",INDEX(인턴근무계획!$R$3:$R$202,$A97)&amp;"")</f>
        <v/>
      </c>
      <c r="Q97" s="23">
        <f>IF($C97="","",INDEX(인턴근무계획!$T$3:$T$202,$A97))</f>
        <v/>
      </c>
    </row>
    <row r="98">
      <c r="A98" s="26" t="n">
        <v>93</v>
      </c>
      <c r="B98" s="23">
        <f>IF($C98="","",INDEX(인턴근무계획!$B$3:$B$202,$A98))</f>
        <v/>
      </c>
      <c r="C98" s="23">
        <f>IFERROR(TRIM(INDEX(인턴근무계획!$C$3:$C$202,$A98)&amp;""),"")</f>
        <v/>
      </c>
      <c r="D98" s="23">
        <f>IF($C98="","",INDEX(인턴근무계획!$D$3:$D$202,$A98))</f>
        <v/>
      </c>
      <c r="E98" s="23">
        <f>IF($C98="","",IF(IFERROR(MATCH($D98,기본자료!$B$2:$B$501,0),IFERROR(MATCH($D98&amp;"",기본자료!$B$2:$B$501,0),IFERROR(MATCH(VALUE($D98),기본자료!$B$2:$B$501,0),0)))&gt;0,"확인","미등록"))</f>
        <v/>
      </c>
      <c r="F98" s="27">
        <f>IF($C98="","",INDEX(인턴근무계획!$S$3:$S$202,$A98))</f>
        <v/>
      </c>
      <c r="G98" s="23">
        <f>IF(OR($C98="",$G$3=""),"",IF(INDEX(인턴근무계획!$M$3:$R$202,$A98,$G$3)&amp;""="","",IF(LEFT(INDEX(인턴근무계획!$M$3:$R$202,$A98,$G$3)&amp;"",1)="⚠",INDEX(인턴근무계획!$M$3:$R$202,$A98,$G$3)&amp;"",LEFT(INDEX(인턴근무계획!$M$3:$R$202,$A98,$G$3)&amp;"",FIND(" ",INDEX(인턴근무계획!$M$3:$R$202,$A98,$G$3)&amp;"")-1))))</f>
        <v/>
      </c>
      <c r="H98" s="23">
        <f>IF(OR($C98="",$G$3=""),"",IF(INDEX(인턴근무계획!$M$3:$R$202,$A98,$G$3)&amp;""="","",IF(LEFT(INDEX(인턴근무계획!$M$3:$R$202,$A98,$G$3)&amp;"",1)="⚠","",MID(INDEX(인턴근무계획!$M$3:$R$202,$A98,$G$3)&amp;"",FIND(" ",INDEX(인턴근무계획!$M$3:$R$202,$A98,$G$3)&amp;"")+1,60))))</f>
        <v/>
      </c>
      <c r="I98" s="23">
        <f>IF(OR($C98="",$I$3=""),"",IF(INDEX(인턴근무계획!$M$3:$R$202,$A98,$I$3)&amp;""="","",IF(LEFT(INDEX(인턴근무계획!$M$3:$R$202,$A98,$I$3)&amp;"",1)="⚠",INDEX(인턴근무계획!$M$3:$R$202,$A98,$I$3)&amp;"",LEFT(INDEX(인턴근무계획!$M$3:$R$202,$A98,$I$3)&amp;"",FIND(" ",INDEX(인턴근무계획!$M$3:$R$202,$A98,$I$3)&amp;"")-1))))</f>
        <v/>
      </c>
      <c r="J98" s="23">
        <f>IF(OR($C98="",$I$3=""),"",IF(INDEX(인턴근무계획!$M$3:$R$202,$A98,$I$3)&amp;""="","",IF(LEFT(INDEX(인턴근무계획!$M$3:$R$202,$A98,$I$3)&amp;"",1)="⚠","",MID(INDEX(인턴근무계획!$M$3:$R$202,$A98,$I$3)&amp;"",FIND(" ",INDEX(인턴근무계획!$M$3:$R$202,$A98,$I$3)&amp;"")+1,60))))</f>
        <v/>
      </c>
      <c r="K98" s="23">
        <f>IF($C98="","",INDEX(인턴근무계획!$M$3:$M$202,$A98)&amp;"")</f>
        <v/>
      </c>
      <c r="L98" s="23">
        <f>IF($C98="","",INDEX(인턴근무계획!$N$3:$N$202,$A98)&amp;"")</f>
        <v/>
      </c>
      <c r="M98" s="23">
        <f>IF($C98="","",INDEX(인턴근무계획!$O$3:$O$202,$A98)&amp;"")</f>
        <v/>
      </c>
      <c r="N98" s="23">
        <f>IF($C98="","",INDEX(인턴근무계획!$P$3:$P$202,$A98)&amp;"")</f>
        <v/>
      </c>
      <c r="O98" s="23">
        <f>IF($C98="","",INDEX(인턴근무계획!$Q$3:$Q$202,$A98)&amp;"")</f>
        <v/>
      </c>
      <c r="P98" s="23">
        <f>IF($C98="","",INDEX(인턴근무계획!$R$3:$R$202,$A98)&amp;"")</f>
        <v/>
      </c>
      <c r="Q98" s="23">
        <f>IF($C98="","",INDEX(인턴근무계획!$T$3:$T$202,$A98))</f>
        <v/>
      </c>
    </row>
    <row r="99">
      <c r="A99" s="26" t="n">
        <v>94</v>
      </c>
      <c r="B99" s="23">
        <f>IF($C99="","",INDEX(인턴근무계획!$B$3:$B$202,$A99))</f>
        <v/>
      </c>
      <c r="C99" s="23">
        <f>IFERROR(TRIM(INDEX(인턴근무계획!$C$3:$C$202,$A99)&amp;""),"")</f>
        <v/>
      </c>
      <c r="D99" s="23">
        <f>IF($C99="","",INDEX(인턴근무계획!$D$3:$D$202,$A99))</f>
        <v/>
      </c>
      <c r="E99" s="23">
        <f>IF($C99="","",IF(IFERROR(MATCH($D99,기본자료!$B$2:$B$501,0),IFERROR(MATCH($D99&amp;"",기본자료!$B$2:$B$501,0),IFERROR(MATCH(VALUE($D99),기본자료!$B$2:$B$501,0),0)))&gt;0,"확인","미등록"))</f>
        <v/>
      </c>
      <c r="F99" s="27">
        <f>IF($C99="","",INDEX(인턴근무계획!$S$3:$S$202,$A99))</f>
        <v/>
      </c>
      <c r="G99" s="23">
        <f>IF(OR($C99="",$G$3=""),"",IF(INDEX(인턴근무계획!$M$3:$R$202,$A99,$G$3)&amp;""="","",IF(LEFT(INDEX(인턴근무계획!$M$3:$R$202,$A99,$G$3)&amp;"",1)="⚠",INDEX(인턴근무계획!$M$3:$R$202,$A99,$G$3)&amp;"",LEFT(INDEX(인턴근무계획!$M$3:$R$202,$A99,$G$3)&amp;"",FIND(" ",INDEX(인턴근무계획!$M$3:$R$202,$A99,$G$3)&amp;"")-1))))</f>
        <v/>
      </c>
      <c r="H99" s="23">
        <f>IF(OR($C99="",$G$3=""),"",IF(INDEX(인턴근무계획!$M$3:$R$202,$A99,$G$3)&amp;""="","",IF(LEFT(INDEX(인턴근무계획!$M$3:$R$202,$A99,$G$3)&amp;"",1)="⚠","",MID(INDEX(인턴근무계획!$M$3:$R$202,$A99,$G$3)&amp;"",FIND(" ",INDEX(인턴근무계획!$M$3:$R$202,$A99,$G$3)&amp;"")+1,60))))</f>
        <v/>
      </c>
      <c r="I99" s="23">
        <f>IF(OR($C99="",$I$3=""),"",IF(INDEX(인턴근무계획!$M$3:$R$202,$A99,$I$3)&amp;""="","",IF(LEFT(INDEX(인턴근무계획!$M$3:$R$202,$A99,$I$3)&amp;"",1)="⚠",INDEX(인턴근무계획!$M$3:$R$202,$A99,$I$3)&amp;"",LEFT(INDEX(인턴근무계획!$M$3:$R$202,$A99,$I$3)&amp;"",FIND(" ",INDEX(인턴근무계획!$M$3:$R$202,$A99,$I$3)&amp;"")-1))))</f>
        <v/>
      </c>
      <c r="J99" s="23">
        <f>IF(OR($C99="",$I$3=""),"",IF(INDEX(인턴근무계획!$M$3:$R$202,$A99,$I$3)&amp;""="","",IF(LEFT(INDEX(인턴근무계획!$M$3:$R$202,$A99,$I$3)&amp;"",1)="⚠","",MID(INDEX(인턴근무계획!$M$3:$R$202,$A99,$I$3)&amp;"",FIND(" ",INDEX(인턴근무계획!$M$3:$R$202,$A99,$I$3)&amp;"")+1,60))))</f>
        <v/>
      </c>
      <c r="K99" s="23">
        <f>IF($C99="","",INDEX(인턴근무계획!$M$3:$M$202,$A99)&amp;"")</f>
        <v/>
      </c>
      <c r="L99" s="23">
        <f>IF($C99="","",INDEX(인턴근무계획!$N$3:$N$202,$A99)&amp;"")</f>
        <v/>
      </c>
      <c r="M99" s="23">
        <f>IF($C99="","",INDEX(인턴근무계획!$O$3:$O$202,$A99)&amp;"")</f>
        <v/>
      </c>
      <c r="N99" s="23">
        <f>IF($C99="","",INDEX(인턴근무계획!$P$3:$P$202,$A99)&amp;"")</f>
        <v/>
      </c>
      <c r="O99" s="23">
        <f>IF($C99="","",INDEX(인턴근무계획!$Q$3:$Q$202,$A99)&amp;"")</f>
        <v/>
      </c>
      <c r="P99" s="23">
        <f>IF($C99="","",INDEX(인턴근무계획!$R$3:$R$202,$A99)&amp;"")</f>
        <v/>
      </c>
      <c r="Q99" s="23">
        <f>IF($C99="","",INDEX(인턴근무계획!$T$3:$T$202,$A99))</f>
        <v/>
      </c>
    </row>
    <row r="100">
      <c r="A100" s="26" t="n">
        <v>95</v>
      </c>
      <c r="B100" s="23">
        <f>IF($C100="","",INDEX(인턴근무계획!$B$3:$B$202,$A100))</f>
        <v/>
      </c>
      <c r="C100" s="23">
        <f>IFERROR(TRIM(INDEX(인턴근무계획!$C$3:$C$202,$A100)&amp;""),"")</f>
        <v/>
      </c>
      <c r="D100" s="23">
        <f>IF($C100="","",INDEX(인턴근무계획!$D$3:$D$202,$A100))</f>
        <v/>
      </c>
      <c r="E100" s="23">
        <f>IF($C100="","",IF(IFERROR(MATCH($D100,기본자료!$B$2:$B$501,0),IFERROR(MATCH($D100&amp;"",기본자료!$B$2:$B$501,0),IFERROR(MATCH(VALUE($D100),기본자료!$B$2:$B$501,0),0)))&gt;0,"확인","미등록"))</f>
        <v/>
      </c>
      <c r="F100" s="27">
        <f>IF($C100="","",INDEX(인턴근무계획!$S$3:$S$202,$A100))</f>
        <v/>
      </c>
      <c r="G100" s="23">
        <f>IF(OR($C100="",$G$3=""),"",IF(INDEX(인턴근무계획!$M$3:$R$202,$A100,$G$3)&amp;""="","",IF(LEFT(INDEX(인턴근무계획!$M$3:$R$202,$A100,$G$3)&amp;"",1)="⚠",INDEX(인턴근무계획!$M$3:$R$202,$A100,$G$3)&amp;"",LEFT(INDEX(인턴근무계획!$M$3:$R$202,$A100,$G$3)&amp;"",FIND(" ",INDEX(인턴근무계획!$M$3:$R$202,$A100,$G$3)&amp;"")-1))))</f>
        <v/>
      </c>
      <c r="H100" s="23">
        <f>IF(OR($C100="",$G$3=""),"",IF(INDEX(인턴근무계획!$M$3:$R$202,$A100,$G$3)&amp;""="","",IF(LEFT(INDEX(인턴근무계획!$M$3:$R$202,$A100,$G$3)&amp;"",1)="⚠","",MID(INDEX(인턴근무계획!$M$3:$R$202,$A100,$G$3)&amp;"",FIND(" ",INDEX(인턴근무계획!$M$3:$R$202,$A100,$G$3)&amp;"")+1,60))))</f>
        <v/>
      </c>
      <c r="I100" s="23">
        <f>IF(OR($C100="",$I$3=""),"",IF(INDEX(인턴근무계획!$M$3:$R$202,$A100,$I$3)&amp;""="","",IF(LEFT(INDEX(인턴근무계획!$M$3:$R$202,$A100,$I$3)&amp;"",1)="⚠",INDEX(인턴근무계획!$M$3:$R$202,$A100,$I$3)&amp;"",LEFT(INDEX(인턴근무계획!$M$3:$R$202,$A100,$I$3)&amp;"",FIND(" ",INDEX(인턴근무계획!$M$3:$R$202,$A100,$I$3)&amp;"")-1))))</f>
        <v/>
      </c>
      <c r="J100" s="23">
        <f>IF(OR($C100="",$I$3=""),"",IF(INDEX(인턴근무계획!$M$3:$R$202,$A100,$I$3)&amp;""="","",IF(LEFT(INDEX(인턴근무계획!$M$3:$R$202,$A100,$I$3)&amp;"",1)="⚠","",MID(INDEX(인턴근무계획!$M$3:$R$202,$A100,$I$3)&amp;"",FIND(" ",INDEX(인턴근무계획!$M$3:$R$202,$A100,$I$3)&amp;"")+1,60))))</f>
        <v/>
      </c>
      <c r="K100" s="23">
        <f>IF($C100="","",INDEX(인턴근무계획!$M$3:$M$202,$A100)&amp;"")</f>
        <v/>
      </c>
      <c r="L100" s="23">
        <f>IF($C100="","",INDEX(인턴근무계획!$N$3:$N$202,$A100)&amp;"")</f>
        <v/>
      </c>
      <c r="M100" s="23">
        <f>IF($C100="","",INDEX(인턴근무계획!$O$3:$O$202,$A100)&amp;"")</f>
        <v/>
      </c>
      <c r="N100" s="23">
        <f>IF($C100="","",INDEX(인턴근무계획!$P$3:$P$202,$A100)&amp;"")</f>
        <v/>
      </c>
      <c r="O100" s="23">
        <f>IF($C100="","",INDEX(인턴근무계획!$Q$3:$Q$202,$A100)&amp;"")</f>
        <v/>
      </c>
      <c r="P100" s="23">
        <f>IF($C100="","",INDEX(인턴근무계획!$R$3:$R$202,$A100)&amp;"")</f>
        <v/>
      </c>
      <c r="Q100" s="23">
        <f>IF($C100="","",INDEX(인턴근무계획!$T$3:$T$202,$A100))</f>
        <v/>
      </c>
    </row>
    <row r="101">
      <c r="A101" s="26" t="n">
        <v>96</v>
      </c>
      <c r="B101" s="23">
        <f>IF($C101="","",INDEX(인턴근무계획!$B$3:$B$202,$A101))</f>
        <v/>
      </c>
      <c r="C101" s="23">
        <f>IFERROR(TRIM(INDEX(인턴근무계획!$C$3:$C$202,$A101)&amp;""),"")</f>
        <v/>
      </c>
      <c r="D101" s="23">
        <f>IF($C101="","",INDEX(인턴근무계획!$D$3:$D$202,$A101))</f>
        <v/>
      </c>
      <c r="E101" s="23">
        <f>IF($C101="","",IF(IFERROR(MATCH($D101,기본자료!$B$2:$B$501,0),IFERROR(MATCH($D101&amp;"",기본자료!$B$2:$B$501,0),IFERROR(MATCH(VALUE($D101),기본자료!$B$2:$B$501,0),0)))&gt;0,"확인","미등록"))</f>
        <v/>
      </c>
      <c r="F101" s="27">
        <f>IF($C101="","",INDEX(인턴근무계획!$S$3:$S$202,$A101))</f>
        <v/>
      </c>
      <c r="G101" s="23">
        <f>IF(OR($C101="",$G$3=""),"",IF(INDEX(인턴근무계획!$M$3:$R$202,$A101,$G$3)&amp;""="","",IF(LEFT(INDEX(인턴근무계획!$M$3:$R$202,$A101,$G$3)&amp;"",1)="⚠",INDEX(인턴근무계획!$M$3:$R$202,$A101,$G$3)&amp;"",LEFT(INDEX(인턴근무계획!$M$3:$R$202,$A101,$G$3)&amp;"",FIND(" ",INDEX(인턴근무계획!$M$3:$R$202,$A101,$G$3)&amp;"")-1))))</f>
        <v/>
      </c>
      <c r="H101" s="23">
        <f>IF(OR($C101="",$G$3=""),"",IF(INDEX(인턴근무계획!$M$3:$R$202,$A101,$G$3)&amp;""="","",IF(LEFT(INDEX(인턴근무계획!$M$3:$R$202,$A101,$G$3)&amp;"",1)="⚠","",MID(INDEX(인턴근무계획!$M$3:$R$202,$A101,$G$3)&amp;"",FIND(" ",INDEX(인턴근무계획!$M$3:$R$202,$A101,$G$3)&amp;"")+1,60))))</f>
        <v/>
      </c>
      <c r="I101" s="23">
        <f>IF(OR($C101="",$I$3=""),"",IF(INDEX(인턴근무계획!$M$3:$R$202,$A101,$I$3)&amp;""="","",IF(LEFT(INDEX(인턴근무계획!$M$3:$R$202,$A101,$I$3)&amp;"",1)="⚠",INDEX(인턴근무계획!$M$3:$R$202,$A101,$I$3)&amp;"",LEFT(INDEX(인턴근무계획!$M$3:$R$202,$A101,$I$3)&amp;"",FIND(" ",INDEX(인턴근무계획!$M$3:$R$202,$A101,$I$3)&amp;"")-1))))</f>
        <v/>
      </c>
      <c r="J101" s="23">
        <f>IF(OR($C101="",$I$3=""),"",IF(INDEX(인턴근무계획!$M$3:$R$202,$A101,$I$3)&amp;""="","",IF(LEFT(INDEX(인턴근무계획!$M$3:$R$202,$A101,$I$3)&amp;"",1)="⚠","",MID(INDEX(인턴근무계획!$M$3:$R$202,$A101,$I$3)&amp;"",FIND(" ",INDEX(인턴근무계획!$M$3:$R$202,$A101,$I$3)&amp;"")+1,60))))</f>
        <v/>
      </c>
      <c r="K101" s="23">
        <f>IF($C101="","",INDEX(인턴근무계획!$M$3:$M$202,$A101)&amp;"")</f>
        <v/>
      </c>
      <c r="L101" s="23">
        <f>IF($C101="","",INDEX(인턴근무계획!$N$3:$N$202,$A101)&amp;"")</f>
        <v/>
      </c>
      <c r="M101" s="23">
        <f>IF($C101="","",INDEX(인턴근무계획!$O$3:$O$202,$A101)&amp;"")</f>
        <v/>
      </c>
      <c r="N101" s="23">
        <f>IF($C101="","",INDEX(인턴근무계획!$P$3:$P$202,$A101)&amp;"")</f>
        <v/>
      </c>
      <c r="O101" s="23">
        <f>IF($C101="","",INDEX(인턴근무계획!$Q$3:$Q$202,$A101)&amp;"")</f>
        <v/>
      </c>
      <c r="P101" s="23">
        <f>IF($C101="","",INDEX(인턴근무계획!$R$3:$R$202,$A101)&amp;"")</f>
        <v/>
      </c>
      <c r="Q101" s="23">
        <f>IF($C101="","",INDEX(인턴근무계획!$T$3:$T$202,$A101))</f>
        <v/>
      </c>
    </row>
    <row r="102">
      <c r="A102" s="26" t="n">
        <v>97</v>
      </c>
      <c r="B102" s="23">
        <f>IF($C102="","",INDEX(인턴근무계획!$B$3:$B$202,$A102))</f>
        <v/>
      </c>
      <c r="C102" s="23">
        <f>IFERROR(TRIM(INDEX(인턴근무계획!$C$3:$C$202,$A102)&amp;""),"")</f>
        <v/>
      </c>
      <c r="D102" s="23">
        <f>IF($C102="","",INDEX(인턴근무계획!$D$3:$D$202,$A102))</f>
        <v/>
      </c>
      <c r="E102" s="23">
        <f>IF($C102="","",IF(IFERROR(MATCH($D102,기본자료!$B$2:$B$501,0),IFERROR(MATCH($D102&amp;"",기본자료!$B$2:$B$501,0),IFERROR(MATCH(VALUE($D102),기본자료!$B$2:$B$501,0),0)))&gt;0,"확인","미등록"))</f>
        <v/>
      </c>
      <c r="F102" s="27">
        <f>IF($C102="","",INDEX(인턴근무계획!$S$3:$S$202,$A102))</f>
        <v/>
      </c>
      <c r="G102" s="23">
        <f>IF(OR($C102="",$G$3=""),"",IF(INDEX(인턴근무계획!$M$3:$R$202,$A102,$G$3)&amp;""="","",IF(LEFT(INDEX(인턴근무계획!$M$3:$R$202,$A102,$G$3)&amp;"",1)="⚠",INDEX(인턴근무계획!$M$3:$R$202,$A102,$G$3)&amp;"",LEFT(INDEX(인턴근무계획!$M$3:$R$202,$A102,$G$3)&amp;"",FIND(" ",INDEX(인턴근무계획!$M$3:$R$202,$A102,$G$3)&amp;"")-1))))</f>
        <v/>
      </c>
      <c r="H102" s="23">
        <f>IF(OR($C102="",$G$3=""),"",IF(INDEX(인턴근무계획!$M$3:$R$202,$A102,$G$3)&amp;""="","",IF(LEFT(INDEX(인턴근무계획!$M$3:$R$202,$A102,$G$3)&amp;"",1)="⚠","",MID(INDEX(인턴근무계획!$M$3:$R$202,$A102,$G$3)&amp;"",FIND(" ",INDEX(인턴근무계획!$M$3:$R$202,$A102,$G$3)&amp;"")+1,60))))</f>
        <v/>
      </c>
      <c r="I102" s="23">
        <f>IF(OR($C102="",$I$3=""),"",IF(INDEX(인턴근무계획!$M$3:$R$202,$A102,$I$3)&amp;""="","",IF(LEFT(INDEX(인턴근무계획!$M$3:$R$202,$A102,$I$3)&amp;"",1)="⚠",INDEX(인턴근무계획!$M$3:$R$202,$A102,$I$3)&amp;"",LEFT(INDEX(인턴근무계획!$M$3:$R$202,$A102,$I$3)&amp;"",FIND(" ",INDEX(인턴근무계획!$M$3:$R$202,$A102,$I$3)&amp;"")-1))))</f>
        <v/>
      </c>
      <c r="J102" s="23">
        <f>IF(OR($C102="",$I$3=""),"",IF(INDEX(인턴근무계획!$M$3:$R$202,$A102,$I$3)&amp;""="","",IF(LEFT(INDEX(인턴근무계획!$M$3:$R$202,$A102,$I$3)&amp;"",1)="⚠","",MID(INDEX(인턴근무계획!$M$3:$R$202,$A102,$I$3)&amp;"",FIND(" ",INDEX(인턴근무계획!$M$3:$R$202,$A102,$I$3)&amp;"")+1,60))))</f>
        <v/>
      </c>
      <c r="K102" s="23">
        <f>IF($C102="","",INDEX(인턴근무계획!$M$3:$M$202,$A102)&amp;"")</f>
        <v/>
      </c>
      <c r="L102" s="23">
        <f>IF($C102="","",INDEX(인턴근무계획!$N$3:$N$202,$A102)&amp;"")</f>
        <v/>
      </c>
      <c r="M102" s="23">
        <f>IF($C102="","",INDEX(인턴근무계획!$O$3:$O$202,$A102)&amp;"")</f>
        <v/>
      </c>
      <c r="N102" s="23">
        <f>IF($C102="","",INDEX(인턴근무계획!$P$3:$P$202,$A102)&amp;"")</f>
        <v/>
      </c>
      <c r="O102" s="23">
        <f>IF($C102="","",INDEX(인턴근무계획!$Q$3:$Q$202,$A102)&amp;"")</f>
        <v/>
      </c>
      <c r="P102" s="23">
        <f>IF($C102="","",INDEX(인턴근무계획!$R$3:$R$202,$A102)&amp;"")</f>
        <v/>
      </c>
      <c r="Q102" s="23">
        <f>IF($C102="","",INDEX(인턴근무계획!$T$3:$T$202,$A102))</f>
        <v/>
      </c>
    </row>
    <row r="103">
      <c r="A103" s="26" t="n">
        <v>98</v>
      </c>
      <c r="B103" s="23">
        <f>IF($C103="","",INDEX(인턴근무계획!$B$3:$B$202,$A103))</f>
        <v/>
      </c>
      <c r="C103" s="23">
        <f>IFERROR(TRIM(INDEX(인턴근무계획!$C$3:$C$202,$A103)&amp;""),"")</f>
        <v/>
      </c>
      <c r="D103" s="23">
        <f>IF($C103="","",INDEX(인턴근무계획!$D$3:$D$202,$A103))</f>
        <v/>
      </c>
      <c r="E103" s="23">
        <f>IF($C103="","",IF(IFERROR(MATCH($D103,기본자료!$B$2:$B$501,0),IFERROR(MATCH($D103&amp;"",기본자료!$B$2:$B$501,0),IFERROR(MATCH(VALUE($D103),기본자료!$B$2:$B$501,0),0)))&gt;0,"확인","미등록"))</f>
        <v/>
      </c>
      <c r="F103" s="27">
        <f>IF($C103="","",INDEX(인턴근무계획!$S$3:$S$202,$A103))</f>
        <v/>
      </c>
      <c r="G103" s="23">
        <f>IF(OR($C103="",$G$3=""),"",IF(INDEX(인턴근무계획!$M$3:$R$202,$A103,$G$3)&amp;""="","",IF(LEFT(INDEX(인턴근무계획!$M$3:$R$202,$A103,$G$3)&amp;"",1)="⚠",INDEX(인턴근무계획!$M$3:$R$202,$A103,$G$3)&amp;"",LEFT(INDEX(인턴근무계획!$M$3:$R$202,$A103,$G$3)&amp;"",FIND(" ",INDEX(인턴근무계획!$M$3:$R$202,$A103,$G$3)&amp;"")-1))))</f>
        <v/>
      </c>
      <c r="H103" s="23">
        <f>IF(OR($C103="",$G$3=""),"",IF(INDEX(인턴근무계획!$M$3:$R$202,$A103,$G$3)&amp;""="","",IF(LEFT(INDEX(인턴근무계획!$M$3:$R$202,$A103,$G$3)&amp;"",1)="⚠","",MID(INDEX(인턴근무계획!$M$3:$R$202,$A103,$G$3)&amp;"",FIND(" ",INDEX(인턴근무계획!$M$3:$R$202,$A103,$G$3)&amp;"")+1,60))))</f>
        <v/>
      </c>
      <c r="I103" s="23">
        <f>IF(OR($C103="",$I$3=""),"",IF(INDEX(인턴근무계획!$M$3:$R$202,$A103,$I$3)&amp;""="","",IF(LEFT(INDEX(인턴근무계획!$M$3:$R$202,$A103,$I$3)&amp;"",1)="⚠",INDEX(인턴근무계획!$M$3:$R$202,$A103,$I$3)&amp;"",LEFT(INDEX(인턴근무계획!$M$3:$R$202,$A103,$I$3)&amp;"",FIND(" ",INDEX(인턴근무계획!$M$3:$R$202,$A103,$I$3)&amp;"")-1))))</f>
        <v/>
      </c>
      <c r="J103" s="23">
        <f>IF(OR($C103="",$I$3=""),"",IF(INDEX(인턴근무계획!$M$3:$R$202,$A103,$I$3)&amp;""="","",IF(LEFT(INDEX(인턴근무계획!$M$3:$R$202,$A103,$I$3)&amp;"",1)="⚠","",MID(INDEX(인턴근무계획!$M$3:$R$202,$A103,$I$3)&amp;"",FIND(" ",INDEX(인턴근무계획!$M$3:$R$202,$A103,$I$3)&amp;"")+1,60))))</f>
        <v/>
      </c>
      <c r="K103" s="23">
        <f>IF($C103="","",INDEX(인턴근무계획!$M$3:$M$202,$A103)&amp;"")</f>
        <v/>
      </c>
      <c r="L103" s="23">
        <f>IF($C103="","",INDEX(인턴근무계획!$N$3:$N$202,$A103)&amp;"")</f>
        <v/>
      </c>
      <c r="M103" s="23">
        <f>IF($C103="","",INDEX(인턴근무계획!$O$3:$O$202,$A103)&amp;"")</f>
        <v/>
      </c>
      <c r="N103" s="23">
        <f>IF($C103="","",INDEX(인턴근무계획!$P$3:$P$202,$A103)&amp;"")</f>
        <v/>
      </c>
      <c r="O103" s="23">
        <f>IF($C103="","",INDEX(인턴근무계획!$Q$3:$Q$202,$A103)&amp;"")</f>
        <v/>
      </c>
      <c r="P103" s="23">
        <f>IF($C103="","",INDEX(인턴근무계획!$R$3:$R$202,$A103)&amp;"")</f>
        <v/>
      </c>
      <c r="Q103" s="23">
        <f>IF($C103="","",INDEX(인턴근무계획!$T$3:$T$202,$A103))</f>
        <v/>
      </c>
    </row>
    <row r="104">
      <c r="A104" s="26" t="n">
        <v>99</v>
      </c>
      <c r="B104" s="23">
        <f>IF($C104="","",INDEX(인턴근무계획!$B$3:$B$202,$A104))</f>
        <v/>
      </c>
      <c r="C104" s="23">
        <f>IFERROR(TRIM(INDEX(인턴근무계획!$C$3:$C$202,$A104)&amp;""),"")</f>
        <v/>
      </c>
      <c r="D104" s="23">
        <f>IF($C104="","",INDEX(인턴근무계획!$D$3:$D$202,$A104))</f>
        <v/>
      </c>
      <c r="E104" s="23">
        <f>IF($C104="","",IF(IFERROR(MATCH($D104,기본자료!$B$2:$B$501,0),IFERROR(MATCH($D104&amp;"",기본자료!$B$2:$B$501,0),IFERROR(MATCH(VALUE($D104),기본자료!$B$2:$B$501,0),0)))&gt;0,"확인","미등록"))</f>
        <v/>
      </c>
      <c r="F104" s="27">
        <f>IF($C104="","",INDEX(인턴근무계획!$S$3:$S$202,$A104))</f>
        <v/>
      </c>
      <c r="G104" s="23">
        <f>IF(OR($C104="",$G$3=""),"",IF(INDEX(인턴근무계획!$M$3:$R$202,$A104,$G$3)&amp;""="","",IF(LEFT(INDEX(인턴근무계획!$M$3:$R$202,$A104,$G$3)&amp;"",1)="⚠",INDEX(인턴근무계획!$M$3:$R$202,$A104,$G$3)&amp;"",LEFT(INDEX(인턴근무계획!$M$3:$R$202,$A104,$G$3)&amp;"",FIND(" ",INDEX(인턴근무계획!$M$3:$R$202,$A104,$G$3)&amp;"")-1))))</f>
        <v/>
      </c>
      <c r="H104" s="23">
        <f>IF(OR($C104="",$G$3=""),"",IF(INDEX(인턴근무계획!$M$3:$R$202,$A104,$G$3)&amp;""="","",IF(LEFT(INDEX(인턴근무계획!$M$3:$R$202,$A104,$G$3)&amp;"",1)="⚠","",MID(INDEX(인턴근무계획!$M$3:$R$202,$A104,$G$3)&amp;"",FIND(" ",INDEX(인턴근무계획!$M$3:$R$202,$A104,$G$3)&amp;"")+1,60))))</f>
        <v/>
      </c>
      <c r="I104" s="23">
        <f>IF(OR($C104="",$I$3=""),"",IF(INDEX(인턴근무계획!$M$3:$R$202,$A104,$I$3)&amp;""="","",IF(LEFT(INDEX(인턴근무계획!$M$3:$R$202,$A104,$I$3)&amp;"",1)="⚠",INDEX(인턴근무계획!$M$3:$R$202,$A104,$I$3)&amp;"",LEFT(INDEX(인턴근무계획!$M$3:$R$202,$A104,$I$3)&amp;"",FIND(" ",INDEX(인턴근무계획!$M$3:$R$202,$A104,$I$3)&amp;"")-1))))</f>
        <v/>
      </c>
      <c r="J104" s="23">
        <f>IF(OR($C104="",$I$3=""),"",IF(INDEX(인턴근무계획!$M$3:$R$202,$A104,$I$3)&amp;""="","",IF(LEFT(INDEX(인턴근무계획!$M$3:$R$202,$A104,$I$3)&amp;"",1)="⚠","",MID(INDEX(인턴근무계획!$M$3:$R$202,$A104,$I$3)&amp;"",FIND(" ",INDEX(인턴근무계획!$M$3:$R$202,$A104,$I$3)&amp;"")+1,60))))</f>
        <v/>
      </c>
      <c r="K104" s="23">
        <f>IF($C104="","",INDEX(인턴근무계획!$M$3:$M$202,$A104)&amp;"")</f>
        <v/>
      </c>
      <c r="L104" s="23">
        <f>IF($C104="","",INDEX(인턴근무계획!$N$3:$N$202,$A104)&amp;"")</f>
        <v/>
      </c>
      <c r="M104" s="23">
        <f>IF($C104="","",INDEX(인턴근무계획!$O$3:$O$202,$A104)&amp;"")</f>
        <v/>
      </c>
      <c r="N104" s="23">
        <f>IF($C104="","",INDEX(인턴근무계획!$P$3:$P$202,$A104)&amp;"")</f>
        <v/>
      </c>
      <c r="O104" s="23">
        <f>IF($C104="","",INDEX(인턴근무계획!$Q$3:$Q$202,$A104)&amp;"")</f>
        <v/>
      </c>
      <c r="P104" s="23">
        <f>IF($C104="","",INDEX(인턴근무계획!$R$3:$R$202,$A104)&amp;"")</f>
        <v/>
      </c>
      <c r="Q104" s="23">
        <f>IF($C104="","",INDEX(인턴근무계획!$T$3:$T$202,$A104))</f>
        <v/>
      </c>
    </row>
    <row r="105">
      <c r="A105" s="26" t="n">
        <v>100</v>
      </c>
      <c r="B105" s="23">
        <f>IF($C105="","",INDEX(인턴근무계획!$B$3:$B$202,$A105))</f>
        <v/>
      </c>
      <c r="C105" s="23">
        <f>IFERROR(TRIM(INDEX(인턴근무계획!$C$3:$C$202,$A105)&amp;""),"")</f>
        <v/>
      </c>
      <c r="D105" s="23">
        <f>IF($C105="","",INDEX(인턴근무계획!$D$3:$D$202,$A105))</f>
        <v/>
      </c>
      <c r="E105" s="23">
        <f>IF($C105="","",IF(IFERROR(MATCH($D105,기본자료!$B$2:$B$501,0),IFERROR(MATCH($D105&amp;"",기본자료!$B$2:$B$501,0),IFERROR(MATCH(VALUE($D105),기본자료!$B$2:$B$501,0),0)))&gt;0,"확인","미등록"))</f>
        <v/>
      </c>
      <c r="F105" s="27">
        <f>IF($C105="","",INDEX(인턴근무계획!$S$3:$S$202,$A105))</f>
        <v/>
      </c>
      <c r="G105" s="23">
        <f>IF(OR($C105="",$G$3=""),"",IF(INDEX(인턴근무계획!$M$3:$R$202,$A105,$G$3)&amp;""="","",IF(LEFT(INDEX(인턴근무계획!$M$3:$R$202,$A105,$G$3)&amp;"",1)="⚠",INDEX(인턴근무계획!$M$3:$R$202,$A105,$G$3)&amp;"",LEFT(INDEX(인턴근무계획!$M$3:$R$202,$A105,$G$3)&amp;"",FIND(" ",INDEX(인턴근무계획!$M$3:$R$202,$A105,$G$3)&amp;"")-1))))</f>
        <v/>
      </c>
      <c r="H105" s="23">
        <f>IF(OR($C105="",$G$3=""),"",IF(INDEX(인턴근무계획!$M$3:$R$202,$A105,$G$3)&amp;""="","",IF(LEFT(INDEX(인턴근무계획!$M$3:$R$202,$A105,$G$3)&amp;"",1)="⚠","",MID(INDEX(인턴근무계획!$M$3:$R$202,$A105,$G$3)&amp;"",FIND(" ",INDEX(인턴근무계획!$M$3:$R$202,$A105,$G$3)&amp;"")+1,60))))</f>
        <v/>
      </c>
      <c r="I105" s="23">
        <f>IF(OR($C105="",$I$3=""),"",IF(INDEX(인턴근무계획!$M$3:$R$202,$A105,$I$3)&amp;""="","",IF(LEFT(INDEX(인턴근무계획!$M$3:$R$202,$A105,$I$3)&amp;"",1)="⚠",INDEX(인턴근무계획!$M$3:$R$202,$A105,$I$3)&amp;"",LEFT(INDEX(인턴근무계획!$M$3:$R$202,$A105,$I$3)&amp;"",FIND(" ",INDEX(인턴근무계획!$M$3:$R$202,$A105,$I$3)&amp;"")-1))))</f>
        <v/>
      </c>
      <c r="J105" s="23">
        <f>IF(OR($C105="",$I$3=""),"",IF(INDEX(인턴근무계획!$M$3:$R$202,$A105,$I$3)&amp;""="","",IF(LEFT(INDEX(인턴근무계획!$M$3:$R$202,$A105,$I$3)&amp;"",1)="⚠","",MID(INDEX(인턴근무계획!$M$3:$R$202,$A105,$I$3)&amp;"",FIND(" ",INDEX(인턴근무계획!$M$3:$R$202,$A105,$I$3)&amp;"")+1,60))))</f>
        <v/>
      </c>
      <c r="K105" s="23">
        <f>IF($C105="","",INDEX(인턴근무계획!$M$3:$M$202,$A105)&amp;"")</f>
        <v/>
      </c>
      <c r="L105" s="23">
        <f>IF($C105="","",INDEX(인턴근무계획!$N$3:$N$202,$A105)&amp;"")</f>
        <v/>
      </c>
      <c r="M105" s="23">
        <f>IF($C105="","",INDEX(인턴근무계획!$O$3:$O$202,$A105)&amp;"")</f>
        <v/>
      </c>
      <c r="N105" s="23">
        <f>IF($C105="","",INDEX(인턴근무계획!$P$3:$P$202,$A105)&amp;"")</f>
        <v/>
      </c>
      <c r="O105" s="23">
        <f>IF($C105="","",INDEX(인턴근무계획!$Q$3:$Q$202,$A105)&amp;"")</f>
        <v/>
      </c>
      <c r="P105" s="23">
        <f>IF($C105="","",INDEX(인턴근무계획!$R$3:$R$202,$A105)&amp;"")</f>
        <v/>
      </c>
      <c r="Q105" s="23">
        <f>IF($C105="","",INDEX(인턴근무계획!$T$3:$T$202,$A105))</f>
        <v/>
      </c>
    </row>
    <row r="106">
      <c r="A106" s="26" t="n">
        <v>101</v>
      </c>
      <c r="B106" s="23">
        <f>IF($C106="","",INDEX(인턴근무계획!$B$3:$B$202,$A106))</f>
        <v/>
      </c>
      <c r="C106" s="23">
        <f>IFERROR(TRIM(INDEX(인턴근무계획!$C$3:$C$202,$A106)&amp;""),"")</f>
        <v/>
      </c>
      <c r="D106" s="23">
        <f>IF($C106="","",INDEX(인턴근무계획!$D$3:$D$202,$A106))</f>
        <v/>
      </c>
      <c r="E106" s="23">
        <f>IF($C106="","",IF(IFERROR(MATCH($D106,기본자료!$B$2:$B$501,0),IFERROR(MATCH($D106&amp;"",기본자료!$B$2:$B$501,0),IFERROR(MATCH(VALUE($D106),기본자료!$B$2:$B$501,0),0)))&gt;0,"확인","미등록"))</f>
        <v/>
      </c>
      <c r="F106" s="27">
        <f>IF($C106="","",INDEX(인턴근무계획!$S$3:$S$202,$A106))</f>
        <v/>
      </c>
      <c r="G106" s="23">
        <f>IF(OR($C106="",$G$3=""),"",IF(INDEX(인턴근무계획!$M$3:$R$202,$A106,$G$3)&amp;""="","",IF(LEFT(INDEX(인턴근무계획!$M$3:$R$202,$A106,$G$3)&amp;"",1)="⚠",INDEX(인턴근무계획!$M$3:$R$202,$A106,$G$3)&amp;"",LEFT(INDEX(인턴근무계획!$M$3:$R$202,$A106,$G$3)&amp;"",FIND(" ",INDEX(인턴근무계획!$M$3:$R$202,$A106,$G$3)&amp;"")-1))))</f>
        <v/>
      </c>
      <c r="H106" s="23">
        <f>IF(OR($C106="",$G$3=""),"",IF(INDEX(인턴근무계획!$M$3:$R$202,$A106,$G$3)&amp;""="","",IF(LEFT(INDEX(인턴근무계획!$M$3:$R$202,$A106,$G$3)&amp;"",1)="⚠","",MID(INDEX(인턴근무계획!$M$3:$R$202,$A106,$G$3)&amp;"",FIND(" ",INDEX(인턴근무계획!$M$3:$R$202,$A106,$G$3)&amp;"")+1,60))))</f>
        <v/>
      </c>
      <c r="I106" s="23">
        <f>IF(OR($C106="",$I$3=""),"",IF(INDEX(인턴근무계획!$M$3:$R$202,$A106,$I$3)&amp;""="","",IF(LEFT(INDEX(인턴근무계획!$M$3:$R$202,$A106,$I$3)&amp;"",1)="⚠",INDEX(인턴근무계획!$M$3:$R$202,$A106,$I$3)&amp;"",LEFT(INDEX(인턴근무계획!$M$3:$R$202,$A106,$I$3)&amp;"",FIND(" ",INDEX(인턴근무계획!$M$3:$R$202,$A106,$I$3)&amp;"")-1))))</f>
        <v/>
      </c>
      <c r="J106" s="23">
        <f>IF(OR($C106="",$I$3=""),"",IF(INDEX(인턴근무계획!$M$3:$R$202,$A106,$I$3)&amp;""="","",IF(LEFT(INDEX(인턴근무계획!$M$3:$R$202,$A106,$I$3)&amp;"",1)="⚠","",MID(INDEX(인턴근무계획!$M$3:$R$202,$A106,$I$3)&amp;"",FIND(" ",INDEX(인턴근무계획!$M$3:$R$202,$A106,$I$3)&amp;"")+1,60))))</f>
        <v/>
      </c>
      <c r="K106" s="23">
        <f>IF($C106="","",INDEX(인턴근무계획!$M$3:$M$202,$A106)&amp;"")</f>
        <v/>
      </c>
      <c r="L106" s="23">
        <f>IF($C106="","",INDEX(인턴근무계획!$N$3:$N$202,$A106)&amp;"")</f>
        <v/>
      </c>
      <c r="M106" s="23">
        <f>IF($C106="","",INDEX(인턴근무계획!$O$3:$O$202,$A106)&amp;"")</f>
        <v/>
      </c>
      <c r="N106" s="23">
        <f>IF($C106="","",INDEX(인턴근무계획!$P$3:$P$202,$A106)&amp;"")</f>
        <v/>
      </c>
      <c r="O106" s="23">
        <f>IF($C106="","",INDEX(인턴근무계획!$Q$3:$Q$202,$A106)&amp;"")</f>
        <v/>
      </c>
      <c r="P106" s="23">
        <f>IF($C106="","",INDEX(인턴근무계획!$R$3:$R$202,$A106)&amp;"")</f>
        <v/>
      </c>
      <c r="Q106" s="23">
        <f>IF($C106="","",INDEX(인턴근무계획!$T$3:$T$202,$A106))</f>
        <v/>
      </c>
    </row>
    <row r="107">
      <c r="A107" s="26" t="n">
        <v>102</v>
      </c>
      <c r="B107" s="23">
        <f>IF($C107="","",INDEX(인턴근무계획!$B$3:$B$202,$A107))</f>
        <v/>
      </c>
      <c r="C107" s="23">
        <f>IFERROR(TRIM(INDEX(인턴근무계획!$C$3:$C$202,$A107)&amp;""),"")</f>
        <v/>
      </c>
      <c r="D107" s="23">
        <f>IF($C107="","",INDEX(인턴근무계획!$D$3:$D$202,$A107))</f>
        <v/>
      </c>
      <c r="E107" s="23">
        <f>IF($C107="","",IF(IFERROR(MATCH($D107,기본자료!$B$2:$B$501,0),IFERROR(MATCH($D107&amp;"",기본자료!$B$2:$B$501,0),IFERROR(MATCH(VALUE($D107),기본자료!$B$2:$B$501,0),0)))&gt;0,"확인","미등록"))</f>
        <v/>
      </c>
      <c r="F107" s="27">
        <f>IF($C107="","",INDEX(인턴근무계획!$S$3:$S$202,$A107))</f>
        <v/>
      </c>
      <c r="G107" s="23">
        <f>IF(OR($C107="",$G$3=""),"",IF(INDEX(인턴근무계획!$M$3:$R$202,$A107,$G$3)&amp;""="","",IF(LEFT(INDEX(인턴근무계획!$M$3:$R$202,$A107,$G$3)&amp;"",1)="⚠",INDEX(인턴근무계획!$M$3:$R$202,$A107,$G$3)&amp;"",LEFT(INDEX(인턴근무계획!$M$3:$R$202,$A107,$G$3)&amp;"",FIND(" ",INDEX(인턴근무계획!$M$3:$R$202,$A107,$G$3)&amp;"")-1))))</f>
        <v/>
      </c>
      <c r="H107" s="23">
        <f>IF(OR($C107="",$G$3=""),"",IF(INDEX(인턴근무계획!$M$3:$R$202,$A107,$G$3)&amp;""="","",IF(LEFT(INDEX(인턴근무계획!$M$3:$R$202,$A107,$G$3)&amp;"",1)="⚠","",MID(INDEX(인턴근무계획!$M$3:$R$202,$A107,$G$3)&amp;"",FIND(" ",INDEX(인턴근무계획!$M$3:$R$202,$A107,$G$3)&amp;"")+1,60))))</f>
        <v/>
      </c>
      <c r="I107" s="23">
        <f>IF(OR($C107="",$I$3=""),"",IF(INDEX(인턴근무계획!$M$3:$R$202,$A107,$I$3)&amp;""="","",IF(LEFT(INDEX(인턴근무계획!$M$3:$R$202,$A107,$I$3)&amp;"",1)="⚠",INDEX(인턴근무계획!$M$3:$R$202,$A107,$I$3)&amp;"",LEFT(INDEX(인턴근무계획!$M$3:$R$202,$A107,$I$3)&amp;"",FIND(" ",INDEX(인턴근무계획!$M$3:$R$202,$A107,$I$3)&amp;"")-1))))</f>
        <v/>
      </c>
      <c r="J107" s="23">
        <f>IF(OR($C107="",$I$3=""),"",IF(INDEX(인턴근무계획!$M$3:$R$202,$A107,$I$3)&amp;""="","",IF(LEFT(INDEX(인턴근무계획!$M$3:$R$202,$A107,$I$3)&amp;"",1)="⚠","",MID(INDEX(인턴근무계획!$M$3:$R$202,$A107,$I$3)&amp;"",FIND(" ",INDEX(인턴근무계획!$M$3:$R$202,$A107,$I$3)&amp;"")+1,60))))</f>
        <v/>
      </c>
      <c r="K107" s="23">
        <f>IF($C107="","",INDEX(인턴근무계획!$M$3:$M$202,$A107)&amp;"")</f>
        <v/>
      </c>
      <c r="L107" s="23">
        <f>IF($C107="","",INDEX(인턴근무계획!$N$3:$N$202,$A107)&amp;"")</f>
        <v/>
      </c>
      <c r="M107" s="23">
        <f>IF($C107="","",INDEX(인턴근무계획!$O$3:$O$202,$A107)&amp;"")</f>
        <v/>
      </c>
      <c r="N107" s="23">
        <f>IF($C107="","",INDEX(인턴근무계획!$P$3:$P$202,$A107)&amp;"")</f>
        <v/>
      </c>
      <c r="O107" s="23">
        <f>IF($C107="","",INDEX(인턴근무계획!$Q$3:$Q$202,$A107)&amp;"")</f>
        <v/>
      </c>
      <c r="P107" s="23">
        <f>IF($C107="","",INDEX(인턴근무계획!$R$3:$R$202,$A107)&amp;"")</f>
        <v/>
      </c>
      <c r="Q107" s="23">
        <f>IF($C107="","",INDEX(인턴근무계획!$T$3:$T$202,$A107))</f>
        <v/>
      </c>
    </row>
    <row r="108">
      <c r="A108" s="26" t="n">
        <v>103</v>
      </c>
      <c r="B108" s="23">
        <f>IF($C108="","",INDEX(인턴근무계획!$B$3:$B$202,$A108))</f>
        <v/>
      </c>
      <c r="C108" s="23">
        <f>IFERROR(TRIM(INDEX(인턴근무계획!$C$3:$C$202,$A108)&amp;""),"")</f>
        <v/>
      </c>
      <c r="D108" s="23">
        <f>IF($C108="","",INDEX(인턴근무계획!$D$3:$D$202,$A108))</f>
        <v/>
      </c>
      <c r="E108" s="23">
        <f>IF($C108="","",IF(IFERROR(MATCH($D108,기본자료!$B$2:$B$501,0),IFERROR(MATCH($D108&amp;"",기본자료!$B$2:$B$501,0),IFERROR(MATCH(VALUE($D108),기본자료!$B$2:$B$501,0),0)))&gt;0,"확인","미등록"))</f>
        <v/>
      </c>
      <c r="F108" s="27">
        <f>IF($C108="","",INDEX(인턴근무계획!$S$3:$S$202,$A108))</f>
        <v/>
      </c>
      <c r="G108" s="23">
        <f>IF(OR($C108="",$G$3=""),"",IF(INDEX(인턴근무계획!$M$3:$R$202,$A108,$G$3)&amp;""="","",IF(LEFT(INDEX(인턴근무계획!$M$3:$R$202,$A108,$G$3)&amp;"",1)="⚠",INDEX(인턴근무계획!$M$3:$R$202,$A108,$G$3)&amp;"",LEFT(INDEX(인턴근무계획!$M$3:$R$202,$A108,$G$3)&amp;"",FIND(" ",INDEX(인턴근무계획!$M$3:$R$202,$A108,$G$3)&amp;"")-1))))</f>
        <v/>
      </c>
      <c r="H108" s="23">
        <f>IF(OR($C108="",$G$3=""),"",IF(INDEX(인턴근무계획!$M$3:$R$202,$A108,$G$3)&amp;""="","",IF(LEFT(INDEX(인턴근무계획!$M$3:$R$202,$A108,$G$3)&amp;"",1)="⚠","",MID(INDEX(인턴근무계획!$M$3:$R$202,$A108,$G$3)&amp;"",FIND(" ",INDEX(인턴근무계획!$M$3:$R$202,$A108,$G$3)&amp;"")+1,60))))</f>
        <v/>
      </c>
      <c r="I108" s="23">
        <f>IF(OR($C108="",$I$3=""),"",IF(INDEX(인턴근무계획!$M$3:$R$202,$A108,$I$3)&amp;""="","",IF(LEFT(INDEX(인턴근무계획!$M$3:$R$202,$A108,$I$3)&amp;"",1)="⚠",INDEX(인턴근무계획!$M$3:$R$202,$A108,$I$3)&amp;"",LEFT(INDEX(인턴근무계획!$M$3:$R$202,$A108,$I$3)&amp;"",FIND(" ",INDEX(인턴근무계획!$M$3:$R$202,$A108,$I$3)&amp;"")-1))))</f>
        <v/>
      </c>
      <c r="J108" s="23">
        <f>IF(OR($C108="",$I$3=""),"",IF(INDEX(인턴근무계획!$M$3:$R$202,$A108,$I$3)&amp;""="","",IF(LEFT(INDEX(인턴근무계획!$M$3:$R$202,$A108,$I$3)&amp;"",1)="⚠","",MID(INDEX(인턴근무계획!$M$3:$R$202,$A108,$I$3)&amp;"",FIND(" ",INDEX(인턴근무계획!$M$3:$R$202,$A108,$I$3)&amp;"")+1,60))))</f>
        <v/>
      </c>
      <c r="K108" s="23">
        <f>IF($C108="","",INDEX(인턴근무계획!$M$3:$M$202,$A108)&amp;"")</f>
        <v/>
      </c>
      <c r="L108" s="23">
        <f>IF($C108="","",INDEX(인턴근무계획!$N$3:$N$202,$A108)&amp;"")</f>
        <v/>
      </c>
      <c r="M108" s="23">
        <f>IF($C108="","",INDEX(인턴근무계획!$O$3:$O$202,$A108)&amp;"")</f>
        <v/>
      </c>
      <c r="N108" s="23">
        <f>IF($C108="","",INDEX(인턴근무계획!$P$3:$P$202,$A108)&amp;"")</f>
        <v/>
      </c>
      <c r="O108" s="23">
        <f>IF($C108="","",INDEX(인턴근무계획!$Q$3:$Q$202,$A108)&amp;"")</f>
        <v/>
      </c>
      <c r="P108" s="23">
        <f>IF($C108="","",INDEX(인턴근무계획!$R$3:$R$202,$A108)&amp;"")</f>
        <v/>
      </c>
      <c r="Q108" s="23">
        <f>IF($C108="","",INDEX(인턴근무계획!$T$3:$T$202,$A108))</f>
        <v/>
      </c>
    </row>
    <row r="109">
      <c r="A109" s="26" t="n">
        <v>104</v>
      </c>
      <c r="B109" s="23">
        <f>IF($C109="","",INDEX(인턴근무계획!$B$3:$B$202,$A109))</f>
        <v/>
      </c>
      <c r="C109" s="23">
        <f>IFERROR(TRIM(INDEX(인턴근무계획!$C$3:$C$202,$A109)&amp;""),"")</f>
        <v/>
      </c>
      <c r="D109" s="23">
        <f>IF($C109="","",INDEX(인턴근무계획!$D$3:$D$202,$A109))</f>
        <v/>
      </c>
      <c r="E109" s="23">
        <f>IF($C109="","",IF(IFERROR(MATCH($D109,기본자료!$B$2:$B$501,0),IFERROR(MATCH($D109&amp;"",기본자료!$B$2:$B$501,0),IFERROR(MATCH(VALUE($D109),기본자료!$B$2:$B$501,0),0)))&gt;0,"확인","미등록"))</f>
        <v/>
      </c>
      <c r="F109" s="27">
        <f>IF($C109="","",INDEX(인턴근무계획!$S$3:$S$202,$A109))</f>
        <v/>
      </c>
      <c r="G109" s="23">
        <f>IF(OR($C109="",$G$3=""),"",IF(INDEX(인턴근무계획!$M$3:$R$202,$A109,$G$3)&amp;""="","",IF(LEFT(INDEX(인턴근무계획!$M$3:$R$202,$A109,$G$3)&amp;"",1)="⚠",INDEX(인턴근무계획!$M$3:$R$202,$A109,$G$3)&amp;"",LEFT(INDEX(인턴근무계획!$M$3:$R$202,$A109,$G$3)&amp;"",FIND(" ",INDEX(인턴근무계획!$M$3:$R$202,$A109,$G$3)&amp;"")-1))))</f>
        <v/>
      </c>
      <c r="H109" s="23">
        <f>IF(OR($C109="",$G$3=""),"",IF(INDEX(인턴근무계획!$M$3:$R$202,$A109,$G$3)&amp;""="","",IF(LEFT(INDEX(인턴근무계획!$M$3:$R$202,$A109,$G$3)&amp;"",1)="⚠","",MID(INDEX(인턴근무계획!$M$3:$R$202,$A109,$G$3)&amp;"",FIND(" ",INDEX(인턴근무계획!$M$3:$R$202,$A109,$G$3)&amp;"")+1,60))))</f>
        <v/>
      </c>
      <c r="I109" s="23">
        <f>IF(OR($C109="",$I$3=""),"",IF(INDEX(인턴근무계획!$M$3:$R$202,$A109,$I$3)&amp;""="","",IF(LEFT(INDEX(인턴근무계획!$M$3:$R$202,$A109,$I$3)&amp;"",1)="⚠",INDEX(인턴근무계획!$M$3:$R$202,$A109,$I$3)&amp;"",LEFT(INDEX(인턴근무계획!$M$3:$R$202,$A109,$I$3)&amp;"",FIND(" ",INDEX(인턴근무계획!$M$3:$R$202,$A109,$I$3)&amp;"")-1))))</f>
        <v/>
      </c>
      <c r="J109" s="23">
        <f>IF(OR($C109="",$I$3=""),"",IF(INDEX(인턴근무계획!$M$3:$R$202,$A109,$I$3)&amp;""="","",IF(LEFT(INDEX(인턴근무계획!$M$3:$R$202,$A109,$I$3)&amp;"",1)="⚠","",MID(INDEX(인턴근무계획!$M$3:$R$202,$A109,$I$3)&amp;"",FIND(" ",INDEX(인턴근무계획!$M$3:$R$202,$A109,$I$3)&amp;"")+1,60))))</f>
        <v/>
      </c>
      <c r="K109" s="23">
        <f>IF($C109="","",INDEX(인턴근무계획!$M$3:$M$202,$A109)&amp;"")</f>
        <v/>
      </c>
      <c r="L109" s="23">
        <f>IF($C109="","",INDEX(인턴근무계획!$N$3:$N$202,$A109)&amp;"")</f>
        <v/>
      </c>
      <c r="M109" s="23">
        <f>IF($C109="","",INDEX(인턴근무계획!$O$3:$O$202,$A109)&amp;"")</f>
        <v/>
      </c>
      <c r="N109" s="23">
        <f>IF($C109="","",INDEX(인턴근무계획!$P$3:$P$202,$A109)&amp;"")</f>
        <v/>
      </c>
      <c r="O109" s="23">
        <f>IF($C109="","",INDEX(인턴근무계획!$Q$3:$Q$202,$A109)&amp;"")</f>
        <v/>
      </c>
      <c r="P109" s="23">
        <f>IF($C109="","",INDEX(인턴근무계획!$R$3:$R$202,$A109)&amp;"")</f>
        <v/>
      </c>
      <c r="Q109" s="23">
        <f>IF($C109="","",INDEX(인턴근무계획!$T$3:$T$202,$A109))</f>
        <v/>
      </c>
    </row>
    <row r="110">
      <c r="A110" s="26" t="n">
        <v>105</v>
      </c>
      <c r="B110" s="23">
        <f>IF($C110="","",INDEX(인턴근무계획!$B$3:$B$202,$A110))</f>
        <v/>
      </c>
      <c r="C110" s="23">
        <f>IFERROR(TRIM(INDEX(인턴근무계획!$C$3:$C$202,$A110)&amp;""),"")</f>
        <v/>
      </c>
      <c r="D110" s="23">
        <f>IF($C110="","",INDEX(인턴근무계획!$D$3:$D$202,$A110))</f>
        <v/>
      </c>
      <c r="E110" s="23">
        <f>IF($C110="","",IF(IFERROR(MATCH($D110,기본자료!$B$2:$B$501,0),IFERROR(MATCH($D110&amp;"",기본자료!$B$2:$B$501,0),IFERROR(MATCH(VALUE($D110),기본자료!$B$2:$B$501,0),0)))&gt;0,"확인","미등록"))</f>
        <v/>
      </c>
      <c r="F110" s="27">
        <f>IF($C110="","",INDEX(인턴근무계획!$S$3:$S$202,$A110))</f>
        <v/>
      </c>
      <c r="G110" s="23">
        <f>IF(OR($C110="",$G$3=""),"",IF(INDEX(인턴근무계획!$M$3:$R$202,$A110,$G$3)&amp;""="","",IF(LEFT(INDEX(인턴근무계획!$M$3:$R$202,$A110,$G$3)&amp;"",1)="⚠",INDEX(인턴근무계획!$M$3:$R$202,$A110,$G$3)&amp;"",LEFT(INDEX(인턴근무계획!$M$3:$R$202,$A110,$G$3)&amp;"",FIND(" ",INDEX(인턴근무계획!$M$3:$R$202,$A110,$G$3)&amp;"")-1))))</f>
        <v/>
      </c>
      <c r="H110" s="23">
        <f>IF(OR($C110="",$G$3=""),"",IF(INDEX(인턴근무계획!$M$3:$R$202,$A110,$G$3)&amp;""="","",IF(LEFT(INDEX(인턴근무계획!$M$3:$R$202,$A110,$G$3)&amp;"",1)="⚠","",MID(INDEX(인턴근무계획!$M$3:$R$202,$A110,$G$3)&amp;"",FIND(" ",INDEX(인턴근무계획!$M$3:$R$202,$A110,$G$3)&amp;"")+1,60))))</f>
        <v/>
      </c>
      <c r="I110" s="23">
        <f>IF(OR($C110="",$I$3=""),"",IF(INDEX(인턴근무계획!$M$3:$R$202,$A110,$I$3)&amp;""="","",IF(LEFT(INDEX(인턴근무계획!$M$3:$R$202,$A110,$I$3)&amp;"",1)="⚠",INDEX(인턴근무계획!$M$3:$R$202,$A110,$I$3)&amp;"",LEFT(INDEX(인턴근무계획!$M$3:$R$202,$A110,$I$3)&amp;"",FIND(" ",INDEX(인턴근무계획!$M$3:$R$202,$A110,$I$3)&amp;"")-1))))</f>
        <v/>
      </c>
      <c r="J110" s="23">
        <f>IF(OR($C110="",$I$3=""),"",IF(INDEX(인턴근무계획!$M$3:$R$202,$A110,$I$3)&amp;""="","",IF(LEFT(INDEX(인턴근무계획!$M$3:$R$202,$A110,$I$3)&amp;"",1)="⚠","",MID(INDEX(인턴근무계획!$M$3:$R$202,$A110,$I$3)&amp;"",FIND(" ",INDEX(인턴근무계획!$M$3:$R$202,$A110,$I$3)&amp;"")+1,60))))</f>
        <v/>
      </c>
      <c r="K110" s="23">
        <f>IF($C110="","",INDEX(인턴근무계획!$M$3:$M$202,$A110)&amp;"")</f>
        <v/>
      </c>
      <c r="L110" s="23">
        <f>IF($C110="","",INDEX(인턴근무계획!$N$3:$N$202,$A110)&amp;"")</f>
        <v/>
      </c>
      <c r="M110" s="23">
        <f>IF($C110="","",INDEX(인턴근무계획!$O$3:$O$202,$A110)&amp;"")</f>
        <v/>
      </c>
      <c r="N110" s="23">
        <f>IF($C110="","",INDEX(인턴근무계획!$P$3:$P$202,$A110)&amp;"")</f>
        <v/>
      </c>
      <c r="O110" s="23">
        <f>IF($C110="","",INDEX(인턴근무계획!$Q$3:$Q$202,$A110)&amp;"")</f>
        <v/>
      </c>
      <c r="P110" s="23">
        <f>IF($C110="","",INDEX(인턴근무계획!$R$3:$R$202,$A110)&amp;"")</f>
        <v/>
      </c>
      <c r="Q110" s="23">
        <f>IF($C110="","",INDEX(인턴근무계획!$T$3:$T$202,$A110))</f>
        <v/>
      </c>
    </row>
    <row r="111">
      <c r="A111" s="26" t="n">
        <v>106</v>
      </c>
      <c r="B111" s="23">
        <f>IF($C111="","",INDEX(인턴근무계획!$B$3:$B$202,$A111))</f>
        <v/>
      </c>
      <c r="C111" s="23">
        <f>IFERROR(TRIM(INDEX(인턴근무계획!$C$3:$C$202,$A111)&amp;""),"")</f>
        <v/>
      </c>
      <c r="D111" s="23">
        <f>IF($C111="","",INDEX(인턴근무계획!$D$3:$D$202,$A111))</f>
        <v/>
      </c>
      <c r="E111" s="23">
        <f>IF($C111="","",IF(IFERROR(MATCH($D111,기본자료!$B$2:$B$501,0),IFERROR(MATCH($D111&amp;"",기본자료!$B$2:$B$501,0),IFERROR(MATCH(VALUE($D111),기본자료!$B$2:$B$501,0),0)))&gt;0,"확인","미등록"))</f>
        <v/>
      </c>
      <c r="F111" s="27">
        <f>IF($C111="","",INDEX(인턴근무계획!$S$3:$S$202,$A111))</f>
        <v/>
      </c>
      <c r="G111" s="23">
        <f>IF(OR($C111="",$G$3=""),"",IF(INDEX(인턴근무계획!$M$3:$R$202,$A111,$G$3)&amp;""="","",IF(LEFT(INDEX(인턴근무계획!$M$3:$R$202,$A111,$G$3)&amp;"",1)="⚠",INDEX(인턴근무계획!$M$3:$R$202,$A111,$G$3)&amp;"",LEFT(INDEX(인턴근무계획!$M$3:$R$202,$A111,$G$3)&amp;"",FIND(" ",INDEX(인턴근무계획!$M$3:$R$202,$A111,$G$3)&amp;"")-1))))</f>
        <v/>
      </c>
      <c r="H111" s="23">
        <f>IF(OR($C111="",$G$3=""),"",IF(INDEX(인턴근무계획!$M$3:$R$202,$A111,$G$3)&amp;""="","",IF(LEFT(INDEX(인턴근무계획!$M$3:$R$202,$A111,$G$3)&amp;"",1)="⚠","",MID(INDEX(인턴근무계획!$M$3:$R$202,$A111,$G$3)&amp;"",FIND(" ",INDEX(인턴근무계획!$M$3:$R$202,$A111,$G$3)&amp;"")+1,60))))</f>
        <v/>
      </c>
      <c r="I111" s="23">
        <f>IF(OR($C111="",$I$3=""),"",IF(INDEX(인턴근무계획!$M$3:$R$202,$A111,$I$3)&amp;""="","",IF(LEFT(INDEX(인턴근무계획!$M$3:$R$202,$A111,$I$3)&amp;"",1)="⚠",INDEX(인턴근무계획!$M$3:$R$202,$A111,$I$3)&amp;"",LEFT(INDEX(인턴근무계획!$M$3:$R$202,$A111,$I$3)&amp;"",FIND(" ",INDEX(인턴근무계획!$M$3:$R$202,$A111,$I$3)&amp;"")-1))))</f>
        <v/>
      </c>
      <c r="J111" s="23">
        <f>IF(OR($C111="",$I$3=""),"",IF(INDEX(인턴근무계획!$M$3:$R$202,$A111,$I$3)&amp;""="","",IF(LEFT(INDEX(인턴근무계획!$M$3:$R$202,$A111,$I$3)&amp;"",1)="⚠","",MID(INDEX(인턴근무계획!$M$3:$R$202,$A111,$I$3)&amp;"",FIND(" ",INDEX(인턴근무계획!$M$3:$R$202,$A111,$I$3)&amp;"")+1,60))))</f>
        <v/>
      </c>
      <c r="K111" s="23">
        <f>IF($C111="","",INDEX(인턴근무계획!$M$3:$M$202,$A111)&amp;"")</f>
        <v/>
      </c>
      <c r="L111" s="23">
        <f>IF($C111="","",INDEX(인턴근무계획!$N$3:$N$202,$A111)&amp;"")</f>
        <v/>
      </c>
      <c r="M111" s="23">
        <f>IF($C111="","",INDEX(인턴근무계획!$O$3:$O$202,$A111)&amp;"")</f>
        <v/>
      </c>
      <c r="N111" s="23">
        <f>IF($C111="","",INDEX(인턴근무계획!$P$3:$P$202,$A111)&amp;"")</f>
        <v/>
      </c>
      <c r="O111" s="23">
        <f>IF($C111="","",INDEX(인턴근무계획!$Q$3:$Q$202,$A111)&amp;"")</f>
        <v/>
      </c>
      <c r="P111" s="23">
        <f>IF($C111="","",INDEX(인턴근무계획!$R$3:$R$202,$A111)&amp;"")</f>
        <v/>
      </c>
      <c r="Q111" s="23">
        <f>IF($C111="","",INDEX(인턴근무계획!$T$3:$T$202,$A111))</f>
        <v/>
      </c>
    </row>
    <row r="112">
      <c r="A112" s="26" t="n">
        <v>107</v>
      </c>
      <c r="B112" s="23">
        <f>IF($C112="","",INDEX(인턴근무계획!$B$3:$B$202,$A112))</f>
        <v/>
      </c>
      <c r="C112" s="23">
        <f>IFERROR(TRIM(INDEX(인턴근무계획!$C$3:$C$202,$A112)&amp;""),"")</f>
        <v/>
      </c>
      <c r="D112" s="23">
        <f>IF($C112="","",INDEX(인턴근무계획!$D$3:$D$202,$A112))</f>
        <v/>
      </c>
      <c r="E112" s="23">
        <f>IF($C112="","",IF(IFERROR(MATCH($D112,기본자료!$B$2:$B$501,0),IFERROR(MATCH($D112&amp;"",기본자료!$B$2:$B$501,0),IFERROR(MATCH(VALUE($D112),기본자료!$B$2:$B$501,0),0)))&gt;0,"확인","미등록"))</f>
        <v/>
      </c>
      <c r="F112" s="27">
        <f>IF($C112="","",INDEX(인턴근무계획!$S$3:$S$202,$A112))</f>
        <v/>
      </c>
      <c r="G112" s="23">
        <f>IF(OR($C112="",$G$3=""),"",IF(INDEX(인턴근무계획!$M$3:$R$202,$A112,$G$3)&amp;""="","",IF(LEFT(INDEX(인턴근무계획!$M$3:$R$202,$A112,$G$3)&amp;"",1)="⚠",INDEX(인턴근무계획!$M$3:$R$202,$A112,$G$3)&amp;"",LEFT(INDEX(인턴근무계획!$M$3:$R$202,$A112,$G$3)&amp;"",FIND(" ",INDEX(인턴근무계획!$M$3:$R$202,$A112,$G$3)&amp;"")-1))))</f>
        <v/>
      </c>
      <c r="H112" s="23">
        <f>IF(OR($C112="",$G$3=""),"",IF(INDEX(인턴근무계획!$M$3:$R$202,$A112,$G$3)&amp;""="","",IF(LEFT(INDEX(인턴근무계획!$M$3:$R$202,$A112,$G$3)&amp;"",1)="⚠","",MID(INDEX(인턴근무계획!$M$3:$R$202,$A112,$G$3)&amp;"",FIND(" ",INDEX(인턴근무계획!$M$3:$R$202,$A112,$G$3)&amp;"")+1,60))))</f>
        <v/>
      </c>
      <c r="I112" s="23">
        <f>IF(OR($C112="",$I$3=""),"",IF(INDEX(인턴근무계획!$M$3:$R$202,$A112,$I$3)&amp;""="","",IF(LEFT(INDEX(인턴근무계획!$M$3:$R$202,$A112,$I$3)&amp;"",1)="⚠",INDEX(인턴근무계획!$M$3:$R$202,$A112,$I$3)&amp;"",LEFT(INDEX(인턴근무계획!$M$3:$R$202,$A112,$I$3)&amp;"",FIND(" ",INDEX(인턴근무계획!$M$3:$R$202,$A112,$I$3)&amp;"")-1))))</f>
        <v/>
      </c>
      <c r="J112" s="23">
        <f>IF(OR($C112="",$I$3=""),"",IF(INDEX(인턴근무계획!$M$3:$R$202,$A112,$I$3)&amp;""="","",IF(LEFT(INDEX(인턴근무계획!$M$3:$R$202,$A112,$I$3)&amp;"",1)="⚠","",MID(INDEX(인턴근무계획!$M$3:$R$202,$A112,$I$3)&amp;"",FIND(" ",INDEX(인턴근무계획!$M$3:$R$202,$A112,$I$3)&amp;"")+1,60))))</f>
        <v/>
      </c>
      <c r="K112" s="23">
        <f>IF($C112="","",INDEX(인턴근무계획!$M$3:$M$202,$A112)&amp;"")</f>
        <v/>
      </c>
      <c r="L112" s="23">
        <f>IF($C112="","",INDEX(인턴근무계획!$N$3:$N$202,$A112)&amp;"")</f>
        <v/>
      </c>
      <c r="M112" s="23">
        <f>IF($C112="","",INDEX(인턴근무계획!$O$3:$O$202,$A112)&amp;"")</f>
        <v/>
      </c>
      <c r="N112" s="23">
        <f>IF($C112="","",INDEX(인턴근무계획!$P$3:$P$202,$A112)&amp;"")</f>
        <v/>
      </c>
      <c r="O112" s="23">
        <f>IF($C112="","",INDEX(인턴근무계획!$Q$3:$Q$202,$A112)&amp;"")</f>
        <v/>
      </c>
      <c r="P112" s="23">
        <f>IF($C112="","",INDEX(인턴근무계획!$R$3:$R$202,$A112)&amp;"")</f>
        <v/>
      </c>
      <c r="Q112" s="23">
        <f>IF($C112="","",INDEX(인턴근무계획!$T$3:$T$202,$A112))</f>
        <v/>
      </c>
    </row>
    <row r="113">
      <c r="A113" s="26" t="n">
        <v>108</v>
      </c>
      <c r="B113" s="23">
        <f>IF($C113="","",INDEX(인턴근무계획!$B$3:$B$202,$A113))</f>
        <v/>
      </c>
      <c r="C113" s="23">
        <f>IFERROR(TRIM(INDEX(인턴근무계획!$C$3:$C$202,$A113)&amp;""),"")</f>
        <v/>
      </c>
      <c r="D113" s="23">
        <f>IF($C113="","",INDEX(인턴근무계획!$D$3:$D$202,$A113))</f>
        <v/>
      </c>
      <c r="E113" s="23">
        <f>IF($C113="","",IF(IFERROR(MATCH($D113,기본자료!$B$2:$B$501,0),IFERROR(MATCH($D113&amp;"",기본자료!$B$2:$B$501,0),IFERROR(MATCH(VALUE($D113),기본자료!$B$2:$B$501,0),0)))&gt;0,"확인","미등록"))</f>
        <v/>
      </c>
      <c r="F113" s="27">
        <f>IF($C113="","",INDEX(인턴근무계획!$S$3:$S$202,$A113))</f>
        <v/>
      </c>
      <c r="G113" s="23">
        <f>IF(OR($C113="",$G$3=""),"",IF(INDEX(인턴근무계획!$M$3:$R$202,$A113,$G$3)&amp;""="","",IF(LEFT(INDEX(인턴근무계획!$M$3:$R$202,$A113,$G$3)&amp;"",1)="⚠",INDEX(인턴근무계획!$M$3:$R$202,$A113,$G$3)&amp;"",LEFT(INDEX(인턴근무계획!$M$3:$R$202,$A113,$G$3)&amp;"",FIND(" ",INDEX(인턴근무계획!$M$3:$R$202,$A113,$G$3)&amp;"")-1))))</f>
        <v/>
      </c>
      <c r="H113" s="23">
        <f>IF(OR($C113="",$G$3=""),"",IF(INDEX(인턴근무계획!$M$3:$R$202,$A113,$G$3)&amp;""="","",IF(LEFT(INDEX(인턴근무계획!$M$3:$R$202,$A113,$G$3)&amp;"",1)="⚠","",MID(INDEX(인턴근무계획!$M$3:$R$202,$A113,$G$3)&amp;"",FIND(" ",INDEX(인턴근무계획!$M$3:$R$202,$A113,$G$3)&amp;"")+1,60))))</f>
        <v/>
      </c>
      <c r="I113" s="23">
        <f>IF(OR($C113="",$I$3=""),"",IF(INDEX(인턴근무계획!$M$3:$R$202,$A113,$I$3)&amp;""="","",IF(LEFT(INDEX(인턴근무계획!$M$3:$R$202,$A113,$I$3)&amp;"",1)="⚠",INDEX(인턴근무계획!$M$3:$R$202,$A113,$I$3)&amp;"",LEFT(INDEX(인턴근무계획!$M$3:$R$202,$A113,$I$3)&amp;"",FIND(" ",INDEX(인턴근무계획!$M$3:$R$202,$A113,$I$3)&amp;"")-1))))</f>
        <v/>
      </c>
      <c r="J113" s="23">
        <f>IF(OR($C113="",$I$3=""),"",IF(INDEX(인턴근무계획!$M$3:$R$202,$A113,$I$3)&amp;""="","",IF(LEFT(INDEX(인턴근무계획!$M$3:$R$202,$A113,$I$3)&amp;"",1)="⚠","",MID(INDEX(인턴근무계획!$M$3:$R$202,$A113,$I$3)&amp;"",FIND(" ",INDEX(인턴근무계획!$M$3:$R$202,$A113,$I$3)&amp;"")+1,60))))</f>
        <v/>
      </c>
      <c r="K113" s="23">
        <f>IF($C113="","",INDEX(인턴근무계획!$M$3:$M$202,$A113)&amp;"")</f>
        <v/>
      </c>
      <c r="L113" s="23">
        <f>IF($C113="","",INDEX(인턴근무계획!$N$3:$N$202,$A113)&amp;"")</f>
        <v/>
      </c>
      <c r="M113" s="23">
        <f>IF($C113="","",INDEX(인턴근무계획!$O$3:$O$202,$A113)&amp;"")</f>
        <v/>
      </c>
      <c r="N113" s="23">
        <f>IF($C113="","",INDEX(인턴근무계획!$P$3:$P$202,$A113)&amp;"")</f>
        <v/>
      </c>
      <c r="O113" s="23">
        <f>IF($C113="","",INDEX(인턴근무계획!$Q$3:$Q$202,$A113)&amp;"")</f>
        <v/>
      </c>
      <c r="P113" s="23">
        <f>IF($C113="","",INDEX(인턴근무계획!$R$3:$R$202,$A113)&amp;"")</f>
        <v/>
      </c>
      <c r="Q113" s="23">
        <f>IF($C113="","",INDEX(인턴근무계획!$T$3:$T$202,$A113))</f>
        <v/>
      </c>
    </row>
    <row r="114">
      <c r="A114" s="26" t="n">
        <v>109</v>
      </c>
      <c r="B114" s="23">
        <f>IF($C114="","",INDEX(인턴근무계획!$B$3:$B$202,$A114))</f>
        <v/>
      </c>
      <c r="C114" s="23">
        <f>IFERROR(TRIM(INDEX(인턴근무계획!$C$3:$C$202,$A114)&amp;""),"")</f>
        <v/>
      </c>
      <c r="D114" s="23">
        <f>IF($C114="","",INDEX(인턴근무계획!$D$3:$D$202,$A114))</f>
        <v/>
      </c>
      <c r="E114" s="23">
        <f>IF($C114="","",IF(IFERROR(MATCH($D114,기본자료!$B$2:$B$501,0),IFERROR(MATCH($D114&amp;"",기본자료!$B$2:$B$501,0),IFERROR(MATCH(VALUE($D114),기본자료!$B$2:$B$501,0),0)))&gt;0,"확인","미등록"))</f>
        <v/>
      </c>
      <c r="F114" s="27">
        <f>IF($C114="","",INDEX(인턴근무계획!$S$3:$S$202,$A114))</f>
        <v/>
      </c>
      <c r="G114" s="23">
        <f>IF(OR($C114="",$G$3=""),"",IF(INDEX(인턴근무계획!$M$3:$R$202,$A114,$G$3)&amp;""="","",IF(LEFT(INDEX(인턴근무계획!$M$3:$R$202,$A114,$G$3)&amp;"",1)="⚠",INDEX(인턴근무계획!$M$3:$R$202,$A114,$G$3)&amp;"",LEFT(INDEX(인턴근무계획!$M$3:$R$202,$A114,$G$3)&amp;"",FIND(" ",INDEX(인턴근무계획!$M$3:$R$202,$A114,$G$3)&amp;"")-1))))</f>
        <v/>
      </c>
      <c r="H114" s="23">
        <f>IF(OR($C114="",$G$3=""),"",IF(INDEX(인턴근무계획!$M$3:$R$202,$A114,$G$3)&amp;""="","",IF(LEFT(INDEX(인턴근무계획!$M$3:$R$202,$A114,$G$3)&amp;"",1)="⚠","",MID(INDEX(인턴근무계획!$M$3:$R$202,$A114,$G$3)&amp;"",FIND(" ",INDEX(인턴근무계획!$M$3:$R$202,$A114,$G$3)&amp;"")+1,60))))</f>
        <v/>
      </c>
      <c r="I114" s="23">
        <f>IF(OR($C114="",$I$3=""),"",IF(INDEX(인턴근무계획!$M$3:$R$202,$A114,$I$3)&amp;""="","",IF(LEFT(INDEX(인턴근무계획!$M$3:$R$202,$A114,$I$3)&amp;"",1)="⚠",INDEX(인턴근무계획!$M$3:$R$202,$A114,$I$3)&amp;"",LEFT(INDEX(인턴근무계획!$M$3:$R$202,$A114,$I$3)&amp;"",FIND(" ",INDEX(인턴근무계획!$M$3:$R$202,$A114,$I$3)&amp;"")-1))))</f>
        <v/>
      </c>
      <c r="J114" s="23">
        <f>IF(OR($C114="",$I$3=""),"",IF(INDEX(인턴근무계획!$M$3:$R$202,$A114,$I$3)&amp;""="","",IF(LEFT(INDEX(인턴근무계획!$M$3:$R$202,$A114,$I$3)&amp;"",1)="⚠","",MID(INDEX(인턴근무계획!$M$3:$R$202,$A114,$I$3)&amp;"",FIND(" ",INDEX(인턴근무계획!$M$3:$R$202,$A114,$I$3)&amp;"")+1,60))))</f>
        <v/>
      </c>
      <c r="K114" s="23">
        <f>IF($C114="","",INDEX(인턴근무계획!$M$3:$M$202,$A114)&amp;"")</f>
        <v/>
      </c>
      <c r="L114" s="23">
        <f>IF($C114="","",INDEX(인턴근무계획!$N$3:$N$202,$A114)&amp;"")</f>
        <v/>
      </c>
      <c r="M114" s="23">
        <f>IF($C114="","",INDEX(인턴근무계획!$O$3:$O$202,$A114)&amp;"")</f>
        <v/>
      </c>
      <c r="N114" s="23">
        <f>IF($C114="","",INDEX(인턴근무계획!$P$3:$P$202,$A114)&amp;"")</f>
        <v/>
      </c>
      <c r="O114" s="23">
        <f>IF($C114="","",INDEX(인턴근무계획!$Q$3:$Q$202,$A114)&amp;"")</f>
        <v/>
      </c>
      <c r="P114" s="23">
        <f>IF($C114="","",INDEX(인턴근무계획!$R$3:$R$202,$A114)&amp;"")</f>
        <v/>
      </c>
      <c r="Q114" s="23">
        <f>IF($C114="","",INDEX(인턴근무계획!$T$3:$T$202,$A114))</f>
        <v/>
      </c>
    </row>
    <row r="115">
      <c r="A115" s="26" t="n">
        <v>110</v>
      </c>
      <c r="B115" s="23">
        <f>IF($C115="","",INDEX(인턴근무계획!$B$3:$B$202,$A115))</f>
        <v/>
      </c>
      <c r="C115" s="23">
        <f>IFERROR(TRIM(INDEX(인턴근무계획!$C$3:$C$202,$A115)&amp;""),"")</f>
        <v/>
      </c>
      <c r="D115" s="23">
        <f>IF($C115="","",INDEX(인턴근무계획!$D$3:$D$202,$A115))</f>
        <v/>
      </c>
      <c r="E115" s="23">
        <f>IF($C115="","",IF(IFERROR(MATCH($D115,기본자료!$B$2:$B$501,0),IFERROR(MATCH($D115&amp;"",기본자료!$B$2:$B$501,0),IFERROR(MATCH(VALUE($D115),기본자료!$B$2:$B$501,0),0)))&gt;0,"확인","미등록"))</f>
        <v/>
      </c>
      <c r="F115" s="27">
        <f>IF($C115="","",INDEX(인턴근무계획!$S$3:$S$202,$A115))</f>
        <v/>
      </c>
      <c r="G115" s="23">
        <f>IF(OR($C115="",$G$3=""),"",IF(INDEX(인턴근무계획!$M$3:$R$202,$A115,$G$3)&amp;""="","",IF(LEFT(INDEX(인턴근무계획!$M$3:$R$202,$A115,$G$3)&amp;"",1)="⚠",INDEX(인턴근무계획!$M$3:$R$202,$A115,$G$3)&amp;"",LEFT(INDEX(인턴근무계획!$M$3:$R$202,$A115,$G$3)&amp;"",FIND(" ",INDEX(인턴근무계획!$M$3:$R$202,$A115,$G$3)&amp;"")-1))))</f>
        <v/>
      </c>
      <c r="H115" s="23">
        <f>IF(OR($C115="",$G$3=""),"",IF(INDEX(인턴근무계획!$M$3:$R$202,$A115,$G$3)&amp;""="","",IF(LEFT(INDEX(인턴근무계획!$M$3:$R$202,$A115,$G$3)&amp;"",1)="⚠","",MID(INDEX(인턴근무계획!$M$3:$R$202,$A115,$G$3)&amp;"",FIND(" ",INDEX(인턴근무계획!$M$3:$R$202,$A115,$G$3)&amp;"")+1,60))))</f>
        <v/>
      </c>
      <c r="I115" s="23">
        <f>IF(OR($C115="",$I$3=""),"",IF(INDEX(인턴근무계획!$M$3:$R$202,$A115,$I$3)&amp;""="","",IF(LEFT(INDEX(인턴근무계획!$M$3:$R$202,$A115,$I$3)&amp;"",1)="⚠",INDEX(인턴근무계획!$M$3:$R$202,$A115,$I$3)&amp;"",LEFT(INDEX(인턴근무계획!$M$3:$R$202,$A115,$I$3)&amp;"",FIND(" ",INDEX(인턴근무계획!$M$3:$R$202,$A115,$I$3)&amp;"")-1))))</f>
        <v/>
      </c>
      <c r="J115" s="23">
        <f>IF(OR($C115="",$I$3=""),"",IF(INDEX(인턴근무계획!$M$3:$R$202,$A115,$I$3)&amp;""="","",IF(LEFT(INDEX(인턴근무계획!$M$3:$R$202,$A115,$I$3)&amp;"",1)="⚠","",MID(INDEX(인턴근무계획!$M$3:$R$202,$A115,$I$3)&amp;"",FIND(" ",INDEX(인턴근무계획!$M$3:$R$202,$A115,$I$3)&amp;"")+1,60))))</f>
        <v/>
      </c>
      <c r="K115" s="23">
        <f>IF($C115="","",INDEX(인턴근무계획!$M$3:$M$202,$A115)&amp;"")</f>
        <v/>
      </c>
      <c r="L115" s="23">
        <f>IF($C115="","",INDEX(인턴근무계획!$N$3:$N$202,$A115)&amp;"")</f>
        <v/>
      </c>
      <c r="M115" s="23">
        <f>IF($C115="","",INDEX(인턴근무계획!$O$3:$O$202,$A115)&amp;"")</f>
        <v/>
      </c>
      <c r="N115" s="23">
        <f>IF($C115="","",INDEX(인턴근무계획!$P$3:$P$202,$A115)&amp;"")</f>
        <v/>
      </c>
      <c r="O115" s="23">
        <f>IF($C115="","",INDEX(인턴근무계획!$Q$3:$Q$202,$A115)&amp;"")</f>
        <v/>
      </c>
      <c r="P115" s="23">
        <f>IF($C115="","",INDEX(인턴근무계획!$R$3:$R$202,$A115)&amp;"")</f>
        <v/>
      </c>
      <c r="Q115" s="23">
        <f>IF($C115="","",INDEX(인턴근무계획!$T$3:$T$202,$A115))</f>
        <v/>
      </c>
    </row>
    <row r="116">
      <c r="A116" s="26" t="n">
        <v>111</v>
      </c>
      <c r="B116" s="23">
        <f>IF($C116="","",INDEX(인턴근무계획!$B$3:$B$202,$A116))</f>
        <v/>
      </c>
      <c r="C116" s="23">
        <f>IFERROR(TRIM(INDEX(인턴근무계획!$C$3:$C$202,$A116)&amp;""),"")</f>
        <v/>
      </c>
      <c r="D116" s="23">
        <f>IF($C116="","",INDEX(인턴근무계획!$D$3:$D$202,$A116))</f>
        <v/>
      </c>
      <c r="E116" s="23">
        <f>IF($C116="","",IF(IFERROR(MATCH($D116,기본자료!$B$2:$B$501,0),IFERROR(MATCH($D116&amp;"",기본자료!$B$2:$B$501,0),IFERROR(MATCH(VALUE($D116),기본자료!$B$2:$B$501,0),0)))&gt;0,"확인","미등록"))</f>
        <v/>
      </c>
      <c r="F116" s="27">
        <f>IF($C116="","",INDEX(인턴근무계획!$S$3:$S$202,$A116))</f>
        <v/>
      </c>
      <c r="G116" s="23">
        <f>IF(OR($C116="",$G$3=""),"",IF(INDEX(인턴근무계획!$M$3:$R$202,$A116,$G$3)&amp;""="","",IF(LEFT(INDEX(인턴근무계획!$M$3:$R$202,$A116,$G$3)&amp;"",1)="⚠",INDEX(인턴근무계획!$M$3:$R$202,$A116,$G$3)&amp;"",LEFT(INDEX(인턴근무계획!$M$3:$R$202,$A116,$G$3)&amp;"",FIND(" ",INDEX(인턴근무계획!$M$3:$R$202,$A116,$G$3)&amp;"")-1))))</f>
        <v/>
      </c>
      <c r="H116" s="23">
        <f>IF(OR($C116="",$G$3=""),"",IF(INDEX(인턴근무계획!$M$3:$R$202,$A116,$G$3)&amp;""="","",IF(LEFT(INDEX(인턴근무계획!$M$3:$R$202,$A116,$G$3)&amp;"",1)="⚠","",MID(INDEX(인턴근무계획!$M$3:$R$202,$A116,$G$3)&amp;"",FIND(" ",INDEX(인턴근무계획!$M$3:$R$202,$A116,$G$3)&amp;"")+1,60))))</f>
        <v/>
      </c>
      <c r="I116" s="23">
        <f>IF(OR($C116="",$I$3=""),"",IF(INDEX(인턴근무계획!$M$3:$R$202,$A116,$I$3)&amp;""="","",IF(LEFT(INDEX(인턴근무계획!$M$3:$R$202,$A116,$I$3)&amp;"",1)="⚠",INDEX(인턴근무계획!$M$3:$R$202,$A116,$I$3)&amp;"",LEFT(INDEX(인턴근무계획!$M$3:$R$202,$A116,$I$3)&amp;"",FIND(" ",INDEX(인턴근무계획!$M$3:$R$202,$A116,$I$3)&amp;"")-1))))</f>
        <v/>
      </c>
      <c r="J116" s="23">
        <f>IF(OR($C116="",$I$3=""),"",IF(INDEX(인턴근무계획!$M$3:$R$202,$A116,$I$3)&amp;""="","",IF(LEFT(INDEX(인턴근무계획!$M$3:$R$202,$A116,$I$3)&amp;"",1)="⚠","",MID(INDEX(인턴근무계획!$M$3:$R$202,$A116,$I$3)&amp;"",FIND(" ",INDEX(인턴근무계획!$M$3:$R$202,$A116,$I$3)&amp;"")+1,60))))</f>
        <v/>
      </c>
      <c r="K116" s="23">
        <f>IF($C116="","",INDEX(인턴근무계획!$M$3:$M$202,$A116)&amp;"")</f>
        <v/>
      </c>
      <c r="L116" s="23">
        <f>IF($C116="","",INDEX(인턴근무계획!$N$3:$N$202,$A116)&amp;"")</f>
        <v/>
      </c>
      <c r="M116" s="23">
        <f>IF($C116="","",INDEX(인턴근무계획!$O$3:$O$202,$A116)&amp;"")</f>
        <v/>
      </c>
      <c r="N116" s="23">
        <f>IF($C116="","",INDEX(인턴근무계획!$P$3:$P$202,$A116)&amp;"")</f>
        <v/>
      </c>
      <c r="O116" s="23">
        <f>IF($C116="","",INDEX(인턴근무계획!$Q$3:$Q$202,$A116)&amp;"")</f>
        <v/>
      </c>
      <c r="P116" s="23">
        <f>IF($C116="","",INDEX(인턴근무계획!$R$3:$R$202,$A116)&amp;"")</f>
        <v/>
      </c>
      <c r="Q116" s="23">
        <f>IF($C116="","",INDEX(인턴근무계획!$T$3:$T$202,$A116))</f>
        <v/>
      </c>
    </row>
    <row r="117">
      <c r="A117" s="26" t="n">
        <v>112</v>
      </c>
      <c r="B117" s="23">
        <f>IF($C117="","",INDEX(인턴근무계획!$B$3:$B$202,$A117))</f>
        <v/>
      </c>
      <c r="C117" s="23">
        <f>IFERROR(TRIM(INDEX(인턴근무계획!$C$3:$C$202,$A117)&amp;""),"")</f>
        <v/>
      </c>
      <c r="D117" s="23">
        <f>IF($C117="","",INDEX(인턴근무계획!$D$3:$D$202,$A117))</f>
        <v/>
      </c>
      <c r="E117" s="23">
        <f>IF($C117="","",IF(IFERROR(MATCH($D117,기본자료!$B$2:$B$501,0),IFERROR(MATCH($D117&amp;"",기본자료!$B$2:$B$501,0),IFERROR(MATCH(VALUE($D117),기본자료!$B$2:$B$501,0),0)))&gt;0,"확인","미등록"))</f>
        <v/>
      </c>
      <c r="F117" s="27">
        <f>IF($C117="","",INDEX(인턴근무계획!$S$3:$S$202,$A117))</f>
        <v/>
      </c>
      <c r="G117" s="23">
        <f>IF(OR($C117="",$G$3=""),"",IF(INDEX(인턴근무계획!$M$3:$R$202,$A117,$G$3)&amp;""="","",IF(LEFT(INDEX(인턴근무계획!$M$3:$R$202,$A117,$G$3)&amp;"",1)="⚠",INDEX(인턴근무계획!$M$3:$R$202,$A117,$G$3)&amp;"",LEFT(INDEX(인턴근무계획!$M$3:$R$202,$A117,$G$3)&amp;"",FIND(" ",INDEX(인턴근무계획!$M$3:$R$202,$A117,$G$3)&amp;"")-1))))</f>
        <v/>
      </c>
      <c r="H117" s="23">
        <f>IF(OR($C117="",$G$3=""),"",IF(INDEX(인턴근무계획!$M$3:$R$202,$A117,$G$3)&amp;""="","",IF(LEFT(INDEX(인턴근무계획!$M$3:$R$202,$A117,$G$3)&amp;"",1)="⚠","",MID(INDEX(인턴근무계획!$M$3:$R$202,$A117,$G$3)&amp;"",FIND(" ",INDEX(인턴근무계획!$M$3:$R$202,$A117,$G$3)&amp;"")+1,60))))</f>
        <v/>
      </c>
      <c r="I117" s="23">
        <f>IF(OR($C117="",$I$3=""),"",IF(INDEX(인턴근무계획!$M$3:$R$202,$A117,$I$3)&amp;""="","",IF(LEFT(INDEX(인턴근무계획!$M$3:$R$202,$A117,$I$3)&amp;"",1)="⚠",INDEX(인턴근무계획!$M$3:$R$202,$A117,$I$3)&amp;"",LEFT(INDEX(인턴근무계획!$M$3:$R$202,$A117,$I$3)&amp;"",FIND(" ",INDEX(인턴근무계획!$M$3:$R$202,$A117,$I$3)&amp;"")-1))))</f>
        <v/>
      </c>
      <c r="J117" s="23">
        <f>IF(OR($C117="",$I$3=""),"",IF(INDEX(인턴근무계획!$M$3:$R$202,$A117,$I$3)&amp;""="","",IF(LEFT(INDEX(인턴근무계획!$M$3:$R$202,$A117,$I$3)&amp;"",1)="⚠","",MID(INDEX(인턴근무계획!$M$3:$R$202,$A117,$I$3)&amp;"",FIND(" ",INDEX(인턴근무계획!$M$3:$R$202,$A117,$I$3)&amp;"")+1,60))))</f>
        <v/>
      </c>
      <c r="K117" s="23">
        <f>IF($C117="","",INDEX(인턴근무계획!$M$3:$M$202,$A117)&amp;"")</f>
        <v/>
      </c>
      <c r="L117" s="23">
        <f>IF($C117="","",INDEX(인턴근무계획!$N$3:$N$202,$A117)&amp;"")</f>
        <v/>
      </c>
      <c r="M117" s="23">
        <f>IF($C117="","",INDEX(인턴근무계획!$O$3:$O$202,$A117)&amp;"")</f>
        <v/>
      </c>
      <c r="N117" s="23">
        <f>IF($C117="","",INDEX(인턴근무계획!$P$3:$P$202,$A117)&amp;"")</f>
        <v/>
      </c>
      <c r="O117" s="23">
        <f>IF($C117="","",INDEX(인턴근무계획!$Q$3:$Q$202,$A117)&amp;"")</f>
        <v/>
      </c>
      <c r="P117" s="23">
        <f>IF($C117="","",INDEX(인턴근무계획!$R$3:$R$202,$A117)&amp;"")</f>
        <v/>
      </c>
      <c r="Q117" s="23">
        <f>IF($C117="","",INDEX(인턴근무계획!$T$3:$T$202,$A117))</f>
        <v/>
      </c>
    </row>
    <row r="118">
      <c r="A118" s="26" t="n">
        <v>113</v>
      </c>
      <c r="B118" s="23">
        <f>IF($C118="","",INDEX(인턴근무계획!$B$3:$B$202,$A118))</f>
        <v/>
      </c>
      <c r="C118" s="23">
        <f>IFERROR(TRIM(INDEX(인턴근무계획!$C$3:$C$202,$A118)&amp;""),"")</f>
        <v/>
      </c>
      <c r="D118" s="23">
        <f>IF($C118="","",INDEX(인턴근무계획!$D$3:$D$202,$A118))</f>
        <v/>
      </c>
      <c r="E118" s="23">
        <f>IF($C118="","",IF(IFERROR(MATCH($D118,기본자료!$B$2:$B$501,0),IFERROR(MATCH($D118&amp;"",기본자료!$B$2:$B$501,0),IFERROR(MATCH(VALUE($D118),기본자료!$B$2:$B$501,0),0)))&gt;0,"확인","미등록"))</f>
        <v/>
      </c>
      <c r="F118" s="27">
        <f>IF($C118="","",INDEX(인턴근무계획!$S$3:$S$202,$A118))</f>
        <v/>
      </c>
      <c r="G118" s="23">
        <f>IF(OR($C118="",$G$3=""),"",IF(INDEX(인턴근무계획!$M$3:$R$202,$A118,$G$3)&amp;""="","",IF(LEFT(INDEX(인턴근무계획!$M$3:$R$202,$A118,$G$3)&amp;"",1)="⚠",INDEX(인턴근무계획!$M$3:$R$202,$A118,$G$3)&amp;"",LEFT(INDEX(인턴근무계획!$M$3:$R$202,$A118,$G$3)&amp;"",FIND(" ",INDEX(인턴근무계획!$M$3:$R$202,$A118,$G$3)&amp;"")-1))))</f>
        <v/>
      </c>
      <c r="H118" s="23">
        <f>IF(OR($C118="",$G$3=""),"",IF(INDEX(인턴근무계획!$M$3:$R$202,$A118,$G$3)&amp;""="","",IF(LEFT(INDEX(인턴근무계획!$M$3:$R$202,$A118,$G$3)&amp;"",1)="⚠","",MID(INDEX(인턴근무계획!$M$3:$R$202,$A118,$G$3)&amp;"",FIND(" ",INDEX(인턴근무계획!$M$3:$R$202,$A118,$G$3)&amp;"")+1,60))))</f>
        <v/>
      </c>
      <c r="I118" s="23">
        <f>IF(OR($C118="",$I$3=""),"",IF(INDEX(인턴근무계획!$M$3:$R$202,$A118,$I$3)&amp;""="","",IF(LEFT(INDEX(인턴근무계획!$M$3:$R$202,$A118,$I$3)&amp;"",1)="⚠",INDEX(인턴근무계획!$M$3:$R$202,$A118,$I$3)&amp;"",LEFT(INDEX(인턴근무계획!$M$3:$R$202,$A118,$I$3)&amp;"",FIND(" ",INDEX(인턴근무계획!$M$3:$R$202,$A118,$I$3)&amp;"")-1))))</f>
        <v/>
      </c>
      <c r="J118" s="23">
        <f>IF(OR($C118="",$I$3=""),"",IF(INDEX(인턴근무계획!$M$3:$R$202,$A118,$I$3)&amp;""="","",IF(LEFT(INDEX(인턴근무계획!$M$3:$R$202,$A118,$I$3)&amp;"",1)="⚠","",MID(INDEX(인턴근무계획!$M$3:$R$202,$A118,$I$3)&amp;"",FIND(" ",INDEX(인턴근무계획!$M$3:$R$202,$A118,$I$3)&amp;"")+1,60))))</f>
        <v/>
      </c>
      <c r="K118" s="23">
        <f>IF($C118="","",INDEX(인턴근무계획!$M$3:$M$202,$A118)&amp;"")</f>
        <v/>
      </c>
      <c r="L118" s="23">
        <f>IF($C118="","",INDEX(인턴근무계획!$N$3:$N$202,$A118)&amp;"")</f>
        <v/>
      </c>
      <c r="M118" s="23">
        <f>IF($C118="","",INDEX(인턴근무계획!$O$3:$O$202,$A118)&amp;"")</f>
        <v/>
      </c>
      <c r="N118" s="23">
        <f>IF($C118="","",INDEX(인턴근무계획!$P$3:$P$202,$A118)&amp;"")</f>
        <v/>
      </c>
      <c r="O118" s="23">
        <f>IF($C118="","",INDEX(인턴근무계획!$Q$3:$Q$202,$A118)&amp;"")</f>
        <v/>
      </c>
      <c r="P118" s="23">
        <f>IF($C118="","",INDEX(인턴근무계획!$R$3:$R$202,$A118)&amp;"")</f>
        <v/>
      </c>
      <c r="Q118" s="23">
        <f>IF($C118="","",INDEX(인턴근무계획!$T$3:$T$202,$A118))</f>
        <v/>
      </c>
    </row>
    <row r="119">
      <c r="A119" s="26" t="n">
        <v>114</v>
      </c>
      <c r="B119" s="23">
        <f>IF($C119="","",INDEX(인턴근무계획!$B$3:$B$202,$A119))</f>
        <v/>
      </c>
      <c r="C119" s="23">
        <f>IFERROR(TRIM(INDEX(인턴근무계획!$C$3:$C$202,$A119)&amp;""),"")</f>
        <v/>
      </c>
      <c r="D119" s="23">
        <f>IF($C119="","",INDEX(인턴근무계획!$D$3:$D$202,$A119))</f>
        <v/>
      </c>
      <c r="E119" s="23">
        <f>IF($C119="","",IF(IFERROR(MATCH($D119,기본자료!$B$2:$B$501,0),IFERROR(MATCH($D119&amp;"",기본자료!$B$2:$B$501,0),IFERROR(MATCH(VALUE($D119),기본자료!$B$2:$B$501,0),0)))&gt;0,"확인","미등록"))</f>
        <v/>
      </c>
      <c r="F119" s="27">
        <f>IF($C119="","",INDEX(인턴근무계획!$S$3:$S$202,$A119))</f>
        <v/>
      </c>
      <c r="G119" s="23">
        <f>IF(OR($C119="",$G$3=""),"",IF(INDEX(인턴근무계획!$M$3:$R$202,$A119,$G$3)&amp;""="","",IF(LEFT(INDEX(인턴근무계획!$M$3:$R$202,$A119,$G$3)&amp;"",1)="⚠",INDEX(인턴근무계획!$M$3:$R$202,$A119,$G$3)&amp;"",LEFT(INDEX(인턴근무계획!$M$3:$R$202,$A119,$G$3)&amp;"",FIND(" ",INDEX(인턴근무계획!$M$3:$R$202,$A119,$G$3)&amp;"")-1))))</f>
        <v/>
      </c>
      <c r="H119" s="23">
        <f>IF(OR($C119="",$G$3=""),"",IF(INDEX(인턴근무계획!$M$3:$R$202,$A119,$G$3)&amp;""="","",IF(LEFT(INDEX(인턴근무계획!$M$3:$R$202,$A119,$G$3)&amp;"",1)="⚠","",MID(INDEX(인턴근무계획!$M$3:$R$202,$A119,$G$3)&amp;"",FIND(" ",INDEX(인턴근무계획!$M$3:$R$202,$A119,$G$3)&amp;"")+1,60))))</f>
        <v/>
      </c>
      <c r="I119" s="23">
        <f>IF(OR($C119="",$I$3=""),"",IF(INDEX(인턴근무계획!$M$3:$R$202,$A119,$I$3)&amp;""="","",IF(LEFT(INDEX(인턴근무계획!$M$3:$R$202,$A119,$I$3)&amp;"",1)="⚠",INDEX(인턴근무계획!$M$3:$R$202,$A119,$I$3)&amp;"",LEFT(INDEX(인턴근무계획!$M$3:$R$202,$A119,$I$3)&amp;"",FIND(" ",INDEX(인턴근무계획!$M$3:$R$202,$A119,$I$3)&amp;"")-1))))</f>
        <v/>
      </c>
      <c r="J119" s="23">
        <f>IF(OR($C119="",$I$3=""),"",IF(INDEX(인턴근무계획!$M$3:$R$202,$A119,$I$3)&amp;""="","",IF(LEFT(INDEX(인턴근무계획!$M$3:$R$202,$A119,$I$3)&amp;"",1)="⚠","",MID(INDEX(인턴근무계획!$M$3:$R$202,$A119,$I$3)&amp;"",FIND(" ",INDEX(인턴근무계획!$M$3:$R$202,$A119,$I$3)&amp;"")+1,60))))</f>
        <v/>
      </c>
      <c r="K119" s="23">
        <f>IF($C119="","",INDEX(인턴근무계획!$M$3:$M$202,$A119)&amp;"")</f>
        <v/>
      </c>
      <c r="L119" s="23">
        <f>IF($C119="","",INDEX(인턴근무계획!$N$3:$N$202,$A119)&amp;"")</f>
        <v/>
      </c>
      <c r="M119" s="23">
        <f>IF($C119="","",INDEX(인턴근무계획!$O$3:$O$202,$A119)&amp;"")</f>
        <v/>
      </c>
      <c r="N119" s="23">
        <f>IF($C119="","",INDEX(인턴근무계획!$P$3:$P$202,$A119)&amp;"")</f>
        <v/>
      </c>
      <c r="O119" s="23">
        <f>IF($C119="","",INDEX(인턴근무계획!$Q$3:$Q$202,$A119)&amp;"")</f>
        <v/>
      </c>
      <c r="P119" s="23">
        <f>IF($C119="","",INDEX(인턴근무계획!$R$3:$R$202,$A119)&amp;"")</f>
        <v/>
      </c>
      <c r="Q119" s="23">
        <f>IF($C119="","",INDEX(인턴근무계획!$T$3:$T$202,$A119))</f>
        <v/>
      </c>
    </row>
    <row r="120">
      <c r="A120" s="26" t="n">
        <v>115</v>
      </c>
      <c r="B120" s="23">
        <f>IF($C120="","",INDEX(인턴근무계획!$B$3:$B$202,$A120))</f>
        <v/>
      </c>
      <c r="C120" s="23">
        <f>IFERROR(TRIM(INDEX(인턴근무계획!$C$3:$C$202,$A120)&amp;""),"")</f>
        <v/>
      </c>
      <c r="D120" s="23">
        <f>IF($C120="","",INDEX(인턴근무계획!$D$3:$D$202,$A120))</f>
        <v/>
      </c>
      <c r="E120" s="23">
        <f>IF($C120="","",IF(IFERROR(MATCH($D120,기본자료!$B$2:$B$501,0),IFERROR(MATCH($D120&amp;"",기본자료!$B$2:$B$501,0),IFERROR(MATCH(VALUE($D120),기본자료!$B$2:$B$501,0),0)))&gt;0,"확인","미등록"))</f>
        <v/>
      </c>
      <c r="F120" s="27">
        <f>IF($C120="","",INDEX(인턴근무계획!$S$3:$S$202,$A120))</f>
        <v/>
      </c>
      <c r="G120" s="23">
        <f>IF(OR($C120="",$G$3=""),"",IF(INDEX(인턴근무계획!$M$3:$R$202,$A120,$G$3)&amp;""="","",IF(LEFT(INDEX(인턴근무계획!$M$3:$R$202,$A120,$G$3)&amp;"",1)="⚠",INDEX(인턴근무계획!$M$3:$R$202,$A120,$G$3)&amp;"",LEFT(INDEX(인턴근무계획!$M$3:$R$202,$A120,$G$3)&amp;"",FIND(" ",INDEX(인턴근무계획!$M$3:$R$202,$A120,$G$3)&amp;"")-1))))</f>
        <v/>
      </c>
      <c r="H120" s="23">
        <f>IF(OR($C120="",$G$3=""),"",IF(INDEX(인턴근무계획!$M$3:$R$202,$A120,$G$3)&amp;""="","",IF(LEFT(INDEX(인턴근무계획!$M$3:$R$202,$A120,$G$3)&amp;"",1)="⚠","",MID(INDEX(인턴근무계획!$M$3:$R$202,$A120,$G$3)&amp;"",FIND(" ",INDEX(인턴근무계획!$M$3:$R$202,$A120,$G$3)&amp;"")+1,60))))</f>
        <v/>
      </c>
      <c r="I120" s="23">
        <f>IF(OR($C120="",$I$3=""),"",IF(INDEX(인턴근무계획!$M$3:$R$202,$A120,$I$3)&amp;""="","",IF(LEFT(INDEX(인턴근무계획!$M$3:$R$202,$A120,$I$3)&amp;"",1)="⚠",INDEX(인턴근무계획!$M$3:$R$202,$A120,$I$3)&amp;"",LEFT(INDEX(인턴근무계획!$M$3:$R$202,$A120,$I$3)&amp;"",FIND(" ",INDEX(인턴근무계획!$M$3:$R$202,$A120,$I$3)&amp;"")-1))))</f>
        <v/>
      </c>
      <c r="J120" s="23">
        <f>IF(OR($C120="",$I$3=""),"",IF(INDEX(인턴근무계획!$M$3:$R$202,$A120,$I$3)&amp;""="","",IF(LEFT(INDEX(인턴근무계획!$M$3:$R$202,$A120,$I$3)&amp;"",1)="⚠","",MID(INDEX(인턴근무계획!$M$3:$R$202,$A120,$I$3)&amp;"",FIND(" ",INDEX(인턴근무계획!$M$3:$R$202,$A120,$I$3)&amp;"")+1,60))))</f>
        <v/>
      </c>
      <c r="K120" s="23">
        <f>IF($C120="","",INDEX(인턴근무계획!$M$3:$M$202,$A120)&amp;"")</f>
        <v/>
      </c>
      <c r="L120" s="23">
        <f>IF($C120="","",INDEX(인턴근무계획!$N$3:$N$202,$A120)&amp;"")</f>
        <v/>
      </c>
      <c r="M120" s="23">
        <f>IF($C120="","",INDEX(인턴근무계획!$O$3:$O$202,$A120)&amp;"")</f>
        <v/>
      </c>
      <c r="N120" s="23">
        <f>IF($C120="","",INDEX(인턴근무계획!$P$3:$P$202,$A120)&amp;"")</f>
        <v/>
      </c>
      <c r="O120" s="23">
        <f>IF($C120="","",INDEX(인턴근무계획!$Q$3:$Q$202,$A120)&amp;"")</f>
        <v/>
      </c>
      <c r="P120" s="23">
        <f>IF($C120="","",INDEX(인턴근무계획!$R$3:$R$202,$A120)&amp;"")</f>
        <v/>
      </c>
      <c r="Q120" s="23">
        <f>IF($C120="","",INDEX(인턴근무계획!$T$3:$T$202,$A120))</f>
        <v/>
      </c>
    </row>
    <row r="121">
      <c r="A121" s="26" t="n">
        <v>116</v>
      </c>
      <c r="B121" s="23">
        <f>IF($C121="","",INDEX(인턴근무계획!$B$3:$B$202,$A121))</f>
        <v/>
      </c>
      <c r="C121" s="23">
        <f>IFERROR(TRIM(INDEX(인턴근무계획!$C$3:$C$202,$A121)&amp;""),"")</f>
        <v/>
      </c>
      <c r="D121" s="23">
        <f>IF($C121="","",INDEX(인턴근무계획!$D$3:$D$202,$A121))</f>
        <v/>
      </c>
      <c r="E121" s="23">
        <f>IF($C121="","",IF(IFERROR(MATCH($D121,기본자료!$B$2:$B$501,0),IFERROR(MATCH($D121&amp;"",기본자료!$B$2:$B$501,0),IFERROR(MATCH(VALUE($D121),기본자료!$B$2:$B$501,0),0)))&gt;0,"확인","미등록"))</f>
        <v/>
      </c>
      <c r="F121" s="27">
        <f>IF($C121="","",INDEX(인턴근무계획!$S$3:$S$202,$A121))</f>
        <v/>
      </c>
      <c r="G121" s="23">
        <f>IF(OR($C121="",$G$3=""),"",IF(INDEX(인턴근무계획!$M$3:$R$202,$A121,$G$3)&amp;""="","",IF(LEFT(INDEX(인턴근무계획!$M$3:$R$202,$A121,$G$3)&amp;"",1)="⚠",INDEX(인턴근무계획!$M$3:$R$202,$A121,$G$3)&amp;"",LEFT(INDEX(인턴근무계획!$M$3:$R$202,$A121,$G$3)&amp;"",FIND(" ",INDEX(인턴근무계획!$M$3:$R$202,$A121,$G$3)&amp;"")-1))))</f>
        <v/>
      </c>
      <c r="H121" s="23">
        <f>IF(OR($C121="",$G$3=""),"",IF(INDEX(인턴근무계획!$M$3:$R$202,$A121,$G$3)&amp;""="","",IF(LEFT(INDEX(인턴근무계획!$M$3:$R$202,$A121,$G$3)&amp;"",1)="⚠","",MID(INDEX(인턴근무계획!$M$3:$R$202,$A121,$G$3)&amp;"",FIND(" ",INDEX(인턴근무계획!$M$3:$R$202,$A121,$G$3)&amp;"")+1,60))))</f>
        <v/>
      </c>
      <c r="I121" s="23">
        <f>IF(OR($C121="",$I$3=""),"",IF(INDEX(인턴근무계획!$M$3:$R$202,$A121,$I$3)&amp;""="","",IF(LEFT(INDEX(인턴근무계획!$M$3:$R$202,$A121,$I$3)&amp;"",1)="⚠",INDEX(인턴근무계획!$M$3:$R$202,$A121,$I$3)&amp;"",LEFT(INDEX(인턴근무계획!$M$3:$R$202,$A121,$I$3)&amp;"",FIND(" ",INDEX(인턴근무계획!$M$3:$R$202,$A121,$I$3)&amp;"")-1))))</f>
        <v/>
      </c>
      <c r="J121" s="23">
        <f>IF(OR($C121="",$I$3=""),"",IF(INDEX(인턴근무계획!$M$3:$R$202,$A121,$I$3)&amp;""="","",IF(LEFT(INDEX(인턴근무계획!$M$3:$R$202,$A121,$I$3)&amp;"",1)="⚠","",MID(INDEX(인턴근무계획!$M$3:$R$202,$A121,$I$3)&amp;"",FIND(" ",INDEX(인턴근무계획!$M$3:$R$202,$A121,$I$3)&amp;"")+1,60))))</f>
        <v/>
      </c>
      <c r="K121" s="23">
        <f>IF($C121="","",INDEX(인턴근무계획!$M$3:$M$202,$A121)&amp;"")</f>
        <v/>
      </c>
      <c r="L121" s="23">
        <f>IF($C121="","",INDEX(인턴근무계획!$N$3:$N$202,$A121)&amp;"")</f>
        <v/>
      </c>
      <c r="M121" s="23">
        <f>IF($C121="","",INDEX(인턴근무계획!$O$3:$O$202,$A121)&amp;"")</f>
        <v/>
      </c>
      <c r="N121" s="23">
        <f>IF($C121="","",INDEX(인턴근무계획!$P$3:$P$202,$A121)&amp;"")</f>
        <v/>
      </c>
      <c r="O121" s="23">
        <f>IF($C121="","",INDEX(인턴근무계획!$Q$3:$Q$202,$A121)&amp;"")</f>
        <v/>
      </c>
      <c r="P121" s="23">
        <f>IF($C121="","",INDEX(인턴근무계획!$R$3:$R$202,$A121)&amp;"")</f>
        <v/>
      </c>
      <c r="Q121" s="23">
        <f>IF($C121="","",INDEX(인턴근무계획!$T$3:$T$202,$A121))</f>
        <v/>
      </c>
    </row>
    <row r="122">
      <c r="A122" s="26" t="n">
        <v>117</v>
      </c>
      <c r="B122" s="23">
        <f>IF($C122="","",INDEX(인턴근무계획!$B$3:$B$202,$A122))</f>
        <v/>
      </c>
      <c r="C122" s="23">
        <f>IFERROR(TRIM(INDEX(인턴근무계획!$C$3:$C$202,$A122)&amp;""),"")</f>
        <v/>
      </c>
      <c r="D122" s="23">
        <f>IF($C122="","",INDEX(인턴근무계획!$D$3:$D$202,$A122))</f>
        <v/>
      </c>
      <c r="E122" s="23">
        <f>IF($C122="","",IF(IFERROR(MATCH($D122,기본자료!$B$2:$B$501,0),IFERROR(MATCH($D122&amp;"",기본자료!$B$2:$B$501,0),IFERROR(MATCH(VALUE($D122),기본자료!$B$2:$B$501,0),0)))&gt;0,"확인","미등록"))</f>
        <v/>
      </c>
      <c r="F122" s="27">
        <f>IF($C122="","",INDEX(인턴근무계획!$S$3:$S$202,$A122))</f>
        <v/>
      </c>
      <c r="G122" s="23">
        <f>IF(OR($C122="",$G$3=""),"",IF(INDEX(인턴근무계획!$M$3:$R$202,$A122,$G$3)&amp;""="","",IF(LEFT(INDEX(인턴근무계획!$M$3:$R$202,$A122,$G$3)&amp;"",1)="⚠",INDEX(인턴근무계획!$M$3:$R$202,$A122,$G$3)&amp;"",LEFT(INDEX(인턴근무계획!$M$3:$R$202,$A122,$G$3)&amp;"",FIND(" ",INDEX(인턴근무계획!$M$3:$R$202,$A122,$G$3)&amp;"")-1))))</f>
        <v/>
      </c>
      <c r="H122" s="23">
        <f>IF(OR($C122="",$G$3=""),"",IF(INDEX(인턴근무계획!$M$3:$R$202,$A122,$G$3)&amp;""="","",IF(LEFT(INDEX(인턴근무계획!$M$3:$R$202,$A122,$G$3)&amp;"",1)="⚠","",MID(INDEX(인턴근무계획!$M$3:$R$202,$A122,$G$3)&amp;"",FIND(" ",INDEX(인턴근무계획!$M$3:$R$202,$A122,$G$3)&amp;"")+1,60))))</f>
        <v/>
      </c>
      <c r="I122" s="23">
        <f>IF(OR($C122="",$I$3=""),"",IF(INDEX(인턴근무계획!$M$3:$R$202,$A122,$I$3)&amp;""="","",IF(LEFT(INDEX(인턴근무계획!$M$3:$R$202,$A122,$I$3)&amp;"",1)="⚠",INDEX(인턴근무계획!$M$3:$R$202,$A122,$I$3)&amp;"",LEFT(INDEX(인턴근무계획!$M$3:$R$202,$A122,$I$3)&amp;"",FIND(" ",INDEX(인턴근무계획!$M$3:$R$202,$A122,$I$3)&amp;"")-1))))</f>
        <v/>
      </c>
      <c r="J122" s="23">
        <f>IF(OR($C122="",$I$3=""),"",IF(INDEX(인턴근무계획!$M$3:$R$202,$A122,$I$3)&amp;""="","",IF(LEFT(INDEX(인턴근무계획!$M$3:$R$202,$A122,$I$3)&amp;"",1)="⚠","",MID(INDEX(인턴근무계획!$M$3:$R$202,$A122,$I$3)&amp;"",FIND(" ",INDEX(인턴근무계획!$M$3:$R$202,$A122,$I$3)&amp;"")+1,60))))</f>
        <v/>
      </c>
      <c r="K122" s="23">
        <f>IF($C122="","",INDEX(인턴근무계획!$M$3:$M$202,$A122)&amp;"")</f>
        <v/>
      </c>
      <c r="L122" s="23">
        <f>IF($C122="","",INDEX(인턴근무계획!$N$3:$N$202,$A122)&amp;"")</f>
        <v/>
      </c>
      <c r="M122" s="23">
        <f>IF($C122="","",INDEX(인턴근무계획!$O$3:$O$202,$A122)&amp;"")</f>
        <v/>
      </c>
      <c r="N122" s="23">
        <f>IF($C122="","",INDEX(인턴근무계획!$P$3:$P$202,$A122)&amp;"")</f>
        <v/>
      </c>
      <c r="O122" s="23">
        <f>IF($C122="","",INDEX(인턴근무계획!$Q$3:$Q$202,$A122)&amp;"")</f>
        <v/>
      </c>
      <c r="P122" s="23">
        <f>IF($C122="","",INDEX(인턴근무계획!$R$3:$R$202,$A122)&amp;"")</f>
        <v/>
      </c>
      <c r="Q122" s="23">
        <f>IF($C122="","",INDEX(인턴근무계획!$T$3:$T$202,$A122))</f>
        <v/>
      </c>
    </row>
    <row r="123">
      <c r="A123" s="26" t="n">
        <v>118</v>
      </c>
      <c r="B123" s="23">
        <f>IF($C123="","",INDEX(인턴근무계획!$B$3:$B$202,$A123))</f>
        <v/>
      </c>
      <c r="C123" s="23">
        <f>IFERROR(TRIM(INDEX(인턴근무계획!$C$3:$C$202,$A123)&amp;""),"")</f>
        <v/>
      </c>
      <c r="D123" s="23">
        <f>IF($C123="","",INDEX(인턴근무계획!$D$3:$D$202,$A123))</f>
        <v/>
      </c>
      <c r="E123" s="23">
        <f>IF($C123="","",IF(IFERROR(MATCH($D123,기본자료!$B$2:$B$501,0),IFERROR(MATCH($D123&amp;"",기본자료!$B$2:$B$501,0),IFERROR(MATCH(VALUE($D123),기본자료!$B$2:$B$501,0),0)))&gt;0,"확인","미등록"))</f>
        <v/>
      </c>
      <c r="F123" s="27">
        <f>IF($C123="","",INDEX(인턴근무계획!$S$3:$S$202,$A123))</f>
        <v/>
      </c>
      <c r="G123" s="23">
        <f>IF(OR($C123="",$G$3=""),"",IF(INDEX(인턴근무계획!$M$3:$R$202,$A123,$G$3)&amp;""="","",IF(LEFT(INDEX(인턴근무계획!$M$3:$R$202,$A123,$G$3)&amp;"",1)="⚠",INDEX(인턴근무계획!$M$3:$R$202,$A123,$G$3)&amp;"",LEFT(INDEX(인턴근무계획!$M$3:$R$202,$A123,$G$3)&amp;"",FIND(" ",INDEX(인턴근무계획!$M$3:$R$202,$A123,$G$3)&amp;"")-1))))</f>
        <v/>
      </c>
      <c r="H123" s="23">
        <f>IF(OR($C123="",$G$3=""),"",IF(INDEX(인턴근무계획!$M$3:$R$202,$A123,$G$3)&amp;""="","",IF(LEFT(INDEX(인턴근무계획!$M$3:$R$202,$A123,$G$3)&amp;"",1)="⚠","",MID(INDEX(인턴근무계획!$M$3:$R$202,$A123,$G$3)&amp;"",FIND(" ",INDEX(인턴근무계획!$M$3:$R$202,$A123,$G$3)&amp;"")+1,60))))</f>
        <v/>
      </c>
      <c r="I123" s="23">
        <f>IF(OR($C123="",$I$3=""),"",IF(INDEX(인턴근무계획!$M$3:$R$202,$A123,$I$3)&amp;""="","",IF(LEFT(INDEX(인턴근무계획!$M$3:$R$202,$A123,$I$3)&amp;"",1)="⚠",INDEX(인턴근무계획!$M$3:$R$202,$A123,$I$3)&amp;"",LEFT(INDEX(인턴근무계획!$M$3:$R$202,$A123,$I$3)&amp;"",FIND(" ",INDEX(인턴근무계획!$M$3:$R$202,$A123,$I$3)&amp;"")-1))))</f>
        <v/>
      </c>
      <c r="J123" s="23">
        <f>IF(OR($C123="",$I$3=""),"",IF(INDEX(인턴근무계획!$M$3:$R$202,$A123,$I$3)&amp;""="","",IF(LEFT(INDEX(인턴근무계획!$M$3:$R$202,$A123,$I$3)&amp;"",1)="⚠","",MID(INDEX(인턴근무계획!$M$3:$R$202,$A123,$I$3)&amp;"",FIND(" ",INDEX(인턴근무계획!$M$3:$R$202,$A123,$I$3)&amp;"")+1,60))))</f>
        <v/>
      </c>
      <c r="K123" s="23">
        <f>IF($C123="","",INDEX(인턴근무계획!$M$3:$M$202,$A123)&amp;"")</f>
        <v/>
      </c>
      <c r="L123" s="23">
        <f>IF($C123="","",INDEX(인턴근무계획!$N$3:$N$202,$A123)&amp;"")</f>
        <v/>
      </c>
      <c r="M123" s="23">
        <f>IF($C123="","",INDEX(인턴근무계획!$O$3:$O$202,$A123)&amp;"")</f>
        <v/>
      </c>
      <c r="N123" s="23">
        <f>IF($C123="","",INDEX(인턴근무계획!$P$3:$P$202,$A123)&amp;"")</f>
        <v/>
      </c>
      <c r="O123" s="23">
        <f>IF($C123="","",INDEX(인턴근무계획!$Q$3:$Q$202,$A123)&amp;"")</f>
        <v/>
      </c>
      <c r="P123" s="23">
        <f>IF($C123="","",INDEX(인턴근무계획!$R$3:$R$202,$A123)&amp;"")</f>
        <v/>
      </c>
      <c r="Q123" s="23">
        <f>IF($C123="","",INDEX(인턴근무계획!$T$3:$T$202,$A123))</f>
        <v/>
      </c>
    </row>
    <row r="124">
      <c r="A124" s="26" t="n">
        <v>119</v>
      </c>
      <c r="B124" s="23">
        <f>IF($C124="","",INDEX(인턴근무계획!$B$3:$B$202,$A124))</f>
        <v/>
      </c>
      <c r="C124" s="23">
        <f>IFERROR(TRIM(INDEX(인턴근무계획!$C$3:$C$202,$A124)&amp;""),"")</f>
        <v/>
      </c>
      <c r="D124" s="23">
        <f>IF($C124="","",INDEX(인턴근무계획!$D$3:$D$202,$A124))</f>
        <v/>
      </c>
      <c r="E124" s="23">
        <f>IF($C124="","",IF(IFERROR(MATCH($D124,기본자료!$B$2:$B$501,0),IFERROR(MATCH($D124&amp;"",기본자료!$B$2:$B$501,0),IFERROR(MATCH(VALUE($D124),기본자료!$B$2:$B$501,0),0)))&gt;0,"확인","미등록"))</f>
        <v/>
      </c>
      <c r="F124" s="27">
        <f>IF($C124="","",INDEX(인턴근무계획!$S$3:$S$202,$A124))</f>
        <v/>
      </c>
      <c r="G124" s="23">
        <f>IF(OR($C124="",$G$3=""),"",IF(INDEX(인턴근무계획!$M$3:$R$202,$A124,$G$3)&amp;""="","",IF(LEFT(INDEX(인턴근무계획!$M$3:$R$202,$A124,$G$3)&amp;"",1)="⚠",INDEX(인턴근무계획!$M$3:$R$202,$A124,$G$3)&amp;"",LEFT(INDEX(인턴근무계획!$M$3:$R$202,$A124,$G$3)&amp;"",FIND(" ",INDEX(인턴근무계획!$M$3:$R$202,$A124,$G$3)&amp;"")-1))))</f>
        <v/>
      </c>
      <c r="H124" s="23">
        <f>IF(OR($C124="",$G$3=""),"",IF(INDEX(인턴근무계획!$M$3:$R$202,$A124,$G$3)&amp;""="","",IF(LEFT(INDEX(인턴근무계획!$M$3:$R$202,$A124,$G$3)&amp;"",1)="⚠","",MID(INDEX(인턴근무계획!$M$3:$R$202,$A124,$G$3)&amp;"",FIND(" ",INDEX(인턴근무계획!$M$3:$R$202,$A124,$G$3)&amp;"")+1,60))))</f>
        <v/>
      </c>
      <c r="I124" s="23">
        <f>IF(OR($C124="",$I$3=""),"",IF(INDEX(인턴근무계획!$M$3:$R$202,$A124,$I$3)&amp;""="","",IF(LEFT(INDEX(인턴근무계획!$M$3:$R$202,$A124,$I$3)&amp;"",1)="⚠",INDEX(인턴근무계획!$M$3:$R$202,$A124,$I$3)&amp;"",LEFT(INDEX(인턴근무계획!$M$3:$R$202,$A124,$I$3)&amp;"",FIND(" ",INDEX(인턴근무계획!$M$3:$R$202,$A124,$I$3)&amp;"")-1))))</f>
        <v/>
      </c>
      <c r="J124" s="23">
        <f>IF(OR($C124="",$I$3=""),"",IF(INDEX(인턴근무계획!$M$3:$R$202,$A124,$I$3)&amp;""="","",IF(LEFT(INDEX(인턴근무계획!$M$3:$R$202,$A124,$I$3)&amp;"",1)="⚠","",MID(INDEX(인턴근무계획!$M$3:$R$202,$A124,$I$3)&amp;"",FIND(" ",INDEX(인턴근무계획!$M$3:$R$202,$A124,$I$3)&amp;"")+1,60))))</f>
        <v/>
      </c>
      <c r="K124" s="23">
        <f>IF($C124="","",INDEX(인턴근무계획!$M$3:$M$202,$A124)&amp;"")</f>
        <v/>
      </c>
      <c r="L124" s="23">
        <f>IF($C124="","",INDEX(인턴근무계획!$N$3:$N$202,$A124)&amp;"")</f>
        <v/>
      </c>
      <c r="M124" s="23">
        <f>IF($C124="","",INDEX(인턴근무계획!$O$3:$O$202,$A124)&amp;"")</f>
        <v/>
      </c>
      <c r="N124" s="23">
        <f>IF($C124="","",INDEX(인턴근무계획!$P$3:$P$202,$A124)&amp;"")</f>
        <v/>
      </c>
      <c r="O124" s="23">
        <f>IF($C124="","",INDEX(인턴근무계획!$Q$3:$Q$202,$A124)&amp;"")</f>
        <v/>
      </c>
      <c r="P124" s="23">
        <f>IF($C124="","",INDEX(인턴근무계획!$R$3:$R$202,$A124)&amp;"")</f>
        <v/>
      </c>
      <c r="Q124" s="23">
        <f>IF($C124="","",INDEX(인턴근무계획!$T$3:$T$202,$A124))</f>
        <v/>
      </c>
    </row>
    <row r="125">
      <c r="A125" s="26" t="n">
        <v>120</v>
      </c>
      <c r="B125" s="23">
        <f>IF($C125="","",INDEX(인턴근무계획!$B$3:$B$202,$A125))</f>
        <v/>
      </c>
      <c r="C125" s="23">
        <f>IFERROR(TRIM(INDEX(인턴근무계획!$C$3:$C$202,$A125)&amp;""),"")</f>
        <v/>
      </c>
      <c r="D125" s="23">
        <f>IF($C125="","",INDEX(인턴근무계획!$D$3:$D$202,$A125))</f>
        <v/>
      </c>
      <c r="E125" s="23">
        <f>IF($C125="","",IF(IFERROR(MATCH($D125,기본자료!$B$2:$B$501,0),IFERROR(MATCH($D125&amp;"",기본자료!$B$2:$B$501,0),IFERROR(MATCH(VALUE($D125),기본자료!$B$2:$B$501,0),0)))&gt;0,"확인","미등록"))</f>
        <v/>
      </c>
      <c r="F125" s="27">
        <f>IF($C125="","",INDEX(인턴근무계획!$S$3:$S$202,$A125))</f>
        <v/>
      </c>
      <c r="G125" s="23">
        <f>IF(OR($C125="",$G$3=""),"",IF(INDEX(인턴근무계획!$M$3:$R$202,$A125,$G$3)&amp;""="","",IF(LEFT(INDEX(인턴근무계획!$M$3:$R$202,$A125,$G$3)&amp;"",1)="⚠",INDEX(인턴근무계획!$M$3:$R$202,$A125,$G$3)&amp;"",LEFT(INDEX(인턴근무계획!$M$3:$R$202,$A125,$G$3)&amp;"",FIND(" ",INDEX(인턴근무계획!$M$3:$R$202,$A125,$G$3)&amp;"")-1))))</f>
        <v/>
      </c>
      <c r="H125" s="23">
        <f>IF(OR($C125="",$G$3=""),"",IF(INDEX(인턴근무계획!$M$3:$R$202,$A125,$G$3)&amp;""="","",IF(LEFT(INDEX(인턴근무계획!$M$3:$R$202,$A125,$G$3)&amp;"",1)="⚠","",MID(INDEX(인턴근무계획!$M$3:$R$202,$A125,$G$3)&amp;"",FIND(" ",INDEX(인턴근무계획!$M$3:$R$202,$A125,$G$3)&amp;"")+1,60))))</f>
        <v/>
      </c>
      <c r="I125" s="23">
        <f>IF(OR($C125="",$I$3=""),"",IF(INDEX(인턴근무계획!$M$3:$R$202,$A125,$I$3)&amp;""="","",IF(LEFT(INDEX(인턴근무계획!$M$3:$R$202,$A125,$I$3)&amp;"",1)="⚠",INDEX(인턴근무계획!$M$3:$R$202,$A125,$I$3)&amp;"",LEFT(INDEX(인턴근무계획!$M$3:$R$202,$A125,$I$3)&amp;"",FIND(" ",INDEX(인턴근무계획!$M$3:$R$202,$A125,$I$3)&amp;"")-1))))</f>
        <v/>
      </c>
      <c r="J125" s="23">
        <f>IF(OR($C125="",$I$3=""),"",IF(INDEX(인턴근무계획!$M$3:$R$202,$A125,$I$3)&amp;""="","",IF(LEFT(INDEX(인턴근무계획!$M$3:$R$202,$A125,$I$3)&amp;"",1)="⚠","",MID(INDEX(인턴근무계획!$M$3:$R$202,$A125,$I$3)&amp;"",FIND(" ",INDEX(인턴근무계획!$M$3:$R$202,$A125,$I$3)&amp;"")+1,60))))</f>
        <v/>
      </c>
      <c r="K125" s="23">
        <f>IF($C125="","",INDEX(인턴근무계획!$M$3:$M$202,$A125)&amp;"")</f>
        <v/>
      </c>
      <c r="L125" s="23">
        <f>IF($C125="","",INDEX(인턴근무계획!$N$3:$N$202,$A125)&amp;"")</f>
        <v/>
      </c>
      <c r="M125" s="23">
        <f>IF($C125="","",INDEX(인턴근무계획!$O$3:$O$202,$A125)&amp;"")</f>
        <v/>
      </c>
      <c r="N125" s="23">
        <f>IF($C125="","",INDEX(인턴근무계획!$P$3:$P$202,$A125)&amp;"")</f>
        <v/>
      </c>
      <c r="O125" s="23">
        <f>IF($C125="","",INDEX(인턴근무계획!$Q$3:$Q$202,$A125)&amp;"")</f>
        <v/>
      </c>
      <c r="P125" s="23">
        <f>IF($C125="","",INDEX(인턴근무계획!$R$3:$R$202,$A125)&amp;"")</f>
        <v/>
      </c>
      <c r="Q125" s="23">
        <f>IF($C125="","",INDEX(인턴근무계획!$T$3:$T$202,$A125))</f>
        <v/>
      </c>
    </row>
    <row r="126">
      <c r="A126" s="26" t="n">
        <v>121</v>
      </c>
      <c r="B126" s="23">
        <f>IF($C126="","",INDEX(인턴근무계획!$B$3:$B$202,$A126))</f>
        <v/>
      </c>
      <c r="C126" s="23">
        <f>IFERROR(TRIM(INDEX(인턴근무계획!$C$3:$C$202,$A126)&amp;""),"")</f>
        <v/>
      </c>
      <c r="D126" s="23">
        <f>IF($C126="","",INDEX(인턴근무계획!$D$3:$D$202,$A126))</f>
        <v/>
      </c>
      <c r="E126" s="23">
        <f>IF($C126="","",IF(IFERROR(MATCH($D126,기본자료!$B$2:$B$501,0),IFERROR(MATCH($D126&amp;"",기본자료!$B$2:$B$501,0),IFERROR(MATCH(VALUE($D126),기본자료!$B$2:$B$501,0),0)))&gt;0,"확인","미등록"))</f>
        <v/>
      </c>
      <c r="F126" s="27">
        <f>IF($C126="","",INDEX(인턴근무계획!$S$3:$S$202,$A126))</f>
        <v/>
      </c>
      <c r="G126" s="23">
        <f>IF(OR($C126="",$G$3=""),"",IF(INDEX(인턴근무계획!$M$3:$R$202,$A126,$G$3)&amp;""="","",IF(LEFT(INDEX(인턴근무계획!$M$3:$R$202,$A126,$G$3)&amp;"",1)="⚠",INDEX(인턴근무계획!$M$3:$R$202,$A126,$G$3)&amp;"",LEFT(INDEX(인턴근무계획!$M$3:$R$202,$A126,$G$3)&amp;"",FIND(" ",INDEX(인턴근무계획!$M$3:$R$202,$A126,$G$3)&amp;"")-1))))</f>
        <v/>
      </c>
      <c r="H126" s="23">
        <f>IF(OR($C126="",$G$3=""),"",IF(INDEX(인턴근무계획!$M$3:$R$202,$A126,$G$3)&amp;""="","",IF(LEFT(INDEX(인턴근무계획!$M$3:$R$202,$A126,$G$3)&amp;"",1)="⚠","",MID(INDEX(인턴근무계획!$M$3:$R$202,$A126,$G$3)&amp;"",FIND(" ",INDEX(인턴근무계획!$M$3:$R$202,$A126,$G$3)&amp;"")+1,60))))</f>
        <v/>
      </c>
      <c r="I126" s="23">
        <f>IF(OR($C126="",$I$3=""),"",IF(INDEX(인턴근무계획!$M$3:$R$202,$A126,$I$3)&amp;""="","",IF(LEFT(INDEX(인턴근무계획!$M$3:$R$202,$A126,$I$3)&amp;"",1)="⚠",INDEX(인턴근무계획!$M$3:$R$202,$A126,$I$3)&amp;"",LEFT(INDEX(인턴근무계획!$M$3:$R$202,$A126,$I$3)&amp;"",FIND(" ",INDEX(인턴근무계획!$M$3:$R$202,$A126,$I$3)&amp;"")-1))))</f>
        <v/>
      </c>
      <c r="J126" s="23">
        <f>IF(OR($C126="",$I$3=""),"",IF(INDEX(인턴근무계획!$M$3:$R$202,$A126,$I$3)&amp;""="","",IF(LEFT(INDEX(인턴근무계획!$M$3:$R$202,$A126,$I$3)&amp;"",1)="⚠","",MID(INDEX(인턴근무계획!$M$3:$R$202,$A126,$I$3)&amp;"",FIND(" ",INDEX(인턴근무계획!$M$3:$R$202,$A126,$I$3)&amp;"")+1,60))))</f>
        <v/>
      </c>
      <c r="K126" s="23">
        <f>IF($C126="","",INDEX(인턴근무계획!$M$3:$M$202,$A126)&amp;"")</f>
        <v/>
      </c>
      <c r="L126" s="23">
        <f>IF($C126="","",INDEX(인턴근무계획!$N$3:$N$202,$A126)&amp;"")</f>
        <v/>
      </c>
      <c r="M126" s="23">
        <f>IF($C126="","",INDEX(인턴근무계획!$O$3:$O$202,$A126)&amp;"")</f>
        <v/>
      </c>
      <c r="N126" s="23">
        <f>IF($C126="","",INDEX(인턴근무계획!$P$3:$P$202,$A126)&amp;"")</f>
        <v/>
      </c>
      <c r="O126" s="23">
        <f>IF($C126="","",INDEX(인턴근무계획!$Q$3:$Q$202,$A126)&amp;"")</f>
        <v/>
      </c>
      <c r="P126" s="23">
        <f>IF($C126="","",INDEX(인턴근무계획!$R$3:$R$202,$A126)&amp;"")</f>
        <v/>
      </c>
      <c r="Q126" s="23">
        <f>IF($C126="","",INDEX(인턴근무계획!$T$3:$T$202,$A126))</f>
        <v/>
      </c>
    </row>
    <row r="127">
      <c r="A127" s="26" t="n">
        <v>122</v>
      </c>
      <c r="B127" s="23">
        <f>IF($C127="","",INDEX(인턴근무계획!$B$3:$B$202,$A127))</f>
        <v/>
      </c>
      <c r="C127" s="23">
        <f>IFERROR(TRIM(INDEX(인턴근무계획!$C$3:$C$202,$A127)&amp;""),"")</f>
        <v/>
      </c>
      <c r="D127" s="23">
        <f>IF($C127="","",INDEX(인턴근무계획!$D$3:$D$202,$A127))</f>
        <v/>
      </c>
      <c r="E127" s="23">
        <f>IF($C127="","",IF(IFERROR(MATCH($D127,기본자료!$B$2:$B$501,0),IFERROR(MATCH($D127&amp;"",기본자료!$B$2:$B$501,0),IFERROR(MATCH(VALUE($D127),기본자료!$B$2:$B$501,0),0)))&gt;0,"확인","미등록"))</f>
        <v/>
      </c>
      <c r="F127" s="27">
        <f>IF($C127="","",INDEX(인턴근무계획!$S$3:$S$202,$A127))</f>
        <v/>
      </c>
      <c r="G127" s="23">
        <f>IF(OR($C127="",$G$3=""),"",IF(INDEX(인턴근무계획!$M$3:$R$202,$A127,$G$3)&amp;""="","",IF(LEFT(INDEX(인턴근무계획!$M$3:$R$202,$A127,$G$3)&amp;"",1)="⚠",INDEX(인턴근무계획!$M$3:$R$202,$A127,$G$3)&amp;"",LEFT(INDEX(인턴근무계획!$M$3:$R$202,$A127,$G$3)&amp;"",FIND(" ",INDEX(인턴근무계획!$M$3:$R$202,$A127,$G$3)&amp;"")-1))))</f>
        <v/>
      </c>
      <c r="H127" s="23">
        <f>IF(OR($C127="",$G$3=""),"",IF(INDEX(인턴근무계획!$M$3:$R$202,$A127,$G$3)&amp;""="","",IF(LEFT(INDEX(인턴근무계획!$M$3:$R$202,$A127,$G$3)&amp;"",1)="⚠","",MID(INDEX(인턴근무계획!$M$3:$R$202,$A127,$G$3)&amp;"",FIND(" ",INDEX(인턴근무계획!$M$3:$R$202,$A127,$G$3)&amp;"")+1,60))))</f>
        <v/>
      </c>
      <c r="I127" s="23">
        <f>IF(OR($C127="",$I$3=""),"",IF(INDEX(인턴근무계획!$M$3:$R$202,$A127,$I$3)&amp;""="","",IF(LEFT(INDEX(인턴근무계획!$M$3:$R$202,$A127,$I$3)&amp;"",1)="⚠",INDEX(인턴근무계획!$M$3:$R$202,$A127,$I$3)&amp;"",LEFT(INDEX(인턴근무계획!$M$3:$R$202,$A127,$I$3)&amp;"",FIND(" ",INDEX(인턴근무계획!$M$3:$R$202,$A127,$I$3)&amp;"")-1))))</f>
        <v/>
      </c>
      <c r="J127" s="23">
        <f>IF(OR($C127="",$I$3=""),"",IF(INDEX(인턴근무계획!$M$3:$R$202,$A127,$I$3)&amp;""="","",IF(LEFT(INDEX(인턴근무계획!$M$3:$R$202,$A127,$I$3)&amp;"",1)="⚠","",MID(INDEX(인턴근무계획!$M$3:$R$202,$A127,$I$3)&amp;"",FIND(" ",INDEX(인턴근무계획!$M$3:$R$202,$A127,$I$3)&amp;"")+1,60))))</f>
        <v/>
      </c>
      <c r="K127" s="23">
        <f>IF($C127="","",INDEX(인턴근무계획!$M$3:$M$202,$A127)&amp;"")</f>
        <v/>
      </c>
      <c r="L127" s="23">
        <f>IF($C127="","",INDEX(인턴근무계획!$N$3:$N$202,$A127)&amp;"")</f>
        <v/>
      </c>
      <c r="M127" s="23">
        <f>IF($C127="","",INDEX(인턴근무계획!$O$3:$O$202,$A127)&amp;"")</f>
        <v/>
      </c>
      <c r="N127" s="23">
        <f>IF($C127="","",INDEX(인턴근무계획!$P$3:$P$202,$A127)&amp;"")</f>
        <v/>
      </c>
      <c r="O127" s="23">
        <f>IF($C127="","",INDEX(인턴근무계획!$Q$3:$Q$202,$A127)&amp;"")</f>
        <v/>
      </c>
      <c r="P127" s="23">
        <f>IF($C127="","",INDEX(인턴근무계획!$R$3:$R$202,$A127)&amp;"")</f>
        <v/>
      </c>
      <c r="Q127" s="23">
        <f>IF($C127="","",INDEX(인턴근무계획!$T$3:$T$202,$A127))</f>
        <v/>
      </c>
    </row>
    <row r="128">
      <c r="A128" s="26" t="n">
        <v>123</v>
      </c>
      <c r="B128" s="23">
        <f>IF($C128="","",INDEX(인턴근무계획!$B$3:$B$202,$A128))</f>
        <v/>
      </c>
      <c r="C128" s="23">
        <f>IFERROR(TRIM(INDEX(인턴근무계획!$C$3:$C$202,$A128)&amp;""),"")</f>
        <v/>
      </c>
      <c r="D128" s="23">
        <f>IF($C128="","",INDEX(인턴근무계획!$D$3:$D$202,$A128))</f>
        <v/>
      </c>
      <c r="E128" s="23">
        <f>IF($C128="","",IF(IFERROR(MATCH($D128,기본자료!$B$2:$B$501,0),IFERROR(MATCH($D128&amp;"",기본자료!$B$2:$B$501,0),IFERROR(MATCH(VALUE($D128),기본자료!$B$2:$B$501,0),0)))&gt;0,"확인","미등록"))</f>
        <v/>
      </c>
      <c r="F128" s="27">
        <f>IF($C128="","",INDEX(인턴근무계획!$S$3:$S$202,$A128))</f>
        <v/>
      </c>
      <c r="G128" s="23">
        <f>IF(OR($C128="",$G$3=""),"",IF(INDEX(인턴근무계획!$M$3:$R$202,$A128,$G$3)&amp;""="","",IF(LEFT(INDEX(인턴근무계획!$M$3:$R$202,$A128,$G$3)&amp;"",1)="⚠",INDEX(인턴근무계획!$M$3:$R$202,$A128,$G$3)&amp;"",LEFT(INDEX(인턴근무계획!$M$3:$R$202,$A128,$G$3)&amp;"",FIND(" ",INDEX(인턴근무계획!$M$3:$R$202,$A128,$G$3)&amp;"")-1))))</f>
        <v/>
      </c>
      <c r="H128" s="23">
        <f>IF(OR($C128="",$G$3=""),"",IF(INDEX(인턴근무계획!$M$3:$R$202,$A128,$G$3)&amp;""="","",IF(LEFT(INDEX(인턴근무계획!$M$3:$R$202,$A128,$G$3)&amp;"",1)="⚠","",MID(INDEX(인턴근무계획!$M$3:$R$202,$A128,$G$3)&amp;"",FIND(" ",INDEX(인턴근무계획!$M$3:$R$202,$A128,$G$3)&amp;"")+1,60))))</f>
        <v/>
      </c>
      <c r="I128" s="23">
        <f>IF(OR($C128="",$I$3=""),"",IF(INDEX(인턴근무계획!$M$3:$R$202,$A128,$I$3)&amp;""="","",IF(LEFT(INDEX(인턴근무계획!$M$3:$R$202,$A128,$I$3)&amp;"",1)="⚠",INDEX(인턴근무계획!$M$3:$R$202,$A128,$I$3)&amp;"",LEFT(INDEX(인턴근무계획!$M$3:$R$202,$A128,$I$3)&amp;"",FIND(" ",INDEX(인턴근무계획!$M$3:$R$202,$A128,$I$3)&amp;"")-1))))</f>
        <v/>
      </c>
      <c r="J128" s="23">
        <f>IF(OR($C128="",$I$3=""),"",IF(INDEX(인턴근무계획!$M$3:$R$202,$A128,$I$3)&amp;""="","",IF(LEFT(INDEX(인턴근무계획!$M$3:$R$202,$A128,$I$3)&amp;"",1)="⚠","",MID(INDEX(인턴근무계획!$M$3:$R$202,$A128,$I$3)&amp;"",FIND(" ",INDEX(인턴근무계획!$M$3:$R$202,$A128,$I$3)&amp;"")+1,60))))</f>
        <v/>
      </c>
      <c r="K128" s="23">
        <f>IF($C128="","",INDEX(인턴근무계획!$M$3:$M$202,$A128)&amp;"")</f>
        <v/>
      </c>
      <c r="L128" s="23">
        <f>IF($C128="","",INDEX(인턴근무계획!$N$3:$N$202,$A128)&amp;"")</f>
        <v/>
      </c>
      <c r="M128" s="23">
        <f>IF($C128="","",INDEX(인턴근무계획!$O$3:$O$202,$A128)&amp;"")</f>
        <v/>
      </c>
      <c r="N128" s="23">
        <f>IF($C128="","",INDEX(인턴근무계획!$P$3:$P$202,$A128)&amp;"")</f>
        <v/>
      </c>
      <c r="O128" s="23">
        <f>IF($C128="","",INDEX(인턴근무계획!$Q$3:$Q$202,$A128)&amp;"")</f>
        <v/>
      </c>
      <c r="P128" s="23">
        <f>IF($C128="","",INDEX(인턴근무계획!$R$3:$R$202,$A128)&amp;"")</f>
        <v/>
      </c>
      <c r="Q128" s="23">
        <f>IF($C128="","",INDEX(인턴근무계획!$T$3:$T$202,$A128))</f>
        <v/>
      </c>
    </row>
    <row r="129">
      <c r="A129" s="26" t="n">
        <v>124</v>
      </c>
      <c r="B129" s="23">
        <f>IF($C129="","",INDEX(인턴근무계획!$B$3:$B$202,$A129))</f>
        <v/>
      </c>
      <c r="C129" s="23">
        <f>IFERROR(TRIM(INDEX(인턴근무계획!$C$3:$C$202,$A129)&amp;""),"")</f>
        <v/>
      </c>
      <c r="D129" s="23">
        <f>IF($C129="","",INDEX(인턴근무계획!$D$3:$D$202,$A129))</f>
        <v/>
      </c>
      <c r="E129" s="23">
        <f>IF($C129="","",IF(IFERROR(MATCH($D129,기본자료!$B$2:$B$501,0),IFERROR(MATCH($D129&amp;"",기본자료!$B$2:$B$501,0),IFERROR(MATCH(VALUE($D129),기본자료!$B$2:$B$501,0),0)))&gt;0,"확인","미등록"))</f>
        <v/>
      </c>
      <c r="F129" s="27">
        <f>IF($C129="","",INDEX(인턴근무계획!$S$3:$S$202,$A129))</f>
        <v/>
      </c>
      <c r="G129" s="23">
        <f>IF(OR($C129="",$G$3=""),"",IF(INDEX(인턴근무계획!$M$3:$R$202,$A129,$G$3)&amp;""="","",IF(LEFT(INDEX(인턴근무계획!$M$3:$R$202,$A129,$G$3)&amp;"",1)="⚠",INDEX(인턴근무계획!$M$3:$R$202,$A129,$G$3)&amp;"",LEFT(INDEX(인턴근무계획!$M$3:$R$202,$A129,$G$3)&amp;"",FIND(" ",INDEX(인턴근무계획!$M$3:$R$202,$A129,$G$3)&amp;"")-1))))</f>
        <v/>
      </c>
      <c r="H129" s="23">
        <f>IF(OR($C129="",$G$3=""),"",IF(INDEX(인턴근무계획!$M$3:$R$202,$A129,$G$3)&amp;""="","",IF(LEFT(INDEX(인턴근무계획!$M$3:$R$202,$A129,$G$3)&amp;"",1)="⚠","",MID(INDEX(인턴근무계획!$M$3:$R$202,$A129,$G$3)&amp;"",FIND(" ",INDEX(인턴근무계획!$M$3:$R$202,$A129,$G$3)&amp;"")+1,60))))</f>
        <v/>
      </c>
      <c r="I129" s="23">
        <f>IF(OR($C129="",$I$3=""),"",IF(INDEX(인턴근무계획!$M$3:$R$202,$A129,$I$3)&amp;""="","",IF(LEFT(INDEX(인턴근무계획!$M$3:$R$202,$A129,$I$3)&amp;"",1)="⚠",INDEX(인턴근무계획!$M$3:$R$202,$A129,$I$3)&amp;"",LEFT(INDEX(인턴근무계획!$M$3:$R$202,$A129,$I$3)&amp;"",FIND(" ",INDEX(인턴근무계획!$M$3:$R$202,$A129,$I$3)&amp;"")-1))))</f>
        <v/>
      </c>
      <c r="J129" s="23">
        <f>IF(OR($C129="",$I$3=""),"",IF(INDEX(인턴근무계획!$M$3:$R$202,$A129,$I$3)&amp;""="","",IF(LEFT(INDEX(인턴근무계획!$M$3:$R$202,$A129,$I$3)&amp;"",1)="⚠","",MID(INDEX(인턴근무계획!$M$3:$R$202,$A129,$I$3)&amp;"",FIND(" ",INDEX(인턴근무계획!$M$3:$R$202,$A129,$I$3)&amp;"")+1,60))))</f>
        <v/>
      </c>
      <c r="K129" s="23">
        <f>IF($C129="","",INDEX(인턴근무계획!$M$3:$M$202,$A129)&amp;"")</f>
        <v/>
      </c>
      <c r="L129" s="23">
        <f>IF($C129="","",INDEX(인턴근무계획!$N$3:$N$202,$A129)&amp;"")</f>
        <v/>
      </c>
      <c r="M129" s="23">
        <f>IF($C129="","",INDEX(인턴근무계획!$O$3:$O$202,$A129)&amp;"")</f>
        <v/>
      </c>
      <c r="N129" s="23">
        <f>IF($C129="","",INDEX(인턴근무계획!$P$3:$P$202,$A129)&amp;"")</f>
        <v/>
      </c>
      <c r="O129" s="23">
        <f>IF($C129="","",INDEX(인턴근무계획!$Q$3:$Q$202,$A129)&amp;"")</f>
        <v/>
      </c>
      <c r="P129" s="23">
        <f>IF($C129="","",INDEX(인턴근무계획!$R$3:$R$202,$A129)&amp;"")</f>
        <v/>
      </c>
      <c r="Q129" s="23">
        <f>IF($C129="","",INDEX(인턴근무계획!$T$3:$T$202,$A129))</f>
        <v/>
      </c>
    </row>
    <row r="130">
      <c r="A130" s="26" t="n">
        <v>125</v>
      </c>
      <c r="B130" s="23">
        <f>IF($C130="","",INDEX(인턴근무계획!$B$3:$B$202,$A130))</f>
        <v/>
      </c>
      <c r="C130" s="23">
        <f>IFERROR(TRIM(INDEX(인턴근무계획!$C$3:$C$202,$A130)&amp;""),"")</f>
        <v/>
      </c>
      <c r="D130" s="23">
        <f>IF($C130="","",INDEX(인턴근무계획!$D$3:$D$202,$A130))</f>
        <v/>
      </c>
      <c r="E130" s="23">
        <f>IF($C130="","",IF(IFERROR(MATCH($D130,기본자료!$B$2:$B$501,0),IFERROR(MATCH($D130&amp;"",기본자료!$B$2:$B$501,0),IFERROR(MATCH(VALUE($D130),기본자료!$B$2:$B$501,0),0)))&gt;0,"확인","미등록"))</f>
        <v/>
      </c>
      <c r="F130" s="27">
        <f>IF($C130="","",INDEX(인턴근무계획!$S$3:$S$202,$A130))</f>
        <v/>
      </c>
      <c r="G130" s="23">
        <f>IF(OR($C130="",$G$3=""),"",IF(INDEX(인턴근무계획!$M$3:$R$202,$A130,$G$3)&amp;""="","",IF(LEFT(INDEX(인턴근무계획!$M$3:$R$202,$A130,$G$3)&amp;"",1)="⚠",INDEX(인턴근무계획!$M$3:$R$202,$A130,$G$3)&amp;"",LEFT(INDEX(인턴근무계획!$M$3:$R$202,$A130,$G$3)&amp;"",FIND(" ",INDEX(인턴근무계획!$M$3:$R$202,$A130,$G$3)&amp;"")-1))))</f>
        <v/>
      </c>
      <c r="H130" s="23">
        <f>IF(OR($C130="",$G$3=""),"",IF(INDEX(인턴근무계획!$M$3:$R$202,$A130,$G$3)&amp;""="","",IF(LEFT(INDEX(인턴근무계획!$M$3:$R$202,$A130,$G$3)&amp;"",1)="⚠","",MID(INDEX(인턴근무계획!$M$3:$R$202,$A130,$G$3)&amp;"",FIND(" ",INDEX(인턴근무계획!$M$3:$R$202,$A130,$G$3)&amp;"")+1,60))))</f>
        <v/>
      </c>
      <c r="I130" s="23">
        <f>IF(OR($C130="",$I$3=""),"",IF(INDEX(인턴근무계획!$M$3:$R$202,$A130,$I$3)&amp;""="","",IF(LEFT(INDEX(인턴근무계획!$M$3:$R$202,$A130,$I$3)&amp;"",1)="⚠",INDEX(인턴근무계획!$M$3:$R$202,$A130,$I$3)&amp;"",LEFT(INDEX(인턴근무계획!$M$3:$R$202,$A130,$I$3)&amp;"",FIND(" ",INDEX(인턴근무계획!$M$3:$R$202,$A130,$I$3)&amp;"")-1))))</f>
        <v/>
      </c>
      <c r="J130" s="23">
        <f>IF(OR($C130="",$I$3=""),"",IF(INDEX(인턴근무계획!$M$3:$R$202,$A130,$I$3)&amp;""="","",IF(LEFT(INDEX(인턴근무계획!$M$3:$R$202,$A130,$I$3)&amp;"",1)="⚠","",MID(INDEX(인턴근무계획!$M$3:$R$202,$A130,$I$3)&amp;"",FIND(" ",INDEX(인턴근무계획!$M$3:$R$202,$A130,$I$3)&amp;"")+1,60))))</f>
        <v/>
      </c>
      <c r="K130" s="23">
        <f>IF($C130="","",INDEX(인턴근무계획!$M$3:$M$202,$A130)&amp;"")</f>
        <v/>
      </c>
      <c r="L130" s="23">
        <f>IF($C130="","",INDEX(인턴근무계획!$N$3:$N$202,$A130)&amp;"")</f>
        <v/>
      </c>
      <c r="M130" s="23">
        <f>IF($C130="","",INDEX(인턴근무계획!$O$3:$O$202,$A130)&amp;"")</f>
        <v/>
      </c>
      <c r="N130" s="23">
        <f>IF($C130="","",INDEX(인턴근무계획!$P$3:$P$202,$A130)&amp;"")</f>
        <v/>
      </c>
      <c r="O130" s="23">
        <f>IF($C130="","",INDEX(인턴근무계획!$Q$3:$Q$202,$A130)&amp;"")</f>
        <v/>
      </c>
      <c r="P130" s="23">
        <f>IF($C130="","",INDEX(인턴근무계획!$R$3:$R$202,$A130)&amp;"")</f>
        <v/>
      </c>
      <c r="Q130" s="23">
        <f>IF($C130="","",INDEX(인턴근무계획!$T$3:$T$202,$A130))</f>
        <v/>
      </c>
    </row>
    <row r="131">
      <c r="A131" s="26" t="n">
        <v>126</v>
      </c>
      <c r="B131" s="23">
        <f>IF($C131="","",INDEX(인턴근무계획!$B$3:$B$202,$A131))</f>
        <v/>
      </c>
      <c r="C131" s="23">
        <f>IFERROR(TRIM(INDEX(인턴근무계획!$C$3:$C$202,$A131)&amp;""),"")</f>
        <v/>
      </c>
      <c r="D131" s="23">
        <f>IF($C131="","",INDEX(인턴근무계획!$D$3:$D$202,$A131))</f>
        <v/>
      </c>
      <c r="E131" s="23">
        <f>IF($C131="","",IF(IFERROR(MATCH($D131,기본자료!$B$2:$B$501,0),IFERROR(MATCH($D131&amp;"",기본자료!$B$2:$B$501,0),IFERROR(MATCH(VALUE($D131),기본자료!$B$2:$B$501,0),0)))&gt;0,"확인","미등록"))</f>
        <v/>
      </c>
      <c r="F131" s="27">
        <f>IF($C131="","",INDEX(인턴근무계획!$S$3:$S$202,$A131))</f>
        <v/>
      </c>
      <c r="G131" s="23">
        <f>IF(OR($C131="",$G$3=""),"",IF(INDEX(인턴근무계획!$M$3:$R$202,$A131,$G$3)&amp;""="","",IF(LEFT(INDEX(인턴근무계획!$M$3:$R$202,$A131,$G$3)&amp;"",1)="⚠",INDEX(인턴근무계획!$M$3:$R$202,$A131,$G$3)&amp;"",LEFT(INDEX(인턴근무계획!$M$3:$R$202,$A131,$G$3)&amp;"",FIND(" ",INDEX(인턴근무계획!$M$3:$R$202,$A131,$G$3)&amp;"")-1))))</f>
        <v/>
      </c>
      <c r="H131" s="23">
        <f>IF(OR($C131="",$G$3=""),"",IF(INDEX(인턴근무계획!$M$3:$R$202,$A131,$G$3)&amp;""="","",IF(LEFT(INDEX(인턴근무계획!$M$3:$R$202,$A131,$G$3)&amp;"",1)="⚠","",MID(INDEX(인턴근무계획!$M$3:$R$202,$A131,$G$3)&amp;"",FIND(" ",INDEX(인턴근무계획!$M$3:$R$202,$A131,$G$3)&amp;"")+1,60))))</f>
        <v/>
      </c>
      <c r="I131" s="23">
        <f>IF(OR($C131="",$I$3=""),"",IF(INDEX(인턴근무계획!$M$3:$R$202,$A131,$I$3)&amp;""="","",IF(LEFT(INDEX(인턴근무계획!$M$3:$R$202,$A131,$I$3)&amp;"",1)="⚠",INDEX(인턴근무계획!$M$3:$R$202,$A131,$I$3)&amp;"",LEFT(INDEX(인턴근무계획!$M$3:$R$202,$A131,$I$3)&amp;"",FIND(" ",INDEX(인턴근무계획!$M$3:$R$202,$A131,$I$3)&amp;"")-1))))</f>
        <v/>
      </c>
      <c r="J131" s="23">
        <f>IF(OR($C131="",$I$3=""),"",IF(INDEX(인턴근무계획!$M$3:$R$202,$A131,$I$3)&amp;""="","",IF(LEFT(INDEX(인턴근무계획!$M$3:$R$202,$A131,$I$3)&amp;"",1)="⚠","",MID(INDEX(인턴근무계획!$M$3:$R$202,$A131,$I$3)&amp;"",FIND(" ",INDEX(인턴근무계획!$M$3:$R$202,$A131,$I$3)&amp;"")+1,60))))</f>
        <v/>
      </c>
      <c r="K131" s="23">
        <f>IF($C131="","",INDEX(인턴근무계획!$M$3:$M$202,$A131)&amp;"")</f>
        <v/>
      </c>
      <c r="L131" s="23">
        <f>IF($C131="","",INDEX(인턴근무계획!$N$3:$N$202,$A131)&amp;"")</f>
        <v/>
      </c>
      <c r="M131" s="23">
        <f>IF($C131="","",INDEX(인턴근무계획!$O$3:$O$202,$A131)&amp;"")</f>
        <v/>
      </c>
      <c r="N131" s="23">
        <f>IF($C131="","",INDEX(인턴근무계획!$P$3:$P$202,$A131)&amp;"")</f>
        <v/>
      </c>
      <c r="O131" s="23">
        <f>IF($C131="","",INDEX(인턴근무계획!$Q$3:$Q$202,$A131)&amp;"")</f>
        <v/>
      </c>
      <c r="P131" s="23">
        <f>IF($C131="","",INDEX(인턴근무계획!$R$3:$R$202,$A131)&amp;"")</f>
        <v/>
      </c>
      <c r="Q131" s="23">
        <f>IF($C131="","",INDEX(인턴근무계획!$T$3:$T$202,$A131))</f>
        <v/>
      </c>
    </row>
    <row r="132">
      <c r="A132" s="26" t="n">
        <v>127</v>
      </c>
      <c r="B132" s="23">
        <f>IF($C132="","",INDEX(인턴근무계획!$B$3:$B$202,$A132))</f>
        <v/>
      </c>
      <c r="C132" s="23">
        <f>IFERROR(TRIM(INDEX(인턴근무계획!$C$3:$C$202,$A132)&amp;""),"")</f>
        <v/>
      </c>
      <c r="D132" s="23">
        <f>IF($C132="","",INDEX(인턴근무계획!$D$3:$D$202,$A132))</f>
        <v/>
      </c>
      <c r="E132" s="23">
        <f>IF($C132="","",IF(IFERROR(MATCH($D132,기본자료!$B$2:$B$501,0),IFERROR(MATCH($D132&amp;"",기본자료!$B$2:$B$501,0),IFERROR(MATCH(VALUE($D132),기본자료!$B$2:$B$501,0),0)))&gt;0,"확인","미등록"))</f>
        <v/>
      </c>
      <c r="F132" s="27">
        <f>IF($C132="","",INDEX(인턴근무계획!$S$3:$S$202,$A132))</f>
        <v/>
      </c>
      <c r="G132" s="23">
        <f>IF(OR($C132="",$G$3=""),"",IF(INDEX(인턴근무계획!$M$3:$R$202,$A132,$G$3)&amp;""="","",IF(LEFT(INDEX(인턴근무계획!$M$3:$R$202,$A132,$G$3)&amp;"",1)="⚠",INDEX(인턴근무계획!$M$3:$R$202,$A132,$G$3)&amp;"",LEFT(INDEX(인턴근무계획!$M$3:$R$202,$A132,$G$3)&amp;"",FIND(" ",INDEX(인턴근무계획!$M$3:$R$202,$A132,$G$3)&amp;"")-1))))</f>
        <v/>
      </c>
      <c r="H132" s="23">
        <f>IF(OR($C132="",$G$3=""),"",IF(INDEX(인턴근무계획!$M$3:$R$202,$A132,$G$3)&amp;""="","",IF(LEFT(INDEX(인턴근무계획!$M$3:$R$202,$A132,$G$3)&amp;"",1)="⚠","",MID(INDEX(인턴근무계획!$M$3:$R$202,$A132,$G$3)&amp;"",FIND(" ",INDEX(인턴근무계획!$M$3:$R$202,$A132,$G$3)&amp;"")+1,60))))</f>
        <v/>
      </c>
      <c r="I132" s="23">
        <f>IF(OR($C132="",$I$3=""),"",IF(INDEX(인턴근무계획!$M$3:$R$202,$A132,$I$3)&amp;""="","",IF(LEFT(INDEX(인턴근무계획!$M$3:$R$202,$A132,$I$3)&amp;"",1)="⚠",INDEX(인턴근무계획!$M$3:$R$202,$A132,$I$3)&amp;"",LEFT(INDEX(인턴근무계획!$M$3:$R$202,$A132,$I$3)&amp;"",FIND(" ",INDEX(인턴근무계획!$M$3:$R$202,$A132,$I$3)&amp;"")-1))))</f>
        <v/>
      </c>
      <c r="J132" s="23">
        <f>IF(OR($C132="",$I$3=""),"",IF(INDEX(인턴근무계획!$M$3:$R$202,$A132,$I$3)&amp;""="","",IF(LEFT(INDEX(인턴근무계획!$M$3:$R$202,$A132,$I$3)&amp;"",1)="⚠","",MID(INDEX(인턴근무계획!$M$3:$R$202,$A132,$I$3)&amp;"",FIND(" ",INDEX(인턴근무계획!$M$3:$R$202,$A132,$I$3)&amp;"")+1,60))))</f>
        <v/>
      </c>
      <c r="K132" s="23">
        <f>IF($C132="","",INDEX(인턴근무계획!$M$3:$M$202,$A132)&amp;"")</f>
        <v/>
      </c>
      <c r="L132" s="23">
        <f>IF($C132="","",INDEX(인턴근무계획!$N$3:$N$202,$A132)&amp;"")</f>
        <v/>
      </c>
      <c r="M132" s="23">
        <f>IF($C132="","",INDEX(인턴근무계획!$O$3:$O$202,$A132)&amp;"")</f>
        <v/>
      </c>
      <c r="N132" s="23">
        <f>IF($C132="","",INDEX(인턴근무계획!$P$3:$P$202,$A132)&amp;"")</f>
        <v/>
      </c>
      <c r="O132" s="23">
        <f>IF($C132="","",INDEX(인턴근무계획!$Q$3:$Q$202,$A132)&amp;"")</f>
        <v/>
      </c>
      <c r="P132" s="23">
        <f>IF($C132="","",INDEX(인턴근무계획!$R$3:$R$202,$A132)&amp;"")</f>
        <v/>
      </c>
      <c r="Q132" s="23">
        <f>IF($C132="","",INDEX(인턴근무계획!$T$3:$T$202,$A132))</f>
        <v/>
      </c>
    </row>
    <row r="133">
      <c r="A133" s="26" t="n">
        <v>128</v>
      </c>
      <c r="B133" s="23">
        <f>IF($C133="","",INDEX(인턴근무계획!$B$3:$B$202,$A133))</f>
        <v/>
      </c>
      <c r="C133" s="23">
        <f>IFERROR(TRIM(INDEX(인턴근무계획!$C$3:$C$202,$A133)&amp;""),"")</f>
        <v/>
      </c>
      <c r="D133" s="23">
        <f>IF($C133="","",INDEX(인턴근무계획!$D$3:$D$202,$A133))</f>
        <v/>
      </c>
      <c r="E133" s="23">
        <f>IF($C133="","",IF(IFERROR(MATCH($D133,기본자료!$B$2:$B$501,0),IFERROR(MATCH($D133&amp;"",기본자료!$B$2:$B$501,0),IFERROR(MATCH(VALUE($D133),기본자료!$B$2:$B$501,0),0)))&gt;0,"확인","미등록"))</f>
        <v/>
      </c>
      <c r="F133" s="27">
        <f>IF($C133="","",INDEX(인턴근무계획!$S$3:$S$202,$A133))</f>
        <v/>
      </c>
      <c r="G133" s="23">
        <f>IF(OR($C133="",$G$3=""),"",IF(INDEX(인턴근무계획!$M$3:$R$202,$A133,$G$3)&amp;""="","",IF(LEFT(INDEX(인턴근무계획!$M$3:$R$202,$A133,$G$3)&amp;"",1)="⚠",INDEX(인턴근무계획!$M$3:$R$202,$A133,$G$3)&amp;"",LEFT(INDEX(인턴근무계획!$M$3:$R$202,$A133,$G$3)&amp;"",FIND(" ",INDEX(인턴근무계획!$M$3:$R$202,$A133,$G$3)&amp;"")-1))))</f>
        <v/>
      </c>
      <c r="H133" s="23">
        <f>IF(OR($C133="",$G$3=""),"",IF(INDEX(인턴근무계획!$M$3:$R$202,$A133,$G$3)&amp;""="","",IF(LEFT(INDEX(인턴근무계획!$M$3:$R$202,$A133,$G$3)&amp;"",1)="⚠","",MID(INDEX(인턴근무계획!$M$3:$R$202,$A133,$G$3)&amp;"",FIND(" ",INDEX(인턴근무계획!$M$3:$R$202,$A133,$G$3)&amp;"")+1,60))))</f>
        <v/>
      </c>
      <c r="I133" s="23">
        <f>IF(OR($C133="",$I$3=""),"",IF(INDEX(인턴근무계획!$M$3:$R$202,$A133,$I$3)&amp;""="","",IF(LEFT(INDEX(인턴근무계획!$M$3:$R$202,$A133,$I$3)&amp;"",1)="⚠",INDEX(인턴근무계획!$M$3:$R$202,$A133,$I$3)&amp;"",LEFT(INDEX(인턴근무계획!$M$3:$R$202,$A133,$I$3)&amp;"",FIND(" ",INDEX(인턴근무계획!$M$3:$R$202,$A133,$I$3)&amp;"")-1))))</f>
        <v/>
      </c>
      <c r="J133" s="23">
        <f>IF(OR($C133="",$I$3=""),"",IF(INDEX(인턴근무계획!$M$3:$R$202,$A133,$I$3)&amp;""="","",IF(LEFT(INDEX(인턴근무계획!$M$3:$R$202,$A133,$I$3)&amp;"",1)="⚠","",MID(INDEX(인턴근무계획!$M$3:$R$202,$A133,$I$3)&amp;"",FIND(" ",INDEX(인턴근무계획!$M$3:$R$202,$A133,$I$3)&amp;"")+1,60))))</f>
        <v/>
      </c>
      <c r="K133" s="23">
        <f>IF($C133="","",INDEX(인턴근무계획!$M$3:$M$202,$A133)&amp;"")</f>
        <v/>
      </c>
      <c r="L133" s="23">
        <f>IF($C133="","",INDEX(인턴근무계획!$N$3:$N$202,$A133)&amp;"")</f>
        <v/>
      </c>
      <c r="M133" s="23">
        <f>IF($C133="","",INDEX(인턴근무계획!$O$3:$O$202,$A133)&amp;"")</f>
        <v/>
      </c>
      <c r="N133" s="23">
        <f>IF($C133="","",INDEX(인턴근무계획!$P$3:$P$202,$A133)&amp;"")</f>
        <v/>
      </c>
      <c r="O133" s="23">
        <f>IF($C133="","",INDEX(인턴근무계획!$Q$3:$Q$202,$A133)&amp;"")</f>
        <v/>
      </c>
      <c r="P133" s="23">
        <f>IF($C133="","",INDEX(인턴근무계획!$R$3:$R$202,$A133)&amp;"")</f>
        <v/>
      </c>
      <c r="Q133" s="23">
        <f>IF($C133="","",INDEX(인턴근무계획!$T$3:$T$202,$A133))</f>
        <v/>
      </c>
    </row>
    <row r="134">
      <c r="A134" s="26" t="n">
        <v>129</v>
      </c>
      <c r="B134" s="23">
        <f>IF($C134="","",INDEX(인턴근무계획!$B$3:$B$202,$A134))</f>
        <v/>
      </c>
      <c r="C134" s="23">
        <f>IFERROR(TRIM(INDEX(인턴근무계획!$C$3:$C$202,$A134)&amp;""),"")</f>
        <v/>
      </c>
      <c r="D134" s="23">
        <f>IF($C134="","",INDEX(인턴근무계획!$D$3:$D$202,$A134))</f>
        <v/>
      </c>
      <c r="E134" s="23">
        <f>IF($C134="","",IF(IFERROR(MATCH($D134,기본자료!$B$2:$B$501,0),IFERROR(MATCH($D134&amp;"",기본자료!$B$2:$B$501,0),IFERROR(MATCH(VALUE($D134),기본자료!$B$2:$B$501,0),0)))&gt;0,"확인","미등록"))</f>
        <v/>
      </c>
      <c r="F134" s="27">
        <f>IF($C134="","",INDEX(인턴근무계획!$S$3:$S$202,$A134))</f>
        <v/>
      </c>
      <c r="G134" s="23">
        <f>IF(OR($C134="",$G$3=""),"",IF(INDEX(인턴근무계획!$M$3:$R$202,$A134,$G$3)&amp;""="","",IF(LEFT(INDEX(인턴근무계획!$M$3:$R$202,$A134,$G$3)&amp;"",1)="⚠",INDEX(인턴근무계획!$M$3:$R$202,$A134,$G$3)&amp;"",LEFT(INDEX(인턴근무계획!$M$3:$R$202,$A134,$G$3)&amp;"",FIND(" ",INDEX(인턴근무계획!$M$3:$R$202,$A134,$G$3)&amp;"")-1))))</f>
        <v/>
      </c>
      <c r="H134" s="23">
        <f>IF(OR($C134="",$G$3=""),"",IF(INDEX(인턴근무계획!$M$3:$R$202,$A134,$G$3)&amp;""="","",IF(LEFT(INDEX(인턴근무계획!$M$3:$R$202,$A134,$G$3)&amp;"",1)="⚠","",MID(INDEX(인턴근무계획!$M$3:$R$202,$A134,$G$3)&amp;"",FIND(" ",INDEX(인턴근무계획!$M$3:$R$202,$A134,$G$3)&amp;"")+1,60))))</f>
        <v/>
      </c>
      <c r="I134" s="23">
        <f>IF(OR($C134="",$I$3=""),"",IF(INDEX(인턴근무계획!$M$3:$R$202,$A134,$I$3)&amp;""="","",IF(LEFT(INDEX(인턴근무계획!$M$3:$R$202,$A134,$I$3)&amp;"",1)="⚠",INDEX(인턴근무계획!$M$3:$R$202,$A134,$I$3)&amp;"",LEFT(INDEX(인턴근무계획!$M$3:$R$202,$A134,$I$3)&amp;"",FIND(" ",INDEX(인턴근무계획!$M$3:$R$202,$A134,$I$3)&amp;"")-1))))</f>
        <v/>
      </c>
      <c r="J134" s="23">
        <f>IF(OR($C134="",$I$3=""),"",IF(INDEX(인턴근무계획!$M$3:$R$202,$A134,$I$3)&amp;""="","",IF(LEFT(INDEX(인턴근무계획!$M$3:$R$202,$A134,$I$3)&amp;"",1)="⚠","",MID(INDEX(인턴근무계획!$M$3:$R$202,$A134,$I$3)&amp;"",FIND(" ",INDEX(인턴근무계획!$M$3:$R$202,$A134,$I$3)&amp;"")+1,60))))</f>
        <v/>
      </c>
      <c r="K134" s="23">
        <f>IF($C134="","",INDEX(인턴근무계획!$M$3:$M$202,$A134)&amp;"")</f>
        <v/>
      </c>
      <c r="L134" s="23">
        <f>IF($C134="","",INDEX(인턴근무계획!$N$3:$N$202,$A134)&amp;"")</f>
        <v/>
      </c>
      <c r="M134" s="23">
        <f>IF($C134="","",INDEX(인턴근무계획!$O$3:$O$202,$A134)&amp;"")</f>
        <v/>
      </c>
      <c r="N134" s="23">
        <f>IF($C134="","",INDEX(인턴근무계획!$P$3:$P$202,$A134)&amp;"")</f>
        <v/>
      </c>
      <c r="O134" s="23">
        <f>IF($C134="","",INDEX(인턴근무계획!$Q$3:$Q$202,$A134)&amp;"")</f>
        <v/>
      </c>
      <c r="P134" s="23">
        <f>IF($C134="","",INDEX(인턴근무계획!$R$3:$R$202,$A134)&amp;"")</f>
        <v/>
      </c>
      <c r="Q134" s="23">
        <f>IF($C134="","",INDEX(인턴근무계획!$T$3:$T$202,$A134))</f>
        <v/>
      </c>
    </row>
    <row r="135">
      <c r="A135" s="26" t="n">
        <v>130</v>
      </c>
      <c r="B135" s="23">
        <f>IF($C135="","",INDEX(인턴근무계획!$B$3:$B$202,$A135))</f>
        <v/>
      </c>
      <c r="C135" s="23">
        <f>IFERROR(TRIM(INDEX(인턴근무계획!$C$3:$C$202,$A135)&amp;""),"")</f>
        <v/>
      </c>
      <c r="D135" s="23">
        <f>IF($C135="","",INDEX(인턴근무계획!$D$3:$D$202,$A135))</f>
        <v/>
      </c>
      <c r="E135" s="23">
        <f>IF($C135="","",IF(IFERROR(MATCH($D135,기본자료!$B$2:$B$501,0),IFERROR(MATCH($D135&amp;"",기본자료!$B$2:$B$501,0),IFERROR(MATCH(VALUE($D135),기본자료!$B$2:$B$501,0),0)))&gt;0,"확인","미등록"))</f>
        <v/>
      </c>
      <c r="F135" s="27">
        <f>IF($C135="","",INDEX(인턴근무계획!$S$3:$S$202,$A135))</f>
        <v/>
      </c>
      <c r="G135" s="23">
        <f>IF(OR($C135="",$G$3=""),"",IF(INDEX(인턴근무계획!$M$3:$R$202,$A135,$G$3)&amp;""="","",IF(LEFT(INDEX(인턴근무계획!$M$3:$R$202,$A135,$G$3)&amp;"",1)="⚠",INDEX(인턴근무계획!$M$3:$R$202,$A135,$G$3)&amp;"",LEFT(INDEX(인턴근무계획!$M$3:$R$202,$A135,$G$3)&amp;"",FIND(" ",INDEX(인턴근무계획!$M$3:$R$202,$A135,$G$3)&amp;"")-1))))</f>
        <v/>
      </c>
      <c r="H135" s="23">
        <f>IF(OR($C135="",$G$3=""),"",IF(INDEX(인턴근무계획!$M$3:$R$202,$A135,$G$3)&amp;""="","",IF(LEFT(INDEX(인턴근무계획!$M$3:$R$202,$A135,$G$3)&amp;"",1)="⚠","",MID(INDEX(인턴근무계획!$M$3:$R$202,$A135,$G$3)&amp;"",FIND(" ",INDEX(인턴근무계획!$M$3:$R$202,$A135,$G$3)&amp;"")+1,60))))</f>
        <v/>
      </c>
      <c r="I135" s="23">
        <f>IF(OR($C135="",$I$3=""),"",IF(INDEX(인턴근무계획!$M$3:$R$202,$A135,$I$3)&amp;""="","",IF(LEFT(INDEX(인턴근무계획!$M$3:$R$202,$A135,$I$3)&amp;"",1)="⚠",INDEX(인턴근무계획!$M$3:$R$202,$A135,$I$3)&amp;"",LEFT(INDEX(인턴근무계획!$M$3:$R$202,$A135,$I$3)&amp;"",FIND(" ",INDEX(인턴근무계획!$M$3:$R$202,$A135,$I$3)&amp;"")-1))))</f>
        <v/>
      </c>
      <c r="J135" s="23">
        <f>IF(OR($C135="",$I$3=""),"",IF(INDEX(인턴근무계획!$M$3:$R$202,$A135,$I$3)&amp;""="","",IF(LEFT(INDEX(인턴근무계획!$M$3:$R$202,$A135,$I$3)&amp;"",1)="⚠","",MID(INDEX(인턴근무계획!$M$3:$R$202,$A135,$I$3)&amp;"",FIND(" ",INDEX(인턴근무계획!$M$3:$R$202,$A135,$I$3)&amp;"")+1,60))))</f>
        <v/>
      </c>
      <c r="K135" s="23">
        <f>IF($C135="","",INDEX(인턴근무계획!$M$3:$M$202,$A135)&amp;"")</f>
        <v/>
      </c>
      <c r="L135" s="23">
        <f>IF($C135="","",INDEX(인턴근무계획!$N$3:$N$202,$A135)&amp;"")</f>
        <v/>
      </c>
      <c r="M135" s="23">
        <f>IF($C135="","",INDEX(인턴근무계획!$O$3:$O$202,$A135)&amp;"")</f>
        <v/>
      </c>
      <c r="N135" s="23">
        <f>IF($C135="","",INDEX(인턴근무계획!$P$3:$P$202,$A135)&amp;"")</f>
        <v/>
      </c>
      <c r="O135" s="23">
        <f>IF($C135="","",INDEX(인턴근무계획!$Q$3:$Q$202,$A135)&amp;"")</f>
        <v/>
      </c>
      <c r="P135" s="23">
        <f>IF($C135="","",INDEX(인턴근무계획!$R$3:$R$202,$A135)&amp;"")</f>
        <v/>
      </c>
      <c r="Q135" s="23">
        <f>IF($C135="","",INDEX(인턴근무계획!$T$3:$T$202,$A135))</f>
        <v/>
      </c>
    </row>
    <row r="136">
      <c r="A136" s="26" t="n">
        <v>131</v>
      </c>
      <c r="B136" s="23">
        <f>IF($C136="","",INDEX(인턴근무계획!$B$3:$B$202,$A136))</f>
        <v/>
      </c>
      <c r="C136" s="23">
        <f>IFERROR(TRIM(INDEX(인턴근무계획!$C$3:$C$202,$A136)&amp;""),"")</f>
        <v/>
      </c>
      <c r="D136" s="23">
        <f>IF($C136="","",INDEX(인턴근무계획!$D$3:$D$202,$A136))</f>
        <v/>
      </c>
      <c r="E136" s="23">
        <f>IF($C136="","",IF(IFERROR(MATCH($D136,기본자료!$B$2:$B$501,0),IFERROR(MATCH($D136&amp;"",기본자료!$B$2:$B$501,0),IFERROR(MATCH(VALUE($D136),기본자료!$B$2:$B$501,0),0)))&gt;0,"확인","미등록"))</f>
        <v/>
      </c>
      <c r="F136" s="27">
        <f>IF($C136="","",INDEX(인턴근무계획!$S$3:$S$202,$A136))</f>
        <v/>
      </c>
      <c r="G136" s="23">
        <f>IF(OR($C136="",$G$3=""),"",IF(INDEX(인턴근무계획!$M$3:$R$202,$A136,$G$3)&amp;""="","",IF(LEFT(INDEX(인턴근무계획!$M$3:$R$202,$A136,$G$3)&amp;"",1)="⚠",INDEX(인턴근무계획!$M$3:$R$202,$A136,$G$3)&amp;"",LEFT(INDEX(인턴근무계획!$M$3:$R$202,$A136,$G$3)&amp;"",FIND(" ",INDEX(인턴근무계획!$M$3:$R$202,$A136,$G$3)&amp;"")-1))))</f>
        <v/>
      </c>
      <c r="H136" s="23">
        <f>IF(OR($C136="",$G$3=""),"",IF(INDEX(인턴근무계획!$M$3:$R$202,$A136,$G$3)&amp;""="","",IF(LEFT(INDEX(인턴근무계획!$M$3:$R$202,$A136,$G$3)&amp;"",1)="⚠","",MID(INDEX(인턴근무계획!$M$3:$R$202,$A136,$G$3)&amp;"",FIND(" ",INDEX(인턴근무계획!$M$3:$R$202,$A136,$G$3)&amp;"")+1,60))))</f>
        <v/>
      </c>
      <c r="I136" s="23">
        <f>IF(OR($C136="",$I$3=""),"",IF(INDEX(인턴근무계획!$M$3:$R$202,$A136,$I$3)&amp;""="","",IF(LEFT(INDEX(인턴근무계획!$M$3:$R$202,$A136,$I$3)&amp;"",1)="⚠",INDEX(인턴근무계획!$M$3:$R$202,$A136,$I$3)&amp;"",LEFT(INDEX(인턴근무계획!$M$3:$R$202,$A136,$I$3)&amp;"",FIND(" ",INDEX(인턴근무계획!$M$3:$R$202,$A136,$I$3)&amp;"")-1))))</f>
        <v/>
      </c>
      <c r="J136" s="23">
        <f>IF(OR($C136="",$I$3=""),"",IF(INDEX(인턴근무계획!$M$3:$R$202,$A136,$I$3)&amp;""="","",IF(LEFT(INDEX(인턴근무계획!$M$3:$R$202,$A136,$I$3)&amp;"",1)="⚠","",MID(INDEX(인턴근무계획!$M$3:$R$202,$A136,$I$3)&amp;"",FIND(" ",INDEX(인턴근무계획!$M$3:$R$202,$A136,$I$3)&amp;"")+1,60))))</f>
        <v/>
      </c>
      <c r="K136" s="23">
        <f>IF($C136="","",INDEX(인턴근무계획!$M$3:$M$202,$A136)&amp;"")</f>
        <v/>
      </c>
      <c r="L136" s="23">
        <f>IF($C136="","",INDEX(인턴근무계획!$N$3:$N$202,$A136)&amp;"")</f>
        <v/>
      </c>
      <c r="M136" s="23">
        <f>IF($C136="","",INDEX(인턴근무계획!$O$3:$O$202,$A136)&amp;"")</f>
        <v/>
      </c>
      <c r="N136" s="23">
        <f>IF($C136="","",INDEX(인턴근무계획!$P$3:$P$202,$A136)&amp;"")</f>
        <v/>
      </c>
      <c r="O136" s="23">
        <f>IF($C136="","",INDEX(인턴근무계획!$Q$3:$Q$202,$A136)&amp;"")</f>
        <v/>
      </c>
      <c r="P136" s="23">
        <f>IF($C136="","",INDEX(인턴근무계획!$R$3:$R$202,$A136)&amp;"")</f>
        <v/>
      </c>
      <c r="Q136" s="23">
        <f>IF($C136="","",INDEX(인턴근무계획!$T$3:$T$202,$A136))</f>
        <v/>
      </c>
    </row>
    <row r="137">
      <c r="A137" s="26" t="n">
        <v>132</v>
      </c>
      <c r="B137" s="23">
        <f>IF($C137="","",INDEX(인턴근무계획!$B$3:$B$202,$A137))</f>
        <v/>
      </c>
      <c r="C137" s="23">
        <f>IFERROR(TRIM(INDEX(인턴근무계획!$C$3:$C$202,$A137)&amp;""),"")</f>
        <v/>
      </c>
      <c r="D137" s="23">
        <f>IF($C137="","",INDEX(인턴근무계획!$D$3:$D$202,$A137))</f>
        <v/>
      </c>
      <c r="E137" s="23">
        <f>IF($C137="","",IF(IFERROR(MATCH($D137,기본자료!$B$2:$B$501,0),IFERROR(MATCH($D137&amp;"",기본자료!$B$2:$B$501,0),IFERROR(MATCH(VALUE($D137),기본자료!$B$2:$B$501,0),0)))&gt;0,"확인","미등록"))</f>
        <v/>
      </c>
      <c r="F137" s="27">
        <f>IF($C137="","",INDEX(인턴근무계획!$S$3:$S$202,$A137))</f>
        <v/>
      </c>
      <c r="G137" s="23">
        <f>IF(OR($C137="",$G$3=""),"",IF(INDEX(인턴근무계획!$M$3:$R$202,$A137,$G$3)&amp;""="","",IF(LEFT(INDEX(인턴근무계획!$M$3:$R$202,$A137,$G$3)&amp;"",1)="⚠",INDEX(인턴근무계획!$M$3:$R$202,$A137,$G$3)&amp;"",LEFT(INDEX(인턴근무계획!$M$3:$R$202,$A137,$G$3)&amp;"",FIND(" ",INDEX(인턴근무계획!$M$3:$R$202,$A137,$G$3)&amp;"")-1))))</f>
        <v/>
      </c>
      <c r="H137" s="23">
        <f>IF(OR($C137="",$G$3=""),"",IF(INDEX(인턴근무계획!$M$3:$R$202,$A137,$G$3)&amp;""="","",IF(LEFT(INDEX(인턴근무계획!$M$3:$R$202,$A137,$G$3)&amp;"",1)="⚠","",MID(INDEX(인턴근무계획!$M$3:$R$202,$A137,$G$3)&amp;"",FIND(" ",INDEX(인턴근무계획!$M$3:$R$202,$A137,$G$3)&amp;"")+1,60))))</f>
        <v/>
      </c>
      <c r="I137" s="23">
        <f>IF(OR($C137="",$I$3=""),"",IF(INDEX(인턴근무계획!$M$3:$R$202,$A137,$I$3)&amp;""="","",IF(LEFT(INDEX(인턴근무계획!$M$3:$R$202,$A137,$I$3)&amp;"",1)="⚠",INDEX(인턴근무계획!$M$3:$R$202,$A137,$I$3)&amp;"",LEFT(INDEX(인턴근무계획!$M$3:$R$202,$A137,$I$3)&amp;"",FIND(" ",INDEX(인턴근무계획!$M$3:$R$202,$A137,$I$3)&amp;"")-1))))</f>
        <v/>
      </c>
      <c r="J137" s="23">
        <f>IF(OR($C137="",$I$3=""),"",IF(INDEX(인턴근무계획!$M$3:$R$202,$A137,$I$3)&amp;""="","",IF(LEFT(INDEX(인턴근무계획!$M$3:$R$202,$A137,$I$3)&amp;"",1)="⚠","",MID(INDEX(인턴근무계획!$M$3:$R$202,$A137,$I$3)&amp;"",FIND(" ",INDEX(인턴근무계획!$M$3:$R$202,$A137,$I$3)&amp;"")+1,60))))</f>
        <v/>
      </c>
      <c r="K137" s="23">
        <f>IF($C137="","",INDEX(인턴근무계획!$M$3:$M$202,$A137)&amp;"")</f>
        <v/>
      </c>
      <c r="L137" s="23">
        <f>IF($C137="","",INDEX(인턴근무계획!$N$3:$N$202,$A137)&amp;"")</f>
        <v/>
      </c>
      <c r="M137" s="23">
        <f>IF($C137="","",INDEX(인턴근무계획!$O$3:$O$202,$A137)&amp;"")</f>
        <v/>
      </c>
      <c r="N137" s="23">
        <f>IF($C137="","",INDEX(인턴근무계획!$P$3:$P$202,$A137)&amp;"")</f>
        <v/>
      </c>
      <c r="O137" s="23">
        <f>IF($C137="","",INDEX(인턴근무계획!$Q$3:$Q$202,$A137)&amp;"")</f>
        <v/>
      </c>
      <c r="P137" s="23">
        <f>IF($C137="","",INDEX(인턴근무계획!$R$3:$R$202,$A137)&amp;"")</f>
        <v/>
      </c>
      <c r="Q137" s="23">
        <f>IF($C137="","",INDEX(인턴근무계획!$T$3:$T$202,$A137))</f>
        <v/>
      </c>
    </row>
    <row r="138">
      <c r="A138" s="26" t="n">
        <v>133</v>
      </c>
      <c r="B138" s="23">
        <f>IF($C138="","",INDEX(인턴근무계획!$B$3:$B$202,$A138))</f>
        <v/>
      </c>
      <c r="C138" s="23">
        <f>IFERROR(TRIM(INDEX(인턴근무계획!$C$3:$C$202,$A138)&amp;""),"")</f>
        <v/>
      </c>
      <c r="D138" s="23">
        <f>IF($C138="","",INDEX(인턴근무계획!$D$3:$D$202,$A138))</f>
        <v/>
      </c>
      <c r="E138" s="23">
        <f>IF($C138="","",IF(IFERROR(MATCH($D138,기본자료!$B$2:$B$501,0),IFERROR(MATCH($D138&amp;"",기본자료!$B$2:$B$501,0),IFERROR(MATCH(VALUE($D138),기본자료!$B$2:$B$501,0),0)))&gt;0,"확인","미등록"))</f>
        <v/>
      </c>
      <c r="F138" s="27">
        <f>IF($C138="","",INDEX(인턴근무계획!$S$3:$S$202,$A138))</f>
        <v/>
      </c>
      <c r="G138" s="23">
        <f>IF(OR($C138="",$G$3=""),"",IF(INDEX(인턴근무계획!$M$3:$R$202,$A138,$G$3)&amp;""="","",IF(LEFT(INDEX(인턴근무계획!$M$3:$R$202,$A138,$G$3)&amp;"",1)="⚠",INDEX(인턴근무계획!$M$3:$R$202,$A138,$G$3)&amp;"",LEFT(INDEX(인턴근무계획!$M$3:$R$202,$A138,$G$3)&amp;"",FIND(" ",INDEX(인턴근무계획!$M$3:$R$202,$A138,$G$3)&amp;"")-1))))</f>
        <v/>
      </c>
      <c r="H138" s="23">
        <f>IF(OR($C138="",$G$3=""),"",IF(INDEX(인턴근무계획!$M$3:$R$202,$A138,$G$3)&amp;""="","",IF(LEFT(INDEX(인턴근무계획!$M$3:$R$202,$A138,$G$3)&amp;"",1)="⚠","",MID(INDEX(인턴근무계획!$M$3:$R$202,$A138,$G$3)&amp;"",FIND(" ",INDEX(인턴근무계획!$M$3:$R$202,$A138,$G$3)&amp;"")+1,60))))</f>
        <v/>
      </c>
      <c r="I138" s="23">
        <f>IF(OR($C138="",$I$3=""),"",IF(INDEX(인턴근무계획!$M$3:$R$202,$A138,$I$3)&amp;""="","",IF(LEFT(INDEX(인턴근무계획!$M$3:$R$202,$A138,$I$3)&amp;"",1)="⚠",INDEX(인턴근무계획!$M$3:$R$202,$A138,$I$3)&amp;"",LEFT(INDEX(인턴근무계획!$M$3:$R$202,$A138,$I$3)&amp;"",FIND(" ",INDEX(인턴근무계획!$M$3:$R$202,$A138,$I$3)&amp;"")-1))))</f>
        <v/>
      </c>
      <c r="J138" s="23">
        <f>IF(OR($C138="",$I$3=""),"",IF(INDEX(인턴근무계획!$M$3:$R$202,$A138,$I$3)&amp;""="","",IF(LEFT(INDEX(인턴근무계획!$M$3:$R$202,$A138,$I$3)&amp;"",1)="⚠","",MID(INDEX(인턴근무계획!$M$3:$R$202,$A138,$I$3)&amp;"",FIND(" ",INDEX(인턴근무계획!$M$3:$R$202,$A138,$I$3)&amp;"")+1,60))))</f>
        <v/>
      </c>
      <c r="K138" s="23">
        <f>IF($C138="","",INDEX(인턴근무계획!$M$3:$M$202,$A138)&amp;"")</f>
        <v/>
      </c>
      <c r="L138" s="23">
        <f>IF($C138="","",INDEX(인턴근무계획!$N$3:$N$202,$A138)&amp;"")</f>
        <v/>
      </c>
      <c r="M138" s="23">
        <f>IF($C138="","",INDEX(인턴근무계획!$O$3:$O$202,$A138)&amp;"")</f>
        <v/>
      </c>
      <c r="N138" s="23">
        <f>IF($C138="","",INDEX(인턴근무계획!$P$3:$P$202,$A138)&amp;"")</f>
        <v/>
      </c>
      <c r="O138" s="23">
        <f>IF($C138="","",INDEX(인턴근무계획!$Q$3:$Q$202,$A138)&amp;"")</f>
        <v/>
      </c>
      <c r="P138" s="23">
        <f>IF($C138="","",INDEX(인턴근무계획!$R$3:$R$202,$A138)&amp;"")</f>
        <v/>
      </c>
      <c r="Q138" s="23">
        <f>IF($C138="","",INDEX(인턴근무계획!$T$3:$T$202,$A138))</f>
        <v/>
      </c>
    </row>
    <row r="139">
      <c r="A139" s="26" t="n">
        <v>134</v>
      </c>
      <c r="B139" s="23">
        <f>IF($C139="","",INDEX(인턴근무계획!$B$3:$B$202,$A139))</f>
        <v/>
      </c>
      <c r="C139" s="23">
        <f>IFERROR(TRIM(INDEX(인턴근무계획!$C$3:$C$202,$A139)&amp;""),"")</f>
        <v/>
      </c>
      <c r="D139" s="23">
        <f>IF($C139="","",INDEX(인턴근무계획!$D$3:$D$202,$A139))</f>
        <v/>
      </c>
      <c r="E139" s="23">
        <f>IF($C139="","",IF(IFERROR(MATCH($D139,기본자료!$B$2:$B$501,0),IFERROR(MATCH($D139&amp;"",기본자료!$B$2:$B$501,0),IFERROR(MATCH(VALUE($D139),기본자료!$B$2:$B$501,0),0)))&gt;0,"확인","미등록"))</f>
        <v/>
      </c>
      <c r="F139" s="27">
        <f>IF($C139="","",INDEX(인턴근무계획!$S$3:$S$202,$A139))</f>
        <v/>
      </c>
      <c r="G139" s="23">
        <f>IF(OR($C139="",$G$3=""),"",IF(INDEX(인턴근무계획!$M$3:$R$202,$A139,$G$3)&amp;""="","",IF(LEFT(INDEX(인턴근무계획!$M$3:$R$202,$A139,$G$3)&amp;"",1)="⚠",INDEX(인턴근무계획!$M$3:$R$202,$A139,$G$3)&amp;"",LEFT(INDEX(인턴근무계획!$M$3:$R$202,$A139,$G$3)&amp;"",FIND(" ",INDEX(인턴근무계획!$M$3:$R$202,$A139,$G$3)&amp;"")-1))))</f>
        <v/>
      </c>
      <c r="H139" s="23">
        <f>IF(OR($C139="",$G$3=""),"",IF(INDEX(인턴근무계획!$M$3:$R$202,$A139,$G$3)&amp;""="","",IF(LEFT(INDEX(인턴근무계획!$M$3:$R$202,$A139,$G$3)&amp;"",1)="⚠","",MID(INDEX(인턴근무계획!$M$3:$R$202,$A139,$G$3)&amp;"",FIND(" ",INDEX(인턴근무계획!$M$3:$R$202,$A139,$G$3)&amp;"")+1,60))))</f>
        <v/>
      </c>
      <c r="I139" s="23">
        <f>IF(OR($C139="",$I$3=""),"",IF(INDEX(인턴근무계획!$M$3:$R$202,$A139,$I$3)&amp;""="","",IF(LEFT(INDEX(인턴근무계획!$M$3:$R$202,$A139,$I$3)&amp;"",1)="⚠",INDEX(인턴근무계획!$M$3:$R$202,$A139,$I$3)&amp;"",LEFT(INDEX(인턴근무계획!$M$3:$R$202,$A139,$I$3)&amp;"",FIND(" ",INDEX(인턴근무계획!$M$3:$R$202,$A139,$I$3)&amp;"")-1))))</f>
        <v/>
      </c>
      <c r="J139" s="23">
        <f>IF(OR($C139="",$I$3=""),"",IF(INDEX(인턴근무계획!$M$3:$R$202,$A139,$I$3)&amp;""="","",IF(LEFT(INDEX(인턴근무계획!$M$3:$R$202,$A139,$I$3)&amp;"",1)="⚠","",MID(INDEX(인턴근무계획!$M$3:$R$202,$A139,$I$3)&amp;"",FIND(" ",INDEX(인턴근무계획!$M$3:$R$202,$A139,$I$3)&amp;"")+1,60))))</f>
        <v/>
      </c>
      <c r="K139" s="23">
        <f>IF($C139="","",INDEX(인턴근무계획!$M$3:$M$202,$A139)&amp;"")</f>
        <v/>
      </c>
      <c r="L139" s="23">
        <f>IF($C139="","",INDEX(인턴근무계획!$N$3:$N$202,$A139)&amp;"")</f>
        <v/>
      </c>
      <c r="M139" s="23">
        <f>IF($C139="","",INDEX(인턴근무계획!$O$3:$O$202,$A139)&amp;"")</f>
        <v/>
      </c>
      <c r="N139" s="23">
        <f>IF($C139="","",INDEX(인턴근무계획!$P$3:$P$202,$A139)&amp;"")</f>
        <v/>
      </c>
      <c r="O139" s="23">
        <f>IF($C139="","",INDEX(인턴근무계획!$Q$3:$Q$202,$A139)&amp;"")</f>
        <v/>
      </c>
      <c r="P139" s="23">
        <f>IF($C139="","",INDEX(인턴근무계획!$R$3:$R$202,$A139)&amp;"")</f>
        <v/>
      </c>
      <c r="Q139" s="23">
        <f>IF($C139="","",INDEX(인턴근무계획!$T$3:$T$202,$A139))</f>
        <v/>
      </c>
    </row>
    <row r="140">
      <c r="A140" s="26" t="n">
        <v>135</v>
      </c>
      <c r="B140" s="23">
        <f>IF($C140="","",INDEX(인턴근무계획!$B$3:$B$202,$A140))</f>
        <v/>
      </c>
      <c r="C140" s="23">
        <f>IFERROR(TRIM(INDEX(인턴근무계획!$C$3:$C$202,$A140)&amp;""),"")</f>
        <v/>
      </c>
      <c r="D140" s="23">
        <f>IF($C140="","",INDEX(인턴근무계획!$D$3:$D$202,$A140))</f>
        <v/>
      </c>
      <c r="E140" s="23">
        <f>IF($C140="","",IF(IFERROR(MATCH($D140,기본자료!$B$2:$B$501,0),IFERROR(MATCH($D140&amp;"",기본자료!$B$2:$B$501,0),IFERROR(MATCH(VALUE($D140),기본자료!$B$2:$B$501,0),0)))&gt;0,"확인","미등록"))</f>
        <v/>
      </c>
      <c r="F140" s="27">
        <f>IF($C140="","",INDEX(인턴근무계획!$S$3:$S$202,$A140))</f>
        <v/>
      </c>
      <c r="G140" s="23">
        <f>IF(OR($C140="",$G$3=""),"",IF(INDEX(인턴근무계획!$M$3:$R$202,$A140,$G$3)&amp;""="","",IF(LEFT(INDEX(인턴근무계획!$M$3:$R$202,$A140,$G$3)&amp;"",1)="⚠",INDEX(인턴근무계획!$M$3:$R$202,$A140,$G$3)&amp;"",LEFT(INDEX(인턴근무계획!$M$3:$R$202,$A140,$G$3)&amp;"",FIND(" ",INDEX(인턴근무계획!$M$3:$R$202,$A140,$G$3)&amp;"")-1))))</f>
        <v/>
      </c>
      <c r="H140" s="23">
        <f>IF(OR($C140="",$G$3=""),"",IF(INDEX(인턴근무계획!$M$3:$R$202,$A140,$G$3)&amp;""="","",IF(LEFT(INDEX(인턴근무계획!$M$3:$R$202,$A140,$G$3)&amp;"",1)="⚠","",MID(INDEX(인턴근무계획!$M$3:$R$202,$A140,$G$3)&amp;"",FIND(" ",INDEX(인턴근무계획!$M$3:$R$202,$A140,$G$3)&amp;"")+1,60))))</f>
        <v/>
      </c>
      <c r="I140" s="23">
        <f>IF(OR($C140="",$I$3=""),"",IF(INDEX(인턴근무계획!$M$3:$R$202,$A140,$I$3)&amp;""="","",IF(LEFT(INDEX(인턴근무계획!$M$3:$R$202,$A140,$I$3)&amp;"",1)="⚠",INDEX(인턴근무계획!$M$3:$R$202,$A140,$I$3)&amp;"",LEFT(INDEX(인턴근무계획!$M$3:$R$202,$A140,$I$3)&amp;"",FIND(" ",INDEX(인턴근무계획!$M$3:$R$202,$A140,$I$3)&amp;"")-1))))</f>
        <v/>
      </c>
      <c r="J140" s="23">
        <f>IF(OR($C140="",$I$3=""),"",IF(INDEX(인턴근무계획!$M$3:$R$202,$A140,$I$3)&amp;""="","",IF(LEFT(INDEX(인턴근무계획!$M$3:$R$202,$A140,$I$3)&amp;"",1)="⚠","",MID(INDEX(인턴근무계획!$M$3:$R$202,$A140,$I$3)&amp;"",FIND(" ",INDEX(인턴근무계획!$M$3:$R$202,$A140,$I$3)&amp;"")+1,60))))</f>
        <v/>
      </c>
      <c r="K140" s="23">
        <f>IF($C140="","",INDEX(인턴근무계획!$M$3:$M$202,$A140)&amp;"")</f>
        <v/>
      </c>
      <c r="L140" s="23">
        <f>IF($C140="","",INDEX(인턴근무계획!$N$3:$N$202,$A140)&amp;"")</f>
        <v/>
      </c>
      <c r="M140" s="23">
        <f>IF($C140="","",INDEX(인턴근무계획!$O$3:$O$202,$A140)&amp;"")</f>
        <v/>
      </c>
      <c r="N140" s="23">
        <f>IF($C140="","",INDEX(인턴근무계획!$P$3:$P$202,$A140)&amp;"")</f>
        <v/>
      </c>
      <c r="O140" s="23">
        <f>IF($C140="","",INDEX(인턴근무계획!$Q$3:$Q$202,$A140)&amp;"")</f>
        <v/>
      </c>
      <c r="P140" s="23">
        <f>IF($C140="","",INDEX(인턴근무계획!$R$3:$R$202,$A140)&amp;"")</f>
        <v/>
      </c>
      <c r="Q140" s="23">
        <f>IF($C140="","",INDEX(인턴근무계획!$T$3:$T$202,$A140))</f>
        <v/>
      </c>
    </row>
    <row r="141">
      <c r="A141" s="26" t="n">
        <v>136</v>
      </c>
      <c r="B141" s="23">
        <f>IF($C141="","",INDEX(인턴근무계획!$B$3:$B$202,$A141))</f>
        <v/>
      </c>
      <c r="C141" s="23">
        <f>IFERROR(TRIM(INDEX(인턴근무계획!$C$3:$C$202,$A141)&amp;""),"")</f>
        <v/>
      </c>
      <c r="D141" s="23">
        <f>IF($C141="","",INDEX(인턴근무계획!$D$3:$D$202,$A141))</f>
        <v/>
      </c>
      <c r="E141" s="23">
        <f>IF($C141="","",IF(IFERROR(MATCH($D141,기본자료!$B$2:$B$501,0),IFERROR(MATCH($D141&amp;"",기본자료!$B$2:$B$501,0),IFERROR(MATCH(VALUE($D141),기본자료!$B$2:$B$501,0),0)))&gt;0,"확인","미등록"))</f>
        <v/>
      </c>
      <c r="F141" s="27">
        <f>IF($C141="","",INDEX(인턴근무계획!$S$3:$S$202,$A141))</f>
        <v/>
      </c>
      <c r="G141" s="23">
        <f>IF(OR($C141="",$G$3=""),"",IF(INDEX(인턴근무계획!$M$3:$R$202,$A141,$G$3)&amp;""="","",IF(LEFT(INDEX(인턴근무계획!$M$3:$R$202,$A141,$G$3)&amp;"",1)="⚠",INDEX(인턴근무계획!$M$3:$R$202,$A141,$G$3)&amp;"",LEFT(INDEX(인턴근무계획!$M$3:$R$202,$A141,$G$3)&amp;"",FIND(" ",INDEX(인턴근무계획!$M$3:$R$202,$A141,$G$3)&amp;"")-1))))</f>
        <v/>
      </c>
      <c r="H141" s="23">
        <f>IF(OR($C141="",$G$3=""),"",IF(INDEX(인턴근무계획!$M$3:$R$202,$A141,$G$3)&amp;""="","",IF(LEFT(INDEX(인턴근무계획!$M$3:$R$202,$A141,$G$3)&amp;"",1)="⚠","",MID(INDEX(인턴근무계획!$M$3:$R$202,$A141,$G$3)&amp;"",FIND(" ",INDEX(인턴근무계획!$M$3:$R$202,$A141,$G$3)&amp;"")+1,60))))</f>
        <v/>
      </c>
      <c r="I141" s="23">
        <f>IF(OR($C141="",$I$3=""),"",IF(INDEX(인턴근무계획!$M$3:$R$202,$A141,$I$3)&amp;""="","",IF(LEFT(INDEX(인턴근무계획!$M$3:$R$202,$A141,$I$3)&amp;"",1)="⚠",INDEX(인턴근무계획!$M$3:$R$202,$A141,$I$3)&amp;"",LEFT(INDEX(인턴근무계획!$M$3:$R$202,$A141,$I$3)&amp;"",FIND(" ",INDEX(인턴근무계획!$M$3:$R$202,$A141,$I$3)&amp;"")-1))))</f>
        <v/>
      </c>
      <c r="J141" s="23">
        <f>IF(OR($C141="",$I$3=""),"",IF(INDEX(인턴근무계획!$M$3:$R$202,$A141,$I$3)&amp;""="","",IF(LEFT(INDEX(인턴근무계획!$M$3:$R$202,$A141,$I$3)&amp;"",1)="⚠","",MID(INDEX(인턴근무계획!$M$3:$R$202,$A141,$I$3)&amp;"",FIND(" ",INDEX(인턴근무계획!$M$3:$R$202,$A141,$I$3)&amp;"")+1,60))))</f>
        <v/>
      </c>
      <c r="K141" s="23">
        <f>IF($C141="","",INDEX(인턴근무계획!$M$3:$M$202,$A141)&amp;"")</f>
        <v/>
      </c>
      <c r="L141" s="23">
        <f>IF($C141="","",INDEX(인턴근무계획!$N$3:$N$202,$A141)&amp;"")</f>
        <v/>
      </c>
      <c r="M141" s="23">
        <f>IF($C141="","",INDEX(인턴근무계획!$O$3:$O$202,$A141)&amp;"")</f>
        <v/>
      </c>
      <c r="N141" s="23">
        <f>IF($C141="","",INDEX(인턴근무계획!$P$3:$P$202,$A141)&amp;"")</f>
        <v/>
      </c>
      <c r="O141" s="23">
        <f>IF($C141="","",INDEX(인턴근무계획!$Q$3:$Q$202,$A141)&amp;"")</f>
        <v/>
      </c>
      <c r="P141" s="23">
        <f>IF($C141="","",INDEX(인턴근무계획!$R$3:$R$202,$A141)&amp;"")</f>
        <v/>
      </c>
      <c r="Q141" s="23">
        <f>IF($C141="","",INDEX(인턴근무계획!$T$3:$T$202,$A141))</f>
        <v/>
      </c>
    </row>
    <row r="142">
      <c r="A142" s="26" t="n">
        <v>137</v>
      </c>
      <c r="B142" s="23">
        <f>IF($C142="","",INDEX(인턴근무계획!$B$3:$B$202,$A142))</f>
        <v/>
      </c>
      <c r="C142" s="23">
        <f>IFERROR(TRIM(INDEX(인턴근무계획!$C$3:$C$202,$A142)&amp;""),"")</f>
        <v/>
      </c>
      <c r="D142" s="23">
        <f>IF($C142="","",INDEX(인턴근무계획!$D$3:$D$202,$A142))</f>
        <v/>
      </c>
      <c r="E142" s="23">
        <f>IF($C142="","",IF(IFERROR(MATCH($D142,기본자료!$B$2:$B$501,0),IFERROR(MATCH($D142&amp;"",기본자료!$B$2:$B$501,0),IFERROR(MATCH(VALUE($D142),기본자료!$B$2:$B$501,0),0)))&gt;0,"확인","미등록"))</f>
        <v/>
      </c>
      <c r="F142" s="27">
        <f>IF($C142="","",INDEX(인턴근무계획!$S$3:$S$202,$A142))</f>
        <v/>
      </c>
      <c r="G142" s="23">
        <f>IF(OR($C142="",$G$3=""),"",IF(INDEX(인턴근무계획!$M$3:$R$202,$A142,$G$3)&amp;""="","",IF(LEFT(INDEX(인턴근무계획!$M$3:$R$202,$A142,$G$3)&amp;"",1)="⚠",INDEX(인턴근무계획!$M$3:$R$202,$A142,$G$3)&amp;"",LEFT(INDEX(인턴근무계획!$M$3:$R$202,$A142,$G$3)&amp;"",FIND(" ",INDEX(인턴근무계획!$M$3:$R$202,$A142,$G$3)&amp;"")-1))))</f>
        <v/>
      </c>
      <c r="H142" s="23">
        <f>IF(OR($C142="",$G$3=""),"",IF(INDEX(인턴근무계획!$M$3:$R$202,$A142,$G$3)&amp;""="","",IF(LEFT(INDEX(인턴근무계획!$M$3:$R$202,$A142,$G$3)&amp;"",1)="⚠","",MID(INDEX(인턴근무계획!$M$3:$R$202,$A142,$G$3)&amp;"",FIND(" ",INDEX(인턴근무계획!$M$3:$R$202,$A142,$G$3)&amp;"")+1,60))))</f>
        <v/>
      </c>
      <c r="I142" s="23">
        <f>IF(OR($C142="",$I$3=""),"",IF(INDEX(인턴근무계획!$M$3:$R$202,$A142,$I$3)&amp;""="","",IF(LEFT(INDEX(인턴근무계획!$M$3:$R$202,$A142,$I$3)&amp;"",1)="⚠",INDEX(인턴근무계획!$M$3:$R$202,$A142,$I$3)&amp;"",LEFT(INDEX(인턴근무계획!$M$3:$R$202,$A142,$I$3)&amp;"",FIND(" ",INDEX(인턴근무계획!$M$3:$R$202,$A142,$I$3)&amp;"")-1))))</f>
        <v/>
      </c>
      <c r="J142" s="23">
        <f>IF(OR($C142="",$I$3=""),"",IF(INDEX(인턴근무계획!$M$3:$R$202,$A142,$I$3)&amp;""="","",IF(LEFT(INDEX(인턴근무계획!$M$3:$R$202,$A142,$I$3)&amp;"",1)="⚠","",MID(INDEX(인턴근무계획!$M$3:$R$202,$A142,$I$3)&amp;"",FIND(" ",INDEX(인턴근무계획!$M$3:$R$202,$A142,$I$3)&amp;"")+1,60))))</f>
        <v/>
      </c>
      <c r="K142" s="23">
        <f>IF($C142="","",INDEX(인턴근무계획!$M$3:$M$202,$A142)&amp;"")</f>
        <v/>
      </c>
      <c r="L142" s="23">
        <f>IF($C142="","",INDEX(인턴근무계획!$N$3:$N$202,$A142)&amp;"")</f>
        <v/>
      </c>
      <c r="M142" s="23">
        <f>IF($C142="","",INDEX(인턴근무계획!$O$3:$O$202,$A142)&amp;"")</f>
        <v/>
      </c>
      <c r="N142" s="23">
        <f>IF($C142="","",INDEX(인턴근무계획!$P$3:$P$202,$A142)&amp;"")</f>
        <v/>
      </c>
      <c r="O142" s="23">
        <f>IF($C142="","",INDEX(인턴근무계획!$Q$3:$Q$202,$A142)&amp;"")</f>
        <v/>
      </c>
      <c r="P142" s="23">
        <f>IF($C142="","",INDEX(인턴근무계획!$R$3:$R$202,$A142)&amp;"")</f>
        <v/>
      </c>
      <c r="Q142" s="23">
        <f>IF($C142="","",INDEX(인턴근무계획!$T$3:$T$202,$A142))</f>
        <v/>
      </c>
    </row>
    <row r="143">
      <c r="A143" s="26" t="n">
        <v>138</v>
      </c>
      <c r="B143" s="23">
        <f>IF($C143="","",INDEX(인턴근무계획!$B$3:$B$202,$A143))</f>
        <v/>
      </c>
      <c r="C143" s="23">
        <f>IFERROR(TRIM(INDEX(인턴근무계획!$C$3:$C$202,$A143)&amp;""),"")</f>
        <v/>
      </c>
      <c r="D143" s="23">
        <f>IF($C143="","",INDEX(인턴근무계획!$D$3:$D$202,$A143))</f>
        <v/>
      </c>
      <c r="E143" s="23">
        <f>IF($C143="","",IF(IFERROR(MATCH($D143,기본자료!$B$2:$B$501,0),IFERROR(MATCH($D143&amp;"",기본자료!$B$2:$B$501,0),IFERROR(MATCH(VALUE($D143),기본자료!$B$2:$B$501,0),0)))&gt;0,"확인","미등록"))</f>
        <v/>
      </c>
      <c r="F143" s="27">
        <f>IF($C143="","",INDEX(인턴근무계획!$S$3:$S$202,$A143))</f>
        <v/>
      </c>
      <c r="G143" s="23">
        <f>IF(OR($C143="",$G$3=""),"",IF(INDEX(인턴근무계획!$M$3:$R$202,$A143,$G$3)&amp;""="","",IF(LEFT(INDEX(인턴근무계획!$M$3:$R$202,$A143,$G$3)&amp;"",1)="⚠",INDEX(인턴근무계획!$M$3:$R$202,$A143,$G$3)&amp;"",LEFT(INDEX(인턴근무계획!$M$3:$R$202,$A143,$G$3)&amp;"",FIND(" ",INDEX(인턴근무계획!$M$3:$R$202,$A143,$G$3)&amp;"")-1))))</f>
        <v/>
      </c>
      <c r="H143" s="23">
        <f>IF(OR($C143="",$G$3=""),"",IF(INDEX(인턴근무계획!$M$3:$R$202,$A143,$G$3)&amp;""="","",IF(LEFT(INDEX(인턴근무계획!$M$3:$R$202,$A143,$G$3)&amp;"",1)="⚠","",MID(INDEX(인턴근무계획!$M$3:$R$202,$A143,$G$3)&amp;"",FIND(" ",INDEX(인턴근무계획!$M$3:$R$202,$A143,$G$3)&amp;"")+1,60))))</f>
        <v/>
      </c>
      <c r="I143" s="23">
        <f>IF(OR($C143="",$I$3=""),"",IF(INDEX(인턴근무계획!$M$3:$R$202,$A143,$I$3)&amp;""="","",IF(LEFT(INDEX(인턴근무계획!$M$3:$R$202,$A143,$I$3)&amp;"",1)="⚠",INDEX(인턴근무계획!$M$3:$R$202,$A143,$I$3)&amp;"",LEFT(INDEX(인턴근무계획!$M$3:$R$202,$A143,$I$3)&amp;"",FIND(" ",INDEX(인턴근무계획!$M$3:$R$202,$A143,$I$3)&amp;"")-1))))</f>
        <v/>
      </c>
      <c r="J143" s="23">
        <f>IF(OR($C143="",$I$3=""),"",IF(INDEX(인턴근무계획!$M$3:$R$202,$A143,$I$3)&amp;""="","",IF(LEFT(INDEX(인턴근무계획!$M$3:$R$202,$A143,$I$3)&amp;"",1)="⚠","",MID(INDEX(인턴근무계획!$M$3:$R$202,$A143,$I$3)&amp;"",FIND(" ",INDEX(인턴근무계획!$M$3:$R$202,$A143,$I$3)&amp;"")+1,60))))</f>
        <v/>
      </c>
      <c r="K143" s="23">
        <f>IF($C143="","",INDEX(인턴근무계획!$M$3:$M$202,$A143)&amp;"")</f>
        <v/>
      </c>
      <c r="L143" s="23">
        <f>IF($C143="","",INDEX(인턴근무계획!$N$3:$N$202,$A143)&amp;"")</f>
        <v/>
      </c>
      <c r="M143" s="23">
        <f>IF($C143="","",INDEX(인턴근무계획!$O$3:$O$202,$A143)&amp;"")</f>
        <v/>
      </c>
      <c r="N143" s="23">
        <f>IF($C143="","",INDEX(인턴근무계획!$P$3:$P$202,$A143)&amp;"")</f>
        <v/>
      </c>
      <c r="O143" s="23">
        <f>IF($C143="","",INDEX(인턴근무계획!$Q$3:$Q$202,$A143)&amp;"")</f>
        <v/>
      </c>
      <c r="P143" s="23">
        <f>IF($C143="","",INDEX(인턴근무계획!$R$3:$R$202,$A143)&amp;"")</f>
        <v/>
      </c>
      <c r="Q143" s="23">
        <f>IF($C143="","",INDEX(인턴근무계획!$T$3:$T$202,$A143))</f>
        <v/>
      </c>
    </row>
    <row r="144">
      <c r="A144" s="26" t="n">
        <v>139</v>
      </c>
      <c r="B144" s="23">
        <f>IF($C144="","",INDEX(인턴근무계획!$B$3:$B$202,$A144))</f>
        <v/>
      </c>
      <c r="C144" s="23">
        <f>IFERROR(TRIM(INDEX(인턴근무계획!$C$3:$C$202,$A144)&amp;""),"")</f>
        <v/>
      </c>
      <c r="D144" s="23">
        <f>IF($C144="","",INDEX(인턴근무계획!$D$3:$D$202,$A144))</f>
        <v/>
      </c>
      <c r="E144" s="23">
        <f>IF($C144="","",IF(IFERROR(MATCH($D144,기본자료!$B$2:$B$501,0),IFERROR(MATCH($D144&amp;"",기본자료!$B$2:$B$501,0),IFERROR(MATCH(VALUE($D144),기본자료!$B$2:$B$501,0),0)))&gt;0,"확인","미등록"))</f>
        <v/>
      </c>
      <c r="F144" s="27">
        <f>IF($C144="","",INDEX(인턴근무계획!$S$3:$S$202,$A144))</f>
        <v/>
      </c>
      <c r="G144" s="23">
        <f>IF(OR($C144="",$G$3=""),"",IF(INDEX(인턴근무계획!$M$3:$R$202,$A144,$G$3)&amp;""="","",IF(LEFT(INDEX(인턴근무계획!$M$3:$R$202,$A144,$G$3)&amp;"",1)="⚠",INDEX(인턴근무계획!$M$3:$R$202,$A144,$G$3)&amp;"",LEFT(INDEX(인턴근무계획!$M$3:$R$202,$A144,$G$3)&amp;"",FIND(" ",INDEX(인턴근무계획!$M$3:$R$202,$A144,$G$3)&amp;"")-1))))</f>
        <v/>
      </c>
      <c r="H144" s="23">
        <f>IF(OR($C144="",$G$3=""),"",IF(INDEX(인턴근무계획!$M$3:$R$202,$A144,$G$3)&amp;""="","",IF(LEFT(INDEX(인턴근무계획!$M$3:$R$202,$A144,$G$3)&amp;"",1)="⚠","",MID(INDEX(인턴근무계획!$M$3:$R$202,$A144,$G$3)&amp;"",FIND(" ",INDEX(인턴근무계획!$M$3:$R$202,$A144,$G$3)&amp;"")+1,60))))</f>
        <v/>
      </c>
      <c r="I144" s="23">
        <f>IF(OR($C144="",$I$3=""),"",IF(INDEX(인턴근무계획!$M$3:$R$202,$A144,$I$3)&amp;""="","",IF(LEFT(INDEX(인턴근무계획!$M$3:$R$202,$A144,$I$3)&amp;"",1)="⚠",INDEX(인턴근무계획!$M$3:$R$202,$A144,$I$3)&amp;"",LEFT(INDEX(인턴근무계획!$M$3:$R$202,$A144,$I$3)&amp;"",FIND(" ",INDEX(인턴근무계획!$M$3:$R$202,$A144,$I$3)&amp;"")-1))))</f>
        <v/>
      </c>
      <c r="J144" s="23">
        <f>IF(OR($C144="",$I$3=""),"",IF(INDEX(인턴근무계획!$M$3:$R$202,$A144,$I$3)&amp;""="","",IF(LEFT(INDEX(인턴근무계획!$M$3:$R$202,$A144,$I$3)&amp;"",1)="⚠","",MID(INDEX(인턴근무계획!$M$3:$R$202,$A144,$I$3)&amp;"",FIND(" ",INDEX(인턴근무계획!$M$3:$R$202,$A144,$I$3)&amp;"")+1,60))))</f>
        <v/>
      </c>
      <c r="K144" s="23">
        <f>IF($C144="","",INDEX(인턴근무계획!$M$3:$M$202,$A144)&amp;"")</f>
        <v/>
      </c>
      <c r="L144" s="23">
        <f>IF($C144="","",INDEX(인턴근무계획!$N$3:$N$202,$A144)&amp;"")</f>
        <v/>
      </c>
      <c r="M144" s="23">
        <f>IF($C144="","",INDEX(인턴근무계획!$O$3:$O$202,$A144)&amp;"")</f>
        <v/>
      </c>
      <c r="N144" s="23">
        <f>IF($C144="","",INDEX(인턴근무계획!$P$3:$P$202,$A144)&amp;"")</f>
        <v/>
      </c>
      <c r="O144" s="23">
        <f>IF($C144="","",INDEX(인턴근무계획!$Q$3:$Q$202,$A144)&amp;"")</f>
        <v/>
      </c>
      <c r="P144" s="23">
        <f>IF($C144="","",INDEX(인턴근무계획!$R$3:$R$202,$A144)&amp;"")</f>
        <v/>
      </c>
      <c r="Q144" s="23">
        <f>IF($C144="","",INDEX(인턴근무계획!$T$3:$T$202,$A144))</f>
        <v/>
      </c>
    </row>
    <row r="145">
      <c r="A145" s="26" t="n">
        <v>140</v>
      </c>
      <c r="B145" s="23">
        <f>IF($C145="","",INDEX(인턴근무계획!$B$3:$B$202,$A145))</f>
        <v/>
      </c>
      <c r="C145" s="23">
        <f>IFERROR(TRIM(INDEX(인턴근무계획!$C$3:$C$202,$A145)&amp;""),"")</f>
        <v/>
      </c>
      <c r="D145" s="23">
        <f>IF($C145="","",INDEX(인턴근무계획!$D$3:$D$202,$A145))</f>
        <v/>
      </c>
      <c r="E145" s="23">
        <f>IF($C145="","",IF(IFERROR(MATCH($D145,기본자료!$B$2:$B$501,0),IFERROR(MATCH($D145&amp;"",기본자료!$B$2:$B$501,0),IFERROR(MATCH(VALUE($D145),기본자료!$B$2:$B$501,0),0)))&gt;0,"확인","미등록"))</f>
        <v/>
      </c>
      <c r="F145" s="27">
        <f>IF($C145="","",INDEX(인턴근무계획!$S$3:$S$202,$A145))</f>
        <v/>
      </c>
      <c r="G145" s="23">
        <f>IF(OR($C145="",$G$3=""),"",IF(INDEX(인턴근무계획!$M$3:$R$202,$A145,$G$3)&amp;""="","",IF(LEFT(INDEX(인턴근무계획!$M$3:$R$202,$A145,$G$3)&amp;"",1)="⚠",INDEX(인턴근무계획!$M$3:$R$202,$A145,$G$3)&amp;"",LEFT(INDEX(인턴근무계획!$M$3:$R$202,$A145,$G$3)&amp;"",FIND(" ",INDEX(인턴근무계획!$M$3:$R$202,$A145,$G$3)&amp;"")-1))))</f>
        <v/>
      </c>
      <c r="H145" s="23">
        <f>IF(OR($C145="",$G$3=""),"",IF(INDEX(인턴근무계획!$M$3:$R$202,$A145,$G$3)&amp;""="","",IF(LEFT(INDEX(인턴근무계획!$M$3:$R$202,$A145,$G$3)&amp;"",1)="⚠","",MID(INDEX(인턴근무계획!$M$3:$R$202,$A145,$G$3)&amp;"",FIND(" ",INDEX(인턴근무계획!$M$3:$R$202,$A145,$G$3)&amp;"")+1,60))))</f>
        <v/>
      </c>
      <c r="I145" s="23">
        <f>IF(OR($C145="",$I$3=""),"",IF(INDEX(인턴근무계획!$M$3:$R$202,$A145,$I$3)&amp;""="","",IF(LEFT(INDEX(인턴근무계획!$M$3:$R$202,$A145,$I$3)&amp;"",1)="⚠",INDEX(인턴근무계획!$M$3:$R$202,$A145,$I$3)&amp;"",LEFT(INDEX(인턴근무계획!$M$3:$R$202,$A145,$I$3)&amp;"",FIND(" ",INDEX(인턴근무계획!$M$3:$R$202,$A145,$I$3)&amp;"")-1))))</f>
        <v/>
      </c>
      <c r="J145" s="23">
        <f>IF(OR($C145="",$I$3=""),"",IF(INDEX(인턴근무계획!$M$3:$R$202,$A145,$I$3)&amp;""="","",IF(LEFT(INDEX(인턴근무계획!$M$3:$R$202,$A145,$I$3)&amp;"",1)="⚠","",MID(INDEX(인턴근무계획!$M$3:$R$202,$A145,$I$3)&amp;"",FIND(" ",INDEX(인턴근무계획!$M$3:$R$202,$A145,$I$3)&amp;"")+1,60))))</f>
        <v/>
      </c>
      <c r="K145" s="23">
        <f>IF($C145="","",INDEX(인턴근무계획!$M$3:$M$202,$A145)&amp;"")</f>
        <v/>
      </c>
      <c r="L145" s="23">
        <f>IF($C145="","",INDEX(인턴근무계획!$N$3:$N$202,$A145)&amp;"")</f>
        <v/>
      </c>
      <c r="M145" s="23">
        <f>IF($C145="","",INDEX(인턴근무계획!$O$3:$O$202,$A145)&amp;"")</f>
        <v/>
      </c>
      <c r="N145" s="23">
        <f>IF($C145="","",INDEX(인턴근무계획!$P$3:$P$202,$A145)&amp;"")</f>
        <v/>
      </c>
      <c r="O145" s="23">
        <f>IF($C145="","",INDEX(인턴근무계획!$Q$3:$Q$202,$A145)&amp;"")</f>
        <v/>
      </c>
      <c r="P145" s="23">
        <f>IF($C145="","",INDEX(인턴근무계획!$R$3:$R$202,$A145)&amp;"")</f>
        <v/>
      </c>
      <c r="Q145" s="23">
        <f>IF($C145="","",INDEX(인턴근무계획!$T$3:$T$202,$A145))</f>
        <v/>
      </c>
    </row>
    <row r="146">
      <c r="A146" s="26" t="n">
        <v>141</v>
      </c>
      <c r="B146" s="23">
        <f>IF($C146="","",INDEX(인턴근무계획!$B$3:$B$202,$A146))</f>
        <v/>
      </c>
      <c r="C146" s="23">
        <f>IFERROR(TRIM(INDEX(인턴근무계획!$C$3:$C$202,$A146)&amp;""),"")</f>
        <v/>
      </c>
      <c r="D146" s="23">
        <f>IF($C146="","",INDEX(인턴근무계획!$D$3:$D$202,$A146))</f>
        <v/>
      </c>
      <c r="E146" s="23">
        <f>IF($C146="","",IF(IFERROR(MATCH($D146,기본자료!$B$2:$B$501,0),IFERROR(MATCH($D146&amp;"",기본자료!$B$2:$B$501,0),IFERROR(MATCH(VALUE($D146),기본자료!$B$2:$B$501,0),0)))&gt;0,"확인","미등록"))</f>
        <v/>
      </c>
      <c r="F146" s="27">
        <f>IF($C146="","",INDEX(인턴근무계획!$S$3:$S$202,$A146))</f>
        <v/>
      </c>
      <c r="G146" s="23">
        <f>IF(OR($C146="",$G$3=""),"",IF(INDEX(인턴근무계획!$M$3:$R$202,$A146,$G$3)&amp;""="","",IF(LEFT(INDEX(인턴근무계획!$M$3:$R$202,$A146,$G$3)&amp;"",1)="⚠",INDEX(인턴근무계획!$M$3:$R$202,$A146,$G$3)&amp;"",LEFT(INDEX(인턴근무계획!$M$3:$R$202,$A146,$G$3)&amp;"",FIND(" ",INDEX(인턴근무계획!$M$3:$R$202,$A146,$G$3)&amp;"")-1))))</f>
        <v/>
      </c>
      <c r="H146" s="23">
        <f>IF(OR($C146="",$G$3=""),"",IF(INDEX(인턴근무계획!$M$3:$R$202,$A146,$G$3)&amp;""="","",IF(LEFT(INDEX(인턴근무계획!$M$3:$R$202,$A146,$G$3)&amp;"",1)="⚠","",MID(INDEX(인턴근무계획!$M$3:$R$202,$A146,$G$3)&amp;"",FIND(" ",INDEX(인턴근무계획!$M$3:$R$202,$A146,$G$3)&amp;"")+1,60))))</f>
        <v/>
      </c>
      <c r="I146" s="23">
        <f>IF(OR($C146="",$I$3=""),"",IF(INDEX(인턴근무계획!$M$3:$R$202,$A146,$I$3)&amp;""="","",IF(LEFT(INDEX(인턴근무계획!$M$3:$R$202,$A146,$I$3)&amp;"",1)="⚠",INDEX(인턴근무계획!$M$3:$R$202,$A146,$I$3)&amp;"",LEFT(INDEX(인턴근무계획!$M$3:$R$202,$A146,$I$3)&amp;"",FIND(" ",INDEX(인턴근무계획!$M$3:$R$202,$A146,$I$3)&amp;"")-1))))</f>
        <v/>
      </c>
      <c r="J146" s="23">
        <f>IF(OR($C146="",$I$3=""),"",IF(INDEX(인턴근무계획!$M$3:$R$202,$A146,$I$3)&amp;""="","",IF(LEFT(INDEX(인턴근무계획!$M$3:$R$202,$A146,$I$3)&amp;"",1)="⚠","",MID(INDEX(인턴근무계획!$M$3:$R$202,$A146,$I$3)&amp;"",FIND(" ",INDEX(인턴근무계획!$M$3:$R$202,$A146,$I$3)&amp;"")+1,60))))</f>
        <v/>
      </c>
      <c r="K146" s="23">
        <f>IF($C146="","",INDEX(인턴근무계획!$M$3:$M$202,$A146)&amp;"")</f>
        <v/>
      </c>
      <c r="L146" s="23">
        <f>IF($C146="","",INDEX(인턴근무계획!$N$3:$N$202,$A146)&amp;"")</f>
        <v/>
      </c>
      <c r="M146" s="23">
        <f>IF($C146="","",INDEX(인턴근무계획!$O$3:$O$202,$A146)&amp;"")</f>
        <v/>
      </c>
      <c r="N146" s="23">
        <f>IF($C146="","",INDEX(인턴근무계획!$P$3:$P$202,$A146)&amp;"")</f>
        <v/>
      </c>
      <c r="O146" s="23">
        <f>IF($C146="","",INDEX(인턴근무계획!$Q$3:$Q$202,$A146)&amp;"")</f>
        <v/>
      </c>
      <c r="P146" s="23">
        <f>IF($C146="","",INDEX(인턴근무계획!$R$3:$R$202,$A146)&amp;"")</f>
        <v/>
      </c>
      <c r="Q146" s="23">
        <f>IF($C146="","",INDEX(인턴근무계획!$T$3:$T$202,$A146))</f>
        <v/>
      </c>
    </row>
    <row r="147">
      <c r="A147" s="26" t="n">
        <v>142</v>
      </c>
      <c r="B147" s="23">
        <f>IF($C147="","",INDEX(인턴근무계획!$B$3:$B$202,$A147))</f>
        <v/>
      </c>
      <c r="C147" s="23">
        <f>IFERROR(TRIM(INDEX(인턴근무계획!$C$3:$C$202,$A147)&amp;""),"")</f>
        <v/>
      </c>
      <c r="D147" s="23">
        <f>IF($C147="","",INDEX(인턴근무계획!$D$3:$D$202,$A147))</f>
        <v/>
      </c>
      <c r="E147" s="23">
        <f>IF($C147="","",IF(IFERROR(MATCH($D147,기본자료!$B$2:$B$501,0),IFERROR(MATCH($D147&amp;"",기본자료!$B$2:$B$501,0),IFERROR(MATCH(VALUE($D147),기본자료!$B$2:$B$501,0),0)))&gt;0,"확인","미등록"))</f>
        <v/>
      </c>
      <c r="F147" s="27">
        <f>IF($C147="","",INDEX(인턴근무계획!$S$3:$S$202,$A147))</f>
        <v/>
      </c>
      <c r="G147" s="23">
        <f>IF(OR($C147="",$G$3=""),"",IF(INDEX(인턴근무계획!$M$3:$R$202,$A147,$G$3)&amp;""="","",IF(LEFT(INDEX(인턴근무계획!$M$3:$R$202,$A147,$G$3)&amp;"",1)="⚠",INDEX(인턴근무계획!$M$3:$R$202,$A147,$G$3)&amp;"",LEFT(INDEX(인턴근무계획!$M$3:$R$202,$A147,$G$3)&amp;"",FIND(" ",INDEX(인턴근무계획!$M$3:$R$202,$A147,$G$3)&amp;"")-1))))</f>
        <v/>
      </c>
      <c r="H147" s="23">
        <f>IF(OR($C147="",$G$3=""),"",IF(INDEX(인턴근무계획!$M$3:$R$202,$A147,$G$3)&amp;""="","",IF(LEFT(INDEX(인턴근무계획!$M$3:$R$202,$A147,$G$3)&amp;"",1)="⚠","",MID(INDEX(인턴근무계획!$M$3:$R$202,$A147,$G$3)&amp;"",FIND(" ",INDEX(인턴근무계획!$M$3:$R$202,$A147,$G$3)&amp;"")+1,60))))</f>
        <v/>
      </c>
      <c r="I147" s="23">
        <f>IF(OR($C147="",$I$3=""),"",IF(INDEX(인턴근무계획!$M$3:$R$202,$A147,$I$3)&amp;""="","",IF(LEFT(INDEX(인턴근무계획!$M$3:$R$202,$A147,$I$3)&amp;"",1)="⚠",INDEX(인턴근무계획!$M$3:$R$202,$A147,$I$3)&amp;"",LEFT(INDEX(인턴근무계획!$M$3:$R$202,$A147,$I$3)&amp;"",FIND(" ",INDEX(인턴근무계획!$M$3:$R$202,$A147,$I$3)&amp;"")-1))))</f>
        <v/>
      </c>
      <c r="J147" s="23">
        <f>IF(OR($C147="",$I$3=""),"",IF(INDEX(인턴근무계획!$M$3:$R$202,$A147,$I$3)&amp;""="","",IF(LEFT(INDEX(인턴근무계획!$M$3:$R$202,$A147,$I$3)&amp;"",1)="⚠","",MID(INDEX(인턴근무계획!$M$3:$R$202,$A147,$I$3)&amp;"",FIND(" ",INDEX(인턴근무계획!$M$3:$R$202,$A147,$I$3)&amp;"")+1,60))))</f>
        <v/>
      </c>
      <c r="K147" s="23">
        <f>IF($C147="","",INDEX(인턴근무계획!$M$3:$M$202,$A147)&amp;"")</f>
        <v/>
      </c>
      <c r="L147" s="23">
        <f>IF($C147="","",INDEX(인턴근무계획!$N$3:$N$202,$A147)&amp;"")</f>
        <v/>
      </c>
      <c r="M147" s="23">
        <f>IF($C147="","",INDEX(인턴근무계획!$O$3:$O$202,$A147)&amp;"")</f>
        <v/>
      </c>
      <c r="N147" s="23">
        <f>IF($C147="","",INDEX(인턴근무계획!$P$3:$P$202,$A147)&amp;"")</f>
        <v/>
      </c>
      <c r="O147" s="23">
        <f>IF($C147="","",INDEX(인턴근무계획!$Q$3:$Q$202,$A147)&amp;"")</f>
        <v/>
      </c>
      <c r="P147" s="23">
        <f>IF($C147="","",INDEX(인턴근무계획!$R$3:$R$202,$A147)&amp;"")</f>
        <v/>
      </c>
      <c r="Q147" s="23">
        <f>IF($C147="","",INDEX(인턴근무계획!$T$3:$T$202,$A147))</f>
        <v/>
      </c>
    </row>
    <row r="148">
      <c r="A148" s="26" t="n">
        <v>143</v>
      </c>
      <c r="B148" s="23">
        <f>IF($C148="","",INDEX(인턴근무계획!$B$3:$B$202,$A148))</f>
        <v/>
      </c>
      <c r="C148" s="23">
        <f>IFERROR(TRIM(INDEX(인턴근무계획!$C$3:$C$202,$A148)&amp;""),"")</f>
        <v/>
      </c>
      <c r="D148" s="23">
        <f>IF($C148="","",INDEX(인턴근무계획!$D$3:$D$202,$A148))</f>
        <v/>
      </c>
      <c r="E148" s="23">
        <f>IF($C148="","",IF(IFERROR(MATCH($D148,기본자료!$B$2:$B$501,0),IFERROR(MATCH($D148&amp;"",기본자료!$B$2:$B$501,0),IFERROR(MATCH(VALUE($D148),기본자료!$B$2:$B$501,0),0)))&gt;0,"확인","미등록"))</f>
        <v/>
      </c>
      <c r="F148" s="27">
        <f>IF($C148="","",INDEX(인턴근무계획!$S$3:$S$202,$A148))</f>
        <v/>
      </c>
      <c r="G148" s="23">
        <f>IF(OR($C148="",$G$3=""),"",IF(INDEX(인턴근무계획!$M$3:$R$202,$A148,$G$3)&amp;""="","",IF(LEFT(INDEX(인턴근무계획!$M$3:$R$202,$A148,$G$3)&amp;"",1)="⚠",INDEX(인턴근무계획!$M$3:$R$202,$A148,$G$3)&amp;"",LEFT(INDEX(인턴근무계획!$M$3:$R$202,$A148,$G$3)&amp;"",FIND(" ",INDEX(인턴근무계획!$M$3:$R$202,$A148,$G$3)&amp;"")-1))))</f>
        <v/>
      </c>
      <c r="H148" s="23">
        <f>IF(OR($C148="",$G$3=""),"",IF(INDEX(인턴근무계획!$M$3:$R$202,$A148,$G$3)&amp;""="","",IF(LEFT(INDEX(인턴근무계획!$M$3:$R$202,$A148,$G$3)&amp;"",1)="⚠","",MID(INDEX(인턴근무계획!$M$3:$R$202,$A148,$G$3)&amp;"",FIND(" ",INDEX(인턴근무계획!$M$3:$R$202,$A148,$G$3)&amp;"")+1,60))))</f>
        <v/>
      </c>
      <c r="I148" s="23">
        <f>IF(OR($C148="",$I$3=""),"",IF(INDEX(인턴근무계획!$M$3:$R$202,$A148,$I$3)&amp;""="","",IF(LEFT(INDEX(인턴근무계획!$M$3:$R$202,$A148,$I$3)&amp;"",1)="⚠",INDEX(인턴근무계획!$M$3:$R$202,$A148,$I$3)&amp;"",LEFT(INDEX(인턴근무계획!$M$3:$R$202,$A148,$I$3)&amp;"",FIND(" ",INDEX(인턴근무계획!$M$3:$R$202,$A148,$I$3)&amp;"")-1))))</f>
        <v/>
      </c>
      <c r="J148" s="23">
        <f>IF(OR($C148="",$I$3=""),"",IF(INDEX(인턴근무계획!$M$3:$R$202,$A148,$I$3)&amp;""="","",IF(LEFT(INDEX(인턴근무계획!$M$3:$R$202,$A148,$I$3)&amp;"",1)="⚠","",MID(INDEX(인턴근무계획!$M$3:$R$202,$A148,$I$3)&amp;"",FIND(" ",INDEX(인턴근무계획!$M$3:$R$202,$A148,$I$3)&amp;"")+1,60))))</f>
        <v/>
      </c>
      <c r="K148" s="23">
        <f>IF($C148="","",INDEX(인턴근무계획!$M$3:$M$202,$A148)&amp;"")</f>
        <v/>
      </c>
      <c r="L148" s="23">
        <f>IF($C148="","",INDEX(인턴근무계획!$N$3:$N$202,$A148)&amp;"")</f>
        <v/>
      </c>
      <c r="M148" s="23">
        <f>IF($C148="","",INDEX(인턴근무계획!$O$3:$O$202,$A148)&amp;"")</f>
        <v/>
      </c>
      <c r="N148" s="23">
        <f>IF($C148="","",INDEX(인턴근무계획!$P$3:$P$202,$A148)&amp;"")</f>
        <v/>
      </c>
      <c r="O148" s="23">
        <f>IF($C148="","",INDEX(인턴근무계획!$Q$3:$Q$202,$A148)&amp;"")</f>
        <v/>
      </c>
      <c r="P148" s="23">
        <f>IF($C148="","",INDEX(인턴근무계획!$R$3:$R$202,$A148)&amp;"")</f>
        <v/>
      </c>
      <c r="Q148" s="23">
        <f>IF($C148="","",INDEX(인턴근무계획!$T$3:$T$202,$A148))</f>
        <v/>
      </c>
    </row>
    <row r="149">
      <c r="A149" s="26" t="n">
        <v>144</v>
      </c>
      <c r="B149" s="23">
        <f>IF($C149="","",INDEX(인턴근무계획!$B$3:$B$202,$A149))</f>
        <v/>
      </c>
      <c r="C149" s="23">
        <f>IFERROR(TRIM(INDEX(인턴근무계획!$C$3:$C$202,$A149)&amp;""),"")</f>
        <v/>
      </c>
      <c r="D149" s="23">
        <f>IF($C149="","",INDEX(인턴근무계획!$D$3:$D$202,$A149))</f>
        <v/>
      </c>
      <c r="E149" s="23">
        <f>IF($C149="","",IF(IFERROR(MATCH($D149,기본자료!$B$2:$B$501,0),IFERROR(MATCH($D149&amp;"",기본자료!$B$2:$B$501,0),IFERROR(MATCH(VALUE($D149),기본자료!$B$2:$B$501,0),0)))&gt;0,"확인","미등록"))</f>
        <v/>
      </c>
      <c r="F149" s="27">
        <f>IF($C149="","",INDEX(인턴근무계획!$S$3:$S$202,$A149))</f>
        <v/>
      </c>
      <c r="G149" s="23">
        <f>IF(OR($C149="",$G$3=""),"",IF(INDEX(인턴근무계획!$M$3:$R$202,$A149,$G$3)&amp;""="","",IF(LEFT(INDEX(인턴근무계획!$M$3:$R$202,$A149,$G$3)&amp;"",1)="⚠",INDEX(인턴근무계획!$M$3:$R$202,$A149,$G$3)&amp;"",LEFT(INDEX(인턴근무계획!$M$3:$R$202,$A149,$G$3)&amp;"",FIND(" ",INDEX(인턴근무계획!$M$3:$R$202,$A149,$G$3)&amp;"")-1))))</f>
        <v/>
      </c>
      <c r="H149" s="23">
        <f>IF(OR($C149="",$G$3=""),"",IF(INDEX(인턴근무계획!$M$3:$R$202,$A149,$G$3)&amp;""="","",IF(LEFT(INDEX(인턴근무계획!$M$3:$R$202,$A149,$G$3)&amp;"",1)="⚠","",MID(INDEX(인턴근무계획!$M$3:$R$202,$A149,$G$3)&amp;"",FIND(" ",INDEX(인턴근무계획!$M$3:$R$202,$A149,$G$3)&amp;"")+1,60))))</f>
        <v/>
      </c>
      <c r="I149" s="23">
        <f>IF(OR($C149="",$I$3=""),"",IF(INDEX(인턴근무계획!$M$3:$R$202,$A149,$I$3)&amp;""="","",IF(LEFT(INDEX(인턴근무계획!$M$3:$R$202,$A149,$I$3)&amp;"",1)="⚠",INDEX(인턴근무계획!$M$3:$R$202,$A149,$I$3)&amp;"",LEFT(INDEX(인턴근무계획!$M$3:$R$202,$A149,$I$3)&amp;"",FIND(" ",INDEX(인턴근무계획!$M$3:$R$202,$A149,$I$3)&amp;"")-1))))</f>
        <v/>
      </c>
      <c r="J149" s="23">
        <f>IF(OR($C149="",$I$3=""),"",IF(INDEX(인턴근무계획!$M$3:$R$202,$A149,$I$3)&amp;""="","",IF(LEFT(INDEX(인턴근무계획!$M$3:$R$202,$A149,$I$3)&amp;"",1)="⚠","",MID(INDEX(인턴근무계획!$M$3:$R$202,$A149,$I$3)&amp;"",FIND(" ",INDEX(인턴근무계획!$M$3:$R$202,$A149,$I$3)&amp;"")+1,60))))</f>
        <v/>
      </c>
      <c r="K149" s="23">
        <f>IF($C149="","",INDEX(인턴근무계획!$M$3:$M$202,$A149)&amp;"")</f>
        <v/>
      </c>
      <c r="L149" s="23">
        <f>IF($C149="","",INDEX(인턴근무계획!$N$3:$N$202,$A149)&amp;"")</f>
        <v/>
      </c>
      <c r="M149" s="23">
        <f>IF($C149="","",INDEX(인턴근무계획!$O$3:$O$202,$A149)&amp;"")</f>
        <v/>
      </c>
      <c r="N149" s="23">
        <f>IF($C149="","",INDEX(인턴근무계획!$P$3:$P$202,$A149)&amp;"")</f>
        <v/>
      </c>
      <c r="O149" s="23">
        <f>IF($C149="","",INDEX(인턴근무계획!$Q$3:$Q$202,$A149)&amp;"")</f>
        <v/>
      </c>
      <c r="P149" s="23">
        <f>IF($C149="","",INDEX(인턴근무계획!$R$3:$R$202,$A149)&amp;"")</f>
        <v/>
      </c>
      <c r="Q149" s="23">
        <f>IF($C149="","",INDEX(인턴근무계획!$T$3:$T$202,$A149))</f>
        <v/>
      </c>
    </row>
    <row r="150">
      <c r="A150" s="26" t="n">
        <v>145</v>
      </c>
      <c r="B150" s="23">
        <f>IF($C150="","",INDEX(인턴근무계획!$B$3:$B$202,$A150))</f>
        <v/>
      </c>
      <c r="C150" s="23">
        <f>IFERROR(TRIM(INDEX(인턴근무계획!$C$3:$C$202,$A150)&amp;""),"")</f>
        <v/>
      </c>
      <c r="D150" s="23">
        <f>IF($C150="","",INDEX(인턴근무계획!$D$3:$D$202,$A150))</f>
        <v/>
      </c>
      <c r="E150" s="23">
        <f>IF($C150="","",IF(IFERROR(MATCH($D150,기본자료!$B$2:$B$501,0),IFERROR(MATCH($D150&amp;"",기본자료!$B$2:$B$501,0),IFERROR(MATCH(VALUE($D150),기본자료!$B$2:$B$501,0),0)))&gt;0,"확인","미등록"))</f>
        <v/>
      </c>
      <c r="F150" s="27">
        <f>IF($C150="","",INDEX(인턴근무계획!$S$3:$S$202,$A150))</f>
        <v/>
      </c>
      <c r="G150" s="23">
        <f>IF(OR($C150="",$G$3=""),"",IF(INDEX(인턴근무계획!$M$3:$R$202,$A150,$G$3)&amp;""="","",IF(LEFT(INDEX(인턴근무계획!$M$3:$R$202,$A150,$G$3)&amp;"",1)="⚠",INDEX(인턴근무계획!$M$3:$R$202,$A150,$G$3)&amp;"",LEFT(INDEX(인턴근무계획!$M$3:$R$202,$A150,$G$3)&amp;"",FIND(" ",INDEX(인턴근무계획!$M$3:$R$202,$A150,$G$3)&amp;"")-1))))</f>
        <v/>
      </c>
      <c r="H150" s="23">
        <f>IF(OR($C150="",$G$3=""),"",IF(INDEX(인턴근무계획!$M$3:$R$202,$A150,$G$3)&amp;""="","",IF(LEFT(INDEX(인턴근무계획!$M$3:$R$202,$A150,$G$3)&amp;"",1)="⚠","",MID(INDEX(인턴근무계획!$M$3:$R$202,$A150,$G$3)&amp;"",FIND(" ",INDEX(인턴근무계획!$M$3:$R$202,$A150,$G$3)&amp;"")+1,60))))</f>
        <v/>
      </c>
      <c r="I150" s="23">
        <f>IF(OR($C150="",$I$3=""),"",IF(INDEX(인턴근무계획!$M$3:$R$202,$A150,$I$3)&amp;""="","",IF(LEFT(INDEX(인턴근무계획!$M$3:$R$202,$A150,$I$3)&amp;"",1)="⚠",INDEX(인턴근무계획!$M$3:$R$202,$A150,$I$3)&amp;"",LEFT(INDEX(인턴근무계획!$M$3:$R$202,$A150,$I$3)&amp;"",FIND(" ",INDEX(인턴근무계획!$M$3:$R$202,$A150,$I$3)&amp;"")-1))))</f>
        <v/>
      </c>
      <c r="J150" s="23">
        <f>IF(OR($C150="",$I$3=""),"",IF(INDEX(인턴근무계획!$M$3:$R$202,$A150,$I$3)&amp;""="","",IF(LEFT(INDEX(인턴근무계획!$M$3:$R$202,$A150,$I$3)&amp;"",1)="⚠","",MID(INDEX(인턴근무계획!$M$3:$R$202,$A150,$I$3)&amp;"",FIND(" ",INDEX(인턴근무계획!$M$3:$R$202,$A150,$I$3)&amp;"")+1,60))))</f>
        <v/>
      </c>
      <c r="K150" s="23">
        <f>IF($C150="","",INDEX(인턴근무계획!$M$3:$M$202,$A150)&amp;"")</f>
        <v/>
      </c>
      <c r="L150" s="23">
        <f>IF($C150="","",INDEX(인턴근무계획!$N$3:$N$202,$A150)&amp;"")</f>
        <v/>
      </c>
      <c r="M150" s="23">
        <f>IF($C150="","",INDEX(인턴근무계획!$O$3:$O$202,$A150)&amp;"")</f>
        <v/>
      </c>
      <c r="N150" s="23">
        <f>IF($C150="","",INDEX(인턴근무계획!$P$3:$P$202,$A150)&amp;"")</f>
        <v/>
      </c>
      <c r="O150" s="23">
        <f>IF($C150="","",INDEX(인턴근무계획!$Q$3:$Q$202,$A150)&amp;"")</f>
        <v/>
      </c>
      <c r="P150" s="23">
        <f>IF($C150="","",INDEX(인턴근무계획!$R$3:$R$202,$A150)&amp;"")</f>
        <v/>
      </c>
      <c r="Q150" s="23">
        <f>IF($C150="","",INDEX(인턴근무계획!$T$3:$T$202,$A150))</f>
        <v/>
      </c>
    </row>
    <row r="151">
      <c r="A151" s="26" t="n">
        <v>146</v>
      </c>
      <c r="B151" s="23">
        <f>IF($C151="","",INDEX(인턴근무계획!$B$3:$B$202,$A151))</f>
        <v/>
      </c>
      <c r="C151" s="23">
        <f>IFERROR(TRIM(INDEX(인턴근무계획!$C$3:$C$202,$A151)&amp;""),"")</f>
        <v/>
      </c>
      <c r="D151" s="23">
        <f>IF($C151="","",INDEX(인턴근무계획!$D$3:$D$202,$A151))</f>
        <v/>
      </c>
      <c r="E151" s="23">
        <f>IF($C151="","",IF(IFERROR(MATCH($D151,기본자료!$B$2:$B$501,0),IFERROR(MATCH($D151&amp;"",기본자료!$B$2:$B$501,0),IFERROR(MATCH(VALUE($D151),기본자료!$B$2:$B$501,0),0)))&gt;0,"확인","미등록"))</f>
        <v/>
      </c>
      <c r="F151" s="27">
        <f>IF($C151="","",INDEX(인턴근무계획!$S$3:$S$202,$A151))</f>
        <v/>
      </c>
      <c r="G151" s="23">
        <f>IF(OR($C151="",$G$3=""),"",IF(INDEX(인턴근무계획!$M$3:$R$202,$A151,$G$3)&amp;""="","",IF(LEFT(INDEX(인턴근무계획!$M$3:$R$202,$A151,$G$3)&amp;"",1)="⚠",INDEX(인턴근무계획!$M$3:$R$202,$A151,$G$3)&amp;"",LEFT(INDEX(인턴근무계획!$M$3:$R$202,$A151,$G$3)&amp;"",FIND(" ",INDEX(인턴근무계획!$M$3:$R$202,$A151,$G$3)&amp;"")-1))))</f>
        <v/>
      </c>
      <c r="H151" s="23">
        <f>IF(OR($C151="",$G$3=""),"",IF(INDEX(인턴근무계획!$M$3:$R$202,$A151,$G$3)&amp;""="","",IF(LEFT(INDEX(인턴근무계획!$M$3:$R$202,$A151,$G$3)&amp;"",1)="⚠","",MID(INDEX(인턴근무계획!$M$3:$R$202,$A151,$G$3)&amp;"",FIND(" ",INDEX(인턴근무계획!$M$3:$R$202,$A151,$G$3)&amp;"")+1,60))))</f>
        <v/>
      </c>
      <c r="I151" s="23">
        <f>IF(OR($C151="",$I$3=""),"",IF(INDEX(인턴근무계획!$M$3:$R$202,$A151,$I$3)&amp;""="","",IF(LEFT(INDEX(인턴근무계획!$M$3:$R$202,$A151,$I$3)&amp;"",1)="⚠",INDEX(인턴근무계획!$M$3:$R$202,$A151,$I$3)&amp;"",LEFT(INDEX(인턴근무계획!$M$3:$R$202,$A151,$I$3)&amp;"",FIND(" ",INDEX(인턴근무계획!$M$3:$R$202,$A151,$I$3)&amp;"")-1))))</f>
        <v/>
      </c>
      <c r="J151" s="23">
        <f>IF(OR($C151="",$I$3=""),"",IF(INDEX(인턴근무계획!$M$3:$R$202,$A151,$I$3)&amp;""="","",IF(LEFT(INDEX(인턴근무계획!$M$3:$R$202,$A151,$I$3)&amp;"",1)="⚠","",MID(INDEX(인턴근무계획!$M$3:$R$202,$A151,$I$3)&amp;"",FIND(" ",INDEX(인턴근무계획!$M$3:$R$202,$A151,$I$3)&amp;"")+1,60))))</f>
        <v/>
      </c>
      <c r="K151" s="23">
        <f>IF($C151="","",INDEX(인턴근무계획!$M$3:$M$202,$A151)&amp;"")</f>
        <v/>
      </c>
      <c r="L151" s="23">
        <f>IF($C151="","",INDEX(인턴근무계획!$N$3:$N$202,$A151)&amp;"")</f>
        <v/>
      </c>
      <c r="M151" s="23">
        <f>IF($C151="","",INDEX(인턴근무계획!$O$3:$O$202,$A151)&amp;"")</f>
        <v/>
      </c>
      <c r="N151" s="23">
        <f>IF($C151="","",INDEX(인턴근무계획!$P$3:$P$202,$A151)&amp;"")</f>
        <v/>
      </c>
      <c r="O151" s="23">
        <f>IF($C151="","",INDEX(인턴근무계획!$Q$3:$Q$202,$A151)&amp;"")</f>
        <v/>
      </c>
      <c r="P151" s="23">
        <f>IF($C151="","",INDEX(인턴근무계획!$R$3:$R$202,$A151)&amp;"")</f>
        <v/>
      </c>
      <c r="Q151" s="23">
        <f>IF($C151="","",INDEX(인턴근무계획!$T$3:$T$202,$A151))</f>
        <v/>
      </c>
    </row>
    <row r="152">
      <c r="A152" s="26" t="n">
        <v>147</v>
      </c>
      <c r="B152" s="23">
        <f>IF($C152="","",INDEX(인턴근무계획!$B$3:$B$202,$A152))</f>
        <v/>
      </c>
      <c r="C152" s="23">
        <f>IFERROR(TRIM(INDEX(인턴근무계획!$C$3:$C$202,$A152)&amp;""),"")</f>
        <v/>
      </c>
      <c r="D152" s="23">
        <f>IF($C152="","",INDEX(인턴근무계획!$D$3:$D$202,$A152))</f>
        <v/>
      </c>
      <c r="E152" s="23">
        <f>IF($C152="","",IF(IFERROR(MATCH($D152,기본자료!$B$2:$B$501,0),IFERROR(MATCH($D152&amp;"",기본자료!$B$2:$B$501,0),IFERROR(MATCH(VALUE($D152),기본자료!$B$2:$B$501,0),0)))&gt;0,"확인","미등록"))</f>
        <v/>
      </c>
      <c r="F152" s="27">
        <f>IF($C152="","",INDEX(인턴근무계획!$S$3:$S$202,$A152))</f>
        <v/>
      </c>
      <c r="G152" s="23">
        <f>IF(OR($C152="",$G$3=""),"",IF(INDEX(인턴근무계획!$M$3:$R$202,$A152,$G$3)&amp;""="","",IF(LEFT(INDEX(인턴근무계획!$M$3:$R$202,$A152,$G$3)&amp;"",1)="⚠",INDEX(인턴근무계획!$M$3:$R$202,$A152,$G$3)&amp;"",LEFT(INDEX(인턴근무계획!$M$3:$R$202,$A152,$G$3)&amp;"",FIND(" ",INDEX(인턴근무계획!$M$3:$R$202,$A152,$G$3)&amp;"")-1))))</f>
        <v/>
      </c>
      <c r="H152" s="23">
        <f>IF(OR($C152="",$G$3=""),"",IF(INDEX(인턴근무계획!$M$3:$R$202,$A152,$G$3)&amp;""="","",IF(LEFT(INDEX(인턴근무계획!$M$3:$R$202,$A152,$G$3)&amp;"",1)="⚠","",MID(INDEX(인턴근무계획!$M$3:$R$202,$A152,$G$3)&amp;"",FIND(" ",INDEX(인턴근무계획!$M$3:$R$202,$A152,$G$3)&amp;"")+1,60))))</f>
        <v/>
      </c>
      <c r="I152" s="23">
        <f>IF(OR($C152="",$I$3=""),"",IF(INDEX(인턴근무계획!$M$3:$R$202,$A152,$I$3)&amp;""="","",IF(LEFT(INDEX(인턴근무계획!$M$3:$R$202,$A152,$I$3)&amp;"",1)="⚠",INDEX(인턴근무계획!$M$3:$R$202,$A152,$I$3)&amp;"",LEFT(INDEX(인턴근무계획!$M$3:$R$202,$A152,$I$3)&amp;"",FIND(" ",INDEX(인턴근무계획!$M$3:$R$202,$A152,$I$3)&amp;"")-1))))</f>
        <v/>
      </c>
      <c r="J152" s="23">
        <f>IF(OR($C152="",$I$3=""),"",IF(INDEX(인턴근무계획!$M$3:$R$202,$A152,$I$3)&amp;""="","",IF(LEFT(INDEX(인턴근무계획!$M$3:$R$202,$A152,$I$3)&amp;"",1)="⚠","",MID(INDEX(인턴근무계획!$M$3:$R$202,$A152,$I$3)&amp;"",FIND(" ",INDEX(인턴근무계획!$M$3:$R$202,$A152,$I$3)&amp;"")+1,60))))</f>
        <v/>
      </c>
      <c r="K152" s="23">
        <f>IF($C152="","",INDEX(인턴근무계획!$M$3:$M$202,$A152)&amp;"")</f>
        <v/>
      </c>
      <c r="L152" s="23">
        <f>IF($C152="","",INDEX(인턴근무계획!$N$3:$N$202,$A152)&amp;"")</f>
        <v/>
      </c>
      <c r="M152" s="23">
        <f>IF($C152="","",INDEX(인턴근무계획!$O$3:$O$202,$A152)&amp;"")</f>
        <v/>
      </c>
      <c r="N152" s="23">
        <f>IF($C152="","",INDEX(인턴근무계획!$P$3:$P$202,$A152)&amp;"")</f>
        <v/>
      </c>
      <c r="O152" s="23">
        <f>IF($C152="","",INDEX(인턴근무계획!$Q$3:$Q$202,$A152)&amp;"")</f>
        <v/>
      </c>
      <c r="P152" s="23">
        <f>IF($C152="","",INDEX(인턴근무계획!$R$3:$R$202,$A152)&amp;"")</f>
        <v/>
      </c>
      <c r="Q152" s="23">
        <f>IF($C152="","",INDEX(인턴근무계획!$T$3:$T$202,$A152))</f>
        <v/>
      </c>
    </row>
    <row r="153">
      <c r="A153" s="26" t="n">
        <v>148</v>
      </c>
      <c r="B153" s="23">
        <f>IF($C153="","",INDEX(인턴근무계획!$B$3:$B$202,$A153))</f>
        <v/>
      </c>
      <c r="C153" s="23">
        <f>IFERROR(TRIM(INDEX(인턴근무계획!$C$3:$C$202,$A153)&amp;""),"")</f>
        <v/>
      </c>
      <c r="D153" s="23">
        <f>IF($C153="","",INDEX(인턴근무계획!$D$3:$D$202,$A153))</f>
        <v/>
      </c>
      <c r="E153" s="23">
        <f>IF($C153="","",IF(IFERROR(MATCH($D153,기본자료!$B$2:$B$501,0),IFERROR(MATCH($D153&amp;"",기본자료!$B$2:$B$501,0),IFERROR(MATCH(VALUE($D153),기본자료!$B$2:$B$501,0),0)))&gt;0,"확인","미등록"))</f>
        <v/>
      </c>
      <c r="F153" s="27">
        <f>IF($C153="","",INDEX(인턴근무계획!$S$3:$S$202,$A153))</f>
        <v/>
      </c>
      <c r="G153" s="23">
        <f>IF(OR($C153="",$G$3=""),"",IF(INDEX(인턴근무계획!$M$3:$R$202,$A153,$G$3)&amp;""="","",IF(LEFT(INDEX(인턴근무계획!$M$3:$R$202,$A153,$G$3)&amp;"",1)="⚠",INDEX(인턴근무계획!$M$3:$R$202,$A153,$G$3)&amp;"",LEFT(INDEX(인턴근무계획!$M$3:$R$202,$A153,$G$3)&amp;"",FIND(" ",INDEX(인턴근무계획!$M$3:$R$202,$A153,$G$3)&amp;"")-1))))</f>
        <v/>
      </c>
      <c r="H153" s="23">
        <f>IF(OR($C153="",$G$3=""),"",IF(INDEX(인턴근무계획!$M$3:$R$202,$A153,$G$3)&amp;""="","",IF(LEFT(INDEX(인턴근무계획!$M$3:$R$202,$A153,$G$3)&amp;"",1)="⚠","",MID(INDEX(인턴근무계획!$M$3:$R$202,$A153,$G$3)&amp;"",FIND(" ",INDEX(인턴근무계획!$M$3:$R$202,$A153,$G$3)&amp;"")+1,60))))</f>
        <v/>
      </c>
      <c r="I153" s="23">
        <f>IF(OR($C153="",$I$3=""),"",IF(INDEX(인턴근무계획!$M$3:$R$202,$A153,$I$3)&amp;""="","",IF(LEFT(INDEX(인턴근무계획!$M$3:$R$202,$A153,$I$3)&amp;"",1)="⚠",INDEX(인턴근무계획!$M$3:$R$202,$A153,$I$3)&amp;"",LEFT(INDEX(인턴근무계획!$M$3:$R$202,$A153,$I$3)&amp;"",FIND(" ",INDEX(인턴근무계획!$M$3:$R$202,$A153,$I$3)&amp;"")-1))))</f>
        <v/>
      </c>
      <c r="J153" s="23">
        <f>IF(OR($C153="",$I$3=""),"",IF(INDEX(인턴근무계획!$M$3:$R$202,$A153,$I$3)&amp;""="","",IF(LEFT(INDEX(인턴근무계획!$M$3:$R$202,$A153,$I$3)&amp;"",1)="⚠","",MID(INDEX(인턴근무계획!$M$3:$R$202,$A153,$I$3)&amp;"",FIND(" ",INDEX(인턴근무계획!$M$3:$R$202,$A153,$I$3)&amp;"")+1,60))))</f>
        <v/>
      </c>
      <c r="K153" s="23">
        <f>IF($C153="","",INDEX(인턴근무계획!$M$3:$M$202,$A153)&amp;"")</f>
        <v/>
      </c>
      <c r="L153" s="23">
        <f>IF($C153="","",INDEX(인턴근무계획!$N$3:$N$202,$A153)&amp;"")</f>
        <v/>
      </c>
      <c r="M153" s="23">
        <f>IF($C153="","",INDEX(인턴근무계획!$O$3:$O$202,$A153)&amp;"")</f>
        <v/>
      </c>
      <c r="N153" s="23">
        <f>IF($C153="","",INDEX(인턴근무계획!$P$3:$P$202,$A153)&amp;"")</f>
        <v/>
      </c>
      <c r="O153" s="23">
        <f>IF($C153="","",INDEX(인턴근무계획!$Q$3:$Q$202,$A153)&amp;"")</f>
        <v/>
      </c>
      <c r="P153" s="23">
        <f>IF($C153="","",INDEX(인턴근무계획!$R$3:$R$202,$A153)&amp;"")</f>
        <v/>
      </c>
      <c r="Q153" s="23">
        <f>IF($C153="","",INDEX(인턴근무계획!$T$3:$T$202,$A153))</f>
        <v/>
      </c>
    </row>
    <row r="154">
      <c r="A154" s="26" t="n">
        <v>149</v>
      </c>
      <c r="B154" s="23">
        <f>IF($C154="","",INDEX(인턴근무계획!$B$3:$B$202,$A154))</f>
        <v/>
      </c>
      <c r="C154" s="23">
        <f>IFERROR(TRIM(INDEX(인턴근무계획!$C$3:$C$202,$A154)&amp;""),"")</f>
        <v/>
      </c>
      <c r="D154" s="23">
        <f>IF($C154="","",INDEX(인턴근무계획!$D$3:$D$202,$A154))</f>
        <v/>
      </c>
      <c r="E154" s="23">
        <f>IF($C154="","",IF(IFERROR(MATCH($D154,기본자료!$B$2:$B$501,0),IFERROR(MATCH($D154&amp;"",기본자료!$B$2:$B$501,0),IFERROR(MATCH(VALUE($D154),기본자료!$B$2:$B$501,0),0)))&gt;0,"확인","미등록"))</f>
        <v/>
      </c>
      <c r="F154" s="27">
        <f>IF($C154="","",INDEX(인턴근무계획!$S$3:$S$202,$A154))</f>
        <v/>
      </c>
      <c r="G154" s="23">
        <f>IF(OR($C154="",$G$3=""),"",IF(INDEX(인턴근무계획!$M$3:$R$202,$A154,$G$3)&amp;""="","",IF(LEFT(INDEX(인턴근무계획!$M$3:$R$202,$A154,$G$3)&amp;"",1)="⚠",INDEX(인턴근무계획!$M$3:$R$202,$A154,$G$3)&amp;"",LEFT(INDEX(인턴근무계획!$M$3:$R$202,$A154,$G$3)&amp;"",FIND(" ",INDEX(인턴근무계획!$M$3:$R$202,$A154,$G$3)&amp;"")-1))))</f>
        <v/>
      </c>
      <c r="H154" s="23">
        <f>IF(OR($C154="",$G$3=""),"",IF(INDEX(인턴근무계획!$M$3:$R$202,$A154,$G$3)&amp;""="","",IF(LEFT(INDEX(인턴근무계획!$M$3:$R$202,$A154,$G$3)&amp;"",1)="⚠","",MID(INDEX(인턴근무계획!$M$3:$R$202,$A154,$G$3)&amp;"",FIND(" ",INDEX(인턴근무계획!$M$3:$R$202,$A154,$G$3)&amp;"")+1,60))))</f>
        <v/>
      </c>
      <c r="I154" s="23">
        <f>IF(OR($C154="",$I$3=""),"",IF(INDEX(인턴근무계획!$M$3:$R$202,$A154,$I$3)&amp;""="","",IF(LEFT(INDEX(인턴근무계획!$M$3:$R$202,$A154,$I$3)&amp;"",1)="⚠",INDEX(인턴근무계획!$M$3:$R$202,$A154,$I$3)&amp;"",LEFT(INDEX(인턴근무계획!$M$3:$R$202,$A154,$I$3)&amp;"",FIND(" ",INDEX(인턴근무계획!$M$3:$R$202,$A154,$I$3)&amp;"")-1))))</f>
        <v/>
      </c>
      <c r="J154" s="23">
        <f>IF(OR($C154="",$I$3=""),"",IF(INDEX(인턴근무계획!$M$3:$R$202,$A154,$I$3)&amp;""="","",IF(LEFT(INDEX(인턴근무계획!$M$3:$R$202,$A154,$I$3)&amp;"",1)="⚠","",MID(INDEX(인턴근무계획!$M$3:$R$202,$A154,$I$3)&amp;"",FIND(" ",INDEX(인턴근무계획!$M$3:$R$202,$A154,$I$3)&amp;"")+1,60))))</f>
        <v/>
      </c>
      <c r="K154" s="23">
        <f>IF($C154="","",INDEX(인턴근무계획!$M$3:$M$202,$A154)&amp;"")</f>
        <v/>
      </c>
      <c r="L154" s="23">
        <f>IF($C154="","",INDEX(인턴근무계획!$N$3:$N$202,$A154)&amp;"")</f>
        <v/>
      </c>
      <c r="M154" s="23">
        <f>IF($C154="","",INDEX(인턴근무계획!$O$3:$O$202,$A154)&amp;"")</f>
        <v/>
      </c>
      <c r="N154" s="23">
        <f>IF($C154="","",INDEX(인턴근무계획!$P$3:$P$202,$A154)&amp;"")</f>
        <v/>
      </c>
      <c r="O154" s="23">
        <f>IF($C154="","",INDEX(인턴근무계획!$Q$3:$Q$202,$A154)&amp;"")</f>
        <v/>
      </c>
      <c r="P154" s="23">
        <f>IF($C154="","",INDEX(인턴근무계획!$R$3:$R$202,$A154)&amp;"")</f>
        <v/>
      </c>
      <c r="Q154" s="23">
        <f>IF($C154="","",INDEX(인턴근무계획!$T$3:$T$202,$A154))</f>
        <v/>
      </c>
    </row>
    <row r="155">
      <c r="A155" s="26" t="n">
        <v>150</v>
      </c>
      <c r="B155" s="23">
        <f>IF($C155="","",INDEX(인턴근무계획!$B$3:$B$202,$A155))</f>
        <v/>
      </c>
      <c r="C155" s="23">
        <f>IFERROR(TRIM(INDEX(인턴근무계획!$C$3:$C$202,$A155)&amp;""),"")</f>
        <v/>
      </c>
      <c r="D155" s="23">
        <f>IF($C155="","",INDEX(인턴근무계획!$D$3:$D$202,$A155))</f>
        <v/>
      </c>
      <c r="E155" s="23">
        <f>IF($C155="","",IF(IFERROR(MATCH($D155,기본자료!$B$2:$B$501,0),IFERROR(MATCH($D155&amp;"",기본자료!$B$2:$B$501,0),IFERROR(MATCH(VALUE($D155),기본자료!$B$2:$B$501,0),0)))&gt;0,"확인","미등록"))</f>
        <v/>
      </c>
      <c r="F155" s="27">
        <f>IF($C155="","",INDEX(인턴근무계획!$S$3:$S$202,$A155))</f>
        <v/>
      </c>
      <c r="G155" s="23">
        <f>IF(OR($C155="",$G$3=""),"",IF(INDEX(인턴근무계획!$M$3:$R$202,$A155,$G$3)&amp;""="","",IF(LEFT(INDEX(인턴근무계획!$M$3:$R$202,$A155,$G$3)&amp;"",1)="⚠",INDEX(인턴근무계획!$M$3:$R$202,$A155,$G$3)&amp;"",LEFT(INDEX(인턴근무계획!$M$3:$R$202,$A155,$G$3)&amp;"",FIND(" ",INDEX(인턴근무계획!$M$3:$R$202,$A155,$G$3)&amp;"")-1))))</f>
        <v/>
      </c>
      <c r="H155" s="23">
        <f>IF(OR($C155="",$G$3=""),"",IF(INDEX(인턴근무계획!$M$3:$R$202,$A155,$G$3)&amp;""="","",IF(LEFT(INDEX(인턴근무계획!$M$3:$R$202,$A155,$G$3)&amp;"",1)="⚠","",MID(INDEX(인턴근무계획!$M$3:$R$202,$A155,$G$3)&amp;"",FIND(" ",INDEX(인턴근무계획!$M$3:$R$202,$A155,$G$3)&amp;"")+1,60))))</f>
        <v/>
      </c>
      <c r="I155" s="23">
        <f>IF(OR($C155="",$I$3=""),"",IF(INDEX(인턴근무계획!$M$3:$R$202,$A155,$I$3)&amp;""="","",IF(LEFT(INDEX(인턴근무계획!$M$3:$R$202,$A155,$I$3)&amp;"",1)="⚠",INDEX(인턴근무계획!$M$3:$R$202,$A155,$I$3)&amp;"",LEFT(INDEX(인턴근무계획!$M$3:$R$202,$A155,$I$3)&amp;"",FIND(" ",INDEX(인턴근무계획!$M$3:$R$202,$A155,$I$3)&amp;"")-1))))</f>
        <v/>
      </c>
      <c r="J155" s="23">
        <f>IF(OR($C155="",$I$3=""),"",IF(INDEX(인턴근무계획!$M$3:$R$202,$A155,$I$3)&amp;""="","",IF(LEFT(INDEX(인턴근무계획!$M$3:$R$202,$A155,$I$3)&amp;"",1)="⚠","",MID(INDEX(인턴근무계획!$M$3:$R$202,$A155,$I$3)&amp;"",FIND(" ",INDEX(인턴근무계획!$M$3:$R$202,$A155,$I$3)&amp;"")+1,60))))</f>
        <v/>
      </c>
      <c r="K155" s="23">
        <f>IF($C155="","",INDEX(인턴근무계획!$M$3:$M$202,$A155)&amp;"")</f>
        <v/>
      </c>
      <c r="L155" s="23">
        <f>IF($C155="","",INDEX(인턴근무계획!$N$3:$N$202,$A155)&amp;"")</f>
        <v/>
      </c>
      <c r="M155" s="23">
        <f>IF($C155="","",INDEX(인턴근무계획!$O$3:$O$202,$A155)&amp;"")</f>
        <v/>
      </c>
      <c r="N155" s="23">
        <f>IF($C155="","",INDEX(인턴근무계획!$P$3:$P$202,$A155)&amp;"")</f>
        <v/>
      </c>
      <c r="O155" s="23">
        <f>IF($C155="","",INDEX(인턴근무계획!$Q$3:$Q$202,$A155)&amp;"")</f>
        <v/>
      </c>
      <c r="P155" s="23">
        <f>IF($C155="","",INDEX(인턴근무계획!$R$3:$R$202,$A155)&amp;"")</f>
        <v/>
      </c>
      <c r="Q155" s="23">
        <f>IF($C155="","",INDEX(인턴근무계획!$T$3:$T$202,$A155))</f>
        <v/>
      </c>
    </row>
    <row r="156">
      <c r="A156" s="26" t="n">
        <v>151</v>
      </c>
      <c r="B156" s="23">
        <f>IF($C156="","",INDEX(인턴근무계획!$B$3:$B$202,$A156))</f>
        <v/>
      </c>
      <c r="C156" s="23">
        <f>IFERROR(TRIM(INDEX(인턴근무계획!$C$3:$C$202,$A156)&amp;""),"")</f>
        <v/>
      </c>
      <c r="D156" s="23">
        <f>IF($C156="","",INDEX(인턴근무계획!$D$3:$D$202,$A156))</f>
        <v/>
      </c>
      <c r="E156" s="23">
        <f>IF($C156="","",IF(IFERROR(MATCH($D156,기본자료!$B$2:$B$501,0),IFERROR(MATCH($D156&amp;"",기본자료!$B$2:$B$501,0),IFERROR(MATCH(VALUE($D156),기본자료!$B$2:$B$501,0),0)))&gt;0,"확인","미등록"))</f>
        <v/>
      </c>
      <c r="F156" s="27">
        <f>IF($C156="","",INDEX(인턴근무계획!$S$3:$S$202,$A156))</f>
        <v/>
      </c>
      <c r="G156" s="23">
        <f>IF(OR($C156="",$G$3=""),"",IF(INDEX(인턴근무계획!$M$3:$R$202,$A156,$G$3)&amp;""="","",IF(LEFT(INDEX(인턴근무계획!$M$3:$R$202,$A156,$G$3)&amp;"",1)="⚠",INDEX(인턴근무계획!$M$3:$R$202,$A156,$G$3)&amp;"",LEFT(INDEX(인턴근무계획!$M$3:$R$202,$A156,$G$3)&amp;"",FIND(" ",INDEX(인턴근무계획!$M$3:$R$202,$A156,$G$3)&amp;"")-1))))</f>
        <v/>
      </c>
      <c r="H156" s="23">
        <f>IF(OR($C156="",$G$3=""),"",IF(INDEX(인턴근무계획!$M$3:$R$202,$A156,$G$3)&amp;""="","",IF(LEFT(INDEX(인턴근무계획!$M$3:$R$202,$A156,$G$3)&amp;"",1)="⚠","",MID(INDEX(인턴근무계획!$M$3:$R$202,$A156,$G$3)&amp;"",FIND(" ",INDEX(인턴근무계획!$M$3:$R$202,$A156,$G$3)&amp;"")+1,60))))</f>
        <v/>
      </c>
      <c r="I156" s="23">
        <f>IF(OR($C156="",$I$3=""),"",IF(INDEX(인턴근무계획!$M$3:$R$202,$A156,$I$3)&amp;""="","",IF(LEFT(INDEX(인턴근무계획!$M$3:$R$202,$A156,$I$3)&amp;"",1)="⚠",INDEX(인턴근무계획!$M$3:$R$202,$A156,$I$3)&amp;"",LEFT(INDEX(인턴근무계획!$M$3:$R$202,$A156,$I$3)&amp;"",FIND(" ",INDEX(인턴근무계획!$M$3:$R$202,$A156,$I$3)&amp;"")-1))))</f>
        <v/>
      </c>
      <c r="J156" s="23">
        <f>IF(OR($C156="",$I$3=""),"",IF(INDEX(인턴근무계획!$M$3:$R$202,$A156,$I$3)&amp;""="","",IF(LEFT(INDEX(인턴근무계획!$M$3:$R$202,$A156,$I$3)&amp;"",1)="⚠","",MID(INDEX(인턴근무계획!$M$3:$R$202,$A156,$I$3)&amp;"",FIND(" ",INDEX(인턴근무계획!$M$3:$R$202,$A156,$I$3)&amp;"")+1,60))))</f>
        <v/>
      </c>
      <c r="K156" s="23">
        <f>IF($C156="","",INDEX(인턴근무계획!$M$3:$M$202,$A156)&amp;"")</f>
        <v/>
      </c>
      <c r="L156" s="23">
        <f>IF($C156="","",INDEX(인턴근무계획!$N$3:$N$202,$A156)&amp;"")</f>
        <v/>
      </c>
      <c r="M156" s="23">
        <f>IF($C156="","",INDEX(인턴근무계획!$O$3:$O$202,$A156)&amp;"")</f>
        <v/>
      </c>
      <c r="N156" s="23">
        <f>IF($C156="","",INDEX(인턴근무계획!$P$3:$P$202,$A156)&amp;"")</f>
        <v/>
      </c>
      <c r="O156" s="23">
        <f>IF($C156="","",INDEX(인턴근무계획!$Q$3:$Q$202,$A156)&amp;"")</f>
        <v/>
      </c>
      <c r="P156" s="23">
        <f>IF($C156="","",INDEX(인턴근무계획!$R$3:$R$202,$A156)&amp;"")</f>
        <v/>
      </c>
      <c r="Q156" s="23">
        <f>IF($C156="","",INDEX(인턴근무계획!$T$3:$T$202,$A156))</f>
        <v/>
      </c>
    </row>
    <row r="157">
      <c r="A157" s="26" t="n">
        <v>152</v>
      </c>
      <c r="B157" s="23">
        <f>IF($C157="","",INDEX(인턴근무계획!$B$3:$B$202,$A157))</f>
        <v/>
      </c>
      <c r="C157" s="23">
        <f>IFERROR(TRIM(INDEX(인턴근무계획!$C$3:$C$202,$A157)&amp;""),"")</f>
        <v/>
      </c>
      <c r="D157" s="23">
        <f>IF($C157="","",INDEX(인턴근무계획!$D$3:$D$202,$A157))</f>
        <v/>
      </c>
      <c r="E157" s="23">
        <f>IF($C157="","",IF(IFERROR(MATCH($D157,기본자료!$B$2:$B$501,0),IFERROR(MATCH($D157&amp;"",기본자료!$B$2:$B$501,0),IFERROR(MATCH(VALUE($D157),기본자료!$B$2:$B$501,0),0)))&gt;0,"확인","미등록"))</f>
        <v/>
      </c>
      <c r="F157" s="27">
        <f>IF($C157="","",INDEX(인턴근무계획!$S$3:$S$202,$A157))</f>
        <v/>
      </c>
      <c r="G157" s="23">
        <f>IF(OR($C157="",$G$3=""),"",IF(INDEX(인턴근무계획!$M$3:$R$202,$A157,$G$3)&amp;""="","",IF(LEFT(INDEX(인턴근무계획!$M$3:$R$202,$A157,$G$3)&amp;"",1)="⚠",INDEX(인턴근무계획!$M$3:$R$202,$A157,$G$3)&amp;"",LEFT(INDEX(인턴근무계획!$M$3:$R$202,$A157,$G$3)&amp;"",FIND(" ",INDEX(인턴근무계획!$M$3:$R$202,$A157,$G$3)&amp;"")-1))))</f>
        <v/>
      </c>
      <c r="H157" s="23">
        <f>IF(OR($C157="",$G$3=""),"",IF(INDEX(인턴근무계획!$M$3:$R$202,$A157,$G$3)&amp;""="","",IF(LEFT(INDEX(인턴근무계획!$M$3:$R$202,$A157,$G$3)&amp;"",1)="⚠","",MID(INDEX(인턴근무계획!$M$3:$R$202,$A157,$G$3)&amp;"",FIND(" ",INDEX(인턴근무계획!$M$3:$R$202,$A157,$G$3)&amp;"")+1,60))))</f>
        <v/>
      </c>
      <c r="I157" s="23">
        <f>IF(OR($C157="",$I$3=""),"",IF(INDEX(인턴근무계획!$M$3:$R$202,$A157,$I$3)&amp;""="","",IF(LEFT(INDEX(인턴근무계획!$M$3:$R$202,$A157,$I$3)&amp;"",1)="⚠",INDEX(인턴근무계획!$M$3:$R$202,$A157,$I$3)&amp;"",LEFT(INDEX(인턴근무계획!$M$3:$R$202,$A157,$I$3)&amp;"",FIND(" ",INDEX(인턴근무계획!$M$3:$R$202,$A157,$I$3)&amp;"")-1))))</f>
        <v/>
      </c>
      <c r="J157" s="23">
        <f>IF(OR($C157="",$I$3=""),"",IF(INDEX(인턴근무계획!$M$3:$R$202,$A157,$I$3)&amp;""="","",IF(LEFT(INDEX(인턴근무계획!$M$3:$R$202,$A157,$I$3)&amp;"",1)="⚠","",MID(INDEX(인턴근무계획!$M$3:$R$202,$A157,$I$3)&amp;"",FIND(" ",INDEX(인턴근무계획!$M$3:$R$202,$A157,$I$3)&amp;"")+1,60))))</f>
        <v/>
      </c>
      <c r="K157" s="23">
        <f>IF($C157="","",INDEX(인턴근무계획!$M$3:$M$202,$A157)&amp;"")</f>
        <v/>
      </c>
      <c r="L157" s="23">
        <f>IF($C157="","",INDEX(인턴근무계획!$N$3:$N$202,$A157)&amp;"")</f>
        <v/>
      </c>
      <c r="M157" s="23">
        <f>IF($C157="","",INDEX(인턴근무계획!$O$3:$O$202,$A157)&amp;"")</f>
        <v/>
      </c>
      <c r="N157" s="23">
        <f>IF($C157="","",INDEX(인턴근무계획!$P$3:$P$202,$A157)&amp;"")</f>
        <v/>
      </c>
      <c r="O157" s="23">
        <f>IF($C157="","",INDEX(인턴근무계획!$Q$3:$Q$202,$A157)&amp;"")</f>
        <v/>
      </c>
      <c r="P157" s="23">
        <f>IF($C157="","",INDEX(인턴근무계획!$R$3:$R$202,$A157)&amp;"")</f>
        <v/>
      </c>
      <c r="Q157" s="23">
        <f>IF($C157="","",INDEX(인턴근무계획!$T$3:$T$202,$A157))</f>
        <v/>
      </c>
    </row>
    <row r="158">
      <c r="A158" s="26" t="n">
        <v>153</v>
      </c>
      <c r="B158" s="23">
        <f>IF($C158="","",INDEX(인턴근무계획!$B$3:$B$202,$A158))</f>
        <v/>
      </c>
      <c r="C158" s="23">
        <f>IFERROR(TRIM(INDEX(인턴근무계획!$C$3:$C$202,$A158)&amp;""),"")</f>
        <v/>
      </c>
      <c r="D158" s="23">
        <f>IF($C158="","",INDEX(인턴근무계획!$D$3:$D$202,$A158))</f>
        <v/>
      </c>
      <c r="E158" s="23">
        <f>IF($C158="","",IF(IFERROR(MATCH($D158,기본자료!$B$2:$B$501,0),IFERROR(MATCH($D158&amp;"",기본자료!$B$2:$B$501,0),IFERROR(MATCH(VALUE($D158),기본자료!$B$2:$B$501,0),0)))&gt;0,"확인","미등록"))</f>
        <v/>
      </c>
      <c r="F158" s="27">
        <f>IF($C158="","",INDEX(인턴근무계획!$S$3:$S$202,$A158))</f>
        <v/>
      </c>
      <c r="G158" s="23">
        <f>IF(OR($C158="",$G$3=""),"",IF(INDEX(인턴근무계획!$M$3:$R$202,$A158,$G$3)&amp;""="","",IF(LEFT(INDEX(인턴근무계획!$M$3:$R$202,$A158,$G$3)&amp;"",1)="⚠",INDEX(인턴근무계획!$M$3:$R$202,$A158,$G$3)&amp;"",LEFT(INDEX(인턴근무계획!$M$3:$R$202,$A158,$G$3)&amp;"",FIND(" ",INDEX(인턴근무계획!$M$3:$R$202,$A158,$G$3)&amp;"")-1))))</f>
        <v/>
      </c>
      <c r="H158" s="23">
        <f>IF(OR($C158="",$G$3=""),"",IF(INDEX(인턴근무계획!$M$3:$R$202,$A158,$G$3)&amp;""="","",IF(LEFT(INDEX(인턴근무계획!$M$3:$R$202,$A158,$G$3)&amp;"",1)="⚠","",MID(INDEX(인턴근무계획!$M$3:$R$202,$A158,$G$3)&amp;"",FIND(" ",INDEX(인턴근무계획!$M$3:$R$202,$A158,$G$3)&amp;"")+1,60))))</f>
        <v/>
      </c>
      <c r="I158" s="23">
        <f>IF(OR($C158="",$I$3=""),"",IF(INDEX(인턴근무계획!$M$3:$R$202,$A158,$I$3)&amp;""="","",IF(LEFT(INDEX(인턴근무계획!$M$3:$R$202,$A158,$I$3)&amp;"",1)="⚠",INDEX(인턴근무계획!$M$3:$R$202,$A158,$I$3)&amp;"",LEFT(INDEX(인턴근무계획!$M$3:$R$202,$A158,$I$3)&amp;"",FIND(" ",INDEX(인턴근무계획!$M$3:$R$202,$A158,$I$3)&amp;"")-1))))</f>
        <v/>
      </c>
      <c r="J158" s="23">
        <f>IF(OR($C158="",$I$3=""),"",IF(INDEX(인턴근무계획!$M$3:$R$202,$A158,$I$3)&amp;""="","",IF(LEFT(INDEX(인턴근무계획!$M$3:$R$202,$A158,$I$3)&amp;"",1)="⚠","",MID(INDEX(인턴근무계획!$M$3:$R$202,$A158,$I$3)&amp;"",FIND(" ",INDEX(인턴근무계획!$M$3:$R$202,$A158,$I$3)&amp;"")+1,60))))</f>
        <v/>
      </c>
      <c r="K158" s="23">
        <f>IF($C158="","",INDEX(인턴근무계획!$M$3:$M$202,$A158)&amp;"")</f>
        <v/>
      </c>
      <c r="L158" s="23">
        <f>IF($C158="","",INDEX(인턴근무계획!$N$3:$N$202,$A158)&amp;"")</f>
        <v/>
      </c>
      <c r="M158" s="23">
        <f>IF($C158="","",INDEX(인턴근무계획!$O$3:$O$202,$A158)&amp;"")</f>
        <v/>
      </c>
      <c r="N158" s="23">
        <f>IF($C158="","",INDEX(인턴근무계획!$P$3:$P$202,$A158)&amp;"")</f>
        <v/>
      </c>
      <c r="O158" s="23">
        <f>IF($C158="","",INDEX(인턴근무계획!$Q$3:$Q$202,$A158)&amp;"")</f>
        <v/>
      </c>
      <c r="P158" s="23">
        <f>IF($C158="","",INDEX(인턴근무계획!$R$3:$R$202,$A158)&amp;"")</f>
        <v/>
      </c>
      <c r="Q158" s="23">
        <f>IF($C158="","",INDEX(인턴근무계획!$T$3:$T$202,$A158))</f>
        <v/>
      </c>
    </row>
    <row r="159">
      <c r="A159" s="26" t="n">
        <v>154</v>
      </c>
      <c r="B159" s="23">
        <f>IF($C159="","",INDEX(인턴근무계획!$B$3:$B$202,$A159))</f>
        <v/>
      </c>
      <c r="C159" s="23">
        <f>IFERROR(TRIM(INDEX(인턴근무계획!$C$3:$C$202,$A159)&amp;""),"")</f>
        <v/>
      </c>
      <c r="D159" s="23">
        <f>IF($C159="","",INDEX(인턴근무계획!$D$3:$D$202,$A159))</f>
        <v/>
      </c>
      <c r="E159" s="23">
        <f>IF($C159="","",IF(IFERROR(MATCH($D159,기본자료!$B$2:$B$501,0),IFERROR(MATCH($D159&amp;"",기본자료!$B$2:$B$501,0),IFERROR(MATCH(VALUE($D159),기본자료!$B$2:$B$501,0),0)))&gt;0,"확인","미등록"))</f>
        <v/>
      </c>
      <c r="F159" s="27">
        <f>IF($C159="","",INDEX(인턴근무계획!$S$3:$S$202,$A159))</f>
        <v/>
      </c>
      <c r="G159" s="23">
        <f>IF(OR($C159="",$G$3=""),"",IF(INDEX(인턴근무계획!$M$3:$R$202,$A159,$G$3)&amp;""="","",IF(LEFT(INDEX(인턴근무계획!$M$3:$R$202,$A159,$G$3)&amp;"",1)="⚠",INDEX(인턴근무계획!$M$3:$R$202,$A159,$G$3)&amp;"",LEFT(INDEX(인턴근무계획!$M$3:$R$202,$A159,$G$3)&amp;"",FIND(" ",INDEX(인턴근무계획!$M$3:$R$202,$A159,$G$3)&amp;"")-1))))</f>
        <v/>
      </c>
      <c r="H159" s="23">
        <f>IF(OR($C159="",$G$3=""),"",IF(INDEX(인턴근무계획!$M$3:$R$202,$A159,$G$3)&amp;""="","",IF(LEFT(INDEX(인턴근무계획!$M$3:$R$202,$A159,$G$3)&amp;"",1)="⚠","",MID(INDEX(인턴근무계획!$M$3:$R$202,$A159,$G$3)&amp;"",FIND(" ",INDEX(인턴근무계획!$M$3:$R$202,$A159,$G$3)&amp;"")+1,60))))</f>
        <v/>
      </c>
      <c r="I159" s="23">
        <f>IF(OR($C159="",$I$3=""),"",IF(INDEX(인턴근무계획!$M$3:$R$202,$A159,$I$3)&amp;""="","",IF(LEFT(INDEX(인턴근무계획!$M$3:$R$202,$A159,$I$3)&amp;"",1)="⚠",INDEX(인턴근무계획!$M$3:$R$202,$A159,$I$3)&amp;"",LEFT(INDEX(인턴근무계획!$M$3:$R$202,$A159,$I$3)&amp;"",FIND(" ",INDEX(인턴근무계획!$M$3:$R$202,$A159,$I$3)&amp;"")-1))))</f>
        <v/>
      </c>
      <c r="J159" s="23">
        <f>IF(OR($C159="",$I$3=""),"",IF(INDEX(인턴근무계획!$M$3:$R$202,$A159,$I$3)&amp;""="","",IF(LEFT(INDEX(인턴근무계획!$M$3:$R$202,$A159,$I$3)&amp;"",1)="⚠","",MID(INDEX(인턴근무계획!$M$3:$R$202,$A159,$I$3)&amp;"",FIND(" ",INDEX(인턴근무계획!$M$3:$R$202,$A159,$I$3)&amp;"")+1,60))))</f>
        <v/>
      </c>
      <c r="K159" s="23">
        <f>IF($C159="","",INDEX(인턴근무계획!$M$3:$M$202,$A159)&amp;"")</f>
        <v/>
      </c>
      <c r="L159" s="23">
        <f>IF($C159="","",INDEX(인턴근무계획!$N$3:$N$202,$A159)&amp;"")</f>
        <v/>
      </c>
      <c r="M159" s="23">
        <f>IF($C159="","",INDEX(인턴근무계획!$O$3:$O$202,$A159)&amp;"")</f>
        <v/>
      </c>
      <c r="N159" s="23">
        <f>IF($C159="","",INDEX(인턴근무계획!$P$3:$P$202,$A159)&amp;"")</f>
        <v/>
      </c>
      <c r="O159" s="23">
        <f>IF($C159="","",INDEX(인턴근무계획!$Q$3:$Q$202,$A159)&amp;"")</f>
        <v/>
      </c>
      <c r="P159" s="23">
        <f>IF($C159="","",INDEX(인턴근무계획!$R$3:$R$202,$A159)&amp;"")</f>
        <v/>
      </c>
      <c r="Q159" s="23">
        <f>IF($C159="","",INDEX(인턴근무계획!$T$3:$T$202,$A159))</f>
        <v/>
      </c>
    </row>
    <row r="160">
      <c r="A160" s="26" t="n">
        <v>155</v>
      </c>
      <c r="B160" s="23">
        <f>IF($C160="","",INDEX(인턴근무계획!$B$3:$B$202,$A160))</f>
        <v/>
      </c>
      <c r="C160" s="23">
        <f>IFERROR(TRIM(INDEX(인턴근무계획!$C$3:$C$202,$A160)&amp;""),"")</f>
        <v/>
      </c>
      <c r="D160" s="23">
        <f>IF($C160="","",INDEX(인턴근무계획!$D$3:$D$202,$A160))</f>
        <v/>
      </c>
      <c r="E160" s="23">
        <f>IF($C160="","",IF(IFERROR(MATCH($D160,기본자료!$B$2:$B$501,0),IFERROR(MATCH($D160&amp;"",기본자료!$B$2:$B$501,0),IFERROR(MATCH(VALUE($D160),기본자료!$B$2:$B$501,0),0)))&gt;0,"확인","미등록"))</f>
        <v/>
      </c>
      <c r="F160" s="27">
        <f>IF($C160="","",INDEX(인턴근무계획!$S$3:$S$202,$A160))</f>
        <v/>
      </c>
      <c r="G160" s="23">
        <f>IF(OR($C160="",$G$3=""),"",IF(INDEX(인턴근무계획!$M$3:$R$202,$A160,$G$3)&amp;""="","",IF(LEFT(INDEX(인턴근무계획!$M$3:$R$202,$A160,$G$3)&amp;"",1)="⚠",INDEX(인턴근무계획!$M$3:$R$202,$A160,$G$3)&amp;"",LEFT(INDEX(인턴근무계획!$M$3:$R$202,$A160,$G$3)&amp;"",FIND(" ",INDEX(인턴근무계획!$M$3:$R$202,$A160,$G$3)&amp;"")-1))))</f>
        <v/>
      </c>
      <c r="H160" s="23">
        <f>IF(OR($C160="",$G$3=""),"",IF(INDEX(인턴근무계획!$M$3:$R$202,$A160,$G$3)&amp;""="","",IF(LEFT(INDEX(인턴근무계획!$M$3:$R$202,$A160,$G$3)&amp;"",1)="⚠","",MID(INDEX(인턴근무계획!$M$3:$R$202,$A160,$G$3)&amp;"",FIND(" ",INDEX(인턴근무계획!$M$3:$R$202,$A160,$G$3)&amp;"")+1,60))))</f>
        <v/>
      </c>
      <c r="I160" s="23">
        <f>IF(OR($C160="",$I$3=""),"",IF(INDEX(인턴근무계획!$M$3:$R$202,$A160,$I$3)&amp;""="","",IF(LEFT(INDEX(인턴근무계획!$M$3:$R$202,$A160,$I$3)&amp;"",1)="⚠",INDEX(인턴근무계획!$M$3:$R$202,$A160,$I$3)&amp;"",LEFT(INDEX(인턴근무계획!$M$3:$R$202,$A160,$I$3)&amp;"",FIND(" ",INDEX(인턴근무계획!$M$3:$R$202,$A160,$I$3)&amp;"")-1))))</f>
        <v/>
      </c>
      <c r="J160" s="23">
        <f>IF(OR($C160="",$I$3=""),"",IF(INDEX(인턴근무계획!$M$3:$R$202,$A160,$I$3)&amp;""="","",IF(LEFT(INDEX(인턴근무계획!$M$3:$R$202,$A160,$I$3)&amp;"",1)="⚠","",MID(INDEX(인턴근무계획!$M$3:$R$202,$A160,$I$3)&amp;"",FIND(" ",INDEX(인턴근무계획!$M$3:$R$202,$A160,$I$3)&amp;"")+1,60))))</f>
        <v/>
      </c>
      <c r="K160" s="23">
        <f>IF($C160="","",INDEX(인턴근무계획!$M$3:$M$202,$A160)&amp;"")</f>
        <v/>
      </c>
      <c r="L160" s="23">
        <f>IF($C160="","",INDEX(인턴근무계획!$N$3:$N$202,$A160)&amp;"")</f>
        <v/>
      </c>
      <c r="M160" s="23">
        <f>IF($C160="","",INDEX(인턴근무계획!$O$3:$O$202,$A160)&amp;"")</f>
        <v/>
      </c>
      <c r="N160" s="23">
        <f>IF($C160="","",INDEX(인턴근무계획!$P$3:$P$202,$A160)&amp;"")</f>
        <v/>
      </c>
      <c r="O160" s="23">
        <f>IF($C160="","",INDEX(인턴근무계획!$Q$3:$Q$202,$A160)&amp;"")</f>
        <v/>
      </c>
      <c r="P160" s="23">
        <f>IF($C160="","",INDEX(인턴근무계획!$R$3:$R$202,$A160)&amp;"")</f>
        <v/>
      </c>
      <c r="Q160" s="23">
        <f>IF($C160="","",INDEX(인턴근무계획!$T$3:$T$202,$A160))</f>
        <v/>
      </c>
    </row>
    <row r="161">
      <c r="A161" s="26" t="n">
        <v>156</v>
      </c>
      <c r="B161" s="23">
        <f>IF($C161="","",INDEX(인턴근무계획!$B$3:$B$202,$A161))</f>
        <v/>
      </c>
      <c r="C161" s="23">
        <f>IFERROR(TRIM(INDEX(인턴근무계획!$C$3:$C$202,$A161)&amp;""),"")</f>
        <v/>
      </c>
      <c r="D161" s="23">
        <f>IF($C161="","",INDEX(인턴근무계획!$D$3:$D$202,$A161))</f>
        <v/>
      </c>
      <c r="E161" s="23">
        <f>IF($C161="","",IF(IFERROR(MATCH($D161,기본자료!$B$2:$B$501,0),IFERROR(MATCH($D161&amp;"",기본자료!$B$2:$B$501,0),IFERROR(MATCH(VALUE($D161),기본자료!$B$2:$B$501,0),0)))&gt;0,"확인","미등록"))</f>
        <v/>
      </c>
      <c r="F161" s="27">
        <f>IF($C161="","",INDEX(인턴근무계획!$S$3:$S$202,$A161))</f>
        <v/>
      </c>
      <c r="G161" s="23">
        <f>IF(OR($C161="",$G$3=""),"",IF(INDEX(인턴근무계획!$M$3:$R$202,$A161,$G$3)&amp;""="","",IF(LEFT(INDEX(인턴근무계획!$M$3:$R$202,$A161,$G$3)&amp;"",1)="⚠",INDEX(인턴근무계획!$M$3:$R$202,$A161,$G$3)&amp;"",LEFT(INDEX(인턴근무계획!$M$3:$R$202,$A161,$G$3)&amp;"",FIND(" ",INDEX(인턴근무계획!$M$3:$R$202,$A161,$G$3)&amp;"")-1))))</f>
        <v/>
      </c>
      <c r="H161" s="23">
        <f>IF(OR($C161="",$G$3=""),"",IF(INDEX(인턴근무계획!$M$3:$R$202,$A161,$G$3)&amp;""="","",IF(LEFT(INDEX(인턴근무계획!$M$3:$R$202,$A161,$G$3)&amp;"",1)="⚠","",MID(INDEX(인턴근무계획!$M$3:$R$202,$A161,$G$3)&amp;"",FIND(" ",INDEX(인턴근무계획!$M$3:$R$202,$A161,$G$3)&amp;"")+1,60))))</f>
        <v/>
      </c>
      <c r="I161" s="23">
        <f>IF(OR($C161="",$I$3=""),"",IF(INDEX(인턴근무계획!$M$3:$R$202,$A161,$I$3)&amp;""="","",IF(LEFT(INDEX(인턴근무계획!$M$3:$R$202,$A161,$I$3)&amp;"",1)="⚠",INDEX(인턴근무계획!$M$3:$R$202,$A161,$I$3)&amp;"",LEFT(INDEX(인턴근무계획!$M$3:$R$202,$A161,$I$3)&amp;"",FIND(" ",INDEX(인턴근무계획!$M$3:$R$202,$A161,$I$3)&amp;"")-1))))</f>
        <v/>
      </c>
      <c r="J161" s="23">
        <f>IF(OR($C161="",$I$3=""),"",IF(INDEX(인턴근무계획!$M$3:$R$202,$A161,$I$3)&amp;""="","",IF(LEFT(INDEX(인턴근무계획!$M$3:$R$202,$A161,$I$3)&amp;"",1)="⚠","",MID(INDEX(인턴근무계획!$M$3:$R$202,$A161,$I$3)&amp;"",FIND(" ",INDEX(인턴근무계획!$M$3:$R$202,$A161,$I$3)&amp;"")+1,60))))</f>
        <v/>
      </c>
      <c r="K161" s="23">
        <f>IF($C161="","",INDEX(인턴근무계획!$M$3:$M$202,$A161)&amp;"")</f>
        <v/>
      </c>
      <c r="L161" s="23">
        <f>IF($C161="","",INDEX(인턴근무계획!$N$3:$N$202,$A161)&amp;"")</f>
        <v/>
      </c>
      <c r="M161" s="23">
        <f>IF($C161="","",INDEX(인턴근무계획!$O$3:$O$202,$A161)&amp;"")</f>
        <v/>
      </c>
      <c r="N161" s="23">
        <f>IF($C161="","",INDEX(인턴근무계획!$P$3:$P$202,$A161)&amp;"")</f>
        <v/>
      </c>
      <c r="O161" s="23">
        <f>IF($C161="","",INDEX(인턴근무계획!$Q$3:$Q$202,$A161)&amp;"")</f>
        <v/>
      </c>
      <c r="P161" s="23">
        <f>IF($C161="","",INDEX(인턴근무계획!$R$3:$R$202,$A161)&amp;"")</f>
        <v/>
      </c>
      <c r="Q161" s="23">
        <f>IF($C161="","",INDEX(인턴근무계획!$T$3:$T$202,$A161))</f>
        <v/>
      </c>
    </row>
    <row r="162">
      <c r="A162" s="26" t="n">
        <v>157</v>
      </c>
      <c r="B162" s="23">
        <f>IF($C162="","",INDEX(인턴근무계획!$B$3:$B$202,$A162))</f>
        <v/>
      </c>
      <c r="C162" s="23">
        <f>IFERROR(TRIM(INDEX(인턴근무계획!$C$3:$C$202,$A162)&amp;""),"")</f>
        <v/>
      </c>
      <c r="D162" s="23">
        <f>IF($C162="","",INDEX(인턴근무계획!$D$3:$D$202,$A162))</f>
        <v/>
      </c>
      <c r="E162" s="23">
        <f>IF($C162="","",IF(IFERROR(MATCH($D162,기본자료!$B$2:$B$501,0),IFERROR(MATCH($D162&amp;"",기본자료!$B$2:$B$501,0),IFERROR(MATCH(VALUE($D162),기본자료!$B$2:$B$501,0),0)))&gt;0,"확인","미등록"))</f>
        <v/>
      </c>
      <c r="F162" s="27">
        <f>IF($C162="","",INDEX(인턴근무계획!$S$3:$S$202,$A162))</f>
        <v/>
      </c>
      <c r="G162" s="23">
        <f>IF(OR($C162="",$G$3=""),"",IF(INDEX(인턴근무계획!$M$3:$R$202,$A162,$G$3)&amp;""="","",IF(LEFT(INDEX(인턴근무계획!$M$3:$R$202,$A162,$G$3)&amp;"",1)="⚠",INDEX(인턴근무계획!$M$3:$R$202,$A162,$G$3)&amp;"",LEFT(INDEX(인턴근무계획!$M$3:$R$202,$A162,$G$3)&amp;"",FIND(" ",INDEX(인턴근무계획!$M$3:$R$202,$A162,$G$3)&amp;"")-1))))</f>
        <v/>
      </c>
      <c r="H162" s="23">
        <f>IF(OR($C162="",$G$3=""),"",IF(INDEX(인턴근무계획!$M$3:$R$202,$A162,$G$3)&amp;""="","",IF(LEFT(INDEX(인턴근무계획!$M$3:$R$202,$A162,$G$3)&amp;"",1)="⚠","",MID(INDEX(인턴근무계획!$M$3:$R$202,$A162,$G$3)&amp;"",FIND(" ",INDEX(인턴근무계획!$M$3:$R$202,$A162,$G$3)&amp;"")+1,60))))</f>
        <v/>
      </c>
      <c r="I162" s="23">
        <f>IF(OR($C162="",$I$3=""),"",IF(INDEX(인턴근무계획!$M$3:$R$202,$A162,$I$3)&amp;""="","",IF(LEFT(INDEX(인턴근무계획!$M$3:$R$202,$A162,$I$3)&amp;"",1)="⚠",INDEX(인턴근무계획!$M$3:$R$202,$A162,$I$3)&amp;"",LEFT(INDEX(인턴근무계획!$M$3:$R$202,$A162,$I$3)&amp;"",FIND(" ",INDEX(인턴근무계획!$M$3:$R$202,$A162,$I$3)&amp;"")-1))))</f>
        <v/>
      </c>
      <c r="J162" s="23">
        <f>IF(OR($C162="",$I$3=""),"",IF(INDEX(인턴근무계획!$M$3:$R$202,$A162,$I$3)&amp;""="","",IF(LEFT(INDEX(인턴근무계획!$M$3:$R$202,$A162,$I$3)&amp;"",1)="⚠","",MID(INDEX(인턴근무계획!$M$3:$R$202,$A162,$I$3)&amp;"",FIND(" ",INDEX(인턴근무계획!$M$3:$R$202,$A162,$I$3)&amp;"")+1,60))))</f>
        <v/>
      </c>
      <c r="K162" s="23">
        <f>IF($C162="","",INDEX(인턴근무계획!$M$3:$M$202,$A162)&amp;"")</f>
        <v/>
      </c>
      <c r="L162" s="23">
        <f>IF($C162="","",INDEX(인턴근무계획!$N$3:$N$202,$A162)&amp;"")</f>
        <v/>
      </c>
      <c r="M162" s="23">
        <f>IF($C162="","",INDEX(인턴근무계획!$O$3:$O$202,$A162)&amp;"")</f>
        <v/>
      </c>
      <c r="N162" s="23">
        <f>IF($C162="","",INDEX(인턴근무계획!$P$3:$P$202,$A162)&amp;"")</f>
        <v/>
      </c>
      <c r="O162" s="23">
        <f>IF($C162="","",INDEX(인턴근무계획!$Q$3:$Q$202,$A162)&amp;"")</f>
        <v/>
      </c>
      <c r="P162" s="23">
        <f>IF($C162="","",INDEX(인턴근무계획!$R$3:$R$202,$A162)&amp;"")</f>
        <v/>
      </c>
      <c r="Q162" s="23">
        <f>IF($C162="","",INDEX(인턴근무계획!$T$3:$T$202,$A162))</f>
        <v/>
      </c>
    </row>
    <row r="163">
      <c r="A163" s="26" t="n">
        <v>158</v>
      </c>
      <c r="B163" s="23">
        <f>IF($C163="","",INDEX(인턴근무계획!$B$3:$B$202,$A163))</f>
        <v/>
      </c>
      <c r="C163" s="23">
        <f>IFERROR(TRIM(INDEX(인턴근무계획!$C$3:$C$202,$A163)&amp;""),"")</f>
        <v/>
      </c>
      <c r="D163" s="23">
        <f>IF($C163="","",INDEX(인턴근무계획!$D$3:$D$202,$A163))</f>
        <v/>
      </c>
      <c r="E163" s="23">
        <f>IF($C163="","",IF(IFERROR(MATCH($D163,기본자료!$B$2:$B$501,0),IFERROR(MATCH($D163&amp;"",기본자료!$B$2:$B$501,0),IFERROR(MATCH(VALUE($D163),기본자료!$B$2:$B$501,0),0)))&gt;0,"확인","미등록"))</f>
        <v/>
      </c>
      <c r="F163" s="27">
        <f>IF($C163="","",INDEX(인턴근무계획!$S$3:$S$202,$A163))</f>
        <v/>
      </c>
      <c r="G163" s="23">
        <f>IF(OR($C163="",$G$3=""),"",IF(INDEX(인턴근무계획!$M$3:$R$202,$A163,$G$3)&amp;""="","",IF(LEFT(INDEX(인턴근무계획!$M$3:$R$202,$A163,$G$3)&amp;"",1)="⚠",INDEX(인턴근무계획!$M$3:$R$202,$A163,$G$3)&amp;"",LEFT(INDEX(인턴근무계획!$M$3:$R$202,$A163,$G$3)&amp;"",FIND(" ",INDEX(인턴근무계획!$M$3:$R$202,$A163,$G$3)&amp;"")-1))))</f>
        <v/>
      </c>
      <c r="H163" s="23">
        <f>IF(OR($C163="",$G$3=""),"",IF(INDEX(인턴근무계획!$M$3:$R$202,$A163,$G$3)&amp;""="","",IF(LEFT(INDEX(인턴근무계획!$M$3:$R$202,$A163,$G$3)&amp;"",1)="⚠","",MID(INDEX(인턴근무계획!$M$3:$R$202,$A163,$G$3)&amp;"",FIND(" ",INDEX(인턴근무계획!$M$3:$R$202,$A163,$G$3)&amp;"")+1,60))))</f>
        <v/>
      </c>
      <c r="I163" s="23">
        <f>IF(OR($C163="",$I$3=""),"",IF(INDEX(인턴근무계획!$M$3:$R$202,$A163,$I$3)&amp;""="","",IF(LEFT(INDEX(인턴근무계획!$M$3:$R$202,$A163,$I$3)&amp;"",1)="⚠",INDEX(인턴근무계획!$M$3:$R$202,$A163,$I$3)&amp;"",LEFT(INDEX(인턴근무계획!$M$3:$R$202,$A163,$I$3)&amp;"",FIND(" ",INDEX(인턴근무계획!$M$3:$R$202,$A163,$I$3)&amp;"")-1))))</f>
        <v/>
      </c>
      <c r="J163" s="23">
        <f>IF(OR($C163="",$I$3=""),"",IF(INDEX(인턴근무계획!$M$3:$R$202,$A163,$I$3)&amp;""="","",IF(LEFT(INDEX(인턴근무계획!$M$3:$R$202,$A163,$I$3)&amp;"",1)="⚠","",MID(INDEX(인턴근무계획!$M$3:$R$202,$A163,$I$3)&amp;"",FIND(" ",INDEX(인턴근무계획!$M$3:$R$202,$A163,$I$3)&amp;"")+1,60))))</f>
        <v/>
      </c>
      <c r="K163" s="23">
        <f>IF($C163="","",INDEX(인턴근무계획!$M$3:$M$202,$A163)&amp;"")</f>
        <v/>
      </c>
      <c r="L163" s="23">
        <f>IF($C163="","",INDEX(인턴근무계획!$N$3:$N$202,$A163)&amp;"")</f>
        <v/>
      </c>
      <c r="M163" s="23">
        <f>IF($C163="","",INDEX(인턴근무계획!$O$3:$O$202,$A163)&amp;"")</f>
        <v/>
      </c>
      <c r="N163" s="23">
        <f>IF($C163="","",INDEX(인턴근무계획!$P$3:$P$202,$A163)&amp;"")</f>
        <v/>
      </c>
      <c r="O163" s="23">
        <f>IF($C163="","",INDEX(인턴근무계획!$Q$3:$Q$202,$A163)&amp;"")</f>
        <v/>
      </c>
      <c r="P163" s="23">
        <f>IF($C163="","",INDEX(인턴근무계획!$R$3:$R$202,$A163)&amp;"")</f>
        <v/>
      </c>
      <c r="Q163" s="23">
        <f>IF($C163="","",INDEX(인턴근무계획!$T$3:$T$202,$A163))</f>
        <v/>
      </c>
    </row>
    <row r="164">
      <c r="A164" s="26" t="n">
        <v>159</v>
      </c>
      <c r="B164" s="23">
        <f>IF($C164="","",INDEX(인턴근무계획!$B$3:$B$202,$A164))</f>
        <v/>
      </c>
      <c r="C164" s="23">
        <f>IFERROR(TRIM(INDEX(인턴근무계획!$C$3:$C$202,$A164)&amp;""),"")</f>
        <v/>
      </c>
      <c r="D164" s="23">
        <f>IF($C164="","",INDEX(인턴근무계획!$D$3:$D$202,$A164))</f>
        <v/>
      </c>
      <c r="E164" s="23">
        <f>IF($C164="","",IF(IFERROR(MATCH($D164,기본자료!$B$2:$B$501,0),IFERROR(MATCH($D164&amp;"",기본자료!$B$2:$B$501,0),IFERROR(MATCH(VALUE($D164),기본자료!$B$2:$B$501,0),0)))&gt;0,"확인","미등록"))</f>
        <v/>
      </c>
      <c r="F164" s="27">
        <f>IF($C164="","",INDEX(인턴근무계획!$S$3:$S$202,$A164))</f>
        <v/>
      </c>
      <c r="G164" s="23">
        <f>IF(OR($C164="",$G$3=""),"",IF(INDEX(인턴근무계획!$M$3:$R$202,$A164,$G$3)&amp;""="","",IF(LEFT(INDEX(인턴근무계획!$M$3:$R$202,$A164,$G$3)&amp;"",1)="⚠",INDEX(인턴근무계획!$M$3:$R$202,$A164,$G$3)&amp;"",LEFT(INDEX(인턴근무계획!$M$3:$R$202,$A164,$G$3)&amp;"",FIND(" ",INDEX(인턴근무계획!$M$3:$R$202,$A164,$G$3)&amp;"")-1))))</f>
        <v/>
      </c>
      <c r="H164" s="23">
        <f>IF(OR($C164="",$G$3=""),"",IF(INDEX(인턴근무계획!$M$3:$R$202,$A164,$G$3)&amp;""="","",IF(LEFT(INDEX(인턴근무계획!$M$3:$R$202,$A164,$G$3)&amp;"",1)="⚠","",MID(INDEX(인턴근무계획!$M$3:$R$202,$A164,$G$3)&amp;"",FIND(" ",INDEX(인턴근무계획!$M$3:$R$202,$A164,$G$3)&amp;"")+1,60))))</f>
        <v/>
      </c>
      <c r="I164" s="23">
        <f>IF(OR($C164="",$I$3=""),"",IF(INDEX(인턴근무계획!$M$3:$R$202,$A164,$I$3)&amp;""="","",IF(LEFT(INDEX(인턴근무계획!$M$3:$R$202,$A164,$I$3)&amp;"",1)="⚠",INDEX(인턴근무계획!$M$3:$R$202,$A164,$I$3)&amp;"",LEFT(INDEX(인턴근무계획!$M$3:$R$202,$A164,$I$3)&amp;"",FIND(" ",INDEX(인턴근무계획!$M$3:$R$202,$A164,$I$3)&amp;"")-1))))</f>
        <v/>
      </c>
      <c r="J164" s="23">
        <f>IF(OR($C164="",$I$3=""),"",IF(INDEX(인턴근무계획!$M$3:$R$202,$A164,$I$3)&amp;""="","",IF(LEFT(INDEX(인턴근무계획!$M$3:$R$202,$A164,$I$3)&amp;"",1)="⚠","",MID(INDEX(인턴근무계획!$M$3:$R$202,$A164,$I$3)&amp;"",FIND(" ",INDEX(인턴근무계획!$M$3:$R$202,$A164,$I$3)&amp;"")+1,60))))</f>
        <v/>
      </c>
      <c r="K164" s="23">
        <f>IF($C164="","",INDEX(인턴근무계획!$M$3:$M$202,$A164)&amp;"")</f>
        <v/>
      </c>
      <c r="L164" s="23">
        <f>IF($C164="","",INDEX(인턴근무계획!$N$3:$N$202,$A164)&amp;"")</f>
        <v/>
      </c>
      <c r="M164" s="23">
        <f>IF($C164="","",INDEX(인턴근무계획!$O$3:$O$202,$A164)&amp;"")</f>
        <v/>
      </c>
      <c r="N164" s="23">
        <f>IF($C164="","",INDEX(인턴근무계획!$P$3:$P$202,$A164)&amp;"")</f>
        <v/>
      </c>
      <c r="O164" s="23">
        <f>IF($C164="","",INDEX(인턴근무계획!$Q$3:$Q$202,$A164)&amp;"")</f>
        <v/>
      </c>
      <c r="P164" s="23">
        <f>IF($C164="","",INDEX(인턴근무계획!$R$3:$R$202,$A164)&amp;"")</f>
        <v/>
      </c>
      <c r="Q164" s="23">
        <f>IF($C164="","",INDEX(인턴근무계획!$T$3:$T$202,$A164))</f>
        <v/>
      </c>
    </row>
    <row r="165">
      <c r="A165" s="26" t="n">
        <v>160</v>
      </c>
      <c r="B165" s="23">
        <f>IF($C165="","",INDEX(인턴근무계획!$B$3:$B$202,$A165))</f>
        <v/>
      </c>
      <c r="C165" s="23">
        <f>IFERROR(TRIM(INDEX(인턴근무계획!$C$3:$C$202,$A165)&amp;""),"")</f>
        <v/>
      </c>
      <c r="D165" s="23">
        <f>IF($C165="","",INDEX(인턴근무계획!$D$3:$D$202,$A165))</f>
        <v/>
      </c>
      <c r="E165" s="23">
        <f>IF($C165="","",IF(IFERROR(MATCH($D165,기본자료!$B$2:$B$501,0),IFERROR(MATCH($D165&amp;"",기본자료!$B$2:$B$501,0),IFERROR(MATCH(VALUE($D165),기본자료!$B$2:$B$501,0),0)))&gt;0,"확인","미등록"))</f>
        <v/>
      </c>
      <c r="F165" s="27">
        <f>IF($C165="","",INDEX(인턴근무계획!$S$3:$S$202,$A165))</f>
        <v/>
      </c>
      <c r="G165" s="23">
        <f>IF(OR($C165="",$G$3=""),"",IF(INDEX(인턴근무계획!$M$3:$R$202,$A165,$G$3)&amp;""="","",IF(LEFT(INDEX(인턴근무계획!$M$3:$R$202,$A165,$G$3)&amp;"",1)="⚠",INDEX(인턴근무계획!$M$3:$R$202,$A165,$G$3)&amp;"",LEFT(INDEX(인턴근무계획!$M$3:$R$202,$A165,$G$3)&amp;"",FIND(" ",INDEX(인턴근무계획!$M$3:$R$202,$A165,$G$3)&amp;"")-1))))</f>
        <v/>
      </c>
      <c r="H165" s="23">
        <f>IF(OR($C165="",$G$3=""),"",IF(INDEX(인턴근무계획!$M$3:$R$202,$A165,$G$3)&amp;""="","",IF(LEFT(INDEX(인턴근무계획!$M$3:$R$202,$A165,$G$3)&amp;"",1)="⚠","",MID(INDEX(인턴근무계획!$M$3:$R$202,$A165,$G$3)&amp;"",FIND(" ",INDEX(인턴근무계획!$M$3:$R$202,$A165,$G$3)&amp;"")+1,60))))</f>
        <v/>
      </c>
      <c r="I165" s="23">
        <f>IF(OR($C165="",$I$3=""),"",IF(INDEX(인턴근무계획!$M$3:$R$202,$A165,$I$3)&amp;""="","",IF(LEFT(INDEX(인턴근무계획!$M$3:$R$202,$A165,$I$3)&amp;"",1)="⚠",INDEX(인턴근무계획!$M$3:$R$202,$A165,$I$3)&amp;"",LEFT(INDEX(인턴근무계획!$M$3:$R$202,$A165,$I$3)&amp;"",FIND(" ",INDEX(인턴근무계획!$M$3:$R$202,$A165,$I$3)&amp;"")-1))))</f>
        <v/>
      </c>
      <c r="J165" s="23">
        <f>IF(OR($C165="",$I$3=""),"",IF(INDEX(인턴근무계획!$M$3:$R$202,$A165,$I$3)&amp;""="","",IF(LEFT(INDEX(인턴근무계획!$M$3:$R$202,$A165,$I$3)&amp;"",1)="⚠","",MID(INDEX(인턴근무계획!$M$3:$R$202,$A165,$I$3)&amp;"",FIND(" ",INDEX(인턴근무계획!$M$3:$R$202,$A165,$I$3)&amp;"")+1,60))))</f>
        <v/>
      </c>
      <c r="K165" s="23">
        <f>IF($C165="","",INDEX(인턴근무계획!$M$3:$M$202,$A165)&amp;"")</f>
        <v/>
      </c>
      <c r="L165" s="23">
        <f>IF($C165="","",INDEX(인턴근무계획!$N$3:$N$202,$A165)&amp;"")</f>
        <v/>
      </c>
      <c r="M165" s="23">
        <f>IF($C165="","",INDEX(인턴근무계획!$O$3:$O$202,$A165)&amp;"")</f>
        <v/>
      </c>
      <c r="N165" s="23">
        <f>IF($C165="","",INDEX(인턴근무계획!$P$3:$P$202,$A165)&amp;"")</f>
        <v/>
      </c>
      <c r="O165" s="23">
        <f>IF($C165="","",INDEX(인턴근무계획!$Q$3:$Q$202,$A165)&amp;"")</f>
        <v/>
      </c>
      <c r="P165" s="23">
        <f>IF($C165="","",INDEX(인턴근무계획!$R$3:$R$202,$A165)&amp;"")</f>
        <v/>
      </c>
      <c r="Q165" s="23">
        <f>IF($C165="","",INDEX(인턴근무계획!$T$3:$T$202,$A165))</f>
        <v/>
      </c>
    </row>
    <row r="166">
      <c r="A166" s="26" t="n">
        <v>161</v>
      </c>
      <c r="B166" s="23">
        <f>IF($C166="","",INDEX(인턴근무계획!$B$3:$B$202,$A166))</f>
        <v/>
      </c>
      <c r="C166" s="23">
        <f>IFERROR(TRIM(INDEX(인턴근무계획!$C$3:$C$202,$A166)&amp;""),"")</f>
        <v/>
      </c>
      <c r="D166" s="23">
        <f>IF($C166="","",INDEX(인턴근무계획!$D$3:$D$202,$A166))</f>
        <v/>
      </c>
      <c r="E166" s="23">
        <f>IF($C166="","",IF(IFERROR(MATCH($D166,기본자료!$B$2:$B$501,0),IFERROR(MATCH($D166&amp;"",기본자료!$B$2:$B$501,0),IFERROR(MATCH(VALUE($D166),기본자료!$B$2:$B$501,0),0)))&gt;0,"확인","미등록"))</f>
        <v/>
      </c>
      <c r="F166" s="27">
        <f>IF($C166="","",INDEX(인턴근무계획!$S$3:$S$202,$A166))</f>
        <v/>
      </c>
      <c r="G166" s="23">
        <f>IF(OR($C166="",$G$3=""),"",IF(INDEX(인턴근무계획!$M$3:$R$202,$A166,$G$3)&amp;""="","",IF(LEFT(INDEX(인턴근무계획!$M$3:$R$202,$A166,$G$3)&amp;"",1)="⚠",INDEX(인턴근무계획!$M$3:$R$202,$A166,$G$3)&amp;"",LEFT(INDEX(인턴근무계획!$M$3:$R$202,$A166,$G$3)&amp;"",FIND(" ",INDEX(인턴근무계획!$M$3:$R$202,$A166,$G$3)&amp;"")-1))))</f>
        <v/>
      </c>
      <c r="H166" s="23">
        <f>IF(OR($C166="",$G$3=""),"",IF(INDEX(인턴근무계획!$M$3:$R$202,$A166,$G$3)&amp;""="","",IF(LEFT(INDEX(인턴근무계획!$M$3:$R$202,$A166,$G$3)&amp;"",1)="⚠","",MID(INDEX(인턴근무계획!$M$3:$R$202,$A166,$G$3)&amp;"",FIND(" ",INDEX(인턴근무계획!$M$3:$R$202,$A166,$G$3)&amp;"")+1,60))))</f>
        <v/>
      </c>
      <c r="I166" s="23">
        <f>IF(OR($C166="",$I$3=""),"",IF(INDEX(인턴근무계획!$M$3:$R$202,$A166,$I$3)&amp;""="","",IF(LEFT(INDEX(인턴근무계획!$M$3:$R$202,$A166,$I$3)&amp;"",1)="⚠",INDEX(인턴근무계획!$M$3:$R$202,$A166,$I$3)&amp;"",LEFT(INDEX(인턴근무계획!$M$3:$R$202,$A166,$I$3)&amp;"",FIND(" ",INDEX(인턴근무계획!$M$3:$R$202,$A166,$I$3)&amp;"")-1))))</f>
        <v/>
      </c>
      <c r="J166" s="23">
        <f>IF(OR($C166="",$I$3=""),"",IF(INDEX(인턴근무계획!$M$3:$R$202,$A166,$I$3)&amp;""="","",IF(LEFT(INDEX(인턴근무계획!$M$3:$R$202,$A166,$I$3)&amp;"",1)="⚠","",MID(INDEX(인턴근무계획!$M$3:$R$202,$A166,$I$3)&amp;"",FIND(" ",INDEX(인턴근무계획!$M$3:$R$202,$A166,$I$3)&amp;"")+1,60))))</f>
        <v/>
      </c>
      <c r="K166" s="23">
        <f>IF($C166="","",INDEX(인턴근무계획!$M$3:$M$202,$A166)&amp;"")</f>
        <v/>
      </c>
      <c r="L166" s="23">
        <f>IF($C166="","",INDEX(인턴근무계획!$N$3:$N$202,$A166)&amp;"")</f>
        <v/>
      </c>
      <c r="M166" s="23">
        <f>IF($C166="","",INDEX(인턴근무계획!$O$3:$O$202,$A166)&amp;"")</f>
        <v/>
      </c>
      <c r="N166" s="23">
        <f>IF($C166="","",INDEX(인턴근무계획!$P$3:$P$202,$A166)&amp;"")</f>
        <v/>
      </c>
      <c r="O166" s="23">
        <f>IF($C166="","",INDEX(인턴근무계획!$Q$3:$Q$202,$A166)&amp;"")</f>
        <v/>
      </c>
      <c r="P166" s="23">
        <f>IF($C166="","",INDEX(인턴근무계획!$R$3:$R$202,$A166)&amp;"")</f>
        <v/>
      </c>
      <c r="Q166" s="23">
        <f>IF($C166="","",INDEX(인턴근무계획!$T$3:$T$202,$A166))</f>
        <v/>
      </c>
    </row>
    <row r="167">
      <c r="A167" s="26" t="n">
        <v>162</v>
      </c>
      <c r="B167" s="23">
        <f>IF($C167="","",INDEX(인턴근무계획!$B$3:$B$202,$A167))</f>
        <v/>
      </c>
      <c r="C167" s="23">
        <f>IFERROR(TRIM(INDEX(인턴근무계획!$C$3:$C$202,$A167)&amp;""),"")</f>
        <v/>
      </c>
      <c r="D167" s="23">
        <f>IF($C167="","",INDEX(인턴근무계획!$D$3:$D$202,$A167))</f>
        <v/>
      </c>
      <c r="E167" s="23">
        <f>IF($C167="","",IF(IFERROR(MATCH($D167,기본자료!$B$2:$B$501,0),IFERROR(MATCH($D167&amp;"",기본자료!$B$2:$B$501,0),IFERROR(MATCH(VALUE($D167),기본자료!$B$2:$B$501,0),0)))&gt;0,"확인","미등록"))</f>
        <v/>
      </c>
      <c r="F167" s="27">
        <f>IF($C167="","",INDEX(인턴근무계획!$S$3:$S$202,$A167))</f>
        <v/>
      </c>
      <c r="G167" s="23">
        <f>IF(OR($C167="",$G$3=""),"",IF(INDEX(인턴근무계획!$M$3:$R$202,$A167,$G$3)&amp;""="","",IF(LEFT(INDEX(인턴근무계획!$M$3:$R$202,$A167,$G$3)&amp;"",1)="⚠",INDEX(인턴근무계획!$M$3:$R$202,$A167,$G$3)&amp;"",LEFT(INDEX(인턴근무계획!$M$3:$R$202,$A167,$G$3)&amp;"",FIND(" ",INDEX(인턴근무계획!$M$3:$R$202,$A167,$G$3)&amp;"")-1))))</f>
        <v/>
      </c>
      <c r="H167" s="23">
        <f>IF(OR($C167="",$G$3=""),"",IF(INDEX(인턴근무계획!$M$3:$R$202,$A167,$G$3)&amp;""="","",IF(LEFT(INDEX(인턴근무계획!$M$3:$R$202,$A167,$G$3)&amp;"",1)="⚠","",MID(INDEX(인턴근무계획!$M$3:$R$202,$A167,$G$3)&amp;"",FIND(" ",INDEX(인턴근무계획!$M$3:$R$202,$A167,$G$3)&amp;"")+1,60))))</f>
        <v/>
      </c>
      <c r="I167" s="23">
        <f>IF(OR($C167="",$I$3=""),"",IF(INDEX(인턴근무계획!$M$3:$R$202,$A167,$I$3)&amp;""="","",IF(LEFT(INDEX(인턴근무계획!$M$3:$R$202,$A167,$I$3)&amp;"",1)="⚠",INDEX(인턴근무계획!$M$3:$R$202,$A167,$I$3)&amp;"",LEFT(INDEX(인턴근무계획!$M$3:$R$202,$A167,$I$3)&amp;"",FIND(" ",INDEX(인턴근무계획!$M$3:$R$202,$A167,$I$3)&amp;"")-1))))</f>
        <v/>
      </c>
      <c r="J167" s="23">
        <f>IF(OR($C167="",$I$3=""),"",IF(INDEX(인턴근무계획!$M$3:$R$202,$A167,$I$3)&amp;""="","",IF(LEFT(INDEX(인턴근무계획!$M$3:$R$202,$A167,$I$3)&amp;"",1)="⚠","",MID(INDEX(인턴근무계획!$M$3:$R$202,$A167,$I$3)&amp;"",FIND(" ",INDEX(인턴근무계획!$M$3:$R$202,$A167,$I$3)&amp;"")+1,60))))</f>
        <v/>
      </c>
      <c r="K167" s="23">
        <f>IF($C167="","",INDEX(인턴근무계획!$M$3:$M$202,$A167)&amp;"")</f>
        <v/>
      </c>
      <c r="L167" s="23">
        <f>IF($C167="","",INDEX(인턴근무계획!$N$3:$N$202,$A167)&amp;"")</f>
        <v/>
      </c>
      <c r="M167" s="23">
        <f>IF($C167="","",INDEX(인턴근무계획!$O$3:$O$202,$A167)&amp;"")</f>
        <v/>
      </c>
      <c r="N167" s="23">
        <f>IF($C167="","",INDEX(인턴근무계획!$P$3:$P$202,$A167)&amp;"")</f>
        <v/>
      </c>
      <c r="O167" s="23">
        <f>IF($C167="","",INDEX(인턴근무계획!$Q$3:$Q$202,$A167)&amp;"")</f>
        <v/>
      </c>
      <c r="P167" s="23">
        <f>IF($C167="","",INDEX(인턴근무계획!$R$3:$R$202,$A167)&amp;"")</f>
        <v/>
      </c>
      <c r="Q167" s="23">
        <f>IF($C167="","",INDEX(인턴근무계획!$T$3:$T$202,$A167))</f>
        <v/>
      </c>
    </row>
    <row r="168">
      <c r="A168" s="26" t="n">
        <v>163</v>
      </c>
      <c r="B168" s="23">
        <f>IF($C168="","",INDEX(인턴근무계획!$B$3:$B$202,$A168))</f>
        <v/>
      </c>
      <c r="C168" s="23">
        <f>IFERROR(TRIM(INDEX(인턴근무계획!$C$3:$C$202,$A168)&amp;""),"")</f>
        <v/>
      </c>
      <c r="D168" s="23">
        <f>IF($C168="","",INDEX(인턴근무계획!$D$3:$D$202,$A168))</f>
        <v/>
      </c>
      <c r="E168" s="23">
        <f>IF($C168="","",IF(IFERROR(MATCH($D168,기본자료!$B$2:$B$501,0),IFERROR(MATCH($D168&amp;"",기본자료!$B$2:$B$501,0),IFERROR(MATCH(VALUE($D168),기본자료!$B$2:$B$501,0),0)))&gt;0,"확인","미등록"))</f>
        <v/>
      </c>
      <c r="F168" s="27">
        <f>IF($C168="","",INDEX(인턴근무계획!$S$3:$S$202,$A168))</f>
        <v/>
      </c>
      <c r="G168" s="23">
        <f>IF(OR($C168="",$G$3=""),"",IF(INDEX(인턴근무계획!$M$3:$R$202,$A168,$G$3)&amp;""="","",IF(LEFT(INDEX(인턴근무계획!$M$3:$R$202,$A168,$G$3)&amp;"",1)="⚠",INDEX(인턴근무계획!$M$3:$R$202,$A168,$G$3)&amp;"",LEFT(INDEX(인턴근무계획!$M$3:$R$202,$A168,$G$3)&amp;"",FIND(" ",INDEX(인턴근무계획!$M$3:$R$202,$A168,$G$3)&amp;"")-1))))</f>
        <v/>
      </c>
      <c r="H168" s="23">
        <f>IF(OR($C168="",$G$3=""),"",IF(INDEX(인턴근무계획!$M$3:$R$202,$A168,$G$3)&amp;""="","",IF(LEFT(INDEX(인턴근무계획!$M$3:$R$202,$A168,$G$3)&amp;"",1)="⚠","",MID(INDEX(인턴근무계획!$M$3:$R$202,$A168,$G$3)&amp;"",FIND(" ",INDEX(인턴근무계획!$M$3:$R$202,$A168,$G$3)&amp;"")+1,60))))</f>
        <v/>
      </c>
      <c r="I168" s="23">
        <f>IF(OR($C168="",$I$3=""),"",IF(INDEX(인턴근무계획!$M$3:$R$202,$A168,$I$3)&amp;""="","",IF(LEFT(INDEX(인턴근무계획!$M$3:$R$202,$A168,$I$3)&amp;"",1)="⚠",INDEX(인턴근무계획!$M$3:$R$202,$A168,$I$3)&amp;"",LEFT(INDEX(인턴근무계획!$M$3:$R$202,$A168,$I$3)&amp;"",FIND(" ",INDEX(인턴근무계획!$M$3:$R$202,$A168,$I$3)&amp;"")-1))))</f>
        <v/>
      </c>
      <c r="J168" s="23">
        <f>IF(OR($C168="",$I$3=""),"",IF(INDEX(인턴근무계획!$M$3:$R$202,$A168,$I$3)&amp;""="","",IF(LEFT(INDEX(인턴근무계획!$M$3:$R$202,$A168,$I$3)&amp;"",1)="⚠","",MID(INDEX(인턴근무계획!$M$3:$R$202,$A168,$I$3)&amp;"",FIND(" ",INDEX(인턴근무계획!$M$3:$R$202,$A168,$I$3)&amp;"")+1,60))))</f>
        <v/>
      </c>
      <c r="K168" s="23">
        <f>IF($C168="","",INDEX(인턴근무계획!$M$3:$M$202,$A168)&amp;"")</f>
        <v/>
      </c>
      <c r="L168" s="23">
        <f>IF($C168="","",INDEX(인턴근무계획!$N$3:$N$202,$A168)&amp;"")</f>
        <v/>
      </c>
      <c r="M168" s="23">
        <f>IF($C168="","",INDEX(인턴근무계획!$O$3:$O$202,$A168)&amp;"")</f>
        <v/>
      </c>
      <c r="N168" s="23">
        <f>IF($C168="","",INDEX(인턴근무계획!$P$3:$P$202,$A168)&amp;"")</f>
        <v/>
      </c>
      <c r="O168" s="23">
        <f>IF($C168="","",INDEX(인턴근무계획!$Q$3:$Q$202,$A168)&amp;"")</f>
        <v/>
      </c>
      <c r="P168" s="23">
        <f>IF($C168="","",INDEX(인턴근무계획!$R$3:$R$202,$A168)&amp;"")</f>
        <v/>
      </c>
      <c r="Q168" s="23">
        <f>IF($C168="","",INDEX(인턴근무계획!$T$3:$T$202,$A168))</f>
        <v/>
      </c>
    </row>
    <row r="169">
      <c r="A169" s="26" t="n">
        <v>164</v>
      </c>
      <c r="B169" s="23">
        <f>IF($C169="","",INDEX(인턴근무계획!$B$3:$B$202,$A169))</f>
        <v/>
      </c>
      <c r="C169" s="23">
        <f>IFERROR(TRIM(INDEX(인턴근무계획!$C$3:$C$202,$A169)&amp;""),"")</f>
        <v/>
      </c>
      <c r="D169" s="23">
        <f>IF($C169="","",INDEX(인턴근무계획!$D$3:$D$202,$A169))</f>
        <v/>
      </c>
      <c r="E169" s="23">
        <f>IF($C169="","",IF(IFERROR(MATCH($D169,기본자료!$B$2:$B$501,0),IFERROR(MATCH($D169&amp;"",기본자료!$B$2:$B$501,0),IFERROR(MATCH(VALUE($D169),기본자료!$B$2:$B$501,0),0)))&gt;0,"확인","미등록"))</f>
        <v/>
      </c>
      <c r="F169" s="27">
        <f>IF($C169="","",INDEX(인턴근무계획!$S$3:$S$202,$A169))</f>
        <v/>
      </c>
      <c r="G169" s="23">
        <f>IF(OR($C169="",$G$3=""),"",IF(INDEX(인턴근무계획!$M$3:$R$202,$A169,$G$3)&amp;""="","",IF(LEFT(INDEX(인턴근무계획!$M$3:$R$202,$A169,$G$3)&amp;"",1)="⚠",INDEX(인턴근무계획!$M$3:$R$202,$A169,$G$3)&amp;"",LEFT(INDEX(인턴근무계획!$M$3:$R$202,$A169,$G$3)&amp;"",FIND(" ",INDEX(인턴근무계획!$M$3:$R$202,$A169,$G$3)&amp;"")-1))))</f>
        <v/>
      </c>
      <c r="H169" s="23">
        <f>IF(OR($C169="",$G$3=""),"",IF(INDEX(인턴근무계획!$M$3:$R$202,$A169,$G$3)&amp;""="","",IF(LEFT(INDEX(인턴근무계획!$M$3:$R$202,$A169,$G$3)&amp;"",1)="⚠","",MID(INDEX(인턴근무계획!$M$3:$R$202,$A169,$G$3)&amp;"",FIND(" ",INDEX(인턴근무계획!$M$3:$R$202,$A169,$G$3)&amp;"")+1,60))))</f>
        <v/>
      </c>
      <c r="I169" s="23">
        <f>IF(OR($C169="",$I$3=""),"",IF(INDEX(인턴근무계획!$M$3:$R$202,$A169,$I$3)&amp;""="","",IF(LEFT(INDEX(인턴근무계획!$M$3:$R$202,$A169,$I$3)&amp;"",1)="⚠",INDEX(인턴근무계획!$M$3:$R$202,$A169,$I$3)&amp;"",LEFT(INDEX(인턴근무계획!$M$3:$R$202,$A169,$I$3)&amp;"",FIND(" ",INDEX(인턴근무계획!$M$3:$R$202,$A169,$I$3)&amp;"")-1))))</f>
        <v/>
      </c>
      <c r="J169" s="23">
        <f>IF(OR($C169="",$I$3=""),"",IF(INDEX(인턴근무계획!$M$3:$R$202,$A169,$I$3)&amp;""="","",IF(LEFT(INDEX(인턴근무계획!$M$3:$R$202,$A169,$I$3)&amp;"",1)="⚠","",MID(INDEX(인턴근무계획!$M$3:$R$202,$A169,$I$3)&amp;"",FIND(" ",INDEX(인턴근무계획!$M$3:$R$202,$A169,$I$3)&amp;"")+1,60))))</f>
        <v/>
      </c>
      <c r="K169" s="23">
        <f>IF($C169="","",INDEX(인턴근무계획!$M$3:$M$202,$A169)&amp;"")</f>
        <v/>
      </c>
      <c r="L169" s="23">
        <f>IF($C169="","",INDEX(인턴근무계획!$N$3:$N$202,$A169)&amp;"")</f>
        <v/>
      </c>
      <c r="M169" s="23">
        <f>IF($C169="","",INDEX(인턴근무계획!$O$3:$O$202,$A169)&amp;"")</f>
        <v/>
      </c>
      <c r="N169" s="23">
        <f>IF($C169="","",INDEX(인턴근무계획!$P$3:$P$202,$A169)&amp;"")</f>
        <v/>
      </c>
      <c r="O169" s="23">
        <f>IF($C169="","",INDEX(인턴근무계획!$Q$3:$Q$202,$A169)&amp;"")</f>
        <v/>
      </c>
      <c r="P169" s="23">
        <f>IF($C169="","",INDEX(인턴근무계획!$R$3:$R$202,$A169)&amp;"")</f>
        <v/>
      </c>
      <c r="Q169" s="23">
        <f>IF($C169="","",INDEX(인턴근무계획!$T$3:$T$202,$A169))</f>
        <v/>
      </c>
    </row>
    <row r="170">
      <c r="A170" s="26" t="n">
        <v>165</v>
      </c>
      <c r="B170" s="23">
        <f>IF($C170="","",INDEX(인턴근무계획!$B$3:$B$202,$A170))</f>
        <v/>
      </c>
      <c r="C170" s="23">
        <f>IFERROR(TRIM(INDEX(인턴근무계획!$C$3:$C$202,$A170)&amp;""),"")</f>
        <v/>
      </c>
      <c r="D170" s="23">
        <f>IF($C170="","",INDEX(인턴근무계획!$D$3:$D$202,$A170))</f>
        <v/>
      </c>
      <c r="E170" s="23">
        <f>IF($C170="","",IF(IFERROR(MATCH($D170,기본자료!$B$2:$B$501,0),IFERROR(MATCH($D170&amp;"",기본자료!$B$2:$B$501,0),IFERROR(MATCH(VALUE($D170),기본자료!$B$2:$B$501,0),0)))&gt;0,"확인","미등록"))</f>
        <v/>
      </c>
      <c r="F170" s="27">
        <f>IF($C170="","",INDEX(인턴근무계획!$S$3:$S$202,$A170))</f>
        <v/>
      </c>
      <c r="G170" s="23">
        <f>IF(OR($C170="",$G$3=""),"",IF(INDEX(인턴근무계획!$M$3:$R$202,$A170,$G$3)&amp;""="","",IF(LEFT(INDEX(인턴근무계획!$M$3:$R$202,$A170,$G$3)&amp;"",1)="⚠",INDEX(인턴근무계획!$M$3:$R$202,$A170,$G$3)&amp;"",LEFT(INDEX(인턴근무계획!$M$3:$R$202,$A170,$G$3)&amp;"",FIND(" ",INDEX(인턴근무계획!$M$3:$R$202,$A170,$G$3)&amp;"")-1))))</f>
        <v/>
      </c>
      <c r="H170" s="23">
        <f>IF(OR($C170="",$G$3=""),"",IF(INDEX(인턴근무계획!$M$3:$R$202,$A170,$G$3)&amp;""="","",IF(LEFT(INDEX(인턴근무계획!$M$3:$R$202,$A170,$G$3)&amp;"",1)="⚠","",MID(INDEX(인턴근무계획!$M$3:$R$202,$A170,$G$3)&amp;"",FIND(" ",INDEX(인턴근무계획!$M$3:$R$202,$A170,$G$3)&amp;"")+1,60))))</f>
        <v/>
      </c>
      <c r="I170" s="23">
        <f>IF(OR($C170="",$I$3=""),"",IF(INDEX(인턴근무계획!$M$3:$R$202,$A170,$I$3)&amp;""="","",IF(LEFT(INDEX(인턴근무계획!$M$3:$R$202,$A170,$I$3)&amp;"",1)="⚠",INDEX(인턴근무계획!$M$3:$R$202,$A170,$I$3)&amp;"",LEFT(INDEX(인턴근무계획!$M$3:$R$202,$A170,$I$3)&amp;"",FIND(" ",INDEX(인턴근무계획!$M$3:$R$202,$A170,$I$3)&amp;"")-1))))</f>
        <v/>
      </c>
      <c r="J170" s="23">
        <f>IF(OR($C170="",$I$3=""),"",IF(INDEX(인턴근무계획!$M$3:$R$202,$A170,$I$3)&amp;""="","",IF(LEFT(INDEX(인턴근무계획!$M$3:$R$202,$A170,$I$3)&amp;"",1)="⚠","",MID(INDEX(인턴근무계획!$M$3:$R$202,$A170,$I$3)&amp;"",FIND(" ",INDEX(인턴근무계획!$M$3:$R$202,$A170,$I$3)&amp;"")+1,60))))</f>
        <v/>
      </c>
      <c r="K170" s="23">
        <f>IF($C170="","",INDEX(인턴근무계획!$M$3:$M$202,$A170)&amp;"")</f>
        <v/>
      </c>
      <c r="L170" s="23">
        <f>IF($C170="","",INDEX(인턴근무계획!$N$3:$N$202,$A170)&amp;"")</f>
        <v/>
      </c>
      <c r="M170" s="23">
        <f>IF($C170="","",INDEX(인턴근무계획!$O$3:$O$202,$A170)&amp;"")</f>
        <v/>
      </c>
      <c r="N170" s="23">
        <f>IF($C170="","",INDEX(인턴근무계획!$P$3:$P$202,$A170)&amp;"")</f>
        <v/>
      </c>
      <c r="O170" s="23">
        <f>IF($C170="","",INDEX(인턴근무계획!$Q$3:$Q$202,$A170)&amp;"")</f>
        <v/>
      </c>
      <c r="P170" s="23">
        <f>IF($C170="","",INDEX(인턴근무계획!$R$3:$R$202,$A170)&amp;"")</f>
        <v/>
      </c>
      <c r="Q170" s="23">
        <f>IF($C170="","",INDEX(인턴근무계획!$T$3:$T$202,$A170))</f>
        <v/>
      </c>
    </row>
    <row r="171">
      <c r="A171" s="26" t="n">
        <v>166</v>
      </c>
      <c r="B171" s="23">
        <f>IF($C171="","",INDEX(인턴근무계획!$B$3:$B$202,$A171))</f>
        <v/>
      </c>
      <c r="C171" s="23">
        <f>IFERROR(TRIM(INDEX(인턴근무계획!$C$3:$C$202,$A171)&amp;""),"")</f>
        <v/>
      </c>
      <c r="D171" s="23">
        <f>IF($C171="","",INDEX(인턴근무계획!$D$3:$D$202,$A171))</f>
        <v/>
      </c>
      <c r="E171" s="23">
        <f>IF($C171="","",IF(IFERROR(MATCH($D171,기본자료!$B$2:$B$501,0),IFERROR(MATCH($D171&amp;"",기본자료!$B$2:$B$501,0),IFERROR(MATCH(VALUE($D171),기본자료!$B$2:$B$501,0),0)))&gt;0,"확인","미등록"))</f>
        <v/>
      </c>
      <c r="F171" s="27">
        <f>IF($C171="","",INDEX(인턴근무계획!$S$3:$S$202,$A171))</f>
        <v/>
      </c>
      <c r="G171" s="23">
        <f>IF(OR($C171="",$G$3=""),"",IF(INDEX(인턴근무계획!$M$3:$R$202,$A171,$G$3)&amp;""="","",IF(LEFT(INDEX(인턴근무계획!$M$3:$R$202,$A171,$G$3)&amp;"",1)="⚠",INDEX(인턴근무계획!$M$3:$R$202,$A171,$G$3)&amp;"",LEFT(INDEX(인턴근무계획!$M$3:$R$202,$A171,$G$3)&amp;"",FIND(" ",INDEX(인턴근무계획!$M$3:$R$202,$A171,$G$3)&amp;"")-1))))</f>
        <v/>
      </c>
      <c r="H171" s="23">
        <f>IF(OR($C171="",$G$3=""),"",IF(INDEX(인턴근무계획!$M$3:$R$202,$A171,$G$3)&amp;""="","",IF(LEFT(INDEX(인턴근무계획!$M$3:$R$202,$A171,$G$3)&amp;"",1)="⚠","",MID(INDEX(인턴근무계획!$M$3:$R$202,$A171,$G$3)&amp;"",FIND(" ",INDEX(인턴근무계획!$M$3:$R$202,$A171,$G$3)&amp;"")+1,60))))</f>
        <v/>
      </c>
      <c r="I171" s="23">
        <f>IF(OR($C171="",$I$3=""),"",IF(INDEX(인턴근무계획!$M$3:$R$202,$A171,$I$3)&amp;""="","",IF(LEFT(INDEX(인턴근무계획!$M$3:$R$202,$A171,$I$3)&amp;"",1)="⚠",INDEX(인턴근무계획!$M$3:$R$202,$A171,$I$3)&amp;"",LEFT(INDEX(인턴근무계획!$M$3:$R$202,$A171,$I$3)&amp;"",FIND(" ",INDEX(인턴근무계획!$M$3:$R$202,$A171,$I$3)&amp;"")-1))))</f>
        <v/>
      </c>
      <c r="J171" s="23">
        <f>IF(OR($C171="",$I$3=""),"",IF(INDEX(인턴근무계획!$M$3:$R$202,$A171,$I$3)&amp;""="","",IF(LEFT(INDEX(인턴근무계획!$M$3:$R$202,$A171,$I$3)&amp;"",1)="⚠","",MID(INDEX(인턴근무계획!$M$3:$R$202,$A171,$I$3)&amp;"",FIND(" ",INDEX(인턴근무계획!$M$3:$R$202,$A171,$I$3)&amp;"")+1,60))))</f>
        <v/>
      </c>
      <c r="K171" s="23">
        <f>IF($C171="","",INDEX(인턴근무계획!$M$3:$M$202,$A171)&amp;"")</f>
        <v/>
      </c>
      <c r="L171" s="23">
        <f>IF($C171="","",INDEX(인턴근무계획!$N$3:$N$202,$A171)&amp;"")</f>
        <v/>
      </c>
      <c r="M171" s="23">
        <f>IF($C171="","",INDEX(인턴근무계획!$O$3:$O$202,$A171)&amp;"")</f>
        <v/>
      </c>
      <c r="N171" s="23">
        <f>IF($C171="","",INDEX(인턴근무계획!$P$3:$P$202,$A171)&amp;"")</f>
        <v/>
      </c>
      <c r="O171" s="23">
        <f>IF($C171="","",INDEX(인턴근무계획!$Q$3:$Q$202,$A171)&amp;"")</f>
        <v/>
      </c>
      <c r="P171" s="23">
        <f>IF($C171="","",INDEX(인턴근무계획!$R$3:$R$202,$A171)&amp;"")</f>
        <v/>
      </c>
      <c r="Q171" s="23">
        <f>IF($C171="","",INDEX(인턴근무계획!$T$3:$T$202,$A171))</f>
        <v/>
      </c>
    </row>
    <row r="172">
      <c r="A172" s="26" t="n">
        <v>167</v>
      </c>
      <c r="B172" s="23">
        <f>IF($C172="","",INDEX(인턴근무계획!$B$3:$B$202,$A172))</f>
        <v/>
      </c>
      <c r="C172" s="23">
        <f>IFERROR(TRIM(INDEX(인턴근무계획!$C$3:$C$202,$A172)&amp;""),"")</f>
        <v/>
      </c>
      <c r="D172" s="23">
        <f>IF($C172="","",INDEX(인턴근무계획!$D$3:$D$202,$A172))</f>
        <v/>
      </c>
      <c r="E172" s="23">
        <f>IF($C172="","",IF(IFERROR(MATCH($D172,기본자료!$B$2:$B$501,0),IFERROR(MATCH($D172&amp;"",기본자료!$B$2:$B$501,0),IFERROR(MATCH(VALUE($D172),기본자료!$B$2:$B$501,0),0)))&gt;0,"확인","미등록"))</f>
        <v/>
      </c>
      <c r="F172" s="27">
        <f>IF($C172="","",INDEX(인턴근무계획!$S$3:$S$202,$A172))</f>
        <v/>
      </c>
      <c r="G172" s="23">
        <f>IF(OR($C172="",$G$3=""),"",IF(INDEX(인턴근무계획!$M$3:$R$202,$A172,$G$3)&amp;""="","",IF(LEFT(INDEX(인턴근무계획!$M$3:$R$202,$A172,$G$3)&amp;"",1)="⚠",INDEX(인턴근무계획!$M$3:$R$202,$A172,$G$3)&amp;"",LEFT(INDEX(인턴근무계획!$M$3:$R$202,$A172,$G$3)&amp;"",FIND(" ",INDEX(인턴근무계획!$M$3:$R$202,$A172,$G$3)&amp;"")-1))))</f>
        <v/>
      </c>
      <c r="H172" s="23">
        <f>IF(OR($C172="",$G$3=""),"",IF(INDEX(인턴근무계획!$M$3:$R$202,$A172,$G$3)&amp;""="","",IF(LEFT(INDEX(인턴근무계획!$M$3:$R$202,$A172,$G$3)&amp;"",1)="⚠","",MID(INDEX(인턴근무계획!$M$3:$R$202,$A172,$G$3)&amp;"",FIND(" ",INDEX(인턴근무계획!$M$3:$R$202,$A172,$G$3)&amp;"")+1,60))))</f>
        <v/>
      </c>
      <c r="I172" s="23">
        <f>IF(OR($C172="",$I$3=""),"",IF(INDEX(인턴근무계획!$M$3:$R$202,$A172,$I$3)&amp;""="","",IF(LEFT(INDEX(인턴근무계획!$M$3:$R$202,$A172,$I$3)&amp;"",1)="⚠",INDEX(인턴근무계획!$M$3:$R$202,$A172,$I$3)&amp;"",LEFT(INDEX(인턴근무계획!$M$3:$R$202,$A172,$I$3)&amp;"",FIND(" ",INDEX(인턴근무계획!$M$3:$R$202,$A172,$I$3)&amp;"")-1))))</f>
        <v/>
      </c>
      <c r="J172" s="23">
        <f>IF(OR($C172="",$I$3=""),"",IF(INDEX(인턴근무계획!$M$3:$R$202,$A172,$I$3)&amp;""="","",IF(LEFT(INDEX(인턴근무계획!$M$3:$R$202,$A172,$I$3)&amp;"",1)="⚠","",MID(INDEX(인턴근무계획!$M$3:$R$202,$A172,$I$3)&amp;"",FIND(" ",INDEX(인턴근무계획!$M$3:$R$202,$A172,$I$3)&amp;"")+1,60))))</f>
        <v/>
      </c>
      <c r="K172" s="23">
        <f>IF($C172="","",INDEX(인턴근무계획!$M$3:$M$202,$A172)&amp;"")</f>
        <v/>
      </c>
      <c r="L172" s="23">
        <f>IF($C172="","",INDEX(인턴근무계획!$N$3:$N$202,$A172)&amp;"")</f>
        <v/>
      </c>
      <c r="M172" s="23">
        <f>IF($C172="","",INDEX(인턴근무계획!$O$3:$O$202,$A172)&amp;"")</f>
        <v/>
      </c>
      <c r="N172" s="23">
        <f>IF($C172="","",INDEX(인턴근무계획!$P$3:$P$202,$A172)&amp;"")</f>
        <v/>
      </c>
      <c r="O172" s="23">
        <f>IF($C172="","",INDEX(인턴근무계획!$Q$3:$Q$202,$A172)&amp;"")</f>
        <v/>
      </c>
      <c r="P172" s="23">
        <f>IF($C172="","",INDEX(인턴근무계획!$R$3:$R$202,$A172)&amp;"")</f>
        <v/>
      </c>
      <c r="Q172" s="23">
        <f>IF($C172="","",INDEX(인턴근무계획!$T$3:$T$202,$A172))</f>
        <v/>
      </c>
    </row>
    <row r="173">
      <c r="A173" s="26" t="n">
        <v>168</v>
      </c>
      <c r="B173" s="23">
        <f>IF($C173="","",INDEX(인턴근무계획!$B$3:$B$202,$A173))</f>
        <v/>
      </c>
      <c r="C173" s="23">
        <f>IFERROR(TRIM(INDEX(인턴근무계획!$C$3:$C$202,$A173)&amp;""),"")</f>
        <v/>
      </c>
      <c r="D173" s="23">
        <f>IF($C173="","",INDEX(인턴근무계획!$D$3:$D$202,$A173))</f>
        <v/>
      </c>
      <c r="E173" s="23">
        <f>IF($C173="","",IF(IFERROR(MATCH($D173,기본자료!$B$2:$B$501,0),IFERROR(MATCH($D173&amp;"",기본자료!$B$2:$B$501,0),IFERROR(MATCH(VALUE($D173),기본자료!$B$2:$B$501,0),0)))&gt;0,"확인","미등록"))</f>
        <v/>
      </c>
      <c r="F173" s="27">
        <f>IF($C173="","",INDEX(인턴근무계획!$S$3:$S$202,$A173))</f>
        <v/>
      </c>
      <c r="G173" s="23">
        <f>IF(OR($C173="",$G$3=""),"",IF(INDEX(인턴근무계획!$M$3:$R$202,$A173,$G$3)&amp;""="","",IF(LEFT(INDEX(인턴근무계획!$M$3:$R$202,$A173,$G$3)&amp;"",1)="⚠",INDEX(인턴근무계획!$M$3:$R$202,$A173,$G$3)&amp;"",LEFT(INDEX(인턴근무계획!$M$3:$R$202,$A173,$G$3)&amp;"",FIND(" ",INDEX(인턴근무계획!$M$3:$R$202,$A173,$G$3)&amp;"")-1))))</f>
        <v/>
      </c>
      <c r="H173" s="23">
        <f>IF(OR($C173="",$G$3=""),"",IF(INDEX(인턴근무계획!$M$3:$R$202,$A173,$G$3)&amp;""="","",IF(LEFT(INDEX(인턴근무계획!$M$3:$R$202,$A173,$G$3)&amp;"",1)="⚠","",MID(INDEX(인턴근무계획!$M$3:$R$202,$A173,$G$3)&amp;"",FIND(" ",INDEX(인턴근무계획!$M$3:$R$202,$A173,$G$3)&amp;"")+1,60))))</f>
        <v/>
      </c>
      <c r="I173" s="23">
        <f>IF(OR($C173="",$I$3=""),"",IF(INDEX(인턴근무계획!$M$3:$R$202,$A173,$I$3)&amp;""="","",IF(LEFT(INDEX(인턴근무계획!$M$3:$R$202,$A173,$I$3)&amp;"",1)="⚠",INDEX(인턴근무계획!$M$3:$R$202,$A173,$I$3)&amp;"",LEFT(INDEX(인턴근무계획!$M$3:$R$202,$A173,$I$3)&amp;"",FIND(" ",INDEX(인턴근무계획!$M$3:$R$202,$A173,$I$3)&amp;"")-1))))</f>
        <v/>
      </c>
      <c r="J173" s="23">
        <f>IF(OR($C173="",$I$3=""),"",IF(INDEX(인턴근무계획!$M$3:$R$202,$A173,$I$3)&amp;""="","",IF(LEFT(INDEX(인턴근무계획!$M$3:$R$202,$A173,$I$3)&amp;"",1)="⚠","",MID(INDEX(인턴근무계획!$M$3:$R$202,$A173,$I$3)&amp;"",FIND(" ",INDEX(인턴근무계획!$M$3:$R$202,$A173,$I$3)&amp;"")+1,60))))</f>
        <v/>
      </c>
      <c r="K173" s="23">
        <f>IF($C173="","",INDEX(인턴근무계획!$M$3:$M$202,$A173)&amp;"")</f>
        <v/>
      </c>
      <c r="L173" s="23">
        <f>IF($C173="","",INDEX(인턴근무계획!$N$3:$N$202,$A173)&amp;"")</f>
        <v/>
      </c>
      <c r="M173" s="23">
        <f>IF($C173="","",INDEX(인턴근무계획!$O$3:$O$202,$A173)&amp;"")</f>
        <v/>
      </c>
      <c r="N173" s="23">
        <f>IF($C173="","",INDEX(인턴근무계획!$P$3:$P$202,$A173)&amp;"")</f>
        <v/>
      </c>
      <c r="O173" s="23">
        <f>IF($C173="","",INDEX(인턴근무계획!$Q$3:$Q$202,$A173)&amp;"")</f>
        <v/>
      </c>
      <c r="P173" s="23">
        <f>IF($C173="","",INDEX(인턴근무계획!$R$3:$R$202,$A173)&amp;"")</f>
        <v/>
      </c>
      <c r="Q173" s="23">
        <f>IF($C173="","",INDEX(인턴근무계획!$T$3:$T$202,$A173))</f>
        <v/>
      </c>
    </row>
    <row r="174">
      <c r="A174" s="26" t="n">
        <v>169</v>
      </c>
      <c r="B174" s="23">
        <f>IF($C174="","",INDEX(인턴근무계획!$B$3:$B$202,$A174))</f>
        <v/>
      </c>
      <c r="C174" s="23">
        <f>IFERROR(TRIM(INDEX(인턴근무계획!$C$3:$C$202,$A174)&amp;""),"")</f>
        <v/>
      </c>
      <c r="D174" s="23">
        <f>IF($C174="","",INDEX(인턴근무계획!$D$3:$D$202,$A174))</f>
        <v/>
      </c>
      <c r="E174" s="23">
        <f>IF($C174="","",IF(IFERROR(MATCH($D174,기본자료!$B$2:$B$501,0),IFERROR(MATCH($D174&amp;"",기본자료!$B$2:$B$501,0),IFERROR(MATCH(VALUE($D174),기본자료!$B$2:$B$501,0),0)))&gt;0,"확인","미등록"))</f>
        <v/>
      </c>
      <c r="F174" s="27">
        <f>IF($C174="","",INDEX(인턴근무계획!$S$3:$S$202,$A174))</f>
        <v/>
      </c>
      <c r="G174" s="23">
        <f>IF(OR($C174="",$G$3=""),"",IF(INDEX(인턴근무계획!$M$3:$R$202,$A174,$G$3)&amp;""="","",IF(LEFT(INDEX(인턴근무계획!$M$3:$R$202,$A174,$G$3)&amp;"",1)="⚠",INDEX(인턴근무계획!$M$3:$R$202,$A174,$G$3)&amp;"",LEFT(INDEX(인턴근무계획!$M$3:$R$202,$A174,$G$3)&amp;"",FIND(" ",INDEX(인턴근무계획!$M$3:$R$202,$A174,$G$3)&amp;"")-1))))</f>
        <v/>
      </c>
      <c r="H174" s="23">
        <f>IF(OR($C174="",$G$3=""),"",IF(INDEX(인턴근무계획!$M$3:$R$202,$A174,$G$3)&amp;""="","",IF(LEFT(INDEX(인턴근무계획!$M$3:$R$202,$A174,$G$3)&amp;"",1)="⚠","",MID(INDEX(인턴근무계획!$M$3:$R$202,$A174,$G$3)&amp;"",FIND(" ",INDEX(인턴근무계획!$M$3:$R$202,$A174,$G$3)&amp;"")+1,60))))</f>
        <v/>
      </c>
      <c r="I174" s="23">
        <f>IF(OR($C174="",$I$3=""),"",IF(INDEX(인턴근무계획!$M$3:$R$202,$A174,$I$3)&amp;""="","",IF(LEFT(INDEX(인턴근무계획!$M$3:$R$202,$A174,$I$3)&amp;"",1)="⚠",INDEX(인턴근무계획!$M$3:$R$202,$A174,$I$3)&amp;"",LEFT(INDEX(인턴근무계획!$M$3:$R$202,$A174,$I$3)&amp;"",FIND(" ",INDEX(인턴근무계획!$M$3:$R$202,$A174,$I$3)&amp;"")-1))))</f>
        <v/>
      </c>
      <c r="J174" s="23">
        <f>IF(OR($C174="",$I$3=""),"",IF(INDEX(인턴근무계획!$M$3:$R$202,$A174,$I$3)&amp;""="","",IF(LEFT(INDEX(인턴근무계획!$M$3:$R$202,$A174,$I$3)&amp;"",1)="⚠","",MID(INDEX(인턴근무계획!$M$3:$R$202,$A174,$I$3)&amp;"",FIND(" ",INDEX(인턴근무계획!$M$3:$R$202,$A174,$I$3)&amp;"")+1,60))))</f>
        <v/>
      </c>
      <c r="K174" s="23">
        <f>IF($C174="","",INDEX(인턴근무계획!$M$3:$M$202,$A174)&amp;"")</f>
        <v/>
      </c>
      <c r="L174" s="23">
        <f>IF($C174="","",INDEX(인턴근무계획!$N$3:$N$202,$A174)&amp;"")</f>
        <v/>
      </c>
      <c r="M174" s="23">
        <f>IF($C174="","",INDEX(인턴근무계획!$O$3:$O$202,$A174)&amp;"")</f>
        <v/>
      </c>
      <c r="N174" s="23">
        <f>IF($C174="","",INDEX(인턴근무계획!$P$3:$P$202,$A174)&amp;"")</f>
        <v/>
      </c>
      <c r="O174" s="23">
        <f>IF($C174="","",INDEX(인턴근무계획!$Q$3:$Q$202,$A174)&amp;"")</f>
        <v/>
      </c>
      <c r="P174" s="23">
        <f>IF($C174="","",INDEX(인턴근무계획!$R$3:$R$202,$A174)&amp;"")</f>
        <v/>
      </c>
      <c r="Q174" s="23">
        <f>IF($C174="","",INDEX(인턴근무계획!$T$3:$T$202,$A174))</f>
        <v/>
      </c>
    </row>
    <row r="175">
      <c r="A175" s="26" t="n">
        <v>170</v>
      </c>
      <c r="B175" s="23">
        <f>IF($C175="","",INDEX(인턴근무계획!$B$3:$B$202,$A175))</f>
        <v/>
      </c>
      <c r="C175" s="23">
        <f>IFERROR(TRIM(INDEX(인턴근무계획!$C$3:$C$202,$A175)&amp;""),"")</f>
        <v/>
      </c>
      <c r="D175" s="23">
        <f>IF($C175="","",INDEX(인턴근무계획!$D$3:$D$202,$A175))</f>
        <v/>
      </c>
      <c r="E175" s="23">
        <f>IF($C175="","",IF(IFERROR(MATCH($D175,기본자료!$B$2:$B$501,0),IFERROR(MATCH($D175&amp;"",기본자료!$B$2:$B$501,0),IFERROR(MATCH(VALUE($D175),기본자료!$B$2:$B$501,0),0)))&gt;0,"확인","미등록"))</f>
        <v/>
      </c>
      <c r="F175" s="27">
        <f>IF($C175="","",INDEX(인턴근무계획!$S$3:$S$202,$A175))</f>
        <v/>
      </c>
      <c r="G175" s="23">
        <f>IF(OR($C175="",$G$3=""),"",IF(INDEX(인턴근무계획!$M$3:$R$202,$A175,$G$3)&amp;""="","",IF(LEFT(INDEX(인턴근무계획!$M$3:$R$202,$A175,$G$3)&amp;"",1)="⚠",INDEX(인턴근무계획!$M$3:$R$202,$A175,$G$3)&amp;"",LEFT(INDEX(인턴근무계획!$M$3:$R$202,$A175,$G$3)&amp;"",FIND(" ",INDEX(인턴근무계획!$M$3:$R$202,$A175,$G$3)&amp;"")-1))))</f>
        <v/>
      </c>
      <c r="H175" s="23">
        <f>IF(OR($C175="",$G$3=""),"",IF(INDEX(인턴근무계획!$M$3:$R$202,$A175,$G$3)&amp;""="","",IF(LEFT(INDEX(인턴근무계획!$M$3:$R$202,$A175,$G$3)&amp;"",1)="⚠","",MID(INDEX(인턴근무계획!$M$3:$R$202,$A175,$G$3)&amp;"",FIND(" ",INDEX(인턴근무계획!$M$3:$R$202,$A175,$G$3)&amp;"")+1,60))))</f>
        <v/>
      </c>
      <c r="I175" s="23">
        <f>IF(OR($C175="",$I$3=""),"",IF(INDEX(인턴근무계획!$M$3:$R$202,$A175,$I$3)&amp;""="","",IF(LEFT(INDEX(인턴근무계획!$M$3:$R$202,$A175,$I$3)&amp;"",1)="⚠",INDEX(인턴근무계획!$M$3:$R$202,$A175,$I$3)&amp;"",LEFT(INDEX(인턴근무계획!$M$3:$R$202,$A175,$I$3)&amp;"",FIND(" ",INDEX(인턴근무계획!$M$3:$R$202,$A175,$I$3)&amp;"")-1))))</f>
        <v/>
      </c>
      <c r="J175" s="23">
        <f>IF(OR($C175="",$I$3=""),"",IF(INDEX(인턴근무계획!$M$3:$R$202,$A175,$I$3)&amp;""="","",IF(LEFT(INDEX(인턴근무계획!$M$3:$R$202,$A175,$I$3)&amp;"",1)="⚠","",MID(INDEX(인턴근무계획!$M$3:$R$202,$A175,$I$3)&amp;"",FIND(" ",INDEX(인턴근무계획!$M$3:$R$202,$A175,$I$3)&amp;"")+1,60))))</f>
        <v/>
      </c>
      <c r="K175" s="23">
        <f>IF($C175="","",INDEX(인턴근무계획!$M$3:$M$202,$A175)&amp;"")</f>
        <v/>
      </c>
      <c r="L175" s="23">
        <f>IF($C175="","",INDEX(인턴근무계획!$N$3:$N$202,$A175)&amp;"")</f>
        <v/>
      </c>
      <c r="M175" s="23">
        <f>IF($C175="","",INDEX(인턴근무계획!$O$3:$O$202,$A175)&amp;"")</f>
        <v/>
      </c>
      <c r="N175" s="23">
        <f>IF($C175="","",INDEX(인턴근무계획!$P$3:$P$202,$A175)&amp;"")</f>
        <v/>
      </c>
      <c r="O175" s="23">
        <f>IF($C175="","",INDEX(인턴근무계획!$Q$3:$Q$202,$A175)&amp;"")</f>
        <v/>
      </c>
      <c r="P175" s="23">
        <f>IF($C175="","",INDEX(인턴근무계획!$R$3:$R$202,$A175)&amp;"")</f>
        <v/>
      </c>
      <c r="Q175" s="23">
        <f>IF($C175="","",INDEX(인턴근무계획!$T$3:$T$202,$A175))</f>
        <v/>
      </c>
    </row>
    <row r="176">
      <c r="A176" s="26" t="n">
        <v>171</v>
      </c>
      <c r="B176" s="23">
        <f>IF($C176="","",INDEX(인턴근무계획!$B$3:$B$202,$A176))</f>
        <v/>
      </c>
      <c r="C176" s="23">
        <f>IFERROR(TRIM(INDEX(인턴근무계획!$C$3:$C$202,$A176)&amp;""),"")</f>
        <v/>
      </c>
      <c r="D176" s="23">
        <f>IF($C176="","",INDEX(인턴근무계획!$D$3:$D$202,$A176))</f>
        <v/>
      </c>
      <c r="E176" s="23">
        <f>IF($C176="","",IF(IFERROR(MATCH($D176,기본자료!$B$2:$B$501,0),IFERROR(MATCH($D176&amp;"",기본자료!$B$2:$B$501,0),IFERROR(MATCH(VALUE($D176),기본자료!$B$2:$B$501,0),0)))&gt;0,"확인","미등록"))</f>
        <v/>
      </c>
      <c r="F176" s="27">
        <f>IF($C176="","",INDEX(인턴근무계획!$S$3:$S$202,$A176))</f>
        <v/>
      </c>
      <c r="G176" s="23">
        <f>IF(OR($C176="",$G$3=""),"",IF(INDEX(인턴근무계획!$M$3:$R$202,$A176,$G$3)&amp;""="","",IF(LEFT(INDEX(인턴근무계획!$M$3:$R$202,$A176,$G$3)&amp;"",1)="⚠",INDEX(인턴근무계획!$M$3:$R$202,$A176,$G$3)&amp;"",LEFT(INDEX(인턴근무계획!$M$3:$R$202,$A176,$G$3)&amp;"",FIND(" ",INDEX(인턴근무계획!$M$3:$R$202,$A176,$G$3)&amp;"")-1))))</f>
        <v/>
      </c>
      <c r="H176" s="23">
        <f>IF(OR($C176="",$G$3=""),"",IF(INDEX(인턴근무계획!$M$3:$R$202,$A176,$G$3)&amp;""="","",IF(LEFT(INDEX(인턴근무계획!$M$3:$R$202,$A176,$G$3)&amp;"",1)="⚠","",MID(INDEX(인턴근무계획!$M$3:$R$202,$A176,$G$3)&amp;"",FIND(" ",INDEX(인턴근무계획!$M$3:$R$202,$A176,$G$3)&amp;"")+1,60))))</f>
        <v/>
      </c>
      <c r="I176" s="23">
        <f>IF(OR($C176="",$I$3=""),"",IF(INDEX(인턴근무계획!$M$3:$R$202,$A176,$I$3)&amp;""="","",IF(LEFT(INDEX(인턴근무계획!$M$3:$R$202,$A176,$I$3)&amp;"",1)="⚠",INDEX(인턴근무계획!$M$3:$R$202,$A176,$I$3)&amp;"",LEFT(INDEX(인턴근무계획!$M$3:$R$202,$A176,$I$3)&amp;"",FIND(" ",INDEX(인턴근무계획!$M$3:$R$202,$A176,$I$3)&amp;"")-1))))</f>
        <v/>
      </c>
      <c r="J176" s="23">
        <f>IF(OR($C176="",$I$3=""),"",IF(INDEX(인턴근무계획!$M$3:$R$202,$A176,$I$3)&amp;""="","",IF(LEFT(INDEX(인턴근무계획!$M$3:$R$202,$A176,$I$3)&amp;"",1)="⚠","",MID(INDEX(인턴근무계획!$M$3:$R$202,$A176,$I$3)&amp;"",FIND(" ",INDEX(인턴근무계획!$M$3:$R$202,$A176,$I$3)&amp;"")+1,60))))</f>
        <v/>
      </c>
      <c r="K176" s="23">
        <f>IF($C176="","",INDEX(인턴근무계획!$M$3:$M$202,$A176)&amp;"")</f>
        <v/>
      </c>
      <c r="L176" s="23">
        <f>IF($C176="","",INDEX(인턴근무계획!$N$3:$N$202,$A176)&amp;"")</f>
        <v/>
      </c>
      <c r="M176" s="23">
        <f>IF($C176="","",INDEX(인턴근무계획!$O$3:$O$202,$A176)&amp;"")</f>
        <v/>
      </c>
      <c r="N176" s="23">
        <f>IF($C176="","",INDEX(인턴근무계획!$P$3:$P$202,$A176)&amp;"")</f>
        <v/>
      </c>
      <c r="O176" s="23">
        <f>IF($C176="","",INDEX(인턴근무계획!$Q$3:$Q$202,$A176)&amp;"")</f>
        <v/>
      </c>
      <c r="P176" s="23">
        <f>IF($C176="","",INDEX(인턴근무계획!$R$3:$R$202,$A176)&amp;"")</f>
        <v/>
      </c>
      <c r="Q176" s="23">
        <f>IF($C176="","",INDEX(인턴근무계획!$T$3:$T$202,$A176))</f>
        <v/>
      </c>
    </row>
    <row r="177">
      <c r="A177" s="26" t="n">
        <v>172</v>
      </c>
      <c r="B177" s="23">
        <f>IF($C177="","",INDEX(인턴근무계획!$B$3:$B$202,$A177))</f>
        <v/>
      </c>
      <c r="C177" s="23">
        <f>IFERROR(TRIM(INDEX(인턴근무계획!$C$3:$C$202,$A177)&amp;""),"")</f>
        <v/>
      </c>
      <c r="D177" s="23">
        <f>IF($C177="","",INDEX(인턴근무계획!$D$3:$D$202,$A177))</f>
        <v/>
      </c>
      <c r="E177" s="23">
        <f>IF($C177="","",IF(IFERROR(MATCH($D177,기본자료!$B$2:$B$501,0),IFERROR(MATCH($D177&amp;"",기본자료!$B$2:$B$501,0),IFERROR(MATCH(VALUE($D177),기본자료!$B$2:$B$501,0),0)))&gt;0,"확인","미등록"))</f>
        <v/>
      </c>
      <c r="F177" s="27">
        <f>IF($C177="","",INDEX(인턴근무계획!$S$3:$S$202,$A177))</f>
        <v/>
      </c>
      <c r="G177" s="23">
        <f>IF(OR($C177="",$G$3=""),"",IF(INDEX(인턴근무계획!$M$3:$R$202,$A177,$G$3)&amp;""="","",IF(LEFT(INDEX(인턴근무계획!$M$3:$R$202,$A177,$G$3)&amp;"",1)="⚠",INDEX(인턴근무계획!$M$3:$R$202,$A177,$G$3)&amp;"",LEFT(INDEX(인턴근무계획!$M$3:$R$202,$A177,$G$3)&amp;"",FIND(" ",INDEX(인턴근무계획!$M$3:$R$202,$A177,$G$3)&amp;"")-1))))</f>
        <v/>
      </c>
      <c r="H177" s="23">
        <f>IF(OR($C177="",$G$3=""),"",IF(INDEX(인턴근무계획!$M$3:$R$202,$A177,$G$3)&amp;""="","",IF(LEFT(INDEX(인턴근무계획!$M$3:$R$202,$A177,$G$3)&amp;"",1)="⚠","",MID(INDEX(인턴근무계획!$M$3:$R$202,$A177,$G$3)&amp;"",FIND(" ",INDEX(인턴근무계획!$M$3:$R$202,$A177,$G$3)&amp;"")+1,60))))</f>
        <v/>
      </c>
      <c r="I177" s="23">
        <f>IF(OR($C177="",$I$3=""),"",IF(INDEX(인턴근무계획!$M$3:$R$202,$A177,$I$3)&amp;""="","",IF(LEFT(INDEX(인턴근무계획!$M$3:$R$202,$A177,$I$3)&amp;"",1)="⚠",INDEX(인턴근무계획!$M$3:$R$202,$A177,$I$3)&amp;"",LEFT(INDEX(인턴근무계획!$M$3:$R$202,$A177,$I$3)&amp;"",FIND(" ",INDEX(인턴근무계획!$M$3:$R$202,$A177,$I$3)&amp;"")-1))))</f>
        <v/>
      </c>
      <c r="J177" s="23">
        <f>IF(OR($C177="",$I$3=""),"",IF(INDEX(인턴근무계획!$M$3:$R$202,$A177,$I$3)&amp;""="","",IF(LEFT(INDEX(인턴근무계획!$M$3:$R$202,$A177,$I$3)&amp;"",1)="⚠","",MID(INDEX(인턴근무계획!$M$3:$R$202,$A177,$I$3)&amp;"",FIND(" ",INDEX(인턴근무계획!$M$3:$R$202,$A177,$I$3)&amp;"")+1,60))))</f>
        <v/>
      </c>
      <c r="K177" s="23">
        <f>IF($C177="","",INDEX(인턴근무계획!$M$3:$M$202,$A177)&amp;"")</f>
        <v/>
      </c>
      <c r="L177" s="23">
        <f>IF($C177="","",INDEX(인턴근무계획!$N$3:$N$202,$A177)&amp;"")</f>
        <v/>
      </c>
      <c r="M177" s="23">
        <f>IF($C177="","",INDEX(인턴근무계획!$O$3:$O$202,$A177)&amp;"")</f>
        <v/>
      </c>
      <c r="N177" s="23">
        <f>IF($C177="","",INDEX(인턴근무계획!$P$3:$P$202,$A177)&amp;"")</f>
        <v/>
      </c>
      <c r="O177" s="23">
        <f>IF($C177="","",INDEX(인턴근무계획!$Q$3:$Q$202,$A177)&amp;"")</f>
        <v/>
      </c>
      <c r="P177" s="23">
        <f>IF($C177="","",INDEX(인턴근무계획!$R$3:$R$202,$A177)&amp;"")</f>
        <v/>
      </c>
      <c r="Q177" s="23">
        <f>IF($C177="","",INDEX(인턴근무계획!$T$3:$T$202,$A177))</f>
        <v/>
      </c>
    </row>
    <row r="178">
      <c r="A178" s="26" t="n">
        <v>173</v>
      </c>
      <c r="B178" s="23">
        <f>IF($C178="","",INDEX(인턴근무계획!$B$3:$B$202,$A178))</f>
        <v/>
      </c>
      <c r="C178" s="23">
        <f>IFERROR(TRIM(INDEX(인턴근무계획!$C$3:$C$202,$A178)&amp;""),"")</f>
        <v/>
      </c>
      <c r="D178" s="23">
        <f>IF($C178="","",INDEX(인턴근무계획!$D$3:$D$202,$A178))</f>
        <v/>
      </c>
      <c r="E178" s="23">
        <f>IF($C178="","",IF(IFERROR(MATCH($D178,기본자료!$B$2:$B$501,0),IFERROR(MATCH($D178&amp;"",기본자료!$B$2:$B$501,0),IFERROR(MATCH(VALUE($D178),기본자료!$B$2:$B$501,0),0)))&gt;0,"확인","미등록"))</f>
        <v/>
      </c>
      <c r="F178" s="27">
        <f>IF($C178="","",INDEX(인턴근무계획!$S$3:$S$202,$A178))</f>
        <v/>
      </c>
      <c r="G178" s="23">
        <f>IF(OR($C178="",$G$3=""),"",IF(INDEX(인턴근무계획!$M$3:$R$202,$A178,$G$3)&amp;""="","",IF(LEFT(INDEX(인턴근무계획!$M$3:$R$202,$A178,$G$3)&amp;"",1)="⚠",INDEX(인턴근무계획!$M$3:$R$202,$A178,$G$3)&amp;"",LEFT(INDEX(인턴근무계획!$M$3:$R$202,$A178,$G$3)&amp;"",FIND(" ",INDEX(인턴근무계획!$M$3:$R$202,$A178,$G$3)&amp;"")-1))))</f>
        <v/>
      </c>
      <c r="H178" s="23">
        <f>IF(OR($C178="",$G$3=""),"",IF(INDEX(인턴근무계획!$M$3:$R$202,$A178,$G$3)&amp;""="","",IF(LEFT(INDEX(인턴근무계획!$M$3:$R$202,$A178,$G$3)&amp;"",1)="⚠","",MID(INDEX(인턴근무계획!$M$3:$R$202,$A178,$G$3)&amp;"",FIND(" ",INDEX(인턴근무계획!$M$3:$R$202,$A178,$G$3)&amp;"")+1,60))))</f>
        <v/>
      </c>
      <c r="I178" s="23">
        <f>IF(OR($C178="",$I$3=""),"",IF(INDEX(인턴근무계획!$M$3:$R$202,$A178,$I$3)&amp;""="","",IF(LEFT(INDEX(인턴근무계획!$M$3:$R$202,$A178,$I$3)&amp;"",1)="⚠",INDEX(인턴근무계획!$M$3:$R$202,$A178,$I$3)&amp;"",LEFT(INDEX(인턴근무계획!$M$3:$R$202,$A178,$I$3)&amp;"",FIND(" ",INDEX(인턴근무계획!$M$3:$R$202,$A178,$I$3)&amp;"")-1))))</f>
        <v/>
      </c>
      <c r="J178" s="23">
        <f>IF(OR($C178="",$I$3=""),"",IF(INDEX(인턴근무계획!$M$3:$R$202,$A178,$I$3)&amp;""="","",IF(LEFT(INDEX(인턴근무계획!$M$3:$R$202,$A178,$I$3)&amp;"",1)="⚠","",MID(INDEX(인턴근무계획!$M$3:$R$202,$A178,$I$3)&amp;"",FIND(" ",INDEX(인턴근무계획!$M$3:$R$202,$A178,$I$3)&amp;"")+1,60))))</f>
        <v/>
      </c>
      <c r="K178" s="23">
        <f>IF($C178="","",INDEX(인턴근무계획!$M$3:$M$202,$A178)&amp;"")</f>
        <v/>
      </c>
      <c r="L178" s="23">
        <f>IF($C178="","",INDEX(인턴근무계획!$N$3:$N$202,$A178)&amp;"")</f>
        <v/>
      </c>
      <c r="M178" s="23">
        <f>IF($C178="","",INDEX(인턴근무계획!$O$3:$O$202,$A178)&amp;"")</f>
        <v/>
      </c>
      <c r="N178" s="23">
        <f>IF($C178="","",INDEX(인턴근무계획!$P$3:$P$202,$A178)&amp;"")</f>
        <v/>
      </c>
      <c r="O178" s="23">
        <f>IF($C178="","",INDEX(인턴근무계획!$Q$3:$Q$202,$A178)&amp;"")</f>
        <v/>
      </c>
      <c r="P178" s="23">
        <f>IF($C178="","",INDEX(인턴근무계획!$R$3:$R$202,$A178)&amp;"")</f>
        <v/>
      </c>
      <c r="Q178" s="23">
        <f>IF($C178="","",INDEX(인턴근무계획!$T$3:$T$202,$A178))</f>
        <v/>
      </c>
    </row>
    <row r="179">
      <c r="A179" s="26" t="n">
        <v>174</v>
      </c>
      <c r="B179" s="23">
        <f>IF($C179="","",INDEX(인턴근무계획!$B$3:$B$202,$A179))</f>
        <v/>
      </c>
      <c r="C179" s="23">
        <f>IFERROR(TRIM(INDEX(인턴근무계획!$C$3:$C$202,$A179)&amp;""),"")</f>
        <v/>
      </c>
      <c r="D179" s="23">
        <f>IF($C179="","",INDEX(인턴근무계획!$D$3:$D$202,$A179))</f>
        <v/>
      </c>
      <c r="E179" s="23">
        <f>IF($C179="","",IF(IFERROR(MATCH($D179,기본자료!$B$2:$B$501,0),IFERROR(MATCH($D179&amp;"",기본자료!$B$2:$B$501,0),IFERROR(MATCH(VALUE($D179),기본자료!$B$2:$B$501,0),0)))&gt;0,"확인","미등록"))</f>
        <v/>
      </c>
      <c r="F179" s="27">
        <f>IF($C179="","",INDEX(인턴근무계획!$S$3:$S$202,$A179))</f>
        <v/>
      </c>
      <c r="G179" s="23">
        <f>IF(OR($C179="",$G$3=""),"",IF(INDEX(인턴근무계획!$M$3:$R$202,$A179,$G$3)&amp;""="","",IF(LEFT(INDEX(인턴근무계획!$M$3:$R$202,$A179,$G$3)&amp;"",1)="⚠",INDEX(인턴근무계획!$M$3:$R$202,$A179,$G$3)&amp;"",LEFT(INDEX(인턴근무계획!$M$3:$R$202,$A179,$G$3)&amp;"",FIND(" ",INDEX(인턴근무계획!$M$3:$R$202,$A179,$G$3)&amp;"")-1))))</f>
        <v/>
      </c>
      <c r="H179" s="23">
        <f>IF(OR($C179="",$G$3=""),"",IF(INDEX(인턴근무계획!$M$3:$R$202,$A179,$G$3)&amp;""="","",IF(LEFT(INDEX(인턴근무계획!$M$3:$R$202,$A179,$G$3)&amp;"",1)="⚠","",MID(INDEX(인턴근무계획!$M$3:$R$202,$A179,$G$3)&amp;"",FIND(" ",INDEX(인턴근무계획!$M$3:$R$202,$A179,$G$3)&amp;"")+1,60))))</f>
        <v/>
      </c>
      <c r="I179" s="23">
        <f>IF(OR($C179="",$I$3=""),"",IF(INDEX(인턴근무계획!$M$3:$R$202,$A179,$I$3)&amp;""="","",IF(LEFT(INDEX(인턴근무계획!$M$3:$R$202,$A179,$I$3)&amp;"",1)="⚠",INDEX(인턴근무계획!$M$3:$R$202,$A179,$I$3)&amp;"",LEFT(INDEX(인턴근무계획!$M$3:$R$202,$A179,$I$3)&amp;"",FIND(" ",INDEX(인턴근무계획!$M$3:$R$202,$A179,$I$3)&amp;"")-1))))</f>
        <v/>
      </c>
      <c r="J179" s="23">
        <f>IF(OR($C179="",$I$3=""),"",IF(INDEX(인턴근무계획!$M$3:$R$202,$A179,$I$3)&amp;""="","",IF(LEFT(INDEX(인턴근무계획!$M$3:$R$202,$A179,$I$3)&amp;"",1)="⚠","",MID(INDEX(인턴근무계획!$M$3:$R$202,$A179,$I$3)&amp;"",FIND(" ",INDEX(인턴근무계획!$M$3:$R$202,$A179,$I$3)&amp;"")+1,60))))</f>
        <v/>
      </c>
      <c r="K179" s="23">
        <f>IF($C179="","",INDEX(인턴근무계획!$M$3:$M$202,$A179)&amp;"")</f>
        <v/>
      </c>
      <c r="L179" s="23">
        <f>IF($C179="","",INDEX(인턴근무계획!$N$3:$N$202,$A179)&amp;"")</f>
        <v/>
      </c>
      <c r="M179" s="23">
        <f>IF($C179="","",INDEX(인턴근무계획!$O$3:$O$202,$A179)&amp;"")</f>
        <v/>
      </c>
      <c r="N179" s="23">
        <f>IF($C179="","",INDEX(인턴근무계획!$P$3:$P$202,$A179)&amp;"")</f>
        <v/>
      </c>
      <c r="O179" s="23">
        <f>IF($C179="","",INDEX(인턴근무계획!$Q$3:$Q$202,$A179)&amp;"")</f>
        <v/>
      </c>
      <c r="P179" s="23">
        <f>IF($C179="","",INDEX(인턴근무계획!$R$3:$R$202,$A179)&amp;"")</f>
        <v/>
      </c>
      <c r="Q179" s="23">
        <f>IF($C179="","",INDEX(인턴근무계획!$T$3:$T$202,$A179))</f>
        <v/>
      </c>
    </row>
    <row r="180">
      <c r="A180" s="26" t="n">
        <v>175</v>
      </c>
      <c r="B180" s="23">
        <f>IF($C180="","",INDEX(인턴근무계획!$B$3:$B$202,$A180))</f>
        <v/>
      </c>
      <c r="C180" s="23">
        <f>IFERROR(TRIM(INDEX(인턴근무계획!$C$3:$C$202,$A180)&amp;""),"")</f>
        <v/>
      </c>
      <c r="D180" s="23">
        <f>IF($C180="","",INDEX(인턴근무계획!$D$3:$D$202,$A180))</f>
        <v/>
      </c>
      <c r="E180" s="23">
        <f>IF($C180="","",IF(IFERROR(MATCH($D180,기본자료!$B$2:$B$501,0),IFERROR(MATCH($D180&amp;"",기본자료!$B$2:$B$501,0),IFERROR(MATCH(VALUE($D180),기본자료!$B$2:$B$501,0),0)))&gt;0,"확인","미등록"))</f>
        <v/>
      </c>
      <c r="F180" s="27">
        <f>IF($C180="","",INDEX(인턴근무계획!$S$3:$S$202,$A180))</f>
        <v/>
      </c>
      <c r="G180" s="23">
        <f>IF(OR($C180="",$G$3=""),"",IF(INDEX(인턴근무계획!$M$3:$R$202,$A180,$G$3)&amp;""="","",IF(LEFT(INDEX(인턴근무계획!$M$3:$R$202,$A180,$G$3)&amp;"",1)="⚠",INDEX(인턴근무계획!$M$3:$R$202,$A180,$G$3)&amp;"",LEFT(INDEX(인턴근무계획!$M$3:$R$202,$A180,$G$3)&amp;"",FIND(" ",INDEX(인턴근무계획!$M$3:$R$202,$A180,$G$3)&amp;"")-1))))</f>
        <v/>
      </c>
      <c r="H180" s="23">
        <f>IF(OR($C180="",$G$3=""),"",IF(INDEX(인턴근무계획!$M$3:$R$202,$A180,$G$3)&amp;""="","",IF(LEFT(INDEX(인턴근무계획!$M$3:$R$202,$A180,$G$3)&amp;"",1)="⚠","",MID(INDEX(인턴근무계획!$M$3:$R$202,$A180,$G$3)&amp;"",FIND(" ",INDEX(인턴근무계획!$M$3:$R$202,$A180,$G$3)&amp;"")+1,60))))</f>
        <v/>
      </c>
      <c r="I180" s="23">
        <f>IF(OR($C180="",$I$3=""),"",IF(INDEX(인턴근무계획!$M$3:$R$202,$A180,$I$3)&amp;""="","",IF(LEFT(INDEX(인턴근무계획!$M$3:$R$202,$A180,$I$3)&amp;"",1)="⚠",INDEX(인턴근무계획!$M$3:$R$202,$A180,$I$3)&amp;"",LEFT(INDEX(인턴근무계획!$M$3:$R$202,$A180,$I$3)&amp;"",FIND(" ",INDEX(인턴근무계획!$M$3:$R$202,$A180,$I$3)&amp;"")-1))))</f>
        <v/>
      </c>
      <c r="J180" s="23">
        <f>IF(OR($C180="",$I$3=""),"",IF(INDEX(인턴근무계획!$M$3:$R$202,$A180,$I$3)&amp;""="","",IF(LEFT(INDEX(인턴근무계획!$M$3:$R$202,$A180,$I$3)&amp;"",1)="⚠","",MID(INDEX(인턴근무계획!$M$3:$R$202,$A180,$I$3)&amp;"",FIND(" ",INDEX(인턴근무계획!$M$3:$R$202,$A180,$I$3)&amp;"")+1,60))))</f>
        <v/>
      </c>
      <c r="K180" s="23">
        <f>IF($C180="","",INDEX(인턴근무계획!$M$3:$M$202,$A180)&amp;"")</f>
        <v/>
      </c>
      <c r="L180" s="23">
        <f>IF($C180="","",INDEX(인턴근무계획!$N$3:$N$202,$A180)&amp;"")</f>
        <v/>
      </c>
      <c r="M180" s="23">
        <f>IF($C180="","",INDEX(인턴근무계획!$O$3:$O$202,$A180)&amp;"")</f>
        <v/>
      </c>
      <c r="N180" s="23">
        <f>IF($C180="","",INDEX(인턴근무계획!$P$3:$P$202,$A180)&amp;"")</f>
        <v/>
      </c>
      <c r="O180" s="23">
        <f>IF($C180="","",INDEX(인턴근무계획!$Q$3:$Q$202,$A180)&amp;"")</f>
        <v/>
      </c>
      <c r="P180" s="23">
        <f>IF($C180="","",INDEX(인턴근무계획!$R$3:$R$202,$A180)&amp;"")</f>
        <v/>
      </c>
      <c r="Q180" s="23">
        <f>IF($C180="","",INDEX(인턴근무계획!$T$3:$T$202,$A180))</f>
        <v/>
      </c>
    </row>
    <row r="181">
      <c r="A181" s="26" t="n">
        <v>176</v>
      </c>
      <c r="B181" s="23">
        <f>IF($C181="","",INDEX(인턴근무계획!$B$3:$B$202,$A181))</f>
        <v/>
      </c>
      <c r="C181" s="23">
        <f>IFERROR(TRIM(INDEX(인턴근무계획!$C$3:$C$202,$A181)&amp;""),"")</f>
        <v/>
      </c>
      <c r="D181" s="23">
        <f>IF($C181="","",INDEX(인턴근무계획!$D$3:$D$202,$A181))</f>
        <v/>
      </c>
      <c r="E181" s="23">
        <f>IF($C181="","",IF(IFERROR(MATCH($D181,기본자료!$B$2:$B$501,0),IFERROR(MATCH($D181&amp;"",기본자료!$B$2:$B$501,0),IFERROR(MATCH(VALUE($D181),기본자료!$B$2:$B$501,0),0)))&gt;0,"확인","미등록"))</f>
        <v/>
      </c>
      <c r="F181" s="27">
        <f>IF($C181="","",INDEX(인턴근무계획!$S$3:$S$202,$A181))</f>
        <v/>
      </c>
      <c r="G181" s="23">
        <f>IF(OR($C181="",$G$3=""),"",IF(INDEX(인턴근무계획!$M$3:$R$202,$A181,$G$3)&amp;""="","",IF(LEFT(INDEX(인턴근무계획!$M$3:$R$202,$A181,$G$3)&amp;"",1)="⚠",INDEX(인턴근무계획!$M$3:$R$202,$A181,$G$3)&amp;"",LEFT(INDEX(인턴근무계획!$M$3:$R$202,$A181,$G$3)&amp;"",FIND(" ",INDEX(인턴근무계획!$M$3:$R$202,$A181,$G$3)&amp;"")-1))))</f>
        <v/>
      </c>
      <c r="H181" s="23">
        <f>IF(OR($C181="",$G$3=""),"",IF(INDEX(인턴근무계획!$M$3:$R$202,$A181,$G$3)&amp;""="","",IF(LEFT(INDEX(인턴근무계획!$M$3:$R$202,$A181,$G$3)&amp;"",1)="⚠","",MID(INDEX(인턴근무계획!$M$3:$R$202,$A181,$G$3)&amp;"",FIND(" ",INDEX(인턴근무계획!$M$3:$R$202,$A181,$G$3)&amp;"")+1,60))))</f>
        <v/>
      </c>
      <c r="I181" s="23">
        <f>IF(OR($C181="",$I$3=""),"",IF(INDEX(인턴근무계획!$M$3:$R$202,$A181,$I$3)&amp;""="","",IF(LEFT(INDEX(인턴근무계획!$M$3:$R$202,$A181,$I$3)&amp;"",1)="⚠",INDEX(인턴근무계획!$M$3:$R$202,$A181,$I$3)&amp;"",LEFT(INDEX(인턴근무계획!$M$3:$R$202,$A181,$I$3)&amp;"",FIND(" ",INDEX(인턴근무계획!$M$3:$R$202,$A181,$I$3)&amp;"")-1))))</f>
        <v/>
      </c>
      <c r="J181" s="23">
        <f>IF(OR($C181="",$I$3=""),"",IF(INDEX(인턴근무계획!$M$3:$R$202,$A181,$I$3)&amp;""="","",IF(LEFT(INDEX(인턴근무계획!$M$3:$R$202,$A181,$I$3)&amp;"",1)="⚠","",MID(INDEX(인턴근무계획!$M$3:$R$202,$A181,$I$3)&amp;"",FIND(" ",INDEX(인턴근무계획!$M$3:$R$202,$A181,$I$3)&amp;"")+1,60))))</f>
        <v/>
      </c>
      <c r="K181" s="23">
        <f>IF($C181="","",INDEX(인턴근무계획!$M$3:$M$202,$A181)&amp;"")</f>
        <v/>
      </c>
      <c r="L181" s="23">
        <f>IF($C181="","",INDEX(인턴근무계획!$N$3:$N$202,$A181)&amp;"")</f>
        <v/>
      </c>
      <c r="M181" s="23">
        <f>IF($C181="","",INDEX(인턴근무계획!$O$3:$O$202,$A181)&amp;"")</f>
        <v/>
      </c>
      <c r="N181" s="23">
        <f>IF($C181="","",INDEX(인턴근무계획!$P$3:$P$202,$A181)&amp;"")</f>
        <v/>
      </c>
      <c r="O181" s="23">
        <f>IF($C181="","",INDEX(인턴근무계획!$Q$3:$Q$202,$A181)&amp;"")</f>
        <v/>
      </c>
      <c r="P181" s="23">
        <f>IF($C181="","",INDEX(인턴근무계획!$R$3:$R$202,$A181)&amp;"")</f>
        <v/>
      </c>
      <c r="Q181" s="23">
        <f>IF($C181="","",INDEX(인턴근무계획!$T$3:$T$202,$A181))</f>
        <v/>
      </c>
    </row>
    <row r="182">
      <c r="A182" s="26" t="n">
        <v>177</v>
      </c>
      <c r="B182" s="23">
        <f>IF($C182="","",INDEX(인턴근무계획!$B$3:$B$202,$A182))</f>
        <v/>
      </c>
      <c r="C182" s="23">
        <f>IFERROR(TRIM(INDEX(인턴근무계획!$C$3:$C$202,$A182)&amp;""),"")</f>
        <v/>
      </c>
      <c r="D182" s="23">
        <f>IF($C182="","",INDEX(인턴근무계획!$D$3:$D$202,$A182))</f>
        <v/>
      </c>
      <c r="E182" s="23">
        <f>IF($C182="","",IF(IFERROR(MATCH($D182,기본자료!$B$2:$B$501,0),IFERROR(MATCH($D182&amp;"",기본자료!$B$2:$B$501,0),IFERROR(MATCH(VALUE($D182),기본자료!$B$2:$B$501,0),0)))&gt;0,"확인","미등록"))</f>
        <v/>
      </c>
      <c r="F182" s="27">
        <f>IF($C182="","",INDEX(인턴근무계획!$S$3:$S$202,$A182))</f>
        <v/>
      </c>
      <c r="G182" s="23">
        <f>IF(OR($C182="",$G$3=""),"",IF(INDEX(인턴근무계획!$M$3:$R$202,$A182,$G$3)&amp;""="","",IF(LEFT(INDEX(인턴근무계획!$M$3:$R$202,$A182,$G$3)&amp;"",1)="⚠",INDEX(인턴근무계획!$M$3:$R$202,$A182,$G$3)&amp;"",LEFT(INDEX(인턴근무계획!$M$3:$R$202,$A182,$G$3)&amp;"",FIND(" ",INDEX(인턴근무계획!$M$3:$R$202,$A182,$G$3)&amp;"")-1))))</f>
        <v/>
      </c>
      <c r="H182" s="23">
        <f>IF(OR($C182="",$G$3=""),"",IF(INDEX(인턴근무계획!$M$3:$R$202,$A182,$G$3)&amp;""="","",IF(LEFT(INDEX(인턴근무계획!$M$3:$R$202,$A182,$G$3)&amp;"",1)="⚠","",MID(INDEX(인턴근무계획!$M$3:$R$202,$A182,$G$3)&amp;"",FIND(" ",INDEX(인턴근무계획!$M$3:$R$202,$A182,$G$3)&amp;"")+1,60))))</f>
        <v/>
      </c>
      <c r="I182" s="23">
        <f>IF(OR($C182="",$I$3=""),"",IF(INDEX(인턴근무계획!$M$3:$R$202,$A182,$I$3)&amp;""="","",IF(LEFT(INDEX(인턴근무계획!$M$3:$R$202,$A182,$I$3)&amp;"",1)="⚠",INDEX(인턴근무계획!$M$3:$R$202,$A182,$I$3)&amp;"",LEFT(INDEX(인턴근무계획!$M$3:$R$202,$A182,$I$3)&amp;"",FIND(" ",INDEX(인턴근무계획!$M$3:$R$202,$A182,$I$3)&amp;"")-1))))</f>
        <v/>
      </c>
      <c r="J182" s="23">
        <f>IF(OR($C182="",$I$3=""),"",IF(INDEX(인턴근무계획!$M$3:$R$202,$A182,$I$3)&amp;""="","",IF(LEFT(INDEX(인턴근무계획!$M$3:$R$202,$A182,$I$3)&amp;"",1)="⚠","",MID(INDEX(인턴근무계획!$M$3:$R$202,$A182,$I$3)&amp;"",FIND(" ",INDEX(인턴근무계획!$M$3:$R$202,$A182,$I$3)&amp;"")+1,60))))</f>
        <v/>
      </c>
      <c r="K182" s="23">
        <f>IF($C182="","",INDEX(인턴근무계획!$M$3:$M$202,$A182)&amp;"")</f>
        <v/>
      </c>
      <c r="L182" s="23">
        <f>IF($C182="","",INDEX(인턴근무계획!$N$3:$N$202,$A182)&amp;"")</f>
        <v/>
      </c>
      <c r="M182" s="23">
        <f>IF($C182="","",INDEX(인턴근무계획!$O$3:$O$202,$A182)&amp;"")</f>
        <v/>
      </c>
      <c r="N182" s="23">
        <f>IF($C182="","",INDEX(인턴근무계획!$P$3:$P$202,$A182)&amp;"")</f>
        <v/>
      </c>
      <c r="O182" s="23">
        <f>IF($C182="","",INDEX(인턴근무계획!$Q$3:$Q$202,$A182)&amp;"")</f>
        <v/>
      </c>
      <c r="P182" s="23">
        <f>IF($C182="","",INDEX(인턴근무계획!$R$3:$R$202,$A182)&amp;"")</f>
        <v/>
      </c>
      <c r="Q182" s="23">
        <f>IF($C182="","",INDEX(인턴근무계획!$T$3:$T$202,$A182))</f>
        <v/>
      </c>
    </row>
    <row r="183">
      <c r="A183" s="26" t="n">
        <v>178</v>
      </c>
      <c r="B183" s="23">
        <f>IF($C183="","",INDEX(인턴근무계획!$B$3:$B$202,$A183))</f>
        <v/>
      </c>
      <c r="C183" s="23">
        <f>IFERROR(TRIM(INDEX(인턴근무계획!$C$3:$C$202,$A183)&amp;""),"")</f>
        <v/>
      </c>
      <c r="D183" s="23">
        <f>IF($C183="","",INDEX(인턴근무계획!$D$3:$D$202,$A183))</f>
        <v/>
      </c>
      <c r="E183" s="23">
        <f>IF($C183="","",IF(IFERROR(MATCH($D183,기본자료!$B$2:$B$501,0),IFERROR(MATCH($D183&amp;"",기본자료!$B$2:$B$501,0),IFERROR(MATCH(VALUE($D183),기본자료!$B$2:$B$501,0),0)))&gt;0,"확인","미등록"))</f>
        <v/>
      </c>
      <c r="F183" s="27">
        <f>IF($C183="","",INDEX(인턴근무계획!$S$3:$S$202,$A183))</f>
        <v/>
      </c>
      <c r="G183" s="23">
        <f>IF(OR($C183="",$G$3=""),"",IF(INDEX(인턴근무계획!$M$3:$R$202,$A183,$G$3)&amp;""="","",IF(LEFT(INDEX(인턴근무계획!$M$3:$R$202,$A183,$G$3)&amp;"",1)="⚠",INDEX(인턴근무계획!$M$3:$R$202,$A183,$G$3)&amp;"",LEFT(INDEX(인턴근무계획!$M$3:$R$202,$A183,$G$3)&amp;"",FIND(" ",INDEX(인턴근무계획!$M$3:$R$202,$A183,$G$3)&amp;"")-1))))</f>
        <v/>
      </c>
      <c r="H183" s="23">
        <f>IF(OR($C183="",$G$3=""),"",IF(INDEX(인턴근무계획!$M$3:$R$202,$A183,$G$3)&amp;""="","",IF(LEFT(INDEX(인턴근무계획!$M$3:$R$202,$A183,$G$3)&amp;"",1)="⚠","",MID(INDEX(인턴근무계획!$M$3:$R$202,$A183,$G$3)&amp;"",FIND(" ",INDEX(인턴근무계획!$M$3:$R$202,$A183,$G$3)&amp;"")+1,60))))</f>
        <v/>
      </c>
      <c r="I183" s="23">
        <f>IF(OR($C183="",$I$3=""),"",IF(INDEX(인턴근무계획!$M$3:$R$202,$A183,$I$3)&amp;""="","",IF(LEFT(INDEX(인턴근무계획!$M$3:$R$202,$A183,$I$3)&amp;"",1)="⚠",INDEX(인턴근무계획!$M$3:$R$202,$A183,$I$3)&amp;"",LEFT(INDEX(인턴근무계획!$M$3:$R$202,$A183,$I$3)&amp;"",FIND(" ",INDEX(인턴근무계획!$M$3:$R$202,$A183,$I$3)&amp;"")-1))))</f>
        <v/>
      </c>
      <c r="J183" s="23">
        <f>IF(OR($C183="",$I$3=""),"",IF(INDEX(인턴근무계획!$M$3:$R$202,$A183,$I$3)&amp;""="","",IF(LEFT(INDEX(인턴근무계획!$M$3:$R$202,$A183,$I$3)&amp;"",1)="⚠","",MID(INDEX(인턴근무계획!$M$3:$R$202,$A183,$I$3)&amp;"",FIND(" ",INDEX(인턴근무계획!$M$3:$R$202,$A183,$I$3)&amp;"")+1,60))))</f>
        <v/>
      </c>
      <c r="K183" s="23">
        <f>IF($C183="","",INDEX(인턴근무계획!$M$3:$M$202,$A183)&amp;"")</f>
        <v/>
      </c>
      <c r="L183" s="23">
        <f>IF($C183="","",INDEX(인턴근무계획!$N$3:$N$202,$A183)&amp;"")</f>
        <v/>
      </c>
      <c r="M183" s="23">
        <f>IF($C183="","",INDEX(인턴근무계획!$O$3:$O$202,$A183)&amp;"")</f>
        <v/>
      </c>
      <c r="N183" s="23">
        <f>IF($C183="","",INDEX(인턴근무계획!$P$3:$P$202,$A183)&amp;"")</f>
        <v/>
      </c>
      <c r="O183" s="23">
        <f>IF($C183="","",INDEX(인턴근무계획!$Q$3:$Q$202,$A183)&amp;"")</f>
        <v/>
      </c>
      <c r="P183" s="23">
        <f>IF($C183="","",INDEX(인턴근무계획!$R$3:$R$202,$A183)&amp;"")</f>
        <v/>
      </c>
      <c r="Q183" s="23">
        <f>IF($C183="","",INDEX(인턴근무계획!$T$3:$T$202,$A183))</f>
        <v/>
      </c>
    </row>
    <row r="184">
      <c r="A184" s="26" t="n">
        <v>179</v>
      </c>
      <c r="B184" s="23">
        <f>IF($C184="","",INDEX(인턴근무계획!$B$3:$B$202,$A184))</f>
        <v/>
      </c>
      <c r="C184" s="23">
        <f>IFERROR(TRIM(INDEX(인턴근무계획!$C$3:$C$202,$A184)&amp;""),"")</f>
        <v/>
      </c>
      <c r="D184" s="23">
        <f>IF($C184="","",INDEX(인턴근무계획!$D$3:$D$202,$A184))</f>
        <v/>
      </c>
      <c r="E184" s="23">
        <f>IF($C184="","",IF(IFERROR(MATCH($D184,기본자료!$B$2:$B$501,0),IFERROR(MATCH($D184&amp;"",기본자료!$B$2:$B$501,0),IFERROR(MATCH(VALUE($D184),기본자료!$B$2:$B$501,0),0)))&gt;0,"확인","미등록"))</f>
        <v/>
      </c>
      <c r="F184" s="27">
        <f>IF($C184="","",INDEX(인턴근무계획!$S$3:$S$202,$A184))</f>
        <v/>
      </c>
      <c r="G184" s="23">
        <f>IF(OR($C184="",$G$3=""),"",IF(INDEX(인턴근무계획!$M$3:$R$202,$A184,$G$3)&amp;""="","",IF(LEFT(INDEX(인턴근무계획!$M$3:$R$202,$A184,$G$3)&amp;"",1)="⚠",INDEX(인턴근무계획!$M$3:$R$202,$A184,$G$3)&amp;"",LEFT(INDEX(인턴근무계획!$M$3:$R$202,$A184,$G$3)&amp;"",FIND(" ",INDEX(인턴근무계획!$M$3:$R$202,$A184,$G$3)&amp;"")-1))))</f>
        <v/>
      </c>
      <c r="H184" s="23">
        <f>IF(OR($C184="",$G$3=""),"",IF(INDEX(인턴근무계획!$M$3:$R$202,$A184,$G$3)&amp;""="","",IF(LEFT(INDEX(인턴근무계획!$M$3:$R$202,$A184,$G$3)&amp;"",1)="⚠","",MID(INDEX(인턴근무계획!$M$3:$R$202,$A184,$G$3)&amp;"",FIND(" ",INDEX(인턴근무계획!$M$3:$R$202,$A184,$G$3)&amp;"")+1,60))))</f>
        <v/>
      </c>
      <c r="I184" s="23">
        <f>IF(OR($C184="",$I$3=""),"",IF(INDEX(인턴근무계획!$M$3:$R$202,$A184,$I$3)&amp;""="","",IF(LEFT(INDEX(인턴근무계획!$M$3:$R$202,$A184,$I$3)&amp;"",1)="⚠",INDEX(인턴근무계획!$M$3:$R$202,$A184,$I$3)&amp;"",LEFT(INDEX(인턴근무계획!$M$3:$R$202,$A184,$I$3)&amp;"",FIND(" ",INDEX(인턴근무계획!$M$3:$R$202,$A184,$I$3)&amp;"")-1))))</f>
        <v/>
      </c>
      <c r="J184" s="23">
        <f>IF(OR($C184="",$I$3=""),"",IF(INDEX(인턴근무계획!$M$3:$R$202,$A184,$I$3)&amp;""="","",IF(LEFT(INDEX(인턴근무계획!$M$3:$R$202,$A184,$I$3)&amp;"",1)="⚠","",MID(INDEX(인턴근무계획!$M$3:$R$202,$A184,$I$3)&amp;"",FIND(" ",INDEX(인턴근무계획!$M$3:$R$202,$A184,$I$3)&amp;"")+1,60))))</f>
        <v/>
      </c>
      <c r="K184" s="23">
        <f>IF($C184="","",INDEX(인턴근무계획!$M$3:$M$202,$A184)&amp;"")</f>
        <v/>
      </c>
      <c r="L184" s="23">
        <f>IF($C184="","",INDEX(인턴근무계획!$N$3:$N$202,$A184)&amp;"")</f>
        <v/>
      </c>
      <c r="M184" s="23">
        <f>IF($C184="","",INDEX(인턴근무계획!$O$3:$O$202,$A184)&amp;"")</f>
        <v/>
      </c>
      <c r="N184" s="23">
        <f>IF($C184="","",INDEX(인턴근무계획!$P$3:$P$202,$A184)&amp;"")</f>
        <v/>
      </c>
      <c r="O184" s="23">
        <f>IF($C184="","",INDEX(인턴근무계획!$Q$3:$Q$202,$A184)&amp;"")</f>
        <v/>
      </c>
      <c r="P184" s="23">
        <f>IF($C184="","",INDEX(인턴근무계획!$R$3:$R$202,$A184)&amp;"")</f>
        <v/>
      </c>
      <c r="Q184" s="23">
        <f>IF($C184="","",INDEX(인턴근무계획!$T$3:$T$202,$A184))</f>
        <v/>
      </c>
    </row>
    <row r="185">
      <c r="A185" s="26" t="n">
        <v>180</v>
      </c>
      <c r="B185" s="23">
        <f>IF($C185="","",INDEX(인턴근무계획!$B$3:$B$202,$A185))</f>
        <v/>
      </c>
      <c r="C185" s="23">
        <f>IFERROR(TRIM(INDEX(인턴근무계획!$C$3:$C$202,$A185)&amp;""),"")</f>
        <v/>
      </c>
      <c r="D185" s="23">
        <f>IF($C185="","",INDEX(인턴근무계획!$D$3:$D$202,$A185))</f>
        <v/>
      </c>
      <c r="E185" s="23">
        <f>IF($C185="","",IF(IFERROR(MATCH($D185,기본자료!$B$2:$B$501,0),IFERROR(MATCH($D185&amp;"",기본자료!$B$2:$B$501,0),IFERROR(MATCH(VALUE($D185),기본자료!$B$2:$B$501,0),0)))&gt;0,"확인","미등록"))</f>
        <v/>
      </c>
      <c r="F185" s="27">
        <f>IF($C185="","",INDEX(인턴근무계획!$S$3:$S$202,$A185))</f>
        <v/>
      </c>
      <c r="G185" s="23">
        <f>IF(OR($C185="",$G$3=""),"",IF(INDEX(인턴근무계획!$M$3:$R$202,$A185,$G$3)&amp;""="","",IF(LEFT(INDEX(인턴근무계획!$M$3:$R$202,$A185,$G$3)&amp;"",1)="⚠",INDEX(인턴근무계획!$M$3:$R$202,$A185,$G$3)&amp;"",LEFT(INDEX(인턴근무계획!$M$3:$R$202,$A185,$G$3)&amp;"",FIND(" ",INDEX(인턴근무계획!$M$3:$R$202,$A185,$G$3)&amp;"")-1))))</f>
        <v/>
      </c>
      <c r="H185" s="23">
        <f>IF(OR($C185="",$G$3=""),"",IF(INDEX(인턴근무계획!$M$3:$R$202,$A185,$G$3)&amp;""="","",IF(LEFT(INDEX(인턴근무계획!$M$3:$R$202,$A185,$G$3)&amp;"",1)="⚠","",MID(INDEX(인턴근무계획!$M$3:$R$202,$A185,$G$3)&amp;"",FIND(" ",INDEX(인턴근무계획!$M$3:$R$202,$A185,$G$3)&amp;"")+1,60))))</f>
        <v/>
      </c>
      <c r="I185" s="23">
        <f>IF(OR($C185="",$I$3=""),"",IF(INDEX(인턴근무계획!$M$3:$R$202,$A185,$I$3)&amp;""="","",IF(LEFT(INDEX(인턴근무계획!$M$3:$R$202,$A185,$I$3)&amp;"",1)="⚠",INDEX(인턴근무계획!$M$3:$R$202,$A185,$I$3)&amp;"",LEFT(INDEX(인턴근무계획!$M$3:$R$202,$A185,$I$3)&amp;"",FIND(" ",INDEX(인턴근무계획!$M$3:$R$202,$A185,$I$3)&amp;"")-1))))</f>
        <v/>
      </c>
      <c r="J185" s="23">
        <f>IF(OR($C185="",$I$3=""),"",IF(INDEX(인턴근무계획!$M$3:$R$202,$A185,$I$3)&amp;""="","",IF(LEFT(INDEX(인턴근무계획!$M$3:$R$202,$A185,$I$3)&amp;"",1)="⚠","",MID(INDEX(인턴근무계획!$M$3:$R$202,$A185,$I$3)&amp;"",FIND(" ",INDEX(인턴근무계획!$M$3:$R$202,$A185,$I$3)&amp;"")+1,60))))</f>
        <v/>
      </c>
      <c r="K185" s="23">
        <f>IF($C185="","",INDEX(인턴근무계획!$M$3:$M$202,$A185)&amp;"")</f>
        <v/>
      </c>
      <c r="L185" s="23">
        <f>IF($C185="","",INDEX(인턴근무계획!$N$3:$N$202,$A185)&amp;"")</f>
        <v/>
      </c>
      <c r="M185" s="23">
        <f>IF($C185="","",INDEX(인턴근무계획!$O$3:$O$202,$A185)&amp;"")</f>
        <v/>
      </c>
      <c r="N185" s="23">
        <f>IF($C185="","",INDEX(인턴근무계획!$P$3:$P$202,$A185)&amp;"")</f>
        <v/>
      </c>
      <c r="O185" s="23">
        <f>IF($C185="","",INDEX(인턴근무계획!$Q$3:$Q$202,$A185)&amp;"")</f>
        <v/>
      </c>
      <c r="P185" s="23">
        <f>IF($C185="","",INDEX(인턴근무계획!$R$3:$R$202,$A185)&amp;"")</f>
        <v/>
      </c>
      <c r="Q185" s="23">
        <f>IF($C185="","",INDEX(인턴근무계획!$T$3:$T$202,$A185))</f>
        <v/>
      </c>
    </row>
    <row r="186">
      <c r="A186" s="26" t="n">
        <v>181</v>
      </c>
      <c r="B186" s="23">
        <f>IF($C186="","",INDEX(인턴근무계획!$B$3:$B$202,$A186))</f>
        <v/>
      </c>
      <c r="C186" s="23">
        <f>IFERROR(TRIM(INDEX(인턴근무계획!$C$3:$C$202,$A186)&amp;""),"")</f>
        <v/>
      </c>
      <c r="D186" s="23">
        <f>IF($C186="","",INDEX(인턴근무계획!$D$3:$D$202,$A186))</f>
        <v/>
      </c>
      <c r="E186" s="23">
        <f>IF($C186="","",IF(IFERROR(MATCH($D186,기본자료!$B$2:$B$501,0),IFERROR(MATCH($D186&amp;"",기본자료!$B$2:$B$501,0),IFERROR(MATCH(VALUE($D186),기본자료!$B$2:$B$501,0),0)))&gt;0,"확인","미등록"))</f>
        <v/>
      </c>
      <c r="F186" s="27">
        <f>IF($C186="","",INDEX(인턴근무계획!$S$3:$S$202,$A186))</f>
        <v/>
      </c>
      <c r="G186" s="23">
        <f>IF(OR($C186="",$G$3=""),"",IF(INDEX(인턴근무계획!$M$3:$R$202,$A186,$G$3)&amp;""="","",IF(LEFT(INDEX(인턴근무계획!$M$3:$R$202,$A186,$G$3)&amp;"",1)="⚠",INDEX(인턴근무계획!$M$3:$R$202,$A186,$G$3)&amp;"",LEFT(INDEX(인턴근무계획!$M$3:$R$202,$A186,$G$3)&amp;"",FIND(" ",INDEX(인턴근무계획!$M$3:$R$202,$A186,$G$3)&amp;"")-1))))</f>
        <v/>
      </c>
      <c r="H186" s="23">
        <f>IF(OR($C186="",$G$3=""),"",IF(INDEX(인턴근무계획!$M$3:$R$202,$A186,$G$3)&amp;""="","",IF(LEFT(INDEX(인턴근무계획!$M$3:$R$202,$A186,$G$3)&amp;"",1)="⚠","",MID(INDEX(인턴근무계획!$M$3:$R$202,$A186,$G$3)&amp;"",FIND(" ",INDEX(인턴근무계획!$M$3:$R$202,$A186,$G$3)&amp;"")+1,60))))</f>
        <v/>
      </c>
      <c r="I186" s="23">
        <f>IF(OR($C186="",$I$3=""),"",IF(INDEX(인턴근무계획!$M$3:$R$202,$A186,$I$3)&amp;""="","",IF(LEFT(INDEX(인턴근무계획!$M$3:$R$202,$A186,$I$3)&amp;"",1)="⚠",INDEX(인턴근무계획!$M$3:$R$202,$A186,$I$3)&amp;"",LEFT(INDEX(인턴근무계획!$M$3:$R$202,$A186,$I$3)&amp;"",FIND(" ",INDEX(인턴근무계획!$M$3:$R$202,$A186,$I$3)&amp;"")-1))))</f>
        <v/>
      </c>
      <c r="J186" s="23">
        <f>IF(OR($C186="",$I$3=""),"",IF(INDEX(인턴근무계획!$M$3:$R$202,$A186,$I$3)&amp;""="","",IF(LEFT(INDEX(인턴근무계획!$M$3:$R$202,$A186,$I$3)&amp;"",1)="⚠","",MID(INDEX(인턴근무계획!$M$3:$R$202,$A186,$I$3)&amp;"",FIND(" ",INDEX(인턴근무계획!$M$3:$R$202,$A186,$I$3)&amp;"")+1,60))))</f>
        <v/>
      </c>
      <c r="K186" s="23">
        <f>IF($C186="","",INDEX(인턴근무계획!$M$3:$M$202,$A186)&amp;"")</f>
        <v/>
      </c>
      <c r="L186" s="23">
        <f>IF($C186="","",INDEX(인턴근무계획!$N$3:$N$202,$A186)&amp;"")</f>
        <v/>
      </c>
      <c r="M186" s="23">
        <f>IF($C186="","",INDEX(인턴근무계획!$O$3:$O$202,$A186)&amp;"")</f>
        <v/>
      </c>
      <c r="N186" s="23">
        <f>IF($C186="","",INDEX(인턴근무계획!$P$3:$P$202,$A186)&amp;"")</f>
        <v/>
      </c>
      <c r="O186" s="23">
        <f>IF($C186="","",INDEX(인턴근무계획!$Q$3:$Q$202,$A186)&amp;"")</f>
        <v/>
      </c>
      <c r="P186" s="23">
        <f>IF($C186="","",INDEX(인턴근무계획!$R$3:$R$202,$A186)&amp;"")</f>
        <v/>
      </c>
      <c r="Q186" s="23">
        <f>IF($C186="","",INDEX(인턴근무계획!$T$3:$T$202,$A186))</f>
        <v/>
      </c>
    </row>
    <row r="187">
      <c r="A187" s="26" t="n">
        <v>182</v>
      </c>
      <c r="B187" s="23">
        <f>IF($C187="","",INDEX(인턴근무계획!$B$3:$B$202,$A187))</f>
        <v/>
      </c>
      <c r="C187" s="23">
        <f>IFERROR(TRIM(INDEX(인턴근무계획!$C$3:$C$202,$A187)&amp;""),"")</f>
        <v/>
      </c>
      <c r="D187" s="23">
        <f>IF($C187="","",INDEX(인턴근무계획!$D$3:$D$202,$A187))</f>
        <v/>
      </c>
      <c r="E187" s="23">
        <f>IF($C187="","",IF(IFERROR(MATCH($D187,기본자료!$B$2:$B$501,0),IFERROR(MATCH($D187&amp;"",기본자료!$B$2:$B$501,0),IFERROR(MATCH(VALUE($D187),기본자료!$B$2:$B$501,0),0)))&gt;0,"확인","미등록"))</f>
        <v/>
      </c>
      <c r="F187" s="27">
        <f>IF($C187="","",INDEX(인턴근무계획!$S$3:$S$202,$A187))</f>
        <v/>
      </c>
      <c r="G187" s="23">
        <f>IF(OR($C187="",$G$3=""),"",IF(INDEX(인턴근무계획!$M$3:$R$202,$A187,$G$3)&amp;""="","",IF(LEFT(INDEX(인턴근무계획!$M$3:$R$202,$A187,$G$3)&amp;"",1)="⚠",INDEX(인턴근무계획!$M$3:$R$202,$A187,$G$3)&amp;"",LEFT(INDEX(인턴근무계획!$M$3:$R$202,$A187,$G$3)&amp;"",FIND(" ",INDEX(인턴근무계획!$M$3:$R$202,$A187,$G$3)&amp;"")-1))))</f>
        <v/>
      </c>
      <c r="H187" s="23">
        <f>IF(OR($C187="",$G$3=""),"",IF(INDEX(인턴근무계획!$M$3:$R$202,$A187,$G$3)&amp;""="","",IF(LEFT(INDEX(인턴근무계획!$M$3:$R$202,$A187,$G$3)&amp;"",1)="⚠","",MID(INDEX(인턴근무계획!$M$3:$R$202,$A187,$G$3)&amp;"",FIND(" ",INDEX(인턴근무계획!$M$3:$R$202,$A187,$G$3)&amp;"")+1,60))))</f>
        <v/>
      </c>
      <c r="I187" s="23">
        <f>IF(OR($C187="",$I$3=""),"",IF(INDEX(인턴근무계획!$M$3:$R$202,$A187,$I$3)&amp;""="","",IF(LEFT(INDEX(인턴근무계획!$M$3:$R$202,$A187,$I$3)&amp;"",1)="⚠",INDEX(인턴근무계획!$M$3:$R$202,$A187,$I$3)&amp;"",LEFT(INDEX(인턴근무계획!$M$3:$R$202,$A187,$I$3)&amp;"",FIND(" ",INDEX(인턴근무계획!$M$3:$R$202,$A187,$I$3)&amp;"")-1))))</f>
        <v/>
      </c>
      <c r="J187" s="23">
        <f>IF(OR($C187="",$I$3=""),"",IF(INDEX(인턴근무계획!$M$3:$R$202,$A187,$I$3)&amp;""="","",IF(LEFT(INDEX(인턴근무계획!$M$3:$R$202,$A187,$I$3)&amp;"",1)="⚠","",MID(INDEX(인턴근무계획!$M$3:$R$202,$A187,$I$3)&amp;"",FIND(" ",INDEX(인턴근무계획!$M$3:$R$202,$A187,$I$3)&amp;"")+1,60))))</f>
        <v/>
      </c>
      <c r="K187" s="23">
        <f>IF($C187="","",INDEX(인턴근무계획!$M$3:$M$202,$A187)&amp;"")</f>
        <v/>
      </c>
      <c r="L187" s="23">
        <f>IF($C187="","",INDEX(인턴근무계획!$N$3:$N$202,$A187)&amp;"")</f>
        <v/>
      </c>
      <c r="M187" s="23">
        <f>IF($C187="","",INDEX(인턴근무계획!$O$3:$O$202,$A187)&amp;"")</f>
        <v/>
      </c>
      <c r="N187" s="23">
        <f>IF($C187="","",INDEX(인턴근무계획!$P$3:$P$202,$A187)&amp;"")</f>
        <v/>
      </c>
      <c r="O187" s="23">
        <f>IF($C187="","",INDEX(인턴근무계획!$Q$3:$Q$202,$A187)&amp;"")</f>
        <v/>
      </c>
      <c r="P187" s="23">
        <f>IF($C187="","",INDEX(인턴근무계획!$R$3:$R$202,$A187)&amp;"")</f>
        <v/>
      </c>
      <c r="Q187" s="23">
        <f>IF($C187="","",INDEX(인턴근무계획!$T$3:$T$202,$A187))</f>
        <v/>
      </c>
    </row>
    <row r="188">
      <c r="A188" s="26" t="n">
        <v>183</v>
      </c>
      <c r="B188" s="23">
        <f>IF($C188="","",INDEX(인턴근무계획!$B$3:$B$202,$A188))</f>
        <v/>
      </c>
      <c r="C188" s="23">
        <f>IFERROR(TRIM(INDEX(인턴근무계획!$C$3:$C$202,$A188)&amp;""),"")</f>
        <v/>
      </c>
      <c r="D188" s="23">
        <f>IF($C188="","",INDEX(인턴근무계획!$D$3:$D$202,$A188))</f>
        <v/>
      </c>
      <c r="E188" s="23">
        <f>IF($C188="","",IF(IFERROR(MATCH($D188,기본자료!$B$2:$B$501,0),IFERROR(MATCH($D188&amp;"",기본자료!$B$2:$B$501,0),IFERROR(MATCH(VALUE($D188),기본자료!$B$2:$B$501,0),0)))&gt;0,"확인","미등록"))</f>
        <v/>
      </c>
      <c r="F188" s="27">
        <f>IF($C188="","",INDEX(인턴근무계획!$S$3:$S$202,$A188))</f>
        <v/>
      </c>
      <c r="G188" s="23">
        <f>IF(OR($C188="",$G$3=""),"",IF(INDEX(인턴근무계획!$M$3:$R$202,$A188,$G$3)&amp;""="","",IF(LEFT(INDEX(인턴근무계획!$M$3:$R$202,$A188,$G$3)&amp;"",1)="⚠",INDEX(인턴근무계획!$M$3:$R$202,$A188,$G$3)&amp;"",LEFT(INDEX(인턴근무계획!$M$3:$R$202,$A188,$G$3)&amp;"",FIND(" ",INDEX(인턴근무계획!$M$3:$R$202,$A188,$G$3)&amp;"")-1))))</f>
        <v/>
      </c>
      <c r="H188" s="23">
        <f>IF(OR($C188="",$G$3=""),"",IF(INDEX(인턴근무계획!$M$3:$R$202,$A188,$G$3)&amp;""="","",IF(LEFT(INDEX(인턴근무계획!$M$3:$R$202,$A188,$G$3)&amp;"",1)="⚠","",MID(INDEX(인턴근무계획!$M$3:$R$202,$A188,$G$3)&amp;"",FIND(" ",INDEX(인턴근무계획!$M$3:$R$202,$A188,$G$3)&amp;"")+1,60))))</f>
        <v/>
      </c>
      <c r="I188" s="23">
        <f>IF(OR($C188="",$I$3=""),"",IF(INDEX(인턴근무계획!$M$3:$R$202,$A188,$I$3)&amp;""="","",IF(LEFT(INDEX(인턴근무계획!$M$3:$R$202,$A188,$I$3)&amp;"",1)="⚠",INDEX(인턴근무계획!$M$3:$R$202,$A188,$I$3)&amp;"",LEFT(INDEX(인턴근무계획!$M$3:$R$202,$A188,$I$3)&amp;"",FIND(" ",INDEX(인턴근무계획!$M$3:$R$202,$A188,$I$3)&amp;"")-1))))</f>
        <v/>
      </c>
      <c r="J188" s="23">
        <f>IF(OR($C188="",$I$3=""),"",IF(INDEX(인턴근무계획!$M$3:$R$202,$A188,$I$3)&amp;""="","",IF(LEFT(INDEX(인턴근무계획!$M$3:$R$202,$A188,$I$3)&amp;"",1)="⚠","",MID(INDEX(인턴근무계획!$M$3:$R$202,$A188,$I$3)&amp;"",FIND(" ",INDEX(인턴근무계획!$M$3:$R$202,$A188,$I$3)&amp;"")+1,60))))</f>
        <v/>
      </c>
      <c r="K188" s="23">
        <f>IF($C188="","",INDEX(인턴근무계획!$M$3:$M$202,$A188)&amp;"")</f>
        <v/>
      </c>
      <c r="L188" s="23">
        <f>IF($C188="","",INDEX(인턴근무계획!$N$3:$N$202,$A188)&amp;"")</f>
        <v/>
      </c>
      <c r="M188" s="23">
        <f>IF($C188="","",INDEX(인턴근무계획!$O$3:$O$202,$A188)&amp;"")</f>
        <v/>
      </c>
      <c r="N188" s="23">
        <f>IF($C188="","",INDEX(인턴근무계획!$P$3:$P$202,$A188)&amp;"")</f>
        <v/>
      </c>
      <c r="O188" s="23">
        <f>IF($C188="","",INDEX(인턴근무계획!$Q$3:$Q$202,$A188)&amp;"")</f>
        <v/>
      </c>
      <c r="P188" s="23">
        <f>IF($C188="","",INDEX(인턴근무계획!$R$3:$R$202,$A188)&amp;"")</f>
        <v/>
      </c>
      <c r="Q188" s="23">
        <f>IF($C188="","",INDEX(인턴근무계획!$T$3:$T$202,$A188))</f>
        <v/>
      </c>
    </row>
    <row r="189">
      <c r="A189" s="26" t="n">
        <v>184</v>
      </c>
      <c r="B189" s="23">
        <f>IF($C189="","",INDEX(인턴근무계획!$B$3:$B$202,$A189))</f>
        <v/>
      </c>
      <c r="C189" s="23">
        <f>IFERROR(TRIM(INDEX(인턴근무계획!$C$3:$C$202,$A189)&amp;""),"")</f>
        <v/>
      </c>
      <c r="D189" s="23">
        <f>IF($C189="","",INDEX(인턴근무계획!$D$3:$D$202,$A189))</f>
        <v/>
      </c>
      <c r="E189" s="23">
        <f>IF($C189="","",IF(IFERROR(MATCH($D189,기본자료!$B$2:$B$501,0),IFERROR(MATCH($D189&amp;"",기본자료!$B$2:$B$501,0),IFERROR(MATCH(VALUE($D189),기본자료!$B$2:$B$501,0),0)))&gt;0,"확인","미등록"))</f>
        <v/>
      </c>
      <c r="F189" s="27">
        <f>IF($C189="","",INDEX(인턴근무계획!$S$3:$S$202,$A189))</f>
        <v/>
      </c>
      <c r="G189" s="23">
        <f>IF(OR($C189="",$G$3=""),"",IF(INDEX(인턴근무계획!$M$3:$R$202,$A189,$G$3)&amp;""="","",IF(LEFT(INDEX(인턴근무계획!$M$3:$R$202,$A189,$G$3)&amp;"",1)="⚠",INDEX(인턴근무계획!$M$3:$R$202,$A189,$G$3)&amp;"",LEFT(INDEX(인턴근무계획!$M$3:$R$202,$A189,$G$3)&amp;"",FIND(" ",INDEX(인턴근무계획!$M$3:$R$202,$A189,$G$3)&amp;"")-1))))</f>
        <v/>
      </c>
      <c r="H189" s="23">
        <f>IF(OR($C189="",$G$3=""),"",IF(INDEX(인턴근무계획!$M$3:$R$202,$A189,$G$3)&amp;""="","",IF(LEFT(INDEX(인턴근무계획!$M$3:$R$202,$A189,$G$3)&amp;"",1)="⚠","",MID(INDEX(인턴근무계획!$M$3:$R$202,$A189,$G$3)&amp;"",FIND(" ",INDEX(인턴근무계획!$M$3:$R$202,$A189,$G$3)&amp;"")+1,60))))</f>
        <v/>
      </c>
      <c r="I189" s="23">
        <f>IF(OR($C189="",$I$3=""),"",IF(INDEX(인턴근무계획!$M$3:$R$202,$A189,$I$3)&amp;""="","",IF(LEFT(INDEX(인턴근무계획!$M$3:$R$202,$A189,$I$3)&amp;"",1)="⚠",INDEX(인턴근무계획!$M$3:$R$202,$A189,$I$3)&amp;"",LEFT(INDEX(인턴근무계획!$M$3:$R$202,$A189,$I$3)&amp;"",FIND(" ",INDEX(인턴근무계획!$M$3:$R$202,$A189,$I$3)&amp;"")-1))))</f>
        <v/>
      </c>
      <c r="J189" s="23">
        <f>IF(OR($C189="",$I$3=""),"",IF(INDEX(인턴근무계획!$M$3:$R$202,$A189,$I$3)&amp;""="","",IF(LEFT(INDEX(인턴근무계획!$M$3:$R$202,$A189,$I$3)&amp;"",1)="⚠","",MID(INDEX(인턴근무계획!$M$3:$R$202,$A189,$I$3)&amp;"",FIND(" ",INDEX(인턴근무계획!$M$3:$R$202,$A189,$I$3)&amp;"")+1,60))))</f>
        <v/>
      </c>
      <c r="K189" s="23">
        <f>IF($C189="","",INDEX(인턴근무계획!$M$3:$M$202,$A189)&amp;"")</f>
        <v/>
      </c>
      <c r="L189" s="23">
        <f>IF($C189="","",INDEX(인턴근무계획!$N$3:$N$202,$A189)&amp;"")</f>
        <v/>
      </c>
      <c r="M189" s="23">
        <f>IF($C189="","",INDEX(인턴근무계획!$O$3:$O$202,$A189)&amp;"")</f>
        <v/>
      </c>
      <c r="N189" s="23">
        <f>IF($C189="","",INDEX(인턴근무계획!$P$3:$P$202,$A189)&amp;"")</f>
        <v/>
      </c>
      <c r="O189" s="23">
        <f>IF($C189="","",INDEX(인턴근무계획!$Q$3:$Q$202,$A189)&amp;"")</f>
        <v/>
      </c>
      <c r="P189" s="23">
        <f>IF($C189="","",INDEX(인턴근무계획!$R$3:$R$202,$A189)&amp;"")</f>
        <v/>
      </c>
      <c r="Q189" s="23">
        <f>IF($C189="","",INDEX(인턴근무계획!$T$3:$T$202,$A189))</f>
        <v/>
      </c>
    </row>
    <row r="190">
      <c r="A190" s="26" t="n">
        <v>185</v>
      </c>
      <c r="B190" s="23">
        <f>IF($C190="","",INDEX(인턴근무계획!$B$3:$B$202,$A190))</f>
        <v/>
      </c>
      <c r="C190" s="23">
        <f>IFERROR(TRIM(INDEX(인턴근무계획!$C$3:$C$202,$A190)&amp;""),"")</f>
        <v/>
      </c>
      <c r="D190" s="23">
        <f>IF($C190="","",INDEX(인턴근무계획!$D$3:$D$202,$A190))</f>
        <v/>
      </c>
      <c r="E190" s="23">
        <f>IF($C190="","",IF(IFERROR(MATCH($D190,기본자료!$B$2:$B$501,0),IFERROR(MATCH($D190&amp;"",기본자료!$B$2:$B$501,0),IFERROR(MATCH(VALUE($D190),기본자료!$B$2:$B$501,0),0)))&gt;0,"확인","미등록"))</f>
        <v/>
      </c>
      <c r="F190" s="27">
        <f>IF($C190="","",INDEX(인턴근무계획!$S$3:$S$202,$A190))</f>
        <v/>
      </c>
      <c r="G190" s="23">
        <f>IF(OR($C190="",$G$3=""),"",IF(INDEX(인턴근무계획!$M$3:$R$202,$A190,$G$3)&amp;""="","",IF(LEFT(INDEX(인턴근무계획!$M$3:$R$202,$A190,$G$3)&amp;"",1)="⚠",INDEX(인턴근무계획!$M$3:$R$202,$A190,$G$3)&amp;"",LEFT(INDEX(인턴근무계획!$M$3:$R$202,$A190,$G$3)&amp;"",FIND(" ",INDEX(인턴근무계획!$M$3:$R$202,$A190,$G$3)&amp;"")-1))))</f>
        <v/>
      </c>
      <c r="H190" s="23">
        <f>IF(OR($C190="",$G$3=""),"",IF(INDEX(인턴근무계획!$M$3:$R$202,$A190,$G$3)&amp;""="","",IF(LEFT(INDEX(인턴근무계획!$M$3:$R$202,$A190,$G$3)&amp;"",1)="⚠","",MID(INDEX(인턴근무계획!$M$3:$R$202,$A190,$G$3)&amp;"",FIND(" ",INDEX(인턴근무계획!$M$3:$R$202,$A190,$G$3)&amp;"")+1,60))))</f>
        <v/>
      </c>
      <c r="I190" s="23">
        <f>IF(OR($C190="",$I$3=""),"",IF(INDEX(인턴근무계획!$M$3:$R$202,$A190,$I$3)&amp;""="","",IF(LEFT(INDEX(인턴근무계획!$M$3:$R$202,$A190,$I$3)&amp;"",1)="⚠",INDEX(인턴근무계획!$M$3:$R$202,$A190,$I$3)&amp;"",LEFT(INDEX(인턴근무계획!$M$3:$R$202,$A190,$I$3)&amp;"",FIND(" ",INDEX(인턴근무계획!$M$3:$R$202,$A190,$I$3)&amp;"")-1))))</f>
        <v/>
      </c>
      <c r="J190" s="23">
        <f>IF(OR($C190="",$I$3=""),"",IF(INDEX(인턴근무계획!$M$3:$R$202,$A190,$I$3)&amp;""="","",IF(LEFT(INDEX(인턴근무계획!$M$3:$R$202,$A190,$I$3)&amp;"",1)="⚠","",MID(INDEX(인턴근무계획!$M$3:$R$202,$A190,$I$3)&amp;"",FIND(" ",INDEX(인턴근무계획!$M$3:$R$202,$A190,$I$3)&amp;"")+1,60))))</f>
        <v/>
      </c>
      <c r="K190" s="23">
        <f>IF($C190="","",INDEX(인턴근무계획!$M$3:$M$202,$A190)&amp;"")</f>
        <v/>
      </c>
      <c r="L190" s="23">
        <f>IF($C190="","",INDEX(인턴근무계획!$N$3:$N$202,$A190)&amp;"")</f>
        <v/>
      </c>
      <c r="M190" s="23">
        <f>IF($C190="","",INDEX(인턴근무계획!$O$3:$O$202,$A190)&amp;"")</f>
        <v/>
      </c>
      <c r="N190" s="23">
        <f>IF($C190="","",INDEX(인턴근무계획!$P$3:$P$202,$A190)&amp;"")</f>
        <v/>
      </c>
      <c r="O190" s="23">
        <f>IF($C190="","",INDEX(인턴근무계획!$Q$3:$Q$202,$A190)&amp;"")</f>
        <v/>
      </c>
      <c r="P190" s="23">
        <f>IF($C190="","",INDEX(인턴근무계획!$R$3:$R$202,$A190)&amp;"")</f>
        <v/>
      </c>
      <c r="Q190" s="23">
        <f>IF($C190="","",INDEX(인턴근무계획!$T$3:$T$202,$A190))</f>
        <v/>
      </c>
    </row>
    <row r="191">
      <c r="A191" s="26" t="n">
        <v>186</v>
      </c>
      <c r="B191" s="23">
        <f>IF($C191="","",INDEX(인턴근무계획!$B$3:$B$202,$A191))</f>
        <v/>
      </c>
      <c r="C191" s="23">
        <f>IFERROR(TRIM(INDEX(인턴근무계획!$C$3:$C$202,$A191)&amp;""),"")</f>
        <v/>
      </c>
      <c r="D191" s="23">
        <f>IF($C191="","",INDEX(인턴근무계획!$D$3:$D$202,$A191))</f>
        <v/>
      </c>
      <c r="E191" s="23">
        <f>IF($C191="","",IF(IFERROR(MATCH($D191,기본자료!$B$2:$B$501,0),IFERROR(MATCH($D191&amp;"",기본자료!$B$2:$B$501,0),IFERROR(MATCH(VALUE($D191),기본자료!$B$2:$B$501,0),0)))&gt;0,"확인","미등록"))</f>
        <v/>
      </c>
      <c r="F191" s="27">
        <f>IF($C191="","",INDEX(인턴근무계획!$S$3:$S$202,$A191))</f>
        <v/>
      </c>
      <c r="G191" s="23">
        <f>IF(OR($C191="",$G$3=""),"",IF(INDEX(인턴근무계획!$M$3:$R$202,$A191,$G$3)&amp;""="","",IF(LEFT(INDEX(인턴근무계획!$M$3:$R$202,$A191,$G$3)&amp;"",1)="⚠",INDEX(인턴근무계획!$M$3:$R$202,$A191,$G$3)&amp;"",LEFT(INDEX(인턴근무계획!$M$3:$R$202,$A191,$G$3)&amp;"",FIND(" ",INDEX(인턴근무계획!$M$3:$R$202,$A191,$G$3)&amp;"")-1))))</f>
        <v/>
      </c>
      <c r="H191" s="23">
        <f>IF(OR($C191="",$G$3=""),"",IF(INDEX(인턴근무계획!$M$3:$R$202,$A191,$G$3)&amp;""="","",IF(LEFT(INDEX(인턴근무계획!$M$3:$R$202,$A191,$G$3)&amp;"",1)="⚠","",MID(INDEX(인턴근무계획!$M$3:$R$202,$A191,$G$3)&amp;"",FIND(" ",INDEX(인턴근무계획!$M$3:$R$202,$A191,$G$3)&amp;"")+1,60))))</f>
        <v/>
      </c>
      <c r="I191" s="23">
        <f>IF(OR($C191="",$I$3=""),"",IF(INDEX(인턴근무계획!$M$3:$R$202,$A191,$I$3)&amp;""="","",IF(LEFT(INDEX(인턴근무계획!$M$3:$R$202,$A191,$I$3)&amp;"",1)="⚠",INDEX(인턴근무계획!$M$3:$R$202,$A191,$I$3)&amp;"",LEFT(INDEX(인턴근무계획!$M$3:$R$202,$A191,$I$3)&amp;"",FIND(" ",INDEX(인턴근무계획!$M$3:$R$202,$A191,$I$3)&amp;"")-1))))</f>
        <v/>
      </c>
      <c r="J191" s="23">
        <f>IF(OR($C191="",$I$3=""),"",IF(INDEX(인턴근무계획!$M$3:$R$202,$A191,$I$3)&amp;""="","",IF(LEFT(INDEX(인턴근무계획!$M$3:$R$202,$A191,$I$3)&amp;"",1)="⚠","",MID(INDEX(인턴근무계획!$M$3:$R$202,$A191,$I$3)&amp;"",FIND(" ",INDEX(인턴근무계획!$M$3:$R$202,$A191,$I$3)&amp;"")+1,60))))</f>
        <v/>
      </c>
      <c r="K191" s="23">
        <f>IF($C191="","",INDEX(인턴근무계획!$M$3:$M$202,$A191)&amp;"")</f>
        <v/>
      </c>
      <c r="L191" s="23">
        <f>IF($C191="","",INDEX(인턴근무계획!$N$3:$N$202,$A191)&amp;"")</f>
        <v/>
      </c>
      <c r="M191" s="23">
        <f>IF($C191="","",INDEX(인턴근무계획!$O$3:$O$202,$A191)&amp;"")</f>
        <v/>
      </c>
      <c r="N191" s="23">
        <f>IF($C191="","",INDEX(인턴근무계획!$P$3:$P$202,$A191)&amp;"")</f>
        <v/>
      </c>
      <c r="O191" s="23">
        <f>IF($C191="","",INDEX(인턴근무계획!$Q$3:$Q$202,$A191)&amp;"")</f>
        <v/>
      </c>
      <c r="P191" s="23">
        <f>IF($C191="","",INDEX(인턴근무계획!$R$3:$R$202,$A191)&amp;"")</f>
        <v/>
      </c>
      <c r="Q191" s="23">
        <f>IF($C191="","",INDEX(인턴근무계획!$T$3:$T$202,$A191))</f>
        <v/>
      </c>
    </row>
    <row r="192">
      <c r="A192" s="26" t="n">
        <v>187</v>
      </c>
      <c r="B192" s="23">
        <f>IF($C192="","",INDEX(인턴근무계획!$B$3:$B$202,$A192))</f>
        <v/>
      </c>
      <c r="C192" s="23">
        <f>IFERROR(TRIM(INDEX(인턴근무계획!$C$3:$C$202,$A192)&amp;""),"")</f>
        <v/>
      </c>
      <c r="D192" s="23">
        <f>IF($C192="","",INDEX(인턴근무계획!$D$3:$D$202,$A192))</f>
        <v/>
      </c>
      <c r="E192" s="23">
        <f>IF($C192="","",IF(IFERROR(MATCH($D192,기본자료!$B$2:$B$501,0),IFERROR(MATCH($D192&amp;"",기본자료!$B$2:$B$501,0),IFERROR(MATCH(VALUE($D192),기본자료!$B$2:$B$501,0),0)))&gt;0,"확인","미등록"))</f>
        <v/>
      </c>
      <c r="F192" s="27">
        <f>IF($C192="","",INDEX(인턴근무계획!$S$3:$S$202,$A192))</f>
        <v/>
      </c>
      <c r="G192" s="23">
        <f>IF(OR($C192="",$G$3=""),"",IF(INDEX(인턴근무계획!$M$3:$R$202,$A192,$G$3)&amp;""="","",IF(LEFT(INDEX(인턴근무계획!$M$3:$R$202,$A192,$G$3)&amp;"",1)="⚠",INDEX(인턴근무계획!$M$3:$R$202,$A192,$G$3)&amp;"",LEFT(INDEX(인턴근무계획!$M$3:$R$202,$A192,$G$3)&amp;"",FIND(" ",INDEX(인턴근무계획!$M$3:$R$202,$A192,$G$3)&amp;"")-1))))</f>
        <v/>
      </c>
      <c r="H192" s="23">
        <f>IF(OR($C192="",$G$3=""),"",IF(INDEX(인턴근무계획!$M$3:$R$202,$A192,$G$3)&amp;""="","",IF(LEFT(INDEX(인턴근무계획!$M$3:$R$202,$A192,$G$3)&amp;"",1)="⚠","",MID(INDEX(인턴근무계획!$M$3:$R$202,$A192,$G$3)&amp;"",FIND(" ",INDEX(인턴근무계획!$M$3:$R$202,$A192,$G$3)&amp;"")+1,60))))</f>
        <v/>
      </c>
      <c r="I192" s="23">
        <f>IF(OR($C192="",$I$3=""),"",IF(INDEX(인턴근무계획!$M$3:$R$202,$A192,$I$3)&amp;""="","",IF(LEFT(INDEX(인턴근무계획!$M$3:$R$202,$A192,$I$3)&amp;"",1)="⚠",INDEX(인턴근무계획!$M$3:$R$202,$A192,$I$3)&amp;"",LEFT(INDEX(인턴근무계획!$M$3:$R$202,$A192,$I$3)&amp;"",FIND(" ",INDEX(인턴근무계획!$M$3:$R$202,$A192,$I$3)&amp;"")-1))))</f>
        <v/>
      </c>
      <c r="J192" s="23">
        <f>IF(OR($C192="",$I$3=""),"",IF(INDEX(인턴근무계획!$M$3:$R$202,$A192,$I$3)&amp;""="","",IF(LEFT(INDEX(인턴근무계획!$M$3:$R$202,$A192,$I$3)&amp;"",1)="⚠","",MID(INDEX(인턴근무계획!$M$3:$R$202,$A192,$I$3)&amp;"",FIND(" ",INDEX(인턴근무계획!$M$3:$R$202,$A192,$I$3)&amp;"")+1,60))))</f>
        <v/>
      </c>
      <c r="K192" s="23">
        <f>IF($C192="","",INDEX(인턴근무계획!$M$3:$M$202,$A192)&amp;"")</f>
        <v/>
      </c>
      <c r="L192" s="23">
        <f>IF($C192="","",INDEX(인턴근무계획!$N$3:$N$202,$A192)&amp;"")</f>
        <v/>
      </c>
      <c r="M192" s="23">
        <f>IF($C192="","",INDEX(인턴근무계획!$O$3:$O$202,$A192)&amp;"")</f>
        <v/>
      </c>
      <c r="N192" s="23">
        <f>IF($C192="","",INDEX(인턴근무계획!$P$3:$P$202,$A192)&amp;"")</f>
        <v/>
      </c>
      <c r="O192" s="23">
        <f>IF($C192="","",INDEX(인턴근무계획!$Q$3:$Q$202,$A192)&amp;"")</f>
        <v/>
      </c>
      <c r="P192" s="23">
        <f>IF($C192="","",INDEX(인턴근무계획!$R$3:$R$202,$A192)&amp;"")</f>
        <v/>
      </c>
      <c r="Q192" s="23">
        <f>IF($C192="","",INDEX(인턴근무계획!$T$3:$T$202,$A192))</f>
        <v/>
      </c>
    </row>
    <row r="193">
      <c r="A193" s="26" t="n">
        <v>188</v>
      </c>
      <c r="B193" s="23">
        <f>IF($C193="","",INDEX(인턴근무계획!$B$3:$B$202,$A193))</f>
        <v/>
      </c>
      <c r="C193" s="23">
        <f>IFERROR(TRIM(INDEX(인턴근무계획!$C$3:$C$202,$A193)&amp;""),"")</f>
        <v/>
      </c>
      <c r="D193" s="23">
        <f>IF($C193="","",INDEX(인턴근무계획!$D$3:$D$202,$A193))</f>
        <v/>
      </c>
      <c r="E193" s="23">
        <f>IF($C193="","",IF(IFERROR(MATCH($D193,기본자료!$B$2:$B$501,0),IFERROR(MATCH($D193&amp;"",기본자료!$B$2:$B$501,0),IFERROR(MATCH(VALUE($D193),기본자료!$B$2:$B$501,0),0)))&gt;0,"확인","미등록"))</f>
        <v/>
      </c>
      <c r="F193" s="27">
        <f>IF($C193="","",INDEX(인턴근무계획!$S$3:$S$202,$A193))</f>
        <v/>
      </c>
      <c r="G193" s="23">
        <f>IF(OR($C193="",$G$3=""),"",IF(INDEX(인턴근무계획!$M$3:$R$202,$A193,$G$3)&amp;""="","",IF(LEFT(INDEX(인턴근무계획!$M$3:$R$202,$A193,$G$3)&amp;"",1)="⚠",INDEX(인턴근무계획!$M$3:$R$202,$A193,$G$3)&amp;"",LEFT(INDEX(인턴근무계획!$M$3:$R$202,$A193,$G$3)&amp;"",FIND(" ",INDEX(인턴근무계획!$M$3:$R$202,$A193,$G$3)&amp;"")-1))))</f>
        <v/>
      </c>
      <c r="H193" s="23">
        <f>IF(OR($C193="",$G$3=""),"",IF(INDEX(인턴근무계획!$M$3:$R$202,$A193,$G$3)&amp;""="","",IF(LEFT(INDEX(인턴근무계획!$M$3:$R$202,$A193,$G$3)&amp;"",1)="⚠","",MID(INDEX(인턴근무계획!$M$3:$R$202,$A193,$G$3)&amp;"",FIND(" ",INDEX(인턴근무계획!$M$3:$R$202,$A193,$G$3)&amp;"")+1,60))))</f>
        <v/>
      </c>
      <c r="I193" s="23">
        <f>IF(OR($C193="",$I$3=""),"",IF(INDEX(인턴근무계획!$M$3:$R$202,$A193,$I$3)&amp;""="","",IF(LEFT(INDEX(인턴근무계획!$M$3:$R$202,$A193,$I$3)&amp;"",1)="⚠",INDEX(인턴근무계획!$M$3:$R$202,$A193,$I$3)&amp;"",LEFT(INDEX(인턴근무계획!$M$3:$R$202,$A193,$I$3)&amp;"",FIND(" ",INDEX(인턴근무계획!$M$3:$R$202,$A193,$I$3)&amp;"")-1))))</f>
        <v/>
      </c>
      <c r="J193" s="23">
        <f>IF(OR($C193="",$I$3=""),"",IF(INDEX(인턴근무계획!$M$3:$R$202,$A193,$I$3)&amp;""="","",IF(LEFT(INDEX(인턴근무계획!$M$3:$R$202,$A193,$I$3)&amp;"",1)="⚠","",MID(INDEX(인턴근무계획!$M$3:$R$202,$A193,$I$3)&amp;"",FIND(" ",INDEX(인턴근무계획!$M$3:$R$202,$A193,$I$3)&amp;"")+1,60))))</f>
        <v/>
      </c>
      <c r="K193" s="23">
        <f>IF($C193="","",INDEX(인턴근무계획!$M$3:$M$202,$A193)&amp;"")</f>
        <v/>
      </c>
      <c r="L193" s="23">
        <f>IF($C193="","",INDEX(인턴근무계획!$N$3:$N$202,$A193)&amp;"")</f>
        <v/>
      </c>
      <c r="M193" s="23">
        <f>IF($C193="","",INDEX(인턴근무계획!$O$3:$O$202,$A193)&amp;"")</f>
        <v/>
      </c>
      <c r="N193" s="23">
        <f>IF($C193="","",INDEX(인턴근무계획!$P$3:$P$202,$A193)&amp;"")</f>
        <v/>
      </c>
      <c r="O193" s="23">
        <f>IF($C193="","",INDEX(인턴근무계획!$Q$3:$Q$202,$A193)&amp;"")</f>
        <v/>
      </c>
      <c r="P193" s="23">
        <f>IF($C193="","",INDEX(인턴근무계획!$R$3:$R$202,$A193)&amp;"")</f>
        <v/>
      </c>
      <c r="Q193" s="23">
        <f>IF($C193="","",INDEX(인턴근무계획!$T$3:$T$202,$A193))</f>
        <v/>
      </c>
    </row>
    <row r="194">
      <c r="A194" s="26" t="n">
        <v>189</v>
      </c>
      <c r="B194" s="23">
        <f>IF($C194="","",INDEX(인턴근무계획!$B$3:$B$202,$A194))</f>
        <v/>
      </c>
      <c r="C194" s="23">
        <f>IFERROR(TRIM(INDEX(인턴근무계획!$C$3:$C$202,$A194)&amp;""),"")</f>
        <v/>
      </c>
      <c r="D194" s="23">
        <f>IF($C194="","",INDEX(인턴근무계획!$D$3:$D$202,$A194))</f>
        <v/>
      </c>
      <c r="E194" s="23">
        <f>IF($C194="","",IF(IFERROR(MATCH($D194,기본자료!$B$2:$B$501,0),IFERROR(MATCH($D194&amp;"",기본자료!$B$2:$B$501,0),IFERROR(MATCH(VALUE($D194),기본자료!$B$2:$B$501,0),0)))&gt;0,"확인","미등록"))</f>
        <v/>
      </c>
      <c r="F194" s="27">
        <f>IF($C194="","",INDEX(인턴근무계획!$S$3:$S$202,$A194))</f>
        <v/>
      </c>
      <c r="G194" s="23">
        <f>IF(OR($C194="",$G$3=""),"",IF(INDEX(인턴근무계획!$M$3:$R$202,$A194,$G$3)&amp;""="","",IF(LEFT(INDEX(인턴근무계획!$M$3:$R$202,$A194,$G$3)&amp;"",1)="⚠",INDEX(인턴근무계획!$M$3:$R$202,$A194,$G$3)&amp;"",LEFT(INDEX(인턴근무계획!$M$3:$R$202,$A194,$G$3)&amp;"",FIND(" ",INDEX(인턴근무계획!$M$3:$R$202,$A194,$G$3)&amp;"")-1))))</f>
        <v/>
      </c>
      <c r="H194" s="23">
        <f>IF(OR($C194="",$G$3=""),"",IF(INDEX(인턴근무계획!$M$3:$R$202,$A194,$G$3)&amp;""="","",IF(LEFT(INDEX(인턴근무계획!$M$3:$R$202,$A194,$G$3)&amp;"",1)="⚠","",MID(INDEX(인턴근무계획!$M$3:$R$202,$A194,$G$3)&amp;"",FIND(" ",INDEX(인턴근무계획!$M$3:$R$202,$A194,$G$3)&amp;"")+1,60))))</f>
        <v/>
      </c>
      <c r="I194" s="23">
        <f>IF(OR($C194="",$I$3=""),"",IF(INDEX(인턴근무계획!$M$3:$R$202,$A194,$I$3)&amp;""="","",IF(LEFT(INDEX(인턴근무계획!$M$3:$R$202,$A194,$I$3)&amp;"",1)="⚠",INDEX(인턴근무계획!$M$3:$R$202,$A194,$I$3)&amp;"",LEFT(INDEX(인턴근무계획!$M$3:$R$202,$A194,$I$3)&amp;"",FIND(" ",INDEX(인턴근무계획!$M$3:$R$202,$A194,$I$3)&amp;"")-1))))</f>
        <v/>
      </c>
      <c r="J194" s="23">
        <f>IF(OR($C194="",$I$3=""),"",IF(INDEX(인턴근무계획!$M$3:$R$202,$A194,$I$3)&amp;""="","",IF(LEFT(INDEX(인턴근무계획!$M$3:$R$202,$A194,$I$3)&amp;"",1)="⚠","",MID(INDEX(인턴근무계획!$M$3:$R$202,$A194,$I$3)&amp;"",FIND(" ",INDEX(인턴근무계획!$M$3:$R$202,$A194,$I$3)&amp;"")+1,60))))</f>
        <v/>
      </c>
      <c r="K194" s="23">
        <f>IF($C194="","",INDEX(인턴근무계획!$M$3:$M$202,$A194)&amp;"")</f>
        <v/>
      </c>
      <c r="L194" s="23">
        <f>IF($C194="","",INDEX(인턴근무계획!$N$3:$N$202,$A194)&amp;"")</f>
        <v/>
      </c>
      <c r="M194" s="23">
        <f>IF($C194="","",INDEX(인턴근무계획!$O$3:$O$202,$A194)&amp;"")</f>
        <v/>
      </c>
      <c r="N194" s="23">
        <f>IF($C194="","",INDEX(인턴근무계획!$P$3:$P$202,$A194)&amp;"")</f>
        <v/>
      </c>
      <c r="O194" s="23">
        <f>IF($C194="","",INDEX(인턴근무계획!$Q$3:$Q$202,$A194)&amp;"")</f>
        <v/>
      </c>
      <c r="P194" s="23">
        <f>IF($C194="","",INDEX(인턴근무계획!$R$3:$R$202,$A194)&amp;"")</f>
        <v/>
      </c>
      <c r="Q194" s="23">
        <f>IF($C194="","",INDEX(인턴근무계획!$T$3:$T$202,$A194))</f>
        <v/>
      </c>
    </row>
    <row r="195">
      <c r="A195" s="26" t="n">
        <v>190</v>
      </c>
      <c r="B195" s="23">
        <f>IF($C195="","",INDEX(인턴근무계획!$B$3:$B$202,$A195))</f>
        <v/>
      </c>
      <c r="C195" s="23">
        <f>IFERROR(TRIM(INDEX(인턴근무계획!$C$3:$C$202,$A195)&amp;""),"")</f>
        <v/>
      </c>
      <c r="D195" s="23">
        <f>IF($C195="","",INDEX(인턴근무계획!$D$3:$D$202,$A195))</f>
        <v/>
      </c>
      <c r="E195" s="23">
        <f>IF($C195="","",IF(IFERROR(MATCH($D195,기본자료!$B$2:$B$501,0),IFERROR(MATCH($D195&amp;"",기본자료!$B$2:$B$501,0),IFERROR(MATCH(VALUE($D195),기본자료!$B$2:$B$501,0),0)))&gt;0,"확인","미등록"))</f>
        <v/>
      </c>
      <c r="F195" s="27">
        <f>IF($C195="","",INDEX(인턴근무계획!$S$3:$S$202,$A195))</f>
        <v/>
      </c>
      <c r="G195" s="23">
        <f>IF(OR($C195="",$G$3=""),"",IF(INDEX(인턴근무계획!$M$3:$R$202,$A195,$G$3)&amp;""="","",IF(LEFT(INDEX(인턴근무계획!$M$3:$R$202,$A195,$G$3)&amp;"",1)="⚠",INDEX(인턴근무계획!$M$3:$R$202,$A195,$G$3)&amp;"",LEFT(INDEX(인턴근무계획!$M$3:$R$202,$A195,$G$3)&amp;"",FIND(" ",INDEX(인턴근무계획!$M$3:$R$202,$A195,$G$3)&amp;"")-1))))</f>
        <v/>
      </c>
      <c r="H195" s="23">
        <f>IF(OR($C195="",$G$3=""),"",IF(INDEX(인턴근무계획!$M$3:$R$202,$A195,$G$3)&amp;""="","",IF(LEFT(INDEX(인턴근무계획!$M$3:$R$202,$A195,$G$3)&amp;"",1)="⚠","",MID(INDEX(인턴근무계획!$M$3:$R$202,$A195,$G$3)&amp;"",FIND(" ",INDEX(인턴근무계획!$M$3:$R$202,$A195,$G$3)&amp;"")+1,60))))</f>
        <v/>
      </c>
      <c r="I195" s="23">
        <f>IF(OR($C195="",$I$3=""),"",IF(INDEX(인턴근무계획!$M$3:$R$202,$A195,$I$3)&amp;""="","",IF(LEFT(INDEX(인턴근무계획!$M$3:$R$202,$A195,$I$3)&amp;"",1)="⚠",INDEX(인턴근무계획!$M$3:$R$202,$A195,$I$3)&amp;"",LEFT(INDEX(인턴근무계획!$M$3:$R$202,$A195,$I$3)&amp;"",FIND(" ",INDEX(인턴근무계획!$M$3:$R$202,$A195,$I$3)&amp;"")-1))))</f>
        <v/>
      </c>
      <c r="J195" s="23">
        <f>IF(OR($C195="",$I$3=""),"",IF(INDEX(인턴근무계획!$M$3:$R$202,$A195,$I$3)&amp;""="","",IF(LEFT(INDEX(인턴근무계획!$M$3:$R$202,$A195,$I$3)&amp;"",1)="⚠","",MID(INDEX(인턴근무계획!$M$3:$R$202,$A195,$I$3)&amp;"",FIND(" ",INDEX(인턴근무계획!$M$3:$R$202,$A195,$I$3)&amp;"")+1,60))))</f>
        <v/>
      </c>
      <c r="K195" s="23">
        <f>IF($C195="","",INDEX(인턴근무계획!$M$3:$M$202,$A195)&amp;"")</f>
        <v/>
      </c>
      <c r="L195" s="23">
        <f>IF($C195="","",INDEX(인턴근무계획!$N$3:$N$202,$A195)&amp;"")</f>
        <v/>
      </c>
      <c r="M195" s="23">
        <f>IF($C195="","",INDEX(인턴근무계획!$O$3:$O$202,$A195)&amp;"")</f>
        <v/>
      </c>
      <c r="N195" s="23">
        <f>IF($C195="","",INDEX(인턴근무계획!$P$3:$P$202,$A195)&amp;"")</f>
        <v/>
      </c>
      <c r="O195" s="23">
        <f>IF($C195="","",INDEX(인턴근무계획!$Q$3:$Q$202,$A195)&amp;"")</f>
        <v/>
      </c>
      <c r="P195" s="23">
        <f>IF($C195="","",INDEX(인턴근무계획!$R$3:$R$202,$A195)&amp;"")</f>
        <v/>
      </c>
      <c r="Q195" s="23">
        <f>IF($C195="","",INDEX(인턴근무계획!$T$3:$T$202,$A195))</f>
        <v/>
      </c>
    </row>
    <row r="196">
      <c r="A196" s="26" t="n">
        <v>191</v>
      </c>
      <c r="B196" s="23">
        <f>IF($C196="","",INDEX(인턴근무계획!$B$3:$B$202,$A196))</f>
        <v/>
      </c>
      <c r="C196" s="23">
        <f>IFERROR(TRIM(INDEX(인턴근무계획!$C$3:$C$202,$A196)&amp;""),"")</f>
        <v/>
      </c>
      <c r="D196" s="23">
        <f>IF($C196="","",INDEX(인턴근무계획!$D$3:$D$202,$A196))</f>
        <v/>
      </c>
      <c r="E196" s="23">
        <f>IF($C196="","",IF(IFERROR(MATCH($D196,기본자료!$B$2:$B$501,0),IFERROR(MATCH($D196&amp;"",기본자료!$B$2:$B$501,0),IFERROR(MATCH(VALUE($D196),기본자료!$B$2:$B$501,0),0)))&gt;0,"확인","미등록"))</f>
        <v/>
      </c>
      <c r="F196" s="27">
        <f>IF($C196="","",INDEX(인턴근무계획!$S$3:$S$202,$A196))</f>
        <v/>
      </c>
      <c r="G196" s="23">
        <f>IF(OR($C196="",$G$3=""),"",IF(INDEX(인턴근무계획!$M$3:$R$202,$A196,$G$3)&amp;""="","",IF(LEFT(INDEX(인턴근무계획!$M$3:$R$202,$A196,$G$3)&amp;"",1)="⚠",INDEX(인턴근무계획!$M$3:$R$202,$A196,$G$3)&amp;"",LEFT(INDEX(인턴근무계획!$M$3:$R$202,$A196,$G$3)&amp;"",FIND(" ",INDEX(인턴근무계획!$M$3:$R$202,$A196,$G$3)&amp;"")-1))))</f>
        <v/>
      </c>
      <c r="H196" s="23">
        <f>IF(OR($C196="",$G$3=""),"",IF(INDEX(인턴근무계획!$M$3:$R$202,$A196,$G$3)&amp;""="","",IF(LEFT(INDEX(인턴근무계획!$M$3:$R$202,$A196,$G$3)&amp;"",1)="⚠","",MID(INDEX(인턴근무계획!$M$3:$R$202,$A196,$G$3)&amp;"",FIND(" ",INDEX(인턴근무계획!$M$3:$R$202,$A196,$G$3)&amp;"")+1,60))))</f>
        <v/>
      </c>
      <c r="I196" s="23">
        <f>IF(OR($C196="",$I$3=""),"",IF(INDEX(인턴근무계획!$M$3:$R$202,$A196,$I$3)&amp;""="","",IF(LEFT(INDEX(인턴근무계획!$M$3:$R$202,$A196,$I$3)&amp;"",1)="⚠",INDEX(인턴근무계획!$M$3:$R$202,$A196,$I$3)&amp;"",LEFT(INDEX(인턴근무계획!$M$3:$R$202,$A196,$I$3)&amp;"",FIND(" ",INDEX(인턴근무계획!$M$3:$R$202,$A196,$I$3)&amp;"")-1))))</f>
        <v/>
      </c>
      <c r="J196" s="23">
        <f>IF(OR($C196="",$I$3=""),"",IF(INDEX(인턴근무계획!$M$3:$R$202,$A196,$I$3)&amp;""="","",IF(LEFT(INDEX(인턴근무계획!$M$3:$R$202,$A196,$I$3)&amp;"",1)="⚠","",MID(INDEX(인턴근무계획!$M$3:$R$202,$A196,$I$3)&amp;"",FIND(" ",INDEX(인턴근무계획!$M$3:$R$202,$A196,$I$3)&amp;"")+1,60))))</f>
        <v/>
      </c>
      <c r="K196" s="23">
        <f>IF($C196="","",INDEX(인턴근무계획!$M$3:$M$202,$A196)&amp;"")</f>
        <v/>
      </c>
      <c r="L196" s="23">
        <f>IF($C196="","",INDEX(인턴근무계획!$N$3:$N$202,$A196)&amp;"")</f>
        <v/>
      </c>
      <c r="M196" s="23">
        <f>IF($C196="","",INDEX(인턴근무계획!$O$3:$O$202,$A196)&amp;"")</f>
        <v/>
      </c>
      <c r="N196" s="23">
        <f>IF($C196="","",INDEX(인턴근무계획!$P$3:$P$202,$A196)&amp;"")</f>
        <v/>
      </c>
      <c r="O196" s="23">
        <f>IF($C196="","",INDEX(인턴근무계획!$Q$3:$Q$202,$A196)&amp;"")</f>
        <v/>
      </c>
      <c r="P196" s="23">
        <f>IF($C196="","",INDEX(인턴근무계획!$R$3:$R$202,$A196)&amp;"")</f>
        <v/>
      </c>
      <c r="Q196" s="23">
        <f>IF($C196="","",INDEX(인턴근무계획!$T$3:$T$202,$A196))</f>
        <v/>
      </c>
    </row>
    <row r="197">
      <c r="A197" s="26" t="n">
        <v>192</v>
      </c>
      <c r="B197" s="23">
        <f>IF($C197="","",INDEX(인턴근무계획!$B$3:$B$202,$A197))</f>
        <v/>
      </c>
      <c r="C197" s="23">
        <f>IFERROR(TRIM(INDEX(인턴근무계획!$C$3:$C$202,$A197)&amp;""),"")</f>
        <v/>
      </c>
      <c r="D197" s="23">
        <f>IF($C197="","",INDEX(인턴근무계획!$D$3:$D$202,$A197))</f>
        <v/>
      </c>
      <c r="E197" s="23">
        <f>IF($C197="","",IF(IFERROR(MATCH($D197,기본자료!$B$2:$B$501,0),IFERROR(MATCH($D197&amp;"",기본자료!$B$2:$B$501,0),IFERROR(MATCH(VALUE($D197),기본자료!$B$2:$B$501,0),0)))&gt;0,"확인","미등록"))</f>
        <v/>
      </c>
      <c r="F197" s="27">
        <f>IF($C197="","",INDEX(인턴근무계획!$S$3:$S$202,$A197))</f>
        <v/>
      </c>
      <c r="G197" s="23">
        <f>IF(OR($C197="",$G$3=""),"",IF(INDEX(인턴근무계획!$M$3:$R$202,$A197,$G$3)&amp;""="","",IF(LEFT(INDEX(인턴근무계획!$M$3:$R$202,$A197,$G$3)&amp;"",1)="⚠",INDEX(인턴근무계획!$M$3:$R$202,$A197,$G$3)&amp;"",LEFT(INDEX(인턴근무계획!$M$3:$R$202,$A197,$G$3)&amp;"",FIND(" ",INDEX(인턴근무계획!$M$3:$R$202,$A197,$G$3)&amp;"")-1))))</f>
        <v/>
      </c>
      <c r="H197" s="23">
        <f>IF(OR($C197="",$G$3=""),"",IF(INDEX(인턴근무계획!$M$3:$R$202,$A197,$G$3)&amp;""="","",IF(LEFT(INDEX(인턴근무계획!$M$3:$R$202,$A197,$G$3)&amp;"",1)="⚠","",MID(INDEX(인턴근무계획!$M$3:$R$202,$A197,$G$3)&amp;"",FIND(" ",INDEX(인턴근무계획!$M$3:$R$202,$A197,$G$3)&amp;"")+1,60))))</f>
        <v/>
      </c>
      <c r="I197" s="23">
        <f>IF(OR($C197="",$I$3=""),"",IF(INDEX(인턴근무계획!$M$3:$R$202,$A197,$I$3)&amp;""="","",IF(LEFT(INDEX(인턴근무계획!$M$3:$R$202,$A197,$I$3)&amp;"",1)="⚠",INDEX(인턴근무계획!$M$3:$R$202,$A197,$I$3)&amp;"",LEFT(INDEX(인턴근무계획!$M$3:$R$202,$A197,$I$3)&amp;"",FIND(" ",INDEX(인턴근무계획!$M$3:$R$202,$A197,$I$3)&amp;"")-1))))</f>
        <v/>
      </c>
      <c r="J197" s="23">
        <f>IF(OR($C197="",$I$3=""),"",IF(INDEX(인턴근무계획!$M$3:$R$202,$A197,$I$3)&amp;""="","",IF(LEFT(INDEX(인턴근무계획!$M$3:$R$202,$A197,$I$3)&amp;"",1)="⚠","",MID(INDEX(인턴근무계획!$M$3:$R$202,$A197,$I$3)&amp;"",FIND(" ",INDEX(인턴근무계획!$M$3:$R$202,$A197,$I$3)&amp;"")+1,60))))</f>
        <v/>
      </c>
      <c r="K197" s="23">
        <f>IF($C197="","",INDEX(인턴근무계획!$M$3:$M$202,$A197)&amp;"")</f>
        <v/>
      </c>
      <c r="L197" s="23">
        <f>IF($C197="","",INDEX(인턴근무계획!$N$3:$N$202,$A197)&amp;"")</f>
        <v/>
      </c>
      <c r="M197" s="23">
        <f>IF($C197="","",INDEX(인턴근무계획!$O$3:$O$202,$A197)&amp;"")</f>
        <v/>
      </c>
      <c r="N197" s="23">
        <f>IF($C197="","",INDEX(인턴근무계획!$P$3:$P$202,$A197)&amp;"")</f>
        <v/>
      </c>
      <c r="O197" s="23">
        <f>IF($C197="","",INDEX(인턴근무계획!$Q$3:$Q$202,$A197)&amp;"")</f>
        <v/>
      </c>
      <c r="P197" s="23">
        <f>IF($C197="","",INDEX(인턴근무계획!$R$3:$R$202,$A197)&amp;"")</f>
        <v/>
      </c>
      <c r="Q197" s="23">
        <f>IF($C197="","",INDEX(인턴근무계획!$T$3:$T$202,$A197))</f>
        <v/>
      </c>
    </row>
    <row r="198">
      <c r="A198" s="26" t="n">
        <v>193</v>
      </c>
      <c r="B198" s="23">
        <f>IF($C198="","",INDEX(인턴근무계획!$B$3:$B$202,$A198))</f>
        <v/>
      </c>
      <c r="C198" s="23">
        <f>IFERROR(TRIM(INDEX(인턴근무계획!$C$3:$C$202,$A198)&amp;""),"")</f>
        <v/>
      </c>
      <c r="D198" s="23">
        <f>IF($C198="","",INDEX(인턴근무계획!$D$3:$D$202,$A198))</f>
        <v/>
      </c>
      <c r="E198" s="23">
        <f>IF($C198="","",IF(IFERROR(MATCH($D198,기본자료!$B$2:$B$501,0),IFERROR(MATCH($D198&amp;"",기본자료!$B$2:$B$501,0),IFERROR(MATCH(VALUE($D198),기본자료!$B$2:$B$501,0),0)))&gt;0,"확인","미등록"))</f>
        <v/>
      </c>
      <c r="F198" s="27">
        <f>IF($C198="","",INDEX(인턴근무계획!$S$3:$S$202,$A198))</f>
        <v/>
      </c>
      <c r="G198" s="23">
        <f>IF(OR($C198="",$G$3=""),"",IF(INDEX(인턴근무계획!$M$3:$R$202,$A198,$G$3)&amp;""="","",IF(LEFT(INDEX(인턴근무계획!$M$3:$R$202,$A198,$G$3)&amp;"",1)="⚠",INDEX(인턴근무계획!$M$3:$R$202,$A198,$G$3)&amp;"",LEFT(INDEX(인턴근무계획!$M$3:$R$202,$A198,$G$3)&amp;"",FIND(" ",INDEX(인턴근무계획!$M$3:$R$202,$A198,$G$3)&amp;"")-1))))</f>
        <v/>
      </c>
      <c r="H198" s="23">
        <f>IF(OR($C198="",$G$3=""),"",IF(INDEX(인턴근무계획!$M$3:$R$202,$A198,$G$3)&amp;""="","",IF(LEFT(INDEX(인턴근무계획!$M$3:$R$202,$A198,$G$3)&amp;"",1)="⚠","",MID(INDEX(인턴근무계획!$M$3:$R$202,$A198,$G$3)&amp;"",FIND(" ",INDEX(인턴근무계획!$M$3:$R$202,$A198,$G$3)&amp;"")+1,60))))</f>
        <v/>
      </c>
      <c r="I198" s="23">
        <f>IF(OR($C198="",$I$3=""),"",IF(INDEX(인턴근무계획!$M$3:$R$202,$A198,$I$3)&amp;""="","",IF(LEFT(INDEX(인턴근무계획!$M$3:$R$202,$A198,$I$3)&amp;"",1)="⚠",INDEX(인턴근무계획!$M$3:$R$202,$A198,$I$3)&amp;"",LEFT(INDEX(인턴근무계획!$M$3:$R$202,$A198,$I$3)&amp;"",FIND(" ",INDEX(인턴근무계획!$M$3:$R$202,$A198,$I$3)&amp;"")-1))))</f>
        <v/>
      </c>
      <c r="J198" s="23">
        <f>IF(OR($C198="",$I$3=""),"",IF(INDEX(인턴근무계획!$M$3:$R$202,$A198,$I$3)&amp;""="","",IF(LEFT(INDEX(인턴근무계획!$M$3:$R$202,$A198,$I$3)&amp;"",1)="⚠","",MID(INDEX(인턴근무계획!$M$3:$R$202,$A198,$I$3)&amp;"",FIND(" ",INDEX(인턴근무계획!$M$3:$R$202,$A198,$I$3)&amp;"")+1,60))))</f>
        <v/>
      </c>
      <c r="K198" s="23">
        <f>IF($C198="","",INDEX(인턴근무계획!$M$3:$M$202,$A198)&amp;"")</f>
        <v/>
      </c>
      <c r="L198" s="23">
        <f>IF($C198="","",INDEX(인턴근무계획!$N$3:$N$202,$A198)&amp;"")</f>
        <v/>
      </c>
      <c r="M198" s="23">
        <f>IF($C198="","",INDEX(인턴근무계획!$O$3:$O$202,$A198)&amp;"")</f>
        <v/>
      </c>
      <c r="N198" s="23">
        <f>IF($C198="","",INDEX(인턴근무계획!$P$3:$P$202,$A198)&amp;"")</f>
        <v/>
      </c>
      <c r="O198" s="23">
        <f>IF($C198="","",INDEX(인턴근무계획!$Q$3:$Q$202,$A198)&amp;"")</f>
        <v/>
      </c>
      <c r="P198" s="23">
        <f>IF($C198="","",INDEX(인턴근무계획!$R$3:$R$202,$A198)&amp;"")</f>
        <v/>
      </c>
      <c r="Q198" s="23">
        <f>IF($C198="","",INDEX(인턴근무계획!$T$3:$T$202,$A198))</f>
        <v/>
      </c>
    </row>
    <row r="199">
      <c r="A199" s="26" t="n">
        <v>194</v>
      </c>
      <c r="B199" s="23">
        <f>IF($C199="","",INDEX(인턴근무계획!$B$3:$B$202,$A199))</f>
        <v/>
      </c>
      <c r="C199" s="23">
        <f>IFERROR(TRIM(INDEX(인턴근무계획!$C$3:$C$202,$A199)&amp;""),"")</f>
        <v/>
      </c>
      <c r="D199" s="23">
        <f>IF($C199="","",INDEX(인턴근무계획!$D$3:$D$202,$A199))</f>
        <v/>
      </c>
      <c r="E199" s="23">
        <f>IF($C199="","",IF(IFERROR(MATCH($D199,기본자료!$B$2:$B$501,0),IFERROR(MATCH($D199&amp;"",기본자료!$B$2:$B$501,0),IFERROR(MATCH(VALUE($D199),기본자료!$B$2:$B$501,0),0)))&gt;0,"확인","미등록"))</f>
        <v/>
      </c>
      <c r="F199" s="27">
        <f>IF($C199="","",INDEX(인턴근무계획!$S$3:$S$202,$A199))</f>
        <v/>
      </c>
      <c r="G199" s="23">
        <f>IF(OR($C199="",$G$3=""),"",IF(INDEX(인턴근무계획!$M$3:$R$202,$A199,$G$3)&amp;""="","",IF(LEFT(INDEX(인턴근무계획!$M$3:$R$202,$A199,$G$3)&amp;"",1)="⚠",INDEX(인턴근무계획!$M$3:$R$202,$A199,$G$3)&amp;"",LEFT(INDEX(인턴근무계획!$M$3:$R$202,$A199,$G$3)&amp;"",FIND(" ",INDEX(인턴근무계획!$M$3:$R$202,$A199,$G$3)&amp;"")-1))))</f>
        <v/>
      </c>
      <c r="H199" s="23">
        <f>IF(OR($C199="",$G$3=""),"",IF(INDEX(인턴근무계획!$M$3:$R$202,$A199,$G$3)&amp;""="","",IF(LEFT(INDEX(인턴근무계획!$M$3:$R$202,$A199,$G$3)&amp;"",1)="⚠","",MID(INDEX(인턴근무계획!$M$3:$R$202,$A199,$G$3)&amp;"",FIND(" ",INDEX(인턴근무계획!$M$3:$R$202,$A199,$G$3)&amp;"")+1,60))))</f>
        <v/>
      </c>
      <c r="I199" s="23">
        <f>IF(OR($C199="",$I$3=""),"",IF(INDEX(인턴근무계획!$M$3:$R$202,$A199,$I$3)&amp;""="","",IF(LEFT(INDEX(인턴근무계획!$M$3:$R$202,$A199,$I$3)&amp;"",1)="⚠",INDEX(인턴근무계획!$M$3:$R$202,$A199,$I$3)&amp;"",LEFT(INDEX(인턴근무계획!$M$3:$R$202,$A199,$I$3)&amp;"",FIND(" ",INDEX(인턴근무계획!$M$3:$R$202,$A199,$I$3)&amp;"")-1))))</f>
        <v/>
      </c>
      <c r="J199" s="23">
        <f>IF(OR($C199="",$I$3=""),"",IF(INDEX(인턴근무계획!$M$3:$R$202,$A199,$I$3)&amp;""="","",IF(LEFT(INDEX(인턴근무계획!$M$3:$R$202,$A199,$I$3)&amp;"",1)="⚠","",MID(INDEX(인턴근무계획!$M$3:$R$202,$A199,$I$3)&amp;"",FIND(" ",INDEX(인턴근무계획!$M$3:$R$202,$A199,$I$3)&amp;"")+1,60))))</f>
        <v/>
      </c>
      <c r="K199" s="23">
        <f>IF($C199="","",INDEX(인턴근무계획!$M$3:$M$202,$A199)&amp;"")</f>
        <v/>
      </c>
      <c r="L199" s="23">
        <f>IF($C199="","",INDEX(인턴근무계획!$N$3:$N$202,$A199)&amp;"")</f>
        <v/>
      </c>
      <c r="M199" s="23">
        <f>IF($C199="","",INDEX(인턴근무계획!$O$3:$O$202,$A199)&amp;"")</f>
        <v/>
      </c>
      <c r="N199" s="23">
        <f>IF($C199="","",INDEX(인턴근무계획!$P$3:$P$202,$A199)&amp;"")</f>
        <v/>
      </c>
      <c r="O199" s="23">
        <f>IF($C199="","",INDEX(인턴근무계획!$Q$3:$Q$202,$A199)&amp;"")</f>
        <v/>
      </c>
      <c r="P199" s="23">
        <f>IF($C199="","",INDEX(인턴근무계획!$R$3:$R$202,$A199)&amp;"")</f>
        <v/>
      </c>
      <c r="Q199" s="23">
        <f>IF($C199="","",INDEX(인턴근무계획!$T$3:$T$202,$A199))</f>
        <v/>
      </c>
    </row>
    <row r="200">
      <c r="A200" s="26" t="n">
        <v>195</v>
      </c>
      <c r="B200" s="23">
        <f>IF($C200="","",INDEX(인턴근무계획!$B$3:$B$202,$A200))</f>
        <v/>
      </c>
      <c r="C200" s="23">
        <f>IFERROR(TRIM(INDEX(인턴근무계획!$C$3:$C$202,$A200)&amp;""),"")</f>
        <v/>
      </c>
      <c r="D200" s="23">
        <f>IF($C200="","",INDEX(인턴근무계획!$D$3:$D$202,$A200))</f>
        <v/>
      </c>
      <c r="E200" s="23">
        <f>IF($C200="","",IF(IFERROR(MATCH($D200,기본자료!$B$2:$B$501,0),IFERROR(MATCH($D200&amp;"",기본자료!$B$2:$B$501,0),IFERROR(MATCH(VALUE($D200),기본자료!$B$2:$B$501,0),0)))&gt;0,"확인","미등록"))</f>
        <v/>
      </c>
      <c r="F200" s="27">
        <f>IF($C200="","",INDEX(인턴근무계획!$S$3:$S$202,$A200))</f>
        <v/>
      </c>
      <c r="G200" s="23">
        <f>IF(OR($C200="",$G$3=""),"",IF(INDEX(인턴근무계획!$M$3:$R$202,$A200,$G$3)&amp;""="","",IF(LEFT(INDEX(인턴근무계획!$M$3:$R$202,$A200,$G$3)&amp;"",1)="⚠",INDEX(인턴근무계획!$M$3:$R$202,$A200,$G$3)&amp;"",LEFT(INDEX(인턴근무계획!$M$3:$R$202,$A200,$G$3)&amp;"",FIND(" ",INDEX(인턴근무계획!$M$3:$R$202,$A200,$G$3)&amp;"")-1))))</f>
        <v/>
      </c>
      <c r="H200" s="23">
        <f>IF(OR($C200="",$G$3=""),"",IF(INDEX(인턴근무계획!$M$3:$R$202,$A200,$G$3)&amp;""="","",IF(LEFT(INDEX(인턴근무계획!$M$3:$R$202,$A200,$G$3)&amp;"",1)="⚠","",MID(INDEX(인턴근무계획!$M$3:$R$202,$A200,$G$3)&amp;"",FIND(" ",INDEX(인턴근무계획!$M$3:$R$202,$A200,$G$3)&amp;"")+1,60))))</f>
        <v/>
      </c>
      <c r="I200" s="23">
        <f>IF(OR($C200="",$I$3=""),"",IF(INDEX(인턴근무계획!$M$3:$R$202,$A200,$I$3)&amp;""="","",IF(LEFT(INDEX(인턴근무계획!$M$3:$R$202,$A200,$I$3)&amp;"",1)="⚠",INDEX(인턴근무계획!$M$3:$R$202,$A200,$I$3)&amp;"",LEFT(INDEX(인턴근무계획!$M$3:$R$202,$A200,$I$3)&amp;"",FIND(" ",INDEX(인턴근무계획!$M$3:$R$202,$A200,$I$3)&amp;"")-1))))</f>
        <v/>
      </c>
      <c r="J200" s="23">
        <f>IF(OR($C200="",$I$3=""),"",IF(INDEX(인턴근무계획!$M$3:$R$202,$A200,$I$3)&amp;""="","",IF(LEFT(INDEX(인턴근무계획!$M$3:$R$202,$A200,$I$3)&amp;"",1)="⚠","",MID(INDEX(인턴근무계획!$M$3:$R$202,$A200,$I$3)&amp;"",FIND(" ",INDEX(인턴근무계획!$M$3:$R$202,$A200,$I$3)&amp;"")+1,60))))</f>
        <v/>
      </c>
      <c r="K200" s="23">
        <f>IF($C200="","",INDEX(인턴근무계획!$M$3:$M$202,$A200)&amp;"")</f>
        <v/>
      </c>
      <c r="L200" s="23">
        <f>IF($C200="","",INDEX(인턴근무계획!$N$3:$N$202,$A200)&amp;"")</f>
        <v/>
      </c>
      <c r="M200" s="23">
        <f>IF($C200="","",INDEX(인턴근무계획!$O$3:$O$202,$A200)&amp;"")</f>
        <v/>
      </c>
      <c r="N200" s="23">
        <f>IF($C200="","",INDEX(인턴근무계획!$P$3:$P$202,$A200)&amp;"")</f>
        <v/>
      </c>
      <c r="O200" s="23">
        <f>IF($C200="","",INDEX(인턴근무계획!$Q$3:$Q$202,$A200)&amp;"")</f>
        <v/>
      </c>
      <c r="P200" s="23">
        <f>IF($C200="","",INDEX(인턴근무계획!$R$3:$R$202,$A200)&amp;"")</f>
        <v/>
      </c>
      <c r="Q200" s="23">
        <f>IF($C200="","",INDEX(인턴근무계획!$T$3:$T$202,$A200))</f>
        <v/>
      </c>
    </row>
    <row r="201">
      <c r="A201" s="26" t="n">
        <v>196</v>
      </c>
      <c r="B201" s="23">
        <f>IF($C201="","",INDEX(인턴근무계획!$B$3:$B$202,$A201))</f>
        <v/>
      </c>
      <c r="C201" s="23">
        <f>IFERROR(TRIM(INDEX(인턴근무계획!$C$3:$C$202,$A201)&amp;""),"")</f>
        <v/>
      </c>
      <c r="D201" s="23">
        <f>IF($C201="","",INDEX(인턴근무계획!$D$3:$D$202,$A201))</f>
        <v/>
      </c>
      <c r="E201" s="23">
        <f>IF($C201="","",IF(IFERROR(MATCH($D201,기본자료!$B$2:$B$501,0),IFERROR(MATCH($D201&amp;"",기본자료!$B$2:$B$501,0),IFERROR(MATCH(VALUE($D201),기본자료!$B$2:$B$501,0),0)))&gt;0,"확인","미등록"))</f>
        <v/>
      </c>
      <c r="F201" s="27">
        <f>IF($C201="","",INDEX(인턴근무계획!$S$3:$S$202,$A201))</f>
        <v/>
      </c>
      <c r="G201" s="23">
        <f>IF(OR($C201="",$G$3=""),"",IF(INDEX(인턴근무계획!$M$3:$R$202,$A201,$G$3)&amp;""="","",IF(LEFT(INDEX(인턴근무계획!$M$3:$R$202,$A201,$G$3)&amp;"",1)="⚠",INDEX(인턴근무계획!$M$3:$R$202,$A201,$G$3)&amp;"",LEFT(INDEX(인턴근무계획!$M$3:$R$202,$A201,$G$3)&amp;"",FIND(" ",INDEX(인턴근무계획!$M$3:$R$202,$A201,$G$3)&amp;"")-1))))</f>
        <v/>
      </c>
      <c r="H201" s="23">
        <f>IF(OR($C201="",$G$3=""),"",IF(INDEX(인턴근무계획!$M$3:$R$202,$A201,$G$3)&amp;""="","",IF(LEFT(INDEX(인턴근무계획!$M$3:$R$202,$A201,$G$3)&amp;"",1)="⚠","",MID(INDEX(인턴근무계획!$M$3:$R$202,$A201,$G$3)&amp;"",FIND(" ",INDEX(인턴근무계획!$M$3:$R$202,$A201,$G$3)&amp;"")+1,60))))</f>
        <v/>
      </c>
      <c r="I201" s="23">
        <f>IF(OR($C201="",$I$3=""),"",IF(INDEX(인턴근무계획!$M$3:$R$202,$A201,$I$3)&amp;""="","",IF(LEFT(INDEX(인턴근무계획!$M$3:$R$202,$A201,$I$3)&amp;"",1)="⚠",INDEX(인턴근무계획!$M$3:$R$202,$A201,$I$3)&amp;"",LEFT(INDEX(인턴근무계획!$M$3:$R$202,$A201,$I$3)&amp;"",FIND(" ",INDEX(인턴근무계획!$M$3:$R$202,$A201,$I$3)&amp;"")-1))))</f>
        <v/>
      </c>
      <c r="J201" s="23">
        <f>IF(OR($C201="",$I$3=""),"",IF(INDEX(인턴근무계획!$M$3:$R$202,$A201,$I$3)&amp;""="","",IF(LEFT(INDEX(인턴근무계획!$M$3:$R$202,$A201,$I$3)&amp;"",1)="⚠","",MID(INDEX(인턴근무계획!$M$3:$R$202,$A201,$I$3)&amp;"",FIND(" ",INDEX(인턴근무계획!$M$3:$R$202,$A201,$I$3)&amp;"")+1,60))))</f>
        <v/>
      </c>
      <c r="K201" s="23">
        <f>IF($C201="","",INDEX(인턴근무계획!$M$3:$M$202,$A201)&amp;"")</f>
        <v/>
      </c>
      <c r="L201" s="23">
        <f>IF($C201="","",INDEX(인턴근무계획!$N$3:$N$202,$A201)&amp;"")</f>
        <v/>
      </c>
      <c r="M201" s="23">
        <f>IF($C201="","",INDEX(인턴근무계획!$O$3:$O$202,$A201)&amp;"")</f>
        <v/>
      </c>
      <c r="N201" s="23">
        <f>IF($C201="","",INDEX(인턴근무계획!$P$3:$P$202,$A201)&amp;"")</f>
        <v/>
      </c>
      <c r="O201" s="23">
        <f>IF($C201="","",INDEX(인턴근무계획!$Q$3:$Q$202,$A201)&amp;"")</f>
        <v/>
      </c>
      <c r="P201" s="23">
        <f>IF($C201="","",INDEX(인턴근무계획!$R$3:$R$202,$A201)&amp;"")</f>
        <v/>
      </c>
      <c r="Q201" s="23">
        <f>IF($C201="","",INDEX(인턴근무계획!$T$3:$T$202,$A201))</f>
        <v/>
      </c>
    </row>
    <row r="202">
      <c r="A202" s="26" t="n">
        <v>197</v>
      </c>
      <c r="B202" s="23">
        <f>IF($C202="","",INDEX(인턴근무계획!$B$3:$B$202,$A202))</f>
        <v/>
      </c>
      <c r="C202" s="23">
        <f>IFERROR(TRIM(INDEX(인턴근무계획!$C$3:$C$202,$A202)&amp;""),"")</f>
        <v/>
      </c>
      <c r="D202" s="23">
        <f>IF($C202="","",INDEX(인턴근무계획!$D$3:$D$202,$A202))</f>
        <v/>
      </c>
      <c r="E202" s="23">
        <f>IF($C202="","",IF(IFERROR(MATCH($D202,기본자료!$B$2:$B$501,0),IFERROR(MATCH($D202&amp;"",기본자료!$B$2:$B$501,0),IFERROR(MATCH(VALUE($D202),기본자료!$B$2:$B$501,0),0)))&gt;0,"확인","미등록"))</f>
        <v/>
      </c>
      <c r="F202" s="27">
        <f>IF($C202="","",INDEX(인턴근무계획!$S$3:$S$202,$A202))</f>
        <v/>
      </c>
      <c r="G202" s="23">
        <f>IF(OR($C202="",$G$3=""),"",IF(INDEX(인턴근무계획!$M$3:$R$202,$A202,$G$3)&amp;""="","",IF(LEFT(INDEX(인턴근무계획!$M$3:$R$202,$A202,$G$3)&amp;"",1)="⚠",INDEX(인턴근무계획!$M$3:$R$202,$A202,$G$3)&amp;"",LEFT(INDEX(인턴근무계획!$M$3:$R$202,$A202,$G$3)&amp;"",FIND(" ",INDEX(인턴근무계획!$M$3:$R$202,$A202,$G$3)&amp;"")-1))))</f>
        <v/>
      </c>
      <c r="H202" s="23">
        <f>IF(OR($C202="",$G$3=""),"",IF(INDEX(인턴근무계획!$M$3:$R$202,$A202,$G$3)&amp;""="","",IF(LEFT(INDEX(인턴근무계획!$M$3:$R$202,$A202,$G$3)&amp;"",1)="⚠","",MID(INDEX(인턴근무계획!$M$3:$R$202,$A202,$G$3)&amp;"",FIND(" ",INDEX(인턴근무계획!$M$3:$R$202,$A202,$G$3)&amp;"")+1,60))))</f>
        <v/>
      </c>
      <c r="I202" s="23">
        <f>IF(OR($C202="",$I$3=""),"",IF(INDEX(인턴근무계획!$M$3:$R$202,$A202,$I$3)&amp;""="","",IF(LEFT(INDEX(인턴근무계획!$M$3:$R$202,$A202,$I$3)&amp;"",1)="⚠",INDEX(인턴근무계획!$M$3:$R$202,$A202,$I$3)&amp;"",LEFT(INDEX(인턴근무계획!$M$3:$R$202,$A202,$I$3)&amp;"",FIND(" ",INDEX(인턴근무계획!$M$3:$R$202,$A202,$I$3)&amp;"")-1))))</f>
        <v/>
      </c>
      <c r="J202" s="23">
        <f>IF(OR($C202="",$I$3=""),"",IF(INDEX(인턴근무계획!$M$3:$R$202,$A202,$I$3)&amp;""="","",IF(LEFT(INDEX(인턴근무계획!$M$3:$R$202,$A202,$I$3)&amp;"",1)="⚠","",MID(INDEX(인턴근무계획!$M$3:$R$202,$A202,$I$3)&amp;"",FIND(" ",INDEX(인턴근무계획!$M$3:$R$202,$A202,$I$3)&amp;"")+1,60))))</f>
        <v/>
      </c>
      <c r="K202" s="23">
        <f>IF($C202="","",INDEX(인턴근무계획!$M$3:$M$202,$A202)&amp;"")</f>
        <v/>
      </c>
      <c r="L202" s="23">
        <f>IF($C202="","",INDEX(인턴근무계획!$N$3:$N$202,$A202)&amp;"")</f>
        <v/>
      </c>
      <c r="M202" s="23">
        <f>IF($C202="","",INDEX(인턴근무계획!$O$3:$O$202,$A202)&amp;"")</f>
        <v/>
      </c>
      <c r="N202" s="23">
        <f>IF($C202="","",INDEX(인턴근무계획!$P$3:$P$202,$A202)&amp;"")</f>
        <v/>
      </c>
      <c r="O202" s="23">
        <f>IF($C202="","",INDEX(인턴근무계획!$Q$3:$Q$202,$A202)&amp;"")</f>
        <v/>
      </c>
      <c r="P202" s="23">
        <f>IF($C202="","",INDEX(인턴근무계획!$R$3:$R$202,$A202)&amp;"")</f>
        <v/>
      </c>
      <c r="Q202" s="23">
        <f>IF($C202="","",INDEX(인턴근무계획!$T$3:$T$202,$A202))</f>
        <v/>
      </c>
    </row>
    <row r="203">
      <c r="A203" s="26" t="n">
        <v>198</v>
      </c>
      <c r="B203" s="23">
        <f>IF($C203="","",INDEX(인턴근무계획!$B$3:$B$202,$A203))</f>
        <v/>
      </c>
      <c r="C203" s="23">
        <f>IFERROR(TRIM(INDEX(인턴근무계획!$C$3:$C$202,$A203)&amp;""),"")</f>
        <v/>
      </c>
      <c r="D203" s="23">
        <f>IF($C203="","",INDEX(인턴근무계획!$D$3:$D$202,$A203))</f>
        <v/>
      </c>
      <c r="E203" s="23">
        <f>IF($C203="","",IF(IFERROR(MATCH($D203,기본자료!$B$2:$B$501,0),IFERROR(MATCH($D203&amp;"",기본자료!$B$2:$B$501,0),IFERROR(MATCH(VALUE($D203),기본자료!$B$2:$B$501,0),0)))&gt;0,"확인","미등록"))</f>
        <v/>
      </c>
      <c r="F203" s="27">
        <f>IF($C203="","",INDEX(인턴근무계획!$S$3:$S$202,$A203))</f>
        <v/>
      </c>
      <c r="G203" s="23">
        <f>IF(OR($C203="",$G$3=""),"",IF(INDEX(인턴근무계획!$M$3:$R$202,$A203,$G$3)&amp;""="","",IF(LEFT(INDEX(인턴근무계획!$M$3:$R$202,$A203,$G$3)&amp;"",1)="⚠",INDEX(인턴근무계획!$M$3:$R$202,$A203,$G$3)&amp;"",LEFT(INDEX(인턴근무계획!$M$3:$R$202,$A203,$G$3)&amp;"",FIND(" ",INDEX(인턴근무계획!$M$3:$R$202,$A203,$G$3)&amp;"")-1))))</f>
        <v/>
      </c>
      <c r="H203" s="23">
        <f>IF(OR($C203="",$G$3=""),"",IF(INDEX(인턴근무계획!$M$3:$R$202,$A203,$G$3)&amp;""="","",IF(LEFT(INDEX(인턴근무계획!$M$3:$R$202,$A203,$G$3)&amp;"",1)="⚠","",MID(INDEX(인턴근무계획!$M$3:$R$202,$A203,$G$3)&amp;"",FIND(" ",INDEX(인턴근무계획!$M$3:$R$202,$A203,$G$3)&amp;"")+1,60))))</f>
        <v/>
      </c>
      <c r="I203" s="23">
        <f>IF(OR($C203="",$I$3=""),"",IF(INDEX(인턴근무계획!$M$3:$R$202,$A203,$I$3)&amp;""="","",IF(LEFT(INDEX(인턴근무계획!$M$3:$R$202,$A203,$I$3)&amp;"",1)="⚠",INDEX(인턴근무계획!$M$3:$R$202,$A203,$I$3)&amp;"",LEFT(INDEX(인턴근무계획!$M$3:$R$202,$A203,$I$3)&amp;"",FIND(" ",INDEX(인턴근무계획!$M$3:$R$202,$A203,$I$3)&amp;"")-1))))</f>
        <v/>
      </c>
      <c r="J203" s="23">
        <f>IF(OR($C203="",$I$3=""),"",IF(INDEX(인턴근무계획!$M$3:$R$202,$A203,$I$3)&amp;""="","",IF(LEFT(INDEX(인턴근무계획!$M$3:$R$202,$A203,$I$3)&amp;"",1)="⚠","",MID(INDEX(인턴근무계획!$M$3:$R$202,$A203,$I$3)&amp;"",FIND(" ",INDEX(인턴근무계획!$M$3:$R$202,$A203,$I$3)&amp;"")+1,60))))</f>
        <v/>
      </c>
      <c r="K203" s="23">
        <f>IF($C203="","",INDEX(인턴근무계획!$M$3:$M$202,$A203)&amp;"")</f>
        <v/>
      </c>
      <c r="L203" s="23">
        <f>IF($C203="","",INDEX(인턴근무계획!$N$3:$N$202,$A203)&amp;"")</f>
        <v/>
      </c>
      <c r="M203" s="23">
        <f>IF($C203="","",INDEX(인턴근무계획!$O$3:$O$202,$A203)&amp;"")</f>
        <v/>
      </c>
      <c r="N203" s="23">
        <f>IF($C203="","",INDEX(인턴근무계획!$P$3:$P$202,$A203)&amp;"")</f>
        <v/>
      </c>
      <c r="O203" s="23">
        <f>IF($C203="","",INDEX(인턴근무계획!$Q$3:$Q$202,$A203)&amp;"")</f>
        <v/>
      </c>
      <c r="P203" s="23">
        <f>IF($C203="","",INDEX(인턴근무계획!$R$3:$R$202,$A203)&amp;"")</f>
        <v/>
      </c>
      <c r="Q203" s="23">
        <f>IF($C203="","",INDEX(인턴근무계획!$T$3:$T$202,$A203))</f>
        <v/>
      </c>
    </row>
    <row r="204">
      <c r="A204" s="26" t="n">
        <v>199</v>
      </c>
      <c r="B204" s="23">
        <f>IF($C204="","",INDEX(인턴근무계획!$B$3:$B$202,$A204))</f>
        <v/>
      </c>
      <c r="C204" s="23">
        <f>IFERROR(TRIM(INDEX(인턴근무계획!$C$3:$C$202,$A204)&amp;""),"")</f>
        <v/>
      </c>
      <c r="D204" s="23">
        <f>IF($C204="","",INDEX(인턴근무계획!$D$3:$D$202,$A204))</f>
        <v/>
      </c>
      <c r="E204" s="23">
        <f>IF($C204="","",IF(IFERROR(MATCH($D204,기본자료!$B$2:$B$501,0),IFERROR(MATCH($D204&amp;"",기본자료!$B$2:$B$501,0),IFERROR(MATCH(VALUE($D204),기본자료!$B$2:$B$501,0),0)))&gt;0,"확인","미등록"))</f>
        <v/>
      </c>
      <c r="F204" s="27">
        <f>IF($C204="","",INDEX(인턴근무계획!$S$3:$S$202,$A204))</f>
        <v/>
      </c>
      <c r="G204" s="23">
        <f>IF(OR($C204="",$G$3=""),"",IF(INDEX(인턴근무계획!$M$3:$R$202,$A204,$G$3)&amp;""="","",IF(LEFT(INDEX(인턴근무계획!$M$3:$R$202,$A204,$G$3)&amp;"",1)="⚠",INDEX(인턴근무계획!$M$3:$R$202,$A204,$G$3)&amp;"",LEFT(INDEX(인턴근무계획!$M$3:$R$202,$A204,$G$3)&amp;"",FIND(" ",INDEX(인턴근무계획!$M$3:$R$202,$A204,$G$3)&amp;"")-1))))</f>
        <v/>
      </c>
      <c r="H204" s="23">
        <f>IF(OR($C204="",$G$3=""),"",IF(INDEX(인턴근무계획!$M$3:$R$202,$A204,$G$3)&amp;""="","",IF(LEFT(INDEX(인턴근무계획!$M$3:$R$202,$A204,$G$3)&amp;"",1)="⚠","",MID(INDEX(인턴근무계획!$M$3:$R$202,$A204,$G$3)&amp;"",FIND(" ",INDEX(인턴근무계획!$M$3:$R$202,$A204,$G$3)&amp;"")+1,60))))</f>
        <v/>
      </c>
      <c r="I204" s="23">
        <f>IF(OR($C204="",$I$3=""),"",IF(INDEX(인턴근무계획!$M$3:$R$202,$A204,$I$3)&amp;""="","",IF(LEFT(INDEX(인턴근무계획!$M$3:$R$202,$A204,$I$3)&amp;"",1)="⚠",INDEX(인턴근무계획!$M$3:$R$202,$A204,$I$3)&amp;"",LEFT(INDEX(인턴근무계획!$M$3:$R$202,$A204,$I$3)&amp;"",FIND(" ",INDEX(인턴근무계획!$M$3:$R$202,$A204,$I$3)&amp;"")-1))))</f>
        <v/>
      </c>
      <c r="J204" s="23">
        <f>IF(OR($C204="",$I$3=""),"",IF(INDEX(인턴근무계획!$M$3:$R$202,$A204,$I$3)&amp;""="","",IF(LEFT(INDEX(인턴근무계획!$M$3:$R$202,$A204,$I$3)&amp;"",1)="⚠","",MID(INDEX(인턴근무계획!$M$3:$R$202,$A204,$I$3)&amp;"",FIND(" ",INDEX(인턴근무계획!$M$3:$R$202,$A204,$I$3)&amp;"")+1,60))))</f>
        <v/>
      </c>
      <c r="K204" s="23">
        <f>IF($C204="","",INDEX(인턴근무계획!$M$3:$M$202,$A204)&amp;"")</f>
        <v/>
      </c>
      <c r="L204" s="23">
        <f>IF($C204="","",INDEX(인턴근무계획!$N$3:$N$202,$A204)&amp;"")</f>
        <v/>
      </c>
      <c r="M204" s="23">
        <f>IF($C204="","",INDEX(인턴근무계획!$O$3:$O$202,$A204)&amp;"")</f>
        <v/>
      </c>
      <c r="N204" s="23">
        <f>IF($C204="","",INDEX(인턴근무계획!$P$3:$P$202,$A204)&amp;"")</f>
        <v/>
      </c>
      <c r="O204" s="23">
        <f>IF($C204="","",INDEX(인턴근무계획!$Q$3:$Q$202,$A204)&amp;"")</f>
        <v/>
      </c>
      <c r="P204" s="23">
        <f>IF($C204="","",INDEX(인턴근무계획!$R$3:$R$202,$A204)&amp;"")</f>
        <v/>
      </c>
      <c r="Q204" s="23">
        <f>IF($C204="","",INDEX(인턴근무계획!$T$3:$T$202,$A204))</f>
        <v/>
      </c>
    </row>
    <row r="205">
      <c r="A205" s="26" t="n">
        <v>200</v>
      </c>
      <c r="B205" s="23">
        <f>IF($C205="","",INDEX(인턴근무계획!$B$3:$B$202,$A205))</f>
        <v/>
      </c>
      <c r="C205" s="23">
        <f>IFERROR(TRIM(INDEX(인턴근무계획!$C$3:$C$202,$A205)&amp;""),"")</f>
        <v/>
      </c>
      <c r="D205" s="23">
        <f>IF($C205="","",INDEX(인턴근무계획!$D$3:$D$202,$A205))</f>
        <v/>
      </c>
      <c r="E205" s="23">
        <f>IF($C205="","",IF(IFERROR(MATCH($D205,기본자료!$B$2:$B$501,0),IFERROR(MATCH($D205&amp;"",기본자료!$B$2:$B$501,0),IFERROR(MATCH(VALUE($D205),기본자료!$B$2:$B$501,0),0)))&gt;0,"확인","미등록"))</f>
        <v/>
      </c>
      <c r="F205" s="27">
        <f>IF($C205="","",INDEX(인턴근무계획!$S$3:$S$202,$A205))</f>
        <v/>
      </c>
      <c r="G205" s="23">
        <f>IF(OR($C205="",$G$3=""),"",IF(INDEX(인턴근무계획!$M$3:$R$202,$A205,$G$3)&amp;""="","",IF(LEFT(INDEX(인턴근무계획!$M$3:$R$202,$A205,$G$3)&amp;"",1)="⚠",INDEX(인턴근무계획!$M$3:$R$202,$A205,$G$3)&amp;"",LEFT(INDEX(인턴근무계획!$M$3:$R$202,$A205,$G$3)&amp;"",FIND(" ",INDEX(인턴근무계획!$M$3:$R$202,$A205,$G$3)&amp;"")-1))))</f>
        <v/>
      </c>
      <c r="H205" s="23">
        <f>IF(OR($C205="",$G$3=""),"",IF(INDEX(인턴근무계획!$M$3:$R$202,$A205,$G$3)&amp;""="","",IF(LEFT(INDEX(인턴근무계획!$M$3:$R$202,$A205,$G$3)&amp;"",1)="⚠","",MID(INDEX(인턴근무계획!$M$3:$R$202,$A205,$G$3)&amp;"",FIND(" ",INDEX(인턴근무계획!$M$3:$R$202,$A205,$G$3)&amp;"")+1,60))))</f>
        <v/>
      </c>
      <c r="I205" s="23">
        <f>IF(OR($C205="",$I$3=""),"",IF(INDEX(인턴근무계획!$M$3:$R$202,$A205,$I$3)&amp;""="","",IF(LEFT(INDEX(인턴근무계획!$M$3:$R$202,$A205,$I$3)&amp;"",1)="⚠",INDEX(인턴근무계획!$M$3:$R$202,$A205,$I$3)&amp;"",LEFT(INDEX(인턴근무계획!$M$3:$R$202,$A205,$I$3)&amp;"",FIND(" ",INDEX(인턴근무계획!$M$3:$R$202,$A205,$I$3)&amp;"")-1))))</f>
        <v/>
      </c>
      <c r="J205" s="23">
        <f>IF(OR($C205="",$I$3=""),"",IF(INDEX(인턴근무계획!$M$3:$R$202,$A205,$I$3)&amp;""="","",IF(LEFT(INDEX(인턴근무계획!$M$3:$R$202,$A205,$I$3)&amp;"",1)="⚠","",MID(INDEX(인턴근무계획!$M$3:$R$202,$A205,$I$3)&amp;"",FIND(" ",INDEX(인턴근무계획!$M$3:$R$202,$A205,$I$3)&amp;"")+1,60))))</f>
        <v/>
      </c>
      <c r="K205" s="23">
        <f>IF($C205="","",INDEX(인턴근무계획!$M$3:$M$202,$A205)&amp;"")</f>
        <v/>
      </c>
      <c r="L205" s="23">
        <f>IF($C205="","",INDEX(인턴근무계획!$N$3:$N$202,$A205)&amp;"")</f>
        <v/>
      </c>
      <c r="M205" s="23">
        <f>IF($C205="","",INDEX(인턴근무계획!$O$3:$O$202,$A205)&amp;"")</f>
        <v/>
      </c>
      <c r="N205" s="23">
        <f>IF($C205="","",INDEX(인턴근무계획!$P$3:$P$202,$A205)&amp;"")</f>
        <v/>
      </c>
      <c r="O205" s="23">
        <f>IF($C205="","",INDEX(인턴근무계획!$Q$3:$Q$202,$A205)&amp;"")</f>
        <v/>
      </c>
      <c r="P205" s="23">
        <f>IF($C205="","",INDEX(인턴근무계획!$R$3:$R$202,$A205)&amp;"")</f>
        <v/>
      </c>
      <c r="Q205" s="23">
        <f>IF($C205="","",INDEX(인턴근무계획!$T$3:$T$202,$A205))</f>
        <v/>
      </c>
    </row>
  </sheetData>
  <autoFilter ref="A5:Q205"/>
  <conditionalFormatting sqref="E6:E205">
    <cfRule type="expression" priority="1" dxfId="0">
      <formula>$E6="미등록"</formula>
    </cfRule>
  </conditionalFormatting>
  <conditionalFormatting sqref="K6:P205">
    <cfRule type="expression" priority="2" dxfId="1">
      <formula>LEFT(K6,1)="⚠"</formula>
    </cfRule>
  </conditionalFormatting>
  <conditionalFormatting sqref="K5:P205">
    <cfRule type="expression" priority="3" dxfId="12">
      <formula>K$3=MONTH(TODAY())</formula>
    </cfRule>
  </conditionalFormatting>
  <conditionalFormatting sqref="G6:H2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2026-10-03T09:58:04Z</dcterms:created>
  <dcterms:modified xsi:type="dcterms:W3CDTF">2026-10-03T09:58:04Z</dcterms:modified>
</cp:coreProperties>
</file>