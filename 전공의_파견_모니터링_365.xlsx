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입력_기본자료" sheetId="2" state="visible" r:id="rId2"/>
    <sheet xmlns:r="http://schemas.openxmlformats.org/officeDocument/2006/relationships" name="입력_인턴근무계획" sheetId="3" state="visible" r:id="rId3"/>
    <sheet xmlns:r="http://schemas.openxmlformats.org/officeDocument/2006/relationships" name="입력_구리근무자명단" sheetId="4" state="visible" r:id="rId4"/>
    <sheet xmlns:r="http://schemas.openxmlformats.org/officeDocument/2006/relationships" name="입력_전공의명단" sheetId="5" state="visible" r:id="rId5"/>
    <sheet xmlns:r="http://schemas.openxmlformats.org/officeDocument/2006/relationships" name="입력_월별근무지" sheetId="6" state="visible" r:id="rId6"/>
    <sheet xmlns:r="http://schemas.openxmlformats.org/officeDocument/2006/relationships" name="출력_서울급여" sheetId="7" state="visible" r:id="rId7"/>
    <sheet xmlns:r="http://schemas.openxmlformats.org/officeDocument/2006/relationships" name="출력_구리근무자" sheetId="8" state="visible" r:id="rId8"/>
    <sheet xmlns:r="http://schemas.openxmlformats.org/officeDocument/2006/relationships" name="출력_요약" sheetId="9" state="visible" r:id="rId9"/>
    <sheet xmlns:r="http://schemas.openxmlformats.org/officeDocument/2006/relationships" name="출력_인턴현황" sheetId="10" state="visible" r:id="rId10"/>
    <sheet xmlns:r="http://schemas.openxmlformats.org/officeDocument/2006/relationships" name="출력_기관명단" sheetId="11" state="visible" r:id="rId11"/>
    <sheet xmlns:r="http://schemas.openxmlformats.org/officeDocument/2006/relationships" name="설정_코드표" sheetId="12" state="visible" r:id="rId12"/>
  </sheets>
  <definedNames>
    <definedName name="급여기준월">'설정_코드표'!$P$9</definedName>
    <definedName name="판정기준일">'설정_코드표'!$P$10</definedName>
    <definedName name="기준월키">TEXT(급여기준월,"yyyy-mm")</definedName>
    <definedName name="전월키">TEXT(EDATE(급여기준월,-1),"yyyy-mm")</definedName>
    <definedName name="익월키">TEXT(EDATE(급여기준월,1),"yyyy-mm")</definedName>
    <definedName name="병원목록">병원표[병원]</definedName>
    <definedName name="진료과목록">진료과표[근무과]</definedName>
    <definedName name="병원표기목록">병원약칭표[표기]</definedName>
    <definedName name="과약칭목록">과약칭표[약칭]</definedName>
    <definedName name="구리_키">'출력_구리근무자'!$K$6:$K$20005</definedName>
    <definedName name="구리_이름">'출력_구리근무자'!$D$6:$D$20005</definedName>
    <definedName name="구리_근무일">'출력_구리근무자'!$H$6:$H$20005</definedName>
    <definedName name="구리_독자">'출력_구리근무자'!$J$6:$J$20005</definedName>
    <definedName name="구리_시작">'출력_구리근무자'!$F$6:$F$20005</definedName>
    <definedName name="구리_종료">'출력_구리근무자'!$G$6:$G$20005</definedName>
    <definedName name="인턴위치_이번">'출력_인턴현황'!$G$3</definedName>
    <definedName name="인턴위치_다음">'출력_인턴현황'!$I$3</definedName>
    <definedName name="인턴위치_기준월">'출력_인턴현황'!$K$2</definedName>
    <definedName name="인턴위치_전월">'출력_인턴현황'!$M$2</definedName>
    <definedName name="인턴위치_익월">'출력_인턴현황'!$N$2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yyyy&quot;년&quot; m&quot;월&quot;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FF"/>
      <sz val="10"/>
    </font>
    <font>
      <name val="맑은 고딕"/>
      <sz val="10"/>
    </font>
    <font>
      <name val="맑은 고딕"/>
      <b val="1"/>
      <sz val="10"/>
    </font>
    <font>
      <name val="맑은 고딕"/>
      <color rgb="007F7F7F"/>
      <sz val="9"/>
    </font>
    <font>
      <name val="맑은 고딕"/>
      <b val="1"/>
      <sz val="14"/>
    </font>
    <font>
      <name val="맑은 고딕"/>
      <b val="1"/>
      <color rgb="001F3864"/>
      <sz val="12"/>
    </font>
    <font>
      <name val="맑은 고딕"/>
      <b val="1"/>
      <sz val="12"/>
    </font>
    <font>
      <name val="맑은 고딕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0" fontId="3" fillId="5" borderId="1" pivotButton="0" quotePrefix="0" xfId="0"/>
    <xf numFmtId="0" fontId="6" fillId="0" borderId="0" applyAlignment="1" pivotButton="0" quotePrefix="0" xfId="0">
      <alignment horizontal="center" vertical="center"/>
    </xf>
    <xf numFmtId="164" fontId="3" fillId="5" borderId="1" pivotButton="0" quotePrefix="0" xfId="0"/>
    <xf numFmtId="1" fontId="3" fillId="5" borderId="1" pivotButton="0" quotePrefix="0" xfId="0"/>
    <xf numFmtId="0" fontId="2" fillId="0" borderId="0" pivotButton="0" quotePrefix="0" xfId="0"/>
    <xf numFmtId="0" fontId="5" fillId="0" borderId="0" pivotButton="0" quotePrefix="0" xfId="0"/>
    <xf numFmtId="165" fontId="2" fillId="0" borderId="1" pivotButton="0" quotePrefix="0" xfId="0"/>
    <xf numFmtId="166" fontId="7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3" fillId="0" borderId="0" pivotButton="0" quotePrefix="0" xfId="0"/>
    <xf numFmtId="1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1" pivotButton="0" quotePrefix="0" xfId="0"/>
    <xf numFmtId="164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fill>
        <patternFill patternType="solid">
          <bgColor rgb="00FFC7CE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FFFFFF"/>
      </font>
      <fill>
        <patternFill patternType="solid">
          <bgColor rgb="00FF0000"/>
        </patternFill>
      </fill>
    </dxf>
    <dxf>
      <font>
        <name val="맑은 고딕"/>
        <b val="1"/>
        <color rgb="009C0006"/>
      </font>
      <fill>
        <patternFill patternType="solid">
          <bgColor rgb="00FFC7CE"/>
        </patternFill>
      </fill>
    </dxf>
    <dxf>
      <fill>
        <patternFill patternType="solid">
          <bgColor rgb="00FFFF00"/>
        </patternFill>
      </fill>
    </dxf>
    <dxf>
      <font>
        <name val="맑은 고딕"/>
        <b val="1"/>
        <color rgb="00FF0000"/>
      </font>
    </dxf>
    <dxf>
      <fill>
        <patternFill patternType="solid">
          <bgColor rgb="00FFF2CC"/>
        </patternFill>
      </fill>
    </dxf>
    <dxf>
      <fill>
        <patternFill patternType="solid">
          <bgColor rgb="00E2EFDA"/>
        </patternFill>
      </fill>
    </dxf>
    <dxf>
      <font>
        <name val="맑은 고딕"/>
        <b val="1"/>
        <color rgb="00C00000"/>
      </font>
      <fill>
        <patternFill patternType="solid">
          <bgColor rgb="00FFC7CE"/>
        </patternFill>
      </fill>
    </dxf>
    <dxf>
      <font>
        <name val="맑은 고딕"/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Id="rIdMeta1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기본자료표" displayName="기본자료표" ref="A1:M9" headerRowCount="1">
  <tableColumns count="13">
    <tableColumn id="1" name="현재근무 여부"/>
    <tableColumn id="2" name="사번"/>
    <tableColumn id="3" name="이름"/>
    <tableColumn id="4" name="수련과목"/>
    <tableColumn id="5" name="연차"/>
    <tableColumn id="6" name="근무지"/>
    <tableColumn id="7" name="수련개시일"/>
    <tableColumn id="8" name="전공의등록번호"/>
    <tableColumn id="9" name="의사면허번호"/>
    <tableColumn id="10" name="성별"/>
    <tableColumn id="11" name="생년월일"/>
    <tableColumn id="12" name="비고"/>
    <tableColumn id="13" name="사번키">
      <calculatedColumnFormula>IF(TRIM(기본자료표[[#This Row],[사번]]&amp;"")="","","S|"&amp;TRIM(기본자료표[[#This Row],[사번]]&amp;""))</calculatedColumnFormula>
    </tableColumn>
  </tableColumns>
  <tableStyleInfo name="TableStyleLight9" showRowStripes="1"/>
</table>
</file>

<file path=xl/tables/table2.xml><?xml version="1.0" encoding="utf-8"?>
<table xmlns="http://schemas.openxmlformats.org/spreadsheetml/2006/main" id="2" name="인턴계획표" displayName="인턴계획표" ref="B2:T5" headerRowCount="1">
  <tableColumns count="19">
    <tableColumn id="1" name="순번"/>
    <tableColumn id="2" name="이름"/>
    <tableColumn id="3" name="사번"/>
    <tableColumn id="4" name="9월"/>
    <tableColumn id="5" name="10월"/>
    <tableColumn id="6" name="11월"/>
    <tableColumn id="7" name="12월"/>
    <tableColumn id="8" name="1월"/>
    <tableColumn id="9" name="2월"/>
    <tableColumn id="10" name="비고"/>
    <tableColumn id="11" name="사번키">
      <calculatedColumnFormula>IF(TRIM(인턴계획표[[#This Row],[사번]]&amp;"")="","","S|"&amp;TRIM(인턴계획표[[#This Row],[사번]]&amp;""))</calculatedColumnFormula>
    </tableColumn>
    <tableColumn id="12" name="정규화1">
      <calculatedColumnFormula>_xlfn.LET(_xlpm.v_r,TRIM(INDEX(인턴계획표[#This Row],1,4)&amp;""),_xlpm.v_t1,IFERROR(LEFT(_xlpm.v_r,FIND("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calculatedColumnFormula>
    </tableColumn>
    <tableColumn id="13" name="정규화2">
      <calculatedColumnFormula>_xlfn.LET(_xlpm.v_r,TRIM(INDEX(인턴계획표[#This Row],1,5)&amp;""),_xlpm.v_t1,IFERROR(LEFT(_xlpm.v_r,FIND("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calculatedColumnFormula>
    </tableColumn>
    <tableColumn id="14" name="정규화3">
      <calculatedColumnFormula>_xlfn.LET(_xlpm.v_r,TRIM(INDEX(인턴계획표[#This Row],1,6)&amp;""),_xlpm.v_t1,IFERROR(LEFT(_xlpm.v_r,FIND("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calculatedColumnFormula>
    </tableColumn>
    <tableColumn id="15" name="정규화4">
      <calculatedColumnFormula>_xlfn.LET(_xlpm.v_r,TRIM(INDEX(인턴계획표[#This Row],1,7)&amp;""),_xlpm.v_t1,IFERROR(LEFT(_xlpm.v_r,FIND("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calculatedColumnFormula>
    </tableColumn>
    <tableColumn id="16" name="정규화5">
      <calculatedColumnFormula>_xlfn.LET(_xlpm.v_r,TRIM(INDEX(인턴계획표[#This Row],1,8)&amp;""),_xlpm.v_t1,IFERROR(LEFT(_xlpm.v_r,FIND("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calculatedColumnFormula>
    </tableColumn>
    <tableColumn id="17" name="정규화6">
      <calculatedColumnFormula>_xlfn.LET(_xlpm.v_r,TRIM(INDEX(인턴계획표[#This Row],1,9)&amp;""),_xlpm.v_t1,IFERROR(LEFT(_xlpm.v_r,FIND("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calculatedColumnFormula>
    </tableColumn>
    <tableColumn id="18" name="입사일(비고)">
      <calculatedColumnFormula>_xlfn.LET(_xlpm.v_k,INDEX(인턴계획표[#This Row],1,10)&amp;"",_xlpm.v_v,IFERROR(VALUE(_xlpm.v_k),""),_xlpm.v_m,IFERROR(ROUND((_xlpm.v_v-INT(_xlpm.v_v))*100,0),0),IF(_xlpm.v_k="","",IF(AND(ISNUMBER(_xlpm.v_v),_xlpm.v_m&gt;=1,_xlpm.v_m&lt;=12,IFERROR(INT(_xlpm.v_v),0)&gt;=1900),DATE(INT(_xlpm.v_v),_xlpm.v_m,1),_xlpm.v_k)))</calculatedColumnFormula>
    </tableColumn>
    <tableColumn id="19" name="입력오류">
      <calculatedColumnFormula>COUNTIF(인턴계획표[[#This Row],[정규화1]:[정규화6]],"⚠*")</calculatedColumnFormula>
    </tableColumn>
  </tableColumns>
  <tableStyleInfo name="TableStyleLight9" showRowStripes="1"/>
</table>
</file>

<file path=xl/tables/table3.xml><?xml version="1.0" encoding="utf-8"?>
<table xmlns="http://schemas.openxmlformats.org/spreadsheetml/2006/main" id="3" name="명단표" displayName="명단표" ref="A1:AS9" headerRowCount="1">
  <tableColumns count="45">
    <tableColumn id="1" name="번호">
      <calculatedColumnFormula>ROW()-ROW(명단표[#Headers])</calculatedColumnFormula>
    </tableColumn>
    <tableColumn id="2" name="사번"/>
    <tableColumn id="3" name="이름">
      <calculatedColumnFormula>IF(명단표[[#This Row],[기본자료행]]="","",IF(INDEX(기본자료표[이름],명단표[[#This Row],[기본자료행]])="","",INDEX(기본자료표[이름],명단표[[#This Row],[기본자료행]])))</calculatedColumnFormula>
    </tableColumn>
    <tableColumn id="4" name="성별">
      <calculatedColumnFormula>IF(명단표[[#This Row],[기본자료행]]="","",IF(INDEX(기본자료표[성별],명단표[[#This Row],[기본자료행]])="","",INDEX(기본자료표[성별],명단표[[#This Row],[기본자료행]])))</calculatedColumnFormula>
    </tableColumn>
    <tableColumn id="5" name="생년월일">
      <calculatedColumnFormula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calculatedColumnFormula>
    </tableColumn>
    <tableColumn id="6" name="수련과목">
      <calculatedColumnFormula>IF(명단표[[#This Row],[기본자료행]]="","",IF(INDEX(기본자료표[수련과목],명단표[[#This Row],[기본자료행]])="","",INDEX(기본자료표[수련과목],명단표[[#This Row],[기본자료행]])))</calculatedColumnFormula>
    </tableColumn>
    <tableColumn id="7" name="연차">
      <calculatedColumnFormula>IF(명단표[[#This Row],[기본자료행]]="","",IF(INDEX(기본자료표[연차],명단표[[#This Row],[기본자료행]])="","",INDEX(기본자료표[연차],명단표[[#This Row],[기본자료행]])))</calculatedColumnFormula>
    </tableColumn>
    <tableColumn id="8" name="근무지">
      <calculatedColumnFormula>IF(명단표[[#This Row],[기본자료행]]="","",IF(INDEX(기본자료표[근무지],명단표[[#This Row],[기본자료행]])="","",INDEX(기본자료표[근무지],명단표[[#This Row],[기본자료행]])))</calculatedColumnFormula>
    </tableColumn>
    <tableColumn id="9" name="수련개시일">
      <calculatedColumnFormula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calculatedColumnFormula>
    </tableColumn>
    <tableColumn id="10" name="전공의등록번호">
      <calculatedColumnFormula>IF(명단표[[#This Row],[기본자료행]]="","",IF(INDEX(기본자료표[전공의등록번호],명단표[[#This Row],[기본자료행]])="","",INDEX(기본자료표[전공의등록번호],명단표[[#This Row],[기본자료행]])))</calculatedColumnFormula>
    </tableColumn>
    <tableColumn id="11" name="의사면허번호">
      <calculatedColumnFormula>IF(명단표[[#This Row],[기본자료행]]="","",IF(INDEX(기본자료표[의사면허번호],명단표[[#This Row],[기본자료행]])="","",INDEX(기본자료표[의사면허번호],명단표[[#This Row],[기본자료행]])))</calculatedColumnFormula>
    </tableColumn>
    <tableColumn id="12" name="재직여부">
      <calculatedColumnFormula>IF(명단표[[#This Row],[기본자료행]]="","",IF(INDEX(기본자료표[현재근무 여부],명단표[[#This Row],[기본자료행]])="","",INDEX(기본자료표[현재근무 여부],명단표[[#This Row],[기본자료행]])))</calculatedColumnFormula>
    </tableColumn>
    <tableColumn id="13" name="입사장소"/>
    <tableColumn id="14" name="현재 근무병원">
      <calculatedColumnFormula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calculatedColumnFormula>
    </tableColumn>
    <tableColumn id="15" name="현재 진료과">
      <calculatedColumnFormula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calculatedColumnFormula>
    </tableColumn>
    <tableColumn id="16" name="구리 근무 시작일(기준월)">
      <calculatedColumnFormula>IF(명단표[[#This Row],[구리행]]="","",INDEX(구리_시작,명단표[[#This Row],[구리행]]))</calculatedColumnFormula>
    </tableColumn>
    <tableColumn id="17" name="구리 근무 종료일(기준월)">
      <calculatedColumnFormula>IF(명단표[[#This Row],[구리행]]="","",INDEX(구리_종료,명단표[[#This Row],[구리행]]))</calculatedColumnFormula>
    </tableColumn>
    <tableColumn id="18" name="구리독자">
      <calculatedColumnFormula>IF(명단표[[#This Row],[구리행]]="","",INDEX(구리_독자,명단표[[#This Row],[구리행]]))</calculatedColumnFormula>
    </tableColumn>
    <tableColumn id="19" name="서울 근무일(기준월)">
      <calculatedColumnFormula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calculatedColumnFormula>
    </tableColumn>
    <tableColumn id="20" name="구리 근무일(기준월)">
      <calculatedColumnFormula>IF(NOT(TRIM(명단표[[#This Row],[사번]]&amp;"")&lt;&gt;""),"",IF(명단표[[#This Row],[구리행]]&lt;&gt;"",N(명단표[[#This Row],[구리명단 근무일]]),IF(명단표[[#This Row],[기준월 근무병원]]="구리병원",DAY(EOMONTH(급여기준월,0)),0)))</calculatedColumnFormula>
    </tableColumn>
    <tableColumn id="21" name="급여지급병원(기준월)">
      <calculatedColumnFormula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calculatedColumnFormula>
    </tableColumn>
    <tableColumn id="22" name="급여 판정 근거">
      <calculatedColumnFormula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calculatedColumnFormula>
    </tableColumn>
    <tableColumn id="23" name="점검">
      <calculatedColumnFormula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calculatedColumnFormula>
    </tableColumn>
    <tableColumn id="24" name="비고"/>
    <tableColumn id="25" name="전월 근무병원">
      <calculatedColumnFormula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calculatedColumnFormula>
    </tableColumn>
    <tableColumn id="26" name="전월 급여지급병원">
      <calculatedColumnFormula>IF(NOT(TRIM(명단표[[#This Row],[사번]]&amp;"")&lt;&gt;""),"",IF(명단표[[#This Row],[직접행(전월)]]&lt;&gt;"",INDEX(월별근무지표[적용 급여병원],명단표[[#This Row],[직접행(전월)]]),명단표[[#This Row],[전월 근무병원]]))</calculatedColumnFormula>
    </tableColumn>
    <tableColumn id="27" name="전월 근거">
      <calculatedColumnFormula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calculatedColumnFormula>
    </tableColumn>
    <tableColumn id="28" name="익월 근무병원">
      <calculatedColumnFormula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calculatedColumnFormula>
    </tableColumn>
    <tableColumn id="29" name="익월 급여지급병원">
      <calculatedColumnFormula>IF(NOT(TRIM(명단표[[#This Row],[사번]]&amp;"")&lt;&gt;""),"",IF(명단표[[#This Row],[직접행(익월)]]&lt;&gt;"",INDEX(월별근무지표[적용 급여병원],명단표[[#This Row],[직접행(익월)]]),명단표[[#This Row],[익월 근무병원]]))</calculatedColumnFormula>
    </tableColumn>
    <tableColumn id="30" name="익월 근거">
      <calculatedColumnFormula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calculatedColumnFormula>
    </tableColumn>
    <tableColumn id="31" name="기본자료행">
      <calculatedColumnFormula>IF(NOT(TRIM(명단표[[#This Row],[사번]]&amp;"")&lt;&gt;""),"",IFERROR(_xlfn.XMATCH("S|"&amp;TRIM(명단표[[#This Row],[사번]]&amp;""),기본자료표[사번키]),""))</calculatedColumnFormula>
    </tableColumn>
    <tableColumn id="32" name="이름|과">
      <calculatedColumnFormula>IF(명단표[[#This Row],[이름]]="","",명단표[[#This Row],[이름]]&amp;"|"&amp;명단표[[#This Row],[수련과목]])</calculatedColumnFormula>
    </tableColumn>
    <tableColumn id="33" name="인턴계획행">
      <calculatedColumnFormula>IF(NOT(TRIM(명단표[[#This Row],[사번]]&amp;"")&lt;&gt;""),"",IFERROR(_xlfn.XMATCH("S|"&amp;TRIM(명단표[[#This Row],[사번]]&amp;""),인턴계획표[사번키]),""))</calculatedColumnFormula>
    </tableColumn>
    <tableColumn id="34" name="인턴 이번달">
      <calculatedColumnFormula>IF(OR(명단표[[#This Row],[인턴계획행]]="",인턴위치_이번=""),"",INDEX(인턴계획표[[정규화1]:[정규화6]],명단표[[#This Row],[인턴계획행]],인턴위치_이번)&amp;"")</calculatedColumnFormula>
    </tableColumn>
    <tableColumn id="35" name="인턴 기준월">
      <calculatedColumnFormula>IF(OR(명단표[[#This Row],[인턴계획행]]="",인턴위치_기준월=""),"",INDEX(인턴계획표[[정규화1]:[정규화6]],명단표[[#This Row],[인턴계획행]],인턴위치_기준월)&amp;"")</calculatedColumnFormula>
    </tableColumn>
    <tableColumn id="36" name="인턴 전월">
      <calculatedColumnFormula>IF(OR(명단표[[#This Row],[인턴계획행]]="",인턴위치_전월=""),"",INDEX(인턴계획표[[정규화1]:[정규화6]],명단표[[#This Row],[인턴계획행]],인턴위치_전월)&amp;"")</calculatedColumnFormula>
    </tableColumn>
    <tableColumn id="37" name="인턴 익월">
      <calculatedColumnFormula>IF(OR(명단표[[#This Row],[인턴계획행]]="",인턴위치_익월=""),"",INDEX(인턴계획표[[정규화1]:[정규화6]],명단표[[#This Row],[인턴계획행]],인턴위치_익월)&amp;"")</calculatedColumnFormula>
    </tableColumn>
    <tableColumn id="38" name="직접행(기준월)">
      <calculatedColumnFormula>IF(NOT(TRIM(명단표[[#This Row],[사번]]&amp;"")&lt;&gt;""),"",IFERROR(_xlfn.XMATCH("S|"&amp;TRIM(명단표[[#This Row],[사번]]&amp;"")&amp;"|"&amp;기준월키,월별근무지표[키]),""))</calculatedColumnFormula>
    </tableColumn>
    <tableColumn id="39" name="직접행(전월)">
      <calculatedColumnFormula>IF(NOT(TRIM(명단표[[#This Row],[사번]]&amp;"")&lt;&gt;""),"",IFERROR(_xlfn.XMATCH("S|"&amp;TRIM(명단표[[#This Row],[사번]]&amp;"")&amp;"|"&amp;전월키,월별근무지표[키]),""))</calculatedColumnFormula>
    </tableColumn>
    <tableColumn id="40" name="직접행(익월)">
      <calculatedColumnFormula>IF(NOT(TRIM(명단표[[#This Row],[사번]]&amp;"")&lt;&gt;""),"",IFERROR(_xlfn.XMATCH("S|"&amp;TRIM(명단표[[#This Row],[사번]]&amp;"")&amp;"|"&amp;익월키,월별근무지표[키]),""))</calculatedColumnFormula>
    </tableColumn>
    <tableColumn id="41" name="소속병원">
      <calculatedColumnFormula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calculatedColumnFormula>
    </tableColumn>
    <tableColumn id="42" name="기준월 근무병원">
      <calculatedColumnFormula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calculatedColumnFormula>
    </tableColumn>
    <tableColumn id="43" name="구리행">
      <calculatedColumnFormula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calculatedColumnFormula>
    </tableColumn>
    <tableColumn id="44" name="구리명단 근무일">
      <calculatedColumnFormula>IF(명단표[[#This Row],[구리행]]="","",INDEX(구리_근무일,명단표[[#This Row],[구리행]]))</calculatedColumnFormula>
    </tableColumn>
    <tableColumn id="45" name="구리 근무 중">
      <calculatedColumnFormula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calculatedColumnFormula>
    </tableColumn>
  </tableColumns>
  <tableStyleInfo name="TableStyleLight9" showRowStripes="1"/>
</table>
</file>

<file path=xl/tables/table4.xml><?xml version="1.0" encoding="utf-8"?>
<table xmlns="http://schemas.openxmlformats.org/spreadsheetml/2006/main" id="4" name="월별근무지표" displayName="월별근무지표" ref="A3:K6" headerRowCount="1">
  <tableColumns count="11">
    <tableColumn id="1" name="월"/>
    <tableColumn id="2" name="사번"/>
    <tableColumn id="3" name="근무병원"/>
    <tableColumn id="4" name="급여지급병원"/>
    <tableColumn id="5" name="비고"/>
    <tableColumn id="6" name="월키">
      <calculatedColumnFormula>_xlfn.LET(_xlpm.v_m,월별근무지표[[#This Row],[월]],IF(_xlpm.v_m&amp;""="","",IF(ISNUMBER(_xlpm.v_m),IF(_xlpm.v_m&lt;10000,TEXT(DATE(INT(_xlpm.v_m),ROUND(MOD(_xlpm.v_m,1)*100,0),1),"yyyy-mm"),TEXT(_xlpm.v_m,"yyyy-mm")),IFERROR(TEXT(DATEVALUE(SUBSTITUTE(SUBSTITUTE(LEFT(TRIM(_xlpm.v_m),7),".","-"),"/","-")&amp;"-01"),"yyyy-mm"),"⚠형식 오류"))))</calculatedColumnFormula>
    </tableColumn>
    <tableColumn id="7" name="사번키">
      <calculatedColumnFormula>IF(TRIM(월별근무지표[[#This Row],[사번]]&amp;"")="","","S|"&amp;TRIM(월별근무지표[[#This Row],[사번]]&amp;""))</calculatedColumnFormula>
    </tableColumn>
    <tableColumn id="8" name="키">
      <calculatedColumnFormula>IF(LEFT(월별근무지표[[#This Row],[월키]],1)="⚠","",IF(OR(월별근무지표[[#This Row],[사번키]]="",월별근무지표[[#This Row],[월키]]=""),"",월별근무지표[[#This Row],[사번키]]&amp;"|"&amp;월별근무지표[[#This Row],[월키]]))</calculatedColumnFormula>
    </tableColumn>
    <tableColumn id="9" name="이름(확인)">
      <calculatedColumnFormula>IF(월별근무지표[[#This Row],[사번키]]="","",_xlfn.XLOOKUP(월별근무지표[[#This Row],[사번키]],기본자료표[사번키],기본자료표[이름]&amp;"","(기본자료에 없음)"))</calculatedColumnFormula>
    </tableColumn>
    <tableColumn id="10" name="적용 급여병원">
      <calculatedColumnFormula>IF(월별근무지표[[#This Row],[근무병원]]="","",IF(월별근무지표[[#This Row],[급여지급병원]]="",월별근무지표[[#This Row],[근무병원]],월별근무지표[[#This Row],[급여지급병원]]))</calculatedColumnFormula>
    </tableColumn>
    <tableColumn id="11" name="점검">
      <calculatedColumnFormula>IF(AND(TRIM(월별근무지표[[#This Row],[사번]]&amp;"")="",월별근무지표[[#This Row],[월]]&amp;""=""),"",IF(OR(TRIM(월별근무지표[[#This Row],[사번]]&amp;"")="",월별근무지표[[#This Row],[월]]&amp;""=""),"월·사번 모두 입력",IF(LEFT(월별근무지표[[#This Row],[월키]],1)="⚠","월 형식 확인(예: 2026-10)",IF(월별근무지표[[#This Row],[근무병원]]="","근무병원 입력",IF(COUNTIF(명단표[사번],TRIM(월별근무지표[[#This Row],[사번]]&amp;""))=0,"전공의명단에 없는 사번",IF(COUNTIF(월별근무지표[키],월별근무지표[[#This Row],[키]])&gt;1,"같은 사번·월 중복(위쪽 줄 적용)","정상"))))))</calculatedColumnFormula>
    </tableColumn>
  </tableColumns>
  <tableStyleInfo name="TableStyleLight9" showRowStripes="1"/>
</table>
</file>

<file path=xl/tables/table5.xml><?xml version="1.0" encoding="utf-8"?>
<table xmlns="http://schemas.openxmlformats.org/spreadsheetml/2006/main" id="5" name="병원표" displayName="병원표" ref="A1:A7" headerRowCount="1">
  <tableColumns count="1">
    <tableColumn id="1" name="병원"/>
  </tableColumns>
  <tableStyleInfo name="TableStyleLight1" showRowStripes="1"/>
</table>
</file>

<file path=xl/tables/table6.xml><?xml version="1.0" encoding="utf-8"?>
<table xmlns="http://schemas.openxmlformats.org/spreadsheetml/2006/main" id="6" name="진료과표" displayName="진료과표" ref="C1:C25" headerRowCount="1">
  <tableColumns count="1">
    <tableColumn id="1" name="근무과"/>
  </tableColumns>
  <tableStyleInfo name="TableStyleLight1" showRowStripes="1"/>
</table>
</file>

<file path=xl/tables/table7.xml><?xml version="1.0" encoding="utf-8"?>
<table xmlns="http://schemas.openxmlformats.org/spreadsheetml/2006/main" id="7" name="인턴구분표" displayName="인턴구분표" ref="E1:E5" headerRowCount="1">
  <tableColumns count="1">
    <tableColumn id="1" name="인턴 구분"/>
  </tableColumns>
  <tableStyleInfo name="TableStyleLight1" showRowStripes="1"/>
</table>
</file>

<file path=xl/tables/table8.xml><?xml version="1.0" encoding="utf-8"?>
<table xmlns="http://schemas.openxmlformats.org/spreadsheetml/2006/main" id="8" name="과약칭표" displayName="과약칭표" ref="I1:J65" headerRowCount="1">
  <tableColumns count="2">
    <tableColumn id="1" name="약칭"/>
    <tableColumn id="2" name="정식 명칭"/>
  </tableColumns>
  <tableStyleInfo name="TableStyleLight1" showRowStripes="1"/>
</table>
</file>

<file path=xl/tables/table9.xml><?xml version="1.0" encoding="utf-8"?>
<table xmlns="http://schemas.openxmlformats.org/spreadsheetml/2006/main" id="9" name="병원약칭표" displayName="병원약칭표" ref="L1:M19" headerRowCount="1">
  <tableColumns count="2">
    <tableColumn id="1" name="표기"/>
    <tableColumn id="2" name="정식 병원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Relationship Type="http://schemas.openxmlformats.org/officeDocument/2006/relationships/table" Target="/xl/tables/table9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75" customWidth="1" min="1" max="1"/>
  </cols>
  <sheetData>
    <row r="1">
      <c r="A1" s="1" t="inlineStr">
        <is>
          <t>전공의·인턴 파견 모니터링 사용 안내 (Microsoft 365 · Excel 2021용, 인원 제한 없음)</t>
        </is>
      </c>
    </row>
    <row r="2">
      <c r="A2" s="2" t="inlineStr"/>
    </row>
    <row r="3">
      <c r="A3" s="3" t="inlineStr">
        <is>
          <t>[시트 구분] — 탭 색: 파랑=입력, 초록=출력(자동, 입력 금지), 회색=설정</t>
        </is>
      </c>
    </row>
    <row r="4">
      <c r="A4" s="2" t="inlineStr">
        <is>
          <t>• 입력_기본자료 / 입력_인턴근무계획 / 입력_전공의명단: 엑셀 '표'. 표 바로 아래(또는 첫 자료 행)에 붙여넣으면 표가 자동으로 늘어나고 초록 머리글 계산 열도 자동으로 채워집니다.</t>
        </is>
      </c>
    </row>
    <row r="5">
      <c r="A5" s="2" t="inlineStr">
        <is>
          <t>• 입력_구리근무자명단: 구리병원 파일의 시트를 A1에 양식 그대로 붙여넣는 시트(병합 셀이 있어 표가 아님). 2만 행·ZZ열까지 읽습니다.</t>
        </is>
      </c>
    </row>
    <row r="6">
      <c r="A6" s="2" t="inlineStr">
        <is>
          <t>• 출력_서울급여 / 출력_구리근무자 / 출력_요약 / 출력_인턴현황: 대상 수만큼 자동으로 펼쳐지는 목록(동적 배열). 셀을 지우거나 아래에 입력하지 마세요(#SPILL! 오류).</t>
        </is>
      </c>
    </row>
    <row r="7">
      <c r="A7" s="2" t="inlineStr">
        <is>
          <t>• 설정_코드표: 병원·진료과·인턴구분·약칭 목록(표)과 설정값(급여 기준월·15일 기준).</t>
        </is>
      </c>
    </row>
    <row r="8">
      <c r="A8" s="2" t="inlineStr">
        <is>
          <t>• 입력_월별근무지: 전월·익월(또는 어느 달이든) 근무병원을 사람별로 직접 입력하는 표. 자동 판정보다 우선합니다.</t>
        </is>
      </c>
    </row>
    <row r="9">
      <c r="A9" s="2" t="inlineStr">
        <is>
          <t>• 출력_기관명단: 전월·급여 기준월·익월 3개월의 전원 기관(근무병원·급여지급병원) — 시간외근무 판정 파일의 입력_기관명단에 값으로 붙여넣는 용도</t>
        </is>
      </c>
    </row>
    <row r="10">
      <c r="A10" s="2" t="inlineStr"/>
    </row>
    <row r="11">
      <c r="A11" s="3" t="inlineStr">
        <is>
          <t>[붙여넣는 방법]</t>
        </is>
      </c>
    </row>
    <row r="12">
      <c r="A12" s="2" t="inlineStr">
        <is>
          <t>• 기본자료: A2부터 (머리글 순서: 현재근무 여부·사번·이름·수련과목·연차·근무지·수련개시일·전공의등록번호·의사면허번호·성별·생년월일·비고). 날짜는 20260301 형식도 됩니다.</t>
        </is>
      </c>
    </row>
    <row r="13">
      <c r="A13" s="2" t="inlineStr">
        <is>
          <t>• 인턴근무계획: B3부터 자료 행(순번·이름·사번·월 6칸·비고). 학기가 바뀌면 2행의 월 머리글(9월~2월 등)도 바꿔 적으세요. 비고 2026.03 = 2026-03-01 입사.</t>
        </is>
      </c>
    </row>
    <row r="14">
      <c r="A14" s="2" t="inlineStr">
        <is>
          <t>• 구리 근무자명단: 구리병원 파일의 시트를 A1에 양식 그대로(1~2행 제목, 3행 머리글, 4행부터 자료). 날짜는 'YYYY.MM.DD' 글자도 됩니다.</t>
        </is>
      </c>
    </row>
    <row r="15">
      <c r="A15" s="2" t="inlineStr">
        <is>
          <t>• 전공의명단: 사번·입사장소·비고만 입력. 나머지는 자동.</t>
        </is>
      </c>
    </row>
    <row r="16">
      <c r="A16" s="2" t="inlineStr">
        <is>
          <t>• 예시 데이터(ㅇㅇ)는 모두 지우고 실제 자료를 넣으세요. 표의 행을 지울 때는 행 전체 삭제(표 행 삭제)를 쓰세요.</t>
        </is>
      </c>
    </row>
    <row r="17">
      <c r="A17" s="2" t="inlineStr"/>
    </row>
    <row r="18">
      <c r="A18" s="3" t="inlineStr">
        <is>
          <t>[표기 해석]</t>
        </is>
      </c>
    </row>
    <row r="19">
      <c r="A19" s="2" t="inlineStr">
        <is>
          <t>• 인턴 월 칸은 '지역 진료과'(예: 서울 산부 → 서울병원 산부인과, 제주 에스중앙 내과 → 제주병원 내과). 첫 단어=지역(병원약칭표), 마지막 단어=진료과(과약칭표).</t>
        </is>
      </c>
    </row>
    <row r="20">
      <c r="A20" s="2" t="inlineStr">
        <is>
          <t>• 통합(과 미지정), 핵/방, 직/피, 정/영 등은 인턴 전용 구분입니다(과약칭표에서 직피·정영 등 약칭도 인정).</t>
        </is>
      </c>
    </row>
    <row r="21">
      <c r="A21" s="2" t="inlineStr">
        <is>
          <t>• 코드표에 없는 값을 직접 입력하면 오류 팝업이 뜹니다. 붙여넣기는 팝업이 뜨지 않으므로 해당 칸이 빨갛게 표시되고 요약에 집계됩니다.</t>
        </is>
      </c>
    </row>
    <row r="22">
      <c r="A22" s="2" t="inlineStr"/>
    </row>
    <row r="23">
      <c r="A23" s="3" t="inlineStr">
        <is>
          <t>[급여지급병원(기준월) 규칙]</t>
        </is>
      </c>
    </row>
    <row r="24">
      <c r="A24" s="2" t="inlineStr">
        <is>
          <t>• 서울병원·구리병원 사이: 소속과 무관하게 급여 기준월에 15일 이상 근무한 병원이 그 달 전체를 지급(예: 구리 10일·서울 20일 → 서울 지급).</t>
        </is>
      </c>
    </row>
    <row r="25">
      <c r="A25" s="2" t="inlineStr">
        <is>
          <t>• 근무일: 구리 근무자명단에 있으면 그 날짜가 구리 근무일, 그 달의 나머지 날은 모두 서울 근무일입니다.</t>
        </is>
      </c>
    </row>
    <row r="26">
      <c r="A26" s="2" t="inlineStr">
        <is>
          <t>• 양쪽 모두 15일 이상이거나 모두 미만이면 ⚠ 판정 불가로 표시합니다.</t>
        </is>
      </c>
    </row>
    <row r="27">
      <c r="A27" s="2" t="inlineStr">
        <is>
          <t>• 구리 근무자명단에 없는 사람은 그 달 근무병원(인턴은 인턴근무계획의 병원, 그 외는 소속병원)이 지급합니다.</t>
        </is>
      </c>
    </row>
    <row r="28">
      <c r="A28" s="2" t="inlineStr">
        <is>
          <t>• 소속병원 = 입사장소 → (비어 있으면) 구리 근무자명단 비고 '구리독자'면 구리병원 → 기본자료 근무지 순서로 정합니다.</t>
        </is>
      </c>
    </row>
    <row r="29">
      <c r="A29" s="2" t="inlineStr"/>
    </row>
    <row r="30">
      <c r="A30" s="3" t="inlineStr">
        <is>
          <t>[월별 근무지 직접 입력]</t>
        </is>
      </c>
    </row>
    <row r="31">
      <c r="A31" s="2" t="inlineStr">
        <is>
          <t>• 입력_월별근무지에 월(예: 2026-10)·사번·근무병원을 넣으면 그 달은 그 값을 씁니다. 급여지급병원이 근무병원과 다를 때만 급여지급병원 칸도 입력하세요.</t>
        </is>
      </c>
    </row>
    <row r="32">
      <c r="A32" s="2" t="inlineStr">
        <is>
          <t>• 급여 기준월: 직접 입력 → 구리 근무자명단 15일 판정 → 인턴 근무계획 → 소속병원 순서. 직접 입력하면 ⚠15일 판정불가도 그 값으로 정리됩니다.</t>
        </is>
      </c>
    </row>
    <row r="33">
      <c r="A33" s="2" t="inlineStr">
        <is>
          <t>• 전월·익월: 직접 입력 → 인턴 근무계획 → 소속병원 순서(구리 근무자명단은 급여 기준월 블록만 읽음). 입력_전공의명단의 '전월/익월 근무병원·급여지급병원·근거' 열과 출력_기관명단에 나옵니다.</t>
        </is>
      </c>
    </row>
    <row r="34">
      <c r="A34" s="2" t="inlineStr">
        <is>
          <t>• 급여 기준월에 구리 근무자명단에 있는 사람의 전월·익월이 자동 추정이면 근거에 ⚠ — 실제 근무지를 직접 입력하세요.</t>
        </is>
      </c>
    </row>
    <row r="35">
      <c r="A35" s="2" t="inlineStr">
        <is>
          <t>• 출력_기관명단은 전월·기준월·익월 3개월을 한 번에 펼치므로, 시간외 판정 파일에 한 번만 복사하면 됩니다.</t>
        </is>
      </c>
    </row>
    <row r="36">
      <c r="A36" s="2" t="inlineStr"/>
    </row>
    <row r="37">
      <c r="A37" s="3" t="inlineStr">
        <is>
          <t>[참고]</t>
        </is>
      </c>
    </row>
    <row r="38">
      <c r="A38" s="2" t="inlineStr">
        <is>
          <t>• Microsoft 365(또는 Excel 2021 이상)에서만 정상 동작합니다. 구버전에서는 출력 시트가 오류로 보입니다.</t>
        </is>
      </c>
    </row>
    <row r="39">
      <c r="A39" s="2" t="inlineStr">
        <is>
          <t>• 개인정보(생년월일·면허번호 등)가 포함되므로 파일 암호 설정과 접근 권한 관리를 권장합니다.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1" customWidth="1" min="5" max="5"/>
    <col width="9" customWidth="1" min="6" max="6"/>
    <col width="12" customWidth="1" min="7" max="7"/>
    <col width="14" customWidth="1" min="8" max="8"/>
    <col width="12" customWidth="1" min="9" max="9"/>
    <col width="6" customWidth="1" min="10" max="10"/>
    <col width="12" customWidth="1" min="11" max="11"/>
    <col width="16" customWidth="1" min="12" max="12"/>
    <col width="12" customWidth="1" min="13" max="13"/>
  </cols>
  <sheetData>
    <row r="1">
      <c r="A1" s="4" t="inlineStr">
        <is>
          <t>현재근무 여부</t>
        </is>
      </c>
      <c r="B1" s="4" t="inlineStr">
        <is>
          <t>사번</t>
        </is>
      </c>
      <c r="C1" s="4" t="inlineStr">
        <is>
          <t>이름</t>
        </is>
      </c>
      <c r="D1" s="4" t="inlineStr">
        <is>
          <t>수련과목</t>
        </is>
      </c>
      <c r="E1" s="4" t="inlineStr">
        <is>
          <t>연차</t>
        </is>
      </c>
      <c r="F1" s="4" t="inlineStr">
        <is>
          <t>근무지</t>
        </is>
      </c>
      <c r="G1" s="4" t="inlineStr">
        <is>
          <t>수련개시일</t>
        </is>
      </c>
      <c r="H1" s="4" t="inlineStr">
        <is>
          <t>전공의등록번호</t>
        </is>
      </c>
      <c r="I1" s="4" t="inlineStr">
        <is>
          <t>의사면허번호</t>
        </is>
      </c>
      <c r="J1" s="4" t="inlineStr">
        <is>
          <t>성별</t>
        </is>
      </c>
      <c r="K1" s="4" t="inlineStr">
        <is>
          <t>생년월일</t>
        </is>
      </c>
      <c r="L1" s="4" t="inlineStr">
        <is>
          <t>비고</t>
        </is>
      </c>
      <c r="M1" s="5" t="inlineStr">
        <is>
          <t>사번키</t>
        </is>
      </c>
    </row>
    <row r="2">
      <c r="A2" s="6" t="inlineStr">
        <is>
          <t>재직</t>
        </is>
      </c>
      <c r="B2" s="7" t="inlineStr">
        <is>
          <t>2261212</t>
        </is>
      </c>
      <c r="C2" s="6" t="inlineStr">
        <is>
          <t>김ㅇㅇ</t>
        </is>
      </c>
      <c r="D2" s="6" t="inlineStr">
        <is>
          <t>가정의학과</t>
        </is>
      </c>
      <c r="E2" s="6" t="inlineStr">
        <is>
          <t>레지던트1</t>
        </is>
      </c>
      <c r="F2" s="6" t="inlineStr">
        <is>
          <t>서울</t>
        </is>
      </c>
      <c r="G2" s="6" t="n">
        <v>20260301</v>
      </c>
      <c r="H2" s="7" t="inlineStr">
        <is>
          <t>11-1111</t>
        </is>
      </c>
      <c r="I2" s="6" t="n">
        <v>111111</v>
      </c>
      <c r="J2" s="6" t="inlineStr">
        <is>
          <t>여</t>
        </is>
      </c>
      <c r="K2" s="6" t="n">
        <v>19999999</v>
      </c>
      <c r="L2" s="6" t="n"/>
      <c r="M2" s="8">
        <f>IF(TRIM(기본자료표[[#This Row],[사번]]&amp;"")="","","S|"&amp;TRIM(기본자료표[[#This Row],[사번]]&amp;""))</f>
        <v/>
      </c>
    </row>
    <row r="3">
      <c r="A3" s="6" t="inlineStr">
        <is>
          <t>재직</t>
        </is>
      </c>
      <c r="B3" s="7" t="inlineStr">
        <is>
          <t>2261213</t>
        </is>
      </c>
      <c r="C3" s="6" t="inlineStr">
        <is>
          <t>이ㅇㅇ</t>
        </is>
      </c>
      <c r="D3" s="6" t="inlineStr">
        <is>
          <t>내과</t>
        </is>
      </c>
      <c r="E3" s="6" t="inlineStr">
        <is>
          <t>레지던트2</t>
        </is>
      </c>
      <c r="F3" s="6" t="inlineStr">
        <is>
          <t>서울</t>
        </is>
      </c>
      <c r="G3" s="6" t="n">
        <v>20250301</v>
      </c>
      <c r="H3" s="7" t="inlineStr">
        <is>
          <t>11-1112</t>
        </is>
      </c>
      <c r="I3" s="6" t="n">
        <v>111112</v>
      </c>
      <c r="J3" s="6" t="inlineStr">
        <is>
          <t>남</t>
        </is>
      </c>
      <c r="K3" s="6" t="n">
        <v>19950702</v>
      </c>
      <c r="L3" s="6" t="n"/>
      <c r="M3" s="8">
        <f>IF(TRIM(기본자료표[[#This Row],[사번]]&amp;"")="","","S|"&amp;TRIM(기본자료표[[#This Row],[사번]]&amp;""))</f>
        <v/>
      </c>
    </row>
    <row r="4">
      <c r="A4" s="6" t="inlineStr">
        <is>
          <t>재직</t>
        </is>
      </c>
      <c r="B4" s="7" t="inlineStr">
        <is>
          <t>2261214</t>
        </is>
      </c>
      <c r="C4" s="6" t="inlineStr">
        <is>
          <t>박ㅇㅇ</t>
        </is>
      </c>
      <c r="D4" s="6" t="inlineStr">
        <is>
          <t>내과</t>
        </is>
      </c>
      <c r="E4" s="6" t="inlineStr">
        <is>
          <t>레지던트3</t>
        </is>
      </c>
      <c r="F4" s="6" t="inlineStr">
        <is>
          <t>서울</t>
        </is>
      </c>
      <c r="G4" s="6" t="n">
        <v>20240301</v>
      </c>
      <c r="H4" s="7" t="inlineStr">
        <is>
          <t>21-1111</t>
        </is>
      </c>
      <c r="I4" s="6" t="n">
        <v>111113</v>
      </c>
      <c r="J4" s="6" t="inlineStr">
        <is>
          <t>여</t>
        </is>
      </c>
      <c r="K4" s="6" t="n">
        <v>19970125</v>
      </c>
      <c r="L4" s="6" t="n"/>
      <c r="M4" s="8">
        <f>IF(TRIM(기본자료표[[#This Row],[사번]]&amp;"")="","","S|"&amp;TRIM(기본자료표[[#This Row],[사번]]&amp;""))</f>
        <v/>
      </c>
    </row>
    <row r="5">
      <c r="A5" s="6" t="inlineStr">
        <is>
          <t>재직</t>
        </is>
      </c>
      <c r="B5" s="7" t="inlineStr">
        <is>
          <t>2261215</t>
        </is>
      </c>
      <c r="C5" s="6" t="inlineStr">
        <is>
          <t>최ㅇㅇ</t>
        </is>
      </c>
      <c r="D5" s="6" t="inlineStr">
        <is>
          <t>산부인과</t>
        </is>
      </c>
      <c r="E5" s="6" t="inlineStr">
        <is>
          <t>레지던트3</t>
        </is>
      </c>
      <c r="F5" s="6" t="inlineStr">
        <is>
          <t>서울</t>
        </is>
      </c>
      <c r="G5" s="6" t="n">
        <v>20240301</v>
      </c>
      <c r="H5" s="7" t="inlineStr">
        <is>
          <t>11-1114</t>
        </is>
      </c>
      <c r="I5" s="6" t="n">
        <v>111114</v>
      </c>
      <c r="J5" s="6" t="inlineStr">
        <is>
          <t>남</t>
        </is>
      </c>
      <c r="K5" s="6" t="n">
        <v>19961109</v>
      </c>
      <c r="L5" s="6" t="n"/>
      <c r="M5" s="8">
        <f>IF(TRIM(기본자료표[[#This Row],[사번]]&amp;"")="","","S|"&amp;TRIM(기본자료표[[#This Row],[사번]]&amp;""))</f>
        <v/>
      </c>
    </row>
    <row r="6">
      <c r="A6" s="6" t="inlineStr">
        <is>
          <t>재직</t>
        </is>
      </c>
      <c r="B6" s="7" t="inlineStr">
        <is>
          <t>2261216</t>
        </is>
      </c>
      <c r="C6" s="6" t="inlineStr">
        <is>
          <t>정ㅇㅇ</t>
        </is>
      </c>
      <c r="D6" s="6" t="inlineStr">
        <is>
          <t>마취통증의학과</t>
        </is>
      </c>
      <c r="E6" s="6" t="inlineStr">
        <is>
          <t>레지던트2</t>
        </is>
      </c>
      <c r="F6" s="6" t="inlineStr">
        <is>
          <t>구리</t>
        </is>
      </c>
      <c r="G6" s="6" t="n">
        <v>20250301</v>
      </c>
      <c r="H6" s="7" t="inlineStr">
        <is>
          <t>11-1115</t>
        </is>
      </c>
      <c r="I6" s="6" t="n">
        <v>111115</v>
      </c>
      <c r="J6" s="6" t="inlineStr">
        <is>
          <t>여</t>
        </is>
      </c>
      <c r="K6" s="6" t="n">
        <v>19980530</v>
      </c>
      <c r="L6" s="6" t="n"/>
      <c r="M6" s="8">
        <f>IF(TRIM(기본자료표[[#This Row],[사번]]&amp;"")="","","S|"&amp;TRIM(기본자료표[[#This Row],[사번]]&amp;""))</f>
        <v/>
      </c>
    </row>
    <row r="7">
      <c r="A7" s="6" t="inlineStr">
        <is>
          <t>재직</t>
        </is>
      </c>
      <c r="B7" s="7" t="inlineStr">
        <is>
          <t>222222</t>
        </is>
      </c>
      <c r="C7" s="6" t="inlineStr">
        <is>
          <t>김ㅇㅇ</t>
        </is>
      </c>
      <c r="D7" s="6" t="inlineStr">
        <is>
          <t>인턴</t>
        </is>
      </c>
      <c r="E7" s="6" t="inlineStr">
        <is>
          <t>인턴</t>
        </is>
      </c>
      <c r="F7" s="6" t="inlineStr">
        <is>
          <t>서울</t>
        </is>
      </c>
      <c r="G7" s="6" t="n">
        <v>20260301</v>
      </c>
      <c r="H7" s="7" t="inlineStr">
        <is>
          <t>22-2222</t>
        </is>
      </c>
      <c r="I7" s="6" t="n">
        <v>222222</v>
      </c>
      <c r="J7" s="6" t="inlineStr">
        <is>
          <t>여</t>
        </is>
      </c>
      <c r="K7" s="6" t="n">
        <v>19990101</v>
      </c>
      <c r="L7" s="6" t="n"/>
      <c r="M7" s="8">
        <f>IF(TRIM(기본자료표[[#This Row],[사번]]&amp;"")="","","S|"&amp;TRIM(기본자료표[[#This Row],[사번]]&amp;""))</f>
        <v/>
      </c>
    </row>
    <row r="8">
      <c r="A8" s="6" t="inlineStr">
        <is>
          <t>재직</t>
        </is>
      </c>
      <c r="B8" s="7" t="inlineStr">
        <is>
          <t>222223</t>
        </is>
      </c>
      <c r="C8" s="6" t="inlineStr">
        <is>
          <t>이ㅇㅇ</t>
        </is>
      </c>
      <c r="D8" s="6" t="inlineStr">
        <is>
          <t>인턴</t>
        </is>
      </c>
      <c r="E8" s="6" t="inlineStr">
        <is>
          <t>인턴</t>
        </is>
      </c>
      <c r="F8" s="6" t="inlineStr">
        <is>
          <t>서울</t>
        </is>
      </c>
      <c r="G8" s="6" t="n">
        <v>20260301</v>
      </c>
      <c r="H8" s="7" t="inlineStr">
        <is>
          <t>22-2223</t>
        </is>
      </c>
      <c r="I8" s="6" t="n">
        <v>222223</v>
      </c>
      <c r="J8" s="6" t="inlineStr">
        <is>
          <t>남</t>
        </is>
      </c>
      <c r="K8" s="6" t="n">
        <v>19990202</v>
      </c>
      <c r="L8" s="6" t="n"/>
      <c r="M8" s="8">
        <f>IF(TRIM(기본자료표[[#This Row],[사번]]&amp;"")="","","S|"&amp;TRIM(기본자료표[[#This Row],[사번]]&amp;""))</f>
        <v/>
      </c>
    </row>
    <row r="9">
      <c r="A9" s="6" t="inlineStr">
        <is>
          <t>재직</t>
        </is>
      </c>
      <c r="B9" s="7" t="inlineStr">
        <is>
          <t>222224</t>
        </is>
      </c>
      <c r="C9" s="6" t="inlineStr">
        <is>
          <t>박ㅇㅇ</t>
        </is>
      </c>
      <c r="D9" s="6" t="inlineStr">
        <is>
          <t>인턴</t>
        </is>
      </c>
      <c r="E9" s="6" t="inlineStr">
        <is>
          <t>인턴</t>
        </is>
      </c>
      <c r="F9" s="6" t="inlineStr">
        <is>
          <t>구리</t>
        </is>
      </c>
      <c r="G9" s="6" t="n">
        <v>20260301</v>
      </c>
      <c r="H9" s="7" t="inlineStr">
        <is>
          <t>22-2224</t>
        </is>
      </c>
      <c r="I9" s="6" t="n">
        <v>222224</v>
      </c>
      <c r="J9" s="6" t="inlineStr">
        <is>
          <t>남</t>
        </is>
      </c>
      <c r="K9" s="6" t="n">
        <v>19990303</v>
      </c>
      <c r="L9" s="6" t="n"/>
      <c r="M9" s="8">
        <f>IF(TRIM(기본자료표[[#This Row],[사번]]&amp;"")="","","S|"&amp;TRIM(기본자료표[[#This Row],[사번]]&amp;""))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T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11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0" customWidth="1" min="11" max="11"/>
    <col width="11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2" customWidth="1" min="19" max="19"/>
    <col width="8" customWidth="1" min="20" max="20"/>
  </cols>
  <sheetData>
    <row r="1">
      <c r="B1" s="9" t="inlineStr">
        <is>
          <t>2026년도 하반기 인턴근무계획표(9~2월)</t>
        </is>
      </c>
    </row>
    <row r="2">
      <c r="B2" s="4" t="inlineStr">
        <is>
          <t>순번</t>
        </is>
      </c>
      <c r="C2" s="4" t="inlineStr">
        <is>
          <t>이름</t>
        </is>
      </c>
      <c r="D2" s="4" t="inlineStr">
        <is>
          <t>사번</t>
        </is>
      </c>
      <c r="E2" s="4" t="inlineStr">
        <is>
          <t>9월</t>
        </is>
      </c>
      <c r="F2" s="4" t="inlineStr">
        <is>
          <t>10월</t>
        </is>
      </c>
      <c r="G2" s="4" t="inlineStr">
        <is>
          <t>11월</t>
        </is>
      </c>
      <c r="H2" s="4" t="inlineStr">
        <is>
          <t>12월</t>
        </is>
      </c>
      <c r="I2" s="4" t="inlineStr">
        <is>
          <t>1월</t>
        </is>
      </c>
      <c r="J2" s="4" t="inlineStr">
        <is>
          <t>2월</t>
        </is>
      </c>
      <c r="K2" s="4" t="inlineStr">
        <is>
          <t>비고</t>
        </is>
      </c>
      <c r="L2" s="5" t="inlineStr">
        <is>
          <t>사번키</t>
        </is>
      </c>
      <c r="M2" s="5" t="inlineStr">
        <is>
          <t>정규화1</t>
        </is>
      </c>
      <c r="N2" s="5" t="inlineStr">
        <is>
          <t>정규화2</t>
        </is>
      </c>
      <c r="O2" s="5" t="inlineStr">
        <is>
          <t>정규화3</t>
        </is>
      </c>
      <c r="P2" s="5" t="inlineStr">
        <is>
          <t>정규화4</t>
        </is>
      </c>
      <c r="Q2" s="5" t="inlineStr">
        <is>
          <t>정규화5</t>
        </is>
      </c>
      <c r="R2" s="5" t="inlineStr">
        <is>
          <t>정규화6</t>
        </is>
      </c>
      <c r="S2" s="5" t="inlineStr">
        <is>
          <t>입사일(비고)</t>
        </is>
      </c>
      <c r="T2" s="5" t="inlineStr">
        <is>
          <t>입력오류</t>
        </is>
      </c>
    </row>
    <row r="3">
      <c r="B3" s="6" t="n">
        <v>1</v>
      </c>
      <c r="C3" s="6" t="inlineStr">
        <is>
          <t>김ㅇㅇ</t>
        </is>
      </c>
      <c r="D3" s="6" t="n">
        <v>222222</v>
      </c>
      <c r="E3" s="6" t="inlineStr">
        <is>
          <t>구리 안과</t>
        </is>
      </c>
      <c r="F3" s="6" t="inlineStr">
        <is>
          <t>구리 내과</t>
        </is>
      </c>
      <c r="G3" s="6" t="inlineStr">
        <is>
          <t>서울 핵방</t>
        </is>
      </c>
      <c r="H3" s="6" t="inlineStr">
        <is>
          <t>서울 재활의학과</t>
        </is>
      </c>
      <c r="I3" s="6" t="inlineStr">
        <is>
          <t>제주 산부</t>
        </is>
      </c>
      <c r="J3" s="6" t="inlineStr">
        <is>
          <t>서울 소아과</t>
        </is>
      </c>
      <c r="K3" s="6" t="n">
        <v>2026.03</v>
      </c>
      <c r="L3" s="8">
        <f>IF(TRIM(인턴계획표[[#This Row],[사번]]&amp;"")="","","S|"&amp;TRIM(인턴계획표[[#This Row],[사번]]&amp;""))</f>
        <v/>
      </c>
      <c r="M3" s="8">
        <f>_xlfn.LET(_xlpm.v_r,TRIM(INDEX(인턴계획표[#This Row],1,4)&amp;""),_xlpm.v_t1,IFERROR(LEFT(_xlpm.v_r,FIND("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N3" s="8">
        <f>_xlfn.LET(_xlpm.v_r,TRIM(INDEX(인턴계획표[#This Row],1,5)&amp;""),_xlpm.v_t1,IFERROR(LEFT(_xlpm.v_r,FIND("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O3" s="8">
        <f>_xlfn.LET(_xlpm.v_r,TRIM(INDEX(인턴계획표[#This Row],1,6)&amp;""),_xlpm.v_t1,IFERROR(LEFT(_xlpm.v_r,FIND("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P3" s="8">
        <f>_xlfn.LET(_xlpm.v_r,TRIM(INDEX(인턴계획표[#This Row],1,7)&amp;""),_xlpm.v_t1,IFERROR(LEFT(_xlpm.v_r,FIND("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Q3" s="8">
        <f>_xlfn.LET(_xlpm.v_r,TRIM(INDEX(인턴계획표[#This Row],1,8)&amp;""),_xlpm.v_t1,IFERROR(LEFT(_xlpm.v_r,FIND("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R3" s="8">
        <f>_xlfn.LET(_xlpm.v_r,TRIM(INDEX(인턴계획표[#This Row],1,9)&amp;""),_xlpm.v_t1,IFERROR(LEFT(_xlpm.v_r,FIND("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S3" s="10">
        <f>_xlfn.LET(_xlpm.v_k,INDEX(인턴계획표[#This Row],1,10)&amp;"",_xlpm.v_v,IFERROR(VALUE(_xlpm.v_k),""),_xlpm.v_m,IFERROR(ROUND((_xlpm.v_v-INT(_xlpm.v_v))*100,0),0),IF(_xlpm.v_k="","",IF(AND(ISNUMBER(_xlpm.v_v),_xlpm.v_m&gt;=1,_xlpm.v_m&lt;=12,IFERROR(INT(_xlpm.v_v),0)&gt;=1900),DATE(INT(_xlpm.v_v),_xlpm.v_m,1),_xlpm.v_k)))</f>
        <v/>
      </c>
      <c r="T3" s="11">
        <f>COUNTIF(인턴계획표[[#This Row],[정규화1]:[정규화6]],"⚠*")</f>
        <v/>
      </c>
    </row>
    <row r="4">
      <c r="B4" s="6" t="n">
        <v>2</v>
      </c>
      <c r="C4" s="6" t="inlineStr">
        <is>
          <t>이ㅇㅇ</t>
        </is>
      </c>
      <c r="D4" s="6" t="n">
        <v>222223</v>
      </c>
      <c r="E4" s="6" t="inlineStr">
        <is>
          <t>서울 내과</t>
        </is>
      </c>
      <c r="F4" s="6" t="inlineStr">
        <is>
          <t>서울 외과</t>
        </is>
      </c>
      <c r="G4" s="6" t="inlineStr">
        <is>
          <t>구리 통합</t>
        </is>
      </c>
      <c r="H4" s="6" t="inlineStr">
        <is>
          <t>인천 산부인과</t>
        </is>
      </c>
      <c r="I4" s="6" t="inlineStr">
        <is>
          <t>제주 에스중앙 내과</t>
        </is>
      </c>
      <c r="J4" s="6" t="inlineStr">
        <is>
          <t>서울 가정의학과</t>
        </is>
      </c>
      <c r="K4" s="6" t="n">
        <v>2026.03</v>
      </c>
      <c r="L4" s="8">
        <f>IF(TRIM(인턴계획표[[#This Row],[사번]]&amp;"")="","","S|"&amp;TRIM(인턴계획표[[#This Row],[사번]]&amp;""))</f>
        <v/>
      </c>
      <c r="M4" s="8">
        <f>_xlfn.LET(_xlpm.v_r,TRIM(INDEX(인턴계획표[#This Row],1,4)&amp;""),_xlpm.v_t1,IFERROR(LEFT(_xlpm.v_r,FIND("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N4" s="8">
        <f>_xlfn.LET(_xlpm.v_r,TRIM(INDEX(인턴계획표[#This Row],1,5)&amp;""),_xlpm.v_t1,IFERROR(LEFT(_xlpm.v_r,FIND("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O4" s="8">
        <f>_xlfn.LET(_xlpm.v_r,TRIM(INDEX(인턴계획표[#This Row],1,6)&amp;""),_xlpm.v_t1,IFERROR(LEFT(_xlpm.v_r,FIND("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P4" s="8">
        <f>_xlfn.LET(_xlpm.v_r,TRIM(INDEX(인턴계획표[#This Row],1,7)&amp;""),_xlpm.v_t1,IFERROR(LEFT(_xlpm.v_r,FIND("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Q4" s="8">
        <f>_xlfn.LET(_xlpm.v_r,TRIM(INDEX(인턴계획표[#This Row],1,8)&amp;""),_xlpm.v_t1,IFERROR(LEFT(_xlpm.v_r,FIND("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R4" s="8">
        <f>_xlfn.LET(_xlpm.v_r,TRIM(INDEX(인턴계획표[#This Row],1,9)&amp;""),_xlpm.v_t1,IFERROR(LEFT(_xlpm.v_r,FIND("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S4" s="10">
        <f>_xlfn.LET(_xlpm.v_k,INDEX(인턴계획표[#This Row],1,10)&amp;"",_xlpm.v_v,IFERROR(VALUE(_xlpm.v_k),""),_xlpm.v_m,IFERROR(ROUND((_xlpm.v_v-INT(_xlpm.v_v))*100,0),0),IF(_xlpm.v_k="","",IF(AND(ISNUMBER(_xlpm.v_v),_xlpm.v_m&gt;=1,_xlpm.v_m&lt;=12,IFERROR(INT(_xlpm.v_v),0)&gt;=1900),DATE(INT(_xlpm.v_v),_xlpm.v_m,1),_xlpm.v_k)))</f>
        <v/>
      </c>
      <c r="T4" s="11">
        <f>COUNTIF(인턴계획표[[#This Row],[정규화1]:[정규화6]],"⚠*")</f>
        <v/>
      </c>
    </row>
    <row r="5">
      <c r="B5" s="6" t="n">
        <v>3</v>
      </c>
      <c r="C5" s="6" t="inlineStr">
        <is>
          <t>박ㅇㅇ</t>
        </is>
      </c>
      <c r="D5" s="6" t="n">
        <v>222224</v>
      </c>
      <c r="E5" s="6" t="inlineStr">
        <is>
          <t>제주 외과</t>
        </is>
      </c>
      <c r="F5" s="6" t="inlineStr">
        <is>
          <t>서울 내과</t>
        </is>
      </c>
      <c r="G5" s="6" t="inlineStr">
        <is>
          <t>서울 응급</t>
        </is>
      </c>
      <c r="H5" s="6" t="inlineStr">
        <is>
          <t>구리 직피</t>
        </is>
      </c>
      <c r="I5" s="6" t="inlineStr">
        <is>
          <t>서울 정영</t>
        </is>
      </c>
      <c r="J5" s="6" t="inlineStr">
        <is>
          <t>제주 산부</t>
        </is>
      </c>
      <c r="K5" s="6" t="n">
        <v>2026.03</v>
      </c>
      <c r="L5" s="8">
        <f>IF(TRIM(인턴계획표[[#This Row],[사번]]&amp;"")="","","S|"&amp;TRIM(인턴계획표[[#This Row],[사번]]&amp;""))</f>
        <v/>
      </c>
      <c r="M5" s="8">
        <f>_xlfn.LET(_xlpm.v_r,TRIM(INDEX(인턴계획표[#This Row],1,4)&amp;""),_xlpm.v_t1,IFERROR(LEFT(_xlpm.v_r,FIND("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N5" s="8">
        <f>_xlfn.LET(_xlpm.v_r,TRIM(INDEX(인턴계획표[#This Row],1,5)&amp;""),_xlpm.v_t1,IFERROR(LEFT(_xlpm.v_r,FIND("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O5" s="8">
        <f>_xlfn.LET(_xlpm.v_r,TRIM(INDEX(인턴계획표[#This Row],1,6)&amp;""),_xlpm.v_t1,IFERROR(LEFT(_xlpm.v_r,FIND("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P5" s="8">
        <f>_xlfn.LET(_xlpm.v_r,TRIM(INDEX(인턴계획표[#This Row],1,7)&amp;""),_xlpm.v_t1,IFERROR(LEFT(_xlpm.v_r,FIND("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Q5" s="8">
        <f>_xlfn.LET(_xlpm.v_r,TRIM(INDEX(인턴계획표[#This Row],1,8)&amp;""),_xlpm.v_t1,IFERROR(LEFT(_xlpm.v_r,FIND("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R5" s="8">
        <f>_xlfn.LET(_xlpm.v_r,TRIM(INDEX(인턴계획표[#This Row],1,9)&amp;""),_xlpm.v_t1,IFERROR(LEFT(_xlpm.v_r,FIND(" ",_xlpm.v_r)-1),""),_xlpm.v_t2,TRIM(RIGHT(SUBSTITUTE(_xlpm.v_r," ",REPT(" ",60)),60)),_xlpm.v_h,_xlfn.XLOOKUP(_xlpm.v_t1,병원약칭표[표기],병원약칭표[정식 병원],""),_xlpm.v_d,_xlfn.XLOOKUP(_xlpm.v_t2,과약칭표[약칭],과약칭표[정식 명칭],""),IF(_xlpm.v_r="","",IF(OR(_xlpm.v_t1="",_xlpm.v_h="",_xlpm.v_d=""),"⚠"&amp;_xlpm.v_r,_xlpm.v_h&amp;" "&amp;_xlpm.v_d)))</f>
        <v/>
      </c>
      <c r="S5" s="10">
        <f>_xlfn.LET(_xlpm.v_k,INDEX(인턴계획표[#This Row],1,10)&amp;"",_xlpm.v_v,IFERROR(VALUE(_xlpm.v_k),""),_xlpm.v_m,IFERROR(ROUND((_xlpm.v_v-INT(_xlpm.v_v))*100,0),0),IF(_xlpm.v_k="","",IF(AND(ISNUMBER(_xlpm.v_v),_xlpm.v_m&gt;=1,_xlpm.v_m&lt;=12,IFERROR(INT(_xlpm.v_v),0)&gt;=1900),DATE(INT(_xlpm.v_v),_xlpm.v_m,1),_xlpm.v_k)))</f>
        <v/>
      </c>
      <c r="T5" s="11">
        <f>COUNTIF(인턴계획표[[#This Row],[정규화1]:[정규화6]],"⚠*")</f>
        <v/>
      </c>
    </row>
  </sheetData>
  <mergeCells count="1">
    <mergeCell ref="B1:K1"/>
  </mergeCells>
  <conditionalFormatting sqref="E3:J1048576">
    <cfRule type="expression" priority="1" dxfId="0">
      <formula>COUNTIF($M3:$R3,"⚠"&amp;TRIM(E3))&gt;0</formula>
    </cfRule>
  </conditionalFormatting>
  <conditionalFormatting sqref="M3:R1048576">
    <cfRule type="expression" priority="2" dxfId="1">
      <formula>LEFT(M3,1)="⚠"</formula>
    </cfRule>
  </conditionalFormatting>
  <dataValidations count="1">
    <dataValidation sqref="E3:J1048576" showDropDown="0" showInputMessage="0" showErrorMessage="1" allowBlank="1" errorTitle="등록되지 않은 병원/진료과" error="'지역 진료과' 형식(예: 서울 내과, 제주 산부)으로 입력하세요.&#10;처음 보는 지역이나 진료과(약칭)라면 먼저 '설정_코드표'에 추가한 뒤 다시 입력하세요." type="custom" errorStyle="stop">
      <formula1>OR(TRIM(E3)="",AND(ISNUMBER(FIND(" ",TRIM(E3))),COUNTIF(병원표기목록,LEFT(TRIM(E3),FIND(" ",TRIM(E3))-1))&gt;0,COUNTIF(과약칭목록,TRIM(RIGHT(SUBSTITUTE(TRIM(E3)," ",REPT(" ",60)),60)))&gt;0))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BV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</cols>
  <sheetData>
    <row r="1">
      <c r="A1" s="1" t="inlineStr">
        <is>
          <t>전공의(모.자 파견) 근무자 명단</t>
        </is>
      </c>
    </row>
    <row r="2">
      <c r="A2" s="3" t="inlineStr">
        <is>
          <t>2026년도</t>
        </is>
      </c>
    </row>
    <row r="3" ht="44" customHeight="1">
      <c r="A3" s="4" t="inlineStr">
        <is>
          <t>소속</t>
        </is>
      </c>
      <c r="B3" s="4" t="inlineStr">
        <is>
          <t>년차</t>
        </is>
      </c>
      <c r="C3" s="4" t="inlineStr">
        <is>
          <t>2026년9월
근무예정자</t>
        </is>
      </c>
      <c r="D3" s="4" t="inlineStr">
        <is>
          <t>9월
근무자</t>
        </is>
      </c>
      <c r="E3" s="4" t="inlineStr">
        <is>
          <t>근무 시작일자
(시작일자 작성)</t>
        </is>
      </c>
      <c r="F3" s="4" t="inlineStr">
        <is>
          <t>근무 종료일자
(종료일자 작성)</t>
        </is>
      </c>
      <c r="G3" s="4" t="inlineStr">
        <is>
          <t>9월 휴가 스케줄
(휴가일 작성)</t>
        </is>
      </c>
      <c r="H3" s="4" t="inlineStr">
        <is>
          <t>비고</t>
        </is>
      </c>
      <c r="I3" s="4" t="inlineStr">
        <is>
          <t>2026년10월
근무예정자</t>
        </is>
      </c>
      <c r="J3" s="4" t="inlineStr">
        <is>
          <t>10월
근무자</t>
        </is>
      </c>
      <c r="K3" s="4" t="inlineStr">
        <is>
          <t>근무 시작일자
(시작일자 작성)</t>
        </is>
      </c>
      <c r="L3" s="4" t="inlineStr">
        <is>
          <t>근무 종료일자
(종료일자 작성)</t>
        </is>
      </c>
      <c r="M3" s="4" t="inlineStr">
        <is>
          <t>10월 휴가 스케줄
(휴가일 작성)</t>
        </is>
      </c>
      <c r="N3" s="4" t="inlineStr">
        <is>
          <t>비고</t>
        </is>
      </c>
      <c r="O3" s="4" t="inlineStr">
        <is>
          <t>2026년11월
근무예정자</t>
        </is>
      </c>
      <c r="P3" s="4" t="inlineStr">
        <is>
          <t>11월
근무자</t>
        </is>
      </c>
      <c r="Q3" s="4" t="inlineStr">
        <is>
          <t>근무 시작일자
(시작일자 작성)</t>
        </is>
      </c>
      <c r="R3" s="4" t="inlineStr">
        <is>
          <t>근무 종료일자
(종료일자 작성)</t>
        </is>
      </c>
      <c r="S3" s="4" t="inlineStr">
        <is>
          <t>11월 휴가 스케줄
(휴가일 작성)</t>
        </is>
      </c>
      <c r="T3" s="4" t="inlineStr">
        <is>
          <t>비고</t>
        </is>
      </c>
      <c r="U3" s="4" t="inlineStr">
        <is>
          <t>2026년12월
근무예정자</t>
        </is>
      </c>
      <c r="V3" s="4" t="inlineStr">
        <is>
          <t>12월
근무자</t>
        </is>
      </c>
      <c r="W3" s="4" t="inlineStr">
        <is>
          <t>근무 시작일자
(시작일자 작성)</t>
        </is>
      </c>
      <c r="X3" s="4" t="inlineStr">
        <is>
          <t>근무 종료일자
(종료일자 작성)</t>
        </is>
      </c>
      <c r="Y3" s="4" t="inlineStr">
        <is>
          <t>12월 휴가 스케줄
(휴가일 작성)</t>
        </is>
      </c>
      <c r="Z3" s="4" t="inlineStr">
        <is>
          <t>비고</t>
        </is>
      </c>
      <c r="AA3" s="4" t="inlineStr">
        <is>
          <t>2027년1월
근무예정자</t>
        </is>
      </c>
      <c r="AB3" s="4" t="inlineStr">
        <is>
          <t>1월
근무자</t>
        </is>
      </c>
      <c r="AC3" s="4" t="inlineStr">
        <is>
          <t>근무 시작일자
(시작일자 작성)</t>
        </is>
      </c>
      <c r="AD3" s="4" t="inlineStr">
        <is>
          <t>근무 종료일자
(종료일자 작성)</t>
        </is>
      </c>
      <c r="AE3" s="4" t="inlineStr">
        <is>
          <t>1월 휴가 스케줄
(휴가일 작성)</t>
        </is>
      </c>
      <c r="AF3" s="4" t="inlineStr">
        <is>
          <t>비고</t>
        </is>
      </c>
      <c r="AG3" s="4" t="inlineStr">
        <is>
          <t>2027년2월
근무예정자</t>
        </is>
      </c>
      <c r="AH3" s="4" t="inlineStr">
        <is>
          <t>2월
근무자</t>
        </is>
      </c>
      <c r="AI3" s="4" t="inlineStr">
        <is>
          <t>근무 시작일자
(시작일자 작성)</t>
        </is>
      </c>
      <c r="AJ3" s="4" t="inlineStr">
        <is>
          <t>근무 종료일자
(종료일자 작성)</t>
        </is>
      </c>
      <c r="AK3" s="4" t="inlineStr">
        <is>
          <t>2월 휴가 스케줄
(휴가일 작성)</t>
        </is>
      </c>
      <c r="AL3" s="4" t="inlineStr">
        <is>
          <t>비고</t>
        </is>
      </c>
      <c r="AM3" s="4" t="inlineStr">
        <is>
          <t>2027년3월
근무예정자</t>
        </is>
      </c>
      <c r="AN3" s="4" t="inlineStr">
        <is>
          <t>3월
근무자</t>
        </is>
      </c>
      <c r="AO3" s="4" t="inlineStr">
        <is>
          <t>근무 시작일자
(시작일자 작성)</t>
        </is>
      </c>
      <c r="AP3" s="4" t="inlineStr">
        <is>
          <t>근무 종료일자
(종료일자 작성)</t>
        </is>
      </c>
      <c r="AQ3" s="4" t="inlineStr">
        <is>
          <t>3월 휴가 스케줄
(휴가일 작성)</t>
        </is>
      </c>
      <c r="AR3" s="4" t="inlineStr">
        <is>
          <t>비고</t>
        </is>
      </c>
      <c r="AS3" s="4" t="inlineStr">
        <is>
          <t>2027년4월
근무예정자</t>
        </is>
      </c>
      <c r="AT3" s="4" t="inlineStr">
        <is>
          <t>4월
근무자</t>
        </is>
      </c>
      <c r="AU3" s="4" t="inlineStr">
        <is>
          <t>근무 시작일자
(시작일자 작성)</t>
        </is>
      </c>
      <c r="AV3" s="4" t="inlineStr">
        <is>
          <t>근무 종료일자
(종료일자 작성)</t>
        </is>
      </c>
      <c r="AW3" s="4" t="inlineStr">
        <is>
          <t>4월 휴가 스케줄
(휴가일 작성)</t>
        </is>
      </c>
      <c r="AX3" s="4" t="inlineStr">
        <is>
          <t>비고</t>
        </is>
      </c>
      <c r="AY3" s="4" t="inlineStr">
        <is>
          <t>2027년5월
근무예정자</t>
        </is>
      </c>
      <c r="AZ3" s="4" t="inlineStr">
        <is>
          <t>5월
근무자</t>
        </is>
      </c>
      <c r="BA3" s="4" t="inlineStr">
        <is>
          <t>근무 시작일자
(시작일자 작성)</t>
        </is>
      </c>
      <c r="BB3" s="4" t="inlineStr">
        <is>
          <t>근무 종료일자
(종료일자 작성)</t>
        </is>
      </c>
      <c r="BC3" s="4" t="inlineStr">
        <is>
          <t>5월 휴가 스케줄
(휴가일 작성)</t>
        </is>
      </c>
      <c r="BD3" s="4" t="inlineStr">
        <is>
          <t>비고</t>
        </is>
      </c>
      <c r="BE3" s="4" t="inlineStr">
        <is>
          <t>2027년6월
근무예정자</t>
        </is>
      </c>
      <c r="BF3" s="4" t="inlineStr">
        <is>
          <t>6월
근무자</t>
        </is>
      </c>
      <c r="BG3" s="4" t="inlineStr">
        <is>
          <t>근무 시작일자
(시작일자 작성)</t>
        </is>
      </c>
      <c r="BH3" s="4" t="inlineStr">
        <is>
          <t>근무 종료일자
(종료일자 작성)</t>
        </is>
      </c>
      <c r="BI3" s="4" t="inlineStr">
        <is>
          <t>6월 휴가 스케줄
(휴가일 작성)</t>
        </is>
      </c>
      <c r="BJ3" s="4" t="inlineStr">
        <is>
          <t>비고</t>
        </is>
      </c>
      <c r="BK3" s="4" t="inlineStr">
        <is>
          <t>2027년7월
근무예정자</t>
        </is>
      </c>
      <c r="BL3" s="4" t="inlineStr">
        <is>
          <t>7월
근무자</t>
        </is>
      </c>
      <c r="BM3" s="4" t="inlineStr">
        <is>
          <t>근무 시작일자
(시작일자 작성)</t>
        </is>
      </c>
      <c r="BN3" s="4" t="inlineStr">
        <is>
          <t>근무 종료일자
(종료일자 작성)</t>
        </is>
      </c>
      <c r="BO3" s="4" t="inlineStr">
        <is>
          <t>7월 휴가 스케줄
(휴가일 작성)</t>
        </is>
      </c>
      <c r="BP3" s="4" t="inlineStr">
        <is>
          <t>비고</t>
        </is>
      </c>
      <c r="BQ3" s="4" t="inlineStr">
        <is>
          <t>2027년8월
근무예정자</t>
        </is>
      </c>
      <c r="BR3" s="4" t="inlineStr">
        <is>
          <t>8월
근무자</t>
        </is>
      </c>
      <c r="BS3" s="4" t="inlineStr">
        <is>
          <t>근무 시작일자
(시작일자 작성)</t>
        </is>
      </c>
      <c r="BT3" s="4" t="inlineStr">
        <is>
          <t>근무 종료일자
(종료일자 작성)</t>
        </is>
      </c>
      <c r="BU3" s="4" t="inlineStr">
        <is>
          <t>8월 휴가 스케줄
(휴가일 작성)</t>
        </is>
      </c>
      <c r="BV3" s="4" t="inlineStr">
        <is>
          <t>비고</t>
        </is>
      </c>
    </row>
    <row r="4">
      <c r="A4" s="12" t="inlineStr">
        <is>
          <t>내과</t>
        </is>
      </c>
      <c r="B4" s="12" t="n">
        <v>3</v>
      </c>
      <c r="C4" s="12" t="inlineStr">
        <is>
          <t>박ㅇㅇ</t>
        </is>
      </c>
      <c r="I4" s="12" t="inlineStr">
        <is>
          <t>박ㅇㅇ</t>
        </is>
      </c>
      <c r="J4" s="12" t="inlineStr">
        <is>
          <t>박ㅇㅇ</t>
        </is>
      </c>
      <c r="K4" s="12" t="inlineStr">
        <is>
          <t>2026.10.01</t>
        </is>
      </c>
      <c r="L4" s="12" t="inlineStr">
        <is>
          <t>2026.10.31</t>
        </is>
      </c>
    </row>
    <row r="5">
      <c r="A5" s="12" t="inlineStr">
        <is>
          <t>가정의학과</t>
        </is>
      </c>
      <c r="B5" s="12" t="n">
        <v>1</v>
      </c>
      <c r="I5" s="12" t="inlineStr">
        <is>
          <t>김ㅇㅇ</t>
        </is>
      </c>
      <c r="J5" s="12" t="inlineStr">
        <is>
          <t>김ㅇㅇ</t>
        </is>
      </c>
      <c r="K5" s="12" t="inlineStr">
        <is>
          <t>2026.10.21</t>
        </is>
      </c>
      <c r="L5" s="12" t="inlineStr">
        <is>
          <t>2026.10.31</t>
        </is>
      </c>
    </row>
    <row r="6">
      <c r="A6" s="12" t="inlineStr">
        <is>
          <t>마취통증의학과</t>
        </is>
      </c>
      <c r="B6" s="12" t="n">
        <v>2</v>
      </c>
      <c r="C6" s="12" t="inlineStr">
        <is>
          <t>정ㅇㅇ</t>
        </is>
      </c>
      <c r="H6" s="12" t="inlineStr">
        <is>
          <t>구리독자</t>
        </is>
      </c>
      <c r="I6" s="12" t="inlineStr">
        <is>
          <t>정ㅇㅇ</t>
        </is>
      </c>
      <c r="J6" s="12" t="inlineStr">
        <is>
          <t>정ㅇㅇ</t>
        </is>
      </c>
      <c r="K6" s="12" t="inlineStr">
        <is>
          <t>2026.10.01</t>
        </is>
      </c>
      <c r="L6" s="12" t="inlineStr">
        <is>
          <t>2026.10.17</t>
        </is>
      </c>
      <c r="N6" s="12" t="inlineStr">
        <is>
          <t>구리독자</t>
        </is>
      </c>
    </row>
    <row r="7">
      <c r="A7" s="12" t="inlineStr">
        <is>
          <t>외과</t>
        </is>
      </c>
      <c r="B7" s="12" t="n">
        <v>1</v>
      </c>
      <c r="C7" s="12" t="inlineStr">
        <is>
          <t>홍ㅇㅇ</t>
        </is>
      </c>
      <c r="H7" s="12" t="inlineStr">
        <is>
          <t>구리독자</t>
        </is>
      </c>
      <c r="I7" s="12" t="inlineStr">
        <is>
          <t>홍ㅇㅇ</t>
        </is>
      </c>
      <c r="J7" s="12" t="inlineStr">
        <is>
          <t>홍ㅇㅇ</t>
        </is>
      </c>
      <c r="K7" s="12" t="inlineStr">
        <is>
          <t>2026.10.01</t>
        </is>
      </c>
      <c r="L7" s="12" t="inlineStr">
        <is>
          <t>2026.10.31</t>
        </is>
      </c>
      <c r="N7" s="12" t="inlineStr">
        <is>
          <t>구리독자</t>
        </is>
      </c>
    </row>
    <row r="8">
      <c r="A8" s="12" t="inlineStr">
        <is>
          <t>수련교육부</t>
        </is>
      </c>
      <c r="B8" s="12" t="inlineStr">
        <is>
          <t>인턴</t>
        </is>
      </c>
      <c r="I8" s="12" t="inlineStr">
        <is>
          <t>김ㅇㅇ</t>
        </is>
      </c>
      <c r="J8" s="12" t="inlineStr">
        <is>
          <t>김ㅇㅇ</t>
        </is>
      </c>
      <c r="K8" s="12" t="inlineStr">
        <is>
          <t>2026.10.01</t>
        </is>
      </c>
      <c r="L8" s="12" t="inlineStr">
        <is>
          <t>2026.10.31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A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5" customWidth="1" min="4" max="4"/>
    <col width="11" customWidth="1" min="5" max="5"/>
    <col width="13" customWidth="1" min="6" max="6"/>
    <col width="10" customWidth="1" min="7" max="7"/>
    <col width="8" customWidth="1" min="8" max="8"/>
    <col width="11" customWidth="1" min="9" max="9"/>
    <col width="12" customWidth="1" min="10" max="10"/>
    <col width="11" customWidth="1" min="11" max="11"/>
    <col width="8" customWidth="1" min="12" max="12"/>
    <col width="10" customWidth="1" min="13" max="13"/>
    <col width="11" customWidth="1" min="14" max="14"/>
    <col width="14" customWidth="1" min="15" max="15"/>
    <col width="11" customWidth="1" min="16" max="16"/>
    <col width="11" customWidth="1" min="17" max="17"/>
    <col width="8" customWidth="1" min="18" max="18"/>
    <col width="9" customWidth="1" min="19" max="19"/>
    <col width="9" customWidth="1" min="20" max="20"/>
    <col width="13" customWidth="1" min="21" max="21"/>
    <col width="30" customWidth="1" min="22" max="22"/>
    <col width="26" customWidth="1" min="23" max="23"/>
    <col width="16" customWidth="1" min="24" max="24"/>
    <col width="10" customWidth="1" min="25" max="25"/>
    <col width="10" customWidth="1" min="26" max="26"/>
    <col width="28" customWidth="1" min="27" max="27"/>
    <col width="10" customWidth="1" min="28" max="28"/>
    <col width="10" customWidth="1" min="29" max="29"/>
    <col width="28" customWidth="1" min="30" max="30"/>
    <col width="8" customWidth="1" min="31" max="31"/>
    <col width="14" customWidth="1" min="32" max="32"/>
    <col width="8" customWidth="1" min="33" max="33"/>
    <col width="15" customWidth="1" min="34" max="34"/>
    <col width="15" customWidth="1" min="35" max="35"/>
    <col width="15" customWidth="1" min="36" max="36"/>
    <col width="15" customWidth="1" min="37" max="37"/>
    <col width="7" customWidth="1" min="38" max="38"/>
    <col width="7" customWidth="1" min="39" max="39"/>
    <col width="7" customWidth="1" min="40" max="40"/>
    <col width="10" customWidth="1" min="41" max="41"/>
    <col width="10" customWidth="1" min="42" max="42"/>
    <col width="7" customWidth="1" min="43" max="43"/>
    <col width="8" customWidth="1" min="44" max="44"/>
    <col width="7" customWidth="1" min="45" max="45"/>
  </cols>
  <sheetData>
    <row r="1" ht="42" customHeight="1">
      <c r="A1" s="5" t="inlineStr">
        <is>
          <t>번호</t>
        </is>
      </c>
      <c r="B1" s="4" t="inlineStr">
        <is>
          <t>사번</t>
        </is>
      </c>
      <c r="C1" s="5" t="inlineStr">
        <is>
          <t>이름</t>
        </is>
      </c>
      <c r="D1" s="5" t="inlineStr">
        <is>
          <t>성별</t>
        </is>
      </c>
      <c r="E1" s="5" t="inlineStr">
        <is>
          <t>생년월일</t>
        </is>
      </c>
      <c r="F1" s="5" t="inlineStr">
        <is>
          <t>수련과목</t>
        </is>
      </c>
      <c r="G1" s="5" t="inlineStr">
        <is>
          <t>연차</t>
        </is>
      </c>
      <c r="H1" s="5" t="inlineStr">
        <is>
          <t>근무지</t>
        </is>
      </c>
      <c r="I1" s="5" t="inlineStr">
        <is>
          <t>수련개시일</t>
        </is>
      </c>
      <c r="J1" s="5" t="inlineStr">
        <is>
          <t>전공의등록번호</t>
        </is>
      </c>
      <c r="K1" s="5" t="inlineStr">
        <is>
          <t>의사면허번호</t>
        </is>
      </c>
      <c r="L1" s="5" t="inlineStr">
        <is>
          <t>재직여부</t>
        </is>
      </c>
      <c r="M1" s="4" t="inlineStr">
        <is>
          <t>입사장소</t>
        </is>
      </c>
      <c r="N1" s="5" t="inlineStr">
        <is>
          <t>현재 근무병원</t>
        </is>
      </c>
      <c r="O1" s="5" t="inlineStr">
        <is>
          <t>현재 진료과</t>
        </is>
      </c>
      <c r="P1" s="5" t="inlineStr">
        <is>
          <t>구리 근무 시작일(기준월)</t>
        </is>
      </c>
      <c r="Q1" s="5" t="inlineStr">
        <is>
          <t>구리 근무 종료일(기준월)</t>
        </is>
      </c>
      <c r="R1" s="5" t="inlineStr">
        <is>
          <t>구리독자</t>
        </is>
      </c>
      <c r="S1" s="5" t="inlineStr">
        <is>
          <t>서울 근무일(기준월)</t>
        </is>
      </c>
      <c r="T1" s="5" t="inlineStr">
        <is>
          <t>구리 근무일(기준월)</t>
        </is>
      </c>
      <c r="U1" s="5" t="inlineStr">
        <is>
          <t>급여지급병원(기준월)</t>
        </is>
      </c>
      <c r="V1" s="5" t="inlineStr">
        <is>
          <t>급여 판정 근거</t>
        </is>
      </c>
      <c r="W1" s="5" t="inlineStr">
        <is>
          <t>점검</t>
        </is>
      </c>
      <c r="X1" s="4" t="inlineStr">
        <is>
          <t>비고</t>
        </is>
      </c>
      <c r="Y1" s="5" t="inlineStr">
        <is>
          <t>전월 근무병원</t>
        </is>
      </c>
      <c r="Z1" s="5" t="inlineStr">
        <is>
          <t>전월 급여지급병원</t>
        </is>
      </c>
      <c r="AA1" s="5" t="inlineStr">
        <is>
          <t>전월 근거</t>
        </is>
      </c>
      <c r="AB1" s="5" t="inlineStr">
        <is>
          <t>익월 근무병원</t>
        </is>
      </c>
      <c r="AC1" s="5" t="inlineStr">
        <is>
          <t>익월 급여지급병원</t>
        </is>
      </c>
      <c r="AD1" s="5" t="inlineStr">
        <is>
          <t>익월 근거</t>
        </is>
      </c>
      <c r="AE1" s="5" t="inlineStr">
        <is>
          <t>기본자료행</t>
        </is>
      </c>
      <c r="AF1" s="5" t="inlineStr">
        <is>
          <t>이름|과</t>
        </is>
      </c>
      <c r="AG1" s="5" t="inlineStr">
        <is>
          <t>인턴계획행</t>
        </is>
      </c>
      <c r="AH1" s="5" t="inlineStr">
        <is>
          <t>인턴 이번달</t>
        </is>
      </c>
      <c r="AI1" s="5" t="inlineStr">
        <is>
          <t>인턴 기준월</t>
        </is>
      </c>
      <c r="AJ1" s="5" t="inlineStr">
        <is>
          <t>인턴 전월</t>
        </is>
      </c>
      <c r="AK1" s="5" t="inlineStr">
        <is>
          <t>인턴 익월</t>
        </is>
      </c>
      <c r="AL1" s="5" t="inlineStr">
        <is>
          <t>직접행(기준월)</t>
        </is>
      </c>
      <c r="AM1" s="5" t="inlineStr">
        <is>
          <t>직접행(전월)</t>
        </is>
      </c>
      <c r="AN1" s="5" t="inlineStr">
        <is>
          <t>직접행(익월)</t>
        </is>
      </c>
      <c r="AO1" s="5" t="inlineStr">
        <is>
          <t>소속병원</t>
        </is>
      </c>
      <c r="AP1" s="5" t="inlineStr">
        <is>
          <t>기준월 근무병원</t>
        </is>
      </c>
      <c r="AQ1" s="5" t="inlineStr">
        <is>
          <t>구리행</t>
        </is>
      </c>
      <c r="AR1" s="5" t="inlineStr">
        <is>
          <t>구리명단 근무일</t>
        </is>
      </c>
      <c r="AS1" s="5" t="inlineStr">
        <is>
          <t>구리 근무 중</t>
        </is>
      </c>
    </row>
    <row r="2">
      <c r="A2" s="8">
        <f>ROW()-ROW(명단표[#Headers])</f>
        <v/>
      </c>
      <c r="B2" s="7" t="inlineStr">
        <is>
          <t>2261212</t>
        </is>
      </c>
      <c r="C2" s="8">
        <f>IF(명단표[[#This Row],[기본자료행]]="","",IF(INDEX(기본자료표[이름],명단표[[#This Row],[기본자료행]])="","",INDEX(기본자료표[이름],명단표[[#This Row],[기본자료행]])))</f>
        <v/>
      </c>
      <c r="D2" s="8">
        <f>IF(명단표[[#This Row],[기본자료행]]="","",IF(INDEX(기본자료표[성별],명단표[[#This Row],[기본자료행]])="","",INDEX(기본자료표[성별],명단표[[#This Row],[기본자료행]])))</f>
        <v/>
      </c>
      <c r="E2" s="10">
        <f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F2" s="8">
        <f>IF(명단표[[#This Row],[기본자료행]]="","",IF(INDEX(기본자료표[수련과목],명단표[[#This Row],[기본자료행]])="","",INDEX(기본자료표[수련과목],명단표[[#This Row],[기본자료행]])))</f>
        <v/>
      </c>
      <c r="G2" s="8">
        <f>IF(명단표[[#This Row],[기본자료행]]="","",IF(INDEX(기본자료표[연차],명단표[[#This Row],[기본자료행]])="","",INDEX(기본자료표[연차],명단표[[#This Row],[기본자료행]])))</f>
        <v/>
      </c>
      <c r="H2" s="8">
        <f>IF(명단표[[#This Row],[기본자료행]]="","",IF(INDEX(기본자료표[근무지],명단표[[#This Row],[기본자료행]])="","",INDEX(기본자료표[근무지],명단표[[#This Row],[기본자료행]])))</f>
        <v/>
      </c>
      <c r="I2" s="10">
        <f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J2" s="8">
        <f>IF(명단표[[#This Row],[기본자료행]]="","",IF(INDEX(기본자료표[전공의등록번호],명단표[[#This Row],[기본자료행]])="","",INDEX(기본자료표[전공의등록번호],명단표[[#This Row],[기본자료행]])))</f>
        <v/>
      </c>
      <c r="K2" s="8">
        <f>IF(명단표[[#This Row],[기본자료행]]="","",IF(INDEX(기본자료표[의사면허번호],명단표[[#This Row],[기본자료행]])="","",INDEX(기본자료표[의사면허번호],명단표[[#This Row],[기본자료행]])))</f>
        <v/>
      </c>
      <c r="L2" s="8">
        <f>IF(명단표[[#This Row],[기본자료행]]="","",IF(INDEX(기본자료표[현재근무 여부],명단표[[#This Row],[기본자료행]])="","",INDEX(기본자료표[현재근무 여부],명단표[[#This Row],[기본자료행]])))</f>
        <v/>
      </c>
      <c r="M2" s="6" t="inlineStr">
        <is>
          <t>서울병원</t>
        </is>
      </c>
      <c r="N2" s="8">
        <f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f>
        <v/>
      </c>
      <c r="O2" s="8">
        <f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f>
        <v/>
      </c>
      <c r="P2" s="8">
        <f>IF(명단표[[#This Row],[구리행]]="","",INDEX(구리_시작,명단표[[#This Row],[구리행]]))</f>
        <v/>
      </c>
      <c r="Q2" s="8">
        <f>IF(명단표[[#This Row],[구리행]]="","",INDEX(구리_종료,명단표[[#This Row],[구리행]]))</f>
        <v/>
      </c>
      <c r="R2" s="8">
        <f>IF(명단표[[#This Row],[구리행]]="","",INDEX(구리_독자,명단표[[#This Row],[구리행]]))</f>
        <v/>
      </c>
      <c r="S2" s="11">
        <f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f>
        <v/>
      </c>
      <c r="T2" s="11">
        <f>IF(NOT(TRIM(명단표[[#This Row],[사번]]&amp;"")&lt;&gt;""),"",IF(명단표[[#This Row],[구리행]]&lt;&gt;"",N(명단표[[#This Row],[구리명단 근무일]]),IF(명단표[[#This Row],[기준월 근무병원]]="구리병원",DAY(EOMONTH(급여기준월,0)),0)))</f>
        <v/>
      </c>
      <c r="U2" s="8">
        <f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f>
        <v/>
      </c>
      <c r="V2" s="8">
        <f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f>
        <v/>
      </c>
      <c r="W2" s="8">
        <f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f>
        <v/>
      </c>
      <c r="X2" s="6" t="inlineStr">
        <is>
          <t>예시 데이터</t>
        </is>
      </c>
      <c r="Y2" s="8">
        <f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f>
        <v/>
      </c>
      <c r="Z2" s="8">
        <f>IF(NOT(TRIM(명단표[[#This Row],[사번]]&amp;"")&lt;&gt;""),"",IF(명단표[[#This Row],[직접행(전월)]]&lt;&gt;"",INDEX(월별근무지표[적용 급여병원],명단표[[#This Row],[직접행(전월)]]),명단표[[#This Row],[전월 근무병원]]))</f>
        <v/>
      </c>
      <c r="AA2" s="8">
        <f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B2" s="8">
        <f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f>
        <v/>
      </c>
      <c r="AC2" s="8">
        <f>IF(NOT(TRIM(명단표[[#This Row],[사번]]&amp;"")&lt;&gt;""),"",IF(명단표[[#This Row],[직접행(익월)]]&lt;&gt;"",INDEX(월별근무지표[적용 급여병원],명단표[[#This Row],[직접행(익월)]]),명단표[[#This Row],[익월 근무병원]]))</f>
        <v/>
      </c>
      <c r="AD2" s="8">
        <f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E2" s="8">
        <f>IF(NOT(TRIM(명단표[[#This Row],[사번]]&amp;"")&lt;&gt;""),"",IFERROR(_xlfn.XMATCH("S|"&amp;TRIM(명단표[[#This Row],[사번]]&amp;""),기본자료표[사번키]),""))</f>
        <v/>
      </c>
      <c r="AF2" s="8">
        <f>IF(명단표[[#This Row],[이름]]="","",명단표[[#This Row],[이름]]&amp;"|"&amp;명단표[[#This Row],[수련과목]])</f>
        <v/>
      </c>
      <c r="AG2" s="8">
        <f>IF(NOT(TRIM(명단표[[#This Row],[사번]]&amp;"")&lt;&gt;""),"",IFERROR(_xlfn.XMATCH("S|"&amp;TRIM(명단표[[#This Row],[사번]]&amp;""),인턴계획표[사번키]),""))</f>
        <v/>
      </c>
      <c r="AH2" s="8">
        <f>IF(OR(명단표[[#This Row],[인턴계획행]]="",인턴위치_이번=""),"",INDEX(인턴계획표[[정규화1]:[정규화6]],명단표[[#This Row],[인턴계획행]],인턴위치_이번)&amp;"")</f>
        <v/>
      </c>
      <c r="AI2" s="8">
        <f>IF(OR(명단표[[#This Row],[인턴계획행]]="",인턴위치_기준월=""),"",INDEX(인턴계획표[[정규화1]:[정규화6]],명단표[[#This Row],[인턴계획행]],인턴위치_기준월)&amp;"")</f>
        <v/>
      </c>
      <c r="AJ2" s="8">
        <f>IF(OR(명단표[[#This Row],[인턴계획행]]="",인턴위치_전월=""),"",INDEX(인턴계획표[[정규화1]:[정규화6]],명단표[[#This Row],[인턴계획행]],인턴위치_전월)&amp;"")</f>
        <v/>
      </c>
      <c r="AK2" s="8">
        <f>IF(OR(명단표[[#This Row],[인턴계획행]]="",인턴위치_익월=""),"",INDEX(인턴계획표[[정규화1]:[정규화6]],명단표[[#This Row],[인턴계획행]],인턴위치_익월)&amp;"")</f>
        <v/>
      </c>
      <c r="AL2" s="8">
        <f>IF(NOT(TRIM(명단표[[#This Row],[사번]]&amp;"")&lt;&gt;""),"",IFERROR(_xlfn.XMATCH("S|"&amp;TRIM(명단표[[#This Row],[사번]]&amp;"")&amp;"|"&amp;기준월키,월별근무지표[키]),""))</f>
        <v/>
      </c>
      <c r="AM2" s="8">
        <f>IF(NOT(TRIM(명단표[[#This Row],[사번]]&amp;"")&lt;&gt;""),"",IFERROR(_xlfn.XMATCH("S|"&amp;TRIM(명단표[[#This Row],[사번]]&amp;"")&amp;"|"&amp;전월키,월별근무지표[키]),""))</f>
        <v/>
      </c>
      <c r="AN2" s="8">
        <f>IF(NOT(TRIM(명단표[[#This Row],[사번]]&amp;"")&lt;&gt;""),"",IFERROR(_xlfn.XMATCH("S|"&amp;TRIM(명단표[[#This Row],[사번]]&amp;"")&amp;"|"&amp;익월키,월별근무지표[키]),""))</f>
        <v/>
      </c>
      <c r="AO2" s="8">
        <f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f>
        <v/>
      </c>
      <c r="AP2" s="8">
        <f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f>
        <v/>
      </c>
      <c r="AQ2" s="8">
        <f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f>
        <v/>
      </c>
      <c r="AR2" s="11">
        <f>IF(명단표[[#This Row],[구리행]]="","",INDEX(구리_근무일,명단표[[#This Row],[구리행]]))</f>
        <v/>
      </c>
      <c r="AS2" s="8">
        <f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f>
        <v/>
      </c>
    </row>
    <row r="3">
      <c r="A3" s="8">
        <f>ROW()-ROW(명단표[#Headers])</f>
        <v/>
      </c>
      <c r="B3" s="7" t="inlineStr">
        <is>
          <t>2261213</t>
        </is>
      </c>
      <c r="C3" s="8">
        <f>IF(명단표[[#This Row],[기본자료행]]="","",IF(INDEX(기본자료표[이름],명단표[[#This Row],[기본자료행]])="","",INDEX(기본자료표[이름],명단표[[#This Row],[기본자료행]])))</f>
        <v/>
      </c>
      <c r="D3" s="8">
        <f>IF(명단표[[#This Row],[기본자료행]]="","",IF(INDEX(기본자료표[성별],명단표[[#This Row],[기본자료행]])="","",INDEX(기본자료표[성별],명단표[[#This Row],[기본자료행]])))</f>
        <v/>
      </c>
      <c r="E3" s="10">
        <f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F3" s="8">
        <f>IF(명단표[[#This Row],[기본자료행]]="","",IF(INDEX(기본자료표[수련과목],명단표[[#This Row],[기본자료행]])="","",INDEX(기본자료표[수련과목],명단표[[#This Row],[기본자료행]])))</f>
        <v/>
      </c>
      <c r="G3" s="8">
        <f>IF(명단표[[#This Row],[기본자료행]]="","",IF(INDEX(기본자료표[연차],명단표[[#This Row],[기본자료행]])="","",INDEX(기본자료표[연차],명단표[[#This Row],[기본자료행]])))</f>
        <v/>
      </c>
      <c r="H3" s="8">
        <f>IF(명단표[[#This Row],[기본자료행]]="","",IF(INDEX(기본자료표[근무지],명단표[[#This Row],[기본자료행]])="","",INDEX(기본자료표[근무지],명단표[[#This Row],[기본자료행]])))</f>
        <v/>
      </c>
      <c r="I3" s="10">
        <f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J3" s="8">
        <f>IF(명단표[[#This Row],[기본자료행]]="","",IF(INDEX(기본자료표[전공의등록번호],명단표[[#This Row],[기본자료행]])="","",INDEX(기본자료표[전공의등록번호],명단표[[#This Row],[기본자료행]])))</f>
        <v/>
      </c>
      <c r="K3" s="8">
        <f>IF(명단표[[#This Row],[기본자료행]]="","",IF(INDEX(기본자료표[의사면허번호],명단표[[#This Row],[기본자료행]])="","",INDEX(기본자료표[의사면허번호],명단표[[#This Row],[기본자료행]])))</f>
        <v/>
      </c>
      <c r="L3" s="8">
        <f>IF(명단표[[#This Row],[기본자료행]]="","",IF(INDEX(기본자료표[현재근무 여부],명단표[[#This Row],[기본자료행]])="","",INDEX(기본자료표[현재근무 여부],명단표[[#This Row],[기본자료행]])))</f>
        <v/>
      </c>
      <c r="M3" s="6" t="inlineStr">
        <is>
          <t>서울병원</t>
        </is>
      </c>
      <c r="N3" s="8">
        <f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f>
        <v/>
      </c>
      <c r="O3" s="8">
        <f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f>
        <v/>
      </c>
      <c r="P3" s="8">
        <f>IF(명단표[[#This Row],[구리행]]="","",INDEX(구리_시작,명단표[[#This Row],[구리행]]))</f>
        <v/>
      </c>
      <c r="Q3" s="8">
        <f>IF(명단표[[#This Row],[구리행]]="","",INDEX(구리_종료,명단표[[#This Row],[구리행]]))</f>
        <v/>
      </c>
      <c r="R3" s="8">
        <f>IF(명단표[[#This Row],[구리행]]="","",INDEX(구리_독자,명단표[[#This Row],[구리행]]))</f>
        <v/>
      </c>
      <c r="S3" s="11">
        <f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f>
        <v/>
      </c>
      <c r="T3" s="11">
        <f>IF(NOT(TRIM(명단표[[#This Row],[사번]]&amp;"")&lt;&gt;""),"",IF(명단표[[#This Row],[구리행]]&lt;&gt;"",N(명단표[[#This Row],[구리명단 근무일]]),IF(명단표[[#This Row],[기준월 근무병원]]="구리병원",DAY(EOMONTH(급여기준월,0)),0)))</f>
        <v/>
      </c>
      <c r="U3" s="8">
        <f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f>
        <v/>
      </c>
      <c r="V3" s="8">
        <f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f>
        <v/>
      </c>
      <c r="W3" s="8">
        <f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f>
        <v/>
      </c>
      <c r="X3" s="6" t="inlineStr">
        <is>
          <t>예시 데이터</t>
        </is>
      </c>
      <c r="Y3" s="8">
        <f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f>
        <v/>
      </c>
      <c r="Z3" s="8">
        <f>IF(NOT(TRIM(명단표[[#This Row],[사번]]&amp;"")&lt;&gt;""),"",IF(명단표[[#This Row],[직접행(전월)]]&lt;&gt;"",INDEX(월별근무지표[적용 급여병원],명단표[[#This Row],[직접행(전월)]]),명단표[[#This Row],[전월 근무병원]]))</f>
        <v/>
      </c>
      <c r="AA3" s="8">
        <f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B3" s="8">
        <f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f>
        <v/>
      </c>
      <c r="AC3" s="8">
        <f>IF(NOT(TRIM(명단표[[#This Row],[사번]]&amp;"")&lt;&gt;""),"",IF(명단표[[#This Row],[직접행(익월)]]&lt;&gt;"",INDEX(월별근무지표[적용 급여병원],명단표[[#This Row],[직접행(익월)]]),명단표[[#This Row],[익월 근무병원]]))</f>
        <v/>
      </c>
      <c r="AD3" s="8">
        <f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E3" s="8">
        <f>IF(NOT(TRIM(명단표[[#This Row],[사번]]&amp;"")&lt;&gt;""),"",IFERROR(_xlfn.XMATCH("S|"&amp;TRIM(명단표[[#This Row],[사번]]&amp;""),기본자료표[사번키]),""))</f>
        <v/>
      </c>
      <c r="AF3" s="8">
        <f>IF(명단표[[#This Row],[이름]]="","",명단표[[#This Row],[이름]]&amp;"|"&amp;명단표[[#This Row],[수련과목]])</f>
        <v/>
      </c>
      <c r="AG3" s="8">
        <f>IF(NOT(TRIM(명단표[[#This Row],[사번]]&amp;"")&lt;&gt;""),"",IFERROR(_xlfn.XMATCH("S|"&amp;TRIM(명단표[[#This Row],[사번]]&amp;""),인턴계획표[사번키]),""))</f>
        <v/>
      </c>
      <c r="AH3" s="8">
        <f>IF(OR(명단표[[#This Row],[인턴계획행]]="",인턴위치_이번=""),"",INDEX(인턴계획표[[정규화1]:[정규화6]],명단표[[#This Row],[인턴계획행]],인턴위치_이번)&amp;"")</f>
        <v/>
      </c>
      <c r="AI3" s="8">
        <f>IF(OR(명단표[[#This Row],[인턴계획행]]="",인턴위치_기준월=""),"",INDEX(인턴계획표[[정규화1]:[정규화6]],명단표[[#This Row],[인턴계획행]],인턴위치_기준월)&amp;"")</f>
        <v/>
      </c>
      <c r="AJ3" s="8">
        <f>IF(OR(명단표[[#This Row],[인턴계획행]]="",인턴위치_전월=""),"",INDEX(인턴계획표[[정규화1]:[정규화6]],명단표[[#This Row],[인턴계획행]],인턴위치_전월)&amp;"")</f>
        <v/>
      </c>
      <c r="AK3" s="8">
        <f>IF(OR(명단표[[#This Row],[인턴계획행]]="",인턴위치_익월=""),"",INDEX(인턴계획표[[정규화1]:[정규화6]],명단표[[#This Row],[인턴계획행]],인턴위치_익월)&amp;"")</f>
        <v/>
      </c>
      <c r="AL3" s="8">
        <f>IF(NOT(TRIM(명단표[[#This Row],[사번]]&amp;"")&lt;&gt;""),"",IFERROR(_xlfn.XMATCH("S|"&amp;TRIM(명단표[[#This Row],[사번]]&amp;"")&amp;"|"&amp;기준월키,월별근무지표[키]),""))</f>
        <v/>
      </c>
      <c r="AM3" s="8">
        <f>IF(NOT(TRIM(명단표[[#This Row],[사번]]&amp;"")&lt;&gt;""),"",IFERROR(_xlfn.XMATCH("S|"&amp;TRIM(명단표[[#This Row],[사번]]&amp;"")&amp;"|"&amp;전월키,월별근무지표[키]),""))</f>
        <v/>
      </c>
      <c r="AN3" s="8">
        <f>IF(NOT(TRIM(명단표[[#This Row],[사번]]&amp;"")&lt;&gt;""),"",IFERROR(_xlfn.XMATCH("S|"&amp;TRIM(명단표[[#This Row],[사번]]&amp;"")&amp;"|"&amp;익월키,월별근무지표[키]),""))</f>
        <v/>
      </c>
      <c r="AO3" s="8">
        <f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f>
        <v/>
      </c>
      <c r="AP3" s="8">
        <f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f>
        <v/>
      </c>
      <c r="AQ3" s="8">
        <f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f>
        <v/>
      </c>
      <c r="AR3" s="11">
        <f>IF(명단표[[#This Row],[구리행]]="","",INDEX(구리_근무일,명단표[[#This Row],[구리행]]))</f>
        <v/>
      </c>
      <c r="AS3" s="8">
        <f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f>
        <v/>
      </c>
    </row>
    <row r="4">
      <c r="A4" s="8">
        <f>ROW()-ROW(명단표[#Headers])</f>
        <v/>
      </c>
      <c r="B4" s="7" t="inlineStr">
        <is>
          <t>2261214</t>
        </is>
      </c>
      <c r="C4" s="8">
        <f>IF(명단표[[#This Row],[기본자료행]]="","",IF(INDEX(기본자료표[이름],명단표[[#This Row],[기본자료행]])="","",INDEX(기본자료표[이름],명단표[[#This Row],[기본자료행]])))</f>
        <v/>
      </c>
      <c r="D4" s="8">
        <f>IF(명단표[[#This Row],[기본자료행]]="","",IF(INDEX(기본자료표[성별],명단표[[#This Row],[기본자료행]])="","",INDEX(기본자료표[성별],명단표[[#This Row],[기본자료행]])))</f>
        <v/>
      </c>
      <c r="E4" s="10">
        <f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F4" s="8">
        <f>IF(명단표[[#This Row],[기본자료행]]="","",IF(INDEX(기본자료표[수련과목],명단표[[#This Row],[기본자료행]])="","",INDEX(기본자료표[수련과목],명단표[[#This Row],[기본자료행]])))</f>
        <v/>
      </c>
      <c r="G4" s="8">
        <f>IF(명단표[[#This Row],[기본자료행]]="","",IF(INDEX(기본자료표[연차],명단표[[#This Row],[기본자료행]])="","",INDEX(기본자료표[연차],명단표[[#This Row],[기본자료행]])))</f>
        <v/>
      </c>
      <c r="H4" s="8">
        <f>IF(명단표[[#This Row],[기본자료행]]="","",IF(INDEX(기본자료표[근무지],명단표[[#This Row],[기본자료행]])="","",INDEX(기본자료표[근무지],명단표[[#This Row],[기본자료행]])))</f>
        <v/>
      </c>
      <c r="I4" s="10">
        <f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J4" s="8">
        <f>IF(명단표[[#This Row],[기본자료행]]="","",IF(INDEX(기본자료표[전공의등록번호],명단표[[#This Row],[기본자료행]])="","",INDEX(기본자료표[전공의등록번호],명단표[[#This Row],[기본자료행]])))</f>
        <v/>
      </c>
      <c r="K4" s="8">
        <f>IF(명단표[[#This Row],[기본자료행]]="","",IF(INDEX(기본자료표[의사면허번호],명단표[[#This Row],[기본자료행]])="","",INDEX(기본자료표[의사면허번호],명단표[[#This Row],[기본자료행]])))</f>
        <v/>
      </c>
      <c r="L4" s="8">
        <f>IF(명단표[[#This Row],[기본자료행]]="","",IF(INDEX(기본자료표[현재근무 여부],명단표[[#This Row],[기본자료행]])="","",INDEX(기본자료표[현재근무 여부],명단표[[#This Row],[기본자료행]])))</f>
        <v/>
      </c>
      <c r="M4" s="6" t="inlineStr">
        <is>
          <t>서울병원</t>
        </is>
      </c>
      <c r="N4" s="8">
        <f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f>
        <v/>
      </c>
      <c r="O4" s="8">
        <f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f>
        <v/>
      </c>
      <c r="P4" s="8">
        <f>IF(명단표[[#This Row],[구리행]]="","",INDEX(구리_시작,명단표[[#This Row],[구리행]]))</f>
        <v/>
      </c>
      <c r="Q4" s="8">
        <f>IF(명단표[[#This Row],[구리행]]="","",INDEX(구리_종료,명단표[[#This Row],[구리행]]))</f>
        <v/>
      </c>
      <c r="R4" s="8">
        <f>IF(명단표[[#This Row],[구리행]]="","",INDEX(구리_독자,명단표[[#This Row],[구리행]]))</f>
        <v/>
      </c>
      <c r="S4" s="11">
        <f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f>
        <v/>
      </c>
      <c r="T4" s="11">
        <f>IF(NOT(TRIM(명단표[[#This Row],[사번]]&amp;"")&lt;&gt;""),"",IF(명단표[[#This Row],[구리행]]&lt;&gt;"",N(명단표[[#This Row],[구리명단 근무일]]),IF(명단표[[#This Row],[기준월 근무병원]]="구리병원",DAY(EOMONTH(급여기준월,0)),0)))</f>
        <v/>
      </c>
      <c r="U4" s="8">
        <f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f>
        <v/>
      </c>
      <c r="V4" s="8">
        <f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f>
        <v/>
      </c>
      <c r="W4" s="8">
        <f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f>
        <v/>
      </c>
      <c r="X4" s="6" t="inlineStr">
        <is>
          <t>예시 데이터</t>
        </is>
      </c>
      <c r="Y4" s="8">
        <f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f>
        <v/>
      </c>
      <c r="Z4" s="8">
        <f>IF(NOT(TRIM(명단표[[#This Row],[사번]]&amp;"")&lt;&gt;""),"",IF(명단표[[#This Row],[직접행(전월)]]&lt;&gt;"",INDEX(월별근무지표[적용 급여병원],명단표[[#This Row],[직접행(전월)]]),명단표[[#This Row],[전월 근무병원]]))</f>
        <v/>
      </c>
      <c r="AA4" s="8">
        <f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B4" s="8">
        <f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f>
        <v/>
      </c>
      <c r="AC4" s="8">
        <f>IF(NOT(TRIM(명단표[[#This Row],[사번]]&amp;"")&lt;&gt;""),"",IF(명단표[[#This Row],[직접행(익월)]]&lt;&gt;"",INDEX(월별근무지표[적용 급여병원],명단표[[#This Row],[직접행(익월)]]),명단표[[#This Row],[익월 근무병원]]))</f>
        <v/>
      </c>
      <c r="AD4" s="8">
        <f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E4" s="8">
        <f>IF(NOT(TRIM(명단표[[#This Row],[사번]]&amp;"")&lt;&gt;""),"",IFERROR(_xlfn.XMATCH("S|"&amp;TRIM(명단표[[#This Row],[사번]]&amp;""),기본자료표[사번키]),""))</f>
        <v/>
      </c>
      <c r="AF4" s="8">
        <f>IF(명단표[[#This Row],[이름]]="","",명단표[[#This Row],[이름]]&amp;"|"&amp;명단표[[#This Row],[수련과목]])</f>
        <v/>
      </c>
      <c r="AG4" s="8">
        <f>IF(NOT(TRIM(명단표[[#This Row],[사번]]&amp;"")&lt;&gt;""),"",IFERROR(_xlfn.XMATCH("S|"&amp;TRIM(명단표[[#This Row],[사번]]&amp;""),인턴계획표[사번키]),""))</f>
        <v/>
      </c>
      <c r="AH4" s="8">
        <f>IF(OR(명단표[[#This Row],[인턴계획행]]="",인턴위치_이번=""),"",INDEX(인턴계획표[[정규화1]:[정규화6]],명단표[[#This Row],[인턴계획행]],인턴위치_이번)&amp;"")</f>
        <v/>
      </c>
      <c r="AI4" s="8">
        <f>IF(OR(명단표[[#This Row],[인턴계획행]]="",인턴위치_기준월=""),"",INDEX(인턴계획표[[정규화1]:[정규화6]],명단표[[#This Row],[인턴계획행]],인턴위치_기준월)&amp;"")</f>
        <v/>
      </c>
      <c r="AJ4" s="8">
        <f>IF(OR(명단표[[#This Row],[인턴계획행]]="",인턴위치_전월=""),"",INDEX(인턴계획표[[정규화1]:[정규화6]],명단표[[#This Row],[인턴계획행]],인턴위치_전월)&amp;"")</f>
        <v/>
      </c>
      <c r="AK4" s="8">
        <f>IF(OR(명단표[[#This Row],[인턴계획행]]="",인턴위치_익월=""),"",INDEX(인턴계획표[[정규화1]:[정규화6]],명단표[[#This Row],[인턴계획행]],인턴위치_익월)&amp;"")</f>
        <v/>
      </c>
      <c r="AL4" s="8">
        <f>IF(NOT(TRIM(명단표[[#This Row],[사번]]&amp;"")&lt;&gt;""),"",IFERROR(_xlfn.XMATCH("S|"&amp;TRIM(명단표[[#This Row],[사번]]&amp;"")&amp;"|"&amp;기준월키,월별근무지표[키]),""))</f>
        <v/>
      </c>
      <c r="AM4" s="8">
        <f>IF(NOT(TRIM(명단표[[#This Row],[사번]]&amp;"")&lt;&gt;""),"",IFERROR(_xlfn.XMATCH("S|"&amp;TRIM(명단표[[#This Row],[사번]]&amp;"")&amp;"|"&amp;전월키,월별근무지표[키]),""))</f>
        <v/>
      </c>
      <c r="AN4" s="8">
        <f>IF(NOT(TRIM(명단표[[#This Row],[사번]]&amp;"")&lt;&gt;""),"",IFERROR(_xlfn.XMATCH("S|"&amp;TRIM(명단표[[#This Row],[사번]]&amp;"")&amp;"|"&amp;익월키,월별근무지표[키]),""))</f>
        <v/>
      </c>
      <c r="AO4" s="8">
        <f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f>
        <v/>
      </c>
      <c r="AP4" s="8">
        <f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f>
        <v/>
      </c>
      <c r="AQ4" s="8">
        <f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f>
        <v/>
      </c>
      <c r="AR4" s="11">
        <f>IF(명단표[[#This Row],[구리행]]="","",INDEX(구리_근무일,명단표[[#This Row],[구리행]]))</f>
        <v/>
      </c>
      <c r="AS4" s="8">
        <f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f>
        <v/>
      </c>
    </row>
    <row r="5">
      <c r="A5" s="8">
        <f>ROW()-ROW(명단표[#Headers])</f>
        <v/>
      </c>
      <c r="B5" s="7" t="inlineStr">
        <is>
          <t>2261215</t>
        </is>
      </c>
      <c r="C5" s="8">
        <f>IF(명단표[[#This Row],[기본자료행]]="","",IF(INDEX(기본자료표[이름],명단표[[#This Row],[기본자료행]])="","",INDEX(기본자료표[이름],명단표[[#This Row],[기본자료행]])))</f>
        <v/>
      </c>
      <c r="D5" s="8">
        <f>IF(명단표[[#This Row],[기본자료행]]="","",IF(INDEX(기본자료표[성별],명단표[[#This Row],[기본자료행]])="","",INDEX(기본자료표[성별],명단표[[#This Row],[기본자료행]])))</f>
        <v/>
      </c>
      <c r="E5" s="10">
        <f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F5" s="8">
        <f>IF(명단표[[#This Row],[기본자료행]]="","",IF(INDEX(기본자료표[수련과목],명단표[[#This Row],[기본자료행]])="","",INDEX(기본자료표[수련과목],명단표[[#This Row],[기본자료행]])))</f>
        <v/>
      </c>
      <c r="G5" s="8">
        <f>IF(명단표[[#This Row],[기본자료행]]="","",IF(INDEX(기본자료표[연차],명단표[[#This Row],[기본자료행]])="","",INDEX(기본자료표[연차],명단표[[#This Row],[기본자료행]])))</f>
        <v/>
      </c>
      <c r="H5" s="8">
        <f>IF(명단표[[#This Row],[기본자료행]]="","",IF(INDEX(기본자료표[근무지],명단표[[#This Row],[기본자료행]])="","",INDEX(기본자료표[근무지],명단표[[#This Row],[기본자료행]])))</f>
        <v/>
      </c>
      <c r="I5" s="10">
        <f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J5" s="8">
        <f>IF(명단표[[#This Row],[기본자료행]]="","",IF(INDEX(기본자료표[전공의등록번호],명단표[[#This Row],[기본자료행]])="","",INDEX(기본자료표[전공의등록번호],명단표[[#This Row],[기본자료행]])))</f>
        <v/>
      </c>
      <c r="K5" s="8">
        <f>IF(명단표[[#This Row],[기본자료행]]="","",IF(INDEX(기본자료표[의사면허번호],명단표[[#This Row],[기본자료행]])="","",INDEX(기본자료표[의사면허번호],명단표[[#This Row],[기본자료행]])))</f>
        <v/>
      </c>
      <c r="L5" s="8">
        <f>IF(명단표[[#This Row],[기본자료행]]="","",IF(INDEX(기본자료표[현재근무 여부],명단표[[#This Row],[기본자료행]])="","",INDEX(기본자료표[현재근무 여부],명단표[[#This Row],[기본자료행]])))</f>
        <v/>
      </c>
      <c r="M5" s="6" t="inlineStr">
        <is>
          <t>서울병원</t>
        </is>
      </c>
      <c r="N5" s="8">
        <f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f>
        <v/>
      </c>
      <c r="O5" s="8">
        <f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f>
        <v/>
      </c>
      <c r="P5" s="8">
        <f>IF(명단표[[#This Row],[구리행]]="","",INDEX(구리_시작,명단표[[#This Row],[구리행]]))</f>
        <v/>
      </c>
      <c r="Q5" s="8">
        <f>IF(명단표[[#This Row],[구리행]]="","",INDEX(구리_종료,명단표[[#This Row],[구리행]]))</f>
        <v/>
      </c>
      <c r="R5" s="8">
        <f>IF(명단표[[#This Row],[구리행]]="","",INDEX(구리_독자,명단표[[#This Row],[구리행]]))</f>
        <v/>
      </c>
      <c r="S5" s="11">
        <f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f>
        <v/>
      </c>
      <c r="T5" s="11">
        <f>IF(NOT(TRIM(명단표[[#This Row],[사번]]&amp;"")&lt;&gt;""),"",IF(명단표[[#This Row],[구리행]]&lt;&gt;"",N(명단표[[#This Row],[구리명단 근무일]]),IF(명단표[[#This Row],[기준월 근무병원]]="구리병원",DAY(EOMONTH(급여기준월,0)),0)))</f>
        <v/>
      </c>
      <c r="U5" s="8">
        <f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f>
        <v/>
      </c>
      <c r="V5" s="8">
        <f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f>
        <v/>
      </c>
      <c r="W5" s="8">
        <f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f>
        <v/>
      </c>
      <c r="X5" s="6" t="inlineStr">
        <is>
          <t>예시 데이터</t>
        </is>
      </c>
      <c r="Y5" s="8">
        <f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f>
        <v/>
      </c>
      <c r="Z5" s="8">
        <f>IF(NOT(TRIM(명단표[[#This Row],[사번]]&amp;"")&lt;&gt;""),"",IF(명단표[[#This Row],[직접행(전월)]]&lt;&gt;"",INDEX(월별근무지표[적용 급여병원],명단표[[#This Row],[직접행(전월)]]),명단표[[#This Row],[전월 근무병원]]))</f>
        <v/>
      </c>
      <c r="AA5" s="8">
        <f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B5" s="8">
        <f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f>
        <v/>
      </c>
      <c r="AC5" s="8">
        <f>IF(NOT(TRIM(명단표[[#This Row],[사번]]&amp;"")&lt;&gt;""),"",IF(명단표[[#This Row],[직접행(익월)]]&lt;&gt;"",INDEX(월별근무지표[적용 급여병원],명단표[[#This Row],[직접행(익월)]]),명단표[[#This Row],[익월 근무병원]]))</f>
        <v/>
      </c>
      <c r="AD5" s="8">
        <f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E5" s="8">
        <f>IF(NOT(TRIM(명단표[[#This Row],[사번]]&amp;"")&lt;&gt;""),"",IFERROR(_xlfn.XMATCH("S|"&amp;TRIM(명단표[[#This Row],[사번]]&amp;""),기본자료표[사번키]),""))</f>
        <v/>
      </c>
      <c r="AF5" s="8">
        <f>IF(명단표[[#This Row],[이름]]="","",명단표[[#This Row],[이름]]&amp;"|"&amp;명단표[[#This Row],[수련과목]])</f>
        <v/>
      </c>
      <c r="AG5" s="8">
        <f>IF(NOT(TRIM(명단표[[#This Row],[사번]]&amp;"")&lt;&gt;""),"",IFERROR(_xlfn.XMATCH("S|"&amp;TRIM(명단표[[#This Row],[사번]]&amp;""),인턴계획표[사번키]),""))</f>
        <v/>
      </c>
      <c r="AH5" s="8">
        <f>IF(OR(명단표[[#This Row],[인턴계획행]]="",인턴위치_이번=""),"",INDEX(인턴계획표[[정규화1]:[정규화6]],명단표[[#This Row],[인턴계획행]],인턴위치_이번)&amp;"")</f>
        <v/>
      </c>
      <c r="AI5" s="8">
        <f>IF(OR(명단표[[#This Row],[인턴계획행]]="",인턴위치_기준월=""),"",INDEX(인턴계획표[[정규화1]:[정규화6]],명단표[[#This Row],[인턴계획행]],인턴위치_기준월)&amp;"")</f>
        <v/>
      </c>
      <c r="AJ5" s="8">
        <f>IF(OR(명단표[[#This Row],[인턴계획행]]="",인턴위치_전월=""),"",INDEX(인턴계획표[[정규화1]:[정규화6]],명단표[[#This Row],[인턴계획행]],인턴위치_전월)&amp;"")</f>
        <v/>
      </c>
      <c r="AK5" s="8">
        <f>IF(OR(명단표[[#This Row],[인턴계획행]]="",인턴위치_익월=""),"",INDEX(인턴계획표[[정규화1]:[정규화6]],명단표[[#This Row],[인턴계획행]],인턴위치_익월)&amp;"")</f>
        <v/>
      </c>
      <c r="AL5" s="8">
        <f>IF(NOT(TRIM(명단표[[#This Row],[사번]]&amp;"")&lt;&gt;""),"",IFERROR(_xlfn.XMATCH("S|"&amp;TRIM(명단표[[#This Row],[사번]]&amp;"")&amp;"|"&amp;기준월키,월별근무지표[키]),""))</f>
        <v/>
      </c>
      <c r="AM5" s="8">
        <f>IF(NOT(TRIM(명단표[[#This Row],[사번]]&amp;"")&lt;&gt;""),"",IFERROR(_xlfn.XMATCH("S|"&amp;TRIM(명단표[[#This Row],[사번]]&amp;"")&amp;"|"&amp;전월키,월별근무지표[키]),""))</f>
        <v/>
      </c>
      <c r="AN5" s="8">
        <f>IF(NOT(TRIM(명단표[[#This Row],[사번]]&amp;"")&lt;&gt;""),"",IFERROR(_xlfn.XMATCH("S|"&amp;TRIM(명단표[[#This Row],[사번]]&amp;"")&amp;"|"&amp;익월키,월별근무지표[키]),""))</f>
        <v/>
      </c>
      <c r="AO5" s="8">
        <f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f>
        <v/>
      </c>
      <c r="AP5" s="8">
        <f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f>
        <v/>
      </c>
      <c r="AQ5" s="8">
        <f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f>
        <v/>
      </c>
      <c r="AR5" s="11">
        <f>IF(명단표[[#This Row],[구리행]]="","",INDEX(구리_근무일,명단표[[#This Row],[구리행]]))</f>
        <v/>
      </c>
      <c r="AS5" s="8">
        <f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f>
        <v/>
      </c>
    </row>
    <row r="6">
      <c r="A6" s="8">
        <f>ROW()-ROW(명단표[#Headers])</f>
        <v/>
      </c>
      <c r="B6" s="7" t="inlineStr">
        <is>
          <t>2261216</t>
        </is>
      </c>
      <c r="C6" s="8">
        <f>IF(명단표[[#This Row],[기본자료행]]="","",IF(INDEX(기본자료표[이름],명단표[[#This Row],[기본자료행]])="","",INDEX(기본자료표[이름],명단표[[#This Row],[기본자료행]])))</f>
        <v/>
      </c>
      <c r="D6" s="8">
        <f>IF(명단표[[#This Row],[기본자료행]]="","",IF(INDEX(기본자료표[성별],명단표[[#This Row],[기본자료행]])="","",INDEX(기본자료표[성별],명단표[[#This Row],[기본자료행]])))</f>
        <v/>
      </c>
      <c r="E6" s="10">
        <f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F6" s="8">
        <f>IF(명단표[[#This Row],[기본자료행]]="","",IF(INDEX(기본자료표[수련과목],명단표[[#This Row],[기본자료행]])="","",INDEX(기본자료표[수련과목],명단표[[#This Row],[기본자료행]])))</f>
        <v/>
      </c>
      <c r="G6" s="8">
        <f>IF(명단표[[#This Row],[기본자료행]]="","",IF(INDEX(기본자료표[연차],명단표[[#This Row],[기본자료행]])="","",INDEX(기본자료표[연차],명단표[[#This Row],[기본자료행]])))</f>
        <v/>
      </c>
      <c r="H6" s="8">
        <f>IF(명단표[[#This Row],[기본자료행]]="","",IF(INDEX(기본자료표[근무지],명단표[[#This Row],[기본자료행]])="","",INDEX(기본자료표[근무지],명단표[[#This Row],[기본자료행]])))</f>
        <v/>
      </c>
      <c r="I6" s="10">
        <f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J6" s="8">
        <f>IF(명단표[[#This Row],[기본자료행]]="","",IF(INDEX(기본자료표[전공의등록번호],명단표[[#This Row],[기본자료행]])="","",INDEX(기본자료표[전공의등록번호],명단표[[#This Row],[기본자료행]])))</f>
        <v/>
      </c>
      <c r="K6" s="8">
        <f>IF(명단표[[#This Row],[기본자료행]]="","",IF(INDEX(기본자료표[의사면허번호],명단표[[#This Row],[기본자료행]])="","",INDEX(기본자료표[의사면허번호],명단표[[#This Row],[기본자료행]])))</f>
        <v/>
      </c>
      <c r="L6" s="8">
        <f>IF(명단표[[#This Row],[기본자료행]]="","",IF(INDEX(기본자료표[현재근무 여부],명단표[[#This Row],[기본자료행]])="","",INDEX(기본자료표[현재근무 여부],명단표[[#This Row],[기본자료행]])))</f>
        <v/>
      </c>
      <c r="M6" s="6" t="inlineStr">
        <is>
          <t>구리병원</t>
        </is>
      </c>
      <c r="N6" s="8">
        <f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f>
        <v/>
      </c>
      <c r="O6" s="8">
        <f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f>
        <v/>
      </c>
      <c r="P6" s="8">
        <f>IF(명단표[[#This Row],[구리행]]="","",INDEX(구리_시작,명단표[[#This Row],[구리행]]))</f>
        <v/>
      </c>
      <c r="Q6" s="8">
        <f>IF(명단표[[#This Row],[구리행]]="","",INDEX(구리_종료,명단표[[#This Row],[구리행]]))</f>
        <v/>
      </c>
      <c r="R6" s="8">
        <f>IF(명단표[[#This Row],[구리행]]="","",INDEX(구리_독자,명단표[[#This Row],[구리행]]))</f>
        <v/>
      </c>
      <c r="S6" s="11">
        <f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f>
        <v/>
      </c>
      <c r="T6" s="11">
        <f>IF(NOT(TRIM(명단표[[#This Row],[사번]]&amp;"")&lt;&gt;""),"",IF(명단표[[#This Row],[구리행]]&lt;&gt;"",N(명단표[[#This Row],[구리명단 근무일]]),IF(명단표[[#This Row],[기준월 근무병원]]="구리병원",DAY(EOMONTH(급여기준월,0)),0)))</f>
        <v/>
      </c>
      <c r="U6" s="8">
        <f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f>
        <v/>
      </c>
      <c r="V6" s="8">
        <f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f>
        <v/>
      </c>
      <c r="W6" s="8">
        <f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f>
        <v/>
      </c>
      <c r="X6" s="6" t="inlineStr">
        <is>
          <t>예시 데이터</t>
        </is>
      </c>
      <c r="Y6" s="8">
        <f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f>
        <v/>
      </c>
      <c r="Z6" s="8">
        <f>IF(NOT(TRIM(명단표[[#This Row],[사번]]&amp;"")&lt;&gt;""),"",IF(명단표[[#This Row],[직접행(전월)]]&lt;&gt;"",INDEX(월별근무지표[적용 급여병원],명단표[[#This Row],[직접행(전월)]]),명단표[[#This Row],[전월 근무병원]]))</f>
        <v/>
      </c>
      <c r="AA6" s="8">
        <f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B6" s="8">
        <f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f>
        <v/>
      </c>
      <c r="AC6" s="8">
        <f>IF(NOT(TRIM(명단표[[#This Row],[사번]]&amp;"")&lt;&gt;""),"",IF(명단표[[#This Row],[직접행(익월)]]&lt;&gt;"",INDEX(월별근무지표[적용 급여병원],명단표[[#This Row],[직접행(익월)]]),명단표[[#This Row],[익월 근무병원]]))</f>
        <v/>
      </c>
      <c r="AD6" s="8">
        <f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E6" s="8">
        <f>IF(NOT(TRIM(명단표[[#This Row],[사번]]&amp;"")&lt;&gt;""),"",IFERROR(_xlfn.XMATCH("S|"&amp;TRIM(명단표[[#This Row],[사번]]&amp;""),기본자료표[사번키]),""))</f>
        <v/>
      </c>
      <c r="AF6" s="8">
        <f>IF(명단표[[#This Row],[이름]]="","",명단표[[#This Row],[이름]]&amp;"|"&amp;명단표[[#This Row],[수련과목]])</f>
        <v/>
      </c>
      <c r="AG6" s="8">
        <f>IF(NOT(TRIM(명단표[[#This Row],[사번]]&amp;"")&lt;&gt;""),"",IFERROR(_xlfn.XMATCH("S|"&amp;TRIM(명단표[[#This Row],[사번]]&amp;""),인턴계획표[사번키]),""))</f>
        <v/>
      </c>
      <c r="AH6" s="8">
        <f>IF(OR(명단표[[#This Row],[인턴계획행]]="",인턴위치_이번=""),"",INDEX(인턴계획표[[정규화1]:[정규화6]],명단표[[#This Row],[인턴계획행]],인턴위치_이번)&amp;"")</f>
        <v/>
      </c>
      <c r="AI6" s="8">
        <f>IF(OR(명단표[[#This Row],[인턴계획행]]="",인턴위치_기준월=""),"",INDEX(인턴계획표[[정규화1]:[정규화6]],명단표[[#This Row],[인턴계획행]],인턴위치_기준월)&amp;"")</f>
        <v/>
      </c>
      <c r="AJ6" s="8">
        <f>IF(OR(명단표[[#This Row],[인턴계획행]]="",인턴위치_전월=""),"",INDEX(인턴계획표[[정규화1]:[정규화6]],명단표[[#This Row],[인턴계획행]],인턴위치_전월)&amp;"")</f>
        <v/>
      </c>
      <c r="AK6" s="8">
        <f>IF(OR(명단표[[#This Row],[인턴계획행]]="",인턴위치_익월=""),"",INDEX(인턴계획표[[정규화1]:[정규화6]],명단표[[#This Row],[인턴계획행]],인턴위치_익월)&amp;"")</f>
        <v/>
      </c>
      <c r="AL6" s="8">
        <f>IF(NOT(TRIM(명단표[[#This Row],[사번]]&amp;"")&lt;&gt;""),"",IFERROR(_xlfn.XMATCH("S|"&amp;TRIM(명단표[[#This Row],[사번]]&amp;"")&amp;"|"&amp;기준월키,월별근무지표[키]),""))</f>
        <v/>
      </c>
      <c r="AM6" s="8">
        <f>IF(NOT(TRIM(명단표[[#This Row],[사번]]&amp;"")&lt;&gt;""),"",IFERROR(_xlfn.XMATCH("S|"&amp;TRIM(명단표[[#This Row],[사번]]&amp;"")&amp;"|"&amp;전월키,월별근무지표[키]),""))</f>
        <v/>
      </c>
      <c r="AN6" s="8">
        <f>IF(NOT(TRIM(명단표[[#This Row],[사번]]&amp;"")&lt;&gt;""),"",IFERROR(_xlfn.XMATCH("S|"&amp;TRIM(명단표[[#This Row],[사번]]&amp;"")&amp;"|"&amp;익월키,월별근무지표[키]),""))</f>
        <v/>
      </c>
      <c r="AO6" s="8">
        <f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f>
        <v/>
      </c>
      <c r="AP6" s="8">
        <f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f>
        <v/>
      </c>
      <c r="AQ6" s="8">
        <f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f>
        <v/>
      </c>
      <c r="AR6" s="11">
        <f>IF(명단표[[#This Row],[구리행]]="","",INDEX(구리_근무일,명단표[[#This Row],[구리행]]))</f>
        <v/>
      </c>
      <c r="AS6" s="8">
        <f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f>
        <v/>
      </c>
    </row>
    <row r="7">
      <c r="A7" s="8">
        <f>ROW()-ROW(명단표[#Headers])</f>
        <v/>
      </c>
      <c r="B7" s="7" t="inlineStr">
        <is>
          <t>222222</t>
        </is>
      </c>
      <c r="C7" s="8">
        <f>IF(명단표[[#This Row],[기본자료행]]="","",IF(INDEX(기본자료표[이름],명단표[[#This Row],[기본자료행]])="","",INDEX(기본자료표[이름],명단표[[#This Row],[기본자료행]])))</f>
        <v/>
      </c>
      <c r="D7" s="8">
        <f>IF(명단표[[#This Row],[기본자료행]]="","",IF(INDEX(기본자료표[성별],명단표[[#This Row],[기본자료행]])="","",INDEX(기본자료표[성별],명단표[[#This Row],[기본자료행]])))</f>
        <v/>
      </c>
      <c r="E7" s="10">
        <f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F7" s="8">
        <f>IF(명단표[[#This Row],[기본자료행]]="","",IF(INDEX(기본자료표[수련과목],명단표[[#This Row],[기본자료행]])="","",INDEX(기본자료표[수련과목],명단표[[#This Row],[기본자료행]])))</f>
        <v/>
      </c>
      <c r="G7" s="8">
        <f>IF(명단표[[#This Row],[기본자료행]]="","",IF(INDEX(기본자료표[연차],명단표[[#This Row],[기본자료행]])="","",INDEX(기본자료표[연차],명단표[[#This Row],[기본자료행]])))</f>
        <v/>
      </c>
      <c r="H7" s="8">
        <f>IF(명단표[[#This Row],[기본자료행]]="","",IF(INDEX(기본자료표[근무지],명단표[[#This Row],[기본자료행]])="","",INDEX(기본자료표[근무지],명단표[[#This Row],[기본자료행]])))</f>
        <v/>
      </c>
      <c r="I7" s="10">
        <f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J7" s="8">
        <f>IF(명단표[[#This Row],[기본자료행]]="","",IF(INDEX(기본자료표[전공의등록번호],명단표[[#This Row],[기본자료행]])="","",INDEX(기본자료표[전공의등록번호],명단표[[#This Row],[기본자료행]])))</f>
        <v/>
      </c>
      <c r="K7" s="8">
        <f>IF(명단표[[#This Row],[기본자료행]]="","",IF(INDEX(기본자료표[의사면허번호],명단표[[#This Row],[기본자료행]])="","",INDEX(기본자료표[의사면허번호],명단표[[#This Row],[기본자료행]])))</f>
        <v/>
      </c>
      <c r="L7" s="8">
        <f>IF(명단표[[#This Row],[기본자료행]]="","",IF(INDEX(기본자료표[현재근무 여부],명단표[[#This Row],[기본자료행]])="","",INDEX(기본자료표[현재근무 여부],명단표[[#This Row],[기본자료행]])))</f>
        <v/>
      </c>
      <c r="M7" s="6" t="inlineStr">
        <is>
          <t>서울병원</t>
        </is>
      </c>
      <c r="N7" s="8">
        <f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f>
        <v/>
      </c>
      <c r="O7" s="8">
        <f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f>
        <v/>
      </c>
      <c r="P7" s="8">
        <f>IF(명단표[[#This Row],[구리행]]="","",INDEX(구리_시작,명단표[[#This Row],[구리행]]))</f>
        <v/>
      </c>
      <c r="Q7" s="8">
        <f>IF(명단표[[#This Row],[구리행]]="","",INDEX(구리_종료,명단표[[#This Row],[구리행]]))</f>
        <v/>
      </c>
      <c r="R7" s="8">
        <f>IF(명단표[[#This Row],[구리행]]="","",INDEX(구리_독자,명단표[[#This Row],[구리행]]))</f>
        <v/>
      </c>
      <c r="S7" s="11">
        <f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f>
        <v/>
      </c>
      <c r="T7" s="11">
        <f>IF(NOT(TRIM(명단표[[#This Row],[사번]]&amp;"")&lt;&gt;""),"",IF(명단표[[#This Row],[구리행]]&lt;&gt;"",N(명단표[[#This Row],[구리명단 근무일]]),IF(명단표[[#This Row],[기준월 근무병원]]="구리병원",DAY(EOMONTH(급여기준월,0)),0)))</f>
        <v/>
      </c>
      <c r="U7" s="8">
        <f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f>
        <v/>
      </c>
      <c r="V7" s="8">
        <f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f>
        <v/>
      </c>
      <c r="W7" s="8">
        <f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f>
        <v/>
      </c>
      <c r="X7" s="6" t="inlineStr">
        <is>
          <t>예시(인턴)</t>
        </is>
      </c>
      <c r="Y7" s="8">
        <f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f>
        <v/>
      </c>
      <c r="Z7" s="8">
        <f>IF(NOT(TRIM(명단표[[#This Row],[사번]]&amp;"")&lt;&gt;""),"",IF(명단표[[#This Row],[직접행(전월)]]&lt;&gt;"",INDEX(월별근무지표[적용 급여병원],명단표[[#This Row],[직접행(전월)]]),명단표[[#This Row],[전월 근무병원]]))</f>
        <v/>
      </c>
      <c r="AA7" s="8">
        <f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B7" s="8">
        <f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f>
        <v/>
      </c>
      <c r="AC7" s="8">
        <f>IF(NOT(TRIM(명단표[[#This Row],[사번]]&amp;"")&lt;&gt;""),"",IF(명단표[[#This Row],[직접행(익월)]]&lt;&gt;"",INDEX(월별근무지표[적용 급여병원],명단표[[#This Row],[직접행(익월)]]),명단표[[#This Row],[익월 근무병원]]))</f>
        <v/>
      </c>
      <c r="AD7" s="8">
        <f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E7" s="8">
        <f>IF(NOT(TRIM(명단표[[#This Row],[사번]]&amp;"")&lt;&gt;""),"",IFERROR(_xlfn.XMATCH("S|"&amp;TRIM(명단표[[#This Row],[사번]]&amp;""),기본자료표[사번키]),""))</f>
        <v/>
      </c>
      <c r="AF7" s="8">
        <f>IF(명단표[[#This Row],[이름]]="","",명단표[[#This Row],[이름]]&amp;"|"&amp;명단표[[#This Row],[수련과목]])</f>
        <v/>
      </c>
      <c r="AG7" s="8">
        <f>IF(NOT(TRIM(명단표[[#This Row],[사번]]&amp;"")&lt;&gt;""),"",IFERROR(_xlfn.XMATCH("S|"&amp;TRIM(명단표[[#This Row],[사번]]&amp;""),인턴계획표[사번키]),""))</f>
        <v/>
      </c>
      <c r="AH7" s="8">
        <f>IF(OR(명단표[[#This Row],[인턴계획행]]="",인턴위치_이번=""),"",INDEX(인턴계획표[[정규화1]:[정규화6]],명단표[[#This Row],[인턴계획행]],인턴위치_이번)&amp;"")</f>
        <v/>
      </c>
      <c r="AI7" s="8">
        <f>IF(OR(명단표[[#This Row],[인턴계획행]]="",인턴위치_기준월=""),"",INDEX(인턴계획표[[정규화1]:[정규화6]],명단표[[#This Row],[인턴계획행]],인턴위치_기준월)&amp;"")</f>
        <v/>
      </c>
      <c r="AJ7" s="8">
        <f>IF(OR(명단표[[#This Row],[인턴계획행]]="",인턴위치_전월=""),"",INDEX(인턴계획표[[정규화1]:[정규화6]],명단표[[#This Row],[인턴계획행]],인턴위치_전월)&amp;"")</f>
        <v/>
      </c>
      <c r="AK7" s="8">
        <f>IF(OR(명단표[[#This Row],[인턴계획행]]="",인턴위치_익월=""),"",INDEX(인턴계획표[[정규화1]:[정규화6]],명단표[[#This Row],[인턴계획행]],인턴위치_익월)&amp;"")</f>
        <v/>
      </c>
      <c r="AL7" s="8">
        <f>IF(NOT(TRIM(명단표[[#This Row],[사번]]&amp;"")&lt;&gt;""),"",IFERROR(_xlfn.XMATCH("S|"&amp;TRIM(명단표[[#This Row],[사번]]&amp;"")&amp;"|"&amp;기준월키,월별근무지표[키]),""))</f>
        <v/>
      </c>
      <c r="AM7" s="8">
        <f>IF(NOT(TRIM(명단표[[#This Row],[사번]]&amp;"")&lt;&gt;""),"",IFERROR(_xlfn.XMATCH("S|"&amp;TRIM(명단표[[#This Row],[사번]]&amp;"")&amp;"|"&amp;전월키,월별근무지표[키]),""))</f>
        <v/>
      </c>
      <c r="AN7" s="8">
        <f>IF(NOT(TRIM(명단표[[#This Row],[사번]]&amp;"")&lt;&gt;""),"",IFERROR(_xlfn.XMATCH("S|"&amp;TRIM(명단표[[#This Row],[사번]]&amp;"")&amp;"|"&amp;익월키,월별근무지표[키]),""))</f>
        <v/>
      </c>
      <c r="AO7" s="8">
        <f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f>
        <v/>
      </c>
      <c r="AP7" s="8">
        <f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f>
        <v/>
      </c>
      <c r="AQ7" s="8">
        <f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f>
        <v/>
      </c>
      <c r="AR7" s="11">
        <f>IF(명단표[[#This Row],[구리행]]="","",INDEX(구리_근무일,명단표[[#This Row],[구리행]]))</f>
        <v/>
      </c>
      <c r="AS7" s="8">
        <f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f>
        <v/>
      </c>
    </row>
    <row r="8">
      <c r="A8" s="8">
        <f>ROW()-ROW(명단표[#Headers])</f>
        <v/>
      </c>
      <c r="B8" s="7" t="inlineStr">
        <is>
          <t>222223</t>
        </is>
      </c>
      <c r="C8" s="8">
        <f>IF(명단표[[#This Row],[기본자료행]]="","",IF(INDEX(기본자료표[이름],명단표[[#This Row],[기본자료행]])="","",INDEX(기본자료표[이름],명단표[[#This Row],[기본자료행]])))</f>
        <v/>
      </c>
      <c r="D8" s="8">
        <f>IF(명단표[[#This Row],[기본자료행]]="","",IF(INDEX(기본자료표[성별],명단표[[#This Row],[기본자료행]])="","",INDEX(기본자료표[성별],명단표[[#This Row],[기본자료행]])))</f>
        <v/>
      </c>
      <c r="E8" s="10">
        <f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F8" s="8">
        <f>IF(명단표[[#This Row],[기본자료행]]="","",IF(INDEX(기본자료표[수련과목],명단표[[#This Row],[기본자료행]])="","",INDEX(기본자료표[수련과목],명단표[[#This Row],[기본자료행]])))</f>
        <v/>
      </c>
      <c r="G8" s="8">
        <f>IF(명단표[[#This Row],[기본자료행]]="","",IF(INDEX(기본자료표[연차],명단표[[#This Row],[기본자료행]])="","",INDEX(기본자료표[연차],명단표[[#This Row],[기본자료행]])))</f>
        <v/>
      </c>
      <c r="H8" s="8">
        <f>IF(명단표[[#This Row],[기본자료행]]="","",IF(INDEX(기본자료표[근무지],명단표[[#This Row],[기본자료행]])="","",INDEX(기본자료표[근무지],명단표[[#This Row],[기본자료행]])))</f>
        <v/>
      </c>
      <c r="I8" s="10">
        <f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J8" s="8">
        <f>IF(명단표[[#This Row],[기본자료행]]="","",IF(INDEX(기본자료표[전공의등록번호],명단표[[#This Row],[기본자료행]])="","",INDEX(기본자료표[전공의등록번호],명단표[[#This Row],[기본자료행]])))</f>
        <v/>
      </c>
      <c r="K8" s="8">
        <f>IF(명단표[[#This Row],[기본자료행]]="","",IF(INDEX(기본자료표[의사면허번호],명단표[[#This Row],[기본자료행]])="","",INDEX(기본자료표[의사면허번호],명단표[[#This Row],[기본자료행]])))</f>
        <v/>
      </c>
      <c r="L8" s="8">
        <f>IF(명단표[[#This Row],[기본자료행]]="","",IF(INDEX(기본자료표[현재근무 여부],명단표[[#This Row],[기본자료행]])="","",INDEX(기본자료표[현재근무 여부],명단표[[#This Row],[기본자료행]])))</f>
        <v/>
      </c>
      <c r="M8" s="6" t="inlineStr">
        <is>
          <t>서울병원</t>
        </is>
      </c>
      <c r="N8" s="8">
        <f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f>
        <v/>
      </c>
      <c r="O8" s="8">
        <f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f>
        <v/>
      </c>
      <c r="P8" s="8">
        <f>IF(명단표[[#This Row],[구리행]]="","",INDEX(구리_시작,명단표[[#This Row],[구리행]]))</f>
        <v/>
      </c>
      <c r="Q8" s="8">
        <f>IF(명단표[[#This Row],[구리행]]="","",INDEX(구리_종료,명단표[[#This Row],[구리행]]))</f>
        <v/>
      </c>
      <c r="R8" s="8">
        <f>IF(명단표[[#This Row],[구리행]]="","",INDEX(구리_독자,명단표[[#This Row],[구리행]]))</f>
        <v/>
      </c>
      <c r="S8" s="11">
        <f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f>
        <v/>
      </c>
      <c r="T8" s="11">
        <f>IF(NOT(TRIM(명단표[[#This Row],[사번]]&amp;"")&lt;&gt;""),"",IF(명단표[[#This Row],[구리행]]&lt;&gt;"",N(명단표[[#This Row],[구리명단 근무일]]),IF(명단표[[#This Row],[기준월 근무병원]]="구리병원",DAY(EOMONTH(급여기준월,0)),0)))</f>
        <v/>
      </c>
      <c r="U8" s="8">
        <f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f>
        <v/>
      </c>
      <c r="V8" s="8">
        <f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f>
        <v/>
      </c>
      <c r="W8" s="8">
        <f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f>
        <v/>
      </c>
      <c r="X8" s="6" t="inlineStr">
        <is>
          <t>예시(인턴)</t>
        </is>
      </c>
      <c r="Y8" s="8">
        <f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f>
        <v/>
      </c>
      <c r="Z8" s="8">
        <f>IF(NOT(TRIM(명단표[[#This Row],[사번]]&amp;"")&lt;&gt;""),"",IF(명단표[[#This Row],[직접행(전월)]]&lt;&gt;"",INDEX(월별근무지표[적용 급여병원],명단표[[#This Row],[직접행(전월)]]),명단표[[#This Row],[전월 근무병원]]))</f>
        <v/>
      </c>
      <c r="AA8" s="8">
        <f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B8" s="8">
        <f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f>
        <v/>
      </c>
      <c r="AC8" s="8">
        <f>IF(NOT(TRIM(명단표[[#This Row],[사번]]&amp;"")&lt;&gt;""),"",IF(명단표[[#This Row],[직접행(익월)]]&lt;&gt;"",INDEX(월별근무지표[적용 급여병원],명단표[[#This Row],[직접행(익월)]]),명단표[[#This Row],[익월 근무병원]]))</f>
        <v/>
      </c>
      <c r="AD8" s="8">
        <f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E8" s="8">
        <f>IF(NOT(TRIM(명단표[[#This Row],[사번]]&amp;"")&lt;&gt;""),"",IFERROR(_xlfn.XMATCH("S|"&amp;TRIM(명단표[[#This Row],[사번]]&amp;""),기본자료표[사번키]),""))</f>
        <v/>
      </c>
      <c r="AF8" s="8">
        <f>IF(명단표[[#This Row],[이름]]="","",명단표[[#This Row],[이름]]&amp;"|"&amp;명단표[[#This Row],[수련과목]])</f>
        <v/>
      </c>
      <c r="AG8" s="8">
        <f>IF(NOT(TRIM(명단표[[#This Row],[사번]]&amp;"")&lt;&gt;""),"",IFERROR(_xlfn.XMATCH("S|"&amp;TRIM(명단표[[#This Row],[사번]]&amp;""),인턴계획표[사번키]),""))</f>
        <v/>
      </c>
      <c r="AH8" s="8">
        <f>IF(OR(명단표[[#This Row],[인턴계획행]]="",인턴위치_이번=""),"",INDEX(인턴계획표[[정규화1]:[정규화6]],명단표[[#This Row],[인턴계획행]],인턴위치_이번)&amp;"")</f>
        <v/>
      </c>
      <c r="AI8" s="8">
        <f>IF(OR(명단표[[#This Row],[인턴계획행]]="",인턴위치_기준월=""),"",INDEX(인턴계획표[[정규화1]:[정규화6]],명단표[[#This Row],[인턴계획행]],인턴위치_기준월)&amp;"")</f>
        <v/>
      </c>
      <c r="AJ8" s="8">
        <f>IF(OR(명단표[[#This Row],[인턴계획행]]="",인턴위치_전월=""),"",INDEX(인턴계획표[[정규화1]:[정규화6]],명단표[[#This Row],[인턴계획행]],인턴위치_전월)&amp;"")</f>
        <v/>
      </c>
      <c r="AK8" s="8">
        <f>IF(OR(명단표[[#This Row],[인턴계획행]]="",인턴위치_익월=""),"",INDEX(인턴계획표[[정규화1]:[정규화6]],명단표[[#This Row],[인턴계획행]],인턴위치_익월)&amp;"")</f>
        <v/>
      </c>
      <c r="AL8" s="8">
        <f>IF(NOT(TRIM(명단표[[#This Row],[사번]]&amp;"")&lt;&gt;""),"",IFERROR(_xlfn.XMATCH("S|"&amp;TRIM(명단표[[#This Row],[사번]]&amp;"")&amp;"|"&amp;기준월키,월별근무지표[키]),""))</f>
        <v/>
      </c>
      <c r="AM8" s="8">
        <f>IF(NOT(TRIM(명단표[[#This Row],[사번]]&amp;"")&lt;&gt;""),"",IFERROR(_xlfn.XMATCH("S|"&amp;TRIM(명단표[[#This Row],[사번]]&amp;"")&amp;"|"&amp;전월키,월별근무지표[키]),""))</f>
        <v/>
      </c>
      <c r="AN8" s="8">
        <f>IF(NOT(TRIM(명단표[[#This Row],[사번]]&amp;"")&lt;&gt;""),"",IFERROR(_xlfn.XMATCH("S|"&amp;TRIM(명단표[[#This Row],[사번]]&amp;"")&amp;"|"&amp;익월키,월별근무지표[키]),""))</f>
        <v/>
      </c>
      <c r="AO8" s="8">
        <f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f>
        <v/>
      </c>
      <c r="AP8" s="8">
        <f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f>
        <v/>
      </c>
      <c r="AQ8" s="8">
        <f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f>
        <v/>
      </c>
      <c r="AR8" s="11">
        <f>IF(명단표[[#This Row],[구리행]]="","",INDEX(구리_근무일,명단표[[#This Row],[구리행]]))</f>
        <v/>
      </c>
      <c r="AS8" s="8">
        <f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f>
        <v/>
      </c>
    </row>
    <row r="9">
      <c r="A9" s="8">
        <f>ROW()-ROW(명단표[#Headers])</f>
        <v/>
      </c>
      <c r="B9" s="7" t="inlineStr">
        <is>
          <t>222224</t>
        </is>
      </c>
      <c r="C9" s="8">
        <f>IF(명단표[[#This Row],[기본자료행]]="","",IF(INDEX(기본자료표[이름],명단표[[#This Row],[기본자료행]])="","",INDEX(기본자료표[이름],명단표[[#This Row],[기본자료행]])))</f>
        <v/>
      </c>
      <c r="D9" s="8">
        <f>IF(명단표[[#This Row],[기본자료행]]="","",IF(INDEX(기본자료표[성별],명단표[[#This Row],[기본자료행]])="","",INDEX(기본자료표[성별],명단표[[#This Row],[기본자료행]])))</f>
        <v/>
      </c>
      <c r="E9" s="10">
        <f>IF(명단표[[#This Row],[기본자료행]]="","",_xlfn.LET(_xlpm.v_x,INDEX(기본자료표[생년월일],명단표[[#This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F9" s="8">
        <f>IF(명단표[[#This Row],[기본자료행]]="","",IF(INDEX(기본자료표[수련과목],명단표[[#This Row],[기본자료행]])="","",INDEX(기본자료표[수련과목],명단표[[#This Row],[기본자료행]])))</f>
        <v/>
      </c>
      <c r="G9" s="8">
        <f>IF(명단표[[#This Row],[기본자료행]]="","",IF(INDEX(기본자료표[연차],명단표[[#This Row],[기본자료행]])="","",INDEX(기본자료표[연차],명단표[[#This Row],[기본자료행]])))</f>
        <v/>
      </c>
      <c r="H9" s="8">
        <f>IF(명단표[[#This Row],[기본자료행]]="","",IF(INDEX(기본자료표[근무지],명단표[[#This Row],[기본자료행]])="","",INDEX(기본자료표[근무지],명단표[[#This Row],[기본자료행]])))</f>
        <v/>
      </c>
      <c r="I9" s="10">
        <f>IF(명단표[[#This Row],[기본자료행]]="","",_xlfn.LET(_xlpm.v_x,INDEX(기본자료표[수련개시일],명단표[[#This Row],[기본자료행]]),IF(_xlpm.v_x="","",IF(NOT(ISNUMBER(_xlpm.v_x)),_xlpm.v_x&amp;"",IF(_xlpm.v_x&lt;1000000,_xlpm.v_x,IF(AND(_xlpm.v_x&gt;=10000101,INT(MOD(_xlpm.v_x,10000)/100)&gt;=1,INT(MOD(_xlpm.v_x,10000)/100)&lt;=12,MOD(_xlpm.v_x,100)&gt;=1,MOD(_xlpm.v_x,100)&lt;=31),DATE(INT(_xlpm.v_x/10000),INT(MOD(_xlpm.v_x,10000)/100),MOD(_xlpm.v_x,100)),_xlpm.v_x&amp;""))))))</f>
        <v/>
      </c>
      <c r="J9" s="8">
        <f>IF(명단표[[#This Row],[기본자료행]]="","",IF(INDEX(기본자료표[전공의등록번호],명단표[[#This Row],[기본자료행]])="","",INDEX(기본자료표[전공의등록번호],명단표[[#This Row],[기본자료행]])))</f>
        <v/>
      </c>
      <c r="K9" s="8">
        <f>IF(명단표[[#This Row],[기본자료행]]="","",IF(INDEX(기본자료표[의사면허번호],명단표[[#This Row],[기본자료행]])="","",INDEX(기본자료표[의사면허번호],명단표[[#This Row],[기본자료행]])))</f>
        <v/>
      </c>
      <c r="L9" s="8">
        <f>IF(명단표[[#This Row],[기본자료행]]="","",IF(INDEX(기본자료표[현재근무 여부],명단표[[#This Row],[기본자료행]])="","",INDEX(기본자료표[현재근무 여부],명단표[[#This Row],[기본자료행]])))</f>
        <v/>
      </c>
      <c r="M9" s="6" t="inlineStr">
        <is>
          <t>구리병원</t>
        </is>
      </c>
      <c r="N9" s="8">
        <f>IF(NOT(TRIM(명단표[[#This Row],[사번]]&amp;"")&lt;&gt;""),"",IF(AND(명단표[[#This Row],[인턴 이번달]]&lt;&gt;"",LEFT(명단표[[#This Row],[인턴 이번달]],1)&lt;&gt;"⚠"),LEFT(명단표[[#This Row],[인턴 이번달]],FIND(" ",명단표[[#This Row],[인턴 이번달]])-1),IF(명단표[[#This Row],[구리 근무 중]]="Y","구리병원",IF(명단표[[#This Row],[근무지]]="","",_xlfn.XLOOKUP(TRIM(명단표[[#This Row],[근무지]]&amp;""),병원약칭표[표기],병원약칭표[정식 병원],명단표[[#This Row],[근무지]]&amp;"")))))</f>
        <v/>
      </c>
      <c r="O9" s="8">
        <f>IF(NOT(TRIM(명단표[[#This Row],[사번]]&amp;"")&lt;&gt;""),"",IF(AND(명단표[[#This Row],[인턴 이번달]]&lt;&gt;"",LEFT(명단표[[#This Row],[인턴 이번달]],1)&lt;&gt;"⚠"),MID(명단표[[#This Row],[인턴 이번달]],FIND(" ",명단표[[#This Row],[인턴 이번달]])+1,60),IF(명단표[[#This Row],[수련과목]]="","",IF(명단표[[#This Row],[수련과목]]="인턴","수련교육부(인턴)",명단표[[#This Row],[수련과목]]))))</f>
        <v/>
      </c>
      <c r="P9" s="8">
        <f>IF(명단표[[#This Row],[구리행]]="","",INDEX(구리_시작,명단표[[#This Row],[구리행]]))</f>
        <v/>
      </c>
      <c r="Q9" s="8">
        <f>IF(명단표[[#This Row],[구리행]]="","",INDEX(구리_종료,명단표[[#This Row],[구리행]]))</f>
        <v/>
      </c>
      <c r="R9" s="8">
        <f>IF(명단표[[#This Row],[구리행]]="","",INDEX(구리_독자,명단표[[#This Row],[구리행]]))</f>
        <v/>
      </c>
      <c r="S9" s="11">
        <f>IF(NOT(TRIM(명단표[[#This Row],[사번]]&amp;"")&lt;&gt;""),"",IF(명단표[[#This Row],[구리행]]&lt;&gt;"",MAX(0,DAY(EOMONTH(급여기준월,0))-N(명단표[[#This Row],[구리명단 근무일]])),IF(명단표[[#This Row],[기준월 근무병원]]="서울병원",DAY(EOMONTH(급여기준월,0)),0)))</f>
        <v/>
      </c>
      <c r="T9" s="11">
        <f>IF(NOT(TRIM(명단표[[#This Row],[사번]]&amp;"")&lt;&gt;""),"",IF(명단표[[#This Row],[구리행]]&lt;&gt;"",N(명단표[[#This Row],[구리명단 근무일]]),IF(명단표[[#This Row],[기준월 근무병원]]="구리병원",DAY(EOMONTH(급여기준월,0)),0)))</f>
        <v/>
      </c>
      <c r="U9" s="8">
        <f>IF(NOT(TRIM(명단표[[#This Row],[사번]]&amp;"")&lt;&gt;""),"",IF(명단표[[#This Row],[직접행(기준월)]]&lt;&gt;"",INDEX(월별근무지표[적용 급여병원],명단표[[#This Row],[직접행(기준월)]]),IF(명단표[[#This Row],[기준월 근무병원]]="","",IF(명단표[[#This Row],[구리행]]="",명단표[[#This Row],[기준월 근무병원]],IF(AND(명단표[[#This Row],[서울 근무일(기준월)]]&gt;=판정기준일,명단표[[#This Row],[구리 근무일(기준월)]]&lt;판정기준일),"서울병원",IF(AND(명단표[[#This Row],[구리 근무일(기준월)]]&gt;=판정기준일,명단표[[#This Row],[서울 근무일(기준월)]]&lt;판정기준일),"구리병원","⚠15일 판정불가(서울 "&amp;명단표[[#This Row],[서울 근무일(기준월)]]&amp;"일/구리 "&amp;명단표[[#This Row],[구리 근무일(기준월)]]&amp;"일)"))))))</f>
        <v/>
      </c>
      <c r="V9" s="8">
        <f>IF(OR(NOT(TRIM(명단표[[#This Row],[사번]]&amp;"")&lt;&gt;""),명단표[[#This Row],[급여지급병원(기준월)]]=""),"",IF(명단표[[#This Row],[직접행(기준월)]]&lt;&gt;"","직접 입력(입력_월별근무지)"&amp;IF(INDEX(월별근무지표[비고],명단표[[#This Row],[직접행(기준월)]])&amp;""="",""," — "&amp;INDEX(월별근무지표[비고],명단표[[#This Row],[직접행(기준월)]])),IF(명단표[[#This Row],[구리행]]&lt;&gt;"","서울 "&amp;명단표[[#This Row],[서울 근무일(기준월)]]&amp;"일 / 구리 "&amp;명단표[[#This Row],[구리 근무일(기준월)]]&amp;"일 (구리 근무자명단) → 15일 이상 근무 병원 지급",IF(AND(명단표[[#This Row],[인턴 기준월]]&lt;&gt;"",LEFT(명단표[[#This Row],[인턴 기준월]],1)&lt;&gt;"⚠"),"인턴 근무계획 → 그 달 근무병원 지급","구리 근무자명단에 없음 → 소속병원 지급"))))</f>
        <v/>
      </c>
      <c r="W9" s="8">
        <f>IF(NOT(TRIM(명단표[[#This Row],[사번]]&amp;"")&lt;&gt;""),"",IF(명단표[[#This Row],[기본자료행]]="","기본자료에 없는 사번",IF(COUNTIF(명단표[사번],명단표[[#This Row],[사번]])&gt;1,"중복 사번",IF(명단표[[#This Row],[소속병원]]="","소속(입사장소) 입력",IF(LEFT(명단표[[#This Row],[급여지급병원(기준월)]],1)="⚠","서울·구리 15일 판정 불가(양쪽 모두 이상/미만)",IF(IF(명단표[[#This Row],[인턴계획행]]="",0,N(INDEX(인턴계획표[입력오류],명단표[[#This Row],[인턴계획행]])))&gt;0,"인턴계획 입력오류 확인",IF(AND(명단표[[#This Row],[구리행]]="",COUNTIF(구리_이름,명단표[[#This Row],[이름]])&gt;0),"구리 근무자명단 연결 확인(동명이인·과 불일치)","정상")))))))</f>
        <v/>
      </c>
      <c r="X9" s="6" t="inlineStr">
        <is>
          <t>예시(인턴)</t>
        </is>
      </c>
      <c r="Y9" s="8">
        <f>IF(NOT(TRIM(명단표[[#This Row],[사번]]&amp;"")&lt;&gt;""),"",IF(명단표[[#This Row],[직접행(전월)]]&lt;&gt;"",INDEX(월별근무지표[근무병원],명단표[[#This Row],[직접행(전월)]]),IF(AND(명단표[[#This Row],[인턴 전월]]&lt;&gt;"",LEFT(명단표[[#This Row],[인턴 전월]],1)&lt;&gt;"⚠"),LEFT(명단표[[#This Row],[인턴 전월]],FIND(" ",명단표[[#This Row],[인턴 전월]])-1),명단표[[#This Row],[소속병원]])))</f>
        <v/>
      </c>
      <c r="Z9" s="8">
        <f>IF(NOT(TRIM(명단표[[#This Row],[사번]]&amp;"")&lt;&gt;""),"",IF(명단표[[#This Row],[직접행(전월)]]&lt;&gt;"",INDEX(월별근무지표[적용 급여병원],명단표[[#This Row],[직접행(전월)]]),명단표[[#This Row],[전월 근무병원]]))</f>
        <v/>
      </c>
      <c r="AA9" s="8">
        <f>IF(NOT(TRIM(명단표[[#This Row],[사번]]&amp;"")&lt;&gt;""),"",IF(명단표[[#This Row],[직접행(전월)]]&lt;&gt;"","직접 입력(입력_월별근무지)"&amp;IF(INDEX(월별근무지표[비고],명단표[[#This Row],[직접행(전월)]])&amp;""="",""," — "&amp;INDEX(월별근무지표[비고],명단표[[#This Row],[직접행(전월)]])),IF(AND(명단표[[#This Row],[인턴 전월]]&lt;&gt;"",LEFT(명단표[[#This Row],[인턴 전월]],1)&lt;&gt;"⚠"),"인턴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B9" s="8">
        <f>IF(NOT(TRIM(명단표[[#This Row],[사번]]&amp;"")&lt;&gt;""),"",IF(명단표[[#This Row],[직접행(익월)]]&lt;&gt;"",INDEX(월별근무지표[근무병원],명단표[[#This Row],[직접행(익월)]]),IF(AND(명단표[[#This Row],[인턴 익월]]&lt;&gt;"",LEFT(명단표[[#This Row],[인턴 익월]],1)&lt;&gt;"⚠"),LEFT(명단표[[#This Row],[인턴 익월]],FIND(" ",명단표[[#This Row],[인턴 익월]])-1),명단표[[#This Row],[소속병원]])))</f>
        <v/>
      </c>
      <c r="AC9" s="8">
        <f>IF(NOT(TRIM(명단표[[#This Row],[사번]]&amp;"")&lt;&gt;""),"",IF(명단표[[#This Row],[직접행(익월)]]&lt;&gt;"",INDEX(월별근무지표[적용 급여병원],명단표[[#This Row],[직접행(익월)]]),명단표[[#This Row],[익월 근무병원]]))</f>
        <v/>
      </c>
      <c r="AD9" s="8">
        <f>IF(NOT(TRIM(명단표[[#This Row],[사번]]&amp;"")&lt;&gt;""),"",IF(명단표[[#This Row],[직접행(익월)]]&lt;&gt;"","직접 입력(입력_월별근무지)"&amp;IF(INDEX(월별근무지표[비고],명단표[[#This Row],[직접행(익월)]])&amp;""="",""," — "&amp;INDEX(월별근무지표[비고],명단표[[#This Row],[직접행(익월)]])),IF(AND(명단표[[#This Row],[인턴 익월]]&lt;&gt;"",LEFT(명단표[[#This Row],[인턴 익월]],1)&lt;&gt;"⚠"),"인턴 근무계획 → 그 달 근무병원",IF(명단표[[#This Row],[구리행]]&lt;&gt;"","⚠자동(소속병원) — 급여 기준월에 구리 근무, 직접 입력 확인","자동(소속병원) — 구리 근무자명단 미반영"))))</f>
        <v/>
      </c>
      <c r="AE9" s="8">
        <f>IF(NOT(TRIM(명단표[[#This Row],[사번]]&amp;"")&lt;&gt;""),"",IFERROR(_xlfn.XMATCH("S|"&amp;TRIM(명단표[[#This Row],[사번]]&amp;""),기본자료표[사번키]),""))</f>
        <v/>
      </c>
      <c r="AF9" s="8">
        <f>IF(명단표[[#This Row],[이름]]="","",명단표[[#This Row],[이름]]&amp;"|"&amp;명단표[[#This Row],[수련과목]])</f>
        <v/>
      </c>
      <c r="AG9" s="8">
        <f>IF(NOT(TRIM(명단표[[#This Row],[사번]]&amp;"")&lt;&gt;""),"",IFERROR(_xlfn.XMATCH("S|"&amp;TRIM(명단표[[#This Row],[사번]]&amp;""),인턴계획표[사번키]),""))</f>
        <v/>
      </c>
      <c r="AH9" s="8">
        <f>IF(OR(명단표[[#This Row],[인턴계획행]]="",인턴위치_이번=""),"",INDEX(인턴계획표[[정규화1]:[정규화6]],명단표[[#This Row],[인턴계획행]],인턴위치_이번)&amp;"")</f>
        <v/>
      </c>
      <c r="AI9" s="8">
        <f>IF(OR(명단표[[#This Row],[인턴계획행]]="",인턴위치_기준월=""),"",INDEX(인턴계획표[[정규화1]:[정규화6]],명단표[[#This Row],[인턴계획행]],인턴위치_기준월)&amp;"")</f>
        <v/>
      </c>
      <c r="AJ9" s="8">
        <f>IF(OR(명단표[[#This Row],[인턴계획행]]="",인턴위치_전월=""),"",INDEX(인턴계획표[[정규화1]:[정규화6]],명단표[[#This Row],[인턴계획행]],인턴위치_전월)&amp;"")</f>
        <v/>
      </c>
      <c r="AK9" s="8">
        <f>IF(OR(명단표[[#This Row],[인턴계획행]]="",인턴위치_익월=""),"",INDEX(인턴계획표[[정규화1]:[정규화6]],명단표[[#This Row],[인턴계획행]],인턴위치_익월)&amp;"")</f>
        <v/>
      </c>
      <c r="AL9" s="8">
        <f>IF(NOT(TRIM(명단표[[#This Row],[사번]]&amp;"")&lt;&gt;""),"",IFERROR(_xlfn.XMATCH("S|"&amp;TRIM(명단표[[#This Row],[사번]]&amp;"")&amp;"|"&amp;기준월키,월별근무지표[키]),""))</f>
        <v/>
      </c>
      <c r="AM9" s="8">
        <f>IF(NOT(TRIM(명단표[[#This Row],[사번]]&amp;"")&lt;&gt;""),"",IFERROR(_xlfn.XMATCH("S|"&amp;TRIM(명단표[[#This Row],[사번]]&amp;"")&amp;"|"&amp;전월키,월별근무지표[키]),""))</f>
        <v/>
      </c>
      <c r="AN9" s="8">
        <f>IF(NOT(TRIM(명단표[[#This Row],[사번]]&amp;"")&lt;&gt;""),"",IFERROR(_xlfn.XMATCH("S|"&amp;TRIM(명단표[[#This Row],[사번]]&amp;"")&amp;"|"&amp;익월키,월별근무지표[키]),""))</f>
        <v/>
      </c>
      <c r="AO9" s="8">
        <f>IF(NOT(TRIM(명단표[[#This Row],[사번]]&amp;"")&lt;&gt;""),"",IF(명단표[[#This Row],[입사장소]]&lt;&gt;"",명단표[[#This Row],[입사장소]],IF(명단표[[#This Row],[구리독자]]="구리독자","구리병원",IF(명단표[[#This Row],[근무지]]="","",_xlfn.XLOOKUP(TRIM(명단표[[#This Row],[근무지]]&amp;""),병원약칭표[표기],병원약칭표[정식 병원],명단표[[#This Row],[근무지]]&amp;"")))))</f>
        <v/>
      </c>
      <c r="AP9" s="8">
        <f>IF(NOT(TRIM(명단표[[#This Row],[사번]]&amp;"")&lt;&gt;""),"",IF(명단표[[#This Row],[직접행(기준월)]]&lt;&gt;"",INDEX(월별근무지표[근무병원],명단표[[#This Row],[직접행(기준월)]]),IF(AND(명단표[[#This Row],[인턴 기준월]]&lt;&gt;"",LEFT(명단표[[#This Row],[인턴 기준월]],1)&lt;&gt;"⚠"),LEFT(명단표[[#This Row],[인턴 기준월]],FIND(" ",명단표[[#This Row],[인턴 기준월]])-1),명단표[[#This Row],[소속병원]])))</f>
        <v/>
      </c>
      <c r="AQ9" s="8">
        <f>IF(명단표[[#This Row],[이름]]="","",_xlfn.LET(_xlpm.v_a,_xlfn.XMATCH(명단표[[#This Row],[이름|과]],구리_키),IF(ISNUMBER(_xlpm.v_a),_xlpm.v_a,IF(AND(COUNTIF(구리_이름,명단표[[#This Row],[이름]])=1,COUNTIF(명단표[이름],명단표[[#This Row],[이름]])=1),_xlfn.XMATCH(명단표[[#This Row],[이름]],구리_이름),""))))</f>
        <v/>
      </c>
      <c r="AR9" s="11">
        <f>IF(명단표[[#This Row],[구리행]]="","",INDEX(구리_근무일,명단표[[#This Row],[구리행]]))</f>
        <v/>
      </c>
      <c r="AS9" s="8">
        <f>IF(명단표[[#This Row],[구리행]]="","",_xlfn.LET(_xlpm.v_s,IFERROR(DATEVALUE(명단표[[#This Row],[구리 근무 시작일(기준월)]]),""),_xlpm.v_e,IFERROR(DATEVALUE(명단표[[#This Row],[구리 근무 종료일(기준월)]]),""),IF(AND(ISNUMBER(_xlpm.v_s),ISNUMBER(_xlpm.v_e)),IF(AND(TODAY()&gt;=_xlpm.v_s,TODAY()&lt;=_xlpm.v_e),"Y",""),"")))</f>
        <v/>
      </c>
    </row>
  </sheetData>
  <conditionalFormatting sqref="B2:B1048576">
    <cfRule type="expression" priority="1" dxfId="2">
      <formula>AND($B2&lt;&gt;"",$AE2="")</formula>
    </cfRule>
  </conditionalFormatting>
  <conditionalFormatting sqref="W2:W1048576">
    <cfRule type="expression" priority="2" dxfId="3">
      <formula>AND($W2&lt;&gt;"",$W2&lt;&gt;"정상")</formula>
    </cfRule>
  </conditionalFormatting>
  <conditionalFormatting sqref="U2:U1048576">
    <cfRule type="expression" priority="3" dxfId="2">
      <formula>LEFT($U2,1)="⚠"</formula>
    </cfRule>
    <cfRule type="expression" priority="4" dxfId="4">
      <formula>AND($U2&lt;&gt;"",$AO2&lt;&gt;"",$U2&lt;&gt;$AO2)</formula>
    </cfRule>
  </conditionalFormatting>
  <conditionalFormatting sqref="E2:E1048576">
    <cfRule type="expression" priority="5" dxfId="5">
      <formula>ISTEXT($E2)</formula>
    </cfRule>
  </conditionalFormatting>
  <dataValidations count="1">
    <dataValidation sqref="M2:M1048576" showDropDown="0" showInputMessage="0" showErrorMessage="1" allowBlank="1" errorTitle="등록되지 않은 값" error="병원 목록에 없습니다. 새 병원이면 '설정_코드표' 병원표에 먼저 추가하세요." type="list" errorStyle="stop">
      <formula1>=병원목록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2" customWidth="1" min="4" max="4"/>
    <col width="26" customWidth="1" min="5" max="5"/>
    <col width="9" customWidth="1" min="6" max="6"/>
    <col width="11" customWidth="1" min="7" max="7"/>
    <col width="16" customWidth="1" min="8" max="8"/>
    <col width="9" customWidth="1" min="9" max="9"/>
    <col width="12" customWidth="1" min="10" max="10"/>
    <col width="26" customWidth="1" min="11" max="11"/>
  </cols>
  <sheetData>
    <row r="1">
      <c r="A1" s="1" t="inlineStr">
        <is>
          <t>월별 근무지 직접 입력 (자동 판정보다 우선)</t>
        </is>
      </c>
    </row>
    <row r="2">
      <c r="A2" s="13" t="inlineStr">
        <is>
          <t>※ 그 달 근무병원을 직접 정할 사람만 한 줄씩: 월(예: 2026-10)·사번·근무병원. 급여지급병원이 근무병원과 다를 때만 급여지급병원도 입력. 급여 기준월·전월·익월 계산과 출력_기관명단에 그대로 쓰입니다. 같은 사번·월이 두 줄이면 위쪽 줄이 적용됩니다.</t>
        </is>
      </c>
    </row>
    <row r="3">
      <c r="A3" s="4" t="inlineStr">
        <is>
          <t>월</t>
        </is>
      </c>
      <c r="B3" s="4" t="inlineStr">
        <is>
          <t>사번</t>
        </is>
      </c>
      <c r="C3" s="4" t="inlineStr">
        <is>
          <t>근무병원</t>
        </is>
      </c>
      <c r="D3" s="4" t="inlineStr">
        <is>
          <t>급여지급병원</t>
        </is>
      </c>
      <c r="E3" s="4" t="inlineStr">
        <is>
          <t>비고</t>
        </is>
      </c>
      <c r="F3" s="5" t="inlineStr">
        <is>
          <t>월키</t>
        </is>
      </c>
      <c r="G3" s="5" t="inlineStr">
        <is>
          <t>사번키</t>
        </is>
      </c>
      <c r="H3" s="5" t="inlineStr">
        <is>
          <t>키</t>
        </is>
      </c>
      <c r="I3" s="5" t="inlineStr">
        <is>
          <t>이름(확인)</t>
        </is>
      </c>
      <c r="J3" s="5" t="inlineStr">
        <is>
          <t>적용 급여병원</t>
        </is>
      </c>
      <c r="K3" s="5" t="inlineStr">
        <is>
          <t>점검</t>
        </is>
      </c>
    </row>
    <row r="4">
      <c r="A4" s="14" t="n">
        <v>46266</v>
      </c>
      <c r="B4" s="7" t="inlineStr">
        <is>
          <t>2261216</t>
        </is>
      </c>
      <c r="C4" s="6" t="inlineStr">
        <is>
          <t>구리병원</t>
        </is>
      </c>
      <c r="D4" s="6" t="n"/>
      <c r="E4" s="6" t="inlineStr">
        <is>
          <t>예시: 9월 구리 근무</t>
        </is>
      </c>
      <c r="F4" s="8">
        <f>_xlfn.LET(_xlpm.v_m,월별근무지표[[#This Row],[월]],IF(_xlpm.v_m&amp;""="","",IF(ISNUMBER(_xlpm.v_m),IF(_xlpm.v_m&lt;10000,TEXT(DATE(INT(_xlpm.v_m),ROUND(MOD(_xlpm.v_m,1)*100,0),1),"yyyy-mm"),TEXT(_xlpm.v_m,"yyyy-mm")),IFERROR(TEXT(DATEVALUE(SUBSTITUTE(SUBSTITUTE(LEFT(TRIM(_xlpm.v_m),7),".","-"),"/","-")&amp;"-01"),"yyyy-mm"),"⚠형식 오류"))))</f>
        <v/>
      </c>
      <c r="G4" s="8">
        <f>IF(TRIM(월별근무지표[[#This Row],[사번]]&amp;"")="","","S|"&amp;TRIM(월별근무지표[[#This Row],[사번]]&amp;""))</f>
        <v/>
      </c>
      <c r="H4" s="8">
        <f>IF(LEFT(월별근무지표[[#This Row],[월키]],1)="⚠","",IF(OR(월별근무지표[[#This Row],[사번키]]="",월별근무지표[[#This Row],[월키]]=""),"",월별근무지표[[#This Row],[사번키]]&amp;"|"&amp;월별근무지표[[#This Row],[월키]]))</f>
        <v/>
      </c>
      <c r="I4" s="8">
        <f>IF(월별근무지표[[#This Row],[사번키]]="","",_xlfn.XLOOKUP(월별근무지표[[#This Row],[사번키]],기본자료표[사번키],기본자료표[이름]&amp;"","(기본자료에 없음)"))</f>
        <v/>
      </c>
      <c r="J4" s="8">
        <f>IF(월별근무지표[[#This Row],[근무병원]]="","",IF(월별근무지표[[#This Row],[급여지급병원]]="",월별근무지표[[#This Row],[근무병원]],월별근무지표[[#This Row],[급여지급병원]]))</f>
        <v/>
      </c>
      <c r="K4" s="8">
        <f>IF(AND(TRIM(월별근무지표[[#This Row],[사번]]&amp;"")="",월별근무지표[[#This Row],[월]]&amp;""=""),"",IF(OR(TRIM(월별근무지표[[#This Row],[사번]]&amp;"")="",월별근무지표[[#This Row],[월]]&amp;""=""),"월·사번 모두 입력",IF(LEFT(월별근무지표[[#This Row],[월키]],1)="⚠","월 형식 확인(예: 2026-10)",IF(월별근무지표[[#This Row],[근무병원]]="","근무병원 입력",IF(COUNTIF(명단표[사번],TRIM(월별근무지표[[#This Row],[사번]]&amp;""))=0,"전공의명단에 없는 사번",IF(COUNTIF(월별근무지표[키],월별근무지표[[#This Row],[키]])&gt;1,"같은 사번·월 중복(위쪽 줄 적용)","정상"))))))</f>
        <v/>
      </c>
    </row>
    <row r="5">
      <c r="A5" s="14" t="n">
        <v>46327</v>
      </c>
      <c r="B5" s="7" t="inlineStr">
        <is>
          <t>2261212</t>
        </is>
      </c>
      <c r="C5" s="6" t="inlineStr">
        <is>
          <t>구리병원</t>
        </is>
      </c>
      <c r="D5" s="6" t="n"/>
      <c r="E5" s="6" t="inlineStr">
        <is>
          <t>예시: 11월 구리 파견 예정</t>
        </is>
      </c>
      <c r="F5" s="8">
        <f>_xlfn.LET(_xlpm.v_m,월별근무지표[[#This Row],[월]],IF(_xlpm.v_m&amp;""="","",IF(ISNUMBER(_xlpm.v_m),IF(_xlpm.v_m&lt;10000,TEXT(DATE(INT(_xlpm.v_m),ROUND(MOD(_xlpm.v_m,1)*100,0),1),"yyyy-mm"),TEXT(_xlpm.v_m,"yyyy-mm")),IFERROR(TEXT(DATEVALUE(SUBSTITUTE(SUBSTITUTE(LEFT(TRIM(_xlpm.v_m),7),".","-"),"/","-")&amp;"-01"),"yyyy-mm"),"⚠형식 오류"))))</f>
        <v/>
      </c>
      <c r="G5" s="8">
        <f>IF(TRIM(월별근무지표[[#This Row],[사번]]&amp;"")="","","S|"&amp;TRIM(월별근무지표[[#This Row],[사번]]&amp;""))</f>
        <v/>
      </c>
      <c r="H5" s="8">
        <f>IF(LEFT(월별근무지표[[#This Row],[월키]],1)="⚠","",IF(OR(월별근무지표[[#This Row],[사번키]]="",월별근무지표[[#This Row],[월키]]=""),"",월별근무지표[[#This Row],[사번키]]&amp;"|"&amp;월별근무지표[[#This Row],[월키]]))</f>
        <v/>
      </c>
      <c r="I5" s="8">
        <f>IF(월별근무지표[[#This Row],[사번키]]="","",_xlfn.XLOOKUP(월별근무지표[[#This Row],[사번키]],기본자료표[사번키],기본자료표[이름]&amp;"","(기본자료에 없음)"))</f>
        <v/>
      </c>
      <c r="J5" s="8">
        <f>IF(월별근무지표[[#This Row],[근무병원]]="","",IF(월별근무지표[[#This Row],[급여지급병원]]="",월별근무지표[[#This Row],[근무병원]],월별근무지표[[#This Row],[급여지급병원]]))</f>
        <v/>
      </c>
      <c r="K5" s="8">
        <f>IF(AND(TRIM(월별근무지표[[#This Row],[사번]]&amp;"")="",월별근무지표[[#This Row],[월]]&amp;""=""),"",IF(OR(TRIM(월별근무지표[[#This Row],[사번]]&amp;"")="",월별근무지표[[#This Row],[월]]&amp;""=""),"월·사번 모두 입력",IF(LEFT(월별근무지표[[#This Row],[월키]],1)="⚠","월 형식 확인(예: 2026-10)",IF(월별근무지표[[#This Row],[근무병원]]="","근무병원 입력",IF(COUNTIF(명단표[사번],TRIM(월별근무지표[[#This Row],[사번]]&amp;""))=0,"전공의명단에 없는 사번",IF(COUNTIF(월별근무지표[키],월별근무지표[[#This Row],[키]])&gt;1,"같은 사번·월 중복(위쪽 줄 적용)","정상"))))))</f>
        <v/>
      </c>
    </row>
    <row r="6">
      <c r="A6" s="14" t="n">
        <v>46327</v>
      </c>
      <c r="B6" s="7" t="inlineStr">
        <is>
          <t>2261214</t>
        </is>
      </c>
      <c r="C6" s="6" t="inlineStr">
        <is>
          <t>구리병원</t>
        </is>
      </c>
      <c r="D6" s="6" t="inlineStr">
        <is>
          <t>서울병원</t>
        </is>
      </c>
      <c r="E6" s="6" t="inlineStr">
        <is>
          <t>예시: 구리 근무, 서울 지급</t>
        </is>
      </c>
      <c r="F6" s="8">
        <f>_xlfn.LET(_xlpm.v_m,월별근무지표[[#This Row],[월]],IF(_xlpm.v_m&amp;""="","",IF(ISNUMBER(_xlpm.v_m),IF(_xlpm.v_m&lt;10000,TEXT(DATE(INT(_xlpm.v_m),ROUND(MOD(_xlpm.v_m,1)*100,0),1),"yyyy-mm"),TEXT(_xlpm.v_m,"yyyy-mm")),IFERROR(TEXT(DATEVALUE(SUBSTITUTE(SUBSTITUTE(LEFT(TRIM(_xlpm.v_m),7),".","-"),"/","-")&amp;"-01"),"yyyy-mm"),"⚠형식 오류"))))</f>
        <v/>
      </c>
      <c r="G6" s="8">
        <f>IF(TRIM(월별근무지표[[#This Row],[사번]]&amp;"")="","","S|"&amp;TRIM(월별근무지표[[#This Row],[사번]]&amp;""))</f>
        <v/>
      </c>
      <c r="H6" s="8">
        <f>IF(LEFT(월별근무지표[[#This Row],[월키]],1)="⚠","",IF(OR(월별근무지표[[#This Row],[사번키]]="",월별근무지표[[#This Row],[월키]]=""),"",월별근무지표[[#This Row],[사번키]]&amp;"|"&amp;월별근무지표[[#This Row],[월키]]))</f>
        <v/>
      </c>
      <c r="I6" s="8">
        <f>IF(월별근무지표[[#This Row],[사번키]]="","",_xlfn.XLOOKUP(월별근무지표[[#This Row],[사번키]],기본자료표[사번키],기본자료표[이름]&amp;"","(기본자료에 없음)"))</f>
        <v/>
      </c>
      <c r="J6" s="8">
        <f>IF(월별근무지표[[#This Row],[근무병원]]="","",IF(월별근무지표[[#This Row],[급여지급병원]]="",월별근무지표[[#This Row],[근무병원]],월별근무지표[[#This Row],[급여지급병원]]))</f>
        <v/>
      </c>
      <c r="K6" s="8">
        <f>IF(AND(TRIM(월별근무지표[[#This Row],[사번]]&amp;"")="",월별근무지표[[#This Row],[월]]&amp;""=""),"",IF(OR(TRIM(월별근무지표[[#This Row],[사번]]&amp;"")="",월별근무지표[[#This Row],[월]]&amp;""=""),"월·사번 모두 입력",IF(LEFT(월별근무지표[[#This Row],[월키]],1)="⚠","월 형식 확인(예: 2026-10)",IF(월별근무지표[[#This Row],[근무병원]]="","근무병원 입력",IF(COUNTIF(명단표[사번],TRIM(월별근무지표[[#This Row],[사번]]&amp;""))=0,"전공의명단에 없는 사번",IF(COUNTIF(월별근무지표[키],월별근무지표[[#This Row],[키]])&gt;1,"같은 사번·월 중복(위쪽 줄 적용)","정상"))))))</f>
        <v/>
      </c>
    </row>
  </sheetData>
  <conditionalFormatting sqref="K4:K1048576">
    <cfRule type="expression" priority="1" dxfId="3">
      <formula>AND($K4&lt;&gt;"",$K4&lt;&gt;"정상")</formula>
    </cfRule>
  </conditionalFormatting>
  <dataValidations count="2">
    <dataValidation sqref="C4:C1048576" showDropDown="0" showInputMessage="0" showErrorMessage="1" allowBlank="1" errorTitle="등록되지 않은 병원" error="병원 목록에 없습니다. 새 병원이면 '설정_코드표' 병원표에 먼저 추가하세요." type="list" errorStyle="stop">
      <formula1>=병원목록</formula1>
    </dataValidation>
    <dataValidation sqref="D4:D1048576" showDropDown="0" showInputMessage="0" showErrorMessage="1" allowBlank="1" errorTitle="등록되지 않은 병원" error="병원 목록에 없습니다. 새 병원이면 '설정_코드표' 병원표에 먼저 추가하세요." type="list" errorStyle="stop">
      <formula1>=병원목록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U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0" customWidth="1" min="3" max="3"/>
    <col width="12" customWidth="1" min="4" max="4"/>
    <col width="13" customWidth="1" min="5" max="5"/>
    <col width="9" customWidth="1" min="6" max="6"/>
    <col width="10" customWidth="1" min="7" max="7"/>
    <col width="24" customWidth="1" min="8" max="8"/>
    <col width="11" customWidth="1" min="9" max="9"/>
    <col width="11" customWidth="1" min="10" max="10"/>
    <col width="11" customWidth="1" min="11" max="11"/>
    <col width="8" customWidth="1" min="12" max="12"/>
    <col width="8" customWidth="1" min="13" max="13"/>
    <col width="40" customWidth="1" min="14" max="14"/>
    <col width="26" customWidth="1" min="15" max="15"/>
    <col width="3" customWidth="1" min="16" max="16"/>
    <col width="9" customWidth="1" min="17" max="17"/>
    <col width="10" customWidth="1" min="18" max="18"/>
    <col width="10" customWidth="1" min="19" max="19"/>
    <col width="8" customWidth="1" min="20" max="20"/>
    <col width="8" customWidth="1" min="21" max="21"/>
  </cols>
  <sheetData>
    <row r="1">
      <c r="A1" s="1" t="inlineStr">
        <is>
          <t>서울병원 급여 지급 대상자</t>
        </is>
      </c>
    </row>
    <row r="2">
      <c r="A2" s="3" t="inlineStr">
        <is>
          <t>급여 기준월</t>
        </is>
      </c>
      <c r="B2" s="15">
        <f>급여기준월</f>
        <v/>
      </c>
      <c r="D2" s="16" t="inlineStr">
        <is>
          <t>서울 지급 인원</t>
        </is>
      </c>
      <c r="E2" s="17">
        <f>COUNTIF(명단표[급여지급병원(기준월)],"서울병원")</f>
        <v/>
      </c>
      <c r="F2" s="16" t="inlineStr">
        <is>
          <t>그중 타 병원 소속</t>
        </is>
      </c>
      <c r="G2" s="17">
        <f>COUNTIFS(명단표[급여지급병원(기준월)],"서울병원",명단표[소속병원],"&lt;&gt;서울병원")</f>
        <v/>
      </c>
      <c r="H2" s="16" t="inlineStr">
        <is>
          <t>⚠ 판정 불가</t>
        </is>
      </c>
      <c r="I2" s="17">
        <f>COUNTIF(명단표[급여지급병원(기준월)],"⚠*")</f>
        <v/>
      </c>
    </row>
    <row r="3">
      <c r="A3" s="13" t="inlineStr">
        <is>
          <t>※ 자동으로 펼쳐지는 목록입니다(입력 금지). 노란 행 = 소속은 다른 병원인데 이번 달 서울병원이 지급. 급여 기준월은 설정_코드표에서 바꿉니다.</t>
        </is>
      </c>
    </row>
    <row r="4">
      <c r="Q4" s="18" t="inlineStr">
        <is>
          <t>⚠ 서울·구리 15일 판정 불가 (양쪽 모두 15일 이상/미만) — 담당자 확인 필요</t>
        </is>
      </c>
    </row>
    <row r="5" ht="30" customHeight="1">
      <c r="A5" s="4" t="inlineStr">
        <is>
          <t>번호</t>
        </is>
      </c>
      <c r="B5" s="4" t="inlineStr">
        <is>
          <t>이름</t>
        </is>
      </c>
      <c r="C5" s="4" t="inlineStr">
        <is>
          <t>사번</t>
        </is>
      </c>
      <c r="D5" s="4" t="inlineStr">
        <is>
          <t>전공의등록번호</t>
        </is>
      </c>
      <c r="E5" s="4" t="inlineStr">
        <is>
          <t>수련과목</t>
        </is>
      </c>
      <c r="F5" s="4" t="inlineStr">
        <is>
          <t>연차</t>
        </is>
      </c>
      <c r="G5" s="4" t="inlineStr">
        <is>
          <t>소속병원</t>
        </is>
      </c>
      <c r="H5" s="4" t="inlineStr">
        <is>
          <t>구분</t>
        </is>
      </c>
      <c r="I5" s="4" t="inlineStr">
        <is>
          <t>현재 근무병원</t>
        </is>
      </c>
      <c r="J5" s="4" t="inlineStr">
        <is>
          <t>구리 근무 시작일</t>
        </is>
      </c>
      <c r="K5" s="4" t="inlineStr">
        <is>
          <t>구리 근무 종료일</t>
        </is>
      </c>
      <c r="L5" s="4" t="inlineStr">
        <is>
          <t>서울 근무일</t>
        </is>
      </c>
      <c r="M5" s="4" t="inlineStr">
        <is>
          <t>구리 근무일</t>
        </is>
      </c>
      <c r="N5" s="4" t="inlineStr">
        <is>
          <t>판정 근거</t>
        </is>
      </c>
      <c r="O5" s="4" t="inlineStr">
        <is>
          <t>점검</t>
        </is>
      </c>
      <c r="Q5" s="19" t="inlineStr">
        <is>
          <t>이름</t>
        </is>
      </c>
      <c r="R5" s="19" t="inlineStr">
        <is>
          <t>사번</t>
        </is>
      </c>
      <c r="S5" s="19" t="inlineStr">
        <is>
          <t>소속병원</t>
        </is>
      </c>
      <c r="T5" s="19" t="inlineStr">
        <is>
          <t>서울 근무일</t>
        </is>
      </c>
      <c r="U5" s="19" t="inlineStr">
        <is>
          <t>구리 근무일</t>
        </is>
      </c>
    </row>
    <row r="6">
      <c r="A6" cm="1">
        <f t="array" ref="A6">IF(COUNTIF(명단표[급여지급병원(기준월)],"서울병원")=0,"",_xlfn.SEQUENCE(COUNTIF(명단표[급여지급병원(기준월)],"서울병원")))</f>
        <v/>
      </c>
      <c r="B6" cm="1">
        <f t="array" ref="B6">IF(COUNTIF(명단표[급여지급병원(기준월)],"서울병원")=0,"대상 없음",_xlfn._xlws.FILTER(CHOOSE({1,2,3,4,5,6,7,8,9,10,11,12,13,14},명단표[이름],명단표[사번]&amp;"",명단표[전공의등록번호]&amp;"",명단표[수련과목]&amp;"",명단표[연차]&amp;"",명단표[소속병원],IF(명단표[소속병원]="서울병원","서울 소속","타 병원 소속("&amp;명단표[소속병원]&amp;") → 서울 지급"),명단표[현재 근무병원],명단표[구리 근무 시작일(기준월)]&amp;"",명단표[구리 근무 종료일(기준월)]&amp;"",명단표[서울 근무일(기준월)],명단표[구리 근무일(기준월)],명단표[급여 판정 근거],명단표[점검]),명단표[급여지급병원(기준월)]="서울병원"))</f>
        <v/>
      </c>
      <c r="Q6" cm="1">
        <f t="array" ref="Q6">IF(COUNTIF(명단표[급여지급병원(기준월)],"⚠*")=0,"없음",_xlfn._xlws.FILTER(CHOOSE({1,2,3,4,5},명단표[이름],명단표[사번]&amp;"",명단표[소속병원],명단표[서울 근무일(기준월)],명단표[구리 근무일(기준월)]),LEFT(명단표[급여지급병원(기준월)],1)="⚠"))</f>
        <v/>
      </c>
    </row>
  </sheetData>
  <conditionalFormatting sqref="I2">
    <cfRule type="expression" priority="1" dxfId="2">
      <formula>I2&gt;0</formula>
    </cfRule>
  </conditionalFormatting>
  <conditionalFormatting sqref="A6:O20005">
    <cfRule type="expression" priority="2" dxfId="6">
      <formula>LEFT($H6,2)="타 "</formula>
    </cfRule>
  </conditionalFormatting>
  <conditionalFormatting sqref="O6:O20005">
    <cfRule type="expression" priority="3" dxfId="0">
      <formula>AND($O6&lt;&gt;"",$O6&lt;&gt;"정상")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L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9" customWidth="1" min="4" max="4"/>
    <col width="8" customWidth="1" min="5" max="5"/>
    <col width="11" customWidth="1" min="6" max="6"/>
    <col width="11" customWidth="1" min="7" max="7"/>
    <col width="9" customWidth="1" min="8" max="8"/>
    <col width="10" customWidth="1" min="9" max="9"/>
    <col width="8" customWidth="1" min="10" max="10"/>
    <col width="16" customWidth="1" min="11" max="11"/>
    <col width="24" customWidth="1" min="12" max="12"/>
  </cols>
  <sheetData>
    <row r="1">
      <c r="A1" s="1" t="inlineStr">
        <is>
          <t>구리병원 근무자 (구리 근무자명단 기준)</t>
        </is>
      </c>
      <c r="I1" s="20" t="inlineStr">
        <is>
          <t>명단 연결</t>
        </is>
      </c>
      <c r="J1" s="21">
        <f>COUNTIF($L$6:$L$20005,"명단 일치*")</f>
        <v/>
      </c>
    </row>
    <row r="2">
      <c r="A2" s="3" t="inlineStr">
        <is>
          <t>급여 기준월</t>
        </is>
      </c>
      <c r="B2" s="15">
        <f>급여기준월</f>
        <v/>
      </c>
      <c r="D2" s="13" t="inlineStr">
        <is>
          <t>블록 시작 열</t>
        </is>
      </c>
      <c r="E2" cm="1" s="22">
        <f t="array" ref="E2">_xlfn.LET(_xlpm.v_h,'입력_구리근무자명단'!$A$3:$ZZ$3&amp;"",_xlpm.v_p1,IFERROR(FIND("월",_xlpm.v_h),999),_xlpm.v_p2,IFERROR(FIND(CHAR(10),_xlpm.v_h),999),_xlpm.v_e,IF(_xlpm.v_p1&lt;_xlpm.v_p2,_xlpm.v_p1,_xlpm.v_p2),_xlpm.v_y,IFERROR(VALUE(LEFT(_xlpm.v_h,4)),0),_xlpm.v_m,IFERROR(VALUE(MID(_xlpm.v_h,6,_xlpm.v_e-6)),0),_xlpm.v_k,IF(ISNUMBER(SEARCH("근무예정자",_xlpm.v_h)),_xlpm.v_y*100+_xlpm.v_m,0),IFERROR(_xlfn.XMATCH(YEAR(급여기준월)*100+MONTH(급여기준월),_xlpm.v_k),""))</f>
        <v/>
      </c>
      <c r="F2" s="13" t="inlineStr">
        <is>
          <t>근무자 확정</t>
        </is>
      </c>
      <c r="G2" s="22">
        <f>IF($E$2="","",IF(COUNTIF(INDEX('입력_구리근무자명단'!$A$4:$ZZ$20000,0,$E$2+1),"?*")&gt;0,"확정","예정"))</f>
        <v/>
      </c>
      <c r="I2" s="20" t="inlineStr">
        <is>
          <t>명단에 없음/동명이인</t>
        </is>
      </c>
      <c r="J2" s="21">
        <f>COUNTIF($L$6:$L$20005,"명단에 없음*")+COUNTIF($L$6:$L$20005,"동명이인*")</f>
        <v/>
      </c>
    </row>
    <row r="3">
      <c r="A3" s="13" t="inlineStr">
        <is>
          <t>※ 자동 결과(입력 금지). 그 달 '근무자' 칸이 하나라도 채워져 있으면 근무자, 아니면 근무예정자 기준. 날짜가 없으면 1일~말일. 명단 연결: 이름+진료과(인턴은 이름+인턴), 안 되면 이름만. '블록 시작 열'이 비면 3행 머리글(연·월)을 확인하세요.</t>
        </is>
      </c>
      <c r="I3" s="20" t="inlineStr">
        <is>
          <t>날짜 오류</t>
        </is>
      </c>
      <c r="J3" s="21">
        <f>COUNTIF($F$6:$G$20005,"⚠*")</f>
        <v/>
      </c>
    </row>
    <row r="4"/>
    <row r="5" ht="30" customHeight="1">
      <c r="A5" s="4" t="inlineStr">
        <is>
          <t>원본행</t>
        </is>
      </c>
      <c r="B5" s="4" t="inlineStr">
        <is>
          <t>진료과</t>
        </is>
      </c>
      <c r="C5" s="4" t="inlineStr">
        <is>
          <t>연차</t>
        </is>
      </c>
      <c r="D5" s="4" t="inlineStr">
        <is>
          <t>이름</t>
        </is>
      </c>
      <c r="E5" s="4" t="inlineStr">
        <is>
          <t>확정/예정</t>
        </is>
      </c>
      <c r="F5" s="4" t="inlineStr">
        <is>
          <t>시작일</t>
        </is>
      </c>
      <c r="G5" s="4" t="inlineStr">
        <is>
          <t>종료일</t>
        </is>
      </c>
      <c r="H5" s="4" t="inlineStr">
        <is>
          <t>기준월 구리 근무일</t>
        </is>
      </c>
      <c r="I5" s="4" t="inlineStr">
        <is>
          <t>비고</t>
        </is>
      </c>
      <c r="J5" s="4" t="inlineStr">
        <is>
          <t>구리독자</t>
        </is>
      </c>
      <c r="K5" s="4" t="inlineStr">
        <is>
          <t>이름|과</t>
        </is>
      </c>
      <c r="L5" s="4" t="inlineStr">
        <is>
          <t>명단 연결</t>
        </is>
      </c>
    </row>
    <row r="6">
      <c r="A6" cm="1">
        <f t="array" ref="A6">IF($E$2="","해당 월 블록 없음",_xlfn.LET(_xlpm.v_g,'입력_구리근무자명단'!$A$4:$ZZ$20000,_xlpm.v_lr,MAX(IFERROR(_xlfn.XMATCH("?*",INDEX(_xlpm.v_g,0,1)&amp;"",2,-1),0),IFERROR(_xlfn.XMATCH("?*",INDEX(_xlpm.v_g,0,2)&amp;"",2,-1),0),1),_xlpm.v_d,INDEX(_xlpm.v_g,1,1):INDEX(_xlpm.v_g,_xlpm.v_lr,COLUMNS(_xlpm.v_g)),_xlpm.v_r,_xlfn.SEQUENCE(ROWS(_xlpm.v_d)),_xlpm.v_a,TRIM(INDEX(_xlpm.v_d,0,1)&amp;""),_xlpm.v_b,INDEX(_xlpm.v_d,0,2)&amp;"",_xlpm.v_n,TRIM(INDEX(_xlpm.v_d,0,$E$2+IF($G$2="확정",1,0))&amp;""),_xlpm.v_dept,_xlfn.XLOOKUP(_xlpm.v_r,IF(_xlpm.v_a&lt;&gt;"",_xlpm.v_r,0),_xlpm.v_a,"",-1),_xlpm.v_s0,INDEX(_xlpm.v_d,0,$E$2+2),_xlpm.v_e0,INDEX(_xlpm.v_d,0,$E$2+3),_xlpm.v_s,IF(_xlpm.v_s0&amp;""="",급여기준월,IF(ISNUMBER(_xlpm.v_s0),_xlpm.v_s0,IFERROR(DATE(VALUE(LEFT(_xlpm.v_s0,4)),VALUE(MID(_xlpm.v_s0,6,2)),VALUE(MID(_xlpm.v_s0,9,2))),-1))),_xlpm.v_e,IF(_xlpm.v_e0&amp;""="",EOMONTH(급여기준월,0),IF(ISNUMBER(_xlpm.v_e0),_xlpm.v_e0,IFERROR(DATE(VALUE(LEFT(_xlpm.v_e0,4)),VALUE(MID(_xlpm.v_e0,6,2)),VALUE(MID(_xlpm.v_e0,9,2))),-1))),_xlpm.v_lo,IF(_xlpm.v_s&gt;급여기준월,_xlpm.v_s,급여기준월),_xlpm.v_hi,IF(_xlpm.v_e&lt;EOMONTH(급여기준월,0),_xlpm.v_e,EOMONTH(급여기준월,0)),_xlpm.v_days,IF((_xlpm.v_s&lt;0)+(_xlpm.v_e&lt;0),0,IF(_xlpm.v_hi-_xlpm.v_lo+1&gt;0,_xlpm.v_hi-_xlpm.v_lo+1,0)),_xlpm.v_note,TRIM(INDEX(_xlpm.v_d,0,$E$2+5)&amp;""),_xlpm.v_gd,IF(ISNUMBER(SEARCH("구리독자",_xlpm.v_note)),"구리독자",""),_xlpm.v_dk,IF((_xlpm.v_b="인턴")+ISNUMBER(SEARCH("수련교육부",_xlpm.v_dept)),"인턴",_xlpm.v_dept),_xlpm.v_key,_xlpm.v_n&amp;"|"&amp;_xlpm.v_dk,_xlpm.v_c1,COUNTIF(명단표[이름|과],_xlpm.v_key),_xlpm.v_c2,COUNTIF(명단표[이름],_xlpm.v_n),_xlpm.v_st,IF(_xlpm.v_c1=1,"명단 일치",IF((_xlpm.v_c1=0)*(_xlpm.v_c2=1),"명단 일치(이름만, 과 다름)",IF(_xlpm.v_c2=0,IF(COUNTIF(기본자료표[이름],_xlpm.v_n)&gt;0,"명단에 없음(기본자료에는 있음)","명단에 없음"),"동명이인 확인"))),_xlpm.v_st2,IF(_xlpm.v_s&lt;0,"⚠"&amp;_xlpm.v_s0,TEXT(_xlpm.v_s,"yyyy-mm-dd")),_xlpm.v_et2,IF(_xlpm.v_e&lt;0,"⚠"&amp;_xlpm.v_e0,TEXT(_xlpm.v_e,"yyyy-mm-dd")),_xlpm.v_x,_xlpm.v_n&lt;&gt;"",IF(SUM(--_xlpm.v_x)=0,"해당 월 근무자 없음",_xlfn._xlws.FILTER(CHOOSE({1,2,3,4,5,6,7,8,9,10,11,12},_xlpm.v_r+3,_xlpm.v_dept,_xlpm.v_b,_xlpm.v_n,$G$2,_xlpm.v_st2,_xlpm.v_et2,_xlpm.v_days,_xlpm.v_note,_xlpm.v_gd,_xlpm.v_key,_xlpm.v_st),_xlpm.v_x))))</f>
        <v/>
      </c>
    </row>
  </sheetData>
  <conditionalFormatting sqref="J2:J3">
    <cfRule type="expression" priority="1" dxfId="0">
      <formula>J2&gt;0</formula>
    </cfRule>
  </conditionalFormatting>
  <conditionalFormatting sqref="L6:L20005">
    <cfRule type="expression" priority="2" dxfId="3">
      <formula>AND($L6&lt;&gt;"",LEFT($L6,5)&lt;&gt;"명단 일치")</formula>
    </cfRule>
  </conditionalFormatting>
  <conditionalFormatting sqref="F6:G20005">
    <cfRule type="expression" priority="3" dxfId="1">
      <formula>LEFT(F6,1)="⚠"</formula>
    </cfRule>
  </conditionalFormatting>
  <conditionalFormatting sqref="A6:K20005">
    <cfRule type="expression" priority="4" dxfId="7">
      <formula>$J6="구리독자"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" customWidth="1" min="3" max="3"/>
    <col width="14" customWidth="1" min="4" max="4"/>
    <col width="12" customWidth="1" min="5" max="5"/>
    <col width="12" customWidth="1" min="6" max="6"/>
    <col width="3" customWidth="1" min="7" max="7"/>
    <col width="14" customWidth="1" min="8" max="8"/>
    <col width="12" customWidth="1" min="9" max="9"/>
    <col width="3" customWidth="1" min="10" max="10"/>
    <col width="14" customWidth="1" min="11" max="11"/>
    <col width="12" customWidth="1" min="12" max="12"/>
  </cols>
  <sheetData>
    <row r="1">
      <c r="A1" s="1" t="inlineStr">
        <is>
          <t>현황 요약</t>
        </is>
      </c>
    </row>
    <row r="2">
      <c r="A2" s="3" t="inlineStr">
        <is>
          <t>기준일</t>
        </is>
      </c>
      <c r="B2" s="23">
        <f>TODAY()</f>
        <v/>
      </c>
    </row>
    <row r="3">
      <c r="A3" s="3" t="inlineStr">
        <is>
          <t>급여 기준월</t>
        </is>
      </c>
      <c r="B3" s="23">
        <f>급여기준월</f>
        <v/>
      </c>
      <c r="C3" s="13" t="inlineStr">
        <is>
          <t>← 설정값은 설정_코드표에서 변경</t>
        </is>
      </c>
    </row>
    <row r="4">
      <c r="A4" s="3" t="inlineStr">
        <is>
          <t>15일 기준(일)</t>
        </is>
      </c>
      <c r="B4" s="24">
        <f>판정기준일</f>
        <v/>
      </c>
    </row>
    <row r="5"/>
    <row r="6" ht="30" customHeight="1">
      <c r="A6" s="4" t="inlineStr">
        <is>
          <t>인원 (급여 기준월)</t>
        </is>
      </c>
      <c r="B6" s="4" t="inlineStr">
        <is>
          <t>인원</t>
        </is>
      </c>
      <c r="D6" s="4" t="inlineStr">
        <is>
          <t>병원</t>
        </is>
      </c>
      <c r="E6" s="4" t="inlineStr">
        <is>
          <t>현재 근무</t>
        </is>
      </c>
      <c r="F6" s="4" t="inlineStr">
        <is>
          <t>급여 지급(기준월)</t>
        </is>
      </c>
      <c r="H6" s="4" t="inlineStr">
        <is>
          <t>현재 진료과</t>
        </is>
      </c>
      <c r="I6" s="4" t="inlineStr">
        <is>
          <t>인원</t>
        </is>
      </c>
      <c r="K6" s="4" t="inlineStr">
        <is>
          <t>인턴 구분</t>
        </is>
      </c>
      <c r="L6" s="4" t="inlineStr">
        <is>
          <t>인원</t>
        </is>
      </c>
    </row>
    <row r="7">
      <c r="A7" s="25" t="inlineStr">
        <is>
          <t>명단 등록 인원</t>
        </is>
      </c>
      <c r="B7" s="26">
        <f>SUMPRODUCT(--(TRIM(명단표[사번]&amp;"")&lt;&gt;""))</f>
        <v/>
      </c>
      <c r="D7" cm="1">
        <f t="array" ref="D7">병원표[병원]</f>
        <v/>
      </c>
      <c r="E7" cm="1">
        <f t="array" ref="E7">COUNTIF(명단표[현재 근무병원],병원표[병원])</f>
        <v/>
      </c>
      <c r="F7" cm="1">
        <f t="array" ref="F7">COUNTIF(명단표[급여지급병원(기준월)],병원표[병원])</f>
        <v/>
      </c>
      <c r="H7" cm="1">
        <f t="array" ref="H7">진료과표[근무과]</f>
        <v/>
      </c>
      <c r="I7" cm="1">
        <f t="array" ref="I7">COUNTIF(명단표[현재 진료과],진료과표[근무과])</f>
        <v/>
      </c>
      <c r="K7" cm="1">
        <f t="array" ref="K7">인턴구분표[인턴 구분]</f>
        <v/>
      </c>
      <c r="L7" cm="1">
        <f t="array" ref="L7">COUNTIF(명단표[현재 진료과],인턴구분표[인턴 구분])</f>
        <v/>
      </c>
    </row>
    <row r="8">
      <c r="A8" s="25" t="inlineStr">
        <is>
          <t>서울병원 지급</t>
        </is>
      </c>
      <c r="B8" s="26">
        <f>COUNTIF(명단표[급여지급병원(기준월)],"서울병원")</f>
        <v/>
      </c>
    </row>
    <row r="9">
      <c r="A9" s="25" t="inlineStr">
        <is>
          <t>구리병원 지급</t>
        </is>
      </c>
      <c r="B9" s="26">
        <f>COUNTIF(명단표[급여지급병원(기준월)],"구리병원")</f>
        <v/>
      </c>
    </row>
    <row r="10">
      <c r="A10" s="25" t="inlineStr">
        <is>
          <t>그 외 병원 지급</t>
        </is>
      </c>
      <c r="B10" s="26">
        <f>SUMPRODUCT((명단표[급여지급병원(기준월)]&lt;&gt;"")*(명단표[급여지급병원(기준월)]&lt;&gt;"서울병원")*(명단표[급여지급병원(기준월)]&lt;&gt;"구리병원")*(LEFT(명단표[급여지급병원(기준월)],1)&lt;&gt;"⚠"))</f>
        <v/>
      </c>
    </row>
    <row r="11">
      <c r="A11" s="25" t="inlineStr">
        <is>
          <t>⚠ 판정 불가</t>
        </is>
      </c>
      <c r="B11" s="26">
        <f>COUNTIF(명단표[급여지급병원(기준월)],"⚠*")</f>
        <v/>
      </c>
    </row>
    <row r="12">
      <c r="A12" s="25" t="inlineStr">
        <is>
          <t>구리 근무자명단 연결 인원</t>
        </is>
      </c>
      <c r="B12" s="26">
        <f>COUNT(명단표[구리행])</f>
        <v/>
      </c>
    </row>
    <row r="13">
      <c r="A13" s="25" t="inlineStr">
        <is>
          <t>급여 기준월 직접 입력 적용</t>
        </is>
      </c>
      <c r="B13" s="26">
        <f>COUNT(명단표[직접행(기준월)])</f>
        <v/>
      </c>
    </row>
    <row r="14"/>
    <row r="15">
      <c r="A15" s="4" t="inlineStr">
        <is>
          <t>데이터 점검</t>
        </is>
      </c>
      <c r="B15" s="4" t="inlineStr">
        <is>
          <t>건수</t>
        </is>
      </c>
    </row>
    <row r="16">
      <c r="A16" s="25" t="inlineStr">
        <is>
          <t>기본자료 인원</t>
        </is>
      </c>
      <c r="B16" s="26">
        <f>SUMPRODUCT(--(TRIM(기본자료표[사번]&amp;"")&lt;&gt;""))</f>
        <v/>
      </c>
    </row>
    <row r="17">
      <c r="A17" s="25" t="inlineStr">
        <is>
          <t>기본자료 재직 인원</t>
        </is>
      </c>
      <c r="B17" s="26">
        <f>COUNTIF(기본자료표[현재근무 여부],"재직")</f>
        <v/>
      </c>
    </row>
    <row r="18">
      <c r="A18" s="25" t="inlineStr">
        <is>
          <t>기본자료에 없는 사번</t>
        </is>
      </c>
      <c r="B18" s="26">
        <f>SUMPRODUCT((TRIM(명단표[사번]&amp;"")&lt;&gt;"")*(명단표[기본자료행]=""))</f>
        <v/>
      </c>
    </row>
    <row r="19">
      <c r="A19" s="25" t="inlineStr">
        <is>
          <t>명단 중복 사번</t>
        </is>
      </c>
      <c r="B19" s="26">
        <f>SUMPRODUCT((TRIM(명단표[사번]&amp;"")&lt;&gt;"")*(COUNTIF(명단표[사번],명단표[사번])&gt;1))</f>
        <v/>
      </c>
    </row>
    <row r="20">
      <c r="A20" s="25" t="inlineStr">
        <is>
          <t>날짜 형식 오류(생년월일/수련개시일)</t>
        </is>
      </c>
      <c r="B20" s="26">
        <f>SUMPRODUCT(--ISTEXT(명단표[생년월일]))+SUMPRODUCT(--ISTEXT(명단표[수련개시일]))</f>
        <v/>
      </c>
    </row>
    <row r="21">
      <c r="A21" s="25" t="inlineStr">
        <is>
          <t>인턴계획 입력 오류(병원/진료과)</t>
        </is>
      </c>
      <c r="B21" s="26">
        <f>SUM(인턴계획표[입력오류])</f>
        <v/>
      </c>
    </row>
    <row r="22">
      <c r="A22" s="25" t="inlineStr">
        <is>
          <t>서울·구리 15일 판정 불가</t>
        </is>
      </c>
      <c r="B22" s="26">
        <f>COUNTIF(명단표[급여지급병원(기준월)],"⚠*")</f>
        <v/>
      </c>
    </row>
    <row r="23">
      <c r="A23" s="25" t="inlineStr">
        <is>
          <t>구리 근무자명단: 명단에 없음/동명이인</t>
        </is>
      </c>
      <c r="B23" s="26">
        <f>'출력_구리근무자'!$J$2</f>
        <v/>
      </c>
    </row>
    <row r="24">
      <c r="A24" s="25" t="inlineStr">
        <is>
          <t>구리 근무자명단: 날짜 오류</t>
        </is>
      </c>
      <c r="B24" s="26">
        <f>'출력_구리근무자'!$J$3</f>
        <v/>
      </c>
    </row>
    <row r="25">
      <c r="A25" s="25" t="inlineStr">
        <is>
          <t>월별근무지 직접 입력 오류</t>
        </is>
      </c>
      <c r="B25" s="26">
        <f>SUMPRODUCT((월별근무지표[점검]&lt;&gt;"")*(월별근무지표[점검]&lt;&gt;"정상"))</f>
        <v/>
      </c>
    </row>
    <row r="26">
      <c r="A26" s="25" t="inlineStr">
        <is>
          <t>전월·익월 자동 추정 확인 필요(⚠, 구리 근무자)</t>
        </is>
      </c>
      <c r="B26" s="26">
        <f>COUNTIF(명단표[전월 근거],"⚠*")+COUNTIF(명단표[익월 근거],"⚠*")</f>
        <v/>
      </c>
    </row>
    <row r="27">
      <c r="A27" s="25" t="inlineStr">
        <is>
          <t>점검 필요 행(전공의명단 '점검' 열)</t>
        </is>
      </c>
      <c r="B27" s="26">
        <f>SUMPRODUCT((TRIM(명단표[사번]&amp;"")&lt;&gt;"")*(명단표[점검]&lt;&gt;"정상"))</f>
        <v/>
      </c>
    </row>
  </sheetData>
  <conditionalFormatting sqref="B18:B27">
    <cfRule type="expression" priority="1" dxfId="0">
      <formula>B18&gt;0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X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0" customWidth="1" min="16" max="16"/>
    <col width="3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인턴 근무 현황</t>
        </is>
      </c>
    </row>
    <row r="2">
      <c r="A2" s="3" t="inlineStr">
        <is>
          <t>기준일</t>
        </is>
      </c>
      <c r="B2" s="27">
        <f>TODAY()</f>
        <v/>
      </c>
      <c r="J2" s="13" t="inlineStr">
        <is>
          <t>급여 기준월 위치→</t>
        </is>
      </c>
      <c r="K2" s="28">
        <f>IFERROR(MATCH(MONTH(급여기준월),$J$3:$O$3,0),"")</f>
        <v/>
      </c>
      <c r="L2" s="13" t="inlineStr">
        <is>
          <t>전월/익월 위치→</t>
        </is>
      </c>
      <c r="M2" s="28">
        <f>IFERROR(MATCH(MONTH(EDATE(급여기준월,-1)),$J$3:$O$3,0),"")</f>
        <v/>
      </c>
      <c r="N2" s="28">
        <f>IFERROR(MATCH(MONTH(EDATE(급여기준월,1)),$J$3:$O$3,0),"")</f>
        <v/>
      </c>
      <c r="R2" s="3" t="inlineStr">
        <is>
          <t>월별 병원별 인턴 인원</t>
        </is>
      </c>
    </row>
    <row r="3">
      <c r="A3" s="13" t="inlineStr">
        <is>
          <t>계획 월 번호(자동)</t>
        </is>
      </c>
      <c r="F3" s="13" t="inlineStr">
        <is>
          <t>이번/다음 달 위치→</t>
        </is>
      </c>
      <c r="G3" s="28">
        <f>IFERROR(MATCH(MONTH(TODAY()),$J$3:$O$3,0),"")</f>
        <v/>
      </c>
      <c r="I3" s="28">
        <f>IFERROR(MATCH(MONTH(EDATE(TODAY(),1)),$J$3:$O$3,0),"")</f>
        <v/>
      </c>
      <c r="J3" s="28">
        <f>IFERROR(VALUE(SUBSTITUTE(TRIM(J5),"월","")),"")</f>
        <v/>
      </c>
      <c r="K3" s="28">
        <f>IFERROR(VALUE(SUBSTITUTE(TRIM(K5),"월","")),"")</f>
        <v/>
      </c>
      <c r="L3" s="28">
        <f>IFERROR(VALUE(SUBSTITUTE(TRIM(L5),"월","")),"")</f>
        <v/>
      </c>
      <c r="M3" s="28">
        <f>IFERROR(VALUE(SUBSTITUTE(TRIM(M5),"월","")),"")</f>
        <v/>
      </c>
      <c r="N3" s="28">
        <f>IFERROR(VALUE(SUBSTITUTE(TRIM(N5),"월","")),"")</f>
        <v/>
      </c>
      <c r="O3" s="28">
        <f>IFERROR(VALUE(SUBSTITUTE(TRIM(O5),"월","")),"")</f>
        <v/>
      </c>
      <c r="R3" s="4" t="inlineStr">
        <is>
          <t>병원</t>
        </is>
      </c>
      <c r="S3" s="4">
        <f>J5</f>
        <v/>
      </c>
      <c r="T3" s="4">
        <f>K5</f>
        <v/>
      </c>
      <c r="U3" s="4">
        <f>L5</f>
        <v/>
      </c>
      <c r="V3" s="4">
        <f>M5</f>
        <v/>
      </c>
      <c r="W3" s="4">
        <f>N5</f>
        <v/>
      </c>
      <c r="X3" s="4">
        <f>O5</f>
        <v/>
      </c>
    </row>
    <row r="4">
      <c r="R4" s="29" t="inlineStr">
        <is>
          <t>합계(배정)</t>
        </is>
      </c>
      <c r="S4" s="21">
        <f>COUNTIF(인턴계획표[정규화1],"?*")</f>
        <v/>
      </c>
      <c r="T4" s="21">
        <f>COUNTIF(인턴계획표[정규화2],"?*")</f>
        <v/>
      </c>
      <c r="U4" s="21">
        <f>COUNTIF(인턴계획표[정규화3],"?*")</f>
        <v/>
      </c>
      <c r="V4" s="21">
        <f>COUNTIF(인턴계획표[정규화4],"?*")</f>
        <v/>
      </c>
      <c r="W4" s="21">
        <f>COUNTIF(인턴계획표[정규화5],"?*")</f>
        <v/>
      </c>
      <c r="X4" s="21">
        <f>COUNTIF(인턴계획표[정규화6],"?*")</f>
        <v/>
      </c>
    </row>
    <row r="5" ht="30" customHeight="1">
      <c r="A5" s="4" t="inlineStr">
        <is>
          <t>순번</t>
        </is>
      </c>
      <c r="B5" s="4" t="inlineStr">
        <is>
          <t>이름</t>
        </is>
      </c>
      <c r="C5" s="4" t="inlineStr">
        <is>
          <t>사번</t>
        </is>
      </c>
      <c r="D5" s="4" t="inlineStr">
        <is>
          <t>기본자료 확인</t>
        </is>
      </c>
      <c r="E5" s="4" t="inlineStr">
        <is>
          <t>입사일</t>
        </is>
      </c>
      <c r="F5" s="4">
        <f>"이번 달("&amp;IF($G$3="","계획 외",MONTH(TODAY())&amp;"월")&amp;") 병원"</f>
        <v/>
      </c>
      <c r="G5" s="4" t="inlineStr">
        <is>
          <t>이번 달 진료과</t>
        </is>
      </c>
      <c r="H5" s="4">
        <f>"다음 달("&amp;IF($I$3="","계획 외",MONTH(EDATE(TODAY(),1))&amp;"월")&amp;") 병원"</f>
        <v/>
      </c>
      <c r="I5" s="4" t="inlineStr">
        <is>
          <t>다음 달 진료과</t>
        </is>
      </c>
      <c r="J5" s="4">
        <f>TRIM(INDEX(인턴계획표[#Headers],1,4)&amp;"")</f>
        <v/>
      </c>
      <c r="K5" s="4">
        <f>TRIM(INDEX(인턴계획표[#Headers],1,5)&amp;"")</f>
        <v/>
      </c>
      <c r="L5" s="4">
        <f>TRIM(INDEX(인턴계획표[#Headers],1,6)&amp;"")</f>
        <v/>
      </c>
      <c r="M5" s="4">
        <f>TRIM(INDEX(인턴계획표[#Headers],1,7)&amp;"")</f>
        <v/>
      </c>
      <c r="N5" s="4">
        <f>TRIM(INDEX(인턴계획표[#Headers],1,8)&amp;"")</f>
        <v/>
      </c>
      <c r="O5" s="4">
        <f>TRIM(INDEX(인턴계획표[#Headers],1,9)&amp;"")</f>
        <v/>
      </c>
      <c r="P5" s="4" t="inlineStr">
        <is>
          <t>입력오류</t>
        </is>
      </c>
      <c r="R5" s="29" t="inlineStr">
        <is>
          <t>⚠ 오류</t>
        </is>
      </c>
      <c r="S5" s="21">
        <f>COUNTIF(인턴계획표[정규화1],"⚠*")</f>
        <v/>
      </c>
      <c r="T5" s="21">
        <f>COUNTIF(인턴계획표[정규화2],"⚠*")</f>
        <v/>
      </c>
      <c r="U5" s="21">
        <f>COUNTIF(인턴계획표[정규화3],"⚠*")</f>
        <v/>
      </c>
      <c r="V5" s="21">
        <f>COUNTIF(인턴계획표[정규화4],"⚠*")</f>
        <v/>
      </c>
      <c r="W5" s="21">
        <f>COUNTIF(인턴계획표[정규화5],"⚠*")</f>
        <v/>
      </c>
      <c r="X5" s="21">
        <f>COUNTIF(인턴계획표[정규화6],"⚠*")</f>
        <v/>
      </c>
    </row>
    <row r="6">
      <c r="A6" cm="1">
        <f t="array" ref="A6">_xlfn.LET(_xlpm.v_n,TRIM(인턴계획표[이름]&amp;""),_xlpm.v_x,_xlpm.v_n&lt;&gt;"",_xlpm.v_c,IF($G$3="","",INDEX(인턴계획표[[정규화1]:[정규화6]],0,$G$3)&amp;""),_xlpm.v_t,IF($I$3="","",INDEX(인턴계획표[[정규화1]:[정규화6]],0,$I$3)&amp;""),_xlpm.v_ok,IF(ISNUMBER(_xlfn.XMATCH(인턴계획표[사번키],기본자료표[사번키])),"확인","미등록"),_xlpm.v_in,IF(ISNUMBER(인턴계획표[입사일(비고)]),TEXT(인턴계획표[입사일(비고)],"yyyy-mm-dd"),인턴계획표[입사일(비고)]&amp;""),IF(SUM(--_xlpm.v_x)=0,"인턴 계획 없음",_xlfn._xlws.FILTER(CHOOSE({1,2,3,4,5,6,7,8,9,10,11,12,13,14,15,16},인턴계획표[순번]&amp;"",_xlpm.v_n,인턴계획표[사번]&amp;"",_xlpm.v_ok,_xlpm.v_in,IF(_xlpm.v_c="","",IF(LEFT(_xlpm.v_c,1)="⚠",_xlpm.v_c,IFERROR(LEFT(_xlpm.v_c,FIND(" ",_xlpm.v_c)-1),_xlpm.v_c))),IF(_xlpm.v_c="","",IF(LEFT(_xlpm.v_c,1)="⚠","",IFERROR(MID(_xlpm.v_c,FIND(" ",_xlpm.v_c)+1,60),""))),IF(_xlpm.v_t="","",IF(LEFT(_xlpm.v_t,1)="⚠",_xlpm.v_t,IFERROR(LEFT(_xlpm.v_t,FIND(" ",_xlpm.v_t)-1),_xlpm.v_t))),IF(_xlpm.v_t="","",IF(LEFT(_xlpm.v_t,1)="⚠","",IFERROR(MID(_xlpm.v_t,FIND(" ",_xlpm.v_t)+1,60),""))),인턴계획표[정규화1],인턴계획표[정규화2],인턴계획표[정규화3],인턴계획표[정규화4],인턴계획표[정규화5],인턴계획표[정규화6],인턴계획표[입력오류]),_xlpm.v_x)))</f>
        <v/>
      </c>
      <c r="R6" cm="1">
        <f t="array" ref="R6">병원표[병원]</f>
        <v/>
      </c>
      <c r="S6" cm="1">
        <f t="array" ref="S6">COUNTIF(인턴계획표[정규화1],병원표[병원]&amp;" *")</f>
        <v/>
      </c>
      <c r="T6" cm="1">
        <f t="array" ref="T6">COUNTIF(인턴계획표[정규화2],병원표[병원]&amp;" *")</f>
        <v/>
      </c>
      <c r="U6" cm="1">
        <f t="array" ref="U6">COUNTIF(인턴계획표[정규화3],병원표[병원]&amp;" *")</f>
        <v/>
      </c>
      <c r="V6" cm="1">
        <f t="array" ref="V6">COUNTIF(인턴계획표[정규화4],병원표[병원]&amp;" *")</f>
        <v/>
      </c>
      <c r="W6" cm="1">
        <f t="array" ref="W6">COUNTIF(인턴계획표[정규화5],병원표[병원]&amp;" *")</f>
        <v/>
      </c>
      <c r="X6" cm="1">
        <f t="array" ref="X6">COUNTIF(인턴계획표[정규화6],병원표[병원]&amp;" *")</f>
        <v/>
      </c>
    </row>
  </sheetData>
  <conditionalFormatting sqref="D6:D20005">
    <cfRule type="expression" priority="1" dxfId="0">
      <formula>$D6="미등록"</formula>
    </cfRule>
  </conditionalFormatting>
  <conditionalFormatting sqref="J6:O20005">
    <cfRule type="expression" priority="2" dxfId="8">
      <formula>LEFT(J6,1)="⚠"</formula>
    </cfRule>
  </conditionalFormatting>
  <conditionalFormatting sqref="J5:O20005">
    <cfRule type="expression" priority="3" dxfId="6">
      <formula>J$3=MONTH(TODAY())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I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3" customWidth="1" min="4" max="4"/>
    <col width="10" customWidth="1" min="5" max="5"/>
    <col width="10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기관명단 (전월·급여 기준월·익월 3개월) — 시간외근무 판정 파일의 입력_기관명단에 값으로 붙여넣기</t>
        </is>
      </c>
    </row>
    <row r="2">
      <c r="A2" s="13" t="inlineStr">
        <is>
          <t>※ A5부터 아래로 펼쳐진 전체를 한 번에 복사 → 시간외 판정 파일 입력_기관명단의 표 아래에 '값 붙여넣기'. 급여 기준월은 자동 판정(구리 근무자명단·인턴계획·15일), 전월·익월은 입력_월별근무지의 직접 입력 → 인턴계획 → 소속병원 순서입니다. 근거가 '⚠자동'인 줄은 직접 입력이 필요한지 확인하세요.</t>
        </is>
      </c>
    </row>
    <row r="3">
      <c r="A3" s="3" t="inlineStr">
        <is>
          <t>자동 추정 확인 필요(⚠)</t>
        </is>
      </c>
      <c r="C3" s="21">
        <f>COUNTIF($I$5:$I$60000,"⚠*")</f>
        <v/>
      </c>
    </row>
    <row r="4" ht="30" customHeight="1">
      <c r="A4" s="4" t="inlineStr">
        <is>
          <t>기준월</t>
        </is>
      </c>
      <c r="B4" s="4" t="inlineStr">
        <is>
          <t>사번</t>
        </is>
      </c>
      <c r="C4" s="4" t="inlineStr">
        <is>
          <t>이름</t>
        </is>
      </c>
      <c r="D4" s="4" t="inlineStr">
        <is>
          <t>수련과목</t>
        </is>
      </c>
      <c r="E4" s="4" t="inlineStr">
        <is>
          <t>연차</t>
        </is>
      </c>
      <c r="F4" s="4" t="inlineStr">
        <is>
          <t>소속병원</t>
        </is>
      </c>
      <c r="G4" s="4" t="inlineStr">
        <is>
          <t>기준월 근무병원</t>
        </is>
      </c>
      <c r="H4" s="4" t="inlineStr">
        <is>
          <t>급여지급병원(기준월)</t>
        </is>
      </c>
      <c r="I4" s="4" t="inlineStr">
        <is>
          <t>급여 판정 근거</t>
        </is>
      </c>
    </row>
    <row r="5">
      <c r="A5" cm="1">
        <f t="array" ref="A5">_xlfn.LET(_xlpm.v_k,TRIM(명단표[사번]&amp;"")&lt;&gt;"",_xlpm.v_rows,_xlfn._xlws.FILTER(_xlfn.SEQUENCE(ROWS(명단표[사번])),_xlpm.v_k,0),_xlpm.v_n,ROWS(_xlpm.v_rows),_xlpm.v_i,_xlfn.SEQUENCE(3*_xlpm.v_n),_xlpm.v_m,INT((_xlpm.v_i-1)/_xlpm.v_n)+1,_xlpm.v_r,INDEX(_xlpm.v_rows,MOD(_xlpm.v_i-1,_xlpm.v_n)+1),IF(SUM(--_xlpm.v_k)=0,"명단 없음",CHOOSE({1,2,3,4,5,6,7,8,9},CHOOSE(_xlpm.v_m,전월키,기준월키,익월키),INDEX(명단표[사번],_xlpm.v_r)&amp;"",INDEX(명단표[이름],_xlpm.v_r),INDEX(명단표[수련과목],_xlpm.v_r),INDEX(명단표[연차],_xlpm.v_r)&amp;"",INDEX(명단표[소속병원],_xlpm.v_r),CHOOSE(_xlpm.v_m,INDEX(명단표[전월 근무병원],_xlpm.v_r),INDEX(명단표[기준월 근무병원],_xlpm.v_r),INDEX(명단표[익월 근무병원],_xlpm.v_r)),CHOOSE(_xlpm.v_m,INDEX(명단표[전월 급여지급병원],_xlpm.v_r),INDEX(명단표[급여지급병원(기준월)],_xlpm.v_r),INDEX(명단표[익월 급여지급병원],_xlpm.v_r)),CHOOSE(_xlpm.v_m,INDEX(명단표[전월 근거],_xlpm.v_r),INDEX(명단표[급여 판정 근거],_xlpm.v_r),INDEX(명단표[익월 근거],_xlpm.v_r)))))</f>
        <v/>
      </c>
    </row>
  </sheetData>
  <conditionalFormatting sqref="C3">
    <cfRule type="expression" priority="1" dxfId="0">
      <formula>C3&gt;0</formula>
    </cfRule>
  </conditionalFormatting>
  <conditionalFormatting sqref="A5:I60000">
    <cfRule type="expression" priority="2" dxfId="6">
      <formula>LEFT($I5,1)="⚠"</formula>
    </cfRule>
    <cfRule type="expression" priority="3" dxfId="9">
      <formula>AND($A5&lt;&gt;"",$A5=기준월키)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8" customWidth="1" min="3" max="3"/>
    <col width="3" customWidth="1" min="4" max="4"/>
    <col width="12" customWidth="1" min="5" max="5"/>
    <col width="3" customWidth="1" min="6" max="6"/>
    <col width="3" customWidth="1" min="7" max="7"/>
    <col width="3" customWidth="1" min="8" max="8"/>
    <col width="16" customWidth="1" min="9" max="9"/>
    <col width="18" customWidth="1" min="10" max="10"/>
    <col width="3" customWidth="1" min="11" max="11"/>
    <col width="16" customWidth="1" min="12" max="12"/>
    <col width="12" customWidth="1" min="13" max="13"/>
    <col width="3" customWidth="1" min="14" max="14"/>
    <col width="26" customWidth="1" min="15" max="15"/>
    <col width="14" customWidth="1" min="16" max="16"/>
  </cols>
  <sheetData>
    <row r="1">
      <c r="A1" s="4" t="inlineStr">
        <is>
          <t>병원</t>
        </is>
      </c>
      <c r="C1" s="4" t="inlineStr">
        <is>
          <t>근무과</t>
        </is>
      </c>
      <c r="E1" s="4" t="inlineStr">
        <is>
          <t>인턴 구분</t>
        </is>
      </c>
      <c r="I1" s="4" t="inlineStr">
        <is>
          <t>약칭</t>
        </is>
      </c>
      <c r="J1" s="4" t="inlineStr">
        <is>
          <t>정식 명칭</t>
        </is>
      </c>
      <c r="L1" s="4" t="inlineStr">
        <is>
          <t>표기</t>
        </is>
      </c>
      <c r="M1" s="4" t="inlineStr">
        <is>
          <t>정식 병원</t>
        </is>
      </c>
      <c r="O1" s="2" t="inlineStr">
        <is>
          <t>※ 모든 목록은 엑셀 '표'입니다. 표 바로 아래 행에 입력하면 자동으로 목록이 늘어나고 드롭다운·판정에 바로 반영됩니다.</t>
        </is>
      </c>
    </row>
    <row r="2">
      <c r="A2" s="6" t="inlineStr">
        <is>
          <t>서울병원</t>
        </is>
      </c>
      <c r="C2" s="6" t="inlineStr">
        <is>
          <t>내과</t>
        </is>
      </c>
      <c r="E2" s="6" t="inlineStr">
        <is>
          <t>통합</t>
        </is>
      </c>
      <c r="I2" s="6" t="inlineStr">
        <is>
          <t>내과</t>
        </is>
      </c>
      <c r="J2" s="6" t="inlineStr">
        <is>
          <t>내과</t>
        </is>
      </c>
      <c r="L2" s="6" t="inlineStr">
        <is>
          <t>서울병원</t>
        </is>
      </c>
      <c r="M2" s="6" t="inlineStr">
        <is>
          <t>서울병원</t>
        </is>
      </c>
      <c r="O2" s="2" t="inlineStr">
        <is>
          <t>※ 병원약칭표(L~M): 인턴근무계획의 지역 단어와 기본자료의 근무지를 정식 병원으로 바꿉니다. 실제 기관명은 여기에 추가하세요.</t>
        </is>
      </c>
    </row>
    <row r="3">
      <c r="A3" s="6" t="inlineStr">
        <is>
          <t>인천병원</t>
        </is>
      </c>
      <c r="C3" s="6" t="inlineStr">
        <is>
          <t>소아청소년과</t>
        </is>
      </c>
      <c r="E3" s="6" t="inlineStr">
        <is>
          <t>핵/방</t>
        </is>
      </c>
      <c r="I3" s="6" t="inlineStr">
        <is>
          <t>소아청소년과</t>
        </is>
      </c>
      <c r="J3" s="6" t="inlineStr">
        <is>
          <t>소아청소년과</t>
        </is>
      </c>
      <c r="L3" s="6" t="inlineStr">
        <is>
          <t>인천병원</t>
        </is>
      </c>
      <c r="M3" s="6" t="inlineStr">
        <is>
          <t>인천병원</t>
        </is>
      </c>
      <c r="O3" s="2" t="inlineStr">
        <is>
          <t>※ 과약칭표(I~J): 인턴근무계획 월 칸의 마지막 단어(진료과 약칭)를 정식 명칭으로 바꿉니다.</t>
        </is>
      </c>
    </row>
    <row r="4">
      <c r="A4" s="6" t="inlineStr">
        <is>
          <t>구리병원</t>
        </is>
      </c>
      <c r="C4" s="6" t="inlineStr">
        <is>
          <t>신경과</t>
        </is>
      </c>
      <c r="E4" s="6" t="inlineStr">
        <is>
          <t>직/피</t>
        </is>
      </c>
      <c r="I4" s="6" t="inlineStr">
        <is>
          <t>신경과</t>
        </is>
      </c>
      <c r="J4" s="6" t="inlineStr">
        <is>
          <t>신경과</t>
        </is>
      </c>
      <c r="L4" s="6" t="inlineStr">
        <is>
          <t>구리병원</t>
        </is>
      </c>
      <c r="M4" s="6" t="inlineStr">
        <is>
          <t>구리병원</t>
        </is>
      </c>
      <c r="O4" s="2" t="inlineStr">
        <is>
          <t>※ 인턴구분표(E): 통합(과 미지정), 핵/방, 직/피, 정/영처럼 인턴 순환에만 쓰는 구분입니다.</t>
        </is>
      </c>
    </row>
    <row r="5">
      <c r="A5" s="6" t="inlineStr">
        <is>
          <t>창원병원</t>
        </is>
      </c>
      <c r="C5" s="6" t="inlineStr">
        <is>
          <t>정신건강의학과</t>
        </is>
      </c>
      <c r="E5" s="6" t="inlineStr">
        <is>
          <t>정/영</t>
        </is>
      </c>
      <c r="I5" s="6" t="inlineStr">
        <is>
          <t>정신건강의학과</t>
        </is>
      </c>
      <c r="J5" s="6" t="inlineStr">
        <is>
          <t>정신건강의학과</t>
        </is>
      </c>
      <c r="L5" s="6" t="inlineStr">
        <is>
          <t>창원병원</t>
        </is>
      </c>
      <c r="M5" s="6" t="inlineStr">
        <is>
          <t>창원병원</t>
        </is>
      </c>
    </row>
    <row r="6">
      <c r="A6" s="6" t="inlineStr">
        <is>
          <t>제주병원</t>
        </is>
      </c>
      <c r="C6" s="6" t="inlineStr">
        <is>
          <t>피부과</t>
        </is>
      </c>
      <c r="I6" s="6" t="inlineStr">
        <is>
          <t>피부과</t>
        </is>
      </c>
      <c r="J6" s="6" t="inlineStr">
        <is>
          <t>피부과</t>
        </is>
      </c>
      <c r="L6" s="6" t="inlineStr">
        <is>
          <t>제주병원</t>
        </is>
      </c>
      <c r="M6" s="6" t="inlineStr">
        <is>
          <t>제주병원</t>
        </is>
      </c>
    </row>
    <row r="7">
      <c r="A7" s="6" t="inlineStr">
        <is>
          <t>오산병원</t>
        </is>
      </c>
      <c r="C7" s="6" t="inlineStr">
        <is>
          <t>외과</t>
        </is>
      </c>
      <c r="I7" s="6" t="inlineStr">
        <is>
          <t>외과</t>
        </is>
      </c>
      <c r="J7" s="6" t="inlineStr">
        <is>
          <t>외과</t>
        </is>
      </c>
      <c r="L7" s="6" t="inlineStr">
        <is>
          <t>오산병원</t>
        </is>
      </c>
      <c r="M7" s="6" t="inlineStr">
        <is>
          <t>오산병원</t>
        </is>
      </c>
    </row>
    <row r="8">
      <c r="C8" s="6" t="inlineStr">
        <is>
          <t>심장혈관흉부외과</t>
        </is>
      </c>
      <c r="I8" s="6" t="inlineStr">
        <is>
          <t>심장혈관흉부외과</t>
        </is>
      </c>
      <c r="J8" s="6" t="inlineStr">
        <is>
          <t>심장혈관흉부외과</t>
        </is>
      </c>
      <c r="L8" s="6" t="inlineStr">
        <is>
          <t>서울</t>
        </is>
      </c>
      <c r="M8" s="6" t="inlineStr">
        <is>
          <t>서울병원</t>
        </is>
      </c>
      <c r="O8" s="4" t="inlineStr">
        <is>
          <t>설정값 (노란 칸만 수정)</t>
        </is>
      </c>
      <c r="P8" s="4" t="inlineStr">
        <is>
          <t>값</t>
        </is>
      </c>
    </row>
    <row r="9">
      <c r="C9" s="6" t="inlineStr">
        <is>
          <t>정형외과</t>
        </is>
      </c>
      <c r="I9" s="6" t="inlineStr">
        <is>
          <t>정형외과</t>
        </is>
      </c>
      <c r="J9" s="6" t="inlineStr">
        <is>
          <t>정형외과</t>
        </is>
      </c>
      <c r="L9" s="6" t="inlineStr">
        <is>
          <t>인천</t>
        </is>
      </c>
      <c r="M9" s="6" t="inlineStr">
        <is>
          <t>인천병원</t>
        </is>
      </c>
      <c r="O9" s="29" t="inlineStr">
        <is>
          <t>급여 기준월(1일)</t>
        </is>
      </c>
      <c r="P9" s="30">
        <f>DATE(YEAR(TODAY()),MONTH(TODAY()),1)</f>
        <v/>
      </c>
    </row>
    <row r="10">
      <c r="C10" s="6" t="inlineStr">
        <is>
          <t>신경외과</t>
        </is>
      </c>
      <c r="I10" s="6" t="inlineStr">
        <is>
          <t>신경외과</t>
        </is>
      </c>
      <c r="J10" s="6" t="inlineStr">
        <is>
          <t>신경외과</t>
        </is>
      </c>
      <c r="L10" s="6" t="inlineStr">
        <is>
          <t>구리</t>
        </is>
      </c>
      <c r="M10" s="6" t="inlineStr">
        <is>
          <t>구리병원</t>
        </is>
      </c>
      <c r="O10" s="29" t="inlineStr">
        <is>
          <t>서울·구리 15일 기준(일)</t>
        </is>
      </c>
      <c r="P10" s="31" t="n">
        <v>15</v>
      </c>
    </row>
    <row r="11">
      <c r="C11" s="6" t="inlineStr">
        <is>
          <t>성형외과</t>
        </is>
      </c>
      <c r="I11" s="6" t="inlineStr">
        <is>
          <t>성형외과</t>
        </is>
      </c>
      <c r="J11" s="6" t="inlineStr">
        <is>
          <t>성형외과</t>
        </is>
      </c>
      <c r="L11" s="6" t="inlineStr">
        <is>
          <t>창원</t>
        </is>
      </c>
      <c r="M11" s="6" t="inlineStr">
        <is>
          <t>창원병원</t>
        </is>
      </c>
      <c r="O11" t="inlineStr">
        <is>
          <t>※ 급여 기준월: 다른 달을 보려면 그 달 1일 날짜를 입력(기본 수식 = 이번 달 1일).</t>
        </is>
      </c>
    </row>
    <row r="12">
      <c r="C12" s="6" t="inlineStr">
        <is>
          <t>산부인과</t>
        </is>
      </c>
      <c r="I12" s="6" t="inlineStr">
        <is>
          <t>산부인과</t>
        </is>
      </c>
      <c r="J12" s="6" t="inlineStr">
        <is>
          <t>산부인과</t>
        </is>
      </c>
      <c r="L12" s="6" t="inlineStr">
        <is>
          <t>제주</t>
        </is>
      </c>
      <c r="M12" s="6" t="inlineStr">
        <is>
          <t>제주병원</t>
        </is>
      </c>
      <c r="O12" s="13" t="n"/>
    </row>
    <row r="13">
      <c r="C13" s="6" t="inlineStr">
        <is>
          <t>안과</t>
        </is>
      </c>
      <c r="I13" s="6" t="inlineStr">
        <is>
          <t>안과</t>
        </is>
      </c>
      <c r="J13" s="6" t="inlineStr">
        <is>
          <t>안과</t>
        </is>
      </c>
      <c r="L13" s="6" t="inlineStr">
        <is>
          <t>오산</t>
        </is>
      </c>
      <c r="M13" s="6" t="inlineStr">
        <is>
          <t>오산병원</t>
        </is>
      </c>
    </row>
    <row r="14">
      <c r="C14" s="6" t="inlineStr">
        <is>
          <t>이비인후과</t>
        </is>
      </c>
      <c r="I14" s="6" t="inlineStr">
        <is>
          <t>이비인후과</t>
        </is>
      </c>
      <c r="J14" s="6" t="inlineStr">
        <is>
          <t>이비인후과</t>
        </is>
      </c>
      <c r="L14" s="6" t="inlineStr">
        <is>
          <t>한양대학교병원</t>
        </is>
      </c>
      <c r="M14" s="6" t="inlineStr">
        <is>
          <t>서울병원</t>
        </is>
      </c>
    </row>
    <row r="15">
      <c r="C15" s="6" t="inlineStr">
        <is>
          <t>비뇨의학과</t>
        </is>
      </c>
      <c r="I15" s="6" t="inlineStr">
        <is>
          <t>비뇨의학과</t>
        </is>
      </c>
      <c r="J15" s="6" t="inlineStr">
        <is>
          <t>비뇨의학과</t>
        </is>
      </c>
      <c r="L15" s="6" t="inlineStr">
        <is>
          <t>한양대병원</t>
        </is>
      </c>
      <c r="M15" s="6" t="inlineStr">
        <is>
          <t>서울병원</t>
        </is>
      </c>
    </row>
    <row r="16">
      <c r="C16" s="6" t="inlineStr">
        <is>
          <t>재활의학과</t>
        </is>
      </c>
      <c r="I16" s="6" t="inlineStr">
        <is>
          <t>재활의학과</t>
        </is>
      </c>
      <c r="J16" s="6" t="inlineStr">
        <is>
          <t>재활의학과</t>
        </is>
      </c>
      <c r="L16" s="6" t="inlineStr">
        <is>
          <t>한양대서울병원</t>
        </is>
      </c>
      <c r="M16" s="6" t="inlineStr">
        <is>
          <t>서울병원</t>
        </is>
      </c>
    </row>
    <row r="17">
      <c r="C17" s="6" t="inlineStr">
        <is>
          <t>마취통증의학과</t>
        </is>
      </c>
      <c r="I17" s="6" t="inlineStr">
        <is>
          <t>마취통증의학과</t>
        </is>
      </c>
      <c r="J17" s="6" t="inlineStr">
        <is>
          <t>마취통증의학과</t>
        </is>
      </c>
      <c r="L17" s="6" t="inlineStr">
        <is>
          <t>한양대구리병원</t>
        </is>
      </c>
      <c r="M17" s="6" t="inlineStr">
        <is>
          <t>구리병원</t>
        </is>
      </c>
    </row>
    <row r="18">
      <c r="C18" s="6" t="inlineStr">
        <is>
          <t>영상의학과</t>
        </is>
      </c>
      <c r="I18" s="6" t="inlineStr">
        <is>
          <t>영상의학과</t>
        </is>
      </c>
      <c r="J18" s="6" t="inlineStr">
        <is>
          <t>영상의학과</t>
        </is>
      </c>
      <c r="L18" s="6" t="inlineStr">
        <is>
          <t>에스중앙병원</t>
        </is>
      </c>
      <c r="M18" s="6" t="inlineStr">
        <is>
          <t>제주병원</t>
        </is>
      </c>
    </row>
    <row r="19">
      <c r="C19" s="6" t="inlineStr">
        <is>
          <t>진단검사의학과</t>
        </is>
      </c>
      <c r="I19" s="6" t="inlineStr">
        <is>
          <t>진단검사의학과</t>
        </is>
      </c>
      <c r="J19" s="6" t="inlineStr">
        <is>
          <t>진단검사의학과</t>
        </is>
      </c>
      <c r="L19" s="6" t="inlineStr">
        <is>
          <t>에스중앙</t>
        </is>
      </c>
      <c r="M19" s="6" t="inlineStr">
        <is>
          <t>제주병원</t>
        </is>
      </c>
    </row>
    <row r="20">
      <c r="C20" s="6" t="inlineStr">
        <is>
          <t>병리과</t>
        </is>
      </c>
      <c r="I20" s="6" t="inlineStr">
        <is>
          <t>병리과</t>
        </is>
      </c>
      <c r="J20" s="6" t="inlineStr">
        <is>
          <t>병리과</t>
        </is>
      </c>
    </row>
    <row r="21">
      <c r="C21" s="6" t="inlineStr">
        <is>
          <t>가정의학과</t>
        </is>
      </c>
      <c r="I21" s="6" t="inlineStr">
        <is>
          <t>가정의학과</t>
        </is>
      </c>
      <c r="J21" s="6" t="inlineStr">
        <is>
          <t>가정의학과</t>
        </is>
      </c>
    </row>
    <row r="22">
      <c r="C22" s="6" t="inlineStr">
        <is>
          <t>응급의학과</t>
        </is>
      </c>
      <c r="I22" s="6" t="inlineStr">
        <is>
          <t>응급의학과</t>
        </is>
      </c>
      <c r="J22" s="6" t="inlineStr">
        <is>
          <t>응급의학과</t>
        </is>
      </c>
    </row>
    <row r="23">
      <c r="C23" s="6" t="inlineStr">
        <is>
          <t>핵의학과</t>
        </is>
      </c>
      <c r="I23" s="6" t="inlineStr">
        <is>
          <t>핵의학과</t>
        </is>
      </c>
      <c r="J23" s="6" t="inlineStr">
        <is>
          <t>핵의학과</t>
        </is>
      </c>
    </row>
    <row r="24">
      <c r="C24" s="6" t="inlineStr">
        <is>
          <t>직업환경의학과</t>
        </is>
      </c>
      <c r="I24" s="6" t="inlineStr">
        <is>
          <t>직업환경의학과</t>
        </is>
      </c>
      <c r="J24" s="6" t="inlineStr">
        <is>
          <t>직업환경의학과</t>
        </is>
      </c>
    </row>
    <row r="25">
      <c r="C25" s="6" t="inlineStr">
        <is>
          <t>수련교육부(인턴)</t>
        </is>
      </c>
      <c r="I25" s="6" t="inlineStr">
        <is>
          <t>수련교육부(인턴)</t>
        </is>
      </c>
      <c r="J25" s="6" t="inlineStr">
        <is>
          <t>수련교육부(인턴)</t>
        </is>
      </c>
    </row>
    <row r="26">
      <c r="I26" s="6" t="inlineStr">
        <is>
          <t>소아과</t>
        </is>
      </c>
      <c r="J26" s="6" t="inlineStr">
        <is>
          <t>소아청소년과</t>
        </is>
      </c>
    </row>
    <row r="27">
      <c r="I27" s="6" t="inlineStr">
        <is>
          <t>소아</t>
        </is>
      </c>
      <c r="J27" s="6" t="inlineStr">
        <is>
          <t>소아청소년과</t>
        </is>
      </c>
    </row>
    <row r="28">
      <c r="I28" s="6" t="inlineStr">
        <is>
          <t>소청</t>
        </is>
      </c>
      <c r="J28" s="6" t="inlineStr">
        <is>
          <t>소아청소년과</t>
        </is>
      </c>
    </row>
    <row r="29">
      <c r="I29" s="6" t="inlineStr">
        <is>
          <t>소청과</t>
        </is>
      </c>
      <c r="J29" s="6" t="inlineStr">
        <is>
          <t>소아청소년과</t>
        </is>
      </c>
    </row>
    <row r="30">
      <c r="I30" s="6" t="inlineStr">
        <is>
          <t>정신과</t>
        </is>
      </c>
      <c r="J30" s="6" t="inlineStr">
        <is>
          <t>정신건강의학과</t>
        </is>
      </c>
    </row>
    <row r="31">
      <c r="I31" s="6" t="inlineStr">
        <is>
          <t>정신</t>
        </is>
      </c>
      <c r="J31" s="6" t="inlineStr">
        <is>
          <t>정신건강의학과</t>
        </is>
      </c>
    </row>
    <row r="32">
      <c r="I32" s="6" t="inlineStr">
        <is>
          <t>흉부외과</t>
        </is>
      </c>
      <c r="J32" s="6" t="inlineStr">
        <is>
          <t>심장혈관흉부외과</t>
        </is>
      </c>
    </row>
    <row r="33">
      <c r="I33" s="6" t="inlineStr">
        <is>
          <t>흉외</t>
        </is>
      </c>
      <c r="J33" s="6" t="inlineStr">
        <is>
          <t>심장혈관흉부외과</t>
        </is>
      </c>
    </row>
    <row r="34">
      <c r="I34" s="6" t="inlineStr">
        <is>
          <t>심장혈관흉부</t>
        </is>
      </c>
      <c r="J34" s="6" t="inlineStr">
        <is>
          <t>심장혈관흉부외과</t>
        </is>
      </c>
    </row>
    <row r="35">
      <c r="I35" s="6" t="inlineStr">
        <is>
          <t>정형</t>
        </is>
      </c>
      <c r="J35" s="6" t="inlineStr">
        <is>
          <t>정형외과</t>
        </is>
      </c>
    </row>
    <row r="36">
      <c r="I36" s="6" t="inlineStr">
        <is>
          <t>신외</t>
        </is>
      </c>
      <c r="J36" s="6" t="inlineStr">
        <is>
          <t>신경외과</t>
        </is>
      </c>
    </row>
    <row r="37">
      <c r="I37" s="6" t="inlineStr">
        <is>
          <t>성형</t>
        </is>
      </c>
      <c r="J37" s="6" t="inlineStr">
        <is>
          <t>성형외과</t>
        </is>
      </c>
    </row>
    <row r="38">
      <c r="I38" s="6" t="inlineStr">
        <is>
          <t>산부</t>
        </is>
      </c>
      <c r="J38" s="6" t="inlineStr">
        <is>
          <t>산부인과</t>
        </is>
      </c>
    </row>
    <row r="39">
      <c r="I39" s="6" t="inlineStr">
        <is>
          <t>이비</t>
        </is>
      </c>
      <c r="J39" s="6" t="inlineStr">
        <is>
          <t>이비인후과</t>
        </is>
      </c>
    </row>
    <row r="40">
      <c r="I40" s="6" t="inlineStr">
        <is>
          <t>이비인후</t>
        </is>
      </c>
      <c r="J40" s="6" t="inlineStr">
        <is>
          <t>이비인후과</t>
        </is>
      </c>
    </row>
    <row r="41">
      <c r="I41" s="6" t="inlineStr">
        <is>
          <t>비뇨</t>
        </is>
      </c>
      <c r="J41" s="6" t="inlineStr">
        <is>
          <t>비뇨의학과</t>
        </is>
      </c>
    </row>
    <row r="42">
      <c r="I42" s="6" t="inlineStr">
        <is>
          <t>비뇨기과</t>
        </is>
      </c>
      <c r="J42" s="6" t="inlineStr">
        <is>
          <t>비뇨의학과</t>
        </is>
      </c>
    </row>
    <row r="43">
      <c r="I43" s="6" t="inlineStr">
        <is>
          <t>재활</t>
        </is>
      </c>
      <c r="J43" s="6" t="inlineStr">
        <is>
          <t>재활의학과</t>
        </is>
      </c>
    </row>
    <row r="44">
      <c r="I44" s="6" t="inlineStr">
        <is>
          <t>마취</t>
        </is>
      </c>
      <c r="J44" s="6" t="inlineStr">
        <is>
          <t>마취통증의학과</t>
        </is>
      </c>
    </row>
    <row r="45">
      <c r="I45" s="6" t="inlineStr">
        <is>
          <t>마통</t>
        </is>
      </c>
      <c r="J45" s="6" t="inlineStr">
        <is>
          <t>마취통증의학과</t>
        </is>
      </c>
    </row>
    <row r="46">
      <c r="I46" s="6" t="inlineStr">
        <is>
          <t>영상</t>
        </is>
      </c>
      <c r="J46" s="6" t="inlineStr">
        <is>
          <t>영상의학과</t>
        </is>
      </c>
    </row>
    <row r="47">
      <c r="I47" s="6" t="inlineStr">
        <is>
          <t>진검</t>
        </is>
      </c>
      <c r="J47" s="6" t="inlineStr">
        <is>
          <t>진단검사의학과</t>
        </is>
      </c>
    </row>
    <row r="48">
      <c r="I48" s="6" t="inlineStr">
        <is>
          <t>진단검사</t>
        </is>
      </c>
      <c r="J48" s="6" t="inlineStr">
        <is>
          <t>진단검사의학과</t>
        </is>
      </c>
    </row>
    <row r="49">
      <c r="I49" s="6" t="inlineStr">
        <is>
          <t>병리</t>
        </is>
      </c>
      <c r="J49" s="6" t="inlineStr">
        <is>
          <t>병리과</t>
        </is>
      </c>
    </row>
    <row r="50">
      <c r="I50" s="6" t="inlineStr">
        <is>
          <t>가정</t>
        </is>
      </c>
      <c r="J50" s="6" t="inlineStr">
        <is>
          <t>가정의학과</t>
        </is>
      </c>
    </row>
    <row r="51">
      <c r="I51" s="6" t="inlineStr">
        <is>
          <t>가정의학</t>
        </is>
      </c>
      <c r="J51" s="6" t="inlineStr">
        <is>
          <t>가정의학과</t>
        </is>
      </c>
    </row>
    <row r="52">
      <c r="I52" s="6" t="inlineStr">
        <is>
          <t>응급</t>
        </is>
      </c>
      <c r="J52" s="6" t="inlineStr">
        <is>
          <t>응급의학과</t>
        </is>
      </c>
    </row>
    <row r="53">
      <c r="I53" s="6" t="inlineStr">
        <is>
          <t>핵의학</t>
        </is>
      </c>
      <c r="J53" s="6" t="inlineStr">
        <is>
          <t>핵의학과</t>
        </is>
      </c>
    </row>
    <row r="54">
      <c r="I54" s="6" t="inlineStr">
        <is>
          <t>핵</t>
        </is>
      </c>
      <c r="J54" s="6" t="inlineStr">
        <is>
          <t>핵의학과</t>
        </is>
      </c>
    </row>
    <row r="55">
      <c r="I55" s="6" t="inlineStr">
        <is>
          <t>직업환경</t>
        </is>
      </c>
      <c r="J55" s="6" t="inlineStr">
        <is>
          <t>직업환경의학과</t>
        </is>
      </c>
    </row>
    <row r="56">
      <c r="I56" s="6" t="inlineStr">
        <is>
          <t>직환</t>
        </is>
      </c>
      <c r="J56" s="6" t="inlineStr">
        <is>
          <t>직업환경의학과</t>
        </is>
      </c>
    </row>
    <row r="57">
      <c r="I57" s="6" t="inlineStr">
        <is>
          <t>수련교육부</t>
        </is>
      </c>
      <c r="J57" s="6" t="inlineStr">
        <is>
          <t>수련교육부(인턴)</t>
        </is>
      </c>
    </row>
    <row r="58">
      <c r="I58" s="6" t="inlineStr">
        <is>
          <t>인턴</t>
        </is>
      </c>
      <c r="J58" s="6" t="inlineStr">
        <is>
          <t>수련교육부(인턴)</t>
        </is>
      </c>
    </row>
    <row r="59">
      <c r="I59" s="6" t="inlineStr">
        <is>
          <t>직피</t>
        </is>
      </c>
      <c r="J59" s="6" t="inlineStr">
        <is>
          <t>직/피</t>
        </is>
      </c>
    </row>
    <row r="60">
      <c r="I60" s="6" t="inlineStr">
        <is>
          <t>직환/피부</t>
        </is>
      </c>
      <c r="J60" s="6" t="inlineStr">
        <is>
          <t>직/피</t>
        </is>
      </c>
    </row>
    <row r="61">
      <c r="I61" s="6" t="inlineStr">
        <is>
          <t>정영</t>
        </is>
      </c>
      <c r="J61" s="6" t="inlineStr">
        <is>
          <t>정/영</t>
        </is>
      </c>
    </row>
    <row r="62">
      <c r="I62" s="6" t="inlineStr">
        <is>
          <t>정신/영상</t>
        </is>
      </c>
      <c r="J62" s="6" t="inlineStr">
        <is>
          <t>정/영</t>
        </is>
      </c>
    </row>
    <row r="63">
      <c r="I63" s="6" t="inlineStr">
        <is>
          <t>핵방</t>
        </is>
      </c>
      <c r="J63" s="6" t="inlineStr">
        <is>
          <t>핵/방</t>
        </is>
      </c>
    </row>
    <row r="64">
      <c r="I64" s="6" t="inlineStr">
        <is>
          <t>핵/방</t>
        </is>
      </c>
      <c r="J64" s="6" t="inlineStr">
        <is>
          <t>핵/방</t>
        </is>
      </c>
    </row>
    <row r="65">
      <c r="I65" s="6" t="inlineStr">
        <is>
          <t>통합</t>
        </is>
      </c>
      <c r="J65" s="6" t="inlineStr">
        <is>
          <t>통합</t>
        </is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2026-10-07T01:44:17Z</dcterms:created>
  <dcterms:modified xmlns:dcterms="http://purl.org/dc/terms/" xmlns:xsi="http://www.w3.org/2001/XMLSchema-instance" xsi:type="dcterms:W3CDTF">2026-10-07T01:44:17Z</dcterms:modified>
</cp:coreProperties>
</file>