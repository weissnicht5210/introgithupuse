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'기본자료'!$A$1:$L$1001</definedName>
    <definedName name="_xlnm._FilterDatabase" localSheetId="6" hidden="1">'인턴현황'!$A$5:$Q$405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401" headerRowCount="1">
  <autoFilter ref="A1:AL40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[행 늘리기]</t>
        </is>
      </c>
    </row>
    <row r="45">
      <c r="A45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46">
      <c r="A46" s="2" t="inlineStr"/>
    </row>
    <row r="47">
      <c r="A47" s="3" t="inlineStr">
        <is>
          <t>[참고]</t>
        </is>
      </c>
    </row>
    <row r="48">
      <c r="A4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",TRIM(E63&amp;""))-1),코드표!$J$2:$J$101,0)),ISNUMBER(MATCH(TRIM(RIGHT(SUBSTITUTE(TRIM(E63&amp;"")," ",REPT(" ",60)),60)),코드표!$F$2:$F$101,0))),INDEX(코드표!$K$2:$K$101,MATCH(LEFT(TRIM(E63&amp;""),FIND(" ",TRIM(E63&amp;""))-1),코드표!$J$2:$J$101,0))&amp;"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",TRIM(F63&amp;""))-1),코드표!$J$2:$J$101,0)),ISNUMBER(MATCH(TRIM(RIGHT(SUBSTITUTE(TRIM(F63&amp;"")," ",REPT(" ",60)),60)),코드표!$F$2:$F$101,0))),INDEX(코드표!$K$2:$K$101,MATCH(LEFT(TRIM(F63&amp;""),FIND(" ",TRIM(F63&amp;""))-1),코드표!$J$2:$J$101,0))&amp;"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",TRIM(G63&amp;""))-1),코드표!$J$2:$J$101,0)),ISNUMBER(MATCH(TRIM(RIGHT(SUBSTITUTE(TRIM(G63&amp;"")," ",REPT(" ",60)),60)),코드표!$F$2:$F$101,0))),INDEX(코드표!$K$2:$K$101,MATCH(LEFT(TRIM(G63&amp;""),FIND(" ",TRIM(G63&amp;""))-1),코드표!$J$2:$J$101,0))&amp;"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",TRIM(H63&amp;""))-1),코드표!$J$2:$J$101,0)),ISNUMBER(MATCH(TRIM(RIGHT(SUBSTITUTE(TRIM(H63&amp;"")," ",REPT(" ",60)),60)),코드표!$F$2:$F$101,0))),INDEX(코드표!$K$2:$K$101,MATCH(LEFT(TRIM(H63&amp;""),FIND(" ",TRIM(H63&amp;""))-1),코드표!$J$2:$J$101,0))&amp;"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",TRIM(I63&amp;""))-1),코드표!$J$2:$J$101,0)),ISNUMBER(MATCH(TRIM(RIGHT(SUBSTITUTE(TRIM(I63&amp;"")," ",REPT(" ",60)),60)),코드표!$F$2:$F$101,0))),INDEX(코드표!$K$2:$K$101,MATCH(LEFT(TRIM(I63&amp;""),FIND(" ",TRIM(I63&amp;""))-1),코드표!$J$2:$J$101,0))&amp;"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",TRIM(J63&amp;""))-1),코드표!$J$2:$J$101,0)),ISNUMBER(MATCH(TRIM(RIGHT(SUBSTITUTE(TRIM(J63&amp;"")," ",REPT(" ",60)),60)),코드표!$F$2:$F$101,0))),INDEX(코드표!$K$2:$K$101,MATCH(LEFT(TRIM(J63&amp;""),FIND(" ",TRIM(J63&amp;""))-1),코드표!$J$2:$J$101,0))&amp;"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",TRIM(E64&amp;""))-1),코드표!$J$2:$J$101,0)),ISNUMBER(MATCH(TRIM(RIGHT(SUBSTITUTE(TRIM(E64&amp;"")," ",REPT(" ",60)),60)),코드표!$F$2:$F$101,0))),INDEX(코드표!$K$2:$K$101,MATCH(LEFT(TRIM(E64&amp;""),FIND(" ",TRIM(E64&amp;""))-1),코드표!$J$2:$J$101,0))&amp;"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",TRIM(F64&amp;""))-1),코드표!$J$2:$J$101,0)),ISNUMBER(MATCH(TRIM(RIGHT(SUBSTITUTE(TRIM(F64&amp;"")," ",REPT(" ",60)),60)),코드표!$F$2:$F$101,0))),INDEX(코드표!$K$2:$K$101,MATCH(LEFT(TRIM(F64&amp;""),FIND(" ",TRIM(F64&amp;""))-1),코드표!$J$2:$J$101,0))&amp;"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",TRIM(G64&amp;""))-1),코드표!$J$2:$J$101,0)),ISNUMBER(MATCH(TRIM(RIGHT(SUBSTITUTE(TRIM(G64&amp;"")," ",REPT(" ",60)),60)),코드표!$F$2:$F$101,0))),INDEX(코드표!$K$2:$K$101,MATCH(LEFT(TRIM(G64&amp;""),FIND(" ",TRIM(G64&amp;""))-1),코드표!$J$2:$J$101,0))&amp;"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",TRIM(H64&amp;""))-1),코드표!$J$2:$J$101,0)),ISNUMBER(MATCH(TRIM(RIGHT(SUBSTITUTE(TRIM(H64&amp;"")," ",REPT(" ",60)),60)),코드표!$F$2:$F$101,0))),INDEX(코드표!$K$2:$K$101,MATCH(LEFT(TRIM(H64&amp;""),FIND(" ",TRIM(H64&amp;""))-1),코드표!$J$2:$J$101,0))&amp;"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",TRIM(I64&amp;""))-1),코드표!$J$2:$J$101,0)),ISNUMBER(MATCH(TRIM(RIGHT(SUBSTITUTE(TRIM(I64&amp;"")," ",REPT(" ",60)),60)),코드표!$F$2:$F$101,0))),INDEX(코드표!$K$2:$K$101,MATCH(LEFT(TRIM(I64&amp;""),FIND(" ",TRIM(I64&amp;""))-1),코드표!$J$2:$J$101,0))&amp;"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",TRIM(J64&amp;""))-1),코드표!$J$2:$J$101,0)),ISNUMBER(MATCH(TRIM(RIGHT(SUBSTITUTE(TRIM(J64&amp;"")," ",REPT(" ",60)),60)),코드표!$F$2:$F$101,0))),INDEX(코드표!$K$2:$K$101,MATCH(LEFT(TRIM(J64&amp;""),FIND(" ",TRIM(J64&amp;""))-1),코드표!$J$2:$J$101,0))&amp;"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",TRIM(E65&amp;""))-1),코드표!$J$2:$J$101,0)),ISNUMBER(MATCH(TRIM(RIGHT(SUBSTITUTE(TRIM(E65&amp;"")," ",REPT(" ",60)),60)),코드표!$F$2:$F$101,0))),INDEX(코드표!$K$2:$K$101,MATCH(LEFT(TRIM(E65&amp;""),FIND(" ",TRIM(E65&amp;""))-1),코드표!$J$2:$J$101,0))&amp;"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",TRIM(F65&amp;""))-1),코드표!$J$2:$J$101,0)),ISNUMBER(MATCH(TRIM(RIGHT(SUBSTITUTE(TRIM(F65&amp;"")," ",REPT(" ",60)),60)),코드표!$F$2:$F$101,0))),INDEX(코드표!$K$2:$K$101,MATCH(LEFT(TRIM(F65&amp;""),FIND(" ",TRIM(F65&amp;""))-1),코드표!$J$2:$J$101,0))&amp;"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",TRIM(G65&amp;""))-1),코드표!$J$2:$J$101,0)),ISNUMBER(MATCH(TRIM(RIGHT(SUBSTITUTE(TRIM(G65&amp;"")," ",REPT(" ",60)),60)),코드표!$F$2:$F$101,0))),INDEX(코드표!$K$2:$K$101,MATCH(LEFT(TRIM(G65&amp;""),FIND(" ",TRIM(G65&amp;""))-1),코드표!$J$2:$J$101,0))&amp;"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",TRIM(H65&amp;""))-1),코드표!$J$2:$J$101,0)),ISNUMBER(MATCH(TRIM(RIGHT(SUBSTITUTE(TRIM(H65&amp;"")," ",REPT(" ",60)),60)),코드표!$F$2:$F$101,0))),INDEX(코드표!$K$2:$K$101,MATCH(LEFT(TRIM(H65&amp;""),FIND(" ",TRIM(H65&amp;""))-1),코드표!$J$2:$J$101,0))&amp;"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",TRIM(I65&amp;""))-1),코드표!$J$2:$J$101,0)),ISNUMBER(MATCH(TRIM(RIGHT(SUBSTITUTE(TRIM(I65&amp;"")," ",REPT(" ",60)),60)),코드표!$F$2:$F$101,0))),INDEX(코드표!$K$2:$K$101,MATCH(LEFT(TRIM(I65&amp;""),FIND(" ",TRIM(I65&amp;""))-1),코드표!$J$2:$J$101,0))&amp;"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",TRIM(J65&amp;""))-1),코드표!$J$2:$J$101,0)),ISNUMBER(MATCH(TRIM(RIGHT(SUBSTITUTE(TRIM(J65&amp;"")," ",REPT(" ",60)),60)),코드표!$F$2:$F$101,0))),INDEX(코드표!$K$2:$K$101,MATCH(LEFT(TRIM(J65&amp;""),FIND(" ",TRIM(J65&amp;""))-1),코드표!$J$2:$J$101,0))&amp;"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",TRIM(E66&amp;""))-1),코드표!$J$2:$J$101,0)),ISNUMBER(MATCH(TRIM(RIGHT(SUBSTITUTE(TRIM(E66&amp;"")," ",REPT(" ",60)),60)),코드표!$F$2:$F$101,0))),INDEX(코드표!$K$2:$K$101,MATCH(LEFT(TRIM(E66&amp;""),FIND(" ",TRIM(E66&amp;""))-1),코드표!$J$2:$J$101,0))&amp;"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",TRIM(F66&amp;""))-1),코드표!$J$2:$J$101,0)),ISNUMBER(MATCH(TRIM(RIGHT(SUBSTITUTE(TRIM(F66&amp;"")," ",REPT(" ",60)),60)),코드표!$F$2:$F$101,0))),INDEX(코드표!$K$2:$K$101,MATCH(LEFT(TRIM(F66&amp;""),FIND(" ",TRIM(F66&amp;""))-1),코드표!$J$2:$J$101,0))&amp;"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",TRIM(G66&amp;""))-1),코드표!$J$2:$J$101,0)),ISNUMBER(MATCH(TRIM(RIGHT(SUBSTITUTE(TRIM(G66&amp;"")," ",REPT(" ",60)),60)),코드표!$F$2:$F$101,0))),INDEX(코드표!$K$2:$K$101,MATCH(LEFT(TRIM(G66&amp;""),FIND(" ",TRIM(G66&amp;""))-1),코드표!$J$2:$J$101,0))&amp;"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",TRIM(H66&amp;""))-1),코드표!$J$2:$J$101,0)),ISNUMBER(MATCH(TRIM(RIGHT(SUBSTITUTE(TRIM(H66&amp;"")," ",REPT(" ",60)),60)),코드표!$F$2:$F$101,0))),INDEX(코드표!$K$2:$K$101,MATCH(LEFT(TRIM(H66&amp;""),FIND(" ",TRIM(H66&amp;""))-1),코드표!$J$2:$J$101,0))&amp;"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",TRIM(I66&amp;""))-1),코드표!$J$2:$J$101,0)),ISNUMBER(MATCH(TRIM(RIGHT(SUBSTITUTE(TRIM(I66&amp;"")," ",REPT(" ",60)),60)),코드표!$F$2:$F$101,0))),INDEX(코드표!$K$2:$K$101,MATCH(LEFT(TRIM(I66&amp;""),FIND(" ",TRIM(I66&amp;""))-1),코드표!$J$2:$J$101,0))&amp;"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",TRIM(J66&amp;""))-1),코드표!$J$2:$J$101,0)),ISNUMBER(MATCH(TRIM(RIGHT(SUBSTITUTE(TRIM(J66&amp;"")," ",REPT(" ",60)),60)),코드표!$F$2:$F$101,0))),INDEX(코드표!$K$2:$K$101,MATCH(LEFT(TRIM(J66&amp;""),FIND(" ",TRIM(J66&amp;""))-1),코드표!$J$2:$J$101,0))&amp;"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",TRIM(E67&amp;""))-1),코드표!$J$2:$J$101,0)),ISNUMBER(MATCH(TRIM(RIGHT(SUBSTITUTE(TRIM(E67&amp;"")," ",REPT(" ",60)),60)),코드표!$F$2:$F$101,0))),INDEX(코드표!$K$2:$K$101,MATCH(LEFT(TRIM(E67&amp;""),FIND(" ",TRIM(E67&amp;""))-1),코드표!$J$2:$J$101,0))&amp;"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",TRIM(F67&amp;""))-1),코드표!$J$2:$J$101,0)),ISNUMBER(MATCH(TRIM(RIGHT(SUBSTITUTE(TRIM(F67&amp;"")," ",REPT(" ",60)),60)),코드표!$F$2:$F$101,0))),INDEX(코드표!$K$2:$K$101,MATCH(LEFT(TRIM(F67&amp;""),FIND(" ",TRIM(F67&amp;""))-1),코드표!$J$2:$J$101,0))&amp;"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",TRIM(G67&amp;""))-1),코드표!$J$2:$J$101,0)),ISNUMBER(MATCH(TRIM(RIGHT(SUBSTITUTE(TRIM(G67&amp;"")," ",REPT(" ",60)),60)),코드표!$F$2:$F$101,0))),INDEX(코드표!$K$2:$K$101,MATCH(LEFT(TRIM(G67&amp;""),FIND(" ",TRIM(G67&amp;""))-1),코드표!$J$2:$J$101,0))&amp;"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",TRIM(H67&amp;""))-1),코드표!$J$2:$J$101,0)),ISNUMBER(MATCH(TRIM(RIGHT(SUBSTITUTE(TRIM(H67&amp;"")," ",REPT(" ",60)),60)),코드표!$F$2:$F$101,0))),INDEX(코드표!$K$2:$K$101,MATCH(LEFT(TRIM(H67&amp;""),FIND(" ",TRIM(H67&amp;""))-1),코드표!$J$2:$J$101,0))&amp;"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",TRIM(I67&amp;""))-1),코드표!$J$2:$J$101,0)),ISNUMBER(MATCH(TRIM(RIGHT(SUBSTITUTE(TRIM(I67&amp;"")," ",REPT(" ",60)),60)),코드표!$F$2:$F$101,0))),INDEX(코드표!$K$2:$K$101,MATCH(LEFT(TRIM(I67&amp;""),FIND(" ",TRIM(I67&amp;""))-1),코드표!$J$2:$J$101,0))&amp;"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",TRIM(J67&amp;""))-1),코드표!$J$2:$J$101,0)),ISNUMBER(MATCH(TRIM(RIGHT(SUBSTITUTE(TRIM(J67&amp;"")," ",REPT(" ",60)),60)),코드표!$F$2:$F$101,0))),INDEX(코드표!$K$2:$K$101,MATCH(LEFT(TRIM(J67&amp;""),FIND(" ",TRIM(J67&amp;""))-1),코드표!$J$2:$J$101,0))&amp;"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",TRIM(E68&amp;""))-1),코드표!$J$2:$J$101,0)),ISNUMBER(MATCH(TRIM(RIGHT(SUBSTITUTE(TRIM(E68&amp;"")," ",REPT(" ",60)),60)),코드표!$F$2:$F$101,0))),INDEX(코드표!$K$2:$K$101,MATCH(LEFT(TRIM(E68&amp;""),FIND(" ",TRIM(E68&amp;""))-1),코드표!$J$2:$J$101,0))&amp;"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",TRIM(F68&amp;""))-1),코드표!$J$2:$J$101,0)),ISNUMBER(MATCH(TRIM(RIGHT(SUBSTITUTE(TRIM(F68&amp;"")," ",REPT(" ",60)),60)),코드표!$F$2:$F$101,0))),INDEX(코드표!$K$2:$K$101,MATCH(LEFT(TRIM(F68&amp;""),FIND(" ",TRIM(F68&amp;""))-1),코드표!$J$2:$J$101,0))&amp;"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",TRIM(G68&amp;""))-1),코드표!$J$2:$J$101,0)),ISNUMBER(MATCH(TRIM(RIGHT(SUBSTITUTE(TRIM(G68&amp;"")," ",REPT(" ",60)),60)),코드표!$F$2:$F$101,0))),INDEX(코드표!$K$2:$K$101,MATCH(LEFT(TRIM(G68&amp;""),FIND(" ",TRIM(G68&amp;""))-1),코드표!$J$2:$J$101,0))&amp;"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",TRIM(H68&amp;""))-1),코드표!$J$2:$J$101,0)),ISNUMBER(MATCH(TRIM(RIGHT(SUBSTITUTE(TRIM(H68&amp;"")," ",REPT(" ",60)),60)),코드표!$F$2:$F$101,0))),INDEX(코드표!$K$2:$K$101,MATCH(LEFT(TRIM(H68&amp;""),FIND(" ",TRIM(H68&amp;""))-1),코드표!$J$2:$J$101,0))&amp;"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",TRIM(I68&amp;""))-1),코드표!$J$2:$J$101,0)),ISNUMBER(MATCH(TRIM(RIGHT(SUBSTITUTE(TRIM(I68&amp;"")," ",REPT(" ",60)),60)),코드표!$F$2:$F$101,0))),INDEX(코드표!$K$2:$K$101,MATCH(LEFT(TRIM(I68&amp;""),FIND(" ",TRIM(I68&amp;""))-1),코드표!$J$2:$J$101,0))&amp;"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",TRIM(J68&amp;""))-1),코드표!$J$2:$J$101,0)),ISNUMBER(MATCH(TRIM(RIGHT(SUBSTITUTE(TRIM(J68&amp;"")," ",REPT(" ",60)),60)),코드표!$F$2:$F$101,0))),INDEX(코드표!$K$2:$K$101,MATCH(LEFT(TRIM(J68&amp;""),FIND(" ",TRIM(J68&amp;""))-1),코드표!$J$2:$J$101,0))&amp;"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",TRIM(E69&amp;""))-1),코드표!$J$2:$J$101,0)),ISNUMBER(MATCH(TRIM(RIGHT(SUBSTITUTE(TRIM(E69&amp;"")," ",REPT(" ",60)),60)),코드표!$F$2:$F$101,0))),INDEX(코드표!$K$2:$K$101,MATCH(LEFT(TRIM(E69&amp;""),FIND(" ",TRIM(E69&amp;""))-1),코드표!$J$2:$J$101,0))&amp;"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",TRIM(F69&amp;""))-1),코드표!$J$2:$J$101,0)),ISNUMBER(MATCH(TRIM(RIGHT(SUBSTITUTE(TRIM(F69&amp;"")," ",REPT(" ",60)),60)),코드표!$F$2:$F$101,0))),INDEX(코드표!$K$2:$K$101,MATCH(LEFT(TRIM(F69&amp;""),FIND(" ",TRIM(F69&amp;""))-1),코드표!$J$2:$J$101,0))&amp;"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",TRIM(G69&amp;""))-1),코드표!$J$2:$J$101,0)),ISNUMBER(MATCH(TRIM(RIGHT(SUBSTITUTE(TRIM(G69&amp;"")," ",REPT(" ",60)),60)),코드표!$F$2:$F$101,0))),INDEX(코드표!$K$2:$K$101,MATCH(LEFT(TRIM(G69&amp;""),FIND(" ",TRIM(G69&amp;""))-1),코드표!$J$2:$J$101,0))&amp;"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",TRIM(H69&amp;""))-1),코드표!$J$2:$J$101,0)),ISNUMBER(MATCH(TRIM(RIGHT(SUBSTITUTE(TRIM(H69&amp;"")," ",REPT(" ",60)),60)),코드표!$F$2:$F$101,0))),INDEX(코드표!$K$2:$K$101,MATCH(LEFT(TRIM(H69&amp;""),FIND(" ",TRIM(H69&amp;""))-1),코드표!$J$2:$J$101,0))&amp;"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",TRIM(I69&amp;""))-1),코드표!$J$2:$J$101,0)),ISNUMBER(MATCH(TRIM(RIGHT(SUBSTITUTE(TRIM(I69&amp;"")," ",REPT(" ",60)),60)),코드표!$F$2:$F$101,0))),INDEX(코드표!$K$2:$K$101,MATCH(LEFT(TRIM(I69&amp;""),FIND(" ",TRIM(I69&amp;""))-1),코드표!$J$2:$J$101,0))&amp;"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",TRIM(J69&amp;""))-1),코드표!$J$2:$J$101,0)),ISNUMBER(MATCH(TRIM(RIGHT(SUBSTITUTE(TRIM(J69&amp;"")," ",REPT(" ",60)),60)),코드표!$F$2:$F$101,0))),INDEX(코드표!$K$2:$K$101,MATCH(LEFT(TRIM(J69&amp;""),FIND(" ",TRIM(J69&amp;""))-1),코드표!$J$2:$J$101,0))&amp;"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",TRIM(E70&amp;""))-1),코드표!$J$2:$J$101,0)),ISNUMBER(MATCH(TRIM(RIGHT(SUBSTITUTE(TRIM(E70&amp;"")," ",REPT(" ",60)),60)),코드표!$F$2:$F$101,0))),INDEX(코드표!$K$2:$K$101,MATCH(LEFT(TRIM(E70&amp;""),FIND(" ",TRIM(E70&amp;""))-1),코드표!$J$2:$J$101,0))&amp;"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",TRIM(F70&amp;""))-1),코드표!$J$2:$J$101,0)),ISNUMBER(MATCH(TRIM(RIGHT(SUBSTITUTE(TRIM(F70&amp;"")," ",REPT(" ",60)),60)),코드표!$F$2:$F$101,0))),INDEX(코드표!$K$2:$K$101,MATCH(LEFT(TRIM(F70&amp;""),FIND(" ",TRIM(F70&amp;""))-1),코드표!$J$2:$J$101,0))&amp;"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",TRIM(G70&amp;""))-1),코드표!$J$2:$J$101,0)),ISNUMBER(MATCH(TRIM(RIGHT(SUBSTITUTE(TRIM(G70&amp;"")," ",REPT(" ",60)),60)),코드표!$F$2:$F$101,0))),INDEX(코드표!$K$2:$K$101,MATCH(LEFT(TRIM(G70&amp;""),FIND(" ",TRIM(G70&amp;""))-1),코드표!$J$2:$J$101,0))&amp;"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",TRIM(H70&amp;""))-1),코드표!$J$2:$J$101,0)),ISNUMBER(MATCH(TRIM(RIGHT(SUBSTITUTE(TRIM(H70&amp;"")," ",REPT(" ",60)),60)),코드표!$F$2:$F$101,0))),INDEX(코드표!$K$2:$K$101,MATCH(LEFT(TRIM(H70&amp;""),FIND(" ",TRIM(H70&amp;""))-1),코드표!$J$2:$J$101,0))&amp;"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",TRIM(I70&amp;""))-1),코드표!$J$2:$J$101,0)),ISNUMBER(MATCH(TRIM(RIGHT(SUBSTITUTE(TRIM(I70&amp;"")," ",REPT(" ",60)),60)),코드표!$F$2:$F$101,0))),INDEX(코드표!$K$2:$K$101,MATCH(LEFT(TRIM(I70&amp;""),FIND(" ",TRIM(I70&amp;""))-1),코드표!$J$2:$J$101,0))&amp;"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",TRIM(J70&amp;""))-1),코드표!$J$2:$J$101,0)),ISNUMBER(MATCH(TRIM(RIGHT(SUBSTITUTE(TRIM(J70&amp;"")," ",REPT(" ",60)),60)),코드표!$F$2:$F$101,0))),INDEX(코드표!$K$2:$K$101,MATCH(LEFT(TRIM(J70&amp;""),FIND(" ",TRIM(J70&amp;""))-1),코드표!$J$2:$J$101,0))&amp;"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",TRIM(E71&amp;""))-1),코드표!$J$2:$J$101,0)),ISNUMBER(MATCH(TRIM(RIGHT(SUBSTITUTE(TRIM(E71&amp;"")," ",REPT(" ",60)),60)),코드표!$F$2:$F$101,0))),INDEX(코드표!$K$2:$K$101,MATCH(LEFT(TRIM(E71&amp;""),FIND(" ",TRIM(E71&amp;""))-1),코드표!$J$2:$J$101,0))&amp;"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",TRIM(F71&amp;""))-1),코드표!$J$2:$J$101,0)),ISNUMBER(MATCH(TRIM(RIGHT(SUBSTITUTE(TRIM(F71&amp;"")," ",REPT(" ",60)),60)),코드표!$F$2:$F$101,0))),INDEX(코드표!$K$2:$K$101,MATCH(LEFT(TRIM(F71&amp;""),FIND(" ",TRIM(F71&amp;""))-1),코드표!$J$2:$J$101,0))&amp;"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",TRIM(G71&amp;""))-1),코드표!$J$2:$J$101,0)),ISNUMBER(MATCH(TRIM(RIGHT(SUBSTITUTE(TRIM(G71&amp;"")," ",REPT(" ",60)),60)),코드표!$F$2:$F$101,0))),INDEX(코드표!$K$2:$K$101,MATCH(LEFT(TRIM(G71&amp;""),FIND(" ",TRIM(G71&amp;""))-1),코드표!$J$2:$J$101,0))&amp;"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",TRIM(H71&amp;""))-1),코드표!$J$2:$J$101,0)),ISNUMBER(MATCH(TRIM(RIGHT(SUBSTITUTE(TRIM(H71&amp;"")," ",REPT(" ",60)),60)),코드표!$F$2:$F$101,0))),INDEX(코드표!$K$2:$K$101,MATCH(LEFT(TRIM(H71&amp;""),FIND(" ",TRIM(H71&amp;""))-1),코드표!$J$2:$J$101,0))&amp;"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",TRIM(I71&amp;""))-1),코드표!$J$2:$J$101,0)),ISNUMBER(MATCH(TRIM(RIGHT(SUBSTITUTE(TRIM(I71&amp;"")," ",REPT(" ",60)),60)),코드표!$F$2:$F$101,0))),INDEX(코드표!$K$2:$K$101,MATCH(LEFT(TRIM(I71&amp;""),FIND(" ",TRIM(I71&amp;""))-1),코드표!$J$2:$J$101,0))&amp;"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",TRIM(J71&amp;""))-1),코드표!$J$2:$J$101,0)),ISNUMBER(MATCH(TRIM(RIGHT(SUBSTITUTE(TRIM(J71&amp;"")," ",REPT(" ",60)),60)),코드표!$F$2:$F$101,0))),INDEX(코드표!$K$2:$K$101,MATCH(LEFT(TRIM(J71&amp;""),FIND(" ",TRIM(J71&amp;""))-1),코드표!$J$2:$J$101,0))&amp;"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",TRIM(E72&amp;""))-1),코드표!$J$2:$J$101,0)),ISNUMBER(MATCH(TRIM(RIGHT(SUBSTITUTE(TRIM(E72&amp;"")," ",REPT(" ",60)),60)),코드표!$F$2:$F$101,0))),INDEX(코드표!$K$2:$K$101,MATCH(LEFT(TRIM(E72&amp;""),FIND(" ",TRIM(E72&amp;""))-1),코드표!$J$2:$J$101,0))&amp;"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",TRIM(F72&amp;""))-1),코드표!$J$2:$J$101,0)),ISNUMBER(MATCH(TRIM(RIGHT(SUBSTITUTE(TRIM(F72&amp;"")," ",REPT(" ",60)),60)),코드표!$F$2:$F$101,0))),INDEX(코드표!$K$2:$K$101,MATCH(LEFT(TRIM(F72&amp;""),FIND(" ",TRIM(F72&amp;""))-1),코드표!$J$2:$J$101,0))&amp;"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",TRIM(G72&amp;""))-1),코드표!$J$2:$J$101,0)),ISNUMBER(MATCH(TRIM(RIGHT(SUBSTITUTE(TRIM(G72&amp;"")," ",REPT(" ",60)),60)),코드표!$F$2:$F$101,0))),INDEX(코드표!$K$2:$K$101,MATCH(LEFT(TRIM(G72&amp;""),FIND(" ",TRIM(G72&amp;""))-1),코드표!$J$2:$J$101,0))&amp;"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",TRIM(H72&amp;""))-1),코드표!$J$2:$J$101,0)),ISNUMBER(MATCH(TRIM(RIGHT(SUBSTITUTE(TRIM(H72&amp;"")," ",REPT(" ",60)),60)),코드표!$F$2:$F$101,0))),INDEX(코드표!$K$2:$K$101,MATCH(LEFT(TRIM(H72&amp;""),FIND(" ",TRIM(H72&amp;""))-1),코드표!$J$2:$J$101,0))&amp;"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",TRIM(I72&amp;""))-1),코드표!$J$2:$J$101,0)),ISNUMBER(MATCH(TRIM(RIGHT(SUBSTITUTE(TRIM(I72&amp;"")," ",REPT(" ",60)),60)),코드표!$F$2:$F$101,0))),INDEX(코드표!$K$2:$K$101,MATCH(LEFT(TRIM(I72&amp;""),FIND(" ",TRIM(I72&amp;""))-1),코드표!$J$2:$J$101,0))&amp;"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",TRIM(J72&amp;""))-1),코드표!$J$2:$J$101,0)),ISNUMBER(MATCH(TRIM(RIGHT(SUBSTITUTE(TRIM(J72&amp;"")," ",REPT(" ",60)),60)),코드표!$F$2:$F$101,0))),INDEX(코드표!$K$2:$K$101,MATCH(LEFT(TRIM(J72&amp;""),FIND(" ",TRIM(J72&amp;""))-1),코드표!$J$2:$J$101,0))&amp;"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",TRIM(E73&amp;""))-1),코드표!$J$2:$J$101,0)),ISNUMBER(MATCH(TRIM(RIGHT(SUBSTITUTE(TRIM(E73&amp;"")," ",REPT(" ",60)),60)),코드표!$F$2:$F$101,0))),INDEX(코드표!$K$2:$K$101,MATCH(LEFT(TRIM(E73&amp;""),FIND(" ",TRIM(E73&amp;""))-1),코드표!$J$2:$J$101,0))&amp;"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",TRIM(F73&amp;""))-1),코드표!$J$2:$J$101,0)),ISNUMBER(MATCH(TRIM(RIGHT(SUBSTITUTE(TRIM(F73&amp;"")," ",REPT(" ",60)),60)),코드표!$F$2:$F$101,0))),INDEX(코드표!$K$2:$K$101,MATCH(LEFT(TRIM(F73&amp;""),FIND(" ",TRIM(F73&amp;""))-1),코드표!$J$2:$J$101,0))&amp;"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",TRIM(G73&amp;""))-1),코드표!$J$2:$J$101,0)),ISNUMBER(MATCH(TRIM(RIGHT(SUBSTITUTE(TRIM(G73&amp;"")," ",REPT(" ",60)),60)),코드표!$F$2:$F$101,0))),INDEX(코드표!$K$2:$K$101,MATCH(LEFT(TRIM(G73&amp;""),FIND(" ",TRIM(G73&amp;""))-1),코드표!$J$2:$J$101,0))&amp;"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",TRIM(H73&amp;""))-1),코드표!$J$2:$J$101,0)),ISNUMBER(MATCH(TRIM(RIGHT(SUBSTITUTE(TRIM(H73&amp;"")," ",REPT(" ",60)),60)),코드표!$F$2:$F$101,0))),INDEX(코드표!$K$2:$K$101,MATCH(LEFT(TRIM(H73&amp;""),FIND(" ",TRIM(H73&amp;""))-1),코드표!$J$2:$J$101,0))&amp;"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",TRIM(I73&amp;""))-1),코드표!$J$2:$J$101,0)),ISNUMBER(MATCH(TRIM(RIGHT(SUBSTITUTE(TRIM(I73&amp;"")," ",REPT(" ",60)),60)),코드표!$F$2:$F$101,0))),INDEX(코드표!$K$2:$K$101,MATCH(LEFT(TRIM(I73&amp;""),FIND(" ",TRIM(I73&amp;""))-1),코드표!$J$2:$J$101,0))&amp;"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",TRIM(J73&amp;""))-1),코드표!$J$2:$J$101,0)),ISNUMBER(MATCH(TRIM(RIGHT(SUBSTITUTE(TRIM(J73&amp;"")," ",REPT(" ",60)),60)),코드표!$F$2:$F$101,0))),INDEX(코드표!$K$2:$K$101,MATCH(LEFT(TRIM(J73&amp;""),FIND(" ",TRIM(J73&amp;""))-1),코드표!$J$2:$J$101,0))&amp;"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",TRIM(E74&amp;""))-1),코드표!$J$2:$J$101,0)),ISNUMBER(MATCH(TRIM(RIGHT(SUBSTITUTE(TRIM(E74&amp;"")," ",REPT(" ",60)),60)),코드표!$F$2:$F$101,0))),INDEX(코드표!$K$2:$K$101,MATCH(LEFT(TRIM(E74&amp;""),FIND(" ",TRIM(E74&amp;""))-1),코드표!$J$2:$J$101,0))&amp;"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",TRIM(F74&amp;""))-1),코드표!$J$2:$J$101,0)),ISNUMBER(MATCH(TRIM(RIGHT(SUBSTITUTE(TRIM(F74&amp;"")," ",REPT(" ",60)),60)),코드표!$F$2:$F$101,0))),INDEX(코드표!$K$2:$K$101,MATCH(LEFT(TRIM(F74&amp;""),FIND(" ",TRIM(F74&amp;""))-1),코드표!$J$2:$J$101,0))&amp;"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",TRIM(G74&amp;""))-1),코드표!$J$2:$J$101,0)),ISNUMBER(MATCH(TRIM(RIGHT(SUBSTITUTE(TRIM(G74&amp;"")," ",REPT(" ",60)),60)),코드표!$F$2:$F$101,0))),INDEX(코드표!$K$2:$K$101,MATCH(LEFT(TRIM(G74&amp;""),FIND(" ",TRIM(G74&amp;""))-1),코드표!$J$2:$J$101,0))&amp;"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",TRIM(H74&amp;""))-1),코드표!$J$2:$J$101,0)),ISNUMBER(MATCH(TRIM(RIGHT(SUBSTITUTE(TRIM(H74&amp;"")," ",REPT(" ",60)),60)),코드표!$F$2:$F$101,0))),INDEX(코드표!$K$2:$K$101,MATCH(LEFT(TRIM(H74&amp;""),FIND(" ",TRIM(H74&amp;""))-1),코드표!$J$2:$J$101,0))&amp;"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",TRIM(I74&amp;""))-1),코드표!$J$2:$J$101,0)),ISNUMBER(MATCH(TRIM(RIGHT(SUBSTITUTE(TRIM(I74&amp;"")," ",REPT(" ",60)),60)),코드표!$F$2:$F$101,0))),INDEX(코드표!$K$2:$K$101,MATCH(LEFT(TRIM(I74&amp;""),FIND(" ",TRIM(I74&amp;""))-1),코드표!$J$2:$J$101,0))&amp;"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",TRIM(J74&amp;""))-1),코드표!$J$2:$J$101,0)),ISNUMBER(MATCH(TRIM(RIGHT(SUBSTITUTE(TRIM(J74&amp;"")," ",REPT(" ",60)),60)),코드표!$F$2:$F$101,0))),INDEX(코드표!$K$2:$K$101,MATCH(LEFT(TRIM(J74&amp;""),FIND(" ",TRIM(J74&amp;""))-1),코드표!$J$2:$J$101,0))&amp;"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",TRIM(E75&amp;""))-1),코드표!$J$2:$J$101,0)),ISNUMBER(MATCH(TRIM(RIGHT(SUBSTITUTE(TRIM(E75&amp;"")," ",REPT(" ",60)),60)),코드표!$F$2:$F$101,0))),INDEX(코드표!$K$2:$K$101,MATCH(LEFT(TRIM(E75&amp;""),FIND(" ",TRIM(E75&amp;""))-1),코드표!$J$2:$J$101,0))&amp;"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",TRIM(F75&amp;""))-1),코드표!$J$2:$J$101,0)),ISNUMBER(MATCH(TRIM(RIGHT(SUBSTITUTE(TRIM(F75&amp;"")," ",REPT(" ",60)),60)),코드표!$F$2:$F$101,0))),INDEX(코드표!$K$2:$K$101,MATCH(LEFT(TRIM(F75&amp;""),FIND(" ",TRIM(F75&amp;""))-1),코드표!$J$2:$J$101,0))&amp;"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",TRIM(G75&amp;""))-1),코드표!$J$2:$J$101,0)),ISNUMBER(MATCH(TRIM(RIGHT(SUBSTITUTE(TRIM(G75&amp;"")," ",REPT(" ",60)),60)),코드표!$F$2:$F$101,0))),INDEX(코드표!$K$2:$K$101,MATCH(LEFT(TRIM(G75&amp;""),FIND(" ",TRIM(G75&amp;""))-1),코드표!$J$2:$J$101,0))&amp;"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",TRIM(H75&amp;""))-1),코드표!$J$2:$J$101,0)),ISNUMBER(MATCH(TRIM(RIGHT(SUBSTITUTE(TRIM(H75&amp;"")," ",REPT(" ",60)),60)),코드표!$F$2:$F$101,0))),INDEX(코드표!$K$2:$K$101,MATCH(LEFT(TRIM(H75&amp;""),FIND(" ",TRIM(H75&amp;""))-1),코드표!$J$2:$J$101,0))&amp;"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",TRIM(I75&amp;""))-1),코드표!$J$2:$J$101,0)),ISNUMBER(MATCH(TRIM(RIGHT(SUBSTITUTE(TRIM(I75&amp;"")," ",REPT(" ",60)),60)),코드표!$F$2:$F$101,0))),INDEX(코드표!$K$2:$K$101,MATCH(LEFT(TRIM(I75&amp;""),FIND(" ",TRIM(I75&amp;""))-1),코드표!$J$2:$J$101,0))&amp;"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",TRIM(J75&amp;""))-1),코드표!$J$2:$J$101,0)),ISNUMBER(MATCH(TRIM(RIGHT(SUBSTITUTE(TRIM(J75&amp;"")," ",REPT(" ",60)),60)),코드표!$F$2:$F$101,0))),INDEX(코드표!$K$2:$K$101,MATCH(LEFT(TRIM(J75&amp;""),FIND(" ",TRIM(J75&amp;""))-1),코드표!$J$2:$J$101,0))&amp;"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",TRIM(E76&amp;""))-1),코드표!$J$2:$J$101,0)),ISNUMBER(MATCH(TRIM(RIGHT(SUBSTITUTE(TRIM(E76&amp;"")," ",REPT(" ",60)),60)),코드표!$F$2:$F$101,0))),INDEX(코드표!$K$2:$K$101,MATCH(LEFT(TRIM(E76&amp;""),FIND(" ",TRIM(E76&amp;""))-1),코드표!$J$2:$J$101,0))&amp;"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",TRIM(F76&amp;""))-1),코드표!$J$2:$J$101,0)),ISNUMBER(MATCH(TRIM(RIGHT(SUBSTITUTE(TRIM(F76&amp;"")," ",REPT(" ",60)),60)),코드표!$F$2:$F$101,0))),INDEX(코드표!$K$2:$K$101,MATCH(LEFT(TRIM(F76&amp;""),FIND(" ",TRIM(F76&amp;""))-1),코드표!$J$2:$J$101,0))&amp;"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",TRIM(G76&amp;""))-1),코드표!$J$2:$J$101,0)),ISNUMBER(MATCH(TRIM(RIGHT(SUBSTITUTE(TRIM(G76&amp;"")," ",REPT(" ",60)),60)),코드표!$F$2:$F$101,0))),INDEX(코드표!$K$2:$K$101,MATCH(LEFT(TRIM(G76&amp;""),FIND(" ",TRIM(G76&amp;""))-1),코드표!$J$2:$J$101,0))&amp;"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",TRIM(H76&amp;""))-1),코드표!$J$2:$J$101,0)),ISNUMBER(MATCH(TRIM(RIGHT(SUBSTITUTE(TRIM(H76&amp;"")," ",REPT(" ",60)),60)),코드표!$F$2:$F$101,0))),INDEX(코드표!$K$2:$K$101,MATCH(LEFT(TRIM(H76&amp;""),FIND(" ",TRIM(H76&amp;""))-1),코드표!$J$2:$J$101,0))&amp;"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",TRIM(I76&amp;""))-1),코드표!$J$2:$J$101,0)),ISNUMBER(MATCH(TRIM(RIGHT(SUBSTITUTE(TRIM(I76&amp;"")," ",REPT(" ",60)),60)),코드표!$F$2:$F$101,0))),INDEX(코드표!$K$2:$K$101,MATCH(LEFT(TRIM(I76&amp;""),FIND(" ",TRIM(I76&amp;""))-1),코드표!$J$2:$J$101,0))&amp;"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",TRIM(J76&amp;""))-1),코드표!$J$2:$J$101,0)),ISNUMBER(MATCH(TRIM(RIGHT(SUBSTITUTE(TRIM(J76&amp;"")," ",REPT(" ",60)),60)),코드표!$F$2:$F$101,0))),INDEX(코드표!$K$2:$K$101,MATCH(LEFT(TRIM(J76&amp;""),FIND(" ",TRIM(J76&amp;""))-1),코드표!$J$2:$J$101,0))&amp;"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",TRIM(E77&amp;""))-1),코드표!$J$2:$J$101,0)),ISNUMBER(MATCH(TRIM(RIGHT(SUBSTITUTE(TRIM(E77&amp;"")," ",REPT(" ",60)),60)),코드표!$F$2:$F$101,0))),INDEX(코드표!$K$2:$K$101,MATCH(LEFT(TRIM(E77&amp;""),FIND(" ",TRIM(E77&amp;""))-1),코드표!$J$2:$J$101,0))&amp;"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",TRIM(F77&amp;""))-1),코드표!$J$2:$J$101,0)),ISNUMBER(MATCH(TRIM(RIGHT(SUBSTITUTE(TRIM(F77&amp;"")," ",REPT(" ",60)),60)),코드표!$F$2:$F$101,0))),INDEX(코드표!$K$2:$K$101,MATCH(LEFT(TRIM(F77&amp;""),FIND(" ",TRIM(F77&amp;""))-1),코드표!$J$2:$J$101,0))&amp;"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",TRIM(G77&amp;""))-1),코드표!$J$2:$J$101,0)),ISNUMBER(MATCH(TRIM(RIGHT(SUBSTITUTE(TRIM(G77&amp;"")," ",REPT(" ",60)),60)),코드표!$F$2:$F$101,0))),INDEX(코드표!$K$2:$K$101,MATCH(LEFT(TRIM(G77&amp;""),FIND(" ",TRIM(G77&amp;""))-1),코드표!$J$2:$J$101,0))&amp;"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",TRIM(H77&amp;""))-1),코드표!$J$2:$J$101,0)),ISNUMBER(MATCH(TRIM(RIGHT(SUBSTITUTE(TRIM(H77&amp;"")," ",REPT(" ",60)),60)),코드표!$F$2:$F$101,0))),INDEX(코드표!$K$2:$K$101,MATCH(LEFT(TRIM(H77&amp;""),FIND(" ",TRIM(H77&amp;""))-1),코드표!$J$2:$J$101,0))&amp;"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",TRIM(I77&amp;""))-1),코드표!$J$2:$J$101,0)),ISNUMBER(MATCH(TRIM(RIGHT(SUBSTITUTE(TRIM(I77&amp;"")," ",REPT(" ",60)),60)),코드표!$F$2:$F$101,0))),INDEX(코드표!$K$2:$K$101,MATCH(LEFT(TRIM(I77&amp;""),FIND(" ",TRIM(I77&amp;""))-1),코드표!$J$2:$J$101,0))&amp;"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",TRIM(J77&amp;""))-1),코드표!$J$2:$J$101,0)),ISNUMBER(MATCH(TRIM(RIGHT(SUBSTITUTE(TRIM(J77&amp;"")," ",REPT(" ",60)),60)),코드표!$F$2:$F$101,0))),INDEX(코드표!$K$2:$K$101,MATCH(LEFT(TRIM(J77&amp;""),FIND(" ",TRIM(J77&amp;""))-1),코드표!$J$2:$J$101,0))&amp;"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",TRIM(E78&amp;""))-1),코드표!$J$2:$J$101,0)),ISNUMBER(MATCH(TRIM(RIGHT(SUBSTITUTE(TRIM(E78&amp;"")," ",REPT(" ",60)),60)),코드표!$F$2:$F$101,0))),INDEX(코드표!$K$2:$K$101,MATCH(LEFT(TRIM(E78&amp;""),FIND(" ",TRIM(E78&amp;""))-1),코드표!$J$2:$J$101,0))&amp;"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",TRIM(F78&amp;""))-1),코드표!$J$2:$J$101,0)),ISNUMBER(MATCH(TRIM(RIGHT(SUBSTITUTE(TRIM(F78&amp;"")," ",REPT(" ",60)),60)),코드표!$F$2:$F$101,0))),INDEX(코드표!$K$2:$K$101,MATCH(LEFT(TRIM(F78&amp;""),FIND(" ",TRIM(F78&amp;""))-1),코드표!$J$2:$J$101,0))&amp;"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",TRIM(G78&amp;""))-1),코드표!$J$2:$J$101,0)),ISNUMBER(MATCH(TRIM(RIGHT(SUBSTITUTE(TRIM(G78&amp;"")," ",REPT(" ",60)),60)),코드표!$F$2:$F$101,0))),INDEX(코드표!$K$2:$K$101,MATCH(LEFT(TRIM(G78&amp;""),FIND(" ",TRIM(G78&amp;""))-1),코드표!$J$2:$J$101,0))&amp;"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",TRIM(H78&amp;""))-1),코드표!$J$2:$J$101,0)),ISNUMBER(MATCH(TRIM(RIGHT(SUBSTITUTE(TRIM(H78&amp;"")," ",REPT(" ",60)),60)),코드표!$F$2:$F$101,0))),INDEX(코드표!$K$2:$K$101,MATCH(LEFT(TRIM(H78&amp;""),FIND(" ",TRIM(H78&amp;""))-1),코드표!$J$2:$J$101,0))&amp;"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",TRIM(I78&amp;""))-1),코드표!$J$2:$J$101,0)),ISNUMBER(MATCH(TRIM(RIGHT(SUBSTITUTE(TRIM(I78&amp;"")," ",REPT(" ",60)),60)),코드표!$F$2:$F$101,0))),INDEX(코드표!$K$2:$K$101,MATCH(LEFT(TRIM(I78&amp;""),FIND(" ",TRIM(I78&amp;""))-1),코드표!$J$2:$J$101,0))&amp;"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",TRIM(J78&amp;""))-1),코드표!$J$2:$J$101,0)),ISNUMBER(MATCH(TRIM(RIGHT(SUBSTITUTE(TRIM(J78&amp;"")," ",REPT(" ",60)),60)),코드표!$F$2:$F$101,0))),INDEX(코드표!$K$2:$K$101,MATCH(LEFT(TRIM(J78&amp;""),FIND(" ",TRIM(J78&amp;""))-1),코드표!$J$2:$J$101,0))&amp;"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",TRIM(E79&amp;""))-1),코드표!$J$2:$J$101,0)),ISNUMBER(MATCH(TRIM(RIGHT(SUBSTITUTE(TRIM(E79&amp;"")," ",REPT(" ",60)),60)),코드표!$F$2:$F$101,0))),INDEX(코드표!$K$2:$K$101,MATCH(LEFT(TRIM(E79&amp;""),FIND(" ",TRIM(E79&amp;""))-1),코드표!$J$2:$J$101,0))&amp;"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",TRIM(F79&amp;""))-1),코드표!$J$2:$J$101,0)),ISNUMBER(MATCH(TRIM(RIGHT(SUBSTITUTE(TRIM(F79&amp;"")," ",REPT(" ",60)),60)),코드표!$F$2:$F$101,0))),INDEX(코드표!$K$2:$K$101,MATCH(LEFT(TRIM(F79&amp;""),FIND(" ",TRIM(F79&amp;""))-1),코드표!$J$2:$J$101,0))&amp;"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",TRIM(G79&amp;""))-1),코드표!$J$2:$J$101,0)),ISNUMBER(MATCH(TRIM(RIGHT(SUBSTITUTE(TRIM(G79&amp;"")," ",REPT(" ",60)),60)),코드표!$F$2:$F$101,0))),INDEX(코드표!$K$2:$K$101,MATCH(LEFT(TRIM(G79&amp;""),FIND(" ",TRIM(G79&amp;""))-1),코드표!$J$2:$J$101,0))&amp;"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",TRIM(H79&amp;""))-1),코드표!$J$2:$J$101,0)),ISNUMBER(MATCH(TRIM(RIGHT(SUBSTITUTE(TRIM(H79&amp;"")," ",REPT(" ",60)),60)),코드표!$F$2:$F$101,0))),INDEX(코드표!$K$2:$K$101,MATCH(LEFT(TRIM(H79&amp;""),FIND(" ",TRIM(H79&amp;""))-1),코드표!$J$2:$J$101,0))&amp;"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",TRIM(I79&amp;""))-1),코드표!$J$2:$J$101,0)),ISNUMBER(MATCH(TRIM(RIGHT(SUBSTITUTE(TRIM(I79&amp;"")," ",REPT(" ",60)),60)),코드표!$F$2:$F$101,0))),INDEX(코드표!$K$2:$K$101,MATCH(LEFT(TRIM(I79&amp;""),FIND(" ",TRIM(I79&amp;""))-1),코드표!$J$2:$J$101,0))&amp;"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",TRIM(J79&amp;""))-1),코드표!$J$2:$J$101,0)),ISNUMBER(MATCH(TRIM(RIGHT(SUBSTITUTE(TRIM(J79&amp;"")," ",REPT(" ",60)),60)),코드표!$F$2:$F$101,0))),INDEX(코드표!$K$2:$K$101,MATCH(LEFT(TRIM(J79&amp;""),FIND(" ",TRIM(J79&amp;""))-1),코드표!$J$2:$J$101,0))&amp;"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",TRIM(E80&amp;""))-1),코드표!$J$2:$J$101,0)),ISNUMBER(MATCH(TRIM(RIGHT(SUBSTITUTE(TRIM(E80&amp;"")," ",REPT(" ",60)),60)),코드표!$F$2:$F$101,0))),INDEX(코드표!$K$2:$K$101,MATCH(LEFT(TRIM(E80&amp;""),FIND(" ",TRIM(E80&amp;""))-1),코드표!$J$2:$J$101,0))&amp;"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",TRIM(F80&amp;""))-1),코드표!$J$2:$J$101,0)),ISNUMBER(MATCH(TRIM(RIGHT(SUBSTITUTE(TRIM(F80&amp;"")," ",REPT(" ",60)),60)),코드표!$F$2:$F$101,0))),INDEX(코드표!$K$2:$K$101,MATCH(LEFT(TRIM(F80&amp;""),FIND(" ",TRIM(F80&amp;""))-1),코드표!$J$2:$J$101,0))&amp;"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",TRIM(G80&amp;""))-1),코드표!$J$2:$J$101,0)),ISNUMBER(MATCH(TRIM(RIGHT(SUBSTITUTE(TRIM(G80&amp;"")," ",REPT(" ",60)),60)),코드표!$F$2:$F$101,0))),INDEX(코드표!$K$2:$K$101,MATCH(LEFT(TRIM(G80&amp;""),FIND(" ",TRIM(G80&amp;""))-1),코드표!$J$2:$J$101,0))&amp;"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",TRIM(H80&amp;""))-1),코드표!$J$2:$J$101,0)),ISNUMBER(MATCH(TRIM(RIGHT(SUBSTITUTE(TRIM(H80&amp;"")," ",REPT(" ",60)),60)),코드표!$F$2:$F$101,0))),INDEX(코드표!$K$2:$K$101,MATCH(LEFT(TRIM(H80&amp;""),FIND(" ",TRIM(H80&amp;""))-1),코드표!$J$2:$J$101,0))&amp;"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",TRIM(I80&amp;""))-1),코드표!$J$2:$J$101,0)),ISNUMBER(MATCH(TRIM(RIGHT(SUBSTITUTE(TRIM(I80&amp;"")," ",REPT(" ",60)),60)),코드표!$F$2:$F$101,0))),INDEX(코드표!$K$2:$K$101,MATCH(LEFT(TRIM(I80&amp;""),FIND(" ",TRIM(I80&amp;""))-1),코드표!$J$2:$J$101,0))&amp;"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",TRIM(J80&amp;""))-1),코드표!$J$2:$J$101,0)),ISNUMBER(MATCH(TRIM(RIGHT(SUBSTITUTE(TRIM(J80&amp;"")," ",REPT(" ",60)),60)),코드표!$F$2:$F$101,0))),INDEX(코드표!$K$2:$K$101,MATCH(LEFT(TRIM(J80&amp;""),FIND(" ",TRIM(J80&amp;""))-1),코드표!$J$2:$J$101,0))&amp;"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",TRIM(E81&amp;""))-1),코드표!$J$2:$J$101,0)),ISNUMBER(MATCH(TRIM(RIGHT(SUBSTITUTE(TRIM(E81&amp;"")," ",REPT(" ",60)),60)),코드표!$F$2:$F$101,0))),INDEX(코드표!$K$2:$K$101,MATCH(LEFT(TRIM(E81&amp;""),FIND(" ",TRIM(E81&amp;""))-1),코드표!$J$2:$J$101,0))&amp;"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",TRIM(F81&amp;""))-1),코드표!$J$2:$J$101,0)),ISNUMBER(MATCH(TRIM(RIGHT(SUBSTITUTE(TRIM(F81&amp;"")," ",REPT(" ",60)),60)),코드표!$F$2:$F$101,0))),INDEX(코드표!$K$2:$K$101,MATCH(LEFT(TRIM(F81&amp;""),FIND(" ",TRIM(F81&amp;""))-1),코드표!$J$2:$J$101,0))&amp;"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",TRIM(G81&amp;""))-1),코드표!$J$2:$J$101,0)),ISNUMBER(MATCH(TRIM(RIGHT(SUBSTITUTE(TRIM(G81&amp;"")," ",REPT(" ",60)),60)),코드표!$F$2:$F$101,0))),INDEX(코드표!$K$2:$K$101,MATCH(LEFT(TRIM(G81&amp;""),FIND(" ",TRIM(G81&amp;""))-1),코드표!$J$2:$J$101,0))&amp;"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",TRIM(H81&amp;""))-1),코드표!$J$2:$J$101,0)),ISNUMBER(MATCH(TRIM(RIGHT(SUBSTITUTE(TRIM(H81&amp;"")," ",REPT(" ",60)),60)),코드표!$F$2:$F$101,0))),INDEX(코드표!$K$2:$K$101,MATCH(LEFT(TRIM(H81&amp;""),FIND(" ",TRIM(H81&amp;""))-1),코드표!$J$2:$J$101,0))&amp;"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",TRIM(I81&amp;""))-1),코드표!$J$2:$J$101,0)),ISNUMBER(MATCH(TRIM(RIGHT(SUBSTITUTE(TRIM(I81&amp;"")," ",REPT(" ",60)),60)),코드표!$F$2:$F$101,0))),INDEX(코드표!$K$2:$K$101,MATCH(LEFT(TRIM(I81&amp;""),FIND(" ",TRIM(I81&amp;""))-1),코드표!$J$2:$J$101,0))&amp;"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",TRIM(J81&amp;""))-1),코드표!$J$2:$J$101,0)),ISNUMBER(MATCH(TRIM(RIGHT(SUBSTITUTE(TRIM(J81&amp;"")," ",REPT(" ",60)),60)),코드표!$F$2:$F$101,0))),INDEX(코드표!$K$2:$K$101,MATCH(LEFT(TRIM(J81&amp;""),FIND(" ",TRIM(J81&amp;""))-1),코드표!$J$2:$J$101,0))&amp;"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",TRIM(E82&amp;""))-1),코드표!$J$2:$J$101,0)),ISNUMBER(MATCH(TRIM(RIGHT(SUBSTITUTE(TRIM(E82&amp;"")," ",REPT(" ",60)),60)),코드표!$F$2:$F$101,0))),INDEX(코드표!$K$2:$K$101,MATCH(LEFT(TRIM(E82&amp;""),FIND(" ",TRIM(E82&amp;""))-1),코드표!$J$2:$J$101,0))&amp;"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",TRIM(F82&amp;""))-1),코드표!$J$2:$J$101,0)),ISNUMBER(MATCH(TRIM(RIGHT(SUBSTITUTE(TRIM(F82&amp;"")," ",REPT(" ",60)),60)),코드표!$F$2:$F$101,0))),INDEX(코드표!$K$2:$K$101,MATCH(LEFT(TRIM(F82&amp;""),FIND(" ",TRIM(F82&amp;""))-1),코드표!$J$2:$J$101,0))&amp;"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",TRIM(G82&amp;""))-1),코드표!$J$2:$J$101,0)),ISNUMBER(MATCH(TRIM(RIGHT(SUBSTITUTE(TRIM(G82&amp;"")," ",REPT(" ",60)),60)),코드표!$F$2:$F$101,0))),INDEX(코드표!$K$2:$K$101,MATCH(LEFT(TRIM(G82&amp;""),FIND(" ",TRIM(G82&amp;""))-1),코드표!$J$2:$J$101,0))&amp;"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",TRIM(H82&amp;""))-1),코드표!$J$2:$J$101,0)),ISNUMBER(MATCH(TRIM(RIGHT(SUBSTITUTE(TRIM(H82&amp;"")," ",REPT(" ",60)),60)),코드표!$F$2:$F$101,0))),INDEX(코드표!$K$2:$K$101,MATCH(LEFT(TRIM(H82&amp;""),FIND(" ",TRIM(H82&amp;""))-1),코드표!$J$2:$J$101,0))&amp;"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",TRIM(I82&amp;""))-1),코드표!$J$2:$J$101,0)),ISNUMBER(MATCH(TRIM(RIGHT(SUBSTITUTE(TRIM(I82&amp;"")," ",REPT(" ",60)),60)),코드표!$F$2:$F$101,0))),INDEX(코드표!$K$2:$K$101,MATCH(LEFT(TRIM(I82&amp;""),FIND(" ",TRIM(I82&amp;""))-1),코드표!$J$2:$J$101,0))&amp;"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",TRIM(J82&amp;""))-1),코드표!$J$2:$J$101,0)),ISNUMBER(MATCH(TRIM(RIGHT(SUBSTITUTE(TRIM(J82&amp;"")," ",REPT(" ",60)),60)),코드표!$F$2:$F$101,0))),INDEX(코드표!$K$2:$K$101,MATCH(LEFT(TRIM(J82&amp;""),FIND(" ",TRIM(J82&amp;""))-1),코드표!$J$2:$J$101,0))&amp;"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",TRIM(E83&amp;""))-1),코드표!$J$2:$J$101,0)),ISNUMBER(MATCH(TRIM(RIGHT(SUBSTITUTE(TRIM(E83&amp;"")," ",REPT(" ",60)),60)),코드표!$F$2:$F$101,0))),INDEX(코드표!$K$2:$K$101,MATCH(LEFT(TRIM(E83&amp;""),FIND(" ",TRIM(E83&amp;""))-1),코드표!$J$2:$J$101,0))&amp;"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",TRIM(F83&amp;""))-1),코드표!$J$2:$J$101,0)),ISNUMBER(MATCH(TRIM(RIGHT(SUBSTITUTE(TRIM(F83&amp;"")," ",REPT(" ",60)),60)),코드표!$F$2:$F$101,0))),INDEX(코드표!$K$2:$K$101,MATCH(LEFT(TRIM(F83&amp;""),FIND(" ",TRIM(F83&amp;""))-1),코드표!$J$2:$J$101,0))&amp;"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",TRIM(G83&amp;""))-1),코드표!$J$2:$J$101,0)),ISNUMBER(MATCH(TRIM(RIGHT(SUBSTITUTE(TRIM(G83&amp;"")," ",REPT(" ",60)),60)),코드표!$F$2:$F$101,0))),INDEX(코드표!$K$2:$K$101,MATCH(LEFT(TRIM(G83&amp;""),FIND(" ",TRIM(G83&amp;""))-1),코드표!$J$2:$J$101,0))&amp;"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",TRIM(H83&amp;""))-1),코드표!$J$2:$J$101,0)),ISNUMBER(MATCH(TRIM(RIGHT(SUBSTITUTE(TRIM(H83&amp;"")," ",REPT(" ",60)),60)),코드표!$F$2:$F$101,0))),INDEX(코드표!$K$2:$K$101,MATCH(LEFT(TRIM(H83&amp;""),FIND(" ",TRIM(H83&amp;""))-1),코드표!$J$2:$J$101,0))&amp;"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",TRIM(I83&amp;""))-1),코드표!$J$2:$J$101,0)),ISNUMBER(MATCH(TRIM(RIGHT(SUBSTITUTE(TRIM(I83&amp;"")," ",REPT(" ",60)),60)),코드표!$F$2:$F$101,0))),INDEX(코드표!$K$2:$K$101,MATCH(LEFT(TRIM(I83&amp;""),FIND(" ",TRIM(I83&amp;""))-1),코드표!$J$2:$J$101,0))&amp;"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",TRIM(J83&amp;""))-1),코드표!$J$2:$J$101,0)),ISNUMBER(MATCH(TRIM(RIGHT(SUBSTITUTE(TRIM(J83&amp;"")," ",REPT(" ",60)),60)),코드표!$F$2:$F$101,0))),INDEX(코드표!$K$2:$K$101,MATCH(LEFT(TRIM(J83&amp;""),FIND(" ",TRIM(J83&amp;""))-1),코드표!$J$2:$J$101,0))&amp;"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",TRIM(E84&amp;""))-1),코드표!$J$2:$J$101,0)),ISNUMBER(MATCH(TRIM(RIGHT(SUBSTITUTE(TRIM(E84&amp;"")," ",REPT(" ",60)),60)),코드표!$F$2:$F$101,0))),INDEX(코드표!$K$2:$K$101,MATCH(LEFT(TRIM(E84&amp;""),FIND(" ",TRIM(E84&amp;""))-1),코드표!$J$2:$J$101,0))&amp;"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",TRIM(F84&amp;""))-1),코드표!$J$2:$J$101,0)),ISNUMBER(MATCH(TRIM(RIGHT(SUBSTITUTE(TRIM(F84&amp;"")," ",REPT(" ",60)),60)),코드표!$F$2:$F$101,0))),INDEX(코드표!$K$2:$K$101,MATCH(LEFT(TRIM(F84&amp;""),FIND(" ",TRIM(F84&amp;""))-1),코드표!$J$2:$J$101,0))&amp;"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",TRIM(G84&amp;""))-1),코드표!$J$2:$J$101,0)),ISNUMBER(MATCH(TRIM(RIGHT(SUBSTITUTE(TRIM(G84&amp;"")," ",REPT(" ",60)),60)),코드표!$F$2:$F$101,0))),INDEX(코드표!$K$2:$K$101,MATCH(LEFT(TRIM(G84&amp;""),FIND(" ",TRIM(G84&amp;""))-1),코드표!$J$2:$J$101,0))&amp;"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",TRIM(H84&amp;""))-1),코드표!$J$2:$J$101,0)),ISNUMBER(MATCH(TRIM(RIGHT(SUBSTITUTE(TRIM(H84&amp;"")," ",REPT(" ",60)),60)),코드표!$F$2:$F$101,0))),INDEX(코드표!$K$2:$K$101,MATCH(LEFT(TRIM(H84&amp;""),FIND(" ",TRIM(H84&amp;""))-1),코드표!$J$2:$J$101,0))&amp;"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",TRIM(I84&amp;""))-1),코드표!$J$2:$J$101,0)),ISNUMBER(MATCH(TRIM(RIGHT(SUBSTITUTE(TRIM(I84&amp;"")," ",REPT(" ",60)),60)),코드표!$F$2:$F$101,0))),INDEX(코드표!$K$2:$K$101,MATCH(LEFT(TRIM(I84&amp;""),FIND(" ",TRIM(I84&amp;""))-1),코드표!$J$2:$J$101,0))&amp;"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",TRIM(J84&amp;""))-1),코드표!$J$2:$J$101,0)),ISNUMBER(MATCH(TRIM(RIGHT(SUBSTITUTE(TRIM(J84&amp;"")," ",REPT(" ",60)),60)),코드표!$F$2:$F$101,0))),INDEX(코드표!$K$2:$K$101,MATCH(LEFT(TRIM(J84&amp;""),FIND(" ",TRIM(J84&amp;""))-1),코드표!$J$2:$J$101,0))&amp;"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",TRIM(E85&amp;""))-1),코드표!$J$2:$J$101,0)),ISNUMBER(MATCH(TRIM(RIGHT(SUBSTITUTE(TRIM(E85&amp;"")," ",REPT(" ",60)),60)),코드표!$F$2:$F$101,0))),INDEX(코드표!$K$2:$K$101,MATCH(LEFT(TRIM(E85&amp;""),FIND(" ",TRIM(E85&amp;""))-1),코드표!$J$2:$J$101,0))&amp;"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",TRIM(F85&amp;""))-1),코드표!$J$2:$J$101,0)),ISNUMBER(MATCH(TRIM(RIGHT(SUBSTITUTE(TRIM(F85&amp;"")," ",REPT(" ",60)),60)),코드표!$F$2:$F$101,0))),INDEX(코드표!$K$2:$K$101,MATCH(LEFT(TRIM(F85&amp;""),FIND(" ",TRIM(F85&amp;""))-1),코드표!$J$2:$J$101,0))&amp;"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",TRIM(G85&amp;""))-1),코드표!$J$2:$J$101,0)),ISNUMBER(MATCH(TRIM(RIGHT(SUBSTITUTE(TRIM(G85&amp;"")," ",REPT(" ",60)),60)),코드표!$F$2:$F$101,0))),INDEX(코드표!$K$2:$K$101,MATCH(LEFT(TRIM(G85&amp;""),FIND(" ",TRIM(G85&amp;""))-1),코드표!$J$2:$J$101,0))&amp;"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",TRIM(H85&amp;""))-1),코드표!$J$2:$J$101,0)),ISNUMBER(MATCH(TRIM(RIGHT(SUBSTITUTE(TRIM(H85&amp;"")," ",REPT(" ",60)),60)),코드표!$F$2:$F$101,0))),INDEX(코드표!$K$2:$K$101,MATCH(LEFT(TRIM(H85&amp;""),FIND(" ",TRIM(H85&amp;""))-1),코드표!$J$2:$J$101,0))&amp;"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",TRIM(I85&amp;""))-1),코드표!$J$2:$J$101,0)),ISNUMBER(MATCH(TRIM(RIGHT(SUBSTITUTE(TRIM(I85&amp;"")," ",REPT(" ",60)),60)),코드표!$F$2:$F$101,0))),INDEX(코드표!$K$2:$K$101,MATCH(LEFT(TRIM(I85&amp;""),FIND(" ",TRIM(I85&amp;""))-1),코드표!$J$2:$J$101,0))&amp;"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",TRIM(J85&amp;""))-1),코드표!$J$2:$J$101,0)),ISNUMBER(MATCH(TRIM(RIGHT(SUBSTITUTE(TRIM(J85&amp;"")," ",REPT(" ",60)),60)),코드표!$F$2:$F$101,0))),INDEX(코드표!$K$2:$K$101,MATCH(LEFT(TRIM(J85&amp;""),FIND(" ",TRIM(J85&amp;""))-1),코드표!$J$2:$J$101,0))&amp;"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",TRIM(E86&amp;""))-1),코드표!$J$2:$J$101,0)),ISNUMBER(MATCH(TRIM(RIGHT(SUBSTITUTE(TRIM(E86&amp;"")," ",REPT(" ",60)),60)),코드표!$F$2:$F$101,0))),INDEX(코드표!$K$2:$K$101,MATCH(LEFT(TRIM(E86&amp;""),FIND(" ",TRIM(E86&amp;""))-1),코드표!$J$2:$J$101,0))&amp;"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",TRIM(F86&amp;""))-1),코드표!$J$2:$J$101,0)),ISNUMBER(MATCH(TRIM(RIGHT(SUBSTITUTE(TRIM(F86&amp;"")," ",REPT(" ",60)),60)),코드표!$F$2:$F$101,0))),INDEX(코드표!$K$2:$K$101,MATCH(LEFT(TRIM(F86&amp;""),FIND(" ",TRIM(F86&amp;""))-1),코드표!$J$2:$J$101,0))&amp;"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",TRIM(G86&amp;""))-1),코드표!$J$2:$J$101,0)),ISNUMBER(MATCH(TRIM(RIGHT(SUBSTITUTE(TRIM(G86&amp;"")," ",REPT(" ",60)),60)),코드표!$F$2:$F$101,0))),INDEX(코드표!$K$2:$K$101,MATCH(LEFT(TRIM(G86&amp;""),FIND(" ",TRIM(G86&amp;""))-1),코드표!$J$2:$J$101,0))&amp;"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",TRIM(H86&amp;""))-1),코드표!$J$2:$J$101,0)),ISNUMBER(MATCH(TRIM(RIGHT(SUBSTITUTE(TRIM(H86&amp;"")," ",REPT(" ",60)),60)),코드표!$F$2:$F$101,0))),INDEX(코드표!$K$2:$K$101,MATCH(LEFT(TRIM(H86&amp;""),FIND(" ",TRIM(H86&amp;""))-1),코드표!$J$2:$J$101,0))&amp;"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",TRIM(I86&amp;""))-1),코드표!$J$2:$J$101,0)),ISNUMBER(MATCH(TRIM(RIGHT(SUBSTITUTE(TRIM(I86&amp;"")," ",REPT(" ",60)),60)),코드표!$F$2:$F$101,0))),INDEX(코드표!$K$2:$K$101,MATCH(LEFT(TRIM(I86&amp;""),FIND(" ",TRIM(I86&amp;""))-1),코드표!$J$2:$J$101,0))&amp;"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",TRIM(J86&amp;""))-1),코드표!$J$2:$J$101,0)),ISNUMBER(MATCH(TRIM(RIGHT(SUBSTITUTE(TRIM(J86&amp;"")," ",REPT(" ",60)),60)),코드표!$F$2:$F$101,0))),INDEX(코드표!$K$2:$K$101,MATCH(LEFT(TRIM(J86&amp;""),FIND(" ",TRIM(J86&amp;""))-1),코드표!$J$2:$J$101,0))&amp;"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",TRIM(E87&amp;""))-1),코드표!$J$2:$J$101,0)),ISNUMBER(MATCH(TRIM(RIGHT(SUBSTITUTE(TRIM(E87&amp;"")," ",REPT(" ",60)),60)),코드표!$F$2:$F$101,0))),INDEX(코드표!$K$2:$K$101,MATCH(LEFT(TRIM(E87&amp;""),FIND(" ",TRIM(E87&amp;""))-1),코드표!$J$2:$J$101,0))&amp;"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",TRIM(F87&amp;""))-1),코드표!$J$2:$J$101,0)),ISNUMBER(MATCH(TRIM(RIGHT(SUBSTITUTE(TRIM(F87&amp;"")," ",REPT(" ",60)),60)),코드표!$F$2:$F$101,0))),INDEX(코드표!$K$2:$K$101,MATCH(LEFT(TRIM(F87&amp;""),FIND(" ",TRIM(F87&amp;""))-1),코드표!$J$2:$J$101,0))&amp;"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",TRIM(G87&amp;""))-1),코드표!$J$2:$J$101,0)),ISNUMBER(MATCH(TRIM(RIGHT(SUBSTITUTE(TRIM(G87&amp;"")," ",REPT(" ",60)),60)),코드표!$F$2:$F$101,0))),INDEX(코드표!$K$2:$K$101,MATCH(LEFT(TRIM(G87&amp;""),FIND(" ",TRIM(G87&amp;""))-1),코드표!$J$2:$J$101,0))&amp;"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",TRIM(H87&amp;""))-1),코드표!$J$2:$J$101,0)),ISNUMBER(MATCH(TRIM(RIGHT(SUBSTITUTE(TRIM(H87&amp;"")," ",REPT(" ",60)),60)),코드표!$F$2:$F$101,0))),INDEX(코드표!$K$2:$K$101,MATCH(LEFT(TRIM(H87&amp;""),FIND(" ",TRIM(H87&amp;""))-1),코드표!$J$2:$J$101,0))&amp;"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",TRIM(I87&amp;""))-1),코드표!$J$2:$J$101,0)),ISNUMBER(MATCH(TRIM(RIGHT(SUBSTITUTE(TRIM(I87&amp;"")," ",REPT(" ",60)),60)),코드표!$F$2:$F$101,0))),INDEX(코드표!$K$2:$K$101,MATCH(LEFT(TRIM(I87&amp;""),FIND(" ",TRIM(I87&amp;""))-1),코드표!$J$2:$J$101,0))&amp;"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",TRIM(J87&amp;""))-1),코드표!$J$2:$J$101,0)),ISNUMBER(MATCH(TRIM(RIGHT(SUBSTITUTE(TRIM(J87&amp;"")," ",REPT(" ",60)),60)),코드표!$F$2:$F$101,0))),INDEX(코드표!$K$2:$K$101,MATCH(LEFT(TRIM(J87&amp;""),FIND(" ",TRIM(J87&amp;""))-1),코드표!$J$2:$J$101,0))&amp;"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",TRIM(E88&amp;""))-1),코드표!$J$2:$J$101,0)),ISNUMBER(MATCH(TRIM(RIGHT(SUBSTITUTE(TRIM(E88&amp;"")," ",REPT(" ",60)),60)),코드표!$F$2:$F$101,0))),INDEX(코드표!$K$2:$K$101,MATCH(LEFT(TRIM(E88&amp;""),FIND(" ",TRIM(E88&amp;""))-1),코드표!$J$2:$J$101,0))&amp;"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",TRIM(F88&amp;""))-1),코드표!$J$2:$J$101,0)),ISNUMBER(MATCH(TRIM(RIGHT(SUBSTITUTE(TRIM(F88&amp;"")," ",REPT(" ",60)),60)),코드표!$F$2:$F$101,0))),INDEX(코드표!$K$2:$K$101,MATCH(LEFT(TRIM(F88&amp;""),FIND(" ",TRIM(F88&amp;""))-1),코드표!$J$2:$J$101,0))&amp;"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",TRIM(G88&amp;""))-1),코드표!$J$2:$J$101,0)),ISNUMBER(MATCH(TRIM(RIGHT(SUBSTITUTE(TRIM(G88&amp;"")," ",REPT(" ",60)),60)),코드표!$F$2:$F$101,0))),INDEX(코드표!$K$2:$K$101,MATCH(LEFT(TRIM(G88&amp;""),FIND(" ",TRIM(G88&amp;""))-1),코드표!$J$2:$J$101,0))&amp;"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",TRIM(H88&amp;""))-1),코드표!$J$2:$J$101,0)),ISNUMBER(MATCH(TRIM(RIGHT(SUBSTITUTE(TRIM(H88&amp;"")," ",REPT(" ",60)),60)),코드표!$F$2:$F$101,0))),INDEX(코드표!$K$2:$K$101,MATCH(LEFT(TRIM(H88&amp;""),FIND(" ",TRIM(H88&amp;""))-1),코드표!$J$2:$J$101,0))&amp;"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",TRIM(I88&amp;""))-1),코드표!$J$2:$J$101,0)),ISNUMBER(MATCH(TRIM(RIGHT(SUBSTITUTE(TRIM(I88&amp;"")," ",REPT(" ",60)),60)),코드표!$F$2:$F$101,0))),INDEX(코드표!$K$2:$K$101,MATCH(LEFT(TRIM(I88&amp;""),FIND(" ",TRIM(I88&amp;""))-1),코드표!$J$2:$J$101,0))&amp;"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",TRIM(J88&amp;""))-1),코드표!$J$2:$J$101,0)),ISNUMBER(MATCH(TRIM(RIGHT(SUBSTITUTE(TRIM(J88&amp;"")," ",REPT(" ",60)),60)),코드표!$F$2:$F$101,0))),INDEX(코드표!$K$2:$K$101,MATCH(LEFT(TRIM(J88&amp;""),FIND(" ",TRIM(J88&amp;""))-1),코드표!$J$2:$J$101,0))&amp;"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",TRIM(E89&amp;""))-1),코드표!$J$2:$J$101,0)),ISNUMBER(MATCH(TRIM(RIGHT(SUBSTITUTE(TRIM(E89&amp;"")," ",REPT(" ",60)),60)),코드표!$F$2:$F$101,0))),INDEX(코드표!$K$2:$K$101,MATCH(LEFT(TRIM(E89&amp;""),FIND(" ",TRIM(E89&amp;""))-1),코드표!$J$2:$J$101,0))&amp;"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",TRIM(F89&amp;""))-1),코드표!$J$2:$J$101,0)),ISNUMBER(MATCH(TRIM(RIGHT(SUBSTITUTE(TRIM(F89&amp;"")," ",REPT(" ",60)),60)),코드표!$F$2:$F$101,0))),INDEX(코드표!$K$2:$K$101,MATCH(LEFT(TRIM(F89&amp;""),FIND(" ",TRIM(F89&amp;""))-1),코드표!$J$2:$J$101,0))&amp;"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",TRIM(G89&amp;""))-1),코드표!$J$2:$J$101,0)),ISNUMBER(MATCH(TRIM(RIGHT(SUBSTITUTE(TRIM(G89&amp;"")," ",REPT(" ",60)),60)),코드표!$F$2:$F$101,0))),INDEX(코드표!$K$2:$K$101,MATCH(LEFT(TRIM(G89&amp;""),FIND(" ",TRIM(G89&amp;""))-1),코드표!$J$2:$J$101,0))&amp;"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",TRIM(H89&amp;""))-1),코드표!$J$2:$J$101,0)),ISNUMBER(MATCH(TRIM(RIGHT(SUBSTITUTE(TRIM(H89&amp;"")," ",REPT(" ",60)),60)),코드표!$F$2:$F$101,0))),INDEX(코드표!$K$2:$K$101,MATCH(LEFT(TRIM(H89&amp;""),FIND(" ",TRIM(H89&amp;""))-1),코드표!$J$2:$J$101,0))&amp;"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",TRIM(I89&amp;""))-1),코드표!$J$2:$J$101,0)),ISNUMBER(MATCH(TRIM(RIGHT(SUBSTITUTE(TRIM(I89&amp;"")," ",REPT(" ",60)),60)),코드표!$F$2:$F$101,0))),INDEX(코드표!$K$2:$K$101,MATCH(LEFT(TRIM(I89&amp;""),FIND(" ",TRIM(I89&amp;""))-1),코드표!$J$2:$J$101,0))&amp;"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",TRIM(J89&amp;""))-1),코드표!$J$2:$J$101,0)),ISNUMBER(MATCH(TRIM(RIGHT(SUBSTITUTE(TRIM(J89&amp;"")," ",REPT(" ",60)),60)),코드표!$F$2:$F$101,0))),INDEX(코드표!$K$2:$K$101,MATCH(LEFT(TRIM(J89&amp;""),FIND(" ",TRIM(J89&amp;""))-1),코드표!$J$2:$J$101,0))&amp;"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",TRIM(E90&amp;""))-1),코드표!$J$2:$J$101,0)),ISNUMBER(MATCH(TRIM(RIGHT(SUBSTITUTE(TRIM(E90&amp;"")," ",REPT(" ",60)),60)),코드표!$F$2:$F$101,0))),INDEX(코드표!$K$2:$K$101,MATCH(LEFT(TRIM(E90&amp;""),FIND(" ",TRIM(E90&amp;""))-1),코드표!$J$2:$J$101,0))&amp;"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",TRIM(F90&amp;""))-1),코드표!$J$2:$J$101,0)),ISNUMBER(MATCH(TRIM(RIGHT(SUBSTITUTE(TRIM(F90&amp;"")," ",REPT(" ",60)),60)),코드표!$F$2:$F$101,0))),INDEX(코드표!$K$2:$K$101,MATCH(LEFT(TRIM(F90&amp;""),FIND(" ",TRIM(F90&amp;""))-1),코드표!$J$2:$J$101,0))&amp;"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",TRIM(G90&amp;""))-1),코드표!$J$2:$J$101,0)),ISNUMBER(MATCH(TRIM(RIGHT(SUBSTITUTE(TRIM(G90&amp;"")," ",REPT(" ",60)),60)),코드표!$F$2:$F$101,0))),INDEX(코드표!$K$2:$K$101,MATCH(LEFT(TRIM(G90&amp;""),FIND(" ",TRIM(G90&amp;""))-1),코드표!$J$2:$J$101,0))&amp;"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",TRIM(H90&amp;""))-1),코드표!$J$2:$J$101,0)),ISNUMBER(MATCH(TRIM(RIGHT(SUBSTITUTE(TRIM(H90&amp;"")," ",REPT(" ",60)),60)),코드표!$F$2:$F$101,0))),INDEX(코드표!$K$2:$K$101,MATCH(LEFT(TRIM(H90&amp;""),FIND(" ",TRIM(H90&amp;""))-1),코드표!$J$2:$J$101,0))&amp;"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",TRIM(I90&amp;""))-1),코드표!$J$2:$J$101,0)),ISNUMBER(MATCH(TRIM(RIGHT(SUBSTITUTE(TRIM(I90&amp;"")," ",REPT(" ",60)),60)),코드표!$F$2:$F$101,0))),INDEX(코드표!$K$2:$K$101,MATCH(LEFT(TRIM(I90&amp;""),FIND(" ",TRIM(I90&amp;""))-1),코드표!$J$2:$J$101,0))&amp;"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",TRIM(J90&amp;""))-1),코드표!$J$2:$J$101,0)),ISNUMBER(MATCH(TRIM(RIGHT(SUBSTITUTE(TRIM(J90&amp;"")," ",REPT(" ",60)),60)),코드표!$F$2:$F$101,0))),INDEX(코드표!$K$2:$K$101,MATCH(LEFT(TRIM(J90&amp;""),FIND(" ",TRIM(J90&amp;""))-1),코드표!$J$2:$J$101,0))&amp;"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",TRIM(E91&amp;""))-1),코드표!$J$2:$J$101,0)),ISNUMBER(MATCH(TRIM(RIGHT(SUBSTITUTE(TRIM(E91&amp;"")," ",REPT(" ",60)),60)),코드표!$F$2:$F$101,0))),INDEX(코드표!$K$2:$K$101,MATCH(LEFT(TRIM(E91&amp;""),FIND(" ",TRIM(E91&amp;""))-1),코드표!$J$2:$J$101,0))&amp;"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",TRIM(F91&amp;""))-1),코드표!$J$2:$J$101,0)),ISNUMBER(MATCH(TRIM(RIGHT(SUBSTITUTE(TRIM(F91&amp;"")," ",REPT(" ",60)),60)),코드표!$F$2:$F$101,0))),INDEX(코드표!$K$2:$K$101,MATCH(LEFT(TRIM(F91&amp;""),FIND(" ",TRIM(F91&amp;""))-1),코드표!$J$2:$J$101,0))&amp;"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",TRIM(G91&amp;""))-1),코드표!$J$2:$J$101,0)),ISNUMBER(MATCH(TRIM(RIGHT(SUBSTITUTE(TRIM(G91&amp;"")," ",REPT(" ",60)),60)),코드표!$F$2:$F$101,0))),INDEX(코드표!$K$2:$K$101,MATCH(LEFT(TRIM(G91&amp;""),FIND(" ",TRIM(G91&amp;""))-1),코드표!$J$2:$J$101,0))&amp;"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",TRIM(H91&amp;""))-1),코드표!$J$2:$J$101,0)),ISNUMBER(MATCH(TRIM(RIGHT(SUBSTITUTE(TRIM(H91&amp;"")," ",REPT(" ",60)),60)),코드표!$F$2:$F$101,0))),INDEX(코드표!$K$2:$K$101,MATCH(LEFT(TRIM(H91&amp;""),FIND(" ",TRIM(H91&amp;""))-1),코드표!$J$2:$J$101,0))&amp;"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",TRIM(I91&amp;""))-1),코드표!$J$2:$J$101,0)),ISNUMBER(MATCH(TRIM(RIGHT(SUBSTITUTE(TRIM(I91&amp;"")," ",REPT(" ",60)),60)),코드표!$F$2:$F$101,0))),INDEX(코드표!$K$2:$K$101,MATCH(LEFT(TRIM(I91&amp;""),FIND(" ",TRIM(I91&amp;""))-1),코드표!$J$2:$J$101,0))&amp;"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",TRIM(J91&amp;""))-1),코드표!$J$2:$J$101,0)),ISNUMBER(MATCH(TRIM(RIGHT(SUBSTITUTE(TRIM(J91&amp;"")," ",REPT(" ",60)),60)),코드표!$F$2:$F$101,0))),INDEX(코드표!$K$2:$K$101,MATCH(LEFT(TRIM(J91&amp;""),FIND(" ",TRIM(J91&amp;""))-1),코드표!$J$2:$J$101,0))&amp;"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",TRIM(E92&amp;""))-1),코드표!$J$2:$J$101,0)),ISNUMBER(MATCH(TRIM(RIGHT(SUBSTITUTE(TRIM(E92&amp;"")," ",REPT(" ",60)),60)),코드표!$F$2:$F$101,0))),INDEX(코드표!$K$2:$K$101,MATCH(LEFT(TRIM(E92&amp;""),FIND(" ",TRIM(E92&amp;""))-1),코드표!$J$2:$J$101,0))&amp;"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",TRIM(F92&amp;""))-1),코드표!$J$2:$J$101,0)),ISNUMBER(MATCH(TRIM(RIGHT(SUBSTITUTE(TRIM(F92&amp;"")," ",REPT(" ",60)),60)),코드표!$F$2:$F$101,0))),INDEX(코드표!$K$2:$K$101,MATCH(LEFT(TRIM(F92&amp;""),FIND(" ",TRIM(F92&amp;""))-1),코드표!$J$2:$J$101,0))&amp;"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",TRIM(G92&amp;""))-1),코드표!$J$2:$J$101,0)),ISNUMBER(MATCH(TRIM(RIGHT(SUBSTITUTE(TRIM(G92&amp;"")," ",REPT(" ",60)),60)),코드표!$F$2:$F$101,0))),INDEX(코드표!$K$2:$K$101,MATCH(LEFT(TRIM(G92&amp;""),FIND(" ",TRIM(G92&amp;""))-1),코드표!$J$2:$J$101,0))&amp;"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",TRIM(H92&amp;""))-1),코드표!$J$2:$J$101,0)),ISNUMBER(MATCH(TRIM(RIGHT(SUBSTITUTE(TRIM(H92&amp;"")," ",REPT(" ",60)),60)),코드표!$F$2:$F$101,0))),INDEX(코드표!$K$2:$K$101,MATCH(LEFT(TRIM(H92&amp;""),FIND(" ",TRIM(H92&amp;""))-1),코드표!$J$2:$J$101,0))&amp;"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",TRIM(I92&amp;""))-1),코드표!$J$2:$J$101,0)),ISNUMBER(MATCH(TRIM(RIGHT(SUBSTITUTE(TRIM(I92&amp;"")," ",REPT(" ",60)),60)),코드표!$F$2:$F$101,0))),INDEX(코드표!$K$2:$K$101,MATCH(LEFT(TRIM(I92&amp;""),FIND(" ",TRIM(I92&amp;""))-1),코드표!$J$2:$J$101,0))&amp;"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",TRIM(J92&amp;""))-1),코드표!$J$2:$J$101,0)),ISNUMBER(MATCH(TRIM(RIGHT(SUBSTITUTE(TRIM(J92&amp;"")," ",REPT(" ",60)),60)),코드표!$F$2:$F$101,0))),INDEX(코드표!$K$2:$K$101,MATCH(LEFT(TRIM(J92&amp;""),FIND(" ",TRIM(J92&amp;""))-1),코드표!$J$2:$J$101,0))&amp;"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",TRIM(E93&amp;""))-1),코드표!$J$2:$J$101,0)),ISNUMBER(MATCH(TRIM(RIGHT(SUBSTITUTE(TRIM(E93&amp;"")," ",REPT(" ",60)),60)),코드표!$F$2:$F$101,0))),INDEX(코드표!$K$2:$K$101,MATCH(LEFT(TRIM(E93&amp;""),FIND(" ",TRIM(E93&amp;""))-1),코드표!$J$2:$J$101,0))&amp;"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",TRIM(F93&amp;""))-1),코드표!$J$2:$J$101,0)),ISNUMBER(MATCH(TRIM(RIGHT(SUBSTITUTE(TRIM(F93&amp;"")," ",REPT(" ",60)),60)),코드표!$F$2:$F$101,0))),INDEX(코드표!$K$2:$K$101,MATCH(LEFT(TRIM(F93&amp;""),FIND(" ",TRIM(F93&amp;""))-1),코드표!$J$2:$J$101,0))&amp;"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",TRIM(G93&amp;""))-1),코드표!$J$2:$J$101,0)),ISNUMBER(MATCH(TRIM(RIGHT(SUBSTITUTE(TRIM(G93&amp;"")," ",REPT(" ",60)),60)),코드표!$F$2:$F$101,0))),INDEX(코드표!$K$2:$K$101,MATCH(LEFT(TRIM(G93&amp;""),FIND(" ",TRIM(G93&amp;""))-1),코드표!$J$2:$J$101,0))&amp;"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",TRIM(H93&amp;""))-1),코드표!$J$2:$J$101,0)),ISNUMBER(MATCH(TRIM(RIGHT(SUBSTITUTE(TRIM(H93&amp;"")," ",REPT(" ",60)),60)),코드표!$F$2:$F$101,0))),INDEX(코드표!$K$2:$K$101,MATCH(LEFT(TRIM(H93&amp;""),FIND(" ",TRIM(H93&amp;""))-1),코드표!$J$2:$J$101,0))&amp;"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",TRIM(I93&amp;""))-1),코드표!$J$2:$J$101,0)),ISNUMBER(MATCH(TRIM(RIGHT(SUBSTITUTE(TRIM(I93&amp;"")," ",REPT(" ",60)),60)),코드표!$F$2:$F$101,0))),INDEX(코드표!$K$2:$K$101,MATCH(LEFT(TRIM(I93&amp;""),FIND(" ",TRIM(I93&amp;""))-1),코드표!$J$2:$J$101,0))&amp;"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",TRIM(J93&amp;""))-1),코드표!$J$2:$J$101,0)),ISNUMBER(MATCH(TRIM(RIGHT(SUBSTITUTE(TRIM(J93&amp;"")," ",REPT(" ",60)),60)),코드표!$F$2:$F$101,0))),INDEX(코드표!$K$2:$K$101,MATCH(LEFT(TRIM(J93&amp;""),FIND(" ",TRIM(J93&amp;""))-1),코드표!$J$2:$J$101,0))&amp;"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",TRIM(E94&amp;""))-1),코드표!$J$2:$J$101,0)),ISNUMBER(MATCH(TRIM(RIGHT(SUBSTITUTE(TRIM(E94&amp;"")," ",REPT(" ",60)),60)),코드표!$F$2:$F$101,0))),INDEX(코드표!$K$2:$K$101,MATCH(LEFT(TRIM(E94&amp;""),FIND(" ",TRIM(E94&amp;""))-1),코드표!$J$2:$J$101,0))&amp;"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",TRIM(F94&amp;""))-1),코드표!$J$2:$J$101,0)),ISNUMBER(MATCH(TRIM(RIGHT(SUBSTITUTE(TRIM(F94&amp;"")," ",REPT(" ",60)),60)),코드표!$F$2:$F$101,0))),INDEX(코드표!$K$2:$K$101,MATCH(LEFT(TRIM(F94&amp;""),FIND(" ",TRIM(F94&amp;""))-1),코드표!$J$2:$J$101,0))&amp;"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",TRIM(G94&amp;""))-1),코드표!$J$2:$J$101,0)),ISNUMBER(MATCH(TRIM(RIGHT(SUBSTITUTE(TRIM(G94&amp;"")," ",REPT(" ",60)),60)),코드표!$F$2:$F$101,0))),INDEX(코드표!$K$2:$K$101,MATCH(LEFT(TRIM(G94&amp;""),FIND(" ",TRIM(G94&amp;""))-1),코드표!$J$2:$J$101,0))&amp;"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",TRIM(H94&amp;""))-1),코드표!$J$2:$J$101,0)),ISNUMBER(MATCH(TRIM(RIGHT(SUBSTITUTE(TRIM(H94&amp;"")," ",REPT(" ",60)),60)),코드표!$F$2:$F$101,0))),INDEX(코드표!$K$2:$K$101,MATCH(LEFT(TRIM(H94&amp;""),FIND(" ",TRIM(H94&amp;""))-1),코드표!$J$2:$J$101,0))&amp;"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",TRIM(I94&amp;""))-1),코드표!$J$2:$J$101,0)),ISNUMBER(MATCH(TRIM(RIGHT(SUBSTITUTE(TRIM(I94&amp;"")," ",REPT(" ",60)),60)),코드표!$F$2:$F$101,0))),INDEX(코드표!$K$2:$K$101,MATCH(LEFT(TRIM(I94&amp;""),FIND(" ",TRIM(I94&amp;""))-1),코드표!$J$2:$J$101,0))&amp;"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",TRIM(J94&amp;""))-1),코드표!$J$2:$J$101,0)),ISNUMBER(MATCH(TRIM(RIGHT(SUBSTITUTE(TRIM(J94&amp;"")," ",REPT(" ",60)),60)),코드표!$F$2:$F$101,0))),INDEX(코드표!$K$2:$K$101,MATCH(LEFT(TRIM(J94&amp;""),FIND(" ",TRIM(J94&amp;""))-1),코드표!$J$2:$J$101,0))&amp;"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",TRIM(E95&amp;""))-1),코드표!$J$2:$J$101,0)),ISNUMBER(MATCH(TRIM(RIGHT(SUBSTITUTE(TRIM(E95&amp;"")," ",REPT(" ",60)),60)),코드표!$F$2:$F$101,0))),INDEX(코드표!$K$2:$K$101,MATCH(LEFT(TRIM(E95&amp;""),FIND(" ",TRIM(E95&amp;""))-1),코드표!$J$2:$J$101,0))&amp;"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",TRIM(F95&amp;""))-1),코드표!$J$2:$J$101,0)),ISNUMBER(MATCH(TRIM(RIGHT(SUBSTITUTE(TRIM(F95&amp;"")," ",REPT(" ",60)),60)),코드표!$F$2:$F$101,0))),INDEX(코드표!$K$2:$K$101,MATCH(LEFT(TRIM(F95&amp;""),FIND(" ",TRIM(F95&amp;""))-1),코드표!$J$2:$J$101,0))&amp;"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",TRIM(G95&amp;""))-1),코드표!$J$2:$J$101,0)),ISNUMBER(MATCH(TRIM(RIGHT(SUBSTITUTE(TRIM(G95&amp;"")," ",REPT(" ",60)),60)),코드표!$F$2:$F$101,0))),INDEX(코드표!$K$2:$K$101,MATCH(LEFT(TRIM(G95&amp;""),FIND(" ",TRIM(G95&amp;""))-1),코드표!$J$2:$J$101,0))&amp;"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",TRIM(H95&amp;""))-1),코드표!$J$2:$J$101,0)),ISNUMBER(MATCH(TRIM(RIGHT(SUBSTITUTE(TRIM(H95&amp;"")," ",REPT(" ",60)),60)),코드표!$F$2:$F$101,0))),INDEX(코드표!$K$2:$K$101,MATCH(LEFT(TRIM(H95&amp;""),FIND(" ",TRIM(H95&amp;""))-1),코드표!$J$2:$J$101,0))&amp;"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",TRIM(I95&amp;""))-1),코드표!$J$2:$J$101,0)),ISNUMBER(MATCH(TRIM(RIGHT(SUBSTITUTE(TRIM(I95&amp;"")," ",REPT(" ",60)),60)),코드표!$F$2:$F$101,0))),INDEX(코드표!$K$2:$K$101,MATCH(LEFT(TRIM(I95&amp;""),FIND(" ",TRIM(I95&amp;""))-1),코드표!$J$2:$J$101,0))&amp;"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",TRIM(J95&amp;""))-1),코드표!$J$2:$J$101,0)),ISNUMBER(MATCH(TRIM(RIGHT(SUBSTITUTE(TRIM(J95&amp;"")," ",REPT(" ",60)),60)),코드표!$F$2:$F$101,0))),INDEX(코드표!$K$2:$K$101,MATCH(LEFT(TRIM(J95&amp;""),FIND(" ",TRIM(J95&amp;""))-1),코드표!$J$2:$J$101,0))&amp;"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",TRIM(E96&amp;""))-1),코드표!$J$2:$J$101,0)),ISNUMBER(MATCH(TRIM(RIGHT(SUBSTITUTE(TRIM(E96&amp;"")," ",REPT(" ",60)),60)),코드표!$F$2:$F$101,0))),INDEX(코드표!$K$2:$K$101,MATCH(LEFT(TRIM(E96&amp;""),FIND(" ",TRIM(E96&amp;""))-1),코드표!$J$2:$J$101,0))&amp;"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",TRIM(F96&amp;""))-1),코드표!$J$2:$J$101,0)),ISNUMBER(MATCH(TRIM(RIGHT(SUBSTITUTE(TRIM(F96&amp;"")," ",REPT(" ",60)),60)),코드표!$F$2:$F$101,0))),INDEX(코드표!$K$2:$K$101,MATCH(LEFT(TRIM(F96&amp;""),FIND(" ",TRIM(F96&amp;""))-1),코드표!$J$2:$J$101,0))&amp;"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",TRIM(G96&amp;""))-1),코드표!$J$2:$J$101,0)),ISNUMBER(MATCH(TRIM(RIGHT(SUBSTITUTE(TRIM(G96&amp;"")," ",REPT(" ",60)),60)),코드표!$F$2:$F$101,0))),INDEX(코드표!$K$2:$K$101,MATCH(LEFT(TRIM(G96&amp;""),FIND(" ",TRIM(G96&amp;""))-1),코드표!$J$2:$J$101,0))&amp;"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",TRIM(H96&amp;""))-1),코드표!$J$2:$J$101,0)),ISNUMBER(MATCH(TRIM(RIGHT(SUBSTITUTE(TRIM(H96&amp;"")," ",REPT(" ",60)),60)),코드표!$F$2:$F$101,0))),INDEX(코드표!$K$2:$K$101,MATCH(LEFT(TRIM(H96&amp;""),FIND(" ",TRIM(H96&amp;""))-1),코드표!$J$2:$J$101,0))&amp;"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",TRIM(I96&amp;""))-1),코드표!$J$2:$J$101,0)),ISNUMBER(MATCH(TRIM(RIGHT(SUBSTITUTE(TRIM(I96&amp;"")," ",REPT(" ",60)),60)),코드표!$F$2:$F$101,0))),INDEX(코드표!$K$2:$K$101,MATCH(LEFT(TRIM(I96&amp;""),FIND(" ",TRIM(I96&amp;""))-1),코드표!$J$2:$J$101,0))&amp;"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",TRIM(J96&amp;""))-1),코드표!$J$2:$J$101,0)),ISNUMBER(MATCH(TRIM(RIGHT(SUBSTITUTE(TRIM(J96&amp;"")," ",REPT(" ",60)),60)),코드표!$F$2:$F$101,0))),INDEX(코드표!$K$2:$K$101,MATCH(LEFT(TRIM(J96&amp;""),FIND(" ",TRIM(J96&amp;""))-1),코드표!$J$2:$J$101,0))&amp;"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",TRIM(E97&amp;""))-1),코드표!$J$2:$J$101,0)),ISNUMBER(MATCH(TRIM(RIGHT(SUBSTITUTE(TRIM(E97&amp;"")," ",REPT(" ",60)),60)),코드표!$F$2:$F$101,0))),INDEX(코드표!$K$2:$K$101,MATCH(LEFT(TRIM(E97&amp;""),FIND(" ",TRIM(E97&amp;""))-1),코드표!$J$2:$J$101,0))&amp;"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",TRIM(F97&amp;""))-1),코드표!$J$2:$J$101,0)),ISNUMBER(MATCH(TRIM(RIGHT(SUBSTITUTE(TRIM(F97&amp;"")," ",REPT(" ",60)),60)),코드표!$F$2:$F$101,0))),INDEX(코드표!$K$2:$K$101,MATCH(LEFT(TRIM(F97&amp;""),FIND(" ",TRIM(F97&amp;""))-1),코드표!$J$2:$J$101,0))&amp;"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",TRIM(G97&amp;""))-1),코드표!$J$2:$J$101,0)),ISNUMBER(MATCH(TRIM(RIGHT(SUBSTITUTE(TRIM(G97&amp;"")," ",REPT(" ",60)),60)),코드표!$F$2:$F$101,0))),INDEX(코드표!$K$2:$K$101,MATCH(LEFT(TRIM(G97&amp;""),FIND(" ",TRIM(G97&amp;""))-1),코드표!$J$2:$J$101,0))&amp;"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",TRIM(H97&amp;""))-1),코드표!$J$2:$J$101,0)),ISNUMBER(MATCH(TRIM(RIGHT(SUBSTITUTE(TRIM(H97&amp;"")," ",REPT(" ",60)),60)),코드표!$F$2:$F$101,0))),INDEX(코드표!$K$2:$K$101,MATCH(LEFT(TRIM(H97&amp;""),FIND(" ",TRIM(H97&amp;""))-1),코드표!$J$2:$J$101,0))&amp;"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",TRIM(I97&amp;""))-1),코드표!$J$2:$J$101,0)),ISNUMBER(MATCH(TRIM(RIGHT(SUBSTITUTE(TRIM(I97&amp;"")," ",REPT(" ",60)),60)),코드표!$F$2:$F$101,0))),INDEX(코드표!$K$2:$K$101,MATCH(LEFT(TRIM(I97&amp;""),FIND(" ",TRIM(I97&amp;""))-1),코드표!$J$2:$J$101,0))&amp;"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",TRIM(J97&amp;""))-1),코드표!$J$2:$J$101,0)),ISNUMBER(MATCH(TRIM(RIGHT(SUBSTITUTE(TRIM(J97&amp;"")," ",REPT(" ",60)),60)),코드표!$F$2:$F$101,0))),INDEX(코드표!$K$2:$K$101,MATCH(LEFT(TRIM(J97&amp;""),FIND(" ",TRIM(J97&amp;""))-1),코드표!$J$2:$J$101,0))&amp;"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",TRIM(E98&amp;""))-1),코드표!$J$2:$J$101,0)),ISNUMBER(MATCH(TRIM(RIGHT(SUBSTITUTE(TRIM(E98&amp;"")," ",REPT(" ",60)),60)),코드표!$F$2:$F$101,0))),INDEX(코드표!$K$2:$K$101,MATCH(LEFT(TRIM(E98&amp;""),FIND(" ",TRIM(E98&amp;""))-1),코드표!$J$2:$J$101,0))&amp;"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",TRIM(F98&amp;""))-1),코드표!$J$2:$J$101,0)),ISNUMBER(MATCH(TRIM(RIGHT(SUBSTITUTE(TRIM(F98&amp;"")," ",REPT(" ",60)),60)),코드표!$F$2:$F$101,0))),INDEX(코드표!$K$2:$K$101,MATCH(LEFT(TRIM(F98&amp;""),FIND(" ",TRIM(F98&amp;""))-1),코드표!$J$2:$J$101,0))&amp;"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",TRIM(G98&amp;""))-1),코드표!$J$2:$J$101,0)),ISNUMBER(MATCH(TRIM(RIGHT(SUBSTITUTE(TRIM(G98&amp;"")," ",REPT(" ",60)),60)),코드표!$F$2:$F$101,0))),INDEX(코드표!$K$2:$K$101,MATCH(LEFT(TRIM(G98&amp;""),FIND(" ",TRIM(G98&amp;""))-1),코드표!$J$2:$J$101,0))&amp;"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",TRIM(H98&amp;""))-1),코드표!$J$2:$J$101,0)),ISNUMBER(MATCH(TRIM(RIGHT(SUBSTITUTE(TRIM(H98&amp;"")," ",REPT(" ",60)),60)),코드표!$F$2:$F$101,0))),INDEX(코드표!$K$2:$K$101,MATCH(LEFT(TRIM(H98&amp;""),FIND(" ",TRIM(H98&amp;""))-1),코드표!$J$2:$J$101,0))&amp;"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",TRIM(I98&amp;""))-1),코드표!$J$2:$J$101,0)),ISNUMBER(MATCH(TRIM(RIGHT(SUBSTITUTE(TRIM(I98&amp;"")," ",REPT(" ",60)),60)),코드표!$F$2:$F$101,0))),INDEX(코드표!$K$2:$K$101,MATCH(LEFT(TRIM(I98&amp;""),FIND(" ",TRIM(I98&amp;""))-1),코드표!$J$2:$J$101,0))&amp;"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",TRIM(J98&amp;""))-1),코드표!$J$2:$J$101,0)),ISNUMBER(MATCH(TRIM(RIGHT(SUBSTITUTE(TRIM(J98&amp;"")," ",REPT(" ",60)),60)),코드표!$F$2:$F$101,0))),INDEX(코드표!$K$2:$K$101,MATCH(LEFT(TRIM(J98&amp;""),FIND(" ",TRIM(J98&amp;""))-1),코드표!$J$2:$J$101,0))&amp;"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",TRIM(E99&amp;""))-1),코드표!$J$2:$J$101,0)),ISNUMBER(MATCH(TRIM(RIGHT(SUBSTITUTE(TRIM(E99&amp;"")," ",REPT(" ",60)),60)),코드표!$F$2:$F$101,0))),INDEX(코드표!$K$2:$K$101,MATCH(LEFT(TRIM(E99&amp;""),FIND(" ",TRIM(E99&amp;""))-1),코드표!$J$2:$J$101,0))&amp;"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",TRIM(F99&amp;""))-1),코드표!$J$2:$J$101,0)),ISNUMBER(MATCH(TRIM(RIGHT(SUBSTITUTE(TRIM(F99&amp;"")," ",REPT(" ",60)),60)),코드표!$F$2:$F$101,0))),INDEX(코드표!$K$2:$K$101,MATCH(LEFT(TRIM(F99&amp;""),FIND(" ",TRIM(F99&amp;""))-1),코드표!$J$2:$J$101,0))&amp;"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",TRIM(G99&amp;""))-1),코드표!$J$2:$J$101,0)),ISNUMBER(MATCH(TRIM(RIGHT(SUBSTITUTE(TRIM(G99&amp;"")," ",REPT(" ",60)),60)),코드표!$F$2:$F$101,0))),INDEX(코드표!$K$2:$K$101,MATCH(LEFT(TRIM(G99&amp;""),FIND(" ",TRIM(G99&amp;""))-1),코드표!$J$2:$J$101,0))&amp;"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",TRIM(H99&amp;""))-1),코드표!$J$2:$J$101,0)),ISNUMBER(MATCH(TRIM(RIGHT(SUBSTITUTE(TRIM(H99&amp;"")," ",REPT(" ",60)),60)),코드표!$F$2:$F$101,0))),INDEX(코드표!$K$2:$K$101,MATCH(LEFT(TRIM(H99&amp;""),FIND(" ",TRIM(H99&amp;""))-1),코드표!$J$2:$J$101,0))&amp;"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",TRIM(I99&amp;""))-1),코드표!$J$2:$J$101,0)),ISNUMBER(MATCH(TRIM(RIGHT(SUBSTITUTE(TRIM(I99&amp;"")," ",REPT(" ",60)),60)),코드표!$F$2:$F$101,0))),INDEX(코드표!$K$2:$K$101,MATCH(LEFT(TRIM(I99&amp;""),FIND(" ",TRIM(I99&amp;""))-1),코드표!$J$2:$J$101,0))&amp;"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",TRIM(J99&amp;""))-1),코드표!$J$2:$J$101,0)),ISNUMBER(MATCH(TRIM(RIGHT(SUBSTITUTE(TRIM(J99&amp;"")," ",REPT(" ",60)),60)),코드표!$F$2:$F$101,0))),INDEX(코드표!$K$2:$K$101,MATCH(LEFT(TRIM(J99&amp;""),FIND(" ",TRIM(J99&amp;""))-1),코드표!$J$2:$J$101,0))&amp;"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",TRIM(E100&amp;""))-1),코드표!$J$2:$J$101,0)),ISNUMBER(MATCH(TRIM(RIGHT(SUBSTITUTE(TRIM(E100&amp;"")," ",REPT(" ",60)),60)),코드표!$F$2:$F$101,0))),INDEX(코드표!$K$2:$K$101,MATCH(LEFT(TRIM(E100&amp;""),FIND(" ",TRIM(E100&amp;""))-1),코드표!$J$2:$J$101,0))&amp;"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",TRIM(F100&amp;""))-1),코드표!$J$2:$J$101,0)),ISNUMBER(MATCH(TRIM(RIGHT(SUBSTITUTE(TRIM(F100&amp;"")," ",REPT(" ",60)),60)),코드표!$F$2:$F$101,0))),INDEX(코드표!$K$2:$K$101,MATCH(LEFT(TRIM(F100&amp;""),FIND(" ",TRIM(F100&amp;""))-1),코드표!$J$2:$J$101,0))&amp;"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",TRIM(G100&amp;""))-1),코드표!$J$2:$J$101,0)),ISNUMBER(MATCH(TRIM(RIGHT(SUBSTITUTE(TRIM(G100&amp;"")," ",REPT(" ",60)),60)),코드표!$F$2:$F$101,0))),INDEX(코드표!$K$2:$K$101,MATCH(LEFT(TRIM(G100&amp;""),FIND(" ",TRIM(G100&amp;""))-1),코드표!$J$2:$J$101,0))&amp;"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",TRIM(H100&amp;""))-1),코드표!$J$2:$J$101,0)),ISNUMBER(MATCH(TRIM(RIGHT(SUBSTITUTE(TRIM(H100&amp;"")," ",REPT(" ",60)),60)),코드표!$F$2:$F$101,0))),INDEX(코드표!$K$2:$K$101,MATCH(LEFT(TRIM(H100&amp;""),FIND(" ",TRIM(H100&amp;""))-1),코드표!$J$2:$J$101,0))&amp;"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",TRIM(I100&amp;""))-1),코드표!$J$2:$J$101,0)),ISNUMBER(MATCH(TRIM(RIGHT(SUBSTITUTE(TRIM(I100&amp;"")," ",REPT(" ",60)),60)),코드표!$F$2:$F$101,0))),INDEX(코드표!$K$2:$K$101,MATCH(LEFT(TRIM(I100&amp;""),FIND(" ",TRIM(I100&amp;""))-1),코드표!$J$2:$J$101,0))&amp;"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",TRIM(J100&amp;""))-1),코드표!$J$2:$J$101,0)),ISNUMBER(MATCH(TRIM(RIGHT(SUBSTITUTE(TRIM(J100&amp;"")," ",REPT(" ",60)),60)),코드표!$F$2:$F$101,0))),INDEX(코드표!$K$2:$K$101,MATCH(LEFT(TRIM(J100&amp;""),FIND(" ",TRIM(J100&amp;""))-1),코드표!$J$2:$J$101,0))&amp;"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",TRIM(E101&amp;""))-1),코드표!$J$2:$J$101,0)),ISNUMBER(MATCH(TRIM(RIGHT(SUBSTITUTE(TRIM(E101&amp;"")," ",REPT(" ",60)),60)),코드표!$F$2:$F$101,0))),INDEX(코드표!$K$2:$K$101,MATCH(LEFT(TRIM(E101&amp;""),FIND(" ",TRIM(E101&amp;""))-1),코드표!$J$2:$J$101,0))&amp;"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",TRIM(F101&amp;""))-1),코드표!$J$2:$J$101,0)),ISNUMBER(MATCH(TRIM(RIGHT(SUBSTITUTE(TRIM(F101&amp;"")," ",REPT(" ",60)),60)),코드표!$F$2:$F$101,0))),INDEX(코드표!$K$2:$K$101,MATCH(LEFT(TRIM(F101&amp;""),FIND(" ",TRIM(F101&amp;""))-1),코드표!$J$2:$J$101,0))&amp;"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",TRIM(G101&amp;""))-1),코드표!$J$2:$J$101,0)),ISNUMBER(MATCH(TRIM(RIGHT(SUBSTITUTE(TRIM(G101&amp;"")," ",REPT(" ",60)),60)),코드표!$F$2:$F$101,0))),INDEX(코드표!$K$2:$K$101,MATCH(LEFT(TRIM(G101&amp;""),FIND(" ",TRIM(G101&amp;""))-1),코드표!$J$2:$J$101,0))&amp;"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",TRIM(H101&amp;""))-1),코드표!$J$2:$J$101,0)),ISNUMBER(MATCH(TRIM(RIGHT(SUBSTITUTE(TRIM(H101&amp;"")," ",REPT(" ",60)),60)),코드표!$F$2:$F$101,0))),INDEX(코드표!$K$2:$K$101,MATCH(LEFT(TRIM(H101&amp;""),FIND(" ",TRIM(H101&amp;""))-1),코드표!$J$2:$J$101,0))&amp;"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",TRIM(I101&amp;""))-1),코드표!$J$2:$J$101,0)),ISNUMBER(MATCH(TRIM(RIGHT(SUBSTITUTE(TRIM(I101&amp;"")," ",REPT(" ",60)),60)),코드표!$F$2:$F$101,0))),INDEX(코드표!$K$2:$K$101,MATCH(LEFT(TRIM(I101&amp;""),FIND(" ",TRIM(I101&amp;""))-1),코드표!$J$2:$J$101,0))&amp;"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",TRIM(J101&amp;""))-1),코드표!$J$2:$J$101,0)),ISNUMBER(MATCH(TRIM(RIGHT(SUBSTITUTE(TRIM(J101&amp;"")," ",REPT(" ",60)),60)),코드표!$F$2:$F$101,0))),INDEX(코드표!$K$2:$K$101,MATCH(LEFT(TRIM(J101&amp;""),FIND(" ",TRIM(J101&amp;""))-1),코드표!$J$2:$J$101,0))&amp;"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",TRIM(E102&amp;""))-1),코드표!$J$2:$J$101,0)),ISNUMBER(MATCH(TRIM(RIGHT(SUBSTITUTE(TRIM(E102&amp;"")," ",REPT(" ",60)),60)),코드표!$F$2:$F$101,0))),INDEX(코드표!$K$2:$K$101,MATCH(LEFT(TRIM(E102&amp;""),FIND(" ",TRIM(E102&amp;""))-1),코드표!$J$2:$J$101,0))&amp;"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",TRIM(F102&amp;""))-1),코드표!$J$2:$J$101,0)),ISNUMBER(MATCH(TRIM(RIGHT(SUBSTITUTE(TRIM(F102&amp;"")," ",REPT(" ",60)),60)),코드표!$F$2:$F$101,0))),INDEX(코드표!$K$2:$K$101,MATCH(LEFT(TRIM(F102&amp;""),FIND(" ",TRIM(F102&amp;""))-1),코드표!$J$2:$J$101,0))&amp;"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",TRIM(G102&amp;""))-1),코드표!$J$2:$J$101,0)),ISNUMBER(MATCH(TRIM(RIGHT(SUBSTITUTE(TRIM(G102&amp;"")," ",REPT(" ",60)),60)),코드표!$F$2:$F$101,0))),INDEX(코드표!$K$2:$K$101,MATCH(LEFT(TRIM(G102&amp;""),FIND(" ",TRIM(G102&amp;""))-1),코드표!$J$2:$J$101,0))&amp;"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",TRIM(H102&amp;""))-1),코드표!$J$2:$J$101,0)),ISNUMBER(MATCH(TRIM(RIGHT(SUBSTITUTE(TRIM(H102&amp;"")," ",REPT(" ",60)),60)),코드표!$F$2:$F$101,0))),INDEX(코드표!$K$2:$K$101,MATCH(LEFT(TRIM(H102&amp;""),FIND(" ",TRIM(H102&amp;""))-1),코드표!$J$2:$J$101,0))&amp;"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",TRIM(I102&amp;""))-1),코드표!$J$2:$J$101,0)),ISNUMBER(MATCH(TRIM(RIGHT(SUBSTITUTE(TRIM(I102&amp;"")," ",REPT(" ",60)),60)),코드표!$F$2:$F$101,0))),INDEX(코드표!$K$2:$K$101,MATCH(LEFT(TRIM(I102&amp;""),FIND(" ",TRIM(I102&amp;""))-1),코드표!$J$2:$J$101,0))&amp;"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",TRIM(J102&amp;""))-1),코드표!$J$2:$J$101,0)),ISNUMBER(MATCH(TRIM(RIGHT(SUBSTITUTE(TRIM(J102&amp;"")," ",REPT(" ",60)),60)),코드표!$F$2:$F$101,0))),INDEX(코드표!$K$2:$K$101,MATCH(LEFT(TRIM(J102&amp;""),FIND(" ",TRIM(J102&amp;""))-1),코드표!$J$2:$J$101,0))&amp;"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",TRIM(E103&amp;""))-1),코드표!$J$2:$J$101,0)),ISNUMBER(MATCH(TRIM(RIGHT(SUBSTITUTE(TRIM(E103&amp;"")," ",REPT(" ",60)),60)),코드표!$F$2:$F$101,0))),INDEX(코드표!$K$2:$K$101,MATCH(LEFT(TRIM(E103&amp;""),FIND(" ",TRIM(E103&amp;""))-1),코드표!$J$2:$J$101,0))&amp;"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",TRIM(F103&amp;""))-1),코드표!$J$2:$J$101,0)),ISNUMBER(MATCH(TRIM(RIGHT(SUBSTITUTE(TRIM(F103&amp;"")," ",REPT(" ",60)),60)),코드표!$F$2:$F$101,0))),INDEX(코드표!$K$2:$K$101,MATCH(LEFT(TRIM(F103&amp;""),FIND(" ",TRIM(F103&amp;""))-1),코드표!$J$2:$J$101,0))&amp;"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",TRIM(G103&amp;""))-1),코드표!$J$2:$J$101,0)),ISNUMBER(MATCH(TRIM(RIGHT(SUBSTITUTE(TRIM(G103&amp;"")," ",REPT(" ",60)),60)),코드표!$F$2:$F$101,0))),INDEX(코드표!$K$2:$K$101,MATCH(LEFT(TRIM(G103&amp;""),FIND(" ",TRIM(G103&amp;""))-1),코드표!$J$2:$J$101,0))&amp;"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",TRIM(H103&amp;""))-1),코드표!$J$2:$J$101,0)),ISNUMBER(MATCH(TRIM(RIGHT(SUBSTITUTE(TRIM(H103&amp;"")," ",REPT(" ",60)),60)),코드표!$F$2:$F$101,0))),INDEX(코드표!$K$2:$K$101,MATCH(LEFT(TRIM(H103&amp;""),FIND(" ",TRIM(H103&amp;""))-1),코드표!$J$2:$J$101,0))&amp;"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",TRIM(I103&amp;""))-1),코드표!$J$2:$J$101,0)),ISNUMBER(MATCH(TRIM(RIGHT(SUBSTITUTE(TRIM(I103&amp;"")," ",REPT(" ",60)),60)),코드표!$F$2:$F$101,0))),INDEX(코드표!$K$2:$K$101,MATCH(LEFT(TRIM(I103&amp;""),FIND(" ",TRIM(I103&amp;""))-1),코드표!$J$2:$J$101,0))&amp;"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",TRIM(J103&amp;""))-1),코드표!$J$2:$J$101,0)),ISNUMBER(MATCH(TRIM(RIGHT(SUBSTITUTE(TRIM(J103&amp;"")," ",REPT(" ",60)),60)),코드표!$F$2:$F$101,0))),INDEX(코드표!$K$2:$K$101,MATCH(LEFT(TRIM(J103&amp;""),FIND(" ",TRIM(J103&amp;""))-1),코드표!$J$2:$J$101,0))&amp;"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",TRIM(E104&amp;""))-1),코드표!$J$2:$J$101,0)),ISNUMBER(MATCH(TRIM(RIGHT(SUBSTITUTE(TRIM(E104&amp;"")," ",REPT(" ",60)),60)),코드표!$F$2:$F$101,0))),INDEX(코드표!$K$2:$K$101,MATCH(LEFT(TRIM(E104&amp;""),FIND(" ",TRIM(E104&amp;""))-1),코드표!$J$2:$J$101,0))&amp;"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",TRIM(F104&amp;""))-1),코드표!$J$2:$J$101,0)),ISNUMBER(MATCH(TRIM(RIGHT(SUBSTITUTE(TRIM(F104&amp;"")," ",REPT(" ",60)),60)),코드표!$F$2:$F$101,0))),INDEX(코드표!$K$2:$K$101,MATCH(LEFT(TRIM(F104&amp;""),FIND(" ",TRIM(F104&amp;""))-1),코드표!$J$2:$J$101,0))&amp;"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",TRIM(G104&amp;""))-1),코드표!$J$2:$J$101,0)),ISNUMBER(MATCH(TRIM(RIGHT(SUBSTITUTE(TRIM(G104&amp;"")," ",REPT(" ",60)),60)),코드표!$F$2:$F$101,0))),INDEX(코드표!$K$2:$K$101,MATCH(LEFT(TRIM(G104&amp;""),FIND(" ",TRIM(G104&amp;""))-1),코드표!$J$2:$J$101,0))&amp;"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",TRIM(H104&amp;""))-1),코드표!$J$2:$J$101,0)),ISNUMBER(MATCH(TRIM(RIGHT(SUBSTITUTE(TRIM(H104&amp;"")," ",REPT(" ",60)),60)),코드표!$F$2:$F$101,0))),INDEX(코드표!$K$2:$K$101,MATCH(LEFT(TRIM(H104&amp;""),FIND(" ",TRIM(H104&amp;""))-1),코드표!$J$2:$J$101,0))&amp;"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",TRIM(I104&amp;""))-1),코드표!$J$2:$J$101,0)),ISNUMBER(MATCH(TRIM(RIGHT(SUBSTITUTE(TRIM(I104&amp;"")," ",REPT(" ",60)),60)),코드표!$F$2:$F$101,0))),INDEX(코드표!$K$2:$K$101,MATCH(LEFT(TRIM(I104&amp;""),FIND(" ",TRIM(I104&amp;""))-1),코드표!$J$2:$J$101,0))&amp;"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",TRIM(J104&amp;""))-1),코드표!$J$2:$J$101,0)),ISNUMBER(MATCH(TRIM(RIGHT(SUBSTITUTE(TRIM(J104&amp;"")," ",REPT(" ",60)),60)),코드표!$F$2:$F$101,0))),INDEX(코드표!$K$2:$K$101,MATCH(LEFT(TRIM(J104&amp;""),FIND(" ",TRIM(J104&amp;""))-1),코드표!$J$2:$J$101,0))&amp;"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",TRIM(E105&amp;""))-1),코드표!$J$2:$J$101,0)),ISNUMBER(MATCH(TRIM(RIGHT(SUBSTITUTE(TRIM(E105&amp;"")," ",REPT(" ",60)),60)),코드표!$F$2:$F$101,0))),INDEX(코드표!$K$2:$K$101,MATCH(LEFT(TRIM(E105&amp;""),FIND(" ",TRIM(E105&amp;""))-1),코드표!$J$2:$J$101,0))&amp;"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",TRIM(F105&amp;""))-1),코드표!$J$2:$J$101,0)),ISNUMBER(MATCH(TRIM(RIGHT(SUBSTITUTE(TRIM(F105&amp;"")," ",REPT(" ",60)),60)),코드표!$F$2:$F$101,0))),INDEX(코드표!$K$2:$K$101,MATCH(LEFT(TRIM(F105&amp;""),FIND(" ",TRIM(F105&amp;""))-1),코드표!$J$2:$J$101,0))&amp;"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",TRIM(G105&amp;""))-1),코드표!$J$2:$J$101,0)),ISNUMBER(MATCH(TRIM(RIGHT(SUBSTITUTE(TRIM(G105&amp;"")," ",REPT(" ",60)),60)),코드표!$F$2:$F$101,0))),INDEX(코드표!$K$2:$K$101,MATCH(LEFT(TRIM(G105&amp;""),FIND(" ",TRIM(G105&amp;""))-1),코드표!$J$2:$J$101,0))&amp;"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",TRIM(H105&amp;""))-1),코드표!$J$2:$J$101,0)),ISNUMBER(MATCH(TRIM(RIGHT(SUBSTITUTE(TRIM(H105&amp;"")," ",REPT(" ",60)),60)),코드표!$F$2:$F$101,0))),INDEX(코드표!$K$2:$K$101,MATCH(LEFT(TRIM(H105&amp;""),FIND(" ",TRIM(H105&amp;""))-1),코드표!$J$2:$J$101,0))&amp;"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",TRIM(I105&amp;""))-1),코드표!$J$2:$J$101,0)),ISNUMBER(MATCH(TRIM(RIGHT(SUBSTITUTE(TRIM(I105&amp;"")," ",REPT(" ",60)),60)),코드표!$F$2:$F$101,0))),INDEX(코드표!$K$2:$K$101,MATCH(LEFT(TRIM(I105&amp;""),FIND(" ",TRIM(I105&amp;""))-1),코드표!$J$2:$J$101,0))&amp;"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",TRIM(J105&amp;""))-1),코드표!$J$2:$J$101,0)),ISNUMBER(MATCH(TRIM(RIGHT(SUBSTITUTE(TRIM(J105&amp;"")," ",REPT(" ",60)),60)),코드표!$F$2:$F$101,0))),INDEX(코드표!$K$2:$K$101,MATCH(LEFT(TRIM(J105&amp;""),FIND(" ",TRIM(J105&amp;""))-1),코드표!$J$2:$J$101,0))&amp;"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",TRIM(E106&amp;""))-1),코드표!$J$2:$J$101,0)),ISNUMBER(MATCH(TRIM(RIGHT(SUBSTITUTE(TRIM(E106&amp;"")," ",REPT(" ",60)),60)),코드표!$F$2:$F$101,0))),INDEX(코드표!$K$2:$K$101,MATCH(LEFT(TRIM(E106&amp;""),FIND(" ",TRIM(E106&amp;""))-1),코드표!$J$2:$J$101,0))&amp;"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",TRIM(F106&amp;""))-1),코드표!$J$2:$J$101,0)),ISNUMBER(MATCH(TRIM(RIGHT(SUBSTITUTE(TRIM(F106&amp;"")," ",REPT(" ",60)),60)),코드표!$F$2:$F$101,0))),INDEX(코드표!$K$2:$K$101,MATCH(LEFT(TRIM(F106&amp;""),FIND(" ",TRIM(F106&amp;""))-1),코드표!$J$2:$J$101,0))&amp;"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",TRIM(G106&amp;""))-1),코드표!$J$2:$J$101,0)),ISNUMBER(MATCH(TRIM(RIGHT(SUBSTITUTE(TRIM(G106&amp;"")," ",REPT(" ",60)),60)),코드표!$F$2:$F$101,0))),INDEX(코드표!$K$2:$K$101,MATCH(LEFT(TRIM(G106&amp;""),FIND(" ",TRIM(G106&amp;""))-1),코드표!$J$2:$J$101,0))&amp;"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",TRIM(H106&amp;""))-1),코드표!$J$2:$J$101,0)),ISNUMBER(MATCH(TRIM(RIGHT(SUBSTITUTE(TRIM(H106&amp;"")," ",REPT(" ",60)),60)),코드표!$F$2:$F$101,0))),INDEX(코드표!$K$2:$K$101,MATCH(LEFT(TRIM(H106&amp;""),FIND(" ",TRIM(H106&amp;""))-1),코드표!$J$2:$J$101,0))&amp;"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",TRIM(I106&amp;""))-1),코드표!$J$2:$J$101,0)),ISNUMBER(MATCH(TRIM(RIGHT(SUBSTITUTE(TRIM(I106&amp;"")," ",REPT(" ",60)),60)),코드표!$F$2:$F$101,0))),INDEX(코드표!$K$2:$K$101,MATCH(LEFT(TRIM(I106&amp;""),FIND(" ",TRIM(I106&amp;""))-1),코드표!$J$2:$J$101,0))&amp;"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",TRIM(J106&amp;""))-1),코드표!$J$2:$J$101,0)),ISNUMBER(MATCH(TRIM(RIGHT(SUBSTITUTE(TRIM(J106&amp;"")," ",REPT(" ",60)),60)),코드표!$F$2:$F$101,0))),INDEX(코드표!$K$2:$K$101,MATCH(LEFT(TRIM(J106&amp;""),FIND(" ",TRIM(J106&amp;""))-1),코드표!$J$2:$J$101,0))&amp;"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",TRIM(E107&amp;""))-1),코드표!$J$2:$J$101,0)),ISNUMBER(MATCH(TRIM(RIGHT(SUBSTITUTE(TRIM(E107&amp;"")," ",REPT(" ",60)),60)),코드표!$F$2:$F$101,0))),INDEX(코드표!$K$2:$K$101,MATCH(LEFT(TRIM(E107&amp;""),FIND(" ",TRIM(E107&amp;""))-1),코드표!$J$2:$J$101,0))&amp;"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",TRIM(F107&amp;""))-1),코드표!$J$2:$J$101,0)),ISNUMBER(MATCH(TRIM(RIGHT(SUBSTITUTE(TRIM(F107&amp;"")," ",REPT(" ",60)),60)),코드표!$F$2:$F$101,0))),INDEX(코드표!$K$2:$K$101,MATCH(LEFT(TRIM(F107&amp;""),FIND(" ",TRIM(F107&amp;""))-1),코드표!$J$2:$J$101,0))&amp;"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",TRIM(G107&amp;""))-1),코드표!$J$2:$J$101,0)),ISNUMBER(MATCH(TRIM(RIGHT(SUBSTITUTE(TRIM(G107&amp;"")," ",REPT(" ",60)),60)),코드표!$F$2:$F$101,0))),INDEX(코드표!$K$2:$K$101,MATCH(LEFT(TRIM(G107&amp;""),FIND(" ",TRIM(G107&amp;""))-1),코드표!$J$2:$J$101,0))&amp;"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",TRIM(H107&amp;""))-1),코드표!$J$2:$J$101,0)),ISNUMBER(MATCH(TRIM(RIGHT(SUBSTITUTE(TRIM(H107&amp;"")," ",REPT(" ",60)),60)),코드표!$F$2:$F$101,0))),INDEX(코드표!$K$2:$K$101,MATCH(LEFT(TRIM(H107&amp;""),FIND(" ",TRIM(H107&amp;""))-1),코드표!$J$2:$J$101,0))&amp;"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",TRIM(I107&amp;""))-1),코드표!$J$2:$J$101,0)),ISNUMBER(MATCH(TRIM(RIGHT(SUBSTITUTE(TRIM(I107&amp;"")," ",REPT(" ",60)),60)),코드표!$F$2:$F$101,0))),INDEX(코드표!$K$2:$K$101,MATCH(LEFT(TRIM(I107&amp;""),FIND(" ",TRIM(I107&amp;""))-1),코드표!$J$2:$J$101,0))&amp;"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",TRIM(J107&amp;""))-1),코드표!$J$2:$J$101,0)),ISNUMBER(MATCH(TRIM(RIGHT(SUBSTITUTE(TRIM(J107&amp;"")," ",REPT(" ",60)),60)),코드표!$F$2:$F$101,0))),INDEX(코드표!$K$2:$K$101,MATCH(LEFT(TRIM(J107&amp;""),FIND(" ",TRIM(J107&amp;""))-1),코드표!$J$2:$J$101,0))&amp;"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",TRIM(E108&amp;""))-1),코드표!$J$2:$J$101,0)),ISNUMBER(MATCH(TRIM(RIGHT(SUBSTITUTE(TRIM(E108&amp;"")," ",REPT(" ",60)),60)),코드표!$F$2:$F$101,0))),INDEX(코드표!$K$2:$K$101,MATCH(LEFT(TRIM(E108&amp;""),FIND(" ",TRIM(E108&amp;""))-1),코드표!$J$2:$J$101,0))&amp;"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",TRIM(F108&amp;""))-1),코드표!$J$2:$J$101,0)),ISNUMBER(MATCH(TRIM(RIGHT(SUBSTITUTE(TRIM(F108&amp;"")," ",REPT(" ",60)),60)),코드표!$F$2:$F$101,0))),INDEX(코드표!$K$2:$K$101,MATCH(LEFT(TRIM(F108&amp;""),FIND(" ",TRIM(F108&amp;""))-1),코드표!$J$2:$J$101,0))&amp;"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",TRIM(G108&amp;""))-1),코드표!$J$2:$J$101,0)),ISNUMBER(MATCH(TRIM(RIGHT(SUBSTITUTE(TRIM(G108&amp;"")," ",REPT(" ",60)),60)),코드표!$F$2:$F$101,0))),INDEX(코드표!$K$2:$K$101,MATCH(LEFT(TRIM(G108&amp;""),FIND(" ",TRIM(G108&amp;""))-1),코드표!$J$2:$J$101,0))&amp;"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",TRIM(H108&amp;""))-1),코드표!$J$2:$J$101,0)),ISNUMBER(MATCH(TRIM(RIGHT(SUBSTITUTE(TRIM(H108&amp;"")," ",REPT(" ",60)),60)),코드표!$F$2:$F$101,0))),INDEX(코드표!$K$2:$K$101,MATCH(LEFT(TRIM(H108&amp;""),FIND(" ",TRIM(H108&amp;""))-1),코드표!$J$2:$J$101,0))&amp;"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",TRIM(I108&amp;""))-1),코드표!$J$2:$J$101,0)),ISNUMBER(MATCH(TRIM(RIGHT(SUBSTITUTE(TRIM(I108&amp;"")," ",REPT(" ",60)),60)),코드표!$F$2:$F$101,0))),INDEX(코드표!$K$2:$K$101,MATCH(LEFT(TRIM(I108&amp;""),FIND(" ",TRIM(I108&amp;""))-1),코드표!$J$2:$J$101,0))&amp;"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",TRIM(J108&amp;""))-1),코드표!$J$2:$J$101,0)),ISNUMBER(MATCH(TRIM(RIGHT(SUBSTITUTE(TRIM(J108&amp;"")," ",REPT(" ",60)),60)),코드표!$F$2:$F$101,0))),INDEX(코드표!$K$2:$K$101,MATCH(LEFT(TRIM(J108&amp;""),FIND(" ",TRIM(J108&amp;""))-1),코드표!$J$2:$J$101,0))&amp;"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",TRIM(E109&amp;""))-1),코드표!$J$2:$J$101,0)),ISNUMBER(MATCH(TRIM(RIGHT(SUBSTITUTE(TRIM(E109&amp;"")," ",REPT(" ",60)),60)),코드표!$F$2:$F$101,0))),INDEX(코드표!$K$2:$K$101,MATCH(LEFT(TRIM(E109&amp;""),FIND(" ",TRIM(E109&amp;""))-1),코드표!$J$2:$J$101,0))&amp;"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",TRIM(F109&amp;""))-1),코드표!$J$2:$J$101,0)),ISNUMBER(MATCH(TRIM(RIGHT(SUBSTITUTE(TRIM(F109&amp;"")," ",REPT(" ",60)),60)),코드표!$F$2:$F$101,0))),INDEX(코드표!$K$2:$K$101,MATCH(LEFT(TRIM(F109&amp;""),FIND(" ",TRIM(F109&amp;""))-1),코드표!$J$2:$J$101,0))&amp;"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",TRIM(G109&amp;""))-1),코드표!$J$2:$J$101,0)),ISNUMBER(MATCH(TRIM(RIGHT(SUBSTITUTE(TRIM(G109&amp;"")," ",REPT(" ",60)),60)),코드표!$F$2:$F$101,0))),INDEX(코드표!$K$2:$K$101,MATCH(LEFT(TRIM(G109&amp;""),FIND(" ",TRIM(G109&amp;""))-1),코드표!$J$2:$J$101,0))&amp;"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",TRIM(H109&amp;""))-1),코드표!$J$2:$J$101,0)),ISNUMBER(MATCH(TRIM(RIGHT(SUBSTITUTE(TRIM(H109&amp;"")," ",REPT(" ",60)),60)),코드표!$F$2:$F$101,0))),INDEX(코드표!$K$2:$K$101,MATCH(LEFT(TRIM(H109&amp;""),FIND(" ",TRIM(H109&amp;""))-1),코드표!$J$2:$J$101,0))&amp;"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",TRIM(I109&amp;""))-1),코드표!$J$2:$J$101,0)),ISNUMBER(MATCH(TRIM(RIGHT(SUBSTITUTE(TRIM(I109&amp;"")," ",REPT(" ",60)),60)),코드표!$F$2:$F$101,0))),INDEX(코드표!$K$2:$K$101,MATCH(LEFT(TRIM(I109&amp;""),FIND(" ",TRIM(I109&amp;""))-1),코드표!$J$2:$J$101,0))&amp;"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",TRIM(J109&amp;""))-1),코드표!$J$2:$J$101,0)),ISNUMBER(MATCH(TRIM(RIGHT(SUBSTITUTE(TRIM(J109&amp;"")," ",REPT(" ",60)),60)),코드표!$F$2:$F$101,0))),INDEX(코드표!$K$2:$K$101,MATCH(LEFT(TRIM(J109&amp;""),FIND(" ",TRIM(J109&amp;""))-1),코드표!$J$2:$J$101,0))&amp;"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",TRIM(E110&amp;""))-1),코드표!$J$2:$J$101,0)),ISNUMBER(MATCH(TRIM(RIGHT(SUBSTITUTE(TRIM(E110&amp;"")," ",REPT(" ",60)),60)),코드표!$F$2:$F$101,0))),INDEX(코드표!$K$2:$K$101,MATCH(LEFT(TRIM(E110&amp;""),FIND(" ",TRIM(E110&amp;""))-1),코드표!$J$2:$J$101,0))&amp;"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",TRIM(F110&amp;""))-1),코드표!$J$2:$J$101,0)),ISNUMBER(MATCH(TRIM(RIGHT(SUBSTITUTE(TRIM(F110&amp;"")," ",REPT(" ",60)),60)),코드표!$F$2:$F$101,0))),INDEX(코드표!$K$2:$K$101,MATCH(LEFT(TRIM(F110&amp;""),FIND(" ",TRIM(F110&amp;""))-1),코드표!$J$2:$J$101,0))&amp;"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",TRIM(G110&amp;""))-1),코드표!$J$2:$J$101,0)),ISNUMBER(MATCH(TRIM(RIGHT(SUBSTITUTE(TRIM(G110&amp;"")," ",REPT(" ",60)),60)),코드표!$F$2:$F$101,0))),INDEX(코드표!$K$2:$K$101,MATCH(LEFT(TRIM(G110&amp;""),FIND(" ",TRIM(G110&amp;""))-1),코드표!$J$2:$J$101,0))&amp;"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",TRIM(H110&amp;""))-1),코드표!$J$2:$J$101,0)),ISNUMBER(MATCH(TRIM(RIGHT(SUBSTITUTE(TRIM(H110&amp;"")," ",REPT(" ",60)),60)),코드표!$F$2:$F$101,0))),INDEX(코드표!$K$2:$K$101,MATCH(LEFT(TRIM(H110&amp;""),FIND(" ",TRIM(H110&amp;""))-1),코드표!$J$2:$J$101,0))&amp;"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",TRIM(I110&amp;""))-1),코드표!$J$2:$J$101,0)),ISNUMBER(MATCH(TRIM(RIGHT(SUBSTITUTE(TRIM(I110&amp;"")," ",REPT(" ",60)),60)),코드표!$F$2:$F$101,0))),INDEX(코드표!$K$2:$K$101,MATCH(LEFT(TRIM(I110&amp;""),FIND(" ",TRIM(I110&amp;""))-1),코드표!$J$2:$J$101,0))&amp;"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",TRIM(J110&amp;""))-1),코드표!$J$2:$J$101,0)),ISNUMBER(MATCH(TRIM(RIGHT(SUBSTITUTE(TRIM(J110&amp;"")," ",REPT(" ",60)),60)),코드표!$F$2:$F$101,0))),INDEX(코드표!$K$2:$K$101,MATCH(LEFT(TRIM(J110&amp;""),FIND(" ",TRIM(J110&amp;""))-1),코드표!$J$2:$J$101,0))&amp;"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",TRIM(E111&amp;""))-1),코드표!$J$2:$J$101,0)),ISNUMBER(MATCH(TRIM(RIGHT(SUBSTITUTE(TRIM(E111&amp;"")," ",REPT(" ",60)),60)),코드표!$F$2:$F$101,0))),INDEX(코드표!$K$2:$K$101,MATCH(LEFT(TRIM(E111&amp;""),FIND(" ",TRIM(E111&amp;""))-1),코드표!$J$2:$J$101,0))&amp;"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",TRIM(F111&amp;""))-1),코드표!$J$2:$J$101,0)),ISNUMBER(MATCH(TRIM(RIGHT(SUBSTITUTE(TRIM(F111&amp;"")," ",REPT(" ",60)),60)),코드표!$F$2:$F$101,0))),INDEX(코드표!$K$2:$K$101,MATCH(LEFT(TRIM(F111&amp;""),FIND(" ",TRIM(F111&amp;""))-1),코드표!$J$2:$J$101,0))&amp;"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",TRIM(G111&amp;""))-1),코드표!$J$2:$J$101,0)),ISNUMBER(MATCH(TRIM(RIGHT(SUBSTITUTE(TRIM(G111&amp;"")," ",REPT(" ",60)),60)),코드표!$F$2:$F$101,0))),INDEX(코드표!$K$2:$K$101,MATCH(LEFT(TRIM(G111&amp;""),FIND(" ",TRIM(G111&amp;""))-1),코드표!$J$2:$J$101,0))&amp;"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",TRIM(H111&amp;""))-1),코드표!$J$2:$J$101,0)),ISNUMBER(MATCH(TRIM(RIGHT(SUBSTITUTE(TRIM(H111&amp;"")," ",REPT(" ",60)),60)),코드표!$F$2:$F$101,0))),INDEX(코드표!$K$2:$K$101,MATCH(LEFT(TRIM(H111&amp;""),FIND(" ",TRIM(H111&amp;""))-1),코드표!$J$2:$J$101,0))&amp;"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",TRIM(I111&amp;""))-1),코드표!$J$2:$J$101,0)),ISNUMBER(MATCH(TRIM(RIGHT(SUBSTITUTE(TRIM(I111&amp;"")," ",REPT(" ",60)),60)),코드표!$F$2:$F$101,0))),INDEX(코드표!$K$2:$K$101,MATCH(LEFT(TRIM(I111&amp;""),FIND(" ",TRIM(I111&amp;""))-1),코드표!$J$2:$J$101,0))&amp;"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",TRIM(J111&amp;""))-1),코드표!$J$2:$J$101,0)),ISNUMBER(MATCH(TRIM(RIGHT(SUBSTITUTE(TRIM(J111&amp;"")," ",REPT(" ",60)),60)),코드표!$F$2:$F$101,0))),INDEX(코드표!$K$2:$K$101,MATCH(LEFT(TRIM(J111&amp;""),FIND(" ",TRIM(J111&amp;""))-1),코드표!$J$2:$J$101,0))&amp;"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",TRIM(E112&amp;""))-1),코드표!$J$2:$J$101,0)),ISNUMBER(MATCH(TRIM(RIGHT(SUBSTITUTE(TRIM(E112&amp;"")," ",REPT(" ",60)),60)),코드표!$F$2:$F$101,0))),INDEX(코드표!$K$2:$K$101,MATCH(LEFT(TRIM(E112&amp;""),FIND(" ",TRIM(E112&amp;""))-1),코드표!$J$2:$J$101,0))&amp;"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",TRIM(F112&amp;""))-1),코드표!$J$2:$J$101,0)),ISNUMBER(MATCH(TRIM(RIGHT(SUBSTITUTE(TRIM(F112&amp;"")," ",REPT(" ",60)),60)),코드표!$F$2:$F$101,0))),INDEX(코드표!$K$2:$K$101,MATCH(LEFT(TRIM(F112&amp;""),FIND(" ",TRIM(F112&amp;""))-1),코드표!$J$2:$J$101,0))&amp;"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",TRIM(G112&amp;""))-1),코드표!$J$2:$J$101,0)),ISNUMBER(MATCH(TRIM(RIGHT(SUBSTITUTE(TRIM(G112&amp;"")," ",REPT(" ",60)),60)),코드표!$F$2:$F$101,0))),INDEX(코드표!$K$2:$K$101,MATCH(LEFT(TRIM(G112&amp;""),FIND(" ",TRIM(G112&amp;""))-1),코드표!$J$2:$J$101,0))&amp;"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",TRIM(H112&amp;""))-1),코드표!$J$2:$J$101,0)),ISNUMBER(MATCH(TRIM(RIGHT(SUBSTITUTE(TRIM(H112&amp;"")," ",REPT(" ",60)),60)),코드표!$F$2:$F$101,0))),INDEX(코드표!$K$2:$K$101,MATCH(LEFT(TRIM(H112&amp;""),FIND(" ",TRIM(H112&amp;""))-1),코드표!$J$2:$J$101,0))&amp;"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",TRIM(I112&amp;""))-1),코드표!$J$2:$J$101,0)),ISNUMBER(MATCH(TRIM(RIGHT(SUBSTITUTE(TRIM(I112&amp;"")," ",REPT(" ",60)),60)),코드표!$F$2:$F$101,0))),INDEX(코드표!$K$2:$K$101,MATCH(LEFT(TRIM(I112&amp;""),FIND(" ",TRIM(I112&amp;""))-1),코드표!$J$2:$J$101,0))&amp;"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",TRIM(J112&amp;""))-1),코드표!$J$2:$J$101,0)),ISNUMBER(MATCH(TRIM(RIGHT(SUBSTITUTE(TRIM(J112&amp;"")," ",REPT(" ",60)),60)),코드표!$F$2:$F$101,0))),INDEX(코드표!$K$2:$K$101,MATCH(LEFT(TRIM(J112&amp;""),FIND(" ",TRIM(J112&amp;""))-1),코드표!$J$2:$J$101,0))&amp;"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",TRIM(E113&amp;""))-1),코드표!$J$2:$J$101,0)),ISNUMBER(MATCH(TRIM(RIGHT(SUBSTITUTE(TRIM(E113&amp;"")," ",REPT(" ",60)),60)),코드표!$F$2:$F$101,0))),INDEX(코드표!$K$2:$K$101,MATCH(LEFT(TRIM(E113&amp;""),FIND(" ",TRIM(E113&amp;""))-1),코드표!$J$2:$J$101,0))&amp;"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",TRIM(F113&amp;""))-1),코드표!$J$2:$J$101,0)),ISNUMBER(MATCH(TRIM(RIGHT(SUBSTITUTE(TRIM(F113&amp;"")," ",REPT(" ",60)),60)),코드표!$F$2:$F$101,0))),INDEX(코드표!$K$2:$K$101,MATCH(LEFT(TRIM(F113&amp;""),FIND(" ",TRIM(F113&amp;""))-1),코드표!$J$2:$J$101,0))&amp;"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",TRIM(G113&amp;""))-1),코드표!$J$2:$J$101,0)),ISNUMBER(MATCH(TRIM(RIGHT(SUBSTITUTE(TRIM(G113&amp;"")," ",REPT(" ",60)),60)),코드표!$F$2:$F$101,0))),INDEX(코드표!$K$2:$K$101,MATCH(LEFT(TRIM(G113&amp;""),FIND(" ",TRIM(G113&amp;""))-1),코드표!$J$2:$J$101,0))&amp;"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",TRIM(H113&amp;""))-1),코드표!$J$2:$J$101,0)),ISNUMBER(MATCH(TRIM(RIGHT(SUBSTITUTE(TRIM(H113&amp;"")," ",REPT(" ",60)),60)),코드표!$F$2:$F$101,0))),INDEX(코드표!$K$2:$K$101,MATCH(LEFT(TRIM(H113&amp;""),FIND(" ",TRIM(H113&amp;""))-1),코드표!$J$2:$J$101,0))&amp;"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",TRIM(I113&amp;""))-1),코드표!$J$2:$J$101,0)),ISNUMBER(MATCH(TRIM(RIGHT(SUBSTITUTE(TRIM(I113&amp;"")," ",REPT(" ",60)),60)),코드표!$F$2:$F$101,0))),INDEX(코드표!$K$2:$K$101,MATCH(LEFT(TRIM(I113&amp;""),FIND(" ",TRIM(I113&amp;""))-1),코드표!$J$2:$J$101,0))&amp;"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",TRIM(J113&amp;""))-1),코드표!$J$2:$J$101,0)),ISNUMBER(MATCH(TRIM(RIGHT(SUBSTITUTE(TRIM(J113&amp;"")," ",REPT(" ",60)),60)),코드표!$F$2:$F$101,0))),INDEX(코드표!$K$2:$K$101,MATCH(LEFT(TRIM(J113&amp;""),FIND(" ",TRIM(J113&amp;""))-1),코드표!$J$2:$J$101,0))&amp;"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",TRIM(E114&amp;""))-1),코드표!$J$2:$J$101,0)),ISNUMBER(MATCH(TRIM(RIGHT(SUBSTITUTE(TRIM(E114&amp;"")," ",REPT(" ",60)),60)),코드표!$F$2:$F$101,0))),INDEX(코드표!$K$2:$K$101,MATCH(LEFT(TRIM(E114&amp;""),FIND(" ",TRIM(E114&amp;""))-1),코드표!$J$2:$J$101,0))&amp;"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",TRIM(F114&amp;""))-1),코드표!$J$2:$J$101,0)),ISNUMBER(MATCH(TRIM(RIGHT(SUBSTITUTE(TRIM(F114&amp;"")," ",REPT(" ",60)),60)),코드표!$F$2:$F$101,0))),INDEX(코드표!$K$2:$K$101,MATCH(LEFT(TRIM(F114&amp;""),FIND(" ",TRIM(F114&amp;""))-1),코드표!$J$2:$J$101,0))&amp;"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",TRIM(G114&amp;""))-1),코드표!$J$2:$J$101,0)),ISNUMBER(MATCH(TRIM(RIGHT(SUBSTITUTE(TRIM(G114&amp;"")," ",REPT(" ",60)),60)),코드표!$F$2:$F$101,0))),INDEX(코드표!$K$2:$K$101,MATCH(LEFT(TRIM(G114&amp;""),FIND(" ",TRIM(G114&amp;""))-1),코드표!$J$2:$J$101,0))&amp;"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",TRIM(H114&amp;""))-1),코드표!$J$2:$J$101,0)),ISNUMBER(MATCH(TRIM(RIGHT(SUBSTITUTE(TRIM(H114&amp;"")," ",REPT(" ",60)),60)),코드표!$F$2:$F$101,0))),INDEX(코드표!$K$2:$K$101,MATCH(LEFT(TRIM(H114&amp;""),FIND(" ",TRIM(H114&amp;""))-1),코드표!$J$2:$J$101,0))&amp;"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",TRIM(I114&amp;""))-1),코드표!$J$2:$J$101,0)),ISNUMBER(MATCH(TRIM(RIGHT(SUBSTITUTE(TRIM(I114&amp;"")," ",REPT(" ",60)),60)),코드표!$F$2:$F$101,0))),INDEX(코드표!$K$2:$K$101,MATCH(LEFT(TRIM(I114&amp;""),FIND(" ",TRIM(I114&amp;""))-1),코드표!$J$2:$J$101,0))&amp;"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",TRIM(J114&amp;""))-1),코드표!$J$2:$J$101,0)),ISNUMBER(MATCH(TRIM(RIGHT(SUBSTITUTE(TRIM(J114&amp;"")," ",REPT(" ",60)),60)),코드표!$F$2:$F$101,0))),INDEX(코드표!$K$2:$K$101,MATCH(LEFT(TRIM(J114&amp;""),FIND(" ",TRIM(J114&amp;""))-1),코드표!$J$2:$J$101,0))&amp;"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",TRIM(E115&amp;""))-1),코드표!$J$2:$J$101,0)),ISNUMBER(MATCH(TRIM(RIGHT(SUBSTITUTE(TRIM(E115&amp;"")," ",REPT(" ",60)),60)),코드표!$F$2:$F$101,0))),INDEX(코드표!$K$2:$K$101,MATCH(LEFT(TRIM(E115&amp;""),FIND(" ",TRIM(E115&amp;""))-1),코드표!$J$2:$J$101,0))&amp;"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",TRIM(F115&amp;""))-1),코드표!$J$2:$J$101,0)),ISNUMBER(MATCH(TRIM(RIGHT(SUBSTITUTE(TRIM(F115&amp;"")," ",REPT(" ",60)),60)),코드표!$F$2:$F$101,0))),INDEX(코드표!$K$2:$K$101,MATCH(LEFT(TRIM(F115&amp;""),FIND(" ",TRIM(F115&amp;""))-1),코드표!$J$2:$J$101,0))&amp;"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",TRIM(G115&amp;""))-1),코드표!$J$2:$J$101,0)),ISNUMBER(MATCH(TRIM(RIGHT(SUBSTITUTE(TRIM(G115&amp;"")," ",REPT(" ",60)),60)),코드표!$F$2:$F$101,0))),INDEX(코드표!$K$2:$K$101,MATCH(LEFT(TRIM(G115&amp;""),FIND(" ",TRIM(G115&amp;""))-1),코드표!$J$2:$J$101,0))&amp;"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",TRIM(H115&amp;""))-1),코드표!$J$2:$J$101,0)),ISNUMBER(MATCH(TRIM(RIGHT(SUBSTITUTE(TRIM(H115&amp;"")," ",REPT(" ",60)),60)),코드표!$F$2:$F$101,0))),INDEX(코드표!$K$2:$K$101,MATCH(LEFT(TRIM(H115&amp;""),FIND(" ",TRIM(H115&amp;""))-1),코드표!$J$2:$J$101,0))&amp;"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",TRIM(I115&amp;""))-1),코드표!$J$2:$J$101,0)),ISNUMBER(MATCH(TRIM(RIGHT(SUBSTITUTE(TRIM(I115&amp;"")," ",REPT(" ",60)),60)),코드표!$F$2:$F$101,0))),INDEX(코드표!$K$2:$K$101,MATCH(LEFT(TRIM(I115&amp;""),FIND(" ",TRIM(I115&amp;""))-1),코드표!$J$2:$J$101,0))&amp;"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",TRIM(J115&amp;""))-1),코드표!$J$2:$J$101,0)),ISNUMBER(MATCH(TRIM(RIGHT(SUBSTITUTE(TRIM(J115&amp;"")," ",REPT(" ",60)),60)),코드표!$F$2:$F$101,0))),INDEX(코드표!$K$2:$K$101,MATCH(LEFT(TRIM(J115&amp;""),FIND(" ",TRIM(J115&amp;""))-1),코드표!$J$2:$J$101,0))&amp;"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",TRIM(E116&amp;""))-1),코드표!$J$2:$J$101,0)),ISNUMBER(MATCH(TRIM(RIGHT(SUBSTITUTE(TRIM(E116&amp;"")," ",REPT(" ",60)),60)),코드표!$F$2:$F$101,0))),INDEX(코드표!$K$2:$K$101,MATCH(LEFT(TRIM(E116&amp;""),FIND(" ",TRIM(E116&amp;""))-1),코드표!$J$2:$J$101,0))&amp;"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",TRIM(F116&amp;""))-1),코드표!$J$2:$J$101,0)),ISNUMBER(MATCH(TRIM(RIGHT(SUBSTITUTE(TRIM(F116&amp;"")," ",REPT(" ",60)),60)),코드표!$F$2:$F$101,0))),INDEX(코드표!$K$2:$K$101,MATCH(LEFT(TRIM(F116&amp;""),FIND(" ",TRIM(F116&amp;""))-1),코드표!$J$2:$J$101,0))&amp;"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",TRIM(G116&amp;""))-1),코드표!$J$2:$J$101,0)),ISNUMBER(MATCH(TRIM(RIGHT(SUBSTITUTE(TRIM(G116&amp;"")," ",REPT(" ",60)),60)),코드표!$F$2:$F$101,0))),INDEX(코드표!$K$2:$K$101,MATCH(LEFT(TRIM(G116&amp;""),FIND(" ",TRIM(G116&amp;""))-1),코드표!$J$2:$J$101,0))&amp;"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",TRIM(H116&amp;""))-1),코드표!$J$2:$J$101,0)),ISNUMBER(MATCH(TRIM(RIGHT(SUBSTITUTE(TRIM(H116&amp;"")," ",REPT(" ",60)),60)),코드표!$F$2:$F$101,0))),INDEX(코드표!$K$2:$K$101,MATCH(LEFT(TRIM(H116&amp;""),FIND(" ",TRIM(H116&amp;""))-1),코드표!$J$2:$J$101,0))&amp;"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",TRIM(I116&amp;""))-1),코드표!$J$2:$J$101,0)),ISNUMBER(MATCH(TRIM(RIGHT(SUBSTITUTE(TRIM(I116&amp;"")," ",REPT(" ",60)),60)),코드표!$F$2:$F$101,0))),INDEX(코드표!$K$2:$K$101,MATCH(LEFT(TRIM(I116&amp;""),FIND(" ",TRIM(I116&amp;""))-1),코드표!$J$2:$J$101,0))&amp;"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",TRIM(J116&amp;""))-1),코드표!$J$2:$J$101,0)),ISNUMBER(MATCH(TRIM(RIGHT(SUBSTITUTE(TRIM(J116&amp;"")," ",REPT(" ",60)),60)),코드표!$F$2:$F$101,0))),INDEX(코드표!$K$2:$K$101,MATCH(LEFT(TRIM(J116&amp;""),FIND(" ",TRIM(J116&amp;""))-1),코드표!$J$2:$J$101,0))&amp;"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",TRIM(E117&amp;""))-1),코드표!$J$2:$J$101,0)),ISNUMBER(MATCH(TRIM(RIGHT(SUBSTITUTE(TRIM(E117&amp;"")," ",REPT(" ",60)),60)),코드표!$F$2:$F$101,0))),INDEX(코드표!$K$2:$K$101,MATCH(LEFT(TRIM(E117&amp;""),FIND(" ",TRIM(E117&amp;""))-1),코드표!$J$2:$J$101,0))&amp;"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",TRIM(F117&amp;""))-1),코드표!$J$2:$J$101,0)),ISNUMBER(MATCH(TRIM(RIGHT(SUBSTITUTE(TRIM(F117&amp;"")," ",REPT(" ",60)),60)),코드표!$F$2:$F$101,0))),INDEX(코드표!$K$2:$K$101,MATCH(LEFT(TRIM(F117&amp;""),FIND(" ",TRIM(F117&amp;""))-1),코드표!$J$2:$J$101,0))&amp;"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",TRIM(G117&amp;""))-1),코드표!$J$2:$J$101,0)),ISNUMBER(MATCH(TRIM(RIGHT(SUBSTITUTE(TRIM(G117&amp;"")," ",REPT(" ",60)),60)),코드표!$F$2:$F$101,0))),INDEX(코드표!$K$2:$K$101,MATCH(LEFT(TRIM(G117&amp;""),FIND(" ",TRIM(G117&amp;""))-1),코드표!$J$2:$J$101,0))&amp;"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",TRIM(H117&amp;""))-1),코드표!$J$2:$J$101,0)),ISNUMBER(MATCH(TRIM(RIGHT(SUBSTITUTE(TRIM(H117&amp;"")," ",REPT(" ",60)),60)),코드표!$F$2:$F$101,0))),INDEX(코드표!$K$2:$K$101,MATCH(LEFT(TRIM(H117&amp;""),FIND(" ",TRIM(H117&amp;""))-1),코드표!$J$2:$J$101,0))&amp;"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",TRIM(I117&amp;""))-1),코드표!$J$2:$J$101,0)),ISNUMBER(MATCH(TRIM(RIGHT(SUBSTITUTE(TRIM(I117&amp;"")," ",REPT(" ",60)),60)),코드표!$F$2:$F$101,0))),INDEX(코드표!$K$2:$K$101,MATCH(LEFT(TRIM(I117&amp;""),FIND(" ",TRIM(I117&amp;""))-1),코드표!$J$2:$J$101,0))&amp;"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",TRIM(J117&amp;""))-1),코드표!$J$2:$J$101,0)),ISNUMBER(MATCH(TRIM(RIGHT(SUBSTITUTE(TRIM(J117&amp;"")," ",REPT(" ",60)),60)),코드표!$F$2:$F$101,0))),INDEX(코드표!$K$2:$K$101,MATCH(LEFT(TRIM(J117&amp;""),FIND(" ",TRIM(J117&amp;""))-1),코드표!$J$2:$J$101,0))&amp;"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",TRIM(E118&amp;""))-1),코드표!$J$2:$J$101,0)),ISNUMBER(MATCH(TRIM(RIGHT(SUBSTITUTE(TRIM(E118&amp;"")," ",REPT(" ",60)),60)),코드표!$F$2:$F$101,0))),INDEX(코드표!$K$2:$K$101,MATCH(LEFT(TRIM(E118&amp;""),FIND(" ",TRIM(E118&amp;""))-1),코드표!$J$2:$J$101,0))&amp;"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",TRIM(F118&amp;""))-1),코드표!$J$2:$J$101,0)),ISNUMBER(MATCH(TRIM(RIGHT(SUBSTITUTE(TRIM(F118&amp;"")," ",REPT(" ",60)),60)),코드표!$F$2:$F$101,0))),INDEX(코드표!$K$2:$K$101,MATCH(LEFT(TRIM(F118&amp;""),FIND(" ",TRIM(F118&amp;""))-1),코드표!$J$2:$J$101,0))&amp;"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",TRIM(G118&amp;""))-1),코드표!$J$2:$J$101,0)),ISNUMBER(MATCH(TRIM(RIGHT(SUBSTITUTE(TRIM(G118&amp;"")," ",REPT(" ",60)),60)),코드표!$F$2:$F$101,0))),INDEX(코드표!$K$2:$K$101,MATCH(LEFT(TRIM(G118&amp;""),FIND(" ",TRIM(G118&amp;""))-1),코드표!$J$2:$J$101,0))&amp;"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",TRIM(H118&amp;""))-1),코드표!$J$2:$J$101,0)),ISNUMBER(MATCH(TRIM(RIGHT(SUBSTITUTE(TRIM(H118&amp;"")," ",REPT(" ",60)),60)),코드표!$F$2:$F$101,0))),INDEX(코드표!$K$2:$K$101,MATCH(LEFT(TRIM(H118&amp;""),FIND(" ",TRIM(H118&amp;""))-1),코드표!$J$2:$J$101,0))&amp;"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",TRIM(I118&amp;""))-1),코드표!$J$2:$J$101,0)),ISNUMBER(MATCH(TRIM(RIGHT(SUBSTITUTE(TRIM(I118&amp;"")," ",REPT(" ",60)),60)),코드표!$F$2:$F$101,0))),INDEX(코드표!$K$2:$K$101,MATCH(LEFT(TRIM(I118&amp;""),FIND(" ",TRIM(I118&amp;""))-1),코드표!$J$2:$J$101,0))&amp;"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",TRIM(J118&amp;""))-1),코드표!$J$2:$J$101,0)),ISNUMBER(MATCH(TRIM(RIGHT(SUBSTITUTE(TRIM(J118&amp;"")," ",REPT(" ",60)),60)),코드표!$F$2:$F$101,0))),INDEX(코드표!$K$2:$K$101,MATCH(LEFT(TRIM(J118&amp;""),FIND(" ",TRIM(J118&amp;""))-1),코드표!$J$2:$J$101,0))&amp;"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",TRIM(E119&amp;""))-1),코드표!$J$2:$J$101,0)),ISNUMBER(MATCH(TRIM(RIGHT(SUBSTITUTE(TRIM(E119&amp;"")," ",REPT(" ",60)),60)),코드표!$F$2:$F$101,0))),INDEX(코드표!$K$2:$K$101,MATCH(LEFT(TRIM(E119&amp;""),FIND(" ",TRIM(E119&amp;""))-1),코드표!$J$2:$J$101,0))&amp;"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",TRIM(F119&amp;""))-1),코드표!$J$2:$J$101,0)),ISNUMBER(MATCH(TRIM(RIGHT(SUBSTITUTE(TRIM(F119&amp;"")," ",REPT(" ",60)),60)),코드표!$F$2:$F$101,0))),INDEX(코드표!$K$2:$K$101,MATCH(LEFT(TRIM(F119&amp;""),FIND(" ",TRIM(F119&amp;""))-1),코드표!$J$2:$J$101,0))&amp;"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",TRIM(G119&amp;""))-1),코드표!$J$2:$J$101,0)),ISNUMBER(MATCH(TRIM(RIGHT(SUBSTITUTE(TRIM(G119&amp;"")," ",REPT(" ",60)),60)),코드표!$F$2:$F$101,0))),INDEX(코드표!$K$2:$K$101,MATCH(LEFT(TRIM(G119&amp;""),FIND(" ",TRIM(G119&amp;""))-1),코드표!$J$2:$J$101,0))&amp;"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",TRIM(H119&amp;""))-1),코드표!$J$2:$J$101,0)),ISNUMBER(MATCH(TRIM(RIGHT(SUBSTITUTE(TRIM(H119&amp;"")," ",REPT(" ",60)),60)),코드표!$F$2:$F$101,0))),INDEX(코드표!$K$2:$K$101,MATCH(LEFT(TRIM(H119&amp;""),FIND(" ",TRIM(H119&amp;""))-1),코드표!$J$2:$J$101,0))&amp;"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",TRIM(I119&amp;""))-1),코드표!$J$2:$J$101,0)),ISNUMBER(MATCH(TRIM(RIGHT(SUBSTITUTE(TRIM(I119&amp;"")," ",REPT(" ",60)),60)),코드표!$F$2:$F$101,0))),INDEX(코드표!$K$2:$K$101,MATCH(LEFT(TRIM(I119&amp;""),FIND(" ",TRIM(I119&amp;""))-1),코드표!$J$2:$J$101,0))&amp;"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",TRIM(J119&amp;""))-1),코드표!$J$2:$J$101,0)),ISNUMBER(MATCH(TRIM(RIGHT(SUBSTITUTE(TRIM(J119&amp;"")," ",REPT(" ",60)),60)),코드표!$F$2:$F$101,0))),INDEX(코드표!$K$2:$K$101,MATCH(LEFT(TRIM(J119&amp;""),FIND(" ",TRIM(J119&amp;""))-1),코드표!$J$2:$J$101,0))&amp;"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",TRIM(E120&amp;""))-1),코드표!$J$2:$J$101,0)),ISNUMBER(MATCH(TRIM(RIGHT(SUBSTITUTE(TRIM(E120&amp;"")," ",REPT(" ",60)),60)),코드표!$F$2:$F$101,0))),INDEX(코드표!$K$2:$K$101,MATCH(LEFT(TRIM(E120&amp;""),FIND(" ",TRIM(E120&amp;""))-1),코드표!$J$2:$J$101,0))&amp;"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",TRIM(F120&amp;""))-1),코드표!$J$2:$J$101,0)),ISNUMBER(MATCH(TRIM(RIGHT(SUBSTITUTE(TRIM(F120&amp;"")," ",REPT(" ",60)),60)),코드표!$F$2:$F$101,0))),INDEX(코드표!$K$2:$K$101,MATCH(LEFT(TRIM(F120&amp;""),FIND(" ",TRIM(F120&amp;""))-1),코드표!$J$2:$J$101,0))&amp;"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",TRIM(G120&amp;""))-1),코드표!$J$2:$J$101,0)),ISNUMBER(MATCH(TRIM(RIGHT(SUBSTITUTE(TRIM(G120&amp;"")," ",REPT(" ",60)),60)),코드표!$F$2:$F$101,0))),INDEX(코드표!$K$2:$K$101,MATCH(LEFT(TRIM(G120&amp;""),FIND(" ",TRIM(G120&amp;""))-1),코드표!$J$2:$J$101,0))&amp;"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",TRIM(H120&amp;""))-1),코드표!$J$2:$J$101,0)),ISNUMBER(MATCH(TRIM(RIGHT(SUBSTITUTE(TRIM(H120&amp;"")," ",REPT(" ",60)),60)),코드표!$F$2:$F$101,0))),INDEX(코드표!$K$2:$K$101,MATCH(LEFT(TRIM(H120&amp;""),FIND(" ",TRIM(H120&amp;""))-1),코드표!$J$2:$J$101,0))&amp;"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",TRIM(I120&amp;""))-1),코드표!$J$2:$J$101,0)),ISNUMBER(MATCH(TRIM(RIGHT(SUBSTITUTE(TRIM(I120&amp;"")," ",REPT(" ",60)),60)),코드표!$F$2:$F$101,0))),INDEX(코드표!$K$2:$K$101,MATCH(LEFT(TRIM(I120&amp;""),FIND(" ",TRIM(I120&amp;""))-1),코드표!$J$2:$J$101,0))&amp;"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",TRIM(J120&amp;""))-1),코드표!$J$2:$J$101,0)),ISNUMBER(MATCH(TRIM(RIGHT(SUBSTITUTE(TRIM(J120&amp;"")," ",REPT(" ",60)),60)),코드표!$F$2:$F$101,0))),INDEX(코드표!$K$2:$K$101,MATCH(LEFT(TRIM(J120&amp;""),FIND(" ",TRIM(J120&amp;""))-1),코드표!$J$2:$J$101,0))&amp;"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",TRIM(E121&amp;""))-1),코드표!$J$2:$J$101,0)),ISNUMBER(MATCH(TRIM(RIGHT(SUBSTITUTE(TRIM(E121&amp;"")," ",REPT(" ",60)),60)),코드표!$F$2:$F$101,0))),INDEX(코드표!$K$2:$K$101,MATCH(LEFT(TRIM(E121&amp;""),FIND(" ",TRIM(E121&amp;""))-1),코드표!$J$2:$J$101,0))&amp;"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",TRIM(F121&amp;""))-1),코드표!$J$2:$J$101,0)),ISNUMBER(MATCH(TRIM(RIGHT(SUBSTITUTE(TRIM(F121&amp;"")," ",REPT(" ",60)),60)),코드표!$F$2:$F$101,0))),INDEX(코드표!$K$2:$K$101,MATCH(LEFT(TRIM(F121&amp;""),FIND(" ",TRIM(F121&amp;""))-1),코드표!$J$2:$J$101,0))&amp;"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",TRIM(G121&amp;""))-1),코드표!$J$2:$J$101,0)),ISNUMBER(MATCH(TRIM(RIGHT(SUBSTITUTE(TRIM(G121&amp;"")," ",REPT(" ",60)),60)),코드표!$F$2:$F$101,0))),INDEX(코드표!$K$2:$K$101,MATCH(LEFT(TRIM(G121&amp;""),FIND(" ",TRIM(G121&amp;""))-1),코드표!$J$2:$J$101,0))&amp;"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",TRIM(H121&amp;""))-1),코드표!$J$2:$J$101,0)),ISNUMBER(MATCH(TRIM(RIGHT(SUBSTITUTE(TRIM(H121&amp;"")," ",REPT(" ",60)),60)),코드표!$F$2:$F$101,0))),INDEX(코드표!$K$2:$K$101,MATCH(LEFT(TRIM(H121&amp;""),FIND(" ",TRIM(H121&amp;""))-1),코드표!$J$2:$J$101,0))&amp;"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",TRIM(I121&amp;""))-1),코드표!$J$2:$J$101,0)),ISNUMBER(MATCH(TRIM(RIGHT(SUBSTITUTE(TRIM(I121&amp;"")," ",REPT(" ",60)),60)),코드표!$F$2:$F$101,0))),INDEX(코드표!$K$2:$K$101,MATCH(LEFT(TRIM(I121&amp;""),FIND(" ",TRIM(I121&amp;""))-1),코드표!$J$2:$J$101,0))&amp;"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",TRIM(J121&amp;""))-1),코드표!$J$2:$J$101,0)),ISNUMBER(MATCH(TRIM(RIGHT(SUBSTITUTE(TRIM(J121&amp;"")," ",REPT(" ",60)),60)),코드표!$F$2:$F$101,0))),INDEX(코드표!$K$2:$K$101,MATCH(LEFT(TRIM(J121&amp;""),FIND(" ",TRIM(J121&amp;""))-1),코드표!$J$2:$J$101,0))&amp;"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",TRIM(E122&amp;""))-1),코드표!$J$2:$J$101,0)),ISNUMBER(MATCH(TRIM(RIGHT(SUBSTITUTE(TRIM(E122&amp;"")," ",REPT(" ",60)),60)),코드표!$F$2:$F$101,0))),INDEX(코드표!$K$2:$K$101,MATCH(LEFT(TRIM(E122&amp;""),FIND(" ",TRIM(E122&amp;""))-1),코드표!$J$2:$J$101,0))&amp;"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",TRIM(F122&amp;""))-1),코드표!$J$2:$J$101,0)),ISNUMBER(MATCH(TRIM(RIGHT(SUBSTITUTE(TRIM(F122&amp;"")," ",REPT(" ",60)),60)),코드표!$F$2:$F$101,0))),INDEX(코드표!$K$2:$K$101,MATCH(LEFT(TRIM(F122&amp;""),FIND(" ",TRIM(F122&amp;""))-1),코드표!$J$2:$J$101,0))&amp;"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",TRIM(G122&amp;""))-1),코드표!$J$2:$J$101,0)),ISNUMBER(MATCH(TRIM(RIGHT(SUBSTITUTE(TRIM(G122&amp;"")," ",REPT(" ",60)),60)),코드표!$F$2:$F$101,0))),INDEX(코드표!$K$2:$K$101,MATCH(LEFT(TRIM(G122&amp;""),FIND(" ",TRIM(G122&amp;""))-1),코드표!$J$2:$J$101,0))&amp;"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",TRIM(H122&amp;""))-1),코드표!$J$2:$J$101,0)),ISNUMBER(MATCH(TRIM(RIGHT(SUBSTITUTE(TRIM(H122&amp;"")," ",REPT(" ",60)),60)),코드표!$F$2:$F$101,0))),INDEX(코드표!$K$2:$K$101,MATCH(LEFT(TRIM(H122&amp;""),FIND(" ",TRIM(H122&amp;""))-1),코드표!$J$2:$J$101,0))&amp;"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",TRIM(I122&amp;""))-1),코드표!$J$2:$J$101,0)),ISNUMBER(MATCH(TRIM(RIGHT(SUBSTITUTE(TRIM(I122&amp;"")," ",REPT(" ",60)),60)),코드표!$F$2:$F$101,0))),INDEX(코드표!$K$2:$K$101,MATCH(LEFT(TRIM(I122&amp;""),FIND(" ",TRIM(I122&amp;""))-1),코드표!$J$2:$J$101,0))&amp;"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",TRIM(J122&amp;""))-1),코드표!$J$2:$J$101,0)),ISNUMBER(MATCH(TRIM(RIGHT(SUBSTITUTE(TRIM(J122&amp;"")," ",REPT(" ",60)),60)),코드표!$F$2:$F$101,0))),INDEX(코드표!$K$2:$K$101,MATCH(LEFT(TRIM(J122&amp;""),FIND(" ",TRIM(J122&amp;""))-1),코드표!$J$2:$J$101,0))&amp;"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",TRIM(E123&amp;""))-1),코드표!$J$2:$J$101,0)),ISNUMBER(MATCH(TRIM(RIGHT(SUBSTITUTE(TRIM(E123&amp;"")," ",REPT(" ",60)),60)),코드표!$F$2:$F$101,0))),INDEX(코드표!$K$2:$K$101,MATCH(LEFT(TRIM(E123&amp;""),FIND(" ",TRIM(E123&amp;""))-1),코드표!$J$2:$J$101,0))&amp;"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",TRIM(F123&amp;""))-1),코드표!$J$2:$J$101,0)),ISNUMBER(MATCH(TRIM(RIGHT(SUBSTITUTE(TRIM(F123&amp;"")," ",REPT(" ",60)),60)),코드표!$F$2:$F$101,0))),INDEX(코드표!$K$2:$K$101,MATCH(LEFT(TRIM(F123&amp;""),FIND(" ",TRIM(F123&amp;""))-1),코드표!$J$2:$J$101,0))&amp;"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",TRIM(G123&amp;""))-1),코드표!$J$2:$J$101,0)),ISNUMBER(MATCH(TRIM(RIGHT(SUBSTITUTE(TRIM(G123&amp;"")," ",REPT(" ",60)),60)),코드표!$F$2:$F$101,0))),INDEX(코드표!$K$2:$K$101,MATCH(LEFT(TRIM(G123&amp;""),FIND(" ",TRIM(G123&amp;""))-1),코드표!$J$2:$J$101,0))&amp;"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",TRIM(H123&amp;""))-1),코드표!$J$2:$J$101,0)),ISNUMBER(MATCH(TRIM(RIGHT(SUBSTITUTE(TRIM(H123&amp;"")," ",REPT(" ",60)),60)),코드표!$F$2:$F$101,0))),INDEX(코드표!$K$2:$K$101,MATCH(LEFT(TRIM(H123&amp;""),FIND(" ",TRIM(H123&amp;""))-1),코드표!$J$2:$J$101,0))&amp;"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",TRIM(I123&amp;""))-1),코드표!$J$2:$J$101,0)),ISNUMBER(MATCH(TRIM(RIGHT(SUBSTITUTE(TRIM(I123&amp;"")," ",REPT(" ",60)),60)),코드표!$F$2:$F$101,0))),INDEX(코드표!$K$2:$K$101,MATCH(LEFT(TRIM(I123&amp;""),FIND(" ",TRIM(I123&amp;""))-1),코드표!$J$2:$J$101,0))&amp;"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",TRIM(J123&amp;""))-1),코드표!$J$2:$J$101,0)),ISNUMBER(MATCH(TRIM(RIGHT(SUBSTITUTE(TRIM(J123&amp;"")," ",REPT(" ",60)),60)),코드표!$F$2:$F$101,0))),INDEX(코드표!$K$2:$K$101,MATCH(LEFT(TRIM(J123&amp;""),FIND(" ",TRIM(J123&amp;""))-1),코드표!$J$2:$J$101,0))&amp;"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",TRIM(E124&amp;""))-1),코드표!$J$2:$J$101,0)),ISNUMBER(MATCH(TRIM(RIGHT(SUBSTITUTE(TRIM(E124&amp;"")," ",REPT(" ",60)),60)),코드표!$F$2:$F$101,0))),INDEX(코드표!$K$2:$K$101,MATCH(LEFT(TRIM(E124&amp;""),FIND(" ",TRIM(E124&amp;""))-1),코드표!$J$2:$J$101,0))&amp;"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",TRIM(F124&amp;""))-1),코드표!$J$2:$J$101,0)),ISNUMBER(MATCH(TRIM(RIGHT(SUBSTITUTE(TRIM(F124&amp;"")," ",REPT(" ",60)),60)),코드표!$F$2:$F$101,0))),INDEX(코드표!$K$2:$K$101,MATCH(LEFT(TRIM(F124&amp;""),FIND(" ",TRIM(F124&amp;""))-1),코드표!$J$2:$J$101,0))&amp;"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",TRIM(G124&amp;""))-1),코드표!$J$2:$J$101,0)),ISNUMBER(MATCH(TRIM(RIGHT(SUBSTITUTE(TRIM(G124&amp;"")," ",REPT(" ",60)),60)),코드표!$F$2:$F$101,0))),INDEX(코드표!$K$2:$K$101,MATCH(LEFT(TRIM(G124&amp;""),FIND(" ",TRIM(G124&amp;""))-1),코드표!$J$2:$J$101,0))&amp;"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",TRIM(H124&amp;""))-1),코드표!$J$2:$J$101,0)),ISNUMBER(MATCH(TRIM(RIGHT(SUBSTITUTE(TRIM(H124&amp;"")," ",REPT(" ",60)),60)),코드표!$F$2:$F$101,0))),INDEX(코드표!$K$2:$K$101,MATCH(LEFT(TRIM(H124&amp;""),FIND(" ",TRIM(H124&amp;""))-1),코드표!$J$2:$J$101,0))&amp;"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",TRIM(I124&amp;""))-1),코드표!$J$2:$J$101,0)),ISNUMBER(MATCH(TRIM(RIGHT(SUBSTITUTE(TRIM(I124&amp;"")," ",REPT(" ",60)),60)),코드표!$F$2:$F$101,0))),INDEX(코드표!$K$2:$K$101,MATCH(LEFT(TRIM(I124&amp;""),FIND(" ",TRIM(I124&amp;""))-1),코드표!$J$2:$J$101,0))&amp;"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",TRIM(J124&amp;""))-1),코드표!$J$2:$J$101,0)),ISNUMBER(MATCH(TRIM(RIGHT(SUBSTITUTE(TRIM(J124&amp;"")," ",REPT(" ",60)),60)),코드표!$F$2:$F$101,0))),INDEX(코드표!$K$2:$K$101,MATCH(LEFT(TRIM(J124&amp;""),FIND(" ",TRIM(J124&amp;""))-1),코드표!$J$2:$J$101,0))&amp;"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",TRIM(E125&amp;""))-1),코드표!$J$2:$J$101,0)),ISNUMBER(MATCH(TRIM(RIGHT(SUBSTITUTE(TRIM(E125&amp;"")," ",REPT(" ",60)),60)),코드표!$F$2:$F$101,0))),INDEX(코드표!$K$2:$K$101,MATCH(LEFT(TRIM(E125&amp;""),FIND(" ",TRIM(E125&amp;""))-1),코드표!$J$2:$J$101,0))&amp;"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",TRIM(F125&amp;""))-1),코드표!$J$2:$J$101,0)),ISNUMBER(MATCH(TRIM(RIGHT(SUBSTITUTE(TRIM(F125&amp;"")," ",REPT(" ",60)),60)),코드표!$F$2:$F$101,0))),INDEX(코드표!$K$2:$K$101,MATCH(LEFT(TRIM(F125&amp;""),FIND(" ",TRIM(F125&amp;""))-1),코드표!$J$2:$J$101,0))&amp;"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",TRIM(G125&amp;""))-1),코드표!$J$2:$J$101,0)),ISNUMBER(MATCH(TRIM(RIGHT(SUBSTITUTE(TRIM(G125&amp;"")," ",REPT(" ",60)),60)),코드표!$F$2:$F$101,0))),INDEX(코드표!$K$2:$K$101,MATCH(LEFT(TRIM(G125&amp;""),FIND(" ",TRIM(G125&amp;""))-1),코드표!$J$2:$J$101,0))&amp;"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",TRIM(H125&amp;""))-1),코드표!$J$2:$J$101,0)),ISNUMBER(MATCH(TRIM(RIGHT(SUBSTITUTE(TRIM(H125&amp;"")," ",REPT(" ",60)),60)),코드표!$F$2:$F$101,0))),INDEX(코드표!$K$2:$K$101,MATCH(LEFT(TRIM(H125&amp;""),FIND(" ",TRIM(H125&amp;""))-1),코드표!$J$2:$J$101,0))&amp;"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",TRIM(I125&amp;""))-1),코드표!$J$2:$J$101,0)),ISNUMBER(MATCH(TRIM(RIGHT(SUBSTITUTE(TRIM(I125&amp;"")," ",REPT(" ",60)),60)),코드표!$F$2:$F$101,0))),INDEX(코드표!$K$2:$K$101,MATCH(LEFT(TRIM(I125&amp;""),FIND(" ",TRIM(I125&amp;""))-1),코드표!$J$2:$J$101,0))&amp;"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",TRIM(J125&amp;""))-1),코드표!$J$2:$J$101,0)),ISNUMBER(MATCH(TRIM(RIGHT(SUBSTITUTE(TRIM(J125&amp;"")," ",REPT(" ",60)),60)),코드표!$F$2:$F$101,0))),INDEX(코드표!$K$2:$K$101,MATCH(LEFT(TRIM(J125&amp;""),FIND(" ",TRIM(J125&amp;""))-1),코드표!$J$2:$J$101,0))&amp;"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",TRIM(E126&amp;""))-1),코드표!$J$2:$J$101,0)),ISNUMBER(MATCH(TRIM(RIGHT(SUBSTITUTE(TRIM(E126&amp;"")," ",REPT(" ",60)),60)),코드표!$F$2:$F$101,0))),INDEX(코드표!$K$2:$K$101,MATCH(LEFT(TRIM(E126&amp;""),FIND(" ",TRIM(E126&amp;""))-1),코드표!$J$2:$J$101,0))&amp;"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",TRIM(F126&amp;""))-1),코드표!$J$2:$J$101,0)),ISNUMBER(MATCH(TRIM(RIGHT(SUBSTITUTE(TRIM(F126&amp;"")," ",REPT(" ",60)),60)),코드표!$F$2:$F$101,0))),INDEX(코드표!$K$2:$K$101,MATCH(LEFT(TRIM(F126&amp;""),FIND(" ",TRIM(F126&amp;""))-1),코드표!$J$2:$J$101,0))&amp;"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",TRIM(G126&amp;""))-1),코드표!$J$2:$J$101,0)),ISNUMBER(MATCH(TRIM(RIGHT(SUBSTITUTE(TRIM(G126&amp;"")," ",REPT(" ",60)),60)),코드표!$F$2:$F$101,0))),INDEX(코드표!$K$2:$K$101,MATCH(LEFT(TRIM(G126&amp;""),FIND(" ",TRIM(G126&amp;""))-1),코드표!$J$2:$J$101,0))&amp;"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",TRIM(H126&amp;""))-1),코드표!$J$2:$J$101,0)),ISNUMBER(MATCH(TRIM(RIGHT(SUBSTITUTE(TRIM(H126&amp;"")," ",REPT(" ",60)),60)),코드표!$F$2:$F$101,0))),INDEX(코드표!$K$2:$K$101,MATCH(LEFT(TRIM(H126&amp;""),FIND(" ",TRIM(H126&amp;""))-1),코드표!$J$2:$J$101,0))&amp;"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",TRIM(I126&amp;""))-1),코드표!$J$2:$J$101,0)),ISNUMBER(MATCH(TRIM(RIGHT(SUBSTITUTE(TRIM(I126&amp;"")," ",REPT(" ",60)),60)),코드표!$F$2:$F$101,0))),INDEX(코드표!$K$2:$K$101,MATCH(LEFT(TRIM(I126&amp;""),FIND(" ",TRIM(I126&amp;""))-1),코드표!$J$2:$J$101,0))&amp;"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",TRIM(J126&amp;""))-1),코드표!$J$2:$J$101,0)),ISNUMBER(MATCH(TRIM(RIGHT(SUBSTITUTE(TRIM(J126&amp;"")," ",REPT(" ",60)),60)),코드표!$F$2:$F$101,0))),INDEX(코드표!$K$2:$K$101,MATCH(LEFT(TRIM(J126&amp;""),FIND(" ",TRIM(J126&amp;""))-1),코드표!$J$2:$J$101,0))&amp;"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",TRIM(E127&amp;""))-1),코드표!$J$2:$J$101,0)),ISNUMBER(MATCH(TRIM(RIGHT(SUBSTITUTE(TRIM(E127&amp;"")," ",REPT(" ",60)),60)),코드표!$F$2:$F$101,0))),INDEX(코드표!$K$2:$K$101,MATCH(LEFT(TRIM(E127&amp;""),FIND(" ",TRIM(E127&amp;""))-1),코드표!$J$2:$J$101,0))&amp;"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",TRIM(F127&amp;""))-1),코드표!$J$2:$J$101,0)),ISNUMBER(MATCH(TRIM(RIGHT(SUBSTITUTE(TRIM(F127&amp;"")," ",REPT(" ",60)),60)),코드표!$F$2:$F$101,0))),INDEX(코드표!$K$2:$K$101,MATCH(LEFT(TRIM(F127&amp;""),FIND(" ",TRIM(F127&amp;""))-1),코드표!$J$2:$J$101,0))&amp;"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",TRIM(G127&amp;""))-1),코드표!$J$2:$J$101,0)),ISNUMBER(MATCH(TRIM(RIGHT(SUBSTITUTE(TRIM(G127&amp;"")," ",REPT(" ",60)),60)),코드표!$F$2:$F$101,0))),INDEX(코드표!$K$2:$K$101,MATCH(LEFT(TRIM(G127&amp;""),FIND(" ",TRIM(G127&amp;""))-1),코드표!$J$2:$J$101,0))&amp;"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",TRIM(H127&amp;""))-1),코드표!$J$2:$J$101,0)),ISNUMBER(MATCH(TRIM(RIGHT(SUBSTITUTE(TRIM(H127&amp;"")," ",REPT(" ",60)),60)),코드표!$F$2:$F$101,0))),INDEX(코드표!$K$2:$K$101,MATCH(LEFT(TRIM(H127&amp;""),FIND(" ",TRIM(H127&amp;""))-1),코드표!$J$2:$J$101,0))&amp;"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",TRIM(I127&amp;""))-1),코드표!$J$2:$J$101,0)),ISNUMBER(MATCH(TRIM(RIGHT(SUBSTITUTE(TRIM(I127&amp;"")," ",REPT(" ",60)),60)),코드표!$F$2:$F$101,0))),INDEX(코드표!$K$2:$K$101,MATCH(LEFT(TRIM(I127&amp;""),FIND(" ",TRIM(I127&amp;""))-1),코드표!$J$2:$J$101,0))&amp;"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",TRIM(J127&amp;""))-1),코드표!$J$2:$J$101,0)),ISNUMBER(MATCH(TRIM(RIGHT(SUBSTITUTE(TRIM(J127&amp;"")," ",REPT(" ",60)),60)),코드표!$F$2:$F$101,0))),INDEX(코드표!$K$2:$K$101,MATCH(LEFT(TRIM(J127&amp;""),FIND(" ",TRIM(J127&amp;""))-1),코드표!$J$2:$J$101,0))&amp;"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",TRIM(E128&amp;""))-1),코드표!$J$2:$J$101,0)),ISNUMBER(MATCH(TRIM(RIGHT(SUBSTITUTE(TRIM(E128&amp;"")," ",REPT(" ",60)),60)),코드표!$F$2:$F$101,0))),INDEX(코드표!$K$2:$K$101,MATCH(LEFT(TRIM(E128&amp;""),FIND(" ",TRIM(E128&amp;""))-1),코드표!$J$2:$J$101,0))&amp;"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",TRIM(F128&amp;""))-1),코드표!$J$2:$J$101,0)),ISNUMBER(MATCH(TRIM(RIGHT(SUBSTITUTE(TRIM(F128&amp;"")," ",REPT(" ",60)),60)),코드표!$F$2:$F$101,0))),INDEX(코드표!$K$2:$K$101,MATCH(LEFT(TRIM(F128&amp;""),FIND(" ",TRIM(F128&amp;""))-1),코드표!$J$2:$J$101,0))&amp;"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",TRIM(G128&amp;""))-1),코드표!$J$2:$J$101,0)),ISNUMBER(MATCH(TRIM(RIGHT(SUBSTITUTE(TRIM(G128&amp;"")," ",REPT(" ",60)),60)),코드표!$F$2:$F$101,0))),INDEX(코드표!$K$2:$K$101,MATCH(LEFT(TRIM(G128&amp;""),FIND(" ",TRIM(G128&amp;""))-1),코드표!$J$2:$J$101,0))&amp;"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",TRIM(H128&amp;""))-1),코드표!$J$2:$J$101,0)),ISNUMBER(MATCH(TRIM(RIGHT(SUBSTITUTE(TRIM(H128&amp;"")," ",REPT(" ",60)),60)),코드표!$F$2:$F$101,0))),INDEX(코드표!$K$2:$K$101,MATCH(LEFT(TRIM(H128&amp;""),FIND(" ",TRIM(H128&amp;""))-1),코드표!$J$2:$J$101,0))&amp;"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",TRIM(I128&amp;""))-1),코드표!$J$2:$J$101,0)),ISNUMBER(MATCH(TRIM(RIGHT(SUBSTITUTE(TRIM(I128&amp;"")," ",REPT(" ",60)),60)),코드표!$F$2:$F$101,0))),INDEX(코드표!$K$2:$K$101,MATCH(LEFT(TRIM(I128&amp;""),FIND(" ",TRIM(I128&amp;""))-1),코드표!$J$2:$J$101,0))&amp;"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",TRIM(J128&amp;""))-1),코드표!$J$2:$J$101,0)),ISNUMBER(MATCH(TRIM(RIGHT(SUBSTITUTE(TRIM(J128&amp;"")," ",REPT(" ",60)),60)),코드표!$F$2:$F$101,0))),INDEX(코드표!$K$2:$K$101,MATCH(LEFT(TRIM(J128&amp;""),FIND(" ",TRIM(J128&amp;""))-1),코드표!$J$2:$J$101,0))&amp;"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",TRIM(E129&amp;""))-1),코드표!$J$2:$J$101,0)),ISNUMBER(MATCH(TRIM(RIGHT(SUBSTITUTE(TRIM(E129&amp;"")," ",REPT(" ",60)),60)),코드표!$F$2:$F$101,0))),INDEX(코드표!$K$2:$K$101,MATCH(LEFT(TRIM(E129&amp;""),FIND(" ",TRIM(E129&amp;""))-1),코드표!$J$2:$J$101,0))&amp;"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",TRIM(F129&amp;""))-1),코드표!$J$2:$J$101,0)),ISNUMBER(MATCH(TRIM(RIGHT(SUBSTITUTE(TRIM(F129&amp;"")," ",REPT(" ",60)),60)),코드표!$F$2:$F$101,0))),INDEX(코드표!$K$2:$K$101,MATCH(LEFT(TRIM(F129&amp;""),FIND(" ",TRIM(F129&amp;""))-1),코드표!$J$2:$J$101,0))&amp;"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",TRIM(G129&amp;""))-1),코드표!$J$2:$J$101,0)),ISNUMBER(MATCH(TRIM(RIGHT(SUBSTITUTE(TRIM(G129&amp;"")," ",REPT(" ",60)),60)),코드표!$F$2:$F$101,0))),INDEX(코드표!$K$2:$K$101,MATCH(LEFT(TRIM(G129&amp;""),FIND(" ",TRIM(G129&amp;""))-1),코드표!$J$2:$J$101,0))&amp;"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",TRIM(H129&amp;""))-1),코드표!$J$2:$J$101,0)),ISNUMBER(MATCH(TRIM(RIGHT(SUBSTITUTE(TRIM(H129&amp;"")," ",REPT(" ",60)),60)),코드표!$F$2:$F$101,0))),INDEX(코드표!$K$2:$K$101,MATCH(LEFT(TRIM(H129&amp;""),FIND(" ",TRIM(H129&amp;""))-1),코드표!$J$2:$J$101,0))&amp;"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",TRIM(I129&amp;""))-1),코드표!$J$2:$J$101,0)),ISNUMBER(MATCH(TRIM(RIGHT(SUBSTITUTE(TRIM(I129&amp;"")," ",REPT(" ",60)),60)),코드표!$F$2:$F$101,0))),INDEX(코드표!$K$2:$K$101,MATCH(LEFT(TRIM(I129&amp;""),FIND(" ",TRIM(I129&amp;""))-1),코드표!$J$2:$J$101,0))&amp;"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",TRIM(J129&amp;""))-1),코드표!$J$2:$J$101,0)),ISNUMBER(MATCH(TRIM(RIGHT(SUBSTITUTE(TRIM(J129&amp;"")," ",REPT(" ",60)),60)),코드표!$F$2:$F$101,0))),INDEX(코드표!$K$2:$K$101,MATCH(LEFT(TRIM(J129&amp;""),FIND(" ",TRIM(J129&amp;""))-1),코드표!$J$2:$J$101,0))&amp;"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",TRIM(E130&amp;""))-1),코드표!$J$2:$J$101,0)),ISNUMBER(MATCH(TRIM(RIGHT(SUBSTITUTE(TRIM(E130&amp;"")," ",REPT(" ",60)),60)),코드표!$F$2:$F$101,0))),INDEX(코드표!$K$2:$K$101,MATCH(LEFT(TRIM(E130&amp;""),FIND(" ",TRIM(E130&amp;""))-1),코드표!$J$2:$J$101,0))&amp;"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",TRIM(F130&amp;""))-1),코드표!$J$2:$J$101,0)),ISNUMBER(MATCH(TRIM(RIGHT(SUBSTITUTE(TRIM(F130&amp;"")," ",REPT(" ",60)),60)),코드표!$F$2:$F$101,0))),INDEX(코드표!$K$2:$K$101,MATCH(LEFT(TRIM(F130&amp;""),FIND(" ",TRIM(F130&amp;""))-1),코드표!$J$2:$J$101,0))&amp;"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",TRIM(G130&amp;""))-1),코드표!$J$2:$J$101,0)),ISNUMBER(MATCH(TRIM(RIGHT(SUBSTITUTE(TRIM(G130&amp;"")," ",REPT(" ",60)),60)),코드표!$F$2:$F$101,0))),INDEX(코드표!$K$2:$K$101,MATCH(LEFT(TRIM(G130&amp;""),FIND(" ",TRIM(G130&amp;""))-1),코드표!$J$2:$J$101,0))&amp;"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",TRIM(H130&amp;""))-1),코드표!$J$2:$J$101,0)),ISNUMBER(MATCH(TRIM(RIGHT(SUBSTITUTE(TRIM(H130&amp;"")," ",REPT(" ",60)),60)),코드표!$F$2:$F$101,0))),INDEX(코드표!$K$2:$K$101,MATCH(LEFT(TRIM(H130&amp;""),FIND(" ",TRIM(H130&amp;""))-1),코드표!$J$2:$J$101,0))&amp;"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",TRIM(I130&amp;""))-1),코드표!$J$2:$J$101,0)),ISNUMBER(MATCH(TRIM(RIGHT(SUBSTITUTE(TRIM(I130&amp;"")," ",REPT(" ",60)),60)),코드표!$F$2:$F$101,0))),INDEX(코드표!$K$2:$K$101,MATCH(LEFT(TRIM(I130&amp;""),FIND(" ",TRIM(I130&amp;""))-1),코드표!$J$2:$J$101,0))&amp;"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",TRIM(J130&amp;""))-1),코드표!$J$2:$J$101,0)),ISNUMBER(MATCH(TRIM(RIGHT(SUBSTITUTE(TRIM(J130&amp;"")," ",REPT(" ",60)),60)),코드표!$F$2:$F$101,0))),INDEX(코드표!$K$2:$K$101,MATCH(LEFT(TRIM(J130&amp;""),FIND(" ",TRIM(J130&amp;""))-1),코드표!$J$2:$J$101,0))&amp;"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",TRIM(E131&amp;""))-1),코드표!$J$2:$J$101,0)),ISNUMBER(MATCH(TRIM(RIGHT(SUBSTITUTE(TRIM(E131&amp;"")," ",REPT(" ",60)),60)),코드표!$F$2:$F$101,0))),INDEX(코드표!$K$2:$K$101,MATCH(LEFT(TRIM(E131&amp;""),FIND(" ",TRIM(E131&amp;""))-1),코드표!$J$2:$J$101,0))&amp;"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",TRIM(F131&amp;""))-1),코드표!$J$2:$J$101,0)),ISNUMBER(MATCH(TRIM(RIGHT(SUBSTITUTE(TRIM(F131&amp;"")," ",REPT(" ",60)),60)),코드표!$F$2:$F$101,0))),INDEX(코드표!$K$2:$K$101,MATCH(LEFT(TRIM(F131&amp;""),FIND(" ",TRIM(F131&amp;""))-1),코드표!$J$2:$J$101,0))&amp;"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",TRIM(G131&amp;""))-1),코드표!$J$2:$J$101,0)),ISNUMBER(MATCH(TRIM(RIGHT(SUBSTITUTE(TRIM(G131&amp;"")," ",REPT(" ",60)),60)),코드표!$F$2:$F$101,0))),INDEX(코드표!$K$2:$K$101,MATCH(LEFT(TRIM(G131&amp;""),FIND(" ",TRIM(G131&amp;""))-1),코드표!$J$2:$J$101,0))&amp;"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",TRIM(H131&amp;""))-1),코드표!$J$2:$J$101,0)),ISNUMBER(MATCH(TRIM(RIGHT(SUBSTITUTE(TRIM(H131&amp;"")," ",REPT(" ",60)),60)),코드표!$F$2:$F$101,0))),INDEX(코드표!$K$2:$K$101,MATCH(LEFT(TRIM(H131&amp;""),FIND(" ",TRIM(H131&amp;""))-1),코드표!$J$2:$J$101,0))&amp;"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",TRIM(I131&amp;""))-1),코드표!$J$2:$J$101,0)),ISNUMBER(MATCH(TRIM(RIGHT(SUBSTITUTE(TRIM(I131&amp;"")," ",REPT(" ",60)),60)),코드표!$F$2:$F$101,0))),INDEX(코드표!$K$2:$K$101,MATCH(LEFT(TRIM(I131&amp;""),FIND(" ",TRIM(I131&amp;""))-1),코드표!$J$2:$J$101,0))&amp;"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",TRIM(J131&amp;""))-1),코드표!$J$2:$J$101,0)),ISNUMBER(MATCH(TRIM(RIGHT(SUBSTITUTE(TRIM(J131&amp;"")," ",REPT(" ",60)),60)),코드표!$F$2:$F$101,0))),INDEX(코드표!$K$2:$K$101,MATCH(LEFT(TRIM(J131&amp;""),FIND(" ",TRIM(J131&amp;""))-1),코드표!$J$2:$J$101,0))&amp;"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",TRIM(E132&amp;""))-1),코드표!$J$2:$J$101,0)),ISNUMBER(MATCH(TRIM(RIGHT(SUBSTITUTE(TRIM(E132&amp;"")," ",REPT(" ",60)),60)),코드표!$F$2:$F$101,0))),INDEX(코드표!$K$2:$K$101,MATCH(LEFT(TRIM(E132&amp;""),FIND(" ",TRIM(E132&amp;""))-1),코드표!$J$2:$J$101,0))&amp;"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",TRIM(F132&amp;""))-1),코드표!$J$2:$J$101,0)),ISNUMBER(MATCH(TRIM(RIGHT(SUBSTITUTE(TRIM(F132&amp;"")," ",REPT(" ",60)),60)),코드표!$F$2:$F$101,0))),INDEX(코드표!$K$2:$K$101,MATCH(LEFT(TRIM(F132&amp;""),FIND(" ",TRIM(F132&amp;""))-1),코드표!$J$2:$J$101,0))&amp;"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",TRIM(G132&amp;""))-1),코드표!$J$2:$J$101,0)),ISNUMBER(MATCH(TRIM(RIGHT(SUBSTITUTE(TRIM(G132&amp;"")," ",REPT(" ",60)),60)),코드표!$F$2:$F$101,0))),INDEX(코드표!$K$2:$K$101,MATCH(LEFT(TRIM(G132&amp;""),FIND(" ",TRIM(G132&amp;""))-1),코드표!$J$2:$J$101,0))&amp;"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",TRIM(H132&amp;""))-1),코드표!$J$2:$J$101,0)),ISNUMBER(MATCH(TRIM(RIGHT(SUBSTITUTE(TRIM(H132&amp;"")," ",REPT(" ",60)),60)),코드표!$F$2:$F$101,0))),INDEX(코드표!$K$2:$K$101,MATCH(LEFT(TRIM(H132&amp;""),FIND(" ",TRIM(H132&amp;""))-1),코드표!$J$2:$J$101,0))&amp;"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",TRIM(I132&amp;""))-1),코드표!$J$2:$J$101,0)),ISNUMBER(MATCH(TRIM(RIGHT(SUBSTITUTE(TRIM(I132&amp;"")," ",REPT(" ",60)),60)),코드표!$F$2:$F$101,0))),INDEX(코드표!$K$2:$K$101,MATCH(LEFT(TRIM(I132&amp;""),FIND(" ",TRIM(I132&amp;""))-1),코드표!$J$2:$J$101,0))&amp;"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",TRIM(J132&amp;""))-1),코드표!$J$2:$J$101,0)),ISNUMBER(MATCH(TRIM(RIGHT(SUBSTITUTE(TRIM(J132&amp;"")," ",REPT(" ",60)),60)),코드표!$F$2:$F$101,0))),INDEX(코드표!$K$2:$K$101,MATCH(LEFT(TRIM(J132&amp;""),FIND(" ",TRIM(J132&amp;""))-1),코드표!$J$2:$J$101,0))&amp;"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",TRIM(E133&amp;""))-1),코드표!$J$2:$J$101,0)),ISNUMBER(MATCH(TRIM(RIGHT(SUBSTITUTE(TRIM(E133&amp;"")," ",REPT(" ",60)),60)),코드표!$F$2:$F$101,0))),INDEX(코드표!$K$2:$K$101,MATCH(LEFT(TRIM(E133&amp;""),FIND(" ",TRIM(E133&amp;""))-1),코드표!$J$2:$J$101,0))&amp;"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",TRIM(F133&amp;""))-1),코드표!$J$2:$J$101,0)),ISNUMBER(MATCH(TRIM(RIGHT(SUBSTITUTE(TRIM(F133&amp;"")," ",REPT(" ",60)),60)),코드표!$F$2:$F$101,0))),INDEX(코드표!$K$2:$K$101,MATCH(LEFT(TRIM(F133&amp;""),FIND(" ",TRIM(F133&amp;""))-1),코드표!$J$2:$J$101,0))&amp;"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",TRIM(G133&amp;""))-1),코드표!$J$2:$J$101,0)),ISNUMBER(MATCH(TRIM(RIGHT(SUBSTITUTE(TRIM(G133&amp;"")," ",REPT(" ",60)),60)),코드표!$F$2:$F$101,0))),INDEX(코드표!$K$2:$K$101,MATCH(LEFT(TRIM(G133&amp;""),FIND(" ",TRIM(G133&amp;""))-1),코드표!$J$2:$J$101,0))&amp;"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",TRIM(H133&amp;""))-1),코드표!$J$2:$J$101,0)),ISNUMBER(MATCH(TRIM(RIGHT(SUBSTITUTE(TRIM(H133&amp;"")," ",REPT(" ",60)),60)),코드표!$F$2:$F$101,0))),INDEX(코드표!$K$2:$K$101,MATCH(LEFT(TRIM(H133&amp;""),FIND(" ",TRIM(H133&amp;""))-1),코드표!$J$2:$J$101,0))&amp;"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",TRIM(I133&amp;""))-1),코드표!$J$2:$J$101,0)),ISNUMBER(MATCH(TRIM(RIGHT(SUBSTITUTE(TRIM(I133&amp;"")," ",REPT(" ",60)),60)),코드표!$F$2:$F$101,0))),INDEX(코드표!$K$2:$K$101,MATCH(LEFT(TRIM(I133&amp;""),FIND(" ",TRIM(I133&amp;""))-1),코드표!$J$2:$J$101,0))&amp;"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",TRIM(J133&amp;""))-1),코드표!$J$2:$J$101,0)),ISNUMBER(MATCH(TRIM(RIGHT(SUBSTITUTE(TRIM(J133&amp;"")," ",REPT(" ",60)),60)),코드표!$F$2:$F$101,0))),INDEX(코드표!$K$2:$K$101,MATCH(LEFT(TRIM(J133&amp;""),FIND(" ",TRIM(J133&amp;""))-1),코드표!$J$2:$J$101,0))&amp;"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",TRIM(E134&amp;""))-1),코드표!$J$2:$J$101,0)),ISNUMBER(MATCH(TRIM(RIGHT(SUBSTITUTE(TRIM(E134&amp;"")," ",REPT(" ",60)),60)),코드표!$F$2:$F$101,0))),INDEX(코드표!$K$2:$K$101,MATCH(LEFT(TRIM(E134&amp;""),FIND(" ",TRIM(E134&amp;""))-1),코드표!$J$2:$J$101,0))&amp;"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",TRIM(F134&amp;""))-1),코드표!$J$2:$J$101,0)),ISNUMBER(MATCH(TRIM(RIGHT(SUBSTITUTE(TRIM(F134&amp;"")," ",REPT(" ",60)),60)),코드표!$F$2:$F$101,0))),INDEX(코드표!$K$2:$K$101,MATCH(LEFT(TRIM(F134&amp;""),FIND(" ",TRIM(F134&amp;""))-1),코드표!$J$2:$J$101,0))&amp;"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",TRIM(G134&amp;""))-1),코드표!$J$2:$J$101,0)),ISNUMBER(MATCH(TRIM(RIGHT(SUBSTITUTE(TRIM(G134&amp;"")," ",REPT(" ",60)),60)),코드표!$F$2:$F$101,0))),INDEX(코드표!$K$2:$K$101,MATCH(LEFT(TRIM(G134&amp;""),FIND(" ",TRIM(G134&amp;""))-1),코드표!$J$2:$J$101,0))&amp;"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",TRIM(H134&amp;""))-1),코드표!$J$2:$J$101,0)),ISNUMBER(MATCH(TRIM(RIGHT(SUBSTITUTE(TRIM(H134&amp;"")," ",REPT(" ",60)),60)),코드표!$F$2:$F$101,0))),INDEX(코드표!$K$2:$K$101,MATCH(LEFT(TRIM(H134&amp;""),FIND(" ",TRIM(H134&amp;""))-1),코드표!$J$2:$J$101,0))&amp;"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",TRIM(I134&amp;""))-1),코드표!$J$2:$J$101,0)),ISNUMBER(MATCH(TRIM(RIGHT(SUBSTITUTE(TRIM(I134&amp;"")," ",REPT(" ",60)),60)),코드표!$F$2:$F$101,0))),INDEX(코드표!$K$2:$K$101,MATCH(LEFT(TRIM(I134&amp;""),FIND(" ",TRIM(I134&amp;""))-1),코드표!$J$2:$J$101,0))&amp;"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",TRIM(J134&amp;""))-1),코드표!$J$2:$J$101,0)),ISNUMBER(MATCH(TRIM(RIGHT(SUBSTITUTE(TRIM(J134&amp;"")," ",REPT(" ",60)),60)),코드표!$F$2:$F$101,0))),INDEX(코드표!$K$2:$K$101,MATCH(LEFT(TRIM(J134&amp;""),FIND(" ",TRIM(J134&amp;""))-1),코드표!$J$2:$J$101,0))&amp;"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",TRIM(E135&amp;""))-1),코드표!$J$2:$J$101,0)),ISNUMBER(MATCH(TRIM(RIGHT(SUBSTITUTE(TRIM(E135&amp;"")," ",REPT(" ",60)),60)),코드표!$F$2:$F$101,0))),INDEX(코드표!$K$2:$K$101,MATCH(LEFT(TRIM(E135&amp;""),FIND(" ",TRIM(E135&amp;""))-1),코드표!$J$2:$J$101,0))&amp;"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",TRIM(F135&amp;""))-1),코드표!$J$2:$J$101,0)),ISNUMBER(MATCH(TRIM(RIGHT(SUBSTITUTE(TRIM(F135&amp;"")," ",REPT(" ",60)),60)),코드표!$F$2:$F$101,0))),INDEX(코드표!$K$2:$K$101,MATCH(LEFT(TRIM(F135&amp;""),FIND(" ",TRIM(F135&amp;""))-1),코드표!$J$2:$J$101,0))&amp;"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",TRIM(G135&amp;""))-1),코드표!$J$2:$J$101,0)),ISNUMBER(MATCH(TRIM(RIGHT(SUBSTITUTE(TRIM(G135&amp;"")," ",REPT(" ",60)),60)),코드표!$F$2:$F$101,0))),INDEX(코드표!$K$2:$K$101,MATCH(LEFT(TRIM(G135&amp;""),FIND(" ",TRIM(G135&amp;""))-1),코드표!$J$2:$J$101,0))&amp;"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",TRIM(H135&amp;""))-1),코드표!$J$2:$J$101,0)),ISNUMBER(MATCH(TRIM(RIGHT(SUBSTITUTE(TRIM(H135&amp;"")," ",REPT(" ",60)),60)),코드표!$F$2:$F$101,0))),INDEX(코드표!$K$2:$K$101,MATCH(LEFT(TRIM(H135&amp;""),FIND(" ",TRIM(H135&amp;""))-1),코드표!$J$2:$J$101,0))&amp;"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",TRIM(I135&amp;""))-1),코드표!$J$2:$J$101,0)),ISNUMBER(MATCH(TRIM(RIGHT(SUBSTITUTE(TRIM(I135&amp;"")," ",REPT(" ",60)),60)),코드표!$F$2:$F$101,0))),INDEX(코드표!$K$2:$K$101,MATCH(LEFT(TRIM(I135&amp;""),FIND(" ",TRIM(I135&amp;""))-1),코드표!$J$2:$J$101,0))&amp;"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",TRIM(J135&amp;""))-1),코드표!$J$2:$J$101,0)),ISNUMBER(MATCH(TRIM(RIGHT(SUBSTITUTE(TRIM(J135&amp;"")," ",REPT(" ",60)),60)),코드표!$F$2:$F$101,0))),INDEX(코드표!$K$2:$K$101,MATCH(LEFT(TRIM(J135&amp;""),FIND(" ",TRIM(J135&amp;""))-1),코드표!$J$2:$J$101,0))&amp;"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",TRIM(E136&amp;""))-1),코드표!$J$2:$J$101,0)),ISNUMBER(MATCH(TRIM(RIGHT(SUBSTITUTE(TRIM(E136&amp;"")," ",REPT(" ",60)),60)),코드표!$F$2:$F$101,0))),INDEX(코드표!$K$2:$K$101,MATCH(LEFT(TRIM(E136&amp;""),FIND(" ",TRIM(E136&amp;""))-1),코드표!$J$2:$J$101,0))&amp;"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",TRIM(F136&amp;""))-1),코드표!$J$2:$J$101,0)),ISNUMBER(MATCH(TRIM(RIGHT(SUBSTITUTE(TRIM(F136&amp;"")," ",REPT(" ",60)),60)),코드표!$F$2:$F$101,0))),INDEX(코드표!$K$2:$K$101,MATCH(LEFT(TRIM(F136&amp;""),FIND(" ",TRIM(F136&amp;""))-1),코드표!$J$2:$J$101,0))&amp;"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",TRIM(G136&amp;""))-1),코드표!$J$2:$J$101,0)),ISNUMBER(MATCH(TRIM(RIGHT(SUBSTITUTE(TRIM(G136&amp;"")," ",REPT(" ",60)),60)),코드표!$F$2:$F$101,0))),INDEX(코드표!$K$2:$K$101,MATCH(LEFT(TRIM(G136&amp;""),FIND(" ",TRIM(G136&amp;""))-1),코드표!$J$2:$J$101,0))&amp;"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",TRIM(H136&amp;""))-1),코드표!$J$2:$J$101,0)),ISNUMBER(MATCH(TRIM(RIGHT(SUBSTITUTE(TRIM(H136&amp;"")," ",REPT(" ",60)),60)),코드표!$F$2:$F$101,0))),INDEX(코드표!$K$2:$K$101,MATCH(LEFT(TRIM(H136&amp;""),FIND(" ",TRIM(H136&amp;""))-1),코드표!$J$2:$J$101,0))&amp;"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",TRIM(I136&amp;""))-1),코드표!$J$2:$J$101,0)),ISNUMBER(MATCH(TRIM(RIGHT(SUBSTITUTE(TRIM(I136&amp;"")," ",REPT(" ",60)),60)),코드표!$F$2:$F$101,0))),INDEX(코드표!$K$2:$K$101,MATCH(LEFT(TRIM(I136&amp;""),FIND(" ",TRIM(I136&amp;""))-1),코드표!$J$2:$J$101,0))&amp;"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",TRIM(J136&amp;""))-1),코드표!$J$2:$J$101,0)),ISNUMBER(MATCH(TRIM(RIGHT(SUBSTITUTE(TRIM(J136&amp;"")," ",REPT(" ",60)),60)),코드표!$F$2:$F$101,0))),INDEX(코드표!$K$2:$K$101,MATCH(LEFT(TRIM(J136&amp;""),FIND(" ",TRIM(J136&amp;""))-1),코드표!$J$2:$J$101,0))&amp;"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",TRIM(E137&amp;""))-1),코드표!$J$2:$J$101,0)),ISNUMBER(MATCH(TRIM(RIGHT(SUBSTITUTE(TRIM(E137&amp;"")," ",REPT(" ",60)),60)),코드표!$F$2:$F$101,0))),INDEX(코드표!$K$2:$K$101,MATCH(LEFT(TRIM(E137&amp;""),FIND(" ",TRIM(E137&amp;""))-1),코드표!$J$2:$J$101,0))&amp;"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",TRIM(F137&amp;""))-1),코드표!$J$2:$J$101,0)),ISNUMBER(MATCH(TRIM(RIGHT(SUBSTITUTE(TRIM(F137&amp;"")," ",REPT(" ",60)),60)),코드표!$F$2:$F$101,0))),INDEX(코드표!$K$2:$K$101,MATCH(LEFT(TRIM(F137&amp;""),FIND(" ",TRIM(F137&amp;""))-1),코드표!$J$2:$J$101,0))&amp;"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",TRIM(G137&amp;""))-1),코드표!$J$2:$J$101,0)),ISNUMBER(MATCH(TRIM(RIGHT(SUBSTITUTE(TRIM(G137&amp;"")," ",REPT(" ",60)),60)),코드표!$F$2:$F$101,0))),INDEX(코드표!$K$2:$K$101,MATCH(LEFT(TRIM(G137&amp;""),FIND(" ",TRIM(G137&amp;""))-1),코드표!$J$2:$J$101,0))&amp;"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",TRIM(H137&amp;""))-1),코드표!$J$2:$J$101,0)),ISNUMBER(MATCH(TRIM(RIGHT(SUBSTITUTE(TRIM(H137&amp;"")," ",REPT(" ",60)),60)),코드표!$F$2:$F$101,0))),INDEX(코드표!$K$2:$K$101,MATCH(LEFT(TRIM(H137&amp;""),FIND(" ",TRIM(H137&amp;""))-1),코드표!$J$2:$J$101,0))&amp;"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",TRIM(I137&amp;""))-1),코드표!$J$2:$J$101,0)),ISNUMBER(MATCH(TRIM(RIGHT(SUBSTITUTE(TRIM(I137&amp;"")," ",REPT(" ",60)),60)),코드표!$F$2:$F$101,0))),INDEX(코드표!$K$2:$K$101,MATCH(LEFT(TRIM(I137&amp;""),FIND(" ",TRIM(I137&amp;""))-1),코드표!$J$2:$J$101,0))&amp;"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",TRIM(J137&amp;""))-1),코드표!$J$2:$J$101,0)),ISNUMBER(MATCH(TRIM(RIGHT(SUBSTITUTE(TRIM(J137&amp;"")," ",REPT(" ",60)),60)),코드표!$F$2:$F$101,0))),INDEX(코드표!$K$2:$K$101,MATCH(LEFT(TRIM(J137&amp;""),FIND(" ",TRIM(J137&amp;""))-1),코드표!$J$2:$J$101,0))&amp;"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",TRIM(E138&amp;""))-1),코드표!$J$2:$J$101,0)),ISNUMBER(MATCH(TRIM(RIGHT(SUBSTITUTE(TRIM(E138&amp;"")," ",REPT(" ",60)),60)),코드표!$F$2:$F$101,0))),INDEX(코드표!$K$2:$K$101,MATCH(LEFT(TRIM(E138&amp;""),FIND(" ",TRIM(E138&amp;""))-1),코드표!$J$2:$J$101,0))&amp;"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",TRIM(F138&amp;""))-1),코드표!$J$2:$J$101,0)),ISNUMBER(MATCH(TRIM(RIGHT(SUBSTITUTE(TRIM(F138&amp;"")," ",REPT(" ",60)),60)),코드표!$F$2:$F$101,0))),INDEX(코드표!$K$2:$K$101,MATCH(LEFT(TRIM(F138&amp;""),FIND(" ",TRIM(F138&amp;""))-1),코드표!$J$2:$J$101,0))&amp;"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",TRIM(G138&amp;""))-1),코드표!$J$2:$J$101,0)),ISNUMBER(MATCH(TRIM(RIGHT(SUBSTITUTE(TRIM(G138&amp;"")," ",REPT(" ",60)),60)),코드표!$F$2:$F$101,0))),INDEX(코드표!$K$2:$K$101,MATCH(LEFT(TRIM(G138&amp;""),FIND(" ",TRIM(G138&amp;""))-1),코드표!$J$2:$J$101,0))&amp;"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",TRIM(H138&amp;""))-1),코드표!$J$2:$J$101,0)),ISNUMBER(MATCH(TRIM(RIGHT(SUBSTITUTE(TRIM(H138&amp;"")," ",REPT(" ",60)),60)),코드표!$F$2:$F$101,0))),INDEX(코드표!$K$2:$K$101,MATCH(LEFT(TRIM(H138&amp;""),FIND(" ",TRIM(H138&amp;""))-1),코드표!$J$2:$J$101,0))&amp;"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",TRIM(I138&amp;""))-1),코드표!$J$2:$J$101,0)),ISNUMBER(MATCH(TRIM(RIGHT(SUBSTITUTE(TRIM(I138&amp;"")," ",REPT(" ",60)),60)),코드표!$F$2:$F$101,0))),INDEX(코드표!$K$2:$K$101,MATCH(LEFT(TRIM(I138&amp;""),FIND(" ",TRIM(I138&amp;""))-1),코드표!$J$2:$J$101,0))&amp;"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",TRIM(J138&amp;""))-1),코드표!$J$2:$J$101,0)),ISNUMBER(MATCH(TRIM(RIGHT(SUBSTITUTE(TRIM(J138&amp;"")," ",REPT(" ",60)),60)),코드표!$F$2:$F$101,0))),INDEX(코드표!$K$2:$K$101,MATCH(LEFT(TRIM(J138&amp;""),FIND(" ",TRIM(J138&amp;""))-1),코드표!$J$2:$J$101,0))&amp;"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",TRIM(E139&amp;""))-1),코드표!$J$2:$J$101,0)),ISNUMBER(MATCH(TRIM(RIGHT(SUBSTITUTE(TRIM(E139&amp;"")," ",REPT(" ",60)),60)),코드표!$F$2:$F$101,0))),INDEX(코드표!$K$2:$K$101,MATCH(LEFT(TRIM(E139&amp;""),FIND(" ",TRIM(E139&amp;""))-1),코드표!$J$2:$J$101,0))&amp;"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",TRIM(F139&amp;""))-1),코드표!$J$2:$J$101,0)),ISNUMBER(MATCH(TRIM(RIGHT(SUBSTITUTE(TRIM(F139&amp;"")," ",REPT(" ",60)),60)),코드표!$F$2:$F$101,0))),INDEX(코드표!$K$2:$K$101,MATCH(LEFT(TRIM(F139&amp;""),FIND(" ",TRIM(F139&amp;""))-1),코드표!$J$2:$J$101,0))&amp;"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",TRIM(G139&amp;""))-1),코드표!$J$2:$J$101,0)),ISNUMBER(MATCH(TRIM(RIGHT(SUBSTITUTE(TRIM(G139&amp;"")," ",REPT(" ",60)),60)),코드표!$F$2:$F$101,0))),INDEX(코드표!$K$2:$K$101,MATCH(LEFT(TRIM(G139&amp;""),FIND(" ",TRIM(G139&amp;""))-1),코드표!$J$2:$J$101,0))&amp;"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",TRIM(H139&amp;""))-1),코드표!$J$2:$J$101,0)),ISNUMBER(MATCH(TRIM(RIGHT(SUBSTITUTE(TRIM(H139&amp;"")," ",REPT(" ",60)),60)),코드표!$F$2:$F$101,0))),INDEX(코드표!$K$2:$K$101,MATCH(LEFT(TRIM(H139&amp;""),FIND(" ",TRIM(H139&amp;""))-1),코드표!$J$2:$J$101,0))&amp;"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",TRIM(I139&amp;""))-1),코드표!$J$2:$J$101,0)),ISNUMBER(MATCH(TRIM(RIGHT(SUBSTITUTE(TRIM(I139&amp;"")," ",REPT(" ",60)),60)),코드표!$F$2:$F$101,0))),INDEX(코드표!$K$2:$K$101,MATCH(LEFT(TRIM(I139&amp;""),FIND(" ",TRIM(I139&amp;""))-1),코드표!$J$2:$J$101,0))&amp;"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",TRIM(J139&amp;""))-1),코드표!$J$2:$J$101,0)),ISNUMBER(MATCH(TRIM(RIGHT(SUBSTITUTE(TRIM(J139&amp;"")," ",REPT(" ",60)),60)),코드표!$F$2:$F$101,0))),INDEX(코드표!$K$2:$K$101,MATCH(LEFT(TRIM(J139&amp;""),FIND(" ",TRIM(J139&amp;""))-1),코드표!$J$2:$J$101,0))&amp;"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",TRIM(E140&amp;""))-1),코드표!$J$2:$J$101,0)),ISNUMBER(MATCH(TRIM(RIGHT(SUBSTITUTE(TRIM(E140&amp;"")," ",REPT(" ",60)),60)),코드표!$F$2:$F$101,0))),INDEX(코드표!$K$2:$K$101,MATCH(LEFT(TRIM(E140&amp;""),FIND(" ",TRIM(E140&amp;""))-1),코드표!$J$2:$J$101,0))&amp;"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",TRIM(F140&amp;""))-1),코드표!$J$2:$J$101,0)),ISNUMBER(MATCH(TRIM(RIGHT(SUBSTITUTE(TRIM(F140&amp;"")," ",REPT(" ",60)),60)),코드표!$F$2:$F$101,0))),INDEX(코드표!$K$2:$K$101,MATCH(LEFT(TRIM(F140&amp;""),FIND(" ",TRIM(F140&amp;""))-1),코드표!$J$2:$J$101,0))&amp;"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",TRIM(G140&amp;""))-1),코드표!$J$2:$J$101,0)),ISNUMBER(MATCH(TRIM(RIGHT(SUBSTITUTE(TRIM(G140&amp;"")," ",REPT(" ",60)),60)),코드표!$F$2:$F$101,0))),INDEX(코드표!$K$2:$K$101,MATCH(LEFT(TRIM(G140&amp;""),FIND(" ",TRIM(G140&amp;""))-1),코드표!$J$2:$J$101,0))&amp;"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",TRIM(H140&amp;""))-1),코드표!$J$2:$J$101,0)),ISNUMBER(MATCH(TRIM(RIGHT(SUBSTITUTE(TRIM(H140&amp;"")," ",REPT(" ",60)),60)),코드표!$F$2:$F$101,0))),INDEX(코드표!$K$2:$K$101,MATCH(LEFT(TRIM(H140&amp;""),FIND(" ",TRIM(H140&amp;""))-1),코드표!$J$2:$J$101,0))&amp;"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",TRIM(I140&amp;""))-1),코드표!$J$2:$J$101,0)),ISNUMBER(MATCH(TRIM(RIGHT(SUBSTITUTE(TRIM(I140&amp;"")," ",REPT(" ",60)),60)),코드표!$F$2:$F$101,0))),INDEX(코드표!$K$2:$K$101,MATCH(LEFT(TRIM(I140&amp;""),FIND(" ",TRIM(I140&amp;""))-1),코드표!$J$2:$J$101,0))&amp;"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",TRIM(J140&amp;""))-1),코드표!$J$2:$J$101,0)),ISNUMBER(MATCH(TRIM(RIGHT(SUBSTITUTE(TRIM(J140&amp;"")," ",REPT(" ",60)),60)),코드표!$F$2:$F$101,0))),INDEX(코드표!$K$2:$K$101,MATCH(LEFT(TRIM(J140&amp;""),FIND(" ",TRIM(J140&amp;""))-1),코드표!$J$2:$J$101,0))&amp;"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",TRIM(E141&amp;""))-1),코드표!$J$2:$J$101,0)),ISNUMBER(MATCH(TRIM(RIGHT(SUBSTITUTE(TRIM(E141&amp;"")," ",REPT(" ",60)),60)),코드표!$F$2:$F$101,0))),INDEX(코드표!$K$2:$K$101,MATCH(LEFT(TRIM(E141&amp;""),FIND(" ",TRIM(E141&amp;""))-1),코드표!$J$2:$J$101,0))&amp;"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",TRIM(F141&amp;""))-1),코드표!$J$2:$J$101,0)),ISNUMBER(MATCH(TRIM(RIGHT(SUBSTITUTE(TRIM(F141&amp;"")," ",REPT(" ",60)),60)),코드표!$F$2:$F$101,0))),INDEX(코드표!$K$2:$K$101,MATCH(LEFT(TRIM(F141&amp;""),FIND(" ",TRIM(F141&amp;""))-1),코드표!$J$2:$J$101,0))&amp;"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",TRIM(G141&amp;""))-1),코드표!$J$2:$J$101,0)),ISNUMBER(MATCH(TRIM(RIGHT(SUBSTITUTE(TRIM(G141&amp;"")," ",REPT(" ",60)),60)),코드표!$F$2:$F$101,0))),INDEX(코드표!$K$2:$K$101,MATCH(LEFT(TRIM(G141&amp;""),FIND(" ",TRIM(G141&amp;""))-1),코드표!$J$2:$J$101,0))&amp;"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",TRIM(H141&amp;""))-1),코드표!$J$2:$J$101,0)),ISNUMBER(MATCH(TRIM(RIGHT(SUBSTITUTE(TRIM(H141&amp;"")," ",REPT(" ",60)),60)),코드표!$F$2:$F$101,0))),INDEX(코드표!$K$2:$K$101,MATCH(LEFT(TRIM(H141&amp;""),FIND(" ",TRIM(H141&amp;""))-1),코드표!$J$2:$J$101,0))&amp;"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",TRIM(I141&amp;""))-1),코드표!$J$2:$J$101,0)),ISNUMBER(MATCH(TRIM(RIGHT(SUBSTITUTE(TRIM(I141&amp;"")," ",REPT(" ",60)),60)),코드표!$F$2:$F$101,0))),INDEX(코드표!$K$2:$K$101,MATCH(LEFT(TRIM(I141&amp;""),FIND(" ",TRIM(I141&amp;""))-1),코드표!$J$2:$J$101,0))&amp;"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",TRIM(J141&amp;""))-1),코드표!$J$2:$J$101,0)),ISNUMBER(MATCH(TRIM(RIGHT(SUBSTITUTE(TRIM(J141&amp;"")," ",REPT(" ",60)),60)),코드표!$F$2:$F$101,0))),INDEX(코드표!$K$2:$K$101,MATCH(LEFT(TRIM(J141&amp;""),FIND(" ",TRIM(J141&amp;""))-1),코드표!$J$2:$J$101,0))&amp;"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",TRIM(E142&amp;""))-1),코드표!$J$2:$J$101,0)),ISNUMBER(MATCH(TRIM(RIGHT(SUBSTITUTE(TRIM(E142&amp;"")," ",REPT(" ",60)),60)),코드표!$F$2:$F$101,0))),INDEX(코드표!$K$2:$K$101,MATCH(LEFT(TRIM(E142&amp;""),FIND(" ",TRIM(E142&amp;""))-1),코드표!$J$2:$J$101,0))&amp;"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",TRIM(F142&amp;""))-1),코드표!$J$2:$J$101,0)),ISNUMBER(MATCH(TRIM(RIGHT(SUBSTITUTE(TRIM(F142&amp;"")," ",REPT(" ",60)),60)),코드표!$F$2:$F$101,0))),INDEX(코드표!$K$2:$K$101,MATCH(LEFT(TRIM(F142&amp;""),FIND(" ",TRIM(F142&amp;""))-1),코드표!$J$2:$J$101,0))&amp;"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",TRIM(G142&amp;""))-1),코드표!$J$2:$J$101,0)),ISNUMBER(MATCH(TRIM(RIGHT(SUBSTITUTE(TRIM(G142&amp;"")," ",REPT(" ",60)),60)),코드표!$F$2:$F$101,0))),INDEX(코드표!$K$2:$K$101,MATCH(LEFT(TRIM(G142&amp;""),FIND(" ",TRIM(G142&amp;""))-1),코드표!$J$2:$J$101,0))&amp;"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",TRIM(H142&amp;""))-1),코드표!$J$2:$J$101,0)),ISNUMBER(MATCH(TRIM(RIGHT(SUBSTITUTE(TRIM(H142&amp;"")," ",REPT(" ",60)),60)),코드표!$F$2:$F$101,0))),INDEX(코드표!$K$2:$K$101,MATCH(LEFT(TRIM(H142&amp;""),FIND(" ",TRIM(H142&amp;""))-1),코드표!$J$2:$J$101,0))&amp;"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",TRIM(I142&amp;""))-1),코드표!$J$2:$J$101,0)),ISNUMBER(MATCH(TRIM(RIGHT(SUBSTITUTE(TRIM(I142&amp;"")," ",REPT(" ",60)),60)),코드표!$F$2:$F$101,0))),INDEX(코드표!$K$2:$K$101,MATCH(LEFT(TRIM(I142&amp;""),FIND(" ",TRIM(I142&amp;""))-1),코드표!$J$2:$J$101,0))&amp;"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",TRIM(J142&amp;""))-1),코드표!$J$2:$J$101,0)),ISNUMBER(MATCH(TRIM(RIGHT(SUBSTITUTE(TRIM(J142&amp;"")," ",REPT(" ",60)),60)),코드표!$F$2:$F$101,0))),INDEX(코드표!$K$2:$K$101,MATCH(LEFT(TRIM(J142&amp;""),FIND(" ",TRIM(J142&amp;""))-1),코드표!$J$2:$J$101,0))&amp;"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",TRIM(E143&amp;""))-1),코드표!$J$2:$J$101,0)),ISNUMBER(MATCH(TRIM(RIGHT(SUBSTITUTE(TRIM(E143&amp;"")," ",REPT(" ",60)),60)),코드표!$F$2:$F$101,0))),INDEX(코드표!$K$2:$K$101,MATCH(LEFT(TRIM(E143&amp;""),FIND(" ",TRIM(E143&amp;""))-1),코드표!$J$2:$J$101,0))&amp;"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",TRIM(F143&amp;""))-1),코드표!$J$2:$J$101,0)),ISNUMBER(MATCH(TRIM(RIGHT(SUBSTITUTE(TRIM(F143&amp;"")," ",REPT(" ",60)),60)),코드표!$F$2:$F$101,0))),INDEX(코드표!$K$2:$K$101,MATCH(LEFT(TRIM(F143&amp;""),FIND(" ",TRIM(F143&amp;""))-1),코드표!$J$2:$J$101,0))&amp;"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",TRIM(G143&amp;""))-1),코드표!$J$2:$J$101,0)),ISNUMBER(MATCH(TRIM(RIGHT(SUBSTITUTE(TRIM(G143&amp;"")," ",REPT(" ",60)),60)),코드표!$F$2:$F$101,0))),INDEX(코드표!$K$2:$K$101,MATCH(LEFT(TRIM(G143&amp;""),FIND(" ",TRIM(G143&amp;""))-1),코드표!$J$2:$J$101,0))&amp;"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",TRIM(H143&amp;""))-1),코드표!$J$2:$J$101,0)),ISNUMBER(MATCH(TRIM(RIGHT(SUBSTITUTE(TRIM(H143&amp;"")," ",REPT(" ",60)),60)),코드표!$F$2:$F$101,0))),INDEX(코드표!$K$2:$K$101,MATCH(LEFT(TRIM(H143&amp;""),FIND(" ",TRIM(H143&amp;""))-1),코드표!$J$2:$J$101,0))&amp;"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",TRIM(I143&amp;""))-1),코드표!$J$2:$J$101,0)),ISNUMBER(MATCH(TRIM(RIGHT(SUBSTITUTE(TRIM(I143&amp;"")," ",REPT(" ",60)),60)),코드표!$F$2:$F$101,0))),INDEX(코드표!$K$2:$K$101,MATCH(LEFT(TRIM(I143&amp;""),FIND(" ",TRIM(I143&amp;""))-1),코드표!$J$2:$J$101,0))&amp;"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",TRIM(J143&amp;""))-1),코드표!$J$2:$J$101,0)),ISNUMBER(MATCH(TRIM(RIGHT(SUBSTITUTE(TRIM(J143&amp;"")," ",REPT(" ",60)),60)),코드표!$F$2:$F$101,0))),INDEX(코드표!$K$2:$K$101,MATCH(LEFT(TRIM(J143&amp;""),FIND(" ",TRIM(J143&amp;""))-1),코드표!$J$2:$J$101,0))&amp;"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",TRIM(E144&amp;""))-1),코드표!$J$2:$J$101,0)),ISNUMBER(MATCH(TRIM(RIGHT(SUBSTITUTE(TRIM(E144&amp;"")," ",REPT(" ",60)),60)),코드표!$F$2:$F$101,0))),INDEX(코드표!$K$2:$K$101,MATCH(LEFT(TRIM(E144&amp;""),FIND(" ",TRIM(E144&amp;""))-1),코드표!$J$2:$J$101,0))&amp;"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",TRIM(F144&amp;""))-1),코드표!$J$2:$J$101,0)),ISNUMBER(MATCH(TRIM(RIGHT(SUBSTITUTE(TRIM(F144&amp;"")," ",REPT(" ",60)),60)),코드표!$F$2:$F$101,0))),INDEX(코드표!$K$2:$K$101,MATCH(LEFT(TRIM(F144&amp;""),FIND(" ",TRIM(F144&amp;""))-1),코드표!$J$2:$J$101,0))&amp;"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",TRIM(G144&amp;""))-1),코드표!$J$2:$J$101,0)),ISNUMBER(MATCH(TRIM(RIGHT(SUBSTITUTE(TRIM(G144&amp;"")," ",REPT(" ",60)),60)),코드표!$F$2:$F$101,0))),INDEX(코드표!$K$2:$K$101,MATCH(LEFT(TRIM(G144&amp;""),FIND(" ",TRIM(G144&amp;""))-1),코드표!$J$2:$J$101,0))&amp;"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",TRIM(H144&amp;""))-1),코드표!$J$2:$J$101,0)),ISNUMBER(MATCH(TRIM(RIGHT(SUBSTITUTE(TRIM(H144&amp;"")," ",REPT(" ",60)),60)),코드표!$F$2:$F$101,0))),INDEX(코드표!$K$2:$K$101,MATCH(LEFT(TRIM(H144&amp;""),FIND(" ",TRIM(H144&amp;""))-1),코드표!$J$2:$J$101,0))&amp;"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",TRIM(I144&amp;""))-1),코드표!$J$2:$J$101,0)),ISNUMBER(MATCH(TRIM(RIGHT(SUBSTITUTE(TRIM(I144&amp;"")," ",REPT(" ",60)),60)),코드표!$F$2:$F$101,0))),INDEX(코드표!$K$2:$K$101,MATCH(LEFT(TRIM(I144&amp;""),FIND(" ",TRIM(I144&amp;""))-1),코드표!$J$2:$J$101,0))&amp;"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",TRIM(J144&amp;""))-1),코드표!$J$2:$J$101,0)),ISNUMBER(MATCH(TRIM(RIGHT(SUBSTITUTE(TRIM(J144&amp;"")," ",REPT(" ",60)),60)),코드표!$F$2:$F$101,0))),INDEX(코드표!$K$2:$K$101,MATCH(LEFT(TRIM(J144&amp;""),FIND(" ",TRIM(J144&amp;""))-1),코드표!$J$2:$J$101,0))&amp;"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",TRIM(E145&amp;""))-1),코드표!$J$2:$J$101,0)),ISNUMBER(MATCH(TRIM(RIGHT(SUBSTITUTE(TRIM(E145&amp;"")," ",REPT(" ",60)),60)),코드표!$F$2:$F$101,0))),INDEX(코드표!$K$2:$K$101,MATCH(LEFT(TRIM(E145&amp;""),FIND(" ",TRIM(E145&amp;""))-1),코드표!$J$2:$J$101,0))&amp;"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",TRIM(F145&amp;""))-1),코드표!$J$2:$J$101,0)),ISNUMBER(MATCH(TRIM(RIGHT(SUBSTITUTE(TRIM(F145&amp;"")," ",REPT(" ",60)),60)),코드표!$F$2:$F$101,0))),INDEX(코드표!$K$2:$K$101,MATCH(LEFT(TRIM(F145&amp;""),FIND(" ",TRIM(F145&amp;""))-1),코드표!$J$2:$J$101,0))&amp;"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",TRIM(G145&amp;""))-1),코드표!$J$2:$J$101,0)),ISNUMBER(MATCH(TRIM(RIGHT(SUBSTITUTE(TRIM(G145&amp;"")," ",REPT(" ",60)),60)),코드표!$F$2:$F$101,0))),INDEX(코드표!$K$2:$K$101,MATCH(LEFT(TRIM(G145&amp;""),FIND(" ",TRIM(G145&amp;""))-1),코드표!$J$2:$J$101,0))&amp;"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",TRIM(H145&amp;""))-1),코드표!$J$2:$J$101,0)),ISNUMBER(MATCH(TRIM(RIGHT(SUBSTITUTE(TRIM(H145&amp;"")," ",REPT(" ",60)),60)),코드표!$F$2:$F$101,0))),INDEX(코드표!$K$2:$K$101,MATCH(LEFT(TRIM(H145&amp;""),FIND(" ",TRIM(H145&amp;""))-1),코드표!$J$2:$J$101,0))&amp;"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",TRIM(I145&amp;""))-1),코드표!$J$2:$J$101,0)),ISNUMBER(MATCH(TRIM(RIGHT(SUBSTITUTE(TRIM(I145&amp;"")," ",REPT(" ",60)),60)),코드표!$F$2:$F$101,0))),INDEX(코드표!$K$2:$K$101,MATCH(LEFT(TRIM(I145&amp;""),FIND(" ",TRIM(I145&amp;""))-1),코드표!$J$2:$J$101,0))&amp;"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",TRIM(J145&amp;""))-1),코드표!$J$2:$J$101,0)),ISNUMBER(MATCH(TRIM(RIGHT(SUBSTITUTE(TRIM(J145&amp;"")," ",REPT(" ",60)),60)),코드표!$F$2:$F$101,0))),INDEX(코드표!$K$2:$K$101,MATCH(LEFT(TRIM(J145&amp;""),FIND(" ",TRIM(J145&amp;""))-1),코드표!$J$2:$J$101,0))&amp;"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",TRIM(E146&amp;""))-1),코드표!$J$2:$J$101,0)),ISNUMBER(MATCH(TRIM(RIGHT(SUBSTITUTE(TRIM(E146&amp;"")," ",REPT(" ",60)),60)),코드표!$F$2:$F$101,0))),INDEX(코드표!$K$2:$K$101,MATCH(LEFT(TRIM(E146&amp;""),FIND(" ",TRIM(E146&amp;""))-1),코드표!$J$2:$J$101,0))&amp;"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",TRIM(F146&amp;""))-1),코드표!$J$2:$J$101,0)),ISNUMBER(MATCH(TRIM(RIGHT(SUBSTITUTE(TRIM(F146&amp;"")," ",REPT(" ",60)),60)),코드표!$F$2:$F$101,0))),INDEX(코드표!$K$2:$K$101,MATCH(LEFT(TRIM(F146&amp;""),FIND(" ",TRIM(F146&amp;""))-1),코드표!$J$2:$J$101,0))&amp;"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",TRIM(G146&amp;""))-1),코드표!$J$2:$J$101,0)),ISNUMBER(MATCH(TRIM(RIGHT(SUBSTITUTE(TRIM(G146&amp;"")," ",REPT(" ",60)),60)),코드표!$F$2:$F$101,0))),INDEX(코드표!$K$2:$K$101,MATCH(LEFT(TRIM(G146&amp;""),FIND(" ",TRIM(G146&amp;""))-1),코드표!$J$2:$J$101,0))&amp;"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",TRIM(H146&amp;""))-1),코드표!$J$2:$J$101,0)),ISNUMBER(MATCH(TRIM(RIGHT(SUBSTITUTE(TRIM(H146&amp;"")," ",REPT(" ",60)),60)),코드표!$F$2:$F$101,0))),INDEX(코드표!$K$2:$K$101,MATCH(LEFT(TRIM(H146&amp;""),FIND(" ",TRIM(H146&amp;""))-1),코드표!$J$2:$J$101,0))&amp;"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",TRIM(I146&amp;""))-1),코드표!$J$2:$J$101,0)),ISNUMBER(MATCH(TRIM(RIGHT(SUBSTITUTE(TRIM(I146&amp;"")," ",REPT(" ",60)),60)),코드표!$F$2:$F$101,0))),INDEX(코드표!$K$2:$K$101,MATCH(LEFT(TRIM(I146&amp;""),FIND(" ",TRIM(I146&amp;""))-1),코드표!$J$2:$J$101,0))&amp;"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",TRIM(J146&amp;""))-1),코드표!$J$2:$J$101,0)),ISNUMBER(MATCH(TRIM(RIGHT(SUBSTITUTE(TRIM(J146&amp;"")," ",REPT(" ",60)),60)),코드표!$F$2:$F$101,0))),INDEX(코드표!$K$2:$K$101,MATCH(LEFT(TRIM(J146&amp;""),FIND(" ",TRIM(J146&amp;""))-1),코드표!$J$2:$J$101,0))&amp;"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",TRIM(E147&amp;""))-1),코드표!$J$2:$J$101,0)),ISNUMBER(MATCH(TRIM(RIGHT(SUBSTITUTE(TRIM(E147&amp;"")," ",REPT(" ",60)),60)),코드표!$F$2:$F$101,0))),INDEX(코드표!$K$2:$K$101,MATCH(LEFT(TRIM(E147&amp;""),FIND(" ",TRIM(E147&amp;""))-1),코드표!$J$2:$J$101,0))&amp;"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",TRIM(F147&amp;""))-1),코드표!$J$2:$J$101,0)),ISNUMBER(MATCH(TRIM(RIGHT(SUBSTITUTE(TRIM(F147&amp;"")," ",REPT(" ",60)),60)),코드표!$F$2:$F$101,0))),INDEX(코드표!$K$2:$K$101,MATCH(LEFT(TRIM(F147&amp;""),FIND(" ",TRIM(F147&amp;""))-1),코드표!$J$2:$J$101,0))&amp;"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",TRIM(G147&amp;""))-1),코드표!$J$2:$J$101,0)),ISNUMBER(MATCH(TRIM(RIGHT(SUBSTITUTE(TRIM(G147&amp;"")," ",REPT(" ",60)),60)),코드표!$F$2:$F$101,0))),INDEX(코드표!$K$2:$K$101,MATCH(LEFT(TRIM(G147&amp;""),FIND(" ",TRIM(G147&amp;""))-1),코드표!$J$2:$J$101,0))&amp;"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",TRIM(H147&amp;""))-1),코드표!$J$2:$J$101,0)),ISNUMBER(MATCH(TRIM(RIGHT(SUBSTITUTE(TRIM(H147&amp;"")," ",REPT(" ",60)),60)),코드표!$F$2:$F$101,0))),INDEX(코드표!$K$2:$K$101,MATCH(LEFT(TRIM(H147&amp;""),FIND(" ",TRIM(H147&amp;""))-1),코드표!$J$2:$J$101,0))&amp;"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",TRIM(I147&amp;""))-1),코드표!$J$2:$J$101,0)),ISNUMBER(MATCH(TRIM(RIGHT(SUBSTITUTE(TRIM(I147&amp;"")," ",REPT(" ",60)),60)),코드표!$F$2:$F$101,0))),INDEX(코드표!$K$2:$K$101,MATCH(LEFT(TRIM(I147&amp;""),FIND(" ",TRIM(I147&amp;""))-1),코드표!$J$2:$J$101,0))&amp;"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",TRIM(J147&amp;""))-1),코드표!$J$2:$J$101,0)),ISNUMBER(MATCH(TRIM(RIGHT(SUBSTITUTE(TRIM(J147&amp;"")," ",REPT(" ",60)),60)),코드표!$F$2:$F$101,0))),INDEX(코드표!$K$2:$K$101,MATCH(LEFT(TRIM(J147&amp;""),FIND(" ",TRIM(J147&amp;""))-1),코드표!$J$2:$J$101,0))&amp;"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",TRIM(E148&amp;""))-1),코드표!$J$2:$J$101,0)),ISNUMBER(MATCH(TRIM(RIGHT(SUBSTITUTE(TRIM(E148&amp;"")," ",REPT(" ",60)),60)),코드표!$F$2:$F$101,0))),INDEX(코드표!$K$2:$K$101,MATCH(LEFT(TRIM(E148&amp;""),FIND(" ",TRIM(E148&amp;""))-1),코드표!$J$2:$J$101,0))&amp;"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",TRIM(F148&amp;""))-1),코드표!$J$2:$J$101,0)),ISNUMBER(MATCH(TRIM(RIGHT(SUBSTITUTE(TRIM(F148&amp;"")," ",REPT(" ",60)),60)),코드표!$F$2:$F$101,0))),INDEX(코드표!$K$2:$K$101,MATCH(LEFT(TRIM(F148&amp;""),FIND(" ",TRIM(F148&amp;""))-1),코드표!$J$2:$J$101,0))&amp;"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",TRIM(G148&amp;""))-1),코드표!$J$2:$J$101,0)),ISNUMBER(MATCH(TRIM(RIGHT(SUBSTITUTE(TRIM(G148&amp;"")," ",REPT(" ",60)),60)),코드표!$F$2:$F$101,0))),INDEX(코드표!$K$2:$K$101,MATCH(LEFT(TRIM(G148&amp;""),FIND(" ",TRIM(G148&amp;""))-1),코드표!$J$2:$J$101,0))&amp;"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",TRIM(H148&amp;""))-1),코드표!$J$2:$J$101,0)),ISNUMBER(MATCH(TRIM(RIGHT(SUBSTITUTE(TRIM(H148&amp;"")," ",REPT(" ",60)),60)),코드표!$F$2:$F$101,0))),INDEX(코드표!$K$2:$K$101,MATCH(LEFT(TRIM(H148&amp;""),FIND(" ",TRIM(H148&amp;""))-1),코드표!$J$2:$J$101,0))&amp;"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",TRIM(I148&amp;""))-1),코드표!$J$2:$J$101,0)),ISNUMBER(MATCH(TRIM(RIGHT(SUBSTITUTE(TRIM(I148&amp;"")," ",REPT(" ",60)),60)),코드표!$F$2:$F$101,0))),INDEX(코드표!$K$2:$K$101,MATCH(LEFT(TRIM(I148&amp;""),FIND(" ",TRIM(I148&amp;""))-1),코드표!$J$2:$J$101,0))&amp;"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",TRIM(J148&amp;""))-1),코드표!$J$2:$J$101,0)),ISNUMBER(MATCH(TRIM(RIGHT(SUBSTITUTE(TRIM(J148&amp;"")," ",REPT(" ",60)),60)),코드표!$F$2:$F$101,0))),INDEX(코드표!$K$2:$K$101,MATCH(LEFT(TRIM(J148&amp;""),FIND(" ",TRIM(J148&amp;""))-1),코드표!$J$2:$J$101,0))&amp;"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",TRIM(E149&amp;""))-1),코드표!$J$2:$J$101,0)),ISNUMBER(MATCH(TRIM(RIGHT(SUBSTITUTE(TRIM(E149&amp;"")," ",REPT(" ",60)),60)),코드표!$F$2:$F$101,0))),INDEX(코드표!$K$2:$K$101,MATCH(LEFT(TRIM(E149&amp;""),FIND(" ",TRIM(E149&amp;""))-1),코드표!$J$2:$J$101,0))&amp;"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",TRIM(F149&amp;""))-1),코드표!$J$2:$J$101,0)),ISNUMBER(MATCH(TRIM(RIGHT(SUBSTITUTE(TRIM(F149&amp;"")," ",REPT(" ",60)),60)),코드표!$F$2:$F$101,0))),INDEX(코드표!$K$2:$K$101,MATCH(LEFT(TRIM(F149&amp;""),FIND(" ",TRIM(F149&amp;""))-1),코드표!$J$2:$J$101,0))&amp;"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",TRIM(G149&amp;""))-1),코드표!$J$2:$J$101,0)),ISNUMBER(MATCH(TRIM(RIGHT(SUBSTITUTE(TRIM(G149&amp;"")," ",REPT(" ",60)),60)),코드표!$F$2:$F$101,0))),INDEX(코드표!$K$2:$K$101,MATCH(LEFT(TRIM(G149&amp;""),FIND(" ",TRIM(G149&amp;""))-1),코드표!$J$2:$J$101,0))&amp;"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",TRIM(H149&amp;""))-1),코드표!$J$2:$J$101,0)),ISNUMBER(MATCH(TRIM(RIGHT(SUBSTITUTE(TRIM(H149&amp;"")," ",REPT(" ",60)),60)),코드표!$F$2:$F$101,0))),INDEX(코드표!$K$2:$K$101,MATCH(LEFT(TRIM(H149&amp;""),FIND(" ",TRIM(H149&amp;""))-1),코드표!$J$2:$J$101,0))&amp;"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",TRIM(I149&amp;""))-1),코드표!$J$2:$J$101,0)),ISNUMBER(MATCH(TRIM(RIGHT(SUBSTITUTE(TRIM(I149&amp;"")," ",REPT(" ",60)),60)),코드표!$F$2:$F$101,0))),INDEX(코드표!$K$2:$K$101,MATCH(LEFT(TRIM(I149&amp;""),FIND(" ",TRIM(I149&amp;""))-1),코드표!$J$2:$J$101,0))&amp;"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",TRIM(J149&amp;""))-1),코드표!$J$2:$J$101,0)),ISNUMBER(MATCH(TRIM(RIGHT(SUBSTITUTE(TRIM(J149&amp;"")," ",REPT(" ",60)),60)),코드표!$F$2:$F$101,0))),INDEX(코드표!$K$2:$K$101,MATCH(LEFT(TRIM(J149&amp;""),FIND(" ",TRIM(J149&amp;""))-1),코드표!$J$2:$J$101,0))&amp;"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",TRIM(E150&amp;""))-1),코드표!$J$2:$J$101,0)),ISNUMBER(MATCH(TRIM(RIGHT(SUBSTITUTE(TRIM(E150&amp;"")," ",REPT(" ",60)),60)),코드표!$F$2:$F$101,0))),INDEX(코드표!$K$2:$K$101,MATCH(LEFT(TRIM(E150&amp;""),FIND(" ",TRIM(E150&amp;""))-1),코드표!$J$2:$J$101,0))&amp;"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",TRIM(F150&amp;""))-1),코드표!$J$2:$J$101,0)),ISNUMBER(MATCH(TRIM(RIGHT(SUBSTITUTE(TRIM(F150&amp;"")," ",REPT(" ",60)),60)),코드표!$F$2:$F$101,0))),INDEX(코드표!$K$2:$K$101,MATCH(LEFT(TRIM(F150&amp;""),FIND(" ",TRIM(F150&amp;""))-1),코드표!$J$2:$J$101,0))&amp;"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",TRIM(G150&amp;""))-1),코드표!$J$2:$J$101,0)),ISNUMBER(MATCH(TRIM(RIGHT(SUBSTITUTE(TRIM(G150&amp;"")," ",REPT(" ",60)),60)),코드표!$F$2:$F$101,0))),INDEX(코드표!$K$2:$K$101,MATCH(LEFT(TRIM(G150&amp;""),FIND(" ",TRIM(G150&amp;""))-1),코드표!$J$2:$J$101,0))&amp;"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",TRIM(H150&amp;""))-1),코드표!$J$2:$J$101,0)),ISNUMBER(MATCH(TRIM(RIGHT(SUBSTITUTE(TRIM(H150&amp;"")," ",REPT(" ",60)),60)),코드표!$F$2:$F$101,0))),INDEX(코드표!$K$2:$K$101,MATCH(LEFT(TRIM(H150&amp;""),FIND(" ",TRIM(H150&amp;""))-1),코드표!$J$2:$J$101,0))&amp;"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",TRIM(I150&amp;""))-1),코드표!$J$2:$J$101,0)),ISNUMBER(MATCH(TRIM(RIGHT(SUBSTITUTE(TRIM(I150&amp;"")," ",REPT(" ",60)),60)),코드표!$F$2:$F$101,0))),INDEX(코드표!$K$2:$K$101,MATCH(LEFT(TRIM(I150&amp;""),FIND(" ",TRIM(I150&amp;""))-1),코드표!$J$2:$J$101,0))&amp;"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",TRIM(J150&amp;""))-1),코드표!$J$2:$J$101,0)),ISNUMBER(MATCH(TRIM(RIGHT(SUBSTITUTE(TRIM(J150&amp;"")," ",REPT(" ",60)),60)),코드표!$F$2:$F$101,0))),INDEX(코드표!$K$2:$K$101,MATCH(LEFT(TRIM(J150&amp;""),FIND(" ",TRIM(J150&amp;""))-1),코드표!$J$2:$J$101,0))&amp;"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",TRIM(E151&amp;""))-1),코드표!$J$2:$J$101,0)),ISNUMBER(MATCH(TRIM(RIGHT(SUBSTITUTE(TRIM(E151&amp;"")," ",REPT(" ",60)),60)),코드표!$F$2:$F$101,0))),INDEX(코드표!$K$2:$K$101,MATCH(LEFT(TRIM(E151&amp;""),FIND(" ",TRIM(E151&amp;""))-1),코드표!$J$2:$J$101,0))&amp;"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",TRIM(F151&amp;""))-1),코드표!$J$2:$J$101,0)),ISNUMBER(MATCH(TRIM(RIGHT(SUBSTITUTE(TRIM(F151&amp;"")," ",REPT(" ",60)),60)),코드표!$F$2:$F$101,0))),INDEX(코드표!$K$2:$K$101,MATCH(LEFT(TRIM(F151&amp;""),FIND(" ",TRIM(F151&amp;""))-1),코드표!$J$2:$J$101,0))&amp;"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",TRIM(G151&amp;""))-1),코드표!$J$2:$J$101,0)),ISNUMBER(MATCH(TRIM(RIGHT(SUBSTITUTE(TRIM(G151&amp;"")," ",REPT(" ",60)),60)),코드표!$F$2:$F$101,0))),INDEX(코드표!$K$2:$K$101,MATCH(LEFT(TRIM(G151&amp;""),FIND(" ",TRIM(G151&amp;""))-1),코드표!$J$2:$J$101,0))&amp;"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",TRIM(H151&amp;""))-1),코드표!$J$2:$J$101,0)),ISNUMBER(MATCH(TRIM(RIGHT(SUBSTITUTE(TRIM(H151&amp;"")," ",REPT(" ",60)),60)),코드표!$F$2:$F$101,0))),INDEX(코드표!$K$2:$K$101,MATCH(LEFT(TRIM(H151&amp;""),FIND(" ",TRIM(H151&amp;""))-1),코드표!$J$2:$J$101,0))&amp;"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",TRIM(I151&amp;""))-1),코드표!$J$2:$J$101,0)),ISNUMBER(MATCH(TRIM(RIGHT(SUBSTITUTE(TRIM(I151&amp;"")," ",REPT(" ",60)),60)),코드표!$F$2:$F$101,0))),INDEX(코드표!$K$2:$K$101,MATCH(LEFT(TRIM(I151&amp;""),FIND(" ",TRIM(I151&amp;""))-1),코드표!$J$2:$J$101,0))&amp;"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",TRIM(J151&amp;""))-1),코드표!$J$2:$J$101,0)),ISNUMBER(MATCH(TRIM(RIGHT(SUBSTITUTE(TRIM(J151&amp;"")," ",REPT(" ",60)),60)),코드표!$F$2:$F$101,0))),INDEX(코드표!$K$2:$K$101,MATCH(LEFT(TRIM(J151&amp;""),FIND(" ",TRIM(J151&amp;""))-1),코드표!$J$2:$J$101,0))&amp;"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",TRIM(E152&amp;""))-1),코드표!$J$2:$J$101,0)),ISNUMBER(MATCH(TRIM(RIGHT(SUBSTITUTE(TRIM(E152&amp;"")," ",REPT(" ",60)),60)),코드표!$F$2:$F$101,0))),INDEX(코드표!$K$2:$K$101,MATCH(LEFT(TRIM(E152&amp;""),FIND(" ",TRIM(E152&amp;""))-1),코드표!$J$2:$J$101,0))&amp;"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",TRIM(F152&amp;""))-1),코드표!$J$2:$J$101,0)),ISNUMBER(MATCH(TRIM(RIGHT(SUBSTITUTE(TRIM(F152&amp;"")," ",REPT(" ",60)),60)),코드표!$F$2:$F$101,0))),INDEX(코드표!$K$2:$K$101,MATCH(LEFT(TRIM(F152&amp;""),FIND(" ",TRIM(F152&amp;""))-1),코드표!$J$2:$J$101,0))&amp;"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",TRIM(G152&amp;""))-1),코드표!$J$2:$J$101,0)),ISNUMBER(MATCH(TRIM(RIGHT(SUBSTITUTE(TRIM(G152&amp;"")," ",REPT(" ",60)),60)),코드표!$F$2:$F$101,0))),INDEX(코드표!$K$2:$K$101,MATCH(LEFT(TRIM(G152&amp;""),FIND(" ",TRIM(G152&amp;""))-1),코드표!$J$2:$J$101,0))&amp;"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",TRIM(H152&amp;""))-1),코드표!$J$2:$J$101,0)),ISNUMBER(MATCH(TRIM(RIGHT(SUBSTITUTE(TRIM(H152&amp;"")," ",REPT(" ",60)),60)),코드표!$F$2:$F$101,0))),INDEX(코드표!$K$2:$K$101,MATCH(LEFT(TRIM(H152&amp;""),FIND(" ",TRIM(H152&amp;""))-1),코드표!$J$2:$J$101,0))&amp;"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",TRIM(I152&amp;""))-1),코드표!$J$2:$J$101,0)),ISNUMBER(MATCH(TRIM(RIGHT(SUBSTITUTE(TRIM(I152&amp;"")," ",REPT(" ",60)),60)),코드표!$F$2:$F$101,0))),INDEX(코드표!$K$2:$K$101,MATCH(LEFT(TRIM(I152&amp;""),FIND(" ",TRIM(I152&amp;""))-1),코드표!$J$2:$J$101,0))&amp;"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",TRIM(J152&amp;""))-1),코드표!$J$2:$J$101,0)),ISNUMBER(MATCH(TRIM(RIGHT(SUBSTITUTE(TRIM(J152&amp;"")," ",REPT(" ",60)),60)),코드표!$F$2:$F$101,0))),INDEX(코드표!$K$2:$K$101,MATCH(LEFT(TRIM(J152&amp;""),FIND(" ",TRIM(J152&amp;""))-1),코드표!$J$2:$J$101,0))&amp;"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",TRIM(E153&amp;""))-1),코드표!$J$2:$J$101,0)),ISNUMBER(MATCH(TRIM(RIGHT(SUBSTITUTE(TRIM(E153&amp;"")," ",REPT(" ",60)),60)),코드표!$F$2:$F$101,0))),INDEX(코드표!$K$2:$K$101,MATCH(LEFT(TRIM(E153&amp;""),FIND(" ",TRIM(E153&amp;""))-1),코드표!$J$2:$J$101,0))&amp;"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",TRIM(F153&amp;""))-1),코드표!$J$2:$J$101,0)),ISNUMBER(MATCH(TRIM(RIGHT(SUBSTITUTE(TRIM(F153&amp;"")," ",REPT(" ",60)),60)),코드표!$F$2:$F$101,0))),INDEX(코드표!$K$2:$K$101,MATCH(LEFT(TRIM(F153&amp;""),FIND(" ",TRIM(F153&amp;""))-1),코드표!$J$2:$J$101,0))&amp;"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",TRIM(G153&amp;""))-1),코드표!$J$2:$J$101,0)),ISNUMBER(MATCH(TRIM(RIGHT(SUBSTITUTE(TRIM(G153&amp;"")," ",REPT(" ",60)),60)),코드표!$F$2:$F$101,0))),INDEX(코드표!$K$2:$K$101,MATCH(LEFT(TRIM(G153&amp;""),FIND(" ",TRIM(G153&amp;""))-1),코드표!$J$2:$J$101,0))&amp;"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",TRIM(H153&amp;""))-1),코드표!$J$2:$J$101,0)),ISNUMBER(MATCH(TRIM(RIGHT(SUBSTITUTE(TRIM(H153&amp;"")," ",REPT(" ",60)),60)),코드표!$F$2:$F$101,0))),INDEX(코드표!$K$2:$K$101,MATCH(LEFT(TRIM(H153&amp;""),FIND(" ",TRIM(H153&amp;""))-1),코드표!$J$2:$J$101,0))&amp;"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",TRIM(I153&amp;""))-1),코드표!$J$2:$J$101,0)),ISNUMBER(MATCH(TRIM(RIGHT(SUBSTITUTE(TRIM(I153&amp;"")," ",REPT(" ",60)),60)),코드표!$F$2:$F$101,0))),INDEX(코드표!$K$2:$K$101,MATCH(LEFT(TRIM(I153&amp;""),FIND(" ",TRIM(I153&amp;""))-1),코드표!$J$2:$J$101,0))&amp;"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",TRIM(J153&amp;""))-1),코드표!$J$2:$J$101,0)),ISNUMBER(MATCH(TRIM(RIGHT(SUBSTITUTE(TRIM(J153&amp;"")," ",REPT(" ",60)),60)),코드표!$F$2:$F$101,0))),INDEX(코드표!$K$2:$K$101,MATCH(LEFT(TRIM(J153&amp;""),FIND(" ",TRIM(J153&amp;""))-1),코드표!$J$2:$J$101,0))&amp;"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",TRIM(E154&amp;""))-1),코드표!$J$2:$J$101,0)),ISNUMBER(MATCH(TRIM(RIGHT(SUBSTITUTE(TRIM(E154&amp;"")," ",REPT(" ",60)),60)),코드표!$F$2:$F$101,0))),INDEX(코드표!$K$2:$K$101,MATCH(LEFT(TRIM(E154&amp;""),FIND(" ",TRIM(E154&amp;""))-1),코드표!$J$2:$J$101,0))&amp;"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",TRIM(F154&amp;""))-1),코드표!$J$2:$J$101,0)),ISNUMBER(MATCH(TRIM(RIGHT(SUBSTITUTE(TRIM(F154&amp;"")," ",REPT(" ",60)),60)),코드표!$F$2:$F$101,0))),INDEX(코드표!$K$2:$K$101,MATCH(LEFT(TRIM(F154&amp;""),FIND(" ",TRIM(F154&amp;""))-1),코드표!$J$2:$J$101,0))&amp;"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",TRIM(G154&amp;""))-1),코드표!$J$2:$J$101,0)),ISNUMBER(MATCH(TRIM(RIGHT(SUBSTITUTE(TRIM(G154&amp;"")," ",REPT(" ",60)),60)),코드표!$F$2:$F$101,0))),INDEX(코드표!$K$2:$K$101,MATCH(LEFT(TRIM(G154&amp;""),FIND(" ",TRIM(G154&amp;""))-1),코드표!$J$2:$J$101,0))&amp;"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",TRIM(H154&amp;""))-1),코드표!$J$2:$J$101,0)),ISNUMBER(MATCH(TRIM(RIGHT(SUBSTITUTE(TRIM(H154&amp;"")," ",REPT(" ",60)),60)),코드표!$F$2:$F$101,0))),INDEX(코드표!$K$2:$K$101,MATCH(LEFT(TRIM(H154&amp;""),FIND(" ",TRIM(H154&amp;""))-1),코드표!$J$2:$J$101,0))&amp;"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",TRIM(I154&amp;""))-1),코드표!$J$2:$J$101,0)),ISNUMBER(MATCH(TRIM(RIGHT(SUBSTITUTE(TRIM(I154&amp;"")," ",REPT(" ",60)),60)),코드표!$F$2:$F$101,0))),INDEX(코드표!$K$2:$K$101,MATCH(LEFT(TRIM(I154&amp;""),FIND(" ",TRIM(I154&amp;""))-1),코드표!$J$2:$J$101,0))&amp;"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",TRIM(J154&amp;""))-1),코드표!$J$2:$J$101,0)),ISNUMBER(MATCH(TRIM(RIGHT(SUBSTITUTE(TRIM(J154&amp;"")," ",REPT(" ",60)),60)),코드표!$F$2:$F$101,0))),INDEX(코드표!$K$2:$K$101,MATCH(LEFT(TRIM(J154&amp;""),FIND(" ",TRIM(J154&amp;""))-1),코드표!$J$2:$J$101,0))&amp;"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",TRIM(E155&amp;""))-1),코드표!$J$2:$J$101,0)),ISNUMBER(MATCH(TRIM(RIGHT(SUBSTITUTE(TRIM(E155&amp;"")," ",REPT(" ",60)),60)),코드표!$F$2:$F$101,0))),INDEX(코드표!$K$2:$K$101,MATCH(LEFT(TRIM(E155&amp;""),FIND(" ",TRIM(E155&amp;""))-1),코드표!$J$2:$J$101,0))&amp;"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",TRIM(F155&amp;""))-1),코드표!$J$2:$J$101,0)),ISNUMBER(MATCH(TRIM(RIGHT(SUBSTITUTE(TRIM(F155&amp;"")," ",REPT(" ",60)),60)),코드표!$F$2:$F$101,0))),INDEX(코드표!$K$2:$K$101,MATCH(LEFT(TRIM(F155&amp;""),FIND(" ",TRIM(F155&amp;""))-1),코드표!$J$2:$J$101,0))&amp;"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",TRIM(G155&amp;""))-1),코드표!$J$2:$J$101,0)),ISNUMBER(MATCH(TRIM(RIGHT(SUBSTITUTE(TRIM(G155&amp;"")," ",REPT(" ",60)),60)),코드표!$F$2:$F$101,0))),INDEX(코드표!$K$2:$K$101,MATCH(LEFT(TRIM(G155&amp;""),FIND(" ",TRIM(G155&amp;""))-1),코드표!$J$2:$J$101,0))&amp;"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",TRIM(H155&amp;""))-1),코드표!$J$2:$J$101,0)),ISNUMBER(MATCH(TRIM(RIGHT(SUBSTITUTE(TRIM(H155&amp;"")," ",REPT(" ",60)),60)),코드표!$F$2:$F$101,0))),INDEX(코드표!$K$2:$K$101,MATCH(LEFT(TRIM(H155&amp;""),FIND(" ",TRIM(H155&amp;""))-1),코드표!$J$2:$J$101,0))&amp;"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",TRIM(I155&amp;""))-1),코드표!$J$2:$J$101,0)),ISNUMBER(MATCH(TRIM(RIGHT(SUBSTITUTE(TRIM(I155&amp;"")," ",REPT(" ",60)),60)),코드표!$F$2:$F$101,0))),INDEX(코드표!$K$2:$K$101,MATCH(LEFT(TRIM(I155&amp;""),FIND(" ",TRIM(I155&amp;""))-1),코드표!$J$2:$J$101,0))&amp;"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",TRIM(J155&amp;""))-1),코드표!$J$2:$J$101,0)),ISNUMBER(MATCH(TRIM(RIGHT(SUBSTITUTE(TRIM(J155&amp;"")," ",REPT(" ",60)),60)),코드표!$F$2:$F$101,0))),INDEX(코드표!$K$2:$K$101,MATCH(LEFT(TRIM(J155&amp;""),FIND(" ",TRIM(J155&amp;""))-1),코드표!$J$2:$J$101,0))&amp;"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",TRIM(E156&amp;""))-1),코드표!$J$2:$J$101,0)),ISNUMBER(MATCH(TRIM(RIGHT(SUBSTITUTE(TRIM(E156&amp;"")," ",REPT(" ",60)),60)),코드표!$F$2:$F$101,0))),INDEX(코드표!$K$2:$K$101,MATCH(LEFT(TRIM(E156&amp;""),FIND(" ",TRIM(E156&amp;""))-1),코드표!$J$2:$J$101,0))&amp;"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",TRIM(F156&amp;""))-1),코드표!$J$2:$J$101,0)),ISNUMBER(MATCH(TRIM(RIGHT(SUBSTITUTE(TRIM(F156&amp;"")," ",REPT(" ",60)),60)),코드표!$F$2:$F$101,0))),INDEX(코드표!$K$2:$K$101,MATCH(LEFT(TRIM(F156&amp;""),FIND(" ",TRIM(F156&amp;""))-1),코드표!$J$2:$J$101,0))&amp;"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",TRIM(G156&amp;""))-1),코드표!$J$2:$J$101,0)),ISNUMBER(MATCH(TRIM(RIGHT(SUBSTITUTE(TRIM(G156&amp;"")," ",REPT(" ",60)),60)),코드표!$F$2:$F$101,0))),INDEX(코드표!$K$2:$K$101,MATCH(LEFT(TRIM(G156&amp;""),FIND(" ",TRIM(G156&amp;""))-1),코드표!$J$2:$J$101,0))&amp;"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",TRIM(H156&amp;""))-1),코드표!$J$2:$J$101,0)),ISNUMBER(MATCH(TRIM(RIGHT(SUBSTITUTE(TRIM(H156&amp;"")," ",REPT(" ",60)),60)),코드표!$F$2:$F$101,0))),INDEX(코드표!$K$2:$K$101,MATCH(LEFT(TRIM(H156&amp;""),FIND(" ",TRIM(H156&amp;""))-1),코드표!$J$2:$J$101,0))&amp;"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",TRIM(I156&amp;""))-1),코드표!$J$2:$J$101,0)),ISNUMBER(MATCH(TRIM(RIGHT(SUBSTITUTE(TRIM(I156&amp;"")," ",REPT(" ",60)),60)),코드표!$F$2:$F$101,0))),INDEX(코드표!$K$2:$K$101,MATCH(LEFT(TRIM(I156&amp;""),FIND(" ",TRIM(I156&amp;""))-1),코드표!$J$2:$J$101,0))&amp;"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",TRIM(J156&amp;""))-1),코드표!$J$2:$J$101,0)),ISNUMBER(MATCH(TRIM(RIGHT(SUBSTITUTE(TRIM(J156&amp;"")," ",REPT(" ",60)),60)),코드표!$F$2:$F$101,0))),INDEX(코드표!$K$2:$K$101,MATCH(LEFT(TRIM(J156&amp;""),FIND(" ",TRIM(J156&amp;""))-1),코드표!$J$2:$J$101,0))&amp;"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",TRIM(E157&amp;""))-1),코드표!$J$2:$J$101,0)),ISNUMBER(MATCH(TRIM(RIGHT(SUBSTITUTE(TRIM(E157&amp;"")," ",REPT(" ",60)),60)),코드표!$F$2:$F$101,0))),INDEX(코드표!$K$2:$K$101,MATCH(LEFT(TRIM(E157&amp;""),FIND(" ",TRIM(E157&amp;""))-1),코드표!$J$2:$J$101,0))&amp;"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",TRIM(F157&amp;""))-1),코드표!$J$2:$J$101,0)),ISNUMBER(MATCH(TRIM(RIGHT(SUBSTITUTE(TRIM(F157&amp;"")," ",REPT(" ",60)),60)),코드표!$F$2:$F$101,0))),INDEX(코드표!$K$2:$K$101,MATCH(LEFT(TRIM(F157&amp;""),FIND(" ",TRIM(F157&amp;""))-1),코드표!$J$2:$J$101,0))&amp;"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",TRIM(G157&amp;""))-1),코드표!$J$2:$J$101,0)),ISNUMBER(MATCH(TRIM(RIGHT(SUBSTITUTE(TRIM(G157&amp;"")," ",REPT(" ",60)),60)),코드표!$F$2:$F$101,0))),INDEX(코드표!$K$2:$K$101,MATCH(LEFT(TRIM(G157&amp;""),FIND(" ",TRIM(G157&amp;""))-1),코드표!$J$2:$J$101,0))&amp;"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",TRIM(H157&amp;""))-1),코드표!$J$2:$J$101,0)),ISNUMBER(MATCH(TRIM(RIGHT(SUBSTITUTE(TRIM(H157&amp;"")," ",REPT(" ",60)),60)),코드표!$F$2:$F$101,0))),INDEX(코드표!$K$2:$K$101,MATCH(LEFT(TRIM(H157&amp;""),FIND(" ",TRIM(H157&amp;""))-1),코드표!$J$2:$J$101,0))&amp;"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",TRIM(I157&amp;""))-1),코드표!$J$2:$J$101,0)),ISNUMBER(MATCH(TRIM(RIGHT(SUBSTITUTE(TRIM(I157&amp;"")," ",REPT(" ",60)),60)),코드표!$F$2:$F$101,0))),INDEX(코드표!$K$2:$K$101,MATCH(LEFT(TRIM(I157&amp;""),FIND(" ",TRIM(I157&amp;""))-1),코드표!$J$2:$J$101,0))&amp;"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",TRIM(J157&amp;""))-1),코드표!$J$2:$J$101,0)),ISNUMBER(MATCH(TRIM(RIGHT(SUBSTITUTE(TRIM(J157&amp;"")," ",REPT(" ",60)),60)),코드표!$F$2:$F$101,0))),INDEX(코드표!$K$2:$K$101,MATCH(LEFT(TRIM(J157&amp;""),FIND(" ",TRIM(J157&amp;""))-1),코드표!$J$2:$J$101,0))&amp;"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",TRIM(E158&amp;""))-1),코드표!$J$2:$J$101,0)),ISNUMBER(MATCH(TRIM(RIGHT(SUBSTITUTE(TRIM(E158&amp;"")," ",REPT(" ",60)),60)),코드표!$F$2:$F$101,0))),INDEX(코드표!$K$2:$K$101,MATCH(LEFT(TRIM(E158&amp;""),FIND(" ",TRIM(E158&amp;""))-1),코드표!$J$2:$J$101,0))&amp;"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",TRIM(F158&amp;""))-1),코드표!$J$2:$J$101,0)),ISNUMBER(MATCH(TRIM(RIGHT(SUBSTITUTE(TRIM(F158&amp;"")," ",REPT(" ",60)),60)),코드표!$F$2:$F$101,0))),INDEX(코드표!$K$2:$K$101,MATCH(LEFT(TRIM(F158&amp;""),FIND(" ",TRIM(F158&amp;""))-1),코드표!$J$2:$J$101,0))&amp;"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",TRIM(G158&amp;""))-1),코드표!$J$2:$J$101,0)),ISNUMBER(MATCH(TRIM(RIGHT(SUBSTITUTE(TRIM(G158&amp;"")," ",REPT(" ",60)),60)),코드표!$F$2:$F$101,0))),INDEX(코드표!$K$2:$K$101,MATCH(LEFT(TRIM(G158&amp;""),FIND(" ",TRIM(G158&amp;""))-1),코드표!$J$2:$J$101,0))&amp;"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",TRIM(H158&amp;""))-1),코드표!$J$2:$J$101,0)),ISNUMBER(MATCH(TRIM(RIGHT(SUBSTITUTE(TRIM(H158&amp;"")," ",REPT(" ",60)),60)),코드표!$F$2:$F$101,0))),INDEX(코드표!$K$2:$K$101,MATCH(LEFT(TRIM(H158&amp;""),FIND(" ",TRIM(H158&amp;""))-1),코드표!$J$2:$J$101,0))&amp;"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",TRIM(I158&amp;""))-1),코드표!$J$2:$J$101,0)),ISNUMBER(MATCH(TRIM(RIGHT(SUBSTITUTE(TRIM(I158&amp;"")," ",REPT(" ",60)),60)),코드표!$F$2:$F$101,0))),INDEX(코드표!$K$2:$K$101,MATCH(LEFT(TRIM(I158&amp;""),FIND(" ",TRIM(I158&amp;""))-1),코드표!$J$2:$J$101,0))&amp;"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",TRIM(J158&amp;""))-1),코드표!$J$2:$J$101,0)),ISNUMBER(MATCH(TRIM(RIGHT(SUBSTITUTE(TRIM(J158&amp;"")," ",REPT(" ",60)),60)),코드표!$F$2:$F$101,0))),INDEX(코드표!$K$2:$K$101,MATCH(LEFT(TRIM(J158&amp;""),FIND(" ",TRIM(J158&amp;""))-1),코드표!$J$2:$J$101,0))&amp;"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",TRIM(E159&amp;""))-1),코드표!$J$2:$J$101,0)),ISNUMBER(MATCH(TRIM(RIGHT(SUBSTITUTE(TRIM(E159&amp;"")," ",REPT(" ",60)),60)),코드표!$F$2:$F$101,0))),INDEX(코드표!$K$2:$K$101,MATCH(LEFT(TRIM(E159&amp;""),FIND(" ",TRIM(E159&amp;""))-1),코드표!$J$2:$J$101,0))&amp;"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",TRIM(F159&amp;""))-1),코드표!$J$2:$J$101,0)),ISNUMBER(MATCH(TRIM(RIGHT(SUBSTITUTE(TRIM(F159&amp;"")," ",REPT(" ",60)),60)),코드표!$F$2:$F$101,0))),INDEX(코드표!$K$2:$K$101,MATCH(LEFT(TRIM(F159&amp;""),FIND(" ",TRIM(F159&amp;""))-1),코드표!$J$2:$J$101,0))&amp;"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",TRIM(G159&amp;""))-1),코드표!$J$2:$J$101,0)),ISNUMBER(MATCH(TRIM(RIGHT(SUBSTITUTE(TRIM(G159&amp;"")," ",REPT(" ",60)),60)),코드표!$F$2:$F$101,0))),INDEX(코드표!$K$2:$K$101,MATCH(LEFT(TRIM(G159&amp;""),FIND(" ",TRIM(G159&amp;""))-1),코드표!$J$2:$J$101,0))&amp;"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",TRIM(H159&amp;""))-1),코드표!$J$2:$J$101,0)),ISNUMBER(MATCH(TRIM(RIGHT(SUBSTITUTE(TRIM(H159&amp;"")," ",REPT(" ",60)),60)),코드표!$F$2:$F$101,0))),INDEX(코드표!$K$2:$K$101,MATCH(LEFT(TRIM(H159&amp;""),FIND(" ",TRIM(H159&amp;""))-1),코드표!$J$2:$J$101,0))&amp;"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",TRIM(I159&amp;""))-1),코드표!$J$2:$J$101,0)),ISNUMBER(MATCH(TRIM(RIGHT(SUBSTITUTE(TRIM(I159&amp;"")," ",REPT(" ",60)),60)),코드표!$F$2:$F$101,0))),INDEX(코드표!$K$2:$K$101,MATCH(LEFT(TRIM(I159&amp;""),FIND(" ",TRIM(I159&amp;""))-1),코드표!$J$2:$J$101,0))&amp;"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",TRIM(J159&amp;""))-1),코드표!$J$2:$J$101,0)),ISNUMBER(MATCH(TRIM(RIGHT(SUBSTITUTE(TRIM(J159&amp;"")," ",REPT(" ",60)),60)),코드표!$F$2:$F$101,0))),INDEX(코드표!$K$2:$K$101,MATCH(LEFT(TRIM(J159&amp;""),FIND(" ",TRIM(J159&amp;""))-1),코드표!$J$2:$J$101,0))&amp;"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",TRIM(E160&amp;""))-1),코드표!$J$2:$J$101,0)),ISNUMBER(MATCH(TRIM(RIGHT(SUBSTITUTE(TRIM(E160&amp;"")," ",REPT(" ",60)),60)),코드표!$F$2:$F$101,0))),INDEX(코드표!$K$2:$K$101,MATCH(LEFT(TRIM(E160&amp;""),FIND(" ",TRIM(E160&amp;""))-1),코드표!$J$2:$J$101,0))&amp;"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",TRIM(F160&amp;""))-1),코드표!$J$2:$J$101,0)),ISNUMBER(MATCH(TRIM(RIGHT(SUBSTITUTE(TRIM(F160&amp;"")," ",REPT(" ",60)),60)),코드표!$F$2:$F$101,0))),INDEX(코드표!$K$2:$K$101,MATCH(LEFT(TRIM(F160&amp;""),FIND(" ",TRIM(F160&amp;""))-1),코드표!$J$2:$J$101,0))&amp;"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",TRIM(G160&amp;""))-1),코드표!$J$2:$J$101,0)),ISNUMBER(MATCH(TRIM(RIGHT(SUBSTITUTE(TRIM(G160&amp;"")," ",REPT(" ",60)),60)),코드표!$F$2:$F$101,0))),INDEX(코드표!$K$2:$K$101,MATCH(LEFT(TRIM(G160&amp;""),FIND(" ",TRIM(G160&amp;""))-1),코드표!$J$2:$J$101,0))&amp;"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",TRIM(H160&amp;""))-1),코드표!$J$2:$J$101,0)),ISNUMBER(MATCH(TRIM(RIGHT(SUBSTITUTE(TRIM(H160&amp;"")," ",REPT(" ",60)),60)),코드표!$F$2:$F$101,0))),INDEX(코드표!$K$2:$K$101,MATCH(LEFT(TRIM(H160&amp;""),FIND(" ",TRIM(H160&amp;""))-1),코드표!$J$2:$J$101,0))&amp;"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",TRIM(I160&amp;""))-1),코드표!$J$2:$J$101,0)),ISNUMBER(MATCH(TRIM(RIGHT(SUBSTITUTE(TRIM(I160&amp;"")," ",REPT(" ",60)),60)),코드표!$F$2:$F$101,0))),INDEX(코드표!$K$2:$K$101,MATCH(LEFT(TRIM(I160&amp;""),FIND(" ",TRIM(I160&amp;""))-1),코드표!$J$2:$J$101,0))&amp;"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",TRIM(J160&amp;""))-1),코드표!$J$2:$J$101,0)),ISNUMBER(MATCH(TRIM(RIGHT(SUBSTITUTE(TRIM(J160&amp;"")," ",REPT(" ",60)),60)),코드표!$F$2:$F$101,0))),INDEX(코드표!$K$2:$K$101,MATCH(LEFT(TRIM(J160&amp;""),FIND(" ",TRIM(J160&amp;""))-1),코드표!$J$2:$J$101,0))&amp;"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",TRIM(E161&amp;""))-1),코드표!$J$2:$J$101,0)),ISNUMBER(MATCH(TRIM(RIGHT(SUBSTITUTE(TRIM(E161&amp;"")," ",REPT(" ",60)),60)),코드표!$F$2:$F$101,0))),INDEX(코드표!$K$2:$K$101,MATCH(LEFT(TRIM(E161&amp;""),FIND(" ",TRIM(E161&amp;""))-1),코드표!$J$2:$J$101,0))&amp;"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",TRIM(F161&amp;""))-1),코드표!$J$2:$J$101,0)),ISNUMBER(MATCH(TRIM(RIGHT(SUBSTITUTE(TRIM(F161&amp;"")," ",REPT(" ",60)),60)),코드표!$F$2:$F$101,0))),INDEX(코드표!$K$2:$K$101,MATCH(LEFT(TRIM(F161&amp;""),FIND(" ",TRIM(F161&amp;""))-1),코드표!$J$2:$J$101,0))&amp;"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",TRIM(G161&amp;""))-1),코드표!$J$2:$J$101,0)),ISNUMBER(MATCH(TRIM(RIGHT(SUBSTITUTE(TRIM(G161&amp;"")," ",REPT(" ",60)),60)),코드표!$F$2:$F$101,0))),INDEX(코드표!$K$2:$K$101,MATCH(LEFT(TRIM(G161&amp;""),FIND(" ",TRIM(G161&amp;""))-1),코드표!$J$2:$J$101,0))&amp;"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",TRIM(H161&amp;""))-1),코드표!$J$2:$J$101,0)),ISNUMBER(MATCH(TRIM(RIGHT(SUBSTITUTE(TRIM(H161&amp;"")," ",REPT(" ",60)),60)),코드표!$F$2:$F$101,0))),INDEX(코드표!$K$2:$K$101,MATCH(LEFT(TRIM(H161&amp;""),FIND(" ",TRIM(H161&amp;""))-1),코드표!$J$2:$J$101,0))&amp;"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",TRIM(I161&amp;""))-1),코드표!$J$2:$J$101,0)),ISNUMBER(MATCH(TRIM(RIGHT(SUBSTITUTE(TRIM(I161&amp;"")," ",REPT(" ",60)),60)),코드표!$F$2:$F$101,0))),INDEX(코드표!$K$2:$K$101,MATCH(LEFT(TRIM(I161&amp;""),FIND(" ",TRIM(I161&amp;""))-1),코드표!$J$2:$J$101,0))&amp;"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",TRIM(J161&amp;""))-1),코드표!$J$2:$J$101,0)),ISNUMBER(MATCH(TRIM(RIGHT(SUBSTITUTE(TRIM(J161&amp;"")," ",REPT(" ",60)),60)),코드표!$F$2:$F$101,0))),INDEX(코드표!$K$2:$K$101,MATCH(LEFT(TRIM(J161&amp;""),FIND(" ",TRIM(J161&amp;""))-1),코드표!$J$2:$J$101,0))&amp;"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",TRIM(E162&amp;""))-1),코드표!$J$2:$J$101,0)),ISNUMBER(MATCH(TRIM(RIGHT(SUBSTITUTE(TRIM(E162&amp;"")," ",REPT(" ",60)),60)),코드표!$F$2:$F$101,0))),INDEX(코드표!$K$2:$K$101,MATCH(LEFT(TRIM(E162&amp;""),FIND(" ",TRIM(E162&amp;""))-1),코드표!$J$2:$J$101,0))&amp;"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",TRIM(F162&amp;""))-1),코드표!$J$2:$J$101,0)),ISNUMBER(MATCH(TRIM(RIGHT(SUBSTITUTE(TRIM(F162&amp;"")," ",REPT(" ",60)),60)),코드표!$F$2:$F$101,0))),INDEX(코드표!$K$2:$K$101,MATCH(LEFT(TRIM(F162&amp;""),FIND(" ",TRIM(F162&amp;""))-1),코드표!$J$2:$J$101,0))&amp;"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",TRIM(G162&amp;""))-1),코드표!$J$2:$J$101,0)),ISNUMBER(MATCH(TRIM(RIGHT(SUBSTITUTE(TRIM(G162&amp;"")," ",REPT(" ",60)),60)),코드표!$F$2:$F$101,0))),INDEX(코드표!$K$2:$K$101,MATCH(LEFT(TRIM(G162&amp;""),FIND(" ",TRIM(G162&amp;""))-1),코드표!$J$2:$J$101,0))&amp;"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",TRIM(H162&amp;""))-1),코드표!$J$2:$J$101,0)),ISNUMBER(MATCH(TRIM(RIGHT(SUBSTITUTE(TRIM(H162&amp;"")," ",REPT(" ",60)),60)),코드표!$F$2:$F$101,0))),INDEX(코드표!$K$2:$K$101,MATCH(LEFT(TRIM(H162&amp;""),FIND(" ",TRIM(H162&amp;""))-1),코드표!$J$2:$J$101,0))&amp;"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",TRIM(I162&amp;""))-1),코드표!$J$2:$J$101,0)),ISNUMBER(MATCH(TRIM(RIGHT(SUBSTITUTE(TRIM(I162&amp;"")," ",REPT(" ",60)),60)),코드표!$F$2:$F$101,0))),INDEX(코드표!$K$2:$K$101,MATCH(LEFT(TRIM(I162&amp;""),FIND(" ",TRIM(I162&amp;""))-1),코드표!$J$2:$J$101,0))&amp;"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",TRIM(J162&amp;""))-1),코드표!$J$2:$J$101,0)),ISNUMBER(MATCH(TRIM(RIGHT(SUBSTITUTE(TRIM(J162&amp;"")," ",REPT(" ",60)),60)),코드표!$F$2:$F$101,0))),INDEX(코드표!$K$2:$K$101,MATCH(LEFT(TRIM(J162&amp;""),FIND(" ",TRIM(J162&amp;""))-1),코드표!$J$2:$J$101,0))&amp;"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",TRIM(E163&amp;""))-1),코드표!$J$2:$J$101,0)),ISNUMBER(MATCH(TRIM(RIGHT(SUBSTITUTE(TRIM(E163&amp;"")," ",REPT(" ",60)),60)),코드표!$F$2:$F$101,0))),INDEX(코드표!$K$2:$K$101,MATCH(LEFT(TRIM(E163&amp;""),FIND(" ",TRIM(E163&amp;""))-1),코드표!$J$2:$J$101,0))&amp;"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",TRIM(F163&amp;""))-1),코드표!$J$2:$J$101,0)),ISNUMBER(MATCH(TRIM(RIGHT(SUBSTITUTE(TRIM(F163&amp;"")," ",REPT(" ",60)),60)),코드표!$F$2:$F$101,0))),INDEX(코드표!$K$2:$K$101,MATCH(LEFT(TRIM(F163&amp;""),FIND(" ",TRIM(F163&amp;""))-1),코드표!$J$2:$J$101,0))&amp;"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",TRIM(G163&amp;""))-1),코드표!$J$2:$J$101,0)),ISNUMBER(MATCH(TRIM(RIGHT(SUBSTITUTE(TRIM(G163&amp;"")," ",REPT(" ",60)),60)),코드표!$F$2:$F$101,0))),INDEX(코드표!$K$2:$K$101,MATCH(LEFT(TRIM(G163&amp;""),FIND(" ",TRIM(G163&amp;""))-1),코드표!$J$2:$J$101,0))&amp;"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",TRIM(H163&amp;""))-1),코드표!$J$2:$J$101,0)),ISNUMBER(MATCH(TRIM(RIGHT(SUBSTITUTE(TRIM(H163&amp;"")," ",REPT(" ",60)),60)),코드표!$F$2:$F$101,0))),INDEX(코드표!$K$2:$K$101,MATCH(LEFT(TRIM(H163&amp;""),FIND(" ",TRIM(H163&amp;""))-1),코드표!$J$2:$J$101,0))&amp;"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",TRIM(I163&amp;""))-1),코드표!$J$2:$J$101,0)),ISNUMBER(MATCH(TRIM(RIGHT(SUBSTITUTE(TRIM(I163&amp;"")," ",REPT(" ",60)),60)),코드표!$F$2:$F$101,0))),INDEX(코드표!$K$2:$K$101,MATCH(LEFT(TRIM(I163&amp;""),FIND(" ",TRIM(I163&amp;""))-1),코드표!$J$2:$J$101,0))&amp;"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",TRIM(J163&amp;""))-1),코드표!$J$2:$J$101,0)),ISNUMBER(MATCH(TRIM(RIGHT(SUBSTITUTE(TRIM(J163&amp;"")," ",REPT(" ",60)),60)),코드표!$F$2:$F$101,0))),INDEX(코드표!$K$2:$K$101,MATCH(LEFT(TRIM(J163&amp;""),FIND(" ",TRIM(J163&amp;""))-1),코드표!$J$2:$J$101,0))&amp;"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",TRIM(E164&amp;""))-1),코드표!$J$2:$J$101,0)),ISNUMBER(MATCH(TRIM(RIGHT(SUBSTITUTE(TRIM(E164&amp;"")," ",REPT(" ",60)),60)),코드표!$F$2:$F$101,0))),INDEX(코드표!$K$2:$K$101,MATCH(LEFT(TRIM(E164&amp;""),FIND(" ",TRIM(E164&amp;""))-1),코드표!$J$2:$J$101,0))&amp;"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",TRIM(F164&amp;""))-1),코드표!$J$2:$J$101,0)),ISNUMBER(MATCH(TRIM(RIGHT(SUBSTITUTE(TRIM(F164&amp;"")," ",REPT(" ",60)),60)),코드표!$F$2:$F$101,0))),INDEX(코드표!$K$2:$K$101,MATCH(LEFT(TRIM(F164&amp;""),FIND(" ",TRIM(F164&amp;""))-1),코드표!$J$2:$J$101,0))&amp;"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",TRIM(G164&amp;""))-1),코드표!$J$2:$J$101,0)),ISNUMBER(MATCH(TRIM(RIGHT(SUBSTITUTE(TRIM(G164&amp;"")," ",REPT(" ",60)),60)),코드표!$F$2:$F$101,0))),INDEX(코드표!$K$2:$K$101,MATCH(LEFT(TRIM(G164&amp;""),FIND(" ",TRIM(G164&amp;""))-1),코드표!$J$2:$J$101,0))&amp;"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",TRIM(H164&amp;""))-1),코드표!$J$2:$J$101,0)),ISNUMBER(MATCH(TRIM(RIGHT(SUBSTITUTE(TRIM(H164&amp;"")," ",REPT(" ",60)),60)),코드표!$F$2:$F$101,0))),INDEX(코드표!$K$2:$K$101,MATCH(LEFT(TRIM(H164&amp;""),FIND(" ",TRIM(H164&amp;""))-1),코드표!$J$2:$J$101,0))&amp;"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",TRIM(I164&amp;""))-1),코드표!$J$2:$J$101,0)),ISNUMBER(MATCH(TRIM(RIGHT(SUBSTITUTE(TRIM(I164&amp;"")," ",REPT(" ",60)),60)),코드표!$F$2:$F$101,0))),INDEX(코드표!$K$2:$K$101,MATCH(LEFT(TRIM(I164&amp;""),FIND(" ",TRIM(I164&amp;""))-1),코드표!$J$2:$J$101,0))&amp;"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",TRIM(J164&amp;""))-1),코드표!$J$2:$J$101,0)),ISNUMBER(MATCH(TRIM(RIGHT(SUBSTITUTE(TRIM(J164&amp;"")," ",REPT(" ",60)),60)),코드표!$F$2:$F$101,0))),INDEX(코드표!$K$2:$K$101,MATCH(LEFT(TRIM(J164&amp;""),FIND(" ",TRIM(J164&amp;""))-1),코드표!$J$2:$J$101,0))&amp;"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",TRIM(E165&amp;""))-1),코드표!$J$2:$J$101,0)),ISNUMBER(MATCH(TRIM(RIGHT(SUBSTITUTE(TRIM(E165&amp;"")," ",REPT(" ",60)),60)),코드표!$F$2:$F$101,0))),INDEX(코드표!$K$2:$K$101,MATCH(LEFT(TRIM(E165&amp;""),FIND(" ",TRIM(E165&amp;""))-1),코드표!$J$2:$J$101,0))&amp;"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",TRIM(F165&amp;""))-1),코드표!$J$2:$J$101,0)),ISNUMBER(MATCH(TRIM(RIGHT(SUBSTITUTE(TRIM(F165&amp;"")," ",REPT(" ",60)),60)),코드표!$F$2:$F$101,0))),INDEX(코드표!$K$2:$K$101,MATCH(LEFT(TRIM(F165&amp;""),FIND(" ",TRIM(F165&amp;""))-1),코드표!$J$2:$J$101,0))&amp;"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",TRIM(G165&amp;""))-1),코드표!$J$2:$J$101,0)),ISNUMBER(MATCH(TRIM(RIGHT(SUBSTITUTE(TRIM(G165&amp;"")," ",REPT(" ",60)),60)),코드표!$F$2:$F$101,0))),INDEX(코드표!$K$2:$K$101,MATCH(LEFT(TRIM(G165&amp;""),FIND(" ",TRIM(G165&amp;""))-1),코드표!$J$2:$J$101,0))&amp;"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",TRIM(H165&amp;""))-1),코드표!$J$2:$J$101,0)),ISNUMBER(MATCH(TRIM(RIGHT(SUBSTITUTE(TRIM(H165&amp;"")," ",REPT(" ",60)),60)),코드표!$F$2:$F$101,0))),INDEX(코드표!$K$2:$K$101,MATCH(LEFT(TRIM(H165&amp;""),FIND(" ",TRIM(H165&amp;""))-1),코드표!$J$2:$J$101,0))&amp;"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",TRIM(I165&amp;""))-1),코드표!$J$2:$J$101,0)),ISNUMBER(MATCH(TRIM(RIGHT(SUBSTITUTE(TRIM(I165&amp;"")," ",REPT(" ",60)),60)),코드표!$F$2:$F$101,0))),INDEX(코드표!$K$2:$K$101,MATCH(LEFT(TRIM(I165&amp;""),FIND(" ",TRIM(I165&amp;""))-1),코드표!$J$2:$J$101,0))&amp;"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",TRIM(J165&amp;""))-1),코드표!$J$2:$J$101,0)),ISNUMBER(MATCH(TRIM(RIGHT(SUBSTITUTE(TRIM(J165&amp;"")," ",REPT(" ",60)),60)),코드표!$F$2:$F$101,0))),INDEX(코드표!$K$2:$K$101,MATCH(LEFT(TRIM(J165&amp;""),FIND(" ",TRIM(J165&amp;""))-1),코드표!$J$2:$J$101,0))&amp;"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",TRIM(E166&amp;""))-1),코드표!$J$2:$J$101,0)),ISNUMBER(MATCH(TRIM(RIGHT(SUBSTITUTE(TRIM(E166&amp;"")," ",REPT(" ",60)),60)),코드표!$F$2:$F$101,0))),INDEX(코드표!$K$2:$K$101,MATCH(LEFT(TRIM(E166&amp;""),FIND(" ",TRIM(E166&amp;""))-1),코드표!$J$2:$J$101,0))&amp;"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",TRIM(F166&amp;""))-1),코드표!$J$2:$J$101,0)),ISNUMBER(MATCH(TRIM(RIGHT(SUBSTITUTE(TRIM(F166&amp;"")," ",REPT(" ",60)),60)),코드표!$F$2:$F$101,0))),INDEX(코드표!$K$2:$K$101,MATCH(LEFT(TRIM(F166&amp;""),FIND(" ",TRIM(F166&amp;""))-1),코드표!$J$2:$J$101,0))&amp;"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",TRIM(G166&amp;""))-1),코드표!$J$2:$J$101,0)),ISNUMBER(MATCH(TRIM(RIGHT(SUBSTITUTE(TRIM(G166&amp;"")," ",REPT(" ",60)),60)),코드표!$F$2:$F$101,0))),INDEX(코드표!$K$2:$K$101,MATCH(LEFT(TRIM(G166&amp;""),FIND(" ",TRIM(G166&amp;""))-1),코드표!$J$2:$J$101,0))&amp;"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",TRIM(H166&amp;""))-1),코드표!$J$2:$J$101,0)),ISNUMBER(MATCH(TRIM(RIGHT(SUBSTITUTE(TRIM(H166&amp;"")," ",REPT(" ",60)),60)),코드표!$F$2:$F$101,0))),INDEX(코드표!$K$2:$K$101,MATCH(LEFT(TRIM(H166&amp;""),FIND(" ",TRIM(H166&amp;""))-1),코드표!$J$2:$J$101,0))&amp;"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",TRIM(I166&amp;""))-1),코드표!$J$2:$J$101,0)),ISNUMBER(MATCH(TRIM(RIGHT(SUBSTITUTE(TRIM(I166&amp;"")," ",REPT(" ",60)),60)),코드표!$F$2:$F$101,0))),INDEX(코드표!$K$2:$K$101,MATCH(LEFT(TRIM(I166&amp;""),FIND(" ",TRIM(I166&amp;""))-1),코드표!$J$2:$J$101,0))&amp;"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",TRIM(J166&amp;""))-1),코드표!$J$2:$J$101,0)),ISNUMBER(MATCH(TRIM(RIGHT(SUBSTITUTE(TRIM(J166&amp;"")," ",REPT(" ",60)),60)),코드표!$F$2:$F$101,0))),INDEX(코드표!$K$2:$K$101,MATCH(LEFT(TRIM(J166&amp;""),FIND(" ",TRIM(J166&amp;""))-1),코드표!$J$2:$J$101,0))&amp;"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",TRIM(E167&amp;""))-1),코드표!$J$2:$J$101,0)),ISNUMBER(MATCH(TRIM(RIGHT(SUBSTITUTE(TRIM(E167&amp;"")," ",REPT(" ",60)),60)),코드표!$F$2:$F$101,0))),INDEX(코드표!$K$2:$K$101,MATCH(LEFT(TRIM(E167&amp;""),FIND(" ",TRIM(E167&amp;""))-1),코드표!$J$2:$J$101,0))&amp;"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",TRIM(F167&amp;""))-1),코드표!$J$2:$J$101,0)),ISNUMBER(MATCH(TRIM(RIGHT(SUBSTITUTE(TRIM(F167&amp;"")," ",REPT(" ",60)),60)),코드표!$F$2:$F$101,0))),INDEX(코드표!$K$2:$K$101,MATCH(LEFT(TRIM(F167&amp;""),FIND(" ",TRIM(F167&amp;""))-1),코드표!$J$2:$J$101,0))&amp;"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",TRIM(G167&amp;""))-1),코드표!$J$2:$J$101,0)),ISNUMBER(MATCH(TRIM(RIGHT(SUBSTITUTE(TRIM(G167&amp;"")," ",REPT(" ",60)),60)),코드표!$F$2:$F$101,0))),INDEX(코드표!$K$2:$K$101,MATCH(LEFT(TRIM(G167&amp;""),FIND(" ",TRIM(G167&amp;""))-1),코드표!$J$2:$J$101,0))&amp;"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",TRIM(H167&amp;""))-1),코드표!$J$2:$J$101,0)),ISNUMBER(MATCH(TRIM(RIGHT(SUBSTITUTE(TRIM(H167&amp;"")," ",REPT(" ",60)),60)),코드표!$F$2:$F$101,0))),INDEX(코드표!$K$2:$K$101,MATCH(LEFT(TRIM(H167&amp;""),FIND(" ",TRIM(H167&amp;""))-1),코드표!$J$2:$J$101,0))&amp;"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",TRIM(I167&amp;""))-1),코드표!$J$2:$J$101,0)),ISNUMBER(MATCH(TRIM(RIGHT(SUBSTITUTE(TRIM(I167&amp;"")," ",REPT(" ",60)),60)),코드표!$F$2:$F$101,0))),INDEX(코드표!$K$2:$K$101,MATCH(LEFT(TRIM(I167&amp;""),FIND(" ",TRIM(I167&amp;""))-1),코드표!$J$2:$J$101,0))&amp;"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",TRIM(J167&amp;""))-1),코드표!$J$2:$J$101,0)),ISNUMBER(MATCH(TRIM(RIGHT(SUBSTITUTE(TRIM(J167&amp;"")," ",REPT(" ",60)),60)),코드표!$F$2:$F$101,0))),INDEX(코드표!$K$2:$K$101,MATCH(LEFT(TRIM(J167&amp;""),FIND(" ",TRIM(J167&amp;""))-1),코드표!$J$2:$J$101,0))&amp;"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",TRIM(E168&amp;""))-1),코드표!$J$2:$J$101,0)),ISNUMBER(MATCH(TRIM(RIGHT(SUBSTITUTE(TRIM(E168&amp;"")," ",REPT(" ",60)),60)),코드표!$F$2:$F$101,0))),INDEX(코드표!$K$2:$K$101,MATCH(LEFT(TRIM(E168&amp;""),FIND(" ",TRIM(E168&amp;""))-1),코드표!$J$2:$J$101,0))&amp;"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",TRIM(F168&amp;""))-1),코드표!$J$2:$J$101,0)),ISNUMBER(MATCH(TRIM(RIGHT(SUBSTITUTE(TRIM(F168&amp;"")," ",REPT(" ",60)),60)),코드표!$F$2:$F$101,0))),INDEX(코드표!$K$2:$K$101,MATCH(LEFT(TRIM(F168&amp;""),FIND(" ",TRIM(F168&amp;""))-1),코드표!$J$2:$J$101,0))&amp;"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",TRIM(G168&amp;""))-1),코드표!$J$2:$J$101,0)),ISNUMBER(MATCH(TRIM(RIGHT(SUBSTITUTE(TRIM(G168&amp;"")," ",REPT(" ",60)),60)),코드표!$F$2:$F$101,0))),INDEX(코드표!$K$2:$K$101,MATCH(LEFT(TRIM(G168&amp;""),FIND(" ",TRIM(G168&amp;""))-1),코드표!$J$2:$J$101,0))&amp;"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",TRIM(H168&amp;""))-1),코드표!$J$2:$J$101,0)),ISNUMBER(MATCH(TRIM(RIGHT(SUBSTITUTE(TRIM(H168&amp;"")," ",REPT(" ",60)),60)),코드표!$F$2:$F$101,0))),INDEX(코드표!$K$2:$K$101,MATCH(LEFT(TRIM(H168&amp;""),FIND(" ",TRIM(H168&amp;""))-1),코드표!$J$2:$J$101,0))&amp;"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",TRIM(I168&amp;""))-1),코드표!$J$2:$J$101,0)),ISNUMBER(MATCH(TRIM(RIGHT(SUBSTITUTE(TRIM(I168&amp;"")," ",REPT(" ",60)),60)),코드표!$F$2:$F$101,0))),INDEX(코드표!$K$2:$K$101,MATCH(LEFT(TRIM(I168&amp;""),FIND(" ",TRIM(I168&amp;""))-1),코드표!$J$2:$J$101,0))&amp;"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",TRIM(J168&amp;""))-1),코드표!$J$2:$J$101,0)),ISNUMBER(MATCH(TRIM(RIGHT(SUBSTITUTE(TRIM(J168&amp;"")," ",REPT(" ",60)),60)),코드표!$F$2:$F$101,0))),INDEX(코드표!$K$2:$K$101,MATCH(LEFT(TRIM(J168&amp;""),FIND(" ",TRIM(J168&amp;""))-1),코드표!$J$2:$J$101,0))&amp;"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",TRIM(E169&amp;""))-1),코드표!$J$2:$J$101,0)),ISNUMBER(MATCH(TRIM(RIGHT(SUBSTITUTE(TRIM(E169&amp;"")," ",REPT(" ",60)),60)),코드표!$F$2:$F$101,0))),INDEX(코드표!$K$2:$K$101,MATCH(LEFT(TRIM(E169&amp;""),FIND(" ",TRIM(E169&amp;""))-1),코드표!$J$2:$J$101,0))&amp;"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",TRIM(F169&amp;""))-1),코드표!$J$2:$J$101,0)),ISNUMBER(MATCH(TRIM(RIGHT(SUBSTITUTE(TRIM(F169&amp;"")," ",REPT(" ",60)),60)),코드표!$F$2:$F$101,0))),INDEX(코드표!$K$2:$K$101,MATCH(LEFT(TRIM(F169&amp;""),FIND(" ",TRIM(F169&amp;""))-1),코드표!$J$2:$J$101,0))&amp;"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",TRIM(G169&amp;""))-1),코드표!$J$2:$J$101,0)),ISNUMBER(MATCH(TRIM(RIGHT(SUBSTITUTE(TRIM(G169&amp;"")," ",REPT(" ",60)),60)),코드표!$F$2:$F$101,0))),INDEX(코드표!$K$2:$K$101,MATCH(LEFT(TRIM(G169&amp;""),FIND(" ",TRIM(G169&amp;""))-1),코드표!$J$2:$J$101,0))&amp;"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",TRIM(H169&amp;""))-1),코드표!$J$2:$J$101,0)),ISNUMBER(MATCH(TRIM(RIGHT(SUBSTITUTE(TRIM(H169&amp;"")," ",REPT(" ",60)),60)),코드표!$F$2:$F$101,0))),INDEX(코드표!$K$2:$K$101,MATCH(LEFT(TRIM(H169&amp;""),FIND(" ",TRIM(H169&amp;""))-1),코드표!$J$2:$J$101,0))&amp;"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",TRIM(I169&amp;""))-1),코드표!$J$2:$J$101,0)),ISNUMBER(MATCH(TRIM(RIGHT(SUBSTITUTE(TRIM(I169&amp;"")," ",REPT(" ",60)),60)),코드표!$F$2:$F$101,0))),INDEX(코드표!$K$2:$K$101,MATCH(LEFT(TRIM(I169&amp;""),FIND(" ",TRIM(I169&amp;""))-1),코드표!$J$2:$J$101,0))&amp;"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",TRIM(J169&amp;""))-1),코드표!$J$2:$J$101,0)),ISNUMBER(MATCH(TRIM(RIGHT(SUBSTITUTE(TRIM(J169&amp;"")," ",REPT(" ",60)),60)),코드표!$F$2:$F$101,0))),INDEX(코드표!$K$2:$K$101,MATCH(LEFT(TRIM(J169&amp;""),FIND(" ",TRIM(J169&amp;""))-1),코드표!$J$2:$J$101,0))&amp;"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",TRIM(E170&amp;""))-1),코드표!$J$2:$J$101,0)),ISNUMBER(MATCH(TRIM(RIGHT(SUBSTITUTE(TRIM(E170&amp;"")," ",REPT(" ",60)),60)),코드표!$F$2:$F$101,0))),INDEX(코드표!$K$2:$K$101,MATCH(LEFT(TRIM(E170&amp;""),FIND(" ",TRIM(E170&amp;""))-1),코드표!$J$2:$J$101,0))&amp;"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",TRIM(F170&amp;""))-1),코드표!$J$2:$J$101,0)),ISNUMBER(MATCH(TRIM(RIGHT(SUBSTITUTE(TRIM(F170&amp;"")," ",REPT(" ",60)),60)),코드표!$F$2:$F$101,0))),INDEX(코드표!$K$2:$K$101,MATCH(LEFT(TRIM(F170&amp;""),FIND(" ",TRIM(F170&amp;""))-1),코드표!$J$2:$J$101,0))&amp;"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",TRIM(G170&amp;""))-1),코드표!$J$2:$J$101,0)),ISNUMBER(MATCH(TRIM(RIGHT(SUBSTITUTE(TRIM(G170&amp;"")," ",REPT(" ",60)),60)),코드표!$F$2:$F$101,0))),INDEX(코드표!$K$2:$K$101,MATCH(LEFT(TRIM(G170&amp;""),FIND(" ",TRIM(G170&amp;""))-1),코드표!$J$2:$J$101,0))&amp;"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",TRIM(H170&amp;""))-1),코드표!$J$2:$J$101,0)),ISNUMBER(MATCH(TRIM(RIGHT(SUBSTITUTE(TRIM(H170&amp;"")," ",REPT(" ",60)),60)),코드표!$F$2:$F$101,0))),INDEX(코드표!$K$2:$K$101,MATCH(LEFT(TRIM(H170&amp;""),FIND(" ",TRIM(H170&amp;""))-1),코드표!$J$2:$J$101,0))&amp;"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",TRIM(I170&amp;""))-1),코드표!$J$2:$J$101,0)),ISNUMBER(MATCH(TRIM(RIGHT(SUBSTITUTE(TRIM(I170&amp;"")," ",REPT(" ",60)),60)),코드표!$F$2:$F$101,0))),INDEX(코드표!$K$2:$K$101,MATCH(LEFT(TRIM(I170&amp;""),FIND(" ",TRIM(I170&amp;""))-1),코드표!$J$2:$J$101,0))&amp;"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",TRIM(J170&amp;""))-1),코드표!$J$2:$J$101,0)),ISNUMBER(MATCH(TRIM(RIGHT(SUBSTITUTE(TRIM(J170&amp;"")," ",REPT(" ",60)),60)),코드표!$F$2:$F$101,0))),INDEX(코드표!$K$2:$K$101,MATCH(LEFT(TRIM(J170&amp;""),FIND(" ",TRIM(J170&amp;""))-1),코드표!$J$2:$J$101,0))&amp;"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",TRIM(E171&amp;""))-1),코드표!$J$2:$J$101,0)),ISNUMBER(MATCH(TRIM(RIGHT(SUBSTITUTE(TRIM(E171&amp;"")," ",REPT(" ",60)),60)),코드표!$F$2:$F$101,0))),INDEX(코드표!$K$2:$K$101,MATCH(LEFT(TRIM(E171&amp;""),FIND(" ",TRIM(E171&amp;""))-1),코드표!$J$2:$J$101,0))&amp;"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",TRIM(F171&amp;""))-1),코드표!$J$2:$J$101,0)),ISNUMBER(MATCH(TRIM(RIGHT(SUBSTITUTE(TRIM(F171&amp;"")," ",REPT(" ",60)),60)),코드표!$F$2:$F$101,0))),INDEX(코드표!$K$2:$K$101,MATCH(LEFT(TRIM(F171&amp;""),FIND(" ",TRIM(F171&amp;""))-1),코드표!$J$2:$J$101,0))&amp;"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",TRIM(G171&amp;""))-1),코드표!$J$2:$J$101,0)),ISNUMBER(MATCH(TRIM(RIGHT(SUBSTITUTE(TRIM(G171&amp;"")," ",REPT(" ",60)),60)),코드표!$F$2:$F$101,0))),INDEX(코드표!$K$2:$K$101,MATCH(LEFT(TRIM(G171&amp;""),FIND(" ",TRIM(G171&amp;""))-1),코드표!$J$2:$J$101,0))&amp;"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",TRIM(H171&amp;""))-1),코드표!$J$2:$J$101,0)),ISNUMBER(MATCH(TRIM(RIGHT(SUBSTITUTE(TRIM(H171&amp;"")," ",REPT(" ",60)),60)),코드표!$F$2:$F$101,0))),INDEX(코드표!$K$2:$K$101,MATCH(LEFT(TRIM(H171&amp;""),FIND(" ",TRIM(H171&amp;""))-1),코드표!$J$2:$J$101,0))&amp;"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",TRIM(I171&amp;""))-1),코드표!$J$2:$J$101,0)),ISNUMBER(MATCH(TRIM(RIGHT(SUBSTITUTE(TRIM(I171&amp;"")," ",REPT(" ",60)),60)),코드표!$F$2:$F$101,0))),INDEX(코드표!$K$2:$K$101,MATCH(LEFT(TRIM(I171&amp;""),FIND(" ",TRIM(I171&amp;""))-1),코드표!$J$2:$J$101,0))&amp;"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",TRIM(J171&amp;""))-1),코드표!$J$2:$J$101,0)),ISNUMBER(MATCH(TRIM(RIGHT(SUBSTITUTE(TRIM(J171&amp;"")," ",REPT(" ",60)),60)),코드표!$F$2:$F$101,0))),INDEX(코드표!$K$2:$K$101,MATCH(LEFT(TRIM(J171&amp;""),FIND(" ",TRIM(J171&amp;""))-1),코드표!$J$2:$J$101,0))&amp;"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",TRIM(E172&amp;""))-1),코드표!$J$2:$J$101,0)),ISNUMBER(MATCH(TRIM(RIGHT(SUBSTITUTE(TRIM(E172&amp;"")," ",REPT(" ",60)),60)),코드표!$F$2:$F$101,0))),INDEX(코드표!$K$2:$K$101,MATCH(LEFT(TRIM(E172&amp;""),FIND(" ",TRIM(E172&amp;""))-1),코드표!$J$2:$J$101,0))&amp;"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",TRIM(F172&amp;""))-1),코드표!$J$2:$J$101,0)),ISNUMBER(MATCH(TRIM(RIGHT(SUBSTITUTE(TRIM(F172&amp;"")," ",REPT(" ",60)),60)),코드표!$F$2:$F$101,0))),INDEX(코드표!$K$2:$K$101,MATCH(LEFT(TRIM(F172&amp;""),FIND(" ",TRIM(F172&amp;""))-1),코드표!$J$2:$J$101,0))&amp;"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",TRIM(G172&amp;""))-1),코드표!$J$2:$J$101,0)),ISNUMBER(MATCH(TRIM(RIGHT(SUBSTITUTE(TRIM(G172&amp;"")," ",REPT(" ",60)),60)),코드표!$F$2:$F$101,0))),INDEX(코드표!$K$2:$K$101,MATCH(LEFT(TRIM(G172&amp;""),FIND(" ",TRIM(G172&amp;""))-1),코드표!$J$2:$J$101,0))&amp;"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",TRIM(H172&amp;""))-1),코드표!$J$2:$J$101,0)),ISNUMBER(MATCH(TRIM(RIGHT(SUBSTITUTE(TRIM(H172&amp;"")," ",REPT(" ",60)),60)),코드표!$F$2:$F$101,0))),INDEX(코드표!$K$2:$K$101,MATCH(LEFT(TRIM(H172&amp;""),FIND(" ",TRIM(H172&amp;""))-1),코드표!$J$2:$J$101,0))&amp;"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",TRIM(I172&amp;""))-1),코드표!$J$2:$J$101,0)),ISNUMBER(MATCH(TRIM(RIGHT(SUBSTITUTE(TRIM(I172&amp;"")," ",REPT(" ",60)),60)),코드표!$F$2:$F$101,0))),INDEX(코드표!$K$2:$K$101,MATCH(LEFT(TRIM(I172&amp;""),FIND(" ",TRIM(I172&amp;""))-1),코드표!$J$2:$J$101,0))&amp;"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",TRIM(J172&amp;""))-1),코드표!$J$2:$J$101,0)),ISNUMBER(MATCH(TRIM(RIGHT(SUBSTITUTE(TRIM(J172&amp;"")," ",REPT(" ",60)),60)),코드표!$F$2:$F$101,0))),INDEX(코드표!$K$2:$K$101,MATCH(LEFT(TRIM(J172&amp;""),FIND(" ",TRIM(J172&amp;""))-1),코드표!$J$2:$J$101,0))&amp;"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",TRIM(E173&amp;""))-1),코드표!$J$2:$J$101,0)),ISNUMBER(MATCH(TRIM(RIGHT(SUBSTITUTE(TRIM(E173&amp;"")," ",REPT(" ",60)),60)),코드표!$F$2:$F$101,0))),INDEX(코드표!$K$2:$K$101,MATCH(LEFT(TRIM(E173&amp;""),FIND(" ",TRIM(E173&amp;""))-1),코드표!$J$2:$J$101,0))&amp;"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",TRIM(F173&amp;""))-1),코드표!$J$2:$J$101,0)),ISNUMBER(MATCH(TRIM(RIGHT(SUBSTITUTE(TRIM(F173&amp;"")," ",REPT(" ",60)),60)),코드표!$F$2:$F$101,0))),INDEX(코드표!$K$2:$K$101,MATCH(LEFT(TRIM(F173&amp;""),FIND(" ",TRIM(F173&amp;""))-1),코드표!$J$2:$J$101,0))&amp;"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",TRIM(G173&amp;""))-1),코드표!$J$2:$J$101,0)),ISNUMBER(MATCH(TRIM(RIGHT(SUBSTITUTE(TRIM(G173&amp;"")," ",REPT(" ",60)),60)),코드표!$F$2:$F$101,0))),INDEX(코드표!$K$2:$K$101,MATCH(LEFT(TRIM(G173&amp;""),FIND(" ",TRIM(G173&amp;""))-1),코드표!$J$2:$J$101,0))&amp;"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",TRIM(H173&amp;""))-1),코드표!$J$2:$J$101,0)),ISNUMBER(MATCH(TRIM(RIGHT(SUBSTITUTE(TRIM(H173&amp;"")," ",REPT(" ",60)),60)),코드표!$F$2:$F$101,0))),INDEX(코드표!$K$2:$K$101,MATCH(LEFT(TRIM(H173&amp;""),FIND(" ",TRIM(H173&amp;""))-1),코드표!$J$2:$J$101,0))&amp;"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",TRIM(I173&amp;""))-1),코드표!$J$2:$J$101,0)),ISNUMBER(MATCH(TRIM(RIGHT(SUBSTITUTE(TRIM(I173&amp;"")," ",REPT(" ",60)),60)),코드표!$F$2:$F$101,0))),INDEX(코드표!$K$2:$K$101,MATCH(LEFT(TRIM(I173&amp;""),FIND(" ",TRIM(I173&amp;""))-1),코드표!$J$2:$J$101,0))&amp;"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",TRIM(J173&amp;""))-1),코드표!$J$2:$J$101,0)),ISNUMBER(MATCH(TRIM(RIGHT(SUBSTITUTE(TRIM(J173&amp;"")," ",REPT(" ",60)),60)),코드표!$F$2:$F$101,0))),INDEX(코드표!$K$2:$K$101,MATCH(LEFT(TRIM(J173&amp;""),FIND(" ",TRIM(J173&amp;""))-1),코드표!$J$2:$J$101,0))&amp;"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",TRIM(E174&amp;""))-1),코드표!$J$2:$J$101,0)),ISNUMBER(MATCH(TRIM(RIGHT(SUBSTITUTE(TRIM(E174&amp;"")," ",REPT(" ",60)),60)),코드표!$F$2:$F$101,0))),INDEX(코드표!$K$2:$K$101,MATCH(LEFT(TRIM(E174&amp;""),FIND(" ",TRIM(E174&amp;""))-1),코드표!$J$2:$J$101,0))&amp;"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",TRIM(F174&amp;""))-1),코드표!$J$2:$J$101,0)),ISNUMBER(MATCH(TRIM(RIGHT(SUBSTITUTE(TRIM(F174&amp;"")," ",REPT(" ",60)),60)),코드표!$F$2:$F$101,0))),INDEX(코드표!$K$2:$K$101,MATCH(LEFT(TRIM(F174&amp;""),FIND(" ",TRIM(F174&amp;""))-1),코드표!$J$2:$J$101,0))&amp;"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",TRIM(G174&amp;""))-1),코드표!$J$2:$J$101,0)),ISNUMBER(MATCH(TRIM(RIGHT(SUBSTITUTE(TRIM(G174&amp;"")," ",REPT(" ",60)),60)),코드표!$F$2:$F$101,0))),INDEX(코드표!$K$2:$K$101,MATCH(LEFT(TRIM(G174&amp;""),FIND(" ",TRIM(G174&amp;""))-1),코드표!$J$2:$J$101,0))&amp;"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",TRIM(H174&amp;""))-1),코드표!$J$2:$J$101,0)),ISNUMBER(MATCH(TRIM(RIGHT(SUBSTITUTE(TRIM(H174&amp;"")," ",REPT(" ",60)),60)),코드표!$F$2:$F$101,0))),INDEX(코드표!$K$2:$K$101,MATCH(LEFT(TRIM(H174&amp;""),FIND(" ",TRIM(H174&amp;""))-1),코드표!$J$2:$J$101,0))&amp;"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",TRIM(I174&amp;""))-1),코드표!$J$2:$J$101,0)),ISNUMBER(MATCH(TRIM(RIGHT(SUBSTITUTE(TRIM(I174&amp;"")," ",REPT(" ",60)),60)),코드표!$F$2:$F$101,0))),INDEX(코드표!$K$2:$K$101,MATCH(LEFT(TRIM(I174&amp;""),FIND(" ",TRIM(I174&amp;""))-1),코드표!$J$2:$J$101,0))&amp;"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",TRIM(J174&amp;""))-1),코드표!$J$2:$J$101,0)),ISNUMBER(MATCH(TRIM(RIGHT(SUBSTITUTE(TRIM(J174&amp;"")," ",REPT(" ",60)),60)),코드표!$F$2:$F$101,0))),INDEX(코드표!$K$2:$K$101,MATCH(LEFT(TRIM(J174&amp;""),FIND(" ",TRIM(J174&amp;""))-1),코드표!$J$2:$J$101,0))&amp;"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",TRIM(E175&amp;""))-1),코드표!$J$2:$J$101,0)),ISNUMBER(MATCH(TRIM(RIGHT(SUBSTITUTE(TRIM(E175&amp;"")," ",REPT(" ",60)),60)),코드표!$F$2:$F$101,0))),INDEX(코드표!$K$2:$K$101,MATCH(LEFT(TRIM(E175&amp;""),FIND(" ",TRIM(E175&amp;""))-1),코드표!$J$2:$J$101,0))&amp;"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",TRIM(F175&amp;""))-1),코드표!$J$2:$J$101,0)),ISNUMBER(MATCH(TRIM(RIGHT(SUBSTITUTE(TRIM(F175&amp;"")," ",REPT(" ",60)),60)),코드표!$F$2:$F$101,0))),INDEX(코드표!$K$2:$K$101,MATCH(LEFT(TRIM(F175&amp;""),FIND(" ",TRIM(F175&amp;""))-1),코드표!$J$2:$J$101,0))&amp;"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",TRIM(G175&amp;""))-1),코드표!$J$2:$J$101,0)),ISNUMBER(MATCH(TRIM(RIGHT(SUBSTITUTE(TRIM(G175&amp;"")," ",REPT(" ",60)),60)),코드표!$F$2:$F$101,0))),INDEX(코드표!$K$2:$K$101,MATCH(LEFT(TRIM(G175&amp;""),FIND(" ",TRIM(G175&amp;""))-1),코드표!$J$2:$J$101,0))&amp;"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",TRIM(H175&amp;""))-1),코드표!$J$2:$J$101,0)),ISNUMBER(MATCH(TRIM(RIGHT(SUBSTITUTE(TRIM(H175&amp;"")," ",REPT(" ",60)),60)),코드표!$F$2:$F$101,0))),INDEX(코드표!$K$2:$K$101,MATCH(LEFT(TRIM(H175&amp;""),FIND(" ",TRIM(H175&amp;""))-1),코드표!$J$2:$J$101,0))&amp;"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",TRIM(I175&amp;""))-1),코드표!$J$2:$J$101,0)),ISNUMBER(MATCH(TRIM(RIGHT(SUBSTITUTE(TRIM(I175&amp;"")," ",REPT(" ",60)),60)),코드표!$F$2:$F$101,0))),INDEX(코드표!$K$2:$K$101,MATCH(LEFT(TRIM(I175&amp;""),FIND(" ",TRIM(I175&amp;""))-1),코드표!$J$2:$J$101,0))&amp;"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",TRIM(J175&amp;""))-1),코드표!$J$2:$J$101,0)),ISNUMBER(MATCH(TRIM(RIGHT(SUBSTITUTE(TRIM(J175&amp;"")," ",REPT(" ",60)),60)),코드표!$F$2:$F$101,0))),INDEX(코드표!$K$2:$K$101,MATCH(LEFT(TRIM(J175&amp;""),FIND(" ",TRIM(J175&amp;""))-1),코드표!$J$2:$J$101,0))&amp;"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",TRIM(E176&amp;""))-1),코드표!$J$2:$J$101,0)),ISNUMBER(MATCH(TRIM(RIGHT(SUBSTITUTE(TRIM(E176&amp;"")," ",REPT(" ",60)),60)),코드표!$F$2:$F$101,0))),INDEX(코드표!$K$2:$K$101,MATCH(LEFT(TRIM(E176&amp;""),FIND(" ",TRIM(E176&amp;""))-1),코드표!$J$2:$J$101,0))&amp;"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",TRIM(F176&amp;""))-1),코드표!$J$2:$J$101,0)),ISNUMBER(MATCH(TRIM(RIGHT(SUBSTITUTE(TRIM(F176&amp;"")," ",REPT(" ",60)),60)),코드표!$F$2:$F$101,0))),INDEX(코드표!$K$2:$K$101,MATCH(LEFT(TRIM(F176&amp;""),FIND(" ",TRIM(F176&amp;""))-1),코드표!$J$2:$J$101,0))&amp;"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",TRIM(G176&amp;""))-1),코드표!$J$2:$J$101,0)),ISNUMBER(MATCH(TRIM(RIGHT(SUBSTITUTE(TRIM(G176&amp;"")," ",REPT(" ",60)),60)),코드표!$F$2:$F$101,0))),INDEX(코드표!$K$2:$K$101,MATCH(LEFT(TRIM(G176&amp;""),FIND(" ",TRIM(G176&amp;""))-1),코드표!$J$2:$J$101,0))&amp;"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",TRIM(H176&amp;""))-1),코드표!$J$2:$J$101,0)),ISNUMBER(MATCH(TRIM(RIGHT(SUBSTITUTE(TRIM(H176&amp;"")," ",REPT(" ",60)),60)),코드표!$F$2:$F$101,0))),INDEX(코드표!$K$2:$K$101,MATCH(LEFT(TRIM(H176&amp;""),FIND(" ",TRIM(H176&amp;""))-1),코드표!$J$2:$J$101,0))&amp;"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",TRIM(I176&amp;""))-1),코드표!$J$2:$J$101,0)),ISNUMBER(MATCH(TRIM(RIGHT(SUBSTITUTE(TRIM(I176&amp;"")," ",REPT(" ",60)),60)),코드표!$F$2:$F$101,0))),INDEX(코드표!$K$2:$K$101,MATCH(LEFT(TRIM(I176&amp;""),FIND(" ",TRIM(I176&amp;""))-1),코드표!$J$2:$J$101,0))&amp;"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",TRIM(J176&amp;""))-1),코드표!$J$2:$J$101,0)),ISNUMBER(MATCH(TRIM(RIGHT(SUBSTITUTE(TRIM(J176&amp;"")," ",REPT(" ",60)),60)),코드표!$F$2:$F$101,0))),INDEX(코드표!$K$2:$K$101,MATCH(LEFT(TRIM(J176&amp;""),FIND(" ",TRIM(J176&amp;""))-1),코드표!$J$2:$J$101,0))&amp;"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",TRIM(E177&amp;""))-1),코드표!$J$2:$J$101,0)),ISNUMBER(MATCH(TRIM(RIGHT(SUBSTITUTE(TRIM(E177&amp;"")," ",REPT(" ",60)),60)),코드표!$F$2:$F$101,0))),INDEX(코드표!$K$2:$K$101,MATCH(LEFT(TRIM(E177&amp;""),FIND(" ",TRIM(E177&amp;""))-1),코드표!$J$2:$J$101,0))&amp;"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",TRIM(F177&amp;""))-1),코드표!$J$2:$J$101,0)),ISNUMBER(MATCH(TRIM(RIGHT(SUBSTITUTE(TRIM(F177&amp;"")," ",REPT(" ",60)),60)),코드표!$F$2:$F$101,0))),INDEX(코드표!$K$2:$K$101,MATCH(LEFT(TRIM(F177&amp;""),FIND(" ",TRIM(F177&amp;""))-1),코드표!$J$2:$J$101,0))&amp;"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",TRIM(G177&amp;""))-1),코드표!$J$2:$J$101,0)),ISNUMBER(MATCH(TRIM(RIGHT(SUBSTITUTE(TRIM(G177&amp;"")," ",REPT(" ",60)),60)),코드표!$F$2:$F$101,0))),INDEX(코드표!$K$2:$K$101,MATCH(LEFT(TRIM(G177&amp;""),FIND(" ",TRIM(G177&amp;""))-1),코드표!$J$2:$J$101,0))&amp;"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",TRIM(H177&amp;""))-1),코드표!$J$2:$J$101,0)),ISNUMBER(MATCH(TRIM(RIGHT(SUBSTITUTE(TRIM(H177&amp;"")," ",REPT(" ",60)),60)),코드표!$F$2:$F$101,0))),INDEX(코드표!$K$2:$K$101,MATCH(LEFT(TRIM(H177&amp;""),FIND(" ",TRIM(H177&amp;""))-1),코드표!$J$2:$J$101,0))&amp;"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",TRIM(I177&amp;""))-1),코드표!$J$2:$J$101,0)),ISNUMBER(MATCH(TRIM(RIGHT(SUBSTITUTE(TRIM(I177&amp;"")," ",REPT(" ",60)),60)),코드표!$F$2:$F$101,0))),INDEX(코드표!$K$2:$K$101,MATCH(LEFT(TRIM(I177&amp;""),FIND(" ",TRIM(I177&amp;""))-1),코드표!$J$2:$J$101,0))&amp;"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",TRIM(J177&amp;""))-1),코드표!$J$2:$J$101,0)),ISNUMBER(MATCH(TRIM(RIGHT(SUBSTITUTE(TRIM(J177&amp;"")," ",REPT(" ",60)),60)),코드표!$F$2:$F$101,0))),INDEX(코드표!$K$2:$K$101,MATCH(LEFT(TRIM(J177&amp;""),FIND(" ",TRIM(J177&amp;""))-1),코드표!$J$2:$J$101,0))&amp;"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",TRIM(E178&amp;""))-1),코드표!$J$2:$J$101,0)),ISNUMBER(MATCH(TRIM(RIGHT(SUBSTITUTE(TRIM(E178&amp;"")," ",REPT(" ",60)),60)),코드표!$F$2:$F$101,0))),INDEX(코드표!$K$2:$K$101,MATCH(LEFT(TRIM(E178&amp;""),FIND(" ",TRIM(E178&amp;""))-1),코드표!$J$2:$J$101,0))&amp;"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",TRIM(F178&amp;""))-1),코드표!$J$2:$J$101,0)),ISNUMBER(MATCH(TRIM(RIGHT(SUBSTITUTE(TRIM(F178&amp;"")," ",REPT(" ",60)),60)),코드표!$F$2:$F$101,0))),INDEX(코드표!$K$2:$K$101,MATCH(LEFT(TRIM(F178&amp;""),FIND(" ",TRIM(F178&amp;""))-1),코드표!$J$2:$J$101,0))&amp;"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",TRIM(G178&amp;""))-1),코드표!$J$2:$J$101,0)),ISNUMBER(MATCH(TRIM(RIGHT(SUBSTITUTE(TRIM(G178&amp;"")," ",REPT(" ",60)),60)),코드표!$F$2:$F$101,0))),INDEX(코드표!$K$2:$K$101,MATCH(LEFT(TRIM(G178&amp;""),FIND(" ",TRIM(G178&amp;""))-1),코드표!$J$2:$J$101,0))&amp;"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",TRIM(H178&amp;""))-1),코드표!$J$2:$J$101,0)),ISNUMBER(MATCH(TRIM(RIGHT(SUBSTITUTE(TRIM(H178&amp;"")," ",REPT(" ",60)),60)),코드표!$F$2:$F$101,0))),INDEX(코드표!$K$2:$K$101,MATCH(LEFT(TRIM(H178&amp;""),FIND(" ",TRIM(H178&amp;""))-1),코드표!$J$2:$J$101,0))&amp;"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",TRIM(I178&amp;""))-1),코드표!$J$2:$J$101,0)),ISNUMBER(MATCH(TRIM(RIGHT(SUBSTITUTE(TRIM(I178&amp;"")," ",REPT(" ",60)),60)),코드표!$F$2:$F$101,0))),INDEX(코드표!$K$2:$K$101,MATCH(LEFT(TRIM(I178&amp;""),FIND(" ",TRIM(I178&amp;""))-1),코드표!$J$2:$J$101,0))&amp;"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",TRIM(J178&amp;""))-1),코드표!$J$2:$J$101,0)),ISNUMBER(MATCH(TRIM(RIGHT(SUBSTITUTE(TRIM(J178&amp;"")," ",REPT(" ",60)),60)),코드표!$F$2:$F$101,0))),INDEX(코드표!$K$2:$K$101,MATCH(LEFT(TRIM(J178&amp;""),FIND(" ",TRIM(J178&amp;""))-1),코드표!$J$2:$J$101,0))&amp;"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",TRIM(E179&amp;""))-1),코드표!$J$2:$J$101,0)),ISNUMBER(MATCH(TRIM(RIGHT(SUBSTITUTE(TRIM(E179&amp;"")," ",REPT(" ",60)),60)),코드표!$F$2:$F$101,0))),INDEX(코드표!$K$2:$K$101,MATCH(LEFT(TRIM(E179&amp;""),FIND(" ",TRIM(E179&amp;""))-1),코드표!$J$2:$J$101,0))&amp;"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",TRIM(F179&amp;""))-1),코드표!$J$2:$J$101,0)),ISNUMBER(MATCH(TRIM(RIGHT(SUBSTITUTE(TRIM(F179&amp;"")," ",REPT(" ",60)),60)),코드표!$F$2:$F$101,0))),INDEX(코드표!$K$2:$K$101,MATCH(LEFT(TRIM(F179&amp;""),FIND(" ",TRIM(F179&amp;""))-1),코드표!$J$2:$J$101,0))&amp;"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",TRIM(G179&amp;""))-1),코드표!$J$2:$J$101,0)),ISNUMBER(MATCH(TRIM(RIGHT(SUBSTITUTE(TRIM(G179&amp;"")," ",REPT(" ",60)),60)),코드표!$F$2:$F$101,0))),INDEX(코드표!$K$2:$K$101,MATCH(LEFT(TRIM(G179&amp;""),FIND(" ",TRIM(G179&amp;""))-1),코드표!$J$2:$J$101,0))&amp;"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",TRIM(H179&amp;""))-1),코드표!$J$2:$J$101,0)),ISNUMBER(MATCH(TRIM(RIGHT(SUBSTITUTE(TRIM(H179&amp;"")," ",REPT(" ",60)),60)),코드표!$F$2:$F$101,0))),INDEX(코드표!$K$2:$K$101,MATCH(LEFT(TRIM(H179&amp;""),FIND(" ",TRIM(H179&amp;""))-1),코드표!$J$2:$J$101,0))&amp;"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",TRIM(I179&amp;""))-1),코드표!$J$2:$J$101,0)),ISNUMBER(MATCH(TRIM(RIGHT(SUBSTITUTE(TRIM(I179&amp;"")," ",REPT(" ",60)),60)),코드표!$F$2:$F$101,0))),INDEX(코드표!$K$2:$K$101,MATCH(LEFT(TRIM(I179&amp;""),FIND(" ",TRIM(I179&amp;""))-1),코드표!$J$2:$J$101,0))&amp;"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",TRIM(J179&amp;""))-1),코드표!$J$2:$J$101,0)),ISNUMBER(MATCH(TRIM(RIGHT(SUBSTITUTE(TRIM(J179&amp;"")," ",REPT(" ",60)),60)),코드표!$F$2:$F$101,0))),INDEX(코드표!$K$2:$K$101,MATCH(LEFT(TRIM(J179&amp;""),FIND(" ",TRIM(J179&amp;""))-1),코드표!$J$2:$J$101,0))&amp;"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",TRIM(E180&amp;""))-1),코드표!$J$2:$J$101,0)),ISNUMBER(MATCH(TRIM(RIGHT(SUBSTITUTE(TRIM(E180&amp;"")," ",REPT(" ",60)),60)),코드표!$F$2:$F$101,0))),INDEX(코드표!$K$2:$K$101,MATCH(LEFT(TRIM(E180&amp;""),FIND(" ",TRIM(E180&amp;""))-1),코드표!$J$2:$J$101,0))&amp;"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",TRIM(F180&amp;""))-1),코드표!$J$2:$J$101,0)),ISNUMBER(MATCH(TRIM(RIGHT(SUBSTITUTE(TRIM(F180&amp;"")," ",REPT(" ",60)),60)),코드표!$F$2:$F$101,0))),INDEX(코드표!$K$2:$K$101,MATCH(LEFT(TRIM(F180&amp;""),FIND(" ",TRIM(F180&amp;""))-1),코드표!$J$2:$J$101,0))&amp;"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",TRIM(G180&amp;""))-1),코드표!$J$2:$J$101,0)),ISNUMBER(MATCH(TRIM(RIGHT(SUBSTITUTE(TRIM(G180&amp;"")," ",REPT(" ",60)),60)),코드표!$F$2:$F$101,0))),INDEX(코드표!$K$2:$K$101,MATCH(LEFT(TRIM(G180&amp;""),FIND(" ",TRIM(G180&amp;""))-1),코드표!$J$2:$J$101,0))&amp;"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",TRIM(H180&amp;""))-1),코드표!$J$2:$J$101,0)),ISNUMBER(MATCH(TRIM(RIGHT(SUBSTITUTE(TRIM(H180&amp;"")," ",REPT(" ",60)),60)),코드표!$F$2:$F$101,0))),INDEX(코드표!$K$2:$K$101,MATCH(LEFT(TRIM(H180&amp;""),FIND(" ",TRIM(H180&amp;""))-1),코드표!$J$2:$J$101,0))&amp;"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",TRIM(I180&amp;""))-1),코드표!$J$2:$J$101,0)),ISNUMBER(MATCH(TRIM(RIGHT(SUBSTITUTE(TRIM(I180&amp;"")," ",REPT(" ",60)),60)),코드표!$F$2:$F$101,0))),INDEX(코드표!$K$2:$K$101,MATCH(LEFT(TRIM(I180&amp;""),FIND(" ",TRIM(I180&amp;""))-1),코드표!$J$2:$J$101,0))&amp;"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",TRIM(J180&amp;""))-1),코드표!$J$2:$J$101,0)),ISNUMBER(MATCH(TRIM(RIGHT(SUBSTITUTE(TRIM(J180&amp;"")," ",REPT(" ",60)),60)),코드표!$F$2:$F$101,0))),INDEX(코드표!$K$2:$K$101,MATCH(LEFT(TRIM(J180&amp;""),FIND(" ",TRIM(J180&amp;""))-1),코드표!$J$2:$J$101,0))&amp;"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",TRIM(E181&amp;""))-1),코드표!$J$2:$J$101,0)),ISNUMBER(MATCH(TRIM(RIGHT(SUBSTITUTE(TRIM(E181&amp;"")," ",REPT(" ",60)),60)),코드표!$F$2:$F$101,0))),INDEX(코드표!$K$2:$K$101,MATCH(LEFT(TRIM(E181&amp;""),FIND(" ",TRIM(E181&amp;""))-1),코드표!$J$2:$J$101,0))&amp;"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",TRIM(F181&amp;""))-1),코드표!$J$2:$J$101,0)),ISNUMBER(MATCH(TRIM(RIGHT(SUBSTITUTE(TRIM(F181&amp;"")," ",REPT(" ",60)),60)),코드표!$F$2:$F$101,0))),INDEX(코드표!$K$2:$K$101,MATCH(LEFT(TRIM(F181&amp;""),FIND(" ",TRIM(F181&amp;""))-1),코드표!$J$2:$J$101,0))&amp;"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",TRIM(G181&amp;""))-1),코드표!$J$2:$J$101,0)),ISNUMBER(MATCH(TRIM(RIGHT(SUBSTITUTE(TRIM(G181&amp;"")," ",REPT(" ",60)),60)),코드표!$F$2:$F$101,0))),INDEX(코드표!$K$2:$K$101,MATCH(LEFT(TRIM(G181&amp;""),FIND(" ",TRIM(G181&amp;""))-1),코드표!$J$2:$J$101,0))&amp;"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",TRIM(H181&amp;""))-1),코드표!$J$2:$J$101,0)),ISNUMBER(MATCH(TRIM(RIGHT(SUBSTITUTE(TRIM(H181&amp;"")," ",REPT(" ",60)),60)),코드표!$F$2:$F$101,0))),INDEX(코드표!$K$2:$K$101,MATCH(LEFT(TRIM(H181&amp;""),FIND(" ",TRIM(H181&amp;""))-1),코드표!$J$2:$J$101,0))&amp;"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",TRIM(I181&amp;""))-1),코드표!$J$2:$J$101,0)),ISNUMBER(MATCH(TRIM(RIGHT(SUBSTITUTE(TRIM(I181&amp;"")," ",REPT(" ",60)),60)),코드표!$F$2:$F$101,0))),INDEX(코드표!$K$2:$K$101,MATCH(LEFT(TRIM(I181&amp;""),FIND(" ",TRIM(I181&amp;""))-1),코드표!$J$2:$J$101,0))&amp;"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",TRIM(J181&amp;""))-1),코드표!$J$2:$J$101,0)),ISNUMBER(MATCH(TRIM(RIGHT(SUBSTITUTE(TRIM(J181&amp;"")," ",REPT(" ",60)),60)),코드표!$F$2:$F$101,0))),INDEX(코드표!$K$2:$K$101,MATCH(LEFT(TRIM(J181&amp;""),FIND(" ",TRIM(J181&amp;""))-1),코드표!$J$2:$J$101,0))&amp;"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",TRIM(E182&amp;""))-1),코드표!$J$2:$J$101,0)),ISNUMBER(MATCH(TRIM(RIGHT(SUBSTITUTE(TRIM(E182&amp;"")," ",REPT(" ",60)),60)),코드표!$F$2:$F$101,0))),INDEX(코드표!$K$2:$K$101,MATCH(LEFT(TRIM(E182&amp;""),FIND(" ",TRIM(E182&amp;""))-1),코드표!$J$2:$J$101,0))&amp;"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",TRIM(F182&amp;""))-1),코드표!$J$2:$J$101,0)),ISNUMBER(MATCH(TRIM(RIGHT(SUBSTITUTE(TRIM(F182&amp;"")," ",REPT(" ",60)),60)),코드표!$F$2:$F$101,0))),INDEX(코드표!$K$2:$K$101,MATCH(LEFT(TRIM(F182&amp;""),FIND(" ",TRIM(F182&amp;""))-1),코드표!$J$2:$J$101,0))&amp;"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",TRIM(G182&amp;""))-1),코드표!$J$2:$J$101,0)),ISNUMBER(MATCH(TRIM(RIGHT(SUBSTITUTE(TRIM(G182&amp;"")," ",REPT(" ",60)),60)),코드표!$F$2:$F$101,0))),INDEX(코드표!$K$2:$K$101,MATCH(LEFT(TRIM(G182&amp;""),FIND(" ",TRIM(G182&amp;""))-1),코드표!$J$2:$J$101,0))&amp;"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",TRIM(H182&amp;""))-1),코드표!$J$2:$J$101,0)),ISNUMBER(MATCH(TRIM(RIGHT(SUBSTITUTE(TRIM(H182&amp;"")," ",REPT(" ",60)),60)),코드표!$F$2:$F$101,0))),INDEX(코드표!$K$2:$K$101,MATCH(LEFT(TRIM(H182&amp;""),FIND(" ",TRIM(H182&amp;""))-1),코드표!$J$2:$J$101,0))&amp;"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",TRIM(I182&amp;""))-1),코드표!$J$2:$J$101,0)),ISNUMBER(MATCH(TRIM(RIGHT(SUBSTITUTE(TRIM(I182&amp;"")," ",REPT(" ",60)),60)),코드표!$F$2:$F$101,0))),INDEX(코드표!$K$2:$K$101,MATCH(LEFT(TRIM(I182&amp;""),FIND(" ",TRIM(I182&amp;""))-1),코드표!$J$2:$J$101,0))&amp;"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",TRIM(J182&amp;""))-1),코드표!$J$2:$J$101,0)),ISNUMBER(MATCH(TRIM(RIGHT(SUBSTITUTE(TRIM(J182&amp;"")," ",REPT(" ",60)),60)),코드표!$F$2:$F$101,0))),INDEX(코드표!$K$2:$K$101,MATCH(LEFT(TRIM(J182&amp;""),FIND(" ",TRIM(J182&amp;""))-1),코드표!$J$2:$J$101,0))&amp;"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",TRIM(E183&amp;""))-1),코드표!$J$2:$J$101,0)),ISNUMBER(MATCH(TRIM(RIGHT(SUBSTITUTE(TRIM(E183&amp;"")," ",REPT(" ",60)),60)),코드표!$F$2:$F$101,0))),INDEX(코드표!$K$2:$K$101,MATCH(LEFT(TRIM(E183&amp;""),FIND(" ",TRIM(E183&amp;""))-1),코드표!$J$2:$J$101,0))&amp;"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",TRIM(F183&amp;""))-1),코드표!$J$2:$J$101,0)),ISNUMBER(MATCH(TRIM(RIGHT(SUBSTITUTE(TRIM(F183&amp;"")," ",REPT(" ",60)),60)),코드표!$F$2:$F$101,0))),INDEX(코드표!$K$2:$K$101,MATCH(LEFT(TRIM(F183&amp;""),FIND(" ",TRIM(F183&amp;""))-1),코드표!$J$2:$J$101,0))&amp;"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",TRIM(G183&amp;""))-1),코드표!$J$2:$J$101,0)),ISNUMBER(MATCH(TRIM(RIGHT(SUBSTITUTE(TRIM(G183&amp;"")," ",REPT(" ",60)),60)),코드표!$F$2:$F$101,0))),INDEX(코드표!$K$2:$K$101,MATCH(LEFT(TRIM(G183&amp;""),FIND(" ",TRIM(G183&amp;""))-1),코드표!$J$2:$J$101,0))&amp;"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",TRIM(H183&amp;""))-1),코드표!$J$2:$J$101,0)),ISNUMBER(MATCH(TRIM(RIGHT(SUBSTITUTE(TRIM(H183&amp;"")," ",REPT(" ",60)),60)),코드표!$F$2:$F$101,0))),INDEX(코드표!$K$2:$K$101,MATCH(LEFT(TRIM(H183&amp;""),FIND(" ",TRIM(H183&amp;""))-1),코드표!$J$2:$J$101,0))&amp;"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",TRIM(I183&amp;""))-1),코드표!$J$2:$J$101,0)),ISNUMBER(MATCH(TRIM(RIGHT(SUBSTITUTE(TRIM(I183&amp;"")," ",REPT(" ",60)),60)),코드표!$F$2:$F$101,0))),INDEX(코드표!$K$2:$K$101,MATCH(LEFT(TRIM(I183&amp;""),FIND(" ",TRIM(I183&amp;""))-1),코드표!$J$2:$J$101,0))&amp;"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",TRIM(J183&amp;""))-1),코드표!$J$2:$J$101,0)),ISNUMBER(MATCH(TRIM(RIGHT(SUBSTITUTE(TRIM(J183&amp;"")," ",REPT(" ",60)),60)),코드표!$F$2:$F$101,0))),INDEX(코드표!$K$2:$K$101,MATCH(LEFT(TRIM(J183&amp;""),FIND(" ",TRIM(J183&amp;""))-1),코드표!$J$2:$J$101,0))&amp;"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",TRIM(E184&amp;""))-1),코드표!$J$2:$J$101,0)),ISNUMBER(MATCH(TRIM(RIGHT(SUBSTITUTE(TRIM(E184&amp;"")," ",REPT(" ",60)),60)),코드표!$F$2:$F$101,0))),INDEX(코드표!$K$2:$K$101,MATCH(LEFT(TRIM(E184&amp;""),FIND(" ",TRIM(E184&amp;""))-1),코드표!$J$2:$J$101,0))&amp;"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",TRIM(F184&amp;""))-1),코드표!$J$2:$J$101,0)),ISNUMBER(MATCH(TRIM(RIGHT(SUBSTITUTE(TRIM(F184&amp;"")," ",REPT(" ",60)),60)),코드표!$F$2:$F$101,0))),INDEX(코드표!$K$2:$K$101,MATCH(LEFT(TRIM(F184&amp;""),FIND(" ",TRIM(F184&amp;""))-1),코드표!$J$2:$J$101,0))&amp;"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",TRIM(G184&amp;""))-1),코드표!$J$2:$J$101,0)),ISNUMBER(MATCH(TRIM(RIGHT(SUBSTITUTE(TRIM(G184&amp;"")," ",REPT(" ",60)),60)),코드표!$F$2:$F$101,0))),INDEX(코드표!$K$2:$K$101,MATCH(LEFT(TRIM(G184&amp;""),FIND(" ",TRIM(G184&amp;""))-1),코드표!$J$2:$J$101,0))&amp;"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",TRIM(H184&amp;""))-1),코드표!$J$2:$J$101,0)),ISNUMBER(MATCH(TRIM(RIGHT(SUBSTITUTE(TRIM(H184&amp;"")," ",REPT(" ",60)),60)),코드표!$F$2:$F$101,0))),INDEX(코드표!$K$2:$K$101,MATCH(LEFT(TRIM(H184&amp;""),FIND(" ",TRIM(H184&amp;""))-1),코드표!$J$2:$J$101,0))&amp;"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",TRIM(I184&amp;""))-1),코드표!$J$2:$J$101,0)),ISNUMBER(MATCH(TRIM(RIGHT(SUBSTITUTE(TRIM(I184&amp;"")," ",REPT(" ",60)),60)),코드표!$F$2:$F$101,0))),INDEX(코드표!$K$2:$K$101,MATCH(LEFT(TRIM(I184&amp;""),FIND(" ",TRIM(I184&amp;""))-1),코드표!$J$2:$J$101,0))&amp;"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",TRIM(J184&amp;""))-1),코드표!$J$2:$J$101,0)),ISNUMBER(MATCH(TRIM(RIGHT(SUBSTITUTE(TRIM(J184&amp;"")," ",REPT(" ",60)),60)),코드표!$F$2:$F$101,0))),INDEX(코드표!$K$2:$K$101,MATCH(LEFT(TRIM(J184&amp;""),FIND(" ",TRIM(J184&amp;""))-1),코드표!$J$2:$J$101,0))&amp;"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",TRIM(E185&amp;""))-1),코드표!$J$2:$J$101,0)),ISNUMBER(MATCH(TRIM(RIGHT(SUBSTITUTE(TRIM(E185&amp;"")," ",REPT(" ",60)),60)),코드표!$F$2:$F$101,0))),INDEX(코드표!$K$2:$K$101,MATCH(LEFT(TRIM(E185&amp;""),FIND(" ",TRIM(E185&amp;""))-1),코드표!$J$2:$J$101,0))&amp;"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",TRIM(F185&amp;""))-1),코드표!$J$2:$J$101,0)),ISNUMBER(MATCH(TRIM(RIGHT(SUBSTITUTE(TRIM(F185&amp;"")," ",REPT(" ",60)),60)),코드표!$F$2:$F$101,0))),INDEX(코드표!$K$2:$K$101,MATCH(LEFT(TRIM(F185&amp;""),FIND(" ",TRIM(F185&amp;""))-1),코드표!$J$2:$J$101,0))&amp;"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",TRIM(G185&amp;""))-1),코드표!$J$2:$J$101,0)),ISNUMBER(MATCH(TRIM(RIGHT(SUBSTITUTE(TRIM(G185&amp;"")," ",REPT(" ",60)),60)),코드표!$F$2:$F$101,0))),INDEX(코드표!$K$2:$K$101,MATCH(LEFT(TRIM(G185&amp;""),FIND(" ",TRIM(G185&amp;""))-1),코드표!$J$2:$J$101,0))&amp;"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",TRIM(H185&amp;""))-1),코드표!$J$2:$J$101,0)),ISNUMBER(MATCH(TRIM(RIGHT(SUBSTITUTE(TRIM(H185&amp;"")," ",REPT(" ",60)),60)),코드표!$F$2:$F$101,0))),INDEX(코드표!$K$2:$K$101,MATCH(LEFT(TRIM(H185&amp;""),FIND(" ",TRIM(H185&amp;""))-1),코드표!$J$2:$J$101,0))&amp;"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",TRIM(I185&amp;""))-1),코드표!$J$2:$J$101,0)),ISNUMBER(MATCH(TRIM(RIGHT(SUBSTITUTE(TRIM(I185&amp;"")," ",REPT(" ",60)),60)),코드표!$F$2:$F$101,0))),INDEX(코드표!$K$2:$K$101,MATCH(LEFT(TRIM(I185&amp;""),FIND(" ",TRIM(I185&amp;""))-1),코드표!$J$2:$J$101,0))&amp;"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",TRIM(J185&amp;""))-1),코드표!$J$2:$J$101,0)),ISNUMBER(MATCH(TRIM(RIGHT(SUBSTITUTE(TRIM(J185&amp;"")," ",REPT(" ",60)),60)),코드표!$F$2:$F$101,0))),INDEX(코드표!$K$2:$K$101,MATCH(LEFT(TRIM(J185&amp;""),FIND(" ",TRIM(J185&amp;""))-1),코드표!$J$2:$J$101,0))&amp;"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",TRIM(E186&amp;""))-1),코드표!$J$2:$J$101,0)),ISNUMBER(MATCH(TRIM(RIGHT(SUBSTITUTE(TRIM(E186&amp;"")," ",REPT(" ",60)),60)),코드표!$F$2:$F$101,0))),INDEX(코드표!$K$2:$K$101,MATCH(LEFT(TRIM(E186&amp;""),FIND(" ",TRIM(E186&amp;""))-1),코드표!$J$2:$J$101,0))&amp;"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",TRIM(F186&amp;""))-1),코드표!$J$2:$J$101,0)),ISNUMBER(MATCH(TRIM(RIGHT(SUBSTITUTE(TRIM(F186&amp;"")," ",REPT(" ",60)),60)),코드표!$F$2:$F$101,0))),INDEX(코드표!$K$2:$K$101,MATCH(LEFT(TRIM(F186&amp;""),FIND(" ",TRIM(F186&amp;""))-1),코드표!$J$2:$J$101,0))&amp;"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",TRIM(G186&amp;""))-1),코드표!$J$2:$J$101,0)),ISNUMBER(MATCH(TRIM(RIGHT(SUBSTITUTE(TRIM(G186&amp;"")," ",REPT(" ",60)),60)),코드표!$F$2:$F$101,0))),INDEX(코드표!$K$2:$K$101,MATCH(LEFT(TRIM(G186&amp;""),FIND(" ",TRIM(G186&amp;""))-1),코드표!$J$2:$J$101,0))&amp;"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",TRIM(H186&amp;""))-1),코드표!$J$2:$J$101,0)),ISNUMBER(MATCH(TRIM(RIGHT(SUBSTITUTE(TRIM(H186&amp;"")," ",REPT(" ",60)),60)),코드표!$F$2:$F$101,0))),INDEX(코드표!$K$2:$K$101,MATCH(LEFT(TRIM(H186&amp;""),FIND(" ",TRIM(H186&amp;""))-1),코드표!$J$2:$J$101,0))&amp;"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",TRIM(I186&amp;""))-1),코드표!$J$2:$J$101,0)),ISNUMBER(MATCH(TRIM(RIGHT(SUBSTITUTE(TRIM(I186&amp;"")," ",REPT(" ",60)),60)),코드표!$F$2:$F$101,0))),INDEX(코드표!$K$2:$K$101,MATCH(LEFT(TRIM(I186&amp;""),FIND(" ",TRIM(I186&amp;""))-1),코드표!$J$2:$J$101,0))&amp;"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",TRIM(J186&amp;""))-1),코드표!$J$2:$J$101,0)),ISNUMBER(MATCH(TRIM(RIGHT(SUBSTITUTE(TRIM(J186&amp;"")," ",REPT(" ",60)),60)),코드표!$F$2:$F$101,0))),INDEX(코드표!$K$2:$K$101,MATCH(LEFT(TRIM(J186&amp;""),FIND(" ",TRIM(J186&amp;""))-1),코드표!$J$2:$J$101,0))&amp;"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",TRIM(E187&amp;""))-1),코드표!$J$2:$J$101,0)),ISNUMBER(MATCH(TRIM(RIGHT(SUBSTITUTE(TRIM(E187&amp;"")," ",REPT(" ",60)),60)),코드표!$F$2:$F$101,0))),INDEX(코드표!$K$2:$K$101,MATCH(LEFT(TRIM(E187&amp;""),FIND(" ",TRIM(E187&amp;""))-1),코드표!$J$2:$J$101,0))&amp;"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",TRIM(F187&amp;""))-1),코드표!$J$2:$J$101,0)),ISNUMBER(MATCH(TRIM(RIGHT(SUBSTITUTE(TRIM(F187&amp;"")," ",REPT(" ",60)),60)),코드표!$F$2:$F$101,0))),INDEX(코드표!$K$2:$K$101,MATCH(LEFT(TRIM(F187&amp;""),FIND(" ",TRIM(F187&amp;""))-1),코드표!$J$2:$J$101,0))&amp;"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",TRIM(G187&amp;""))-1),코드표!$J$2:$J$101,0)),ISNUMBER(MATCH(TRIM(RIGHT(SUBSTITUTE(TRIM(G187&amp;"")," ",REPT(" ",60)),60)),코드표!$F$2:$F$101,0))),INDEX(코드표!$K$2:$K$101,MATCH(LEFT(TRIM(G187&amp;""),FIND(" ",TRIM(G187&amp;""))-1),코드표!$J$2:$J$101,0))&amp;"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",TRIM(H187&amp;""))-1),코드표!$J$2:$J$101,0)),ISNUMBER(MATCH(TRIM(RIGHT(SUBSTITUTE(TRIM(H187&amp;"")," ",REPT(" ",60)),60)),코드표!$F$2:$F$101,0))),INDEX(코드표!$K$2:$K$101,MATCH(LEFT(TRIM(H187&amp;""),FIND(" ",TRIM(H187&amp;""))-1),코드표!$J$2:$J$101,0))&amp;"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",TRIM(I187&amp;""))-1),코드표!$J$2:$J$101,0)),ISNUMBER(MATCH(TRIM(RIGHT(SUBSTITUTE(TRIM(I187&amp;"")," ",REPT(" ",60)),60)),코드표!$F$2:$F$101,0))),INDEX(코드표!$K$2:$K$101,MATCH(LEFT(TRIM(I187&amp;""),FIND(" ",TRIM(I187&amp;""))-1),코드표!$J$2:$J$101,0))&amp;"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",TRIM(J187&amp;""))-1),코드표!$J$2:$J$101,0)),ISNUMBER(MATCH(TRIM(RIGHT(SUBSTITUTE(TRIM(J187&amp;"")," ",REPT(" ",60)),60)),코드표!$F$2:$F$101,0))),INDEX(코드표!$K$2:$K$101,MATCH(LEFT(TRIM(J187&amp;""),FIND(" ",TRIM(J187&amp;""))-1),코드표!$J$2:$J$101,0))&amp;"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",TRIM(E188&amp;""))-1),코드표!$J$2:$J$101,0)),ISNUMBER(MATCH(TRIM(RIGHT(SUBSTITUTE(TRIM(E188&amp;"")," ",REPT(" ",60)),60)),코드표!$F$2:$F$101,0))),INDEX(코드표!$K$2:$K$101,MATCH(LEFT(TRIM(E188&amp;""),FIND(" ",TRIM(E188&amp;""))-1),코드표!$J$2:$J$101,0))&amp;"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",TRIM(F188&amp;""))-1),코드표!$J$2:$J$101,0)),ISNUMBER(MATCH(TRIM(RIGHT(SUBSTITUTE(TRIM(F188&amp;"")," ",REPT(" ",60)),60)),코드표!$F$2:$F$101,0))),INDEX(코드표!$K$2:$K$101,MATCH(LEFT(TRIM(F188&amp;""),FIND(" ",TRIM(F188&amp;""))-1),코드표!$J$2:$J$101,0))&amp;"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",TRIM(G188&amp;""))-1),코드표!$J$2:$J$101,0)),ISNUMBER(MATCH(TRIM(RIGHT(SUBSTITUTE(TRIM(G188&amp;"")," ",REPT(" ",60)),60)),코드표!$F$2:$F$101,0))),INDEX(코드표!$K$2:$K$101,MATCH(LEFT(TRIM(G188&amp;""),FIND(" ",TRIM(G188&amp;""))-1),코드표!$J$2:$J$101,0))&amp;"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",TRIM(H188&amp;""))-1),코드표!$J$2:$J$101,0)),ISNUMBER(MATCH(TRIM(RIGHT(SUBSTITUTE(TRIM(H188&amp;"")," ",REPT(" ",60)),60)),코드표!$F$2:$F$101,0))),INDEX(코드표!$K$2:$K$101,MATCH(LEFT(TRIM(H188&amp;""),FIND(" ",TRIM(H188&amp;""))-1),코드표!$J$2:$J$101,0))&amp;"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",TRIM(I188&amp;""))-1),코드표!$J$2:$J$101,0)),ISNUMBER(MATCH(TRIM(RIGHT(SUBSTITUTE(TRIM(I188&amp;"")," ",REPT(" ",60)),60)),코드표!$F$2:$F$101,0))),INDEX(코드표!$K$2:$K$101,MATCH(LEFT(TRIM(I188&amp;""),FIND(" ",TRIM(I188&amp;""))-1),코드표!$J$2:$J$101,0))&amp;"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",TRIM(J188&amp;""))-1),코드표!$J$2:$J$101,0)),ISNUMBER(MATCH(TRIM(RIGHT(SUBSTITUTE(TRIM(J188&amp;"")," ",REPT(" ",60)),60)),코드표!$F$2:$F$101,0))),INDEX(코드표!$K$2:$K$101,MATCH(LEFT(TRIM(J188&amp;""),FIND(" ",TRIM(J188&amp;""))-1),코드표!$J$2:$J$101,0))&amp;"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",TRIM(E189&amp;""))-1),코드표!$J$2:$J$101,0)),ISNUMBER(MATCH(TRIM(RIGHT(SUBSTITUTE(TRIM(E189&amp;"")," ",REPT(" ",60)),60)),코드표!$F$2:$F$101,0))),INDEX(코드표!$K$2:$K$101,MATCH(LEFT(TRIM(E189&amp;""),FIND(" ",TRIM(E189&amp;""))-1),코드표!$J$2:$J$101,0))&amp;"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",TRIM(F189&amp;""))-1),코드표!$J$2:$J$101,0)),ISNUMBER(MATCH(TRIM(RIGHT(SUBSTITUTE(TRIM(F189&amp;"")," ",REPT(" ",60)),60)),코드표!$F$2:$F$101,0))),INDEX(코드표!$K$2:$K$101,MATCH(LEFT(TRIM(F189&amp;""),FIND(" ",TRIM(F189&amp;""))-1),코드표!$J$2:$J$101,0))&amp;"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",TRIM(G189&amp;""))-1),코드표!$J$2:$J$101,0)),ISNUMBER(MATCH(TRIM(RIGHT(SUBSTITUTE(TRIM(G189&amp;"")," ",REPT(" ",60)),60)),코드표!$F$2:$F$101,0))),INDEX(코드표!$K$2:$K$101,MATCH(LEFT(TRIM(G189&amp;""),FIND(" ",TRIM(G189&amp;""))-1),코드표!$J$2:$J$101,0))&amp;"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",TRIM(H189&amp;""))-1),코드표!$J$2:$J$101,0)),ISNUMBER(MATCH(TRIM(RIGHT(SUBSTITUTE(TRIM(H189&amp;"")," ",REPT(" ",60)),60)),코드표!$F$2:$F$101,0))),INDEX(코드표!$K$2:$K$101,MATCH(LEFT(TRIM(H189&amp;""),FIND(" ",TRIM(H189&amp;""))-1),코드표!$J$2:$J$101,0))&amp;"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",TRIM(I189&amp;""))-1),코드표!$J$2:$J$101,0)),ISNUMBER(MATCH(TRIM(RIGHT(SUBSTITUTE(TRIM(I189&amp;"")," ",REPT(" ",60)),60)),코드표!$F$2:$F$101,0))),INDEX(코드표!$K$2:$K$101,MATCH(LEFT(TRIM(I189&amp;""),FIND(" ",TRIM(I189&amp;""))-1),코드표!$J$2:$J$101,0))&amp;"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",TRIM(J189&amp;""))-1),코드표!$J$2:$J$101,0)),ISNUMBER(MATCH(TRIM(RIGHT(SUBSTITUTE(TRIM(J189&amp;"")," ",REPT(" ",60)),60)),코드표!$F$2:$F$101,0))),INDEX(코드표!$K$2:$K$101,MATCH(LEFT(TRIM(J189&amp;""),FIND(" ",TRIM(J189&amp;""))-1),코드표!$J$2:$J$101,0))&amp;"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",TRIM(E190&amp;""))-1),코드표!$J$2:$J$101,0)),ISNUMBER(MATCH(TRIM(RIGHT(SUBSTITUTE(TRIM(E190&amp;"")," ",REPT(" ",60)),60)),코드표!$F$2:$F$101,0))),INDEX(코드표!$K$2:$K$101,MATCH(LEFT(TRIM(E190&amp;""),FIND(" ",TRIM(E190&amp;""))-1),코드표!$J$2:$J$101,0))&amp;"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",TRIM(F190&amp;""))-1),코드표!$J$2:$J$101,0)),ISNUMBER(MATCH(TRIM(RIGHT(SUBSTITUTE(TRIM(F190&amp;"")," ",REPT(" ",60)),60)),코드표!$F$2:$F$101,0))),INDEX(코드표!$K$2:$K$101,MATCH(LEFT(TRIM(F190&amp;""),FIND(" ",TRIM(F190&amp;""))-1),코드표!$J$2:$J$101,0))&amp;"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",TRIM(G190&amp;""))-1),코드표!$J$2:$J$101,0)),ISNUMBER(MATCH(TRIM(RIGHT(SUBSTITUTE(TRIM(G190&amp;"")," ",REPT(" ",60)),60)),코드표!$F$2:$F$101,0))),INDEX(코드표!$K$2:$K$101,MATCH(LEFT(TRIM(G190&amp;""),FIND(" ",TRIM(G190&amp;""))-1),코드표!$J$2:$J$101,0))&amp;"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",TRIM(H190&amp;""))-1),코드표!$J$2:$J$101,0)),ISNUMBER(MATCH(TRIM(RIGHT(SUBSTITUTE(TRIM(H190&amp;"")," ",REPT(" ",60)),60)),코드표!$F$2:$F$101,0))),INDEX(코드표!$K$2:$K$101,MATCH(LEFT(TRIM(H190&amp;""),FIND(" ",TRIM(H190&amp;""))-1),코드표!$J$2:$J$101,0))&amp;"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",TRIM(I190&amp;""))-1),코드표!$J$2:$J$101,0)),ISNUMBER(MATCH(TRIM(RIGHT(SUBSTITUTE(TRIM(I190&amp;"")," ",REPT(" ",60)),60)),코드표!$F$2:$F$101,0))),INDEX(코드표!$K$2:$K$101,MATCH(LEFT(TRIM(I190&amp;""),FIND(" ",TRIM(I190&amp;""))-1),코드표!$J$2:$J$101,0))&amp;"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",TRIM(J190&amp;""))-1),코드표!$J$2:$J$101,0)),ISNUMBER(MATCH(TRIM(RIGHT(SUBSTITUTE(TRIM(J190&amp;"")," ",REPT(" ",60)),60)),코드표!$F$2:$F$101,0))),INDEX(코드표!$K$2:$K$101,MATCH(LEFT(TRIM(J190&amp;""),FIND(" ",TRIM(J190&amp;""))-1),코드표!$J$2:$J$101,0))&amp;"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",TRIM(E191&amp;""))-1),코드표!$J$2:$J$101,0)),ISNUMBER(MATCH(TRIM(RIGHT(SUBSTITUTE(TRIM(E191&amp;"")," ",REPT(" ",60)),60)),코드표!$F$2:$F$101,0))),INDEX(코드표!$K$2:$K$101,MATCH(LEFT(TRIM(E191&amp;""),FIND(" ",TRIM(E191&amp;""))-1),코드표!$J$2:$J$101,0))&amp;"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",TRIM(F191&amp;""))-1),코드표!$J$2:$J$101,0)),ISNUMBER(MATCH(TRIM(RIGHT(SUBSTITUTE(TRIM(F191&amp;"")," ",REPT(" ",60)),60)),코드표!$F$2:$F$101,0))),INDEX(코드표!$K$2:$K$101,MATCH(LEFT(TRIM(F191&amp;""),FIND(" ",TRIM(F191&amp;""))-1),코드표!$J$2:$J$101,0))&amp;"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",TRIM(G191&amp;""))-1),코드표!$J$2:$J$101,0)),ISNUMBER(MATCH(TRIM(RIGHT(SUBSTITUTE(TRIM(G191&amp;"")," ",REPT(" ",60)),60)),코드표!$F$2:$F$101,0))),INDEX(코드표!$K$2:$K$101,MATCH(LEFT(TRIM(G191&amp;""),FIND(" ",TRIM(G191&amp;""))-1),코드표!$J$2:$J$101,0))&amp;"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",TRIM(H191&amp;""))-1),코드표!$J$2:$J$101,0)),ISNUMBER(MATCH(TRIM(RIGHT(SUBSTITUTE(TRIM(H191&amp;"")," ",REPT(" ",60)),60)),코드표!$F$2:$F$101,0))),INDEX(코드표!$K$2:$K$101,MATCH(LEFT(TRIM(H191&amp;""),FIND(" ",TRIM(H191&amp;""))-1),코드표!$J$2:$J$101,0))&amp;"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",TRIM(I191&amp;""))-1),코드표!$J$2:$J$101,0)),ISNUMBER(MATCH(TRIM(RIGHT(SUBSTITUTE(TRIM(I191&amp;"")," ",REPT(" ",60)),60)),코드표!$F$2:$F$101,0))),INDEX(코드표!$K$2:$K$101,MATCH(LEFT(TRIM(I191&amp;""),FIND(" ",TRIM(I191&amp;""))-1),코드표!$J$2:$J$101,0))&amp;"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",TRIM(J191&amp;""))-1),코드표!$J$2:$J$101,0)),ISNUMBER(MATCH(TRIM(RIGHT(SUBSTITUTE(TRIM(J191&amp;"")," ",REPT(" ",60)),60)),코드표!$F$2:$F$101,0))),INDEX(코드표!$K$2:$K$101,MATCH(LEFT(TRIM(J191&amp;""),FIND(" ",TRIM(J191&amp;""))-1),코드표!$J$2:$J$101,0))&amp;"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",TRIM(E192&amp;""))-1),코드표!$J$2:$J$101,0)),ISNUMBER(MATCH(TRIM(RIGHT(SUBSTITUTE(TRIM(E192&amp;"")," ",REPT(" ",60)),60)),코드표!$F$2:$F$101,0))),INDEX(코드표!$K$2:$K$101,MATCH(LEFT(TRIM(E192&amp;""),FIND(" ",TRIM(E192&amp;""))-1),코드표!$J$2:$J$101,0))&amp;"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",TRIM(F192&amp;""))-1),코드표!$J$2:$J$101,0)),ISNUMBER(MATCH(TRIM(RIGHT(SUBSTITUTE(TRIM(F192&amp;"")," ",REPT(" ",60)),60)),코드표!$F$2:$F$101,0))),INDEX(코드표!$K$2:$K$101,MATCH(LEFT(TRIM(F192&amp;""),FIND(" ",TRIM(F192&amp;""))-1),코드표!$J$2:$J$101,0))&amp;"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",TRIM(G192&amp;""))-1),코드표!$J$2:$J$101,0)),ISNUMBER(MATCH(TRIM(RIGHT(SUBSTITUTE(TRIM(G192&amp;"")," ",REPT(" ",60)),60)),코드표!$F$2:$F$101,0))),INDEX(코드표!$K$2:$K$101,MATCH(LEFT(TRIM(G192&amp;""),FIND(" ",TRIM(G192&amp;""))-1),코드표!$J$2:$J$101,0))&amp;"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",TRIM(H192&amp;""))-1),코드표!$J$2:$J$101,0)),ISNUMBER(MATCH(TRIM(RIGHT(SUBSTITUTE(TRIM(H192&amp;"")," ",REPT(" ",60)),60)),코드표!$F$2:$F$101,0))),INDEX(코드표!$K$2:$K$101,MATCH(LEFT(TRIM(H192&amp;""),FIND(" ",TRIM(H192&amp;""))-1),코드표!$J$2:$J$101,0))&amp;"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",TRIM(I192&amp;""))-1),코드표!$J$2:$J$101,0)),ISNUMBER(MATCH(TRIM(RIGHT(SUBSTITUTE(TRIM(I192&amp;"")," ",REPT(" ",60)),60)),코드표!$F$2:$F$101,0))),INDEX(코드표!$K$2:$K$101,MATCH(LEFT(TRIM(I192&amp;""),FIND(" ",TRIM(I192&amp;""))-1),코드표!$J$2:$J$101,0))&amp;"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",TRIM(J192&amp;""))-1),코드표!$J$2:$J$101,0)),ISNUMBER(MATCH(TRIM(RIGHT(SUBSTITUTE(TRIM(J192&amp;"")," ",REPT(" ",60)),60)),코드표!$F$2:$F$101,0))),INDEX(코드표!$K$2:$K$101,MATCH(LEFT(TRIM(J192&amp;""),FIND(" ",TRIM(J192&amp;""))-1),코드표!$J$2:$J$101,0))&amp;"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",TRIM(E193&amp;""))-1),코드표!$J$2:$J$101,0)),ISNUMBER(MATCH(TRIM(RIGHT(SUBSTITUTE(TRIM(E193&amp;"")," ",REPT(" ",60)),60)),코드표!$F$2:$F$101,0))),INDEX(코드표!$K$2:$K$101,MATCH(LEFT(TRIM(E193&amp;""),FIND(" ",TRIM(E193&amp;""))-1),코드표!$J$2:$J$101,0))&amp;"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",TRIM(F193&amp;""))-1),코드표!$J$2:$J$101,0)),ISNUMBER(MATCH(TRIM(RIGHT(SUBSTITUTE(TRIM(F193&amp;"")," ",REPT(" ",60)),60)),코드표!$F$2:$F$101,0))),INDEX(코드표!$K$2:$K$101,MATCH(LEFT(TRIM(F193&amp;""),FIND(" ",TRIM(F193&amp;""))-1),코드표!$J$2:$J$101,0))&amp;"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",TRIM(G193&amp;""))-1),코드표!$J$2:$J$101,0)),ISNUMBER(MATCH(TRIM(RIGHT(SUBSTITUTE(TRIM(G193&amp;"")," ",REPT(" ",60)),60)),코드표!$F$2:$F$101,0))),INDEX(코드표!$K$2:$K$101,MATCH(LEFT(TRIM(G193&amp;""),FIND(" ",TRIM(G193&amp;""))-1),코드표!$J$2:$J$101,0))&amp;"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",TRIM(H193&amp;""))-1),코드표!$J$2:$J$101,0)),ISNUMBER(MATCH(TRIM(RIGHT(SUBSTITUTE(TRIM(H193&amp;"")," ",REPT(" ",60)),60)),코드표!$F$2:$F$101,0))),INDEX(코드표!$K$2:$K$101,MATCH(LEFT(TRIM(H193&amp;""),FIND(" ",TRIM(H193&amp;""))-1),코드표!$J$2:$J$101,0))&amp;"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",TRIM(I193&amp;""))-1),코드표!$J$2:$J$101,0)),ISNUMBER(MATCH(TRIM(RIGHT(SUBSTITUTE(TRIM(I193&amp;"")," ",REPT(" ",60)),60)),코드표!$F$2:$F$101,0))),INDEX(코드표!$K$2:$K$101,MATCH(LEFT(TRIM(I193&amp;""),FIND(" ",TRIM(I193&amp;""))-1),코드표!$J$2:$J$101,0))&amp;"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",TRIM(J193&amp;""))-1),코드표!$J$2:$J$101,0)),ISNUMBER(MATCH(TRIM(RIGHT(SUBSTITUTE(TRIM(J193&amp;"")," ",REPT(" ",60)),60)),코드표!$F$2:$F$101,0))),INDEX(코드표!$K$2:$K$101,MATCH(LEFT(TRIM(J193&amp;""),FIND(" ",TRIM(J193&amp;""))-1),코드표!$J$2:$J$101,0))&amp;"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",TRIM(E194&amp;""))-1),코드표!$J$2:$J$101,0)),ISNUMBER(MATCH(TRIM(RIGHT(SUBSTITUTE(TRIM(E194&amp;"")," ",REPT(" ",60)),60)),코드표!$F$2:$F$101,0))),INDEX(코드표!$K$2:$K$101,MATCH(LEFT(TRIM(E194&amp;""),FIND(" ",TRIM(E194&amp;""))-1),코드표!$J$2:$J$101,0))&amp;"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",TRIM(F194&amp;""))-1),코드표!$J$2:$J$101,0)),ISNUMBER(MATCH(TRIM(RIGHT(SUBSTITUTE(TRIM(F194&amp;"")," ",REPT(" ",60)),60)),코드표!$F$2:$F$101,0))),INDEX(코드표!$K$2:$K$101,MATCH(LEFT(TRIM(F194&amp;""),FIND(" ",TRIM(F194&amp;""))-1),코드표!$J$2:$J$101,0))&amp;"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",TRIM(G194&amp;""))-1),코드표!$J$2:$J$101,0)),ISNUMBER(MATCH(TRIM(RIGHT(SUBSTITUTE(TRIM(G194&amp;"")," ",REPT(" ",60)),60)),코드표!$F$2:$F$101,0))),INDEX(코드표!$K$2:$K$101,MATCH(LEFT(TRIM(G194&amp;""),FIND(" ",TRIM(G194&amp;""))-1),코드표!$J$2:$J$101,0))&amp;"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",TRIM(H194&amp;""))-1),코드표!$J$2:$J$101,0)),ISNUMBER(MATCH(TRIM(RIGHT(SUBSTITUTE(TRIM(H194&amp;"")," ",REPT(" ",60)),60)),코드표!$F$2:$F$101,0))),INDEX(코드표!$K$2:$K$101,MATCH(LEFT(TRIM(H194&amp;""),FIND(" ",TRIM(H194&amp;""))-1),코드표!$J$2:$J$101,0))&amp;"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",TRIM(I194&amp;""))-1),코드표!$J$2:$J$101,0)),ISNUMBER(MATCH(TRIM(RIGHT(SUBSTITUTE(TRIM(I194&amp;"")," ",REPT(" ",60)),60)),코드표!$F$2:$F$101,0))),INDEX(코드표!$K$2:$K$101,MATCH(LEFT(TRIM(I194&amp;""),FIND(" ",TRIM(I194&amp;""))-1),코드표!$J$2:$J$101,0))&amp;"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",TRIM(J194&amp;""))-1),코드표!$J$2:$J$101,0)),ISNUMBER(MATCH(TRIM(RIGHT(SUBSTITUTE(TRIM(J194&amp;"")," ",REPT(" ",60)),60)),코드표!$F$2:$F$101,0))),INDEX(코드표!$K$2:$K$101,MATCH(LEFT(TRIM(J194&amp;""),FIND(" ",TRIM(J194&amp;""))-1),코드표!$J$2:$J$101,0))&amp;"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",TRIM(E195&amp;""))-1),코드표!$J$2:$J$101,0)),ISNUMBER(MATCH(TRIM(RIGHT(SUBSTITUTE(TRIM(E195&amp;"")," ",REPT(" ",60)),60)),코드표!$F$2:$F$101,0))),INDEX(코드표!$K$2:$K$101,MATCH(LEFT(TRIM(E195&amp;""),FIND(" ",TRIM(E195&amp;""))-1),코드표!$J$2:$J$101,0))&amp;"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",TRIM(F195&amp;""))-1),코드표!$J$2:$J$101,0)),ISNUMBER(MATCH(TRIM(RIGHT(SUBSTITUTE(TRIM(F195&amp;"")," ",REPT(" ",60)),60)),코드표!$F$2:$F$101,0))),INDEX(코드표!$K$2:$K$101,MATCH(LEFT(TRIM(F195&amp;""),FIND(" ",TRIM(F195&amp;""))-1),코드표!$J$2:$J$101,0))&amp;"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",TRIM(G195&amp;""))-1),코드표!$J$2:$J$101,0)),ISNUMBER(MATCH(TRIM(RIGHT(SUBSTITUTE(TRIM(G195&amp;"")," ",REPT(" ",60)),60)),코드표!$F$2:$F$101,0))),INDEX(코드표!$K$2:$K$101,MATCH(LEFT(TRIM(G195&amp;""),FIND(" ",TRIM(G195&amp;""))-1),코드표!$J$2:$J$101,0))&amp;"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",TRIM(H195&amp;""))-1),코드표!$J$2:$J$101,0)),ISNUMBER(MATCH(TRIM(RIGHT(SUBSTITUTE(TRIM(H195&amp;"")," ",REPT(" ",60)),60)),코드표!$F$2:$F$101,0))),INDEX(코드표!$K$2:$K$101,MATCH(LEFT(TRIM(H195&amp;""),FIND(" ",TRIM(H195&amp;""))-1),코드표!$J$2:$J$101,0))&amp;"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",TRIM(I195&amp;""))-1),코드표!$J$2:$J$101,0)),ISNUMBER(MATCH(TRIM(RIGHT(SUBSTITUTE(TRIM(I195&amp;"")," ",REPT(" ",60)),60)),코드표!$F$2:$F$101,0))),INDEX(코드표!$K$2:$K$101,MATCH(LEFT(TRIM(I195&amp;""),FIND(" ",TRIM(I195&amp;""))-1),코드표!$J$2:$J$101,0))&amp;"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",TRIM(J195&amp;""))-1),코드표!$J$2:$J$101,0)),ISNUMBER(MATCH(TRIM(RIGHT(SUBSTITUTE(TRIM(J195&amp;"")," ",REPT(" ",60)),60)),코드표!$F$2:$F$101,0))),INDEX(코드표!$K$2:$K$101,MATCH(LEFT(TRIM(J195&amp;""),FIND(" ",TRIM(J195&amp;""))-1),코드표!$J$2:$J$101,0))&amp;"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",TRIM(E196&amp;""))-1),코드표!$J$2:$J$101,0)),ISNUMBER(MATCH(TRIM(RIGHT(SUBSTITUTE(TRIM(E196&amp;"")," ",REPT(" ",60)),60)),코드표!$F$2:$F$101,0))),INDEX(코드표!$K$2:$K$101,MATCH(LEFT(TRIM(E196&amp;""),FIND(" ",TRIM(E196&amp;""))-1),코드표!$J$2:$J$101,0))&amp;"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",TRIM(F196&amp;""))-1),코드표!$J$2:$J$101,0)),ISNUMBER(MATCH(TRIM(RIGHT(SUBSTITUTE(TRIM(F196&amp;"")," ",REPT(" ",60)),60)),코드표!$F$2:$F$101,0))),INDEX(코드표!$K$2:$K$101,MATCH(LEFT(TRIM(F196&amp;""),FIND(" ",TRIM(F196&amp;""))-1),코드표!$J$2:$J$101,0))&amp;"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",TRIM(G196&amp;""))-1),코드표!$J$2:$J$101,0)),ISNUMBER(MATCH(TRIM(RIGHT(SUBSTITUTE(TRIM(G196&amp;"")," ",REPT(" ",60)),60)),코드표!$F$2:$F$101,0))),INDEX(코드표!$K$2:$K$101,MATCH(LEFT(TRIM(G196&amp;""),FIND(" ",TRIM(G196&amp;""))-1),코드표!$J$2:$J$101,0))&amp;"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",TRIM(H196&amp;""))-1),코드표!$J$2:$J$101,0)),ISNUMBER(MATCH(TRIM(RIGHT(SUBSTITUTE(TRIM(H196&amp;"")," ",REPT(" ",60)),60)),코드표!$F$2:$F$101,0))),INDEX(코드표!$K$2:$K$101,MATCH(LEFT(TRIM(H196&amp;""),FIND(" ",TRIM(H196&amp;""))-1),코드표!$J$2:$J$101,0))&amp;"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",TRIM(I196&amp;""))-1),코드표!$J$2:$J$101,0)),ISNUMBER(MATCH(TRIM(RIGHT(SUBSTITUTE(TRIM(I196&amp;"")," ",REPT(" ",60)),60)),코드표!$F$2:$F$101,0))),INDEX(코드표!$K$2:$K$101,MATCH(LEFT(TRIM(I196&amp;""),FIND(" ",TRIM(I196&amp;""))-1),코드표!$J$2:$J$101,0))&amp;"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",TRIM(J196&amp;""))-1),코드표!$J$2:$J$101,0)),ISNUMBER(MATCH(TRIM(RIGHT(SUBSTITUTE(TRIM(J196&amp;"")," ",REPT(" ",60)),60)),코드표!$F$2:$F$101,0))),INDEX(코드표!$K$2:$K$101,MATCH(LEFT(TRIM(J196&amp;""),FIND(" ",TRIM(J196&amp;""))-1),코드표!$J$2:$J$101,0))&amp;"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",TRIM(E197&amp;""))-1),코드표!$J$2:$J$101,0)),ISNUMBER(MATCH(TRIM(RIGHT(SUBSTITUTE(TRIM(E197&amp;"")," ",REPT(" ",60)),60)),코드표!$F$2:$F$101,0))),INDEX(코드표!$K$2:$K$101,MATCH(LEFT(TRIM(E197&amp;""),FIND(" ",TRIM(E197&amp;""))-1),코드표!$J$2:$J$101,0))&amp;"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",TRIM(F197&amp;""))-1),코드표!$J$2:$J$101,0)),ISNUMBER(MATCH(TRIM(RIGHT(SUBSTITUTE(TRIM(F197&amp;"")," ",REPT(" ",60)),60)),코드표!$F$2:$F$101,0))),INDEX(코드표!$K$2:$K$101,MATCH(LEFT(TRIM(F197&amp;""),FIND(" ",TRIM(F197&amp;""))-1),코드표!$J$2:$J$101,0))&amp;"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",TRIM(G197&amp;""))-1),코드표!$J$2:$J$101,0)),ISNUMBER(MATCH(TRIM(RIGHT(SUBSTITUTE(TRIM(G197&amp;"")," ",REPT(" ",60)),60)),코드표!$F$2:$F$101,0))),INDEX(코드표!$K$2:$K$101,MATCH(LEFT(TRIM(G197&amp;""),FIND(" ",TRIM(G197&amp;""))-1),코드표!$J$2:$J$101,0))&amp;"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",TRIM(H197&amp;""))-1),코드표!$J$2:$J$101,0)),ISNUMBER(MATCH(TRIM(RIGHT(SUBSTITUTE(TRIM(H197&amp;"")," ",REPT(" ",60)),60)),코드표!$F$2:$F$101,0))),INDEX(코드표!$K$2:$K$101,MATCH(LEFT(TRIM(H197&amp;""),FIND(" ",TRIM(H197&amp;""))-1),코드표!$J$2:$J$101,0))&amp;"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",TRIM(I197&amp;""))-1),코드표!$J$2:$J$101,0)),ISNUMBER(MATCH(TRIM(RIGHT(SUBSTITUTE(TRIM(I197&amp;"")," ",REPT(" ",60)),60)),코드표!$F$2:$F$101,0))),INDEX(코드표!$K$2:$K$101,MATCH(LEFT(TRIM(I197&amp;""),FIND(" ",TRIM(I197&amp;""))-1),코드표!$J$2:$J$101,0))&amp;"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",TRIM(J197&amp;""))-1),코드표!$J$2:$J$101,0)),ISNUMBER(MATCH(TRIM(RIGHT(SUBSTITUTE(TRIM(J197&amp;"")," ",REPT(" ",60)),60)),코드표!$F$2:$F$101,0))),INDEX(코드표!$K$2:$K$101,MATCH(LEFT(TRIM(J197&amp;""),FIND(" ",TRIM(J197&amp;""))-1),코드표!$J$2:$J$101,0))&amp;"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",TRIM(E198&amp;""))-1),코드표!$J$2:$J$101,0)),ISNUMBER(MATCH(TRIM(RIGHT(SUBSTITUTE(TRIM(E198&amp;"")," ",REPT(" ",60)),60)),코드표!$F$2:$F$101,0))),INDEX(코드표!$K$2:$K$101,MATCH(LEFT(TRIM(E198&amp;""),FIND(" ",TRIM(E198&amp;""))-1),코드표!$J$2:$J$101,0))&amp;"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",TRIM(F198&amp;""))-1),코드표!$J$2:$J$101,0)),ISNUMBER(MATCH(TRIM(RIGHT(SUBSTITUTE(TRIM(F198&amp;"")," ",REPT(" ",60)),60)),코드표!$F$2:$F$101,0))),INDEX(코드표!$K$2:$K$101,MATCH(LEFT(TRIM(F198&amp;""),FIND(" ",TRIM(F198&amp;""))-1),코드표!$J$2:$J$101,0))&amp;"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",TRIM(G198&amp;""))-1),코드표!$J$2:$J$101,0)),ISNUMBER(MATCH(TRIM(RIGHT(SUBSTITUTE(TRIM(G198&amp;"")," ",REPT(" ",60)),60)),코드표!$F$2:$F$101,0))),INDEX(코드표!$K$2:$K$101,MATCH(LEFT(TRIM(G198&amp;""),FIND(" ",TRIM(G198&amp;""))-1),코드표!$J$2:$J$101,0))&amp;"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",TRIM(H198&amp;""))-1),코드표!$J$2:$J$101,0)),ISNUMBER(MATCH(TRIM(RIGHT(SUBSTITUTE(TRIM(H198&amp;"")," ",REPT(" ",60)),60)),코드표!$F$2:$F$101,0))),INDEX(코드표!$K$2:$K$101,MATCH(LEFT(TRIM(H198&amp;""),FIND(" ",TRIM(H198&amp;""))-1),코드표!$J$2:$J$101,0))&amp;"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",TRIM(I198&amp;""))-1),코드표!$J$2:$J$101,0)),ISNUMBER(MATCH(TRIM(RIGHT(SUBSTITUTE(TRIM(I198&amp;"")," ",REPT(" ",60)),60)),코드표!$F$2:$F$101,0))),INDEX(코드표!$K$2:$K$101,MATCH(LEFT(TRIM(I198&amp;""),FIND(" ",TRIM(I198&amp;""))-1),코드표!$J$2:$J$101,0))&amp;"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",TRIM(J198&amp;""))-1),코드표!$J$2:$J$101,0)),ISNUMBER(MATCH(TRIM(RIGHT(SUBSTITUTE(TRIM(J198&amp;"")," ",REPT(" ",60)),60)),코드표!$F$2:$F$101,0))),INDEX(코드표!$K$2:$K$101,MATCH(LEFT(TRIM(J198&amp;""),FIND(" ",TRIM(J198&amp;""))-1),코드표!$J$2:$J$101,0))&amp;"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",TRIM(E199&amp;""))-1),코드표!$J$2:$J$101,0)),ISNUMBER(MATCH(TRIM(RIGHT(SUBSTITUTE(TRIM(E199&amp;"")," ",REPT(" ",60)),60)),코드표!$F$2:$F$101,0))),INDEX(코드표!$K$2:$K$101,MATCH(LEFT(TRIM(E199&amp;""),FIND(" ",TRIM(E199&amp;""))-1),코드표!$J$2:$J$101,0))&amp;"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",TRIM(F199&amp;""))-1),코드표!$J$2:$J$101,0)),ISNUMBER(MATCH(TRIM(RIGHT(SUBSTITUTE(TRIM(F199&amp;"")," ",REPT(" ",60)),60)),코드표!$F$2:$F$101,0))),INDEX(코드표!$K$2:$K$101,MATCH(LEFT(TRIM(F199&amp;""),FIND(" ",TRIM(F199&amp;""))-1),코드표!$J$2:$J$101,0))&amp;"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",TRIM(G199&amp;""))-1),코드표!$J$2:$J$101,0)),ISNUMBER(MATCH(TRIM(RIGHT(SUBSTITUTE(TRIM(G199&amp;"")," ",REPT(" ",60)),60)),코드표!$F$2:$F$101,0))),INDEX(코드표!$K$2:$K$101,MATCH(LEFT(TRIM(G199&amp;""),FIND(" ",TRIM(G199&amp;""))-1),코드표!$J$2:$J$101,0))&amp;"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",TRIM(H199&amp;""))-1),코드표!$J$2:$J$101,0)),ISNUMBER(MATCH(TRIM(RIGHT(SUBSTITUTE(TRIM(H199&amp;"")," ",REPT(" ",60)),60)),코드표!$F$2:$F$101,0))),INDEX(코드표!$K$2:$K$101,MATCH(LEFT(TRIM(H199&amp;""),FIND(" ",TRIM(H199&amp;""))-1),코드표!$J$2:$J$101,0))&amp;"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",TRIM(I199&amp;""))-1),코드표!$J$2:$J$101,0)),ISNUMBER(MATCH(TRIM(RIGHT(SUBSTITUTE(TRIM(I199&amp;"")," ",REPT(" ",60)),60)),코드표!$F$2:$F$101,0))),INDEX(코드표!$K$2:$K$101,MATCH(LEFT(TRIM(I199&amp;""),FIND(" ",TRIM(I199&amp;""))-1),코드표!$J$2:$J$101,0))&amp;"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",TRIM(J199&amp;""))-1),코드표!$J$2:$J$101,0)),ISNUMBER(MATCH(TRIM(RIGHT(SUBSTITUTE(TRIM(J199&amp;"")," ",REPT(" ",60)),60)),코드표!$F$2:$F$101,0))),INDEX(코드표!$K$2:$K$101,MATCH(LEFT(TRIM(J199&amp;""),FIND(" ",TRIM(J199&amp;""))-1),코드표!$J$2:$J$101,0))&amp;"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",TRIM(E200&amp;""))-1),코드표!$J$2:$J$101,0)),ISNUMBER(MATCH(TRIM(RIGHT(SUBSTITUTE(TRIM(E200&amp;"")," ",REPT(" ",60)),60)),코드표!$F$2:$F$101,0))),INDEX(코드표!$K$2:$K$101,MATCH(LEFT(TRIM(E200&amp;""),FIND(" ",TRIM(E200&amp;""))-1),코드표!$J$2:$J$101,0))&amp;"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",TRIM(F200&amp;""))-1),코드표!$J$2:$J$101,0)),ISNUMBER(MATCH(TRIM(RIGHT(SUBSTITUTE(TRIM(F200&amp;"")," ",REPT(" ",60)),60)),코드표!$F$2:$F$101,0))),INDEX(코드표!$K$2:$K$101,MATCH(LEFT(TRIM(F200&amp;""),FIND(" ",TRIM(F200&amp;""))-1),코드표!$J$2:$J$101,0))&amp;"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",TRIM(G200&amp;""))-1),코드표!$J$2:$J$101,0)),ISNUMBER(MATCH(TRIM(RIGHT(SUBSTITUTE(TRIM(G200&amp;"")," ",REPT(" ",60)),60)),코드표!$F$2:$F$101,0))),INDEX(코드표!$K$2:$K$101,MATCH(LEFT(TRIM(G200&amp;""),FIND(" ",TRIM(G200&amp;""))-1),코드표!$J$2:$J$101,0))&amp;"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",TRIM(H200&amp;""))-1),코드표!$J$2:$J$101,0)),ISNUMBER(MATCH(TRIM(RIGHT(SUBSTITUTE(TRIM(H200&amp;"")," ",REPT(" ",60)),60)),코드표!$F$2:$F$101,0))),INDEX(코드표!$K$2:$K$101,MATCH(LEFT(TRIM(H200&amp;""),FIND(" ",TRIM(H200&amp;""))-1),코드표!$J$2:$J$101,0))&amp;"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",TRIM(I200&amp;""))-1),코드표!$J$2:$J$101,0)),ISNUMBER(MATCH(TRIM(RIGHT(SUBSTITUTE(TRIM(I200&amp;"")," ",REPT(" ",60)),60)),코드표!$F$2:$F$101,0))),INDEX(코드표!$K$2:$K$101,MATCH(LEFT(TRIM(I200&amp;""),FIND(" ",TRIM(I200&amp;""))-1),코드표!$J$2:$J$101,0))&amp;"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",TRIM(J200&amp;""))-1),코드표!$J$2:$J$101,0)),ISNUMBER(MATCH(TRIM(RIGHT(SUBSTITUTE(TRIM(J200&amp;"")," ",REPT(" ",60)),60)),코드표!$F$2:$F$101,0))),INDEX(코드표!$K$2:$K$101,MATCH(LEFT(TRIM(J200&amp;""),FIND(" ",TRIM(J200&amp;""))-1),코드표!$J$2:$J$101,0))&amp;"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",TRIM(E201&amp;""))-1),코드표!$J$2:$J$101,0)),ISNUMBER(MATCH(TRIM(RIGHT(SUBSTITUTE(TRIM(E201&amp;"")," ",REPT(" ",60)),60)),코드표!$F$2:$F$101,0))),INDEX(코드표!$K$2:$K$101,MATCH(LEFT(TRIM(E201&amp;""),FIND(" ",TRIM(E201&amp;""))-1),코드표!$J$2:$J$101,0))&amp;"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",TRIM(F201&amp;""))-1),코드표!$J$2:$J$101,0)),ISNUMBER(MATCH(TRIM(RIGHT(SUBSTITUTE(TRIM(F201&amp;"")," ",REPT(" ",60)),60)),코드표!$F$2:$F$101,0))),INDEX(코드표!$K$2:$K$101,MATCH(LEFT(TRIM(F201&amp;""),FIND(" ",TRIM(F201&amp;""))-1),코드표!$J$2:$J$101,0))&amp;"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",TRIM(G201&amp;""))-1),코드표!$J$2:$J$101,0)),ISNUMBER(MATCH(TRIM(RIGHT(SUBSTITUTE(TRIM(G201&amp;"")," ",REPT(" ",60)),60)),코드표!$F$2:$F$101,0))),INDEX(코드표!$K$2:$K$101,MATCH(LEFT(TRIM(G201&amp;""),FIND(" ",TRIM(G201&amp;""))-1),코드표!$J$2:$J$101,0))&amp;"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",TRIM(H201&amp;""))-1),코드표!$J$2:$J$101,0)),ISNUMBER(MATCH(TRIM(RIGHT(SUBSTITUTE(TRIM(H201&amp;"")," ",REPT(" ",60)),60)),코드표!$F$2:$F$101,0))),INDEX(코드표!$K$2:$K$101,MATCH(LEFT(TRIM(H201&amp;""),FIND(" ",TRIM(H201&amp;""))-1),코드표!$J$2:$J$101,0))&amp;"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",TRIM(I201&amp;""))-1),코드표!$J$2:$J$101,0)),ISNUMBER(MATCH(TRIM(RIGHT(SUBSTITUTE(TRIM(I201&amp;"")," ",REPT(" ",60)),60)),코드표!$F$2:$F$101,0))),INDEX(코드표!$K$2:$K$101,MATCH(LEFT(TRIM(I201&amp;""),FIND(" ",TRIM(I201&amp;""))-1),코드표!$J$2:$J$101,0))&amp;"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",TRIM(J201&amp;""))-1),코드표!$J$2:$J$101,0)),ISNUMBER(MATCH(TRIM(RIGHT(SUBSTITUTE(TRIM(J201&amp;"")," ",REPT(" ",60)),60)),코드표!$F$2:$F$101,0))),INDEX(코드표!$K$2:$K$101,MATCH(LEFT(TRIM(J201&amp;""),FIND(" ",TRIM(J201&amp;""))-1),코드표!$J$2:$J$101,0))&amp;"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",TRIM(E202&amp;""))-1),코드표!$J$2:$J$101,0)),ISNUMBER(MATCH(TRIM(RIGHT(SUBSTITUTE(TRIM(E202&amp;"")," ",REPT(" ",60)),60)),코드표!$F$2:$F$101,0))),INDEX(코드표!$K$2:$K$101,MATCH(LEFT(TRIM(E202&amp;""),FIND(" ",TRIM(E202&amp;""))-1),코드표!$J$2:$J$101,0))&amp;"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",TRIM(F202&amp;""))-1),코드표!$J$2:$J$101,0)),ISNUMBER(MATCH(TRIM(RIGHT(SUBSTITUTE(TRIM(F202&amp;"")," ",REPT(" ",60)),60)),코드표!$F$2:$F$101,0))),INDEX(코드표!$K$2:$K$101,MATCH(LEFT(TRIM(F202&amp;""),FIND(" ",TRIM(F202&amp;""))-1),코드표!$J$2:$J$101,0))&amp;"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",TRIM(G202&amp;""))-1),코드표!$J$2:$J$101,0)),ISNUMBER(MATCH(TRIM(RIGHT(SUBSTITUTE(TRIM(G202&amp;"")," ",REPT(" ",60)),60)),코드표!$F$2:$F$101,0))),INDEX(코드표!$K$2:$K$101,MATCH(LEFT(TRIM(G202&amp;""),FIND(" ",TRIM(G202&amp;""))-1),코드표!$J$2:$J$101,0))&amp;"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",TRIM(H202&amp;""))-1),코드표!$J$2:$J$101,0)),ISNUMBER(MATCH(TRIM(RIGHT(SUBSTITUTE(TRIM(H202&amp;"")," ",REPT(" ",60)),60)),코드표!$F$2:$F$101,0))),INDEX(코드표!$K$2:$K$101,MATCH(LEFT(TRIM(H202&amp;""),FIND(" ",TRIM(H202&amp;""))-1),코드표!$J$2:$J$101,0))&amp;"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",TRIM(I202&amp;""))-1),코드표!$J$2:$J$101,0)),ISNUMBER(MATCH(TRIM(RIGHT(SUBSTITUTE(TRIM(I202&amp;"")," ",REPT(" ",60)),60)),코드표!$F$2:$F$101,0))),INDEX(코드표!$K$2:$K$101,MATCH(LEFT(TRIM(I202&amp;""),FIND(" ",TRIM(I202&amp;""))-1),코드표!$J$2:$J$101,0))&amp;"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",TRIM(J202&amp;""))-1),코드표!$J$2:$J$101,0)),ISNUMBER(MATCH(TRIM(RIGHT(SUBSTITUTE(TRIM(J202&amp;"")," ",REPT(" ",60)),60)),코드표!$F$2:$F$101,0))),INDEX(코드표!$K$2:$K$101,MATCH(LEFT(TRIM(J202&amp;""),FIND(" ",TRIM(J202&amp;""))-1),코드표!$J$2:$J$101,0))&amp;"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",TRIM(E203&amp;""))-1),코드표!$J$2:$J$101,0)),ISNUMBER(MATCH(TRIM(RIGHT(SUBSTITUTE(TRIM(E203&amp;"")," ",REPT(" ",60)),60)),코드표!$F$2:$F$101,0))),INDEX(코드표!$K$2:$K$101,MATCH(LEFT(TRIM(E203&amp;""),FIND(" ",TRIM(E203&amp;""))-1),코드표!$J$2:$J$101,0))&amp;" "&amp;INDEX(코드표!$G$2:$G$101,MATCH(TRIM(RIGHT(SUBSTITUTE(TRIM(E203&amp;"")," ",REPT(" ",60)),60)),코드표!$F$2:$F$101,0)),"⚠"&amp;TRIM(E203&amp;""))),"⚠"&amp;TRIM(E203&amp;""))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",TRIM(F203&amp;""))-1),코드표!$J$2:$J$101,0)),ISNUMBER(MATCH(TRIM(RIGHT(SUBSTITUTE(TRIM(F203&amp;"")," ",REPT(" ",60)),60)),코드표!$F$2:$F$101,0))),INDEX(코드표!$K$2:$K$101,MATCH(LEFT(TRIM(F203&amp;""),FIND(" ",TRIM(F203&amp;""))-1),코드표!$J$2:$J$101,0))&amp;" "&amp;INDEX(코드표!$G$2:$G$101,MATCH(TRIM(RIGHT(SUBSTITUTE(TRIM(F203&amp;"")," ",REPT(" ",60)),60)),코드표!$F$2:$F$101,0)),"⚠"&amp;TRIM(F203&amp;""))),"⚠"&amp;TRIM(F203&amp;""))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",TRIM(G203&amp;""))-1),코드표!$J$2:$J$101,0)),ISNUMBER(MATCH(TRIM(RIGHT(SUBSTITUTE(TRIM(G203&amp;"")," ",REPT(" ",60)),60)),코드표!$F$2:$F$101,0))),INDEX(코드표!$K$2:$K$101,MATCH(LEFT(TRIM(G203&amp;""),FIND(" ",TRIM(G203&amp;""))-1),코드표!$J$2:$J$101,0))&amp;" "&amp;INDEX(코드표!$G$2:$G$101,MATCH(TRIM(RIGHT(SUBSTITUTE(TRIM(G203&amp;"")," ",REPT(" ",60)),60)),코드표!$F$2:$F$101,0)),"⚠"&amp;TRIM(G203&amp;""))),"⚠"&amp;TRIM(G203&amp;""))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",TRIM(H203&amp;""))-1),코드표!$J$2:$J$101,0)),ISNUMBER(MATCH(TRIM(RIGHT(SUBSTITUTE(TRIM(H203&amp;"")," ",REPT(" ",60)),60)),코드표!$F$2:$F$101,0))),INDEX(코드표!$K$2:$K$101,MATCH(LEFT(TRIM(H203&amp;""),FIND(" ",TRIM(H203&amp;""))-1),코드표!$J$2:$J$101,0))&amp;" "&amp;INDEX(코드표!$G$2:$G$101,MATCH(TRIM(RIGHT(SUBSTITUTE(TRIM(H203&amp;"")," ",REPT(" ",60)),60)),코드표!$F$2:$F$101,0)),"⚠"&amp;TRIM(H203&amp;""))),"⚠"&amp;TRIM(H203&amp;""))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",TRIM(I203&amp;""))-1),코드표!$J$2:$J$101,0)),ISNUMBER(MATCH(TRIM(RIGHT(SUBSTITUTE(TRIM(I203&amp;"")," ",REPT(" ",60)),60)),코드표!$F$2:$F$101,0))),INDEX(코드표!$K$2:$K$101,MATCH(LEFT(TRIM(I203&amp;""),FIND(" ",TRIM(I203&amp;""))-1),코드표!$J$2:$J$101,0))&amp;" "&amp;INDEX(코드표!$G$2:$G$101,MATCH(TRIM(RIGHT(SUBSTITUTE(TRIM(I203&amp;"")," ",REPT(" ",60)),60)),코드표!$F$2:$F$101,0)),"⚠"&amp;TRIM(I203&amp;""))),"⚠"&amp;TRIM(I203&amp;""))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",TRIM(J203&amp;""))-1),코드표!$J$2:$J$101,0)),ISNUMBER(MATCH(TRIM(RIGHT(SUBSTITUTE(TRIM(J203&amp;"")," ",REPT(" ",60)),60)),코드표!$F$2:$F$101,0))),INDEX(코드표!$K$2:$K$101,MATCH(LEFT(TRIM(J203&amp;""),FIND(" ",TRIM(J203&amp;""))-1),코드표!$J$2:$J$101,0))&amp;" "&amp;INDEX(코드표!$G$2:$G$101,MATCH(TRIM(RIGHT(SUBSTITUTE(TRIM(J203&amp;"")," ",REPT(" ",60)),60)),코드표!$F$2:$F$101,0)),"⚠"&amp;TRIM(J203&amp;""))),"⚠"&amp;TRIM(J203&amp;""))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",TRIM(E204&amp;""))-1),코드표!$J$2:$J$101,0)),ISNUMBER(MATCH(TRIM(RIGHT(SUBSTITUTE(TRIM(E204&amp;"")," ",REPT(" ",60)),60)),코드표!$F$2:$F$101,0))),INDEX(코드표!$K$2:$K$101,MATCH(LEFT(TRIM(E204&amp;""),FIND(" ",TRIM(E204&amp;""))-1),코드표!$J$2:$J$101,0))&amp;" "&amp;INDEX(코드표!$G$2:$G$101,MATCH(TRIM(RIGHT(SUBSTITUTE(TRIM(E204&amp;"")," ",REPT(" ",60)),60)),코드표!$F$2:$F$101,0)),"⚠"&amp;TRIM(E204&amp;""))),"⚠"&amp;TRIM(E204&amp;""))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",TRIM(F204&amp;""))-1),코드표!$J$2:$J$101,0)),ISNUMBER(MATCH(TRIM(RIGHT(SUBSTITUTE(TRIM(F204&amp;"")," ",REPT(" ",60)),60)),코드표!$F$2:$F$101,0))),INDEX(코드표!$K$2:$K$101,MATCH(LEFT(TRIM(F204&amp;""),FIND(" ",TRIM(F204&amp;""))-1),코드표!$J$2:$J$101,0))&amp;" "&amp;INDEX(코드표!$G$2:$G$101,MATCH(TRIM(RIGHT(SUBSTITUTE(TRIM(F204&amp;"")," ",REPT(" ",60)),60)),코드표!$F$2:$F$101,0)),"⚠"&amp;TRIM(F204&amp;""))),"⚠"&amp;TRIM(F204&amp;""))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",TRIM(G204&amp;""))-1),코드표!$J$2:$J$101,0)),ISNUMBER(MATCH(TRIM(RIGHT(SUBSTITUTE(TRIM(G204&amp;"")," ",REPT(" ",60)),60)),코드표!$F$2:$F$101,0))),INDEX(코드표!$K$2:$K$101,MATCH(LEFT(TRIM(G204&amp;""),FIND(" ",TRIM(G204&amp;""))-1),코드표!$J$2:$J$101,0))&amp;" "&amp;INDEX(코드표!$G$2:$G$101,MATCH(TRIM(RIGHT(SUBSTITUTE(TRIM(G204&amp;"")," ",REPT(" ",60)),60)),코드표!$F$2:$F$101,0)),"⚠"&amp;TRIM(G204&amp;""))),"⚠"&amp;TRIM(G204&amp;""))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",TRIM(H204&amp;""))-1),코드표!$J$2:$J$101,0)),ISNUMBER(MATCH(TRIM(RIGHT(SUBSTITUTE(TRIM(H204&amp;"")," ",REPT(" ",60)),60)),코드표!$F$2:$F$101,0))),INDEX(코드표!$K$2:$K$101,MATCH(LEFT(TRIM(H204&amp;""),FIND(" ",TRIM(H204&amp;""))-1),코드표!$J$2:$J$101,0))&amp;" "&amp;INDEX(코드표!$G$2:$G$101,MATCH(TRIM(RIGHT(SUBSTITUTE(TRIM(H204&amp;"")," ",REPT(" ",60)),60)),코드표!$F$2:$F$101,0)),"⚠"&amp;TRIM(H204&amp;""))),"⚠"&amp;TRIM(H204&amp;""))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",TRIM(I204&amp;""))-1),코드표!$J$2:$J$101,0)),ISNUMBER(MATCH(TRIM(RIGHT(SUBSTITUTE(TRIM(I204&amp;"")," ",REPT(" ",60)),60)),코드표!$F$2:$F$101,0))),INDEX(코드표!$K$2:$K$101,MATCH(LEFT(TRIM(I204&amp;""),FIND(" ",TRIM(I204&amp;""))-1),코드표!$J$2:$J$101,0))&amp;" "&amp;INDEX(코드표!$G$2:$G$101,MATCH(TRIM(RIGHT(SUBSTITUTE(TRIM(I204&amp;"")," ",REPT(" ",60)),60)),코드표!$F$2:$F$101,0)),"⚠"&amp;TRIM(I204&amp;""))),"⚠"&amp;TRIM(I204&amp;""))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",TRIM(J204&amp;""))-1),코드표!$J$2:$J$101,0)),ISNUMBER(MATCH(TRIM(RIGHT(SUBSTITUTE(TRIM(J204&amp;"")," ",REPT(" ",60)),60)),코드표!$F$2:$F$101,0))),INDEX(코드표!$K$2:$K$101,MATCH(LEFT(TRIM(J204&amp;""),FIND(" ",TRIM(J204&amp;""))-1),코드표!$J$2:$J$101,0))&amp;" "&amp;INDEX(코드표!$G$2:$G$101,MATCH(TRIM(RIGHT(SUBSTITUTE(TRIM(J204&amp;"")," ",REPT(" ",60)),60)),코드표!$F$2:$F$101,0)),"⚠"&amp;TRIM(J204&amp;""))),"⚠"&amp;TRIM(J204&amp;""))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",TRIM(E205&amp;""))-1),코드표!$J$2:$J$101,0)),ISNUMBER(MATCH(TRIM(RIGHT(SUBSTITUTE(TRIM(E205&amp;"")," ",REPT(" ",60)),60)),코드표!$F$2:$F$101,0))),INDEX(코드표!$K$2:$K$101,MATCH(LEFT(TRIM(E205&amp;""),FIND(" ",TRIM(E205&amp;""))-1),코드표!$J$2:$J$101,0))&amp;" "&amp;INDEX(코드표!$G$2:$G$101,MATCH(TRIM(RIGHT(SUBSTITUTE(TRIM(E205&amp;"")," ",REPT(" ",60)),60)),코드표!$F$2:$F$101,0)),"⚠"&amp;TRIM(E205&amp;""))),"⚠"&amp;TRIM(E205&amp;""))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",TRIM(F205&amp;""))-1),코드표!$J$2:$J$101,0)),ISNUMBER(MATCH(TRIM(RIGHT(SUBSTITUTE(TRIM(F205&amp;"")," ",REPT(" ",60)),60)),코드표!$F$2:$F$101,0))),INDEX(코드표!$K$2:$K$101,MATCH(LEFT(TRIM(F205&amp;""),FIND(" ",TRIM(F205&amp;""))-1),코드표!$J$2:$J$101,0))&amp;" "&amp;INDEX(코드표!$G$2:$G$101,MATCH(TRIM(RIGHT(SUBSTITUTE(TRIM(F205&amp;"")," ",REPT(" ",60)),60)),코드표!$F$2:$F$101,0)),"⚠"&amp;TRIM(F205&amp;""))),"⚠"&amp;TRIM(F205&amp;""))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",TRIM(G205&amp;""))-1),코드표!$J$2:$J$101,0)),ISNUMBER(MATCH(TRIM(RIGHT(SUBSTITUTE(TRIM(G205&amp;"")," ",REPT(" ",60)),60)),코드표!$F$2:$F$101,0))),INDEX(코드표!$K$2:$K$101,MATCH(LEFT(TRIM(G205&amp;""),FIND(" ",TRIM(G205&amp;""))-1),코드표!$J$2:$J$101,0))&amp;" "&amp;INDEX(코드표!$G$2:$G$101,MATCH(TRIM(RIGHT(SUBSTITUTE(TRIM(G205&amp;"")," ",REPT(" ",60)),60)),코드표!$F$2:$F$101,0)),"⚠"&amp;TRIM(G205&amp;""))),"⚠"&amp;TRIM(G205&amp;""))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",TRIM(H205&amp;""))-1),코드표!$J$2:$J$101,0)),ISNUMBER(MATCH(TRIM(RIGHT(SUBSTITUTE(TRIM(H205&amp;"")," ",REPT(" ",60)),60)),코드표!$F$2:$F$101,0))),INDEX(코드표!$K$2:$K$101,MATCH(LEFT(TRIM(H205&amp;""),FIND(" ",TRIM(H205&amp;""))-1),코드표!$J$2:$J$101,0))&amp;" "&amp;INDEX(코드표!$G$2:$G$101,MATCH(TRIM(RIGHT(SUBSTITUTE(TRIM(H205&amp;"")," ",REPT(" ",60)),60)),코드표!$F$2:$F$101,0)),"⚠"&amp;TRIM(H205&amp;""))),"⚠"&amp;TRIM(H205&amp;""))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",TRIM(I205&amp;""))-1),코드표!$J$2:$J$101,0)),ISNUMBER(MATCH(TRIM(RIGHT(SUBSTITUTE(TRIM(I205&amp;"")," ",REPT(" ",60)),60)),코드표!$F$2:$F$101,0))),INDEX(코드표!$K$2:$K$101,MATCH(LEFT(TRIM(I205&amp;""),FIND(" ",TRIM(I205&amp;""))-1),코드표!$J$2:$J$101,0))&amp;" "&amp;INDEX(코드표!$G$2:$G$101,MATCH(TRIM(RIGHT(SUBSTITUTE(TRIM(I205&amp;"")," ",REPT(" ",60)),60)),코드표!$F$2:$F$101,0)),"⚠"&amp;TRIM(I205&amp;""))),"⚠"&amp;TRIM(I205&amp;""))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",TRIM(J205&amp;""))-1),코드표!$J$2:$J$101,0)),ISNUMBER(MATCH(TRIM(RIGHT(SUBSTITUTE(TRIM(J205&amp;"")," ",REPT(" ",60)),60)),코드표!$F$2:$F$101,0))),INDEX(코드표!$K$2:$K$101,MATCH(LEFT(TRIM(J205&amp;""),FIND(" ",TRIM(J205&amp;""))-1),코드표!$J$2:$J$101,0))&amp;" "&amp;INDEX(코드표!$G$2:$G$101,MATCH(TRIM(RIGHT(SUBSTITUTE(TRIM(J205&amp;"")," ",REPT(" ",60)),60)),코드표!$F$2:$F$101,0)),"⚠"&amp;TRIM(J205&amp;""))),"⚠"&amp;TRIM(J205&amp;""))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",TRIM(E206&amp;""))-1),코드표!$J$2:$J$101,0)),ISNUMBER(MATCH(TRIM(RIGHT(SUBSTITUTE(TRIM(E206&amp;"")," ",REPT(" ",60)),60)),코드표!$F$2:$F$101,0))),INDEX(코드표!$K$2:$K$101,MATCH(LEFT(TRIM(E206&amp;""),FIND(" ",TRIM(E206&amp;""))-1),코드표!$J$2:$J$101,0))&amp;" "&amp;INDEX(코드표!$G$2:$G$101,MATCH(TRIM(RIGHT(SUBSTITUTE(TRIM(E206&amp;"")," ",REPT(" ",60)),60)),코드표!$F$2:$F$101,0)),"⚠"&amp;TRIM(E206&amp;""))),"⚠"&amp;TRIM(E206&amp;""))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",TRIM(F206&amp;""))-1),코드표!$J$2:$J$101,0)),ISNUMBER(MATCH(TRIM(RIGHT(SUBSTITUTE(TRIM(F206&amp;"")," ",REPT(" ",60)),60)),코드표!$F$2:$F$101,0))),INDEX(코드표!$K$2:$K$101,MATCH(LEFT(TRIM(F206&amp;""),FIND(" ",TRIM(F206&amp;""))-1),코드표!$J$2:$J$101,0))&amp;" "&amp;INDEX(코드표!$G$2:$G$101,MATCH(TRIM(RIGHT(SUBSTITUTE(TRIM(F206&amp;"")," ",REPT(" ",60)),60)),코드표!$F$2:$F$101,0)),"⚠"&amp;TRIM(F206&amp;""))),"⚠"&amp;TRIM(F206&amp;""))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",TRIM(G206&amp;""))-1),코드표!$J$2:$J$101,0)),ISNUMBER(MATCH(TRIM(RIGHT(SUBSTITUTE(TRIM(G206&amp;"")," ",REPT(" ",60)),60)),코드표!$F$2:$F$101,0))),INDEX(코드표!$K$2:$K$101,MATCH(LEFT(TRIM(G206&amp;""),FIND(" ",TRIM(G206&amp;""))-1),코드표!$J$2:$J$101,0))&amp;" "&amp;INDEX(코드표!$G$2:$G$101,MATCH(TRIM(RIGHT(SUBSTITUTE(TRIM(G206&amp;"")," ",REPT(" ",60)),60)),코드표!$F$2:$F$101,0)),"⚠"&amp;TRIM(G206&amp;""))),"⚠"&amp;TRIM(G206&amp;""))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",TRIM(H206&amp;""))-1),코드표!$J$2:$J$101,0)),ISNUMBER(MATCH(TRIM(RIGHT(SUBSTITUTE(TRIM(H206&amp;"")," ",REPT(" ",60)),60)),코드표!$F$2:$F$101,0))),INDEX(코드표!$K$2:$K$101,MATCH(LEFT(TRIM(H206&amp;""),FIND(" ",TRIM(H206&amp;""))-1),코드표!$J$2:$J$101,0))&amp;" "&amp;INDEX(코드표!$G$2:$G$101,MATCH(TRIM(RIGHT(SUBSTITUTE(TRIM(H206&amp;"")," ",REPT(" ",60)),60)),코드표!$F$2:$F$101,0)),"⚠"&amp;TRIM(H206&amp;""))),"⚠"&amp;TRIM(H206&amp;""))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",TRIM(I206&amp;""))-1),코드표!$J$2:$J$101,0)),ISNUMBER(MATCH(TRIM(RIGHT(SUBSTITUTE(TRIM(I206&amp;"")," ",REPT(" ",60)),60)),코드표!$F$2:$F$101,0))),INDEX(코드표!$K$2:$K$101,MATCH(LEFT(TRIM(I206&amp;""),FIND(" ",TRIM(I206&amp;""))-1),코드표!$J$2:$J$101,0))&amp;" "&amp;INDEX(코드표!$G$2:$G$101,MATCH(TRIM(RIGHT(SUBSTITUTE(TRIM(I206&amp;"")," ",REPT(" ",60)),60)),코드표!$F$2:$F$101,0)),"⚠"&amp;TRIM(I206&amp;""))),"⚠"&amp;TRIM(I206&amp;""))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",TRIM(J206&amp;""))-1),코드표!$J$2:$J$101,0)),ISNUMBER(MATCH(TRIM(RIGHT(SUBSTITUTE(TRIM(J206&amp;"")," ",REPT(" ",60)),60)),코드표!$F$2:$F$101,0))),INDEX(코드표!$K$2:$K$101,MATCH(LEFT(TRIM(J206&amp;""),FIND(" ",TRIM(J206&amp;""))-1),코드표!$J$2:$J$101,0))&amp;" "&amp;INDEX(코드표!$G$2:$G$101,MATCH(TRIM(RIGHT(SUBSTITUTE(TRIM(J206&amp;"")," ",REPT(" ",60)),60)),코드표!$F$2:$F$101,0)),"⚠"&amp;TRIM(J206&amp;""))),"⚠"&amp;TRIM(J206&amp;""))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",TRIM(E207&amp;""))-1),코드표!$J$2:$J$101,0)),ISNUMBER(MATCH(TRIM(RIGHT(SUBSTITUTE(TRIM(E207&amp;"")," ",REPT(" ",60)),60)),코드표!$F$2:$F$101,0))),INDEX(코드표!$K$2:$K$101,MATCH(LEFT(TRIM(E207&amp;""),FIND(" ",TRIM(E207&amp;""))-1),코드표!$J$2:$J$101,0))&amp;" "&amp;INDEX(코드표!$G$2:$G$101,MATCH(TRIM(RIGHT(SUBSTITUTE(TRIM(E207&amp;"")," ",REPT(" ",60)),60)),코드표!$F$2:$F$101,0)),"⚠"&amp;TRIM(E207&amp;""))),"⚠"&amp;TRIM(E207&amp;""))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",TRIM(F207&amp;""))-1),코드표!$J$2:$J$101,0)),ISNUMBER(MATCH(TRIM(RIGHT(SUBSTITUTE(TRIM(F207&amp;"")," ",REPT(" ",60)),60)),코드표!$F$2:$F$101,0))),INDEX(코드표!$K$2:$K$101,MATCH(LEFT(TRIM(F207&amp;""),FIND(" ",TRIM(F207&amp;""))-1),코드표!$J$2:$J$101,0))&amp;" "&amp;INDEX(코드표!$G$2:$G$101,MATCH(TRIM(RIGHT(SUBSTITUTE(TRIM(F207&amp;"")," ",REPT(" ",60)),60)),코드표!$F$2:$F$101,0)),"⚠"&amp;TRIM(F207&amp;""))),"⚠"&amp;TRIM(F207&amp;""))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",TRIM(G207&amp;""))-1),코드표!$J$2:$J$101,0)),ISNUMBER(MATCH(TRIM(RIGHT(SUBSTITUTE(TRIM(G207&amp;"")," ",REPT(" ",60)),60)),코드표!$F$2:$F$101,0))),INDEX(코드표!$K$2:$K$101,MATCH(LEFT(TRIM(G207&amp;""),FIND(" ",TRIM(G207&amp;""))-1),코드표!$J$2:$J$101,0))&amp;" "&amp;INDEX(코드표!$G$2:$G$101,MATCH(TRIM(RIGHT(SUBSTITUTE(TRIM(G207&amp;"")," ",REPT(" ",60)),60)),코드표!$F$2:$F$101,0)),"⚠"&amp;TRIM(G207&amp;""))),"⚠"&amp;TRIM(G207&amp;""))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",TRIM(H207&amp;""))-1),코드표!$J$2:$J$101,0)),ISNUMBER(MATCH(TRIM(RIGHT(SUBSTITUTE(TRIM(H207&amp;"")," ",REPT(" ",60)),60)),코드표!$F$2:$F$101,0))),INDEX(코드표!$K$2:$K$101,MATCH(LEFT(TRIM(H207&amp;""),FIND(" ",TRIM(H207&amp;""))-1),코드표!$J$2:$J$101,0))&amp;" "&amp;INDEX(코드표!$G$2:$G$101,MATCH(TRIM(RIGHT(SUBSTITUTE(TRIM(H207&amp;"")," ",REPT(" ",60)),60)),코드표!$F$2:$F$101,0)),"⚠"&amp;TRIM(H207&amp;""))),"⚠"&amp;TRIM(H207&amp;""))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",TRIM(I207&amp;""))-1),코드표!$J$2:$J$101,0)),ISNUMBER(MATCH(TRIM(RIGHT(SUBSTITUTE(TRIM(I207&amp;"")," ",REPT(" ",60)),60)),코드표!$F$2:$F$101,0))),INDEX(코드표!$K$2:$K$101,MATCH(LEFT(TRIM(I207&amp;""),FIND(" ",TRIM(I207&amp;""))-1),코드표!$J$2:$J$101,0))&amp;" "&amp;INDEX(코드표!$G$2:$G$101,MATCH(TRIM(RIGHT(SUBSTITUTE(TRIM(I207&amp;"")," ",REPT(" ",60)),60)),코드표!$F$2:$F$101,0)),"⚠"&amp;TRIM(I207&amp;""))),"⚠"&amp;TRIM(I207&amp;""))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",TRIM(J207&amp;""))-1),코드표!$J$2:$J$101,0)),ISNUMBER(MATCH(TRIM(RIGHT(SUBSTITUTE(TRIM(J207&amp;"")," ",REPT(" ",60)),60)),코드표!$F$2:$F$101,0))),INDEX(코드표!$K$2:$K$101,MATCH(LEFT(TRIM(J207&amp;""),FIND(" ",TRIM(J207&amp;""))-1),코드표!$J$2:$J$101,0))&amp;" "&amp;INDEX(코드표!$G$2:$G$101,MATCH(TRIM(RIGHT(SUBSTITUTE(TRIM(J207&amp;"")," ",REPT(" ",60)),60)),코드표!$F$2:$F$101,0)),"⚠"&amp;TRIM(J207&amp;""))),"⚠"&amp;TRIM(J207&amp;""))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",TRIM(E208&amp;""))-1),코드표!$J$2:$J$101,0)),ISNUMBER(MATCH(TRIM(RIGHT(SUBSTITUTE(TRIM(E208&amp;"")," ",REPT(" ",60)),60)),코드표!$F$2:$F$101,0))),INDEX(코드표!$K$2:$K$101,MATCH(LEFT(TRIM(E208&amp;""),FIND(" ",TRIM(E208&amp;""))-1),코드표!$J$2:$J$101,0))&amp;" "&amp;INDEX(코드표!$G$2:$G$101,MATCH(TRIM(RIGHT(SUBSTITUTE(TRIM(E208&amp;"")," ",REPT(" ",60)),60)),코드표!$F$2:$F$101,0)),"⚠"&amp;TRIM(E208&amp;""))),"⚠"&amp;TRIM(E208&amp;""))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",TRIM(F208&amp;""))-1),코드표!$J$2:$J$101,0)),ISNUMBER(MATCH(TRIM(RIGHT(SUBSTITUTE(TRIM(F208&amp;"")," ",REPT(" ",60)),60)),코드표!$F$2:$F$101,0))),INDEX(코드표!$K$2:$K$101,MATCH(LEFT(TRIM(F208&amp;""),FIND(" ",TRIM(F208&amp;""))-1),코드표!$J$2:$J$101,0))&amp;" "&amp;INDEX(코드표!$G$2:$G$101,MATCH(TRIM(RIGHT(SUBSTITUTE(TRIM(F208&amp;"")," ",REPT(" ",60)),60)),코드표!$F$2:$F$101,0)),"⚠"&amp;TRIM(F208&amp;""))),"⚠"&amp;TRIM(F208&amp;""))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",TRIM(G208&amp;""))-1),코드표!$J$2:$J$101,0)),ISNUMBER(MATCH(TRIM(RIGHT(SUBSTITUTE(TRIM(G208&amp;"")," ",REPT(" ",60)),60)),코드표!$F$2:$F$101,0))),INDEX(코드표!$K$2:$K$101,MATCH(LEFT(TRIM(G208&amp;""),FIND(" ",TRIM(G208&amp;""))-1),코드표!$J$2:$J$101,0))&amp;" "&amp;INDEX(코드표!$G$2:$G$101,MATCH(TRIM(RIGHT(SUBSTITUTE(TRIM(G208&amp;"")," ",REPT(" ",60)),60)),코드표!$F$2:$F$101,0)),"⚠"&amp;TRIM(G208&amp;""))),"⚠"&amp;TRIM(G208&amp;""))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",TRIM(H208&amp;""))-1),코드표!$J$2:$J$101,0)),ISNUMBER(MATCH(TRIM(RIGHT(SUBSTITUTE(TRIM(H208&amp;"")," ",REPT(" ",60)),60)),코드표!$F$2:$F$101,0))),INDEX(코드표!$K$2:$K$101,MATCH(LEFT(TRIM(H208&amp;""),FIND(" ",TRIM(H208&amp;""))-1),코드표!$J$2:$J$101,0))&amp;" "&amp;INDEX(코드표!$G$2:$G$101,MATCH(TRIM(RIGHT(SUBSTITUTE(TRIM(H208&amp;"")," ",REPT(" ",60)),60)),코드표!$F$2:$F$101,0)),"⚠"&amp;TRIM(H208&amp;""))),"⚠"&amp;TRIM(H208&amp;""))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",TRIM(I208&amp;""))-1),코드표!$J$2:$J$101,0)),ISNUMBER(MATCH(TRIM(RIGHT(SUBSTITUTE(TRIM(I208&amp;"")," ",REPT(" ",60)),60)),코드표!$F$2:$F$101,0))),INDEX(코드표!$K$2:$K$101,MATCH(LEFT(TRIM(I208&amp;""),FIND(" ",TRIM(I208&amp;""))-1),코드표!$J$2:$J$101,0))&amp;" "&amp;INDEX(코드표!$G$2:$G$101,MATCH(TRIM(RIGHT(SUBSTITUTE(TRIM(I208&amp;"")," ",REPT(" ",60)),60)),코드표!$F$2:$F$101,0)),"⚠"&amp;TRIM(I208&amp;""))),"⚠"&amp;TRIM(I208&amp;""))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",TRIM(J208&amp;""))-1),코드표!$J$2:$J$101,0)),ISNUMBER(MATCH(TRIM(RIGHT(SUBSTITUTE(TRIM(J208&amp;"")," ",REPT(" ",60)),60)),코드표!$F$2:$F$101,0))),INDEX(코드표!$K$2:$K$101,MATCH(LEFT(TRIM(J208&amp;""),FIND(" ",TRIM(J208&amp;""))-1),코드표!$J$2:$J$101,0))&amp;" "&amp;INDEX(코드표!$G$2:$G$101,MATCH(TRIM(RIGHT(SUBSTITUTE(TRIM(J208&amp;"")," ",REPT(" ",60)),60)),코드표!$F$2:$F$101,0)),"⚠"&amp;TRIM(J208&amp;""))),"⚠"&amp;TRIM(J208&amp;""))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",TRIM(E209&amp;""))-1),코드표!$J$2:$J$101,0)),ISNUMBER(MATCH(TRIM(RIGHT(SUBSTITUTE(TRIM(E209&amp;"")," ",REPT(" ",60)),60)),코드표!$F$2:$F$101,0))),INDEX(코드표!$K$2:$K$101,MATCH(LEFT(TRIM(E209&amp;""),FIND(" ",TRIM(E209&amp;""))-1),코드표!$J$2:$J$101,0))&amp;" "&amp;INDEX(코드표!$G$2:$G$101,MATCH(TRIM(RIGHT(SUBSTITUTE(TRIM(E209&amp;"")," ",REPT(" ",60)),60)),코드표!$F$2:$F$101,0)),"⚠"&amp;TRIM(E209&amp;""))),"⚠"&amp;TRIM(E209&amp;""))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",TRIM(F209&amp;""))-1),코드표!$J$2:$J$101,0)),ISNUMBER(MATCH(TRIM(RIGHT(SUBSTITUTE(TRIM(F209&amp;"")," ",REPT(" ",60)),60)),코드표!$F$2:$F$101,0))),INDEX(코드표!$K$2:$K$101,MATCH(LEFT(TRIM(F209&amp;""),FIND(" ",TRIM(F209&amp;""))-1),코드표!$J$2:$J$101,0))&amp;" "&amp;INDEX(코드표!$G$2:$G$101,MATCH(TRIM(RIGHT(SUBSTITUTE(TRIM(F209&amp;"")," ",REPT(" ",60)),60)),코드표!$F$2:$F$101,0)),"⚠"&amp;TRIM(F209&amp;""))),"⚠"&amp;TRIM(F209&amp;""))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",TRIM(G209&amp;""))-1),코드표!$J$2:$J$101,0)),ISNUMBER(MATCH(TRIM(RIGHT(SUBSTITUTE(TRIM(G209&amp;"")," ",REPT(" ",60)),60)),코드표!$F$2:$F$101,0))),INDEX(코드표!$K$2:$K$101,MATCH(LEFT(TRIM(G209&amp;""),FIND(" ",TRIM(G209&amp;""))-1),코드표!$J$2:$J$101,0))&amp;" "&amp;INDEX(코드표!$G$2:$G$101,MATCH(TRIM(RIGHT(SUBSTITUTE(TRIM(G209&amp;"")," ",REPT(" ",60)),60)),코드표!$F$2:$F$101,0)),"⚠"&amp;TRIM(G209&amp;""))),"⚠"&amp;TRIM(G209&amp;""))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",TRIM(H209&amp;""))-1),코드표!$J$2:$J$101,0)),ISNUMBER(MATCH(TRIM(RIGHT(SUBSTITUTE(TRIM(H209&amp;"")," ",REPT(" ",60)),60)),코드표!$F$2:$F$101,0))),INDEX(코드표!$K$2:$K$101,MATCH(LEFT(TRIM(H209&amp;""),FIND(" ",TRIM(H209&amp;""))-1),코드표!$J$2:$J$101,0))&amp;" "&amp;INDEX(코드표!$G$2:$G$101,MATCH(TRIM(RIGHT(SUBSTITUTE(TRIM(H209&amp;"")," ",REPT(" ",60)),60)),코드표!$F$2:$F$101,0)),"⚠"&amp;TRIM(H209&amp;""))),"⚠"&amp;TRIM(H209&amp;""))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",TRIM(I209&amp;""))-1),코드표!$J$2:$J$101,0)),ISNUMBER(MATCH(TRIM(RIGHT(SUBSTITUTE(TRIM(I209&amp;"")," ",REPT(" ",60)),60)),코드표!$F$2:$F$101,0))),INDEX(코드표!$K$2:$K$101,MATCH(LEFT(TRIM(I209&amp;""),FIND(" ",TRIM(I209&amp;""))-1),코드표!$J$2:$J$101,0))&amp;" "&amp;INDEX(코드표!$G$2:$G$101,MATCH(TRIM(RIGHT(SUBSTITUTE(TRIM(I209&amp;"")," ",REPT(" ",60)),60)),코드표!$F$2:$F$101,0)),"⚠"&amp;TRIM(I209&amp;""))),"⚠"&amp;TRIM(I209&amp;""))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",TRIM(J209&amp;""))-1),코드표!$J$2:$J$101,0)),ISNUMBER(MATCH(TRIM(RIGHT(SUBSTITUTE(TRIM(J209&amp;"")," ",REPT(" ",60)),60)),코드표!$F$2:$F$101,0))),INDEX(코드표!$K$2:$K$101,MATCH(LEFT(TRIM(J209&amp;""),FIND(" ",TRIM(J209&amp;""))-1),코드표!$J$2:$J$101,0))&amp;" "&amp;INDEX(코드표!$G$2:$G$101,MATCH(TRIM(RIGHT(SUBSTITUTE(TRIM(J209&amp;"")," ",REPT(" ",60)),60)),코드표!$F$2:$F$101,0)),"⚠"&amp;TRIM(J209&amp;""))),"⚠"&amp;TRIM(J209&amp;""))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",TRIM(E210&amp;""))-1),코드표!$J$2:$J$101,0)),ISNUMBER(MATCH(TRIM(RIGHT(SUBSTITUTE(TRIM(E210&amp;"")," ",REPT(" ",60)),60)),코드표!$F$2:$F$101,0))),INDEX(코드표!$K$2:$K$101,MATCH(LEFT(TRIM(E210&amp;""),FIND(" ",TRIM(E210&amp;""))-1),코드표!$J$2:$J$101,0))&amp;" "&amp;INDEX(코드표!$G$2:$G$101,MATCH(TRIM(RIGHT(SUBSTITUTE(TRIM(E210&amp;"")," ",REPT(" ",60)),60)),코드표!$F$2:$F$101,0)),"⚠"&amp;TRIM(E210&amp;""))),"⚠"&amp;TRIM(E210&amp;""))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",TRIM(F210&amp;""))-1),코드표!$J$2:$J$101,0)),ISNUMBER(MATCH(TRIM(RIGHT(SUBSTITUTE(TRIM(F210&amp;"")," ",REPT(" ",60)),60)),코드표!$F$2:$F$101,0))),INDEX(코드표!$K$2:$K$101,MATCH(LEFT(TRIM(F210&amp;""),FIND(" ",TRIM(F210&amp;""))-1),코드표!$J$2:$J$101,0))&amp;" "&amp;INDEX(코드표!$G$2:$G$101,MATCH(TRIM(RIGHT(SUBSTITUTE(TRIM(F210&amp;"")," ",REPT(" ",60)),60)),코드표!$F$2:$F$101,0)),"⚠"&amp;TRIM(F210&amp;""))),"⚠"&amp;TRIM(F210&amp;""))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",TRIM(G210&amp;""))-1),코드표!$J$2:$J$101,0)),ISNUMBER(MATCH(TRIM(RIGHT(SUBSTITUTE(TRIM(G210&amp;"")," ",REPT(" ",60)),60)),코드표!$F$2:$F$101,0))),INDEX(코드표!$K$2:$K$101,MATCH(LEFT(TRIM(G210&amp;""),FIND(" ",TRIM(G210&amp;""))-1),코드표!$J$2:$J$101,0))&amp;" "&amp;INDEX(코드표!$G$2:$G$101,MATCH(TRIM(RIGHT(SUBSTITUTE(TRIM(G210&amp;"")," ",REPT(" ",60)),60)),코드표!$F$2:$F$101,0)),"⚠"&amp;TRIM(G210&amp;""))),"⚠"&amp;TRIM(G210&amp;""))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",TRIM(H210&amp;""))-1),코드표!$J$2:$J$101,0)),ISNUMBER(MATCH(TRIM(RIGHT(SUBSTITUTE(TRIM(H210&amp;"")," ",REPT(" ",60)),60)),코드표!$F$2:$F$101,0))),INDEX(코드표!$K$2:$K$101,MATCH(LEFT(TRIM(H210&amp;""),FIND(" ",TRIM(H210&amp;""))-1),코드표!$J$2:$J$101,0))&amp;" "&amp;INDEX(코드표!$G$2:$G$101,MATCH(TRIM(RIGHT(SUBSTITUTE(TRIM(H210&amp;"")," ",REPT(" ",60)),60)),코드표!$F$2:$F$101,0)),"⚠"&amp;TRIM(H210&amp;""))),"⚠"&amp;TRIM(H210&amp;""))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",TRIM(I210&amp;""))-1),코드표!$J$2:$J$101,0)),ISNUMBER(MATCH(TRIM(RIGHT(SUBSTITUTE(TRIM(I210&amp;"")," ",REPT(" ",60)),60)),코드표!$F$2:$F$101,0))),INDEX(코드표!$K$2:$K$101,MATCH(LEFT(TRIM(I210&amp;""),FIND(" ",TRIM(I210&amp;""))-1),코드표!$J$2:$J$101,0))&amp;" "&amp;INDEX(코드표!$G$2:$G$101,MATCH(TRIM(RIGHT(SUBSTITUTE(TRIM(I210&amp;"")," ",REPT(" ",60)),60)),코드표!$F$2:$F$101,0)),"⚠"&amp;TRIM(I210&amp;""))),"⚠"&amp;TRIM(I210&amp;""))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",TRIM(J210&amp;""))-1),코드표!$J$2:$J$101,0)),ISNUMBER(MATCH(TRIM(RIGHT(SUBSTITUTE(TRIM(J210&amp;"")," ",REPT(" ",60)),60)),코드표!$F$2:$F$101,0))),INDEX(코드표!$K$2:$K$101,MATCH(LEFT(TRIM(J210&amp;""),FIND(" ",TRIM(J210&amp;""))-1),코드표!$J$2:$J$101,0))&amp;" "&amp;INDEX(코드표!$G$2:$G$101,MATCH(TRIM(RIGHT(SUBSTITUTE(TRIM(J210&amp;"")," ",REPT(" ",60)),60)),코드표!$F$2:$F$101,0)),"⚠"&amp;TRIM(J210&amp;""))),"⚠"&amp;TRIM(J210&amp;""))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",TRIM(E211&amp;""))-1),코드표!$J$2:$J$101,0)),ISNUMBER(MATCH(TRIM(RIGHT(SUBSTITUTE(TRIM(E211&amp;"")," ",REPT(" ",60)),60)),코드표!$F$2:$F$101,0))),INDEX(코드표!$K$2:$K$101,MATCH(LEFT(TRIM(E211&amp;""),FIND(" ",TRIM(E211&amp;""))-1),코드표!$J$2:$J$101,0))&amp;" "&amp;INDEX(코드표!$G$2:$G$101,MATCH(TRIM(RIGHT(SUBSTITUTE(TRIM(E211&amp;"")," ",REPT(" ",60)),60)),코드표!$F$2:$F$101,0)),"⚠"&amp;TRIM(E211&amp;""))),"⚠"&amp;TRIM(E211&amp;""))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",TRIM(F211&amp;""))-1),코드표!$J$2:$J$101,0)),ISNUMBER(MATCH(TRIM(RIGHT(SUBSTITUTE(TRIM(F211&amp;"")," ",REPT(" ",60)),60)),코드표!$F$2:$F$101,0))),INDEX(코드표!$K$2:$K$101,MATCH(LEFT(TRIM(F211&amp;""),FIND(" ",TRIM(F211&amp;""))-1),코드표!$J$2:$J$101,0))&amp;" "&amp;INDEX(코드표!$G$2:$G$101,MATCH(TRIM(RIGHT(SUBSTITUTE(TRIM(F211&amp;"")," ",REPT(" ",60)),60)),코드표!$F$2:$F$101,0)),"⚠"&amp;TRIM(F211&amp;""))),"⚠"&amp;TRIM(F211&amp;""))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",TRIM(G211&amp;""))-1),코드표!$J$2:$J$101,0)),ISNUMBER(MATCH(TRIM(RIGHT(SUBSTITUTE(TRIM(G211&amp;"")," ",REPT(" ",60)),60)),코드표!$F$2:$F$101,0))),INDEX(코드표!$K$2:$K$101,MATCH(LEFT(TRIM(G211&amp;""),FIND(" ",TRIM(G211&amp;""))-1),코드표!$J$2:$J$101,0))&amp;" "&amp;INDEX(코드표!$G$2:$G$101,MATCH(TRIM(RIGHT(SUBSTITUTE(TRIM(G211&amp;"")," ",REPT(" ",60)),60)),코드표!$F$2:$F$101,0)),"⚠"&amp;TRIM(G211&amp;""))),"⚠"&amp;TRIM(G211&amp;""))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",TRIM(H211&amp;""))-1),코드표!$J$2:$J$101,0)),ISNUMBER(MATCH(TRIM(RIGHT(SUBSTITUTE(TRIM(H211&amp;"")," ",REPT(" ",60)),60)),코드표!$F$2:$F$101,0))),INDEX(코드표!$K$2:$K$101,MATCH(LEFT(TRIM(H211&amp;""),FIND(" ",TRIM(H211&amp;""))-1),코드표!$J$2:$J$101,0))&amp;" "&amp;INDEX(코드표!$G$2:$G$101,MATCH(TRIM(RIGHT(SUBSTITUTE(TRIM(H211&amp;"")," ",REPT(" ",60)),60)),코드표!$F$2:$F$101,0)),"⚠"&amp;TRIM(H211&amp;""))),"⚠"&amp;TRIM(H211&amp;""))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",TRIM(I211&amp;""))-1),코드표!$J$2:$J$101,0)),ISNUMBER(MATCH(TRIM(RIGHT(SUBSTITUTE(TRIM(I211&amp;"")," ",REPT(" ",60)),60)),코드표!$F$2:$F$101,0))),INDEX(코드표!$K$2:$K$101,MATCH(LEFT(TRIM(I211&amp;""),FIND(" ",TRIM(I211&amp;""))-1),코드표!$J$2:$J$101,0))&amp;" "&amp;INDEX(코드표!$G$2:$G$101,MATCH(TRIM(RIGHT(SUBSTITUTE(TRIM(I211&amp;"")," ",REPT(" ",60)),60)),코드표!$F$2:$F$101,0)),"⚠"&amp;TRIM(I211&amp;""))),"⚠"&amp;TRIM(I211&amp;""))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",TRIM(J211&amp;""))-1),코드표!$J$2:$J$101,0)),ISNUMBER(MATCH(TRIM(RIGHT(SUBSTITUTE(TRIM(J211&amp;"")," ",REPT(" ",60)),60)),코드표!$F$2:$F$101,0))),INDEX(코드표!$K$2:$K$101,MATCH(LEFT(TRIM(J211&amp;""),FIND(" ",TRIM(J211&amp;""))-1),코드표!$J$2:$J$101,0))&amp;" "&amp;INDEX(코드표!$G$2:$G$101,MATCH(TRIM(RIGHT(SUBSTITUTE(TRIM(J211&amp;"")," ",REPT(" ",60)),60)),코드표!$F$2:$F$101,0)),"⚠"&amp;TRIM(J211&amp;""))),"⚠"&amp;TRIM(J211&amp;""))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",TRIM(E212&amp;""))-1),코드표!$J$2:$J$101,0)),ISNUMBER(MATCH(TRIM(RIGHT(SUBSTITUTE(TRIM(E212&amp;"")," ",REPT(" ",60)),60)),코드표!$F$2:$F$101,0))),INDEX(코드표!$K$2:$K$101,MATCH(LEFT(TRIM(E212&amp;""),FIND(" ",TRIM(E212&amp;""))-1),코드표!$J$2:$J$101,0))&amp;" "&amp;INDEX(코드표!$G$2:$G$101,MATCH(TRIM(RIGHT(SUBSTITUTE(TRIM(E212&amp;"")," ",REPT(" ",60)),60)),코드표!$F$2:$F$101,0)),"⚠"&amp;TRIM(E212&amp;""))),"⚠"&amp;TRIM(E212&amp;""))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",TRIM(F212&amp;""))-1),코드표!$J$2:$J$101,0)),ISNUMBER(MATCH(TRIM(RIGHT(SUBSTITUTE(TRIM(F212&amp;"")," ",REPT(" ",60)),60)),코드표!$F$2:$F$101,0))),INDEX(코드표!$K$2:$K$101,MATCH(LEFT(TRIM(F212&amp;""),FIND(" ",TRIM(F212&amp;""))-1),코드표!$J$2:$J$101,0))&amp;" "&amp;INDEX(코드표!$G$2:$G$101,MATCH(TRIM(RIGHT(SUBSTITUTE(TRIM(F212&amp;"")," ",REPT(" ",60)),60)),코드표!$F$2:$F$101,0)),"⚠"&amp;TRIM(F212&amp;""))),"⚠"&amp;TRIM(F212&amp;""))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",TRIM(G212&amp;""))-1),코드표!$J$2:$J$101,0)),ISNUMBER(MATCH(TRIM(RIGHT(SUBSTITUTE(TRIM(G212&amp;"")," ",REPT(" ",60)),60)),코드표!$F$2:$F$101,0))),INDEX(코드표!$K$2:$K$101,MATCH(LEFT(TRIM(G212&amp;""),FIND(" ",TRIM(G212&amp;""))-1),코드표!$J$2:$J$101,0))&amp;" "&amp;INDEX(코드표!$G$2:$G$101,MATCH(TRIM(RIGHT(SUBSTITUTE(TRIM(G212&amp;"")," ",REPT(" ",60)),60)),코드표!$F$2:$F$101,0)),"⚠"&amp;TRIM(G212&amp;""))),"⚠"&amp;TRIM(G212&amp;""))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",TRIM(H212&amp;""))-1),코드표!$J$2:$J$101,0)),ISNUMBER(MATCH(TRIM(RIGHT(SUBSTITUTE(TRIM(H212&amp;"")," ",REPT(" ",60)),60)),코드표!$F$2:$F$101,0))),INDEX(코드표!$K$2:$K$101,MATCH(LEFT(TRIM(H212&amp;""),FIND(" ",TRIM(H212&amp;""))-1),코드표!$J$2:$J$101,0))&amp;" "&amp;INDEX(코드표!$G$2:$G$101,MATCH(TRIM(RIGHT(SUBSTITUTE(TRIM(H212&amp;"")," ",REPT(" ",60)),60)),코드표!$F$2:$F$101,0)),"⚠"&amp;TRIM(H212&amp;""))),"⚠"&amp;TRIM(H212&amp;""))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",TRIM(I212&amp;""))-1),코드표!$J$2:$J$101,0)),ISNUMBER(MATCH(TRIM(RIGHT(SUBSTITUTE(TRIM(I212&amp;"")," ",REPT(" ",60)),60)),코드표!$F$2:$F$101,0))),INDEX(코드표!$K$2:$K$101,MATCH(LEFT(TRIM(I212&amp;""),FIND(" ",TRIM(I212&amp;""))-1),코드표!$J$2:$J$101,0))&amp;" "&amp;INDEX(코드표!$G$2:$G$101,MATCH(TRIM(RIGHT(SUBSTITUTE(TRIM(I212&amp;"")," ",REPT(" ",60)),60)),코드표!$F$2:$F$101,0)),"⚠"&amp;TRIM(I212&amp;""))),"⚠"&amp;TRIM(I212&amp;""))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",TRIM(J212&amp;""))-1),코드표!$J$2:$J$101,0)),ISNUMBER(MATCH(TRIM(RIGHT(SUBSTITUTE(TRIM(J212&amp;"")," ",REPT(" ",60)),60)),코드표!$F$2:$F$101,0))),INDEX(코드표!$K$2:$K$101,MATCH(LEFT(TRIM(J212&amp;""),FIND(" ",TRIM(J212&amp;""))-1),코드표!$J$2:$J$101,0))&amp;" "&amp;INDEX(코드표!$G$2:$G$101,MATCH(TRIM(RIGHT(SUBSTITUTE(TRIM(J212&amp;"")," ",REPT(" ",60)),60)),코드표!$F$2:$F$101,0)),"⚠"&amp;TRIM(J212&amp;""))),"⚠"&amp;TRIM(J212&amp;""))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",TRIM(E213&amp;""))-1),코드표!$J$2:$J$101,0)),ISNUMBER(MATCH(TRIM(RIGHT(SUBSTITUTE(TRIM(E213&amp;"")," ",REPT(" ",60)),60)),코드표!$F$2:$F$101,0))),INDEX(코드표!$K$2:$K$101,MATCH(LEFT(TRIM(E213&amp;""),FIND(" ",TRIM(E213&amp;""))-1),코드표!$J$2:$J$101,0))&amp;" "&amp;INDEX(코드표!$G$2:$G$101,MATCH(TRIM(RIGHT(SUBSTITUTE(TRIM(E213&amp;"")," ",REPT(" ",60)),60)),코드표!$F$2:$F$101,0)),"⚠"&amp;TRIM(E213&amp;""))),"⚠"&amp;TRIM(E213&amp;""))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",TRIM(F213&amp;""))-1),코드표!$J$2:$J$101,0)),ISNUMBER(MATCH(TRIM(RIGHT(SUBSTITUTE(TRIM(F213&amp;"")," ",REPT(" ",60)),60)),코드표!$F$2:$F$101,0))),INDEX(코드표!$K$2:$K$101,MATCH(LEFT(TRIM(F213&amp;""),FIND(" ",TRIM(F213&amp;""))-1),코드표!$J$2:$J$101,0))&amp;" "&amp;INDEX(코드표!$G$2:$G$101,MATCH(TRIM(RIGHT(SUBSTITUTE(TRIM(F213&amp;"")," ",REPT(" ",60)),60)),코드표!$F$2:$F$101,0)),"⚠"&amp;TRIM(F213&amp;""))),"⚠"&amp;TRIM(F213&amp;""))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",TRIM(G213&amp;""))-1),코드표!$J$2:$J$101,0)),ISNUMBER(MATCH(TRIM(RIGHT(SUBSTITUTE(TRIM(G213&amp;"")," ",REPT(" ",60)),60)),코드표!$F$2:$F$101,0))),INDEX(코드표!$K$2:$K$101,MATCH(LEFT(TRIM(G213&amp;""),FIND(" ",TRIM(G213&amp;""))-1),코드표!$J$2:$J$101,0))&amp;" "&amp;INDEX(코드표!$G$2:$G$101,MATCH(TRIM(RIGHT(SUBSTITUTE(TRIM(G213&amp;"")," ",REPT(" ",60)),60)),코드표!$F$2:$F$101,0)),"⚠"&amp;TRIM(G213&amp;""))),"⚠"&amp;TRIM(G213&amp;""))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",TRIM(H213&amp;""))-1),코드표!$J$2:$J$101,0)),ISNUMBER(MATCH(TRIM(RIGHT(SUBSTITUTE(TRIM(H213&amp;"")," ",REPT(" ",60)),60)),코드표!$F$2:$F$101,0))),INDEX(코드표!$K$2:$K$101,MATCH(LEFT(TRIM(H213&amp;""),FIND(" ",TRIM(H213&amp;""))-1),코드표!$J$2:$J$101,0))&amp;" "&amp;INDEX(코드표!$G$2:$G$101,MATCH(TRIM(RIGHT(SUBSTITUTE(TRIM(H213&amp;"")," ",REPT(" ",60)),60)),코드표!$F$2:$F$101,0)),"⚠"&amp;TRIM(H213&amp;""))),"⚠"&amp;TRIM(H213&amp;""))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",TRIM(I213&amp;""))-1),코드표!$J$2:$J$101,0)),ISNUMBER(MATCH(TRIM(RIGHT(SUBSTITUTE(TRIM(I213&amp;"")," ",REPT(" ",60)),60)),코드표!$F$2:$F$101,0))),INDEX(코드표!$K$2:$K$101,MATCH(LEFT(TRIM(I213&amp;""),FIND(" ",TRIM(I213&amp;""))-1),코드표!$J$2:$J$101,0))&amp;" "&amp;INDEX(코드표!$G$2:$G$101,MATCH(TRIM(RIGHT(SUBSTITUTE(TRIM(I213&amp;"")," ",REPT(" ",60)),60)),코드표!$F$2:$F$101,0)),"⚠"&amp;TRIM(I213&amp;""))),"⚠"&amp;TRIM(I213&amp;""))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",TRIM(J213&amp;""))-1),코드표!$J$2:$J$101,0)),ISNUMBER(MATCH(TRIM(RIGHT(SUBSTITUTE(TRIM(J213&amp;"")," ",REPT(" ",60)),60)),코드표!$F$2:$F$101,0))),INDEX(코드표!$K$2:$K$101,MATCH(LEFT(TRIM(J213&amp;""),FIND(" ",TRIM(J213&amp;""))-1),코드표!$J$2:$J$101,0))&amp;" "&amp;INDEX(코드표!$G$2:$G$101,MATCH(TRIM(RIGHT(SUBSTITUTE(TRIM(J213&amp;"")," ",REPT(" ",60)),60)),코드표!$F$2:$F$101,0)),"⚠"&amp;TRIM(J213&amp;""))),"⚠"&amp;TRIM(J213&amp;""))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",TRIM(E214&amp;""))-1),코드표!$J$2:$J$101,0)),ISNUMBER(MATCH(TRIM(RIGHT(SUBSTITUTE(TRIM(E214&amp;"")," ",REPT(" ",60)),60)),코드표!$F$2:$F$101,0))),INDEX(코드표!$K$2:$K$101,MATCH(LEFT(TRIM(E214&amp;""),FIND(" ",TRIM(E214&amp;""))-1),코드표!$J$2:$J$101,0))&amp;" "&amp;INDEX(코드표!$G$2:$G$101,MATCH(TRIM(RIGHT(SUBSTITUTE(TRIM(E214&amp;"")," ",REPT(" ",60)),60)),코드표!$F$2:$F$101,0)),"⚠"&amp;TRIM(E214&amp;""))),"⚠"&amp;TRIM(E214&amp;""))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",TRIM(F214&amp;""))-1),코드표!$J$2:$J$101,0)),ISNUMBER(MATCH(TRIM(RIGHT(SUBSTITUTE(TRIM(F214&amp;"")," ",REPT(" ",60)),60)),코드표!$F$2:$F$101,0))),INDEX(코드표!$K$2:$K$101,MATCH(LEFT(TRIM(F214&amp;""),FIND(" ",TRIM(F214&amp;""))-1),코드표!$J$2:$J$101,0))&amp;" "&amp;INDEX(코드표!$G$2:$G$101,MATCH(TRIM(RIGHT(SUBSTITUTE(TRIM(F214&amp;"")," ",REPT(" ",60)),60)),코드표!$F$2:$F$101,0)),"⚠"&amp;TRIM(F214&amp;""))),"⚠"&amp;TRIM(F214&amp;""))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",TRIM(G214&amp;""))-1),코드표!$J$2:$J$101,0)),ISNUMBER(MATCH(TRIM(RIGHT(SUBSTITUTE(TRIM(G214&amp;"")," ",REPT(" ",60)),60)),코드표!$F$2:$F$101,0))),INDEX(코드표!$K$2:$K$101,MATCH(LEFT(TRIM(G214&amp;""),FIND(" ",TRIM(G214&amp;""))-1),코드표!$J$2:$J$101,0))&amp;" "&amp;INDEX(코드표!$G$2:$G$101,MATCH(TRIM(RIGHT(SUBSTITUTE(TRIM(G214&amp;"")," ",REPT(" ",60)),60)),코드표!$F$2:$F$101,0)),"⚠"&amp;TRIM(G214&amp;""))),"⚠"&amp;TRIM(G214&amp;""))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",TRIM(H214&amp;""))-1),코드표!$J$2:$J$101,0)),ISNUMBER(MATCH(TRIM(RIGHT(SUBSTITUTE(TRIM(H214&amp;"")," ",REPT(" ",60)),60)),코드표!$F$2:$F$101,0))),INDEX(코드표!$K$2:$K$101,MATCH(LEFT(TRIM(H214&amp;""),FIND(" ",TRIM(H214&amp;""))-1),코드표!$J$2:$J$101,0))&amp;" "&amp;INDEX(코드표!$G$2:$G$101,MATCH(TRIM(RIGHT(SUBSTITUTE(TRIM(H214&amp;"")," ",REPT(" ",60)),60)),코드표!$F$2:$F$101,0)),"⚠"&amp;TRIM(H214&amp;""))),"⚠"&amp;TRIM(H214&amp;""))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",TRIM(I214&amp;""))-1),코드표!$J$2:$J$101,0)),ISNUMBER(MATCH(TRIM(RIGHT(SUBSTITUTE(TRIM(I214&amp;"")," ",REPT(" ",60)),60)),코드표!$F$2:$F$101,0))),INDEX(코드표!$K$2:$K$101,MATCH(LEFT(TRIM(I214&amp;""),FIND(" ",TRIM(I214&amp;""))-1),코드표!$J$2:$J$101,0))&amp;" "&amp;INDEX(코드표!$G$2:$G$101,MATCH(TRIM(RIGHT(SUBSTITUTE(TRIM(I214&amp;"")," ",REPT(" ",60)),60)),코드표!$F$2:$F$101,0)),"⚠"&amp;TRIM(I214&amp;""))),"⚠"&amp;TRIM(I214&amp;""))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",TRIM(J214&amp;""))-1),코드표!$J$2:$J$101,0)),ISNUMBER(MATCH(TRIM(RIGHT(SUBSTITUTE(TRIM(J214&amp;"")," ",REPT(" ",60)),60)),코드표!$F$2:$F$101,0))),INDEX(코드표!$K$2:$K$101,MATCH(LEFT(TRIM(J214&amp;""),FIND(" ",TRIM(J214&amp;""))-1),코드표!$J$2:$J$101,0))&amp;" "&amp;INDEX(코드표!$G$2:$G$101,MATCH(TRIM(RIGHT(SUBSTITUTE(TRIM(J214&amp;"")," ",REPT(" ",60)),60)),코드표!$F$2:$F$101,0)),"⚠"&amp;TRIM(J214&amp;""))),"⚠"&amp;TRIM(J214&amp;""))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",TRIM(E215&amp;""))-1),코드표!$J$2:$J$101,0)),ISNUMBER(MATCH(TRIM(RIGHT(SUBSTITUTE(TRIM(E215&amp;"")," ",REPT(" ",60)),60)),코드표!$F$2:$F$101,0))),INDEX(코드표!$K$2:$K$101,MATCH(LEFT(TRIM(E215&amp;""),FIND(" ",TRIM(E215&amp;""))-1),코드표!$J$2:$J$101,0))&amp;" "&amp;INDEX(코드표!$G$2:$G$101,MATCH(TRIM(RIGHT(SUBSTITUTE(TRIM(E215&amp;"")," ",REPT(" ",60)),60)),코드표!$F$2:$F$101,0)),"⚠"&amp;TRIM(E215&amp;""))),"⚠"&amp;TRIM(E215&amp;""))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",TRIM(F215&amp;""))-1),코드표!$J$2:$J$101,0)),ISNUMBER(MATCH(TRIM(RIGHT(SUBSTITUTE(TRIM(F215&amp;"")," ",REPT(" ",60)),60)),코드표!$F$2:$F$101,0))),INDEX(코드표!$K$2:$K$101,MATCH(LEFT(TRIM(F215&amp;""),FIND(" ",TRIM(F215&amp;""))-1),코드표!$J$2:$J$101,0))&amp;" "&amp;INDEX(코드표!$G$2:$G$101,MATCH(TRIM(RIGHT(SUBSTITUTE(TRIM(F215&amp;"")," ",REPT(" ",60)),60)),코드표!$F$2:$F$101,0)),"⚠"&amp;TRIM(F215&amp;""))),"⚠"&amp;TRIM(F215&amp;""))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",TRIM(G215&amp;""))-1),코드표!$J$2:$J$101,0)),ISNUMBER(MATCH(TRIM(RIGHT(SUBSTITUTE(TRIM(G215&amp;"")," ",REPT(" ",60)),60)),코드표!$F$2:$F$101,0))),INDEX(코드표!$K$2:$K$101,MATCH(LEFT(TRIM(G215&amp;""),FIND(" ",TRIM(G215&amp;""))-1),코드표!$J$2:$J$101,0))&amp;" "&amp;INDEX(코드표!$G$2:$G$101,MATCH(TRIM(RIGHT(SUBSTITUTE(TRIM(G215&amp;"")," ",REPT(" ",60)),60)),코드표!$F$2:$F$101,0)),"⚠"&amp;TRIM(G215&amp;""))),"⚠"&amp;TRIM(G215&amp;""))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",TRIM(H215&amp;""))-1),코드표!$J$2:$J$101,0)),ISNUMBER(MATCH(TRIM(RIGHT(SUBSTITUTE(TRIM(H215&amp;"")," ",REPT(" ",60)),60)),코드표!$F$2:$F$101,0))),INDEX(코드표!$K$2:$K$101,MATCH(LEFT(TRIM(H215&amp;""),FIND(" ",TRIM(H215&amp;""))-1),코드표!$J$2:$J$101,0))&amp;" "&amp;INDEX(코드표!$G$2:$G$101,MATCH(TRIM(RIGHT(SUBSTITUTE(TRIM(H215&amp;"")," ",REPT(" ",60)),60)),코드표!$F$2:$F$101,0)),"⚠"&amp;TRIM(H215&amp;""))),"⚠"&amp;TRIM(H215&amp;""))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",TRIM(I215&amp;""))-1),코드표!$J$2:$J$101,0)),ISNUMBER(MATCH(TRIM(RIGHT(SUBSTITUTE(TRIM(I215&amp;"")," ",REPT(" ",60)),60)),코드표!$F$2:$F$101,0))),INDEX(코드표!$K$2:$K$101,MATCH(LEFT(TRIM(I215&amp;""),FIND(" ",TRIM(I215&amp;""))-1),코드표!$J$2:$J$101,0))&amp;" "&amp;INDEX(코드표!$G$2:$G$101,MATCH(TRIM(RIGHT(SUBSTITUTE(TRIM(I215&amp;"")," ",REPT(" ",60)),60)),코드표!$F$2:$F$101,0)),"⚠"&amp;TRIM(I215&amp;""))),"⚠"&amp;TRIM(I215&amp;""))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",TRIM(J215&amp;""))-1),코드표!$J$2:$J$101,0)),ISNUMBER(MATCH(TRIM(RIGHT(SUBSTITUTE(TRIM(J215&amp;"")," ",REPT(" ",60)),60)),코드표!$F$2:$F$101,0))),INDEX(코드표!$K$2:$K$101,MATCH(LEFT(TRIM(J215&amp;""),FIND(" ",TRIM(J215&amp;""))-1),코드표!$J$2:$J$101,0))&amp;" "&amp;INDEX(코드표!$G$2:$G$101,MATCH(TRIM(RIGHT(SUBSTITUTE(TRIM(J215&amp;"")," ",REPT(" ",60)),60)),코드표!$F$2:$F$101,0)),"⚠"&amp;TRIM(J215&amp;""))),"⚠"&amp;TRIM(J215&amp;""))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",TRIM(E216&amp;""))-1),코드표!$J$2:$J$101,0)),ISNUMBER(MATCH(TRIM(RIGHT(SUBSTITUTE(TRIM(E216&amp;"")," ",REPT(" ",60)),60)),코드표!$F$2:$F$101,0))),INDEX(코드표!$K$2:$K$101,MATCH(LEFT(TRIM(E216&amp;""),FIND(" ",TRIM(E216&amp;""))-1),코드표!$J$2:$J$101,0))&amp;" "&amp;INDEX(코드표!$G$2:$G$101,MATCH(TRIM(RIGHT(SUBSTITUTE(TRIM(E216&amp;"")," ",REPT(" ",60)),60)),코드표!$F$2:$F$101,0)),"⚠"&amp;TRIM(E216&amp;""))),"⚠"&amp;TRIM(E216&amp;""))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",TRIM(F216&amp;""))-1),코드표!$J$2:$J$101,0)),ISNUMBER(MATCH(TRIM(RIGHT(SUBSTITUTE(TRIM(F216&amp;"")," ",REPT(" ",60)),60)),코드표!$F$2:$F$101,0))),INDEX(코드표!$K$2:$K$101,MATCH(LEFT(TRIM(F216&amp;""),FIND(" ",TRIM(F216&amp;""))-1),코드표!$J$2:$J$101,0))&amp;" "&amp;INDEX(코드표!$G$2:$G$101,MATCH(TRIM(RIGHT(SUBSTITUTE(TRIM(F216&amp;"")," ",REPT(" ",60)),60)),코드표!$F$2:$F$101,0)),"⚠"&amp;TRIM(F216&amp;""))),"⚠"&amp;TRIM(F216&amp;""))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",TRIM(G216&amp;""))-1),코드표!$J$2:$J$101,0)),ISNUMBER(MATCH(TRIM(RIGHT(SUBSTITUTE(TRIM(G216&amp;"")," ",REPT(" ",60)),60)),코드표!$F$2:$F$101,0))),INDEX(코드표!$K$2:$K$101,MATCH(LEFT(TRIM(G216&amp;""),FIND(" ",TRIM(G216&amp;""))-1),코드표!$J$2:$J$101,0))&amp;" "&amp;INDEX(코드표!$G$2:$G$101,MATCH(TRIM(RIGHT(SUBSTITUTE(TRIM(G216&amp;"")," ",REPT(" ",60)),60)),코드표!$F$2:$F$101,0)),"⚠"&amp;TRIM(G216&amp;""))),"⚠"&amp;TRIM(G216&amp;""))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",TRIM(H216&amp;""))-1),코드표!$J$2:$J$101,0)),ISNUMBER(MATCH(TRIM(RIGHT(SUBSTITUTE(TRIM(H216&amp;"")," ",REPT(" ",60)),60)),코드표!$F$2:$F$101,0))),INDEX(코드표!$K$2:$K$101,MATCH(LEFT(TRIM(H216&amp;""),FIND(" ",TRIM(H216&amp;""))-1),코드표!$J$2:$J$101,0))&amp;" "&amp;INDEX(코드표!$G$2:$G$101,MATCH(TRIM(RIGHT(SUBSTITUTE(TRIM(H216&amp;"")," ",REPT(" ",60)),60)),코드표!$F$2:$F$101,0)),"⚠"&amp;TRIM(H216&amp;""))),"⚠"&amp;TRIM(H216&amp;""))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",TRIM(I216&amp;""))-1),코드표!$J$2:$J$101,0)),ISNUMBER(MATCH(TRIM(RIGHT(SUBSTITUTE(TRIM(I216&amp;"")," ",REPT(" ",60)),60)),코드표!$F$2:$F$101,0))),INDEX(코드표!$K$2:$K$101,MATCH(LEFT(TRIM(I216&amp;""),FIND(" ",TRIM(I216&amp;""))-1),코드표!$J$2:$J$101,0))&amp;" "&amp;INDEX(코드표!$G$2:$G$101,MATCH(TRIM(RIGHT(SUBSTITUTE(TRIM(I216&amp;"")," ",REPT(" ",60)),60)),코드표!$F$2:$F$101,0)),"⚠"&amp;TRIM(I216&amp;""))),"⚠"&amp;TRIM(I216&amp;""))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",TRIM(J216&amp;""))-1),코드표!$J$2:$J$101,0)),ISNUMBER(MATCH(TRIM(RIGHT(SUBSTITUTE(TRIM(J216&amp;"")," ",REPT(" ",60)),60)),코드표!$F$2:$F$101,0))),INDEX(코드표!$K$2:$K$101,MATCH(LEFT(TRIM(J216&amp;""),FIND(" ",TRIM(J216&amp;""))-1),코드표!$J$2:$J$101,0))&amp;" "&amp;INDEX(코드표!$G$2:$G$101,MATCH(TRIM(RIGHT(SUBSTITUTE(TRIM(J216&amp;"")," ",REPT(" ",60)),60)),코드표!$F$2:$F$101,0)),"⚠"&amp;TRIM(J216&amp;""))),"⚠"&amp;TRIM(J216&amp;""))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",TRIM(E217&amp;""))-1),코드표!$J$2:$J$101,0)),ISNUMBER(MATCH(TRIM(RIGHT(SUBSTITUTE(TRIM(E217&amp;"")," ",REPT(" ",60)),60)),코드표!$F$2:$F$101,0))),INDEX(코드표!$K$2:$K$101,MATCH(LEFT(TRIM(E217&amp;""),FIND(" ",TRIM(E217&amp;""))-1),코드표!$J$2:$J$101,0))&amp;" "&amp;INDEX(코드표!$G$2:$G$101,MATCH(TRIM(RIGHT(SUBSTITUTE(TRIM(E217&amp;"")," ",REPT(" ",60)),60)),코드표!$F$2:$F$101,0)),"⚠"&amp;TRIM(E217&amp;""))),"⚠"&amp;TRIM(E217&amp;""))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",TRIM(F217&amp;""))-1),코드표!$J$2:$J$101,0)),ISNUMBER(MATCH(TRIM(RIGHT(SUBSTITUTE(TRIM(F217&amp;"")," ",REPT(" ",60)),60)),코드표!$F$2:$F$101,0))),INDEX(코드표!$K$2:$K$101,MATCH(LEFT(TRIM(F217&amp;""),FIND(" ",TRIM(F217&amp;""))-1),코드표!$J$2:$J$101,0))&amp;" "&amp;INDEX(코드표!$G$2:$G$101,MATCH(TRIM(RIGHT(SUBSTITUTE(TRIM(F217&amp;"")," ",REPT(" ",60)),60)),코드표!$F$2:$F$101,0)),"⚠"&amp;TRIM(F217&amp;""))),"⚠"&amp;TRIM(F217&amp;""))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",TRIM(G217&amp;""))-1),코드표!$J$2:$J$101,0)),ISNUMBER(MATCH(TRIM(RIGHT(SUBSTITUTE(TRIM(G217&amp;"")," ",REPT(" ",60)),60)),코드표!$F$2:$F$101,0))),INDEX(코드표!$K$2:$K$101,MATCH(LEFT(TRIM(G217&amp;""),FIND(" ",TRIM(G217&amp;""))-1),코드표!$J$2:$J$101,0))&amp;" "&amp;INDEX(코드표!$G$2:$G$101,MATCH(TRIM(RIGHT(SUBSTITUTE(TRIM(G217&amp;"")," ",REPT(" ",60)),60)),코드표!$F$2:$F$101,0)),"⚠"&amp;TRIM(G217&amp;""))),"⚠"&amp;TRIM(G217&amp;""))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",TRIM(H217&amp;""))-1),코드표!$J$2:$J$101,0)),ISNUMBER(MATCH(TRIM(RIGHT(SUBSTITUTE(TRIM(H217&amp;"")," ",REPT(" ",60)),60)),코드표!$F$2:$F$101,0))),INDEX(코드표!$K$2:$K$101,MATCH(LEFT(TRIM(H217&amp;""),FIND(" ",TRIM(H217&amp;""))-1),코드표!$J$2:$J$101,0))&amp;" "&amp;INDEX(코드표!$G$2:$G$101,MATCH(TRIM(RIGHT(SUBSTITUTE(TRIM(H217&amp;"")," ",REPT(" ",60)),60)),코드표!$F$2:$F$101,0)),"⚠"&amp;TRIM(H217&amp;""))),"⚠"&amp;TRIM(H217&amp;""))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",TRIM(I217&amp;""))-1),코드표!$J$2:$J$101,0)),ISNUMBER(MATCH(TRIM(RIGHT(SUBSTITUTE(TRIM(I217&amp;"")," ",REPT(" ",60)),60)),코드표!$F$2:$F$101,0))),INDEX(코드표!$K$2:$K$101,MATCH(LEFT(TRIM(I217&amp;""),FIND(" ",TRIM(I217&amp;""))-1),코드표!$J$2:$J$101,0))&amp;" "&amp;INDEX(코드표!$G$2:$G$101,MATCH(TRIM(RIGHT(SUBSTITUTE(TRIM(I217&amp;"")," ",REPT(" ",60)),60)),코드표!$F$2:$F$101,0)),"⚠"&amp;TRIM(I217&amp;""))),"⚠"&amp;TRIM(I217&amp;""))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",TRIM(J217&amp;""))-1),코드표!$J$2:$J$101,0)),ISNUMBER(MATCH(TRIM(RIGHT(SUBSTITUTE(TRIM(J217&amp;"")," ",REPT(" ",60)),60)),코드표!$F$2:$F$101,0))),INDEX(코드표!$K$2:$K$101,MATCH(LEFT(TRIM(J217&amp;""),FIND(" ",TRIM(J217&amp;""))-1),코드표!$J$2:$J$101,0))&amp;" "&amp;INDEX(코드표!$G$2:$G$101,MATCH(TRIM(RIGHT(SUBSTITUTE(TRIM(J217&amp;"")," ",REPT(" ",60)),60)),코드표!$F$2:$F$101,0)),"⚠"&amp;TRIM(J217&amp;""))),"⚠"&amp;TRIM(J217&amp;""))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",TRIM(E218&amp;""))-1),코드표!$J$2:$J$101,0)),ISNUMBER(MATCH(TRIM(RIGHT(SUBSTITUTE(TRIM(E218&amp;"")," ",REPT(" ",60)),60)),코드표!$F$2:$F$101,0))),INDEX(코드표!$K$2:$K$101,MATCH(LEFT(TRIM(E218&amp;""),FIND(" ",TRIM(E218&amp;""))-1),코드표!$J$2:$J$101,0))&amp;" "&amp;INDEX(코드표!$G$2:$G$101,MATCH(TRIM(RIGHT(SUBSTITUTE(TRIM(E218&amp;"")," ",REPT(" ",60)),60)),코드표!$F$2:$F$101,0)),"⚠"&amp;TRIM(E218&amp;""))),"⚠"&amp;TRIM(E218&amp;""))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",TRIM(F218&amp;""))-1),코드표!$J$2:$J$101,0)),ISNUMBER(MATCH(TRIM(RIGHT(SUBSTITUTE(TRIM(F218&amp;"")," ",REPT(" ",60)),60)),코드표!$F$2:$F$101,0))),INDEX(코드표!$K$2:$K$101,MATCH(LEFT(TRIM(F218&amp;""),FIND(" ",TRIM(F218&amp;""))-1),코드표!$J$2:$J$101,0))&amp;" "&amp;INDEX(코드표!$G$2:$G$101,MATCH(TRIM(RIGHT(SUBSTITUTE(TRIM(F218&amp;"")," ",REPT(" ",60)),60)),코드표!$F$2:$F$101,0)),"⚠"&amp;TRIM(F218&amp;""))),"⚠"&amp;TRIM(F218&amp;""))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",TRIM(G218&amp;""))-1),코드표!$J$2:$J$101,0)),ISNUMBER(MATCH(TRIM(RIGHT(SUBSTITUTE(TRIM(G218&amp;"")," ",REPT(" ",60)),60)),코드표!$F$2:$F$101,0))),INDEX(코드표!$K$2:$K$101,MATCH(LEFT(TRIM(G218&amp;""),FIND(" ",TRIM(G218&amp;""))-1),코드표!$J$2:$J$101,0))&amp;" "&amp;INDEX(코드표!$G$2:$G$101,MATCH(TRIM(RIGHT(SUBSTITUTE(TRIM(G218&amp;"")," ",REPT(" ",60)),60)),코드표!$F$2:$F$101,0)),"⚠"&amp;TRIM(G218&amp;""))),"⚠"&amp;TRIM(G218&amp;""))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",TRIM(H218&amp;""))-1),코드표!$J$2:$J$101,0)),ISNUMBER(MATCH(TRIM(RIGHT(SUBSTITUTE(TRIM(H218&amp;"")," ",REPT(" ",60)),60)),코드표!$F$2:$F$101,0))),INDEX(코드표!$K$2:$K$101,MATCH(LEFT(TRIM(H218&amp;""),FIND(" ",TRIM(H218&amp;""))-1),코드표!$J$2:$J$101,0))&amp;" "&amp;INDEX(코드표!$G$2:$G$101,MATCH(TRIM(RIGHT(SUBSTITUTE(TRIM(H218&amp;"")," ",REPT(" ",60)),60)),코드표!$F$2:$F$101,0)),"⚠"&amp;TRIM(H218&amp;""))),"⚠"&amp;TRIM(H218&amp;""))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",TRIM(I218&amp;""))-1),코드표!$J$2:$J$101,0)),ISNUMBER(MATCH(TRIM(RIGHT(SUBSTITUTE(TRIM(I218&amp;"")," ",REPT(" ",60)),60)),코드표!$F$2:$F$101,0))),INDEX(코드표!$K$2:$K$101,MATCH(LEFT(TRIM(I218&amp;""),FIND(" ",TRIM(I218&amp;""))-1),코드표!$J$2:$J$101,0))&amp;" "&amp;INDEX(코드표!$G$2:$G$101,MATCH(TRIM(RIGHT(SUBSTITUTE(TRIM(I218&amp;"")," ",REPT(" ",60)),60)),코드표!$F$2:$F$101,0)),"⚠"&amp;TRIM(I218&amp;""))),"⚠"&amp;TRIM(I218&amp;""))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",TRIM(J218&amp;""))-1),코드표!$J$2:$J$101,0)),ISNUMBER(MATCH(TRIM(RIGHT(SUBSTITUTE(TRIM(J218&amp;"")," ",REPT(" ",60)),60)),코드표!$F$2:$F$101,0))),INDEX(코드표!$K$2:$K$101,MATCH(LEFT(TRIM(J218&amp;""),FIND(" ",TRIM(J218&amp;""))-1),코드표!$J$2:$J$101,0))&amp;" "&amp;INDEX(코드표!$G$2:$G$101,MATCH(TRIM(RIGHT(SUBSTITUTE(TRIM(J218&amp;"")," ",REPT(" ",60)),60)),코드표!$F$2:$F$101,0)),"⚠"&amp;TRIM(J218&amp;""))),"⚠"&amp;TRIM(J218&amp;""))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",TRIM(E219&amp;""))-1),코드표!$J$2:$J$101,0)),ISNUMBER(MATCH(TRIM(RIGHT(SUBSTITUTE(TRIM(E219&amp;"")," ",REPT(" ",60)),60)),코드표!$F$2:$F$101,0))),INDEX(코드표!$K$2:$K$101,MATCH(LEFT(TRIM(E219&amp;""),FIND(" ",TRIM(E219&amp;""))-1),코드표!$J$2:$J$101,0))&amp;" "&amp;INDEX(코드표!$G$2:$G$101,MATCH(TRIM(RIGHT(SUBSTITUTE(TRIM(E219&amp;"")," ",REPT(" ",60)),60)),코드표!$F$2:$F$101,0)),"⚠"&amp;TRIM(E219&amp;""))),"⚠"&amp;TRIM(E219&amp;""))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",TRIM(F219&amp;""))-1),코드표!$J$2:$J$101,0)),ISNUMBER(MATCH(TRIM(RIGHT(SUBSTITUTE(TRIM(F219&amp;"")," ",REPT(" ",60)),60)),코드표!$F$2:$F$101,0))),INDEX(코드표!$K$2:$K$101,MATCH(LEFT(TRIM(F219&amp;""),FIND(" ",TRIM(F219&amp;""))-1),코드표!$J$2:$J$101,0))&amp;" "&amp;INDEX(코드표!$G$2:$G$101,MATCH(TRIM(RIGHT(SUBSTITUTE(TRIM(F219&amp;"")," ",REPT(" ",60)),60)),코드표!$F$2:$F$101,0)),"⚠"&amp;TRIM(F219&amp;""))),"⚠"&amp;TRIM(F219&amp;""))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",TRIM(G219&amp;""))-1),코드표!$J$2:$J$101,0)),ISNUMBER(MATCH(TRIM(RIGHT(SUBSTITUTE(TRIM(G219&amp;"")," ",REPT(" ",60)),60)),코드표!$F$2:$F$101,0))),INDEX(코드표!$K$2:$K$101,MATCH(LEFT(TRIM(G219&amp;""),FIND(" ",TRIM(G219&amp;""))-1),코드표!$J$2:$J$101,0))&amp;" "&amp;INDEX(코드표!$G$2:$G$101,MATCH(TRIM(RIGHT(SUBSTITUTE(TRIM(G219&amp;"")," ",REPT(" ",60)),60)),코드표!$F$2:$F$101,0)),"⚠"&amp;TRIM(G219&amp;""))),"⚠"&amp;TRIM(G219&amp;""))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",TRIM(H219&amp;""))-1),코드표!$J$2:$J$101,0)),ISNUMBER(MATCH(TRIM(RIGHT(SUBSTITUTE(TRIM(H219&amp;"")," ",REPT(" ",60)),60)),코드표!$F$2:$F$101,0))),INDEX(코드표!$K$2:$K$101,MATCH(LEFT(TRIM(H219&amp;""),FIND(" ",TRIM(H219&amp;""))-1),코드표!$J$2:$J$101,0))&amp;" "&amp;INDEX(코드표!$G$2:$G$101,MATCH(TRIM(RIGHT(SUBSTITUTE(TRIM(H219&amp;"")," ",REPT(" ",60)),60)),코드표!$F$2:$F$101,0)),"⚠"&amp;TRIM(H219&amp;""))),"⚠"&amp;TRIM(H219&amp;""))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",TRIM(I219&amp;""))-1),코드표!$J$2:$J$101,0)),ISNUMBER(MATCH(TRIM(RIGHT(SUBSTITUTE(TRIM(I219&amp;"")," ",REPT(" ",60)),60)),코드표!$F$2:$F$101,0))),INDEX(코드표!$K$2:$K$101,MATCH(LEFT(TRIM(I219&amp;""),FIND(" ",TRIM(I219&amp;""))-1),코드표!$J$2:$J$101,0))&amp;" "&amp;INDEX(코드표!$G$2:$G$101,MATCH(TRIM(RIGHT(SUBSTITUTE(TRIM(I219&amp;"")," ",REPT(" ",60)),60)),코드표!$F$2:$F$101,0)),"⚠"&amp;TRIM(I219&amp;""))),"⚠"&amp;TRIM(I219&amp;""))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",TRIM(J219&amp;""))-1),코드표!$J$2:$J$101,0)),ISNUMBER(MATCH(TRIM(RIGHT(SUBSTITUTE(TRIM(J219&amp;"")," ",REPT(" ",60)),60)),코드표!$F$2:$F$101,0))),INDEX(코드표!$K$2:$K$101,MATCH(LEFT(TRIM(J219&amp;""),FIND(" ",TRIM(J219&amp;""))-1),코드표!$J$2:$J$101,0))&amp;" "&amp;INDEX(코드표!$G$2:$G$101,MATCH(TRIM(RIGHT(SUBSTITUTE(TRIM(J219&amp;"")," ",REPT(" ",60)),60)),코드표!$F$2:$F$101,0)),"⚠"&amp;TRIM(J219&amp;""))),"⚠"&amp;TRIM(J219&amp;""))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",TRIM(E220&amp;""))-1),코드표!$J$2:$J$101,0)),ISNUMBER(MATCH(TRIM(RIGHT(SUBSTITUTE(TRIM(E220&amp;"")," ",REPT(" ",60)),60)),코드표!$F$2:$F$101,0))),INDEX(코드표!$K$2:$K$101,MATCH(LEFT(TRIM(E220&amp;""),FIND(" ",TRIM(E220&amp;""))-1),코드표!$J$2:$J$101,0))&amp;" "&amp;INDEX(코드표!$G$2:$G$101,MATCH(TRIM(RIGHT(SUBSTITUTE(TRIM(E220&amp;"")," ",REPT(" ",60)),60)),코드표!$F$2:$F$101,0)),"⚠"&amp;TRIM(E220&amp;""))),"⚠"&amp;TRIM(E220&amp;""))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",TRIM(F220&amp;""))-1),코드표!$J$2:$J$101,0)),ISNUMBER(MATCH(TRIM(RIGHT(SUBSTITUTE(TRIM(F220&amp;"")," ",REPT(" ",60)),60)),코드표!$F$2:$F$101,0))),INDEX(코드표!$K$2:$K$101,MATCH(LEFT(TRIM(F220&amp;""),FIND(" ",TRIM(F220&amp;""))-1),코드표!$J$2:$J$101,0))&amp;" "&amp;INDEX(코드표!$G$2:$G$101,MATCH(TRIM(RIGHT(SUBSTITUTE(TRIM(F220&amp;"")," ",REPT(" ",60)),60)),코드표!$F$2:$F$101,0)),"⚠"&amp;TRIM(F220&amp;""))),"⚠"&amp;TRIM(F220&amp;""))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",TRIM(G220&amp;""))-1),코드표!$J$2:$J$101,0)),ISNUMBER(MATCH(TRIM(RIGHT(SUBSTITUTE(TRIM(G220&amp;"")," ",REPT(" ",60)),60)),코드표!$F$2:$F$101,0))),INDEX(코드표!$K$2:$K$101,MATCH(LEFT(TRIM(G220&amp;""),FIND(" ",TRIM(G220&amp;""))-1),코드표!$J$2:$J$101,0))&amp;" "&amp;INDEX(코드표!$G$2:$G$101,MATCH(TRIM(RIGHT(SUBSTITUTE(TRIM(G220&amp;"")," ",REPT(" ",60)),60)),코드표!$F$2:$F$101,0)),"⚠"&amp;TRIM(G220&amp;""))),"⚠"&amp;TRIM(G220&amp;""))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",TRIM(H220&amp;""))-1),코드표!$J$2:$J$101,0)),ISNUMBER(MATCH(TRIM(RIGHT(SUBSTITUTE(TRIM(H220&amp;"")," ",REPT(" ",60)),60)),코드표!$F$2:$F$101,0))),INDEX(코드표!$K$2:$K$101,MATCH(LEFT(TRIM(H220&amp;""),FIND(" ",TRIM(H220&amp;""))-1),코드표!$J$2:$J$101,0))&amp;" "&amp;INDEX(코드표!$G$2:$G$101,MATCH(TRIM(RIGHT(SUBSTITUTE(TRIM(H220&amp;"")," ",REPT(" ",60)),60)),코드표!$F$2:$F$101,0)),"⚠"&amp;TRIM(H220&amp;""))),"⚠"&amp;TRIM(H220&amp;""))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",TRIM(I220&amp;""))-1),코드표!$J$2:$J$101,0)),ISNUMBER(MATCH(TRIM(RIGHT(SUBSTITUTE(TRIM(I220&amp;"")," ",REPT(" ",60)),60)),코드표!$F$2:$F$101,0))),INDEX(코드표!$K$2:$K$101,MATCH(LEFT(TRIM(I220&amp;""),FIND(" ",TRIM(I220&amp;""))-1),코드표!$J$2:$J$101,0))&amp;" "&amp;INDEX(코드표!$G$2:$G$101,MATCH(TRIM(RIGHT(SUBSTITUTE(TRIM(I220&amp;"")," ",REPT(" ",60)),60)),코드표!$F$2:$F$101,0)),"⚠"&amp;TRIM(I220&amp;""))),"⚠"&amp;TRIM(I220&amp;""))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",TRIM(J220&amp;""))-1),코드표!$J$2:$J$101,0)),ISNUMBER(MATCH(TRIM(RIGHT(SUBSTITUTE(TRIM(J220&amp;"")," ",REPT(" ",60)),60)),코드표!$F$2:$F$101,0))),INDEX(코드표!$K$2:$K$101,MATCH(LEFT(TRIM(J220&amp;""),FIND(" ",TRIM(J220&amp;""))-1),코드표!$J$2:$J$101,0))&amp;" "&amp;INDEX(코드표!$G$2:$G$101,MATCH(TRIM(RIGHT(SUBSTITUTE(TRIM(J220&amp;"")," ",REPT(" ",60)),60)),코드표!$F$2:$F$101,0)),"⚠"&amp;TRIM(J220&amp;""))),"⚠"&amp;TRIM(J220&amp;""))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",TRIM(E221&amp;""))-1),코드표!$J$2:$J$101,0)),ISNUMBER(MATCH(TRIM(RIGHT(SUBSTITUTE(TRIM(E221&amp;"")," ",REPT(" ",60)),60)),코드표!$F$2:$F$101,0))),INDEX(코드표!$K$2:$K$101,MATCH(LEFT(TRIM(E221&amp;""),FIND(" ",TRIM(E221&amp;""))-1),코드표!$J$2:$J$101,0))&amp;" "&amp;INDEX(코드표!$G$2:$G$101,MATCH(TRIM(RIGHT(SUBSTITUTE(TRIM(E221&amp;"")," ",REPT(" ",60)),60)),코드표!$F$2:$F$101,0)),"⚠"&amp;TRIM(E221&amp;""))),"⚠"&amp;TRIM(E221&amp;""))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",TRIM(F221&amp;""))-1),코드표!$J$2:$J$101,0)),ISNUMBER(MATCH(TRIM(RIGHT(SUBSTITUTE(TRIM(F221&amp;"")," ",REPT(" ",60)),60)),코드표!$F$2:$F$101,0))),INDEX(코드표!$K$2:$K$101,MATCH(LEFT(TRIM(F221&amp;""),FIND(" ",TRIM(F221&amp;""))-1),코드표!$J$2:$J$101,0))&amp;" "&amp;INDEX(코드표!$G$2:$G$101,MATCH(TRIM(RIGHT(SUBSTITUTE(TRIM(F221&amp;"")," ",REPT(" ",60)),60)),코드표!$F$2:$F$101,0)),"⚠"&amp;TRIM(F221&amp;""))),"⚠"&amp;TRIM(F221&amp;""))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",TRIM(G221&amp;""))-1),코드표!$J$2:$J$101,0)),ISNUMBER(MATCH(TRIM(RIGHT(SUBSTITUTE(TRIM(G221&amp;"")," ",REPT(" ",60)),60)),코드표!$F$2:$F$101,0))),INDEX(코드표!$K$2:$K$101,MATCH(LEFT(TRIM(G221&amp;""),FIND(" ",TRIM(G221&amp;""))-1),코드표!$J$2:$J$101,0))&amp;" "&amp;INDEX(코드표!$G$2:$G$101,MATCH(TRIM(RIGHT(SUBSTITUTE(TRIM(G221&amp;"")," ",REPT(" ",60)),60)),코드표!$F$2:$F$101,0)),"⚠"&amp;TRIM(G221&amp;""))),"⚠"&amp;TRIM(G221&amp;""))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",TRIM(H221&amp;""))-1),코드표!$J$2:$J$101,0)),ISNUMBER(MATCH(TRIM(RIGHT(SUBSTITUTE(TRIM(H221&amp;"")," ",REPT(" ",60)),60)),코드표!$F$2:$F$101,0))),INDEX(코드표!$K$2:$K$101,MATCH(LEFT(TRIM(H221&amp;""),FIND(" ",TRIM(H221&amp;""))-1),코드표!$J$2:$J$101,0))&amp;" "&amp;INDEX(코드표!$G$2:$G$101,MATCH(TRIM(RIGHT(SUBSTITUTE(TRIM(H221&amp;"")," ",REPT(" ",60)),60)),코드표!$F$2:$F$101,0)),"⚠"&amp;TRIM(H221&amp;""))),"⚠"&amp;TRIM(H221&amp;""))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",TRIM(I221&amp;""))-1),코드표!$J$2:$J$101,0)),ISNUMBER(MATCH(TRIM(RIGHT(SUBSTITUTE(TRIM(I221&amp;"")," ",REPT(" ",60)),60)),코드표!$F$2:$F$101,0))),INDEX(코드표!$K$2:$K$101,MATCH(LEFT(TRIM(I221&amp;""),FIND(" ",TRIM(I221&amp;""))-1),코드표!$J$2:$J$101,0))&amp;" "&amp;INDEX(코드표!$G$2:$G$101,MATCH(TRIM(RIGHT(SUBSTITUTE(TRIM(I221&amp;"")," ",REPT(" ",60)),60)),코드표!$F$2:$F$101,0)),"⚠"&amp;TRIM(I221&amp;""))),"⚠"&amp;TRIM(I221&amp;""))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",TRIM(J221&amp;""))-1),코드표!$J$2:$J$101,0)),ISNUMBER(MATCH(TRIM(RIGHT(SUBSTITUTE(TRIM(J221&amp;"")," ",REPT(" ",60)),60)),코드표!$F$2:$F$101,0))),INDEX(코드표!$K$2:$K$101,MATCH(LEFT(TRIM(J221&amp;""),FIND(" ",TRIM(J221&amp;""))-1),코드표!$J$2:$J$101,0))&amp;" "&amp;INDEX(코드표!$G$2:$G$101,MATCH(TRIM(RIGHT(SUBSTITUTE(TRIM(J221&amp;"")," ",REPT(" ",60)),60)),코드표!$F$2:$F$101,0)),"⚠"&amp;TRIM(J221&amp;""))),"⚠"&amp;TRIM(J221&amp;""))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",TRIM(E222&amp;""))-1),코드표!$J$2:$J$101,0)),ISNUMBER(MATCH(TRIM(RIGHT(SUBSTITUTE(TRIM(E222&amp;"")," ",REPT(" ",60)),60)),코드표!$F$2:$F$101,0))),INDEX(코드표!$K$2:$K$101,MATCH(LEFT(TRIM(E222&amp;""),FIND(" ",TRIM(E222&amp;""))-1),코드표!$J$2:$J$101,0))&amp;" "&amp;INDEX(코드표!$G$2:$G$101,MATCH(TRIM(RIGHT(SUBSTITUTE(TRIM(E222&amp;"")," ",REPT(" ",60)),60)),코드표!$F$2:$F$101,0)),"⚠"&amp;TRIM(E222&amp;""))),"⚠"&amp;TRIM(E222&amp;""))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",TRIM(F222&amp;""))-1),코드표!$J$2:$J$101,0)),ISNUMBER(MATCH(TRIM(RIGHT(SUBSTITUTE(TRIM(F222&amp;"")," ",REPT(" ",60)),60)),코드표!$F$2:$F$101,0))),INDEX(코드표!$K$2:$K$101,MATCH(LEFT(TRIM(F222&amp;""),FIND(" ",TRIM(F222&amp;""))-1),코드표!$J$2:$J$101,0))&amp;" "&amp;INDEX(코드표!$G$2:$G$101,MATCH(TRIM(RIGHT(SUBSTITUTE(TRIM(F222&amp;"")," ",REPT(" ",60)),60)),코드표!$F$2:$F$101,0)),"⚠"&amp;TRIM(F222&amp;""))),"⚠"&amp;TRIM(F222&amp;""))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",TRIM(G222&amp;""))-1),코드표!$J$2:$J$101,0)),ISNUMBER(MATCH(TRIM(RIGHT(SUBSTITUTE(TRIM(G222&amp;"")," ",REPT(" ",60)),60)),코드표!$F$2:$F$101,0))),INDEX(코드표!$K$2:$K$101,MATCH(LEFT(TRIM(G222&amp;""),FIND(" ",TRIM(G222&amp;""))-1),코드표!$J$2:$J$101,0))&amp;" "&amp;INDEX(코드표!$G$2:$G$101,MATCH(TRIM(RIGHT(SUBSTITUTE(TRIM(G222&amp;"")," ",REPT(" ",60)),60)),코드표!$F$2:$F$101,0)),"⚠"&amp;TRIM(G222&amp;""))),"⚠"&amp;TRIM(G222&amp;""))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",TRIM(H222&amp;""))-1),코드표!$J$2:$J$101,0)),ISNUMBER(MATCH(TRIM(RIGHT(SUBSTITUTE(TRIM(H222&amp;"")," ",REPT(" ",60)),60)),코드표!$F$2:$F$101,0))),INDEX(코드표!$K$2:$K$101,MATCH(LEFT(TRIM(H222&amp;""),FIND(" ",TRIM(H222&amp;""))-1),코드표!$J$2:$J$101,0))&amp;" "&amp;INDEX(코드표!$G$2:$G$101,MATCH(TRIM(RIGHT(SUBSTITUTE(TRIM(H222&amp;"")," ",REPT(" ",60)),60)),코드표!$F$2:$F$101,0)),"⚠"&amp;TRIM(H222&amp;""))),"⚠"&amp;TRIM(H222&amp;""))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",TRIM(I222&amp;""))-1),코드표!$J$2:$J$101,0)),ISNUMBER(MATCH(TRIM(RIGHT(SUBSTITUTE(TRIM(I222&amp;"")," ",REPT(" ",60)),60)),코드표!$F$2:$F$101,0))),INDEX(코드표!$K$2:$K$101,MATCH(LEFT(TRIM(I222&amp;""),FIND(" ",TRIM(I222&amp;""))-1),코드표!$J$2:$J$101,0))&amp;" "&amp;INDEX(코드표!$G$2:$G$101,MATCH(TRIM(RIGHT(SUBSTITUTE(TRIM(I222&amp;"")," ",REPT(" ",60)),60)),코드표!$F$2:$F$101,0)),"⚠"&amp;TRIM(I222&amp;""))),"⚠"&amp;TRIM(I222&amp;""))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",TRIM(J222&amp;""))-1),코드표!$J$2:$J$101,0)),ISNUMBER(MATCH(TRIM(RIGHT(SUBSTITUTE(TRIM(J222&amp;"")," ",REPT(" ",60)),60)),코드표!$F$2:$F$101,0))),INDEX(코드표!$K$2:$K$101,MATCH(LEFT(TRIM(J222&amp;""),FIND(" ",TRIM(J222&amp;""))-1),코드표!$J$2:$J$101,0))&amp;" "&amp;INDEX(코드표!$G$2:$G$101,MATCH(TRIM(RIGHT(SUBSTITUTE(TRIM(J222&amp;"")," ",REPT(" ",60)),60)),코드표!$F$2:$F$101,0)),"⚠"&amp;TRIM(J222&amp;""))),"⚠"&amp;TRIM(J222&amp;""))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",TRIM(E223&amp;""))-1),코드표!$J$2:$J$101,0)),ISNUMBER(MATCH(TRIM(RIGHT(SUBSTITUTE(TRIM(E223&amp;"")," ",REPT(" ",60)),60)),코드표!$F$2:$F$101,0))),INDEX(코드표!$K$2:$K$101,MATCH(LEFT(TRIM(E223&amp;""),FIND(" ",TRIM(E223&amp;""))-1),코드표!$J$2:$J$101,0))&amp;" "&amp;INDEX(코드표!$G$2:$G$101,MATCH(TRIM(RIGHT(SUBSTITUTE(TRIM(E223&amp;"")," ",REPT(" ",60)),60)),코드표!$F$2:$F$101,0)),"⚠"&amp;TRIM(E223&amp;""))),"⚠"&amp;TRIM(E223&amp;""))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",TRIM(F223&amp;""))-1),코드표!$J$2:$J$101,0)),ISNUMBER(MATCH(TRIM(RIGHT(SUBSTITUTE(TRIM(F223&amp;"")," ",REPT(" ",60)),60)),코드표!$F$2:$F$101,0))),INDEX(코드표!$K$2:$K$101,MATCH(LEFT(TRIM(F223&amp;""),FIND(" ",TRIM(F223&amp;""))-1),코드표!$J$2:$J$101,0))&amp;" "&amp;INDEX(코드표!$G$2:$G$101,MATCH(TRIM(RIGHT(SUBSTITUTE(TRIM(F223&amp;"")," ",REPT(" ",60)),60)),코드표!$F$2:$F$101,0)),"⚠"&amp;TRIM(F223&amp;""))),"⚠"&amp;TRIM(F223&amp;""))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",TRIM(G223&amp;""))-1),코드표!$J$2:$J$101,0)),ISNUMBER(MATCH(TRIM(RIGHT(SUBSTITUTE(TRIM(G223&amp;"")," ",REPT(" ",60)),60)),코드표!$F$2:$F$101,0))),INDEX(코드표!$K$2:$K$101,MATCH(LEFT(TRIM(G223&amp;""),FIND(" ",TRIM(G223&amp;""))-1),코드표!$J$2:$J$101,0))&amp;" "&amp;INDEX(코드표!$G$2:$G$101,MATCH(TRIM(RIGHT(SUBSTITUTE(TRIM(G223&amp;"")," ",REPT(" ",60)),60)),코드표!$F$2:$F$101,0)),"⚠"&amp;TRIM(G223&amp;""))),"⚠"&amp;TRIM(G223&amp;""))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",TRIM(H223&amp;""))-1),코드표!$J$2:$J$101,0)),ISNUMBER(MATCH(TRIM(RIGHT(SUBSTITUTE(TRIM(H223&amp;"")," ",REPT(" ",60)),60)),코드표!$F$2:$F$101,0))),INDEX(코드표!$K$2:$K$101,MATCH(LEFT(TRIM(H223&amp;""),FIND(" ",TRIM(H223&amp;""))-1),코드표!$J$2:$J$101,0))&amp;" "&amp;INDEX(코드표!$G$2:$G$101,MATCH(TRIM(RIGHT(SUBSTITUTE(TRIM(H223&amp;"")," ",REPT(" ",60)),60)),코드표!$F$2:$F$101,0)),"⚠"&amp;TRIM(H223&amp;""))),"⚠"&amp;TRIM(H223&amp;""))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",TRIM(I223&amp;""))-1),코드표!$J$2:$J$101,0)),ISNUMBER(MATCH(TRIM(RIGHT(SUBSTITUTE(TRIM(I223&amp;"")," ",REPT(" ",60)),60)),코드표!$F$2:$F$101,0))),INDEX(코드표!$K$2:$K$101,MATCH(LEFT(TRIM(I223&amp;""),FIND(" ",TRIM(I223&amp;""))-1),코드표!$J$2:$J$101,0))&amp;" "&amp;INDEX(코드표!$G$2:$G$101,MATCH(TRIM(RIGHT(SUBSTITUTE(TRIM(I223&amp;"")," ",REPT(" ",60)),60)),코드표!$F$2:$F$101,0)),"⚠"&amp;TRIM(I223&amp;""))),"⚠"&amp;TRIM(I223&amp;""))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",TRIM(J223&amp;""))-1),코드표!$J$2:$J$101,0)),ISNUMBER(MATCH(TRIM(RIGHT(SUBSTITUTE(TRIM(J223&amp;"")," ",REPT(" ",60)),60)),코드표!$F$2:$F$101,0))),INDEX(코드표!$K$2:$K$101,MATCH(LEFT(TRIM(J223&amp;""),FIND(" ",TRIM(J223&amp;""))-1),코드표!$J$2:$J$101,0))&amp;" "&amp;INDEX(코드표!$G$2:$G$101,MATCH(TRIM(RIGHT(SUBSTITUTE(TRIM(J223&amp;"")," ",REPT(" ",60)),60)),코드표!$F$2:$F$101,0)),"⚠"&amp;TRIM(J223&amp;""))),"⚠"&amp;TRIM(J223&amp;""))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",TRIM(E224&amp;""))-1),코드표!$J$2:$J$101,0)),ISNUMBER(MATCH(TRIM(RIGHT(SUBSTITUTE(TRIM(E224&amp;"")," ",REPT(" ",60)),60)),코드표!$F$2:$F$101,0))),INDEX(코드표!$K$2:$K$101,MATCH(LEFT(TRIM(E224&amp;""),FIND(" ",TRIM(E224&amp;""))-1),코드표!$J$2:$J$101,0))&amp;" "&amp;INDEX(코드표!$G$2:$G$101,MATCH(TRIM(RIGHT(SUBSTITUTE(TRIM(E224&amp;"")," ",REPT(" ",60)),60)),코드표!$F$2:$F$101,0)),"⚠"&amp;TRIM(E224&amp;""))),"⚠"&amp;TRIM(E224&amp;""))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",TRIM(F224&amp;""))-1),코드표!$J$2:$J$101,0)),ISNUMBER(MATCH(TRIM(RIGHT(SUBSTITUTE(TRIM(F224&amp;"")," ",REPT(" ",60)),60)),코드표!$F$2:$F$101,0))),INDEX(코드표!$K$2:$K$101,MATCH(LEFT(TRIM(F224&amp;""),FIND(" ",TRIM(F224&amp;""))-1),코드표!$J$2:$J$101,0))&amp;" "&amp;INDEX(코드표!$G$2:$G$101,MATCH(TRIM(RIGHT(SUBSTITUTE(TRIM(F224&amp;"")," ",REPT(" ",60)),60)),코드표!$F$2:$F$101,0)),"⚠"&amp;TRIM(F224&amp;""))),"⚠"&amp;TRIM(F224&amp;""))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",TRIM(G224&amp;""))-1),코드표!$J$2:$J$101,0)),ISNUMBER(MATCH(TRIM(RIGHT(SUBSTITUTE(TRIM(G224&amp;"")," ",REPT(" ",60)),60)),코드표!$F$2:$F$101,0))),INDEX(코드표!$K$2:$K$101,MATCH(LEFT(TRIM(G224&amp;""),FIND(" ",TRIM(G224&amp;""))-1),코드표!$J$2:$J$101,0))&amp;" "&amp;INDEX(코드표!$G$2:$G$101,MATCH(TRIM(RIGHT(SUBSTITUTE(TRIM(G224&amp;"")," ",REPT(" ",60)),60)),코드표!$F$2:$F$101,0)),"⚠"&amp;TRIM(G224&amp;""))),"⚠"&amp;TRIM(G224&amp;""))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",TRIM(H224&amp;""))-1),코드표!$J$2:$J$101,0)),ISNUMBER(MATCH(TRIM(RIGHT(SUBSTITUTE(TRIM(H224&amp;"")," ",REPT(" ",60)),60)),코드표!$F$2:$F$101,0))),INDEX(코드표!$K$2:$K$101,MATCH(LEFT(TRIM(H224&amp;""),FIND(" ",TRIM(H224&amp;""))-1),코드표!$J$2:$J$101,0))&amp;" "&amp;INDEX(코드표!$G$2:$G$101,MATCH(TRIM(RIGHT(SUBSTITUTE(TRIM(H224&amp;"")," ",REPT(" ",60)),60)),코드표!$F$2:$F$101,0)),"⚠"&amp;TRIM(H224&amp;""))),"⚠"&amp;TRIM(H224&amp;""))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",TRIM(I224&amp;""))-1),코드표!$J$2:$J$101,0)),ISNUMBER(MATCH(TRIM(RIGHT(SUBSTITUTE(TRIM(I224&amp;"")," ",REPT(" ",60)),60)),코드표!$F$2:$F$101,0))),INDEX(코드표!$K$2:$K$101,MATCH(LEFT(TRIM(I224&amp;""),FIND(" ",TRIM(I224&amp;""))-1),코드표!$J$2:$J$101,0))&amp;" "&amp;INDEX(코드표!$G$2:$G$101,MATCH(TRIM(RIGHT(SUBSTITUTE(TRIM(I224&amp;"")," ",REPT(" ",60)),60)),코드표!$F$2:$F$101,0)),"⚠"&amp;TRIM(I224&amp;""))),"⚠"&amp;TRIM(I224&amp;""))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",TRIM(J224&amp;""))-1),코드표!$J$2:$J$101,0)),ISNUMBER(MATCH(TRIM(RIGHT(SUBSTITUTE(TRIM(J224&amp;"")," ",REPT(" ",60)),60)),코드표!$F$2:$F$101,0))),INDEX(코드표!$K$2:$K$101,MATCH(LEFT(TRIM(J224&amp;""),FIND(" ",TRIM(J224&amp;""))-1),코드표!$J$2:$J$101,0))&amp;" "&amp;INDEX(코드표!$G$2:$G$101,MATCH(TRIM(RIGHT(SUBSTITUTE(TRIM(J224&amp;"")," ",REPT(" ",60)),60)),코드표!$F$2:$F$101,0)),"⚠"&amp;TRIM(J224&amp;""))),"⚠"&amp;TRIM(J224&amp;""))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",TRIM(E225&amp;""))-1),코드표!$J$2:$J$101,0)),ISNUMBER(MATCH(TRIM(RIGHT(SUBSTITUTE(TRIM(E225&amp;"")," ",REPT(" ",60)),60)),코드표!$F$2:$F$101,0))),INDEX(코드표!$K$2:$K$101,MATCH(LEFT(TRIM(E225&amp;""),FIND(" ",TRIM(E225&amp;""))-1),코드표!$J$2:$J$101,0))&amp;" "&amp;INDEX(코드표!$G$2:$G$101,MATCH(TRIM(RIGHT(SUBSTITUTE(TRIM(E225&amp;"")," ",REPT(" ",60)),60)),코드표!$F$2:$F$101,0)),"⚠"&amp;TRIM(E225&amp;""))),"⚠"&amp;TRIM(E225&amp;""))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",TRIM(F225&amp;""))-1),코드표!$J$2:$J$101,0)),ISNUMBER(MATCH(TRIM(RIGHT(SUBSTITUTE(TRIM(F225&amp;"")," ",REPT(" ",60)),60)),코드표!$F$2:$F$101,0))),INDEX(코드표!$K$2:$K$101,MATCH(LEFT(TRIM(F225&amp;""),FIND(" ",TRIM(F225&amp;""))-1),코드표!$J$2:$J$101,0))&amp;" "&amp;INDEX(코드표!$G$2:$G$101,MATCH(TRIM(RIGHT(SUBSTITUTE(TRIM(F225&amp;"")," ",REPT(" ",60)),60)),코드표!$F$2:$F$101,0)),"⚠"&amp;TRIM(F225&amp;""))),"⚠"&amp;TRIM(F225&amp;""))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",TRIM(G225&amp;""))-1),코드표!$J$2:$J$101,0)),ISNUMBER(MATCH(TRIM(RIGHT(SUBSTITUTE(TRIM(G225&amp;"")," ",REPT(" ",60)),60)),코드표!$F$2:$F$101,0))),INDEX(코드표!$K$2:$K$101,MATCH(LEFT(TRIM(G225&amp;""),FIND(" ",TRIM(G225&amp;""))-1),코드표!$J$2:$J$101,0))&amp;" "&amp;INDEX(코드표!$G$2:$G$101,MATCH(TRIM(RIGHT(SUBSTITUTE(TRIM(G225&amp;"")," ",REPT(" ",60)),60)),코드표!$F$2:$F$101,0)),"⚠"&amp;TRIM(G225&amp;""))),"⚠"&amp;TRIM(G225&amp;""))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",TRIM(H225&amp;""))-1),코드표!$J$2:$J$101,0)),ISNUMBER(MATCH(TRIM(RIGHT(SUBSTITUTE(TRIM(H225&amp;"")," ",REPT(" ",60)),60)),코드표!$F$2:$F$101,0))),INDEX(코드표!$K$2:$K$101,MATCH(LEFT(TRIM(H225&amp;""),FIND(" ",TRIM(H225&amp;""))-1),코드표!$J$2:$J$101,0))&amp;" "&amp;INDEX(코드표!$G$2:$G$101,MATCH(TRIM(RIGHT(SUBSTITUTE(TRIM(H225&amp;"")," ",REPT(" ",60)),60)),코드표!$F$2:$F$101,0)),"⚠"&amp;TRIM(H225&amp;""))),"⚠"&amp;TRIM(H225&amp;""))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",TRIM(I225&amp;""))-1),코드표!$J$2:$J$101,0)),ISNUMBER(MATCH(TRIM(RIGHT(SUBSTITUTE(TRIM(I225&amp;"")," ",REPT(" ",60)),60)),코드표!$F$2:$F$101,0))),INDEX(코드표!$K$2:$K$101,MATCH(LEFT(TRIM(I225&amp;""),FIND(" ",TRIM(I225&amp;""))-1),코드표!$J$2:$J$101,0))&amp;" "&amp;INDEX(코드표!$G$2:$G$101,MATCH(TRIM(RIGHT(SUBSTITUTE(TRIM(I225&amp;"")," ",REPT(" ",60)),60)),코드표!$F$2:$F$101,0)),"⚠"&amp;TRIM(I225&amp;""))),"⚠"&amp;TRIM(I225&amp;""))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",TRIM(J225&amp;""))-1),코드표!$J$2:$J$101,0)),ISNUMBER(MATCH(TRIM(RIGHT(SUBSTITUTE(TRIM(J225&amp;"")," ",REPT(" ",60)),60)),코드표!$F$2:$F$101,0))),INDEX(코드표!$K$2:$K$101,MATCH(LEFT(TRIM(J225&amp;""),FIND(" ",TRIM(J225&amp;""))-1),코드표!$J$2:$J$101,0))&amp;" "&amp;INDEX(코드표!$G$2:$G$101,MATCH(TRIM(RIGHT(SUBSTITUTE(TRIM(J225&amp;"")," ",REPT(" ",60)),60)),코드표!$F$2:$F$101,0)),"⚠"&amp;TRIM(J225&amp;""))),"⚠"&amp;TRIM(J225&amp;""))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",TRIM(E226&amp;""))-1),코드표!$J$2:$J$101,0)),ISNUMBER(MATCH(TRIM(RIGHT(SUBSTITUTE(TRIM(E226&amp;"")," ",REPT(" ",60)),60)),코드표!$F$2:$F$101,0))),INDEX(코드표!$K$2:$K$101,MATCH(LEFT(TRIM(E226&amp;""),FIND(" ",TRIM(E226&amp;""))-1),코드표!$J$2:$J$101,0))&amp;" "&amp;INDEX(코드표!$G$2:$G$101,MATCH(TRIM(RIGHT(SUBSTITUTE(TRIM(E226&amp;"")," ",REPT(" ",60)),60)),코드표!$F$2:$F$101,0)),"⚠"&amp;TRIM(E226&amp;""))),"⚠"&amp;TRIM(E226&amp;""))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",TRIM(F226&amp;""))-1),코드표!$J$2:$J$101,0)),ISNUMBER(MATCH(TRIM(RIGHT(SUBSTITUTE(TRIM(F226&amp;"")," ",REPT(" ",60)),60)),코드표!$F$2:$F$101,0))),INDEX(코드표!$K$2:$K$101,MATCH(LEFT(TRIM(F226&amp;""),FIND(" ",TRIM(F226&amp;""))-1),코드표!$J$2:$J$101,0))&amp;" "&amp;INDEX(코드표!$G$2:$G$101,MATCH(TRIM(RIGHT(SUBSTITUTE(TRIM(F226&amp;"")," ",REPT(" ",60)),60)),코드표!$F$2:$F$101,0)),"⚠"&amp;TRIM(F226&amp;""))),"⚠"&amp;TRIM(F226&amp;""))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",TRIM(G226&amp;""))-1),코드표!$J$2:$J$101,0)),ISNUMBER(MATCH(TRIM(RIGHT(SUBSTITUTE(TRIM(G226&amp;"")," ",REPT(" ",60)),60)),코드표!$F$2:$F$101,0))),INDEX(코드표!$K$2:$K$101,MATCH(LEFT(TRIM(G226&amp;""),FIND(" ",TRIM(G226&amp;""))-1),코드표!$J$2:$J$101,0))&amp;" "&amp;INDEX(코드표!$G$2:$G$101,MATCH(TRIM(RIGHT(SUBSTITUTE(TRIM(G226&amp;"")," ",REPT(" ",60)),60)),코드표!$F$2:$F$101,0)),"⚠"&amp;TRIM(G226&amp;""))),"⚠"&amp;TRIM(G226&amp;""))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",TRIM(H226&amp;""))-1),코드표!$J$2:$J$101,0)),ISNUMBER(MATCH(TRIM(RIGHT(SUBSTITUTE(TRIM(H226&amp;"")," ",REPT(" ",60)),60)),코드표!$F$2:$F$101,0))),INDEX(코드표!$K$2:$K$101,MATCH(LEFT(TRIM(H226&amp;""),FIND(" ",TRIM(H226&amp;""))-1),코드표!$J$2:$J$101,0))&amp;" "&amp;INDEX(코드표!$G$2:$G$101,MATCH(TRIM(RIGHT(SUBSTITUTE(TRIM(H226&amp;"")," ",REPT(" ",60)),60)),코드표!$F$2:$F$101,0)),"⚠"&amp;TRIM(H226&amp;""))),"⚠"&amp;TRIM(H226&amp;""))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",TRIM(I226&amp;""))-1),코드표!$J$2:$J$101,0)),ISNUMBER(MATCH(TRIM(RIGHT(SUBSTITUTE(TRIM(I226&amp;"")," ",REPT(" ",60)),60)),코드표!$F$2:$F$101,0))),INDEX(코드표!$K$2:$K$101,MATCH(LEFT(TRIM(I226&amp;""),FIND(" ",TRIM(I226&amp;""))-1),코드표!$J$2:$J$101,0))&amp;" "&amp;INDEX(코드표!$G$2:$G$101,MATCH(TRIM(RIGHT(SUBSTITUTE(TRIM(I226&amp;"")," ",REPT(" ",60)),60)),코드표!$F$2:$F$101,0)),"⚠"&amp;TRIM(I226&amp;""))),"⚠"&amp;TRIM(I226&amp;""))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",TRIM(J226&amp;""))-1),코드표!$J$2:$J$101,0)),ISNUMBER(MATCH(TRIM(RIGHT(SUBSTITUTE(TRIM(J226&amp;"")," ",REPT(" ",60)),60)),코드표!$F$2:$F$101,0))),INDEX(코드표!$K$2:$K$101,MATCH(LEFT(TRIM(J226&amp;""),FIND(" ",TRIM(J226&amp;""))-1),코드표!$J$2:$J$101,0))&amp;" "&amp;INDEX(코드표!$G$2:$G$101,MATCH(TRIM(RIGHT(SUBSTITUTE(TRIM(J226&amp;"")," ",REPT(" ",60)),60)),코드표!$F$2:$F$101,0)),"⚠"&amp;TRIM(J226&amp;""))),"⚠"&amp;TRIM(J226&amp;""))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",TRIM(E227&amp;""))-1),코드표!$J$2:$J$101,0)),ISNUMBER(MATCH(TRIM(RIGHT(SUBSTITUTE(TRIM(E227&amp;"")," ",REPT(" ",60)),60)),코드표!$F$2:$F$101,0))),INDEX(코드표!$K$2:$K$101,MATCH(LEFT(TRIM(E227&amp;""),FIND(" ",TRIM(E227&amp;""))-1),코드표!$J$2:$J$101,0))&amp;" "&amp;INDEX(코드표!$G$2:$G$101,MATCH(TRIM(RIGHT(SUBSTITUTE(TRIM(E227&amp;"")," ",REPT(" ",60)),60)),코드표!$F$2:$F$101,0)),"⚠"&amp;TRIM(E227&amp;""))),"⚠"&amp;TRIM(E227&amp;""))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",TRIM(F227&amp;""))-1),코드표!$J$2:$J$101,0)),ISNUMBER(MATCH(TRIM(RIGHT(SUBSTITUTE(TRIM(F227&amp;"")," ",REPT(" ",60)),60)),코드표!$F$2:$F$101,0))),INDEX(코드표!$K$2:$K$101,MATCH(LEFT(TRIM(F227&amp;""),FIND(" ",TRIM(F227&amp;""))-1),코드표!$J$2:$J$101,0))&amp;" "&amp;INDEX(코드표!$G$2:$G$101,MATCH(TRIM(RIGHT(SUBSTITUTE(TRIM(F227&amp;"")," ",REPT(" ",60)),60)),코드표!$F$2:$F$101,0)),"⚠"&amp;TRIM(F227&amp;""))),"⚠"&amp;TRIM(F227&amp;""))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",TRIM(G227&amp;""))-1),코드표!$J$2:$J$101,0)),ISNUMBER(MATCH(TRIM(RIGHT(SUBSTITUTE(TRIM(G227&amp;"")," ",REPT(" ",60)),60)),코드표!$F$2:$F$101,0))),INDEX(코드표!$K$2:$K$101,MATCH(LEFT(TRIM(G227&amp;""),FIND(" ",TRIM(G227&amp;""))-1),코드표!$J$2:$J$101,0))&amp;" "&amp;INDEX(코드표!$G$2:$G$101,MATCH(TRIM(RIGHT(SUBSTITUTE(TRIM(G227&amp;"")," ",REPT(" ",60)),60)),코드표!$F$2:$F$101,0)),"⚠"&amp;TRIM(G227&amp;""))),"⚠"&amp;TRIM(G227&amp;""))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",TRIM(H227&amp;""))-1),코드표!$J$2:$J$101,0)),ISNUMBER(MATCH(TRIM(RIGHT(SUBSTITUTE(TRIM(H227&amp;"")," ",REPT(" ",60)),60)),코드표!$F$2:$F$101,0))),INDEX(코드표!$K$2:$K$101,MATCH(LEFT(TRIM(H227&amp;""),FIND(" ",TRIM(H227&amp;""))-1),코드표!$J$2:$J$101,0))&amp;" "&amp;INDEX(코드표!$G$2:$G$101,MATCH(TRIM(RIGHT(SUBSTITUTE(TRIM(H227&amp;"")," ",REPT(" ",60)),60)),코드표!$F$2:$F$101,0)),"⚠"&amp;TRIM(H227&amp;""))),"⚠"&amp;TRIM(H227&amp;""))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",TRIM(I227&amp;""))-1),코드표!$J$2:$J$101,0)),ISNUMBER(MATCH(TRIM(RIGHT(SUBSTITUTE(TRIM(I227&amp;"")," ",REPT(" ",60)),60)),코드표!$F$2:$F$101,0))),INDEX(코드표!$K$2:$K$101,MATCH(LEFT(TRIM(I227&amp;""),FIND(" ",TRIM(I227&amp;""))-1),코드표!$J$2:$J$101,0))&amp;" "&amp;INDEX(코드표!$G$2:$G$101,MATCH(TRIM(RIGHT(SUBSTITUTE(TRIM(I227&amp;"")," ",REPT(" ",60)),60)),코드표!$F$2:$F$101,0)),"⚠"&amp;TRIM(I227&amp;""))),"⚠"&amp;TRIM(I227&amp;""))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",TRIM(J227&amp;""))-1),코드표!$J$2:$J$101,0)),ISNUMBER(MATCH(TRIM(RIGHT(SUBSTITUTE(TRIM(J227&amp;"")," ",REPT(" ",60)),60)),코드표!$F$2:$F$101,0))),INDEX(코드표!$K$2:$K$101,MATCH(LEFT(TRIM(J227&amp;""),FIND(" ",TRIM(J227&amp;""))-1),코드표!$J$2:$J$101,0))&amp;" "&amp;INDEX(코드표!$G$2:$G$101,MATCH(TRIM(RIGHT(SUBSTITUTE(TRIM(J227&amp;"")," ",REPT(" ",60)),60)),코드표!$F$2:$F$101,0)),"⚠"&amp;TRIM(J227&amp;""))),"⚠"&amp;TRIM(J227&amp;""))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",TRIM(E228&amp;""))-1),코드표!$J$2:$J$101,0)),ISNUMBER(MATCH(TRIM(RIGHT(SUBSTITUTE(TRIM(E228&amp;"")," ",REPT(" ",60)),60)),코드표!$F$2:$F$101,0))),INDEX(코드표!$K$2:$K$101,MATCH(LEFT(TRIM(E228&amp;""),FIND(" ",TRIM(E228&amp;""))-1),코드표!$J$2:$J$101,0))&amp;" "&amp;INDEX(코드표!$G$2:$G$101,MATCH(TRIM(RIGHT(SUBSTITUTE(TRIM(E228&amp;"")," ",REPT(" ",60)),60)),코드표!$F$2:$F$101,0)),"⚠"&amp;TRIM(E228&amp;""))),"⚠"&amp;TRIM(E228&amp;""))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",TRIM(F228&amp;""))-1),코드표!$J$2:$J$101,0)),ISNUMBER(MATCH(TRIM(RIGHT(SUBSTITUTE(TRIM(F228&amp;"")," ",REPT(" ",60)),60)),코드표!$F$2:$F$101,0))),INDEX(코드표!$K$2:$K$101,MATCH(LEFT(TRIM(F228&amp;""),FIND(" ",TRIM(F228&amp;""))-1),코드표!$J$2:$J$101,0))&amp;" "&amp;INDEX(코드표!$G$2:$G$101,MATCH(TRIM(RIGHT(SUBSTITUTE(TRIM(F228&amp;"")," ",REPT(" ",60)),60)),코드표!$F$2:$F$101,0)),"⚠"&amp;TRIM(F228&amp;""))),"⚠"&amp;TRIM(F228&amp;""))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",TRIM(G228&amp;""))-1),코드표!$J$2:$J$101,0)),ISNUMBER(MATCH(TRIM(RIGHT(SUBSTITUTE(TRIM(G228&amp;"")," ",REPT(" ",60)),60)),코드표!$F$2:$F$101,0))),INDEX(코드표!$K$2:$K$101,MATCH(LEFT(TRIM(G228&amp;""),FIND(" ",TRIM(G228&amp;""))-1),코드표!$J$2:$J$101,0))&amp;" "&amp;INDEX(코드표!$G$2:$G$101,MATCH(TRIM(RIGHT(SUBSTITUTE(TRIM(G228&amp;"")," ",REPT(" ",60)),60)),코드표!$F$2:$F$101,0)),"⚠"&amp;TRIM(G228&amp;""))),"⚠"&amp;TRIM(G228&amp;""))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",TRIM(H228&amp;""))-1),코드표!$J$2:$J$101,0)),ISNUMBER(MATCH(TRIM(RIGHT(SUBSTITUTE(TRIM(H228&amp;"")," ",REPT(" ",60)),60)),코드표!$F$2:$F$101,0))),INDEX(코드표!$K$2:$K$101,MATCH(LEFT(TRIM(H228&amp;""),FIND(" ",TRIM(H228&amp;""))-1),코드표!$J$2:$J$101,0))&amp;" "&amp;INDEX(코드표!$G$2:$G$101,MATCH(TRIM(RIGHT(SUBSTITUTE(TRIM(H228&amp;"")," ",REPT(" ",60)),60)),코드표!$F$2:$F$101,0)),"⚠"&amp;TRIM(H228&amp;""))),"⚠"&amp;TRIM(H228&amp;""))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",TRIM(I228&amp;""))-1),코드표!$J$2:$J$101,0)),ISNUMBER(MATCH(TRIM(RIGHT(SUBSTITUTE(TRIM(I228&amp;"")," ",REPT(" ",60)),60)),코드표!$F$2:$F$101,0))),INDEX(코드표!$K$2:$K$101,MATCH(LEFT(TRIM(I228&amp;""),FIND(" ",TRIM(I228&amp;""))-1),코드표!$J$2:$J$101,0))&amp;" "&amp;INDEX(코드표!$G$2:$G$101,MATCH(TRIM(RIGHT(SUBSTITUTE(TRIM(I228&amp;"")," ",REPT(" ",60)),60)),코드표!$F$2:$F$101,0)),"⚠"&amp;TRIM(I228&amp;""))),"⚠"&amp;TRIM(I228&amp;""))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",TRIM(J228&amp;""))-1),코드표!$J$2:$J$101,0)),ISNUMBER(MATCH(TRIM(RIGHT(SUBSTITUTE(TRIM(J228&amp;"")," ",REPT(" ",60)),60)),코드표!$F$2:$F$101,0))),INDEX(코드표!$K$2:$K$101,MATCH(LEFT(TRIM(J228&amp;""),FIND(" ",TRIM(J228&amp;""))-1),코드표!$J$2:$J$101,0))&amp;" "&amp;INDEX(코드표!$G$2:$G$101,MATCH(TRIM(RIGHT(SUBSTITUTE(TRIM(J228&amp;"")," ",REPT(" ",60)),60)),코드표!$F$2:$F$101,0)),"⚠"&amp;TRIM(J228&amp;""))),"⚠"&amp;TRIM(J228&amp;""))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",TRIM(E229&amp;""))-1),코드표!$J$2:$J$101,0)),ISNUMBER(MATCH(TRIM(RIGHT(SUBSTITUTE(TRIM(E229&amp;"")," ",REPT(" ",60)),60)),코드표!$F$2:$F$101,0))),INDEX(코드표!$K$2:$K$101,MATCH(LEFT(TRIM(E229&amp;""),FIND(" ",TRIM(E229&amp;""))-1),코드표!$J$2:$J$101,0))&amp;" "&amp;INDEX(코드표!$G$2:$G$101,MATCH(TRIM(RIGHT(SUBSTITUTE(TRIM(E229&amp;"")," ",REPT(" ",60)),60)),코드표!$F$2:$F$101,0)),"⚠"&amp;TRIM(E229&amp;""))),"⚠"&amp;TRIM(E229&amp;""))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",TRIM(F229&amp;""))-1),코드표!$J$2:$J$101,0)),ISNUMBER(MATCH(TRIM(RIGHT(SUBSTITUTE(TRIM(F229&amp;"")," ",REPT(" ",60)),60)),코드표!$F$2:$F$101,0))),INDEX(코드표!$K$2:$K$101,MATCH(LEFT(TRIM(F229&amp;""),FIND(" ",TRIM(F229&amp;""))-1),코드표!$J$2:$J$101,0))&amp;" "&amp;INDEX(코드표!$G$2:$G$101,MATCH(TRIM(RIGHT(SUBSTITUTE(TRIM(F229&amp;"")," ",REPT(" ",60)),60)),코드표!$F$2:$F$101,0)),"⚠"&amp;TRIM(F229&amp;""))),"⚠"&amp;TRIM(F229&amp;""))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",TRIM(G229&amp;""))-1),코드표!$J$2:$J$101,0)),ISNUMBER(MATCH(TRIM(RIGHT(SUBSTITUTE(TRIM(G229&amp;"")," ",REPT(" ",60)),60)),코드표!$F$2:$F$101,0))),INDEX(코드표!$K$2:$K$101,MATCH(LEFT(TRIM(G229&amp;""),FIND(" ",TRIM(G229&amp;""))-1),코드표!$J$2:$J$101,0))&amp;" "&amp;INDEX(코드표!$G$2:$G$101,MATCH(TRIM(RIGHT(SUBSTITUTE(TRIM(G229&amp;"")," ",REPT(" ",60)),60)),코드표!$F$2:$F$101,0)),"⚠"&amp;TRIM(G229&amp;""))),"⚠"&amp;TRIM(G229&amp;""))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",TRIM(H229&amp;""))-1),코드표!$J$2:$J$101,0)),ISNUMBER(MATCH(TRIM(RIGHT(SUBSTITUTE(TRIM(H229&amp;"")," ",REPT(" ",60)),60)),코드표!$F$2:$F$101,0))),INDEX(코드표!$K$2:$K$101,MATCH(LEFT(TRIM(H229&amp;""),FIND(" ",TRIM(H229&amp;""))-1),코드표!$J$2:$J$101,0))&amp;" "&amp;INDEX(코드표!$G$2:$G$101,MATCH(TRIM(RIGHT(SUBSTITUTE(TRIM(H229&amp;"")," ",REPT(" ",60)),60)),코드표!$F$2:$F$101,0)),"⚠"&amp;TRIM(H229&amp;""))),"⚠"&amp;TRIM(H229&amp;""))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",TRIM(I229&amp;""))-1),코드표!$J$2:$J$101,0)),ISNUMBER(MATCH(TRIM(RIGHT(SUBSTITUTE(TRIM(I229&amp;"")," ",REPT(" ",60)),60)),코드표!$F$2:$F$101,0))),INDEX(코드표!$K$2:$K$101,MATCH(LEFT(TRIM(I229&amp;""),FIND(" ",TRIM(I229&amp;""))-1),코드표!$J$2:$J$101,0))&amp;" "&amp;INDEX(코드표!$G$2:$G$101,MATCH(TRIM(RIGHT(SUBSTITUTE(TRIM(I229&amp;"")," ",REPT(" ",60)),60)),코드표!$F$2:$F$101,0)),"⚠"&amp;TRIM(I229&amp;""))),"⚠"&amp;TRIM(I229&amp;""))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",TRIM(J229&amp;""))-1),코드표!$J$2:$J$101,0)),ISNUMBER(MATCH(TRIM(RIGHT(SUBSTITUTE(TRIM(J229&amp;"")," ",REPT(" ",60)),60)),코드표!$F$2:$F$101,0))),INDEX(코드표!$K$2:$K$101,MATCH(LEFT(TRIM(J229&amp;""),FIND(" ",TRIM(J229&amp;""))-1),코드표!$J$2:$J$101,0))&amp;" "&amp;INDEX(코드표!$G$2:$G$101,MATCH(TRIM(RIGHT(SUBSTITUTE(TRIM(J229&amp;"")," ",REPT(" ",60)),60)),코드표!$F$2:$F$101,0)),"⚠"&amp;TRIM(J229&amp;""))),"⚠"&amp;TRIM(J229&amp;""))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",TRIM(E230&amp;""))-1),코드표!$J$2:$J$101,0)),ISNUMBER(MATCH(TRIM(RIGHT(SUBSTITUTE(TRIM(E230&amp;"")," ",REPT(" ",60)),60)),코드표!$F$2:$F$101,0))),INDEX(코드표!$K$2:$K$101,MATCH(LEFT(TRIM(E230&amp;""),FIND(" ",TRIM(E230&amp;""))-1),코드표!$J$2:$J$101,0))&amp;" "&amp;INDEX(코드표!$G$2:$G$101,MATCH(TRIM(RIGHT(SUBSTITUTE(TRIM(E230&amp;"")," ",REPT(" ",60)),60)),코드표!$F$2:$F$101,0)),"⚠"&amp;TRIM(E230&amp;""))),"⚠"&amp;TRIM(E230&amp;""))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",TRIM(F230&amp;""))-1),코드표!$J$2:$J$101,0)),ISNUMBER(MATCH(TRIM(RIGHT(SUBSTITUTE(TRIM(F230&amp;"")," ",REPT(" ",60)),60)),코드표!$F$2:$F$101,0))),INDEX(코드표!$K$2:$K$101,MATCH(LEFT(TRIM(F230&amp;""),FIND(" ",TRIM(F230&amp;""))-1),코드표!$J$2:$J$101,0))&amp;" "&amp;INDEX(코드표!$G$2:$G$101,MATCH(TRIM(RIGHT(SUBSTITUTE(TRIM(F230&amp;"")," ",REPT(" ",60)),60)),코드표!$F$2:$F$101,0)),"⚠"&amp;TRIM(F230&amp;""))),"⚠"&amp;TRIM(F230&amp;""))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",TRIM(G230&amp;""))-1),코드표!$J$2:$J$101,0)),ISNUMBER(MATCH(TRIM(RIGHT(SUBSTITUTE(TRIM(G230&amp;"")," ",REPT(" ",60)),60)),코드표!$F$2:$F$101,0))),INDEX(코드표!$K$2:$K$101,MATCH(LEFT(TRIM(G230&amp;""),FIND(" ",TRIM(G230&amp;""))-1),코드표!$J$2:$J$101,0))&amp;" "&amp;INDEX(코드표!$G$2:$G$101,MATCH(TRIM(RIGHT(SUBSTITUTE(TRIM(G230&amp;"")," ",REPT(" ",60)),60)),코드표!$F$2:$F$101,0)),"⚠"&amp;TRIM(G230&amp;""))),"⚠"&amp;TRIM(G230&amp;""))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",TRIM(H230&amp;""))-1),코드표!$J$2:$J$101,0)),ISNUMBER(MATCH(TRIM(RIGHT(SUBSTITUTE(TRIM(H230&amp;"")," ",REPT(" ",60)),60)),코드표!$F$2:$F$101,0))),INDEX(코드표!$K$2:$K$101,MATCH(LEFT(TRIM(H230&amp;""),FIND(" ",TRIM(H230&amp;""))-1),코드표!$J$2:$J$101,0))&amp;" "&amp;INDEX(코드표!$G$2:$G$101,MATCH(TRIM(RIGHT(SUBSTITUTE(TRIM(H230&amp;"")," ",REPT(" ",60)),60)),코드표!$F$2:$F$101,0)),"⚠"&amp;TRIM(H230&amp;""))),"⚠"&amp;TRIM(H230&amp;""))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",TRIM(I230&amp;""))-1),코드표!$J$2:$J$101,0)),ISNUMBER(MATCH(TRIM(RIGHT(SUBSTITUTE(TRIM(I230&amp;"")," ",REPT(" ",60)),60)),코드표!$F$2:$F$101,0))),INDEX(코드표!$K$2:$K$101,MATCH(LEFT(TRIM(I230&amp;""),FIND(" ",TRIM(I230&amp;""))-1),코드표!$J$2:$J$101,0))&amp;" "&amp;INDEX(코드표!$G$2:$G$101,MATCH(TRIM(RIGHT(SUBSTITUTE(TRIM(I230&amp;"")," ",REPT(" ",60)),60)),코드표!$F$2:$F$101,0)),"⚠"&amp;TRIM(I230&amp;""))),"⚠"&amp;TRIM(I230&amp;""))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",TRIM(J230&amp;""))-1),코드표!$J$2:$J$101,0)),ISNUMBER(MATCH(TRIM(RIGHT(SUBSTITUTE(TRIM(J230&amp;"")," ",REPT(" ",60)),60)),코드표!$F$2:$F$101,0))),INDEX(코드표!$K$2:$K$101,MATCH(LEFT(TRIM(J230&amp;""),FIND(" ",TRIM(J230&amp;""))-1),코드표!$J$2:$J$101,0))&amp;" "&amp;INDEX(코드표!$G$2:$G$101,MATCH(TRIM(RIGHT(SUBSTITUTE(TRIM(J230&amp;"")," ",REPT(" ",60)),60)),코드표!$F$2:$F$101,0)),"⚠"&amp;TRIM(J230&amp;""))),"⚠"&amp;TRIM(J230&amp;""))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",TRIM(E231&amp;""))-1),코드표!$J$2:$J$101,0)),ISNUMBER(MATCH(TRIM(RIGHT(SUBSTITUTE(TRIM(E231&amp;"")," ",REPT(" ",60)),60)),코드표!$F$2:$F$101,0))),INDEX(코드표!$K$2:$K$101,MATCH(LEFT(TRIM(E231&amp;""),FIND(" ",TRIM(E231&amp;""))-1),코드표!$J$2:$J$101,0))&amp;" "&amp;INDEX(코드표!$G$2:$G$101,MATCH(TRIM(RIGHT(SUBSTITUTE(TRIM(E231&amp;"")," ",REPT(" ",60)),60)),코드표!$F$2:$F$101,0)),"⚠"&amp;TRIM(E231&amp;""))),"⚠"&amp;TRIM(E231&amp;""))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",TRIM(F231&amp;""))-1),코드표!$J$2:$J$101,0)),ISNUMBER(MATCH(TRIM(RIGHT(SUBSTITUTE(TRIM(F231&amp;"")," ",REPT(" ",60)),60)),코드표!$F$2:$F$101,0))),INDEX(코드표!$K$2:$K$101,MATCH(LEFT(TRIM(F231&amp;""),FIND(" ",TRIM(F231&amp;""))-1),코드표!$J$2:$J$101,0))&amp;" "&amp;INDEX(코드표!$G$2:$G$101,MATCH(TRIM(RIGHT(SUBSTITUTE(TRIM(F231&amp;"")," ",REPT(" ",60)),60)),코드표!$F$2:$F$101,0)),"⚠"&amp;TRIM(F231&amp;""))),"⚠"&amp;TRIM(F231&amp;""))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",TRIM(G231&amp;""))-1),코드표!$J$2:$J$101,0)),ISNUMBER(MATCH(TRIM(RIGHT(SUBSTITUTE(TRIM(G231&amp;"")," ",REPT(" ",60)),60)),코드표!$F$2:$F$101,0))),INDEX(코드표!$K$2:$K$101,MATCH(LEFT(TRIM(G231&amp;""),FIND(" ",TRIM(G231&amp;""))-1),코드표!$J$2:$J$101,0))&amp;" "&amp;INDEX(코드표!$G$2:$G$101,MATCH(TRIM(RIGHT(SUBSTITUTE(TRIM(G231&amp;"")," ",REPT(" ",60)),60)),코드표!$F$2:$F$101,0)),"⚠"&amp;TRIM(G231&amp;""))),"⚠"&amp;TRIM(G231&amp;""))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",TRIM(H231&amp;""))-1),코드표!$J$2:$J$101,0)),ISNUMBER(MATCH(TRIM(RIGHT(SUBSTITUTE(TRIM(H231&amp;"")," ",REPT(" ",60)),60)),코드표!$F$2:$F$101,0))),INDEX(코드표!$K$2:$K$101,MATCH(LEFT(TRIM(H231&amp;""),FIND(" ",TRIM(H231&amp;""))-1),코드표!$J$2:$J$101,0))&amp;" "&amp;INDEX(코드표!$G$2:$G$101,MATCH(TRIM(RIGHT(SUBSTITUTE(TRIM(H231&amp;"")," ",REPT(" ",60)),60)),코드표!$F$2:$F$101,0)),"⚠"&amp;TRIM(H231&amp;""))),"⚠"&amp;TRIM(H231&amp;""))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",TRIM(I231&amp;""))-1),코드표!$J$2:$J$101,0)),ISNUMBER(MATCH(TRIM(RIGHT(SUBSTITUTE(TRIM(I231&amp;"")," ",REPT(" ",60)),60)),코드표!$F$2:$F$101,0))),INDEX(코드표!$K$2:$K$101,MATCH(LEFT(TRIM(I231&amp;""),FIND(" ",TRIM(I231&amp;""))-1),코드표!$J$2:$J$101,0))&amp;" "&amp;INDEX(코드표!$G$2:$G$101,MATCH(TRIM(RIGHT(SUBSTITUTE(TRIM(I231&amp;"")," ",REPT(" ",60)),60)),코드표!$F$2:$F$101,0)),"⚠"&amp;TRIM(I231&amp;""))),"⚠"&amp;TRIM(I231&amp;""))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",TRIM(J231&amp;""))-1),코드표!$J$2:$J$101,0)),ISNUMBER(MATCH(TRIM(RIGHT(SUBSTITUTE(TRIM(J231&amp;"")," ",REPT(" ",60)),60)),코드표!$F$2:$F$101,0))),INDEX(코드표!$K$2:$K$101,MATCH(LEFT(TRIM(J231&amp;""),FIND(" ",TRIM(J231&amp;""))-1),코드표!$J$2:$J$101,0))&amp;" "&amp;INDEX(코드표!$G$2:$G$101,MATCH(TRIM(RIGHT(SUBSTITUTE(TRIM(J231&amp;"")," ",REPT(" ",60)),60)),코드표!$F$2:$F$101,0)),"⚠"&amp;TRIM(J231&amp;""))),"⚠"&amp;TRIM(J231&amp;""))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",TRIM(E232&amp;""))-1),코드표!$J$2:$J$101,0)),ISNUMBER(MATCH(TRIM(RIGHT(SUBSTITUTE(TRIM(E232&amp;"")," ",REPT(" ",60)),60)),코드표!$F$2:$F$101,0))),INDEX(코드표!$K$2:$K$101,MATCH(LEFT(TRIM(E232&amp;""),FIND(" ",TRIM(E232&amp;""))-1),코드표!$J$2:$J$101,0))&amp;" "&amp;INDEX(코드표!$G$2:$G$101,MATCH(TRIM(RIGHT(SUBSTITUTE(TRIM(E232&amp;"")," ",REPT(" ",60)),60)),코드표!$F$2:$F$101,0)),"⚠"&amp;TRIM(E232&amp;""))),"⚠"&amp;TRIM(E232&amp;""))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",TRIM(F232&amp;""))-1),코드표!$J$2:$J$101,0)),ISNUMBER(MATCH(TRIM(RIGHT(SUBSTITUTE(TRIM(F232&amp;"")," ",REPT(" ",60)),60)),코드표!$F$2:$F$101,0))),INDEX(코드표!$K$2:$K$101,MATCH(LEFT(TRIM(F232&amp;""),FIND(" ",TRIM(F232&amp;""))-1),코드표!$J$2:$J$101,0))&amp;" "&amp;INDEX(코드표!$G$2:$G$101,MATCH(TRIM(RIGHT(SUBSTITUTE(TRIM(F232&amp;"")," ",REPT(" ",60)),60)),코드표!$F$2:$F$101,0)),"⚠"&amp;TRIM(F232&amp;""))),"⚠"&amp;TRIM(F232&amp;""))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",TRIM(G232&amp;""))-1),코드표!$J$2:$J$101,0)),ISNUMBER(MATCH(TRIM(RIGHT(SUBSTITUTE(TRIM(G232&amp;"")," ",REPT(" ",60)),60)),코드표!$F$2:$F$101,0))),INDEX(코드표!$K$2:$K$101,MATCH(LEFT(TRIM(G232&amp;""),FIND(" ",TRIM(G232&amp;""))-1),코드표!$J$2:$J$101,0))&amp;" "&amp;INDEX(코드표!$G$2:$G$101,MATCH(TRIM(RIGHT(SUBSTITUTE(TRIM(G232&amp;"")," ",REPT(" ",60)),60)),코드표!$F$2:$F$101,0)),"⚠"&amp;TRIM(G232&amp;""))),"⚠"&amp;TRIM(G232&amp;""))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",TRIM(H232&amp;""))-1),코드표!$J$2:$J$101,0)),ISNUMBER(MATCH(TRIM(RIGHT(SUBSTITUTE(TRIM(H232&amp;"")," ",REPT(" ",60)),60)),코드표!$F$2:$F$101,0))),INDEX(코드표!$K$2:$K$101,MATCH(LEFT(TRIM(H232&amp;""),FIND(" ",TRIM(H232&amp;""))-1),코드표!$J$2:$J$101,0))&amp;" "&amp;INDEX(코드표!$G$2:$G$101,MATCH(TRIM(RIGHT(SUBSTITUTE(TRIM(H232&amp;"")," ",REPT(" ",60)),60)),코드표!$F$2:$F$101,0)),"⚠"&amp;TRIM(H232&amp;""))),"⚠"&amp;TRIM(H232&amp;""))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",TRIM(I232&amp;""))-1),코드표!$J$2:$J$101,0)),ISNUMBER(MATCH(TRIM(RIGHT(SUBSTITUTE(TRIM(I232&amp;"")," ",REPT(" ",60)),60)),코드표!$F$2:$F$101,0))),INDEX(코드표!$K$2:$K$101,MATCH(LEFT(TRIM(I232&amp;""),FIND(" ",TRIM(I232&amp;""))-1),코드표!$J$2:$J$101,0))&amp;" "&amp;INDEX(코드표!$G$2:$G$101,MATCH(TRIM(RIGHT(SUBSTITUTE(TRIM(I232&amp;"")," ",REPT(" ",60)),60)),코드표!$F$2:$F$101,0)),"⚠"&amp;TRIM(I232&amp;""))),"⚠"&amp;TRIM(I232&amp;""))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",TRIM(J232&amp;""))-1),코드표!$J$2:$J$101,0)),ISNUMBER(MATCH(TRIM(RIGHT(SUBSTITUTE(TRIM(J232&amp;"")," ",REPT(" ",60)),60)),코드표!$F$2:$F$101,0))),INDEX(코드표!$K$2:$K$101,MATCH(LEFT(TRIM(J232&amp;""),FIND(" ",TRIM(J232&amp;""))-1),코드표!$J$2:$J$101,0))&amp;" "&amp;INDEX(코드표!$G$2:$G$101,MATCH(TRIM(RIGHT(SUBSTITUTE(TRIM(J232&amp;"")," ",REPT(" ",60)),60)),코드표!$F$2:$F$101,0)),"⚠"&amp;TRIM(J232&amp;""))),"⚠"&amp;TRIM(J232&amp;""))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",TRIM(E233&amp;""))-1),코드표!$J$2:$J$101,0)),ISNUMBER(MATCH(TRIM(RIGHT(SUBSTITUTE(TRIM(E233&amp;"")," ",REPT(" ",60)),60)),코드표!$F$2:$F$101,0))),INDEX(코드표!$K$2:$K$101,MATCH(LEFT(TRIM(E233&amp;""),FIND(" ",TRIM(E233&amp;""))-1),코드표!$J$2:$J$101,0))&amp;" "&amp;INDEX(코드표!$G$2:$G$101,MATCH(TRIM(RIGHT(SUBSTITUTE(TRIM(E233&amp;"")," ",REPT(" ",60)),60)),코드표!$F$2:$F$101,0)),"⚠"&amp;TRIM(E233&amp;""))),"⚠"&amp;TRIM(E233&amp;""))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",TRIM(F233&amp;""))-1),코드표!$J$2:$J$101,0)),ISNUMBER(MATCH(TRIM(RIGHT(SUBSTITUTE(TRIM(F233&amp;"")," ",REPT(" ",60)),60)),코드표!$F$2:$F$101,0))),INDEX(코드표!$K$2:$K$101,MATCH(LEFT(TRIM(F233&amp;""),FIND(" ",TRIM(F233&amp;""))-1),코드표!$J$2:$J$101,0))&amp;" "&amp;INDEX(코드표!$G$2:$G$101,MATCH(TRIM(RIGHT(SUBSTITUTE(TRIM(F233&amp;"")," ",REPT(" ",60)),60)),코드표!$F$2:$F$101,0)),"⚠"&amp;TRIM(F233&amp;""))),"⚠"&amp;TRIM(F233&amp;""))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",TRIM(G233&amp;""))-1),코드표!$J$2:$J$101,0)),ISNUMBER(MATCH(TRIM(RIGHT(SUBSTITUTE(TRIM(G233&amp;"")," ",REPT(" ",60)),60)),코드표!$F$2:$F$101,0))),INDEX(코드표!$K$2:$K$101,MATCH(LEFT(TRIM(G233&amp;""),FIND(" ",TRIM(G233&amp;""))-1),코드표!$J$2:$J$101,0))&amp;" "&amp;INDEX(코드표!$G$2:$G$101,MATCH(TRIM(RIGHT(SUBSTITUTE(TRIM(G233&amp;"")," ",REPT(" ",60)),60)),코드표!$F$2:$F$101,0)),"⚠"&amp;TRIM(G233&amp;""))),"⚠"&amp;TRIM(G233&amp;""))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",TRIM(H233&amp;""))-1),코드표!$J$2:$J$101,0)),ISNUMBER(MATCH(TRIM(RIGHT(SUBSTITUTE(TRIM(H233&amp;"")," ",REPT(" ",60)),60)),코드표!$F$2:$F$101,0))),INDEX(코드표!$K$2:$K$101,MATCH(LEFT(TRIM(H233&amp;""),FIND(" ",TRIM(H233&amp;""))-1),코드표!$J$2:$J$101,0))&amp;" "&amp;INDEX(코드표!$G$2:$G$101,MATCH(TRIM(RIGHT(SUBSTITUTE(TRIM(H233&amp;"")," ",REPT(" ",60)),60)),코드표!$F$2:$F$101,0)),"⚠"&amp;TRIM(H233&amp;""))),"⚠"&amp;TRIM(H233&amp;""))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",TRIM(I233&amp;""))-1),코드표!$J$2:$J$101,0)),ISNUMBER(MATCH(TRIM(RIGHT(SUBSTITUTE(TRIM(I233&amp;"")," ",REPT(" ",60)),60)),코드표!$F$2:$F$101,0))),INDEX(코드표!$K$2:$K$101,MATCH(LEFT(TRIM(I233&amp;""),FIND(" ",TRIM(I233&amp;""))-1),코드표!$J$2:$J$101,0))&amp;" "&amp;INDEX(코드표!$G$2:$G$101,MATCH(TRIM(RIGHT(SUBSTITUTE(TRIM(I233&amp;"")," ",REPT(" ",60)),60)),코드표!$F$2:$F$101,0)),"⚠"&amp;TRIM(I233&amp;""))),"⚠"&amp;TRIM(I233&amp;""))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",TRIM(J233&amp;""))-1),코드표!$J$2:$J$101,0)),ISNUMBER(MATCH(TRIM(RIGHT(SUBSTITUTE(TRIM(J233&amp;"")," ",REPT(" ",60)),60)),코드표!$F$2:$F$101,0))),INDEX(코드표!$K$2:$K$101,MATCH(LEFT(TRIM(J233&amp;""),FIND(" ",TRIM(J233&amp;""))-1),코드표!$J$2:$J$101,0))&amp;" "&amp;INDEX(코드표!$G$2:$G$101,MATCH(TRIM(RIGHT(SUBSTITUTE(TRIM(J233&amp;"")," ",REPT(" ",60)),60)),코드표!$F$2:$F$101,0)),"⚠"&amp;TRIM(J233&amp;""))),"⚠"&amp;TRIM(J233&amp;""))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",TRIM(E234&amp;""))-1),코드표!$J$2:$J$101,0)),ISNUMBER(MATCH(TRIM(RIGHT(SUBSTITUTE(TRIM(E234&amp;"")," ",REPT(" ",60)),60)),코드표!$F$2:$F$101,0))),INDEX(코드표!$K$2:$K$101,MATCH(LEFT(TRIM(E234&amp;""),FIND(" ",TRIM(E234&amp;""))-1),코드표!$J$2:$J$101,0))&amp;" "&amp;INDEX(코드표!$G$2:$G$101,MATCH(TRIM(RIGHT(SUBSTITUTE(TRIM(E234&amp;"")," ",REPT(" ",60)),60)),코드표!$F$2:$F$101,0)),"⚠"&amp;TRIM(E234&amp;""))),"⚠"&amp;TRIM(E234&amp;""))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",TRIM(F234&amp;""))-1),코드표!$J$2:$J$101,0)),ISNUMBER(MATCH(TRIM(RIGHT(SUBSTITUTE(TRIM(F234&amp;"")," ",REPT(" ",60)),60)),코드표!$F$2:$F$101,0))),INDEX(코드표!$K$2:$K$101,MATCH(LEFT(TRIM(F234&amp;""),FIND(" ",TRIM(F234&amp;""))-1),코드표!$J$2:$J$101,0))&amp;" "&amp;INDEX(코드표!$G$2:$G$101,MATCH(TRIM(RIGHT(SUBSTITUTE(TRIM(F234&amp;"")," ",REPT(" ",60)),60)),코드표!$F$2:$F$101,0)),"⚠"&amp;TRIM(F234&amp;""))),"⚠"&amp;TRIM(F234&amp;""))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",TRIM(G234&amp;""))-1),코드표!$J$2:$J$101,0)),ISNUMBER(MATCH(TRIM(RIGHT(SUBSTITUTE(TRIM(G234&amp;"")," ",REPT(" ",60)),60)),코드표!$F$2:$F$101,0))),INDEX(코드표!$K$2:$K$101,MATCH(LEFT(TRIM(G234&amp;""),FIND(" ",TRIM(G234&amp;""))-1),코드표!$J$2:$J$101,0))&amp;" "&amp;INDEX(코드표!$G$2:$G$101,MATCH(TRIM(RIGHT(SUBSTITUTE(TRIM(G234&amp;"")," ",REPT(" ",60)),60)),코드표!$F$2:$F$101,0)),"⚠"&amp;TRIM(G234&amp;""))),"⚠"&amp;TRIM(G234&amp;""))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",TRIM(H234&amp;""))-1),코드표!$J$2:$J$101,0)),ISNUMBER(MATCH(TRIM(RIGHT(SUBSTITUTE(TRIM(H234&amp;"")," ",REPT(" ",60)),60)),코드표!$F$2:$F$101,0))),INDEX(코드표!$K$2:$K$101,MATCH(LEFT(TRIM(H234&amp;""),FIND(" ",TRIM(H234&amp;""))-1),코드표!$J$2:$J$101,0))&amp;" "&amp;INDEX(코드표!$G$2:$G$101,MATCH(TRIM(RIGHT(SUBSTITUTE(TRIM(H234&amp;"")," ",REPT(" ",60)),60)),코드표!$F$2:$F$101,0)),"⚠"&amp;TRIM(H234&amp;""))),"⚠"&amp;TRIM(H234&amp;""))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",TRIM(I234&amp;""))-1),코드표!$J$2:$J$101,0)),ISNUMBER(MATCH(TRIM(RIGHT(SUBSTITUTE(TRIM(I234&amp;"")," ",REPT(" ",60)),60)),코드표!$F$2:$F$101,0))),INDEX(코드표!$K$2:$K$101,MATCH(LEFT(TRIM(I234&amp;""),FIND(" ",TRIM(I234&amp;""))-1),코드표!$J$2:$J$101,0))&amp;" "&amp;INDEX(코드표!$G$2:$G$101,MATCH(TRIM(RIGHT(SUBSTITUTE(TRIM(I234&amp;"")," ",REPT(" ",60)),60)),코드표!$F$2:$F$101,0)),"⚠"&amp;TRIM(I234&amp;""))),"⚠"&amp;TRIM(I234&amp;""))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",TRIM(J234&amp;""))-1),코드표!$J$2:$J$101,0)),ISNUMBER(MATCH(TRIM(RIGHT(SUBSTITUTE(TRIM(J234&amp;"")," ",REPT(" ",60)),60)),코드표!$F$2:$F$101,0))),INDEX(코드표!$K$2:$K$101,MATCH(LEFT(TRIM(J234&amp;""),FIND(" ",TRIM(J234&amp;""))-1),코드표!$J$2:$J$101,0))&amp;" "&amp;INDEX(코드표!$G$2:$G$101,MATCH(TRIM(RIGHT(SUBSTITUTE(TRIM(J234&amp;"")," ",REPT(" ",60)),60)),코드표!$F$2:$F$101,0)),"⚠"&amp;TRIM(J234&amp;""))),"⚠"&amp;TRIM(J234&amp;""))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",TRIM(E235&amp;""))-1),코드표!$J$2:$J$101,0)),ISNUMBER(MATCH(TRIM(RIGHT(SUBSTITUTE(TRIM(E235&amp;"")," ",REPT(" ",60)),60)),코드표!$F$2:$F$101,0))),INDEX(코드표!$K$2:$K$101,MATCH(LEFT(TRIM(E235&amp;""),FIND(" ",TRIM(E235&amp;""))-1),코드표!$J$2:$J$101,0))&amp;" "&amp;INDEX(코드표!$G$2:$G$101,MATCH(TRIM(RIGHT(SUBSTITUTE(TRIM(E235&amp;"")," ",REPT(" ",60)),60)),코드표!$F$2:$F$101,0)),"⚠"&amp;TRIM(E235&amp;""))),"⚠"&amp;TRIM(E235&amp;""))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",TRIM(F235&amp;""))-1),코드표!$J$2:$J$101,0)),ISNUMBER(MATCH(TRIM(RIGHT(SUBSTITUTE(TRIM(F235&amp;"")," ",REPT(" ",60)),60)),코드표!$F$2:$F$101,0))),INDEX(코드표!$K$2:$K$101,MATCH(LEFT(TRIM(F235&amp;""),FIND(" ",TRIM(F235&amp;""))-1),코드표!$J$2:$J$101,0))&amp;" "&amp;INDEX(코드표!$G$2:$G$101,MATCH(TRIM(RIGHT(SUBSTITUTE(TRIM(F235&amp;"")," ",REPT(" ",60)),60)),코드표!$F$2:$F$101,0)),"⚠"&amp;TRIM(F235&amp;""))),"⚠"&amp;TRIM(F235&amp;""))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",TRIM(G235&amp;""))-1),코드표!$J$2:$J$101,0)),ISNUMBER(MATCH(TRIM(RIGHT(SUBSTITUTE(TRIM(G235&amp;"")," ",REPT(" ",60)),60)),코드표!$F$2:$F$101,0))),INDEX(코드표!$K$2:$K$101,MATCH(LEFT(TRIM(G235&amp;""),FIND(" ",TRIM(G235&amp;""))-1),코드표!$J$2:$J$101,0))&amp;" "&amp;INDEX(코드표!$G$2:$G$101,MATCH(TRIM(RIGHT(SUBSTITUTE(TRIM(G235&amp;"")," ",REPT(" ",60)),60)),코드표!$F$2:$F$101,0)),"⚠"&amp;TRIM(G235&amp;""))),"⚠"&amp;TRIM(G235&amp;""))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",TRIM(H235&amp;""))-1),코드표!$J$2:$J$101,0)),ISNUMBER(MATCH(TRIM(RIGHT(SUBSTITUTE(TRIM(H235&amp;"")," ",REPT(" ",60)),60)),코드표!$F$2:$F$101,0))),INDEX(코드표!$K$2:$K$101,MATCH(LEFT(TRIM(H235&amp;""),FIND(" ",TRIM(H235&amp;""))-1),코드표!$J$2:$J$101,0))&amp;" "&amp;INDEX(코드표!$G$2:$G$101,MATCH(TRIM(RIGHT(SUBSTITUTE(TRIM(H235&amp;"")," ",REPT(" ",60)),60)),코드표!$F$2:$F$101,0)),"⚠"&amp;TRIM(H235&amp;""))),"⚠"&amp;TRIM(H235&amp;""))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",TRIM(I235&amp;""))-1),코드표!$J$2:$J$101,0)),ISNUMBER(MATCH(TRIM(RIGHT(SUBSTITUTE(TRIM(I235&amp;"")," ",REPT(" ",60)),60)),코드표!$F$2:$F$101,0))),INDEX(코드표!$K$2:$K$101,MATCH(LEFT(TRIM(I235&amp;""),FIND(" ",TRIM(I235&amp;""))-1),코드표!$J$2:$J$101,0))&amp;" "&amp;INDEX(코드표!$G$2:$G$101,MATCH(TRIM(RIGHT(SUBSTITUTE(TRIM(I235&amp;"")," ",REPT(" ",60)),60)),코드표!$F$2:$F$101,0)),"⚠"&amp;TRIM(I235&amp;""))),"⚠"&amp;TRIM(I235&amp;""))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",TRIM(J235&amp;""))-1),코드표!$J$2:$J$101,0)),ISNUMBER(MATCH(TRIM(RIGHT(SUBSTITUTE(TRIM(J235&amp;"")," ",REPT(" ",60)),60)),코드표!$F$2:$F$101,0))),INDEX(코드표!$K$2:$K$101,MATCH(LEFT(TRIM(J235&amp;""),FIND(" ",TRIM(J235&amp;""))-1),코드표!$J$2:$J$101,0))&amp;" "&amp;INDEX(코드표!$G$2:$G$101,MATCH(TRIM(RIGHT(SUBSTITUTE(TRIM(J235&amp;"")," ",REPT(" ",60)),60)),코드표!$F$2:$F$101,0)),"⚠"&amp;TRIM(J235&amp;""))),"⚠"&amp;TRIM(J235&amp;""))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",TRIM(E236&amp;""))-1),코드표!$J$2:$J$101,0)),ISNUMBER(MATCH(TRIM(RIGHT(SUBSTITUTE(TRIM(E236&amp;"")," ",REPT(" ",60)),60)),코드표!$F$2:$F$101,0))),INDEX(코드표!$K$2:$K$101,MATCH(LEFT(TRIM(E236&amp;""),FIND(" ",TRIM(E236&amp;""))-1),코드표!$J$2:$J$101,0))&amp;" "&amp;INDEX(코드표!$G$2:$G$101,MATCH(TRIM(RIGHT(SUBSTITUTE(TRIM(E236&amp;"")," ",REPT(" ",60)),60)),코드표!$F$2:$F$101,0)),"⚠"&amp;TRIM(E236&amp;""))),"⚠"&amp;TRIM(E236&amp;""))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",TRIM(F236&amp;""))-1),코드표!$J$2:$J$101,0)),ISNUMBER(MATCH(TRIM(RIGHT(SUBSTITUTE(TRIM(F236&amp;"")," ",REPT(" ",60)),60)),코드표!$F$2:$F$101,0))),INDEX(코드표!$K$2:$K$101,MATCH(LEFT(TRIM(F236&amp;""),FIND(" ",TRIM(F236&amp;""))-1),코드표!$J$2:$J$101,0))&amp;" "&amp;INDEX(코드표!$G$2:$G$101,MATCH(TRIM(RIGHT(SUBSTITUTE(TRIM(F236&amp;"")," ",REPT(" ",60)),60)),코드표!$F$2:$F$101,0)),"⚠"&amp;TRIM(F236&amp;""))),"⚠"&amp;TRIM(F236&amp;""))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",TRIM(G236&amp;""))-1),코드표!$J$2:$J$101,0)),ISNUMBER(MATCH(TRIM(RIGHT(SUBSTITUTE(TRIM(G236&amp;"")," ",REPT(" ",60)),60)),코드표!$F$2:$F$101,0))),INDEX(코드표!$K$2:$K$101,MATCH(LEFT(TRIM(G236&amp;""),FIND(" ",TRIM(G236&amp;""))-1),코드표!$J$2:$J$101,0))&amp;" "&amp;INDEX(코드표!$G$2:$G$101,MATCH(TRIM(RIGHT(SUBSTITUTE(TRIM(G236&amp;"")," ",REPT(" ",60)),60)),코드표!$F$2:$F$101,0)),"⚠"&amp;TRIM(G236&amp;""))),"⚠"&amp;TRIM(G236&amp;""))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",TRIM(H236&amp;""))-1),코드표!$J$2:$J$101,0)),ISNUMBER(MATCH(TRIM(RIGHT(SUBSTITUTE(TRIM(H236&amp;"")," ",REPT(" ",60)),60)),코드표!$F$2:$F$101,0))),INDEX(코드표!$K$2:$K$101,MATCH(LEFT(TRIM(H236&amp;""),FIND(" ",TRIM(H236&amp;""))-1),코드표!$J$2:$J$101,0))&amp;" "&amp;INDEX(코드표!$G$2:$G$101,MATCH(TRIM(RIGHT(SUBSTITUTE(TRIM(H236&amp;"")," ",REPT(" ",60)),60)),코드표!$F$2:$F$101,0)),"⚠"&amp;TRIM(H236&amp;""))),"⚠"&amp;TRIM(H236&amp;""))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",TRIM(I236&amp;""))-1),코드표!$J$2:$J$101,0)),ISNUMBER(MATCH(TRIM(RIGHT(SUBSTITUTE(TRIM(I236&amp;"")," ",REPT(" ",60)),60)),코드표!$F$2:$F$101,0))),INDEX(코드표!$K$2:$K$101,MATCH(LEFT(TRIM(I236&amp;""),FIND(" ",TRIM(I236&amp;""))-1),코드표!$J$2:$J$101,0))&amp;" "&amp;INDEX(코드표!$G$2:$G$101,MATCH(TRIM(RIGHT(SUBSTITUTE(TRIM(I236&amp;"")," ",REPT(" ",60)),60)),코드표!$F$2:$F$101,0)),"⚠"&amp;TRIM(I236&amp;""))),"⚠"&amp;TRIM(I236&amp;""))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",TRIM(J236&amp;""))-1),코드표!$J$2:$J$101,0)),ISNUMBER(MATCH(TRIM(RIGHT(SUBSTITUTE(TRIM(J236&amp;"")," ",REPT(" ",60)),60)),코드표!$F$2:$F$101,0))),INDEX(코드표!$K$2:$K$101,MATCH(LEFT(TRIM(J236&amp;""),FIND(" ",TRIM(J236&amp;""))-1),코드표!$J$2:$J$101,0))&amp;" "&amp;INDEX(코드표!$G$2:$G$101,MATCH(TRIM(RIGHT(SUBSTITUTE(TRIM(J236&amp;"")," ",REPT(" ",60)),60)),코드표!$F$2:$F$101,0)),"⚠"&amp;TRIM(J236&amp;""))),"⚠"&amp;TRIM(J236&amp;""))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",TRIM(E237&amp;""))-1),코드표!$J$2:$J$101,0)),ISNUMBER(MATCH(TRIM(RIGHT(SUBSTITUTE(TRIM(E237&amp;"")," ",REPT(" ",60)),60)),코드표!$F$2:$F$101,0))),INDEX(코드표!$K$2:$K$101,MATCH(LEFT(TRIM(E237&amp;""),FIND(" ",TRIM(E237&amp;""))-1),코드표!$J$2:$J$101,0))&amp;" "&amp;INDEX(코드표!$G$2:$G$101,MATCH(TRIM(RIGHT(SUBSTITUTE(TRIM(E237&amp;"")," ",REPT(" ",60)),60)),코드표!$F$2:$F$101,0)),"⚠"&amp;TRIM(E237&amp;""))),"⚠"&amp;TRIM(E237&amp;""))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",TRIM(F237&amp;""))-1),코드표!$J$2:$J$101,0)),ISNUMBER(MATCH(TRIM(RIGHT(SUBSTITUTE(TRIM(F237&amp;"")," ",REPT(" ",60)),60)),코드표!$F$2:$F$101,0))),INDEX(코드표!$K$2:$K$101,MATCH(LEFT(TRIM(F237&amp;""),FIND(" ",TRIM(F237&amp;""))-1),코드표!$J$2:$J$101,0))&amp;" "&amp;INDEX(코드표!$G$2:$G$101,MATCH(TRIM(RIGHT(SUBSTITUTE(TRIM(F237&amp;"")," ",REPT(" ",60)),60)),코드표!$F$2:$F$101,0)),"⚠"&amp;TRIM(F237&amp;""))),"⚠"&amp;TRIM(F237&amp;""))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",TRIM(G237&amp;""))-1),코드표!$J$2:$J$101,0)),ISNUMBER(MATCH(TRIM(RIGHT(SUBSTITUTE(TRIM(G237&amp;"")," ",REPT(" ",60)),60)),코드표!$F$2:$F$101,0))),INDEX(코드표!$K$2:$K$101,MATCH(LEFT(TRIM(G237&amp;""),FIND(" ",TRIM(G237&amp;""))-1),코드표!$J$2:$J$101,0))&amp;" "&amp;INDEX(코드표!$G$2:$G$101,MATCH(TRIM(RIGHT(SUBSTITUTE(TRIM(G237&amp;"")," ",REPT(" ",60)),60)),코드표!$F$2:$F$101,0)),"⚠"&amp;TRIM(G237&amp;""))),"⚠"&amp;TRIM(G237&amp;""))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",TRIM(H237&amp;""))-1),코드표!$J$2:$J$101,0)),ISNUMBER(MATCH(TRIM(RIGHT(SUBSTITUTE(TRIM(H237&amp;"")," ",REPT(" ",60)),60)),코드표!$F$2:$F$101,0))),INDEX(코드표!$K$2:$K$101,MATCH(LEFT(TRIM(H237&amp;""),FIND(" ",TRIM(H237&amp;""))-1),코드표!$J$2:$J$101,0))&amp;" "&amp;INDEX(코드표!$G$2:$G$101,MATCH(TRIM(RIGHT(SUBSTITUTE(TRIM(H237&amp;"")," ",REPT(" ",60)),60)),코드표!$F$2:$F$101,0)),"⚠"&amp;TRIM(H237&amp;""))),"⚠"&amp;TRIM(H237&amp;""))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",TRIM(I237&amp;""))-1),코드표!$J$2:$J$101,0)),ISNUMBER(MATCH(TRIM(RIGHT(SUBSTITUTE(TRIM(I237&amp;"")," ",REPT(" ",60)),60)),코드표!$F$2:$F$101,0))),INDEX(코드표!$K$2:$K$101,MATCH(LEFT(TRIM(I237&amp;""),FIND(" ",TRIM(I237&amp;""))-1),코드표!$J$2:$J$101,0))&amp;" "&amp;INDEX(코드표!$G$2:$G$101,MATCH(TRIM(RIGHT(SUBSTITUTE(TRIM(I237&amp;"")," ",REPT(" ",60)),60)),코드표!$F$2:$F$101,0)),"⚠"&amp;TRIM(I237&amp;""))),"⚠"&amp;TRIM(I237&amp;""))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",TRIM(J237&amp;""))-1),코드표!$J$2:$J$101,0)),ISNUMBER(MATCH(TRIM(RIGHT(SUBSTITUTE(TRIM(J237&amp;"")," ",REPT(" ",60)),60)),코드표!$F$2:$F$101,0))),INDEX(코드표!$K$2:$K$101,MATCH(LEFT(TRIM(J237&amp;""),FIND(" ",TRIM(J237&amp;""))-1),코드표!$J$2:$J$101,0))&amp;" "&amp;INDEX(코드표!$G$2:$G$101,MATCH(TRIM(RIGHT(SUBSTITUTE(TRIM(J237&amp;"")," ",REPT(" ",60)),60)),코드표!$F$2:$F$101,0)),"⚠"&amp;TRIM(J237&amp;""))),"⚠"&amp;TRIM(J237&amp;""))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",TRIM(E238&amp;""))-1),코드표!$J$2:$J$101,0)),ISNUMBER(MATCH(TRIM(RIGHT(SUBSTITUTE(TRIM(E238&amp;"")," ",REPT(" ",60)),60)),코드표!$F$2:$F$101,0))),INDEX(코드표!$K$2:$K$101,MATCH(LEFT(TRIM(E238&amp;""),FIND(" ",TRIM(E238&amp;""))-1),코드표!$J$2:$J$101,0))&amp;" "&amp;INDEX(코드표!$G$2:$G$101,MATCH(TRIM(RIGHT(SUBSTITUTE(TRIM(E238&amp;"")," ",REPT(" ",60)),60)),코드표!$F$2:$F$101,0)),"⚠"&amp;TRIM(E238&amp;""))),"⚠"&amp;TRIM(E238&amp;""))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",TRIM(F238&amp;""))-1),코드표!$J$2:$J$101,0)),ISNUMBER(MATCH(TRIM(RIGHT(SUBSTITUTE(TRIM(F238&amp;"")," ",REPT(" ",60)),60)),코드표!$F$2:$F$101,0))),INDEX(코드표!$K$2:$K$101,MATCH(LEFT(TRIM(F238&amp;""),FIND(" ",TRIM(F238&amp;""))-1),코드표!$J$2:$J$101,0))&amp;" "&amp;INDEX(코드표!$G$2:$G$101,MATCH(TRIM(RIGHT(SUBSTITUTE(TRIM(F238&amp;"")," ",REPT(" ",60)),60)),코드표!$F$2:$F$101,0)),"⚠"&amp;TRIM(F238&amp;""))),"⚠"&amp;TRIM(F238&amp;""))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",TRIM(G238&amp;""))-1),코드표!$J$2:$J$101,0)),ISNUMBER(MATCH(TRIM(RIGHT(SUBSTITUTE(TRIM(G238&amp;"")," ",REPT(" ",60)),60)),코드표!$F$2:$F$101,0))),INDEX(코드표!$K$2:$K$101,MATCH(LEFT(TRIM(G238&amp;""),FIND(" ",TRIM(G238&amp;""))-1),코드표!$J$2:$J$101,0))&amp;" "&amp;INDEX(코드표!$G$2:$G$101,MATCH(TRIM(RIGHT(SUBSTITUTE(TRIM(G238&amp;"")," ",REPT(" ",60)),60)),코드표!$F$2:$F$101,0)),"⚠"&amp;TRIM(G238&amp;""))),"⚠"&amp;TRIM(G238&amp;""))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",TRIM(H238&amp;""))-1),코드표!$J$2:$J$101,0)),ISNUMBER(MATCH(TRIM(RIGHT(SUBSTITUTE(TRIM(H238&amp;"")," ",REPT(" ",60)),60)),코드표!$F$2:$F$101,0))),INDEX(코드표!$K$2:$K$101,MATCH(LEFT(TRIM(H238&amp;""),FIND(" ",TRIM(H238&amp;""))-1),코드표!$J$2:$J$101,0))&amp;" "&amp;INDEX(코드표!$G$2:$G$101,MATCH(TRIM(RIGHT(SUBSTITUTE(TRIM(H238&amp;"")," ",REPT(" ",60)),60)),코드표!$F$2:$F$101,0)),"⚠"&amp;TRIM(H238&amp;""))),"⚠"&amp;TRIM(H238&amp;""))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",TRIM(I238&amp;""))-1),코드표!$J$2:$J$101,0)),ISNUMBER(MATCH(TRIM(RIGHT(SUBSTITUTE(TRIM(I238&amp;"")," ",REPT(" ",60)),60)),코드표!$F$2:$F$101,0))),INDEX(코드표!$K$2:$K$101,MATCH(LEFT(TRIM(I238&amp;""),FIND(" ",TRIM(I238&amp;""))-1),코드표!$J$2:$J$101,0))&amp;" "&amp;INDEX(코드표!$G$2:$G$101,MATCH(TRIM(RIGHT(SUBSTITUTE(TRIM(I238&amp;"")," ",REPT(" ",60)),60)),코드표!$F$2:$F$101,0)),"⚠"&amp;TRIM(I238&amp;""))),"⚠"&amp;TRIM(I238&amp;""))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",TRIM(J238&amp;""))-1),코드표!$J$2:$J$101,0)),ISNUMBER(MATCH(TRIM(RIGHT(SUBSTITUTE(TRIM(J238&amp;"")," ",REPT(" ",60)),60)),코드표!$F$2:$F$101,0))),INDEX(코드표!$K$2:$K$101,MATCH(LEFT(TRIM(J238&amp;""),FIND(" ",TRIM(J238&amp;""))-1),코드표!$J$2:$J$101,0))&amp;" "&amp;INDEX(코드표!$G$2:$G$101,MATCH(TRIM(RIGHT(SUBSTITUTE(TRIM(J238&amp;"")," ",REPT(" ",60)),60)),코드표!$F$2:$F$101,0)),"⚠"&amp;TRIM(J238&amp;""))),"⚠"&amp;TRIM(J238&amp;""))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",TRIM(E239&amp;""))-1),코드표!$J$2:$J$101,0)),ISNUMBER(MATCH(TRIM(RIGHT(SUBSTITUTE(TRIM(E239&amp;"")," ",REPT(" ",60)),60)),코드표!$F$2:$F$101,0))),INDEX(코드표!$K$2:$K$101,MATCH(LEFT(TRIM(E239&amp;""),FIND(" ",TRIM(E239&amp;""))-1),코드표!$J$2:$J$101,0))&amp;" "&amp;INDEX(코드표!$G$2:$G$101,MATCH(TRIM(RIGHT(SUBSTITUTE(TRIM(E239&amp;"")," ",REPT(" ",60)),60)),코드표!$F$2:$F$101,0)),"⚠"&amp;TRIM(E239&amp;""))),"⚠"&amp;TRIM(E239&amp;""))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",TRIM(F239&amp;""))-1),코드표!$J$2:$J$101,0)),ISNUMBER(MATCH(TRIM(RIGHT(SUBSTITUTE(TRIM(F239&amp;"")," ",REPT(" ",60)),60)),코드표!$F$2:$F$101,0))),INDEX(코드표!$K$2:$K$101,MATCH(LEFT(TRIM(F239&amp;""),FIND(" ",TRIM(F239&amp;""))-1),코드표!$J$2:$J$101,0))&amp;" "&amp;INDEX(코드표!$G$2:$G$101,MATCH(TRIM(RIGHT(SUBSTITUTE(TRIM(F239&amp;"")," ",REPT(" ",60)),60)),코드표!$F$2:$F$101,0)),"⚠"&amp;TRIM(F239&amp;""))),"⚠"&amp;TRIM(F239&amp;""))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",TRIM(G239&amp;""))-1),코드표!$J$2:$J$101,0)),ISNUMBER(MATCH(TRIM(RIGHT(SUBSTITUTE(TRIM(G239&amp;"")," ",REPT(" ",60)),60)),코드표!$F$2:$F$101,0))),INDEX(코드표!$K$2:$K$101,MATCH(LEFT(TRIM(G239&amp;""),FIND(" ",TRIM(G239&amp;""))-1),코드표!$J$2:$J$101,0))&amp;" "&amp;INDEX(코드표!$G$2:$G$101,MATCH(TRIM(RIGHT(SUBSTITUTE(TRIM(G239&amp;"")," ",REPT(" ",60)),60)),코드표!$F$2:$F$101,0)),"⚠"&amp;TRIM(G239&amp;""))),"⚠"&amp;TRIM(G239&amp;""))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",TRIM(H239&amp;""))-1),코드표!$J$2:$J$101,0)),ISNUMBER(MATCH(TRIM(RIGHT(SUBSTITUTE(TRIM(H239&amp;"")," ",REPT(" ",60)),60)),코드표!$F$2:$F$101,0))),INDEX(코드표!$K$2:$K$101,MATCH(LEFT(TRIM(H239&amp;""),FIND(" ",TRIM(H239&amp;""))-1),코드표!$J$2:$J$101,0))&amp;" "&amp;INDEX(코드표!$G$2:$G$101,MATCH(TRIM(RIGHT(SUBSTITUTE(TRIM(H239&amp;"")," ",REPT(" ",60)),60)),코드표!$F$2:$F$101,0)),"⚠"&amp;TRIM(H239&amp;""))),"⚠"&amp;TRIM(H239&amp;""))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",TRIM(I239&amp;""))-1),코드표!$J$2:$J$101,0)),ISNUMBER(MATCH(TRIM(RIGHT(SUBSTITUTE(TRIM(I239&amp;"")," ",REPT(" ",60)),60)),코드표!$F$2:$F$101,0))),INDEX(코드표!$K$2:$K$101,MATCH(LEFT(TRIM(I239&amp;""),FIND(" ",TRIM(I239&amp;""))-1),코드표!$J$2:$J$101,0))&amp;" "&amp;INDEX(코드표!$G$2:$G$101,MATCH(TRIM(RIGHT(SUBSTITUTE(TRIM(I239&amp;"")," ",REPT(" ",60)),60)),코드표!$F$2:$F$101,0)),"⚠"&amp;TRIM(I239&amp;""))),"⚠"&amp;TRIM(I239&amp;""))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",TRIM(J239&amp;""))-1),코드표!$J$2:$J$101,0)),ISNUMBER(MATCH(TRIM(RIGHT(SUBSTITUTE(TRIM(J239&amp;"")," ",REPT(" ",60)),60)),코드표!$F$2:$F$101,0))),INDEX(코드표!$K$2:$K$101,MATCH(LEFT(TRIM(J239&amp;""),FIND(" ",TRIM(J239&amp;""))-1),코드표!$J$2:$J$101,0))&amp;" "&amp;INDEX(코드표!$G$2:$G$101,MATCH(TRIM(RIGHT(SUBSTITUTE(TRIM(J239&amp;"")," ",REPT(" ",60)),60)),코드표!$F$2:$F$101,0)),"⚠"&amp;TRIM(J239&amp;""))),"⚠"&amp;TRIM(J239&amp;""))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",TRIM(E240&amp;""))-1),코드표!$J$2:$J$101,0)),ISNUMBER(MATCH(TRIM(RIGHT(SUBSTITUTE(TRIM(E240&amp;"")," ",REPT(" ",60)),60)),코드표!$F$2:$F$101,0))),INDEX(코드표!$K$2:$K$101,MATCH(LEFT(TRIM(E240&amp;""),FIND(" ",TRIM(E240&amp;""))-1),코드표!$J$2:$J$101,0))&amp;" "&amp;INDEX(코드표!$G$2:$G$101,MATCH(TRIM(RIGHT(SUBSTITUTE(TRIM(E240&amp;"")," ",REPT(" ",60)),60)),코드표!$F$2:$F$101,0)),"⚠"&amp;TRIM(E240&amp;""))),"⚠"&amp;TRIM(E240&amp;""))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",TRIM(F240&amp;""))-1),코드표!$J$2:$J$101,0)),ISNUMBER(MATCH(TRIM(RIGHT(SUBSTITUTE(TRIM(F240&amp;"")," ",REPT(" ",60)),60)),코드표!$F$2:$F$101,0))),INDEX(코드표!$K$2:$K$101,MATCH(LEFT(TRIM(F240&amp;""),FIND(" ",TRIM(F240&amp;""))-1),코드표!$J$2:$J$101,0))&amp;" "&amp;INDEX(코드표!$G$2:$G$101,MATCH(TRIM(RIGHT(SUBSTITUTE(TRIM(F240&amp;"")," ",REPT(" ",60)),60)),코드표!$F$2:$F$101,0)),"⚠"&amp;TRIM(F240&amp;""))),"⚠"&amp;TRIM(F240&amp;""))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",TRIM(G240&amp;""))-1),코드표!$J$2:$J$101,0)),ISNUMBER(MATCH(TRIM(RIGHT(SUBSTITUTE(TRIM(G240&amp;"")," ",REPT(" ",60)),60)),코드표!$F$2:$F$101,0))),INDEX(코드표!$K$2:$K$101,MATCH(LEFT(TRIM(G240&amp;""),FIND(" ",TRIM(G240&amp;""))-1),코드표!$J$2:$J$101,0))&amp;" "&amp;INDEX(코드표!$G$2:$G$101,MATCH(TRIM(RIGHT(SUBSTITUTE(TRIM(G240&amp;"")," ",REPT(" ",60)),60)),코드표!$F$2:$F$101,0)),"⚠"&amp;TRIM(G240&amp;""))),"⚠"&amp;TRIM(G240&amp;""))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",TRIM(H240&amp;""))-1),코드표!$J$2:$J$101,0)),ISNUMBER(MATCH(TRIM(RIGHT(SUBSTITUTE(TRIM(H240&amp;"")," ",REPT(" ",60)),60)),코드표!$F$2:$F$101,0))),INDEX(코드표!$K$2:$K$101,MATCH(LEFT(TRIM(H240&amp;""),FIND(" ",TRIM(H240&amp;""))-1),코드표!$J$2:$J$101,0))&amp;" "&amp;INDEX(코드표!$G$2:$G$101,MATCH(TRIM(RIGHT(SUBSTITUTE(TRIM(H240&amp;"")," ",REPT(" ",60)),60)),코드표!$F$2:$F$101,0)),"⚠"&amp;TRIM(H240&amp;""))),"⚠"&amp;TRIM(H240&amp;""))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",TRIM(I240&amp;""))-1),코드표!$J$2:$J$101,0)),ISNUMBER(MATCH(TRIM(RIGHT(SUBSTITUTE(TRIM(I240&amp;"")," ",REPT(" ",60)),60)),코드표!$F$2:$F$101,0))),INDEX(코드표!$K$2:$K$101,MATCH(LEFT(TRIM(I240&amp;""),FIND(" ",TRIM(I240&amp;""))-1),코드표!$J$2:$J$101,0))&amp;" "&amp;INDEX(코드표!$G$2:$G$101,MATCH(TRIM(RIGHT(SUBSTITUTE(TRIM(I240&amp;"")," ",REPT(" ",60)),60)),코드표!$F$2:$F$101,0)),"⚠"&amp;TRIM(I240&amp;""))),"⚠"&amp;TRIM(I240&amp;""))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",TRIM(J240&amp;""))-1),코드표!$J$2:$J$101,0)),ISNUMBER(MATCH(TRIM(RIGHT(SUBSTITUTE(TRIM(J240&amp;"")," ",REPT(" ",60)),60)),코드표!$F$2:$F$101,0))),INDEX(코드표!$K$2:$K$101,MATCH(LEFT(TRIM(J240&amp;""),FIND(" ",TRIM(J240&amp;""))-1),코드표!$J$2:$J$101,0))&amp;" "&amp;INDEX(코드표!$G$2:$G$101,MATCH(TRIM(RIGHT(SUBSTITUTE(TRIM(J240&amp;"")," ",REPT(" ",60)),60)),코드표!$F$2:$F$101,0)),"⚠"&amp;TRIM(J240&amp;""))),"⚠"&amp;TRIM(J240&amp;""))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",TRIM(E241&amp;""))-1),코드표!$J$2:$J$101,0)),ISNUMBER(MATCH(TRIM(RIGHT(SUBSTITUTE(TRIM(E241&amp;"")," ",REPT(" ",60)),60)),코드표!$F$2:$F$101,0))),INDEX(코드표!$K$2:$K$101,MATCH(LEFT(TRIM(E241&amp;""),FIND(" ",TRIM(E241&amp;""))-1),코드표!$J$2:$J$101,0))&amp;" "&amp;INDEX(코드표!$G$2:$G$101,MATCH(TRIM(RIGHT(SUBSTITUTE(TRIM(E241&amp;"")," ",REPT(" ",60)),60)),코드표!$F$2:$F$101,0)),"⚠"&amp;TRIM(E241&amp;""))),"⚠"&amp;TRIM(E241&amp;""))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",TRIM(F241&amp;""))-1),코드표!$J$2:$J$101,0)),ISNUMBER(MATCH(TRIM(RIGHT(SUBSTITUTE(TRIM(F241&amp;"")," ",REPT(" ",60)),60)),코드표!$F$2:$F$101,0))),INDEX(코드표!$K$2:$K$101,MATCH(LEFT(TRIM(F241&amp;""),FIND(" ",TRIM(F241&amp;""))-1),코드표!$J$2:$J$101,0))&amp;" "&amp;INDEX(코드표!$G$2:$G$101,MATCH(TRIM(RIGHT(SUBSTITUTE(TRIM(F241&amp;"")," ",REPT(" ",60)),60)),코드표!$F$2:$F$101,0)),"⚠"&amp;TRIM(F241&amp;""))),"⚠"&amp;TRIM(F241&amp;""))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",TRIM(G241&amp;""))-1),코드표!$J$2:$J$101,0)),ISNUMBER(MATCH(TRIM(RIGHT(SUBSTITUTE(TRIM(G241&amp;"")," ",REPT(" ",60)),60)),코드표!$F$2:$F$101,0))),INDEX(코드표!$K$2:$K$101,MATCH(LEFT(TRIM(G241&amp;""),FIND(" ",TRIM(G241&amp;""))-1),코드표!$J$2:$J$101,0))&amp;" "&amp;INDEX(코드표!$G$2:$G$101,MATCH(TRIM(RIGHT(SUBSTITUTE(TRIM(G241&amp;"")," ",REPT(" ",60)),60)),코드표!$F$2:$F$101,0)),"⚠"&amp;TRIM(G241&amp;""))),"⚠"&amp;TRIM(G241&amp;""))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",TRIM(H241&amp;""))-1),코드표!$J$2:$J$101,0)),ISNUMBER(MATCH(TRIM(RIGHT(SUBSTITUTE(TRIM(H241&amp;"")," ",REPT(" ",60)),60)),코드표!$F$2:$F$101,0))),INDEX(코드표!$K$2:$K$101,MATCH(LEFT(TRIM(H241&amp;""),FIND(" ",TRIM(H241&amp;""))-1),코드표!$J$2:$J$101,0))&amp;" "&amp;INDEX(코드표!$G$2:$G$101,MATCH(TRIM(RIGHT(SUBSTITUTE(TRIM(H241&amp;"")," ",REPT(" ",60)),60)),코드표!$F$2:$F$101,0)),"⚠"&amp;TRIM(H241&amp;""))),"⚠"&amp;TRIM(H241&amp;""))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",TRIM(I241&amp;""))-1),코드표!$J$2:$J$101,0)),ISNUMBER(MATCH(TRIM(RIGHT(SUBSTITUTE(TRIM(I241&amp;"")," ",REPT(" ",60)),60)),코드표!$F$2:$F$101,0))),INDEX(코드표!$K$2:$K$101,MATCH(LEFT(TRIM(I241&amp;""),FIND(" ",TRIM(I241&amp;""))-1),코드표!$J$2:$J$101,0))&amp;" "&amp;INDEX(코드표!$G$2:$G$101,MATCH(TRIM(RIGHT(SUBSTITUTE(TRIM(I241&amp;"")," ",REPT(" ",60)),60)),코드표!$F$2:$F$101,0)),"⚠"&amp;TRIM(I241&amp;""))),"⚠"&amp;TRIM(I241&amp;""))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",TRIM(J241&amp;""))-1),코드표!$J$2:$J$101,0)),ISNUMBER(MATCH(TRIM(RIGHT(SUBSTITUTE(TRIM(J241&amp;"")," ",REPT(" ",60)),60)),코드표!$F$2:$F$101,0))),INDEX(코드표!$K$2:$K$101,MATCH(LEFT(TRIM(J241&amp;""),FIND(" ",TRIM(J241&amp;""))-1),코드표!$J$2:$J$101,0))&amp;" "&amp;INDEX(코드표!$G$2:$G$101,MATCH(TRIM(RIGHT(SUBSTITUTE(TRIM(J241&amp;"")," ",REPT(" ",60)),60)),코드표!$F$2:$F$101,0)),"⚠"&amp;TRIM(J241&amp;""))),"⚠"&amp;TRIM(J241&amp;""))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",TRIM(E242&amp;""))-1),코드표!$J$2:$J$101,0)),ISNUMBER(MATCH(TRIM(RIGHT(SUBSTITUTE(TRIM(E242&amp;"")," ",REPT(" ",60)),60)),코드표!$F$2:$F$101,0))),INDEX(코드표!$K$2:$K$101,MATCH(LEFT(TRIM(E242&amp;""),FIND(" ",TRIM(E242&amp;""))-1),코드표!$J$2:$J$101,0))&amp;" "&amp;INDEX(코드표!$G$2:$G$101,MATCH(TRIM(RIGHT(SUBSTITUTE(TRIM(E242&amp;"")," ",REPT(" ",60)),60)),코드표!$F$2:$F$101,0)),"⚠"&amp;TRIM(E242&amp;""))),"⚠"&amp;TRIM(E242&amp;""))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",TRIM(F242&amp;""))-1),코드표!$J$2:$J$101,0)),ISNUMBER(MATCH(TRIM(RIGHT(SUBSTITUTE(TRIM(F242&amp;"")," ",REPT(" ",60)),60)),코드표!$F$2:$F$101,0))),INDEX(코드표!$K$2:$K$101,MATCH(LEFT(TRIM(F242&amp;""),FIND(" ",TRIM(F242&amp;""))-1),코드표!$J$2:$J$101,0))&amp;" "&amp;INDEX(코드표!$G$2:$G$101,MATCH(TRIM(RIGHT(SUBSTITUTE(TRIM(F242&amp;"")," ",REPT(" ",60)),60)),코드표!$F$2:$F$101,0)),"⚠"&amp;TRIM(F242&amp;""))),"⚠"&amp;TRIM(F242&amp;""))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",TRIM(G242&amp;""))-1),코드표!$J$2:$J$101,0)),ISNUMBER(MATCH(TRIM(RIGHT(SUBSTITUTE(TRIM(G242&amp;"")," ",REPT(" ",60)),60)),코드표!$F$2:$F$101,0))),INDEX(코드표!$K$2:$K$101,MATCH(LEFT(TRIM(G242&amp;""),FIND(" ",TRIM(G242&amp;""))-1),코드표!$J$2:$J$101,0))&amp;" "&amp;INDEX(코드표!$G$2:$G$101,MATCH(TRIM(RIGHT(SUBSTITUTE(TRIM(G242&amp;"")," ",REPT(" ",60)),60)),코드표!$F$2:$F$101,0)),"⚠"&amp;TRIM(G242&amp;""))),"⚠"&amp;TRIM(G242&amp;""))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",TRIM(H242&amp;""))-1),코드표!$J$2:$J$101,0)),ISNUMBER(MATCH(TRIM(RIGHT(SUBSTITUTE(TRIM(H242&amp;"")," ",REPT(" ",60)),60)),코드표!$F$2:$F$101,0))),INDEX(코드표!$K$2:$K$101,MATCH(LEFT(TRIM(H242&amp;""),FIND(" ",TRIM(H242&amp;""))-1),코드표!$J$2:$J$101,0))&amp;" "&amp;INDEX(코드표!$G$2:$G$101,MATCH(TRIM(RIGHT(SUBSTITUTE(TRIM(H242&amp;"")," ",REPT(" ",60)),60)),코드표!$F$2:$F$101,0)),"⚠"&amp;TRIM(H242&amp;""))),"⚠"&amp;TRIM(H242&amp;""))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",TRIM(I242&amp;""))-1),코드표!$J$2:$J$101,0)),ISNUMBER(MATCH(TRIM(RIGHT(SUBSTITUTE(TRIM(I242&amp;"")," ",REPT(" ",60)),60)),코드표!$F$2:$F$101,0))),INDEX(코드표!$K$2:$K$101,MATCH(LEFT(TRIM(I242&amp;""),FIND(" ",TRIM(I242&amp;""))-1),코드표!$J$2:$J$101,0))&amp;" "&amp;INDEX(코드표!$G$2:$G$101,MATCH(TRIM(RIGHT(SUBSTITUTE(TRIM(I242&amp;"")," ",REPT(" ",60)),60)),코드표!$F$2:$F$101,0)),"⚠"&amp;TRIM(I242&amp;""))),"⚠"&amp;TRIM(I242&amp;""))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",TRIM(J242&amp;""))-1),코드표!$J$2:$J$101,0)),ISNUMBER(MATCH(TRIM(RIGHT(SUBSTITUTE(TRIM(J242&amp;"")," ",REPT(" ",60)),60)),코드표!$F$2:$F$101,0))),INDEX(코드표!$K$2:$K$101,MATCH(LEFT(TRIM(J242&amp;""),FIND(" ",TRIM(J242&amp;""))-1),코드표!$J$2:$J$101,0))&amp;" "&amp;INDEX(코드표!$G$2:$G$101,MATCH(TRIM(RIGHT(SUBSTITUTE(TRIM(J242&amp;"")," ",REPT(" ",60)),60)),코드표!$F$2:$F$101,0)),"⚠"&amp;TRIM(J242&amp;""))),"⚠"&amp;TRIM(J242&amp;""))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",TRIM(E243&amp;""))-1),코드표!$J$2:$J$101,0)),ISNUMBER(MATCH(TRIM(RIGHT(SUBSTITUTE(TRIM(E243&amp;"")," ",REPT(" ",60)),60)),코드표!$F$2:$F$101,0))),INDEX(코드표!$K$2:$K$101,MATCH(LEFT(TRIM(E243&amp;""),FIND(" ",TRIM(E243&amp;""))-1),코드표!$J$2:$J$101,0))&amp;" "&amp;INDEX(코드표!$G$2:$G$101,MATCH(TRIM(RIGHT(SUBSTITUTE(TRIM(E243&amp;"")," ",REPT(" ",60)),60)),코드표!$F$2:$F$101,0)),"⚠"&amp;TRIM(E243&amp;""))),"⚠"&amp;TRIM(E243&amp;""))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",TRIM(F243&amp;""))-1),코드표!$J$2:$J$101,0)),ISNUMBER(MATCH(TRIM(RIGHT(SUBSTITUTE(TRIM(F243&amp;"")," ",REPT(" ",60)),60)),코드표!$F$2:$F$101,0))),INDEX(코드표!$K$2:$K$101,MATCH(LEFT(TRIM(F243&amp;""),FIND(" ",TRIM(F243&amp;""))-1),코드표!$J$2:$J$101,0))&amp;" "&amp;INDEX(코드표!$G$2:$G$101,MATCH(TRIM(RIGHT(SUBSTITUTE(TRIM(F243&amp;"")," ",REPT(" ",60)),60)),코드표!$F$2:$F$101,0)),"⚠"&amp;TRIM(F243&amp;""))),"⚠"&amp;TRIM(F243&amp;""))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",TRIM(G243&amp;""))-1),코드표!$J$2:$J$101,0)),ISNUMBER(MATCH(TRIM(RIGHT(SUBSTITUTE(TRIM(G243&amp;"")," ",REPT(" ",60)),60)),코드표!$F$2:$F$101,0))),INDEX(코드표!$K$2:$K$101,MATCH(LEFT(TRIM(G243&amp;""),FIND(" ",TRIM(G243&amp;""))-1),코드표!$J$2:$J$101,0))&amp;" "&amp;INDEX(코드표!$G$2:$G$101,MATCH(TRIM(RIGHT(SUBSTITUTE(TRIM(G243&amp;"")," ",REPT(" ",60)),60)),코드표!$F$2:$F$101,0)),"⚠"&amp;TRIM(G243&amp;""))),"⚠"&amp;TRIM(G243&amp;""))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",TRIM(H243&amp;""))-1),코드표!$J$2:$J$101,0)),ISNUMBER(MATCH(TRIM(RIGHT(SUBSTITUTE(TRIM(H243&amp;"")," ",REPT(" ",60)),60)),코드표!$F$2:$F$101,0))),INDEX(코드표!$K$2:$K$101,MATCH(LEFT(TRIM(H243&amp;""),FIND(" ",TRIM(H243&amp;""))-1),코드표!$J$2:$J$101,0))&amp;" "&amp;INDEX(코드표!$G$2:$G$101,MATCH(TRIM(RIGHT(SUBSTITUTE(TRIM(H243&amp;"")," ",REPT(" ",60)),60)),코드표!$F$2:$F$101,0)),"⚠"&amp;TRIM(H243&amp;""))),"⚠"&amp;TRIM(H243&amp;""))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",TRIM(I243&amp;""))-1),코드표!$J$2:$J$101,0)),ISNUMBER(MATCH(TRIM(RIGHT(SUBSTITUTE(TRIM(I243&amp;"")," ",REPT(" ",60)),60)),코드표!$F$2:$F$101,0))),INDEX(코드표!$K$2:$K$101,MATCH(LEFT(TRIM(I243&amp;""),FIND(" ",TRIM(I243&amp;""))-1),코드표!$J$2:$J$101,0))&amp;" "&amp;INDEX(코드표!$G$2:$G$101,MATCH(TRIM(RIGHT(SUBSTITUTE(TRIM(I243&amp;"")," ",REPT(" ",60)),60)),코드표!$F$2:$F$101,0)),"⚠"&amp;TRIM(I243&amp;""))),"⚠"&amp;TRIM(I243&amp;""))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",TRIM(J243&amp;""))-1),코드표!$J$2:$J$101,0)),ISNUMBER(MATCH(TRIM(RIGHT(SUBSTITUTE(TRIM(J243&amp;"")," ",REPT(" ",60)),60)),코드표!$F$2:$F$101,0))),INDEX(코드표!$K$2:$K$101,MATCH(LEFT(TRIM(J243&amp;""),FIND(" ",TRIM(J243&amp;""))-1),코드표!$J$2:$J$101,0))&amp;" "&amp;INDEX(코드표!$G$2:$G$101,MATCH(TRIM(RIGHT(SUBSTITUTE(TRIM(J243&amp;"")," ",REPT(" ",60)),60)),코드표!$F$2:$F$101,0)),"⚠"&amp;TRIM(J243&amp;""))),"⚠"&amp;TRIM(J243&amp;""))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",TRIM(E244&amp;""))-1),코드표!$J$2:$J$101,0)),ISNUMBER(MATCH(TRIM(RIGHT(SUBSTITUTE(TRIM(E244&amp;"")," ",REPT(" ",60)),60)),코드표!$F$2:$F$101,0))),INDEX(코드표!$K$2:$K$101,MATCH(LEFT(TRIM(E244&amp;""),FIND(" ",TRIM(E244&amp;""))-1),코드표!$J$2:$J$101,0))&amp;" "&amp;INDEX(코드표!$G$2:$G$101,MATCH(TRIM(RIGHT(SUBSTITUTE(TRIM(E244&amp;"")," ",REPT(" ",60)),60)),코드표!$F$2:$F$101,0)),"⚠"&amp;TRIM(E244&amp;""))),"⚠"&amp;TRIM(E244&amp;""))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",TRIM(F244&amp;""))-1),코드표!$J$2:$J$101,0)),ISNUMBER(MATCH(TRIM(RIGHT(SUBSTITUTE(TRIM(F244&amp;"")," ",REPT(" ",60)),60)),코드표!$F$2:$F$101,0))),INDEX(코드표!$K$2:$K$101,MATCH(LEFT(TRIM(F244&amp;""),FIND(" ",TRIM(F244&amp;""))-1),코드표!$J$2:$J$101,0))&amp;" "&amp;INDEX(코드표!$G$2:$G$101,MATCH(TRIM(RIGHT(SUBSTITUTE(TRIM(F244&amp;"")," ",REPT(" ",60)),60)),코드표!$F$2:$F$101,0)),"⚠"&amp;TRIM(F244&amp;""))),"⚠"&amp;TRIM(F244&amp;""))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",TRIM(G244&amp;""))-1),코드표!$J$2:$J$101,0)),ISNUMBER(MATCH(TRIM(RIGHT(SUBSTITUTE(TRIM(G244&amp;"")," ",REPT(" ",60)),60)),코드표!$F$2:$F$101,0))),INDEX(코드표!$K$2:$K$101,MATCH(LEFT(TRIM(G244&amp;""),FIND(" ",TRIM(G244&amp;""))-1),코드표!$J$2:$J$101,0))&amp;" "&amp;INDEX(코드표!$G$2:$G$101,MATCH(TRIM(RIGHT(SUBSTITUTE(TRIM(G244&amp;"")," ",REPT(" ",60)),60)),코드표!$F$2:$F$101,0)),"⚠"&amp;TRIM(G244&amp;""))),"⚠"&amp;TRIM(G244&amp;""))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",TRIM(H244&amp;""))-1),코드표!$J$2:$J$101,0)),ISNUMBER(MATCH(TRIM(RIGHT(SUBSTITUTE(TRIM(H244&amp;"")," ",REPT(" ",60)),60)),코드표!$F$2:$F$101,0))),INDEX(코드표!$K$2:$K$101,MATCH(LEFT(TRIM(H244&amp;""),FIND(" ",TRIM(H244&amp;""))-1),코드표!$J$2:$J$101,0))&amp;" "&amp;INDEX(코드표!$G$2:$G$101,MATCH(TRIM(RIGHT(SUBSTITUTE(TRIM(H244&amp;"")," ",REPT(" ",60)),60)),코드표!$F$2:$F$101,0)),"⚠"&amp;TRIM(H244&amp;""))),"⚠"&amp;TRIM(H244&amp;""))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",TRIM(I244&amp;""))-1),코드표!$J$2:$J$101,0)),ISNUMBER(MATCH(TRIM(RIGHT(SUBSTITUTE(TRIM(I244&amp;"")," ",REPT(" ",60)),60)),코드표!$F$2:$F$101,0))),INDEX(코드표!$K$2:$K$101,MATCH(LEFT(TRIM(I244&amp;""),FIND(" ",TRIM(I244&amp;""))-1),코드표!$J$2:$J$101,0))&amp;" "&amp;INDEX(코드표!$G$2:$G$101,MATCH(TRIM(RIGHT(SUBSTITUTE(TRIM(I244&amp;"")," ",REPT(" ",60)),60)),코드표!$F$2:$F$101,0)),"⚠"&amp;TRIM(I244&amp;""))),"⚠"&amp;TRIM(I244&amp;""))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",TRIM(J244&amp;""))-1),코드표!$J$2:$J$101,0)),ISNUMBER(MATCH(TRIM(RIGHT(SUBSTITUTE(TRIM(J244&amp;"")," ",REPT(" ",60)),60)),코드표!$F$2:$F$101,0))),INDEX(코드표!$K$2:$K$101,MATCH(LEFT(TRIM(J244&amp;""),FIND(" ",TRIM(J244&amp;""))-1),코드표!$J$2:$J$101,0))&amp;" "&amp;INDEX(코드표!$G$2:$G$101,MATCH(TRIM(RIGHT(SUBSTITUTE(TRIM(J244&amp;"")," ",REPT(" ",60)),60)),코드표!$F$2:$F$101,0)),"⚠"&amp;TRIM(J244&amp;""))),"⚠"&amp;TRIM(J244&amp;""))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",TRIM(E245&amp;""))-1),코드표!$J$2:$J$101,0)),ISNUMBER(MATCH(TRIM(RIGHT(SUBSTITUTE(TRIM(E245&amp;"")," ",REPT(" ",60)),60)),코드표!$F$2:$F$101,0))),INDEX(코드표!$K$2:$K$101,MATCH(LEFT(TRIM(E245&amp;""),FIND(" ",TRIM(E245&amp;""))-1),코드표!$J$2:$J$101,0))&amp;" "&amp;INDEX(코드표!$G$2:$G$101,MATCH(TRIM(RIGHT(SUBSTITUTE(TRIM(E245&amp;"")," ",REPT(" ",60)),60)),코드표!$F$2:$F$101,0)),"⚠"&amp;TRIM(E245&amp;""))),"⚠"&amp;TRIM(E245&amp;""))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",TRIM(F245&amp;""))-1),코드표!$J$2:$J$101,0)),ISNUMBER(MATCH(TRIM(RIGHT(SUBSTITUTE(TRIM(F245&amp;"")," ",REPT(" ",60)),60)),코드표!$F$2:$F$101,0))),INDEX(코드표!$K$2:$K$101,MATCH(LEFT(TRIM(F245&amp;""),FIND(" ",TRIM(F245&amp;""))-1),코드표!$J$2:$J$101,0))&amp;" "&amp;INDEX(코드표!$G$2:$G$101,MATCH(TRIM(RIGHT(SUBSTITUTE(TRIM(F245&amp;"")," ",REPT(" ",60)),60)),코드표!$F$2:$F$101,0)),"⚠"&amp;TRIM(F245&amp;""))),"⚠"&amp;TRIM(F245&amp;""))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",TRIM(G245&amp;""))-1),코드표!$J$2:$J$101,0)),ISNUMBER(MATCH(TRIM(RIGHT(SUBSTITUTE(TRIM(G245&amp;"")," ",REPT(" ",60)),60)),코드표!$F$2:$F$101,0))),INDEX(코드표!$K$2:$K$101,MATCH(LEFT(TRIM(G245&amp;""),FIND(" ",TRIM(G245&amp;""))-1),코드표!$J$2:$J$101,0))&amp;" "&amp;INDEX(코드표!$G$2:$G$101,MATCH(TRIM(RIGHT(SUBSTITUTE(TRIM(G245&amp;"")," ",REPT(" ",60)),60)),코드표!$F$2:$F$101,0)),"⚠"&amp;TRIM(G245&amp;""))),"⚠"&amp;TRIM(G245&amp;""))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",TRIM(H245&amp;""))-1),코드표!$J$2:$J$101,0)),ISNUMBER(MATCH(TRIM(RIGHT(SUBSTITUTE(TRIM(H245&amp;"")," ",REPT(" ",60)),60)),코드표!$F$2:$F$101,0))),INDEX(코드표!$K$2:$K$101,MATCH(LEFT(TRIM(H245&amp;""),FIND(" ",TRIM(H245&amp;""))-1),코드표!$J$2:$J$101,0))&amp;" "&amp;INDEX(코드표!$G$2:$G$101,MATCH(TRIM(RIGHT(SUBSTITUTE(TRIM(H245&amp;"")," ",REPT(" ",60)),60)),코드표!$F$2:$F$101,0)),"⚠"&amp;TRIM(H245&amp;""))),"⚠"&amp;TRIM(H245&amp;""))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",TRIM(I245&amp;""))-1),코드표!$J$2:$J$101,0)),ISNUMBER(MATCH(TRIM(RIGHT(SUBSTITUTE(TRIM(I245&amp;"")," ",REPT(" ",60)),60)),코드표!$F$2:$F$101,0))),INDEX(코드표!$K$2:$K$101,MATCH(LEFT(TRIM(I245&amp;""),FIND(" ",TRIM(I245&amp;""))-1),코드표!$J$2:$J$101,0))&amp;" "&amp;INDEX(코드표!$G$2:$G$101,MATCH(TRIM(RIGHT(SUBSTITUTE(TRIM(I245&amp;"")," ",REPT(" ",60)),60)),코드표!$F$2:$F$101,0)),"⚠"&amp;TRIM(I245&amp;""))),"⚠"&amp;TRIM(I245&amp;""))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",TRIM(J245&amp;""))-1),코드표!$J$2:$J$101,0)),ISNUMBER(MATCH(TRIM(RIGHT(SUBSTITUTE(TRIM(J245&amp;"")," ",REPT(" ",60)),60)),코드표!$F$2:$F$101,0))),INDEX(코드표!$K$2:$K$101,MATCH(LEFT(TRIM(J245&amp;""),FIND(" ",TRIM(J245&amp;""))-1),코드표!$J$2:$J$101,0))&amp;" "&amp;INDEX(코드표!$G$2:$G$101,MATCH(TRIM(RIGHT(SUBSTITUTE(TRIM(J245&amp;"")," ",REPT(" ",60)),60)),코드표!$F$2:$F$101,0)),"⚠"&amp;TRIM(J245&amp;""))),"⚠"&amp;TRIM(J245&amp;""))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",TRIM(E246&amp;""))-1),코드표!$J$2:$J$101,0)),ISNUMBER(MATCH(TRIM(RIGHT(SUBSTITUTE(TRIM(E246&amp;"")," ",REPT(" ",60)),60)),코드표!$F$2:$F$101,0))),INDEX(코드표!$K$2:$K$101,MATCH(LEFT(TRIM(E246&amp;""),FIND(" ",TRIM(E246&amp;""))-1),코드표!$J$2:$J$101,0))&amp;" "&amp;INDEX(코드표!$G$2:$G$101,MATCH(TRIM(RIGHT(SUBSTITUTE(TRIM(E246&amp;"")," ",REPT(" ",60)),60)),코드표!$F$2:$F$101,0)),"⚠"&amp;TRIM(E246&amp;""))),"⚠"&amp;TRIM(E246&amp;""))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",TRIM(F246&amp;""))-1),코드표!$J$2:$J$101,0)),ISNUMBER(MATCH(TRIM(RIGHT(SUBSTITUTE(TRIM(F246&amp;"")," ",REPT(" ",60)),60)),코드표!$F$2:$F$101,0))),INDEX(코드표!$K$2:$K$101,MATCH(LEFT(TRIM(F246&amp;""),FIND(" ",TRIM(F246&amp;""))-1),코드표!$J$2:$J$101,0))&amp;" "&amp;INDEX(코드표!$G$2:$G$101,MATCH(TRIM(RIGHT(SUBSTITUTE(TRIM(F246&amp;"")," ",REPT(" ",60)),60)),코드표!$F$2:$F$101,0)),"⚠"&amp;TRIM(F246&amp;""))),"⚠"&amp;TRIM(F246&amp;""))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",TRIM(G246&amp;""))-1),코드표!$J$2:$J$101,0)),ISNUMBER(MATCH(TRIM(RIGHT(SUBSTITUTE(TRIM(G246&amp;"")," ",REPT(" ",60)),60)),코드표!$F$2:$F$101,0))),INDEX(코드표!$K$2:$K$101,MATCH(LEFT(TRIM(G246&amp;""),FIND(" ",TRIM(G246&amp;""))-1),코드표!$J$2:$J$101,0))&amp;" "&amp;INDEX(코드표!$G$2:$G$101,MATCH(TRIM(RIGHT(SUBSTITUTE(TRIM(G246&amp;"")," ",REPT(" ",60)),60)),코드표!$F$2:$F$101,0)),"⚠"&amp;TRIM(G246&amp;""))),"⚠"&amp;TRIM(G246&amp;""))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",TRIM(H246&amp;""))-1),코드표!$J$2:$J$101,0)),ISNUMBER(MATCH(TRIM(RIGHT(SUBSTITUTE(TRIM(H246&amp;"")," ",REPT(" ",60)),60)),코드표!$F$2:$F$101,0))),INDEX(코드표!$K$2:$K$101,MATCH(LEFT(TRIM(H246&amp;""),FIND(" ",TRIM(H246&amp;""))-1),코드표!$J$2:$J$101,0))&amp;" "&amp;INDEX(코드표!$G$2:$G$101,MATCH(TRIM(RIGHT(SUBSTITUTE(TRIM(H246&amp;"")," ",REPT(" ",60)),60)),코드표!$F$2:$F$101,0)),"⚠"&amp;TRIM(H246&amp;""))),"⚠"&amp;TRIM(H246&amp;""))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",TRIM(I246&amp;""))-1),코드표!$J$2:$J$101,0)),ISNUMBER(MATCH(TRIM(RIGHT(SUBSTITUTE(TRIM(I246&amp;"")," ",REPT(" ",60)),60)),코드표!$F$2:$F$101,0))),INDEX(코드표!$K$2:$K$101,MATCH(LEFT(TRIM(I246&amp;""),FIND(" ",TRIM(I246&amp;""))-1),코드표!$J$2:$J$101,0))&amp;" "&amp;INDEX(코드표!$G$2:$G$101,MATCH(TRIM(RIGHT(SUBSTITUTE(TRIM(I246&amp;"")," ",REPT(" ",60)),60)),코드표!$F$2:$F$101,0)),"⚠"&amp;TRIM(I246&amp;""))),"⚠"&amp;TRIM(I246&amp;""))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",TRIM(J246&amp;""))-1),코드표!$J$2:$J$101,0)),ISNUMBER(MATCH(TRIM(RIGHT(SUBSTITUTE(TRIM(J246&amp;"")," ",REPT(" ",60)),60)),코드표!$F$2:$F$101,0))),INDEX(코드표!$K$2:$K$101,MATCH(LEFT(TRIM(J246&amp;""),FIND(" ",TRIM(J246&amp;""))-1),코드표!$J$2:$J$101,0))&amp;" "&amp;INDEX(코드표!$G$2:$G$101,MATCH(TRIM(RIGHT(SUBSTITUTE(TRIM(J246&amp;"")," ",REPT(" ",60)),60)),코드표!$F$2:$F$101,0)),"⚠"&amp;TRIM(J246&amp;""))),"⚠"&amp;TRIM(J246&amp;""))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",TRIM(E247&amp;""))-1),코드표!$J$2:$J$101,0)),ISNUMBER(MATCH(TRIM(RIGHT(SUBSTITUTE(TRIM(E247&amp;"")," ",REPT(" ",60)),60)),코드표!$F$2:$F$101,0))),INDEX(코드표!$K$2:$K$101,MATCH(LEFT(TRIM(E247&amp;""),FIND(" ",TRIM(E247&amp;""))-1),코드표!$J$2:$J$101,0))&amp;" "&amp;INDEX(코드표!$G$2:$G$101,MATCH(TRIM(RIGHT(SUBSTITUTE(TRIM(E247&amp;"")," ",REPT(" ",60)),60)),코드표!$F$2:$F$101,0)),"⚠"&amp;TRIM(E247&amp;""))),"⚠"&amp;TRIM(E247&amp;""))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",TRIM(F247&amp;""))-1),코드표!$J$2:$J$101,0)),ISNUMBER(MATCH(TRIM(RIGHT(SUBSTITUTE(TRIM(F247&amp;"")," ",REPT(" ",60)),60)),코드표!$F$2:$F$101,0))),INDEX(코드표!$K$2:$K$101,MATCH(LEFT(TRIM(F247&amp;""),FIND(" ",TRIM(F247&amp;""))-1),코드표!$J$2:$J$101,0))&amp;" "&amp;INDEX(코드표!$G$2:$G$101,MATCH(TRIM(RIGHT(SUBSTITUTE(TRIM(F247&amp;"")," ",REPT(" ",60)),60)),코드표!$F$2:$F$101,0)),"⚠"&amp;TRIM(F247&amp;""))),"⚠"&amp;TRIM(F247&amp;""))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",TRIM(G247&amp;""))-1),코드표!$J$2:$J$101,0)),ISNUMBER(MATCH(TRIM(RIGHT(SUBSTITUTE(TRIM(G247&amp;"")," ",REPT(" ",60)),60)),코드표!$F$2:$F$101,0))),INDEX(코드표!$K$2:$K$101,MATCH(LEFT(TRIM(G247&amp;""),FIND(" ",TRIM(G247&amp;""))-1),코드표!$J$2:$J$101,0))&amp;" "&amp;INDEX(코드표!$G$2:$G$101,MATCH(TRIM(RIGHT(SUBSTITUTE(TRIM(G247&amp;"")," ",REPT(" ",60)),60)),코드표!$F$2:$F$101,0)),"⚠"&amp;TRIM(G247&amp;""))),"⚠"&amp;TRIM(G247&amp;""))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",TRIM(H247&amp;""))-1),코드표!$J$2:$J$101,0)),ISNUMBER(MATCH(TRIM(RIGHT(SUBSTITUTE(TRIM(H247&amp;"")," ",REPT(" ",60)),60)),코드표!$F$2:$F$101,0))),INDEX(코드표!$K$2:$K$101,MATCH(LEFT(TRIM(H247&amp;""),FIND(" ",TRIM(H247&amp;""))-1),코드표!$J$2:$J$101,0))&amp;" "&amp;INDEX(코드표!$G$2:$G$101,MATCH(TRIM(RIGHT(SUBSTITUTE(TRIM(H247&amp;"")," ",REPT(" ",60)),60)),코드표!$F$2:$F$101,0)),"⚠"&amp;TRIM(H247&amp;""))),"⚠"&amp;TRIM(H247&amp;""))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",TRIM(I247&amp;""))-1),코드표!$J$2:$J$101,0)),ISNUMBER(MATCH(TRIM(RIGHT(SUBSTITUTE(TRIM(I247&amp;"")," ",REPT(" ",60)),60)),코드표!$F$2:$F$101,0))),INDEX(코드표!$K$2:$K$101,MATCH(LEFT(TRIM(I247&amp;""),FIND(" ",TRIM(I247&amp;""))-1),코드표!$J$2:$J$101,0))&amp;" "&amp;INDEX(코드표!$G$2:$G$101,MATCH(TRIM(RIGHT(SUBSTITUTE(TRIM(I247&amp;"")," ",REPT(" ",60)),60)),코드표!$F$2:$F$101,0)),"⚠"&amp;TRIM(I247&amp;""))),"⚠"&amp;TRIM(I247&amp;""))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",TRIM(J247&amp;""))-1),코드표!$J$2:$J$101,0)),ISNUMBER(MATCH(TRIM(RIGHT(SUBSTITUTE(TRIM(J247&amp;"")," ",REPT(" ",60)),60)),코드표!$F$2:$F$101,0))),INDEX(코드표!$K$2:$K$101,MATCH(LEFT(TRIM(J247&amp;""),FIND(" ",TRIM(J247&amp;""))-1),코드표!$J$2:$J$101,0))&amp;" "&amp;INDEX(코드표!$G$2:$G$101,MATCH(TRIM(RIGHT(SUBSTITUTE(TRIM(J247&amp;"")," ",REPT(" ",60)),60)),코드표!$F$2:$F$101,0)),"⚠"&amp;TRIM(J247&amp;""))),"⚠"&amp;TRIM(J247&amp;""))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",TRIM(E248&amp;""))-1),코드표!$J$2:$J$101,0)),ISNUMBER(MATCH(TRIM(RIGHT(SUBSTITUTE(TRIM(E248&amp;"")," ",REPT(" ",60)),60)),코드표!$F$2:$F$101,0))),INDEX(코드표!$K$2:$K$101,MATCH(LEFT(TRIM(E248&amp;""),FIND(" ",TRIM(E248&amp;""))-1),코드표!$J$2:$J$101,0))&amp;" "&amp;INDEX(코드표!$G$2:$G$101,MATCH(TRIM(RIGHT(SUBSTITUTE(TRIM(E248&amp;"")," ",REPT(" ",60)),60)),코드표!$F$2:$F$101,0)),"⚠"&amp;TRIM(E248&amp;""))),"⚠"&amp;TRIM(E248&amp;""))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",TRIM(F248&amp;""))-1),코드표!$J$2:$J$101,0)),ISNUMBER(MATCH(TRIM(RIGHT(SUBSTITUTE(TRIM(F248&amp;"")," ",REPT(" ",60)),60)),코드표!$F$2:$F$101,0))),INDEX(코드표!$K$2:$K$101,MATCH(LEFT(TRIM(F248&amp;""),FIND(" ",TRIM(F248&amp;""))-1),코드표!$J$2:$J$101,0))&amp;" "&amp;INDEX(코드표!$G$2:$G$101,MATCH(TRIM(RIGHT(SUBSTITUTE(TRIM(F248&amp;"")," ",REPT(" ",60)),60)),코드표!$F$2:$F$101,0)),"⚠"&amp;TRIM(F248&amp;""))),"⚠"&amp;TRIM(F248&amp;""))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",TRIM(G248&amp;""))-1),코드표!$J$2:$J$101,0)),ISNUMBER(MATCH(TRIM(RIGHT(SUBSTITUTE(TRIM(G248&amp;"")," ",REPT(" ",60)),60)),코드표!$F$2:$F$101,0))),INDEX(코드표!$K$2:$K$101,MATCH(LEFT(TRIM(G248&amp;""),FIND(" ",TRIM(G248&amp;""))-1),코드표!$J$2:$J$101,0))&amp;" "&amp;INDEX(코드표!$G$2:$G$101,MATCH(TRIM(RIGHT(SUBSTITUTE(TRIM(G248&amp;"")," ",REPT(" ",60)),60)),코드표!$F$2:$F$101,0)),"⚠"&amp;TRIM(G248&amp;""))),"⚠"&amp;TRIM(G248&amp;""))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",TRIM(H248&amp;""))-1),코드표!$J$2:$J$101,0)),ISNUMBER(MATCH(TRIM(RIGHT(SUBSTITUTE(TRIM(H248&amp;"")," ",REPT(" ",60)),60)),코드표!$F$2:$F$101,0))),INDEX(코드표!$K$2:$K$101,MATCH(LEFT(TRIM(H248&amp;""),FIND(" ",TRIM(H248&amp;""))-1),코드표!$J$2:$J$101,0))&amp;" "&amp;INDEX(코드표!$G$2:$G$101,MATCH(TRIM(RIGHT(SUBSTITUTE(TRIM(H248&amp;"")," ",REPT(" ",60)),60)),코드표!$F$2:$F$101,0)),"⚠"&amp;TRIM(H248&amp;""))),"⚠"&amp;TRIM(H248&amp;""))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",TRIM(I248&amp;""))-1),코드표!$J$2:$J$101,0)),ISNUMBER(MATCH(TRIM(RIGHT(SUBSTITUTE(TRIM(I248&amp;"")," ",REPT(" ",60)),60)),코드표!$F$2:$F$101,0))),INDEX(코드표!$K$2:$K$101,MATCH(LEFT(TRIM(I248&amp;""),FIND(" ",TRIM(I248&amp;""))-1),코드표!$J$2:$J$101,0))&amp;" "&amp;INDEX(코드표!$G$2:$G$101,MATCH(TRIM(RIGHT(SUBSTITUTE(TRIM(I248&amp;"")," ",REPT(" ",60)),60)),코드표!$F$2:$F$101,0)),"⚠"&amp;TRIM(I248&amp;""))),"⚠"&amp;TRIM(I248&amp;""))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",TRIM(J248&amp;""))-1),코드표!$J$2:$J$101,0)),ISNUMBER(MATCH(TRIM(RIGHT(SUBSTITUTE(TRIM(J248&amp;"")," ",REPT(" ",60)),60)),코드표!$F$2:$F$101,0))),INDEX(코드표!$K$2:$K$101,MATCH(LEFT(TRIM(J248&amp;""),FIND(" ",TRIM(J248&amp;""))-1),코드표!$J$2:$J$101,0))&amp;" "&amp;INDEX(코드표!$G$2:$G$101,MATCH(TRIM(RIGHT(SUBSTITUTE(TRIM(J248&amp;"")," ",REPT(" ",60)),60)),코드표!$F$2:$F$101,0)),"⚠"&amp;TRIM(J248&amp;""))),"⚠"&amp;TRIM(J248&amp;""))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",TRIM(E249&amp;""))-1),코드표!$J$2:$J$101,0)),ISNUMBER(MATCH(TRIM(RIGHT(SUBSTITUTE(TRIM(E249&amp;"")," ",REPT(" ",60)),60)),코드표!$F$2:$F$101,0))),INDEX(코드표!$K$2:$K$101,MATCH(LEFT(TRIM(E249&amp;""),FIND(" ",TRIM(E249&amp;""))-1),코드표!$J$2:$J$101,0))&amp;" "&amp;INDEX(코드표!$G$2:$G$101,MATCH(TRIM(RIGHT(SUBSTITUTE(TRIM(E249&amp;"")," ",REPT(" ",60)),60)),코드표!$F$2:$F$101,0)),"⚠"&amp;TRIM(E249&amp;""))),"⚠"&amp;TRIM(E249&amp;""))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",TRIM(F249&amp;""))-1),코드표!$J$2:$J$101,0)),ISNUMBER(MATCH(TRIM(RIGHT(SUBSTITUTE(TRIM(F249&amp;"")," ",REPT(" ",60)),60)),코드표!$F$2:$F$101,0))),INDEX(코드표!$K$2:$K$101,MATCH(LEFT(TRIM(F249&amp;""),FIND(" ",TRIM(F249&amp;""))-1),코드표!$J$2:$J$101,0))&amp;" "&amp;INDEX(코드표!$G$2:$G$101,MATCH(TRIM(RIGHT(SUBSTITUTE(TRIM(F249&amp;"")," ",REPT(" ",60)),60)),코드표!$F$2:$F$101,0)),"⚠"&amp;TRIM(F249&amp;""))),"⚠"&amp;TRIM(F249&amp;""))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",TRIM(G249&amp;""))-1),코드표!$J$2:$J$101,0)),ISNUMBER(MATCH(TRIM(RIGHT(SUBSTITUTE(TRIM(G249&amp;"")," ",REPT(" ",60)),60)),코드표!$F$2:$F$101,0))),INDEX(코드표!$K$2:$K$101,MATCH(LEFT(TRIM(G249&amp;""),FIND(" ",TRIM(G249&amp;""))-1),코드표!$J$2:$J$101,0))&amp;" "&amp;INDEX(코드표!$G$2:$G$101,MATCH(TRIM(RIGHT(SUBSTITUTE(TRIM(G249&amp;"")," ",REPT(" ",60)),60)),코드표!$F$2:$F$101,0)),"⚠"&amp;TRIM(G249&amp;""))),"⚠"&amp;TRIM(G249&amp;""))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",TRIM(H249&amp;""))-1),코드표!$J$2:$J$101,0)),ISNUMBER(MATCH(TRIM(RIGHT(SUBSTITUTE(TRIM(H249&amp;"")," ",REPT(" ",60)),60)),코드표!$F$2:$F$101,0))),INDEX(코드표!$K$2:$K$101,MATCH(LEFT(TRIM(H249&amp;""),FIND(" ",TRIM(H249&amp;""))-1),코드표!$J$2:$J$101,0))&amp;" "&amp;INDEX(코드표!$G$2:$G$101,MATCH(TRIM(RIGHT(SUBSTITUTE(TRIM(H249&amp;"")," ",REPT(" ",60)),60)),코드표!$F$2:$F$101,0)),"⚠"&amp;TRIM(H249&amp;""))),"⚠"&amp;TRIM(H249&amp;""))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",TRIM(I249&amp;""))-1),코드표!$J$2:$J$101,0)),ISNUMBER(MATCH(TRIM(RIGHT(SUBSTITUTE(TRIM(I249&amp;"")," ",REPT(" ",60)),60)),코드표!$F$2:$F$101,0))),INDEX(코드표!$K$2:$K$101,MATCH(LEFT(TRIM(I249&amp;""),FIND(" ",TRIM(I249&amp;""))-1),코드표!$J$2:$J$101,0))&amp;" "&amp;INDEX(코드표!$G$2:$G$101,MATCH(TRIM(RIGHT(SUBSTITUTE(TRIM(I249&amp;"")," ",REPT(" ",60)),60)),코드표!$F$2:$F$101,0)),"⚠"&amp;TRIM(I249&amp;""))),"⚠"&amp;TRIM(I249&amp;""))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",TRIM(J249&amp;""))-1),코드표!$J$2:$J$101,0)),ISNUMBER(MATCH(TRIM(RIGHT(SUBSTITUTE(TRIM(J249&amp;"")," ",REPT(" ",60)),60)),코드표!$F$2:$F$101,0))),INDEX(코드표!$K$2:$K$101,MATCH(LEFT(TRIM(J249&amp;""),FIND(" ",TRIM(J249&amp;""))-1),코드표!$J$2:$J$101,0))&amp;" "&amp;INDEX(코드표!$G$2:$G$101,MATCH(TRIM(RIGHT(SUBSTITUTE(TRIM(J249&amp;"")," ",REPT(" ",60)),60)),코드표!$F$2:$F$101,0)),"⚠"&amp;TRIM(J249&amp;""))),"⚠"&amp;TRIM(J249&amp;""))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",TRIM(E250&amp;""))-1),코드표!$J$2:$J$101,0)),ISNUMBER(MATCH(TRIM(RIGHT(SUBSTITUTE(TRIM(E250&amp;"")," ",REPT(" ",60)),60)),코드표!$F$2:$F$101,0))),INDEX(코드표!$K$2:$K$101,MATCH(LEFT(TRIM(E250&amp;""),FIND(" ",TRIM(E250&amp;""))-1),코드표!$J$2:$J$101,0))&amp;" "&amp;INDEX(코드표!$G$2:$G$101,MATCH(TRIM(RIGHT(SUBSTITUTE(TRIM(E250&amp;"")," ",REPT(" ",60)),60)),코드표!$F$2:$F$101,0)),"⚠"&amp;TRIM(E250&amp;""))),"⚠"&amp;TRIM(E250&amp;""))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",TRIM(F250&amp;""))-1),코드표!$J$2:$J$101,0)),ISNUMBER(MATCH(TRIM(RIGHT(SUBSTITUTE(TRIM(F250&amp;"")," ",REPT(" ",60)),60)),코드표!$F$2:$F$101,0))),INDEX(코드표!$K$2:$K$101,MATCH(LEFT(TRIM(F250&amp;""),FIND(" ",TRIM(F250&amp;""))-1),코드표!$J$2:$J$101,0))&amp;" "&amp;INDEX(코드표!$G$2:$G$101,MATCH(TRIM(RIGHT(SUBSTITUTE(TRIM(F250&amp;"")," ",REPT(" ",60)),60)),코드표!$F$2:$F$101,0)),"⚠"&amp;TRIM(F250&amp;""))),"⚠"&amp;TRIM(F250&amp;""))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",TRIM(G250&amp;""))-1),코드표!$J$2:$J$101,0)),ISNUMBER(MATCH(TRIM(RIGHT(SUBSTITUTE(TRIM(G250&amp;"")," ",REPT(" ",60)),60)),코드표!$F$2:$F$101,0))),INDEX(코드표!$K$2:$K$101,MATCH(LEFT(TRIM(G250&amp;""),FIND(" ",TRIM(G250&amp;""))-1),코드표!$J$2:$J$101,0))&amp;" "&amp;INDEX(코드표!$G$2:$G$101,MATCH(TRIM(RIGHT(SUBSTITUTE(TRIM(G250&amp;"")," ",REPT(" ",60)),60)),코드표!$F$2:$F$101,0)),"⚠"&amp;TRIM(G250&amp;""))),"⚠"&amp;TRIM(G250&amp;""))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",TRIM(H250&amp;""))-1),코드표!$J$2:$J$101,0)),ISNUMBER(MATCH(TRIM(RIGHT(SUBSTITUTE(TRIM(H250&amp;"")," ",REPT(" ",60)),60)),코드표!$F$2:$F$101,0))),INDEX(코드표!$K$2:$K$101,MATCH(LEFT(TRIM(H250&amp;""),FIND(" ",TRIM(H250&amp;""))-1),코드표!$J$2:$J$101,0))&amp;" "&amp;INDEX(코드표!$G$2:$G$101,MATCH(TRIM(RIGHT(SUBSTITUTE(TRIM(H250&amp;"")," ",REPT(" ",60)),60)),코드표!$F$2:$F$101,0)),"⚠"&amp;TRIM(H250&amp;""))),"⚠"&amp;TRIM(H250&amp;""))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",TRIM(I250&amp;""))-1),코드표!$J$2:$J$101,0)),ISNUMBER(MATCH(TRIM(RIGHT(SUBSTITUTE(TRIM(I250&amp;"")," ",REPT(" ",60)),60)),코드표!$F$2:$F$101,0))),INDEX(코드표!$K$2:$K$101,MATCH(LEFT(TRIM(I250&amp;""),FIND(" ",TRIM(I250&amp;""))-1),코드표!$J$2:$J$101,0))&amp;" "&amp;INDEX(코드표!$G$2:$G$101,MATCH(TRIM(RIGHT(SUBSTITUTE(TRIM(I250&amp;"")," ",REPT(" ",60)),60)),코드표!$F$2:$F$101,0)),"⚠"&amp;TRIM(I250&amp;""))),"⚠"&amp;TRIM(I250&amp;""))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",TRIM(J250&amp;""))-1),코드표!$J$2:$J$101,0)),ISNUMBER(MATCH(TRIM(RIGHT(SUBSTITUTE(TRIM(J250&amp;"")," ",REPT(" ",60)),60)),코드표!$F$2:$F$101,0))),INDEX(코드표!$K$2:$K$101,MATCH(LEFT(TRIM(J250&amp;""),FIND(" ",TRIM(J250&amp;""))-1),코드표!$J$2:$J$101,0))&amp;" "&amp;INDEX(코드표!$G$2:$G$101,MATCH(TRIM(RIGHT(SUBSTITUTE(TRIM(J250&amp;"")," ",REPT(" ",60)),60)),코드표!$F$2:$F$101,0)),"⚠"&amp;TRIM(J250&amp;""))),"⚠"&amp;TRIM(J250&amp;""))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",TRIM(E251&amp;""))-1),코드표!$J$2:$J$101,0)),ISNUMBER(MATCH(TRIM(RIGHT(SUBSTITUTE(TRIM(E251&amp;"")," ",REPT(" ",60)),60)),코드표!$F$2:$F$101,0))),INDEX(코드표!$K$2:$K$101,MATCH(LEFT(TRIM(E251&amp;""),FIND(" ",TRIM(E251&amp;""))-1),코드표!$J$2:$J$101,0))&amp;" "&amp;INDEX(코드표!$G$2:$G$101,MATCH(TRIM(RIGHT(SUBSTITUTE(TRIM(E251&amp;"")," ",REPT(" ",60)),60)),코드표!$F$2:$F$101,0)),"⚠"&amp;TRIM(E251&amp;""))),"⚠"&amp;TRIM(E251&amp;""))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",TRIM(F251&amp;""))-1),코드표!$J$2:$J$101,0)),ISNUMBER(MATCH(TRIM(RIGHT(SUBSTITUTE(TRIM(F251&amp;"")," ",REPT(" ",60)),60)),코드표!$F$2:$F$101,0))),INDEX(코드표!$K$2:$K$101,MATCH(LEFT(TRIM(F251&amp;""),FIND(" ",TRIM(F251&amp;""))-1),코드표!$J$2:$J$101,0))&amp;" "&amp;INDEX(코드표!$G$2:$G$101,MATCH(TRIM(RIGHT(SUBSTITUTE(TRIM(F251&amp;"")," ",REPT(" ",60)),60)),코드표!$F$2:$F$101,0)),"⚠"&amp;TRIM(F251&amp;""))),"⚠"&amp;TRIM(F251&amp;""))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",TRIM(G251&amp;""))-1),코드표!$J$2:$J$101,0)),ISNUMBER(MATCH(TRIM(RIGHT(SUBSTITUTE(TRIM(G251&amp;"")," ",REPT(" ",60)),60)),코드표!$F$2:$F$101,0))),INDEX(코드표!$K$2:$K$101,MATCH(LEFT(TRIM(G251&amp;""),FIND(" ",TRIM(G251&amp;""))-1),코드표!$J$2:$J$101,0))&amp;" "&amp;INDEX(코드표!$G$2:$G$101,MATCH(TRIM(RIGHT(SUBSTITUTE(TRIM(G251&amp;"")," ",REPT(" ",60)),60)),코드표!$F$2:$F$101,0)),"⚠"&amp;TRIM(G251&amp;""))),"⚠"&amp;TRIM(G251&amp;""))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",TRIM(H251&amp;""))-1),코드표!$J$2:$J$101,0)),ISNUMBER(MATCH(TRIM(RIGHT(SUBSTITUTE(TRIM(H251&amp;"")," ",REPT(" ",60)),60)),코드표!$F$2:$F$101,0))),INDEX(코드표!$K$2:$K$101,MATCH(LEFT(TRIM(H251&amp;""),FIND(" ",TRIM(H251&amp;""))-1),코드표!$J$2:$J$101,0))&amp;" "&amp;INDEX(코드표!$G$2:$G$101,MATCH(TRIM(RIGHT(SUBSTITUTE(TRIM(H251&amp;"")," ",REPT(" ",60)),60)),코드표!$F$2:$F$101,0)),"⚠"&amp;TRIM(H251&amp;""))),"⚠"&amp;TRIM(H251&amp;""))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",TRIM(I251&amp;""))-1),코드표!$J$2:$J$101,0)),ISNUMBER(MATCH(TRIM(RIGHT(SUBSTITUTE(TRIM(I251&amp;"")," ",REPT(" ",60)),60)),코드표!$F$2:$F$101,0))),INDEX(코드표!$K$2:$K$101,MATCH(LEFT(TRIM(I251&amp;""),FIND(" ",TRIM(I251&amp;""))-1),코드표!$J$2:$J$101,0))&amp;" "&amp;INDEX(코드표!$G$2:$G$101,MATCH(TRIM(RIGHT(SUBSTITUTE(TRIM(I251&amp;"")," ",REPT(" ",60)),60)),코드표!$F$2:$F$101,0)),"⚠"&amp;TRIM(I251&amp;""))),"⚠"&amp;TRIM(I251&amp;""))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",TRIM(J251&amp;""))-1),코드표!$J$2:$J$101,0)),ISNUMBER(MATCH(TRIM(RIGHT(SUBSTITUTE(TRIM(J251&amp;"")," ",REPT(" ",60)),60)),코드표!$F$2:$F$101,0))),INDEX(코드표!$K$2:$K$101,MATCH(LEFT(TRIM(J251&amp;""),FIND(" ",TRIM(J251&amp;""))-1),코드표!$J$2:$J$101,0))&amp;" "&amp;INDEX(코드표!$G$2:$G$101,MATCH(TRIM(RIGHT(SUBSTITUTE(TRIM(J251&amp;"")," ",REPT(" ",60)),60)),코드표!$F$2:$F$101,0)),"⚠"&amp;TRIM(J251&amp;""))),"⚠"&amp;TRIM(J251&amp;""))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",TRIM(E252&amp;""))-1),코드표!$J$2:$J$101,0)),ISNUMBER(MATCH(TRIM(RIGHT(SUBSTITUTE(TRIM(E252&amp;"")," ",REPT(" ",60)),60)),코드표!$F$2:$F$101,0))),INDEX(코드표!$K$2:$K$101,MATCH(LEFT(TRIM(E252&amp;""),FIND(" ",TRIM(E252&amp;""))-1),코드표!$J$2:$J$101,0))&amp;" "&amp;INDEX(코드표!$G$2:$G$101,MATCH(TRIM(RIGHT(SUBSTITUTE(TRIM(E252&amp;"")," ",REPT(" ",60)),60)),코드표!$F$2:$F$101,0)),"⚠"&amp;TRIM(E252&amp;""))),"⚠"&amp;TRIM(E252&amp;""))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",TRIM(F252&amp;""))-1),코드표!$J$2:$J$101,0)),ISNUMBER(MATCH(TRIM(RIGHT(SUBSTITUTE(TRIM(F252&amp;"")," ",REPT(" ",60)),60)),코드표!$F$2:$F$101,0))),INDEX(코드표!$K$2:$K$101,MATCH(LEFT(TRIM(F252&amp;""),FIND(" ",TRIM(F252&amp;""))-1),코드표!$J$2:$J$101,0))&amp;" "&amp;INDEX(코드표!$G$2:$G$101,MATCH(TRIM(RIGHT(SUBSTITUTE(TRIM(F252&amp;"")," ",REPT(" ",60)),60)),코드표!$F$2:$F$101,0)),"⚠"&amp;TRIM(F252&amp;""))),"⚠"&amp;TRIM(F252&amp;""))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",TRIM(G252&amp;""))-1),코드표!$J$2:$J$101,0)),ISNUMBER(MATCH(TRIM(RIGHT(SUBSTITUTE(TRIM(G252&amp;"")," ",REPT(" ",60)),60)),코드표!$F$2:$F$101,0))),INDEX(코드표!$K$2:$K$101,MATCH(LEFT(TRIM(G252&amp;""),FIND(" ",TRIM(G252&amp;""))-1),코드표!$J$2:$J$101,0))&amp;" "&amp;INDEX(코드표!$G$2:$G$101,MATCH(TRIM(RIGHT(SUBSTITUTE(TRIM(G252&amp;"")," ",REPT(" ",60)),60)),코드표!$F$2:$F$101,0)),"⚠"&amp;TRIM(G252&amp;""))),"⚠"&amp;TRIM(G252&amp;""))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",TRIM(H252&amp;""))-1),코드표!$J$2:$J$101,0)),ISNUMBER(MATCH(TRIM(RIGHT(SUBSTITUTE(TRIM(H252&amp;"")," ",REPT(" ",60)),60)),코드표!$F$2:$F$101,0))),INDEX(코드표!$K$2:$K$101,MATCH(LEFT(TRIM(H252&amp;""),FIND(" ",TRIM(H252&amp;""))-1),코드표!$J$2:$J$101,0))&amp;" "&amp;INDEX(코드표!$G$2:$G$101,MATCH(TRIM(RIGHT(SUBSTITUTE(TRIM(H252&amp;"")," ",REPT(" ",60)),60)),코드표!$F$2:$F$101,0)),"⚠"&amp;TRIM(H252&amp;""))),"⚠"&amp;TRIM(H252&amp;""))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",TRIM(I252&amp;""))-1),코드표!$J$2:$J$101,0)),ISNUMBER(MATCH(TRIM(RIGHT(SUBSTITUTE(TRIM(I252&amp;"")," ",REPT(" ",60)),60)),코드표!$F$2:$F$101,0))),INDEX(코드표!$K$2:$K$101,MATCH(LEFT(TRIM(I252&amp;""),FIND(" ",TRIM(I252&amp;""))-1),코드표!$J$2:$J$101,0))&amp;" "&amp;INDEX(코드표!$G$2:$G$101,MATCH(TRIM(RIGHT(SUBSTITUTE(TRIM(I252&amp;"")," ",REPT(" ",60)),60)),코드표!$F$2:$F$101,0)),"⚠"&amp;TRIM(I252&amp;""))),"⚠"&amp;TRIM(I252&amp;""))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",TRIM(J252&amp;""))-1),코드표!$J$2:$J$101,0)),ISNUMBER(MATCH(TRIM(RIGHT(SUBSTITUTE(TRIM(J252&amp;"")," ",REPT(" ",60)),60)),코드표!$F$2:$F$101,0))),INDEX(코드표!$K$2:$K$101,MATCH(LEFT(TRIM(J252&amp;""),FIND(" ",TRIM(J252&amp;""))-1),코드표!$J$2:$J$101,0))&amp;" "&amp;INDEX(코드표!$G$2:$G$101,MATCH(TRIM(RIGHT(SUBSTITUTE(TRIM(J252&amp;"")," ",REPT(" ",60)),60)),코드표!$F$2:$F$101,0)),"⚠"&amp;TRIM(J252&amp;""))),"⚠"&amp;TRIM(J252&amp;""))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",TRIM(E253&amp;""))-1),코드표!$J$2:$J$101,0)),ISNUMBER(MATCH(TRIM(RIGHT(SUBSTITUTE(TRIM(E253&amp;"")," ",REPT(" ",60)),60)),코드표!$F$2:$F$101,0))),INDEX(코드표!$K$2:$K$101,MATCH(LEFT(TRIM(E253&amp;""),FIND(" ",TRIM(E253&amp;""))-1),코드표!$J$2:$J$101,0))&amp;" "&amp;INDEX(코드표!$G$2:$G$101,MATCH(TRIM(RIGHT(SUBSTITUTE(TRIM(E253&amp;"")," ",REPT(" ",60)),60)),코드표!$F$2:$F$101,0)),"⚠"&amp;TRIM(E253&amp;""))),"⚠"&amp;TRIM(E253&amp;""))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",TRIM(F253&amp;""))-1),코드표!$J$2:$J$101,0)),ISNUMBER(MATCH(TRIM(RIGHT(SUBSTITUTE(TRIM(F253&amp;"")," ",REPT(" ",60)),60)),코드표!$F$2:$F$101,0))),INDEX(코드표!$K$2:$K$101,MATCH(LEFT(TRIM(F253&amp;""),FIND(" ",TRIM(F253&amp;""))-1),코드표!$J$2:$J$101,0))&amp;" "&amp;INDEX(코드표!$G$2:$G$101,MATCH(TRIM(RIGHT(SUBSTITUTE(TRIM(F253&amp;"")," ",REPT(" ",60)),60)),코드표!$F$2:$F$101,0)),"⚠"&amp;TRIM(F253&amp;""))),"⚠"&amp;TRIM(F253&amp;""))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",TRIM(G253&amp;""))-1),코드표!$J$2:$J$101,0)),ISNUMBER(MATCH(TRIM(RIGHT(SUBSTITUTE(TRIM(G253&amp;"")," ",REPT(" ",60)),60)),코드표!$F$2:$F$101,0))),INDEX(코드표!$K$2:$K$101,MATCH(LEFT(TRIM(G253&amp;""),FIND(" ",TRIM(G253&amp;""))-1),코드표!$J$2:$J$101,0))&amp;" "&amp;INDEX(코드표!$G$2:$G$101,MATCH(TRIM(RIGHT(SUBSTITUTE(TRIM(G253&amp;"")," ",REPT(" ",60)),60)),코드표!$F$2:$F$101,0)),"⚠"&amp;TRIM(G253&amp;""))),"⚠"&amp;TRIM(G253&amp;""))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",TRIM(H253&amp;""))-1),코드표!$J$2:$J$101,0)),ISNUMBER(MATCH(TRIM(RIGHT(SUBSTITUTE(TRIM(H253&amp;"")," ",REPT(" ",60)),60)),코드표!$F$2:$F$101,0))),INDEX(코드표!$K$2:$K$101,MATCH(LEFT(TRIM(H253&amp;""),FIND(" ",TRIM(H253&amp;""))-1),코드표!$J$2:$J$101,0))&amp;" "&amp;INDEX(코드표!$G$2:$G$101,MATCH(TRIM(RIGHT(SUBSTITUTE(TRIM(H253&amp;"")," ",REPT(" ",60)),60)),코드표!$F$2:$F$101,0)),"⚠"&amp;TRIM(H253&amp;""))),"⚠"&amp;TRIM(H253&amp;""))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",TRIM(I253&amp;""))-1),코드표!$J$2:$J$101,0)),ISNUMBER(MATCH(TRIM(RIGHT(SUBSTITUTE(TRIM(I253&amp;"")," ",REPT(" ",60)),60)),코드표!$F$2:$F$101,0))),INDEX(코드표!$K$2:$K$101,MATCH(LEFT(TRIM(I253&amp;""),FIND(" ",TRIM(I253&amp;""))-1),코드표!$J$2:$J$101,0))&amp;" "&amp;INDEX(코드표!$G$2:$G$101,MATCH(TRIM(RIGHT(SUBSTITUTE(TRIM(I253&amp;"")," ",REPT(" ",60)),60)),코드표!$F$2:$F$101,0)),"⚠"&amp;TRIM(I253&amp;""))),"⚠"&amp;TRIM(I253&amp;""))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",TRIM(J253&amp;""))-1),코드표!$J$2:$J$101,0)),ISNUMBER(MATCH(TRIM(RIGHT(SUBSTITUTE(TRIM(J253&amp;"")," ",REPT(" ",60)),60)),코드표!$F$2:$F$101,0))),INDEX(코드표!$K$2:$K$101,MATCH(LEFT(TRIM(J253&amp;""),FIND(" ",TRIM(J253&amp;""))-1),코드표!$J$2:$J$101,0))&amp;" "&amp;INDEX(코드표!$G$2:$G$101,MATCH(TRIM(RIGHT(SUBSTITUTE(TRIM(J253&amp;"")," ",REPT(" ",60)),60)),코드표!$F$2:$F$101,0)),"⚠"&amp;TRIM(J253&amp;""))),"⚠"&amp;TRIM(J253&amp;""))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",TRIM(E254&amp;""))-1),코드표!$J$2:$J$101,0)),ISNUMBER(MATCH(TRIM(RIGHT(SUBSTITUTE(TRIM(E254&amp;"")," ",REPT(" ",60)),60)),코드표!$F$2:$F$101,0))),INDEX(코드표!$K$2:$K$101,MATCH(LEFT(TRIM(E254&amp;""),FIND(" ",TRIM(E254&amp;""))-1),코드표!$J$2:$J$101,0))&amp;" "&amp;INDEX(코드표!$G$2:$G$101,MATCH(TRIM(RIGHT(SUBSTITUTE(TRIM(E254&amp;"")," ",REPT(" ",60)),60)),코드표!$F$2:$F$101,0)),"⚠"&amp;TRIM(E254&amp;""))),"⚠"&amp;TRIM(E254&amp;""))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",TRIM(F254&amp;""))-1),코드표!$J$2:$J$101,0)),ISNUMBER(MATCH(TRIM(RIGHT(SUBSTITUTE(TRIM(F254&amp;"")," ",REPT(" ",60)),60)),코드표!$F$2:$F$101,0))),INDEX(코드표!$K$2:$K$101,MATCH(LEFT(TRIM(F254&amp;""),FIND(" ",TRIM(F254&amp;""))-1),코드표!$J$2:$J$101,0))&amp;" "&amp;INDEX(코드표!$G$2:$G$101,MATCH(TRIM(RIGHT(SUBSTITUTE(TRIM(F254&amp;"")," ",REPT(" ",60)),60)),코드표!$F$2:$F$101,0)),"⚠"&amp;TRIM(F254&amp;""))),"⚠"&amp;TRIM(F254&amp;""))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",TRIM(G254&amp;""))-1),코드표!$J$2:$J$101,0)),ISNUMBER(MATCH(TRIM(RIGHT(SUBSTITUTE(TRIM(G254&amp;"")," ",REPT(" ",60)),60)),코드표!$F$2:$F$101,0))),INDEX(코드표!$K$2:$K$101,MATCH(LEFT(TRIM(G254&amp;""),FIND(" ",TRIM(G254&amp;""))-1),코드표!$J$2:$J$101,0))&amp;" "&amp;INDEX(코드표!$G$2:$G$101,MATCH(TRIM(RIGHT(SUBSTITUTE(TRIM(G254&amp;"")," ",REPT(" ",60)),60)),코드표!$F$2:$F$101,0)),"⚠"&amp;TRIM(G254&amp;""))),"⚠"&amp;TRIM(G254&amp;""))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",TRIM(H254&amp;""))-1),코드표!$J$2:$J$101,0)),ISNUMBER(MATCH(TRIM(RIGHT(SUBSTITUTE(TRIM(H254&amp;"")," ",REPT(" ",60)),60)),코드표!$F$2:$F$101,0))),INDEX(코드표!$K$2:$K$101,MATCH(LEFT(TRIM(H254&amp;""),FIND(" ",TRIM(H254&amp;""))-1),코드표!$J$2:$J$101,0))&amp;" "&amp;INDEX(코드표!$G$2:$G$101,MATCH(TRIM(RIGHT(SUBSTITUTE(TRIM(H254&amp;"")," ",REPT(" ",60)),60)),코드표!$F$2:$F$101,0)),"⚠"&amp;TRIM(H254&amp;""))),"⚠"&amp;TRIM(H254&amp;""))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",TRIM(I254&amp;""))-1),코드표!$J$2:$J$101,0)),ISNUMBER(MATCH(TRIM(RIGHT(SUBSTITUTE(TRIM(I254&amp;"")," ",REPT(" ",60)),60)),코드표!$F$2:$F$101,0))),INDEX(코드표!$K$2:$K$101,MATCH(LEFT(TRIM(I254&amp;""),FIND(" ",TRIM(I254&amp;""))-1),코드표!$J$2:$J$101,0))&amp;" "&amp;INDEX(코드표!$G$2:$G$101,MATCH(TRIM(RIGHT(SUBSTITUTE(TRIM(I254&amp;"")," ",REPT(" ",60)),60)),코드표!$F$2:$F$101,0)),"⚠"&amp;TRIM(I254&amp;""))),"⚠"&amp;TRIM(I254&amp;""))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",TRIM(J254&amp;""))-1),코드표!$J$2:$J$101,0)),ISNUMBER(MATCH(TRIM(RIGHT(SUBSTITUTE(TRIM(J254&amp;"")," ",REPT(" ",60)),60)),코드표!$F$2:$F$101,0))),INDEX(코드표!$K$2:$K$101,MATCH(LEFT(TRIM(J254&amp;""),FIND(" ",TRIM(J254&amp;""))-1),코드표!$J$2:$J$101,0))&amp;" "&amp;INDEX(코드표!$G$2:$G$101,MATCH(TRIM(RIGHT(SUBSTITUTE(TRIM(J254&amp;"")," ",REPT(" ",60)),60)),코드표!$F$2:$F$101,0)),"⚠"&amp;TRIM(J254&amp;""))),"⚠"&amp;TRIM(J254&amp;""))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",TRIM(E255&amp;""))-1),코드표!$J$2:$J$101,0)),ISNUMBER(MATCH(TRIM(RIGHT(SUBSTITUTE(TRIM(E255&amp;"")," ",REPT(" ",60)),60)),코드표!$F$2:$F$101,0))),INDEX(코드표!$K$2:$K$101,MATCH(LEFT(TRIM(E255&amp;""),FIND(" ",TRIM(E255&amp;""))-1),코드표!$J$2:$J$101,0))&amp;" "&amp;INDEX(코드표!$G$2:$G$101,MATCH(TRIM(RIGHT(SUBSTITUTE(TRIM(E255&amp;"")," ",REPT(" ",60)),60)),코드표!$F$2:$F$101,0)),"⚠"&amp;TRIM(E255&amp;""))),"⚠"&amp;TRIM(E255&amp;""))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",TRIM(F255&amp;""))-1),코드표!$J$2:$J$101,0)),ISNUMBER(MATCH(TRIM(RIGHT(SUBSTITUTE(TRIM(F255&amp;"")," ",REPT(" ",60)),60)),코드표!$F$2:$F$101,0))),INDEX(코드표!$K$2:$K$101,MATCH(LEFT(TRIM(F255&amp;""),FIND(" ",TRIM(F255&amp;""))-1),코드표!$J$2:$J$101,0))&amp;" "&amp;INDEX(코드표!$G$2:$G$101,MATCH(TRIM(RIGHT(SUBSTITUTE(TRIM(F255&amp;"")," ",REPT(" ",60)),60)),코드표!$F$2:$F$101,0)),"⚠"&amp;TRIM(F255&amp;""))),"⚠"&amp;TRIM(F255&amp;""))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",TRIM(G255&amp;""))-1),코드표!$J$2:$J$101,0)),ISNUMBER(MATCH(TRIM(RIGHT(SUBSTITUTE(TRIM(G255&amp;"")," ",REPT(" ",60)),60)),코드표!$F$2:$F$101,0))),INDEX(코드표!$K$2:$K$101,MATCH(LEFT(TRIM(G255&amp;""),FIND(" ",TRIM(G255&amp;""))-1),코드표!$J$2:$J$101,0))&amp;" "&amp;INDEX(코드표!$G$2:$G$101,MATCH(TRIM(RIGHT(SUBSTITUTE(TRIM(G255&amp;"")," ",REPT(" ",60)),60)),코드표!$F$2:$F$101,0)),"⚠"&amp;TRIM(G255&amp;""))),"⚠"&amp;TRIM(G255&amp;""))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",TRIM(H255&amp;""))-1),코드표!$J$2:$J$101,0)),ISNUMBER(MATCH(TRIM(RIGHT(SUBSTITUTE(TRIM(H255&amp;"")," ",REPT(" ",60)),60)),코드표!$F$2:$F$101,0))),INDEX(코드표!$K$2:$K$101,MATCH(LEFT(TRIM(H255&amp;""),FIND(" ",TRIM(H255&amp;""))-1),코드표!$J$2:$J$101,0))&amp;" "&amp;INDEX(코드표!$G$2:$G$101,MATCH(TRIM(RIGHT(SUBSTITUTE(TRIM(H255&amp;"")," ",REPT(" ",60)),60)),코드표!$F$2:$F$101,0)),"⚠"&amp;TRIM(H255&amp;""))),"⚠"&amp;TRIM(H255&amp;""))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",TRIM(I255&amp;""))-1),코드표!$J$2:$J$101,0)),ISNUMBER(MATCH(TRIM(RIGHT(SUBSTITUTE(TRIM(I255&amp;"")," ",REPT(" ",60)),60)),코드표!$F$2:$F$101,0))),INDEX(코드표!$K$2:$K$101,MATCH(LEFT(TRIM(I255&amp;""),FIND(" ",TRIM(I255&amp;""))-1),코드표!$J$2:$J$101,0))&amp;" "&amp;INDEX(코드표!$G$2:$G$101,MATCH(TRIM(RIGHT(SUBSTITUTE(TRIM(I255&amp;"")," ",REPT(" ",60)),60)),코드표!$F$2:$F$101,0)),"⚠"&amp;TRIM(I255&amp;""))),"⚠"&amp;TRIM(I255&amp;""))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",TRIM(J255&amp;""))-1),코드표!$J$2:$J$101,0)),ISNUMBER(MATCH(TRIM(RIGHT(SUBSTITUTE(TRIM(J255&amp;"")," ",REPT(" ",60)),60)),코드표!$F$2:$F$101,0))),INDEX(코드표!$K$2:$K$101,MATCH(LEFT(TRIM(J255&amp;""),FIND(" ",TRIM(J255&amp;""))-1),코드표!$J$2:$J$101,0))&amp;" "&amp;INDEX(코드표!$G$2:$G$101,MATCH(TRIM(RIGHT(SUBSTITUTE(TRIM(J255&amp;"")," ",REPT(" ",60)),60)),코드표!$F$2:$F$101,0)),"⚠"&amp;TRIM(J255&amp;""))),"⚠"&amp;TRIM(J255&amp;""))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",TRIM(E256&amp;""))-1),코드표!$J$2:$J$101,0)),ISNUMBER(MATCH(TRIM(RIGHT(SUBSTITUTE(TRIM(E256&amp;"")," ",REPT(" ",60)),60)),코드표!$F$2:$F$101,0))),INDEX(코드표!$K$2:$K$101,MATCH(LEFT(TRIM(E256&amp;""),FIND(" ",TRIM(E256&amp;""))-1),코드표!$J$2:$J$101,0))&amp;" "&amp;INDEX(코드표!$G$2:$G$101,MATCH(TRIM(RIGHT(SUBSTITUTE(TRIM(E256&amp;"")," ",REPT(" ",60)),60)),코드표!$F$2:$F$101,0)),"⚠"&amp;TRIM(E256&amp;""))),"⚠"&amp;TRIM(E256&amp;""))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",TRIM(F256&amp;""))-1),코드표!$J$2:$J$101,0)),ISNUMBER(MATCH(TRIM(RIGHT(SUBSTITUTE(TRIM(F256&amp;"")," ",REPT(" ",60)),60)),코드표!$F$2:$F$101,0))),INDEX(코드표!$K$2:$K$101,MATCH(LEFT(TRIM(F256&amp;""),FIND(" ",TRIM(F256&amp;""))-1),코드표!$J$2:$J$101,0))&amp;" "&amp;INDEX(코드표!$G$2:$G$101,MATCH(TRIM(RIGHT(SUBSTITUTE(TRIM(F256&amp;"")," ",REPT(" ",60)),60)),코드표!$F$2:$F$101,0)),"⚠"&amp;TRIM(F256&amp;""))),"⚠"&amp;TRIM(F256&amp;""))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",TRIM(G256&amp;""))-1),코드표!$J$2:$J$101,0)),ISNUMBER(MATCH(TRIM(RIGHT(SUBSTITUTE(TRIM(G256&amp;"")," ",REPT(" ",60)),60)),코드표!$F$2:$F$101,0))),INDEX(코드표!$K$2:$K$101,MATCH(LEFT(TRIM(G256&amp;""),FIND(" ",TRIM(G256&amp;""))-1),코드표!$J$2:$J$101,0))&amp;" "&amp;INDEX(코드표!$G$2:$G$101,MATCH(TRIM(RIGHT(SUBSTITUTE(TRIM(G256&amp;"")," ",REPT(" ",60)),60)),코드표!$F$2:$F$101,0)),"⚠"&amp;TRIM(G256&amp;""))),"⚠"&amp;TRIM(G256&amp;""))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",TRIM(H256&amp;""))-1),코드표!$J$2:$J$101,0)),ISNUMBER(MATCH(TRIM(RIGHT(SUBSTITUTE(TRIM(H256&amp;"")," ",REPT(" ",60)),60)),코드표!$F$2:$F$101,0))),INDEX(코드표!$K$2:$K$101,MATCH(LEFT(TRIM(H256&amp;""),FIND(" ",TRIM(H256&amp;""))-1),코드표!$J$2:$J$101,0))&amp;" "&amp;INDEX(코드표!$G$2:$G$101,MATCH(TRIM(RIGHT(SUBSTITUTE(TRIM(H256&amp;"")," ",REPT(" ",60)),60)),코드표!$F$2:$F$101,0)),"⚠"&amp;TRIM(H256&amp;""))),"⚠"&amp;TRIM(H256&amp;""))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",TRIM(I256&amp;""))-1),코드표!$J$2:$J$101,0)),ISNUMBER(MATCH(TRIM(RIGHT(SUBSTITUTE(TRIM(I256&amp;"")," ",REPT(" ",60)),60)),코드표!$F$2:$F$101,0))),INDEX(코드표!$K$2:$K$101,MATCH(LEFT(TRIM(I256&amp;""),FIND(" ",TRIM(I256&amp;""))-1),코드표!$J$2:$J$101,0))&amp;" "&amp;INDEX(코드표!$G$2:$G$101,MATCH(TRIM(RIGHT(SUBSTITUTE(TRIM(I256&amp;"")," ",REPT(" ",60)),60)),코드표!$F$2:$F$101,0)),"⚠"&amp;TRIM(I256&amp;""))),"⚠"&amp;TRIM(I256&amp;""))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",TRIM(J256&amp;""))-1),코드표!$J$2:$J$101,0)),ISNUMBER(MATCH(TRIM(RIGHT(SUBSTITUTE(TRIM(J256&amp;"")," ",REPT(" ",60)),60)),코드표!$F$2:$F$101,0))),INDEX(코드표!$K$2:$K$101,MATCH(LEFT(TRIM(J256&amp;""),FIND(" ",TRIM(J256&amp;""))-1),코드표!$J$2:$J$101,0))&amp;" "&amp;INDEX(코드표!$G$2:$G$101,MATCH(TRIM(RIGHT(SUBSTITUTE(TRIM(J256&amp;"")," ",REPT(" ",60)),60)),코드표!$F$2:$F$101,0)),"⚠"&amp;TRIM(J256&amp;""))),"⚠"&amp;TRIM(J256&amp;""))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",TRIM(E257&amp;""))-1),코드표!$J$2:$J$101,0)),ISNUMBER(MATCH(TRIM(RIGHT(SUBSTITUTE(TRIM(E257&amp;"")," ",REPT(" ",60)),60)),코드표!$F$2:$F$101,0))),INDEX(코드표!$K$2:$K$101,MATCH(LEFT(TRIM(E257&amp;""),FIND(" ",TRIM(E257&amp;""))-1),코드표!$J$2:$J$101,0))&amp;" "&amp;INDEX(코드표!$G$2:$G$101,MATCH(TRIM(RIGHT(SUBSTITUTE(TRIM(E257&amp;"")," ",REPT(" ",60)),60)),코드표!$F$2:$F$101,0)),"⚠"&amp;TRIM(E257&amp;""))),"⚠"&amp;TRIM(E257&amp;""))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",TRIM(F257&amp;""))-1),코드표!$J$2:$J$101,0)),ISNUMBER(MATCH(TRIM(RIGHT(SUBSTITUTE(TRIM(F257&amp;"")," ",REPT(" ",60)),60)),코드표!$F$2:$F$101,0))),INDEX(코드표!$K$2:$K$101,MATCH(LEFT(TRIM(F257&amp;""),FIND(" ",TRIM(F257&amp;""))-1),코드표!$J$2:$J$101,0))&amp;" "&amp;INDEX(코드표!$G$2:$G$101,MATCH(TRIM(RIGHT(SUBSTITUTE(TRIM(F257&amp;"")," ",REPT(" ",60)),60)),코드표!$F$2:$F$101,0)),"⚠"&amp;TRIM(F257&amp;""))),"⚠"&amp;TRIM(F257&amp;""))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",TRIM(G257&amp;""))-1),코드표!$J$2:$J$101,0)),ISNUMBER(MATCH(TRIM(RIGHT(SUBSTITUTE(TRIM(G257&amp;"")," ",REPT(" ",60)),60)),코드표!$F$2:$F$101,0))),INDEX(코드표!$K$2:$K$101,MATCH(LEFT(TRIM(G257&amp;""),FIND(" ",TRIM(G257&amp;""))-1),코드표!$J$2:$J$101,0))&amp;" "&amp;INDEX(코드표!$G$2:$G$101,MATCH(TRIM(RIGHT(SUBSTITUTE(TRIM(G257&amp;"")," ",REPT(" ",60)),60)),코드표!$F$2:$F$101,0)),"⚠"&amp;TRIM(G257&amp;""))),"⚠"&amp;TRIM(G257&amp;""))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",TRIM(H257&amp;""))-1),코드표!$J$2:$J$101,0)),ISNUMBER(MATCH(TRIM(RIGHT(SUBSTITUTE(TRIM(H257&amp;"")," ",REPT(" ",60)),60)),코드표!$F$2:$F$101,0))),INDEX(코드표!$K$2:$K$101,MATCH(LEFT(TRIM(H257&amp;""),FIND(" ",TRIM(H257&amp;""))-1),코드표!$J$2:$J$101,0))&amp;" "&amp;INDEX(코드표!$G$2:$G$101,MATCH(TRIM(RIGHT(SUBSTITUTE(TRIM(H257&amp;"")," ",REPT(" ",60)),60)),코드표!$F$2:$F$101,0)),"⚠"&amp;TRIM(H257&amp;""))),"⚠"&amp;TRIM(H257&amp;""))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",TRIM(I257&amp;""))-1),코드표!$J$2:$J$101,0)),ISNUMBER(MATCH(TRIM(RIGHT(SUBSTITUTE(TRIM(I257&amp;"")," ",REPT(" ",60)),60)),코드표!$F$2:$F$101,0))),INDEX(코드표!$K$2:$K$101,MATCH(LEFT(TRIM(I257&amp;""),FIND(" ",TRIM(I257&amp;""))-1),코드표!$J$2:$J$101,0))&amp;" "&amp;INDEX(코드표!$G$2:$G$101,MATCH(TRIM(RIGHT(SUBSTITUTE(TRIM(I257&amp;"")," ",REPT(" ",60)),60)),코드표!$F$2:$F$101,0)),"⚠"&amp;TRIM(I257&amp;""))),"⚠"&amp;TRIM(I257&amp;""))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",TRIM(J257&amp;""))-1),코드표!$J$2:$J$101,0)),ISNUMBER(MATCH(TRIM(RIGHT(SUBSTITUTE(TRIM(J257&amp;"")," ",REPT(" ",60)),60)),코드표!$F$2:$F$101,0))),INDEX(코드표!$K$2:$K$101,MATCH(LEFT(TRIM(J257&amp;""),FIND(" ",TRIM(J257&amp;""))-1),코드표!$J$2:$J$101,0))&amp;" "&amp;INDEX(코드표!$G$2:$G$101,MATCH(TRIM(RIGHT(SUBSTITUTE(TRIM(J257&amp;"")," ",REPT(" ",60)),60)),코드표!$F$2:$F$101,0)),"⚠"&amp;TRIM(J257&amp;""))),"⚠"&amp;TRIM(J257&amp;""))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",TRIM(E258&amp;""))-1),코드표!$J$2:$J$101,0)),ISNUMBER(MATCH(TRIM(RIGHT(SUBSTITUTE(TRIM(E258&amp;"")," ",REPT(" ",60)),60)),코드표!$F$2:$F$101,0))),INDEX(코드표!$K$2:$K$101,MATCH(LEFT(TRIM(E258&amp;""),FIND(" ",TRIM(E258&amp;""))-1),코드표!$J$2:$J$101,0))&amp;" "&amp;INDEX(코드표!$G$2:$G$101,MATCH(TRIM(RIGHT(SUBSTITUTE(TRIM(E258&amp;"")," ",REPT(" ",60)),60)),코드표!$F$2:$F$101,0)),"⚠"&amp;TRIM(E258&amp;""))),"⚠"&amp;TRIM(E258&amp;""))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",TRIM(F258&amp;""))-1),코드표!$J$2:$J$101,0)),ISNUMBER(MATCH(TRIM(RIGHT(SUBSTITUTE(TRIM(F258&amp;"")," ",REPT(" ",60)),60)),코드표!$F$2:$F$101,0))),INDEX(코드표!$K$2:$K$101,MATCH(LEFT(TRIM(F258&amp;""),FIND(" ",TRIM(F258&amp;""))-1),코드표!$J$2:$J$101,0))&amp;" "&amp;INDEX(코드표!$G$2:$G$101,MATCH(TRIM(RIGHT(SUBSTITUTE(TRIM(F258&amp;"")," ",REPT(" ",60)),60)),코드표!$F$2:$F$101,0)),"⚠"&amp;TRIM(F258&amp;""))),"⚠"&amp;TRIM(F258&amp;""))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",TRIM(G258&amp;""))-1),코드표!$J$2:$J$101,0)),ISNUMBER(MATCH(TRIM(RIGHT(SUBSTITUTE(TRIM(G258&amp;"")," ",REPT(" ",60)),60)),코드표!$F$2:$F$101,0))),INDEX(코드표!$K$2:$K$101,MATCH(LEFT(TRIM(G258&amp;""),FIND(" ",TRIM(G258&amp;""))-1),코드표!$J$2:$J$101,0))&amp;" "&amp;INDEX(코드표!$G$2:$G$101,MATCH(TRIM(RIGHT(SUBSTITUTE(TRIM(G258&amp;"")," ",REPT(" ",60)),60)),코드표!$F$2:$F$101,0)),"⚠"&amp;TRIM(G258&amp;""))),"⚠"&amp;TRIM(G258&amp;""))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",TRIM(H258&amp;""))-1),코드표!$J$2:$J$101,0)),ISNUMBER(MATCH(TRIM(RIGHT(SUBSTITUTE(TRIM(H258&amp;"")," ",REPT(" ",60)),60)),코드표!$F$2:$F$101,0))),INDEX(코드표!$K$2:$K$101,MATCH(LEFT(TRIM(H258&amp;""),FIND(" ",TRIM(H258&amp;""))-1),코드표!$J$2:$J$101,0))&amp;" "&amp;INDEX(코드표!$G$2:$G$101,MATCH(TRIM(RIGHT(SUBSTITUTE(TRIM(H258&amp;"")," ",REPT(" ",60)),60)),코드표!$F$2:$F$101,0)),"⚠"&amp;TRIM(H258&amp;""))),"⚠"&amp;TRIM(H258&amp;""))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",TRIM(I258&amp;""))-1),코드표!$J$2:$J$101,0)),ISNUMBER(MATCH(TRIM(RIGHT(SUBSTITUTE(TRIM(I258&amp;"")," ",REPT(" ",60)),60)),코드표!$F$2:$F$101,0))),INDEX(코드표!$K$2:$K$101,MATCH(LEFT(TRIM(I258&amp;""),FIND(" ",TRIM(I258&amp;""))-1),코드표!$J$2:$J$101,0))&amp;" "&amp;INDEX(코드표!$G$2:$G$101,MATCH(TRIM(RIGHT(SUBSTITUTE(TRIM(I258&amp;"")," ",REPT(" ",60)),60)),코드표!$F$2:$F$101,0)),"⚠"&amp;TRIM(I258&amp;""))),"⚠"&amp;TRIM(I258&amp;""))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",TRIM(J258&amp;""))-1),코드표!$J$2:$J$101,0)),ISNUMBER(MATCH(TRIM(RIGHT(SUBSTITUTE(TRIM(J258&amp;"")," ",REPT(" ",60)),60)),코드표!$F$2:$F$101,0))),INDEX(코드표!$K$2:$K$101,MATCH(LEFT(TRIM(J258&amp;""),FIND(" ",TRIM(J258&amp;""))-1),코드표!$J$2:$J$101,0))&amp;" "&amp;INDEX(코드표!$G$2:$G$101,MATCH(TRIM(RIGHT(SUBSTITUTE(TRIM(J258&amp;"")," ",REPT(" ",60)),60)),코드표!$F$2:$F$101,0)),"⚠"&amp;TRIM(J258&amp;""))),"⚠"&amp;TRIM(J258&amp;""))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",TRIM(E259&amp;""))-1),코드표!$J$2:$J$101,0)),ISNUMBER(MATCH(TRIM(RIGHT(SUBSTITUTE(TRIM(E259&amp;"")," ",REPT(" ",60)),60)),코드표!$F$2:$F$101,0))),INDEX(코드표!$K$2:$K$101,MATCH(LEFT(TRIM(E259&amp;""),FIND(" ",TRIM(E259&amp;""))-1),코드표!$J$2:$J$101,0))&amp;" "&amp;INDEX(코드표!$G$2:$G$101,MATCH(TRIM(RIGHT(SUBSTITUTE(TRIM(E259&amp;"")," ",REPT(" ",60)),60)),코드표!$F$2:$F$101,0)),"⚠"&amp;TRIM(E259&amp;""))),"⚠"&amp;TRIM(E259&amp;""))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",TRIM(F259&amp;""))-1),코드표!$J$2:$J$101,0)),ISNUMBER(MATCH(TRIM(RIGHT(SUBSTITUTE(TRIM(F259&amp;"")," ",REPT(" ",60)),60)),코드표!$F$2:$F$101,0))),INDEX(코드표!$K$2:$K$101,MATCH(LEFT(TRIM(F259&amp;""),FIND(" ",TRIM(F259&amp;""))-1),코드표!$J$2:$J$101,0))&amp;" "&amp;INDEX(코드표!$G$2:$G$101,MATCH(TRIM(RIGHT(SUBSTITUTE(TRIM(F259&amp;"")," ",REPT(" ",60)),60)),코드표!$F$2:$F$101,0)),"⚠"&amp;TRIM(F259&amp;""))),"⚠"&amp;TRIM(F259&amp;""))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",TRIM(G259&amp;""))-1),코드표!$J$2:$J$101,0)),ISNUMBER(MATCH(TRIM(RIGHT(SUBSTITUTE(TRIM(G259&amp;"")," ",REPT(" ",60)),60)),코드표!$F$2:$F$101,0))),INDEX(코드표!$K$2:$K$101,MATCH(LEFT(TRIM(G259&amp;""),FIND(" ",TRIM(G259&amp;""))-1),코드표!$J$2:$J$101,0))&amp;" "&amp;INDEX(코드표!$G$2:$G$101,MATCH(TRIM(RIGHT(SUBSTITUTE(TRIM(G259&amp;"")," ",REPT(" ",60)),60)),코드표!$F$2:$F$101,0)),"⚠"&amp;TRIM(G259&amp;""))),"⚠"&amp;TRIM(G259&amp;""))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",TRIM(H259&amp;""))-1),코드표!$J$2:$J$101,0)),ISNUMBER(MATCH(TRIM(RIGHT(SUBSTITUTE(TRIM(H259&amp;"")," ",REPT(" ",60)),60)),코드표!$F$2:$F$101,0))),INDEX(코드표!$K$2:$K$101,MATCH(LEFT(TRIM(H259&amp;""),FIND(" ",TRIM(H259&amp;""))-1),코드표!$J$2:$J$101,0))&amp;" "&amp;INDEX(코드표!$G$2:$G$101,MATCH(TRIM(RIGHT(SUBSTITUTE(TRIM(H259&amp;"")," ",REPT(" ",60)),60)),코드표!$F$2:$F$101,0)),"⚠"&amp;TRIM(H259&amp;""))),"⚠"&amp;TRIM(H259&amp;""))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",TRIM(I259&amp;""))-1),코드표!$J$2:$J$101,0)),ISNUMBER(MATCH(TRIM(RIGHT(SUBSTITUTE(TRIM(I259&amp;"")," ",REPT(" ",60)),60)),코드표!$F$2:$F$101,0))),INDEX(코드표!$K$2:$K$101,MATCH(LEFT(TRIM(I259&amp;""),FIND(" ",TRIM(I259&amp;""))-1),코드표!$J$2:$J$101,0))&amp;" "&amp;INDEX(코드표!$G$2:$G$101,MATCH(TRIM(RIGHT(SUBSTITUTE(TRIM(I259&amp;"")," ",REPT(" ",60)),60)),코드표!$F$2:$F$101,0)),"⚠"&amp;TRIM(I259&amp;""))),"⚠"&amp;TRIM(I259&amp;""))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",TRIM(J259&amp;""))-1),코드표!$J$2:$J$101,0)),ISNUMBER(MATCH(TRIM(RIGHT(SUBSTITUTE(TRIM(J259&amp;"")," ",REPT(" ",60)),60)),코드표!$F$2:$F$101,0))),INDEX(코드표!$K$2:$K$101,MATCH(LEFT(TRIM(J259&amp;""),FIND(" ",TRIM(J259&amp;""))-1),코드표!$J$2:$J$101,0))&amp;" "&amp;INDEX(코드표!$G$2:$G$101,MATCH(TRIM(RIGHT(SUBSTITUTE(TRIM(J259&amp;"")," ",REPT(" ",60)),60)),코드표!$F$2:$F$101,0)),"⚠"&amp;TRIM(J259&amp;""))),"⚠"&amp;TRIM(J259&amp;""))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",TRIM(E260&amp;""))-1),코드표!$J$2:$J$101,0)),ISNUMBER(MATCH(TRIM(RIGHT(SUBSTITUTE(TRIM(E260&amp;"")," ",REPT(" ",60)),60)),코드표!$F$2:$F$101,0))),INDEX(코드표!$K$2:$K$101,MATCH(LEFT(TRIM(E260&amp;""),FIND(" ",TRIM(E260&amp;""))-1),코드표!$J$2:$J$101,0))&amp;" "&amp;INDEX(코드표!$G$2:$G$101,MATCH(TRIM(RIGHT(SUBSTITUTE(TRIM(E260&amp;"")," ",REPT(" ",60)),60)),코드표!$F$2:$F$101,0)),"⚠"&amp;TRIM(E260&amp;""))),"⚠"&amp;TRIM(E260&amp;""))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",TRIM(F260&amp;""))-1),코드표!$J$2:$J$101,0)),ISNUMBER(MATCH(TRIM(RIGHT(SUBSTITUTE(TRIM(F260&amp;"")," ",REPT(" ",60)),60)),코드표!$F$2:$F$101,0))),INDEX(코드표!$K$2:$K$101,MATCH(LEFT(TRIM(F260&amp;""),FIND(" ",TRIM(F260&amp;""))-1),코드표!$J$2:$J$101,0))&amp;" "&amp;INDEX(코드표!$G$2:$G$101,MATCH(TRIM(RIGHT(SUBSTITUTE(TRIM(F260&amp;"")," ",REPT(" ",60)),60)),코드표!$F$2:$F$101,0)),"⚠"&amp;TRIM(F260&amp;""))),"⚠"&amp;TRIM(F260&amp;""))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",TRIM(G260&amp;""))-1),코드표!$J$2:$J$101,0)),ISNUMBER(MATCH(TRIM(RIGHT(SUBSTITUTE(TRIM(G260&amp;"")," ",REPT(" ",60)),60)),코드표!$F$2:$F$101,0))),INDEX(코드표!$K$2:$K$101,MATCH(LEFT(TRIM(G260&amp;""),FIND(" ",TRIM(G260&amp;""))-1),코드표!$J$2:$J$101,0))&amp;" "&amp;INDEX(코드표!$G$2:$G$101,MATCH(TRIM(RIGHT(SUBSTITUTE(TRIM(G260&amp;"")," ",REPT(" ",60)),60)),코드표!$F$2:$F$101,0)),"⚠"&amp;TRIM(G260&amp;""))),"⚠"&amp;TRIM(G260&amp;""))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",TRIM(H260&amp;""))-1),코드표!$J$2:$J$101,0)),ISNUMBER(MATCH(TRIM(RIGHT(SUBSTITUTE(TRIM(H260&amp;"")," ",REPT(" ",60)),60)),코드표!$F$2:$F$101,0))),INDEX(코드표!$K$2:$K$101,MATCH(LEFT(TRIM(H260&amp;""),FIND(" ",TRIM(H260&amp;""))-1),코드표!$J$2:$J$101,0))&amp;" "&amp;INDEX(코드표!$G$2:$G$101,MATCH(TRIM(RIGHT(SUBSTITUTE(TRIM(H260&amp;"")," ",REPT(" ",60)),60)),코드표!$F$2:$F$101,0)),"⚠"&amp;TRIM(H260&amp;""))),"⚠"&amp;TRIM(H260&amp;""))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",TRIM(I260&amp;""))-1),코드표!$J$2:$J$101,0)),ISNUMBER(MATCH(TRIM(RIGHT(SUBSTITUTE(TRIM(I260&amp;"")," ",REPT(" ",60)),60)),코드표!$F$2:$F$101,0))),INDEX(코드표!$K$2:$K$101,MATCH(LEFT(TRIM(I260&amp;""),FIND(" ",TRIM(I260&amp;""))-1),코드표!$J$2:$J$101,0))&amp;" "&amp;INDEX(코드표!$G$2:$G$101,MATCH(TRIM(RIGHT(SUBSTITUTE(TRIM(I260&amp;"")," ",REPT(" ",60)),60)),코드표!$F$2:$F$101,0)),"⚠"&amp;TRIM(I260&amp;""))),"⚠"&amp;TRIM(I260&amp;""))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",TRIM(J260&amp;""))-1),코드표!$J$2:$J$101,0)),ISNUMBER(MATCH(TRIM(RIGHT(SUBSTITUTE(TRIM(J260&amp;"")," ",REPT(" ",60)),60)),코드표!$F$2:$F$101,0))),INDEX(코드표!$K$2:$K$101,MATCH(LEFT(TRIM(J260&amp;""),FIND(" ",TRIM(J260&amp;""))-1),코드표!$J$2:$J$101,0))&amp;" "&amp;INDEX(코드표!$G$2:$G$101,MATCH(TRIM(RIGHT(SUBSTITUTE(TRIM(J260&amp;"")," ",REPT(" ",60)),60)),코드표!$F$2:$F$101,0)),"⚠"&amp;TRIM(J260&amp;""))),"⚠"&amp;TRIM(J260&amp;""))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",TRIM(E261&amp;""))-1),코드표!$J$2:$J$101,0)),ISNUMBER(MATCH(TRIM(RIGHT(SUBSTITUTE(TRIM(E261&amp;"")," ",REPT(" ",60)),60)),코드표!$F$2:$F$101,0))),INDEX(코드표!$K$2:$K$101,MATCH(LEFT(TRIM(E261&amp;""),FIND(" ",TRIM(E261&amp;""))-1),코드표!$J$2:$J$101,0))&amp;" "&amp;INDEX(코드표!$G$2:$G$101,MATCH(TRIM(RIGHT(SUBSTITUTE(TRIM(E261&amp;"")," ",REPT(" ",60)),60)),코드표!$F$2:$F$101,0)),"⚠"&amp;TRIM(E261&amp;""))),"⚠"&amp;TRIM(E261&amp;""))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",TRIM(F261&amp;""))-1),코드표!$J$2:$J$101,0)),ISNUMBER(MATCH(TRIM(RIGHT(SUBSTITUTE(TRIM(F261&amp;"")," ",REPT(" ",60)),60)),코드표!$F$2:$F$101,0))),INDEX(코드표!$K$2:$K$101,MATCH(LEFT(TRIM(F261&amp;""),FIND(" ",TRIM(F261&amp;""))-1),코드표!$J$2:$J$101,0))&amp;" "&amp;INDEX(코드표!$G$2:$G$101,MATCH(TRIM(RIGHT(SUBSTITUTE(TRIM(F261&amp;"")," ",REPT(" ",60)),60)),코드표!$F$2:$F$101,0)),"⚠"&amp;TRIM(F261&amp;""))),"⚠"&amp;TRIM(F261&amp;""))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",TRIM(G261&amp;""))-1),코드표!$J$2:$J$101,0)),ISNUMBER(MATCH(TRIM(RIGHT(SUBSTITUTE(TRIM(G261&amp;"")," ",REPT(" ",60)),60)),코드표!$F$2:$F$101,0))),INDEX(코드표!$K$2:$K$101,MATCH(LEFT(TRIM(G261&amp;""),FIND(" ",TRIM(G261&amp;""))-1),코드표!$J$2:$J$101,0))&amp;" "&amp;INDEX(코드표!$G$2:$G$101,MATCH(TRIM(RIGHT(SUBSTITUTE(TRIM(G261&amp;"")," ",REPT(" ",60)),60)),코드표!$F$2:$F$101,0)),"⚠"&amp;TRIM(G261&amp;""))),"⚠"&amp;TRIM(G261&amp;""))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",TRIM(H261&amp;""))-1),코드표!$J$2:$J$101,0)),ISNUMBER(MATCH(TRIM(RIGHT(SUBSTITUTE(TRIM(H261&amp;"")," ",REPT(" ",60)),60)),코드표!$F$2:$F$101,0))),INDEX(코드표!$K$2:$K$101,MATCH(LEFT(TRIM(H261&amp;""),FIND(" ",TRIM(H261&amp;""))-1),코드표!$J$2:$J$101,0))&amp;" "&amp;INDEX(코드표!$G$2:$G$101,MATCH(TRIM(RIGHT(SUBSTITUTE(TRIM(H261&amp;"")," ",REPT(" ",60)),60)),코드표!$F$2:$F$101,0)),"⚠"&amp;TRIM(H261&amp;""))),"⚠"&amp;TRIM(H261&amp;""))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",TRIM(I261&amp;""))-1),코드표!$J$2:$J$101,0)),ISNUMBER(MATCH(TRIM(RIGHT(SUBSTITUTE(TRIM(I261&amp;"")," ",REPT(" ",60)),60)),코드표!$F$2:$F$101,0))),INDEX(코드표!$K$2:$K$101,MATCH(LEFT(TRIM(I261&amp;""),FIND(" ",TRIM(I261&amp;""))-1),코드표!$J$2:$J$101,0))&amp;" "&amp;INDEX(코드표!$G$2:$G$101,MATCH(TRIM(RIGHT(SUBSTITUTE(TRIM(I261&amp;"")," ",REPT(" ",60)),60)),코드표!$F$2:$F$101,0)),"⚠"&amp;TRIM(I261&amp;""))),"⚠"&amp;TRIM(I261&amp;""))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",TRIM(J261&amp;""))-1),코드표!$J$2:$J$101,0)),ISNUMBER(MATCH(TRIM(RIGHT(SUBSTITUTE(TRIM(J261&amp;"")," ",REPT(" ",60)),60)),코드표!$F$2:$F$101,0))),INDEX(코드표!$K$2:$K$101,MATCH(LEFT(TRIM(J261&amp;""),FIND(" ",TRIM(J261&amp;""))-1),코드표!$J$2:$J$101,0))&amp;" "&amp;INDEX(코드표!$G$2:$G$101,MATCH(TRIM(RIGHT(SUBSTITUTE(TRIM(J261&amp;"")," ",REPT(" ",60)),60)),코드표!$F$2:$F$101,0)),"⚠"&amp;TRIM(J261&amp;""))),"⚠"&amp;TRIM(J261&amp;""))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",TRIM(E262&amp;""))-1),코드표!$J$2:$J$101,0)),ISNUMBER(MATCH(TRIM(RIGHT(SUBSTITUTE(TRIM(E262&amp;"")," ",REPT(" ",60)),60)),코드표!$F$2:$F$101,0))),INDEX(코드표!$K$2:$K$101,MATCH(LEFT(TRIM(E262&amp;""),FIND(" ",TRIM(E262&amp;""))-1),코드표!$J$2:$J$101,0))&amp;" "&amp;INDEX(코드표!$G$2:$G$101,MATCH(TRIM(RIGHT(SUBSTITUTE(TRIM(E262&amp;"")," ",REPT(" ",60)),60)),코드표!$F$2:$F$101,0)),"⚠"&amp;TRIM(E262&amp;""))),"⚠"&amp;TRIM(E262&amp;""))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",TRIM(F262&amp;""))-1),코드표!$J$2:$J$101,0)),ISNUMBER(MATCH(TRIM(RIGHT(SUBSTITUTE(TRIM(F262&amp;"")," ",REPT(" ",60)),60)),코드표!$F$2:$F$101,0))),INDEX(코드표!$K$2:$K$101,MATCH(LEFT(TRIM(F262&amp;""),FIND(" ",TRIM(F262&amp;""))-1),코드표!$J$2:$J$101,0))&amp;" "&amp;INDEX(코드표!$G$2:$G$101,MATCH(TRIM(RIGHT(SUBSTITUTE(TRIM(F262&amp;"")," ",REPT(" ",60)),60)),코드표!$F$2:$F$101,0)),"⚠"&amp;TRIM(F262&amp;""))),"⚠"&amp;TRIM(F262&amp;""))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",TRIM(G262&amp;""))-1),코드표!$J$2:$J$101,0)),ISNUMBER(MATCH(TRIM(RIGHT(SUBSTITUTE(TRIM(G262&amp;"")," ",REPT(" ",60)),60)),코드표!$F$2:$F$101,0))),INDEX(코드표!$K$2:$K$101,MATCH(LEFT(TRIM(G262&amp;""),FIND(" ",TRIM(G262&amp;""))-1),코드표!$J$2:$J$101,0))&amp;" "&amp;INDEX(코드표!$G$2:$G$101,MATCH(TRIM(RIGHT(SUBSTITUTE(TRIM(G262&amp;"")," ",REPT(" ",60)),60)),코드표!$F$2:$F$101,0)),"⚠"&amp;TRIM(G262&amp;""))),"⚠"&amp;TRIM(G262&amp;""))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",TRIM(H262&amp;""))-1),코드표!$J$2:$J$101,0)),ISNUMBER(MATCH(TRIM(RIGHT(SUBSTITUTE(TRIM(H262&amp;"")," ",REPT(" ",60)),60)),코드표!$F$2:$F$101,0))),INDEX(코드표!$K$2:$K$101,MATCH(LEFT(TRIM(H262&amp;""),FIND(" ",TRIM(H262&amp;""))-1),코드표!$J$2:$J$101,0))&amp;" "&amp;INDEX(코드표!$G$2:$G$101,MATCH(TRIM(RIGHT(SUBSTITUTE(TRIM(H262&amp;"")," ",REPT(" ",60)),60)),코드표!$F$2:$F$101,0)),"⚠"&amp;TRIM(H262&amp;""))),"⚠"&amp;TRIM(H262&amp;""))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",TRIM(I262&amp;""))-1),코드표!$J$2:$J$101,0)),ISNUMBER(MATCH(TRIM(RIGHT(SUBSTITUTE(TRIM(I262&amp;"")," ",REPT(" ",60)),60)),코드표!$F$2:$F$101,0))),INDEX(코드표!$K$2:$K$101,MATCH(LEFT(TRIM(I262&amp;""),FIND(" ",TRIM(I262&amp;""))-1),코드표!$J$2:$J$101,0))&amp;" "&amp;INDEX(코드표!$G$2:$G$101,MATCH(TRIM(RIGHT(SUBSTITUTE(TRIM(I262&amp;"")," ",REPT(" ",60)),60)),코드표!$F$2:$F$101,0)),"⚠"&amp;TRIM(I262&amp;""))),"⚠"&amp;TRIM(I262&amp;""))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",TRIM(J262&amp;""))-1),코드표!$J$2:$J$101,0)),ISNUMBER(MATCH(TRIM(RIGHT(SUBSTITUTE(TRIM(J262&amp;"")," ",REPT(" ",60)),60)),코드표!$F$2:$F$101,0))),INDEX(코드표!$K$2:$K$101,MATCH(LEFT(TRIM(J262&amp;""),FIND(" ",TRIM(J262&amp;""))-1),코드표!$J$2:$J$101,0))&amp;" "&amp;INDEX(코드표!$G$2:$G$101,MATCH(TRIM(RIGHT(SUBSTITUTE(TRIM(J262&amp;"")," ",REPT(" ",60)),60)),코드표!$F$2:$F$101,0)),"⚠"&amp;TRIM(J262&amp;""))),"⚠"&amp;TRIM(J262&amp;""))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",TRIM(E263&amp;""))-1),코드표!$J$2:$J$101,0)),ISNUMBER(MATCH(TRIM(RIGHT(SUBSTITUTE(TRIM(E263&amp;"")," ",REPT(" ",60)),60)),코드표!$F$2:$F$101,0))),INDEX(코드표!$K$2:$K$101,MATCH(LEFT(TRIM(E263&amp;""),FIND(" ",TRIM(E263&amp;""))-1),코드표!$J$2:$J$101,0))&amp;" "&amp;INDEX(코드표!$G$2:$G$101,MATCH(TRIM(RIGHT(SUBSTITUTE(TRIM(E263&amp;"")," ",REPT(" ",60)),60)),코드표!$F$2:$F$101,0)),"⚠"&amp;TRIM(E263&amp;""))),"⚠"&amp;TRIM(E263&amp;""))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",TRIM(F263&amp;""))-1),코드표!$J$2:$J$101,0)),ISNUMBER(MATCH(TRIM(RIGHT(SUBSTITUTE(TRIM(F263&amp;"")," ",REPT(" ",60)),60)),코드표!$F$2:$F$101,0))),INDEX(코드표!$K$2:$K$101,MATCH(LEFT(TRIM(F263&amp;""),FIND(" ",TRIM(F263&amp;""))-1),코드표!$J$2:$J$101,0))&amp;" "&amp;INDEX(코드표!$G$2:$G$101,MATCH(TRIM(RIGHT(SUBSTITUTE(TRIM(F263&amp;"")," ",REPT(" ",60)),60)),코드표!$F$2:$F$101,0)),"⚠"&amp;TRIM(F263&amp;""))),"⚠"&amp;TRIM(F263&amp;""))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",TRIM(G263&amp;""))-1),코드표!$J$2:$J$101,0)),ISNUMBER(MATCH(TRIM(RIGHT(SUBSTITUTE(TRIM(G263&amp;"")," ",REPT(" ",60)),60)),코드표!$F$2:$F$101,0))),INDEX(코드표!$K$2:$K$101,MATCH(LEFT(TRIM(G263&amp;""),FIND(" ",TRIM(G263&amp;""))-1),코드표!$J$2:$J$101,0))&amp;" "&amp;INDEX(코드표!$G$2:$G$101,MATCH(TRIM(RIGHT(SUBSTITUTE(TRIM(G263&amp;"")," ",REPT(" ",60)),60)),코드표!$F$2:$F$101,0)),"⚠"&amp;TRIM(G263&amp;""))),"⚠"&amp;TRIM(G263&amp;""))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",TRIM(H263&amp;""))-1),코드표!$J$2:$J$101,0)),ISNUMBER(MATCH(TRIM(RIGHT(SUBSTITUTE(TRIM(H263&amp;"")," ",REPT(" ",60)),60)),코드표!$F$2:$F$101,0))),INDEX(코드표!$K$2:$K$101,MATCH(LEFT(TRIM(H263&amp;""),FIND(" ",TRIM(H263&amp;""))-1),코드표!$J$2:$J$101,0))&amp;" "&amp;INDEX(코드표!$G$2:$G$101,MATCH(TRIM(RIGHT(SUBSTITUTE(TRIM(H263&amp;"")," ",REPT(" ",60)),60)),코드표!$F$2:$F$101,0)),"⚠"&amp;TRIM(H263&amp;""))),"⚠"&amp;TRIM(H263&amp;""))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",TRIM(I263&amp;""))-1),코드표!$J$2:$J$101,0)),ISNUMBER(MATCH(TRIM(RIGHT(SUBSTITUTE(TRIM(I263&amp;"")," ",REPT(" ",60)),60)),코드표!$F$2:$F$101,0))),INDEX(코드표!$K$2:$K$101,MATCH(LEFT(TRIM(I263&amp;""),FIND(" ",TRIM(I263&amp;""))-1),코드표!$J$2:$J$101,0))&amp;" "&amp;INDEX(코드표!$G$2:$G$101,MATCH(TRIM(RIGHT(SUBSTITUTE(TRIM(I263&amp;"")," ",REPT(" ",60)),60)),코드표!$F$2:$F$101,0)),"⚠"&amp;TRIM(I263&amp;""))),"⚠"&amp;TRIM(I263&amp;""))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",TRIM(J263&amp;""))-1),코드표!$J$2:$J$101,0)),ISNUMBER(MATCH(TRIM(RIGHT(SUBSTITUTE(TRIM(J263&amp;"")," ",REPT(" ",60)),60)),코드표!$F$2:$F$101,0))),INDEX(코드표!$K$2:$K$101,MATCH(LEFT(TRIM(J263&amp;""),FIND(" ",TRIM(J263&amp;""))-1),코드표!$J$2:$J$101,0))&amp;" "&amp;INDEX(코드표!$G$2:$G$101,MATCH(TRIM(RIGHT(SUBSTITUTE(TRIM(J263&amp;"")," ",REPT(" ",60)),60)),코드표!$F$2:$F$101,0)),"⚠"&amp;TRIM(J263&amp;""))),"⚠"&amp;TRIM(J263&amp;""))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",TRIM(E264&amp;""))-1),코드표!$J$2:$J$101,0)),ISNUMBER(MATCH(TRIM(RIGHT(SUBSTITUTE(TRIM(E264&amp;"")," ",REPT(" ",60)),60)),코드표!$F$2:$F$101,0))),INDEX(코드표!$K$2:$K$101,MATCH(LEFT(TRIM(E264&amp;""),FIND(" ",TRIM(E264&amp;""))-1),코드표!$J$2:$J$101,0))&amp;" "&amp;INDEX(코드표!$G$2:$G$101,MATCH(TRIM(RIGHT(SUBSTITUTE(TRIM(E264&amp;"")," ",REPT(" ",60)),60)),코드표!$F$2:$F$101,0)),"⚠"&amp;TRIM(E264&amp;""))),"⚠"&amp;TRIM(E264&amp;""))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",TRIM(F264&amp;""))-1),코드표!$J$2:$J$101,0)),ISNUMBER(MATCH(TRIM(RIGHT(SUBSTITUTE(TRIM(F264&amp;"")," ",REPT(" ",60)),60)),코드표!$F$2:$F$101,0))),INDEX(코드표!$K$2:$K$101,MATCH(LEFT(TRIM(F264&amp;""),FIND(" ",TRIM(F264&amp;""))-1),코드표!$J$2:$J$101,0))&amp;" "&amp;INDEX(코드표!$G$2:$G$101,MATCH(TRIM(RIGHT(SUBSTITUTE(TRIM(F264&amp;"")," ",REPT(" ",60)),60)),코드표!$F$2:$F$101,0)),"⚠"&amp;TRIM(F264&amp;""))),"⚠"&amp;TRIM(F264&amp;""))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",TRIM(G264&amp;""))-1),코드표!$J$2:$J$101,0)),ISNUMBER(MATCH(TRIM(RIGHT(SUBSTITUTE(TRIM(G264&amp;"")," ",REPT(" ",60)),60)),코드표!$F$2:$F$101,0))),INDEX(코드표!$K$2:$K$101,MATCH(LEFT(TRIM(G264&amp;""),FIND(" ",TRIM(G264&amp;""))-1),코드표!$J$2:$J$101,0))&amp;" "&amp;INDEX(코드표!$G$2:$G$101,MATCH(TRIM(RIGHT(SUBSTITUTE(TRIM(G264&amp;"")," ",REPT(" ",60)),60)),코드표!$F$2:$F$101,0)),"⚠"&amp;TRIM(G264&amp;""))),"⚠"&amp;TRIM(G264&amp;""))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",TRIM(H264&amp;""))-1),코드표!$J$2:$J$101,0)),ISNUMBER(MATCH(TRIM(RIGHT(SUBSTITUTE(TRIM(H264&amp;"")," ",REPT(" ",60)),60)),코드표!$F$2:$F$101,0))),INDEX(코드표!$K$2:$K$101,MATCH(LEFT(TRIM(H264&amp;""),FIND(" ",TRIM(H264&amp;""))-1),코드표!$J$2:$J$101,0))&amp;" "&amp;INDEX(코드표!$G$2:$G$101,MATCH(TRIM(RIGHT(SUBSTITUTE(TRIM(H264&amp;"")," ",REPT(" ",60)),60)),코드표!$F$2:$F$101,0)),"⚠"&amp;TRIM(H264&amp;""))),"⚠"&amp;TRIM(H264&amp;""))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",TRIM(I264&amp;""))-1),코드표!$J$2:$J$101,0)),ISNUMBER(MATCH(TRIM(RIGHT(SUBSTITUTE(TRIM(I264&amp;"")," ",REPT(" ",60)),60)),코드표!$F$2:$F$101,0))),INDEX(코드표!$K$2:$K$101,MATCH(LEFT(TRIM(I264&amp;""),FIND(" ",TRIM(I264&amp;""))-1),코드표!$J$2:$J$101,0))&amp;" "&amp;INDEX(코드표!$G$2:$G$101,MATCH(TRIM(RIGHT(SUBSTITUTE(TRIM(I264&amp;"")," ",REPT(" ",60)),60)),코드표!$F$2:$F$101,0)),"⚠"&amp;TRIM(I264&amp;""))),"⚠"&amp;TRIM(I264&amp;""))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",TRIM(J264&amp;""))-1),코드표!$J$2:$J$101,0)),ISNUMBER(MATCH(TRIM(RIGHT(SUBSTITUTE(TRIM(J264&amp;"")," ",REPT(" ",60)),60)),코드표!$F$2:$F$101,0))),INDEX(코드표!$K$2:$K$101,MATCH(LEFT(TRIM(J264&amp;""),FIND(" ",TRIM(J264&amp;""))-1),코드표!$J$2:$J$101,0))&amp;" "&amp;INDEX(코드표!$G$2:$G$101,MATCH(TRIM(RIGHT(SUBSTITUTE(TRIM(J264&amp;"")," ",REPT(" ",60)),60)),코드표!$F$2:$F$101,0)),"⚠"&amp;TRIM(J264&amp;""))),"⚠"&amp;TRIM(J264&amp;""))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",TRIM(E265&amp;""))-1),코드표!$J$2:$J$101,0)),ISNUMBER(MATCH(TRIM(RIGHT(SUBSTITUTE(TRIM(E265&amp;"")," ",REPT(" ",60)),60)),코드표!$F$2:$F$101,0))),INDEX(코드표!$K$2:$K$101,MATCH(LEFT(TRIM(E265&amp;""),FIND(" ",TRIM(E265&amp;""))-1),코드표!$J$2:$J$101,0))&amp;" "&amp;INDEX(코드표!$G$2:$G$101,MATCH(TRIM(RIGHT(SUBSTITUTE(TRIM(E265&amp;"")," ",REPT(" ",60)),60)),코드표!$F$2:$F$101,0)),"⚠"&amp;TRIM(E265&amp;""))),"⚠"&amp;TRIM(E265&amp;""))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",TRIM(F265&amp;""))-1),코드표!$J$2:$J$101,0)),ISNUMBER(MATCH(TRIM(RIGHT(SUBSTITUTE(TRIM(F265&amp;"")," ",REPT(" ",60)),60)),코드표!$F$2:$F$101,0))),INDEX(코드표!$K$2:$K$101,MATCH(LEFT(TRIM(F265&amp;""),FIND(" ",TRIM(F265&amp;""))-1),코드표!$J$2:$J$101,0))&amp;" "&amp;INDEX(코드표!$G$2:$G$101,MATCH(TRIM(RIGHT(SUBSTITUTE(TRIM(F265&amp;"")," ",REPT(" ",60)),60)),코드표!$F$2:$F$101,0)),"⚠"&amp;TRIM(F265&amp;""))),"⚠"&amp;TRIM(F265&amp;""))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",TRIM(G265&amp;""))-1),코드표!$J$2:$J$101,0)),ISNUMBER(MATCH(TRIM(RIGHT(SUBSTITUTE(TRIM(G265&amp;"")," ",REPT(" ",60)),60)),코드표!$F$2:$F$101,0))),INDEX(코드표!$K$2:$K$101,MATCH(LEFT(TRIM(G265&amp;""),FIND(" ",TRIM(G265&amp;""))-1),코드표!$J$2:$J$101,0))&amp;" "&amp;INDEX(코드표!$G$2:$G$101,MATCH(TRIM(RIGHT(SUBSTITUTE(TRIM(G265&amp;"")," ",REPT(" ",60)),60)),코드표!$F$2:$F$101,0)),"⚠"&amp;TRIM(G265&amp;""))),"⚠"&amp;TRIM(G265&amp;""))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",TRIM(H265&amp;""))-1),코드표!$J$2:$J$101,0)),ISNUMBER(MATCH(TRIM(RIGHT(SUBSTITUTE(TRIM(H265&amp;"")," ",REPT(" ",60)),60)),코드표!$F$2:$F$101,0))),INDEX(코드표!$K$2:$K$101,MATCH(LEFT(TRIM(H265&amp;""),FIND(" ",TRIM(H265&amp;""))-1),코드표!$J$2:$J$101,0))&amp;" "&amp;INDEX(코드표!$G$2:$G$101,MATCH(TRIM(RIGHT(SUBSTITUTE(TRIM(H265&amp;"")," ",REPT(" ",60)),60)),코드표!$F$2:$F$101,0)),"⚠"&amp;TRIM(H265&amp;""))),"⚠"&amp;TRIM(H265&amp;""))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",TRIM(I265&amp;""))-1),코드표!$J$2:$J$101,0)),ISNUMBER(MATCH(TRIM(RIGHT(SUBSTITUTE(TRIM(I265&amp;"")," ",REPT(" ",60)),60)),코드표!$F$2:$F$101,0))),INDEX(코드표!$K$2:$K$101,MATCH(LEFT(TRIM(I265&amp;""),FIND(" ",TRIM(I265&amp;""))-1),코드표!$J$2:$J$101,0))&amp;" "&amp;INDEX(코드표!$G$2:$G$101,MATCH(TRIM(RIGHT(SUBSTITUTE(TRIM(I265&amp;"")," ",REPT(" ",60)),60)),코드표!$F$2:$F$101,0)),"⚠"&amp;TRIM(I265&amp;""))),"⚠"&amp;TRIM(I265&amp;""))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",TRIM(J265&amp;""))-1),코드표!$J$2:$J$101,0)),ISNUMBER(MATCH(TRIM(RIGHT(SUBSTITUTE(TRIM(J265&amp;"")," ",REPT(" ",60)),60)),코드표!$F$2:$F$101,0))),INDEX(코드표!$K$2:$K$101,MATCH(LEFT(TRIM(J265&amp;""),FIND(" ",TRIM(J265&amp;""))-1),코드표!$J$2:$J$101,0))&amp;" "&amp;INDEX(코드표!$G$2:$G$101,MATCH(TRIM(RIGHT(SUBSTITUTE(TRIM(J265&amp;"")," ",REPT(" ",60)),60)),코드표!$F$2:$F$101,0)),"⚠"&amp;TRIM(J265&amp;""))),"⚠"&amp;TRIM(J265&amp;""))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",TRIM(E266&amp;""))-1),코드표!$J$2:$J$101,0)),ISNUMBER(MATCH(TRIM(RIGHT(SUBSTITUTE(TRIM(E266&amp;"")," ",REPT(" ",60)),60)),코드표!$F$2:$F$101,0))),INDEX(코드표!$K$2:$K$101,MATCH(LEFT(TRIM(E266&amp;""),FIND(" ",TRIM(E266&amp;""))-1),코드표!$J$2:$J$101,0))&amp;" "&amp;INDEX(코드표!$G$2:$G$101,MATCH(TRIM(RIGHT(SUBSTITUTE(TRIM(E266&amp;"")," ",REPT(" ",60)),60)),코드표!$F$2:$F$101,0)),"⚠"&amp;TRIM(E266&amp;""))),"⚠"&amp;TRIM(E266&amp;""))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",TRIM(F266&amp;""))-1),코드표!$J$2:$J$101,0)),ISNUMBER(MATCH(TRIM(RIGHT(SUBSTITUTE(TRIM(F266&amp;"")," ",REPT(" ",60)),60)),코드표!$F$2:$F$101,0))),INDEX(코드표!$K$2:$K$101,MATCH(LEFT(TRIM(F266&amp;""),FIND(" ",TRIM(F266&amp;""))-1),코드표!$J$2:$J$101,0))&amp;" "&amp;INDEX(코드표!$G$2:$G$101,MATCH(TRIM(RIGHT(SUBSTITUTE(TRIM(F266&amp;"")," ",REPT(" ",60)),60)),코드표!$F$2:$F$101,0)),"⚠"&amp;TRIM(F266&amp;""))),"⚠"&amp;TRIM(F266&amp;""))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",TRIM(G266&amp;""))-1),코드표!$J$2:$J$101,0)),ISNUMBER(MATCH(TRIM(RIGHT(SUBSTITUTE(TRIM(G266&amp;"")," ",REPT(" ",60)),60)),코드표!$F$2:$F$101,0))),INDEX(코드표!$K$2:$K$101,MATCH(LEFT(TRIM(G266&amp;""),FIND(" ",TRIM(G266&amp;""))-1),코드표!$J$2:$J$101,0))&amp;" "&amp;INDEX(코드표!$G$2:$G$101,MATCH(TRIM(RIGHT(SUBSTITUTE(TRIM(G266&amp;"")," ",REPT(" ",60)),60)),코드표!$F$2:$F$101,0)),"⚠"&amp;TRIM(G266&amp;""))),"⚠"&amp;TRIM(G266&amp;""))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",TRIM(H266&amp;""))-1),코드표!$J$2:$J$101,0)),ISNUMBER(MATCH(TRIM(RIGHT(SUBSTITUTE(TRIM(H266&amp;"")," ",REPT(" ",60)),60)),코드표!$F$2:$F$101,0))),INDEX(코드표!$K$2:$K$101,MATCH(LEFT(TRIM(H266&amp;""),FIND(" ",TRIM(H266&amp;""))-1),코드표!$J$2:$J$101,0))&amp;" "&amp;INDEX(코드표!$G$2:$G$101,MATCH(TRIM(RIGHT(SUBSTITUTE(TRIM(H266&amp;"")," ",REPT(" ",60)),60)),코드표!$F$2:$F$101,0)),"⚠"&amp;TRIM(H266&amp;""))),"⚠"&amp;TRIM(H266&amp;""))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",TRIM(I266&amp;""))-1),코드표!$J$2:$J$101,0)),ISNUMBER(MATCH(TRIM(RIGHT(SUBSTITUTE(TRIM(I266&amp;"")," ",REPT(" ",60)),60)),코드표!$F$2:$F$101,0))),INDEX(코드표!$K$2:$K$101,MATCH(LEFT(TRIM(I266&amp;""),FIND(" ",TRIM(I266&amp;""))-1),코드표!$J$2:$J$101,0))&amp;" "&amp;INDEX(코드표!$G$2:$G$101,MATCH(TRIM(RIGHT(SUBSTITUTE(TRIM(I266&amp;"")," ",REPT(" ",60)),60)),코드표!$F$2:$F$101,0)),"⚠"&amp;TRIM(I266&amp;""))),"⚠"&amp;TRIM(I266&amp;""))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",TRIM(J266&amp;""))-1),코드표!$J$2:$J$101,0)),ISNUMBER(MATCH(TRIM(RIGHT(SUBSTITUTE(TRIM(J266&amp;"")," ",REPT(" ",60)),60)),코드표!$F$2:$F$101,0))),INDEX(코드표!$K$2:$K$101,MATCH(LEFT(TRIM(J266&amp;""),FIND(" ",TRIM(J266&amp;""))-1),코드표!$J$2:$J$101,0))&amp;" "&amp;INDEX(코드표!$G$2:$G$101,MATCH(TRIM(RIGHT(SUBSTITUTE(TRIM(J266&amp;"")," ",REPT(" ",60)),60)),코드표!$F$2:$F$101,0)),"⚠"&amp;TRIM(J266&amp;""))),"⚠"&amp;TRIM(J266&amp;""))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",TRIM(E267&amp;""))-1),코드표!$J$2:$J$101,0)),ISNUMBER(MATCH(TRIM(RIGHT(SUBSTITUTE(TRIM(E267&amp;"")," ",REPT(" ",60)),60)),코드표!$F$2:$F$101,0))),INDEX(코드표!$K$2:$K$101,MATCH(LEFT(TRIM(E267&amp;""),FIND(" ",TRIM(E267&amp;""))-1),코드표!$J$2:$J$101,0))&amp;" "&amp;INDEX(코드표!$G$2:$G$101,MATCH(TRIM(RIGHT(SUBSTITUTE(TRIM(E267&amp;"")," ",REPT(" ",60)),60)),코드표!$F$2:$F$101,0)),"⚠"&amp;TRIM(E267&amp;""))),"⚠"&amp;TRIM(E267&amp;""))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",TRIM(F267&amp;""))-1),코드표!$J$2:$J$101,0)),ISNUMBER(MATCH(TRIM(RIGHT(SUBSTITUTE(TRIM(F267&amp;"")," ",REPT(" ",60)),60)),코드표!$F$2:$F$101,0))),INDEX(코드표!$K$2:$K$101,MATCH(LEFT(TRIM(F267&amp;""),FIND(" ",TRIM(F267&amp;""))-1),코드표!$J$2:$J$101,0))&amp;" "&amp;INDEX(코드표!$G$2:$G$101,MATCH(TRIM(RIGHT(SUBSTITUTE(TRIM(F267&amp;"")," ",REPT(" ",60)),60)),코드표!$F$2:$F$101,0)),"⚠"&amp;TRIM(F267&amp;""))),"⚠"&amp;TRIM(F267&amp;""))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",TRIM(G267&amp;""))-1),코드표!$J$2:$J$101,0)),ISNUMBER(MATCH(TRIM(RIGHT(SUBSTITUTE(TRIM(G267&amp;"")," ",REPT(" ",60)),60)),코드표!$F$2:$F$101,0))),INDEX(코드표!$K$2:$K$101,MATCH(LEFT(TRIM(G267&amp;""),FIND(" ",TRIM(G267&amp;""))-1),코드표!$J$2:$J$101,0))&amp;" "&amp;INDEX(코드표!$G$2:$G$101,MATCH(TRIM(RIGHT(SUBSTITUTE(TRIM(G267&amp;"")," ",REPT(" ",60)),60)),코드표!$F$2:$F$101,0)),"⚠"&amp;TRIM(G267&amp;""))),"⚠"&amp;TRIM(G267&amp;""))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",TRIM(H267&amp;""))-1),코드표!$J$2:$J$101,0)),ISNUMBER(MATCH(TRIM(RIGHT(SUBSTITUTE(TRIM(H267&amp;"")," ",REPT(" ",60)),60)),코드표!$F$2:$F$101,0))),INDEX(코드표!$K$2:$K$101,MATCH(LEFT(TRIM(H267&amp;""),FIND(" ",TRIM(H267&amp;""))-1),코드표!$J$2:$J$101,0))&amp;" "&amp;INDEX(코드표!$G$2:$G$101,MATCH(TRIM(RIGHT(SUBSTITUTE(TRIM(H267&amp;"")," ",REPT(" ",60)),60)),코드표!$F$2:$F$101,0)),"⚠"&amp;TRIM(H267&amp;""))),"⚠"&amp;TRIM(H267&amp;""))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",TRIM(I267&amp;""))-1),코드표!$J$2:$J$101,0)),ISNUMBER(MATCH(TRIM(RIGHT(SUBSTITUTE(TRIM(I267&amp;"")," ",REPT(" ",60)),60)),코드표!$F$2:$F$101,0))),INDEX(코드표!$K$2:$K$101,MATCH(LEFT(TRIM(I267&amp;""),FIND(" ",TRIM(I267&amp;""))-1),코드표!$J$2:$J$101,0))&amp;" "&amp;INDEX(코드표!$G$2:$G$101,MATCH(TRIM(RIGHT(SUBSTITUTE(TRIM(I267&amp;"")," ",REPT(" ",60)),60)),코드표!$F$2:$F$101,0)),"⚠"&amp;TRIM(I267&amp;""))),"⚠"&amp;TRIM(I267&amp;""))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",TRIM(J267&amp;""))-1),코드표!$J$2:$J$101,0)),ISNUMBER(MATCH(TRIM(RIGHT(SUBSTITUTE(TRIM(J267&amp;"")," ",REPT(" ",60)),60)),코드표!$F$2:$F$101,0))),INDEX(코드표!$K$2:$K$101,MATCH(LEFT(TRIM(J267&amp;""),FIND(" ",TRIM(J267&amp;""))-1),코드표!$J$2:$J$101,0))&amp;" "&amp;INDEX(코드표!$G$2:$G$101,MATCH(TRIM(RIGHT(SUBSTITUTE(TRIM(J267&amp;"")," ",REPT(" ",60)),60)),코드표!$F$2:$F$101,0)),"⚠"&amp;TRIM(J267&amp;""))),"⚠"&amp;TRIM(J267&amp;""))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",TRIM(E268&amp;""))-1),코드표!$J$2:$J$101,0)),ISNUMBER(MATCH(TRIM(RIGHT(SUBSTITUTE(TRIM(E268&amp;"")," ",REPT(" ",60)),60)),코드표!$F$2:$F$101,0))),INDEX(코드표!$K$2:$K$101,MATCH(LEFT(TRIM(E268&amp;""),FIND(" ",TRIM(E268&amp;""))-1),코드표!$J$2:$J$101,0))&amp;" "&amp;INDEX(코드표!$G$2:$G$101,MATCH(TRIM(RIGHT(SUBSTITUTE(TRIM(E268&amp;"")," ",REPT(" ",60)),60)),코드표!$F$2:$F$101,0)),"⚠"&amp;TRIM(E268&amp;""))),"⚠"&amp;TRIM(E268&amp;""))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",TRIM(F268&amp;""))-1),코드표!$J$2:$J$101,0)),ISNUMBER(MATCH(TRIM(RIGHT(SUBSTITUTE(TRIM(F268&amp;"")," ",REPT(" ",60)),60)),코드표!$F$2:$F$101,0))),INDEX(코드표!$K$2:$K$101,MATCH(LEFT(TRIM(F268&amp;""),FIND(" ",TRIM(F268&amp;""))-1),코드표!$J$2:$J$101,0))&amp;" "&amp;INDEX(코드표!$G$2:$G$101,MATCH(TRIM(RIGHT(SUBSTITUTE(TRIM(F268&amp;"")," ",REPT(" ",60)),60)),코드표!$F$2:$F$101,0)),"⚠"&amp;TRIM(F268&amp;""))),"⚠"&amp;TRIM(F268&amp;""))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",TRIM(G268&amp;""))-1),코드표!$J$2:$J$101,0)),ISNUMBER(MATCH(TRIM(RIGHT(SUBSTITUTE(TRIM(G268&amp;"")," ",REPT(" ",60)),60)),코드표!$F$2:$F$101,0))),INDEX(코드표!$K$2:$K$101,MATCH(LEFT(TRIM(G268&amp;""),FIND(" ",TRIM(G268&amp;""))-1),코드표!$J$2:$J$101,0))&amp;" "&amp;INDEX(코드표!$G$2:$G$101,MATCH(TRIM(RIGHT(SUBSTITUTE(TRIM(G268&amp;"")," ",REPT(" ",60)),60)),코드표!$F$2:$F$101,0)),"⚠"&amp;TRIM(G268&amp;""))),"⚠"&amp;TRIM(G268&amp;""))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",TRIM(H268&amp;""))-1),코드표!$J$2:$J$101,0)),ISNUMBER(MATCH(TRIM(RIGHT(SUBSTITUTE(TRIM(H268&amp;"")," ",REPT(" ",60)),60)),코드표!$F$2:$F$101,0))),INDEX(코드표!$K$2:$K$101,MATCH(LEFT(TRIM(H268&amp;""),FIND(" ",TRIM(H268&amp;""))-1),코드표!$J$2:$J$101,0))&amp;" "&amp;INDEX(코드표!$G$2:$G$101,MATCH(TRIM(RIGHT(SUBSTITUTE(TRIM(H268&amp;"")," ",REPT(" ",60)),60)),코드표!$F$2:$F$101,0)),"⚠"&amp;TRIM(H268&amp;""))),"⚠"&amp;TRIM(H268&amp;""))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",TRIM(I268&amp;""))-1),코드표!$J$2:$J$101,0)),ISNUMBER(MATCH(TRIM(RIGHT(SUBSTITUTE(TRIM(I268&amp;"")," ",REPT(" ",60)),60)),코드표!$F$2:$F$101,0))),INDEX(코드표!$K$2:$K$101,MATCH(LEFT(TRIM(I268&amp;""),FIND(" ",TRIM(I268&amp;""))-1),코드표!$J$2:$J$101,0))&amp;" "&amp;INDEX(코드표!$G$2:$G$101,MATCH(TRIM(RIGHT(SUBSTITUTE(TRIM(I268&amp;"")," ",REPT(" ",60)),60)),코드표!$F$2:$F$101,0)),"⚠"&amp;TRIM(I268&amp;""))),"⚠"&amp;TRIM(I268&amp;""))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",TRIM(J268&amp;""))-1),코드표!$J$2:$J$101,0)),ISNUMBER(MATCH(TRIM(RIGHT(SUBSTITUTE(TRIM(J268&amp;"")," ",REPT(" ",60)),60)),코드표!$F$2:$F$101,0))),INDEX(코드표!$K$2:$K$101,MATCH(LEFT(TRIM(J268&amp;""),FIND(" ",TRIM(J268&amp;""))-1),코드표!$J$2:$J$101,0))&amp;" "&amp;INDEX(코드표!$G$2:$G$101,MATCH(TRIM(RIGHT(SUBSTITUTE(TRIM(J268&amp;"")," ",REPT(" ",60)),60)),코드표!$F$2:$F$101,0)),"⚠"&amp;TRIM(J268&amp;""))),"⚠"&amp;TRIM(J268&amp;""))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",TRIM(E269&amp;""))-1),코드표!$J$2:$J$101,0)),ISNUMBER(MATCH(TRIM(RIGHT(SUBSTITUTE(TRIM(E269&amp;"")," ",REPT(" ",60)),60)),코드표!$F$2:$F$101,0))),INDEX(코드표!$K$2:$K$101,MATCH(LEFT(TRIM(E269&amp;""),FIND(" ",TRIM(E269&amp;""))-1),코드표!$J$2:$J$101,0))&amp;" "&amp;INDEX(코드표!$G$2:$G$101,MATCH(TRIM(RIGHT(SUBSTITUTE(TRIM(E269&amp;"")," ",REPT(" ",60)),60)),코드표!$F$2:$F$101,0)),"⚠"&amp;TRIM(E269&amp;""))),"⚠"&amp;TRIM(E269&amp;""))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",TRIM(F269&amp;""))-1),코드표!$J$2:$J$101,0)),ISNUMBER(MATCH(TRIM(RIGHT(SUBSTITUTE(TRIM(F269&amp;"")," ",REPT(" ",60)),60)),코드표!$F$2:$F$101,0))),INDEX(코드표!$K$2:$K$101,MATCH(LEFT(TRIM(F269&amp;""),FIND(" ",TRIM(F269&amp;""))-1),코드표!$J$2:$J$101,0))&amp;" "&amp;INDEX(코드표!$G$2:$G$101,MATCH(TRIM(RIGHT(SUBSTITUTE(TRIM(F269&amp;"")," ",REPT(" ",60)),60)),코드표!$F$2:$F$101,0)),"⚠"&amp;TRIM(F269&amp;""))),"⚠"&amp;TRIM(F269&amp;""))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",TRIM(G269&amp;""))-1),코드표!$J$2:$J$101,0)),ISNUMBER(MATCH(TRIM(RIGHT(SUBSTITUTE(TRIM(G269&amp;"")," ",REPT(" ",60)),60)),코드표!$F$2:$F$101,0))),INDEX(코드표!$K$2:$K$101,MATCH(LEFT(TRIM(G269&amp;""),FIND(" ",TRIM(G269&amp;""))-1),코드표!$J$2:$J$101,0))&amp;" "&amp;INDEX(코드표!$G$2:$G$101,MATCH(TRIM(RIGHT(SUBSTITUTE(TRIM(G269&amp;"")," ",REPT(" ",60)),60)),코드표!$F$2:$F$101,0)),"⚠"&amp;TRIM(G269&amp;""))),"⚠"&amp;TRIM(G269&amp;""))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",TRIM(H269&amp;""))-1),코드표!$J$2:$J$101,0)),ISNUMBER(MATCH(TRIM(RIGHT(SUBSTITUTE(TRIM(H269&amp;"")," ",REPT(" ",60)),60)),코드표!$F$2:$F$101,0))),INDEX(코드표!$K$2:$K$101,MATCH(LEFT(TRIM(H269&amp;""),FIND(" ",TRIM(H269&amp;""))-1),코드표!$J$2:$J$101,0))&amp;" "&amp;INDEX(코드표!$G$2:$G$101,MATCH(TRIM(RIGHT(SUBSTITUTE(TRIM(H269&amp;"")," ",REPT(" ",60)),60)),코드표!$F$2:$F$101,0)),"⚠"&amp;TRIM(H269&amp;""))),"⚠"&amp;TRIM(H269&amp;""))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",TRIM(I269&amp;""))-1),코드표!$J$2:$J$101,0)),ISNUMBER(MATCH(TRIM(RIGHT(SUBSTITUTE(TRIM(I269&amp;"")," ",REPT(" ",60)),60)),코드표!$F$2:$F$101,0))),INDEX(코드표!$K$2:$K$101,MATCH(LEFT(TRIM(I269&amp;""),FIND(" ",TRIM(I269&amp;""))-1),코드표!$J$2:$J$101,0))&amp;" "&amp;INDEX(코드표!$G$2:$G$101,MATCH(TRIM(RIGHT(SUBSTITUTE(TRIM(I269&amp;"")," ",REPT(" ",60)),60)),코드표!$F$2:$F$101,0)),"⚠"&amp;TRIM(I269&amp;""))),"⚠"&amp;TRIM(I269&amp;""))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",TRIM(J269&amp;""))-1),코드표!$J$2:$J$101,0)),ISNUMBER(MATCH(TRIM(RIGHT(SUBSTITUTE(TRIM(J269&amp;"")," ",REPT(" ",60)),60)),코드표!$F$2:$F$101,0))),INDEX(코드표!$K$2:$K$101,MATCH(LEFT(TRIM(J269&amp;""),FIND(" ",TRIM(J269&amp;""))-1),코드표!$J$2:$J$101,0))&amp;" "&amp;INDEX(코드표!$G$2:$G$101,MATCH(TRIM(RIGHT(SUBSTITUTE(TRIM(J269&amp;"")," ",REPT(" ",60)),60)),코드표!$F$2:$F$101,0)),"⚠"&amp;TRIM(J269&amp;""))),"⚠"&amp;TRIM(J269&amp;""))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",TRIM(E270&amp;""))-1),코드표!$J$2:$J$101,0)),ISNUMBER(MATCH(TRIM(RIGHT(SUBSTITUTE(TRIM(E270&amp;"")," ",REPT(" ",60)),60)),코드표!$F$2:$F$101,0))),INDEX(코드표!$K$2:$K$101,MATCH(LEFT(TRIM(E270&amp;""),FIND(" ",TRIM(E270&amp;""))-1),코드표!$J$2:$J$101,0))&amp;" "&amp;INDEX(코드표!$G$2:$G$101,MATCH(TRIM(RIGHT(SUBSTITUTE(TRIM(E270&amp;"")," ",REPT(" ",60)),60)),코드표!$F$2:$F$101,0)),"⚠"&amp;TRIM(E270&amp;""))),"⚠"&amp;TRIM(E270&amp;""))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",TRIM(F270&amp;""))-1),코드표!$J$2:$J$101,0)),ISNUMBER(MATCH(TRIM(RIGHT(SUBSTITUTE(TRIM(F270&amp;"")," ",REPT(" ",60)),60)),코드표!$F$2:$F$101,0))),INDEX(코드표!$K$2:$K$101,MATCH(LEFT(TRIM(F270&amp;""),FIND(" ",TRIM(F270&amp;""))-1),코드표!$J$2:$J$101,0))&amp;" "&amp;INDEX(코드표!$G$2:$G$101,MATCH(TRIM(RIGHT(SUBSTITUTE(TRIM(F270&amp;"")," ",REPT(" ",60)),60)),코드표!$F$2:$F$101,0)),"⚠"&amp;TRIM(F270&amp;""))),"⚠"&amp;TRIM(F270&amp;""))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",TRIM(G270&amp;""))-1),코드표!$J$2:$J$101,0)),ISNUMBER(MATCH(TRIM(RIGHT(SUBSTITUTE(TRIM(G270&amp;"")," ",REPT(" ",60)),60)),코드표!$F$2:$F$101,0))),INDEX(코드표!$K$2:$K$101,MATCH(LEFT(TRIM(G270&amp;""),FIND(" ",TRIM(G270&amp;""))-1),코드표!$J$2:$J$101,0))&amp;" "&amp;INDEX(코드표!$G$2:$G$101,MATCH(TRIM(RIGHT(SUBSTITUTE(TRIM(G270&amp;"")," ",REPT(" ",60)),60)),코드표!$F$2:$F$101,0)),"⚠"&amp;TRIM(G270&amp;""))),"⚠"&amp;TRIM(G270&amp;""))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",TRIM(H270&amp;""))-1),코드표!$J$2:$J$101,0)),ISNUMBER(MATCH(TRIM(RIGHT(SUBSTITUTE(TRIM(H270&amp;"")," ",REPT(" ",60)),60)),코드표!$F$2:$F$101,0))),INDEX(코드표!$K$2:$K$101,MATCH(LEFT(TRIM(H270&amp;""),FIND(" ",TRIM(H270&amp;""))-1),코드표!$J$2:$J$101,0))&amp;" "&amp;INDEX(코드표!$G$2:$G$101,MATCH(TRIM(RIGHT(SUBSTITUTE(TRIM(H270&amp;"")," ",REPT(" ",60)),60)),코드표!$F$2:$F$101,0)),"⚠"&amp;TRIM(H270&amp;""))),"⚠"&amp;TRIM(H270&amp;""))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",TRIM(I270&amp;""))-1),코드표!$J$2:$J$101,0)),ISNUMBER(MATCH(TRIM(RIGHT(SUBSTITUTE(TRIM(I270&amp;"")," ",REPT(" ",60)),60)),코드표!$F$2:$F$101,0))),INDEX(코드표!$K$2:$K$101,MATCH(LEFT(TRIM(I270&amp;""),FIND(" ",TRIM(I270&amp;""))-1),코드표!$J$2:$J$101,0))&amp;" "&amp;INDEX(코드표!$G$2:$G$101,MATCH(TRIM(RIGHT(SUBSTITUTE(TRIM(I270&amp;"")," ",REPT(" ",60)),60)),코드표!$F$2:$F$101,0)),"⚠"&amp;TRIM(I270&amp;""))),"⚠"&amp;TRIM(I270&amp;""))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",TRIM(J270&amp;""))-1),코드표!$J$2:$J$101,0)),ISNUMBER(MATCH(TRIM(RIGHT(SUBSTITUTE(TRIM(J270&amp;"")," ",REPT(" ",60)),60)),코드표!$F$2:$F$101,0))),INDEX(코드표!$K$2:$K$101,MATCH(LEFT(TRIM(J270&amp;""),FIND(" ",TRIM(J270&amp;""))-1),코드표!$J$2:$J$101,0))&amp;" "&amp;INDEX(코드표!$G$2:$G$101,MATCH(TRIM(RIGHT(SUBSTITUTE(TRIM(J270&amp;"")," ",REPT(" ",60)),60)),코드표!$F$2:$F$101,0)),"⚠"&amp;TRIM(J270&amp;""))),"⚠"&amp;TRIM(J270&amp;""))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",TRIM(E271&amp;""))-1),코드표!$J$2:$J$101,0)),ISNUMBER(MATCH(TRIM(RIGHT(SUBSTITUTE(TRIM(E271&amp;"")," ",REPT(" ",60)),60)),코드표!$F$2:$F$101,0))),INDEX(코드표!$K$2:$K$101,MATCH(LEFT(TRIM(E271&amp;""),FIND(" ",TRIM(E271&amp;""))-1),코드표!$J$2:$J$101,0))&amp;" "&amp;INDEX(코드표!$G$2:$G$101,MATCH(TRIM(RIGHT(SUBSTITUTE(TRIM(E271&amp;"")," ",REPT(" ",60)),60)),코드표!$F$2:$F$101,0)),"⚠"&amp;TRIM(E271&amp;""))),"⚠"&amp;TRIM(E271&amp;""))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",TRIM(F271&amp;""))-1),코드표!$J$2:$J$101,0)),ISNUMBER(MATCH(TRIM(RIGHT(SUBSTITUTE(TRIM(F271&amp;"")," ",REPT(" ",60)),60)),코드표!$F$2:$F$101,0))),INDEX(코드표!$K$2:$K$101,MATCH(LEFT(TRIM(F271&amp;""),FIND(" ",TRIM(F271&amp;""))-1),코드표!$J$2:$J$101,0))&amp;" "&amp;INDEX(코드표!$G$2:$G$101,MATCH(TRIM(RIGHT(SUBSTITUTE(TRIM(F271&amp;"")," ",REPT(" ",60)),60)),코드표!$F$2:$F$101,0)),"⚠"&amp;TRIM(F271&amp;""))),"⚠"&amp;TRIM(F271&amp;""))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",TRIM(G271&amp;""))-1),코드표!$J$2:$J$101,0)),ISNUMBER(MATCH(TRIM(RIGHT(SUBSTITUTE(TRIM(G271&amp;"")," ",REPT(" ",60)),60)),코드표!$F$2:$F$101,0))),INDEX(코드표!$K$2:$K$101,MATCH(LEFT(TRIM(G271&amp;""),FIND(" ",TRIM(G271&amp;""))-1),코드표!$J$2:$J$101,0))&amp;" "&amp;INDEX(코드표!$G$2:$G$101,MATCH(TRIM(RIGHT(SUBSTITUTE(TRIM(G271&amp;"")," ",REPT(" ",60)),60)),코드표!$F$2:$F$101,0)),"⚠"&amp;TRIM(G271&amp;""))),"⚠"&amp;TRIM(G271&amp;""))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",TRIM(H271&amp;""))-1),코드표!$J$2:$J$101,0)),ISNUMBER(MATCH(TRIM(RIGHT(SUBSTITUTE(TRIM(H271&amp;"")," ",REPT(" ",60)),60)),코드표!$F$2:$F$101,0))),INDEX(코드표!$K$2:$K$101,MATCH(LEFT(TRIM(H271&amp;""),FIND(" ",TRIM(H271&amp;""))-1),코드표!$J$2:$J$101,0))&amp;" "&amp;INDEX(코드표!$G$2:$G$101,MATCH(TRIM(RIGHT(SUBSTITUTE(TRIM(H271&amp;"")," ",REPT(" ",60)),60)),코드표!$F$2:$F$101,0)),"⚠"&amp;TRIM(H271&amp;""))),"⚠"&amp;TRIM(H271&amp;""))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",TRIM(I271&amp;""))-1),코드표!$J$2:$J$101,0)),ISNUMBER(MATCH(TRIM(RIGHT(SUBSTITUTE(TRIM(I271&amp;"")," ",REPT(" ",60)),60)),코드표!$F$2:$F$101,0))),INDEX(코드표!$K$2:$K$101,MATCH(LEFT(TRIM(I271&amp;""),FIND(" ",TRIM(I271&amp;""))-1),코드표!$J$2:$J$101,0))&amp;" "&amp;INDEX(코드표!$G$2:$G$101,MATCH(TRIM(RIGHT(SUBSTITUTE(TRIM(I271&amp;"")," ",REPT(" ",60)),60)),코드표!$F$2:$F$101,0)),"⚠"&amp;TRIM(I271&amp;""))),"⚠"&amp;TRIM(I271&amp;""))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",TRIM(J271&amp;""))-1),코드표!$J$2:$J$101,0)),ISNUMBER(MATCH(TRIM(RIGHT(SUBSTITUTE(TRIM(J271&amp;"")," ",REPT(" ",60)),60)),코드표!$F$2:$F$101,0))),INDEX(코드표!$K$2:$K$101,MATCH(LEFT(TRIM(J271&amp;""),FIND(" ",TRIM(J271&amp;""))-1),코드표!$J$2:$J$101,0))&amp;" "&amp;INDEX(코드표!$G$2:$G$101,MATCH(TRIM(RIGHT(SUBSTITUTE(TRIM(J271&amp;"")," ",REPT(" ",60)),60)),코드표!$F$2:$F$101,0)),"⚠"&amp;TRIM(J271&amp;""))),"⚠"&amp;TRIM(J271&amp;""))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",TRIM(E272&amp;""))-1),코드표!$J$2:$J$101,0)),ISNUMBER(MATCH(TRIM(RIGHT(SUBSTITUTE(TRIM(E272&amp;"")," ",REPT(" ",60)),60)),코드표!$F$2:$F$101,0))),INDEX(코드표!$K$2:$K$101,MATCH(LEFT(TRIM(E272&amp;""),FIND(" ",TRIM(E272&amp;""))-1),코드표!$J$2:$J$101,0))&amp;" "&amp;INDEX(코드표!$G$2:$G$101,MATCH(TRIM(RIGHT(SUBSTITUTE(TRIM(E272&amp;"")," ",REPT(" ",60)),60)),코드표!$F$2:$F$101,0)),"⚠"&amp;TRIM(E272&amp;""))),"⚠"&amp;TRIM(E272&amp;""))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",TRIM(F272&amp;""))-1),코드표!$J$2:$J$101,0)),ISNUMBER(MATCH(TRIM(RIGHT(SUBSTITUTE(TRIM(F272&amp;"")," ",REPT(" ",60)),60)),코드표!$F$2:$F$101,0))),INDEX(코드표!$K$2:$K$101,MATCH(LEFT(TRIM(F272&amp;""),FIND(" ",TRIM(F272&amp;""))-1),코드표!$J$2:$J$101,0))&amp;" "&amp;INDEX(코드표!$G$2:$G$101,MATCH(TRIM(RIGHT(SUBSTITUTE(TRIM(F272&amp;"")," ",REPT(" ",60)),60)),코드표!$F$2:$F$101,0)),"⚠"&amp;TRIM(F272&amp;""))),"⚠"&amp;TRIM(F272&amp;""))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",TRIM(G272&amp;""))-1),코드표!$J$2:$J$101,0)),ISNUMBER(MATCH(TRIM(RIGHT(SUBSTITUTE(TRIM(G272&amp;"")," ",REPT(" ",60)),60)),코드표!$F$2:$F$101,0))),INDEX(코드표!$K$2:$K$101,MATCH(LEFT(TRIM(G272&amp;""),FIND(" ",TRIM(G272&amp;""))-1),코드표!$J$2:$J$101,0))&amp;" "&amp;INDEX(코드표!$G$2:$G$101,MATCH(TRIM(RIGHT(SUBSTITUTE(TRIM(G272&amp;"")," ",REPT(" ",60)),60)),코드표!$F$2:$F$101,0)),"⚠"&amp;TRIM(G272&amp;""))),"⚠"&amp;TRIM(G272&amp;""))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",TRIM(H272&amp;""))-1),코드표!$J$2:$J$101,0)),ISNUMBER(MATCH(TRIM(RIGHT(SUBSTITUTE(TRIM(H272&amp;"")," ",REPT(" ",60)),60)),코드표!$F$2:$F$101,0))),INDEX(코드표!$K$2:$K$101,MATCH(LEFT(TRIM(H272&amp;""),FIND(" ",TRIM(H272&amp;""))-1),코드표!$J$2:$J$101,0))&amp;" "&amp;INDEX(코드표!$G$2:$G$101,MATCH(TRIM(RIGHT(SUBSTITUTE(TRIM(H272&amp;"")," ",REPT(" ",60)),60)),코드표!$F$2:$F$101,0)),"⚠"&amp;TRIM(H272&amp;""))),"⚠"&amp;TRIM(H272&amp;""))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",TRIM(I272&amp;""))-1),코드표!$J$2:$J$101,0)),ISNUMBER(MATCH(TRIM(RIGHT(SUBSTITUTE(TRIM(I272&amp;"")," ",REPT(" ",60)),60)),코드표!$F$2:$F$101,0))),INDEX(코드표!$K$2:$K$101,MATCH(LEFT(TRIM(I272&amp;""),FIND(" ",TRIM(I272&amp;""))-1),코드표!$J$2:$J$101,0))&amp;" "&amp;INDEX(코드표!$G$2:$G$101,MATCH(TRIM(RIGHT(SUBSTITUTE(TRIM(I272&amp;"")," ",REPT(" ",60)),60)),코드표!$F$2:$F$101,0)),"⚠"&amp;TRIM(I272&amp;""))),"⚠"&amp;TRIM(I272&amp;""))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",TRIM(J272&amp;""))-1),코드표!$J$2:$J$101,0)),ISNUMBER(MATCH(TRIM(RIGHT(SUBSTITUTE(TRIM(J272&amp;"")," ",REPT(" ",60)),60)),코드표!$F$2:$F$101,0))),INDEX(코드표!$K$2:$K$101,MATCH(LEFT(TRIM(J272&amp;""),FIND(" ",TRIM(J272&amp;""))-1),코드표!$J$2:$J$101,0))&amp;" "&amp;INDEX(코드표!$G$2:$G$101,MATCH(TRIM(RIGHT(SUBSTITUTE(TRIM(J272&amp;"")," ",REPT(" ",60)),60)),코드표!$F$2:$F$101,0)),"⚠"&amp;TRIM(J272&amp;""))),"⚠"&amp;TRIM(J272&amp;""))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",TRIM(E273&amp;""))-1),코드표!$J$2:$J$101,0)),ISNUMBER(MATCH(TRIM(RIGHT(SUBSTITUTE(TRIM(E273&amp;"")," ",REPT(" ",60)),60)),코드표!$F$2:$F$101,0))),INDEX(코드표!$K$2:$K$101,MATCH(LEFT(TRIM(E273&amp;""),FIND(" ",TRIM(E273&amp;""))-1),코드표!$J$2:$J$101,0))&amp;" "&amp;INDEX(코드표!$G$2:$G$101,MATCH(TRIM(RIGHT(SUBSTITUTE(TRIM(E273&amp;"")," ",REPT(" ",60)),60)),코드표!$F$2:$F$101,0)),"⚠"&amp;TRIM(E273&amp;""))),"⚠"&amp;TRIM(E273&amp;""))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",TRIM(F273&amp;""))-1),코드표!$J$2:$J$101,0)),ISNUMBER(MATCH(TRIM(RIGHT(SUBSTITUTE(TRIM(F273&amp;"")," ",REPT(" ",60)),60)),코드표!$F$2:$F$101,0))),INDEX(코드표!$K$2:$K$101,MATCH(LEFT(TRIM(F273&amp;""),FIND(" ",TRIM(F273&amp;""))-1),코드표!$J$2:$J$101,0))&amp;" "&amp;INDEX(코드표!$G$2:$G$101,MATCH(TRIM(RIGHT(SUBSTITUTE(TRIM(F273&amp;"")," ",REPT(" ",60)),60)),코드표!$F$2:$F$101,0)),"⚠"&amp;TRIM(F273&amp;""))),"⚠"&amp;TRIM(F273&amp;""))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",TRIM(G273&amp;""))-1),코드표!$J$2:$J$101,0)),ISNUMBER(MATCH(TRIM(RIGHT(SUBSTITUTE(TRIM(G273&amp;"")," ",REPT(" ",60)),60)),코드표!$F$2:$F$101,0))),INDEX(코드표!$K$2:$K$101,MATCH(LEFT(TRIM(G273&amp;""),FIND(" ",TRIM(G273&amp;""))-1),코드표!$J$2:$J$101,0))&amp;" "&amp;INDEX(코드표!$G$2:$G$101,MATCH(TRIM(RIGHT(SUBSTITUTE(TRIM(G273&amp;"")," ",REPT(" ",60)),60)),코드표!$F$2:$F$101,0)),"⚠"&amp;TRIM(G273&amp;""))),"⚠"&amp;TRIM(G273&amp;""))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",TRIM(H273&amp;""))-1),코드표!$J$2:$J$101,0)),ISNUMBER(MATCH(TRIM(RIGHT(SUBSTITUTE(TRIM(H273&amp;"")," ",REPT(" ",60)),60)),코드표!$F$2:$F$101,0))),INDEX(코드표!$K$2:$K$101,MATCH(LEFT(TRIM(H273&amp;""),FIND(" ",TRIM(H273&amp;""))-1),코드표!$J$2:$J$101,0))&amp;" "&amp;INDEX(코드표!$G$2:$G$101,MATCH(TRIM(RIGHT(SUBSTITUTE(TRIM(H273&amp;"")," ",REPT(" ",60)),60)),코드표!$F$2:$F$101,0)),"⚠"&amp;TRIM(H273&amp;""))),"⚠"&amp;TRIM(H273&amp;""))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",TRIM(I273&amp;""))-1),코드표!$J$2:$J$101,0)),ISNUMBER(MATCH(TRIM(RIGHT(SUBSTITUTE(TRIM(I273&amp;"")," ",REPT(" ",60)),60)),코드표!$F$2:$F$101,0))),INDEX(코드표!$K$2:$K$101,MATCH(LEFT(TRIM(I273&amp;""),FIND(" ",TRIM(I273&amp;""))-1),코드표!$J$2:$J$101,0))&amp;" "&amp;INDEX(코드표!$G$2:$G$101,MATCH(TRIM(RIGHT(SUBSTITUTE(TRIM(I273&amp;"")," ",REPT(" ",60)),60)),코드표!$F$2:$F$101,0)),"⚠"&amp;TRIM(I273&amp;""))),"⚠"&amp;TRIM(I273&amp;""))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",TRIM(J273&amp;""))-1),코드표!$J$2:$J$101,0)),ISNUMBER(MATCH(TRIM(RIGHT(SUBSTITUTE(TRIM(J273&amp;"")," ",REPT(" ",60)),60)),코드표!$F$2:$F$101,0))),INDEX(코드표!$K$2:$K$101,MATCH(LEFT(TRIM(J273&amp;""),FIND(" ",TRIM(J273&amp;""))-1),코드표!$J$2:$J$101,0))&amp;" "&amp;INDEX(코드표!$G$2:$G$101,MATCH(TRIM(RIGHT(SUBSTITUTE(TRIM(J273&amp;"")," ",REPT(" ",60)),60)),코드표!$F$2:$F$101,0)),"⚠"&amp;TRIM(J273&amp;""))),"⚠"&amp;TRIM(J273&amp;""))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",TRIM(E274&amp;""))-1),코드표!$J$2:$J$101,0)),ISNUMBER(MATCH(TRIM(RIGHT(SUBSTITUTE(TRIM(E274&amp;"")," ",REPT(" ",60)),60)),코드표!$F$2:$F$101,0))),INDEX(코드표!$K$2:$K$101,MATCH(LEFT(TRIM(E274&amp;""),FIND(" ",TRIM(E274&amp;""))-1),코드표!$J$2:$J$101,0))&amp;" "&amp;INDEX(코드표!$G$2:$G$101,MATCH(TRIM(RIGHT(SUBSTITUTE(TRIM(E274&amp;"")," ",REPT(" ",60)),60)),코드표!$F$2:$F$101,0)),"⚠"&amp;TRIM(E274&amp;""))),"⚠"&amp;TRIM(E274&amp;""))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",TRIM(F274&amp;""))-1),코드표!$J$2:$J$101,0)),ISNUMBER(MATCH(TRIM(RIGHT(SUBSTITUTE(TRIM(F274&amp;"")," ",REPT(" ",60)),60)),코드표!$F$2:$F$101,0))),INDEX(코드표!$K$2:$K$101,MATCH(LEFT(TRIM(F274&amp;""),FIND(" ",TRIM(F274&amp;""))-1),코드표!$J$2:$J$101,0))&amp;" "&amp;INDEX(코드표!$G$2:$G$101,MATCH(TRIM(RIGHT(SUBSTITUTE(TRIM(F274&amp;"")," ",REPT(" ",60)),60)),코드표!$F$2:$F$101,0)),"⚠"&amp;TRIM(F274&amp;""))),"⚠"&amp;TRIM(F274&amp;""))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",TRIM(G274&amp;""))-1),코드표!$J$2:$J$101,0)),ISNUMBER(MATCH(TRIM(RIGHT(SUBSTITUTE(TRIM(G274&amp;"")," ",REPT(" ",60)),60)),코드표!$F$2:$F$101,0))),INDEX(코드표!$K$2:$K$101,MATCH(LEFT(TRIM(G274&amp;""),FIND(" ",TRIM(G274&amp;""))-1),코드표!$J$2:$J$101,0))&amp;" "&amp;INDEX(코드표!$G$2:$G$101,MATCH(TRIM(RIGHT(SUBSTITUTE(TRIM(G274&amp;"")," ",REPT(" ",60)),60)),코드표!$F$2:$F$101,0)),"⚠"&amp;TRIM(G274&amp;""))),"⚠"&amp;TRIM(G274&amp;""))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",TRIM(H274&amp;""))-1),코드표!$J$2:$J$101,0)),ISNUMBER(MATCH(TRIM(RIGHT(SUBSTITUTE(TRIM(H274&amp;"")," ",REPT(" ",60)),60)),코드표!$F$2:$F$101,0))),INDEX(코드표!$K$2:$K$101,MATCH(LEFT(TRIM(H274&amp;""),FIND(" ",TRIM(H274&amp;""))-1),코드표!$J$2:$J$101,0))&amp;" "&amp;INDEX(코드표!$G$2:$G$101,MATCH(TRIM(RIGHT(SUBSTITUTE(TRIM(H274&amp;"")," ",REPT(" ",60)),60)),코드표!$F$2:$F$101,0)),"⚠"&amp;TRIM(H274&amp;""))),"⚠"&amp;TRIM(H274&amp;""))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",TRIM(I274&amp;""))-1),코드표!$J$2:$J$101,0)),ISNUMBER(MATCH(TRIM(RIGHT(SUBSTITUTE(TRIM(I274&amp;"")," ",REPT(" ",60)),60)),코드표!$F$2:$F$101,0))),INDEX(코드표!$K$2:$K$101,MATCH(LEFT(TRIM(I274&amp;""),FIND(" ",TRIM(I274&amp;""))-1),코드표!$J$2:$J$101,0))&amp;" "&amp;INDEX(코드표!$G$2:$G$101,MATCH(TRIM(RIGHT(SUBSTITUTE(TRIM(I274&amp;"")," ",REPT(" ",60)),60)),코드표!$F$2:$F$101,0)),"⚠"&amp;TRIM(I274&amp;""))),"⚠"&amp;TRIM(I274&amp;""))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",TRIM(J274&amp;""))-1),코드표!$J$2:$J$101,0)),ISNUMBER(MATCH(TRIM(RIGHT(SUBSTITUTE(TRIM(J274&amp;"")," ",REPT(" ",60)),60)),코드표!$F$2:$F$101,0))),INDEX(코드표!$K$2:$K$101,MATCH(LEFT(TRIM(J274&amp;""),FIND(" ",TRIM(J274&amp;""))-1),코드표!$J$2:$J$101,0))&amp;" "&amp;INDEX(코드표!$G$2:$G$101,MATCH(TRIM(RIGHT(SUBSTITUTE(TRIM(J274&amp;"")," ",REPT(" ",60)),60)),코드표!$F$2:$F$101,0)),"⚠"&amp;TRIM(J274&amp;""))),"⚠"&amp;TRIM(J274&amp;""))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",TRIM(E275&amp;""))-1),코드표!$J$2:$J$101,0)),ISNUMBER(MATCH(TRIM(RIGHT(SUBSTITUTE(TRIM(E275&amp;"")," ",REPT(" ",60)),60)),코드표!$F$2:$F$101,0))),INDEX(코드표!$K$2:$K$101,MATCH(LEFT(TRIM(E275&amp;""),FIND(" ",TRIM(E275&amp;""))-1),코드표!$J$2:$J$101,0))&amp;" "&amp;INDEX(코드표!$G$2:$G$101,MATCH(TRIM(RIGHT(SUBSTITUTE(TRIM(E275&amp;"")," ",REPT(" ",60)),60)),코드표!$F$2:$F$101,0)),"⚠"&amp;TRIM(E275&amp;""))),"⚠"&amp;TRIM(E275&amp;""))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",TRIM(F275&amp;""))-1),코드표!$J$2:$J$101,0)),ISNUMBER(MATCH(TRIM(RIGHT(SUBSTITUTE(TRIM(F275&amp;"")," ",REPT(" ",60)),60)),코드표!$F$2:$F$101,0))),INDEX(코드표!$K$2:$K$101,MATCH(LEFT(TRIM(F275&amp;""),FIND(" ",TRIM(F275&amp;""))-1),코드표!$J$2:$J$101,0))&amp;" "&amp;INDEX(코드표!$G$2:$G$101,MATCH(TRIM(RIGHT(SUBSTITUTE(TRIM(F275&amp;"")," ",REPT(" ",60)),60)),코드표!$F$2:$F$101,0)),"⚠"&amp;TRIM(F275&amp;""))),"⚠"&amp;TRIM(F275&amp;""))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",TRIM(G275&amp;""))-1),코드표!$J$2:$J$101,0)),ISNUMBER(MATCH(TRIM(RIGHT(SUBSTITUTE(TRIM(G275&amp;"")," ",REPT(" ",60)),60)),코드표!$F$2:$F$101,0))),INDEX(코드표!$K$2:$K$101,MATCH(LEFT(TRIM(G275&amp;""),FIND(" ",TRIM(G275&amp;""))-1),코드표!$J$2:$J$101,0))&amp;" "&amp;INDEX(코드표!$G$2:$G$101,MATCH(TRIM(RIGHT(SUBSTITUTE(TRIM(G275&amp;"")," ",REPT(" ",60)),60)),코드표!$F$2:$F$101,0)),"⚠"&amp;TRIM(G275&amp;""))),"⚠"&amp;TRIM(G275&amp;""))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",TRIM(H275&amp;""))-1),코드표!$J$2:$J$101,0)),ISNUMBER(MATCH(TRIM(RIGHT(SUBSTITUTE(TRIM(H275&amp;"")," ",REPT(" ",60)),60)),코드표!$F$2:$F$101,0))),INDEX(코드표!$K$2:$K$101,MATCH(LEFT(TRIM(H275&amp;""),FIND(" ",TRIM(H275&amp;""))-1),코드표!$J$2:$J$101,0))&amp;" "&amp;INDEX(코드표!$G$2:$G$101,MATCH(TRIM(RIGHT(SUBSTITUTE(TRIM(H275&amp;"")," ",REPT(" ",60)),60)),코드표!$F$2:$F$101,0)),"⚠"&amp;TRIM(H275&amp;""))),"⚠"&amp;TRIM(H275&amp;""))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",TRIM(I275&amp;""))-1),코드표!$J$2:$J$101,0)),ISNUMBER(MATCH(TRIM(RIGHT(SUBSTITUTE(TRIM(I275&amp;"")," ",REPT(" ",60)),60)),코드표!$F$2:$F$101,0))),INDEX(코드표!$K$2:$K$101,MATCH(LEFT(TRIM(I275&amp;""),FIND(" ",TRIM(I275&amp;""))-1),코드표!$J$2:$J$101,0))&amp;" "&amp;INDEX(코드표!$G$2:$G$101,MATCH(TRIM(RIGHT(SUBSTITUTE(TRIM(I275&amp;"")," ",REPT(" ",60)),60)),코드표!$F$2:$F$101,0)),"⚠"&amp;TRIM(I275&amp;""))),"⚠"&amp;TRIM(I275&amp;""))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",TRIM(J275&amp;""))-1),코드표!$J$2:$J$101,0)),ISNUMBER(MATCH(TRIM(RIGHT(SUBSTITUTE(TRIM(J275&amp;"")," ",REPT(" ",60)),60)),코드표!$F$2:$F$101,0))),INDEX(코드표!$K$2:$K$101,MATCH(LEFT(TRIM(J275&amp;""),FIND(" ",TRIM(J275&amp;""))-1),코드표!$J$2:$J$101,0))&amp;" "&amp;INDEX(코드표!$G$2:$G$101,MATCH(TRIM(RIGHT(SUBSTITUTE(TRIM(J275&amp;"")," ",REPT(" ",60)),60)),코드표!$F$2:$F$101,0)),"⚠"&amp;TRIM(J275&amp;""))),"⚠"&amp;TRIM(J275&amp;""))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",TRIM(E276&amp;""))-1),코드표!$J$2:$J$101,0)),ISNUMBER(MATCH(TRIM(RIGHT(SUBSTITUTE(TRIM(E276&amp;"")," ",REPT(" ",60)),60)),코드표!$F$2:$F$101,0))),INDEX(코드표!$K$2:$K$101,MATCH(LEFT(TRIM(E276&amp;""),FIND(" ",TRIM(E276&amp;""))-1),코드표!$J$2:$J$101,0))&amp;" "&amp;INDEX(코드표!$G$2:$G$101,MATCH(TRIM(RIGHT(SUBSTITUTE(TRIM(E276&amp;"")," ",REPT(" ",60)),60)),코드표!$F$2:$F$101,0)),"⚠"&amp;TRIM(E276&amp;""))),"⚠"&amp;TRIM(E276&amp;""))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",TRIM(F276&amp;""))-1),코드표!$J$2:$J$101,0)),ISNUMBER(MATCH(TRIM(RIGHT(SUBSTITUTE(TRIM(F276&amp;"")," ",REPT(" ",60)),60)),코드표!$F$2:$F$101,0))),INDEX(코드표!$K$2:$K$101,MATCH(LEFT(TRIM(F276&amp;""),FIND(" ",TRIM(F276&amp;""))-1),코드표!$J$2:$J$101,0))&amp;" "&amp;INDEX(코드표!$G$2:$G$101,MATCH(TRIM(RIGHT(SUBSTITUTE(TRIM(F276&amp;"")," ",REPT(" ",60)),60)),코드표!$F$2:$F$101,0)),"⚠"&amp;TRIM(F276&amp;""))),"⚠"&amp;TRIM(F276&amp;""))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",TRIM(G276&amp;""))-1),코드표!$J$2:$J$101,0)),ISNUMBER(MATCH(TRIM(RIGHT(SUBSTITUTE(TRIM(G276&amp;"")," ",REPT(" ",60)),60)),코드표!$F$2:$F$101,0))),INDEX(코드표!$K$2:$K$101,MATCH(LEFT(TRIM(G276&amp;""),FIND(" ",TRIM(G276&amp;""))-1),코드표!$J$2:$J$101,0))&amp;" "&amp;INDEX(코드표!$G$2:$G$101,MATCH(TRIM(RIGHT(SUBSTITUTE(TRIM(G276&amp;"")," ",REPT(" ",60)),60)),코드표!$F$2:$F$101,0)),"⚠"&amp;TRIM(G276&amp;""))),"⚠"&amp;TRIM(G276&amp;""))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",TRIM(H276&amp;""))-1),코드표!$J$2:$J$101,0)),ISNUMBER(MATCH(TRIM(RIGHT(SUBSTITUTE(TRIM(H276&amp;"")," ",REPT(" ",60)),60)),코드표!$F$2:$F$101,0))),INDEX(코드표!$K$2:$K$101,MATCH(LEFT(TRIM(H276&amp;""),FIND(" ",TRIM(H276&amp;""))-1),코드표!$J$2:$J$101,0))&amp;" "&amp;INDEX(코드표!$G$2:$G$101,MATCH(TRIM(RIGHT(SUBSTITUTE(TRIM(H276&amp;"")," ",REPT(" ",60)),60)),코드표!$F$2:$F$101,0)),"⚠"&amp;TRIM(H276&amp;""))),"⚠"&amp;TRIM(H276&amp;""))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",TRIM(I276&amp;""))-1),코드표!$J$2:$J$101,0)),ISNUMBER(MATCH(TRIM(RIGHT(SUBSTITUTE(TRIM(I276&amp;"")," ",REPT(" ",60)),60)),코드표!$F$2:$F$101,0))),INDEX(코드표!$K$2:$K$101,MATCH(LEFT(TRIM(I276&amp;""),FIND(" ",TRIM(I276&amp;""))-1),코드표!$J$2:$J$101,0))&amp;" "&amp;INDEX(코드표!$G$2:$G$101,MATCH(TRIM(RIGHT(SUBSTITUTE(TRIM(I276&amp;"")," ",REPT(" ",60)),60)),코드표!$F$2:$F$101,0)),"⚠"&amp;TRIM(I276&amp;""))),"⚠"&amp;TRIM(I276&amp;""))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",TRIM(J276&amp;""))-1),코드표!$J$2:$J$101,0)),ISNUMBER(MATCH(TRIM(RIGHT(SUBSTITUTE(TRIM(J276&amp;"")," ",REPT(" ",60)),60)),코드표!$F$2:$F$101,0))),INDEX(코드표!$K$2:$K$101,MATCH(LEFT(TRIM(J276&amp;""),FIND(" ",TRIM(J276&amp;""))-1),코드표!$J$2:$J$101,0))&amp;" "&amp;INDEX(코드표!$G$2:$G$101,MATCH(TRIM(RIGHT(SUBSTITUTE(TRIM(J276&amp;"")," ",REPT(" ",60)),60)),코드표!$F$2:$F$101,0)),"⚠"&amp;TRIM(J276&amp;""))),"⚠"&amp;TRIM(J276&amp;""))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",TRIM(E277&amp;""))-1),코드표!$J$2:$J$101,0)),ISNUMBER(MATCH(TRIM(RIGHT(SUBSTITUTE(TRIM(E277&amp;"")," ",REPT(" ",60)),60)),코드표!$F$2:$F$101,0))),INDEX(코드표!$K$2:$K$101,MATCH(LEFT(TRIM(E277&amp;""),FIND(" ",TRIM(E277&amp;""))-1),코드표!$J$2:$J$101,0))&amp;" "&amp;INDEX(코드표!$G$2:$G$101,MATCH(TRIM(RIGHT(SUBSTITUTE(TRIM(E277&amp;"")," ",REPT(" ",60)),60)),코드표!$F$2:$F$101,0)),"⚠"&amp;TRIM(E277&amp;""))),"⚠"&amp;TRIM(E277&amp;""))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",TRIM(F277&amp;""))-1),코드표!$J$2:$J$101,0)),ISNUMBER(MATCH(TRIM(RIGHT(SUBSTITUTE(TRIM(F277&amp;"")," ",REPT(" ",60)),60)),코드표!$F$2:$F$101,0))),INDEX(코드표!$K$2:$K$101,MATCH(LEFT(TRIM(F277&amp;""),FIND(" ",TRIM(F277&amp;""))-1),코드표!$J$2:$J$101,0))&amp;" "&amp;INDEX(코드표!$G$2:$G$101,MATCH(TRIM(RIGHT(SUBSTITUTE(TRIM(F277&amp;"")," ",REPT(" ",60)),60)),코드표!$F$2:$F$101,0)),"⚠"&amp;TRIM(F277&amp;""))),"⚠"&amp;TRIM(F277&amp;""))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",TRIM(G277&amp;""))-1),코드표!$J$2:$J$101,0)),ISNUMBER(MATCH(TRIM(RIGHT(SUBSTITUTE(TRIM(G277&amp;"")," ",REPT(" ",60)),60)),코드표!$F$2:$F$101,0))),INDEX(코드표!$K$2:$K$101,MATCH(LEFT(TRIM(G277&amp;""),FIND(" ",TRIM(G277&amp;""))-1),코드표!$J$2:$J$101,0))&amp;" "&amp;INDEX(코드표!$G$2:$G$101,MATCH(TRIM(RIGHT(SUBSTITUTE(TRIM(G277&amp;"")," ",REPT(" ",60)),60)),코드표!$F$2:$F$101,0)),"⚠"&amp;TRIM(G277&amp;""))),"⚠"&amp;TRIM(G277&amp;""))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",TRIM(H277&amp;""))-1),코드표!$J$2:$J$101,0)),ISNUMBER(MATCH(TRIM(RIGHT(SUBSTITUTE(TRIM(H277&amp;"")," ",REPT(" ",60)),60)),코드표!$F$2:$F$101,0))),INDEX(코드표!$K$2:$K$101,MATCH(LEFT(TRIM(H277&amp;""),FIND(" ",TRIM(H277&amp;""))-1),코드표!$J$2:$J$101,0))&amp;" "&amp;INDEX(코드표!$G$2:$G$101,MATCH(TRIM(RIGHT(SUBSTITUTE(TRIM(H277&amp;"")," ",REPT(" ",60)),60)),코드표!$F$2:$F$101,0)),"⚠"&amp;TRIM(H277&amp;""))),"⚠"&amp;TRIM(H277&amp;""))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",TRIM(I277&amp;""))-1),코드표!$J$2:$J$101,0)),ISNUMBER(MATCH(TRIM(RIGHT(SUBSTITUTE(TRIM(I277&amp;"")," ",REPT(" ",60)),60)),코드표!$F$2:$F$101,0))),INDEX(코드표!$K$2:$K$101,MATCH(LEFT(TRIM(I277&amp;""),FIND(" ",TRIM(I277&amp;""))-1),코드표!$J$2:$J$101,0))&amp;" "&amp;INDEX(코드표!$G$2:$G$101,MATCH(TRIM(RIGHT(SUBSTITUTE(TRIM(I277&amp;"")," ",REPT(" ",60)),60)),코드표!$F$2:$F$101,0)),"⚠"&amp;TRIM(I277&amp;""))),"⚠"&amp;TRIM(I277&amp;""))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",TRIM(J277&amp;""))-1),코드표!$J$2:$J$101,0)),ISNUMBER(MATCH(TRIM(RIGHT(SUBSTITUTE(TRIM(J277&amp;"")," ",REPT(" ",60)),60)),코드표!$F$2:$F$101,0))),INDEX(코드표!$K$2:$K$101,MATCH(LEFT(TRIM(J277&amp;""),FIND(" ",TRIM(J277&amp;""))-1),코드표!$J$2:$J$101,0))&amp;" "&amp;INDEX(코드표!$G$2:$G$101,MATCH(TRIM(RIGHT(SUBSTITUTE(TRIM(J277&amp;"")," ",REPT(" ",60)),60)),코드표!$F$2:$F$101,0)),"⚠"&amp;TRIM(J277&amp;""))),"⚠"&amp;TRIM(J277&amp;""))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",TRIM(E278&amp;""))-1),코드표!$J$2:$J$101,0)),ISNUMBER(MATCH(TRIM(RIGHT(SUBSTITUTE(TRIM(E278&amp;"")," ",REPT(" ",60)),60)),코드표!$F$2:$F$101,0))),INDEX(코드표!$K$2:$K$101,MATCH(LEFT(TRIM(E278&amp;""),FIND(" ",TRIM(E278&amp;""))-1),코드표!$J$2:$J$101,0))&amp;" "&amp;INDEX(코드표!$G$2:$G$101,MATCH(TRIM(RIGHT(SUBSTITUTE(TRIM(E278&amp;"")," ",REPT(" ",60)),60)),코드표!$F$2:$F$101,0)),"⚠"&amp;TRIM(E278&amp;""))),"⚠"&amp;TRIM(E278&amp;""))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",TRIM(F278&amp;""))-1),코드표!$J$2:$J$101,0)),ISNUMBER(MATCH(TRIM(RIGHT(SUBSTITUTE(TRIM(F278&amp;"")," ",REPT(" ",60)),60)),코드표!$F$2:$F$101,0))),INDEX(코드표!$K$2:$K$101,MATCH(LEFT(TRIM(F278&amp;""),FIND(" ",TRIM(F278&amp;""))-1),코드표!$J$2:$J$101,0))&amp;" "&amp;INDEX(코드표!$G$2:$G$101,MATCH(TRIM(RIGHT(SUBSTITUTE(TRIM(F278&amp;"")," ",REPT(" ",60)),60)),코드표!$F$2:$F$101,0)),"⚠"&amp;TRIM(F278&amp;""))),"⚠"&amp;TRIM(F278&amp;""))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",TRIM(G278&amp;""))-1),코드표!$J$2:$J$101,0)),ISNUMBER(MATCH(TRIM(RIGHT(SUBSTITUTE(TRIM(G278&amp;"")," ",REPT(" ",60)),60)),코드표!$F$2:$F$101,0))),INDEX(코드표!$K$2:$K$101,MATCH(LEFT(TRIM(G278&amp;""),FIND(" ",TRIM(G278&amp;""))-1),코드표!$J$2:$J$101,0))&amp;" "&amp;INDEX(코드표!$G$2:$G$101,MATCH(TRIM(RIGHT(SUBSTITUTE(TRIM(G278&amp;"")," ",REPT(" ",60)),60)),코드표!$F$2:$F$101,0)),"⚠"&amp;TRIM(G278&amp;""))),"⚠"&amp;TRIM(G278&amp;""))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",TRIM(H278&amp;""))-1),코드표!$J$2:$J$101,0)),ISNUMBER(MATCH(TRIM(RIGHT(SUBSTITUTE(TRIM(H278&amp;"")," ",REPT(" ",60)),60)),코드표!$F$2:$F$101,0))),INDEX(코드표!$K$2:$K$101,MATCH(LEFT(TRIM(H278&amp;""),FIND(" ",TRIM(H278&amp;""))-1),코드표!$J$2:$J$101,0))&amp;" "&amp;INDEX(코드표!$G$2:$G$101,MATCH(TRIM(RIGHT(SUBSTITUTE(TRIM(H278&amp;"")," ",REPT(" ",60)),60)),코드표!$F$2:$F$101,0)),"⚠"&amp;TRIM(H278&amp;""))),"⚠"&amp;TRIM(H278&amp;""))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",TRIM(I278&amp;""))-1),코드표!$J$2:$J$101,0)),ISNUMBER(MATCH(TRIM(RIGHT(SUBSTITUTE(TRIM(I278&amp;"")," ",REPT(" ",60)),60)),코드표!$F$2:$F$101,0))),INDEX(코드표!$K$2:$K$101,MATCH(LEFT(TRIM(I278&amp;""),FIND(" ",TRIM(I278&amp;""))-1),코드표!$J$2:$J$101,0))&amp;" "&amp;INDEX(코드표!$G$2:$G$101,MATCH(TRIM(RIGHT(SUBSTITUTE(TRIM(I278&amp;"")," ",REPT(" ",60)),60)),코드표!$F$2:$F$101,0)),"⚠"&amp;TRIM(I278&amp;""))),"⚠"&amp;TRIM(I278&amp;""))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",TRIM(J278&amp;""))-1),코드표!$J$2:$J$101,0)),ISNUMBER(MATCH(TRIM(RIGHT(SUBSTITUTE(TRIM(J278&amp;"")," ",REPT(" ",60)),60)),코드표!$F$2:$F$101,0))),INDEX(코드표!$K$2:$K$101,MATCH(LEFT(TRIM(J278&amp;""),FIND(" ",TRIM(J278&amp;""))-1),코드표!$J$2:$J$101,0))&amp;" "&amp;INDEX(코드표!$G$2:$G$101,MATCH(TRIM(RIGHT(SUBSTITUTE(TRIM(J278&amp;"")," ",REPT(" ",60)),60)),코드표!$F$2:$F$101,0)),"⚠"&amp;TRIM(J278&amp;""))),"⚠"&amp;TRIM(J278&amp;""))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",TRIM(E279&amp;""))-1),코드표!$J$2:$J$101,0)),ISNUMBER(MATCH(TRIM(RIGHT(SUBSTITUTE(TRIM(E279&amp;"")," ",REPT(" ",60)),60)),코드표!$F$2:$F$101,0))),INDEX(코드표!$K$2:$K$101,MATCH(LEFT(TRIM(E279&amp;""),FIND(" ",TRIM(E279&amp;""))-1),코드표!$J$2:$J$101,0))&amp;" "&amp;INDEX(코드표!$G$2:$G$101,MATCH(TRIM(RIGHT(SUBSTITUTE(TRIM(E279&amp;"")," ",REPT(" ",60)),60)),코드표!$F$2:$F$101,0)),"⚠"&amp;TRIM(E279&amp;""))),"⚠"&amp;TRIM(E279&amp;""))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",TRIM(F279&amp;""))-1),코드표!$J$2:$J$101,0)),ISNUMBER(MATCH(TRIM(RIGHT(SUBSTITUTE(TRIM(F279&amp;"")," ",REPT(" ",60)),60)),코드표!$F$2:$F$101,0))),INDEX(코드표!$K$2:$K$101,MATCH(LEFT(TRIM(F279&amp;""),FIND(" ",TRIM(F279&amp;""))-1),코드표!$J$2:$J$101,0))&amp;" "&amp;INDEX(코드표!$G$2:$G$101,MATCH(TRIM(RIGHT(SUBSTITUTE(TRIM(F279&amp;"")," ",REPT(" ",60)),60)),코드표!$F$2:$F$101,0)),"⚠"&amp;TRIM(F279&amp;""))),"⚠"&amp;TRIM(F279&amp;""))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",TRIM(G279&amp;""))-1),코드표!$J$2:$J$101,0)),ISNUMBER(MATCH(TRIM(RIGHT(SUBSTITUTE(TRIM(G279&amp;"")," ",REPT(" ",60)),60)),코드표!$F$2:$F$101,0))),INDEX(코드표!$K$2:$K$101,MATCH(LEFT(TRIM(G279&amp;""),FIND(" ",TRIM(G279&amp;""))-1),코드표!$J$2:$J$101,0))&amp;" "&amp;INDEX(코드표!$G$2:$G$101,MATCH(TRIM(RIGHT(SUBSTITUTE(TRIM(G279&amp;"")," ",REPT(" ",60)),60)),코드표!$F$2:$F$101,0)),"⚠"&amp;TRIM(G279&amp;""))),"⚠"&amp;TRIM(G279&amp;""))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",TRIM(H279&amp;""))-1),코드표!$J$2:$J$101,0)),ISNUMBER(MATCH(TRIM(RIGHT(SUBSTITUTE(TRIM(H279&amp;"")," ",REPT(" ",60)),60)),코드표!$F$2:$F$101,0))),INDEX(코드표!$K$2:$K$101,MATCH(LEFT(TRIM(H279&amp;""),FIND(" ",TRIM(H279&amp;""))-1),코드표!$J$2:$J$101,0))&amp;" "&amp;INDEX(코드표!$G$2:$G$101,MATCH(TRIM(RIGHT(SUBSTITUTE(TRIM(H279&amp;"")," ",REPT(" ",60)),60)),코드표!$F$2:$F$101,0)),"⚠"&amp;TRIM(H279&amp;""))),"⚠"&amp;TRIM(H279&amp;""))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",TRIM(I279&amp;""))-1),코드표!$J$2:$J$101,0)),ISNUMBER(MATCH(TRIM(RIGHT(SUBSTITUTE(TRIM(I279&amp;"")," ",REPT(" ",60)),60)),코드표!$F$2:$F$101,0))),INDEX(코드표!$K$2:$K$101,MATCH(LEFT(TRIM(I279&amp;""),FIND(" ",TRIM(I279&amp;""))-1),코드표!$J$2:$J$101,0))&amp;" "&amp;INDEX(코드표!$G$2:$G$101,MATCH(TRIM(RIGHT(SUBSTITUTE(TRIM(I279&amp;"")," ",REPT(" ",60)),60)),코드표!$F$2:$F$101,0)),"⚠"&amp;TRIM(I279&amp;""))),"⚠"&amp;TRIM(I279&amp;""))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",TRIM(J279&amp;""))-1),코드표!$J$2:$J$101,0)),ISNUMBER(MATCH(TRIM(RIGHT(SUBSTITUTE(TRIM(J279&amp;"")," ",REPT(" ",60)),60)),코드표!$F$2:$F$101,0))),INDEX(코드표!$K$2:$K$101,MATCH(LEFT(TRIM(J279&amp;""),FIND(" ",TRIM(J279&amp;""))-1),코드표!$J$2:$J$101,0))&amp;" "&amp;INDEX(코드표!$G$2:$G$101,MATCH(TRIM(RIGHT(SUBSTITUTE(TRIM(J279&amp;"")," ",REPT(" ",60)),60)),코드표!$F$2:$F$101,0)),"⚠"&amp;TRIM(J279&amp;""))),"⚠"&amp;TRIM(J279&amp;""))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",TRIM(E280&amp;""))-1),코드표!$J$2:$J$101,0)),ISNUMBER(MATCH(TRIM(RIGHT(SUBSTITUTE(TRIM(E280&amp;"")," ",REPT(" ",60)),60)),코드표!$F$2:$F$101,0))),INDEX(코드표!$K$2:$K$101,MATCH(LEFT(TRIM(E280&amp;""),FIND(" ",TRIM(E280&amp;""))-1),코드표!$J$2:$J$101,0))&amp;" "&amp;INDEX(코드표!$G$2:$G$101,MATCH(TRIM(RIGHT(SUBSTITUTE(TRIM(E280&amp;"")," ",REPT(" ",60)),60)),코드표!$F$2:$F$101,0)),"⚠"&amp;TRIM(E280&amp;""))),"⚠"&amp;TRIM(E280&amp;""))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",TRIM(F280&amp;""))-1),코드표!$J$2:$J$101,0)),ISNUMBER(MATCH(TRIM(RIGHT(SUBSTITUTE(TRIM(F280&amp;"")," ",REPT(" ",60)),60)),코드표!$F$2:$F$101,0))),INDEX(코드표!$K$2:$K$101,MATCH(LEFT(TRIM(F280&amp;""),FIND(" ",TRIM(F280&amp;""))-1),코드표!$J$2:$J$101,0))&amp;" "&amp;INDEX(코드표!$G$2:$G$101,MATCH(TRIM(RIGHT(SUBSTITUTE(TRIM(F280&amp;"")," ",REPT(" ",60)),60)),코드표!$F$2:$F$101,0)),"⚠"&amp;TRIM(F280&amp;""))),"⚠"&amp;TRIM(F280&amp;""))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",TRIM(G280&amp;""))-1),코드표!$J$2:$J$101,0)),ISNUMBER(MATCH(TRIM(RIGHT(SUBSTITUTE(TRIM(G280&amp;"")," ",REPT(" ",60)),60)),코드표!$F$2:$F$101,0))),INDEX(코드표!$K$2:$K$101,MATCH(LEFT(TRIM(G280&amp;""),FIND(" ",TRIM(G280&amp;""))-1),코드표!$J$2:$J$101,0))&amp;" "&amp;INDEX(코드표!$G$2:$G$101,MATCH(TRIM(RIGHT(SUBSTITUTE(TRIM(G280&amp;"")," ",REPT(" ",60)),60)),코드표!$F$2:$F$101,0)),"⚠"&amp;TRIM(G280&amp;""))),"⚠"&amp;TRIM(G280&amp;""))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",TRIM(H280&amp;""))-1),코드표!$J$2:$J$101,0)),ISNUMBER(MATCH(TRIM(RIGHT(SUBSTITUTE(TRIM(H280&amp;"")," ",REPT(" ",60)),60)),코드표!$F$2:$F$101,0))),INDEX(코드표!$K$2:$K$101,MATCH(LEFT(TRIM(H280&amp;""),FIND(" ",TRIM(H280&amp;""))-1),코드표!$J$2:$J$101,0))&amp;" "&amp;INDEX(코드표!$G$2:$G$101,MATCH(TRIM(RIGHT(SUBSTITUTE(TRIM(H280&amp;"")," ",REPT(" ",60)),60)),코드표!$F$2:$F$101,0)),"⚠"&amp;TRIM(H280&amp;""))),"⚠"&amp;TRIM(H280&amp;""))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",TRIM(I280&amp;""))-1),코드표!$J$2:$J$101,0)),ISNUMBER(MATCH(TRIM(RIGHT(SUBSTITUTE(TRIM(I280&amp;"")," ",REPT(" ",60)),60)),코드표!$F$2:$F$101,0))),INDEX(코드표!$K$2:$K$101,MATCH(LEFT(TRIM(I280&amp;""),FIND(" ",TRIM(I280&amp;""))-1),코드표!$J$2:$J$101,0))&amp;" "&amp;INDEX(코드표!$G$2:$G$101,MATCH(TRIM(RIGHT(SUBSTITUTE(TRIM(I280&amp;"")," ",REPT(" ",60)),60)),코드표!$F$2:$F$101,0)),"⚠"&amp;TRIM(I280&amp;""))),"⚠"&amp;TRIM(I280&amp;""))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",TRIM(J280&amp;""))-1),코드표!$J$2:$J$101,0)),ISNUMBER(MATCH(TRIM(RIGHT(SUBSTITUTE(TRIM(J280&amp;"")," ",REPT(" ",60)),60)),코드표!$F$2:$F$101,0))),INDEX(코드표!$K$2:$K$101,MATCH(LEFT(TRIM(J280&amp;""),FIND(" ",TRIM(J280&amp;""))-1),코드표!$J$2:$J$101,0))&amp;" "&amp;INDEX(코드표!$G$2:$G$101,MATCH(TRIM(RIGHT(SUBSTITUTE(TRIM(J280&amp;"")," ",REPT(" ",60)),60)),코드표!$F$2:$F$101,0)),"⚠"&amp;TRIM(J280&amp;""))),"⚠"&amp;TRIM(J280&amp;""))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",TRIM(E281&amp;""))-1),코드표!$J$2:$J$101,0)),ISNUMBER(MATCH(TRIM(RIGHT(SUBSTITUTE(TRIM(E281&amp;"")," ",REPT(" ",60)),60)),코드표!$F$2:$F$101,0))),INDEX(코드표!$K$2:$K$101,MATCH(LEFT(TRIM(E281&amp;""),FIND(" ",TRIM(E281&amp;""))-1),코드표!$J$2:$J$101,0))&amp;" "&amp;INDEX(코드표!$G$2:$G$101,MATCH(TRIM(RIGHT(SUBSTITUTE(TRIM(E281&amp;"")," ",REPT(" ",60)),60)),코드표!$F$2:$F$101,0)),"⚠"&amp;TRIM(E281&amp;""))),"⚠"&amp;TRIM(E281&amp;""))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",TRIM(F281&amp;""))-1),코드표!$J$2:$J$101,0)),ISNUMBER(MATCH(TRIM(RIGHT(SUBSTITUTE(TRIM(F281&amp;"")," ",REPT(" ",60)),60)),코드표!$F$2:$F$101,0))),INDEX(코드표!$K$2:$K$101,MATCH(LEFT(TRIM(F281&amp;""),FIND(" ",TRIM(F281&amp;""))-1),코드표!$J$2:$J$101,0))&amp;" "&amp;INDEX(코드표!$G$2:$G$101,MATCH(TRIM(RIGHT(SUBSTITUTE(TRIM(F281&amp;"")," ",REPT(" ",60)),60)),코드표!$F$2:$F$101,0)),"⚠"&amp;TRIM(F281&amp;""))),"⚠"&amp;TRIM(F281&amp;""))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",TRIM(G281&amp;""))-1),코드표!$J$2:$J$101,0)),ISNUMBER(MATCH(TRIM(RIGHT(SUBSTITUTE(TRIM(G281&amp;"")," ",REPT(" ",60)),60)),코드표!$F$2:$F$101,0))),INDEX(코드표!$K$2:$K$101,MATCH(LEFT(TRIM(G281&amp;""),FIND(" ",TRIM(G281&amp;""))-1),코드표!$J$2:$J$101,0))&amp;" "&amp;INDEX(코드표!$G$2:$G$101,MATCH(TRIM(RIGHT(SUBSTITUTE(TRIM(G281&amp;"")," ",REPT(" ",60)),60)),코드표!$F$2:$F$101,0)),"⚠"&amp;TRIM(G281&amp;""))),"⚠"&amp;TRIM(G281&amp;""))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",TRIM(H281&amp;""))-1),코드표!$J$2:$J$101,0)),ISNUMBER(MATCH(TRIM(RIGHT(SUBSTITUTE(TRIM(H281&amp;"")," ",REPT(" ",60)),60)),코드표!$F$2:$F$101,0))),INDEX(코드표!$K$2:$K$101,MATCH(LEFT(TRIM(H281&amp;""),FIND(" ",TRIM(H281&amp;""))-1),코드표!$J$2:$J$101,0))&amp;" "&amp;INDEX(코드표!$G$2:$G$101,MATCH(TRIM(RIGHT(SUBSTITUTE(TRIM(H281&amp;"")," ",REPT(" ",60)),60)),코드표!$F$2:$F$101,0)),"⚠"&amp;TRIM(H281&amp;""))),"⚠"&amp;TRIM(H281&amp;""))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",TRIM(I281&amp;""))-1),코드표!$J$2:$J$101,0)),ISNUMBER(MATCH(TRIM(RIGHT(SUBSTITUTE(TRIM(I281&amp;"")," ",REPT(" ",60)),60)),코드표!$F$2:$F$101,0))),INDEX(코드표!$K$2:$K$101,MATCH(LEFT(TRIM(I281&amp;""),FIND(" ",TRIM(I281&amp;""))-1),코드표!$J$2:$J$101,0))&amp;" "&amp;INDEX(코드표!$G$2:$G$101,MATCH(TRIM(RIGHT(SUBSTITUTE(TRIM(I281&amp;"")," ",REPT(" ",60)),60)),코드표!$F$2:$F$101,0)),"⚠"&amp;TRIM(I281&amp;""))),"⚠"&amp;TRIM(I281&amp;""))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",TRIM(J281&amp;""))-1),코드표!$J$2:$J$101,0)),ISNUMBER(MATCH(TRIM(RIGHT(SUBSTITUTE(TRIM(J281&amp;"")," ",REPT(" ",60)),60)),코드표!$F$2:$F$101,0))),INDEX(코드표!$K$2:$K$101,MATCH(LEFT(TRIM(J281&amp;""),FIND(" ",TRIM(J281&amp;""))-1),코드표!$J$2:$J$101,0))&amp;" "&amp;INDEX(코드표!$G$2:$G$101,MATCH(TRIM(RIGHT(SUBSTITUTE(TRIM(J281&amp;"")," ",REPT(" ",60)),60)),코드표!$F$2:$F$101,0)),"⚠"&amp;TRIM(J281&amp;""))),"⚠"&amp;TRIM(J281&amp;""))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",TRIM(E282&amp;""))-1),코드표!$J$2:$J$101,0)),ISNUMBER(MATCH(TRIM(RIGHT(SUBSTITUTE(TRIM(E282&amp;"")," ",REPT(" ",60)),60)),코드표!$F$2:$F$101,0))),INDEX(코드표!$K$2:$K$101,MATCH(LEFT(TRIM(E282&amp;""),FIND(" ",TRIM(E282&amp;""))-1),코드표!$J$2:$J$101,0))&amp;" "&amp;INDEX(코드표!$G$2:$G$101,MATCH(TRIM(RIGHT(SUBSTITUTE(TRIM(E282&amp;"")," ",REPT(" ",60)),60)),코드표!$F$2:$F$101,0)),"⚠"&amp;TRIM(E282&amp;""))),"⚠"&amp;TRIM(E282&amp;""))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",TRIM(F282&amp;""))-1),코드표!$J$2:$J$101,0)),ISNUMBER(MATCH(TRIM(RIGHT(SUBSTITUTE(TRIM(F282&amp;"")," ",REPT(" ",60)),60)),코드표!$F$2:$F$101,0))),INDEX(코드표!$K$2:$K$101,MATCH(LEFT(TRIM(F282&amp;""),FIND(" ",TRIM(F282&amp;""))-1),코드표!$J$2:$J$101,0))&amp;" "&amp;INDEX(코드표!$G$2:$G$101,MATCH(TRIM(RIGHT(SUBSTITUTE(TRIM(F282&amp;"")," ",REPT(" ",60)),60)),코드표!$F$2:$F$101,0)),"⚠"&amp;TRIM(F282&amp;""))),"⚠"&amp;TRIM(F282&amp;""))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",TRIM(G282&amp;""))-1),코드표!$J$2:$J$101,0)),ISNUMBER(MATCH(TRIM(RIGHT(SUBSTITUTE(TRIM(G282&amp;"")," ",REPT(" ",60)),60)),코드표!$F$2:$F$101,0))),INDEX(코드표!$K$2:$K$101,MATCH(LEFT(TRIM(G282&amp;""),FIND(" ",TRIM(G282&amp;""))-1),코드표!$J$2:$J$101,0))&amp;" "&amp;INDEX(코드표!$G$2:$G$101,MATCH(TRIM(RIGHT(SUBSTITUTE(TRIM(G282&amp;"")," ",REPT(" ",60)),60)),코드표!$F$2:$F$101,0)),"⚠"&amp;TRIM(G282&amp;""))),"⚠"&amp;TRIM(G282&amp;""))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",TRIM(H282&amp;""))-1),코드표!$J$2:$J$101,0)),ISNUMBER(MATCH(TRIM(RIGHT(SUBSTITUTE(TRIM(H282&amp;"")," ",REPT(" ",60)),60)),코드표!$F$2:$F$101,0))),INDEX(코드표!$K$2:$K$101,MATCH(LEFT(TRIM(H282&amp;""),FIND(" ",TRIM(H282&amp;""))-1),코드표!$J$2:$J$101,0))&amp;" "&amp;INDEX(코드표!$G$2:$G$101,MATCH(TRIM(RIGHT(SUBSTITUTE(TRIM(H282&amp;"")," ",REPT(" ",60)),60)),코드표!$F$2:$F$101,0)),"⚠"&amp;TRIM(H282&amp;""))),"⚠"&amp;TRIM(H282&amp;""))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",TRIM(I282&amp;""))-1),코드표!$J$2:$J$101,0)),ISNUMBER(MATCH(TRIM(RIGHT(SUBSTITUTE(TRIM(I282&amp;"")," ",REPT(" ",60)),60)),코드표!$F$2:$F$101,0))),INDEX(코드표!$K$2:$K$101,MATCH(LEFT(TRIM(I282&amp;""),FIND(" ",TRIM(I282&amp;""))-1),코드표!$J$2:$J$101,0))&amp;" "&amp;INDEX(코드표!$G$2:$G$101,MATCH(TRIM(RIGHT(SUBSTITUTE(TRIM(I282&amp;"")," ",REPT(" ",60)),60)),코드표!$F$2:$F$101,0)),"⚠"&amp;TRIM(I282&amp;""))),"⚠"&amp;TRIM(I282&amp;""))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",TRIM(J282&amp;""))-1),코드표!$J$2:$J$101,0)),ISNUMBER(MATCH(TRIM(RIGHT(SUBSTITUTE(TRIM(J282&amp;"")," ",REPT(" ",60)),60)),코드표!$F$2:$F$101,0))),INDEX(코드표!$K$2:$K$101,MATCH(LEFT(TRIM(J282&amp;""),FIND(" ",TRIM(J282&amp;""))-1),코드표!$J$2:$J$101,0))&amp;" "&amp;INDEX(코드표!$G$2:$G$101,MATCH(TRIM(RIGHT(SUBSTITUTE(TRIM(J282&amp;"")," ",REPT(" ",60)),60)),코드표!$F$2:$F$101,0)),"⚠"&amp;TRIM(J282&amp;""))),"⚠"&amp;TRIM(J282&amp;""))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",TRIM(E283&amp;""))-1),코드표!$J$2:$J$101,0)),ISNUMBER(MATCH(TRIM(RIGHT(SUBSTITUTE(TRIM(E283&amp;"")," ",REPT(" ",60)),60)),코드표!$F$2:$F$101,0))),INDEX(코드표!$K$2:$K$101,MATCH(LEFT(TRIM(E283&amp;""),FIND(" ",TRIM(E283&amp;""))-1),코드표!$J$2:$J$101,0))&amp;" "&amp;INDEX(코드표!$G$2:$G$101,MATCH(TRIM(RIGHT(SUBSTITUTE(TRIM(E283&amp;"")," ",REPT(" ",60)),60)),코드표!$F$2:$F$101,0)),"⚠"&amp;TRIM(E283&amp;""))),"⚠"&amp;TRIM(E283&amp;""))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",TRIM(F283&amp;""))-1),코드표!$J$2:$J$101,0)),ISNUMBER(MATCH(TRIM(RIGHT(SUBSTITUTE(TRIM(F283&amp;"")," ",REPT(" ",60)),60)),코드표!$F$2:$F$101,0))),INDEX(코드표!$K$2:$K$101,MATCH(LEFT(TRIM(F283&amp;""),FIND(" ",TRIM(F283&amp;""))-1),코드표!$J$2:$J$101,0))&amp;" "&amp;INDEX(코드표!$G$2:$G$101,MATCH(TRIM(RIGHT(SUBSTITUTE(TRIM(F283&amp;"")," ",REPT(" ",60)),60)),코드표!$F$2:$F$101,0)),"⚠"&amp;TRIM(F283&amp;""))),"⚠"&amp;TRIM(F283&amp;""))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",TRIM(G283&amp;""))-1),코드표!$J$2:$J$101,0)),ISNUMBER(MATCH(TRIM(RIGHT(SUBSTITUTE(TRIM(G283&amp;"")," ",REPT(" ",60)),60)),코드표!$F$2:$F$101,0))),INDEX(코드표!$K$2:$K$101,MATCH(LEFT(TRIM(G283&amp;""),FIND(" ",TRIM(G283&amp;""))-1),코드표!$J$2:$J$101,0))&amp;" "&amp;INDEX(코드표!$G$2:$G$101,MATCH(TRIM(RIGHT(SUBSTITUTE(TRIM(G283&amp;"")," ",REPT(" ",60)),60)),코드표!$F$2:$F$101,0)),"⚠"&amp;TRIM(G283&amp;""))),"⚠"&amp;TRIM(G283&amp;""))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",TRIM(H283&amp;""))-1),코드표!$J$2:$J$101,0)),ISNUMBER(MATCH(TRIM(RIGHT(SUBSTITUTE(TRIM(H283&amp;"")," ",REPT(" ",60)),60)),코드표!$F$2:$F$101,0))),INDEX(코드표!$K$2:$K$101,MATCH(LEFT(TRIM(H283&amp;""),FIND(" ",TRIM(H283&amp;""))-1),코드표!$J$2:$J$101,0))&amp;" "&amp;INDEX(코드표!$G$2:$G$101,MATCH(TRIM(RIGHT(SUBSTITUTE(TRIM(H283&amp;"")," ",REPT(" ",60)),60)),코드표!$F$2:$F$101,0)),"⚠"&amp;TRIM(H283&amp;""))),"⚠"&amp;TRIM(H283&amp;""))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",TRIM(I283&amp;""))-1),코드표!$J$2:$J$101,0)),ISNUMBER(MATCH(TRIM(RIGHT(SUBSTITUTE(TRIM(I283&amp;"")," ",REPT(" ",60)),60)),코드표!$F$2:$F$101,0))),INDEX(코드표!$K$2:$K$101,MATCH(LEFT(TRIM(I283&amp;""),FIND(" ",TRIM(I283&amp;""))-1),코드표!$J$2:$J$101,0))&amp;" "&amp;INDEX(코드표!$G$2:$G$101,MATCH(TRIM(RIGHT(SUBSTITUTE(TRIM(I283&amp;"")," ",REPT(" ",60)),60)),코드표!$F$2:$F$101,0)),"⚠"&amp;TRIM(I283&amp;""))),"⚠"&amp;TRIM(I283&amp;""))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",TRIM(J283&amp;""))-1),코드표!$J$2:$J$101,0)),ISNUMBER(MATCH(TRIM(RIGHT(SUBSTITUTE(TRIM(J283&amp;"")," ",REPT(" ",60)),60)),코드표!$F$2:$F$101,0))),INDEX(코드표!$K$2:$K$101,MATCH(LEFT(TRIM(J283&amp;""),FIND(" ",TRIM(J283&amp;""))-1),코드표!$J$2:$J$101,0))&amp;" "&amp;INDEX(코드표!$G$2:$G$101,MATCH(TRIM(RIGHT(SUBSTITUTE(TRIM(J283&amp;"")," ",REPT(" ",60)),60)),코드표!$F$2:$F$101,0)),"⚠"&amp;TRIM(J283&amp;""))),"⚠"&amp;TRIM(J283&amp;""))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",TRIM(E284&amp;""))-1),코드표!$J$2:$J$101,0)),ISNUMBER(MATCH(TRIM(RIGHT(SUBSTITUTE(TRIM(E284&amp;"")," ",REPT(" ",60)),60)),코드표!$F$2:$F$101,0))),INDEX(코드표!$K$2:$K$101,MATCH(LEFT(TRIM(E284&amp;""),FIND(" ",TRIM(E284&amp;""))-1),코드표!$J$2:$J$101,0))&amp;" "&amp;INDEX(코드표!$G$2:$G$101,MATCH(TRIM(RIGHT(SUBSTITUTE(TRIM(E284&amp;"")," ",REPT(" ",60)),60)),코드표!$F$2:$F$101,0)),"⚠"&amp;TRIM(E284&amp;""))),"⚠"&amp;TRIM(E284&amp;""))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",TRIM(F284&amp;""))-1),코드표!$J$2:$J$101,0)),ISNUMBER(MATCH(TRIM(RIGHT(SUBSTITUTE(TRIM(F284&amp;"")," ",REPT(" ",60)),60)),코드표!$F$2:$F$101,0))),INDEX(코드표!$K$2:$K$101,MATCH(LEFT(TRIM(F284&amp;""),FIND(" ",TRIM(F284&amp;""))-1),코드표!$J$2:$J$101,0))&amp;" "&amp;INDEX(코드표!$G$2:$G$101,MATCH(TRIM(RIGHT(SUBSTITUTE(TRIM(F284&amp;"")," ",REPT(" ",60)),60)),코드표!$F$2:$F$101,0)),"⚠"&amp;TRIM(F284&amp;""))),"⚠"&amp;TRIM(F284&amp;""))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",TRIM(G284&amp;""))-1),코드표!$J$2:$J$101,0)),ISNUMBER(MATCH(TRIM(RIGHT(SUBSTITUTE(TRIM(G284&amp;"")," ",REPT(" ",60)),60)),코드표!$F$2:$F$101,0))),INDEX(코드표!$K$2:$K$101,MATCH(LEFT(TRIM(G284&amp;""),FIND(" ",TRIM(G284&amp;""))-1),코드표!$J$2:$J$101,0))&amp;" "&amp;INDEX(코드표!$G$2:$G$101,MATCH(TRIM(RIGHT(SUBSTITUTE(TRIM(G284&amp;"")," ",REPT(" ",60)),60)),코드표!$F$2:$F$101,0)),"⚠"&amp;TRIM(G284&amp;""))),"⚠"&amp;TRIM(G284&amp;""))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",TRIM(H284&amp;""))-1),코드표!$J$2:$J$101,0)),ISNUMBER(MATCH(TRIM(RIGHT(SUBSTITUTE(TRIM(H284&amp;"")," ",REPT(" ",60)),60)),코드표!$F$2:$F$101,0))),INDEX(코드표!$K$2:$K$101,MATCH(LEFT(TRIM(H284&amp;""),FIND(" ",TRIM(H284&amp;""))-1),코드표!$J$2:$J$101,0))&amp;" "&amp;INDEX(코드표!$G$2:$G$101,MATCH(TRIM(RIGHT(SUBSTITUTE(TRIM(H284&amp;"")," ",REPT(" ",60)),60)),코드표!$F$2:$F$101,0)),"⚠"&amp;TRIM(H284&amp;""))),"⚠"&amp;TRIM(H284&amp;""))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",TRIM(I284&amp;""))-1),코드표!$J$2:$J$101,0)),ISNUMBER(MATCH(TRIM(RIGHT(SUBSTITUTE(TRIM(I284&amp;"")," ",REPT(" ",60)),60)),코드표!$F$2:$F$101,0))),INDEX(코드표!$K$2:$K$101,MATCH(LEFT(TRIM(I284&amp;""),FIND(" ",TRIM(I284&amp;""))-1),코드표!$J$2:$J$101,0))&amp;" "&amp;INDEX(코드표!$G$2:$G$101,MATCH(TRIM(RIGHT(SUBSTITUTE(TRIM(I284&amp;"")," ",REPT(" ",60)),60)),코드표!$F$2:$F$101,0)),"⚠"&amp;TRIM(I284&amp;""))),"⚠"&amp;TRIM(I284&amp;""))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",TRIM(J284&amp;""))-1),코드표!$J$2:$J$101,0)),ISNUMBER(MATCH(TRIM(RIGHT(SUBSTITUTE(TRIM(J284&amp;"")," ",REPT(" ",60)),60)),코드표!$F$2:$F$101,0))),INDEX(코드표!$K$2:$K$101,MATCH(LEFT(TRIM(J284&amp;""),FIND(" ",TRIM(J284&amp;""))-1),코드표!$J$2:$J$101,0))&amp;" "&amp;INDEX(코드표!$G$2:$G$101,MATCH(TRIM(RIGHT(SUBSTITUTE(TRIM(J284&amp;"")," ",REPT(" ",60)),60)),코드표!$F$2:$F$101,0)),"⚠"&amp;TRIM(J284&amp;""))),"⚠"&amp;TRIM(J284&amp;""))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",TRIM(E285&amp;""))-1),코드표!$J$2:$J$101,0)),ISNUMBER(MATCH(TRIM(RIGHT(SUBSTITUTE(TRIM(E285&amp;"")," ",REPT(" ",60)),60)),코드표!$F$2:$F$101,0))),INDEX(코드표!$K$2:$K$101,MATCH(LEFT(TRIM(E285&amp;""),FIND(" ",TRIM(E285&amp;""))-1),코드표!$J$2:$J$101,0))&amp;" "&amp;INDEX(코드표!$G$2:$G$101,MATCH(TRIM(RIGHT(SUBSTITUTE(TRIM(E285&amp;"")," ",REPT(" ",60)),60)),코드표!$F$2:$F$101,0)),"⚠"&amp;TRIM(E285&amp;""))),"⚠"&amp;TRIM(E285&amp;""))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",TRIM(F285&amp;""))-1),코드표!$J$2:$J$101,0)),ISNUMBER(MATCH(TRIM(RIGHT(SUBSTITUTE(TRIM(F285&amp;"")," ",REPT(" ",60)),60)),코드표!$F$2:$F$101,0))),INDEX(코드표!$K$2:$K$101,MATCH(LEFT(TRIM(F285&amp;""),FIND(" ",TRIM(F285&amp;""))-1),코드표!$J$2:$J$101,0))&amp;" "&amp;INDEX(코드표!$G$2:$G$101,MATCH(TRIM(RIGHT(SUBSTITUTE(TRIM(F285&amp;"")," ",REPT(" ",60)),60)),코드표!$F$2:$F$101,0)),"⚠"&amp;TRIM(F285&amp;""))),"⚠"&amp;TRIM(F285&amp;""))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",TRIM(G285&amp;""))-1),코드표!$J$2:$J$101,0)),ISNUMBER(MATCH(TRIM(RIGHT(SUBSTITUTE(TRIM(G285&amp;"")," ",REPT(" ",60)),60)),코드표!$F$2:$F$101,0))),INDEX(코드표!$K$2:$K$101,MATCH(LEFT(TRIM(G285&amp;""),FIND(" ",TRIM(G285&amp;""))-1),코드표!$J$2:$J$101,0))&amp;" "&amp;INDEX(코드표!$G$2:$G$101,MATCH(TRIM(RIGHT(SUBSTITUTE(TRIM(G285&amp;"")," ",REPT(" ",60)),60)),코드표!$F$2:$F$101,0)),"⚠"&amp;TRIM(G285&amp;""))),"⚠"&amp;TRIM(G285&amp;""))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",TRIM(H285&amp;""))-1),코드표!$J$2:$J$101,0)),ISNUMBER(MATCH(TRIM(RIGHT(SUBSTITUTE(TRIM(H285&amp;"")," ",REPT(" ",60)),60)),코드표!$F$2:$F$101,0))),INDEX(코드표!$K$2:$K$101,MATCH(LEFT(TRIM(H285&amp;""),FIND(" ",TRIM(H285&amp;""))-1),코드표!$J$2:$J$101,0))&amp;" "&amp;INDEX(코드표!$G$2:$G$101,MATCH(TRIM(RIGHT(SUBSTITUTE(TRIM(H285&amp;"")," ",REPT(" ",60)),60)),코드표!$F$2:$F$101,0)),"⚠"&amp;TRIM(H285&amp;""))),"⚠"&amp;TRIM(H285&amp;""))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",TRIM(I285&amp;""))-1),코드표!$J$2:$J$101,0)),ISNUMBER(MATCH(TRIM(RIGHT(SUBSTITUTE(TRIM(I285&amp;"")," ",REPT(" ",60)),60)),코드표!$F$2:$F$101,0))),INDEX(코드표!$K$2:$K$101,MATCH(LEFT(TRIM(I285&amp;""),FIND(" ",TRIM(I285&amp;""))-1),코드표!$J$2:$J$101,0))&amp;" "&amp;INDEX(코드표!$G$2:$G$101,MATCH(TRIM(RIGHT(SUBSTITUTE(TRIM(I285&amp;"")," ",REPT(" ",60)),60)),코드표!$F$2:$F$101,0)),"⚠"&amp;TRIM(I285&amp;""))),"⚠"&amp;TRIM(I285&amp;""))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",TRIM(J285&amp;""))-1),코드표!$J$2:$J$101,0)),ISNUMBER(MATCH(TRIM(RIGHT(SUBSTITUTE(TRIM(J285&amp;"")," ",REPT(" ",60)),60)),코드표!$F$2:$F$101,0))),INDEX(코드표!$K$2:$K$101,MATCH(LEFT(TRIM(J285&amp;""),FIND(" ",TRIM(J285&amp;""))-1),코드표!$J$2:$J$101,0))&amp;" "&amp;INDEX(코드표!$G$2:$G$101,MATCH(TRIM(RIGHT(SUBSTITUTE(TRIM(J285&amp;"")," ",REPT(" ",60)),60)),코드표!$F$2:$F$101,0)),"⚠"&amp;TRIM(J285&amp;""))),"⚠"&amp;TRIM(J285&amp;""))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",TRIM(E286&amp;""))-1),코드표!$J$2:$J$101,0)),ISNUMBER(MATCH(TRIM(RIGHT(SUBSTITUTE(TRIM(E286&amp;"")," ",REPT(" ",60)),60)),코드표!$F$2:$F$101,0))),INDEX(코드표!$K$2:$K$101,MATCH(LEFT(TRIM(E286&amp;""),FIND(" ",TRIM(E286&amp;""))-1),코드표!$J$2:$J$101,0))&amp;" "&amp;INDEX(코드표!$G$2:$G$101,MATCH(TRIM(RIGHT(SUBSTITUTE(TRIM(E286&amp;"")," ",REPT(" ",60)),60)),코드표!$F$2:$F$101,0)),"⚠"&amp;TRIM(E286&amp;""))),"⚠"&amp;TRIM(E286&amp;""))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",TRIM(F286&amp;""))-1),코드표!$J$2:$J$101,0)),ISNUMBER(MATCH(TRIM(RIGHT(SUBSTITUTE(TRIM(F286&amp;"")," ",REPT(" ",60)),60)),코드표!$F$2:$F$101,0))),INDEX(코드표!$K$2:$K$101,MATCH(LEFT(TRIM(F286&amp;""),FIND(" ",TRIM(F286&amp;""))-1),코드표!$J$2:$J$101,0))&amp;" "&amp;INDEX(코드표!$G$2:$G$101,MATCH(TRIM(RIGHT(SUBSTITUTE(TRIM(F286&amp;"")," ",REPT(" ",60)),60)),코드표!$F$2:$F$101,0)),"⚠"&amp;TRIM(F286&amp;""))),"⚠"&amp;TRIM(F286&amp;""))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",TRIM(G286&amp;""))-1),코드표!$J$2:$J$101,0)),ISNUMBER(MATCH(TRIM(RIGHT(SUBSTITUTE(TRIM(G286&amp;"")," ",REPT(" ",60)),60)),코드표!$F$2:$F$101,0))),INDEX(코드표!$K$2:$K$101,MATCH(LEFT(TRIM(G286&amp;""),FIND(" ",TRIM(G286&amp;""))-1),코드표!$J$2:$J$101,0))&amp;" "&amp;INDEX(코드표!$G$2:$G$101,MATCH(TRIM(RIGHT(SUBSTITUTE(TRIM(G286&amp;"")," ",REPT(" ",60)),60)),코드표!$F$2:$F$101,0)),"⚠"&amp;TRIM(G286&amp;""))),"⚠"&amp;TRIM(G286&amp;""))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",TRIM(H286&amp;""))-1),코드표!$J$2:$J$101,0)),ISNUMBER(MATCH(TRIM(RIGHT(SUBSTITUTE(TRIM(H286&amp;"")," ",REPT(" ",60)),60)),코드표!$F$2:$F$101,0))),INDEX(코드표!$K$2:$K$101,MATCH(LEFT(TRIM(H286&amp;""),FIND(" ",TRIM(H286&amp;""))-1),코드표!$J$2:$J$101,0))&amp;" "&amp;INDEX(코드표!$G$2:$G$101,MATCH(TRIM(RIGHT(SUBSTITUTE(TRIM(H286&amp;"")," ",REPT(" ",60)),60)),코드표!$F$2:$F$101,0)),"⚠"&amp;TRIM(H286&amp;""))),"⚠"&amp;TRIM(H286&amp;""))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",TRIM(I286&amp;""))-1),코드표!$J$2:$J$101,0)),ISNUMBER(MATCH(TRIM(RIGHT(SUBSTITUTE(TRIM(I286&amp;"")," ",REPT(" ",60)),60)),코드표!$F$2:$F$101,0))),INDEX(코드표!$K$2:$K$101,MATCH(LEFT(TRIM(I286&amp;""),FIND(" ",TRIM(I286&amp;""))-1),코드표!$J$2:$J$101,0))&amp;" "&amp;INDEX(코드표!$G$2:$G$101,MATCH(TRIM(RIGHT(SUBSTITUTE(TRIM(I286&amp;"")," ",REPT(" ",60)),60)),코드표!$F$2:$F$101,0)),"⚠"&amp;TRIM(I286&amp;""))),"⚠"&amp;TRIM(I286&amp;""))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",TRIM(J286&amp;""))-1),코드표!$J$2:$J$101,0)),ISNUMBER(MATCH(TRIM(RIGHT(SUBSTITUTE(TRIM(J286&amp;"")," ",REPT(" ",60)),60)),코드표!$F$2:$F$101,0))),INDEX(코드표!$K$2:$K$101,MATCH(LEFT(TRIM(J286&amp;""),FIND(" ",TRIM(J286&amp;""))-1),코드표!$J$2:$J$101,0))&amp;" "&amp;INDEX(코드표!$G$2:$G$101,MATCH(TRIM(RIGHT(SUBSTITUTE(TRIM(J286&amp;"")," ",REPT(" ",60)),60)),코드표!$F$2:$F$101,0)),"⚠"&amp;TRIM(J286&amp;""))),"⚠"&amp;TRIM(J286&amp;""))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",TRIM(E287&amp;""))-1),코드표!$J$2:$J$101,0)),ISNUMBER(MATCH(TRIM(RIGHT(SUBSTITUTE(TRIM(E287&amp;"")," ",REPT(" ",60)),60)),코드표!$F$2:$F$101,0))),INDEX(코드표!$K$2:$K$101,MATCH(LEFT(TRIM(E287&amp;""),FIND(" ",TRIM(E287&amp;""))-1),코드표!$J$2:$J$101,0))&amp;" "&amp;INDEX(코드표!$G$2:$G$101,MATCH(TRIM(RIGHT(SUBSTITUTE(TRIM(E287&amp;"")," ",REPT(" ",60)),60)),코드표!$F$2:$F$101,0)),"⚠"&amp;TRIM(E287&amp;""))),"⚠"&amp;TRIM(E287&amp;""))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",TRIM(F287&amp;""))-1),코드표!$J$2:$J$101,0)),ISNUMBER(MATCH(TRIM(RIGHT(SUBSTITUTE(TRIM(F287&amp;"")," ",REPT(" ",60)),60)),코드표!$F$2:$F$101,0))),INDEX(코드표!$K$2:$K$101,MATCH(LEFT(TRIM(F287&amp;""),FIND(" ",TRIM(F287&amp;""))-1),코드표!$J$2:$J$101,0))&amp;" "&amp;INDEX(코드표!$G$2:$G$101,MATCH(TRIM(RIGHT(SUBSTITUTE(TRIM(F287&amp;"")," ",REPT(" ",60)),60)),코드표!$F$2:$F$101,0)),"⚠"&amp;TRIM(F287&amp;""))),"⚠"&amp;TRIM(F287&amp;""))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",TRIM(G287&amp;""))-1),코드표!$J$2:$J$101,0)),ISNUMBER(MATCH(TRIM(RIGHT(SUBSTITUTE(TRIM(G287&amp;"")," ",REPT(" ",60)),60)),코드표!$F$2:$F$101,0))),INDEX(코드표!$K$2:$K$101,MATCH(LEFT(TRIM(G287&amp;""),FIND(" ",TRIM(G287&amp;""))-1),코드표!$J$2:$J$101,0))&amp;" "&amp;INDEX(코드표!$G$2:$G$101,MATCH(TRIM(RIGHT(SUBSTITUTE(TRIM(G287&amp;"")," ",REPT(" ",60)),60)),코드표!$F$2:$F$101,0)),"⚠"&amp;TRIM(G287&amp;""))),"⚠"&amp;TRIM(G287&amp;""))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",TRIM(H287&amp;""))-1),코드표!$J$2:$J$101,0)),ISNUMBER(MATCH(TRIM(RIGHT(SUBSTITUTE(TRIM(H287&amp;"")," ",REPT(" ",60)),60)),코드표!$F$2:$F$101,0))),INDEX(코드표!$K$2:$K$101,MATCH(LEFT(TRIM(H287&amp;""),FIND(" ",TRIM(H287&amp;""))-1),코드표!$J$2:$J$101,0))&amp;" "&amp;INDEX(코드표!$G$2:$G$101,MATCH(TRIM(RIGHT(SUBSTITUTE(TRIM(H287&amp;"")," ",REPT(" ",60)),60)),코드표!$F$2:$F$101,0)),"⚠"&amp;TRIM(H287&amp;""))),"⚠"&amp;TRIM(H287&amp;""))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",TRIM(I287&amp;""))-1),코드표!$J$2:$J$101,0)),ISNUMBER(MATCH(TRIM(RIGHT(SUBSTITUTE(TRIM(I287&amp;"")," ",REPT(" ",60)),60)),코드표!$F$2:$F$101,0))),INDEX(코드표!$K$2:$K$101,MATCH(LEFT(TRIM(I287&amp;""),FIND(" ",TRIM(I287&amp;""))-1),코드표!$J$2:$J$101,0))&amp;" "&amp;INDEX(코드표!$G$2:$G$101,MATCH(TRIM(RIGHT(SUBSTITUTE(TRIM(I287&amp;"")," ",REPT(" ",60)),60)),코드표!$F$2:$F$101,0)),"⚠"&amp;TRIM(I287&amp;""))),"⚠"&amp;TRIM(I287&amp;""))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",TRIM(J287&amp;""))-1),코드표!$J$2:$J$101,0)),ISNUMBER(MATCH(TRIM(RIGHT(SUBSTITUTE(TRIM(J287&amp;"")," ",REPT(" ",60)),60)),코드표!$F$2:$F$101,0))),INDEX(코드표!$K$2:$K$101,MATCH(LEFT(TRIM(J287&amp;""),FIND(" ",TRIM(J287&amp;""))-1),코드표!$J$2:$J$101,0))&amp;" "&amp;INDEX(코드표!$G$2:$G$101,MATCH(TRIM(RIGHT(SUBSTITUTE(TRIM(J287&amp;"")," ",REPT(" ",60)),60)),코드표!$F$2:$F$101,0)),"⚠"&amp;TRIM(J287&amp;""))),"⚠"&amp;TRIM(J287&amp;""))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",TRIM(E288&amp;""))-1),코드표!$J$2:$J$101,0)),ISNUMBER(MATCH(TRIM(RIGHT(SUBSTITUTE(TRIM(E288&amp;"")," ",REPT(" ",60)),60)),코드표!$F$2:$F$101,0))),INDEX(코드표!$K$2:$K$101,MATCH(LEFT(TRIM(E288&amp;""),FIND(" ",TRIM(E288&amp;""))-1),코드표!$J$2:$J$101,0))&amp;" "&amp;INDEX(코드표!$G$2:$G$101,MATCH(TRIM(RIGHT(SUBSTITUTE(TRIM(E288&amp;"")," ",REPT(" ",60)),60)),코드표!$F$2:$F$101,0)),"⚠"&amp;TRIM(E288&amp;""))),"⚠"&amp;TRIM(E288&amp;""))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",TRIM(F288&amp;""))-1),코드표!$J$2:$J$101,0)),ISNUMBER(MATCH(TRIM(RIGHT(SUBSTITUTE(TRIM(F288&amp;"")," ",REPT(" ",60)),60)),코드표!$F$2:$F$101,0))),INDEX(코드표!$K$2:$K$101,MATCH(LEFT(TRIM(F288&amp;""),FIND(" ",TRIM(F288&amp;""))-1),코드표!$J$2:$J$101,0))&amp;" "&amp;INDEX(코드표!$G$2:$G$101,MATCH(TRIM(RIGHT(SUBSTITUTE(TRIM(F288&amp;"")," ",REPT(" ",60)),60)),코드표!$F$2:$F$101,0)),"⚠"&amp;TRIM(F288&amp;""))),"⚠"&amp;TRIM(F288&amp;""))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",TRIM(G288&amp;""))-1),코드표!$J$2:$J$101,0)),ISNUMBER(MATCH(TRIM(RIGHT(SUBSTITUTE(TRIM(G288&amp;"")," ",REPT(" ",60)),60)),코드표!$F$2:$F$101,0))),INDEX(코드표!$K$2:$K$101,MATCH(LEFT(TRIM(G288&amp;""),FIND(" ",TRIM(G288&amp;""))-1),코드표!$J$2:$J$101,0))&amp;" "&amp;INDEX(코드표!$G$2:$G$101,MATCH(TRIM(RIGHT(SUBSTITUTE(TRIM(G288&amp;"")," ",REPT(" ",60)),60)),코드표!$F$2:$F$101,0)),"⚠"&amp;TRIM(G288&amp;""))),"⚠"&amp;TRIM(G288&amp;""))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",TRIM(H288&amp;""))-1),코드표!$J$2:$J$101,0)),ISNUMBER(MATCH(TRIM(RIGHT(SUBSTITUTE(TRIM(H288&amp;"")," ",REPT(" ",60)),60)),코드표!$F$2:$F$101,0))),INDEX(코드표!$K$2:$K$101,MATCH(LEFT(TRIM(H288&amp;""),FIND(" ",TRIM(H288&amp;""))-1),코드표!$J$2:$J$101,0))&amp;" "&amp;INDEX(코드표!$G$2:$G$101,MATCH(TRIM(RIGHT(SUBSTITUTE(TRIM(H288&amp;"")," ",REPT(" ",60)),60)),코드표!$F$2:$F$101,0)),"⚠"&amp;TRIM(H288&amp;""))),"⚠"&amp;TRIM(H288&amp;""))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",TRIM(I288&amp;""))-1),코드표!$J$2:$J$101,0)),ISNUMBER(MATCH(TRIM(RIGHT(SUBSTITUTE(TRIM(I288&amp;"")," ",REPT(" ",60)),60)),코드표!$F$2:$F$101,0))),INDEX(코드표!$K$2:$K$101,MATCH(LEFT(TRIM(I288&amp;""),FIND(" ",TRIM(I288&amp;""))-1),코드표!$J$2:$J$101,0))&amp;" "&amp;INDEX(코드표!$G$2:$G$101,MATCH(TRIM(RIGHT(SUBSTITUTE(TRIM(I288&amp;"")," ",REPT(" ",60)),60)),코드표!$F$2:$F$101,0)),"⚠"&amp;TRIM(I288&amp;""))),"⚠"&amp;TRIM(I288&amp;""))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",TRIM(J288&amp;""))-1),코드표!$J$2:$J$101,0)),ISNUMBER(MATCH(TRIM(RIGHT(SUBSTITUTE(TRIM(J288&amp;"")," ",REPT(" ",60)),60)),코드표!$F$2:$F$101,0))),INDEX(코드표!$K$2:$K$101,MATCH(LEFT(TRIM(J288&amp;""),FIND(" ",TRIM(J288&amp;""))-1),코드표!$J$2:$J$101,0))&amp;" "&amp;INDEX(코드표!$G$2:$G$101,MATCH(TRIM(RIGHT(SUBSTITUTE(TRIM(J288&amp;"")," ",REPT(" ",60)),60)),코드표!$F$2:$F$101,0)),"⚠"&amp;TRIM(J288&amp;""))),"⚠"&amp;TRIM(J288&amp;""))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",TRIM(E289&amp;""))-1),코드표!$J$2:$J$101,0)),ISNUMBER(MATCH(TRIM(RIGHT(SUBSTITUTE(TRIM(E289&amp;"")," ",REPT(" ",60)),60)),코드표!$F$2:$F$101,0))),INDEX(코드표!$K$2:$K$101,MATCH(LEFT(TRIM(E289&amp;""),FIND(" ",TRIM(E289&amp;""))-1),코드표!$J$2:$J$101,0))&amp;" "&amp;INDEX(코드표!$G$2:$G$101,MATCH(TRIM(RIGHT(SUBSTITUTE(TRIM(E289&amp;"")," ",REPT(" ",60)),60)),코드표!$F$2:$F$101,0)),"⚠"&amp;TRIM(E289&amp;""))),"⚠"&amp;TRIM(E289&amp;""))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",TRIM(F289&amp;""))-1),코드표!$J$2:$J$101,0)),ISNUMBER(MATCH(TRIM(RIGHT(SUBSTITUTE(TRIM(F289&amp;"")," ",REPT(" ",60)),60)),코드표!$F$2:$F$101,0))),INDEX(코드표!$K$2:$K$101,MATCH(LEFT(TRIM(F289&amp;""),FIND(" ",TRIM(F289&amp;""))-1),코드표!$J$2:$J$101,0))&amp;" "&amp;INDEX(코드표!$G$2:$G$101,MATCH(TRIM(RIGHT(SUBSTITUTE(TRIM(F289&amp;"")," ",REPT(" ",60)),60)),코드표!$F$2:$F$101,0)),"⚠"&amp;TRIM(F289&amp;""))),"⚠"&amp;TRIM(F289&amp;""))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",TRIM(G289&amp;""))-1),코드표!$J$2:$J$101,0)),ISNUMBER(MATCH(TRIM(RIGHT(SUBSTITUTE(TRIM(G289&amp;"")," ",REPT(" ",60)),60)),코드표!$F$2:$F$101,0))),INDEX(코드표!$K$2:$K$101,MATCH(LEFT(TRIM(G289&amp;""),FIND(" ",TRIM(G289&amp;""))-1),코드표!$J$2:$J$101,0))&amp;" "&amp;INDEX(코드표!$G$2:$G$101,MATCH(TRIM(RIGHT(SUBSTITUTE(TRIM(G289&amp;"")," ",REPT(" ",60)),60)),코드표!$F$2:$F$101,0)),"⚠"&amp;TRIM(G289&amp;""))),"⚠"&amp;TRIM(G289&amp;""))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",TRIM(H289&amp;""))-1),코드표!$J$2:$J$101,0)),ISNUMBER(MATCH(TRIM(RIGHT(SUBSTITUTE(TRIM(H289&amp;"")," ",REPT(" ",60)),60)),코드표!$F$2:$F$101,0))),INDEX(코드표!$K$2:$K$101,MATCH(LEFT(TRIM(H289&amp;""),FIND(" ",TRIM(H289&amp;""))-1),코드표!$J$2:$J$101,0))&amp;" "&amp;INDEX(코드표!$G$2:$G$101,MATCH(TRIM(RIGHT(SUBSTITUTE(TRIM(H289&amp;"")," ",REPT(" ",60)),60)),코드표!$F$2:$F$101,0)),"⚠"&amp;TRIM(H289&amp;""))),"⚠"&amp;TRIM(H289&amp;""))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",TRIM(I289&amp;""))-1),코드표!$J$2:$J$101,0)),ISNUMBER(MATCH(TRIM(RIGHT(SUBSTITUTE(TRIM(I289&amp;"")," ",REPT(" ",60)),60)),코드표!$F$2:$F$101,0))),INDEX(코드표!$K$2:$K$101,MATCH(LEFT(TRIM(I289&amp;""),FIND(" ",TRIM(I289&amp;""))-1),코드표!$J$2:$J$101,0))&amp;" "&amp;INDEX(코드표!$G$2:$G$101,MATCH(TRIM(RIGHT(SUBSTITUTE(TRIM(I289&amp;"")," ",REPT(" ",60)),60)),코드표!$F$2:$F$101,0)),"⚠"&amp;TRIM(I289&amp;""))),"⚠"&amp;TRIM(I289&amp;""))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",TRIM(J289&amp;""))-1),코드표!$J$2:$J$101,0)),ISNUMBER(MATCH(TRIM(RIGHT(SUBSTITUTE(TRIM(J289&amp;"")," ",REPT(" ",60)),60)),코드표!$F$2:$F$101,0))),INDEX(코드표!$K$2:$K$101,MATCH(LEFT(TRIM(J289&amp;""),FIND(" ",TRIM(J289&amp;""))-1),코드표!$J$2:$J$101,0))&amp;" "&amp;INDEX(코드표!$G$2:$G$101,MATCH(TRIM(RIGHT(SUBSTITUTE(TRIM(J289&amp;"")," ",REPT(" ",60)),60)),코드표!$F$2:$F$101,0)),"⚠"&amp;TRIM(J289&amp;""))),"⚠"&amp;TRIM(J289&amp;""))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",TRIM(E290&amp;""))-1),코드표!$J$2:$J$101,0)),ISNUMBER(MATCH(TRIM(RIGHT(SUBSTITUTE(TRIM(E290&amp;"")," ",REPT(" ",60)),60)),코드표!$F$2:$F$101,0))),INDEX(코드표!$K$2:$K$101,MATCH(LEFT(TRIM(E290&amp;""),FIND(" ",TRIM(E290&amp;""))-1),코드표!$J$2:$J$101,0))&amp;" "&amp;INDEX(코드표!$G$2:$G$101,MATCH(TRIM(RIGHT(SUBSTITUTE(TRIM(E290&amp;"")," ",REPT(" ",60)),60)),코드표!$F$2:$F$101,0)),"⚠"&amp;TRIM(E290&amp;""))),"⚠"&amp;TRIM(E290&amp;""))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",TRIM(F290&amp;""))-1),코드표!$J$2:$J$101,0)),ISNUMBER(MATCH(TRIM(RIGHT(SUBSTITUTE(TRIM(F290&amp;"")," ",REPT(" ",60)),60)),코드표!$F$2:$F$101,0))),INDEX(코드표!$K$2:$K$101,MATCH(LEFT(TRIM(F290&amp;""),FIND(" ",TRIM(F290&amp;""))-1),코드표!$J$2:$J$101,0))&amp;" "&amp;INDEX(코드표!$G$2:$G$101,MATCH(TRIM(RIGHT(SUBSTITUTE(TRIM(F290&amp;"")," ",REPT(" ",60)),60)),코드표!$F$2:$F$101,0)),"⚠"&amp;TRIM(F290&amp;""))),"⚠"&amp;TRIM(F290&amp;""))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",TRIM(G290&amp;""))-1),코드표!$J$2:$J$101,0)),ISNUMBER(MATCH(TRIM(RIGHT(SUBSTITUTE(TRIM(G290&amp;"")," ",REPT(" ",60)),60)),코드표!$F$2:$F$101,0))),INDEX(코드표!$K$2:$K$101,MATCH(LEFT(TRIM(G290&amp;""),FIND(" ",TRIM(G290&amp;""))-1),코드표!$J$2:$J$101,0))&amp;" "&amp;INDEX(코드표!$G$2:$G$101,MATCH(TRIM(RIGHT(SUBSTITUTE(TRIM(G290&amp;"")," ",REPT(" ",60)),60)),코드표!$F$2:$F$101,0)),"⚠"&amp;TRIM(G290&amp;""))),"⚠"&amp;TRIM(G290&amp;""))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",TRIM(H290&amp;""))-1),코드표!$J$2:$J$101,0)),ISNUMBER(MATCH(TRIM(RIGHT(SUBSTITUTE(TRIM(H290&amp;"")," ",REPT(" ",60)),60)),코드표!$F$2:$F$101,0))),INDEX(코드표!$K$2:$K$101,MATCH(LEFT(TRIM(H290&amp;""),FIND(" ",TRIM(H290&amp;""))-1),코드표!$J$2:$J$101,0))&amp;" "&amp;INDEX(코드표!$G$2:$G$101,MATCH(TRIM(RIGHT(SUBSTITUTE(TRIM(H290&amp;"")," ",REPT(" ",60)),60)),코드표!$F$2:$F$101,0)),"⚠"&amp;TRIM(H290&amp;""))),"⚠"&amp;TRIM(H290&amp;""))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",TRIM(I290&amp;""))-1),코드표!$J$2:$J$101,0)),ISNUMBER(MATCH(TRIM(RIGHT(SUBSTITUTE(TRIM(I290&amp;"")," ",REPT(" ",60)),60)),코드표!$F$2:$F$101,0))),INDEX(코드표!$K$2:$K$101,MATCH(LEFT(TRIM(I290&amp;""),FIND(" ",TRIM(I290&amp;""))-1),코드표!$J$2:$J$101,0))&amp;" "&amp;INDEX(코드표!$G$2:$G$101,MATCH(TRIM(RIGHT(SUBSTITUTE(TRIM(I290&amp;"")," ",REPT(" ",60)),60)),코드표!$F$2:$F$101,0)),"⚠"&amp;TRIM(I290&amp;""))),"⚠"&amp;TRIM(I290&amp;""))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",TRIM(J290&amp;""))-1),코드표!$J$2:$J$101,0)),ISNUMBER(MATCH(TRIM(RIGHT(SUBSTITUTE(TRIM(J290&amp;"")," ",REPT(" ",60)),60)),코드표!$F$2:$F$101,0))),INDEX(코드표!$K$2:$K$101,MATCH(LEFT(TRIM(J290&amp;""),FIND(" ",TRIM(J290&amp;""))-1),코드표!$J$2:$J$101,0))&amp;" "&amp;INDEX(코드표!$G$2:$G$101,MATCH(TRIM(RIGHT(SUBSTITUTE(TRIM(J290&amp;"")," ",REPT(" ",60)),60)),코드표!$F$2:$F$101,0)),"⚠"&amp;TRIM(J290&amp;""))),"⚠"&amp;TRIM(J290&amp;""))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",TRIM(E291&amp;""))-1),코드표!$J$2:$J$101,0)),ISNUMBER(MATCH(TRIM(RIGHT(SUBSTITUTE(TRIM(E291&amp;"")," ",REPT(" ",60)),60)),코드표!$F$2:$F$101,0))),INDEX(코드표!$K$2:$K$101,MATCH(LEFT(TRIM(E291&amp;""),FIND(" ",TRIM(E291&amp;""))-1),코드표!$J$2:$J$101,0))&amp;" "&amp;INDEX(코드표!$G$2:$G$101,MATCH(TRIM(RIGHT(SUBSTITUTE(TRIM(E291&amp;"")," ",REPT(" ",60)),60)),코드표!$F$2:$F$101,0)),"⚠"&amp;TRIM(E291&amp;""))),"⚠"&amp;TRIM(E291&amp;""))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",TRIM(F291&amp;""))-1),코드표!$J$2:$J$101,0)),ISNUMBER(MATCH(TRIM(RIGHT(SUBSTITUTE(TRIM(F291&amp;"")," ",REPT(" ",60)),60)),코드표!$F$2:$F$101,0))),INDEX(코드표!$K$2:$K$101,MATCH(LEFT(TRIM(F291&amp;""),FIND(" ",TRIM(F291&amp;""))-1),코드표!$J$2:$J$101,0))&amp;" "&amp;INDEX(코드표!$G$2:$G$101,MATCH(TRIM(RIGHT(SUBSTITUTE(TRIM(F291&amp;"")," ",REPT(" ",60)),60)),코드표!$F$2:$F$101,0)),"⚠"&amp;TRIM(F291&amp;""))),"⚠"&amp;TRIM(F291&amp;""))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",TRIM(G291&amp;""))-1),코드표!$J$2:$J$101,0)),ISNUMBER(MATCH(TRIM(RIGHT(SUBSTITUTE(TRIM(G291&amp;"")," ",REPT(" ",60)),60)),코드표!$F$2:$F$101,0))),INDEX(코드표!$K$2:$K$101,MATCH(LEFT(TRIM(G291&amp;""),FIND(" ",TRIM(G291&amp;""))-1),코드표!$J$2:$J$101,0))&amp;" "&amp;INDEX(코드표!$G$2:$G$101,MATCH(TRIM(RIGHT(SUBSTITUTE(TRIM(G291&amp;"")," ",REPT(" ",60)),60)),코드표!$F$2:$F$101,0)),"⚠"&amp;TRIM(G291&amp;""))),"⚠"&amp;TRIM(G291&amp;""))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",TRIM(H291&amp;""))-1),코드표!$J$2:$J$101,0)),ISNUMBER(MATCH(TRIM(RIGHT(SUBSTITUTE(TRIM(H291&amp;"")," ",REPT(" ",60)),60)),코드표!$F$2:$F$101,0))),INDEX(코드표!$K$2:$K$101,MATCH(LEFT(TRIM(H291&amp;""),FIND(" ",TRIM(H291&amp;""))-1),코드표!$J$2:$J$101,0))&amp;" "&amp;INDEX(코드표!$G$2:$G$101,MATCH(TRIM(RIGHT(SUBSTITUTE(TRIM(H291&amp;"")," ",REPT(" ",60)),60)),코드표!$F$2:$F$101,0)),"⚠"&amp;TRIM(H291&amp;""))),"⚠"&amp;TRIM(H291&amp;""))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",TRIM(I291&amp;""))-1),코드표!$J$2:$J$101,0)),ISNUMBER(MATCH(TRIM(RIGHT(SUBSTITUTE(TRIM(I291&amp;"")," ",REPT(" ",60)),60)),코드표!$F$2:$F$101,0))),INDEX(코드표!$K$2:$K$101,MATCH(LEFT(TRIM(I291&amp;""),FIND(" ",TRIM(I291&amp;""))-1),코드표!$J$2:$J$101,0))&amp;" "&amp;INDEX(코드표!$G$2:$G$101,MATCH(TRIM(RIGHT(SUBSTITUTE(TRIM(I291&amp;"")," ",REPT(" ",60)),60)),코드표!$F$2:$F$101,0)),"⚠"&amp;TRIM(I291&amp;""))),"⚠"&amp;TRIM(I291&amp;""))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",TRIM(J291&amp;""))-1),코드표!$J$2:$J$101,0)),ISNUMBER(MATCH(TRIM(RIGHT(SUBSTITUTE(TRIM(J291&amp;"")," ",REPT(" ",60)),60)),코드표!$F$2:$F$101,0))),INDEX(코드표!$K$2:$K$101,MATCH(LEFT(TRIM(J291&amp;""),FIND(" ",TRIM(J291&amp;""))-1),코드표!$J$2:$J$101,0))&amp;" "&amp;INDEX(코드표!$G$2:$G$101,MATCH(TRIM(RIGHT(SUBSTITUTE(TRIM(J291&amp;"")," ",REPT(" ",60)),60)),코드표!$F$2:$F$101,0)),"⚠"&amp;TRIM(J291&amp;""))),"⚠"&amp;TRIM(J291&amp;""))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",TRIM(E292&amp;""))-1),코드표!$J$2:$J$101,0)),ISNUMBER(MATCH(TRIM(RIGHT(SUBSTITUTE(TRIM(E292&amp;"")," ",REPT(" ",60)),60)),코드표!$F$2:$F$101,0))),INDEX(코드표!$K$2:$K$101,MATCH(LEFT(TRIM(E292&amp;""),FIND(" ",TRIM(E292&amp;""))-1),코드표!$J$2:$J$101,0))&amp;" "&amp;INDEX(코드표!$G$2:$G$101,MATCH(TRIM(RIGHT(SUBSTITUTE(TRIM(E292&amp;"")," ",REPT(" ",60)),60)),코드표!$F$2:$F$101,0)),"⚠"&amp;TRIM(E292&amp;""))),"⚠"&amp;TRIM(E292&amp;""))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",TRIM(F292&amp;""))-1),코드표!$J$2:$J$101,0)),ISNUMBER(MATCH(TRIM(RIGHT(SUBSTITUTE(TRIM(F292&amp;"")," ",REPT(" ",60)),60)),코드표!$F$2:$F$101,0))),INDEX(코드표!$K$2:$K$101,MATCH(LEFT(TRIM(F292&amp;""),FIND(" ",TRIM(F292&amp;""))-1),코드표!$J$2:$J$101,0))&amp;" "&amp;INDEX(코드표!$G$2:$G$101,MATCH(TRIM(RIGHT(SUBSTITUTE(TRIM(F292&amp;"")," ",REPT(" ",60)),60)),코드표!$F$2:$F$101,0)),"⚠"&amp;TRIM(F292&amp;""))),"⚠"&amp;TRIM(F292&amp;""))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",TRIM(G292&amp;""))-1),코드표!$J$2:$J$101,0)),ISNUMBER(MATCH(TRIM(RIGHT(SUBSTITUTE(TRIM(G292&amp;"")," ",REPT(" ",60)),60)),코드표!$F$2:$F$101,0))),INDEX(코드표!$K$2:$K$101,MATCH(LEFT(TRIM(G292&amp;""),FIND(" ",TRIM(G292&amp;""))-1),코드표!$J$2:$J$101,0))&amp;" "&amp;INDEX(코드표!$G$2:$G$101,MATCH(TRIM(RIGHT(SUBSTITUTE(TRIM(G292&amp;"")," ",REPT(" ",60)),60)),코드표!$F$2:$F$101,0)),"⚠"&amp;TRIM(G292&amp;""))),"⚠"&amp;TRIM(G292&amp;""))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",TRIM(H292&amp;""))-1),코드표!$J$2:$J$101,0)),ISNUMBER(MATCH(TRIM(RIGHT(SUBSTITUTE(TRIM(H292&amp;"")," ",REPT(" ",60)),60)),코드표!$F$2:$F$101,0))),INDEX(코드표!$K$2:$K$101,MATCH(LEFT(TRIM(H292&amp;""),FIND(" ",TRIM(H292&amp;""))-1),코드표!$J$2:$J$101,0))&amp;" "&amp;INDEX(코드표!$G$2:$G$101,MATCH(TRIM(RIGHT(SUBSTITUTE(TRIM(H292&amp;"")," ",REPT(" ",60)),60)),코드표!$F$2:$F$101,0)),"⚠"&amp;TRIM(H292&amp;""))),"⚠"&amp;TRIM(H292&amp;""))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",TRIM(I292&amp;""))-1),코드표!$J$2:$J$101,0)),ISNUMBER(MATCH(TRIM(RIGHT(SUBSTITUTE(TRIM(I292&amp;"")," ",REPT(" ",60)),60)),코드표!$F$2:$F$101,0))),INDEX(코드표!$K$2:$K$101,MATCH(LEFT(TRIM(I292&amp;""),FIND(" ",TRIM(I292&amp;""))-1),코드표!$J$2:$J$101,0))&amp;" "&amp;INDEX(코드표!$G$2:$G$101,MATCH(TRIM(RIGHT(SUBSTITUTE(TRIM(I292&amp;"")," ",REPT(" ",60)),60)),코드표!$F$2:$F$101,0)),"⚠"&amp;TRIM(I292&amp;""))),"⚠"&amp;TRIM(I292&amp;""))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",TRIM(J292&amp;""))-1),코드표!$J$2:$J$101,0)),ISNUMBER(MATCH(TRIM(RIGHT(SUBSTITUTE(TRIM(J292&amp;"")," ",REPT(" ",60)),60)),코드표!$F$2:$F$101,0))),INDEX(코드표!$K$2:$K$101,MATCH(LEFT(TRIM(J292&amp;""),FIND(" ",TRIM(J292&amp;""))-1),코드표!$J$2:$J$101,0))&amp;" "&amp;INDEX(코드표!$G$2:$G$101,MATCH(TRIM(RIGHT(SUBSTITUTE(TRIM(J292&amp;"")," ",REPT(" ",60)),60)),코드표!$F$2:$F$101,0)),"⚠"&amp;TRIM(J292&amp;""))),"⚠"&amp;TRIM(J292&amp;""))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",TRIM(E293&amp;""))-1),코드표!$J$2:$J$101,0)),ISNUMBER(MATCH(TRIM(RIGHT(SUBSTITUTE(TRIM(E293&amp;"")," ",REPT(" ",60)),60)),코드표!$F$2:$F$101,0))),INDEX(코드표!$K$2:$K$101,MATCH(LEFT(TRIM(E293&amp;""),FIND(" ",TRIM(E293&amp;""))-1),코드표!$J$2:$J$101,0))&amp;" "&amp;INDEX(코드표!$G$2:$G$101,MATCH(TRIM(RIGHT(SUBSTITUTE(TRIM(E293&amp;"")," ",REPT(" ",60)),60)),코드표!$F$2:$F$101,0)),"⚠"&amp;TRIM(E293&amp;""))),"⚠"&amp;TRIM(E293&amp;""))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",TRIM(F293&amp;""))-1),코드표!$J$2:$J$101,0)),ISNUMBER(MATCH(TRIM(RIGHT(SUBSTITUTE(TRIM(F293&amp;"")," ",REPT(" ",60)),60)),코드표!$F$2:$F$101,0))),INDEX(코드표!$K$2:$K$101,MATCH(LEFT(TRIM(F293&amp;""),FIND(" ",TRIM(F293&amp;""))-1),코드표!$J$2:$J$101,0))&amp;" "&amp;INDEX(코드표!$G$2:$G$101,MATCH(TRIM(RIGHT(SUBSTITUTE(TRIM(F293&amp;"")," ",REPT(" ",60)),60)),코드표!$F$2:$F$101,0)),"⚠"&amp;TRIM(F293&amp;""))),"⚠"&amp;TRIM(F293&amp;""))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",TRIM(G293&amp;""))-1),코드표!$J$2:$J$101,0)),ISNUMBER(MATCH(TRIM(RIGHT(SUBSTITUTE(TRIM(G293&amp;"")," ",REPT(" ",60)),60)),코드표!$F$2:$F$101,0))),INDEX(코드표!$K$2:$K$101,MATCH(LEFT(TRIM(G293&amp;""),FIND(" ",TRIM(G293&amp;""))-1),코드표!$J$2:$J$101,0))&amp;" "&amp;INDEX(코드표!$G$2:$G$101,MATCH(TRIM(RIGHT(SUBSTITUTE(TRIM(G293&amp;"")," ",REPT(" ",60)),60)),코드표!$F$2:$F$101,0)),"⚠"&amp;TRIM(G293&amp;""))),"⚠"&amp;TRIM(G293&amp;""))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",TRIM(H293&amp;""))-1),코드표!$J$2:$J$101,0)),ISNUMBER(MATCH(TRIM(RIGHT(SUBSTITUTE(TRIM(H293&amp;"")," ",REPT(" ",60)),60)),코드표!$F$2:$F$101,0))),INDEX(코드표!$K$2:$K$101,MATCH(LEFT(TRIM(H293&amp;""),FIND(" ",TRIM(H293&amp;""))-1),코드표!$J$2:$J$101,0))&amp;" "&amp;INDEX(코드표!$G$2:$G$101,MATCH(TRIM(RIGHT(SUBSTITUTE(TRIM(H293&amp;"")," ",REPT(" ",60)),60)),코드표!$F$2:$F$101,0)),"⚠"&amp;TRIM(H293&amp;""))),"⚠"&amp;TRIM(H293&amp;""))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",TRIM(I293&amp;""))-1),코드표!$J$2:$J$101,0)),ISNUMBER(MATCH(TRIM(RIGHT(SUBSTITUTE(TRIM(I293&amp;"")," ",REPT(" ",60)),60)),코드표!$F$2:$F$101,0))),INDEX(코드표!$K$2:$K$101,MATCH(LEFT(TRIM(I293&amp;""),FIND(" ",TRIM(I293&amp;""))-1),코드표!$J$2:$J$101,0))&amp;" "&amp;INDEX(코드표!$G$2:$G$101,MATCH(TRIM(RIGHT(SUBSTITUTE(TRIM(I293&amp;"")," ",REPT(" ",60)),60)),코드표!$F$2:$F$101,0)),"⚠"&amp;TRIM(I293&amp;""))),"⚠"&amp;TRIM(I293&amp;""))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",TRIM(J293&amp;""))-1),코드표!$J$2:$J$101,0)),ISNUMBER(MATCH(TRIM(RIGHT(SUBSTITUTE(TRIM(J293&amp;"")," ",REPT(" ",60)),60)),코드표!$F$2:$F$101,0))),INDEX(코드표!$K$2:$K$101,MATCH(LEFT(TRIM(J293&amp;""),FIND(" ",TRIM(J293&amp;""))-1),코드표!$J$2:$J$101,0))&amp;" "&amp;INDEX(코드표!$G$2:$G$101,MATCH(TRIM(RIGHT(SUBSTITUTE(TRIM(J293&amp;"")," ",REPT(" ",60)),60)),코드표!$F$2:$F$101,0)),"⚠"&amp;TRIM(J293&amp;""))),"⚠"&amp;TRIM(J293&amp;""))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",TRIM(E294&amp;""))-1),코드표!$J$2:$J$101,0)),ISNUMBER(MATCH(TRIM(RIGHT(SUBSTITUTE(TRIM(E294&amp;"")," ",REPT(" ",60)),60)),코드표!$F$2:$F$101,0))),INDEX(코드표!$K$2:$K$101,MATCH(LEFT(TRIM(E294&amp;""),FIND(" ",TRIM(E294&amp;""))-1),코드표!$J$2:$J$101,0))&amp;" "&amp;INDEX(코드표!$G$2:$G$101,MATCH(TRIM(RIGHT(SUBSTITUTE(TRIM(E294&amp;"")," ",REPT(" ",60)),60)),코드표!$F$2:$F$101,0)),"⚠"&amp;TRIM(E294&amp;""))),"⚠"&amp;TRIM(E294&amp;""))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",TRIM(F294&amp;""))-1),코드표!$J$2:$J$101,0)),ISNUMBER(MATCH(TRIM(RIGHT(SUBSTITUTE(TRIM(F294&amp;"")," ",REPT(" ",60)),60)),코드표!$F$2:$F$101,0))),INDEX(코드표!$K$2:$K$101,MATCH(LEFT(TRIM(F294&amp;""),FIND(" ",TRIM(F294&amp;""))-1),코드표!$J$2:$J$101,0))&amp;" "&amp;INDEX(코드표!$G$2:$G$101,MATCH(TRIM(RIGHT(SUBSTITUTE(TRIM(F294&amp;"")," ",REPT(" ",60)),60)),코드표!$F$2:$F$101,0)),"⚠"&amp;TRIM(F294&amp;""))),"⚠"&amp;TRIM(F294&amp;""))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",TRIM(G294&amp;""))-1),코드표!$J$2:$J$101,0)),ISNUMBER(MATCH(TRIM(RIGHT(SUBSTITUTE(TRIM(G294&amp;"")," ",REPT(" ",60)),60)),코드표!$F$2:$F$101,0))),INDEX(코드표!$K$2:$K$101,MATCH(LEFT(TRIM(G294&amp;""),FIND(" ",TRIM(G294&amp;""))-1),코드표!$J$2:$J$101,0))&amp;" "&amp;INDEX(코드표!$G$2:$G$101,MATCH(TRIM(RIGHT(SUBSTITUTE(TRIM(G294&amp;"")," ",REPT(" ",60)),60)),코드표!$F$2:$F$101,0)),"⚠"&amp;TRIM(G294&amp;""))),"⚠"&amp;TRIM(G294&amp;""))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",TRIM(H294&amp;""))-1),코드표!$J$2:$J$101,0)),ISNUMBER(MATCH(TRIM(RIGHT(SUBSTITUTE(TRIM(H294&amp;"")," ",REPT(" ",60)),60)),코드표!$F$2:$F$101,0))),INDEX(코드표!$K$2:$K$101,MATCH(LEFT(TRIM(H294&amp;""),FIND(" ",TRIM(H294&amp;""))-1),코드표!$J$2:$J$101,0))&amp;" "&amp;INDEX(코드표!$G$2:$G$101,MATCH(TRIM(RIGHT(SUBSTITUTE(TRIM(H294&amp;"")," ",REPT(" ",60)),60)),코드표!$F$2:$F$101,0)),"⚠"&amp;TRIM(H294&amp;""))),"⚠"&amp;TRIM(H294&amp;""))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",TRIM(I294&amp;""))-1),코드표!$J$2:$J$101,0)),ISNUMBER(MATCH(TRIM(RIGHT(SUBSTITUTE(TRIM(I294&amp;"")," ",REPT(" ",60)),60)),코드표!$F$2:$F$101,0))),INDEX(코드표!$K$2:$K$101,MATCH(LEFT(TRIM(I294&amp;""),FIND(" ",TRIM(I294&amp;""))-1),코드표!$J$2:$J$101,0))&amp;" "&amp;INDEX(코드표!$G$2:$G$101,MATCH(TRIM(RIGHT(SUBSTITUTE(TRIM(I294&amp;"")," ",REPT(" ",60)),60)),코드표!$F$2:$F$101,0)),"⚠"&amp;TRIM(I294&amp;""))),"⚠"&amp;TRIM(I294&amp;""))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",TRIM(J294&amp;""))-1),코드표!$J$2:$J$101,0)),ISNUMBER(MATCH(TRIM(RIGHT(SUBSTITUTE(TRIM(J294&amp;"")," ",REPT(" ",60)),60)),코드표!$F$2:$F$101,0))),INDEX(코드표!$K$2:$K$101,MATCH(LEFT(TRIM(J294&amp;""),FIND(" ",TRIM(J294&amp;""))-1),코드표!$J$2:$J$101,0))&amp;" "&amp;INDEX(코드표!$G$2:$G$101,MATCH(TRIM(RIGHT(SUBSTITUTE(TRIM(J294&amp;"")," ",REPT(" ",60)),60)),코드표!$F$2:$F$101,0)),"⚠"&amp;TRIM(J294&amp;""))),"⚠"&amp;TRIM(J294&amp;""))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",TRIM(E295&amp;""))-1),코드표!$J$2:$J$101,0)),ISNUMBER(MATCH(TRIM(RIGHT(SUBSTITUTE(TRIM(E295&amp;"")," ",REPT(" ",60)),60)),코드표!$F$2:$F$101,0))),INDEX(코드표!$K$2:$K$101,MATCH(LEFT(TRIM(E295&amp;""),FIND(" ",TRIM(E295&amp;""))-1),코드표!$J$2:$J$101,0))&amp;" "&amp;INDEX(코드표!$G$2:$G$101,MATCH(TRIM(RIGHT(SUBSTITUTE(TRIM(E295&amp;"")," ",REPT(" ",60)),60)),코드표!$F$2:$F$101,0)),"⚠"&amp;TRIM(E295&amp;""))),"⚠"&amp;TRIM(E295&amp;""))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",TRIM(F295&amp;""))-1),코드표!$J$2:$J$101,0)),ISNUMBER(MATCH(TRIM(RIGHT(SUBSTITUTE(TRIM(F295&amp;"")," ",REPT(" ",60)),60)),코드표!$F$2:$F$101,0))),INDEX(코드표!$K$2:$K$101,MATCH(LEFT(TRIM(F295&amp;""),FIND(" ",TRIM(F295&amp;""))-1),코드표!$J$2:$J$101,0))&amp;" "&amp;INDEX(코드표!$G$2:$G$101,MATCH(TRIM(RIGHT(SUBSTITUTE(TRIM(F295&amp;"")," ",REPT(" ",60)),60)),코드표!$F$2:$F$101,0)),"⚠"&amp;TRIM(F295&amp;""))),"⚠"&amp;TRIM(F295&amp;""))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",TRIM(G295&amp;""))-1),코드표!$J$2:$J$101,0)),ISNUMBER(MATCH(TRIM(RIGHT(SUBSTITUTE(TRIM(G295&amp;"")," ",REPT(" ",60)),60)),코드표!$F$2:$F$101,0))),INDEX(코드표!$K$2:$K$101,MATCH(LEFT(TRIM(G295&amp;""),FIND(" ",TRIM(G295&amp;""))-1),코드표!$J$2:$J$101,0))&amp;" "&amp;INDEX(코드표!$G$2:$G$101,MATCH(TRIM(RIGHT(SUBSTITUTE(TRIM(G295&amp;"")," ",REPT(" ",60)),60)),코드표!$F$2:$F$101,0)),"⚠"&amp;TRIM(G295&amp;""))),"⚠"&amp;TRIM(G295&amp;""))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",TRIM(H295&amp;""))-1),코드표!$J$2:$J$101,0)),ISNUMBER(MATCH(TRIM(RIGHT(SUBSTITUTE(TRIM(H295&amp;"")," ",REPT(" ",60)),60)),코드표!$F$2:$F$101,0))),INDEX(코드표!$K$2:$K$101,MATCH(LEFT(TRIM(H295&amp;""),FIND(" ",TRIM(H295&amp;""))-1),코드표!$J$2:$J$101,0))&amp;" "&amp;INDEX(코드표!$G$2:$G$101,MATCH(TRIM(RIGHT(SUBSTITUTE(TRIM(H295&amp;"")," ",REPT(" ",60)),60)),코드표!$F$2:$F$101,0)),"⚠"&amp;TRIM(H295&amp;""))),"⚠"&amp;TRIM(H295&amp;""))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",TRIM(I295&amp;""))-1),코드표!$J$2:$J$101,0)),ISNUMBER(MATCH(TRIM(RIGHT(SUBSTITUTE(TRIM(I295&amp;"")," ",REPT(" ",60)),60)),코드표!$F$2:$F$101,0))),INDEX(코드표!$K$2:$K$101,MATCH(LEFT(TRIM(I295&amp;""),FIND(" ",TRIM(I295&amp;""))-1),코드표!$J$2:$J$101,0))&amp;" "&amp;INDEX(코드표!$G$2:$G$101,MATCH(TRIM(RIGHT(SUBSTITUTE(TRIM(I295&amp;"")," ",REPT(" ",60)),60)),코드표!$F$2:$F$101,0)),"⚠"&amp;TRIM(I295&amp;""))),"⚠"&amp;TRIM(I295&amp;""))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",TRIM(J295&amp;""))-1),코드표!$J$2:$J$101,0)),ISNUMBER(MATCH(TRIM(RIGHT(SUBSTITUTE(TRIM(J295&amp;"")," ",REPT(" ",60)),60)),코드표!$F$2:$F$101,0))),INDEX(코드표!$K$2:$K$101,MATCH(LEFT(TRIM(J295&amp;""),FIND(" ",TRIM(J295&amp;""))-1),코드표!$J$2:$J$101,0))&amp;" "&amp;INDEX(코드표!$G$2:$G$101,MATCH(TRIM(RIGHT(SUBSTITUTE(TRIM(J295&amp;"")," ",REPT(" ",60)),60)),코드표!$F$2:$F$101,0)),"⚠"&amp;TRIM(J295&amp;""))),"⚠"&amp;TRIM(J295&amp;""))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",TRIM(E296&amp;""))-1),코드표!$J$2:$J$101,0)),ISNUMBER(MATCH(TRIM(RIGHT(SUBSTITUTE(TRIM(E296&amp;"")," ",REPT(" ",60)),60)),코드표!$F$2:$F$101,0))),INDEX(코드표!$K$2:$K$101,MATCH(LEFT(TRIM(E296&amp;""),FIND(" ",TRIM(E296&amp;""))-1),코드표!$J$2:$J$101,0))&amp;" "&amp;INDEX(코드표!$G$2:$G$101,MATCH(TRIM(RIGHT(SUBSTITUTE(TRIM(E296&amp;"")," ",REPT(" ",60)),60)),코드표!$F$2:$F$101,0)),"⚠"&amp;TRIM(E296&amp;""))),"⚠"&amp;TRIM(E296&amp;""))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",TRIM(F296&amp;""))-1),코드표!$J$2:$J$101,0)),ISNUMBER(MATCH(TRIM(RIGHT(SUBSTITUTE(TRIM(F296&amp;"")," ",REPT(" ",60)),60)),코드표!$F$2:$F$101,0))),INDEX(코드표!$K$2:$K$101,MATCH(LEFT(TRIM(F296&amp;""),FIND(" ",TRIM(F296&amp;""))-1),코드표!$J$2:$J$101,0))&amp;" "&amp;INDEX(코드표!$G$2:$G$101,MATCH(TRIM(RIGHT(SUBSTITUTE(TRIM(F296&amp;"")," ",REPT(" ",60)),60)),코드표!$F$2:$F$101,0)),"⚠"&amp;TRIM(F296&amp;""))),"⚠"&amp;TRIM(F296&amp;""))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",TRIM(G296&amp;""))-1),코드표!$J$2:$J$101,0)),ISNUMBER(MATCH(TRIM(RIGHT(SUBSTITUTE(TRIM(G296&amp;"")," ",REPT(" ",60)),60)),코드표!$F$2:$F$101,0))),INDEX(코드표!$K$2:$K$101,MATCH(LEFT(TRIM(G296&amp;""),FIND(" ",TRIM(G296&amp;""))-1),코드표!$J$2:$J$101,0))&amp;" "&amp;INDEX(코드표!$G$2:$G$101,MATCH(TRIM(RIGHT(SUBSTITUTE(TRIM(G296&amp;"")," ",REPT(" ",60)),60)),코드표!$F$2:$F$101,0)),"⚠"&amp;TRIM(G296&amp;""))),"⚠"&amp;TRIM(G296&amp;""))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",TRIM(H296&amp;""))-1),코드표!$J$2:$J$101,0)),ISNUMBER(MATCH(TRIM(RIGHT(SUBSTITUTE(TRIM(H296&amp;"")," ",REPT(" ",60)),60)),코드표!$F$2:$F$101,0))),INDEX(코드표!$K$2:$K$101,MATCH(LEFT(TRIM(H296&amp;""),FIND(" ",TRIM(H296&amp;""))-1),코드표!$J$2:$J$101,0))&amp;" "&amp;INDEX(코드표!$G$2:$G$101,MATCH(TRIM(RIGHT(SUBSTITUTE(TRIM(H296&amp;"")," ",REPT(" ",60)),60)),코드표!$F$2:$F$101,0)),"⚠"&amp;TRIM(H296&amp;""))),"⚠"&amp;TRIM(H296&amp;""))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",TRIM(I296&amp;""))-1),코드표!$J$2:$J$101,0)),ISNUMBER(MATCH(TRIM(RIGHT(SUBSTITUTE(TRIM(I296&amp;"")," ",REPT(" ",60)),60)),코드표!$F$2:$F$101,0))),INDEX(코드표!$K$2:$K$101,MATCH(LEFT(TRIM(I296&amp;""),FIND(" ",TRIM(I296&amp;""))-1),코드표!$J$2:$J$101,0))&amp;" "&amp;INDEX(코드표!$G$2:$G$101,MATCH(TRIM(RIGHT(SUBSTITUTE(TRIM(I296&amp;"")," ",REPT(" ",60)),60)),코드표!$F$2:$F$101,0)),"⚠"&amp;TRIM(I296&amp;""))),"⚠"&amp;TRIM(I296&amp;""))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",TRIM(J296&amp;""))-1),코드표!$J$2:$J$101,0)),ISNUMBER(MATCH(TRIM(RIGHT(SUBSTITUTE(TRIM(J296&amp;"")," ",REPT(" ",60)),60)),코드표!$F$2:$F$101,0))),INDEX(코드표!$K$2:$K$101,MATCH(LEFT(TRIM(J296&amp;""),FIND(" ",TRIM(J296&amp;""))-1),코드표!$J$2:$J$101,0))&amp;" "&amp;INDEX(코드표!$G$2:$G$101,MATCH(TRIM(RIGHT(SUBSTITUTE(TRIM(J296&amp;"")," ",REPT(" ",60)),60)),코드표!$F$2:$F$101,0)),"⚠"&amp;TRIM(J296&amp;""))),"⚠"&amp;TRIM(J296&amp;""))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",TRIM(E297&amp;""))-1),코드표!$J$2:$J$101,0)),ISNUMBER(MATCH(TRIM(RIGHT(SUBSTITUTE(TRIM(E297&amp;"")," ",REPT(" ",60)),60)),코드표!$F$2:$F$101,0))),INDEX(코드표!$K$2:$K$101,MATCH(LEFT(TRIM(E297&amp;""),FIND(" ",TRIM(E297&amp;""))-1),코드표!$J$2:$J$101,0))&amp;" "&amp;INDEX(코드표!$G$2:$G$101,MATCH(TRIM(RIGHT(SUBSTITUTE(TRIM(E297&amp;"")," ",REPT(" ",60)),60)),코드표!$F$2:$F$101,0)),"⚠"&amp;TRIM(E297&amp;""))),"⚠"&amp;TRIM(E297&amp;""))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",TRIM(F297&amp;""))-1),코드표!$J$2:$J$101,0)),ISNUMBER(MATCH(TRIM(RIGHT(SUBSTITUTE(TRIM(F297&amp;"")," ",REPT(" ",60)),60)),코드표!$F$2:$F$101,0))),INDEX(코드표!$K$2:$K$101,MATCH(LEFT(TRIM(F297&amp;""),FIND(" ",TRIM(F297&amp;""))-1),코드표!$J$2:$J$101,0))&amp;" "&amp;INDEX(코드표!$G$2:$G$101,MATCH(TRIM(RIGHT(SUBSTITUTE(TRIM(F297&amp;"")," ",REPT(" ",60)),60)),코드표!$F$2:$F$101,0)),"⚠"&amp;TRIM(F297&amp;""))),"⚠"&amp;TRIM(F297&amp;""))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",TRIM(G297&amp;""))-1),코드표!$J$2:$J$101,0)),ISNUMBER(MATCH(TRIM(RIGHT(SUBSTITUTE(TRIM(G297&amp;"")," ",REPT(" ",60)),60)),코드표!$F$2:$F$101,0))),INDEX(코드표!$K$2:$K$101,MATCH(LEFT(TRIM(G297&amp;""),FIND(" ",TRIM(G297&amp;""))-1),코드표!$J$2:$J$101,0))&amp;" "&amp;INDEX(코드표!$G$2:$G$101,MATCH(TRIM(RIGHT(SUBSTITUTE(TRIM(G297&amp;"")," ",REPT(" ",60)),60)),코드표!$F$2:$F$101,0)),"⚠"&amp;TRIM(G297&amp;""))),"⚠"&amp;TRIM(G297&amp;""))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",TRIM(H297&amp;""))-1),코드표!$J$2:$J$101,0)),ISNUMBER(MATCH(TRIM(RIGHT(SUBSTITUTE(TRIM(H297&amp;"")," ",REPT(" ",60)),60)),코드표!$F$2:$F$101,0))),INDEX(코드표!$K$2:$K$101,MATCH(LEFT(TRIM(H297&amp;""),FIND(" ",TRIM(H297&amp;""))-1),코드표!$J$2:$J$101,0))&amp;" "&amp;INDEX(코드표!$G$2:$G$101,MATCH(TRIM(RIGHT(SUBSTITUTE(TRIM(H297&amp;"")," ",REPT(" ",60)),60)),코드표!$F$2:$F$101,0)),"⚠"&amp;TRIM(H297&amp;""))),"⚠"&amp;TRIM(H297&amp;""))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",TRIM(I297&amp;""))-1),코드표!$J$2:$J$101,0)),ISNUMBER(MATCH(TRIM(RIGHT(SUBSTITUTE(TRIM(I297&amp;"")," ",REPT(" ",60)),60)),코드표!$F$2:$F$101,0))),INDEX(코드표!$K$2:$K$101,MATCH(LEFT(TRIM(I297&amp;""),FIND(" ",TRIM(I297&amp;""))-1),코드표!$J$2:$J$101,0))&amp;" "&amp;INDEX(코드표!$G$2:$G$101,MATCH(TRIM(RIGHT(SUBSTITUTE(TRIM(I297&amp;"")," ",REPT(" ",60)),60)),코드표!$F$2:$F$101,0)),"⚠"&amp;TRIM(I297&amp;""))),"⚠"&amp;TRIM(I297&amp;""))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",TRIM(J297&amp;""))-1),코드표!$J$2:$J$101,0)),ISNUMBER(MATCH(TRIM(RIGHT(SUBSTITUTE(TRIM(J297&amp;"")," ",REPT(" ",60)),60)),코드표!$F$2:$F$101,0))),INDEX(코드표!$K$2:$K$101,MATCH(LEFT(TRIM(J297&amp;""),FIND(" ",TRIM(J297&amp;""))-1),코드표!$J$2:$J$101,0))&amp;" "&amp;INDEX(코드표!$G$2:$G$101,MATCH(TRIM(RIGHT(SUBSTITUTE(TRIM(J297&amp;"")," ",REPT(" ",60)),60)),코드표!$F$2:$F$101,0)),"⚠"&amp;TRIM(J297&amp;""))),"⚠"&amp;TRIM(J297&amp;""))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",TRIM(E298&amp;""))-1),코드표!$J$2:$J$101,0)),ISNUMBER(MATCH(TRIM(RIGHT(SUBSTITUTE(TRIM(E298&amp;"")," ",REPT(" ",60)),60)),코드표!$F$2:$F$101,0))),INDEX(코드표!$K$2:$K$101,MATCH(LEFT(TRIM(E298&amp;""),FIND(" ",TRIM(E298&amp;""))-1),코드표!$J$2:$J$101,0))&amp;" "&amp;INDEX(코드표!$G$2:$G$101,MATCH(TRIM(RIGHT(SUBSTITUTE(TRIM(E298&amp;"")," ",REPT(" ",60)),60)),코드표!$F$2:$F$101,0)),"⚠"&amp;TRIM(E298&amp;""))),"⚠"&amp;TRIM(E298&amp;""))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",TRIM(F298&amp;""))-1),코드표!$J$2:$J$101,0)),ISNUMBER(MATCH(TRIM(RIGHT(SUBSTITUTE(TRIM(F298&amp;"")," ",REPT(" ",60)),60)),코드표!$F$2:$F$101,0))),INDEX(코드표!$K$2:$K$101,MATCH(LEFT(TRIM(F298&amp;""),FIND(" ",TRIM(F298&amp;""))-1),코드표!$J$2:$J$101,0))&amp;" "&amp;INDEX(코드표!$G$2:$G$101,MATCH(TRIM(RIGHT(SUBSTITUTE(TRIM(F298&amp;"")," ",REPT(" ",60)),60)),코드표!$F$2:$F$101,0)),"⚠"&amp;TRIM(F298&amp;""))),"⚠"&amp;TRIM(F298&amp;""))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",TRIM(G298&amp;""))-1),코드표!$J$2:$J$101,0)),ISNUMBER(MATCH(TRIM(RIGHT(SUBSTITUTE(TRIM(G298&amp;"")," ",REPT(" ",60)),60)),코드표!$F$2:$F$101,0))),INDEX(코드표!$K$2:$K$101,MATCH(LEFT(TRIM(G298&amp;""),FIND(" ",TRIM(G298&amp;""))-1),코드표!$J$2:$J$101,0))&amp;" "&amp;INDEX(코드표!$G$2:$G$101,MATCH(TRIM(RIGHT(SUBSTITUTE(TRIM(G298&amp;"")," ",REPT(" ",60)),60)),코드표!$F$2:$F$101,0)),"⚠"&amp;TRIM(G298&amp;""))),"⚠"&amp;TRIM(G298&amp;""))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",TRIM(H298&amp;""))-1),코드표!$J$2:$J$101,0)),ISNUMBER(MATCH(TRIM(RIGHT(SUBSTITUTE(TRIM(H298&amp;"")," ",REPT(" ",60)),60)),코드표!$F$2:$F$101,0))),INDEX(코드표!$K$2:$K$101,MATCH(LEFT(TRIM(H298&amp;""),FIND(" ",TRIM(H298&amp;""))-1),코드표!$J$2:$J$101,0))&amp;" "&amp;INDEX(코드표!$G$2:$G$101,MATCH(TRIM(RIGHT(SUBSTITUTE(TRIM(H298&amp;"")," ",REPT(" ",60)),60)),코드표!$F$2:$F$101,0)),"⚠"&amp;TRIM(H298&amp;""))),"⚠"&amp;TRIM(H298&amp;""))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",TRIM(I298&amp;""))-1),코드표!$J$2:$J$101,0)),ISNUMBER(MATCH(TRIM(RIGHT(SUBSTITUTE(TRIM(I298&amp;"")," ",REPT(" ",60)),60)),코드표!$F$2:$F$101,0))),INDEX(코드표!$K$2:$K$101,MATCH(LEFT(TRIM(I298&amp;""),FIND(" ",TRIM(I298&amp;""))-1),코드표!$J$2:$J$101,0))&amp;" "&amp;INDEX(코드표!$G$2:$G$101,MATCH(TRIM(RIGHT(SUBSTITUTE(TRIM(I298&amp;"")," ",REPT(" ",60)),60)),코드표!$F$2:$F$101,0)),"⚠"&amp;TRIM(I298&amp;""))),"⚠"&amp;TRIM(I298&amp;""))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",TRIM(J298&amp;""))-1),코드표!$J$2:$J$101,0)),ISNUMBER(MATCH(TRIM(RIGHT(SUBSTITUTE(TRIM(J298&amp;"")," ",REPT(" ",60)),60)),코드표!$F$2:$F$101,0))),INDEX(코드표!$K$2:$K$101,MATCH(LEFT(TRIM(J298&amp;""),FIND(" ",TRIM(J298&amp;""))-1),코드표!$J$2:$J$101,0))&amp;" "&amp;INDEX(코드표!$G$2:$G$101,MATCH(TRIM(RIGHT(SUBSTITUTE(TRIM(J298&amp;"")," ",REPT(" ",60)),60)),코드표!$F$2:$F$101,0)),"⚠"&amp;TRIM(J298&amp;""))),"⚠"&amp;TRIM(J298&amp;""))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",TRIM(E299&amp;""))-1),코드표!$J$2:$J$101,0)),ISNUMBER(MATCH(TRIM(RIGHT(SUBSTITUTE(TRIM(E299&amp;"")," ",REPT(" ",60)),60)),코드표!$F$2:$F$101,0))),INDEX(코드표!$K$2:$K$101,MATCH(LEFT(TRIM(E299&amp;""),FIND(" ",TRIM(E299&amp;""))-1),코드표!$J$2:$J$101,0))&amp;" "&amp;INDEX(코드표!$G$2:$G$101,MATCH(TRIM(RIGHT(SUBSTITUTE(TRIM(E299&amp;"")," ",REPT(" ",60)),60)),코드표!$F$2:$F$101,0)),"⚠"&amp;TRIM(E299&amp;""))),"⚠"&amp;TRIM(E299&amp;""))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",TRIM(F299&amp;""))-1),코드표!$J$2:$J$101,0)),ISNUMBER(MATCH(TRIM(RIGHT(SUBSTITUTE(TRIM(F299&amp;"")," ",REPT(" ",60)),60)),코드표!$F$2:$F$101,0))),INDEX(코드표!$K$2:$K$101,MATCH(LEFT(TRIM(F299&amp;""),FIND(" ",TRIM(F299&amp;""))-1),코드표!$J$2:$J$101,0))&amp;" "&amp;INDEX(코드표!$G$2:$G$101,MATCH(TRIM(RIGHT(SUBSTITUTE(TRIM(F299&amp;"")," ",REPT(" ",60)),60)),코드표!$F$2:$F$101,0)),"⚠"&amp;TRIM(F299&amp;""))),"⚠"&amp;TRIM(F299&amp;""))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",TRIM(G299&amp;""))-1),코드표!$J$2:$J$101,0)),ISNUMBER(MATCH(TRIM(RIGHT(SUBSTITUTE(TRIM(G299&amp;"")," ",REPT(" ",60)),60)),코드표!$F$2:$F$101,0))),INDEX(코드표!$K$2:$K$101,MATCH(LEFT(TRIM(G299&amp;""),FIND(" ",TRIM(G299&amp;""))-1),코드표!$J$2:$J$101,0))&amp;" "&amp;INDEX(코드표!$G$2:$G$101,MATCH(TRIM(RIGHT(SUBSTITUTE(TRIM(G299&amp;"")," ",REPT(" ",60)),60)),코드표!$F$2:$F$101,0)),"⚠"&amp;TRIM(G299&amp;""))),"⚠"&amp;TRIM(G299&amp;""))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",TRIM(H299&amp;""))-1),코드표!$J$2:$J$101,0)),ISNUMBER(MATCH(TRIM(RIGHT(SUBSTITUTE(TRIM(H299&amp;"")," ",REPT(" ",60)),60)),코드표!$F$2:$F$101,0))),INDEX(코드표!$K$2:$K$101,MATCH(LEFT(TRIM(H299&amp;""),FIND(" ",TRIM(H299&amp;""))-1),코드표!$J$2:$J$101,0))&amp;" "&amp;INDEX(코드표!$G$2:$G$101,MATCH(TRIM(RIGHT(SUBSTITUTE(TRIM(H299&amp;"")," ",REPT(" ",60)),60)),코드표!$F$2:$F$101,0)),"⚠"&amp;TRIM(H299&amp;""))),"⚠"&amp;TRIM(H299&amp;""))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",TRIM(I299&amp;""))-1),코드표!$J$2:$J$101,0)),ISNUMBER(MATCH(TRIM(RIGHT(SUBSTITUTE(TRIM(I299&amp;"")," ",REPT(" ",60)),60)),코드표!$F$2:$F$101,0))),INDEX(코드표!$K$2:$K$101,MATCH(LEFT(TRIM(I299&amp;""),FIND(" ",TRIM(I299&amp;""))-1),코드표!$J$2:$J$101,0))&amp;" "&amp;INDEX(코드표!$G$2:$G$101,MATCH(TRIM(RIGHT(SUBSTITUTE(TRIM(I299&amp;"")," ",REPT(" ",60)),60)),코드표!$F$2:$F$101,0)),"⚠"&amp;TRIM(I299&amp;""))),"⚠"&amp;TRIM(I299&amp;""))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",TRIM(J299&amp;""))-1),코드표!$J$2:$J$101,0)),ISNUMBER(MATCH(TRIM(RIGHT(SUBSTITUTE(TRIM(J299&amp;"")," ",REPT(" ",60)),60)),코드표!$F$2:$F$101,0))),INDEX(코드표!$K$2:$K$101,MATCH(LEFT(TRIM(J299&amp;""),FIND(" ",TRIM(J299&amp;""))-1),코드표!$J$2:$J$101,0))&amp;" "&amp;INDEX(코드표!$G$2:$G$101,MATCH(TRIM(RIGHT(SUBSTITUTE(TRIM(J299&amp;"")," ",REPT(" ",60)),60)),코드표!$F$2:$F$101,0)),"⚠"&amp;TRIM(J299&amp;""))),"⚠"&amp;TRIM(J299&amp;""))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",TRIM(E300&amp;""))-1),코드표!$J$2:$J$101,0)),ISNUMBER(MATCH(TRIM(RIGHT(SUBSTITUTE(TRIM(E300&amp;"")," ",REPT(" ",60)),60)),코드표!$F$2:$F$101,0))),INDEX(코드표!$K$2:$K$101,MATCH(LEFT(TRIM(E300&amp;""),FIND(" ",TRIM(E300&amp;""))-1),코드표!$J$2:$J$101,0))&amp;" "&amp;INDEX(코드표!$G$2:$G$101,MATCH(TRIM(RIGHT(SUBSTITUTE(TRIM(E300&amp;"")," ",REPT(" ",60)),60)),코드표!$F$2:$F$101,0)),"⚠"&amp;TRIM(E300&amp;""))),"⚠"&amp;TRIM(E300&amp;""))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",TRIM(F300&amp;""))-1),코드표!$J$2:$J$101,0)),ISNUMBER(MATCH(TRIM(RIGHT(SUBSTITUTE(TRIM(F300&amp;"")," ",REPT(" ",60)),60)),코드표!$F$2:$F$101,0))),INDEX(코드표!$K$2:$K$101,MATCH(LEFT(TRIM(F300&amp;""),FIND(" ",TRIM(F300&amp;""))-1),코드표!$J$2:$J$101,0))&amp;" "&amp;INDEX(코드표!$G$2:$G$101,MATCH(TRIM(RIGHT(SUBSTITUTE(TRIM(F300&amp;"")," ",REPT(" ",60)),60)),코드표!$F$2:$F$101,0)),"⚠"&amp;TRIM(F300&amp;""))),"⚠"&amp;TRIM(F300&amp;""))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",TRIM(G300&amp;""))-1),코드표!$J$2:$J$101,0)),ISNUMBER(MATCH(TRIM(RIGHT(SUBSTITUTE(TRIM(G300&amp;"")," ",REPT(" ",60)),60)),코드표!$F$2:$F$101,0))),INDEX(코드표!$K$2:$K$101,MATCH(LEFT(TRIM(G300&amp;""),FIND(" ",TRIM(G300&amp;""))-1),코드표!$J$2:$J$101,0))&amp;" "&amp;INDEX(코드표!$G$2:$G$101,MATCH(TRIM(RIGHT(SUBSTITUTE(TRIM(G300&amp;"")," ",REPT(" ",60)),60)),코드표!$F$2:$F$101,0)),"⚠"&amp;TRIM(G300&amp;""))),"⚠"&amp;TRIM(G300&amp;""))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",TRIM(H300&amp;""))-1),코드표!$J$2:$J$101,0)),ISNUMBER(MATCH(TRIM(RIGHT(SUBSTITUTE(TRIM(H300&amp;"")," ",REPT(" ",60)),60)),코드표!$F$2:$F$101,0))),INDEX(코드표!$K$2:$K$101,MATCH(LEFT(TRIM(H300&amp;""),FIND(" ",TRIM(H300&amp;""))-1),코드표!$J$2:$J$101,0))&amp;" "&amp;INDEX(코드표!$G$2:$G$101,MATCH(TRIM(RIGHT(SUBSTITUTE(TRIM(H300&amp;"")," ",REPT(" ",60)),60)),코드표!$F$2:$F$101,0)),"⚠"&amp;TRIM(H300&amp;""))),"⚠"&amp;TRIM(H300&amp;""))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",TRIM(I300&amp;""))-1),코드표!$J$2:$J$101,0)),ISNUMBER(MATCH(TRIM(RIGHT(SUBSTITUTE(TRIM(I300&amp;"")," ",REPT(" ",60)),60)),코드표!$F$2:$F$101,0))),INDEX(코드표!$K$2:$K$101,MATCH(LEFT(TRIM(I300&amp;""),FIND(" ",TRIM(I300&amp;""))-1),코드표!$J$2:$J$101,0))&amp;" "&amp;INDEX(코드표!$G$2:$G$101,MATCH(TRIM(RIGHT(SUBSTITUTE(TRIM(I300&amp;"")," ",REPT(" ",60)),60)),코드표!$F$2:$F$101,0)),"⚠"&amp;TRIM(I300&amp;""))),"⚠"&amp;TRIM(I300&amp;""))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",TRIM(J300&amp;""))-1),코드표!$J$2:$J$101,0)),ISNUMBER(MATCH(TRIM(RIGHT(SUBSTITUTE(TRIM(J300&amp;"")," ",REPT(" ",60)),60)),코드표!$F$2:$F$101,0))),INDEX(코드표!$K$2:$K$101,MATCH(LEFT(TRIM(J300&amp;""),FIND(" ",TRIM(J300&amp;""))-1),코드표!$J$2:$J$101,0))&amp;" "&amp;INDEX(코드표!$G$2:$G$101,MATCH(TRIM(RIGHT(SUBSTITUTE(TRIM(J300&amp;"")," ",REPT(" ",60)),60)),코드표!$F$2:$F$101,0)),"⚠"&amp;TRIM(J300&amp;""))),"⚠"&amp;TRIM(J300&amp;""))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",TRIM(E301&amp;""))-1),코드표!$J$2:$J$101,0)),ISNUMBER(MATCH(TRIM(RIGHT(SUBSTITUTE(TRIM(E301&amp;"")," ",REPT(" ",60)),60)),코드표!$F$2:$F$101,0))),INDEX(코드표!$K$2:$K$101,MATCH(LEFT(TRIM(E301&amp;""),FIND(" ",TRIM(E301&amp;""))-1),코드표!$J$2:$J$101,0))&amp;" "&amp;INDEX(코드표!$G$2:$G$101,MATCH(TRIM(RIGHT(SUBSTITUTE(TRIM(E301&amp;"")," ",REPT(" ",60)),60)),코드표!$F$2:$F$101,0)),"⚠"&amp;TRIM(E301&amp;""))),"⚠"&amp;TRIM(E301&amp;""))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",TRIM(F301&amp;""))-1),코드표!$J$2:$J$101,0)),ISNUMBER(MATCH(TRIM(RIGHT(SUBSTITUTE(TRIM(F301&amp;"")," ",REPT(" ",60)),60)),코드표!$F$2:$F$101,0))),INDEX(코드표!$K$2:$K$101,MATCH(LEFT(TRIM(F301&amp;""),FIND(" ",TRIM(F301&amp;""))-1),코드표!$J$2:$J$101,0))&amp;" "&amp;INDEX(코드표!$G$2:$G$101,MATCH(TRIM(RIGHT(SUBSTITUTE(TRIM(F301&amp;"")," ",REPT(" ",60)),60)),코드표!$F$2:$F$101,0)),"⚠"&amp;TRIM(F301&amp;""))),"⚠"&amp;TRIM(F301&amp;""))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",TRIM(G301&amp;""))-1),코드표!$J$2:$J$101,0)),ISNUMBER(MATCH(TRIM(RIGHT(SUBSTITUTE(TRIM(G301&amp;"")," ",REPT(" ",60)),60)),코드표!$F$2:$F$101,0))),INDEX(코드표!$K$2:$K$101,MATCH(LEFT(TRIM(G301&amp;""),FIND(" ",TRIM(G301&amp;""))-1),코드표!$J$2:$J$101,0))&amp;" "&amp;INDEX(코드표!$G$2:$G$101,MATCH(TRIM(RIGHT(SUBSTITUTE(TRIM(G301&amp;"")," ",REPT(" ",60)),60)),코드표!$F$2:$F$101,0)),"⚠"&amp;TRIM(G301&amp;""))),"⚠"&amp;TRIM(G301&amp;""))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",TRIM(H301&amp;""))-1),코드표!$J$2:$J$101,0)),ISNUMBER(MATCH(TRIM(RIGHT(SUBSTITUTE(TRIM(H301&amp;"")," ",REPT(" ",60)),60)),코드표!$F$2:$F$101,0))),INDEX(코드표!$K$2:$K$101,MATCH(LEFT(TRIM(H301&amp;""),FIND(" ",TRIM(H301&amp;""))-1),코드표!$J$2:$J$101,0))&amp;" "&amp;INDEX(코드표!$G$2:$G$101,MATCH(TRIM(RIGHT(SUBSTITUTE(TRIM(H301&amp;"")," ",REPT(" ",60)),60)),코드표!$F$2:$F$101,0)),"⚠"&amp;TRIM(H301&amp;""))),"⚠"&amp;TRIM(H301&amp;""))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",TRIM(I301&amp;""))-1),코드표!$J$2:$J$101,0)),ISNUMBER(MATCH(TRIM(RIGHT(SUBSTITUTE(TRIM(I301&amp;"")," ",REPT(" ",60)),60)),코드표!$F$2:$F$101,0))),INDEX(코드표!$K$2:$K$101,MATCH(LEFT(TRIM(I301&amp;""),FIND(" ",TRIM(I301&amp;""))-1),코드표!$J$2:$J$101,0))&amp;" "&amp;INDEX(코드표!$G$2:$G$101,MATCH(TRIM(RIGHT(SUBSTITUTE(TRIM(I301&amp;"")," ",REPT(" ",60)),60)),코드표!$F$2:$F$101,0)),"⚠"&amp;TRIM(I301&amp;""))),"⚠"&amp;TRIM(I301&amp;""))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",TRIM(J301&amp;""))-1),코드표!$J$2:$J$101,0)),ISNUMBER(MATCH(TRIM(RIGHT(SUBSTITUTE(TRIM(J301&amp;"")," ",REPT(" ",60)),60)),코드표!$F$2:$F$101,0))),INDEX(코드표!$K$2:$K$101,MATCH(LEFT(TRIM(J301&amp;""),FIND(" ",TRIM(J301&amp;""))-1),코드표!$J$2:$J$101,0))&amp;" "&amp;INDEX(코드표!$G$2:$G$101,MATCH(TRIM(RIGHT(SUBSTITUTE(TRIM(J301&amp;"")," ",REPT(" ",60)),60)),코드표!$F$2:$F$101,0)),"⚠"&amp;TRIM(J301&amp;""))),"⚠"&amp;TRIM(J301&amp;""))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",TRIM(E302&amp;""))-1),코드표!$J$2:$J$101,0)),ISNUMBER(MATCH(TRIM(RIGHT(SUBSTITUTE(TRIM(E302&amp;"")," ",REPT(" ",60)),60)),코드표!$F$2:$F$101,0))),INDEX(코드표!$K$2:$K$101,MATCH(LEFT(TRIM(E302&amp;""),FIND(" ",TRIM(E302&amp;""))-1),코드표!$J$2:$J$101,0))&amp;" "&amp;INDEX(코드표!$G$2:$G$101,MATCH(TRIM(RIGHT(SUBSTITUTE(TRIM(E302&amp;"")," ",REPT(" ",60)),60)),코드표!$F$2:$F$101,0)),"⚠"&amp;TRIM(E302&amp;""))),"⚠"&amp;TRIM(E302&amp;""))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",TRIM(F302&amp;""))-1),코드표!$J$2:$J$101,0)),ISNUMBER(MATCH(TRIM(RIGHT(SUBSTITUTE(TRIM(F302&amp;"")," ",REPT(" ",60)),60)),코드표!$F$2:$F$101,0))),INDEX(코드표!$K$2:$K$101,MATCH(LEFT(TRIM(F302&amp;""),FIND(" ",TRIM(F302&amp;""))-1),코드표!$J$2:$J$101,0))&amp;" "&amp;INDEX(코드표!$G$2:$G$101,MATCH(TRIM(RIGHT(SUBSTITUTE(TRIM(F302&amp;"")," ",REPT(" ",60)),60)),코드표!$F$2:$F$101,0)),"⚠"&amp;TRIM(F302&amp;""))),"⚠"&amp;TRIM(F302&amp;""))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",TRIM(G302&amp;""))-1),코드표!$J$2:$J$101,0)),ISNUMBER(MATCH(TRIM(RIGHT(SUBSTITUTE(TRIM(G302&amp;"")," ",REPT(" ",60)),60)),코드표!$F$2:$F$101,0))),INDEX(코드표!$K$2:$K$101,MATCH(LEFT(TRIM(G302&amp;""),FIND(" ",TRIM(G302&amp;""))-1),코드표!$J$2:$J$101,0))&amp;" "&amp;INDEX(코드표!$G$2:$G$101,MATCH(TRIM(RIGHT(SUBSTITUTE(TRIM(G302&amp;"")," ",REPT(" ",60)),60)),코드표!$F$2:$F$101,0)),"⚠"&amp;TRIM(G302&amp;""))),"⚠"&amp;TRIM(G302&amp;""))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",TRIM(H302&amp;""))-1),코드표!$J$2:$J$101,0)),ISNUMBER(MATCH(TRIM(RIGHT(SUBSTITUTE(TRIM(H302&amp;"")," ",REPT(" ",60)),60)),코드표!$F$2:$F$101,0))),INDEX(코드표!$K$2:$K$101,MATCH(LEFT(TRIM(H302&amp;""),FIND(" ",TRIM(H302&amp;""))-1),코드표!$J$2:$J$101,0))&amp;" "&amp;INDEX(코드표!$G$2:$G$101,MATCH(TRIM(RIGHT(SUBSTITUTE(TRIM(H302&amp;"")," ",REPT(" ",60)),60)),코드표!$F$2:$F$101,0)),"⚠"&amp;TRIM(H302&amp;""))),"⚠"&amp;TRIM(H302&amp;""))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",TRIM(I302&amp;""))-1),코드표!$J$2:$J$101,0)),ISNUMBER(MATCH(TRIM(RIGHT(SUBSTITUTE(TRIM(I302&amp;"")," ",REPT(" ",60)),60)),코드표!$F$2:$F$101,0))),INDEX(코드표!$K$2:$K$101,MATCH(LEFT(TRIM(I302&amp;""),FIND(" ",TRIM(I302&amp;""))-1),코드표!$J$2:$J$101,0))&amp;" "&amp;INDEX(코드표!$G$2:$G$101,MATCH(TRIM(RIGHT(SUBSTITUTE(TRIM(I302&amp;"")," ",REPT(" ",60)),60)),코드표!$F$2:$F$101,0)),"⚠"&amp;TRIM(I302&amp;""))),"⚠"&amp;TRIM(I302&amp;""))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",TRIM(J302&amp;""))-1),코드표!$J$2:$J$101,0)),ISNUMBER(MATCH(TRIM(RIGHT(SUBSTITUTE(TRIM(J302&amp;"")," ",REPT(" ",60)),60)),코드표!$F$2:$F$101,0))),INDEX(코드표!$K$2:$K$101,MATCH(LEFT(TRIM(J302&amp;""),FIND(" ",TRIM(J302&amp;""))-1),코드표!$J$2:$J$101,0))&amp;" "&amp;INDEX(코드표!$G$2:$G$101,MATCH(TRIM(RIGHT(SUBSTITUTE(TRIM(J302&amp;"")," ",REPT(" ",60)),60)),코드표!$F$2:$F$101,0)),"⚠"&amp;TRIM(J302&amp;""))),"⚠"&amp;TRIM(J302&amp;""))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",TRIM(E303&amp;""))-1),코드표!$J$2:$J$101,0)),ISNUMBER(MATCH(TRIM(RIGHT(SUBSTITUTE(TRIM(E303&amp;"")," ",REPT(" ",60)),60)),코드표!$F$2:$F$101,0))),INDEX(코드표!$K$2:$K$101,MATCH(LEFT(TRIM(E303&amp;""),FIND(" ",TRIM(E303&amp;""))-1),코드표!$J$2:$J$101,0))&amp;" "&amp;INDEX(코드표!$G$2:$G$101,MATCH(TRIM(RIGHT(SUBSTITUTE(TRIM(E303&amp;"")," ",REPT(" ",60)),60)),코드표!$F$2:$F$101,0)),"⚠"&amp;TRIM(E303&amp;""))),"⚠"&amp;TRIM(E303&amp;""))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",TRIM(F303&amp;""))-1),코드표!$J$2:$J$101,0)),ISNUMBER(MATCH(TRIM(RIGHT(SUBSTITUTE(TRIM(F303&amp;"")," ",REPT(" ",60)),60)),코드표!$F$2:$F$101,0))),INDEX(코드표!$K$2:$K$101,MATCH(LEFT(TRIM(F303&amp;""),FIND(" ",TRIM(F303&amp;""))-1),코드표!$J$2:$J$101,0))&amp;" "&amp;INDEX(코드표!$G$2:$G$101,MATCH(TRIM(RIGHT(SUBSTITUTE(TRIM(F303&amp;"")," ",REPT(" ",60)),60)),코드표!$F$2:$F$101,0)),"⚠"&amp;TRIM(F303&amp;""))),"⚠"&amp;TRIM(F303&amp;""))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",TRIM(G303&amp;""))-1),코드표!$J$2:$J$101,0)),ISNUMBER(MATCH(TRIM(RIGHT(SUBSTITUTE(TRIM(G303&amp;"")," ",REPT(" ",60)),60)),코드표!$F$2:$F$101,0))),INDEX(코드표!$K$2:$K$101,MATCH(LEFT(TRIM(G303&amp;""),FIND(" ",TRIM(G303&amp;""))-1),코드표!$J$2:$J$101,0))&amp;" "&amp;INDEX(코드표!$G$2:$G$101,MATCH(TRIM(RIGHT(SUBSTITUTE(TRIM(G303&amp;"")," ",REPT(" ",60)),60)),코드표!$F$2:$F$101,0)),"⚠"&amp;TRIM(G303&amp;""))),"⚠"&amp;TRIM(G303&amp;""))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",TRIM(H303&amp;""))-1),코드표!$J$2:$J$101,0)),ISNUMBER(MATCH(TRIM(RIGHT(SUBSTITUTE(TRIM(H303&amp;"")," ",REPT(" ",60)),60)),코드표!$F$2:$F$101,0))),INDEX(코드표!$K$2:$K$101,MATCH(LEFT(TRIM(H303&amp;""),FIND(" ",TRIM(H303&amp;""))-1),코드표!$J$2:$J$101,0))&amp;" "&amp;INDEX(코드표!$G$2:$G$101,MATCH(TRIM(RIGHT(SUBSTITUTE(TRIM(H303&amp;"")," ",REPT(" ",60)),60)),코드표!$F$2:$F$101,0)),"⚠"&amp;TRIM(H303&amp;""))),"⚠"&amp;TRIM(H303&amp;""))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",TRIM(I303&amp;""))-1),코드표!$J$2:$J$101,0)),ISNUMBER(MATCH(TRIM(RIGHT(SUBSTITUTE(TRIM(I303&amp;"")," ",REPT(" ",60)),60)),코드표!$F$2:$F$101,0))),INDEX(코드표!$K$2:$K$101,MATCH(LEFT(TRIM(I303&amp;""),FIND(" ",TRIM(I303&amp;""))-1),코드표!$J$2:$J$101,0))&amp;" "&amp;INDEX(코드표!$G$2:$G$101,MATCH(TRIM(RIGHT(SUBSTITUTE(TRIM(I303&amp;"")," ",REPT(" ",60)),60)),코드표!$F$2:$F$101,0)),"⚠"&amp;TRIM(I303&amp;""))),"⚠"&amp;TRIM(I303&amp;""))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",TRIM(J303&amp;""))-1),코드표!$J$2:$J$101,0)),ISNUMBER(MATCH(TRIM(RIGHT(SUBSTITUTE(TRIM(J303&amp;"")," ",REPT(" ",60)),60)),코드표!$F$2:$F$101,0))),INDEX(코드표!$K$2:$K$101,MATCH(LEFT(TRIM(J303&amp;""),FIND(" ",TRIM(J303&amp;""))-1),코드표!$J$2:$J$101,0))&amp;" "&amp;INDEX(코드표!$G$2:$G$101,MATCH(TRIM(RIGHT(SUBSTITUTE(TRIM(J303&amp;"")," ",REPT(" ",60)),60)),코드표!$F$2:$F$101,0)),"⚠"&amp;TRIM(J303&amp;""))),"⚠"&amp;TRIM(J303&amp;""))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",TRIM(E304&amp;""))-1),코드표!$J$2:$J$101,0)),ISNUMBER(MATCH(TRIM(RIGHT(SUBSTITUTE(TRIM(E304&amp;"")," ",REPT(" ",60)),60)),코드표!$F$2:$F$101,0))),INDEX(코드표!$K$2:$K$101,MATCH(LEFT(TRIM(E304&amp;""),FIND(" ",TRIM(E304&amp;""))-1),코드표!$J$2:$J$101,0))&amp;" "&amp;INDEX(코드표!$G$2:$G$101,MATCH(TRIM(RIGHT(SUBSTITUTE(TRIM(E304&amp;"")," ",REPT(" ",60)),60)),코드표!$F$2:$F$101,0)),"⚠"&amp;TRIM(E304&amp;""))),"⚠"&amp;TRIM(E304&amp;""))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",TRIM(F304&amp;""))-1),코드표!$J$2:$J$101,0)),ISNUMBER(MATCH(TRIM(RIGHT(SUBSTITUTE(TRIM(F304&amp;"")," ",REPT(" ",60)),60)),코드표!$F$2:$F$101,0))),INDEX(코드표!$K$2:$K$101,MATCH(LEFT(TRIM(F304&amp;""),FIND(" ",TRIM(F304&amp;""))-1),코드표!$J$2:$J$101,0))&amp;" "&amp;INDEX(코드표!$G$2:$G$101,MATCH(TRIM(RIGHT(SUBSTITUTE(TRIM(F304&amp;"")," ",REPT(" ",60)),60)),코드표!$F$2:$F$101,0)),"⚠"&amp;TRIM(F304&amp;""))),"⚠"&amp;TRIM(F304&amp;""))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",TRIM(G304&amp;""))-1),코드표!$J$2:$J$101,0)),ISNUMBER(MATCH(TRIM(RIGHT(SUBSTITUTE(TRIM(G304&amp;"")," ",REPT(" ",60)),60)),코드표!$F$2:$F$101,0))),INDEX(코드표!$K$2:$K$101,MATCH(LEFT(TRIM(G304&amp;""),FIND(" ",TRIM(G304&amp;""))-1),코드표!$J$2:$J$101,0))&amp;" "&amp;INDEX(코드표!$G$2:$G$101,MATCH(TRIM(RIGHT(SUBSTITUTE(TRIM(G304&amp;"")," ",REPT(" ",60)),60)),코드표!$F$2:$F$101,0)),"⚠"&amp;TRIM(G304&amp;""))),"⚠"&amp;TRIM(G304&amp;""))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",TRIM(H304&amp;""))-1),코드표!$J$2:$J$101,0)),ISNUMBER(MATCH(TRIM(RIGHT(SUBSTITUTE(TRIM(H304&amp;"")," ",REPT(" ",60)),60)),코드표!$F$2:$F$101,0))),INDEX(코드표!$K$2:$K$101,MATCH(LEFT(TRIM(H304&amp;""),FIND(" ",TRIM(H304&amp;""))-1),코드표!$J$2:$J$101,0))&amp;" "&amp;INDEX(코드표!$G$2:$G$101,MATCH(TRIM(RIGHT(SUBSTITUTE(TRIM(H304&amp;"")," ",REPT(" ",60)),60)),코드표!$F$2:$F$101,0)),"⚠"&amp;TRIM(H304&amp;""))),"⚠"&amp;TRIM(H304&amp;""))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",TRIM(I304&amp;""))-1),코드표!$J$2:$J$101,0)),ISNUMBER(MATCH(TRIM(RIGHT(SUBSTITUTE(TRIM(I304&amp;"")," ",REPT(" ",60)),60)),코드표!$F$2:$F$101,0))),INDEX(코드표!$K$2:$K$101,MATCH(LEFT(TRIM(I304&amp;""),FIND(" ",TRIM(I304&amp;""))-1),코드표!$J$2:$J$101,0))&amp;" "&amp;INDEX(코드표!$G$2:$G$101,MATCH(TRIM(RIGHT(SUBSTITUTE(TRIM(I304&amp;"")," ",REPT(" ",60)),60)),코드표!$F$2:$F$101,0)),"⚠"&amp;TRIM(I304&amp;""))),"⚠"&amp;TRIM(I304&amp;""))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",TRIM(J304&amp;""))-1),코드표!$J$2:$J$101,0)),ISNUMBER(MATCH(TRIM(RIGHT(SUBSTITUTE(TRIM(J304&amp;"")," ",REPT(" ",60)),60)),코드표!$F$2:$F$101,0))),INDEX(코드표!$K$2:$K$101,MATCH(LEFT(TRIM(J304&amp;""),FIND(" ",TRIM(J304&amp;""))-1),코드표!$J$2:$J$101,0))&amp;" "&amp;INDEX(코드표!$G$2:$G$101,MATCH(TRIM(RIGHT(SUBSTITUTE(TRIM(J304&amp;"")," ",REPT(" ",60)),60)),코드표!$F$2:$F$101,0)),"⚠"&amp;TRIM(J304&amp;""))),"⚠"&amp;TRIM(J304&amp;""))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",TRIM(E305&amp;""))-1),코드표!$J$2:$J$101,0)),ISNUMBER(MATCH(TRIM(RIGHT(SUBSTITUTE(TRIM(E305&amp;"")," ",REPT(" ",60)),60)),코드표!$F$2:$F$101,0))),INDEX(코드표!$K$2:$K$101,MATCH(LEFT(TRIM(E305&amp;""),FIND(" ",TRIM(E305&amp;""))-1),코드표!$J$2:$J$101,0))&amp;" "&amp;INDEX(코드표!$G$2:$G$101,MATCH(TRIM(RIGHT(SUBSTITUTE(TRIM(E305&amp;"")," ",REPT(" ",60)),60)),코드표!$F$2:$F$101,0)),"⚠"&amp;TRIM(E305&amp;""))),"⚠"&amp;TRIM(E305&amp;""))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",TRIM(F305&amp;""))-1),코드표!$J$2:$J$101,0)),ISNUMBER(MATCH(TRIM(RIGHT(SUBSTITUTE(TRIM(F305&amp;"")," ",REPT(" ",60)),60)),코드표!$F$2:$F$101,0))),INDEX(코드표!$K$2:$K$101,MATCH(LEFT(TRIM(F305&amp;""),FIND(" ",TRIM(F305&amp;""))-1),코드표!$J$2:$J$101,0))&amp;" "&amp;INDEX(코드표!$G$2:$G$101,MATCH(TRIM(RIGHT(SUBSTITUTE(TRIM(F305&amp;"")," ",REPT(" ",60)),60)),코드표!$F$2:$F$101,0)),"⚠"&amp;TRIM(F305&amp;""))),"⚠"&amp;TRIM(F305&amp;""))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",TRIM(G305&amp;""))-1),코드표!$J$2:$J$101,0)),ISNUMBER(MATCH(TRIM(RIGHT(SUBSTITUTE(TRIM(G305&amp;"")," ",REPT(" ",60)),60)),코드표!$F$2:$F$101,0))),INDEX(코드표!$K$2:$K$101,MATCH(LEFT(TRIM(G305&amp;""),FIND(" ",TRIM(G305&amp;""))-1),코드표!$J$2:$J$101,0))&amp;" "&amp;INDEX(코드표!$G$2:$G$101,MATCH(TRIM(RIGHT(SUBSTITUTE(TRIM(G305&amp;"")," ",REPT(" ",60)),60)),코드표!$F$2:$F$101,0)),"⚠"&amp;TRIM(G305&amp;""))),"⚠"&amp;TRIM(G305&amp;""))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",TRIM(H305&amp;""))-1),코드표!$J$2:$J$101,0)),ISNUMBER(MATCH(TRIM(RIGHT(SUBSTITUTE(TRIM(H305&amp;"")," ",REPT(" ",60)),60)),코드표!$F$2:$F$101,0))),INDEX(코드표!$K$2:$K$101,MATCH(LEFT(TRIM(H305&amp;""),FIND(" ",TRIM(H305&amp;""))-1),코드표!$J$2:$J$101,0))&amp;" "&amp;INDEX(코드표!$G$2:$G$101,MATCH(TRIM(RIGHT(SUBSTITUTE(TRIM(H305&amp;"")," ",REPT(" ",60)),60)),코드표!$F$2:$F$101,0)),"⚠"&amp;TRIM(H305&amp;""))),"⚠"&amp;TRIM(H305&amp;""))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",TRIM(I305&amp;""))-1),코드표!$J$2:$J$101,0)),ISNUMBER(MATCH(TRIM(RIGHT(SUBSTITUTE(TRIM(I305&amp;"")," ",REPT(" ",60)),60)),코드표!$F$2:$F$101,0))),INDEX(코드표!$K$2:$K$101,MATCH(LEFT(TRIM(I305&amp;""),FIND(" ",TRIM(I305&amp;""))-1),코드표!$J$2:$J$101,0))&amp;" "&amp;INDEX(코드표!$G$2:$G$101,MATCH(TRIM(RIGHT(SUBSTITUTE(TRIM(I305&amp;"")," ",REPT(" ",60)),60)),코드표!$F$2:$F$101,0)),"⚠"&amp;TRIM(I305&amp;""))),"⚠"&amp;TRIM(I305&amp;""))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",TRIM(J305&amp;""))-1),코드표!$J$2:$J$101,0)),ISNUMBER(MATCH(TRIM(RIGHT(SUBSTITUTE(TRIM(J305&amp;"")," ",REPT(" ",60)),60)),코드표!$F$2:$F$101,0))),INDEX(코드표!$K$2:$K$101,MATCH(LEFT(TRIM(J305&amp;""),FIND(" ",TRIM(J305&amp;""))-1),코드표!$J$2:$J$101,0))&amp;" "&amp;INDEX(코드표!$G$2:$G$101,MATCH(TRIM(RIGHT(SUBSTITUTE(TRIM(J305&amp;"")," ",REPT(" ",60)),60)),코드표!$F$2:$F$101,0)),"⚠"&amp;TRIM(J305&amp;""))),"⚠"&amp;TRIM(J305&amp;""))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",TRIM(E306&amp;""))-1),코드표!$J$2:$J$101,0)),ISNUMBER(MATCH(TRIM(RIGHT(SUBSTITUTE(TRIM(E306&amp;"")," ",REPT(" ",60)),60)),코드표!$F$2:$F$101,0))),INDEX(코드표!$K$2:$K$101,MATCH(LEFT(TRIM(E306&amp;""),FIND(" ",TRIM(E306&amp;""))-1),코드표!$J$2:$J$101,0))&amp;" "&amp;INDEX(코드표!$G$2:$G$101,MATCH(TRIM(RIGHT(SUBSTITUTE(TRIM(E306&amp;"")," ",REPT(" ",60)),60)),코드표!$F$2:$F$101,0)),"⚠"&amp;TRIM(E306&amp;""))),"⚠"&amp;TRIM(E306&amp;""))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",TRIM(F306&amp;""))-1),코드표!$J$2:$J$101,0)),ISNUMBER(MATCH(TRIM(RIGHT(SUBSTITUTE(TRIM(F306&amp;"")," ",REPT(" ",60)),60)),코드표!$F$2:$F$101,0))),INDEX(코드표!$K$2:$K$101,MATCH(LEFT(TRIM(F306&amp;""),FIND(" ",TRIM(F306&amp;""))-1),코드표!$J$2:$J$101,0))&amp;" "&amp;INDEX(코드표!$G$2:$G$101,MATCH(TRIM(RIGHT(SUBSTITUTE(TRIM(F306&amp;"")," ",REPT(" ",60)),60)),코드표!$F$2:$F$101,0)),"⚠"&amp;TRIM(F306&amp;""))),"⚠"&amp;TRIM(F306&amp;""))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",TRIM(G306&amp;""))-1),코드표!$J$2:$J$101,0)),ISNUMBER(MATCH(TRIM(RIGHT(SUBSTITUTE(TRIM(G306&amp;"")," ",REPT(" ",60)),60)),코드표!$F$2:$F$101,0))),INDEX(코드표!$K$2:$K$101,MATCH(LEFT(TRIM(G306&amp;""),FIND(" ",TRIM(G306&amp;""))-1),코드표!$J$2:$J$101,0))&amp;" "&amp;INDEX(코드표!$G$2:$G$101,MATCH(TRIM(RIGHT(SUBSTITUTE(TRIM(G306&amp;"")," ",REPT(" ",60)),60)),코드표!$F$2:$F$101,0)),"⚠"&amp;TRIM(G306&amp;""))),"⚠"&amp;TRIM(G306&amp;""))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",TRIM(H306&amp;""))-1),코드표!$J$2:$J$101,0)),ISNUMBER(MATCH(TRIM(RIGHT(SUBSTITUTE(TRIM(H306&amp;"")," ",REPT(" ",60)),60)),코드표!$F$2:$F$101,0))),INDEX(코드표!$K$2:$K$101,MATCH(LEFT(TRIM(H306&amp;""),FIND(" ",TRIM(H306&amp;""))-1),코드표!$J$2:$J$101,0))&amp;" "&amp;INDEX(코드표!$G$2:$G$101,MATCH(TRIM(RIGHT(SUBSTITUTE(TRIM(H306&amp;"")," ",REPT(" ",60)),60)),코드표!$F$2:$F$101,0)),"⚠"&amp;TRIM(H306&amp;""))),"⚠"&amp;TRIM(H306&amp;""))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",TRIM(I306&amp;""))-1),코드표!$J$2:$J$101,0)),ISNUMBER(MATCH(TRIM(RIGHT(SUBSTITUTE(TRIM(I306&amp;"")," ",REPT(" ",60)),60)),코드표!$F$2:$F$101,0))),INDEX(코드표!$K$2:$K$101,MATCH(LEFT(TRIM(I306&amp;""),FIND(" ",TRIM(I306&amp;""))-1),코드표!$J$2:$J$101,0))&amp;" "&amp;INDEX(코드표!$G$2:$G$101,MATCH(TRIM(RIGHT(SUBSTITUTE(TRIM(I306&amp;"")," ",REPT(" ",60)),60)),코드표!$F$2:$F$101,0)),"⚠"&amp;TRIM(I306&amp;""))),"⚠"&amp;TRIM(I306&amp;""))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",TRIM(J306&amp;""))-1),코드표!$J$2:$J$101,0)),ISNUMBER(MATCH(TRIM(RIGHT(SUBSTITUTE(TRIM(J306&amp;"")," ",REPT(" ",60)),60)),코드표!$F$2:$F$101,0))),INDEX(코드표!$K$2:$K$101,MATCH(LEFT(TRIM(J306&amp;""),FIND(" ",TRIM(J306&amp;""))-1),코드표!$J$2:$J$101,0))&amp;" "&amp;INDEX(코드표!$G$2:$G$101,MATCH(TRIM(RIGHT(SUBSTITUTE(TRIM(J306&amp;"")," ",REPT(" ",60)),60)),코드표!$F$2:$F$101,0)),"⚠"&amp;TRIM(J306&amp;""))),"⚠"&amp;TRIM(J306&amp;""))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",TRIM(E307&amp;""))-1),코드표!$J$2:$J$101,0)),ISNUMBER(MATCH(TRIM(RIGHT(SUBSTITUTE(TRIM(E307&amp;"")," ",REPT(" ",60)),60)),코드표!$F$2:$F$101,0))),INDEX(코드표!$K$2:$K$101,MATCH(LEFT(TRIM(E307&amp;""),FIND(" ",TRIM(E307&amp;""))-1),코드표!$J$2:$J$101,0))&amp;" "&amp;INDEX(코드표!$G$2:$G$101,MATCH(TRIM(RIGHT(SUBSTITUTE(TRIM(E307&amp;"")," ",REPT(" ",60)),60)),코드표!$F$2:$F$101,0)),"⚠"&amp;TRIM(E307&amp;""))),"⚠"&amp;TRIM(E307&amp;""))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",TRIM(F307&amp;""))-1),코드표!$J$2:$J$101,0)),ISNUMBER(MATCH(TRIM(RIGHT(SUBSTITUTE(TRIM(F307&amp;"")," ",REPT(" ",60)),60)),코드표!$F$2:$F$101,0))),INDEX(코드표!$K$2:$K$101,MATCH(LEFT(TRIM(F307&amp;""),FIND(" ",TRIM(F307&amp;""))-1),코드표!$J$2:$J$101,0))&amp;" "&amp;INDEX(코드표!$G$2:$G$101,MATCH(TRIM(RIGHT(SUBSTITUTE(TRIM(F307&amp;"")," ",REPT(" ",60)),60)),코드표!$F$2:$F$101,0)),"⚠"&amp;TRIM(F307&amp;""))),"⚠"&amp;TRIM(F307&amp;""))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",TRIM(G307&amp;""))-1),코드표!$J$2:$J$101,0)),ISNUMBER(MATCH(TRIM(RIGHT(SUBSTITUTE(TRIM(G307&amp;"")," ",REPT(" ",60)),60)),코드표!$F$2:$F$101,0))),INDEX(코드표!$K$2:$K$101,MATCH(LEFT(TRIM(G307&amp;""),FIND(" ",TRIM(G307&amp;""))-1),코드표!$J$2:$J$101,0))&amp;" "&amp;INDEX(코드표!$G$2:$G$101,MATCH(TRIM(RIGHT(SUBSTITUTE(TRIM(G307&amp;"")," ",REPT(" ",60)),60)),코드표!$F$2:$F$101,0)),"⚠"&amp;TRIM(G307&amp;""))),"⚠"&amp;TRIM(G307&amp;""))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",TRIM(H307&amp;""))-1),코드표!$J$2:$J$101,0)),ISNUMBER(MATCH(TRIM(RIGHT(SUBSTITUTE(TRIM(H307&amp;"")," ",REPT(" ",60)),60)),코드표!$F$2:$F$101,0))),INDEX(코드표!$K$2:$K$101,MATCH(LEFT(TRIM(H307&amp;""),FIND(" ",TRIM(H307&amp;""))-1),코드표!$J$2:$J$101,0))&amp;" "&amp;INDEX(코드표!$G$2:$G$101,MATCH(TRIM(RIGHT(SUBSTITUTE(TRIM(H307&amp;"")," ",REPT(" ",60)),60)),코드표!$F$2:$F$101,0)),"⚠"&amp;TRIM(H307&amp;""))),"⚠"&amp;TRIM(H307&amp;""))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",TRIM(I307&amp;""))-1),코드표!$J$2:$J$101,0)),ISNUMBER(MATCH(TRIM(RIGHT(SUBSTITUTE(TRIM(I307&amp;"")," ",REPT(" ",60)),60)),코드표!$F$2:$F$101,0))),INDEX(코드표!$K$2:$K$101,MATCH(LEFT(TRIM(I307&amp;""),FIND(" ",TRIM(I307&amp;""))-1),코드표!$J$2:$J$101,0))&amp;" "&amp;INDEX(코드표!$G$2:$G$101,MATCH(TRIM(RIGHT(SUBSTITUTE(TRIM(I307&amp;"")," ",REPT(" ",60)),60)),코드표!$F$2:$F$101,0)),"⚠"&amp;TRIM(I307&amp;""))),"⚠"&amp;TRIM(I307&amp;""))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",TRIM(J307&amp;""))-1),코드표!$J$2:$J$101,0)),ISNUMBER(MATCH(TRIM(RIGHT(SUBSTITUTE(TRIM(J307&amp;"")," ",REPT(" ",60)),60)),코드표!$F$2:$F$101,0))),INDEX(코드표!$K$2:$K$101,MATCH(LEFT(TRIM(J307&amp;""),FIND(" ",TRIM(J307&amp;""))-1),코드표!$J$2:$J$101,0))&amp;" "&amp;INDEX(코드표!$G$2:$G$101,MATCH(TRIM(RIGHT(SUBSTITUTE(TRIM(J307&amp;"")," ",REPT(" ",60)),60)),코드표!$F$2:$F$101,0)),"⚠"&amp;TRIM(J307&amp;""))),"⚠"&amp;TRIM(J307&amp;""))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",TRIM(E308&amp;""))-1),코드표!$J$2:$J$101,0)),ISNUMBER(MATCH(TRIM(RIGHT(SUBSTITUTE(TRIM(E308&amp;"")," ",REPT(" ",60)),60)),코드표!$F$2:$F$101,0))),INDEX(코드표!$K$2:$K$101,MATCH(LEFT(TRIM(E308&amp;""),FIND(" ",TRIM(E308&amp;""))-1),코드표!$J$2:$J$101,0))&amp;" "&amp;INDEX(코드표!$G$2:$G$101,MATCH(TRIM(RIGHT(SUBSTITUTE(TRIM(E308&amp;"")," ",REPT(" ",60)),60)),코드표!$F$2:$F$101,0)),"⚠"&amp;TRIM(E308&amp;""))),"⚠"&amp;TRIM(E308&amp;""))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",TRIM(F308&amp;""))-1),코드표!$J$2:$J$101,0)),ISNUMBER(MATCH(TRIM(RIGHT(SUBSTITUTE(TRIM(F308&amp;"")," ",REPT(" ",60)),60)),코드표!$F$2:$F$101,0))),INDEX(코드표!$K$2:$K$101,MATCH(LEFT(TRIM(F308&amp;""),FIND(" ",TRIM(F308&amp;""))-1),코드표!$J$2:$J$101,0))&amp;" "&amp;INDEX(코드표!$G$2:$G$101,MATCH(TRIM(RIGHT(SUBSTITUTE(TRIM(F308&amp;"")," ",REPT(" ",60)),60)),코드표!$F$2:$F$101,0)),"⚠"&amp;TRIM(F308&amp;""))),"⚠"&amp;TRIM(F308&amp;""))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",TRIM(G308&amp;""))-1),코드표!$J$2:$J$101,0)),ISNUMBER(MATCH(TRIM(RIGHT(SUBSTITUTE(TRIM(G308&amp;"")," ",REPT(" ",60)),60)),코드표!$F$2:$F$101,0))),INDEX(코드표!$K$2:$K$101,MATCH(LEFT(TRIM(G308&amp;""),FIND(" ",TRIM(G308&amp;""))-1),코드표!$J$2:$J$101,0))&amp;" "&amp;INDEX(코드표!$G$2:$G$101,MATCH(TRIM(RIGHT(SUBSTITUTE(TRIM(G308&amp;"")," ",REPT(" ",60)),60)),코드표!$F$2:$F$101,0)),"⚠"&amp;TRIM(G308&amp;""))),"⚠"&amp;TRIM(G308&amp;""))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",TRIM(H308&amp;""))-1),코드표!$J$2:$J$101,0)),ISNUMBER(MATCH(TRIM(RIGHT(SUBSTITUTE(TRIM(H308&amp;"")," ",REPT(" ",60)),60)),코드표!$F$2:$F$101,0))),INDEX(코드표!$K$2:$K$101,MATCH(LEFT(TRIM(H308&amp;""),FIND(" ",TRIM(H308&amp;""))-1),코드표!$J$2:$J$101,0))&amp;" "&amp;INDEX(코드표!$G$2:$G$101,MATCH(TRIM(RIGHT(SUBSTITUTE(TRIM(H308&amp;"")," ",REPT(" ",60)),60)),코드표!$F$2:$F$101,0)),"⚠"&amp;TRIM(H308&amp;""))),"⚠"&amp;TRIM(H308&amp;""))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",TRIM(I308&amp;""))-1),코드표!$J$2:$J$101,0)),ISNUMBER(MATCH(TRIM(RIGHT(SUBSTITUTE(TRIM(I308&amp;"")," ",REPT(" ",60)),60)),코드표!$F$2:$F$101,0))),INDEX(코드표!$K$2:$K$101,MATCH(LEFT(TRIM(I308&amp;""),FIND(" ",TRIM(I308&amp;""))-1),코드표!$J$2:$J$101,0))&amp;" "&amp;INDEX(코드표!$G$2:$G$101,MATCH(TRIM(RIGHT(SUBSTITUTE(TRIM(I308&amp;"")," ",REPT(" ",60)),60)),코드표!$F$2:$F$101,0)),"⚠"&amp;TRIM(I308&amp;""))),"⚠"&amp;TRIM(I308&amp;""))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",TRIM(J308&amp;""))-1),코드표!$J$2:$J$101,0)),ISNUMBER(MATCH(TRIM(RIGHT(SUBSTITUTE(TRIM(J308&amp;"")," ",REPT(" ",60)),60)),코드표!$F$2:$F$101,0))),INDEX(코드표!$K$2:$K$101,MATCH(LEFT(TRIM(J308&amp;""),FIND(" ",TRIM(J308&amp;""))-1),코드표!$J$2:$J$101,0))&amp;" "&amp;INDEX(코드표!$G$2:$G$101,MATCH(TRIM(RIGHT(SUBSTITUTE(TRIM(J308&amp;"")," ",REPT(" ",60)),60)),코드표!$F$2:$F$101,0)),"⚠"&amp;TRIM(J308&amp;""))),"⚠"&amp;TRIM(J308&amp;""))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",TRIM(E309&amp;""))-1),코드표!$J$2:$J$101,0)),ISNUMBER(MATCH(TRIM(RIGHT(SUBSTITUTE(TRIM(E309&amp;"")," ",REPT(" ",60)),60)),코드표!$F$2:$F$101,0))),INDEX(코드표!$K$2:$K$101,MATCH(LEFT(TRIM(E309&amp;""),FIND(" ",TRIM(E309&amp;""))-1),코드표!$J$2:$J$101,0))&amp;" "&amp;INDEX(코드표!$G$2:$G$101,MATCH(TRIM(RIGHT(SUBSTITUTE(TRIM(E309&amp;"")," ",REPT(" ",60)),60)),코드표!$F$2:$F$101,0)),"⚠"&amp;TRIM(E309&amp;""))),"⚠"&amp;TRIM(E309&amp;""))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",TRIM(F309&amp;""))-1),코드표!$J$2:$J$101,0)),ISNUMBER(MATCH(TRIM(RIGHT(SUBSTITUTE(TRIM(F309&amp;"")," ",REPT(" ",60)),60)),코드표!$F$2:$F$101,0))),INDEX(코드표!$K$2:$K$101,MATCH(LEFT(TRIM(F309&amp;""),FIND(" ",TRIM(F309&amp;""))-1),코드표!$J$2:$J$101,0))&amp;" "&amp;INDEX(코드표!$G$2:$G$101,MATCH(TRIM(RIGHT(SUBSTITUTE(TRIM(F309&amp;"")," ",REPT(" ",60)),60)),코드표!$F$2:$F$101,0)),"⚠"&amp;TRIM(F309&amp;""))),"⚠"&amp;TRIM(F309&amp;""))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",TRIM(G309&amp;""))-1),코드표!$J$2:$J$101,0)),ISNUMBER(MATCH(TRIM(RIGHT(SUBSTITUTE(TRIM(G309&amp;"")," ",REPT(" ",60)),60)),코드표!$F$2:$F$101,0))),INDEX(코드표!$K$2:$K$101,MATCH(LEFT(TRIM(G309&amp;""),FIND(" ",TRIM(G309&amp;""))-1),코드표!$J$2:$J$101,0))&amp;" "&amp;INDEX(코드표!$G$2:$G$101,MATCH(TRIM(RIGHT(SUBSTITUTE(TRIM(G309&amp;"")," ",REPT(" ",60)),60)),코드표!$F$2:$F$101,0)),"⚠"&amp;TRIM(G309&amp;""))),"⚠"&amp;TRIM(G309&amp;""))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",TRIM(H309&amp;""))-1),코드표!$J$2:$J$101,0)),ISNUMBER(MATCH(TRIM(RIGHT(SUBSTITUTE(TRIM(H309&amp;"")," ",REPT(" ",60)),60)),코드표!$F$2:$F$101,0))),INDEX(코드표!$K$2:$K$101,MATCH(LEFT(TRIM(H309&amp;""),FIND(" ",TRIM(H309&amp;""))-1),코드표!$J$2:$J$101,0))&amp;" "&amp;INDEX(코드표!$G$2:$G$101,MATCH(TRIM(RIGHT(SUBSTITUTE(TRIM(H309&amp;"")," ",REPT(" ",60)),60)),코드표!$F$2:$F$101,0)),"⚠"&amp;TRIM(H309&amp;""))),"⚠"&amp;TRIM(H309&amp;""))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",TRIM(I309&amp;""))-1),코드표!$J$2:$J$101,0)),ISNUMBER(MATCH(TRIM(RIGHT(SUBSTITUTE(TRIM(I309&amp;"")," ",REPT(" ",60)),60)),코드표!$F$2:$F$101,0))),INDEX(코드표!$K$2:$K$101,MATCH(LEFT(TRIM(I309&amp;""),FIND(" ",TRIM(I309&amp;""))-1),코드표!$J$2:$J$101,0))&amp;" "&amp;INDEX(코드표!$G$2:$G$101,MATCH(TRIM(RIGHT(SUBSTITUTE(TRIM(I309&amp;"")," ",REPT(" ",60)),60)),코드표!$F$2:$F$101,0)),"⚠"&amp;TRIM(I309&amp;""))),"⚠"&amp;TRIM(I309&amp;""))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",TRIM(J309&amp;""))-1),코드표!$J$2:$J$101,0)),ISNUMBER(MATCH(TRIM(RIGHT(SUBSTITUTE(TRIM(J309&amp;"")," ",REPT(" ",60)),60)),코드표!$F$2:$F$101,0))),INDEX(코드표!$K$2:$K$101,MATCH(LEFT(TRIM(J309&amp;""),FIND(" ",TRIM(J309&amp;""))-1),코드표!$J$2:$J$101,0))&amp;" "&amp;INDEX(코드표!$G$2:$G$101,MATCH(TRIM(RIGHT(SUBSTITUTE(TRIM(J309&amp;"")," ",REPT(" ",60)),60)),코드표!$F$2:$F$101,0)),"⚠"&amp;TRIM(J309&amp;""))),"⚠"&amp;TRIM(J309&amp;""))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",TRIM(E310&amp;""))-1),코드표!$J$2:$J$101,0)),ISNUMBER(MATCH(TRIM(RIGHT(SUBSTITUTE(TRIM(E310&amp;"")," ",REPT(" ",60)),60)),코드표!$F$2:$F$101,0))),INDEX(코드표!$K$2:$K$101,MATCH(LEFT(TRIM(E310&amp;""),FIND(" ",TRIM(E310&amp;""))-1),코드표!$J$2:$J$101,0))&amp;" "&amp;INDEX(코드표!$G$2:$G$101,MATCH(TRIM(RIGHT(SUBSTITUTE(TRIM(E310&amp;"")," ",REPT(" ",60)),60)),코드표!$F$2:$F$101,0)),"⚠"&amp;TRIM(E310&amp;""))),"⚠"&amp;TRIM(E310&amp;""))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",TRIM(F310&amp;""))-1),코드표!$J$2:$J$101,0)),ISNUMBER(MATCH(TRIM(RIGHT(SUBSTITUTE(TRIM(F310&amp;"")," ",REPT(" ",60)),60)),코드표!$F$2:$F$101,0))),INDEX(코드표!$K$2:$K$101,MATCH(LEFT(TRIM(F310&amp;""),FIND(" ",TRIM(F310&amp;""))-1),코드표!$J$2:$J$101,0))&amp;" "&amp;INDEX(코드표!$G$2:$G$101,MATCH(TRIM(RIGHT(SUBSTITUTE(TRIM(F310&amp;"")," ",REPT(" ",60)),60)),코드표!$F$2:$F$101,0)),"⚠"&amp;TRIM(F310&amp;""))),"⚠"&amp;TRIM(F310&amp;""))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",TRIM(G310&amp;""))-1),코드표!$J$2:$J$101,0)),ISNUMBER(MATCH(TRIM(RIGHT(SUBSTITUTE(TRIM(G310&amp;"")," ",REPT(" ",60)),60)),코드표!$F$2:$F$101,0))),INDEX(코드표!$K$2:$K$101,MATCH(LEFT(TRIM(G310&amp;""),FIND(" ",TRIM(G310&amp;""))-1),코드표!$J$2:$J$101,0))&amp;" "&amp;INDEX(코드표!$G$2:$G$101,MATCH(TRIM(RIGHT(SUBSTITUTE(TRIM(G310&amp;"")," ",REPT(" ",60)),60)),코드표!$F$2:$F$101,0)),"⚠"&amp;TRIM(G310&amp;""))),"⚠"&amp;TRIM(G310&amp;""))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",TRIM(H310&amp;""))-1),코드표!$J$2:$J$101,0)),ISNUMBER(MATCH(TRIM(RIGHT(SUBSTITUTE(TRIM(H310&amp;"")," ",REPT(" ",60)),60)),코드표!$F$2:$F$101,0))),INDEX(코드표!$K$2:$K$101,MATCH(LEFT(TRIM(H310&amp;""),FIND(" ",TRIM(H310&amp;""))-1),코드표!$J$2:$J$101,0))&amp;" "&amp;INDEX(코드표!$G$2:$G$101,MATCH(TRIM(RIGHT(SUBSTITUTE(TRIM(H310&amp;"")," ",REPT(" ",60)),60)),코드표!$F$2:$F$101,0)),"⚠"&amp;TRIM(H310&amp;""))),"⚠"&amp;TRIM(H310&amp;""))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",TRIM(I310&amp;""))-1),코드표!$J$2:$J$101,0)),ISNUMBER(MATCH(TRIM(RIGHT(SUBSTITUTE(TRIM(I310&amp;"")," ",REPT(" ",60)),60)),코드표!$F$2:$F$101,0))),INDEX(코드표!$K$2:$K$101,MATCH(LEFT(TRIM(I310&amp;""),FIND(" ",TRIM(I310&amp;""))-1),코드표!$J$2:$J$101,0))&amp;" "&amp;INDEX(코드표!$G$2:$G$101,MATCH(TRIM(RIGHT(SUBSTITUTE(TRIM(I310&amp;"")," ",REPT(" ",60)),60)),코드표!$F$2:$F$101,0)),"⚠"&amp;TRIM(I310&amp;""))),"⚠"&amp;TRIM(I310&amp;""))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",TRIM(J310&amp;""))-1),코드표!$J$2:$J$101,0)),ISNUMBER(MATCH(TRIM(RIGHT(SUBSTITUTE(TRIM(J310&amp;"")," ",REPT(" ",60)),60)),코드표!$F$2:$F$101,0))),INDEX(코드표!$K$2:$K$101,MATCH(LEFT(TRIM(J310&amp;""),FIND(" ",TRIM(J310&amp;""))-1),코드표!$J$2:$J$101,0))&amp;" "&amp;INDEX(코드표!$G$2:$G$101,MATCH(TRIM(RIGHT(SUBSTITUTE(TRIM(J310&amp;"")," ",REPT(" ",60)),60)),코드표!$F$2:$F$101,0)),"⚠"&amp;TRIM(J310&amp;""))),"⚠"&amp;TRIM(J310&amp;""))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",TRIM(E311&amp;""))-1),코드표!$J$2:$J$101,0)),ISNUMBER(MATCH(TRIM(RIGHT(SUBSTITUTE(TRIM(E311&amp;"")," ",REPT(" ",60)),60)),코드표!$F$2:$F$101,0))),INDEX(코드표!$K$2:$K$101,MATCH(LEFT(TRIM(E311&amp;""),FIND(" ",TRIM(E311&amp;""))-1),코드표!$J$2:$J$101,0))&amp;" "&amp;INDEX(코드표!$G$2:$G$101,MATCH(TRIM(RIGHT(SUBSTITUTE(TRIM(E311&amp;"")," ",REPT(" ",60)),60)),코드표!$F$2:$F$101,0)),"⚠"&amp;TRIM(E311&amp;""))),"⚠"&amp;TRIM(E311&amp;""))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",TRIM(F311&amp;""))-1),코드표!$J$2:$J$101,0)),ISNUMBER(MATCH(TRIM(RIGHT(SUBSTITUTE(TRIM(F311&amp;"")," ",REPT(" ",60)),60)),코드표!$F$2:$F$101,0))),INDEX(코드표!$K$2:$K$101,MATCH(LEFT(TRIM(F311&amp;""),FIND(" ",TRIM(F311&amp;""))-1),코드표!$J$2:$J$101,0))&amp;" "&amp;INDEX(코드표!$G$2:$G$101,MATCH(TRIM(RIGHT(SUBSTITUTE(TRIM(F311&amp;"")," ",REPT(" ",60)),60)),코드표!$F$2:$F$101,0)),"⚠"&amp;TRIM(F311&amp;""))),"⚠"&amp;TRIM(F311&amp;""))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",TRIM(G311&amp;""))-1),코드표!$J$2:$J$101,0)),ISNUMBER(MATCH(TRIM(RIGHT(SUBSTITUTE(TRIM(G311&amp;"")," ",REPT(" ",60)),60)),코드표!$F$2:$F$101,0))),INDEX(코드표!$K$2:$K$101,MATCH(LEFT(TRIM(G311&amp;""),FIND(" ",TRIM(G311&amp;""))-1),코드표!$J$2:$J$101,0))&amp;" "&amp;INDEX(코드표!$G$2:$G$101,MATCH(TRIM(RIGHT(SUBSTITUTE(TRIM(G311&amp;"")," ",REPT(" ",60)),60)),코드표!$F$2:$F$101,0)),"⚠"&amp;TRIM(G311&amp;""))),"⚠"&amp;TRIM(G311&amp;""))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",TRIM(H311&amp;""))-1),코드표!$J$2:$J$101,0)),ISNUMBER(MATCH(TRIM(RIGHT(SUBSTITUTE(TRIM(H311&amp;"")," ",REPT(" ",60)),60)),코드표!$F$2:$F$101,0))),INDEX(코드표!$K$2:$K$101,MATCH(LEFT(TRIM(H311&amp;""),FIND(" ",TRIM(H311&amp;""))-1),코드표!$J$2:$J$101,0))&amp;" "&amp;INDEX(코드표!$G$2:$G$101,MATCH(TRIM(RIGHT(SUBSTITUTE(TRIM(H311&amp;"")," ",REPT(" ",60)),60)),코드표!$F$2:$F$101,0)),"⚠"&amp;TRIM(H311&amp;""))),"⚠"&amp;TRIM(H311&amp;""))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",TRIM(I311&amp;""))-1),코드표!$J$2:$J$101,0)),ISNUMBER(MATCH(TRIM(RIGHT(SUBSTITUTE(TRIM(I311&amp;"")," ",REPT(" ",60)),60)),코드표!$F$2:$F$101,0))),INDEX(코드표!$K$2:$K$101,MATCH(LEFT(TRIM(I311&amp;""),FIND(" ",TRIM(I311&amp;""))-1),코드표!$J$2:$J$101,0))&amp;" "&amp;INDEX(코드표!$G$2:$G$101,MATCH(TRIM(RIGHT(SUBSTITUTE(TRIM(I311&amp;"")," ",REPT(" ",60)),60)),코드표!$F$2:$F$101,0)),"⚠"&amp;TRIM(I311&amp;""))),"⚠"&amp;TRIM(I311&amp;""))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",TRIM(J311&amp;""))-1),코드표!$J$2:$J$101,0)),ISNUMBER(MATCH(TRIM(RIGHT(SUBSTITUTE(TRIM(J311&amp;"")," ",REPT(" ",60)),60)),코드표!$F$2:$F$101,0))),INDEX(코드표!$K$2:$K$101,MATCH(LEFT(TRIM(J311&amp;""),FIND(" ",TRIM(J311&amp;""))-1),코드표!$J$2:$J$101,0))&amp;" "&amp;INDEX(코드표!$G$2:$G$101,MATCH(TRIM(RIGHT(SUBSTITUTE(TRIM(J311&amp;"")," ",REPT(" ",60)),60)),코드표!$F$2:$F$101,0)),"⚠"&amp;TRIM(J311&amp;""))),"⚠"&amp;TRIM(J311&amp;""))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",TRIM(E312&amp;""))-1),코드표!$J$2:$J$101,0)),ISNUMBER(MATCH(TRIM(RIGHT(SUBSTITUTE(TRIM(E312&amp;"")," ",REPT(" ",60)),60)),코드표!$F$2:$F$101,0))),INDEX(코드표!$K$2:$K$101,MATCH(LEFT(TRIM(E312&amp;""),FIND(" ",TRIM(E312&amp;""))-1),코드표!$J$2:$J$101,0))&amp;" "&amp;INDEX(코드표!$G$2:$G$101,MATCH(TRIM(RIGHT(SUBSTITUTE(TRIM(E312&amp;"")," ",REPT(" ",60)),60)),코드표!$F$2:$F$101,0)),"⚠"&amp;TRIM(E312&amp;""))),"⚠"&amp;TRIM(E312&amp;""))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",TRIM(F312&amp;""))-1),코드표!$J$2:$J$101,0)),ISNUMBER(MATCH(TRIM(RIGHT(SUBSTITUTE(TRIM(F312&amp;"")," ",REPT(" ",60)),60)),코드표!$F$2:$F$101,0))),INDEX(코드표!$K$2:$K$101,MATCH(LEFT(TRIM(F312&amp;""),FIND(" ",TRIM(F312&amp;""))-1),코드표!$J$2:$J$101,0))&amp;" "&amp;INDEX(코드표!$G$2:$G$101,MATCH(TRIM(RIGHT(SUBSTITUTE(TRIM(F312&amp;"")," ",REPT(" ",60)),60)),코드표!$F$2:$F$101,0)),"⚠"&amp;TRIM(F312&amp;""))),"⚠"&amp;TRIM(F312&amp;""))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",TRIM(G312&amp;""))-1),코드표!$J$2:$J$101,0)),ISNUMBER(MATCH(TRIM(RIGHT(SUBSTITUTE(TRIM(G312&amp;"")," ",REPT(" ",60)),60)),코드표!$F$2:$F$101,0))),INDEX(코드표!$K$2:$K$101,MATCH(LEFT(TRIM(G312&amp;""),FIND(" ",TRIM(G312&amp;""))-1),코드표!$J$2:$J$101,0))&amp;" "&amp;INDEX(코드표!$G$2:$G$101,MATCH(TRIM(RIGHT(SUBSTITUTE(TRIM(G312&amp;"")," ",REPT(" ",60)),60)),코드표!$F$2:$F$101,0)),"⚠"&amp;TRIM(G312&amp;""))),"⚠"&amp;TRIM(G312&amp;""))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",TRIM(H312&amp;""))-1),코드표!$J$2:$J$101,0)),ISNUMBER(MATCH(TRIM(RIGHT(SUBSTITUTE(TRIM(H312&amp;"")," ",REPT(" ",60)),60)),코드표!$F$2:$F$101,0))),INDEX(코드표!$K$2:$K$101,MATCH(LEFT(TRIM(H312&amp;""),FIND(" ",TRIM(H312&amp;""))-1),코드표!$J$2:$J$101,0))&amp;" "&amp;INDEX(코드표!$G$2:$G$101,MATCH(TRIM(RIGHT(SUBSTITUTE(TRIM(H312&amp;"")," ",REPT(" ",60)),60)),코드표!$F$2:$F$101,0)),"⚠"&amp;TRIM(H312&amp;""))),"⚠"&amp;TRIM(H312&amp;""))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",TRIM(I312&amp;""))-1),코드표!$J$2:$J$101,0)),ISNUMBER(MATCH(TRIM(RIGHT(SUBSTITUTE(TRIM(I312&amp;"")," ",REPT(" ",60)),60)),코드표!$F$2:$F$101,0))),INDEX(코드표!$K$2:$K$101,MATCH(LEFT(TRIM(I312&amp;""),FIND(" ",TRIM(I312&amp;""))-1),코드표!$J$2:$J$101,0))&amp;" "&amp;INDEX(코드표!$G$2:$G$101,MATCH(TRIM(RIGHT(SUBSTITUTE(TRIM(I312&amp;"")," ",REPT(" ",60)),60)),코드표!$F$2:$F$101,0)),"⚠"&amp;TRIM(I312&amp;""))),"⚠"&amp;TRIM(I312&amp;""))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",TRIM(J312&amp;""))-1),코드표!$J$2:$J$101,0)),ISNUMBER(MATCH(TRIM(RIGHT(SUBSTITUTE(TRIM(J312&amp;"")," ",REPT(" ",60)),60)),코드표!$F$2:$F$101,0))),INDEX(코드표!$K$2:$K$101,MATCH(LEFT(TRIM(J312&amp;""),FIND(" ",TRIM(J312&amp;""))-1),코드표!$J$2:$J$101,0))&amp;" "&amp;INDEX(코드표!$G$2:$G$101,MATCH(TRIM(RIGHT(SUBSTITUTE(TRIM(J312&amp;"")," ",REPT(" ",60)),60)),코드표!$F$2:$F$101,0)),"⚠"&amp;TRIM(J312&amp;""))),"⚠"&amp;TRIM(J312&amp;""))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",TRIM(E313&amp;""))-1),코드표!$J$2:$J$101,0)),ISNUMBER(MATCH(TRIM(RIGHT(SUBSTITUTE(TRIM(E313&amp;"")," ",REPT(" ",60)),60)),코드표!$F$2:$F$101,0))),INDEX(코드표!$K$2:$K$101,MATCH(LEFT(TRIM(E313&amp;""),FIND(" ",TRIM(E313&amp;""))-1),코드표!$J$2:$J$101,0))&amp;" "&amp;INDEX(코드표!$G$2:$G$101,MATCH(TRIM(RIGHT(SUBSTITUTE(TRIM(E313&amp;"")," ",REPT(" ",60)),60)),코드표!$F$2:$F$101,0)),"⚠"&amp;TRIM(E313&amp;""))),"⚠"&amp;TRIM(E313&amp;""))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",TRIM(F313&amp;""))-1),코드표!$J$2:$J$101,0)),ISNUMBER(MATCH(TRIM(RIGHT(SUBSTITUTE(TRIM(F313&amp;"")," ",REPT(" ",60)),60)),코드표!$F$2:$F$101,0))),INDEX(코드표!$K$2:$K$101,MATCH(LEFT(TRIM(F313&amp;""),FIND(" ",TRIM(F313&amp;""))-1),코드표!$J$2:$J$101,0))&amp;" "&amp;INDEX(코드표!$G$2:$G$101,MATCH(TRIM(RIGHT(SUBSTITUTE(TRIM(F313&amp;"")," ",REPT(" ",60)),60)),코드표!$F$2:$F$101,0)),"⚠"&amp;TRIM(F313&amp;""))),"⚠"&amp;TRIM(F313&amp;""))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",TRIM(G313&amp;""))-1),코드표!$J$2:$J$101,0)),ISNUMBER(MATCH(TRIM(RIGHT(SUBSTITUTE(TRIM(G313&amp;"")," ",REPT(" ",60)),60)),코드표!$F$2:$F$101,0))),INDEX(코드표!$K$2:$K$101,MATCH(LEFT(TRIM(G313&amp;""),FIND(" ",TRIM(G313&amp;""))-1),코드표!$J$2:$J$101,0))&amp;" "&amp;INDEX(코드표!$G$2:$G$101,MATCH(TRIM(RIGHT(SUBSTITUTE(TRIM(G313&amp;"")," ",REPT(" ",60)),60)),코드표!$F$2:$F$101,0)),"⚠"&amp;TRIM(G313&amp;""))),"⚠"&amp;TRIM(G313&amp;""))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",TRIM(H313&amp;""))-1),코드표!$J$2:$J$101,0)),ISNUMBER(MATCH(TRIM(RIGHT(SUBSTITUTE(TRIM(H313&amp;"")," ",REPT(" ",60)),60)),코드표!$F$2:$F$101,0))),INDEX(코드표!$K$2:$K$101,MATCH(LEFT(TRIM(H313&amp;""),FIND(" ",TRIM(H313&amp;""))-1),코드표!$J$2:$J$101,0))&amp;" "&amp;INDEX(코드표!$G$2:$G$101,MATCH(TRIM(RIGHT(SUBSTITUTE(TRIM(H313&amp;"")," ",REPT(" ",60)),60)),코드표!$F$2:$F$101,0)),"⚠"&amp;TRIM(H313&amp;""))),"⚠"&amp;TRIM(H313&amp;""))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",TRIM(I313&amp;""))-1),코드표!$J$2:$J$101,0)),ISNUMBER(MATCH(TRIM(RIGHT(SUBSTITUTE(TRIM(I313&amp;"")," ",REPT(" ",60)),60)),코드표!$F$2:$F$101,0))),INDEX(코드표!$K$2:$K$101,MATCH(LEFT(TRIM(I313&amp;""),FIND(" ",TRIM(I313&amp;""))-1),코드표!$J$2:$J$101,0))&amp;" "&amp;INDEX(코드표!$G$2:$G$101,MATCH(TRIM(RIGHT(SUBSTITUTE(TRIM(I313&amp;"")," ",REPT(" ",60)),60)),코드표!$F$2:$F$101,0)),"⚠"&amp;TRIM(I313&amp;""))),"⚠"&amp;TRIM(I313&amp;""))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",TRIM(J313&amp;""))-1),코드표!$J$2:$J$101,0)),ISNUMBER(MATCH(TRIM(RIGHT(SUBSTITUTE(TRIM(J313&amp;"")," ",REPT(" ",60)),60)),코드표!$F$2:$F$101,0))),INDEX(코드표!$K$2:$K$101,MATCH(LEFT(TRIM(J313&amp;""),FIND(" ",TRIM(J313&amp;""))-1),코드표!$J$2:$J$101,0))&amp;" "&amp;INDEX(코드표!$G$2:$G$101,MATCH(TRIM(RIGHT(SUBSTITUTE(TRIM(J313&amp;"")," ",REPT(" ",60)),60)),코드표!$F$2:$F$101,0)),"⚠"&amp;TRIM(J313&amp;""))),"⚠"&amp;TRIM(J313&amp;""))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",TRIM(E314&amp;""))-1),코드표!$J$2:$J$101,0)),ISNUMBER(MATCH(TRIM(RIGHT(SUBSTITUTE(TRIM(E314&amp;"")," ",REPT(" ",60)),60)),코드표!$F$2:$F$101,0))),INDEX(코드표!$K$2:$K$101,MATCH(LEFT(TRIM(E314&amp;""),FIND(" ",TRIM(E314&amp;""))-1),코드표!$J$2:$J$101,0))&amp;" "&amp;INDEX(코드표!$G$2:$G$101,MATCH(TRIM(RIGHT(SUBSTITUTE(TRIM(E314&amp;"")," ",REPT(" ",60)),60)),코드표!$F$2:$F$101,0)),"⚠"&amp;TRIM(E314&amp;""))),"⚠"&amp;TRIM(E314&amp;""))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",TRIM(F314&amp;""))-1),코드표!$J$2:$J$101,0)),ISNUMBER(MATCH(TRIM(RIGHT(SUBSTITUTE(TRIM(F314&amp;"")," ",REPT(" ",60)),60)),코드표!$F$2:$F$101,0))),INDEX(코드표!$K$2:$K$101,MATCH(LEFT(TRIM(F314&amp;""),FIND(" ",TRIM(F314&amp;""))-1),코드표!$J$2:$J$101,0))&amp;" "&amp;INDEX(코드표!$G$2:$G$101,MATCH(TRIM(RIGHT(SUBSTITUTE(TRIM(F314&amp;"")," ",REPT(" ",60)),60)),코드표!$F$2:$F$101,0)),"⚠"&amp;TRIM(F314&amp;""))),"⚠"&amp;TRIM(F314&amp;""))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",TRIM(G314&amp;""))-1),코드표!$J$2:$J$101,0)),ISNUMBER(MATCH(TRIM(RIGHT(SUBSTITUTE(TRIM(G314&amp;"")," ",REPT(" ",60)),60)),코드표!$F$2:$F$101,0))),INDEX(코드표!$K$2:$K$101,MATCH(LEFT(TRIM(G314&amp;""),FIND(" ",TRIM(G314&amp;""))-1),코드표!$J$2:$J$101,0))&amp;" "&amp;INDEX(코드표!$G$2:$G$101,MATCH(TRIM(RIGHT(SUBSTITUTE(TRIM(G314&amp;"")," ",REPT(" ",60)),60)),코드표!$F$2:$F$101,0)),"⚠"&amp;TRIM(G314&amp;""))),"⚠"&amp;TRIM(G314&amp;""))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",TRIM(H314&amp;""))-1),코드표!$J$2:$J$101,0)),ISNUMBER(MATCH(TRIM(RIGHT(SUBSTITUTE(TRIM(H314&amp;"")," ",REPT(" ",60)),60)),코드표!$F$2:$F$101,0))),INDEX(코드표!$K$2:$K$101,MATCH(LEFT(TRIM(H314&amp;""),FIND(" ",TRIM(H314&amp;""))-1),코드표!$J$2:$J$101,0))&amp;" "&amp;INDEX(코드표!$G$2:$G$101,MATCH(TRIM(RIGHT(SUBSTITUTE(TRIM(H314&amp;"")," ",REPT(" ",60)),60)),코드표!$F$2:$F$101,0)),"⚠"&amp;TRIM(H314&amp;""))),"⚠"&amp;TRIM(H314&amp;""))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",TRIM(I314&amp;""))-1),코드표!$J$2:$J$101,0)),ISNUMBER(MATCH(TRIM(RIGHT(SUBSTITUTE(TRIM(I314&amp;"")," ",REPT(" ",60)),60)),코드표!$F$2:$F$101,0))),INDEX(코드표!$K$2:$K$101,MATCH(LEFT(TRIM(I314&amp;""),FIND(" ",TRIM(I314&amp;""))-1),코드표!$J$2:$J$101,0))&amp;" "&amp;INDEX(코드표!$G$2:$G$101,MATCH(TRIM(RIGHT(SUBSTITUTE(TRIM(I314&amp;"")," ",REPT(" ",60)),60)),코드표!$F$2:$F$101,0)),"⚠"&amp;TRIM(I314&amp;""))),"⚠"&amp;TRIM(I314&amp;""))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",TRIM(J314&amp;""))-1),코드표!$J$2:$J$101,0)),ISNUMBER(MATCH(TRIM(RIGHT(SUBSTITUTE(TRIM(J314&amp;"")," ",REPT(" ",60)),60)),코드표!$F$2:$F$101,0))),INDEX(코드표!$K$2:$K$101,MATCH(LEFT(TRIM(J314&amp;""),FIND(" ",TRIM(J314&amp;""))-1),코드표!$J$2:$J$101,0))&amp;" "&amp;INDEX(코드표!$G$2:$G$101,MATCH(TRIM(RIGHT(SUBSTITUTE(TRIM(J314&amp;"")," ",REPT(" ",60)),60)),코드표!$F$2:$F$101,0)),"⚠"&amp;TRIM(J314&amp;""))),"⚠"&amp;TRIM(J314&amp;""))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",TRIM(E315&amp;""))-1),코드표!$J$2:$J$101,0)),ISNUMBER(MATCH(TRIM(RIGHT(SUBSTITUTE(TRIM(E315&amp;"")," ",REPT(" ",60)),60)),코드표!$F$2:$F$101,0))),INDEX(코드표!$K$2:$K$101,MATCH(LEFT(TRIM(E315&amp;""),FIND(" ",TRIM(E315&amp;""))-1),코드표!$J$2:$J$101,0))&amp;" "&amp;INDEX(코드표!$G$2:$G$101,MATCH(TRIM(RIGHT(SUBSTITUTE(TRIM(E315&amp;"")," ",REPT(" ",60)),60)),코드표!$F$2:$F$101,0)),"⚠"&amp;TRIM(E315&amp;""))),"⚠"&amp;TRIM(E315&amp;""))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",TRIM(F315&amp;""))-1),코드표!$J$2:$J$101,0)),ISNUMBER(MATCH(TRIM(RIGHT(SUBSTITUTE(TRIM(F315&amp;"")," ",REPT(" ",60)),60)),코드표!$F$2:$F$101,0))),INDEX(코드표!$K$2:$K$101,MATCH(LEFT(TRIM(F315&amp;""),FIND(" ",TRIM(F315&amp;""))-1),코드표!$J$2:$J$101,0))&amp;" "&amp;INDEX(코드표!$G$2:$G$101,MATCH(TRIM(RIGHT(SUBSTITUTE(TRIM(F315&amp;"")," ",REPT(" ",60)),60)),코드표!$F$2:$F$101,0)),"⚠"&amp;TRIM(F315&amp;""))),"⚠"&amp;TRIM(F315&amp;""))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",TRIM(G315&amp;""))-1),코드표!$J$2:$J$101,0)),ISNUMBER(MATCH(TRIM(RIGHT(SUBSTITUTE(TRIM(G315&amp;"")," ",REPT(" ",60)),60)),코드표!$F$2:$F$101,0))),INDEX(코드표!$K$2:$K$101,MATCH(LEFT(TRIM(G315&amp;""),FIND(" ",TRIM(G315&amp;""))-1),코드표!$J$2:$J$101,0))&amp;" "&amp;INDEX(코드표!$G$2:$G$101,MATCH(TRIM(RIGHT(SUBSTITUTE(TRIM(G315&amp;"")," ",REPT(" ",60)),60)),코드표!$F$2:$F$101,0)),"⚠"&amp;TRIM(G315&amp;""))),"⚠"&amp;TRIM(G315&amp;""))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",TRIM(H315&amp;""))-1),코드표!$J$2:$J$101,0)),ISNUMBER(MATCH(TRIM(RIGHT(SUBSTITUTE(TRIM(H315&amp;"")," ",REPT(" ",60)),60)),코드표!$F$2:$F$101,0))),INDEX(코드표!$K$2:$K$101,MATCH(LEFT(TRIM(H315&amp;""),FIND(" ",TRIM(H315&amp;""))-1),코드표!$J$2:$J$101,0))&amp;" "&amp;INDEX(코드표!$G$2:$G$101,MATCH(TRIM(RIGHT(SUBSTITUTE(TRIM(H315&amp;"")," ",REPT(" ",60)),60)),코드표!$F$2:$F$101,0)),"⚠"&amp;TRIM(H315&amp;""))),"⚠"&amp;TRIM(H315&amp;""))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",TRIM(I315&amp;""))-1),코드표!$J$2:$J$101,0)),ISNUMBER(MATCH(TRIM(RIGHT(SUBSTITUTE(TRIM(I315&amp;"")," ",REPT(" ",60)),60)),코드표!$F$2:$F$101,0))),INDEX(코드표!$K$2:$K$101,MATCH(LEFT(TRIM(I315&amp;""),FIND(" ",TRIM(I315&amp;""))-1),코드표!$J$2:$J$101,0))&amp;" "&amp;INDEX(코드표!$G$2:$G$101,MATCH(TRIM(RIGHT(SUBSTITUTE(TRIM(I315&amp;"")," ",REPT(" ",60)),60)),코드표!$F$2:$F$101,0)),"⚠"&amp;TRIM(I315&amp;""))),"⚠"&amp;TRIM(I315&amp;""))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",TRIM(J315&amp;""))-1),코드표!$J$2:$J$101,0)),ISNUMBER(MATCH(TRIM(RIGHT(SUBSTITUTE(TRIM(J315&amp;"")," ",REPT(" ",60)),60)),코드표!$F$2:$F$101,0))),INDEX(코드표!$K$2:$K$101,MATCH(LEFT(TRIM(J315&amp;""),FIND(" ",TRIM(J315&amp;""))-1),코드표!$J$2:$J$101,0))&amp;" "&amp;INDEX(코드표!$G$2:$G$101,MATCH(TRIM(RIGHT(SUBSTITUTE(TRIM(J315&amp;"")," ",REPT(" ",60)),60)),코드표!$F$2:$F$101,0)),"⚠"&amp;TRIM(J315&amp;""))),"⚠"&amp;TRIM(J315&amp;""))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",TRIM(E316&amp;""))-1),코드표!$J$2:$J$101,0)),ISNUMBER(MATCH(TRIM(RIGHT(SUBSTITUTE(TRIM(E316&amp;"")," ",REPT(" ",60)),60)),코드표!$F$2:$F$101,0))),INDEX(코드표!$K$2:$K$101,MATCH(LEFT(TRIM(E316&amp;""),FIND(" ",TRIM(E316&amp;""))-1),코드표!$J$2:$J$101,0))&amp;" "&amp;INDEX(코드표!$G$2:$G$101,MATCH(TRIM(RIGHT(SUBSTITUTE(TRIM(E316&amp;"")," ",REPT(" ",60)),60)),코드표!$F$2:$F$101,0)),"⚠"&amp;TRIM(E316&amp;""))),"⚠"&amp;TRIM(E316&amp;""))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",TRIM(F316&amp;""))-1),코드표!$J$2:$J$101,0)),ISNUMBER(MATCH(TRIM(RIGHT(SUBSTITUTE(TRIM(F316&amp;"")," ",REPT(" ",60)),60)),코드표!$F$2:$F$101,0))),INDEX(코드표!$K$2:$K$101,MATCH(LEFT(TRIM(F316&amp;""),FIND(" ",TRIM(F316&amp;""))-1),코드표!$J$2:$J$101,0))&amp;" "&amp;INDEX(코드표!$G$2:$G$101,MATCH(TRIM(RIGHT(SUBSTITUTE(TRIM(F316&amp;"")," ",REPT(" ",60)),60)),코드표!$F$2:$F$101,0)),"⚠"&amp;TRIM(F316&amp;""))),"⚠"&amp;TRIM(F316&amp;""))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",TRIM(G316&amp;""))-1),코드표!$J$2:$J$101,0)),ISNUMBER(MATCH(TRIM(RIGHT(SUBSTITUTE(TRIM(G316&amp;"")," ",REPT(" ",60)),60)),코드표!$F$2:$F$101,0))),INDEX(코드표!$K$2:$K$101,MATCH(LEFT(TRIM(G316&amp;""),FIND(" ",TRIM(G316&amp;""))-1),코드표!$J$2:$J$101,0))&amp;" "&amp;INDEX(코드표!$G$2:$G$101,MATCH(TRIM(RIGHT(SUBSTITUTE(TRIM(G316&amp;"")," ",REPT(" ",60)),60)),코드표!$F$2:$F$101,0)),"⚠"&amp;TRIM(G316&amp;""))),"⚠"&amp;TRIM(G316&amp;""))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",TRIM(H316&amp;""))-1),코드표!$J$2:$J$101,0)),ISNUMBER(MATCH(TRIM(RIGHT(SUBSTITUTE(TRIM(H316&amp;"")," ",REPT(" ",60)),60)),코드표!$F$2:$F$101,0))),INDEX(코드표!$K$2:$K$101,MATCH(LEFT(TRIM(H316&amp;""),FIND(" ",TRIM(H316&amp;""))-1),코드표!$J$2:$J$101,0))&amp;" "&amp;INDEX(코드표!$G$2:$G$101,MATCH(TRIM(RIGHT(SUBSTITUTE(TRIM(H316&amp;"")," ",REPT(" ",60)),60)),코드표!$F$2:$F$101,0)),"⚠"&amp;TRIM(H316&amp;""))),"⚠"&amp;TRIM(H316&amp;""))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",TRIM(I316&amp;""))-1),코드표!$J$2:$J$101,0)),ISNUMBER(MATCH(TRIM(RIGHT(SUBSTITUTE(TRIM(I316&amp;"")," ",REPT(" ",60)),60)),코드표!$F$2:$F$101,0))),INDEX(코드표!$K$2:$K$101,MATCH(LEFT(TRIM(I316&amp;""),FIND(" ",TRIM(I316&amp;""))-1),코드표!$J$2:$J$101,0))&amp;" "&amp;INDEX(코드표!$G$2:$G$101,MATCH(TRIM(RIGHT(SUBSTITUTE(TRIM(I316&amp;"")," ",REPT(" ",60)),60)),코드표!$F$2:$F$101,0)),"⚠"&amp;TRIM(I316&amp;""))),"⚠"&amp;TRIM(I316&amp;""))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",TRIM(J316&amp;""))-1),코드표!$J$2:$J$101,0)),ISNUMBER(MATCH(TRIM(RIGHT(SUBSTITUTE(TRIM(J316&amp;"")," ",REPT(" ",60)),60)),코드표!$F$2:$F$101,0))),INDEX(코드표!$K$2:$K$101,MATCH(LEFT(TRIM(J316&amp;""),FIND(" ",TRIM(J316&amp;""))-1),코드표!$J$2:$J$101,0))&amp;" "&amp;INDEX(코드표!$G$2:$G$101,MATCH(TRIM(RIGHT(SUBSTITUTE(TRIM(J316&amp;"")," ",REPT(" ",60)),60)),코드표!$F$2:$F$101,0)),"⚠"&amp;TRIM(J316&amp;""))),"⚠"&amp;TRIM(J316&amp;""))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",TRIM(E317&amp;""))-1),코드표!$J$2:$J$101,0)),ISNUMBER(MATCH(TRIM(RIGHT(SUBSTITUTE(TRIM(E317&amp;"")," ",REPT(" ",60)),60)),코드표!$F$2:$F$101,0))),INDEX(코드표!$K$2:$K$101,MATCH(LEFT(TRIM(E317&amp;""),FIND(" ",TRIM(E317&amp;""))-1),코드표!$J$2:$J$101,0))&amp;" "&amp;INDEX(코드표!$G$2:$G$101,MATCH(TRIM(RIGHT(SUBSTITUTE(TRIM(E317&amp;"")," ",REPT(" ",60)),60)),코드표!$F$2:$F$101,0)),"⚠"&amp;TRIM(E317&amp;""))),"⚠"&amp;TRIM(E317&amp;""))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",TRIM(F317&amp;""))-1),코드표!$J$2:$J$101,0)),ISNUMBER(MATCH(TRIM(RIGHT(SUBSTITUTE(TRIM(F317&amp;"")," ",REPT(" ",60)),60)),코드표!$F$2:$F$101,0))),INDEX(코드표!$K$2:$K$101,MATCH(LEFT(TRIM(F317&amp;""),FIND(" ",TRIM(F317&amp;""))-1),코드표!$J$2:$J$101,0))&amp;" "&amp;INDEX(코드표!$G$2:$G$101,MATCH(TRIM(RIGHT(SUBSTITUTE(TRIM(F317&amp;"")," ",REPT(" ",60)),60)),코드표!$F$2:$F$101,0)),"⚠"&amp;TRIM(F317&amp;""))),"⚠"&amp;TRIM(F317&amp;""))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",TRIM(G317&amp;""))-1),코드표!$J$2:$J$101,0)),ISNUMBER(MATCH(TRIM(RIGHT(SUBSTITUTE(TRIM(G317&amp;"")," ",REPT(" ",60)),60)),코드표!$F$2:$F$101,0))),INDEX(코드표!$K$2:$K$101,MATCH(LEFT(TRIM(G317&amp;""),FIND(" ",TRIM(G317&amp;""))-1),코드표!$J$2:$J$101,0))&amp;" "&amp;INDEX(코드표!$G$2:$G$101,MATCH(TRIM(RIGHT(SUBSTITUTE(TRIM(G317&amp;"")," ",REPT(" ",60)),60)),코드표!$F$2:$F$101,0)),"⚠"&amp;TRIM(G317&amp;""))),"⚠"&amp;TRIM(G317&amp;""))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",TRIM(H317&amp;""))-1),코드표!$J$2:$J$101,0)),ISNUMBER(MATCH(TRIM(RIGHT(SUBSTITUTE(TRIM(H317&amp;"")," ",REPT(" ",60)),60)),코드표!$F$2:$F$101,0))),INDEX(코드표!$K$2:$K$101,MATCH(LEFT(TRIM(H317&amp;""),FIND(" ",TRIM(H317&amp;""))-1),코드표!$J$2:$J$101,0))&amp;" "&amp;INDEX(코드표!$G$2:$G$101,MATCH(TRIM(RIGHT(SUBSTITUTE(TRIM(H317&amp;"")," ",REPT(" ",60)),60)),코드표!$F$2:$F$101,0)),"⚠"&amp;TRIM(H317&amp;""))),"⚠"&amp;TRIM(H317&amp;""))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",TRIM(I317&amp;""))-1),코드표!$J$2:$J$101,0)),ISNUMBER(MATCH(TRIM(RIGHT(SUBSTITUTE(TRIM(I317&amp;"")," ",REPT(" ",60)),60)),코드표!$F$2:$F$101,0))),INDEX(코드표!$K$2:$K$101,MATCH(LEFT(TRIM(I317&amp;""),FIND(" ",TRIM(I317&amp;""))-1),코드표!$J$2:$J$101,0))&amp;" "&amp;INDEX(코드표!$G$2:$G$101,MATCH(TRIM(RIGHT(SUBSTITUTE(TRIM(I317&amp;"")," ",REPT(" ",60)),60)),코드표!$F$2:$F$101,0)),"⚠"&amp;TRIM(I317&amp;""))),"⚠"&amp;TRIM(I317&amp;""))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",TRIM(J317&amp;""))-1),코드표!$J$2:$J$101,0)),ISNUMBER(MATCH(TRIM(RIGHT(SUBSTITUTE(TRIM(J317&amp;"")," ",REPT(" ",60)),60)),코드표!$F$2:$F$101,0))),INDEX(코드표!$K$2:$K$101,MATCH(LEFT(TRIM(J317&amp;""),FIND(" ",TRIM(J317&amp;""))-1),코드표!$J$2:$J$101,0))&amp;" "&amp;INDEX(코드표!$G$2:$G$101,MATCH(TRIM(RIGHT(SUBSTITUTE(TRIM(J317&amp;"")," ",REPT(" ",60)),60)),코드표!$F$2:$F$101,0)),"⚠"&amp;TRIM(J317&amp;""))),"⚠"&amp;TRIM(J317&amp;""))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",TRIM(E318&amp;""))-1),코드표!$J$2:$J$101,0)),ISNUMBER(MATCH(TRIM(RIGHT(SUBSTITUTE(TRIM(E318&amp;"")," ",REPT(" ",60)),60)),코드표!$F$2:$F$101,0))),INDEX(코드표!$K$2:$K$101,MATCH(LEFT(TRIM(E318&amp;""),FIND(" ",TRIM(E318&amp;""))-1),코드표!$J$2:$J$101,0))&amp;" "&amp;INDEX(코드표!$G$2:$G$101,MATCH(TRIM(RIGHT(SUBSTITUTE(TRIM(E318&amp;"")," ",REPT(" ",60)),60)),코드표!$F$2:$F$101,0)),"⚠"&amp;TRIM(E318&amp;""))),"⚠"&amp;TRIM(E318&amp;""))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",TRIM(F318&amp;""))-1),코드표!$J$2:$J$101,0)),ISNUMBER(MATCH(TRIM(RIGHT(SUBSTITUTE(TRIM(F318&amp;"")," ",REPT(" ",60)),60)),코드표!$F$2:$F$101,0))),INDEX(코드표!$K$2:$K$101,MATCH(LEFT(TRIM(F318&amp;""),FIND(" ",TRIM(F318&amp;""))-1),코드표!$J$2:$J$101,0))&amp;" "&amp;INDEX(코드표!$G$2:$G$101,MATCH(TRIM(RIGHT(SUBSTITUTE(TRIM(F318&amp;"")," ",REPT(" ",60)),60)),코드표!$F$2:$F$101,0)),"⚠"&amp;TRIM(F318&amp;""))),"⚠"&amp;TRIM(F318&amp;""))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",TRIM(G318&amp;""))-1),코드표!$J$2:$J$101,0)),ISNUMBER(MATCH(TRIM(RIGHT(SUBSTITUTE(TRIM(G318&amp;"")," ",REPT(" ",60)),60)),코드표!$F$2:$F$101,0))),INDEX(코드표!$K$2:$K$101,MATCH(LEFT(TRIM(G318&amp;""),FIND(" ",TRIM(G318&amp;""))-1),코드표!$J$2:$J$101,0))&amp;" "&amp;INDEX(코드표!$G$2:$G$101,MATCH(TRIM(RIGHT(SUBSTITUTE(TRIM(G318&amp;"")," ",REPT(" ",60)),60)),코드표!$F$2:$F$101,0)),"⚠"&amp;TRIM(G318&amp;""))),"⚠"&amp;TRIM(G318&amp;""))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",TRIM(H318&amp;""))-1),코드표!$J$2:$J$101,0)),ISNUMBER(MATCH(TRIM(RIGHT(SUBSTITUTE(TRIM(H318&amp;"")," ",REPT(" ",60)),60)),코드표!$F$2:$F$101,0))),INDEX(코드표!$K$2:$K$101,MATCH(LEFT(TRIM(H318&amp;""),FIND(" ",TRIM(H318&amp;""))-1),코드표!$J$2:$J$101,0))&amp;" "&amp;INDEX(코드표!$G$2:$G$101,MATCH(TRIM(RIGHT(SUBSTITUTE(TRIM(H318&amp;"")," ",REPT(" ",60)),60)),코드표!$F$2:$F$101,0)),"⚠"&amp;TRIM(H318&amp;""))),"⚠"&amp;TRIM(H318&amp;""))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",TRIM(I318&amp;""))-1),코드표!$J$2:$J$101,0)),ISNUMBER(MATCH(TRIM(RIGHT(SUBSTITUTE(TRIM(I318&amp;"")," ",REPT(" ",60)),60)),코드표!$F$2:$F$101,0))),INDEX(코드표!$K$2:$K$101,MATCH(LEFT(TRIM(I318&amp;""),FIND(" ",TRIM(I318&amp;""))-1),코드표!$J$2:$J$101,0))&amp;" "&amp;INDEX(코드표!$G$2:$G$101,MATCH(TRIM(RIGHT(SUBSTITUTE(TRIM(I318&amp;"")," ",REPT(" ",60)),60)),코드표!$F$2:$F$101,0)),"⚠"&amp;TRIM(I318&amp;""))),"⚠"&amp;TRIM(I318&amp;""))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",TRIM(J318&amp;""))-1),코드표!$J$2:$J$101,0)),ISNUMBER(MATCH(TRIM(RIGHT(SUBSTITUTE(TRIM(J318&amp;"")," ",REPT(" ",60)),60)),코드표!$F$2:$F$101,0))),INDEX(코드표!$K$2:$K$101,MATCH(LEFT(TRIM(J318&amp;""),FIND(" ",TRIM(J318&amp;""))-1),코드표!$J$2:$J$101,0))&amp;" "&amp;INDEX(코드표!$G$2:$G$101,MATCH(TRIM(RIGHT(SUBSTITUTE(TRIM(J318&amp;"")," ",REPT(" ",60)),60)),코드표!$F$2:$F$101,0)),"⚠"&amp;TRIM(J318&amp;""))),"⚠"&amp;TRIM(J318&amp;""))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",TRIM(E319&amp;""))-1),코드표!$J$2:$J$101,0)),ISNUMBER(MATCH(TRIM(RIGHT(SUBSTITUTE(TRIM(E319&amp;"")," ",REPT(" ",60)),60)),코드표!$F$2:$F$101,0))),INDEX(코드표!$K$2:$K$101,MATCH(LEFT(TRIM(E319&amp;""),FIND(" ",TRIM(E319&amp;""))-1),코드표!$J$2:$J$101,0))&amp;" "&amp;INDEX(코드표!$G$2:$G$101,MATCH(TRIM(RIGHT(SUBSTITUTE(TRIM(E319&amp;"")," ",REPT(" ",60)),60)),코드표!$F$2:$F$101,0)),"⚠"&amp;TRIM(E319&amp;""))),"⚠"&amp;TRIM(E319&amp;""))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",TRIM(F319&amp;""))-1),코드표!$J$2:$J$101,0)),ISNUMBER(MATCH(TRIM(RIGHT(SUBSTITUTE(TRIM(F319&amp;"")," ",REPT(" ",60)),60)),코드표!$F$2:$F$101,0))),INDEX(코드표!$K$2:$K$101,MATCH(LEFT(TRIM(F319&amp;""),FIND(" ",TRIM(F319&amp;""))-1),코드표!$J$2:$J$101,0))&amp;" "&amp;INDEX(코드표!$G$2:$G$101,MATCH(TRIM(RIGHT(SUBSTITUTE(TRIM(F319&amp;"")," ",REPT(" ",60)),60)),코드표!$F$2:$F$101,0)),"⚠"&amp;TRIM(F319&amp;""))),"⚠"&amp;TRIM(F319&amp;""))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",TRIM(G319&amp;""))-1),코드표!$J$2:$J$101,0)),ISNUMBER(MATCH(TRIM(RIGHT(SUBSTITUTE(TRIM(G319&amp;"")," ",REPT(" ",60)),60)),코드표!$F$2:$F$101,0))),INDEX(코드표!$K$2:$K$101,MATCH(LEFT(TRIM(G319&amp;""),FIND(" ",TRIM(G319&amp;""))-1),코드표!$J$2:$J$101,0))&amp;" "&amp;INDEX(코드표!$G$2:$G$101,MATCH(TRIM(RIGHT(SUBSTITUTE(TRIM(G319&amp;"")," ",REPT(" ",60)),60)),코드표!$F$2:$F$101,0)),"⚠"&amp;TRIM(G319&amp;""))),"⚠"&amp;TRIM(G319&amp;""))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",TRIM(H319&amp;""))-1),코드표!$J$2:$J$101,0)),ISNUMBER(MATCH(TRIM(RIGHT(SUBSTITUTE(TRIM(H319&amp;"")," ",REPT(" ",60)),60)),코드표!$F$2:$F$101,0))),INDEX(코드표!$K$2:$K$101,MATCH(LEFT(TRIM(H319&amp;""),FIND(" ",TRIM(H319&amp;""))-1),코드표!$J$2:$J$101,0))&amp;" "&amp;INDEX(코드표!$G$2:$G$101,MATCH(TRIM(RIGHT(SUBSTITUTE(TRIM(H319&amp;"")," ",REPT(" ",60)),60)),코드표!$F$2:$F$101,0)),"⚠"&amp;TRIM(H319&amp;""))),"⚠"&amp;TRIM(H319&amp;""))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",TRIM(I319&amp;""))-1),코드표!$J$2:$J$101,0)),ISNUMBER(MATCH(TRIM(RIGHT(SUBSTITUTE(TRIM(I319&amp;"")," ",REPT(" ",60)),60)),코드표!$F$2:$F$101,0))),INDEX(코드표!$K$2:$K$101,MATCH(LEFT(TRIM(I319&amp;""),FIND(" ",TRIM(I319&amp;""))-1),코드표!$J$2:$J$101,0))&amp;" "&amp;INDEX(코드표!$G$2:$G$101,MATCH(TRIM(RIGHT(SUBSTITUTE(TRIM(I319&amp;"")," ",REPT(" ",60)),60)),코드표!$F$2:$F$101,0)),"⚠"&amp;TRIM(I319&amp;""))),"⚠"&amp;TRIM(I319&amp;""))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",TRIM(J319&amp;""))-1),코드표!$J$2:$J$101,0)),ISNUMBER(MATCH(TRIM(RIGHT(SUBSTITUTE(TRIM(J319&amp;"")," ",REPT(" ",60)),60)),코드표!$F$2:$F$101,0))),INDEX(코드표!$K$2:$K$101,MATCH(LEFT(TRIM(J319&amp;""),FIND(" ",TRIM(J319&amp;""))-1),코드표!$J$2:$J$101,0))&amp;" "&amp;INDEX(코드표!$G$2:$G$101,MATCH(TRIM(RIGHT(SUBSTITUTE(TRIM(J319&amp;"")," ",REPT(" ",60)),60)),코드표!$F$2:$F$101,0)),"⚠"&amp;TRIM(J319&amp;""))),"⚠"&amp;TRIM(J319&amp;""))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",TRIM(E320&amp;""))-1),코드표!$J$2:$J$101,0)),ISNUMBER(MATCH(TRIM(RIGHT(SUBSTITUTE(TRIM(E320&amp;"")," ",REPT(" ",60)),60)),코드표!$F$2:$F$101,0))),INDEX(코드표!$K$2:$K$101,MATCH(LEFT(TRIM(E320&amp;""),FIND(" ",TRIM(E320&amp;""))-1),코드표!$J$2:$J$101,0))&amp;" "&amp;INDEX(코드표!$G$2:$G$101,MATCH(TRIM(RIGHT(SUBSTITUTE(TRIM(E320&amp;"")," ",REPT(" ",60)),60)),코드표!$F$2:$F$101,0)),"⚠"&amp;TRIM(E320&amp;""))),"⚠"&amp;TRIM(E320&amp;""))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",TRIM(F320&amp;""))-1),코드표!$J$2:$J$101,0)),ISNUMBER(MATCH(TRIM(RIGHT(SUBSTITUTE(TRIM(F320&amp;"")," ",REPT(" ",60)),60)),코드표!$F$2:$F$101,0))),INDEX(코드표!$K$2:$K$101,MATCH(LEFT(TRIM(F320&amp;""),FIND(" ",TRIM(F320&amp;""))-1),코드표!$J$2:$J$101,0))&amp;" "&amp;INDEX(코드표!$G$2:$G$101,MATCH(TRIM(RIGHT(SUBSTITUTE(TRIM(F320&amp;"")," ",REPT(" ",60)),60)),코드표!$F$2:$F$101,0)),"⚠"&amp;TRIM(F320&amp;""))),"⚠"&amp;TRIM(F320&amp;""))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",TRIM(G320&amp;""))-1),코드표!$J$2:$J$101,0)),ISNUMBER(MATCH(TRIM(RIGHT(SUBSTITUTE(TRIM(G320&amp;"")," ",REPT(" ",60)),60)),코드표!$F$2:$F$101,0))),INDEX(코드표!$K$2:$K$101,MATCH(LEFT(TRIM(G320&amp;""),FIND(" ",TRIM(G320&amp;""))-1),코드표!$J$2:$J$101,0))&amp;" "&amp;INDEX(코드표!$G$2:$G$101,MATCH(TRIM(RIGHT(SUBSTITUTE(TRIM(G320&amp;"")," ",REPT(" ",60)),60)),코드표!$F$2:$F$101,0)),"⚠"&amp;TRIM(G320&amp;""))),"⚠"&amp;TRIM(G320&amp;""))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",TRIM(H320&amp;""))-1),코드표!$J$2:$J$101,0)),ISNUMBER(MATCH(TRIM(RIGHT(SUBSTITUTE(TRIM(H320&amp;"")," ",REPT(" ",60)),60)),코드표!$F$2:$F$101,0))),INDEX(코드표!$K$2:$K$101,MATCH(LEFT(TRIM(H320&amp;""),FIND(" ",TRIM(H320&amp;""))-1),코드표!$J$2:$J$101,0))&amp;" "&amp;INDEX(코드표!$G$2:$G$101,MATCH(TRIM(RIGHT(SUBSTITUTE(TRIM(H320&amp;"")," ",REPT(" ",60)),60)),코드표!$F$2:$F$101,0)),"⚠"&amp;TRIM(H320&amp;""))),"⚠"&amp;TRIM(H320&amp;""))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",TRIM(I320&amp;""))-1),코드표!$J$2:$J$101,0)),ISNUMBER(MATCH(TRIM(RIGHT(SUBSTITUTE(TRIM(I320&amp;"")," ",REPT(" ",60)),60)),코드표!$F$2:$F$101,0))),INDEX(코드표!$K$2:$K$101,MATCH(LEFT(TRIM(I320&amp;""),FIND(" ",TRIM(I320&amp;""))-1),코드표!$J$2:$J$101,0))&amp;" "&amp;INDEX(코드표!$G$2:$G$101,MATCH(TRIM(RIGHT(SUBSTITUTE(TRIM(I320&amp;"")," ",REPT(" ",60)),60)),코드표!$F$2:$F$101,0)),"⚠"&amp;TRIM(I320&amp;""))),"⚠"&amp;TRIM(I320&amp;""))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",TRIM(J320&amp;""))-1),코드표!$J$2:$J$101,0)),ISNUMBER(MATCH(TRIM(RIGHT(SUBSTITUTE(TRIM(J320&amp;"")," ",REPT(" ",60)),60)),코드표!$F$2:$F$101,0))),INDEX(코드표!$K$2:$K$101,MATCH(LEFT(TRIM(J320&amp;""),FIND(" ",TRIM(J320&amp;""))-1),코드표!$J$2:$J$101,0))&amp;" "&amp;INDEX(코드표!$G$2:$G$101,MATCH(TRIM(RIGHT(SUBSTITUTE(TRIM(J320&amp;"")," ",REPT(" ",60)),60)),코드표!$F$2:$F$101,0)),"⚠"&amp;TRIM(J320&amp;""))),"⚠"&amp;TRIM(J320&amp;""))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",TRIM(E321&amp;""))-1),코드표!$J$2:$J$101,0)),ISNUMBER(MATCH(TRIM(RIGHT(SUBSTITUTE(TRIM(E321&amp;"")," ",REPT(" ",60)),60)),코드표!$F$2:$F$101,0))),INDEX(코드표!$K$2:$K$101,MATCH(LEFT(TRIM(E321&amp;""),FIND(" ",TRIM(E321&amp;""))-1),코드표!$J$2:$J$101,0))&amp;" "&amp;INDEX(코드표!$G$2:$G$101,MATCH(TRIM(RIGHT(SUBSTITUTE(TRIM(E321&amp;"")," ",REPT(" ",60)),60)),코드표!$F$2:$F$101,0)),"⚠"&amp;TRIM(E321&amp;""))),"⚠"&amp;TRIM(E321&amp;""))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",TRIM(F321&amp;""))-1),코드표!$J$2:$J$101,0)),ISNUMBER(MATCH(TRIM(RIGHT(SUBSTITUTE(TRIM(F321&amp;"")," ",REPT(" ",60)),60)),코드표!$F$2:$F$101,0))),INDEX(코드표!$K$2:$K$101,MATCH(LEFT(TRIM(F321&amp;""),FIND(" ",TRIM(F321&amp;""))-1),코드표!$J$2:$J$101,0))&amp;" "&amp;INDEX(코드표!$G$2:$G$101,MATCH(TRIM(RIGHT(SUBSTITUTE(TRIM(F321&amp;"")," ",REPT(" ",60)),60)),코드표!$F$2:$F$101,0)),"⚠"&amp;TRIM(F321&amp;""))),"⚠"&amp;TRIM(F321&amp;""))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",TRIM(G321&amp;""))-1),코드표!$J$2:$J$101,0)),ISNUMBER(MATCH(TRIM(RIGHT(SUBSTITUTE(TRIM(G321&amp;"")," ",REPT(" ",60)),60)),코드표!$F$2:$F$101,0))),INDEX(코드표!$K$2:$K$101,MATCH(LEFT(TRIM(G321&amp;""),FIND(" ",TRIM(G321&amp;""))-1),코드표!$J$2:$J$101,0))&amp;" "&amp;INDEX(코드표!$G$2:$G$101,MATCH(TRIM(RIGHT(SUBSTITUTE(TRIM(G321&amp;"")," ",REPT(" ",60)),60)),코드표!$F$2:$F$101,0)),"⚠"&amp;TRIM(G321&amp;""))),"⚠"&amp;TRIM(G321&amp;""))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",TRIM(H321&amp;""))-1),코드표!$J$2:$J$101,0)),ISNUMBER(MATCH(TRIM(RIGHT(SUBSTITUTE(TRIM(H321&amp;"")," ",REPT(" ",60)),60)),코드표!$F$2:$F$101,0))),INDEX(코드표!$K$2:$K$101,MATCH(LEFT(TRIM(H321&amp;""),FIND(" ",TRIM(H321&amp;""))-1),코드표!$J$2:$J$101,0))&amp;" "&amp;INDEX(코드표!$G$2:$G$101,MATCH(TRIM(RIGHT(SUBSTITUTE(TRIM(H321&amp;"")," ",REPT(" ",60)),60)),코드표!$F$2:$F$101,0)),"⚠"&amp;TRIM(H321&amp;""))),"⚠"&amp;TRIM(H321&amp;""))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",TRIM(I321&amp;""))-1),코드표!$J$2:$J$101,0)),ISNUMBER(MATCH(TRIM(RIGHT(SUBSTITUTE(TRIM(I321&amp;"")," ",REPT(" ",60)),60)),코드표!$F$2:$F$101,0))),INDEX(코드표!$K$2:$K$101,MATCH(LEFT(TRIM(I321&amp;""),FIND(" ",TRIM(I321&amp;""))-1),코드표!$J$2:$J$101,0))&amp;" "&amp;INDEX(코드표!$G$2:$G$101,MATCH(TRIM(RIGHT(SUBSTITUTE(TRIM(I321&amp;"")," ",REPT(" ",60)),60)),코드표!$F$2:$F$101,0)),"⚠"&amp;TRIM(I321&amp;""))),"⚠"&amp;TRIM(I321&amp;""))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",TRIM(J321&amp;""))-1),코드표!$J$2:$J$101,0)),ISNUMBER(MATCH(TRIM(RIGHT(SUBSTITUTE(TRIM(J321&amp;"")," ",REPT(" ",60)),60)),코드표!$F$2:$F$101,0))),INDEX(코드표!$K$2:$K$101,MATCH(LEFT(TRIM(J321&amp;""),FIND(" ",TRIM(J321&amp;""))-1),코드표!$J$2:$J$101,0))&amp;" "&amp;INDEX(코드표!$G$2:$G$101,MATCH(TRIM(RIGHT(SUBSTITUTE(TRIM(J321&amp;"")," ",REPT(" ",60)),60)),코드표!$F$2:$F$101,0)),"⚠"&amp;TRIM(J321&amp;""))),"⚠"&amp;TRIM(J321&amp;""))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",TRIM(E322&amp;""))-1),코드표!$J$2:$J$101,0)),ISNUMBER(MATCH(TRIM(RIGHT(SUBSTITUTE(TRIM(E322&amp;"")," ",REPT(" ",60)),60)),코드표!$F$2:$F$101,0))),INDEX(코드표!$K$2:$K$101,MATCH(LEFT(TRIM(E322&amp;""),FIND(" ",TRIM(E322&amp;""))-1),코드표!$J$2:$J$101,0))&amp;" "&amp;INDEX(코드표!$G$2:$G$101,MATCH(TRIM(RIGHT(SUBSTITUTE(TRIM(E322&amp;"")," ",REPT(" ",60)),60)),코드표!$F$2:$F$101,0)),"⚠"&amp;TRIM(E322&amp;""))),"⚠"&amp;TRIM(E322&amp;""))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",TRIM(F322&amp;""))-1),코드표!$J$2:$J$101,0)),ISNUMBER(MATCH(TRIM(RIGHT(SUBSTITUTE(TRIM(F322&amp;"")," ",REPT(" ",60)),60)),코드표!$F$2:$F$101,0))),INDEX(코드표!$K$2:$K$101,MATCH(LEFT(TRIM(F322&amp;""),FIND(" ",TRIM(F322&amp;""))-1),코드표!$J$2:$J$101,0))&amp;" "&amp;INDEX(코드표!$G$2:$G$101,MATCH(TRIM(RIGHT(SUBSTITUTE(TRIM(F322&amp;"")," ",REPT(" ",60)),60)),코드표!$F$2:$F$101,0)),"⚠"&amp;TRIM(F322&amp;""))),"⚠"&amp;TRIM(F322&amp;""))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",TRIM(G322&amp;""))-1),코드표!$J$2:$J$101,0)),ISNUMBER(MATCH(TRIM(RIGHT(SUBSTITUTE(TRIM(G322&amp;"")," ",REPT(" ",60)),60)),코드표!$F$2:$F$101,0))),INDEX(코드표!$K$2:$K$101,MATCH(LEFT(TRIM(G322&amp;""),FIND(" ",TRIM(G322&amp;""))-1),코드표!$J$2:$J$101,0))&amp;" "&amp;INDEX(코드표!$G$2:$G$101,MATCH(TRIM(RIGHT(SUBSTITUTE(TRIM(G322&amp;"")," ",REPT(" ",60)),60)),코드표!$F$2:$F$101,0)),"⚠"&amp;TRIM(G322&amp;""))),"⚠"&amp;TRIM(G322&amp;""))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",TRIM(H322&amp;""))-1),코드표!$J$2:$J$101,0)),ISNUMBER(MATCH(TRIM(RIGHT(SUBSTITUTE(TRIM(H322&amp;"")," ",REPT(" ",60)),60)),코드표!$F$2:$F$101,0))),INDEX(코드표!$K$2:$K$101,MATCH(LEFT(TRIM(H322&amp;""),FIND(" ",TRIM(H322&amp;""))-1),코드표!$J$2:$J$101,0))&amp;" "&amp;INDEX(코드표!$G$2:$G$101,MATCH(TRIM(RIGHT(SUBSTITUTE(TRIM(H322&amp;"")," ",REPT(" ",60)),60)),코드표!$F$2:$F$101,0)),"⚠"&amp;TRIM(H322&amp;""))),"⚠"&amp;TRIM(H322&amp;""))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",TRIM(I322&amp;""))-1),코드표!$J$2:$J$101,0)),ISNUMBER(MATCH(TRIM(RIGHT(SUBSTITUTE(TRIM(I322&amp;"")," ",REPT(" ",60)),60)),코드표!$F$2:$F$101,0))),INDEX(코드표!$K$2:$K$101,MATCH(LEFT(TRIM(I322&amp;""),FIND(" ",TRIM(I322&amp;""))-1),코드표!$J$2:$J$101,0))&amp;" "&amp;INDEX(코드표!$G$2:$G$101,MATCH(TRIM(RIGHT(SUBSTITUTE(TRIM(I322&amp;"")," ",REPT(" ",60)),60)),코드표!$F$2:$F$101,0)),"⚠"&amp;TRIM(I322&amp;""))),"⚠"&amp;TRIM(I322&amp;""))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",TRIM(J322&amp;""))-1),코드표!$J$2:$J$101,0)),ISNUMBER(MATCH(TRIM(RIGHT(SUBSTITUTE(TRIM(J322&amp;"")," ",REPT(" ",60)),60)),코드표!$F$2:$F$101,0))),INDEX(코드표!$K$2:$K$101,MATCH(LEFT(TRIM(J322&amp;""),FIND(" ",TRIM(J322&amp;""))-1),코드표!$J$2:$J$101,0))&amp;" "&amp;INDEX(코드표!$G$2:$G$101,MATCH(TRIM(RIGHT(SUBSTITUTE(TRIM(J322&amp;"")," ",REPT(" ",60)),60)),코드표!$F$2:$F$101,0)),"⚠"&amp;TRIM(J322&amp;""))),"⚠"&amp;TRIM(J322&amp;""))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",TRIM(E323&amp;""))-1),코드표!$J$2:$J$101,0)),ISNUMBER(MATCH(TRIM(RIGHT(SUBSTITUTE(TRIM(E323&amp;"")," ",REPT(" ",60)),60)),코드표!$F$2:$F$101,0))),INDEX(코드표!$K$2:$K$101,MATCH(LEFT(TRIM(E323&amp;""),FIND(" ",TRIM(E323&amp;""))-1),코드표!$J$2:$J$101,0))&amp;" "&amp;INDEX(코드표!$G$2:$G$101,MATCH(TRIM(RIGHT(SUBSTITUTE(TRIM(E323&amp;"")," ",REPT(" ",60)),60)),코드표!$F$2:$F$101,0)),"⚠"&amp;TRIM(E323&amp;""))),"⚠"&amp;TRIM(E323&amp;""))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",TRIM(F323&amp;""))-1),코드표!$J$2:$J$101,0)),ISNUMBER(MATCH(TRIM(RIGHT(SUBSTITUTE(TRIM(F323&amp;"")," ",REPT(" ",60)),60)),코드표!$F$2:$F$101,0))),INDEX(코드표!$K$2:$K$101,MATCH(LEFT(TRIM(F323&amp;""),FIND(" ",TRIM(F323&amp;""))-1),코드표!$J$2:$J$101,0))&amp;" "&amp;INDEX(코드표!$G$2:$G$101,MATCH(TRIM(RIGHT(SUBSTITUTE(TRIM(F323&amp;"")," ",REPT(" ",60)),60)),코드표!$F$2:$F$101,0)),"⚠"&amp;TRIM(F323&amp;""))),"⚠"&amp;TRIM(F323&amp;""))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",TRIM(G323&amp;""))-1),코드표!$J$2:$J$101,0)),ISNUMBER(MATCH(TRIM(RIGHT(SUBSTITUTE(TRIM(G323&amp;"")," ",REPT(" ",60)),60)),코드표!$F$2:$F$101,0))),INDEX(코드표!$K$2:$K$101,MATCH(LEFT(TRIM(G323&amp;""),FIND(" ",TRIM(G323&amp;""))-1),코드표!$J$2:$J$101,0))&amp;" "&amp;INDEX(코드표!$G$2:$G$101,MATCH(TRIM(RIGHT(SUBSTITUTE(TRIM(G323&amp;"")," ",REPT(" ",60)),60)),코드표!$F$2:$F$101,0)),"⚠"&amp;TRIM(G323&amp;""))),"⚠"&amp;TRIM(G323&amp;""))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",TRIM(H323&amp;""))-1),코드표!$J$2:$J$101,0)),ISNUMBER(MATCH(TRIM(RIGHT(SUBSTITUTE(TRIM(H323&amp;"")," ",REPT(" ",60)),60)),코드표!$F$2:$F$101,0))),INDEX(코드표!$K$2:$K$101,MATCH(LEFT(TRIM(H323&amp;""),FIND(" ",TRIM(H323&amp;""))-1),코드표!$J$2:$J$101,0))&amp;" "&amp;INDEX(코드표!$G$2:$G$101,MATCH(TRIM(RIGHT(SUBSTITUTE(TRIM(H323&amp;"")," ",REPT(" ",60)),60)),코드표!$F$2:$F$101,0)),"⚠"&amp;TRIM(H323&amp;""))),"⚠"&amp;TRIM(H323&amp;""))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",TRIM(I323&amp;""))-1),코드표!$J$2:$J$101,0)),ISNUMBER(MATCH(TRIM(RIGHT(SUBSTITUTE(TRIM(I323&amp;"")," ",REPT(" ",60)),60)),코드표!$F$2:$F$101,0))),INDEX(코드표!$K$2:$K$101,MATCH(LEFT(TRIM(I323&amp;""),FIND(" ",TRIM(I323&amp;""))-1),코드표!$J$2:$J$101,0))&amp;" "&amp;INDEX(코드표!$G$2:$G$101,MATCH(TRIM(RIGHT(SUBSTITUTE(TRIM(I323&amp;"")," ",REPT(" ",60)),60)),코드표!$F$2:$F$101,0)),"⚠"&amp;TRIM(I323&amp;""))),"⚠"&amp;TRIM(I323&amp;""))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",TRIM(J323&amp;""))-1),코드표!$J$2:$J$101,0)),ISNUMBER(MATCH(TRIM(RIGHT(SUBSTITUTE(TRIM(J323&amp;"")," ",REPT(" ",60)),60)),코드표!$F$2:$F$101,0))),INDEX(코드표!$K$2:$K$101,MATCH(LEFT(TRIM(J323&amp;""),FIND(" ",TRIM(J323&amp;""))-1),코드표!$J$2:$J$101,0))&amp;" "&amp;INDEX(코드표!$G$2:$G$101,MATCH(TRIM(RIGHT(SUBSTITUTE(TRIM(J323&amp;"")," ",REPT(" ",60)),60)),코드표!$F$2:$F$101,0)),"⚠"&amp;TRIM(J323&amp;""))),"⚠"&amp;TRIM(J323&amp;""))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",TRIM(E324&amp;""))-1),코드표!$J$2:$J$101,0)),ISNUMBER(MATCH(TRIM(RIGHT(SUBSTITUTE(TRIM(E324&amp;"")," ",REPT(" ",60)),60)),코드표!$F$2:$F$101,0))),INDEX(코드표!$K$2:$K$101,MATCH(LEFT(TRIM(E324&amp;""),FIND(" ",TRIM(E324&amp;""))-1),코드표!$J$2:$J$101,0))&amp;" "&amp;INDEX(코드표!$G$2:$G$101,MATCH(TRIM(RIGHT(SUBSTITUTE(TRIM(E324&amp;"")," ",REPT(" ",60)),60)),코드표!$F$2:$F$101,0)),"⚠"&amp;TRIM(E324&amp;""))),"⚠"&amp;TRIM(E324&amp;""))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",TRIM(F324&amp;""))-1),코드표!$J$2:$J$101,0)),ISNUMBER(MATCH(TRIM(RIGHT(SUBSTITUTE(TRIM(F324&amp;"")," ",REPT(" ",60)),60)),코드표!$F$2:$F$101,0))),INDEX(코드표!$K$2:$K$101,MATCH(LEFT(TRIM(F324&amp;""),FIND(" ",TRIM(F324&amp;""))-1),코드표!$J$2:$J$101,0))&amp;" "&amp;INDEX(코드표!$G$2:$G$101,MATCH(TRIM(RIGHT(SUBSTITUTE(TRIM(F324&amp;"")," ",REPT(" ",60)),60)),코드표!$F$2:$F$101,0)),"⚠"&amp;TRIM(F324&amp;""))),"⚠"&amp;TRIM(F324&amp;""))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",TRIM(G324&amp;""))-1),코드표!$J$2:$J$101,0)),ISNUMBER(MATCH(TRIM(RIGHT(SUBSTITUTE(TRIM(G324&amp;"")," ",REPT(" ",60)),60)),코드표!$F$2:$F$101,0))),INDEX(코드표!$K$2:$K$101,MATCH(LEFT(TRIM(G324&amp;""),FIND(" ",TRIM(G324&amp;""))-1),코드표!$J$2:$J$101,0))&amp;" "&amp;INDEX(코드표!$G$2:$G$101,MATCH(TRIM(RIGHT(SUBSTITUTE(TRIM(G324&amp;"")," ",REPT(" ",60)),60)),코드표!$F$2:$F$101,0)),"⚠"&amp;TRIM(G324&amp;""))),"⚠"&amp;TRIM(G324&amp;""))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",TRIM(H324&amp;""))-1),코드표!$J$2:$J$101,0)),ISNUMBER(MATCH(TRIM(RIGHT(SUBSTITUTE(TRIM(H324&amp;"")," ",REPT(" ",60)),60)),코드표!$F$2:$F$101,0))),INDEX(코드표!$K$2:$K$101,MATCH(LEFT(TRIM(H324&amp;""),FIND(" ",TRIM(H324&amp;""))-1),코드표!$J$2:$J$101,0))&amp;" "&amp;INDEX(코드표!$G$2:$G$101,MATCH(TRIM(RIGHT(SUBSTITUTE(TRIM(H324&amp;"")," ",REPT(" ",60)),60)),코드표!$F$2:$F$101,0)),"⚠"&amp;TRIM(H324&amp;""))),"⚠"&amp;TRIM(H324&amp;""))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",TRIM(I324&amp;""))-1),코드표!$J$2:$J$101,0)),ISNUMBER(MATCH(TRIM(RIGHT(SUBSTITUTE(TRIM(I324&amp;"")," ",REPT(" ",60)),60)),코드표!$F$2:$F$101,0))),INDEX(코드표!$K$2:$K$101,MATCH(LEFT(TRIM(I324&amp;""),FIND(" ",TRIM(I324&amp;""))-1),코드표!$J$2:$J$101,0))&amp;" "&amp;INDEX(코드표!$G$2:$G$101,MATCH(TRIM(RIGHT(SUBSTITUTE(TRIM(I324&amp;"")," ",REPT(" ",60)),60)),코드표!$F$2:$F$101,0)),"⚠"&amp;TRIM(I324&amp;""))),"⚠"&amp;TRIM(I324&amp;""))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",TRIM(J324&amp;""))-1),코드표!$J$2:$J$101,0)),ISNUMBER(MATCH(TRIM(RIGHT(SUBSTITUTE(TRIM(J324&amp;"")," ",REPT(" ",60)),60)),코드표!$F$2:$F$101,0))),INDEX(코드표!$K$2:$K$101,MATCH(LEFT(TRIM(J324&amp;""),FIND(" ",TRIM(J324&amp;""))-1),코드표!$J$2:$J$101,0))&amp;" "&amp;INDEX(코드표!$G$2:$G$101,MATCH(TRIM(RIGHT(SUBSTITUTE(TRIM(J324&amp;"")," ",REPT(" ",60)),60)),코드표!$F$2:$F$101,0)),"⚠"&amp;TRIM(J324&amp;""))),"⚠"&amp;TRIM(J324&amp;""))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",TRIM(E325&amp;""))-1),코드표!$J$2:$J$101,0)),ISNUMBER(MATCH(TRIM(RIGHT(SUBSTITUTE(TRIM(E325&amp;"")," ",REPT(" ",60)),60)),코드표!$F$2:$F$101,0))),INDEX(코드표!$K$2:$K$101,MATCH(LEFT(TRIM(E325&amp;""),FIND(" ",TRIM(E325&amp;""))-1),코드표!$J$2:$J$101,0))&amp;" "&amp;INDEX(코드표!$G$2:$G$101,MATCH(TRIM(RIGHT(SUBSTITUTE(TRIM(E325&amp;"")," ",REPT(" ",60)),60)),코드표!$F$2:$F$101,0)),"⚠"&amp;TRIM(E325&amp;""))),"⚠"&amp;TRIM(E325&amp;""))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",TRIM(F325&amp;""))-1),코드표!$J$2:$J$101,0)),ISNUMBER(MATCH(TRIM(RIGHT(SUBSTITUTE(TRIM(F325&amp;"")," ",REPT(" ",60)),60)),코드표!$F$2:$F$101,0))),INDEX(코드표!$K$2:$K$101,MATCH(LEFT(TRIM(F325&amp;""),FIND(" ",TRIM(F325&amp;""))-1),코드표!$J$2:$J$101,0))&amp;" "&amp;INDEX(코드표!$G$2:$G$101,MATCH(TRIM(RIGHT(SUBSTITUTE(TRIM(F325&amp;"")," ",REPT(" ",60)),60)),코드표!$F$2:$F$101,0)),"⚠"&amp;TRIM(F325&amp;""))),"⚠"&amp;TRIM(F325&amp;""))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",TRIM(G325&amp;""))-1),코드표!$J$2:$J$101,0)),ISNUMBER(MATCH(TRIM(RIGHT(SUBSTITUTE(TRIM(G325&amp;"")," ",REPT(" ",60)),60)),코드표!$F$2:$F$101,0))),INDEX(코드표!$K$2:$K$101,MATCH(LEFT(TRIM(G325&amp;""),FIND(" ",TRIM(G325&amp;""))-1),코드표!$J$2:$J$101,0))&amp;" "&amp;INDEX(코드표!$G$2:$G$101,MATCH(TRIM(RIGHT(SUBSTITUTE(TRIM(G325&amp;"")," ",REPT(" ",60)),60)),코드표!$F$2:$F$101,0)),"⚠"&amp;TRIM(G325&amp;""))),"⚠"&amp;TRIM(G325&amp;""))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",TRIM(H325&amp;""))-1),코드표!$J$2:$J$101,0)),ISNUMBER(MATCH(TRIM(RIGHT(SUBSTITUTE(TRIM(H325&amp;"")," ",REPT(" ",60)),60)),코드표!$F$2:$F$101,0))),INDEX(코드표!$K$2:$K$101,MATCH(LEFT(TRIM(H325&amp;""),FIND(" ",TRIM(H325&amp;""))-1),코드표!$J$2:$J$101,0))&amp;" "&amp;INDEX(코드표!$G$2:$G$101,MATCH(TRIM(RIGHT(SUBSTITUTE(TRIM(H325&amp;"")," ",REPT(" ",60)),60)),코드표!$F$2:$F$101,0)),"⚠"&amp;TRIM(H325&amp;""))),"⚠"&amp;TRIM(H325&amp;""))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",TRIM(I325&amp;""))-1),코드표!$J$2:$J$101,0)),ISNUMBER(MATCH(TRIM(RIGHT(SUBSTITUTE(TRIM(I325&amp;"")," ",REPT(" ",60)),60)),코드표!$F$2:$F$101,0))),INDEX(코드표!$K$2:$K$101,MATCH(LEFT(TRIM(I325&amp;""),FIND(" ",TRIM(I325&amp;""))-1),코드표!$J$2:$J$101,0))&amp;" "&amp;INDEX(코드표!$G$2:$G$101,MATCH(TRIM(RIGHT(SUBSTITUTE(TRIM(I325&amp;"")," ",REPT(" ",60)),60)),코드표!$F$2:$F$101,0)),"⚠"&amp;TRIM(I325&amp;""))),"⚠"&amp;TRIM(I325&amp;""))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",TRIM(J325&amp;""))-1),코드표!$J$2:$J$101,0)),ISNUMBER(MATCH(TRIM(RIGHT(SUBSTITUTE(TRIM(J325&amp;"")," ",REPT(" ",60)),60)),코드표!$F$2:$F$101,0))),INDEX(코드표!$K$2:$K$101,MATCH(LEFT(TRIM(J325&amp;""),FIND(" ",TRIM(J325&amp;""))-1),코드표!$J$2:$J$101,0))&amp;" "&amp;INDEX(코드표!$G$2:$G$101,MATCH(TRIM(RIGHT(SUBSTITUTE(TRIM(J325&amp;"")," ",REPT(" ",60)),60)),코드표!$F$2:$F$101,0)),"⚠"&amp;TRIM(J325&amp;""))),"⚠"&amp;TRIM(J325&amp;""))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",TRIM(E326&amp;""))-1),코드표!$J$2:$J$101,0)),ISNUMBER(MATCH(TRIM(RIGHT(SUBSTITUTE(TRIM(E326&amp;"")," ",REPT(" ",60)),60)),코드표!$F$2:$F$101,0))),INDEX(코드표!$K$2:$K$101,MATCH(LEFT(TRIM(E326&amp;""),FIND(" ",TRIM(E326&amp;""))-1),코드표!$J$2:$J$101,0))&amp;" "&amp;INDEX(코드표!$G$2:$G$101,MATCH(TRIM(RIGHT(SUBSTITUTE(TRIM(E326&amp;"")," ",REPT(" ",60)),60)),코드표!$F$2:$F$101,0)),"⚠"&amp;TRIM(E326&amp;""))),"⚠"&amp;TRIM(E326&amp;""))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",TRIM(F326&amp;""))-1),코드표!$J$2:$J$101,0)),ISNUMBER(MATCH(TRIM(RIGHT(SUBSTITUTE(TRIM(F326&amp;"")," ",REPT(" ",60)),60)),코드표!$F$2:$F$101,0))),INDEX(코드표!$K$2:$K$101,MATCH(LEFT(TRIM(F326&amp;""),FIND(" ",TRIM(F326&amp;""))-1),코드표!$J$2:$J$101,0))&amp;" "&amp;INDEX(코드표!$G$2:$G$101,MATCH(TRIM(RIGHT(SUBSTITUTE(TRIM(F326&amp;"")," ",REPT(" ",60)),60)),코드표!$F$2:$F$101,0)),"⚠"&amp;TRIM(F326&amp;""))),"⚠"&amp;TRIM(F326&amp;""))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",TRIM(G326&amp;""))-1),코드표!$J$2:$J$101,0)),ISNUMBER(MATCH(TRIM(RIGHT(SUBSTITUTE(TRIM(G326&amp;"")," ",REPT(" ",60)),60)),코드표!$F$2:$F$101,0))),INDEX(코드표!$K$2:$K$101,MATCH(LEFT(TRIM(G326&amp;""),FIND(" ",TRIM(G326&amp;""))-1),코드표!$J$2:$J$101,0))&amp;" "&amp;INDEX(코드표!$G$2:$G$101,MATCH(TRIM(RIGHT(SUBSTITUTE(TRIM(G326&amp;"")," ",REPT(" ",60)),60)),코드표!$F$2:$F$101,0)),"⚠"&amp;TRIM(G326&amp;""))),"⚠"&amp;TRIM(G326&amp;""))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",TRIM(H326&amp;""))-1),코드표!$J$2:$J$101,0)),ISNUMBER(MATCH(TRIM(RIGHT(SUBSTITUTE(TRIM(H326&amp;"")," ",REPT(" ",60)),60)),코드표!$F$2:$F$101,0))),INDEX(코드표!$K$2:$K$101,MATCH(LEFT(TRIM(H326&amp;""),FIND(" ",TRIM(H326&amp;""))-1),코드표!$J$2:$J$101,0))&amp;" "&amp;INDEX(코드표!$G$2:$G$101,MATCH(TRIM(RIGHT(SUBSTITUTE(TRIM(H326&amp;"")," ",REPT(" ",60)),60)),코드표!$F$2:$F$101,0)),"⚠"&amp;TRIM(H326&amp;""))),"⚠"&amp;TRIM(H326&amp;""))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",TRIM(I326&amp;""))-1),코드표!$J$2:$J$101,0)),ISNUMBER(MATCH(TRIM(RIGHT(SUBSTITUTE(TRIM(I326&amp;"")," ",REPT(" ",60)),60)),코드표!$F$2:$F$101,0))),INDEX(코드표!$K$2:$K$101,MATCH(LEFT(TRIM(I326&amp;""),FIND(" ",TRIM(I326&amp;""))-1),코드표!$J$2:$J$101,0))&amp;" "&amp;INDEX(코드표!$G$2:$G$101,MATCH(TRIM(RIGHT(SUBSTITUTE(TRIM(I326&amp;"")," ",REPT(" ",60)),60)),코드표!$F$2:$F$101,0)),"⚠"&amp;TRIM(I326&amp;""))),"⚠"&amp;TRIM(I326&amp;""))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",TRIM(J326&amp;""))-1),코드표!$J$2:$J$101,0)),ISNUMBER(MATCH(TRIM(RIGHT(SUBSTITUTE(TRIM(J326&amp;"")," ",REPT(" ",60)),60)),코드표!$F$2:$F$101,0))),INDEX(코드표!$K$2:$K$101,MATCH(LEFT(TRIM(J326&amp;""),FIND(" ",TRIM(J326&amp;""))-1),코드표!$J$2:$J$101,0))&amp;" "&amp;INDEX(코드표!$G$2:$G$101,MATCH(TRIM(RIGHT(SUBSTITUTE(TRIM(J326&amp;"")," ",REPT(" ",60)),60)),코드표!$F$2:$F$101,0)),"⚠"&amp;TRIM(J326&amp;""))),"⚠"&amp;TRIM(J326&amp;""))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",TRIM(E327&amp;""))-1),코드표!$J$2:$J$101,0)),ISNUMBER(MATCH(TRIM(RIGHT(SUBSTITUTE(TRIM(E327&amp;"")," ",REPT(" ",60)),60)),코드표!$F$2:$F$101,0))),INDEX(코드표!$K$2:$K$101,MATCH(LEFT(TRIM(E327&amp;""),FIND(" ",TRIM(E327&amp;""))-1),코드표!$J$2:$J$101,0))&amp;" "&amp;INDEX(코드표!$G$2:$G$101,MATCH(TRIM(RIGHT(SUBSTITUTE(TRIM(E327&amp;"")," ",REPT(" ",60)),60)),코드표!$F$2:$F$101,0)),"⚠"&amp;TRIM(E327&amp;""))),"⚠"&amp;TRIM(E327&amp;""))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",TRIM(F327&amp;""))-1),코드표!$J$2:$J$101,0)),ISNUMBER(MATCH(TRIM(RIGHT(SUBSTITUTE(TRIM(F327&amp;"")," ",REPT(" ",60)),60)),코드표!$F$2:$F$101,0))),INDEX(코드표!$K$2:$K$101,MATCH(LEFT(TRIM(F327&amp;""),FIND(" ",TRIM(F327&amp;""))-1),코드표!$J$2:$J$101,0))&amp;" "&amp;INDEX(코드표!$G$2:$G$101,MATCH(TRIM(RIGHT(SUBSTITUTE(TRIM(F327&amp;"")," ",REPT(" ",60)),60)),코드표!$F$2:$F$101,0)),"⚠"&amp;TRIM(F327&amp;""))),"⚠"&amp;TRIM(F327&amp;""))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",TRIM(G327&amp;""))-1),코드표!$J$2:$J$101,0)),ISNUMBER(MATCH(TRIM(RIGHT(SUBSTITUTE(TRIM(G327&amp;"")," ",REPT(" ",60)),60)),코드표!$F$2:$F$101,0))),INDEX(코드표!$K$2:$K$101,MATCH(LEFT(TRIM(G327&amp;""),FIND(" ",TRIM(G327&amp;""))-1),코드표!$J$2:$J$101,0))&amp;" "&amp;INDEX(코드표!$G$2:$G$101,MATCH(TRIM(RIGHT(SUBSTITUTE(TRIM(G327&amp;"")," ",REPT(" ",60)),60)),코드표!$F$2:$F$101,0)),"⚠"&amp;TRIM(G327&amp;""))),"⚠"&amp;TRIM(G327&amp;""))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",TRIM(H327&amp;""))-1),코드표!$J$2:$J$101,0)),ISNUMBER(MATCH(TRIM(RIGHT(SUBSTITUTE(TRIM(H327&amp;"")," ",REPT(" ",60)),60)),코드표!$F$2:$F$101,0))),INDEX(코드표!$K$2:$K$101,MATCH(LEFT(TRIM(H327&amp;""),FIND(" ",TRIM(H327&amp;""))-1),코드표!$J$2:$J$101,0))&amp;" "&amp;INDEX(코드표!$G$2:$G$101,MATCH(TRIM(RIGHT(SUBSTITUTE(TRIM(H327&amp;"")," ",REPT(" ",60)),60)),코드표!$F$2:$F$101,0)),"⚠"&amp;TRIM(H327&amp;""))),"⚠"&amp;TRIM(H327&amp;""))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",TRIM(I327&amp;""))-1),코드표!$J$2:$J$101,0)),ISNUMBER(MATCH(TRIM(RIGHT(SUBSTITUTE(TRIM(I327&amp;"")," ",REPT(" ",60)),60)),코드표!$F$2:$F$101,0))),INDEX(코드표!$K$2:$K$101,MATCH(LEFT(TRIM(I327&amp;""),FIND(" ",TRIM(I327&amp;""))-1),코드표!$J$2:$J$101,0))&amp;" "&amp;INDEX(코드표!$G$2:$G$101,MATCH(TRIM(RIGHT(SUBSTITUTE(TRIM(I327&amp;"")," ",REPT(" ",60)),60)),코드표!$F$2:$F$101,0)),"⚠"&amp;TRIM(I327&amp;""))),"⚠"&amp;TRIM(I327&amp;""))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",TRIM(J327&amp;""))-1),코드표!$J$2:$J$101,0)),ISNUMBER(MATCH(TRIM(RIGHT(SUBSTITUTE(TRIM(J327&amp;"")," ",REPT(" ",60)),60)),코드표!$F$2:$F$101,0))),INDEX(코드표!$K$2:$K$101,MATCH(LEFT(TRIM(J327&amp;""),FIND(" ",TRIM(J327&amp;""))-1),코드표!$J$2:$J$101,0))&amp;" "&amp;INDEX(코드표!$G$2:$G$101,MATCH(TRIM(RIGHT(SUBSTITUTE(TRIM(J327&amp;"")," ",REPT(" ",60)),60)),코드표!$F$2:$F$101,0)),"⚠"&amp;TRIM(J327&amp;""))),"⚠"&amp;TRIM(J327&amp;""))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",TRIM(E328&amp;""))-1),코드표!$J$2:$J$101,0)),ISNUMBER(MATCH(TRIM(RIGHT(SUBSTITUTE(TRIM(E328&amp;"")," ",REPT(" ",60)),60)),코드표!$F$2:$F$101,0))),INDEX(코드표!$K$2:$K$101,MATCH(LEFT(TRIM(E328&amp;""),FIND(" ",TRIM(E328&amp;""))-1),코드표!$J$2:$J$101,0))&amp;" "&amp;INDEX(코드표!$G$2:$G$101,MATCH(TRIM(RIGHT(SUBSTITUTE(TRIM(E328&amp;"")," ",REPT(" ",60)),60)),코드표!$F$2:$F$101,0)),"⚠"&amp;TRIM(E328&amp;""))),"⚠"&amp;TRIM(E328&amp;""))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",TRIM(F328&amp;""))-1),코드표!$J$2:$J$101,0)),ISNUMBER(MATCH(TRIM(RIGHT(SUBSTITUTE(TRIM(F328&amp;"")," ",REPT(" ",60)),60)),코드표!$F$2:$F$101,0))),INDEX(코드표!$K$2:$K$101,MATCH(LEFT(TRIM(F328&amp;""),FIND(" ",TRIM(F328&amp;""))-1),코드표!$J$2:$J$101,0))&amp;" "&amp;INDEX(코드표!$G$2:$G$101,MATCH(TRIM(RIGHT(SUBSTITUTE(TRIM(F328&amp;"")," ",REPT(" ",60)),60)),코드표!$F$2:$F$101,0)),"⚠"&amp;TRIM(F328&amp;""))),"⚠"&amp;TRIM(F328&amp;""))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",TRIM(G328&amp;""))-1),코드표!$J$2:$J$101,0)),ISNUMBER(MATCH(TRIM(RIGHT(SUBSTITUTE(TRIM(G328&amp;"")," ",REPT(" ",60)),60)),코드표!$F$2:$F$101,0))),INDEX(코드표!$K$2:$K$101,MATCH(LEFT(TRIM(G328&amp;""),FIND(" ",TRIM(G328&amp;""))-1),코드표!$J$2:$J$101,0))&amp;" "&amp;INDEX(코드표!$G$2:$G$101,MATCH(TRIM(RIGHT(SUBSTITUTE(TRIM(G328&amp;"")," ",REPT(" ",60)),60)),코드표!$F$2:$F$101,0)),"⚠"&amp;TRIM(G328&amp;""))),"⚠"&amp;TRIM(G328&amp;""))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",TRIM(H328&amp;""))-1),코드표!$J$2:$J$101,0)),ISNUMBER(MATCH(TRIM(RIGHT(SUBSTITUTE(TRIM(H328&amp;"")," ",REPT(" ",60)),60)),코드표!$F$2:$F$101,0))),INDEX(코드표!$K$2:$K$101,MATCH(LEFT(TRIM(H328&amp;""),FIND(" ",TRIM(H328&amp;""))-1),코드표!$J$2:$J$101,0))&amp;" "&amp;INDEX(코드표!$G$2:$G$101,MATCH(TRIM(RIGHT(SUBSTITUTE(TRIM(H328&amp;"")," ",REPT(" ",60)),60)),코드표!$F$2:$F$101,0)),"⚠"&amp;TRIM(H328&amp;""))),"⚠"&amp;TRIM(H328&amp;""))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",TRIM(I328&amp;""))-1),코드표!$J$2:$J$101,0)),ISNUMBER(MATCH(TRIM(RIGHT(SUBSTITUTE(TRIM(I328&amp;"")," ",REPT(" ",60)),60)),코드표!$F$2:$F$101,0))),INDEX(코드표!$K$2:$K$101,MATCH(LEFT(TRIM(I328&amp;""),FIND(" ",TRIM(I328&amp;""))-1),코드표!$J$2:$J$101,0))&amp;" "&amp;INDEX(코드표!$G$2:$G$101,MATCH(TRIM(RIGHT(SUBSTITUTE(TRIM(I328&amp;"")," ",REPT(" ",60)),60)),코드표!$F$2:$F$101,0)),"⚠"&amp;TRIM(I328&amp;""))),"⚠"&amp;TRIM(I328&amp;""))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",TRIM(J328&amp;""))-1),코드표!$J$2:$J$101,0)),ISNUMBER(MATCH(TRIM(RIGHT(SUBSTITUTE(TRIM(J328&amp;"")," ",REPT(" ",60)),60)),코드표!$F$2:$F$101,0))),INDEX(코드표!$K$2:$K$101,MATCH(LEFT(TRIM(J328&amp;""),FIND(" ",TRIM(J328&amp;""))-1),코드표!$J$2:$J$101,0))&amp;" "&amp;INDEX(코드표!$G$2:$G$101,MATCH(TRIM(RIGHT(SUBSTITUTE(TRIM(J328&amp;"")," ",REPT(" ",60)),60)),코드표!$F$2:$F$101,0)),"⚠"&amp;TRIM(J328&amp;""))),"⚠"&amp;TRIM(J328&amp;""))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",TRIM(E329&amp;""))-1),코드표!$J$2:$J$101,0)),ISNUMBER(MATCH(TRIM(RIGHT(SUBSTITUTE(TRIM(E329&amp;"")," ",REPT(" ",60)),60)),코드표!$F$2:$F$101,0))),INDEX(코드표!$K$2:$K$101,MATCH(LEFT(TRIM(E329&amp;""),FIND(" ",TRIM(E329&amp;""))-1),코드표!$J$2:$J$101,0))&amp;" "&amp;INDEX(코드표!$G$2:$G$101,MATCH(TRIM(RIGHT(SUBSTITUTE(TRIM(E329&amp;"")," ",REPT(" ",60)),60)),코드표!$F$2:$F$101,0)),"⚠"&amp;TRIM(E329&amp;""))),"⚠"&amp;TRIM(E329&amp;""))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",TRIM(F329&amp;""))-1),코드표!$J$2:$J$101,0)),ISNUMBER(MATCH(TRIM(RIGHT(SUBSTITUTE(TRIM(F329&amp;"")," ",REPT(" ",60)),60)),코드표!$F$2:$F$101,0))),INDEX(코드표!$K$2:$K$101,MATCH(LEFT(TRIM(F329&amp;""),FIND(" ",TRIM(F329&amp;""))-1),코드표!$J$2:$J$101,0))&amp;" "&amp;INDEX(코드표!$G$2:$G$101,MATCH(TRIM(RIGHT(SUBSTITUTE(TRIM(F329&amp;"")," ",REPT(" ",60)),60)),코드표!$F$2:$F$101,0)),"⚠"&amp;TRIM(F329&amp;""))),"⚠"&amp;TRIM(F329&amp;""))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",TRIM(G329&amp;""))-1),코드표!$J$2:$J$101,0)),ISNUMBER(MATCH(TRIM(RIGHT(SUBSTITUTE(TRIM(G329&amp;"")," ",REPT(" ",60)),60)),코드표!$F$2:$F$101,0))),INDEX(코드표!$K$2:$K$101,MATCH(LEFT(TRIM(G329&amp;""),FIND(" ",TRIM(G329&amp;""))-1),코드표!$J$2:$J$101,0))&amp;" "&amp;INDEX(코드표!$G$2:$G$101,MATCH(TRIM(RIGHT(SUBSTITUTE(TRIM(G329&amp;"")," ",REPT(" ",60)),60)),코드표!$F$2:$F$101,0)),"⚠"&amp;TRIM(G329&amp;""))),"⚠"&amp;TRIM(G329&amp;""))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",TRIM(H329&amp;""))-1),코드표!$J$2:$J$101,0)),ISNUMBER(MATCH(TRIM(RIGHT(SUBSTITUTE(TRIM(H329&amp;"")," ",REPT(" ",60)),60)),코드표!$F$2:$F$101,0))),INDEX(코드표!$K$2:$K$101,MATCH(LEFT(TRIM(H329&amp;""),FIND(" ",TRIM(H329&amp;""))-1),코드표!$J$2:$J$101,0))&amp;" "&amp;INDEX(코드표!$G$2:$G$101,MATCH(TRIM(RIGHT(SUBSTITUTE(TRIM(H329&amp;"")," ",REPT(" ",60)),60)),코드표!$F$2:$F$101,0)),"⚠"&amp;TRIM(H329&amp;""))),"⚠"&amp;TRIM(H329&amp;""))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",TRIM(I329&amp;""))-1),코드표!$J$2:$J$101,0)),ISNUMBER(MATCH(TRIM(RIGHT(SUBSTITUTE(TRIM(I329&amp;"")," ",REPT(" ",60)),60)),코드표!$F$2:$F$101,0))),INDEX(코드표!$K$2:$K$101,MATCH(LEFT(TRIM(I329&amp;""),FIND(" ",TRIM(I329&amp;""))-1),코드표!$J$2:$J$101,0))&amp;" "&amp;INDEX(코드표!$G$2:$G$101,MATCH(TRIM(RIGHT(SUBSTITUTE(TRIM(I329&amp;"")," ",REPT(" ",60)),60)),코드표!$F$2:$F$101,0)),"⚠"&amp;TRIM(I329&amp;""))),"⚠"&amp;TRIM(I329&amp;""))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",TRIM(J329&amp;""))-1),코드표!$J$2:$J$101,0)),ISNUMBER(MATCH(TRIM(RIGHT(SUBSTITUTE(TRIM(J329&amp;"")," ",REPT(" ",60)),60)),코드표!$F$2:$F$101,0))),INDEX(코드표!$K$2:$K$101,MATCH(LEFT(TRIM(J329&amp;""),FIND(" ",TRIM(J329&amp;""))-1),코드표!$J$2:$J$101,0))&amp;" "&amp;INDEX(코드표!$G$2:$G$101,MATCH(TRIM(RIGHT(SUBSTITUTE(TRIM(J329&amp;"")," ",REPT(" ",60)),60)),코드표!$F$2:$F$101,0)),"⚠"&amp;TRIM(J329&amp;""))),"⚠"&amp;TRIM(J329&amp;""))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",TRIM(E330&amp;""))-1),코드표!$J$2:$J$101,0)),ISNUMBER(MATCH(TRIM(RIGHT(SUBSTITUTE(TRIM(E330&amp;"")," ",REPT(" ",60)),60)),코드표!$F$2:$F$101,0))),INDEX(코드표!$K$2:$K$101,MATCH(LEFT(TRIM(E330&amp;""),FIND(" ",TRIM(E330&amp;""))-1),코드표!$J$2:$J$101,0))&amp;" "&amp;INDEX(코드표!$G$2:$G$101,MATCH(TRIM(RIGHT(SUBSTITUTE(TRIM(E330&amp;"")," ",REPT(" ",60)),60)),코드표!$F$2:$F$101,0)),"⚠"&amp;TRIM(E330&amp;""))),"⚠"&amp;TRIM(E330&amp;""))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",TRIM(F330&amp;""))-1),코드표!$J$2:$J$101,0)),ISNUMBER(MATCH(TRIM(RIGHT(SUBSTITUTE(TRIM(F330&amp;"")," ",REPT(" ",60)),60)),코드표!$F$2:$F$101,0))),INDEX(코드표!$K$2:$K$101,MATCH(LEFT(TRIM(F330&amp;""),FIND(" ",TRIM(F330&amp;""))-1),코드표!$J$2:$J$101,0))&amp;" "&amp;INDEX(코드표!$G$2:$G$101,MATCH(TRIM(RIGHT(SUBSTITUTE(TRIM(F330&amp;"")," ",REPT(" ",60)),60)),코드표!$F$2:$F$101,0)),"⚠"&amp;TRIM(F330&amp;""))),"⚠"&amp;TRIM(F330&amp;""))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",TRIM(G330&amp;""))-1),코드표!$J$2:$J$101,0)),ISNUMBER(MATCH(TRIM(RIGHT(SUBSTITUTE(TRIM(G330&amp;"")," ",REPT(" ",60)),60)),코드표!$F$2:$F$101,0))),INDEX(코드표!$K$2:$K$101,MATCH(LEFT(TRIM(G330&amp;""),FIND(" ",TRIM(G330&amp;""))-1),코드표!$J$2:$J$101,0))&amp;" "&amp;INDEX(코드표!$G$2:$G$101,MATCH(TRIM(RIGHT(SUBSTITUTE(TRIM(G330&amp;"")," ",REPT(" ",60)),60)),코드표!$F$2:$F$101,0)),"⚠"&amp;TRIM(G330&amp;""))),"⚠"&amp;TRIM(G330&amp;""))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",TRIM(H330&amp;""))-1),코드표!$J$2:$J$101,0)),ISNUMBER(MATCH(TRIM(RIGHT(SUBSTITUTE(TRIM(H330&amp;"")," ",REPT(" ",60)),60)),코드표!$F$2:$F$101,0))),INDEX(코드표!$K$2:$K$101,MATCH(LEFT(TRIM(H330&amp;""),FIND(" ",TRIM(H330&amp;""))-1),코드표!$J$2:$J$101,0))&amp;" "&amp;INDEX(코드표!$G$2:$G$101,MATCH(TRIM(RIGHT(SUBSTITUTE(TRIM(H330&amp;"")," ",REPT(" ",60)),60)),코드표!$F$2:$F$101,0)),"⚠"&amp;TRIM(H330&amp;""))),"⚠"&amp;TRIM(H330&amp;""))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",TRIM(I330&amp;""))-1),코드표!$J$2:$J$101,0)),ISNUMBER(MATCH(TRIM(RIGHT(SUBSTITUTE(TRIM(I330&amp;"")," ",REPT(" ",60)),60)),코드표!$F$2:$F$101,0))),INDEX(코드표!$K$2:$K$101,MATCH(LEFT(TRIM(I330&amp;""),FIND(" ",TRIM(I330&amp;""))-1),코드표!$J$2:$J$101,0))&amp;" "&amp;INDEX(코드표!$G$2:$G$101,MATCH(TRIM(RIGHT(SUBSTITUTE(TRIM(I330&amp;"")," ",REPT(" ",60)),60)),코드표!$F$2:$F$101,0)),"⚠"&amp;TRIM(I330&amp;""))),"⚠"&amp;TRIM(I330&amp;""))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",TRIM(J330&amp;""))-1),코드표!$J$2:$J$101,0)),ISNUMBER(MATCH(TRIM(RIGHT(SUBSTITUTE(TRIM(J330&amp;"")," ",REPT(" ",60)),60)),코드표!$F$2:$F$101,0))),INDEX(코드표!$K$2:$K$101,MATCH(LEFT(TRIM(J330&amp;""),FIND(" ",TRIM(J330&amp;""))-1),코드표!$J$2:$J$101,0))&amp;" "&amp;INDEX(코드표!$G$2:$G$101,MATCH(TRIM(RIGHT(SUBSTITUTE(TRIM(J330&amp;"")," ",REPT(" ",60)),60)),코드표!$F$2:$F$101,0)),"⚠"&amp;TRIM(J330&amp;""))),"⚠"&amp;TRIM(J330&amp;""))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",TRIM(E331&amp;""))-1),코드표!$J$2:$J$101,0)),ISNUMBER(MATCH(TRIM(RIGHT(SUBSTITUTE(TRIM(E331&amp;"")," ",REPT(" ",60)),60)),코드표!$F$2:$F$101,0))),INDEX(코드표!$K$2:$K$101,MATCH(LEFT(TRIM(E331&amp;""),FIND(" ",TRIM(E331&amp;""))-1),코드표!$J$2:$J$101,0))&amp;" "&amp;INDEX(코드표!$G$2:$G$101,MATCH(TRIM(RIGHT(SUBSTITUTE(TRIM(E331&amp;"")," ",REPT(" ",60)),60)),코드표!$F$2:$F$101,0)),"⚠"&amp;TRIM(E331&amp;""))),"⚠"&amp;TRIM(E331&amp;""))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",TRIM(F331&amp;""))-1),코드표!$J$2:$J$101,0)),ISNUMBER(MATCH(TRIM(RIGHT(SUBSTITUTE(TRIM(F331&amp;"")," ",REPT(" ",60)),60)),코드표!$F$2:$F$101,0))),INDEX(코드표!$K$2:$K$101,MATCH(LEFT(TRIM(F331&amp;""),FIND(" ",TRIM(F331&amp;""))-1),코드표!$J$2:$J$101,0))&amp;" "&amp;INDEX(코드표!$G$2:$G$101,MATCH(TRIM(RIGHT(SUBSTITUTE(TRIM(F331&amp;"")," ",REPT(" ",60)),60)),코드표!$F$2:$F$101,0)),"⚠"&amp;TRIM(F331&amp;""))),"⚠"&amp;TRIM(F331&amp;""))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",TRIM(G331&amp;""))-1),코드표!$J$2:$J$101,0)),ISNUMBER(MATCH(TRIM(RIGHT(SUBSTITUTE(TRIM(G331&amp;"")," ",REPT(" ",60)),60)),코드표!$F$2:$F$101,0))),INDEX(코드표!$K$2:$K$101,MATCH(LEFT(TRIM(G331&amp;""),FIND(" ",TRIM(G331&amp;""))-1),코드표!$J$2:$J$101,0))&amp;" "&amp;INDEX(코드표!$G$2:$G$101,MATCH(TRIM(RIGHT(SUBSTITUTE(TRIM(G331&amp;"")," ",REPT(" ",60)),60)),코드표!$F$2:$F$101,0)),"⚠"&amp;TRIM(G331&amp;""))),"⚠"&amp;TRIM(G331&amp;""))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",TRIM(H331&amp;""))-1),코드표!$J$2:$J$101,0)),ISNUMBER(MATCH(TRIM(RIGHT(SUBSTITUTE(TRIM(H331&amp;"")," ",REPT(" ",60)),60)),코드표!$F$2:$F$101,0))),INDEX(코드표!$K$2:$K$101,MATCH(LEFT(TRIM(H331&amp;""),FIND(" ",TRIM(H331&amp;""))-1),코드표!$J$2:$J$101,0))&amp;" "&amp;INDEX(코드표!$G$2:$G$101,MATCH(TRIM(RIGHT(SUBSTITUTE(TRIM(H331&amp;"")," ",REPT(" ",60)),60)),코드표!$F$2:$F$101,0)),"⚠"&amp;TRIM(H331&amp;""))),"⚠"&amp;TRIM(H331&amp;""))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",TRIM(I331&amp;""))-1),코드표!$J$2:$J$101,0)),ISNUMBER(MATCH(TRIM(RIGHT(SUBSTITUTE(TRIM(I331&amp;"")," ",REPT(" ",60)),60)),코드표!$F$2:$F$101,0))),INDEX(코드표!$K$2:$K$101,MATCH(LEFT(TRIM(I331&amp;""),FIND(" ",TRIM(I331&amp;""))-1),코드표!$J$2:$J$101,0))&amp;" "&amp;INDEX(코드표!$G$2:$G$101,MATCH(TRIM(RIGHT(SUBSTITUTE(TRIM(I331&amp;"")," ",REPT(" ",60)),60)),코드표!$F$2:$F$101,0)),"⚠"&amp;TRIM(I331&amp;""))),"⚠"&amp;TRIM(I331&amp;""))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",TRIM(J331&amp;""))-1),코드표!$J$2:$J$101,0)),ISNUMBER(MATCH(TRIM(RIGHT(SUBSTITUTE(TRIM(J331&amp;"")," ",REPT(" ",60)),60)),코드표!$F$2:$F$101,0))),INDEX(코드표!$K$2:$K$101,MATCH(LEFT(TRIM(J331&amp;""),FIND(" ",TRIM(J331&amp;""))-1),코드표!$J$2:$J$101,0))&amp;" "&amp;INDEX(코드표!$G$2:$G$101,MATCH(TRIM(RIGHT(SUBSTITUTE(TRIM(J331&amp;"")," ",REPT(" ",60)),60)),코드표!$F$2:$F$101,0)),"⚠"&amp;TRIM(J331&amp;""))),"⚠"&amp;TRIM(J331&amp;""))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",TRIM(E332&amp;""))-1),코드표!$J$2:$J$101,0)),ISNUMBER(MATCH(TRIM(RIGHT(SUBSTITUTE(TRIM(E332&amp;"")," ",REPT(" ",60)),60)),코드표!$F$2:$F$101,0))),INDEX(코드표!$K$2:$K$101,MATCH(LEFT(TRIM(E332&amp;""),FIND(" ",TRIM(E332&amp;""))-1),코드표!$J$2:$J$101,0))&amp;" "&amp;INDEX(코드표!$G$2:$G$101,MATCH(TRIM(RIGHT(SUBSTITUTE(TRIM(E332&amp;"")," ",REPT(" ",60)),60)),코드표!$F$2:$F$101,0)),"⚠"&amp;TRIM(E332&amp;""))),"⚠"&amp;TRIM(E332&amp;""))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",TRIM(F332&amp;""))-1),코드표!$J$2:$J$101,0)),ISNUMBER(MATCH(TRIM(RIGHT(SUBSTITUTE(TRIM(F332&amp;"")," ",REPT(" ",60)),60)),코드표!$F$2:$F$101,0))),INDEX(코드표!$K$2:$K$101,MATCH(LEFT(TRIM(F332&amp;""),FIND(" ",TRIM(F332&amp;""))-1),코드표!$J$2:$J$101,0))&amp;" "&amp;INDEX(코드표!$G$2:$G$101,MATCH(TRIM(RIGHT(SUBSTITUTE(TRIM(F332&amp;"")," ",REPT(" ",60)),60)),코드표!$F$2:$F$101,0)),"⚠"&amp;TRIM(F332&amp;""))),"⚠"&amp;TRIM(F332&amp;""))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",TRIM(G332&amp;""))-1),코드표!$J$2:$J$101,0)),ISNUMBER(MATCH(TRIM(RIGHT(SUBSTITUTE(TRIM(G332&amp;"")," ",REPT(" ",60)),60)),코드표!$F$2:$F$101,0))),INDEX(코드표!$K$2:$K$101,MATCH(LEFT(TRIM(G332&amp;""),FIND(" ",TRIM(G332&amp;""))-1),코드표!$J$2:$J$101,0))&amp;" "&amp;INDEX(코드표!$G$2:$G$101,MATCH(TRIM(RIGHT(SUBSTITUTE(TRIM(G332&amp;"")," ",REPT(" ",60)),60)),코드표!$F$2:$F$101,0)),"⚠"&amp;TRIM(G332&amp;""))),"⚠"&amp;TRIM(G332&amp;""))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",TRIM(H332&amp;""))-1),코드표!$J$2:$J$101,0)),ISNUMBER(MATCH(TRIM(RIGHT(SUBSTITUTE(TRIM(H332&amp;"")," ",REPT(" ",60)),60)),코드표!$F$2:$F$101,0))),INDEX(코드표!$K$2:$K$101,MATCH(LEFT(TRIM(H332&amp;""),FIND(" ",TRIM(H332&amp;""))-1),코드표!$J$2:$J$101,0))&amp;" "&amp;INDEX(코드표!$G$2:$G$101,MATCH(TRIM(RIGHT(SUBSTITUTE(TRIM(H332&amp;"")," ",REPT(" ",60)),60)),코드표!$F$2:$F$101,0)),"⚠"&amp;TRIM(H332&amp;""))),"⚠"&amp;TRIM(H332&amp;""))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",TRIM(I332&amp;""))-1),코드표!$J$2:$J$101,0)),ISNUMBER(MATCH(TRIM(RIGHT(SUBSTITUTE(TRIM(I332&amp;"")," ",REPT(" ",60)),60)),코드표!$F$2:$F$101,0))),INDEX(코드표!$K$2:$K$101,MATCH(LEFT(TRIM(I332&amp;""),FIND(" ",TRIM(I332&amp;""))-1),코드표!$J$2:$J$101,0))&amp;" "&amp;INDEX(코드표!$G$2:$G$101,MATCH(TRIM(RIGHT(SUBSTITUTE(TRIM(I332&amp;"")," ",REPT(" ",60)),60)),코드표!$F$2:$F$101,0)),"⚠"&amp;TRIM(I332&amp;""))),"⚠"&amp;TRIM(I332&amp;""))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",TRIM(J332&amp;""))-1),코드표!$J$2:$J$101,0)),ISNUMBER(MATCH(TRIM(RIGHT(SUBSTITUTE(TRIM(J332&amp;"")," ",REPT(" ",60)),60)),코드표!$F$2:$F$101,0))),INDEX(코드표!$K$2:$K$101,MATCH(LEFT(TRIM(J332&amp;""),FIND(" ",TRIM(J332&amp;""))-1),코드표!$J$2:$J$101,0))&amp;" "&amp;INDEX(코드표!$G$2:$G$101,MATCH(TRIM(RIGHT(SUBSTITUTE(TRIM(J332&amp;"")," ",REPT(" ",60)),60)),코드표!$F$2:$F$101,0)),"⚠"&amp;TRIM(J332&amp;""))),"⚠"&amp;TRIM(J332&amp;""))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",TRIM(E333&amp;""))-1),코드표!$J$2:$J$101,0)),ISNUMBER(MATCH(TRIM(RIGHT(SUBSTITUTE(TRIM(E333&amp;"")," ",REPT(" ",60)),60)),코드표!$F$2:$F$101,0))),INDEX(코드표!$K$2:$K$101,MATCH(LEFT(TRIM(E333&amp;""),FIND(" ",TRIM(E333&amp;""))-1),코드표!$J$2:$J$101,0))&amp;" "&amp;INDEX(코드표!$G$2:$G$101,MATCH(TRIM(RIGHT(SUBSTITUTE(TRIM(E333&amp;"")," ",REPT(" ",60)),60)),코드표!$F$2:$F$101,0)),"⚠"&amp;TRIM(E333&amp;""))),"⚠"&amp;TRIM(E333&amp;""))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",TRIM(F333&amp;""))-1),코드표!$J$2:$J$101,0)),ISNUMBER(MATCH(TRIM(RIGHT(SUBSTITUTE(TRIM(F333&amp;"")," ",REPT(" ",60)),60)),코드표!$F$2:$F$101,0))),INDEX(코드표!$K$2:$K$101,MATCH(LEFT(TRIM(F333&amp;""),FIND(" ",TRIM(F333&amp;""))-1),코드표!$J$2:$J$101,0))&amp;" "&amp;INDEX(코드표!$G$2:$G$101,MATCH(TRIM(RIGHT(SUBSTITUTE(TRIM(F333&amp;"")," ",REPT(" ",60)),60)),코드표!$F$2:$F$101,0)),"⚠"&amp;TRIM(F333&amp;""))),"⚠"&amp;TRIM(F333&amp;""))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",TRIM(G333&amp;""))-1),코드표!$J$2:$J$101,0)),ISNUMBER(MATCH(TRIM(RIGHT(SUBSTITUTE(TRIM(G333&amp;"")," ",REPT(" ",60)),60)),코드표!$F$2:$F$101,0))),INDEX(코드표!$K$2:$K$101,MATCH(LEFT(TRIM(G333&amp;""),FIND(" ",TRIM(G333&amp;""))-1),코드표!$J$2:$J$101,0))&amp;" "&amp;INDEX(코드표!$G$2:$G$101,MATCH(TRIM(RIGHT(SUBSTITUTE(TRIM(G333&amp;"")," ",REPT(" ",60)),60)),코드표!$F$2:$F$101,0)),"⚠"&amp;TRIM(G333&amp;""))),"⚠"&amp;TRIM(G333&amp;""))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",TRIM(H333&amp;""))-1),코드표!$J$2:$J$101,0)),ISNUMBER(MATCH(TRIM(RIGHT(SUBSTITUTE(TRIM(H333&amp;"")," ",REPT(" ",60)),60)),코드표!$F$2:$F$101,0))),INDEX(코드표!$K$2:$K$101,MATCH(LEFT(TRIM(H333&amp;""),FIND(" ",TRIM(H333&amp;""))-1),코드표!$J$2:$J$101,0))&amp;" "&amp;INDEX(코드표!$G$2:$G$101,MATCH(TRIM(RIGHT(SUBSTITUTE(TRIM(H333&amp;"")," ",REPT(" ",60)),60)),코드표!$F$2:$F$101,0)),"⚠"&amp;TRIM(H333&amp;""))),"⚠"&amp;TRIM(H333&amp;""))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",TRIM(I333&amp;""))-1),코드표!$J$2:$J$101,0)),ISNUMBER(MATCH(TRIM(RIGHT(SUBSTITUTE(TRIM(I333&amp;"")," ",REPT(" ",60)),60)),코드표!$F$2:$F$101,0))),INDEX(코드표!$K$2:$K$101,MATCH(LEFT(TRIM(I333&amp;""),FIND(" ",TRIM(I333&amp;""))-1),코드표!$J$2:$J$101,0))&amp;" "&amp;INDEX(코드표!$G$2:$G$101,MATCH(TRIM(RIGHT(SUBSTITUTE(TRIM(I333&amp;"")," ",REPT(" ",60)),60)),코드표!$F$2:$F$101,0)),"⚠"&amp;TRIM(I333&amp;""))),"⚠"&amp;TRIM(I333&amp;""))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",TRIM(J333&amp;""))-1),코드표!$J$2:$J$101,0)),ISNUMBER(MATCH(TRIM(RIGHT(SUBSTITUTE(TRIM(J333&amp;"")," ",REPT(" ",60)),60)),코드표!$F$2:$F$101,0))),INDEX(코드표!$K$2:$K$101,MATCH(LEFT(TRIM(J333&amp;""),FIND(" ",TRIM(J333&amp;""))-1),코드표!$J$2:$J$101,0))&amp;" "&amp;INDEX(코드표!$G$2:$G$101,MATCH(TRIM(RIGHT(SUBSTITUTE(TRIM(J333&amp;"")," ",REPT(" ",60)),60)),코드표!$F$2:$F$101,0)),"⚠"&amp;TRIM(J333&amp;""))),"⚠"&amp;TRIM(J333&amp;""))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",TRIM(E334&amp;""))-1),코드표!$J$2:$J$101,0)),ISNUMBER(MATCH(TRIM(RIGHT(SUBSTITUTE(TRIM(E334&amp;"")," ",REPT(" ",60)),60)),코드표!$F$2:$F$101,0))),INDEX(코드표!$K$2:$K$101,MATCH(LEFT(TRIM(E334&amp;""),FIND(" ",TRIM(E334&amp;""))-1),코드표!$J$2:$J$101,0))&amp;" "&amp;INDEX(코드표!$G$2:$G$101,MATCH(TRIM(RIGHT(SUBSTITUTE(TRIM(E334&amp;"")," ",REPT(" ",60)),60)),코드표!$F$2:$F$101,0)),"⚠"&amp;TRIM(E334&amp;""))),"⚠"&amp;TRIM(E334&amp;""))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",TRIM(F334&amp;""))-1),코드표!$J$2:$J$101,0)),ISNUMBER(MATCH(TRIM(RIGHT(SUBSTITUTE(TRIM(F334&amp;"")," ",REPT(" ",60)),60)),코드표!$F$2:$F$101,0))),INDEX(코드표!$K$2:$K$101,MATCH(LEFT(TRIM(F334&amp;""),FIND(" ",TRIM(F334&amp;""))-1),코드표!$J$2:$J$101,0))&amp;" "&amp;INDEX(코드표!$G$2:$G$101,MATCH(TRIM(RIGHT(SUBSTITUTE(TRIM(F334&amp;"")," ",REPT(" ",60)),60)),코드표!$F$2:$F$101,0)),"⚠"&amp;TRIM(F334&amp;""))),"⚠"&amp;TRIM(F334&amp;""))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",TRIM(G334&amp;""))-1),코드표!$J$2:$J$101,0)),ISNUMBER(MATCH(TRIM(RIGHT(SUBSTITUTE(TRIM(G334&amp;"")," ",REPT(" ",60)),60)),코드표!$F$2:$F$101,0))),INDEX(코드표!$K$2:$K$101,MATCH(LEFT(TRIM(G334&amp;""),FIND(" ",TRIM(G334&amp;""))-1),코드표!$J$2:$J$101,0))&amp;" "&amp;INDEX(코드표!$G$2:$G$101,MATCH(TRIM(RIGHT(SUBSTITUTE(TRIM(G334&amp;"")," ",REPT(" ",60)),60)),코드표!$F$2:$F$101,0)),"⚠"&amp;TRIM(G334&amp;""))),"⚠"&amp;TRIM(G334&amp;""))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",TRIM(H334&amp;""))-1),코드표!$J$2:$J$101,0)),ISNUMBER(MATCH(TRIM(RIGHT(SUBSTITUTE(TRIM(H334&amp;"")," ",REPT(" ",60)),60)),코드표!$F$2:$F$101,0))),INDEX(코드표!$K$2:$K$101,MATCH(LEFT(TRIM(H334&amp;""),FIND(" ",TRIM(H334&amp;""))-1),코드표!$J$2:$J$101,0))&amp;" "&amp;INDEX(코드표!$G$2:$G$101,MATCH(TRIM(RIGHT(SUBSTITUTE(TRIM(H334&amp;"")," ",REPT(" ",60)),60)),코드표!$F$2:$F$101,0)),"⚠"&amp;TRIM(H334&amp;""))),"⚠"&amp;TRIM(H334&amp;""))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",TRIM(I334&amp;""))-1),코드표!$J$2:$J$101,0)),ISNUMBER(MATCH(TRIM(RIGHT(SUBSTITUTE(TRIM(I334&amp;"")," ",REPT(" ",60)),60)),코드표!$F$2:$F$101,0))),INDEX(코드표!$K$2:$K$101,MATCH(LEFT(TRIM(I334&amp;""),FIND(" ",TRIM(I334&amp;""))-1),코드표!$J$2:$J$101,0))&amp;" "&amp;INDEX(코드표!$G$2:$G$101,MATCH(TRIM(RIGHT(SUBSTITUTE(TRIM(I334&amp;"")," ",REPT(" ",60)),60)),코드표!$F$2:$F$101,0)),"⚠"&amp;TRIM(I334&amp;""))),"⚠"&amp;TRIM(I334&amp;""))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",TRIM(J334&amp;""))-1),코드표!$J$2:$J$101,0)),ISNUMBER(MATCH(TRIM(RIGHT(SUBSTITUTE(TRIM(J334&amp;"")," ",REPT(" ",60)),60)),코드표!$F$2:$F$101,0))),INDEX(코드표!$K$2:$K$101,MATCH(LEFT(TRIM(J334&amp;""),FIND(" ",TRIM(J334&amp;""))-1),코드표!$J$2:$J$101,0))&amp;" "&amp;INDEX(코드표!$G$2:$G$101,MATCH(TRIM(RIGHT(SUBSTITUTE(TRIM(J334&amp;"")," ",REPT(" ",60)),60)),코드표!$F$2:$F$101,0)),"⚠"&amp;TRIM(J334&amp;""))),"⚠"&amp;TRIM(J334&amp;""))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",TRIM(E335&amp;""))-1),코드표!$J$2:$J$101,0)),ISNUMBER(MATCH(TRIM(RIGHT(SUBSTITUTE(TRIM(E335&amp;"")," ",REPT(" ",60)),60)),코드표!$F$2:$F$101,0))),INDEX(코드표!$K$2:$K$101,MATCH(LEFT(TRIM(E335&amp;""),FIND(" ",TRIM(E335&amp;""))-1),코드표!$J$2:$J$101,0))&amp;" "&amp;INDEX(코드표!$G$2:$G$101,MATCH(TRIM(RIGHT(SUBSTITUTE(TRIM(E335&amp;"")," ",REPT(" ",60)),60)),코드표!$F$2:$F$101,0)),"⚠"&amp;TRIM(E335&amp;""))),"⚠"&amp;TRIM(E335&amp;""))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",TRIM(F335&amp;""))-1),코드표!$J$2:$J$101,0)),ISNUMBER(MATCH(TRIM(RIGHT(SUBSTITUTE(TRIM(F335&amp;"")," ",REPT(" ",60)),60)),코드표!$F$2:$F$101,0))),INDEX(코드표!$K$2:$K$101,MATCH(LEFT(TRIM(F335&amp;""),FIND(" ",TRIM(F335&amp;""))-1),코드표!$J$2:$J$101,0))&amp;" "&amp;INDEX(코드표!$G$2:$G$101,MATCH(TRIM(RIGHT(SUBSTITUTE(TRIM(F335&amp;"")," ",REPT(" ",60)),60)),코드표!$F$2:$F$101,0)),"⚠"&amp;TRIM(F335&amp;""))),"⚠"&amp;TRIM(F335&amp;""))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",TRIM(G335&amp;""))-1),코드표!$J$2:$J$101,0)),ISNUMBER(MATCH(TRIM(RIGHT(SUBSTITUTE(TRIM(G335&amp;"")," ",REPT(" ",60)),60)),코드표!$F$2:$F$101,0))),INDEX(코드표!$K$2:$K$101,MATCH(LEFT(TRIM(G335&amp;""),FIND(" ",TRIM(G335&amp;""))-1),코드표!$J$2:$J$101,0))&amp;" "&amp;INDEX(코드표!$G$2:$G$101,MATCH(TRIM(RIGHT(SUBSTITUTE(TRIM(G335&amp;"")," ",REPT(" ",60)),60)),코드표!$F$2:$F$101,0)),"⚠"&amp;TRIM(G335&amp;""))),"⚠"&amp;TRIM(G335&amp;""))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",TRIM(H335&amp;""))-1),코드표!$J$2:$J$101,0)),ISNUMBER(MATCH(TRIM(RIGHT(SUBSTITUTE(TRIM(H335&amp;"")," ",REPT(" ",60)),60)),코드표!$F$2:$F$101,0))),INDEX(코드표!$K$2:$K$101,MATCH(LEFT(TRIM(H335&amp;""),FIND(" ",TRIM(H335&amp;""))-1),코드표!$J$2:$J$101,0))&amp;" "&amp;INDEX(코드표!$G$2:$G$101,MATCH(TRIM(RIGHT(SUBSTITUTE(TRIM(H335&amp;"")," ",REPT(" ",60)),60)),코드표!$F$2:$F$101,0)),"⚠"&amp;TRIM(H335&amp;""))),"⚠"&amp;TRIM(H335&amp;""))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",TRIM(I335&amp;""))-1),코드표!$J$2:$J$101,0)),ISNUMBER(MATCH(TRIM(RIGHT(SUBSTITUTE(TRIM(I335&amp;"")," ",REPT(" ",60)),60)),코드표!$F$2:$F$101,0))),INDEX(코드표!$K$2:$K$101,MATCH(LEFT(TRIM(I335&amp;""),FIND(" ",TRIM(I335&amp;""))-1),코드표!$J$2:$J$101,0))&amp;" "&amp;INDEX(코드표!$G$2:$G$101,MATCH(TRIM(RIGHT(SUBSTITUTE(TRIM(I335&amp;"")," ",REPT(" ",60)),60)),코드표!$F$2:$F$101,0)),"⚠"&amp;TRIM(I335&amp;""))),"⚠"&amp;TRIM(I335&amp;""))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",TRIM(J335&amp;""))-1),코드표!$J$2:$J$101,0)),ISNUMBER(MATCH(TRIM(RIGHT(SUBSTITUTE(TRIM(J335&amp;"")," ",REPT(" ",60)),60)),코드표!$F$2:$F$101,0))),INDEX(코드표!$K$2:$K$101,MATCH(LEFT(TRIM(J335&amp;""),FIND(" ",TRIM(J335&amp;""))-1),코드표!$J$2:$J$101,0))&amp;" "&amp;INDEX(코드표!$G$2:$G$101,MATCH(TRIM(RIGHT(SUBSTITUTE(TRIM(J335&amp;"")," ",REPT(" ",60)),60)),코드표!$F$2:$F$101,0)),"⚠"&amp;TRIM(J335&amp;""))),"⚠"&amp;TRIM(J335&amp;""))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",TRIM(E336&amp;""))-1),코드표!$J$2:$J$101,0)),ISNUMBER(MATCH(TRIM(RIGHT(SUBSTITUTE(TRIM(E336&amp;"")," ",REPT(" ",60)),60)),코드표!$F$2:$F$101,0))),INDEX(코드표!$K$2:$K$101,MATCH(LEFT(TRIM(E336&amp;""),FIND(" ",TRIM(E336&amp;""))-1),코드표!$J$2:$J$101,0))&amp;" "&amp;INDEX(코드표!$G$2:$G$101,MATCH(TRIM(RIGHT(SUBSTITUTE(TRIM(E336&amp;"")," ",REPT(" ",60)),60)),코드표!$F$2:$F$101,0)),"⚠"&amp;TRIM(E336&amp;""))),"⚠"&amp;TRIM(E336&amp;""))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",TRIM(F336&amp;""))-1),코드표!$J$2:$J$101,0)),ISNUMBER(MATCH(TRIM(RIGHT(SUBSTITUTE(TRIM(F336&amp;"")," ",REPT(" ",60)),60)),코드표!$F$2:$F$101,0))),INDEX(코드표!$K$2:$K$101,MATCH(LEFT(TRIM(F336&amp;""),FIND(" ",TRIM(F336&amp;""))-1),코드표!$J$2:$J$101,0))&amp;" "&amp;INDEX(코드표!$G$2:$G$101,MATCH(TRIM(RIGHT(SUBSTITUTE(TRIM(F336&amp;"")," ",REPT(" ",60)),60)),코드표!$F$2:$F$101,0)),"⚠"&amp;TRIM(F336&amp;""))),"⚠"&amp;TRIM(F336&amp;""))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",TRIM(G336&amp;""))-1),코드표!$J$2:$J$101,0)),ISNUMBER(MATCH(TRIM(RIGHT(SUBSTITUTE(TRIM(G336&amp;"")," ",REPT(" ",60)),60)),코드표!$F$2:$F$101,0))),INDEX(코드표!$K$2:$K$101,MATCH(LEFT(TRIM(G336&amp;""),FIND(" ",TRIM(G336&amp;""))-1),코드표!$J$2:$J$101,0))&amp;" "&amp;INDEX(코드표!$G$2:$G$101,MATCH(TRIM(RIGHT(SUBSTITUTE(TRIM(G336&amp;"")," ",REPT(" ",60)),60)),코드표!$F$2:$F$101,0)),"⚠"&amp;TRIM(G336&amp;""))),"⚠"&amp;TRIM(G336&amp;""))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",TRIM(H336&amp;""))-1),코드표!$J$2:$J$101,0)),ISNUMBER(MATCH(TRIM(RIGHT(SUBSTITUTE(TRIM(H336&amp;"")," ",REPT(" ",60)),60)),코드표!$F$2:$F$101,0))),INDEX(코드표!$K$2:$K$101,MATCH(LEFT(TRIM(H336&amp;""),FIND(" ",TRIM(H336&amp;""))-1),코드표!$J$2:$J$101,0))&amp;" "&amp;INDEX(코드표!$G$2:$G$101,MATCH(TRIM(RIGHT(SUBSTITUTE(TRIM(H336&amp;"")," ",REPT(" ",60)),60)),코드표!$F$2:$F$101,0)),"⚠"&amp;TRIM(H336&amp;""))),"⚠"&amp;TRIM(H336&amp;""))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",TRIM(I336&amp;""))-1),코드표!$J$2:$J$101,0)),ISNUMBER(MATCH(TRIM(RIGHT(SUBSTITUTE(TRIM(I336&amp;"")," ",REPT(" ",60)),60)),코드표!$F$2:$F$101,0))),INDEX(코드표!$K$2:$K$101,MATCH(LEFT(TRIM(I336&amp;""),FIND(" ",TRIM(I336&amp;""))-1),코드표!$J$2:$J$101,0))&amp;" "&amp;INDEX(코드표!$G$2:$G$101,MATCH(TRIM(RIGHT(SUBSTITUTE(TRIM(I336&amp;"")," ",REPT(" ",60)),60)),코드표!$F$2:$F$101,0)),"⚠"&amp;TRIM(I336&amp;""))),"⚠"&amp;TRIM(I336&amp;""))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",TRIM(J336&amp;""))-1),코드표!$J$2:$J$101,0)),ISNUMBER(MATCH(TRIM(RIGHT(SUBSTITUTE(TRIM(J336&amp;"")," ",REPT(" ",60)),60)),코드표!$F$2:$F$101,0))),INDEX(코드표!$K$2:$K$101,MATCH(LEFT(TRIM(J336&amp;""),FIND(" ",TRIM(J336&amp;""))-1),코드표!$J$2:$J$101,0))&amp;" "&amp;INDEX(코드표!$G$2:$G$101,MATCH(TRIM(RIGHT(SUBSTITUTE(TRIM(J336&amp;"")," ",REPT(" ",60)),60)),코드표!$F$2:$F$101,0)),"⚠"&amp;TRIM(J336&amp;""))),"⚠"&amp;TRIM(J336&amp;""))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",TRIM(E337&amp;""))-1),코드표!$J$2:$J$101,0)),ISNUMBER(MATCH(TRIM(RIGHT(SUBSTITUTE(TRIM(E337&amp;"")," ",REPT(" ",60)),60)),코드표!$F$2:$F$101,0))),INDEX(코드표!$K$2:$K$101,MATCH(LEFT(TRIM(E337&amp;""),FIND(" ",TRIM(E337&amp;""))-1),코드표!$J$2:$J$101,0))&amp;" "&amp;INDEX(코드표!$G$2:$G$101,MATCH(TRIM(RIGHT(SUBSTITUTE(TRIM(E337&amp;"")," ",REPT(" ",60)),60)),코드표!$F$2:$F$101,0)),"⚠"&amp;TRIM(E337&amp;""))),"⚠"&amp;TRIM(E337&amp;""))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",TRIM(F337&amp;""))-1),코드표!$J$2:$J$101,0)),ISNUMBER(MATCH(TRIM(RIGHT(SUBSTITUTE(TRIM(F337&amp;"")," ",REPT(" ",60)),60)),코드표!$F$2:$F$101,0))),INDEX(코드표!$K$2:$K$101,MATCH(LEFT(TRIM(F337&amp;""),FIND(" ",TRIM(F337&amp;""))-1),코드표!$J$2:$J$101,0))&amp;" "&amp;INDEX(코드표!$G$2:$G$101,MATCH(TRIM(RIGHT(SUBSTITUTE(TRIM(F337&amp;"")," ",REPT(" ",60)),60)),코드표!$F$2:$F$101,0)),"⚠"&amp;TRIM(F337&amp;""))),"⚠"&amp;TRIM(F337&amp;""))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",TRIM(G337&amp;""))-1),코드표!$J$2:$J$101,0)),ISNUMBER(MATCH(TRIM(RIGHT(SUBSTITUTE(TRIM(G337&amp;"")," ",REPT(" ",60)),60)),코드표!$F$2:$F$101,0))),INDEX(코드표!$K$2:$K$101,MATCH(LEFT(TRIM(G337&amp;""),FIND(" ",TRIM(G337&amp;""))-1),코드표!$J$2:$J$101,0))&amp;" "&amp;INDEX(코드표!$G$2:$G$101,MATCH(TRIM(RIGHT(SUBSTITUTE(TRIM(G337&amp;"")," ",REPT(" ",60)),60)),코드표!$F$2:$F$101,0)),"⚠"&amp;TRIM(G337&amp;""))),"⚠"&amp;TRIM(G337&amp;""))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",TRIM(H337&amp;""))-1),코드표!$J$2:$J$101,0)),ISNUMBER(MATCH(TRIM(RIGHT(SUBSTITUTE(TRIM(H337&amp;"")," ",REPT(" ",60)),60)),코드표!$F$2:$F$101,0))),INDEX(코드표!$K$2:$K$101,MATCH(LEFT(TRIM(H337&amp;""),FIND(" ",TRIM(H337&amp;""))-1),코드표!$J$2:$J$101,0))&amp;" "&amp;INDEX(코드표!$G$2:$G$101,MATCH(TRIM(RIGHT(SUBSTITUTE(TRIM(H337&amp;"")," ",REPT(" ",60)),60)),코드표!$F$2:$F$101,0)),"⚠"&amp;TRIM(H337&amp;""))),"⚠"&amp;TRIM(H337&amp;""))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",TRIM(I337&amp;""))-1),코드표!$J$2:$J$101,0)),ISNUMBER(MATCH(TRIM(RIGHT(SUBSTITUTE(TRIM(I337&amp;"")," ",REPT(" ",60)),60)),코드표!$F$2:$F$101,0))),INDEX(코드표!$K$2:$K$101,MATCH(LEFT(TRIM(I337&amp;""),FIND(" ",TRIM(I337&amp;""))-1),코드표!$J$2:$J$101,0))&amp;" "&amp;INDEX(코드표!$G$2:$G$101,MATCH(TRIM(RIGHT(SUBSTITUTE(TRIM(I337&amp;"")," ",REPT(" ",60)),60)),코드표!$F$2:$F$101,0)),"⚠"&amp;TRIM(I337&amp;""))),"⚠"&amp;TRIM(I337&amp;""))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",TRIM(J337&amp;""))-1),코드표!$J$2:$J$101,0)),ISNUMBER(MATCH(TRIM(RIGHT(SUBSTITUTE(TRIM(J337&amp;"")," ",REPT(" ",60)),60)),코드표!$F$2:$F$101,0))),INDEX(코드표!$K$2:$K$101,MATCH(LEFT(TRIM(J337&amp;""),FIND(" ",TRIM(J337&amp;""))-1),코드표!$J$2:$J$101,0))&amp;" "&amp;INDEX(코드표!$G$2:$G$101,MATCH(TRIM(RIGHT(SUBSTITUTE(TRIM(J337&amp;"")," ",REPT(" ",60)),60)),코드표!$F$2:$F$101,0)),"⚠"&amp;TRIM(J337&amp;""))),"⚠"&amp;TRIM(J337&amp;""))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",TRIM(E338&amp;""))-1),코드표!$J$2:$J$101,0)),ISNUMBER(MATCH(TRIM(RIGHT(SUBSTITUTE(TRIM(E338&amp;"")," ",REPT(" ",60)),60)),코드표!$F$2:$F$101,0))),INDEX(코드표!$K$2:$K$101,MATCH(LEFT(TRIM(E338&amp;""),FIND(" ",TRIM(E338&amp;""))-1),코드표!$J$2:$J$101,0))&amp;" "&amp;INDEX(코드표!$G$2:$G$101,MATCH(TRIM(RIGHT(SUBSTITUTE(TRIM(E338&amp;"")," ",REPT(" ",60)),60)),코드표!$F$2:$F$101,0)),"⚠"&amp;TRIM(E338&amp;""))),"⚠"&amp;TRIM(E338&amp;""))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",TRIM(F338&amp;""))-1),코드표!$J$2:$J$101,0)),ISNUMBER(MATCH(TRIM(RIGHT(SUBSTITUTE(TRIM(F338&amp;"")," ",REPT(" ",60)),60)),코드표!$F$2:$F$101,0))),INDEX(코드표!$K$2:$K$101,MATCH(LEFT(TRIM(F338&amp;""),FIND(" ",TRIM(F338&amp;""))-1),코드표!$J$2:$J$101,0))&amp;" "&amp;INDEX(코드표!$G$2:$G$101,MATCH(TRIM(RIGHT(SUBSTITUTE(TRIM(F338&amp;"")," ",REPT(" ",60)),60)),코드표!$F$2:$F$101,0)),"⚠"&amp;TRIM(F338&amp;""))),"⚠"&amp;TRIM(F338&amp;""))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",TRIM(G338&amp;""))-1),코드표!$J$2:$J$101,0)),ISNUMBER(MATCH(TRIM(RIGHT(SUBSTITUTE(TRIM(G338&amp;"")," ",REPT(" ",60)),60)),코드표!$F$2:$F$101,0))),INDEX(코드표!$K$2:$K$101,MATCH(LEFT(TRIM(G338&amp;""),FIND(" ",TRIM(G338&amp;""))-1),코드표!$J$2:$J$101,0))&amp;" "&amp;INDEX(코드표!$G$2:$G$101,MATCH(TRIM(RIGHT(SUBSTITUTE(TRIM(G338&amp;"")," ",REPT(" ",60)),60)),코드표!$F$2:$F$101,0)),"⚠"&amp;TRIM(G338&amp;""))),"⚠"&amp;TRIM(G338&amp;""))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",TRIM(H338&amp;""))-1),코드표!$J$2:$J$101,0)),ISNUMBER(MATCH(TRIM(RIGHT(SUBSTITUTE(TRIM(H338&amp;"")," ",REPT(" ",60)),60)),코드표!$F$2:$F$101,0))),INDEX(코드표!$K$2:$K$101,MATCH(LEFT(TRIM(H338&amp;""),FIND(" ",TRIM(H338&amp;""))-1),코드표!$J$2:$J$101,0))&amp;" "&amp;INDEX(코드표!$G$2:$G$101,MATCH(TRIM(RIGHT(SUBSTITUTE(TRIM(H338&amp;"")," ",REPT(" ",60)),60)),코드표!$F$2:$F$101,0)),"⚠"&amp;TRIM(H338&amp;""))),"⚠"&amp;TRIM(H338&amp;""))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",TRIM(I338&amp;""))-1),코드표!$J$2:$J$101,0)),ISNUMBER(MATCH(TRIM(RIGHT(SUBSTITUTE(TRIM(I338&amp;"")," ",REPT(" ",60)),60)),코드표!$F$2:$F$101,0))),INDEX(코드표!$K$2:$K$101,MATCH(LEFT(TRIM(I338&amp;""),FIND(" ",TRIM(I338&amp;""))-1),코드표!$J$2:$J$101,0))&amp;" "&amp;INDEX(코드표!$G$2:$G$101,MATCH(TRIM(RIGHT(SUBSTITUTE(TRIM(I338&amp;"")," ",REPT(" ",60)),60)),코드표!$F$2:$F$101,0)),"⚠"&amp;TRIM(I338&amp;""))),"⚠"&amp;TRIM(I338&amp;""))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",TRIM(J338&amp;""))-1),코드표!$J$2:$J$101,0)),ISNUMBER(MATCH(TRIM(RIGHT(SUBSTITUTE(TRIM(J338&amp;"")," ",REPT(" ",60)),60)),코드표!$F$2:$F$101,0))),INDEX(코드표!$K$2:$K$101,MATCH(LEFT(TRIM(J338&amp;""),FIND(" ",TRIM(J338&amp;""))-1),코드표!$J$2:$J$101,0))&amp;" "&amp;INDEX(코드표!$G$2:$G$101,MATCH(TRIM(RIGHT(SUBSTITUTE(TRIM(J338&amp;"")," ",REPT(" ",60)),60)),코드표!$F$2:$F$101,0)),"⚠"&amp;TRIM(J338&amp;""))),"⚠"&amp;TRIM(J338&amp;""))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",TRIM(E339&amp;""))-1),코드표!$J$2:$J$101,0)),ISNUMBER(MATCH(TRIM(RIGHT(SUBSTITUTE(TRIM(E339&amp;"")," ",REPT(" ",60)),60)),코드표!$F$2:$F$101,0))),INDEX(코드표!$K$2:$K$101,MATCH(LEFT(TRIM(E339&amp;""),FIND(" ",TRIM(E339&amp;""))-1),코드표!$J$2:$J$101,0))&amp;" "&amp;INDEX(코드표!$G$2:$G$101,MATCH(TRIM(RIGHT(SUBSTITUTE(TRIM(E339&amp;"")," ",REPT(" ",60)),60)),코드표!$F$2:$F$101,0)),"⚠"&amp;TRIM(E339&amp;""))),"⚠"&amp;TRIM(E339&amp;""))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",TRIM(F339&amp;""))-1),코드표!$J$2:$J$101,0)),ISNUMBER(MATCH(TRIM(RIGHT(SUBSTITUTE(TRIM(F339&amp;"")," ",REPT(" ",60)),60)),코드표!$F$2:$F$101,0))),INDEX(코드표!$K$2:$K$101,MATCH(LEFT(TRIM(F339&amp;""),FIND(" ",TRIM(F339&amp;""))-1),코드표!$J$2:$J$101,0))&amp;" "&amp;INDEX(코드표!$G$2:$G$101,MATCH(TRIM(RIGHT(SUBSTITUTE(TRIM(F339&amp;"")," ",REPT(" ",60)),60)),코드표!$F$2:$F$101,0)),"⚠"&amp;TRIM(F339&amp;""))),"⚠"&amp;TRIM(F339&amp;""))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",TRIM(G339&amp;""))-1),코드표!$J$2:$J$101,0)),ISNUMBER(MATCH(TRIM(RIGHT(SUBSTITUTE(TRIM(G339&amp;"")," ",REPT(" ",60)),60)),코드표!$F$2:$F$101,0))),INDEX(코드표!$K$2:$K$101,MATCH(LEFT(TRIM(G339&amp;""),FIND(" ",TRIM(G339&amp;""))-1),코드표!$J$2:$J$101,0))&amp;" "&amp;INDEX(코드표!$G$2:$G$101,MATCH(TRIM(RIGHT(SUBSTITUTE(TRIM(G339&amp;"")," ",REPT(" ",60)),60)),코드표!$F$2:$F$101,0)),"⚠"&amp;TRIM(G339&amp;""))),"⚠"&amp;TRIM(G339&amp;""))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",TRIM(H339&amp;""))-1),코드표!$J$2:$J$101,0)),ISNUMBER(MATCH(TRIM(RIGHT(SUBSTITUTE(TRIM(H339&amp;"")," ",REPT(" ",60)),60)),코드표!$F$2:$F$101,0))),INDEX(코드표!$K$2:$K$101,MATCH(LEFT(TRIM(H339&amp;""),FIND(" ",TRIM(H339&amp;""))-1),코드표!$J$2:$J$101,0))&amp;" "&amp;INDEX(코드표!$G$2:$G$101,MATCH(TRIM(RIGHT(SUBSTITUTE(TRIM(H339&amp;"")," ",REPT(" ",60)),60)),코드표!$F$2:$F$101,0)),"⚠"&amp;TRIM(H339&amp;""))),"⚠"&amp;TRIM(H339&amp;""))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",TRIM(I339&amp;""))-1),코드표!$J$2:$J$101,0)),ISNUMBER(MATCH(TRIM(RIGHT(SUBSTITUTE(TRIM(I339&amp;"")," ",REPT(" ",60)),60)),코드표!$F$2:$F$101,0))),INDEX(코드표!$K$2:$K$101,MATCH(LEFT(TRIM(I339&amp;""),FIND(" ",TRIM(I339&amp;""))-1),코드표!$J$2:$J$101,0))&amp;" "&amp;INDEX(코드표!$G$2:$G$101,MATCH(TRIM(RIGHT(SUBSTITUTE(TRIM(I339&amp;"")," ",REPT(" ",60)),60)),코드표!$F$2:$F$101,0)),"⚠"&amp;TRIM(I339&amp;""))),"⚠"&amp;TRIM(I339&amp;""))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",TRIM(J339&amp;""))-1),코드표!$J$2:$J$101,0)),ISNUMBER(MATCH(TRIM(RIGHT(SUBSTITUTE(TRIM(J339&amp;"")," ",REPT(" ",60)),60)),코드표!$F$2:$F$101,0))),INDEX(코드표!$K$2:$K$101,MATCH(LEFT(TRIM(J339&amp;""),FIND(" ",TRIM(J339&amp;""))-1),코드표!$J$2:$J$101,0))&amp;" "&amp;INDEX(코드표!$G$2:$G$101,MATCH(TRIM(RIGHT(SUBSTITUTE(TRIM(J339&amp;"")," ",REPT(" ",60)),60)),코드표!$F$2:$F$101,0)),"⚠"&amp;TRIM(J339&amp;""))),"⚠"&amp;TRIM(J339&amp;""))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",TRIM(E340&amp;""))-1),코드표!$J$2:$J$101,0)),ISNUMBER(MATCH(TRIM(RIGHT(SUBSTITUTE(TRIM(E340&amp;"")," ",REPT(" ",60)),60)),코드표!$F$2:$F$101,0))),INDEX(코드표!$K$2:$K$101,MATCH(LEFT(TRIM(E340&amp;""),FIND(" ",TRIM(E340&amp;""))-1),코드표!$J$2:$J$101,0))&amp;" "&amp;INDEX(코드표!$G$2:$G$101,MATCH(TRIM(RIGHT(SUBSTITUTE(TRIM(E340&amp;"")," ",REPT(" ",60)),60)),코드표!$F$2:$F$101,0)),"⚠"&amp;TRIM(E340&amp;""))),"⚠"&amp;TRIM(E340&amp;""))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",TRIM(F340&amp;""))-1),코드표!$J$2:$J$101,0)),ISNUMBER(MATCH(TRIM(RIGHT(SUBSTITUTE(TRIM(F340&amp;"")," ",REPT(" ",60)),60)),코드표!$F$2:$F$101,0))),INDEX(코드표!$K$2:$K$101,MATCH(LEFT(TRIM(F340&amp;""),FIND(" ",TRIM(F340&amp;""))-1),코드표!$J$2:$J$101,0))&amp;" "&amp;INDEX(코드표!$G$2:$G$101,MATCH(TRIM(RIGHT(SUBSTITUTE(TRIM(F340&amp;"")," ",REPT(" ",60)),60)),코드표!$F$2:$F$101,0)),"⚠"&amp;TRIM(F340&amp;""))),"⚠"&amp;TRIM(F340&amp;""))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",TRIM(G340&amp;""))-1),코드표!$J$2:$J$101,0)),ISNUMBER(MATCH(TRIM(RIGHT(SUBSTITUTE(TRIM(G340&amp;"")," ",REPT(" ",60)),60)),코드표!$F$2:$F$101,0))),INDEX(코드표!$K$2:$K$101,MATCH(LEFT(TRIM(G340&amp;""),FIND(" ",TRIM(G340&amp;""))-1),코드표!$J$2:$J$101,0))&amp;" "&amp;INDEX(코드표!$G$2:$G$101,MATCH(TRIM(RIGHT(SUBSTITUTE(TRIM(G340&amp;"")," ",REPT(" ",60)),60)),코드표!$F$2:$F$101,0)),"⚠"&amp;TRIM(G340&amp;""))),"⚠"&amp;TRIM(G340&amp;""))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",TRIM(H340&amp;""))-1),코드표!$J$2:$J$101,0)),ISNUMBER(MATCH(TRIM(RIGHT(SUBSTITUTE(TRIM(H340&amp;"")," ",REPT(" ",60)),60)),코드표!$F$2:$F$101,0))),INDEX(코드표!$K$2:$K$101,MATCH(LEFT(TRIM(H340&amp;""),FIND(" ",TRIM(H340&amp;""))-1),코드표!$J$2:$J$101,0))&amp;" "&amp;INDEX(코드표!$G$2:$G$101,MATCH(TRIM(RIGHT(SUBSTITUTE(TRIM(H340&amp;"")," ",REPT(" ",60)),60)),코드표!$F$2:$F$101,0)),"⚠"&amp;TRIM(H340&amp;""))),"⚠"&amp;TRIM(H340&amp;""))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",TRIM(I340&amp;""))-1),코드표!$J$2:$J$101,0)),ISNUMBER(MATCH(TRIM(RIGHT(SUBSTITUTE(TRIM(I340&amp;"")," ",REPT(" ",60)),60)),코드표!$F$2:$F$101,0))),INDEX(코드표!$K$2:$K$101,MATCH(LEFT(TRIM(I340&amp;""),FIND(" ",TRIM(I340&amp;""))-1),코드표!$J$2:$J$101,0))&amp;" "&amp;INDEX(코드표!$G$2:$G$101,MATCH(TRIM(RIGHT(SUBSTITUTE(TRIM(I340&amp;"")," ",REPT(" ",60)),60)),코드표!$F$2:$F$101,0)),"⚠"&amp;TRIM(I340&amp;""))),"⚠"&amp;TRIM(I340&amp;""))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",TRIM(J340&amp;""))-1),코드표!$J$2:$J$101,0)),ISNUMBER(MATCH(TRIM(RIGHT(SUBSTITUTE(TRIM(J340&amp;"")," ",REPT(" ",60)),60)),코드표!$F$2:$F$101,0))),INDEX(코드표!$K$2:$K$101,MATCH(LEFT(TRIM(J340&amp;""),FIND(" ",TRIM(J340&amp;""))-1),코드표!$J$2:$J$101,0))&amp;" "&amp;INDEX(코드표!$G$2:$G$101,MATCH(TRIM(RIGHT(SUBSTITUTE(TRIM(J340&amp;"")," ",REPT(" ",60)),60)),코드표!$F$2:$F$101,0)),"⚠"&amp;TRIM(J340&amp;""))),"⚠"&amp;TRIM(J340&amp;""))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",TRIM(E341&amp;""))-1),코드표!$J$2:$J$101,0)),ISNUMBER(MATCH(TRIM(RIGHT(SUBSTITUTE(TRIM(E341&amp;"")," ",REPT(" ",60)),60)),코드표!$F$2:$F$101,0))),INDEX(코드표!$K$2:$K$101,MATCH(LEFT(TRIM(E341&amp;""),FIND(" ",TRIM(E341&amp;""))-1),코드표!$J$2:$J$101,0))&amp;" "&amp;INDEX(코드표!$G$2:$G$101,MATCH(TRIM(RIGHT(SUBSTITUTE(TRIM(E341&amp;"")," ",REPT(" ",60)),60)),코드표!$F$2:$F$101,0)),"⚠"&amp;TRIM(E341&amp;""))),"⚠"&amp;TRIM(E341&amp;""))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",TRIM(F341&amp;""))-1),코드표!$J$2:$J$101,0)),ISNUMBER(MATCH(TRIM(RIGHT(SUBSTITUTE(TRIM(F341&amp;"")," ",REPT(" ",60)),60)),코드표!$F$2:$F$101,0))),INDEX(코드표!$K$2:$K$101,MATCH(LEFT(TRIM(F341&amp;""),FIND(" ",TRIM(F341&amp;""))-1),코드표!$J$2:$J$101,0))&amp;" "&amp;INDEX(코드표!$G$2:$G$101,MATCH(TRIM(RIGHT(SUBSTITUTE(TRIM(F341&amp;"")," ",REPT(" ",60)),60)),코드표!$F$2:$F$101,0)),"⚠"&amp;TRIM(F341&amp;""))),"⚠"&amp;TRIM(F341&amp;""))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",TRIM(G341&amp;""))-1),코드표!$J$2:$J$101,0)),ISNUMBER(MATCH(TRIM(RIGHT(SUBSTITUTE(TRIM(G341&amp;"")," ",REPT(" ",60)),60)),코드표!$F$2:$F$101,0))),INDEX(코드표!$K$2:$K$101,MATCH(LEFT(TRIM(G341&amp;""),FIND(" ",TRIM(G341&amp;""))-1),코드표!$J$2:$J$101,0))&amp;" "&amp;INDEX(코드표!$G$2:$G$101,MATCH(TRIM(RIGHT(SUBSTITUTE(TRIM(G341&amp;"")," ",REPT(" ",60)),60)),코드표!$F$2:$F$101,0)),"⚠"&amp;TRIM(G341&amp;""))),"⚠"&amp;TRIM(G341&amp;""))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",TRIM(H341&amp;""))-1),코드표!$J$2:$J$101,0)),ISNUMBER(MATCH(TRIM(RIGHT(SUBSTITUTE(TRIM(H341&amp;"")," ",REPT(" ",60)),60)),코드표!$F$2:$F$101,0))),INDEX(코드표!$K$2:$K$101,MATCH(LEFT(TRIM(H341&amp;""),FIND(" ",TRIM(H341&amp;""))-1),코드표!$J$2:$J$101,0))&amp;" "&amp;INDEX(코드표!$G$2:$G$101,MATCH(TRIM(RIGHT(SUBSTITUTE(TRIM(H341&amp;"")," ",REPT(" ",60)),60)),코드표!$F$2:$F$101,0)),"⚠"&amp;TRIM(H341&amp;""))),"⚠"&amp;TRIM(H341&amp;""))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",TRIM(I341&amp;""))-1),코드표!$J$2:$J$101,0)),ISNUMBER(MATCH(TRIM(RIGHT(SUBSTITUTE(TRIM(I341&amp;"")," ",REPT(" ",60)),60)),코드표!$F$2:$F$101,0))),INDEX(코드표!$K$2:$K$101,MATCH(LEFT(TRIM(I341&amp;""),FIND(" ",TRIM(I341&amp;""))-1),코드표!$J$2:$J$101,0))&amp;" "&amp;INDEX(코드표!$G$2:$G$101,MATCH(TRIM(RIGHT(SUBSTITUTE(TRIM(I341&amp;"")," ",REPT(" ",60)),60)),코드표!$F$2:$F$101,0)),"⚠"&amp;TRIM(I341&amp;""))),"⚠"&amp;TRIM(I341&amp;""))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",TRIM(J341&amp;""))-1),코드표!$J$2:$J$101,0)),ISNUMBER(MATCH(TRIM(RIGHT(SUBSTITUTE(TRIM(J341&amp;"")," ",REPT(" ",60)),60)),코드표!$F$2:$F$101,0))),INDEX(코드표!$K$2:$K$101,MATCH(LEFT(TRIM(J341&amp;""),FIND(" ",TRIM(J341&amp;""))-1),코드표!$J$2:$J$101,0))&amp;" "&amp;INDEX(코드표!$G$2:$G$101,MATCH(TRIM(RIGHT(SUBSTITUTE(TRIM(J341&amp;"")," ",REPT(" ",60)),60)),코드표!$F$2:$F$101,0)),"⚠"&amp;TRIM(J341&amp;""))),"⚠"&amp;TRIM(J341&amp;""))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",TRIM(E342&amp;""))-1),코드표!$J$2:$J$101,0)),ISNUMBER(MATCH(TRIM(RIGHT(SUBSTITUTE(TRIM(E342&amp;"")," ",REPT(" ",60)),60)),코드표!$F$2:$F$101,0))),INDEX(코드표!$K$2:$K$101,MATCH(LEFT(TRIM(E342&amp;""),FIND(" ",TRIM(E342&amp;""))-1),코드표!$J$2:$J$101,0))&amp;" "&amp;INDEX(코드표!$G$2:$G$101,MATCH(TRIM(RIGHT(SUBSTITUTE(TRIM(E342&amp;"")," ",REPT(" ",60)),60)),코드표!$F$2:$F$101,0)),"⚠"&amp;TRIM(E342&amp;""))),"⚠"&amp;TRIM(E342&amp;""))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",TRIM(F342&amp;""))-1),코드표!$J$2:$J$101,0)),ISNUMBER(MATCH(TRIM(RIGHT(SUBSTITUTE(TRIM(F342&amp;"")," ",REPT(" ",60)),60)),코드표!$F$2:$F$101,0))),INDEX(코드표!$K$2:$K$101,MATCH(LEFT(TRIM(F342&amp;""),FIND(" ",TRIM(F342&amp;""))-1),코드표!$J$2:$J$101,0))&amp;" "&amp;INDEX(코드표!$G$2:$G$101,MATCH(TRIM(RIGHT(SUBSTITUTE(TRIM(F342&amp;"")," ",REPT(" ",60)),60)),코드표!$F$2:$F$101,0)),"⚠"&amp;TRIM(F342&amp;""))),"⚠"&amp;TRIM(F342&amp;""))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",TRIM(G342&amp;""))-1),코드표!$J$2:$J$101,0)),ISNUMBER(MATCH(TRIM(RIGHT(SUBSTITUTE(TRIM(G342&amp;"")," ",REPT(" ",60)),60)),코드표!$F$2:$F$101,0))),INDEX(코드표!$K$2:$K$101,MATCH(LEFT(TRIM(G342&amp;""),FIND(" ",TRIM(G342&amp;""))-1),코드표!$J$2:$J$101,0))&amp;" "&amp;INDEX(코드표!$G$2:$G$101,MATCH(TRIM(RIGHT(SUBSTITUTE(TRIM(G342&amp;"")," ",REPT(" ",60)),60)),코드표!$F$2:$F$101,0)),"⚠"&amp;TRIM(G342&amp;""))),"⚠"&amp;TRIM(G342&amp;""))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",TRIM(H342&amp;""))-1),코드표!$J$2:$J$101,0)),ISNUMBER(MATCH(TRIM(RIGHT(SUBSTITUTE(TRIM(H342&amp;"")," ",REPT(" ",60)),60)),코드표!$F$2:$F$101,0))),INDEX(코드표!$K$2:$K$101,MATCH(LEFT(TRIM(H342&amp;""),FIND(" ",TRIM(H342&amp;""))-1),코드표!$J$2:$J$101,0))&amp;" "&amp;INDEX(코드표!$G$2:$G$101,MATCH(TRIM(RIGHT(SUBSTITUTE(TRIM(H342&amp;"")," ",REPT(" ",60)),60)),코드표!$F$2:$F$101,0)),"⚠"&amp;TRIM(H342&amp;""))),"⚠"&amp;TRIM(H342&amp;""))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",TRIM(I342&amp;""))-1),코드표!$J$2:$J$101,0)),ISNUMBER(MATCH(TRIM(RIGHT(SUBSTITUTE(TRIM(I342&amp;"")," ",REPT(" ",60)),60)),코드표!$F$2:$F$101,0))),INDEX(코드표!$K$2:$K$101,MATCH(LEFT(TRIM(I342&amp;""),FIND(" ",TRIM(I342&amp;""))-1),코드표!$J$2:$J$101,0))&amp;" "&amp;INDEX(코드표!$G$2:$G$101,MATCH(TRIM(RIGHT(SUBSTITUTE(TRIM(I342&amp;"")," ",REPT(" ",60)),60)),코드표!$F$2:$F$101,0)),"⚠"&amp;TRIM(I342&amp;""))),"⚠"&amp;TRIM(I342&amp;""))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",TRIM(J342&amp;""))-1),코드표!$J$2:$J$101,0)),ISNUMBER(MATCH(TRIM(RIGHT(SUBSTITUTE(TRIM(J342&amp;"")," ",REPT(" ",60)),60)),코드표!$F$2:$F$101,0))),INDEX(코드표!$K$2:$K$101,MATCH(LEFT(TRIM(J342&amp;""),FIND(" ",TRIM(J342&amp;""))-1),코드표!$J$2:$J$101,0))&amp;" "&amp;INDEX(코드표!$G$2:$G$101,MATCH(TRIM(RIGHT(SUBSTITUTE(TRIM(J342&amp;"")," ",REPT(" ",60)),60)),코드표!$F$2:$F$101,0)),"⚠"&amp;TRIM(J342&amp;""))),"⚠"&amp;TRIM(J342&amp;""))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",TRIM(E343&amp;""))-1),코드표!$J$2:$J$101,0)),ISNUMBER(MATCH(TRIM(RIGHT(SUBSTITUTE(TRIM(E343&amp;"")," ",REPT(" ",60)),60)),코드표!$F$2:$F$101,0))),INDEX(코드표!$K$2:$K$101,MATCH(LEFT(TRIM(E343&amp;""),FIND(" ",TRIM(E343&amp;""))-1),코드표!$J$2:$J$101,0))&amp;" "&amp;INDEX(코드표!$G$2:$G$101,MATCH(TRIM(RIGHT(SUBSTITUTE(TRIM(E343&amp;"")," ",REPT(" ",60)),60)),코드표!$F$2:$F$101,0)),"⚠"&amp;TRIM(E343&amp;""))),"⚠"&amp;TRIM(E343&amp;""))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",TRIM(F343&amp;""))-1),코드표!$J$2:$J$101,0)),ISNUMBER(MATCH(TRIM(RIGHT(SUBSTITUTE(TRIM(F343&amp;"")," ",REPT(" ",60)),60)),코드표!$F$2:$F$101,0))),INDEX(코드표!$K$2:$K$101,MATCH(LEFT(TRIM(F343&amp;""),FIND(" ",TRIM(F343&amp;""))-1),코드표!$J$2:$J$101,0))&amp;" "&amp;INDEX(코드표!$G$2:$G$101,MATCH(TRIM(RIGHT(SUBSTITUTE(TRIM(F343&amp;"")," ",REPT(" ",60)),60)),코드표!$F$2:$F$101,0)),"⚠"&amp;TRIM(F343&amp;""))),"⚠"&amp;TRIM(F343&amp;""))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",TRIM(G343&amp;""))-1),코드표!$J$2:$J$101,0)),ISNUMBER(MATCH(TRIM(RIGHT(SUBSTITUTE(TRIM(G343&amp;"")," ",REPT(" ",60)),60)),코드표!$F$2:$F$101,0))),INDEX(코드표!$K$2:$K$101,MATCH(LEFT(TRIM(G343&amp;""),FIND(" ",TRIM(G343&amp;""))-1),코드표!$J$2:$J$101,0))&amp;" "&amp;INDEX(코드표!$G$2:$G$101,MATCH(TRIM(RIGHT(SUBSTITUTE(TRIM(G343&amp;"")," ",REPT(" ",60)),60)),코드표!$F$2:$F$101,0)),"⚠"&amp;TRIM(G343&amp;""))),"⚠"&amp;TRIM(G343&amp;""))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",TRIM(H343&amp;""))-1),코드표!$J$2:$J$101,0)),ISNUMBER(MATCH(TRIM(RIGHT(SUBSTITUTE(TRIM(H343&amp;"")," ",REPT(" ",60)),60)),코드표!$F$2:$F$101,0))),INDEX(코드표!$K$2:$K$101,MATCH(LEFT(TRIM(H343&amp;""),FIND(" ",TRIM(H343&amp;""))-1),코드표!$J$2:$J$101,0))&amp;" "&amp;INDEX(코드표!$G$2:$G$101,MATCH(TRIM(RIGHT(SUBSTITUTE(TRIM(H343&amp;"")," ",REPT(" ",60)),60)),코드표!$F$2:$F$101,0)),"⚠"&amp;TRIM(H343&amp;""))),"⚠"&amp;TRIM(H343&amp;""))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",TRIM(I343&amp;""))-1),코드표!$J$2:$J$101,0)),ISNUMBER(MATCH(TRIM(RIGHT(SUBSTITUTE(TRIM(I343&amp;"")," ",REPT(" ",60)),60)),코드표!$F$2:$F$101,0))),INDEX(코드표!$K$2:$K$101,MATCH(LEFT(TRIM(I343&amp;""),FIND(" ",TRIM(I343&amp;""))-1),코드표!$J$2:$J$101,0))&amp;" "&amp;INDEX(코드표!$G$2:$G$101,MATCH(TRIM(RIGHT(SUBSTITUTE(TRIM(I343&amp;"")," ",REPT(" ",60)),60)),코드표!$F$2:$F$101,0)),"⚠"&amp;TRIM(I343&amp;""))),"⚠"&amp;TRIM(I343&amp;""))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",TRIM(J343&amp;""))-1),코드표!$J$2:$J$101,0)),ISNUMBER(MATCH(TRIM(RIGHT(SUBSTITUTE(TRIM(J343&amp;"")," ",REPT(" ",60)),60)),코드표!$F$2:$F$101,0))),INDEX(코드표!$K$2:$K$101,MATCH(LEFT(TRIM(J343&amp;""),FIND(" ",TRIM(J343&amp;""))-1),코드표!$J$2:$J$101,0))&amp;" "&amp;INDEX(코드표!$G$2:$G$101,MATCH(TRIM(RIGHT(SUBSTITUTE(TRIM(J343&amp;"")," ",REPT(" ",60)),60)),코드표!$F$2:$F$101,0)),"⚠"&amp;TRIM(J343&amp;""))),"⚠"&amp;TRIM(J343&amp;""))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",TRIM(E344&amp;""))-1),코드표!$J$2:$J$101,0)),ISNUMBER(MATCH(TRIM(RIGHT(SUBSTITUTE(TRIM(E344&amp;"")," ",REPT(" ",60)),60)),코드표!$F$2:$F$101,0))),INDEX(코드표!$K$2:$K$101,MATCH(LEFT(TRIM(E344&amp;""),FIND(" ",TRIM(E344&amp;""))-1),코드표!$J$2:$J$101,0))&amp;" "&amp;INDEX(코드표!$G$2:$G$101,MATCH(TRIM(RIGHT(SUBSTITUTE(TRIM(E344&amp;"")," ",REPT(" ",60)),60)),코드표!$F$2:$F$101,0)),"⚠"&amp;TRIM(E344&amp;""))),"⚠"&amp;TRIM(E344&amp;""))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",TRIM(F344&amp;""))-1),코드표!$J$2:$J$101,0)),ISNUMBER(MATCH(TRIM(RIGHT(SUBSTITUTE(TRIM(F344&amp;"")," ",REPT(" ",60)),60)),코드표!$F$2:$F$101,0))),INDEX(코드표!$K$2:$K$101,MATCH(LEFT(TRIM(F344&amp;""),FIND(" ",TRIM(F344&amp;""))-1),코드표!$J$2:$J$101,0))&amp;" "&amp;INDEX(코드표!$G$2:$G$101,MATCH(TRIM(RIGHT(SUBSTITUTE(TRIM(F344&amp;"")," ",REPT(" ",60)),60)),코드표!$F$2:$F$101,0)),"⚠"&amp;TRIM(F344&amp;""))),"⚠"&amp;TRIM(F344&amp;""))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",TRIM(G344&amp;""))-1),코드표!$J$2:$J$101,0)),ISNUMBER(MATCH(TRIM(RIGHT(SUBSTITUTE(TRIM(G344&amp;"")," ",REPT(" ",60)),60)),코드표!$F$2:$F$101,0))),INDEX(코드표!$K$2:$K$101,MATCH(LEFT(TRIM(G344&amp;""),FIND(" ",TRIM(G344&amp;""))-1),코드표!$J$2:$J$101,0))&amp;" "&amp;INDEX(코드표!$G$2:$G$101,MATCH(TRIM(RIGHT(SUBSTITUTE(TRIM(G344&amp;"")," ",REPT(" ",60)),60)),코드표!$F$2:$F$101,0)),"⚠"&amp;TRIM(G344&amp;""))),"⚠"&amp;TRIM(G344&amp;""))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",TRIM(H344&amp;""))-1),코드표!$J$2:$J$101,0)),ISNUMBER(MATCH(TRIM(RIGHT(SUBSTITUTE(TRIM(H344&amp;"")," ",REPT(" ",60)),60)),코드표!$F$2:$F$101,0))),INDEX(코드표!$K$2:$K$101,MATCH(LEFT(TRIM(H344&amp;""),FIND(" ",TRIM(H344&amp;""))-1),코드표!$J$2:$J$101,0))&amp;" "&amp;INDEX(코드표!$G$2:$G$101,MATCH(TRIM(RIGHT(SUBSTITUTE(TRIM(H344&amp;"")," ",REPT(" ",60)),60)),코드표!$F$2:$F$101,0)),"⚠"&amp;TRIM(H344&amp;""))),"⚠"&amp;TRIM(H344&amp;""))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",TRIM(I344&amp;""))-1),코드표!$J$2:$J$101,0)),ISNUMBER(MATCH(TRIM(RIGHT(SUBSTITUTE(TRIM(I344&amp;"")," ",REPT(" ",60)),60)),코드표!$F$2:$F$101,0))),INDEX(코드표!$K$2:$K$101,MATCH(LEFT(TRIM(I344&amp;""),FIND(" ",TRIM(I344&amp;""))-1),코드표!$J$2:$J$101,0))&amp;" "&amp;INDEX(코드표!$G$2:$G$101,MATCH(TRIM(RIGHT(SUBSTITUTE(TRIM(I344&amp;"")," ",REPT(" ",60)),60)),코드표!$F$2:$F$101,0)),"⚠"&amp;TRIM(I344&amp;""))),"⚠"&amp;TRIM(I344&amp;""))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",TRIM(J344&amp;""))-1),코드표!$J$2:$J$101,0)),ISNUMBER(MATCH(TRIM(RIGHT(SUBSTITUTE(TRIM(J344&amp;"")," ",REPT(" ",60)),60)),코드표!$F$2:$F$101,0))),INDEX(코드표!$K$2:$K$101,MATCH(LEFT(TRIM(J344&amp;""),FIND(" ",TRIM(J344&amp;""))-1),코드표!$J$2:$J$101,0))&amp;" "&amp;INDEX(코드표!$G$2:$G$101,MATCH(TRIM(RIGHT(SUBSTITUTE(TRIM(J344&amp;"")," ",REPT(" ",60)),60)),코드표!$F$2:$F$101,0)),"⚠"&amp;TRIM(J344&amp;""))),"⚠"&amp;TRIM(J344&amp;""))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",TRIM(E345&amp;""))-1),코드표!$J$2:$J$101,0)),ISNUMBER(MATCH(TRIM(RIGHT(SUBSTITUTE(TRIM(E345&amp;"")," ",REPT(" ",60)),60)),코드표!$F$2:$F$101,0))),INDEX(코드표!$K$2:$K$101,MATCH(LEFT(TRIM(E345&amp;""),FIND(" ",TRIM(E345&amp;""))-1),코드표!$J$2:$J$101,0))&amp;" "&amp;INDEX(코드표!$G$2:$G$101,MATCH(TRIM(RIGHT(SUBSTITUTE(TRIM(E345&amp;"")," ",REPT(" ",60)),60)),코드표!$F$2:$F$101,0)),"⚠"&amp;TRIM(E345&amp;""))),"⚠"&amp;TRIM(E345&amp;""))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",TRIM(F345&amp;""))-1),코드표!$J$2:$J$101,0)),ISNUMBER(MATCH(TRIM(RIGHT(SUBSTITUTE(TRIM(F345&amp;"")," ",REPT(" ",60)),60)),코드표!$F$2:$F$101,0))),INDEX(코드표!$K$2:$K$101,MATCH(LEFT(TRIM(F345&amp;""),FIND(" ",TRIM(F345&amp;""))-1),코드표!$J$2:$J$101,0))&amp;" "&amp;INDEX(코드표!$G$2:$G$101,MATCH(TRIM(RIGHT(SUBSTITUTE(TRIM(F345&amp;"")," ",REPT(" ",60)),60)),코드표!$F$2:$F$101,0)),"⚠"&amp;TRIM(F345&amp;""))),"⚠"&amp;TRIM(F345&amp;""))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",TRIM(G345&amp;""))-1),코드표!$J$2:$J$101,0)),ISNUMBER(MATCH(TRIM(RIGHT(SUBSTITUTE(TRIM(G345&amp;"")," ",REPT(" ",60)),60)),코드표!$F$2:$F$101,0))),INDEX(코드표!$K$2:$K$101,MATCH(LEFT(TRIM(G345&amp;""),FIND(" ",TRIM(G345&amp;""))-1),코드표!$J$2:$J$101,0))&amp;" "&amp;INDEX(코드표!$G$2:$G$101,MATCH(TRIM(RIGHT(SUBSTITUTE(TRIM(G345&amp;"")," ",REPT(" ",60)),60)),코드표!$F$2:$F$101,0)),"⚠"&amp;TRIM(G345&amp;""))),"⚠"&amp;TRIM(G345&amp;""))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",TRIM(H345&amp;""))-1),코드표!$J$2:$J$101,0)),ISNUMBER(MATCH(TRIM(RIGHT(SUBSTITUTE(TRIM(H345&amp;"")," ",REPT(" ",60)),60)),코드표!$F$2:$F$101,0))),INDEX(코드표!$K$2:$K$101,MATCH(LEFT(TRIM(H345&amp;""),FIND(" ",TRIM(H345&amp;""))-1),코드표!$J$2:$J$101,0))&amp;" "&amp;INDEX(코드표!$G$2:$G$101,MATCH(TRIM(RIGHT(SUBSTITUTE(TRIM(H345&amp;"")," ",REPT(" ",60)),60)),코드표!$F$2:$F$101,0)),"⚠"&amp;TRIM(H345&amp;""))),"⚠"&amp;TRIM(H345&amp;""))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",TRIM(I345&amp;""))-1),코드표!$J$2:$J$101,0)),ISNUMBER(MATCH(TRIM(RIGHT(SUBSTITUTE(TRIM(I345&amp;"")," ",REPT(" ",60)),60)),코드표!$F$2:$F$101,0))),INDEX(코드표!$K$2:$K$101,MATCH(LEFT(TRIM(I345&amp;""),FIND(" ",TRIM(I345&amp;""))-1),코드표!$J$2:$J$101,0))&amp;" "&amp;INDEX(코드표!$G$2:$G$101,MATCH(TRIM(RIGHT(SUBSTITUTE(TRIM(I345&amp;"")," ",REPT(" ",60)),60)),코드표!$F$2:$F$101,0)),"⚠"&amp;TRIM(I345&amp;""))),"⚠"&amp;TRIM(I345&amp;""))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",TRIM(J345&amp;""))-1),코드표!$J$2:$J$101,0)),ISNUMBER(MATCH(TRIM(RIGHT(SUBSTITUTE(TRIM(J345&amp;"")," ",REPT(" ",60)),60)),코드표!$F$2:$F$101,0))),INDEX(코드표!$K$2:$K$101,MATCH(LEFT(TRIM(J345&amp;""),FIND(" ",TRIM(J345&amp;""))-1),코드표!$J$2:$J$101,0))&amp;" "&amp;INDEX(코드표!$G$2:$G$101,MATCH(TRIM(RIGHT(SUBSTITUTE(TRIM(J345&amp;"")," ",REPT(" ",60)),60)),코드표!$F$2:$F$101,0)),"⚠"&amp;TRIM(J345&amp;""))),"⚠"&amp;TRIM(J345&amp;""))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",TRIM(E346&amp;""))-1),코드표!$J$2:$J$101,0)),ISNUMBER(MATCH(TRIM(RIGHT(SUBSTITUTE(TRIM(E346&amp;"")," ",REPT(" ",60)),60)),코드표!$F$2:$F$101,0))),INDEX(코드표!$K$2:$K$101,MATCH(LEFT(TRIM(E346&amp;""),FIND(" ",TRIM(E346&amp;""))-1),코드표!$J$2:$J$101,0))&amp;" "&amp;INDEX(코드표!$G$2:$G$101,MATCH(TRIM(RIGHT(SUBSTITUTE(TRIM(E346&amp;"")," ",REPT(" ",60)),60)),코드표!$F$2:$F$101,0)),"⚠"&amp;TRIM(E346&amp;""))),"⚠"&amp;TRIM(E346&amp;""))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",TRIM(F346&amp;""))-1),코드표!$J$2:$J$101,0)),ISNUMBER(MATCH(TRIM(RIGHT(SUBSTITUTE(TRIM(F346&amp;"")," ",REPT(" ",60)),60)),코드표!$F$2:$F$101,0))),INDEX(코드표!$K$2:$K$101,MATCH(LEFT(TRIM(F346&amp;""),FIND(" ",TRIM(F346&amp;""))-1),코드표!$J$2:$J$101,0))&amp;" "&amp;INDEX(코드표!$G$2:$G$101,MATCH(TRIM(RIGHT(SUBSTITUTE(TRIM(F346&amp;"")," ",REPT(" ",60)),60)),코드표!$F$2:$F$101,0)),"⚠"&amp;TRIM(F346&amp;""))),"⚠"&amp;TRIM(F346&amp;""))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",TRIM(G346&amp;""))-1),코드표!$J$2:$J$101,0)),ISNUMBER(MATCH(TRIM(RIGHT(SUBSTITUTE(TRIM(G346&amp;"")," ",REPT(" ",60)),60)),코드표!$F$2:$F$101,0))),INDEX(코드표!$K$2:$K$101,MATCH(LEFT(TRIM(G346&amp;""),FIND(" ",TRIM(G346&amp;""))-1),코드표!$J$2:$J$101,0))&amp;" "&amp;INDEX(코드표!$G$2:$G$101,MATCH(TRIM(RIGHT(SUBSTITUTE(TRIM(G346&amp;"")," ",REPT(" ",60)),60)),코드표!$F$2:$F$101,0)),"⚠"&amp;TRIM(G346&amp;""))),"⚠"&amp;TRIM(G346&amp;""))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",TRIM(H346&amp;""))-1),코드표!$J$2:$J$101,0)),ISNUMBER(MATCH(TRIM(RIGHT(SUBSTITUTE(TRIM(H346&amp;"")," ",REPT(" ",60)),60)),코드표!$F$2:$F$101,0))),INDEX(코드표!$K$2:$K$101,MATCH(LEFT(TRIM(H346&amp;""),FIND(" ",TRIM(H346&amp;""))-1),코드표!$J$2:$J$101,0))&amp;" "&amp;INDEX(코드표!$G$2:$G$101,MATCH(TRIM(RIGHT(SUBSTITUTE(TRIM(H346&amp;"")," ",REPT(" ",60)),60)),코드표!$F$2:$F$101,0)),"⚠"&amp;TRIM(H346&amp;""))),"⚠"&amp;TRIM(H346&amp;""))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",TRIM(I346&amp;""))-1),코드표!$J$2:$J$101,0)),ISNUMBER(MATCH(TRIM(RIGHT(SUBSTITUTE(TRIM(I346&amp;"")," ",REPT(" ",60)),60)),코드표!$F$2:$F$101,0))),INDEX(코드표!$K$2:$K$101,MATCH(LEFT(TRIM(I346&amp;""),FIND(" ",TRIM(I346&amp;""))-1),코드표!$J$2:$J$101,0))&amp;" "&amp;INDEX(코드표!$G$2:$G$101,MATCH(TRIM(RIGHT(SUBSTITUTE(TRIM(I346&amp;"")," ",REPT(" ",60)),60)),코드표!$F$2:$F$101,0)),"⚠"&amp;TRIM(I346&amp;""))),"⚠"&amp;TRIM(I346&amp;""))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",TRIM(J346&amp;""))-1),코드표!$J$2:$J$101,0)),ISNUMBER(MATCH(TRIM(RIGHT(SUBSTITUTE(TRIM(J346&amp;"")," ",REPT(" ",60)),60)),코드표!$F$2:$F$101,0))),INDEX(코드표!$K$2:$K$101,MATCH(LEFT(TRIM(J346&amp;""),FIND(" ",TRIM(J346&amp;""))-1),코드표!$J$2:$J$101,0))&amp;" "&amp;INDEX(코드표!$G$2:$G$101,MATCH(TRIM(RIGHT(SUBSTITUTE(TRIM(J346&amp;"")," ",REPT(" ",60)),60)),코드표!$F$2:$F$101,0)),"⚠"&amp;TRIM(J346&amp;""))),"⚠"&amp;TRIM(J346&amp;""))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",TRIM(E347&amp;""))-1),코드표!$J$2:$J$101,0)),ISNUMBER(MATCH(TRIM(RIGHT(SUBSTITUTE(TRIM(E347&amp;"")," ",REPT(" ",60)),60)),코드표!$F$2:$F$101,0))),INDEX(코드표!$K$2:$K$101,MATCH(LEFT(TRIM(E347&amp;""),FIND(" ",TRIM(E347&amp;""))-1),코드표!$J$2:$J$101,0))&amp;" "&amp;INDEX(코드표!$G$2:$G$101,MATCH(TRIM(RIGHT(SUBSTITUTE(TRIM(E347&amp;"")," ",REPT(" ",60)),60)),코드표!$F$2:$F$101,0)),"⚠"&amp;TRIM(E347&amp;""))),"⚠"&amp;TRIM(E347&amp;""))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",TRIM(F347&amp;""))-1),코드표!$J$2:$J$101,0)),ISNUMBER(MATCH(TRIM(RIGHT(SUBSTITUTE(TRIM(F347&amp;"")," ",REPT(" ",60)),60)),코드표!$F$2:$F$101,0))),INDEX(코드표!$K$2:$K$101,MATCH(LEFT(TRIM(F347&amp;""),FIND(" ",TRIM(F347&amp;""))-1),코드표!$J$2:$J$101,0))&amp;" "&amp;INDEX(코드표!$G$2:$G$101,MATCH(TRIM(RIGHT(SUBSTITUTE(TRIM(F347&amp;"")," ",REPT(" ",60)),60)),코드표!$F$2:$F$101,0)),"⚠"&amp;TRIM(F347&amp;""))),"⚠"&amp;TRIM(F347&amp;""))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",TRIM(G347&amp;""))-1),코드표!$J$2:$J$101,0)),ISNUMBER(MATCH(TRIM(RIGHT(SUBSTITUTE(TRIM(G347&amp;"")," ",REPT(" ",60)),60)),코드표!$F$2:$F$101,0))),INDEX(코드표!$K$2:$K$101,MATCH(LEFT(TRIM(G347&amp;""),FIND(" ",TRIM(G347&amp;""))-1),코드표!$J$2:$J$101,0))&amp;" "&amp;INDEX(코드표!$G$2:$G$101,MATCH(TRIM(RIGHT(SUBSTITUTE(TRIM(G347&amp;"")," ",REPT(" ",60)),60)),코드표!$F$2:$F$101,0)),"⚠"&amp;TRIM(G347&amp;""))),"⚠"&amp;TRIM(G347&amp;""))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",TRIM(H347&amp;""))-1),코드표!$J$2:$J$101,0)),ISNUMBER(MATCH(TRIM(RIGHT(SUBSTITUTE(TRIM(H347&amp;"")," ",REPT(" ",60)),60)),코드표!$F$2:$F$101,0))),INDEX(코드표!$K$2:$K$101,MATCH(LEFT(TRIM(H347&amp;""),FIND(" ",TRIM(H347&amp;""))-1),코드표!$J$2:$J$101,0))&amp;" "&amp;INDEX(코드표!$G$2:$G$101,MATCH(TRIM(RIGHT(SUBSTITUTE(TRIM(H347&amp;"")," ",REPT(" ",60)),60)),코드표!$F$2:$F$101,0)),"⚠"&amp;TRIM(H347&amp;""))),"⚠"&amp;TRIM(H347&amp;""))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",TRIM(I347&amp;""))-1),코드표!$J$2:$J$101,0)),ISNUMBER(MATCH(TRIM(RIGHT(SUBSTITUTE(TRIM(I347&amp;"")," ",REPT(" ",60)),60)),코드표!$F$2:$F$101,0))),INDEX(코드표!$K$2:$K$101,MATCH(LEFT(TRIM(I347&amp;""),FIND(" ",TRIM(I347&amp;""))-1),코드표!$J$2:$J$101,0))&amp;" "&amp;INDEX(코드표!$G$2:$G$101,MATCH(TRIM(RIGHT(SUBSTITUTE(TRIM(I347&amp;"")," ",REPT(" ",60)),60)),코드표!$F$2:$F$101,0)),"⚠"&amp;TRIM(I347&amp;""))),"⚠"&amp;TRIM(I347&amp;""))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",TRIM(J347&amp;""))-1),코드표!$J$2:$J$101,0)),ISNUMBER(MATCH(TRIM(RIGHT(SUBSTITUTE(TRIM(J347&amp;"")," ",REPT(" ",60)),60)),코드표!$F$2:$F$101,0))),INDEX(코드표!$K$2:$K$101,MATCH(LEFT(TRIM(J347&amp;""),FIND(" ",TRIM(J347&amp;""))-1),코드표!$J$2:$J$101,0))&amp;" "&amp;INDEX(코드표!$G$2:$G$101,MATCH(TRIM(RIGHT(SUBSTITUTE(TRIM(J347&amp;"")," ",REPT(" ",60)),60)),코드표!$F$2:$F$101,0)),"⚠"&amp;TRIM(J347&amp;""))),"⚠"&amp;TRIM(J347&amp;""))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",TRIM(E348&amp;""))-1),코드표!$J$2:$J$101,0)),ISNUMBER(MATCH(TRIM(RIGHT(SUBSTITUTE(TRIM(E348&amp;"")," ",REPT(" ",60)),60)),코드표!$F$2:$F$101,0))),INDEX(코드표!$K$2:$K$101,MATCH(LEFT(TRIM(E348&amp;""),FIND(" ",TRIM(E348&amp;""))-1),코드표!$J$2:$J$101,0))&amp;" "&amp;INDEX(코드표!$G$2:$G$101,MATCH(TRIM(RIGHT(SUBSTITUTE(TRIM(E348&amp;"")," ",REPT(" ",60)),60)),코드표!$F$2:$F$101,0)),"⚠"&amp;TRIM(E348&amp;""))),"⚠"&amp;TRIM(E348&amp;""))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",TRIM(F348&amp;""))-1),코드표!$J$2:$J$101,0)),ISNUMBER(MATCH(TRIM(RIGHT(SUBSTITUTE(TRIM(F348&amp;"")," ",REPT(" ",60)),60)),코드표!$F$2:$F$101,0))),INDEX(코드표!$K$2:$K$101,MATCH(LEFT(TRIM(F348&amp;""),FIND(" ",TRIM(F348&amp;""))-1),코드표!$J$2:$J$101,0))&amp;" "&amp;INDEX(코드표!$G$2:$G$101,MATCH(TRIM(RIGHT(SUBSTITUTE(TRIM(F348&amp;"")," ",REPT(" ",60)),60)),코드표!$F$2:$F$101,0)),"⚠"&amp;TRIM(F348&amp;""))),"⚠"&amp;TRIM(F348&amp;""))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",TRIM(G348&amp;""))-1),코드표!$J$2:$J$101,0)),ISNUMBER(MATCH(TRIM(RIGHT(SUBSTITUTE(TRIM(G348&amp;"")," ",REPT(" ",60)),60)),코드표!$F$2:$F$101,0))),INDEX(코드표!$K$2:$K$101,MATCH(LEFT(TRIM(G348&amp;""),FIND(" ",TRIM(G348&amp;""))-1),코드표!$J$2:$J$101,0))&amp;" "&amp;INDEX(코드표!$G$2:$G$101,MATCH(TRIM(RIGHT(SUBSTITUTE(TRIM(G348&amp;"")," ",REPT(" ",60)),60)),코드표!$F$2:$F$101,0)),"⚠"&amp;TRIM(G348&amp;""))),"⚠"&amp;TRIM(G348&amp;""))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",TRIM(H348&amp;""))-1),코드표!$J$2:$J$101,0)),ISNUMBER(MATCH(TRIM(RIGHT(SUBSTITUTE(TRIM(H348&amp;"")," ",REPT(" ",60)),60)),코드표!$F$2:$F$101,0))),INDEX(코드표!$K$2:$K$101,MATCH(LEFT(TRIM(H348&amp;""),FIND(" ",TRIM(H348&amp;""))-1),코드표!$J$2:$J$101,0))&amp;" "&amp;INDEX(코드표!$G$2:$G$101,MATCH(TRIM(RIGHT(SUBSTITUTE(TRIM(H348&amp;"")," ",REPT(" ",60)),60)),코드표!$F$2:$F$101,0)),"⚠"&amp;TRIM(H348&amp;""))),"⚠"&amp;TRIM(H348&amp;""))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",TRIM(I348&amp;""))-1),코드표!$J$2:$J$101,0)),ISNUMBER(MATCH(TRIM(RIGHT(SUBSTITUTE(TRIM(I348&amp;"")," ",REPT(" ",60)),60)),코드표!$F$2:$F$101,0))),INDEX(코드표!$K$2:$K$101,MATCH(LEFT(TRIM(I348&amp;""),FIND(" ",TRIM(I348&amp;""))-1),코드표!$J$2:$J$101,0))&amp;" "&amp;INDEX(코드표!$G$2:$G$101,MATCH(TRIM(RIGHT(SUBSTITUTE(TRIM(I348&amp;"")," ",REPT(" ",60)),60)),코드표!$F$2:$F$101,0)),"⚠"&amp;TRIM(I348&amp;""))),"⚠"&amp;TRIM(I348&amp;""))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",TRIM(J348&amp;""))-1),코드표!$J$2:$J$101,0)),ISNUMBER(MATCH(TRIM(RIGHT(SUBSTITUTE(TRIM(J348&amp;"")," ",REPT(" ",60)),60)),코드표!$F$2:$F$101,0))),INDEX(코드표!$K$2:$K$101,MATCH(LEFT(TRIM(J348&amp;""),FIND(" ",TRIM(J348&amp;""))-1),코드표!$J$2:$J$101,0))&amp;" "&amp;INDEX(코드표!$G$2:$G$101,MATCH(TRIM(RIGHT(SUBSTITUTE(TRIM(J348&amp;"")," ",REPT(" ",60)),60)),코드표!$F$2:$F$101,0)),"⚠"&amp;TRIM(J348&amp;""))),"⚠"&amp;TRIM(J348&amp;""))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",TRIM(E349&amp;""))-1),코드표!$J$2:$J$101,0)),ISNUMBER(MATCH(TRIM(RIGHT(SUBSTITUTE(TRIM(E349&amp;"")," ",REPT(" ",60)),60)),코드표!$F$2:$F$101,0))),INDEX(코드표!$K$2:$K$101,MATCH(LEFT(TRIM(E349&amp;""),FIND(" ",TRIM(E349&amp;""))-1),코드표!$J$2:$J$101,0))&amp;" "&amp;INDEX(코드표!$G$2:$G$101,MATCH(TRIM(RIGHT(SUBSTITUTE(TRIM(E349&amp;"")," ",REPT(" ",60)),60)),코드표!$F$2:$F$101,0)),"⚠"&amp;TRIM(E349&amp;""))),"⚠"&amp;TRIM(E349&amp;""))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",TRIM(F349&amp;""))-1),코드표!$J$2:$J$101,0)),ISNUMBER(MATCH(TRIM(RIGHT(SUBSTITUTE(TRIM(F349&amp;"")," ",REPT(" ",60)),60)),코드표!$F$2:$F$101,0))),INDEX(코드표!$K$2:$K$101,MATCH(LEFT(TRIM(F349&amp;""),FIND(" ",TRIM(F349&amp;""))-1),코드표!$J$2:$J$101,0))&amp;" "&amp;INDEX(코드표!$G$2:$G$101,MATCH(TRIM(RIGHT(SUBSTITUTE(TRIM(F349&amp;"")," ",REPT(" ",60)),60)),코드표!$F$2:$F$101,0)),"⚠"&amp;TRIM(F349&amp;""))),"⚠"&amp;TRIM(F349&amp;""))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",TRIM(G349&amp;""))-1),코드표!$J$2:$J$101,0)),ISNUMBER(MATCH(TRIM(RIGHT(SUBSTITUTE(TRIM(G349&amp;"")," ",REPT(" ",60)),60)),코드표!$F$2:$F$101,0))),INDEX(코드표!$K$2:$K$101,MATCH(LEFT(TRIM(G349&amp;""),FIND(" ",TRIM(G349&amp;""))-1),코드표!$J$2:$J$101,0))&amp;" "&amp;INDEX(코드표!$G$2:$G$101,MATCH(TRIM(RIGHT(SUBSTITUTE(TRIM(G349&amp;"")," ",REPT(" ",60)),60)),코드표!$F$2:$F$101,0)),"⚠"&amp;TRIM(G349&amp;""))),"⚠"&amp;TRIM(G349&amp;""))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",TRIM(H349&amp;""))-1),코드표!$J$2:$J$101,0)),ISNUMBER(MATCH(TRIM(RIGHT(SUBSTITUTE(TRIM(H349&amp;"")," ",REPT(" ",60)),60)),코드표!$F$2:$F$101,0))),INDEX(코드표!$K$2:$K$101,MATCH(LEFT(TRIM(H349&amp;""),FIND(" ",TRIM(H349&amp;""))-1),코드표!$J$2:$J$101,0))&amp;" "&amp;INDEX(코드표!$G$2:$G$101,MATCH(TRIM(RIGHT(SUBSTITUTE(TRIM(H349&amp;"")," ",REPT(" ",60)),60)),코드표!$F$2:$F$101,0)),"⚠"&amp;TRIM(H349&amp;""))),"⚠"&amp;TRIM(H349&amp;""))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",TRIM(I349&amp;""))-1),코드표!$J$2:$J$101,0)),ISNUMBER(MATCH(TRIM(RIGHT(SUBSTITUTE(TRIM(I349&amp;"")," ",REPT(" ",60)),60)),코드표!$F$2:$F$101,0))),INDEX(코드표!$K$2:$K$101,MATCH(LEFT(TRIM(I349&amp;""),FIND(" ",TRIM(I349&amp;""))-1),코드표!$J$2:$J$101,0))&amp;" "&amp;INDEX(코드표!$G$2:$G$101,MATCH(TRIM(RIGHT(SUBSTITUTE(TRIM(I349&amp;"")," ",REPT(" ",60)),60)),코드표!$F$2:$F$101,0)),"⚠"&amp;TRIM(I349&amp;""))),"⚠"&amp;TRIM(I349&amp;""))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",TRIM(J349&amp;""))-1),코드표!$J$2:$J$101,0)),ISNUMBER(MATCH(TRIM(RIGHT(SUBSTITUTE(TRIM(J349&amp;"")," ",REPT(" ",60)),60)),코드표!$F$2:$F$101,0))),INDEX(코드표!$K$2:$K$101,MATCH(LEFT(TRIM(J349&amp;""),FIND(" ",TRIM(J349&amp;""))-1),코드표!$J$2:$J$101,0))&amp;" "&amp;INDEX(코드표!$G$2:$G$101,MATCH(TRIM(RIGHT(SUBSTITUTE(TRIM(J349&amp;"")," ",REPT(" ",60)),60)),코드표!$F$2:$F$101,0)),"⚠"&amp;TRIM(J349&amp;""))),"⚠"&amp;TRIM(J349&amp;""))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",TRIM(E350&amp;""))-1),코드표!$J$2:$J$101,0)),ISNUMBER(MATCH(TRIM(RIGHT(SUBSTITUTE(TRIM(E350&amp;"")," ",REPT(" ",60)),60)),코드표!$F$2:$F$101,0))),INDEX(코드표!$K$2:$K$101,MATCH(LEFT(TRIM(E350&amp;""),FIND(" ",TRIM(E350&amp;""))-1),코드표!$J$2:$J$101,0))&amp;" "&amp;INDEX(코드표!$G$2:$G$101,MATCH(TRIM(RIGHT(SUBSTITUTE(TRIM(E350&amp;"")," ",REPT(" ",60)),60)),코드표!$F$2:$F$101,0)),"⚠"&amp;TRIM(E350&amp;""))),"⚠"&amp;TRIM(E350&amp;""))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",TRIM(F350&amp;""))-1),코드표!$J$2:$J$101,0)),ISNUMBER(MATCH(TRIM(RIGHT(SUBSTITUTE(TRIM(F350&amp;"")," ",REPT(" ",60)),60)),코드표!$F$2:$F$101,0))),INDEX(코드표!$K$2:$K$101,MATCH(LEFT(TRIM(F350&amp;""),FIND(" ",TRIM(F350&amp;""))-1),코드표!$J$2:$J$101,0))&amp;" "&amp;INDEX(코드표!$G$2:$G$101,MATCH(TRIM(RIGHT(SUBSTITUTE(TRIM(F350&amp;"")," ",REPT(" ",60)),60)),코드표!$F$2:$F$101,0)),"⚠"&amp;TRIM(F350&amp;""))),"⚠"&amp;TRIM(F350&amp;""))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",TRIM(G350&amp;""))-1),코드표!$J$2:$J$101,0)),ISNUMBER(MATCH(TRIM(RIGHT(SUBSTITUTE(TRIM(G350&amp;"")," ",REPT(" ",60)),60)),코드표!$F$2:$F$101,0))),INDEX(코드표!$K$2:$K$101,MATCH(LEFT(TRIM(G350&amp;""),FIND(" ",TRIM(G350&amp;""))-1),코드표!$J$2:$J$101,0))&amp;" "&amp;INDEX(코드표!$G$2:$G$101,MATCH(TRIM(RIGHT(SUBSTITUTE(TRIM(G350&amp;"")," ",REPT(" ",60)),60)),코드표!$F$2:$F$101,0)),"⚠"&amp;TRIM(G350&amp;""))),"⚠"&amp;TRIM(G350&amp;""))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",TRIM(H350&amp;""))-1),코드표!$J$2:$J$101,0)),ISNUMBER(MATCH(TRIM(RIGHT(SUBSTITUTE(TRIM(H350&amp;"")," ",REPT(" ",60)),60)),코드표!$F$2:$F$101,0))),INDEX(코드표!$K$2:$K$101,MATCH(LEFT(TRIM(H350&amp;""),FIND(" ",TRIM(H350&amp;""))-1),코드표!$J$2:$J$101,0))&amp;" "&amp;INDEX(코드표!$G$2:$G$101,MATCH(TRIM(RIGHT(SUBSTITUTE(TRIM(H350&amp;"")," ",REPT(" ",60)),60)),코드표!$F$2:$F$101,0)),"⚠"&amp;TRIM(H350&amp;""))),"⚠"&amp;TRIM(H350&amp;""))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",TRIM(I350&amp;""))-1),코드표!$J$2:$J$101,0)),ISNUMBER(MATCH(TRIM(RIGHT(SUBSTITUTE(TRIM(I350&amp;"")," ",REPT(" ",60)),60)),코드표!$F$2:$F$101,0))),INDEX(코드표!$K$2:$K$101,MATCH(LEFT(TRIM(I350&amp;""),FIND(" ",TRIM(I350&amp;""))-1),코드표!$J$2:$J$101,0))&amp;" "&amp;INDEX(코드표!$G$2:$G$101,MATCH(TRIM(RIGHT(SUBSTITUTE(TRIM(I350&amp;"")," ",REPT(" ",60)),60)),코드표!$F$2:$F$101,0)),"⚠"&amp;TRIM(I350&amp;""))),"⚠"&amp;TRIM(I350&amp;""))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",TRIM(J350&amp;""))-1),코드표!$J$2:$J$101,0)),ISNUMBER(MATCH(TRIM(RIGHT(SUBSTITUTE(TRIM(J350&amp;"")," ",REPT(" ",60)),60)),코드표!$F$2:$F$101,0))),INDEX(코드표!$K$2:$K$101,MATCH(LEFT(TRIM(J350&amp;""),FIND(" ",TRIM(J350&amp;""))-1),코드표!$J$2:$J$101,0))&amp;" "&amp;INDEX(코드표!$G$2:$G$101,MATCH(TRIM(RIGHT(SUBSTITUTE(TRIM(J350&amp;"")," ",REPT(" ",60)),60)),코드표!$F$2:$F$101,0)),"⚠"&amp;TRIM(J350&amp;""))),"⚠"&amp;TRIM(J350&amp;""))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",TRIM(E351&amp;""))-1),코드표!$J$2:$J$101,0)),ISNUMBER(MATCH(TRIM(RIGHT(SUBSTITUTE(TRIM(E351&amp;"")," ",REPT(" ",60)),60)),코드표!$F$2:$F$101,0))),INDEX(코드표!$K$2:$K$101,MATCH(LEFT(TRIM(E351&amp;""),FIND(" ",TRIM(E351&amp;""))-1),코드표!$J$2:$J$101,0))&amp;" "&amp;INDEX(코드표!$G$2:$G$101,MATCH(TRIM(RIGHT(SUBSTITUTE(TRIM(E351&amp;"")," ",REPT(" ",60)),60)),코드표!$F$2:$F$101,0)),"⚠"&amp;TRIM(E351&amp;""))),"⚠"&amp;TRIM(E351&amp;""))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",TRIM(F351&amp;""))-1),코드표!$J$2:$J$101,0)),ISNUMBER(MATCH(TRIM(RIGHT(SUBSTITUTE(TRIM(F351&amp;"")," ",REPT(" ",60)),60)),코드표!$F$2:$F$101,0))),INDEX(코드표!$K$2:$K$101,MATCH(LEFT(TRIM(F351&amp;""),FIND(" ",TRIM(F351&amp;""))-1),코드표!$J$2:$J$101,0))&amp;" "&amp;INDEX(코드표!$G$2:$G$101,MATCH(TRIM(RIGHT(SUBSTITUTE(TRIM(F351&amp;"")," ",REPT(" ",60)),60)),코드표!$F$2:$F$101,0)),"⚠"&amp;TRIM(F351&amp;""))),"⚠"&amp;TRIM(F351&amp;""))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",TRIM(G351&amp;""))-1),코드표!$J$2:$J$101,0)),ISNUMBER(MATCH(TRIM(RIGHT(SUBSTITUTE(TRIM(G351&amp;"")," ",REPT(" ",60)),60)),코드표!$F$2:$F$101,0))),INDEX(코드표!$K$2:$K$101,MATCH(LEFT(TRIM(G351&amp;""),FIND(" ",TRIM(G351&amp;""))-1),코드표!$J$2:$J$101,0))&amp;" "&amp;INDEX(코드표!$G$2:$G$101,MATCH(TRIM(RIGHT(SUBSTITUTE(TRIM(G351&amp;"")," ",REPT(" ",60)),60)),코드표!$F$2:$F$101,0)),"⚠"&amp;TRIM(G351&amp;""))),"⚠"&amp;TRIM(G351&amp;""))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",TRIM(H351&amp;""))-1),코드표!$J$2:$J$101,0)),ISNUMBER(MATCH(TRIM(RIGHT(SUBSTITUTE(TRIM(H351&amp;"")," ",REPT(" ",60)),60)),코드표!$F$2:$F$101,0))),INDEX(코드표!$K$2:$K$101,MATCH(LEFT(TRIM(H351&amp;""),FIND(" ",TRIM(H351&amp;""))-1),코드표!$J$2:$J$101,0))&amp;" "&amp;INDEX(코드표!$G$2:$G$101,MATCH(TRIM(RIGHT(SUBSTITUTE(TRIM(H351&amp;"")," ",REPT(" ",60)),60)),코드표!$F$2:$F$101,0)),"⚠"&amp;TRIM(H351&amp;""))),"⚠"&amp;TRIM(H351&amp;""))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",TRIM(I351&amp;""))-1),코드표!$J$2:$J$101,0)),ISNUMBER(MATCH(TRIM(RIGHT(SUBSTITUTE(TRIM(I351&amp;"")," ",REPT(" ",60)),60)),코드표!$F$2:$F$101,0))),INDEX(코드표!$K$2:$K$101,MATCH(LEFT(TRIM(I351&amp;""),FIND(" ",TRIM(I351&amp;""))-1),코드표!$J$2:$J$101,0))&amp;" "&amp;INDEX(코드표!$G$2:$G$101,MATCH(TRIM(RIGHT(SUBSTITUTE(TRIM(I351&amp;"")," ",REPT(" ",60)),60)),코드표!$F$2:$F$101,0)),"⚠"&amp;TRIM(I351&amp;""))),"⚠"&amp;TRIM(I351&amp;""))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",TRIM(J351&amp;""))-1),코드표!$J$2:$J$101,0)),ISNUMBER(MATCH(TRIM(RIGHT(SUBSTITUTE(TRIM(J351&amp;"")," ",REPT(" ",60)),60)),코드표!$F$2:$F$101,0))),INDEX(코드표!$K$2:$K$101,MATCH(LEFT(TRIM(J351&amp;""),FIND(" ",TRIM(J351&amp;""))-1),코드표!$J$2:$J$101,0))&amp;" "&amp;INDEX(코드표!$G$2:$G$101,MATCH(TRIM(RIGHT(SUBSTITUTE(TRIM(J351&amp;"")," ",REPT(" ",60)),60)),코드표!$F$2:$F$101,0)),"⚠"&amp;TRIM(J351&amp;""))),"⚠"&amp;TRIM(J351&amp;""))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",TRIM(E352&amp;""))-1),코드표!$J$2:$J$101,0)),ISNUMBER(MATCH(TRIM(RIGHT(SUBSTITUTE(TRIM(E352&amp;"")," ",REPT(" ",60)),60)),코드표!$F$2:$F$101,0))),INDEX(코드표!$K$2:$K$101,MATCH(LEFT(TRIM(E352&amp;""),FIND(" ",TRIM(E352&amp;""))-1),코드표!$J$2:$J$101,0))&amp;" "&amp;INDEX(코드표!$G$2:$G$101,MATCH(TRIM(RIGHT(SUBSTITUTE(TRIM(E352&amp;"")," ",REPT(" ",60)),60)),코드표!$F$2:$F$101,0)),"⚠"&amp;TRIM(E352&amp;""))),"⚠"&amp;TRIM(E352&amp;""))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",TRIM(F352&amp;""))-1),코드표!$J$2:$J$101,0)),ISNUMBER(MATCH(TRIM(RIGHT(SUBSTITUTE(TRIM(F352&amp;"")," ",REPT(" ",60)),60)),코드표!$F$2:$F$101,0))),INDEX(코드표!$K$2:$K$101,MATCH(LEFT(TRIM(F352&amp;""),FIND(" ",TRIM(F352&amp;""))-1),코드표!$J$2:$J$101,0))&amp;" "&amp;INDEX(코드표!$G$2:$G$101,MATCH(TRIM(RIGHT(SUBSTITUTE(TRIM(F352&amp;"")," ",REPT(" ",60)),60)),코드표!$F$2:$F$101,0)),"⚠"&amp;TRIM(F352&amp;""))),"⚠"&amp;TRIM(F352&amp;""))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",TRIM(G352&amp;""))-1),코드표!$J$2:$J$101,0)),ISNUMBER(MATCH(TRIM(RIGHT(SUBSTITUTE(TRIM(G352&amp;"")," ",REPT(" ",60)),60)),코드표!$F$2:$F$101,0))),INDEX(코드표!$K$2:$K$101,MATCH(LEFT(TRIM(G352&amp;""),FIND(" ",TRIM(G352&amp;""))-1),코드표!$J$2:$J$101,0))&amp;" "&amp;INDEX(코드표!$G$2:$G$101,MATCH(TRIM(RIGHT(SUBSTITUTE(TRIM(G352&amp;"")," ",REPT(" ",60)),60)),코드표!$F$2:$F$101,0)),"⚠"&amp;TRIM(G352&amp;""))),"⚠"&amp;TRIM(G352&amp;""))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",TRIM(H352&amp;""))-1),코드표!$J$2:$J$101,0)),ISNUMBER(MATCH(TRIM(RIGHT(SUBSTITUTE(TRIM(H352&amp;"")," ",REPT(" ",60)),60)),코드표!$F$2:$F$101,0))),INDEX(코드표!$K$2:$K$101,MATCH(LEFT(TRIM(H352&amp;""),FIND(" ",TRIM(H352&amp;""))-1),코드표!$J$2:$J$101,0))&amp;" "&amp;INDEX(코드표!$G$2:$G$101,MATCH(TRIM(RIGHT(SUBSTITUTE(TRIM(H352&amp;"")," ",REPT(" ",60)),60)),코드표!$F$2:$F$101,0)),"⚠"&amp;TRIM(H352&amp;""))),"⚠"&amp;TRIM(H352&amp;""))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",TRIM(I352&amp;""))-1),코드표!$J$2:$J$101,0)),ISNUMBER(MATCH(TRIM(RIGHT(SUBSTITUTE(TRIM(I352&amp;"")," ",REPT(" ",60)),60)),코드표!$F$2:$F$101,0))),INDEX(코드표!$K$2:$K$101,MATCH(LEFT(TRIM(I352&amp;""),FIND(" ",TRIM(I352&amp;""))-1),코드표!$J$2:$J$101,0))&amp;" "&amp;INDEX(코드표!$G$2:$G$101,MATCH(TRIM(RIGHT(SUBSTITUTE(TRIM(I352&amp;"")," ",REPT(" ",60)),60)),코드표!$F$2:$F$101,0)),"⚠"&amp;TRIM(I352&amp;""))),"⚠"&amp;TRIM(I352&amp;""))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",TRIM(J352&amp;""))-1),코드표!$J$2:$J$101,0)),ISNUMBER(MATCH(TRIM(RIGHT(SUBSTITUTE(TRIM(J352&amp;"")," ",REPT(" ",60)),60)),코드표!$F$2:$F$101,0))),INDEX(코드표!$K$2:$K$101,MATCH(LEFT(TRIM(J352&amp;""),FIND(" ",TRIM(J352&amp;""))-1),코드표!$J$2:$J$101,0))&amp;" "&amp;INDEX(코드표!$G$2:$G$101,MATCH(TRIM(RIGHT(SUBSTITUTE(TRIM(J352&amp;"")," ",REPT(" ",60)),60)),코드표!$F$2:$F$101,0)),"⚠"&amp;TRIM(J352&amp;""))),"⚠"&amp;TRIM(J352&amp;""))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",TRIM(E353&amp;""))-1),코드표!$J$2:$J$101,0)),ISNUMBER(MATCH(TRIM(RIGHT(SUBSTITUTE(TRIM(E353&amp;"")," ",REPT(" ",60)),60)),코드표!$F$2:$F$101,0))),INDEX(코드표!$K$2:$K$101,MATCH(LEFT(TRIM(E353&amp;""),FIND(" ",TRIM(E353&amp;""))-1),코드표!$J$2:$J$101,0))&amp;" "&amp;INDEX(코드표!$G$2:$G$101,MATCH(TRIM(RIGHT(SUBSTITUTE(TRIM(E353&amp;"")," ",REPT(" ",60)),60)),코드표!$F$2:$F$101,0)),"⚠"&amp;TRIM(E353&amp;""))),"⚠"&amp;TRIM(E353&amp;""))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",TRIM(F353&amp;""))-1),코드표!$J$2:$J$101,0)),ISNUMBER(MATCH(TRIM(RIGHT(SUBSTITUTE(TRIM(F353&amp;"")," ",REPT(" ",60)),60)),코드표!$F$2:$F$101,0))),INDEX(코드표!$K$2:$K$101,MATCH(LEFT(TRIM(F353&amp;""),FIND(" ",TRIM(F353&amp;""))-1),코드표!$J$2:$J$101,0))&amp;" "&amp;INDEX(코드표!$G$2:$G$101,MATCH(TRIM(RIGHT(SUBSTITUTE(TRIM(F353&amp;"")," ",REPT(" ",60)),60)),코드표!$F$2:$F$101,0)),"⚠"&amp;TRIM(F353&amp;""))),"⚠"&amp;TRIM(F353&amp;""))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",TRIM(G353&amp;""))-1),코드표!$J$2:$J$101,0)),ISNUMBER(MATCH(TRIM(RIGHT(SUBSTITUTE(TRIM(G353&amp;"")," ",REPT(" ",60)),60)),코드표!$F$2:$F$101,0))),INDEX(코드표!$K$2:$K$101,MATCH(LEFT(TRIM(G353&amp;""),FIND(" ",TRIM(G353&amp;""))-1),코드표!$J$2:$J$101,0))&amp;" "&amp;INDEX(코드표!$G$2:$G$101,MATCH(TRIM(RIGHT(SUBSTITUTE(TRIM(G353&amp;"")," ",REPT(" ",60)),60)),코드표!$F$2:$F$101,0)),"⚠"&amp;TRIM(G353&amp;""))),"⚠"&amp;TRIM(G353&amp;""))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",TRIM(H353&amp;""))-1),코드표!$J$2:$J$101,0)),ISNUMBER(MATCH(TRIM(RIGHT(SUBSTITUTE(TRIM(H353&amp;"")," ",REPT(" ",60)),60)),코드표!$F$2:$F$101,0))),INDEX(코드표!$K$2:$K$101,MATCH(LEFT(TRIM(H353&amp;""),FIND(" ",TRIM(H353&amp;""))-1),코드표!$J$2:$J$101,0))&amp;" "&amp;INDEX(코드표!$G$2:$G$101,MATCH(TRIM(RIGHT(SUBSTITUTE(TRIM(H353&amp;"")," ",REPT(" ",60)),60)),코드표!$F$2:$F$101,0)),"⚠"&amp;TRIM(H353&amp;""))),"⚠"&amp;TRIM(H353&amp;""))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",TRIM(I353&amp;""))-1),코드표!$J$2:$J$101,0)),ISNUMBER(MATCH(TRIM(RIGHT(SUBSTITUTE(TRIM(I353&amp;"")," ",REPT(" ",60)),60)),코드표!$F$2:$F$101,0))),INDEX(코드표!$K$2:$K$101,MATCH(LEFT(TRIM(I353&amp;""),FIND(" ",TRIM(I353&amp;""))-1),코드표!$J$2:$J$101,0))&amp;" "&amp;INDEX(코드표!$G$2:$G$101,MATCH(TRIM(RIGHT(SUBSTITUTE(TRIM(I353&amp;"")," ",REPT(" ",60)),60)),코드표!$F$2:$F$101,0)),"⚠"&amp;TRIM(I353&amp;""))),"⚠"&amp;TRIM(I353&amp;""))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",TRIM(J353&amp;""))-1),코드표!$J$2:$J$101,0)),ISNUMBER(MATCH(TRIM(RIGHT(SUBSTITUTE(TRIM(J353&amp;"")," ",REPT(" ",60)),60)),코드표!$F$2:$F$101,0))),INDEX(코드표!$K$2:$K$101,MATCH(LEFT(TRIM(J353&amp;""),FIND(" ",TRIM(J353&amp;""))-1),코드표!$J$2:$J$101,0))&amp;" "&amp;INDEX(코드표!$G$2:$G$101,MATCH(TRIM(RIGHT(SUBSTITUTE(TRIM(J353&amp;"")," ",REPT(" ",60)),60)),코드표!$F$2:$F$101,0)),"⚠"&amp;TRIM(J353&amp;""))),"⚠"&amp;TRIM(J353&amp;""))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",TRIM(E354&amp;""))-1),코드표!$J$2:$J$101,0)),ISNUMBER(MATCH(TRIM(RIGHT(SUBSTITUTE(TRIM(E354&amp;"")," ",REPT(" ",60)),60)),코드표!$F$2:$F$101,0))),INDEX(코드표!$K$2:$K$101,MATCH(LEFT(TRIM(E354&amp;""),FIND(" ",TRIM(E354&amp;""))-1),코드표!$J$2:$J$101,0))&amp;" "&amp;INDEX(코드표!$G$2:$G$101,MATCH(TRIM(RIGHT(SUBSTITUTE(TRIM(E354&amp;"")," ",REPT(" ",60)),60)),코드표!$F$2:$F$101,0)),"⚠"&amp;TRIM(E354&amp;""))),"⚠"&amp;TRIM(E354&amp;""))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",TRIM(F354&amp;""))-1),코드표!$J$2:$J$101,0)),ISNUMBER(MATCH(TRIM(RIGHT(SUBSTITUTE(TRIM(F354&amp;"")," ",REPT(" ",60)),60)),코드표!$F$2:$F$101,0))),INDEX(코드표!$K$2:$K$101,MATCH(LEFT(TRIM(F354&amp;""),FIND(" ",TRIM(F354&amp;""))-1),코드표!$J$2:$J$101,0))&amp;" "&amp;INDEX(코드표!$G$2:$G$101,MATCH(TRIM(RIGHT(SUBSTITUTE(TRIM(F354&amp;"")," ",REPT(" ",60)),60)),코드표!$F$2:$F$101,0)),"⚠"&amp;TRIM(F354&amp;""))),"⚠"&amp;TRIM(F354&amp;""))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",TRIM(G354&amp;""))-1),코드표!$J$2:$J$101,0)),ISNUMBER(MATCH(TRIM(RIGHT(SUBSTITUTE(TRIM(G354&amp;"")," ",REPT(" ",60)),60)),코드표!$F$2:$F$101,0))),INDEX(코드표!$K$2:$K$101,MATCH(LEFT(TRIM(G354&amp;""),FIND(" ",TRIM(G354&amp;""))-1),코드표!$J$2:$J$101,0))&amp;" "&amp;INDEX(코드표!$G$2:$G$101,MATCH(TRIM(RIGHT(SUBSTITUTE(TRIM(G354&amp;"")," ",REPT(" ",60)),60)),코드표!$F$2:$F$101,0)),"⚠"&amp;TRIM(G354&amp;""))),"⚠"&amp;TRIM(G354&amp;""))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",TRIM(H354&amp;""))-1),코드표!$J$2:$J$101,0)),ISNUMBER(MATCH(TRIM(RIGHT(SUBSTITUTE(TRIM(H354&amp;"")," ",REPT(" ",60)),60)),코드표!$F$2:$F$101,0))),INDEX(코드표!$K$2:$K$101,MATCH(LEFT(TRIM(H354&amp;""),FIND(" ",TRIM(H354&amp;""))-1),코드표!$J$2:$J$101,0))&amp;" "&amp;INDEX(코드표!$G$2:$G$101,MATCH(TRIM(RIGHT(SUBSTITUTE(TRIM(H354&amp;"")," ",REPT(" ",60)),60)),코드표!$F$2:$F$101,0)),"⚠"&amp;TRIM(H354&amp;""))),"⚠"&amp;TRIM(H354&amp;""))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",TRIM(I354&amp;""))-1),코드표!$J$2:$J$101,0)),ISNUMBER(MATCH(TRIM(RIGHT(SUBSTITUTE(TRIM(I354&amp;"")," ",REPT(" ",60)),60)),코드표!$F$2:$F$101,0))),INDEX(코드표!$K$2:$K$101,MATCH(LEFT(TRIM(I354&amp;""),FIND(" ",TRIM(I354&amp;""))-1),코드표!$J$2:$J$101,0))&amp;" "&amp;INDEX(코드표!$G$2:$G$101,MATCH(TRIM(RIGHT(SUBSTITUTE(TRIM(I354&amp;"")," ",REPT(" ",60)),60)),코드표!$F$2:$F$101,0)),"⚠"&amp;TRIM(I354&amp;""))),"⚠"&amp;TRIM(I354&amp;""))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",TRIM(J354&amp;""))-1),코드표!$J$2:$J$101,0)),ISNUMBER(MATCH(TRIM(RIGHT(SUBSTITUTE(TRIM(J354&amp;"")," ",REPT(" ",60)),60)),코드표!$F$2:$F$101,0))),INDEX(코드표!$K$2:$K$101,MATCH(LEFT(TRIM(J354&amp;""),FIND(" ",TRIM(J354&amp;""))-1),코드표!$J$2:$J$101,0))&amp;" "&amp;INDEX(코드표!$G$2:$G$101,MATCH(TRIM(RIGHT(SUBSTITUTE(TRIM(J354&amp;"")," ",REPT(" ",60)),60)),코드표!$F$2:$F$101,0)),"⚠"&amp;TRIM(J354&amp;""))),"⚠"&amp;TRIM(J354&amp;""))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",TRIM(E355&amp;""))-1),코드표!$J$2:$J$101,0)),ISNUMBER(MATCH(TRIM(RIGHT(SUBSTITUTE(TRIM(E355&amp;"")," ",REPT(" ",60)),60)),코드표!$F$2:$F$101,0))),INDEX(코드표!$K$2:$K$101,MATCH(LEFT(TRIM(E355&amp;""),FIND(" ",TRIM(E355&amp;""))-1),코드표!$J$2:$J$101,0))&amp;" "&amp;INDEX(코드표!$G$2:$G$101,MATCH(TRIM(RIGHT(SUBSTITUTE(TRIM(E355&amp;"")," ",REPT(" ",60)),60)),코드표!$F$2:$F$101,0)),"⚠"&amp;TRIM(E355&amp;""))),"⚠"&amp;TRIM(E355&amp;""))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",TRIM(F355&amp;""))-1),코드표!$J$2:$J$101,0)),ISNUMBER(MATCH(TRIM(RIGHT(SUBSTITUTE(TRIM(F355&amp;"")," ",REPT(" ",60)),60)),코드표!$F$2:$F$101,0))),INDEX(코드표!$K$2:$K$101,MATCH(LEFT(TRIM(F355&amp;""),FIND(" ",TRIM(F355&amp;""))-1),코드표!$J$2:$J$101,0))&amp;" "&amp;INDEX(코드표!$G$2:$G$101,MATCH(TRIM(RIGHT(SUBSTITUTE(TRIM(F355&amp;"")," ",REPT(" ",60)),60)),코드표!$F$2:$F$101,0)),"⚠"&amp;TRIM(F355&amp;""))),"⚠"&amp;TRIM(F355&amp;""))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",TRIM(G355&amp;""))-1),코드표!$J$2:$J$101,0)),ISNUMBER(MATCH(TRIM(RIGHT(SUBSTITUTE(TRIM(G355&amp;"")," ",REPT(" ",60)),60)),코드표!$F$2:$F$101,0))),INDEX(코드표!$K$2:$K$101,MATCH(LEFT(TRIM(G355&amp;""),FIND(" ",TRIM(G355&amp;""))-1),코드표!$J$2:$J$101,0))&amp;" "&amp;INDEX(코드표!$G$2:$G$101,MATCH(TRIM(RIGHT(SUBSTITUTE(TRIM(G355&amp;"")," ",REPT(" ",60)),60)),코드표!$F$2:$F$101,0)),"⚠"&amp;TRIM(G355&amp;""))),"⚠"&amp;TRIM(G355&amp;""))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",TRIM(H355&amp;""))-1),코드표!$J$2:$J$101,0)),ISNUMBER(MATCH(TRIM(RIGHT(SUBSTITUTE(TRIM(H355&amp;"")," ",REPT(" ",60)),60)),코드표!$F$2:$F$101,0))),INDEX(코드표!$K$2:$K$101,MATCH(LEFT(TRIM(H355&amp;""),FIND(" ",TRIM(H355&amp;""))-1),코드표!$J$2:$J$101,0))&amp;" "&amp;INDEX(코드표!$G$2:$G$101,MATCH(TRIM(RIGHT(SUBSTITUTE(TRIM(H355&amp;"")," ",REPT(" ",60)),60)),코드표!$F$2:$F$101,0)),"⚠"&amp;TRIM(H355&amp;""))),"⚠"&amp;TRIM(H355&amp;""))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",TRIM(I355&amp;""))-1),코드표!$J$2:$J$101,0)),ISNUMBER(MATCH(TRIM(RIGHT(SUBSTITUTE(TRIM(I355&amp;"")," ",REPT(" ",60)),60)),코드표!$F$2:$F$101,0))),INDEX(코드표!$K$2:$K$101,MATCH(LEFT(TRIM(I355&amp;""),FIND(" ",TRIM(I355&amp;""))-1),코드표!$J$2:$J$101,0))&amp;" "&amp;INDEX(코드표!$G$2:$G$101,MATCH(TRIM(RIGHT(SUBSTITUTE(TRIM(I355&amp;"")," ",REPT(" ",60)),60)),코드표!$F$2:$F$101,0)),"⚠"&amp;TRIM(I355&amp;""))),"⚠"&amp;TRIM(I355&amp;""))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",TRIM(J355&amp;""))-1),코드표!$J$2:$J$101,0)),ISNUMBER(MATCH(TRIM(RIGHT(SUBSTITUTE(TRIM(J355&amp;"")," ",REPT(" ",60)),60)),코드표!$F$2:$F$101,0))),INDEX(코드표!$K$2:$K$101,MATCH(LEFT(TRIM(J355&amp;""),FIND(" ",TRIM(J355&amp;""))-1),코드표!$J$2:$J$101,0))&amp;" "&amp;INDEX(코드표!$G$2:$G$101,MATCH(TRIM(RIGHT(SUBSTITUTE(TRIM(J355&amp;"")," ",REPT(" ",60)),60)),코드표!$F$2:$F$101,0)),"⚠"&amp;TRIM(J355&amp;""))),"⚠"&amp;TRIM(J355&amp;""))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",TRIM(E356&amp;""))-1),코드표!$J$2:$J$101,0)),ISNUMBER(MATCH(TRIM(RIGHT(SUBSTITUTE(TRIM(E356&amp;"")," ",REPT(" ",60)),60)),코드표!$F$2:$F$101,0))),INDEX(코드표!$K$2:$K$101,MATCH(LEFT(TRIM(E356&amp;""),FIND(" ",TRIM(E356&amp;""))-1),코드표!$J$2:$J$101,0))&amp;" "&amp;INDEX(코드표!$G$2:$G$101,MATCH(TRIM(RIGHT(SUBSTITUTE(TRIM(E356&amp;"")," ",REPT(" ",60)),60)),코드표!$F$2:$F$101,0)),"⚠"&amp;TRIM(E356&amp;""))),"⚠"&amp;TRIM(E356&amp;""))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",TRIM(F356&amp;""))-1),코드표!$J$2:$J$101,0)),ISNUMBER(MATCH(TRIM(RIGHT(SUBSTITUTE(TRIM(F356&amp;"")," ",REPT(" ",60)),60)),코드표!$F$2:$F$101,0))),INDEX(코드표!$K$2:$K$101,MATCH(LEFT(TRIM(F356&amp;""),FIND(" ",TRIM(F356&amp;""))-1),코드표!$J$2:$J$101,0))&amp;" "&amp;INDEX(코드표!$G$2:$G$101,MATCH(TRIM(RIGHT(SUBSTITUTE(TRIM(F356&amp;"")," ",REPT(" ",60)),60)),코드표!$F$2:$F$101,0)),"⚠"&amp;TRIM(F356&amp;""))),"⚠"&amp;TRIM(F356&amp;""))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",TRIM(G356&amp;""))-1),코드표!$J$2:$J$101,0)),ISNUMBER(MATCH(TRIM(RIGHT(SUBSTITUTE(TRIM(G356&amp;"")," ",REPT(" ",60)),60)),코드표!$F$2:$F$101,0))),INDEX(코드표!$K$2:$K$101,MATCH(LEFT(TRIM(G356&amp;""),FIND(" ",TRIM(G356&amp;""))-1),코드표!$J$2:$J$101,0))&amp;" "&amp;INDEX(코드표!$G$2:$G$101,MATCH(TRIM(RIGHT(SUBSTITUTE(TRIM(G356&amp;"")," ",REPT(" ",60)),60)),코드표!$F$2:$F$101,0)),"⚠"&amp;TRIM(G356&amp;""))),"⚠"&amp;TRIM(G356&amp;""))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",TRIM(H356&amp;""))-1),코드표!$J$2:$J$101,0)),ISNUMBER(MATCH(TRIM(RIGHT(SUBSTITUTE(TRIM(H356&amp;"")," ",REPT(" ",60)),60)),코드표!$F$2:$F$101,0))),INDEX(코드표!$K$2:$K$101,MATCH(LEFT(TRIM(H356&amp;""),FIND(" ",TRIM(H356&amp;""))-1),코드표!$J$2:$J$101,0))&amp;" "&amp;INDEX(코드표!$G$2:$G$101,MATCH(TRIM(RIGHT(SUBSTITUTE(TRIM(H356&amp;"")," ",REPT(" ",60)),60)),코드표!$F$2:$F$101,0)),"⚠"&amp;TRIM(H356&amp;""))),"⚠"&amp;TRIM(H356&amp;""))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",TRIM(I356&amp;""))-1),코드표!$J$2:$J$101,0)),ISNUMBER(MATCH(TRIM(RIGHT(SUBSTITUTE(TRIM(I356&amp;"")," ",REPT(" ",60)),60)),코드표!$F$2:$F$101,0))),INDEX(코드표!$K$2:$K$101,MATCH(LEFT(TRIM(I356&amp;""),FIND(" ",TRIM(I356&amp;""))-1),코드표!$J$2:$J$101,0))&amp;" "&amp;INDEX(코드표!$G$2:$G$101,MATCH(TRIM(RIGHT(SUBSTITUTE(TRIM(I356&amp;"")," ",REPT(" ",60)),60)),코드표!$F$2:$F$101,0)),"⚠"&amp;TRIM(I356&amp;""))),"⚠"&amp;TRIM(I356&amp;""))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",TRIM(J356&amp;""))-1),코드표!$J$2:$J$101,0)),ISNUMBER(MATCH(TRIM(RIGHT(SUBSTITUTE(TRIM(J356&amp;"")," ",REPT(" ",60)),60)),코드표!$F$2:$F$101,0))),INDEX(코드표!$K$2:$K$101,MATCH(LEFT(TRIM(J356&amp;""),FIND(" ",TRIM(J356&amp;""))-1),코드표!$J$2:$J$101,0))&amp;" "&amp;INDEX(코드표!$G$2:$G$101,MATCH(TRIM(RIGHT(SUBSTITUTE(TRIM(J356&amp;"")," ",REPT(" ",60)),60)),코드표!$F$2:$F$101,0)),"⚠"&amp;TRIM(J356&amp;""))),"⚠"&amp;TRIM(J356&amp;""))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",TRIM(E357&amp;""))-1),코드표!$J$2:$J$101,0)),ISNUMBER(MATCH(TRIM(RIGHT(SUBSTITUTE(TRIM(E357&amp;"")," ",REPT(" ",60)),60)),코드표!$F$2:$F$101,0))),INDEX(코드표!$K$2:$K$101,MATCH(LEFT(TRIM(E357&amp;""),FIND(" ",TRIM(E357&amp;""))-1),코드표!$J$2:$J$101,0))&amp;" "&amp;INDEX(코드표!$G$2:$G$101,MATCH(TRIM(RIGHT(SUBSTITUTE(TRIM(E357&amp;"")," ",REPT(" ",60)),60)),코드표!$F$2:$F$101,0)),"⚠"&amp;TRIM(E357&amp;""))),"⚠"&amp;TRIM(E357&amp;""))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",TRIM(F357&amp;""))-1),코드표!$J$2:$J$101,0)),ISNUMBER(MATCH(TRIM(RIGHT(SUBSTITUTE(TRIM(F357&amp;"")," ",REPT(" ",60)),60)),코드표!$F$2:$F$101,0))),INDEX(코드표!$K$2:$K$101,MATCH(LEFT(TRIM(F357&amp;""),FIND(" ",TRIM(F357&amp;""))-1),코드표!$J$2:$J$101,0))&amp;" "&amp;INDEX(코드표!$G$2:$G$101,MATCH(TRIM(RIGHT(SUBSTITUTE(TRIM(F357&amp;"")," ",REPT(" ",60)),60)),코드표!$F$2:$F$101,0)),"⚠"&amp;TRIM(F357&amp;""))),"⚠"&amp;TRIM(F357&amp;""))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",TRIM(G357&amp;""))-1),코드표!$J$2:$J$101,0)),ISNUMBER(MATCH(TRIM(RIGHT(SUBSTITUTE(TRIM(G357&amp;"")," ",REPT(" ",60)),60)),코드표!$F$2:$F$101,0))),INDEX(코드표!$K$2:$K$101,MATCH(LEFT(TRIM(G357&amp;""),FIND(" ",TRIM(G357&amp;""))-1),코드표!$J$2:$J$101,0))&amp;" "&amp;INDEX(코드표!$G$2:$G$101,MATCH(TRIM(RIGHT(SUBSTITUTE(TRIM(G357&amp;"")," ",REPT(" ",60)),60)),코드표!$F$2:$F$101,0)),"⚠"&amp;TRIM(G357&amp;""))),"⚠"&amp;TRIM(G357&amp;""))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",TRIM(H357&amp;""))-1),코드표!$J$2:$J$101,0)),ISNUMBER(MATCH(TRIM(RIGHT(SUBSTITUTE(TRIM(H357&amp;"")," ",REPT(" ",60)),60)),코드표!$F$2:$F$101,0))),INDEX(코드표!$K$2:$K$101,MATCH(LEFT(TRIM(H357&amp;""),FIND(" ",TRIM(H357&amp;""))-1),코드표!$J$2:$J$101,0))&amp;" "&amp;INDEX(코드표!$G$2:$G$101,MATCH(TRIM(RIGHT(SUBSTITUTE(TRIM(H357&amp;"")," ",REPT(" ",60)),60)),코드표!$F$2:$F$101,0)),"⚠"&amp;TRIM(H357&amp;""))),"⚠"&amp;TRIM(H357&amp;""))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",TRIM(I357&amp;""))-1),코드표!$J$2:$J$101,0)),ISNUMBER(MATCH(TRIM(RIGHT(SUBSTITUTE(TRIM(I357&amp;"")," ",REPT(" ",60)),60)),코드표!$F$2:$F$101,0))),INDEX(코드표!$K$2:$K$101,MATCH(LEFT(TRIM(I357&amp;""),FIND(" ",TRIM(I357&amp;""))-1),코드표!$J$2:$J$101,0))&amp;" "&amp;INDEX(코드표!$G$2:$G$101,MATCH(TRIM(RIGHT(SUBSTITUTE(TRIM(I357&amp;"")," ",REPT(" ",60)),60)),코드표!$F$2:$F$101,0)),"⚠"&amp;TRIM(I357&amp;""))),"⚠"&amp;TRIM(I357&amp;""))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",TRIM(J357&amp;""))-1),코드표!$J$2:$J$101,0)),ISNUMBER(MATCH(TRIM(RIGHT(SUBSTITUTE(TRIM(J357&amp;"")," ",REPT(" ",60)),60)),코드표!$F$2:$F$101,0))),INDEX(코드표!$K$2:$K$101,MATCH(LEFT(TRIM(J357&amp;""),FIND(" ",TRIM(J357&amp;""))-1),코드표!$J$2:$J$101,0))&amp;" "&amp;INDEX(코드표!$G$2:$G$101,MATCH(TRIM(RIGHT(SUBSTITUTE(TRIM(J357&amp;"")," ",REPT(" ",60)),60)),코드표!$F$2:$F$101,0)),"⚠"&amp;TRIM(J357&amp;""))),"⚠"&amp;TRIM(J357&amp;""))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",TRIM(E358&amp;""))-1),코드표!$J$2:$J$101,0)),ISNUMBER(MATCH(TRIM(RIGHT(SUBSTITUTE(TRIM(E358&amp;"")," ",REPT(" ",60)),60)),코드표!$F$2:$F$101,0))),INDEX(코드표!$K$2:$K$101,MATCH(LEFT(TRIM(E358&amp;""),FIND(" ",TRIM(E358&amp;""))-1),코드표!$J$2:$J$101,0))&amp;" "&amp;INDEX(코드표!$G$2:$G$101,MATCH(TRIM(RIGHT(SUBSTITUTE(TRIM(E358&amp;"")," ",REPT(" ",60)),60)),코드표!$F$2:$F$101,0)),"⚠"&amp;TRIM(E358&amp;""))),"⚠"&amp;TRIM(E358&amp;""))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",TRIM(F358&amp;""))-1),코드표!$J$2:$J$101,0)),ISNUMBER(MATCH(TRIM(RIGHT(SUBSTITUTE(TRIM(F358&amp;"")," ",REPT(" ",60)),60)),코드표!$F$2:$F$101,0))),INDEX(코드표!$K$2:$K$101,MATCH(LEFT(TRIM(F358&amp;""),FIND(" ",TRIM(F358&amp;""))-1),코드표!$J$2:$J$101,0))&amp;" "&amp;INDEX(코드표!$G$2:$G$101,MATCH(TRIM(RIGHT(SUBSTITUTE(TRIM(F358&amp;"")," ",REPT(" ",60)),60)),코드표!$F$2:$F$101,0)),"⚠"&amp;TRIM(F358&amp;""))),"⚠"&amp;TRIM(F358&amp;""))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",TRIM(G358&amp;""))-1),코드표!$J$2:$J$101,0)),ISNUMBER(MATCH(TRIM(RIGHT(SUBSTITUTE(TRIM(G358&amp;"")," ",REPT(" ",60)),60)),코드표!$F$2:$F$101,0))),INDEX(코드표!$K$2:$K$101,MATCH(LEFT(TRIM(G358&amp;""),FIND(" ",TRIM(G358&amp;""))-1),코드표!$J$2:$J$101,0))&amp;" "&amp;INDEX(코드표!$G$2:$G$101,MATCH(TRIM(RIGHT(SUBSTITUTE(TRIM(G358&amp;"")," ",REPT(" ",60)),60)),코드표!$F$2:$F$101,0)),"⚠"&amp;TRIM(G358&amp;""))),"⚠"&amp;TRIM(G358&amp;""))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",TRIM(H358&amp;""))-1),코드표!$J$2:$J$101,0)),ISNUMBER(MATCH(TRIM(RIGHT(SUBSTITUTE(TRIM(H358&amp;"")," ",REPT(" ",60)),60)),코드표!$F$2:$F$101,0))),INDEX(코드표!$K$2:$K$101,MATCH(LEFT(TRIM(H358&amp;""),FIND(" ",TRIM(H358&amp;""))-1),코드표!$J$2:$J$101,0))&amp;" "&amp;INDEX(코드표!$G$2:$G$101,MATCH(TRIM(RIGHT(SUBSTITUTE(TRIM(H358&amp;"")," ",REPT(" ",60)),60)),코드표!$F$2:$F$101,0)),"⚠"&amp;TRIM(H358&amp;""))),"⚠"&amp;TRIM(H358&amp;""))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",TRIM(I358&amp;""))-1),코드표!$J$2:$J$101,0)),ISNUMBER(MATCH(TRIM(RIGHT(SUBSTITUTE(TRIM(I358&amp;"")," ",REPT(" ",60)),60)),코드표!$F$2:$F$101,0))),INDEX(코드표!$K$2:$K$101,MATCH(LEFT(TRIM(I358&amp;""),FIND(" ",TRIM(I358&amp;""))-1),코드표!$J$2:$J$101,0))&amp;" "&amp;INDEX(코드표!$G$2:$G$101,MATCH(TRIM(RIGHT(SUBSTITUTE(TRIM(I358&amp;"")," ",REPT(" ",60)),60)),코드표!$F$2:$F$101,0)),"⚠"&amp;TRIM(I358&amp;""))),"⚠"&amp;TRIM(I358&amp;""))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",TRIM(J358&amp;""))-1),코드표!$J$2:$J$101,0)),ISNUMBER(MATCH(TRIM(RIGHT(SUBSTITUTE(TRIM(J358&amp;"")," ",REPT(" ",60)),60)),코드표!$F$2:$F$101,0))),INDEX(코드표!$K$2:$K$101,MATCH(LEFT(TRIM(J358&amp;""),FIND(" ",TRIM(J358&amp;""))-1),코드표!$J$2:$J$101,0))&amp;" "&amp;INDEX(코드표!$G$2:$G$101,MATCH(TRIM(RIGHT(SUBSTITUTE(TRIM(J358&amp;"")," ",REPT(" ",60)),60)),코드표!$F$2:$F$101,0)),"⚠"&amp;TRIM(J358&amp;""))),"⚠"&amp;TRIM(J358&amp;""))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",TRIM(E359&amp;""))-1),코드표!$J$2:$J$101,0)),ISNUMBER(MATCH(TRIM(RIGHT(SUBSTITUTE(TRIM(E359&amp;"")," ",REPT(" ",60)),60)),코드표!$F$2:$F$101,0))),INDEX(코드표!$K$2:$K$101,MATCH(LEFT(TRIM(E359&amp;""),FIND(" ",TRIM(E359&amp;""))-1),코드표!$J$2:$J$101,0))&amp;" "&amp;INDEX(코드표!$G$2:$G$101,MATCH(TRIM(RIGHT(SUBSTITUTE(TRIM(E359&amp;"")," ",REPT(" ",60)),60)),코드표!$F$2:$F$101,0)),"⚠"&amp;TRIM(E359&amp;""))),"⚠"&amp;TRIM(E359&amp;""))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",TRIM(F359&amp;""))-1),코드표!$J$2:$J$101,0)),ISNUMBER(MATCH(TRIM(RIGHT(SUBSTITUTE(TRIM(F359&amp;"")," ",REPT(" ",60)),60)),코드표!$F$2:$F$101,0))),INDEX(코드표!$K$2:$K$101,MATCH(LEFT(TRIM(F359&amp;""),FIND(" ",TRIM(F359&amp;""))-1),코드표!$J$2:$J$101,0))&amp;" "&amp;INDEX(코드표!$G$2:$G$101,MATCH(TRIM(RIGHT(SUBSTITUTE(TRIM(F359&amp;"")," ",REPT(" ",60)),60)),코드표!$F$2:$F$101,0)),"⚠"&amp;TRIM(F359&amp;""))),"⚠"&amp;TRIM(F359&amp;""))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",TRIM(G359&amp;""))-1),코드표!$J$2:$J$101,0)),ISNUMBER(MATCH(TRIM(RIGHT(SUBSTITUTE(TRIM(G359&amp;"")," ",REPT(" ",60)),60)),코드표!$F$2:$F$101,0))),INDEX(코드표!$K$2:$K$101,MATCH(LEFT(TRIM(G359&amp;""),FIND(" ",TRIM(G359&amp;""))-1),코드표!$J$2:$J$101,0))&amp;" "&amp;INDEX(코드표!$G$2:$G$101,MATCH(TRIM(RIGHT(SUBSTITUTE(TRIM(G359&amp;"")," ",REPT(" ",60)),60)),코드표!$F$2:$F$101,0)),"⚠"&amp;TRIM(G359&amp;""))),"⚠"&amp;TRIM(G359&amp;""))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",TRIM(H359&amp;""))-1),코드표!$J$2:$J$101,0)),ISNUMBER(MATCH(TRIM(RIGHT(SUBSTITUTE(TRIM(H359&amp;"")," ",REPT(" ",60)),60)),코드표!$F$2:$F$101,0))),INDEX(코드표!$K$2:$K$101,MATCH(LEFT(TRIM(H359&amp;""),FIND(" ",TRIM(H359&amp;""))-1),코드표!$J$2:$J$101,0))&amp;" "&amp;INDEX(코드표!$G$2:$G$101,MATCH(TRIM(RIGHT(SUBSTITUTE(TRIM(H359&amp;"")," ",REPT(" ",60)),60)),코드표!$F$2:$F$101,0)),"⚠"&amp;TRIM(H359&amp;""))),"⚠"&amp;TRIM(H359&amp;""))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",TRIM(I359&amp;""))-1),코드표!$J$2:$J$101,0)),ISNUMBER(MATCH(TRIM(RIGHT(SUBSTITUTE(TRIM(I359&amp;"")," ",REPT(" ",60)),60)),코드표!$F$2:$F$101,0))),INDEX(코드표!$K$2:$K$101,MATCH(LEFT(TRIM(I359&amp;""),FIND(" ",TRIM(I359&amp;""))-1),코드표!$J$2:$J$101,0))&amp;" "&amp;INDEX(코드표!$G$2:$G$101,MATCH(TRIM(RIGHT(SUBSTITUTE(TRIM(I359&amp;"")," ",REPT(" ",60)),60)),코드표!$F$2:$F$101,0)),"⚠"&amp;TRIM(I359&amp;""))),"⚠"&amp;TRIM(I359&amp;""))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",TRIM(J359&amp;""))-1),코드표!$J$2:$J$101,0)),ISNUMBER(MATCH(TRIM(RIGHT(SUBSTITUTE(TRIM(J359&amp;"")," ",REPT(" ",60)),60)),코드표!$F$2:$F$101,0))),INDEX(코드표!$K$2:$K$101,MATCH(LEFT(TRIM(J359&amp;""),FIND(" ",TRIM(J359&amp;""))-1),코드표!$J$2:$J$101,0))&amp;" "&amp;INDEX(코드표!$G$2:$G$101,MATCH(TRIM(RIGHT(SUBSTITUTE(TRIM(J359&amp;"")," ",REPT(" ",60)),60)),코드표!$F$2:$F$101,0)),"⚠"&amp;TRIM(J359&amp;""))),"⚠"&amp;TRIM(J359&amp;""))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",TRIM(E360&amp;""))-1),코드표!$J$2:$J$101,0)),ISNUMBER(MATCH(TRIM(RIGHT(SUBSTITUTE(TRIM(E360&amp;"")," ",REPT(" ",60)),60)),코드표!$F$2:$F$101,0))),INDEX(코드표!$K$2:$K$101,MATCH(LEFT(TRIM(E360&amp;""),FIND(" ",TRIM(E360&amp;""))-1),코드표!$J$2:$J$101,0))&amp;" "&amp;INDEX(코드표!$G$2:$G$101,MATCH(TRIM(RIGHT(SUBSTITUTE(TRIM(E360&amp;"")," ",REPT(" ",60)),60)),코드표!$F$2:$F$101,0)),"⚠"&amp;TRIM(E360&amp;""))),"⚠"&amp;TRIM(E360&amp;""))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",TRIM(F360&amp;""))-1),코드표!$J$2:$J$101,0)),ISNUMBER(MATCH(TRIM(RIGHT(SUBSTITUTE(TRIM(F360&amp;"")," ",REPT(" ",60)),60)),코드표!$F$2:$F$101,0))),INDEX(코드표!$K$2:$K$101,MATCH(LEFT(TRIM(F360&amp;""),FIND(" ",TRIM(F360&amp;""))-1),코드표!$J$2:$J$101,0))&amp;" "&amp;INDEX(코드표!$G$2:$G$101,MATCH(TRIM(RIGHT(SUBSTITUTE(TRIM(F360&amp;"")," ",REPT(" ",60)),60)),코드표!$F$2:$F$101,0)),"⚠"&amp;TRIM(F360&amp;""))),"⚠"&amp;TRIM(F360&amp;""))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",TRIM(G360&amp;""))-1),코드표!$J$2:$J$101,0)),ISNUMBER(MATCH(TRIM(RIGHT(SUBSTITUTE(TRIM(G360&amp;"")," ",REPT(" ",60)),60)),코드표!$F$2:$F$101,0))),INDEX(코드표!$K$2:$K$101,MATCH(LEFT(TRIM(G360&amp;""),FIND(" ",TRIM(G360&amp;""))-1),코드표!$J$2:$J$101,0))&amp;" "&amp;INDEX(코드표!$G$2:$G$101,MATCH(TRIM(RIGHT(SUBSTITUTE(TRIM(G360&amp;"")," ",REPT(" ",60)),60)),코드표!$F$2:$F$101,0)),"⚠"&amp;TRIM(G360&amp;""))),"⚠"&amp;TRIM(G360&amp;""))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",TRIM(H360&amp;""))-1),코드표!$J$2:$J$101,0)),ISNUMBER(MATCH(TRIM(RIGHT(SUBSTITUTE(TRIM(H360&amp;"")," ",REPT(" ",60)),60)),코드표!$F$2:$F$101,0))),INDEX(코드표!$K$2:$K$101,MATCH(LEFT(TRIM(H360&amp;""),FIND(" ",TRIM(H360&amp;""))-1),코드표!$J$2:$J$101,0))&amp;" "&amp;INDEX(코드표!$G$2:$G$101,MATCH(TRIM(RIGHT(SUBSTITUTE(TRIM(H360&amp;"")," ",REPT(" ",60)),60)),코드표!$F$2:$F$101,0)),"⚠"&amp;TRIM(H360&amp;""))),"⚠"&amp;TRIM(H360&amp;""))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",TRIM(I360&amp;""))-1),코드표!$J$2:$J$101,0)),ISNUMBER(MATCH(TRIM(RIGHT(SUBSTITUTE(TRIM(I360&amp;"")," ",REPT(" ",60)),60)),코드표!$F$2:$F$101,0))),INDEX(코드표!$K$2:$K$101,MATCH(LEFT(TRIM(I360&amp;""),FIND(" ",TRIM(I360&amp;""))-1),코드표!$J$2:$J$101,0))&amp;" "&amp;INDEX(코드표!$G$2:$G$101,MATCH(TRIM(RIGHT(SUBSTITUTE(TRIM(I360&amp;"")," ",REPT(" ",60)),60)),코드표!$F$2:$F$101,0)),"⚠"&amp;TRIM(I360&amp;""))),"⚠"&amp;TRIM(I360&amp;""))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",TRIM(J360&amp;""))-1),코드표!$J$2:$J$101,0)),ISNUMBER(MATCH(TRIM(RIGHT(SUBSTITUTE(TRIM(J360&amp;"")," ",REPT(" ",60)),60)),코드표!$F$2:$F$101,0))),INDEX(코드표!$K$2:$K$101,MATCH(LEFT(TRIM(J360&amp;""),FIND(" ",TRIM(J360&amp;""))-1),코드표!$J$2:$J$101,0))&amp;" "&amp;INDEX(코드표!$G$2:$G$101,MATCH(TRIM(RIGHT(SUBSTITUTE(TRIM(J360&amp;"")," ",REPT(" ",60)),60)),코드표!$F$2:$F$101,0)),"⚠"&amp;TRIM(J360&amp;""))),"⚠"&amp;TRIM(J360&amp;""))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",TRIM(E361&amp;""))-1),코드표!$J$2:$J$101,0)),ISNUMBER(MATCH(TRIM(RIGHT(SUBSTITUTE(TRIM(E361&amp;"")," ",REPT(" ",60)),60)),코드표!$F$2:$F$101,0))),INDEX(코드표!$K$2:$K$101,MATCH(LEFT(TRIM(E361&amp;""),FIND(" ",TRIM(E361&amp;""))-1),코드표!$J$2:$J$101,0))&amp;" "&amp;INDEX(코드표!$G$2:$G$101,MATCH(TRIM(RIGHT(SUBSTITUTE(TRIM(E361&amp;"")," ",REPT(" ",60)),60)),코드표!$F$2:$F$101,0)),"⚠"&amp;TRIM(E361&amp;""))),"⚠"&amp;TRIM(E361&amp;""))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",TRIM(F361&amp;""))-1),코드표!$J$2:$J$101,0)),ISNUMBER(MATCH(TRIM(RIGHT(SUBSTITUTE(TRIM(F361&amp;"")," ",REPT(" ",60)),60)),코드표!$F$2:$F$101,0))),INDEX(코드표!$K$2:$K$101,MATCH(LEFT(TRIM(F361&amp;""),FIND(" ",TRIM(F361&amp;""))-1),코드표!$J$2:$J$101,0))&amp;" "&amp;INDEX(코드표!$G$2:$G$101,MATCH(TRIM(RIGHT(SUBSTITUTE(TRIM(F361&amp;"")," ",REPT(" ",60)),60)),코드표!$F$2:$F$101,0)),"⚠"&amp;TRIM(F361&amp;""))),"⚠"&amp;TRIM(F361&amp;""))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",TRIM(G361&amp;""))-1),코드표!$J$2:$J$101,0)),ISNUMBER(MATCH(TRIM(RIGHT(SUBSTITUTE(TRIM(G361&amp;"")," ",REPT(" ",60)),60)),코드표!$F$2:$F$101,0))),INDEX(코드표!$K$2:$K$101,MATCH(LEFT(TRIM(G361&amp;""),FIND(" ",TRIM(G361&amp;""))-1),코드표!$J$2:$J$101,0))&amp;" "&amp;INDEX(코드표!$G$2:$G$101,MATCH(TRIM(RIGHT(SUBSTITUTE(TRIM(G361&amp;"")," ",REPT(" ",60)),60)),코드표!$F$2:$F$101,0)),"⚠"&amp;TRIM(G361&amp;""))),"⚠"&amp;TRIM(G361&amp;""))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",TRIM(H361&amp;""))-1),코드표!$J$2:$J$101,0)),ISNUMBER(MATCH(TRIM(RIGHT(SUBSTITUTE(TRIM(H361&amp;"")," ",REPT(" ",60)),60)),코드표!$F$2:$F$101,0))),INDEX(코드표!$K$2:$K$101,MATCH(LEFT(TRIM(H361&amp;""),FIND(" ",TRIM(H361&amp;""))-1),코드표!$J$2:$J$101,0))&amp;" "&amp;INDEX(코드표!$G$2:$G$101,MATCH(TRIM(RIGHT(SUBSTITUTE(TRIM(H361&amp;"")," ",REPT(" ",60)),60)),코드표!$F$2:$F$101,0)),"⚠"&amp;TRIM(H361&amp;""))),"⚠"&amp;TRIM(H361&amp;""))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",TRIM(I361&amp;""))-1),코드표!$J$2:$J$101,0)),ISNUMBER(MATCH(TRIM(RIGHT(SUBSTITUTE(TRIM(I361&amp;"")," ",REPT(" ",60)),60)),코드표!$F$2:$F$101,0))),INDEX(코드표!$K$2:$K$101,MATCH(LEFT(TRIM(I361&amp;""),FIND(" ",TRIM(I361&amp;""))-1),코드표!$J$2:$J$101,0))&amp;" "&amp;INDEX(코드표!$G$2:$G$101,MATCH(TRIM(RIGHT(SUBSTITUTE(TRIM(I361&amp;"")," ",REPT(" ",60)),60)),코드표!$F$2:$F$101,0)),"⚠"&amp;TRIM(I361&amp;""))),"⚠"&amp;TRIM(I361&amp;""))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",TRIM(J361&amp;""))-1),코드표!$J$2:$J$101,0)),ISNUMBER(MATCH(TRIM(RIGHT(SUBSTITUTE(TRIM(J361&amp;"")," ",REPT(" ",60)),60)),코드표!$F$2:$F$101,0))),INDEX(코드표!$K$2:$K$101,MATCH(LEFT(TRIM(J361&amp;""),FIND(" ",TRIM(J361&amp;""))-1),코드표!$J$2:$J$101,0))&amp;" "&amp;INDEX(코드표!$G$2:$G$101,MATCH(TRIM(RIGHT(SUBSTITUTE(TRIM(J361&amp;"")," ",REPT(" ",60)),60)),코드표!$F$2:$F$101,0)),"⚠"&amp;TRIM(J361&amp;""))),"⚠"&amp;TRIM(J361&amp;""))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",TRIM(E362&amp;""))-1),코드표!$J$2:$J$101,0)),ISNUMBER(MATCH(TRIM(RIGHT(SUBSTITUTE(TRIM(E362&amp;"")," ",REPT(" ",60)),60)),코드표!$F$2:$F$101,0))),INDEX(코드표!$K$2:$K$101,MATCH(LEFT(TRIM(E362&amp;""),FIND(" ",TRIM(E362&amp;""))-1),코드표!$J$2:$J$101,0))&amp;" "&amp;INDEX(코드표!$G$2:$G$101,MATCH(TRIM(RIGHT(SUBSTITUTE(TRIM(E362&amp;"")," ",REPT(" ",60)),60)),코드표!$F$2:$F$101,0)),"⚠"&amp;TRIM(E362&amp;""))),"⚠"&amp;TRIM(E362&amp;""))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",TRIM(F362&amp;""))-1),코드표!$J$2:$J$101,0)),ISNUMBER(MATCH(TRIM(RIGHT(SUBSTITUTE(TRIM(F362&amp;"")," ",REPT(" ",60)),60)),코드표!$F$2:$F$101,0))),INDEX(코드표!$K$2:$K$101,MATCH(LEFT(TRIM(F362&amp;""),FIND(" ",TRIM(F362&amp;""))-1),코드표!$J$2:$J$101,0))&amp;" "&amp;INDEX(코드표!$G$2:$G$101,MATCH(TRIM(RIGHT(SUBSTITUTE(TRIM(F362&amp;"")," ",REPT(" ",60)),60)),코드표!$F$2:$F$101,0)),"⚠"&amp;TRIM(F362&amp;""))),"⚠"&amp;TRIM(F362&amp;""))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",TRIM(G362&amp;""))-1),코드표!$J$2:$J$101,0)),ISNUMBER(MATCH(TRIM(RIGHT(SUBSTITUTE(TRIM(G362&amp;"")," ",REPT(" ",60)),60)),코드표!$F$2:$F$101,0))),INDEX(코드표!$K$2:$K$101,MATCH(LEFT(TRIM(G362&amp;""),FIND(" ",TRIM(G362&amp;""))-1),코드표!$J$2:$J$101,0))&amp;" "&amp;INDEX(코드표!$G$2:$G$101,MATCH(TRIM(RIGHT(SUBSTITUTE(TRIM(G362&amp;"")," ",REPT(" ",60)),60)),코드표!$F$2:$F$101,0)),"⚠"&amp;TRIM(G362&amp;""))),"⚠"&amp;TRIM(G362&amp;""))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",TRIM(H362&amp;""))-1),코드표!$J$2:$J$101,0)),ISNUMBER(MATCH(TRIM(RIGHT(SUBSTITUTE(TRIM(H362&amp;"")," ",REPT(" ",60)),60)),코드표!$F$2:$F$101,0))),INDEX(코드표!$K$2:$K$101,MATCH(LEFT(TRIM(H362&amp;""),FIND(" ",TRIM(H362&amp;""))-1),코드표!$J$2:$J$101,0))&amp;" "&amp;INDEX(코드표!$G$2:$G$101,MATCH(TRIM(RIGHT(SUBSTITUTE(TRIM(H362&amp;"")," ",REPT(" ",60)),60)),코드표!$F$2:$F$101,0)),"⚠"&amp;TRIM(H362&amp;""))),"⚠"&amp;TRIM(H362&amp;""))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",TRIM(I362&amp;""))-1),코드표!$J$2:$J$101,0)),ISNUMBER(MATCH(TRIM(RIGHT(SUBSTITUTE(TRIM(I362&amp;"")," ",REPT(" ",60)),60)),코드표!$F$2:$F$101,0))),INDEX(코드표!$K$2:$K$101,MATCH(LEFT(TRIM(I362&amp;""),FIND(" ",TRIM(I362&amp;""))-1),코드표!$J$2:$J$101,0))&amp;" "&amp;INDEX(코드표!$G$2:$G$101,MATCH(TRIM(RIGHT(SUBSTITUTE(TRIM(I362&amp;"")," ",REPT(" ",60)),60)),코드표!$F$2:$F$101,0)),"⚠"&amp;TRIM(I362&amp;""))),"⚠"&amp;TRIM(I362&amp;""))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",TRIM(J362&amp;""))-1),코드표!$J$2:$J$101,0)),ISNUMBER(MATCH(TRIM(RIGHT(SUBSTITUTE(TRIM(J362&amp;"")," ",REPT(" ",60)),60)),코드표!$F$2:$F$101,0))),INDEX(코드표!$K$2:$K$101,MATCH(LEFT(TRIM(J362&amp;""),FIND(" ",TRIM(J362&amp;""))-1),코드표!$J$2:$J$101,0))&amp;" "&amp;INDEX(코드표!$G$2:$G$101,MATCH(TRIM(RIGHT(SUBSTITUTE(TRIM(J362&amp;"")," ",REPT(" ",60)),60)),코드표!$F$2:$F$101,0)),"⚠"&amp;TRIM(J362&amp;""))),"⚠"&amp;TRIM(J362&amp;""))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",TRIM(E363&amp;""))-1),코드표!$J$2:$J$101,0)),ISNUMBER(MATCH(TRIM(RIGHT(SUBSTITUTE(TRIM(E363&amp;"")," ",REPT(" ",60)),60)),코드표!$F$2:$F$101,0))),INDEX(코드표!$K$2:$K$101,MATCH(LEFT(TRIM(E363&amp;""),FIND(" ",TRIM(E363&amp;""))-1),코드표!$J$2:$J$101,0))&amp;" "&amp;INDEX(코드표!$G$2:$G$101,MATCH(TRIM(RIGHT(SUBSTITUTE(TRIM(E363&amp;"")," ",REPT(" ",60)),60)),코드표!$F$2:$F$101,0)),"⚠"&amp;TRIM(E363&amp;""))),"⚠"&amp;TRIM(E363&amp;""))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",TRIM(F363&amp;""))-1),코드표!$J$2:$J$101,0)),ISNUMBER(MATCH(TRIM(RIGHT(SUBSTITUTE(TRIM(F363&amp;"")," ",REPT(" ",60)),60)),코드표!$F$2:$F$101,0))),INDEX(코드표!$K$2:$K$101,MATCH(LEFT(TRIM(F363&amp;""),FIND(" ",TRIM(F363&amp;""))-1),코드표!$J$2:$J$101,0))&amp;" "&amp;INDEX(코드표!$G$2:$G$101,MATCH(TRIM(RIGHT(SUBSTITUTE(TRIM(F363&amp;"")," ",REPT(" ",60)),60)),코드표!$F$2:$F$101,0)),"⚠"&amp;TRIM(F363&amp;""))),"⚠"&amp;TRIM(F363&amp;""))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",TRIM(G363&amp;""))-1),코드표!$J$2:$J$101,0)),ISNUMBER(MATCH(TRIM(RIGHT(SUBSTITUTE(TRIM(G363&amp;"")," ",REPT(" ",60)),60)),코드표!$F$2:$F$101,0))),INDEX(코드표!$K$2:$K$101,MATCH(LEFT(TRIM(G363&amp;""),FIND(" ",TRIM(G363&amp;""))-1),코드표!$J$2:$J$101,0))&amp;" "&amp;INDEX(코드표!$G$2:$G$101,MATCH(TRIM(RIGHT(SUBSTITUTE(TRIM(G363&amp;"")," ",REPT(" ",60)),60)),코드표!$F$2:$F$101,0)),"⚠"&amp;TRIM(G363&amp;""))),"⚠"&amp;TRIM(G363&amp;""))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",TRIM(H363&amp;""))-1),코드표!$J$2:$J$101,0)),ISNUMBER(MATCH(TRIM(RIGHT(SUBSTITUTE(TRIM(H363&amp;"")," ",REPT(" ",60)),60)),코드표!$F$2:$F$101,0))),INDEX(코드표!$K$2:$K$101,MATCH(LEFT(TRIM(H363&amp;""),FIND(" ",TRIM(H363&amp;""))-1),코드표!$J$2:$J$101,0))&amp;" "&amp;INDEX(코드표!$G$2:$G$101,MATCH(TRIM(RIGHT(SUBSTITUTE(TRIM(H363&amp;"")," ",REPT(" ",60)),60)),코드표!$F$2:$F$101,0)),"⚠"&amp;TRIM(H363&amp;""))),"⚠"&amp;TRIM(H363&amp;""))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",TRIM(I363&amp;""))-1),코드표!$J$2:$J$101,0)),ISNUMBER(MATCH(TRIM(RIGHT(SUBSTITUTE(TRIM(I363&amp;"")," ",REPT(" ",60)),60)),코드표!$F$2:$F$101,0))),INDEX(코드표!$K$2:$K$101,MATCH(LEFT(TRIM(I363&amp;""),FIND(" ",TRIM(I363&amp;""))-1),코드표!$J$2:$J$101,0))&amp;" "&amp;INDEX(코드표!$G$2:$G$101,MATCH(TRIM(RIGHT(SUBSTITUTE(TRIM(I363&amp;"")," ",REPT(" ",60)),60)),코드표!$F$2:$F$101,0)),"⚠"&amp;TRIM(I363&amp;""))),"⚠"&amp;TRIM(I363&amp;""))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",TRIM(J363&amp;""))-1),코드표!$J$2:$J$101,0)),ISNUMBER(MATCH(TRIM(RIGHT(SUBSTITUTE(TRIM(J363&amp;"")," ",REPT(" ",60)),60)),코드표!$F$2:$F$101,0))),INDEX(코드표!$K$2:$K$101,MATCH(LEFT(TRIM(J363&amp;""),FIND(" ",TRIM(J363&amp;""))-1),코드표!$J$2:$J$101,0))&amp;" "&amp;INDEX(코드표!$G$2:$G$101,MATCH(TRIM(RIGHT(SUBSTITUTE(TRIM(J363&amp;"")," ",REPT(" ",60)),60)),코드표!$F$2:$F$101,0)),"⚠"&amp;TRIM(J363&amp;""))),"⚠"&amp;TRIM(J363&amp;""))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",TRIM(E364&amp;""))-1),코드표!$J$2:$J$101,0)),ISNUMBER(MATCH(TRIM(RIGHT(SUBSTITUTE(TRIM(E364&amp;"")," ",REPT(" ",60)),60)),코드표!$F$2:$F$101,0))),INDEX(코드표!$K$2:$K$101,MATCH(LEFT(TRIM(E364&amp;""),FIND(" ",TRIM(E364&amp;""))-1),코드표!$J$2:$J$101,0))&amp;" "&amp;INDEX(코드표!$G$2:$G$101,MATCH(TRIM(RIGHT(SUBSTITUTE(TRIM(E364&amp;"")," ",REPT(" ",60)),60)),코드표!$F$2:$F$101,0)),"⚠"&amp;TRIM(E364&amp;""))),"⚠"&amp;TRIM(E364&amp;""))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",TRIM(F364&amp;""))-1),코드표!$J$2:$J$101,0)),ISNUMBER(MATCH(TRIM(RIGHT(SUBSTITUTE(TRIM(F364&amp;"")," ",REPT(" ",60)),60)),코드표!$F$2:$F$101,0))),INDEX(코드표!$K$2:$K$101,MATCH(LEFT(TRIM(F364&amp;""),FIND(" ",TRIM(F364&amp;""))-1),코드표!$J$2:$J$101,0))&amp;" "&amp;INDEX(코드표!$G$2:$G$101,MATCH(TRIM(RIGHT(SUBSTITUTE(TRIM(F364&amp;"")," ",REPT(" ",60)),60)),코드표!$F$2:$F$101,0)),"⚠"&amp;TRIM(F364&amp;""))),"⚠"&amp;TRIM(F364&amp;""))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",TRIM(G364&amp;""))-1),코드표!$J$2:$J$101,0)),ISNUMBER(MATCH(TRIM(RIGHT(SUBSTITUTE(TRIM(G364&amp;"")," ",REPT(" ",60)),60)),코드표!$F$2:$F$101,0))),INDEX(코드표!$K$2:$K$101,MATCH(LEFT(TRIM(G364&amp;""),FIND(" ",TRIM(G364&amp;""))-1),코드표!$J$2:$J$101,0))&amp;" "&amp;INDEX(코드표!$G$2:$G$101,MATCH(TRIM(RIGHT(SUBSTITUTE(TRIM(G364&amp;"")," ",REPT(" ",60)),60)),코드표!$F$2:$F$101,0)),"⚠"&amp;TRIM(G364&amp;""))),"⚠"&amp;TRIM(G364&amp;""))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",TRIM(H364&amp;""))-1),코드표!$J$2:$J$101,0)),ISNUMBER(MATCH(TRIM(RIGHT(SUBSTITUTE(TRIM(H364&amp;"")," ",REPT(" ",60)),60)),코드표!$F$2:$F$101,0))),INDEX(코드표!$K$2:$K$101,MATCH(LEFT(TRIM(H364&amp;""),FIND(" ",TRIM(H364&amp;""))-1),코드표!$J$2:$J$101,0))&amp;" "&amp;INDEX(코드표!$G$2:$G$101,MATCH(TRIM(RIGHT(SUBSTITUTE(TRIM(H364&amp;"")," ",REPT(" ",60)),60)),코드표!$F$2:$F$101,0)),"⚠"&amp;TRIM(H364&amp;""))),"⚠"&amp;TRIM(H364&amp;""))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",TRIM(I364&amp;""))-1),코드표!$J$2:$J$101,0)),ISNUMBER(MATCH(TRIM(RIGHT(SUBSTITUTE(TRIM(I364&amp;"")," ",REPT(" ",60)),60)),코드표!$F$2:$F$101,0))),INDEX(코드표!$K$2:$K$101,MATCH(LEFT(TRIM(I364&amp;""),FIND(" ",TRIM(I364&amp;""))-1),코드표!$J$2:$J$101,0))&amp;" "&amp;INDEX(코드표!$G$2:$G$101,MATCH(TRIM(RIGHT(SUBSTITUTE(TRIM(I364&amp;"")," ",REPT(" ",60)),60)),코드표!$F$2:$F$101,0)),"⚠"&amp;TRIM(I364&amp;""))),"⚠"&amp;TRIM(I364&amp;""))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",TRIM(J364&amp;""))-1),코드표!$J$2:$J$101,0)),ISNUMBER(MATCH(TRIM(RIGHT(SUBSTITUTE(TRIM(J364&amp;"")," ",REPT(" ",60)),60)),코드표!$F$2:$F$101,0))),INDEX(코드표!$K$2:$K$101,MATCH(LEFT(TRIM(J364&amp;""),FIND(" ",TRIM(J364&amp;""))-1),코드표!$J$2:$J$101,0))&amp;" "&amp;INDEX(코드표!$G$2:$G$101,MATCH(TRIM(RIGHT(SUBSTITUTE(TRIM(J364&amp;"")," ",REPT(" ",60)),60)),코드표!$F$2:$F$101,0)),"⚠"&amp;TRIM(J364&amp;""))),"⚠"&amp;TRIM(J364&amp;""))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",TRIM(E365&amp;""))-1),코드표!$J$2:$J$101,0)),ISNUMBER(MATCH(TRIM(RIGHT(SUBSTITUTE(TRIM(E365&amp;"")," ",REPT(" ",60)),60)),코드표!$F$2:$F$101,0))),INDEX(코드표!$K$2:$K$101,MATCH(LEFT(TRIM(E365&amp;""),FIND(" ",TRIM(E365&amp;""))-1),코드표!$J$2:$J$101,0))&amp;" "&amp;INDEX(코드표!$G$2:$G$101,MATCH(TRIM(RIGHT(SUBSTITUTE(TRIM(E365&amp;"")," ",REPT(" ",60)),60)),코드표!$F$2:$F$101,0)),"⚠"&amp;TRIM(E365&amp;""))),"⚠"&amp;TRIM(E365&amp;""))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",TRIM(F365&amp;""))-1),코드표!$J$2:$J$101,0)),ISNUMBER(MATCH(TRIM(RIGHT(SUBSTITUTE(TRIM(F365&amp;"")," ",REPT(" ",60)),60)),코드표!$F$2:$F$101,0))),INDEX(코드표!$K$2:$K$101,MATCH(LEFT(TRIM(F365&amp;""),FIND(" ",TRIM(F365&amp;""))-1),코드표!$J$2:$J$101,0))&amp;" "&amp;INDEX(코드표!$G$2:$G$101,MATCH(TRIM(RIGHT(SUBSTITUTE(TRIM(F365&amp;"")," ",REPT(" ",60)),60)),코드표!$F$2:$F$101,0)),"⚠"&amp;TRIM(F365&amp;""))),"⚠"&amp;TRIM(F365&amp;""))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",TRIM(G365&amp;""))-1),코드표!$J$2:$J$101,0)),ISNUMBER(MATCH(TRIM(RIGHT(SUBSTITUTE(TRIM(G365&amp;"")," ",REPT(" ",60)),60)),코드표!$F$2:$F$101,0))),INDEX(코드표!$K$2:$K$101,MATCH(LEFT(TRIM(G365&amp;""),FIND(" ",TRIM(G365&amp;""))-1),코드표!$J$2:$J$101,0))&amp;" "&amp;INDEX(코드표!$G$2:$G$101,MATCH(TRIM(RIGHT(SUBSTITUTE(TRIM(G365&amp;"")," ",REPT(" ",60)),60)),코드표!$F$2:$F$101,0)),"⚠"&amp;TRIM(G365&amp;""))),"⚠"&amp;TRIM(G365&amp;""))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",TRIM(H365&amp;""))-1),코드표!$J$2:$J$101,0)),ISNUMBER(MATCH(TRIM(RIGHT(SUBSTITUTE(TRIM(H365&amp;"")," ",REPT(" ",60)),60)),코드표!$F$2:$F$101,0))),INDEX(코드표!$K$2:$K$101,MATCH(LEFT(TRIM(H365&amp;""),FIND(" ",TRIM(H365&amp;""))-1),코드표!$J$2:$J$101,0))&amp;" "&amp;INDEX(코드표!$G$2:$G$101,MATCH(TRIM(RIGHT(SUBSTITUTE(TRIM(H365&amp;"")," ",REPT(" ",60)),60)),코드표!$F$2:$F$101,0)),"⚠"&amp;TRIM(H365&amp;""))),"⚠"&amp;TRIM(H365&amp;""))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",TRIM(I365&amp;""))-1),코드표!$J$2:$J$101,0)),ISNUMBER(MATCH(TRIM(RIGHT(SUBSTITUTE(TRIM(I365&amp;"")," ",REPT(" ",60)),60)),코드표!$F$2:$F$101,0))),INDEX(코드표!$K$2:$K$101,MATCH(LEFT(TRIM(I365&amp;""),FIND(" ",TRIM(I365&amp;""))-1),코드표!$J$2:$J$101,0))&amp;" "&amp;INDEX(코드표!$G$2:$G$101,MATCH(TRIM(RIGHT(SUBSTITUTE(TRIM(I365&amp;"")," ",REPT(" ",60)),60)),코드표!$F$2:$F$101,0)),"⚠"&amp;TRIM(I365&amp;""))),"⚠"&amp;TRIM(I365&amp;""))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",TRIM(J365&amp;""))-1),코드표!$J$2:$J$101,0)),ISNUMBER(MATCH(TRIM(RIGHT(SUBSTITUTE(TRIM(J365&amp;"")," ",REPT(" ",60)),60)),코드표!$F$2:$F$101,0))),INDEX(코드표!$K$2:$K$101,MATCH(LEFT(TRIM(J365&amp;""),FIND(" ",TRIM(J365&amp;""))-1),코드표!$J$2:$J$101,0))&amp;" "&amp;INDEX(코드표!$G$2:$G$101,MATCH(TRIM(RIGHT(SUBSTITUTE(TRIM(J365&amp;"")," ",REPT(" ",60)),60)),코드표!$F$2:$F$101,0)),"⚠"&amp;TRIM(J365&amp;""))),"⚠"&amp;TRIM(J365&amp;""))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",TRIM(E366&amp;""))-1),코드표!$J$2:$J$101,0)),ISNUMBER(MATCH(TRIM(RIGHT(SUBSTITUTE(TRIM(E366&amp;"")," ",REPT(" ",60)),60)),코드표!$F$2:$F$101,0))),INDEX(코드표!$K$2:$K$101,MATCH(LEFT(TRIM(E366&amp;""),FIND(" ",TRIM(E366&amp;""))-1),코드표!$J$2:$J$101,0))&amp;" "&amp;INDEX(코드표!$G$2:$G$101,MATCH(TRIM(RIGHT(SUBSTITUTE(TRIM(E366&amp;"")," ",REPT(" ",60)),60)),코드표!$F$2:$F$101,0)),"⚠"&amp;TRIM(E366&amp;""))),"⚠"&amp;TRIM(E366&amp;""))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",TRIM(F366&amp;""))-1),코드표!$J$2:$J$101,0)),ISNUMBER(MATCH(TRIM(RIGHT(SUBSTITUTE(TRIM(F366&amp;"")," ",REPT(" ",60)),60)),코드표!$F$2:$F$101,0))),INDEX(코드표!$K$2:$K$101,MATCH(LEFT(TRIM(F366&amp;""),FIND(" ",TRIM(F366&amp;""))-1),코드표!$J$2:$J$101,0))&amp;" "&amp;INDEX(코드표!$G$2:$G$101,MATCH(TRIM(RIGHT(SUBSTITUTE(TRIM(F366&amp;"")," ",REPT(" ",60)),60)),코드표!$F$2:$F$101,0)),"⚠"&amp;TRIM(F366&amp;""))),"⚠"&amp;TRIM(F366&amp;""))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",TRIM(G366&amp;""))-1),코드표!$J$2:$J$101,0)),ISNUMBER(MATCH(TRIM(RIGHT(SUBSTITUTE(TRIM(G366&amp;"")," ",REPT(" ",60)),60)),코드표!$F$2:$F$101,0))),INDEX(코드표!$K$2:$K$101,MATCH(LEFT(TRIM(G366&amp;""),FIND(" ",TRIM(G366&amp;""))-1),코드표!$J$2:$J$101,0))&amp;" "&amp;INDEX(코드표!$G$2:$G$101,MATCH(TRIM(RIGHT(SUBSTITUTE(TRIM(G366&amp;"")," ",REPT(" ",60)),60)),코드표!$F$2:$F$101,0)),"⚠"&amp;TRIM(G366&amp;""))),"⚠"&amp;TRIM(G366&amp;""))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",TRIM(H366&amp;""))-1),코드표!$J$2:$J$101,0)),ISNUMBER(MATCH(TRIM(RIGHT(SUBSTITUTE(TRIM(H366&amp;"")," ",REPT(" ",60)),60)),코드표!$F$2:$F$101,0))),INDEX(코드표!$K$2:$K$101,MATCH(LEFT(TRIM(H366&amp;""),FIND(" ",TRIM(H366&amp;""))-1),코드표!$J$2:$J$101,0))&amp;" "&amp;INDEX(코드표!$G$2:$G$101,MATCH(TRIM(RIGHT(SUBSTITUTE(TRIM(H366&amp;"")," ",REPT(" ",60)),60)),코드표!$F$2:$F$101,0)),"⚠"&amp;TRIM(H366&amp;""))),"⚠"&amp;TRIM(H366&amp;""))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",TRIM(I366&amp;""))-1),코드표!$J$2:$J$101,0)),ISNUMBER(MATCH(TRIM(RIGHT(SUBSTITUTE(TRIM(I366&amp;"")," ",REPT(" ",60)),60)),코드표!$F$2:$F$101,0))),INDEX(코드표!$K$2:$K$101,MATCH(LEFT(TRIM(I366&amp;""),FIND(" ",TRIM(I366&amp;""))-1),코드표!$J$2:$J$101,0))&amp;" "&amp;INDEX(코드표!$G$2:$G$101,MATCH(TRIM(RIGHT(SUBSTITUTE(TRIM(I366&amp;"")," ",REPT(" ",60)),60)),코드표!$F$2:$F$101,0)),"⚠"&amp;TRIM(I366&amp;""))),"⚠"&amp;TRIM(I366&amp;""))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",TRIM(J366&amp;""))-1),코드표!$J$2:$J$101,0)),ISNUMBER(MATCH(TRIM(RIGHT(SUBSTITUTE(TRIM(J366&amp;"")," ",REPT(" ",60)),60)),코드표!$F$2:$F$101,0))),INDEX(코드표!$K$2:$K$101,MATCH(LEFT(TRIM(J366&amp;""),FIND(" ",TRIM(J366&amp;""))-1),코드표!$J$2:$J$101,0))&amp;" "&amp;INDEX(코드표!$G$2:$G$101,MATCH(TRIM(RIGHT(SUBSTITUTE(TRIM(J366&amp;"")," ",REPT(" ",60)),60)),코드표!$F$2:$F$101,0)),"⚠"&amp;TRIM(J366&amp;""))),"⚠"&amp;TRIM(J366&amp;""))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",TRIM(E367&amp;""))-1),코드표!$J$2:$J$101,0)),ISNUMBER(MATCH(TRIM(RIGHT(SUBSTITUTE(TRIM(E367&amp;"")," ",REPT(" ",60)),60)),코드표!$F$2:$F$101,0))),INDEX(코드표!$K$2:$K$101,MATCH(LEFT(TRIM(E367&amp;""),FIND(" ",TRIM(E367&amp;""))-1),코드표!$J$2:$J$101,0))&amp;" "&amp;INDEX(코드표!$G$2:$G$101,MATCH(TRIM(RIGHT(SUBSTITUTE(TRIM(E367&amp;"")," ",REPT(" ",60)),60)),코드표!$F$2:$F$101,0)),"⚠"&amp;TRIM(E367&amp;""))),"⚠"&amp;TRIM(E367&amp;""))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",TRIM(F367&amp;""))-1),코드표!$J$2:$J$101,0)),ISNUMBER(MATCH(TRIM(RIGHT(SUBSTITUTE(TRIM(F367&amp;"")," ",REPT(" ",60)),60)),코드표!$F$2:$F$101,0))),INDEX(코드표!$K$2:$K$101,MATCH(LEFT(TRIM(F367&amp;""),FIND(" ",TRIM(F367&amp;""))-1),코드표!$J$2:$J$101,0))&amp;" "&amp;INDEX(코드표!$G$2:$G$101,MATCH(TRIM(RIGHT(SUBSTITUTE(TRIM(F367&amp;"")," ",REPT(" ",60)),60)),코드표!$F$2:$F$101,0)),"⚠"&amp;TRIM(F367&amp;""))),"⚠"&amp;TRIM(F367&amp;""))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",TRIM(G367&amp;""))-1),코드표!$J$2:$J$101,0)),ISNUMBER(MATCH(TRIM(RIGHT(SUBSTITUTE(TRIM(G367&amp;"")," ",REPT(" ",60)),60)),코드표!$F$2:$F$101,0))),INDEX(코드표!$K$2:$K$101,MATCH(LEFT(TRIM(G367&amp;""),FIND(" ",TRIM(G367&amp;""))-1),코드표!$J$2:$J$101,0))&amp;" "&amp;INDEX(코드표!$G$2:$G$101,MATCH(TRIM(RIGHT(SUBSTITUTE(TRIM(G367&amp;"")," ",REPT(" ",60)),60)),코드표!$F$2:$F$101,0)),"⚠"&amp;TRIM(G367&amp;""))),"⚠"&amp;TRIM(G367&amp;""))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",TRIM(H367&amp;""))-1),코드표!$J$2:$J$101,0)),ISNUMBER(MATCH(TRIM(RIGHT(SUBSTITUTE(TRIM(H367&amp;"")," ",REPT(" ",60)),60)),코드표!$F$2:$F$101,0))),INDEX(코드표!$K$2:$K$101,MATCH(LEFT(TRIM(H367&amp;""),FIND(" ",TRIM(H367&amp;""))-1),코드표!$J$2:$J$101,0))&amp;" "&amp;INDEX(코드표!$G$2:$G$101,MATCH(TRIM(RIGHT(SUBSTITUTE(TRIM(H367&amp;"")," ",REPT(" ",60)),60)),코드표!$F$2:$F$101,0)),"⚠"&amp;TRIM(H367&amp;""))),"⚠"&amp;TRIM(H367&amp;""))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",TRIM(I367&amp;""))-1),코드표!$J$2:$J$101,0)),ISNUMBER(MATCH(TRIM(RIGHT(SUBSTITUTE(TRIM(I367&amp;"")," ",REPT(" ",60)),60)),코드표!$F$2:$F$101,0))),INDEX(코드표!$K$2:$K$101,MATCH(LEFT(TRIM(I367&amp;""),FIND(" ",TRIM(I367&amp;""))-1),코드표!$J$2:$J$101,0))&amp;" "&amp;INDEX(코드표!$G$2:$G$101,MATCH(TRIM(RIGHT(SUBSTITUTE(TRIM(I367&amp;"")," ",REPT(" ",60)),60)),코드표!$F$2:$F$101,0)),"⚠"&amp;TRIM(I367&amp;""))),"⚠"&amp;TRIM(I367&amp;""))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",TRIM(J367&amp;""))-1),코드표!$J$2:$J$101,0)),ISNUMBER(MATCH(TRIM(RIGHT(SUBSTITUTE(TRIM(J367&amp;"")," ",REPT(" ",60)),60)),코드표!$F$2:$F$101,0))),INDEX(코드표!$K$2:$K$101,MATCH(LEFT(TRIM(J367&amp;""),FIND(" ",TRIM(J367&amp;""))-1),코드표!$J$2:$J$101,0))&amp;" "&amp;INDEX(코드표!$G$2:$G$101,MATCH(TRIM(RIGHT(SUBSTITUTE(TRIM(J367&amp;"")," ",REPT(" ",60)),60)),코드표!$F$2:$F$101,0)),"⚠"&amp;TRIM(J367&amp;""))),"⚠"&amp;TRIM(J367&amp;""))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",TRIM(E368&amp;""))-1),코드표!$J$2:$J$101,0)),ISNUMBER(MATCH(TRIM(RIGHT(SUBSTITUTE(TRIM(E368&amp;"")," ",REPT(" ",60)),60)),코드표!$F$2:$F$101,0))),INDEX(코드표!$K$2:$K$101,MATCH(LEFT(TRIM(E368&amp;""),FIND(" ",TRIM(E368&amp;""))-1),코드표!$J$2:$J$101,0))&amp;" "&amp;INDEX(코드표!$G$2:$G$101,MATCH(TRIM(RIGHT(SUBSTITUTE(TRIM(E368&amp;"")," ",REPT(" ",60)),60)),코드표!$F$2:$F$101,0)),"⚠"&amp;TRIM(E368&amp;""))),"⚠"&amp;TRIM(E368&amp;""))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",TRIM(F368&amp;""))-1),코드표!$J$2:$J$101,0)),ISNUMBER(MATCH(TRIM(RIGHT(SUBSTITUTE(TRIM(F368&amp;"")," ",REPT(" ",60)),60)),코드표!$F$2:$F$101,0))),INDEX(코드표!$K$2:$K$101,MATCH(LEFT(TRIM(F368&amp;""),FIND(" ",TRIM(F368&amp;""))-1),코드표!$J$2:$J$101,0))&amp;" "&amp;INDEX(코드표!$G$2:$G$101,MATCH(TRIM(RIGHT(SUBSTITUTE(TRIM(F368&amp;"")," ",REPT(" ",60)),60)),코드표!$F$2:$F$101,0)),"⚠"&amp;TRIM(F368&amp;""))),"⚠"&amp;TRIM(F368&amp;""))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",TRIM(G368&amp;""))-1),코드표!$J$2:$J$101,0)),ISNUMBER(MATCH(TRIM(RIGHT(SUBSTITUTE(TRIM(G368&amp;"")," ",REPT(" ",60)),60)),코드표!$F$2:$F$101,0))),INDEX(코드표!$K$2:$K$101,MATCH(LEFT(TRIM(G368&amp;""),FIND(" ",TRIM(G368&amp;""))-1),코드표!$J$2:$J$101,0))&amp;" "&amp;INDEX(코드표!$G$2:$G$101,MATCH(TRIM(RIGHT(SUBSTITUTE(TRIM(G368&amp;"")," ",REPT(" ",60)),60)),코드표!$F$2:$F$101,0)),"⚠"&amp;TRIM(G368&amp;""))),"⚠"&amp;TRIM(G368&amp;""))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",TRIM(H368&amp;""))-1),코드표!$J$2:$J$101,0)),ISNUMBER(MATCH(TRIM(RIGHT(SUBSTITUTE(TRIM(H368&amp;"")," ",REPT(" ",60)),60)),코드표!$F$2:$F$101,0))),INDEX(코드표!$K$2:$K$101,MATCH(LEFT(TRIM(H368&amp;""),FIND(" ",TRIM(H368&amp;""))-1),코드표!$J$2:$J$101,0))&amp;" "&amp;INDEX(코드표!$G$2:$G$101,MATCH(TRIM(RIGHT(SUBSTITUTE(TRIM(H368&amp;"")," ",REPT(" ",60)),60)),코드표!$F$2:$F$101,0)),"⚠"&amp;TRIM(H368&amp;""))),"⚠"&amp;TRIM(H368&amp;""))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",TRIM(I368&amp;""))-1),코드표!$J$2:$J$101,0)),ISNUMBER(MATCH(TRIM(RIGHT(SUBSTITUTE(TRIM(I368&amp;"")," ",REPT(" ",60)),60)),코드표!$F$2:$F$101,0))),INDEX(코드표!$K$2:$K$101,MATCH(LEFT(TRIM(I368&amp;""),FIND(" ",TRIM(I368&amp;""))-1),코드표!$J$2:$J$101,0))&amp;" "&amp;INDEX(코드표!$G$2:$G$101,MATCH(TRIM(RIGHT(SUBSTITUTE(TRIM(I368&amp;"")," ",REPT(" ",60)),60)),코드표!$F$2:$F$101,0)),"⚠"&amp;TRIM(I368&amp;""))),"⚠"&amp;TRIM(I368&amp;""))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",TRIM(J368&amp;""))-1),코드표!$J$2:$J$101,0)),ISNUMBER(MATCH(TRIM(RIGHT(SUBSTITUTE(TRIM(J368&amp;"")," ",REPT(" ",60)),60)),코드표!$F$2:$F$101,0))),INDEX(코드표!$K$2:$K$101,MATCH(LEFT(TRIM(J368&amp;""),FIND(" ",TRIM(J368&amp;""))-1),코드표!$J$2:$J$101,0))&amp;" "&amp;INDEX(코드표!$G$2:$G$101,MATCH(TRIM(RIGHT(SUBSTITUTE(TRIM(J368&amp;"")," ",REPT(" ",60)),60)),코드표!$F$2:$F$101,0)),"⚠"&amp;TRIM(J368&amp;""))),"⚠"&amp;TRIM(J368&amp;""))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",TRIM(E369&amp;""))-1),코드표!$J$2:$J$101,0)),ISNUMBER(MATCH(TRIM(RIGHT(SUBSTITUTE(TRIM(E369&amp;"")," ",REPT(" ",60)),60)),코드표!$F$2:$F$101,0))),INDEX(코드표!$K$2:$K$101,MATCH(LEFT(TRIM(E369&amp;""),FIND(" ",TRIM(E369&amp;""))-1),코드표!$J$2:$J$101,0))&amp;" "&amp;INDEX(코드표!$G$2:$G$101,MATCH(TRIM(RIGHT(SUBSTITUTE(TRIM(E369&amp;"")," ",REPT(" ",60)),60)),코드표!$F$2:$F$101,0)),"⚠"&amp;TRIM(E369&amp;""))),"⚠"&amp;TRIM(E369&amp;""))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",TRIM(F369&amp;""))-1),코드표!$J$2:$J$101,0)),ISNUMBER(MATCH(TRIM(RIGHT(SUBSTITUTE(TRIM(F369&amp;"")," ",REPT(" ",60)),60)),코드표!$F$2:$F$101,0))),INDEX(코드표!$K$2:$K$101,MATCH(LEFT(TRIM(F369&amp;""),FIND(" ",TRIM(F369&amp;""))-1),코드표!$J$2:$J$101,0))&amp;" "&amp;INDEX(코드표!$G$2:$G$101,MATCH(TRIM(RIGHT(SUBSTITUTE(TRIM(F369&amp;"")," ",REPT(" ",60)),60)),코드표!$F$2:$F$101,0)),"⚠"&amp;TRIM(F369&amp;""))),"⚠"&amp;TRIM(F369&amp;""))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",TRIM(G369&amp;""))-1),코드표!$J$2:$J$101,0)),ISNUMBER(MATCH(TRIM(RIGHT(SUBSTITUTE(TRIM(G369&amp;"")," ",REPT(" ",60)),60)),코드표!$F$2:$F$101,0))),INDEX(코드표!$K$2:$K$101,MATCH(LEFT(TRIM(G369&amp;""),FIND(" ",TRIM(G369&amp;""))-1),코드표!$J$2:$J$101,0))&amp;" "&amp;INDEX(코드표!$G$2:$G$101,MATCH(TRIM(RIGHT(SUBSTITUTE(TRIM(G369&amp;"")," ",REPT(" ",60)),60)),코드표!$F$2:$F$101,0)),"⚠"&amp;TRIM(G369&amp;""))),"⚠"&amp;TRIM(G369&amp;""))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",TRIM(H369&amp;""))-1),코드표!$J$2:$J$101,0)),ISNUMBER(MATCH(TRIM(RIGHT(SUBSTITUTE(TRIM(H369&amp;"")," ",REPT(" ",60)),60)),코드표!$F$2:$F$101,0))),INDEX(코드표!$K$2:$K$101,MATCH(LEFT(TRIM(H369&amp;""),FIND(" ",TRIM(H369&amp;""))-1),코드표!$J$2:$J$101,0))&amp;" "&amp;INDEX(코드표!$G$2:$G$101,MATCH(TRIM(RIGHT(SUBSTITUTE(TRIM(H369&amp;"")," ",REPT(" ",60)),60)),코드표!$F$2:$F$101,0)),"⚠"&amp;TRIM(H369&amp;""))),"⚠"&amp;TRIM(H369&amp;""))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",TRIM(I369&amp;""))-1),코드표!$J$2:$J$101,0)),ISNUMBER(MATCH(TRIM(RIGHT(SUBSTITUTE(TRIM(I369&amp;"")," ",REPT(" ",60)),60)),코드표!$F$2:$F$101,0))),INDEX(코드표!$K$2:$K$101,MATCH(LEFT(TRIM(I369&amp;""),FIND(" ",TRIM(I369&amp;""))-1),코드표!$J$2:$J$101,0))&amp;" "&amp;INDEX(코드표!$G$2:$G$101,MATCH(TRIM(RIGHT(SUBSTITUTE(TRIM(I369&amp;"")," ",REPT(" ",60)),60)),코드표!$F$2:$F$101,0)),"⚠"&amp;TRIM(I369&amp;""))),"⚠"&amp;TRIM(I369&amp;""))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",TRIM(J369&amp;""))-1),코드표!$J$2:$J$101,0)),ISNUMBER(MATCH(TRIM(RIGHT(SUBSTITUTE(TRIM(J369&amp;"")," ",REPT(" ",60)),60)),코드표!$F$2:$F$101,0))),INDEX(코드표!$K$2:$K$101,MATCH(LEFT(TRIM(J369&amp;""),FIND(" ",TRIM(J369&amp;""))-1),코드표!$J$2:$J$101,0))&amp;" "&amp;INDEX(코드표!$G$2:$G$101,MATCH(TRIM(RIGHT(SUBSTITUTE(TRIM(J369&amp;"")," ",REPT(" ",60)),60)),코드표!$F$2:$F$101,0)),"⚠"&amp;TRIM(J369&amp;""))),"⚠"&amp;TRIM(J369&amp;""))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",TRIM(E370&amp;""))-1),코드표!$J$2:$J$101,0)),ISNUMBER(MATCH(TRIM(RIGHT(SUBSTITUTE(TRIM(E370&amp;"")," ",REPT(" ",60)),60)),코드표!$F$2:$F$101,0))),INDEX(코드표!$K$2:$K$101,MATCH(LEFT(TRIM(E370&amp;""),FIND(" ",TRIM(E370&amp;""))-1),코드표!$J$2:$J$101,0))&amp;" "&amp;INDEX(코드표!$G$2:$G$101,MATCH(TRIM(RIGHT(SUBSTITUTE(TRIM(E370&amp;"")," ",REPT(" ",60)),60)),코드표!$F$2:$F$101,0)),"⚠"&amp;TRIM(E370&amp;""))),"⚠"&amp;TRIM(E370&amp;""))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",TRIM(F370&amp;""))-1),코드표!$J$2:$J$101,0)),ISNUMBER(MATCH(TRIM(RIGHT(SUBSTITUTE(TRIM(F370&amp;"")," ",REPT(" ",60)),60)),코드표!$F$2:$F$101,0))),INDEX(코드표!$K$2:$K$101,MATCH(LEFT(TRIM(F370&amp;""),FIND(" ",TRIM(F370&amp;""))-1),코드표!$J$2:$J$101,0))&amp;" "&amp;INDEX(코드표!$G$2:$G$101,MATCH(TRIM(RIGHT(SUBSTITUTE(TRIM(F370&amp;"")," ",REPT(" ",60)),60)),코드표!$F$2:$F$101,0)),"⚠"&amp;TRIM(F370&amp;""))),"⚠"&amp;TRIM(F370&amp;""))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",TRIM(G370&amp;""))-1),코드표!$J$2:$J$101,0)),ISNUMBER(MATCH(TRIM(RIGHT(SUBSTITUTE(TRIM(G370&amp;"")," ",REPT(" ",60)),60)),코드표!$F$2:$F$101,0))),INDEX(코드표!$K$2:$K$101,MATCH(LEFT(TRIM(G370&amp;""),FIND(" ",TRIM(G370&amp;""))-1),코드표!$J$2:$J$101,0))&amp;" "&amp;INDEX(코드표!$G$2:$G$101,MATCH(TRIM(RIGHT(SUBSTITUTE(TRIM(G370&amp;"")," ",REPT(" ",60)),60)),코드표!$F$2:$F$101,0)),"⚠"&amp;TRIM(G370&amp;""))),"⚠"&amp;TRIM(G370&amp;""))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",TRIM(H370&amp;""))-1),코드표!$J$2:$J$101,0)),ISNUMBER(MATCH(TRIM(RIGHT(SUBSTITUTE(TRIM(H370&amp;"")," ",REPT(" ",60)),60)),코드표!$F$2:$F$101,0))),INDEX(코드표!$K$2:$K$101,MATCH(LEFT(TRIM(H370&amp;""),FIND(" ",TRIM(H370&amp;""))-1),코드표!$J$2:$J$101,0))&amp;" "&amp;INDEX(코드표!$G$2:$G$101,MATCH(TRIM(RIGHT(SUBSTITUTE(TRIM(H370&amp;"")," ",REPT(" ",60)),60)),코드표!$F$2:$F$101,0)),"⚠"&amp;TRIM(H370&amp;""))),"⚠"&amp;TRIM(H370&amp;""))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",TRIM(I370&amp;""))-1),코드표!$J$2:$J$101,0)),ISNUMBER(MATCH(TRIM(RIGHT(SUBSTITUTE(TRIM(I370&amp;"")," ",REPT(" ",60)),60)),코드표!$F$2:$F$101,0))),INDEX(코드표!$K$2:$K$101,MATCH(LEFT(TRIM(I370&amp;""),FIND(" ",TRIM(I370&amp;""))-1),코드표!$J$2:$J$101,0))&amp;" "&amp;INDEX(코드표!$G$2:$G$101,MATCH(TRIM(RIGHT(SUBSTITUTE(TRIM(I370&amp;"")," ",REPT(" ",60)),60)),코드표!$F$2:$F$101,0)),"⚠"&amp;TRIM(I370&amp;""))),"⚠"&amp;TRIM(I370&amp;""))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",TRIM(J370&amp;""))-1),코드표!$J$2:$J$101,0)),ISNUMBER(MATCH(TRIM(RIGHT(SUBSTITUTE(TRIM(J370&amp;"")," ",REPT(" ",60)),60)),코드표!$F$2:$F$101,0))),INDEX(코드표!$K$2:$K$101,MATCH(LEFT(TRIM(J370&amp;""),FIND(" ",TRIM(J370&amp;""))-1),코드표!$J$2:$J$101,0))&amp;" "&amp;INDEX(코드표!$G$2:$G$101,MATCH(TRIM(RIGHT(SUBSTITUTE(TRIM(J370&amp;"")," ",REPT(" ",60)),60)),코드표!$F$2:$F$101,0)),"⚠"&amp;TRIM(J370&amp;""))),"⚠"&amp;TRIM(J370&amp;""))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",TRIM(E371&amp;""))-1),코드표!$J$2:$J$101,0)),ISNUMBER(MATCH(TRIM(RIGHT(SUBSTITUTE(TRIM(E371&amp;"")," ",REPT(" ",60)),60)),코드표!$F$2:$F$101,0))),INDEX(코드표!$K$2:$K$101,MATCH(LEFT(TRIM(E371&amp;""),FIND(" ",TRIM(E371&amp;""))-1),코드표!$J$2:$J$101,0))&amp;" "&amp;INDEX(코드표!$G$2:$G$101,MATCH(TRIM(RIGHT(SUBSTITUTE(TRIM(E371&amp;"")," ",REPT(" ",60)),60)),코드표!$F$2:$F$101,0)),"⚠"&amp;TRIM(E371&amp;""))),"⚠"&amp;TRIM(E371&amp;""))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",TRIM(F371&amp;""))-1),코드표!$J$2:$J$101,0)),ISNUMBER(MATCH(TRIM(RIGHT(SUBSTITUTE(TRIM(F371&amp;"")," ",REPT(" ",60)),60)),코드표!$F$2:$F$101,0))),INDEX(코드표!$K$2:$K$101,MATCH(LEFT(TRIM(F371&amp;""),FIND(" ",TRIM(F371&amp;""))-1),코드표!$J$2:$J$101,0))&amp;" "&amp;INDEX(코드표!$G$2:$G$101,MATCH(TRIM(RIGHT(SUBSTITUTE(TRIM(F371&amp;"")," ",REPT(" ",60)),60)),코드표!$F$2:$F$101,0)),"⚠"&amp;TRIM(F371&amp;""))),"⚠"&amp;TRIM(F371&amp;""))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",TRIM(G371&amp;""))-1),코드표!$J$2:$J$101,0)),ISNUMBER(MATCH(TRIM(RIGHT(SUBSTITUTE(TRIM(G371&amp;"")," ",REPT(" ",60)),60)),코드표!$F$2:$F$101,0))),INDEX(코드표!$K$2:$K$101,MATCH(LEFT(TRIM(G371&amp;""),FIND(" ",TRIM(G371&amp;""))-1),코드표!$J$2:$J$101,0))&amp;" "&amp;INDEX(코드표!$G$2:$G$101,MATCH(TRIM(RIGHT(SUBSTITUTE(TRIM(G371&amp;"")," ",REPT(" ",60)),60)),코드표!$F$2:$F$101,0)),"⚠"&amp;TRIM(G371&amp;""))),"⚠"&amp;TRIM(G371&amp;""))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",TRIM(H371&amp;""))-1),코드표!$J$2:$J$101,0)),ISNUMBER(MATCH(TRIM(RIGHT(SUBSTITUTE(TRIM(H371&amp;"")," ",REPT(" ",60)),60)),코드표!$F$2:$F$101,0))),INDEX(코드표!$K$2:$K$101,MATCH(LEFT(TRIM(H371&amp;""),FIND(" ",TRIM(H371&amp;""))-1),코드표!$J$2:$J$101,0))&amp;" "&amp;INDEX(코드표!$G$2:$G$101,MATCH(TRIM(RIGHT(SUBSTITUTE(TRIM(H371&amp;"")," ",REPT(" ",60)),60)),코드표!$F$2:$F$101,0)),"⚠"&amp;TRIM(H371&amp;""))),"⚠"&amp;TRIM(H371&amp;""))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",TRIM(I371&amp;""))-1),코드표!$J$2:$J$101,0)),ISNUMBER(MATCH(TRIM(RIGHT(SUBSTITUTE(TRIM(I371&amp;"")," ",REPT(" ",60)),60)),코드표!$F$2:$F$101,0))),INDEX(코드표!$K$2:$K$101,MATCH(LEFT(TRIM(I371&amp;""),FIND(" ",TRIM(I371&amp;""))-1),코드표!$J$2:$J$101,0))&amp;" "&amp;INDEX(코드표!$G$2:$G$101,MATCH(TRIM(RIGHT(SUBSTITUTE(TRIM(I371&amp;"")," ",REPT(" ",60)),60)),코드표!$F$2:$F$101,0)),"⚠"&amp;TRIM(I371&amp;""))),"⚠"&amp;TRIM(I371&amp;""))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",TRIM(J371&amp;""))-1),코드표!$J$2:$J$101,0)),ISNUMBER(MATCH(TRIM(RIGHT(SUBSTITUTE(TRIM(J371&amp;"")," ",REPT(" ",60)),60)),코드표!$F$2:$F$101,0))),INDEX(코드표!$K$2:$K$101,MATCH(LEFT(TRIM(J371&amp;""),FIND(" ",TRIM(J371&amp;""))-1),코드표!$J$2:$J$101,0))&amp;" "&amp;INDEX(코드표!$G$2:$G$101,MATCH(TRIM(RIGHT(SUBSTITUTE(TRIM(J371&amp;"")," ",REPT(" ",60)),60)),코드표!$F$2:$F$101,0)),"⚠"&amp;TRIM(J371&amp;""))),"⚠"&amp;TRIM(J371&amp;""))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",TRIM(E372&amp;""))-1),코드표!$J$2:$J$101,0)),ISNUMBER(MATCH(TRIM(RIGHT(SUBSTITUTE(TRIM(E372&amp;"")," ",REPT(" ",60)),60)),코드표!$F$2:$F$101,0))),INDEX(코드표!$K$2:$K$101,MATCH(LEFT(TRIM(E372&amp;""),FIND(" ",TRIM(E372&amp;""))-1),코드표!$J$2:$J$101,0))&amp;" "&amp;INDEX(코드표!$G$2:$G$101,MATCH(TRIM(RIGHT(SUBSTITUTE(TRIM(E372&amp;"")," ",REPT(" ",60)),60)),코드표!$F$2:$F$101,0)),"⚠"&amp;TRIM(E372&amp;""))),"⚠"&amp;TRIM(E372&amp;""))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",TRIM(F372&amp;""))-1),코드표!$J$2:$J$101,0)),ISNUMBER(MATCH(TRIM(RIGHT(SUBSTITUTE(TRIM(F372&amp;"")," ",REPT(" ",60)),60)),코드표!$F$2:$F$101,0))),INDEX(코드표!$K$2:$K$101,MATCH(LEFT(TRIM(F372&amp;""),FIND(" ",TRIM(F372&amp;""))-1),코드표!$J$2:$J$101,0))&amp;" "&amp;INDEX(코드표!$G$2:$G$101,MATCH(TRIM(RIGHT(SUBSTITUTE(TRIM(F372&amp;"")," ",REPT(" ",60)),60)),코드표!$F$2:$F$101,0)),"⚠"&amp;TRIM(F372&amp;""))),"⚠"&amp;TRIM(F372&amp;""))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",TRIM(G372&amp;""))-1),코드표!$J$2:$J$101,0)),ISNUMBER(MATCH(TRIM(RIGHT(SUBSTITUTE(TRIM(G372&amp;"")," ",REPT(" ",60)),60)),코드표!$F$2:$F$101,0))),INDEX(코드표!$K$2:$K$101,MATCH(LEFT(TRIM(G372&amp;""),FIND(" ",TRIM(G372&amp;""))-1),코드표!$J$2:$J$101,0))&amp;" "&amp;INDEX(코드표!$G$2:$G$101,MATCH(TRIM(RIGHT(SUBSTITUTE(TRIM(G372&amp;"")," ",REPT(" ",60)),60)),코드표!$F$2:$F$101,0)),"⚠"&amp;TRIM(G372&amp;""))),"⚠"&amp;TRIM(G372&amp;""))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",TRIM(H372&amp;""))-1),코드표!$J$2:$J$101,0)),ISNUMBER(MATCH(TRIM(RIGHT(SUBSTITUTE(TRIM(H372&amp;"")," ",REPT(" ",60)),60)),코드표!$F$2:$F$101,0))),INDEX(코드표!$K$2:$K$101,MATCH(LEFT(TRIM(H372&amp;""),FIND(" ",TRIM(H372&amp;""))-1),코드표!$J$2:$J$101,0))&amp;" "&amp;INDEX(코드표!$G$2:$G$101,MATCH(TRIM(RIGHT(SUBSTITUTE(TRIM(H372&amp;"")," ",REPT(" ",60)),60)),코드표!$F$2:$F$101,0)),"⚠"&amp;TRIM(H372&amp;""))),"⚠"&amp;TRIM(H372&amp;""))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",TRIM(I372&amp;""))-1),코드표!$J$2:$J$101,0)),ISNUMBER(MATCH(TRIM(RIGHT(SUBSTITUTE(TRIM(I372&amp;"")," ",REPT(" ",60)),60)),코드표!$F$2:$F$101,0))),INDEX(코드표!$K$2:$K$101,MATCH(LEFT(TRIM(I372&amp;""),FIND(" ",TRIM(I372&amp;""))-1),코드표!$J$2:$J$101,0))&amp;" "&amp;INDEX(코드표!$G$2:$G$101,MATCH(TRIM(RIGHT(SUBSTITUTE(TRIM(I372&amp;"")," ",REPT(" ",60)),60)),코드표!$F$2:$F$101,0)),"⚠"&amp;TRIM(I372&amp;""))),"⚠"&amp;TRIM(I372&amp;""))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",TRIM(J372&amp;""))-1),코드표!$J$2:$J$101,0)),ISNUMBER(MATCH(TRIM(RIGHT(SUBSTITUTE(TRIM(J372&amp;"")," ",REPT(" ",60)),60)),코드표!$F$2:$F$101,0))),INDEX(코드표!$K$2:$K$101,MATCH(LEFT(TRIM(J372&amp;""),FIND(" ",TRIM(J372&amp;""))-1),코드표!$J$2:$J$101,0))&amp;" "&amp;INDEX(코드표!$G$2:$G$101,MATCH(TRIM(RIGHT(SUBSTITUTE(TRIM(J372&amp;"")," ",REPT(" ",60)),60)),코드표!$F$2:$F$101,0)),"⚠"&amp;TRIM(J372&amp;""))),"⚠"&amp;TRIM(J372&amp;""))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",TRIM(E373&amp;""))-1),코드표!$J$2:$J$101,0)),ISNUMBER(MATCH(TRIM(RIGHT(SUBSTITUTE(TRIM(E373&amp;"")," ",REPT(" ",60)),60)),코드표!$F$2:$F$101,0))),INDEX(코드표!$K$2:$K$101,MATCH(LEFT(TRIM(E373&amp;""),FIND(" ",TRIM(E373&amp;""))-1),코드표!$J$2:$J$101,0))&amp;" "&amp;INDEX(코드표!$G$2:$G$101,MATCH(TRIM(RIGHT(SUBSTITUTE(TRIM(E373&amp;"")," ",REPT(" ",60)),60)),코드표!$F$2:$F$101,0)),"⚠"&amp;TRIM(E373&amp;""))),"⚠"&amp;TRIM(E373&amp;""))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",TRIM(F373&amp;""))-1),코드표!$J$2:$J$101,0)),ISNUMBER(MATCH(TRIM(RIGHT(SUBSTITUTE(TRIM(F373&amp;"")," ",REPT(" ",60)),60)),코드표!$F$2:$F$101,0))),INDEX(코드표!$K$2:$K$101,MATCH(LEFT(TRIM(F373&amp;""),FIND(" ",TRIM(F373&amp;""))-1),코드표!$J$2:$J$101,0))&amp;" "&amp;INDEX(코드표!$G$2:$G$101,MATCH(TRIM(RIGHT(SUBSTITUTE(TRIM(F373&amp;"")," ",REPT(" ",60)),60)),코드표!$F$2:$F$101,0)),"⚠"&amp;TRIM(F373&amp;""))),"⚠"&amp;TRIM(F373&amp;""))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",TRIM(G373&amp;""))-1),코드표!$J$2:$J$101,0)),ISNUMBER(MATCH(TRIM(RIGHT(SUBSTITUTE(TRIM(G373&amp;"")," ",REPT(" ",60)),60)),코드표!$F$2:$F$101,0))),INDEX(코드표!$K$2:$K$101,MATCH(LEFT(TRIM(G373&amp;""),FIND(" ",TRIM(G373&amp;""))-1),코드표!$J$2:$J$101,0))&amp;" "&amp;INDEX(코드표!$G$2:$G$101,MATCH(TRIM(RIGHT(SUBSTITUTE(TRIM(G373&amp;"")," ",REPT(" ",60)),60)),코드표!$F$2:$F$101,0)),"⚠"&amp;TRIM(G373&amp;""))),"⚠"&amp;TRIM(G373&amp;""))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",TRIM(H373&amp;""))-1),코드표!$J$2:$J$101,0)),ISNUMBER(MATCH(TRIM(RIGHT(SUBSTITUTE(TRIM(H373&amp;"")," ",REPT(" ",60)),60)),코드표!$F$2:$F$101,0))),INDEX(코드표!$K$2:$K$101,MATCH(LEFT(TRIM(H373&amp;""),FIND(" ",TRIM(H373&amp;""))-1),코드표!$J$2:$J$101,0))&amp;" "&amp;INDEX(코드표!$G$2:$G$101,MATCH(TRIM(RIGHT(SUBSTITUTE(TRIM(H373&amp;"")," ",REPT(" ",60)),60)),코드표!$F$2:$F$101,0)),"⚠"&amp;TRIM(H373&amp;""))),"⚠"&amp;TRIM(H373&amp;""))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",TRIM(I373&amp;""))-1),코드표!$J$2:$J$101,0)),ISNUMBER(MATCH(TRIM(RIGHT(SUBSTITUTE(TRIM(I373&amp;"")," ",REPT(" ",60)),60)),코드표!$F$2:$F$101,0))),INDEX(코드표!$K$2:$K$101,MATCH(LEFT(TRIM(I373&amp;""),FIND(" ",TRIM(I373&amp;""))-1),코드표!$J$2:$J$101,0))&amp;" "&amp;INDEX(코드표!$G$2:$G$101,MATCH(TRIM(RIGHT(SUBSTITUTE(TRIM(I373&amp;"")," ",REPT(" ",60)),60)),코드표!$F$2:$F$101,0)),"⚠"&amp;TRIM(I373&amp;""))),"⚠"&amp;TRIM(I373&amp;""))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",TRIM(J373&amp;""))-1),코드표!$J$2:$J$101,0)),ISNUMBER(MATCH(TRIM(RIGHT(SUBSTITUTE(TRIM(J373&amp;"")," ",REPT(" ",60)),60)),코드표!$F$2:$F$101,0))),INDEX(코드표!$K$2:$K$101,MATCH(LEFT(TRIM(J373&amp;""),FIND(" ",TRIM(J373&amp;""))-1),코드표!$J$2:$J$101,0))&amp;" "&amp;INDEX(코드표!$G$2:$G$101,MATCH(TRIM(RIGHT(SUBSTITUTE(TRIM(J373&amp;"")," ",REPT(" ",60)),60)),코드표!$F$2:$F$101,0)),"⚠"&amp;TRIM(J373&amp;""))),"⚠"&amp;TRIM(J373&amp;""))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",TRIM(E374&amp;""))-1),코드표!$J$2:$J$101,0)),ISNUMBER(MATCH(TRIM(RIGHT(SUBSTITUTE(TRIM(E374&amp;"")," ",REPT(" ",60)),60)),코드표!$F$2:$F$101,0))),INDEX(코드표!$K$2:$K$101,MATCH(LEFT(TRIM(E374&amp;""),FIND(" ",TRIM(E374&amp;""))-1),코드표!$J$2:$J$101,0))&amp;" "&amp;INDEX(코드표!$G$2:$G$101,MATCH(TRIM(RIGHT(SUBSTITUTE(TRIM(E374&amp;"")," ",REPT(" ",60)),60)),코드표!$F$2:$F$101,0)),"⚠"&amp;TRIM(E374&amp;""))),"⚠"&amp;TRIM(E374&amp;""))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",TRIM(F374&amp;""))-1),코드표!$J$2:$J$101,0)),ISNUMBER(MATCH(TRIM(RIGHT(SUBSTITUTE(TRIM(F374&amp;"")," ",REPT(" ",60)),60)),코드표!$F$2:$F$101,0))),INDEX(코드표!$K$2:$K$101,MATCH(LEFT(TRIM(F374&amp;""),FIND(" ",TRIM(F374&amp;""))-1),코드표!$J$2:$J$101,0))&amp;" "&amp;INDEX(코드표!$G$2:$G$101,MATCH(TRIM(RIGHT(SUBSTITUTE(TRIM(F374&amp;"")," ",REPT(" ",60)),60)),코드표!$F$2:$F$101,0)),"⚠"&amp;TRIM(F374&amp;""))),"⚠"&amp;TRIM(F374&amp;""))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",TRIM(G374&amp;""))-1),코드표!$J$2:$J$101,0)),ISNUMBER(MATCH(TRIM(RIGHT(SUBSTITUTE(TRIM(G374&amp;"")," ",REPT(" ",60)),60)),코드표!$F$2:$F$101,0))),INDEX(코드표!$K$2:$K$101,MATCH(LEFT(TRIM(G374&amp;""),FIND(" ",TRIM(G374&amp;""))-1),코드표!$J$2:$J$101,0))&amp;" "&amp;INDEX(코드표!$G$2:$G$101,MATCH(TRIM(RIGHT(SUBSTITUTE(TRIM(G374&amp;"")," ",REPT(" ",60)),60)),코드표!$F$2:$F$101,0)),"⚠"&amp;TRIM(G374&amp;""))),"⚠"&amp;TRIM(G374&amp;""))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",TRIM(H374&amp;""))-1),코드표!$J$2:$J$101,0)),ISNUMBER(MATCH(TRIM(RIGHT(SUBSTITUTE(TRIM(H374&amp;"")," ",REPT(" ",60)),60)),코드표!$F$2:$F$101,0))),INDEX(코드표!$K$2:$K$101,MATCH(LEFT(TRIM(H374&amp;""),FIND(" ",TRIM(H374&amp;""))-1),코드표!$J$2:$J$101,0))&amp;" "&amp;INDEX(코드표!$G$2:$G$101,MATCH(TRIM(RIGHT(SUBSTITUTE(TRIM(H374&amp;"")," ",REPT(" ",60)),60)),코드표!$F$2:$F$101,0)),"⚠"&amp;TRIM(H374&amp;""))),"⚠"&amp;TRIM(H374&amp;""))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",TRIM(I374&amp;""))-1),코드표!$J$2:$J$101,0)),ISNUMBER(MATCH(TRIM(RIGHT(SUBSTITUTE(TRIM(I374&amp;"")," ",REPT(" ",60)),60)),코드표!$F$2:$F$101,0))),INDEX(코드표!$K$2:$K$101,MATCH(LEFT(TRIM(I374&amp;""),FIND(" ",TRIM(I374&amp;""))-1),코드표!$J$2:$J$101,0))&amp;" "&amp;INDEX(코드표!$G$2:$G$101,MATCH(TRIM(RIGHT(SUBSTITUTE(TRIM(I374&amp;"")," ",REPT(" ",60)),60)),코드표!$F$2:$F$101,0)),"⚠"&amp;TRIM(I374&amp;""))),"⚠"&amp;TRIM(I374&amp;""))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",TRIM(J374&amp;""))-1),코드표!$J$2:$J$101,0)),ISNUMBER(MATCH(TRIM(RIGHT(SUBSTITUTE(TRIM(J374&amp;"")," ",REPT(" ",60)),60)),코드표!$F$2:$F$101,0))),INDEX(코드표!$K$2:$K$101,MATCH(LEFT(TRIM(J374&amp;""),FIND(" ",TRIM(J374&amp;""))-1),코드표!$J$2:$J$101,0))&amp;" "&amp;INDEX(코드표!$G$2:$G$101,MATCH(TRIM(RIGHT(SUBSTITUTE(TRIM(J374&amp;"")," ",REPT(" ",60)),60)),코드표!$F$2:$F$101,0)),"⚠"&amp;TRIM(J374&amp;""))),"⚠"&amp;TRIM(J374&amp;""))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",TRIM(E375&amp;""))-1),코드표!$J$2:$J$101,0)),ISNUMBER(MATCH(TRIM(RIGHT(SUBSTITUTE(TRIM(E375&amp;"")," ",REPT(" ",60)),60)),코드표!$F$2:$F$101,0))),INDEX(코드표!$K$2:$K$101,MATCH(LEFT(TRIM(E375&amp;""),FIND(" ",TRIM(E375&amp;""))-1),코드표!$J$2:$J$101,0))&amp;" "&amp;INDEX(코드표!$G$2:$G$101,MATCH(TRIM(RIGHT(SUBSTITUTE(TRIM(E375&amp;"")," ",REPT(" ",60)),60)),코드표!$F$2:$F$101,0)),"⚠"&amp;TRIM(E375&amp;""))),"⚠"&amp;TRIM(E375&amp;""))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",TRIM(F375&amp;""))-1),코드표!$J$2:$J$101,0)),ISNUMBER(MATCH(TRIM(RIGHT(SUBSTITUTE(TRIM(F375&amp;"")," ",REPT(" ",60)),60)),코드표!$F$2:$F$101,0))),INDEX(코드표!$K$2:$K$101,MATCH(LEFT(TRIM(F375&amp;""),FIND(" ",TRIM(F375&amp;""))-1),코드표!$J$2:$J$101,0))&amp;" "&amp;INDEX(코드표!$G$2:$G$101,MATCH(TRIM(RIGHT(SUBSTITUTE(TRIM(F375&amp;"")," ",REPT(" ",60)),60)),코드표!$F$2:$F$101,0)),"⚠"&amp;TRIM(F375&amp;""))),"⚠"&amp;TRIM(F375&amp;""))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",TRIM(G375&amp;""))-1),코드표!$J$2:$J$101,0)),ISNUMBER(MATCH(TRIM(RIGHT(SUBSTITUTE(TRIM(G375&amp;"")," ",REPT(" ",60)),60)),코드표!$F$2:$F$101,0))),INDEX(코드표!$K$2:$K$101,MATCH(LEFT(TRIM(G375&amp;""),FIND(" ",TRIM(G375&amp;""))-1),코드표!$J$2:$J$101,0))&amp;" "&amp;INDEX(코드표!$G$2:$G$101,MATCH(TRIM(RIGHT(SUBSTITUTE(TRIM(G375&amp;"")," ",REPT(" ",60)),60)),코드표!$F$2:$F$101,0)),"⚠"&amp;TRIM(G375&amp;""))),"⚠"&amp;TRIM(G375&amp;""))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",TRIM(H375&amp;""))-1),코드표!$J$2:$J$101,0)),ISNUMBER(MATCH(TRIM(RIGHT(SUBSTITUTE(TRIM(H375&amp;"")," ",REPT(" ",60)),60)),코드표!$F$2:$F$101,0))),INDEX(코드표!$K$2:$K$101,MATCH(LEFT(TRIM(H375&amp;""),FIND(" ",TRIM(H375&amp;""))-1),코드표!$J$2:$J$101,0))&amp;" "&amp;INDEX(코드표!$G$2:$G$101,MATCH(TRIM(RIGHT(SUBSTITUTE(TRIM(H375&amp;"")," ",REPT(" ",60)),60)),코드표!$F$2:$F$101,0)),"⚠"&amp;TRIM(H375&amp;""))),"⚠"&amp;TRIM(H375&amp;""))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",TRIM(I375&amp;""))-1),코드표!$J$2:$J$101,0)),ISNUMBER(MATCH(TRIM(RIGHT(SUBSTITUTE(TRIM(I375&amp;"")," ",REPT(" ",60)),60)),코드표!$F$2:$F$101,0))),INDEX(코드표!$K$2:$K$101,MATCH(LEFT(TRIM(I375&amp;""),FIND(" ",TRIM(I375&amp;""))-1),코드표!$J$2:$J$101,0))&amp;" "&amp;INDEX(코드표!$G$2:$G$101,MATCH(TRIM(RIGHT(SUBSTITUTE(TRIM(I375&amp;"")," ",REPT(" ",60)),60)),코드표!$F$2:$F$101,0)),"⚠"&amp;TRIM(I375&amp;""))),"⚠"&amp;TRIM(I375&amp;""))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",TRIM(J375&amp;""))-1),코드표!$J$2:$J$101,0)),ISNUMBER(MATCH(TRIM(RIGHT(SUBSTITUTE(TRIM(J375&amp;"")," ",REPT(" ",60)),60)),코드표!$F$2:$F$101,0))),INDEX(코드표!$K$2:$K$101,MATCH(LEFT(TRIM(J375&amp;""),FIND(" ",TRIM(J375&amp;""))-1),코드표!$J$2:$J$101,0))&amp;" "&amp;INDEX(코드표!$G$2:$G$101,MATCH(TRIM(RIGHT(SUBSTITUTE(TRIM(J375&amp;"")," ",REPT(" ",60)),60)),코드표!$F$2:$F$101,0)),"⚠"&amp;TRIM(J375&amp;""))),"⚠"&amp;TRIM(J375&amp;""))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",TRIM(E376&amp;""))-1),코드표!$J$2:$J$101,0)),ISNUMBER(MATCH(TRIM(RIGHT(SUBSTITUTE(TRIM(E376&amp;"")," ",REPT(" ",60)),60)),코드표!$F$2:$F$101,0))),INDEX(코드표!$K$2:$K$101,MATCH(LEFT(TRIM(E376&amp;""),FIND(" ",TRIM(E376&amp;""))-1),코드표!$J$2:$J$101,0))&amp;" "&amp;INDEX(코드표!$G$2:$G$101,MATCH(TRIM(RIGHT(SUBSTITUTE(TRIM(E376&amp;"")," ",REPT(" ",60)),60)),코드표!$F$2:$F$101,0)),"⚠"&amp;TRIM(E376&amp;""))),"⚠"&amp;TRIM(E376&amp;""))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",TRIM(F376&amp;""))-1),코드표!$J$2:$J$101,0)),ISNUMBER(MATCH(TRIM(RIGHT(SUBSTITUTE(TRIM(F376&amp;"")," ",REPT(" ",60)),60)),코드표!$F$2:$F$101,0))),INDEX(코드표!$K$2:$K$101,MATCH(LEFT(TRIM(F376&amp;""),FIND(" ",TRIM(F376&amp;""))-1),코드표!$J$2:$J$101,0))&amp;" "&amp;INDEX(코드표!$G$2:$G$101,MATCH(TRIM(RIGHT(SUBSTITUTE(TRIM(F376&amp;"")," ",REPT(" ",60)),60)),코드표!$F$2:$F$101,0)),"⚠"&amp;TRIM(F376&amp;""))),"⚠"&amp;TRIM(F376&amp;""))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",TRIM(G376&amp;""))-1),코드표!$J$2:$J$101,0)),ISNUMBER(MATCH(TRIM(RIGHT(SUBSTITUTE(TRIM(G376&amp;"")," ",REPT(" ",60)),60)),코드표!$F$2:$F$101,0))),INDEX(코드표!$K$2:$K$101,MATCH(LEFT(TRIM(G376&amp;""),FIND(" ",TRIM(G376&amp;""))-1),코드표!$J$2:$J$101,0))&amp;" "&amp;INDEX(코드표!$G$2:$G$101,MATCH(TRIM(RIGHT(SUBSTITUTE(TRIM(G376&amp;"")," ",REPT(" ",60)),60)),코드표!$F$2:$F$101,0)),"⚠"&amp;TRIM(G376&amp;""))),"⚠"&amp;TRIM(G376&amp;""))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",TRIM(H376&amp;""))-1),코드표!$J$2:$J$101,0)),ISNUMBER(MATCH(TRIM(RIGHT(SUBSTITUTE(TRIM(H376&amp;"")," ",REPT(" ",60)),60)),코드표!$F$2:$F$101,0))),INDEX(코드표!$K$2:$K$101,MATCH(LEFT(TRIM(H376&amp;""),FIND(" ",TRIM(H376&amp;""))-1),코드표!$J$2:$J$101,0))&amp;" "&amp;INDEX(코드표!$G$2:$G$101,MATCH(TRIM(RIGHT(SUBSTITUTE(TRIM(H376&amp;"")," ",REPT(" ",60)),60)),코드표!$F$2:$F$101,0)),"⚠"&amp;TRIM(H376&amp;""))),"⚠"&amp;TRIM(H376&amp;""))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",TRIM(I376&amp;""))-1),코드표!$J$2:$J$101,0)),ISNUMBER(MATCH(TRIM(RIGHT(SUBSTITUTE(TRIM(I376&amp;"")," ",REPT(" ",60)),60)),코드표!$F$2:$F$101,0))),INDEX(코드표!$K$2:$K$101,MATCH(LEFT(TRIM(I376&amp;""),FIND(" ",TRIM(I376&amp;""))-1),코드표!$J$2:$J$101,0))&amp;" "&amp;INDEX(코드표!$G$2:$G$101,MATCH(TRIM(RIGHT(SUBSTITUTE(TRIM(I376&amp;"")," ",REPT(" ",60)),60)),코드표!$F$2:$F$101,0)),"⚠"&amp;TRIM(I376&amp;""))),"⚠"&amp;TRIM(I376&amp;""))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",TRIM(J376&amp;""))-1),코드표!$J$2:$J$101,0)),ISNUMBER(MATCH(TRIM(RIGHT(SUBSTITUTE(TRIM(J376&amp;"")," ",REPT(" ",60)),60)),코드표!$F$2:$F$101,0))),INDEX(코드표!$K$2:$K$101,MATCH(LEFT(TRIM(J376&amp;""),FIND(" ",TRIM(J376&amp;""))-1),코드표!$J$2:$J$101,0))&amp;" "&amp;INDEX(코드표!$G$2:$G$101,MATCH(TRIM(RIGHT(SUBSTITUTE(TRIM(J376&amp;"")," ",REPT(" ",60)),60)),코드표!$F$2:$F$101,0)),"⚠"&amp;TRIM(J376&amp;""))),"⚠"&amp;TRIM(J376&amp;""))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",TRIM(E377&amp;""))-1),코드표!$J$2:$J$101,0)),ISNUMBER(MATCH(TRIM(RIGHT(SUBSTITUTE(TRIM(E377&amp;"")," ",REPT(" ",60)),60)),코드표!$F$2:$F$101,0))),INDEX(코드표!$K$2:$K$101,MATCH(LEFT(TRIM(E377&amp;""),FIND(" ",TRIM(E377&amp;""))-1),코드표!$J$2:$J$101,0))&amp;" "&amp;INDEX(코드표!$G$2:$G$101,MATCH(TRIM(RIGHT(SUBSTITUTE(TRIM(E377&amp;"")," ",REPT(" ",60)),60)),코드표!$F$2:$F$101,0)),"⚠"&amp;TRIM(E377&amp;""))),"⚠"&amp;TRIM(E377&amp;""))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",TRIM(F377&amp;""))-1),코드표!$J$2:$J$101,0)),ISNUMBER(MATCH(TRIM(RIGHT(SUBSTITUTE(TRIM(F377&amp;"")," ",REPT(" ",60)),60)),코드표!$F$2:$F$101,0))),INDEX(코드표!$K$2:$K$101,MATCH(LEFT(TRIM(F377&amp;""),FIND(" ",TRIM(F377&amp;""))-1),코드표!$J$2:$J$101,0))&amp;" "&amp;INDEX(코드표!$G$2:$G$101,MATCH(TRIM(RIGHT(SUBSTITUTE(TRIM(F377&amp;"")," ",REPT(" ",60)),60)),코드표!$F$2:$F$101,0)),"⚠"&amp;TRIM(F377&amp;""))),"⚠"&amp;TRIM(F377&amp;""))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",TRIM(G377&amp;""))-1),코드표!$J$2:$J$101,0)),ISNUMBER(MATCH(TRIM(RIGHT(SUBSTITUTE(TRIM(G377&amp;"")," ",REPT(" ",60)),60)),코드표!$F$2:$F$101,0))),INDEX(코드표!$K$2:$K$101,MATCH(LEFT(TRIM(G377&amp;""),FIND(" ",TRIM(G377&amp;""))-1),코드표!$J$2:$J$101,0))&amp;" "&amp;INDEX(코드표!$G$2:$G$101,MATCH(TRIM(RIGHT(SUBSTITUTE(TRIM(G377&amp;"")," ",REPT(" ",60)),60)),코드표!$F$2:$F$101,0)),"⚠"&amp;TRIM(G377&amp;""))),"⚠"&amp;TRIM(G377&amp;""))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",TRIM(H377&amp;""))-1),코드표!$J$2:$J$101,0)),ISNUMBER(MATCH(TRIM(RIGHT(SUBSTITUTE(TRIM(H377&amp;"")," ",REPT(" ",60)),60)),코드표!$F$2:$F$101,0))),INDEX(코드표!$K$2:$K$101,MATCH(LEFT(TRIM(H377&amp;""),FIND(" ",TRIM(H377&amp;""))-1),코드표!$J$2:$J$101,0))&amp;" "&amp;INDEX(코드표!$G$2:$G$101,MATCH(TRIM(RIGHT(SUBSTITUTE(TRIM(H377&amp;"")," ",REPT(" ",60)),60)),코드표!$F$2:$F$101,0)),"⚠"&amp;TRIM(H377&amp;""))),"⚠"&amp;TRIM(H377&amp;""))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",TRIM(I377&amp;""))-1),코드표!$J$2:$J$101,0)),ISNUMBER(MATCH(TRIM(RIGHT(SUBSTITUTE(TRIM(I377&amp;"")," ",REPT(" ",60)),60)),코드표!$F$2:$F$101,0))),INDEX(코드표!$K$2:$K$101,MATCH(LEFT(TRIM(I377&amp;""),FIND(" ",TRIM(I377&amp;""))-1),코드표!$J$2:$J$101,0))&amp;" "&amp;INDEX(코드표!$G$2:$G$101,MATCH(TRIM(RIGHT(SUBSTITUTE(TRIM(I377&amp;"")," ",REPT(" ",60)),60)),코드표!$F$2:$F$101,0)),"⚠"&amp;TRIM(I377&amp;""))),"⚠"&amp;TRIM(I377&amp;""))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",TRIM(J377&amp;""))-1),코드표!$J$2:$J$101,0)),ISNUMBER(MATCH(TRIM(RIGHT(SUBSTITUTE(TRIM(J377&amp;"")," ",REPT(" ",60)),60)),코드표!$F$2:$F$101,0))),INDEX(코드표!$K$2:$K$101,MATCH(LEFT(TRIM(J377&amp;""),FIND(" ",TRIM(J377&amp;""))-1),코드표!$J$2:$J$101,0))&amp;" "&amp;INDEX(코드표!$G$2:$G$101,MATCH(TRIM(RIGHT(SUBSTITUTE(TRIM(J377&amp;"")," ",REPT(" ",60)),60)),코드표!$F$2:$F$101,0)),"⚠"&amp;TRIM(J377&amp;""))),"⚠"&amp;TRIM(J377&amp;""))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",TRIM(E378&amp;""))-1),코드표!$J$2:$J$101,0)),ISNUMBER(MATCH(TRIM(RIGHT(SUBSTITUTE(TRIM(E378&amp;"")," ",REPT(" ",60)),60)),코드표!$F$2:$F$101,0))),INDEX(코드표!$K$2:$K$101,MATCH(LEFT(TRIM(E378&amp;""),FIND(" ",TRIM(E378&amp;""))-1),코드표!$J$2:$J$101,0))&amp;" "&amp;INDEX(코드표!$G$2:$G$101,MATCH(TRIM(RIGHT(SUBSTITUTE(TRIM(E378&amp;"")," ",REPT(" ",60)),60)),코드표!$F$2:$F$101,0)),"⚠"&amp;TRIM(E378&amp;""))),"⚠"&amp;TRIM(E378&amp;""))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",TRIM(F378&amp;""))-1),코드표!$J$2:$J$101,0)),ISNUMBER(MATCH(TRIM(RIGHT(SUBSTITUTE(TRIM(F378&amp;"")," ",REPT(" ",60)),60)),코드표!$F$2:$F$101,0))),INDEX(코드표!$K$2:$K$101,MATCH(LEFT(TRIM(F378&amp;""),FIND(" ",TRIM(F378&amp;""))-1),코드표!$J$2:$J$101,0))&amp;" "&amp;INDEX(코드표!$G$2:$G$101,MATCH(TRIM(RIGHT(SUBSTITUTE(TRIM(F378&amp;"")," ",REPT(" ",60)),60)),코드표!$F$2:$F$101,0)),"⚠"&amp;TRIM(F378&amp;""))),"⚠"&amp;TRIM(F378&amp;""))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",TRIM(G378&amp;""))-1),코드표!$J$2:$J$101,0)),ISNUMBER(MATCH(TRIM(RIGHT(SUBSTITUTE(TRIM(G378&amp;"")," ",REPT(" ",60)),60)),코드표!$F$2:$F$101,0))),INDEX(코드표!$K$2:$K$101,MATCH(LEFT(TRIM(G378&amp;""),FIND(" ",TRIM(G378&amp;""))-1),코드표!$J$2:$J$101,0))&amp;" "&amp;INDEX(코드표!$G$2:$G$101,MATCH(TRIM(RIGHT(SUBSTITUTE(TRIM(G378&amp;"")," ",REPT(" ",60)),60)),코드표!$F$2:$F$101,0)),"⚠"&amp;TRIM(G378&amp;""))),"⚠"&amp;TRIM(G378&amp;""))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",TRIM(H378&amp;""))-1),코드표!$J$2:$J$101,0)),ISNUMBER(MATCH(TRIM(RIGHT(SUBSTITUTE(TRIM(H378&amp;"")," ",REPT(" ",60)),60)),코드표!$F$2:$F$101,0))),INDEX(코드표!$K$2:$K$101,MATCH(LEFT(TRIM(H378&amp;""),FIND(" ",TRIM(H378&amp;""))-1),코드표!$J$2:$J$101,0))&amp;" "&amp;INDEX(코드표!$G$2:$G$101,MATCH(TRIM(RIGHT(SUBSTITUTE(TRIM(H378&amp;"")," ",REPT(" ",60)),60)),코드표!$F$2:$F$101,0)),"⚠"&amp;TRIM(H378&amp;""))),"⚠"&amp;TRIM(H378&amp;""))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",TRIM(I378&amp;""))-1),코드표!$J$2:$J$101,0)),ISNUMBER(MATCH(TRIM(RIGHT(SUBSTITUTE(TRIM(I378&amp;"")," ",REPT(" ",60)),60)),코드표!$F$2:$F$101,0))),INDEX(코드표!$K$2:$K$101,MATCH(LEFT(TRIM(I378&amp;""),FIND(" ",TRIM(I378&amp;""))-1),코드표!$J$2:$J$101,0))&amp;" "&amp;INDEX(코드표!$G$2:$G$101,MATCH(TRIM(RIGHT(SUBSTITUTE(TRIM(I378&amp;"")," ",REPT(" ",60)),60)),코드표!$F$2:$F$101,0)),"⚠"&amp;TRIM(I378&amp;""))),"⚠"&amp;TRIM(I378&amp;""))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",TRIM(J378&amp;""))-1),코드표!$J$2:$J$101,0)),ISNUMBER(MATCH(TRIM(RIGHT(SUBSTITUTE(TRIM(J378&amp;"")," ",REPT(" ",60)),60)),코드표!$F$2:$F$101,0))),INDEX(코드표!$K$2:$K$101,MATCH(LEFT(TRIM(J378&amp;""),FIND(" ",TRIM(J378&amp;""))-1),코드표!$J$2:$J$101,0))&amp;" "&amp;INDEX(코드표!$G$2:$G$101,MATCH(TRIM(RIGHT(SUBSTITUTE(TRIM(J378&amp;"")," ",REPT(" ",60)),60)),코드표!$F$2:$F$101,0)),"⚠"&amp;TRIM(J378&amp;""))),"⚠"&amp;TRIM(J378&amp;""))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",TRIM(E379&amp;""))-1),코드표!$J$2:$J$101,0)),ISNUMBER(MATCH(TRIM(RIGHT(SUBSTITUTE(TRIM(E379&amp;"")," ",REPT(" ",60)),60)),코드표!$F$2:$F$101,0))),INDEX(코드표!$K$2:$K$101,MATCH(LEFT(TRIM(E379&amp;""),FIND(" ",TRIM(E379&amp;""))-1),코드표!$J$2:$J$101,0))&amp;" "&amp;INDEX(코드표!$G$2:$G$101,MATCH(TRIM(RIGHT(SUBSTITUTE(TRIM(E379&amp;"")," ",REPT(" ",60)),60)),코드표!$F$2:$F$101,0)),"⚠"&amp;TRIM(E379&amp;""))),"⚠"&amp;TRIM(E379&amp;""))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",TRIM(F379&amp;""))-1),코드표!$J$2:$J$101,0)),ISNUMBER(MATCH(TRIM(RIGHT(SUBSTITUTE(TRIM(F379&amp;"")," ",REPT(" ",60)),60)),코드표!$F$2:$F$101,0))),INDEX(코드표!$K$2:$K$101,MATCH(LEFT(TRIM(F379&amp;""),FIND(" ",TRIM(F379&amp;""))-1),코드표!$J$2:$J$101,0))&amp;" "&amp;INDEX(코드표!$G$2:$G$101,MATCH(TRIM(RIGHT(SUBSTITUTE(TRIM(F379&amp;"")," ",REPT(" ",60)),60)),코드표!$F$2:$F$101,0)),"⚠"&amp;TRIM(F379&amp;""))),"⚠"&amp;TRIM(F379&amp;""))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",TRIM(G379&amp;""))-1),코드표!$J$2:$J$101,0)),ISNUMBER(MATCH(TRIM(RIGHT(SUBSTITUTE(TRIM(G379&amp;"")," ",REPT(" ",60)),60)),코드표!$F$2:$F$101,0))),INDEX(코드표!$K$2:$K$101,MATCH(LEFT(TRIM(G379&amp;""),FIND(" ",TRIM(G379&amp;""))-1),코드표!$J$2:$J$101,0))&amp;" "&amp;INDEX(코드표!$G$2:$G$101,MATCH(TRIM(RIGHT(SUBSTITUTE(TRIM(G379&amp;"")," ",REPT(" ",60)),60)),코드표!$F$2:$F$101,0)),"⚠"&amp;TRIM(G379&amp;""))),"⚠"&amp;TRIM(G379&amp;""))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",TRIM(H379&amp;""))-1),코드표!$J$2:$J$101,0)),ISNUMBER(MATCH(TRIM(RIGHT(SUBSTITUTE(TRIM(H379&amp;"")," ",REPT(" ",60)),60)),코드표!$F$2:$F$101,0))),INDEX(코드표!$K$2:$K$101,MATCH(LEFT(TRIM(H379&amp;""),FIND(" ",TRIM(H379&amp;""))-1),코드표!$J$2:$J$101,0))&amp;" "&amp;INDEX(코드표!$G$2:$G$101,MATCH(TRIM(RIGHT(SUBSTITUTE(TRIM(H379&amp;"")," ",REPT(" ",60)),60)),코드표!$F$2:$F$101,0)),"⚠"&amp;TRIM(H379&amp;""))),"⚠"&amp;TRIM(H379&amp;""))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",TRIM(I379&amp;""))-1),코드표!$J$2:$J$101,0)),ISNUMBER(MATCH(TRIM(RIGHT(SUBSTITUTE(TRIM(I379&amp;"")," ",REPT(" ",60)),60)),코드표!$F$2:$F$101,0))),INDEX(코드표!$K$2:$K$101,MATCH(LEFT(TRIM(I379&amp;""),FIND(" ",TRIM(I379&amp;""))-1),코드표!$J$2:$J$101,0))&amp;" "&amp;INDEX(코드표!$G$2:$G$101,MATCH(TRIM(RIGHT(SUBSTITUTE(TRIM(I379&amp;"")," ",REPT(" ",60)),60)),코드표!$F$2:$F$101,0)),"⚠"&amp;TRIM(I379&amp;""))),"⚠"&amp;TRIM(I379&amp;""))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",TRIM(J379&amp;""))-1),코드표!$J$2:$J$101,0)),ISNUMBER(MATCH(TRIM(RIGHT(SUBSTITUTE(TRIM(J379&amp;"")," ",REPT(" ",60)),60)),코드표!$F$2:$F$101,0))),INDEX(코드표!$K$2:$K$101,MATCH(LEFT(TRIM(J379&amp;""),FIND(" ",TRIM(J379&amp;""))-1),코드표!$J$2:$J$101,0))&amp;" "&amp;INDEX(코드표!$G$2:$G$101,MATCH(TRIM(RIGHT(SUBSTITUTE(TRIM(J379&amp;"")," ",REPT(" ",60)),60)),코드표!$F$2:$F$101,0)),"⚠"&amp;TRIM(J379&amp;""))),"⚠"&amp;TRIM(J379&amp;""))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",TRIM(E380&amp;""))-1),코드표!$J$2:$J$101,0)),ISNUMBER(MATCH(TRIM(RIGHT(SUBSTITUTE(TRIM(E380&amp;"")," ",REPT(" ",60)),60)),코드표!$F$2:$F$101,0))),INDEX(코드표!$K$2:$K$101,MATCH(LEFT(TRIM(E380&amp;""),FIND(" ",TRIM(E380&amp;""))-1),코드표!$J$2:$J$101,0))&amp;" "&amp;INDEX(코드표!$G$2:$G$101,MATCH(TRIM(RIGHT(SUBSTITUTE(TRIM(E380&amp;"")," ",REPT(" ",60)),60)),코드표!$F$2:$F$101,0)),"⚠"&amp;TRIM(E380&amp;""))),"⚠"&amp;TRIM(E380&amp;""))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",TRIM(F380&amp;""))-1),코드표!$J$2:$J$101,0)),ISNUMBER(MATCH(TRIM(RIGHT(SUBSTITUTE(TRIM(F380&amp;"")," ",REPT(" ",60)),60)),코드표!$F$2:$F$101,0))),INDEX(코드표!$K$2:$K$101,MATCH(LEFT(TRIM(F380&amp;""),FIND(" ",TRIM(F380&amp;""))-1),코드표!$J$2:$J$101,0))&amp;" "&amp;INDEX(코드표!$G$2:$G$101,MATCH(TRIM(RIGHT(SUBSTITUTE(TRIM(F380&amp;"")," ",REPT(" ",60)),60)),코드표!$F$2:$F$101,0)),"⚠"&amp;TRIM(F380&amp;""))),"⚠"&amp;TRIM(F380&amp;""))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",TRIM(G380&amp;""))-1),코드표!$J$2:$J$101,0)),ISNUMBER(MATCH(TRIM(RIGHT(SUBSTITUTE(TRIM(G380&amp;"")," ",REPT(" ",60)),60)),코드표!$F$2:$F$101,0))),INDEX(코드표!$K$2:$K$101,MATCH(LEFT(TRIM(G380&amp;""),FIND(" ",TRIM(G380&amp;""))-1),코드표!$J$2:$J$101,0))&amp;" "&amp;INDEX(코드표!$G$2:$G$101,MATCH(TRIM(RIGHT(SUBSTITUTE(TRIM(G380&amp;"")," ",REPT(" ",60)),60)),코드표!$F$2:$F$101,0)),"⚠"&amp;TRIM(G380&amp;""))),"⚠"&amp;TRIM(G380&amp;""))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",TRIM(H380&amp;""))-1),코드표!$J$2:$J$101,0)),ISNUMBER(MATCH(TRIM(RIGHT(SUBSTITUTE(TRIM(H380&amp;"")," ",REPT(" ",60)),60)),코드표!$F$2:$F$101,0))),INDEX(코드표!$K$2:$K$101,MATCH(LEFT(TRIM(H380&amp;""),FIND(" ",TRIM(H380&amp;""))-1),코드표!$J$2:$J$101,0))&amp;" "&amp;INDEX(코드표!$G$2:$G$101,MATCH(TRIM(RIGHT(SUBSTITUTE(TRIM(H380&amp;"")," ",REPT(" ",60)),60)),코드표!$F$2:$F$101,0)),"⚠"&amp;TRIM(H380&amp;""))),"⚠"&amp;TRIM(H380&amp;""))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",TRIM(I380&amp;""))-1),코드표!$J$2:$J$101,0)),ISNUMBER(MATCH(TRIM(RIGHT(SUBSTITUTE(TRIM(I380&amp;"")," ",REPT(" ",60)),60)),코드표!$F$2:$F$101,0))),INDEX(코드표!$K$2:$K$101,MATCH(LEFT(TRIM(I380&amp;""),FIND(" ",TRIM(I380&amp;""))-1),코드표!$J$2:$J$101,0))&amp;" "&amp;INDEX(코드표!$G$2:$G$101,MATCH(TRIM(RIGHT(SUBSTITUTE(TRIM(I380&amp;"")," ",REPT(" ",60)),60)),코드표!$F$2:$F$101,0)),"⚠"&amp;TRIM(I380&amp;""))),"⚠"&amp;TRIM(I380&amp;""))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",TRIM(J380&amp;""))-1),코드표!$J$2:$J$101,0)),ISNUMBER(MATCH(TRIM(RIGHT(SUBSTITUTE(TRIM(J380&amp;"")," ",REPT(" ",60)),60)),코드표!$F$2:$F$101,0))),INDEX(코드표!$K$2:$K$101,MATCH(LEFT(TRIM(J380&amp;""),FIND(" ",TRIM(J380&amp;""))-1),코드표!$J$2:$J$101,0))&amp;" "&amp;INDEX(코드표!$G$2:$G$101,MATCH(TRIM(RIGHT(SUBSTITUTE(TRIM(J380&amp;"")," ",REPT(" ",60)),60)),코드표!$F$2:$F$101,0)),"⚠"&amp;TRIM(J380&amp;""))),"⚠"&amp;TRIM(J380&amp;""))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",TRIM(E381&amp;""))-1),코드표!$J$2:$J$101,0)),ISNUMBER(MATCH(TRIM(RIGHT(SUBSTITUTE(TRIM(E381&amp;"")," ",REPT(" ",60)),60)),코드표!$F$2:$F$101,0))),INDEX(코드표!$K$2:$K$101,MATCH(LEFT(TRIM(E381&amp;""),FIND(" ",TRIM(E381&amp;""))-1),코드표!$J$2:$J$101,0))&amp;" "&amp;INDEX(코드표!$G$2:$G$101,MATCH(TRIM(RIGHT(SUBSTITUTE(TRIM(E381&amp;"")," ",REPT(" ",60)),60)),코드표!$F$2:$F$101,0)),"⚠"&amp;TRIM(E381&amp;""))),"⚠"&amp;TRIM(E381&amp;""))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",TRIM(F381&amp;""))-1),코드표!$J$2:$J$101,0)),ISNUMBER(MATCH(TRIM(RIGHT(SUBSTITUTE(TRIM(F381&amp;"")," ",REPT(" ",60)),60)),코드표!$F$2:$F$101,0))),INDEX(코드표!$K$2:$K$101,MATCH(LEFT(TRIM(F381&amp;""),FIND(" ",TRIM(F381&amp;""))-1),코드표!$J$2:$J$101,0))&amp;" "&amp;INDEX(코드표!$G$2:$G$101,MATCH(TRIM(RIGHT(SUBSTITUTE(TRIM(F381&amp;"")," ",REPT(" ",60)),60)),코드표!$F$2:$F$101,0)),"⚠"&amp;TRIM(F381&amp;""))),"⚠"&amp;TRIM(F381&amp;""))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",TRIM(G381&amp;""))-1),코드표!$J$2:$J$101,0)),ISNUMBER(MATCH(TRIM(RIGHT(SUBSTITUTE(TRIM(G381&amp;"")," ",REPT(" ",60)),60)),코드표!$F$2:$F$101,0))),INDEX(코드표!$K$2:$K$101,MATCH(LEFT(TRIM(G381&amp;""),FIND(" ",TRIM(G381&amp;""))-1),코드표!$J$2:$J$101,0))&amp;" "&amp;INDEX(코드표!$G$2:$G$101,MATCH(TRIM(RIGHT(SUBSTITUTE(TRIM(G381&amp;"")," ",REPT(" ",60)),60)),코드표!$F$2:$F$101,0)),"⚠"&amp;TRIM(G381&amp;""))),"⚠"&amp;TRIM(G381&amp;""))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",TRIM(H381&amp;""))-1),코드표!$J$2:$J$101,0)),ISNUMBER(MATCH(TRIM(RIGHT(SUBSTITUTE(TRIM(H381&amp;"")," ",REPT(" ",60)),60)),코드표!$F$2:$F$101,0))),INDEX(코드표!$K$2:$K$101,MATCH(LEFT(TRIM(H381&amp;""),FIND(" ",TRIM(H381&amp;""))-1),코드표!$J$2:$J$101,0))&amp;" "&amp;INDEX(코드표!$G$2:$G$101,MATCH(TRIM(RIGHT(SUBSTITUTE(TRIM(H381&amp;"")," ",REPT(" ",60)),60)),코드표!$F$2:$F$101,0)),"⚠"&amp;TRIM(H381&amp;""))),"⚠"&amp;TRIM(H381&amp;""))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",TRIM(I381&amp;""))-1),코드표!$J$2:$J$101,0)),ISNUMBER(MATCH(TRIM(RIGHT(SUBSTITUTE(TRIM(I381&amp;"")," ",REPT(" ",60)),60)),코드표!$F$2:$F$101,0))),INDEX(코드표!$K$2:$K$101,MATCH(LEFT(TRIM(I381&amp;""),FIND(" ",TRIM(I381&amp;""))-1),코드표!$J$2:$J$101,0))&amp;" "&amp;INDEX(코드표!$G$2:$G$101,MATCH(TRIM(RIGHT(SUBSTITUTE(TRIM(I381&amp;"")," ",REPT(" ",60)),60)),코드표!$F$2:$F$101,0)),"⚠"&amp;TRIM(I381&amp;""))),"⚠"&amp;TRIM(I381&amp;""))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",TRIM(J381&amp;""))-1),코드표!$J$2:$J$101,0)),ISNUMBER(MATCH(TRIM(RIGHT(SUBSTITUTE(TRIM(J381&amp;"")," ",REPT(" ",60)),60)),코드표!$F$2:$F$101,0))),INDEX(코드표!$K$2:$K$101,MATCH(LEFT(TRIM(J381&amp;""),FIND(" ",TRIM(J381&amp;""))-1),코드표!$J$2:$J$101,0))&amp;" "&amp;INDEX(코드표!$G$2:$G$101,MATCH(TRIM(RIGHT(SUBSTITUTE(TRIM(J381&amp;"")," ",REPT(" ",60)),60)),코드표!$F$2:$F$101,0)),"⚠"&amp;TRIM(J381&amp;""))),"⚠"&amp;TRIM(J381&amp;""))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",TRIM(E382&amp;""))-1),코드표!$J$2:$J$101,0)),ISNUMBER(MATCH(TRIM(RIGHT(SUBSTITUTE(TRIM(E382&amp;"")," ",REPT(" ",60)),60)),코드표!$F$2:$F$101,0))),INDEX(코드표!$K$2:$K$101,MATCH(LEFT(TRIM(E382&amp;""),FIND(" ",TRIM(E382&amp;""))-1),코드표!$J$2:$J$101,0))&amp;" "&amp;INDEX(코드표!$G$2:$G$101,MATCH(TRIM(RIGHT(SUBSTITUTE(TRIM(E382&amp;"")," ",REPT(" ",60)),60)),코드표!$F$2:$F$101,0)),"⚠"&amp;TRIM(E382&amp;""))),"⚠"&amp;TRIM(E382&amp;""))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",TRIM(F382&amp;""))-1),코드표!$J$2:$J$101,0)),ISNUMBER(MATCH(TRIM(RIGHT(SUBSTITUTE(TRIM(F382&amp;"")," ",REPT(" ",60)),60)),코드표!$F$2:$F$101,0))),INDEX(코드표!$K$2:$K$101,MATCH(LEFT(TRIM(F382&amp;""),FIND(" ",TRIM(F382&amp;""))-1),코드표!$J$2:$J$101,0))&amp;" "&amp;INDEX(코드표!$G$2:$G$101,MATCH(TRIM(RIGHT(SUBSTITUTE(TRIM(F382&amp;"")," ",REPT(" ",60)),60)),코드표!$F$2:$F$101,0)),"⚠"&amp;TRIM(F382&amp;""))),"⚠"&amp;TRIM(F382&amp;""))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",TRIM(G382&amp;""))-1),코드표!$J$2:$J$101,0)),ISNUMBER(MATCH(TRIM(RIGHT(SUBSTITUTE(TRIM(G382&amp;"")," ",REPT(" ",60)),60)),코드표!$F$2:$F$101,0))),INDEX(코드표!$K$2:$K$101,MATCH(LEFT(TRIM(G382&amp;""),FIND(" ",TRIM(G382&amp;""))-1),코드표!$J$2:$J$101,0))&amp;" "&amp;INDEX(코드표!$G$2:$G$101,MATCH(TRIM(RIGHT(SUBSTITUTE(TRIM(G382&amp;"")," ",REPT(" ",60)),60)),코드표!$F$2:$F$101,0)),"⚠"&amp;TRIM(G382&amp;""))),"⚠"&amp;TRIM(G382&amp;""))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",TRIM(H382&amp;""))-1),코드표!$J$2:$J$101,0)),ISNUMBER(MATCH(TRIM(RIGHT(SUBSTITUTE(TRIM(H382&amp;"")," ",REPT(" ",60)),60)),코드표!$F$2:$F$101,0))),INDEX(코드표!$K$2:$K$101,MATCH(LEFT(TRIM(H382&amp;""),FIND(" ",TRIM(H382&amp;""))-1),코드표!$J$2:$J$101,0))&amp;" "&amp;INDEX(코드표!$G$2:$G$101,MATCH(TRIM(RIGHT(SUBSTITUTE(TRIM(H382&amp;"")," ",REPT(" ",60)),60)),코드표!$F$2:$F$101,0)),"⚠"&amp;TRIM(H382&amp;""))),"⚠"&amp;TRIM(H382&amp;""))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",TRIM(I382&amp;""))-1),코드표!$J$2:$J$101,0)),ISNUMBER(MATCH(TRIM(RIGHT(SUBSTITUTE(TRIM(I382&amp;"")," ",REPT(" ",60)),60)),코드표!$F$2:$F$101,0))),INDEX(코드표!$K$2:$K$101,MATCH(LEFT(TRIM(I382&amp;""),FIND(" ",TRIM(I382&amp;""))-1),코드표!$J$2:$J$101,0))&amp;" "&amp;INDEX(코드표!$G$2:$G$101,MATCH(TRIM(RIGHT(SUBSTITUTE(TRIM(I382&amp;"")," ",REPT(" ",60)),60)),코드표!$F$2:$F$101,0)),"⚠"&amp;TRIM(I382&amp;""))),"⚠"&amp;TRIM(I382&amp;""))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",TRIM(J382&amp;""))-1),코드표!$J$2:$J$101,0)),ISNUMBER(MATCH(TRIM(RIGHT(SUBSTITUTE(TRIM(J382&amp;"")," ",REPT(" ",60)),60)),코드표!$F$2:$F$101,0))),INDEX(코드표!$K$2:$K$101,MATCH(LEFT(TRIM(J382&amp;""),FIND(" ",TRIM(J382&amp;""))-1),코드표!$J$2:$J$101,0))&amp;" "&amp;INDEX(코드표!$G$2:$G$101,MATCH(TRIM(RIGHT(SUBSTITUTE(TRIM(J382&amp;"")," ",REPT(" ",60)),60)),코드표!$F$2:$F$101,0)),"⚠"&amp;TRIM(J382&amp;""))),"⚠"&amp;TRIM(J382&amp;""))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",TRIM(E383&amp;""))-1),코드표!$J$2:$J$101,0)),ISNUMBER(MATCH(TRIM(RIGHT(SUBSTITUTE(TRIM(E383&amp;"")," ",REPT(" ",60)),60)),코드표!$F$2:$F$101,0))),INDEX(코드표!$K$2:$K$101,MATCH(LEFT(TRIM(E383&amp;""),FIND(" ",TRIM(E383&amp;""))-1),코드표!$J$2:$J$101,0))&amp;" "&amp;INDEX(코드표!$G$2:$G$101,MATCH(TRIM(RIGHT(SUBSTITUTE(TRIM(E383&amp;"")," ",REPT(" ",60)),60)),코드표!$F$2:$F$101,0)),"⚠"&amp;TRIM(E383&amp;""))),"⚠"&amp;TRIM(E383&amp;""))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",TRIM(F383&amp;""))-1),코드표!$J$2:$J$101,0)),ISNUMBER(MATCH(TRIM(RIGHT(SUBSTITUTE(TRIM(F383&amp;"")," ",REPT(" ",60)),60)),코드표!$F$2:$F$101,0))),INDEX(코드표!$K$2:$K$101,MATCH(LEFT(TRIM(F383&amp;""),FIND(" ",TRIM(F383&amp;""))-1),코드표!$J$2:$J$101,0))&amp;" "&amp;INDEX(코드표!$G$2:$G$101,MATCH(TRIM(RIGHT(SUBSTITUTE(TRIM(F383&amp;"")," ",REPT(" ",60)),60)),코드표!$F$2:$F$101,0)),"⚠"&amp;TRIM(F383&amp;""))),"⚠"&amp;TRIM(F383&amp;""))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",TRIM(G383&amp;""))-1),코드표!$J$2:$J$101,0)),ISNUMBER(MATCH(TRIM(RIGHT(SUBSTITUTE(TRIM(G383&amp;"")," ",REPT(" ",60)),60)),코드표!$F$2:$F$101,0))),INDEX(코드표!$K$2:$K$101,MATCH(LEFT(TRIM(G383&amp;""),FIND(" ",TRIM(G383&amp;""))-1),코드표!$J$2:$J$101,0))&amp;" "&amp;INDEX(코드표!$G$2:$G$101,MATCH(TRIM(RIGHT(SUBSTITUTE(TRIM(G383&amp;"")," ",REPT(" ",60)),60)),코드표!$F$2:$F$101,0)),"⚠"&amp;TRIM(G383&amp;""))),"⚠"&amp;TRIM(G383&amp;""))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",TRIM(H383&amp;""))-1),코드표!$J$2:$J$101,0)),ISNUMBER(MATCH(TRIM(RIGHT(SUBSTITUTE(TRIM(H383&amp;"")," ",REPT(" ",60)),60)),코드표!$F$2:$F$101,0))),INDEX(코드표!$K$2:$K$101,MATCH(LEFT(TRIM(H383&amp;""),FIND(" ",TRIM(H383&amp;""))-1),코드표!$J$2:$J$101,0))&amp;" "&amp;INDEX(코드표!$G$2:$G$101,MATCH(TRIM(RIGHT(SUBSTITUTE(TRIM(H383&amp;"")," ",REPT(" ",60)),60)),코드표!$F$2:$F$101,0)),"⚠"&amp;TRIM(H383&amp;""))),"⚠"&amp;TRIM(H383&amp;""))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",TRIM(I383&amp;""))-1),코드표!$J$2:$J$101,0)),ISNUMBER(MATCH(TRIM(RIGHT(SUBSTITUTE(TRIM(I383&amp;"")," ",REPT(" ",60)),60)),코드표!$F$2:$F$101,0))),INDEX(코드표!$K$2:$K$101,MATCH(LEFT(TRIM(I383&amp;""),FIND(" ",TRIM(I383&amp;""))-1),코드표!$J$2:$J$101,0))&amp;" "&amp;INDEX(코드표!$G$2:$G$101,MATCH(TRIM(RIGHT(SUBSTITUTE(TRIM(I383&amp;"")," ",REPT(" ",60)),60)),코드표!$F$2:$F$101,0)),"⚠"&amp;TRIM(I383&amp;""))),"⚠"&amp;TRIM(I383&amp;""))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",TRIM(J383&amp;""))-1),코드표!$J$2:$J$101,0)),ISNUMBER(MATCH(TRIM(RIGHT(SUBSTITUTE(TRIM(J383&amp;"")," ",REPT(" ",60)),60)),코드표!$F$2:$F$101,0))),INDEX(코드표!$K$2:$K$101,MATCH(LEFT(TRIM(J383&amp;""),FIND(" ",TRIM(J383&amp;""))-1),코드표!$J$2:$J$101,0))&amp;" "&amp;INDEX(코드표!$G$2:$G$101,MATCH(TRIM(RIGHT(SUBSTITUTE(TRIM(J383&amp;"")," ",REPT(" ",60)),60)),코드표!$F$2:$F$101,0)),"⚠"&amp;TRIM(J383&amp;""))),"⚠"&amp;TRIM(J383&amp;""))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",TRIM(E384&amp;""))-1),코드표!$J$2:$J$101,0)),ISNUMBER(MATCH(TRIM(RIGHT(SUBSTITUTE(TRIM(E384&amp;"")," ",REPT(" ",60)),60)),코드표!$F$2:$F$101,0))),INDEX(코드표!$K$2:$K$101,MATCH(LEFT(TRIM(E384&amp;""),FIND(" ",TRIM(E384&amp;""))-1),코드표!$J$2:$J$101,0))&amp;" "&amp;INDEX(코드표!$G$2:$G$101,MATCH(TRIM(RIGHT(SUBSTITUTE(TRIM(E384&amp;"")," ",REPT(" ",60)),60)),코드표!$F$2:$F$101,0)),"⚠"&amp;TRIM(E384&amp;""))),"⚠"&amp;TRIM(E384&amp;""))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",TRIM(F384&amp;""))-1),코드표!$J$2:$J$101,0)),ISNUMBER(MATCH(TRIM(RIGHT(SUBSTITUTE(TRIM(F384&amp;"")," ",REPT(" ",60)),60)),코드표!$F$2:$F$101,0))),INDEX(코드표!$K$2:$K$101,MATCH(LEFT(TRIM(F384&amp;""),FIND(" ",TRIM(F384&amp;""))-1),코드표!$J$2:$J$101,0))&amp;" "&amp;INDEX(코드표!$G$2:$G$101,MATCH(TRIM(RIGHT(SUBSTITUTE(TRIM(F384&amp;"")," ",REPT(" ",60)),60)),코드표!$F$2:$F$101,0)),"⚠"&amp;TRIM(F384&amp;""))),"⚠"&amp;TRIM(F384&amp;""))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",TRIM(G384&amp;""))-1),코드표!$J$2:$J$101,0)),ISNUMBER(MATCH(TRIM(RIGHT(SUBSTITUTE(TRIM(G384&amp;"")," ",REPT(" ",60)),60)),코드표!$F$2:$F$101,0))),INDEX(코드표!$K$2:$K$101,MATCH(LEFT(TRIM(G384&amp;""),FIND(" ",TRIM(G384&amp;""))-1),코드표!$J$2:$J$101,0))&amp;" "&amp;INDEX(코드표!$G$2:$G$101,MATCH(TRIM(RIGHT(SUBSTITUTE(TRIM(G384&amp;"")," ",REPT(" ",60)),60)),코드표!$F$2:$F$101,0)),"⚠"&amp;TRIM(G384&amp;""))),"⚠"&amp;TRIM(G384&amp;""))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",TRIM(H384&amp;""))-1),코드표!$J$2:$J$101,0)),ISNUMBER(MATCH(TRIM(RIGHT(SUBSTITUTE(TRIM(H384&amp;"")," ",REPT(" ",60)),60)),코드표!$F$2:$F$101,0))),INDEX(코드표!$K$2:$K$101,MATCH(LEFT(TRIM(H384&amp;""),FIND(" ",TRIM(H384&amp;""))-1),코드표!$J$2:$J$101,0))&amp;" "&amp;INDEX(코드표!$G$2:$G$101,MATCH(TRIM(RIGHT(SUBSTITUTE(TRIM(H384&amp;"")," ",REPT(" ",60)),60)),코드표!$F$2:$F$101,0)),"⚠"&amp;TRIM(H384&amp;""))),"⚠"&amp;TRIM(H384&amp;""))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",TRIM(I384&amp;""))-1),코드표!$J$2:$J$101,0)),ISNUMBER(MATCH(TRIM(RIGHT(SUBSTITUTE(TRIM(I384&amp;"")," ",REPT(" ",60)),60)),코드표!$F$2:$F$101,0))),INDEX(코드표!$K$2:$K$101,MATCH(LEFT(TRIM(I384&amp;""),FIND(" ",TRIM(I384&amp;""))-1),코드표!$J$2:$J$101,0))&amp;" "&amp;INDEX(코드표!$G$2:$G$101,MATCH(TRIM(RIGHT(SUBSTITUTE(TRIM(I384&amp;"")," ",REPT(" ",60)),60)),코드표!$F$2:$F$101,0)),"⚠"&amp;TRIM(I384&amp;""))),"⚠"&amp;TRIM(I384&amp;""))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",TRIM(J384&amp;""))-1),코드표!$J$2:$J$101,0)),ISNUMBER(MATCH(TRIM(RIGHT(SUBSTITUTE(TRIM(J384&amp;"")," ",REPT(" ",60)),60)),코드표!$F$2:$F$101,0))),INDEX(코드표!$K$2:$K$101,MATCH(LEFT(TRIM(J384&amp;""),FIND(" ",TRIM(J384&amp;""))-1),코드표!$J$2:$J$101,0))&amp;" "&amp;INDEX(코드표!$G$2:$G$101,MATCH(TRIM(RIGHT(SUBSTITUTE(TRIM(J384&amp;"")," ",REPT(" ",60)),60)),코드표!$F$2:$F$101,0)),"⚠"&amp;TRIM(J384&amp;""))),"⚠"&amp;TRIM(J384&amp;""))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",TRIM(E385&amp;""))-1),코드표!$J$2:$J$101,0)),ISNUMBER(MATCH(TRIM(RIGHT(SUBSTITUTE(TRIM(E385&amp;"")," ",REPT(" ",60)),60)),코드표!$F$2:$F$101,0))),INDEX(코드표!$K$2:$K$101,MATCH(LEFT(TRIM(E385&amp;""),FIND(" ",TRIM(E385&amp;""))-1),코드표!$J$2:$J$101,0))&amp;" "&amp;INDEX(코드표!$G$2:$G$101,MATCH(TRIM(RIGHT(SUBSTITUTE(TRIM(E385&amp;"")," ",REPT(" ",60)),60)),코드표!$F$2:$F$101,0)),"⚠"&amp;TRIM(E385&amp;""))),"⚠"&amp;TRIM(E385&amp;""))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",TRIM(F385&amp;""))-1),코드표!$J$2:$J$101,0)),ISNUMBER(MATCH(TRIM(RIGHT(SUBSTITUTE(TRIM(F385&amp;"")," ",REPT(" ",60)),60)),코드표!$F$2:$F$101,0))),INDEX(코드표!$K$2:$K$101,MATCH(LEFT(TRIM(F385&amp;""),FIND(" ",TRIM(F385&amp;""))-1),코드표!$J$2:$J$101,0))&amp;" "&amp;INDEX(코드표!$G$2:$G$101,MATCH(TRIM(RIGHT(SUBSTITUTE(TRIM(F385&amp;"")," ",REPT(" ",60)),60)),코드표!$F$2:$F$101,0)),"⚠"&amp;TRIM(F385&amp;""))),"⚠"&amp;TRIM(F385&amp;""))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",TRIM(G385&amp;""))-1),코드표!$J$2:$J$101,0)),ISNUMBER(MATCH(TRIM(RIGHT(SUBSTITUTE(TRIM(G385&amp;"")," ",REPT(" ",60)),60)),코드표!$F$2:$F$101,0))),INDEX(코드표!$K$2:$K$101,MATCH(LEFT(TRIM(G385&amp;""),FIND(" ",TRIM(G385&amp;""))-1),코드표!$J$2:$J$101,0))&amp;" "&amp;INDEX(코드표!$G$2:$G$101,MATCH(TRIM(RIGHT(SUBSTITUTE(TRIM(G385&amp;"")," ",REPT(" ",60)),60)),코드표!$F$2:$F$101,0)),"⚠"&amp;TRIM(G385&amp;""))),"⚠"&amp;TRIM(G385&amp;""))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",TRIM(H385&amp;""))-1),코드표!$J$2:$J$101,0)),ISNUMBER(MATCH(TRIM(RIGHT(SUBSTITUTE(TRIM(H385&amp;"")," ",REPT(" ",60)),60)),코드표!$F$2:$F$101,0))),INDEX(코드표!$K$2:$K$101,MATCH(LEFT(TRIM(H385&amp;""),FIND(" ",TRIM(H385&amp;""))-1),코드표!$J$2:$J$101,0))&amp;" "&amp;INDEX(코드표!$G$2:$G$101,MATCH(TRIM(RIGHT(SUBSTITUTE(TRIM(H385&amp;"")," ",REPT(" ",60)),60)),코드표!$F$2:$F$101,0)),"⚠"&amp;TRIM(H385&amp;""))),"⚠"&amp;TRIM(H385&amp;""))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",TRIM(I385&amp;""))-1),코드표!$J$2:$J$101,0)),ISNUMBER(MATCH(TRIM(RIGHT(SUBSTITUTE(TRIM(I385&amp;"")," ",REPT(" ",60)),60)),코드표!$F$2:$F$101,0))),INDEX(코드표!$K$2:$K$101,MATCH(LEFT(TRIM(I385&amp;""),FIND(" ",TRIM(I385&amp;""))-1),코드표!$J$2:$J$101,0))&amp;" "&amp;INDEX(코드표!$G$2:$G$101,MATCH(TRIM(RIGHT(SUBSTITUTE(TRIM(I385&amp;"")," ",REPT(" ",60)),60)),코드표!$F$2:$F$101,0)),"⚠"&amp;TRIM(I385&amp;""))),"⚠"&amp;TRIM(I385&amp;""))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",TRIM(J385&amp;""))-1),코드표!$J$2:$J$101,0)),ISNUMBER(MATCH(TRIM(RIGHT(SUBSTITUTE(TRIM(J385&amp;"")," ",REPT(" ",60)),60)),코드표!$F$2:$F$101,0))),INDEX(코드표!$K$2:$K$101,MATCH(LEFT(TRIM(J385&amp;""),FIND(" ",TRIM(J385&amp;""))-1),코드표!$J$2:$J$101,0))&amp;" "&amp;INDEX(코드표!$G$2:$G$101,MATCH(TRIM(RIGHT(SUBSTITUTE(TRIM(J385&amp;"")," ",REPT(" ",60)),60)),코드표!$F$2:$F$101,0)),"⚠"&amp;TRIM(J385&amp;""))),"⚠"&amp;TRIM(J385&amp;""))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",TRIM(E386&amp;""))-1),코드표!$J$2:$J$101,0)),ISNUMBER(MATCH(TRIM(RIGHT(SUBSTITUTE(TRIM(E386&amp;"")," ",REPT(" ",60)),60)),코드표!$F$2:$F$101,0))),INDEX(코드표!$K$2:$K$101,MATCH(LEFT(TRIM(E386&amp;""),FIND(" ",TRIM(E386&amp;""))-1),코드표!$J$2:$J$101,0))&amp;" "&amp;INDEX(코드표!$G$2:$G$101,MATCH(TRIM(RIGHT(SUBSTITUTE(TRIM(E386&amp;"")," ",REPT(" ",60)),60)),코드표!$F$2:$F$101,0)),"⚠"&amp;TRIM(E386&amp;""))),"⚠"&amp;TRIM(E386&amp;""))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",TRIM(F386&amp;""))-1),코드표!$J$2:$J$101,0)),ISNUMBER(MATCH(TRIM(RIGHT(SUBSTITUTE(TRIM(F386&amp;"")," ",REPT(" ",60)),60)),코드표!$F$2:$F$101,0))),INDEX(코드표!$K$2:$K$101,MATCH(LEFT(TRIM(F386&amp;""),FIND(" ",TRIM(F386&amp;""))-1),코드표!$J$2:$J$101,0))&amp;" "&amp;INDEX(코드표!$G$2:$G$101,MATCH(TRIM(RIGHT(SUBSTITUTE(TRIM(F386&amp;"")," ",REPT(" ",60)),60)),코드표!$F$2:$F$101,0)),"⚠"&amp;TRIM(F386&amp;""))),"⚠"&amp;TRIM(F386&amp;""))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",TRIM(G386&amp;""))-1),코드표!$J$2:$J$101,0)),ISNUMBER(MATCH(TRIM(RIGHT(SUBSTITUTE(TRIM(G386&amp;"")," ",REPT(" ",60)),60)),코드표!$F$2:$F$101,0))),INDEX(코드표!$K$2:$K$101,MATCH(LEFT(TRIM(G386&amp;""),FIND(" ",TRIM(G386&amp;""))-1),코드표!$J$2:$J$101,0))&amp;" "&amp;INDEX(코드표!$G$2:$G$101,MATCH(TRIM(RIGHT(SUBSTITUTE(TRIM(G386&amp;"")," ",REPT(" ",60)),60)),코드표!$F$2:$F$101,0)),"⚠"&amp;TRIM(G386&amp;""))),"⚠"&amp;TRIM(G386&amp;""))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",TRIM(H386&amp;""))-1),코드표!$J$2:$J$101,0)),ISNUMBER(MATCH(TRIM(RIGHT(SUBSTITUTE(TRIM(H386&amp;"")," ",REPT(" ",60)),60)),코드표!$F$2:$F$101,0))),INDEX(코드표!$K$2:$K$101,MATCH(LEFT(TRIM(H386&amp;""),FIND(" ",TRIM(H386&amp;""))-1),코드표!$J$2:$J$101,0))&amp;" "&amp;INDEX(코드표!$G$2:$G$101,MATCH(TRIM(RIGHT(SUBSTITUTE(TRIM(H386&amp;"")," ",REPT(" ",60)),60)),코드표!$F$2:$F$101,0)),"⚠"&amp;TRIM(H386&amp;""))),"⚠"&amp;TRIM(H386&amp;""))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",TRIM(I386&amp;""))-1),코드표!$J$2:$J$101,0)),ISNUMBER(MATCH(TRIM(RIGHT(SUBSTITUTE(TRIM(I386&amp;"")," ",REPT(" ",60)),60)),코드표!$F$2:$F$101,0))),INDEX(코드표!$K$2:$K$101,MATCH(LEFT(TRIM(I386&amp;""),FIND(" ",TRIM(I386&amp;""))-1),코드표!$J$2:$J$101,0))&amp;" "&amp;INDEX(코드표!$G$2:$G$101,MATCH(TRIM(RIGHT(SUBSTITUTE(TRIM(I386&amp;"")," ",REPT(" ",60)),60)),코드표!$F$2:$F$101,0)),"⚠"&amp;TRIM(I386&amp;""))),"⚠"&amp;TRIM(I386&amp;""))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",TRIM(J386&amp;""))-1),코드표!$J$2:$J$101,0)),ISNUMBER(MATCH(TRIM(RIGHT(SUBSTITUTE(TRIM(J386&amp;"")," ",REPT(" ",60)),60)),코드표!$F$2:$F$101,0))),INDEX(코드표!$K$2:$K$101,MATCH(LEFT(TRIM(J386&amp;""),FIND(" ",TRIM(J386&amp;""))-1),코드표!$J$2:$J$101,0))&amp;" "&amp;INDEX(코드표!$G$2:$G$101,MATCH(TRIM(RIGHT(SUBSTITUTE(TRIM(J386&amp;"")," ",REPT(" ",60)),60)),코드표!$F$2:$F$101,0)),"⚠"&amp;TRIM(J386&amp;""))),"⚠"&amp;TRIM(J386&amp;""))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",TRIM(E387&amp;""))-1),코드표!$J$2:$J$101,0)),ISNUMBER(MATCH(TRIM(RIGHT(SUBSTITUTE(TRIM(E387&amp;"")," ",REPT(" ",60)),60)),코드표!$F$2:$F$101,0))),INDEX(코드표!$K$2:$K$101,MATCH(LEFT(TRIM(E387&amp;""),FIND(" ",TRIM(E387&amp;""))-1),코드표!$J$2:$J$101,0))&amp;" "&amp;INDEX(코드표!$G$2:$G$101,MATCH(TRIM(RIGHT(SUBSTITUTE(TRIM(E387&amp;"")," ",REPT(" ",60)),60)),코드표!$F$2:$F$101,0)),"⚠"&amp;TRIM(E387&amp;""))),"⚠"&amp;TRIM(E387&amp;""))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",TRIM(F387&amp;""))-1),코드표!$J$2:$J$101,0)),ISNUMBER(MATCH(TRIM(RIGHT(SUBSTITUTE(TRIM(F387&amp;"")," ",REPT(" ",60)),60)),코드표!$F$2:$F$101,0))),INDEX(코드표!$K$2:$K$101,MATCH(LEFT(TRIM(F387&amp;""),FIND(" ",TRIM(F387&amp;""))-1),코드표!$J$2:$J$101,0))&amp;" "&amp;INDEX(코드표!$G$2:$G$101,MATCH(TRIM(RIGHT(SUBSTITUTE(TRIM(F387&amp;"")," ",REPT(" ",60)),60)),코드표!$F$2:$F$101,0)),"⚠"&amp;TRIM(F387&amp;""))),"⚠"&amp;TRIM(F387&amp;""))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",TRIM(G387&amp;""))-1),코드표!$J$2:$J$101,0)),ISNUMBER(MATCH(TRIM(RIGHT(SUBSTITUTE(TRIM(G387&amp;"")," ",REPT(" ",60)),60)),코드표!$F$2:$F$101,0))),INDEX(코드표!$K$2:$K$101,MATCH(LEFT(TRIM(G387&amp;""),FIND(" ",TRIM(G387&amp;""))-1),코드표!$J$2:$J$101,0))&amp;" "&amp;INDEX(코드표!$G$2:$G$101,MATCH(TRIM(RIGHT(SUBSTITUTE(TRIM(G387&amp;"")," ",REPT(" ",60)),60)),코드표!$F$2:$F$101,0)),"⚠"&amp;TRIM(G387&amp;""))),"⚠"&amp;TRIM(G387&amp;""))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",TRIM(H387&amp;""))-1),코드표!$J$2:$J$101,0)),ISNUMBER(MATCH(TRIM(RIGHT(SUBSTITUTE(TRIM(H387&amp;"")," ",REPT(" ",60)),60)),코드표!$F$2:$F$101,0))),INDEX(코드표!$K$2:$K$101,MATCH(LEFT(TRIM(H387&amp;""),FIND(" ",TRIM(H387&amp;""))-1),코드표!$J$2:$J$101,0))&amp;" "&amp;INDEX(코드표!$G$2:$G$101,MATCH(TRIM(RIGHT(SUBSTITUTE(TRIM(H387&amp;"")," ",REPT(" ",60)),60)),코드표!$F$2:$F$101,0)),"⚠"&amp;TRIM(H387&amp;""))),"⚠"&amp;TRIM(H387&amp;""))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",TRIM(I387&amp;""))-1),코드표!$J$2:$J$101,0)),ISNUMBER(MATCH(TRIM(RIGHT(SUBSTITUTE(TRIM(I387&amp;"")," ",REPT(" ",60)),60)),코드표!$F$2:$F$101,0))),INDEX(코드표!$K$2:$K$101,MATCH(LEFT(TRIM(I387&amp;""),FIND(" ",TRIM(I387&amp;""))-1),코드표!$J$2:$J$101,0))&amp;" "&amp;INDEX(코드표!$G$2:$G$101,MATCH(TRIM(RIGHT(SUBSTITUTE(TRIM(I387&amp;"")," ",REPT(" ",60)),60)),코드표!$F$2:$F$101,0)),"⚠"&amp;TRIM(I387&amp;""))),"⚠"&amp;TRIM(I387&amp;""))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",TRIM(J387&amp;""))-1),코드표!$J$2:$J$101,0)),ISNUMBER(MATCH(TRIM(RIGHT(SUBSTITUTE(TRIM(J387&amp;"")," ",REPT(" ",60)),60)),코드표!$F$2:$F$101,0))),INDEX(코드표!$K$2:$K$101,MATCH(LEFT(TRIM(J387&amp;""),FIND(" ",TRIM(J387&amp;""))-1),코드표!$J$2:$J$101,0))&amp;" "&amp;INDEX(코드표!$G$2:$G$101,MATCH(TRIM(RIGHT(SUBSTITUTE(TRIM(J387&amp;"")," ",REPT(" ",60)),60)),코드표!$F$2:$F$101,0)),"⚠"&amp;TRIM(J387&amp;""))),"⚠"&amp;TRIM(J387&amp;""))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",TRIM(E388&amp;""))-1),코드표!$J$2:$J$101,0)),ISNUMBER(MATCH(TRIM(RIGHT(SUBSTITUTE(TRIM(E388&amp;"")," ",REPT(" ",60)),60)),코드표!$F$2:$F$101,0))),INDEX(코드표!$K$2:$K$101,MATCH(LEFT(TRIM(E388&amp;""),FIND(" ",TRIM(E388&amp;""))-1),코드표!$J$2:$J$101,0))&amp;" "&amp;INDEX(코드표!$G$2:$G$101,MATCH(TRIM(RIGHT(SUBSTITUTE(TRIM(E388&amp;"")," ",REPT(" ",60)),60)),코드표!$F$2:$F$101,0)),"⚠"&amp;TRIM(E388&amp;""))),"⚠"&amp;TRIM(E388&amp;""))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",TRIM(F388&amp;""))-1),코드표!$J$2:$J$101,0)),ISNUMBER(MATCH(TRIM(RIGHT(SUBSTITUTE(TRIM(F388&amp;"")," ",REPT(" ",60)),60)),코드표!$F$2:$F$101,0))),INDEX(코드표!$K$2:$K$101,MATCH(LEFT(TRIM(F388&amp;""),FIND(" ",TRIM(F388&amp;""))-1),코드표!$J$2:$J$101,0))&amp;" "&amp;INDEX(코드표!$G$2:$G$101,MATCH(TRIM(RIGHT(SUBSTITUTE(TRIM(F388&amp;"")," ",REPT(" ",60)),60)),코드표!$F$2:$F$101,0)),"⚠"&amp;TRIM(F388&amp;""))),"⚠"&amp;TRIM(F388&amp;""))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",TRIM(G388&amp;""))-1),코드표!$J$2:$J$101,0)),ISNUMBER(MATCH(TRIM(RIGHT(SUBSTITUTE(TRIM(G388&amp;"")," ",REPT(" ",60)),60)),코드표!$F$2:$F$101,0))),INDEX(코드표!$K$2:$K$101,MATCH(LEFT(TRIM(G388&amp;""),FIND(" ",TRIM(G388&amp;""))-1),코드표!$J$2:$J$101,0))&amp;" "&amp;INDEX(코드표!$G$2:$G$101,MATCH(TRIM(RIGHT(SUBSTITUTE(TRIM(G388&amp;"")," ",REPT(" ",60)),60)),코드표!$F$2:$F$101,0)),"⚠"&amp;TRIM(G388&amp;""))),"⚠"&amp;TRIM(G388&amp;""))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",TRIM(H388&amp;""))-1),코드표!$J$2:$J$101,0)),ISNUMBER(MATCH(TRIM(RIGHT(SUBSTITUTE(TRIM(H388&amp;"")," ",REPT(" ",60)),60)),코드표!$F$2:$F$101,0))),INDEX(코드표!$K$2:$K$101,MATCH(LEFT(TRIM(H388&amp;""),FIND(" ",TRIM(H388&amp;""))-1),코드표!$J$2:$J$101,0))&amp;" "&amp;INDEX(코드표!$G$2:$G$101,MATCH(TRIM(RIGHT(SUBSTITUTE(TRIM(H388&amp;"")," ",REPT(" ",60)),60)),코드표!$F$2:$F$101,0)),"⚠"&amp;TRIM(H388&amp;""))),"⚠"&amp;TRIM(H388&amp;""))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",TRIM(I388&amp;""))-1),코드표!$J$2:$J$101,0)),ISNUMBER(MATCH(TRIM(RIGHT(SUBSTITUTE(TRIM(I388&amp;"")," ",REPT(" ",60)),60)),코드표!$F$2:$F$101,0))),INDEX(코드표!$K$2:$K$101,MATCH(LEFT(TRIM(I388&amp;""),FIND(" ",TRIM(I388&amp;""))-1),코드표!$J$2:$J$101,0))&amp;" "&amp;INDEX(코드표!$G$2:$G$101,MATCH(TRIM(RIGHT(SUBSTITUTE(TRIM(I388&amp;"")," ",REPT(" ",60)),60)),코드표!$F$2:$F$101,0)),"⚠"&amp;TRIM(I388&amp;""))),"⚠"&amp;TRIM(I388&amp;""))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",TRIM(J388&amp;""))-1),코드표!$J$2:$J$101,0)),ISNUMBER(MATCH(TRIM(RIGHT(SUBSTITUTE(TRIM(J388&amp;"")," ",REPT(" ",60)),60)),코드표!$F$2:$F$101,0))),INDEX(코드표!$K$2:$K$101,MATCH(LEFT(TRIM(J388&amp;""),FIND(" ",TRIM(J388&amp;""))-1),코드표!$J$2:$J$101,0))&amp;" "&amp;INDEX(코드표!$G$2:$G$101,MATCH(TRIM(RIGHT(SUBSTITUTE(TRIM(J388&amp;"")," ",REPT(" ",60)),60)),코드표!$F$2:$F$101,0)),"⚠"&amp;TRIM(J388&amp;""))),"⚠"&amp;TRIM(J388&amp;""))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",TRIM(E389&amp;""))-1),코드표!$J$2:$J$101,0)),ISNUMBER(MATCH(TRIM(RIGHT(SUBSTITUTE(TRIM(E389&amp;"")," ",REPT(" ",60)),60)),코드표!$F$2:$F$101,0))),INDEX(코드표!$K$2:$K$101,MATCH(LEFT(TRIM(E389&amp;""),FIND(" ",TRIM(E389&amp;""))-1),코드표!$J$2:$J$101,0))&amp;" "&amp;INDEX(코드표!$G$2:$G$101,MATCH(TRIM(RIGHT(SUBSTITUTE(TRIM(E389&amp;"")," ",REPT(" ",60)),60)),코드표!$F$2:$F$101,0)),"⚠"&amp;TRIM(E389&amp;""))),"⚠"&amp;TRIM(E389&amp;""))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",TRIM(F389&amp;""))-1),코드표!$J$2:$J$101,0)),ISNUMBER(MATCH(TRIM(RIGHT(SUBSTITUTE(TRIM(F389&amp;"")," ",REPT(" ",60)),60)),코드표!$F$2:$F$101,0))),INDEX(코드표!$K$2:$K$101,MATCH(LEFT(TRIM(F389&amp;""),FIND(" ",TRIM(F389&amp;""))-1),코드표!$J$2:$J$101,0))&amp;" "&amp;INDEX(코드표!$G$2:$G$101,MATCH(TRIM(RIGHT(SUBSTITUTE(TRIM(F389&amp;"")," ",REPT(" ",60)),60)),코드표!$F$2:$F$101,0)),"⚠"&amp;TRIM(F389&amp;""))),"⚠"&amp;TRIM(F389&amp;""))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",TRIM(G389&amp;""))-1),코드표!$J$2:$J$101,0)),ISNUMBER(MATCH(TRIM(RIGHT(SUBSTITUTE(TRIM(G389&amp;"")," ",REPT(" ",60)),60)),코드표!$F$2:$F$101,0))),INDEX(코드표!$K$2:$K$101,MATCH(LEFT(TRIM(G389&amp;""),FIND(" ",TRIM(G389&amp;""))-1),코드표!$J$2:$J$101,0))&amp;" "&amp;INDEX(코드표!$G$2:$G$101,MATCH(TRIM(RIGHT(SUBSTITUTE(TRIM(G389&amp;"")," ",REPT(" ",60)),60)),코드표!$F$2:$F$101,0)),"⚠"&amp;TRIM(G389&amp;""))),"⚠"&amp;TRIM(G389&amp;""))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",TRIM(H389&amp;""))-1),코드표!$J$2:$J$101,0)),ISNUMBER(MATCH(TRIM(RIGHT(SUBSTITUTE(TRIM(H389&amp;"")," ",REPT(" ",60)),60)),코드표!$F$2:$F$101,0))),INDEX(코드표!$K$2:$K$101,MATCH(LEFT(TRIM(H389&amp;""),FIND(" ",TRIM(H389&amp;""))-1),코드표!$J$2:$J$101,0))&amp;" "&amp;INDEX(코드표!$G$2:$G$101,MATCH(TRIM(RIGHT(SUBSTITUTE(TRIM(H389&amp;"")," ",REPT(" ",60)),60)),코드표!$F$2:$F$101,0)),"⚠"&amp;TRIM(H389&amp;""))),"⚠"&amp;TRIM(H389&amp;""))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",TRIM(I389&amp;""))-1),코드표!$J$2:$J$101,0)),ISNUMBER(MATCH(TRIM(RIGHT(SUBSTITUTE(TRIM(I389&amp;"")," ",REPT(" ",60)),60)),코드표!$F$2:$F$101,0))),INDEX(코드표!$K$2:$K$101,MATCH(LEFT(TRIM(I389&amp;""),FIND(" ",TRIM(I389&amp;""))-1),코드표!$J$2:$J$101,0))&amp;" "&amp;INDEX(코드표!$G$2:$G$101,MATCH(TRIM(RIGHT(SUBSTITUTE(TRIM(I389&amp;"")," ",REPT(" ",60)),60)),코드표!$F$2:$F$101,0)),"⚠"&amp;TRIM(I389&amp;""))),"⚠"&amp;TRIM(I389&amp;""))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",TRIM(J389&amp;""))-1),코드표!$J$2:$J$101,0)),ISNUMBER(MATCH(TRIM(RIGHT(SUBSTITUTE(TRIM(J389&amp;"")," ",REPT(" ",60)),60)),코드표!$F$2:$F$101,0))),INDEX(코드표!$K$2:$K$101,MATCH(LEFT(TRIM(J389&amp;""),FIND(" ",TRIM(J389&amp;""))-1),코드표!$J$2:$J$101,0))&amp;" "&amp;INDEX(코드표!$G$2:$G$101,MATCH(TRIM(RIGHT(SUBSTITUTE(TRIM(J389&amp;"")," ",REPT(" ",60)),60)),코드표!$F$2:$F$101,0)),"⚠"&amp;TRIM(J389&amp;""))),"⚠"&amp;TRIM(J389&amp;""))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",TRIM(E390&amp;""))-1),코드표!$J$2:$J$101,0)),ISNUMBER(MATCH(TRIM(RIGHT(SUBSTITUTE(TRIM(E390&amp;"")," ",REPT(" ",60)),60)),코드표!$F$2:$F$101,0))),INDEX(코드표!$K$2:$K$101,MATCH(LEFT(TRIM(E390&amp;""),FIND(" ",TRIM(E390&amp;""))-1),코드표!$J$2:$J$101,0))&amp;" "&amp;INDEX(코드표!$G$2:$G$101,MATCH(TRIM(RIGHT(SUBSTITUTE(TRIM(E390&amp;"")," ",REPT(" ",60)),60)),코드표!$F$2:$F$101,0)),"⚠"&amp;TRIM(E390&amp;""))),"⚠"&amp;TRIM(E390&amp;""))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",TRIM(F390&amp;""))-1),코드표!$J$2:$J$101,0)),ISNUMBER(MATCH(TRIM(RIGHT(SUBSTITUTE(TRIM(F390&amp;"")," ",REPT(" ",60)),60)),코드표!$F$2:$F$101,0))),INDEX(코드표!$K$2:$K$101,MATCH(LEFT(TRIM(F390&amp;""),FIND(" ",TRIM(F390&amp;""))-1),코드표!$J$2:$J$101,0))&amp;" "&amp;INDEX(코드표!$G$2:$G$101,MATCH(TRIM(RIGHT(SUBSTITUTE(TRIM(F390&amp;"")," ",REPT(" ",60)),60)),코드표!$F$2:$F$101,0)),"⚠"&amp;TRIM(F390&amp;""))),"⚠"&amp;TRIM(F390&amp;""))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",TRIM(G390&amp;""))-1),코드표!$J$2:$J$101,0)),ISNUMBER(MATCH(TRIM(RIGHT(SUBSTITUTE(TRIM(G390&amp;"")," ",REPT(" ",60)),60)),코드표!$F$2:$F$101,0))),INDEX(코드표!$K$2:$K$101,MATCH(LEFT(TRIM(G390&amp;""),FIND(" ",TRIM(G390&amp;""))-1),코드표!$J$2:$J$101,0))&amp;" "&amp;INDEX(코드표!$G$2:$G$101,MATCH(TRIM(RIGHT(SUBSTITUTE(TRIM(G390&amp;"")," ",REPT(" ",60)),60)),코드표!$F$2:$F$101,0)),"⚠"&amp;TRIM(G390&amp;""))),"⚠"&amp;TRIM(G390&amp;""))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",TRIM(H390&amp;""))-1),코드표!$J$2:$J$101,0)),ISNUMBER(MATCH(TRIM(RIGHT(SUBSTITUTE(TRIM(H390&amp;"")," ",REPT(" ",60)),60)),코드표!$F$2:$F$101,0))),INDEX(코드표!$K$2:$K$101,MATCH(LEFT(TRIM(H390&amp;""),FIND(" ",TRIM(H390&amp;""))-1),코드표!$J$2:$J$101,0))&amp;" "&amp;INDEX(코드표!$G$2:$G$101,MATCH(TRIM(RIGHT(SUBSTITUTE(TRIM(H390&amp;"")," ",REPT(" ",60)),60)),코드표!$F$2:$F$101,0)),"⚠"&amp;TRIM(H390&amp;""))),"⚠"&amp;TRIM(H390&amp;""))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",TRIM(I390&amp;""))-1),코드표!$J$2:$J$101,0)),ISNUMBER(MATCH(TRIM(RIGHT(SUBSTITUTE(TRIM(I390&amp;"")," ",REPT(" ",60)),60)),코드표!$F$2:$F$101,0))),INDEX(코드표!$K$2:$K$101,MATCH(LEFT(TRIM(I390&amp;""),FIND(" ",TRIM(I390&amp;""))-1),코드표!$J$2:$J$101,0))&amp;" "&amp;INDEX(코드표!$G$2:$G$101,MATCH(TRIM(RIGHT(SUBSTITUTE(TRIM(I390&amp;"")," ",REPT(" ",60)),60)),코드표!$F$2:$F$101,0)),"⚠"&amp;TRIM(I390&amp;""))),"⚠"&amp;TRIM(I390&amp;""))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",TRIM(J390&amp;""))-1),코드표!$J$2:$J$101,0)),ISNUMBER(MATCH(TRIM(RIGHT(SUBSTITUTE(TRIM(J390&amp;"")," ",REPT(" ",60)),60)),코드표!$F$2:$F$101,0))),INDEX(코드표!$K$2:$K$101,MATCH(LEFT(TRIM(J390&amp;""),FIND(" ",TRIM(J390&amp;""))-1),코드표!$J$2:$J$101,0))&amp;" "&amp;INDEX(코드표!$G$2:$G$101,MATCH(TRIM(RIGHT(SUBSTITUTE(TRIM(J390&amp;"")," ",REPT(" ",60)),60)),코드표!$F$2:$F$101,0)),"⚠"&amp;TRIM(J390&amp;""))),"⚠"&amp;TRIM(J390&amp;""))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",TRIM(E391&amp;""))-1),코드표!$J$2:$J$101,0)),ISNUMBER(MATCH(TRIM(RIGHT(SUBSTITUTE(TRIM(E391&amp;"")," ",REPT(" ",60)),60)),코드표!$F$2:$F$101,0))),INDEX(코드표!$K$2:$K$101,MATCH(LEFT(TRIM(E391&amp;""),FIND(" ",TRIM(E391&amp;""))-1),코드표!$J$2:$J$101,0))&amp;" "&amp;INDEX(코드표!$G$2:$G$101,MATCH(TRIM(RIGHT(SUBSTITUTE(TRIM(E391&amp;"")," ",REPT(" ",60)),60)),코드표!$F$2:$F$101,0)),"⚠"&amp;TRIM(E391&amp;""))),"⚠"&amp;TRIM(E391&amp;""))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",TRIM(F391&amp;""))-1),코드표!$J$2:$J$101,0)),ISNUMBER(MATCH(TRIM(RIGHT(SUBSTITUTE(TRIM(F391&amp;"")," ",REPT(" ",60)),60)),코드표!$F$2:$F$101,0))),INDEX(코드표!$K$2:$K$101,MATCH(LEFT(TRIM(F391&amp;""),FIND(" ",TRIM(F391&amp;""))-1),코드표!$J$2:$J$101,0))&amp;" "&amp;INDEX(코드표!$G$2:$G$101,MATCH(TRIM(RIGHT(SUBSTITUTE(TRIM(F391&amp;"")," ",REPT(" ",60)),60)),코드표!$F$2:$F$101,0)),"⚠"&amp;TRIM(F391&amp;""))),"⚠"&amp;TRIM(F391&amp;""))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",TRIM(G391&amp;""))-1),코드표!$J$2:$J$101,0)),ISNUMBER(MATCH(TRIM(RIGHT(SUBSTITUTE(TRIM(G391&amp;"")," ",REPT(" ",60)),60)),코드표!$F$2:$F$101,0))),INDEX(코드표!$K$2:$K$101,MATCH(LEFT(TRIM(G391&amp;""),FIND(" ",TRIM(G391&amp;""))-1),코드표!$J$2:$J$101,0))&amp;" "&amp;INDEX(코드표!$G$2:$G$101,MATCH(TRIM(RIGHT(SUBSTITUTE(TRIM(G391&amp;"")," ",REPT(" ",60)),60)),코드표!$F$2:$F$101,0)),"⚠"&amp;TRIM(G391&amp;""))),"⚠"&amp;TRIM(G391&amp;""))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",TRIM(H391&amp;""))-1),코드표!$J$2:$J$101,0)),ISNUMBER(MATCH(TRIM(RIGHT(SUBSTITUTE(TRIM(H391&amp;"")," ",REPT(" ",60)),60)),코드표!$F$2:$F$101,0))),INDEX(코드표!$K$2:$K$101,MATCH(LEFT(TRIM(H391&amp;""),FIND(" ",TRIM(H391&amp;""))-1),코드표!$J$2:$J$101,0))&amp;" "&amp;INDEX(코드표!$G$2:$G$101,MATCH(TRIM(RIGHT(SUBSTITUTE(TRIM(H391&amp;"")," ",REPT(" ",60)),60)),코드표!$F$2:$F$101,0)),"⚠"&amp;TRIM(H391&amp;""))),"⚠"&amp;TRIM(H391&amp;""))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",TRIM(I391&amp;""))-1),코드표!$J$2:$J$101,0)),ISNUMBER(MATCH(TRIM(RIGHT(SUBSTITUTE(TRIM(I391&amp;"")," ",REPT(" ",60)),60)),코드표!$F$2:$F$101,0))),INDEX(코드표!$K$2:$K$101,MATCH(LEFT(TRIM(I391&amp;""),FIND(" ",TRIM(I391&amp;""))-1),코드표!$J$2:$J$101,0))&amp;" "&amp;INDEX(코드표!$G$2:$G$101,MATCH(TRIM(RIGHT(SUBSTITUTE(TRIM(I391&amp;"")," ",REPT(" ",60)),60)),코드표!$F$2:$F$101,0)),"⚠"&amp;TRIM(I391&amp;""))),"⚠"&amp;TRIM(I391&amp;""))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",TRIM(J391&amp;""))-1),코드표!$J$2:$J$101,0)),ISNUMBER(MATCH(TRIM(RIGHT(SUBSTITUTE(TRIM(J391&amp;"")," ",REPT(" ",60)),60)),코드표!$F$2:$F$101,0))),INDEX(코드표!$K$2:$K$101,MATCH(LEFT(TRIM(J391&amp;""),FIND(" ",TRIM(J391&amp;""))-1),코드표!$J$2:$J$101,0))&amp;" "&amp;INDEX(코드표!$G$2:$G$101,MATCH(TRIM(RIGHT(SUBSTITUTE(TRIM(J391&amp;"")," ",REPT(" ",60)),60)),코드표!$F$2:$F$101,0)),"⚠"&amp;TRIM(J391&amp;""))),"⚠"&amp;TRIM(J391&amp;""))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",TRIM(E392&amp;""))-1),코드표!$J$2:$J$101,0)),ISNUMBER(MATCH(TRIM(RIGHT(SUBSTITUTE(TRIM(E392&amp;"")," ",REPT(" ",60)),60)),코드표!$F$2:$F$101,0))),INDEX(코드표!$K$2:$K$101,MATCH(LEFT(TRIM(E392&amp;""),FIND(" ",TRIM(E392&amp;""))-1),코드표!$J$2:$J$101,0))&amp;" "&amp;INDEX(코드표!$G$2:$G$101,MATCH(TRIM(RIGHT(SUBSTITUTE(TRIM(E392&amp;"")," ",REPT(" ",60)),60)),코드표!$F$2:$F$101,0)),"⚠"&amp;TRIM(E392&amp;""))),"⚠"&amp;TRIM(E392&amp;""))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",TRIM(F392&amp;""))-1),코드표!$J$2:$J$101,0)),ISNUMBER(MATCH(TRIM(RIGHT(SUBSTITUTE(TRIM(F392&amp;"")," ",REPT(" ",60)),60)),코드표!$F$2:$F$101,0))),INDEX(코드표!$K$2:$K$101,MATCH(LEFT(TRIM(F392&amp;""),FIND(" ",TRIM(F392&amp;""))-1),코드표!$J$2:$J$101,0))&amp;" "&amp;INDEX(코드표!$G$2:$G$101,MATCH(TRIM(RIGHT(SUBSTITUTE(TRIM(F392&amp;"")," ",REPT(" ",60)),60)),코드표!$F$2:$F$101,0)),"⚠"&amp;TRIM(F392&amp;""))),"⚠"&amp;TRIM(F392&amp;""))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",TRIM(G392&amp;""))-1),코드표!$J$2:$J$101,0)),ISNUMBER(MATCH(TRIM(RIGHT(SUBSTITUTE(TRIM(G392&amp;"")," ",REPT(" ",60)),60)),코드표!$F$2:$F$101,0))),INDEX(코드표!$K$2:$K$101,MATCH(LEFT(TRIM(G392&amp;""),FIND(" ",TRIM(G392&amp;""))-1),코드표!$J$2:$J$101,0))&amp;" "&amp;INDEX(코드표!$G$2:$G$101,MATCH(TRIM(RIGHT(SUBSTITUTE(TRIM(G392&amp;"")," ",REPT(" ",60)),60)),코드표!$F$2:$F$101,0)),"⚠"&amp;TRIM(G392&amp;""))),"⚠"&amp;TRIM(G392&amp;""))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",TRIM(H392&amp;""))-1),코드표!$J$2:$J$101,0)),ISNUMBER(MATCH(TRIM(RIGHT(SUBSTITUTE(TRIM(H392&amp;"")," ",REPT(" ",60)),60)),코드표!$F$2:$F$101,0))),INDEX(코드표!$K$2:$K$101,MATCH(LEFT(TRIM(H392&amp;""),FIND(" ",TRIM(H392&amp;""))-1),코드표!$J$2:$J$101,0))&amp;" "&amp;INDEX(코드표!$G$2:$G$101,MATCH(TRIM(RIGHT(SUBSTITUTE(TRIM(H392&amp;"")," ",REPT(" ",60)),60)),코드표!$F$2:$F$101,0)),"⚠"&amp;TRIM(H392&amp;""))),"⚠"&amp;TRIM(H392&amp;""))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",TRIM(I392&amp;""))-1),코드표!$J$2:$J$101,0)),ISNUMBER(MATCH(TRIM(RIGHT(SUBSTITUTE(TRIM(I392&amp;"")," ",REPT(" ",60)),60)),코드표!$F$2:$F$101,0))),INDEX(코드표!$K$2:$K$101,MATCH(LEFT(TRIM(I392&amp;""),FIND(" ",TRIM(I392&amp;""))-1),코드표!$J$2:$J$101,0))&amp;" "&amp;INDEX(코드표!$G$2:$G$101,MATCH(TRIM(RIGHT(SUBSTITUTE(TRIM(I392&amp;"")," ",REPT(" ",60)),60)),코드표!$F$2:$F$101,0)),"⚠"&amp;TRIM(I392&amp;""))),"⚠"&amp;TRIM(I392&amp;""))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",TRIM(J392&amp;""))-1),코드표!$J$2:$J$101,0)),ISNUMBER(MATCH(TRIM(RIGHT(SUBSTITUTE(TRIM(J392&amp;"")," ",REPT(" ",60)),60)),코드표!$F$2:$F$101,0))),INDEX(코드표!$K$2:$K$101,MATCH(LEFT(TRIM(J392&amp;""),FIND(" ",TRIM(J392&amp;""))-1),코드표!$J$2:$J$101,0))&amp;" "&amp;INDEX(코드표!$G$2:$G$101,MATCH(TRIM(RIGHT(SUBSTITUTE(TRIM(J392&amp;"")," ",REPT(" ",60)),60)),코드표!$F$2:$F$101,0)),"⚠"&amp;TRIM(J392&amp;""))),"⚠"&amp;TRIM(J392&amp;""))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",TRIM(E393&amp;""))-1),코드표!$J$2:$J$101,0)),ISNUMBER(MATCH(TRIM(RIGHT(SUBSTITUTE(TRIM(E393&amp;"")," ",REPT(" ",60)),60)),코드표!$F$2:$F$101,0))),INDEX(코드표!$K$2:$K$101,MATCH(LEFT(TRIM(E393&amp;""),FIND(" ",TRIM(E393&amp;""))-1),코드표!$J$2:$J$101,0))&amp;" "&amp;INDEX(코드표!$G$2:$G$101,MATCH(TRIM(RIGHT(SUBSTITUTE(TRIM(E393&amp;"")," ",REPT(" ",60)),60)),코드표!$F$2:$F$101,0)),"⚠"&amp;TRIM(E393&amp;""))),"⚠"&amp;TRIM(E393&amp;""))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",TRIM(F393&amp;""))-1),코드표!$J$2:$J$101,0)),ISNUMBER(MATCH(TRIM(RIGHT(SUBSTITUTE(TRIM(F393&amp;"")," ",REPT(" ",60)),60)),코드표!$F$2:$F$101,0))),INDEX(코드표!$K$2:$K$101,MATCH(LEFT(TRIM(F393&amp;""),FIND(" ",TRIM(F393&amp;""))-1),코드표!$J$2:$J$101,0))&amp;" "&amp;INDEX(코드표!$G$2:$G$101,MATCH(TRIM(RIGHT(SUBSTITUTE(TRIM(F393&amp;"")," ",REPT(" ",60)),60)),코드표!$F$2:$F$101,0)),"⚠"&amp;TRIM(F393&amp;""))),"⚠"&amp;TRIM(F393&amp;""))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",TRIM(G393&amp;""))-1),코드표!$J$2:$J$101,0)),ISNUMBER(MATCH(TRIM(RIGHT(SUBSTITUTE(TRIM(G393&amp;"")," ",REPT(" ",60)),60)),코드표!$F$2:$F$101,0))),INDEX(코드표!$K$2:$K$101,MATCH(LEFT(TRIM(G393&amp;""),FIND(" ",TRIM(G393&amp;""))-1),코드표!$J$2:$J$101,0))&amp;" "&amp;INDEX(코드표!$G$2:$G$101,MATCH(TRIM(RIGHT(SUBSTITUTE(TRIM(G393&amp;"")," ",REPT(" ",60)),60)),코드표!$F$2:$F$101,0)),"⚠"&amp;TRIM(G393&amp;""))),"⚠"&amp;TRIM(G393&amp;""))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",TRIM(H393&amp;""))-1),코드표!$J$2:$J$101,0)),ISNUMBER(MATCH(TRIM(RIGHT(SUBSTITUTE(TRIM(H393&amp;"")," ",REPT(" ",60)),60)),코드표!$F$2:$F$101,0))),INDEX(코드표!$K$2:$K$101,MATCH(LEFT(TRIM(H393&amp;""),FIND(" ",TRIM(H393&amp;""))-1),코드표!$J$2:$J$101,0))&amp;" "&amp;INDEX(코드표!$G$2:$G$101,MATCH(TRIM(RIGHT(SUBSTITUTE(TRIM(H393&amp;"")," ",REPT(" ",60)),60)),코드표!$F$2:$F$101,0)),"⚠"&amp;TRIM(H393&amp;""))),"⚠"&amp;TRIM(H393&amp;""))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",TRIM(I393&amp;""))-1),코드표!$J$2:$J$101,0)),ISNUMBER(MATCH(TRIM(RIGHT(SUBSTITUTE(TRIM(I393&amp;"")," ",REPT(" ",60)),60)),코드표!$F$2:$F$101,0))),INDEX(코드표!$K$2:$K$101,MATCH(LEFT(TRIM(I393&amp;""),FIND(" ",TRIM(I393&amp;""))-1),코드표!$J$2:$J$101,0))&amp;" "&amp;INDEX(코드표!$G$2:$G$101,MATCH(TRIM(RIGHT(SUBSTITUTE(TRIM(I393&amp;"")," ",REPT(" ",60)),60)),코드표!$F$2:$F$101,0)),"⚠"&amp;TRIM(I393&amp;""))),"⚠"&amp;TRIM(I393&amp;""))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",TRIM(J393&amp;""))-1),코드표!$J$2:$J$101,0)),ISNUMBER(MATCH(TRIM(RIGHT(SUBSTITUTE(TRIM(J393&amp;"")," ",REPT(" ",60)),60)),코드표!$F$2:$F$101,0))),INDEX(코드표!$K$2:$K$101,MATCH(LEFT(TRIM(J393&amp;""),FIND(" ",TRIM(J393&amp;""))-1),코드표!$J$2:$J$101,0))&amp;" "&amp;INDEX(코드표!$G$2:$G$101,MATCH(TRIM(RIGHT(SUBSTITUTE(TRIM(J393&amp;"")," ",REPT(" ",60)),60)),코드표!$F$2:$F$101,0)),"⚠"&amp;TRIM(J393&amp;""))),"⚠"&amp;TRIM(J393&amp;""))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",TRIM(E394&amp;""))-1),코드표!$J$2:$J$101,0)),ISNUMBER(MATCH(TRIM(RIGHT(SUBSTITUTE(TRIM(E394&amp;"")," ",REPT(" ",60)),60)),코드표!$F$2:$F$101,0))),INDEX(코드표!$K$2:$K$101,MATCH(LEFT(TRIM(E394&amp;""),FIND(" ",TRIM(E394&amp;""))-1),코드표!$J$2:$J$101,0))&amp;" "&amp;INDEX(코드표!$G$2:$G$101,MATCH(TRIM(RIGHT(SUBSTITUTE(TRIM(E394&amp;"")," ",REPT(" ",60)),60)),코드표!$F$2:$F$101,0)),"⚠"&amp;TRIM(E394&amp;""))),"⚠"&amp;TRIM(E394&amp;""))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",TRIM(F394&amp;""))-1),코드표!$J$2:$J$101,0)),ISNUMBER(MATCH(TRIM(RIGHT(SUBSTITUTE(TRIM(F394&amp;"")," ",REPT(" ",60)),60)),코드표!$F$2:$F$101,0))),INDEX(코드표!$K$2:$K$101,MATCH(LEFT(TRIM(F394&amp;""),FIND(" ",TRIM(F394&amp;""))-1),코드표!$J$2:$J$101,0))&amp;" "&amp;INDEX(코드표!$G$2:$G$101,MATCH(TRIM(RIGHT(SUBSTITUTE(TRIM(F394&amp;"")," ",REPT(" ",60)),60)),코드표!$F$2:$F$101,0)),"⚠"&amp;TRIM(F394&amp;""))),"⚠"&amp;TRIM(F394&amp;""))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",TRIM(G394&amp;""))-1),코드표!$J$2:$J$101,0)),ISNUMBER(MATCH(TRIM(RIGHT(SUBSTITUTE(TRIM(G394&amp;"")," ",REPT(" ",60)),60)),코드표!$F$2:$F$101,0))),INDEX(코드표!$K$2:$K$101,MATCH(LEFT(TRIM(G394&amp;""),FIND(" ",TRIM(G394&amp;""))-1),코드표!$J$2:$J$101,0))&amp;" "&amp;INDEX(코드표!$G$2:$G$101,MATCH(TRIM(RIGHT(SUBSTITUTE(TRIM(G394&amp;"")," ",REPT(" ",60)),60)),코드표!$F$2:$F$101,0)),"⚠"&amp;TRIM(G394&amp;""))),"⚠"&amp;TRIM(G394&amp;""))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",TRIM(H394&amp;""))-1),코드표!$J$2:$J$101,0)),ISNUMBER(MATCH(TRIM(RIGHT(SUBSTITUTE(TRIM(H394&amp;"")," ",REPT(" ",60)),60)),코드표!$F$2:$F$101,0))),INDEX(코드표!$K$2:$K$101,MATCH(LEFT(TRIM(H394&amp;""),FIND(" ",TRIM(H394&amp;""))-1),코드표!$J$2:$J$101,0))&amp;" "&amp;INDEX(코드표!$G$2:$G$101,MATCH(TRIM(RIGHT(SUBSTITUTE(TRIM(H394&amp;"")," ",REPT(" ",60)),60)),코드표!$F$2:$F$101,0)),"⚠"&amp;TRIM(H394&amp;""))),"⚠"&amp;TRIM(H394&amp;""))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",TRIM(I394&amp;""))-1),코드표!$J$2:$J$101,0)),ISNUMBER(MATCH(TRIM(RIGHT(SUBSTITUTE(TRIM(I394&amp;"")," ",REPT(" ",60)),60)),코드표!$F$2:$F$101,0))),INDEX(코드표!$K$2:$K$101,MATCH(LEFT(TRIM(I394&amp;""),FIND(" ",TRIM(I394&amp;""))-1),코드표!$J$2:$J$101,0))&amp;" "&amp;INDEX(코드표!$G$2:$G$101,MATCH(TRIM(RIGHT(SUBSTITUTE(TRIM(I394&amp;"")," ",REPT(" ",60)),60)),코드표!$F$2:$F$101,0)),"⚠"&amp;TRIM(I394&amp;""))),"⚠"&amp;TRIM(I394&amp;""))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",TRIM(J394&amp;""))-1),코드표!$J$2:$J$101,0)),ISNUMBER(MATCH(TRIM(RIGHT(SUBSTITUTE(TRIM(J394&amp;"")," ",REPT(" ",60)),60)),코드표!$F$2:$F$101,0))),INDEX(코드표!$K$2:$K$101,MATCH(LEFT(TRIM(J394&amp;""),FIND(" ",TRIM(J394&amp;""))-1),코드표!$J$2:$J$101,0))&amp;" "&amp;INDEX(코드표!$G$2:$G$101,MATCH(TRIM(RIGHT(SUBSTITUTE(TRIM(J394&amp;"")," ",REPT(" ",60)),60)),코드표!$F$2:$F$101,0)),"⚠"&amp;TRIM(J394&amp;""))),"⚠"&amp;TRIM(J394&amp;""))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",TRIM(E395&amp;""))-1),코드표!$J$2:$J$101,0)),ISNUMBER(MATCH(TRIM(RIGHT(SUBSTITUTE(TRIM(E395&amp;"")," ",REPT(" ",60)),60)),코드표!$F$2:$F$101,0))),INDEX(코드표!$K$2:$K$101,MATCH(LEFT(TRIM(E395&amp;""),FIND(" ",TRIM(E395&amp;""))-1),코드표!$J$2:$J$101,0))&amp;" "&amp;INDEX(코드표!$G$2:$G$101,MATCH(TRIM(RIGHT(SUBSTITUTE(TRIM(E395&amp;"")," ",REPT(" ",60)),60)),코드표!$F$2:$F$101,0)),"⚠"&amp;TRIM(E395&amp;""))),"⚠"&amp;TRIM(E395&amp;""))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",TRIM(F395&amp;""))-1),코드표!$J$2:$J$101,0)),ISNUMBER(MATCH(TRIM(RIGHT(SUBSTITUTE(TRIM(F395&amp;"")," ",REPT(" ",60)),60)),코드표!$F$2:$F$101,0))),INDEX(코드표!$K$2:$K$101,MATCH(LEFT(TRIM(F395&amp;""),FIND(" ",TRIM(F395&amp;""))-1),코드표!$J$2:$J$101,0))&amp;" "&amp;INDEX(코드표!$G$2:$G$101,MATCH(TRIM(RIGHT(SUBSTITUTE(TRIM(F395&amp;"")," ",REPT(" ",60)),60)),코드표!$F$2:$F$101,0)),"⚠"&amp;TRIM(F395&amp;""))),"⚠"&amp;TRIM(F395&amp;""))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",TRIM(G395&amp;""))-1),코드표!$J$2:$J$101,0)),ISNUMBER(MATCH(TRIM(RIGHT(SUBSTITUTE(TRIM(G395&amp;"")," ",REPT(" ",60)),60)),코드표!$F$2:$F$101,0))),INDEX(코드표!$K$2:$K$101,MATCH(LEFT(TRIM(G395&amp;""),FIND(" ",TRIM(G395&amp;""))-1),코드표!$J$2:$J$101,0))&amp;" "&amp;INDEX(코드표!$G$2:$G$101,MATCH(TRIM(RIGHT(SUBSTITUTE(TRIM(G395&amp;"")," ",REPT(" ",60)),60)),코드표!$F$2:$F$101,0)),"⚠"&amp;TRIM(G395&amp;""))),"⚠"&amp;TRIM(G395&amp;""))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",TRIM(H395&amp;""))-1),코드표!$J$2:$J$101,0)),ISNUMBER(MATCH(TRIM(RIGHT(SUBSTITUTE(TRIM(H395&amp;"")," ",REPT(" ",60)),60)),코드표!$F$2:$F$101,0))),INDEX(코드표!$K$2:$K$101,MATCH(LEFT(TRIM(H395&amp;""),FIND(" ",TRIM(H395&amp;""))-1),코드표!$J$2:$J$101,0))&amp;" "&amp;INDEX(코드표!$G$2:$G$101,MATCH(TRIM(RIGHT(SUBSTITUTE(TRIM(H395&amp;"")," ",REPT(" ",60)),60)),코드표!$F$2:$F$101,0)),"⚠"&amp;TRIM(H395&amp;""))),"⚠"&amp;TRIM(H395&amp;""))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",TRIM(I395&amp;""))-1),코드표!$J$2:$J$101,0)),ISNUMBER(MATCH(TRIM(RIGHT(SUBSTITUTE(TRIM(I395&amp;"")," ",REPT(" ",60)),60)),코드표!$F$2:$F$101,0))),INDEX(코드표!$K$2:$K$101,MATCH(LEFT(TRIM(I395&amp;""),FIND(" ",TRIM(I395&amp;""))-1),코드표!$J$2:$J$101,0))&amp;" "&amp;INDEX(코드표!$G$2:$G$101,MATCH(TRIM(RIGHT(SUBSTITUTE(TRIM(I395&amp;"")," ",REPT(" ",60)),60)),코드표!$F$2:$F$101,0)),"⚠"&amp;TRIM(I395&amp;""))),"⚠"&amp;TRIM(I395&amp;""))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",TRIM(J395&amp;""))-1),코드표!$J$2:$J$101,0)),ISNUMBER(MATCH(TRIM(RIGHT(SUBSTITUTE(TRIM(J395&amp;"")," ",REPT(" ",60)),60)),코드표!$F$2:$F$101,0))),INDEX(코드표!$K$2:$K$101,MATCH(LEFT(TRIM(J395&amp;""),FIND(" ",TRIM(J395&amp;""))-1),코드표!$J$2:$J$101,0))&amp;" "&amp;INDEX(코드표!$G$2:$G$101,MATCH(TRIM(RIGHT(SUBSTITUTE(TRIM(J395&amp;"")," ",REPT(" ",60)),60)),코드표!$F$2:$F$101,0)),"⚠"&amp;TRIM(J395&amp;""))),"⚠"&amp;TRIM(J395&amp;""))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",TRIM(E396&amp;""))-1),코드표!$J$2:$J$101,0)),ISNUMBER(MATCH(TRIM(RIGHT(SUBSTITUTE(TRIM(E396&amp;"")," ",REPT(" ",60)),60)),코드표!$F$2:$F$101,0))),INDEX(코드표!$K$2:$K$101,MATCH(LEFT(TRIM(E396&amp;""),FIND(" ",TRIM(E396&amp;""))-1),코드표!$J$2:$J$101,0))&amp;" "&amp;INDEX(코드표!$G$2:$G$101,MATCH(TRIM(RIGHT(SUBSTITUTE(TRIM(E396&amp;"")," ",REPT(" ",60)),60)),코드표!$F$2:$F$101,0)),"⚠"&amp;TRIM(E396&amp;""))),"⚠"&amp;TRIM(E396&amp;""))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",TRIM(F396&amp;""))-1),코드표!$J$2:$J$101,0)),ISNUMBER(MATCH(TRIM(RIGHT(SUBSTITUTE(TRIM(F396&amp;"")," ",REPT(" ",60)),60)),코드표!$F$2:$F$101,0))),INDEX(코드표!$K$2:$K$101,MATCH(LEFT(TRIM(F396&amp;""),FIND(" ",TRIM(F396&amp;""))-1),코드표!$J$2:$J$101,0))&amp;" "&amp;INDEX(코드표!$G$2:$G$101,MATCH(TRIM(RIGHT(SUBSTITUTE(TRIM(F396&amp;"")," ",REPT(" ",60)),60)),코드표!$F$2:$F$101,0)),"⚠"&amp;TRIM(F396&amp;""))),"⚠"&amp;TRIM(F396&amp;""))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",TRIM(G396&amp;""))-1),코드표!$J$2:$J$101,0)),ISNUMBER(MATCH(TRIM(RIGHT(SUBSTITUTE(TRIM(G396&amp;"")," ",REPT(" ",60)),60)),코드표!$F$2:$F$101,0))),INDEX(코드표!$K$2:$K$101,MATCH(LEFT(TRIM(G396&amp;""),FIND(" ",TRIM(G396&amp;""))-1),코드표!$J$2:$J$101,0))&amp;" "&amp;INDEX(코드표!$G$2:$G$101,MATCH(TRIM(RIGHT(SUBSTITUTE(TRIM(G396&amp;"")," ",REPT(" ",60)),60)),코드표!$F$2:$F$101,0)),"⚠"&amp;TRIM(G396&amp;""))),"⚠"&amp;TRIM(G396&amp;""))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",TRIM(H396&amp;""))-1),코드표!$J$2:$J$101,0)),ISNUMBER(MATCH(TRIM(RIGHT(SUBSTITUTE(TRIM(H396&amp;"")," ",REPT(" ",60)),60)),코드표!$F$2:$F$101,0))),INDEX(코드표!$K$2:$K$101,MATCH(LEFT(TRIM(H396&amp;""),FIND(" ",TRIM(H396&amp;""))-1),코드표!$J$2:$J$101,0))&amp;" "&amp;INDEX(코드표!$G$2:$G$101,MATCH(TRIM(RIGHT(SUBSTITUTE(TRIM(H396&amp;"")," ",REPT(" ",60)),60)),코드표!$F$2:$F$101,0)),"⚠"&amp;TRIM(H396&amp;""))),"⚠"&amp;TRIM(H396&amp;""))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",TRIM(I396&amp;""))-1),코드표!$J$2:$J$101,0)),ISNUMBER(MATCH(TRIM(RIGHT(SUBSTITUTE(TRIM(I396&amp;"")," ",REPT(" ",60)),60)),코드표!$F$2:$F$101,0))),INDEX(코드표!$K$2:$K$101,MATCH(LEFT(TRIM(I396&amp;""),FIND(" ",TRIM(I396&amp;""))-1),코드표!$J$2:$J$101,0))&amp;" "&amp;INDEX(코드표!$G$2:$G$101,MATCH(TRIM(RIGHT(SUBSTITUTE(TRIM(I396&amp;"")," ",REPT(" ",60)),60)),코드표!$F$2:$F$101,0)),"⚠"&amp;TRIM(I396&amp;""))),"⚠"&amp;TRIM(I396&amp;""))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",TRIM(J396&amp;""))-1),코드표!$J$2:$J$101,0)),ISNUMBER(MATCH(TRIM(RIGHT(SUBSTITUTE(TRIM(J396&amp;"")," ",REPT(" ",60)),60)),코드표!$F$2:$F$101,0))),INDEX(코드표!$K$2:$K$101,MATCH(LEFT(TRIM(J396&amp;""),FIND(" ",TRIM(J396&amp;""))-1),코드표!$J$2:$J$101,0))&amp;" "&amp;INDEX(코드표!$G$2:$G$101,MATCH(TRIM(RIGHT(SUBSTITUTE(TRIM(J396&amp;"")," ",REPT(" ",60)),60)),코드표!$F$2:$F$101,0)),"⚠"&amp;TRIM(J396&amp;""))),"⚠"&amp;TRIM(J396&amp;""))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",TRIM(E397&amp;""))-1),코드표!$J$2:$J$101,0)),ISNUMBER(MATCH(TRIM(RIGHT(SUBSTITUTE(TRIM(E397&amp;"")," ",REPT(" ",60)),60)),코드표!$F$2:$F$101,0))),INDEX(코드표!$K$2:$K$101,MATCH(LEFT(TRIM(E397&amp;""),FIND(" ",TRIM(E397&amp;""))-1),코드표!$J$2:$J$101,0))&amp;" "&amp;INDEX(코드표!$G$2:$G$101,MATCH(TRIM(RIGHT(SUBSTITUTE(TRIM(E397&amp;"")," ",REPT(" ",60)),60)),코드표!$F$2:$F$101,0)),"⚠"&amp;TRIM(E397&amp;""))),"⚠"&amp;TRIM(E397&amp;""))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",TRIM(F397&amp;""))-1),코드표!$J$2:$J$101,0)),ISNUMBER(MATCH(TRIM(RIGHT(SUBSTITUTE(TRIM(F397&amp;"")," ",REPT(" ",60)),60)),코드표!$F$2:$F$101,0))),INDEX(코드표!$K$2:$K$101,MATCH(LEFT(TRIM(F397&amp;""),FIND(" ",TRIM(F397&amp;""))-1),코드표!$J$2:$J$101,0))&amp;" "&amp;INDEX(코드표!$G$2:$G$101,MATCH(TRIM(RIGHT(SUBSTITUTE(TRIM(F397&amp;"")," ",REPT(" ",60)),60)),코드표!$F$2:$F$101,0)),"⚠"&amp;TRIM(F397&amp;""))),"⚠"&amp;TRIM(F397&amp;""))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",TRIM(G397&amp;""))-1),코드표!$J$2:$J$101,0)),ISNUMBER(MATCH(TRIM(RIGHT(SUBSTITUTE(TRIM(G397&amp;"")," ",REPT(" ",60)),60)),코드표!$F$2:$F$101,0))),INDEX(코드표!$K$2:$K$101,MATCH(LEFT(TRIM(G397&amp;""),FIND(" ",TRIM(G397&amp;""))-1),코드표!$J$2:$J$101,0))&amp;" "&amp;INDEX(코드표!$G$2:$G$101,MATCH(TRIM(RIGHT(SUBSTITUTE(TRIM(G397&amp;"")," ",REPT(" ",60)),60)),코드표!$F$2:$F$101,0)),"⚠"&amp;TRIM(G397&amp;""))),"⚠"&amp;TRIM(G397&amp;""))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",TRIM(H397&amp;""))-1),코드표!$J$2:$J$101,0)),ISNUMBER(MATCH(TRIM(RIGHT(SUBSTITUTE(TRIM(H397&amp;"")," ",REPT(" ",60)),60)),코드표!$F$2:$F$101,0))),INDEX(코드표!$K$2:$K$101,MATCH(LEFT(TRIM(H397&amp;""),FIND(" ",TRIM(H397&amp;""))-1),코드표!$J$2:$J$101,0))&amp;" "&amp;INDEX(코드표!$G$2:$G$101,MATCH(TRIM(RIGHT(SUBSTITUTE(TRIM(H397&amp;"")," ",REPT(" ",60)),60)),코드표!$F$2:$F$101,0)),"⚠"&amp;TRIM(H397&amp;""))),"⚠"&amp;TRIM(H397&amp;""))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",TRIM(I397&amp;""))-1),코드표!$J$2:$J$101,0)),ISNUMBER(MATCH(TRIM(RIGHT(SUBSTITUTE(TRIM(I397&amp;"")," ",REPT(" ",60)),60)),코드표!$F$2:$F$101,0))),INDEX(코드표!$K$2:$K$101,MATCH(LEFT(TRIM(I397&amp;""),FIND(" ",TRIM(I397&amp;""))-1),코드표!$J$2:$J$101,0))&amp;" "&amp;INDEX(코드표!$G$2:$G$101,MATCH(TRIM(RIGHT(SUBSTITUTE(TRIM(I397&amp;"")," ",REPT(" ",60)),60)),코드표!$F$2:$F$101,0)),"⚠"&amp;TRIM(I397&amp;""))),"⚠"&amp;TRIM(I397&amp;""))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",TRIM(J397&amp;""))-1),코드표!$J$2:$J$101,0)),ISNUMBER(MATCH(TRIM(RIGHT(SUBSTITUTE(TRIM(J397&amp;"")," ",REPT(" ",60)),60)),코드표!$F$2:$F$101,0))),INDEX(코드표!$K$2:$K$101,MATCH(LEFT(TRIM(J397&amp;""),FIND(" ",TRIM(J397&amp;""))-1),코드표!$J$2:$J$101,0))&amp;" "&amp;INDEX(코드표!$G$2:$G$101,MATCH(TRIM(RIGHT(SUBSTITUTE(TRIM(J397&amp;"")," ",REPT(" ",60)),60)),코드표!$F$2:$F$101,0)),"⚠"&amp;TRIM(J397&amp;""))),"⚠"&amp;TRIM(J397&amp;""))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",TRIM(E398&amp;""))-1),코드표!$J$2:$J$101,0)),ISNUMBER(MATCH(TRIM(RIGHT(SUBSTITUTE(TRIM(E398&amp;"")," ",REPT(" ",60)),60)),코드표!$F$2:$F$101,0))),INDEX(코드표!$K$2:$K$101,MATCH(LEFT(TRIM(E398&amp;""),FIND(" ",TRIM(E398&amp;""))-1),코드표!$J$2:$J$101,0))&amp;" "&amp;INDEX(코드표!$G$2:$G$101,MATCH(TRIM(RIGHT(SUBSTITUTE(TRIM(E398&amp;"")," ",REPT(" ",60)),60)),코드표!$F$2:$F$101,0)),"⚠"&amp;TRIM(E398&amp;""))),"⚠"&amp;TRIM(E398&amp;""))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",TRIM(F398&amp;""))-1),코드표!$J$2:$J$101,0)),ISNUMBER(MATCH(TRIM(RIGHT(SUBSTITUTE(TRIM(F398&amp;"")," ",REPT(" ",60)),60)),코드표!$F$2:$F$101,0))),INDEX(코드표!$K$2:$K$101,MATCH(LEFT(TRIM(F398&amp;""),FIND(" ",TRIM(F398&amp;""))-1),코드표!$J$2:$J$101,0))&amp;" "&amp;INDEX(코드표!$G$2:$G$101,MATCH(TRIM(RIGHT(SUBSTITUTE(TRIM(F398&amp;"")," ",REPT(" ",60)),60)),코드표!$F$2:$F$101,0)),"⚠"&amp;TRIM(F398&amp;""))),"⚠"&amp;TRIM(F398&amp;""))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",TRIM(G398&amp;""))-1),코드표!$J$2:$J$101,0)),ISNUMBER(MATCH(TRIM(RIGHT(SUBSTITUTE(TRIM(G398&amp;"")," ",REPT(" ",60)),60)),코드표!$F$2:$F$101,0))),INDEX(코드표!$K$2:$K$101,MATCH(LEFT(TRIM(G398&amp;""),FIND(" ",TRIM(G398&amp;""))-1),코드표!$J$2:$J$101,0))&amp;" "&amp;INDEX(코드표!$G$2:$G$101,MATCH(TRIM(RIGHT(SUBSTITUTE(TRIM(G398&amp;"")," ",REPT(" ",60)),60)),코드표!$F$2:$F$101,0)),"⚠"&amp;TRIM(G398&amp;""))),"⚠"&amp;TRIM(G398&amp;""))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",TRIM(H398&amp;""))-1),코드표!$J$2:$J$101,0)),ISNUMBER(MATCH(TRIM(RIGHT(SUBSTITUTE(TRIM(H398&amp;"")," ",REPT(" ",60)),60)),코드표!$F$2:$F$101,0))),INDEX(코드표!$K$2:$K$101,MATCH(LEFT(TRIM(H398&amp;""),FIND(" ",TRIM(H398&amp;""))-1),코드표!$J$2:$J$101,0))&amp;" "&amp;INDEX(코드표!$G$2:$G$101,MATCH(TRIM(RIGHT(SUBSTITUTE(TRIM(H398&amp;"")," ",REPT(" ",60)),60)),코드표!$F$2:$F$101,0)),"⚠"&amp;TRIM(H398&amp;""))),"⚠"&amp;TRIM(H398&amp;""))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",TRIM(I398&amp;""))-1),코드표!$J$2:$J$101,0)),ISNUMBER(MATCH(TRIM(RIGHT(SUBSTITUTE(TRIM(I398&amp;"")," ",REPT(" ",60)),60)),코드표!$F$2:$F$101,0))),INDEX(코드표!$K$2:$K$101,MATCH(LEFT(TRIM(I398&amp;""),FIND(" ",TRIM(I398&amp;""))-1),코드표!$J$2:$J$101,0))&amp;" "&amp;INDEX(코드표!$G$2:$G$101,MATCH(TRIM(RIGHT(SUBSTITUTE(TRIM(I398&amp;"")," ",REPT(" ",60)),60)),코드표!$F$2:$F$101,0)),"⚠"&amp;TRIM(I398&amp;""))),"⚠"&amp;TRIM(I398&amp;""))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",TRIM(J398&amp;""))-1),코드표!$J$2:$J$101,0)),ISNUMBER(MATCH(TRIM(RIGHT(SUBSTITUTE(TRIM(J398&amp;"")," ",REPT(" ",60)),60)),코드표!$F$2:$F$101,0))),INDEX(코드표!$K$2:$K$101,MATCH(LEFT(TRIM(J398&amp;""),FIND(" ",TRIM(J398&amp;""))-1),코드표!$J$2:$J$101,0))&amp;" "&amp;INDEX(코드표!$G$2:$G$101,MATCH(TRIM(RIGHT(SUBSTITUTE(TRIM(J398&amp;"")," ",REPT(" ",60)),60)),코드표!$F$2:$F$101,0)),"⚠"&amp;TRIM(J398&amp;""))),"⚠"&amp;TRIM(J398&amp;""))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",TRIM(E399&amp;""))-1),코드표!$J$2:$J$101,0)),ISNUMBER(MATCH(TRIM(RIGHT(SUBSTITUTE(TRIM(E399&amp;"")," ",REPT(" ",60)),60)),코드표!$F$2:$F$101,0))),INDEX(코드표!$K$2:$K$101,MATCH(LEFT(TRIM(E399&amp;""),FIND(" ",TRIM(E399&amp;""))-1),코드표!$J$2:$J$101,0))&amp;" "&amp;INDEX(코드표!$G$2:$G$101,MATCH(TRIM(RIGHT(SUBSTITUTE(TRIM(E399&amp;"")," ",REPT(" ",60)),60)),코드표!$F$2:$F$101,0)),"⚠"&amp;TRIM(E399&amp;""))),"⚠"&amp;TRIM(E399&amp;""))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",TRIM(F399&amp;""))-1),코드표!$J$2:$J$101,0)),ISNUMBER(MATCH(TRIM(RIGHT(SUBSTITUTE(TRIM(F399&amp;"")," ",REPT(" ",60)),60)),코드표!$F$2:$F$101,0))),INDEX(코드표!$K$2:$K$101,MATCH(LEFT(TRIM(F399&amp;""),FIND(" ",TRIM(F399&amp;""))-1),코드표!$J$2:$J$101,0))&amp;" "&amp;INDEX(코드표!$G$2:$G$101,MATCH(TRIM(RIGHT(SUBSTITUTE(TRIM(F399&amp;"")," ",REPT(" ",60)),60)),코드표!$F$2:$F$101,0)),"⚠"&amp;TRIM(F399&amp;""))),"⚠"&amp;TRIM(F399&amp;""))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",TRIM(G399&amp;""))-1),코드표!$J$2:$J$101,0)),ISNUMBER(MATCH(TRIM(RIGHT(SUBSTITUTE(TRIM(G399&amp;"")," ",REPT(" ",60)),60)),코드표!$F$2:$F$101,0))),INDEX(코드표!$K$2:$K$101,MATCH(LEFT(TRIM(G399&amp;""),FIND(" ",TRIM(G399&amp;""))-1),코드표!$J$2:$J$101,0))&amp;" "&amp;INDEX(코드표!$G$2:$G$101,MATCH(TRIM(RIGHT(SUBSTITUTE(TRIM(G399&amp;"")," ",REPT(" ",60)),60)),코드표!$F$2:$F$101,0)),"⚠"&amp;TRIM(G399&amp;""))),"⚠"&amp;TRIM(G399&amp;""))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",TRIM(H399&amp;""))-1),코드표!$J$2:$J$101,0)),ISNUMBER(MATCH(TRIM(RIGHT(SUBSTITUTE(TRIM(H399&amp;"")," ",REPT(" ",60)),60)),코드표!$F$2:$F$101,0))),INDEX(코드표!$K$2:$K$101,MATCH(LEFT(TRIM(H399&amp;""),FIND(" ",TRIM(H399&amp;""))-1),코드표!$J$2:$J$101,0))&amp;" "&amp;INDEX(코드표!$G$2:$G$101,MATCH(TRIM(RIGHT(SUBSTITUTE(TRIM(H399&amp;"")," ",REPT(" ",60)),60)),코드표!$F$2:$F$101,0)),"⚠"&amp;TRIM(H399&amp;""))),"⚠"&amp;TRIM(H399&amp;""))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",TRIM(I399&amp;""))-1),코드표!$J$2:$J$101,0)),ISNUMBER(MATCH(TRIM(RIGHT(SUBSTITUTE(TRIM(I399&amp;"")," ",REPT(" ",60)),60)),코드표!$F$2:$F$101,0))),INDEX(코드표!$K$2:$K$101,MATCH(LEFT(TRIM(I399&amp;""),FIND(" ",TRIM(I399&amp;""))-1),코드표!$J$2:$J$101,0))&amp;" "&amp;INDEX(코드표!$G$2:$G$101,MATCH(TRIM(RIGHT(SUBSTITUTE(TRIM(I399&amp;"")," ",REPT(" ",60)),60)),코드표!$F$2:$F$101,0)),"⚠"&amp;TRIM(I399&amp;""))),"⚠"&amp;TRIM(I399&amp;""))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",TRIM(J399&amp;""))-1),코드표!$J$2:$J$101,0)),ISNUMBER(MATCH(TRIM(RIGHT(SUBSTITUTE(TRIM(J399&amp;"")," ",REPT(" ",60)),60)),코드표!$F$2:$F$101,0))),INDEX(코드표!$K$2:$K$101,MATCH(LEFT(TRIM(J399&amp;""),FIND(" ",TRIM(J399&amp;""))-1),코드표!$J$2:$J$101,0))&amp;" "&amp;INDEX(코드표!$G$2:$G$101,MATCH(TRIM(RIGHT(SUBSTITUTE(TRIM(J399&amp;"")," ",REPT(" ",60)),60)),코드표!$F$2:$F$101,0)),"⚠"&amp;TRIM(J399&amp;""))),"⚠"&amp;TRIM(J399&amp;""))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",TRIM(E400&amp;""))-1),코드표!$J$2:$J$101,0)),ISNUMBER(MATCH(TRIM(RIGHT(SUBSTITUTE(TRIM(E400&amp;"")," ",REPT(" ",60)),60)),코드표!$F$2:$F$101,0))),INDEX(코드표!$K$2:$K$101,MATCH(LEFT(TRIM(E400&amp;""),FIND(" ",TRIM(E400&amp;""))-1),코드표!$J$2:$J$101,0))&amp;" "&amp;INDEX(코드표!$G$2:$G$101,MATCH(TRIM(RIGHT(SUBSTITUTE(TRIM(E400&amp;"")," ",REPT(" ",60)),60)),코드표!$F$2:$F$101,0)),"⚠"&amp;TRIM(E400&amp;""))),"⚠"&amp;TRIM(E400&amp;""))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",TRIM(F400&amp;""))-1),코드표!$J$2:$J$101,0)),ISNUMBER(MATCH(TRIM(RIGHT(SUBSTITUTE(TRIM(F400&amp;"")," ",REPT(" ",60)),60)),코드표!$F$2:$F$101,0))),INDEX(코드표!$K$2:$K$101,MATCH(LEFT(TRIM(F400&amp;""),FIND(" ",TRIM(F400&amp;""))-1),코드표!$J$2:$J$101,0))&amp;" "&amp;INDEX(코드표!$G$2:$G$101,MATCH(TRIM(RIGHT(SUBSTITUTE(TRIM(F400&amp;"")," ",REPT(" ",60)),60)),코드표!$F$2:$F$101,0)),"⚠"&amp;TRIM(F400&amp;""))),"⚠"&amp;TRIM(F400&amp;""))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",TRIM(G400&amp;""))-1),코드표!$J$2:$J$101,0)),ISNUMBER(MATCH(TRIM(RIGHT(SUBSTITUTE(TRIM(G400&amp;"")," ",REPT(" ",60)),60)),코드표!$F$2:$F$101,0))),INDEX(코드표!$K$2:$K$101,MATCH(LEFT(TRIM(G400&amp;""),FIND(" ",TRIM(G400&amp;""))-1),코드표!$J$2:$J$101,0))&amp;" "&amp;INDEX(코드표!$G$2:$G$101,MATCH(TRIM(RIGHT(SUBSTITUTE(TRIM(G400&amp;"")," ",REPT(" ",60)),60)),코드표!$F$2:$F$101,0)),"⚠"&amp;TRIM(G400&amp;""))),"⚠"&amp;TRIM(G400&amp;""))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",TRIM(H400&amp;""))-1),코드표!$J$2:$J$101,0)),ISNUMBER(MATCH(TRIM(RIGHT(SUBSTITUTE(TRIM(H400&amp;"")," ",REPT(" ",60)),60)),코드표!$F$2:$F$101,0))),INDEX(코드표!$K$2:$K$101,MATCH(LEFT(TRIM(H400&amp;""),FIND(" ",TRIM(H400&amp;""))-1),코드표!$J$2:$J$101,0))&amp;" "&amp;INDEX(코드표!$G$2:$G$101,MATCH(TRIM(RIGHT(SUBSTITUTE(TRIM(H400&amp;"")," ",REPT(" ",60)),60)),코드표!$F$2:$F$101,0)),"⚠"&amp;TRIM(H400&amp;""))),"⚠"&amp;TRIM(H400&amp;""))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",TRIM(I400&amp;""))-1),코드표!$J$2:$J$101,0)),ISNUMBER(MATCH(TRIM(RIGHT(SUBSTITUTE(TRIM(I400&amp;"")," ",REPT(" ",60)),60)),코드표!$F$2:$F$101,0))),INDEX(코드표!$K$2:$K$101,MATCH(LEFT(TRIM(I400&amp;""),FIND(" ",TRIM(I400&amp;""))-1),코드표!$J$2:$J$101,0))&amp;" "&amp;INDEX(코드표!$G$2:$G$101,MATCH(TRIM(RIGHT(SUBSTITUTE(TRIM(I400&amp;"")," ",REPT(" ",60)),60)),코드표!$F$2:$F$101,0)),"⚠"&amp;TRIM(I400&amp;""))),"⚠"&amp;TRIM(I400&amp;""))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",TRIM(J400&amp;""))-1),코드표!$J$2:$J$101,0)),ISNUMBER(MATCH(TRIM(RIGHT(SUBSTITUTE(TRIM(J400&amp;"")," ",REPT(" ",60)),60)),코드표!$F$2:$F$101,0))),INDEX(코드표!$K$2:$K$101,MATCH(LEFT(TRIM(J400&amp;""),FIND(" ",TRIM(J400&amp;""))-1),코드표!$J$2:$J$101,0))&amp;" "&amp;INDEX(코드표!$G$2:$G$101,MATCH(TRIM(RIGHT(SUBSTITUTE(TRIM(J400&amp;"")," ",REPT(" ",60)),60)),코드표!$F$2:$F$101,0)),"⚠"&amp;TRIM(J400&amp;""))),"⚠"&amp;TRIM(J400&amp;""))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",TRIM(E401&amp;""))-1),코드표!$J$2:$J$101,0)),ISNUMBER(MATCH(TRIM(RIGHT(SUBSTITUTE(TRIM(E401&amp;"")," ",REPT(" ",60)),60)),코드표!$F$2:$F$101,0))),INDEX(코드표!$K$2:$K$101,MATCH(LEFT(TRIM(E401&amp;""),FIND(" ",TRIM(E401&amp;""))-1),코드표!$J$2:$J$101,0))&amp;" "&amp;INDEX(코드표!$G$2:$G$101,MATCH(TRIM(RIGHT(SUBSTITUTE(TRIM(E401&amp;"")," ",REPT(" ",60)),60)),코드표!$F$2:$F$101,0)),"⚠"&amp;TRIM(E401&amp;""))),"⚠"&amp;TRIM(E401&amp;""))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",TRIM(F401&amp;""))-1),코드표!$J$2:$J$101,0)),ISNUMBER(MATCH(TRIM(RIGHT(SUBSTITUTE(TRIM(F401&amp;"")," ",REPT(" ",60)),60)),코드표!$F$2:$F$101,0))),INDEX(코드표!$K$2:$K$101,MATCH(LEFT(TRIM(F401&amp;""),FIND(" ",TRIM(F401&amp;""))-1),코드표!$J$2:$J$101,0))&amp;" "&amp;INDEX(코드표!$G$2:$G$101,MATCH(TRIM(RIGHT(SUBSTITUTE(TRIM(F401&amp;"")," ",REPT(" ",60)),60)),코드표!$F$2:$F$101,0)),"⚠"&amp;TRIM(F401&amp;""))),"⚠"&amp;TRIM(F401&amp;""))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",TRIM(G401&amp;""))-1),코드표!$J$2:$J$101,0)),ISNUMBER(MATCH(TRIM(RIGHT(SUBSTITUTE(TRIM(G401&amp;"")," ",REPT(" ",60)),60)),코드표!$F$2:$F$101,0))),INDEX(코드표!$K$2:$K$101,MATCH(LEFT(TRIM(G401&amp;""),FIND(" ",TRIM(G401&amp;""))-1),코드표!$J$2:$J$101,0))&amp;" "&amp;INDEX(코드표!$G$2:$G$101,MATCH(TRIM(RIGHT(SUBSTITUTE(TRIM(G401&amp;"")," ",REPT(" ",60)),60)),코드표!$F$2:$F$101,0)),"⚠"&amp;TRIM(G401&amp;""))),"⚠"&amp;TRIM(G401&amp;""))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",TRIM(H401&amp;""))-1),코드표!$J$2:$J$101,0)),ISNUMBER(MATCH(TRIM(RIGHT(SUBSTITUTE(TRIM(H401&amp;"")," ",REPT(" ",60)),60)),코드표!$F$2:$F$101,0))),INDEX(코드표!$K$2:$K$101,MATCH(LEFT(TRIM(H401&amp;""),FIND(" ",TRIM(H401&amp;""))-1),코드표!$J$2:$J$101,0))&amp;" "&amp;INDEX(코드표!$G$2:$G$101,MATCH(TRIM(RIGHT(SUBSTITUTE(TRIM(H401&amp;"")," ",REPT(" ",60)),60)),코드표!$F$2:$F$101,0)),"⚠"&amp;TRIM(H401&amp;""))),"⚠"&amp;TRIM(H401&amp;""))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",TRIM(I401&amp;""))-1),코드표!$J$2:$J$101,0)),ISNUMBER(MATCH(TRIM(RIGHT(SUBSTITUTE(TRIM(I401&amp;"")," ",REPT(" ",60)),60)),코드표!$F$2:$F$101,0))),INDEX(코드표!$K$2:$K$101,MATCH(LEFT(TRIM(I401&amp;""),FIND(" ",TRIM(I401&amp;""))-1),코드표!$J$2:$J$101,0))&amp;" "&amp;INDEX(코드표!$G$2:$G$101,MATCH(TRIM(RIGHT(SUBSTITUTE(TRIM(I401&amp;"")," ",REPT(" ",60)),60)),코드표!$F$2:$F$101,0)),"⚠"&amp;TRIM(I401&amp;""))),"⚠"&amp;TRIM(I401&amp;""))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",TRIM(J401&amp;""))-1),코드표!$J$2:$J$101,0)),ISNUMBER(MATCH(TRIM(RIGHT(SUBSTITUTE(TRIM(J401&amp;"")," ",REPT(" ",60)),60)),코드표!$F$2:$F$101,0))),INDEX(코드표!$K$2:$K$101,MATCH(LEFT(TRIM(J401&amp;""),FIND(" ",TRIM(J401&amp;""))-1),코드표!$J$2:$J$101,0))&amp;" "&amp;INDEX(코드표!$G$2:$G$101,MATCH(TRIM(RIGHT(SUBSTITUTE(TRIM(J401&amp;"")," ",REPT(" ",60)),60)),코드표!$F$2:$F$101,0)),"⚠"&amp;TRIM(J401&amp;""))),"⚠"&amp;TRIM(J401&amp;""))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",TRIM(E402&amp;""))-1),코드표!$J$2:$J$101,0)),ISNUMBER(MATCH(TRIM(RIGHT(SUBSTITUTE(TRIM(E402&amp;"")," ",REPT(" ",60)),60)),코드표!$F$2:$F$101,0))),INDEX(코드표!$K$2:$K$101,MATCH(LEFT(TRIM(E402&amp;""),FIND(" ",TRIM(E402&amp;""))-1),코드표!$J$2:$J$101,0))&amp;" "&amp;INDEX(코드표!$G$2:$G$101,MATCH(TRIM(RIGHT(SUBSTITUTE(TRIM(E402&amp;"")," ",REPT(" ",60)),60)),코드표!$F$2:$F$101,0)),"⚠"&amp;TRIM(E402&amp;""))),"⚠"&amp;TRIM(E402&amp;""))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",TRIM(F402&amp;""))-1),코드표!$J$2:$J$101,0)),ISNUMBER(MATCH(TRIM(RIGHT(SUBSTITUTE(TRIM(F402&amp;"")," ",REPT(" ",60)),60)),코드표!$F$2:$F$101,0))),INDEX(코드표!$K$2:$K$101,MATCH(LEFT(TRIM(F402&amp;""),FIND(" ",TRIM(F402&amp;""))-1),코드표!$J$2:$J$101,0))&amp;" "&amp;INDEX(코드표!$G$2:$G$101,MATCH(TRIM(RIGHT(SUBSTITUTE(TRIM(F402&amp;"")," ",REPT(" ",60)),60)),코드표!$F$2:$F$101,0)),"⚠"&amp;TRIM(F402&amp;""))),"⚠"&amp;TRIM(F402&amp;""))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",TRIM(G402&amp;""))-1),코드표!$J$2:$J$101,0)),ISNUMBER(MATCH(TRIM(RIGHT(SUBSTITUTE(TRIM(G402&amp;"")," ",REPT(" ",60)),60)),코드표!$F$2:$F$101,0))),INDEX(코드표!$K$2:$K$101,MATCH(LEFT(TRIM(G402&amp;""),FIND(" ",TRIM(G402&amp;""))-1),코드표!$J$2:$J$101,0))&amp;" "&amp;INDEX(코드표!$G$2:$G$101,MATCH(TRIM(RIGHT(SUBSTITUTE(TRIM(G402&amp;"")," ",REPT(" ",60)),60)),코드표!$F$2:$F$101,0)),"⚠"&amp;TRIM(G402&amp;""))),"⚠"&amp;TRIM(G402&amp;""))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",TRIM(H402&amp;""))-1),코드표!$J$2:$J$101,0)),ISNUMBER(MATCH(TRIM(RIGHT(SUBSTITUTE(TRIM(H402&amp;"")," ",REPT(" ",60)),60)),코드표!$F$2:$F$101,0))),INDEX(코드표!$K$2:$K$101,MATCH(LEFT(TRIM(H402&amp;""),FIND(" ",TRIM(H402&amp;""))-1),코드표!$J$2:$J$101,0))&amp;" "&amp;INDEX(코드표!$G$2:$G$101,MATCH(TRIM(RIGHT(SUBSTITUTE(TRIM(H402&amp;"")," ",REPT(" ",60)),60)),코드표!$F$2:$F$101,0)),"⚠"&amp;TRIM(H402&amp;""))),"⚠"&amp;TRIM(H402&amp;""))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",TRIM(I402&amp;""))-1),코드표!$J$2:$J$101,0)),ISNUMBER(MATCH(TRIM(RIGHT(SUBSTITUTE(TRIM(I402&amp;"")," ",REPT(" ",60)),60)),코드표!$F$2:$F$101,0))),INDEX(코드표!$K$2:$K$101,MATCH(LEFT(TRIM(I402&amp;""),FIND(" ",TRIM(I402&amp;""))-1),코드표!$J$2:$J$101,0))&amp;" "&amp;INDEX(코드표!$G$2:$G$101,MATCH(TRIM(RIGHT(SUBSTITUTE(TRIM(I402&amp;"")," ",REPT(" ",60)),60)),코드표!$F$2:$F$101,0)),"⚠"&amp;TRIM(I402&amp;""))),"⚠"&amp;TRIM(I402&amp;""))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",TRIM(J402&amp;""))-1),코드표!$J$2:$J$101,0)),ISNUMBER(MATCH(TRIM(RIGHT(SUBSTITUTE(TRIM(J402&amp;"")," ",REPT(" ",60)),60)),코드표!$F$2:$F$101,0))),INDEX(코드표!$K$2:$K$101,MATCH(LEFT(TRIM(J402&amp;""),FIND(" ",TRIM(J402&amp;""))-1),코드표!$J$2:$J$101,0))&amp;" "&amp;INDEX(코드표!$G$2:$G$101,MATCH(TRIM(RIGHT(SUBSTITUTE(TRIM(J402&amp;"")," ",REPT(" ",60)),60)),코드표!$F$2:$F$101,0)),"⚠"&amp;TRIM(J402&amp;""))),"⚠"&amp;TRIM(J402&amp;""))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",TRIM(E3))-1),INDIRECT("코드표!$J$2:$J$101"),0)),ISNUMBER(MATCH(TRIM(RIGHT(SUBSTITUTE(TRIM(E3)," ",REPT(" ",60)),60)),INDIRECT("코드표!$F$2:$F$101"),0)))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IF(TRIM(B84&amp;"")="","",IFERROR(INDEX(코드표!$K$2:$K$101,MATCH(TRIM(B84&amp;""),코드표!$J$2:$J$101,0)),"⚠"&amp;TRIM(B84&amp;"")))</f>
        <v/>
      </c>
      <c r="S84" s="10">
        <f>IF(TRIM(K84&amp;"")="","",IFERROR(INDEX(코드표!$K$2:$K$101,MATCH(TRIM(K84&amp;""),코드표!$J$2:$J$101,0)),"⚠"&amp;TRIM(K84&amp;"")))</f>
        <v/>
      </c>
      <c r="T84" s="10">
        <f>IF(TRIM(M84&amp;"")="","",IF(ISNUMBER(MATCH(TRIM(M84&amp;""),코드표!$C$2:$C$11,0)),TRIM(M84&amp;""),"⚠"&amp;TRIM(M84&amp;"")))</f>
        <v/>
      </c>
      <c r="U84" s="10">
        <f>IF(TRIM(L84&amp;"")="","",IFERROR(INDEX(코드표!$G$2:$G$101,MATCH(TRIM(L84&amp;""),코드표!$F$2:$F$101,0)),"⚠"&amp;TRIM(L84&amp;"")))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IF(ISNUMBER(H84),MAX(0,MIN(IF(ISNUMBER(I84),I84,EOMONTH(요약!$B$3,0)),EOMONTH(요약!$B$3,0))-MAX(H84,요약!$B$3)+1),0)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IF(AND(ISNUMBER(AB84),ISNUMBER(AC84)),MAX(0,MIN(AC84,EOMONTH(요약!$B$3,0))-MAX(AB84,요약!$B$3)+1),0)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IF(TRIM(B85&amp;"")="","",IFERROR(INDEX(코드표!$K$2:$K$101,MATCH(TRIM(B85&amp;""),코드표!$J$2:$J$101,0)),"⚠"&amp;TRIM(B85&amp;"")))</f>
        <v/>
      </c>
      <c r="S85" s="10">
        <f>IF(TRIM(K85&amp;"")="","",IFERROR(INDEX(코드표!$K$2:$K$101,MATCH(TRIM(K85&amp;""),코드표!$J$2:$J$101,0)),"⚠"&amp;TRIM(K85&amp;"")))</f>
        <v/>
      </c>
      <c r="T85" s="10">
        <f>IF(TRIM(M85&amp;"")="","",IF(ISNUMBER(MATCH(TRIM(M85&amp;""),코드표!$C$2:$C$11,0)),TRIM(M85&amp;""),"⚠"&amp;TRIM(M85&amp;"")))</f>
        <v/>
      </c>
      <c r="U85" s="10">
        <f>IF(TRIM(L85&amp;"")="","",IFERROR(INDEX(코드표!$G$2:$G$101,MATCH(TRIM(L85&amp;""),코드표!$F$2:$F$101,0)),"⚠"&amp;TRIM(L85&amp;"")))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IF(ISNUMBER(H85),MAX(0,MIN(IF(ISNUMBER(I85),I85,EOMONTH(요약!$B$3,0)),EOMONTH(요약!$B$3,0))-MAX(H85,요약!$B$3)+1),0)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IF(AND(ISNUMBER(AB85),ISNUMBER(AC85)),MAX(0,MIN(AC85,EOMONTH(요약!$B$3,0))-MAX(AB85,요약!$B$3)+1),0)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IF(TRIM(B86&amp;"")="","",IFERROR(INDEX(코드표!$K$2:$K$101,MATCH(TRIM(B86&amp;""),코드표!$J$2:$J$101,0)),"⚠"&amp;TRIM(B86&amp;"")))</f>
        <v/>
      </c>
      <c r="S86" s="10">
        <f>IF(TRIM(K86&amp;"")="","",IFERROR(INDEX(코드표!$K$2:$K$101,MATCH(TRIM(K86&amp;""),코드표!$J$2:$J$101,0)),"⚠"&amp;TRIM(K86&amp;"")))</f>
        <v/>
      </c>
      <c r="T86" s="10">
        <f>IF(TRIM(M86&amp;"")="","",IF(ISNUMBER(MATCH(TRIM(M86&amp;""),코드표!$C$2:$C$11,0)),TRIM(M86&amp;""),"⚠"&amp;TRIM(M86&amp;"")))</f>
        <v/>
      </c>
      <c r="U86" s="10">
        <f>IF(TRIM(L86&amp;"")="","",IFERROR(INDEX(코드표!$G$2:$G$101,MATCH(TRIM(L86&amp;""),코드표!$F$2:$F$101,0)),"⚠"&amp;TRIM(L86&amp;"")))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IF(ISNUMBER(H86),MAX(0,MIN(IF(ISNUMBER(I86),I86,EOMONTH(요약!$B$3,0)),EOMONTH(요약!$B$3,0))-MAX(H86,요약!$B$3)+1),0)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IF(AND(ISNUMBER(AB86),ISNUMBER(AC86)),MAX(0,MIN(AC86,EOMONTH(요약!$B$3,0))-MAX(AB86,요약!$B$3)+1),0)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IF(TRIM(B87&amp;"")="","",IFERROR(INDEX(코드표!$K$2:$K$101,MATCH(TRIM(B87&amp;""),코드표!$J$2:$J$101,0)),"⚠"&amp;TRIM(B87&amp;"")))</f>
        <v/>
      </c>
      <c r="S87" s="10">
        <f>IF(TRIM(K87&amp;"")="","",IFERROR(INDEX(코드표!$K$2:$K$101,MATCH(TRIM(K87&amp;""),코드표!$J$2:$J$101,0)),"⚠"&amp;TRIM(K87&amp;"")))</f>
        <v/>
      </c>
      <c r="T87" s="10">
        <f>IF(TRIM(M87&amp;"")="","",IF(ISNUMBER(MATCH(TRIM(M87&amp;""),코드표!$C$2:$C$11,0)),TRIM(M87&amp;""),"⚠"&amp;TRIM(M87&amp;"")))</f>
        <v/>
      </c>
      <c r="U87" s="10">
        <f>IF(TRIM(L87&amp;"")="","",IFERROR(INDEX(코드표!$G$2:$G$101,MATCH(TRIM(L87&amp;""),코드표!$F$2:$F$101,0)),"⚠"&amp;TRIM(L87&amp;"")))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IF(ISNUMBER(H87),MAX(0,MIN(IF(ISNUMBER(I87),I87,EOMONTH(요약!$B$3,0)),EOMONTH(요약!$B$3,0))-MAX(H87,요약!$B$3)+1),0)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IF(AND(ISNUMBER(AB87),ISNUMBER(AC87)),MAX(0,MIN(AC87,EOMONTH(요약!$B$3,0))-MAX(AB87,요약!$B$3)+1),0)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IF(TRIM(B88&amp;"")="","",IFERROR(INDEX(코드표!$K$2:$K$101,MATCH(TRIM(B88&amp;""),코드표!$J$2:$J$101,0)),"⚠"&amp;TRIM(B88&amp;"")))</f>
        <v/>
      </c>
      <c r="S88" s="10">
        <f>IF(TRIM(K88&amp;"")="","",IFERROR(INDEX(코드표!$K$2:$K$101,MATCH(TRIM(K88&amp;""),코드표!$J$2:$J$101,0)),"⚠"&amp;TRIM(K88&amp;"")))</f>
        <v/>
      </c>
      <c r="T88" s="10">
        <f>IF(TRIM(M88&amp;"")="","",IF(ISNUMBER(MATCH(TRIM(M88&amp;""),코드표!$C$2:$C$11,0)),TRIM(M88&amp;""),"⚠"&amp;TRIM(M88&amp;"")))</f>
        <v/>
      </c>
      <c r="U88" s="10">
        <f>IF(TRIM(L88&amp;"")="","",IFERROR(INDEX(코드표!$G$2:$G$101,MATCH(TRIM(L88&amp;""),코드표!$F$2:$F$101,0)),"⚠"&amp;TRIM(L88&amp;"")))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IF(ISNUMBER(H88),MAX(0,MIN(IF(ISNUMBER(I88),I88,EOMONTH(요약!$B$3,0)),EOMONTH(요약!$B$3,0))-MAX(H88,요약!$B$3)+1),0)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IF(AND(ISNUMBER(AB88),ISNUMBER(AC88)),MAX(0,MIN(AC88,EOMONTH(요약!$B$3,0))-MAX(AB88,요약!$B$3)+1),0)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IF(TRIM(B89&amp;"")="","",IFERROR(INDEX(코드표!$K$2:$K$101,MATCH(TRIM(B89&amp;""),코드표!$J$2:$J$101,0)),"⚠"&amp;TRIM(B89&amp;"")))</f>
        <v/>
      </c>
      <c r="S89" s="10">
        <f>IF(TRIM(K89&amp;"")="","",IFERROR(INDEX(코드표!$K$2:$K$101,MATCH(TRIM(K89&amp;""),코드표!$J$2:$J$101,0)),"⚠"&amp;TRIM(K89&amp;"")))</f>
        <v/>
      </c>
      <c r="T89" s="10">
        <f>IF(TRIM(M89&amp;"")="","",IF(ISNUMBER(MATCH(TRIM(M89&amp;""),코드표!$C$2:$C$11,0)),TRIM(M89&amp;""),"⚠"&amp;TRIM(M89&amp;"")))</f>
        <v/>
      </c>
      <c r="U89" s="10">
        <f>IF(TRIM(L89&amp;"")="","",IFERROR(INDEX(코드표!$G$2:$G$101,MATCH(TRIM(L89&amp;""),코드표!$F$2:$F$101,0)),"⚠"&amp;TRIM(L89&amp;"")))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IF(ISNUMBER(H89),MAX(0,MIN(IF(ISNUMBER(I89),I89,EOMONTH(요약!$B$3,0)),EOMONTH(요약!$B$3,0))-MAX(H89,요약!$B$3)+1),0)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IF(AND(ISNUMBER(AB89),ISNUMBER(AC89)),MAX(0,MIN(AC89,EOMONTH(요약!$B$3,0))-MAX(AB89,요약!$B$3)+1),0)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IF(TRIM(B90&amp;"")="","",IFERROR(INDEX(코드표!$K$2:$K$101,MATCH(TRIM(B90&amp;""),코드표!$J$2:$J$101,0)),"⚠"&amp;TRIM(B90&amp;"")))</f>
        <v/>
      </c>
      <c r="S90" s="10">
        <f>IF(TRIM(K90&amp;"")="","",IFERROR(INDEX(코드표!$K$2:$K$101,MATCH(TRIM(K90&amp;""),코드표!$J$2:$J$101,0)),"⚠"&amp;TRIM(K90&amp;"")))</f>
        <v/>
      </c>
      <c r="T90" s="10">
        <f>IF(TRIM(M90&amp;"")="","",IF(ISNUMBER(MATCH(TRIM(M90&amp;""),코드표!$C$2:$C$11,0)),TRIM(M90&amp;""),"⚠"&amp;TRIM(M90&amp;"")))</f>
        <v/>
      </c>
      <c r="U90" s="10">
        <f>IF(TRIM(L90&amp;"")="","",IFERROR(INDEX(코드표!$G$2:$G$101,MATCH(TRIM(L90&amp;""),코드표!$F$2:$F$101,0)),"⚠"&amp;TRIM(L90&amp;"")))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IF(ISNUMBER(H90),MAX(0,MIN(IF(ISNUMBER(I90),I90,EOMONTH(요약!$B$3,0)),EOMONTH(요약!$B$3,0))-MAX(H90,요약!$B$3)+1),0)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IF(AND(ISNUMBER(AB90),ISNUMBER(AC90)),MAX(0,MIN(AC90,EOMONTH(요약!$B$3,0))-MAX(AB90,요약!$B$3)+1),0)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IF(TRIM(B91&amp;"")="","",IFERROR(INDEX(코드표!$K$2:$K$101,MATCH(TRIM(B91&amp;""),코드표!$J$2:$J$101,0)),"⚠"&amp;TRIM(B91&amp;"")))</f>
        <v/>
      </c>
      <c r="S91" s="10">
        <f>IF(TRIM(K91&amp;"")="","",IFERROR(INDEX(코드표!$K$2:$K$101,MATCH(TRIM(K91&amp;""),코드표!$J$2:$J$101,0)),"⚠"&amp;TRIM(K91&amp;"")))</f>
        <v/>
      </c>
      <c r="T91" s="10">
        <f>IF(TRIM(M91&amp;"")="","",IF(ISNUMBER(MATCH(TRIM(M91&amp;""),코드표!$C$2:$C$11,0)),TRIM(M91&amp;""),"⚠"&amp;TRIM(M91&amp;"")))</f>
        <v/>
      </c>
      <c r="U91" s="10">
        <f>IF(TRIM(L91&amp;"")="","",IFERROR(INDEX(코드표!$G$2:$G$101,MATCH(TRIM(L91&amp;""),코드표!$F$2:$F$101,0)),"⚠"&amp;TRIM(L91&amp;"")))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IF(ISNUMBER(H91),MAX(0,MIN(IF(ISNUMBER(I91),I91,EOMONTH(요약!$B$3,0)),EOMONTH(요약!$B$3,0))-MAX(H91,요약!$B$3)+1),0)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IF(AND(ISNUMBER(AB91),ISNUMBER(AC91)),MAX(0,MIN(AC91,EOMONTH(요약!$B$3,0))-MAX(AB91,요약!$B$3)+1),0)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IF(TRIM(B92&amp;"")="","",IFERROR(INDEX(코드표!$K$2:$K$101,MATCH(TRIM(B92&amp;""),코드표!$J$2:$J$101,0)),"⚠"&amp;TRIM(B92&amp;"")))</f>
        <v/>
      </c>
      <c r="S92" s="10">
        <f>IF(TRIM(K92&amp;"")="","",IFERROR(INDEX(코드표!$K$2:$K$101,MATCH(TRIM(K92&amp;""),코드표!$J$2:$J$101,0)),"⚠"&amp;TRIM(K92&amp;"")))</f>
        <v/>
      </c>
      <c r="T92" s="10">
        <f>IF(TRIM(M92&amp;"")="","",IF(ISNUMBER(MATCH(TRIM(M92&amp;""),코드표!$C$2:$C$11,0)),TRIM(M92&amp;""),"⚠"&amp;TRIM(M92&amp;"")))</f>
        <v/>
      </c>
      <c r="U92" s="10">
        <f>IF(TRIM(L92&amp;"")="","",IFERROR(INDEX(코드표!$G$2:$G$101,MATCH(TRIM(L92&amp;""),코드표!$F$2:$F$101,0)),"⚠"&amp;TRIM(L92&amp;"")))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IF(ISNUMBER(H92),MAX(0,MIN(IF(ISNUMBER(I92),I92,EOMONTH(요약!$B$3,0)),EOMONTH(요약!$B$3,0))-MAX(H92,요약!$B$3)+1),0)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IF(AND(ISNUMBER(AB92),ISNUMBER(AC92)),MAX(0,MIN(AC92,EOMONTH(요약!$B$3,0))-MAX(AB92,요약!$B$3)+1),0)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IF(TRIM(B93&amp;"")="","",IFERROR(INDEX(코드표!$K$2:$K$101,MATCH(TRIM(B93&amp;""),코드표!$J$2:$J$101,0)),"⚠"&amp;TRIM(B93&amp;"")))</f>
        <v/>
      </c>
      <c r="S93" s="10">
        <f>IF(TRIM(K93&amp;"")="","",IFERROR(INDEX(코드표!$K$2:$K$101,MATCH(TRIM(K93&amp;""),코드표!$J$2:$J$101,0)),"⚠"&amp;TRIM(K93&amp;"")))</f>
        <v/>
      </c>
      <c r="T93" s="10">
        <f>IF(TRIM(M93&amp;"")="","",IF(ISNUMBER(MATCH(TRIM(M93&amp;""),코드표!$C$2:$C$11,0)),TRIM(M93&amp;""),"⚠"&amp;TRIM(M93&amp;"")))</f>
        <v/>
      </c>
      <c r="U93" s="10">
        <f>IF(TRIM(L93&amp;"")="","",IFERROR(INDEX(코드표!$G$2:$G$101,MATCH(TRIM(L93&amp;""),코드표!$F$2:$F$101,0)),"⚠"&amp;TRIM(L93&amp;"")))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IF(ISNUMBER(H93),MAX(0,MIN(IF(ISNUMBER(I93),I93,EOMONTH(요약!$B$3,0)),EOMONTH(요약!$B$3,0))-MAX(H93,요약!$B$3)+1),0)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IF(AND(ISNUMBER(AB93),ISNUMBER(AC93)),MAX(0,MIN(AC93,EOMONTH(요약!$B$3,0))-MAX(AB93,요약!$B$3)+1),0)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IF(TRIM(B94&amp;"")="","",IFERROR(INDEX(코드표!$K$2:$K$101,MATCH(TRIM(B94&amp;""),코드표!$J$2:$J$101,0)),"⚠"&amp;TRIM(B94&amp;"")))</f>
        <v/>
      </c>
      <c r="S94" s="10">
        <f>IF(TRIM(K94&amp;"")="","",IFERROR(INDEX(코드표!$K$2:$K$101,MATCH(TRIM(K94&amp;""),코드표!$J$2:$J$101,0)),"⚠"&amp;TRIM(K94&amp;"")))</f>
        <v/>
      </c>
      <c r="T94" s="10">
        <f>IF(TRIM(M94&amp;"")="","",IF(ISNUMBER(MATCH(TRIM(M94&amp;""),코드표!$C$2:$C$11,0)),TRIM(M94&amp;""),"⚠"&amp;TRIM(M94&amp;"")))</f>
        <v/>
      </c>
      <c r="U94" s="10">
        <f>IF(TRIM(L94&amp;"")="","",IFERROR(INDEX(코드표!$G$2:$G$101,MATCH(TRIM(L94&amp;""),코드표!$F$2:$F$101,0)),"⚠"&amp;TRIM(L94&amp;"")))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IF(ISNUMBER(H94),MAX(0,MIN(IF(ISNUMBER(I94),I94,EOMONTH(요약!$B$3,0)),EOMONTH(요약!$B$3,0))-MAX(H94,요약!$B$3)+1),0)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IF(AND(ISNUMBER(AB94),ISNUMBER(AC94)),MAX(0,MIN(AC94,EOMONTH(요약!$B$3,0))-MAX(AB94,요약!$B$3)+1),0)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IF(TRIM(B95&amp;"")="","",IFERROR(INDEX(코드표!$K$2:$K$101,MATCH(TRIM(B95&amp;""),코드표!$J$2:$J$101,0)),"⚠"&amp;TRIM(B95&amp;"")))</f>
        <v/>
      </c>
      <c r="S95" s="10">
        <f>IF(TRIM(K95&amp;"")="","",IFERROR(INDEX(코드표!$K$2:$K$101,MATCH(TRIM(K95&amp;""),코드표!$J$2:$J$101,0)),"⚠"&amp;TRIM(K95&amp;"")))</f>
        <v/>
      </c>
      <c r="T95" s="10">
        <f>IF(TRIM(M95&amp;"")="","",IF(ISNUMBER(MATCH(TRIM(M95&amp;""),코드표!$C$2:$C$11,0)),TRIM(M95&amp;""),"⚠"&amp;TRIM(M95&amp;"")))</f>
        <v/>
      </c>
      <c r="U95" s="10">
        <f>IF(TRIM(L95&amp;"")="","",IFERROR(INDEX(코드표!$G$2:$G$101,MATCH(TRIM(L95&amp;""),코드표!$F$2:$F$101,0)),"⚠"&amp;TRIM(L95&amp;"")))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IF(ISNUMBER(H95),MAX(0,MIN(IF(ISNUMBER(I95),I95,EOMONTH(요약!$B$3,0)),EOMONTH(요약!$B$3,0))-MAX(H95,요약!$B$3)+1),0)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IF(AND(ISNUMBER(AB95),ISNUMBER(AC95)),MAX(0,MIN(AC95,EOMONTH(요약!$B$3,0))-MAX(AB95,요약!$B$3)+1),0)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IF(TRIM(B96&amp;"")="","",IFERROR(INDEX(코드표!$K$2:$K$101,MATCH(TRIM(B96&amp;""),코드표!$J$2:$J$101,0)),"⚠"&amp;TRIM(B96&amp;"")))</f>
        <v/>
      </c>
      <c r="S96" s="10">
        <f>IF(TRIM(K96&amp;"")="","",IFERROR(INDEX(코드표!$K$2:$K$101,MATCH(TRIM(K96&amp;""),코드표!$J$2:$J$101,0)),"⚠"&amp;TRIM(K96&amp;"")))</f>
        <v/>
      </c>
      <c r="T96" s="10">
        <f>IF(TRIM(M96&amp;"")="","",IF(ISNUMBER(MATCH(TRIM(M96&amp;""),코드표!$C$2:$C$11,0)),TRIM(M96&amp;""),"⚠"&amp;TRIM(M96&amp;"")))</f>
        <v/>
      </c>
      <c r="U96" s="10">
        <f>IF(TRIM(L96&amp;"")="","",IFERROR(INDEX(코드표!$G$2:$G$101,MATCH(TRIM(L96&amp;""),코드표!$F$2:$F$101,0)),"⚠"&amp;TRIM(L96&amp;"")))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IF(ISNUMBER(H96),MAX(0,MIN(IF(ISNUMBER(I96),I96,EOMONTH(요약!$B$3,0)),EOMONTH(요약!$B$3,0))-MAX(H96,요약!$B$3)+1),0)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IF(AND(ISNUMBER(AB96),ISNUMBER(AC96)),MAX(0,MIN(AC96,EOMONTH(요약!$B$3,0))-MAX(AB96,요약!$B$3)+1),0)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IF(TRIM(B97&amp;"")="","",IFERROR(INDEX(코드표!$K$2:$K$101,MATCH(TRIM(B97&amp;""),코드표!$J$2:$J$101,0)),"⚠"&amp;TRIM(B97&amp;"")))</f>
        <v/>
      </c>
      <c r="S97" s="10">
        <f>IF(TRIM(K97&amp;"")="","",IFERROR(INDEX(코드표!$K$2:$K$101,MATCH(TRIM(K97&amp;""),코드표!$J$2:$J$101,0)),"⚠"&amp;TRIM(K97&amp;"")))</f>
        <v/>
      </c>
      <c r="T97" s="10">
        <f>IF(TRIM(M97&amp;"")="","",IF(ISNUMBER(MATCH(TRIM(M97&amp;""),코드표!$C$2:$C$11,0)),TRIM(M97&amp;""),"⚠"&amp;TRIM(M97&amp;"")))</f>
        <v/>
      </c>
      <c r="U97" s="10">
        <f>IF(TRIM(L97&amp;"")="","",IFERROR(INDEX(코드표!$G$2:$G$101,MATCH(TRIM(L97&amp;""),코드표!$F$2:$F$101,0)),"⚠"&amp;TRIM(L97&amp;"")))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IF(ISNUMBER(H97),MAX(0,MIN(IF(ISNUMBER(I97),I97,EOMONTH(요약!$B$3,0)),EOMONTH(요약!$B$3,0))-MAX(H97,요약!$B$3)+1),0)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IF(AND(ISNUMBER(AB97),ISNUMBER(AC97)),MAX(0,MIN(AC97,EOMONTH(요약!$B$3,0))-MAX(AB97,요약!$B$3)+1),0)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IF(TRIM(B98&amp;"")="","",IFERROR(INDEX(코드표!$K$2:$K$101,MATCH(TRIM(B98&amp;""),코드표!$J$2:$J$101,0)),"⚠"&amp;TRIM(B98&amp;"")))</f>
        <v/>
      </c>
      <c r="S98" s="10">
        <f>IF(TRIM(K98&amp;"")="","",IFERROR(INDEX(코드표!$K$2:$K$101,MATCH(TRIM(K98&amp;""),코드표!$J$2:$J$101,0)),"⚠"&amp;TRIM(K98&amp;"")))</f>
        <v/>
      </c>
      <c r="T98" s="10">
        <f>IF(TRIM(M98&amp;"")="","",IF(ISNUMBER(MATCH(TRIM(M98&amp;""),코드표!$C$2:$C$11,0)),TRIM(M98&amp;""),"⚠"&amp;TRIM(M98&amp;"")))</f>
        <v/>
      </c>
      <c r="U98" s="10">
        <f>IF(TRIM(L98&amp;"")="","",IFERROR(INDEX(코드표!$G$2:$G$101,MATCH(TRIM(L98&amp;""),코드표!$F$2:$F$101,0)),"⚠"&amp;TRIM(L98&amp;"")))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IF(ISNUMBER(H98),MAX(0,MIN(IF(ISNUMBER(I98),I98,EOMONTH(요약!$B$3,0)),EOMONTH(요약!$B$3,0))-MAX(H98,요약!$B$3)+1),0)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IF(AND(ISNUMBER(AB98),ISNUMBER(AC98)),MAX(0,MIN(AC98,EOMONTH(요약!$B$3,0))-MAX(AB98,요약!$B$3)+1),0)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IF(TRIM(B99&amp;"")="","",IFERROR(INDEX(코드표!$K$2:$K$101,MATCH(TRIM(B99&amp;""),코드표!$J$2:$J$101,0)),"⚠"&amp;TRIM(B99&amp;"")))</f>
        <v/>
      </c>
      <c r="S99" s="10">
        <f>IF(TRIM(K99&amp;"")="","",IFERROR(INDEX(코드표!$K$2:$K$101,MATCH(TRIM(K99&amp;""),코드표!$J$2:$J$101,0)),"⚠"&amp;TRIM(K99&amp;"")))</f>
        <v/>
      </c>
      <c r="T99" s="10">
        <f>IF(TRIM(M99&amp;"")="","",IF(ISNUMBER(MATCH(TRIM(M99&amp;""),코드표!$C$2:$C$11,0)),TRIM(M99&amp;""),"⚠"&amp;TRIM(M99&amp;"")))</f>
        <v/>
      </c>
      <c r="U99" s="10">
        <f>IF(TRIM(L99&amp;"")="","",IFERROR(INDEX(코드표!$G$2:$G$101,MATCH(TRIM(L99&amp;""),코드표!$F$2:$F$101,0)),"⚠"&amp;TRIM(L99&amp;"")))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IF(ISNUMBER(H99),MAX(0,MIN(IF(ISNUMBER(I99),I99,EOMONTH(요약!$B$3,0)),EOMONTH(요약!$B$3,0))-MAX(H99,요약!$B$3)+1),0)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IF(AND(ISNUMBER(AB99),ISNUMBER(AC99)),MAX(0,MIN(AC99,EOMONTH(요약!$B$3,0))-MAX(AB99,요약!$B$3)+1),0)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IF(TRIM(B100&amp;"")="","",IFERROR(INDEX(코드표!$K$2:$K$101,MATCH(TRIM(B100&amp;""),코드표!$J$2:$J$101,0)),"⚠"&amp;TRIM(B100&amp;"")))</f>
        <v/>
      </c>
      <c r="S100" s="10">
        <f>IF(TRIM(K100&amp;"")="","",IFERROR(INDEX(코드표!$K$2:$K$101,MATCH(TRIM(K100&amp;""),코드표!$J$2:$J$101,0)),"⚠"&amp;TRIM(K100&amp;"")))</f>
        <v/>
      </c>
      <c r="T100" s="10">
        <f>IF(TRIM(M100&amp;"")="","",IF(ISNUMBER(MATCH(TRIM(M100&amp;""),코드표!$C$2:$C$11,0)),TRIM(M100&amp;""),"⚠"&amp;TRIM(M100&amp;"")))</f>
        <v/>
      </c>
      <c r="U100" s="10">
        <f>IF(TRIM(L100&amp;"")="","",IFERROR(INDEX(코드표!$G$2:$G$101,MATCH(TRIM(L100&amp;""),코드표!$F$2:$F$101,0)),"⚠"&amp;TRIM(L100&amp;"")))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IF(ISNUMBER(H100),MAX(0,MIN(IF(ISNUMBER(I100),I100,EOMONTH(요약!$B$3,0)),EOMONTH(요약!$B$3,0))-MAX(H100,요약!$B$3)+1),0)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IF(AND(ISNUMBER(AB100),ISNUMBER(AC100)),MAX(0,MIN(AC100,EOMONTH(요약!$B$3,0))-MAX(AB100,요약!$B$3)+1),0)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IF(TRIM(B101&amp;"")="","",IFERROR(INDEX(코드표!$K$2:$K$101,MATCH(TRIM(B101&amp;""),코드표!$J$2:$J$101,0)),"⚠"&amp;TRIM(B101&amp;"")))</f>
        <v/>
      </c>
      <c r="S101" s="10">
        <f>IF(TRIM(K101&amp;"")="","",IFERROR(INDEX(코드표!$K$2:$K$101,MATCH(TRIM(K101&amp;""),코드표!$J$2:$J$101,0)),"⚠"&amp;TRIM(K101&amp;"")))</f>
        <v/>
      </c>
      <c r="T101" s="10">
        <f>IF(TRIM(M101&amp;"")="","",IF(ISNUMBER(MATCH(TRIM(M101&amp;""),코드표!$C$2:$C$11,0)),TRIM(M101&amp;""),"⚠"&amp;TRIM(M101&amp;"")))</f>
        <v/>
      </c>
      <c r="U101" s="10">
        <f>IF(TRIM(L101&amp;"")="","",IFERROR(INDEX(코드표!$G$2:$G$101,MATCH(TRIM(L101&amp;""),코드표!$F$2:$F$101,0)),"⚠"&amp;TRIM(L101&amp;"")))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IF(ISNUMBER(H101),MAX(0,MIN(IF(ISNUMBER(I101),I101,EOMONTH(요약!$B$3,0)),EOMONTH(요약!$B$3,0))-MAX(H101,요약!$B$3)+1),0)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IF(AND(ISNUMBER(AB101),ISNUMBER(AC101)),MAX(0,MIN(AC101,EOMONTH(요약!$B$3,0))-MAX(AB101,요약!$B$3)+1),0)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IF(TRIM(B102&amp;"")="","",IFERROR(INDEX(코드표!$K$2:$K$101,MATCH(TRIM(B102&amp;""),코드표!$J$2:$J$101,0)),"⚠"&amp;TRIM(B102&amp;"")))</f>
        <v/>
      </c>
      <c r="S102" s="10">
        <f>IF(TRIM(K102&amp;"")="","",IFERROR(INDEX(코드표!$K$2:$K$101,MATCH(TRIM(K102&amp;""),코드표!$J$2:$J$101,0)),"⚠"&amp;TRIM(K102&amp;"")))</f>
        <v/>
      </c>
      <c r="T102" s="10">
        <f>IF(TRIM(M102&amp;"")="","",IF(ISNUMBER(MATCH(TRIM(M102&amp;""),코드표!$C$2:$C$11,0)),TRIM(M102&amp;""),"⚠"&amp;TRIM(M102&amp;"")))</f>
        <v/>
      </c>
      <c r="U102" s="10">
        <f>IF(TRIM(L102&amp;"")="","",IFERROR(INDEX(코드표!$G$2:$G$101,MATCH(TRIM(L102&amp;""),코드표!$F$2:$F$101,0)),"⚠"&amp;TRIM(L102&amp;"")))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IF(ISNUMBER(H102),MAX(0,MIN(IF(ISNUMBER(I102),I102,EOMONTH(요약!$B$3,0)),EOMONTH(요약!$B$3,0))-MAX(H102,요약!$B$3)+1),0)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IF(AND(ISNUMBER(AB102),ISNUMBER(AC102)),MAX(0,MIN(AC102,EOMONTH(요약!$B$3,0))-MAX(AB102,요약!$B$3)+1),0)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IF(TRIM(B103&amp;"")="","",IFERROR(INDEX(코드표!$K$2:$K$101,MATCH(TRIM(B103&amp;""),코드표!$J$2:$J$101,0)),"⚠"&amp;TRIM(B103&amp;"")))</f>
        <v/>
      </c>
      <c r="S103" s="10">
        <f>IF(TRIM(K103&amp;"")="","",IFERROR(INDEX(코드표!$K$2:$K$101,MATCH(TRIM(K103&amp;""),코드표!$J$2:$J$101,0)),"⚠"&amp;TRIM(K103&amp;"")))</f>
        <v/>
      </c>
      <c r="T103" s="10">
        <f>IF(TRIM(M103&amp;"")="","",IF(ISNUMBER(MATCH(TRIM(M103&amp;""),코드표!$C$2:$C$11,0)),TRIM(M103&amp;""),"⚠"&amp;TRIM(M103&amp;"")))</f>
        <v/>
      </c>
      <c r="U103" s="10">
        <f>IF(TRIM(L103&amp;"")="","",IFERROR(INDEX(코드표!$G$2:$G$101,MATCH(TRIM(L103&amp;""),코드표!$F$2:$F$101,0)),"⚠"&amp;TRIM(L103&amp;"")))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IF(ISNUMBER(H103),MAX(0,MIN(IF(ISNUMBER(I103),I103,EOMONTH(요약!$B$3,0)),EOMONTH(요약!$B$3,0))-MAX(H103,요약!$B$3)+1),0)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IF(AND(ISNUMBER(AB103),ISNUMBER(AC103)),MAX(0,MIN(AC103,EOMONTH(요약!$B$3,0))-MAX(AB103,요약!$B$3)+1),0)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IF(TRIM(B104&amp;"")="","",IFERROR(INDEX(코드표!$K$2:$K$101,MATCH(TRIM(B104&amp;""),코드표!$J$2:$J$101,0)),"⚠"&amp;TRIM(B104&amp;"")))</f>
        <v/>
      </c>
      <c r="S104" s="10">
        <f>IF(TRIM(K104&amp;"")="","",IFERROR(INDEX(코드표!$K$2:$K$101,MATCH(TRIM(K104&amp;""),코드표!$J$2:$J$101,0)),"⚠"&amp;TRIM(K104&amp;"")))</f>
        <v/>
      </c>
      <c r="T104" s="10">
        <f>IF(TRIM(M104&amp;"")="","",IF(ISNUMBER(MATCH(TRIM(M104&amp;""),코드표!$C$2:$C$11,0)),TRIM(M104&amp;""),"⚠"&amp;TRIM(M104&amp;"")))</f>
        <v/>
      </c>
      <c r="U104" s="10">
        <f>IF(TRIM(L104&amp;"")="","",IFERROR(INDEX(코드표!$G$2:$G$101,MATCH(TRIM(L104&amp;""),코드표!$F$2:$F$101,0)),"⚠"&amp;TRIM(L104&amp;"")))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IF(ISNUMBER(H104),MAX(0,MIN(IF(ISNUMBER(I104),I104,EOMONTH(요약!$B$3,0)),EOMONTH(요약!$B$3,0))-MAX(H104,요약!$B$3)+1),0)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IF(AND(ISNUMBER(AB104),ISNUMBER(AC104)),MAX(0,MIN(AC104,EOMONTH(요약!$B$3,0))-MAX(AB104,요약!$B$3)+1),0)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IF(TRIM(B105&amp;"")="","",IFERROR(INDEX(코드표!$K$2:$K$101,MATCH(TRIM(B105&amp;""),코드표!$J$2:$J$101,0)),"⚠"&amp;TRIM(B105&amp;"")))</f>
        <v/>
      </c>
      <c r="S105" s="10">
        <f>IF(TRIM(K105&amp;"")="","",IFERROR(INDEX(코드표!$K$2:$K$101,MATCH(TRIM(K105&amp;""),코드표!$J$2:$J$101,0)),"⚠"&amp;TRIM(K105&amp;"")))</f>
        <v/>
      </c>
      <c r="T105" s="10">
        <f>IF(TRIM(M105&amp;"")="","",IF(ISNUMBER(MATCH(TRIM(M105&amp;""),코드표!$C$2:$C$11,0)),TRIM(M105&amp;""),"⚠"&amp;TRIM(M105&amp;"")))</f>
        <v/>
      </c>
      <c r="U105" s="10">
        <f>IF(TRIM(L105&amp;"")="","",IFERROR(INDEX(코드표!$G$2:$G$101,MATCH(TRIM(L105&amp;""),코드표!$F$2:$F$101,0)),"⚠"&amp;TRIM(L105&amp;"")))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IF(ISNUMBER(H105),MAX(0,MIN(IF(ISNUMBER(I105),I105,EOMONTH(요약!$B$3,0)),EOMONTH(요약!$B$3,0))-MAX(H105,요약!$B$3)+1),0)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IF(AND(ISNUMBER(AB105),ISNUMBER(AC105)),MAX(0,MIN(AC105,EOMONTH(요약!$B$3,0))-MAX(AB105,요약!$B$3)+1),0)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IF(TRIM(B106&amp;"")="","",IFERROR(INDEX(코드표!$K$2:$K$101,MATCH(TRIM(B106&amp;""),코드표!$J$2:$J$101,0)),"⚠"&amp;TRIM(B106&amp;"")))</f>
        <v/>
      </c>
      <c r="S106" s="10">
        <f>IF(TRIM(K106&amp;"")="","",IFERROR(INDEX(코드표!$K$2:$K$101,MATCH(TRIM(K106&amp;""),코드표!$J$2:$J$101,0)),"⚠"&amp;TRIM(K106&amp;"")))</f>
        <v/>
      </c>
      <c r="T106" s="10">
        <f>IF(TRIM(M106&amp;"")="","",IF(ISNUMBER(MATCH(TRIM(M106&amp;""),코드표!$C$2:$C$11,0)),TRIM(M106&amp;""),"⚠"&amp;TRIM(M106&amp;"")))</f>
        <v/>
      </c>
      <c r="U106" s="10">
        <f>IF(TRIM(L106&amp;"")="","",IFERROR(INDEX(코드표!$G$2:$G$101,MATCH(TRIM(L106&amp;""),코드표!$F$2:$F$101,0)),"⚠"&amp;TRIM(L106&amp;"")))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IF(ISNUMBER(H106),MAX(0,MIN(IF(ISNUMBER(I106),I106,EOMONTH(요약!$B$3,0)),EOMONTH(요약!$B$3,0))-MAX(H106,요약!$B$3)+1),0)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IF(AND(ISNUMBER(AB106),ISNUMBER(AC106)),MAX(0,MIN(AC106,EOMONTH(요약!$B$3,0))-MAX(AB106,요약!$B$3)+1),0)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IF(TRIM(B107&amp;"")="","",IFERROR(INDEX(코드표!$K$2:$K$101,MATCH(TRIM(B107&amp;""),코드표!$J$2:$J$101,0)),"⚠"&amp;TRIM(B107&amp;"")))</f>
        <v/>
      </c>
      <c r="S107" s="10">
        <f>IF(TRIM(K107&amp;"")="","",IFERROR(INDEX(코드표!$K$2:$K$101,MATCH(TRIM(K107&amp;""),코드표!$J$2:$J$101,0)),"⚠"&amp;TRIM(K107&amp;"")))</f>
        <v/>
      </c>
      <c r="T107" s="10">
        <f>IF(TRIM(M107&amp;"")="","",IF(ISNUMBER(MATCH(TRIM(M107&amp;""),코드표!$C$2:$C$11,0)),TRIM(M107&amp;""),"⚠"&amp;TRIM(M107&amp;"")))</f>
        <v/>
      </c>
      <c r="U107" s="10">
        <f>IF(TRIM(L107&amp;"")="","",IFERROR(INDEX(코드표!$G$2:$G$101,MATCH(TRIM(L107&amp;""),코드표!$F$2:$F$101,0)),"⚠"&amp;TRIM(L107&amp;"")))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IF(ISNUMBER(H107),MAX(0,MIN(IF(ISNUMBER(I107),I107,EOMONTH(요약!$B$3,0)),EOMONTH(요약!$B$3,0))-MAX(H107,요약!$B$3)+1),0)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IF(AND(ISNUMBER(AB107),ISNUMBER(AC107)),MAX(0,MIN(AC107,EOMONTH(요약!$B$3,0))-MAX(AB107,요약!$B$3)+1),0)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IF(TRIM(B108&amp;"")="","",IFERROR(INDEX(코드표!$K$2:$K$101,MATCH(TRIM(B108&amp;""),코드표!$J$2:$J$101,0)),"⚠"&amp;TRIM(B108&amp;"")))</f>
        <v/>
      </c>
      <c r="S108" s="10">
        <f>IF(TRIM(K108&amp;"")="","",IFERROR(INDEX(코드표!$K$2:$K$101,MATCH(TRIM(K108&amp;""),코드표!$J$2:$J$101,0)),"⚠"&amp;TRIM(K108&amp;"")))</f>
        <v/>
      </c>
      <c r="T108" s="10">
        <f>IF(TRIM(M108&amp;"")="","",IF(ISNUMBER(MATCH(TRIM(M108&amp;""),코드표!$C$2:$C$11,0)),TRIM(M108&amp;""),"⚠"&amp;TRIM(M108&amp;"")))</f>
        <v/>
      </c>
      <c r="U108" s="10">
        <f>IF(TRIM(L108&amp;"")="","",IFERROR(INDEX(코드표!$G$2:$G$101,MATCH(TRIM(L108&amp;""),코드표!$F$2:$F$101,0)),"⚠"&amp;TRIM(L108&amp;"")))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IF(ISNUMBER(H108),MAX(0,MIN(IF(ISNUMBER(I108),I108,EOMONTH(요약!$B$3,0)),EOMONTH(요약!$B$3,0))-MAX(H108,요약!$B$3)+1),0)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IF(AND(ISNUMBER(AB108),ISNUMBER(AC108)),MAX(0,MIN(AC108,EOMONTH(요약!$B$3,0))-MAX(AB108,요약!$B$3)+1),0)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IF(TRIM(B109&amp;"")="","",IFERROR(INDEX(코드표!$K$2:$K$101,MATCH(TRIM(B109&amp;""),코드표!$J$2:$J$101,0)),"⚠"&amp;TRIM(B109&amp;"")))</f>
        <v/>
      </c>
      <c r="S109" s="10">
        <f>IF(TRIM(K109&amp;"")="","",IFERROR(INDEX(코드표!$K$2:$K$101,MATCH(TRIM(K109&amp;""),코드표!$J$2:$J$101,0)),"⚠"&amp;TRIM(K109&amp;"")))</f>
        <v/>
      </c>
      <c r="T109" s="10">
        <f>IF(TRIM(M109&amp;"")="","",IF(ISNUMBER(MATCH(TRIM(M109&amp;""),코드표!$C$2:$C$11,0)),TRIM(M109&amp;""),"⚠"&amp;TRIM(M109&amp;"")))</f>
        <v/>
      </c>
      <c r="U109" s="10">
        <f>IF(TRIM(L109&amp;"")="","",IFERROR(INDEX(코드표!$G$2:$G$101,MATCH(TRIM(L109&amp;""),코드표!$F$2:$F$101,0)),"⚠"&amp;TRIM(L109&amp;"")))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IF(ISNUMBER(H109),MAX(0,MIN(IF(ISNUMBER(I109),I109,EOMONTH(요약!$B$3,0)),EOMONTH(요약!$B$3,0))-MAX(H109,요약!$B$3)+1),0)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IF(AND(ISNUMBER(AB109),ISNUMBER(AC109)),MAX(0,MIN(AC109,EOMONTH(요약!$B$3,0))-MAX(AB109,요약!$B$3)+1),0)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IF(TRIM(B110&amp;"")="","",IFERROR(INDEX(코드표!$K$2:$K$101,MATCH(TRIM(B110&amp;""),코드표!$J$2:$J$101,0)),"⚠"&amp;TRIM(B110&amp;"")))</f>
        <v/>
      </c>
      <c r="S110" s="10">
        <f>IF(TRIM(K110&amp;"")="","",IFERROR(INDEX(코드표!$K$2:$K$101,MATCH(TRIM(K110&amp;""),코드표!$J$2:$J$101,0)),"⚠"&amp;TRIM(K110&amp;"")))</f>
        <v/>
      </c>
      <c r="T110" s="10">
        <f>IF(TRIM(M110&amp;"")="","",IF(ISNUMBER(MATCH(TRIM(M110&amp;""),코드표!$C$2:$C$11,0)),TRIM(M110&amp;""),"⚠"&amp;TRIM(M110&amp;"")))</f>
        <v/>
      </c>
      <c r="U110" s="10">
        <f>IF(TRIM(L110&amp;"")="","",IFERROR(INDEX(코드표!$G$2:$G$101,MATCH(TRIM(L110&amp;""),코드표!$F$2:$F$101,0)),"⚠"&amp;TRIM(L110&amp;"")))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IF(ISNUMBER(H110),MAX(0,MIN(IF(ISNUMBER(I110),I110,EOMONTH(요약!$B$3,0)),EOMONTH(요약!$B$3,0))-MAX(H110,요약!$B$3)+1),0)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IF(AND(ISNUMBER(AB110),ISNUMBER(AC110)),MAX(0,MIN(AC110,EOMONTH(요약!$B$3,0))-MAX(AB110,요약!$B$3)+1),0)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IF(TRIM(B111&amp;"")="","",IFERROR(INDEX(코드표!$K$2:$K$101,MATCH(TRIM(B111&amp;""),코드표!$J$2:$J$101,0)),"⚠"&amp;TRIM(B111&amp;"")))</f>
        <v/>
      </c>
      <c r="S111" s="10">
        <f>IF(TRIM(K111&amp;"")="","",IFERROR(INDEX(코드표!$K$2:$K$101,MATCH(TRIM(K111&amp;""),코드표!$J$2:$J$101,0)),"⚠"&amp;TRIM(K111&amp;"")))</f>
        <v/>
      </c>
      <c r="T111" s="10">
        <f>IF(TRIM(M111&amp;"")="","",IF(ISNUMBER(MATCH(TRIM(M111&amp;""),코드표!$C$2:$C$11,0)),TRIM(M111&amp;""),"⚠"&amp;TRIM(M111&amp;"")))</f>
        <v/>
      </c>
      <c r="U111" s="10">
        <f>IF(TRIM(L111&amp;"")="","",IFERROR(INDEX(코드표!$G$2:$G$101,MATCH(TRIM(L111&amp;""),코드표!$F$2:$F$101,0)),"⚠"&amp;TRIM(L111&amp;"")))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IF(ISNUMBER(H111),MAX(0,MIN(IF(ISNUMBER(I111),I111,EOMONTH(요약!$B$3,0)),EOMONTH(요약!$B$3,0))-MAX(H111,요약!$B$3)+1),0)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IF(AND(ISNUMBER(AB111),ISNUMBER(AC111)),MAX(0,MIN(AC111,EOMONTH(요약!$B$3,0))-MAX(AB111,요약!$B$3)+1),0)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IF(TRIM(B112&amp;"")="","",IFERROR(INDEX(코드표!$K$2:$K$101,MATCH(TRIM(B112&amp;""),코드표!$J$2:$J$101,0)),"⚠"&amp;TRIM(B112&amp;"")))</f>
        <v/>
      </c>
      <c r="S112" s="10">
        <f>IF(TRIM(K112&amp;"")="","",IFERROR(INDEX(코드표!$K$2:$K$101,MATCH(TRIM(K112&amp;""),코드표!$J$2:$J$101,0)),"⚠"&amp;TRIM(K112&amp;"")))</f>
        <v/>
      </c>
      <c r="T112" s="10">
        <f>IF(TRIM(M112&amp;"")="","",IF(ISNUMBER(MATCH(TRIM(M112&amp;""),코드표!$C$2:$C$11,0)),TRIM(M112&amp;""),"⚠"&amp;TRIM(M112&amp;"")))</f>
        <v/>
      </c>
      <c r="U112" s="10">
        <f>IF(TRIM(L112&amp;"")="","",IFERROR(INDEX(코드표!$G$2:$G$101,MATCH(TRIM(L112&amp;""),코드표!$F$2:$F$101,0)),"⚠"&amp;TRIM(L112&amp;"")))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IF(ISNUMBER(H112),MAX(0,MIN(IF(ISNUMBER(I112),I112,EOMONTH(요약!$B$3,0)),EOMONTH(요약!$B$3,0))-MAX(H112,요약!$B$3)+1),0)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IF(AND(ISNUMBER(AB112),ISNUMBER(AC112)),MAX(0,MIN(AC112,EOMONTH(요약!$B$3,0))-MAX(AB112,요약!$B$3)+1),0)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IF(TRIM(B113&amp;"")="","",IFERROR(INDEX(코드표!$K$2:$K$101,MATCH(TRIM(B113&amp;""),코드표!$J$2:$J$101,0)),"⚠"&amp;TRIM(B113&amp;"")))</f>
        <v/>
      </c>
      <c r="S113" s="10">
        <f>IF(TRIM(K113&amp;"")="","",IFERROR(INDEX(코드표!$K$2:$K$101,MATCH(TRIM(K113&amp;""),코드표!$J$2:$J$101,0)),"⚠"&amp;TRIM(K113&amp;"")))</f>
        <v/>
      </c>
      <c r="T113" s="10">
        <f>IF(TRIM(M113&amp;"")="","",IF(ISNUMBER(MATCH(TRIM(M113&amp;""),코드표!$C$2:$C$11,0)),TRIM(M113&amp;""),"⚠"&amp;TRIM(M113&amp;"")))</f>
        <v/>
      </c>
      <c r="U113" s="10">
        <f>IF(TRIM(L113&amp;"")="","",IFERROR(INDEX(코드표!$G$2:$G$101,MATCH(TRIM(L113&amp;""),코드표!$F$2:$F$101,0)),"⚠"&amp;TRIM(L113&amp;"")))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IF(ISNUMBER(H113),MAX(0,MIN(IF(ISNUMBER(I113),I113,EOMONTH(요약!$B$3,0)),EOMONTH(요약!$B$3,0))-MAX(H113,요약!$B$3)+1),0)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IF(AND(ISNUMBER(AB113),ISNUMBER(AC113)),MAX(0,MIN(AC113,EOMONTH(요약!$B$3,0))-MAX(AB113,요약!$B$3)+1),0)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IF(TRIM(B114&amp;"")="","",IFERROR(INDEX(코드표!$K$2:$K$101,MATCH(TRIM(B114&amp;""),코드표!$J$2:$J$101,0)),"⚠"&amp;TRIM(B114&amp;"")))</f>
        <v/>
      </c>
      <c r="S114" s="10">
        <f>IF(TRIM(K114&amp;"")="","",IFERROR(INDEX(코드표!$K$2:$K$101,MATCH(TRIM(K114&amp;""),코드표!$J$2:$J$101,0)),"⚠"&amp;TRIM(K114&amp;"")))</f>
        <v/>
      </c>
      <c r="T114" s="10">
        <f>IF(TRIM(M114&amp;"")="","",IF(ISNUMBER(MATCH(TRIM(M114&amp;""),코드표!$C$2:$C$11,0)),TRIM(M114&amp;""),"⚠"&amp;TRIM(M114&amp;"")))</f>
        <v/>
      </c>
      <c r="U114" s="10">
        <f>IF(TRIM(L114&amp;"")="","",IFERROR(INDEX(코드표!$G$2:$G$101,MATCH(TRIM(L114&amp;""),코드표!$F$2:$F$101,0)),"⚠"&amp;TRIM(L114&amp;"")))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IF(ISNUMBER(H114),MAX(0,MIN(IF(ISNUMBER(I114),I114,EOMONTH(요약!$B$3,0)),EOMONTH(요약!$B$3,0))-MAX(H114,요약!$B$3)+1),0)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IF(AND(ISNUMBER(AB114),ISNUMBER(AC114)),MAX(0,MIN(AC114,EOMONTH(요약!$B$3,0))-MAX(AB114,요약!$B$3)+1),0)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IF(TRIM(B115&amp;"")="","",IFERROR(INDEX(코드표!$K$2:$K$101,MATCH(TRIM(B115&amp;""),코드표!$J$2:$J$101,0)),"⚠"&amp;TRIM(B115&amp;"")))</f>
        <v/>
      </c>
      <c r="S115" s="10">
        <f>IF(TRIM(K115&amp;"")="","",IFERROR(INDEX(코드표!$K$2:$K$101,MATCH(TRIM(K115&amp;""),코드표!$J$2:$J$101,0)),"⚠"&amp;TRIM(K115&amp;"")))</f>
        <v/>
      </c>
      <c r="T115" s="10">
        <f>IF(TRIM(M115&amp;"")="","",IF(ISNUMBER(MATCH(TRIM(M115&amp;""),코드표!$C$2:$C$11,0)),TRIM(M115&amp;""),"⚠"&amp;TRIM(M115&amp;"")))</f>
        <v/>
      </c>
      <c r="U115" s="10">
        <f>IF(TRIM(L115&amp;"")="","",IFERROR(INDEX(코드표!$G$2:$G$101,MATCH(TRIM(L115&amp;""),코드표!$F$2:$F$101,0)),"⚠"&amp;TRIM(L115&amp;"")))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IF(ISNUMBER(H115),MAX(0,MIN(IF(ISNUMBER(I115),I115,EOMONTH(요약!$B$3,0)),EOMONTH(요약!$B$3,0))-MAX(H115,요약!$B$3)+1),0)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IF(AND(ISNUMBER(AB115),ISNUMBER(AC115)),MAX(0,MIN(AC115,EOMONTH(요약!$B$3,0))-MAX(AB115,요약!$B$3)+1),0)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IF(TRIM(B116&amp;"")="","",IFERROR(INDEX(코드표!$K$2:$K$101,MATCH(TRIM(B116&amp;""),코드표!$J$2:$J$101,0)),"⚠"&amp;TRIM(B116&amp;"")))</f>
        <v/>
      </c>
      <c r="S116" s="10">
        <f>IF(TRIM(K116&amp;"")="","",IFERROR(INDEX(코드표!$K$2:$K$101,MATCH(TRIM(K116&amp;""),코드표!$J$2:$J$101,0)),"⚠"&amp;TRIM(K116&amp;"")))</f>
        <v/>
      </c>
      <c r="T116" s="10">
        <f>IF(TRIM(M116&amp;"")="","",IF(ISNUMBER(MATCH(TRIM(M116&amp;""),코드표!$C$2:$C$11,0)),TRIM(M116&amp;""),"⚠"&amp;TRIM(M116&amp;"")))</f>
        <v/>
      </c>
      <c r="U116" s="10">
        <f>IF(TRIM(L116&amp;"")="","",IFERROR(INDEX(코드표!$G$2:$G$101,MATCH(TRIM(L116&amp;""),코드표!$F$2:$F$101,0)),"⚠"&amp;TRIM(L116&amp;"")))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IF(ISNUMBER(H116),MAX(0,MIN(IF(ISNUMBER(I116),I116,EOMONTH(요약!$B$3,0)),EOMONTH(요약!$B$3,0))-MAX(H116,요약!$B$3)+1),0)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IF(AND(ISNUMBER(AB116),ISNUMBER(AC116)),MAX(0,MIN(AC116,EOMONTH(요약!$B$3,0))-MAX(AB116,요약!$B$3)+1),0)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IF(TRIM(B117&amp;"")="","",IFERROR(INDEX(코드표!$K$2:$K$101,MATCH(TRIM(B117&amp;""),코드표!$J$2:$J$101,0)),"⚠"&amp;TRIM(B117&amp;"")))</f>
        <v/>
      </c>
      <c r="S117" s="10">
        <f>IF(TRIM(K117&amp;"")="","",IFERROR(INDEX(코드표!$K$2:$K$101,MATCH(TRIM(K117&amp;""),코드표!$J$2:$J$101,0)),"⚠"&amp;TRIM(K117&amp;"")))</f>
        <v/>
      </c>
      <c r="T117" s="10">
        <f>IF(TRIM(M117&amp;"")="","",IF(ISNUMBER(MATCH(TRIM(M117&amp;""),코드표!$C$2:$C$11,0)),TRIM(M117&amp;""),"⚠"&amp;TRIM(M117&amp;"")))</f>
        <v/>
      </c>
      <c r="U117" s="10">
        <f>IF(TRIM(L117&amp;"")="","",IFERROR(INDEX(코드표!$G$2:$G$101,MATCH(TRIM(L117&amp;""),코드표!$F$2:$F$101,0)),"⚠"&amp;TRIM(L117&amp;"")))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IF(ISNUMBER(H117),MAX(0,MIN(IF(ISNUMBER(I117),I117,EOMONTH(요약!$B$3,0)),EOMONTH(요약!$B$3,0))-MAX(H117,요약!$B$3)+1),0)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IF(AND(ISNUMBER(AB117),ISNUMBER(AC117)),MAX(0,MIN(AC117,EOMONTH(요약!$B$3,0))-MAX(AB117,요약!$B$3)+1),0)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IF(TRIM(B118&amp;"")="","",IFERROR(INDEX(코드표!$K$2:$K$101,MATCH(TRIM(B118&amp;""),코드표!$J$2:$J$101,0)),"⚠"&amp;TRIM(B118&amp;"")))</f>
        <v/>
      </c>
      <c r="S118" s="10">
        <f>IF(TRIM(K118&amp;"")="","",IFERROR(INDEX(코드표!$K$2:$K$101,MATCH(TRIM(K118&amp;""),코드표!$J$2:$J$101,0)),"⚠"&amp;TRIM(K118&amp;"")))</f>
        <v/>
      </c>
      <c r="T118" s="10">
        <f>IF(TRIM(M118&amp;"")="","",IF(ISNUMBER(MATCH(TRIM(M118&amp;""),코드표!$C$2:$C$11,0)),TRIM(M118&amp;""),"⚠"&amp;TRIM(M118&amp;"")))</f>
        <v/>
      </c>
      <c r="U118" s="10">
        <f>IF(TRIM(L118&amp;"")="","",IFERROR(INDEX(코드표!$G$2:$G$101,MATCH(TRIM(L118&amp;""),코드표!$F$2:$F$101,0)),"⚠"&amp;TRIM(L118&amp;"")))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IF(ISNUMBER(H118),MAX(0,MIN(IF(ISNUMBER(I118),I118,EOMONTH(요약!$B$3,0)),EOMONTH(요약!$B$3,0))-MAX(H118,요약!$B$3)+1),0)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IF(AND(ISNUMBER(AB118),ISNUMBER(AC118)),MAX(0,MIN(AC118,EOMONTH(요약!$B$3,0))-MAX(AB118,요약!$B$3)+1),0)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IF(TRIM(B119&amp;"")="","",IFERROR(INDEX(코드표!$K$2:$K$101,MATCH(TRIM(B119&amp;""),코드표!$J$2:$J$101,0)),"⚠"&amp;TRIM(B119&amp;"")))</f>
        <v/>
      </c>
      <c r="S119" s="10">
        <f>IF(TRIM(K119&amp;"")="","",IFERROR(INDEX(코드표!$K$2:$K$101,MATCH(TRIM(K119&amp;""),코드표!$J$2:$J$101,0)),"⚠"&amp;TRIM(K119&amp;"")))</f>
        <v/>
      </c>
      <c r="T119" s="10">
        <f>IF(TRIM(M119&amp;"")="","",IF(ISNUMBER(MATCH(TRIM(M119&amp;""),코드표!$C$2:$C$11,0)),TRIM(M119&amp;""),"⚠"&amp;TRIM(M119&amp;"")))</f>
        <v/>
      </c>
      <c r="U119" s="10">
        <f>IF(TRIM(L119&amp;"")="","",IFERROR(INDEX(코드표!$G$2:$G$101,MATCH(TRIM(L119&amp;""),코드표!$F$2:$F$101,0)),"⚠"&amp;TRIM(L119&amp;"")))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IF(ISNUMBER(H119),MAX(0,MIN(IF(ISNUMBER(I119),I119,EOMONTH(요약!$B$3,0)),EOMONTH(요약!$B$3,0))-MAX(H119,요약!$B$3)+1),0)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IF(AND(ISNUMBER(AB119),ISNUMBER(AC119)),MAX(0,MIN(AC119,EOMONTH(요약!$B$3,0))-MAX(AB119,요약!$B$3)+1),0)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IF(TRIM(B120&amp;"")="","",IFERROR(INDEX(코드표!$K$2:$K$101,MATCH(TRIM(B120&amp;""),코드표!$J$2:$J$101,0)),"⚠"&amp;TRIM(B120&amp;"")))</f>
        <v/>
      </c>
      <c r="S120" s="10">
        <f>IF(TRIM(K120&amp;"")="","",IFERROR(INDEX(코드표!$K$2:$K$101,MATCH(TRIM(K120&amp;""),코드표!$J$2:$J$101,0)),"⚠"&amp;TRIM(K120&amp;"")))</f>
        <v/>
      </c>
      <c r="T120" s="10">
        <f>IF(TRIM(M120&amp;"")="","",IF(ISNUMBER(MATCH(TRIM(M120&amp;""),코드표!$C$2:$C$11,0)),TRIM(M120&amp;""),"⚠"&amp;TRIM(M120&amp;"")))</f>
        <v/>
      </c>
      <c r="U120" s="10">
        <f>IF(TRIM(L120&amp;"")="","",IFERROR(INDEX(코드표!$G$2:$G$101,MATCH(TRIM(L120&amp;""),코드표!$F$2:$F$101,0)),"⚠"&amp;TRIM(L120&amp;"")))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IF(ISNUMBER(H120),MAX(0,MIN(IF(ISNUMBER(I120),I120,EOMONTH(요약!$B$3,0)),EOMONTH(요약!$B$3,0))-MAX(H120,요약!$B$3)+1),0)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IF(AND(ISNUMBER(AB120),ISNUMBER(AC120)),MAX(0,MIN(AC120,EOMONTH(요약!$B$3,0))-MAX(AB120,요약!$B$3)+1),0)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IF(TRIM(B121&amp;"")="","",IFERROR(INDEX(코드표!$K$2:$K$101,MATCH(TRIM(B121&amp;""),코드표!$J$2:$J$101,0)),"⚠"&amp;TRIM(B121&amp;"")))</f>
        <v/>
      </c>
      <c r="S121" s="10">
        <f>IF(TRIM(K121&amp;"")="","",IFERROR(INDEX(코드표!$K$2:$K$101,MATCH(TRIM(K121&amp;""),코드표!$J$2:$J$101,0)),"⚠"&amp;TRIM(K121&amp;"")))</f>
        <v/>
      </c>
      <c r="T121" s="10">
        <f>IF(TRIM(M121&amp;"")="","",IF(ISNUMBER(MATCH(TRIM(M121&amp;""),코드표!$C$2:$C$11,0)),TRIM(M121&amp;""),"⚠"&amp;TRIM(M121&amp;"")))</f>
        <v/>
      </c>
      <c r="U121" s="10">
        <f>IF(TRIM(L121&amp;"")="","",IFERROR(INDEX(코드표!$G$2:$G$101,MATCH(TRIM(L121&amp;""),코드표!$F$2:$F$101,0)),"⚠"&amp;TRIM(L121&amp;"")))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IF(ISNUMBER(H121),MAX(0,MIN(IF(ISNUMBER(I121),I121,EOMONTH(요약!$B$3,0)),EOMONTH(요약!$B$3,0))-MAX(H121,요약!$B$3)+1),0)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IF(AND(ISNUMBER(AB121),ISNUMBER(AC121)),MAX(0,MIN(AC121,EOMONTH(요약!$B$3,0))-MAX(AB121,요약!$B$3)+1),0)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IF(TRIM(B122&amp;"")="","",IFERROR(INDEX(코드표!$K$2:$K$101,MATCH(TRIM(B122&amp;""),코드표!$J$2:$J$101,0)),"⚠"&amp;TRIM(B122&amp;"")))</f>
        <v/>
      </c>
      <c r="S122" s="10">
        <f>IF(TRIM(K122&amp;"")="","",IFERROR(INDEX(코드표!$K$2:$K$101,MATCH(TRIM(K122&amp;""),코드표!$J$2:$J$101,0)),"⚠"&amp;TRIM(K122&amp;"")))</f>
        <v/>
      </c>
      <c r="T122" s="10">
        <f>IF(TRIM(M122&amp;"")="","",IF(ISNUMBER(MATCH(TRIM(M122&amp;""),코드표!$C$2:$C$11,0)),TRIM(M122&amp;""),"⚠"&amp;TRIM(M122&amp;"")))</f>
        <v/>
      </c>
      <c r="U122" s="10">
        <f>IF(TRIM(L122&amp;"")="","",IFERROR(INDEX(코드표!$G$2:$G$101,MATCH(TRIM(L122&amp;""),코드표!$F$2:$F$101,0)),"⚠"&amp;TRIM(L122&amp;"")))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IF(ISNUMBER(H122),MAX(0,MIN(IF(ISNUMBER(I122),I122,EOMONTH(요약!$B$3,0)),EOMONTH(요약!$B$3,0))-MAX(H122,요약!$B$3)+1),0)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IF(AND(ISNUMBER(AB122),ISNUMBER(AC122)),MAX(0,MIN(AC122,EOMONTH(요약!$B$3,0))-MAX(AB122,요약!$B$3)+1),0)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IF(TRIM(B123&amp;"")="","",IFERROR(INDEX(코드표!$K$2:$K$101,MATCH(TRIM(B123&amp;""),코드표!$J$2:$J$101,0)),"⚠"&amp;TRIM(B123&amp;"")))</f>
        <v/>
      </c>
      <c r="S123" s="10">
        <f>IF(TRIM(K123&amp;"")="","",IFERROR(INDEX(코드표!$K$2:$K$101,MATCH(TRIM(K123&amp;""),코드표!$J$2:$J$101,0)),"⚠"&amp;TRIM(K123&amp;"")))</f>
        <v/>
      </c>
      <c r="T123" s="10">
        <f>IF(TRIM(M123&amp;"")="","",IF(ISNUMBER(MATCH(TRIM(M123&amp;""),코드표!$C$2:$C$11,0)),TRIM(M123&amp;""),"⚠"&amp;TRIM(M123&amp;"")))</f>
        <v/>
      </c>
      <c r="U123" s="10">
        <f>IF(TRIM(L123&amp;"")="","",IFERROR(INDEX(코드표!$G$2:$G$101,MATCH(TRIM(L123&amp;""),코드표!$F$2:$F$101,0)),"⚠"&amp;TRIM(L123&amp;"")))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IF(ISNUMBER(H123),MAX(0,MIN(IF(ISNUMBER(I123),I123,EOMONTH(요약!$B$3,0)),EOMONTH(요약!$B$3,0))-MAX(H123,요약!$B$3)+1),0)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IF(AND(ISNUMBER(AB123),ISNUMBER(AC123)),MAX(0,MIN(AC123,EOMONTH(요약!$B$3,0))-MAX(AB123,요약!$B$3)+1),0)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IF(TRIM(B124&amp;"")="","",IFERROR(INDEX(코드표!$K$2:$K$101,MATCH(TRIM(B124&amp;""),코드표!$J$2:$J$101,0)),"⚠"&amp;TRIM(B124&amp;"")))</f>
        <v/>
      </c>
      <c r="S124" s="10">
        <f>IF(TRIM(K124&amp;"")="","",IFERROR(INDEX(코드표!$K$2:$K$101,MATCH(TRIM(K124&amp;""),코드표!$J$2:$J$101,0)),"⚠"&amp;TRIM(K124&amp;"")))</f>
        <v/>
      </c>
      <c r="T124" s="10">
        <f>IF(TRIM(M124&amp;"")="","",IF(ISNUMBER(MATCH(TRIM(M124&amp;""),코드표!$C$2:$C$11,0)),TRIM(M124&amp;""),"⚠"&amp;TRIM(M124&amp;"")))</f>
        <v/>
      </c>
      <c r="U124" s="10">
        <f>IF(TRIM(L124&amp;"")="","",IFERROR(INDEX(코드표!$G$2:$G$101,MATCH(TRIM(L124&amp;""),코드표!$F$2:$F$101,0)),"⚠"&amp;TRIM(L124&amp;"")))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IF(ISNUMBER(H124),MAX(0,MIN(IF(ISNUMBER(I124),I124,EOMONTH(요약!$B$3,0)),EOMONTH(요약!$B$3,0))-MAX(H124,요약!$B$3)+1),0)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IF(AND(ISNUMBER(AB124),ISNUMBER(AC124)),MAX(0,MIN(AC124,EOMONTH(요약!$B$3,0))-MAX(AB124,요약!$B$3)+1),0)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IF(TRIM(B125&amp;"")="","",IFERROR(INDEX(코드표!$K$2:$K$101,MATCH(TRIM(B125&amp;""),코드표!$J$2:$J$101,0)),"⚠"&amp;TRIM(B125&amp;"")))</f>
        <v/>
      </c>
      <c r="S125" s="10">
        <f>IF(TRIM(K125&amp;"")="","",IFERROR(INDEX(코드표!$K$2:$K$101,MATCH(TRIM(K125&amp;""),코드표!$J$2:$J$101,0)),"⚠"&amp;TRIM(K125&amp;"")))</f>
        <v/>
      </c>
      <c r="T125" s="10">
        <f>IF(TRIM(M125&amp;"")="","",IF(ISNUMBER(MATCH(TRIM(M125&amp;""),코드표!$C$2:$C$11,0)),TRIM(M125&amp;""),"⚠"&amp;TRIM(M125&amp;"")))</f>
        <v/>
      </c>
      <c r="U125" s="10">
        <f>IF(TRIM(L125&amp;"")="","",IFERROR(INDEX(코드표!$G$2:$G$101,MATCH(TRIM(L125&amp;""),코드표!$F$2:$F$101,0)),"⚠"&amp;TRIM(L125&amp;"")))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IF(ISNUMBER(H125),MAX(0,MIN(IF(ISNUMBER(I125),I125,EOMONTH(요약!$B$3,0)),EOMONTH(요약!$B$3,0))-MAX(H125,요약!$B$3)+1),0)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IF(AND(ISNUMBER(AB125),ISNUMBER(AC125)),MAX(0,MIN(AC125,EOMONTH(요약!$B$3,0))-MAX(AB125,요약!$B$3)+1),0)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IF(TRIM(B126&amp;"")="","",IFERROR(INDEX(코드표!$K$2:$K$101,MATCH(TRIM(B126&amp;""),코드표!$J$2:$J$101,0)),"⚠"&amp;TRIM(B126&amp;"")))</f>
        <v/>
      </c>
      <c r="S126" s="10">
        <f>IF(TRIM(K126&amp;"")="","",IFERROR(INDEX(코드표!$K$2:$K$101,MATCH(TRIM(K126&amp;""),코드표!$J$2:$J$101,0)),"⚠"&amp;TRIM(K126&amp;"")))</f>
        <v/>
      </c>
      <c r="T126" s="10">
        <f>IF(TRIM(M126&amp;"")="","",IF(ISNUMBER(MATCH(TRIM(M126&amp;""),코드표!$C$2:$C$11,0)),TRIM(M126&amp;""),"⚠"&amp;TRIM(M126&amp;"")))</f>
        <v/>
      </c>
      <c r="U126" s="10">
        <f>IF(TRIM(L126&amp;"")="","",IFERROR(INDEX(코드표!$G$2:$G$101,MATCH(TRIM(L126&amp;""),코드표!$F$2:$F$101,0)),"⚠"&amp;TRIM(L126&amp;"")))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IF(ISNUMBER(H126),MAX(0,MIN(IF(ISNUMBER(I126),I126,EOMONTH(요약!$B$3,0)),EOMONTH(요약!$B$3,0))-MAX(H126,요약!$B$3)+1),0)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IF(AND(ISNUMBER(AB126),ISNUMBER(AC126)),MAX(0,MIN(AC126,EOMONTH(요약!$B$3,0))-MAX(AB126,요약!$B$3)+1),0)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IF(TRIM(B127&amp;"")="","",IFERROR(INDEX(코드표!$K$2:$K$101,MATCH(TRIM(B127&amp;""),코드표!$J$2:$J$101,0)),"⚠"&amp;TRIM(B127&amp;"")))</f>
        <v/>
      </c>
      <c r="S127" s="10">
        <f>IF(TRIM(K127&amp;"")="","",IFERROR(INDEX(코드표!$K$2:$K$101,MATCH(TRIM(K127&amp;""),코드표!$J$2:$J$101,0)),"⚠"&amp;TRIM(K127&amp;"")))</f>
        <v/>
      </c>
      <c r="T127" s="10">
        <f>IF(TRIM(M127&amp;"")="","",IF(ISNUMBER(MATCH(TRIM(M127&amp;""),코드표!$C$2:$C$11,0)),TRIM(M127&amp;""),"⚠"&amp;TRIM(M127&amp;"")))</f>
        <v/>
      </c>
      <c r="U127" s="10">
        <f>IF(TRIM(L127&amp;"")="","",IFERROR(INDEX(코드표!$G$2:$G$101,MATCH(TRIM(L127&amp;""),코드표!$F$2:$F$101,0)),"⚠"&amp;TRIM(L127&amp;"")))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IF(ISNUMBER(H127),MAX(0,MIN(IF(ISNUMBER(I127),I127,EOMONTH(요약!$B$3,0)),EOMONTH(요약!$B$3,0))-MAX(H127,요약!$B$3)+1),0)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IF(AND(ISNUMBER(AB127),ISNUMBER(AC127)),MAX(0,MIN(AC127,EOMONTH(요약!$B$3,0))-MAX(AB127,요약!$B$3)+1),0)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IF(TRIM(B128&amp;"")="","",IFERROR(INDEX(코드표!$K$2:$K$101,MATCH(TRIM(B128&amp;""),코드표!$J$2:$J$101,0)),"⚠"&amp;TRIM(B128&amp;"")))</f>
        <v/>
      </c>
      <c r="S128" s="10">
        <f>IF(TRIM(K128&amp;"")="","",IFERROR(INDEX(코드표!$K$2:$K$101,MATCH(TRIM(K128&amp;""),코드표!$J$2:$J$101,0)),"⚠"&amp;TRIM(K128&amp;"")))</f>
        <v/>
      </c>
      <c r="T128" s="10">
        <f>IF(TRIM(M128&amp;"")="","",IF(ISNUMBER(MATCH(TRIM(M128&amp;""),코드표!$C$2:$C$11,0)),TRIM(M128&amp;""),"⚠"&amp;TRIM(M128&amp;"")))</f>
        <v/>
      </c>
      <c r="U128" s="10">
        <f>IF(TRIM(L128&amp;"")="","",IFERROR(INDEX(코드표!$G$2:$G$101,MATCH(TRIM(L128&amp;""),코드표!$F$2:$F$101,0)),"⚠"&amp;TRIM(L128&amp;"")))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IF(ISNUMBER(H128),MAX(0,MIN(IF(ISNUMBER(I128),I128,EOMONTH(요약!$B$3,0)),EOMONTH(요약!$B$3,0))-MAX(H128,요약!$B$3)+1),0)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IF(AND(ISNUMBER(AB128),ISNUMBER(AC128)),MAX(0,MIN(AC128,EOMONTH(요약!$B$3,0))-MAX(AB128,요약!$B$3)+1),0)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IF(TRIM(B129&amp;"")="","",IFERROR(INDEX(코드표!$K$2:$K$101,MATCH(TRIM(B129&amp;""),코드표!$J$2:$J$101,0)),"⚠"&amp;TRIM(B129&amp;"")))</f>
        <v/>
      </c>
      <c r="S129" s="10">
        <f>IF(TRIM(K129&amp;"")="","",IFERROR(INDEX(코드표!$K$2:$K$101,MATCH(TRIM(K129&amp;""),코드표!$J$2:$J$101,0)),"⚠"&amp;TRIM(K129&amp;"")))</f>
        <v/>
      </c>
      <c r="T129" s="10">
        <f>IF(TRIM(M129&amp;"")="","",IF(ISNUMBER(MATCH(TRIM(M129&amp;""),코드표!$C$2:$C$11,0)),TRIM(M129&amp;""),"⚠"&amp;TRIM(M129&amp;"")))</f>
        <v/>
      </c>
      <c r="U129" s="10">
        <f>IF(TRIM(L129&amp;"")="","",IFERROR(INDEX(코드표!$G$2:$G$101,MATCH(TRIM(L129&amp;""),코드표!$F$2:$F$101,0)),"⚠"&amp;TRIM(L129&amp;"")))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IF(ISNUMBER(H129),MAX(0,MIN(IF(ISNUMBER(I129),I129,EOMONTH(요약!$B$3,0)),EOMONTH(요약!$B$3,0))-MAX(H129,요약!$B$3)+1),0)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IF(AND(ISNUMBER(AB129),ISNUMBER(AC129)),MAX(0,MIN(AC129,EOMONTH(요약!$B$3,0))-MAX(AB129,요약!$B$3)+1),0)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IF(TRIM(B130&amp;"")="","",IFERROR(INDEX(코드표!$K$2:$K$101,MATCH(TRIM(B130&amp;""),코드표!$J$2:$J$101,0)),"⚠"&amp;TRIM(B130&amp;"")))</f>
        <v/>
      </c>
      <c r="S130" s="10">
        <f>IF(TRIM(K130&amp;"")="","",IFERROR(INDEX(코드표!$K$2:$K$101,MATCH(TRIM(K130&amp;""),코드표!$J$2:$J$101,0)),"⚠"&amp;TRIM(K130&amp;"")))</f>
        <v/>
      </c>
      <c r="T130" s="10">
        <f>IF(TRIM(M130&amp;"")="","",IF(ISNUMBER(MATCH(TRIM(M130&amp;""),코드표!$C$2:$C$11,0)),TRIM(M130&amp;""),"⚠"&amp;TRIM(M130&amp;"")))</f>
        <v/>
      </c>
      <c r="U130" s="10">
        <f>IF(TRIM(L130&amp;"")="","",IFERROR(INDEX(코드표!$G$2:$G$101,MATCH(TRIM(L130&amp;""),코드표!$F$2:$F$101,0)),"⚠"&amp;TRIM(L130&amp;"")))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IF(ISNUMBER(H130),MAX(0,MIN(IF(ISNUMBER(I130),I130,EOMONTH(요약!$B$3,0)),EOMONTH(요약!$B$3,0))-MAX(H130,요약!$B$3)+1),0)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IF(AND(ISNUMBER(AB130),ISNUMBER(AC130)),MAX(0,MIN(AC130,EOMONTH(요약!$B$3,0))-MAX(AB130,요약!$B$3)+1),0)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IF(TRIM(B131&amp;"")="","",IFERROR(INDEX(코드표!$K$2:$K$101,MATCH(TRIM(B131&amp;""),코드표!$J$2:$J$101,0)),"⚠"&amp;TRIM(B131&amp;"")))</f>
        <v/>
      </c>
      <c r="S131" s="10">
        <f>IF(TRIM(K131&amp;"")="","",IFERROR(INDEX(코드표!$K$2:$K$101,MATCH(TRIM(K131&amp;""),코드표!$J$2:$J$101,0)),"⚠"&amp;TRIM(K131&amp;"")))</f>
        <v/>
      </c>
      <c r="T131" s="10">
        <f>IF(TRIM(M131&amp;"")="","",IF(ISNUMBER(MATCH(TRIM(M131&amp;""),코드표!$C$2:$C$11,0)),TRIM(M131&amp;""),"⚠"&amp;TRIM(M131&amp;"")))</f>
        <v/>
      </c>
      <c r="U131" s="10">
        <f>IF(TRIM(L131&amp;"")="","",IFERROR(INDEX(코드표!$G$2:$G$101,MATCH(TRIM(L131&amp;""),코드표!$F$2:$F$101,0)),"⚠"&amp;TRIM(L131&amp;"")))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IF(ISNUMBER(H131),MAX(0,MIN(IF(ISNUMBER(I131),I131,EOMONTH(요약!$B$3,0)),EOMONTH(요약!$B$3,0))-MAX(H131,요약!$B$3)+1),0)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IF(AND(ISNUMBER(AB131),ISNUMBER(AC131)),MAX(0,MIN(AC131,EOMONTH(요약!$B$3,0))-MAX(AB131,요약!$B$3)+1),0)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IF(TRIM(B132&amp;"")="","",IFERROR(INDEX(코드표!$K$2:$K$101,MATCH(TRIM(B132&amp;""),코드표!$J$2:$J$101,0)),"⚠"&amp;TRIM(B132&amp;"")))</f>
        <v/>
      </c>
      <c r="S132" s="10">
        <f>IF(TRIM(K132&amp;"")="","",IFERROR(INDEX(코드표!$K$2:$K$101,MATCH(TRIM(K132&amp;""),코드표!$J$2:$J$101,0)),"⚠"&amp;TRIM(K132&amp;"")))</f>
        <v/>
      </c>
      <c r="T132" s="10">
        <f>IF(TRIM(M132&amp;"")="","",IF(ISNUMBER(MATCH(TRIM(M132&amp;""),코드표!$C$2:$C$11,0)),TRIM(M132&amp;""),"⚠"&amp;TRIM(M132&amp;"")))</f>
        <v/>
      </c>
      <c r="U132" s="10">
        <f>IF(TRIM(L132&amp;"")="","",IFERROR(INDEX(코드표!$G$2:$G$101,MATCH(TRIM(L132&amp;""),코드표!$F$2:$F$101,0)),"⚠"&amp;TRIM(L132&amp;"")))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IF(ISNUMBER(H132),MAX(0,MIN(IF(ISNUMBER(I132),I132,EOMONTH(요약!$B$3,0)),EOMONTH(요약!$B$3,0))-MAX(H132,요약!$B$3)+1),0)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IF(AND(ISNUMBER(AB132),ISNUMBER(AC132)),MAX(0,MIN(AC132,EOMONTH(요약!$B$3,0))-MAX(AB132,요약!$B$3)+1),0)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IF(TRIM(B133&amp;"")="","",IFERROR(INDEX(코드표!$K$2:$K$101,MATCH(TRIM(B133&amp;""),코드표!$J$2:$J$101,0)),"⚠"&amp;TRIM(B133&amp;"")))</f>
        <v/>
      </c>
      <c r="S133" s="10">
        <f>IF(TRIM(K133&amp;"")="","",IFERROR(INDEX(코드표!$K$2:$K$101,MATCH(TRIM(K133&amp;""),코드표!$J$2:$J$101,0)),"⚠"&amp;TRIM(K133&amp;"")))</f>
        <v/>
      </c>
      <c r="T133" s="10">
        <f>IF(TRIM(M133&amp;"")="","",IF(ISNUMBER(MATCH(TRIM(M133&amp;""),코드표!$C$2:$C$11,0)),TRIM(M133&amp;""),"⚠"&amp;TRIM(M133&amp;"")))</f>
        <v/>
      </c>
      <c r="U133" s="10">
        <f>IF(TRIM(L133&amp;"")="","",IFERROR(INDEX(코드표!$G$2:$G$101,MATCH(TRIM(L133&amp;""),코드표!$F$2:$F$101,0)),"⚠"&amp;TRIM(L133&amp;"")))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IF(ISNUMBER(H133),MAX(0,MIN(IF(ISNUMBER(I133),I133,EOMONTH(요약!$B$3,0)),EOMONTH(요약!$B$3,0))-MAX(H133,요약!$B$3)+1),0)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IF(AND(ISNUMBER(AB133),ISNUMBER(AC133)),MAX(0,MIN(AC133,EOMONTH(요약!$B$3,0))-MAX(AB133,요약!$B$3)+1),0)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IF(TRIM(B134&amp;"")="","",IFERROR(INDEX(코드표!$K$2:$K$101,MATCH(TRIM(B134&amp;""),코드표!$J$2:$J$101,0)),"⚠"&amp;TRIM(B134&amp;"")))</f>
        <v/>
      </c>
      <c r="S134" s="10">
        <f>IF(TRIM(K134&amp;"")="","",IFERROR(INDEX(코드표!$K$2:$K$101,MATCH(TRIM(K134&amp;""),코드표!$J$2:$J$101,0)),"⚠"&amp;TRIM(K134&amp;"")))</f>
        <v/>
      </c>
      <c r="T134" s="10">
        <f>IF(TRIM(M134&amp;"")="","",IF(ISNUMBER(MATCH(TRIM(M134&amp;""),코드표!$C$2:$C$11,0)),TRIM(M134&amp;""),"⚠"&amp;TRIM(M134&amp;"")))</f>
        <v/>
      </c>
      <c r="U134" s="10">
        <f>IF(TRIM(L134&amp;"")="","",IFERROR(INDEX(코드표!$G$2:$G$101,MATCH(TRIM(L134&amp;""),코드표!$F$2:$F$101,0)),"⚠"&amp;TRIM(L134&amp;"")))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IF(ISNUMBER(H134),MAX(0,MIN(IF(ISNUMBER(I134),I134,EOMONTH(요약!$B$3,0)),EOMONTH(요약!$B$3,0))-MAX(H134,요약!$B$3)+1),0)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IF(AND(ISNUMBER(AB134),ISNUMBER(AC134)),MAX(0,MIN(AC134,EOMONTH(요약!$B$3,0))-MAX(AB134,요약!$B$3)+1),0)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IF(TRIM(B135&amp;"")="","",IFERROR(INDEX(코드표!$K$2:$K$101,MATCH(TRIM(B135&amp;""),코드표!$J$2:$J$101,0)),"⚠"&amp;TRIM(B135&amp;"")))</f>
        <v/>
      </c>
      <c r="S135" s="10">
        <f>IF(TRIM(K135&amp;"")="","",IFERROR(INDEX(코드표!$K$2:$K$101,MATCH(TRIM(K135&amp;""),코드표!$J$2:$J$101,0)),"⚠"&amp;TRIM(K135&amp;"")))</f>
        <v/>
      </c>
      <c r="T135" s="10">
        <f>IF(TRIM(M135&amp;"")="","",IF(ISNUMBER(MATCH(TRIM(M135&amp;""),코드표!$C$2:$C$11,0)),TRIM(M135&amp;""),"⚠"&amp;TRIM(M135&amp;"")))</f>
        <v/>
      </c>
      <c r="U135" s="10">
        <f>IF(TRIM(L135&amp;"")="","",IFERROR(INDEX(코드표!$G$2:$G$101,MATCH(TRIM(L135&amp;""),코드표!$F$2:$F$101,0)),"⚠"&amp;TRIM(L135&amp;"")))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IF(ISNUMBER(H135),MAX(0,MIN(IF(ISNUMBER(I135),I135,EOMONTH(요약!$B$3,0)),EOMONTH(요약!$B$3,0))-MAX(H135,요약!$B$3)+1),0)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IF(AND(ISNUMBER(AB135),ISNUMBER(AC135)),MAX(0,MIN(AC135,EOMONTH(요약!$B$3,0))-MAX(AB135,요약!$B$3)+1),0)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IF(TRIM(B136&amp;"")="","",IFERROR(INDEX(코드표!$K$2:$K$101,MATCH(TRIM(B136&amp;""),코드표!$J$2:$J$101,0)),"⚠"&amp;TRIM(B136&amp;"")))</f>
        <v/>
      </c>
      <c r="S136" s="10">
        <f>IF(TRIM(K136&amp;"")="","",IFERROR(INDEX(코드표!$K$2:$K$101,MATCH(TRIM(K136&amp;""),코드표!$J$2:$J$101,0)),"⚠"&amp;TRIM(K136&amp;"")))</f>
        <v/>
      </c>
      <c r="T136" s="10">
        <f>IF(TRIM(M136&amp;"")="","",IF(ISNUMBER(MATCH(TRIM(M136&amp;""),코드표!$C$2:$C$11,0)),TRIM(M136&amp;""),"⚠"&amp;TRIM(M136&amp;"")))</f>
        <v/>
      </c>
      <c r="U136" s="10">
        <f>IF(TRIM(L136&amp;"")="","",IFERROR(INDEX(코드표!$G$2:$G$101,MATCH(TRIM(L136&amp;""),코드표!$F$2:$F$101,0)),"⚠"&amp;TRIM(L136&amp;"")))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IF(ISNUMBER(H136),MAX(0,MIN(IF(ISNUMBER(I136),I136,EOMONTH(요약!$B$3,0)),EOMONTH(요약!$B$3,0))-MAX(H136,요약!$B$3)+1),0)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IF(AND(ISNUMBER(AB136),ISNUMBER(AC136)),MAX(0,MIN(AC136,EOMONTH(요약!$B$3,0))-MAX(AB136,요약!$B$3)+1),0)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IF(TRIM(B137&amp;"")="","",IFERROR(INDEX(코드표!$K$2:$K$101,MATCH(TRIM(B137&amp;""),코드표!$J$2:$J$101,0)),"⚠"&amp;TRIM(B137&amp;"")))</f>
        <v/>
      </c>
      <c r="S137" s="10">
        <f>IF(TRIM(K137&amp;"")="","",IFERROR(INDEX(코드표!$K$2:$K$101,MATCH(TRIM(K137&amp;""),코드표!$J$2:$J$101,0)),"⚠"&amp;TRIM(K137&amp;"")))</f>
        <v/>
      </c>
      <c r="T137" s="10">
        <f>IF(TRIM(M137&amp;"")="","",IF(ISNUMBER(MATCH(TRIM(M137&amp;""),코드표!$C$2:$C$11,0)),TRIM(M137&amp;""),"⚠"&amp;TRIM(M137&amp;"")))</f>
        <v/>
      </c>
      <c r="U137" s="10">
        <f>IF(TRIM(L137&amp;"")="","",IFERROR(INDEX(코드표!$G$2:$G$101,MATCH(TRIM(L137&amp;""),코드표!$F$2:$F$101,0)),"⚠"&amp;TRIM(L137&amp;"")))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IF(ISNUMBER(H137),MAX(0,MIN(IF(ISNUMBER(I137),I137,EOMONTH(요약!$B$3,0)),EOMONTH(요약!$B$3,0))-MAX(H137,요약!$B$3)+1),0)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IF(AND(ISNUMBER(AB137),ISNUMBER(AC137)),MAX(0,MIN(AC137,EOMONTH(요약!$B$3,0))-MAX(AB137,요약!$B$3)+1),0)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IF(TRIM(B138&amp;"")="","",IFERROR(INDEX(코드표!$K$2:$K$101,MATCH(TRIM(B138&amp;""),코드표!$J$2:$J$101,0)),"⚠"&amp;TRIM(B138&amp;"")))</f>
        <v/>
      </c>
      <c r="S138" s="10">
        <f>IF(TRIM(K138&amp;"")="","",IFERROR(INDEX(코드표!$K$2:$K$101,MATCH(TRIM(K138&amp;""),코드표!$J$2:$J$101,0)),"⚠"&amp;TRIM(K138&amp;"")))</f>
        <v/>
      </c>
      <c r="T138" s="10">
        <f>IF(TRIM(M138&amp;"")="","",IF(ISNUMBER(MATCH(TRIM(M138&amp;""),코드표!$C$2:$C$11,0)),TRIM(M138&amp;""),"⚠"&amp;TRIM(M138&amp;"")))</f>
        <v/>
      </c>
      <c r="U138" s="10">
        <f>IF(TRIM(L138&amp;"")="","",IFERROR(INDEX(코드표!$G$2:$G$101,MATCH(TRIM(L138&amp;""),코드표!$F$2:$F$101,0)),"⚠"&amp;TRIM(L138&amp;"")))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IF(ISNUMBER(H138),MAX(0,MIN(IF(ISNUMBER(I138),I138,EOMONTH(요약!$B$3,0)),EOMONTH(요약!$B$3,0))-MAX(H138,요약!$B$3)+1),0)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IF(AND(ISNUMBER(AB138),ISNUMBER(AC138)),MAX(0,MIN(AC138,EOMONTH(요약!$B$3,0))-MAX(AB138,요약!$B$3)+1),0)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IF(TRIM(B139&amp;"")="","",IFERROR(INDEX(코드표!$K$2:$K$101,MATCH(TRIM(B139&amp;""),코드표!$J$2:$J$101,0)),"⚠"&amp;TRIM(B139&amp;"")))</f>
        <v/>
      </c>
      <c r="S139" s="10">
        <f>IF(TRIM(K139&amp;"")="","",IFERROR(INDEX(코드표!$K$2:$K$101,MATCH(TRIM(K139&amp;""),코드표!$J$2:$J$101,0)),"⚠"&amp;TRIM(K139&amp;"")))</f>
        <v/>
      </c>
      <c r="T139" s="10">
        <f>IF(TRIM(M139&amp;"")="","",IF(ISNUMBER(MATCH(TRIM(M139&amp;""),코드표!$C$2:$C$11,0)),TRIM(M139&amp;""),"⚠"&amp;TRIM(M139&amp;"")))</f>
        <v/>
      </c>
      <c r="U139" s="10">
        <f>IF(TRIM(L139&amp;"")="","",IFERROR(INDEX(코드표!$G$2:$G$101,MATCH(TRIM(L139&amp;""),코드표!$F$2:$F$101,0)),"⚠"&amp;TRIM(L139&amp;"")))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IF(ISNUMBER(H139),MAX(0,MIN(IF(ISNUMBER(I139),I139,EOMONTH(요약!$B$3,0)),EOMONTH(요약!$B$3,0))-MAX(H139,요약!$B$3)+1),0)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IF(AND(ISNUMBER(AB139),ISNUMBER(AC139)),MAX(0,MIN(AC139,EOMONTH(요약!$B$3,0))-MAX(AB139,요약!$B$3)+1),0)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IF(TRIM(B140&amp;"")="","",IFERROR(INDEX(코드표!$K$2:$K$101,MATCH(TRIM(B140&amp;""),코드표!$J$2:$J$101,0)),"⚠"&amp;TRIM(B140&amp;"")))</f>
        <v/>
      </c>
      <c r="S140" s="10">
        <f>IF(TRIM(K140&amp;"")="","",IFERROR(INDEX(코드표!$K$2:$K$101,MATCH(TRIM(K140&amp;""),코드표!$J$2:$J$101,0)),"⚠"&amp;TRIM(K140&amp;"")))</f>
        <v/>
      </c>
      <c r="T140" s="10">
        <f>IF(TRIM(M140&amp;"")="","",IF(ISNUMBER(MATCH(TRIM(M140&amp;""),코드표!$C$2:$C$11,0)),TRIM(M140&amp;""),"⚠"&amp;TRIM(M140&amp;"")))</f>
        <v/>
      </c>
      <c r="U140" s="10">
        <f>IF(TRIM(L140&amp;"")="","",IFERROR(INDEX(코드표!$G$2:$G$101,MATCH(TRIM(L140&amp;""),코드표!$F$2:$F$101,0)),"⚠"&amp;TRIM(L140&amp;"")))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IF(ISNUMBER(H140),MAX(0,MIN(IF(ISNUMBER(I140),I140,EOMONTH(요약!$B$3,0)),EOMONTH(요약!$B$3,0))-MAX(H140,요약!$B$3)+1),0)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IF(AND(ISNUMBER(AB140),ISNUMBER(AC140)),MAX(0,MIN(AC140,EOMONTH(요약!$B$3,0))-MAX(AB140,요약!$B$3)+1),0)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IF(TRIM(B141&amp;"")="","",IFERROR(INDEX(코드표!$K$2:$K$101,MATCH(TRIM(B141&amp;""),코드표!$J$2:$J$101,0)),"⚠"&amp;TRIM(B141&amp;"")))</f>
        <v/>
      </c>
      <c r="S141" s="10">
        <f>IF(TRIM(K141&amp;"")="","",IFERROR(INDEX(코드표!$K$2:$K$101,MATCH(TRIM(K141&amp;""),코드표!$J$2:$J$101,0)),"⚠"&amp;TRIM(K141&amp;"")))</f>
        <v/>
      </c>
      <c r="T141" s="10">
        <f>IF(TRIM(M141&amp;"")="","",IF(ISNUMBER(MATCH(TRIM(M141&amp;""),코드표!$C$2:$C$11,0)),TRIM(M141&amp;""),"⚠"&amp;TRIM(M141&amp;"")))</f>
        <v/>
      </c>
      <c r="U141" s="10">
        <f>IF(TRIM(L141&amp;"")="","",IFERROR(INDEX(코드표!$G$2:$G$101,MATCH(TRIM(L141&amp;""),코드표!$F$2:$F$101,0)),"⚠"&amp;TRIM(L141&amp;"")))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IF(ISNUMBER(H141),MAX(0,MIN(IF(ISNUMBER(I141),I141,EOMONTH(요약!$B$3,0)),EOMONTH(요약!$B$3,0))-MAX(H141,요약!$B$3)+1),0)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IF(AND(ISNUMBER(AB141),ISNUMBER(AC141)),MAX(0,MIN(AC141,EOMONTH(요약!$B$3,0))-MAX(AB141,요약!$B$3)+1),0)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IF(TRIM(B142&amp;"")="","",IFERROR(INDEX(코드표!$K$2:$K$101,MATCH(TRIM(B142&amp;""),코드표!$J$2:$J$101,0)),"⚠"&amp;TRIM(B142&amp;"")))</f>
        <v/>
      </c>
      <c r="S142" s="10">
        <f>IF(TRIM(K142&amp;"")="","",IFERROR(INDEX(코드표!$K$2:$K$101,MATCH(TRIM(K142&amp;""),코드표!$J$2:$J$101,0)),"⚠"&amp;TRIM(K142&amp;"")))</f>
        <v/>
      </c>
      <c r="T142" s="10">
        <f>IF(TRIM(M142&amp;"")="","",IF(ISNUMBER(MATCH(TRIM(M142&amp;""),코드표!$C$2:$C$11,0)),TRIM(M142&amp;""),"⚠"&amp;TRIM(M142&amp;"")))</f>
        <v/>
      </c>
      <c r="U142" s="10">
        <f>IF(TRIM(L142&amp;"")="","",IFERROR(INDEX(코드표!$G$2:$G$101,MATCH(TRIM(L142&amp;""),코드표!$F$2:$F$101,0)),"⚠"&amp;TRIM(L142&amp;"")))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IF(ISNUMBER(H142),MAX(0,MIN(IF(ISNUMBER(I142),I142,EOMONTH(요약!$B$3,0)),EOMONTH(요약!$B$3,0))-MAX(H142,요약!$B$3)+1),0)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IF(AND(ISNUMBER(AB142),ISNUMBER(AC142)),MAX(0,MIN(AC142,EOMONTH(요약!$B$3,0))-MAX(AB142,요약!$B$3)+1),0)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IF(TRIM(B143&amp;"")="","",IFERROR(INDEX(코드표!$K$2:$K$101,MATCH(TRIM(B143&amp;""),코드표!$J$2:$J$101,0)),"⚠"&amp;TRIM(B143&amp;"")))</f>
        <v/>
      </c>
      <c r="S143" s="10">
        <f>IF(TRIM(K143&amp;"")="","",IFERROR(INDEX(코드표!$K$2:$K$101,MATCH(TRIM(K143&amp;""),코드표!$J$2:$J$101,0)),"⚠"&amp;TRIM(K143&amp;"")))</f>
        <v/>
      </c>
      <c r="T143" s="10">
        <f>IF(TRIM(M143&amp;"")="","",IF(ISNUMBER(MATCH(TRIM(M143&amp;""),코드표!$C$2:$C$11,0)),TRIM(M143&amp;""),"⚠"&amp;TRIM(M143&amp;"")))</f>
        <v/>
      </c>
      <c r="U143" s="10">
        <f>IF(TRIM(L143&amp;"")="","",IFERROR(INDEX(코드표!$G$2:$G$101,MATCH(TRIM(L143&amp;""),코드표!$F$2:$F$101,0)),"⚠"&amp;TRIM(L143&amp;"")))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IF(ISNUMBER(H143),MAX(0,MIN(IF(ISNUMBER(I143),I143,EOMONTH(요약!$B$3,0)),EOMONTH(요약!$B$3,0))-MAX(H143,요약!$B$3)+1),0)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IF(AND(ISNUMBER(AB143),ISNUMBER(AC143)),MAX(0,MIN(AC143,EOMONTH(요약!$B$3,0))-MAX(AB143,요약!$B$3)+1),0)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IF(TRIM(B144&amp;"")="","",IFERROR(INDEX(코드표!$K$2:$K$101,MATCH(TRIM(B144&amp;""),코드표!$J$2:$J$101,0)),"⚠"&amp;TRIM(B144&amp;"")))</f>
        <v/>
      </c>
      <c r="S144" s="10">
        <f>IF(TRIM(K144&amp;"")="","",IFERROR(INDEX(코드표!$K$2:$K$101,MATCH(TRIM(K144&amp;""),코드표!$J$2:$J$101,0)),"⚠"&amp;TRIM(K144&amp;"")))</f>
        <v/>
      </c>
      <c r="T144" s="10">
        <f>IF(TRIM(M144&amp;"")="","",IF(ISNUMBER(MATCH(TRIM(M144&amp;""),코드표!$C$2:$C$11,0)),TRIM(M144&amp;""),"⚠"&amp;TRIM(M144&amp;"")))</f>
        <v/>
      </c>
      <c r="U144" s="10">
        <f>IF(TRIM(L144&amp;"")="","",IFERROR(INDEX(코드표!$G$2:$G$101,MATCH(TRIM(L144&amp;""),코드표!$F$2:$F$101,0)),"⚠"&amp;TRIM(L144&amp;"")))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IF(ISNUMBER(H144),MAX(0,MIN(IF(ISNUMBER(I144),I144,EOMONTH(요약!$B$3,0)),EOMONTH(요약!$B$3,0))-MAX(H144,요약!$B$3)+1),0)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IF(AND(ISNUMBER(AB144),ISNUMBER(AC144)),MAX(0,MIN(AC144,EOMONTH(요약!$B$3,0))-MAX(AB144,요약!$B$3)+1),0)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IF(TRIM(B145&amp;"")="","",IFERROR(INDEX(코드표!$K$2:$K$101,MATCH(TRIM(B145&amp;""),코드표!$J$2:$J$101,0)),"⚠"&amp;TRIM(B145&amp;"")))</f>
        <v/>
      </c>
      <c r="S145" s="10">
        <f>IF(TRIM(K145&amp;"")="","",IFERROR(INDEX(코드표!$K$2:$K$101,MATCH(TRIM(K145&amp;""),코드표!$J$2:$J$101,0)),"⚠"&amp;TRIM(K145&amp;"")))</f>
        <v/>
      </c>
      <c r="T145" s="10">
        <f>IF(TRIM(M145&amp;"")="","",IF(ISNUMBER(MATCH(TRIM(M145&amp;""),코드표!$C$2:$C$11,0)),TRIM(M145&amp;""),"⚠"&amp;TRIM(M145&amp;"")))</f>
        <v/>
      </c>
      <c r="U145" s="10">
        <f>IF(TRIM(L145&amp;"")="","",IFERROR(INDEX(코드표!$G$2:$G$101,MATCH(TRIM(L145&amp;""),코드표!$F$2:$F$101,0)),"⚠"&amp;TRIM(L145&amp;"")))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IF(ISNUMBER(H145),MAX(0,MIN(IF(ISNUMBER(I145),I145,EOMONTH(요약!$B$3,0)),EOMONTH(요약!$B$3,0))-MAX(H145,요약!$B$3)+1),0)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IF(AND(ISNUMBER(AB145),ISNUMBER(AC145)),MAX(0,MIN(AC145,EOMONTH(요약!$B$3,0))-MAX(AB145,요약!$B$3)+1),0)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IF(TRIM(B146&amp;"")="","",IFERROR(INDEX(코드표!$K$2:$K$101,MATCH(TRIM(B146&amp;""),코드표!$J$2:$J$101,0)),"⚠"&amp;TRIM(B146&amp;"")))</f>
        <v/>
      </c>
      <c r="S146" s="10">
        <f>IF(TRIM(K146&amp;"")="","",IFERROR(INDEX(코드표!$K$2:$K$101,MATCH(TRIM(K146&amp;""),코드표!$J$2:$J$101,0)),"⚠"&amp;TRIM(K146&amp;"")))</f>
        <v/>
      </c>
      <c r="T146" s="10">
        <f>IF(TRIM(M146&amp;"")="","",IF(ISNUMBER(MATCH(TRIM(M146&amp;""),코드표!$C$2:$C$11,0)),TRIM(M146&amp;""),"⚠"&amp;TRIM(M146&amp;"")))</f>
        <v/>
      </c>
      <c r="U146" s="10">
        <f>IF(TRIM(L146&amp;"")="","",IFERROR(INDEX(코드표!$G$2:$G$101,MATCH(TRIM(L146&amp;""),코드표!$F$2:$F$101,0)),"⚠"&amp;TRIM(L146&amp;"")))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IF(ISNUMBER(H146),MAX(0,MIN(IF(ISNUMBER(I146),I146,EOMONTH(요약!$B$3,0)),EOMONTH(요약!$B$3,0))-MAX(H146,요약!$B$3)+1),0)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IF(AND(ISNUMBER(AB146),ISNUMBER(AC146)),MAX(0,MIN(AC146,EOMONTH(요약!$B$3,0))-MAX(AB146,요약!$B$3)+1),0)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IF(TRIM(B147&amp;"")="","",IFERROR(INDEX(코드표!$K$2:$K$101,MATCH(TRIM(B147&amp;""),코드표!$J$2:$J$101,0)),"⚠"&amp;TRIM(B147&amp;"")))</f>
        <v/>
      </c>
      <c r="S147" s="10">
        <f>IF(TRIM(K147&amp;"")="","",IFERROR(INDEX(코드표!$K$2:$K$101,MATCH(TRIM(K147&amp;""),코드표!$J$2:$J$101,0)),"⚠"&amp;TRIM(K147&amp;"")))</f>
        <v/>
      </c>
      <c r="T147" s="10">
        <f>IF(TRIM(M147&amp;"")="","",IF(ISNUMBER(MATCH(TRIM(M147&amp;""),코드표!$C$2:$C$11,0)),TRIM(M147&amp;""),"⚠"&amp;TRIM(M147&amp;"")))</f>
        <v/>
      </c>
      <c r="U147" s="10">
        <f>IF(TRIM(L147&amp;"")="","",IFERROR(INDEX(코드표!$G$2:$G$101,MATCH(TRIM(L147&amp;""),코드표!$F$2:$F$101,0)),"⚠"&amp;TRIM(L147&amp;"")))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IF(ISNUMBER(H147),MAX(0,MIN(IF(ISNUMBER(I147),I147,EOMONTH(요약!$B$3,0)),EOMONTH(요약!$B$3,0))-MAX(H147,요약!$B$3)+1),0)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IF(AND(ISNUMBER(AB147),ISNUMBER(AC147)),MAX(0,MIN(AC147,EOMONTH(요약!$B$3,0))-MAX(AB147,요약!$B$3)+1),0)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IF(TRIM(B148&amp;"")="","",IFERROR(INDEX(코드표!$K$2:$K$101,MATCH(TRIM(B148&amp;""),코드표!$J$2:$J$101,0)),"⚠"&amp;TRIM(B148&amp;"")))</f>
        <v/>
      </c>
      <c r="S148" s="10">
        <f>IF(TRIM(K148&amp;"")="","",IFERROR(INDEX(코드표!$K$2:$K$101,MATCH(TRIM(K148&amp;""),코드표!$J$2:$J$101,0)),"⚠"&amp;TRIM(K148&amp;"")))</f>
        <v/>
      </c>
      <c r="T148" s="10">
        <f>IF(TRIM(M148&amp;"")="","",IF(ISNUMBER(MATCH(TRIM(M148&amp;""),코드표!$C$2:$C$11,0)),TRIM(M148&amp;""),"⚠"&amp;TRIM(M148&amp;"")))</f>
        <v/>
      </c>
      <c r="U148" s="10">
        <f>IF(TRIM(L148&amp;"")="","",IFERROR(INDEX(코드표!$G$2:$G$101,MATCH(TRIM(L148&amp;""),코드표!$F$2:$F$101,0)),"⚠"&amp;TRIM(L148&amp;"")))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IF(ISNUMBER(H148),MAX(0,MIN(IF(ISNUMBER(I148),I148,EOMONTH(요약!$B$3,0)),EOMONTH(요약!$B$3,0))-MAX(H148,요약!$B$3)+1),0)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IF(AND(ISNUMBER(AB148),ISNUMBER(AC148)),MAX(0,MIN(AC148,EOMONTH(요약!$B$3,0))-MAX(AB148,요약!$B$3)+1),0)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IF(TRIM(B149&amp;"")="","",IFERROR(INDEX(코드표!$K$2:$K$101,MATCH(TRIM(B149&amp;""),코드표!$J$2:$J$101,0)),"⚠"&amp;TRIM(B149&amp;"")))</f>
        <v/>
      </c>
      <c r="S149" s="10">
        <f>IF(TRIM(K149&amp;"")="","",IFERROR(INDEX(코드표!$K$2:$K$101,MATCH(TRIM(K149&amp;""),코드표!$J$2:$J$101,0)),"⚠"&amp;TRIM(K149&amp;"")))</f>
        <v/>
      </c>
      <c r="T149" s="10">
        <f>IF(TRIM(M149&amp;"")="","",IF(ISNUMBER(MATCH(TRIM(M149&amp;""),코드표!$C$2:$C$11,0)),TRIM(M149&amp;""),"⚠"&amp;TRIM(M149&amp;"")))</f>
        <v/>
      </c>
      <c r="U149" s="10">
        <f>IF(TRIM(L149&amp;"")="","",IFERROR(INDEX(코드표!$G$2:$G$101,MATCH(TRIM(L149&amp;""),코드표!$F$2:$F$101,0)),"⚠"&amp;TRIM(L149&amp;"")))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IF(ISNUMBER(H149),MAX(0,MIN(IF(ISNUMBER(I149),I149,EOMONTH(요약!$B$3,0)),EOMONTH(요약!$B$3,0))-MAX(H149,요약!$B$3)+1),0)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IF(AND(ISNUMBER(AB149),ISNUMBER(AC149)),MAX(0,MIN(AC149,EOMONTH(요약!$B$3,0))-MAX(AB149,요약!$B$3)+1),0)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IF(TRIM(B150&amp;"")="","",IFERROR(INDEX(코드표!$K$2:$K$101,MATCH(TRIM(B150&amp;""),코드표!$J$2:$J$101,0)),"⚠"&amp;TRIM(B150&amp;"")))</f>
        <v/>
      </c>
      <c r="S150" s="10">
        <f>IF(TRIM(K150&amp;"")="","",IFERROR(INDEX(코드표!$K$2:$K$101,MATCH(TRIM(K150&amp;""),코드표!$J$2:$J$101,0)),"⚠"&amp;TRIM(K150&amp;"")))</f>
        <v/>
      </c>
      <c r="T150" s="10">
        <f>IF(TRIM(M150&amp;"")="","",IF(ISNUMBER(MATCH(TRIM(M150&amp;""),코드표!$C$2:$C$11,0)),TRIM(M150&amp;""),"⚠"&amp;TRIM(M150&amp;"")))</f>
        <v/>
      </c>
      <c r="U150" s="10">
        <f>IF(TRIM(L150&amp;"")="","",IFERROR(INDEX(코드표!$G$2:$G$101,MATCH(TRIM(L150&amp;""),코드표!$F$2:$F$101,0)),"⚠"&amp;TRIM(L150&amp;"")))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IF(ISNUMBER(H150),MAX(0,MIN(IF(ISNUMBER(I150),I150,EOMONTH(요약!$B$3,0)),EOMONTH(요약!$B$3,0))-MAX(H150,요약!$B$3)+1),0)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IF(AND(ISNUMBER(AB150),ISNUMBER(AC150)),MAX(0,MIN(AC150,EOMONTH(요약!$B$3,0))-MAX(AB150,요약!$B$3)+1),0)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IF(TRIM(B151&amp;"")="","",IFERROR(INDEX(코드표!$K$2:$K$101,MATCH(TRIM(B151&amp;""),코드표!$J$2:$J$101,0)),"⚠"&amp;TRIM(B151&amp;"")))</f>
        <v/>
      </c>
      <c r="S151" s="10">
        <f>IF(TRIM(K151&amp;"")="","",IFERROR(INDEX(코드표!$K$2:$K$101,MATCH(TRIM(K151&amp;""),코드표!$J$2:$J$101,0)),"⚠"&amp;TRIM(K151&amp;"")))</f>
        <v/>
      </c>
      <c r="T151" s="10">
        <f>IF(TRIM(M151&amp;"")="","",IF(ISNUMBER(MATCH(TRIM(M151&amp;""),코드표!$C$2:$C$11,0)),TRIM(M151&amp;""),"⚠"&amp;TRIM(M151&amp;"")))</f>
        <v/>
      </c>
      <c r="U151" s="10">
        <f>IF(TRIM(L151&amp;"")="","",IFERROR(INDEX(코드표!$G$2:$G$101,MATCH(TRIM(L151&amp;""),코드표!$F$2:$F$101,0)),"⚠"&amp;TRIM(L151&amp;"")))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IF(ISNUMBER(H151),MAX(0,MIN(IF(ISNUMBER(I151),I151,EOMONTH(요약!$B$3,0)),EOMONTH(요약!$B$3,0))-MAX(H151,요약!$B$3)+1),0)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IF(AND(ISNUMBER(AB151),ISNUMBER(AC151)),MAX(0,MIN(AC151,EOMONTH(요약!$B$3,0))-MAX(AB151,요약!$B$3)+1),0)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IF(TRIM(B152&amp;"")="","",IFERROR(INDEX(코드표!$K$2:$K$101,MATCH(TRIM(B152&amp;""),코드표!$J$2:$J$101,0)),"⚠"&amp;TRIM(B152&amp;"")))</f>
        <v/>
      </c>
      <c r="S152" s="10">
        <f>IF(TRIM(K152&amp;"")="","",IFERROR(INDEX(코드표!$K$2:$K$101,MATCH(TRIM(K152&amp;""),코드표!$J$2:$J$101,0)),"⚠"&amp;TRIM(K152&amp;"")))</f>
        <v/>
      </c>
      <c r="T152" s="10">
        <f>IF(TRIM(M152&amp;"")="","",IF(ISNUMBER(MATCH(TRIM(M152&amp;""),코드표!$C$2:$C$11,0)),TRIM(M152&amp;""),"⚠"&amp;TRIM(M152&amp;"")))</f>
        <v/>
      </c>
      <c r="U152" s="10">
        <f>IF(TRIM(L152&amp;"")="","",IFERROR(INDEX(코드표!$G$2:$G$101,MATCH(TRIM(L152&amp;""),코드표!$F$2:$F$101,0)),"⚠"&amp;TRIM(L152&amp;"")))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IF(ISNUMBER(H152),MAX(0,MIN(IF(ISNUMBER(I152),I152,EOMONTH(요약!$B$3,0)),EOMONTH(요약!$B$3,0))-MAX(H152,요약!$B$3)+1),0)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IF(AND(ISNUMBER(AB152),ISNUMBER(AC152)),MAX(0,MIN(AC152,EOMONTH(요약!$B$3,0))-MAX(AB152,요약!$B$3)+1),0)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IF(TRIM(B153&amp;"")="","",IFERROR(INDEX(코드표!$K$2:$K$101,MATCH(TRIM(B153&amp;""),코드표!$J$2:$J$101,0)),"⚠"&amp;TRIM(B153&amp;"")))</f>
        <v/>
      </c>
      <c r="S153" s="10">
        <f>IF(TRIM(K153&amp;"")="","",IFERROR(INDEX(코드표!$K$2:$K$101,MATCH(TRIM(K153&amp;""),코드표!$J$2:$J$101,0)),"⚠"&amp;TRIM(K153&amp;"")))</f>
        <v/>
      </c>
      <c r="T153" s="10">
        <f>IF(TRIM(M153&amp;"")="","",IF(ISNUMBER(MATCH(TRIM(M153&amp;""),코드표!$C$2:$C$11,0)),TRIM(M153&amp;""),"⚠"&amp;TRIM(M153&amp;"")))</f>
        <v/>
      </c>
      <c r="U153" s="10">
        <f>IF(TRIM(L153&amp;"")="","",IFERROR(INDEX(코드표!$G$2:$G$101,MATCH(TRIM(L153&amp;""),코드표!$F$2:$F$101,0)),"⚠"&amp;TRIM(L153&amp;"")))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IF(ISNUMBER(H153),MAX(0,MIN(IF(ISNUMBER(I153),I153,EOMONTH(요약!$B$3,0)),EOMONTH(요약!$B$3,0))-MAX(H153,요약!$B$3)+1),0)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IF(AND(ISNUMBER(AB153),ISNUMBER(AC153)),MAX(0,MIN(AC153,EOMONTH(요약!$B$3,0))-MAX(AB153,요약!$B$3)+1),0)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IF(TRIM(B154&amp;"")="","",IFERROR(INDEX(코드표!$K$2:$K$101,MATCH(TRIM(B154&amp;""),코드표!$J$2:$J$101,0)),"⚠"&amp;TRIM(B154&amp;"")))</f>
        <v/>
      </c>
      <c r="S154" s="10">
        <f>IF(TRIM(K154&amp;"")="","",IFERROR(INDEX(코드표!$K$2:$K$101,MATCH(TRIM(K154&amp;""),코드표!$J$2:$J$101,0)),"⚠"&amp;TRIM(K154&amp;"")))</f>
        <v/>
      </c>
      <c r="T154" s="10">
        <f>IF(TRIM(M154&amp;"")="","",IF(ISNUMBER(MATCH(TRIM(M154&amp;""),코드표!$C$2:$C$11,0)),TRIM(M154&amp;""),"⚠"&amp;TRIM(M154&amp;"")))</f>
        <v/>
      </c>
      <c r="U154" s="10">
        <f>IF(TRIM(L154&amp;"")="","",IFERROR(INDEX(코드표!$G$2:$G$101,MATCH(TRIM(L154&amp;""),코드표!$F$2:$F$101,0)),"⚠"&amp;TRIM(L154&amp;"")))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IF(ISNUMBER(H154),MAX(0,MIN(IF(ISNUMBER(I154),I154,EOMONTH(요약!$B$3,0)),EOMONTH(요약!$B$3,0))-MAX(H154,요약!$B$3)+1),0)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IF(AND(ISNUMBER(AB154),ISNUMBER(AC154)),MAX(0,MIN(AC154,EOMONTH(요약!$B$3,0))-MAX(AB154,요약!$B$3)+1),0)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IF(TRIM(B155&amp;"")="","",IFERROR(INDEX(코드표!$K$2:$K$101,MATCH(TRIM(B155&amp;""),코드표!$J$2:$J$101,0)),"⚠"&amp;TRIM(B155&amp;"")))</f>
        <v/>
      </c>
      <c r="S155" s="10">
        <f>IF(TRIM(K155&amp;"")="","",IFERROR(INDEX(코드표!$K$2:$K$101,MATCH(TRIM(K155&amp;""),코드표!$J$2:$J$101,0)),"⚠"&amp;TRIM(K155&amp;"")))</f>
        <v/>
      </c>
      <c r="T155" s="10">
        <f>IF(TRIM(M155&amp;"")="","",IF(ISNUMBER(MATCH(TRIM(M155&amp;""),코드표!$C$2:$C$11,0)),TRIM(M155&amp;""),"⚠"&amp;TRIM(M155&amp;"")))</f>
        <v/>
      </c>
      <c r="U155" s="10">
        <f>IF(TRIM(L155&amp;"")="","",IFERROR(INDEX(코드표!$G$2:$G$101,MATCH(TRIM(L155&amp;""),코드표!$F$2:$F$101,0)),"⚠"&amp;TRIM(L155&amp;"")))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IF(ISNUMBER(H155),MAX(0,MIN(IF(ISNUMBER(I155),I155,EOMONTH(요약!$B$3,0)),EOMONTH(요약!$B$3,0))-MAX(H155,요약!$B$3)+1),0)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IF(AND(ISNUMBER(AB155),ISNUMBER(AC155)),MAX(0,MIN(AC155,EOMONTH(요약!$B$3,0))-MAX(AB155,요약!$B$3)+1),0)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IF(TRIM(B156&amp;"")="","",IFERROR(INDEX(코드표!$K$2:$K$101,MATCH(TRIM(B156&amp;""),코드표!$J$2:$J$101,0)),"⚠"&amp;TRIM(B156&amp;"")))</f>
        <v/>
      </c>
      <c r="S156" s="10">
        <f>IF(TRIM(K156&amp;"")="","",IFERROR(INDEX(코드표!$K$2:$K$101,MATCH(TRIM(K156&amp;""),코드표!$J$2:$J$101,0)),"⚠"&amp;TRIM(K156&amp;"")))</f>
        <v/>
      </c>
      <c r="T156" s="10">
        <f>IF(TRIM(M156&amp;"")="","",IF(ISNUMBER(MATCH(TRIM(M156&amp;""),코드표!$C$2:$C$11,0)),TRIM(M156&amp;""),"⚠"&amp;TRIM(M156&amp;"")))</f>
        <v/>
      </c>
      <c r="U156" s="10">
        <f>IF(TRIM(L156&amp;"")="","",IFERROR(INDEX(코드표!$G$2:$G$101,MATCH(TRIM(L156&amp;""),코드표!$F$2:$F$101,0)),"⚠"&amp;TRIM(L156&amp;"")))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IF(ISNUMBER(H156),MAX(0,MIN(IF(ISNUMBER(I156),I156,EOMONTH(요약!$B$3,0)),EOMONTH(요약!$B$3,0))-MAX(H156,요약!$B$3)+1),0)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IF(AND(ISNUMBER(AB156),ISNUMBER(AC156)),MAX(0,MIN(AC156,EOMONTH(요약!$B$3,0))-MAX(AB156,요약!$B$3)+1),0)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IF(TRIM(B157&amp;"")="","",IFERROR(INDEX(코드표!$K$2:$K$101,MATCH(TRIM(B157&amp;""),코드표!$J$2:$J$101,0)),"⚠"&amp;TRIM(B157&amp;"")))</f>
        <v/>
      </c>
      <c r="S157" s="10">
        <f>IF(TRIM(K157&amp;"")="","",IFERROR(INDEX(코드표!$K$2:$K$101,MATCH(TRIM(K157&amp;""),코드표!$J$2:$J$101,0)),"⚠"&amp;TRIM(K157&amp;"")))</f>
        <v/>
      </c>
      <c r="T157" s="10">
        <f>IF(TRIM(M157&amp;"")="","",IF(ISNUMBER(MATCH(TRIM(M157&amp;""),코드표!$C$2:$C$11,0)),TRIM(M157&amp;""),"⚠"&amp;TRIM(M157&amp;"")))</f>
        <v/>
      </c>
      <c r="U157" s="10">
        <f>IF(TRIM(L157&amp;"")="","",IFERROR(INDEX(코드표!$G$2:$G$101,MATCH(TRIM(L157&amp;""),코드표!$F$2:$F$101,0)),"⚠"&amp;TRIM(L157&amp;"")))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IF(ISNUMBER(H157),MAX(0,MIN(IF(ISNUMBER(I157),I157,EOMONTH(요약!$B$3,0)),EOMONTH(요약!$B$3,0))-MAX(H157,요약!$B$3)+1),0)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IF(AND(ISNUMBER(AB157),ISNUMBER(AC157)),MAX(0,MIN(AC157,EOMONTH(요약!$B$3,0))-MAX(AB157,요약!$B$3)+1),0)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IF(TRIM(B158&amp;"")="","",IFERROR(INDEX(코드표!$K$2:$K$101,MATCH(TRIM(B158&amp;""),코드표!$J$2:$J$101,0)),"⚠"&amp;TRIM(B158&amp;"")))</f>
        <v/>
      </c>
      <c r="S158" s="10">
        <f>IF(TRIM(K158&amp;"")="","",IFERROR(INDEX(코드표!$K$2:$K$101,MATCH(TRIM(K158&amp;""),코드표!$J$2:$J$101,0)),"⚠"&amp;TRIM(K158&amp;"")))</f>
        <v/>
      </c>
      <c r="T158" s="10">
        <f>IF(TRIM(M158&amp;"")="","",IF(ISNUMBER(MATCH(TRIM(M158&amp;""),코드표!$C$2:$C$11,0)),TRIM(M158&amp;""),"⚠"&amp;TRIM(M158&amp;"")))</f>
        <v/>
      </c>
      <c r="U158" s="10">
        <f>IF(TRIM(L158&amp;"")="","",IFERROR(INDEX(코드표!$G$2:$G$101,MATCH(TRIM(L158&amp;""),코드표!$F$2:$F$101,0)),"⚠"&amp;TRIM(L158&amp;"")))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IF(ISNUMBER(H158),MAX(0,MIN(IF(ISNUMBER(I158),I158,EOMONTH(요약!$B$3,0)),EOMONTH(요약!$B$3,0))-MAX(H158,요약!$B$3)+1),0)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IF(AND(ISNUMBER(AB158),ISNUMBER(AC158)),MAX(0,MIN(AC158,EOMONTH(요약!$B$3,0))-MAX(AB158,요약!$B$3)+1),0)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IF(TRIM(B159&amp;"")="","",IFERROR(INDEX(코드표!$K$2:$K$101,MATCH(TRIM(B159&amp;""),코드표!$J$2:$J$101,0)),"⚠"&amp;TRIM(B159&amp;"")))</f>
        <v/>
      </c>
      <c r="S159" s="10">
        <f>IF(TRIM(K159&amp;"")="","",IFERROR(INDEX(코드표!$K$2:$K$101,MATCH(TRIM(K159&amp;""),코드표!$J$2:$J$101,0)),"⚠"&amp;TRIM(K159&amp;"")))</f>
        <v/>
      </c>
      <c r="T159" s="10">
        <f>IF(TRIM(M159&amp;"")="","",IF(ISNUMBER(MATCH(TRIM(M159&amp;""),코드표!$C$2:$C$11,0)),TRIM(M159&amp;""),"⚠"&amp;TRIM(M159&amp;"")))</f>
        <v/>
      </c>
      <c r="U159" s="10">
        <f>IF(TRIM(L159&amp;"")="","",IFERROR(INDEX(코드표!$G$2:$G$101,MATCH(TRIM(L159&amp;""),코드표!$F$2:$F$101,0)),"⚠"&amp;TRIM(L159&amp;"")))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IF(ISNUMBER(H159),MAX(0,MIN(IF(ISNUMBER(I159),I159,EOMONTH(요약!$B$3,0)),EOMONTH(요약!$B$3,0))-MAX(H159,요약!$B$3)+1),0)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IF(AND(ISNUMBER(AB159),ISNUMBER(AC159)),MAX(0,MIN(AC159,EOMONTH(요약!$B$3,0))-MAX(AB159,요약!$B$3)+1),0)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IF(TRIM(B160&amp;"")="","",IFERROR(INDEX(코드표!$K$2:$K$101,MATCH(TRIM(B160&amp;""),코드표!$J$2:$J$101,0)),"⚠"&amp;TRIM(B160&amp;"")))</f>
        <v/>
      </c>
      <c r="S160" s="10">
        <f>IF(TRIM(K160&amp;"")="","",IFERROR(INDEX(코드표!$K$2:$K$101,MATCH(TRIM(K160&amp;""),코드표!$J$2:$J$101,0)),"⚠"&amp;TRIM(K160&amp;"")))</f>
        <v/>
      </c>
      <c r="T160" s="10">
        <f>IF(TRIM(M160&amp;"")="","",IF(ISNUMBER(MATCH(TRIM(M160&amp;""),코드표!$C$2:$C$11,0)),TRIM(M160&amp;""),"⚠"&amp;TRIM(M160&amp;"")))</f>
        <v/>
      </c>
      <c r="U160" s="10">
        <f>IF(TRIM(L160&amp;"")="","",IFERROR(INDEX(코드표!$G$2:$G$101,MATCH(TRIM(L160&amp;""),코드표!$F$2:$F$101,0)),"⚠"&amp;TRIM(L160&amp;"")))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IF(ISNUMBER(H160),MAX(0,MIN(IF(ISNUMBER(I160),I160,EOMONTH(요약!$B$3,0)),EOMONTH(요약!$B$3,0))-MAX(H160,요약!$B$3)+1),0)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IF(AND(ISNUMBER(AB160),ISNUMBER(AC160)),MAX(0,MIN(AC160,EOMONTH(요약!$B$3,0))-MAX(AB160,요약!$B$3)+1),0)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IF(TRIM(B161&amp;"")="","",IFERROR(INDEX(코드표!$K$2:$K$101,MATCH(TRIM(B161&amp;""),코드표!$J$2:$J$101,0)),"⚠"&amp;TRIM(B161&amp;"")))</f>
        <v/>
      </c>
      <c r="S161" s="10">
        <f>IF(TRIM(K161&amp;"")="","",IFERROR(INDEX(코드표!$K$2:$K$101,MATCH(TRIM(K161&amp;""),코드표!$J$2:$J$101,0)),"⚠"&amp;TRIM(K161&amp;"")))</f>
        <v/>
      </c>
      <c r="T161" s="10">
        <f>IF(TRIM(M161&amp;"")="","",IF(ISNUMBER(MATCH(TRIM(M161&amp;""),코드표!$C$2:$C$11,0)),TRIM(M161&amp;""),"⚠"&amp;TRIM(M161&amp;"")))</f>
        <v/>
      </c>
      <c r="U161" s="10">
        <f>IF(TRIM(L161&amp;"")="","",IFERROR(INDEX(코드표!$G$2:$G$101,MATCH(TRIM(L161&amp;""),코드표!$F$2:$F$101,0)),"⚠"&amp;TRIM(L161&amp;"")))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IF(ISNUMBER(H161),MAX(0,MIN(IF(ISNUMBER(I161),I161,EOMONTH(요약!$B$3,0)),EOMONTH(요약!$B$3,0))-MAX(H161,요약!$B$3)+1),0)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IF(AND(ISNUMBER(AB161),ISNUMBER(AC161)),MAX(0,MIN(AC161,EOMONTH(요약!$B$3,0))-MAX(AB161,요약!$B$3)+1),0)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IF(TRIM(B162&amp;"")="","",IFERROR(INDEX(코드표!$K$2:$K$101,MATCH(TRIM(B162&amp;""),코드표!$J$2:$J$101,0)),"⚠"&amp;TRIM(B162&amp;"")))</f>
        <v/>
      </c>
      <c r="S162" s="10">
        <f>IF(TRIM(K162&amp;"")="","",IFERROR(INDEX(코드표!$K$2:$K$101,MATCH(TRIM(K162&amp;""),코드표!$J$2:$J$101,0)),"⚠"&amp;TRIM(K162&amp;"")))</f>
        <v/>
      </c>
      <c r="T162" s="10">
        <f>IF(TRIM(M162&amp;"")="","",IF(ISNUMBER(MATCH(TRIM(M162&amp;""),코드표!$C$2:$C$11,0)),TRIM(M162&amp;""),"⚠"&amp;TRIM(M162&amp;"")))</f>
        <v/>
      </c>
      <c r="U162" s="10">
        <f>IF(TRIM(L162&amp;"")="","",IFERROR(INDEX(코드표!$G$2:$G$101,MATCH(TRIM(L162&amp;""),코드표!$F$2:$F$101,0)),"⚠"&amp;TRIM(L162&amp;"")))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IF(ISNUMBER(H162),MAX(0,MIN(IF(ISNUMBER(I162),I162,EOMONTH(요약!$B$3,0)),EOMONTH(요약!$B$3,0))-MAX(H162,요약!$B$3)+1),0)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IF(AND(ISNUMBER(AB162),ISNUMBER(AC162)),MAX(0,MIN(AC162,EOMONTH(요약!$B$3,0))-MAX(AB162,요약!$B$3)+1),0)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IF(TRIM(B163&amp;"")="","",IFERROR(INDEX(코드표!$K$2:$K$101,MATCH(TRIM(B163&amp;""),코드표!$J$2:$J$101,0)),"⚠"&amp;TRIM(B163&amp;"")))</f>
        <v/>
      </c>
      <c r="S163" s="10">
        <f>IF(TRIM(K163&amp;"")="","",IFERROR(INDEX(코드표!$K$2:$K$101,MATCH(TRIM(K163&amp;""),코드표!$J$2:$J$101,0)),"⚠"&amp;TRIM(K163&amp;"")))</f>
        <v/>
      </c>
      <c r="T163" s="10">
        <f>IF(TRIM(M163&amp;"")="","",IF(ISNUMBER(MATCH(TRIM(M163&amp;""),코드표!$C$2:$C$11,0)),TRIM(M163&amp;""),"⚠"&amp;TRIM(M163&amp;"")))</f>
        <v/>
      </c>
      <c r="U163" s="10">
        <f>IF(TRIM(L163&amp;"")="","",IFERROR(INDEX(코드표!$G$2:$G$101,MATCH(TRIM(L163&amp;""),코드표!$F$2:$F$101,0)),"⚠"&amp;TRIM(L163&amp;"")))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IF(ISNUMBER(H163),MAX(0,MIN(IF(ISNUMBER(I163),I163,EOMONTH(요약!$B$3,0)),EOMONTH(요약!$B$3,0))-MAX(H163,요약!$B$3)+1),0)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IF(AND(ISNUMBER(AB163),ISNUMBER(AC163)),MAX(0,MIN(AC163,EOMONTH(요약!$B$3,0))-MAX(AB163,요약!$B$3)+1),0)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IF(TRIM(B164&amp;"")="","",IFERROR(INDEX(코드표!$K$2:$K$101,MATCH(TRIM(B164&amp;""),코드표!$J$2:$J$101,0)),"⚠"&amp;TRIM(B164&amp;"")))</f>
        <v/>
      </c>
      <c r="S164" s="10">
        <f>IF(TRIM(K164&amp;"")="","",IFERROR(INDEX(코드표!$K$2:$K$101,MATCH(TRIM(K164&amp;""),코드표!$J$2:$J$101,0)),"⚠"&amp;TRIM(K164&amp;"")))</f>
        <v/>
      </c>
      <c r="T164" s="10">
        <f>IF(TRIM(M164&amp;"")="","",IF(ISNUMBER(MATCH(TRIM(M164&amp;""),코드표!$C$2:$C$11,0)),TRIM(M164&amp;""),"⚠"&amp;TRIM(M164&amp;"")))</f>
        <v/>
      </c>
      <c r="U164" s="10">
        <f>IF(TRIM(L164&amp;"")="","",IFERROR(INDEX(코드표!$G$2:$G$101,MATCH(TRIM(L164&amp;""),코드표!$F$2:$F$101,0)),"⚠"&amp;TRIM(L164&amp;"")))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IF(ISNUMBER(H164),MAX(0,MIN(IF(ISNUMBER(I164),I164,EOMONTH(요약!$B$3,0)),EOMONTH(요약!$B$3,0))-MAX(H164,요약!$B$3)+1),0)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IF(AND(ISNUMBER(AB164),ISNUMBER(AC164)),MAX(0,MIN(AC164,EOMONTH(요약!$B$3,0))-MAX(AB164,요약!$B$3)+1),0)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IF(TRIM(B165&amp;"")="","",IFERROR(INDEX(코드표!$K$2:$K$101,MATCH(TRIM(B165&amp;""),코드표!$J$2:$J$101,0)),"⚠"&amp;TRIM(B165&amp;"")))</f>
        <v/>
      </c>
      <c r="S165" s="10">
        <f>IF(TRIM(K165&amp;"")="","",IFERROR(INDEX(코드표!$K$2:$K$101,MATCH(TRIM(K165&amp;""),코드표!$J$2:$J$101,0)),"⚠"&amp;TRIM(K165&amp;"")))</f>
        <v/>
      </c>
      <c r="T165" s="10">
        <f>IF(TRIM(M165&amp;"")="","",IF(ISNUMBER(MATCH(TRIM(M165&amp;""),코드표!$C$2:$C$11,0)),TRIM(M165&amp;""),"⚠"&amp;TRIM(M165&amp;"")))</f>
        <v/>
      </c>
      <c r="U165" s="10">
        <f>IF(TRIM(L165&amp;"")="","",IFERROR(INDEX(코드표!$G$2:$G$101,MATCH(TRIM(L165&amp;""),코드표!$F$2:$F$101,0)),"⚠"&amp;TRIM(L165&amp;"")))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IF(ISNUMBER(H165),MAX(0,MIN(IF(ISNUMBER(I165),I165,EOMONTH(요약!$B$3,0)),EOMONTH(요약!$B$3,0))-MAX(H165,요약!$B$3)+1),0)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IF(AND(ISNUMBER(AB165),ISNUMBER(AC165)),MAX(0,MIN(AC165,EOMONTH(요약!$B$3,0))-MAX(AB165,요약!$B$3)+1),0)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IF(TRIM(B166&amp;"")="","",IFERROR(INDEX(코드표!$K$2:$K$101,MATCH(TRIM(B166&amp;""),코드표!$J$2:$J$101,0)),"⚠"&amp;TRIM(B166&amp;"")))</f>
        <v/>
      </c>
      <c r="S166" s="10">
        <f>IF(TRIM(K166&amp;"")="","",IFERROR(INDEX(코드표!$K$2:$K$101,MATCH(TRIM(K166&amp;""),코드표!$J$2:$J$101,0)),"⚠"&amp;TRIM(K166&amp;"")))</f>
        <v/>
      </c>
      <c r="T166" s="10">
        <f>IF(TRIM(M166&amp;"")="","",IF(ISNUMBER(MATCH(TRIM(M166&amp;""),코드표!$C$2:$C$11,0)),TRIM(M166&amp;""),"⚠"&amp;TRIM(M166&amp;"")))</f>
        <v/>
      </c>
      <c r="U166" s="10">
        <f>IF(TRIM(L166&amp;"")="","",IFERROR(INDEX(코드표!$G$2:$G$101,MATCH(TRIM(L166&amp;""),코드표!$F$2:$F$101,0)),"⚠"&amp;TRIM(L166&amp;"")))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IF(ISNUMBER(H166),MAX(0,MIN(IF(ISNUMBER(I166),I166,EOMONTH(요약!$B$3,0)),EOMONTH(요약!$B$3,0))-MAX(H166,요약!$B$3)+1),0)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IF(AND(ISNUMBER(AB166),ISNUMBER(AC166)),MAX(0,MIN(AC166,EOMONTH(요약!$B$3,0))-MAX(AB166,요약!$B$3)+1),0)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IF(TRIM(B167&amp;"")="","",IFERROR(INDEX(코드표!$K$2:$K$101,MATCH(TRIM(B167&amp;""),코드표!$J$2:$J$101,0)),"⚠"&amp;TRIM(B167&amp;"")))</f>
        <v/>
      </c>
      <c r="S167" s="10">
        <f>IF(TRIM(K167&amp;"")="","",IFERROR(INDEX(코드표!$K$2:$K$101,MATCH(TRIM(K167&amp;""),코드표!$J$2:$J$101,0)),"⚠"&amp;TRIM(K167&amp;"")))</f>
        <v/>
      </c>
      <c r="T167" s="10">
        <f>IF(TRIM(M167&amp;"")="","",IF(ISNUMBER(MATCH(TRIM(M167&amp;""),코드표!$C$2:$C$11,0)),TRIM(M167&amp;""),"⚠"&amp;TRIM(M167&amp;"")))</f>
        <v/>
      </c>
      <c r="U167" s="10">
        <f>IF(TRIM(L167&amp;"")="","",IFERROR(INDEX(코드표!$G$2:$G$101,MATCH(TRIM(L167&amp;""),코드표!$F$2:$F$101,0)),"⚠"&amp;TRIM(L167&amp;"")))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IF(ISNUMBER(H167),MAX(0,MIN(IF(ISNUMBER(I167),I167,EOMONTH(요약!$B$3,0)),EOMONTH(요약!$B$3,0))-MAX(H167,요약!$B$3)+1),0)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IF(AND(ISNUMBER(AB167),ISNUMBER(AC167)),MAX(0,MIN(AC167,EOMONTH(요약!$B$3,0))-MAX(AB167,요약!$B$3)+1),0)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IF(TRIM(B168&amp;"")="","",IFERROR(INDEX(코드표!$K$2:$K$101,MATCH(TRIM(B168&amp;""),코드표!$J$2:$J$101,0)),"⚠"&amp;TRIM(B168&amp;"")))</f>
        <v/>
      </c>
      <c r="S168" s="10">
        <f>IF(TRIM(K168&amp;"")="","",IFERROR(INDEX(코드표!$K$2:$K$101,MATCH(TRIM(K168&amp;""),코드표!$J$2:$J$101,0)),"⚠"&amp;TRIM(K168&amp;"")))</f>
        <v/>
      </c>
      <c r="T168" s="10">
        <f>IF(TRIM(M168&amp;"")="","",IF(ISNUMBER(MATCH(TRIM(M168&amp;""),코드표!$C$2:$C$11,0)),TRIM(M168&amp;""),"⚠"&amp;TRIM(M168&amp;"")))</f>
        <v/>
      </c>
      <c r="U168" s="10">
        <f>IF(TRIM(L168&amp;"")="","",IFERROR(INDEX(코드표!$G$2:$G$101,MATCH(TRIM(L168&amp;""),코드표!$F$2:$F$101,0)),"⚠"&amp;TRIM(L168&amp;"")))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IF(ISNUMBER(H168),MAX(0,MIN(IF(ISNUMBER(I168),I168,EOMONTH(요약!$B$3,0)),EOMONTH(요약!$B$3,0))-MAX(H168,요약!$B$3)+1),0)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IF(AND(ISNUMBER(AB168),ISNUMBER(AC168)),MAX(0,MIN(AC168,EOMONTH(요약!$B$3,0))-MAX(AB168,요약!$B$3)+1),0)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IF(TRIM(B169&amp;"")="","",IFERROR(INDEX(코드표!$K$2:$K$101,MATCH(TRIM(B169&amp;""),코드표!$J$2:$J$101,0)),"⚠"&amp;TRIM(B169&amp;"")))</f>
        <v/>
      </c>
      <c r="S169" s="10">
        <f>IF(TRIM(K169&amp;"")="","",IFERROR(INDEX(코드표!$K$2:$K$101,MATCH(TRIM(K169&amp;""),코드표!$J$2:$J$101,0)),"⚠"&amp;TRIM(K169&amp;"")))</f>
        <v/>
      </c>
      <c r="T169" s="10">
        <f>IF(TRIM(M169&amp;"")="","",IF(ISNUMBER(MATCH(TRIM(M169&amp;""),코드표!$C$2:$C$11,0)),TRIM(M169&amp;""),"⚠"&amp;TRIM(M169&amp;"")))</f>
        <v/>
      </c>
      <c r="U169" s="10">
        <f>IF(TRIM(L169&amp;"")="","",IFERROR(INDEX(코드표!$G$2:$G$101,MATCH(TRIM(L169&amp;""),코드표!$F$2:$F$101,0)),"⚠"&amp;TRIM(L169&amp;"")))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IF(ISNUMBER(H169),MAX(0,MIN(IF(ISNUMBER(I169),I169,EOMONTH(요약!$B$3,0)),EOMONTH(요약!$B$3,0))-MAX(H169,요약!$B$3)+1),0)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IF(AND(ISNUMBER(AB169),ISNUMBER(AC169)),MAX(0,MIN(AC169,EOMONTH(요약!$B$3,0))-MAX(AB169,요약!$B$3)+1),0)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IF(TRIM(B170&amp;"")="","",IFERROR(INDEX(코드표!$K$2:$K$101,MATCH(TRIM(B170&amp;""),코드표!$J$2:$J$101,0)),"⚠"&amp;TRIM(B170&amp;"")))</f>
        <v/>
      </c>
      <c r="S170" s="10">
        <f>IF(TRIM(K170&amp;"")="","",IFERROR(INDEX(코드표!$K$2:$K$101,MATCH(TRIM(K170&amp;""),코드표!$J$2:$J$101,0)),"⚠"&amp;TRIM(K170&amp;"")))</f>
        <v/>
      </c>
      <c r="T170" s="10">
        <f>IF(TRIM(M170&amp;"")="","",IF(ISNUMBER(MATCH(TRIM(M170&amp;""),코드표!$C$2:$C$11,0)),TRIM(M170&amp;""),"⚠"&amp;TRIM(M170&amp;"")))</f>
        <v/>
      </c>
      <c r="U170" s="10">
        <f>IF(TRIM(L170&amp;"")="","",IFERROR(INDEX(코드표!$G$2:$G$101,MATCH(TRIM(L170&amp;""),코드표!$F$2:$F$101,0)),"⚠"&amp;TRIM(L170&amp;"")))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IF(ISNUMBER(H170),MAX(0,MIN(IF(ISNUMBER(I170),I170,EOMONTH(요약!$B$3,0)),EOMONTH(요약!$B$3,0))-MAX(H170,요약!$B$3)+1),0)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IF(AND(ISNUMBER(AB170),ISNUMBER(AC170)),MAX(0,MIN(AC170,EOMONTH(요약!$B$3,0))-MAX(AB170,요약!$B$3)+1),0)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IF(TRIM(B171&amp;"")="","",IFERROR(INDEX(코드표!$K$2:$K$101,MATCH(TRIM(B171&amp;""),코드표!$J$2:$J$101,0)),"⚠"&amp;TRIM(B171&amp;"")))</f>
        <v/>
      </c>
      <c r="S171" s="10">
        <f>IF(TRIM(K171&amp;"")="","",IFERROR(INDEX(코드표!$K$2:$K$101,MATCH(TRIM(K171&amp;""),코드표!$J$2:$J$101,0)),"⚠"&amp;TRIM(K171&amp;"")))</f>
        <v/>
      </c>
      <c r="T171" s="10">
        <f>IF(TRIM(M171&amp;"")="","",IF(ISNUMBER(MATCH(TRIM(M171&amp;""),코드표!$C$2:$C$11,0)),TRIM(M171&amp;""),"⚠"&amp;TRIM(M171&amp;"")))</f>
        <v/>
      </c>
      <c r="U171" s="10">
        <f>IF(TRIM(L171&amp;"")="","",IFERROR(INDEX(코드표!$G$2:$G$101,MATCH(TRIM(L171&amp;""),코드표!$F$2:$F$101,0)),"⚠"&amp;TRIM(L171&amp;"")))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IF(ISNUMBER(H171),MAX(0,MIN(IF(ISNUMBER(I171),I171,EOMONTH(요약!$B$3,0)),EOMONTH(요약!$B$3,0))-MAX(H171,요약!$B$3)+1),0)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IF(AND(ISNUMBER(AB171),ISNUMBER(AC171)),MAX(0,MIN(AC171,EOMONTH(요약!$B$3,0))-MAX(AB171,요약!$B$3)+1),0)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IF(TRIM(B172&amp;"")="","",IFERROR(INDEX(코드표!$K$2:$K$101,MATCH(TRIM(B172&amp;""),코드표!$J$2:$J$101,0)),"⚠"&amp;TRIM(B172&amp;"")))</f>
        <v/>
      </c>
      <c r="S172" s="10">
        <f>IF(TRIM(K172&amp;"")="","",IFERROR(INDEX(코드표!$K$2:$K$101,MATCH(TRIM(K172&amp;""),코드표!$J$2:$J$101,0)),"⚠"&amp;TRIM(K172&amp;"")))</f>
        <v/>
      </c>
      <c r="T172" s="10">
        <f>IF(TRIM(M172&amp;"")="","",IF(ISNUMBER(MATCH(TRIM(M172&amp;""),코드표!$C$2:$C$11,0)),TRIM(M172&amp;""),"⚠"&amp;TRIM(M172&amp;"")))</f>
        <v/>
      </c>
      <c r="U172" s="10">
        <f>IF(TRIM(L172&amp;"")="","",IFERROR(INDEX(코드표!$G$2:$G$101,MATCH(TRIM(L172&amp;""),코드표!$F$2:$F$101,0)),"⚠"&amp;TRIM(L172&amp;"")))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IF(ISNUMBER(H172),MAX(0,MIN(IF(ISNUMBER(I172),I172,EOMONTH(요약!$B$3,0)),EOMONTH(요약!$B$3,0))-MAX(H172,요약!$B$3)+1),0)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IF(AND(ISNUMBER(AB172),ISNUMBER(AC172)),MAX(0,MIN(AC172,EOMONTH(요약!$B$3,0))-MAX(AB172,요약!$B$3)+1),0)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IF(TRIM(B173&amp;"")="","",IFERROR(INDEX(코드표!$K$2:$K$101,MATCH(TRIM(B173&amp;""),코드표!$J$2:$J$101,0)),"⚠"&amp;TRIM(B173&amp;"")))</f>
        <v/>
      </c>
      <c r="S173" s="10">
        <f>IF(TRIM(K173&amp;"")="","",IFERROR(INDEX(코드표!$K$2:$K$101,MATCH(TRIM(K173&amp;""),코드표!$J$2:$J$101,0)),"⚠"&amp;TRIM(K173&amp;"")))</f>
        <v/>
      </c>
      <c r="T173" s="10">
        <f>IF(TRIM(M173&amp;"")="","",IF(ISNUMBER(MATCH(TRIM(M173&amp;""),코드표!$C$2:$C$11,0)),TRIM(M173&amp;""),"⚠"&amp;TRIM(M173&amp;"")))</f>
        <v/>
      </c>
      <c r="U173" s="10">
        <f>IF(TRIM(L173&amp;"")="","",IFERROR(INDEX(코드표!$G$2:$G$101,MATCH(TRIM(L173&amp;""),코드표!$F$2:$F$101,0)),"⚠"&amp;TRIM(L173&amp;"")))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IF(ISNUMBER(H173),MAX(0,MIN(IF(ISNUMBER(I173),I173,EOMONTH(요약!$B$3,0)),EOMONTH(요약!$B$3,0))-MAX(H173,요약!$B$3)+1),0)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IF(AND(ISNUMBER(AB173),ISNUMBER(AC173)),MAX(0,MIN(AC173,EOMONTH(요약!$B$3,0))-MAX(AB173,요약!$B$3)+1),0)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IF(TRIM(B174&amp;"")="","",IFERROR(INDEX(코드표!$K$2:$K$101,MATCH(TRIM(B174&amp;""),코드표!$J$2:$J$101,0)),"⚠"&amp;TRIM(B174&amp;"")))</f>
        <v/>
      </c>
      <c r="S174" s="10">
        <f>IF(TRIM(K174&amp;"")="","",IFERROR(INDEX(코드표!$K$2:$K$101,MATCH(TRIM(K174&amp;""),코드표!$J$2:$J$101,0)),"⚠"&amp;TRIM(K174&amp;"")))</f>
        <v/>
      </c>
      <c r="T174" s="10">
        <f>IF(TRIM(M174&amp;"")="","",IF(ISNUMBER(MATCH(TRIM(M174&amp;""),코드표!$C$2:$C$11,0)),TRIM(M174&amp;""),"⚠"&amp;TRIM(M174&amp;"")))</f>
        <v/>
      </c>
      <c r="U174" s="10">
        <f>IF(TRIM(L174&amp;"")="","",IFERROR(INDEX(코드표!$G$2:$G$101,MATCH(TRIM(L174&amp;""),코드표!$F$2:$F$101,0)),"⚠"&amp;TRIM(L174&amp;"")))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IF(ISNUMBER(H174),MAX(0,MIN(IF(ISNUMBER(I174),I174,EOMONTH(요약!$B$3,0)),EOMONTH(요약!$B$3,0))-MAX(H174,요약!$B$3)+1),0)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IF(AND(ISNUMBER(AB174),ISNUMBER(AC174)),MAX(0,MIN(AC174,EOMONTH(요약!$B$3,0))-MAX(AB174,요약!$B$3)+1),0)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IF(TRIM(B175&amp;"")="","",IFERROR(INDEX(코드표!$K$2:$K$101,MATCH(TRIM(B175&amp;""),코드표!$J$2:$J$101,0)),"⚠"&amp;TRIM(B175&amp;"")))</f>
        <v/>
      </c>
      <c r="S175" s="10">
        <f>IF(TRIM(K175&amp;"")="","",IFERROR(INDEX(코드표!$K$2:$K$101,MATCH(TRIM(K175&amp;""),코드표!$J$2:$J$101,0)),"⚠"&amp;TRIM(K175&amp;"")))</f>
        <v/>
      </c>
      <c r="T175" s="10">
        <f>IF(TRIM(M175&amp;"")="","",IF(ISNUMBER(MATCH(TRIM(M175&amp;""),코드표!$C$2:$C$11,0)),TRIM(M175&amp;""),"⚠"&amp;TRIM(M175&amp;"")))</f>
        <v/>
      </c>
      <c r="U175" s="10">
        <f>IF(TRIM(L175&amp;"")="","",IFERROR(INDEX(코드표!$G$2:$G$101,MATCH(TRIM(L175&amp;""),코드표!$F$2:$F$101,0)),"⚠"&amp;TRIM(L175&amp;"")))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IF(ISNUMBER(H175),MAX(0,MIN(IF(ISNUMBER(I175),I175,EOMONTH(요약!$B$3,0)),EOMONTH(요약!$B$3,0))-MAX(H175,요약!$B$3)+1),0)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IF(AND(ISNUMBER(AB175),ISNUMBER(AC175)),MAX(0,MIN(AC175,EOMONTH(요약!$B$3,0))-MAX(AB175,요약!$B$3)+1),0)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IF(TRIM(B176&amp;"")="","",IFERROR(INDEX(코드표!$K$2:$K$101,MATCH(TRIM(B176&amp;""),코드표!$J$2:$J$101,0)),"⚠"&amp;TRIM(B176&amp;"")))</f>
        <v/>
      </c>
      <c r="S176" s="10">
        <f>IF(TRIM(K176&amp;"")="","",IFERROR(INDEX(코드표!$K$2:$K$101,MATCH(TRIM(K176&amp;""),코드표!$J$2:$J$101,0)),"⚠"&amp;TRIM(K176&amp;"")))</f>
        <v/>
      </c>
      <c r="T176" s="10">
        <f>IF(TRIM(M176&amp;"")="","",IF(ISNUMBER(MATCH(TRIM(M176&amp;""),코드표!$C$2:$C$11,0)),TRIM(M176&amp;""),"⚠"&amp;TRIM(M176&amp;"")))</f>
        <v/>
      </c>
      <c r="U176" s="10">
        <f>IF(TRIM(L176&amp;"")="","",IFERROR(INDEX(코드표!$G$2:$G$101,MATCH(TRIM(L176&amp;""),코드표!$F$2:$F$101,0)),"⚠"&amp;TRIM(L176&amp;"")))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IF(ISNUMBER(H176),MAX(0,MIN(IF(ISNUMBER(I176),I176,EOMONTH(요약!$B$3,0)),EOMONTH(요약!$B$3,0))-MAX(H176,요약!$B$3)+1),0)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IF(AND(ISNUMBER(AB176),ISNUMBER(AC176)),MAX(0,MIN(AC176,EOMONTH(요약!$B$3,0))-MAX(AB176,요약!$B$3)+1),0)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IF(TRIM(B177&amp;"")="","",IFERROR(INDEX(코드표!$K$2:$K$101,MATCH(TRIM(B177&amp;""),코드표!$J$2:$J$101,0)),"⚠"&amp;TRIM(B177&amp;"")))</f>
        <v/>
      </c>
      <c r="S177" s="10">
        <f>IF(TRIM(K177&amp;"")="","",IFERROR(INDEX(코드표!$K$2:$K$101,MATCH(TRIM(K177&amp;""),코드표!$J$2:$J$101,0)),"⚠"&amp;TRIM(K177&amp;"")))</f>
        <v/>
      </c>
      <c r="T177" s="10">
        <f>IF(TRIM(M177&amp;"")="","",IF(ISNUMBER(MATCH(TRIM(M177&amp;""),코드표!$C$2:$C$11,0)),TRIM(M177&amp;""),"⚠"&amp;TRIM(M177&amp;"")))</f>
        <v/>
      </c>
      <c r="U177" s="10">
        <f>IF(TRIM(L177&amp;"")="","",IFERROR(INDEX(코드표!$G$2:$G$101,MATCH(TRIM(L177&amp;""),코드표!$F$2:$F$101,0)),"⚠"&amp;TRIM(L177&amp;"")))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IF(ISNUMBER(H177),MAX(0,MIN(IF(ISNUMBER(I177),I177,EOMONTH(요약!$B$3,0)),EOMONTH(요약!$B$3,0))-MAX(H177,요약!$B$3)+1),0)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IF(AND(ISNUMBER(AB177),ISNUMBER(AC177)),MAX(0,MIN(AC177,EOMONTH(요약!$B$3,0))-MAX(AB177,요약!$B$3)+1),0)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IF(TRIM(B178&amp;"")="","",IFERROR(INDEX(코드표!$K$2:$K$101,MATCH(TRIM(B178&amp;""),코드표!$J$2:$J$101,0)),"⚠"&amp;TRIM(B178&amp;"")))</f>
        <v/>
      </c>
      <c r="S178" s="10">
        <f>IF(TRIM(K178&amp;"")="","",IFERROR(INDEX(코드표!$K$2:$K$101,MATCH(TRIM(K178&amp;""),코드표!$J$2:$J$101,0)),"⚠"&amp;TRIM(K178&amp;"")))</f>
        <v/>
      </c>
      <c r="T178" s="10">
        <f>IF(TRIM(M178&amp;"")="","",IF(ISNUMBER(MATCH(TRIM(M178&amp;""),코드표!$C$2:$C$11,0)),TRIM(M178&amp;""),"⚠"&amp;TRIM(M178&amp;"")))</f>
        <v/>
      </c>
      <c r="U178" s="10">
        <f>IF(TRIM(L178&amp;"")="","",IFERROR(INDEX(코드표!$G$2:$G$101,MATCH(TRIM(L178&amp;""),코드표!$F$2:$F$101,0)),"⚠"&amp;TRIM(L178&amp;"")))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IF(ISNUMBER(H178),MAX(0,MIN(IF(ISNUMBER(I178),I178,EOMONTH(요약!$B$3,0)),EOMONTH(요약!$B$3,0))-MAX(H178,요약!$B$3)+1),0)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IF(AND(ISNUMBER(AB178),ISNUMBER(AC178)),MAX(0,MIN(AC178,EOMONTH(요약!$B$3,0))-MAX(AB178,요약!$B$3)+1),0)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IF(TRIM(B179&amp;"")="","",IFERROR(INDEX(코드표!$K$2:$K$101,MATCH(TRIM(B179&amp;""),코드표!$J$2:$J$101,0)),"⚠"&amp;TRIM(B179&amp;"")))</f>
        <v/>
      </c>
      <c r="S179" s="10">
        <f>IF(TRIM(K179&amp;"")="","",IFERROR(INDEX(코드표!$K$2:$K$101,MATCH(TRIM(K179&amp;""),코드표!$J$2:$J$101,0)),"⚠"&amp;TRIM(K179&amp;"")))</f>
        <v/>
      </c>
      <c r="T179" s="10">
        <f>IF(TRIM(M179&amp;"")="","",IF(ISNUMBER(MATCH(TRIM(M179&amp;""),코드표!$C$2:$C$11,0)),TRIM(M179&amp;""),"⚠"&amp;TRIM(M179&amp;"")))</f>
        <v/>
      </c>
      <c r="U179" s="10">
        <f>IF(TRIM(L179&amp;"")="","",IFERROR(INDEX(코드표!$G$2:$G$101,MATCH(TRIM(L179&amp;""),코드표!$F$2:$F$101,0)),"⚠"&amp;TRIM(L179&amp;"")))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IF(ISNUMBER(H179),MAX(0,MIN(IF(ISNUMBER(I179),I179,EOMONTH(요약!$B$3,0)),EOMONTH(요약!$B$3,0))-MAX(H179,요약!$B$3)+1),0)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IF(AND(ISNUMBER(AB179),ISNUMBER(AC179)),MAX(0,MIN(AC179,EOMONTH(요약!$B$3,0))-MAX(AB179,요약!$B$3)+1),0)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IF(TRIM(B180&amp;"")="","",IFERROR(INDEX(코드표!$K$2:$K$101,MATCH(TRIM(B180&amp;""),코드표!$J$2:$J$101,0)),"⚠"&amp;TRIM(B180&amp;"")))</f>
        <v/>
      </c>
      <c r="S180" s="10">
        <f>IF(TRIM(K180&amp;"")="","",IFERROR(INDEX(코드표!$K$2:$K$101,MATCH(TRIM(K180&amp;""),코드표!$J$2:$J$101,0)),"⚠"&amp;TRIM(K180&amp;"")))</f>
        <v/>
      </c>
      <c r="T180" s="10">
        <f>IF(TRIM(M180&amp;"")="","",IF(ISNUMBER(MATCH(TRIM(M180&amp;""),코드표!$C$2:$C$11,0)),TRIM(M180&amp;""),"⚠"&amp;TRIM(M180&amp;"")))</f>
        <v/>
      </c>
      <c r="U180" s="10">
        <f>IF(TRIM(L180&amp;"")="","",IFERROR(INDEX(코드표!$G$2:$G$101,MATCH(TRIM(L180&amp;""),코드표!$F$2:$F$101,0)),"⚠"&amp;TRIM(L180&amp;"")))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IF(ISNUMBER(H180),MAX(0,MIN(IF(ISNUMBER(I180),I180,EOMONTH(요약!$B$3,0)),EOMONTH(요약!$B$3,0))-MAX(H180,요약!$B$3)+1),0)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IF(AND(ISNUMBER(AB180),ISNUMBER(AC180)),MAX(0,MIN(AC180,EOMONTH(요약!$B$3,0))-MAX(AB180,요약!$B$3)+1),0)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IF(TRIM(B181&amp;"")="","",IFERROR(INDEX(코드표!$K$2:$K$101,MATCH(TRIM(B181&amp;""),코드표!$J$2:$J$101,0)),"⚠"&amp;TRIM(B181&amp;"")))</f>
        <v/>
      </c>
      <c r="S181" s="10">
        <f>IF(TRIM(K181&amp;"")="","",IFERROR(INDEX(코드표!$K$2:$K$101,MATCH(TRIM(K181&amp;""),코드표!$J$2:$J$101,0)),"⚠"&amp;TRIM(K181&amp;"")))</f>
        <v/>
      </c>
      <c r="T181" s="10">
        <f>IF(TRIM(M181&amp;"")="","",IF(ISNUMBER(MATCH(TRIM(M181&amp;""),코드표!$C$2:$C$11,0)),TRIM(M181&amp;""),"⚠"&amp;TRIM(M181&amp;"")))</f>
        <v/>
      </c>
      <c r="U181" s="10">
        <f>IF(TRIM(L181&amp;"")="","",IFERROR(INDEX(코드표!$G$2:$G$101,MATCH(TRIM(L181&amp;""),코드표!$F$2:$F$101,0)),"⚠"&amp;TRIM(L181&amp;"")))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IF(ISNUMBER(H181),MAX(0,MIN(IF(ISNUMBER(I181),I181,EOMONTH(요약!$B$3,0)),EOMONTH(요약!$B$3,0))-MAX(H181,요약!$B$3)+1),0)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IF(AND(ISNUMBER(AB181),ISNUMBER(AC181)),MAX(0,MIN(AC181,EOMONTH(요약!$B$3,0))-MAX(AB181,요약!$B$3)+1),0)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IF(TRIM(B182&amp;"")="","",IFERROR(INDEX(코드표!$K$2:$K$101,MATCH(TRIM(B182&amp;""),코드표!$J$2:$J$101,0)),"⚠"&amp;TRIM(B182&amp;"")))</f>
        <v/>
      </c>
      <c r="S182" s="10">
        <f>IF(TRIM(K182&amp;"")="","",IFERROR(INDEX(코드표!$K$2:$K$101,MATCH(TRIM(K182&amp;""),코드표!$J$2:$J$101,0)),"⚠"&amp;TRIM(K182&amp;"")))</f>
        <v/>
      </c>
      <c r="T182" s="10">
        <f>IF(TRIM(M182&amp;"")="","",IF(ISNUMBER(MATCH(TRIM(M182&amp;""),코드표!$C$2:$C$11,0)),TRIM(M182&amp;""),"⚠"&amp;TRIM(M182&amp;"")))</f>
        <v/>
      </c>
      <c r="U182" s="10">
        <f>IF(TRIM(L182&amp;"")="","",IFERROR(INDEX(코드표!$G$2:$G$101,MATCH(TRIM(L182&amp;""),코드표!$F$2:$F$101,0)),"⚠"&amp;TRIM(L182&amp;"")))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IF(ISNUMBER(H182),MAX(0,MIN(IF(ISNUMBER(I182),I182,EOMONTH(요약!$B$3,0)),EOMONTH(요약!$B$3,0))-MAX(H182,요약!$B$3)+1),0)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IF(AND(ISNUMBER(AB182),ISNUMBER(AC182)),MAX(0,MIN(AC182,EOMONTH(요약!$B$3,0))-MAX(AB182,요약!$B$3)+1),0)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IF(TRIM(B183&amp;"")="","",IFERROR(INDEX(코드표!$K$2:$K$101,MATCH(TRIM(B183&amp;""),코드표!$J$2:$J$101,0)),"⚠"&amp;TRIM(B183&amp;"")))</f>
        <v/>
      </c>
      <c r="S183" s="10">
        <f>IF(TRIM(K183&amp;"")="","",IFERROR(INDEX(코드표!$K$2:$K$101,MATCH(TRIM(K183&amp;""),코드표!$J$2:$J$101,0)),"⚠"&amp;TRIM(K183&amp;"")))</f>
        <v/>
      </c>
      <c r="T183" s="10">
        <f>IF(TRIM(M183&amp;"")="","",IF(ISNUMBER(MATCH(TRIM(M183&amp;""),코드표!$C$2:$C$11,0)),TRIM(M183&amp;""),"⚠"&amp;TRIM(M183&amp;"")))</f>
        <v/>
      </c>
      <c r="U183" s="10">
        <f>IF(TRIM(L183&amp;"")="","",IFERROR(INDEX(코드표!$G$2:$G$101,MATCH(TRIM(L183&amp;""),코드표!$F$2:$F$101,0)),"⚠"&amp;TRIM(L183&amp;"")))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IF(ISNUMBER(H183),MAX(0,MIN(IF(ISNUMBER(I183),I183,EOMONTH(요약!$B$3,0)),EOMONTH(요약!$B$3,0))-MAX(H183,요약!$B$3)+1),0)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IF(AND(ISNUMBER(AB183),ISNUMBER(AC183)),MAX(0,MIN(AC183,EOMONTH(요약!$B$3,0))-MAX(AB183,요약!$B$3)+1),0)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IF(TRIM(B184&amp;"")="","",IFERROR(INDEX(코드표!$K$2:$K$101,MATCH(TRIM(B184&amp;""),코드표!$J$2:$J$101,0)),"⚠"&amp;TRIM(B184&amp;"")))</f>
        <v/>
      </c>
      <c r="S184" s="10">
        <f>IF(TRIM(K184&amp;"")="","",IFERROR(INDEX(코드표!$K$2:$K$101,MATCH(TRIM(K184&amp;""),코드표!$J$2:$J$101,0)),"⚠"&amp;TRIM(K184&amp;"")))</f>
        <v/>
      </c>
      <c r="T184" s="10">
        <f>IF(TRIM(M184&amp;"")="","",IF(ISNUMBER(MATCH(TRIM(M184&amp;""),코드표!$C$2:$C$11,0)),TRIM(M184&amp;""),"⚠"&amp;TRIM(M184&amp;"")))</f>
        <v/>
      </c>
      <c r="U184" s="10">
        <f>IF(TRIM(L184&amp;"")="","",IFERROR(INDEX(코드표!$G$2:$G$101,MATCH(TRIM(L184&amp;""),코드표!$F$2:$F$101,0)),"⚠"&amp;TRIM(L184&amp;"")))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IF(ISNUMBER(H184),MAX(0,MIN(IF(ISNUMBER(I184),I184,EOMONTH(요약!$B$3,0)),EOMONTH(요약!$B$3,0))-MAX(H184,요약!$B$3)+1),0)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IF(AND(ISNUMBER(AB184),ISNUMBER(AC184)),MAX(0,MIN(AC184,EOMONTH(요약!$B$3,0))-MAX(AB184,요약!$B$3)+1),0)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IF(TRIM(B185&amp;"")="","",IFERROR(INDEX(코드표!$K$2:$K$101,MATCH(TRIM(B185&amp;""),코드표!$J$2:$J$101,0)),"⚠"&amp;TRIM(B185&amp;"")))</f>
        <v/>
      </c>
      <c r="S185" s="10">
        <f>IF(TRIM(K185&amp;"")="","",IFERROR(INDEX(코드표!$K$2:$K$101,MATCH(TRIM(K185&amp;""),코드표!$J$2:$J$101,0)),"⚠"&amp;TRIM(K185&amp;"")))</f>
        <v/>
      </c>
      <c r="T185" s="10">
        <f>IF(TRIM(M185&amp;"")="","",IF(ISNUMBER(MATCH(TRIM(M185&amp;""),코드표!$C$2:$C$11,0)),TRIM(M185&amp;""),"⚠"&amp;TRIM(M185&amp;"")))</f>
        <v/>
      </c>
      <c r="U185" s="10">
        <f>IF(TRIM(L185&amp;"")="","",IFERROR(INDEX(코드표!$G$2:$G$101,MATCH(TRIM(L185&amp;""),코드표!$F$2:$F$101,0)),"⚠"&amp;TRIM(L185&amp;"")))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IF(ISNUMBER(H185),MAX(0,MIN(IF(ISNUMBER(I185),I185,EOMONTH(요약!$B$3,0)),EOMONTH(요약!$B$3,0))-MAX(H185,요약!$B$3)+1),0)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IF(AND(ISNUMBER(AB185),ISNUMBER(AC185)),MAX(0,MIN(AC185,EOMONTH(요약!$B$3,0))-MAX(AB185,요약!$B$3)+1),0)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IF(TRIM(B186&amp;"")="","",IFERROR(INDEX(코드표!$K$2:$K$101,MATCH(TRIM(B186&amp;""),코드표!$J$2:$J$101,0)),"⚠"&amp;TRIM(B186&amp;"")))</f>
        <v/>
      </c>
      <c r="S186" s="10">
        <f>IF(TRIM(K186&amp;"")="","",IFERROR(INDEX(코드표!$K$2:$K$101,MATCH(TRIM(K186&amp;""),코드표!$J$2:$J$101,0)),"⚠"&amp;TRIM(K186&amp;"")))</f>
        <v/>
      </c>
      <c r="T186" s="10">
        <f>IF(TRIM(M186&amp;"")="","",IF(ISNUMBER(MATCH(TRIM(M186&amp;""),코드표!$C$2:$C$11,0)),TRIM(M186&amp;""),"⚠"&amp;TRIM(M186&amp;"")))</f>
        <v/>
      </c>
      <c r="U186" s="10">
        <f>IF(TRIM(L186&amp;"")="","",IFERROR(INDEX(코드표!$G$2:$G$101,MATCH(TRIM(L186&amp;""),코드표!$F$2:$F$101,0)),"⚠"&amp;TRIM(L186&amp;"")))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IF(ISNUMBER(H186),MAX(0,MIN(IF(ISNUMBER(I186),I186,EOMONTH(요약!$B$3,0)),EOMONTH(요약!$B$3,0))-MAX(H186,요약!$B$3)+1),0)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IF(AND(ISNUMBER(AB186),ISNUMBER(AC186)),MAX(0,MIN(AC186,EOMONTH(요약!$B$3,0))-MAX(AB186,요약!$B$3)+1),0)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IF(TRIM(B187&amp;"")="","",IFERROR(INDEX(코드표!$K$2:$K$101,MATCH(TRIM(B187&amp;""),코드표!$J$2:$J$101,0)),"⚠"&amp;TRIM(B187&amp;"")))</f>
        <v/>
      </c>
      <c r="S187" s="10">
        <f>IF(TRIM(K187&amp;"")="","",IFERROR(INDEX(코드표!$K$2:$K$101,MATCH(TRIM(K187&amp;""),코드표!$J$2:$J$101,0)),"⚠"&amp;TRIM(K187&amp;"")))</f>
        <v/>
      </c>
      <c r="T187" s="10">
        <f>IF(TRIM(M187&amp;"")="","",IF(ISNUMBER(MATCH(TRIM(M187&amp;""),코드표!$C$2:$C$11,0)),TRIM(M187&amp;""),"⚠"&amp;TRIM(M187&amp;"")))</f>
        <v/>
      </c>
      <c r="U187" s="10">
        <f>IF(TRIM(L187&amp;"")="","",IFERROR(INDEX(코드표!$G$2:$G$101,MATCH(TRIM(L187&amp;""),코드표!$F$2:$F$101,0)),"⚠"&amp;TRIM(L187&amp;"")))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IF(ISNUMBER(H187),MAX(0,MIN(IF(ISNUMBER(I187),I187,EOMONTH(요약!$B$3,0)),EOMONTH(요약!$B$3,0))-MAX(H187,요약!$B$3)+1),0)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IF(AND(ISNUMBER(AB187),ISNUMBER(AC187)),MAX(0,MIN(AC187,EOMONTH(요약!$B$3,0))-MAX(AB187,요약!$B$3)+1),0)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IF(TRIM(B188&amp;"")="","",IFERROR(INDEX(코드표!$K$2:$K$101,MATCH(TRIM(B188&amp;""),코드표!$J$2:$J$101,0)),"⚠"&amp;TRIM(B188&amp;"")))</f>
        <v/>
      </c>
      <c r="S188" s="10">
        <f>IF(TRIM(K188&amp;"")="","",IFERROR(INDEX(코드표!$K$2:$K$101,MATCH(TRIM(K188&amp;""),코드표!$J$2:$J$101,0)),"⚠"&amp;TRIM(K188&amp;"")))</f>
        <v/>
      </c>
      <c r="T188" s="10">
        <f>IF(TRIM(M188&amp;"")="","",IF(ISNUMBER(MATCH(TRIM(M188&amp;""),코드표!$C$2:$C$11,0)),TRIM(M188&amp;""),"⚠"&amp;TRIM(M188&amp;"")))</f>
        <v/>
      </c>
      <c r="U188" s="10">
        <f>IF(TRIM(L188&amp;"")="","",IFERROR(INDEX(코드표!$G$2:$G$101,MATCH(TRIM(L188&amp;""),코드표!$F$2:$F$101,0)),"⚠"&amp;TRIM(L188&amp;"")))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IF(ISNUMBER(H188),MAX(0,MIN(IF(ISNUMBER(I188),I188,EOMONTH(요약!$B$3,0)),EOMONTH(요약!$B$3,0))-MAX(H188,요약!$B$3)+1),0)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IF(AND(ISNUMBER(AB188),ISNUMBER(AC188)),MAX(0,MIN(AC188,EOMONTH(요약!$B$3,0))-MAX(AB188,요약!$B$3)+1),0)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IF(TRIM(B189&amp;"")="","",IFERROR(INDEX(코드표!$K$2:$K$101,MATCH(TRIM(B189&amp;""),코드표!$J$2:$J$101,0)),"⚠"&amp;TRIM(B189&amp;"")))</f>
        <v/>
      </c>
      <c r="S189" s="10">
        <f>IF(TRIM(K189&amp;"")="","",IFERROR(INDEX(코드표!$K$2:$K$101,MATCH(TRIM(K189&amp;""),코드표!$J$2:$J$101,0)),"⚠"&amp;TRIM(K189&amp;"")))</f>
        <v/>
      </c>
      <c r="T189" s="10">
        <f>IF(TRIM(M189&amp;"")="","",IF(ISNUMBER(MATCH(TRIM(M189&amp;""),코드표!$C$2:$C$11,0)),TRIM(M189&amp;""),"⚠"&amp;TRIM(M189&amp;"")))</f>
        <v/>
      </c>
      <c r="U189" s="10">
        <f>IF(TRIM(L189&amp;"")="","",IFERROR(INDEX(코드표!$G$2:$G$101,MATCH(TRIM(L189&amp;""),코드표!$F$2:$F$101,0)),"⚠"&amp;TRIM(L189&amp;"")))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IF(ISNUMBER(H189),MAX(0,MIN(IF(ISNUMBER(I189),I189,EOMONTH(요약!$B$3,0)),EOMONTH(요약!$B$3,0))-MAX(H189,요약!$B$3)+1),0)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IF(AND(ISNUMBER(AB189),ISNUMBER(AC189)),MAX(0,MIN(AC189,EOMONTH(요약!$B$3,0))-MAX(AB189,요약!$B$3)+1),0)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IF(TRIM(B190&amp;"")="","",IFERROR(INDEX(코드표!$K$2:$K$101,MATCH(TRIM(B190&amp;""),코드표!$J$2:$J$101,0)),"⚠"&amp;TRIM(B190&amp;"")))</f>
        <v/>
      </c>
      <c r="S190" s="10">
        <f>IF(TRIM(K190&amp;"")="","",IFERROR(INDEX(코드표!$K$2:$K$101,MATCH(TRIM(K190&amp;""),코드표!$J$2:$J$101,0)),"⚠"&amp;TRIM(K190&amp;"")))</f>
        <v/>
      </c>
      <c r="T190" s="10">
        <f>IF(TRIM(M190&amp;"")="","",IF(ISNUMBER(MATCH(TRIM(M190&amp;""),코드표!$C$2:$C$11,0)),TRIM(M190&amp;""),"⚠"&amp;TRIM(M190&amp;"")))</f>
        <v/>
      </c>
      <c r="U190" s="10">
        <f>IF(TRIM(L190&amp;"")="","",IFERROR(INDEX(코드표!$G$2:$G$101,MATCH(TRIM(L190&amp;""),코드표!$F$2:$F$101,0)),"⚠"&amp;TRIM(L190&amp;"")))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IF(ISNUMBER(H190),MAX(0,MIN(IF(ISNUMBER(I190),I190,EOMONTH(요약!$B$3,0)),EOMONTH(요약!$B$3,0))-MAX(H190,요약!$B$3)+1),0)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IF(AND(ISNUMBER(AB190),ISNUMBER(AC190)),MAX(0,MIN(AC190,EOMONTH(요약!$B$3,0))-MAX(AB190,요약!$B$3)+1),0)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IF(TRIM(B191&amp;"")="","",IFERROR(INDEX(코드표!$K$2:$K$101,MATCH(TRIM(B191&amp;""),코드표!$J$2:$J$101,0)),"⚠"&amp;TRIM(B191&amp;"")))</f>
        <v/>
      </c>
      <c r="S191" s="10">
        <f>IF(TRIM(K191&amp;"")="","",IFERROR(INDEX(코드표!$K$2:$K$101,MATCH(TRIM(K191&amp;""),코드표!$J$2:$J$101,0)),"⚠"&amp;TRIM(K191&amp;"")))</f>
        <v/>
      </c>
      <c r="T191" s="10">
        <f>IF(TRIM(M191&amp;"")="","",IF(ISNUMBER(MATCH(TRIM(M191&amp;""),코드표!$C$2:$C$11,0)),TRIM(M191&amp;""),"⚠"&amp;TRIM(M191&amp;"")))</f>
        <v/>
      </c>
      <c r="U191" s="10">
        <f>IF(TRIM(L191&amp;"")="","",IFERROR(INDEX(코드표!$G$2:$G$101,MATCH(TRIM(L191&amp;""),코드표!$F$2:$F$101,0)),"⚠"&amp;TRIM(L191&amp;"")))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IF(ISNUMBER(H191),MAX(0,MIN(IF(ISNUMBER(I191),I191,EOMONTH(요약!$B$3,0)),EOMONTH(요약!$B$3,0))-MAX(H191,요약!$B$3)+1),0)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IF(AND(ISNUMBER(AB191),ISNUMBER(AC191)),MAX(0,MIN(AC191,EOMONTH(요약!$B$3,0))-MAX(AB191,요약!$B$3)+1),0)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IF(TRIM(B192&amp;"")="","",IFERROR(INDEX(코드표!$K$2:$K$101,MATCH(TRIM(B192&amp;""),코드표!$J$2:$J$101,0)),"⚠"&amp;TRIM(B192&amp;"")))</f>
        <v/>
      </c>
      <c r="S192" s="10">
        <f>IF(TRIM(K192&amp;"")="","",IFERROR(INDEX(코드표!$K$2:$K$101,MATCH(TRIM(K192&amp;""),코드표!$J$2:$J$101,0)),"⚠"&amp;TRIM(K192&amp;"")))</f>
        <v/>
      </c>
      <c r="T192" s="10">
        <f>IF(TRIM(M192&amp;"")="","",IF(ISNUMBER(MATCH(TRIM(M192&amp;""),코드표!$C$2:$C$11,0)),TRIM(M192&amp;""),"⚠"&amp;TRIM(M192&amp;"")))</f>
        <v/>
      </c>
      <c r="U192" s="10">
        <f>IF(TRIM(L192&amp;"")="","",IFERROR(INDEX(코드표!$G$2:$G$101,MATCH(TRIM(L192&amp;""),코드표!$F$2:$F$101,0)),"⚠"&amp;TRIM(L192&amp;"")))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IF(ISNUMBER(H192),MAX(0,MIN(IF(ISNUMBER(I192),I192,EOMONTH(요약!$B$3,0)),EOMONTH(요약!$B$3,0))-MAX(H192,요약!$B$3)+1),0)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IF(AND(ISNUMBER(AB192),ISNUMBER(AC192)),MAX(0,MIN(AC192,EOMONTH(요약!$B$3,0))-MAX(AB192,요약!$B$3)+1),0)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IF(TRIM(B193&amp;"")="","",IFERROR(INDEX(코드표!$K$2:$K$101,MATCH(TRIM(B193&amp;""),코드표!$J$2:$J$101,0)),"⚠"&amp;TRIM(B193&amp;"")))</f>
        <v/>
      </c>
      <c r="S193" s="10">
        <f>IF(TRIM(K193&amp;"")="","",IFERROR(INDEX(코드표!$K$2:$K$101,MATCH(TRIM(K193&amp;""),코드표!$J$2:$J$101,0)),"⚠"&amp;TRIM(K193&amp;"")))</f>
        <v/>
      </c>
      <c r="T193" s="10">
        <f>IF(TRIM(M193&amp;"")="","",IF(ISNUMBER(MATCH(TRIM(M193&amp;""),코드표!$C$2:$C$11,0)),TRIM(M193&amp;""),"⚠"&amp;TRIM(M193&amp;"")))</f>
        <v/>
      </c>
      <c r="U193" s="10">
        <f>IF(TRIM(L193&amp;"")="","",IFERROR(INDEX(코드표!$G$2:$G$101,MATCH(TRIM(L193&amp;""),코드표!$F$2:$F$101,0)),"⚠"&amp;TRIM(L193&amp;"")))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IF(ISNUMBER(H193),MAX(0,MIN(IF(ISNUMBER(I193),I193,EOMONTH(요약!$B$3,0)),EOMONTH(요약!$B$3,0))-MAX(H193,요약!$B$3)+1),0)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IF(AND(ISNUMBER(AB193),ISNUMBER(AC193)),MAX(0,MIN(AC193,EOMONTH(요약!$B$3,0))-MAX(AB193,요약!$B$3)+1),0)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IF(TRIM(B194&amp;"")="","",IFERROR(INDEX(코드표!$K$2:$K$101,MATCH(TRIM(B194&amp;""),코드표!$J$2:$J$101,0)),"⚠"&amp;TRIM(B194&amp;"")))</f>
        <v/>
      </c>
      <c r="S194" s="10">
        <f>IF(TRIM(K194&amp;"")="","",IFERROR(INDEX(코드표!$K$2:$K$101,MATCH(TRIM(K194&amp;""),코드표!$J$2:$J$101,0)),"⚠"&amp;TRIM(K194&amp;"")))</f>
        <v/>
      </c>
      <c r="T194" s="10">
        <f>IF(TRIM(M194&amp;"")="","",IF(ISNUMBER(MATCH(TRIM(M194&amp;""),코드표!$C$2:$C$11,0)),TRIM(M194&amp;""),"⚠"&amp;TRIM(M194&amp;"")))</f>
        <v/>
      </c>
      <c r="U194" s="10">
        <f>IF(TRIM(L194&amp;"")="","",IFERROR(INDEX(코드표!$G$2:$G$101,MATCH(TRIM(L194&amp;""),코드표!$F$2:$F$101,0)),"⚠"&amp;TRIM(L194&amp;"")))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IF(ISNUMBER(H194),MAX(0,MIN(IF(ISNUMBER(I194),I194,EOMONTH(요약!$B$3,0)),EOMONTH(요약!$B$3,0))-MAX(H194,요약!$B$3)+1),0)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IF(AND(ISNUMBER(AB194),ISNUMBER(AC194)),MAX(0,MIN(AC194,EOMONTH(요약!$B$3,0))-MAX(AB194,요약!$B$3)+1),0)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IF(TRIM(B195&amp;"")="","",IFERROR(INDEX(코드표!$K$2:$K$101,MATCH(TRIM(B195&amp;""),코드표!$J$2:$J$101,0)),"⚠"&amp;TRIM(B195&amp;"")))</f>
        <v/>
      </c>
      <c r="S195" s="10">
        <f>IF(TRIM(K195&amp;"")="","",IFERROR(INDEX(코드표!$K$2:$K$101,MATCH(TRIM(K195&amp;""),코드표!$J$2:$J$101,0)),"⚠"&amp;TRIM(K195&amp;"")))</f>
        <v/>
      </c>
      <c r="T195" s="10">
        <f>IF(TRIM(M195&amp;"")="","",IF(ISNUMBER(MATCH(TRIM(M195&amp;""),코드표!$C$2:$C$11,0)),TRIM(M195&amp;""),"⚠"&amp;TRIM(M195&amp;"")))</f>
        <v/>
      </c>
      <c r="U195" s="10">
        <f>IF(TRIM(L195&amp;"")="","",IFERROR(INDEX(코드표!$G$2:$G$101,MATCH(TRIM(L195&amp;""),코드표!$F$2:$F$101,0)),"⚠"&amp;TRIM(L195&amp;"")))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IF(ISNUMBER(H195),MAX(0,MIN(IF(ISNUMBER(I195),I195,EOMONTH(요약!$B$3,0)),EOMONTH(요약!$B$3,0))-MAX(H195,요약!$B$3)+1),0)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IF(AND(ISNUMBER(AB195),ISNUMBER(AC195)),MAX(0,MIN(AC195,EOMONTH(요약!$B$3,0))-MAX(AB195,요약!$B$3)+1),0)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IF(TRIM(B196&amp;"")="","",IFERROR(INDEX(코드표!$K$2:$K$101,MATCH(TRIM(B196&amp;""),코드표!$J$2:$J$101,0)),"⚠"&amp;TRIM(B196&amp;"")))</f>
        <v/>
      </c>
      <c r="S196" s="10">
        <f>IF(TRIM(K196&amp;"")="","",IFERROR(INDEX(코드표!$K$2:$K$101,MATCH(TRIM(K196&amp;""),코드표!$J$2:$J$101,0)),"⚠"&amp;TRIM(K196&amp;"")))</f>
        <v/>
      </c>
      <c r="T196" s="10">
        <f>IF(TRIM(M196&amp;"")="","",IF(ISNUMBER(MATCH(TRIM(M196&amp;""),코드표!$C$2:$C$11,0)),TRIM(M196&amp;""),"⚠"&amp;TRIM(M196&amp;"")))</f>
        <v/>
      </c>
      <c r="U196" s="10">
        <f>IF(TRIM(L196&amp;"")="","",IFERROR(INDEX(코드표!$G$2:$G$101,MATCH(TRIM(L196&amp;""),코드표!$F$2:$F$101,0)),"⚠"&amp;TRIM(L196&amp;"")))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IF(ISNUMBER(H196),MAX(0,MIN(IF(ISNUMBER(I196),I196,EOMONTH(요약!$B$3,0)),EOMONTH(요약!$B$3,0))-MAX(H196,요약!$B$3)+1),0)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IF(AND(ISNUMBER(AB196),ISNUMBER(AC196)),MAX(0,MIN(AC196,EOMONTH(요약!$B$3,0))-MAX(AB196,요약!$B$3)+1),0)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IF(TRIM(B197&amp;"")="","",IFERROR(INDEX(코드표!$K$2:$K$101,MATCH(TRIM(B197&amp;""),코드표!$J$2:$J$101,0)),"⚠"&amp;TRIM(B197&amp;"")))</f>
        <v/>
      </c>
      <c r="S197" s="10">
        <f>IF(TRIM(K197&amp;"")="","",IFERROR(INDEX(코드표!$K$2:$K$101,MATCH(TRIM(K197&amp;""),코드표!$J$2:$J$101,0)),"⚠"&amp;TRIM(K197&amp;"")))</f>
        <v/>
      </c>
      <c r="T197" s="10">
        <f>IF(TRIM(M197&amp;"")="","",IF(ISNUMBER(MATCH(TRIM(M197&amp;""),코드표!$C$2:$C$11,0)),TRIM(M197&amp;""),"⚠"&amp;TRIM(M197&amp;"")))</f>
        <v/>
      </c>
      <c r="U197" s="10">
        <f>IF(TRIM(L197&amp;"")="","",IFERROR(INDEX(코드표!$G$2:$G$101,MATCH(TRIM(L197&amp;""),코드표!$F$2:$F$101,0)),"⚠"&amp;TRIM(L197&amp;"")))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IF(ISNUMBER(H197),MAX(0,MIN(IF(ISNUMBER(I197),I197,EOMONTH(요약!$B$3,0)),EOMONTH(요약!$B$3,0))-MAX(H197,요약!$B$3)+1),0)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IF(AND(ISNUMBER(AB197),ISNUMBER(AC197)),MAX(0,MIN(AC197,EOMONTH(요약!$B$3,0))-MAX(AB197,요약!$B$3)+1),0)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IF(TRIM(B198&amp;"")="","",IFERROR(INDEX(코드표!$K$2:$K$101,MATCH(TRIM(B198&amp;""),코드표!$J$2:$J$101,0)),"⚠"&amp;TRIM(B198&amp;"")))</f>
        <v/>
      </c>
      <c r="S198" s="10">
        <f>IF(TRIM(K198&amp;"")="","",IFERROR(INDEX(코드표!$K$2:$K$101,MATCH(TRIM(K198&amp;""),코드표!$J$2:$J$101,0)),"⚠"&amp;TRIM(K198&amp;"")))</f>
        <v/>
      </c>
      <c r="T198" s="10">
        <f>IF(TRIM(M198&amp;"")="","",IF(ISNUMBER(MATCH(TRIM(M198&amp;""),코드표!$C$2:$C$11,0)),TRIM(M198&amp;""),"⚠"&amp;TRIM(M198&amp;"")))</f>
        <v/>
      </c>
      <c r="U198" s="10">
        <f>IF(TRIM(L198&amp;"")="","",IFERROR(INDEX(코드표!$G$2:$G$101,MATCH(TRIM(L198&amp;""),코드표!$F$2:$F$101,0)),"⚠"&amp;TRIM(L198&amp;"")))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IF(ISNUMBER(H198),MAX(0,MIN(IF(ISNUMBER(I198),I198,EOMONTH(요약!$B$3,0)),EOMONTH(요약!$B$3,0))-MAX(H198,요약!$B$3)+1),0)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IF(AND(ISNUMBER(AB198),ISNUMBER(AC198)),MAX(0,MIN(AC198,EOMONTH(요약!$B$3,0))-MAX(AB198,요약!$B$3)+1),0)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IF(TRIM(B199&amp;"")="","",IFERROR(INDEX(코드표!$K$2:$K$101,MATCH(TRIM(B199&amp;""),코드표!$J$2:$J$101,0)),"⚠"&amp;TRIM(B199&amp;"")))</f>
        <v/>
      </c>
      <c r="S199" s="10">
        <f>IF(TRIM(K199&amp;"")="","",IFERROR(INDEX(코드표!$K$2:$K$101,MATCH(TRIM(K199&amp;""),코드표!$J$2:$J$101,0)),"⚠"&amp;TRIM(K199&amp;"")))</f>
        <v/>
      </c>
      <c r="T199" s="10">
        <f>IF(TRIM(M199&amp;"")="","",IF(ISNUMBER(MATCH(TRIM(M199&amp;""),코드표!$C$2:$C$11,0)),TRIM(M199&amp;""),"⚠"&amp;TRIM(M199&amp;"")))</f>
        <v/>
      </c>
      <c r="U199" s="10">
        <f>IF(TRIM(L199&amp;"")="","",IFERROR(INDEX(코드표!$G$2:$G$101,MATCH(TRIM(L199&amp;""),코드표!$F$2:$F$101,0)),"⚠"&amp;TRIM(L199&amp;"")))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IF(ISNUMBER(H199),MAX(0,MIN(IF(ISNUMBER(I199),I199,EOMONTH(요약!$B$3,0)),EOMONTH(요약!$B$3,0))-MAX(H199,요약!$B$3)+1),0)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IF(AND(ISNUMBER(AB199),ISNUMBER(AC199)),MAX(0,MIN(AC199,EOMONTH(요약!$B$3,0))-MAX(AB199,요약!$B$3)+1),0)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IF(TRIM(B200&amp;"")="","",IFERROR(INDEX(코드표!$K$2:$K$101,MATCH(TRIM(B200&amp;""),코드표!$J$2:$J$101,0)),"⚠"&amp;TRIM(B200&amp;"")))</f>
        <v/>
      </c>
      <c r="S200" s="10">
        <f>IF(TRIM(K200&amp;"")="","",IFERROR(INDEX(코드표!$K$2:$K$101,MATCH(TRIM(K200&amp;""),코드표!$J$2:$J$101,0)),"⚠"&amp;TRIM(K200&amp;"")))</f>
        <v/>
      </c>
      <c r="T200" s="10">
        <f>IF(TRIM(M200&amp;"")="","",IF(ISNUMBER(MATCH(TRIM(M200&amp;""),코드표!$C$2:$C$11,0)),TRIM(M200&amp;""),"⚠"&amp;TRIM(M200&amp;"")))</f>
        <v/>
      </c>
      <c r="U200" s="10">
        <f>IF(TRIM(L200&amp;"")="","",IFERROR(INDEX(코드표!$G$2:$G$101,MATCH(TRIM(L200&amp;""),코드표!$F$2:$F$101,0)),"⚠"&amp;TRIM(L200&amp;"")))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IF(ISNUMBER(H200),MAX(0,MIN(IF(ISNUMBER(I200),I200,EOMONTH(요약!$B$3,0)),EOMONTH(요약!$B$3,0))-MAX(H200,요약!$B$3)+1),0)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IF(AND(ISNUMBER(AB200),ISNUMBER(AC200)),MAX(0,MIN(AC200,EOMONTH(요약!$B$3,0))-MAX(AB200,요약!$B$3)+1),0)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IF(TRIM(B201&amp;"")="","",IFERROR(INDEX(코드표!$K$2:$K$101,MATCH(TRIM(B201&amp;""),코드표!$J$2:$J$101,0)),"⚠"&amp;TRIM(B201&amp;"")))</f>
        <v/>
      </c>
      <c r="S201" s="10">
        <f>IF(TRIM(K201&amp;"")="","",IFERROR(INDEX(코드표!$K$2:$K$101,MATCH(TRIM(K201&amp;""),코드표!$J$2:$J$101,0)),"⚠"&amp;TRIM(K201&amp;"")))</f>
        <v/>
      </c>
      <c r="T201" s="10">
        <f>IF(TRIM(M201&amp;"")="","",IF(ISNUMBER(MATCH(TRIM(M201&amp;""),코드표!$C$2:$C$11,0)),TRIM(M201&amp;""),"⚠"&amp;TRIM(M201&amp;"")))</f>
        <v/>
      </c>
      <c r="U201" s="10">
        <f>IF(TRIM(L201&amp;"")="","",IFERROR(INDEX(코드표!$G$2:$G$101,MATCH(TRIM(L201&amp;""),코드표!$F$2:$F$101,0)),"⚠"&amp;TRIM(L201&amp;"")))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IF(ISNUMBER(H201),MAX(0,MIN(IF(ISNUMBER(I201),I201,EOMONTH(요약!$B$3,0)),EOMONTH(요약!$B$3,0))-MAX(H201,요약!$B$3)+1),0)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IF(AND(ISNUMBER(AB201),ISNUMBER(AC201)),MAX(0,MIN(AC201,EOMONTH(요약!$B$3,0))-MAX(AB201,요약!$B$3)+1),0)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IF(TRIM(B202&amp;"")="","",IFERROR(INDEX(코드표!$K$2:$K$101,MATCH(TRIM(B202&amp;""),코드표!$J$2:$J$101,0)),"⚠"&amp;TRIM(B202&amp;"")))</f>
        <v/>
      </c>
      <c r="S202" s="10">
        <f>IF(TRIM(K202&amp;"")="","",IFERROR(INDEX(코드표!$K$2:$K$101,MATCH(TRIM(K202&amp;""),코드표!$J$2:$J$101,0)),"⚠"&amp;TRIM(K202&amp;"")))</f>
        <v/>
      </c>
      <c r="T202" s="10">
        <f>IF(TRIM(M202&amp;"")="","",IF(ISNUMBER(MATCH(TRIM(M202&amp;""),코드표!$C$2:$C$11,0)),TRIM(M202&amp;""),"⚠"&amp;TRIM(M202&amp;"")))</f>
        <v/>
      </c>
      <c r="U202" s="10">
        <f>IF(TRIM(L202&amp;"")="","",IFERROR(INDEX(코드표!$G$2:$G$101,MATCH(TRIM(L202&amp;""),코드표!$F$2:$F$101,0)),"⚠"&amp;TRIM(L202&amp;"")))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IF(ISNUMBER(H202),MAX(0,MIN(IF(ISNUMBER(I202),I202,EOMONTH(요약!$B$3,0)),EOMONTH(요약!$B$3,0))-MAX(H202,요약!$B$3)+1),0)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IF(AND(ISNUMBER(AB202),ISNUMBER(AC202)),MAX(0,MIN(AC202,EOMONTH(요약!$B$3,0))-MAX(AB202,요약!$B$3)+1),0)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IF(TRIM(B203&amp;"")="","",IFERROR(INDEX(코드표!$K$2:$K$101,MATCH(TRIM(B203&amp;""),코드표!$J$2:$J$101,0)),"⚠"&amp;TRIM(B203&amp;"")))</f>
        <v/>
      </c>
      <c r="S203" s="10">
        <f>IF(TRIM(K203&amp;"")="","",IFERROR(INDEX(코드표!$K$2:$K$101,MATCH(TRIM(K203&amp;""),코드표!$J$2:$J$101,0)),"⚠"&amp;TRIM(K203&amp;"")))</f>
        <v/>
      </c>
      <c r="T203" s="10">
        <f>IF(TRIM(M203&amp;"")="","",IF(ISNUMBER(MATCH(TRIM(M203&amp;""),코드표!$C$2:$C$11,0)),TRIM(M203&amp;""),"⚠"&amp;TRIM(M203&amp;"")))</f>
        <v/>
      </c>
      <c r="U203" s="10">
        <f>IF(TRIM(L203&amp;"")="","",IFERROR(INDEX(코드표!$G$2:$G$101,MATCH(TRIM(L203&amp;""),코드표!$F$2:$F$101,0)),"⚠"&amp;TRIM(L203&amp;"")))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IF(ISNUMBER(H203),MAX(0,MIN(IF(ISNUMBER(I203),I203,EOMONTH(요약!$B$3,0)),EOMONTH(요약!$B$3,0))-MAX(H203,요약!$B$3)+1),0)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IF(AND(ISNUMBER(AB203),ISNUMBER(AC203)),MAX(0,MIN(AC203,EOMONTH(요약!$B$3,0))-MAX(AB203,요약!$B$3)+1),0)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IF(TRIM(B204&amp;"")="","",IFERROR(INDEX(코드표!$K$2:$K$101,MATCH(TRIM(B204&amp;""),코드표!$J$2:$J$101,0)),"⚠"&amp;TRIM(B204&amp;"")))</f>
        <v/>
      </c>
      <c r="S204" s="10">
        <f>IF(TRIM(K204&amp;"")="","",IFERROR(INDEX(코드표!$K$2:$K$101,MATCH(TRIM(K204&amp;""),코드표!$J$2:$J$101,0)),"⚠"&amp;TRIM(K204&amp;"")))</f>
        <v/>
      </c>
      <c r="T204" s="10">
        <f>IF(TRIM(M204&amp;"")="","",IF(ISNUMBER(MATCH(TRIM(M204&amp;""),코드표!$C$2:$C$11,0)),TRIM(M204&amp;""),"⚠"&amp;TRIM(M204&amp;"")))</f>
        <v/>
      </c>
      <c r="U204" s="10">
        <f>IF(TRIM(L204&amp;"")="","",IFERROR(INDEX(코드표!$G$2:$G$101,MATCH(TRIM(L204&amp;""),코드표!$F$2:$F$101,0)),"⚠"&amp;TRIM(L204&amp;"")))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IF(ISNUMBER(H204),MAX(0,MIN(IF(ISNUMBER(I204),I204,EOMONTH(요약!$B$3,0)),EOMONTH(요약!$B$3,0))-MAX(H204,요약!$B$3)+1),0)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IF(AND(ISNUMBER(AB204),ISNUMBER(AC204)),MAX(0,MIN(AC204,EOMONTH(요약!$B$3,0))-MAX(AB204,요약!$B$3)+1),0)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IF(TRIM(B205&amp;"")="","",IFERROR(INDEX(코드표!$K$2:$K$101,MATCH(TRIM(B205&amp;""),코드표!$J$2:$J$101,0)),"⚠"&amp;TRIM(B205&amp;"")))</f>
        <v/>
      </c>
      <c r="S205" s="10">
        <f>IF(TRIM(K205&amp;"")="","",IFERROR(INDEX(코드표!$K$2:$K$101,MATCH(TRIM(K205&amp;""),코드표!$J$2:$J$101,0)),"⚠"&amp;TRIM(K205&amp;"")))</f>
        <v/>
      </c>
      <c r="T205" s="10">
        <f>IF(TRIM(M205&amp;"")="","",IF(ISNUMBER(MATCH(TRIM(M205&amp;""),코드표!$C$2:$C$11,0)),TRIM(M205&amp;""),"⚠"&amp;TRIM(M205&amp;"")))</f>
        <v/>
      </c>
      <c r="U205" s="10">
        <f>IF(TRIM(L205&amp;"")="","",IFERROR(INDEX(코드표!$G$2:$G$101,MATCH(TRIM(L205&amp;""),코드표!$F$2:$F$101,0)),"⚠"&amp;TRIM(L205&amp;"")))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IF(ISNUMBER(H205),MAX(0,MIN(IF(ISNUMBER(I205),I205,EOMONTH(요약!$B$3,0)),EOMONTH(요약!$B$3,0))-MAX(H205,요약!$B$3)+1),0)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IF(AND(ISNUMBER(AB205),ISNUMBER(AC205)),MAX(0,MIN(AC205,EOMONTH(요약!$B$3,0))-MAX(AB205,요약!$B$3)+1),0)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IF(TRIM(B206&amp;"")="","",IFERROR(INDEX(코드표!$K$2:$K$101,MATCH(TRIM(B206&amp;""),코드표!$J$2:$J$101,0)),"⚠"&amp;TRIM(B206&amp;"")))</f>
        <v/>
      </c>
      <c r="S206" s="10">
        <f>IF(TRIM(K206&amp;"")="","",IFERROR(INDEX(코드표!$K$2:$K$101,MATCH(TRIM(K206&amp;""),코드표!$J$2:$J$101,0)),"⚠"&amp;TRIM(K206&amp;"")))</f>
        <v/>
      </c>
      <c r="T206" s="10">
        <f>IF(TRIM(M206&amp;"")="","",IF(ISNUMBER(MATCH(TRIM(M206&amp;""),코드표!$C$2:$C$11,0)),TRIM(M206&amp;""),"⚠"&amp;TRIM(M206&amp;"")))</f>
        <v/>
      </c>
      <c r="U206" s="10">
        <f>IF(TRIM(L206&amp;"")="","",IFERROR(INDEX(코드표!$G$2:$G$101,MATCH(TRIM(L206&amp;""),코드표!$F$2:$F$101,0)),"⚠"&amp;TRIM(L206&amp;"")))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IF(ISNUMBER(H206),MAX(0,MIN(IF(ISNUMBER(I206),I206,EOMONTH(요약!$B$3,0)),EOMONTH(요약!$B$3,0))-MAX(H206,요약!$B$3)+1),0)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IF(AND(ISNUMBER(AB206),ISNUMBER(AC206)),MAX(0,MIN(AC206,EOMONTH(요약!$B$3,0))-MAX(AB206,요약!$B$3)+1),0)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IF(TRIM(B207&amp;"")="","",IFERROR(INDEX(코드표!$K$2:$K$101,MATCH(TRIM(B207&amp;""),코드표!$J$2:$J$101,0)),"⚠"&amp;TRIM(B207&amp;"")))</f>
        <v/>
      </c>
      <c r="S207" s="10">
        <f>IF(TRIM(K207&amp;"")="","",IFERROR(INDEX(코드표!$K$2:$K$101,MATCH(TRIM(K207&amp;""),코드표!$J$2:$J$101,0)),"⚠"&amp;TRIM(K207&amp;"")))</f>
        <v/>
      </c>
      <c r="T207" s="10">
        <f>IF(TRIM(M207&amp;"")="","",IF(ISNUMBER(MATCH(TRIM(M207&amp;""),코드표!$C$2:$C$11,0)),TRIM(M207&amp;""),"⚠"&amp;TRIM(M207&amp;"")))</f>
        <v/>
      </c>
      <c r="U207" s="10">
        <f>IF(TRIM(L207&amp;"")="","",IFERROR(INDEX(코드표!$G$2:$G$101,MATCH(TRIM(L207&amp;""),코드표!$F$2:$F$101,0)),"⚠"&amp;TRIM(L207&amp;"")))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IF(ISNUMBER(H207),MAX(0,MIN(IF(ISNUMBER(I207),I207,EOMONTH(요약!$B$3,0)),EOMONTH(요약!$B$3,0))-MAX(H207,요약!$B$3)+1),0)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IF(AND(ISNUMBER(AB207),ISNUMBER(AC207)),MAX(0,MIN(AC207,EOMONTH(요약!$B$3,0))-MAX(AB207,요약!$B$3)+1),0)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IF(TRIM(B208&amp;"")="","",IFERROR(INDEX(코드표!$K$2:$K$101,MATCH(TRIM(B208&amp;""),코드표!$J$2:$J$101,0)),"⚠"&amp;TRIM(B208&amp;"")))</f>
        <v/>
      </c>
      <c r="S208" s="10">
        <f>IF(TRIM(K208&amp;"")="","",IFERROR(INDEX(코드표!$K$2:$K$101,MATCH(TRIM(K208&amp;""),코드표!$J$2:$J$101,0)),"⚠"&amp;TRIM(K208&amp;"")))</f>
        <v/>
      </c>
      <c r="T208" s="10">
        <f>IF(TRIM(M208&amp;"")="","",IF(ISNUMBER(MATCH(TRIM(M208&amp;""),코드표!$C$2:$C$11,0)),TRIM(M208&amp;""),"⚠"&amp;TRIM(M208&amp;"")))</f>
        <v/>
      </c>
      <c r="U208" s="10">
        <f>IF(TRIM(L208&amp;"")="","",IFERROR(INDEX(코드표!$G$2:$G$101,MATCH(TRIM(L208&amp;""),코드표!$F$2:$F$101,0)),"⚠"&amp;TRIM(L208&amp;"")))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IF(ISNUMBER(H208),MAX(0,MIN(IF(ISNUMBER(I208),I208,EOMONTH(요약!$B$3,0)),EOMONTH(요약!$B$3,0))-MAX(H208,요약!$B$3)+1),0)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IF(AND(ISNUMBER(AB208),ISNUMBER(AC208)),MAX(0,MIN(AC208,EOMONTH(요약!$B$3,0))-MAX(AB208,요약!$B$3)+1),0)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IF(TRIM(B209&amp;"")="","",IFERROR(INDEX(코드표!$K$2:$K$101,MATCH(TRIM(B209&amp;""),코드표!$J$2:$J$101,0)),"⚠"&amp;TRIM(B209&amp;"")))</f>
        <v/>
      </c>
      <c r="S209" s="10">
        <f>IF(TRIM(K209&amp;"")="","",IFERROR(INDEX(코드표!$K$2:$K$101,MATCH(TRIM(K209&amp;""),코드표!$J$2:$J$101,0)),"⚠"&amp;TRIM(K209&amp;"")))</f>
        <v/>
      </c>
      <c r="T209" s="10">
        <f>IF(TRIM(M209&amp;"")="","",IF(ISNUMBER(MATCH(TRIM(M209&amp;""),코드표!$C$2:$C$11,0)),TRIM(M209&amp;""),"⚠"&amp;TRIM(M209&amp;"")))</f>
        <v/>
      </c>
      <c r="U209" s="10">
        <f>IF(TRIM(L209&amp;"")="","",IFERROR(INDEX(코드표!$G$2:$G$101,MATCH(TRIM(L209&amp;""),코드표!$F$2:$F$101,0)),"⚠"&amp;TRIM(L209&amp;"")))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IF(ISNUMBER(H209),MAX(0,MIN(IF(ISNUMBER(I209),I209,EOMONTH(요약!$B$3,0)),EOMONTH(요약!$B$3,0))-MAX(H209,요약!$B$3)+1),0)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IF(AND(ISNUMBER(AB209),ISNUMBER(AC209)),MAX(0,MIN(AC209,EOMONTH(요약!$B$3,0))-MAX(AB209,요약!$B$3)+1),0)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IF(TRIM(B210&amp;"")="","",IFERROR(INDEX(코드표!$K$2:$K$101,MATCH(TRIM(B210&amp;""),코드표!$J$2:$J$101,0)),"⚠"&amp;TRIM(B210&amp;"")))</f>
        <v/>
      </c>
      <c r="S210" s="10">
        <f>IF(TRIM(K210&amp;"")="","",IFERROR(INDEX(코드표!$K$2:$K$101,MATCH(TRIM(K210&amp;""),코드표!$J$2:$J$101,0)),"⚠"&amp;TRIM(K210&amp;"")))</f>
        <v/>
      </c>
      <c r="T210" s="10">
        <f>IF(TRIM(M210&amp;"")="","",IF(ISNUMBER(MATCH(TRIM(M210&amp;""),코드표!$C$2:$C$11,0)),TRIM(M210&amp;""),"⚠"&amp;TRIM(M210&amp;"")))</f>
        <v/>
      </c>
      <c r="U210" s="10">
        <f>IF(TRIM(L210&amp;"")="","",IFERROR(INDEX(코드표!$G$2:$G$101,MATCH(TRIM(L210&amp;""),코드표!$F$2:$F$101,0)),"⚠"&amp;TRIM(L210&amp;"")))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IF(ISNUMBER(H210),MAX(0,MIN(IF(ISNUMBER(I210),I210,EOMONTH(요약!$B$3,0)),EOMONTH(요약!$B$3,0))-MAX(H210,요약!$B$3)+1),0)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IF(AND(ISNUMBER(AB210),ISNUMBER(AC210)),MAX(0,MIN(AC210,EOMONTH(요약!$B$3,0))-MAX(AB210,요약!$B$3)+1),0)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IF(TRIM(B211&amp;"")="","",IFERROR(INDEX(코드표!$K$2:$K$101,MATCH(TRIM(B211&amp;""),코드표!$J$2:$J$101,0)),"⚠"&amp;TRIM(B211&amp;"")))</f>
        <v/>
      </c>
      <c r="S211" s="10">
        <f>IF(TRIM(K211&amp;"")="","",IFERROR(INDEX(코드표!$K$2:$K$101,MATCH(TRIM(K211&amp;""),코드표!$J$2:$J$101,0)),"⚠"&amp;TRIM(K211&amp;"")))</f>
        <v/>
      </c>
      <c r="T211" s="10">
        <f>IF(TRIM(M211&amp;"")="","",IF(ISNUMBER(MATCH(TRIM(M211&amp;""),코드표!$C$2:$C$11,0)),TRIM(M211&amp;""),"⚠"&amp;TRIM(M211&amp;"")))</f>
        <v/>
      </c>
      <c r="U211" s="10">
        <f>IF(TRIM(L211&amp;"")="","",IFERROR(INDEX(코드표!$G$2:$G$101,MATCH(TRIM(L211&amp;""),코드표!$F$2:$F$101,0)),"⚠"&amp;TRIM(L211&amp;"")))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IF(ISNUMBER(H211),MAX(0,MIN(IF(ISNUMBER(I211),I211,EOMONTH(요약!$B$3,0)),EOMONTH(요약!$B$3,0))-MAX(H211,요약!$B$3)+1),0)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IF(AND(ISNUMBER(AB211),ISNUMBER(AC211)),MAX(0,MIN(AC211,EOMONTH(요약!$B$3,0))-MAX(AB211,요약!$B$3)+1),0)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IF(TRIM(B212&amp;"")="","",IFERROR(INDEX(코드표!$K$2:$K$101,MATCH(TRIM(B212&amp;""),코드표!$J$2:$J$101,0)),"⚠"&amp;TRIM(B212&amp;"")))</f>
        <v/>
      </c>
      <c r="S212" s="10">
        <f>IF(TRIM(K212&amp;"")="","",IFERROR(INDEX(코드표!$K$2:$K$101,MATCH(TRIM(K212&amp;""),코드표!$J$2:$J$101,0)),"⚠"&amp;TRIM(K212&amp;"")))</f>
        <v/>
      </c>
      <c r="T212" s="10">
        <f>IF(TRIM(M212&amp;"")="","",IF(ISNUMBER(MATCH(TRIM(M212&amp;""),코드표!$C$2:$C$11,0)),TRIM(M212&amp;""),"⚠"&amp;TRIM(M212&amp;"")))</f>
        <v/>
      </c>
      <c r="U212" s="10">
        <f>IF(TRIM(L212&amp;"")="","",IFERROR(INDEX(코드표!$G$2:$G$101,MATCH(TRIM(L212&amp;""),코드표!$F$2:$F$101,0)),"⚠"&amp;TRIM(L212&amp;"")))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IF(ISNUMBER(H212),MAX(0,MIN(IF(ISNUMBER(I212),I212,EOMONTH(요약!$B$3,0)),EOMONTH(요약!$B$3,0))-MAX(H212,요약!$B$3)+1),0)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IF(AND(ISNUMBER(AB212),ISNUMBER(AC212)),MAX(0,MIN(AC212,EOMONTH(요약!$B$3,0))-MAX(AB212,요약!$B$3)+1),0)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IF(TRIM(B213&amp;"")="","",IFERROR(INDEX(코드표!$K$2:$K$101,MATCH(TRIM(B213&amp;""),코드표!$J$2:$J$101,0)),"⚠"&amp;TRIM(B213&amp;"")))</f>
        <v/>
      </c>
      <c r="S213" s="10">
        <f>IF(TRIM(K213&amp;"")="","",IFERROR(INDEX(코드표!$K$2:$K$101,MATCH(TRIM(K213&amp;""),코드표!$J$2:$J$101,0)),"⚠"&amp;TRIM(K213&amp;"")))</f>
        <v/>
      </c>
      <c r="T213" s="10">
        <f>IF(TRIM(M213&amp;"")="","",IF(ISNUMBER(MATCH(TRIM(M213&amp;""),코드표!$C$2:$C$11,0)),TRIM(M213&amp;""),"⚠"&amp;TRIM(M213&amp;"")))</f>
        <v/>
      </c>
      <c r="U213" s="10">
        <f>IF(TRIM(L213&amp;"")="","",IFERROR(INDEX(코드표!$G$2:$G$101,MATCH(TRIM(L213&amp;""),코드표!$F$2:$F$101,0)),"⚠"&amp;TRIM(L213&amp;"")))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IF(ISNUMBER(H213),MAX(0,MIN(IF(ISNUMBER(I213),I213,EOMONTH(요약!$B$3,0)),EOMONTH(요약!$B$3,0))-MAX(H213,요약!$B$3)+1),0)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IF(AND(ISNUMBER(AB213),ISNUMBER(AC213)),MAX(0,MIN(AC213,EOMONTH(요약!$B$3,0))-MAX(AB213,요약!$B$3)+1),0)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IF(TRIM(B214&amp;"")="","",IFERROR(INDEX(코드표!$K$2:$K$101,MATCH(TRIM(B214&amp;""),코드표!$J$2:$J$101,0)),"⚠"&amp;TRIM(B214&amp;"")))</f>
        <v/>
      </c>
      <c r="S214" s="10">
        <f>IF(TRIM(K214&amp;"")="","",IFERROR(INDEX(코드표!$K$2:$K$101,MATCH(TRIM(K214&amp;""),코드표!$J$2:$J$101,0)),"⚠"&amp;TRIM(K214&amp;"")))</f>
        <v/>
      </c>
      <c r="T214" s="10">
        <f>IF(TRIM(M214&amp;"")="","",IF(ISNUMBER(MATCH(TRIM(M214&amp;""),코드표!$C$2:$C$11,0)),TRIM(M214&amp;""),"⚠"&amp;TRIM(M214&amp;"")))</f>
        <v/>
      </c>
      <c r="U214" s="10">
        <f>IF(TRIM(L214&amp;"")="","",IFERROR(INDEX(코드표!$G$2:$G$101,MATCH(TRIM(L214&amp;""),코드표!$F$2:$F$101,0)),"⚠"&amp;TRIM(L214&amp;"")))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IF(ISNUMBER(H214),MAX(0,MIN(IF(ISNUMBER(I214),I214,EOMONTH(요약!$B$3,0)),EOMONTH(요약!$B$3,0))-MAX(H214,요약!$B$3)+1),0)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IF(AND(ISNUMBER(AB214),ISNUMBER(AC214)),MAX(0,MIN(AC214,EOMONTH(요약!$B$3,0))-MAX(AB214,요약!$B$3)+1),0)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IF(TRIM(B215&amp;"")="","",IFERROR(INDEX(코드표!$K$2:$K$101,MATCH(TRIM(B215&amp;""),코드표!$J$2:$J$101,0)),"⚠"&amp;TRIM(B215&amp;"")))</f>
        <v/>
      </c>
      <c r="S215" s="10">
        <f>IF(TRIM(K215&amp;"")="","",IFERROR(INDEX(코드표!$K$2:$K$101,MATCH(TRIM(K215&amp;""),코드표!$J$2:$J$101,0)),"⚠"&amp;TRIM(K215&amp;"")))</f>
        <v/>
      </c>
      <c r="T215" s="10">
        <f>IF(TRIM(M215&amp;"")="","",IF(ISNUMBER(MATCH(TRIM(M215&amp;""),코드표!$C$2:$C$11,0)),TRIM(M215&amp;""),"⚠"&amp;TRIM(M215&amp;"")))</f>
        <v/>
      </c>
      <c r="U215" s="10">
        <f>IF(TRIM(L215&amp;"")="","",IFERROR(INDEX(코드표!$G$2:$G$101,MATCH(TRIM(L215&amp;""),코드표!$F$2:$F$101,0)),"⚠"&amp;TRIM(L215&amp;"")))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IF(ISNUMBER(H215),MAX(0,MIN(IF(ISNUMBER(I215),I215,EOMONTH(요약!$B$3,0)),EOMONTH(요약!$B$3,0))-MAX(H215,요약!$B$3)+1),0)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IF(AND(ISNUMBER(AB215),ISNUMBER(AC215)),MAX(0,MIN(AC215,EOMONTH(요약!$B$3,0))-MAX(AB215,요약!$B$3)+1),0)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IF(TRIM(B216&amp;"")="","",IFERROR(INDEX(코드표!$K$2:$K$101,MATCH(TRIM(B216&amp;""),코드표!$J$2:$J$101,0)),"⚠"&amp;TRIM(B216&amp;"")))</f>
        <v/>
      </c>
      <c r="S216" s="10">
        <f>IF(TRIM(K216&amp;"")="","",IFERROR(INDEX(코드표!$K$2:$K$101,MATCH(TRIM(K216&amp;""),코드표!$J$2:$J$101,0)),"⚠"&amp;TRIM(K216&amp;"")))</f>
        <v/>
      </c>
      <c r="T216" s="10">
        <f>IF(TRIM(M216&amp;"")="","",IF(ISNUMBER(MATCH(TRIM(M216&amp;""),코드표!$C$2:$C$11,0)),TRIM(M216&amp;""),"⚠"&amp;TRIM(M216&amp;"")))</f>
        <v/>
      </c>
      <c r="U216" s="10">
        <f>IF(TRIM(L216&amp;"")="","",IFERROR(INDEX(코드표!$G$2:$G$101,MATCH(TRIM(L216&amp;""),코드표!$F$2:$F$101,0)),"⚠"&amp;TRIM(L216&amp;"")))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IF(ISNUMBER(H216),MAX(0,MIN(IF(ISNUMBER(I216),I216,EOMONTH(요약!$B$3,0)),EOMONTH(요약!$B$3,0))-MAX(H216,요약!$B$3)+1),0)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IF(AND(ISNUMBER(AB216),ISNUMBER(AC216)),MAX(0,MIN(AC216,EOMONTH(요약!$B$3,0))-MAX(AB216,요약!$B$3)+1),0)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IF(TRIM(B217&amp;"")="","",IFERROR(INDEX(코드표!$K$2:$K$101,MATCH(TRIM(B217&amp;""),코드표!$J$2:$J$101,0)),"⚠"&amp;TRIM(B217&amp;"")))</f>
        <v/>
      </c>
      <c r="S217" s="10">
        <f>IF(TRIM(K217&amp;"")="","",IFERROR(INDEX(코드표!$K$2:$K$101,MATCH(TRIM(K217&amp;""),코드표!$J$2:$J$101,0)),"⚠"&amp;TRIM(K217&amp;"")))</f>
        <v/>
      </c>
      <c r="T217" s="10">
        <f>IF(TRIM(M217&amp;"")="","",IF(ISNUMBER(MATCH(TRIM(M217&amp;""),코드표!$C$2:$C$11,0)),TRIM(M217&amp;""),"⚠"&amp;TRIM(M217&amp;"")))</f>
        <v/>
      </c>
      <c r="U217" s="10">
        <f>IF(TRIM(L217&amp;"")="","",IFERROR(INDEX(코드표!$G$2:$G$101,MATCH(TRIM(L217&amp;""),코드표!$F$2:$F$101,0)),"⚠"&amp;TRIM(L217&amp;"")))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IF(ISNUMBER(H217),MAX(0,MIN(IF(ISNUMBER(I217),I217,EOMONTH(요약!$B$3,0)),EOMONTH(요약!$B$3,0))-MAX(H217,요약!$B$3)+1),0)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IF(AND(ISNUMBER(AB217),ISNUMBER(AC217)),MAX(0,MIN(AC217,EOMONTH(요약!$B$3,0))-MAX(AB217,요약!$B$3)+1),0)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IF(TRIM(B218&amp;"")="","",IFERROR(INDEX(코드표!$K$2:$K$101,MATCH(TRIM(B218&amp;""),코드표!$J$2:$J$101,0)),"⚠"&amp;TRIM(B218&amp;"")))</f>
        <v/>
      </c>
      <c r="S218" s="10">
        <f>IF(TRIM(K218&amp;"")="","",IFERROR(INDEX(코드표!$K$2:$K$101,MATCH(TRIM(K218&amp;""),코드표!$J$2:$J$101,0)),"⚠"&amp;TRIM(K218&amp;"")))</f>
        <v/>
      </c>
      <c r="T218" s="10">
        <f>IF(TRIM(M218&amp;"")="","",IF(ISNUMBER(MATCH(TRIM(M218&amp;""),코드표!$C$2:$C$11,0)),TRIM(M218&amp;""),"⚠"&amp;TRIM(M218&amp;"")))</f>
        <v/>
      </c>
      <c r="U218" s="10">
        <f>IF(TRIM(L218&amp;"")="","",IFERROR(INDEX(코드표!$G$2:$G$101,MATCH(TRIM(L218&amp;""),코드표!$F$2:$F$101,0)),"⚠"&amp;TRIM(L218&amp;"")))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IF(ISNUMBER(H218),MAX(0,MIN(IF(ISNUMBER(I218),I218,EOMONTH(요약!$B$3,0)),EOMONTH(요약!$B$3,0))-MAX(H218,요약!$B$3)+1),0)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IF(AND(ISNUMBER(AB218),ISNUMBER(AC218)),MAX(0,MIN(AC218,EOMONTH(요약!$B$3,0))-MAX(AB218,요약!$B$3)+1),0)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IF(TRIM(B219&amp;"")="","",IFERROR(INDEX(코드표!$K$2:$K$101,MATCH(TRIM(B219&amp;""),코드표!$J$2:$J$101,0)),"⚠"&amp;TRIM(B219&amp;"")))</f>
        <v/>
      </c>
      <c r="S219" s="10">
        <f>IF(TRIM(K219&amp;"")="","",IFERROR(INDEX(코드표!$K$2:$K$101,MATCH(TRIM(K219&amp;""),코드표!$J$2:$J$101,0)),"⚠"&amp;TRIM(K219&amp;"")))</f>
        <v/>
      </c>
      <c r="T219" s="10">
        <f>IF(TRIM(M219&amp;"")="","",IF(ISNUMBER(MATCH(TRIM(M219&amp;""),코드표!$C$2:$C$11,0)),TRIM(M219&amp;""),"⚠"&amp;TRIM(M219&amp;"")))</f>
        <v/>
      </c>
      <c r="U219" s="10">
        <f>IF(TRIM(L219&amp;"")="","",IFERROR(INDEX(코드표!$G$2:$G$101,MATCH(TRIM(L219&amp;""),코드표!$F$2:$F$101,0)),"⚠"&amp;TRIM(L219&amp;"")))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IF(ISNUMBER(H219),MAX(0,MIN(IF(ISNUMBER(I219),I219,EOMONTH(요약!$B$3,0)),EOMONTH(요약!$B$3,0))-MAX(H219,요약!$B$3)+1),0)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IF(AND(ISNUMBER(AB219),ISNUMBER(AC219)),MAX(0,MIN(AC219,EOMONTH(요약!$B$3,0))-MAX(AB219,요약!$B$3)+1),0)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IF(TRIM(B220&amp;"")="","",IFERROR(INDEX(코드표!$K$2:$K$101,MATCH(TRIM(B220&amp;""),코드표!$J$2:$J$101,0)),"⚠"&amp;TRIM(B220&amp;"")))</f>
        <v/>
      </c>
      <c r="S220" s="10">
        <f>IF(TRIM(K220&amp;"")="","",IFERROR(INDEX(코드표!$K$2:$K$101,MATCH(TRIM(K220&amp;""),코드표!$J$2:$J$101,0)),"⚠"&amp;TRIM(K220&amp;"")))</f>
        <v/>
      </c>
      <c r="T220" s="10">
        <f>IF(TRIM(M220&amp;"")="","",IF(ISNUMBER(MATCH(TRIM(M220&amp;""),코드표!$C$2:$C$11,0)),TRIM(M220&amp;""),"⚠"&amp;TRIM(M220&amp;"")))</f>
        <v/>
      </c>
      <c r="U220" s="10">
        <f>IF(TRIM(L220&amp;"")="","",IFERROR(INDEX(코드표!$G$2:$G$101,MATCH(TRIM(L220&amp;""),코드표!$F$2:$F$101,0)),"⚠"&amp;TRIM(L220&amp;"")))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IF(ISNUMBER(H220),MAX(0,MIN(IF(ISNUMBER(I220),I220,EOMONTH(요약!$B$3,0)),EOMONTH(요약!$B$3,0))-MAX(H220,요약!$B$3)+1),0)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IF(AND(ISNUMBER(AB220),ISNUMBER(AC220)),MAX(0,MIN(AC220,EOMONTH(요약!$B$3,0))-MAX(AB220,요약!$B$3)+1),0)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IF(TRIM(B221&amp;"")="","",IFERROR(INDEX(코드표!$K$2:$K$101,MATCH(TRIM(B221&amp;""),코드표!$J$2:$J$101,0)),"⚠"&amp;TRIM(B221&amp;"")))</f>
        <v/>
      </c>
      <c r="S221" s="10">
        <f>IF(TRIM(K221&amp;"")="","",IFERROR(INDEX(코드표!$K$2:$K$101,MATCH(TRIM(K221&amp;""),코드표!$J$2:$J$101,0)),"⚠"&amp;TRIM(K221&amp;"")))</f>
        <v/>
      </c>
      <c r="T221" s="10">
        <f>IF(TRIM(M221&amp;"")="","",IF(ISNUMBER(MATCH(TRIM(M221&amp;""),코드표!$C$2:$C$11,0)),TRIM(M221&amp;""),"⚠"&amp;TRIM(M221&amp;"")))</f>
        <v/>
      </c>
      <c r="U221" s="10">
        <f>IF(TRIM(L221&amp;"")="","",IFERROR(INDEX(코드표!$G$2:$G$101,MATCH(TRIM(L221&amp;""),코드표!$F$2:$F$101,0)),"⚠"&amp;TRIM(L221&amp;"")))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IF(ISNUMBER(H221),MAX(0,MIN(IF(ISNUMBER(I221),I221,EOMONTH(요약!$B$3,0)),EOMONTH(요약!$B$3,0))-MAX(H221,요약!$B$3)+1),0)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IF(AND(ISNUMBER(AB221),ISNUMBER(AC221)),MAX(0,MIN(AC221,EOMONTH(요약!$B$3,0))-MAX(AB221,요약!$B$3)+1),0)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IF(TRIM(B222&amp;"")="","",IFERROR(INDEX(코드표!$K$2:$K$101,MATCH(TRIM(B222&amp;""),코드표!$J$2:$J$101,0)),"⚠"&amp;TRIM(B222&amp;"")))</f>
        <v/>
      </c>
      <c r="S222" s="10">
        <f>IF(TRIM(K222&amp;"")="","",IFERROR(INDEX(코드표!$K$2:$K$101,MATCH(TRIM(K222&amp;""),코드표!$J$2:$J$101,0)),"⚠"&amp;TRIM(K222&amp;"")))</f>
        <v/>
      </c>
      <c r="T222" s="10">
        <f>IF(TRIM(M222&amp;"")="","",IF(ISNUMBER(MATCH(TRIM(M222&amp;""),코드표!$C$2:$C$11,0)),TRIM(M222&amp;""),"⚠"&amp;TRIM(M222&amp;"")))</f>
        <v/>
      </c>
      <c r="U222" s="10">
        <f>IF(TRIM(L222&amp;"")="","",IFERROR(INDEX(코드표!$G$2:$G$101,MATCH(TRIM(L222&amp;""),코드표!$F$2:$F$101,0)),"⚠"&amp;TRIM(L222&amp;"")))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IF(ISNUMBER(H222),MAX(0,MIN(IF(ISNUMBER(I222),I222,EOMONTH(요약!$B$3,0)),EOMONTH(요약!$B$3,0))-MAX(H222,요약!$B$3)+1),0)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IF(AND(ISNUMBER(AB222),ISNUMBER(AC222)),MAX(0,MIN(AC222,EOMONTH(요약!$B$3,0))-MAX(AB222,요약!$B$3)+1),0)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IF(TRIM(B223&amp;"")="","",IFERROR(INDEX(코드표!$K$2:$K$101,MATCH(TRIM(B223&amp;""),코드표!$J$2:$J$101,0)),"⚠"&amp;TRIM(B223&amp;"")))</f>
        <v/>
      </c>
      <c r="S223" s="10">
        <f>IF(TRIM(K223&amp;"")="","",IFERROR(INDEX(코드표!$K$2:$K$101,MATCH(TRIM(K223&amp;""),코드표!$J$2:$J$101,0)),"⚠"&amp;TRIM(K223&amp;"")))</f>
        <v/>
      </c>
      <c r="T223" s="10">
        <f>IF(TRIM(M223&amp;"")="","",IF(ISNUMBER(MATCH(TRIM(M223&amp;""),코드표!$C$2:$C$11,0)),TRIM(M223&amp;""),"⚠"&amp;TRIM(M223&amp;"")))</f>
        <v/>
      </c>
      <c r="U223" s="10">
        <f>IF(TRIM(L223&amp;"")="","",IFERROR(INDEX(코드표!$G$2:$G$101,MATCH(TRIM(L223&amp;""),코드표!$F$2:$F$101,0)),"⚠"&amp;TRIM(L223&amp;"")))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IF(ISNUMBER(H223),MAX(0,MIN(IF(ISNUMBER(I223),I223,EOMONTH(요약!$B$3,0)),EOMONTH(요약!$B$3,0))-MAX(H223,요약!$B$3)+1),0)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IF(AND(ISNUMBER(AB223),ISNUMBER(AC223)),MAX(0,MIN(AC223,EOMONTH(요약!$B$3,0))-MAX(AB223,요약!$B$3)+1),0)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IF(TRIM(B224&amp;"")="","",IFERROR(INDEX(코드표!$K$2:$K$101,MATCH(TRIM(B224&amp;""),코드표!$J$2:$J$101,0)),"⚠"&amp;TRIM(B224&amp;"")))</f>
        <v/>
      </c>
      <c r="S224" s="10">
        <f>IF(TRIM(K224&amp;"")="","",IFERROR(INDEX(코드표!$K$2:$K$101,MATCH(TRIM(K224&amp;""),코드표!$J$2:$J$101,0)),"⚠"&amp;TRIM(K224&amp;"")))</f>
        <v/>
      </c>
      <c r="T224" s="10">
        <f>IF(TRIM(M224&amp;"")="","",IF(ISNUMBER(MATCH(TRIM(M224&amp;""),코드표!$C$2:$C$11,0)),TRIM(M224&amp;""),"⚠"&amp;TRIM(M224&amp;"")))</f>
        <v/>
      </c>
      <c r="U224" s="10">
        <f>IF(TRIM(L224&amp;"")="","",IFERROR(INDEX(코드표!$G$2:$G$101,MATCH(TRIM(L224&amp;""),코드표!$F$2:$F$101,0)),"⚠"&amp;TRIM(L224&amp;"")))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IF(ISNUMBER(H224),MAX(0,MIN(IF(ISNUMBER(I224),I224,EOMONTH(요약!$B$3,0)),EOMONTH(요약!$B$3,0))-MAX(H224,요약!$B$3)+1),0)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IF(AND(ISNUMBER(AB224),ISNUMBER(AC224)),MAX(0,MIN(AC224,EOMONTH(요약!$B$3,0))-MAX(AB224,요약!$B$3)+1),0)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IF(TRIM(B225&amp;"")="","",IFERROR(INDEX(코드표!$K$2:$K$101,MATCH(TRIM(B225&amp;""),코드표!$J$2:$J$101,0)),"⚠"&amp;TRIM(B225&amp;"")))</f>
        <v/>
      </c>
      <c r="S225" s="10">
        <f>IF(TRIM(K225&amp;"")="","",IFERROR(INDEX(코드표!$K$2:$K$101,MATCH(TRIM(K225&amp;""),코드표!$J$2:$J$101,0)),"⚠"&amp;TRIM(K225&amp;"")))</f>
        <v/>
      </c>
      <c r="T225" s="10">
        <f>IF(TRIM(M225&amp;"")="","",IF(ISNUMBER(MATCH(TRIM(M225&amp;""),코드표!$C$2:$C$11,0)),TRIM(M225&amp;""),"⚠"&amp;TRIM(M225&amp;"")))</f>
        <v/>
      </c>
      <c r="U225" s="10">
        <f>IF(TRIM(L225&amp;"")="","",IFERROR(INDEX(코드표!$G$2:$G$101,MATCH(TRIM(L225&amp;""),코드표!$F$2:$F$101,0)),"⚠"&amp;TRIM(L225&amp;"")))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IF(ISNUMBER(H225),MAX(0,MIN(IF(ISNUMBER(I225),I225,EOMONTH(요약!$B$3,0)),EOMONTH(요약!$B$3,0))-MAX(H225,요약!$B$3)+1),0)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IF(AND(ISNUMBER(AB225),ISNUMBER(AC225)),MAX(0,MIN(AC225,EOMONTH(요약!$B$3,0))-MAX(AB225,요약!$B$3)+1),0)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IF(TRIM(B226&amp;"")="","",IFERROR(INDEX(코드표!$K$2:$K$101,MATCH(TRIM(B226&amp;""),코드표!$J$2:$J$101,0)),"⚠"&amp;TRIM(B226&amp;"")))</f>
        <v/>
      </c>
      <c r="S226" s="10">
        <f>IF(TRIM(K226&amp;"")="","",IFERROR(INDEX(코드표!$K$2:$K$101,MATCH(TRIM(K226&amp;""),코드표!$J$2:$J$101,0)),"⚠"&amp;TRIM(K226&amp;"")))</f>
        <v/>
      </c>
      <c r="T226" s="10">
        <f>IF(TRIM(M226&amp;"")="","",IF(ISNUMBER(MATCH(TRIM(M226&amp;""),코드표!$C$2:$C$11,0)),TRIM(M226&amp;""),"⚠"&amp;TRIM(M226&amp;"")))</f>
        <v/>
      </c>
      <c r="U226" s="10">
        <f>IF(TRIM(L226&amp;"")="","",IFERROR(INDEX(코드표!$G$2:$G$101,MATCH(TRIM(L226&amp;""),코드표!$F$2:$F$101,0)),"⚠"&amp;TRIM(L226&amp;"")))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IF(ISNUMBER(H226),MAX(0,MIN(IF(ISNUMBER(I226),I226,EOMONTH(요약!$B$3,0)),EOMONTH(요약!$B$3,0))-MAX(H226,요약!$B$3)+1),0)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IF(AND(ISNUMBER(AB226),ISNUMBER(AC226)),MAX(0,MIN(AC226,EOMONTH(요약!$B$3,0))-MAX(AB226,요약!$B$3)+1),0)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IF(TRIM(B227&amp;"")="","",IFERROR(INDEX(코드표!$K$2:$K$101,MATCH(TRIM(B227&amp;""),코드표!$J$2:$J$101,0)),"⚠"&amp;TRIM(B227&amp;"")))</f>
        <v/>
      </c>
      <c r="S227" s="10">
        <f>IF(TRIM(K227&amp;"")="","",IFERROR(INDEX(코드표!$K$2:$K$101,MATCH(TRIM(K227&amp;""),코드표!$J$2:$J$101,0)),"⚠"&amp;TRIM(K227&amp;"")))</f>
        <v/>
      </c>
      <c r="T227" s="10">
        <f>IF(TRIM(M227&amp;"")="","",IF(ISNUMBER(MATCH(TRIM(M227&amp;""),코드표!$C$2:$C$11,0)),TRIM(M227&amp;""),"⚠"&amp;TRIM(M227&amp;"")))</f>
        <v/>
      </c>
      <c r="U227" s="10">
        <f>IF(TRIM(L227&amp;"")="","",IFERROR(INDEX(코드표!$G$2:$G$101,MATCH(TRIM(L227&amp;""),코드표!$F$2:$F$101,0)),"⚠"&amp;TRIM(L227&amp;"")))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IF(ISNUMBER(H227),MAX(0,MIN(IF(ISNUMBER(I227),I227,EOMONTH(요약!$B$3,0)),EOMONTH(요약!$B$3,0))-MAX(H227,요약!$B$3)+1),0)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IF(AND(ISNUMBER(AB227),ISNUMBER(AC227)),MAX(0,MIN(AC227,EOMONTH(요약!$B$3,0))-MAX(AB227,요약!$B$3)+1),0)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IF(TRIM(B228&amp;"")="","",IFERROR(INDEX(코드표!$K$2:$K$101,MATCH(TRIM(B228&amp;""),코드표!$J$2:$J$101,0)),"⚠"&amp;TRIM(B228&amp;"")))</f>
        <v/>
      </c>
      <c r="S228" s="10">
        <f>IF(TRIM(K228&amp;"")="","",IFERROR(INDEX(코드표!$K$2:$K$101,MATCH(TRIM(K228&amp;""),코드표!$J$2:$J$101,0)),"⚠"&amp;TRIM(K228&amp;"")))</f>
        <v/>
      </c>
      <c r="T228" s="10">
        <f>IF(TRIM(M228&amp;"")="","",IF(ISNUMBER(MATCH(TRIM(M228&amp;""),코드표!$C$2:$C$11,0)),TRIM(M228&amp;""),"⚠"&amp;TRIM(M228&amp;"")))</f>
        <v/>
      </c>
      <c r="U228" s="10">
        <f>IF(TRIM(L228&amp;"")="","",IFERROR(INDEX(코드표!$G$2:$G$101,MATCH(TRIM(L228&amp;""),코드표!$F$2:$F$101,0)),"⚠"&amp;TRIM(L228&amp;"")))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IF(ISNUMBER(H228),MAX(0,MIN(IF(ISNUMBER(I228),I228,EOMONTH(요약!$B$3,0)),EOMONTH(요약!$B$3,0))-MAX(H228,요약!$B$3)+1),0)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IF(AND(ISNUMBER(AB228),ISNUMBER(AC228)),MAX(0,MIN(AC228,EOMONTH(요약!$B$3,0))-MAX(AB228,요약!$B$3)+1),0)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IF(TRIM(B229&amp;"")="","",IFERROR(INDEX(코드표!$K$2:$K$101,MATCH(TRIM(B229&amp;""),코드표!$J$2:$J$101,0)),"⚠"&amp;TRIM(B229&amp;"")))</f>
        <v/>
      </c>
      <c r="S229" s="10">
        <f>IF(TRIM(K229&amp;"")="","",IFERROR(INDEX(코드표!$K$2:$K$101,MATCH(TRIM(K229&amp;""),코드표!$J$2:$J$101,0)),"⚠"&amp;TRIM(K229&amp;"")))</f>
        <v/>
      </c>
      <c r="T229" s="10">
        <f>IF(TRIM(M229&amp;"")="","",IF(ISNUMBER(MATCH(TRIM(M229&amp;""),코드표!$C$2:$C$11,0)),TRIM(M229&amp;""),"⚠"&amp;TRIM(M229&amp;"")))</f>
        <v/>
      </c>
      <c r="U229" s="10">
        <f>IF(TRIM(L229&amp;"")="","",IFERROR(INDEX(코드표!$G$2:$G$101,MATCH(TRIM(L229&amp;""),코드표!$F$2:$F$101,0)),"⚠"&amp;TRIM(L229&amp;"")))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IF(ISNUMBER(H229),MAX(0,MIN(IF(ISNUMBER(I229),I229,EOMONTH(요약!$B$3,0)),EOMONTH(요약!$B$3,0))-MAX(H229,요약!$B$3)+1),0)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IF(AND(ISNUMBER(AB229),ISNUMBER(AC229)),MAX(0,MIN(AC229,EOMONTH(요약!$B$3,0))-MAX(AB229,요약!$B$3)+1),0)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IF(TRIM(B230&amp;"")="","",IFERROR(INDEX(코드표!$K$2:$K$101,MATCH(TRIM(B230&amp;""),코드표!$J$2:$J$101,0)),"⚠"&amp;TRIM(B230&amp;"")))</f>
        <v/>
      </c>
      <c r="S230" s="10">
        <f>IF(TRIM(K230&amp;"")="","",IFERROR(INDEX(코드표!$K$2:$K$101,MATCH(TRIM(K230&amp;""),코드표!$J$2:$J$101,0)),"⚠"&amp;TRIM(K230&amp;"")))</f>
        <v/>
      </c>
      <c r="T230" s="10">
        <f>IF(TRIM(M230&amp;"")="","",IF(ISNUMBER(MATCH(TRIM(M230&amp;""),코드표!$C$2:$C$11,0)),TRIM(M230&amp;""),"⚠"&amp;TRIM(M230&amp;"")))</f>
        <v/>
      </c>
      <c r="U230" s="10">
        <f>IF(TRIM(L230&amp;"")="","",IFERROR(INDEX(코드표!$G$2:$G$101,MATCH(TRIM(L230&amp;""),코드표!$F$2:$F$101,0)),"⚠"&amp;TRIM(L230&amp;"")))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IF(ISNUMBER(H230),MAX(0,MIN(IF(ISNUMBER(I230),I230,EOMONTH(요약!$B$3,0)),EOMONTH(요약!$B$3,0))-MAX(H230,요약!$B$3)+1),0)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IF(AND(ISNUMBER(AB230),ISNUMBER(AC230)),MAX(0,MIN(AC230,EOMONTH(요약!$B$3,0))-MAX(AB230,요약!$B$3)+1),0)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IF(TRIM(B231&amp;"")="","",IFERROR(INDEX(코드표!$K$2:$K$101,MATCH(TRIM(B231&amp;""),코드표!$J$2:$J$101,0)),"⚠"&amp;TRIM(B231&amp;"")))</f>
        <v/>
      </c>
      <c r="S231" s="10">
        <f>IF(TRIM(K231&amp;"")="","",IFERROR(INDEX(코드표!$K$2:$K$101,MATCH(TRIM(K231&amp;""),코드표!$J$2:$J$101,0)),"⚠"&amp;TRIM(K231&amp;"")))</f>
        <v/>
      </c>
      <c r="T231" s="10">
        <f>IF(TRIM(M231&amp;"")="","",IF(ISNUMBER(MATCH(TRIM(M231&amp;""),코드표!$C$2:$C$11,0)),TRIM(M231&amp;""),"⚠"&amp;TRIM(M231&amp;"")))</f>
        <v/>
      </c>
      <c r="U231" s="10">
        <f>IF(TRIM(L231&amp;"")="","",IFERROR(INDEX(코드표!$G$2:$G$101,MATCH(TRIM(L231&amp;""),코드표!$F$2:$F$101,0)),"⚠"&amp;TRIM(L231&amp;"")))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IF(ISNUMBER(H231),MAX(0,MIN(IF(ISNUMBER(I231),I231,EOMONTH(요약!$B$3,0)),EOMONTH(요약!$B$3,0))-MAX(H231,요약!$B$3)+1),0)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IF(AND(ISNUMBER(AB231),ISNUMBER(AC231)),MAX(0,MIN(AC231,EOMONTH(요약!$B$3,0))-MAX(AB231,요약!$B$3)+1),0)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IF(TRIM(B232&amp;"")="","",IFERROR(INDEX(코드표!$K$2:$K$101,MATCH(TRIM(B232&amp;""),코드표!$J$2:$J$101,0)),"⚠"&amp;TRIM(B232&amp;"")))</f>
        <v/>
      </c>
      <c r="S232" s="10">
        <f>IF(TRIM(K232&amp;"")="","",IFERROR(INDEX(코드표!$K$2:$K$101,MATCH(TRIM(K232&amp;""),코드표!$J$2:$J$101,0)),"⚠"&amp;TRIM(K232&amp;"")))</f>
        <v/>
      </c>
      <c r="T232" s="10">
        <f>IF(TRIM(M232&amp;"")="","",IF(ISNUMBER(MATCH(TRIM(M232&amp;""),코드표!$C$2:$C$11,0)),TRIM(M232&amp;""),"⚠"&amp;TRIM(M232&amp;"")))</f>
        <v/>
      </c>
      <c r="U232" s="10">
        <f>IF(TRIM(L232&amp;"")="","",IFERROR(INDEX(코드표!$G$2:$G$101,MATCH(TRIM(L232&amp;""),코드표!$F$2:$F$101,0)),"⚠"&amp;TRIM(L232&amp;"")))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IF(ISNUMBER(H232),MAX(0,MIN(IF(ISNUMBER(I232),I232,EOMONTH(요약!$B$3,0)),EOMONTH(요약!$B$3,0))-MAX(H232,요약!$B$3)+1),0)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IF(AND(ISNUMBER(AB232),ISNUMBER(AC232)),MAX(0,MIN(AC232,EOMONTH(요약!$B$3,0))-MAX(AB232,요약!$B$3)+1),0)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IF(TRIM(B233&amp;"")="","",IFERROR(INDEX(코드표!$K$2:$K$101,MATCH(TRIM(B233&amp;""),코드표!$J$2:$J$101,0)),"⚠"&amp;TRIM(B233&amp;"")))</f>
        <v/>
      </c>
      <c r="S233" s="10">
        <f>IF(TRIM(K233&amp;"")="","",IFERROR(INDEX(코드표!$K$2:$K$101,MATCH(TRIM(K233&amp;""),코드표!$J$2:$J$101,0)),"⚠"&amp;TRIM(K233&amp;"")))</f>
        <v/>
      </c>
      <c r="T233" s="10">
        <f>IF(TRIM(M233&amp;"")="","",IF(ISNUMBER(MATCH(TRIM(M233&amp;""),코드표!$C$2:$C$11,0)),TRIM(M233&amp;""),"⚠"&amp;TRIM(M233&amp;"")))</f>
        <v/>
      </c>
      <c r="U233" s="10">
        <f>IF(TRIM(L233&amp;"")="","",IFERROR(INDEX(코드표!$G$2:$G$101,MATCH(TRIM(L233&amp;""),코드표!$F$2:$F$101,0)),"⚠"&amp;TRIM(L233&amp;"")))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IF(ISNUMBER(H233),MAX(0,MIN(IF(ISNUMBER(I233),I233,EOMONTH(요약!$B$3,0)),EOMONTH(요약!$B$3,0))-MAX(H233,요약!$B$3)+1),0)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IF(AND(ISNUMBER(AB233),ISNUMBER(AC233)),MAX(0,MIN(AC233,EOMONTH(요약!$B$3,0))-MAX(AB233,요약!$B$3)+1),0)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IF(TRIM(B234&amp;"")="","",IFERROR(INDEX(코드표!$K$2:$K$101,MATCH(TRIM(B234&amp;""),코드표!$J$2:$J$101,0)),"⚠"&amp;TRIM(B234&amp;"")))</f>
        <v/>
      </c>
      <c r="S234" s="10">
        <f>IF(TRIM(K234&amp;"")="","",IFERROR(INDEX(코드표!$K$2:$K$101,MATCH(TRIM(K234&amp;""),코드표!$J$2:$J$101,0)),"⚠"&amp;TRIM(K234&amp;"")))</f>
        <v/>
      </c>
      <c r="T234" s="10">
        <f>IF(TRIM(M234&amp;"")="","",IF(ISNUMBER(MATCH(TRIM(M234&amp;""),코드표!$C$2:$C$11,0)),TRIM(M234&amp;""),"⚠"&amp;TRIM(M234&amp;"")))</f>
        <v/>
      </c>
      <c r="U234" s="10">
        <f>IF(TRIM(L234&amp;"")="","",IFERROR(INDEX(코드표!$G$2:$G$101,MATCH(TRIM(L234&amp;""),코드표!$F$2:$F$101,0)),"⚠"&amp;TRIM(L234&amp;"")))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IF(ISNUMBER(H234),MAX(0,MIN(IF(ISNUMBER(I234),I234,EOMONTH(요약!$B$3,0)),EOMONTH(요약!$B$3,0))-MAX(H234,요약!$B$3)+1),0)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IF(AND(ISNUMBER(AB234),ISNUMBER(AC234)),MAX(0,MIN(AC234,EOMONTH(요약!$B$3,0))-MAX(AB234,요약!$B$3)+1),0)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IF(TRIM(B235&amp;"")="","",IFERROR(INDEX(코드표!$K$2:$K$101,MATCH(TRIM(B235&amp;""),코드표!$J$2:$J$101,0)),"⚠"&amp;TRIM(B235&amp;"")))</f>
        <v/>
      </c>
      <c r="S235" s="10">
        <f>IF(TRIM(K235&amp;"")="","",IFERROR(INDEX(코드표!$K$2:$K$101,MATCH(TRIM(K235&amp;""),코드표!$J$2:$J$101,0)),"⚠"&amp;TRIM(K235&amp;"")))</f>
        <v/>
      </c>
      <c r="T235" s="10">
        <f>IF(TRIM(M235&amp;"")="","",IF(ISNUMBER(MATCH(TRIM(M235&amp;""),코드표!$C$2:$C$11,0)),TRIM(M235&amp;""),"⚠"&amp;TRIM(M235&amp;"")))</f>
        <v/>
      </c>
      <c r="U235" s="10">
        <f>IF(TRIM(L235&amp;"")="","",IFERROR(INDEX(코드표!$G$2:$G$101,MATCH(TRIM(L235&amp;""),코드표!$F$2:$F$101,0)),"⚠"&amp;TRIM(L235&amp;"")))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IF(ISNUMBER(H235),MAX(0,MIN(IF(ISNUMBER(I235),I235,EOMONTH(요약!$B$3,0)),EOMONTH(요약!$B$3,0))-MAX(H235,요약!$B$3)+1),0)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IF(AND(ISNUMBER(AB235),ISNUMBER(AC235)),MAX(0,MIN(AC235,EOMONTH(요약!$B$3,0))-MAX(AB235,요약!$B$3)+1),0)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IF(TRIM(B236&amp;"")="","",IFERROR(INDEX(코드표!$K$2:$K$101,MATCH(TRIM(B236&amp;""),코드표!$J$2:$J$101,0)),"⚠"&amp;TRIM(B236&amp;"")))</f>
        <v/>
      </c>
      <c r="S236" s="10">
        <f>IF(TRIM(K236&amp;"")="","",IFERROR(INDEX(코드표!$K$2:$K$101,MATCH(TRIM(K236&amp;""),코드표!$J$2:$J$101,0)),"⚠"&amp;TRIM(K236&amp;"")))</f>
        <v/>
      </c>
      <c r="T236" s="10">
        <f>IF(TRIM(M236&amp;"")="","",IF(ISNUMBER(MATCH(TRIM(M236&amp;""),코드표!$C$2:$C$11,0)),TRIM(M236&amp;""),"⚠"&amp;TRIM(M236&amp;"")))</f>
        <v/>
      </c>
      <c r="U236" s="10">
        <f>IF(TRIM(L236&amp;"")="","",IFERROR(INDEX(코드표!$G$2:$G$101,MATCH(TRIM(L236&amp;""),코드표!$F$2:$F$101,0)),"⚠"&amp;TRIM(L236&amp;"")))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IF(ISNUMBER(H236),MAX(0,MIN(IF(ISNUMBER(I236),I236,EOMONTH(요약!$B$3,0)),EOMONTH(요약!$B$3,0))-MAX(H236,요약!$B$3)+1),0)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IF(AND(ISNUMBER(AB236),ISNUMBER(AC236)),MAX(0,MIN(AC236,EOMONTH(요약!$B$3,0))-MAX(AB236,요약!$B$3)+1),0)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IF(TRIM(B237&amp;"")="","",IFERROR(INDEX(코드표!$K$2:$K$101,MATCH(TRIM(B237&amp;""),코드표!$J$2:$J$101,0)),"⚠"&amp;TRIM(B237&amp;"")))</f>
        <v/>
      </c>
      <c r="S237" s="10">
        <f>IF(TRIM(K237&amp;"")="","",IFERROR(INDEX(코드표!$K$2:$K$101,MATCH(TRIM(K237&amp;""),코드표!$J$2:$J$101,0)),"⚠"&amp;TRIM(K237&amp;"")))</f>
        <v/>
      </c>
      <c r="T237" s="10">
        <f>IF(TRIM(M237&amp;"")="","",IF(ISNUMBER(MATCH(TRIM(M237&amp;""),코드표!$C$2:$C$11,0)),TRIM(M237&amp;""),"⚠"&amp;TRIM(M237&amp;"")))</f>
        <v/>
      </c>
      <c r="U237" s="10">
        <f>IF(TRIM(L237&amp;"")="","",IFERROR(INDEX(코드표!$G$2:$G$101,MATCH(TRIM(L237&amp;""),코드표!$F$2:$F$101,0)),"⚠"&amp;TRIM(L237&amp;"")))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IF(ISNUMBER(H237),MAX(0,MIN(IF(ISNUMBER(I237),I237,EOMONTH(요약!$B$3,0)),EOMONTH(요약!$B$3,0))-MAX(H237,요약!$B$3)+1),0)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IF(AND(ISNUMBER(AB237),ISNUMBER(AC237)),MAX(0,MIN(AC237,EOMONTH(요약!$B$3,0))-MAX(AB237,요약!$B$3)+1),0)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IF(TRIM(B238&amp;"")="","",IFERROR(INDEX(코드표!$K$2:$K$101,MATCH(TRIM(B238&amp;""),코드표!$J$2:$J$101,0)),"⚠"&amp;TRIM(B238&amp;"")))</f>
        <v/>
      </c>
      <c r="S238" s="10">
        <f>IF(TRIM(K238&amp;"")="","",IFERROR(INDEX(코드표!$K$2:$K$101,MATCH(TRIM(K238&amp;""),코드표!$J$2:$J$101,0)),"⚠"&amp;TRIM(K238&amp;"")))</f>
        <v/>
      </c>
      <c r="T238" s="10">
        <f>IF(TRIM(M238&amp;"")="","",IF(ISNUMBER(MATCH(TRIM(M238&amp;""),코드표!$C$2:$C$11,0)),TRIM(M238&amp;""),"⚠"&amp;TRIM(M238&amp;"")))</f>
        <v/>
      </c>
      <c r="U238" s="10">
        <f>IF(TRIM(L238&amp;"")="","",IFERROR(INDEX(코드표!$G$2:$G$101,MATCH(TRIM(L238&amp;""),코드표!$F$2:$F$101,0)),"⚠"&amp;TRIM(L238&amp;"")))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IF(ISNUMBER(H238),MAX(0,MIN(IF(ISNUMBER(I238),I238,EOMONTH(요약!$B$3,0)),EOMONTH(요약!$B$3,0))-MAX(H238,요약!$B$3)+1),0)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IF(AND(ISNUMBER(AB238),ISNUMBER(AC238)),MAX(0,MIN(AC238,EOMONTH(요약!$B$3,0))-MAX(AB238,요약!$B$3)+1),0)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IF(TRIM(B239&amp;"")="","",IFERROR(INDEX(코드표!$K$2:$K$101,MATCH(TRIM(B239&amp;""),코드표!$J$2:$J$101,0)),"⚠"&amp;TRIM(B239&amp;"")))</f>
        <v/>
      </c>
      <c r="S239" s="10">
        <f>IF(TRIM(K239&amp;"")="","",IFERROR(INDEX(코드표!$K$2:$K$101,MATCH(TRIM(K239&amp;""),코드표!$J$2:$J$101,0)),"⚠"&amp;TRIM(K239&amp;"")))</f>
        <v/>
      </c>
      <c r="T239" s="10">
        <f>IF(TRIM(M239&amp;"")="","",IF(ISNUMBER(MATCH(TRIM(M239&amp;""),코드표!$C$2:$C$11,0)),TRIM(M239&amp;""),"⚠"&amp;TRIM(M239&amp;"")))</f>
        <v/>
      </c>
      <c r="U239" s="10">
        <f>IF(TRIM(L239&amp;"")="","",IFERROR(INDEX(코드표!$G$2:$G$101,MATCH(TRIM(L239&amp;""),코드표!$F$2:$F$101,0)),"⚠"&amp;TRIM(L239&amp;"")))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IF(ISNUMBER(H239),MAX(0,MIN(IF(ISNUMBER(I239),I239,EOMONTH(요약!$B$3,0)),EOMONTH(요약!$B$3,0))-MAX(H239,요약!$B$3)+1),0)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IF(AND(ISNUMBER(AB239),ISNUMBER(AC239)),MAX(0,MIN(AC239,EOMONTH(요약!$B$3,0))-MAX(AB239,요약!$B$3)+1),0)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IF(TRIM(B240&amp;"")="","",IFERROR(INDEX(코드표!$K$2:$K$101,MATCH(TRIM(B240&amp;""),코드표!$J$2:$J$101,0)),"⚠"&amp;TRIM(B240&amp;"")))</f>
        <v/>
      </c>
      <c r="S240" s="10">
        <f>IF(TRIM(K240&amp;"")="","",IFERROR(INDEX(코드표!$K$2:$K$101,MATCH(TRIM(K240&amp;""),코드표!$J$2:$J$101,0)),"⚠"&amp;TRIM(K240&amp;"")))</f>
        <v/>
      </c>
      <c r="T240" s="10">
        <f>IF(TRIM(M240&amp;"")="","",IF(ISNUMBER(MATCH(TRIM(M240&amp;""),코드표!$C$2:$C$11,0)),TRIM(M240&amp;""),"⚠"&amp;TRIM(M240&amp;"")))</f>
        <v/>
      </c>
      <c r="U240" s="10">
        <f>IF(TRIM(L240&amp;"")="","",IFERROR(INDEX(코드표!$G$2:$G$101,MATCH(TRIM(L240&amp;""),코드표!$F$2:$F$101,0)),"⚠"&amp;TRIM(L240&amp;"")))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IF(ISNUMBER(H240),MAX(0,MIN(IF(ISNUMBER(I240),I240,EOMONTH(요약!$B$3,0)),EOMONTH(요약!$B$3,0))-MAX(H240,요약!$B$3)+1),0)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IF(AND(ISNUMBER(AB240),ISNUMBER(AC240)),MAX(0,MIN(AC240,EOMONTH(요약!$B$3,0))-MAX(AB240,요약!$B$3)+1),0)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IF(TRIM(B241&amp;"")="","",IFERROR(INDEX(코드표!$K$2:$K$101,MATCH(TRIM(B241&amp;""),코드표!$J$2:$J$101,0)),"⚠"&amp;TRIM(B241&amp;"")))</f>
        <v/>
      </c>
      <c r="S241" s="10">
        <f>IF(TRIM(K241&amp;"")="","",IFERROR(INDEX(코드표!$K$2:$K$101,MATCH(TRIM(K241&amp;""),코드표!$J$2:$J$101,0)),"⚠"&amp;TRIM(K241&amp;"")))</f>
        <v/>
      </c>
      <c r="T241" s="10">
        <f>IF(TRIM(M241&amp;"")="","",IF(ISNUMBER(MATCH(TRIM(M241&amp;""),코드표!$C$2:$C$11,0)),TRIM(M241&amp;""),"⚠"&amp;TRIM(M241&amp;"")))</f>
        <v/>
      </c>
      <c r="U241" s="10">
        <f>IF(TRIM(L241&amp;"")="","",IFERROR(INDEX(코드표!$G$2:$G$101,MATCH(TRIM(L241&amp;""),코드표!$F$2:$F$101,0)),"⚠"&amp;TRIM(L241&amp;"")))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IF(ISNUMBER(H241),MAX(0,MIN(IF(ISNUMBER(I241),I241,EOMONTH(요약!$B$3,0)),EOMONTH(요약!$B$3,0))-MAX(H241,요약!$B$3)+1),0)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IF(AND(ISNUMBER(AB241),ISNUMBER(AC241)),MAX(0,MIN(AC241,EOMONTH(요약!$B$3,0))-MAX(AB241,요약!$B$3)+1),0)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IF(TRIM(B242&amp;"")="","",IFERROR(INDEX(코드표!$K$2:$K$101,MATCH(TRIM(B242&amp;""),코드표!$J$2:$J$101,0)),"⚠"&amp;TRIM(B242&amp;"")))</f>
        <v/>
      </c>
      <c r="S242" s="10">
        <f>IF(TRIM(K242&amp;"")="","",IFERROR(INDEX(코드표!$K$2:$K$101,MATCH(TRIM(K242&amp;""),코드표!$J$2:$J$101,0)),"⚠"&amp;TRIM(K242&amp;"")))</f>
        <v/>
      </c>
      <c r="T242" s="10">
        <f>IF(TRIM(M242&amp;"")="","",IF(ISNUMBER(MATCH(TRIM(M242&amp;""),코드표!$C$2:$C$11,0)),TRIM(M242&amp;""),"⚠"&amp;TRIM(M242&amp;"")))</f>
        <v/>
      </c>
      <c r="U242" s="10">
        <f>IF(TRIM(L242&amp;"")="","",IFERROR(INDEX(코드표!$G$2:$G$101,MATCH(TRIM(L242&amp;""),코드표!$F$2:$F$101,0)),"⚠"&amp;TRIM(L242&amp;"")))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IF(ISNUMBER(H242),MAX(0,MIN(IF(ISNUMBER(I242),I242,EOMONTH(요약!$B$3,0)),EOMONTH(요약!$B$3,0))-MAX(H242,요약!$B$3)+1),0)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IF(AND(ISNUMBER(AB242),ISNUMBER(AC242)),MAX(0,MIN(AC242,EOMONTH(요약!$B$3,0))-MAX(AB242,요약!$B$3)+1),0)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IF(TRIM(B243&amp;"")="","",IFERROR(INDEX(코드표!$K$2:$K$101,MATCH(TRIM(B243&amp;""),코드표!$J$2:$J$101,0)),"⚠"&amp;TRIM(B243&amp;"")))</f>
        <v/>
      </c>
      <c r="S243" s="10">
        <f>IF(TRIM(K243&amp;"")="","",IFERROR(INDEX(코드표!$K$2:$K$101,MATCH(TRIM(K243&amp;""),코드표!$J$2:$J$101,0)),"⚠"&amp;TRIM(K243&amp;"")))</f>
        <v/>
      </c>
      <c r="T243" s="10">
        <f>IF(TRIM(M243&amp;"")="","",IF(ISNUMBER(MATCH(TRIM(M243&amp;""),코드표!$C$2:$C$11,0)),TRIM(M243&amp;""),"⚠"&amp;TRIM(M243&amp;"")))</f>
        <v/>
      </c>
      <c r="U243" s="10">
        <f>IF(TRIM(L243&amp;"")="","",IFERROR(INDEX(코드표!$G$2:$G$101,MATCH(TRIM(L243&amp;""),코드표!$F$2:$F$101,0)),"⚠"&amp;TRIM(L243&amp;"")))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IF(ISNUMBER(H243),MAX(0,MIN(IF(ISNUMBER(I243),I243,EOMONTH(요약!$B$3,0)),EOMONTH(요약!$B$3,0))-MAX(H243,요약!$B$3)+1),0)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IF(AND(ISNUMBER(AB243),ISNUMBER(AC243)),MAX(0,MIN(AC243,EOMONTH(요약!$B$3,0))-MAX(AB243,요약!$B$3)+1),0)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IF(TRIM(B244&amp;"")="","",IFERROR(INDEX(코드표!$K$2:$K$101,MATCH(TRIM(B244&amp;""),코드표!$J$2:$J$101,0)),"⚠"&amp;TRIM(B244&amp;"")))</f>
        <v/>
      </c>
      <c r="S244" s="10">
        <f>IF(TRIM(K244&amp;"")="","",IFERROR(INDEX(코드표!$K$2:$K$101,MATCH(TRIM(K244&amp;""),코드표!$J$2:$J$101,0)),"⚠"&amp;TRIM(K244&amp;"")))</f>
        <v/>
      </c>
      <c r="T244" s="10">
        <f>IF(TRIM(M244&amp;"")="","",IF(ISNUMBER(MATCH(TRIM(M244&amp;""),코드표!$C$2:$C$11,0)),TRIM(M244&amp;""),"⚠"&amp;TRIM(M244&amp;"")))</f>
        <v/>
      </c>
      <c r="U244" s="10">
        <f>IF(TRIM(L244&amp;"")="","",IFERROR(INDEX(코드표!$G$2:$G$101,MATCH(TRIM(L244&amp;""),코드표!$F$2:$F$101,0)),"⚠"&amp;TRIM(L244&amp;"")))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IF(ISNUMBER(H244),MAX(0,MIN(IF(ISNUMBER(I244),I244,EOMONTH(요약!$B$3,0)),EOMONTH(요약!$B$3,0))-MAX(H244,요약!$B$3)+1),0)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IF(AND(ISNUMBER(AB244),ISNUMBER(AC244)),MAX(0,MIN(AC244,EOMONTH(요약!$B$3,0))-MAX(AB244,요약!$B$3)+1),0)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IF(TRIM(B245&amp;"")="","",IFERROR(INDEX(코드표!$K$2:$K$101,MATCH(TRIM(B245&amp;""),코드표!$J$2:$J$101,0)),"⚠"&amp;TRIM(B245&amp;"")))</f>
        <v/>
      </c>
      <c r="S245" s="10">
        <f>IF(TRIM(K245&amp;"")="","",IFERROR(INDEX(코드표!$K$2:$K$101,MATCH(TRIM(K245&amp;""),코드표!$J$2:$J$101,0)),"⚠"&amp;TRIM(K245&amp;"")))</f>
        <v/>
      </c>
      <c r="T245" s="10">
        <f>IF(TRIM(M245&amp;"")="","",IF(ISNUMBER(MATCH(TRIM(M245&amp;""),코드표!$C$2:$C$11,0)),TRIM(M245&amp;""),"⚠"&amp;TRIM(M245&amp;"")))</f>
        <v/>
      </c>
      <c r="U245" s="10">
        <f>IF(TRIM(L245&amp;"")="","",IFERROR(INDEX(코드표!$G$2:$G$101,MATCH(TRIM(L245&amp;""),코드표!$F$2:$F$101,0)),"⚠"&amp;TRIM(L245&amp;"")))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IF(ISNUMBER(H245),MAX(0,MIN(IF(ISNUMBER(I245),I245,EOMONTH(요약!$B$3,0)),EOMONTH(요약!$B$3,0))-MAX(H245,요약!$B$3)+1),0)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IF(AND(ISNUMBER(AB245),ISNUMBER(AC245)),MAX(0,MIN(AC245,EOMONTH(요약!$B$3,0))-MAX(AB245,요약!$B$3)+1),0)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IF(TRIM(B246&amp;"")="","",IFERROR(INDEX(코드표!$K$2:$K$101,MATCH(TRIM(B246&amp;""),코드표!$J$2:$J$101,0)),"⚠"&amp;TRIM(B246&amp;"")))</f>
        <v/>
      </c>
      <c r="S246" s="10">
        <f>IF(TRIM(K246&amp;"")="","",IFERROR(INDEX(코드표!$K$2:$K$101,MATCH(TRIM(K246&amp;""),코드표!$J$2:$J$101,0)),"⚠"&amp;TRIM(K246&amp;"")))</f>
        <v/>
      </c>
      <c r="T246" s="10">
        <f>IF(TRIM(M246&amp;"")="","",IF(ISNUMBER(MATCH(TRIM(M246&amp;""),코드표!$C$2:$C$11,0)),TRIM(M246&amp;""),"⚠"&amp;TRIM(M246&amp;"")))</f>
        <v/>
      </c>
      <c r="U246" s="10">
        <f>IF(TRIM(L246&amp;"")="","",IFERROR(INDEX(코드표!$G$2:$G$101,MATCH(TRIM(L246&amp;""),코드표!$F$2:$F$101,0)),"⚠"&amp;TRIM(L246&amp;"")))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IF(ISNUMBER(H246),MAX(0,MIN(IF(ISNUMBER(I246),I246,EOMONTH(요약!$B$3,0)),EOMONTH(요약!$B$3,0))-MAX(H246,요약!$B$3)+1),0)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IF(AND(ISNUMBER(AB246),ISNUMBER(AC246)),MAX(0,MIN(AC246,EOMONTH(요약!$B$3,0))-MAX(AB246,요약!$B$3)+1),0)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IF(TRIM(B247&amp;"")="","",IFERROR(INDEX(코드표!$K$2:$K$101,MATCH(TRIM(B247&amp;""),코드표!$J$2:$J$101,0)),"⚠"&amp;TRIM(B247&amp;"")))</f>
        <v/>
      </c>
      <c r="S247" s="10">
        <f>IF(TRIM(K247&amp;"")="","",IFERROR(INDEX(코드표!$K$2:$K$101,MATCH(TRIM(K247&amp;""),코드표!$J$2:$J$101,0)),"⚠"&amp;TRIM(K247&amp;"")))</f>
        <v/>
      </c>
      <c r="T247" s="10">
        <f>IF(TRIM(M247&amp;"")="","",IF(ISNUMBER(MATCH(TRIM(M247&amp;""),코드표!$C$2:$C$11,0)),TRIM(M247&amp;""),"⚠"&amp;TRIM(M247&amp;"")))</f>
        <v/>
      </c>
      <c r="U247" s="10">
        <f>IF(TRIM(L247&amp;"")="","",IFERROR(INDEX(코드표!$G$2:$G$101,MATCH(TRIM(L247&amp;""),코드표!$F$2:$F$101,0)),"⚠"&amp;TRIM(L247&amp;"")))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IF(ISNUMBER(H247),MAX(0,MIN(IF(ISNUMBER(I247),I247,EOMONTH(요약!$B$3,0)),EOMONTH(요약!$B$3,0))-MAX(H247,요약!$B$3)+1),0)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IF(AND(ISNUMBER(AB247),ISNUMBER(AC247)),MAX(0,MIN(AC247,EOMONTH(요약!$B$3,0))-MAX(AB247,요약!$B$3)+1),0)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IF(TRIM(B248&amp;"")="","",IFERROR(INDEX(코드표!$K$2:$K$101,MATCH(TRIM(B248&amp;""),코드표!$J$2:$J$101,0)),"⚠"&amp;TRIM(B248&amp;"")))</f>
        <v/>
      </c>
      <c r="S248" s="10">
        <f>IF(TRIM(K248&amp;"")="","",IFERROR(INDEX(코드표!$K$2:$K$101,MATCH(TRIM(K248&amp;""),코드표!$J$2:$J$101,0)),"⚠"&amp;TRIM(K248&amp;"")))</f>
        <v/>
      </c>
      <c r="T248" s="10">
        <f>IF(TRIM(M248&amp;"")="","",IF(ISNUMBER(MATCH(TRIM(M248&amp;""),코드표!$C$2:$C$11,0)),TRIM(M248&amp;""),"⚠"&amp;TRIM(M248&amp;"")))</f>
        <v/>
      </c>
      <c r="U248" s="10">
        <f>IF(TRIM(L248&amp;"")="","",IFERROR(INDEX(코드표!$G$2:$G$101,MATCH(TRIM(L248&amp;""),코드표!$F$2:$F$101,0)),"⚠"&amp;TRIM(L248&amp;"")))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IF(ISNUMBER(H248),MAX(0,MIN(IF(ISNUMBER(I248),I248,EOMONTH(요약!$B$3,0)),EOMONTH(요약!$B$3,0))-MAX(H248,요약!$B$3)+1),0)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IF(AND(ISNUMBER(AB248),ISNUMBER(AC248)),MAX(0,MIN(AC248,EOMONTH(요약!$B$3,0))-MAX(AB248,요약!$B$3)+1),0)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IF(TRIM(B249&amp;"")="","",IFERROR(INDEX(코드표!$K$2:$K$101,MATCH(TRIM(B249&amp;""),코드표!$J$2:$J$101,0)),"⚠"&amp;TRIM(B249&amp;"")))</f>
        <v/>
      </c>
      <c r="S249" s="10">
        <f>IF(TRIM(K249&amp;"")="","",IFERROR(INDEX(코드표!$K$2:$K$101,MATCH(TRIM(K249&amp;""),코드표!$J$2:$J$101,0)),"⚠"&amp;TRIM(K249&amp;"")))</f>
        <v/>
      </c>
      <c r="T249" s="10">
        <f>IF(TRIM(M249&amp;"")="","",IF(ISNUMBER(MATCH(TRIM(M249&amp;""),코드표!$C$2:$C$11,0)),TRIM(M249&amp;""),"⚠"&amp;TRIM(M249&amp;"")))</f>
        <v/>
      </c>
      <c r="U249" s="10">
        <f>IF(TRIM(L249&amp;"")="","",IFERROR(INDEX(코드표!$G$2:$G$101,MATCH(TRIM(L249&amp;""),코드표!$F$2:$F$101,0)),"⚠"&amp;TRIM(L249&amp;"")))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IF(ISNUMBER(H249),MAX(0,MIN(IF(ISNUMBER(I249),I249,EOMONTH(요약!$B$3,0)),EOMONTH(요약!$B$3,0))-MAX(H249,요약!$B$3)+1),0)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IF(AND(ISNUMBER(AB249),ISNUMBER(AC249)),MAX(0,MIN(AC249,EOMONTH(요약!$B$3,0))-MAX(AB249,요약!$B$3)+1),0)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IF(TRIM(B250&amp;"")="","",IFERROR(INDEX(코드표!$K$2:$K$101,MATCH(TRIM(B250&amp;""),코드표!$J$2:$J$101,0)),"⚠"&amp;TRIM(B250&amp;"")))</f>
        <v/>
      </c>
      <c r="S250" s="10">
        <f>IF(TRIM(K250&amp;"")="","",IFERROR(INDEX(코드표!$K$2:$K$101,MATCH(TRIM(K250&amp;""),코드표!$J$2:$J$101,0)),"⚠"&amp;TRIM(K250&amp;"")))</f>
        <v/>
      </c>
      <c r="T250" s="10">
        <f>IF(TRIM(M250&amp;"")="","",IF(ISNUMBER(MATCH(TRIM(M250&amp;""),코드표!$C$2:$C$11,0)),TRIM(M250&amp;""),"⚠"&amp;TRIM(M250&amp;"")))</f>
        <v/>
      </c>
      <c r="U250" s="10">
        <f>IF(TRIM(L250&amp;"")="","",IFERROR(INDEX(코드표!$G$2:$G$101,MATCH(TRIM(L250&amp;""),코드표!$F$2:$F$101,0)),"⚠"&amp;TRIM(L250&amp;"")))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IF(ISNUMBER(H250),MAX(0,MIN(IF(ISNUMBER(I250),I250,EOMONTH(요약!$B$3,0)),EOMONTH(요약!$B$3,0))-MAX(H250,요약!$B$3)+1),0)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IF(AND(ISNUMBER(AB250),ISNUMBER(AC250)),MAX(0,MIN(AC250,EOMONTH(요약!$B$3,0))-MAX(AB250,요약!$B$3)+1),0)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IF(TRIM(B251&amp;"")="","",IFERROR(INDEX(코드표!$K$2:$K$101,MATCH(TRIM(B251&amp;""),코드표!$J$2:$J$101,0)),"⚠"&amp;TRIM(B251&amp;"")))</f>
        <v/>
      </c>
      <c r="S251" s="10">
        <f>IF(TRIM(K251&amp;"")="","",IFERROR(INDEX(코드표!$K$2:$K$101,MATCH(TRIM(K251&amp;""),코드표!$J$2:$J$101,0)),"⚠"&amp;TRIM(K251&amp;"")))</f>
        <v/>
      </c>
      <c r="T251" s="10">
        <f>IF(TRIM(M251&amp;"")="","",IF(ISNUMBER(MATCH(TRIM(M251&amp;""),코드표!$C$2:$C$11,0)),TRIM(M251&amp;""),"⚠"&amp;TRIM(M251&amp;"")))</f>
        <v/>
      </c>
      <c r="U251" s="10">
        <f>IF(TRIM(L251&amp;"")="","",IFERROR(INDEX(코드표!$G$2:$G$101,MATCH(TRIM(L251&amp;""),코드표!$F$2:$F$101,0)),"⚠"&amp;TRIM(L251&amp;"")))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IF(ISNUMBER(H251),MAX(0,MIN(IF(ISNUMBER(I251),I251,EOMONTH(요약!$B$3,0)),EOMONTH(요약!$B$3,0))-MAX(H251,요약!$B$3)+1),0)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IF(AND(ISNUMBER(AB251),ISNUMBER(AC251)),MAX(0,MIN(AC251,EOMONTH(요약!$B$3,0))-MAX(AB251,요약!$B$3)+1),0)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IF(TRIM(B252&amp;"")="","",IFERROR(INDEX(코드표!$K$2:$K$101,MATCH(TRIM(B252&amp;""),코드표!$J$2:$J$101,0)),"⚠"&amp;TRIM(B252&amp;"")))</f>
        <v/>
      </c>
      <c r="S252" s="10">
        <f>IF(TRIM(K252&amp;"")="","",IFERROR(INDEX(코드표!$K$2:$K$101,MATCH(TRIM(K252&amp;""),코드표!$J$2:$J$101,0)),"⚠"&amp;TRIM(K252&amp;"")))</f>
        <v/>
      </c>
      <c r="T252" s="10">
        <f>IF(TRIM(M252&amp;"")="","",IF(ISNUMBER(MATCH(TRIM(M252&amp;""),코드표!$C$2:$C$11,0)),TRIM(M252&amp;""),"⚠"&amp;TRIM(M252&amp;"")))</f>
        <v/>
      </c>
      <c r="U252" s="10">
        <f>IF(TRIM(L252&amp;"")="","",IFERROR(INDEX(코드표!$G$2:$G$101,MATCH(TRIM(L252&amp;""),코드표!$F$2:$F$101,0)),"⚠"&amp;TRIM(L252&amp;"")))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IF(ISNUMBER(H252),MAX(0,MIN(IF(ISNUMBER(I252),I252,EOMONTH(요약!$B$3,0)),EOMONTH(요약!$B$3,0))-MAX(H252,요약!$B$3)+1),0)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IF(AND(ISNUMBER(AB252),ISNUMBER(AC252)),MAX(0,MIN(AC252,EOMONTH(요약!$B$3,0))-MAX(AB252,요약!$B$3)+1),0)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IF(TRIM(B253&amp;"")="","",IFERROR(INDEX(코드표!$K$2:$K$101,MATCH(TRIM(B253&amp;""),코드표!$J$2:$J$101,0)),"⚠"&amp;TRIM(B253&amp;"")))</f>
        <v/>
      </c>
      <c r="S253" s="10">
        <f>IF(TRIM(K253&amp;"")="","",IFERROR(INDEX(코드표!$K$2:$K$101,MATCH(TRIM(K253&amp;""),코드표!$J$2:$J$101,0)),"⚠"&amp;TRIM(K253&amp;"")))</f>
        <v/>
      </c>
      <c r="T253" s="10">
        <f>IF(TRIM(M253&amp;"")="","",IF(ISNUMBER(MATCH(TRIM(M253&amp;""),코드표!$C$2:$C$11,0)),TRIM(M253&amp;""),"⚠"&amp;TRIM(M253&amp;"")))</f>
        <v/>
      </c>
      <c r="U253" s="10">
        <f>IF(TRIM(L253&amp;"")="","",IFERROR(INDEX(코드표!$G$2:$G$101,MATCH(TRIM(L253&amp;""),코드표!$F$2:$F$101,0)),"⚠"&amp;TRIM(L253&amp;"")))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IF(ISNUMBER(H253),MAX(0,MIN(IF(ISNUMBER(I253),I253,EOMONTH(요약!$B$3,0)),EOMONTH(요약!$B$3,0))-MAX(H253,요약!$B$3)+1),0)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IF(AND(ISNUMBER(AB253),ISNUMBER(AC253)),MAX(0,MIN(AC253,EOMONTH(요약!$B$3,0))-MAX(AB253,요약!$B$3)+1),0)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IF(TRIM(B254&amp;"")="","",IFERROR(INDEX(코드표!$K$2:$K$101,MATCH(TRIM(B254&amp;""),코드표!$J$2:$J$101,0)),"⚠"&amp;TRIM(B254&amp;"")))</f>
        <v/>
      </c>
      <c r="S254" s="10">
        <f>IF(TRIM(K254&amp;"")="","",IFERROR(INDEX(코드표!$K$2:$K$101,MATCH(TRIM(K254&amp;""),코드표!$J$2:$J$101,0)),"⚠"&amp;TRIM(K254&amp;"")))</f>
        <v/>
      </c>
      <c r="T254" s="10">
        <f>IF(TRIM(M254&amp;"")="","",IF(ISNUMBER(MATCH(TRIM(M254&amp;""),코드표!$C$2:$C$11,0)),TRIM(M254&amp;""),"⚠"&amp;TRIM(M254&amp;"")))</f>
        <v/>
      </c>
      <c r="U254" s="10">
        <f>IF(TRIM(L254&amp;"")="","",IFERROR(INDEX(코드표!$G$2:$G$101,MATCH(TRIM(L254&amp;""),코드표!$F$2:$F$101,0)),"⚠"&amp;TRIM(L254&amp;"")))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IF(ISNUMBER(H254),MAX(0,MIN(IF(ISNUMBER(I254),I254,EOMONTH(요약!$B$3,0)),EOMONTH(요약!$B$3,0))-MAX(H254,요약!$B$3)+1),0)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IF(AND(ISNUMBER(AB254),ISNUMBER(AC254)),MAX(0,MIN(AC254,EOMONTH(요약!$B$3,0))-MAX(AB254,요약!$B$3)+1),0)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IF(TRIM(B255&amp;"")="","",IFERROR(INDEX(코드표!$K$2:$K$101,MATCH(TRIM(B255&amp;""),코드표!$J$2:$J$101,0)),"⚠"&amp;TRIM(B255&amp;"")))</f>
        <v/>
      </c>
      <c r="S255" s="10">
        <f>IF(TRIM(K255&amp;"")="","",IFERROR(INDEX(코드표!$K$2:$K$101,MATCH(TRIM(K255&amp;""),코드표!$J$2:$J$101,0)),"⚠"&amp;TRIM(K255&amp;"")))</f>
        <v/>
      </c>
      <c r="T255" s="10">
        <f>IF(TRIM(M255&amp;"")="","",IF(ISNUMBER(MATCH(TRIM(M255&amp;""),코드표!$C$2:$C$11,0)),TRIM(M255&amp;""),"⚠"&amp;TRIM(M255&amp;"")))</f>
        <v/>
      </c>
      <c r="U255" s="10">
        <f>IF(TRIM(L255&amp;"")="","",IFERROR(INDEX(코드표!$G$2:$G$101,MATCH(TRIM(L255&amp;""),코드표!$F$2:$F$101,0)),"⚠"&amp;TRIM(L255&amp;"")))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IF(ISNUMBER(H255),MAX(0,MIN(IF(ISNUMBER(I255),I255,EOMONTH(요약!$B$3,0)),EOMONTH(요약!$B$3,0))-MAX(H255,요약!$B$3)+1),0)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IF(AND(ISNUMBER(AB255),ISNUMBER(AC255)),MAX(0,MIN(AC255,EOMONTH(요약!$B$3,0))-MAX(AB255,요약!$B$3)+1),0)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IF(TRIM(B256&amp;"")="","",IFERROR(INDEX(코드표!$K$2:$K$101,MATCH(TRIM(B256&amp;""),코드표!$J$2:$J$101,0)),"⚠"&amp;TRIM(B256&amp;"")))</f>
        <v/>
      </c>
      <c r="S256" s="10">
        <f>IF(TRIM(K256&amp;"")="","",IFERROR(INDEX(코드표!$K$2:$K$101,MATCH(TRIM(K256&amp;""),코드표!$J$2:$J$101,0)),"⚠"&amp;TRIM(K256&amp;"")))</f>
        <v/>
      </c>
      <c r="T256" s="10">
        <f>IF(TRIM(M256&amp;"")="","",IF(ISNUMBER(MATCH(TRIM(M256&amp;""),코드표!$C$2:$C$11,0)),TRIM(M256&amp;""),"⚠"&amp;TRIM(M256&amp;"")))</f>
        <v/>
      </c>
      <c r="U256" s="10">
        <f>IF(TRIM(L256&amp;"")="","",IFERROR(INDEX(코드표!$G$2:$G$101,MATCH(TRIM(L256&amp;""),코드표!$F$2:$F$101,0)),"⚠"&amp;TRIM(L256&amp;"")))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IF(ISNUMBER(H256),MAX(0,MIN(IF(ISNUMBER(I256),I256,EOMONTH(요약!$B$3,0)),EOMONTH(요약!$B$3,0))-MAX(H256,요약!$B$3)+1),0)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IF(AND(ISNUMBER(AB256),ISNUMBER(AC256)),MAX(0,MIN(AC256,EOMONTH(요약!$B$3,0))-MAX(AB256,요약!$B$3)+1),0)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IF(TRIM(B257&amp;"")="","",IFERROR(INDEX(코드표!$K$2:$K$101,MATCH(TRIM(B257&amp;""),코드표!$J$2:$J$101,0)),"⚠"&amp;TRIM(B257&amp;"")))</f>
        <v/>
      </c>
      <c r="S257" s="10">
        <f>IF(TRIM(K257&amp;"")="","",IFERROR(INDEX(코드표!$K$2:$K$101,MATCH(TRIM(K257&amp;""),코드표!$J$2:$J$101,0)),"⚠"&amp;TRIM(K257&amp;"")))</f>
        <v/>
      </c>
      <c r="T257" s="10">
        <f>IF(TRIM(M257&amp;"")="","",IF(ISNUMBER(MATCH(TRIM(M257&amp;""),코드표!$C$2:$C$11,0)),TRIM(M257&amp;""),"⚠"&amp;TRIM(M257&amp;"")))</f>
        <v/>
      </c>
      <c r="U257" s="10">
        <f>IF(TRIM(L257&amp;"")="","",IFERROR(INDEX(코드표!$G$2:$G$101,MATCH(TRIM(L257&amp;""),코드표!$F$2:$F$101,0)),"⚠"&amp;TRIM(L257&amp;"")))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IF(ISNUMBER(H257),MAX(0,MIN(IF(ISNUMBER(I257),I257,EOMONTH(요약!$B$3,0)),EOMONTH(요약!$B$3,0))-MAX(H257,요약!$B$3)+1),0)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IF(AND(ISNUMBER(AB257),ISNUMBER(AC257)),MAX(0,MIN(AC257,EOMONTH(요약!$B$3,0))-MAX(AB257,요약!$B$3)+1),0)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IF(TRIM(B258&amp;"")="","",IFERROR(INDEX(코드표!$K$2:$K$101,MATCH(TRIM(B258&amp;""),코드표!$J$2:$J$101,0)),"⚠"&amp;TRIM(B258&amp;"")))</f>
        <v/>
      </c>
      <c r="S258" s="10">
        <f>IF(TRIM(K258&amp;"")="","",IFERROR(INDEX(코드표!$K$2:$K$101,MATCH(TRIM(K258&amp;""),코드표!$J$2:$J$101,0)),"⚠"&amp;TRIM(K258&amp;"")))</f>
        <v/>
      </c>
      <c r="T258" s="10">
        <f>IF(TRIM(M258&amp;"")="","",IF(ISNUMBER(MATCH(TRIM(M258&amp;""),코드표!$C$2:$C$11,0)),TRIM(M258&amp;""),"⚠"&amp;TRIM(M258&amp;"")))</f>
        <v/>
      </c>
      <c r="U258" s="10">
        <f>IF(TRIM(L258&amp;"")="","",IFERROR(INDEX(코드표!$G$2:$G$101,MATCH(TRIM(L258&amp;""),코드표!$F$2:$F$101,0)),"⚠"&amp;TRIM(L258&amp;"")))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IF(ISNUMBER(H258),MAX(0,MIN(IF(ISNUMBER(I258),I258,EOMONTH(요약!$B$3,0)),EOMONTH(요약!$B$3,0))-MAX(H258,요약!$B$3)+1),0)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IF(AND(ISNUMBER(AB258),ISNUMBER(AC258)),MAX(0,MIN(AC258,EOMONTH(요약!$B$3,0))-MAX(AB258,요약!$B$3)+1),0)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IF(TRIM(B259&amp;"")="","",IFERROR(INDEX(코드표!$K$2:$K$101,MATCH(TRIM(B259&amp;""),코드표!$J$2:$J$101,0)),"⚠"&amp;TRIM(B259&amp;"")))</f>
        <v/>
      </c>
      <c r="S259" s="10">
        <f>IF(TRIM(K259&amp;"")="","",IFERROR(INDEX(코드표!$K$2:$K$101,MATCH(TRIM(K259&amp;""),코드표!$J$2:$J$101,0)),"⚠"&amp;TRIM(K259&amp;"")))</f>
        <v/>
      </c>
      <c r="T259" s="10">
        <f>IF(TRIM(M259&amp;"")="","",IF(ISNUMBER(MATCH(TRIM(M259&amp;""),코드표!$C$2:$C$11,0)),TRIM(M259&amp;""),"⚠"&amp;TRIM(M259&amp;"")))</f>
        <v/>
      </c>
      <c r="U259" s="10">
        <f>IF(TRIM(L259&amp;"")="","",IFERROR(INDEX(코드표!$G$2:$G$101,MATCH(TRIM(L259&amp;""),코드표!$F$2:$F$101,0)),"⚠"&amp;TRIM(L259&amp;"")))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IF(ISNUMBER(H259),MAX(0,MIN(IF(ISNUMBER(I259),I259,EOMONTH(요약!$B$3,0)),EOMONTH(요약!$B$3,0))-MAX(H259,요약!$B$3)+1),0)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IF(AND(ISNUMBER(AB259),ISNUMBER(AC259)),MAX(0,MIN(AC259,EOMONTH(요약!$B$3,0))-MAX(AB259,요약!$B$3)+1),0)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IF(TRIM(B260&amp;"")="","",IFERROR(INDEX(코드표!$K$2:$K$101,MATCH(TRIM(B260&amp;""),코드표!$J$2:$J$101,0)),"⚠"&amp;TRIM(B260&amp;"")))</f>
        <v/>
      </c>
      <c r="S260" s="10">
        <f>IF(TRIM(K260&amp;"")="","",IFERROR(INDEX(코드표!$K$2:$K$101,MATCH(TRIM(K260&amp;""),코드표!$J$2:$J$101,0)),"⚠"&amp;TRIM(K260&amp;"")))</f>
        <v/>
      </c>
      <c r="T260" s="10">
        <f>IF(TRIM(M260&amp;"")="","",IF(ISNUMBER(MATCH(TRIM(M260&amp;""),코드표!$C$2:$C$11,0)),TRIM(M260&amp;""),"⚠"&amp;TRIM(M260&amp;"")))</f>
        <v/>
      </c>
      <c r="U260" s="10">
        <f>IF(TRIM(L260&amp;"")="","",IFERROR(INDEX(코드표!$G$2:$G$101,MATCH(TRIM(L260&amp;""),코드표!$F$2:$F$101,0)),"⚠"&amp;TRIM(L260&amp;"")))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IF(ISNUMBER(H260),MAX(0,MIN(IF(ISNUMBER(I260),I260,EOMONTH(요약!$B$3,0)),EOMONTH(요약!$B$3,0))-MAX(H260,요약!$B$3)+1),0)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IF(AND(ISNUMBER(AB260),ISNUMBER(AC260)),MAX(0,MIN(AC260,EOMONTH(요약!$B$3,0))-MAX(AB260,요약!$B$3)+1),0)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IF(TRIM(B261&amp;"")="","",IFERROR(INDEX(코드표!$K$2:$K$101,MATCH(TRIM(B261&amp;""),코드표!$J$2:$J$101,0)),"⚠"&amp;TRIM(B261&amp;"")))</f>
        <v/>
      </c>
      <c r="S261" s="10">
        <f>IF(TRIM(K261&amp;"")="","",IFERROR(INDEX(코드표!$K$2:$K$101,MATCH(TRIM(K261&amp;""),코드표!$J$2:$J$101,0)),"⚠"&amp;TRIM(K261&amp;"")))</f>
        <v/>
      </c>
      <c r="T261" s="10">
        <f>IF(TRIM(M261&amp;"")="","",IF(ISNUMBER(MATCH(TRIM(M261&amp;""),코드표!$C$2:$C$11,0)),TRIM(M261&amp;""),"⚠"&amp;TRIM(M261&amp;"")))</f>
        <v/>
      </c>
      <c r="U261" s="10">
        <f>IF(TRIM(L261&amp;"")="","",IFERROR(INDEX(코드표!$G$2:$G$101,MATCH(TRIM(L261&amp;""),코드표!$F$2:$F$101,0)),"⚠"&amp;TRIM(L261&amp;"")))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IF(ISNUMBER(H261),MAX(0,MIN(IF(ISNUMBER(I261),I261,EOMONTH(요약!$B$3,0)),EOMONTH(요약!$B$3,0))-MAX(H261,요약!$B$3)+1),0)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IF(AND(ISNUMBER(AB261),ISNUMBER(AC261)),MAX(0,MIN(AC261,EOMONTH(요약!$B$3,0))-MAX(AB261,요약!$B$3)+1),0)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IF(TRIM(B262&amp;"")="","",IFERROR(INDEX(코드표!$K$2:$K$101,MATCH(TRIM(B262&amp;""),코드표!$J$2:$J$101,0)),"⚠"&amp;TRIM(B262&amp;"")))</f>
        <v/>
      </c>
      <c r="S262" s="10">
        <f>IF(TRIM(K262&amp;"")="","",IFERROR(INDEX(코드표!$K$2:$K$101,MATCH(TRIM(K262&amp;""),코드표!$J$2:$J$101,0)),"⚠"&amp;TRIM(K262&amp;"")))</f>
        <v/>
      </c>
      <c r="T262" s="10">
        <f>IF(TRIM(M262&amp;"")="","",IF(ISNUMBER(MATCH(TRIM(M262&amp;""),코드표!$C$2:$C$11,0)),TRIM(M262&amp;""),"⚠"&amp;TRIM(M262&amp;"")))</f>
        <v/>
      </c>
      <c r="U262" s="10">
        <f>IF(TRIM(L262&amp;"")="","",IFERROR(INDEX(코드표!$G$2:$G$101,MATCH(TRIM(L262&amp;""),코드표!$F$2:$F$101,0)),"⚠"&amp;TRIM(L262&amp;"")))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IF(ISNUMBER(H262),MAX(0,MIN(IF(ISNUMBER(I262),I262,EOMONTH(요약!$B$3,0)),EOMONTH(요약!$B$3,0))-MAX(H262,요약!$B$3)+1),0)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IF(AND(ISNUMBER(AB262),ISNUMBER(AC262)),MAX(0,MIN(AC262,EOMONTH(요약!$B$3,0))-MAX(AB262,요약!$B$3)+1),0)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IF(TRIM(B263&amp;"")="","",IFERROR(INDEX(코드표!$K$2:$K$101,MATCH(TRIM(B263&amp;""),코드표!$J$2:$J$101,0)),"⚠"&amp;TRIM(B263&amp;"")))</f>
        <v/>
      </c>
      <c r="S263" s="10">
        <f>IF(TRIM(K263&amp;"")="","",IFERROR(INDEX(코드표!$K$2:$K$101,MATCH(TRIM(K263&amp;""),코드표!$J$2:$J$101,0)),"⚠"&amp;TRIM(K263&amp;"")))</f>
        <v/>
      </c>
      <c r="T263" s="10">
        <f>IF(TRIM(M263&amp;"")="","",IF(ISNUMBER(MATCH(TRIM(M263&amp;""),코드표!$C$2:$C$11,0)),TRIM(M263&amp;""),"⚠"&amp;TRIM(M263&amp;"")))</f>
        <v/>
      </c>
      <c r="U263" s="10">
        <f>IF(TRIM(L263&amp;"")="","",IFERROR(INDEX(코드표!$G$2:$G$101,MATCH(TRIM(L263&amp;""),코드표!$F$2:$F$101,0)),"⚠"&amp;TRIM(L263&amp;"")))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IF(ISNUMBER(H263),MAX(0,MIN(IF(ISNUMBER(I263),I263,EOMONTH(요약!$B$3,0)),EOMONTH(요약!$B$3,0))-MAX(H263,요약!$B$3)+1),0)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IF(AND(ISNUMBER(AB263),ISNUMBER(AC263)),MAX(0,MIN(AC263,EOMONTH(요약!$B$3,0))-MAX(AB263,요약!$B$3)+1),0)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IF(TRIM(B264&amp;"")="","",IFERROR(INDEX(코드표!$K$2:$K$101,MATCH(TRIM(B264&amp;""),코드표!$J$2:$J$101,0)),"⚠"&amp;TRIM(B264&amp;"")))</f>
        <v/>
      </c>
      <c r="S264" s="10">
        <f>IF(TRIM(K264&amp;"")="","",IFERROR(INDEX(코드표!$K$2:$K$101,MATCH(TRIM(K264&amp;""),코드표!$J$2:$J$101,0)),"⚠"&amp;TRIM(K264&amp;"")))</f>
        <v/>
      </c>
      <c r="T264" s="10">
        <f>IF(TRIM(M264&amp;"")="","",IF(ISNUMBER(MATCH(TRIM(M264&amp;""),코드표!$C$2:$C$11,0)),TRIM(M264&amp;""),"⚠"&amp;TRIM(M264&amp;"")))</f>
        <v/>
      </c>
      <c r="U264" s="10">
        <f>IF(TRIM(L264&amp;"")="","",IFERROR(INDEX(코드표!$G$2:$G$101,MATCH(TRIM(L264&amp;""),코드표!$F$2:$F$101,0)),"⚠"&amp;TRIM(L264&amp;"")))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IF(ISNUMBER(H264),MAX(0,MIN(IF(ISNUMBER(I264),I264,EOMONTH(요약!$B$3,0)),EOMONTH(요약!$B$3,0))-MAX(H264,요약!$B$3)+1),0)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IF(AND(ISNUMBER(AB264),ISNUMBER(AC264)),MAX(0,MIN(AC264,EOMONTH(요약!$B$3,0))-MAX(AB264,요약!$B$3)+1),0)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IF(TRIM(B265&amp;"")="","",IFERROR(INDEX(코드표!$K$2:$K$101,MATCH(TRIM(B265&amp;""),코드표!$J$2:$J$101,0)),"⚠"&amp;TRIM(B265&amp;"")))</f>
        <v/>
      </c>
      <c r="S265" s="10">
        <f>IF(TRIM(K265&amp;"")="","",IFERROR(INDEX(코드표!$K$2:$K$101,MATCH(TRIM(K265&amp;""),코드표!$J$2:$J$101,0)),"⚠"&amp;TRIM(K265&amp;"")))</f>
        <v/>
      </c>
      <c r="T265" s="10">
        <f>IF(TRIM(M265&amp;"")="","",IF(ISNUMBER(MATCH(TRIM(M265&amp;""),코드표!$C$2:$C$11,0)),TRIM(M265&amp;""),"⚠"&amp;TRIM(M265&amp;"")))</f>
        <v/>
      </c>
      <c r="U265" s="10">
        <f>IF(TRIM(L265&amp;"")="","",IFERROR(INDEX(코드표!$G$2:$G$101,MATCH(TRIM(L265&amp;""),코드표!$F$2:$F$101,0)),"⚠"&amp;TRIM(L265&amp;"")))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IF(ISNUMBER(H265),MAX(0,MIN(IF(ISNUMBER(I265),I265,EOMONTH(요약!$B$3,0)),EOMONTH(요약!$B$3,0))-MAX(H265,요약!$B$3)+1),0)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IF(AND(ISNUMBER(AB265),ISNUMBER(AC265)),MAX(0,MIN(AC265,EOMONTH(요약!$B$3,0))-MAX(AB265,요약!$B$3)+1),0)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IF(TRIM(B266&amp;"")="","",IFERROR(INDEX(코드표!$K$2:$K$101,MATCH(TRIM(B266&amp;""),코드표!$J$2:$J$101,0)),"⚠"&amp;TRIM(B266&amp;"")))</f>
        <v/>
      </c>
      <c r="S266" s="10">
        <f>IF(TRIM(K266&amp;"")="","",IFERROR(INDEX(코드표!$K$2:$K$101,MATCH(TRIM(K266&amp;""),코드표!$J$2:$J$101,0)),"⚠"&amp;TRIM(K266&amp;"")))</f>
        <v/>
      </c>
      <c r="T266" s="10">
        <f>IF(TRIM(M266&amp;"")="","",IF(ISNUMBER(MATCH(TRIM(M266&amp;""),코드표!$C$2:$C$11,0)),TRIM(M266&amp;""),"⚠"&amp;TRIM(M266&amp;"")))</f>
        <v/>
      </c>
      <c r="U266" s="10">
        <f>IF(TRIM(L266&amp;"")="","",IFERROR(INDEX(코드표!$G$2:$G$101,MATCH(TRIM(L266&amp;""),코드표!$F$2:$F$101,0)),"⚠"&amp;TRIM(L266&amp;"")))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IF(ISNUMBER(H266),MAX(0,MIN(IF(ISNUMBER(I266),I266,EOMONTH(요약!$B$3,0)),EOMONTH(요약!$B$3,0))-MAX(H266,요약!$B$3)+1),0)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IF(AND(ISNUMBER(AB266),ISNUMBER(AC266)),MAX(0,MIN(AC266,EOMONTH(요약!$B$3,0))-MAX(AB266,요약!$B$3)+1),0)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IF(TRIM(B267&amp;"")="","",IFERROR(INDEX(코드표!$K$2:$K$101,MATCH(TRIM(B267&amp;""),코드표!$J$2:$J$101,0)),"⚠"&amp;TRIM(B267&amp;"")))</f>
        <v/>
      </c>
      <c r="S267" s="10">
        <f>IF(TRIM(K267&amp;"")="","",IFERROR(INDEX(코드표!$K$2:$K$101,MATCH(TRIM(K267&amp;""),코드표!$J$2:$J$101,0)),"⚠"&amp;TRIM(K267&amp;"")))</f>
        <v/>
      </c>
      <c r="T267" s="10">
        <f>IF(TRIM(M267&amp;"")="","",IF(ISNUMBER(MATCH(TRIM(M267&amp;""),코드표!$C$2:$C$11,0)),TRIM(M267&amp;""),"⚠"&amp;TRIM(M267&amp;"")))</f>
        <v/>
      </c>
      <c r="U267" s="10">
        <f>IF(TRIM(L267&amp;"")="","",IFERROR(INDEX(코드표!$G$2:$G$101,MATCH(TRIM(L267&amp;""),코드표!$F$2:$F$101,0)),"⚠"&amp;TRIM(L267&amp;"")))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IF(ISNUMBER(H267),MAX(0,MIN(IF(ISNUMBER(I267),I267,EOMONTH(요약!$B$3,0)),EOMONTH(요약!$B$3,0))-MAX(H267,요약!$B$3)+1),0)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IF(AND(ISNUMBER(AB267),ISNUMBER(AC267)),MAX(0,MIN(AC267,EOMONTH(요약!$B$3,0))-MAX(AB267,요약!$B$3)+1),0)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IF(TRIM(B268&amp;"")="","",IFERROR(INDEX(코드표!$K$2:$K$101,MATCH(TRIM(B268&amp;""),코드표!$J$2:$J$101,0)),"⚠"&amp;TRIM(B268&amp;"")))</f>
        <v/>
      </c>
      <c r="S268" s="10">
        <f>IF(TRIM(K268&amp;"")="","",IFERROR(INDEX(코드표!$K$2:$K$101,MATCH(TRIM(K268&amp;""),코드표!$J$2:$J$101,0)),"⚠"&amp;TRIM(K268&amp;"")))</f>
        <v/>
      </c>
      <c r="T268" s="10">
        <f>IF(TRIM(M268&amp;"")="","",IF(ISNUMBER(MATCH(TRIM(M268&amp;""),코드표!$C$2:$C$11,0)),TRIM(M268&amp;""),"⚠"&amp;TRIM(M268&amp;"")))</f>
        <v/>
      </c>
      <c r="U268" s="10">
        <f>IF(TRIM(L268&amp;"")="","",IFERROR(INDEX(코드표!$G$2:$G$101,MATCH(TRIM(L268&amp;""),코드표!$F$2:$F$101,0)),"⚠"&amp;TRIM(L268&amp;"")))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IF(ISNUMBER(H268),MAX(0,MIN(IF(ISNUMBER(I268),I268,EOMONTH(요약!$B$3,0)),EOMONTH(요약!$B$3,0))-MAX(H268,요약!$B$3)+1),0)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IF(AND(ISNUMBER(AB268),ISNUMBER(AC268)),MAX(0,MIN(AC268,EOMONTH(요약!$B$3,0))-MAX(AB268,요약!$B$3)+1),0)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IF(TRIM(B269&amp;"")="","",IFERROR(INDEX(코드표!$K$2:$K$101,MATCH(TRIM(B269&amp;""),코드표!$J$2:$J$101,0)),"⚠"&amp;TRIM(B269&amp;"")))</f>
        <v/>
      </c>
      <c r="S269" s="10">
        <f>IF(TRIM(K269&amp;"")="","",IFERROR(INDEX(코드표!$K$2:$K$101,MATCH(TRIM(K269&amp;""),코드표!$J$2:$J$101,0)),"⚠"&amp;TRIM(K269&amp;"")))</f>
        <v/>
      </c>
      <c r="T269" s="10">
        <f>IF(TRIM(M269&amp;"")="","",IF(ISNUMBER(MATCH(TRIM(M269&amp;""),코드표!$C$2:$C$11,0)),TRIM(M269&amp;""),"⚠"&amp;TRIM(M269&amp;"")))</f>
        <v/>
      </c>
      <c r="U269" s="10">
        <f>IF(TRIM(L269&amp;"")="","",IFERROR(INDEX(코드표!$G$2:$G$101,MATCH(TRIM(L269&amp;""),코드표!$F$2:$F$101,0)),"⚠"&amp;TRIM(L269&amp;"")))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IF(ISNUMBER(H269),MAX(0,MIN(IF(ISNUMBER(I269),I269,EOMONTH(요약!$B$3,0)),EOMONTH(요약!$B$3,0))-MAX(H269,요약!$B$3)+1),0)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IF(AND(ISNUMBER(AB269),ISNUMBER(AC269)),MAX(0,MIN(AC269,EOMONTH(요약!$B$3,0))-MAX(AB269,요약!$B$3)+1),0)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IF(TRIM(B270&amp;"")="","",IFERROR(INDEX(코드표!$K$2:$K$101,MATCH(TRIM(B270&amp;""),코드표!$J$2:$J$101,0)),"⚠"&amp;TRIM(B270&amp;"")))</f>
        <v/>
      </c>
      <c r="S270" s="10">
        <f>IF(TRIM(K270&amp;"")="","",IFERROR(INDEX(코드표!$K$2:$K$101,MATCH(TRIM(K270&amp;""),코드표!$J$2:$J$101,0)),"⚠"&amp;TRIM(K270&amp;"")))</f>
        <v/>
      </c>
      <c r="T270" s="10">
        <f>IF(TRIM(M270&amp;"")="","",IF(ISNUMBER(MATCH(TRIM(M270&amp;""),코드표!$C$2:$C$11,0)),TRIM(M270&amp;""),"⚠"&amp;TRIM(M270&amp;"")))</f>
        <v/>
      </c>
      <c r="U270" s="10">
        <f>IF(TRIM(L270&amp;"")="","",IFERROR(INDEX(코드표!$G$2:$G$101,MATCH(TRIM(L270&amp;""),코드표!$F$2:$F$101,0)),"⚠"&amp;TRIM(L270&amp;"")))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IF(ISNUMBER(H270),MAX(0,MIN(IF(ISNUMBER(I270),I270,EOMONTH(요약!$B$3,0)),EOMONTH(요약!$B$3,0))-MAX(H270,요약!$B$3)+1),0)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IF(AND(ISNUMBER(AB270),ISNUMBER(AC270)),MAX(0,MIN(AC270,EOMONTH(요약!$B$3,0))-MAX(AB270,요약!$B$3)+1),0)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IF(TRIM(B271&amp;"")="","",IFERROR(INDEX(코드표!$K$2:$K$101,MATCH(TRIM(B271&amp;""),코드표!$J$2:$J$101,0)),"⚠"&amp;TRIM(B271&amp;"")))</f>
        <v/>
      </c>
      <c r="S271" s="10">
        <f>IF(TRIM(K271&amp;"")="","",IFERROR(INDEX(코드표!$K$2:$K$101,MATCH(TRIM(K271&amp;""),코드표!$J$2:$J$101,0)),"⚠"&amp;TRIM(K271&amp;"")))</f>
        <v/>
      </c>
      <c r="T271" s="10">
        <f>IF(TRIM(M271&amp;"")="","",IF(ISNUMBER(MATCH(TRIM(M271&amp;""),코드표!$C$2:$C$11,0)),TRIM(M271&amp;""),"⚠"&amp;TRIM(M271&amp;"")))</f>
        <v/>
      </c>
      <c r="U271" s="10">
        <f>IF(TRIM(L271&amp;"")="","",IFERROR(INDEX(코드표!$G$2:$G$101,MATCH(TRIM(L271&amp;""),코드표!$F$2:$F$101,0)),"⚠"&amp;TRIM(L271&amp;"")))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IF(ISNUMBER(H271),MAX(0,MIN(IF(ISNUMBER(I271),I271,EOMONTH(요약!$B$3,0)),EOMONTH(요약!$B$3,0))-MAX(H271,요약!$B$3)+1),0)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IF(AND(ISNUMBER(AB271),ISNUMBER(AC271)),MAX(0,MIN(AC271,EOMONTH(요약!$B$3,0))-MAX(AB271,요약!$B$3)+1),0)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IF(TRIM(B272&amp;"")="","",IFERROR(INDEX(코드표!$K$2:$K$101,MATCH(TRIM(B272&amp;""),코드표!$J$2:$J$101,0)),"⚠"&amp;TRIM(B272&amp;"")))</f>
        <v/>
      </c>
      <c r="S272" s="10">
        <f>IF(TRIM(K272&amp;"")="","",IFERROR(INDEX(코드표!$K$2:$K$101,MATCH(TRIM(K272&amp;""),코드표!$J$2:$J$101,0)),"⚠"&amp;TRIM(K272&amp;"")))</f>
        <v/>
      </c>
      <c r="T272" s="10">
        <f>IF(TRIM(M272&amp;"")="","",IF(ISNUMBER(MATCH(TRIM(M272&amp;""),코드표!$C$2:$C$11,0)),TRIM(M272&amp;""),"⚠"&amp;TRIM(M272&amp;"")))</f>
        <v/>
      </c>
      <c r="U272" s="10">
        <f>IF(TRIM(L272&amp;"")="","",IFERROR(INDEX(코드표!$G$2:$G$101,MATCH(TRIM(L272&amp;""),코드표!$F$2:$F$101,0)),"⚠"&amp;TRIM(L272&amp;"")))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IF(ISNUMBER(H272),MAX(0,MIN(IF(ISNUMBER(I272),I272,EOMONTH(요약!$B$3,0)),EOMONTH(요약!$B$3,0))-MAX(H272,요약!$B$3)+1),0)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IF(AND(ISNUMBER(AB272),ISNUMBER(AC272)),MAX(0,MIN(AC272,EOMONTH(요약!$B$3,0))-MAX(AB272,요약!$B$3)+1),0)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IF(TRIM(B273&amp;"")="","",IFERROR(INDEX(코드표!$K$2:$K$101,MATCH(TRIM(B273&amp;""),코드표!$J$2:$J$101,0)),"⚠"&amp;TRIM(B273&amp;"")))</f>
        <v/>
      </c>
      <c r="S273" s="10">
        <f>IF(TRIM(K273&amp;"")="","",IFERROR(INDEX(코드표!$K$2:$K$101,MATCH(TRIM(K273&amp;""),코드표!$J$2:$J$101,0)),"⚠"&amp;TRIM(K273&amp;"")))</f>
        <v/>
      </c>
      <c r="T273" s="10">
        <f>IF(TRIM(M273&amp;"")="","",IF(ISNUMBER(MATCH(TRIM(M273&amp;""),코드표!$C$2:$C$11,0)),TRIM(M273&amp;""),"⚠"&amp;TRIM(M273&amp;"")))</f>
        <v/>
      </c>
      <c r="U273" s="10">
        <f>IF(TRIM(L273&amp;"")="","",IFERROR(INDEX(코드표!$G$2:$G$101,MATCH(TRIM(L273&amp;""),코드표!$F$2:$F$101,0)),"⚠"&amp;TRIM(L273&amp;"")))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IF(ISNUMBER(H273),MAX(0,MIN(IF(ISNUMBER(I273),I273,EOMONTH(요약!$B$3,0)),EOMONTH(요약!$B$3,0))-MAX(H273,요약!$B$3)+1),0)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IF(AND(ISNUMBER(AB273),ISNUMBER(AC273)),MAX(0,MIN(AC273,EOMONTH(요약!$B$3,0))-MAX(AB273,요약!$B$3)+1),0)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IF(TRIM(B274&amp;"")="","",IFERROR(INDEX(코드표!$K$2:$K$101,MATCH(TRIM(B274&amp;""),코드표!$J$2:$J$101,0)),"⚠"&amp;TRIM(B274&amp;"")))</f>
        <v/>
      </c>
      <c r="S274" s="10">
        <f>IF(TRIM(K274&amp;"")="","",IFERROR(INDEX(코드표!$K$2:$K$101,MATCH(TRIM(K274&amp;""),코드표!$J$2:$J$101,0)),"⚠"&amp;TRIM(K274&amp;"")))</f>
        <v/>
      </c>
      <c r="T274" s="10">
        <f>IF(TRIM(M274&amp;"")="","",IF(ISNUMBER(MATCH(TRIM(M274&amp;""),코드표!$C$2:$C$11,0)),TRIM(M274&amp;""),"⚠"&amp;TRIM(M274&amp;"")))</f>
        <v/>
      </c>
      <c r="U274" s="10">
        <f>IF(TRIM(L274&amp;"")="","",IFERROR(INDEX(코드표!$G$2:$G$101,MATCH(TRIM(L274&amp;""),코드표!$F$2:$F$101,0)),"⚠"&amp;TRIM(L274&amp;"")))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IF(ISNUMBER(H274),MAX(0,MIN(IF(ISNUMBER(I274),I274,EOMONTH(요약!$B$3,0)),EOMONTH(요약!$B$3,0))-MAX(H274,요약!$B$3)+1),0)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IF(AND(ISNUMBER(AB274),ISNUMBER(AC274)),MAX(0,MIN(AC274,EOMONTH(요약!$B$3,0))-MAX(AB274,요약!$B$3)+1),0)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IF(TRIM(B275&amp;"")="","",IFERROR(INDEX(코드표!$K$2:$K$101,MATCH(TRIM(B275&amp;""),코드표!$J$2:$J$101,0)),"⚠"&amp;TRIM(B275&amp;"")))</f>
        <v/>
      </c>
      <c r="S275" s="10">
        <f>IF(TRIM(K275&amp;"")="","",IFERROR(INDEX(코드표!$K$2:$K$101,MATCH(TRIM(K275&amp;""),코드표!$J$2:$J$101,0)),"⚠"&amp;TRIM(K275&amp;"")))</f>
        <v/>
      </c>
      <c r="T275" s="10">
        <f>IF(TRIM(M275&amp;"")="","",IF(ISNUMBER(MATCH(TRIM(M275&amp;""),코드표!$C$2:$C$11,0)),TRIM(M275&amp;""),"⚠"&amp;TRIM(M275&amp;"")))</f>
        <v/>
      </c>
      <c r="U275" s="10">
        <f>IF(TRIM(L275&amp;"")="","",IFERROR(INDEX(코드표!$G$2:$G$101,MATCH(TRIM(L275&amp;""),코드표!$F$2:$F$101,0)),"⚠"&amp;TRIM(L275&amp;"")))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IF(ISNUMBER(H275),MAX(0,MIN(IF(ISNUMBER(I275),I275,EOMONTH(요약!$B$3,0)),EOMONTH(요약!$B$3,0))-MAX(H275,요약!$B$3)+1),0)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IF(AND(ISNUMBER(AB275),ISNUMBER(AC275)),MAX(0,MIN(AC275,EOMONTH(요약!$B$3,0))-MAX(AB275,요약!$B$3)+1),0)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IF(TRIM(B276&amp;"")="","",IFERROR(INDEX(코드표!$K$2:$K$101,MATCH(TRIM(B276&amp;""),코드표!$J$2:$J$101,0)),"⚠"&amp;TRIM(B276&amp;"")))</f>
        <v/>
      </c>
      <c r="S276" s="10">
        <f>IF(TRIM(K276&amp;"")="","",IFERROR(INDEX(코드표!$K$2:$K$101,MATCH(TRIM(K276&amp;""),코드표!$J$2:$J$101,0)),"⚠"&amp;TRIM(K276&amp;"")))</f>
        <v/>
      </c>
      <c r="T276" s="10">
        <f>IF(TRIM(M276&amp;"")="","",IF(ISNUMBER(MATCH(TRIM(M276&amp;""),코드표!$C$2:$C$11,0)),TRIM(M276&amp;""),"⚠"&amp;TRIM(M276&amp;"")))</f>
        <v/>
      </c>
      <c r="U276" s="10">
        <f>IF(TRIM(L276&amp;"")="","",IFERROR(INDEX(코드표!$G$2:$G$101,MATCH(TRIM(L276&amp;""),코드표!$F$2:$F$101,0)),"⚠"&amp;TRIM(L276&amp;"")))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IF(ISNUMBER(H276),MAX(0,MIN(IF(ISNUMBER(I276),I276,EOMONTH(요약!$B$3,0)),EOMONTH(요약!$B$3,0))-MAX(H276,요약!$B$3)+1),0)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IF(AND(ISNUMBER(AB276),ISNUMBER(AC276)),MAX(0,MIN(AC276,EOMONTH(요약!$B$3,0))-MAX(AB276,요약!$B$3)+1),0)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IF(TRIM(B277&amp;"")="","",IFERROR(INDEX(코드표!$K$2:$K$101,MATCH(TRIM(B277&amp;""),코드표!$J$2:$J$101,0)),"⚠"&amp;TRIM(B277&amp;"")))</f>
        <v/>
      </c>
      <c r="S277" s="10">
        <f>IF(TRIM(K277&amp;"")="","",IFERROR(INDEX(코드표!$K$2:$K$101,MATCH(TRIM(K277&amp;""),코드표!$J$2:$J$101,0)),"⚠"&amp;TRIM(K277&amp;"")))</f>
        <v/>
      </c>
      <c r="T277" s="10">
        <f>IF(TRIM(M277&amp;"")="","",IF(ISNUMBER(MATCH(TRIM(M277&amp;""),코드표!$C$2:$C$11,0)),TRIM(M277&amp;""),"⚠"&amp;TRIM(M277&amp;"")))</f>
        <v/>
      </c>
      <c r="U277" s="10">
        <f>IF(TRIM(L277&amp;"")="","",IFERROR(INDEX(코드표!$G$2:$G$101,MATCH(TRIM(L277&amp;""),코드표!$F$2:$F$101,0)),"⚠"&amp;TRIM(L277&amp;"")))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IF(ISNUMBER(H277),MAX(0,MIN(IF(ISNUMBER(I277),I277,EOMONTH(요약!$B$3,0)),EOMONTH(요약!$B$3,0))-MAX(H277,요약!$B$3)+1),0)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IF(AND(ISNUMBER(AB277),ISNUMBER(AC277)),MAX(0,MIN(AC277,EOMONTH(요약!$B$3,0))-MAX(AB277,요약!$B$3)+1),0)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IF(TRIM(B278&amp;"")="","",IFERROR(INDEX(코드표!$K$2:$K$101,MATCH(TRIM(B278&amp;""),코드표!$J$2:$J$101,0)),"⚠"&amp;TRIM(B278&amp;"")))</f>
        <v/>
      </c>
      <c r="S278" s="10">
        <f>IF(TRIM(K278&amp;"")="","",IFERROR(INDEX(코드표!$K$2:$K$101,MATCH(TRIM(K278&amp;""),코드표!$J$2:$J$101,0)),"⚠"&amp;TRIM(K278&amp;"")))</f>
        <v/>
      </c>
      <c r="T278" s="10">
        <f>IF(TRIM(M278&amp;"")="","",IF(ISNUMBER(MATCH(TRIM(M278&amp;""),코드표!$C$2:$C$11,0)),TRIM(M278&amp;""),"⚠"&amp;TRIM(M278&amp;"")))</f>
        <v/>
      </c>
      <c r="U278" s="10">
        <f>IF(TRIM(L278&amp;"")="","",IFERROR(INDEX(코드표!$G$2:$G$101,MATCH(TRIM(L278&amp;""),코드표!$F$2:$F$101,0)),"⚠"&amp;TRIM(L278&amp;"")))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IF(ISNUMBER(H278),MAX(0,MIN(IF(ISNUMBER(I278),I278,EOMONTH(요약!$B$3,0)),EOMONTH(요약!$B$3,0))-MAX(H278,요약!$B$3)+1),0)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IF(AND(ISNUMBER(AB278),ISNUMBER(AC278)),MAX(0,MIN(AC278,EOMONTH(요약!$B$3,0))-MAX(AB278,요약!$B$3)+1),0)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IF(TRIM(B279&amp;"")="","",IFERROR(INDEX(코드표!$K$2:$K$101,MATCH(TRIM(B279&amp;""),코드표!$J$2:$J$101,0)),"⚠"&amp;TRIM(B279&amp;"")))</f>
        <v/>
      </c>
      <c r="S279" s="10">
        <f>IF(TRIM(K279&amp;"")="","",IFERROR(INDEX(코드표!$K$2:$K$101,MATCH(TRIM(K279&amp;""),코드표!$J$2:$J$101,0)),"⚠"&amp;TRIM(K279&amp;"")))</f>
        <v/>
      </c>
      <c r="T279" s="10">
        <f>IF(TRIM(M279&amp;"")="","",IF(ISNUMBER(MATCH(TRIM(M279&amp;""),코드표!$C$2:$C$11,0)),TRIM(M279&amp;""),"⚠"&amp;TRIM(M279&amp;"")))</f>
        <v/>
      </c>
      <c r="U279" s="10">
        <f>IF(TRIM(L279&amp;"")="","",IFERROR(INDEX(코드표!$G$2:$G$101,MATCH(TRIM(L279&amp;""),코드표!$F$2:$F$101,0)),"⚠"&amp;TRIM(L279&amp;"")))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IF(ISNUMBER(H279),MAX(0,MIN(IF(ISNUMBER(I279),I279,EOMONTH(요약!$B$3,0)),EOMONTH(요약!$B$3,0))-MAX(H279,요약!$B$3)+1),0)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IF(AND(ISNUMBER(AB279),ISNUMBER(AC279)),MAX(0,MIN(AC279,EOMONTH(요약!$B$3,0))-MAX(AB279,요약!$B$3)+1),0)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IF(TRIM(B280&amp;"")="","",IFERROR(INDEX(코드표!$K$2:$K$101,MATCH(TRIM(B280&amp;""),코드표!$J$2:$J$101,0)),"⚠"&amp;TRIM(B280&amp;"")))</f>
        <v/>
      </c>
      <c r="S280" s="10">
        <f>IF(TRIM(K280&amp;"")="","",IFERROR(INDEX(코드표!$K$2:$K$101,MATCH(TRIM(K280&amp;""),코드표!$J$2:$J$101,0)),"⚠"&amp;TRIM(K280&amp;"")))</f>
        <v/>
      </c>
      <c r="T280" s="10">
        <f>IF(TRIM(M280&amp;"")="","",IF(ISNUMBER(MATCH(TRIM(M280&amp;""),코드표!$C$2:$C$11,0)),TRIM(M280&amp;""),"⚠"&amp;TRIM(M280&amp;"")))</f>
        <v/>
      </c>
      <c r="U280" s="10">
        <f>IF(TRIM(L280&amp;"")="","",IFERROR(INDEX(코드표!$G$2:$G$101,MATCH(TRIM(L280&amp;""),코드표!$F$2:$F$101,0)),"⚠"&amp;TRIM(L280&amp;"")))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IF(ISNUMBER(H280),MAX(0,MIN(IF(ISNUMBER(I280),I280,EOMONTH(요약!$B$3,0)),EOMONTH(요약!$B$3,0))-MAX(H280,요약!$B$3)+1),0)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IF(AND(ISNUMBER(AB280),ISNUMBER(AC280)),MAX(0,MIN(AC280,EOMONTH(요약!$B$3,0))-MAX(AB280,요약!$B$3)+1),0)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IF(TRIM(B281&amp;"")="","",IFERROR(INDEX(코드표!$K$2:$K$101,MATCH(TRIM(B281&amp;""),코드표!$J$2:$J$101,0)),"⚠"&amp;TRIM(B281&amp;"")))</f>
        <v/>
      </c>
      <c r="S281" s="10">
        <f>IF(TRIM(K281&amp;"")="","",IFERROR(INDEX(코드표!$K$2:$K$101,MATCH(TRIM(K281&amp;""),코드표!$J$2:$J$101,0)),"⚠"&amp;TRIM(K281&amp;"")))</f>
        <v/>
      </c>
      <c r="T281" s="10">
        <f>IF(TRIM(M281&amp;"")="","",IF(ISNUMBER(MATCH(TRIM(M281&amp;""),코드표!$C$2:$C$11,0)),TRIM(M281&amp;""),"⚠"&amp;TRIM(M281&amp;"")))</f>
        <v/>
      </c>
      <c r="U281" s="10">
        <f>IF(TRIM(L281&amp;"")="","",IFERROR(INDEX(코드표!$G$2:$G$101,MATCH(TRIM(L281&amp;""),코드표!$F$2:$F$101,0)),"⚠"&amp;TRIM(L281&amp;"")))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IF(ISNUMBER(H281),MAX(0,MIN(IF(ISNUMBER(I281),I281,EOMONTH(요약!$B$3,0)),EOMONTH(요약!$B$3,0))-MAX(H281,요약!$B$3)+1),0)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IF(AND(ISNUMBER(AB281),ISNUMBER(AC281)),MAX(0,MIN(AC281,EOMONTH(요약!$B$3,0))-MAX(AB281,요약!$B$3)+1),0)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IF(TRIM(B282&amp;"")="","",IFERROR(INDEX(코드표!$K$2:$K$101,MATCH(TRIM(B282&amp;""),코드표!$J$2:$J$101,0)),"⚠"&amp;TRIM(B282&amp;"")))</f>
        <v/>
      </c>
      <c r="S282" s="10">
        <f>IF(TRIM(K282&amp;"")="","",IFERROR(INDEX(코드표!$K$2:$K$101,MATCH(TRIM(K282&amp;""),코드표!$J$2:$J$101,0)),"⚠"&amp;TRIM(K282&amp;"")))</f>
        <v/>
      </c>
      <c r="T282" s="10">
        <f>IF(TRIM(M282&amp;"")="","",IF(ISNUMBER(MATCH(TRIM(M282&amp;""),코드표!$C$2:$C$11,0)),TRIM(M282&amp;""),"⚠"&amp;TRIM(M282&amp;"")))</f>
        <v/>
      </c>
      <c r="U282" s="10">
        <f>IF(TRIM(L282&amp;"")="","",IFERROR(INDEX(코드표!$G$2:$G$101,MATCH(TRIM(L282&amp;""),코드표!$F$2:$F$101,0)),"⚠"&amp;TRIM(L282&amp;"")))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IF(ISNUMBER(H282),MAX(0,MIN(IF(ISNUMBER(I282),I282,EOMONTH(요약!$B$3,0)),EOMONTH(요약!$B$3,0))-MAX(H282,요약!$B$3)+1),0)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IF(AND(ISNUMBER(AB282),ISNUMBER(AC282)),MAX(0,MIN(AC282,EOMONTH(요약!$B$3,0))-MAX(AB282,요약!$B$3)+1),0)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IF(TRIM(B283&amp;"")="","",IFERROR(INDEX(코드표!$K$2:$K$101,MATCH(TRIM(B283&amp;""),코드표!$J$2:$J$101,0)),"⚠"&amp;TRIM(B283&amp;"")))</f>
        <v/>
      </c>
      <c r="S283" s="10">
        <f>IF(TRIM(K283&amp;"")="","",IFERROR(INDEX(코드표!$K$2:$K$101,MATCH(TRIM(K283&amp;""),코드표!$J$2:$J$101,0)),"⚠"&amp;TRIM(K283&amp;"")))</f>
        <v/>
      </c>
      <c r="T283" s="10">
        <f>IF(TRIM(M283&amp;"")="","",IF(ISNUMBER(MATCH(TRIM(M283&amp;""),코드표!$C$2:$C$11,0)),TRIM(M283&amp;""),"⚠"&amp;TRIM(M283&amp;"")))</f>
        <v/>
      </c>
      <c r="U283" s="10">
        <f>IF(TRIM(L283&amp;"")="","",IFERROR(INDEX(코드표!$G$2:$G$101,MATCH(TRIM(L283&amp;""),코드표!$F$2:$F$101,0)),"⚠"&amp;TRIM(L283&amp;"")))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IF(ISNUMBER(H283),MAX(0,MIN(IF(ISNUMBER(I283),I283,EOMONTH(요약!$B$3,0)),EOMONTH(요약!$B$3,0))-MAX(H283,요약!$B$3)+1),0)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IF(AND(ISNUMBER(AB283),ISNUMBER(AC283)),MAX(0,MIN(AC283,EOMONTH(요약!$B$3,0))-MAX(AB283,요약!$B$3)+1),0)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IF(TRIM(B284&amp;"")="","",IFERROR(INDEX(코드표!$K$2:$K$101,MATCH(TRIM(B284&amp;""),코드표!$J$2:$J$101,0)),"⚠"&amp;TRIM(B284&amp;"")))</f>
        <v/>
      </c>
      <c r="S284" s="10">
        <f>IF(TRIM(K284&amp;"")="","",IFERROR(INDEX(코드표!$K$2:$K$101,MATCH(TRIM(K284&amp;""),코드표!$J$2:$J$101,0)),"⚠"&amp;TRIM(K284&amp;"")))</f>
        <v/>
      </c>
      <c r="T284" s="10">
        <f>IF(TRIM(M284&amp;"")="","",IF(ISNUMBER(MATCH(TRIM(M284&amp;""),코드표!$C$2:$C$11,0)),TRIM(M284&amp;""),"⚠"&amp;TRIM(M284&amp;"")))</f>
        <v/>
      </c>
      <c r="U284" s="10">
        <f>IF(TRIM(L284&amp;"")="","",IFERROR(INDEX(코드표!$G$2:$G$101,MATCH(TRIM(L284&amp;""),코드표!$F$2:$F$101,0)),"⚠"&amp;TRIM(L284&amp;"")))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IF(ISNUMBER(H284),MAX(0,MIN(IF(ISNUMBER(I284),I284,EOMONTH(요약!$B$3,0)),EOMONTH(요약!$B$3,0))-MAX(H284,요약!$B$3)+1),0)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IF(AND(ISNUMBER(AB284),ISNUMBER(AC284)),MAX(0,MIN(AC284,EOMONTH(요약!$B$3,0))-MAX(AB284,요약!$B$3)+1),0)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IF(TRIM(B285&amp;"")="","",IFERROR(INDEX(코드표!$K$2:$K$101,MATCH(TRIM(B285&amp;""),코드표!$J$2:$J$101,0)),"⚠"&amp;TRIM(B285&amp;"")))</f>
        <v/>
      </c>
      <c r="S285" s="10">
        <f>IF(TRIM(K285&amp;"")="","",IFERROR(INDEX(코드표!$K$2:$K$101,MATCH(TRIM(K285&amp;""),코드표!$J$2:$J$101,0)),"⚠"&amp;TRIM(K285&amp;"")))</f>
        <v/>
      </c>
      <c r="T285" s="10">
        <f>IF(TRIM(M285&amp;"")="","",IF(ISNUMBER(MATCH(TRIM(M285&amp;""),코드표!$C$2:$C$11,0)),TRIM(M285&amp;""),"⚠"&amp;TRIM(M285&amp;"")))</f>
        <v/>
      </c>
      <c r="U285" s="10">
        <f>IF(TRIM(L285&amp;"")="","",IFERROR(INDEX(코드표!$G$2:$G$101,MATCH(TRIM(L285&amp;""),코드표!$F$2:$F$101,0)),"⚠"&amp;TRIM(L285&amp;"")))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IF(ISNUMBER(H285),MAX(0,MIN(IF(ISNUMBER(I285),I285,EOMONTH(요약!$B$3,0)),EOMONTH(요약!$B$3,0))-MAX(H285,요약!$B$3)+1),0)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IF(AND(ISNUMBER(AB285),ISNUMBER(AC285)),MAX(0,MIN(AC285,EOMONTH(요약!$B$3,0))-MAX(AB285,요약!$B$3)+1),0)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IF(TRIM(B286&amp;"")="","",IFERROR(INDEX(코드표!$K$2:$K$101,MATCH(TRIM(B286&amp;""),코드표!$J$2:$J$101,0)),"⚠"&amp;TRIM(B286&amp;"")))</f>
        <v/>
      </c>
      <c r="S286" s="10">
        <f>IF(TRIM(K286&amp;"")="","",IFERROR(INDEX(코드표!$K$2:$K$101,MATCH(TRIM(K286&amp;""),코드표!$J$2:$J$101,0)),"⚠"&amp;TRIM(K286&amp;"")))</f>
        <v/>
      </c>
      <c r="T286" s="10">
        <f>IF(TRIM(M286&amp;"")="","",IF(ISNUMBER(MATCH(TRIM(M286&amp;""),코드표!$C$2:$C$11,0)),TRIM(M286&amp;""),"⚠"&amp;TRIM(M286&amp;"")))</f>
        <v/>
      </c>
      <c r="U286" s="10">
        <f>IF(TRIM(L286&amp;"")="","",IFERROR(INDEX(코드표!$G$2:$G$101,MATCH(TRIM(L286&amp;""),코드표!$F$2:$F$101,0)),"⚠"&amp;TRIM(L286&amp;"")))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IF(ISNUMBER(H286),MAX(0,MIN(IF(ISNUMBER(I286),I286,EOMONTH(요약!$B$3,0)),EOMONTH(요약!$B$3,0))-MAX(H286,요약!$B$3)+1),0)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IF(AND(ISNUMBER(AB286),ISNUMBER(AC286)),MAX(0,MIN(AC286,EOMONTH(요약!$B$3,0))-MAX(AB286,요약!$B$3)+1),0)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IF(TRIM(B287&amp;"")="","",IFERROR(INDEX(코드표!$K$2:$K$101,MATCH(TRIM(B287&amp;""),코드표!$J$2:$J$101,0)),"⚠"&amp;TRIM(B287&amp;"")))</f>
        <v/>
      </c>
      <c r="S287" s="10">
        <f>IF(TRIM(K287&amp;"")="","",IFERROR(INDEX(코드표!$K$2:$K$101,MATCH(TRIM(K287&amp;""),코드표!$J$2:$J$101,0)),"⚠"&amp;TRIM(K287&amp;"")))</f>
        <v/>
      </c>
      <c r="T287" s="10">
        <f>IF(TRIM(M287&amp;"")="","",IF(ISNUMBER(MATCH(TRIM(M287&amp;""),코드표!$C$2:$C$11,0)),TRIM(M287&amp;""),"⚠"&amp;TRIM(M287&amp;"")))</f>
        <v/>
      </c>
      <c r="U287" s="10">
        <f>IF(TRIM(L287&amp;"")="","",IFERROR(INDEX(코드표!$G$2:$G$101,MATCH(TRIM(L287&amp;""),코드표!$F$2:$F$101,0)),"⚠"&amp;TRIM(L287&amp;"")))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IF(ISNUMBER(H287),MAX(0,MIN(IF(ISNUMBER(I287),I287,EOMONTH(요약!$B$3,0)),EOMONTH(요약!$B$3,0))-MAX(H287,요약!$B$3)+1),0)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IF(AND(ISNUMBER(AB287),ISNUMBER(AC287)),MAX(0,MIN(AC287,EOMONTH(요약!$B$3,0))-MAX(AB287,요약!$B$3)+1),0)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IF(TRIM(B288&amp;"")="","",IFERROR(INDEX(코드표!$K$2:$K$101,MATCH(TRIM(B288&amp;""),코드표!$J$2:$J$101,0)),"⚠"&amp;TRIM(B288&amp;"")))</f>
        <v/>
      </c>
      <c r="S288" s="10">
        <f>IF(TRIM(K288&amp;"")="","",IFERROR(INDEX(코드표!$K$2:$K$101,MATCH(TRIM(K288&amp;""),코드표!$J$2:$J$101,0)),"⚠"&amp;TRIM(K288&amp;"")))</f>
        <v/>
      </c>
      <c r="T288" s="10">
        <f>IF(TRIM(M288&amp;"")="","",IF(ISNUMBER(MATCH(TRIM(M288&amp;""),코드표!$C$2:$C$11,0)),TRIM(M288&amp;""),"⚠"&amp;TRIM(M288&amp;"")))</f>
        <v/>
      </c>
      <c r="U288" s="10">
        <f>IF(TRIM(L288&amp;"")="","",IFERROR(INDEX(코드표!$G$2:$G$101,MATCH(TRIM(L288&amp;""),코드표!$F$2:$F$101,0)),"⚠"&amp;TRIM(L288&amp;"")))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IF(ISNUMBER(H288),MAX(0,MIN(IF(ISNUMBER(I288),I288,EOMONTH(요약!$B$3,0)),EOMONTH(요약!$B$3,0))-MAX(H288,요약!$B$3)+1),0)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IF(AND(ISNUMBER(AB288),ISNUMBER(AC288)),MAX(0,MIN(AC288,EOMONTH(요약!$B$3,0))-MAX(AB288,요약!$B$3)+1),0)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IF(TRIM(B289&amp;"")="","",IFERROR(INDEX(코드표!$K$2:$K$101,MATCH(TRIM(B289&amp;""),코드표!$J$2:$J$101,0)),"⚠"&amp;TRIM(B289&amp;"")))</f>
        <v/>
      </c>
      <c r="S289" s="10">
        <f>IF(TRIM(K289&amp;"")="","",IFERROR(INDEX(코드표!$K$2:$K$101,MATCH(TRIM(K289&amp;""),코드표!$J$2:$J$101,0)),"⚠"&amp;TRIM(K289&amp;"")))</f>
        <v/>
      </c>
      <c r="T289" s="10">
        <f>IF(TRIM(M289&amp;"")="","",IF(ISNUMBER(MATCH(TRIM(M289&amp;""),코드표!$C$2:$C$11,0)),TRIM(M289&amp;""),"⚠"&amp;TRIM(M289&amp;"")))</f>
        <v/>
      </c>
      <c r="U289" s="10">
        <f>IF(TRIM(L289&amp;"")="","",IFERROR(INDEX(코드표!$G$2:$G$101,MATCH(TRIM(L289&amp;""),코드표!$F$2:$F$101,0)),"⚠"&amp;TRIM(L289&amp;"")))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IF(ISNUMBER(H289),MAX(0,MIN(IF(ISNUMBER(I289),I289,EOMONTH(요약!$B$3,0)),EOMONTH(요약!$B$3,0))-MAX(H289,요약!$B$3)+1),0)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IF(AND(ISNUMBER(AB289),ISNUMBER(AC289)),MAX(0,MIN(AC289,EOMONTH(요약!$B$3,0))-MAX(AB289,요약!$B$3)+1),0)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IF(TRIM(B290&amp;"")="","",IFERROR(INDEX(코드표!$K$2:$K$101,MATCH(TRIM(B290&amp;""),코드표!$J$2:$J$101,0)),"⚠"&amp;TRIM(B290&amp;"")))</f>
        <v/>
      </c>
      <c r="S290" s="10">
        <f>IF(TRIM(K290&amp;"")="","",IFERROR(INDEX(코드표!$K$2:$K$101,MATCH(TRIM(K290&amp;""),코드표!$J$2:$J$101,0)),"⚠"&amp;TRIM(K290&amp;"")))</f>
        <v/>
      </c>
      <c r="T290" s="10">
        <f>IF(TRIM(M290&amp;"")="","",IF(ISNUMBER(MATCH(TRIM(M290&amp;""),코드표!$C$2:$C$11,0)),TRIM(M290&amp;""),"⚠"&amp;TRIM(M290&amp;"")))</f>
        <v/>
      </c>
      <c r="U290" s="10">
        <f>IF(TRIM(L290&amp;"")="","",IFERROR(INDEX(코드표!$G$2:$G$101,MATCH(TRIM(L290&amp;""),코드표!$F$2:$F$101,0)),"⚠"&amp;TRIM(L290&amp;"")))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IF(ISNUMBER(H290),MAX(0,MIN(IF(ISNUMBER(I290),I290,EOMONTH(요약!$B$3,0)),EOMONTH(요약!$B$3,0))-MAX(H290,요약!$B$3)+1),0)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IF(AND(ISNUMBER(AB290),ISNUMBER(AC290)),MAX(0,MIN(AC290,EOMONTH(요약!$B$3,0))-MAX(AB290,요약!$B$3)+1),0)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IF(TRIM(B291&amp;"")="","",IFERROR(INDEX(코드표!$K$2:$K$101,MATCH(TRIM(B291&amp;""),코드표!$J$2:$J$101,0)),"⚠"&amp;TRIM(B291&amp;"")))</f>
        <v/>
      </c>
      <c r="S291" s="10">
        <f>IF(TRIM(K291&amp;"")="","",IFERROR(INDEX(코드표!$K$2:$K$101,MATCH(TRIM(K291&amp;""),코드표!$J$2:$J$101,0)),"⚠"&amp;TRIM(K291&amp;"")))</f>
        <v/>
      </c>
      <c r="T291" s="10">
        <f>IF(TRIM(M291&amp;"")="","",IF(ISNUMBER(MATCH(TRIM(M291&amp;""),코드표!$C$2:$C$11,0)),TRIM(M291&amp;""),"⚠"&amp;TRIM(M291&amp;"")))</f>
        <v/>
      </c>
      <c r="U291" s="10">
        <f>IF(TRIM(L291&amp;"")="","",IFERROR(INDEX(코드표!$G$2:$G$101,MATCH(TRIM(L291&amp;""),코드표!$F$2:$F$101,0)),"⚠"&amp;TRIM(L291&amp;"")))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IF(ISNUMBER(H291),MAX(0,MIN(IF(ISNUMBER(I291),I291,EOMONTH(요약!$B$3,0)),EOMONTH(요약!$B$3,0))-MAX(H291,요약!$B$3)+1),0)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IF(AND(ISNUMBER(AB291),ISNUMBER(AC291)),MAX(0,MIN(AC291,EOMONTH(요약!$B$3,0))-MAX(AB291,요약!$B$3)+1),0)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IF(TRIM(B292&amp;"")="","",IFERROR(INDEX(코드표!$K$2:$K$101,MATCH(TRIM(B292&amp;""),코드표!$J$2:$J$101,0)),"⚠"&amp;TRIM(B292&amp;"")))</f>
        <v/>
      </c>
      <c r="S292" s="10">
        <f>IF(TRIM(K292&amp;"")="","",IFERROR(INDEX(코드표!$K$2:$K$101,MATCH(TRIM(K292&amp;""),코드표!$J$2:$J$101,0)),"⚠"&amp;TRIM(K292&amp;"")))</f>
        <v/>
      </c>
      <c r="T292" s="10">
        <f>IF(TRIM(M292&amp;"")="","",IF(ISNUMBER(MATCH(TRIM(M292&amp;""),코드표!$C$2:$C$11,0)),TRIM(M292&amp;""),"⚠"&amp;TRIM(M292&amp;"")))</f>
        <v/>
      </c>
      <c r="U292" s="10">
        <f>IF(TRIM(L292&amp;"")="","",IFERROR(INDEX(코드표!$G$2:$G$101,MATCH(TRIM(L292&amp;""),코드표!$F$2:$F$101,0)),"⚠"&amp;TRIM(L292&amp;"")))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IF(ISNUMBER(H292),MAX(0,MIN(IF(ISNUMBER(I292),I292,EOMONTH(요약!$B$3,0)),EOMONTH(요약!$B$3,0))-MAX(H292,요약!$B$3)+1),0)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IF(AND(ISNUMBER(AB292),ISNUMBER(AC292)),MAX(0,MIN(AC292,EOMONTH(요약!$B$3,0))-MAX(AB292,요약!$B$3)+1),0)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IF(TRIM(B293&amp;"")="","",IFERROR(INDEX(코드표!$K$2:$K$101,MATCH(TRIM(B293&amp;""),코드표!$J$2:$J$101,0)),"⚠"&amp;TRIM(B293&amp;"")))</f>
        <v/>
      </c>
      <c r="S293" s="10">
        <f>IF(TRIM(K293&amp;"")="","",IFERROR(INDEX(코드표!$K$2:$K$101,MATCH(TRIM(K293&amp;""),코드표!$J$2:$J$101,0)),"⚠"&amp;TRIM(K293&amp;"")))</f>
        <v/>
      </c>
      <c r="T293" s="10">
        <f>IF(TRIM(M293&amp;"")="","",IF(ISNUMBER(MATCH(TRIM(M293&amp;""),코드표!$C$2:$C$11,0)),TRIM(M293&amp;""),"⚠"&amp;TRIM(M293&amp;"")))</f>
        <v/>
      </c>
      <c r="U293" s="10">
        <f>IF(TRIM(L293&amp;"")="","",IFERROR(INDEX(코드표!$G$2:$G$101,MATCH(TRIM(L293&amp;""),코드표!$F$2:$F$101,0)),"⚠"&amp;TRIM(L293&amp;"")))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IF(ISNUMBER(H293),MAX(0,MIN(IF(ISNUMBER(I293),I293,EOMONTH(요약!$B$3,0)),EOMONTH(요약!$B$3,0))-MAX(H293,요약!$B$3)+1),0)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IF(AND(ISNUMBER(AB293),ISNUMBER(AC293)),MAX(0,MIN(AC293,EOMONTH(요약!$B$3,0))-MAX(AB293,요약!$B$3)+1),0)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IF(TRIM(B294&amp;"")="","",IFERROR(INDEX(코드표!$K$2:$K$101,MATCH(TRIM(B294&amp;""),코드표!$J$2:$J$101,0)),"⚠"&amp;TRIM(B294&amp;"")))</f>
        <v/>
      </c>
      <c r="S294" s="10">
        <f>IF(TRIM(K294&amp;"")="","",IFERROR(INDEX(코드표!$K$2:$K$101,MATCH(TRIM(K294&amp;""),코드표!$J$2:$J$101,0)),"⚠"&amp;TRIM(K294&amp;"")))</f>
        <v/>
      </c>
      <c r="T294" s="10">
        <f>IF(TRIM(M294&amp;"")="","",IF(ISNUMBER(MATCH(TRIM(M294&amp;""),코드표!$C$2:$C$11,0)),TRIM(M294&amp;""),"⚠"&amp;TRIM(M294&amp;"")))</f>
        <v/>
      </c>
      <c r="U294" s="10">
        <f>IF(TRIM(L294&amp;"")="","",IFERROR(INDEX(코드표!$G$2:$G$101,MATCH(TRIM(L294&amp;""),코드표!$F$2:$F$101,0)),"⚠"&amp;TRIM(L294&amp;"")))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IF(ISNUMBER(H294),MAX(0,MIN(IF(ISNUMBER(I294),I294,EOMONTH(요약!$B$3,0)),EOMONTH(요약!$B$3,0))-MAX(H294,요약!$B$3)+1),0)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IF(AND(ISNUMBER(AB294),ISNUMBER(AC294)),MAX(0,MIN(AC294,EOMONTH(요약!$B$3,0))-MAX(AB294,요약!$B$3)+1),0)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IF(TRIM(B295&amp;"")="","",IFERROR(INDEX(코드표!$K$2:$K$101,MATCH(TRIM(B295&amp;""),코드표!$J$2:$J$101,0)),"⚠"&amp;TRIM(B295&amp;"")))</f>
        <v/>
      </c>
      <c r="S295" s="10">
        <f>IF(TRIM(K295&amp;"")="","",IFERROR(INDEX(코드표!$K$2:$K$101,MATCH(TRIM(K295&amp;""),코드표!$J$2:$J$101,0)),"⚠"&amp;TRIM(K295&amp;"")))</f>
        <v/>
      </c>
      <c r="T295" s="10">
        <f>IF(TRIM(M295&amp;"")="","",IF(ISNUMBER(MATCH(TRIM(M295&amp;""),코드표!$C$2:$C$11,0)),TRIM(M295&amp;""),"⚠"&amp;TRIM(M295&amp;"")))</f>
        <v/>
      </c>
      <c r="U295" s="10">
        <f>IF(TRIM(L295&amp;"")="","",IFERROR(INDEX(코드표!$G$2:$G$101,MATCH(TRIM(L295&amp;""),코드표!$F$2:$F$101,0)),"⚠"&amp;TRIM(L295&amp;"")))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IF(ISNUMBER(H295),MAX(0,MIN(IF(ISNUMBER(I295),I295,EOMONTH(요약!$B$3,0)),EOMONTH(요약!$B$3,0))-MAX(H295,요약!$B$3)+1),0)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IF(AND(ISNUMBER(AB295),ISNUMBER(AC295)),MAX(0,MIN(AC295,EOMONTH(요약!$B$3,0))-MAX(AB295,요약!$B$3)+1),0)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IF(TRIM(B296&amp;"")="","",IFERROR(INDEX(코드표!$K$2:$K$101,MATCH(TRIM(B296&amp;""),코드표!$J$2:$J$101,0)),"⚠"&amp;TRIM(B296&amp;"")))</f>
        <v/>
      </c>
      <c r="S296" s="10">
        <f>IF(TRIM(K296&amp;"")="","",IFERROR(INDEX(코드표!$K$2:$K$101,MATCH(TRIM(K296&amp;""),코드표!$J$2:$J$101,0)),"⚠"&amp;TRIM(K296&amp;"")))</f>
        <v/>
      </c>
      <c r="T296" s="10">
        <f>IF(TRIM(M296&amp;"")="","",IF(ISNUMBER(MATCH(TRIM(M296&amp;""),코드표!$C$2:$C$11,0)),TRIM(M296&amp;""),"⚠"&amp;TRIM(M296&amp;"")))</f>
        <v/>
      </c>
      <c r="U296" s="10">
        <f>IF(TRIM(L296&amp;"")="","",IFERROR(INDEX(코드표!$G$2:$G$101,MATCH(TRIM(L296&amp;""),코드표!$F$2:$F$101,0)),"⚠"&amp;TRIM(L296&amp;"")))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IF(ISNUMBER(H296),MAX(0,MIN(IF(ISNUMBER(I296),I296,EOMONTH(요약!$B$3,0)),EOMONTH(요약!$B$3,0))-MAX(H296,요약!$B$3)+1),0)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IF(AND(ISNUMBER(AB296),ISNUMBER(AC296)),MAX(0,MIN(AC296,EOMONTH(요약!$B$3,0))-MAX(AB296,요약!$B$3)+1),0)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IF(TRIM(B297&amp;"")="","",IFERROR(INDEX(코드표!$K$2:$K$101,MATCH(TRIM(B297&amp;""),코드표!$J$2:$J$101,0)),"⚠"&amp;TRIM(B297&amp;"")))</f>
        <v/>
      </c>
      <c r="S297" s="10">
        <f>IF(TRIM(K297&amp;"")="","",IFERROR(INDEX(코드표!$K$2:$K$101,MATCH(TRIM(K297&amp;""),코드표!$J$2:$J$101,0)),"⚠"&amp;TRIM(K297&amp;"")))</f>
        <v/>
      </c>
      <c r="T297" s="10">
        <f>IF(TRIM(M297&amp;"")="","",IF(ISNUMBER(MATCH(TRIM(M297&amp;""),코드표!$C$2:$C$11,0)),TRIM(M297&amp;""),"⚠"&amp;TRIM(M297&amp;"")))</f>
        <v/>
      </c>
      <c r="U297" s="10">
        <f>IF(TRIM(L297&amp;"")="","",IFERROR(INDEX(코드표!$G$2:$G$101,MATCH(TRIM(L297&amp;""),코드표!$F$2:$F$101,0)),"⚠"&amp;TRIM(L297&amp;"")))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IF(ISNUMBER(H297),MAX(0,MIN(IF(ISNUMBER(I297),I297,EOMONTH(요약!$B$3,0)),EOMONTH(요약!$B$3,0))-MAX(H297,요약!$B$3)+1),0)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IF(AND(ISNUMBER(AB297),ISNUMBER(AC297)),MAX(0,MIN(AC297,EOMONTH(요약!$B$3,0))-MAX(AB297,요약!$B$3)+1),0)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IF(TRIM(B298&amp;"")="","",IFERROR(INDEX(코드표!$K$2:$K$101,MATCH(TRIM(B298&amp;""),코드표!$J$2:$J$101,0)),"⚠"&amp;TRIM(B298&amp;"")))</f>
        <v/>
      </c>
      <c r="S298" s="10">
        <f>IF(TRIM(K298&amp;"")="","",IFERROR(INDEX(코드표!$K$2:$K$101,MATCH(TRIM(K298&amp;""),코드표!$J$2:$J$101,0)),"⚠"&amp;TRIM(K298&amp;"")))</f>
        <v/>
      </c>
      <c r="T298" s="10">
        <f>IF(TRIM(M298&amp;"")="","",IF(ISNUMBER(MATCH(TRIM(M298&amp;""),코드표!$C$2:$C$11,0)),TRIM(M298&amp;""),"⚠"&amp;TRIM(M298&amp;"")))</f>
        <v/>
      </c>
      <c r="U298" s="10">
        <f>IF(TRIM(L298&amp;"")="","",IFERROR(INDEX(코드표!$G$2:$G$101,MATCH(TRIM(L298&amp;""),코드표!$F$2:$F$101,0)),"⚠"&amp;TRIM(L298&amp;"")))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IF(ISNUMBER(H298),MAX(0,MIN(IF(ISNUMBER(I298),I298,EOMONTH(요약!$B$3,0)),EOMONTH(요약!$B$3,0))-MAX(H298,요약!$B$3)+1),0)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IF(AND(ISNUMBER(AB298),ISNUMBER(AC298)),MAX(0,MIN(AC298,EOMONTH(요약!$B$3,0))-MAX(AB298,요약!$B$3)+1),0)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IF(TRIM(B299&amp;"")="","",IFERROR(INDEX(코드표!$K$2:$K$101,MATCH(TRIM(B299&amp;""),코드표!$J$2:$J$101,0)),"⚠"&amp;TRIM(B299&amp;"")))</f>
        <v/>
      </c>
      <c r="S299" s="10">
        <f>IF(TRIM(K299&amp;"")="","",IFERROR(INDEX(코드표!$K$2:$K$101,MATCH(TRIM(K299&amp;""),코드표!$J$2:$J$101,0)),"⚠"&amp;TRIM(K299&amp;"")))</f>
        <v/>
      </c>
      <c r="T299" s="10">
        <f>IF(TRIM(M299&amp;"")="","",IF(ISNUMBER(MATCH(TRIM(M299&amp;""),코드표!$C$2:$C$11,0)),TRIM(M299&amp;""),"⚠"&amp;TRIM(M299&amp;"")))</f>
        <v/>
      </c>
      <c r="U299" s="10">
        <f>IF(TRIM(L299&amp;"")="","",IFERROR(INDEX(코드표!$G$2:$G$101,MATCH(TRIM(L299&amp;""),코드표!$F$2:$F$101,0)),"⚠"&amp;TRIM(L299&amp;"")))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IF(ISNUMBER(H299),MAX(0,MIN(IF(ISNUMBER(I299),I299,EOMONTH(요약!$B$3,0)),EOMONTH(요약!$B$3,0))-MAX(H299,요약!$B$3)+1),0)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IF(AND(ISNUMBER(AB299),ISNUMBER(AC299)),MAX(0,MIN(AC299,EOMONTH(요약!$B$3,0))-MAX(AB299,요약!$B$3)+1),0)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IF(TRIM(B300&amp;"")="","",IFERROR(INDEX(코드표!$K$2:$K$101,MATCH(TRIM(B300&amp;""),코드표!$J$2:$J$101,0)),"⚠"&amp;TRIM(B300&amp;"")))</f>
        <v/>
      </c>
      <c r="S300" s="10">
        <f>IF(TRIM(K300&amp;"")="","",IFERROR(INDEX(코드표!$K$2:$K$101,MATCH(TRIM(K300&amp;""),코드표!$J$2:$J$101,0)),"⚠"&amp;TRIM(K300&amp;"")))</f>
        <v/>
      </c>
      <c r="T300" s="10">
        <f>IF(TRIM(M300&amp;"")="","",IF(ISNUMBER(MATCH(TRIM(M300&amp;""),코드표!$C$2:$C$11,0)),TRIM(M300&amp;""),"⚠"&amp;TRIM(M300&amp;"")))</f>
        <v/>
      </c>
      <c r="U300" s="10">
        <f>IF(TRIM(L300&amp;"")="","",IFERROR(INDEX(코드표!$G$2:$G$101,MATCH(TRIM(L300&amp;""),코드표!$F$2:$F$101,0)),"⚠"&amp;TRIM(L300&amp;"")))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IF(ISNUMBER(H300),MAX(0,MIN(IF(ISNUMBER(I300),I300,EOMONTH(요약!$B$3,0)),EOMONTH(요약!$B$3,0))-MAX(H300,요약!$B$3)+1),0)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IF(AND(ISNUMBER(AB300),ISNUMBER(AC300)),MAX(0,MIN(AC300,EOMONTH(요약!$B$3,0))-MAX(AB300,요약!$B$3)+1),0)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IF(TRIM(B301&amp;"")="","",IFERROR(INDEX(코드표!$K$2:$K$101,MATCH(TRIM(B301&amp;""),코드표!$J$2:$J$101,0)),"⚠"&amp;TRIM(B301&amp;"")))</f>
        <v/>
      </c>
      <c r="S301" s="10">
        <f>IF(TRIM(K301&amp;"")="","",IFERROR(INDEX(코드표!$K$2:$K$101,MATCH(TRIM(K301&amp;""),코드표!$J$2:$J$101,0)),"⚠"&amp;TRIM(K301&amp;"")))</f>
        <v/>
      </c>
      <c r="T301" s="10">
        <f>IF(TRIM(M301&amp;"")="","",IF(ISNUMBER(MATCH(TRIM(M301&amp;""),코드표!$C$2:$C$11,0)),TRIM(M301&amp;""),"⚠"&amp;TRIM(M301&amp;"")))</f>
        <v/>
      </c>
      <c r="U301" s="10">
        <f>IF(TRIM(L301&amp;"")="","",IFERROR(INDEX(코드표!$G$2:$G$101,MATCH(TRIM(L301&amp;""),코드표!$F$2:$F$101,0)),"⚠"&amp;TRIM(L301&amp;"")))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IF(ISNUMBER(H301),MAX(0,MIN(IF(ISNUMBER(I301),I301,EOMONTH(요약!$B$3,0)),EOMONTH(요약!$B$3,0))-MAX(H301,요약!$B$3)+1),0)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IF(AND(ISNUMBER(AB301),ISNUMBER(AC301)),MAX(0,MIN(AC301,EOMONTH(요약!$B$3,0))-MAX(AB301,요약!$B$3)+1),0)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IF(TRIM(B302&amp;"")="","",IFERROR(INDEX(코드표!$K$2:$K$101,MATCH(TRIM(B302&amp;""),코드표!$J$2:$J$101,0)),"⚠"&amp;TRIM(B302&amp;"")))</f>
        <v/>
      </c>
      <c r="S302" s="10">
        <f>IF(TRIM(K302&amp;"")="","",IFERROR(INDEX(코드표!$K$2:$K$101,MATCH(TRIM(K302&amp;""),코드표!$J$2:$J$101,0)),"⚠"&amp;TRIM(K302&amp;"")))</f>
        <v/>
      </c>
      <c r="T302" s="10">
        <f>IF(TRIM(M302&amp;"")="","",IF(ISNUMBER(MATCH(TRIM(M302&amp;""),코드표!$C$2:$C$11,0)),TRIM(M302&amp;""),"⚠"&amp;TRIM(M302&amp;"")))</f>
        <v/>
      </c>
      <c r="U302" s="10">
        <f>IF(TRIM(L302&amp;"")="","",IFERROR(INDEX(코드표!$G$2:$G$101,MATCH(TRIM(L302&amp;""),코드표!$F$2:$F$101,0)),"⚠"&amp;TRIM(L302&amp;"")))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IF(ISNUMBER(H302),MAX(0,MIN(IF(ISNUMBER(I302),I302,EOMONTH(요약!$B$3,0)),EOMONTH(요약!$B$3,0))-MAX(H302,요약!$B$3)+1),0)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IF(AND(ISNUMBER(AB302),ISNUMBER(AC302)),MAX(0,MIN(AC302,EOMONTH(요약!$B$3,0))-MAX(AB302,요약!$B$3)+1),0)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IF(TRIM(B303&amp;"")="","",IFERROR(INDEX(코드표!$K$2:$K$101,MATCH(TRIM(B303&amp;""),코드표!$J$2:$J$101,0)),"⚠"&amp;TRIM(B303&amp;"")))</f>
        <v/>
      </c>
      <c r="S303" s="10">
        <f>IF(TRIM(K303&amp;"")="","",IFERROR(INDEX(코드표!$K$2:$K$101,MATCH(TRIM(K303&amp;""),코드표!$J$2:$J$101,0)),"⚠"&amp;TRIM(K303&amp;"")))</f>
        <v/>
      </c>
      <c r="T303" s="10">
        <f>IF(TRIM(M303&amp;"")="","",IF(ISNUMBER(MATCH(TRIM(M303&amp;""),코드표!$C$2:$C$11,0)),TRIM(M303&amp;""),"⚠"&amp;TRIM(M303&amp;"")))</f>
        <v/>
      </c>
      <c r="U303" s="10">
        <f>IF(TRIM(L303&amp;"")="","",IFERROR(INDEX(코드표!$G$2:$G$101,MATCH(TRIM(L303&amp;""),코드표!$F$2:$F$101,0)),"⚠"&amp;TRIM(L303&amp;"")))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IF(ISNUMBER(H303),MAX(0,MIN(IF(ISNUMBER(I303),I303,EOMONTH(요약!$B$3,0)),EOMONTH(요약!$B$3,0))-MAX(H303,요약!$B$3)+1),0)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IF(AND(ISNUMBER(AB303),ISNUMBER(AC303)),MAX(0,MIN(AC303,EOMONTH(요약!$B$3,0))-MAX(AB303,요약!$B$3)+1),0)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IF(TRIM(B304&amp;"")="","",IFERROR(INDEX(코드표!$K$2:$K$101,MATCH(TRIM(B304&amp;""),코드표!$J$2:$J$101,0)),"⚠"&amp;TRIM(B304&amp;"")))</f>
        <v/>
      </c>
      <c r="S304" s="10">
        <f>IF(TRIM(K304&amp;"")="","",IFERROR(INDEX(코드표!$K$2:$K$101,MATCH(TRIM(K304&amp;""),코드표!$J$2:$J$101,0)),"⚠"&amp;TRIM(K304&amp;"")))</f>
        <v/>
      </c>
      <c r="T304" s="10">
        <f>IF(TRIM(M304&amp;"")="","",IF(ISNUMBER(MATCH(TRIM(M304&amp;""),코드표!$C$2:$C$11,0)),TRIM(M304&amp;""),"⚠"&amp;TRIM(M304&amp;"")))</f>
        <v/>
      </c>
      <c r="U304" s="10">
        <f>IF(TRIM(L304&amp;"")="","",IFERROR(INDEX(코드표!$G$2:$G$101,MATCH(TRIM(L304&amp;""),코드표!$F$2:$F$101,0)),"⚠"&amp;TRIM(L304&amp;"")))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IF(ISNUMBER(H304),MAX(0,MIN(IF(ISNUMBER(I304),I304,EOMONTH(요약!$B$3,0)),EOMONTH(요약!$B$3,0))-MAX(H304,요약!$B$3)+1),0)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IF(AND(ISNUMBER(AB304),ISNUMBER(AC304)),MAX(0,MIN(AC304,EOMONTH(요약!$B$3,0))-MAX(AB304,요약!$B$3)+1),0)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IF(TRIM(B305&amp;"")="","",IFERROR(INDEX(코드표!$K$2:$K$101,MATCH(TRIM(B305&amp;""),코드표!$J$2:$J$101,0)),"⚠"&amp;TRIM(B305&amp;"")))</f>
        <v/>
      </c>
      <c r="S305" s="10">
        <f>IF(TRIM(K305&amp;"")="","",IFERROR(INDEX(코드표!$K$2:$K$101,MATCH(TRIM(K305&amp;""),코드표!$J$2:$J$101,0)),"⚠"&amp;TRIM(K305&amp;"")))</f>
        <v/>
      </c>
      <c r="T305" s="10">
        <f>IF(TRIM(M305&amp;"")="","",IF(ISNUMBER(MATCH(TRIM(M305&amp;""),코드표!$C$2:$C$11,0)),TRIM(M305&amp;""),"⚠"&amp;TRIM(M305&amp;"")))</f>
        <v/>
      </c>
      <c r="U305" s="10">
        <f>IF(TRIM(L305&amp;"")="","",IFERROR(INDEX(코드표!$G$2:$G$101,MATCH(TRIM(L305&amp;""),코드표!$F$2:$F$101,0)),"⚠"&amp;TRIM(L305&amp;"")))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IF(ISNUMBER(H305),MAX(0,MIN(IF(ISNUMBER(I305),I305,EOMONTH(요약!$B$3,0)),EOMONTH(요약!$B$3,0))-MAX(H305,요약!$B$3)+1),0)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IF(AND(ISNUMBER(AB305),ISNUMBER(AC305)),MAX(0,MIN(AC305,EOMONTH(요약!$B$3,0))-MAX(AB305,요약!$B$3)+1),0)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IF(TRIM(B306&amp;"")="","",IFERROR(INDEX(코드표!$K$2:$K$101,MATCH(TRIM(B306&amp;""),코드표!$J$2:$J$101,0)),"⚠"&amp;TRIM(B306&amp;"")))</f>
        <v/>
      </c>
      <c r="S306" s="10">
        <f>IF(TRIM(K306&amp;"")="","",IFERROR(INDEX(코드표!$K$2:$K$101,MATCH(TRIM(K306&amp;""),코드표!$J$2:$J$101,0)),"⚠"&amp;TRIM(K306&amp;"")))</f>
        <v/>
      </c>
      <c r="T306" s="10">
        <f>IF(TRIM(M306&amp;"")="","",IF(ISNUMBER(MATCH(TRIM(M306&amp;""),코드표!$C$2:$C$11,0)),TRIM(M306&amp;""),"⚠"&amp;TRIM(M306&amp;"")))</f>
        <v/>
      </c>
      <c r="U306" s="10">
        <f>IF(TRIM(L306&amp;"")="","",IFERROR(INDEX(코드표!$G$2:$G$101,MATCH(TRIM(L306&amp;""),코드표!$F$2:$F$101,0)),"⚠"&amp;TRIM(L306&amp;"")))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IF(ISNUMBER(H306),MAX(0,MIN(IF(ISNUMBER(I306),I306,EOMONTH(요약!$B$3,0)),EOMONTH(요약!$B$3,0))-MAX(H306,요약!$B$3)+1),0)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IF(AND(ISNUMBER(AB306),ISNUMBER(AC306)),MAX(0,MIN(AC306,EOMONTH(요약!$B$3,0))-MAX(AB306,요약!$B$3)+1),0)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IF(TRIM(B307&amp;"")="","",IFERROR(INDEX(코드표!$K$2:$K$101,MATCH(TRIM(B307&amp;""),코드표!$J$2:$J$101,0)),"⚠"&amp;TRIM(B307&amp;"")))</f>
        <v/>
      </c>
      <c r="S307" s="10">
        <f>IF(TRIM(K307&amp;"")="","",IFERROR(INDEX(코드표!$K$2:$K$101,MATCH(TRIM(K307&amp;""),코드표!$J$2:$J$101,0)),"⚠"&amp;TRIM(K307&amp;"")))</f>
        <v/>
      </c>
      <c r="T307" s="10">
        <f>IF(TRIM(M307&amp;"")="","",IF(ISNUMBER(MATCH(TRIM(M307&amp;""),코드표!$C$2:$C$11,0)),TRIM(M307&amp;""),"⚠"&amp;TRIM(M307&amp;"")))</f>
        <v/>
      </c>
      <c r="U307" s="10">
        <f>IF(TRIM(L307&amp;"")="","",IFERROR(INDEX(코드표!$G$2:$G$101,MATCH(TRIM(L307&amp;""),코드표!$F$2:$F$101,0)),"⚠"&amp;TRIM(L307&amp;"")))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IF(ISNUMBER(H307),MAX(0,MIN(IF(ISNUMBER(I307),I307,EOMONTH(요약!$B$3,0)),EOMONTH(요약!$B$3,0))-MAX(H307,요약!$B$3)+1),0)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IF(AND(ISNUMBER(AB307),ISNUMBER(AC307)),MAX(0,MIN(AC307,EOMONTH(요약!$B$3,0))-MAX(AB307,요약!$B$3)+1),0)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IF(TRIM(B308&amp;"")="","",IFERROR(INDEX(코드표!$K$2:$K$101,MATCH(TRIM(B308&amp;""),코드표!$J$2:$J$101,0)),"⚠"&amp;TRIM(B308&amp;"")))</f>
        <v/>
      </c>
      <c r="S308" s="10">
        <f>IF(TRIM(K308&amp;"")="","",IFERROR(INDEX(코드표!$K$2:$K$101,MATCH(TRIM(K308&amp;""),코드표!$J$2:$J$101,0)),"⚠"&amp;TRIM(K308&amp;"")))</f>
        <v/>
      </c>
      <c r="T308" s="10">
        <f>IF(TRIM(M308&amp;"")="","",IF(ISNUMBER(MATCH(TRIM(M308&amp;""),코드표!$C$2:$C$11,0)),TRIM(M308&amp;""),"⚠"&amp;TRIM(M308&amp;"")))</f>
        <v/>
      </c>
      <c r="U308" s="10">
        <f>IF(TRIM(L308&amp;"")="","",IFERROR(INDEX(코드표!$G$2:$G$101,MATCH(TRIM(L308&amp;""),코드표!$F$2:$F$101,0)),"⚠"&amp;TRIM(L308&amp;"")))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IF(ISNUMBER(H308),MAX(0,MIN(IF(ISNUMBER(I308),I308,EOMONTH(요약!$B$3,0)),EOMONTH(요약!$B$3,0))-MAX(H308,요약!$B$3)+1),0)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IF(AND(ISNUMBER(AB308),ISNUMBER(AC308)),MAX(0,MIN(AC308,EOMONTH(요약!$B$3,0))-MAX(AB308,요약!$B$3)+1),0)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IF(TRIM(B309&amp;"")="","",IFERROR(INDEX(코드표!$K$2:$K$101,MATCH(TRIM(B309&amp;""),코드표!$J$2:$J$101,0)),"⚠"&amp;TRIM(B309&amp;"")))</f>
        <v/>
      </c>
      <c r="S309" s="10">
        <f>IF(TRIM(K309&amp;"")="","",IFERROR(INDEX(코드표!$K$2:$K$101,MATCH(TRIM(K309&amp;""),코드표!$J$2:$J$101,0)),"⚠"&amp;TRIM(K309&amp;"")))</f>
        <v/>
      </c>
      <c r="T309" s="10">
        <f>IF(TRIM(M309&amp;"")="","",IF(ISNUMBER(MATCH(TRIM(M309&amp;""),코드표!$C$2:$C$11,0)),TRIM(M309&amp;""),"⚠"&amp;TRIM(M309&amp;"")))</f>
        <v/>
      </c>
      <c r="U309" s="10">
        <f>IF(TRIM(L309&amp;"")="","",IFERROR(INDEX(코드표!$G$2:$G$101,MATCH(TRIM(L309&amp;""),코드표!$F$2:$F$101,0)),"⚠"&amp;TRIM(L309&amp;"")))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IF(ISNUMBER(H309),MAX(0,MIN(IF(ISNUMBER(I309),I309,EOMONTH(요약!$B$3,0)),EOMONTH(요약!$B$3,0))-MAX(H309,요약!$B$3)+1),0)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IF(AND(ISNUMBER(AB309),ISNUMBER(AC309)),MAX(0,MIN(AC309,EOMONTH(요약!$B$3,0))-MAX(AB309,요약!$B$3)+1),0)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IF(TRIM(B310&amp;"")="","",IFERROR(INDEX(코드표!$K$2:$K$101,MATCH(TRIM(B310&amp;""),코드표!$J$2:$J$101,0)),"⚠"&amp;TRIM(B310&amp;"")))</f>
        <v/>
      </c>
      <c r="S310" s="10">
        <f>IF(TRIM(K310&amp;"")="","",IFERROR(INDEX(코드표!$K$2:$K$101,MATCH(TRIM(K310&amp;""),코드표!$J$2:$J$101,0)),"⚠"&amp;TRIM(K310&amp;"")))</f>
        <v/>
      </c>
      <c r="T310" s="10">
        <f>IF(TRIM(M310&amp;"")="","",IF(ISNUMBER(MATCH(TRIM(M310&amp;""),코드표!$C$2:$C$11,0)),TRIM(M310&amp;""),"⚠"&amp;TRIM(M310&amp;"")))</f>
        <v/>
      </c>
      <c r="U310" s="10">
        <f>IF(TRIM(L310&amp;"")="","",IFERROR(INDEX(코드표!$G$2:$G$101,MATCH(TRIM(L310&amp;""),코드표!$F$2:$F$101,0)),"⚠"&amp;TRIM(L310&amp;"")))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IF(ISNUMBER(H310),MAX(0,MIN(IF(ISNUMBER(I310),I310,EOMONTH(요약!$B$3,0)),EOMONTH(요약!$B$3,0))-MAX(H310,요약!$B$3)+1),0)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IF(AND(ISNUMBER(AB310),ISNUMBER(AC310)),MAX(0,MIN(AC310,EOMONTH(요약!$B$3,0))-MAX(AB310,요약!$B$3)+1),0)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IF(TRIM(B311&amp;"")="","",IFERROR(INDEX(코드표!$K$2:$K$101,MATCH(TRIM(B311&amp;""),코드표!$J$2:$J$101,0)),"⚠"&amp;TRIM(B311&amp;"")))</f>
        <v/>
      </c>
      <c r="S311" s="10">
        <f>IF(TRIM(K311&amp;"")="","",IFERROR(INDEX(코드표!$K$2:$K$101,MATCH(TRIM(K311&amp;""),코드표!$J$2:$J$101,0)),"⚠"&amp;TRIM(K311&amp;"")))</f>
        <v/>
      </c>
      <c r="T311" s="10">
        <f>IF(TRIM(M311&amp;"")="","",IF(ISNUMBER(MATCH(TRIM(M311&amp;""),코드표!$C$2:$C$11,0)),TRIM(M311&amp;""),"⚠"&amp;TRIM(M311&amp;"")))</f>
        <v/>
      </c>
      <c r="U311" s="10">
        <f>IF(TRIM(L311&amp;"")="","",IFERROR(INDEX(코드표!$G$2:$G$101,MATCH(TRIM(L311&amp;""),코드표!$F$2:$F$101,0)),"⚠"&amp;TRIM(L311&amp;"")))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IF(ISNUMBER(H311),MAX(0,MIN(IF(ISNUMBER(I311),I311,EOMONTH(요약!$B$3,0)),EOMONTH(요약!$B$3,0))-MAX(H311,요약!$B$3)+1),0)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IF(AND(ISNUMBER(AB311),ISNUMBER(AC311)),MAX(0,MIN(AC311,EOMONTH(요약!$B$3,0))-MAX(AB311,요약!$B$3)+1),0)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IF(TRIM(B312&amp;"")="","",IFERROR(INDEX(코드표!$K$2:$K$101,MATCH(TRIM(B312&amp;""),코드표!$J$2:$J$101,0)),"⚠"&amp;TRIM(B312&amp;"")))</f>
        <v/>
      </c>
      <c r="S312" s="10">
        <f>IF(TRIM(K312&amp;"")="","",IFERROR(INDEX(코드표!$K$2:$K$101,MATCH(TRIM(K312&amp;""),코드표!$J$2:$J$101,0)),"⚠"&amp;TRIM(K312&amp;"")))</f>
        <v/>
      </c>
      <c r="T312" s="10">
        <f>IF(TRIM(M312&amp;"")="","",IF(ISNUMBER(MATCH(TRIM(M312&amp;""),코드표!$C$2:$C$11,0)),TRIM(M312&amp;""),"⚠"&amp;TRIM(M312&amp;"")))</f>
        <v/>
      </c>
      <c r="U312" s="10">
        <f>IF(TRIM(L312&amp;"")="","",IFERROR(INDEX(코드표!$G$2:$G$101,MATCH(TRIM(L312&amp;""),코드표!$F$2:$F$101,0)),"⚠"&amp;TRIM(L312&amp;"")))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IF(ISNUMBER(H312),MAX(0,MIN(IF(ISNUMBER(I312),I312,EOMONTH(요약!$B$3,0)),EOMONTH(요약!$B$3,0))-MAX(H312,요약!$B$3)+1),0)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IF(AND(ISNUMBER(AB312),ISNUMBER(AC312)),MAX(0,MIN(AC312,EOMONTH(요약!$B$3,0))-MAX(AB312,요약!$B$3)+1),0)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IF(TRIM(B313&amp;"")="","",IFERROR(INDEX(코드표!$K$2:$K$101,MATCH(TRIM(B313&amp;""),코드표!$J$2:$J$101,0)),"⚠"&amp;TRIM(B313&amp;"")))</f>
        <v/>
      </c>
      <c r="S313" s="10">
        <f>IF(TRIM(K313&amp;"")="","",IFERROR(INDEX(코드표!$K$2:$K$101,MATCH(TRIM(K313&amp;""),코드표!$J$2:$J$101,0)),"⚠"&amp;TRIM(K313&amp;"")))</f>
        <v/>
      </c>
      <c r="T313" s="10">
        <f>IF(TRIM(M313&amp;"")="","",IF(ISNUMBER(MATCH(TRIM(M313&amp;""),코드표!$C$2:$C$11,0)),TRIM(M313&amp;""),"⚠"&amp;TRIM(M313&amp;"")))</f>
        <v/>
      </c>
      <c r="U313" s="10">
        <f>IF(TRIM(L313&amp;"")="","",IFERROR(INDEX(코드표!$G$2:$G$101,MATCH(TRIM(L313&amp;""),코드표!$F$2:$F$101,0)),"⚠"&amp;TRIM(L313&amp;"")))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IF(ISNUMBER(H313),MAX(0,MIN(IF(ISNUMBER(I313),I313,EOMONTH(요약!$B$3,0)),EOMONTH(요약!$B$3,0))-MAX(H313,요약!$B$3)+1),0)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IF(AND(ISNUMBER(AB313),ISNUMBER(AC313)),MAX(0,MIN(AC313,EOMONTH(요약!$B$3,0))-MAX(AB313,요약!$B$3)+1),0)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IF(TRIM(B314&amp;"")="","",IFERROR(INDEX(코드표!$K$2:$K$101,MATCH(TRIM(B314&amp;""),코드표!$J$2:$J$101,0)),"⚠"&amp;TRIM(B314&amp;"")))</f>
        <v/>
      </c>
      <c r="S314" s="10">
        <f>IF(TRIM(K314&amp;"")="","",IFERROR(INDEX(코드표!$K$2:$K$101,MATCH(TRIM(K314&amp;""),코드표!$J$2:$J$101,0)),"⚠"&amp;TRIM(K314&amp;"")))</f>
        <v/>
      </c>
      <c r="T314" s="10">
        <f>IF(TRIM(M314&amp;"")="","",IF(ISNUMBER(MATCH(TRIM(M314&amp;""),코드표!$C$2:$C$11,0)),TRIM(M314&amp;""),"⚠"&amp;TRIM(M314&amp;"")))</f>
        <v/>
      </c>
      <c r="U314" s="10">
        <f>IF(TRIM(L314&amp;"")="","",IFERROR(INDEX(코드표!$G$2:$G$101,MATCH(TRIM(L314&amp;""),코드표!$F$2:$F$101,0)),"⚠"&amp;TRIM(L314&amp;"")))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IF(ISNUMBER(H314),MAX(0,MIN(IF(ISNUMBER(I314),I314,EOMONTH(요약!$B$3,0)),EOMONTH(요약!$B$3,0))-MAX(H314,요약!$B$3)+1),0)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IF(AND(ISNUMBER(AB314),ISNUMBER(AC314)),MAX(0,MIN(AC314,EOMONTH(요약!$B$3,0))-MAX(AB314,요약!$B$3)+1),0)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IF(TRIM(B315&amp;"")="","",IFERROR(INDEX(코드표!$K$2:$K$101,MATCH(TRIM(B315&amp;""),코드표!$J$2:$J$101,0)),"⚠"&amp;TRIM(B315&amp;"")))</f>
        <v/>
      </c>
      <c r="S315" s="10">
        <f>IF(TRIM(K315&amp;"")="","",IFERROR(INDEX(코드표!$K$2:$K$101,MATCH(TRIM(K315&amp;""),코드표!$J$2:$J$101,0)),"⚠"&amp;TRIM(K315&amp;"")))</f>
        <v/>
      </c>
      <c r="T315" s="10">
        <f>IF(TRIM(M315&amp;"")="","",IF(ISNUMBER(MATCH(TRIM(M315&amp;""),코드표!$C$2:$C$11,0)),TRIM(M315&amp;""),"⚠"&amp;TRIM(M315&amp;"")))</f>
        <v/>
      </c>
      <c r="U315" s="10">
        <f>IF(TRIM(L315&amp;"")="","",IFERROR(INDEX(코드표!$G$2:$G$101,MATCH(TRIM(L315&amp;""),코드표!$F$2:$F$101,0)),"⚠"&amp;TRIM(L315&amp;"")))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IF(ISNUMBER(H315),MAX(0,MIN(IF(ISNUMBER(I315),I315,EOMONTH(요약!$B$3,0)),EOMONTH(요약!$B$3,0))-MAX(H315,요약!$B$3)+1),0)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IF(AND(ISNUMBER(AB315),ISNUMBER(AC315)),MAX(0,MIN(AC315,EOMONTH(요약!$B$3,0))-MAX(AB315,요약!$B$3)+1),0)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IF(TRIM(B316&amp;"")="","",IFERROR(INDEX(코드표!$K$2:$K$101,MATCH(TRIM(B316&amp;""),코드표!$J$2:$J$101,0)),"⚠"&amp;TRIM(B316&amp;"")))</f>
        <v/>
      </c>
      <c r="S316" s="10">
        <f>IF(TRIM(K316&amp;"")="","",IFERROR(INDEX(코드표!$K$2:$K$101,MATCH(TRIM(K316&amp;""),코드표!$J$2:$J$101,0)),"⚠"&amp;TRIM(K316&amp;"")))</f>
        <v/>
      </c>
      <c r="T316" s="10">
        <f>IF(TRIM(M316&amp;"")="","",IF(ISNUMBER(MATCH(TRIM(M316&amp;""),코드표!$C$2:$C$11,0)),TRIM(M316&amp;""),"⚠"&amp;TRIM(M316&amp;"")))</f>
        <v/>
      </c>
      <c r="U316" s="10">
        <f>IF(TRIM(L316&amp;"")="","",IFERROR(INDEX(코드표!$G$2:$G$101,MATCH(TRIM(L316&amp;""),코드표!$F$2:$F$101,0)),"⚠"&amp;TRIM(L316&amp;"")))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IF(ISNUMBER(H316),MAX(0,MIN(IF(ISNUMBER(I316),I316,EOMONTH(요약!$B$3,0)),EOMONTH(요약!$B$3,0))-MAX(H316,요약!$B$3)+1),0)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IF(AND(ISNUMBER(AB316),ISNUMBER(AC316)),MAX(0,MIN(AC316,EOMONTH(요약!$B$3,0))-MAX(AB316,요약!$B$3)+1),0)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IF(TRIM(B317&amp;"")="","",IFERROR(INDEX(코드표!$K$2:$K$101,MATCH(TRIM(B317&amp;""),코드표!$J$2:$J$101,0)),"⚠"&amp;TRIM(B317&amp;"")))</f>
        <v/>
      </c>
      <c r="S317" s="10">
        <f>IF(TRIM(K317&amp;"")="","",IFERROR(INDEX(코드표!$K$2:$K$101,MATCH(TRIM(K317&amp;""),코드표!$J$2:$J$101,0)),"⚠"&amp;TRIM(K317&amp;"")))</f>
        <v/>
      </c>
      <c r="T317" s="10">
        <f>IF(TRIM(M317&amp;"")="","",IF(ISNUMBER(MATCH(TRIM(M317&amp;""),코드표!$C$2:$C$11,0)),TRIM(M317&amp;""),"⚠"&amp;TRIM(M317&amp;"")))</f>
        <v/>
      </c>
      <c r="U317" s="10">
        <f>IF(TRIM(L317&amp;"")="","",IFERROR(INDEX(코드표!$G$2:$G$101,MATCH(TRIM(L317&amp;""),코드표!$F$2:$F$101,0)),"⚠"&amp;TRIM(L317&amp;"")))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IF(ISNUMBER(H317),MAX(0,MIN(IF(ISNUMBER(I317),I317,EOMONTH(요약!$B$3,0)),EOMONTH(요약!$B$3,0))-MAX(H317,요약!$B$3)+1),0)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IF(AND(ISNUMBER(AB317),ISNUMBER(AC317)),MAX(0,MIN(AC317,EOMONTH(요약!$B$3,0))-MAX(AB317,요약!$B$3)+1),0)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IF(TRIM(B318&amp;"")="","",IFERROR(INDEX(코드표!$K$2:$K$101,MATCH(TRIM(B318&amp;""),코드표!$J$2:$J$101,0)),"⚠"&amp;TRIM(B318&amp;"")))</f>
        <v/>
      </c>
      <c r="S318" s="10">
        <f>IF(TRIM(K318&amp;"")="","",IFERROR(INDEX(코드표!$K$2:$K$101,MATCH(TRIM(K318&amp;""),코드표!$J$2:$J$101,0)),"⚠"&amp;TRIM(K318&amp;"")))</f>
        <v/>
      </c>
      <c r="T318" s="10">
        <f>IF(TRIM(M318&amp;"")="","",IF(ISNUMBER(MATCH(TRIM(M318&amp;""),코드표!$C$2:$C$11,0)),TRIM(M318&amp;""),"⚠"&amp;TRIM(M318&amp;"")))</f>
        <v/>
      </c>
      <c r="U318" s="10">
        <f>IF(TRIM(L318&amp;"")="","",IFERROR(INDEX(코드표!$G$2:$G$101,MATCH(TRIM(L318&amp;""),코드표!$F$2:$F$101,0)),"⚠"&amp;TRIM(L318&amp;"")))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IF(ISNUMBER(H318),MAX(0,MIN(IF(ISNUMBER(I318),I318,EOMONTH(요약!$B$3,0)),EOMONTH(요약!$B$3,0))-MAX(H318,요약!$B$3)+1),0)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IF(AND(ISNUMBER(AB318),ISNUMBER(AC318)),MAX(0,MIN(AC318,EOMONTH(요약!$B$3,0))-MAX(AB318,요약!$B$3)+1),0)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IF(TRIM(B319&amp;"")="","",IFERROR(INDEX(코드표!$K$2:$K$101,MATCH(TRIM(B319&amp;""),코드표!$J$2:$J$101,0)),"⚠"&amp;TRIM(B319&amp;"")))</f>
        <v/>
      </c>
      <c r="S319" s="10">
        <f>IF(TRIM(K319&amp;"")="","",IFERROR(INDEX(코드표!$K$2:$K$101,MATCH(TRIM(K319&amp;""),코드표!$J$2:$J$101,0)),"⚠"&amp;TRIM(K319&amp;"")))</f>
        <v/>
      </c>
      <c r="T319" s="10">
        <f>IF(TRIM(M319&amp;"")="","",IF(ISNUMBER(MATCH(TRIM(M319&amp;""),코드표!$C$2:$C$11,0)),TRIM(M319&amp;""),"⚠"&amp;TRIM(M319&amp;"")))</f>
        <v/>
      </c>
      <c r="U319" s="10">
        <f>IF(TRIM(L319&amp;"")="","",IFERROR(INDEX(코드표!$G$2:$G$101,MATCH(TRIM(L319&amp;""),코드표!$F$2:$F$101,0)),"⚠"&amp;TRIM(L319&amp;"")))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IF(ISNUMBER(H319),MAX(0,MIN(IF(ISNUMBER(I319),I319,EOMONTH(요약!$B$3,0)),EOMONTH(요약!$B$3,0))-MAX(H319,요약!$B$3)+1),0)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IF(AND(ISNUMBER(AB319),ISNUMBER(AC319)),MAX(0,MIN(AC319,EOMONTH(요약!$B$3,0))-MAX(AB319,요약!$B$3)+1),0)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IF(TRIM(B320&amp;"")="","",IFERROR(INDEX(코드표!$K$2:$K$101,MATCH(TRIM(B320&amp;""),코드표!$J$2:$J$101,0)),"⚠"&amp;TRIM(B320&amp;"")))</f>
        <v/>
      </c>
      <c r="S320" s="10">
        <f>IF(TRIM(K320&amp;"")="","",IFERROR(INDEX(코드표!$K$2:$K$101,MATCH(TRIM(K320&amp;""),코드표!$J$2:$J$101,0)),"⚠"&amp;TRIM(K320&amp;"")))</f>
        <v/>
      </c>
      <c r="T320" s="10">
        <f>IF(TRIM(M320&amp;"")="","",IF(ISNUMBER(MATCH(TRIM(M320&amp;""),코드표!$C$2:$C$11,0)),TRIM(M320&amp;""),"⚠"&amp;TRIM(M320&amp;"")))</f>
        <v/>
      </c>
      <c r="U320" s="10">
        <f>IF(TRIM(L320&amp;"")="","",IFERROR(INDEX(코드표!$G$2:$G$101,MATCH(TRIM(L320&amp;""),코드표!$F$2:$F$101,0)),"⚠"&amp;TRIM(L320&amp;"")))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IF(ISNUMBER(H320),MAX(0,MIN(IF(ISNUMBER(I320),I320,EOMONTH(요약!$B$3,0)),EOMONTH(요약!$B$3,0))-MAX(H320,요약!$B$3)+1),0)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IF(AND(ISNUMBER(AB320),ISNUMBER(AC320)),MAX(0,MIN(AC320,EOMONTH(요약!$B$3,0))-MAX(AB320,요약!$B$3)+1),0)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IF(TRIM(B321&amp;"")="","",IFERROR(INDEX(코드표!$K$2:$K$101,MATCH(TRIM(B321&amp;""),코드표!$J$2:$J$101,0)),"⚠"&amp;TRIM(B321&amp;"")))</f>
        <v/>
      </c>
      <c r="S321" s="10">
        <f>IF(TRIM(K321&amp;"")="","",IFERROR(INDEX(코드표!$K$2:$K$101,MATCH(TRIM(K321&amp;""),코드표!$J$2:$J$101,0)),"⚠"&amp;TRIM(K321&amp;"")))</f>
        <v/>
      </c>
      <c r="T321" s="10">
        <f>IF(TRIM(M321&amp;"")="","",IF(ISNUMBER(MATCH(TRIM(M321&amp;""),코드표!$C$2:$C$11,0)),TRIM(M321&amp;""),"⚠"&amp;TRIM(M321&amp;"")))</f>
        <v/>
      </c>
      <c r="U321" s="10">
        <f>IF(TRIM(L321&amp;"")="","",IFERROR(INDEX(코드표!$G$2:$G$101,MATCH(TRIM(L321&amp;""),코드표!$F$2:$F$101,0)),"⚠"&amp;TRIM(L321&amp;"")))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IF(ISNUMBER(H321),MAX(0,MIN(IF(ISNUMBER(I321),I321,EOMONTH(요약!$B$3,0)),EOMONTH(요약!$B$3,0))-MAX(H321,요약!$B$3)+1),0)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IF(AND(ISNUMBER(AB321),ISNUMBER(AC321)),MAX(0,MIN(AC321,EOMONTH(요약!$B$3,0))-MAX(AB321,요약!$B$3)+1),0)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IF(TRIM(B322&amp;"")="","",IFERROR(INDEX(코드표!$K$2:$K$101,MATCH(TRIM(B322&amp;""),코드표!$J$2:$J$101,0)),"⚠"&amp;TRIM(B322&amp;"")))</f>
        <v/>
      </c>
      <c r="S322" s="10">
        <f>IF(TRIM(K322&amp;"")="","",IFERROR(INDEX(코드표!$K$2:$K$101,MATCH(TRIM(K322&amp;""),코드표!$J$2:$J$101,0)),"⚠"&amp;TRIM(K322&amp;"")))</f>
        <v/>
      </c>
      <c r="T322" s="10">
        <f>IF(TRIM(M322&amp;"")="","",IF(ISNUMBER(MATCH(TRIM(M322&amp;""),코드표!$C$2:$C$11,0)),TRIM(M322&amp;""),"⚠"&amp;TRIM(M322&amp;"")))</f>
        <v/>
      </c>
      <c r="U322" s="10">
        <f>IF(TRIM(L322&amp;"")="","",IFERROR(INDEX(코드표!$G$2:$G$101,MATCH(TRIM(L322&amp;""),코드표!$F$2:$F$101,0)),"⚠"&amp;TRIM(L322&amp;"")))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IF(ISNUMBER(H322),MAX(0,MIN(IF(ISNUMBER(I322),I322,EOMONTH(요약!$B$3,0)),EOMONTH(요약!$B$3,0))-MAX(H322,요약!$B$3)+1),0)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IF(AND(ISNUMBER(AB322),ISNUMBER(AC322)),MAX(0,MIN(AC322,EOMONTH(요약!$B$3,0))-MAX(AB322,요약!$B$3)+1),0)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IF(TRIM(B323&amp;"")="","",IFERROR(INDEX(코드표!$K$2:$K$101,MATCH(TRIM(B323&amp;""),코드표!$J$2:$J$101,0)),"⚠"&amp;TRIM(B323&amp;"")))</f>
        <v/>
      </c>
      <c r="S323" s="10">
        <f>IF(TRIM(K323&amp;"")="","",IFERROR(INDEX(코드표!$K$2:$K$101,MATCH(TRIM(K323&amp;""),코드표!$J$2:$J$101,0)),"⚠"&amp;TRIM(K323&amp;"")))</f>
        <v/>
      </c>
      <c r="T323" s="10">
        <f>IF(TRIM(M323&amp;"")="","",IF(ISNUMBER(MATCH(TRIM(M323&amp;""),코드표!$C$2:$C$11,0)),TRIM(M323&amp;""),"⚠"&amp;TRIM(M323&amp;"")))</f>
        <v/>
      </c>
      <c r="U323" s="10">
        <f>IF(TRIM(L323&amp;"")="","",IFERROR(INDEX(코드표!$G$2:$G$101,MATCH(TRIM(L323&amp;""),코드표!$F$2:$F$101,0)),"⚠"&amp;TRIM(L323&amp;"")))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IF(ISNUMBER(H323),MAX(0,MIN(IF(ISNUMBER(I323),I323,EOMONTH(요약!$B$3,0)),EOMONTH(요약!$B$3,0))-MAX(H323,요약!$B$3)+1),0)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IF(AND(ISNUMBER(AB323),ISNUMBER(AC323)),MAX(0,MIN(AC323,EOMONTH(요약!$B$3,0))-MAX(AB323,요약!$B$3)+1),0)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IF(TRIM(B324&amp;"")="","",IFERROR(INDEX(코드표!$K$2:$K$101,MATCH(TRIM(B324&amp;""),코드표!$J$2:$J$101,0)),"⚠"&amp;TRIM(B324&amp;"")))</f>
        <v/>
      </c>
      <c r="S324" s="10">
        <f>IF(TRIM(K324&amp;"")="","",IFERROR(INDEX(코드표!$K$2:$K$101,MATCH(TRIM(K324&amp;""),코드표!$J$2:$J$101,0)),"⚠"&amp;TRIM(K324&amp;"")))</f>
        <v/>
      </c>
      <c r="T324" s="10">
        <f>IF(TRIM(M324&amp;"")="","",IF(ISNUMBER(MATCH(TRIM(M324&amp;""),코드표!$C$2:$C$11,0)),TRIM(M324&amp;""),"⚠"&amp;TRIM(M324&amp;"")))</f>
        <v/>
      </c>
      <c r="U324" s="10">
        <f>IF(TRIM(L324&amp;"")="","",IFERROR(INDEX(코드표!$G$2:$G$101,MATCH(TRIM(L324&amp;""),코드표!$F$2:$F$101,0)),"⚠"&amp;TRIM(L324&amp;"")))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IF(ISNUMBER(H324),MAX(0,MIN(IF(ISNUMBER(I324),I324,EOMONTH(요약!$B$3,0)),EOMONTH(요약!$B$3,0))-MAX(H324,요약!$B$3)+1),0)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IF(AND(ISNUMBER(AB324),ISNUMBER(AC324)),MAX(0,MIN(AC324,EOMONTH(요약!$B$3,0))-MAX(AB324,요약!$B$3)+1),0)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IF(TRIM(B325&amp;"")="","",IFERROR(INDEX(코드표!$K$2:$K$101,MATCH(TRIM(B325&amp;""),코드표!$J$2:$J$101,0)),"⚠"&amp;TRIM(B325&amp;"")))</f>
        <v/>
      </c>
      <c r="S325" s="10">
        <f>IF(TRIM(K325&amp;"")="","",IFERROR(INDEX(코드표!$K$2:$K$101,MATCH(TRIM(K325&amp;""),코드표!$J$2:$J$101,0)),"⚠"&amp;TRIM(K325&amp;"")))</f>
        <v/>
      </c>
      <c r="T325" s="10">
        <f>IF(TRIM(M325&amp;"")="","",IF(ISNUMBER(MATCH(TRIM(M325&amp;""),코드표!$C$2:$C$11,0)),TRIM(M325&amp;""),"⚠"&amp;TRIM(M325&amp;"")))</f>
        <v/>
      </c>
      <c r="U325" s="10">
        <f>IF(TRIM(L325&amp;"")="","",IFERROR(INDEX(코드표!$G$2:$G$101,MATCH(TRIM(L325&amp;""),코드표!$F$2:$F$101,0)),"⚠"&amp;TRIM(L325&amp;"")))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IF(ISNUMBER(H325),MAX(0,MIN(IF(ISNUMBER(I325),I325,EOMONTH(요약!$B$3,0)),EOMONTH(요약!$B$3,0))-MAX(H325,요약!$B$3)+1),0)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IF(AND(ISNUMBER(AB325),ISNUMBER(AC325)),MAX(0,MIN(AC325,EOMONTH(요약!$B$3,0))-MAX(AB325,요약!$B$3)+1),0)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IF(TRIM(B326&amp;"")="","",IFERROR(INDEX(코드표!$K$2:$K$101,MATCH(TRIM(B326&amp;""),코드표!$J$2:$J$101,0)),"⚠"&amp;TRIM(B326&amp;"")))</f>
        <v/>
      </c>
      <c r="S326" s="10">
        <f>IF(TRIM(K326&amp;"")="","",IFERROR(INDEX(코드표!$K$2:$K$101,MATCH(TRIM(K326&amp;""),코드표!$J$2:$J$101,0)),"⚠"&amp;TRIM(K326&amp;"")))</f>
        <v/>
      </c>
      <c r="T326" s="10">
        <f>IF(TRIM(M326&amp;"")="","",IF(ISNUMBER(MATCH(TRIM(M326&amp;""),코드표!$C$2:$C$11,0)),TRIM(M326&amp;""),"⚠"&amp;TRIM(M326&amp;"")))</f>
        <v/>
      </c>
      <c r="U326" s="10">
        <f>IF(TRIM(L326&amp;"")="","",IFERROR(INDEX(코드표!$G$2:$G$101,MATCH(TRIM(L326&amp;""),코드표!$F$2:$F$101,0)),"⚠"&amp;TRIM(L326&amp;"")))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IF(ISNUMBER(H326),MAX(0,MIN(IF(ISNUMBER(I326),I326,EOMONTH(요약!$B$3,0)),EOMONTH(요약!$B$3,0))-MAX(H326,요약!$B$3)+1),0)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IF(AND(ISNUMBER(AB326),ISNUMBER(AC326)),MAX(0,MIN(AC326,EOMONTH(요약!$B$3,0))-MAX(AB326,요약!$B$3)+1),0)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IF(TRIM(B327&amp;"")="","",IFERROR(INDEX(코드표!$K$2:$K$101,MATCH(TRIM(B327&amp;""),코드표!$J$2:$J$101,0)),"⚠"&amp;TRIM(B327&amp;"")))</f>
        <v/>
      </c>
      <c r="S327" s="10">
        <f>IF(TRIM(K327&amp;"")="","",IFERROR(INDEX(코드표!$K$2:$K$101,MATCH(TRIM(K327&amp;""),코드표!$J$2:$J$101,0)),"⚠"&amp;TRIM(K327&amp;"")))</f>
        <v/>
      </c>
      <c r="T327" s="10">
        <f>IF(TRIM(M327&amp;"")="","",IF(ISNUMBER(MATCH(TRIM(M327&amp;""),코드표!$C$2:$C$11,0)),TRIM(M327&amp;""),"⚠"&amp;TRIM(M327&amp;"")))</f>
        <v/>
      </c>
      <c r="U327" s="10">
        <f>IF(TRIM(L327&amp;"")="","",IFERROR(INDEX(코드표!$G$2:$G$101,MATCH(TRIM(L327&amp;""),코드표!$F$2:$F$101,0)),"⚠"&amp;TRIM(L327&amp;"")))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IF(ISNUMBER(H327),MAX(0,MIN(IF(ISNUMBER(I327),I327,EOMONTH(요약!$B$3,0)),EOMONTH(요약!$B$3,0))-MAX(H327,요약!$B$3)+1),0)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IF(AND(ISNUMBER(AB327),ISNUMBER(AC327)),MAX(0,MIN(AC327,EOMONTH(요약!$B$3,0))-MAX(AB327,요약!$B$3)+1),0)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IF(TRIM(B328&amp;"")="","",IFERROR(INDEX(코드표!$K$2:$K$101,MATCH(TRIM(B328&amp;""),코드표!$J$2:$J$101,0)),"⚠"&amp;TRIM(B328&amp;"")))</f>
        <v/>
      </c>
      <c r="S328" s="10">
        <f>IF(TRIM(K328&amp;"")="","",IFERROR(INDEX(코드표!$K$2:$K$101,MATCH(TRIM(K328&amp;""),코드표!$J$2:$J$101,0)),"⚠"&amp;TRIM(K328&amp;"")))</f>
        <v/>
      </c>
      <c r="T328" s="10">
        <f>IF(TRIM(M328&amp;"")="","",IF(ISNUMBER(MATCH(TRIM(M328&amp;""),코드표!$C$2:$C$11,0)),TRIM(M328&amp;""),"⚠"&amp;TRIM(M328&amp;"")))</f>
        <v/>
      </c>
      <c r="U328" s="10">
        <f>IF(TRIM(L328&amp;"")="","",IFERROR(INDEX(코드표!$G$2:$G$101,MATCH(TRIM(L328&amp;""),코드표!$F$2:$F$101,0)),"⚠"&amp;TRIM(L328&amp;"")))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IF(ISNUMBER(H328),MAX(0,MIN(IF(ISNUMBER(I328),I328,EOMONTH(요약!$B$3,0)),EOMONTH(요약!$B$3,0))-MAX(H328,요약!$B$3)+1),0)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IF(AND(ISNUMBER(AB328),ISNUMBER(AC328)),MAX(0,MIN(AC328,EOMONTH(요약!$B$3,0))-MAX(AB328,요약!$B$3)+1),0)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IF(TRIM(B329&amp;"")="","",IFERROR(INDEX(코드표!$K$2:$K$101,MATCH(TRIM(B329&amp;""),코드표!$J$2:$J$101,0)),"⚠"&amp;TRIM(B329&amp;"")))</f>
        <v/>
      </c>
      <c r="S329" s="10">
        <f>IF(TRIM(K329&amp;"")="","",IFERROR(INDEX(코드표!$K$2:$K$101,MATCH(TRIM(K329&amp;""),코드표!$J$2:$J$101,0)),"⚠"&amp;TRIM(K329&amp;"")))</f>
        <v/>
      </c>
      <c r="T329" s="10">
        <f>IF(TRIM(M329&amp;"")="","",IF(ISNUMBER(MATCH(TRIM(M329&amp;""),코드표!$C$2:$C$11,0)),TRIM(M329&amp;""),"⚠"&amp;TRIM(M329&amp;"")))</f>
        <v/>
      </c>
      <c r="U329" s="10">
        <f>IF(TRIM(L329&amp;"")="","",IFERROR(INDEX(코드표!$G$2:$G$101,MATCH(TRIM(L329&amp;""),코드표!$F$2:$F$101,0)),"⚠"&amp;TRIM(L329&amp;"")))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IF(ISNUMBER(H329),MAX(0,MIN(IF(ISNUMBER(I329),I329,EOMONTH(요약!$B$3,0)),EOMONTH(요약!$B$3,0))-MAX(H329,요약!$B$3)+1),0)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IF(AND(ISNUMBER(AB329),ISNUMBER(AC329)),MAX(0,MIN(AC329,EOMONTH(요약!$B$3,0))-MAX(AB329,요약!$B$3)+1),0)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IF(TRIM(B330&amp;"")="","",IFERROR(INDEX(코드표!$K$2:$K$101,MATCH(TRIM(B330&amp;""),코드표!$J$2:$J$101,0)),"⚠"&amp;TRIM(B330&amp;"")))</f>
        <v/>
      </c>
      <c r="S330" s="10">
        <f>IF(TRIM(K330&amp;"")="","",IFERROR(INDEX(코드표!$K$2:$K$101,MATCH(TRIM(K330&amp;""),코드표!$J$2:$J$101,0)),"⚠"&amp;TRIM(K330&amp;"")))</f>
        <v/>
      </c>
      <c r="T330" s="10">
        <f>IF(TRIM(M330&amp;"")="","",IF(ISNUMBER(MATCH(TRIM(M330&amp;""),코드표!$C$2:$C$11,0)),TRIM(M330&amp;""),"⚠"&amp;TRIM(M330&amp;"")))</f>
        <v/>
      </c>
      <c r="U330" s="10">
        <f>IF(TRIM(L330&amp;"")="","",IFERROR(INDEX(코드표!$G$2:$G$101,MATCH(TRIM(L330&amp;""),코드표!$F$2:$F$101,0)),"⚠"&amp;TRIM(L330&amp;"")))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IF(ISNUMBER(H330),MAX(0,MIN(IF(ISNUMBER(I330),I330,EOMONTH(요약!$B$3,0)),EOMONTH(요약!$B$3,0))-MAX(H330,요약!$B$3)+1),0)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IF(AND(ISNUMBER(AB330),ISNUMBER(AC330)),MAX(0,MIN(AC330,EOMONTH(요약!$B$3,0))-MAX(AB330,요약!$B$3)+1),0)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IF(TRIM(B331&amp;"")="","",IFERROR(INDEX(코드표!$K$2:$K$101,MATCH(TRIM(B331&amp;""),코드표!$J$2:$J$101,0)),"⚠"&amp;TRIM(B331&amp;"")))</f>
        <v/>
      </c>
      <c r="S331" s="10">
        <f>IF(TRIM(K331&amp;"")="","",IFERROR(INDEX(코드표!$K$2:$K$101,MATCH(TRIM(K331&amp;""),코드표!$J$2:$J$101,0)),"⚠"&amp;TRIM(K331&amp;"")))</f>
        <v/>
      </c>
      <c r="T331" s="10">
        <f>IF(TRIM(M331&amp;"")="","",IF(ISNUMBER(MATCH(TRIM(M331&amp;""),코드표!$C$2:$C$11,0)),TRIM(M331&amp;""),"⚠"&amp;TRIM(M331&amp;"")))</f>
        <v/>
      </c>
      <c r="U331" s="10">
        <f>IF(TRIM(L331&amp;"")="","",IFERROR(INDEX(코드표!$G$2:$G$101,MATCH(TRIM(L331&amp;""),코드표!$F$2:$F$101,0)),"⚠"&amp;TRIM(L331&amp;"")))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IF(ISNUMBER(H331),MAX(0,MIN(IF(ISNUMBER(I331),I331,EOMONTH(요약!$B$3,0)),EOMONTH(요약!$B$3,0))-MAX(H331,요약!$B$3)+1),0)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IF(AND(ISNUMBER(AB331),ISNUMBER(AC331)),MAX(0,MIN(AC331,EOMONTH(요약!$B$3,0))-MAX(AB331,요약!$B$3)+1),0)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IF(TRIM(B332&amp;"")="","",IFERROR(INDEX(코드표!$K$2:$K$101,MATCH(TRIM(B332&amp;""),코드표!$J$2:$J$101,0)),"⚠"&amp;TRIM(B332&amp;"")))</f>
        <v/>
      </c>
      <c r="S332" s="10">
        <f>IF(TRIM(K332&amp;"")="","",IFERROR(INDEX(코드표!$K$2:$K$101,MATCH(TRIM(K332&amp;""),코드표!$J$2:$J$101,0)),"⚠"&amp;TRIM(K332&amp;"")))</f>
        <v/>
      </c>
      <c r="T332" s="10">
        <f>IF(TRIM(M332&amp;"")="","",IF(ISNUMBER(MATCH(TRIM(M332&amp;""),코드표!$C$2:$C$11,0)),TRIM(M332&amp;""),"⚠"&amp;TRIM(M332&amp;"")))</f>
        <v/>
      </c>
      <c r="U332" s="10">
        <f>IF(TRIM(L332&amp;"")="","",IFERROR(INDEX(코드표!$G$2:$G$101,MATCH(TRIM(L332&amp;""),코드표!$F$2:$F$101,0)),"⚠"&amp;TRIM(L332&amp;"")))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IF(ISNUMBER(H332),MAX(0,MIN(IF(ISNUMBER(I332),I332,EOMONTH(요약!$B$3,0)),EOMONTH(요약!$B$3,0))-MAX(H332,요약!$B$3)+1),0)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IF(AND(ISNUMBER(AB332),ISNUMBER(AC332)),MAX(0,MIN(AC332,EOMONTH(요약!$B$3,0))-MAX(AB332,요약!$B$3)+1),0)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IF(TRIM(B333&amp;"")="","",IFERROR(INDEX(코드표!$K$2:$K$101,MATCH(TRIM(B333&amp;""),코드표!$J$2:$J$101,0)),"⚠"&amp;TRIM(B333&amp;"")))</f>
        <v/>
      </c>
      <c r="S333" s="10">
        <f>IF(TRIM(K333&amp;"")="","",IFERROR(INDEX(코드표!$K$2:$K$101,MATCH(TRIM(K333&amp;""),코드표!$J$2:$J$101,0)),"⚠"&amp;TRIM(K333&amp;"")))</f>
        <v/>
      </c>
      <c r="T333" s="10">
        <f>IF(TRIM(M333&amp;"")="","",IF(ISNUMBER(MATCH(TRIM(M333&amp;""),코드표!$C$2:$C$11,0)),TRIM(M333&amp;""),"⚠"&amp;TRIM(M333&amp;"")))</f>
        <v/>
      </c>
      <c r="U333" s="10">
        <f>IF(TRIM(L333&amp;"")="","",IFERROR(INDEX(코드표!$G$2:$G$101,MATCH(TRIM(L333&amp;""),코드표!$F$2:$F$101,0)),"⚠"&amp;TRIM(L333&amp;"")))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IF(ISNUMBER(H333),MAX(0,MIN(IF(ISNUMBER(I333),I333,EOMONTH(요약!$B$3,0)),EOMONTH(요약!$B$3,0))-MAX(H333,요약!$B$3)+1),0)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IF(AND(ISNUMBER(AB333),ISNUMBER(AC333)),MAX(0,MIN(AC333,EOMONTH(요약!$B$3,0))-MAX(AB333,요약!$B$3)+1),0)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IF(TRIM(B334&amp;"")="","",IFERROR(INDEX(코드표!$K$2:$K$101,MATCH(TRIM(B334&amp;""),코드표!$J$2:$J$101,0)),"⚠"&amp;TRIM(B334&amp;"")))</f>
        <v/>
      </c>
      <c r="S334" s="10">
        <f>IF(TRIM(K334&amp;"")="","",IFERROR(INDEX(코드표!$K$2:$K$101,MATCH(TRIM(K334&amp;""),코드표!$J$2:$J$101,0)),"⚠"&amp;TRIM(K334&amp;"")))</f>
        <v/>
      </c>
      <c r="T334" s="10">
        <f>IF(TRIM(M334&amp;"")="","",IF(ISNUMBER(MATCH(TRIM(M334&amp;""),코드표!$C$2:$C$11,0)),TRIM(M334&amp;""),"⚠"&amp;TRIM(M334&amp;"")))</f>
        <v/>
      </c>
      <c r="U334" s="10">
        <f>IF(TRIM(L334&amp;"")="","",IFERROR(INDEX(코드표!$G$2:$G$101,MATCH(TRIM(L334&amp;""),코드표!$F$2:$F$101,0)),"⚠"&amp;TRIM(L334&amp;"")))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IF(ISNUMBER(H334),MAX(0,MIN(IF(ISNUMBER(I334),I334,EOMONTH(요약!$B$3,0)),EOMONTH(요약!$B$3,0))-MAX(H334,요약!$B$3)+1),0)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IF(AND(ISNUMBER(AB334),ISNUMBER(AC334)),MAX(0,MIN(AC334,EOMONTH(요약!$B$3,0))-MAX(AB334,요약!$B$3)+1),0)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IF(TRIM(B335&amp;"")="","",IFERROR(INDEX(코드표!$K$2:$K$101,MATCH(TRIM(B335&amp;""),코드표!$J$2:$J$101,0)),"⚠"&amp;TRIM(B335&amp;"")))</f>
        <v/>
      </c>
      <c r="S335" s="10">
        <f>IF(TRIM(K335&amp;"")="","",IFERROR(INDEX(코드표!$K$2:$K$101,MATCH(TRIM(K335&amp;""),코드표!$J$2:$J$101,0)),"⚠"&amp;TRIM(K335&amp;"")))</f>
        <v/>
      </c>
      <c r="T335" s="10">
        <f>IF(TRIM(M335&amp;"")="","",IF(ISNUMBER(MATCH(TRIM(M335&amp;""),코드표!$C$2:$C$11,0)),TRIM(M335&amp;""),"⚠"&amp;TRIM(M335&amp;"")))</f>
        <v/>
      </c>
      <c r="U335" s="10">
        <f>IF(TRIM(L335&amp;"")="","",IFERROR(INDEX(코드표!$G$2:$G$101,MATCH(TRIM(L335&amp;""),코드표!$F$2:$F$101,0)),"⚠"&amp;TRIM(L335&amp;"")))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IF(ISNUMBER(H335),MAX(0,MIN(IF(ISNUMBER(I335),I335,EOMONTH(요약!$B$3,0)),EOMONTH(요약!$B$3,0))-MAX(H335,요약!$B$3)+1),0)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IF(AND(ISNUMBER(AB335),ISNUMBER(AC335)),MAX(0,MIN(AC335,EOMONTH(요약!$B$3,0))-MAX(AB335,요약!$B$3)+1),0)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IF(TRIM(B336&amp;"")="","",IFERROR(INDEX(코드표!$K$2:$K$101,MATCH(TRIM(B336&amp;""),코드표!$J$2:$J$101,0)),"⚠"&amp;TRIM(B336&amp;"")))</f>
        <v/>
      </c>
      <c r="S336" s="10">
        <f>IF(TRIM(K336&amp;"")="","",IFERROR(INDEX(코드표!$K$2:$K$101,MATCH(TRIM(K336&amp;""),코드표!$J$2:$J$101,0)),"⚠"&amp;TRIM(K336&amp;"")))</f>
        <v/>
      </c>
      <c r="T336" s="10">
        <f>IF(TRIM(M336&amp;"")="","",IF(ISNUMBER(MATCH(TRIM(M336&amp;""),코드표!$C$2:$C$11,0)),TRIM(M336&amp;""),"⚠"&amp;TRIM(M336&amp;"")))</f>
        <v/>
      </c>
      <c r="U336" s="10">
        <f>IF(TRIM(L336&amp;"")="","",IFERROR(INDEX(코드표!$G$2:$G$101,MATCH(TRIM(L336&amp;""),코드표!$F$2:$F$101,0)),"⚠"&amp;TRIM(L336&amp;"")))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IF(ISNUMBER(H336),MAX(0,MIN(IF(ISNUMBER(I336),I336,EOMONTH(요약!$B$3,0)),EOMONTH(요약!$B$3,0))-MAX(H336,요약!$B$3)+1),0)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IF(AND(ISNUMBER(AB336),ISNUMBER(AC336)),MAX(0,MIN(AC336,EOMONTH(요약!$B$3,0))-MAX(AB336,요약!$B$3)+1),0)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IF(TRIM(B337&amp;"")="","",IFERROR(INDEX(코드표!$K$2:$K$101,MATCH(TRIM(B337&amp;""),코드표!$J$2:$J$101,0)),"⚠"&amp;TRIM(B337&amp;"")))</f>
        <v/>
      </c>
      <c r="S337" s="10">
        <f>IF(TRIM(K337&amp;"")="","",IFERROR(INDEX(코드표!$K$2:$K$101,MATCH(TRIM(K337&amp;""),코드표!$J$2:$J$101,0)),"⚠"&amp;TRIM(K337&amp;"")))</f>
        <v/>
      </c>
      <c r="T337" s="10">
        <f>IF(TRIM(M337&amp;"")="","",IF(ISNUMBER(MATCH(TRIM(M337&amp;""),코드표!$C$2:$C$11,0)),TRIM(M337&amp;""),"⚠"&amp;TRIM(M337&amp;"")))</f>
        <v/>
      </c>
      <c r="U337" s="10">
        <f>IF(TRIM(L337&amp;"")="","",IFERROR(INDEX(코드표!$G$2:$G$101,MATCH(TRIM(L337&amp;""),코드표!$F$2:$F$101,0)),"⚠"&amp;TRIM(L337&amp;"")))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IF(ISNUMBER(H337),MAX(0,MIN(IF(ISNUMBER(I337),I337,EOMONTH(요약!$B$3,0)),EOMONTH(요약!$B$3,0))-MAX(H337,요약!$B$3)+1),0)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IF(AND(ISNUMBER(AB337),ISNUMBER(AC337)),MAX(0,MIN(AC337,EOMONTH(요약!$B$3,0))-MAX(AB337,요약!$B$3)+1),0)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IF(TRIM(B338&amp;"")="","",IFERROR(INDEX(코드표!$K$2:$K$101,MATCH(TRIM(B338&amp;""),코드표!$J$2:$J$101,0)),"⚠"&amp;TRIM(B338&amp;"")))</f>
        <v/>
      </c>
      <c r="S338" s="10">
        <f>IF(TRIM(K338&amp;"")="","",IFERROR(INDEX(코드표!$K$2:$K$101,MATCH(TRIM(K338&amp;""),코드표!$J$2:$J$101,0)),"⚠"&amp;TRIM(K338&amp;"")))</f>
        <v/>
      </c>
      <c r="T338" s="10">
        <f>IF(TRIM(M338&amp;"")="","",IF(ISNUMBER(MATCH(TRIM(M338&amp;""),코드표!$C$2:$C$11,0)),TRIM(M338&amp;""),"⚠"&amp;TRIM(M338&amp;"")))</f>
        <v/>
      </c>
      <c r="U338" s="10">
        <f>IF(TRIM(L338&amp;"")="","",IFERROR(INDEX(코드표!$G$2:$G$101,MATCH(TRIM(L338&amp;""),코드표!$F$2:$F$101,0)),"⚠"&amp;TRIM(L338&amp;"")))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IF(ISNUMBER(H338),MAX(0,MIN(IF(ISNUMBER(I338),I338,EOMONTH(요약!$B$3,0)),EOMONTH(요약!$B$3,0))-MAX(H338,요약!$B$3)+1),0)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IF(AND(ISNUMBER(AB338),ISNUMBER(AC338)),MAX(0,MIN(AC338,EOMONTH(요약!$B$3,0))-MAX(AB338,요약!$B$3)+1),0)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IF(TRIM(B339&amp;"")="","",IFERROR(INDEX(코드표!$K$2:$K$101,MATCH(TRIM(B339&amp;""),코드표!$J$2:$J$101,0)),"⚠"&amp;TRIM(B339&amp;"")))</f>
        <v/>
      </c>
      <c r="S339" s="10">
        <f>IF(TRIM(K339&amp;"")="","",IFERROR(INDEX(코드표!$K$2:$K$101,MATCH(TRIM(K339&amp;""),코드표!$J$2:$J$101,0)),"⚠"&amp;TRIM(K339&amp;"")))</f>
        <v/>
      </c>
      <c r="T339" s="10">
        <f>IF(TRIM(M339&amp;"")="","",IF(ISNUMBER(MATCH(TRIM(M339&amp;""),코드표!$C$2:$C$11,0)),TRIM(M339&amp;""),"⚠"&amp;TRIM(M339&amp;"")))</f>
        <v/>
      </c>
      <c r="U339" s="10">
        <f>IF(TRIM(L339&amp;"")="","",IFERROR(INDEX(코드표!$G$2:$G$101,MATCH(TRIM(L339&amp;""),코드표!$F$2:$F$101,0)),"⚠"&amp;TRIM(L339&amp;"")))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IF(ISNUMBER(H339),MAX(0,MIN(IF(ISNUMBER(I339),I339,EOMONTH(요약!$B$3,0)),EOMONTH(요약!$B$3,0))-MAX(H339,요약!$B$3)+1),0)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IF(AND(ISNUMBER(AB339),ISNUMBER(AC339)),MAX(0,MIN(AC339,EOMONTH(요약!$B$3,0))-MAX(AB339,요약!$B$3)+1),0)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IF(TRIM(B340&amp;"")="","",IFERROR(INDEX(코드표!$K$2:$K$101,MATCH(TRIM(B340&amp;""),코드표!$J$2:$J$101,0)),"⚠"&amp;TRIM(B340&amp;"")))</f>
        <v/>
      </c>
      <c r="S340" s="10">
        <f>IF(TRIM(K340&amp;"")="","",IFERROR(INDEX(코드표!$K$2:$K$101,MATCH(TRIM(K340&amp;""),코드표!$J$2:$J$101,0)),"⚠"&amp;TRIM(K340&amp;"")))</f>
        <v/>
      </c>
      <c r="T340" s="10">
        <f>IF(TRIM(M340&amp;"")="","",IF(ISNUMBER(MATCH(TRIM(M340&amp;""),코드표!$C$2:$C$11,0)),TRIM(M340&amp;""),"⚠"&amp;TRIM(M340&amp;"")))</f>
        <v/>
      </c>
      <c r="U340" s="10">
        <f>IF(TRIM(L340&amp;"")="","",IFERROR(INDEX(코드표!$G$2:$G$101,MATCH(TRIM(L340&amp;""),코드표!$F$2:$F$101,0)),"⚠"&amp;TRIM(L340&amp;"")))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IF(ISNUMBER(H340),MAX(0,MIN(IF(ISNUMBER(I340),I340,EOMONTH(요약!$B$3,0)),EOMONTH(요약!$B$3,0))-MAX(H340,요약!$B$3)+1),0)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IF(AND(ISNUMBER(AB340),ISNUMBER(AC340)),MAX(0,MIN(AC340,EOMONTH(요약!$B$3,0))-MAX(AB340,요약!$B$3)+1),0)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IF(TRIM(B341&amp;"")="","",IFERROR(INDEX(코드표!$K$2:$K$101,MATCH(TRIM(B341&amp;""),코드표!$J$2:$J$101,0)),"⚠"&amp;TRIM(B341&amp;"")))</f>
        <v/>
      </c>
      <c r="S341" s="10">
        <f>IF(TRIM(K341&amp;"")="","",IFERROR(INDEX(코드표!$K$2:$K$101,MATCH(TRIM(K341&amp;""),코드표!$J$2:$J$101,0)),"⚠"&amp;TRIM(K341&amp;"")))</f>
        <v/>
      </c>
      <c r="T341" s="10">
        <f>IF(TRIM(M341&amp;"")="","",IF(ISNUMBER(MATCH(TRIM(M341&amp;""),코드표!$C$2:$C$11,0)),TRIM(M341&amp;""),"⚠"&amp;TRIM(M341&amp;"")))</f>
        <v/>
      </c>
      <c r="U341" s="10">
        <f>IF(TRIM(L341&amp;"")="","",IFERROR(INDEX(코드표!$G$2:$G$101,MATCH(TRIM(L341&amp;""),코드표!$F$2:$F$101,0)),"⚠"&amp;TRIM(L341&amp;"")))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IF(ISNUMBER(H341),MAX(0,MIN(IF(ISNUMBER(I341),I341,EOMONTH(요약!$B$3,0)),EOMONTH(요약!$B$3,0))-MAX(H341,요약!$B$3)+1),0)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IF(AND(ISNUMBER(AB341),ISNUMBER(AC341)),MAX(0,MIN(AC341,EOMONTH(요약!$B$3,0))-MAX(AB341,요약!$B$3)+1),0)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IF(TRIM(B342&amp;"")="","",IFERROR(INDEX(코드표!$K$2:$K$101,MATCH(TRIM(B342&amp;""),코드표!$J$2:$J$101,0)),"⚠"&amp;TRIM(B342&amp;"")))</f>
        <v/>
      </c>
      <c r="S342" s="10">
        <f>IF(TRIM(K342&amp;"")="","",IFERROR(INDEX(코드표!$K$2:$K$101,MATCH(TRIM(K342&amp;""),코드표!$J$2:$J$101,0)),"⚠"&amp;TRIM(K342&amp;"")))</f>
        <v/>
      </c>
      <c r="T342" s="10">
        <f>IF(TRIM(M342&amp;"")="","",IF(ISNUMBER(MATCH(TRIM(M342&amp;""),코드표!$C$2:$C$11,0)),TRIM(M342&amp;""),"⚠"&amp;TRIM(M342&amp;"")))</f>
        <v/>
      </c>
      <c r="U342" s="10">
        <f>IF(TRIM(L342&amp;"")="","",IFERROR(INDEX(코드표!$G$2:$G$101,MATCH(TRIM(L342&amp;""),코드표!$F$2:$F$101,0)),"⚠"&amp;TRIM(L342&amp;"")))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IF(ISNUMBER(H342),MAX(0,MIN(IF(ISNUMBER(I342),I342,EOMONTH(요약!$B$3,0)),EOMONTH(요약!$B$3,0))-MAX(H342,요약!$B$3)+1),0)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IF(AND(ISNUMBER(AB342),ISNUMBER(AC342)),MAX(0,MIN(AC342,EOMONTH(요약!$B$3,0))-MAX(AB342,요약!$B$3)+1),0)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IF(TRIM(B343&amp;"")="","",IFERROR(INDEX(코드표!$K$2:$K$101,MATCH(TRIM(B343&amp;""),코드표!$J$2:$J$101,0)),"⚠"&amp;TRIM(B343&amp;"")))</f>
        <v/>
      </c>
      <c r="S343" s="10">
        <f>IF(TRIM(K343&amp;"")="","",IFERROR(INDEX(코드표!$K$2:$K$101,MATCH(TRIM(K343&amp;""),코드표!$J$2:$J$101,0)),"⚠"&amp;TRIM(K343&amp;"")))</f>
        <v/>
      </c>
      <c r="T343" s="10">
        <f>IF(TRIM(M343&amp;"")="","",IF(ISNUMBER(MATCH(TRIM(M343&amp;""),코드표!$C$2:$C$11,0)),TRIM(M343&amp;""),"⚠"&amp;TRIM(M343&amp;"")))</f>
        <v/>
      </c>
      <c r="U343" s="10">
        <f>IF(TRIM(L343&amp;"")="","",IFERROR(INDEX(코드표!$G$2:$G$101,MATCH(TRIM(L343&amp;""),코드표!$F$2:$F$101,0)),"⚠"&amp;TRIM(L343&amp;"")))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IF(ISNUMBER(H343),MAX(0,MIN(IF(ISNUMBER(I343),I343,EOMONTH(요약!$B$3,0)),EOMONTH(요약!$B$3,0))-MAX(H343,요약!$B$3)+1),0)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IF(AND(ISNUMBER(AB343),ISNUMBER(AC343)),MAX(0,MIN(AC343,EOMONTH(요약!$B$3,0))-MAX(AB343,요약!$B$3)+1),0)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IF(TRIM(B344&amp;"")="","",IFERROR(INDEX(코드표!$K$2:$K$101,MATCH(TRIM(B344&amp;""),코드표!$J$2:$J$101,0)),"⚠"&amp;TRIM(B344&amp;"")))</f>
        <v/>
      </c>
      <c r="S344" s="10">
        <f>IF(TRIM(K344&amp;"")="","",IFERROR(INDEX(코드표!$K$2:$K$101,MATCH(TRIM(K344&amp;""),코드표!$J$2:$J$101,0)),"⚠"&amp;TRIM(K344&amp;"")))</f>
        <v/>
      </c>
      <c r="T344" s="10">
        <f>IF(TRIM(M344&amp;"")="","",IF(ISNUMBER(MATCH(TRIM(M344&amp;""),코드표!$C$2:$C$11,0)),TRIM(M344&amp;""),"⚠"&amp;TRIM(M344&amp;"")))</f>
        <v/>
      </c>
      <c r="U344" s="10">
        <f>IF(TRIM(L344&amp;"")="","",IFERROR(INDEX(코드표!$G$2:$G$101,MATCH(TRIM(L344&amp;""),코드표!$F$2:$F$101,0)),"⚠"&amp;TRIM(L344&amp;"")))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IF(ISNUMBER(H344),MAX(0,MIN(IF(ISNUMBER(I344),I344,EOMONTH(요약!$B$3,0)),EOMONTH(요약!$B$3,0))-MAX(H344,요약!$B$3)+1),0)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IF(AND(ISNUMBER(AB344),ISNUMBER(AC344)),MAX(0,MIN(AC344,EOMONTH(요약!$B$3,0))-MAX(AB344,요약!$B$3)+1),0)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IF(TRIM(B345&amp;"")="","",IFERROR(INDEX(코드표!$K$2:$K$101,MATCH(TRIM(B345&amp;""),코드표!$J$2:$J$101,0)),"⚠"&amp;TRIM(B345&amp;"")))</f>
        <v/>
      </c>
      <c r="S345" s="10">
        <f>IF(TRIM(K345&amp;"")="","",IFERROR(INDEX(코드표!$K$2:$K$101,MATCH(TRIM(K345&amp;""),코드표!$J$2:$J$101,0)),"⚠"&amp;TRIM(K345&amp;"")))</f>
        <v/>
      </c>
      <c r="T345" s="10">
        <f>IF(TRIM(M345&amp;"")="","",IF(ISNUMBER(MATCH(TRIM(M345&amp;""),코드표!$C$2:$C$11,0)),TRIM(M345&amp;""),"⚠"&amp;TRIM(M345&amp;"")))</f>
        <v/>
      </c>
      <c r="U345" s="10">
        <f>IF(TRIM(L345&amp;"")="","",IFERROR(INDEX(코드표!$G$2:$G$101,MATCH(TRIM(L345&amp;""),코드표!$F$2:$F$101,0)),"⚠"&amp;TRIM(L345&amp;"")))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IF(ISNUMBER(H345),MAX(0,MIN(IF(ISNUMBER(I345),I345,EOMONTH(요약!$B$3,0)),EOMONTH(요약!$B$3,0))-MAX(H345,요약!$B$3)+1),0)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IF(AND(ISNUMBER(AB345),ISNUMBER(AC345)),MAX(0,MIN(AC345,EOMONTH(요약!$B$3,0))-MAX(AB345,요약!$B$3)+1),0)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IF(TRIM(B346&amp;"")="","",IFERROR(INDEX(코드표!$K$2:$K$101,MATCH(TRIM(B346&amp;""),코드표!$J$2:$J$101,0)),"⚠"&amp;TRIM(B346&amp;"")))</f>
        <v/>
      </c>
      <c r="S346" s="10">
        <f>IF(TRIM(K346&amp;"")="","",IFERROR(INDEX(코드표!$K$2:$K$101,MATCH(TRIM(K346&amp;""),코드표!$J$2:$J$101,0)),"⚠"&amp;TRIM(K346&amp;"")))</f>
        <v/>
      </c>
      <c r="T346" s="10">
        <f>IF(TRIM(M346&amp;"")="","",IF(ISNUMBER(MATCH(TRIM(M346&amp;""),코드표!$C$2:$C$11,0)),TRIM(M346&amp;""),"⚠"&amp;TRIM(M346&amp;"")))</f>
        <v/>
      </c>
      <c r="U346" s="10">
        <f>IF(TRIM(L346&amp;"")="","",IFERROR(INDEX(코드표!$G$2:$G$101,MATCH(TRIM(L346&amp;""),코드표!$F$2:$F$101,0)),"⚠"&amp;TRIM(L346&amp;"")))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IF(ISNUMBER(H346),MAX(0,MIN(IF(ISNUMBER(I346),I346,EOMONTH(요약!$B$3,0)),EOMONTH(요약!$B$3,0))-MAX(H346,요약!$B$3)+1),0)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IF(AND(ISNUMBER(AB346),ISNUMBER(AC346)),MAX(0,MIN(AC346,EOMONTH(요약!$B$3,0))-MAX(AB346,요약!$B$3)+1),0)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IF(TRIM(B347&amp;"")="","",IFERROR(INDEX(코드표!$K$2:$K$101,MATCH(TRIM(B347&amp;""),코드표!$J$2:$J$101,0)),"⚠"&amp;TRIM(B347&amp;"")))</f>
        <v/>
      </c>
      <c r="S347" s="10">
        <f>IF(TRIM(K347&amp;"")="","",IFERROR(INDEX(코드표!$K$2:$K$101,MATCH(TRIM(K347&amp;""),코드표!$J$2:$J$101,0)),"⚠"&amp;TRIM(K347&amp;"")))</f>
        <v/>
      </c>
      <c r="T347" s="10">
        <f>IF(TRIM(M347&amp;"")="","",IF(ISNUMBER(MATCH(TRIM(M347&amp;""),코드표!$C$2:$C$11,0)),TRIM(M347&amp;""),"⚠"&amp;TRIM(M347&amp;"")))</f>
        <v/>
      </c>
      <c r="U347" s="10">
        <f>IF(TRIM(L347&amp;"")="","",IFERROR(INDEX(코드표!$G$2:$G$101,MATCH(TRIM(L347&amp;""),코드표!$F$2:$F$101,0)),"⚠"&amp;TRIM(L347&amp;"")))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IF(ISNUMBER(H347),MAX(0,MIN(IF(ISNUMBER(I347),I347,EOMONTH(요약!$B$3,0)),EOMONTH(요약!$B$3,0))-MAX(H347,요약!$B$3)+1),0)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IF(AND(ISNUMBER(AB347),ISNUMBER(AC347)),MAX(0,MIN(AC347,EOMONTH(요약!$B$3,0))-MAX(AB347,요약!$B$3)+1),0)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IF(TRIM(B348&amp;"")="","",IFERROR(INDEX(코드표!$K$2:$K$101,MATCH(TRIM(B348&amp;""),코드표!$J$2:$J$101,0)),"⚠"&amp;TRIM(B348&amp;"")))</f>
        <v/>
      </c>
      <c r="S348" s="10">
        <f>IF(TRIM(K348&amp;"")="","",IFERROR(INDEX(코드표!$K$2:$K$101,MATCH(TRIM(K348&amp;""),코드표!$J$2:$J$101,0)),"⚠"&amp;TRIM(K348&amp;"")))</f>
        <v/>
      </c>
      <c r="T348" s="10">
        <f>IF(TRIM(M348&amp;"")="","",IF(ISNUMBER(MATCH(TRIM(M348&amp;""),코드표!$C$2:$C$11,0)),TRIM(M348&amp;""),"⚠"&amp;TRIM(M348&amp;"")))</f>
        <v/>
      </c>
      <c r="U348" s="10">
        <f>IF(TRIM(L348&amp;"")="","",IFERROR(INDEX(코드표!$G$2:$G$101,MATCH(TRIM(L348&amp;""),코드표!$F$2:$F$101,0)),"⚠"&amp;TRIM(L348&amp;"")))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IF(ISNUMBER(H348),MAX(0,MIN(IF(ISNUMBER(I348),I348,EOMONTH(요약!$B$3,0)),EOMONTH(요약!$B$3,0))-MAX(H348,요약!$B$3)+1),0)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IF(AND(ISNUMBER(AB348),ISNUMBER(AC348)),MAX(0,MIN(AC348,EOMONTH(요약!$B$3,0))-MAX(AB348,요약!$B$3)+1),0)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IF(TRIM(B349&amp;"")="","",IFERROR(INDEX(코드표!$K$2:$K$101,MATCH(TRIM(B349&amp;""),코드표!$J$2:$J$101,0)),"⚠"&amp;TRIM(B349&amp;"")))</f>
        <v/>
      </c>
      <c r="S349" s="10">
        <f>IF(TRIM(K349&amp;"")="","",IFERROR(INDEX(코드표!$K$2:$K$101,MATCH(TRIM(K349&amp;""),코드표!$J$2:$J$101,0)),"⚠"&amp;TRIM(K349&amp;"")))</f>
        <v/>
      </c>
      <c r="T349" s="10">
        <f>IF(TRIM(M349&amp;"")="","",IF(ISNUMBER(MATCH(TRIM(M349&amp;""),코드표!$C$2:$C$11,0)),TRIM(M349&amp;""),"⚠"&amp;TRIM(M349&amp;"")))</f>
        <v/>
      </c>
      <c r="U349" s="10">
        <f>IF(TRIM(L349&amp;"")="","",IFERROR(INDEX(코드표!$G$2:$G$101,MATCH(TRIM(L349&amp;""),코드표!$F$2:$F$101,0)),"⚠"&amp;TRIM(L349&amp;"")))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IF(ISNUMBER(H349),MAX(0,MIN(IF(ISNUMBER(I349),I349,EOMONTH(요약!$B$3,0)),EOMONTH(요약!$B$3,0))-MAX(H349,요약!$B$3)+1),0)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IF(AND(ISNUMBER(AB349),ISNUMBER(AC349)),MAX(0,MIN(AC349,EOMONTH(요약!$B$3,0))-MAX(AB349,요약!$B$3)+1),0)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IF(TRIM(B350&amp;"")="","",IFERROR(INDEX(코드표!$K$2:$K$101,MATCH(TRIM(B350&amp;""),코드표!$J$2:$J$101,0)),"⚠"&amp;TRIM(B350&amp;"")))</f>
        <v/>
      </c>
      <c r="S350" s="10">
        <f>IF(TRIM(K350&amp;"")="","",IFERROR(INDEX(코드표!$K$2:$K$101,MATCH(TRIM(K350&amp;""),코드표!$J$2:$J$101,0)),"⚠"&amp;TRIM(K350&amp;"")))</f>
        <v/>
      </c>
      <c r="T350" s="10">
        <f>IF(TRIM(M350&amp;"")="","",IF(ISNUMBER(MATCH(TRIM(M350&amp;""),코드표!$C$2:$C$11,0)),TRIM(M350&amp;""),"⚠"&amp;TRIM(M350&amp;"")))</f>
        <v/>
      </c>
      <c r="U350" s="10">
        <f>IF(TRIM(L350&amp;"")="","",IFERROR(INDEX(코드표!$G$2:$G$101,MATCH(TRIM(L350&amp;""),코드표!$F$2:$F$101,0)),"⚠"&amp;TRIM(L350&amp;"")))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IF(ISNUMBER(H350),MAX(0,MIN(IF(ISNUMBER(I350),I350,EOMONTH(요약!$B$3,0)),EOMONTH(요약!$B$3,0))-MAX(H350,요약!$B$3)+1),0)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IF(AND(ISNUMBER(AB350),ISNUMBER(AC350)),MAX(0,MIN(AC350,EOMONTH(요약!$B$3,0))-MAX(AB350,요약!$B$3)+1),0)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IF(TRIM(B351&amp;"")="","",IFERROR(INDEX(코드표!$K$2:$K$101,MATCH(TRIM(B351&amp;""),코드표!$J$2:$J$101,0)),"⚠"&amp;TRIM(B351&amp;"")))</f>
        <v/>
      </c>
      <c r="S351" s="10">
        <f>IF(TRIM(K351&amp;"")="","",IFERROR(INDEX(코드표!$K$2:$K$101,MATCH(TRIM(K351&amp;""),코드표!$J$2:$J$101,0)),"⚠"&amp;TRIM(K351&amp;"")))</f>
        <v/>
      </c>
      <c r="T351" s="10">
        <f>IF(TRIM(M351&amp;"")="","",IF(ISNUMBER(MATCH(TRIM(M351&amp;""),코드표!$C$2:$C$11,0)),TRIM(M351&amp;""),"⚠"&amp;TRIM(M351&amp;"")))</f>
        <v/>
      </c>
      <c r="U351" s="10">
        <f>IF(TRIM(L351&amp;"")="","",IFERROR(INDEX(코드표!$G$2:$G$101,MATCH(TRIM(L351&amp;""),코드표!$F$2:$F$101,0)),"⚠"&amp;TRIM(L351&amp;"")))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IF(ISNUMBER(H351),MAX(0,MIN(IF(ISNUMBER(I351),I351,EOMONTH(요약!$B$3,0)),EOMONTH(요약!$B$3,0))-MAX(H351,요약!$B$3)+1),0)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IF(AND(ISNUMBER(AB351),ISNUMBER(AC351)),MAX(0,MIN(AC351,EOMONTH(요약!$B$3,0))-MAX(AB351,요약!$B$3)+1),0)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IF(TRIM(B352&amp;"")="","",IFERROR(INDEX(코드표!$K$2:$K$101,MATCH(TRIM(B352&amp;""),코드표!$J$2:$J$101,0)),"⚠"&amp;TRIM(B352&amp;"")))</f>
        <v/>
      </c>
      <c r="S352" s="10">
        <f>IF(TRIM(K352&amp;"")="","",IFERROR(INDEX(코드표!$K$2:$K$101,MATCH(TRIM(K352&amp;""),코드표!$J$2:$J$101,0)),"⚠"&amp;TRIM(K352&amp;"")))</f>
        <v/>
      </c>
      <c r="T352" s="10">
        <f>IF(TRIM(M352&amp;"")="","",IF(ISNUMBER(MATCH(TRIM(M352&amp;""),코드표!$C$2:$C$11,0)),TRIM(M352&amp;""),"⚠"&amp;TRIM(M352&amp;"")))</f>
        <v/>
      </c>
      <c r="U352" s="10">
        <f>IF(TRIM(L352&amp;"")="","",IFERROR(INDEX(코드표!$G$2:$G$101,MATCH(TRIM(L352&amp;""),코드표!$F$2:$F$101,0)),"⚠"&amp;TRIM(L352&amp;"")))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IF(ISNUMBER(H352),MAX(0,MIN(IF(ISNUMBER(I352),I352,EOMONTH(요약!$B$3,0)),EOMONTH(요약!$B$3,0))-MAX(H352,요약!$B$3)+1),0)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IF(AND(ISNUMBER(AB352),ISNUMBER(AC352)),MAX(0,MIN(AC352,EOMONTH(요약!$B$3,0))-MAX(AB352,요약!$B$3)+1),0)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IF(TRIM(B353&amp;"")="","",IFERROR(INDEX(코드표!$K$2:$K$101,MATCH(TRIM(B353&amp;""),코드표!$J$2:$J$101,0)),"⚠"&amp;TRIM(B353&amp;"")))</f>
        <v/>
      </c>
      <c r="S353" s="10">
        <f>IF(TRIM(K353&amp;"")="","",IFERROR(INDEX(코드표!$K$2:$K$101,MATCH(TRIM(K353&amp;""),코드표!$J$2:$J$101,0)),"⚠"&amp;TRIM(K353&amp;"")))</f>
        <v/>
      </c>
      <c r="T353" s="10">
        <f>IF(TRIM(M353&amp;"")="","",IF(ISNUMBER(MATCH(TRIM(M353&amp;""),코드표!$C$2:$C$11,0)),TRIM(M353&amp;""),"⚠"&amp;TRIM(M353&amp;"")))</f>
        <v/>
      </c>
      <c r="U353" s="10">
        <f>IF(TRIM(L353&amp;"")="","",IFERROR(INDEX(코드표!$G$2:$G$101,MATCH(TRIM(L353&amp;""),코드표!$F$2:$F$101,0)),"⚠"&amp;TRIM(L353&amp;"")))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IF(ISNUMBER(H353),MAX(0,MIN(IF(ISNUMBER(I353),I353,EOMONTH(요약!$B$3,0)),EOMONTH(요약!$B$3,0))-MAX(H353,요약!$B$3)+1),0)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IF(AND(ISNUMBER(AB353),ISNUMBER(AC353)),MAX(0,MIN(AC353,EOMONTH(요약!$B$3,0))-MAX(AB353,요약!$B$3)+1),0)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IF(TRIM(B354&amp;"")="","",IFERROR(INDEX(코드표!$K$2:$K$101,MATCH(TRIM(B354&amp;""),코드표!$J$2:$J$101,0)),"⚠"&amp;TRIM(B354&amp;"")))</f>
        <v/>
      </c>
      <c r="S354" s="10">
        <f>IF(TRIM(K354&amp;"")="","",IFERROR(INDEX(코드표!$K$2:$K$101,MATCH(TRIM(K354&amp;""),코드표!$J$2:$J$101,0)),"⚠"&amp;TRIM(K354&amp;"")))</f>
        <v/>
      </c>
      <c r="T354" s="10">
        <f>IF(TRIM(M354&amp;"")="","",IF(ISNUMBER(MATCH(TRIM(M354&amp;""),코드표!$C$2:$C$11,0)),TRIM(M354&amp;""),"⚠"&amp;TRIM(M354&amp;"")))</f>
        <v/>
      </c>
      <c r="U354" s="10">
        <f>IF(TRIM(L354&amp;"")="","",IFERROR(INDEX(코드표!$G$2:$G$101,MATCH(TRIM(L354&amp;""),코드표!$F$2:$F$101,0)),"⚠"&amp;TRIM(L354&amp;"")))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IF(ISNUMBER(H354),MAX(0,MIN(IF(ISNUMBER(I354),I354,EOMONTH(요약!$B$3,0)),EOMONTH(요약!$B$3,0))-MAX(H354,요약!$B$3)+1),0)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IF(AND(ISNUMBER(AB354),ISNUMBER(AC354)),MAX(0,MIN(AC354,EOMONTH(요약!$B$3,0))-MAX(AB354,요약!$B$3)+1),0)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IF(TRIM(B355&amp;"")="","",IFERROR(INDEX(코드표!$K$2:$K$101,MATCH(TRIM(B355&amp;""),코드표!$J$2:$J$101,0)),"⚠"&amp;TRIM(B355&amp;"")))</f>
        <v/>
      </c>
      <c r="S355" s="10">
        <f>IF(TRIM(K355&amp;"")="","",IFERROR(INDEX(코드표!$K$2:$K$101,MATCH(TRIM(K355&amp;""),코드표!$J$2:$J$101,0)),"⚠"&amp;TRIM(K355&amp;"")))</f>
        <v/>
      </c>
      <c r="T355" s="10">
        <f>IF(TRIM(M355&amp;"")="","",IF(ISNUMBER(MATCH(TRIM(M355&amp;""),코드표!$C$2:$C$11,0)),TRIM(M355&amp;""),"⚠"&amp;TRIM(M355&amp;"")))</f>
        <v/>
      </c>
      <c r="U355" s="10">
        <f>IF(TRIM(L355&amp;"")="","",IFERROR(INDEX(코드표!$G$2:$G$101,MATCH(TRIM(L355&amp;""),코드표!$F$2:$F$101,0)),"⚠"&amp;TRIM(L355&amp;"")))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IF(ISNUMBER(H355),MAX(0,MIN(IF(ISNUMBER(I355),I355,EOMONTH(요약!$B$3,0)),EOMONTH(요약!$B$3,0))-MAX(H355,요약!$B$3)+1),0)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IF(AND(ISNUMBER(AB355),ISNUMBER(AC355)),MAX(0,MIN(AC355,EOMONTH(요약!$B$3,0))-MAX(AB355,요약!$B$3)+1),0)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IF(TRIM(B356&amp;"")="","",IFERROR(INDEX(코드표!$K$2:$K$101,MATCH(TRIM(B356&amp;""),코드표!$J$2:$J$101,0)),"⚠"&amp;TRIM(B356&amp;"")))</f>
        <v/>
      </c>
      <c r="S356" s="10">
        <f>IF(TRIM(K356&amp;"")="","",IFERROR(INDEX(코드표!$K$2:$K$101,MATCH(TRIM(K356&amp;""),코드표!$J$2:$J$101,0)),"⚠"&amp;TRIM(K356&amp;"")))</f>
        <v/>
      </c>
      <c r="T356" s="10">
        <f>IF(TRIM(M356&amp;"")="","",IF(ISNUMBER(MATCH(TRIM(M356&amp;""),코드표!$C$2:$C$11,0)),TRIM(M356&amp;""),"⚠"&amp;TRIM(M356&amp;"")))</f>
        <v/>
      </c>
      <c r="U356" s="10">
        <f>IF(TRIM(L356&amp;"")="","",IFERROR(INDEX(코드표!$G$2:$G$101,MATCH(TRIM(L356&amp;""),코드표!$F$2:$F$101,0)),"⚠"&amp;TRIM(L356&amp;"")))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IF(ISNUMBER(H356),MAX(0,MIN(IF(ISNUMBER(I356),I356,EOMONTH(요약!$B$3,0)),EOMONTH(요약!$B$3,0))-MAX(H356,요약!$B$3)+1),0)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IF(AND(ISNUMBER(AB356),ISNUMBER(AC356)),MAX(0,MIN(AC356,EOMONTH(요약!$B$3,0))-MAX(AB356,요약!$B$3)+1),0)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IF(TRIM(B357&amp;"")="","",IFERROR(INDEX(코드표!$K$2:$K$101,MATCH(TRIM(B357&amp;""),코드표!$J$2:$J$101,0)),"⚠"&amp;TRIM(B357&amp;"")))</f>
        <v/>
      </c>
      <c r="S357" s="10">
        <f>IF(TRIM(K357&amp;"")="","",IFERROR(INDEX(코드표!$K$2:$K$101,MATCH(TRIM(K357&amp;""),코드표!$J$2:$J$101,0)),"⚠"&amp;TRIM(K357&amp;"")))</f>
        <v/>
      </c>
      <c r="T357" s="10">
        <f>IF(TRIM(M357&amp;"")="","",IF(ISNUMBER(MATCH(TRIM(M357&amp;""),코드표!$C$2:$C$11,0)),TRIM(M357&amp;""),"⚠"&amp;TRIM(M357&amp;"")))</f>
        <v/>
      </c>
      <c r="U357" s="10">
        <f>IF(TRIM(L357&amp;"")="","",IFERROR(INDEX(코드표!$G$2:$G$101,MATCH(TRIM(L357&amp;""),코드표!$F$2:$F$101,0)),"⚠"&amp;TRIM(L357&amp;"")))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IF(ISNUMBER(H357),MAX(0,MIN(IF(ISNUMBER(I357),I357,EOMONTH(요약!$B$3,0)),EOMONTH(요약!$B$3,0))-MAX(H357,요약!$B$3)+1),0)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IF(AND(ISNUMBER(AB357),ISNUMBER(AC357)),MAX(0,MIN(AC357,EOMONTH(요약!$B$3,0))-MAX(AB357,요약!$B$3)+1),0)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IF(TRIM(B358&amp;"")="","",IFERROR(INDEX(코드표!$K$2:$K$101,MATCH(TRIM(B358&amp;""),코드표!$J$2:$J$101,0)),"⚠"&amp;TRIM(B358&amp;"")))</f>
        <v/>
      </c>
      <c r="S358" s="10">
        <f>IF(TRIM(K358&amp;"")="","",IFERROR(INDEX(코드표!$K$2:$K$101,MATCH(TRIM(K358&amp;""),코드표!$J$2:$J$101,0)),"⚠"&amp;TRIM(K358&amp;"")))</f>
        <v/>
      </c>
      <c r="T358" s="10">
        <f>IF(TRIM(M358&amp;"")="","",IF(ISNUMBER(MATCH(TRIM(M358&amp;""),코드표!$C$2:$C$11,0)),TRIM(M358&amp;""),"⚠"&amp;TRIM(M358&amp;"")))</f>
        <v/>
      </c>
      <c r="U358" s="10">
        <f>IF(TRIM(L358&amp;"")="","",IFERROR(INDEX(코드표!$G$2:$G$101,MATCH(TRIM(L358&amp;""),코드표!$F$2:$F$101,0)),"⚠"&amp;TRIM(L358&amp;"")))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IF(ISNUMBER(H358),MAX(0,MIN(IF(ISNUMBER(I358),I358,EOMONTH(요약!$B$3,0)),EOMONTH(요약!$B$3,0))-MAX(H358,요약!$B$3)+1),0)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IF(AND(ISNUMBER(AB358),ISNUMBER(AC358)),MAX(0,MIN(AC358,EOMONTH(요약!$B$3,0))-MAX(AB358,요약!$B$3)+1),0)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IF(TRIM(B359&amp;"")="","",IFERROR(INDEX(코드표!$K$2:$K$101,MATCH(TRIM(B359&amp;""),코드표!$J$2:$J$101,0)),"⚠"&amp;TRIM(B359&amp;"")))</f>
        <v/>
      </c>
      <c r="S359" s="10">
        <f>IF(TRIM(K359&amp;"")="","",IFERROR(INDEX(코드표!$K$2:$K$101,MATCH(TRIM(K359&amp;""),코드표!$J$2:$J$101,0)),"⚠"&amp;TRIM(K359&amp;"")))</f>
        <v/>
      </c>
      <c r="T359" s="10">
        <f>IF(TRIM(M359&amp;"")="","",IF(ISNUMBER(MATCH(TRIM(M359&amp;""),코드표!$C$2:$C$11,0)),TRIM(M359&amp;""),"⚠"&amp;TRIM(M359&amp;"")))</f>
        <v/>
      </c>
      <c r="U359" s="10">
        <f>IF(TRIM(L359&amp;"")="","",IFERROR(INDEX(코드표!$G$2:$G$101,MATCH(TRIM(L359&amp;""),코드표!$F$2:$F$101,0)),"⚠"&amp;TRIM(L359&amp;"")))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IF(ISNUMBER(H359),MAX(0,MIN(IF(ISNUMBER(I359),I359,EOMONTH(요약!$B$3,0)),EOMONTH(요약!$B$3,0))-MAX(H359,요약!$B$3)+1),0)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IF(AND(ISNUMBER(AB359),ISNUMBER(AC359)),MAX(0,MIN(AC359,EOMONTH(요약!$B$3,0))-MAX(AB359,요약!$B$3)+1),0)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IF(TRIM(B360&amp;"")="","",IFERROR(INDEX(코드표!$K$2:$K$101,MATCH(TRIM(B360&amp;""),코드표!$J$2:$J$101,0)),"⚠"&amp;TRIM(B360&amp;"")))</f>
        <v/>
      </c>
      <c r="S360" s="10">
        <f>IF(TRIM(K360&amp;"")="","",IFERROR(INDEX(코드표!$K$2:$K$101,MATCH(TRIM(K360&amp;""),코드표!$J$2:$J$101,0)),"⚠"&amp;TRIM(K360&amp;"")))</f>
        <v/>
      </c>
      <c r="T360" s="10">
        <f>IF(TRIM(M360&amp;"")="","",IF(ISNUMBER(MATCH(TRIM(M360&amp;""),코드표!$C$2:$C$11,0)),TRIM(M360&amp;""),"⚠"&amp;TRIM(M360&amp;"")))</f>
        <v/>
      </c>
      <c r="U360" s="10">
        <f>IF(TRIM(L360&amp;"")="","",IFERROR(INDEX(코드표!$G$2:$G$101,MATCH(TRIM(L360&amp;""),코드표!$F$2:$F$101,0)),"⚠"&amp;TRIM(L360&amp;"")))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IF(ISNUMBER(H360),MAX(0,MIN(IF(ISNUMBER(I360),I360,EOMONTH(요약!$B$3,0)),EOMONTH(요약!$B$3,0))-MAX(H360,요약!$B$3)+1),0)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IF(AND(ISNUMBER(AB360),ISNUMBER(AC360)),MAX(0,MIN(AC360,EOMONTH(요약!$B$3,0))-MAX(AB360,요약!$B$3)+1),0)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IF(TRIM(B361&amp;"")="","",IFERROR(INDEX(코드표!$K$2:$K$101,MATCH(TRIM(B361&amp;""),코드표!$J$2:$J$101,0)),"⚠"&amp;TRIM(B361&amp;"")))</f>
        <v/>
      </c>
      <c r="S361" s="10">
        <f>IF(TRIM(K361&amp;"")="","",IFERROR(INDEX(코드표!$K$2:$K$101,MATCH(TRIM(K361&amp;""),코드표!$J$2:$J$101,0)),"⚠"&amp;TRIM(K361&amp;"")))</f>
        <v/>
      </c>
      <c r="T361" s="10">
        <f>IF(TRIM(M361&amp;"")="","",IF(ISNUMBER(MATCH(TRIM(M361&amp;""),코드표!$C$2:$C$11,0)),TRIM(M361&amp;""),"⚠"&amp;TRIM(M361&amp;"")))</f>
        <v/>
      </c>
      <c r="U361" s="10">
        <f>IF(TRIM(L361&amp;"")="","",IFERROR(INDEX(코드표!$G$2:$G$101,MATCH(TRIM(L361&amp;""),코드표!$F$2:$F$101,0)),"⚠"&amp;TRIM(L361&amp;"")))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IF(ISNUMBER(H361),MAX(0,MIN(IF(ISNUMBER(I361),I361,EOMONTH(요약!$B$3,0)),EOMONTH(요약!$B$3,0))-MAX(H361,요약!$B$3)+1),0)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IF(AND(ISNUMBER(AB361),ISNUMBER(AC361)),MAX(0,MIN(AC361,EOMONTH(요약!$B$3,0))-MAX(AB361,요약!$B$3)+1),0)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IF(TRIM(B362&amp;"")="","",IFERROR(INDEX(코드표!$K$2:$K$101,MATCH(TRIM(B362&amp;""),코드표!$J$2:$J$101,0)),"⚠"&amp;TRIM(B362&amp;"")))</f>
        <v/>
      </c>
      <c r="S362" s="10">
        <f>IF(TRIM(K362&amp;"")="","",IFERROR(INDEX(코드표!$K$2:$K$101,MATCH(TRIM(K362&amp;""),코드표!$J$2:$J$101,0)),"⚠"&amp;TRIM(K362&amp;"")))</f>
        <v/>
      </c>
      <c r="T362" s="10">
        <f>IF(TRIM(M362&amp;"")="","",IF(ISNUMBER(MATCH(TRIM(M362&amp;""),코드표!$C$2:$C$11,0)),TRIM(M362&amp;""),"⚠"&amp;TRIM(M362&amp;"")))</f>
        <v/>
      </c>
      <c r="U362" s="10">
        <f>IF(TRIM(L362&amp;"")="","",IFERROR(INDEX(코드표!$G$2:$G$101,MATCH(TRIM(L362&amp;""),코드표!$F$2:$F$101,0)),"⚠"&amp;TRIM(L362&amp;"")))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IF(ISNUMBER(H362),MAX(0,MIN(IF(ISNUMBER(I362),I362,EOMONTH(요약!$B$3,0)),EOMONTH(요약!$B$3,0))-MAX(H362,요약!$B$3)+1),0)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IF(AND(ISNUMBER(AB362),ISNUMBER(AC362)),MAX(0,MIN(AC362,EOMONTH(요약!$B$3,0))-MAX(AB362,요약!$B$3)+1),0)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IF(TRIM(B363&amp;"")="","",IFERROR(INDEX(코드표!$K$2:$K$101,MATCH(TRIM(B363&amp;""),코드표!$J$2:$J$101,0)),"⚠"&amp;TRIM(B363&amp;"")))</f>
        <v/>
      </c>
      <c r="S363" s="10">
        <f>IF(TRIM(K363&amp;"")="","",IFERROR(INDEX(코드표!$K$2:$K$101,MATCH(TRIM(K363&amp;""),코드표!$J$2:$J$101,0)),"⚠"&amp;TRIM(K363&amp;"")))</f>
        <v/>
      </c>
      <c r="T363" s="10">
        <f>IF(TRIM(M363&amp;"")="","",IF(ISNUMBER(MATCH(TRIM(M363&amp;""),코드표!$C$2:$C$11,0)),TRIM(M363&amp;""),"⚠"&amp;TRIM(M363&amp;"")))</f>
        <v/>
      </c>
      <c r="U363" s="10">
        <f>IF(TRIM(L363&amp;"")="","",IFERROR(INDEX(코드표!$G$2:$G$101,MATCH(TRIM(L363&amp;""),코드표!$F$2:$F$101,0)),"⚠"&amp;TRIM(L363&amp;"")))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IF(ISNUMBER(H363),MAX(0,MIN(IF(ISNUMBER(I363),I363,EOMONTH(요약!$B$3,0)),EOMONTH(요약!$B$3,0))-MAX(H363,요약!$B$3)+1),0)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IF(AND(ISNUMBER(AB363),ISNUMBER(AC363)),MAX(0,MIN(AC363,EOMONTH(요약!$B$3,0))-MAX(AB363,요약!$B$3)+1),0)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IF(TRIM(B364&amp;"")="","",IFERROR(INDEX(코드표!$K$2:$K$101,MATCH(TRIM(B364&amp;""),코드표!$J$2:$J$101,0)),"⚠"&amp;TRIM(B364&amp;"")))</f>
        <v/>
      </c>
      <c r="S364" s="10">
        <f>IF(TRIM(K364&amp;"")="","",IFERROR(INDEX(코드표!$K$2:$K$101,MATCH(TRIM(K364&amp;""),코드표!$J$2:$J$101,0)),"⚠"&amp;TRIM(K364&amp;"")))</f>
        <v/>
      </c>
      <c r="T364" s="10">
        <f>IF(TRIM(M364&amp;"")="","",IF(ISNUMBER(MATCH(TRIM(M364&amp;""),코드표!$C$2:$C$11,0)),TRIM(M364&amp;""),"⚠"&amp;TRIM(M364&amp;"")))</f>
        <v/>
      </c>
      <c r="U364" s="10">
        <f>IF(TRIM(L364&amp;"")="","",IFERROR(INDEX(코드표!$G$2:$G$101,MATCH(TRIM(L364&amp;""),코드표!$F$2:$F$101,0)),"⚠"&amp;TRIM(L364&amp;"")))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IF(ISNUMBER(H364),MAX(0,MIN(IF(ISNUMBER(I364),I364,EOMONTH(요약!$B$3,0)),EOMONTH(요약!$B$3,0))-MAX(H364,요약!$B$3)+1),0)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IF(AND(ISNUMBER(AB364),ISNUMBER(AC364)),MAX(0,MIN(AC364,EOMONTH(요약!$B$3,0))-MAX(AB364,요약!$B$3)+1),0)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IF(TRIM(B365&amp;"")="","",IFERROR(INDEX(코드표!$K$2:$K$101,MATCH(TRIM(B365&amp;""),코드표!$J$2:$J$101,0)),"⚠"&amp;TRIM(B365&amp;"")))</f>
        <v/>
      </c>
      <c r="S365" s="10">
        <f>IF(TRIM(K365&amp;"")="","",IFERROR(INDEX(코드표!$K$2:$K$101,MATCH(TRIM(K365&amp;""),코드표!$J$2:$J$101,0)),"⚠"&amp;TRIM(K365&amp;"")))</f>
        <v/>
      </c>
      <c r="T365" s="10">
        <f>IF(TRIM(M365&amp;"")="","",IF(ISNUMBER(MATCH(TRIM(M365&amp;""),코드표!$C$2:$C$11,0)),TRIM(M365&amp;""),"⚠"&amp;TRIM(M365&amp;"")))</f>
        <v/>
      </c>
      <c r="U365" s="10">
        <f>IF(TRIM(L365&amp;"")="","",IFERROR(INDEX(코드표!$G$2:$G$101,MATCH(TRIM(L365&amp;""),코드표!$F$2:$F$101,0)),"⚠"&amp;TRIM(L365&amp;"")))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IF(ISNUMBER(H365),MAX(0,MIN(IF(ISNUMBER(I365),I365,EOMONTH(요약!$B$3,0)),EOMONTH(요약!$B$3,0))-MAX(H365,요약!$B$3)+1),0)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IF(AND(ISNUMBER(AB365),ISNUMBER(AC365)),MAX(0,MIN(AC365,EOMONTH(요약!$B$3,0))-MAX(AB365,요약!$B$3)+1),0)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IF(TRIM(B366&amp;"")="","",IFERROR(INDEX(코드표!$K$2:$K$101,MATCH(TRIM(B366&amp;""),코드표!$J$2:$J$101,0)),"⚠"&amp;TRIM(B366&amp;"")))</f>
        <v/>
      </c>
      <c r="S366" s="10">
        <f>IF(TRIM(K366&amp;"")="","",IFERROR(INDEX(코드표!$K$2:$K$101,MATCH(TRIM(K366&amp;""),코드표!$J$2:$J$101,0)),"⚠"&amp;TRIM(K366&amp;"")))</f>
        <v/>
      </c>
      <c r="T366" s="10">
        <f>IF(TRIM(M366&amp;"")="","",IF(ISNUMBER(MATCH(TRIM(M366&amp;""),코드표!$C$2:$C$11,0)),TRIM(M366&amp;""),"⚠"&amp;TRIM(M366&amp;"")))</f>
        <v/>
      </c>
      <c r="U366" s="10">
        <f>IF(TRIM(L366&amp;"")="","",IFERROR(INDEX(코드표!$G$2:$G$101,MATCH(TRIM(L366&amp;""),코드표!$F$2:$F$101,0)),"⚠"&amp;TRIM(L366&amp;"")))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IF(ISNUMBER(H366),MAX(0,MIN(IF(ISNUMBER(I366),I366,EOMONTH(요약!$B$3,0)),EOMONTH(요약!$B$3,0))-MAX(H366,요약!$B$3)+1),0)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IF(AND(ISNUMBER(AB366),ISNUMBER(AC366)),MAX(0,MIN(AC366,EOMONTH(요약!$B$3,0))-MAX(AB366,요약!$B$3)+1),0)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IF(TRIM(B367&amp;"")="","",IFERROR(INDEX(코드표!$K$2:$K$101,MATCH(TRIM(B367&amp;""),코드표!$J$2:$J$101,0)),"⚠"&amp;TRIM(B367&amp;"")))</f>
        <v/>
      </c>
      <c r="S367" s="10">
        <f>IF(TRIM(K367&amp;"")="","",IFERROR(INDEX(코드표!$K$2:$K$101,MATCH(TRIM(K367&amp;""),코드표!$J$2:$J$101,0)),"⚠"&amp;TRIM(K367&amp;"")))</f>
        <v/>
      </c>
      <c r="T367" s="10">
        <f>IF(TRIM(M367&amp;"")="","",IF(ISNUMBER(MATCH(TRIM(M367&amp;""),코드표!$C$2:$C$11,0)),TRIM(M367&amp;""),"⚠"&amp;TRIM(M367&amp;"")))</f>
        <v/>
      </c>
      <c r="U367" s="10">
        <f>IF(TRIM(L367&amp;"")="","",IFERROR(INDEX(코드표!$G$2:$G$101,MATCH(TRIM(L367&amp;""),코드표!$F$2:$F$101,0)),"⚠"&amp;TRIM(L367&amp;"")))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IF(ISNUMBER(H367),MAX(0,MIN(IF(ISNUMBER(I367),I367,EOMONTH(요약!$B$3,0)),EOMONTH(요약!$B$3,0))-MAX(H367,요약!$B$3)+1),0)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IF(AND(ISNUMBER(AB367),ISNUMBER(AC367)),MAX(0,MIN(AC367,EOMONTH(요약!$B$3,0))-MAX(AB367,요약!$B$3)+1),0)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IF(TRIM(B368&amp;"")="","",IFERROR(INDEX(코드표!$K$2:$K$101,MATCH(TRIM(B368&amp;""),코드표!$J$2:$J$101,0)),"⚠"&amp;TRIM(B368&amp;"")))</f>
        <v/>
      </c>
      <c r="S368" s="10">
        <f>IF(TRIM(K368&amp;"")="","",IFERROR(INDEX(코드표!$K$2:$K$101,MATCH(TRIM(K368&amp;""),코드표!$J$2:$J$101,0)),"⚠"&amp;TRIM(K368&amp;"")))</f>
        <v/>
      </c>
      <c r="T368" s="10">
        <f>IF(TRIM(M368&amp;"")="","",IF(ISNUMBER(MATCH(TRIM(M368&amp;""),코드표!$C$2:$C$11,0)),TRIM(M368&amp;""),"⚠"&amp;TRIM(M368&amp;"")))</f>
        <v/>
      </c>
      <c r="U368" s="10">
        <f>IF(TRIM(L368&amp;"")="","",IFERROR(INDEX(코드표!$G$2:$G$101,MATCH(TRIM(L368&amp;""),코드표!$F$2:$F$101,0)),"⚠"&amp;TRIM(L368&amp;"")))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IF(ISNUMBER(H368),MAX(0,MIN(IF(ISNUMBER(I368),I368,EOMONTH(요약!$B$3,0)),EOMONTH(요약!$B$3,0))-MAX(H368,요약!$B$3)+1),0)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IF(AND(ISNUMBER(AB368),ISNUMBER(AC368)),MAX(0,MIN(AC368,EOMONTH(요약!$B$3,0))-MAX(AB368,요약!$B$3)+1),0)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IF(TRIM(B369&amp;"")="","",IFERROR(INDEX(코드표!$K$2:$K$101,MATCH(TRIM(B369&amp;""),코드표!$J$2:$J$101,0)),"⚠"&amp;TRIM(B369&amp;"")))</f>
        <v/>
      </c>
      <c r="S369" s="10">
        <f>IF(TRIM(K369&amp;"")="","",IFERROR(INDEX(코드표!$K$2:$K$101,MATCH(TRIM(K369&amp;""),코드표!$J$2:$J$101,0)),"⚠"&amp;TRIM(K369&amp;"")))</f>
        <v/>
      </c>
      <c r="T369" s="10">
        <f>IF(TRIM(M369&amp;"")="","",IF(ISNUMBER(MATCH(TRIM(M369&amp;""),코드표!$C$2:$C$11,0)),TRIM(M369&amp;""),"⚠"&amp;TRIM(M369&amp;"")))</f>
        <v/>
      </c>
      <c r="U369" s="10">
        <f>IF(TRIM(L369&amp;"")="","",IFERROR(INDEX(코드표!$G$2:$G$101,MATCH(TRIM(L369&amp;""),코드표!$F$2:$F$101,0)),"⚠"&amp;TRIM(L369&amp;"")))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IF(ISNUMBER(H369),MAX(0,MIN(IF(ISNUMBER(I369),I369,EOMONTH(요약!$B$3,0)),EOMONTH(요약!$B$3,0))-MAX(H369,요약!$B$3)+1),0)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IF(AND(ISNUMBER(AB369),ISNUMBER(AC369)),MAX(0,MIN(AC369,EOMONTH(요약!$B$3,0))-MAX(AB369,요약!$B$3)+1),0)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IF(TRIM(B370&amp;"")="","",IFERROR(INDEX(코드표!$K$2:$K$101,MATCH(TRIM(B370&amp;""),코드표!$J$2:$J$101,0)),"⚠"&amp;TRIM(B370&amp;"")))</f>
        <v/>
      </c>
      <c r="S370" s="10">
        <f>IF(TRIM(K370&amp;"")="","",IFERROR(INDEX(코드표!$K$2:$K$101,MATCH(TRIM(K370&amp;""),코드표!$J$2:$J$101,0)),"⚠"&amp;TRIM(K370&amp;"")))</f>
        <v/>
      </c>
      <c r="T370" s="10">
        <f>IF(TRIM(M370&amp;"")="","",IF(ISNUMBER(MATCH(TRIM(M370&amp;""),코드표!$C$2:$C$11,0)),TRIM(M370&amp;""),"⚠"&amp;TRIM(M370&amp;"")))</f>
        <v/>
      </c>
      <c r="U370" s="10">
        <f>IF(TRIM(L370&amp;"")="","",IFERROR(INDEX(코드표!$G$2:$G$101,MATCH(TRIM(L370&amp;""),코드표!$F$2:$F$101,0)),"⚠"&amp;TRIM(L370&amp;"")))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IF(ISNUMBER(H370),MAX(0,MIN(IF(ISNUMBER(I370),I370,EOMONTH(요약!$B$3,0)),EOMONTH(요약!$B$3,0))-MAX(H370,요약!$B$3)+1),0)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IF(AND(ISNUMBER(AB370),ISNUMBER(AC370)),MAX(0,MIN(AC370,EOMONTH(요약!$B$3,0))-MAX(AB370,요약!$B$3)+1),0)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IF(TRIM(B371&amp;"")="","",IFERROR(INDEX(코드표!$K$2:$K$101,MATCH(TRIM(B371&amp;""),코드표!$J$2:$J$101,0)),"⚠"&amp;TRIM(B371&amp;"")))</f>
        <v/>
      </c>
      <c r="S371" s="10">
        <f>IF(TRIM(K371&amp;"")="","",IFERROR(INDEX(코드표!$K$2:$K$101,MATCH(TRIM(K371&amp;""),코드표!$J$2:$J$101,0)),"⚠"&amp;TRIM(K371&amp;"")))</f>
        <v/>
      </c>
      <c r="T371" s="10">
        <f>IF(TRIM(M371&amp;"")="","",IF(ISNUMBER(MATCH(TRIM(M371&amp;""),코드표!$C$2:$C$11,0)),TRIM(M371&amp;""),"⚠"&amp;TRIM(M371&amp;"")))</f>
        <v/>
      </c>
      <c r="U371" s="10">
        <f>IF(TRIM(L371&amp;"")="","",IFERROR(INDEX(코드표!$G$2:$G$101,MATCH(TRIM(L371&amp;""),코드표!$F$2:$F$101,0)),"⚠"&amp;TRIM(L371&amp;"")))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IF(ISNUMBER(H371),MAX(0,MIN(IF(ISNUMBER(I371),I371,EOMONTH(요약!$B$3,0)),EOMONTH(요약!$B$3,0))-MAX(H371,요약!$B$3)+1),0)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IF(AND(ISNUMBER(AB371),ISNUMBER(AC371)),MAX(0,MIN(AC371,EOMONTH(요약!$B$3,0))-MAX(AB371,요약!$B$3)+1),0)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IF(TRIM(B372&amp;"")="","",IFERROR(INDEX(코드표!$K$2:$K$101,MATCH(TRIM(B372&amp;""),코드표!$J$2:$J$101,0)),"⚠"&amp;TRIM(B372&amp;"")))</f>
        <v/>
      </c>
      <c r="S372" s="10">
        <f>IF(TRIM(K372&amp;"")="","",IFERROR(INDEX(코드표!$K$2:$K$101,MATCH(TRIM(K372&amp;""),코드표!$J$2:$J$101,0)),"⚠"&amp;TRIM(K372&amp;"")))</f>
        <v/>
      </c>
      <c r="T372" s="10">
        <f>IF(TRIM(M372&amp;"")="","",IF(ISNUMBER(MATCH(TRIM(M372&amp;""),코드표!$C$2:$C$11,0)),TRIM(M372&amp;""),"⚠"&amp;TRIM(M372&amp;"")))</f>
        <v/>
      </c>
      <c r="U372" s="10">
        <f>IF(TRIM(L372&amp;"")="","",IFERROR(INDEX(코드표!$G$2:$G$101,MATCH(TRIM(L372&amp;""),코드표!$F$2:$F$101,0)),"⚠"&amp;TRIM(L372&amp;"")))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IF(ISNUMBER(H372),MAX(0,MIN(IF(ISNUMBER(I372),I372,EOMONTH(요약!$B$3,0)),EOMONTH(요약!$B$3,0))-MAX(H372,요약!$B$3)+1),0)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IF(AND(ISNUMBER(AB372),ISNUMBER(AC372)),MAX(0,MIN(AC372,EOMONTH(요약!$B$3,0))-MAX(AB372,요약!$B$3)+1),0)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IF(TRIM(B373&amp;"")="","",IFERROR(INDEX(코드표!$K$2:$K$101,MATCH(TRIM(B373&amp;""),코드표!$J$2:$J$101,0)),"⚠"&amp;TRIM(B373&amp;"")))</f>
        <v/>
      </c>
      <c r="S373" s="10">
        <f>IF(TRIM(K373&amp;"")="","",IFERROR(INDEX(코드표!$K$2:$K$101,MATCH(TRIM(K373&amp;""),코드표!$J$2:$J$101,0)),"⚠"&amp;TRIM(K373&amp;"")))</f>
        <v/>
      </c>
      <c r="T373" s="10">
        <f>IF(TRIM(M373&amp;"")="","",IF(ISNUMBER(MATCH(TRIM(M373&amp;""),코드표!$C$2:$C$11,0)),TRIM(M373&amp;""),"⚠"&amp;TRIM(M373&amp;"")))</f>
        <v/>
      </c>
      <c r="U373" s="10">
        <f>IF(TRIM(L373&amp;"")="","",IFERROR(INDEX(코드표!$G$2:$G$101,MATCH(TRIM(L373&amp;""),코드표!$F$2:$F$101,0)),"⚠"&amp;TRIM(L373&amp;"")))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IF(ISNUMBER(H373),MAX(0,MIN(IF(ISNUMBER(I373),I373,EOMONTH(요약!$B$3,0)),EOMONTH(요약!$B$3,0))-MAX(H373,요약!$B$3)+1),0)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IF(AND(ISNUMBER(AB373),ISNUMBER(AC373)),MAX(0,MIN(AC373,EOMONTH(요약!$B$3,0))-MAX(AB373,요약!$B$3)+1),0)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IF(TRIM(B374&amp;"")="","",IFERROR(INDEX(코드표!$K$2:$K$101,MATCH(TRIM(B374&amp;""),코드표!$J$2:$J$101,0)),"⚠"&amp;TRIM(B374&amp;"")))</f>
        <v/>
      </c>
      <c r="S374" s="10">
        <f>IF(TRIM(K374&amp;"")="","",IFERROR(INDEX(코드표!$K$2:$K$101,MATCH(TRIM(K374&amp;""),코드표!$J$2:$J$101,0)),"⚠"&amp;TRIM(K374&amp;"")))</f>
        <v/>
      </c>
      <c r="T374" s="10">
        <f>IF(TRIM(M374&amp;"")="","",IF(ISNUMBER(MATCH(TRIM(M374&amp;""),코드표!$C$2:$C$11,0)),TRIM(M374&amp;""),"⚠"&amp;TRIM(M374&amp;"")))</f>
        <v/>
      </c>
      <c r="U374" s="10">
        <f>IF(TRIM(L374&amp;"")="","",IFERROR(INDEX(코드표!$G$2:$G$101,MATCH(TRIM(L374&amp;""),코드표!$F$2:$F$101,0)),"⚠"&amp;TRIM(L374&amp;"")))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IF(ISNUMBER(H374),MAX(0,MIN(IF(ISNUMBER(I374),I374,EOMONTH(요약!$B$3,0)),EOMONTH(요약!$B$3,0))-MAX(H374,요약!$B$3)+1),0)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IF(AND(ISNUMBER(AB374),ISNUMBER(AC374)),MAX(0,MIN(AC374,EOMONTH(요약!$B$3,0))-MAX(AB374,요약!$B$3)+1),0)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IF(TRIM(B375&amp;"")="","",IFERROR(INDEX(코드표!$K$2:$K$101,MATCH(TRIM(B375&amp;""),코드표!$J$2:$J$101,0)),"⚠"&amp;TRIM(B375&amp;"")))</f>
        <v/>
      </c>
      <c r="S375" s="10">
        <f>IF(TRIM(K375&amp;"")="","",IFERROR(INDEX(코드표!$K$2:$K$101,MATCH(TRIM(K375&amp;""),코드표!$J$2:$J$101,0)),"⚠"&amp;TRIM(K375&amp;"")))</f>
        <v/>
      </c>
      <c r="T375" s="10">
        <f>IF(TRIM(M375&amp;"")="","",IF(ISNUMBER(MATCH(TRIM(M375&amp;""),코드표!$C$2:$C$11,0)),TRIM(M375&amp;""),"⚠"&amp;TRIM(M375&amp;"")))</f>
        <v/>
      </c>
      <c r="U375" s="10">
        <f>IF(TRIM(L375&amp;"")="","",IFERROR(INDEX(코드표!$G$2:$G$101,MATCH(TRIM(L375&amp;""),코드표!$F$2:$F$101,0)),"⚠"&amp;TRIM(L375&amp;"")))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IF(ISNUMBER(H375),MAX(0,MIN(IF(ISNUMBER(I375),I375,EOMONTH(요약!$B$3,0)),EOMONTH(요약!$B$3,0))-MAX(H375,요약!$B$3)+1),0)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IF(AND(ISNUMBER(AB375),ISNUMBER(AC375)),MAX(0,MIN(AC375,EOMONTH(요약!$B$3,0))-MAX(AB375,요약!$B$3)+1),0)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IF(TRIM(B376&amp;"")="","",IFERROR(INDEX(코드표!$K$2:$K$101,MATCH(TRIM(B376&amp;""),코드표!$J$2:$J$101,0)),"⚠"&amp;TRIM(B376&amp;"")))</f>
        <v/>
      </c>
      <c r="S376" s="10">
        <f>IF(TRIM(K376&amp;"")="","",IFERROR(INDEX(코드표!$K$2:$K$101,MATCH(TRIM(K376&amp;""),코드표!$J$2:$J$101,0)),"⚠"&amp;TRIM(K376&amp;"")))</f>
        <v/>
      </c>
      <c r="T376" s="10">
        <f>IF(TRIM(M376&amp;"")="","",IF(ISNUMBER(MATCH(TRIM(M376&amp;""),코드표!$C$2:$C$11,0)),TRIM(M376&amp;""),"⚠"&amp;TRIM(M376&amp;"")))</f>
        <v/>
      </c>
      <c r="U376" s="10">
        <f>IF(TRIM(L376&amp;"")="","",IFERROR(INDEX(코드표!$G$2:$G$101,MATCH(TRIM(L376&amp;""),코드표!$F$2:$F$101,0)),"⚠"&amp;TRIM(L376&amp;"")))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IF(ISNUMBER(H376),MAX(0,MIN(IF(ISNUMBER(I376),I376,EOMONTH(요약!$B$3,0)),EOMONTH(요약!$B$3,0))-MAX(H376,요약!$B$3)+1),0)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IF(AND(ISNUMBER(AB376),ISNUMBER(AC376)),MAX(0,MIN(AC376,EOMONTH(요약!$B$3,0))-MAX(AB376,요약!$B$3)+1),0)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IF(TRIM(B377&amp;"")="","",IFERROR(INDEX(코드표!$K$2:$K$101,MATCH(TRIM(B377&amp;""),코드표!$J$2:$J$101,0)),"⚠"&amp;TRIM(B377&amp;"")))</f>
        <v/>
      </c>
      <c r="S377" s="10">
        <f>IF(TRIM(K377&amp;"")="","",IFERROR(INDEX(코드표!$K$2:$K$101,MATCH(TRIM(K377&amp;""),코드표!$J$2:$J$101,0)),"⚠"&amp;TRIM(K377&amp;"")))</f>
        <v/>
      </c>
      <c r="T377" s="10">
        <f>IF(TRIM(M377&amp;"")="","",IF(ISNUMBER(MATCH(TRIM(M377&amp;""),코드표!$C$2:$C$11,0)),TRIM(M377&amp;""),"⚠"&amp;TRIM(M377&amp;"")))</f>
        <v/>
      </c>
      <c r="U377" s="10">
        <f>IF(TRIM(L377&amp;"")="","",IFERROR(INDEX(코드표!$G$2:$G$101,MATCH(TRIM(L377&amp;""),코드표!$F$2:$F$101,0)),"⚠"&amp;TRIM(L377&amp;"")))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IF(ISNUMBER(H377),MAX(0,MIN(IF(ISNUMBER(I377),I377,EOMONTH(요약!$B$3,0)),EOMONTH(요약!$B$3,0))-MAX(H377,요약!$B$3)+1),0)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IF(AND(ISNUMBER(AB377),ISNUMBER(AC377)),MAX(0,MIN(AC377,EOMONTH(요약!$B$3,0))-MAX(AB377,요약!$B$3)+1),0)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IF(TRIM(B378&amp;"")="","",IFERROR(INDEX(코드표!$K$2:$K$101,MATCH(TRIM(B378&amp;""),코드표!$J$2:$J$101,0)),"⚠"&amp;TRIM(B378&amp;"")))</f>
        <v/>
      </c>
      <c r="S378" s="10">
        <f>IF(TRIM(K378&amp;"")="","",IFERROR(INDEX(코드표!$K$2:$K$101,MATCH(TRIM(K378&amp;""),코드표!$J$2:$J$101,0)),"⚠"&amp;TRIM(K378&amp;"")))</f>
        <v/>
      </c>
      <c r="T378" s="10">
        <f>IF(TRIM(M378&amp;"")="","",IF(ISNUMBER(MATCH(TRIM(M378&amp;""),코드표!$C$2:$C$11,0)),TRIM(M378&amp;""),"⚠"&amp;TRIM(M378&amp;"")))</f>
        <v/>
      </c>
      <c r="U378" s="10">
        <f>IF(TRIM(L378&amp;"")="","",IFERROR(INDEX(코드표!$G$2:$G$101,MATCH(TRIM(L378&amp;""),코드표!$F$2:$F$101,0)),"⚠"&amp;TRIM(L378&amp;"")))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IF(ISNUMBER(H378),MAX(0,MIN(IF(ISNUMBER(I378),I378,EOMONTH(요약!$B$3,0)),EOMONTH(요약!$B$3,0))-MAX(H378,요약!$B$3)+1),0)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IF(AND(ISNUMBER(AB378),ISNUMBER(AC378)),MAX(0,MIN(AC378,EOMONTH(요약!$B$3,0))-MAX(AB378,요약!$B$3)+1),0)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IF(TRIM(B379&amp;"")="","",IFERROR(INDEX(코드표!$K$2:$K$101,MATCH(TRIM(B379&amp;""),코드표!$J$2:$J$101,0)),"⚠"&amp;TRIM(B379&amp;"")))</f>
        <v/>
      </c>
      <c r="S379" s="10">
        <f>IF(TRIM(K379&amp;"")="","",IFERROR(INDEX(코드표!$K$2:$K$101,MATCH(TRIM(K379&amp;""),코드표!$J$2:$J$101,0)),"⚠"&amp;TRIM(K379&amp;"")))</f>
        <v/>
      </c>
      <c r="T379" s="10">
        <f>IF(TRIM(M379&amp;"")="","",IF(ISNUMBER(MATCH(TRIM(M379&amp;""),코드표!$C$2:$C$11,0)),TRIM(M379&amp;""),"⚠"&amp;TRIM(M379&amp;"")))</f>
        <v/>
      </c>
      <c r="U379" s="10">
        <f>IF(TRIM(L379&amp;"")="","",IFERROR(INDEX(코드표!$G$2:$G$101,MATCH(TRIM(L379&amp;""),코드표!$F$2:$F$101,0)),"⚠"&amp;TRIM(L379&amp;"")))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IF(ISNUMBER(H379),MAX(0,MIN(IF(ISNUMBER(I379),I379,EOMONTH(요약!$B$3,0)),EOMONTH(요약!$B$3,0))-MAX(H379,요약!$B$3)+1),0)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IF(AND(ISNUMBER(AB379),ISNUMBER(AC379)),MAX(0,MIN(AC379,EOMONTH(요약!$B$3,0))-MAX(AB379,요약!$B$3)+1),0)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IF(TRIM(B380&amp;"")="","",IFERROR(INDEX(코드표!$K$2:$K$101,MATCH(TRIM(B380&amp;""),코드표!$J$2:$J$101,0)),"⚠"&amp;TRIM(B380&amp;"")))</f>
        <v/>
      </c>
      <c r="S380" s="10">
        <f>IF(TRIM(K380&amp;"")="","",IFERROR(INDEX(코드표!$K$2:$K$101,MATCH(TRIM(K380&amp;""),코드표!$J$2:$J$101,0)),"⚠"&amp;TRIM(K380&amp;"")))</f>
        <v/>
      </c>
      <c r="T380" s="10">
        <f>IF(TRIM(M380&amp;"")="","",IF(ISNUMBER(MATCH(TRIM(M380&amp;""),코드표!$C$2:$C$11,0)),TRIM(M380&amp;""),"⚠"&amp;TRIM(M380&amp;"")))</f>
        <v/>
      </c>
      <c r="U380" s="10">
        <f>IF(TRIM(L380&amp;"")="","",IFERROR(INDEX(코드표!$G$2:$G$101,MATCH(TRIM(L380&amp;""),코드표!$F$2:$F$101,0)),"⚠"&amp;TRIM(L380&amp;"")))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IF(ISNUMBER(H380),MAX(0,MIN(IF(ISNUMBER(I380),I380,EOMONTH(요약!$B$3,0)),EOMONTH(요약!$B$3,0))-MAX(H380,요약!$B$3)+1),0)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IF(AND(ISNUMBER(AB380),ISNUMBER(AC380)),MAX(0,MIN(AC380,EOMONTH(요약!$B$3,0))-MAX(AB380,요약!$B$3)+1),0)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IF(TRIM(B381&amp;"")="","",IFERROR(INDEX(코드표!$K$2:$K$101,MATCH(TRIM(B381&amp;""),코드표!$J$2:$J$101,0)),"⚠"&amp;TRIM(B381&amp;"")))</f>
        <v/>
      </c>
      <c r="S381" s="10">
        <f>IF(TRIM(K381&amp;"")="","",IFERROR(INDEX(코드표!$K$2:$K$101,MATCH(TRIM(K381&amp;""),코드표!$J$2:$J$101,0)),"⚠"&amp;TRIM(K381&amp;"")))</f>
        <v/>
      </c>
      <c r="T381" s="10">
        <f>IF(TRIM(M381&amp;"")="","",IF(ISNUMBER(MATCH(TRIM(M381&amp;""),코드표!$C$2:$C$11,0)),TRIM(M381&amp;""),"⚠"&amp;TRIM(M381&amp;"")))</f>
        <v/>
      </c>
      <c r="U381" s="10">
        <f>IF(TRIM(L381&amp;"")="","",IFERROR(INDEX(코드표!$G$2:$G$101,MATCH(TRIM(L381&amp;""),코드표!$F$2:$F$101,0)),"⚠"&amp;TRIM(L381&amp;"")))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IF(ISNUMBER(H381),MAX(0,MIN(IF(ISNUMBER(I381),I381,EOMONTH(요약!$B$3,0)),EOMONTH(요약!$B$3,0))-MAX(H381,요약!$B$3)+1),0)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IF(AND(ISNUMBER(AB381),ISNUMBER(AC381)),MAX(0,MIN(AC381,EOMONTH(요약!$B$3,0))-MAX(AB381,요약!$B$3)+1),0)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IF(TRIM(B382&amp;"")="","",IFERROR(INDEX(코드표!$K$2:$K$101,MATCH(TRIM(B382&amp;""),코드표!$J$2:$J$101,0)),"⚠"&amp;TRIM(B382&amp;"")))</f>
        <v/>
      </c>
      <c r="S382" s="10">
        <f>IF(TRIM(K382&amp;"")="","",IFERROR(INDEX(코드표!$K$2:$K$101,MATCH(TRIM(K382&amp;""),코드표!$J$2:$J$101,0)),"⚠"&amp;TRIM(K382&amp;"")))</f>
        <v/>
      </c>
      <c r="T382" s="10">
        <f>IF(TRIM(M382&amp;"")="","",IF(ISNUMBER(MATCH(TRIM(M382&amp;""),코드표!$C$2:$C$11,0)),TRIM(M382&amp;""),"⚠"&amp;TRIM(M382&amp;"")))</f>
        <v/>
      </c>
      <c r="U382" s="10">
        <f>IF(TRIM(L382&amp;"")="","",IFERROR(INDEX(코드표!$G$2:$G$101,MATCH(TRIM(L382&amp;""),코드표!$F$2:$F$101,0)),"⚠"&amp;TRIM(L382&amp;"")))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IF(ISNUMBER(H382),MAX(0,MIN(IF(ISNUMBER(I382),I382,EOMONTH(요약!$B$3,0)),EOMONTH(요약!$B$3,0))-MAX(H382,요약!$B$3)+1),0)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IF(AND(ISNUMBER(AB382),ISNUMBER(AC382)),MAX(0,MIN(AC382,EOMONTH(요약!$B$3,0))-MAX(AB382,요약!$B$3)+1),0)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IF(TRIM(B383&amp;"")="","",IFERROR(INDEX(코드표!$K$2:$K$101,MATCH(TRIM(B383&amp;""),코드표!$J$2:$J$101,0)),"⚠"&amp;TRIM(B383&amp;"")))</f>
        <v/>
      </c>
      <c r="S383" s="10">
        <f>IF(TRIM(K383&amp;"")="","",IFERROR(INDEX(코드표!$K$2:$K$101,MATCH(TRIM(K383&amp;""),코드표!$J$2:$J$101,0)),"⚠"&amp;TRIM(K383&amp;"")))</f>
        <v/>
      </c>
      <c r="T383" s="10">
        <f>IF(TRIM(M383&amp;"")="","",IF(ISNUMBER(MATCH(TRIM(M383&amp;""),코드표!$C$2:$C$11,0)),TRIM(M383&amp;""),"⚠"&amp;TRIM(M383&amp;"")))</f>
        <v/>
      </c>
      <c r="U383" s="10">
        <f>IF(TRIM(L383&amp;"")="","",IFERROR(INDEX(코드표!$G$2:$G$101,MATCH(TRIM(L383&amp;""),코드표!$F$2:$F$101,0)),"⚠"&amp;TRIM(L383&amp;"")))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IF(ISNUMBER(H383),MAX(0,MIN(IF(ISNUMBER(I383),I383,EOMONTH(요약!$B$3,0)),EOMONTH(요약!$B$3,0))-MAX(H383,요약!$B$3)+1),0)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IF(AND(ISNUMBER(AB383),ISNUMBER(AC383)),MAX(0,MIN(AC383,EOMONTH(요약!$B$3,0))-MAX(AB383,요약!$B$3)+1),0)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IF(TRIM(B384&amp;"")="","",IFERROR(INDEX(코드표!$K$2:$K$101,MATCH(TRIM(B384&amp;""),코드표!$J$2:$J$101,0)),"⚠"&amp;TRIM(B384&amp;"")))</f>
        <v/>
      </c>
      <c r="S384" s="10">
        <f>IF(TRIM(K384&amp;"")="","",IFERROR(INDEX(코드표!$K$2:$K$101,MATCH(TRIM(K384&amp;""),코드표!$J$2:$J$101,0)),"⚠"&amp;TRIM(K384&amp;"")))</f>
        <v/>
      </c>
      <c r="T384" s="10">
        <f>IF(TRIM(M384&amp;"")="","",IF(ISNUMBER(MATCH(TRIM(M384&amp;""),코드표!$C$2:$C$11,0)),TRIM(M384&amp;""),"⚠"&amp;TRIM(M384&amp;"")))</f>
        <v/>
      </c>
      <c r="U384" s="10">
        <f>IF(TRIM(L384&amp;"")="","",IFERROR(INDEX(코드표!$G$2:$G$101,MATCH(TRIM(L384&amp;""),코드표!$F$2:$F$101,0)),"⚠"&amp;TRIM(L384&amp;"")))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IF(ISNUMBER(H384),MAX(0,MIN(IF(ISNUMBER(I384),I384,EOMONTH(요약!$B$3,0)),EOMONTH(요약!$B$3,0))-MAX(H384,요약!$B$3)+1),0)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IF(AND(ISNUMBER(AB384),ISNUMBER(AC384)),MAX(0,MIN(AC384,EOMONTH(요약!$B$3,0))-MAX(AB384,요약!$B$3)+1),0)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IF(TRIM(B385&amp;"")="","",IFERROR(INDEX(코드표!$K$2:$K$101,MATCH(TRIM(B385&amp;""),코드표!$J$2:$J$101,0)),"⚠"&amp;TRIM(B385&amp;"")))</f>
        <v/>
      </c>
      <c r="S385" s="10">
        <f>IF(TRIM(K385&amp;"")="","",IFERROR(INDEX(코드표!$K$2:$K$101,MATCH(TRIM(K385&amp;""),코드표!$J$2:$J$101,0)),"⚠"&amp;TRIM(K385&amp;"")))</f>
        <v/>
      </c>
      <c r="T385" s="10">
        <f>IF(TRIM(M385&amp;"")="","",IF(ISNUMBER(MATCH(TRIM(M385&amp;""),코드표!$C$2:$C$11,0)),TRIM(M385&amp;""),"⚠"&amp;TRIM(M385&amp;"")))</f>
        <v/>
      </c>
      <c r="U385" s="10">
        <f>IF(TRIM(L385&amp;"")="","",IFERROR(INDEX(코드표!$G$2:$G$101,MATCH(TRIM(L385&amp;""),코드표!$F$2:$F$101,0)),"⚠"&amp;TRIM(L385&amp;"")))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IF(ISNUMBER(H385),MAX(0,MIN(IF(ISNUMBER(I385),I385,EOMONTH(요약!$B$3,0)),EOMONTH(요약!$B$3,0))-MAX(H385,요약!$B$3)+1),0)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IF(AND(ISNUMBER(AB385),ISNUMBER(AC385)),MAX(0,MIN(AC385,EOMONTH(요약!$B$3,0))-MAX(AB385,요약!$B$3)+1),0)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IF(TRIM(B386&amp;"")="","",IFERROR(INDEX(코드표!$K$2:$K$101,MATCH(TRIM(B386&amp;""),코드표!$J$2:$J$101,0)),"⚠"&amp;TRIM(B386&amp;"")))</f>
        <v/>
      </c>
      <c r="S386" s="10">
        <f>IF(TRIM(K386&amp;"")="","",IFERROR(INDEX(코드표!$K$2:$K$101,MATCH(TRIM(K386&amp;""),코드표!$J$2:$J$101,0)),"⚠"&amp;TRIM(K386&amp;"")))</f>
        <v/>
      </c>
      <c r="T386" s="10">
        <f>IF(TRIM(M386&amp;"")="","",IF(ISNUMBER(MATCH(TRIM(M386&amp;""),코드표!$C$2:$C$11,0)),TRIM(M386&amp;""),"⚠"&amp;TRIM(M386&amp;"")))</f>
        <v/>
      </c>
      <c r="U386" s="10">
        <f>IF(TRIM(L386&amp;"")="","",IFERROR(INDEX(코드표!$G$2:$G$101,MATCH(TRIM(L386&amp;""),코드표!$F$2:$F$101,0)),"⚠"&amp;TRIM(L386&amp;"")))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IF(ISNUMBER(H386),MAX(0,MIN(IF(ISNUMBER(I386),I386,EOMONTH(요약!$B$3,0)),EOMONTH(요약!$B$3,0))-MAX(H386,요약!$B$3)+1),0)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IF(AND(ISNUMBER(AB386),ISNUMBER(AC386)),MAX(0,MIN(AC386,EOMONTH(요약!$B$3,0))-MAX(AB386,요약!$B$3)+1),0)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IF(TRIM(B387&amp;"")="","",IFERROR(INDEX(코드표!$K$2:$K$101,MATCH(TRIM(B387&amp;""),코드표!$J$2:$J$101,0)),"⚠"&amp;TRIM(B387&amp;"")))</f>
        <v/>
      </c>
      <c r="S387" s="10">
        <f>IF(TRIM(K387&amp;"")="","",IFERROR(INDEX(코드표!$K$2:$K$101,MATCH(TRIM(K387&amp;""),코드표!$J$2:$J$101,0)),"⚠"&amp;TRIM(K387&amp;"")))</f>
        <v/>
      </c>
      <c r="T387" s="10">
        <f>IF(TRIM(M387&amp;"")="","",IF(ISNUMBER(MATCH(TRIM(M387&amp;""),코드표!$C$2:$C$11,0)),TRIM(M387&amp;""),"⚠"&amp;TRIM(M387&amp;"")))</f>
        <v/>
      </c>
      <c r="U387" s="10">
        <f>IF(TRIM(L387&amp;"")="","",IFERROR(INDEX(코드표!$G$2:$G$101,MATCH(TRIM(L387&amp;""),코드표!$F$2:$F$101,0)),"⚠"&amp;TRIM(L387&amp;"")))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IF(ISNUMBER(H387),MAX(0,MIN(IF(ISNUMBER(I387),I387,EOMONTH(요약!$B$3,0)),EOMONTH(요약!$B$3,0))-MAX(H387,요약!$B$3)+1),0)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IF(AND(ISNUMBER(AB387),ISNUMBER(AC387)),MAX(0,MIN(AC387,EOMONTH(요약!$B$3,0))-MAX(AB387,요약!$B$3)+1),0)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IF(TRIM(B388&amp;"")="","",IFERROR(INDEX(코드표!$K$2:$K$101,MATCH(TRIM(B388&amp;""),코드표!$J$2:$J$101,0)),"⚠"&amp;TRIM(B388&amp;"")))</f>
        <v/>
      </c>
      <c r="S388" s="10">
        <f>IF(TRIM(K388&amp;"")="","",IFERROR(INDEX(코드표!$K$2:$K$101,MATCH(TRIM(K388&amp;""),코드표!$J$2:$J$101,0)),"⚠"&amp;TRIM(K388&amp;"")))</f>
        <v/>
      </c>
      <c r="T388" s="10">
        <f>IF(TRIM(M388&amp;"")="","",IF(ISNUMBER(MATCH(TRIM(M388&amp;""),코드표!$C$2:$C$11,0)),TRIM(M388&amp;""),"⚠"&amp;TRIM(M388&amp;"")))</f>
        <v/>
      </c>
      <c r="U388" s="10">
        <f>IF(TRIM(L388&amp;"")="","",IFERROR(INDEX(코드표!$G$2:$G$101,MATCH(TRIM(L388&amp;""),코드표!$F$2:$F$101,0)),"⚠"&amp;TRIM(L388&amp;"")))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IF(ISNUMBER(H388),MAX(0,MIN(IF(ISNUMBER(I388),I388,EOMONTH(요약!$B$3,0)),EOMONTH(요약!$B$3,0))-MAX(H388,요약!$B$3)+1),0)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IF(AND(ISNUMBER(AB388),ISNUMBER(AC388)),MAX(0,MIN(AC388,EOMONTH(요약!$B$3,0))-MAX(AB388,요약!$B$3)+1),0)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IF(TRIM(B389&amp;"")="","",IFERROR(INDEX(코드표!$K$2:$K$101,MATCH(TRIM(B389&amp;""),코드표!$J$2:$J$101,0)),"⚠"&amp;TRIM(B389&amp;"")))</f>
        <v/>
      </c>
      <c r="S389" s="10">
        <f>IF(TRIM(K389&amp;"")="","",IFERROR(INDEX(코드표!$K$2:$K$101,MATCH(TRIM(K389&amp;""),코드표!$J$2:$J$101,0)),"⚠"&amp;TRIM(K389&amp;"")))</f>
        <v/>
      </c>
      <c r="T389" s="10">
        <f>IF(TRIM(M389&amp;"")="","",IF(ISNUMBER(MATCH(TRIM(M389&amp;""),코드표!$C$2:$C$11,0)),TRIM(M389&amp;""),"⚠"&amp;TRIM(M389&amp;"")))</f>
        <v/>
      </c>
      <c r="U389" s="10">
        <f>IF(TRIM(L389&amp;"")="","",IFERROR(INDEX(코드표!$G$2:$G$101,MATCH(TRIM(L389&amp;""),코드표!$F$2:$F$101,0)),"⚠"&amp;TRIM(L389&amp;"")))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IF(ISNUMBER(H389),MAX(0,MIN(IF(ISNUMBER(I389),I389,EOMONTH(요약!$B$3,0)),EOMONTH(요약!$B$3,0))-MAX(H389,요약!$B$3)+1),0)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IF(AND(ISNUMBER(AB389),ISNUMBER(AC389)),MAX(0,MIN(AC389,EOMONTH(요약!$B$3,0))-MAX(AB389,요약!$B$3)+1),0)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IF(TRIM(B390&amp;"")="","",IFERROR(INDEX(코드표!$K$2:$K$101,MATCH(TRIM(B390&amp;""),코드표!$J$2:$J$101,0)),"⚠"&amp;TRIM(B390&amp;"")))</f>
        <v/>
      </c>
      <c r="S390" s="10">
        <f>IF(TRIM(K390&amp;"")="","",IFERROR(INDEX(코드표!$K$2:$K$101,MATCH(TRIM(K390&amp;""),코드표!$J$2:$J$101,0)),"⚠"&amp;TRIM(K390&amp;"")))</f>
        <v/>
      </c>
      <c r="T390" s="10">
        <f>IF(TRIM(M390&amp;"")="","",IF(ISNUMBER(MATCH(TRIM(M390&amp;""),코드표!$C$2:$C$11,0)),TRIM(M390&amp;""),"⚠"&amp;TRIM(M390&amp;"")))</f>
        <v/>
      </c>
      <c r="U390" s="10">
        <f>IF(TRIM(L390&amp;"")="","",IFERROR(INDEX(코드표!$G$2:$G$101,MATCH(TRIM(L390&amp;""),코드표!$F$2:$F$101,0)),"⚠"&amp;TRIM(L390&amp;"")))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IF(ISNUMBER(H390),MAX(0,MIN(IF(ISNUMBER(I390),I390,EOMONTH(요약!$B$3,0)),EOMONTH(요약!$B$3,0))-MAX(H390,요약!$B$3)+1),0)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IF(AND(ISNUMBER(AB390),ISNUMBER(AC390)),MAX(0,MIN(AC390,EOMONTH(요약!$B$3,0))-MAX(AB390,요약!$B$3)+1),0)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IF(TRIM(B391&amp;"")="","",IFERROR(INDEX(코드표!$K$2:$K$101,MATCH(TRIM(B391&amp;""),코드표!$J$2:$J$101,0)),"⚠"&amp;TRIM(B391&amp;"")))</f>
        <v/>
      </c>
      <c r="S391" s="10">
        <f>IF(TRIM(K391&amp;"")="","",IFERROR(INDEX(코드표!$K$2:$K$101,MATCH(TRIM(K391&amp;""),코드표!$J$2:$J$101,0)),"⚠"&amp;TRIM(K391&amp;"")))</f>
        <v/>
      </c>
      <c r="T391" s="10">
        <f>IF(TRIM(M391&amp;"")="","",IF(ISNUMBER(MATCH(TRIM(M391&amp;""),코드표!$C$2:$C$11,0)),TRIM(M391&amp;""),"⚠"&amp;TRIM(M391&amp;"")))</f>
        <v/>
      </c>
      <c r="U391" s="10">
        <f>IF(TRIM(L391&amp;"")="","",IFERROR(INDEX(코드표!$G$2:$G$101,MATCH(TRIM(L391&amp;""),코드표!$F$2:$F$101,0)),"⚠"&amp;TRIM(L391&amp;"")))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IF(ISNUMBER(H391),MAX(0,MIN(IF(ISNUMBER(I391),I391,EOMONTH(요약!$B$3,0)),EOMONTH(요약!$B$3,0))-MAX(H391,요약!$B$3)+1),0)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IF(AND(ISNUMBER(AB391),ISNUMBER(AC391)),MAX(0,MIN(AC391,EOMONTH(요약!$B$3,0))-MAX(AB391,요약!$B$3)+1),0)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IF(TRIM(B392&amp;"")="","",IFERROR(INDEX(코드표!$K$2:$K$101,MATCH(TRIM(B392&amp;""),코드표!$J$2:$J$101,0)),"⚠"&amp;TRIM(B392&amp;"")))</f>
        <v/>
      </c>
      <c r="S392" s="10">
        <f>IF(TRIM(K392&amp;"")="","",IFERROR(INDEX(코드표!$K$2:$K$101,MATCH(TRIM(K392&amp;""),코드표!$J$2:$J$101,0)),"⚠"&amp;TRIM(K392&amp;"")))</f>
        <v/>
      </c>
      <c r="T392" s="10">
        <f>IF(TRIM(M392&amp;"")="","",IF(ISNUMBER(MATCH(TRIM(M392&amp;""),코드표!$C$2:$C$11,0)),TRIM(M392&amp;""),"⚠"&amp;TRIM(M392&amp;"")))</f>
        <v/>
      </c>
      <c r="U392" s="10">
        <f>IF(TRIM(L392&amp;"")="","",IFERROR(INDEX(코드표!$G$2:$G$101,MATCH(TRIM(L392&amp;""),코드표!$F$2:$F$101,0)),"⚠"&amp;TRIM(L392&amp;"")))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IF(ISNUMBER(H392),MAX(0,MIN(IF(ISNUMBER(I392),I392,EOMONTH(요약!$B$3,0)),EOMONTH(요약!$B$3,0))-MAX(H392,요약!$B$3)+1),0)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IF(AND(ISNUMBER(AB392),ISNUMBER(AC392)),MAX(0,MIN(AC392,EOMONTH(요약!$B$3,0))-MAX(AB392,요약!$B$3)+1),0)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IF(TRIM(B393&amp;"")="","",IFERROR(INDEX(코드표!$K$2:$K$101,MATCH(TRIM(B393&amp;""),코드표!$J$2:$J$101,0)),"⚠"&amp;TRIM(B393&amp;"")))</f>
        <v/>
      </c>
      <c r="S393" s="10">
        <f>IF(TRIM(K393&amp;"")="","",IFERROR(INDEX(코드표!$K$2:$K$101,MATCH(TRIM(K393&amp;""),코드표!$J$2:$J$101,0)),"⚠"&amp;TRIM(K393&amp;"")))</f>
        <v/>
      </c>
      <c r="T393" s="10">
        <f>IF(TRIM(M393&amp;"")="","",IF(ISNUMBER(MATCH(TRIM(M393&amp;""),코드표!$C$2:$C$11,0)),TRIM(M393&amp;""),"⚠"&amp;TRIM(M393&amp;"")))</f>
        <v/>
      </c>
      <c r="U393" s="10">
        <f>IF(TRIM(L393&amp;"")="","",IFERROR(INDEX(코드표!$G$2:$G$101,MATCH(TRIM(L393&amp;""),코드표!$F$2:$F$101,0)),"⚠"&amp;TRIM(L393&amp;"")))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IF(ISNUMBER(H393),MAX(0,MIN(IF(ISNUMBER(I393),I393,EOMONTH(요약!$B$3,0)),EOMONTH(요약!$B$3,0))-MAX(H393,요약!$B$3)+1),0)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IF(AND(ISNUMBER(AB393),ISNUMBER(AC393)),MAX(0,MIN(AC393,EOMONTH(요약!$B$3,0))-MAX(AB393,요약!$B$3)+1),0)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IF(TRIM(B394&amp;"")="","",IFERROR(INDEX(코드표!$K$2:$K$101,MATCH(TRIM(B394&amp;""),코드표!$J$2:$J$101,0)),"⚠"&amp;TRIM(B394&amp;"")))</f>
        <v/>
      </c>
      <c r="S394" s="10">
        <f>IF(TRIM(K394&amp;"")="","",IFERROR(INDEX(코드표!$K$2:$K$101,MATCH(TRIM(K394&amp;""),코드표!$J$2:$J$101,0)),"⚠"&amp;TRIM(K394&amp;"")))</f>
        <v/>
      </c>
      <c r="T394" s="10">
        <f>IF(TRIM(M394&amp;"")="","",IF(ISNUMBER(MATCH(TRIM(M394&amp;""),코드표!$C$2:$C$11,0)),TRIM(M394&amp;""),"⚠"&amp;TRIM(M394&amp;"")))</f>
        <v/>
      </c>
      <c r="U394" s="10">
        <f>IF(TRIM(L394&amp;"")="","",IFERROR(INDEX(코드표!$G$2:$G$101,MATCH(TRIM(L394&amp;""),코드표!$F$2:$F$101,0)),"⚠"&amp;TRIM(L394&amp;"")))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IF(ISNUMBER(H394),MAX(0,MIN(IF(ISNUMBER(I394),I394,EOMONTH(요약!$B$3,0)),EOMONTH(요약!$B$3,0))-MAX(H394,요약!$B$3)+1),0)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IF(AND(ISNUMBER(AB394),ISNUMBER(AC394)),MAX(0,MIN(AC394,EOMONTH(요약!$B$3,0))-MAX(AB394,요약!$B$3)+1),0)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IF(TRIM(B395&amp;"")="","",IFERROR(INDEX(코드표!$K$2:$K$101,MATCH(TRIM(B395&amp;""),코드표!$J$2:$J$101,0)),"⚠"&amp;TRIM(B395&amp;"")))</f>
        <v/>
      </c>
      <c r="S395" s="10">
        <f>IF(TRIM(K395&amp;"")="","",IFERROR(INDEX(코드표!$K$2:$K$101,MATCH(TRIM(K395&amp;""),코드표!$J$2:$J$101,0)),"⚠"&amp;TRIM(K395&amp;"")))</f>
        <v/>
      </c>
      <c r="T395" s="10">
        <f>IF(TRIM(M395&amp;"")="","",IF(ISNUMBER(MATCH(TRIM(M395&amp;""),코드표!$C$2:$C$11,0)),TRIM(M395&amp;""),"⚠"&amp;TRIM(M395&amp;"")))</f>
        <v/>
      </c>
      <c r="U395" s="10">
        <f>IF(TRIM(L395&amp;"")="","",IFERROR(INDEX(코드표!$G$2:$G$101,MATCH(TRIM(L395&amp;""),코드표!$F$2:$F$101,0)),"⚠"&amp;TRIM(L395&amp;"")))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IF(ISNUMBER(H395),MAX(0,MIN(IF(ISNUMBER(I395),I395,EOMONTH(요약!$B$3,0)),EOMONTH(요약!$B$3,0))-MAX(H395,요약!$B$3)+1),0)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IF(AND(ISNUMBER(AB395),ISNUMBER(AC395)),MAX(0,MIN(AC395,EOMONTH(요약!$B$3,0))-MAX(AB395,요약!$B$3)+1),0)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IF(TRIM(B396&amp;"")="","",IFERROR(INDEX(코드표!$K$2:$K$101,MATCH(TRIM(B396&amp;""),코드표!$J$2:$J$101,0)),"⚠"&amp;TRIM(B396&amp;"")))</f>
        <v/>
      </c>
      <c r="S396" s="10">
        <f>IF(TRIM(K396&amp;"")="","",IFERROR(INDEX(코드표!$K$2:$K$101,MATCH(TRIM(K396&amp;""),코드표!$J$2:$J$101,0)),"⚠"&amp;TRIM(K396&amp;"")))</f>
        <v/>
      </c>
      <c r="T396" s="10">
        <f>IF(TRIM(M396&amp;"")="","",IF(ISNUMBER(MATCH(TRIM(M396&amp;""),코드표!$C$2:$C$11,0)),TRIM(M396&amp;""),"⚠"&amp;TRIM(M396&amp;"")))</f>
        <v/>
      </c>
      <c r="U396" s="10">
        <f>IF(TRIM(L396&amp;"")="","",IFERROR(INDEX(코드표!$G$2:$G$101,MATCH(TRIM(L396&amp;""),코드표!$F$2:$F$101,0)),"⚠"&amp;TRIM(L396&amp;"")))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IF(ISNUMBER(H396),MAX(0,MIN(IF(ISNUMBER(I396),I396,EOMONTH(요약!$B$3,0)),EOMONTH(요약!$B$3,0))-MAX(H396,요약!$B$3)+1),0)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IF(AND(ISNUMBER(AB396),ISNUMBER(AC396)),MAX(0,MIN(AC396,EOMONTH(요약!$B$3,0))-MAX(AB396,요약!$B$3)+1),0)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IF(TRIM(B397&amp;"")="","",IFERROR(INDEX(코드표!$K$2:$K$101,MATCH(TRIM(B397&amp;""),코드표!$J$2:$J$101,0)),"⚠"&amp;TRIM(B397&amp;"")))</f>
        <v/>
      </c>
      <c r="S397" s="10">
        <f>IF(TRIM(K397&amp;"")="","",IFERROR(INDEX(코드표!$K$2:$K$101,MATCH(TRIM(K397&amp;""),코드표!$J$2:$J$101,0)),"⚠"&amp;TRIM(K397&amp;"")))</f>
        <v/>
      </c>
      <c r="T397" s="10">
        <f>IF(TRIM(M397&amp;"")="","",IF(ISNUMBER(MATCH(TRIM(M397&amp;""),코드표!$C$2:$C$11,0)),TRIM(M397&amp;""),"⚠"&amp;TRIM(M397&amp;"")))</f>
        <v/>
      </c>
      <c r="U397" s="10">
        <f>IF(TRIM(L397&amp;"")="","",IFERROR(INDEX(코드표!$G$2:$G$101,MATCH(TRIM(L397&amp;""),코드표!$F$2:$F$101,0)),"⚠"&amp;TRIM(L397&amp;"")))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IF(ISNUMBER(H397),MAX(0,MIN(IF(ISNUMBER(I397),I397,EOMONTH(요약!$B$3,0)),EOMONTH(요약!$B$3,0))-MAX(H397,요약!$B$3)+1),0)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IF(AND(ISNUMBER(AB397),ISNUMBER(AC397)),MAX(0,MIN(AC397,EOMONTH(요약!$B$3,0))-MAX(AB397,요약!$B$3)+1),0)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IF(TRIM(B398&amp;"")="","",IFERROR(INDEX(코드표!$K$2:$K$101,MATCH(TRIM(B398&amp;""),코드표!$J$2:$J$101,0)),"⚠"&amp;TRIM(B398&amp;"")))</f>
        <v/>
      </c>
      <c r="S398" s="10">
        <f>IF(TRIM(K398&amp;"")="","",IFERROR(INDEX(코드표!$K$2:$K$101,MATCH(TRIM(K398&amp;""),코드표!$J$2:$J$101,0)),"⚠"&amp;TRIM(K398&amp;"")))</f>
        <v/>
      </c>
      <c r="T398" s="10">
        <f>IF(TRIM(M398&amp;"")="","",IF(ISNUMBER(MATCH(TRIM(M398&amp;""),코드표!$C$2:$C$11,0)),TRIM(M398&amp;""),"⚠"&amp;TRIM(M398&amp;"")))</f>
        <v/>
      </c>
      <c r="U398" s="10">
        <f>IF(TRIM(L398&amp;"")="","",IFERROR(INDEX(코드표!$G$2:$G$101,MATCH(TRIM(L398&amp;""),코드표!$F$2:$F$101,0)),"⚠"&amp;TRIM(L398&amp;"")))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IF(ISNUMBER(H398),MAX(0,MIN(IF(ISNUMBER(I398),I398,EOMONTH(요약!$B$3,0)),EOMONTH(요약!$B$3,0))-MAX(H398,요약!$B$3)+1),0)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IF(AND(ISNUMBER(AB398),ISNUMBER(AC398)),MAX(0,MIN(AC398,EOMONTH(요약!$B$3,0))-MAX(AB398,요약!$B$3)+1),0)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IF(TRIM(B399&amp;"")="","",IFERROR(INDEX(코드표!$K$2:$K$101,MATCH(TRIM(B399&amp;""),코드표!$J$2:$J$101,0)),"⚠"&amp;TRIM(B399&amp;"")))</f>
        <v/>
      </c>
      <c r="S399" s="10">
        <f>IF(TRIM(K399&amp;"")="","",IFERROR(INDEX(코드표!$K$2:$K$101,MATCH(TRIM(K399&amp;""),코드표!$J$2:$J$101,0)),"⚠"&amp;TRIM(K399&amp;"")))</f>
        <v/>
      </c>
      <c r="T399" s="10">
        <f>IF(TRIM(M399&amp;"")="","",IF(ISNUMBER(MATCH(TRIM(M399&amp;""),코드표!$C$2:$C$11,0)),TRIM(M399&amp;""),"⚠"&amp;TRIM(M399&amp;"")))</f>
        <v/>
      </c>
      <c r="U399" s="10">
        <f>IF(TRIM(L399&amp;"")="","",IFERROR(INDEX(코드표!$G$2:$G$101,MATCH(TRIM(L399&amp;""),코드표!$F$2:$F$101,0)),"⚠"&amp;TRIM(L399&amp;"")))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IF(ISNUMBER(H399),MAX(0,MIN(IF(ISNUMBER(I399),I399,EOMONTH(요약!$B$3,0)),EOMONTH(요약!$B$3,0))-MAX(H399,요약!$B$3)+1),0)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IF(AND(ISNUMBER(AB399),ISNUMBER(AC399)),MAX(0,MIN(AC399,EOMONTH(요약!$B$3,0))-MAX(AB399,요약!$B$3)+1),0)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IF(TRIM(B400&amp;"")="","",IFERROR(INDEX(코드표!$K$2:$K$101,MATCH(TRIM(B400&amp;""),코드표!$J$2:$J$101,0)),"⚠"&amp;TRIM(B400&amp;"")))</f>
        <v/>
      </c>
      <c r="S400" s="10">
        <f>IF(TRIM(K400&amp;"")="","",IFERROR(INDEX(코드표!$K$2:$K$101,MATCH(TRIM(K400&amp;""),코드표!$J$2:$J$101,0)),"⚠"&amp;TRIM(K400&amp;"")))</f>
        <v/>
      </c>
      <c r="T400" s="10">
        <f>IF(TRIM(M400&amp;"")="","",IF(ISNUMBER(MATCH(TRIM(M400&amp;""),코드표!$C$2:$C$11,0)),TRIM(M400&amp;""),"⚠"&amp;TRIM(M400&amp;"")))</f>
        <v/>
      </c>
      <c r="U400" s="10">
        <f>IF(TRIM(L400&amp;"")="","",IFERROR(INDEX(코드표!$G$2:$G$101,MATCH(TRIM(L400&amp;""),코드표!$F$2:$F$101,0)),"⚠"&amp;TRIM(L400&amp;"")))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IF(ISNUMBER(H400),MAX(0,MIN(IF(ISNUMBER(I400),I400,EOMONTH(요약!$B$3,0)),EOMONTH(요약!$B$3,0))-MAX(H400,요약!$B$3)+1),0)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IF(AND(ISNUMBER(AB400),ISNUMBER(AC400)),MAX(0,MIN(AC400,EOMONTH(요약!$B$3,0))-MAX(AB400,요약!$B$3)+1),0)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IF(TRIM(B401&amp;"")="","",IFERROR(INDEX(코드표!$K$2:$K$101,MATCH(TRIM(B401&amp;""),코드표!$J$2:$J$101,0)),"⚠"&amp;TRIM(B401&amp;"")))</f>
        <v/>
      </c>
      <c r="S401" s="10">
        <f>IF(TRIM(K401&amp;"")="","",IFERROR(INDEX(코드표!$K$2:$K$101,MATCH(TRIM(K401&amp;""),코드표!$J$2:$J$101,0)),"⚠"&amp;TRIM(K401&amp;"")))</f>
        <v/>
      </c>
      <c r="T401" s="10">
        <f>IF(TRIM(M401&amp;"")="","",IF(ISNUMBER(MATCH(TRIM(M401&amp;""),코드표!$C$2:$C$11,0)),TRIM(M401&amp;""),"⚠"&amp;TRIM(M401&amp;"")))</f>
        <v/>
      </c>
      <c r="U401" s="10">
        <f>IF(TRIM(L401&amp;"")="","",IFERROR(INDEX(코드표!$G$2:$G$101,MATCH(TRIM(L401&amp;""),코드표!$F$2:$F$101,0)),"⚠"&amp;TRIM(L401&amp;"")))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IF(ISNUMBER(H401),MAX(0,MIN(IF(ISNUMBER(I401),I401,EOMONTH(요약!$B$3,0)),EOMONTH(요약!$B$3,0))-MAX(H401,요약!$B$3)+1),0)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IF(AND(ISNUMBER(AB401),ISNUMBER(AC401)),MAX(0,MIN(AC401,EOMONTH(요약!$B$3,0))-MAX(AB401,요약!$B$3)+1),0)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IF(TRIM(B402&amp;"")="","",IFERROR(INDEX(코드표!$K$2:$K$101,MATCH(TRIM(B402&amp;""),코드표!$J$2:$J$101,0)),"⚠"&amp;TRIM(B402&amp;"")))</f>
        <v/>
      </c>
      <c r="S402" s="10">
        <f>IF(TRIM(K402&amp;"")="","",IFERROR(INDEX(코드표!$K$2:$K$101,MATCH(TRIM(K402&amp;""),코드표!$J$2:$J$101,0)),"⚠"&amp;TRIM(K402&amp;"")))</f>
        <v/>
      </c>
      <c r="T402" s="10">
        <f>IF(TRIM(M402&amp;"")="","",IF(ISNUMBER(MATCH(TRIM(M402&amp;""),코드표!$C$2:$C$11,0)),TRIM(M402&amp;""),"⚠"&amp;TRIM(M402&amp;"")))</f>
        <v/>
      </c>
      <c r="U402" s="10">
        <f>IF(TRIM(L402&amp;"")="","",IFERROR(INDEX(코드표!$G$2:$G$101,MATCH(TRIM(L402&amp;""),코드표!$F$2:$F$101,0)),"⚠"&amp;TRIM(L402&amp;"")))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IF(ISNUMBER(H402),MAX(0,MIN(IF(ISNUMBER(I402),I402,EOMONTH(요약!$B$3,0)),EOMONTH(요약!$B$3,0))-MAX(H402,요약!$B$3)+1),0)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IF(AND(ISNUMBER(AB402),ISNUMBER(AC402)),MAX(0,MIN(AC402,EOMONTH(요약!$B$3,0))-MAX(AB402,요약!$B$3)+1),0)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IF(TRIM(B403&amp;"")="","",IFERROR(INDEX(코드표!$K$2:$K$101,MATCH(TRIM(B403&amp;""),코드표!$J$2:$J$101,0)),"⚠"&amp;TRIM(B403&amp;"")))</f>
        <v/>
      </c>
      <c r="S403" s="10">
        <f>IF(TRIM(K403&amp;"")="","",IFERROR(INDEX(코드표!$K$2:$K$101,MATCH(TRIM(K403&amp;""),코드표!$J$2:$J$101,0)),"⚠"&amp;TRIM(K403&amp;"")))</f>
        <v/>
      </c>
      <c r="T403" s="10">
        <f>IF(TRIM(M403&amp;"")="","",IF(ISNUMBER(MATCH(TRIM(M403&amp;""),코드표!$C$2:$C$11,0)),TRIM(M403&amp;""),"⚠"&amp;TRIM(M403&amp;"")))</f>
        <v/>
      </c>
      <c r="U403" s="10">
        <f>IF(TRIM(L403&amp;"")="","",IFERROR(INDEX(코드표!$G$2:$G$101,MATCH(TRIM(L403&amp;""),코드표!$F$2:$F$101,0)),"⚠"&amp;TRIM(L403&amp;"")))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IF(ISNUMBER(H403),MAX(0,MIN(IF(ISNUMBER(I403),I403,EOMONTH(요약!$B$3,0)),EOMONTH(요약!$B$3,0))-MAX(H403,요약!$B$3)+1),0)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IF(AND(ISNUMBER(AB403),ISNUMBER(AC403)),MAX(0,MIN(AC403,EOMONTH(요약!$B$3,0))-MAX(AB403,요약!$B$3)+1),0)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IF(TRIM(B404&amp;"")="","",IFERROR(INDEX(코드표!$K$2:$K$101,MATCH(TRIM(B404&amp;""),코드표!$J$2:$J$101,0)),"⚠"&amp;TRIM(B404&amp;"")))</f>
        <v/>
      </c>
      <c r="S404" s="10">
        <f>IF(TRIM(K404&amp;"")="","",IFERROR(INDEX(코드표!$K$2:$K$101,MATCH(TRIM(K404&amp;""),코드표!$J$2:$J$101,0)),"⚠"&amp;TRIM(K404&amp;"")))</f>
        <v/>
      </c>
      <c r="T404" s="10">
        <f>IF(TRIM(M404&amp;"")="","",IF(ISNUMBER(MATCH(TRIM(M404&amp;""),코드표!$C$2:$C$11,0)),TRIM(M404&amp;""),"⚠"&amp;TRIM(M404&amp;"")))</f>
        <v/>
      </c>
      <c r="U404" s="10">
        <f>IF(TRIM(L404&amp;"")="","",IFERROR(INDEX(코드표!$G$2:$G$101,MATCH(TRIM(L404&amp;""),코드표!$F$2:$F$101,0)),"⚠"&amp;TRIM(L404&amp;"")))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IF(ISNUMBER(H404),MAX(0,MIN(IF(ISNUMBER(I404),I404,EOMONTH(요약!$B$3,0)),EOMONTH(요약!$B$3,0))-MAX(H404,요약!$B$3)+1),0)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IF(AND(ISNUMBER(AB404),ISNUMBER(AC404)),MAX(0,MIN(AC404,EOMONTH(요약!$B$3,0))-MAX(AB404,요약!$B$3)+1),0)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IF(TRIM(B405&amp;"")="","",IFERROR(INDEX(코드표!$K$2:$K$101,MATCH(TRIM(B405&amp;""),코드표!$J$2:$J$101,0)),"⚠"&amp;TRIM(B405&amp;"")))</f>
        <v/>
      </c>
      <c r="S405" s="10">
        <f>IF(TRIM(K405&amp;"")="","",IFERROR(INDEX(코드표!$K$2:$K$101,MATCH(TRIM(K405&amp;""),코드표!$J$2:$J$101,0)),"⚠"&amp;TRIM(K405&amp;"")))</f>
        <v/>
      </c>
      <c r="T405" s="10">
        <f>IF(TRIM(M405&amp;"")="","",IF(ISNUMBER(MATCH(TRIM(M405&amp;""),코드표!$C$2:$C$11,0)),TRIM(M405&amp;""),"⚠"&amp;TRIM(M405&amp;"")))</f>
        <v/>
      </c>
      <c r="U405" s="10">
        <f>IF(TRIM(L405&amp;"")="","",IFERROR(INDEX(코드표!$G$2:$G$101,MATCH(TRIM(L405&amp;""),코드표!$F$2:$F$101,0)),"⚠"&amp;TRIM(L405&amp;"")))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IF(ISNUMBER(H405),MAX(0,MIN(IF(ISNUMBER(I405),I405,EOMONTH(요약!$B$3,0)),EOMONTH(요약!$B$3,0))-MAX(H405,요약!$B$3)+1),0)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IF(AND(ISNUMBER(AB405),ISNUMBER(AC405)),MAX(0,MIN(AC405,EOMONTH(요약!$B$3,0))-MAX(AB405,요약!$B$3)+1),0)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IF(TRIM(B406&amp;"")="","",IFERROR(INDEX(코드표!$K$2:$K$101,MATCH(TRIM(B406&amp;""),코드표!$J$2:$J$101,0)),"⚠"&amp;TRIM(B406&amp;"")))</f>
        <v/>
      </c>
      <c r="S406" s="10">
        <f>IF(TRIM(K406&amp;"")="","",IFERROR(INDEX(코드표!$K$2:$K$101,MATCH(TRIM(K406&amp;""),코드표!$J$2:$J$101,0)),"⚠"&amp;TRIM(K406&amp;"")))</f>
        <v/>
      </c>
      <c r="T406" s="10">
        <f>IF(TRIM(M406&amp;"")="","",IF(ISNUMBER(MATCH(TRIM(M406&amp;""),코드표!$C$2:$C$11,0)),TRIM(M406&amp;""),"⚠"&amp;TRIM(M406&amp;"")))</f>
        <v/>
      </c>
      <c r="U406" s="10">
        <f>IF(TRIM(L406&amp;"")="","",IFERROR(INDEX(코드표!$G$2:$G$101,MATCH(TRIM(L406&amp;""),코드표!$F$2:$F$101,0)),"⚠"&amp;TRIM(L406&amp;"")))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IF(ISNUMBER(H406),MAX(0,MIN(IF(ISNUMBER(I406),I406,EOMONTH(요약!$B$3,0)),EOMONTH(요약!$B$3,0))-MAX(H406,요약!$B$3)+1),0)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IF(AND(ISNUMBER(AB406),ISNUMBER(AC406)),MAX(0,MIN(AC406,EOMONTH(요약!$B$3,0))-MAX(AB406,요약!$B$3)+1),0)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IF(TRIM(B407&amp;"")="","",IFERROR(INDEX(코드표!$K$2:$K$101,MATCH(TRIM(B407&amp;""),코드표!$J$2:$J$101,0)),"⚠"&amp;TRIM(B407&amp;"")))</f>
        <v/>
      </c>
      <c r="S407" s="10">
        <f>IF(TRIM(K407&amp;"")="","",IFERROR(INDEX(코드표!$K$2:$K$101,MATCH(TRIM(K407&amp;""),코드표!$J$2:$J$101,0)),"⚠"&amp;TRIM(K407&amp;"")))</f>
        <v/>
      </c>
      <c r="T407" s="10">
        <f>IF(TRIM(M407&amp;"")="","",IF(ISNUMBER(MATCH(TRIM(M407&amp;""),코드표!$C$2:$C$11,0)),TRIM(M407&amp;""),"⚠"&amp;TRIM(M407&amp;"")))</f>
        <v/>
      </c>
      <c r="U407" s="10">
        <f>IF(TRIM(L407&amp;"")="","",IFERROR(INDEX(코드표!$G$2:$G$101,MATCH(TRIM(L407&amp;""),코드표!$F$2:$F$101,0)),"⚠"&amp;TRIM(L407&amp;"")))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IF(ISNUMBER(H407),MAX(0,MIN(IF(ISNUMBER(I407),I407,EOMONTH(요약!$B$3,0)),EOMONTH(요약!$B$3,0))-MAX(H407,요약!$B$3)+1),0)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IF(AND(ISNUMBER(AB407),ISNUMBER(AC407)),MAX(0,MIN(AC407,EOMONTH(요약!$B$3,0))-MAX(AB407,요약!$B$3)+1),0)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IF(TRIM(B408&amp;"")="","",IFERROR(INDEX(코드표!$K$2:$K$101,MATCH(TRIM(B408&amp;""),코드표!$J$2:$J$101,0)),"⚠"&amp;TRIM(B408&amp;"")))</f>
        <v/>
      </c>
      <c r="S408" s="10">
        <f>IF(TRIM(K408&amp;"")="","",IFERROR(INDEX(코드표!$K$2:$K$101,MATCH(TRIM(K408&amp;""),코드표!$J$2:$J$101,0)),"⚠"&amp;TRIM(K408&amp;"")))</f>
        <v/>
      </c>
      <c r="T408" s="10">
        <f>IF(TRIM(M408&amp;"")="","",IF(ISNUMBER(MATCH(TRIM(M408&amp;""),코드표!$C$2:$C$11,0)),TRIM(M408&amp;""),"⚠"&amp;TRIM(M408&amp;"")))</f>
        <v/>
      </c>
      <c r="U408" s="10">
        <f>IF(TRIM(L408&amp;"")="","",IFERROR(INDEX(코드표!$G$2:$G$101,MATCH(TRIM(L408&amp;""),코드표!$F$2:$F$101,0)),"⚠"&amp;TRIM(L408&amp;"")))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IF(ISNUMBER(H408),MAX(0,MIN(IF(ISNUMBER(I408),I408,EOMONTH(요약!$B$3,0)),EOMONTH(요약!$B$3,0))-MAX(H408,요약!$B$3)+1),0)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IF(AND(ISNUMBER(AB408),ISNUMBER(AC408)),MAX(0,MIN(AC408,EOMONTH(요약!$B$3,0))-MAX(AB408,요약!$B$3)+1),0)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IF(TRIM(B409&amp;"")="","",IFERROR(INDEX(코드표!$K$2:$K$101,MATCH(TRIM(B409&amp;""),코드표!$J$2:$J$101,0)),"⚠"&amp;TRIM(B409&amp;"")))</f>
        <v/>
      </c>
      <c r="S409" s="10">
        <f>IF(TRIM(K409&amp;"")="","",IFERROR(INDEX(코드표!$K$2:$K$101,MATCH(TRIM(K409&amp;""),코드표!$J$2:$J$101,0)),"⚠"&amp;TRIM(K409&amp;"")))</f>
        <v/>
      </c>
      <c r="T409" s="10">
        <f>IF(TRIM(M409&amp;"")="","",IF(ISNUMBER(MATCH(TRIM(M409&amp;""),코드표!$C$2:$C$11,0)),TRIM(M409&amp;""),"⚠"&amp;TRIM(M409&amp;"")))</f>
        <v/>
      </c>
      <c r="U409" s="10">
        <f>IF(TRIM(L409&amp;"")="","",IFERROR(INDEX(코드표!$G$2:$G$101,MATCH(TRIM(L409&amp;""),코드표!$F$2:$F$101,0)),"⚠"&amp;TRIM(L409&amp;"")))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IF(ISNUMBER(H409),MAX(0,MIN(IF(ISNUMBER(I409),I409,EOMONTH(요약!$B$3,0)),EOMONTH(요약!$B$3,0))-MAX(H409,요약!$B$3)+1),0)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IF(AND(ISNUMBER(AB409),ISNUMBER(AC409)),MAX(0,MIN(AC409,EOMONTH(요약!$B$3,0))-MAX(AB409,요약!$B$3)+1),0)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IF(TRIM(B410&amp;"")="","",IFERROR(INDEX(코드표!$K$2:$K$101,MATCH(TRIM(B410&amp;""),코드표!$J$2:$J$101,0)),"⚠"&amp;TRIM(B410&amp;"")))</f>
        <v/>
      </c>
      <c r="S410" s="10">
        <f>IF(TRIM(K410&amp;"")="","",IFERROR(INDEX(코드표!$K$2:$K$101,MATCH(TRIM(K410&amp;""),코드표!$J$2:$J$101,0)),"⚠"&amp;TRIM(K410&amp;"")))</f>
        <v/>
      </c>
      <c r="T410" s="10">
        <f>IF(TRIM(M410&amp;"")="","",IF(ISNUMBER(MATCH(TRIM(M410&amp;""),코드표!$C$2:$C$11,0)),TRIM(M410&amp;""),"⚠"&amp;TRIM(M410&amp;"")))</f>
        <v/>
      </c>
      <c r="U410" s="10">
        <f>IF(TRIM(L410&amp;"")="","",IFERROR(INDEX(코드표!$G$2:$G$101,MATCH(TRIM(L410&amp;""),코드표!$F$2:$F$101,0)),"⚠"&amp;TRIM(L410&amp;"")))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IF(ISNUMBER(H410),MAX(0,MIN(IF(ISNUMBER(I410),I410,EOMONTH(요약!$B$3,0)),EOMONTH(요약!$B$3,0))-MAX(H410,요약!$B$3)+1),0)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IF(AND(ISNUMBER(AB410),ISNUMBER(AC410)),MAX(0,MIN(AC410,EOMONTH(요약!$B$3,0))-MAX(AB410,요약!$B$3)+1),0)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IF(TRIM(B411&amp;"")="","",IFERROR(INDEX(코드표!$K$2:$K$101,MATCH(TRIM(B411&amp;""),코드표!$J$2:$J$101,0)),"⚠"&amp;TRIM(B411&amp;"")))</f>
        <v/>
      </c>
      <c r="S411" s="10">
        <f>IF(TRIM(K411&amp;"")="","",IFERROR(INDEX(코드표!$K$2:$K$101,MATCH(TRIM(K411&amp;""),코드표!$J$2:$J$101,0)),"⚠"&amp;TRIM(K411&amp;"")))</f>
        <v/>
      </c>
      <c r="T411" s="10">
        <f>IF(TRIM(M411&amp;"")="","",IF(ISNUMBER(MATCH(TRIM(M411&amp;""),코드표!$C$2:$C$11,0)),TRIM(M411&amp;""),"⚠"&amp;TRIM(M411&amp;"")))</f>
        <v/>
      </c>
      <c r="U411" s="10">
        <f>IF(TRIM(L411&amp;"")="","",IFERROR(INDEX(코드표!$G$2:$G$101,MATCH(TRIM(L411&amp;""),코드표!$F$2:$F$101,0)),"⚠"&amp;TRIM(L411&amp;"")))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IF(ISNUMBER(H411),MAX(0,MIN(IF(ISNUMBER(I411),I411,EOMONTH(요약!$B$3,0)),EOMONTH(요약!$B$3,0))-MAX(H411,요약!$B$3)+1),0)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IF(AND(ISNUMBER(AB411),ISNUMBER(AC411)),MAX(0,MIN(AC411,EOMONTH(요약!$B$3,0))-MAX(AB411,요약!$B$3)+1),0)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IF(TRIM(B412&amp;"")="","",IFERROR(INDEX(코드표!$K$2:$K$101,MATCH(TRIM(B412&amp;""),코드표!$J$2:$J$101,0)),"⚠"&amp;TRIM(B412&amp;"")))</f>
        <v/>
      </c>
      <c r="S412" s="10">
        <f>IF(TRIM(K412&amp;"")="","",IFERROR(INDEX(코드표!$K$2:$K$101,MATCH(TRIM(K412&amp;""),코드표!$J$2:$J$101,0)),"⚠"&amp;TRIM(K412&amp;"")))</f>
        <v/>
      </c>
      <c r="T412" s="10">
        <f>IF(TRIM(M412&amp;"")="","",IF(ISNUMBER(MATCH(TRIM(M412&amp;""),코드표!$C$2:$C$11,0)),TRIM(M412&amp;""),"⚠"&amp;TRIM(M412&amp;"")))</f>
        <v/>
      </c>
      <c r="U412" s="10">
        <f>IF(TRIM(L412&amp;"")="","",IFERROR(INDEX(코드표!$G$2:$G$101,MATCH(TRIM(L412&amp;""),코드표!$F$2:$F$101,0)),"⚠"&amp;TRIM(L412&amp;"")))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IF(ISNUMBER(H412),MAX(0,MIN(IF(ISNUMBER(I412),I412,EOMONTH(요약!$B$3,0)),EOMONTH(요약!$B$3,0))-MAX(H412,요약!$B$3)+1),0)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IF(AND(ISNUMBER(AB412),ISNUMBER(AC412)),MAX(0,MIN(AC412,EOMONTH(요약!$B$3,0))-MAX(AB412,요약!$B$3)+1),0)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IF(TRIM(B413&amp;"")="","",IFERROR(INDEX(코드표!$K$2:$K$101,MATCH(TRIM(B413&amp;""),코드표!$J$2:$J$101,0)),"⚠"&amp;TRIM(B413&amp;"")))</f>
        <v/>
      </c>
      <c r="S413" s="10">
        <f>IF(TRIM(K413&amp;"")="","",IFERROR(INDEX(코드표!$K$2:$K$101,MATCH(TRIM(K413&amp;""),코드표!$J$2:$J$101,0)),"⚠"&amp;TRIM(K413&amp;"")))</f>
        <v/>
      </c>
      <c r="T413" s="10">
        <f>IF(TRIM(M413&amp;"")="","",IF(ISNUMBER(MATCH(TRIM(M413&amp;""),코드표!$C$2:$C$11,0)),TRIM(M413&amp;""),"⚠"&amp;TRIM(M413&amp;"")))</f>
        <v/>
      </c>
      <c r="U413" s="10">
        <f>IF(TRIM(L413&amp;"")="","",IFERROR(INDEX(코드표!$G$2:$G$101,MATCH(TRIM(L413&amp;""),코드표!$F$2:$F$101,0)),"⚠"&amp;TRIM(L413&amp;"")))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IF(ISNUMBER(H413),MAX(0,MIN(IF(ISNUMBER(I413),I413,EOMONTH(요약!$B$3,0)),EOMONTH(요약!$B$3,0))-MAX(H413,요약!$B$3)+1),0)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IF(AND(ISNUMBER(AB413),ISNUMBER(AC413)),MAX(0,MIN(AC413,EOMONTH(요약!$B$3,0))-MAX(AB413,요약!$B$3)+1),0)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IF(TRIM(B414&amp;"")="","",IFERROR(INDEX(코드표!$K$2:$K$101,MATCH(TRIM(B414&amp;""),코드표!$J$2:$J$101,0)),"⚠"&amp;TRIM(B414&amp;"")))</f>
        <v/>
      </c>
      <c r="S414" s="10">
        <f>IF(TRIM(K414&amp;"")="","",IFERROR(INDEX(코드표!$K$2:$K$101,MATCH(TRIM(K414&amp;""),코드표!$J$2:$J$101,0)),"⚠"&amp;TRIM(K414&amp;"")))</f>
        <v/>
      </c>
      <c r="T414" s="10">
        <f>IF(TRIM(M414&amp;"")="","",IF(ISNUMBER(MATCH(TRIM(M414&amp;""),코드표!$C$2:$C$11,0)),TRIM(M414&amp;""),"⚠"&amp;TRIM(M414&amp;"")))</f>
        <v/>
      </c>
      <c r="U414" s="10">
        <f>IF(TRIM(L414&amp;"")="","",IFERROR(INDEX(코드표!$G$2:$G$101,MATCH(TRIM(L414&amp;""),코드표!$F$2:$F$101,0)),"⚠"&amp;TRIM(L414&amp;"")))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IF(ISNUMBER(H414),MAX(0,MIN(IF(ISNUMBER(I414),I414,EOMONTH(요약!$B$3,0)),EOMONTH(요약!$B$3,0))-MAX(H414,요약!$B$3)+1),0)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IF(AND(ISNUMBER(AB414),ISNUMBER(AC414)),MAX(0,MIN(AC414,EOMONTH(요약!$B$3,0))-MAX(AB414,요약!$B$3)+1),0)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IF(TRIM(B415&amp;"")="","",IFERROR(INDEX(코드표!$K$2:$K$101,MATCH(TRIM(B415&amp;""),코드표!$J$2:$J$101,0)),"⚠"&amp;TRIM(B415&amp;"")))</f>
        <v/>
      </c>
      <c r="S415" s="10">
        <f>IF(TRIM(K415&amp;"")="","",IFERROR(INDEX(코드표!$K$2:$K$101,MATCH(TRIM(K415&amp;""),코드표!$J$2:$J$101,0)),"⚠"&amp;TRIM(K415&amp;"")))</f>
        <v/>
      </c>
      <c r="T415" s="10">
        <f>IF(TRIM(M415&amp;"")="","",IF(ISNUMBER(MATCH(TRIM(M415&amp;""),코드표!$C$2:$C$11,0)),TRIM(M415&amp;""),"⚠"&amp;TRIM(M415&amp;"")))</f>
        <v/>
      </c>
      <c r="U415" s="10">
        <f>IF(TRIM(L415&amp;"")="","",IFERROR(INDEX(코드표!$G$2:$G$101,MATCH(TRIM(L415&amp;""),코드표!$F$2:$F$101,0)),"⚠"&amp;TRIM(L415&amp;"")))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IF(ISNUMBER(H415),MAX(0,MIN(IF(ISNUMBER(I415),I415,EOMONTH(요약!$B$3,0)),EOMONTH(요약!$B$3,0))-MAX(H415,요약!$B$3)+1),0)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IF(AND(ISNUMBER(AB415),ISNUMBER(AC415)),MAX(0,MIN(AC415,EOMONTH(요약!$B$3,0))-MAX(AB415,요약!$B$3)+1),0)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IF(TRIM(B416&amp;"")="","",IFERROR(INDEX(코드표!$K$2:$K$101,MATCH(TRIM(B416&amp;""),코드표!$J$2:$J$101,0)),"⚠"&amp;TRIM(B416&amp;"")))</f>
        <v/>
      </c>
      <c r="S416" s="10">
        <f>IF(TRIM(K416&amp;"")="","",IFERROR(INDEX(코드표!$K$2:$K$101,MATCH(TRIM(K416&amp;""),코드표!$J$2:$J$101,0)),"⚠"&amp;TRIM(K416&amp;"")))</f>
        <v/>
      </c>
      <c r="T416" s="10">
        <f>IF(TRIM(M416&amp;"")="","",IF(ISNUMBER(MATCH(TRIM(M416&amp;""),코드표!$C$2:$C$11,0)),TRIM(M416&amp;""),"⚠"&amp;TRIM(M416&amp;"")))</f>
        <v/>
      </c>
      <c r="U416" s="10">
        <f>IF(TRIM(L416&amp;"")="","",IFERROR(INDEX(코드표!$G$2:$G$101,MATCH(TRIM(L416&amp;""),코드표!$F$2:$F$101,0)),"⚠"&amp;TRIM(L416&amp;"")))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IF(ISNUMBER(H416),MAX(0,MIN(IF(ISNUMBER(I416),I416,EOMONTH(요약!$B$3,0)),EOMONTH(요약!$B$3,0))-MAX(H416,요약!$B$3)+1),0)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IF(AND(ISNUMBER(AB416),ISNUMBER(AC416)),MAX(0,MIN(AC416,EOMONTH(요약!$B$3,0))-MAX(AB416,요약!$B$3)+1),0)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IF(TRIM(B417&amp;"")="","",IFERROR(INDEX(코드표!$K$2:$K$101,MATCH(TRIM(B417&amp;""),코드표!$J$2:$J$101,0)),"⚠"&amp;TRIM(B417&amp;"")))</f>
        <v/>
      </c>
      <c r="S417" s="10">
        <f>IF(TRIM(K417&amp;"")="","",IFERROR(INDEX(코드표!$K$2:$K$101,MATCH(TRIM(K417&amp;""),코드표!$J$2:$J$101,0)),"⚠"&amp;TRIM(K417&amp;"")))</f>
        <v/>
      </c>
      <c r="T417" s="10">
        <f>IF(TRIM(M417&amp;"")="","",IF(ISNUMBER(MATCH(TRIM(M417&amp;""),코드표!$C$2:$C$11,0)),TRIM(M417&amp;""),"⚠"&amp;TRIM(M417&amp;"")))</f>
        <v/>
      </c>
      <c r="U417" s="10">
        <f>IF(TRIM(L417&amp;"")="","",IFERROR(INDEX(코드표!$G$2:$G$101,MATCH(TRIM(L417&amp;""),코드표!$F$2:$F$101,0)),"⚠"&amp;TRIM(L417&amp;"")))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IF(ISNUMBER(H417),MAX(0,MIN(IF(ISNUMBER(I417),I417,EOMONTH(요약!$B$3,0)),EOMONTH(요약!$B$3,0))-MAX(H417,요약!$B$3)+1),0)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IF(AND(ISNUMBER(AB417),ISNUMBER(AC417)),MAX(0,MIN(AC417,EOMONTH(요약!$B$3,0))-MAX(AB417,요약!$B$3)+1),0)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IF(TRIM(B418&amp;"")="","",IFERROR(INDEX(코드표!$K$2:$K$101,MATCH(TRIM(B418&amp;""),코드표!$J$2:$J$101,0)),"⚠"&amp;TRIM(B418&amp;"")))</f>
        <v/>
      </c>
      <c r="S418" s="10">
        <f>IF(TRIM(K418&amp;"")="","",IFERROR(INDEX(코드표!$K$2:$K$101,MATCH(TRIM(K418&amp;""),코드표!$J$2:$J$101,0)),"⚠"&amp;TRIM(K418&amp;"")))</f>
        <v/>
      </c>
      <c r="T418" s="10">
        <f>IF(TRIM(M418&amp;"")="","",IF(ISNUMBER(MATCH(TRIM(M418&amp;""),코드표!$C$2:$C$11,0)),TRIM(M418&amp;""),"⚠"&amp;TRIM(M418&amp;"")))</f>
        <v/>
      </c>
      <c r="U418" s="10">
        <f>IF(TRIM(L418&amp;"")="","",IFERROR(INDEX(코드표!$G$2:$G$101,MATCH(TRIM(L418&amp;""),코드표!$F$2:$F$101,0)),"⚠"&amp;TRIM(L418&amp;"")))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IF(ISNUMBER(H418),MAX(0,MIN(IF(ISNUMBER(I418),I418,EOMONTH(요약!$B$3,0)),EOMONTH(요약!$B$3,0))-MAX(H418,요약!$B$3)+1),0)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IF(AND(ISNUMBER(AB418),ISNUMBER(AC418)),MAX(0,MIN(AC418,EOMONTH(요약!$B$3,0))-MAX(AB418,요약!$B$3)+1),0)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IF(TRIM(B419&amp;"")="","",IFERROR(INDEX(코드표!$K$2:$K$101,MATCH(TRIM(B419&amp;""),코드표!$J$2:$J$101,0)),"⚠"&amp;TRIM(B419&amp;"")))</f>
        <v/>
      </c>
      <c r="S419" s="10">
        <f>IF(TRIM(K419&amp;"")="","",IFERROR(INDEX(코드표!$K$2:$K$101,MATCH(TRIM(K419&amp;""),코드표!$J$2:$J$101,0)),"⚠"&amp;TRIM(K419&amp;"")))</f>
        <v/>
      </c>
      <c r="T419" s="10">
        <f>IF(TRIM(M419&amp;"")="","",IF(ISNUMBER(MATCH(TRIM(M419&amp;""),코드표!$C$2:$C$11,0)),TRIM(M419&amp;""),"⚠"&amp;TRIM(M419&amp;"")))</f>
        <v/>
      </c>
      <c r="U419" s="10">
        <f>IF(TRIM(L419&amp;"")="","",IFERROR(INDEX(코드표!$G$2:$G$101,MATCH(TRIM(L419&amp;""),코드표!$F$2:$F$101,0)),"⚠"&amp;TRIM(L419&amp;"")))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IF(ISNUMBER(H419),MAX(0,MIN(IF(ISNUMBER(I419),I419,EOMONTH(요약!$B$3,0)),EOMONTH(요약!$B$3,0))-MAX(H419,요약!$B$3)+1),0)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IF(AND(ISNUMBER(AB419),ISNUMBER(AC419)),MAX(0,MIN(AC419,EOMONTH(요약!$B$3,0))-MAX(AB419,요약!$B$3)+1),0)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IF(TRIM(B420&amp;"")="","",IFERROR(INDEX(코드표!$K$2:$K$101,MATCH(TRIM(B420&amp;""),코드표!$J$2:$J$101,0)),"⚠"&amp;TRIM(B420&amp;"")))</f>
        <v/>
      </c>
      <c r="S420" s="10">
        <f>IF(TRIM(K420&amp;"")="","",IFERROR(INDEX(코드표!$K$2:$K$101,MATCH(TRIM(K420&amp;""),코드표!$J$2:$J$101,0)),"⚠"&amp;TRIM(K420&amp;"")))</f>
        <v/>
      </c>
      <c r="T420" s="10">
        <f>IF(TRIM(M420&amp;"")="","",IF(ISNUMBER(MATCH(TRIM(M420&amp;""),코드표!$C$2:$C$11,0)),TRIM(M420&amp;""),"⚠"&amp;TRIM(M420&amp;"")))</f>
        <v/>
      </c>
      <c r="U420" s="10">
        <f>IF(TRIM(L420&amp;"")="","",IFERROR(INDEX(코드표!$G$2:$G$101,MATCH(TRIM(L420&amp;""),코드표!$F$2:$F$101,0)),"⚠"&amp;TRIM(L420&amp;"")))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IF(ISNUMBER(H420),MAX(0,MIN(IF(ISNUMBER(I420),I420,EOMONTH(요약!$B$3,0)),EOMONTH(요약!$B$3,0))-MAX(H420,요약!$B$3)+1),0)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IF(AND(ISNUMBER(AB420),ISNUMBER(AC420)),MAX(0,MIN(AC420,EOMONTH(요약!$B$3,0))-MAX(AB420,요약!$B$3)+1),0)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IF(TRIM(B421&amp;"")="","",IFERROR(INDEX(코드표!$K$2:$K$101,MATCH(TRIM(B421&amp;""),코드표!$J$2:$J$101,0)),"⚠"&amp;TRIM(B421&amp;"")))</f>
        <v/>
      </c>
      <c r="S421" s="10">
        <f>IF(TRIM(K421&amp;"")="","",IFERROR(INDEX(코드표!$K$2:$K$101,MATCH(TRIM(K421&amp;""),코드표!$J$2:$J$101,0)),"⚠"&amp;TRIM(K421&amp;"")))</f>
        <v/>
      </c>
      <c r="T421" s="10">
        <f>IF(TRIM(M421&amp;"")="","",IF(ISNUMBER(MATCH(TRIM(M421&amp;""),코드표!$C$2:$C$11,0)),TRIM(M421&amp;""),"⚠"&amp;TRIM(M421&amp;"")))</f>
        <v/>
      </c>
      <c r="U421" s="10">
        <f>IF(TRIM(L421&amp;"")="","",IFERROR(INDEX(코드표!$G$2:$G$101,MATCH(TRIM(L421&amp;""),코드표!$F$2:$F$101,0)),"⚠"&amp;TRIM(L421&amp;"")))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IF(ISNUMBER(H421),MAX(0,MIN(IF(ISNUMBER(I421),I421,EOMONTH(요약!$B$3,0)),EOMONTH(요약!$B$3,0))-MAX(H421,요약!$B$3)+1),0)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IF(AND(ISNUMBER(AB421),ISNUMBER(AC421)),MAX(0,MIN(AC421,EOMONTH(요약!$B$3,0))-MAX(AB421,요약!$B$3)+1),0)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IF(TRIM(B422&amp;"")="","",IFERROR(INDEX(코드표!$K$2:$K$101,MATCH(TRIM(B422&amp;""),코드표!$J$2:$J$101,0)),"⚠"&amp;TRIM(B422&amp;"")))</f>
        <v/>
      </c>
      <c r="S422" s="10">
        <f>IF(TRIM(K422&amp;"")="","",IFERROR(INDEX(코드표!$K$2:$K$101,MATCH(TRIM(K422&amp;""),코드표!$J$2:$J$101,0)),"⚠"&amp;TRIM(K422&amp;"")))</f>
        <v/>
      </c>
      <c r="T422" s="10">
        <f>IF(TRIM(M422&amp;"")="","",IF(ISNUMBER(MATCH(TRIM(M422&amp;""),코드표!$C$2:$C$11,0)),TRIM(M422&amp;""),"⚠"&amp;TRIM(M422&amp;"")))</f>
        <v/>
      </c>
      <c r="U422" s="10">
        <f>IF(TRIM(L422&amp;"")="","",IFERROR(INDEX(코드표!$G$2:$G$101,MATCH(TRIM(L422&amp;""),코드표!$F$2:$F$101,0)),"⚠"&amp;TRIM(L422&amp;"")))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IF(ISNUMBER(H422),MAX(0,MIN(IF(ISNUMBER(I422),I422,EOMONTH(요약!$B$3,0)),EOMONTH(요약!$B$3,0))-MAX(H422,요약!$B$3)+1),0)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IF(AND(ISNUMBER(AB422),ISNUMBER(AC422)),MAX(0,MIN(AC422,EOMONTH(요약!$B$3,0))-MAX(AB422,요약!$B$3)+1),0)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IF(TRIM(B423&amp;"")="","",IFERROR(INDEX(코드표!$K$2:$K$101,MATCH(TRIM(B423&amp;""),코드표!$J$2:$J$101,0)),"⚠"&amp;TRIM(B423&amp;"")))</f>
        <v/>
      </c>
      <c r="S423" s="10">
        <f>IF(TRIM(K423&amp;"")="","",IFERROR(INDEX(코드표!$K$2:$K$101,MATCH(TRIM(K423&amp;""),코드표!$J$2:$J$101,0)),"⚠"&amp;TRIM(K423&amp;"")))</f>
        <v/>
      </c>
      <c r="T423" s="10">
        <f>IF(TRIM(M423&amp;"")="","",IF(ISNUMBER(MATCH(TRIM(M423&amp;""),코드표!$C$2:$C$11,0)),TRIM(M423&amp;""),"⚠"&amp;TRIM(M423&amp;"")))</f>
        <v/>
      </c>
      <c r="U423" s="10">
        <f>IF(TRIM(L423&amp;"")="","",IFERROR(INDEX(코드표!$G$2:$G$101,MATCH(TRIM(L423&amp;""),코드표!$F$2:$F$101,0)),"⚠"&amp;TRIM(L423&amp;"")))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IF(ISNUMBER(H423),MAX(0,MIN(IF(ISNUMBER(I423),I423,EOMONTH(요약!$B$3,0)),EOMONTH(요약!$B$3,0))-MAX(H423,요약!$B$3)+1),0)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IF(AND(ISNUMBER(AB423),ISNUMBER(AC423)),MAX(0,MIN(AC423,EOMONTH(요약!$B$3,0))-MAX(AB423,요약!$B$3)+1),0)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IF(TRIM(B424&amp;"")="","",IFERROR(INDEX(코드표!$K$2:$K$101,MATCH(TRIM(B424&amp;""),코드표!$J$2:$J$101,0)),"⚠"&amp;TRIM(B424&amp;"")))</f>
        <v/>
      </c>
      <c r="S424" s="10">
        <f>IF(TRIM(K424&amp;"")="","",IFERROR(INDEX(코드표!$K$2:$K$101,MATCH(TRIM(K424&amp;""),코드표!$J$2:$J$101,0)),"⚠"&amp;TRIM(K424&amp;"")))</f>
        <v/>
      </c>
      <c r="T424" s="10">
        <f>IF(TRIM(M424&amp;"")="","",IF(ISNUMBER(MATCH(TRIM(M424&amp;""),코드표!$C$2:$C$11,0)),TRIM(M424&amp;""),"⚠"&amp;TRIM(M424&amp;"")))</f>
        <v/>
      </c>
      <c r="U424" s="10">
        <f>IF(TRIM(L424&amp;"")="","",IFERROR(INDEX(코드표!$G$2:$G$101,MATCH(TRIM(L424&amp;""),코드표!$F$2:$F$101,0)),"⚠"&amp;TRIM(L424&amp;"")))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IF(ISNUMBER(H424),MAX(0,MIN(IF(ISNUMBER(I424),I424,EOMONTH(요약!$B$3,0)),EOMONTH(요약!$B$3,0))-MAX(H424,요약!$B$3)+1),0)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IF(AND(ISNUMBER(AB424),ISNUMBER(AC424)),MAX(0,MIN(AC424,EOMONTH(요약!$B$3,0))-MAX(AB424,요약!$B$3)+1),0)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IF(TRIM(B425&amp;"")="","",IFERROR(INDEX(코드표!$K$2:$K$101,MATCH(TRIM(B425&amp;""),코드표!$J$2:$J$101,0)),"⚠"&amp;TRIM(B425&amp;"")))</f>
        <v/>
      </c>
      <c r="S425" s="10">
        <f>IF(TRIM(K425&amp;"")="","",IFERROR(INDEX(코드표!$K$2:$K$101,MATCH(TRIM(K425&amp;""),코드표!$J$2:$J$101,0)),"⚠"&amp;TRIM(K425&amp;"")))</f>
        <v/>
      </c>
      <c r="T425" s="10">
        <f>IF(TRIM(M425&amp;"")="","",IF(ISNUMBER(MATCH(TRIM(M425&amp;""),코드표!$C$2:$C$11,0)),TRIM(M425&amp;""),"⚠"&amp;TRIM(M425&amp;"")))</f>
        <v/>
      </c>
      <c r="U425" s="10">
        <f>IF(TRIM(L425&amp;"")="","",IFERROR(INDEX(코드표!$G$2:$G$101,MATCH(TRIM(L425&amp;""),코드표!$F$2:$F$101,0)),"⚠"&amp;TRIM(L425&amp;"")))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IF(ISNUMBER(H425),MAX(0,MIN(IF(ISNUMBER(I425),I425,EOMONTH(요약!$B$3,0)),EOMONTH(요약!$B$3,0))-MAX(H425,요약!$B$3)+1),0)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IF(AND(ISNUMBER(AB425),ISNUMBER(AC425)),MAX(0,MIN(AC425,EOMONTH(요약!$B$3,0))-MAX(AB425,요약!$B$3)+1),0)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IF(TRIM(B426&amp;"")="","",IFERROR(INDEX(코드표!$K$2:$K$101,MATCH(TRIM(B426&amp;""),코드표!$J$2:$J$101,0)),"⚠"&amp;TRIM(B426&amp;"")))</f>
        <v/>
      </c>
      <c r="S426" s="10">
        <f>IF(TRIM(K426&amp;"")="","",IFERROR(INDEX(코드표!$K$2:$K$101,MATCH(TRIM(K426&amp;""),코드표!$J$2:$J$101,0)),"⚠"&amp;TRIM(K426&amp;"")))</f>
        <v/>
      </c>
      <c r="T426" s="10">
        <f>IF(TRIM(M426&amp;"")="","",IF(ISNUMBER(MATCH(TRIM(M426&amp;""),코드표!$C$2:$C$11,0)),TRIM(M426&amp;""),"⚠"&amp;TRIM(M426&amp;"")))</f>
        <v/>
      </c>
      <c r="U426" s="10">
        <f>IF(TRIM(L426&amp;"")="","",IFERROR(INDEX(코드표!$G$2:$G$101,MATCH(TRIM(L426&amp;""),코드표!$F$2:$F$101,0)),"⚠"&amp;TRIM(L426&amp;"")))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IF(ISNUMBER(H426),MAX(0,MIN(IF(ISNUMBER(I426),I426,EOMONTH(요약!$B$3,0)),EOMONTH(요약!$B$3,0))-MAX(H426,요약!$B$3)+1),0)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IF(AND(ISNUMBER(AB426),ISNUMBER(AC426)),MAX(0,MIN(AC426,EOMONTH(요약!$B$3,0))-MAX(AB426,요약!$B$3)+1),0)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IF(TRIM(B427&amp;"")="","",IFERROR(INDEX(코드표!$K$2:$K$101,MATCH(TRIM(B427&amp;""),코드표!$J$2:$J$101,0)),"⚠"&amp;TRIM(B427&amp;"")))</f>
        <v/>
      </c>
      <c r="S427" s="10">
        <f>IF(TRIM(K427&amp;"")="","",IFERROR(INDEX(코드표!$K$2:$K$101,MATCH(TRIM(K427&amp;""),코드표!$J$2:$J$101,0)),"⚠"&amp;TRIM(K427&amp;"")))</f>
        <v/>
      </c>
      <c r="T427" s="10">
        <f>IF(TRIM(M427&amp;"")="","",IF(ISNUMBER(MATCH(TRIM(M427&amp;""),코드표!$C$2:$C$11,0)),TRIM(M427&amp;""),"⚠"&amp;TRIM(M427&amp;"")))</f>
        <v/>
      </c>
      <c r="U427" s="10">
        <f>IF(TRIM(L427&amp;"")="","",IFERROR(INDEX(코드표!$G$2:$G$101,MATCH(TRIM(L427&amp;""),코드표!$F$2:$F$101,0)),"⚠"&amp;TRIM(L427&amp;"")))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IF(ISNUMBER(H427),MAX(0,MIN(IF(ISNUMBER(I427),I427,EOMONTH(요약!$B$3,0)),EOMONTH(요약!$B$3,0))-MAX(H427,요약!$B$3)+1),0)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IF(AND(ISNUMBER(AB427),ISNUMBER(AC427)),MAX(0,MIN(AC427,EOMONTH(요약!$B$3,0))-MAX(AB427,요약!$B$3)+1),0)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IF(TRIM(B428&amp;"")="","",IFERROR(INDEX(코드표!$K$2:$K$101,MATCH(TRIM(B428&amp;""),코드표!$J$2:$J$101,0)),"⚠"&amp;TRIM(B428&amp;"")))</f>
        <v/>
      </c>
      <c r="S428" s="10">
        <f>IF(TRIM(K428&amp;"")="","",IFERROR(INDEX(코드표!$K$2:$K$101,MATCH(TRIM(K428&amp;""),코드표!$J$2:$J$101,0)),"⚠"&amp;TRIM(K428&amp;"")))</f>
        <v/>
      </c>
      <c r="T428" s="10">
        <f>IF(TRIM(M428&amp;"")="","",IF(ISNUMBER(MATCH(TRIM(M428&amp;""),코드표!$C$2:$C$11,0)),TRIM(M428&amp;""),"⚠"&amp;TRIM(M428&amp;"")))</f>
        <v/>
      </c>
      <c r="U428" s="10">
        <f>IF(TRIM(L428&amp;"")="","",IFERROR(INDEX(코드표!$G$2:$G$101,MATCH(TRIM(L428&amp;""),코드표!$F$2:$F$101,0)),"⚠"&amp;TRIM(L428&amp;"")))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IF(ISNUMBER(H428),MAX(0,MIN(IF(ISNUMBER(I428),I428,EOMONTH(요약!$B$3,0)),EOMONTH(요약!$B$3,0))-MAX(H428,요약!$B$3)+1),0)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IF(AND(ISNUMBER(AB428),ISNUMBER(AC428)),MAX(0,MIN(AC428,EOMONTH(요약!$B$3,0))-MAX(AB428,요약!$B$3)+1),0)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IF(TRIM(B429&amp;"")="","",IFERROR(INDEX(코드표!$K$2:$K$101,MATCH(TRIM(B429&amp;""),코드표!$J$2:$J$101,0)),"⚠"&amp;TRIM(B429&amp;"")))</f>
        <v/>
      </c>
      <c r="S429" s="10">
        <f>IF(TRIM(K429&amp;"")="","",IFERROR(INDEX(코드표!$K$2:$K$101,MATCH(TRIM(K429&amp;""),코드표!$J$2:$J$101,0)),"⚠"&amp;TRIM(K429&amp;"")))</f>
        <v/>
      </c>
      <c r="T429" s="10">
        <f>IF(TRIM(M429&amp;"")="","",IF(ISNUMBER(MATCH(TRIM(M429&amp;""),코드표!$C$2:$C$11,0)),TRIM(M429&amp;""),"⚠"&amp;TRIM(M429&amp;"")))</f>
        <v/>
      </c>
      <c r="U429" s="10">
        <f>IF(TRIM(L429&amp;"")="","",IFERROR(INDEX(코드표!$G$2:$G$101,MATCH(TRIM(L429&amp;""),코드표!$F$2:$F$101,0)),"⚠"&amp;TRIM(L429&amp;"")))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IF(ISNUMBER(H429),MAX(0,MIN(IF(ISNUMBER(I429),I429,EOMONTH(요약!$B$3,0)),EOMONTH(요약!$B$3,0))-MAX(H429,요약!$B$3)+1),0)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IF(AND(ISNUMBER(AB429),ISNUMBER(AC429)),MAX(0,MIN(AC429,EOMONTH(요약!$B$3,0))-MAX(AB429,요약!$B$3)+1),0)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IF(TRIM(B430&amp;"")="","",IFERROR(INDEX(코드표!$K$2:$K$101,MATCH(TRIM(B430&amp;""),코드표!$J$2:$J$101,0)),"⚠"&amp;TRIM(B430&amp;"")))</f>
        <v/>
      </c>
      <c r="S430" s="10">
        <f>IF(TRIM(K430&amp;"")="","",IFERROR(INDEX(코드표!$K$2:$K$101,MATCH(TRIM(K430&amp;""),코드표!$J$2:$J$101,0)),"⚠"&amp;TRIM(K430&amp;"")))</f>
        <v/>
      </c>
      <c r="T430" s="10">
        <f>IF(TRIM(M430&amp;"")="","",IF(ISNUMBER(MATCH(TRIM(M430&amp;""),코드표!$C$2:$C$11,0)),TRIM(M430&amp;""),"⚠"&amp;TRIM(M430&amp;"")))</f>
        <v/>
      </c>
      <c r="U430" s="10">
        <f>IF(TRIM(L430&amp;"")="","",IFERROR(INDEX(코드표!$G$2:$G$101,MATCH(TRIM(L430&amp;""),코드표!$F$2:$F$101,0)),"⚠"&amp;TRIM(L430&amp;"")))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IF(ISNUMBER(H430),MAX(0,MIN(IF(ISNUMBER(I430),I430,EOMONTH(요약!$B$3,0)),EOMONTH(요약!$B$3,0))-MAX(H430,요약!$B$3)+1),0)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IF(AND(ISNUMBER(AB430),ISNUMBER(AC430)),MAX(0,MIN(AC430,EOMONTH(요약!$B$3,0))-MAX(AB430,요약!$B$3)+1),0)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IF(TRIM(B431&amp;"")="","",IFERROR(INDEX(코드표!$K$2:$K$101,MATCH(TRIM(B431&amp;""),코드표!$J$2:$J$101,0)),"⚠"&amp;TRIM(B431&amp;"")))</f>
        <v/>
      </c>
      <c r="S431" s="10">
        <f>IF(TRIM(K431&amp;"")="","",IFERROR(INDEX(코드표!$K$2:$K$101,MATCH(TRIM(K431&amp;""),코드표!$J$2:$J$101,0)),"⚠"&amp;TRIM(K431&amp;"")))</f>
        <v/>
      </c>
      <c r="T431" s="10">
        <f>IF(TRIM(M431&amp;"")="","",IF(ISNUMBER(MATCH(TRIM(M431&amp;""),코드표!$C$2:$C$11,0)),TRIM(M431&amp;""),"⚠"&amp;TRIM(M431&amp;"")))</f>
        <v/>
      </c>
      <c r="U431" s="10">
        <f>IF(TRIM(L431&amp;"")="","",IFERROR(INDEX(코드표!$G$2:$G$101,MATCH(TRIM(L431&amp;""),코드표!$F$2:$F$101,0)),"⚠"&amp;TRIM(L431&amp;"")))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IF(ISNUMBER(H431),MAX(0,MIN(IF(ISNUMBER(I431),I431,EOMONTH(요약!$B$3,0)),EOMONTH(요약!$B$3,0))-MAX(H431,요약!$B$3)+1),0)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IF(AND(ISNUMBER(AB431),ISNUMBER(AC431)),MAX(0,MIN(AC431,EOMONTH(요약!$B$3,0))-MAX(AB431,요약!$B$3)+1),0)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IF(TRIM(B432&amp;"")="","",IFERROR(INDEX(코드표!$K$2:$K$101,MATCH(TRIM(B432&amp;""),코드표!$J$2:$J$101,0)),"⚠"&amp;TRIM(B432&amp;"")))</f>
        <v/>
      </c>
      <c r="S432" s="10">
        <f>IF(TRIM(K432&amp;"")="","",IFERROR(INDEX(코드표!$K$2:$K$101,MATCH(TRIM(K432&amp;""),코드표!$J$2:$J$101,0)),"⚠"&amp;TRIM(K432&amp;"")))</f>
        <v/>
      </c>
      <c r="T432" s="10">
        <f>IF(TRIM(M432&amp;"")="","",IF(ISNUMBER(MATCH(TRIM(M432&amp;""),코드표!$C$2:$C$11,0)),TRIM(M432&amp;""),"⚠"&amp;TRIM(M432&amp;"")))</f>
        <v/>
      </c>
      <c r="U432" s="10">
        <f>IF(TRIM(L432&amp;"")="","",IFERROR(INDEX(코드표!$G$2:$G$101,MATCH(TRIM(L432&amp;""),코드표!$F$2:$F$101,0)),"⚠"&amp;TRIM(L432&amp;"")))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IF(ISNUMBER(H432),MAX(0,MIN(IF(ISNUMBER(I432),I432,EOMONTH(요약!$B$3,0)),EOMONTH(요약!$B$3,0))-MAX(H432,요약!$B$3)+1),0)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IF(AND(ISNUMBER(AB432),ISNUMBER(AC432)),MAX(0,MIN(AC432,EOMONTH(요약!$B$3,0))-MAX(AB432,요약!$B$3)+1),0)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IF(TRIM(B433&amp;"")="","",IFERROR(INDEX(코드표!$K$2:$K$101,MATCH(TRIM(B433&amp;""),코드표!$J$2:$J$101,0)),"⚠"&amp;TRIM(B433&amp;"")))</f>
        <v/>
      </c>
      <c r="S433" s="10">
        <f>IF(TRIM(K433&amp;"")="","",IFERROR(INDEX(코드표!$K$2:$K$101,MATCH(TRIM(K433&amp;""),코드표!$J$2:$J$101,0)),"⚠"&amp;TRIM(K433&amp;"")))</f>
        <v/>
      </c>
      <c r="T433" s="10">
        <f>IF(TRIM(M433&amp;"")="","",IF(ISNUMBER(MATCH(TRIM(M433&amp;""),코드표!$C$2:$C$11,0)),TRIM(M433&amp;""),"⚠"&amp;TRIM(M433&amp;"")))</f>
        <v/>
      </c>
      <c r="U433" s="10">
        <f>IF(TRIM(L433&amp;"")="","",IFERROR(INDEX(코드표!$G$2:$G$101,MATCH(TRIM(L433&amp;""),코드표!$F$2:$F$101,0)),"⚠"&amp;TRIM(L433&amp;"")))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IF(ISNUMBER(H433),MAX(0,MIN(IF(ISNUMBER(I433),I433,EOMONTH(요약!$B$3,0)),EOMONTH(요약!$B$3,0))-MAX(H433,요약!$B$3)+1),0)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IF(AND(ISNUMBER(AB433),ISNUMBER(AC433)),MAX(0,MIN(AC433,EOMONTH(요약!$B$3,0))-MAX(AB433,요약!$B$3)+1),0)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IF(TRIM(B434&amp;"")="","",IFERROR(INDEX(코드표!$K$2:$K$101,MATCH(TRIM(B434&amp;""),코드표!$J$2:$J$101,0)),"⚠"&amp;TRIM(B434&amp;"")))</f>
        <v/>
      </c>
      <c r="S434" s="10">
        <f>IF(TRIM(K434&amp;"")="","",IFERROR(INDEX(코드표!$K$2:$K$101,MATCH(TRIM(K434&amp;""),코드표!$J$2:$J$101,0)),"⚠"&amp;TRIM(K434&amp;"")))</f>
        <v/>
      </c>
      <c r="T434" s="10">
        <f>IF(TRIM(M434&amp;"")="","",IF(ISNUMBER(MATCH(TRIM(M434&amp;""),코드표!$C$2:$C$11,0)),TRIM(M434&amp;""),"⚠"&amp;TRIM(M434&amp;"")))</f>
        <v/>
      </c>
      <c r="U434" s="10">
        <f>IF(TRIM(L434&amp;"")="","",IFERROR(INDEX(코드표!$G$2:$G$101,MATCH(TRIM(L434&amp;""),코드표!$F$2:$F$101,0)),"⚠"&amp;TRIM(L434&amp;"")))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IF(ISNUMBER(H434),MAX(0,MIN(IF(ISNUMBER(I434),I434,EOMONTH(요약!$B$3,0)),EOMONTH(요약!$B$3,0))-MAX(H434,요약!$B$3)+1),0)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IF(AND(ISNUMBER(AB434),ISNUMBER(AC434)),MAX(0,MIN(AC434,EOMONTH(요약!$B$3,0))-MAX(AB434,요약!$B$3)+1),0)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IF(TRIM(B435&amp;"")="","",IFERROR(INDEX(코드표!$K$2:$K$101,MATCH(TRIM(B435&amp;""),코드표!$J$2:$J$101,0)),"⚠"&amp;TRIM(B435&amp;"")))</f>
        <v/>
      </c>
      <c r="S435" s="10">
        <f>IF(TRIM(K435&amp;"")="","",IFERROR(INDEX(코드표!$K$2:$K$101,MATCH(TRIM(K435&amp;""),코드표!$J$2:$J$101,0)),"⚠"&amp;TRIM(K435&amp;"")))</f>
        <v/>
      </c>
      <c r="T435" s="10">
        <f>IF(TRIM(M435&amp;"")="","",IF(ISNUMBER(MATCH(TRIM(M435&amp;""),코드표!$C$2:$C$11,0)),TRIM(M435&amp;""),"⚠"&amp;TRIM(M435&amp;"")))</f>
        <v/>
      </c>
      <c r="U435" s="10">
        <f>IF(TRIM(L435&amp;"")="","",IFERROR(INDEX(코드표!$G$2:$G$101,MATCH(TRIM(L435&amp;""),코드표!$F$2:$F$101,0)),"⚠"&amp;TRIM(L435&amp;"")))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IF(ISNUMBER(H435),MAX(0,MIN(IF(ISNUMBER(I435),I435,EOMONTH(요약!$B$3,0)),EOMONTH(요약!$B$3,0))-MAX(H435,요약!$B$3)+1),0)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IF(AND(ISNUMBER(AB435),ISNUMBER(AC435)),MAX(0,MIN(AC435,EOMONTH(요약!$B$3,0))-MAX(AB435,요약!$B$3)+1),0)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IF(TRIM(B436&amp;"")="","",IFERROR(INDEX(코드표!$K$2:$K$101,MATCH(TRIM(B436&amp;""),코드표!$J$2:$J$101,0)),"⚠"&amp;TRIM(B436&amp;"")))</f>
        <v/>
      </c>
      <c r="S436" s="10">
        <f>IF(TRIM(K436&amp;"")="","",IFERROR(INDEX(코드표!$K$2:$K$101,MATCH(TRIM(K436&amp;""),코드표!$J$2:$J$101,0)),"⚠"&amp;TRIM(K436&amp;"")))</f>
        <v/>
      </c>
      <c r="T436" s="10">
        <f>IF(TRIM(M436&amp;"")="","",IF(ISNUMBER(MATCH(TRIM(M436&amp;""),코드표!$C$2:$C$11,0)),TRIM(M436&amp;""),"⚠"&amp;TRIM(M436&amp;"")))</f>
        <v/>
      </c>
      <c r="U436" s="10">
        <f>IF(TRIM(L436&amp;"")="","",IFERROR(INDEX(코드표!$G$2:$G$101,MATCH(TRIM(L436&amp;""),코드표!$F$2:$F$101,0)),"⚠"&amp;TRIM(L436&amp;"")))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IF(ISNUMBER(H436),MAX(0,MIN(IF(ISNUMBER(I436),I436,EOMONTH(요약!$B$3,0)),EOMONTH(요약!$B$3,0))-MAX(H436,요약!$B$3)+1),0)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IF(AND(ISNUMBER(AB436),ISNUMBER(AC436)),MAX(0,MIN(AC436,EOMONTH(요약!$B$3,0))-MAX(AB436,요약!$B$3)+1),0)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IF(TRIM(B437&amp;"")="","",IFERROR(INDEX(코드표!$K$2:$K$101,MATCH(TRIM(B437&amp;""),코드표!$J$2:$J$101,0)),"⚠"&amp;TRIM(B437&amp;"")))</f>
        <v/>
      </c>
      <c r="S437" s="10">
        <f>IF(TRIM(K437&amp;"")="","",IFERROR(INDEX(코드표!$K$2:$K$101,MATCH(TRIM(K437&amp;""),코드표!$J$2:$J$101,0)),"⚠"&amp;TRIM(K437&amp;"")))</f>
        <v/>
      </c>
      <c r="T437" s="10">
        <f>IF(TRIM(M437&amp;"")="","",IF(ISNUMBER(MATCH(TRIM(M437&amp;""),코드표!$C$2:$C$11,0)),TRIM(M437&amp;""),"⚠"&amp;TRIM(M437&amp;"")))</f>
        <v/>
      </c>
      <c r="U437" s="10">
        <f>IF(TRIM(L437&amp;"")="","",IFERROR(INDEX(코드표!$G$2:$G$101,MATCH(TRIM(L437&amp;""),코드표!$F$2:$F$101,0)),"⚠"&amp;TRIM(L437&amp;"")))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IF(ISNUMBER(H437),MAX(0,MIN(IF(ISNUMBER(I437),I437,EOMONTH(요약!$B$3,0)),EOMONTH(요약!$B$3,0))-MAX(H437,요약!$B$3)+1),0)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IF(AND(ISNUMBER(AB437),ISNUMBER(AC437)),MAX(0,MIN(AC437,EOMONTH(요약!$B$3,0))-MAX(AB437,요약!$B$3)+1),0)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IF(TRIM(B438&amp;"")="","",IFERROR(INDEX(코드표!$K$2:$K$101,MATCH(TRIM(B438&amp;""),코드표!$J$2:$J$101,0)),"⚠"&amp;TRIM(B438&amp;"")))</f>
        <v/>
      </c>
      <c r="S438" s="10">
        <f>IF(TRIM(K438&amp;"")="","",IFERROR(INDEX(코드표!$K$2:$K$101,MATCH(TRIM(K438&amp;""),코드표!$J$2:$J$101,0)),"⚠"&amp;TRIM(K438&amp;"")))</f>
        <v/>
      </c>
      <c r="T438" s="10">
        <f>IF(TRIM(M438&amp;"")="","",IF(ISNUMBER(MATCH(TRIM(M438&amp;""),코드표!$C$2:$C$11,0)),TRIM(M438&amp;""),"⚠"&amp;TRIM(M438&amp;"")))</f>
        <v/>
      </c>
      <c r="U438" s="10">
        <f>IF(TRIM(L438&amp;"")="","",IFERROR(INDEX(코드표!$G$2:$G$101,MATCH(TRIM(L438&amp;""),코드표!$F$2:$F$101,0)),"⚠"&amp;TRIM(L438&amp;"")))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IF(ISNUMBER(H438),MAX(0,MIN(IF(ISNUMBER(I438),I438,EOMONTH(요약!$B$3,0)),EOMONTH(요약!$B$3,0))-MAX(H438,요약!$B$3)+1),0)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IF(AND(ISNUMBER(AB438),ISNUMBER(AC438)),MAX(0,MIN(AC438,EOMONTH(요약!$B$3,0))-MAX(AB438,요약!$B$3)+1),0)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IF(TRIM(B439&amp;"")="","",IFERROR(INDEX(코드표!$K$2:$K$101,MATCH(TRIM(B439&amp;""),코드표!$J$2:$J$101,0)),"⚠"&amp;TRIM(B439&amp;"")))</f>
        <v/>
      </c>
      <c r="S439" s="10">
        <f>IF(TRIM(K439&amp;"")="","",IFERROR(INDEX(코드표!$K$2:$K$101,MATCH(TRIM(K439&amp;""),코드표!$J$2:$J$101,0)),"⚠"&amp;TRIM(K439&amp;"")))</f>
        <v/>
      </c>
      <c r="T439" s="10">
        <f>IF(TRIM(M439&amp;"")="","",IF(ISNUMBER(MATCH(TRIM(M439&amp;""),코드표!$C$2:$C$11,0)),TRIM(M439&amp;""),"⚠"&amp;TRIM(M439&amp;"")))</f>
        <v/>
      </c>
      <c r="U439" s="10">
        <f>IF(TRIM(L439&amp;"")="","",IFERROR(INDEX(코드표!$G$2:$G$101,MATCH(TRIM(L439&amp;""),코드표!$F$2:$F$101,0)),"⚠"&amp;TRIM(L439&amp;"")))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IF(ISNUMBER(H439),MAX(0,MIN(IF(ISNUMBER(I439),I439,EOMONTH(요약!$B$3,0)),EOMONTH(요약!$B$3,0))-MAX(H439,요약!$B$3)+1),0)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IF(AND(ISNUMBER(AB439),ISNUMBER(AC439)),MAX(0,MIN(AC439,EOMONTH(요약!$B$3,0))-MAX(AB439,요약!$B$3)+1),0)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IF(TRIM(B440&amp;"")="","",IFERROR(INDEX(코드표!$K$2:$K$101,MATCH(TRIM(B440&amp;""),코드표!$J$2:$J$101,0)),"⚠"&amp;TRIM(B440&amp;"")))</f>
        <v/>
      </c>
      <c r="S440" s="10">
        <f>IF(TRIM(K440&amp;"")="","",IFERROR(INDEX(코드표!$K$2:$K$101,MATCH(TRIM(K440&amp;""),코드표!$J$2:$J$101,0)),"⚠"&amp;TRIM(K440&amp;"")))</f>
        <v/>
      </c>
      <c r="T440" s="10">
        <f>IF(TRIM(M440&amp;"")="","",IF(ISNUMBER(MATCH(TRIM(M440&amp;""),코드표!$C$2:$C$11,0)),TRIM(M440&amp;""),"⚠"&amp;TRIM(M440&amp;"")))</f>
        <v/>
      </c>
      <c r="U440" s="10">
        <f>IF(TRIM(L440&amp;"")="","",IFERROR(INDEX(코드표!$G$2:$G$101,MATCH(TRIM(L440&amp;""),코드표!$F$2:$F$101,0)),"⚠"&amp;TRIM(L440&amp;"")))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IF(ISNUMBER(H440),MAX(0,MIN(IF(ISNUMBER(I440),I440,EOMONTH(요약!$B$3,0)),EOMONTH(요약!$B$3,0))-MAX(H440,요약!$B$3)+1),0)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IF(AND(ISNUMBER(AB440),ISNUMBER(AC440)),MAX(0,MIN(AC440,EOMONTH(요약!$B$3,0))-MAX(AB440,요약!$B$3)+1),0)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IF(TRIM(B441&amp;"")="","",IFERROR(INDEX(코드표!$K$2:$K$101,MATCH(TRIM(B441&amp;""),코드표!$J$2:$J$101,0)),"⚠"&amp;TRIM(B441&amp;"")))</f>
        <v/>
      </c>
      <c r="S441" s="10">
        <f>IF(TRIM(K441&amp;"")="","",IFERROR(INDEX(코드표!$K$2:$K$101,MATCH(TRIM(K441&amp;""),코드표!$J$2:$J$101,0)),"⚠"&amp;TRIM(K441&amp;"")))</f>
        <v/>
      </c>
      <c r="T441" s="10">
        <f>IF(TRIM(M441&amp;"")="","",IF(ISNUMBER(MATCH(TRIM(M441&amp;""),코드표!$C$2:$C$11,0)),TRIM(M441&amp;""),"⚠"&amp;TRIM(M441&amp;"")))</f>
        <v/>
      </c>
      <c r="U441" s="10">
        <f>IF(TRIM(L441&amp;"")="","",IFERROR(INDEX(코드표!$G$2:$G$101,MATCH(TRIM(L441&amp;""),코드표!$F$2:$F$101,0)),"⚠"&amp;TRIM(L441&amp;"")))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IF(ISNUMBER(H441),MAX(0,MIN(IF(ISNUMBER(I441),I441,EOMONTH(요약!$B$3,0)),EOMONTH(요약!$B$3,0))-MAX(H441,요약!$B$3)+1),0)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IF(AND(ISNUMBER(AB441),ISNUMBER(AC441)),MAX(0,MIN(AC441,EOMONTH(요약!$B$3,0))-MAX(AB441,요약!$B$3)+1),0)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IF(TRIM(B442&amp;"")="","",IFERROR(INDEX(코드표!$K$2:$K$101,MATCH(TRIM(B442&amp;""),코드표!$J$2:$J$101,0)),"⚠"&amp;TRIM(B442&amp;"")))</f>
        <v/>
      </c>
      <c r="S442" s="10">
        <f>IF(TRIM(K442&amp;"")="","",IFERROR(INDEX(코드표!$K$2:$K$101,MATCH(TRIM(K442&amp;""),코드표!$J$2:$J$101,0)),"⚠"&amp;TRIM(K442&amp;"")))</f>
        <v/>
      </c>
      <c r="T442" s="10">
        <f>IF(TRIM(M442&amp;"")="","",IF(ISNUMBER(MATCH(TRIM(M442&amp;""),코드표!$C$2:$C$11,0)),TRIM(M442&amp;""),"⚠"&amp;TRIM(M442&amp;"")))</f>
        <v/>
      </c>
      <c r="U442" s="10">
        <f>IF(TRIM(L442&amp;"")="","",IFERROR(INDEX(코드표!$G$2:$G$101,MATCH(TRIM(L442&amp;""),코드표!$F$2:$F$101,0)),"⚠"&amp;TRIM(L442&amp;"")))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IF(ISNUMBER(H442),MAX(0,MIN(IF(ISNUMBER(I442),I442,EOMONTH(요약!$B$3,0)),EOMONTH(요약!$B$3,0))-MAX(H442,요약!$B$3)+1),0)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IF(AND(ISNUMBER(AB442),ISNUMBER(AC442)),MAX(0,MIN(AC442,EOMONTH(요약!$B$3,0))-MAX(AB442,요약!$B$3)+1),0)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IF(TRIM(B443&amp;"")="","",IFERROR(INDEX(코드표!$K$2:$K$101,MATCH(TRIM(B443&amp;""),코드표!$J$2:$J$101,0)),"⚠"&amp;TRIM(B443&amp;"")))</f>
        <v/>
      </c>
      <c r="S443" s="10">
        <f>IF(TRIM(K443&amp;"")="","",IFERROR(INDEX(코드표!$K$2:$K$101,MATCH(TRIM(K443&amp;""),코드표!$J$2:$J$101,0)),"⚠"&amp;TRIM(K443&amp;"")))</f>
        <v/>
      </c>
      <c r="T443" s="10">
        <f>IF(TRIM(M443&amp;"")="","",IF(ISNUMBER(MATCH(TRIM(M443&amp;""),코드표!$C$2:$C$11,0)),TRIM(M443&amp;""),"⚠"&amp;TRIM(M443&amp;"")))</f>
        <v/>
      </c>
      <c r="U443" s="10">
        <f>IF(TRIM(L443&amp;"")="","",IFERROR(INDEX(코드표!$G$2:$G$101,MATCH(TRIM(L443&amp;""),코드표!$F$2:$F$101,0)),"⚠"&amp;TRIM(L443&amp;"")))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IF(ISNUMBER(H443),MAX(0,MIN(IF(ISNUMBER(I443),I443,EOMONTH(요약!$B$3,0)),EOMONTH(요약!$B$3,0))-MAX(H443,요약!$B$3)+1),0)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IF(AND(ISNUMBER(AB443),ISNUMBER(AC443)),MAX(0,MIN(AC443,EOMONTH(요약!$B$3,0))-MAX(AB443,요약!$B$3)+1),0)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IF(TRIM(B444&amp;"")="","",IFERROR(INDEX(코드표!$K$2:$K$101,MATCH(TRIM(B444&amp;""),코드표!$J$2:$J$101,0)),"⚠"&amp;TRIM(B444&amp;"")))</f>
        <v/>
      </c>
      <c r="S444" s="10">
        <f>IF(TRIM(K444&amp;"")="","",IFERROR(INDEX(코드표!$K$2:$K$101,MATCH(TRIM(K444&amp;""),코드표!$J$2:$J$101,0)),"⚠"&amp;TRIM(K444&amp;"")))</f>
        <v/>
      </c>
      <c r="T444" s="10">
        <f>IF(TRIM(M444&amp;"")="","",IF(ISNUMBER(MATCH(TRIM(M444&amp;""),코드표!$C$2:$C$11,0)),TRIM(M444&amp;""),"⚠"&amp;TRIM(M444&amp;"")))</f>
        <v/>
      </c>
      <c r="U444" s="10">
        <f>IF(TRIM(L444&amp;"")="","",IFERROR(INDEX(코드표!$G$2:$G$101,MATCH(TRIM(L444&amp;""),코드표!$F$2:$F$101,0)),"⚠"&amp;TRIM(L444&amp;"")))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IF(ISNUMBER(H444),MAX(0,MIN(IF(ISNUMBER(I444),I444,EOMONTH(요약!$B$3,0)),EOMONTH(요약!$B$3,0))-MAX(H444,요약!$B$3)+1),0)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IF(AND(ISNUMBER(AB444),ISNUMBER(AC444)),MAX(0,MIN(AC444,EOMONTH(요약!$B$3,0))-MAX(AB444,요약!$B$3)+1),0)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IF(TRIM(B445&amp;"")="","",IFERROR(INDEX(코드표!$K$2:$K$101,MATCH(TRIM(B445&amp;""),코드표!$J$2:$J$101,0)),"⚠"&amp;TRIM(B445&amp;"")))</f>
        <v/>
      </c>
      <c r="S445" s="10">
        <f>IF(TRIM(K445&amp;"")="","",IFERROR(INDEX(코드표!$K$2:$K$101,MATCH(TRIM(K445&amp;""),코드표!$J$2:$J$101,0)),"⚠"&amp;TRIM(K445&amp;"")))</f>
        <v/>
      </c>
      <c r="T445" s="10">
        <f>IF(TRIM(M445&amp;"")="","",IF(ISNUMBER(MATCH(TRIM(M445&amp;""),코드표!$C$2:$C$11,0)),TRIM(M445&amp;""),"⚠"&amp;TRIM(M445&amp;"")))</f>
        <v/>
      </c>
      <c r="U445" s="10">
        <f>IF(TRIM(L445&amp;"")="","",IFERROR(INDEX(코드표!$G$2:$G$101,MATCH(TRIM(L445&amp;""),코드표!$F$2:$F$101,0)),"⚠"&amp;TRIM(L445&amp;"")))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IF(ISNUMBER(H445),MAX(0,MIN(IF(ISNUMBER(I445),I445,EOMONTH(요약!$B$3,0)),EOMONTH(요약!$B$3,0))-MAX(H445,요약!$B$3)+1),0)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IF(AND(ISNUMBER(AB445),ISNUMBER(AC445)),MAX(0,MIN(AC445,EOMONTH(요약!$B$3,0))-MAX(AB445,요약!$B$3)+1),0)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IF(TRIM(B446&amp;"")="","",IFERROR(INDEX(코드표!$K$2:$K$101,MATCH(TRIM(B446&amp;""),코드표!$J$2:$J$101,0)),"⚠"&amp;TRIM(B446&amp;"")))</f>
        <v/>
      </c>
      <c r="S446" s="10">
        <f>IF(TRIM(K446&amp;"")="","",IFERROR(INDEX(코드표!$K$2:$K$101,MATCH(TRIM(K446&amp;""),코드표!$J$2:$J$101,0)),"⚠"&amp;TRIM(K446&amp;"")))</f>
        <v/>
      </c>
      <c r="T446" s="10">
        <f>IF(TRIM(M446&amp;"")="","",IF(ISNUMBER(MATCH(TRIM(M446&amp;""),코드표!$C$2:$C$11,0)),TRIM(M446&amp;""),"⚠"&amp;TRIM(M446&amp;"")))</f>
        <v/>
      </c>
      <c r="U446" s="10">
        <f>IF(TRIM(L446&amp;"")="","",IFERROR(INDEX(코드표!$G$2:$G$101,MATCH(TRIM(L446&amp;""),코드표!$F$2:$F$101,0)),"⚠"&amp;TRIM(L446&amp;"")))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IF(ISNUMBER(H446),MAX(0,MIN(IF(ISNUMBER(I446),I446,EOMONTH(요약!$B$3,0)),EOMONTH(요약!$B$3,0))-MAX(H446,요약!$B$3)+1),0)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IF(AND(ISNUMBER(AB446),ISNUMBER(AC446)),MAX(0,MIN(AC446,EOMONTH(요약!$B$3,0))-MAX(AB446,요약!$B$3)+1),0)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IF(TRIM(B447&amp;"")="","",IFERROR(INDEX(코드표!$K$2:$K$101,MATCH(TRIM(B447&amp;""),코드표!$J$2:$J$101,0)),"⚠"&amp;TRIM(B447&amp;"")))</f>
        <v/>
      </c>
      <c r="S447" s="10">
        <f>IF(TRIM(K447&amp;"")="","",IFERROR(INDEX(코드표!$K$2:$K$101,MATCH(TRIM(K447&amp;""),코드표!$J$2:$J$101,0)),"⚠"&amp;TRIM(K447&amp;"")))</f>
        <v/>
      </c>
      <c r="T447" s="10">
        <f>IF(TRIM(M447&amp;"")="","",IF(ISNUMBER(MATCH(TRIM(M447&amp;""),코드표!$C$2:$C$11,0)),TRIM(M447&amp;""),"⚠"&amp;TRIM(M447&amp;"")))</f>
        <v/>
      </c>
      <c r="U447" s="10">
        <f>IF(TRIM(L447&amp;"")="","",IFERROR(INDEX(코드표!$G$2:$G$101,MATCH(TRIM(L447&amp;""),코드표!$F$2:$F$101,0)),"⚠"&amp;TRIM(L447&amp;"")))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IF(ISNUMBER(H447),MAX(0,MIN(IF(ISNUMBER(I447),I447,EOMONTH(요약!$B$3,0)),EOMONTH(요약!$B$3,0))-MAX(H447,요약!$B$3)+1),0)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IF(AND(ISNUMBER(AB447),ISNUMBER(AC447)),MAX(0,MIN(AC447,EOMONTH(요약!$B$3,0))-MAX(AB447,요약!$B$3)+1),0)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IF(TRIM(B448&amp;"")="","",IFERROR(INDEX(코드표!$K$2:$K$101,MATCH(TRIM(B448&amp;""),코드표!$J$2:$J$101,0)),"⚠"&amp;TRIM(B448&amp;"")))</f>
        <v/>
      </c>
      <c r="S448" s="10">
        <f>IF(TRIM(K448&amp;"")="","",IFERROR(INDEX(코드표!$K$2:$K$101,MATCH(TRIM(K448&amp;""),코드표!$J$2:$J$101,0)),"⚠"&amp;TRIM(K448&amp;"")))</f>
        <v/>
      </c>
      <c r="T448" s="10">
        <f>IF(TRIM(M448&amp;"")="","",IF(ISNUMBER(MATCH(TRIM(M448&amp;""),코드표!$C$2:$C$11,0)),TRIM(M448&amp;""),"⚠"&amp;TRIM(M448&amp;"")))</f>
        <v/>
      </c>
      <c r="U448" s="10">
        <f>IF(TRIM(L448&amp;"")="","",IFERROR(INDEX(코드표!$G$2:$G$101,MATCH(TRIM(L448&amp;""),코드표!$F$2:$F$101,0)),"⚠"&amp;TRIM(L448&amp;"")))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IF(ISNUMBER(H448),MAX(0,MIN(IF(ISNUMBER(I448),I448,EOMONTH(요약!$B$3,0)),EOMONTH(요약!$B$3,0))-MAX(H448,요약!$B$3)+1),0)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IF(AND(ISNUMBER(AB448),ISNUMBER(AC448)),MAX(0,MIN(AC448,EOMONTH(요약!$B$3,0))-MAX(AB448,요약!$B$3)+1),0)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IF(TRIM(B449&amp;"")="","",IFERROR(INDEX(코드표!$K$2:$K$101,MATCH(TRIM(B449&amp;""),코드표!$J$2:$J$101,0)),"⚠"&amp;TRIM(B449&amp;"")))</f>
        <v/>
      </c>
      <c r="S449" s="10">
        <f>IF(TRIM(K449&amp;"")="","",IFERROR(INDEX(코드표!$K$2:$K$101,MATCH(TRIM(K449&amp;""),코드표!$J$2:$J$101,0)),"⚠"&amp;TRIM(K449&amp;"")))</f>
        <v/>
      </c>
      <c r="T449" s="10">
        <f>IF(TRIM(M449&amp;"")="","",IF(ISNUMBER(MATCH(TRIM(M449&amp;""),코드표!$C$2:$C$11,0)),TRIM(M449&amp;""),"⚠"&amp;TRIM(M449&amp;"")))</f>
        <v/>
      </c>
      <c r="U449" s="10">
        <f>IF(TRIM(L449&amp;"")="","",IFERROR(INDEX(코드표!$G$2:$G$101,MATCH(TRIM(L449&amp;""),코드표!$F$2:$F$101,0)),"⚠"&amp;TRIM(L449&amp;"")))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IF(ISNUMBER(H449),MAX(0,MIN(IF(ISNUMBER(I449),I449,EOMONTH(요약!$B$3,0)),EOMONTH(요약!$B$3,0))-MAX(H449,요약!$B$3)+1),0)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IF(AND(ISNUMBER(AB449),ISNUMBER(AC449)),MAX(0,MIN(AC449,EOMONTH(요약!$B$3,0))-MAX(AB449,요약!$B$3)+1),0)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IF(TRIM(B450&amp;"")="","",IFERROR(INDEX(코드표!$K$2:$K$101,MATCH(TRIM(B450&amp;""),코드표!$J$2:$J$101,0)),"⚠"&amp;TRIM(B450&amp;"")))</f>
        <v/>
      </c>
      <c r="S450" s="10">
        <f>IF(TRIM(K450&amp;"")="","",IFERROR(INDEX(코드표!$K$2:$K$101,MATCH(TRIM(K450&amp;""),코드표!$J$2:$J$101,0)),"⚠"&amp;TRIM(K450&amp;"")))</f>
        <v/>
      </c>
      <c r="T450" s="10">
        <f>IF(TRIM(M450&amp;"")="","",IF(ISNUMBER(MATCH(TRIM(M450&amp;""),코드표!$C$2:$C$11,0)),TRIM(M450&amp;""),"⚠"&amp;TRIM(M450&amp;"")))</f>
        <v/>
      </c>
      <c r="U450" s="10">
        <f>IF(TRIM(L450&amp;"")="","",IFERROR(INDEX(코드표!$G$2:$G$101,MATCH(TRIM(L450&amp;""),코드표!$F$2:$F$101,0)),"⚠"&amp;TRIM(L450&amp;"")))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IF(ISNUMBER(H450),MAX(0,MIN(IF(ISNUMBER(I450),I450,EOMONTH(요약!$B$3,0)),EOMONTH(요약!$B$3,0))-MAX(H450,요약!$B$3)+1),0)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IF(AND(ISNUMBER(AB450),ISNUMBER(AC450)),MAX(0,MIN(AC450,EOMONTH(요약!$B$3,0))-MAX(AB450,요약!$B$3)+1),0)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IF(TRIM(B451&amp;"")="","",IFERROR(INDEX(코드표!$K$2:$K$101,MATCH(TRIM(B451&amp;""),코드표!$J$2:$J$101,0)),"⚠"&amp;TRIM(B451&amp;"")))</f>
        <v/>
      </c>
      <c r="S451" s="10">
        <f>IF(TRIM(K451&amp;"")="","",IFERROR(INDEX(코드표!$K$2:$K$101,MATCH(TRIM(K451&amp;""),코드표!$J$2:$J$101,0)),"⚠"&amp;TRIM(K451&amp;"")))</f>
        <v/>
      </c>
      <c r="T451" s="10">
        <f>IF(TRIM(M451&amp;"")="","",IF(ISNUMBER(MATCH(TRIM(M451&amp;""),코드표!$C$2:$C$11,0)),TRIM(M451&amp;""),"⚠"&amp;TRIM(M451&amp;"")))</f>
        <v/>
      </c>
      <c r="U451" s="10">
        <f>IF(TRIM(L451&amp;"")="","",IFERROR(INDEX(코드표!$G$2:$G$101,MATCH(TRIM(L451&amp;""),코드표!$F$2:$F$101,0)),"⚠"&amp;TRIM(L451&amp;"")))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IF(ISNUMBER(H451),MAX(0,MIN(IF(ISNUMBER(I451),I451,EOMONTH(요약!$B$3,0)),EOMONTH(요약!$B$3,0))-MAX(H451,요약!$B$3)+1),0)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IF(AND(ISNUMBER(AB451),ISNUMBER(AC451)),MAX(0,MIN(AC451,EOMONTH(요약!$B$3,0))-MAX(AB451,요약!$B$3)+1),0)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IF(TRIM(B452&amp;"")="","",IFERROR(INDEX(코드표!$K$2:$K$101,MATCH(TRIM(B452&amp;""),코드표!$J$2:$J$101,0)),"⚠"&amp;TRIM(B452&amp;"")))</f>
        <v/>
      </c>
      <c r="S452" s="10">
        <f>IF(TRIM(K452&amp;"")="","",IFERROR(INDEX(코드표!$K$2:$K$101,MATCH(TRIM(K452&amp;""),코드표!$J$2:$J$101,0)),"⚠"&amp;TRIM(K452&amp;"")))</f>
        <v/>
      </c>
      <c r="T452" s="10">
        <f>IF(TRIM(M452&amp;"")="","",IF(ISNUMBER(MATCH(TRIM(M452&amp;""),코드표!$C$2:$C$11,0)),TRIM(M452&amp;""),"⚠"&amp;TRIM(M452&amp;"")))</f>
        <v/>
      </c>
      <c r="U452" s="10">
        <f>IF(TRIM(L452&amp;"")="","",IFERROR(INDEX(코드표!$G$2:$G$101,MATCH(TRIM(L452&amp;""),코드표!$F$2:$F$101,0)),"⚠"&amp;TRIM(L452&amp;"")))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IF(ISNUMBER(H452),MAX(0,MIN(IF(ISNUMBER(I452),I452,EOMONTH(요약!$B$3,0)),EOMONTH(요약!$B$3,0))-MAX(H452,요약!$B$3)+1),0)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IF(AND(ISNUMBER(AB452),ISNUMBER(AC452)),MAX(0,MIN(AC452,EOMONTH(요약!$B$3,0))-MAX(AB452,요약!$B$3)+1),0)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IF(TRIM(B453&amp;"")="","",IFERROR(INDEX(코드표!$K$2:$K$101,MATCH(TRIM(B453&amp;""),코드표!$J$2:$J$101,0)),"⚠"&amp;TRIM(B453&amp;"")))</f>
        <v/>
      </c>
      <c r="S453" s="10">
        <f>IF(TRIM(K453&amp;"")="","",IFERROR(INDEX(코드표!$K$2:$K$101,MATCH(TRIM(K453&amp;""),코드표!$J$2:$J$101,0)),"⚠"&amp;TRIM(K453&amp;"")))</f>
        <v/>
      </c>
      <c r="T453" s="10">
        <f>IF(TRIM(M453&amp;"")="","",IF(ISNUMBER(MATCH(TRIM(M453&amp;""),코드표!$C$2:$C$11,0)),TRIM(M453&amp;""),"⚠"&amp;TRIM(M453&amp;"")))</f>
        <v/>
      </c>
      <c r="U453" s="10">
        <f>IF(TRIM(L453&amp;"")="","",IFERROR(INDEX(코드표!$G$2:$G$101,MATCH(TRIM(L453&amp;""),코드표!$F$2:$F$101,0)),"⚠"&amp;TRIM(L453&amp;"")))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IF(ISNUMBER(H453),MAX(0,MIN(IF(ISNUMBER(I453),I453,EOMONTH(요약!$B$3,0)),EOMONTH(요약!$B$3,0))-MAX(H453,요약!$B$3)+1),0)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IF(AND(ISNUMBER(AB453),ISNUMBER(AC453)),MAX(0,MIN(AC453,EOMONTH(요약!$B$3,0))-MAX(AB453,요약!$B$3)+1),0)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IF(TRIM(B454&amp;"")="","",IFERROR(INDEX(코드표!$K$2:$K$101,MATCH(TRIM(B454&amp;""),코드표!$J$2:$J$101,0)),"⚠"&amp;TRIM(B454&amp;"")))</f>
        <v/>
      </c>
      <c r="S454" s="10">
        <f>IF(TRIM(K454&amp;"")="","",IFERROR(INDEX(코드표!$K$2:$K$101,MATCH(TRIM(K454&amp;""),코드표!$J$2:$J$101,0)),"⚠"&amp;TRIM(K454&amp;"")))</f>
        <v/>
      </c>
      <c r="T454" s="10">
        <f>IF(TRIM(M454&amp;"")="","",IF(ISNUMBER(MATCH(TRIM(M454&amp;""),코드표!$C$2:$C$11,0)),TRIM(M454&amp;""),"⚠"&amp;TRIM(M454&amp;"")))</f>
        <v/>
      </c>
      <c r="U454" s="10">
        <f>IF(TRIM(L454&amp;"")="","",IFERROR(INDEX(코드표!$G$2:$G$101,MATCH(TRIM(L454&amp;""),코드표!$F$2:$F$101,0)),"⚠"&amp;TRIM(L454&amp;"")))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IF(ISNUMBER(H454),MAX(0,MIN(IF(ISNUMBER(I454),I454,EOMONTH(요약!$B$3,0)),EOMONTH(요약!$B$3,0))-MAX(H454,요약!$B$3)+1),0)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IF(AND(ISNUMBER(AB454),ISNUMBER(AC454)),MAX(0,MIN(AC454,EOMONTH(요약!$B$3,0))-MAX(AB454,요약!$B$3)+1),0)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IF(TRIM(B455&amp;"")="","",IFERROR(INDEX(코드표!$K$2:$K$101,MATCH(TRIM(B455&amp;""),코드표!$J$2:$J$101,0)),"⚠"&amp;TRIM(B455&amp;"")))</f>
        <v/>
      </c>
      <c r="S455" s="10">
        <f>IF(TRIM(K455&amp;"")="","",IFERROR(INDEX(코드표!$K$2:$K$101,MATCH(TRIM(K455&amp;""),코드표!$J$2:$J$101,0)),"⚠"&amp;TRIM(K455&amp;"")))</f>
        <v/>
      </c>
      <c r="T455" s="10">
        <f>IF(TRIM(M455&amp;"")="","",IF(ISNUMBER(MATCH(TRIM(M455&amp;""),코드표!$C$2:$C$11,0)),TRIM(M455&amp;""),"⚠"&amp;TRIM(M455&amp;"")))</f>
        <v/>
      </c>
      <c r="U455" s="10">
        <f>IF(TRIM(L455&amp;"")="","",IFERROR(INDEX(코드표!$G$2:$G$101,MATCH(TRIM(L455&amp;""),코드표!$F$2:$F$101,0)),"⚠"&amp;TRIM(L455&amp;"")))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IF(ISNUMBER(H455),MAX(0,MIN(IF(ISNUMBER(I455),I455,EOMONTH(요약!$B$3,0)),EOMONTH(요약!$B$3,0))-MAX(H455,요약!$B$3)+1),0)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IF(AND(ISNUMBER(AB455),ISNUMBER(AC455)),MAX(0,MIN(AC455,EOMONTH(요약!$B$3,0))-MAX(AB455,요약!$B$3)+1),0)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IF(TRIM(B456&amp;"")="","",IFERROR(INDEX(코드표!$K$2:$K$101,MATCH(TRIM(B456&amp;""),코드표!$J$2:$J$101,0)),"⚠"&amp;TRIM(B456&amp;"")))</f>
        <v/>
      </c>
      <c r="S456" s="10">
        <f>IF(TRIM(K456&amp;"")="","",IFERROR(INDEX(코드표!$K$2:$K$101,MATCH(TRIM(K456&amp;""),코드표!$J$2:$J$101,0)),"⚠"&amp;TRIM(K456&amp;"")))</f>
        <v/>
      </c>
      <c r="T456" s="10">
        <f>IF(TRIM(M456&amp;"")="","",IF(ISNUMBER(MATCH(TRIM(M456&amp;""),코드표!$C$2:$C$11,0)),TRIM(M456&amp;""),"⚠"&amp;TRIM(M456&amp;"")))</f>
        <v/>
      </c>
      <c r="U456" s="10">
        <f>IF(TRIM(L456&amp;"")="","",IFERROR(INDEX(코드표!$G$2:$G$101,MATCH(TRIM(L456&amp;""),코드표!$F$2:$F$101,0)),"⚠"&amp;TRIM(L456&amp;"")))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IF(ISNUMBER(H456),MAX(0,MIN(IF(ISNUMBER(I456),I456,EOMONTH(요약!$B$3,0)),EOMONTH(요약!$B$3,0))-MAX(H456,요약!$B$3)+1),0)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IF(AND(ISNUMBER(AB456),ISNUMBER(AC456)),MAX(0,MIN(AC456,EOMONTH(요약!$B$3,0))-MAX(AB456,요약!$B$3)+1),0)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IF(TRIM(B457&amp;"")="","",IFERROR(INDEX(코드표!$K$2:$K$101,MATCH(TRIM(B457&amp;""),코드표!$J$2:$J$101,0)),"⚠"&amp;TRIM(B457&amp;"")))</f>
        <v/>
      </c>
      <c r="S457" s="10">
        <f>IF(TRIM(K457&amp;"")="","",IFERROR(INDEX(코드표!$K$2:$K$101,MATCH(TRIM(K457&amp;""),코드표!$J$2:$J$101,0)),"⚠"&amp;TRIM(K457&amp;"")))</f>
        <v/>
      </c>
      <c r="T457" s="10">
        <f>IF(TRIM(M457&amp;"")="","",IF(ISNUMBER(MATCH(TRIM(M457&amp;""),코드표!$C$2:$C$11,0)),TRIM(M457&amp;""),"⚠"&amp;TRIM(M457&amp;"")))</f>
        <v/>
      </c>
      <c r="U457" s="10">
        <f>IF(TRIM(L457&amp;"")="","",IFERROR(INDEX(코드표!$G$2:$G$101,MATCH(TRIM(L457&amp;""),코드표!$F$2:$F$101,0)),"⚠"&amp;TRIM(L457&amp;"")))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IF(ISNUMBER(H457),MAX(0,MIN(IF(ISNUMBER(I457),I457,EOMONTH(요약!$B$3,0)),EOMONTH(요약!$B$3,0))-MAX(H457,요약!$B$3)+1),0)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IF(AND(ISNUMBER(AB457),ISNUMBER(AC457)),MAX(0,MIN(AC457,EOMONTH(요약!$B$3,0))-MAX(AB457,요약!$B$3)+1),0)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IF(TRIM(B458&amp;"")="","",IFERROR(INDEX(코드표!$K$2:$K$101,MATCH(TRIM(B458&amp;""),코드표!$J$2:$J$101,0)),"⚠"&amp;TRIM(B458&amp;"")))</f>
        <v/>
      </c>
      <c r="S458" s="10">
        <f>IF(TRIM(K458&amp;"")="","",IFERROR(INDEX(코드표!$K$2:$K$101,MATCH(TRIM(K458&amp;""),코드표!$J$2:$J$101,0)),"⚠"&amp;TRIM(K458&amp;"")))</f>
        <v/>
      </c>
      <c r="T458" s="10">
        <f>IF(TRIM(M458&amp;"")="","",IF(ISNUMBER(MATCH(TRIM(M458&amp;""),코드표!$C$2:$C$11,0)),TRIM(M458&amp;""),"⚠"&amp;TRIM(M458&amp;"")))</f>
        <v/>
      </c>
      <c r="U458" s="10">
        <f>IF(TRIM(L458&amp;"")="","",IFERROR(INDEX(코드표!$G$2:$G$101,MATCH(TRIM(L458&amp;""),코드표!$F$2:$F$101,0)),"⚠"&amp;TRIM(L458&amp;"")))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IF(ISNUMBER(H458),MAX(0,MIN(IF(ISNUMBER(I458),I458,EOMONTH(요약!$B$3,0)),EOMONTH(요약!$B$3,0))-MAX(H458,요약!$B$3)+1),0)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IF(AND(ISNUMBER(AB458),ISNUMBER(AC458)),MAX(0,MIN(AC458,EOMONTH(요약!$B$3,0))-MAX(AB458,요약!$B$3)+1),0)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IF(TRIM(B459&amp;"")="","",IFERROR(INDEX(코드표!$K$2:$K$101,MATCH(TRIM(B459&amp;""),코드표!$J$2:$J$101,0)),"⚠"&amp;TRIM(B459&amp;"")))</f>
        <v/>
      </c>
      <c r="S459" s="10">
        <f>IF(TRIM(K459&amp;"")="","",IFERROR(INDEX(코드표!$K$2:$K$101,MATCH(TRIM(K459&amp;""),코드표!$J$2:$J$101,0)),"⚠"&amp;TRIM(K459&amp;"")))</f>
        <v/>
      </c>
      <c r="T459" s="10">
        <f>IF(TRIM(M459&amp;"")="","",IF(ISNUMBER(MATCH(TRIM(M459&amp;""),코드표!$C$2:$C$11,0)),TRIM(M459&amp;""),"⚠"&amp;TRIM(M459&amp;"")))</f>
        <v/>
      </c>
      <c r="U459" s="10">
        <f>IF(TRIM(L459&amp;"")="","",IFERROR(INDEX(코드표!$G$2:$G$101,MATCH(TRIM(L459&amp;""),코드표!$F$2:$F$101,0)),"⚠"&amp;TRIM(L459&amp;"")))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IF(ISNUMBER(H459),MAX(0,MIN(IF(ISNUMBER(I459),I459,EOMONTH(요약!$B$3,0)),EOMONTH(요약!$B$3,0))-MAX(H459,요약!$B$3)+1),0)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IF(AND(ISNUMBER(AB459),ISNUMBER(AC459)),MAX(0,MIN(AC459,EOMONTH(요약!$B$3,0))-MAX(AB459,요약!$B$3)+1),0)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IF(TRIM(B460&amp;"")="","",IFERROR(INDEX(코드표!$K$2:$K$101,MATCH(TRIM(B460&amp;""),코드표!$J$2:$J$101,0)),"⚠"&amp;TRIM(B460&amp;"")))</f>
        <v/>
      </c>
      <c r="S460" s="10">
        <f>IF(TRIM(K460&amp;"")="","",IFERROR(INDEX(코드표!$K$2:$K$101,MATCH(TRIM(K460&amp;""),코드표!$J$2:$J$101,0)),"⚠"&amp;TRIM(K460&amp;"")))</f>
        <v/>
      </c>
      <c r="T460" s="10">
        <f>IF(TRIM(M460&amp;"")="","",IF(ISNUMBER(MATCH(TRIM(M460&amp;""),코드표!$C$2:$C$11,0)),TRIM(M460&amp;""),"⚠"&amp;TRIM(M460&amp;"")))</f>
        <v/>
      </c>
      <c r="U460" s="10">
        <f>IF(TRIM(L460&amp;"")="","",IFERROR(INDEX(코드표!$G$2:$G$101,MATCH(TRIM(L460&amp;""),코드표!$F$2:$F$101,0)),"⚠"&amp;TRIM(L460&amp;"")))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IF(ISNUMBER(H460),MAX(0,MIN(IF(ISNUMBER(I460),I460,EOMONTH(요약!$B$3,0)),EOMONTH(요약!$B$3,0))-MAX(H460,요약!$B$3)+1),0)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IF(AND(ISNUMBER(AB460),ISNUMBER(AC460)),MAX(0,MIN(AC460,EOMONTH(요약!$B$3,0))-MAX(AB460,요약!$B$3)+1),0)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IF(TRIM(B461&amp;"")="","",IFERROR(INDEX(코드표!$K$2:$K$101,MATCH(TRIM(B461&amp;""),코드표!$J$2:$J$101,0)),"⚠"&amp;TRIM(B461&amp;"")))</f>
        <v/>
      </c>
      <c r="S461" s="10">
        <f>IF(TRIM(K461&amp;"")="","",IFERROR(INDEX(코드표!$K$2:$K$101,MATCH(TRIM(K461&amp;""),코드표!$J$2:$J$101,0)),"⚠"&amp;TRIM(K461&amp;"")))</f>
        <v/>
      </c>
      <c r="T461" s="10">
        <f>IF(TRIM(M461&amp;"")="","",IF(ISNUMBER(MATCH(TRIM(M461&amp;""),코드표!$C$2:$C$11,0)),TRIM(M461&amp;""),"⚠"&amp;TRIM(M461&amp;"")))</f>
        <v/>
      </c>
      <c r="U461" s="10">
        <f>IF(TRIM(L461&amp;"")="","",IFERROR(INDEX(코드표!$G$2:$G$101,MATCH(TRIM(L461&amp;""),코드표!$F$2:$F$101,0)),"⚠"&amp;TRIM(L461&amp;"")))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IF(ISNUMBER(H461),MAX(0,MIN(IF(ISNUMBER(I461),I461,EOMONTH(요약!$B$3,0)),EOMONTH(요약!$B$3,0))-MAX(H461,요약!$B$3)+1),0)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IF(AND(ISNUMBER(AB461),ISNUMBER(AC461)),MAX(0,MIN(AC461,EOMONTH(요약!$B$3,0))-MAX(AB461,요약!$B$3)+1),0)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IF(TRIM(B462&amp;"")="","",IFERROR(INDEX(코드표!$K$2:$K$101,MATCH(TRIM(B462&amp;""),코드표!$J$2:$J$101,0)),"⚠"&amp;TRIM(B462&amp;"")))</f>
        <v/>
      </c>
      <c r="S462" s="10">
        <f>IF(TRIM(K462&amp;"")="","",IFERROR(INDEX(코드표!$K$2:$K$101,MATCH(TRIM(K462&amp;""),코드표!$J$2:$J$101,0)),"⚠"&amp;TRIM(K462&amp;"")))</f>
        <v/>
      </c>
      <c r="T462" s="10">
        <f>IF(TRIM(M462&amp;"")="","",IF(ISNUMBER(MATCH(TRIM(M462&amp;""),코드표!$C$2:$C$11,0)),TRIM(M462&amp;""),"⚠"&amp;TRIM(M462&amp;"")))</f>
        <v/>
      </c>
      <c r="U462" s="10">
        <f>IF(TRIM(L462&amp;"")="","",IFERROR(INDEX(코드표!$G$2:$G$101,MATCH(TRIM(L462&amp;""),코드표!$F$2:$F$101,0)),"⚠"&amp;TRIM(L462&amp;"")))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IF(ISNUMBER(H462),MAX(0,MIN(IF(ISNUMBER(I462),I462,EOMONTH(요약!$B$3,0)),EOMONTH(요약!$B$3,0))-MAX(H462,요약!$B$3)+1),0)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IF(AND(ISNUMBER(AB462),ISNUMBER(AC462)),MAX(0,MIN(AC462,EOMONTH(요약!$B$3,0))-MAX(AB462,요약!$B$3)+1),0)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IF(TRIM(B463&amp;"")="","",IFERROR(INDEX(코드표!$K$2:$K$101,MATCH(TRIM(B463&amp;""),코드표!$J$2:$J$101,0)),"⚠"&amp;TRIM(B463&amp;"")))</f>
        <v/>
      </c>
      <c r="S463" s="10">
        <f>IF(TRIM(K463&amp;"")="","",IFERROR(INDEX(코드표!$K$2:$K$101,MATCH(TRIM(K463&amp;""),코드표!$J$2:$J$101,0)),"⚠"&amp;TRIM(K463&amp;"")))</f>
        <v/>
      </c>
      <c r="T463" s="10">
        <f>IF(TRIM(M463&amp;"")="","",IF(ISNUMBER(MATCH(TRIM(M463&amp;""),코드표!$C$2:$C$11,0)),TRIM(M463&amp;""),"⚠"&amp;TRIM(M463&amp;"")))</f>
        <v/>
      </c>
      <c r="U463" s="10">
        <f>IF(TRIM(L463&amp;"")="","",IFERROR(INDEX(코드표!$G$2:$G$101,MATCH(TRIM(L463&amp;""),코드표!$F$2:$F$101,0)),"⚠"&amp;TRIM(L463&amp;"")))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IF(ISNUMBER(H463),MAX(0,MIN(IF(ISNUMBER(I463),I463,EOMONTH(요약!$B$3,0)),EOMONTH(요약!$B$3,0))-MAX(H463,요약!$B$3)+1),0)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IF(AND(ISNUMBER(AB463),ISNUMBER(AC463)),MAX(0,MIN(AC463,EOMONTH(요약!$B$3,0))-MAX(AB463,요약!$B$3)+1),0)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IF(TRIM(B464&amp;"")="","",IFERROR(INDEX(코드표!$K$2:$K$101,MATCH(TRIM(B464&amp;""),코드표!$J$2:$J$101,0)),"⚠"&amp;TRIM(B464&amp;"")))</f>
        <v/>
      </c>
      <c r="S464" s="10">
        <f>IF(TRIM(K464&amp;"")="","",IFERROR(INDEX(코드표!$K$2:$K$101,MATCH(TRIM(K464&amp;""),코드표!$J$2:$J$101,0)),"⚠"&amp;TRIM(K464&amp;"")))</f>
        <v/>
      </c>
      <c r="T464" s="10">
        <f>IF(TRIM(M464&amp;"")="","",IF(ISNUMBER(MATCH(TRIM(M464&amp;""),코드표!$C$2:$C$11,0)),TRIM(M464&amp;""),"⚠"&amp;TRIM(M464&amp;"")))</f>
        <v/>
      </c>
      <c r="U464" s="10">
        <f>IF(TRIM(L464&amp;"")="","",IFERROR(INDEX(코드표!$G$2:$G$101,MATCH(TRIM(L464&amp;""),코드표!$F$2:$F$101,0)),"⚠"&amp;TRIM(L464&amp;"")))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IF(ISNUMBER(H464),MAX(0,MIN(IF(ISNUMBER(I464),I464,EOMONTH(요약!$B$3,0)),EOMONTH(요약!$B$3,0))-MAX(H464,요약!$B$3)+1),0)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IF(AND(ISNUMBER(AB464),ISNUMBER(AC464)),MAX(0,MIN(AC464,EOMONTH(요약!$B$3,0))-MAX(AB464,요약!$B$3)+1),0)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IF(TRIM(B465&amp;"")="","",IFERROR(INDEX(코드표!$K$2:$K$101,MATCH(TRIM(B465&amp;""),코드표!$J$2:$J$101,0)),"⚠"&amp;TRIM(B465&amp;"")))</f>
        <v/>
      </c>
      <c r="S465" s="10">
        <f>IF(TRIM(K465&amp;"")="","",IFERROR(INDEX(코드표!$K$2:$K$101,MATCH(TRIM(K465&amp;""),코드표!$J$2:$J$101,0)),"⚠"&amp;TRIM(K465&amp;"")))</f>
        <v/>
      </c>
      <c r="T465" s="10">
        <f>IF(TRIM(M465&amp;"")="","",IF(ISNUMBER(MATCH(TRIM(M465&amp;""),코드표!$C$2:$C$11,0)),TRIM(M465&amp;""),"⚠"&amp;TRIM(M465&amp;"")))</f>
        <v/>
      </c>
      <c r="U465" s="10">
        <f>IF(TRIM(L465&amp;"")="","",IFERROR(INDEX(코드표!$G$2:$G$101,MATCH(TRIM(L465&amp;""),코드표!$F$2:$F$101,0)),"⚠"&amp;TRIM(L465&amp;"")))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IF(ISNUMBER(H465),MAX(0,MIN(IF(ISNUMBER(I465),I465,EOMONTH(요약!$B$3,0)),EOMONTH(요약!$B$3,0))-MAX(H465,요약!$B$3)+1),0)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IF(AND(ISNUMBER(AB465),ISNUMBER(AC465)),MAX(0,MIN(AC465,EOMONTH(요약!$B$3,0))-MAX(AB465,요약!$B$3)+1),0)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IF(TRIM(B466&amp;"")="","",IFERROR(INDEX(코드표!$K$2:$K$101,MATCH(TRIM(B466&amp;""),코드표!$J$2:$J$101,0)),"⚠"&amp;TRIM(B466&amp;"")))</f>
        <v/>
      </c>
      <c r="S466" s="10">
        <f>IF(TRIM(K466&amp;"")="","",IFERROR(INDEX(코드표!$K$2:$K$101,MATCH(TRIM(K466&amp;""),코드표!$J$2:$J$101,0)),"⚠"&amp;TRIM(K466&amp;"")))</f>
        <v/>
      </c>
      <c r="T466" s="10">
        <f>IF(TRIM(M466&amp;"")="","",IF(ISNUMBER(MATCH(TRIM(M466&amp;""),코드표!$C$2:$C$11,0)),TRIM(M466&amp;""),"⚠"&amp;TRIM(M466&amp;"")))</f>
        <v/>
      </c>
      <c r="U466" s="10">
        <f>IF(TRIM(L466&amp;"")="","",IFERROR(INDEX(코드표!$G$2:$G$101,MATCH(TRIM(L466&amp;""),코드표!$F$2:$F$101,0)),"⚠"&amp;TRIM(L466&amp;"")))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IF(ISNUMBER(H466),MAX(0,MIN(IF(ISNUMBER(I466),I466,EOMONTH(요약!$B$3,0)),EOMONTH(요약!$B$3,0))-MAX(H466,요약!$B$3)+1),0)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IF(AND(ISNUMBER(AB466),ISNUMBER(AC466)),MAX(0,MIN(AC466,EOMONTH(요약!$B$3,0))-MAX(AB466,요약!$B$3)+1),0)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IF(TRIM(B467&amp;"")="","",IFERROR(INDEX(코드표!$K$2:$K$101,MATCH(TRIM(B467&amp;""),코드표!$J$2:$J$101,0)),"⚠"&amp;TRIM(B467&amp;"")))</f>
        <v/>
      </c>
      <c r="S467" s="10">
        <f>IF(TRIM(K467&amp;"")="","",IFERROR(INDEX(코드표!$K$2:$K$101,MATCH(TRIM(K467&amp;""),코드표!$J$2:$J$101,0)),"⚠"&amp;TRIM(K467&amp;"")))</f>
        <v/>
      </c>
      <c r="T467" s="10">
        <f>IF(TRIM(M467&amp;"")="","",IF(ISNUMBER(MATCH(TRIM(M467&amp;""),코드표!$C$2:$C$11,0)),TRIM(M467&amp;""),"⚠"&amp;TRIM(M467&amp;"")))</f>
        <v/>
      </c>
      <c r="U467" s="10">
        <f>IF(TRIM(L467&amp;"")="","",IFERROR(INDEX(코드표!$G$2:$G$101,MATCH(TRIM(L467&amp;""),코드표!$F$2:$F$101,0)),"⚠"&amp;TRIM(L467&amp;"")))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IF(ISNUMBER(H467),MAX(0,MIN(IF(ISNUMBER(I467),I467,EOMONTH(요약!$B$3,0)),EOMONTH(요약!$B$3,0))-MAX(H467,요약!$B$3)+1),0)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IF(AND(ISNUMBER(AB467),ISNUMBER(AC467)),MAX(0,MIN(AC467,EOMONTH(요약!$B$3,0))-MAX(AB467,요약!$B$3)+1),0)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IF(TRIM(B468&amp;"")="","",IFERROR(INDEX(코드표!$K$2:$K$101,MATCH(TRIM(B468&amp;""),코드표!$J$2:$J$101,0)),"⚠"&amp;TRIM(B468&amp;"")))</f>
        <v/>
      </c>
      <c r="S468" s="10">
        <f>IF(TRIM(K468&amp;"")="","",IFERROR(INDEX(코드표!$K$2:$K$101,MATCH(TRIM(K468&amp;""),코드표!$J$2:$J$101,0)),"⚠"&amp;TRIM(K468&amp;"")))</f>
        <v/>
      </c>
      <c r="T468" s="10">
        <f>IF(TRIM(M468&amp;"")="","",IF(ISNUMBER(MATCH(TRIM(M468&amp;""),코드표!$C$2:$C$11,0)),TRIM(M468&amp;""),"⚠"&amp;TRIM(M468&amp;"")))</f>
        <v/>
      </c>
      <c r="U468" s="10">
        <f>IF(TRIM(L468&amp;"")="","",IFERROR(INDEX(코드표!$G$2:$G$101,MATCH(TRIM(L468&amp;""),코드표!$F$2:$F$101,0)),"⚠"&amp;TRIM(L468&amp;"")))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IF(ISNUMBER(H468),MAX(0,MIN(IF(ISNUMBER(I468),I468,EOMONTH(요약!$B$3,0)),EOMONTH(요약!$B$3,0))-MAX(H468,요약!$B$3)+1),0)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IF(AND(ISNUMBER(AB468),ISNUMBER(AC468)),MAX(0,MIN(AC468,EOMONTH(요약!$B$3,0))-MAX(AB468,요약!$B$3)+1),0)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IF(TRIM(B469&amp;"")="","",IFERROR(INDEX(코드표!$K$2:$K$101,MATCH(TRIM(B469&amp;""),코드표!$J$2:$J$101,0)),"⚠"&amp;TRIM(B469&amp;"")))</f>
        <v/>
      </c>
      <c r="S469" s="10">
        <f>IF(TRIM(K469&amp;"")="","",IFERROR(INDEX(코드표!$K$2:$K$101,MATCH(TRIM(K469&amp;""),코드표!$J$2:$J$101,0)),"⚠"&amp;TRIM(K469&amp;"")))</f>
        <v/>
      </c>
      <c r="T469" s="10">
        <f>IF(TRIM(M469&amp;"")="","",IF(ISNUMBER(MATCH(TRIM(M469&amp;""),코드표!$C$2:$C$11,0)),TRIM(M469&amp;""),"⚠"&amp;TRIM(M469&amp;"")))</f>
        <v/>
      </c>
      <c r="U469" s="10">
        <f>IF(TRIM(L469&amp;"")="","",IFERROR(INDEX(코드표!$G$2:$G$101,MATCH(TRIM(L469&amp;""),코드표!$F$2:$F$101,0)),"⚠"&amp;TRIM(L469&amp;"")))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IF(ISNUMBER(H469),MAX(0,MIN(IF(ISNUMBER(I469),I469,EOMONTH(요약!$B$3,0)),EOMONTH(요약!$B$3,0))-MAX(H469,요약!$B$3)+1),0)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IF(AND(ISNUMBER(AB469),ISNUMBER(AC469)),MAX(0,MIN(AC469,EOMONTH(요약!$B$3,0))-MAX(AB469,요약!$B$3)+1),0)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IF(TRIM(B470&amp;"")="","",IFERROR(INDEX(코드표!$K$2:$K$101,MATCH(TRIM(B470&amp;""),코드표!$J$2:$J$101,0)),"⚠"&amp;TRIM(B470&amp;"")))</f>
        <v/>
      </c>
      <c r="S470" s="10">
        <f>IF(TRIM(K470&amp;"")="","",IFERROR(INDEX(코드표!$K$2:$K$101,MATCH(TRIM(K470&amp;""),코드표!$J$2:$J$101,0)),"⚠"&amp;TRIM(K470&amp;"")))</f>
        <v/>
      </c>
      <c r="T470" s="10">
        <f>IF(TRIM(M470&amp;"")="","",IF(ISNUMBER(MATCH(TRIM(M470&amp;""),코드표!$C$2:$C$11,0)),TRIM(M470&amp;""),"⚠"&amp;TRIM(M470&amp;"")))</f>
        <v/>
      </c>
      <c r="U470" s="10">
        <f>IF(TRIM(L470&amp;"")="","",IFERROR(INDEX(코드표!$G$2:$G$101,MATCH(TRIM(L470&amp;""),코드표!$F$2:$F$101,0)),"⚠"&amp;TRIM(L470&amp;"")))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IF(ISNUMBER(H470),MAX(0,MIN(IF(ISNUMBER(I470),I470,EOMONTH(요약!$B$3,0)),EOMONTH(요약!$B$3,0))-MAX(H470,요약!$B$3)+1),0)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IF(AND(ISNUMBER(AB470),ISNUMBER(AC470)),MAX(0,MIN(AC470,EOMONTH(요약!$B$3,0))-MAX(AB470,요약!$B$3)+1),0)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IF(TRIM(B471&amp;"")="","",IFERROR(INDEX(코드표!$K$2:$K$101,MATCH(TRIM(B471&amp;""),코드표!$J$2:$J$101,0)),"⚠"&amp;TRIM(B471&amp;"")))</f>
        <v/>
      </c>
      <c r="S471" s="10">
        <f>IF(TRIM(K471&amp;"")="","",IFERROR(INDEX(코드표!$K$2:$K$101,MATCH(TRIM(K471&amp;""),코드표!$J$2:$J$101,0)),"⚠"&amp;TRIM(K471&amp;"")))</f>
        <v/>
      </c>
      <c r="T471" s="10">
        <f>IF(TRIM(M471&amp;"")="","",IF(ISNUMBER(MATCH(TRIM(M471&amp;""),코드표!$C$2:$C$11,0)),TRIM(M471&amp;""),"⚠"&amp;TRIM(M471&amp;"")))</f>
        <v/>
      </c>
      <c r="U471" s="10">
        <f>IF(TRIM(L471&amp;"")="","",IFERROR(INDEX(코드표!$G$2:$G$101,MATCH(TRIM(L471&amp;""),코드표!$F$2:$F$101,0)),"⚠"&amp;TRIM(L471&amp;"")))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IF(ISNUMBER(H471),MAX(0,MIN(IF(ISNUMBER(I471),I471,EOMONTH(요약!$B$3,0)),EOMONTH(요약!$B$3,0))-MAX(H471,요약!$B$3)+1),0)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IF(AND(ISNUMBER(AB471),ISNUMBER(AC471)),MAX(0,MIN(AC471,EOMONTH(요약!$B$3,0))-MAX(AB471,요약!$B$3)+1),0)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IF(TRIM(B472&amp;"")="","",IFERROR(INDEX(코드표!$K$2:$K$101,MATCH(TRIM(B472&amp;""),코드표!$J$2:$J$101,0)),"⚠"&amp;TRIM(B472&amp;"")))</f>
        <v/>
      </c>
      <c r="S472" s="10">
        <f>IF(TRIM(K472&amp;"")="","",IFERROR(INDEX(코드표!$K$2:$K$101,MATCH(TRIM(K472&amp;""),코드표!$J$2:$J$101,0)),"⚠"&amp;TRIM(K472&amp;"")))</f>
        <v/>
      </c>
      <c r="T472" s="10">
        <f>IF(TRIM(M472&amp;"")="","",IF(ISNUMBER(MATCH(TRIM(M472&amp;""),코드표!$C$2:$C$11,0)),TRIM(M472&amp;""),"⚠"&amp;TRIM(M472&amp;"")))</f>
        <v/>
      </c>
      <c r="U472" s="10">
        <f>IF(TRIM(L472&amp;"")="","",IFERROR(INDEX(코드표!$G$2:$G$101,MATCH(TRIM(L472&amp;""),코드표!$F$2:$F$101,0)),"⚠"&amp;TRIM(L472&amp;"")))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IF(ISNUMBER(H472),MAX(0,MIN(IF(ISNUMBER(I472),I472,EOMONTH(요약!$B$3,0)),EOMONTH(요약!$B$3,0))-MAX(H472,요약!$B$3)+1),0)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IF(AND(ISNUMBER(AB472),ISNUMBER(AC472)),MAX(0,MIN(AC472,EOMONTH(요약!$B$3,0))-MAX(AB472,요약!$B$3)+1),0)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IF(TRIM(B473&amp;"")="","",IFERROR(INDEX(코드표!$K$2:$K$101,MATCH(TRIM(B473&amp;""),코드표!$J$2:$J$101,0)),"⚠"&amp;TRIM(B473&amp;"")))</f>
        <v/>
      </c>
      <c r="S473" s="10">
        <f>IF(TRIM(K473&amp;"")="","",IFERROR(INDEX(코드표!$K$2:$K$101,MATCH(TRIM(K473&amp;""),코드표!$J$2:$J$101,0)),"⚠"&amp;TRIM(K473&amp;"")))</f>
        <v/>
      </c>
      <c r="T473" s="10">
        <f>IF(TRIM(M473&amp;"")="","",IF(ISNUMBER(MATCH(TRIM(M473&amp;""),코드표!$C$2:$C$11,0)),TRIM(M473&amp;""),"⚠"&amp;TRIM(M473&amp;"")))</f>
        <v/>
      </c>
      <c r="U473" s="10">
        <f>IF(TRIM(L473&amp;"")="","",IFERROR(INDEX(코드표!$G$2:$G$101,MATCH(TRIM(L473&amp;""),코드표!$F$2:$F$101,0)),"⚠"&amp;TRIM(L473&amp;"")))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IF(ISNUMBER(H473),MAX(0,MIN(IF(ISNUMBER(I473),I473,EOMONTH(요약!$B$3,0)),EOMONTH(요약!$B$3,0))-MAX(H473,요약!$B$3)+1),0)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IF(AND(ISNUMBER(AB473),ISNUMBER(AC473)),MAX(0,MIN(AC473,EOMONTH(요약!$B$3,0))-MAX(AB473,요약!$B$3)+1),0)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IF(TRIM(B474&amp;"")="","",IFERROR(INDEX(코드표!$K$2:$K$101,MATCH(TRIM(B474&amp;""),코드표!$J$2:$J$101,0)),"⚠"&amp;TRIM(B474&amp;"")))</f>
        <v/>
      </c>
      <c r="S474" s="10">
        <f>IF(TRIM(K474&amp;"")="","",IFERROR(INDEX(코드표!$K$2:$K$101,MATCH(TRIM(K474&amp;""),코드표!$J$2:$J$101,0)),"⚠"&amp;TRIM(K474&amp;"")))</f>
        <v/>
      </c>
      <c r="T474" s="10">
        <f>IF(TRIM(M474&amp;"")="","",IF(ISNUMBER(MATCH(TRIM(M474&amp;""),코드표!$C$2:$C$11,0)),TRIM(M474&amp;""),"⚠"&amp;TRIM(M474&amp;"")))</f>
        <v/>
      </c>
      <c r="U474" s="10">
        <f>IF(TRIM(L474&amp;"")="","",IFERROR(INDEX(코드표!$G$2:$G$101,MATCH(TRIM(L474&amp;""),코드표!$F$2:$F$101,0)),"⚠"&amp;TRIM(L474&amp;"")))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IF(ISNUMBER(H474),MAX(0,MIN(IF(ISNUMBER(I474),I474,EOMONTH(요약!$B$3,0)),EOMONTH(요약!$B$3,0))-MAX(H474,요약!$B$3)+1),0)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IF(AND(ISNUMBER(AB474),ISNUMBER(AC474)),MAX(0,MIN(AC474,EOMONTH(요약!$B$3,0))-MAX(AB474,요약!$B$3)+1),0)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IF(TRIM(B475&amp;"")="","",IFERROR(INDEX(코드표!$K$2:$K$101,MATCH(TRIM(B475&amp;""),코드표!$J$2:$J$101,0)),"⚠"&amp;TRIM(B475&amp;"")))</f>
        <v/>
      </c>
      <c r="S475" s="10">
        <f>IF(TRIM(K475&amp;"")="","",IFERROR(INDEX(코드표!$K$2:$K$101,MATCH(TRIM(K475&amp;""),코드표!$J$2:$J$101,0)),"⚠"&amp;TRIM(K475&amp;"")))</f>
        <v/>
      </c>
      <c r="T475" s="10">
        <f>IF(TRIM(M475&amp;"")="","",IF(ISNUMBER(MATCH(TRIM(M475&amp;""),코드표!$C$2:$C$11,0)),TRIM(M475&amp;""),"⚠"&amp;TRIM(M475&amp;"")))</f>
        <v/>
      </c>
      <c r="U475" s="10">
        <f>IF(TRIM(L475&amp;"")="","",IFERROR(INDEX(코드표!$G$2:$G$101,MATCH(TRIM(L475&amp;""),코드표!$F$2:$F$101,0)),"⚠"&amp;TRIM(L475&amp;"")))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IF(ISNUMBER(H475),MAX(0,MIN(IF(ISNUMBER(I475),I475,EOMONTH(요약!$B$3,0)),EOMONTH(요약!$B$3,0))-MAX(H475,요약!$B$3)+1),0)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IF(AND(ISNUMBER(AB475),ISNUMBER(AC475)),MAX(0,MIN(AC475,EOMONTH(요약!$B$3,0))-MAX(AB475,요약!$B$3)+1),0)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IF(TRIM(B476&amp;"")="","",IFERROR(INDEX(코드표!$K$2:$K$101,MATCH(TRIM(B476&amp;""),코드표!$J$2:$J$101,0)),"⚠"&amp;TRIM(B476&amp;"")))</f>
        <v/>
      </c>
      <c r="S476" s="10">
        <f>IF(TRIM(K476&amp;"")="","",IFERROR(INDEX(코드표!$K$2:$K$101,MATCH(TRIM(K476&amp;""),코드표!$J$2:$J$101,0)),"⚠"&amp;TRIM(K476&amp;"")))</f>
        <v/>
      </c>
      <c r="T476" s="10">
        <f>IF(TRIM(M476&amp;"")="","",IF(ISNUMBER(MATCH(TRIM(M476&amp;""),코드표!$C$2:$C$11,0)),TRIM(M476&amp;""),"⚠"&amp;TRIM(M476&amp;"")))</f>
        <v/>
      </c>
      <c r="U476" s="10">
        <f>IF(TRIM(L476&amp;"")="","",IFERROR(INDEX(코드표!$G$2:$G$101,MATCH(TRIM(L476&amp;""),코드표!$F$2:$F$101,0)),"⚠"&amp;TRIM(L476&amp;"")))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IF(ISNUMBER(H476),MAX(0,MIN(IF(ISNUMBER(I476),I476,EOMONTH(요약!$B$3,0)),EOMONTH(요약!$B$3,0))-MAX(H476,요약!$B$3)+1),0)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IF(AND(ISNUMBER(AB476),ISNUMBER(AC476)),MAX(0,MIN(AC476,EOMONTH(요약!$B$3,0))-MAX(AB476,요약!$B$3)+1),0)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IF(TRIM(B477&amp;"")="","",IFERROR(INDEX(코드표!$K$2:$K$101,MATCH(TRIM(B477&amp;""),코드표!$J$2:$J$101,0)),"⚠"&amp;TRIM(B477&amp;"")))</f>
        <v/>
      </c>
      <c r="S477" s="10">
        <f>IF(TRIM(K477&amp;"")="","",IFERROR(INDEX(코드표!$K$2:$K$101,MATCH(TRIM(K477&amp;""),코드표!$J$2:$J$101,0)),"⚠"&amp;TRIM(K477&amp;"")))</f>
        <v/>
      </c>
      <c r="T477" s="10">
        <f>IF(TRIM(M477&amp;"")="","",IF(ISNUMBER(MATCH(TRIM(M477&amp;""),코드표!$C$2:$C$11,0)),TRIM(M477&amp;""),"⚠"&amp;TRIM(M477&amp;"")))</f>
        <v/>
      </c>
      <c r="U477" s="10">
        <f>IF(TRIM(L477&amp;"")="","",IFERROR(INDEX(코드표!$G$2:$G$101,MATCH(TRIM(L477&amp;""),코드표!$F$2:$F$101,0)),"⚠"&amp;TRIM(L477&amp;"")))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IF(ISNUMBER(H477),MAX(0,MIN(IF(ISNUMBER(I477),I477,EOMONTH(요약!$B$3,0)),EOMONTH(요약!$B$3,0))-MAX(H477,요약!$B$3)+1),0)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IF(AND(ISNUMBER(AB477),ISNUMBER(AC477)),MAX(0,MIN(AC477,EOMONTH(요약!$B$3,0))-MAX(AB477,요약!$B$3)+1),0)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IF(TRIM(B478&amp;"")="","",IFERROR(INDEX(코드표!$K$2:$K$101,MATCH(TRIM(B478&amp;""),코드표!$J$2:$J$101,0)),"⚠"&amp;TRIM(B478&amp;"")))</f>
        <v/>
      </c>
      <c r="S478" s="10">
        <f>IF(TRIM(K478&amp;"")="","",IFERROR(INDEX(코드표!$K$2:$K$101,MATCH(TRIM(K478&amp;""),코드표!$J$2:$J$101,0)),"⚠"&amp;TRIM(K478&amp;"")))</f>
        <v/>
      </c>
      <c r="T478" s="10">
        <f>IF(TRIM(M478&amp;"")="","",IF(ISNUMBER(MATCH(TRIM(M478&amp;""),코드표!$C$2:$C$11,0)),TRIM(M478&amp;""),"⚠"&amp;TRIM(M478&amp;"")))</f>
        <v/>
      </c>
      <c r="U478" s="10">
        <f>IF(TRIM(L478&amp;"")="","",IFERROR(INDEX(코드표!$G$2:$G$101,MATCH(TRIM(L478&amp;""),코드표!$F$2:$F$101,0)),"⚠"&amp;TRIM(L478&amp;"")))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IF(ISNUMBER(H478),MAX(0,MIN(IF(ISNUMBER(I478),I478,EOMONTH(요약!$B$3,0)),EOMONTH(요약!$B$3,0))-MAX(H478,요약!$B$3)+1),0)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IF(AND(ISNUMBER(AB478),ISNUMBER(AC478)),MAX(0,MIN(AC478,EOMONTH(요약!$B$3,0))-MAX(AB478,요약!$B$3)+1),0)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IF(TRIM(B479&amp;"")="","",IFERROR(INDEX(코드표!$K$2:$K$101,MATCH(TRIM(B479&amp;""),코드표!$J$2:$J$101,0)),"⚠"&amp;TRIM(B479&amp;"")))</f>
        <v/>
      </c>
      <c r="S479" s="10">
        <f>IF(TRIM(K479&amp;"")="","",IFERROR(INDEX(코드표!$K$2:$K$101,MATCH(TRIM(K479&amp;""),코드표!$J$2:$J$101,0)),"⚠"&amp;TRIM(K479&amp;"")))</f>
        <v/>
      </c>
      <c r="T479" s="10">
        <f>IF(TRIM(M479&amp;"")="","",IF(ISNUMBER(MATCH(TRIM(M479&amp;""),코드표!$C$2:$C$11,0)),TRIM(M479&amp;""),"⚠"&amp;TRIM(M479&amp;"")))</f>
        <v/>
      </c>
      <c r="U479" s="10">
        <f>IF(TRIM(L479&amp;"")="","",IFERROR(INDEX(코드표!$G$2:$G$101,MATCH(TRIM(L479&amp;""),코드표!$F$2:$F$101,0)),"⚠"&amp;TRIM(L479&amp;"")))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IF(ISNUMBER(H479),MAX(0,MIN(IF(ISNUMBER(I479),I479,EOMONTH(요약!$B$3,0)),EOMONTH(요약!$B$3,0))-MAX(H479,요약!$B$3)+1),0)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IF(AND(ISNUMBER(AB479),ISNUMBER(AC479)),MAX(0,MIN(AC479,EOMONTH(요약!$B$3,0))-MAX(AB479,요약!$B$3)+1),0)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IF(TRIM(B480&amp;"")="","",IFERROR(INDEX(코드표!$K$2:$K$101,MATCH(TRIM(B480&amp;""),코드표!$J$2:$J$101,0)),"⚠"&amp;TRIM(B480&amp;"")))</f>
        <v/>
      </c>
      <c r="S480" s="10">
        <f>IF(TRIM(K480&amp;"")="","",IFERROR(INDEX(코드표!$K$2:$K$101,MATCH(TRIM(K480&amp;""),코드표!$J$2:$J$101,0)),"⚠"&amp;TRIM(K480&amp;"")))</f>
        <v/>
      </c>
      <c r="T480" s="10">
        <f>IF(TRIM(M480&amp;"")="","",IF(ISNUMBER(MATCH(TRIM(M480&amp;""),코드표!$C$2:$C$11,0)),TRIM(M480&amp;""),"⚠"&amp;TRIM(M480&amp;"")))</f>
        <v/>
      </c>
      <c r="U480" s="10">
        <f>IF(TRIM(L480&amp;"")="","",IFERROR(INDEX(코드표!$G$2:$G$101,MATCH(TRIM(L480&amp;""),코드표!$F$2:$F$101,0)),"⚠"&amp;TRIM(L480&amp;"")))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IF(ISNUMBER(H480),MAX(0,MIN(IF(ISNUMBER(I480),I480,EOMONTH(요약!$B$3,0)),EOMONTH(요약!$B$3,0))-MAX(H480,요약!$B$3)+1),0)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IF(AND(ISNUMBER(AB480),ISNUMBER(AC480)),MAX(0,MIN(AC480,EOMONTH(요약!$B$3,0))-MAX(AB480,요약!$B$3)+1),0)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IF(TRIM(B481&amp;"")="","",IFERROR(INDEX(코드표!$K$2:$K$101,MATCH(TRIM(B481&amp;""),코드표!$J$2:$J$101,0)),"⚠"&amp;TRIM(B481&amp;"")))</f>
        <v/>
      </c>
      <c r="S481" s="10">
        <f>IF(TRIM(K481&amp;"")="","",IFERROR(INDEX(코드표!$K$2:$K$101,MATCH(TRIM(K481&amp;""),코드표!$J$2:$J$101,0)),"⚠"&amp;TRIM(K481&amp;"")))</f>
        <v/>
      </c>
      <c r="T481" s="10">
        <f>IF(TRIM(M481&amp;"")="","",IF(ISNUMBER(MATCH(TRIM(M481&amp;""),코드표!$C$2:$C$11,0)),TRIM(M481&amp;""),"⚠"&amp;TRIM(M481&amp;"")))</f>
        <v/>
      </c>
      <c r="U481" s="10">
        <f>IF(TRIM(L481&amp;"")="","",IFERROR(INDEX(코드표!$G$2:$G$101,MATCH(TRIM(L481&amp;""),코드표!$F$2:$F$101,0)),"⚠"&amp;TRIM(L481&amp;"")))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IF(ISNUMBER(H481),MAX(0,MIN(IF(ISNUMBER(I481),I481,EOMONTH(요약!$B$3,0)),EOMONTH(요약!$B$3,0))-MAX(H481,요약!$B$3)+1),0)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IF(AND(ISNUMBER(AB481),ISNUMBER(AC481)),MAX(0,MIN(AC481,EOMONTH(요약!$B$3,0))-MAX(AB481,요약!$B$3)+1),0)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IF(TRIM(B482&amp;"")="","",IFERROR(INDEX(코드표!$K$2:$K$101,MATCH(TRIM(B482&amp;""),코드표!$J$2:$J$101,0)),"⚠"&amp;TRIM(B482&amp;"")))</f>
        <v/>
      </c>
      <c r="S482" s="10">
        <f>IF(TRIM(K482&amp;"")="","",IFERROR(INDEX(코드표!$K$2:$K$101,MATCH(TRIM(K482&amp;""),코드표!$J$2:$J$101,0)),"⚠"&amp;TRIM(K482&amp;"")))</f>
        <v/>
      </c>
      <c r="T482" s="10">
        <f>IF(TRIM(M482&amp;"")="","",IF(ISNUMBER(MATCH(TRIM(M482&amp;""),코드표!$C$2:$C$11,0)),TRIM(M482&amp;""),"⚠"&amp;TRIM(M482&amp;"")))</f>
        <v/>
      </c>
      <c r="U482" s="10">
        <f>IF(TRIM(L482&amp;"")="","",IFERROR(INDEX(코드표!$G$2:$G$101,MATCH(TRIM(L482&amp;""),코드표!$F$2:$F$101,0)),"⚠"&amp;TRIM(L482&amp;"")))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IF(ISNUMBER(H482),MAX(0,MIN(IF(ISNUMBER(I482),I482,EOMONTH(요약!$B$3,0)),EOMONTH(요약!$B$3,0))-MAX(H482,요약!$B$3)+1),0)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IF(AND(ISNUMBER(AB482),ISNUMBER(AC482)),MAX(0,MIN(AC482,EOMONTH(요약!$B$3,0))-MAX(AB482,요약!$B$3)+1),0)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IF(TRIM(B483&amp;"")="","",IFERROR(INDEX(코드표!$K$2:$K$101,MATCH(TRIM(B483&amp;""),코드표!$J$2:$J$101,0)),"⚠"&amp;TRIM(B483&amp;"")))</f>
        <v/>
      </c>
      <c r="S483" s="10">
        <f>IF(TRIM(K483&amp;"")="","",IFERROR(INDEX(코드표!$K$2:$K$101,MATCH(TRIM(K483&amp;""),코드표!$J$2:$J$101,0)),"⚠"&amp;TRIM(K483&amp;"")))</f>
        <v/>
      </c>
      <c r="T483" s="10">
        <f>IF(TRIM(M483&amp;"")="","",IF(ISNUMBER(MATCH(TRIM(M483&amp;""),코드표!$C$2:$C$11,0)),TRIM(M483&amp;""),"⚠"&amp;TRIM(M483&amp;"")))</f>
        <v/>
      </c>
      <c r="U483" s="10">
        <f>IF(TRIM(L483&amp;"")="","",IFERROR(INDEX(코드표!$G$2:$G$101,MATCH(TRIM(L483&amp;""),코드표!$F$2:$F$101,0)),"⚠"&amp;TRIM(L483&amp;"")))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IF(ISNUMBER(H483),MAX(0,MIN(IF(ISNUMBER(I483),I483,EOMONTH(요약!$B$3,0)),EOMONTH(요약!$B$3,0))-MAX(H483,요약!$B$3)+1),0)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IF(AND(ISNUMBER(AB483),ISNUMBER(AC483)),MAX(0,MIN(AC483,EOMONTH(요약!$B$3,0))-MAX(AB483,요약!$B$3)+1),0)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IF(TRIM(B484&amp;"")="","",IFERROR(INDEX(코드표!$K$2:$K$101,MATCH(TRIM(B484&amp;""),코드표!$J$2:$J$101,0)),"⚠"&amp;TRIM(B484&amp;"")))</f>
        <v/>
      </c>
      <c r="S484" s="10">
        <f>IF(TRIM(K484&amp;"")="","",IFERROR(INDEX(코드표!$K$2:$K$101,MATCH(TRIM(K484&amp;""),코드표!$J$2:$J$101,0)),"⚠"&amp;TRIM(K484&amp;"")))</f>
        <v/>
      </c>
      <c r="T484" s="10">
        <f>IF(TRIM(M484&amp;"")="","",IF(ISNUMBER(MATCH(TRIM(M484&amp;""),코드표!$C$2:$C$11,0)),TRIM(M484&amp;""),"⚠"&amp;TRIM(M484&amp;"")))</f>
        <v/>
      </c>
      <c r="U484" s="10">
        <f>IF(TRIM(L484&amp;"")="","",IFERROR(INDEX(코드표!$G$2:$G$101,MATCH(TRIM(L484&amp;""),코드표!$F$2:$F$101,0)),"⚠"&amp;TRIM(L484&amp;"")))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IF(ISNUMBER(H484),MAX(0,MIN(IF(ISNUMBER(I484),I484,EOMONTH(요약!$B$3,0)),EOMONTH(요약!$B$3,0))-MAX(H484,요약!$B$3)+1),0)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IF(AND(ISNUMBER(AB484),ISNUMBER(AC484)),MAX(0,MIN(AC484,EOMONTH(요약!$B$3,0))-MAX(AB484,요약!$B$3)+1),0)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IF(TRIM(B485&amp;"")="","",IFERROR(INDEX(코드표!$K$2:$K$101,MATCH(TRIM(B485&amp;""),코드표!$J$2:$J$101,0)),"⚠"&amp;TRIM(B485&amp;"")))</f>
        <v/>
      </c>
      <c r="S485" s="10">
        <f>IF(TRIM(K485&amp;"")="","",IFERROR(INDEX(코드표!$K$2:$K$101,MATCH(TRIM(K485&amp;""),코드표!$J$2:$J$101,0)),"⚠"&amp;TRIM(K485&amp;"")))</f>
        <v/>
      </c>
      <c r="T485" s="10">
        <f>IF(TRIM(M485&amp;"")="","",IF(ISNUMBER(MATCH(TRIM(M485&amp;""),코드표!$C$2:$C$11,0)),TRIM(M485&amp;""),"⚠"&amp;TRIM(M485&amp;"")))</f>
        <v/>
      </c>
      <c r="U485" s="10">
        <f>IF(TRIM(L485&amp;"")="","",IFERROR(INDEX(코드표!$G$2:$G$101,MATCH(TRIM(L485&amp;""),코드표!$F$2:$F$101,0)),"⚠"&amp;TRIM(L485&amp;"")))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IF(ISNUMBER(H485),MAX(0,MIN(IF(ISNUMBER(I485),I485,EOMONTH(요약!$B$3,0)),EOMONTH(요약!$B$3,0))-MAX(H485,요약!$B$3)+1),0)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IF(AND(ISNUMBER(AB485),ISNUMBER(AC485)),MAX(0,MIN(AC485,EOMONTH(요약!$B$3,0))-MAX(AB485,요약!$B$3)+1),0)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IF(TRIM(B486&amp;"")="","",IFERROR(INDEX(코드표!$K$2:$K$101,MATCH(TRIM(B486&amp;""),코드표!$J$2:$J$101,0)),"⚠"&amp;TRIM(B486&amp;"")))</f>
        <v/>
      </c>
      <c r="S486" s="10">
        <f>IF(TRIM(K486&amp;"")="","",IFERROR(INDEX(코드표!$K$2:$K$101,MATCH(TRIM(K486&amp;""),코드표!$J$2:$J$101,0)),"⚠"&amp;TRIM(K486&amp;"")))</f>
        <v/>
      </c>
      <c r="T486" s="10">
        <f>IF(TRIM(M486&amp;"")="","",IF(ISNUMBER(MATCH(TRIM(M486&amp;""),코드표!$C$2:$C$11,0)),TRIM(M486&amp;""),"⚠"&amp;TRIM(M486&amp;"")))</f>
        <v/>
      </c>
      <c r="U486" s="10">
        <f>IF(TRIM(L486&amp;"")="","",IFERROR(INDEX(코드표!$G$2:$G$101,MATCH(TRIM(L486&amp;""),코드표!$F$2:$F$101,0)),"⚠"&amp;TRIM(L486&amp;"")))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IF(ISNUMBER(H486),MAX(0,MIN(IF(ISNUMBER(I486),I486,EOMONTH(요약!$B$3,0)),EOMONTH(요약!$B$3,0))-MAX(H486,요약!$B$3)+1),0)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IF(AND(ISNUMBER(AB486),ISNUMBER(AC486)),MAX(0,MIN(AC486,EOMONTH(요약!$B$3,0))-MAX(AB486,요약!$B$3)+1),0)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IF(TRIM(B487&amp;"")="","",IFERROR(INDEX(코드표!$K$2:$K$101,MATCH(TRIM(B487&amp;""),코드표!$J$2:$J$101,0)),"⚠"&amp;TRIM(B487&amp;"")))</f>
        <v/>
      </c>
      <c r="S487" s="10">
        <f>IF(TRIM(K487&amp;"")="","",IFERROR(INDEX(코드표!$K$2:$K$101,MATCH(TRIM(K487&amp;""),코드표!$J$2:$J$101,0)),"⚠"&amp;TRIM(K487&amp;"")))</f>
        <v/>
      </c>
      <c r="T487" s="10">
        <f>IF(TRIM(M487&amp;"")="","",IF(ISNUMBER(MATCH(TRIM(M487&amp;""),코드표!$C$2:$C$11,0)),TRIM(M487&amp;""),"⚠"&amp;TRIM(M487&amp;"")))</f>
        <v/>
      </c>
      <c r="U487" s="10">
        <f>IF(TRIM(L487&amp;"")="","",IFERROR(INDEX(코드표!$G$2:$G$101,MATCH(TRIM(L487&amp;""),코드표!$F$2:$F$101,0)),"⚠"&amp;TRIM(L487&amp;"")))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IF(ISNUMBER(H487),MAX(0,MIN(IF(ISNUMBER(I487),I487,EOMONTH(요약!$B$3,0)),EOMONTH(요약!$B$3,0))-MAX(H487,요약!$B$3)+1),0)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IF(AND(ISNUMBER(AB487),ISNUMBER(AC487)),MAX(0,MIN(AC487,EOMONTH(요약!$B$3,0))-MAX(AB487,요약!$B$3)+1),0)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IF(TRIM(B488&amp;"")="","",IFERROR(INDEX(코드표!$K$2:$K$101,MATCH(TRIM(B488&amp;""),코드표!$J$2:$J$101,0)),"⚠"&amp;TRIM(B488&amp;"")))</f>
        <v/>
      </c>
      <c r="S488" s="10">
        <f>IF(TRIM(K488&amp;"")="","",IFERROR(INDEX(코드표!$K$2:$K$101,MATCH(TRIM(K488&amp;""),코드표!$J$2:$J$101,0)),"⚠"&amp;TRIM(K488&amp;"")))</f>
        <v/>
      </c>
      <c r="T488" s="10">
        <f>IF(TRIM(M488&amp;"")="","",IF(ISNUMBER(MATCH(TRIM(M488&amp;""),코드표!$C$2:$C$11,0)),TRIM(M488&amp;""),"⚠"&amp;TRIM(M488&amp;"")))</f>
        <v/>
      </c>
      <c r="U488" s="10">
        <f>IF(TRIM(L488&amp;"")="","",IFERROR(INDEX(코드표!$G$2:$G$101,MATCH(TRIM(L488&amp;""),코드표!$F$2:$F$101,0)),"⚠"&amp;TRIM(L488&amp;"")))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IF(ISNUMBER(H488),MAX(0,MIN(IF(ISNUMBER(I488),I488,EOMONTH(요약!$B$3,0)),EOMONTH(요약!$B$3,0))-MAX(H488,요약!$B$3)+1),0)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IF(AND(ISNUMBER(AB488),ISNUMBER(AC488)),MAX(0,MIN(AC488,EOMONTH(요약!$B$3,0))-MAX(AB488,요약!$B$3)+1),0)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IF(TRIM(B489&amp;"")="","",IFERROR(INDEX(코드표!$K$2:$K$101,MATCH(TRIM(B489&amp;""),코드표!$J$2:$J$101,0)),"⚠"&amp;TRIM(B489&amp;"")))</f>
        <v/>
      </c>
      <c r="S489" s="10">
        <f>IF(TRIM(K489&amp;"")="","",IFERROR(INDEX(코드표!$K$2:$K$101,MATCH(TRIM(K489&amp;""),코드표!$J$2:$J$101,0)),"⚠"&amp;TRIM(K489&amp;"")))</f>
        <v/>
      </c>
      <c r="T489" s="10">
        <f>IF(TRIM(M489&amp;"")="","",IF(ISNUMBER(MATCH(TRIM(M489&amp;""),코드표!$C$2:$C$11,0)),TRIM(M489&amp;""),"⚠"&amp;TRIM(M489&amp;"")))</f>
        <v/>
      </c>
      <c r="U489" s="10">
        <f>IF(TRIM(L489&amp;"")="","",IFERROR(INDEX(코드표!$G$2:$G$101,MATCH(TRIM(L489&amp;""),코드표!$F$2:$F$101,0)),"⚠"&amp;TRIM(L489&amp;"")))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IF(ISNUMBER(H489),MAX(0,MIN(IF(ISNUMBER(I489),I489,EOMONTH(요약!$B$3,0)),EOMONTH(요약!$B$3,0))-MAX(H489,요약!$B$3)+1),0)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IF(AND(ISNUMBER(AB489),ISNUMBER(AC489)),MAX(0,MIN(AC489,EOMONTH(요약!$B$3,0))-MAX(AB489,요약!$B$3)+1),0)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IF(TRIM(B490&amp;"")="","",IFERROR(INDEX(코드표!$K$2:$K$101,MATCH(TRIM(B490&amp;""),코드표!$J$2:$J$101,0)),"⚠"&amp;TRIM(B490&amp;"")))</f>
        <v/>
      </c>
      <c r="S490" s="10">
        <f>IF(TRIM(K490&amp;"")="","",IFERROR(INDEX(코드표!$K$2:$K$101,MATCH(TRIM(K490&amp;""),코드표!$J$2:$J$101,0)),"⚠"&amp;TRIM(K490&amp;"")))</f>
        <v/>
      </c>
      <c r="T490" s="10">
        <f>IF(TRIM(M490&amp;"")="","",IF(ISNUMBER(MATCH(TRIM(M490&amp;""),코드표!$C$2:$C$11,0)),TRIM(M490&amp;""),"⚠"&amp;TRIM(M490&amp;"")))</f>
        <v/>
      </c>
      <c r="U490" s="10">
        <f>IF(TRIM(L490&amp;"")="","",IFERROR(INDEX(코드표!$G$2:$G$101,MATCH(TRIM(L490&amp;""),코드표!$F$2:$F$101,0)),"⚠"&amp;TRIM(L490&amp;"")))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IF(ISNUMBER(H490),MAX(0,MIN(IF(ISNUMBER(I490),I490,EOMONTH(요약!$B$3,0)),EOMONTH(요약!$B$3,0))-MAX(H490,요약!$B$3)+1),0)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IF(AND(ISNUMBER(AB490),ISNUMBER(AC490)),MAX(0,MIN(AC490,EOMONTH(요약!$B$3,0))-MAX(AB490,요약!$B$3)+1),0)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IF(TRIM(B491&amp;"")="","",IFERROR(INDEX(코드표!$K$2:$K$101,MATCH(TRIM(B491&amp;""),코드표!$J$2:$J$101,0)),"⚠"&amp;TRIM(B491&amp;"")))</f>
        <v/>
      </c>
      <c r="S491" s="10">
        <f>IF(TRIM(K491&amp;"")="","",IFERROR(INDEX(코드표!$K$2:$K$101,MATCH(TRIM(K491&amp;""),코드표!$J$2:$J$101,0)),"⚠"&amp;TRIM(K491&amp;"")))</f>
        <v/>
      </c>
      <c r="T491" s="10">
        <f>IF(TRIM(M491&amp;"")="","",IF(ISNUMBER(MATCH(TRIM(M491&amp;""),코드표!$C$2:$C$11,0)),TRIM(M491&amp;""),"⚠"&amp;TRIM(M491&amp;"")))</f>
        <v/>
      </c>
      <c r="U491" s="10">
        <f>IF(TRIM(L491&amp;"")="","",IFERROR(INDEX(코드표!$G$2:$G$101,MATCH(TRIM(L491&amp;""),코드표!$F$2:$F$101,0)),"⚠"&amp;TRIM(L491&amp;"")))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IF(ISNUMBER(H491),MAX(0,MIN(IF(ISNUMBER(I491),I491,EOMONTH(요약!$B$3,0)),EOMONTH(요약!$B$3,0))-MAX(H491,요약!$B$3)+1),0)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IF(AND(ISNUMBER(AB491),ISNUMBER(AC491)),MAX(0,MIN(AC491,EOMONTH(요약!$B$3,0))-MAX(AB491,요약!$B$3)+1),0)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IF(TRIM(B492&amp;"")="","",IFERROR(INDEX(코드표!$K$2:$K$101,MATCH(TRIM(B492&amp;""),코드표!$J$2:$J$101,0)),"⚠"&amp;TRIM(B492&amp;"")))</f>
        <v/>
      </c>
      <c r="S492" s="10">
        <f>IF(TRIM(K492&amp;"")="","",IFERROR(INDEX(코드표!$K$2:$K$101,MATCH(TRIM(K492&amp;""),코드표!$J$2:$J$101,0)),"⚠"&amp;TRIM(K492&amp;"")))</f>
        <v/>
      </c>
      <c r="T492" s="10">
        <f>IF(TRIM(M492&amp;"")="","",IF(ISNUMBER(MATCH(TRIM(M492&amp;""),코드표!$C$2:$C$11,0)),TRIM(M492&amp;""),"⚠"&amp;TRIM(M492&amp;"")))</f>
        <v/>
      </c>
      <c r="U492" s="10">
        <f>IF(TRIM(L492&amp;"")="","",IFERROR(INDEX(코드표!$G$2:$G$101,MATCH(TRIM(L492&amp;""),코드표!$F$2:$F$101,0)),"⚠"&amp;TRIM(L492&amp;"")))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IF(ISNUMBER(H492),MAX(0,MIN(IF(ISNUMBER(I492),I492,EOMONTH(요약!$B$3,0)),EOMONTH(요약!$B$3,0))-MAX(H492,요약!$B$3)+1),0)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IF(AND(ISNUMBER(AB492),ISNUMBER(AC492)),MAX(0,MIN(AC492,EOMONTH(요약!$B$3,0))-MAX(AB492,요약!$B$3)+1),0)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IF(TRIM(B493&amp;"")="","",IFERROR(INDEX(코드표!$K$2:$K$101,MATCH(TRIM(B493&amp;""),코드표!$J$2:$J$101,0)),"⚠"&amp;TRIM(B493&amp;"")))</f>
        <v/>
      </c>
      <c r="S493" s="10">
        <f>IF(TRIM(K493&amp;"")="","",IFERROR(INDEX(코드표!$K$2:$K$101,MATCH(TRIM(K493&amp;""),코드표!$J$2:$J$101,0)),"⚠"&amp;TRIM(K493&amp;"")))</f>
        <v/>
      </c>
      <c r="T493" s="10">
        <f>IF(TRIM(M493&amp;"")="","",IF(ISNUMBER(MATCH(TRIM(M493&amp;""),코드표!$C$2:$C$11,0)),TRIM(M493&amp;""),"⚠"&amp;TRIM(M493&amp;"")))</f>
        <v/>
      </c>
      <c r="U493" s="10">
        <f>IF(TRIM(L493&amp;"")="","",IFERROR(INDEX(코드표!$G$2:$G$101,MATCH(TRIM(L493&amp;""),코드표!$F$2:$F$101,0)),"⚠"&amp;TRIM(L493&amp;"")))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IF(ISNUMBER(H493),MAX(0,MIN(IF(ISNUMBER(I493),I493,EOMONTH(요약!$B$3,0)),EOMONTH(요약!$B$3,0))-MAX(H493,요약!$B$3)+1),0)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IF(AND(ISNUMBER(AB493),ISNUMBER(AC493)),MAX(0,MIN(AC493,EOMONTH(요약!$B$3,0))-MAX(AB493,요약!$B$3)+1),0)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IF(TRIM(B494&amp;"")="","",IFERROR(INDEX(코드표!$K$2:$K$101,MATCH(TRIM(B494&amp;""),코드표!$J$2:$J$101,0)),"⚠"&amp;TRIM(B494&amp;"")))</f>
        <v/>
      </c>
      <c r="S494" s="10">
        <f>IF(TRIM(K494&amp;"")="","",IFERROR(INDEX(코드표!$K$2:$K$101,MATCH(TRIM(K494&amp;""),코드표!$J$2:$J$101,0)),"⚠"&amp;TRIM(K494&amp;"")))</f>
        <v/>
      </c>
      <c r="T494" s="10">
        <f>IF(TRIM(M494&amp;"")="","",IF(ISNUMBER(MATCH(TRIM(M494&amp;""),코드표!$C$2:$C$11,0)),TRIM(M494&amp;""),"⚠"&amp;TRIM(M494&amp;"")))</f>
        <v/>
      </c>
      <c r="U494" s="10">
        <f>IF(TRIM(L494&amp;"")="","",IFERROR(INDEX(코드표!$G$2:$G$101,MATCH(TRIM(L494&amp;""),코드표!$F$2:$F$101,0)),"⚠"&amp;TRIM(L494&amp;"")))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IF(ISNUMBER(H494),MAX(0,MIN(IF(ISNUMBER(I494),I494,EOMONTH(요약!$B$3,0)),EOMONTH(요약!$B$3,0))-MAX(H494,요약!$B$3)+1),0)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IF(AND(ISNUMBER(AB494),ISNUMBER(AC494)),MAX(0,MIN(AC494,EOMONTH(요약!$B$3,0))-MAX(AB494,요약!$B$3)+1),0)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IF(TRIM(B495&amp;"")="","",IFERROR(INDEX(코드표!$K$2:$K$101,MATCH(TRIM(B495&amp;""),코드표!$J$2:$J$101,0)),"⚠"&amp;TRIM(B495&amp;"")))</f>
        <v/>
      </c>
      <c r="S495" s="10">
        <f>IF(TRIM(K495&amp;"")="","",IFERROR(INDEX(코드표!$K$2:$K$101,MATCH(TRIM(K495&amp;""),코드표!$J$2:$J$101,0)),"⚠"&amp;TRIM(K495&amp;"")))</f>
        <v/>
      </c>
      <c r="T495" s="10">
        <f>IF(TRIM(M495&amp;"")="","",IF(ISNUMBER(MATCH(TRIM(M495&amp;""),코드표!$C$2:$C$11,0)),TRIM(M495&amp;""),"⚠"&amp;TRIM(M495&amp;"")))</f>
        <v/>
      </c>
      <c r="U495" s="10">
        <f>IF(TRIM(L495&amp;"")="","",IFERROR(INDEX(코드표!$G$2:$G$101,MATCH(TRIM(L495&amp;""),코드표!$F$2:$F$101,0)),"⚠"&amp;TRIM(L495&amp;"")))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IF(ISNUMBER(H495),MAX(0,MIN(IF(ISNUMBER(I495),I495,EOMONTH(요약!$B$3,0)),EOMONTH(요약!$B$3,0))-MAX(H495,요약!$B$3)+1),0)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IF(AND(ISNUMBER(AB495),ISNUMBER(AC495)),MAX(0,MIN(AC495,EOMONTH(요약!$B$3,0))-MAX(AB495,요약!$B$3)+1),0)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IF(TRIM(B496&amp;"")="","",IFERROR(INDEX(코드표!$K$2:$K$101,MATCH(TRIM(B496&amp;""),코드표!$J$2:$J$101,0)),"⚠"&amp;TRIM(B496&amp;"")))</f>
        <v/>
      </c>
      <c r="S496" s="10">
        <f>IF(TRIM(K496&amp;"")="","",IFERROR(INDEX(코드표!$K$2:$K$101,MATCH(TRIM(K496&amp;""),코드표!$J$2:$J$101,0)),"⚠"&amp;TRIM(K496&amp;"")))</f>
        <v/>
      </c>
      <c r="T496" s="10">
        <f>IF(TRIM(M496&amp;"")="","",IF(ISNUMBER(MATCH(TRIM(M496&amp;""),코드표!$C$2:$C$11,0)),TRIM(M496&amp;""),"⚠"&amp;TRIM(M496&amp;"")))</f>
        <v/>
      </c>
      <c r="U496" s="10">
        <f>IF(TRIM(L496&amp;"")="","",IFERROR(INDEX(코드표!$G$2:$G$101,MATCH(TRIM(L496&amp;""),코드표!$F$2:$F$101,0)),"⚠"&amp;TRIM(L496&amp;"")))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IF(ISNUMBER(H496),MAX(0,MIN(IF(ISNUMBER(I496),I496,EOMONTH(요약!$B$3,0)),EOMONTH(요약!$B$3,0))-MAX(H496,요약!$B$3)+1),0)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IF(AND(ISNUMBER(AB496),ISNUMBER(AC496)),MAX(0,MIN(AC496,EOMONTH(요약!$B$3,0))-MAX(AB496,요약!$B$3)+1),0)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IF(TRIM(B497&amp;"")="","",IFERROR(INDEX(코드표!$K$2:$K$101,MATCH(TRIM(B497&amp;""),코드표!$J$2:$J$101,0)),"⚠"&amp;TRIM(B497&amp;"")))</f>
        <v/>
      </c>
      <c r="S497" s="10">
        <f>IF(TRIM(K497&amp;"")="","",IFERROR(INDEX(코드표!$K$2:$K$101,MATCH(TRIM(K497&amp;""),코드표!$J$2:$J$101,0)),"⚠"&amp;TRIM(K497&amp;"")))</f>
        <v/>
      </c>
      <c r="T497" s="10">
        <f>IF(TRIM(M497&amp;"")="","",IF(ISNUMBER(MATCH(TRIM(M497&amp;""),코드표!$C$2:$C$11,0)),TRIM(M497&amp;""),"⚠"&amp;TRIM(M497&amp;"")))</f>
        <v/>
      </c>
      <c r="U497" s="10">
        <f>IF(TRIM(L497&amp;"")="","",IFERROR(INDEX(코드표!$G$2:$G$101,MATCH(TRIM(L497&amp;""),코드표!$F$2:$F$101,0)),"⚠"&amp;TRIM(L497&amp;"")))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IF(ISNUMBER(H497),MAX(0,MIN(IF(ISNUMBER(I497),I497,EOMONTH(요약!$B$3,0)),EOMONTH(요약!$B$3,0))-MAX(H497,요약!$B$3)+1),0)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IF(AND(ISNUMBER(AB497),ISNUMBER(AC497)),MAX(0,MIN(AC497,EOMONTH(요약!$B$3,0))-MAX(AB497,요약!$B$3)+1),0)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IF(TRIM(B498&amp;"")="","",IFERROR(INDEX(코드표!$K$2:$K$101,MATCH(TRIM(B498&amp;""),코드표!$J$2:$J$101,0)),"⚠"&amp;TRIM(B498&amp;"")))</f>
        <v/>
      </c>
      <c r="S498" s="10">
        <f>IF(TRIM(K498&amp;"")="","",IFERROR(INDEX(코드표!$K$2:$K$101,MATCH(TRIM(K498&amp;""),코드표!$J$2:$J$101,0)),"⚠"&amp;TRIM(K498&amp;"")))</f>
        <v/>
      </c>
      <c r="T498" s="10">
        <f>IF(TRIM(M498&amp;"")="","",IF(ISNUMBER(MATCH(TRIM(M498&amp;""),코드표!$C$2:$C$11,0)),TRIM(M498&amp;""),"⚠"&amp;TRIM(M498&amp;"")))</f>
        <v/>
      </c>
      <c r="U498" s="10">
        <f>IF(TRIM(L498&amp;"")="","",IFERROR(INDEX(코드표!$G$2:$G$101,MATCH(TRIM(L498&amp;""),코드표!$F$2:$F$101,0)),"⚠"&amp;TRIM(L498&amp;"")))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IF(ISNUMBER(H498),MAX(0,MIN(IF(ISNUMBER(I498),I498,EOMONTH(요약!$B$3,0)),EOMONTH(요약!$B$3,0))-MAX(H498,요약!$B$3)+1),0)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IF(AND(ISNUMBER(AB498),ISNUMBER(AC498)),MAX(0,MIN(AC498,EOMONTH(요약!$B$3,0))-MAX(AB498,요약!$B$3)+1),0)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IF(TRIM(B499&amp;"")="","",IFERROR(INDEX(코드표!$K$2:$K$101,MATCH(TRIM(B499&amp;""),코드표!$J$2:$J$101,0)),"⚠"&amp;TRIM(B499&amp;"")))</f>
        <v/>
      </c>
      <c r="S499" s="10">
        <f>IF(TRIM(K499&amp;"")="","",IFERROR(INDEX(코드표!$K$2:$K$101,MATCH(TRIM(K499&amp;""),코드표!$J$2:$J$101,0)),"⚠"&amp;TRIM(K499&amp;"")))</f>
        <v/>
      </c>
      <c r="T499" s="10">
        <f>IF(TRIM(M499&amp;"")="","",IF(ISNUMBER(MATCH(TRIM(M499&amp;""),코드표!$C$2:$C$11,0)),TRIM(M499&amp;""),"⚠"&amp;TRIM(M499&amp;"")))</f>
        <v/>
      </c>
      <c r="U499" s="10">
        <f>IF(TRIM(L499&amp;"")="","",IFERROR(INDEX(코드표!$G$2:$G$101,MATCH(TRIM(L499&amp;""),코드표!$F$2:$F$101,0)),"⚠"&amp;TRIM(L499&amp;"")))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IF(ISNUMBER(H499),MAX(0,MIN(IF(ISNUMBER(I499),I499,EOMONTH(요약!$B$3,0)),EOMONTH(요약!$B$3,0))-MAX(H499,요약!$B$3)+1),0)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IF(AND(ISNUMBER(AB499),ISNUMBER(AC499)),MAX(0,MIN(AC499,EOMONTH(요약!$B$3,0))-MAX(AB499,요약!$B$3)+1),0)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IF(TRIM(B500&amp;"")="","",IFERROR(INDEX(코드표!$K$2:$K$101,MATCH(TRIM(B500&amp;""),코드표!$J$2:$J$101,0)),"⚠"&amp;TRIM(B500&amp;"")))</f>
        <v/>
      </c>
      <c r="S500" s="10">
        <f>IF(TRIM(K500&amp;"")="","",IFERROR(INDEX(코드표!$K$2:$K$101,MATCH(TRIM(K500&amp;""),코드표!$J$2:$J$101,0)),"⚠"&amp;TRIM(K500&amp;"")))</f>
        <v/>
      </c>
      <c r="T500" s="10">
        <f>IF(TRIM(M500&amp;"")="","",IF(ISNUMBER(MATCH(TRIM(M500&amp;""),코드표!$C$2:$C$11,0)),TRIM(M500&amp;""),"⚠"&amp;TRIM(M500&amp;"")))</f>
        <v/>
      </c>
      <c r="U500" s="10">
        <f>IF(TRIM(L500&amp;"")="","",IFERROR(INDEX(코드표!$G$2:$G$101,MATCH(TRIM(L500&amp;""),코드표!$F$2:$F$101,0)),"⚠"&amp;TRIM(L500&amp;"")))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IF(ISNUMBER(H500),MAX(0,MIN(IF(ISNUMBER(I500),I500,EOMONTH(요약!$B$3,0)),EOMONTH(요약!$B$3,0))-MAX(H500,요약!$B$3)+1),0)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IF(AND(ISNUMBER(AB500),ISNUMBER(AC500)),MAX(0,MIN(AC500,EOMONTH(요약!$B$3,0))-MAX(AB500,요약!$B$3)+1),0)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IF(TRIM(B501&amp;"")="","",IFERROR(INDEX(코드표!$K$2:$K$101,MATCH(TRIM(B501&amp;""),코드표!$J$2:$J$101,0)),"⚠"&amp;TRIM(B501&amp;"")))</f>
        <v/>
      </c>
      <c r="S501" s="10">
        <f>IF(TRIM(K501&amp;"")="","",IFERROR(INDEX(코드표!$K$2:$K$101,MATCH(TRIM(K501&amp;""),코드표!$J$2:$J$101,0)),"⚠"&amp;TRIM(K501&amp;"")))</f>
        <v/>
      </c>
      <c r="T501" s="10">
        <f>IF(TRIM(M501&amp;"")="","",IF(ISNUMBER(MATCH(TRIM(M501&amp;""),코드표!$C$2:$C$11,0)),TRIM(M501&amp;""),"⚠"&amp;TRIM(M501&amp;"")))</f>
        <v/>
      </c>
      <c r="U501" s="10">
        <f>IF(TRIM(L501&amp;"")="","",IFERROR(INDEX(코드표!$G$2:$G$101,MATCH(TRIM(L501&amp;""),코드표!$F$2:$F$101,0)),"⚠"&amp;TRIM(L501&amp;"")))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IF(ISNUMBER(H501),MAX(0,MIN(IF(ISNUMBER(I501),I501,EOMONTH(요약!$B$3,0)),EOMONTH(요약!$B$3,0))-MAX(H501,요약!$B$3)+1),0)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IF(AND(ISNUMBER(AB501),ISNUMBER(AC501)),MAX(0,MIN(AC501,EOMONTH(요약!$B$3,0))-MAX(AB501,요약!$B$3)+1),0)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IF(TRIM(B502&amp;"")="","",IFERROR(INDEX(코드표!$K$2:$K$101,MATCH(TRIM(B502&amp;""),코드표!$J$2:$J$101,0)),"⚠"&amp;TRIM(B502&amp;"")))</f>
        <v/>
      </c>
      <c r="S502" s="10">
        <f>IF(TRIM(K502&amp;"")="","",IFERROR(INDEX(코드표!$K$2:$K$101,MATCH(TRIM(K502&amp;""),코드표!$J$2:$J$101,0)),"⚠"&amp;TRIM(K502&amp;"")))</f>
        <v/>
      </c>
      <c r="T502" s="10">
        <f>IF(TRIM(M502&amp;"")="","",IF(ISNUMBER(MATCH(TRIM(M502&amp;""),코드표!$C$2:$C$11,0)),TRIM(M502&amp;""),"⚠"&amp;TRIM(M502&amp;"")))</f>
        <v/>
      </c>
      <c r="U502" s="10">
        <f>IF(TRIM(L502&amp;"")="","",IFERROR(INDEX(코드표!$G$2:$G$101,MATCH(TRIM(L502&amp;""),코드표!$F$2:$F$101,0)),"⚠"&amp;TRIM(L502&amp;"")))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IF(ISNUMBER(H502),MAX(0,MIN(IF(ISNUMBER(I502),I502,EOMONTH(요약!$B$3,0)),EOMONTH(요약!$B$3,0))-MAX(H502,요약!$B$3)+1),0)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IF(AND(ISNUMBER(AB502),ISNUMBER(AC502)),MAX(0,MIN(AC502,EOMONTH(요약!$B$3,0))-MAX(AB502,요약!$B$3)+1),0)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IF(TRIM(B503&amp;"")="","",IFERROR(INDEX(코드표!$K$2:$K$101,MATCH(TRIM(B503&amp;""),코드표!$J$2:$J$101,0)),"⚠"&amp;TRIM(B503&amp;"")))</f>
        <v/>
      </c>
      <c r="S503" s="10">
        <f>IF(TRIM(K503&amp;"")="","",IFERROR(INDEX(코드표!$K$2:$K$101,MATCH(TRIM(K503&amp;""),코드표!$J$2:$J$101,0)),"⚠"&amp;TRIM(K503&amp;"")))</f>
        <v/>
      </c>
      <c r="T503" s="10">
        <f>IF(TRIM(M503&amp;"")="","",IF(ISNUMBER(MATCH(TRIM(M503&amp;""),코드표!$C$2:$C$11,0)),TRIM(M503&amp;""),"⚠"&amp;TRIM(M503&amp;"")))</f>
        <v/>
      </c>
      <c r="U503" s="10">
        <f>IF(TRIM(L503&amp;"")="","",IFERROR(INDEX(코드표!$G$2:$G$101,MATCH(TRIM(L503&amp;""),코드표!$F$2:$F$101,0)),"⚠"&amp;TRIM(L503&amp;"")))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IF(ISNUMBER(H503),MAX(0,MIN(IF(ISNUMBER(I503),I503,EOMONTH(요약!$B$3,0)),EOMONTH(요약!$B$3,0))-MAX(H503,요약!$B$3)+1),0)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IF(AND(ISNUMBER(AB503),ISNUMBER(AC503)),MAX(0,MIN(AC503,EOMONTH(요약!$B$3,0))-MAX(AB503,요약!$B$3)+1),0)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IF(TRIM(B504&amp;"")="","",IFERROR(INDEX(코드표!$K$2:$K$101,MATCH(TRIM(B504&amp;""),코드표!$J$2:$J$101,0)),"⚠"&amp;TRIM(B504&amp;"")))</f>
        <v/>
      </c>
      <c r="S504" s="10">
        <f>IF(TRIM(K504&amp;"")="","",IFERROR(INDEX(코드표!$K$2:$K$101,MATCH(TRIM(K504&amp;""),코드표!$J$2:$J$101,0)),"⚠"&amp;TRIM(K504&amp;"")))</f>
        <v/>
      </c>
      <c r="T504" s="10">
        <f>IF(TRIM(M504&amp;"")="","",IF(ISNUMBER(MATCH(TRIM(M504&amp;""),코드표!$C$2:$C$11,0)),TRIM(M504&amp;""),"⚠"&amp;TRIM(M504&amp;"")))</f>
        <v/>
      </c>
      <c r="U504" s="10">
        <f>IF(TRIM(L504&amp;"")="","",IFERROR(INDEX(코드표!$G$2:$G$101,MATCH(TRIM(L504&amp;""),코드표!$F$2:$F$101,0)),"⚠"&amp;TRIM(L504&amp;"")))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IF(ISNUMBER(H504),MAX(0,MIN(IF(ISNUMBER(I504),I504,EOMONTH(요약!$B$3,0)),EOMONTH(요약!$B$3,0))-MAX(H504,요약!$B$3)+1),0)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IF(AND(ISNUMBER(AB504),ISNUMBER(AC504)),MAX(0,MIN(AC504,EOMONTH(요약!$B$3,0))-MAX(AB504,요약!$B$3)+1),0)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IF(TRIM(B505&amp;"")="","",IFERROR(INDEX(코드표!$K$2:$K$101,MATCH(TRIM(B505&amp;""),코드표!$J$2:$J$101,0)),"⚠"&amp;TRIM(B505&amp;"")))</f>
        <v/>
      </c>
      <c r="S505" s="10">
        <f>IF(TRIM(K505&amp;"")="","",IFERROR(INDEX(코드표!$K$2:$K$101,MATCH(TRIM(K505&amp;""),코드표!$J$2:$J$101,0)),"⚠"&amp;TRIM(K505&amp;"")))</f>
        <v/>
      </c>
      <c r="T505" s="10">
        <f>IF(TRIM(M505&amp;"")="","",IF(ISNUMBER(MATCH(TRIM(M505&amp;""),코드표!$C$2:$C$11,0)),TRIM(M505&amp;""),"⚠"&amp;TRIM(M505&amp;"")))</f>
        <v/>
      </c>
      <c r="U505" s="10">
        <f>IF(TRIM(L505&amp;"")="","",IFERROR(INDEX(코드표!$G$2:$G$101,MATCH(TRIM(L505&amp;""),코드표!$F$2:$F$101,0)),"⚠"&amp;TRIM(L505&amp;"")))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IF(ISNUMBER(H505),MAX(0,MIN(IF(ISNUMBER(I505),I505,EOMONTH(요약!$B$3,0)),EOMONTH(요약!$B$3,0))-MAX(H505,요약!$B$3)+1),0)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IF(AND(ISNUMBER(AB505),ISNUMBER(AC505)),MAX(0,MIN(AC505,EOMONTH(요약!$B$3,0))-MAX(AB505,요약!$B$3)+1),0)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IF(TRIM(B506&amp;"")="","",IFERROR(INDEX(코드표!$K$2:$K$101,MATCH(TRIM(B506&amp;""),코드표!$J$2:$J$101,0)),"⚠"&amp;TRIM(B506&amp;"")))</f>
        <v/>
      </c>
      <c r="S506" s="10">
        <f>IF(TRIM(K506&amp;"")="","",IFERROR(INDEX(코드표!$K$2:$K$101,MATCH(TRIM(K506&amp;""),코드표!$J$2:$J$101,0)),"⚠"&amp;TRIM(K506&amp;"")))</f>
        <v/>
      </c>
      <c r="T506" s="10">
        <f>IF(TRIM(M506&amp;"")="","",IF(ISNUMBER(MATCH(TRIM(M506&amp;""),코드표!$C$2:$C$11,0)),TRIM(M506&amp;""),"⚠"&amp;TRIM(M506&amp;"")))</f>
        <v/>
      </c>
      <c r="U506" s="10">
        <f>IF(TRIM(L506&amp;"")="","",IFERROR(INDEX(코드표!$G$2:$G$101,MATCH(TRIM(L506&amp;""),코드표!$F$2:$F$101,0)),"⚠"&amp;TRIM(L506&amp;"")))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IF(ISNUMBER(H506),MAX(0,MIN(IF(ISNUMBER(I506),I506,EOMONTH(요약!$B$3,0)),EOMONTH(요약!$B$3,0))-MAX(H506,요약!$B$3)+1),0)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IF(AND(ISNUMBER(AB506),ISNUMBER(AC506)),MAX(0,MIN(AC506,EOMONTH(요약!$B$3,0))-MAX(AB506,요약!$B$3)+1),0)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IF(TRIM(B507&amp;"")="","",IFERROR(INDEX(코드표!$K$2:$K$101,MATCH(TRIM(B507&amp;""),코드표!$J$2:$J$101,0)),"⚠"&amp;TRIM(B507&amp;"")))</f>
        <v/>
      </c>
      <c r="S507" s="10">
        <f>IF(TRIM(K507&amp;"")="","",IFERROR(INDEX(코드표!$K$2:$K$101,MATCH(TRIM(K507&amp;""),코드표!$J$2:$J$101,0)),"⚠"&amp;TRIM(K507&amp;"")))</f>
        <v/>
      </c>
      <c r="T507" s="10">
        <f>IF(TRIM(M507&amp;"")="","",IF(ISNUMBER(MATCH(TRIM(M507&amp;""),코드표!$C$2:$C$11,0)),TRIM(M507&amp;""),"⚠"&amp;TRIM(M507&amp;"")))</f>
        <v/>
      </c>
      <c r="U507" s="10">
        <f>IF(TRIM(L507&amp;"")="","",IFERROR(INDEX(코드표!$G$2:$G$101,MATCH(TRIM(L507&amp;""),코드표!$F$2:$F$101,0)),"⚠"&amp;TRIM(L507&amp;"")))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IF(ISNUMBER(H507),MAX(0,MIN(IF(ISNUMBER(I507),I507,EOMONTH(요약!$B$3,0)),EOMONTH(요약!$B$3,0))-MAX(H507,요약!$B$3)+1),0)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IF(AND(ISNUMBER(AB507),ISNUMBER(AC507)),MAX(0,MIN(AC507,EOMONTH(요약!$B$3,0))-MAX(AB507,요약!$B$3)+1),0)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IF(TRIM(B508&amp;"")="","",IFERROR(INDEX(코드표!$K$2:$K$101,MATCH(TRIM(B508&amp;""),코드표!$J$2:$J$101,0)),"⚠"&amp;TRIM(B508&amp;"")))</f>
        <v/>
      </c>
      <c r="S508" s="10">
        <f>IF(TRIM(K508&amp;"")="","",IFERROR(INDEX(코드표!$K$2:$K$101,MATCH(TRIM(K508&amp;""),코드표!$J$2:$J$101,0)),"⚠"&amp;TRIM(K508&amp;"")))</f>
        <v/>
      </c>
      <c r="T508" s="10">
        <f>IF(TRIM(M508&amp;"")="","",IF(ISNUMBER(MATCH(TRIM(M508&amp;""),코드표!$C$2:$C$11,0)),TRIM(M508&amp;""),"⚠"&amp;TRIM(M508&amp;"")))</f>
        <v/>
      </c>
      <c r="U508" s="10">
        <f>IF(TRIM(L508&amp;"")="","",IFERROR(INDEX(코드표!$G$2:$G$101,MATCH(TRIM(L508&amp;""),코드표!$F$2:$F$101,0)),"⚠"&amp;TRIM(L508&amp;"")))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IF(ISNUMBER(H508),MAX(0,MIN(IF(ISNUMBER(I508),I508,EOMONTH(요약!$B$3,0)),EOMONTH(요약!$B$3,0))-MAX(H508,요약!$B$3)+1),0)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IF(AND(ISNUMBER(AB508),ISNUMBER(AC508)),MAX(0,MIN(AC508,EOMONTH(요약!$B$3,0))-MAX(AB508,요약!$B$3)+1),0)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IF(TRIM(B509&amp;"")="","",IFERROR(INDEX(코드표!$K$2:$K$101,MATCH(TRIM(B509&amp;""),코드표!$J$2:$J$101,0)),"⚠"&amp;TRIM(B509&amp;"")))</f>
        <v/>
      </c>
      <c r="S509" s="10">
        <f>IF(TRIM(K509&amp;"")="","",IFERROR(INDEX(코드표!$K$2:$K$101,MATCH(TRIM(K509&amp;""),코드표!$J$2:$J$101,0)),"⚠"&amp;TRIM(K509&amp;"")))</f>
        <v/>
      </c>
      <c r="T509" s="10">
        <f>IF(TRIM(M509&amp;"")="","",IF(ISNUMBER(MATCH(TRIM(M509&amp;""),코드표!$C$2:$C$11,0)),TRIM(M509&amp;""),"⚠"&amp;TRIM(M509&amp;"")))</f>
        <v/>
      </c>
      <c r="U509" s="10">
        <f>IF(TRIM(L509&amp;"")="","",IFERROR(INDEX(코드표!$G$2:$G$101,MATCH(TRIM(L509&amp;""),코드표!$F$2:$F$101,0)),"⚠"&amp;TRIM(L509&amp;"")))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IF(ISNUMBER(H509),MAX(0,MIN(IF(ISNUMBER(I509),I509,EOMONTH(요약!$B$3,0)),EOMONTH(요약!$B$3,0))-MAX(H509,요약!$B$3)+1),0)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IF(AND(ISNUMBER(AB509),ISNUMBER(AC509)),MAX(0,MIN(AC509,EOMONTH(요약!$B$3,0))-MAX(AB509,요약!$B$3)+1),0)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IF(TRIM(B510&amp;"")="","",IFERROR(INDEX(코드표!$K$2:$K$101,MATCH(TRIM(B510&amp;""),코드표!$J$2:$J$101,0)),"⚠"&amp;TRIM(B510&amp;"")))</f>
        <v/>
      </c>
      <c r="S510" s="10">
        <f>IF(TRIM(K510&amp;"")="","",IFERROR(INDEX(코드표!$K$2:$K$101,MATCH(TRIM(K510&amp;""),코드표!$J$2:$J$101,0)),"⚠"&amp;TRIM(K510&amp;"")))</f>
        <v/>
      </c>
      <c r="T510" s="10">
        <f>IF(TRIM(M510&amp;"")="","",IF(ISNUMBER(MATCH(TRIM(M510&amp;""),코드표!$C$2:$C$11,0)),TRIM(M510&amp;""),"⚠"&amp;TRIM(M510&amp;"")))</f>
        <v/>
      </c>
      <c r="U510" s="10">
        <f>IF(TRIM(L510&amp;"")="","",IFERROR(INDEX(코드표!$G$2:$G$101,MATCH(TRIM(L510&amp;""),코드표!$F$2:$F$101,0)),"⚠"&amp;TRIM(L510&amp;"")))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IF(ISNUMBER(H510),MAX(0,MIN(IF(ISNUMBER(I510),I510,EOMONTH(요약!$B$3,0)),EOMONTH(요약!$B$3,0))-MAX(H510,요약!$B$3)+1),0)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IF(AND(ISNUMBER(AB510),ISNUMBER(AC510)),MAX(0,MIN(AC510,EOMONTH(요약!$B$3,0))-MAX(AB510,요약!$B$3)+1),0)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IF(TRIM(B511&amp;"")="","",IFERROR(INDEX(코드표!$K$2:$K$101,MATCH(TRIM(B511&amp;""),코드표!$J$2:$J$101,0)),"⚠"&amp;TRIM(B511&amp;"")))</f>
        <v/>
      </c>
      <c r="S511" s="10">
        <f>IF(TRIM(K511&amp;"")="","",IFERROR(INDEX(코드표!$K$2:$K$101,MATCH(TRIM(K511&amp;""),코드표!$J$2:$J$101,0)),"⚠"&amp;TRIM(K511&amp;"")))</f>
        <v/>
      </c>
      <c r="T511" s="10">
        <f>IF(TRIM(M511&amp;"")="","",IF(ISNUMBER(MATCH(TRIM(M511&amp;""),코드표!$C$2:$C$11,0)),TRIM(M511&amp;""),"⚠"&amp;TRIM(M511&amp;"")))</f>
        <v/>
      </c>
      <c r="U511" s="10">
        <f>IF(TRIM(L511&amp;"")="","",IFERROR(INDEX(코드표!$G$2:$G$101,MATCH(TRIM(L511&amp;""),코드표!$F$2:$F$101,0)),"⚠"&amp;TRIM(L511&amp;"")))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IF(ISNUMBER(H511),MAX(0,MIN(IF(ISNUMBER(I511),I511,EOMONTH(요약!$B$3,0)),EOMONTH(요약!$B$3,0))-MAX(H511,요약!$B$3)+1),0)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IF(AND(ISNUMBER(AB511),ISNUMBER(AC511)),MAX(0,MIN(AC511,EOMONTH(요약!$B$3,0))-MAX(AB511,요약!$B$3)+1),0)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IF(TRIM(B512&amp;"")="","",IFERROR(INDEX(코드표!$K$2:$K$101,MATCH(TRIM(B512&amp;""),코드표!$J$2:$J$101,0)),"⚠"&amp;TRIM(B512&amp;"")))</f>
        <v/>
      </c>
      <c r="S512" s="10">
        <f>IF(TRIM(K512&amp;"")="","",IFERROR(INDEX(코드표!$K$2:$K$101,MATCH(TRIM(K512&amp;""),코드표!$J$2:$J$101,0)),"⚠"&amp;TRIM(K512&amp;"")))</f>
        <v/>
      </c>
      <c r="T512" s="10">
        <f>IF(TRIM(M512&amp;"")="","",IF(ISNUMBER(MATCH(TRIM(M512&amp;""),코드표!$C$2:$C$11,0)),TRIM(M512&amp;""),"⚠"&amp;TRIM(M512&amp;"")))</f>
        <v/>
      </c>
      <c r="U512" s="10">
        <f>IF(TRIM(L512&amp;"")="","",IFERROR(INDEX(코드표!$G$2:$G$101,MATCH(TRIM(L512&amp;""),코드표!$F$2:$F$101,0)),"⚠"&amp;TRIM(L512&amp;"")))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IF(ISNUMBER(H512),MAX(0,MIN(IF(ISNUMBER(I512),I512,EOMONTH(요약!$B$3,0)),EOMONTH(요약!$B$3,0))-MAX(H512,요약!$B$3)+1),0)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IF(AND(ISNUMBER(AB512),ISNUMBER(AC512)),MAX(0,MIN(AC512,EOMONTH(요약!$B$3,0))-MAX(AB512,요약!$B$3)+1),0)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IF(TRIM(B513&amp;"")="","",IFERROR(INDEX(코드표!$K$2:$K$101,MATCH(TRIM(B513&amp;""),코드표!$J$2:$J$101,0)),"⚠"&amp;TRIM(B513&amp;"")))</f>
        <v/>
      </c>
      <c r="S513" s="10">
        <f>IF(TRIM(K513&amp;"")="","",IFERROR(INDEX(코드표!$K$2:$K$101,MATCH(TRIM(K513&amp;""),코드표!$J$2:$J$101,0)),"⚠"&amp;TRIM(K513&amp;"")))</f>
        <v/>
      </c>
      <c r="T513" s="10">
        <f>IF(TRIM(M513&amp;"")="","",IF(ISNUMBER(MATCH(TRIM(M513&amp;""),코드표!$C$2:$C$11,0)),TRIM(M513&amp;""),"⚠"&amp;TRIM(M513&amp;"")))</f>
        <v/>
      </c>
      <c r="U513" s="10">
        <f>IF(TRIM(L513&amp;"")="","",IFERROR(INDEX(코드표!$G$2:$G$101,MATCH(TRIM(L513&amp;""),코드표!$F$2:$F$101,0)),"⚠"&amp;TRIM(L513&amp;"")))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IF(ISNUMBER(H513),MAX(0,MIN(IF(ISNUMBER(I513),I513,EOMONTH(요약!$B$3,0)),EOMONTH(요약!$B$3,0))-MAX(H513,요약!$B$3)+1),0)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IF(AND(ISNUMBER(AB513),ISNUMBER(AC513)),MAX(0,MIN(AC513,EOMONTH(요약!$B$3,0))-MAX(AB513,요약!$B$3)+1),0)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IF(TRIM(B514&amp;"")="","",IFERROR(INDEX(코드표!$K$2:$K$101,MATCH(TRIM(B514&amp;""),코드표!$J$2:$J$101,0)),"⚠"&amp;TRIM(B514&amp;"")))</f>
        <v/>
      </c>
      <c r="S514" s="10">
        <f>IF(TRIM(K514&amp;"")="","",IFERROR(INDEX(코드표!$K$2:$K$101,MATCH(TRIM(K514&amp;""),코드표!$J$2:$J$101,0)),"⚠"&amp;TRIM(K514&amp;"")))</f>
        <v/>
      </c>
      <c r="T514" s="10">
        <f>IF(TRIM(M514&amp;"")="","",IF(ISNUMBER(MATCH(TRIM(M514&amp;""),코드표!$C$2:$C$11,0)),TRIM(M514&amp;""),"⚠"&amp;TRIM(M514&amp;"")))</f>
        <v/>
      </c>
      <c r="U514" s="10">
        <f>IF(TRIM(L514&amp;"")="","",IFERROR(INDEX(코드표!$G$2:$G$101,MATCH(TRIM(L514&amp;""),코드표!$F$2:$F$101,0)),"⚠"&amp;TRIM(L514&amp;"")))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IF(ISNUMBER(H514),MAX(0,MIN(IF(ISNUMBER(I514),I514,EOMONTH(요약!$B$3,0)),EOMONTH(요약!$B$3,0))-MAX(H514,요약!$B$3)+1),0)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IF(AND(ISNUMBER(AB514),ISNUMBER(AC514)),MAX(0,MIN(AC514,EOMONTH(요약!$B$3,0))-MAX(AB514,요약!$B$3)+1),0)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IF(TRIM(B515&amp;"")="","",IFERROR(INDEX(코드표!$K$2:$K$101,MATCH(TRIM(B515&amp;""),코드표!$J$2:$J$101,0)),"⚠"&amp;TRIM(B515&amp;"")))</f>
        <v/>
      </c>
      <c r="S515" s="10">
        <f>IF(TRIM(K515&amp;"")="","",IFERROR(INDEX(코드표!$K$2:$K$101,MATCH(TRIM(K515&amp;""),코드표!$J$2:$J$101,0)),"⚠"&amp;TRIM(K515&amp;"")))</f>
        <v/>
      </c>
      <c r="T515" s="10">
        <f>IF(TRIM(M515&amp;"")="","",IF(ISNUMBER(MATCH(TRIM(M515&amp;""),코드표!$C$2:$C$11,0)),TRIM(M515&amp;""),"⚠"&amp;TRIM(M515&amp;"")))</f>
        <v/>
      </c>
      <c r="U515" s="10">
        <f>IF(TRIM(L515&amp;"")="","",IFERROR(INDEX(코드표!$G$2:$G$101,MATCH(TRIM(L515&amp;""),코드표!$F$2:$F$101,0)),"⚠"&amp;TRIM(L515&amp;"")))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IF(ISNUMBER(H515),MAX(0,MIN(IF(ISNUMBER(I515),I515,EOMONTH(요약!$B$3,0)),EOMONTH(요약!$B$3,0))-MAX(H515,요약!$B$3)+1),0)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IF(AND(ISNUMBER(AB515),ISNUMBER(AC515)),MAX(0,MIN(AC515,EOMONTH(요약!$B$3,0))-MAX(AB515,요약!$B$3)+1),0)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IF(TRIM(B516&amp;"")="","",IFERROR(INDEX(코드표!$K$2:$K$101,MATCH(TRIM(B516&amp;""),코드표!$J$2:$J$101,0)),"⚠"&amp;TRIM(B516&amp;"")))</f>
        <v/>
      </c>
      <c r="S516" s="10">
        <f>IF(TRIM(K516&amp;"")="","",IFERROR(INDEX(코드표!$K$2:$K$101,MATCH(TRIM(K516&amp;""),코드표!$J$2:$J$101,0)),"⚠"&amp;TRIM(K516&amp;"")))</f>
        <v/>
      </c>
      <c r="T516" s="10">
        <f>IF(TRIM(M516&amp;"")="","",IF(ISNUMBER(MATCH(TRIM(M516&amp;""),코드표!$C$2:$C$11,0)),TRIM(M516&amp;""),"⚠"&amp;TRIM(M516&amp;"")))</f>
        <v/>
      </c>
      <c r="U516" s="10">
        <f>IF(TRIM(L516&amp;"")="","",IFERROR(INDEX(코드표!$G$2:$G$101,MATCH(TRIM(L516&amp;""),코드표!$F$2:$F$101,0)),"⚠"&amp;TRIM(L516&amp;"")))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IF(ISNUMBER(H516),MAX(0,MIN(IF(ISNUMBER(I516),I516,EOMONTH(요약!$B$3,0)),EOMONTH(요약!$B$3,0))-MAX(H516,요약!$B$3)+1),0)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IF(AND(ISNUMBER(AB516),ISNUMBER(AC516)),MAX(0,MIN(AC516,EOMONTH(요약!$B$3,0))-MAX(AB516,요약!$B$3)+1),0)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IF(TRIM(B517&amp;"")="","",IFERROR(INDEX(코드표!$K$2:$K$101,MATCH(TRIM(B517&amp;""),코드표!$J$2:$J$101,0)),"⚠"&amp;TRIM(B517&amp;"")))</f>
        <v/>
      </c>
      <c r="S517" s="10">
        <f>IF(TRIM(K517&amp;"")="","",IFERROR(INDEX(코드표!$K$2:$K$101,MATCH(TRIM(K517&amp;""),코드표!$J$2:$J$101,0)),"⚠"&amp;TRIM(K517&amp;"")))</f>
        <v/>
      </c>
      <c r="T517" s="10">
        <f>IF(TRIM(M517&amp;"")="","",IF(ISNUMBER(MATCH(TRIM(M517&amp;""),코드표!$C$2:$C$11,0)),TRIM(M517&amp;""),"⚠"&amp;TRIM(M517&amp;"")))</f>
        <v/>
      </c>
      <c r="U517" s="10">
        <f>IF(TRIM(L517&amp;"")="","",IFERROR(INDEX(코드표!$G$2:$G$101,MATCH(TRIM(L517&amp;""),코드표!$F$2:$F$101,0)),"⚠"&amp;TRIM(L517&amp;"")))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IF(ISNUMBER(H517),MAX(0,MIN(IF(ISNUMBER(I517),I517,EOMONTH(요약!$B$3,0)),EOMONTH(요약!$B$3,0))-MAX(H517,요약!$B$3)+1),0)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IF(AND(ISNUMBER(AB517),ISNUMBER(AC517)),MAX(0,MIN(AC517,EOMONTH(요약!$B$3,0))-MAX(AB517,요약!$B$3)+1),0)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IF(TRIM(B518&amp;"")="","",IFERROR(INDEX(코드표!$K$2:$K$101,MATCH(TRIM(B518&amp;""),코드표!$J$2:$J$101,0)),"⚠"&amp;TRIM(B518&amp;"")))</f>
        <v/>
      </c>
      <c r="S518" s="10">
        <f>IF(TRIM(K518&amp;"")="","",IFERROR(INDEX(코드표!$K$2:$K$101,MATCH(TRIM(K518&amp;""),코드표!$J$2:$J$101,0)),"⚠"&amp;TRIM(K518&amp;"")))</f>
        <v/>
      </c>
      <c r="T518" s="10">
        <f>IF(TRIM(M518&amp;"")="","",IF(ISNUMBER(MATCH(TRIM(M518&amp;""),코드표!$C$2:$C$11,0)),TRIM(M518&amp;""),"⚠"&amp;TRIM(M518&amp;"")))</f>
        <v/>
      </c>
      <c r="U518" s="10">
        <f>IF(TRIM(L518&amp;"")="","",IFERROR(INDEX(코드표!$G$2:$G$101,MATCH(TRIM(L518&amp;""),코드표!$F$2:$F$101,0)),"⚠"&amp;TRIM(L518&amp;"")))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IF(ISNUMBER(H518),MAX(0,MIN(IF(ISNUMBER(I518),I518,EOMONTH(요약!$B$3,0)),EOMONTH(요약!$B$3,0))-MAX(H518,요약!$B$3)+1),0)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IF(AND(ISNUMBER(AB518),ISNUMBER(AC518)),MAX(0,MIN(AC518,EOMONTH(요약!$B$3,0))-MAX(AB518,요약!$B$3)+1),0)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IF(TRIM(B519&amp;"")="","",IFERROR(INDEX(코드표!$K$2:$K$101,MATCH(TRIM(B519&amp;""),코드표!$J$2:$J$101,0)),"⚠"&amp;TRIM(B519&amp;"")))</f>
        <v/>
      </c>
      <c r="S519" s="10">
        <f>IF(TRIM(K519&amp;"")="","",IFERROR(INDEX(코드표!$K$2:$K$101,MATCH(TRIM(K519&amp;""),코드표!$J$2:$J$101,0)),"⚠"&amp;TRIM(K519&amp;"")))</f>
        <v/>
      </c>
      <c r="T519" s="10">
        <f>IF(TRIM(M519&amp;"")="","",IF(ISNUMBER(MATCH(TRIM(M519&amp;""),코드표!$C$2:$C$11,0)),TRIM(M519&amp;""),"⚠"&amp;TRIM(M519&amp;"")))</f>
        <v/>
      </c>
      <c r="U519" s="10">
        <f>IF(TRIM(L519&amp;"")="","",IFERROR(INDEX(코드표!$G$2:$G$101,MATCH(TRIM(L519&amp;""),코드표!$F$2:$F$101,0)),"⚠"&amp;TRIM(L519&amp;"")))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IF(ISNUMBER(H519),MAX(0,MIN(IF(ISNUMBER(I519),I519,EOMONTH(요약!$B$3,0)),EOMONTH(요약!$B$3,0))-MAX(H519,요약!$B$3)+1),0)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IF(AND(ISNUMBER(AB519),ISNUMBER(AC519)),MAX(0,MIN(AC519,EOMONTH(요약!$B$3,0))-MAX(AB519,요약!$B$3)+1),0)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IF(TRIM(B520&amp;"")="","",IFERROR(INDEX(코드표!$K$2:$K$101,MATCH(TRIM(B520&amp;""),코드표!$J$2:$J$101,0)),"⚠"&amp;TRIM(B520&amp;"")))</f>
        <v/>
      </c>
      <c r="S520" s="10">
        <f>IF(TRIM(K520&amp;"")="","",IFERROR(INDEX(코드표!$K$2:$K$101,MATCH(TRIM(K520&amp;""),코드표!$J$2:$J$101,0)),"⚠"&amp;TRIM(K520&amp;"")))</f>
        <v/>
      </c>
      <c r="T520" s="10">
        <f>IF(TRIM(M520&amp;"")="","",IF(ISNUMBER(MATCH(TRIM(M520&amp;""),코드표!$C$2:$C$11,0)),TRIM(M520&amp;""),"⚠"&amp;TRIM(M520&amp;"")))</f>
        <v/>
      </c>
      <c r="U520" s="10">
        <f>IF(TRIM(L520&amp;"")="","",IFERROR(INDEX(코드표!$G$2:$G$101,MATCH(TRIM(L520&amp;""),코드표!$F$2:$F$101,0)),"⚠"&amp;TRIM(L520&amp;"")))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IF(ISNUMBER(H520),MAX(0,MIN(IF(ISNUMBER(I520),I520,EOMONTH(요약!$B$3,0)),EOMONTH(요약!$B$3,0))-MAX(H520,요약!$B$3)+1),0)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IF(AND(ISNUMBER(AB520),ISNUMBER(AC520)),MAX(0,MIN(AC520,EOMONTH(요약!$B$3,0))-MAX(AB520,요약!$B$3)+1),0)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IF(TRIM(B521&amp;"")="","",IFERROR(INDEX(코드표!$K$2:$K$101,MATCH(TRIM(B521&amp;""),코드표!$J$2:$J$101,0)),"⚠"&amp;TRIM(B521&amp;"")))</f>
        <v/>
      </c>
      <c r="S521" s="10">
        <f>IF(TRIM(K521&amp;"")="","",IFERROR(INDEX(코드표!$K$2:$K$101,MATCH(TRIM(K521&amp;""),코드표!$J$2:$J$101,0)),"⚠"&amp;TRIM(K521&amp;"")))</f>
        <v/>
      </c>
      <c r="T521" s="10">
        <f>IF(TRIM(M521&amp;"")="","",IF(ISNUMBER(MATCH(TRIM(M521&amp;""),코드표!$C$2:$C$11,0)),TRIM(M521&amp;""),"⚠"&amp;TRIM(M521&amp;"")))</f>
        <v/>
      </c>
      <c r="U521" s="10">
        <f>IF(TRIM(L521&amp;"")="","",IFERROR(INDEX(코드표!$G$2:$G$101,MATCH(TRIM(L521&amp;""),코드표!$F$2:$F$101,0)),"⚠"&amp;TRIM(L521&amp;"")))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IF(ISNUMBER(H521),MAX(0,MIN(IF(ISNUMBER(I521),I521,EOMONTH(요약!$B$3,0)),EOMONTH(요약!$B$3,0))-MAX(H521,요약!$B$3)+1),0)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IF(AND(ISNUMBER(AB521),ISNUMBER(AC521)),MAX(0,MIN(AC521,EOMONTH(요약!$B$3,0))-MAX(AB521,요약!$B$3)+1),0)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IF(TRIM(B522&amp;"")="","",IFERROR(INDEX(코드표!$K$2:$K$101,MATCH(TRIM(B522&amp;""),코드표!$J$2:$J$101,0)),"⚠"&amp;TRIM(B522&amp;"")))</f>
        <v/>
      </c>
      <c r="S522" s="10">
        <f>IF(TRIM(K522&amp;"")="","",IFERROR(INDEX(코드표!$K$2:$K$101,MATCH(TRIM(K522&amp;""),코드표!$J$2:$J$101,0)),"⚠"&amp;TRIM(K522&amp;"")))</f>
        <v/>
      </c>
      <c r="T522" s="10">
        <f>IF(TRIM(M522&amp;"")="","",IF(ISNUMBER(MATCH(TRIM(M522&amp;""),코드표!$C$2:$C$11,0)),TRIM(M522&amp;""),"⚠"&amp;TRIM(M522&amp;"")))</f>
        <v/>
      </c>
      <c r="U522" s="10">
        <f>IF(TRIM(L522&amp;"")="","",IFERROR(INDEX(코드표!$G$2:$G$101,MATCH(TRIM(L522&amp;""),코드표!$F$2:$F$101,0)),"⚠"&amp;TRIM(L522&amp;"")))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IF(ISNUMBER(H522),MAX(0,MIN(IF(ISNUMBER(I522),I522,EOMONTH(요약!$B$3,0)),EOMONTH(요약!$B$3,0))-MAX(H522,요약!$B$3)+1),0)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IF(AND(ISNUMBER(AB522),ISNUMBER(AC522)),MAX(0,MIN(AC522,EOMONTH(요약!$B$3,0))-MAX(AB522,요약!$B$3)+1),0)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IF(TRIM(B523&amp;"")="","",IFERROR(INDEX(코드표!$K$2:$K$101,MATCH(TRIM(B523&amp;""),코드표!$J$2:$J$101,0)),"⚠"&amp;TRIM(B523&amp;"")))</f>
        <v/>
      </c>
      <c r="S523" s="10">
        <f>IF(TRIM(K523&amp;"")="","",IFERROR(INDEX(코드표!$K$2:$K$101,MATCH(TRIM(K523&amp;""),코드표!$J$2:$J$101,0)),"⚠"&amp;TRIM(K523&amp;"")))</f>
        <v/>
      </c>
      <c r="T523" s="10">
        <f>IF(TRIM(M523&amp;"")="","",IF(ISNUMBER(MATCH(TRIM(M523&amp;""),코드표!$C$2:$C$11,0)),TRIM(M523&amp;""),"⚠"&amp;TRIM(M523&amp;"")))</f>
        <v/>
      </c>
      <c r="U523" s="10">
        <f>IF(TRIM(L523&amp;"")="","",IFERROR(INDEX(코드표!$G$2:$G$101,MATCH(TRIM(L523&amp;""),코드표!$F$2:$F$101,0)),"⚠"&amp;TRIM(L523&amp;"")))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IF(ISNUMBER(H523),MAX(0,MIN(IF(ISNUMBER(I523),I523,EOMONTH(요약!$B$3,0)),EOMONTH(요약!$B$3,0))-MAX(H523,요약!$B$3)+1),0)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IF(AND(ISNUMBER(AB523),ISNUMBER(AC523)),MAX(0,MIN(AC523,EOMONTH(요약!$B$3,0))-MAX(AB523,요약!$B$3)+1),0)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IF(TRIM(B524&amp;"")="","",IFERROR(INDEX(코드표!$K$2:$K$101,MATCH(TRIM(B524&amp;""),코드표!$J$2:$J$101,0)),"⚠"&amp;TRIM(B524&amp;"")))</f>
        <v/>
      </c>
      <c r="S524" s="10">
        <f>IF(TRIM(K524&amp;"")="","",IFERROR(INDEX(코드표!$K$2:$K$101,MATCH(TRIM(K524&amp;""),코드표!$J$2:$J$101,0)),"⚠"&amp;TRIM(K524&amp;"")))</f>
        <v/>
      </c>
      <c r="T524" s="10">
        <f>IF(TRIM(M524&amp;"")="","",IF(ISNUMBER(MATCH(TRIM(M524&amp;""),코드표!$C$2:$C$11,0)),TRIM(M524&amp;""),"⚠"&amp;TRIM(M524&amp;"")))</f>
        <v/>
      </c>
      <c r="U524" s="10">
        <f>IF(TRIM(L524&amp;"")="","",IFERROR(INDEX(코드표!$G$2:$G$101,MATCH(TRIM(L524&amp;""),코드표!$F$2:$F$101,0)),"⚠"&amp;TRIM(L524&amp;"")))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IF(ISNUMBER(H524),MAX(0,MIN(IF(ISNUMBER(I524),I524,EOMONTH(요약!$B$3,0)),EOMONTH(요약!$B$3,0))-MAX(H524,요약!$B$3)+1),0)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IF(AND(ISNUMBER(AB524),ISNUMBER(AC524)),MAX(0,MIN(AC524,EOMONTH(요약!$B$3,0))-MAX(AB524,요약!$B$3)+1),0)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IF(TRIM(B525&amp;"")="","",IFERROR(INDEX(코드표!$K$2:$K$101,MATCH(TRIM(B525&amp;""),코드표!$J$2:$J$101,0)),"⚠"&amp;TRIM(B525&amp;"")))</f>
        <v/>
      </c>
      <c r="S525" s="10">
        <f>IF(TRIM(K525&amp;"")="","",IFERROR(INDEX(코드표!$K$2:$K$101,MATCH(TRIM(K525&amp;""),코드표!$J$2:$J$101,0)),"⚠"&amp;TRIM(K525&amp;"")))</f>
        <v/>
      </c>
      <c r="T525" s="10">
        <f>IF(TRIM(M525&amp;"")="","",IF(ISNUMBER(MATCH(TRIM(M525&amp;""),코드표!$C$2:$C$11,0)),TRIM(M525&amp;""),"⚠"&amp;TRIM(M525&amp;"")))</f>
        <v/>
      </c>
      <c r="U525" s="10">
        <f>IF(TRIM(L525&amp;"")="","",IFERROR(INDEX(코드표!$G$2:$G$101,MATCH(TRIM(L525&amp;""),코드표!$F$2:$F$101,0)),"⚠"&amp;TRIM(L525&amp;"")))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IF(ISNUMBER(H525),MAX(0,MIN(IF(ISNUMBER(I525),I525,EOMONTH(요약!$B$3,0)),EOMONTH(요약!$B$3,0))-MAX(H525,요약!$B$3)+1),0)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IF(AND(ISNUMBER(AB525),ISNUMBER(AC525)),MAX(0,MIN(AC525,EOMONTH(요약!$B$3,0))-MAX(AB525,요약!$B$3)+1),0)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IF(TRIM(B526&amp;"")="","",IFERROR(INDEX(코드표!$K$2:$K$101,MATCH(TRIM(B526&amp;""),코드표!$J$2:$J$101,0)),"⚠"&amp;TRIM(B526&amp;"")))</f>
        <v/>
      </c>
      <c r="S526" s="10">
        <f>IF(TRIM(K526&amp;"")="","",IFERROR(INDEX(코드표!$K$2:$K$101,MATCH(TRIM(K526&amp;""),코드표!$J$2:$J$101,0)),"⚠"&amp;TRIM(K526&amp;"")))</f>
        <v/>
      </c>
      <c r="T526" s="10">
        <f>IF(TRIM(M526&amp;"")="","",IF(ISNUMBER(MATCH(TRIM(M526&amp;""),코드표!$C$2:$C$11,0)),TRIM(M526&amp;""),"⚠"&amp;TRIM(M526&amp;"")))</f>
        <v/>
      </c>
      <c r="U526" s="10">
        <f>IF(TRIM(L526&amp;"")="","",IFERROR(INDEX(코드표!$G$2:$G$101,MATCH(TRIM(L526&amp;""),코드표!$F$2:$F$101,0)),"⚠"&amp;TRIM(L526&amp;"")))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IF(ISNUMBER(H526),MAX(0,MIN(IF(ISNUMBER(I526),I526,EOMONTH(요약!$B$3,0)),EOMONTH(요약!$B$3,0))-MAX(H526,요약!$B$3)+1),0)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IF(AND(ISNUMBER(AB526),ISNUMBER(AC526)),MAX(0,MIN(AC526,EOMONTH(요약!$B$3,0))-MAX(AB526,요약!$B$3)+1),0)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IF(TRIM(B527&amp;"")="","",IFERROR(INDEX(코드표!$K$2:$K$101,MATCH(TRIM(B527&amp;""),코드표!$J$2:$J$101,0)),"⚠"&amp;TRIM(B527&amp;"")))</f>
        <v/>
      </c>
      <c r="S527" s="10">
        <f>IF(TRIM(K527&amp;"")="","",IFERROR(INDEX(코드표!$K$2:$K$101,MATCH(TRIM(K527&amp;""),코드표!$J$2:$J$101,0)),"⚠"&amp;TRIM(K527&amp;"")))</f>
        <v/>
      </c>
      <c r="T527" s="10">
        <f>IF(TRIM(M527&amp;"")="","",IF(ISNUMBER(MATCH(TRIM(M527&amp;""),코드표!$C$2:$C$11,0)),TRIM(M527&amp;""),"⚠"&amp;TRIM(M527&amp;"")))</f>
        <v/>
      </c>
      <c r="U527" s="10">
        <f>IF(TRIM(L527&amp;"")="","",IFERROR(INDEX(코드표!$G$2:$G$101,MATCH(TRIM(L527&amp;""),코드표!$F$2:$F$101,0)),"⚠"&amp;TRIM(L527&amp;"")))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IF(ISNUMBER(H527),MAX(0,MIN(IF(ISNUMBER(I527),I527,EOMONTH(요약!$B$3,0)),EOMONTH(요약!$B$3,0))-MAX(H527,요약!$B$3)+1),0)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IF(AND(ISNUMBER(AB527),ISNUMBER(AC527)),MAX(0,MIN(AC527,EOMONTH(요약!$B$3,0))-MAX(AB527,요약!$B$3)+1),0)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IF(TRIM(B528&amp;"")="","",IFERROR(INDEX(코드표!$K$2:$K$101,MATCH(TRIM(B528&amp;""),코드표!$J$2:$J$101,0)),"⚠"&amp;TRIM(B528&amp;"")))</f>
        <v/>
      </c>
      <c r="S528" s="10">
        <f>IF(TRIM(K528&amp;"")="","",IFERROR(INDEX(코드표!$K$2:$K$101,MATCH(TRIM(K528&amp;""),코드표!$J$2:$J$101,0)),"⚠"&amp;TRIM(K528&amp;"")))</f>
        <v/>
      </c>
      <c r="T528" s="10">
        <f>IF(TRIM(M528&amp;"")="","",IF(ISNUMBER(MATCH(TRIM(M528&amp;""),코드표!$C$2:$C$11,0)),TRIM(M528&amp;""),"⚠"&amp;TRIM(M528&amp;"")))</f>
        <v/>
      </c>
      <c r="U528" s="10">
        <f>IF(TRIM(L528&amp;"")="","",IFERROR(INDEX(코드표!$G$2:$G$101,MATCH(TRIM(L528&amp;""),코드표!$F$2:$F$101,0)),"⚠"&amp;TRIM(L528&amp;"")))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IF(ISNUMBER(H528),MAX(0,MIN(IF(ISNUMBER(I528),I528,EOMONTH(요약!$B$3,0)),EOMONTH(요약!$B$3,0))-MAX(H528,요약!$B$3)+1),0)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IF(AND(ISNUMBER(AB528),ISNUMBER(AC528)),MAX(0,MIN(AC528,EOMONTH(요약!$B$3,0))-MAX(AB528,요약!$B$3)+1),0)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IF(TRIM(B529&amp;"")="","",IFERROR(INDEX(코드표!$K$2:$K$101,MATCH(TRIM(B529&amp;""),코드표!$J$2:$J$101,0)),"⚠"&amp;TRIM(B529&amp;"")))</f>
        <v/>
      </c>
      <c r="S529" s="10">
        <f>IF(TRIM(K529&amp;"")="","",IFERROR(INDEX(코드표!$K$2:$K$101,MATCH(TRIM(K529&amp;""),코드표!$J$2:$J$101,0)),"⚠"&amp;TRIM(K529&amp;"")))</f>
        <v/>
      </c>
      <c r="T529" s="10">
        <f>IF(TRIM(M529&amp;"")="","",IF(ISNUMBER(MATCH(TRIM(M529&amp;""),코드표!$C$2:$C$11,0)),TRIM(M529&amp;""),"⚠"&amp;TRIM(M529&amp;"")))</f>
        <v/>
      </c>
      <c r="U529" s="10">
        <f>IF(TRIM(L529&amp;"")="","",IFERROR(INDEX(코드표!$G$2:$G$101,MATCH(TRIM(L529&amp;""),코드표!$F$2:$F$101,0)),"⚠"&amp;TRIM(L529&amp;"")))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IF(ISNUMBER(H529),MAX(0,MIN(IF(ISNUMBER(I529),I529,EOMONTH(요약!$B$3,0)),EOMONTH(요약!$B$3,0))-MAX(H529,요약!$B$3)+1),0)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IF(AND(ISNUMBER(AB529),ISNUMBER(AC529)),MAX(0,MIN(AC529,EOMONTH(요약!$B$3,0))-MAX(AB529,요약!$B$3)+1),0)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IF(TRIM(B530&amp;"")="","",IFERROR(INDEX(코드표!$K$2:$K$101,MATCH(TRIM(B530&amp;""),코드표!$J$2:$J$101,0)),"⚠"&amp;TRIM(B530&amp;"")))</f>
        <v/>
      </c>
      <c r="S530" s="10">
        <f>IF(TRIM(K530&amp;"")="","",IFERROR(INDEX(코드표!$K$2:$K$101,MATCH(TRIM(K530&amp;""),코드표!$J$2:$J$101,0)),"⚠"&amp;TRIM(K530&amp;"")))</f>
        <v/>
      </c>
      <c r="T530" s="10">
        <f>IF(TRIM(M530&amp;"")="","",IF(ISNUMBER(MATCH(TRIM(M530&amp;""),코드표!$C$2:$C$11,0)),TRIM(M530&amp;""),"⚠"&amp;TRIM(M530&amp;"")))</f>
        <v/>
      </c>
      <c r="U530" s="10">
        <f>IF(TRIM(L530&amp;"")="","",IFERROR(INDEX(코드표!$G$2:$G$101,MATCH(TRIM(L530&amp;""),코드표!$F$2:$F$101,0)),"⚠"&amp;TRIM(L530&amp;"")))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IF(ISNUMBER(H530),MAX(0,MIN(IF(ISNUMBER(I530),I530,EOMONTH(요약!$B$3,0)),EOMONTH(요약!$B$3,0))-MAX(H530,요약!$B$3)+1),0)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IF(AND(ISNUMBER(AB530),ISNUMBER(AC530)),MAX(0,MIN(AC530,EOMONTH(요약!$B$3,0))-MAX(AB530,요약!$B$3)+1),0)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IF(TRIM(B531&amp;"")="","",IFERROR(INDEX(코드표!$K$2:$K$101,MATCH(TRIM(B531&amp;""),코드표!$J$2:$J$101,0)),"⚠"&amp;TRIM(B531&amp;"")))</f>
        <v/>
      </c>
      <c r="S531" s="10">
        <f>IF(TRIM(K531&amp;"")="","",IFERROR(INDEX(코드표!$K$2:$K$101,MATCH(TRIM(K531&amp;""),코드표!$J$2:$J$101,0)),"⚠"&amp;TRIM(K531&amp;"")))</f>
        <v/>
      </c>
      <c r="T531" s="10">
        <f>IF(TRIM(M531&amp;"")="","",IF(ISNUMBER(MATCH(TRIM(M531&amp;""),코드표!$C$2:$C$11,0)),TRIM(M531&amp;""),"⚠"&amp;TRIM(M531&amp;"")))</f>
        <v/>
      </c>
      <c r="U531" s="10">
        <f>IF(TRIM(L531&amp;"")="","",IFERROR(INDEX(코드표!$G$2:$G$101,MATCH(TRIM(L531&amp;""),코드표!$F$2:$F$101,0)),"⚠"&amp;TRIM(L531&amp;"")))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IF(ISNUMBER(H531),MAX(0,MIN(IF(ISNUMBER(I531),I531,EOMONTH(요약!$B$3,0)),EOMONTH(요약!$B$3,0))-MAX(H531,요약!$B$3)+1),0)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IF(AND(ISNUMBER(AB531),ISNUMBER(AC531)),MAX(0,MIN(AC531,EOMONTH(요약!$B$3,0))-MAX(AB531,요약!$B$3)+1),0)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IF(TRIM(B532&amp;"")="","",IFERROR(INDEX(코드표!$K$2:$K$101,MATCH(TRIM(B532&amp;""),코드표!$J$2:$J$101,0)),"⚠"&amp;TRIM(B532&amp;"")))</f>
        <v/>
      </c>
      <c r="S532" s="10">
        <f>IF(TRIM(K532&amp;"")="","",IFERROR(INDEX(코드표!$K$2:$K$101,MATCH(TRIM(K532&amp;""),코드표!$J$2:$J$101,0)),"⚠"&amp;TRIM(K532&amp;"")))</f>
        <v/>
      </c>
      <c r="T532" s="10">
        <f>IF(TRIM(M532&amp;"")="","",IF(ISNUMBER(MATCH(TRIM(M532&amp;""),코드표!$C$2:$C$11,0)),TRIM(M532&amp;""),"⚠"&amp;TRIM(M532&amp;"")))</f>
        <v/>
      </c>
      <c r="U532" s="10">
        <f>IF(TRIM(L532&amp;"")="","",IFERROR(INDEX(코드표!$G$2:$G$101,MATCH(TRIM(L532&amp;""),코드표!$F$2:$F$101,0)),"⚠"&amp;TRIM(L532&amp;"")))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IF(ISNUMBER(H532),MAX(0,MIN(IF(ISNUMBER(I532),I532,EOMONTH(요약!$B$3,0)),EOMONTH(요약!$B$3,0))-MAX(H532,요약!$B$3)+1),0)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IF(AND(ISNUMBER(AB532),ISNUMBER(AC532)),MAX(0,MIN(AC532,EOMONTH(요약!$B$3,0))-MAX(AB532,요약!$B$3)+1),0)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IF(TRIM(B533&amp;"")="","",IFERROR(INDEX(코드표!$K$2:$K$101,MATCH(TRIM(B533&amp;""),코드표!$J$2:$J$101,0)),"⚠"&amp;TRIM(B533&amp;"")))</f>
        <v/>
      </c>
      <c r="S533" s="10">
        <f>IF(TRIM(K533&amp;"")="","",IFERROR(INDEX(코드표!$K$2:$K$101,MATCH(TRIM(K533&amp;""),코드표!$J$2:$J$101,0)),"⚠"&amp;TRIM(K533&amp;"")))</f>
        <v/>
      </c>
      <c r="T533" s="10">
        <f>IF(TRIM(M533&amp;"")="","",IF(ISNUMBER(MATCH(TRIM(M533&amp;""),코드표!$C$2:$C$11,0)),TRIM(M533&amp;""),"⚠"&amp;TRIM(M533&amp;"")))</f>
        <v/>
      </c>
      <c r="U533" s="10">
        <f>IF(TRIM(L533&amp;"")="","",IFERROR(INDEX(코드표!$G$2:$G$101,MATCH(TRIM(L533&amp;""),코드표!$F$2:$F$101,0)),"⚠"&amp;TRIM(L533&amp;"")))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IF(ISNUMBER(H533),MAX(0,MIN(IF(ISNUMBER(I533),I533,EOMONTH(요약!$B$3,0)),EOMONTH(요약!$B$3,0))-MAX(H533,요약!$B$3)+1),0)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IF(AND(ISNUMBER(AB533),ISNUMBER(AC533)),MAX(0,MIN(AC533,EOMONTH(요약!$B$3,0))-MAX(AB533,요약!$B$3)+1),0)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IF(TRIM(B534&amp;"")="","",IFERROR(INDEX(코드표!$K$2:$K$101,MATCH(TRIM(B534&amp;""),코드표!$J$2:$J$101,0)),"⚠"&amp;TRIM(B534&amp;"")))</f>
        <v/>
      </c>
      <c r="S534" s="10">
        <f>IF(TRIM(K534&amp;"")="","",IFERROR(INDEX(코드표!$K$2:$K$101,MATCH(TRIM(K534&amp;""),코드표!$J$2:$J$101,0)),"⚠"&amp;TRIM(K534&amp;"")))</f>
        <v/>
      </c>
      <c r="T534" s="10">
        <f>IF(TRIM(M534&amp;"")="","",IF(ISNUMBER(MATCH(TRIM(M534&amp;""),코드표!$C$2:$C$11,0)),TRIM(M534&amp;""),"⚠"&amp;TRIM(M534&amp;"")))</f>
        <v/>
      </c>
      <c r="U534" s="10">
        <f>IF(TRIM(L534&amp;"")="","",IFERROR(INDEX(코드표!$G$2:$G$101,MATCH(TRIM(L534&amp;""),코드표!$F$2:$F$101,0)),"⚠"&amp;TRIM(L534&amp;"")))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IF(ISNUMBER(H534),MAX(0,MIN(IF(ISNUMBER(I534),I534,EOMONTH(요약!$B$3,0)),EOMONTH(요약!$B$3,0))-MAX(H534,요약!$B$3)+1),0)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IF(AND(ISNUMBER(AB534),ISNUMBER(AC534)),MAX(0,MIN(AC534,EOMONTH(요약!$B$3,0))-MAX(AB534,요약!$B$3)+1),0)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IF(TRIM(B535&amp;"")="","",IFERROR(INDEX(코드표!$K$2:$K$101,MATCH(TRIM(B535&amp;""),코드표!$J$2:$J$101,0)),"⚠"&amp;TRIM(B535&amp;"")))</f>
        <v/>
      </c>
      <c r="S535" s="10">
        <f>IF(TRIM(K535&amp;"")="","",IFERROR(INDEX(코드표!$K$2:$K$101,MATCH(TRIM(K535&amp;""),코드표!$J$2:$J$101,0)),"⚠"&amp;TRIM(K535&amp;"")))</f>
        <v/>
      </c>
      <c r="T535" s="10">
        <f>IF(TRIM(M535&amp;"")="","",IF(ISNUMBER(MATCH(TRIM(M535&amp;""),코드표!$C$2:$C$11,0)),TRIM(M535&amp;""),"⚠"&amp;TRIM(M535&amp;"")))</f>
        <v/>
      </c>
      <c r="U535" s="10">
        <f>IF(TRIM(L535&amp;"")="","",IFERROR(INDEX(코드표!$G$2:$G$101,MATCH(TRIM(L535&amp;""),코드표!$F$2:$F$101,0)),"⚠"&amp;TRIM(L535&amp;"")))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IF(ISNUMBER(H535),MAX(0,MIN(IF(ISNUMBER(I535),I535,EOMONTH(요약!$B$3,0)),EOMONTH(요약!$B$3,0))-MAX(H535,요약!$B$3)+1),0)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IF(AND(ISNUMBER(AB535),ISNUMBER(AC535)),MAX(0,MIN(AC535,EOMONTH(요약!$B$3,0))-MAX(AB535,요약!$B$3)+1),0)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IF(TRIM(B536&amp;"")="","",IFERROR(INDEX(코드표!$K$2:$K$101,MATCH(TRIM(B536&amp;""),코드표!$J$2:$J$101,0)),"⚠"&amp;TRIM(B536&amp;"")))</f>
        <v/>
      </c>
      <c r="S536" s="10">
        <f>IF(TRIM(K536&amp;"")="","",IFERROR(INDEX(코드표!$K$2:$K$101,MATCH(TRIM(K536&amp;""),코드표!$J$2:$J$101,0)),"⚠"&amp;TRIM(K536&amp;"")))</f>
        <v/>
      </c>
      <c r="T536" s="10">
        <f>IF(TRIM(M536&amp;"")="","",IF(ISNUMBER(MATCH(TRIM(M536&amp;""),코드표!$C$2:$C$11,0)),TRIM(M536&amp;""),"⚠"&amp;TRIM(M536&amp;"")))</f>
        <v/>
      </c>
      <c r="U536" s="10">
        <f>IF(TRIM(L536&amp;"")="","",IFERROR(INDEX(코드표!$G$2:$G$101,MATCH(TRIM(L536&amp;""),코드표!$F$2:$F$101,0)),"⚠"&amp;TRIM(L536&amp;"")))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IF(ISNUMBER(H536),MAX(0,MIN(IF(ISNUMBER(I536),I536,EOMONTH(요약!$B$3,0)),EOMONTH(요약!$B$3,0))-MAX(H536,요약!$B$3)+1),0)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IF(AND(ISNUMBER(AB536),ISNUMBER(AC536)),MAX(0,MIN(AC536,EOMONTH(요약!$B$3,0))-MAX(AB536,요약!$B$3)+1),0)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IF(TRIM(B537&amp;"")="","",IFERROR(INDEX(코드표!$K$2:$K$101,MATCH(TRIM(B537&amp;""),코드표!$J$2:$J$101,0)),"⚠"&amp;TRIM(B537&amp;"")))</f>
        <v/>
      </c>
      <c r="S537" s="10">
        <f>IF(TRIM(K537&amp;"")="","",IFERROR(INDEX(코드표!$K$2:$K$101,MATCH(TRIM(K537&amp;""),코드표!$J$2:$J$101,0)),"⚠"&amp;TRIM(K537&amp;"")))</f>
        <v/>
      </c>
      <c r="T537" s="10">
        <f>IF(TRIM(M537&amp;"")="","",IF(ISNUMBER(MATCH(TRIM(M537&amp;""),코드표!$C$2:$C$11,0)),TRIM(M537&amp;""),"⚠"&amp;TRIM(M537&amp;"")))</f>
        <v/>
      </c>
      <c r="U537" s="10">
        <f>IF(TRIM(L537&amp;"")="","",IFERROR(INDEX(코드표!$G$2:$G$101,MATCH(TRIM(L537&amp;""),코드표!$F$2:$F$101,0)),"⚠"&amp;TRIM(L537&amp;"")))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IF(ISNUMBER(H537),MAX(0,MIN(IF(ISNUMBER(I537),I537,EOMONTH(요약!$B$3,0)),EOMONTH(요약!$B$3,0))-MAX(H537,요약!$B$3)+1),0)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IF(AND(ISNUMBER(AB537),ISNUMBER(AC537)),MAX(0,MIN(AC537,EOMONTH(요약!$B$3,0))-MAX(AB537,요약!$B$3)+1),0)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IF(TRIM(B538&amp;"")="","",IFERROR(INDEX(코드표!$K$2:$K$101,MATCH(TRIM(B538&amp;""),코드표!$J$2:$J$101,0)),"⚠"&amp;TRIM(B538&amp;"")))</f>
        <v/>
      </c>
      <c r="S538" s="10">
        <f>IF(TRIM(K538&amp;"")="","",IFERROR(INDEX(코드표!$K$2:$K$101,MATCH(TRIM(K538&amp;""),코드표!$J$2:$J$101,0)),"⚠"&amp;TRIM(K538&amp;"")))</f>
        <v/>
      </c>
      <c r="T538" s="10">
        <f>IF(TRIM(M538&amp;"")="","",IF(ISNUMBER(MATCH(TRIM(M538&amp;""),코드표!$C$2:$C$11,0)),TRIM(M538&amp;""),"⚠"&amp;TRIM(M538&amp;"")))</f>
        <v/>
      </c>
      <c r="U538" s="10">
        <f>IF(TRIM(L538&amp;"")="","",IFERROR(INDEX(코드표!$G$2:$G$101,MATCH(TRIM(L538&amp;""),코드표!$F$2:$F$101,0)),"⚠"&amp;TRIM(L538&amp;"")))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IF(ISNUMBER(H538),MAX(0,MIN(IF(ISNUMBER(I538),I538,EOMONTH(요약!$B$3,0)),EOMONTH(요약!$B$3,0))-MAX(H538,요약!$B$3)+1),0)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IF(AND(ISNUMBER(AB538),ISNUMBER(AC538)),MAX(0,MIN(AC538,EOMONTH(요약!$B$3,0))-MAX(AB538,요약!$B$3)+1),0)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IF(TRIM(B539&amp;"")="","",IFERROR(INDEX(코드표!$K$2:$K$101,MATCH(TRIM(B539&amp;""),코드표!$J$2:$J$101,0)),"⚠"&amp;TRIM(B539&amp;"")))</f>
        <v/>
      </c>
      <c r="S539" s="10">
        <f>IF(TRIM(K539&amp;"")="","",IFERROR(INDEX(코드표!$K$2:$K$101,MATCH(TRIM(K539&amp;""),코드표!$J$2:$J$101,0)),"⚠"&amp;TRIM(K539&amp;"")))</f>
        <v/>
      </c>
      <c r="T539" s="10">
        <f>IF(TRIM(M539&amp;"")="","",IF(ISNUMBER(MATCH(TRIM(M539&amp;""),코드표!$C$2:$C$11,0)),TRIM(M539&amp;""),"⚠"&amp;TRIM(M539&amp;"")))</f>
        <v/>
      </c>
      <c r="U539" s="10">
        <f>IF(TRIM(L539&amp;"")="","",IFERROR(INDEX(코드표!$G$2:$G$101,MATCH(TRIM(L539&amp;""),코드표!$F$2:$F$101,0)),"⚠"&amp;TRIM(L539&amp;"")))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IF(ISNUMBER(H539),MAX(0,MIN(IF(ISNUMBER(I539),I539,EOMONTH(요약!$B$3,0)),EOMONTH(요약!$B$3,0))-MAX(H539,요약!$B$3)+1),0)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IF(AND(ISNUMBER(AB539),ISNUMBER(AC539)),MAX(0,MIN(AC539,EOMONTH(요약!$B$3,0))-MAX(AB539,요약!$B$3)+1),0)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IF(TRIM(B540&amp;"")="","",IFERROR(INDEX(코드표!$K$2:$K$101,MATCH(TRIM(B540&amp;""),코드표!$J$2:$J$101,0)),"⚠"&amp;TRIM(B540&amp;"")))</f>
        <v/>
      </c>
      <c r="S540" s="10">
        <f>IF(TRIM(K540&amp;"")="","",IFERROR(INDEX(코드표!$K$2:$K$101,MATCH(TRIM(K540&amp;""),코드표!$J$2:$J$101,0)),"⚠"&amp;TRIM(K540&amp;"")))</f>
        <v/>
      </c>
      <c r="T540" s="10">
        <f>IF(TRIM(M540&amp;"")="","",IF(ISNUMBER(MATCH(TRIM(M540&amp;""),코드표!$C$2:$C$11,0)),TRIM(M540&amp;""),"⚠"&amp;TRIM(M540&amp;"")))</f>
        <v/>
      </c>
      <c r="U540" s="10">
        <f>IF(TRIM(L540&amp;"")="","",IFERROR(INDEX(코드표!$G$2:$G$101,MATCH(TRIM(L540&amp;""),코드표!$F$2:$F$101,0)),"⚠"&amp;TRIM(L540&amp;"")))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IF(ISNUMBER(H540),MAX(0,MIN(IF(ISNUMBER(I540),I540,EOMONTH(요약!$B$3,0)),EOMONTH(요약!$B$3,0))-MAX(H540,요약!$B$3)+1),0)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IF(AND(ISNUMBER(AB540),ISNUMBER(AC540)),MAX(0,MIN(AC540,EOMONTH(요약!$B$3,0))-MAX(AB540,요약!$B$3)+1),0)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IF(TRIM(B541&amp;"")="","",IFERROR(INDEX(코드표!$K$2:$K$101,MATCH(TRIM(B541&amp;""),코드표!$J$2:$J$101,0)),"⚠"&amp;TRIM(B541&amp;"")))</f>
        <v/>
      </c>
      <c r="S541" s="10">
        <f>IF(TRIM(K541&amp;"")="","",IFERROR(INDEX(코드표!$K$2:$K$101,MATCH(TRIM(K541&amp;""),코드표!$J$2:$J$101,0)),"⚠"&amp;TRIM(K541&amp;"")))</f>
        <v/>
      </c>
      <c r="T541" s="10">
        <f>IF(TRIM(M541&amp;"")="","",IF(ISNUMBER(MATCH(TRIM(M541&amp;""),코드표!$C$2:$C$11,0)),TRIM(M541&amp;""),"⚠"&amp;TRIM(M541&amp;"")))</f>
        <v/>
      </c>
      <c r="U541" s="10">
        <f>IF(TRIM(L541&amp;"")="","",IFERROR(INDEX(코드표!$G$2:$G$101,MATCH(TRIM(L541&amp;""),코드표!$F$2:$F$101,0)),"⚠"&amp;TRIM(L541&amp;"")))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IF(ISNUMBER(H541),MAX(0,MIN(IF(ISNUMBER(I541),I541,EOMONTH(요약!$B$3,0)),EOMONTH(요약!$B$3,0))-MAX(H541,요약!$B$3)+1),0)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IF(AND(ISNUMBER(AB541),ISNUMBER(AC541)),MAX(0,MIN(AC541,EOMONTH(요약!$B$3,0))-MAX(AB541,요약!$B$3)+1),0)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IF(TRIM(B542&amp;"")="","",IFERROR(INDEX(코드표!$K$2:$K$101,MATCH(TRIM(B542&amp;""),코드표!$J$2:$J$101,0)),"⚠"&amp;TRIM(B542&amp;"")))</f>
        <v/>
      </c>
      <c r="S542" s="10">
        <f>IF(TRIM(K542&amp;"")="","",IFERROR(INDEX(코드표!$K$2:$K$101,MATCH(TRIM(K542&amp;""),코드표!$J$2:$J$101,0)),"⚠"&amp;TRIM(K542&amp;"")))</f>
        <v/>
      </c>
      <c r="T542" s="10">
        <f>IF(TRIM(M542&amp;"")="","",IF(ISNUMBER(MATCH(TRIM(M542&amp;""),코드표!$C$2:$C$11,0)),TRIM(M542&amp;""),"⚠"&amp;TRIM(M542&amp;"")))</f>
        <v/>
      </c>
      <c r="U542" s="10">
        <f>IF(TRIM(L542&amp;"")="","",IFERROR(INDEX(코드표!$G$2:$G$101,MATCH(TRIM(L542&amp;""),코드표!$F$2:$F$101,0)),"⚠"&amp;TRIM(L542&amp;"")))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IF(ISNUMBER(H542),MAX(0,MIN(IF(ISNUMBER(I542),I542,EOMONTH(요약!$B$3,0)),EOMONTH(요약!$B$3,0))-MAX(H542,요약!$B$3)+1),0)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IF(AND(ISNUMBER(AB542),ISNUMBER(AC542)),MAX(0,MIN(AC542,EOMONTH(요약!$B$3,0))-MAX(AB542,요약!$B$3)+1),0)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IF(TRIM(B543&amp;"")="","",IFERROR(INDEX(코드표!$K$2:$K$101,MATCH(TRIM(B543&amp;""),코드표!$J$2:$J$101,0)),"⚠"&amp;TRIM(B543&amp;"")))</f>
        <v/>
      </c>
      <c r="S543" s="10">
        <f>IF(TRIM(K543&amp;"")="","",IFERROR(INDEX(코드표!$K$2:$K$101,MATCH(TRIM(K543&amp;""),코드표!$J$2:$J$101,0)),"⚠"&amp;TRIM(K543&amp;"")))</f>
        <v/>
      </c>
      <c r="T543" s="10">
        <f>IF(TRIM(M543&amp;"")="","",IF(ISNUMBER(MATCH(TRIM(M543&amp;""),코드표!$C$2:$C$11,0)),TRIM(M543&amp;""),"⚠"&amp;TRIM(M543&amp;"")))</f>
        <v/>
      </c>
      <c r="U543" s="10">
        <f>IF(TRIM(L543&amp;"")="","",IFERROR(INDEX(코드표!$G$2:$G$101,MATCH(TRIM(L543&amp;""),코드표!$F$2:$F$101,0)),"⚠"&amp;TRIM(L543&amp;"")))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IF(ISNUMBER(H543),MAX(0,MIN(IF(ISNUMBER(I543),I543,EOMONTH(요약!$B$3,0)),EOMONTH(요약!$B$3,0))-MAX(H543,요약!$B$3)+1),0)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IF(AND(ISNUMBER(AB543),ISNUMBER(AC543)),MAX(0,MIN(AC543,EOMONTH(요약!$B$3,0))-MAX(AB543,요약!$B$3)+1),0)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IF(TRIM(B544&amp;"")="","",IFERROR(INDEX(코드표!$K$2:$K$101,MATCH(TRIM(B544&amp;""),코드표!$J$2:$J$101,0)),"⚠"&amp;TRIM(B544&amp;"")))</f>
        <v/>
      </c>
      <c r="S544" s="10">
        <f>IF(TRIM(K544&amp;"")="","",IFERROR(INDEX(코드표!$K$2:$K$101,MATCH(TRIM(K544&amp;""),코드표!$J$2:$J$101,0)),"⚠"&amp;TRIM(K544&amp;"")))</f>
        <v/>
      </c>
      <c r="T544" s="10">
        <f>IF(TRIM(M544&amp;"")="","",IF(ISNUMBER(MATCH(TRIM(M544&amp;""),코드표!$C$2:$C$11,0)),TRIM(M544&amp;""),"⚠"&amp;TRIM(M544&amp;"")))</f>
        <v/>
      </c>
      <c r="U544" s="10">
        <f>IF(TRIM(L544&amp;"")="","",IFERROR(INDEX(코드표!$G$2:$G$101,MATCH(TRIM(L544&amp;""),코드표!$F$2:$F$101,0)),"⚠"&amp;TRIM(L544&amp;"")))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IF(ISNUMBER(H544),MAX(0,MIN(IF(ISNUMBER(I544),I544,EOMONTH(요약!$B$3,0)),EOMONTH(요약!$B$3,0))-MAX(H544,요약!$B$3)+1),0)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IF(AND(ISNUMBER(AB544),ISNUMBER(AC544)),MAX(0,MIN(AC544,EOMONTH(요약!$B$3,0))-MAX(AB544,요약!$B$3)+1),0)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IF(TRIM(B545&amp;"")="","",IFERROR(INDEX(코드표!$K$2:$K$101,MATCH(TRIM(B545&amp;""),코드표!$J$2:$J$101,0)),"⚠"&amp;TRIM(B545&amp;"")))</f>
        <v/>
      </c>
      <c r="S545" s="10">
        <f>IF(TRIM(K545&amp;"")="","",IFERROR(INDEX(코드표!$K$2:$K$101,MATCH(TRIM(K545&amp;""),코드표!$J$2:$J$101,0)),"⚠"&amp;TRIM(K545&amp;"")))</f>
        <v/>
      </c>
      <c r="T545" s="10">
        <f>IF(TRIM(M545&amp;"")="","",IF(ISNUMBER(MATCH(TRIM(M545&amp;""),코드표!$C$2:$C$11,0)),TRIM(M545&amp;""),"⚠"&amp;TRIM(M545&amp;"")))</f>
        <v/>
      </c>
      <c r="U545" s="10">
        <f>IF(TRIM(L545&amp;"")="","",IFERROR(INDEX(코드표!$G$2:$G$101,MATCH(TRIM(L545&amp;""),코드표!$F$2:$F$101,0)),"⚠"&amp;TRIM(L545&amp;"")))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IF(ISNUMBER(H545),MAX(0,MIN(IF(ISNUMBER(I545),I545,EOMONTH(요약!$B$3,0)),EOMONTH(요약!$B$3,0))-MAX(H545,요약!$B$3)+1),0)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IF(AND(ISNUMBER(AB545),ISNUMBER(AC545)),MAX(0,MIN(AC545,EOMONTH(요약!$B$3,0))-MAX(AB545,요약!$B$3)+1),0)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IF(TRIM(B546&amp;"")="","",IFERROR(INDEX(코드표!$K$2:$K$101,MATCH(TRIM(B546&amp;""),코드표!$J$2:$J$101,0)),"⚠"&amp;TRIM(B546&amp;"")))</f>
        <v/>
      </c>
      <c r="S546" s="10">
        <f>IF(TRIM(K546&amp;"")="","",IFERROR(INDEX(코드표!$K$2:$K$101,MATCH(TRIM(K546&amp;""),코드표!$J$2:$J$101,0)),"⚠"&amp;TRIM(K546&amp;"")))</f>
        <v/>
      </c>
      <c r="T546" s="10">
        <f>IF(TRIM(M546&amp;"")="","",IF(ISNUMBER(MATCH(TRIM(M546&amp;""),코드표!$C$2:$C$11,0)),TRIM(M546&amp;""),"⚠"&amp;TRIM(M546&amp;"")))</f>
        <v/>
      </c>
      <c r="U546" s="10">
        <f>IF(TRIM(L546&amp;"")="","",IFERROR(INDEX(코드표!$G$2:$G$101,MATCH(TRIM(L546&amp;""),코드표!$F$2:$F$101,0)),"⚠"&amp;TRIM(L546&amp;"")))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IF(ISNUMBER(H546),MAX(0,MIN(IF(ISNUMBER(I546),I546,EOMONTH(요약!$B$3,0)),EOMONTH(요약!$B$3,0))-MAX(H546,요약!$B$3)+1),0)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IF(AND(ISNUMBER(AB546),ISNUMBER(AC546)),MAX(0,MIN(AC546,EOMONTH(요약!$B$3,0))-MAX(AB546,요약!$B$3)+1),0)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IF(TRIM(B547&amp;"")="","",IFERROR(INDEX(코드표!$K$2:$K$101,MATCH(TRIM(B547&amp;""),코드표!$J$2:$J$101,0)),"⚠"&amp;TRIM(B547&amp;"")))</f>
        <v/>
      </c>
      <c r="S547" s="10">
        <f>IF(TRIM(K547&amp;"")="","",IFERROR(INDEX(코드표!$K$2:$K$101,MATCH(TRIM(K547&amp;""),코드표!$J$2:$J$101,0)),"⚠"&amp;TRIM(K547&amp;"")))</f>
        <v/>
      </c>
      <c r="T547" s="10">
        <f>IF(TRIM(M547&amp;"")="","",IF(ISNUMBER(MATCH(TRIM(M547&amp;""),코드표!$C$2:$C$11,0)),TRIM(M547&amp;""),"⚠"&amp;TRIM(M547&amp;"")))</f>
        <v/>
      </c>
      <c r="U547" s="10">
        <f>IF(TRIM(L547&amp;"")="","",IFERROR(INDEX(코드표!$G$2:$G$101,MATCH(TRIM(L547&amp;""),코드표!$F$2:$F$101,0)),"⚠"&amp;TRIM(L547&amp;"")))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IF(ISNUMBER(H547),MAX(0,MIN(IF(ISNUMBER(I547),I547,EOMONTH(요약!$B$3,0)),EOMONTH(요약!$B$3,0))-MAX(H547,요약!$B$3)+1),0)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IF(AND(ISNUMBER(AB547),ISNUMBER(AC547)),MAX(0,MIN(AC547,EOMONTH(요약!$B$3,0))-MAX(AB547,요약!$B$3)+1),0)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IF(TRIM(B548&amp;"")="","",IFERROR(INDEX(코드표!$K$2:$K$101,MATCH(TRIM(B548&amp;""),코드표!$J$2:$J$101,0)),"⚠"&amp;TRIM(B548&amp;"")))</f>
        <v/>
      </c>
      <c r="S548" s="10">
        <f>IF(TRIM(K548&amp;"")="","",IFERROR(INDEX(코드표!$K$2:$K$101,MATCH(TRIM(K548&amp;""),코드표!$J$2:$J$101,0)),"⚠"&amp;TRIM(K548&amp;"")))</f>
        <v/>
      </c>
      <c r="T548" s="10">
        <f>IF(TRIM(M548&amp;"")="","",IF(ISNUMBER(MATCH(TRIM(M548&amp;""),코드표!$C$2:$C$11,0)),TRIM(M548&amp;""),"⚠"&amp;TRIM(M548&amp;"")))</f>
        <v/>
      </c>
      <c r="U548" s="10">
        <f>IF(TRIM(L548&amp;"")="","",IFERROR(INDEX(코드표!$G$2:$G$101,MATCH(TRIM(L548&amp;""),코드표!$F$2:$F$101,0)),"⚠"&amp;TRIM(L548&amp;"")))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IF(ISNUMBER(H548),MAX(0,MIN(IF(ISNUMBER(I548),I548,EOMONTH(요약!$B$3,0)),EOMONTH(요약!$B$3,0))-MAX(H548,요약!$B$3)+1),0)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IF(AND(ISNUMBER(AB548),ISNUMBER(AC548)),MAX(0,MIN(AC548,EOMONTH(요약!$B$3,0))-MAX(AB548,요약!$B$3)+1),0)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IF(TRIM(B549&amp;"")="","",IFERROR(INDEX(코드표!$K$2:$K$101,MATCH(TRIM(B549&amp;""),코드표!$J$2:$J$101,0)),"⚠"&amp;TRIM(B549&amp;"")))</f>
        <v/>
      </c>
      <c r="S549" s="10">
        <f>IF(TRIM(K549&amp;"")="","",IFERROR(INDEX(코드표!$K$2:$K$101,MATCH(TRIM(K549&amp;""),코드표!$J$2:$J$101,0)),"⚠"&amp;TRIM(K549&amp;"")))</f>
        <v/>
      </c>
      <c r="T549" s="10">
        <f>IF(TRIM(M549&amp;"")="","",IF(ISNUMBER(MATCH(TRIM(M549&amp;""),코드표!$C$2:$C$11,0)),TRIM(M549&amp;""),"⚠"&amp;TRIM(M549&amp;"")))</f>
        <v/>
      </c>
      <c r="U549" s="10">
        <f>IF(TRIM(L549&amp;"")="","",IFERROR(INDEX(코드표!$G$2:$G$101,MATCH(TRIM(L549&amp;""),코드표!$F$2:$F$101,0)),"⚠"&amp;TRIM(L549&amp;"")))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IF(ISNUMBER(H549),MAX(0,MIN(IF(ISNUMBER(I549),I549,EOMONTH(요약!$B$3,0)),EOMONTH(요약!$B$3,0))-MAX(H549,요약!$B$3)+1),0)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IF(AND(ISNUMBER(AB549),ISNUMBER(AC549)),MAX(0,MIN(AC549,EOMONTH(요약!$B$3,0))-MAX(AB549,요약!$B$3)+1),0)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IF(TRIM(B550&amp;"")="","",IFERROR(INDEX(코드표!$K$2:$K$101,MATCH(TRIM(B550&amp;""),코드표!$J$2:$J$101,0)),"⚠"&amp;TRIM(B550&amp;"")))</f>
        <v/>
      </c>
      <c r="S550" s="10">
        <f>IF(TRIM(K550&amp;"")="","",IFERROR(INDEX(코드표!$K$2:$K$101,MATCH(TRIM(K550&amp;""),코드표!$J$2:$J$101,0)),"⚠"&amp;TRIM(K550&amp;"")))</f>
        <v/>
      </c>
      <c r="T550" s="10">
        <f>IF(TRIM(M550&amp;"")="","",IF(ISNUMBER(MATCH(TRIM(M550&amp;""),코드표!$C$2:$C$11,0)),TRIM(M550&amp;""),"⚠"&amp;TRIM(M550&amp;"")))</f>
        <v/>
      </c>
      <c r="U550" s="10">
        <f>IF(TRIM(L550&amp;"")="","",IFERROR(INDEX(코드표!$G$2:$G$101,MATCH(TRIM(L550&amp;""),코드표!$F$2:$F$101,0)),"⚠"&amp;TRIM(L550&amp;"")))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IF(ISNUMBER(H550),MAX(0,MIN(IF(ISNUMBER(I550),I550,EOMONTH(요약!$B$3,0)),EOMONTH(요약!$B$3,0))-MAX(H550,요약!$B$3)+1),0)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IF(AND(ISNUMBER(AB550),ISNUMBER(AC550)),MAX(0,MIN(AC550,EOMONTH(요약!$B$3,0))-MAX(AB550,요약!$B$3)+1),0)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IF(TRIM(B551&amp;"")="","",IFERROR(INDEX(코드표!$K$2:$K$101,MATCH(TRIM(B551&amp;""),코드표!$J$2:$J$101,0)),"⚠"&amp;TRIM(B551&amp;"")))</f>
        <v/>
      </c>
      <c r="S551" s="10">
        <f>IF(TRIM(K551&amp;"")="","",IFERROR(INDEX(코드표!$K$2:$K$101,MATCH(TRIM(K551&amp;""),코드표!$J$2:$J$101,0)),"⚠"&amp;TRIM(K551&amp;"")))</f>
        <v/>
      </c>
      <c r="T551" s="10">
        <f>IF(TRIM(M551&amp;"")="","",IF(ISNUMBER(MATCH(TRIM(M551&amp;""),코드표!$C$2:$C$11,0)),TRIM(M551&amp;""),"⚠"&amp;TRIM(M551&amp;"")))</f>
        <v/>
      </c>
      <c r="U551" s="10">
        <f>IF(TRIM(L551&amp;"")="","",IFERROR(INDEX(코드표!$G$2:$G$101,MATCH(TRIM(L551&amp;""),코드표!$F$2:$F$101,0)),"⚠"&amp;TRIM(L551&amp;"")))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IF(ISNUMBER(H551),MAX(0,MIN(IF(ISNUMBER(I551),I551,EOMONTH(요약!$B$3,0)),EOMONTH(요약!$B$3,0))-MAX(H551,요약!$B$3)+1),0)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IF(AND(ISNUMBER(AB551),ISNUMBER(AC551)),MAX(0,MIN(AC551,EOMONTH(요약!$B$3,0))-MAX(AB551,요약!$B$3)+1),0)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IF(TRIM(B552&amp;"")="","",IFERROR(INDEX(코드표!$K$2:$K$101,MATCH(TRIM(B552&amp;""),코드표!$J$2:$J$101,0)),"⚠"&amp;TRIM(B552&amp;"")))</f>
        <v/>
      </c>
      <c r="S552" s="10">
        <f>IF(TRIM(K552&amp;"")="","",IFERROR(INDEX(코드표!$K$2:$K$101,MATCH(TRIM(K552&amp;""),코드표!$J$2:$J$101,0)),"⚠"&amp;TRIM(K552&amp;"")))</f>
        <v/>
      </c>
      <c r="T552" s="10">
        <f>IF(TRIM(M552&amp;"")="","",IF(ISNUMBER(MATCH(TRIM(M552&amp;""),코드표!$C$2:$C$11,0)),TRIM(M552&amp;""),"⚠"&amp;TRIM(M552&amp;"")))</f>
        <v/>
      </c>
      <c r="U552" s="10">
        <f>IF(TRIM(L552&amp;"")="","",IFERROR(INDEX(코드표!$G$2:$G$101,MATCH(TRIM(L552&amp;""),코드표!$F$2:$F$101,0)),"⚠"&amp;TRIM(L552&amp;"")))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IF(ISNUMBER(H552),MAX(0,MIN(IF(ISNUMBER(I552),I552,EOMONTH(요약!$B$3,0)),EOMONTH(요약!$B$3,0))-MAX(H552,요약!$B$3)+1),0)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IF(AND(ISNUMBER(AB552),ISNUMBER(AC552)),MAX(0,MIN(AC552,EOMONTH(요약!$B$3,0))-MAX(AB552,요약!$B$3)+1),0)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IF(TRIM(B553&amp;"")="","",IFERROR(INDEX(코드표!$K$2:$K$101,MATCH(TRIM(B553&amp;""),코드표!$J$2:$J$101,0)),"⚠"&amp;TRIM(B553&amp;"")))</f>
        <v/>
      </c>
      <c r="S553" s="10">
        <f>IF(TRIM(K553&amp;"")="","",IFERROR(INDEX(코드표!$K$2:$K$101,MATCH(TRIM(K553&amp;""),코드표!$J$2:$J$101,0)),"⚠"&amp;TRIM(K553&amp;"")))</f>
        <v/>
      </c>
      <c r="T553" s="10">
        <f>IF(TRIM(M553&amp;"")="","",IF(ISNUMBER(MATCH(TRIM(M553&amp;""),코드표!$C$2:$C$11,0)),TRIM(M553&amp;""),"⚠"&amp;TRIM(M553&amp;"")))</f>
        <v/>
      </c>
      <c r="U553" s="10">
        <f>IF(TRIM(L553&amp;"")="","",IFERROR(INDEX(코드표!$G$2:$G$101,MATCH(TRIM(L553&amp;""),코드표!$F$2:$F$101,0)),"⚠"&amp;TRIM(L553&amp;"")))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IF(ISNUMBER(H553),MAX(0,MIN(IF(ISNUMBER(I553),I553,EOMONTH(요약!$B$3,0)),EOMONTH(요약!$B$3,0))-MAX(H553,요약!$B$3)+1),0)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IF(AND(ISNUMBER(AB553),ISNUMBER(AC553)),MAX(0,MIN(AC553,EOMONTH(요약!$B$3,0))-MAX(AB553,요약!$B$3)+1),0)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IF(TRIM(B554&amp;"")="","",IFERROR(INDEX(코드표!$K$2:$K$101,MATCH(TRIM(B554&amp;""),코드표!$J$2:$J$101,0)),"⚠"&amp;TRIM(B554&amp;"")))</f>
        <v/>
      </c>
      <c r="S554" s="10">
        <f>IF(TRIM(K554&amp;"")="","",IFERROR(INDEX(코드표!$K$2:$K$101,MATCH(TRIM(K554&amp;""),코드표!$J$2:$J$101,0)),"⚠"&amp;TRIM(K554&amp;"")))</f>
        <v/>
      </c>
      <c r="T554" s="10">
        <f>IF(TRIM(M554&amp;"")="","",IF(ISNUMBER(MATCH(TRIM(M554&amp;""),코드표!$C$2:$C$11,0)),TRIM(M554&amp;""),"⚠"&amp;TRIM(M554&amp;"")))</f>
        <v/>
      </c>
      <c r="U554" s="10">
        <f>IF(TRIM(L554&amp;"")="","",IFERROR(INDEX(코드표!$G$2:$G$101,MATCH(TRIM(L554&amp;""),코드표!$F$2:$F$101,0)),"⚠"&amp;TRIM(L554&amp;"")))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IF(ISNUMBER(H554),MAX(0,MIN(IF(ISNUMBER(I554),I554,EOMONTH(요약!$B$3,0)),EOMONTH(요약!$B$3,0))-MAX(H554,요약!$B$3)+1),0)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IF(AND(ISNUMBER(AB554),ISNUMBER(AC554)),MAX(0,MIN(AC554,EOMONTH(요약!$B$3,0))-MAX(AB554,요약!$B$3)+1),0)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IF(TRIM(B555&amp;"")="","",IFERROR(INDEX(코드표!$K$2:$K$101,MATCH(TRIM(B555&amp;""),코드표!$J$2:$J$101,0)),"⚠"&amp;TRIM(B555&amp;"")))</f>
        <v/>
      </c>
      <c r="S555" s="10">
        <f>IF(TRIM(K555&amp;"")="","",IFERROR(INDEX(코드표!$K$2:$K$101,MATCH(TRIM(K555&amp;""),코드표!$J$2:$J$101,0)),"⚠"&amp;TRIM(K555&amp;"")))</f>
        <v/>
      </c>
      <c r="T555" s="10">
        <f>IF(TRIM(M555&amp;"")="","",IF(ISNUMBER(MATCH(TRIM(M555&amp;""),코드표!$C$2:$C$11,0)),TRIM(M555&amp;""),"⚠"&amp;TRIM(M555&amp;"")))</f>
        <v/>
      </c>
      <c r="U555" s="10">
        <f>IF(TRIM(L555&amp;"")="","",IFERROR(INDEX(코드표!$G$2:$G$101,MATCH(TRIM(L555&amp;""),코드표!$F$2:$F$101,0)),"⚠"&amp;TRIM(L555&amp;"")))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IF(ISNUMBER(H555),MAX(0,MIN(IF(ISNUMBER(I555),I555,EOMONTH(요약!$B$3,0)),EOMONTH(요약!$B$3,0))-MAX(H555,요약!$B$3)+1),0)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IF(AND(ISNUMBER(AB555),ISNUMBER(AC555)),MAX(0,MIN(AC555,EOMONTH(요약!$B$3,0))-MAX(AB555,요약!$B$3)+1),0)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IF(TRIM(B556&amp;"")="","",IFERROR(INDEX(코드표!$K$2:$K$101,MATCH(TRIM(B556&amp;""),코드표!$J$2:$J$101,0)),"⚠"&amp;TRIM(B556&amp;"")))</f>
        <v/>
      </c>
      <c r="S556" s="10">
        <f>IF(TRIM(K556&amp;"")="","",IFERROR(INDEX(코드표!$K$2:$K$101,MATCH(TRIM(K556&amp;""),코드표!$J$2:$J$101,0)),"⚠"&amp;TRIM(K556&amp;"")))</f>
        <v/>
      </c>
      <c r="T556" s="10">
        <f>IF(TRIM(M556&amp;"")="","",IF(ISNUMBER(MATCH(TRIM(M556&amp;""),코드표!$C$2:$C$11,0)),TRIM(M556&amp;""),"⚠"&amp;TRIM(M556&amp;"")))</f>
        <v/>
      </c>
      <c r="U556" s="10">
        <f>IF(TRIM(L556&amp;"")="","",IFERROR(INDEX(코드표!$G$2:$G$101,MATCH(TRIM(L556&amp;""),코드표!$F$2:$F$101,0)),"⚠"&amp;TRIM(L556&amp;"")))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IF(ISNUMBER(H556),MAX(0,MIN(IF(ISNUMBER(I556),I556,EOMONTH(요약!$B$3,0)),EOMONTH(요약!$B$3,0))-MAX(H556,요약!$B$3)+1),0)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IF(AND(ISNUMBER(AB556),ISNUMBER(AC556)),MAX(0,MIN(AC556,EOMONTH(요약!$B$3,0))-MAX(AB556,요약!$B$3)+1),0)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IF(TRIM(B557&amp;"")="","",IFERROR(INDEX(코드표!$K$2:$K$101,MATCH(TRIM(B557&amp;""),코드표!$J$2:$J$101,0)),"⚠"&amp;TRIM(B557&amp;"")))</f>
        <v/>
      </c>
      <c r="S557" s="10">
        <f>IF(TRIM(K557&amp;"")="","",IFERROR(INDEX(코드표!$K$2:$K$101,MATCH(TRIM(K557&amp;""),코드표!$J$2:$J$101,0)),"⚠"&amp;TRIM(K557&amp;"")))</f>
        <v/>
      </c>
      <c r="T557" s="10">
        <f>IF(TRIM(M557&amp;"")="","",IF(ISNUMBER(MATCH(TRIM(M557&amp;""),코드표!$C$2:$C$11,0)),TRIM(M557&amp;""),"⚠"&amp;TRIM(M557&amp;"")))</f>
        <v/>
      </c>
      <c r="U557" s="10">
        <f>IF(TRIM(L557&amp;"")="","",IFERROR(INDEX(코드표!$G$2:$G$101,MATCH(TRIM(L557&amp;""),코드표!$F$2:$F$101,0)),"⚠"&amp;TRIM(L557&amp;"")))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IF(ISNUMBER(H557),MAX(0,MIN(IF(ISNUMBER(I557),I557,EOMONTH(요약!$B$3,0)),EOMONTH(요약!$B$3,0))-MAX(H557,요약!$B$3)+1),0)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IF(AND(ISNUMBER(AB557),ISNUMBER(AC557)),MAX(0,MIN(AC557,EOMONTH(요약!$B$3,0))-MAX(AB557,요약!$B$3)+1),0)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IF(TRIM(B558&amp;"")="","",IFERROR(INDEX(코드표!$K$2:$K$101,MATCH(TRIM(B558&amp;""),코드표!$J$2:$J$101,0)),"⚠"&amp;TRIM(B558&amp;"")))</f>
        <v/>
      </c>
      <c r="S558" s="10">
        <f>IF(TRIM(K558&amp;"")="","",IFERROR(INDEX(코드표!$K$2:$K$101,MATCH(TRIM(K558&amp;""),코드표!$J$2:$J$101,0)),"⚠"&amp;TRIM(K558&amp;"")))</f>
        <v/>
      </c>
      <c r="T558" s="10">
        <f>IF(TRIM(M558&amp;"")="","",IF(ISNUMBER(MATCH(TRIM(M558&amp;""),코드표!$C$2:$C$11,0)),TRIM(M558&amp;""),"⚠"&amp;TRIM(M558&amp;"")))</f>
        <v/>
      </c>
      <c r="U558" s="10">
        <f>IF(TRIM(L558&amp;"")="","",IFERROR(INDEX(코드표!$G$2:$G$101,MATCH(TRIM(L558&amp;""),코드표!$F$2:$F$101,0)),"⚠"&amp;TRIM(L558&amp;"")))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IF(ISNUMBER(H558),MAX(0,MIN(IF(ISNUMBER(I558),I558,EOMONTH(요약!$B$3,0)),EOMONTH(요약!$B$3,0))-MAX(H558,요약!$B$3)+1),0)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IF(AND(ISNUMBER(AB558),ISNUMBER(AC558)),MAX(0,MIN(AC558,EOMONTH(요약!$B$3,0))-MAX(AB558,요약!$B$3)+1),0)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IF(TRIM(B559&amp;"")="","",IFERROR(INDEX(코드표!$K$2:$K$101,MATCH(TRIM(B559&amp;""),코드표!$J$2:$J$101,0)),"⚠"&amp;TRIM(B559&amp;"")))</f>
        <v/>
      </c>
      <c r="S559" s="10">
        <f>IF(TRIM(K559&amp;"")="","",IFERROR(INDEX(코드표!$K$2:$K$101,MATCH(TRIM(K559&amp;""),코드표!$J$2:$J$101,0)),"⚠"&amp;TRIM(K559&amp;"")))</f>
        <v/>
      </c>
      <c r="T559" s="10">
        <f>IF(TRIM(M559&amp;"")="","",IF(ISNUMBER(MATCH(TRIM(M559&amp;""),코드표!$C$2:$C$11,0)),TRIM(M559&amp;""),"⚠"&amp;TRIM(M559&amp;"")))</f>
        <v/>
      </c>
      <c r="U559" s="10">
        <f>IF(TRIM(L559&amp;"")="","",IFERROR(INDEX(코드표!$G$2:$G$101,MATCH(TRIM(L559&amp;""),코드표!$F$2:$F$101,0)),"⚠"&amp;TRIM(L559&amp;"")))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IF(ISNUMBER(H559),MAX(0,MIN(IF(ISNUMBER(I559),I559,EOMONTH(요약!$B$3,0)),EOMONTH(요약!$B$3,0))-MAX(H559,요약!$B$3)+1),0)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IF(AND(ISNUMBER(AB559),ISNUMBER(AC559)),MAX(0,MIN(AC559,EOMONTH(요약!$B$3,0))-MAX(AB559,요약!$B$3)+1),0)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IF(TRIM(B560&amp;"")="","",IFERROR(INDEX(코드표!$K$2:$K$101,MATCH(TRIM(B560&amp;""),코드표!$J$2:$J$101,0)),"⚠"&amp;TRIM(B560&amp;"")))</f>
        <v/>
      </c>
      <c r="S560" s="10">
        <f>IF(TRIM(K560&amp;"")="","",IFERROR(INDEX(코드표!$K$2:$K$101,MATCH(TRIM(K560&amp;""),코드표!$J$2:$J$101,0)),"⚠"&amp;TRIM(K560&amp;"")))</f>
        <v/>
      </c>
      <c r="T560" s="10">
        <f>IF(TRIM(M560&amp;"")="","",IF(ISNUMBER(MATCH(TRIM(M560&amp;""),코드표!$C$2:$C$11,0)),TRIM(M560&amp;""),"⚠"&amp;TRIM(M560&amp;"")))</f>
        <v/>
      </c>
      <c r="U560" s="10">
        <f>IF(TRIM(L560&amp;"")="","",IFERROR(INDEX(코드표!$G$2:$G$101,MATCH(TRIM(L560&amp;""),코드표!$F$2:$F$101,0)),"⚠"&amp;TRIM(L560&amp;"")))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IF(ISNUMBER(H560),MAX(0,MIN(IF(ISNUMBER(I560),I560,EOMONTH(요약!$B$3,0)),EOMONTH(요약!$B$3,0))-MAX(H560,요약!$B$3)+1),0)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IF(AND(ISNUMBER(AB560),ISNUMBER(AC560)),MAX(0,MIN(AC560,EOMONTH(요약!$B$3,0))-MAX(AB560,요약!$B$3)+1),0)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IF(TRIM(B561&amp;"")="","",IFERROR(INDEX(코드표!$K$2:$K$101,MATCH(TRIM(B561&amp;""),코드표!$J$2:$J$101,0)),"⚠"&amp;TRIM(B561&amp;"")))</f>
        <v/>
      </c>
      <c r="S561" s="10">
        <f>IF(TRIM(K561&amp;"")="","",IFERROR(INDEX(코드표!$K$2:$K$101,MATCH(TRIM(K561&amp;""),코드표!$J$2:$J$101,0)),"⚠"&amp;TRIM(K561&amp;"")))</f>
        <v/>
      </c>
      <c r="T561" s="10">
        <f>IF(TRIM(M561&amp;"")="","",IF(ISNUMBER(MATCH(TRIM(M561&amp;""),코드표!$C$2:$C$11,0)),TRIM(M561&amp;""),"⚠"&amp;TRIM(M561&amp;"")))</f>
        <v/>
      </c>
      <c r="U561" s="10">
        <f>IF(TRIM(L561&amp;"")="","",IFERROR(INDEX(코드표!$G$2:$G$101,MATCH(TRIM(L561&amp;""),코드표!$F$2:$F$101,0)),"⚠"&amp;TRIM(L561&amp;"")))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IF(ISNUMBER(H561),MAX(0,MIN(IF(ISNUMBER(I561),I561,EOMONTH(요약!$B$3,0)),EOMONTH(요약!$B$3,0))-MAX(H561,요약!$B$3)+1),0)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IF(AND(ISNUMBER(AB561),ISNUMBER(AC561)),MAX(0,MIN(AC561,EOMONTH(요약!$B$3,0))-MAX(AB561,요약!$B$3)+1),0)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IF(TRIM(B562&amp;"")="","",IFERROR(INDEX(코드표!$K$2:$K$101,MATCH(TRIM(B562&amp;""),코드표!$J$2:$J$101,0)),"⚠"&amp;TRIM(B562&amp;"")))</f>
        <v/>
      </c>
      <c r="S562" s="10">
        <f>IF(TRIM(K562&amp;"")="","",IFERROR(INDEX(코드표!$K$2:$K$101,MATCH(TRIM(K562&amp;""),코드표!$J$2:$J$101,0)),"⚠"&amp;TRIM(K562&amp;"")))</f>
        <v/>
      </c>
      <c r="T562" s="10">
        <f>IF(TRIM(M562&amp;"")="","",IF(ISNUMBER(MATCH(TRIM(M562&amp;""),코드표!$C$2:$C$11,0)),TRIM(M562&amp;""),"⚠"&amp;TRIM(M562&amp;"")))</f>
        <v/>
      </c>
      <c r="U562" s="10">
        <f>IF(TRIM(L562&amp;"")="","",IFERROR(INDEX(코드표!$G$2:$G$101,MATCH(TRIM(L562&amp;""),코드표!$F$2:$F$101,0)),"⚠"&amp;TRIM(L562&amp;"")))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IF(ISNUMBER(H562),MAX(0,MIN(IF(ISNUMBER(I562),I562,EOMONTH(요약!$B$3,0)),EOMONTH(요약!$B$3,0))-MAX(H562,요약!$B$3)+1),0)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IF(AND(ISNUMBER(AB562),ISNUMBER(AC562)),MAX(0,MIN(AC562,EOMONTH(요약!$B$3,0))-MAX(AB562,요약!$B$3)+1),0)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IF(TRIM(B563&amp;"")="","",IFERROR(INDEX(코드표!$K$2:$K$101,MATCH(TRIM(B563&amp;""),코드표!$J$2:$J$101,0)),"⚠"&amp;TRIM(B563&amp;"")))</f>
        <v/>
      </c>
      <c r="S563" s="10">
        <f>IF(TRIM(K563&amp;"")="","",IFERROR(INDEX(코드표!$K$2:$K$101,MATCH(TRIM(K563&amp;""),코드표!$J$2:$J$101,0)),"⚠"&amp;TRIM(K563&amp;"")))</f>
        <v/>
      </c>
      <c r="T563" s="10">
        <f>IF(TRIM(M563&amp;"")="","",IF(ISNUMBER(MATCH(TRIM(M563&amp;""),코드표!$C$2:$C$11,0)),TRIM(M563&amp;""),"⚠"&amp;TRIM(M563&amp;"")))</f>
        <v/>
      </c>
      <c r="U563" s="10">
        <f>IF(TRIM(L563&amp;"")="","",IFERROR(INDEX(코드표!$G$2:$G$101,MATCH(TRIM(L563&amp;""),코드표!$F$2:$F$101,0)),"⚠"&amp;TRIM(L563&amp;"")))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IF(ISNUMBER(H563),MAX(0,MIN(IF(ISNUMBER(I563),I563,EOMONTH(요약!$B$3,0)),EOMONTH(요약!$B$3,0))-MAX(H563,요약!$B$3)+1),0)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IF(AND(ISNUMBER(AB563),ISNUMBER(AC563)),MAX(0,MIN(AC563,EOMONTH(요약!$B$3,0))-MAX(AB563,요약!$B$3)+1),0)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IF(TRIM(B564&amp;"")="","",IFERROR(INDEX(코드표!$K$2:$K$101,MATCH(TRIM(B564&amp;""),코드표!$J$2:$J$101,0)),"⚠"&amp;TRIM(B564&amp;"")))</f>
        <v/>
      </c>
      <c r="S564" s="10">
        <f>IF(TRIM(K564&amp;"")="","",IFERROR(INDEX(코드표!$K$2:$K$101,MATCH(TRIM(K564&amp;""),코드표!$J$2:$J$101,0)),"⚠"&amp;TRIM(K564&amp;"")))</f>
        <v/>
      </c>
      <c r="T564" s="10">
        <f>IF(TRIM(M564&amp;"")="","",IF(ISNUMBER(MATCH(TRIM(M564&amp;""),코드표!$C$2:$C$11,0)),TRIM(M564&amp;""),"⚠"&amp;TRIM(M564&amp;"")))</f>
        <v/>
      </c>
      <c r="U564" s="10">
        <f>IF(TRIM(L564&amp;"")="","",IFERROR(INDEX(코드표!$G$2:$G$101,MATCH(TRIM(L564&amp;""),코드표!$F$2:$F$101,0)),"⚠"&amp;TRIM(L564&amp;"")))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IF(ISNUMBER(H564),MAX(0,MIN(IF(ISNUMBER(I564),I564,EOMONTH(요약!$B$3,0)),EOMONTH(요약!$B$3,0))-MAX(H564,요약!$B$3)+1),0)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IF(AND(ISNUMBER(AB564),ISNUMBER(AC564)),MAX(0,MIN(AC564,EOMONTH(요약!$B$3,0))-MAX(AB564,요약!$B$3)+1),0)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IF(TRIM(B565&amp;"")="","",IFERROR(INDEX(코드표!$K$2:$K$101,MATCH(TRIM(B565&amp;""),코드표!$J$2:$J$101,0)),"⚠"&amp;TRIM(B565&amp;"")))</f>
        <v/>
      </c>
      <c r="S565" s="10">
        <f>IF(TRIM(K565&amp;"")="","",IFERROR(INDEX(코드표!$K$2:$K$101,MATCH(TRIM(K565&amp;""),코드표!$J$2:$J$101,0)),"⚠"&amp;TRIM(K565&amp;"")))</f>
        <v/>
      </c>
      <c r="T565" s="10">
        <f>IF(TRIM(M565&amp;"")="","",IF(ISNUMBER(MATCH(TRIM(M565&amp;""),코드표!$C$2:$C$11,0)),TRIM(M565&amp;""),"⚠"&amp;TRIM(M565&amp;"")))</f>
        <v/>
      </c>
      <c r="U565" s="10">
        <f>IF(TRIM(L565&amp;"")="","",IFERROR(INDEX(코드표!$G$2:$G$101,MATCH(TRIM(L565&amp;""),코드표!$F$2:$F$101,0)),"⚠"&amp;TRIM(L565&amp;"")))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IF(ISNUMBER(H565),MAX(0,MIN(IF(ISNUMBER(I565),I565,EOMONTH(요약!$B$3,0)),EOMONTH(요약!$B$3,0))-MAX(H565,요약!$B$3)+1),0)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IF(AND(ISNUMBER(AB565),ISNUMBER(AC565)),MAX(0,MIN(AC565,EOMONTH(요약!$B$3,0))-MAX(AB565,요약!$B$3)+1),0)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IF(TRIM(B566&amp;"")="","",IFERROR(INDEX(코드표!$K$2:$K$101,MATCH(TRIM(B566&amp;""),코드표!$J$2:$J$101,0)),"⚠"&amp;TRIM(B566&amp;"")))</f>
        <v/>
      </c>
      <c r="S566" s="10">
        <f>IF(TRIM(K566&amp;"")="","",IFERROR(INDEX(코드표!$K$2:$K$101,MATCH(TRIM(K566&amp;""),코드표!$J$2:$J$101,0)),"⚠"&amp;TRIM(K566&amp;"")))</f>
        <v/>
      </c>
      <c r="T566" s="10">
        <f>IF(TRIM(M566&amp;"")="","",IF(ISNUMBER(MATCH(TRIM(M566&amp;""),코드표!$C$2:$C$11,0)),TRIM(M566&amp;""),"⚠"&amp;TRIM(M566&amp;"")))</f>
        <v/>
      </c>
      <c r="U566" s="10">
        <f>IF(TRIM(L566&amp;"")="","",IFERROR(INDEX(코드표!$G$2:$G$101,MATCH(TRIM(L566&amp;""),코드표!$F$2:$F$101,0)),"⚠"&amp;TRIM(L566&amp;"")))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IF(ISNUMBER(H566),MAX(0,MIN(IF(ISNUMBER(I566),I566,EOMONTH(요약!$B$3,0)),EOMONTH(요약!$B$3,0))-MAX(H566,요약!$B$3)+1),0)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IF(AND(ISNUMBER(AB566),ISNUMBER(AC566)),MAX(0,MIN(AC566,EOMONTH(요약!$B$3,0))-MAX(AB566,요약!$B$3)+1),0)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IF(TRIM(B567&amp;"")="","",IFERROR(INDEX(코드표!$K$2:$K$101,MATCH(TRIM(B567&amp;""),코드표!$J$2:$J$101,0)),"⚠"&amp;TRIM(B567&amp;"")))</f>
        <v/>
      </c>
      <c r="S567" s="10">
        <f>IF(TRIM(K567&amp;"")="","",IFERROR(INDEX(코드표!$K$2:$K$101,MATCH(TRIM(K567&amp;""),코드표!$J$2:$J$101,0)),"⚠"&amp;TRIM(K567&amp;"")))</f>
        <v/>
      </c>
      <c r="T567" s="10">
        <f>IF(TRIM(M567&amp;"")="","",IF(ISNUMBER(MATCH(TRIM(M567&amp;""),코드표!$C$2:$C$11,0)),TRIM(M567&amp;""),"⚠"&amp;TRIM(M567&amp;"")))</f>
        <v/>
      </c>
      <c r="U567" s="10">
        <f>IF(TRIM(L567&amp;"")="","",IFERROR(INDEX(코드표!$G$2:$G$101,MATCH(TRIM(L567&amp;""),코드표!$F$2:$F$101,0)),"⚠"&amp;TRIM(L567&amp;"")))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IF(ISNUMBER(H567),MAX(0,MIN(IF(ISNUMBER(I567),I567,EOMONTH(요약!$B$3,0)),EOMONTH(요약!$B$3,0))-MAX(H567,요약!$B$3)+1),0)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IF(AND(ISNUMBER(AB567),ISNUMBER(AC567)),MAX(0,MIN(AC567,EOMONTH(요약!$B$3,0))-MAX(AB567,요약!$B$3)+1),0)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IF(TRIM(B568&amp;"")="","",IFERROR(INDEX(코드표!$K$2:$K$101,MATCH(TRIM(B568&amp;""),코드표!$J$2:$J$101,0)),"⚠"&amp;TRIM(B568&amp;"")))</f>
        <v/>
      </c>
      <c r="S568" s="10">
        <f>IF(TRIM(K568&amp;"")="","",IFERROR(INDEX(코드표!$K$2:$K$101,MATCH(TRIM(K568&amp;""),코드표!$J$2:$J$101,0)),"⚠"&amp;TRIM(K568&amp;"")))</f>
        <v/>
      </c>
      <c r="T568" s="10">
        <f>IF(TRIM(M568&amp;"")="","",IF(ISNUMBER(MATCH(TRIM(M568&amp;""),코드표!$C$2:$C$11,0)),TRIM(M568&amp;""),"⚠"&amp;TRIM(M568&amp;"")))</f>
        <v/>
      </c>
      <c r="U568" s="10">
        <f>IF(TRIM(L568&amp;"")="","",IFERROR(INDEX(코드표!$G$2:$G$101,MATCH(TRIM(L568&amp;""),코드표!$F$2:$F$101,0)),"⚠"&amp;TRIM(L568&amp;"")))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IF(ISNUMBER(H568),MAX(0,MIN(IF(ISNUMBER(I568),I568,EOMONTH(요약!$B$3,0)),EOMONTH(요약!$B$3,0))-MAX(H568,요약!$B$3)+1),0)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IF(AND(ISNUMBER(AB568),ISNUMBER(AC568)),MAX(0,MIN(AC568,EOMONTH(요약!$B$3,0))-MAX(AB568,요약!$B$3)+1),0)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IF(TRIM(B569&amp;"")="","",IFERROR(INDEX(코드표!$K$2:$K$101,MATCH(TRIM(B569&amp;""),코드표!$J$2:$J$101,0)),"⚠"&amp;TRIM(B569&amp;"")))</f>
        <v/>
      </c>
      <c r="S569" s="10">
        <f>IF(TRIM(K569&amp;"")="","",IFERROR(INDEX(코드표!$K$2:$K$101,MATCH(TRIM(K569&amp;""),코드표!$J$2:$J$101,0)),"⚠"&amp;TRIM(K569&amp;"")))</f>
        <v/>
      </c>
      <c r="T569" s="10">
        <f>IF(TRIM(M569&amp;"")="","",IF(ISNUMBER(MATCH(TRIM(M569&amp;""),코드표!$C$2:$C$11,0)),TRIM(M569&amp;""),"⚠"&amp;TRIM(M569&amp;"")))</f>
        <v/>
      </c>
      <c r="U569" s="10">
        <f>IF(TRIM(L569&amp;"")="","",IFERROR(INDEX(코드표!$G$2:$G$101,MATCH(TRIM(L569&amp;""),코드표!$F$2:$F$101,0)),"⚠"&amp;TRIM(L569&amp;"")))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IF(ISNUMBER(H569),MAX(0,MIN(IF(ISNUMBER(I569),I569,EOMONTH(요약!$B$3,0)),EOMONTH(요약!$B$3,0))-MAX(H569,요약!$B$3)+1),0)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IF(AND(ISNUMBER(AB569),ISNUMBER(AC569)),MAX(0,MIN(AC569,EOMONTH(요약!$B$3,0))-MAX(AB569,요약!$B$3)+1),0)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IF(TRIM(B570&amp;"")="","",IFERROR(INDEX(코드표!$K$2:$K$101,MATCH(TRIM(B570&amp;""),코드표!$J$2:$J$101,0)),"⚠"&amp;TRIM(B570&amp;"")))</f>
        <v/>
      </c>
      <c r="S570" s="10">
        <f>IF(TRIM(K570&amp;"")="","",IFERROR(INDEX(코드표!$K$2:$K$101,MATCH(TRIM(K570&amp;""),코드표!$J$2:$J$101,0)),"⚠"&amp;TRIM(K570&amp;"")))</f>
        <v/>
      </c>
      <c r="T570" s="10">
        <f>IF(TRIM(M570&amp;"")="","",IF(ISNUMBER(MATCH(TRIM(M570&amp;""),코드표!$C$2:$C$11,0)),TRIM(M570&amp;""),"⚠"&amp;TRIM(M570&amp;"")))</f>
        <v/>
      </c>
      <c r="U570" s="10">
        <f>IF(TRIM(L570&amp;"")="","",IFERROR(INDEX(코드표!$G$2:$G$101,MATCH(TRIM(L570&amp;""),코드표!$F$2:$F$101,0)),"⚠"&amp;TRIM(L570&amp;"")))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IF(ISNUMBER(H570),MAX(0,MIN(IF(ISNUMBER(I570),I570,EOMONTH(요약!$B$3,0)),EOMONTH(요약!$B$3,0))-MAX(H570,요약!$B$3)+1),0)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IF(AND(ISNUMBER(AB570),ISNUMBER(AC570)),MAX(0,MIN(AC570,EOMONTH(요약!$B$3,0))-MAX(AB570,요약!$B$3)+1),0)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IF(TRIM(B571&amp;"")="","",IFERROR(INDEX(코드표!$K$2:$K$101,MATCH(TRIM(B571&amp;""),코드표!$J$2:$J$101,0)),"⚠"&amp;TRIM(B571&amp;"")))</f>
        <v/>
      </c>
      <c r="S571" s="10">
        <f>IF(TRIM(K571&amp;"")="","",IFERROR(INDEX(코드표!$K$2:$K$101,MATCH(TRIM(K571&amp;""),코드표!$J$2:$J$101,0)),"⚠"&amp;TRIM(K571&amp;"")))</f>
        <v/>
      </c>
      <c r="T571" s="10">
        <f>IF(TRIM(M571&amp;"")="","",IF(ISNUMBER(MATCH(TRIM(M571&amp;""),코드표!$C$2:$C$11,0)),TRIM(M571&amp;""),"⚠"&amp;TRIM(M571&amp;"")))</f>
        <v/>
      </c>
      <c r="U571" s="10">
        <f>IF(TRIM(L571&amp;"")="","",IFERROR(INDEX(코드표!$G$2:$G$101,MATCH(TRIM(L571&amp;""),코드표!$F$2:$F$101,0)),"⚠"&amp;TRIM(L571&amp;"")))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IF(ISNUMBER(H571),MAX(0,MIN(IF(ISNUMBER(I571),I571,EOMONTH(요약!$B$3,0)),EOMONTH(요약!$B$3,0))-MAX(H571,요약!$B$3)+1),0)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IF(AND(ISNUMBER(AB571),ISNUMBER(AC571)),MAX(0,MIN(AC571,EOMONTH(요약!$B$3,0))-MAX(AB571,요약!$B$3)+1),0)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IF(TRIM(B572&amp;"")="","",IFERROR(INDEX(코드표!$K$2:$K$101,MATCH(TRIM(B572&amp;""),코드표!$J$2:$J$101,0)),"⚠"&amp;TRIM(B572&amp;"")))</f>
        <v/>
      </c>
      <c r="S572" s="10">
        <f>IF(TRIM(K572&amp;"")="","",IFERROR(INDEX(코드표!$K$2:$K$101,MATCH(TRIM(K572&amp;""),코드표!$J$2:$J$101,0)),"⚠"&amp;TRIM(K572&amp;"")))</f>
        <v/>
      </c>
      <c r="T572" s="10">
        <f>IF(TRIM(M572&amp;"")="","",IF(ISNUMBER(MATCH(TRIM(M572&amp;""),코드표!$C$2:$C$11,0)),TRIM(M572&amp;""),"⚠"&amp;TRIM(M572&amp;"")))</f>
        <v/>
      </c>
      <c r="U572" s="10">
        <f>IF(TRIM(L572&amp;"")="","",IFERROR(INDEX(코드표!$G$2:$G$101,MATCH(TRIM(L572&amp;""),코드표!$F$2:$F$101,0)),"⚠"&amp;TRIM(L572&amp;"")))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IF(ISNUMBER(H572),MAX(0,MIN(IF(ISNUMBER(I572),I572,EOMONTH(요약!$B$3,0)),EOMONTH(요약!$B$3,0))-MAX(H572,요약!$B$3)+1),0)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IF(AND(ISNUMBER(AB572),ISNUMBER(AC572)),MAX(0,MIN(AC572,EOMONTH(요약!$B$3,0))-MAX(AB572,요약!$B$3)+1),0)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IF(TRIM(B573&amp;"")="","",IFERROR(INDEX(코드표!$K$2:$K$101,MATCH(TRIM(B573&amp;""),코드표!$J$2:$J$101,0)),"⚠"&amp;TRIM(B573&amp;"")))</f>
        <v/>
      </c>
      <c r="S573" s="10">
        <f>IF(TRIM(K573&amp;"")="","",IFERROR(INDEX(코드표!$K$2:$K$101,MATCH(TRIM(K573&amp;""),코드표!$J$2:$J$101,0)),"⚠"&amp;TRIM(K573&amp;"")))</f>
        <v/>
      </c>
      <c r="T573" s="10">
        <f>IF(TRIM(M573&amp;"")="","",IF(ISNUMBER(MATCH(TRIM(M573&amp;""),코드표!$C$2:$C$11,0)),TRIM(M573&amp;""),"⚠"&amp;TRIM(M573&amp;"")))</f>
        <v/>
      </c>
      <c r="U573" s="10">
        <f>IF(TRIM(L573&amp;"")="","",IFERROR(INDEX(코드표!$G$2:$G$101,MATCH(TRIM(L573&amp;""),코드표!$F$2:$F$101,0)),"⚠"&amp;TRIM(L573&amp;"")))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IF(ISNUMBER(H573),MAX(0,MIN(IF(ISNUMBER(I573),I573,EOMONTH(요약!$B$3,0)),EOMONTH(요약!$B$3,0))-MAX(H573,요약!$B$3)+1),0)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IF(AND(ISNUMBER(AB573),ISNUMBER(AC573)),MAX(0,MIN(AC573,EOMONTH(요약!$B$3,0))-MAX(AB573,요약!$B$3)+1),0)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IF(TRIM(B574&amp;"")="","",IFERROR(INDEX(코드표!$K$2:$K$101,MATCH(TRIM(B574&amp;""),코드표!$J$2:$J$101,0)),"⚠"&amp;TRIM(B574&amp;"")))</f>
        <v/>
      </c>
      <c r="S574" s="10">
        <f>IF(TRIM(K574&amp;"")="","",IFERROR(INDEX(코드표!$K$2:$K$101,MATCH(TRIM(K574&amp;""),코드표!$J$2:$J$101,0)),"⚠"&amp;TRIM(K574&amp;"")))</f>
        <v/>
      </c>
      <c r="T574" s="10">
        <f>IF(TRIM(M574&amp;"")="","",IF(ISNUMBER(MATCH(TRIM(M574&amp;""),코드표!$C$2:$C$11,0)),TRIM(M574&amp;""),"⚠"&amp;TRIM(M574&amp;"")))</f>
        <v/>
      </c>
      <c r="U574" s="10">
        <f>IF(TRIM(L574&amp;"")="","",IFERROR(INDEX(코드표!$G$2:$G$101,MATCH(TRIM(L574&amp;""),코드표!$F$2:$F$101,0)),"⚠"&amp;TRIM(L574&amp;"")))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IF(ISNUMBER(H574),MAX(0,MIN(IF(ISNUMBER(I574),I574,EOMONTH(요약!$B$3,0)),EOMONTH(요약!$B$3,0))-MAX(H574,요약!$B$3)+1),0)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IF(AND(ISNUMBER(AB574),ISNUMBER(AC574)),MAX(0,MIN(AC574,EOMONTH(요약!$B$3,0))-MAX(AB574,요약!$B$3)+1),0)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IF(TRIM(B575&amp;"")="","",IFERROR(INDEX(코드표!$K$2:$K$101,MATCH(TRIM(B575&amp;""),코드표!$J$2:$J$101,0)),"⚠"&amp;TRIM(B575&amp;"")))</f>
        <v/>
      </c>
      <c r="S575" s="10">
        <f>IF(TRIM(K575&amp;"")="","",IFERROR(INDEX(코드표!$K$2:$K$101,MATCH(TRIM(K575&amp;""),코드표!$J$2:$J$101,0)),"⚠"&amp;TRIM(K575&amp;"")))</f>
        <v/>
      </c>
      <c r="T575" s="10">
        <f>IF(TRIM(M575&amp;"")="","",IF(ISNUMBER(MATCH(TRIM(M575&amp;""),코드표!$C$2:$C$11,0)),TRIM(M575&amp;""),"⚠"&amp;TRIM(M575&amp;"")))</f>
        <v/>
      </c>
      <c r="U575" s="10">
        <f>IF(TRIM(L575&amp;"")="","",IFERROR(INDEX(코드표!$G$2:$G$101,MATCH(TRIM(L575&amp;""),코드표!$F$2:$F$101,0)),"⚠"&amp;TRIM(L575&amp;"")))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IF(ISNUMBER(H575),MAX(0,MIN(IF(ISNUMBER(I575),I575,EOMONTH(요약!$B$3,0)),EOMONTH(요약!$B$3,0))-MAX(H575,요약!$B$3)+1),0)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IF(AND(ISNUMBER(AB575),ISNUMBER(AC575)),MAX(0,MIN(AC575,EOMONTH(요약!$B$3,0))-MAX(AB575,요약!$B$3)+1),0)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IF(TRIM(B576&amp;"")="","",IFERROR(INDEX(코드표!$K$2:$K$101,MATCH(TRIM(B576&amp;""),코드표!$J$2:$J$101,0)),"⚠"&amp;TRIM(B576&amp;"")))</f>
        <v/>
      </c>
      <c r="S576" s="10">
        <f>IF(TRIM(K576&amp;"")="","",IFERROR(INDEX(코드표!$K$2:$K$101,MATCH(TRIM(K576&amp;""),코드표!$J$2:$J$101,0)),"⚠"&amp;TRIM(K576&amp;"")))</f>
        <v/>
      </c>
      <c r="T576" s="10">
        <f>IF(TRIM(M576&amp;"")="","",IF(ISNUMBER(MATCH(TRIM(M576&amp;""),코드표!$C$2:$C$11,0)),TRIM(M576&amp;""),"⚠"&amp;TRIM(M576&amp;"")))</f>
        <v/>
      </c>
      <c r="U576" s="10">
        <f>IF(TRIM(L576&amp;"")="","",IFERROR(INDEX(코드표!$G$2:$G$101,MATCH(TRIM(L576&amp;""),코드표!$F$2:$F$101,0)),"⚠"&amp;TRIM(L576&amp;"")))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IF(ISNUMBER(H576),MAX(0,MIN(IF(ISNUMBER(I576),I576,EOMONTH(요약!$B$3,0)),EOMONTH(요약!$B$3,0))-MAX(H576,요약!$B$3)+1),0)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IF(AND(ISNUMBER(AB576),ISNUMBER(AC576)),MAX(0,MIN(AC576,EOMONTH(요약!$B$3,0))-MAX(AB576,요약!$B$3)+1),0)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IF(TRIM(B577&amp;"")="","",IFERROR(INDEX(코드표!$K$2:$K$101,MATCH(TRIM(B577&amp;""),코드표!$J$2:$J$101,0)),"⚠"&amp;TRIM(B577&amp;"")))</f>
        <v/>
      </c>
      <c r="S577" s="10">
        <f>IF(TRIM(K577&amp;"")="","",IFERROR(INDEX(코드표!$K$2:$K$101,MATCH(TRIM(K577&amp;""),코드표!$J$2:$J$101,0)),"⚠"&amp;TRIM(K577&amp;"")))</f>
        <v/>
      </c>
      <c r="T577" s="10">
        <f>IF(TRIM(M577&amp;"")="","",IF(ISNUMBER(MATCH(TRIM(M577&amp;""),코드표!$C$2:$C$11,0)),TRIM(M577&amp;""),"⚠"&amp;TRIM(M577&amp;"")))</f>
        <v/>
      </c>
      <c r="U577" s="10">
        <f>IF(TRIM(L577&amp;"")="","",IFERROR(INDEX(코드표!$G$2:$G$101,MATCH(TRIM(L577&amp;""),코드표!$F$2:$F$101,0)),"⚠"&amp;TRIM(L577&amp;"")))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IF(ISNUMBER(H577),MAX(0,MIN(IF(ISNUMBER(I577),I577,EOMONTH(요약!$B$3,0)),EOMONTH(요약!$B$3,0))-MAX(H577,요약!$B$3)+1),0)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IF(AND(ISNUMBER(AB577),ISNUMBER(AC577)),MAX(0,MIN(AC577,EOMONTH(요약!$B$3,0))-MAX(AB577,요약!$B$3)+1),0)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IF(TRIM(B578&amp;"")="","",IFERROR(INDEX(코드표!$K$2:$K$101,MATCH(TRIM(B578&amp;""),코드표!$J$2:$J$101,0)),"⚠"&amp;TRIM(B578&amp;"")))</f>
        <v/>
      </c>
      <c r="S578" s="10">
        <f>IF(TRIM(K578&amp;"")="","",IFERROR(INDEX(코드표!$K$2:$K$101,MATCH(TRIM(K578&amp;""),코드표!$J$2:$J$101,0)),"⚠"&amp;TRIM(K578&amp;"")))</f>
        <v/>
      </c>
      <c r="T578" s="10">
        <f>IF(TRIM(M578&amp;"")="","",IF(ISNUMBER(MATCH(TRIM(M578&amp;""),코드표!$C$2:$C$11,0)),TRIM(M578&amp;""),"⚠"&amp;TRIM(M578&amp;"")))</f>
        <v/>
      </c>
      <c r="U578" s="10">
        <f>IF(TRIM(L578&amp;"")="","",IFERROR(INDEX(코드표!$G$2:$G$101,MATCH(TRIM(L578&amp;""),코드표!$F$2:$F$101,0)),"⚠"&amp;TRIM(L578&amp;"")))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IF(ISNUMBER(H578),MAX(0,MIN(IF(ISNUMBER(I578),I578,EOMONTH(요약!$B$3,0)),EOMONTH(요약!$B$3,0))-MAX(H578,요약!$B$3)+1),0)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IF(AND(ISNUMBER(AB578),ISNUMBER(AC578)),MAX(0,MIN(AC578,EOMONTH(요약!$B$3,0))-MAX(AB578,요약!$B$3)+1),0)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IF(TRIM(B579&amp;"")="","",IFERROR(INDEX(코드표!$K$2:$K$101,MATCH(TRIM(B579&amp;""),코드표!$J$2:$J$101,0)),"⚠"&amp;TRIM(B579&amp;"")))</f>
        <v/>
      </c>
      <c r="S579" s="10">
        <f>IF(TRIM(K579&amp;"")="","",IFERROR(INDEX(코드표!$K$2:$K$101,MATCH(TRIM(K579&amp;""),코드표!$J$2:$J$101,0)),"⚠"&amp;TRIM(K579&amp;"")))</f>
        <v/>
      </c>
      <c r="T579" s="10">
        <f>IF(TRIM(M579&amp;"")="","",IF(ISNUMBER(MATCH(TRIM(M579&amp;""),코드표!$C$2:$C$11,0)),TRIM(M579&amp;""),"⚠"&amp;TRIM(M579&amp;"")))</f>
        <v/>
      </c>
      <c r="U579" s="10">
        <f>IF(TRIM(L579&amp;"")="","",IFERROR(INDEX(코드표!$G$2:$G$101,MATCH(TRIM(L579&amp;""),코드표!$F$2:$F$101,0)),"⚠"&amp;TRIM(L579&amp;"")))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IF(ISNUMBER(H579),MAX(0,MIN(IF(ISNUMBER(I579),I579,EOMONTH(요약!$B$3,0)),EOMONTH(요약!$B$3,0))-MAX(H579,요약!$B$3)+1),0)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IF(AND(ISNUMBER(AB579),ISNUMBER(AC579)),MAX(0,MIN(AC579,EOMONTH(요약!$B$3,0))-MAX(AB579,요약!$B$3)+1),0)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IF(TRIM(B580&amp;"")="","",IFERROR(INDEX(코드표!$K$2:$K$101,MATCH(TRIM(B580&amp;""),코드표!$J$2:$J$101,0)),"⚠"&amp;TRIM(B580&amp;"")))</f>
        <v/>
      </c>
      <c r="S580" s="10">
        <f>IF(TRIM(K580&amp;"")="","",IFERROR(INDEX(코드표!$K$2:$K$101,MATCH(TRIM(K580&amp;""),코드표!$J$2:$J$101,0)),"⚠"&amp;TRIM(K580&amp;"")))</f>
        <v/>
      </c>
      <c r="T580" s="10">
        <f>IF(TRIM(M580&amp;"")="","",IF(ISNUMBER(MATCH(TRIM(M580&amp;""),코드표!$C$2:$C$11,0)),TRIM(M580&amp;""),"⚠"&amp;TRIM(M580&amp;"")))</f>
        <v/>
      </c>
      <c r="U580" s="10">
        <f>IF(TRIM(L580&amp;"")="","",IFERROR(INDEX(코드표!$G$2:$G$101,MATCH(TRIM(L580&amp;""),코드표!$F$2:$F$101,0)),"⚠"&amp;TRIM(L580&amp;"")))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IF(ISNUMBER(H580),MAX(0,MIN(IF(ISNUMBER(I580),I580,EOMONTH(요약!$B$3,0)),EOMONTH(요약!$B$3,0))-MAX(H580,요약!$B$3)+1),0)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IF(AND(ISNUMBER(AB580),ISNUMBER(AC580)),MAX(0,MIN(AC580,EOMONTH(요약!$B$3,0))-MAX(AB580,요약!$B$3)+1),0)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IF(TRIM(B581&amp;"")="","",IFERROR(INDEX(코드표!$K$2:$K$101,MATCH(TRIM(B581&amp;""),코드표!$J$2:$J$101,0)),"⚠"&amp;TRIM(B581&amp;"")))</f>
        <v/>
      </c>
      <c r="S581" s="10">
        <f>IF(TRIM(K581&amp;"")="","",IFERROR(INDEX(코드표!$K$2:$K$101,MATCH(TRIM(K581&amp;""),코드표!$J$2:$J$101,0)),"⚠"&amp;TRIM(K581&amp;"")))</f>
        <v/>
      </c>
      <c r="T581" s="10">
        <f>IF(TRIM(M581&amp;"")="","",IF(ISNUMBER(MATCH(TRIM(M581&amp;""),코드표!$C$2:$C$11,0)),TRIM(M581&amp;""),"⚠"&amp;TRIM(M581&amp;"")))</f>
        <v/>
      </c>
      <c r="U581" s="10">
        <f>IF(TRIM(L581&amp;"")="","",IFERROR(INDEX(코드표!$G$2:$G$101,MATCH(TRIM(L581&amp;""),코드표!$F$2:$F$101,0)),"⚠"&amp;TRIM(L581&amp;"")))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IF(ISNUMBER(H581),MAX(0,MIN(IF(ISNUMBER(I581),I581,EOMONTH(요약!$B$3,0)),EOMONTH(요약!$B$3,0))-MAX(H581,요약!$B$3)+1),0)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IF(AND(ISNUMBER(AB581),ISNUMBER(AC581)),MAX(0,MIN(AC581,EOMONTH(요약!$B$3,0))-MAX(AB581,요약!$B$3)+1),0)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IF(TRIM(B582&amp;"")="","",IFERROR(INDEX(코드표!$K$2:$K$101,MATCH(TRIM(B582&amp;""),코드표!$J$2:$J$101,0)),"⚠"&amp;TRIM(B582&amp;"")))</f>
        <v/>
      </c>
      <c r="S582" s="10">
        <f>IF(TRIM(K582&amp;"")="","",IFERROR(INDEX(코드표!$K$2:$K$101,MATCH(TRIM(K582&amp;""),코드표!$J$2:$J$101,0)),"⚠"&amp;TRIM(K582&amp;"")))</f>
        <v/>
      </c>
      <c r="T582" s="10">
        <f>IF(TRIM(M582&amp;"")="","",IF(ISNUMBER(MATCH(TRIM(M582&amp;""),코드표!$C$2:$C$11,0)),TRIM(M582&amp;""),"⚠"&amp;TRIM(M582&amp;"")))</f>
        <v/>
      </c>
      <c r="U582" s="10">
        <f>IF(TRIM(L582&amp;"")="","",IFERROR(INDEX(코드표!$G$2:$G$101,MATCH(TRIM(L582&amp;""),코드표!$F$2:$F$101,0)),"⚠"&amp;TRIM(L582&amp;"")))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IF(ISNUMBER(H582),MAX(0,MIN(IF(ISNUMBER(I582),I582,EOMONTH(요약!$B$3,0)),EOMONTH(요약!$B$3,0))-MAX(H582,요약!$B$3)+1),0)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IF(AND(ISNUMBER(AB582),ISNUMBER(AC582)),MAX(0,MIN(AC582,EOMONTH(요약!$B$3,0))-MAX(AB582,요약!$B$3)+1),0)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IF(TRIM(B583&amp;"")="","",IFERROR(INDEX(코드표!$K$2:$K$101,MATCH(TRIM(B583&amp;""),코드표!$J$2:$J$101,0)),"⚠"&amp;TRIM(B583&amp;"")))</f>
        <v/>
      </c>
      <c r="S583" s="10">
        <f>IF(TRIM(K583&amp;"")="","",IFERROR(INDEX(코드표!$K$2:$K$101,MATCH(TRIM(K583&amp;""),코드표!$J$2:$J$101,0)),"⚠"&amp;TRIM(K583&amp;"")))</f>
        <v/>
      </c>
      <c r="T583" s="10">
        <f>IF(TRIM(M583&amp;"")="","",IF(ISNUMBER(MATCH(TRIM(M583&amp;""),코드표!$C$2:$C$11,0)),TRIM(M583&amp;""),"⚠"&amp;TRIM(M583&amp;"")))</f>
        <v/>
      </c>
      <c r="U583" s="10">
        <f>IF(TRIM(L583&amp;"")="","",IFERROR(INDEX(코드표!$G$2:$G$101,MATCH(TRIM(L583&amp;""),코드표!$F$2:$F$101,0)),"⚠"&amp;TRIM(L583&amp;"")))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IF(ISNUMBER(H583),MAX(0,MIN(IF(ISNUMBER(I583),I583,EOMONTH(요약!$B$3,0)),EOMONTH(요약!$B$3,0))-MAX(H583,요약!$B$3)+1),0)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IF(AND(ISNUMBER(AB583),ISNUMBER(AC583)),MAX(0,MIN(AC583,EOMONTH(요약!$B$3,0))-MAX(AB583,요약!$B$3)+1),0)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IF(TRIM(B584&amp;"")="","",IFERROR(INDEX(코드표!$K$2:$K$101,MATCH(TRIM(B584&amp;""),코드표!$J$2:$J$101,0)),"⚠"&amp;TRIM(B584&amp;"")))</f>
        <v/>
      </c>
      <c r="S584" s="10">
        <f>IF(TRIM(K584&amp;"")="","",IFERROR(INDEX(코드표!$K$2:$K$101,MATCH(TRIM(K584&amp;""),코드표!$J$2:$J$101,0)),"⚠"&amp;TRIM(K584&amp;"")))</f>
        <v/>
      </c>
      <c r="T584" s="10">
        <f>IF(TRIM(M584&amp;"")="","",IF(ISNUMBER(MATCH(TRIM(M584&amp;""),코드표!$C$2:$C$11,0)),TRIM(M584&amp;""),"⚠"&amp;TRIM(M584&amp;"")))</f>
        <v/>
      </c>
      <c r="U584" s="10">
        <f>IF(TRIM(L584&amp;"")="","",IFERROR(INDEX(코드표!$G$2:$G$101,MATCH(TRIM(L584&amp;""),코드표!$F$2:$F$101,0)),"⚠"&amp;TRIM(L584&amp;"")))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IF(ISNUMBER(H584),MAX(0,MIN(IF(ISNUMBER(I584),I584,EOMONTH(요약!$B$3,0)),EOMONTH(요약!$B$3,0))-MAX(H584,요약!$B$3)+1),0)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IF(AND(ISNUMBER(AB584),ISNUMBER(AC584)),MAX(0,MIN(AC584,EOMONTH(요약!$B$3,0))-MAX(AB584,요약!$B$3)+1),0)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IF(TRIM(B585&amp;"")="","",IFERROR(INDEX(코드표!$K$2:$K$101,MATCH(TRIM(B585&amp;""),코드표!$J$2:$J$101,0)),"⚠"&amp;TRIM(B585&amp;"")))</f>
        <v/>
      </c>
      <c r="S585" s="10">
        <f>IF(TRIM(K585&amp;"")="","",IFERROR(INDEX(코드표!$K$2:$K$101,MATCH(TRIM(K585&amp;""),코드표!$J$2:$J$101,0)),"⚠"&amp;TRIM(K585&amp;"")))</f>
        <v/>
      </c>
      <c r="T585" s="10">
        <f>IF(TRIM(M585&amp;"")="","",IF(ISNUMBER(MATCH(TRIM(M585&amp;""),코드표!$C$2:$C$11,0)),TRIM(M585&amp;""),"⚠"&amp;TRIM(M585&amp;"")))</f>
        <v/>
      </c>
      <c r="U585" s="10">
        <f>IF(TRIM(L585&amp;"")="","",IFERROR(INDEX(코드표!$G$2:$G$101,MATCH(TRIM(L585&amp;""),코드표!$F$2:$F$101,0)),"⚠"&amp;TRIM(L585&amp;"")))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IF(ISNUMBER(H585),MAX(0,MIN(IF(ISNUMBER(I585),I585,EOMONTH(요약!$B$3,0)),EOMONTH(요약!$B$3,0))-MAX(H585,요약!$B$3)+1),0)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IF(AND(ISNUMBER(AB585),ISNUMBER(AC585)),MAX(0,MIN(AC585,EOMONTH(요약!$B$3,0))-MAX(AB585,요약!$B$3)+1),0)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IF(TRIM(B586&amp;"")="","",IFERROR(INDEX(코드표!$K$2:$K$101,MATCH(TRIM(B586&amp;""),코드표!$J$2:$J$101,0)),"⚠"&amp;TRIM(B586&amp;"")))</f>
        <v/>
      </c>
      <c r="S586" s="10">
        <f>IF(TRIM(K586&amp;"")="","",IFERROR(INDEX(코드표!$K$2:$K$101,MATCH(TRIM(K586&amp;""),코드표!$J$2:$J$101,0)),"⚠"&amp;TRIM(K586&amp;"")))</f>
        <v/>
      </c>
      <c r="T586" s="10">
        <f>IF(TRIM(M586&amp;"")="","",IF(ISNUMBER(MATCH(TRIM(M586&amp;""),코드표!$C$2:$C$11,0)),TRIM(M586&amp;""),"⚠"&amp;TRIM(M586&amp;"")))</f>
        <v/>
      </c>
      <c r="U586" s="10">
        <f>IF(TRIM(L586&amp;"")="","",IFERROR(INDEX(코드표!$G$2:$G$101,MATCH(TRIM(L586&amp;""),코드표!$F$2:$F$101,0)),"⚠"&amp;TRIM(L586&amp;"")))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IF(ISNUMBER(H586),MAX(0,MIN(IF(ISNUMBER(I586),I586,EOMONTH(요약!$B$3,0)),EOMONTH(요약!$B$3,0))-MAX(H586,요약!$B$3)+1),0)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IF(AND(ISNUMBER(AB586),ISNUMBER(AC586)),MAX(0,MIN(AC586,EOMONTH(요약!$B$3,0))-MAX(AB586,요약!$B$3)+1),0)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IF(TRIM(B587&amp;"")="","",IFERROR(INDEX(코드표!$K$2:$K$101,MATCH(TRIM(B587&amp;""),코드표!$J$2:$J$101,0)),"⚠"&amp;TRIM(B587&amp;"")))</f>
        <v/>
      </c>
      <c r="S587" s="10">
        <f>IF(TRIM(K587&amp;"")="","",IFERROR(INDEX(코드표!$K$2:$K$101,MATCH(TRIM(K587&amp;""),코드표!$J$2:$J$101,0)),"⚠"&amp;TRIM(K587&amp;"")))</f>
        <v/>
      </c>
      <c r="T587" s="10">
        <f>IF(TRIM(M587&amp;"")="","",IF(ISNUMBER(MATCH(TRIM(M587&amp;""),코드표!$C$2:$C$11,0)),TRIM(M587&amp;""),"⚠"&amp;TRIM(M587&amp;"")))</f>
        <v/>
      </c>
      <c r="U587" s="10">
        <f>IF(TRIM(L587&amp;"")="","",IFERROR(INDEX(코드표!$G$2:$G$101,MATCH(TRIM(L587&amp;""),코드표!$F$2:$F$101,0)),"⚠"&amp;TRIM(L587&amp;"")))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IF(ISNUMBER(H587),MAX(0,MIN(IF(ISNUMBER(I587),I587,EOMONTH(요약!$B$3,0)),EOMONTH(요약!$B$3,0))-MAX(H587,요약!$B$3)+1),0)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IF(AND(ISNUMBER(AB587),ISNUMBER(AC587)),MAX(0,MIN(AC587,EOMONTH(요약!$B$3,0))-MAX(AB587,요약!$B$3)+1),0)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IF(TRIM(B588&amp;"")="","",IFERROR(INDEX(코드표!$K$2:$K$101,MATCH(TRIM(B588&amp;""),코드표!$J$2:$J$101,0)),"⚠"&amp;TRIM(B588&amp;"")))</f>
        <v/>
      </c>
      <c r="S588" s="10">
        <f>IF(TRIM(K588&amp;"")="","",IFERROR(INDEX(코드표!$K$2:$K$101,MATCH(TRIM(K588&amp;""),코드표!$J$2:$J$101,0)),"⚠"&amp;TRIM(K588&amp;"")))</f>
        <v/>
      </c>
      <c r="T588" s="10">
        <f>IF(TRIM(M588&amp;"")="","",IF(ISNUMBER(MATCH(TRIM(M588&amp;""),코드표!$C$2:$C$11,0)),TRIM(M588&amp;""),"⚠"&amp;TRIM(M588&amp;"")))</f>
        <v/>
      </c>
      <c r="U588" s="10">
        <f>IF(TRIM(L588&amp;"")="","",IFERROR(INDEX(코드표!$G$2:$G$101,MATCH(TRIM(L588&amp;""),코드표!$F$2:$F$101,0)),"⚠"&amp;TRIM(L588&amp;"")))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IF(ISNUMBER(H588),MAX(0,MIN(IF(ISNUMBER(I588),I588,EOMONTH(요약!$B$3,0)),EOMONTH(요약!$B$3,0))-MAX(H588,요약!$B$3)+1),0)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IF(AND(ISNUMBER(AB588),ISNUMBER(AC588)),MAX(0,MIN(AC588,EOMONTH(요약!$B$3,0))-MAX(AB588,요약!$B$3)+1),0)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IF(TRIM(B589&amp;"")="","",IFERROR(INDEX(코드표!$K$2:$K$101,MATCH(TRIM(B589&amp;""),코드표!$J$2:$J$101,0)),"⚠"&amp;TRIM(B589&amp;"")))</f>
        <v/>
      </c>
      <c r="S589" s="10">
        <f>IF(TRIM(K589&amp;"")="","",IFERROR(INDEX(코드표!$K$2:$K$101,MATCH(TRIM(K589&amp;""),코드표!$J$2:$J$101,0)),"⚠"&amp;TRIM(K589&amp;"")))</f>
        <v/>
      </c>
      <c r="T589" s="10">
        <f>IF(TRIM(M589&amp;"")="","",IF(ISNUMBER(MATCH(TRIM(M589&amp;""),코드표!$C$2:$C$11,0)),TRIM(M589&amp;""),"⚠"&amp;TRIM(M589&amp;"")))</f>
        <v/>
      </c>
      <c r="U589" s="10">
        <f>IF(TRIM(L589&amp;"")="","",IFERROR(INDEX(코드표!$G$2:$G$101,MATCH(TRIM(L589&amp;""),코드표!$F$2:$F$101,0)),"⚠"&amp;TRIM(L589&amp;"")))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IF(ISNUMBER(H589),MAX(0,MIN(IF(ISNUMBER(I589),I589,EOMONTH(요약!$B$3,0)),EOMONTH(요약!$B$3,0))-MAX(H589,요약!$B$3)+1),0)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IF(AND(ISNUMBER(AB589),ISNUMBER(AC589)),MAX(0,MIN(AC589,EOMONTH(요약!$B$3,0))-MAX(AB589,요약!$B$3)+1),0)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IF(TRIM(B590&amp;"")="","",IFERROR(INDEX(코드표!$K$2:$K$101,MATCH(TRIM(B590&amp;""),코드표!$J$2:$J$101,0)),"⚠"&amp;TRIM(B590&amp;"")))</f>
        <v/>
      </c>
      <c r="S590" s="10">
        <f>IF(TRIM(K590&amp;"")="","",IFERROR(INDEX(코드표!$K$2:$K$101,MATCH(TRIM(K590&amp;""),코드표!$J$2:$J$101,0)),"⚠"&amp;TRIM(K590&amp;"")))</f>
        <v/>
      </c>
      <c r="T590" s="10">
        <f>IF(TRIM(M590&amp;"")="","",IF(ISNUMBER(MATCH(TRIM(M590&amp;""),코드표!$C$2:$C$11,0)),TRIM(M590&amp;""),"⚠"&amp;TRIM(M590&amp;"")))</f>
        <v/>
      </c>
      <c r="U590" s="10">
        <f>IF(TRIM(L590&amp;"")="","",IFERROR(INDEX(코드표!$G$2:$G$101,MATCH(TRIM(L590&amp;""),코드표!$F$2:$F$101,0)),"⚠"&amp;TRIM(L590&amp;"")))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IF(ISNUMBER(H590),MAX(0,MIN(IF(ISNUMBER(I590),I590,EOMONTH(요약!$B$3,0)),EOMONTH(요약!$B$3,0))-MAX(H590,요약!$B$3)+1),0)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IF(AND(ISNUMBER(AB590),ISNUMBER(AC590)),MAX(0,MIN(AC590,EOMONTH(요약!$B$3,0))-MAX(AB590,요약!$B$3)+1),0)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IF(TRIM(B591&amp;"")="","",IFERROR(INDEX(코드표!$K$2:$K$101,MATCH(TRIM(B591&amp;""),코드표!$J$2:$J$101,0)),"⚠"&amp;TRIM(B591&amp;"")))</f>
        <v/>
      </c>
      <c r="S591" s="10">
        <f>IF(TRIM(K591&amp;"")="","",IFERROR(INDEX(코드표!$K$2:$K$101,MATCH(TRIM(K591&amp;""),코드표!$J$2:$J$101,0)),"⚠"&amp;TRIM(K591&amp;"")))</f>
        <v/>
      </c>
      <c r="T591" s="10">
        <f>IF(TRIM(M591&amp;"")="","",IF(ISNUMBER(MATCH(TRIM(M591&amp;""),코드표!$C$2:$C$11,0)),TRIM(M591&amp;""),"⚠"&amp;TRIM(M591&amp;"")))</f>
        <v/>
      </c>
      <c r="U591" s="10">
        <f>IF(TRIM(L591&amp;"")="","",IFERROR(INDEX(코드표!$G$2:$G$101,MATCH(TRIM(L591&amp;""),코드표!$F$2:$F$101,0)),"⚠"&amp;TRIM(L591&amp;"")))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IF(ISNUMBER(H591),MAX(0,MIN(IF(ISNUMBER(I591),I591,EOMONTH(요약!$B$3,0)),EOMONTH(요약!$B$3,0))-MAX(H591,요약!$B$3)+1),0)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IF(AND(ISNUMBER(AB591),ISNUMBER(AC591)),MAX(0,MIN(AC591,EOMONTH(요약!$B$3,0))-MAX(AB591,요약!$B$3)+1),0)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IF(TRIM(B592&amp;"")="","",IFERROR(INDEX(코드표!$K$2:$K$101,MATCH(TRIM(B592&amp;""),코드표!$J$2:$J$101,0)),"⚠"&amp;TRIM(B592&amp;"")))</f>
        <v/>
      </c>
      <c r="S592" s="10">
        <f>IF(TRIM(K592&amp;"")="","",IFERROR(INDEX(코드표!$K$2:$K$101,MATCH(TRIM(K592&amp;""),코드표!$J$2:$J$101,0)),"⚠"&amp;TRIM(K592&amp;"")))</f>
        <v/>
      </c>
      <c r="T592" s="10">
        <f>IF(TRIM(M592&amp;"")="","",IF(ISNUMBER(MATCH(TRIM(M592&amp;""),코드표!$C$2:$C$11,0)),TRIM(M592&amp;""),"⚠"&amp;TRIM(M592&amp;"")))</f>
        <v/>
      </c>
      <c r="U592" s="10">
        <f>IF(TRIM(L592&amp;"")="","",IFERROR(INDEX(코드표!$G$2:$G$101,MATCH(TRIM(L592&amp;""),코드표!$F$2:$F$101,0)),"⚠"&amp;TRIM(L592&amp;"")))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IF(ISNUMBER(H592),MAX(0,MIN(IF(ISNUMBER(I592),I592,EOMONTH(요약!$B$3,0)),EOMONTH(요약!$B$3,0))-MAX(H592,요약!$B$3)+1),0)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IF(AND(ISNUMBER(AB592),ISNUMBER(AC592)),MAX(0,MIN(AC592,EOMONTH(요약!$B$3,0))-MAX(AB592,요약!$B$3)+1),0)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IF(TRIM(B593&amp;"")="","",IFERROR(INDEX(코드표!$K$2:$K$101,MATCH(TRIM(B593&amp;""),코드표!$J$2:$J$101,0)),"⚠"&amp;TRIM(B593&amp;"")))</f>
        <v/>
      </c>
      <c r="S593" s="10">
        <f>IF(TRIM(K593&amp;"")="","",IFERROR(INDEX(코드표!$K$2:$K$101,MATCH(TRIM(K593&amp;""),코드표!$J$2:$J$101,0)),"⚠"&amp;TRIM(K593&amp;"")))</f>
        <v/>
      </c>
      <c r="T593" s="10">
        <f>IF(TRIM(M593&amp;"")="","",IF(ISNUMBER(MATCH(TRIM(M593&amp;""),코드표!$C$2:$C$11,0)),TRIM(M593&amp;""),"⚠"&amp;TRIM(M593&amp;"")))</f>
        <v/>
      </c>
      <c r="U593" s="10">
        <f>IF(TRIM(L593&amp;"")="","",IFERROR(INDEX(코드표!$G$2:$G$101,MATCH(TRIM(L593&amp;""),코드표!$F$2:$F$101,0)),"⚠"&amp;TRIM(L593&amp;"")))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IF(ISNUMBER(H593),MAX(0,MIN(IF(ISNUMBER(I593),I593,EOMONTH(요약!$B$3,0)),EOMONTH(요약!$B$3,0))-MAX(H593,요약!$B$3)+1),0)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IF(AND(ISNUMBER(AB593),ISNUMBER(AC593)),MAX(0,MIN(AC593,EOMONTH(요약!$B$3,0))-MAX(AB593,요약!$B$3)+1),0)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IF(TRIM(B594&amp;"")="","",IFERROR(INDEX(코드표!$K$2:$K$101,MATCH(TRIM(B594&amp;""),코드표!$J$2:$J$101,0)),"⚠"&amp;TRIM(B594&amp;"")))</f>
        <v/>
      </c>
      <c r="S594" s="10">
        <f>IF(TRIM(K594&amp;"")="","",IFERROR(INDEX(코드표!$K$2:$K$101,MATCH(TRIM(K594&amp;""),코드표!$J$2:$J$101,0)),"⚠"&amp;TRIM(K594&amp;"")))</f>
        <v/>
      </c>
      <c r="T594" s="10">
        <f>IF(TRIM(M594&amp;"")="","",IF(ISNUMBER(MATCH(TRIM(M594&amp;""),코드표!$C$2:$C$11,0)),TRIM(M594&amp;""),"⚠"&amp;TRIM(M594&amp;"")))</f>
        <v/>
      </c>
      <c r="U594" s="10">
        <f>IF(TRIM(L594&amp;"")="","",IFERROR(INDEX(코드표!$G$2:$G$101,MATCH(TRIM(L594&amp;""),코드표!$F$2:$F$101,0)),"⚠"&amp;TRIM(L594&amp;"")))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IF(ISNUMBER(H594),MAX(0,MIN(IF(ISNUMBER(I594),I594,EOMONTH(요약!$B$3,0)),EOMONTH(요약!$B$3,0))-MAX(H594,요약!$B$3)+1),0)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IF(AND(ISNUMBER(AB594),ISNUMBER(AC594)),MAX(0,MIN(AC594,EOMONTH(요약!$B$3,0))-MAX(AB594,요약!$B$3)+1),0)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IF(TRIM(B595&amp;"")="","",IFERROR(INDEX(코드표!$K$2:$K$101,MATCH(TRIM(B595&amp;""),코드표!$J$2:$J$101,0)),"⚠"&amp;TRIM(B595&amp;"")))</f>
        <v/>
      </c>
      <c r="S595" s="10">
        <f>IF(TRIM(K595&amp;"")="","",IFERROR(INDEX(코드표!$K$2:$K$101,MATCH(TRIM(K595&amp;""),코드표!$J$2:$J$101,0)),"⚠"&amp;TRIM(K595&amp;"")))</f>
        <v/>
      </c>
      <c r="T595" s="10">
        <f>IF(TRIM(M595&amp;"")="","",IF(ISNUMBER(MATCH(TRIM(M595&amp;""),코드표!$C$2:$C$11,0)),TRIM(M595&amp;""),"⚠"&amp;TRIM(M595&amp;"")))</f>
        <v/>
      </c>
      <c r="U595" s="10">
        <f>IF(TRIM(L595&amp;"")="","",IFERROR(INDEX(코드표!$G$2:$G$101,MATCH(TRIM(L595&amp;""),코드표!$F$2:$F$101,0)),"⚠"&amp;TRIM(L595&amp;"")))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IF(ISNUMBER(H595),MAX(0,MIN(IF(ISNUMBER(I595),I595,EOMONTH(요약!$B$3,0)),EOMONTH(요약!$B$3,0))-MAX(H595,요약!$B$3)+1),0)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IF(AND(ISNUMBER(AB595),ISNUMBER(AC595)),MAX(0,MIN(AC595,EOMONTH(요약!$B$3,0))-MAX(AB595,요약!$B$3)+1),0)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IF(TRIM(B596&amp;"")="","",IFERROR(INDEX(코드표!$K$2:$K$101,MATCH(TRIM(B596&amp;""),코드표!$J$2:$J$101,0)),"⚠"&amp;TRIM(B596&amp;"")))</f>
        <v/>
      </c>
      <c r="S596" s="10">
        <f>IF(TRIM(K596&amp;"")="","",IFERROR(INDEX(코드표!$K$2:$K$101,MATCH(TRIM(K596&amp;""),코드표!$J$2:$J$101,0)),"⚠"&amp;TRIM(K596&amp;"")))</f>
        <v/>
      </c>
      <c r="T596" s="10">
        <f>IF(TRIM(M596&amp;"")="","",IF(ISNUMBER(MATCH(TRIM(M596&amp;""),코드표!$C$2:$C$11,0)),TRIM(M596&amp;""),"⚠"&amp;TRIM(M596&amp;"")))</f>
        <v/>
      </c>
      <c r="U596" s="10">
        <f>IF(TRIM(L596&amp;"")="","",IFERROR(INDEX(코드표!$G$2:$G$101,MATCH(TRIM(L596&amp;""),코드표!$F$2:$F$101,0)),"⚠"&amp;TRIM(L596&amp;"")))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IF(ISNUMBER(H596),MAX(0,MIN(IF(ISNUMBER(I596),I596,EOMONTH(요약!$B$3,0)),EOMONTH(요약!$B$3,0))-MAX(H596,요약!$B$3)+1),0)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IF(AND(ISNUMBER(AB596),ISNUMBER(AC596)),MAX(0,MIN(AC596,EOMONTH(요약!$B$3,0))-MAX(AB596,요약!$B$3)+1),0)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IF(TRIM(B597&amp;"")="","",IFERROR(INDEX(코드표!$K$2:$K$101,MATCH(TRIM(B597&amp;""),코드표!$J$2:$J$101,0)),"⚠"&amp;TRIM(B597&amp;"")))</f>
        <v/>
      </c>
      <c r="S597" s="10">
        <f>IF(TRIM(K597&amp;"")="","",IFERROR(INDEX(코드표!$K$2:$K$101,MATCH(TRIM(K597&amp;""),코드표!$J$2:$J$101,0)),"⚠"&amp;TRIM(K597&amp;"")))</f>
        <v/>
      </c>
      <c r="T597" s="10">
        <f>IF(TRIM(M597&amp;"")="","",IF(ISNUMBER(MATCH(TRIM(M597&amp;""),코드표!$C$2:$C$11,0)),TRIM(M597&amp;""),"⚠"&amp;TRIM(M597&amp;"")))</f>
        <v/>
      </c>
      <c r="U597" s="10">
        <f>IF(TRIM(L597&amp;"")="","",IFERROR(INDEX(코드표!$G$2:$G$101,MATCH(TRIM(L597&amp;""),코드표!$F$2:$F$101,0)),"⚠"&amp;TRIM(L597&amp;"")))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IF(ISNUMBER(H597),MAX(0,MIN(IF(ISNUMBER(I597),I597,EOMONTH(요약!$B$3,0)),EOMONTH(요약!$B$3,0))-MAX(H597,요약!$B$3)+1),0)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IF(AND(ISNUMBER(AB597),ISNUMBER(AC597)),MAX(0,MIN(AC597,EOMONTH(요약!$B$3,0))-MAX(AB597,요약!$B$3)+1),0)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IF(TRIM(B598&amp;"")="","",IFERROR(INDEX(코드표!$K$2:$K$101,MATCH(TRIM(B598&amp;""),코드표!$J$2:$J$101,0)),"⚠"&amp;TRIM(B598&amp;"")))</f>
        <v/>
      </c>
      <c r="S598" s="10">
        <f>IF(TRIM(K598&amp;"")="","",IFERROR(INDEX(코드표!$K$2:$K$101,MATCH(TRIM(K598&amp;""),코드표!$J$2:$J$101,0)),"⚠"&amp;TRIM(K598&amp;"")))</f>
        <v/>
      </c>
      <c r="T598" s="10">
        <f>IF(TRIM(M598&amp;"")="","",IF(ISNUMBER(MATCH(TRIM(M598&amp;""),코드표!$C$2:$C$11,0)),TRIM(M598&amp;""),"⚠"&amp;TRIM(M598&amp;"")))</f>
        <v/>
      </c>
      <c r="U598" s="10">
        <f>IF(TRIM(L598&amp;"")="","",IFERROR(INDEX(코드표!$G$2:$G$101,MATCH(TRIM(L598&amp;""),코드표!$F$2:$F$101,0)),"⚠"&amp;TRIM(L598&amp;"")))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IF(ISNUMBER(H598),MAX(0,MIN(IF(ISNUMBER(I598),I598,EOMONTH(요약!$B$3,0)),EOMONTH(요약!$B$3,0))-MAX(H598,요약!$B$3)+1),0)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IF(AND(ISNUMBER(AB598),ISNUMBER(AC598)),MAX(0,MIN(AC598,EOMONTH(요약!$B$3,0))-MAX(AB598,요약!$B$3)+1),0)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IF(TRIM(B599&amp;"")="","",IFERROR(INDEX(코드표!$K$2:$K$101,MATCH(TRIM(B599&amp;""),코드표!$J$2:$J$101,0)),"⚠"&amp;TRIM(B599&amp;"")))</f>
        <v/>
      </c>
      <c r="S599" s="10">
        <f>IF(TRIM(K599&amp;"")="","",IFERROR(INDEX(코드표!$K$2:$K$101,MATCH(TRIM(K599&amp;""),코드표!$J$2:$J$101,0)),"⚠"&amp;TRIM(K599&amp;"")))</f>
        <v/>
      </c>
      <c r="T599" s="10">
        <f>IF(TRIM(M599&amp;"")="","",IF(ISNUMBER(MATCH(TRIM(M599&amp;""),코드표!$C$2:$C$11,0)),TRIM(M599&amp;""),"⚠"&amp;TRIM(M599&amp;"")))</f>
        <v/>
      </c>
      <c r="U599" s="10">
        <f>IF(TRIM(L599&amp;"")="","",IFERROR(INDEX(코드표!$G$2:$G$101,MATCH(TRIM(L599&amp;""),코드표!$F$2:$F$101,0)),"⚠"&amp;TRIM(L599&amp;"")))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IF(ISNUMBER(H599),MAX(0,MIN(IF(ISNUMBER(I599),I599,EOMONTH(요약!$B$3,0)),EOMONTH(요약!$B$3,0))-MAX(H599,요약!$B$3)+1),0)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IF(AND(ISNUMBER(AB599),ISNUMBER(AC599)),MAX(0,MIN(AC599,EOMONTH(요약!$B$3,0))-MAX(AB599,요약!$B$3)+1),0)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IF(TRIM(B600&amp;"")="","",IFERROR(INDEX(코드표!$K$2:$K$101,MATCH(TRIM(B600&amp;""),코드표!$J$2:$J$101,0)),"⚠"&amp;TRIM(B600&amp;"")))</f>
        <v/>
      </c>
      <c r="S600" s="10">
        <f>IF(TRIM(K600&amp;"")="","",IFERROR(INDEX(코드표!$K$2:$K$101,MATCH(TRIM(K600&amp;""),코드표!$J$2:$J$101,0)),"⚠"&amp;TRIM(K600&amp;"")))</f>
        <v/>
      </c>
      <c r="T600" s="10">
        <f>IF(TRIM(M600&amp;"")="","",IF(ISNUMBER(MATCH(TRIM(M600&amp;""),코드표!$C$2:$C$11,0)),TRIM(M600&amp;""),"⚠"&amp;TRIM(M600&amp;"")))</f>
        <v/>
      </c>
      <c r="U600" s="10">
        <f>IF(TRIM(L600&amp;"")="","",IFERROR(INDEX(코드표!$G$2:$G$101,MATCH(TRIM(L600&amp;""),코드표!$F$2:$F$101,0)),"⚠"&amp;TRIM(L600&amp;"")))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IF(ISNUMBER(H600),MAX(0,MIN(IF(ISNUMBER(I600),I600,EOMONTH(요약!$B$3,0)),EOMONTH(요약!$B$3,0))-MAX(H600,요약!$B$3)+1),0)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IF(AND(ISNUMBER(AB600),ISNUMBER(AC600)),MAX(0,MIN(AC600,EOMONTH(요약!$B$3,0))-MAX(AB600,요약!$B$3)+1),0)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IF(TRIM(B601&amp;"")="","",IFERROR(INDEX(코드표!$K$2:$K$101,MATCH(TRIM(B601&amp;""),코드표!$J$2:$J$101,0)),"⚠"&amp;TRIM(B601&amp;"")))</f>
        <v/>
      </c>
      <c r="S601" s="10">
        <f>IF(TRIM(K601&amp;"")="","",IFERROR(INDEX(코드표!$K$2:$K$101,MATCH(TRIM(K601&amp;""),코드표!$J$2:$J$101,0)),"⚠"&amp;TRIM(K601&amp;"")))</f>
        <v/>
      </c>
      <c r="T601" s="10">
        <f>IF(TRIM(M601&amp;"")="","",IF(ISNUMBER(MATCH(TRIM(M601&amp;""),코드표!$C$2:$C$11,0)),TRIM(M601&amp;""),"⚠"&amp;TRIM(M601&amp;"")))</f>
        <v/>
      </c>
      <c r="U601" s="10">
        <f>IF(TRIM(L601&amp;"")="","",IFERROR(INDEX(코드표!$G$2:$G$101,MATCH(TRIM(L601&amp;""),코드표!$F$2:$F$101,0)),"⚠"&amp;TRIM(L601&amp;"")))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IF(ISNUMBER(H601),MAX(0,MIN(IF(ISNUMBER(I601),I601,EOMONTH(요약!$B$3,0)),EOMONTH(요약!$B$3,0))-MAX(H601,요약!$B$3)+1),0)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IF(AND(ISNUMBER(AB601),ISNUMBER(AC601)),MAX(0,MIN(AC601,EOMONTH(요약!$B$3,0))-MAX(AB601,요약!$B$3)+1),0)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IF(TRIM(B602&amp;"")="","",IFERROR(INDEX(코드표!$K$2:$K$101,MATCH(TRIM(B602&amp;""),코드표!$J$2:$J$101,0)),"⚠"&amp;TRIM(B602&amp;"")))</f>
        <v/>
      </c>
      <c r="S602" s="10">
        <f>IF(TRIM(K602&amp;"")="","",IFERROR(INDEX(코드표!$K$2:$K$101,MATCH(TRIM(K602&amp;""),코드표!$J$2:$J$101,0)),"⚠"&amp;TRIM(K602&amp;"")))</f>
        <v/>
      </c>
      <c r="T602" s="10">
        <f>IF(TRIM(M602&amp;"")="","",IF(ISNUMBER(MATCH(TRIM(M602&amp;""),코드표!$C$2:$C$11,0)),TRIM(M602&amp;""),"⚠"&amp;TRIM(M602&amp;"")))</f>
        <v/>
      </c>
      <c r="U602" s="10">
        <f>IF(TRIM(L602&amp;"")="","",IFERROR(INDEX(코드표!$G$2:$G$101,MATCH(TRIM(L602&amp;""),코드표!$F$2:$F$101,0)),"⚠"&amp;TRIM(L602&amp;"")))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IF(ISNUMBER(H602),MAX(0,MIN(IF(ISNUMBER(I602),I602,EOMONTH(요약!$B$3,0)),EOMONTH(요약!$B$3,0))-MAX(H602,요약!$B$3)+1),0)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IF(AND(ISNUMBER(AB602),ISNUMBER(AC602)),MAX(0,MIN(AC602,EOMONTH(요약!$B$3,0))-MAX(AB602,요약!$B$3)+1),0)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IF(TRIM(B603&amp;"")="","",IFERROR(INDEX(코드표!$K$2:$K$101,MATCH(TRIM(B603&amp;""),코드표!$J$2:$J$101,0)),"⚠"&amp;TRIM(B603&amp;"")))</f>
        <v/>
      </c>
      <c r="S603" s="10">
        <f>IF(TRIM(K603&amp;"")="","",IFERROR(INDEX(코드표!$K$2:$K$101,MATCH(TRIM(K603&amp;""),코드표!$J$2:$J$101,0)),"⚠"&amp;TRIM(K603&amp;"")))</f>
        <v/>
      </c>
      <c r="T603" s="10">
        <f>IF(TRIM(M603&amp;"")="","",IF(ISNUMBER(MATCH(TRIM(M603&amp;""),코드표!$C$2:$C$11,0)),TRIM(M603&amp;""),"⚠"&amp;TRIM(M603&amp;"")))</f>
        <v/>
      </c>
      <c r="U603" s="10">
        <f>IF(TRIM(L603&amp;"")="","",IFERROR(INDEX(코드표!$G$2:$G$101,MATCH(TRIM(L603&amp;""),코드표!$F$2:$F$101,0)),"⚠"&amp;TRIM(L603&amp;"")))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IF(ISNUMBER(H603),MAX(0,MIN(IF(ISNUMBER(I603),I603,EOMONTH(요약!$B$3,0)),EOMONTH(요약!$B$3,0))-MAX(H603,요약!$B$3)+1),0)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IF(AND(ISNUMBER(AB603),ISNUMBER(AC603)),MAX(0,MIN(AC603,EOMONTH(요약!$B$3,0))-MAX(AB603,요약!$B$3)+1),0)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IF(TRIM(B604&amp;"")="","",IFERROR(INDEX(코드표!$K$2:$K$101,MATCH(TRIM(B604&amp;""),코드표!$J$2:$J$101,0)),"⚠"&amp;TRIM(B604&amp;"")))</f>
        <v/>
      </c>
      <c r="S604" s="10">
        <f>IF(TRIM(K604&amp;"")="","",IFERROR(INDEX(코드표!$K$2:$K$101,MATCH(TRIM(K604&amp;""),코드표!$J$2:$J$101,0)),"⚠"&amp;TRIM(K604&amp;"")))</f>
        <v/>
      </c>
      <c r="T604" s="10">
        <f>IF(TRIM(M604&amp;"")="","",IF(ISNUMBER(MATCH(TRIM(M604&amp;""),코드표!$C$2:$C$11,0)),TRIM(M604&amp;""),"⚠"&amp;TRIM(M604&amp;"")))</f>
        <v/>
      </c>
      <c r="U604" s="10">
        <f>IF(TRIM(L604&amp;"")="","",IFERROR(INDEX(코드표!$G$2:$G$101,MATCH(TRIM(L604&amp;""),코드표!$F$2:$F$101,0)),"⚠"&amp;TRIM(L604&amp;"")))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IF(ISNUMBER(H604),MAX(0,MIN(IF(ISNUMBER(I604),I604,EOMONTH(요약!$B$3,0)),EOMONTH(요약!$B$3,0))-MAX(H604,요약!$B$3)+1),0)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IF(AND(ISNUMBER(AB604),ISNUMBER(AC604)),MAX(0,MIN(AC604,EOMONTH(요약!$B$3,0))-MAX(AB604,요약!$B$3)+1),0)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IF(TRIM(B605&amp;"")="","",IFERROR(INDEX(코드표!$K$2:$K$101,MATCH(TRIM(B605&amp;""),코드표!$J$2:$J$101,0)),"⚠"&amp;TRIM(B605&amp;"")))</f>
        <v/>
      </c>
      <c r="S605" s="10">
        <f>IF(TRIM(K605&amp;"")="","",IFERROR(INDEX(코드표!$K$2:$K$101,MATCH(TRIM(K605&amp;""),코드표!$J$2:$J$101,0)),"⚠"&amp;TRIM(K605&amp;"")))</f>
        <v/>
      </c>
      <c r="T605" s="10">
        <f>IF(TRIM(M605&amp;"")="","",IF(ISNUMBER(MATCH(TRIM(M605&amp;""),코드표!$C$2:$C$11,0)),TRIM(M605&amp;""),"⚠"&amp;TRIM(M605&amp;"")))</f>
        <v/>
      </c>
      <c r="U605" s="10">
        <f>IF(TRIM(L605&amp;"")="","",IFERROR(INDEX(코드표!$G$2:$G$101,MATCH(TRIM(L605&amp;""),코드표!$F$2:$F$101,0)),"⚠"&amp;TRIM(L605&amp;"")))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IF(ISNUMBER(H605),MAX(0,MIN(IF(ISNUMBER(I605),I605,EOMONTH(요약!$B$3,0)),EOMONTH(요약!$B$3,0))-MAX(H605,요약!$B$3)+1),0)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IF(AND(ISNUMBER(AB605),ISNUMBER(AC605)),MAX(0,MIN(AC605,EOMONTH(요약!$B$3,0))-MAX(AB605,요약!$B$3)+1),0)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IF(TRIM(B606&amp;"")="","",IFERROR(INDEX(코드표!$K$2:$K$101,MATCH(TRIM(B606&amp;""),코드표!$J$2:$J$101,0)),"⚠"&amp;TRIM(B606&amp;"")))</f>
        <v/>
      </c>
      <c r="S606" s="10">
        <f>IF(TRIM(K606&amp;"")="","",IFERROR(INDEX(코드표!$K$2:$K$101,MATCH(TRIM(K606&amp;""),코드표!$J$2:$J$101,0)),"⚠"&amp;TRIM(K606&amp;"")))</f>
        <v/>
      </c>
      <c r="T606" s="10">
        <f>IF(TRIM(M606&amp;"")="","",IF(ISNUMBER(MATCH(TRIM(M606&amp;""),코드표!$C$2:$C$11,0)),TRIM(M606&amp;""),"⚠"&amp;TRIM(M606&amp;"")))</f>
        <v/>
      </c>
      <c r="U606" s="10">
        <f>IF(TRIM(L606&amp;"")="","",IFERROR(INDEX(코드표!$G$2:$G$101,MATCH(TRIM(L606&amp;""),코드표!$F$2:$F$101,0)),"⚠"&amp;TRIM(L606&amp;"")))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IF(ISNUMBER(H606),MAX(0,MIN(IF(ISNUMBER(I606),I606,EOMONTH(요약!$B$3,0)),EOMONTH(요약!$B$3,0))-MAX(H606,요약!$B$3)+1),0)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IF(AND(ISNUMBER(AB606),ISNUMBER(AC606)),MAX(0,MIN(AC606,EOMONTH(요약!$B$3,0))-MAX(AB606,요약!$B$3)+1),0)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IF(TRIM(B607&amp;"")="","",IFERROR(INDEX(코드표!$K$2:$K$101,MATCH(TRIM(B607&amp;""),코드표!$J$2:$J$101,0)),"⚠"&amp;TRIM(B607&amp;"")))</f>
        <v/>
      </c>
      <c r="S607" s="10">
        <f>IF(TRIM(K607&amp;"")="","",IFERROR(INDEX(코드표!$K$2:$K$101,MATCH(TRIM(K607&amp;""),코드표!$J$2:$J$101,0)),"⚠"&amp;TRIM(K607&amp;"")))</f>
        <v/>
      </c>
      <c r="T607" s="10">
        <f>IF(TRIM(M607&amp;"")="","",IF(ISNUMBER(MATCH(TRIM(M607&amp;""),코드표!$C$2:$C$11,0)),TRIM(M607&amp;""),"⚠"&amp;TRIM(M607&amp;"")))</f>
        <v/>
      </c>
      <c r="U607" s="10">
        <f>IF(TRIM(L607&amp;"")="","",IFERROR(INDEX(코드표!$G$2:$G$101,MATCH(TRIM(L607&amp;""),코드표!$F$2:$F$101,0)),"⚠"&amp;TRIM(L607&amp;"")))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IF(ISNUMBER(H607),MAX(0,MIN(IF(ISNUMBER(I607),I607,EOMONTH(요약!$B$3,0)),EOMONTH(요약!$B$3,0))-MAX(H607,요약!$B$3)+1),0)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IF(AND(ISNUMBER(AB607),ISNUMBER(AC607)),MAX(0,MIN(AC607,EOMONTH(요약!$B$3,0))-MAX(AB607,요약!$B$3)+1),0)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IF(TRIM(B608&amp;"")="","",IFERROR(INDEX(코드표!$K$2:$K$101,MATCH(TRIM(B608&amp;""),코드표!$J$2:$J$101,0)),"⚠"&amp;TRIM(B608&amp;"")))</f>
        <v/>
      </c>
      <c r="S608" s="10">
        <f>IF(TRIM(K608&amp;"")="","",IFERROR(INDEX(코드표!$K$2:$K$101,MATCH(TRIM(K608&amp;""),코드표!$J$2:$J$101,0)),"⚠"&amp;TRIM(K608&amp;"")))</f>
        <v/>
      </c>
      <c r="T608" s="10">
        <f>IF(TRIM(M608&amp;"")="","",IF(ISNUMBER(MATCH(TRIM(M608&amp;""),코드표!$C$2:$C$11,0)),TRIM(M608&amp;""),"⚠"&amp;TRIM(M608&amp;"")))</f>
        <v/>
      </c>
      <c r="U608" s="10">
        <f>IF(TRIM(L608&amp;"")="","",IFERROR(INDEX(코드표!$G$2:$G$101,MATCH(TRIM(L608&amp;""),코드표!$F$2:$F$101,0)),"⚠"&amp;TRIM(L608&amp;"")))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IF(ISNUMBER(H608),MAX(0,MIN(IF(ISNUMBER(I608),I608,EOMONTH(요약!$B$3,0)),EOMONTH(요약!$B$3,0))-MAX(H608,요약!$B$3)+1),0)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IF(AND(ISNUMBER(AB608),ISNUMBER(AC608)),MAX(0,MIN(AC608,EOMONTH(요약!$B$3,0))-MAX(AB608,요약!$B$3)+1),0)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IF(TRIM(B609&amp;"")="","",IFERROR(INDEX(코드표!$K$2:$K$101,MATCH(TRIM(B609&amp;""),코드표!$J$2:$J$101,0)),"⚠"&amp;TRIM(B609&amp;"")))</f>
        <v/>
      </c>
      <c r="S609" s="10">
        <f>IF(TRIM(K609&amp;"")="","",IFERROR(INDEX(코드표!$K$2:$K$101,MATCH(TRIM(K609&amp;""),코드표!$J$2:$J$101,0)),"⚠"&amp;TRIM(K609&amp;"")))</f>
        <v/>
      </c>
      <c r="T609" s="10">
        <f>IF(TRIM(M609&amp;"")="","",IF(ISNUMBER(MATCH(TRIM(M609&amp;""),코드표!$C$2:$C$11,0)),TRIM(M609&amp;""),"⚠"&amp;TRIM(M609&amp;"")))</f>
        <v/>
      </c>
      <c r="U609" s="10">
        <f>IF(TRIM(L609&amp;"")="","",IFERROR(INDEX(코드표!$G$2:$G$101,MATCH(TRIM(L609&amp;""),코드표!$F$2:$F$101,0)),"⚠"&amp;TRIM(L609&amp;"")))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IF(ISNUMBER(H609),MAX(0,MIN(IF(ISNUMBER(I609),I609,EOMONTH(요약!$B$3,0)),EOMONTH(요약!$B$3,0))-MAX(H609,요약!$B$3)+1),0)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IF(AND(ISNUMBER(AB609),ISNUMBER(AC609)),MAX(0,MIN(AC609,EOMONTH(요약!$B$3,0))-MAX(AB609,요약!$B$3)+1),0)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IF(TRIM(B610&amp;"")="","",IFERROR(INDEX(코드표!$K$2:$K$101,MATCH(TRIM(B610&amp;""),코드표!$J$2:$J$101,0)),"⚠"&amp;TRIM(B610&amp;"")))</f>
        <v/>
      </c>
      <c r="S610" s="10">
        <f>IF(TRIM(K610&amp;"")="","",IFERROR(INDEX(코드표!$K$2:$K$101,MATCH(TRIM(K610&amp;""),코드표!$J$2:$J$101,0)),"⚠"&amp;TRIM(K610&amp;"")))</f>
        <v/>
      </c>
      <c r="T610" s="10">
        <f>IF(TRIM(M610&amp;"")="","",IF(ISNUMBER(MATCH(TRIM(M610&amp;""),코드표!$C$2:$C$11,0)),TRIM(M610&amp;""),"⚠"&amp;TRIM(M610&amp;"")))</f>
        <v/>
      </c>
      <c r="U610" s="10">
        <f>IF(TRIM(L610&amp;"")="","",IFERROR(INDEX(코드표!$G$2:$G$101,MATCH(TRIM(L610&amp;""),코드표!$F$2:$F$101,0)),"⚠"&amp;TRIM(L610&amp;"")))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IF(ISNUMBER(H610),MAX(0,MIN(IF(ISNUMBER(I610),I610,EOMONTH(요약!$B$3,0)),EOMONTH(요약!$B$3,0))-MAX(H610,요약!$B$3)+1),0)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IF(AND(ISNUMBER(AB610),ISNUMBER(AC610)),MAX(0,MIN(AC610,EOMONTH(요약!$B$3,0))-MAX(AB610,요약!$B$3)+1),0)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IF(TRIM(B611&amp;"")="","",IFERROR(INDEX(코드표!$K$2:$K$101,MATCH(TRIM(B611&amp;""),코드표!$J$2:$J$101,0)),"⚠"&amp;TRIM(B611&amp;"")))</f>
        <v/>
      </c>
      <c r="S611" s="10">
        <f>IF(TRIM(K611&amp;"")="","",IFERROR(INDEX(코드표!$K$2:$K$101,MATCH(TRIM(K611&amp;""),코드표!$J$2:$J$101,0)),"⚠"&amp;TRIM(K611&amp;"")))</f>
        <v/>
      </c>
      <c r="T611" s="10">
        <f>IF(TRIM(M611&amp;"")="","",IF(ISNUMBER(MATCH(TRIM(M611&amp;""),코드표!$C$2:$C$11,0)),TRIM(M611&amp;""),"⚠"&amp;TRIM(M611&amp;"")))</f>
        <v/>
      </c>
      <c r="U611" s="10">
        <f>IF(TRIM(L611&amp;"")="","",IFERROR(INDEX(코드표!$G$2:$G$101,MATCH(TRIM(L611&amp;""),코드표!$F$2:$F$101,0)),"⚠"&amp;TRIM(L611&amp;"")))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IF(ISNUMBER(H611),MAX(0,MIN(IF(ISNUMBER(I611),I611,EOMONTH(요약!$B$3,0)),EOMONTH(요약!$B$3,0))-MAX(H611,요약!$B$3)+1),0)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IF(AND(ISNUMBER(AB611),ISNUMBER(AC611)),MAX(0,MIN(AC611,EOMONTH(요약!$B$3,0))-MAX(AB611,요약!$B$3)+1),0)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IF(TRIM(B612&amp;"")="","",IFERROR(INDEX(코드표!$K$2:$K$101,MATCH(TRIM(B612&amp;""),코드표!$J$2:$J$101,0)),"⚠"&amp;TRIM(B612&amp;"")))</f>
        <v/>
      </c>
      <c r="S612" s="10">
        <f>IF(TRIM(K612&amp;"")="","",IFERROR(INDEX(코드표!$K$2:$K$101,MATCH(TRIM(K612&amp;""),코드표!$J$2:$J$101,0)),"⚠"&amp;TRIM(K612&amp;"")))</f>
        <v/>
      </c>
      <c r="T612" s="10">
        <f>IF(TRIM(M612&amp;"")="","",IF(ISNUMBER(MATCH(TRIM(M612&amp;""),코드표!$C$2:$C$11,0)),TRIM(M612&amp;""),"⚠"&amp;TRIM(M612&amp;"")))</f>
        <v/>
      </c>
      <c r="U612" s="10">
        <f>IF(TRIM(L612&amp;"")="","",IFERROR(INDEX(코드표!$G$2:$G$101,MATCH(TRIM(L612&amp;""),코드표!$F$2:$F$101,0)),"⚠"&amp;TRIM(L612&amp;"")))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IF(ISNUMBER(H612),MAX(0,MIN(IF(ISNUMBER(I612),I612,EOMONTH(요약!$B$3,0)),EOMONTH(요약!$B$3,0))-MAX(H612,요약!$B$3)+1),0)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IF(AND(ISNUMBER(AB612),ISNUMBER(AC612)),MAX(0,MIN(AC612,EOMONTH(요약!$B$3,0))-MAX(AB612,요약!$B$3)+1),0)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IF(TRIM(B613&amp;"")="","",IFERROR(INDEX(코드표!$K$2:$K$101,MATCH(TRIM(B613&amp;""),코드표!$J$2:$J$101,0)),"⚠"&amp;TRIM(B613&amp;"")))</f>
        <v/>
      </c>
      <c r="S613" s="10">
        <f>IF(TRIM(K613&amp;"")="","",IFERROR(INDEX(코드표!$K$2:$K$101,MATCH(TRIM(K613&amp;""),코드표!$J$2:$J$101,0)),"⚠"&amp;TRIM(K613&amp;"")))</f>
        <v/>
      </c>
      <c r="T613" s="10">
        <f>IF(TRIM(M613&amp;"")="","",IF(ISNUMBER(MATCH(TRIM(M613&amp;""),코드표!$C$2:$C$11,0)),TRIM(M613&amp;""),"⚠"&amp;TRIM(M613&amp;"")))</f>
        <v/>
      </c>
      <c r="U613" s="10">
        <f>IF(TRIM(L613&amp;"")="","",IFERROR(INDEX(코드표!$G$2:$G$101,MATCH(TRIM(L613&amp;""),코드표!$F$2:$F$101,0)),"⚠"&amp;TRIM(L613&amp;"")))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IF(ISNUMBER(H613),MAX(0,MIN(IF(ISNUMBER(I613),I613,EOMONTH(요약!$B$3,0)),EOMONTH(요약!$B$3,0))-MAX(H613,요약!$B$3)+1),0)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IF(AND(ISNUMBER(AB613),ISNUMBER(AC613)),MAX(0,MIN(AC613,EOMONTH(요약!$B$3,0))-MAX(AB613,요약!$B$3)+1),0)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IF(TRIM(B614&amp;"")="","",IFERROR(INDEX(코드표!$K$2:$K$101,MATCH(TRIM(B614&amp;""),코드표!$J$2:$J$101,0)),"⚠"&amp;TRIM(B614&amp;"")))</f>
        <v/>
      </c>
      <c r="S614" s="10">
        <f>IF(TRIM(K614&amp;"")="","",IFERROR(INDEX(코드표!$K$2:$K$101,MATCH(TRIM(K614&amp;""),코드표!$J$2:$J$101,0)),"⚠"&amp;TRIM(K614&amp;"")))</f>
        <v/>
      </c>
      <c r="T614" s="10">
        <f>IF(TRIM(M614&amp;"")="","",IF(ISNUMBER(MATCH(TRIM(M614&amp;""),코드표!$C$2:$C$11,0)),TRIM(M614&amp;""),"⚠"&amp;TRIM(M614&amp;"")))</f>
        <v/>
      </c>
      <c r="U614" s="10">
        <f>IF(TRIM(L614&amp;"")="","",IFERROR(INDEX(코드표!$G$2:$G$101,MATCH(TRIM(L614&amp;""),코드표!$F$2:$F$101,0)),"⚠"&amp;TRIM(L614&amp;"")))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IF(ISNUMBER(H614),MAX(0,MIN(IF(ISNUMBER(I614),I614,EOMONTH(요약!$B$3,0)),EOMONTH(요약!$B$3,0))-MAX(H614,요약!$B$3)+1),0)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IF(AND(ISNUMBER(AB614),ISNUMBER(AC614)),MAX(0,MIN(AC614,EOMONTH(요약!$B$3,0))-MAX(AB614,요약!$B$3)+1),0)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IF(TRIM(B615&amp;"")="","",IFERROR(INDEX(코드표!$K$2:$K$101,MATCH(TRIM(B615&amp;""),코드표!$J$2:$J$101,0)),"⚠"&amp;TRIM(B615&amp;"")))</f>
        <v/>
      </c>
      <c r="S615" s="10">
        <f>IF(TRIM(K615&amp;"")="","",IFERROR(INDEX(코드표!$K$2:$K$101,MATCH(TRIM(K615&amp;""),코드표!$J$2:$J$101,0)),"⚠"&amp;TRIM(K615&amp;"")))</f>
        <v/>
      </c>
      <c r="T615" s="10">
        <f>IF(TRIM(M615&amp;"")="","",IF(ISNUMBER(MATCH(TRIM(M615&amp;""),코드표!$C$2:$C$11,0)),TRIM(M615&amp;""),"⚠"&amp;TRIM(M615&amp;"")))</f>
        <v/>
      </c>
      <c r="U615" s="10">
        <f>IF(TRIM(L615&amp;"")="","",IFERROR(INDEX(코드표!$G$2:$G$101,MATCH(TRIM(L615&amp;""),코드표!$F$2:$F$101,0)),"⚠"&amp;TRIM(L615&amp;"")))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IF(ISNUMBER(H615),MAX(0,MIN(IF(ISNUMBER(I615),I615,EOMONTH(요약!$B$3,0)),EOMONTH(요약!$B$3,0))-MAX(H615,요약!$B$3)+1),0)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IF(AND(ISNUMBER(AB615),ISNUMBER(AC615)),MAX(0,MIN(AC615,EOMONTH(요약!$B$3,0))-MAX(AB615,요약!$B$3)+1),0)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IF(TRIM(B616&amp;"")="","",IFERROR(INDEX(코드표!$K$2:$K$101,MATCH(TRIM(B616&amp;""),코드표!$J$2:$J$101,0)),"⚠"&amp;TRIM(B616&amp;"")))</f>
        <v/>
      </c>
      <c r="S616" s="10">
        <f>IF(TRIM(K616&amp;"")="","",IFERROR(INDEX(코드표!$K$2:$K$101,MATCH(TRIM(K616&amp;""),코드표!$J$2:$J$101,0)),"⚠"&amp;TRIM(K616&amp;"")))</f>
        <v/>
      </c>
      <c r="T616" s="10">
        <f>IF(TRIM(M616&amp;"")="","",IF(ISNUMBER(MATCH(TRIM(M616&amp;""),코드표!$C$2:$C$11,0)),TRIM(M616&amp;""),"⚠"&amp;TRIM(M616&amp;"")))</f>
        <v/>
      </c>
      <c r="U616" s="10">
        <f>IF(TRIM(L616&amp;"")="","",IFERROR(INDEX(코드표!$G$2:$G$101,MATCH(TRIM(L616&amp;""),코드표!$F$2:$F$101,0)),"⚠"&amp;TRIM(L616&amp;"")))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IF(ISNUMBER(H616),MAX(0,MIN(IF(ISNUMBER(I616),I616,EOMONTH(요약!$B$3,0)),EOMONTH(요약!$B$3,0))-MAX(H616,요약!$B$3)+1),0)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IF(AND(ISNUMBER(AB616),ISNUMBER(AC616)),MAX(0,MIN(AC616,EOMONTH(요약!$B$3,0))-MAX(AB616,요약!$B$3)+1),0)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IF(TRIM(B617&amp;"")="","",IFERROR(INDEX(코드표!$K$2:$K$101,MATCH(TRIM(B617&amp;""),코드표!$J$2:$J$101,0)),"⚠"&amp;TRIM(B617&amp;"")))</f>
        <v/>
      </c>
      <c r="S617" s="10">
        <f>IF(TRIM(K617&amp;"")="","",IFERROR(INDEX(코드표!$K$2:$K$101,MATCH(TRIM(K617&amp;""),코드표!$J$2:$J$101,0)),"⚠"&amp;TRIM(K617&amp;"")))</f>
        <v/>
      </c>
      <c r="T617" s="10">
        <f>IF(TRIM(M617&amp;"")="","",IF(ISNUMBER(MATCH(TRIM(M617&amp;""),코드표!$C$2:$C$11,0)),TRIM(M617&amp;""),"⚠"&amp;TRIM(M617&amp;"")))</f>
        <v/>
      </c>
      <c r="U617" s="10">
        <f>IF(TRIM(L617&amp;"")="","",IFERROR(INDEX(코드표!$G$2:$G$101,MATCH(TRIM(L617&amp;""),코드표!$F$2:$F$101,0)),"⚠"&amp;TRIM(L617&amp;"")))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IF(ISNUMBER(H617),MAX(0,MIN(IF(ISNUMBER(I617),I617,EOMONTH(요약!$B$3,0)),EOMONTH(요약!$B$3,0))-MAX(H617,요약!$B$3)+1),0)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IF(AND(ISNUMBER(AB617),ISNUMBER(AC617)),MAX(0,MIN(AC617,EOMONTH(요약!$B$3,0))-MAX(AB617,요약!$B$3)+1),0)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IF(TRIM(B618&amp;"")="","",IFERROR(INDEX(코드표!$K$2:$K$101,MATCH(TRIM(B618&amp;""),코드표!$J$2:$J$101,0)),"⚠"&amp;TRIM(B618&amp;"")))</f>
        <v/>
      </c>
      <c r="S618" s="10">
        <f>IF(TRIM(K618&amp;"")="","",IFERROR(INDEX(코드표!$K$2:$K$101,MATCH(TRIM(K618&amp;""),코드표!$J$2:$J$101,0)),"⚠"&amp;TRIM(K618&amp;"")))</f>
        <v/>
      </c>
      <c r="T618" s="10">
        <f>IF(TRIM(M618&amp;"")="","",IF(ISNUMBER(MATCH(TRIM(M618&amp;""),코드표!$C$2:$C$11,0)),TRIM(M618&amp;""),"⚠"&amp;TRIM(M618&amp;"")))</f>
        <v/>
      </c>
      <c r="U618" s="10">
        <f>IF(TRIM(L618&amp;"")="","",IFERROR(INDEX(코드표!$G$2:$G$101,MATCH(TRIM(L618&amp;""),코드표!$F$2:$F$101,0)),"⚠"&amp;TRIM(L618&amp;"")))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IF(ISNUMBER(H618),MAX(0,MIN(IF(ISNUMBER(I618),I618,EOMONTH(요약!$B$3,0)),EOMONTH(요약!$B$3,0))-MAX(H618,요약!$B$3)+1),0)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IF(AND(ISNUMBER(AB618),ISNUMBER(AC618)),MAX(0,MIN(AC618,EOMONTH(요약!$B$3,0))-MAX(AB618,요약!$B$3)+1),0)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IF(TRIM(B619&amp;"")="","",IFERROR(INDEX(코드표!$K$2:$K$101,MATCH(TRIM(B619&amp;""),코드표!$J$2:$J$101,0)),"⚠"&amp;TRIM(B619&amp;"")))</f>
        <v/>
      </c>
      <c r="S619" s="10">
        <f>IF(TRIM(K619&amp;"")="","",IFERROR(INDEX(코드표!$K$2:$K$101,MATCH(TRIM(K619&amp;""),코드표!$J$2:$J$101,0)),"⚠"&amp;TRIM(K619&amp;"")))</f>
        <v/>
      </c>
      <c r="T619" s="10">
        <f>IF(TRIM(M619&amp;"")="","",IF(ISNUMBER(MATCH(TRIM(M619&amp;""),코드표!$C$2:$C$11,0)),TRIM(M619&amp;""),"⚠"&amp;TRIM(M619&amp;"")))</f>
        <v/>
      </c>
      <c r="U619" s="10">
        <f>IF(TRIM(L619&amp;"")="","",IFERROR(INDEX(코드표!$G$2:$G$101,MATCH(TRIM(L619&amp;""),코드표!$F$2:$F$101,0)),"⚠"&amp;TRIM(L619&amp;"")))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IF(ISNUMBER(H619),MAX(0,MIN(IF(ISNUMBER(I619),I619,EOMONTH(요약!$B$3,0)),EOMONTH(요약!$B$3,0))-MAX(H619,요약!$B$3)+1),0)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IF(AND(ISNUMBER(AB619),ISNUMBER(AC619)),MAX(0,MIN(AC619,EOMONTH(요약!$B$3,0))-MAX(AB619,요약!$B$3)+1),0)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IF(TRIM(B620&amp;"")="","",IFERROR(INDEX(코드표!$K$2:$K$101,MATCH(TRIM(B620&amp;""),코드표!$J$2:$J$101,0)),"⚠"&amp;TRIM(B620&amp;"")))</f>
        <v/>
      </c>
      <c r="S620" s="10">
        <f>IF(TRIM(K620&amp;"")="","",IFERROR(INDEX(코드표!$K$2:$K$101,MATCH(TRIM(K620&amp;""),코드표!$J$2:$J$101,0)),"⚠"&amp;TRIM(K620&amp;"")))</f>
        <v/>
      </c>
      <c r="T620" s="10">
        <f>IF(TRIM(M620&amp;"")="","",IF(ISNUMBER(MATCH(TRIM(M620&amp;""),코드표!$C$2:$C$11,0)),TRIM(M620&amp;""),"⚠"&amp;TRIM(M620&amp;"")))</f>
        <v/>
      </c>
      <c r="U620" s="10">
        <f>IF(TRIM(L620&amp;"")="","",IFERROR(INDEX(코드표!$G$2:$G$101,MATCH(TRIM(L620&amp;""),코드표!$F$2:$F$101,0)),"⚠"&amp;TRIM(L620&amp;"")))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IF(ISNUMBER(H620),MAX(0,MIN(IF(ISNUMBER(I620),I620,EOMONTH(요약!$B$3,0)),EOMONTH(요약!$B$3,0))-MAX(H620,요약!$B$3)+1),0)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IF(AND(ISNUMBER(AB620),ISNUMBER(AC620)),MAX(0,MIN(AC620,EOMONTH(요약!$B$3,0))-MAX(AB620,요약!$B$3)+1),0)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IF(TRIM(B621&amp;"")="","",IFERROR(INDEX(코드표!$K$2:$K$101,MATCH(TRIM(B621&amp;""),코드표!$J$2:$J$101,0)),"⚠"&amp;TRIM(B621&amp;"")))</f>
        <v/>
      </c>
      <c r="S621" s="10">
        <f>IF(TRIM(K621&amp;"")="","",IFERROR(INDEX(코드표!$K$2:$K$101,MATCH(TRIM(K621&amp;""),코드표!$J$2:$J$101,0)),"⚠"&amp;TRIM(K621&amp;"")))</f>
        <v/>
      </c>
      <c r="T621" s="10">
        <f>IF(TRIM(M621&amp;"")="","",IF(ISNUMBER(MATCH(TRIM(M621&amp;""),코드표!$C$2:$C$11,0)),TRIM(M621&amp;""),"⚠"&amp;TRIM(M621&amp;"")))</f>
        <v/>
      </c>
      <c r="U621" s="10">
        <f>IF(TRIM(L621&amp;"")="","",IFERROR(INDEX(코드표!$G$2:$G$101,MATCH(TRIM(L621&amp;""),코드표!$F$2:$F$101,0)),"⚠"&amp;TRIM(L621&amp;"")))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IF(ISNUMBER(H621),MAX(0,MIN(IF(ISNUMBER(I621),I621,EOMONTH(요약!$B$3,0)),EOMONTH(요약!$B$3,0))-MAX(H621,요약!$B$3)+1),0)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IF(AND(ISNUMBER(AB621),ISNUMBER(AC621)),MAX(0,MIN(AC621,EOMONTH(요약!$B$3,0))-MAX(AB621,요약!$B$3)+1),0)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IF(TRIM(B622&amp;"")="","",IFERROR(INDEX(코드표!$K$2:$K$101,MATCH(TRIM(B622&amp;""),코드표!$J$2:$J$101,0)),"⚠"&amp;TRIM(B622&amp;"")))</f>
        <v/>
      </c>
      <c r="S622" s="10">
        <f>IF(TRIM(K622&amp;"")="","",IFERROR(INDEX(코드표!$K$2:$K$101,MATCH(TRIM(K622&amp;""),코드표!$J$2:$J$101,0)),"⚠"&amp;TRIM(K622&amp;"")))</f>
        <v/>
      </c>
      <c r="T622" s="10">
        <f>IF(TRIM(M622&amp;"")="","",IF(ISNUMBER(MATCH(TRIM(M622&amp;""),코드표!$C$2:$C$11,0)),TRIM(M622&amp;""),"⚠"&amp;TRIM(M622&amp;"")))</f>
        <v/>
      </c>
      <c r="U622" s="10">
        <f>IF(TRIM(L622&amp;"")="","",IFERROR(INDEX(코드표!$G$2:$G$101,MATCH(TRIM(L622&amp;""),코드표!$F$2:$F$101,0)),"⚠"&amp;TRIM(L622&amp;"")))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IF(ISNUMBER(H622),MAX(0,MIN(IF(ISNUMBER(I622),I622,EOMONTH(요약!$B$3,0)),EOMONTH(요약!$B$3,0))-MAX(H622,요약!$B$3)+1),0)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IF(AND(ISNUMBER(AB622),ISNUMBER(AC622)),MAX(0,MIN(AC622,EOMONTH(요약!$B$3,0))-MAX(AB622,요약!$B$3)+1),0)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IF(TRIM(B623&amp;"")="","",IFERROR(INDEX(코드표!$K$2:$K$101,MATCH(TRIM(B623&amp;""),코드표!$J$2:$J$101,0)),"⚠"&amp;TRIM(B623&amp;"")))</f>
        <v/>
      </c>
      <c r="S623" s="10">
        <f>IF(TRIM(K623&amp;"")="","",IFERROR(INDEX(코드표!$K$2:$K$101,MATCH(TRIM(K623&amp;""),코드표!$J$2:$J$101,0)),"⚠"&amp;TRIM(K623&amp;"")))</f>
        <v/>
      </c>
      <c r="T623" s="10">
        <f>IF(TRIM(M623&amp;"")="","",IF(ISNUMBER(MATCH(TRIM(M623&amp;""),코드표!$C$2:$C$11,0)),TRIM(M623&amp;""),"⚠"&amp;TRIM(M623&amp;"")))</f>
        <v/>
      </c>
      <c r="U623" s="10">
        <f>IF(TRIM(L623&amp;"")="","",IFERROR(INDEX(코드표!$G$2:$G$101,MATCH(TRIM(L623&amp;""),코드표!$F$2:$F$101,0)),"⚠"&amp;TRIM(L623&amp;"")))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IF(ISNUMBER(H623),MAX(0,MIN(IF(ISNUMBER(I623),I623,EOMONTH(요약!$B$3,0)),EOMONTH(요약!$B$3,0))-MAX(H623,요약!$B$3)+1),0)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IF(AND(ISNUMBER(AB623),ISNUMBER(AC623)),MAX(0,MIN(AC623,EOMONTH(요약!$B$3,0))-MAX(AB623,요약!$B$3)+1),0)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IF(TRIM(B624&amp;"")="","",IFERROR(INDEX(코드표!$K$2:$K$101,MATCH(TRIM(B624&amp;""),코드표!$J$2:$J$101,0)),"⚠"&amp;TRIM(B624&amp;"")))</f>
        <v/>
      </c>
      <c r="S624" s="10">
        <f>IF(TRIM(K624&amp;"")="","",IFERROR(INDEX(코드표!$K$2:$K$101,MATCH(TRIM(K624&amp;""),코드표!$J$2:$J$101,0)),"⚠"&amp;TRIM(K624&amp;"")))</f>
        <v/>
      </c>
      <c r="T624" s="10">
        <f>IF(TRIM(M624&amp;"")="","",IF(ISNUMBER(MATCH(TRIM(M624&amp;""),코드표!$C$2:$C$11,0)),TRIM(M624&amp;""),"⚠"&amp;TRIM(M624&amp;"")))</f>
        <v/>
      </c>
      <c r="U624" s="10">
        <f>IF(TRIM(L624&amp;"")="","",IFERROR(INDEX(코드표!$G$2:$G$101,MATCH(TRIM(L624&amp;""),코드표!$F$2:$F$101,0)),"⚠"&amp;TRIM(L624&amp;"")))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IF(ISNUMBER(H624),MAX(0,MIN(IF(ISNUMBER(I624),I624,EOMONTH(요약!$B$3,0)),EOMONTH(요약!$B$3,0))-MAX(H624,요약!$B$3)+1),0)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IF(AND(ISNUMBER(AB624),ISNUMBER(AC624)),MAX(0,MIN(AC624,EOMONTH(요약!$B$3,0))-MAX(AB624,요약!$B$3)+1),0)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IF(TRIM(B625&amp;"")="","",IFERROR(INDEX(코드표!$K$2:$K$101,MATCH(TRIM(B625&amp;""),코드표!$J$2:$J$101,0)),"⚠"&amp;TRIM(B625&amp;"")))</f>
        <v/>
      </c>
      <c r="S625" s="10">
        <f>IF(TRIM(K625&amp;"")="","",IFERROR(INDEX(코드표!$K$2:$K$101,MATCH(TRIM(K625&amp;""),코드표!$J$2:$J$101,0)),"⚠"&amp;TRIM(K625&amp;"")))</f>
        <v/>
      </c>
      <c r="T625" s="10">
        <f>IF(TRIM(M625&amp;"")="","",IF(ISNUMBER(MATCH(TRIM(M625&amp;""),코드표!$C$2:$C$11,0)),TRIM(M625&amp;""),"⚠"&amp;TRIM(M625&amp;"")))</f>
        <v/>
      </c>
      <c r="U625" s="10">
        <f>IF(TRIM(L625&amp;"")="","",IFERROR(INDEX(코드표!$G$2:$G$101,MATCH(TRIM(L625&amp;""),코드표!$F$2:$F$101,0)),"⚠"&amp;TRIM(L625&amp;"")))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IF(ISNUMBER(H625),MAX(0,MIN(IF(ISNUMBER(I625),I625,EOMONTH(요약!$B$3,0)),EOMONTH(요약!$B$3,0))-MAX(H625,요약!$B$3)+1),0)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IF(AND(ISNUMBER(AB625),ISNUMBER(AC625)),MAX(0,MIN(AC625,EOMONTH(요약!$B$3,0))-MAX(AB625,요약!$B$3)+1),0)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IF(TRIM(B626&amp;"")="","",IFERROR(INDEX(코드표!$K$2:$K$101,MATCH(TRIM(B626&amp;""),코드표!$J$2:$J$101,0)),"⚠"&amp;TRIM(B626&amp;"")))</f>
        <v/>
      </c>
      <c r="S626" s="10">
        <f>IF(TRIM(K626&amp;"")="","",IFERROR(INDEX(코드표!$K$2:$K$101,MATCH(TRIM(K626&amp;""),코드표!$J$2:$J$101,0)),"⚠"&amp;TRIM(K626&amp;"")))</f>
        <v/>
      </c>
      <c r="T626" s="10">
        <f>IF(TRIM(M626&amp;"")="","",IF(ISNUMBER(MATCH(TRIM(M626&amp;""),코드표!$C$2:$C$11,0)),TRIM(M626&amp;""),"⚠"&amp;TRIM(M626&amp;"")))</f>
        <v/>
      </c>
      <c r="U626" s="10">
        <f>IF(TRIM(L626&amp;"")="","",IFERROR(INDEX(코드표!$G$2:$G$101,MATCH(TRIM(L626&amp;""),코드표!$F$2:$F$101,0)),"⚠"&amp;TRIM(L626&amp;"")))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IF(ISNUMBER(H626),MAX(0,MIN(IF(ISNUMBER(I626),I626,EOMONTH(요약!$B$3,0)),EOMONTH(요약!$B$3,0))-MAX(H626,요약!$B$3)+1),0)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IF(AND(ISNUMBER(AB626),ISNUMBER(AC626)),MAX(0,MIN(AC626,EOMONTH(요약!$B$3,0))-MAX(AB626,요약!$B$3)+1),0)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IF(TRIM(B627&amp;"")="","",IFERROR(INDEX(코드표!$K$2:$K$101,MATCH(TRIM(B627&amp;""),코드표!$J$2:$J$101,0)),"⚠"&amp;TRIM(B627&amp;"")))</f>
        <v/>
      </c>
      <c r="S627" s="10">
        <f>IF(TRIM(K627&amp;"")="","",IFERROR(INDEX(코드표!$K$2:$K$101,MATCH(TRIM(K627&amp;""),코드표!$J$2:$J$101,0)),"⚠"&amp;TRIM(K627&amp;"")))</f>
        <v/>
      </c>
      <c r="T627" s="10">
        <f>IF(TRIM(M627&amp;"")="","",IF(ISNUMBER(MATCH(TRIM(M627&amp;""),코드표!$C$2:$C$11,0)),TRIM(M627&amp;""),"⚠"&amp;TRIM(M627&amp;"")))</f>
        <v/>
      </c>
      <c r="U627" s="10">
        <f>IF(TRIM(L627&amp;"")="","",IFERROR(INDEX(코드표!$G$2:$G$101,MATCH(TRIM(L627&amp;""),코드표!$F$2:$F$101,0)),"⚠"&amp;TRIM(L627&amp;"")))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IF(ISNUMBER(H627),MAX(0,MIN(IF(ISNUMBER(I627),I627,EOMONTH(요약!$B$3,0)),EOMONTH(요약!$B$3,0))-MAX(H627,요약!$B$3)+1),0)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IF(AND(ISNUMBER(AB627),ISNUMBER(AC627)),MAX(0,MIN(AC627,EOMONTH(요약!$B$3,0))-MAX(AB627,요약!$B$3)+1),0)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IF(TRIM(B628&amp;"")="","",IFERROR(INDEX(코드표!$K$2:$K$101,MATCH(TRIM(B628&amp;""),코드표!$J$2:$J$101,0)),"⚠"&amp;TRIM(B628&amp;"")))</f>
        <v/>
      </c>
      <c r="S628" s="10">
        <f>IF(TRIM(K628&amp;"")="","",IFERROR(INDEX(코드표!$K$2:$K$101,MATCH(TRIM(K628&amp;""),코드표!$J$2:$J$101,0)),"⚠"&amp;TRIM(K628&amp;"")))</f>
        <v/>
      </c>
      <c r="T628" s="10">
        <f>IF(TRIM(M628&amp;"")="","",IF(ISNUMBER(MATCH(TRIM(M628&amp;""),코드표!$C$2:$C$11,0)),TRIM(M628&amp;""),"⚠"&amp;TRIM(M628&amp;"")))</f>
        <v/>
      </c>
      <c r="U628" s="10">
        <f>IF(TRIM(L628&amp;"")="","",IFERROR(INDEX(코드표!$G$2:$G$101,MATCH(TRIM(L628&amp;""),코드표!$F$2:$F$101,0)),"⚠"&amp;TRIM(L628&amp;"")))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IF(ISNUMBER(H628),MAX(0,MIN(IF(ISNUMBER(I628),I628,EOMONTH(요약!$B$3,0)),EOMONTH(요약!$B$3,0))-MAX(H628,요약!$B$3)+1),0)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IF(AND(ISNUMBER(AB628),ISNUMBER(AC628)),MAX(0,MIN(AC628,EOMONTH(요약!$B$3,0))-MAX(AB628,요약!$B$3)+1),0)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IF(TRIM(B629&amp;"")="","",IFERROR(INDEX(코드표!$K$2:$K$101,MATCH(TRIM(B629&amp;""),코드표!$J$2:$J$101,0)),"⚠"&amp;TRIM(B629&amp;"")))</f>
        <v/>
      </c>
      <c r="S629" s="10">
        <f>IF(TRIM(K629&amp;"")="","",IFERROR(INDEX(코드표!$K$2:$K$101,MATCH(TRIM(K629&amp;""),코드표!$J$2:$J$101,0)),"⚠"&amp;TRIM(K629&amp;"")))</f>
        <v/>
      </c>
      <c r="T629" s="10">
        <f>IF(TRIM(M629&amp;"")="","",IF(ISNUMBER(MATCH(TRIM(M629&amp;""),코드표!$C$2:$C$11,0)),TRIM(M629&amp;""),"⚠"&amp;TRIM(M629&amp;"")))</f>
        <v/>
      </c>
      <c r="U629" s="10">
        <f>IF(TRIM(L629&amp;"")="","",IFERROR(INDEX(코드표!$G$2:$G$101,MATCH(TRIM(L629&amp;""),코드표!$F$2:$F$101,0)),"⚠"&amp;TRIM(L629&amp;"")))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IF(ISNUMBER(H629),MAX(0,MIN(IF(ISNUMBER(I629),I629,EOMONTH(요약!$B$3,0)),EOMONTH(요약!$B$3,0))-MAX(H629,요약!$B$3)+1),0)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IF(AND(ISNUMBER(AB629),ISNUMBER(AC629)),MAX(0,MIN(AC629,EOMONTH(요약!$B$3,0))-MAX(AB629,요약!$B$3)+1),0)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IF(TRIM(B630&amp;"")="","",IFERROR(INDEX(코드표!$K$2:$K$101,MATCH(TRIM(B630&amp;""),코드표!$J$2:$J$101,0)),"⚠"&amp;TRIM(B630&amp;"")))</f>
        <v/>
      </c>
      <c r="S630" s="10">
        <f>IF(TRIM(K630&amp;"")="","",IFERROR(INDEX(코드표!$K$2:$K$101,MATCH(TRIM(K630&amp;""),코드표!$J$2:$J$101,0)),"⚠"&amp;TRIM(K630&amp;"")))</f>
        <v/>
      </c>
      <c r="T630" s="10">
        <f>IF(TRIM(M630&amp;"")="","",IF(ISNUMBER(MATCH(TRIM(M630&amp;""),코드표!$C$2:$C$11,0)),TRIM(M630&amp;""),"⚠"&amp;TRIM(M630&amp;"")))</f>
        <v/>
      </c>
      <c r="U630" s="10">
        <f>IF(TRIM(L630&amp;"")="","",IFERROR(INDEX(코드표!$G$2:$G$101,MATCH(TRIM(L630&amp;""),코드표!$F$2:$F$101,0)),"⚠"&amp;TRIM(L630&amp;"")))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IF(ISNUMBER(H630),MAX(0,MIN(IF(ISNUMBER(I630),I630,EOMONTH(요약!$B$3,0)),EOMONTH(요약!$B$3,0))-MAX(H630,요약!$B$3)+1),0)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IF(AND(ISNUMBER(AB630),ISNUMBER(AC630)),MAX(0,MIN(AC630,EOMONTH(요약!$B$3,0))-MAX(AB630,요약!$B$3)+1),0)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IF(TRIM(B631&amp;"")="","",IFERROR(INDEX(코드표!$K$2:$K$101,MATCH(TRIM(B631&amp;""),코드표!$J$2:$J$101,0)),"⚠"&amp;TRIM(B631&amp;"")))</f>
        <v/>
      </c>
      <c r="S631" s="10">
        <f>IF(TRIM(K631&amp;"")="","",IFERROR(INDEX(코드표!$K$2:$K$101,MATCH(TRIM(K631&amp;""),코드표!$J$2:$J$101,0)),"⚠"&amp;TRIM(K631&amp;"")))</f>
        <v/>
      </c>
      <c r="T631" s="10">
        <f>IF(TRIM(M631&amp;"")="","",IF(ISNUMBER(MATCH(TRIM(M631&amp;""),코드표!$C$2:$C$11,0)),TRIM(M631&amp;""),"⚠"&amp;TRIM(M631&amp;"")))</f>
        <v/>
      </c>
      <c r="U631" s="10">
        <f>IF(TRIM(L631&amp;"")="","",IFERROR(INDEX(코드표!$G$2:$G$101,MATCH(TRIM(L631&amp;""),코드표!$F$2:$F$101,0)),"⚠"&amp;TRIM(L631&amp;"")))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IF(ISNUMBER(H631),MAX(0,MIN(IF(ISNUMBER(I631),I631,EOMONTH(요약!$B$3,0)),EOMONTH(요약!$B$3,0))-MAX(H631,요약!$B$3)+1),0)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IF(AND(ISNUMBER(AB631),ISNUMBER(AC631)),MAX(0,MIN(AC631,EOMONTH(요약!$B$3,0))-MAX(AB631,요약!$B$3)+1),0)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IF(TRIM(B632&amp;"")="","",IFERROR(INDEX(코드표!$K$2:$K$101,MATCH(TRIM(B632&amp;""),코드표!$J$2:$J$101,0)),"⚠"&amp;TRIM(B632&amp;"")))</f>
        <v/>
      </c>
      <c r="S632" s="10">
        <f>IF(TRIM(K632&amp;"")="","",IFERROR(INDEX(코드표!$K$2:$K$101,MATCH(TRIM(K632&amp;""),코드표!$J$2:$J$101,0)),"⚠"&amp;TRIM(K632&amp;"")))</f>
        <v/>
      </c>
      <c r="T632" s="10">
        <f>IF(TRIM(M632&amp;"")="","",IF(ISNUMBER(MATCH(TRIM(M632&amp;""),코드표!$C$2:$C$11,0)),TRIM(M632&amp;""),"⚠"&amp;TRIM(M632&amp;"")))</f>
        <v/>
      </c>
      <c r="U632" s="10">
        <f>IF(TRIM(L632&amp;"")="","",IFERROR(INDEX(코드표!$G$2:$G$101,MATCH(TRIM(L632&amp;""),코드표!$F$2:$F$101,0)),"⚠"&amp;TRIM(L632&amp;"")))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IF(ISNUMBER(H632),MAX(0,MIN(IF(ISNUMBER(I632),I632,EOMONTH(요약!$B$3,0)),EOMONTH(요약!$B$3,0))-MAX(H632,요약!$B$3)+1),0)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IF(AND(ISNUMBER(AB632),ISNUMBER(AC632)),MAX(0,MIN(AC632,EOMONTH(요약!$B$3,0))-MAX(AB632,요약!$B$3)+1),0)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IF(TRIM(B633&amp;"")="","",IFERROR(INDEX(코드표!$K$2:$K$101,MATCH(TRIM(B633&amp;""),코드표!$J$2:$J$101,0)),"⚠"&amp;TRIM(B633&amp;"")))</f>
        <v/>
      </c>
      <c r="S633" s="10">
        <f>IF(TRIM(K633&amp;"")="","",IFERROR(INDEX(코드표!$K$2:$K$101,MATCH(TRIM(K633&amp;""),코드표!$J$2:$J$101,0)),"⚠"&amp;TRIM(K633&amp;"")))</f>
        <v/>
      </c>
      <c r="T633" s="10">
        <f>IF(TRIM(M633&amp;"")="","",IF(ISNUMBER(MATCH(TRIM(M633&amp;""),코드표!$C$2:$C$11,0)),TRIM(M633&amp;""),"⚠"&amp;TRIM(M633&amp;"")))</f>
        <v/>
      </c>
      <c r="U633" s="10">
        <f>IF(TRIM(L633&amp;"")="","",IFERROR(INDEX(코드표!$G$2:$G$101,MATCH(TRIM(L633&amp;""),코드표!$F$2:$F$101,0)),"⚠"&amp;TRIM(L633&amp;"")))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IF(ISNUMBER(H633),MAX(0,MIN(IF(ISNUMBER(I633),I633,EOMONTH(요약!$B$3,0)),EOMONTH(요약!$B$3,0))-MAX(H633,요약!$B$3)+1),0)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IF(AND(ISNUMBER(AB633),ISNUMBER(AC633)),MAX(0,MIN(AC633,EOMONTH(요약!$B$3,0))-MAX(AB633,요약!$B$3)+1),0)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IF(TRIM(B634&amp;"")="","",IFERROR(INDEX(코드표!$K$2:$K$101,MATCH(TRIM(B634&amp;""),코드표!$J$2:$J$101,0)),"⚠"&amp;TRIM(B634&amp;"")))</f>
        <v/>
      </c>
      <c r="S634" s="10">
        <f>IF(TRIM(K634&amp;"")="","",IFERROR(INDEX(코드표!$K$2:$K$101,MATCH(TRIM(K634&amp;""),코드표!$J$2:$J$101,0)),"⚠"&amp;TRIM(K634&amp;"")))</f>
        <v/>
      </c>
      <c r="T634" s="10">
        <f>IF(TRIM(M634&amp;"")="","",IF(ISNUMBER(MATCH(TRIM(M634&amp;""),코드표!$C$2:$C$11,0)),TRIM(M634&amp;""),"⚠"&amp;TRIM(M634&amp;"")))</f>
        <v/>
      </c>
      <c r="U634" s="10">
        <f>IF(TRIM(L634&amp;"")="","",IFERROR(INDEX(코드표!$G$2:$G$101,MATCH(TRIM(L634&amp;""),코드표!$F$2:$F$101,0)),"⚠"&amp;TRIM(L634&amp;"")))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IF(ISNUMBER(H634),MAX(0,MIN(IF(ISNUMBER(I634),I634,EOMONTH(요약!$B$3,0)),EOMONTH(요약!$B$3,0))-MAX(H634,요약!$B$3)+1),0)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IF(AND(ISNUMBER(AB634),ISNUMBER(AC634)),MAX(0,MIN(AC634,EOMONTH(요약!$B$3,0))-MAX(AB634,요약!$B$3)+1),0)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IF(TRIM(B635&amp;"")="","",IFERROR(INDEX(코드표!$K$2:$K$101,MATCH(TRIM(B635&amp;""),코드표!$J$2:$J$101,0)),"⚠"&amp;TRIM(B635&amp;"")))</f>
        <v/>
      </c>
      <c r="S635" s="10">
        <f>IF(TRIM(K635&amp;"")="","",IFERROR(INDEX(코드표!$K$2:$K$101,MATCH(TRIM(K635&amp;""),코드표!$J$2:$J$101,0)),"⚠"&amp;TRIM(K635&amp;"")))</f>
        <v/>
      </c>
      <c r="T635" s="10">
        <f>IF(TRIM(M635&amp;"")="","",IF(ISNUMBER(MATCH(TRIM(M635&amp;""),코드표!$C$2:$C$11,0)),TRIM(M635&amp;""),"⚠"&amp;TRIM(M635&amp;"")))</f>
        <v/>
      </c>
      <c r="U635" s="10">
        <f>IF(TRIM(L635&amp;"")="","",IFERROR(INDEX(코드표!$G$2:$G$101,MATCH(TRIM(L635&amp;""),코드표!$F$2:$F$101,0)),"⚠"&amp;TRIM(L635&amp;"")))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IF(ISNUMBER(H635),MAX(0,MIN(IF(ISNUMBER(I635),I635,EOMONTH(요약!$B$3,0)),EOMONTH(요약!$B$3,0))-MAX(H635,요약!$B$3)+1),0)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IF(AND(ISNUMBER(AB635),ISNUMBER(AC635)),MAX(0,MIN(AC635,EOMONTH(요약!$B$3,0))-MAX(AB635,요약!$B$3)+1),0)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IF(TRIM(B636&amp;"")="","",IFERROR(INDEX(코드표!$K$2:$K$101,MATCH(TRIM(B636&amp;""),코드표!$J$2:$J$101,0)),"⚠"&amp;TRIM(B636&amp;"")))</f>
        <v/>
      </c>
      <c r="S636" s="10">
        <f>IF(TRIM(K636&amp;"")="","",IFERROR(INDEX(코드표!$K$2:$K$101,MATCH(TRIM(K636&amp;""),코드표!$J$2:$J$101,0)),"⚠"&amp;TRIM(K636&amp;"")))</f>
        <v/>
      </c>
      <c r="T636" s="10">
        <f>IF(TRIM(M636&amp;"")="","",IF(ISNUMBER(MATCH(TRIM(M636&amp;""),코드표!$C$2:$C$11,0)),TRIM(M636&amp;""),"⚠"&amp;TRIM(M636&amp;"")))</f>
        <v/>
      </c>
      <c r="U636" s="10">
        <f>IF(TRIM(L636&amp;"")="","",IFERROR(INDEX(코드표!$G$2:$G$101,MATCH(TRIM(L636&amp;""),코드표!$F$2:$F$101,0)),"⚠"&amp;TRIM(L636&amp;"")))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IF(ISNUMBER(H636),MAX(0,MIN(IF(ISNUMBER(I636),I636,EOMONTH(요약!$B$3,0)),EOMONTH(요약!$B$3,0))-MAX(H636,요약!$B$3)+1),0)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IF(AND(ISNUMBER(AB636),ISNUMBER(AC636)),MAX(0,MIN(AC636,EOMONTH(요약!$B$3,0))-MAX(AB636,요약!$B$3)+1),0)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IF(TRIM(B637&amp;"")="","",IFERROR(INDEX(코드표!$K$2:$K$101,MATCH(TRIM(B637&amp;""),코드표!$J$2:$J$101,0)),"⚠"&amp;TRIM(B637&amp;"")))</f>
        <v/>
      </c>
      <c r="S637" s="10">
        <f>IF(TRIM(K637&amp;"")="","",IFERROR(INDEX(코드표!$K$2:$K$101,MATCH(TRIM(K637&amp;""),코드표!$J$2:$J$101,0)),"⚠"&amp;TRIM(K637&amp;"")))</f>
        <v/>
      </c>
      <c r="T637" s="10">
        <f>IF(TRIM(M637&amp;"")="","",IF(ISNUMBER(MATCH(TRIM(M637&amp;""),코드표!$C$2:$C$11,0)),TRIM(M637&amp;""),"⚠"&amp;TRIM(M637&amp;"")))</f>
        <v/>
      </c>
      <c r="U637" s="10">
        <f>IF(TRIM(L637&amp;"")="","",IFERROR(INDEX(코드표!$G$2:$G$101,MATCH(TRIM(L637&amp;""),코드표!$F$2:$F$101,0)),"⚠"&amp;TRIM(L637&amp;"")))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IF(ISNUMBER(H637),MAX(0,MIN(IF(ISNUMBER(I637),I637,EOMONTH(요약!$B$3,0)),EOMONTH(요약!$B$3,0))-MAX(H637,요약!$B$3)+1),0)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IF(AND(ISNUMBER(AB637),ISNUMBER(AC637)),MAX(0,MIN(AC637,EOMONTH(요약!$B$3,0))-MAX(AB637,요약!$B$3)+1),0)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IF(TRIM(B638&amp;"")="","",IFERROR(INDEX(코드표!$K$2:$K$101,MATCH(TRIM(B638&amp;""),코드표!$J$2:$J$101,0)),"⚠"&amp;TRIM(B638&amp;"")))</f>
        <v/>
      </c>
      <c r="S638" s="10">
        <f>IF(TRIM(K638&amp;"")="","",IFERROR(INDEX(코드표!$K$2:$K$101,MATCH(TRIM(K638&amp;""),코드표!$J$2:$J$101,0)),"⚠"&amp;TRIM(K638&amp;"")))</f>
        <v/>
      </c>
      <c r="T638" s="10">
        <f>IF(TRIM(M638&amp;"")="","",IF(ISNUMBER(MATCH(TRIM(M638&amp;""),코드표!$C$2:$C$11,0)),TRIM(M638&amp;""),"⚠"&amp;TRIM(M638&amp;"")))</f>
        <v/>
      </c>
      <c r="U638" s="10">
        <f>IF(TRIM(L638&amp;"")="","",IFERROR(INDEX(코드표!$G$2:$G$101,MATCH(TRIM(L638&amp;""),코드표!$F$2:$F$101,0)),"⚠"&amp;TRIM(L638&amp;"")))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IF(ISNUMBER(H638),MAX(0,MIN(IF(ISNUMBER(I638),I638,EOMONTH(요약!$B$3,0)),EOMONTH(요약!$B$3,0))-MAX(H638,요약!$B$3)+1),0)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IF(AND(ISNUMBER(AB638),ISNUMBER(AC638)),MAX(0,MIN(AC638,EOMONTH(요약!$B$3,0))-MAX(AB638,요약!$B$3)+1),0)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IF(TRIM(B639&amp;"")="","",IFERROR(INDEX(코드표!$K$2:$K$101,MATCH(TRIM(B639&amp;""),코드표!$J$2:$J$101,0)),"⚠"&amp;TRIM(B639&amp;"")))</f>
        <v/>
      </c>
      <c r="S639" s="10">
        <f>IF(TRIM(K639&amp;"")="","",IFERROR(INDEX(코드표!$K$2:$K$101,MATCH(TRIM(K639&amp;""),코드표!$J$2:$J$101,0)),"⚠"&amp;TRIM(K639&amp;"")))</f>
        <v/>
      </c>
      <c r="T639" s="10">
        <f>IF(TRIM(M639&amp;"")="","",IF(ISNUMBER(MATCH(TRIM(M639&amp;""),코드표!$C$2:$C$11,0)),TRIM(M639&amp;""),"⚠"&amp;TRIM(M639&amp;"")))</f>
        <v/>
      </c>
      <c r="U639" s="10">
        <f>IF(TRIM(L639&amp;"")="","",IFERROR(INDEX(코드표!$G$2:$G$101,MATCH(TRIM(L639&amp;""),코드표!$F$2:$F$101,0)),"⚠"&amp;TRIM(L639&amp;"")))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IF(ISNUMBER(H639),MAX(0,MIN(IF(ISNUMBER(I639),I639,EOMONTH(요약!$B$3,0)),EOMONTH(요약!$B$3,0))-MAX(H639,요약!$B$3)+1),0)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IF(AND(ISNUMBER(AB639),ISNUMBER(AC639)),MAX(0,MIN(AC639,EOMONTH(요약!$B$3,0))-MAX(AB639,요약!$B$3)+1),0)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IF(TRIM(B640&amp;"")="","",IFERROR(INDEX(코드표!$K$2:$K$101,MATCH(TRIM(B640&amp;""),코드표!$J$2:$J$101,0)),"⚠"&amp;TRIM(B640&amp;"")))</f>
        <v/>
      </c>
      <c r="S640" s="10">
        <f>IF(TRIM(K640&amp;"")="","",IFERROR(INDEX(코드표!$K$2:$K$101,MATCH(TRIM(K640&amp;""),코드표!$J$2:$J$101,0)),"⚠"&amp;TRIM(K640&amp;"")))</f>
        <v/>
      </c>
      <c r="T640" s="10">
        <f>IF(TRIM(M640&amp;"")="","",IF(ISNUMBER(MATCH(TRIM(M640&amp;""),코드표!$C$2:$C$11,0)),TRIM(M640&amp;""),"⚠"&amp;TRIM(M640&amp;"")))</f>
        <v/>
      </c>
      <c r="U640" s="10">
        <f>IF(TRIM(L640&amp;"")="","",IFERROR(INDEX(코드표!$G$2:$G$101,MATCH(TRIM(L640&amp;""),코드표!$F$2:$F$101,0)),"⚠"&amp;TRIM(L640&amp;"")))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IF(ISNUMBER(H640),MAX(0,MIN(IF(ISNUMBER(I640),I640,EOMONTH(요약!$B$3,0)),EOMONTH(요약!$B$3,0))-MAX(H640,요약!$B$3)+1),0)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IF(AND(ISNUMBER(AB640),ISNUMBER(AC640)),MAX(0,MIN(AC640,EOMONTH(요약!$B$3,0))-MAX(AB640,요약!$B$3)+1),0)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IF(TRIM(B641&amp;"")="","",IFERROR(INDEX(코드표!$K$2:$K$101,MATCH(TRIM(B641&amp;""),코드표!$J$2:$J$101,0)),"⚠"&amp;TRIM(B641&amp;"")))</f>
        <v/>
      </c>
      <c r="S641" s="10">
        <f>IF(TRIM(K641&amp;"")="","",IFERROR(INDEX(코드표!$K$2:$K$101,MATCH(TRIM(K641&amp;""),코드표!$J$2:$J$101,0)),"⚠"&amp;TRIM(K641&amp;"")))</f>
        <v/>
      </c>
      <c r="T641" s="10">
        <f>IF(TRIM(M641&amp;"")="","",IF(ISNUMBER(MATCH(TRIM(M641&amp;""),코드표!$C$2:$C$11,0)),TRIM(M641&amp;""),"⚠"&amp;TRIM(M641&amp;"")))</f>
        <v/>
      </c>
      <c r="U641" s="10">
        <f>IF(TRIM(L641&amp;"")="","",IFERROR(INDEX(코드표!$G$2:$G$101,MATCH(TRIM(L641&amp;""),코드표!$F$2:$F$101,0)),"⚠"&amp;TRIM(L641&amp;"")))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IF(ISNUMBER(H641),MAX(0,MIN(IF(ISNUMBER(I641),I641,EOMONTH(요약!$B$3,0)),EOMONTH(요약!$B$3,0))-MAX(H641,요약!$B$3)+1),0)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IF(AND(ISNUMBER(AB641),ISNUMBER(AC641)),MAX(0,MIN(AC641,EOMONTH(요약!$B$3,0))-MAX(AB641,요약!$B$3)+1),0)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IF(TRIM(B642&amp;"")="","",IFERROR(INDEX(코드표!$K$2:$K$101,MATCH(TRIM(B642&amp;""),코드표!$J$2:$J$101,0)),"⚠"&amp;TRIM(B642&amp;"")))</f>
        <v/>
      </c>
      <c r="S642" s="10">
        <f>IF(TRIM(K642&amp;"")="","",IFERROR(INDEX(코드표!$K$2:$K$101,MATCH(TRIM(K642&amp;""),코드표!$J$2:$J$101,0)),"⚠"&amp;TRIM(K642&amp;"")))</f>
        <v/>
      </c>
      <c r="T642" s="10">
        <f>IF(TRIM(M642&amp;"")="","",IF(ISNUMBER(MATCH(TRIM(M642&amp;""),코드표!$C$2:$C$11,0)),TRIM(M642&amp;""),"⚠"&amp;TRIM(M642&amp;"")))</f>
        <v/>
      </c>
      <c r="U642" s="10">
        <f>IF(TRIM(L642&amp;"")="","",IFERROR(INDEX(코드표!$G$2:$G$101,MATCH(TRIM(L642&amp;""),코드표!$F$2:$F$101,0)),"⚠"&amp;TRIM(L642&amp;"")))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IF(ISNUMBER(H642),MAX(0,MIN(IF(ISNUMBER(I642),I642,EOMONTH(요약!$B$3,0)),EOMONTH(요약!$B$3,0))-MAX(H642,요약!$B$3)+1),0)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IF(AND(ISNUMBER(AB642),ISNUMBER(AC642)),MAX(0,MIN(AC642,EOMONTH(요약!$B$3,0))-MAX(AB642,요약!$B$3)+1),0)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IF(TRIM(B643&amp;"")="","",IFERROR(INDEX(코드표!$K$2:$K$101,MATCH(TRIM(B643&amp;""),코드표!$J$2:$J$101,0)),"⚠"&amp;TRIM(B643&amp;"")))</f>
        <v/>
      </c>
      <c r="S643" s="10">
        <f>IF(TRIM(K643&amp;"")="","",IFERROR(INDEX(코드표!$K$2:$K$101,MATCH(TRIM(K643&amp;""),코드표!$J$2:$J$101,0)),"⚠"&amp;TRIM(K643&amp;"")))</f>
        <v/>
      </c>
      <c r="T643" s="10">
        <f>IF(TRIM(M643&amp;"")="","",IF(ISNUMBER(MATCH(TRIM(M643&amp;""),코드표!$C$2:$C$11,0)),TRIM(M643&amp;""),"⚠"&amp;TRIM(M643&amp;"")))</f>
        <v/>
      </c>
      <c r="U643" s="10">
        <f>IF(TRIM(L643&amp;"")="","",IFERROR(INDEX(코드표!$G$2:$G$101,MATCH(TRIM(L643&amp;""),코드표!$F$2:$F$101,0)),"⚠"&amp;TRIM(L643&amp;"")))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IF(ISNUMBER(H643),MAX(0,MIN(IF(ISNUMBER(I643),I643,EOMONTH(요약!$B$3,0)),EOMONTH(요약!$B$3,0))-MAX(H643,요약!$B$3)+1),0)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IF(AND(ISNUMBER(AB643),ISNUMBER(AC643)),MAX(0,MIN(AC643,EOMONTH(요약!$B$3,0))-MAX(AB643,요약!$B$3)+1),0)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IF(TRIM(B644&amp;"")="","",IFERROR(INDEX(코드표!$K$2:$K$101,MATCH(TRIM(B644&amp;""),코드표!$J$2:$J$101,0)),"⚠"&amp;TRIM(B644&amp;"")))</f>
        <v/>
      </c>
      <c r="S644" s="10">
        <f>IF(TRIM(K644&amp;"")="","",IFERROR(INDEX(코드표!$K$2:$K$101,MATCH(TRIM(K644&amp;""),코드표!$J$2:$J$101,0)),"⚠"&amp;TRIM(K644&amp;"")))</f>
        <v/>
      </c>
      <c r="T644" s="10">
        <f>IF(TRIM(M644&amp;"")="","",IF(ISNUMBER(MATCH(TRIM(M644&amp;""),코드표!$C$2:$C$11,0)),TRIM(M644&amp;""),"⚠"&amp;TRIM(M644&amp;"")))</f>
        <v/>
      </c>
      <c r="U644" s="10">
        <f>IF(TRIM(L644&amp;"")="","",IFERROR(INDEX(코드표!$G$2:$G$101,MATCH(TRIM(L644&amp;""),코드표!$F$2:$F$101,0)),"⚠"&amp;TRIM(L644&amp;"")))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IF(ISNUMBER(H644),MAX(0,MIN(IF(ISNUMBER(I644),I644,EOMONTH(요약!$B$3,0)),EOMONTH(요약!$B$3,0))-MAX(H644,요약!$B$3)+1),0)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IF(AND(ISNUMBER(AB644),ISNUMBER(AC644)),MAX(0,MIN(AC644,EOMONTH(요약!$B$3,0))-MAX(AB644,요약!$B$3)+1),0)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IF(TRIM(B645&amp;"")="","",IFERROR(INDEX(코드표!$K$2:$K$101,MATCH(TRIM(B645&amp;""),코드표!$J$2:$J$101,0)),"⚠"&amp;TRIM(B645&amp;"")))</f>
        <v/>
      </c>
      <c r="S645" s="10">
        <f>IF(TRIM(K645&amp;"")="","",IFERROR(INDEX(코드표!$K$2:$K$101,MATCH(TRIM(K645&amp;""),코드표!$J$2:$J$101,0)),"⚠"&amp;TRIM(K645&amp;"")))</f>
        <v/>
      </c>
      <c r="T645" s="10">
        <f>IF(TRIM(M645&amp;"")="","",IF(ISNUMBER(MATCH(TRIM(M645&amp;""),코드표!$C$2:$C$11,0)),TRIM(M645&amp;""),"⚠"&amp;TRIM(M645&amp;"")))</f>
        <v/>
      </c>
      <c r="U645" s="10">
        <f>IF(TRIM(L645&amp;"")="","",IFERROR(INDEX(코드표!$G$2:$G$101,MATCH(TRIM(L645&amp;""),코드표!$F$2:$F$101,0)),"⚠"&amp;TRIM(L645&amp;"")))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IF(ISNUMBER(H645),MAX(0,MIN(IF(ISNUMBER(I645),I645,EOMONTH(요약!$B$3,0)),EOMONTH(요약!$B$3,0))-MAX(H645,요약!$B$3)+1),0)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IF(AND(ISNUMBER(AB645),ISNUMBER(AC645)),MAX(0,MIN(AC645,EOMONTH(요약!$B$3,0))-MAX(AB645,요약!$B$3)+1),0)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IF(TRIM(B646&amp;"")="","",IFERROR(INDEX(코드표!$K$2:$K$101,MATCH(TRIM(B646&amp;""),코드표!$J$2:$J$101,0)),"⚠"&amp;TRIM(B646&amp;"")))</f>
        <v/>
      </c>
      <c r="S646" s="10">
        <f>IF(TRIM(K646&amp;"")="","",IFERROR(INDEX(코드표!$K$2:$K$101,MATCH(TRIM(K646&amp;""),코드표!$J$2:$J$101,0)),"⚠"&amp;TRIM(K646&amp;"")))</f>
        <v/>
      </c>
      <c r="T646" s="10">
        <f>IF(TRIM(M646&amp;"")="","",IF(ISNUMBER(MATCH(TRIM(M646&amp;""),코드표!$C$2:$C$11,0)),TRIM(M646&amp;""),"⚠"&amp;TRIM(M646&amp;"")))</f>
        <v/>
      </c>
      <c r="U646" s="10">
        <f>IF(TRIM(L646&amp;"")="","",IFERROR(INDEX(코드표!$G$2:$G$101,MATCH(TRIM(L646&amp;""),코드표!$F$2:$F$101,0)),"⚠"&amp;TRIM(L646&amp;"")))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IF(ISNUMBER(H646),MAX(0,MIN(IF(ISNUMBER(I646),I646,EOMONTH(요약!$B$3,0)),EOMONTH(요약!$B$3,0))-MAX(H646,요약!$B$3)+1),0)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IF(AND(ISNUMBER(AB646),ISNUMBER(AC646)),MAX(0,MIN(AC646,EOMONTH(요약!$B$3,0))-MAX(AB646,요약!$B$3)+1),0)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IF(TRIM(B647&amp;"")="","",IFERROR(INDEX(코드표!$K$2:$K$101,MATCH(TRIM(B647&amp;""),코드표!$J$2:$J$101,0)),"⚠"&amp;TRIM(B647&amp;"")))</f>
        <v/>
      </c>
      <c r="S647" s="10">
        <f>IF(TRIM(K647&amp;"")="","",IFERROR(INDEX(코드표!$K$2:$K$101,MATCH(TRIM(K647&amp;""),코드표!$J$2:$J$101,0)),"⚠"&amp;TRIM(K647&amp;"")))</f>
        <v/>
      </c>
      <c r="T647" s="10">
        <f>IF(TRIM(M647&amp;"")="","",IF(ISNUMBER(MATCH(TRIM(M647&amp;""),코드표!$C$2:$C$11,0)),TRIM(M647&amp;""),"⚠"&amp;TRIM(M647&amp;"")))</f>
        <v/>
      </c>
      <c r="U647" s="10">
        <f>IF(TRIM(L647&amp;"")="","",IFERROR(INDEX(코드표!$G$2:$G$101,MATCH(TRIM(L647&amp;""),코드표!$F$2:$F$101,0)),"⚠"&amp;TRIM(L647&amp;"")))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IF(ISNUMBER(H647),MAX(0,MIN(IF(ISNUMBER(I647),I647,EOMONTH(요약!$B$3,0)),EOMONTH(요약!$B$3,0))-MAX(H647,요약!$B$3)+1),0)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IF(AND(ISNUMBER(AB647),ISNUMBER(AC647)),MAX(0,MIN(AC647,EOMONTH(요약!$B$3,0))-MAX(AB647,요약!$B$3)+1),0)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IF(TRIM(B648&amp;"")="","",IFERROR(INDEX(코드표!$K$2:$K$101,MATCH(TRIM(B648&amp;""),코드표!$J$2:$J$101,0)),"⚠"&amp;TRIM(B648&amp;"")))</f>
        <v/>
      </c>
      <c r="S648" s="10">
        <f>IF(TRIM(K648&amp;"")="","",IFERROR(INDEX(코드표!$K$2:$K$101,MATCH(TRIM(K648&amp;""),코드표!$J$2:$J$101,0)),"⚠"&amp;TRIM(K648&amp;"")))</f>
        <v/>
      </c>
      <c r="T648" s="10">
        <f>IF(TRIM(M648&amp;"")="","",IF(ISNUMBER(MATCH(TRIM(M648&amp;""),코드표!$C$2:$C$11,0)),TRIM(M648&amp;""),"⚠"&amp;TRIM(M648&amp;"")))</f>
        <v/>
      </c>
      <c r="U648" s="10">
        <f>IF(TRIM(L648&amp;"")="","",IFERROR(INDEX(코드표!$G$2:$G$101,MATCH(TRIM(L648&amp;""),코드표!$F$2:$F$101,0)),"⚠"&amp;TRIM(L648&amp;"")))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IF(ISNUMBER(H648),MAX(0,MIN(IF(ISNUMBER(I648),I648,EOMONTH(요약!$B$3,0)),EOMONTH(요약!$B$3,0))-MAX(H648,요약!$B$3)+1),0)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IF(AND(ISNUMBER(AB648),ISNUMBER(AC648)),MAX(0,MIN(AC648,EOMONTH(요약!$B$3,0))-MAX(AB648,요약!$B$3)+1),0)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IF(TRIM(B649&amp;"")="","",IFERROR(INDEX(코드표!$K$2:$K$101,MATCH(TRIM(B649&amp;""),코드표!$J$2:$J$101,0)),"⚠"&amp;TRIM(B649&amp;"")))</f>
        <v/>
      </c>
      <c r="S649" s="10">
        <f>IF(TRIM(K649&amp;"")="","",IFERROR(INDEX(코드표!$K$2:$K$101,MATCH(TRIM(K649&amp;""),코드표!$J$2:$J$101,0)),"⚠"&amp;TRIM(K649&amp;"")))</f>
        <v/>
      </c>
      <c r="T649" s="10">
        <f>IF(TRIM(M649&amp;"")="","",IF(ISNUMBER(MATCH(TRIM(M649&amp;""),코드표!$C$2:$C$11,0)),TRIM(M649&amp;""),"⚠"&amp;TRIM(M649&amp;"")))</f>
        <v/>
      </c>
      <c r="U649" s="10">
        <f>IF(TRIM(L649&amp;"")="","",IFERROR(INDEX(코드표!$G$2:$G$101,MATCH(TRIM(L649&amp;""),코드표!$F$2:$F$101,0)),"⚠"&amp;TRIM(L649&amp;"")))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IF(ISNUMBER(H649),MAX(0,MIN(IF(ISNUMBER(I649),I649,EOMONTH(요약!$B$3,0)),EOMONTH(요약!$B$3,0))-MAX(H649,요약!$B$3)+1),0)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IF(AND(ISNUMBER(AB649),ISNUMBER(AC649)),MAX(0,MIN(AC649,EOMONTH(요약!$B$3,0))-MAX(AB649,요약!$B$3)+1),0)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IF(TRIM(B650&amp;"")="","",IFERROR(INDEX(코드표!$K$2:$K$101,MATCH(TRIM(B650&amp;""),코드표!$J$2:$J$101,0)),"⚠"&amp;TRIM(B650&amp;"")))</f>
        <v/>
      </c>
      <c r="S650" s="10">
        <f>IF(TRIM(K650&amp;"")="","",IFERROR(INDEX(코드표!$K$2:$K$101,MATCH(TRIM(K650&amp;""),코드표!$J$2:$J$101,0)),"⚠"&amp;TRIM(K650&amp;"")))</f>
        <v/>
      </c>
      <c r="T650" s="10">
        <f>IF(TRIM(M650&amp;"")="","",IF(ISNUMBER(MATCH(TRIM(M650&amp;""),코드표!$C$2:$C$11,0)),TRIM(M650&amp;""),"⚠"&amp;TRIM(M650&amp;"")))</f>
        <v/>
      </c>
      <c r="U650" s="10">
        <f>IF(TRIM(L650&amp;"")="","",IFERROR(INDEX(코드표!$G$2:$G$101,MATCH(TRIM(L650&amp;""),코드표!$F$2:$F$101,0)),"⚠"&amp;TRIM(L650&amp;"")))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IF(ISNUMBER(H650),MAX(0,MIN(IF(ISNUMBER(I650),I650,EOMONTH(요약!$B$3,0)),EOMONTH(요약!$B$3,0))-MAX(H650,요약!$B$3)+1),0)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IF(AND(ISNUMBER(AB650),ISNUMBER(AC650)),MAX(0,MIN(AC650,EOMONTH(요약!$B$3,0))-MAX(AB650,요약!$B$3)+1),0)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IF(TRIM(B651&amp;"")="","",IFERROR(INDEX(코드표!$K$2:$K$101,MATCH(TRIM(B651&amp;""),코드표!$J$2:$J$101,0)),"⚠"&amp;TRIM(B651&amp;"")))</f>
        <v/>
      </c>
      <c r="S651" s="10">
        <f>IF(TRIM(K651&amp;"")="","",IFERROR(INDEX(코드표!$K$2:$K$101,MATCH(TRIM(K651&amp;""),코드표!$J$2:$J$101,0)),"⚠"&amp;TRIM(K651&amp;"")))</f>
        <v/>
      </c>
      <c r="T651" s="10">
        <f>IF(TRIM(M651&amp;"")="","",IF(ISNUMBER(MATCH(TRIM(M651&amp;""),코드표!$C$2:$C$11,0)),TRIM(M651&amp;""),"⚠"&amp;TRIM(M651&amp;"")))</f>
        <v/>
      </c>
      <c r="U651" s="10">
        <f>IF(TRIM(L651&amp;"")="","",IFERROR(INDEX(코드표!$G$2:$G$101,MATCH(TRIM(L651&amp;""),코드표!$F$2:$F$101,0)),"⚠"&amp;TRIM(L651&amp;"")))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IF(ISNUMBER(H651),MAX(0,MIN(IF(ISNUMBER(I651),I651,EOMONTH(요약!$B$3,0)),EOMONTH(요약!$B$3,0))-MAX(H651,요약!$B$3)+1),0)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IF(AND(ISNUMBER(AB651),ISNUMBER(AC651)),MAX(0,MIN(AC651,EOMONTH(요약!$B$3,0))-MAX(AB651,요약!$B$3)+1),0)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IF(TRIM(B652&amp;"")="","",IFERROR(INDEX(코드표!$K$2:$K$101,MATCH(TRIM(B652&amp;""),코드표!$J$2:$J$101,0)),"⚠"&amp;TRIM(B652&amp;"")))</f>
        <v/>
      </c>
      <c r="S652" s="10">
        <f>IF(TRIM(K652&amp;"")="","",IFERROR(INDEX(코드표!$K$2:$K$101,MATCH(TRIM(K652&amp;""),코드표!$J$2:$J$101,0)),"⚠"&amp;TRIM(K652&amp;"")))</f>
        <v/>
      </c>
      <c r="T652" s="10">
        <f>IF(TRIM(M652&amp;"")="","",IF(ISNUMBER(MATCH(TRIM(M652&amp;""),코드표!$C$2:$C$11,0)),TRIM(M652&amp;""),"⚠"&amp;TRIM(M652&amp;"")))</f>
        <v/>
      </c>
      <c r="U652" s="10">
        <f>IF(TRIM(L652&amp;"")="","",IFERROR(INDEX(코드표!$G$2:$G$101,MATCH(TRIM(L652&amp;""),코드표!$F$2:$F$101,0)),"⚠"&amp;TRIM(L652&amp;"")))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IF(ISNUMBER(H652),MAX(0,MIN(IF(ISNUMBER(I652),I652,EOMONTH(요약!$B$3,0)),EOMONTH(요약!$B$3,0))-MAX(H652,요약!$B$3)+1),0)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IF(AND(ISNUMBER(AB652),ISNUMBER(AC652)),MAX(0,MIN(AC652,EOMONTH(요약!$B$3,0))-MAX(AB652,요약!$B$3)+1),0)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IF(TRIM(B653&amp;"")="","",IFERROR(INDEX(코드표!$K$2:$K$101,MATCH(TRIM(B653&amp;""),코드표!$J$2:$J$101,0)),"⚠"&amp;TRIM(B653&amp;"")))</f>
        <v/>
      </c>
      <c r="S653" s="10">
        <f>IF(TRIM(K653&amp;"")="","",IFERROR(INDEX(코드표!$K$2:$K$101,MATCH(TRIM(K653&amp;""),코드표!$J$2:$J$101,0)),"⚠"&amp;TRIM(K653&amp;"")))</f>
        <v/>
      </c>
      <c r="T653" s="10">
        <f>IF(TRIM(M653&amp;"")="","",IF(ISNUMBER(MATCH(TRIM(M653&amp;""),코드표!$C$2:$C$11,0)),TRIM(M653&amp;""),"⚠"&amp;TRIM(M653&amp;"")))</f>
        <v/>
      </c>
      <c r="U653" s="10">
        <f>IF(TRIM(L653&amp;"")="","",IFERROR(INDEX(코드표!$G$2:$G$101,MATCH(TRIM(L653&amp;""),코드표!$F$2:$F$101,0)),"⚠"&amp;TRIM(L653&amp;"")))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IF(ISNUMBER(H653),MAX(0,MIN(IF(ISNUMBER(I653),I653,EOMONTH(요약!$B$3,0)),EOMONTH(요약!$B$3,0))-MAX(H653,요약!$B$3)+1),0)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IF(AND(ISNUMBER(AB653),ISNUMBER(AC653)),MAX(0,MIN(AC653,EOMONTH(요약!$B$3,0))-MAX(AB653,요약!$B$3)+1),0)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IF(TRIM(B654&amp;"")="","",IFERROR(INDEX(코드표!$K$2:$K$101,MATCH(TRIM(B654&amp;""),코드표!$J$2:$J$101,0)),"⚠"&amp;TRIM(B654&amp;"")))</f>
        <v/>
      </c>
      <c r="S654" s="10">
        <f>IF(TRIM(K654&amp;"")="","",IFERROR(INDEX(코드표!$K$2:$K$101,MATCH(TRIM(K654&amp;""),코드표!$J$2:$J$101,0)),"⚠"&amp;TRIM(K654&amp;"")))</f>
        <v/>
      </c>
      <c r="T654" s="10">
        <f>IF(TRIM(M654&amp;"")="","",IF(ISNUMBER(MATCH(TRIM(M654&amp;""),코드표!$C$2:$C$11,0)),TRIM(M654&amp;""),"⚠"&amp;TRIM(M654&amp;"")))</f>
        <v/>
      </c>
      <c r="U654" s="10">
        <f>IF(TRIM(L654&amp;"")="","",IFERROR(INDEX(코드표!$G$2:$G$101,MATCH(TRIM(L654&amp;""),코드표!$F$2:$F$101,0)),"⚠"&amp;TRIM(L654&amp;"")))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IF(ISNUMBER(H654),MAX(0,MIN(IF(ISNUMBER(I654),I654,EOMONTH(요약!$B$3,0)),EOMONTH(요약!$B$3,0))-MAX(H654,요약!$B$3)+1),0)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IF(AND(ISNUMBER(AB654),ISNUMBER(AC654)),MAX(0,MIN(AC654,EOMONTH(요약!$B$3,0))-MAX(AB654,요약!$B$3)+1),0)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IF(TRIM(B655&amp;"")="","",IFERROR(INDEX(코드표!$K$2:$K$101,MATCH(TRIM(B655&amp;""),코드표!$J$2:$J$101,0)),"⚠"&amp;TRIM(B655&amp;"")))</f>
        <v/>
      </c>
      <c r="S655" s="10">
        <f>IF(TRIM(K655&amp;"")="","",IFERROR(INDEX(코드표!$K$2:$K$101,MATCH(TRIM(K655&amp;""),코드표!$J$2:$J$101,0)),"⚠"&amp;TRIM(K655&amp;"")))</f>
        <v/>
      </c>
      <c r="T655" s="10">
        <f>IF(TRIM(M655&amp;"")="","",IF(ISNUMBER(MATCH(TRIM(M655&amp;""),코드표!$C$2:$C$11,0)),TRIM(M655&amp;""),"⚠"&amp;TRIM(M655&amp;"")))</f>
        <v/>
      </c>
      <c r="U655" s="10">
        <f>IF(TRIM(L655&amp;"")="","",IFERROR(INDEX(코드표!$G$2:$G$101,MATCH(TRIM(L655&amp;""),코드표!$F$2:$F$101,0)),"⚠"&amp;TRIM(L655&amp;"")))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IF(ISNUMBER(H655),MAX(0,MIN(IF(ISNUMBER(I655),I655,EOMONTH(요약!$B$3,0)),EOMONTH(요약!$B$3,0))-MAX(H655,요약!$B$3)+1),0)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IF(AND(ISNUMBER(AB655),ISNUMBER(AC655)),MAX(0,MIN(AC655,EOMONTH(요약!$B$3,0))-MAX(AB655,요약!$B$3)+1),0)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IF(TRIM(B656&amp;"")="","",IFERROR(INDEX(코드표!$K$2:$K$101,MATCH(TRIM(B656&amp;""),코드표!$J$2:$J$101,0)),"⚠"&amp;TRIM(B656&amp;"")))</f>
        <v/>
      </c>
      <c r="S656" s="10">
        <f>IF(TRIM(K656&amp;"")="","",IFERROR(INDEX(코드표!$K$2:$K$101,MATCH(TRIM(K656&amp;""),코드표!$J$2:$J$101,0)),"⚠"&amp;TRIM(K656&amp;"")))</f>
        <v/>
      </c>
      <c r="T656" s="10">
        <f>IF(TRIM(M656&amp;"")="","",IF(ISNUMBER(MATCH(TRIM(M656&amp;""),코드표!$C$2:$C$11,0)),TRIM(M656&amp;""),"⚠"&amp;TRIM(M656&amp;"")))</f>
        <v/>
      </c>
      <c r="U656" s="10">
        <f>IF(TRIM(L656&amp;"")="","",IFERROR(INDEX(코드표!$G$2:$G$101,MATCH(TRIM(L656&amp;""),코드표!$F$2:$F$101,0)),"⚠"&amp;TRIM(L656&amp;"")))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IF(ISNUMBER(H656),MAX(0,MIN(IF(ISNUMBER(I656),I656,EOMONTH(요약!$B$3,0)),EOMONTH(요약!$B$3,0))-MAX(H656,요약!$B$3)+1),0)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IF(AND(ISNUMBER(AB656),ISNUMBER(AC656)),MAX(0,MIN(AC656,EOMONTH(요약!$B$3,0))-MAX(AB656,요약!$B$3)+1),0)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IF(TRIM(B657&amp;"")="","",IFERROR(INDEX(코드표!$K$2:$K$101,MATCH(TRIM(B657&amp;""),코드표!$J$2:$J$101,0)),"⚠"&amp;TRIM(B657&amp;"")))</f>
        <v/>
      </c>
      <c r="S657" s="10">
        <f>IF(TRIM(K657&amp;"")="","",IFERROR(INDEX(코드표!$K$2:$K$101,MATCH(TRIM(K657&amp;""),코드표!$J$2:$J$101,0)),"⚠"&amp;TRIM(K657&amp;"")))</f>
        <v/>
      </c>
      <c r="T657" s="10">
        <f>IF(TRIM(M657&amp;"")="","",IF(ISNUMBER(MATCH(TRIM(M657&amp;""),코드표!$C$2:$C$11,0)),TRIM(M657&amp;""),"⚠"&amp;TRIM(M657&amp;"")))</f>
        <v/>
      </c>
      <c r="U657" s="10">
        <f>IF(TRIM(L657&amp;"")="","",IFERROR(INDEX(코드표!$G$2:$G$101,MATCH(TRIM(L657&amp;""),코드표!$F$2:$F$101,0)),"⚠"&amp;TRIM(L657&amp;"")))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IF(ISNUMBER(H657),MAX(0,MIN(IF(ISNUMBER(I657),I657,EOMONTH(요약!$B$3,0)),EOMONTH(요약!$B$3,0))-MAX(H657,요약!$B$3)+1),0)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IF(AND(ISNUMBER(AB657),ISNUMBER(AC657)),MAX(0,MIN(AC657,EOMONTH(요약!$B$3,0))-MAX(AB657,요약!$B$3)+1),0)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IF(TRIM(B658&amp;"")="","",IFERROR(INDEX(코드표!$K$2:$K$101,MATCH(TRIM(B658&amp;""),코드표!$J$2:$J$101,0)),"⚠"&amp;TRIM(B658&amp;"")))</f>
        <v/>
      </c>
      <c r="S658" s="10">
        <f>IF(TRIM(K658&amp;"")="","",IFERROR(INDEX(코드표!$K$2:$K$101,MATCH(TRIM(K658&amp;""),코드표!$J$2:$J$101,0)),"⚠"&amp;TRIM(K658&amp;"")))</f>
        <v/>
      </c>
      <c r="T658" s="10">
        <f>IF(TRIM(M658&amp;"")="","",IF(ISNUMBER(MATCH(TRIM(M658&amp;""),코드표!$C$2:$C$11,0)),TRIM(M658&amp;""),"⚠"&amp;TRIM(M658&amp;"")))</f>
        <v/>
      </c>
      <c r="U658" s="10">
        <f>IF(TRIM(L658&amp;"")="","",IFERROR(INDEX(코드표!$G$2:$G$101,MATCH(TRIM(L658&amp;""),코드표!$F$2:$F$101,0)),"⚠"&amp;TRIM(L658&amp;"")))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IF(ISNUMBER(H658),MAX(0,MIN(IF(ISNUMBER(I658),I658,EOMONTH(요약!$B$3,0)),EOMONTH(요약!$B$3,0))-MAX(H658,요약!$B$3)+1),0)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IF(AND(ISNUMBER(AB658),ISNUMBER(AC658)),MAX(0,MIN(AC658,EOMONTH(요약!$B$3,0))-MAX(AB658,요약!$B$3)+1),0)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IF(TRIM(B659&amp;"")="","",IFERROR(INDEX(코드표!$K$2:$K$101,MATCH(TRIM(B659&amp;""),코드표!$J$2:$J$101,0)),"⚠"&amp;TRIM(B659&amp;"")))</f>
        <v/>
      </c>
      <c r="S659" s="10">
        <f>IF(TRIM(K659&amp;"")="","",IFERROR(INDEX(코드표!$K$2:$K$101,MATCH(TRIM(K659&amp;""),코드표!$J$2:$J$101,0)),"⚠"&amp;TRIM(K659&amp;"")))</f>
        <v/>
      </c>
      <c r="T659" s="10">
        <f>IF(TRIM(M659&amp;"")="","",IF(ISNUMBER(MATCH(TRIM(M659&amp;""),코드표!$C$2:$C$11,0)),TRIM(M659&amp;""),"⚠"&amp;TRIM(M659&amp;"")))</f>
        <v/>
      </c>
      <c r="U659" s="10">
        <f>IF(TRIM(L659&amp;"")="","",IFERROR(INDEX(코드표!$G$2:$G$101,MATCH(TRIM(L659&amp;""),코드표!$F$2:$F$101,0)),"⚠"&amp;TRIM(L659&amp;"")))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IF(ISNUMBER(H659),MAX(0,MIN(IF(ISNUMBER(I659),I659,EOMONTH(요약!$B$3,0)),EOMONTH(요약!$B$3,0))-MAX(H659,요약!$B$3)+1),0)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IF(AND(ISNUMBER(AB659),ISNUMBER(AC659)),MAX(0,MIN(AC659,EOMONTH(요약!$B$3,0))-MAX(AB659,요약!$B$3)+1),0)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IF(TRIM(B660&amp;"")="","",IFERROR(INDEX(코드표!$K$2:$K$101,MATCH(TRIM(B660&amp;""),코드표!$J$2:$J$101,0)),"⚠"&amp;TRIM(B660&amp;"")))</f>
        <v/>
      </c>
      <c r="S660" s="10">
        <f>IF(TRIM(K660&amp;"")="","",IFERROR(INDEX(코드표!$K$2:$K$101,MATCH(TRIM(K660&amp;""),코드표!$J$2:$J$101,0)),"⚠"&amp;TRIM(K660&amp;"")))</f>
        <v/>
      </c>
      <c r="T660" s="10">
        <f>IF(TRIM(M660&amp;"")="","",IF(ISNUMBER(MATCH(TRIM(M660&amp;""),코드표!$C$2:$C$11,0)),TRIM(M660&amp;""),"⚠"&amp;TRIM(M660&amp;"")))</f>
        <v/>
      </c>
      <c r="U660" s="10">
        <f>IF(TRIM(L660&amp;"")="","",IFERROR(INDEX(코드표!$G$2:$G$101,MATCH(TRIM(L660&amp;""),코드표!$F$2:$F$101,0)),"⚠"&amp;TRIM(L660&amp;"")))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IF(ISNUMBER(H660),MAX(0,MIN(IF(ISNUMBER(I660),I660,EOMONTH(요약!$B$3,0)),EOMONTH(요약!$B$3,0))-MAX(H660,요약!$B$3)+1),0)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IF(AND(ISNUMBER(AB660),ISNUMBER(AC660)),MAX(0,MIN(AC660,EOMONTH(요약!$B$3,0))-MAX(AB660,요약!$B$3)+1),0)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IF(TRIM(B661&amp;"")="","",IFERROR(INDEX(코드표!$K$2:$K$101,MATCH(TRIM(B661&amp;""),코드표!$J$2:$J$101,0)),"⚠"&amp;TRIM(B661&amp;"")))</f>
        <v/>
      </c>
      <c r="S661" s="10">
        <f>IF(TRIM(K661&amp;"")="","",IFERROR(INDEX(코드표!$K$2:$K$101,MATCH(TRIM(K661&amp;""),코드표!$J$2:$J$101,0)),"⚠"&amp;TRIM(K661&amp;"")))</f>
        <v/>
      </c>
      <c r="T661" s="10">
        <f>IF(TRIM(M661&amp;"")="","",IF(ISNUMBER(MATCH(TRIM(M661&amp;""),코드표!$C$2:$C$11,0)),TRIM(M661&amp;""),"⚠"&amp;TRIM(M661&amp;"")))</f>
        <v/>
      </c>
      <c r="U661" s="10">
        <f>IF(TRIM(L661&amp;"")="","",IFERROR(INDEX(코드표!$G$2:$G$101,MATCH(TRIM(L661&amp;""),코드표!$F$2:$F$101,0)),"⚠"&amp;TRIM(L661&amp;"")))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IF(ISNUMBER(H661),MAX(0,MIN(IF(ISNUMBER(I661),I661,EOMONTH(요약!$B$3,0)),EOMONTH(요약!$B$3,0))-MAX(H661,요약!$B$3)+1),0)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IF(AND(ISNUMBER(AB661),ISNUMBER(AC661)),MAX(0,MIN(AC661,EOMONTH(요약!$B$3,0))-MAX(AB661,요약!$B$3)+1),0)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IF(TRIM(B662&amp;"")="","",IFERROR(INDEX(코드표!$K$2:$K$101,MATCH(TRIM(B662&amp;""),코드표!$J$2:$J$101,0)),"⚠"&amp;TRIM(B662&amp;"")))</f>
        <v/>
      </c>
      <c r="S662" s="10">
        <f>IF(TRIM(K662&amp;"")="","",IFERROR(INDEX(코드표!$K$2:$K$101,MATCH(TRIM(K662&amp;""),코드표!$J$2:$J$101,0)),"⚠"&amp;TRIM(K662&amp;"")))</f>
        <v/>
      </c>
      <c r="T662" s="10">
        <f>IF(TRIM(M662&amp;"")="","",IF(ISNUMBER(MATCH(TRIM(M662&amp;""),코드표!$C$2:$C$11,0)),TRIM(M662&amp;""),"⚠"&amp;TRIM(M662&amp;"")))</f>
        <v/>
      </c>
      <c r="U662" s="10">
        <f>IF(TRIM(L662&amp;"")="","",IFERROR(INDEX(코드표!$G$2:$G$101,MATCH(TRIM(L662&amp;""),코드표!$F$2:$F$101,0)),"⚠"&amp;TRIM(L662&amp;"")))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IF(ISNUMBER(H662),MAX(0,MIN(IF(ISNUMBER(I662),I662,EOMONTH(요약!$B$3,0)),EOMONTH(요약!$B$3,0))-MAX(H662,요약!$B$3)+1),0)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IF(AND(ISNUMBER(AB662),ISNUMBER(AC662)),MAX(0,MIN(AC662,EOMONTH(요약!$B$3,0))-MAX(AB662,요약!$B$3)+1),0)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IF(TRIM(B663&amp;"")="","",IFERROR(INDEX(코드표!$K$2:$K$101,MATCH(TRIM(B663&amp;""),코드표!$J$2:$J$101,0)),"⚠"&amp;TRIM(B663&amp;"")))</f>
        <v/>
      </c>
      <c r="S663" s="10">
        <f>IF(TRIM(K663&amp;"")="","",IFERROR(INDEX(코드표!$K$2:$K$101,MATCH(TRIM(K663&amp;""),코드표!$J$2:$J$101,0)),"⚠"&amp;TRIM(K663&amp;"")))</f>
        <v/>
      </c>
      <c r="T663" s="10">
        <f>IF(TRIM(M663&amp;"")="","",IF(ISNUMBER(MATCH(TRIM(M663&amp;""),코드표!$C$2:$C$11,0)),TRIM(M663&amp;""),"⚠"&amp;TRIM(M663&amp;"")))</f>
        <v/>
      </c>
      <c r="U663" s="10">
        <f>IF(TRIM(L663&amp;"")="","",IFERROR(INDEX(코드표!$G$2:$G$101,MATCH(TRIM(L663&amp;""),코드표!$F$2:$F$101,0)),"⚠"&amp;TRIM(L663&amp;"")))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IF(ISNUMBER(H663),MAX(0,MIN(IF(ISNUMBER(I663),I663,EOMONTH(요약!$B$3,0)),EOMONTH(요약!$B$3,0))-MAX(H663,요약!$B$3)+1),0)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IF(AND(ISNUMBER(AB663),ISNUMBER(AC663)),MAX(0,MIN(AC663,EOMONTH(요약!$B$3,0))-MAX(AB663,요약!$B$3)+1),0)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IF(TRIM(B664&amp;"")="","",IFERROR(INDEX(코드표!$K$2:$K$101,MATCH(TRIM(B664&amp;""),코드표!$J$2:$J$101,0)),"⚠"&amp;TRIM(B664&amp;"")))</f>
        <v/>
      </c>
      <c r="S664" s="10">
        <f>IF(TRIM(K664&amp;"")="","",IFERROR(INDEX(코드표!$K$2:$K$101,MATCH(TRIM(K664&amp;""),코드표!$J$2:$J$101,0)),"⚠"&amp;TRIM(K664&amp;"")))</f>
        <v/>
      </c>
      <c r="T664" s="10">
        <f>IF(TRIM(M664&amp;"")="","",IF(ISNUMBER(MATCH(TRIM(M664&amp;""),코드표!$C$2:$C$11,0)),TRIM(M664&amp;""),"⚠"&amp;TRIM(M664&amp;"")))</f>
        <v/>
      </c>
      <c r="U664" s="10">
        <f>IF(TRIM(L664&amp;"")="","",IFERROR(INDEX(코드표!$G$2:$G$101,MATCH(TRIM(L664&amp;""),코드표!$F$2:$F$101,0)),"⚠"&amp;TRIM(L664&amp;"")))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IF(ISNUMBER(H664),MAX(0,MIN(IF(ISNUMBER(I664),I664,EOMONTH(요약!$B$3,0)),EOMONTH(요약!$B$3,0))-MAX(H664,요약!$B$3)+1),0)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IF(AND(ISNUMBER(AB664),ISNUMBER(AC664)),MAX(0,MIN(AC664,EOMONTH(요약!$B$3,0))-MAX(AB664,요약!$B$3)+1),0)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IF(TRIM(B665&amp;"")="","",IFERROR(INDEX(코드표!$K$2:$K$101,MATCH(TRIM(B665&amp;""),코드표!$J$2:$J$101,0)),"⚠"&amp;TRIM(B665&amp;"")))</f>
        <v/>
      </c>
      <c r="S665" s="10">
        <f>IF(TRIM(K665&amp;"")="","",IFERROR(INDEX(코드표!$K$2:$K$101,MATCH(TRIM(K665&amp;""),코드표!$J$2:$J$101,0)),"⚠"&amp;TRIM(K665&amp;"")))</f>
        <v/>
      </c>
      <c r="T665" s="10">
        <f>IF(TRIM(M665&amp;"")="","",IF(ISNUMBER(MATCH(TRIM(M665&amp;""),코드표!$C$2:$C$11,0)),TRIM(M665&amp;""),"⚠"&amp;TRIM(M665&amp;"")))</f>
        <v/>
      </c>
      <c r="U665" s="10">
        <f>IF(TRIM(L665&amp;"")="","",IFERROR(INDEX(코드표!$G$2:$G$101,MATCH(TRIM(L665&amp;""),코드표!$F$2:$F$101,0)),"⚠"&amp;TRIM(L665&amp;"")))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IF(ISNUMBER(H665),MAX(0,MIN(IF(ISNUMBER(I665),I665,EOMONTH(요약!$B$3,0)),EOMONTH(요약!$B$3,0))-MAX(H665,요약!$B$3)+1),0)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IF(AND(ISNUMBER(AB665),ISNUMBER(AC665)),MAX(0,MIN(AC665,EOMONTH(요약!$B$3,0))-MAX(AB665,요약!$B$3)+1),0)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IF(TRIM(B666&amp;"")="","",IFERROR(INDEX(코드표!$K$2:$K$101,MATCH(TRIM(B666&amp;""),코드표!$J$2:$J$101,0)),"⚠"&amp;TRIM(B666&amp;"")))</f>
        <v/>
      </c>
      <c r="S666" s="10">
        <f>IF(TRIM(K666&amp;"")="","",IFERROR(INDEX(코드표!$K$2:$K$101,MATCH(TRIM(K666&amp;""),코드표!$J$2:$J$101,0)),"⚠"&amp;TRIM(K666&amp;"")))</f>
        <v/>
      </c>
      <c r="T666" s="10">
        <f>IF(TRIM(M666&amp;"")="","",IF(ISNUMBER(MATCH(TRIM(M666&amp;""),코드표!$C$2:$C$11,0)),TRIM(M666&amp;""),"⚠"&amp;TRIM(M666&amp;"")))</f>
        <v/>
      </c>
      <c r="U666" s="10">
        <f>IF(TRIM(L666&amp;"")="","",IFERROR(INDEX(코드표!$G$2:$G$101,MATCH(TRIM(L666&amp;""),코드표!$F$2:$F$101,0)),"⚠"&amp;TRIM(L666&amp;"")))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IF(ISNUMBER(H666),MAX(0,MIN(IF(ISNUMBER(I666),I666,EOMONTH(요약!$B$3,0)),EOMONTH(요약!$B$3,0))-MAX(H666,요약!$B$3)+1),0)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IF(AND(ISNUMBER(AB666),ISNUMBER(AC666)),MAX(0,MIN(AC666,EOMONTH(요약!$B$3,0))-MAX(AB666,요약!$B$3)+1),0)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IF(TRIM(B667&amp;"")="","",IFERROR(INDEX(코드표!$K$2:$K$101,MATCH(TRIM(B667&amp;""),코드표!$J$2:$J$101,0)),"⚠"&amp;TRIM(B667&amp;"")))</f>
        <v/>
      </c>
      <c r="S667" s="10">
        <f>IF(TRIM(K667&amp;"")="","",IFERROR(INDEX(코드표!$K$2:$K$101,MATCH(TRIM(K667&amp;""),코드표!$J$2:$J$101,0)),"⚠"&amp;TRIM(K667&amp;"")))</f>
        <v/>
      </c>
      <c r="T667" s="10">
        <f>IF(TRIM(M667&amp;"")="","",IF(ISNUMBER(MATCH(TRIM(M667&amp;""),코드표!$C$2:$C$11,0)),TRIM(M667&amp;""),"⚠"&amp;TRIM(M667&amp;"")))</f>
        <v/>
      </c>
      <c r="U667" s="10">
        <f>IF(TRIM(L667&amp;"")="","",IFERROR(INDEX(코드표!$G$2:$G$101,MATCH(TRIM(L667&amp;""),코드표!$F$2:$F$101,0)),"⚠"&amp;TRIM(L667&amp;"")))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IF(ISNUMBER(H667),MAX(0,MIN(IF(ISNUMBER(I667),I667,EOMONTH(요약!$B$3,0)),EOMONTH(요약!$B$3,0))-MAX(H667,요약!$B$3)+1),0)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IF(AND(ISNUMBER(AB667),ISNUMBER(AC667)),MAX(0,MIN(AC667,EOMONTH(요약!$B$3,0))-MAX(AB667,요약!$B$3)+1),0)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IF(TRIM(B668&amp;"")="","",IFERROR(INDEX(코드표!$K$2:$K$101,MATCH(TRIM(B668&amp;""),코드표!$J$2:$J$101,0)),"⚠"&amp;TRIM(B668&amp;"")))</f>
        <v/>
      </c>
      <c r="S668" s="10">
        <f>IF(TRIM(K668&amp;"")="","",IFERROR(INDEX(코드표!$K$2:$K$101,MATCH(TRIM(K668&amp;""),코드표!$J$2:$J$101,0)),"⚠"&amp;TRIM(K668&amp;"")))</f>
        <v/>
      </c>
      <c r="T668" s="10">
        <f>IF(TRIM(M668&amp;"")="","",IF(ISNUMBER(MATCH(TRIM(M668&amp;""),코드표!$C$2:$C$11,0)),TRIM(M668&amp;""),"⚠"&amp;TRIM(M668&amp;"")))</f>
        <v/>
      </c>
      <c r="U668" s="10">
        <f>IF(TRIM(L668&amp;"")="","",IFERROR(INDEX(코드표!$G$2:$G$101,MATCH(TRIM(L668&amp;""),코드표!$F$2:$F$101,0)),"⚠"&amp;TRIM(L668&amp;"")))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IF(ISNUMBER(H668),MAX(0,MIN(IF(ISNUMBER(I668),I668,EOMONTH(요약!$B$3,0)),EOMONTH(요약!$B$3,0))-MAX(H668,요약!$B$3)+1),0)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IF(AND(ISNUMBER(AB668),ISNUMBER(AC668)),MAX(0,MIN(AC668,EOMONTH(요약!$B$3,0))-MAX(AB668,요약!$B$3)+1),0)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IF(TRIM(B669&amp;"")="","",IFERROR(INDEX(코드표!$K$2:$K$101,MATCH(TRIM(B669&amp;""),코드표!$J$2:$J$101,0)),"⚠"&amp;TRIM(B669&amp;"")))</f>
        <v/>
      </c>
      <c r="S669" s="10">
        <f>IF(TRIM(K669&amp;"")="","",IFERROR(INDEX(코드표!$K$2:$K$101,MATCH(TRIM(K669&amp;""),코드표!$J$2:$J$101,0)),"⚠"&amp;TRIM(K669&amp;"")))</f>
        <v/>
      </c>
      <c r="T669" s="10">
        <f>IF(TRIM(M669&amp;"")="","",IF(ISNUMBER(MATCH(TRIM(M669&amp;""),코드표!$C$2:$C$11,0)),TRIM(M669&amp;""),"⚠"&amp;TRIM(M669&amp;"")))</f>
        <v/>
      </c>
      <c r="U669" s="10">
        <f>IF(TRIM(L669&amp;"")="","",IFERROR(INDEX(코드표!$G$2:$G$101,MATCH(TRIM(L669&amp;""),코드표!$F$2:$F$101,0)),"⚠"&amp;TRIM(L669&amp;"")))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IF(ISNUMBER(H669),MAX(0,MIN(IF(ISNUMBER(I669),I669,EOMONTH(요약!$B$3,0)),EOMONTH(요약!$B$3,0))-MAX(H669,요약!$B$3)+1),0)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IF(AND(ISNUMBER(AB669),ISNUMBER(AC669)),MAX(0,MIN(AC669,EOMONTH(요약!$B$3,0))-MAX(AB669,요약!$B$3)+1),0)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IF(TRIM(B670&amp;"")="","",IFERROR(INDEX(코드표!$K$2:$K$101,MATCH(TRIM(B670&amp;""),코드표!$J$2:$J$101,0)),"⚠"&amp;TRIM(B670&amp;"")))</f>
        <v/>
      </c>
      <c r="S670" s="10">
        <f>IF(TRIM(K670&amp;"")="","",IFERROR(INDEX(코드표!$K$2:$K$101,MATCH(TRIM(K670&amp;""),코드표!$J$2:$J$101,0)),"⚠"&amp;TRIM(K670&amp;"")))</f>
        <v/>
      </c>
      <c r="T670" s="10">
        <f>IF(TRIM(M670&amp;"")="","",IF(ISNUMBER(MATCH(TRIM(M670&amp;""),코드표!$C$2:$C$11,0)),TRIM(M670&amp;""),"⚠"&amp;TRIM(M670&amp;"")))</f>
        <v/>
      </c>
      <c r="U670" s="10">
        <f>IF(TRIM(L670&amp;"")="","",IFERROR(INDEX(코드표!$G$2:$G$101,MATCH(TRIM(L670&amp;""),코드표!$F$2:$F$101,0)),"⚠"&amp;TRIM(L670&amp;"")))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IF(ISNUMBER(H670),MAX(0,MIN(IF(ISNUMBER(I670),I670,EOMONTH(요약!$B$3,0)),EOMONTH(요약!$B$3,0))-MAX(H670,요약!$B$3)+1),0)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IF(AND(ISNUMBER(AB670),ISNUMBER(AC670)),MAX(0,MIN(AC670,EOMONTH(요약!$B$3,0))-MAX(AB670,요약!$B$3)+1),0)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IF(TRIM(B671&amp;"")="","",IFERROR(INDEX(코드표!$K$2:$K$101,MATCH(TRIM(B671&amp;""),코드표!$J$2:$J$101,0)),"⚠"&amp;TRIM(B671&amp;"")))</f>
        <v/>
      </c>
      <c r="S671" s="10">
        <f>IF(TRIM(K671&amp;"")="","",IFERROR(INDEX(코드표!$K$2:$K$101,MATCH(TRIM(K671&amp;""),코드표!$J$2:$J$101,0)),"⚠"&amp;TRIM(K671&amp;"")))</f>
        <v/>
      </c>
      <c r="T671" s="10">
        <f>IF(TRIM(M671&amp;"")="","",IF(ISNUMBER(MATCH(TRIM(M671&amp;""),코드표!$C$2:$C$11,0)),TRIM(M671&amp;""),"⚠"&amp;TRIM(M671&amp;"")))</f>
        <v/>
      </c>
      <c r="U671" s="10">
        <f>IF(TRIM(L671&amp;"")="","",IFERROR(INDEX(코드표!$G$2:$G$101,MATCH(TRIM(L671&amp;""),코드표!$F$2:$F$101,0)),"⚠"&amp;TRIM(L671&amp;"")))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IF(ISNUMBER(H671),MAX(0,MIN(IF(ISNUMBER(I671),I671,EOMONTH(요약!$B$3,0)),EOMONTH(요약!$B$3,0))-MAX(H671,요약!$B$3)+1),0)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IF(AND(ISNUMBER(AB671),ISNUMBER(AC671)),MAX(0,MIN(AC671,EOMONTH(요약!$B$3,0))-MAX(AB671,요약!$B$3)+1),0)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IF(TRIM(B672&amp;"")="","",IFERROR(INDEX(코드표!$K$2:$K$101,MATCH(TRIM(B672&amp;""),코드표!$J$2:$J$101,0)),"⚠"&amp;TRIM(B672&amp;"")))</f>
        <v/>
      </c>
      <c r="S672" s="10">
        <f>IF(TRIM(K672&amp;"")="","",IFERROR(INDEX(코드표!$K$2:$K$101,MATCH(TRIM(K672&amp;""),코드표!$J$2:$J$101,0)),"⚠"&amp;TRIM(K672&amp;"")))</f>
        <v/>
      </c>
      <c r="T672" s="10">
        <f>IF(TRIM(M672&amp;"")="","",IF(ISNUMBER(MATCH(TRIM(M672&amp;""),코드표!$C$2:$C$11,0)),TRIM(M672&amp;""),"⚠"&amp;TRIM(M672&amp;"")))</f>
        <v/>
      </c>
      <c r="U672" s="10">
        <f>IF(TRIM(L672&amp;"")="","",IFERROR(INDEX(코드표!$G$2:$G$101,MATCH(TRIM(L672&amp;""),코드표!$F$2:$F$101,0)),"⚠"&amp;TRIM(L672&amp;"")))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IF(ISNUMBER(H672),MAX(0,MIN(IF(ISNUMBER(I672),I672,EOMONTH(요약!$B$3,0)),EOMONTH(요약!$B$3,0))-MAX(H672,요약!$B$3)+1),0)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IF(AND(ISNUMBER(AB672),ISNUMBER(AC672)),MAX(0,MIN(AC672,EOMONTH(요약!$B$3,0))-MAX(AB672,요약!$B$3)+1),0)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IF(TRIM(B673&amp;"")="","",IFERROR(INDEX(코드표!$K$2:$K$101,MATCH(TRIM(B673&amp;""),코드표!$J$2:$J$101,0)),"⚠"&amp;TRIM(B673&amp;"")))</f>
        <v/>
      </c>
      <c r="S673" s="10">
        <f>IF(TRIM(K673&amp;"")="","",IFERROR(INDEX(코드표!$K$2:$K$101,MATCH(TRIM(K673&amp;""),코드표!$J$2:$J$101,0)),"⚠"&amp;TRIM(K673&amp;"")))</f>
        <v/>
      </c>
      <c r="T673" s="10">
        <f>IF(TRIM(M673&amp;"")="","",IF(ISNUMBER(MATCH(TRIM(M673&amp;""),코드표!$C$2:$C$11,0)),TRIM(M673&amp;""),"⚠"&amp;TRIM(M673&amp;"")))</f>
        <v/>
      </c>
      <c r="U673" s="10">
        <f>IF(TRIM(L673&amp;"")="","",IFERROR(INDEX(코드표!$G$2:$G$101,MATCH(TRIM(L673&amp;""),코드표!$F$2:$F$101,0)),"⚠"&amp;TRIM(L673&amp;"")))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IF(ISNUMBER(H673),MAX(0,MIN(IF(ISNUMBER(I673),I673,EOMONTH(요약!$B$3,0)),EOMONTH(요약!$B$3,0))-MAX(H673,요약!$B$3)+1),0)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IF(AND(ISNUMBER(AB673),ISNUMBER(AC673)),MAX(0,MIN(AC673,EOMONTH(요약!$B$3,0))-MAX(AB673,요약!$B$3)+1),0)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IF(TRIM(B674&amp;"")="","",IFERROR(INDEX(코드표!$K$2:$K$101,MATCH(TRIM(B674&amp;""),코드표!$J$2:$J$101,0)),"⚠"&amp;TRIM(B674&amp;"")))</f>
        <v/>
      </c>
      <c r="S674" s="10">
        <f>IF(TRIM(K674&amp;"")="","",IFERROR(INDEX(코드표!$K$2:$K$101,MATCH(TRIM(K674&amp;""),코드표!$J$2:$J$101,0)),"⚠"&amp;TRIM(K674&amp;"")))</f>
        <v/>
      </c>
      <c r="T674" s="10">
        <f>IF(TRIM(M674&amp;"")="","",IF(ISNUMBER(MATCH(TRIM(M674&amp;""),코드표!$C$2:$C$11,0)),TRIM(M674&amp;""),"⚠"&amp;TRIM(M674&amp;"")))</f>
        <v/>
      </c>
      <c r="U674" s="10">
        <f>IF(TRIM(L674&amp;"")="","",IFERROR(INDEX(코드표!$G$2:$G$101,MATCH(TRIM(L674&amp;""),코드표!$F$2:$F$101,0)),"⚠"&amp;TRIM(L674&amp;"")))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IF(ISNUMBER(H674),MAX(0,MIN(IF(ISNUMBER(I674),I674,EOMONTH(요약!$B$3,0)),EOMONTH(요약!$B$3,0))-MAX(H674,요약!$B$3)+1),0)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IF(AND(ISNUMBER(AB674),ISNUMBER(AC674)),MAX(0,MIN(AC674,EOMONTH(요약!$B$3,0))-MAX(AB674,요약!$B$3)+1),0)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IF(TRIM(B675&amp;"")="","",IFERROR(INDEX(코드표!$K$2:$K$101,MATCH(TRIM(B675&amp;""),코드표!$J$2:$J$101,0)),"⚠"&amp;TRIM(B675&amp;"")))</f>
        <v/>
      </c>
      <c r="S675" s="10">
        <f>IF(TRIM(K675&amp;"")="","",IFERROR(INDEX(코드표!$K$2:$K$101,MATCH(TRIM(K675&amp;""),코드표!$J$2:$J$101,0)),"⚠"&amp;TRIM(K675&amp;"")))</f>
        <v/>
      </c>
      <c r="T675" s="10">
        <f>IF(TRIM(M675&amp;"")="","",IF(ISNUMBER(MATCH(TRIM(M675&amp;""),코드표!$C$2:$C$11,0)),TRIM(M675&amp;""),"⚠"&amp;TRIM(M675&amp;"")))</f>
        <v/>
      </c>
      <c r="U675" s="10">
        <f>IF(TRIM(L675&amp;"")="","",IFERROR(INDEX(코드표!$G$2:$G$101,MATCH(TRIM(L675&amp;""),코드표!$F$2:$F$101,0)),"⚠"&amp;TRIM(L675&amp;"")))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IF(ISNUMBER(H675),MAX(0,MIN(IF(ISNUMBER(I675),I675,EOMONTH(요약!$B$3,0)),EOMONTH(요약!$B$3,0))-MAX(H675,요약!$B$3)+1),0)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IF(AND(ISNUMBER(AB675),ISNUMBER(AC675)),MAX(0,MIN(AC675,EOMONTH(요약!$B$3,0))-MAX(AB675,요약!$B$3)+1),0)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IF(TRIM(B676&amp;"")="","",IFERROR(INDEX(코드표!$K$2:$K$101,MATCH(TRIM(B676&amp;""),코드표!$J$2:$J$101,0)),"⚠"&amp;TRIM(B676&amp;"")))</f>
        <v/>
      </c>
      <c r="S676" s="10">
        <f>IF(TRIM(K676&amp;"")="","",IFERROR(INDEX(코드표!$K$2:$K$101,MATCH(TRIM(K676&amp;""),코드표!$J$2:$J$101,0)),"⚠"&amp;TRIM(K676&amp;"")))</f>
        <v/>
      </c>
      <c r="T676" s="10">
        <f>IF(TRIM(M676&amp;"")="","",IF(ISNUMBER(MATCH(TRIM(M676&amp;""),코드표!$C$2:$C$11,0)),TRIM(M676&amp;""),"⚠"&amp;TRIM(M676&amp;"")))</f>
        <v/>
      </c>
      <c r="U676" s="10">
        <f>IF(TRIM(L676&amp;"")="","",IFERROR(INDEX(코드표!$G$2:$G$101,MATCH(TRIM(L676&amp;""),코드표!$F$2:$F$101,0)),"⚠"&amp;TRIM(L676&amp;"")))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IF(ISNUMBER(H676),MAX(0,MIN(IF(ISNUMBER(I676),I676,EOMONTH(요약!$B$3,0)),EOMONTH(요약!$B$3,0))-MAX(H676,요약!$B$3)+1),0)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IF(AND(ISNUMBER(AB676),ISNUMBER(AC676)),MAX(0,MIN(AC676,EOMONTH(요약!$B$3,0))-MAX(AB676,요약!$B$3)+1),0)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IF(TRIM(B677&amp;"")="","",IFERROR(INDEX(코드표!$K$2:$K$101,MATCH(TRIM(B677&amp;""),코드표!$J$2:$J$101,0)),"⚠"&amp;TRIM(B677&amp;"")))</f>
        <v/>
      </c>
      <c r="S677" s="10">
        <f>IF(TRIM(K677&amp;"")="","",IFERROR(INDEX(코드표!$K$2:$K$101,MATCH(TRIM(K677&amp;""),코드표!$J$2:$J$101,0)),"⚠"&amp;TRIM(K677&amp;"")))</f>
        <v/>
      </c>
      <c r="T677" s="10">
        <f>IF(TRIM(M677&amp;"")="","",IF(ISNUMBER(MATCH(TRIM(M677&amp;""),코드표!$C$2:$C$11,0)),TRIM(M677&amp;""),"⚠"&amp;TRIM(M677&amp;"")))</f>
        <v/>
      </c>
      <c r="U677" s="10">
        <f>IF(TRIM(L677&amp;"")="","",IFERROR(INDEX(코드표!$G$2:$G$101,MATCH(TRIM(L677&amp;""),코드표!$F$2:$F$101,0)),"⚠"&amp;TRIM(L677&amp;"")))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IF(ISNUMBER(H677),MAX(0,MIN(IF(ISNUMBER(I677),I677,EOMONTH(요약!$B$3,0)),EOMONTH(요약!$B$3,0))-MAX(H677,요약!$B$3)+1),0)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IF(AND(ISNUMBER(AB677),ISNUMBER(AC677)),MAX(0,MIN(AC677,EOMONTH(요약!$B$3,0))-MAX(AB677,요약!$B$3)+1),0)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IF(TRIM(B678&amp;"")="","",IFERROR(INDEX(코드표!$K$2:$K$101,MATCH(TRIM(B678&amp;""),코드표!$J$2:$J$101,0)),"⚠"&amp;TRIM(B678&amp;"")))</f>
        <v/>
      </c>
      <c r="S678" s="10">
        <f>IF(TRIM(K678&amp;"")="","",IFERROR(INDEX(코드표!$K$2:$K$101,MATCH(TRIM(K678&amp;""),코드표!$J$2:$J$101,0)),"⚠"&amp;TRIM(K678&amp;"")))</f>
        <v/>
      </c>
      <c r="T678" s="10">
        <f>IF(TRIM(M678&amp;"")="","",IF(ISNUMBER(MATCH(TRIM(M678&amp;""),코드표!$C$2:$C$11,0)),TRIM(M678&amp;""),"⚠"&amp;TRIM(M678&amp;"")))</f>
        <v/>
      </c>
      <c r="U678" s="10">
        <f>IF(TRIM(L678&amp;"")="","",IFERROR(INDEX(코드표!$G$2:$G$101,MATCH(TRIM(L678&amp;""),코드표!$F$2:$F$101,0)),"⚠"&amp;TRIM(L678&amp;"")))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IF(ISNUMBER(H678),MAX(0,MIN(IF(ISNUMBER(I678),I678,EOMONTH(요약!$B$3,0)),EOMONTH(요약!$B$3,0))-MAX(H678,요약!$B$3)+1),0)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IF(AND(ISNUMBER(AB678),ISNUMBER(AC678)),MAX(0,MIN(AC678,EOMONTH(요약!$B$3,0))-MAX(AB678,요약!$B$3)+1),0)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IF(TRIM(B679&amp;"")="","",IFERROR(INDEX(코드표!$K$2:$K$101,MATCH(TRIM(B679&amp;""),코드표!$J$2:$J$101,0)),"⚠"&amp;TRIM(B679&amp;"")))</f>
        <v/>
      </c>
      <c r="S679" s="10">
        <f>IF(TRIM(K679&amp;"")="","",IFERROR(INDEX(코드표!$K$2:$K$101,MATCH(TRIM(K679&amp;""),코드표!$J$2:$J$101,0)),"⚠"&amp;TRIM(K679&amp;"")))</f>
        <v/>
      </c>
      <c r="T679" s="10">
        <f>IF(TRIM(M679&amp;"")="","",IF(ISNUMBER(MATCH(TRIM(M679&amp;""),코드표!$C$2:$C$11,0)),TRIM(M679&amp;""),"⚠"&amp;TRIM(M679&amp;"")))</f>
        <v/>
      </c>
      <c r="U679" s="10">
        <f>IF(TRIM(L679&amp;"")="","",IFERROR(INDEX(코드표!$G$2:$G$101,MATCH(TRIM(L679&amp;""),코드표!$F$2:$F$101,0)),"⚠"&amp;TRIM(L679&amp;"")))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IF(ISNUMBER(H679),MAX(0,MIN(IF(ISNUMBER(I679),I679,EOMONTH(요약!$B$3,0)),EOMONTH(요약!$B$3,0))-MAX(H679,요약!$B$3)+1),0)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IF(AND(ISNUMBER(AB679),ISNUMBER(AC679)),MAX(0,MIN(AC679,EOMONTH(요약!$B$3,0))-MAX(AB679,요약!$B$3)+1),0)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IF(TRIM(B680&amp;"")="","",IFERROR(INDEX(코드표!$K$2:$K$101,MATCH(TRIM(B680&amp;""),코드표!$J$2:$J$101,0)),"⚠"&amp;TRIM(B680&amp;"")))</f>
        <v/>
      </c>
      <c r="S680" s="10">
        <f>IF(TRIM(K680&amp;"")="","",IFERROR(INDEX(코드표!$K$2:$K$101,MATCH(TRIM(K680&amp;""),코드표!$J$2:$J$101,0)),"⚠"&amp;TRIM(K680&amp;"")))</f>
        <v/>
      </c>
      <c r="T680" s="10">
        <f>IF(TRIM(M680&amp;"")="","",IF(ISNUMBER(MATCH(TRIM(M680&amp;""),코드표!$C$2:$C$11,0)),TRIM(M680&amp;""),"⚠"&amp;TRIM(M680&amp;"")))</f>
        <v/>
      </c>
      <c r="U680" s="10">
        <f>IF(TRIM(L680&amp;"")="","",IFERROR(INDEX(코드표!$G$2:$G$101,MATCH(TRIM(L680&amp;""),코드표!$F$2:$F$101,0)),"⚠"&amp;TRIM(L680&amp;"")))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IF(ISNUMBER(H680),MAX(0,MIN(IF(ISNUMBER(I680),I680,EOMONTH(요약!$B$3,0)),EOMONTH(요약!$B$3,0))-MAX(H680,요약!$B$3)+1),0)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IF(AND(ISNUMBER(AB680),ISNUMBER(AC680)),MAX(0,MIN(AC680,EOMONTH(요약!$B$3,0))-MAX(AB680,요약!$B$3)+1),0)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IF(TRIM(B681&amp;"")="","",IFERROR(INDEX(코드표!$K$2:$K$101,MATCH(TRIM(B681&amp;""),코드표!$J$2:$J$101,0)),"⚠"&amp;TRIM(B681&amp;"")))</f>
        <v/>
      </c>
      <c r="S681" s="10">
        <f>IF(TRIM(K681&amp;"")="","",IFERROR(INDEX(코드표!$K$2:$K$101,MATCH(TRIM(K681&amp;""),코드표!$J$2:$J$101,0)),"⚠"&amp;TRIM(K681&amp;"")))</f>
        <v/>
      </c>
      <c r="T681" s="10">
        <f>IF(TRIM(M681&amp;"")="","",IF(ISNUMBER(MATCH(TRIM(M681&amp;""),코드표!$C$2:$C$11,0)),TRIM(M681&amp;""),"⚠"&amp;TRIM(M681&amp;"")))</f>
        <v/>
      </c>
      <c r="U681" s="10">
        <f>IF(TRIM(L681&amp;"")="","",IFERROR(INDEX(코드표!$G$2:$G$101,MATCH(TRIM(L681&amp;""),코드표!$F$2:$F$101,0)),"⚠"&amp;TRIM(L681&amp;"")))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IF(ISNUMBER(H681),MAX(0,MIN(IF(ISNUMBER(I681),I681,EOMONTH(요약!$B$3,0)),EOMONTH(요약!$B$3,0))-MAX(H681,요약!$B$3)+1),0)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IF(AND(ISNUMBER(AB681),ISNUMBER(AC681)),MAX(0,MIN(AC681,EOMONTH(요약!$B$3,0))-MAX(AB681,요약!$B$3)+1),0)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IF(TRIM(B682&amp;"")="","",IFERROR(INDEX(코드표!$K$2:$K$101,MATCH(TRIM(B682&amp;""),코드표!$J$2:$J$101,0)),"⚠"&amp;TRIM(B682&amp;"")))</f>
        <v/>
      </c>
      <c r="S682" s="10">
        <f>IF(TRIM(K682&amp;"")="","",IFERROR(INDEX(코드표!$K$2:$K$101,MATCH(TRIM(K682&amp;""),코드표!$J$2:$J$101,0)),"⚠"&amp;TRIM(K682&amp;"")))</f>
        <v/>
      </c>
      <c r="T682" s="10">
        <f>IF(TRIM(M682&amp;"")="","",IF(ISNUMBER(MATCH(TRIM(M682&amp;""),코드표!$C$2:$C$11,0)),TRIM(M682&amp;""),"⚠"&amp;TRIM(M682&amp;"")))</f>
        <v/>
      </c>
      <c r="U682" s="10">
        <f>IF(TRIM(L682&amp;"")="","",IFERROR(INDEX(코드표!$G$2:$G$101,MATCH(TRIM(L682&amp;""),코드표!$F$2:$F$101,0)),"⚠"&amp;TRIM(L682&amp;"")))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IF(ISNUMBER(H682),MAX(0,MIN(IF(ISNUMBER(I682),I682,EOMONTH(요약!$B$3,0)),EOMONTH(요약!$B$3,0))-MAX(H682,요약!$B$3)+1),0)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IF(AND(ISNUMBER(AB682),ISNUMBER(AC682)),MAX(0,MIN(AC682,EOMONTH(요약!$B$3,0))-MAX(AB682,요약!$B$3)+1),0)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IF(TRIM(B683&amp;"")="","",IFERROR(INDEX(코드표!$K$2:$K$101,MATCH(TRIM(B683&amp;""),코드표!$J$2:$J$101,0)),"⚠"&amp;TRIM(B683&amp;"")))</f>
        <v/>
      </c>
      <c r="S683" s="10">
        <f>IF(TRIM(K683&amp;"")="","",IFERROR(INDEX(코드표!$K$2:$K$101,MATCH(TRIM(K683&amp;""),코드표!$J$2:$J$101,0)),"⚠"&amp;TRIM(K683&amp;"")))</f>
        <v/>
      </c>
      <c r="T683" s="10">
        <f>IF(TRIM(M683&amp;"")="","",IF(ISNUMBER(MATCH(TRIM(M683&amp;""),코드표!$C$2:$C$11,0)),TRIM(M683&amp;""),"⚠"&amp;TRIM(M683&amp;"")))</f>
        <v/>
      </c>
      <c r="U683" s="10">
        <f>IF(TRIM(L683&amp;"")="","",IFERROR(INDEX(코드표!$G$2:$G$101,MATCH(TRIM(L683&amp;""),코드표!$F$2:$F$101,0)),"⚠"&amp;TRIM(L683&amp;"")))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IF(ISNUMBER(H683),MAX(0,MIN(IF(ISNUMBER(I683),I683,EOMONTH(요약!$B$3,0)),EOMONTH(요약!$B$3,0))-MAX(H683,요약!$B$3)+1),0)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IF(AND(ISNUMBER(AB683),ISNUMBER(AC683)),MAX(0,MIN(AC683,EOMONTH(요약!$B$3,0))-MAX(AB683,요약!$B$3)+1),0)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IF(TRIM(B684&amp;"")="","",IFERROR(INDEX(코드표!$K$2:$K$101,MATCH(TRIM(B684&amp;""),코드표!$J$2:$J$101,0)),"⚠"&amp;TRIM(B684&amp;"")))</f>
        <v/>
      </c>
      <c r="S684" s="10">
        <f>IF(TRIM(K684&amp;"")="","",IFERROR(INDEX(코드표!$K$2:$K$101,MATCH(TRIM(K684&amp;""),코드표!$J$2:$J$101,0)),"⚠"&amp;TRIM(K684&amp;"")))</f>
        <v/>
      </c>
      <c r="T684" s="10">
        <f>IF(TRIM(M684&amp;"")="","",IF(ISNUMBER(MATCH(TRIM(M684&amp;""),코드표!$C$2:$C$11,0)),TRIM(M684&amp;""),"⚠"&amp;TRIM(M684&amp;"")))</f>
        <v/>
      </c>
      <c r="U684" s="10">
        <f>IF(TRIM(L684&amp;"")="","",IFERROR(INDEX(코드표!$G$2:$G$101,MATCH(TRIM(L684&amp;""),코드표!$F$2:$F$101,0)),"⚠"&amp;TRIM(L684&amp;"")))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IF(ISNUMBER(H684),MAX(0,MIN(IF(ISNUMBER(I684),I684,EOMONTH(요약!$B$3,0)),EOMONTH(요약!$B$3,0))-MAX(H684,요약!$B$3)+1),0)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IF(AND(ISNUMBER(AB684),ISNUMBER(AC684)),MAX(0,MIN(AC684,EOMONTH(요약!$B$3,0))-MAX(AB684,요약!$B$3)+1),0)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IF(TRIM(B685&amp;"")="","",IFERROR(INDEX(코드표!$K$2:$K$101,MATCH(TRIM(B685&amp;""),코드표!$J$2:$J$101,0)),"⚠"&amp;TRIM(B685&amp;"")))</f>
        <v/>
      </c>
      <c r="S685" s="10">
        <f>IF(TRIM(K685&amp;"")="","",IFERROR(INDEX(코드표!$K$2:$K$101,MATCH(TRIM(K685&amp;""),코드표!$J$2:$J$101,0)),"⚠"&amp;TRIM(K685&amp;"")))</f>
        <v/>
      </c>
      <c r="T685" s="10">
        <f>IF(TRIM(M685&amp;"")="","",IF(ISNUMBER(MATCH(TRIM(M685&amp;""),코드표!$C$2:$C$11,0)),TRIM(M685&amp;""),"⚠"&amp;TRIM(M685&amp;"")))</f>
        <v/>
      </c>
      <c r="U685" s="10">
        <f>IF(TRIM(L685&amp;"")="","",IFERROR(INDEX(코드표!$G$2:$G$101,MATCH(TRIM(L685&amp;""),코드표!$F$2:$F$101,0)),"⚠"&amp;TRIM(L685&amp;"")))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IF(ISNUMBER(H685),MAX(0,MIN(IF(ISNUMBER(I685),I685,EOMONTH(요약!$B$3,0)),EOMONTH(요약!$B$3,0))-MAX(H685,요약!$B$3)+1),0)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IF(AND(ISNUMBER(AB685),ISNUMBER(AC685)),MAX(0,MIN(AC685,EOMONTH(요약!$B$3,0))-MAX(AB685,요약!$B$3)+1),0)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IF(TRIM(B686&amp;"")="","",IFERROR(INDEX(코드표!$K$2:$K$101,MATCH(TRIM(B686&amp;""),코드표!$J$2:$J$101,0)),"⚠"&amp;TRIM(B686&amp;"")))</f>
        <v/>
      </c>
      <c r="S686" s="10">
        <f>IF(TRIM(K686&amp;"")="","",IFERROR(INDEX(코드표!$K$2:$K$101,MATCH(TRIM(K686&amp;""),코드표!$J$2:$J$101,0)),"⚠"&amp;TRIM(K686&amp;"")))</f>
        <v/>
      </c>
      <c r="T686" s="10">
        <f>IF(TRIM(M686&amp;"")="","",IF(ISNUMBER(MATCH(TRIM(M686&amp;""),코드표!$C$2:$C$11,0)),TRIM(M686&amp;""),"⚠"&amp;TRIM(M686&amp;"")))</f>
        <v/>
      </c>
      <c r="U686" s="10">
        <f>IF(TRIM(L686&amp;"")="","",IFERROR(INDEX(코드표!$G$2:$G$101,MATCH(TRIM(L686&amp;""),코드표!$F$2:$F$101,0)),"⚠"&amp;TRIM(L686&amp;"")))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IF(ISNUMBER(H686),MAX(0,MIN(IF(ISNUMBER(I686),I686,EOMONTH(요약!$B$3,0)),EOMONTH(요약!$B$3,0))-MAX(H686,요약!$B$3)+1),0)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IF(AND(ISNUMBER(AB686),ISNUMBER(AC686)),MAX(0,MIN(AC686,EOMONTH(요약!$B$3,0))-MAX(AB686,요약!$B$3)+1),0)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IF(TRIM(B687&amp;"")="","",IFERROR(INDEX(코드표!$K$2:$K$101,MATCH(TRIM(B687&amp;""),코드표!$J$2:$J$101,0)),"⚠"&amp;TRIM(B687&amp;"")))</f>
        <v/>
      </c>
      <c r="S687" s="10">
        <f>IF(TRIM(K687&amp;"")="","",IFERROR(INDEX(코드표!$K$2:$K$101,MATCH(TRIM(K687&amp;""),코드표!$J$2:$J$101,0)),"⚠"&amp;TRIM(K687&amp;"")))</f>
        <v/>
      </c>
      <c r="T687" s="10">
        <f>IF(TRIM(M687&amp;"")="","",IF(ISNUMBER(MATCH(TRIM(M687&amp;""),코드표!$C$2:$C$11,0)),TRIM(M687&amp;""),"⚠"&amp;TRIM(M687&amp;"")))</f>
        <v/>
      </c>
      <c r="U687" s="10">
        <f>IF(TRIM(L687&amp;"")="","",IFERROR(INDEX(코드표!$G$2:$G$101,MATCH(TRIM(L687&amp;""),코드표!$F$2:$F$101,0)),"⚠"&amp;TRIM(L687&amp;"")))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IF(ISNUMBER(H687),MAX(0,MIN(IF(ISNUMBER(I687),I687,EOMONTH(요약!$B$3,0)),EOMONTH(요약!$B$3,0))-MAX(H687,요약!$B$3)+1),0)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IF(AND(ISNUMBER(AB687),ISNUMBER(AC687)),MAX(0,MIN(AC687,EOMONTH(요약!$B$3,0))-MAX(AB687,요약!$B$3)+1),0)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IF(TRIM(B688&amp;"")="","",IFERROR(INDEX(코드표!$K$2:$K$101,MATCH(TRIM(B688&amp;""),코드표!$J$2:$J$101,0)),"⚠"&amp;TRIM(B688&amp;"")))</f>
        <v/>
      </c>
      <c r="S688" s="10">
        <f>IF(TRIM(K688&amp;"")="","",IFERROR(INDEX(코드표!$K$2:$K$101,MATCH(TRIM(K688&amp;""),코드표!$J$2:$J$101,0)),"⚠"&amp;TRIM(K688&amp;"")))</f>
        <v/>
      </c>
      <c r="T688" s="10">
        <f>IF(TRIM(M688&amp;"")="","",IF(ISNUMBER(MATCH(TRIM(M688&amp;""),코드표!$C$2:$C$11,0)),TRIM(M688&amp;""),"⚠"&amp;TRIM(M688&amp;"")))</f>
        <v/>
      </c>
      <c r="U688" s="10">
        <f>IF(TRIM(L688&amp;"")="","",IFERROR(INDEX(코드표!$G$2:$G$101,MATCH(TRIM(L688&amp;""),코드표!$F$2:$F$101,0)),"⚠"&amp;TRIM(L688&amp;"")))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IF(ISNUMBER(H688),MAX(0,MIN(IF(ISNUMBER(I688),I688,EOMONTH(요약!$B$3,0)),EOMONTH(요약!$B$3,0))-MAX(H688,요약!$B$3)+1),0)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IF(AND(ISNUMBER(AB688),ISNUMBER(AC688)),MAX(0,MIN(AC688,EOMONTH(요약!$B$3,0))-MAX(AB688,요약!$B$3)+1),0)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IF(TRIM(B689&amp;"")="","",IFERROR(INDEX(코드표!$K$2:$K$101,MATCH(TRIM(B689&amp;""),코드표!$J$2:$J$101,0)),"⚠"&amp;TRIM(B689&amp;"")))</f>
        <v/>
      </c>
      <c r="S689" s="10">
        <f>IF(TRIM(K689&amp;"")="","",IFERROR(INDEX(코드표!$K$2:$K$101,MATCH(TRIM(K689&amp;""),코드표!$J$2:$J$101,0)),"⚠"&amp;TRIM(K689&amp;"")))</f>
        <v/>
      </c>
      <c r="T689" s="10">
        <f>IF(TRIM(M689&amp;"")="","",IF(ISNUMBER(MATCH(TRIM(M689&amp;""),코드표!$C$2:$C$11,0)),TRIM(M689&amp;""),"⚠"&amp;TRIM(M689&amp;"")))</f>
        <v/>
      </c>
      <c r="U689" s="10">
        <f>IF(TRIM(L689&amp;"")="","",IFERROR(INDEX(코드표!$G$2:$G$101,MATCH(TRIM(L689&amp;""),코드표!$F$2:$F$101,0)),"⚠"&amp;TRIM(L689&amp;"")))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IF(ISNUMBER(H689),MAX(0,MIN(IF(ISNUMBER(I689),I689,EOMONTH(요약!$B$3,0)),EOMONTH(요약!$B$3,0))-MAX(H689,요약!$B$3)+1),0)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IF(AND(ISNUMBER(AB689),ISNUMBER(AC689)),MAX(0,MIN(AC689,EOMONTH(요약!$B$3,0))-MAX(AB689,요약!$B$3)+1),0)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IF(TRIM(B690&amp;"")="","",IFERROR(INDEX(코드표!$K$2:$K$101,MATCH(TRIM(B690&amp;""),코드표!$J$2:$J$101,0)),"⚠"&amp;TRIM(B690&amp;"")))</f>
        <v/>
      </c>
      <c r="S690" s="10">
        <f>IF(TRIM(K690&amp;"")="","",IFERROR(INDEX(코드표!$K$2:$K$101,MATCH(TRIM(K690&amp;""),코드표!$J$2:$J$101,0)),"⚠"&amp;TRIM(K690&amp;"")))</f>
        <v/>
      </c>
      <c r="T690" s="10">
        <f>IF(TRIM(M690&amp;"")="","",IF(ISNUMBER(MATCH(TRIM(M690&amp;""),코드표!$C$2:$C$11,0)),TRIM(M690&amp;""),"⚠"&amp;TRIM(M690&amp;"")))</f>
        <v/>
      </c>
      <c r="U690" s="10">
        <f>IF(TRIM(L690&amp;"")="","",IFERROR(INDEX(코드표!$G$2:$G$101,MATCH(TRIM(L690&amp;""),코드표!$F$2:$F$101,0)),"⚠"&amp;TRIM(L690&amp;"")))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IF(ISNUMBER(H690),MAX(0,MIN(IF(ISNUMBER(I690),I690,EOMONTH(요약!$B$3,0)),EOMONTH(요약!$B$3,0))-MAX(H690,요약!$B$3)+1),0)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IF(AND(ISNUMBER(AB690),ISNUMBER(AC690)),MAX(0,MIN(AC690,EOMONTH(요약!$B$3,0))-MAX(AB690,요약!$B$3)+1),0)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IF(TRIM(B691&amp;"")="","",IFERROR(INDEX(코드표!$K$2:$K$101,MATCH(TRIM(B691&amp;""),코드표!$J$2:$J$101,0)),"⚠"&amp;TRIM(B691&amp;"")))</f>
        <v/>
      </c>
      <c r="S691" s="10">
        <f>IF(TRIM(K691&amp;"")="","",IFERROR(INDEX(코드표!$K$2:$K$101,MATCH(TRIM(K691&amp;""),코드표!$J$2:$J$101,0)),"⚠"&amp;TRIM(K691&amp;"")))</f>
        <v/>
      </c>
      <c r="T691" s="10">
        <f>IF(TRIM(M691&amp;"")="","",IF(ISNUMBER(MATCH(TRIM(M691&amp;""),코드표!$C$2:$C$11,0)),TRIM(M691&amp;""),"⚠"&amp;TRIM(M691&amp;"")))</f>
        <v/>
      </c>
      <c r="U691" s="10">
        <f>IF(TRIM(L691&amp;"")="","",IFERROR(INDEX(코드표!$G$2:$G$101,MATCH(TRIM(L691&amp;""),코드표!$F$2:$F$101,0)),"⚠"&amp;TRIM(L691&amp;"")))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IF(ISNUMBER(H691),MAX(0,MIN(IF(ISNUMBER(I691),I691,EOMONTH(요약!$B$3,0)),EOMONTH(요약!$B$3,0))-MAX(H691,요약!$B$3)+1),0)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IF(AND(ISNUMBER(AB691),ISNUMBER(AC691)),MAX(0,MIN(AC691,EOMONTH(요약!$B$3,0))-MAX(AB691,요약!$B$3)+1),0)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IF(TRIM(B692&amp;"")="","",IFERROR(INDEX(코드표!$K$2:$K$101,MATCH(TRIM(B692&amp;""),코드표!$J$2:$J$101,0)),"⚠"&amp;TRIM(B692&amp;"")))</f>
        <v/>
      </c>
      <c r="S692" s="10">
        <f>IF(TRIM(K692&amp;"")="","",IFERROR(INDEX(코드표!$K$2:$K$101,MATCH(TRIM(K692&amp;""),코드표!$J$2:$J$101,0)),"⚠"&amp;TRIM(K692&amp;"")))</f>
        <v/>
      </c>
      <c r="T692" s="10">
        <f>IF(TRIM(M692&amp;"")="","",IF(ISNUMBER(MATCH(TRIM(M692&amp;""),코드표!$C$2:$C$11,0)),TRIM(M692&amp;""),"⚠"&amp;TRIM(M692&amp;"")))</f>
        <v/>
      </c>
      <c r="U692" s="10">
        <f>IF(TRIM(L692&amp;"")="","",IFERROR(INDEX(코드표!$G$2:$G$101,MATCH(TRIM(L692&amp;""),코드표!$F$2:$F$101,0)),"⚠"&amp;TRIM(L692&amp;"")))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IF(ISNUMBER(H692),MAX(0,MIN(IF(ISNUMBER(I692),I692,EOMONTH(요약!$B$3,0)),EOMONTH(요약!$B$3,0))-MAX(H692,요약!$B$3)+1),0)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IF(AND(ISNUMBER(AB692),ISNUMBER(AC692)),MAX(0,MIN(AC692,EOMONTH(요약!$B$3,0))-MAX(AB692,요약!$B$3)+1),0)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IF(TRIM(B693&amp;"")="","",IFERROR(INDEX(코드표!$K$2:$K$101,MATCH(TRIM(B693&amp;""),코드표!$J$2:$J$101,0)),"⚠"&amp;TRIM(B693&amp;"")))</f>
        <v/>
      </c>
      <c r="S693" s="10">
        <f>IF(TRIM(K693&amp;"")="","",IFERROR(INDEX(코드표!$K$2:$K$101,MATCH(TRIM(K693&amp;""),코드표!$J$2:$J$101,0)),"⚠"&amp;TRIM(K693&amp;"")))</f>
        <v/>
      </c>
      <c r="T693" s="10">
        <f>IF(TRIM(M693&amp;"")="","",IF(ISNUMBER(MATCH(TRIM(M693&amp;""),코드표!$C$2:$C$11,0)),TRIM(M693&amp;""),"⚠"&amp;TRIM(M693&amp;"")))</f>
        <v/>
      </c>
      <c r="U693" s="10">
        <f>IF(TRIM(L693&amp;"")="","",IFERROR(INDEX(코드표!$G$2:$G$101,MATCH(TRIM(L693&amp;""),코드표!$F$2:$F$101,0)),"⚠"&amp;TRIM(L693&amp;"")))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IF(ISNUMBER(H693),MAX(0,MIN(IF(ISNUMBER(I693),I693,EOMONTH(요약!$B$3,0)),EOMONTH(요약!$B$3,0))-MAX(H693,요약!$B$3)+1),0)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IF(AND(ISNUMBER(AB693),ISNUMBER(AC693)),MAX(0,MIN(AC693,EOMONTH(요약!$B$3,0))-MAX(AB693,요약!$B$3)+1),0)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IF(TRIM(B694&amp;"")="","",IFERROR(INDEX(코드표!$K$2:$K$101,MATCH(TRIM(B694&amp;""),코드표!$J$2:$J$101,0)),"⚠"&amp;TRIM(B694&amp;"")))</f>
        <v/>
      </c>
      <c r="S694" s="10">
        <f>IF(TRIM(K694&amp;"")="","",IFERROR(INDEX(코드표!$K$2:$K$101,MATCH(TRIM(K694&amp;""),코드표!$J$2:$J$101,0)),"⚠"&amp;TRIM(K694&amp;"")))</f>
        <v/>
      </c>
      <c r="T694" s="10">
        <f>IF(TRIM(M694&amp;"")="","",IF(ISNUMBER(MATCH(TRIM(M694&amp;""),코드표!$C$2:$C$11,0)),TRIM(M694&amp;""),"⚠"&amp;TRIM(M694&amp;"")))</f>
        <v/>
      </c>
      <c r="U694" s="10">
        <f>IF(TRIM(L694&amp;"")="","",IFERROR(INDEX(코드표!$G$2:$G$101,MATCH(TRIM(L694&amp;""),코드표!$F$2:$F$101,0)),"⚠"&amp;TRIM(L694&amp;"")))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IF(ISNUMBER(H694),MAX(0,MIN(IF(ISNUMBER(I694),I694,EOMONTH(요약!$B$3,0)),EOMONTH(요약!$B$3,0))-MAX(H694,요약!$B$3)+1),0)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IF(AND(ISNUMBER(AB694),ISNUMBER(AC694)),MAX(0,MIN(AC694,EOMONTH(요약!$B$3,0))-MAX(AB694,요약!$B$3)+1),0)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IF(TRIM(B695&amp;"")="","",IFERROR(INDEX(코드표!$K$2:$K$101,MATCH(TRIM(B695&amp;""),코드표!$J$2:$J$101,0)),"⚠"&amp;TRIM(B695&amp;"")))</f>
        <v/>
      </c>
      <c r="S695" s="10">
        <f>IF(TRIM(K695&amp;"")="","",IFERROR(INDEX(코드표!$K$2:$K$101,MATCH(TRIM(K695&amp;""),코드표!$J$2:$J$101,0)),"⚠"&amp;TRIM(K695&amp;"")))</f>
        <v/>
      </c>
      <c r="T695" s="10">
        <f>IF(TRIM(M695&amp;"")="","",IF(ISNUMBER(MATCH(TRIM(M695&amp;""),코드표!$C$2:$C$11,0)),TRIM(M695&amp;""),"⚠"&amp;TRIM(M695&amp;"")))</f>
        <v/>
      </c>
      <c r="U695" s="10">
        <f>IF(TRIM(L695&amp;"")="","",IFERROR(INDEX(코드표!$G$2:$G$101,MATCH(TRIM(L695&amp;""),코드표!$F$2:$F$101,0)),"⚠"&amp;TRIM(L695&amp;"")))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IF(ISNUMBER(H695),MAX(0,MIN(IF(ISNUMBER(I695),I695,EOMONTH(요약!$B$3,0)),EOMONTH(요약!$B$3,0))-MAX(H695,요약!$B$3)+1),0)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IF(AND(ISNUMBER(AB695),ISNUMBER(AC695)),MAX(0,MIN(AC695,EOMONTH(요약!$B$3,0))-MAX(AB695,요약!$B$3)+1),0)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IF(TRIM(B696&amp;"")="","",IFERROR(INDEX(코드표!$K$2:$K$101,MATCH(TRIM(B696&amp;""),코드표!$J$2:$J$101,0)),"⚠"&amp;TRIM(B696&amp;"")))</f>
        <v/>
      </c>
      <c r="S696" s="10">
        <f>IF(TRIM(K696&amp;"")="","",IFERROR(INDEX(코드표!$K$2:$K$101,MATCH(TRIM(K696&amp;""),코드표!$J$2:$J$101,0)),"⚠"&amp;TRIM(K696&amp;"")))</f>
        <v/>
      </c>
      <c r="T696" s="10">
        <f>IF(TRIM(M696&amp;"")="","",IF(ISNUMBER(MATCH(TRIM(M696&amp;""),코드표!$C$2:$C$11,0)),TRIM(M696&amp;""),"⚠"&amp;TRIM(M696&amp;"")))</f>
        <v/>
      </c>
      <c r="U696" s="10">
        <f>IF(TRIM(L696&amp;"")="","",IFERROR(INDEX(코드표!$G$2:$G$101,MATCH(TRIM(L696&amp;""),코드표!$F$2:$F$101,0)),"⚠"&amp;TRIM(L696&amp;"")))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IF(ISNUMBER(H696),MAX(0,MIN(IF(ISNUMBER(I696),I696,EOMONTH(요약!$B$3,0)),EOMONTH(요약!$B$3,0))-MAX(H696,요약!$B$3)+1),0)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IF(AND(ISNUMBER(AB696),ISNUMBER(AC696)),MAX(0,MIN(AC696,EOMONTH(요약!$B$3,0))-MAX(AB696,요약!$B$3)+1),0)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IF(TRIM(B697&amp;"")="","",IFERROR(INDEX(코드표!$K$2:$K$101,MATCH(TRIM(B697&amp;""),코드표!$J$2:$J$101,0)),"⚠"&amp;TRIM(B697&amp;"")))</f>
        <v/>
      </c>
      <c r="S697" s="10">
        <f>IF(TRIM(K697&amp;"")="","",IFERROR(INDEX(코드표!$K$2:$K$101,MATCH(TRIM(K697&amp;""),코드표!$J$2:$J$101,0)),"⚠"&amp;TRIM(K697&amp;"")))</f>
        <v/>
      </c>
      <c r="T697" s="10">
        <f>IF(TRIM(M697&amp;"")="","",IF(ISNUMBER(MATCH(TRIM(M697&amp;""),코드표!$C$2:$C$11,0)),TRIM(M697&amp;""),"⚠"&amp;TRIM(M697&amp;"")))</f>
        <v/>
      </c>
      <c r="U697" s="10">
        <f>IF(TRIM(L697&amp;"")="","",IFERROR(INDEX(코드표!$G$2:$G$101,MATCH(TRIM(L697&amp;""),코드표!$F$2:$F$101,0)),"⚠"&amp;TRIM(L697&amp;"")))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IF(ISNUMBER(H697),MAX(0,MIN(IF(ISNUMBER(I697),I697,EOMONTH(요약!$B$3,0)),EOMONTH(요약!$B$3,0))-MAX(H697,요약!$B$3)+1),0)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IF(AND(ISNUMBER(AB697),ISNUMBER(AC697)),MAX(0,MIN(AC697,EOMONTH(요약!$B$3,0))-MAX(AB697,요약!$B$3)+1),0)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IF(TRIM(B698&amp;"")="","",IFERROR(INDEX(코드표!$K$2:$K$101,MATCH(TRIM(B698&amp;""),코드표!$J$2:$J$101,0)),"⚠"&amp;TRIM(B698&amp;"")))</f>
        <v/>
      </c>
      <c r="S698" s="10">
        <f>IF(TRIM(K698&amp;"")="","",IFERROR(INDEX(코드표!$K$2:$K$101,MATCH(TRIM(K698&amp;""),코드표!$J$2:$J$101,0)),"⚠"&amp;TRIM(K698&amp;"")))</f>
        <v/>
      </c>
      <c r="T698" s="10">
        <f>IF(TRIM(M698&amp;"")="","",IF(ISNUMBER(MATCH(TRIM(M698&amp;""),코드표!$C$2:$C$11,0)),TRIM(M698&amp;""),"⚠"&amp;TRIM(M698&amp;"")))</f>
        <v/>
      </c>
      <c r="U698" s="10">
        <f>IF(TRIM(L698&amp;"")="","",IFERROR(INDEX(코드표!$G$2:$G$101,MATCH(TRIM(L698&amp;""),코드표!$F$2:$F$101,0)),"⚠"&amp;TRIM(L698&amp;"")))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IF(ISNUMBER(H698),MAX(0,MIN(IF(ISNUMBER(I698),I698,EOMONTH(요약!$B$3,0)),EOMONTH(요약!$B$3,0))-MAX(H698,요약!$B$3)+1),0)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IF(AND(ISNUMBER(AB698),ISNUMBER(AC698)),MAX(0,MIN(AC698,EOMONTH(요약!$B$3,0))-MAX(AB698,요약!$B$3)+1),0)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IF(TRIM(B699&amp;"")="","",IFERROR(INDEX(코드표!$K$2:$K$101,MATCH(TRIM(B699&amp;""),코드표!$J$2:$J$101,0)),"⚠"&amp;TRIM(B699&amp;"")))</f>
        <v/>
      </c>
      <c r="S699" s="10">
        <f>IF(TRIM(K699&amp;"")="","",IFERROR(INDEX(코드표!$K$2:$K$101,MATCH(TRIM(K699&amp;""),코드표!$J$2:$J$101,0)),"⚠"&amp;TRIM(K699&amp;"")))</f>
        <v/>
      </c>
      <c r="T699" s="10">
        <f>IF(TRIM(M699&amp;"")="","",IF(ISNUMBER(MATCH(TRIM(M699&amp;""),코드표!$C$2:$C$11,0)),TRIM(M699&amp;""),"⚠"&amp;TRIM(M699&amp;"")))</f>
        <v/>
      </c>
      <c r="U699" s="10">
        <f>IF(TRIM(L699&amp;"")="","",IFERROR(INDEX(코드표!$G$2:$G$101,MATCH(TRIM(L699&amp;""),코드표!$F$2:$F$101,0)),"⚠"&amp;TRIM(L699&amp;"")))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IF(ISNUMBER(H699),MAX(0,MIN(IF(ISNUMBER(I699),I699,EOMONTH(요약!$B$3,0)),EOMONTH(요약!$B$3,0))-MAX(H699,요약!$B$3)+1),0)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IF(AND(ISNUMBER(AB699),ISNUMBER(AC699)),MAX(0,MIN(AC699,EOMONTH(요약!$B$3,0))-MAX(AB699,요약!$B$3)+1),0)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IF(TRIM(B700&amp;"")="","",IFERROR(INDEX(코드표!$K$2:$K$101,MATCH(TRIM(B700&amp;""),코드표!$J$2:$J$101,0)),"⚠"&amp;TRIM(B700&amp;"")))</f>
        <v/>
      </c>
      <c r="S700" s="10">
        <f>IF(TRIM(K700&amp;"")="","",IFERROR(INDEX(코드표!$K$2:$K$101,MATCH(TRIM(K700&amp;""),코드표!$J$2:$J$101,0)),"⚠"&amp;TRIM(K700&amp;"")))</f>
        <v/>
      </c>
      <c r="T700" s="10">
        <f>IF(TRIM(M700&amp;"")="","",IF(ISNUMBER(MATCH(TRIM(M700&amp;""),코드표!$C$2:$C$11,0)),TRIM(M700&amp;""),"⚠"&amp;TRIM(M700&amp;"")))</f>
        <v/>
      </c>
      <c r="U700" s="10">
        <f>IF(TRIM(L700&amp;"")="","",IFERROR(INDEX(코드표!$G$2:$G$101,MATCH(TRIM(L700&amp;""),코드표!$F$2:$F$101,0)),"⚠"&amp;TRIM(L700&amp;"")))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IF(ISNUMBER(H700),MAX(0,MIN(IF(ISNUMBER(I700),I700,EOMONTH(요약!$B$3,0)),EOMONTH(요약!$B$3,0))-MAX(H700,요약!$B$3)+1),0)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IF(AND(ISNUMBER(AB700),ISNUMBER(AC700)),MAX(0,MIN(AC700,EOMONTH(요약!$B$3,0))-MAX(AB700,요약!$B$3)+1),0)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IF(TRIM(B701&amp;"")="","",IFERROR(INDEX(코드표!$K$2:$K$101,MATCH(TRIM(B701&amp;""),코드표!$J$2:$J$101,0)),"⚠"&amp;TRIM(B701&amp;"")))</f>
        <v/>
      </c>
      <c r="S701" s="10">
        <f>IF(TRIM(K701&amp;"")="","",IFERROR(INDEX(코드표!$K$2:$K$101,MATCH(TRIM(K701&amp;""),코드표!$J$2:$J$101,0)),"⚠"&amp;TRIM(K701&amp;"")))</f>
        <v/>
      </c>
      <c r="T701" s="10">
        <f>IF(TRIM(M701&amp;"")="","",IF(ISNUMBER(MATCH(TRIM(M701&amp;""),코드표!$C$2:$C$11,0)),TRIM(M701&amp;""),"⚠"&amp;TRIM(M701&amp;"")))</f>
        <v/>
      </c>
      <c r="U701" s="10">
        <f>IF(TRIM(L701&amp;"")="","",IFERROR(INDEX(코드표!$G$2:$G$101,MATCH(TRIM(L701&amp;""),코드표!$F$2:$F$101,0)),"⚠"&amp;TRIM(L701&amp;"")))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IF(ISNUMBER(H701),MAX(0,MIN(IF(ISNUMBER(I701),I701,EOMONTH(요약!$B$3,0)),EOMONTH(요약!$B$3,0))-MAX(H701,요약!$B$3)+1),0)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IF(AND(ISNUMBER(AB701),ISNUMBER(AC701)),MAX(0,MIN(AC701,EOMONTH(요약!$B$3,0))-MAX(AB701,요약!$B$3)+1),0)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IF(TRIM(B702&amp;"")="","",IFERROR(INDEX(코드표!$K$2:$K$101,MATCH(TRIM(B702&amp;""),코드표!$J$2:$J$101,0)),"⚠"&amp;TRIM(B702&amp;"")))</f>
        <v/>
      </c>
      <c r="S702" s="10">
        <f>IF(TRIM(K702&amp;"")="","",IFERROR(INDEX(코드표!$K$2:$K$101,MATCH(TRIM(K702&amp;""),코드표!$J$2:$J$101,0)),"⚠"&amp;TRIM(K702&amp;"")))</f>
        <v/>
      </c>
      <c r="T702" s="10">
        <f>IF(TRIM(M702&amp;"")="","",IF(ISNUMBER(MATCH(TRIM(M702&amp;""),코드표!$C$2:$C$11,0)),TRIM(M702&amp;""),"⚠"&amp;TRIM(M702&amp;"")))</f>
        <v/>
      </c>
      <c r="U702" s="10">
        <f>IF(TRIM(L702&amp;"")="","",IFERROR(INDEX(코드표!$G$2:$G$101,MATCH(TRIM(L702&amp;""),코드표!$F$2:$F$101,0)),"⚠"&amp;TRIM(L702&amp;"")))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IF(ISNUMBER(H702),MAX(0,MIN(IF(ISNUMBER(I702),I702,EOMONTH(요약!$B$3,0)),EOMONTH(요약!$B$3,0))-MAX(H702,요약!$B$3)+1),0)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IF(AND(ISNUMBER(AB702),ISNUMBER(AC702)),MAX(0,MIN(AC702,EOMONTH(요약!$B$3,0))-MAX(AB702,요약!$B$3)+1),0)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IF(TRIM(B703&amp;"")="","",IFERROR(INDEX(코드표!$K$2:$K$101,MATCH(TRIM(B703&amp;""),코드표!$J$2:$J$101,0)),"⚠"&amp;TRIM(B703&amp;"")))</f>
        <v/>
      </c>
      <c r="S703" s="10">
        <f>IF(TRIM(K703&amp;"")="","",IFERROR(INDEX(코드표!$K$2:$K$101,MATCH(TRIM(K703&amp;""),코드표!$J$2:$J$101,0)),"⚠"&amp;TRIM(K703&amp;"")))</f>
        <v/>
      </c>
      <c r="T703" s="10">
        <f>IF(TRIM(M703&amp;"")="","",IF(ISNUMBER(MATCH(TRIM(M703&amp;""),코드표!$C$2:$C$11,0)),TRIM(M703&amp;""),"⚠"&amp;TRIM(M703&amp;"")))</f>
        <v/>
      </c>
      <c r="U703" s="10">
        <f>IF(TRIM(L703&amp;"")="","",IFERROR(INDEX(코드표!$G$2:$G$101,MATCH(TRIM(L703&amp;""),코드표!$F$2:$F$101,0)),"⚠"&amp;TRIM(L703&amp;"")))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IF(ISNUMBER(H703),MAX(0,MIN(IF(ISNUMBER(I703),I703,EOMONTH(요약!$B$3,0)),EOMONTH(요약!$B$3,0))-MAX(H703,요약!$B$3)+1),0)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IF(AND(ISNUMBER(AB703),ISNUMBER(AC703)),MAX(0,MIN(AC703,EOMONTH(요약!$B$3,0))-MAX(AB703,요약!$B$3)+1),0)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IF(TRIM(B704&amp;"")="","",IFERROR(INDEX(코드표!$K$2:$K$101,MATCH(TRIM(B704&amp;""),코드표!$J$2:$J$101,0)),"⚠"&amp;TRIM(B704&amp;"")))</f>
        <v/>
      </c>
      <c r="S704" s="10">
        <f>IF(TRIM(K704&amp;"")="","",IFERROR(INDEX(코드표!$K$2:$K$101,MATCH(TRIM(K704&amp;""),코드표!$J$2:$J$101,0)),"⚠"&amp;TRIM(K704&amp;"")))</f>
        <v/>
      </c>
      <c r="T704" s="10">
        <f>IF(TRIM(M704&amp;"")="","",IF(ISNUMBER(MATCH(TRIM(M704&amp;""),코드표!$C$2:$C$11,0)),TRIM(M704&amp;""),"⚠"&amp;TRIM(M704&amp;"")))</f>
        <v/>
      </c>
      <c r="U704" s="10">
        <f>IF(TRIM(L704&amp;"")="","",IFERROR(INDEX(코드표!$G$2:$G$101,MATCH(TRIM(L704&amp;""),코드표!$F$2:$F$101,0)),"⚠"&amp;TRIM(L704&amp;"")))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IF(ISNUMBER(H704),MAX(0,MIN(IF(ISNUMBER(I704),I704,EOMONTH(요약!$B$3,0)),EOMONTH(요약!$B$3,0))-MAX(H704,요약!$B$3)+1),0)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IF(AND(ISNUMBER(AB704),ISNUMBER(AC704)),MAX(0,MIN(AC704,EOMONTH(요약!$B$3,0))-MAX(AB704,요약!$B$3)+1),0)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IF(TRIM(B705&amp;"")="","",IFERROR(INDEX(코드표!$K$2:$K$101,MATCH(TRIM(B705&amp;""),코드표!$J$2:$J$101,0)),"⚠"&amp;TRIM(B705&amp;"")))</f>
        <v/>
      </c>
      <c r="S705" s="10">
        <f>IF(TRIM(K705&amp;"")="","",IFERROR(INDEX(코드표!$K$2:$K$101,MATCH(TRIM(K705&amp;""),코드표!$J$2:$J$101,0)),"⚠"&amp;TRIM(K705&amp;"")))</f>
        <v/>
      </c>
      <c r="T705" s="10">
        <f>IF(TRIM(M705&amp;"")="","",IF(ISNUMBER(MATCH(TRIM(M705&amp;""),코드표!$C$2:$C$11,0)),TRIM(M705&amp;""),"⚠"&amp;TRIM(M705&amp;"")))</f>
        <v/>
      </c>
      <c r="U705" s="10">
        <f>IF(TRIM(L705&amp;"")="","",IFERROR(INDEX(코드표!$G$2:$G$101,MATCH(TRIM(L705&amp;""),코드표!$F$2:$F$101,0)),"⚠"&amp;TRIM(L705&amp;"")))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IF(ISNUMBER(H705),MAX(0,MIN(IF(ISNUMBER(I705),I705,EOMONTH(요약!$B$3,0)),EOMONTH(요약!$B$3,0))-MAX(H705,요약!$B$3)+1),0)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IF(AND(ISNUMBER(AB705),ISNUMBER(AC705)),MAX(0,MIN(AC705,EOMONTH(요약!$B$3,0))-MAX(AB705,요약!$B$3)+1),0)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IF(TRIM(B706&amp;"")="","",IFERROR(INDEX(코드표!$K$2:$K$101,MATCH(TRIM(B706&amp;""),코드표!$J$2:$J$101,0)),"⚠"&amp;TRIM(B706&amp;"")))</f>
        <v/>
      </c>
      <c r="S706" s="10">
        <f>IF(TRIM(K706&amp;"")="","",IFERROR(INDEX(코드표!$K$2:$K$101,MATCH(TRIM(K706&amp;""),코드표!$J$2:$J$101,0)),"⚠"&amp;TRIM(K706&amp;"")))</f>
        <v/>
      </c>
      <c r="T706" s="10">
        <f>IF(TRIM(M706&amp;"")="","",IF(ISNUMBER(MATCH(TRIM(M706&amp;""),코드표!$C$2:$C$11,0)),TRIM(M706&amp;""),"⚠"&amp;TRIM(M706&amp;"")))</f>
        <v/>
      </c>
      <c r="U706" s="10">
        <f>IF(TRIM(L706&amp;"")="","",IFERROR(INDEX(코드표!$G$2:$G$101,MATCH(TRIM(L706&amp;""),코드표!$F$2:$F$101,0)),"⚠"&amp;TRIM(L706&amp;"")))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IF(ISNUMBER(H706),MAX(0,MIN(IF(ISNUMBER(I706),I706,EOMONTH(요약!$B$3,0)),EOMONTH(요약!$B$3,0))-MAX(H706,요약!$B$3)+1),0)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IF(AND(ISNUMBER(AB706),ISNUMBER(AC706)),MAX(0,MIN(AC706,EOMONTH(요약!$B$3,0))-MAX(AB706,요약!$B$3)+1),0)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IF(TRIM(B707&amp;"")="","",IFERROR(INDEX(코드표!$K$2:$K$101,MATCH(TRIM(B707&amp;""),코드표!$J$2:$J$101,0)),"⚠"&amp;TRIM(B707&amp;"")))</f>
        <v/>
      </c>
      <c r="S707" s="10">
        <f>IF(TRIM(K707&amp;"")="","",IFERROR(INDEX(코드표!$K$2:$K$101,MATCH(TRIM(K707&amp;""),코드표!$J$2:$J$101,0)),"⚠"&amp;TRIM(K707&amp;"")))</f>
        <v/>
      </c>
      <c r="T707" s="10">
        <f>IF(TRIM(M707&amp;"")="","",IF(ISNUMBER(MATCH(TRIM(M707&amp;""),코드표!$C$2:$C$11,0)),TRIM(M707&amp;""),"⚠"&amp;TRIM(M707&amp;"")))</f>
        <v/>
      </c>
      <c r="U707" s="10">
        <f>IF(TRIM(L707&amp;"")="","",IFERROR(INDEX(코드표!$G$2:$G$101,MATCH(TRIM(L707&amp;""),코드표!$F$2:$F$101,0)),"⚠"&amp;TRIM(L707&amp;"")))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IF(ISNUMBER(H707),MAX(0,MIN(IF(ISNUMBER(I707),I707,EOMONTH(요약!$B$3,0)),EOMONTH(요약!$B$3,0))-MAX(H707,요약!$B$3)+1),0)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IF(AND(ISNUMBER(AB707),ISNUMBER(AC707)),MAX(0,MIN(AC707,EOMONTH(요약!$B$3,0))-MAX(AB707,요약!$B$3)+1),0)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IF(TRIM(B708&amp;"")="","",IFERROR(INDEX(코드표!$K$2:$K$101,MATCH(TRIM(B708&amp;""),코드표!$J$2:$J$101,0)),"⚠"&amp;TRIM(B708&amp;"")))</f>
        <v/>
      </c>
      <c r="S708" s="10">
        <f>IF(TRIM(K708&amp;"")="","",IFERROR(INDEX(코드표!$K$2:$K$101,MATCH(TRIM(K708&amp;""),코드표!$J$2:$J$101,0)),"⚠"&amp;TRIM(K708&amp;"")))</f>
        <v/>
      </c>
      <c r="T708" s="10">
        <f>IF(TRIM(M708&amp;"")="","",IF(ISNUMBER(MATCH(TRIM(M708&amp;""),코드표!$C$2:$C$11,0)),TRIM(M708&amp;""),"⚠"&amp;TRIM(M708&amp;"")))</f>
        <v/>
      </c>
      <c r="U708" s="10">
        <f>IF(TRIM(L708&amp;"")="","",IFERROR(INDEX(코드표!$G$2:$G$101,MATCH(TRIM(L708&amp;""),코드표!$F$2:$F$101,0)),"⚠"&amp;TRIM(L708&amp;"")))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IF(ISNUMBER(H708),MAX(0,MIN(IF(ISNUMBER(I708),I708,EOMONTH(요약!$B$3,0)),EOMONTH(요약!$B$3,0))-MAX(H708,요약!$B$3)+1),0)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IF(AND(ISNUMBER(AB708),ISNUMBER(AC708)),MAX(0,MIN(AC708,EOMONTH(요약!$B$3,0))-MAX(AB708,요약!$B$3)+1),0)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IF(TRIM(B709&amp;"")="","",IFERROR(INDEX(코드표!$K$2:$K$101,MATCH(TRIM(B709&amp;""),코드표!$J$2:$J$101,0)),"⚠"&amp;TRIM(B709&amp;"")))</f>
        <v/>
      </c>
      <c r="S709" s="10">
        <f>IF(TRIM(K709&amp;"")="","",IFERROR(INDEX(코드표!$K$2:$K$101,MATCH(TRIM(K709&amp;""),코드표!$J$2:$J$101,0)),"⚠"&amp;TRIM(K709&amp;"")))</f>
        <v/>
      </c>
      <c r="T709" s="10">
        <f>IF(TRIM(M709&amp;"")="","",IF(ISNUMBER(MATCH(TRIM(M709&amp;""),코드표!$C$2:$C$11,0)),TRIM(M709&amp;""),"⚠"&amp;TRIM(M709&amp;"")))</f>
        <v/>
      </c>
      <c r="U709" s="10">
        <f>IF(TRIM(L709&amp;"")="","",IFERROR(INDEX(코드표!$G$2:$G$101,MATCH(TRIM(L709&amp;""),코드표!$F$2:$F$101,0)),"⚠"&amp;TRIM(L709&amp;"")))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IF(ISNUMBER(H709),MAX(0,MIN(IF(ISNUMBER(I709),I709,EOMONTH(요약!$B$3,0)),EOMONTH(요약!$B$3,0))-MAX(H709,요약!$B$3)+1),0)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IF(AND(ISNUMBER(AB709),ISNUMBER(AC709)),MAX(0,MIN(AC709,EOMONTH(요약!$B$3,0))-MAX(AB709,요약!$B$3)+1),0)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IF(TRIM(B710&amp;"")="","",IFERROR(INDEX(코드표!$K$2:$K$101,MATCH(TRIM(B710&amp;""),코드표!$J$2:$J$101,0)),"⚠"&amp;TRIM(B710&amp;"")))</f>
        <v/>
      </c>
      <c r="S710" s="10">
        <f>IF(TRIM(K710&amp;"")="","",IFERROR(INDEX(코드표!$K$2:$K$101,MATCH(TRIM(K710&amp;""),코드표!$J$2:$J$101,0)),"⚠"&amp;TRIM(K710&amp;"")))</f>
        <v/>
      </c>
      <c r="T710" s="10">
        <f>IF(TRIM(M710&amp;"")="","",IF(ISNUMBER(MATCH(TRIM(M710&amp;""),코드표!$C$2:$C$11,0)),TRIM(M710&amp;""),"⚠"&amp;TRIM(M710&amp;"")))</f>
        <v/>
      </c>
      <c r="U710" s="10">
        <f>IF(TRIM(L710&amp;"")="","",IFERROR(INDEX(코드표!$G$2:$G$101,MATCH(TRIM(L710&amp;""),코드표!$F$2:$F$101,0)),"⚠"&amp;TRIM(L710&amp;"")))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IF(ISNUMBER(H710),MAX(0,MIN(IF(ISNUMBER(I710),I710,EOMONTH(요약!$B$3,0)),EOMONTH(요약!$B$3,0))-MAX(H710,요약!$B$3)+1),0)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IF(AND(ISNUMBER(AB710),ISNUMBER(AC710)),MAX(0,MIN(AC710,EOMONTH(요약!$B$3,0))-MAX(AB710,요약!$B$3)+1),0)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IF(TRIM(B711&amp;"")="","",IFERROR(INDEX(코드표!$K$2:$K$101,MATCH(TRIM(B711&amp;""),코드표!$J$2:$J$101,0)),"⚠"&amp;TRIM(B711&amp;"")))</f>
        <v/>
      </c>
      <c r="S711" s="10">
        <f>IF(TRIM(K711&amp;"")="","",IFERROR(INDEX(코드표!$K$2:$K$101,MATCH(TRIM(K711&amp;""),코드표!$J$2:$J$101,0)),"⚠"&amp;TRIM(K711&amp;"")))</f>
        <v/>
      </c>
      <c r="T711" s="10">
        <f>IF(TRIM(M711&amp;"")="","",IF(ISNUMBER(MATCH(TRIM(M711&amp;""),코드표!$C$2:$C$11,0)),TRIM(M711&amp;""),"⚠"&amp;TRIM(M711&amp;"")))</f>
        <v/>
      </c>
      <c r="U711" s="10">
        <f>IF(TRIM(L711&amp;"")="","",IFERROR(INDEX(코드표!$G$2:$G$101,MATCH(TRIM(L711&amp;""),코드표!$F$2:$F$101,0)),"⚠"&amp;TRIM(L711&amp;"")))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IF(ISNUMBER(H711),MAX(0,MIN(IF(ISNUMBER(I711),I711,EOMONTH(요약!$B$3,0)),EOMONTH(요약!$B$3,0))-MAX(H711,요약!$B$3)+1),0)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IF(AND(ISNUMBER(AB711),ISNUMBER(AC711)),MAX(0,MIN(AC711,EOMONTH(요약!$B$3,0))-MAX(AB711,요약!$B$3)+1),0)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IF(TRIM(B712&amp;"")="","",IFERROR(INDEX(코드표!$K$2:$K$101,MATCH(TRIM(B712&amp;""),코드표!$J$2:$J$101,0)),"⚠"&amp;TRIM(B712&amp;"")))</f>
        <v/>
      </c>
      <c r="S712" s="10">
        <f>IF(TRIM(K712&amp;"")="","",IFERROR(INDEX(코드표!$K$2:$K$101,MATCH(TRIM(K712&amp;""),코드표!$J$2:$J$101,0)),"⚠"&amp;TRIM(K712&amp;"")))</f>
        <v/>
      </c>
      <c r="T712" s="10">
        <f>IF(TRIM(M712&amp;"")="","",IF(ISNUMBER(MATCH(TRIM(M712&amp;""),코드표!$C$2:$C$11,0)),TRIM(M712&amp;""),"⚠"&amp;TRIM(M712&amp;"")))</f>
        <v/>
      </c>
      <c r="U712" s="10">
        <f>IF(TRIM(L712&amp;"")="","",IFERROR(INDEX(코드표!$G$2:$G$101,MATCH(TRIM(L712&amp;""),코드표!$F$2:$F$101,0)),"⚠"&amp;TRIM(L712&amp;"")))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IF(ISNUMBER(H712),MAX(0,MIN(IF(ISNUMBER(I712),I712,EOMONTH(요약!$B$3,0)),EOMONTH(요약!$B$3,0))-MAX(H712,요약!$B$3)+1),0)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IF(AND(ISNUMBER(AB712),ISNUMBER(AC712)),MAX(0,MIN(AC712,EOMONTH(요약!$B$3,0))-MAX(AB712,요약!$B$3)+1),0)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IF(TRIM(B713&amp;"")="","",IFERROR(INDEX(코드표!$K$2:$K$101,MATCH(TRIM(B713&amp;""),코드표!$J$2:$J$101,0)),"⚠"&amp;TRIM(B713&amp;"")))</f>
        <v/>
      </c>
      <c r="S713" s="10">
        <f>IF(TRIM(K713&amp;"")="","",IFERROR(INDEX(코드표!$K$2:$K$101,MATCH(TRIM(K713&amp;""),코드표!$J$2:$J$101,0)),"⚠"&amp;TRIM(K713&amp;"")))</f>
        <v/>
      </c>
      <c r="T713" s="10">
        <f>IF(TRIM(M713&amp;"")="","",IF(ISNUMBER(MATCH(TRIM(M713&amp;""),코드표!$C$2:$C$11,0)),TRIM(M713&amp;""),"⚠"&amp;TRIM(M713&amp;"")))</f>
        <v/>
      </c>
      <c r="U713" s="10">
        <f>IF(TRIM(L713&amp;"")="","",IFERROR(INDEX(코드표!$G$2:$G$101,MATCH(TRIM(L713&amp;""),코드표!$F$2:$F$101,0)),"⚠"&amp;TRIM(L713&amp;"")))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IF(ISNUMBER(H713),MAX(0,MIN(IF(ISNUMBER(I713),I713,EOMONTH(요약!$B$3,0)),EOMONTH(요약!$B$3,0))-MAX(H713,요약!$B$3)+1),0)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IF(AND(ISNUMBER(AB713),ISNUMBER(AC713)),MAX(0,MIN(AC713,EOMONTH(요약!$B$3,0))-MAX(AB713,요약!$B$3)+1),0)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IF(TRIM(B714&amp;"")="","",IFERROR(INDEX(코드표!$K$2:$K$101,MATCH(TRIM(B714&amp;""),코드표!$J$2:$J$101,0)),"⚠"&amp;TRIM(B714&amp;"")))</f>
        <v/>
      </c>
      <c r="S714" s="10">
        <f>IF(TRIM(K714&amp;"")="","",IFERROR(INDEX(코드표!$K$2:$K$101,MATCH(TRIM(K714&amp;""),코드표!$J$2:$J$101,0)),"⚠"&amp;TRIM(K714&amp;"")))</f>
        <v/>
      </c>
      <c r="T714" s="10">
        <f>IF(TRIM(M714&amp;"")="","",IF(ISNUMBER(MATCH(TRIM(M714&amp;""),코드표!$C$2:$C$11,0)),TRIM(M714&amp;""),"⚠"&amp;TRIM(M714&amp;"")))</f>
        <v/>
      </c>
      <c r="U714" s="10">
        <f>IF(TRIM(L714&amp;"")="","",IFERROR(INDEX(코드표!$G$2:$G$101,MATCH(TRIM(L714&amp;""),코드표!$F$2:$F$101,0)),"⚠"&amp;TRIM(L714&amp;"")))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IF(ISNUMBER(H714),MAX(0,MIN(IF(ISNUMBER(I714),I714,EOMONTH(요약!$B$3,0)),EOMONTH(요약!$B$3,0))-MAX(H714,요약!$B$3)+1),0)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IF(AND(ISNUMBER(AB714),ISNUMBER(AC714)),MAX(0,MIN(AC714,EOMONTH(요약!$B$3,0))-MAX(AB714,요약!$B$3)+1),0)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IF(TRIM(B715&amp;"")="","",IFERROR(INDEX(코드표!$K$2:$K$101,MATCH(TRIM(B715&amp;""),코드표!$J$2:$J$101,0)),"⚠"&amp;TRIM(B715&amp;"")))</f>
        <v/>
      </c>
      <c r="S715" s="10">
        <f>IF(TRIM(K715&amp;"")="","",IFERROR(INDEX(코드표!$K$2:$K$101,MATCH(TRIM(K715&amp;""),코드표!$J$2:$J$101,0)),"⚠"&amp;TRIM(K715&amp;"")))</f>
        <v/>
      </c>
      <c r="T715" s="10">
        <f>IF(TRIM(M715&amp;"")="","",IF(ISNUMBER(MATCH(TRIM(M715&amp;""),코드표!$C$2:$C$11,0)),TRIM(M715&amp;""),"⚠"&amp;TRIM(M715&amp;"")))</f>
        <v/>
      </c>
      <c r="U715" s="10">
        <f>IF(TRIM(L715&amp;"")="","",IFERROR(INDEX(코드표!$G$2:$G$101,MATCH(TRIM(L715&amp;""),코드표!$F$2:$F$101,0)),"⚠"&amp;TRIM(L715&amp;"")))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IF(ISNUMBER(H715),MAX(0,MIN(IF(ISNUMBER(I715),I715,EOMONTH(요약!$B$3,0)),EOMONTH(요약!$B$3,0))-MAX(H715,요약!$B$3)+1),0)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IF(AND(ISNUMBER(AB715),ISNUMBER(AC715)),MAX(0,MIN(AC715,EOMONTH(요약!$B$3,0))-MAX(AB715,요약!$B$3)+1),0)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IF(TRIM(B716&amp;"")="","",IFERROR(INDEX(코드표!$K$2:$K$101,MATCH(TRIM(B716&amp;""),코드표!$J$2:$J$101,0)),"⚠"&amp;TRIM(B716&amp;"")))</f>
        <v/>
      </c>
      <c r="S716" s="10">
        <f>IF(TRIM(K716&amp;"")="","",IFERROR(INDEX(코드표!$K$2:$K$101,MATCH(TRIM(K716&amp;""),코드표!$J$2:$J$101,0)),"⚠"&amp;TRIM(K716&amp;"")))</f>
        <v/>
      </c>
      <c r="T716" s="10">
        <f>IF(TRIM(M716&amp;"")="","",IF(ISNUMBER(MATCH(TRIM(M716&amp;""),코드표!$C$2:$C$11,0)),TRIM(M716&amp;""),"⚠"&amp;TRIM(M716&amp;"")))</f>
        <v/>
      </c>
      <c r="U716" s="10">
        <f>IF(TRIM(L716&amp;"")="","",IFERROR(INDEX(코드표!$G$2:$G$101,MATCH(TRIM(L716&amp;""),코드표!$F$2:$F$101,0)),"⚠"&amp;TRIM(L716&amp;"")))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IF(ISNUMBER(H716),MAX(0,MIN(IF(ISNUMBER(I716),I716,EOMONTH(요약!$B$3,0)),EOMONTH(요약!$B$3,0))-MAX(H716,요약!$B$3)+1),0)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IF(AND(ISNUMBER(AB716),ISNUMBER(AC716)),MAX(0,MIN(AC716,EOMONTH(요약!$B$3,0))-MAX(AB716,요약!$B$3)+1),0)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IF(TRIM(B717&amp;"")="","",IFERROR(INDEX(코드표!$K$2:$K$101,MATCH(TRIM(B717&amp;""),코드표!$J$2:$J$101,0)),"⚠"&amp;TRIM(B717&amp;"")))</f>
        <v/>
      </c>
      <c r="S717" s="10">
        <f>IF(TRIM(K717&amp;"")="","",IFERROR(INDEX(코드표!$K$2:$K$101,MATCH(TRIM(K717&amp;""),코드표!$J$2:$J$101,0)),"⚠"&amp;TRIM(K717&amp;"")))</f>
        <v/>
      </c>
      <c r="T717" s="10">
        <f>IF(TRIM(M717&amp;"")="","",IF(ISNUMBER(MATCH(TRIM(M717&amp;""),코드표!$C$2:$C$11,0)),TRIM(M717&amp;""),"⚠"&amp;TRIM(M717&amp;"")))</f>
        <v/>
      </c>
      <c r="U717" s="10">
        <f>IF(TRIM(L717&amp;"")="","",IFERROR(INDEX(코드표!$G$2:$G$101,MATCH(TRIM(L717&amp;""),코드표!$F$2:$F$101,0)),"⚠"&amp;TRIM(L717&amp;"")))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IF(ISNUMBER(H717),MAX(0,MIN(IF(ISNUMBER(I717),I717,EOMONTH(요약!$B$3,0)),EOMONTH(요약!$B$3,0))-MAX(H717,요약!$B$3)+1),0)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IF(AND(ISNUMBER(AB717),ISNUMBER(AC717)),MAX(0,MIN(AC717,EOMONTH(요약!$B$3,0))-MAX(AB717,요약!$B$3)+1),0)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IF(TRIM(B718&amp;"")="","",IFERROR(INDEX(코드표!$K$2:$K$101,MATCH(TRIM(B718&amp;""),코드표!$J$2:$J$101,0)),"⚠"&amp;TRIM(B718&amp;"")))</f>
        <v/>
      </c>
      <c r="S718" s="10">
        <f>IF(TRIM(K718&amp;"")="","",IFERROR(INDEX(코드표!$K$2:$K$101,MATCH(TRIM(K718&amp;""),코드표!$J$2:$J$101,0)),"⚠"&amp;TRIM(K718&amp;"")))</f>
        <v/>
      </c>
      <c r="T718" s="10">
        <f>IF(TRIM(M718&amp;"")="","",IF(ISNUMBER(MATCH(TRIM(M718&amp;""),코드표!$C$2:$C$11,0)),TRIM(M718&amp;""),"⚠"&amp;TRIM(M718&amp;"")))</f>
        <v/>
      </c>
      <c r="U718" s="10">
        <f>IF(TRIM(L718&amp;"")="","",IFERROR(INDEX(코드표!$G$2:$G$101,MATCH(TRIM(L718&amp;""),코드표!$F$2:$F$101,0)),"⚠"&amp;TRIM(L718&amp;"")))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IF(ISNUMBER(H718),MAX(0,MIN(IF(ISNUMBER(I718),I718,EOMONTH(요약!$B$3,0)),EOMONTH(요약!$B$3,0))-MAX(H718,요약!$B$3)+1),0)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IF(AND(ISNUMBER(AB718),ISNUMBER(AC718)),MAX(0,MIN(AC718,EOMONTH(요약!$B$3,0))-MAX(AB718,요약!$B$3)+1),0)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IF(TRIM(B719&amp;"")="","",IFERROR(INDEX(코드표!$K$2:$K$101,MATCH(TRIM(B719&amp;""),코드표!$J$2:$J$101,0)),"⚠"&amp;TRIM(B719&amp;"")))</f>
        <v/>
      </c>
      <c r="S719" s="10">
        <f>IF(TRIM(K719&amp;"")="","",IFERROR(INDEX(코드표!$K$2:$K$101,MATCH(TRIM(K719&amp;""),코드표!$J$2:$J$101,0)),"⚠"&amp;TRIM(K719&amp;"")))</f>
        <v/>
      </c>
      <c r="T719" s="10">
        <f>IF(TRIM(M719&amp;"")="","",IF(ISNUMBER(MATCH(TRIM(M719&amp;""),코드표!$C$2:$C$11,0)),TRIM(M719&amp;""),"⚠"&amp;TRIM(M719&amp;"")))</f>
        <v/>
      </c>
      <c r="U719" s="10">
        <f>IF(TRIM(L719&amp;"")="","",IFERROR(INDEX(코드표!$G$2:$G$101,MATCH(TRIM(L719&amp;""),코드표!$F$2:$F$101,0)),"⚠"&amp;TRIM(L719&amp;"")))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IF(ISNUMBER(H719),MAX(0,MIN(IF(ISNUMBER(I719),I719,EOMONTH(요약!$B$3,0)),EOMONTH(요약!$B$3,0))-MAX(H719,요약!$B$3)+1),0)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IF(AND(ISNUMBER(AB719),ISNUMBER(AC719)),MAX(0,MIN(AC719,EOMONTH(요약!$B$3,0))-MAX(AB719,요약!$B$3)+1),0)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IF(TRIM(B720&amp;"")="","",IFERROR(INDEX(코드표!$K$2:$K$101,MATCH(TRIM(B720&amp;""),코드표!$J$2:$J$101,0)),"⚠"&amp;TRIM(B720&amp;"")))</f>
        <v/>
      </c>
      <c r="S720" s="10">
        <f>IF(TRIM(K720&amp;"")="","",IFERROR(INDEX(코드표!$K$2:$K$101,MATCH(TRIM(K720&amp;""),코드표!$J$2:$J$101,0)),"⚠"&amp;TRIM(K720&amp;"")))</f>
        <v/>
      </c>
      <c r="T720" s="10">
        <f>IF(TRIM(M720&amp;"")="","",IF(ISNUMBER(MATCH(TRIM(M720&amp;""),코드표!$C$2:$C$11,0)),TRIM(M720&amp;""),"⚠"&amp;TRIM(M720&amp;"")))</f>
        <v/>
      </c>
      <c r="U720" s="10">
        <f>IF(TRIM(L720&amp;"")="","",IFERROR(INDEX(코드표!$G$2:$G$101,MATCH(TRIM(L720&amp;""),코드표!$F$2:$F$101,0)),"⚠"&amp;TRIM(L720&amp;"")))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IF(ISNUMBER(H720),MAX(0,MIN(IF(ISNUMBER(I720),I720,EOMONTH(요약!$B$3,0)),EOMONTH(요약!$B$3,0))-MAX(H720,요약!$B$3)+1),0)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IF(AND(ISNUMBER(AB720),ISNUMBER(AC720)),MAX(0,MIN(AC720,EOMONTH(요약!$B$3,0))-MAX(AB720,요약!$B$3)+1),0)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IF(TRIM(B721&amp;"")="","",IFERROR(INDEX(코드표!$K$2:$K$101,MATCH(TRIM(B721&amp;""),코드표!$J$2:$J$101,0)),"⚠"&amp;TRIM(B721&amp;"")))</f>
        <v/>
      </c>
      <c r="S721" s="10">
        <f>IF(TRIM(K721&amp;"")="","",IFERROR(INDEX(코드표!$K$2:$K$101,MATCH(TRIM(K721&amp;""),코드표!$J$2:$J$101,0)),"⚠"&amp;TRIM(K721&amp;"")))</f>
        <v/>
      </c>
      <c r="T721" s="10">
        <f>IF(TRIM(M721&amp;"")="","",IF(ISNUMBER(MATCH(TRIM(M721&amp;""),코드표!$C$2:$C$11,0)),TRIM(M721&amp;""),"⚠"&amp;TRIM(M721&amp;"")))</f>
        <v/>
      </c>
      <c r="U721" s="10">
        <f>IF(TRIM(L721&amp;"")="","",IFERROR(INDEX(코드표!$G$2:$G$101,MATCH(TRIM(L721&amp;""),코드표!$F$2:$F$101,0)),"⚠"&amp;TRIM(L721&amp;"")))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IF(ISNUMBER(H721),MAX(0,MIN(IF(ISNUMBER(I721),I721,EOMONTH(요약!$B$3,0)),EOMONTH(요약!$B$3,0))-MAX(H721,요약!$B$3)+1),0)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IF(AND(ISNUMBER(AB721),ISNUMBER(AC721)),MAX(0,MIN(AC721,EOMONTH(요약!$B$3,0))-MAX(AB721,요약!$B$3)+1),0)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IF(TRIM(B722&amp;"")="","",IFERROR(INDEX(코드표!$K$2:$K$101,MATCH(TRIM(B722&amp;""),코드표!$J$2:$J$101,0)),"⚠"&amp;TRIM(B722&amp;"")))</f>
        <v/>
      </c>
      <c r="S722" s="10">
        <f>IF(TRIM(K722&amp;"")="","",IFERROR(INDEX(코드표!$K$2:$K$101,MATCH(TRIM(K722&amp;""),코드표!$J$2:$J$101,0)),"⚠"&amp;TRIM(K722&amp;"")))</f>
        <v/>
      </c>
      <c r="T722" s="10">
        <f>IF(TRIM(M722&amp;"")="","",IF(ISNUMBER(MATCH(TRIM(M722&amp;""),코드표!$C$2:$C$11,0)),TRIM(M722&amp;""),"⚠"&amp;TRIM(M722&amp;"")))</f>
        <v/>
      </c>
      <c r="U722" s="10">
        <f>IF(TRIM(L722&amp;"")="","",IFERROR(INDEX(코드표!$G$2:$G$101,MATCH(TRIM(L722&amp;""),코드표!$F$2:$F$101,0)),"⚠"&amp;TRIM(L722&amp;"")))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IF(ISNUMBER(H722),MAX(0,MIN(IF(ISNUMBER(I722),I722,EOMONTH(요약!$B$3,0)),EOMONTH(요약!$B$3,0))-MAX(H722,요약!$B$3)+1),0)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IF(AND(ISNUMBER(AB722),ISNUMBER(AC722)),MAX(0,MIN(AC722,EOMONTH(요약!$B$3,0))-MAX(AB722,요약!$B$3)+1),0)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IF(TRIM(B723&amp;"")="","",IFERROR(INDEX(코드표!$K$2:$K$101,MATCH(TRIM(B723&amp;""),코드표!$J$2:$J$101,0)),"⚠"&amp;TRIM(B723&amp;"")))</f>
        <v/>
      </c>
      <c r="S723" s="10">
        <f>IF(TRIM(K723&amp;"")="","",IFERROR(INDEX(코드표!$K$2:$K$101,MATCH(TRIM(K723&amp;""),코드표!$J$2:$J$101,0)),"⚠"&amp;TRIM(K723&amp;"")))</f>
        <v/>
      </c>
      <c r="T723" s="10">
        <f>IF(TRIM(M723&amp;"")="","",IF(ISNUMBER(MATCH(TRIM(M723&amp;""),코드표!$C$2:$C$11,0)),TRIM(M723&amp;""),"⚠"&amp;TRIM(M723&amp;"")))</f>
        <v/>
      </c>
      <c r="U723" s="10">
        <f>IF(TRIM(L723&amp;"")="","",IFERROR(INDEX(코드표!$G$2:$G$101,MATCH(TRIM(L723&amp;""),코드표!$F$2:$F$101,0)),"⚠"&amp;TRIM(L723&amp;"")))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IF(ISNUMBER(H723),MAX(0,MIN(IF(ISNUMBER(I723),I723,EOMONTH(요약!$B$3,0)),EOMONTH(요약!$B$3,0))-MAX(H723,요약!$B$3)+1),0)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IF(AND(ISNUMBER(AB723),ISNUMBER(AC723)),MAX(0,MIN(AC723,EOMONTH(요약!$B$3,0))-MAX(AB723,요약!$B$3)+1),0)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IF(TRIM(B724&amp;"")="","",IFERROR(INDEX(코드표!$K$2:$K$101,MATCH(TRIM(B724&amp;""),코드표!$J$2:$J$101,0)),"⚠"&amp;TRIM(B724&amp;"")))</f>
        <v/>
      </c>
      <c r="S724" s="10">
        <f>IF(TRIM(K724&amp;"")="","",IFERROR(INDEX(코드표!$K$2:$K$101,MATCH(TRIM(K724&amp;""),코드표!$J$2:$J$101,0)),"⚠"&amp;TRIM(K724&amp;"")))</f>
        <v/>
      </c>
      <c r="T724" s="10">
        <f>IF(TRIM(M724&amp;"")="","",IF(ISNUMBER(MATCH(TRIM(M724&amp;""),코드표!$C$2:$C$11,0)),TRIM(M724&amp;""),"⚠"&amp;TRIM(M724&amp;"")))</f>
        <v/>
      </c>
      <c r="U724" s="10">
        <f>IF(TRIM(L724&amp;"")="","",IFERROR(INDEX(코드표!$G$2:$G$101,MATCH(TRIM(L724&amp;""),코드표!$F$2:$F$101,0)),"⚠"&amp;TRIM(L724&amp;"")))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IF(ISNUMBER(H724),MAX(0,MIN(IF(ISNUMBER(I724),I724,EOMONTH(요약!$B$3,0)),EOMONTH(요약!$B$3,0))-MAX(H724,요약!$B$3)+1),0)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IF(AND(ISNUMBER(AB724),ISNUMBER(AC724)),MAX(0,MIN(AC724,EOMONTH(요약!$B$3,0))-MAX(AB724,요약!$B$3)+1),0)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IF(TRIM(B725&amp;"")="","",IFERROR(INDEX(코드표!$K$2:$K$101,MATCH(TRIM(B725&amp;""),코드표!$J$2:$J$101,0)),"⚠"&amp;TRIM(B725&amp;"")))</f>
        <v/>
      </c>
      <c r="S725" s="10">
        <f>IF(TRIM(K725&amp;"")="","",IFERROR(INDEX(코드표!$K$2:$K$101,MATCH(TRIM(K725&amp;""),코드표!$J$2:$J$101,0)),"⚠"&amp;TRIM(K725&amp;"")))</f>
        <v/>
      </c>
      <c r="T725" s="10">
        <f>IF(TRIM(M725&amp;"")="","",IF(ISNUMBER(MATCH(TRIM(M725&amp;""),코드표!$C$2:$C$11,0)),TRIM(M725&amp;""),"⚠"&amp;TRIM(M725&amp;"")))</f>
        <v/>
      </c>
      <c r="U725" s="10">
        <f>IF(TRIM(L725&amp;"")="","",IFERROR(INDEX(코드표!$G$2:$G$101,MATCH(TRIM(L725&amp;""),코드표!$F$2:$F$101,0)),"⚠"&amp;TRIM(L725&amp;"")))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IF(ISNUMBER(H725),MAX(0,MIN(IF(ISNUMBER(I725),I725,EOMONTH(요약!$B$3,0)),EOMONTH(요약!$B$3,0))-MAX(H725,요약!$B$3)+1),0)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IF(AND(ISNUMBER(AB725),ISNUMBER(AC725)),MAX(0,MIN(AC725,EOMONTH(요약!$B$3,0))-MAX(AB725,요약!$B$3)+1),0)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IF(TRIM(B726&amp;"")="","",IFERROR(INDEX(코드표!$K$2:$K$101,MATCH(TRIM(B726&amp;""),코드표!$J$2:$J$101,0)),"⚠"&amp;TRIM(B726&amp;"")))</f>
        <v/>
      </c>
      <c r="S726" s="10">
        <f>IF(TRIM(K726&amp;"")="","",IFERROR(INDEX(코드표!$K$2:$K$101,MATCH(TRIM(K726&amp;""),코드표!$J$2:$J$101,0)),"⚠"&amp;TRIM(K726&amp;"")))</f>
        <v/>
      </c>
      <c r="T726" s="10">
        <f>IF(TRIM(M726&amp;"")="","",IF(ISNUMBER(MATCH(TRIM(M726&amp;""),코드표!$C$2:$C$11,0)),TRIM(M726&amp;""),"⚠"&amp;TRIM(M726&amp;"")))</f>
        <v/>
      </c>
      <c r="U726" s="10">
        <f>IF(TRIM(L726&amp;"")="","",IFERROR(INDEX(코드표!$G$2:$G$101,MATCH(TRIM(L726&amp;""),코드표!$F$2:$F$101,0)),"⚠"&amp;TRIM(L726&amp;"")))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IF(ISNUMBER(H726),MAX(0,MIN(IF(ISNUMBER(I726),I726,EOMONTH(요약!$B$3,0)),EOMONTH(요약!$B$3,0))-MAX(H726,요약!$B$3)+1),0)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IF(AND(ISNUMBER(AB726),ISNUMBER(AC726)),MAX(0,MIN(AC726,EOMONTH(요약!$B$3,0))-MAX(AB726,요약!$B$3)+1),0)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IF(TRIM(B727&amp;"")="","",IFERROR(INDEX(코드표!$K$2:$K$101,MATCH(TRIM(B727&amp;""),코드표!$J$2:$J$101,0)),"⚠"&amp;TRIM(B727&amp;"")))</f>
        <v/>
      </c>
      <c r="S727" s="10">
        <f>IF(TRIM(K727&amp;"")="","",IFERROR(INDEX(코드표!$K$2:$K$101,MATCH(TRIM(K727&amp;""),코드표!$J$2:$J$101,0)),"⚠"&amp;TRIM(K727&amp;"")))</f>
        <v/>
      </c>
      <c r="T727" s="10">
        <f>IF(TRIM(M727&amp;"")="","",IF(ISNUMBER(MATCH(TRIM(M727&amp;""),코드표!$C$2:$C$11,0)),TRIM(M727&amp;""),"⚠"&amp;TRIM(M727&amp;"")))</f>
        <v/>
      </c>
      <c r="U727" s="10">
        <f>IF(TRIM(L727&amp;"")="","",IFERROR(INDEX(코드표!$G$2:$G$101,MATCH(TRIM(L727&amp;""),코드표!$F$2:$F$101,0)),"⚠"&amp;TRIM(L727&amp;"")))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IF(ISNUMBER(H727),MAX(0,MIN(IF(ISNUMBER(I727),I727,EOMONTH(요약!$B$3,0)),EOMONTH(요약!$B$3,0))-MAX(H727,요약!$B$3)+1),0)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IF(AND(ISNUMBER(AB727),ISNUMBER(AC727)),MAX(0,MIN(AC727,EOMONTH(요약!$B$3,0))-MAX(AB727,요약!$B$3)+1),0)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IF(TRIM(B728&amp;"")="","",IFERROR(INDEX(코드표!$K$2:$K$101,MATCH(TRIM(B728&amp;""),코드표!$J$2:$J$101,0)),"⚠"&amp;TRIM(B728&amp;"")))</f>
        <v/>
      </c>
      <c r="S728" s="10">
        <f>IF(TRIM(K728&amp;"")="","",IFERROR(INDEX(코드표!$K$2:$K$101,MATCH(TRIM(K728&amp;""),코드표!$J$2:$J$101,0)),"⚠"&amp;TRIM(K728&amp;"")))</f>
        <v/>
      </c>
      <c r="T728" s="10">
        <f>IF(TRIM(M728&amp;"")="","",IF(ISNUMBER(MATCH(TRIM(M728&amp;""),코드표!$C$2:$C$11,0)),TRIM(M728&amp;""),"⚠"&amp;TRIM(M728&amp;"")))</f>
        <v/>
      </c>
      <c r="U728" s="10">
        <f>IF(TRIM(L728&amp;"")="","",IFERROR(INDEX(코드표!$G$2:$G$101,MATCH(TRIM(L728&amp;""),코드표!$F$2:$F$101,0)),"⚠"&amp;TRIM(L728&amp;"")))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IF(ISNUMBER(H728),MAX(0,MIN(IF(ISNUMBER(I728),I728,EOMONTH(요약!$B$3,0)),EOMONTH(요약!$B$3,0))-MAX(H728,요약!$B$3)+1),0)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IF(AND(ISNUMBER(AB728),ISNUMBER(AC728)),MAX(0,MIN(AC728,EOMONTH(요약!$B$3,0))-MAX(AB728,요약!$B$3)+1),0)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IF(TRIM(B729&amp;"")="","",IFERROR(INDEX(코드표!$K$2:$K$101,MATCH(TRIM(B729&amp;""),코드표!$J$2:$J$101,0)),"⚠"&amp;TRIM(B729&amp;"")))</f>
        <v/>
      </c>
      <c r="S729" s="10">
        <f>IF(TRIM(K729&amp;"")="","",IFERROR(INDEX(코드표!$K$2:$K$101,MATCH(TRIM(K729&amp;""),코드표!$J$2:$J$101,0)),"⚠"&amp;TRIM(K729&amp;"")))</f>
        <v/>
      </c>
      <c r="T729" s="10">
        <f>IF(TRIM(M729&amp;"")="","",IF(ISNUMBER(MATCH(TRIM(M729&amp;""),코드표!$C$2:$C$11,0)),TRIM(M729&amp;""),"⚠"&amp;TRIM(M729&amp;"")))</f>
        <v/>
      </c>
      <c r="U729" s="10">
        <f>IF(TRIM(L729&amp;"")="","",IFERROR(INDEX(코드표!$G$2:$G$101,MATCH(TRIM(L729&amp;""),코드표!$F$2:$F$101,0)),"⚠"&amp;TRIM(L729&amp;"")))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IF(ISNUMBER(H729),MAX(0,MIN(IF(ISNUMBER(I729),I729,EOMONTH(요약!$B$3,0)),EOMONTH(요약!$B$3,0))-MAX(H729,요약!$B$3)+1),0)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IF(AND(ISNUMBER(AB729),ISNUMBER(AC729)),MAX(0,MIN(AC729,EOMONTH(요약!$B$3,0))-MAX(AB729,요약!$B$3)+1),0)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IF(TRIM(B730&amp;"")="","",IFERROR(INDEX(코드표!$K$2:$K$101,MATCH(TRIM(B730&amp;""),코드표!$J$2:$J$101,0)),"⚠"&amp;TRIM(B730&amp;"")))</f>
        <v/>
      </c>
      <c r="S730" s="10">
        <f>IF(TRIM(K730&amp;"")="","",IFERROR(INDEX(코드표!$K$2:$K$101,MATCH(TRIM(K730&amp;""),코드표!$J$2:$J$101,0)),"⚠"&amp;TRIM(K730&amp;"")))</f>
        <v/>
      </c>
      <c r="T730" s="10">
        <f>IF(TRIM(M730&amp;"")="","",IF(ISNUMBER(MATCH(TRIM(M730&amp;""),코드표!$C$2:$C$11,0)),TRIM(M730&amp;""),"⚠"&amp;TRIM(M730&amp;"")))</f>
        <v/>
      </c>
      <c r="U730" s="10">
        <f>IF(TRIM(L730&amp;"")="","",IFERROR(INDEX(코드표!$G$2:$G$101,MATCH(TRIM(L730&amp;""),코드표!$F$2:$F$101,0)),"⚠"&amp;TRIM(L730&amp;"")))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IF(ISNUMBER(H730),MAX(0,MIN(IF(ISNUMBER(I730),I730,EOMONTH(요약!$B$3,0)),EOMONTH(요약!$B$3,0))-MAX(H730,요약!$B$3)+1),0)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IF(AND(ISNUMBER(AB730),ISNUMBER(AC730)),MAX(0,MIN(AC730,EOMONTH(요약!$B$3,0))-MAX(AB730,요약!$B$3)+1),0)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IF(TRIM(B731&amp;"")="","",IFERROR(INDEX(코드표!$K$2:$K$101,MATCH(TRIM(B731&amp;""),코드표!$J$2:$J$101,0)),"⚠"&amp;TRIM(B731&amp;"")))</f>
        <v/>
      </c>
      <c r="S731" s="10">
        <f>IF(TRIM(K731&amp;"")="","",IFERROR(INDEX(코드표!$K$2:$K$101,MATCH(TRIM(K731&amp;""),코드표!$J$2:$J$101,0)),"⚠"&amp;TRIM(K731&amp;"")))</f>
        <v/>
      </c>
      <c r="T731" s="10">
        <f>IF(TRIM(M731&amp;"")="","",IF(ISNUMBER(MATCH(TRIM(M731&amp;""),코드표!$C$2:$C$11,0)),TRIM(M731&amp;""),"⚠"&amp;TRIM(M731&amp;"")))</f>
        <v/>
      </c>
      <c r="U731" s="10">
        <f>IF(TRIM(L731&amp;"")="","",IFERROR(INDEX(코드표!$G$2:$G$101,MATCH(TRIM(L731&amp;""),코드표!$F$2:$F$101,0)),"⚠"&amp;TRIM(L731&amp;"")))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IF(ISNUMBER(H731),MAX(0,MIN(IF(ISNUMBER(I731),I731,EOMONTH(요약!$B$3,0)),EOMONTH(요약!$B$3,0))-MAX(H731,요약!$B$3)+1),0)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IF(AND(ISNUMBER(AB731),ISNUMBER(AC731)),MAX(0,MIN(AC731,EOMONTH(요약!$B$3,0))-MAX(AB731,요약!$B$3)+1),0)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IF(TRIM(B732&amp;"")="","",IFERROR(INDEX(코드표!$K$2:$K$101,MATCH(TRIM(B732&amp;""),코드표!$J$2:$J$101,0)),"⚠"&amp;TRIM(B732&amp;"")))</f>
        <v/>
      </c>
      <c r="S732" s="10">
        <f>IF(TRIM(K732&amp;"")="","",IFERROR(INDEX(코드표!$K$2:$K$101,MATCH(TRIM(K732&amp;""),코드표!$J$2:$J$101,0)),"⚠"&amp;TRIM(K732&amp;"")))</f>
        <v/>
      </c>
      <c r="T732" s="10">
        <f>IF(TRIM(M732&amp;"")="","",IF(ISNUMBER(MATCH(TRIM(M732&amp;""),코드표!$C$2:$C$11,0)),TRIM(M732&amp;""),"⚠"&amp;TRIM(M732&amp;"")))</f>
        <v/>
      </c>
      <c r="U732" s="10">
        <f>IF(TRIM(L732&amp;"")="","",IFERROR(INDEX(코드표!$G$2:$G$101,MATCH(TRIM(L732&amp;""),코드표!$F$2:$F$101,0)),"⚠"&amp;TRIM(L732&amp;"")))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IF(ISNUMBER(H732),MAX(0,MIN(IF(ISNUMBER(I732),I732,EOMONTH(요약!$B$3,0)),EOMONTH(요약!$B$3,0))-MAX(H732,요약!$B$3)+1),0)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IF(AND(ISNUMBER(AB732),ISNUMBER(AC732)),MAX(0,MIN(AC732,EOMONTH(요약!$B$3,0))-MAX(AB732,요약!$B$3)+1),0)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IF(TRIM(B733&amp;"")="","",IFERROR(INDEX(코드표!$K$2:$K$101,MATCH(TRIM(B733&amp;""),코드표!$J$2:$J$101,0)),"⚠"&amp;TRIM(B733&amp;"")))</f>
        <v/>
      </c>
      <c r="S733" s="10">
        <f>IF(TRIM(K733&amp;"")="","",IFERROR(INDEX(코드표!$K$2:$K$101,MATCH(TRIM(K733&amp;""),코드표!$J$2:$J$101,0)),"⚠"&amp;TRIM(K733&amp;"")))</f>
        <v/>
      </c>
      <c r="T733" s="10">
        <f>IF(TRIM(M733&amp;"")="","",IF(ISNUMBER(MATCH(TRIM(M733&amp;""),코드표!$C$2:$C$11,0)),TRIM(M733&amp;""),"⚠"&amp;TRIM(M733&amp;"")))</f>
        <v/>
      </c>
      <c r="U733" s="10">
        <f>IF(TRIM(L733&amp;"")="","",IFERROR(INDEX(코드표!$G$2:$G$101,MATCH(TRIM(L733&amp;""),코드표!$F$2:$F$101,0)),"⚠"&amp;TRIM(L733&amp;"")))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IF(ISNUMBER(H733),MAX(0,MIN(IF(ISNUMBER(I733),I733,EOMONTH(요약!$B$3,0)),EOMONTH(요약!$B$3,0))-MAX(H733,요약!$B$3)+1),0)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IF(AND(ISNUMBER(AB733),ISNUMBER(AC733)),MAX(0,MIN(AC733,EOMONTH(요약!$B$3,0))-MAX(AB733,요약!$B$3)+1),0)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IF(TRIM(B734&amp;"")="","",IFERROR(INDEX(코드표!$K$2:$K$101,MATCH(TRIM(B734&amp;""),코드표!$J$2:$J$101,0)),"⚠"&amp;TRIM(B734&amp;"")))</f>
        <v/>
      </c>
      <c r="S734" s="10">
        <f>IF(TRIM(K734&amp;"")="","",IFERROR(INDEX(코드표!$K$2:$K$101,MATCH(TRIM(K734&amp;""),코드표!$J$2:$J$101,0)),"⚠"&amp;TRIM(K734&amp;"")))</f>
        <v/>
      </c>
      <c r="T734" s="10">
        <f>IF(TRIM(M734&amp;"")="","",IF(ISNUMBER(MATCH(TRIM(M734&amp;""),코드표!$C$2:$C$11,0)),TRIM(M734&amp;""),"⚠"&amp;TRIM(M734&amp;"")))</f>
        <v/>
      </c>
      <c r="U734" s="10">
        <f>IF(TRIM(L734&amp;"")="","",IFERROR(INDEX(코드표!$G$2:$G$101,MATCH(TRIM(L734&amp;""),코드표!$F$2:$F$101,0)),"⚠"&amp;TRIM(L734&amp;"")))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IF(ISNUMBER(H734),MAX(0,MIN(IF(ISNUMBER(I734),I734,EOMONTH(요약!$B$3,0)),EOMONTH(요약!$B$3,0))-MAX(H734,요약!$B$3)+1),0)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IF(AND(ISNUMBER(AB734),ISNUMBER(AC734)),MAX(0,MIN(AC734,EOMONTH(요약!$B$3,0))-MAX(AB734,요약!$B$3)+1),0)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IF(TRIM(B735&amp;"")="","",IFERROR(INDEX(코드표!$K$2:$K$101,MATCH(TRIM(B735&amp;""),코드표!$J$2:$J$101,0)),"⚠"&amp;TRIM(B735&amp;"")))</f>
        <v/>
      </c>
      <c r="S735" s="10">
        <f>IF(TRIM(K735&amp;"")="","",IFERROR(INDEX(코드표!$K$2:$K$101,MATCH(TRIM(K735&amp;""),코드표!$J$2:$J$101,0)),"⚠"&amp;TRIM(K735&amp;"")))</f>
        <v/>
      </c>
      <c r="T735" s="10">
        <f>IF(TRIM(M735&amp;"")="","",IF(ISNUMBER(MATCH(TRIM(M735&amp;""),코드표!$C$2:$C$11,0)),TRIM(M735&amp;""),"⚠"&amp;TRIM(M735&amp;"")))</f>
        <v/>
      </c>
      <c r="U735" s="10">
        <f>IF(TRIM(L735&amp;"")="","",IFERROR(INDEX(코드표!$G$2:$G$101,MATCH(TRIM(L735&amp;""),코드표!$F$2:$F$101,0)),"⚠"&amp;TRIM(L735&amp;"")))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IF(ISNUMBER(H735),MAX(0,MIN(IF(ISNUMBER(I735),I735,EOMONTH(요약!$B$3,0)),EOMONTH(요약!$B$3,0))-MAX(H735,요약!$B$3)+1),0)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IF(AND(ISNUMBER(AB735),ISNUMBER(AC735)),MAX(0,MIN(AC735,EOMONTH(요약!$B$3,0))-MAX(AB735,요약!$B$3)+1),0)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IF(TRIM(B736&amp;"")="","",IFERROR(INDEX(코드표!$K$2:$K$101,MATCH(TRIM(B736&amp;""),코드표!$J$2:$J$101,0)),"⚠"&amp;TRIM(B736&amp;"")))</f>
        <v/>
      </c>
      <c r="S736" s="10">
        <f>IF(TRIM(K736&amp;"")="","",IFERROR(INDEX(코드표!$K$2:$K$101,MATCH(TRIM(K736&amp;""),코드표!$J$2:$J$101,0)),"⚠"&amp;TRIM(K736&amp;"")))</f>
        <v/>
      </c>
      <c r="T736" s="10">
        <f>IF(TRIM(M736&amp;"")="","",IF(ISNUMBER(MATCH(TRIM(M736&amp;""),코드표!$C$2:$C$11,0)),TRIM(M736&amp;""),"⚠"&amp;TRIM(M736&amp;"")))</f>
        <v/>
      </c>
      <c r="U736" s="10">
        <f>IF(TRIM(L736&amp;"")="","",IFERROR(INDEX(코드표!$G$2:$G$101,MATCH(TRIM(L736&amp;""),코드표!$F$2:$F$101,0)),"⚠"&amp;TRIM(L736&amp;"")))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IF(ISNUMBER(H736),MAX(0,MIN(IF(ISNUMBER(I736),I736,EOMONTH(요약!$B$3,0)),EOMONTH(요약!$B$3,0))-MAX(H736,요약!$B$3)+1),0)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IF(AND(ISNUMBER(AB736),ISNUMBER(AC736)),MAX(0,MIN(AC736,EOMONTH(요약!$B$3,0))-MAX(AB736,요약!$B$3)+1),0)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IF(TRIM(B737&amp;"")="","",IFERROR(INDEX(코드표!$K$2:$K$101,MATCH(TRIM(B737&amp;""),코드표!$J$2:$J$101,0)),"⚠"&amp;TRIM(B737&amp;"")))</f>
        <v/>
      </c>
      <c r="S737" s="10">
        <f>IF(TRIM(K737&amp;"")="","",IFERROR(INDEX(코드표!$K$2:$K$101,MATCH(TRIM(K737&amp;""),코드표!$J$2:$J$101,0)),"⚠"&amp;TRIM(K737&amp;"")))</f>
        <v/>
      </c>
      <c r="T737" s="10">
        <f>IF(TRIM(M737&amp;"")="","",IF(ISNUMBER(MATCH(TRIM(M737&amp;""),코드표!$C$2:$C$11,0)),TRIM(M737&amp;""),"⚠"&amp;TRIM(M737&amp;"")))</f>
        <v/>
      </c>
      <c r="U737" s="10">
        <f>IF(TRIM(L737&amp;"")="","",IFERROR(INDEX(코드표!$G$2:$G$101,MATCH(TRIM(L737&amp;""),코드표!$F$2:$F$101,0)),"⚠"&amp;TRIM(L737&amp;"")))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IF(ISNUMBER(H737),MAX(0,MIN(IF(ISNUMBER(I737),I737,EOMONTH(요약!$B$3,0)),EOMONTH(요약!$B$3,0))-MAX(H737,요약!$B$3)+1),0)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IF(AND(ISNUMBER(AB737),ISNUMBER(AC737)),MAX(0,MIN(AC737,EOMONTH(요약!$B$3,0))-MAX(AB737,요약!$B$3)+1),0)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IF(TRIM(B738&amp;"")="","",IFERROR(INDEX(코드표!$K$2:$K$101,MATCH(TRIM(B738&amp;""),코드표!$J$2:$J$101,0)),"⚠"&amp;TRIM(B738&amp;"")))</f>
        <v/>
      </c>
      <c r="S738" s="10">
        <f>IF(TRIM(K738&amp;"")="","",IFERROR(INDEX(코드표!$K$2:$K$101,MATCH(TRIM(K738&amp;""),코드표!$J$2:$J$101,0)),"⚠"&amp;TRIM(K738&amp;"")))</f>
        <v/>
      </c>
      <c r="T738" s="10">
        <f>IF(TRIM(M738&amp;"")="","",IF(ISNUMBER(MATCH(TRIM(M738&amp;""),코드표!$C$2:$C$11,0)),TRIM(M738&amp;""),"⚠"&amp;TRIM(M738&amp;"")))</f>
        <v/>
      </c>
      <c r="U738" s="10">
        <f>IF(TRIM(L738&amp;"")="","",IFERROR(INDEX(코드표!$G$2:$G$101,MATCH(TRIM(L738&amp;""),코드표!$F$2:$F$101,0)),"⚠"&amp;TRIM(L738&amp;"")))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IF(ISNUMBER(H738),MAX(0,MIN(IF(ISNUMBER(I738),I738,EOMONTH(요약!$B$3,0)),EOMONTH(요약!$B$3,0))-MAX(H738,요약!$B$3)+1),0)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IF(AND(ISNUMBER(AB738),ISNUMBER(AC738)),MAX(0,MIN(AC738,EOMONTH(요약!$B$3,0))-MAX(AB738,요약!$B$3)+1),0)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IF(TRIM(B739&amp;"")="","",IFERROR(INDEX(코드표!$K$2:$K$101,MATCH(TRIM(B739&amp;""),코드표!$J$2:$J$101,0)),"⚠"&amp;TRIM(B739&amp;"")))</f>
        <v/>
      </c>
      <c r="S739" s="10">
        <f>IF(TRIM(K739&amp;"")="","",IFERROR(INDEX(코드표!$K$2:$K$101,MATCH(TRIM(K739&amp;""),코드표!$J$2:$J$101,0)),"⚠"&amp;TRIM(K739&amp;"")))</f>
        <v/>
      </c>
      <c r="T739" s="10">
        <f>IF(TRIM(M739&amp;"")="","",IF(ISNUMBER(MATCH(TRIM(M739&amp;""),코드표!$C$2:$C$11,0)),TRIM(M739&amp;""),"⚠"&amp;TRIM(M739&amp;"")))</f>
        <v/>
      </c>
      <c r="U739" s="10">
        <f>IF(TRIM(L739&amp;"")="","",IFERROR(INDEX(코드표!$G$2:$G$101,MATCH(TRIM(L739&amp;""),코드표!$F$2:$F$101,0)),"⚠"&amp;TRIM(L739&amp;"")))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IF(ISNUMBER(H739),MAX(0,MIN(IF(ISNUMBER(I739),I739,EOMONTH(요약!$B$3,0)),EOMONTH(요약!$B$3,0))-MAX(H739,요약!$B$3)+1),0)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IF(AND(ISNUMBER(AB739),ISNUMBER(AC739)),MAX(0,MIN(AC739,EOMONTH(요약!$B$3,0))-MAX(AB739,요약!$B$3)+1),0)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IF(TRIM(B740&amp;"")="","",IFERROR(INDEX(코드표!$K$2:$K$101,MATCH(TRIM(B740&amp;""),코드표!$J$2:$J$101,0)),"⚠"&amp;TRIM(B740&amp;"")))</f>
        <v/>
      </c>
      <c r="S740" s="10">
        <f>IF(TRIM(K740&amp;"")="","",IFERROR(INDEX(코드표!$K$2:$K$101,MATCH(TRIM(K740&amp;""),코드표!$J$2:$J$101,0)),"⚠"&amp;TRIM(K740&amp;"")))</f>
        <v/>
      </c>
      <c r="T740" s="10">
        <f>IF(TRIM(M740&amp;"")="","",IF(ISNUMBER(MATCH(TRIM(M740&amp;""),코드표!$C$2:$C$11,0)),TRIM(M740&amp;""),"⚠"&amp;TRIM(M740&amp;"")))</f>
        <v/>
      </c>
      <c r="U740" s="10">
        <f>IF(TRIM(L740&amp;"")="","",IFERROR(INDEX(코드표!$G$2:$G$101,MATCH(TRIM(L740&amp;""),코드표!$F$2:$F$101,0)),"⚠"&amp;TRIM(L740&amp;"")))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IF(ISNUMBER(H740),MAX(0,MIN(IF(ISNUMBER(I740),I740,EOMONTH(요약!$B$3,0)),EOMONTH(요약!$B$3,0))-MAX(H740,요약!$B$3)+1),0)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IF(AND(ISNUMBER(AB740),ISNUMBER(AC740)),MAX(0,MIN(AC740,EOMONTH(요약!$B$3,0))-MAX(AB740,요약!$B$3)+1),0)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IF(TRIM(B741&amp;"")="","",IFERROR(INDEX(코드표!$K$2:$K$101,MATCH(TRIM(B741&amp;""),코드표!$J$2:$J$101,0)),"⚠"&amp;TRIM(B741&amp;"")))</f>
        <v/>
      </c>
      <c r="S741" s="10">
        <f>IF(TRIM(K741&amp;"")="","",IFERROR(INDEX(코드표!$K$2:$K$101,MATCH(TRIM(K741&amp;""),코드표!$J$2:$J$101,0)),"⚠"&amp;TRIM(K741&amp;"")))</f>
        <v/>
      </c>
      <c r="T741" s="10">
        <f>IF(TRIM(M741&amp;"")="","",IF(ISNUMBER(MATCH(TRIM(M741&amp;""),코드표!$C$2:$C$11,0)),TRIM(M741&amp;""),"⚠"&amp;TRIM(M741&amp;"")))</f>
        <v/>
      </c>
      <c r="U741" s="10">
        <f>IF(TRIM(L741&amp;"")="","",IFERROR(INDEX(코드표!$G$2:$G$101,MATCH(TRIM(L741&amp;""),코드표!$F$2:$F$101,0)),"⚠"&amp;TRIM(L741&amp;"")))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IF(ISNUMBER(H741),MAX(0,MIN(IF(ISNUMBER(I741),I741,EOMONTH(요약!$B$3,0)),EOMONTH(요약!$B$3,0))-MAX(H741,요약!$B$3)+1),0)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IF(AND(ISNUMBER(AB741),ISNUMBER(AC741)),MAX(0,MIN(AC741,EOMONTH(요약!$B$3,0))-MAX(AB741,요약!$B$3)+1),0)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IF(TRIM(B742&amp;"")="","",IFERROR(INDEX(코드표!$K$2:$K$101,MATCH(TRIM(B742&amp;""),코드표!$J$2:$J$101,0)),"⚠"&amp;TRIM(B742&amp;"")))</f>
        <v/>
      </c>
      <c r="S742" s="10">
        <f>IF(TRIM(K742&amp;"")="","",IFERROR(INDEX(코드표!$K$2:$K$101,MATCH(TRIM(K742&amp;""),코드표!$J$2:$J$101,0)),"⚠"&amp;TRIM(K742&amp;"")))</f>
        <v/>
      </c>
      <c r="T742" s="10">
        <f>IF(TRIM(M742&amp;"")="","",IF(ISNUMBER(MATCH(TRIM(M742&amp;""),코드표!$C$2:$C$11,0)),TRIM(M742&amp;""),"⚠"&amp;TRIM(M742&amp;"")))</f>
        <v/>
      </c>
      <c r="U742" s="10">
        <f>IF(TRIM(L742&amp;"")="","",IFERROR(INDEX(코드표!$G$2:$G$101,MATCH(TRIM(L742&amp;""),코드표!$F$2:$F$101,0)),"⚠"&amp;TRIM(L742&amp;"")))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IF(ISNUMBER(H742),MAX(0,MIN(IF(ISNUMBER(I742),I742,EOMONTH(요약!$B$3,0)),EOMONTH(요약!$B$3,0))-MAX(H742,요약!$B$3)+1),0)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IF(AND(ISNUMBER(AB742),ISNUMBER(AC742)),MAX(0,MIN(AC742,EOMONTH(요약!$B$3,0))-MAX(AB742,요약!$B$3)+1),0)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IF(TRIM(B743&amp;"")="","",IFERROR(INDEX(코드표!$K$2:$K$101,MATCH(TRIM(B743&amp;""),코드표!$J$2:$J$101,0)),"⚠"&amp;TRIM(B743&amp;"")))</f>
        <v/>
      </c>
      <c r="S743" s="10">
        <f>IF(TRIM(K743&amp;"")="","",IFERROR(INDEX(코드표!$K$2:$K$101,MATCH(TRIM(K743&amp;""),코드표!$J$2:$J$101,0)),"⚠"&amp;TRIM(K743&amp;"")))</f>
        <v/>
      </c>
      <c r="T743" s="10">
        <f>IF(TRIM(M743&amp;"")="","",IF(ISNUMBER(MATCH(TRIM(M743&amp;""),코드표!$C$2:$C$11,0)),TRIM(M743&amp;""),"⚠"&amp;TRIM(M743&amp;"")))</f>
        <v/>
      </c>
      <c r="U743" s="10">
        <f>IF(TRIM(L743&amp;"")="","",IFERROR(INDEX(코드표!$G$2:$G$101,MATCH(TRIM(L743&amp;""),코드표!$F$2:$F$101,0)),"⚠"&amp;TRIM(L743&amp;"")))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IF(ISNUMBER(H743),MAX(0,MIN(IF(ISNUMBER(I743),I743,EOMONTH(요약!$B$3,0)),EOMONTH(요약!$B$3,0))-MAX(H743,요약!$B$3)+1),0)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IF(AND(ISNUMBER(AB743),ISNUMBER(AC743)),MAX(0,MIN(AC743,EOMONTH(요약!$B$3,0))-MAX(AB743,요약!$B$3)+1),0)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IF(TRIM(B744&amp;"")="","",IFERROR(INDEX(코드표!$K$2:$K$101,MATCH(TRIM(B744&amp;""),코드표!$J$2:$J$101,0)),"⚠"&amp;TRIM(B744&amp;"")))</f>
        <v/>
      </c>
      <c r="S744" s="10">
        <f>IF(TRIM(K744&amp;"")="","",IFERROR(INDEX(코드표!$K$2:$K$101,MATCH(TRIM(K744&amp;""),코드표!$J$2:$J$101,0)),"⚠"&amp;TRIM(K744&amp;"")))</f>
        <v/>
      </c>
      <c r="T744" s="10">
        <f>IF(TRIM(M744&amp;"")="","",IF(ISNUMBER(MATCH(TRIM(M744&amp;""),코드표!$C$2:$C$11,0)),TRIM(M744&amp;""),"⚠"&amp;TRIM(M744&amp;"")))</f>
        <v/>
      </c>
      <c r="U744" s="10">
        <f>IF(TRIM(L744&amp;"")="","",IFERROR(INDEX(코드표!$G$2:$G$101,MATCH(TRIM(L744&amp;""),코드표!$F$2:$F$101,0)),"⚠"&amp;TRIM(L744&amp;"")))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IF(ISNUMBER(H744),MAX(0,MIN(IF(ISNUMBER(I744),I744,EOMONTH(요약!$B$3,0)),EOMONTH(요약!$B$3,0))-MAX(H744,요약!$B$3)+1),0)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IF(AND(ISNUMBER(AB744),ISNUMBER(AC744)),MAX(0,MIN(AC744,EOMONTH(요약!$B$3,0))-MAX(AB744,요약!$B$3)+1),0)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IF(TRIM(B745&amp;"")="","",IFERROR(INDEX(코드표!$K$2:$K$101,MATCH(TRIM(B745&amp;""),코드표!$J$2:$J$101,0)),"⚠"&amp;TRIM(B745&amp;"")))</f>
        <v/>
      </c>
      <c r="S745" s="10">
        <f>IF(TRIM(K745&amp;"")="","",IFERROR(INDEX(코드표!$K$2:$K$101,MATCH(TRIM(K745&amp;""),코드표!$J$2:$J$101,0)),"⚠"&amp;TRIM(K745&amp;"")))</f>
        <v/>
      </c>
      <c r="T745" s="10">
        <f>IF(TRIM(M745&amp;"")="","",IF(ISNUMBER(MATCH(TRIM(M745&amp;""),코드표!$C$2:$C$11,0)),TRIM(M745&amp;""),"⚠"&amp;TRIM(M745&amp;"")))</f>
        <v/>
      </c>
      <c r="U745" s="10">
        <f>IF(TRIM(L745&amp;"")="","",IFERROR(INDEX(코드표!$G$2:$G$101,MATCH(TRIM(L745&amp;""),코드표!$F$2:$F$101,0)),"⚠"&amp;TRIM(L745&amp;"")))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IF(ISNUMBER(H745),MAX(0,MIN(IF(ISNUMBER(I745),I745,EOMONTH(요약!$B$3,0)),EOMONTH(요약!$B$3,0))-MAX(H745,요약!$B$3)+1),0)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IF(AND(ISNUMBER(AB745),ISNUMBER(AC745)),MAX(0,MIN(AC745,EOMONTH(요약!$B$3,0))-MAX(AB745,요약!$B$3)+1),0)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IF(TRIM(B746&amp;"")="","",IFERROR(INDEX(코드표!$K$2:$K$101,MATCH(TRIM(B746&amp;""),코드표!$J$2:$J$101,0)),"⚠"&amp;TRIM(B746&amp;"")))</f>
        <v/>
      </c>
      <c r="S746" s="10">
        <f>IF(TRIM(K746&amp;"")="","",IFERROR(INDEX(코드표!$K$2:$K$101,MATCH(TRIM(K746&amp;""),코드표!$J$2:$J$101,0)),"⚠"&amp;TRIM(K746&amp;"")))</f>
        <v/>
      </c>
      <c r="T746" s="10">
        <f>IF(TRIM(M746&amp;"")="","",IF(ISNUMBER(MATCH(TRIM(M746&amp;""),코드표!$C$2:$C$11,0)),TRIM(M746&amp;""),"⚠"&amp;TRIM(M746&amp;"")))</f>
        <v/>
      </c>
      <c r="U746" s="10">
        <f>IF(TRIM(L746&amp;"")="","",IFERROR(INDEX(코드표!$G$2:$G$101,MATCH(TRIM(L746&amp;""),코드표!$F$2:$F$101,0)),"⚠"&amp;TRIM(L746&amp;"")))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IF(ISNUMBER(H746),MAX(0,MIN(IF(ISNUMBER(I746),I746,EOMONTH(요약!$B$3,0)),EOMONTH(요약!$B$3,0))-MAX(H746,요약!$B$3)+1),0)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IF(AND(ISNUMBER(AB746),ISNUMBER(AC746)),MAX(0,MIN(AC746,EOMONTH(요약!$B$3,0))-MAX(AB746,요약!$B$3)+1),0)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IF(TRIM(B747&amp;"")="","",IFERROR(INDEX(코드표!$K$2:$K$101,MATCH(TRIM(B747&amp;""),코드표!$J$2:$J$101,0)),"⚠"&amp;TRIM(B747&amp;"")))</f>
        <v/>
      </c>
      <c r="S747" s="10">
        <f>IF(TRIM(K747&amp;"")="","",IFERROR(INDEX(코드표!$K$2:$K$101,MATCH(TRIM(K747&amp;""),코드표!$J$2:$J$101,0)),"⚠"&amp;TRIM(K747&amp;"")))</f>
        <v/>
      </c>
      <c r="T747" s="10">
        <f>IF(TRIM(M747&amp;"")="","",IF(ISNUMBER(MATCH(TRIM(M747&amp;""),코드표!$C$2:$C$11,0)),TRIM(M747&amp;""),"⚠"&amp;TRIM(M747&amp;"")))</f>
        <v/>
      </c>
      <c r="U747" s="10">
        <f>IF(TRIM(L747&amp;"")="","",IFERROR(INDEX(코드표!$G$2:$G$101,MATCH(TRIM(L747&amp;""),코드표!$F$2:$F$101,0)),"⚠"&amp;TRIM(L747&amp;"")))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IF(ISNUMBER(H747),MAX(0,MIN(IF(ISNUMBER(I747),I747,EOMONTH(요약!$B$3,0)),EOMONTH(요약!$B$3,0))-MAX(H747,요약!$B$3)+1),0)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IF(AND(ISNUMBER(AB747),ISNUMBER(AC747)),MAX(0,MIN(AC747,EOMONTH(요약!$B$3,0))-MAX(AB747,요약!$B$3)+1),0)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IF(TRIM(B748&amp;"")="","",IFERROR(INDEX(코드표!$K$2:$K$101,MATCH(TRIM(B748&amp;""),코드표!$J$2:$J$101,0)),"⚠"&amp;TRIM(B748&amp;"")))</f>
        <v/>
      </c>
      <c r="S748" s="10">
        <f>IF(TRIM(K748&amp;"")="","",IFERROR(INDEX(코드표!$K$2:$K$101,MATCH(TRIM(K748&amp;""),코드표!$J$2:$J$101,0)),"⚠"&amp;TRIM(K748&amp;"")))</f>
        <v/>
      </c>
      <c r="T748" s="10">
        <f>IF(TRIM(M748&amp;"")="","",IF(ISNUMBER(MATCH(TRIM(M748&amp;""),코드표!$C$2:$C$11,0)),TRIM(M748&amp;""),"⚠"&amp;TRIM(M748&amp;"")))</f>
        <v/>
      </c>
      <c r="U748" s="10">
        <f>IF(TRIM(L748&amp;"")="","",IFERROR(INDEX(코드표!$G$2:$G$101,MATCH(TRIM(L748&amp;""),코드표!$F$2:$F$101,0)),"⚠"&amp;TRIM(L748&amp;"")))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IF(ISNUMBER(H748),MAX(0,MIN(IF(ISNUMBER(I748),I748,EOMONTH(요약!$B$3,0)),EOMONTH(요약!$B$3,0))-MAX(H748,요약!$B$3)+1),0)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IF(AND(ISNUMBER(AB748),ISNUMBER(AC748)),MAX(0,MIN(AC748,EOMONTH(요약!$B$3,0))-MAX(AB748,요약!$B$3)+1),0)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IF(TRIM(B749&amp;"")="","",IFERROR(INDEX(코드표!$K$2:$K$101,MATCH(TRIM(B749&amp;""),코드표!$J$2:$J$101,0)),"⚠"&amp;TRIM(B749&amp;"")))</f>
        <v/>
      </c>
      <c r="S749" s="10">
        <f>IF(TRIM(K749&amp;"")="","",IFERROR(INDEX(코드표!$K$2:$K$101,MATCH(TRIM(K749&amp;""),코드표!$J$2:$J$101,0)),"⚠"&amp;TRIM(K749&amp;"")))</f>
        <v/>
      </c>
      <c r="T749" s="10">
        <f>IF(TRIM(M749&amp;"")="","",IF(ISNUMBER(MATCH(TRIM(M749&amp;""),코드표!$C$2:$C$11,0)),TRIM(M749&amp;""),"⚠"&amp;TRIM(M749&amp;"")))</f>
        <v/>
      </c>
      <c r="U749" s="10">
        <f>IF(TRIM(L749&amp;"")="","",IFERROR(INDEX(코드표!$G$2:$G$101,MATCH(TRIM(L749&amp;""),코드표!$F$2:$F$101,0)),"⚠"&amp;TRIM(L749&amp;"")))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IF(ISNUMBER(H749),MAX(0,MIN(IF(ISNUMBER(I749),I749,EOMONTH(요약!$B$3,0)),EOMONTH(요약!$B$3,0))-MAX(H749,요약!$B$3)+1),0)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IF(AND(ISNUMBER(AB749),ISNUMBER(AC749)),MAX(0,MIN(AC749,EOMONTH(요약!$B$3,0))-MAX(AB749,요약!$B$3)+1),0)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IF(TRIM(B750&amp;"")="","",IFERROR(INDEX(코드표!$K$2:$K$101,MATCH(TRIM(B750&amp;""),코드표!$J$2:$J$101,0)),"⚠"&amp;TRIM(B750&amp;"")))</f>
        <v/>
      </c>
      <c r="S750" s="10">
        <f>IF(TRIM(K750&amp;"")="","",IFERROR(INDEX(코드표!$K$2:$K$101,MATCH(TRIM(K750&amp;""),코드표!$J$2:$J$101,0)),"⚠"&amp;TRIM(K750&amp;"")))</f>
        <v/>
      </c>
      <c r="T750" s="10">
        <f>IF(TRIM(M750&amp;"")="","",IF(ISNUMBER(MATCH(TRIM(M750&amp;""),코드표!$C$2:$C$11,0)),TRIM(M750&amp;""),"⚠"&amp;TRIM(M750&amp;"")))</f>
        <v/>
      </c>
      <c r="U750" s="10">
        <f>IF(TRIM(L750&amp;"")="","",IFERROR(INDEX(코드표!$G$2:$G$101,MATCH(TRIM(L750&amp;""),코드표!$F$2:$F$101,0)),"⚠"&amp;TRIM(L750&amp;"")))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IF(ISNUMBER(H750),MAX(0,MIN(IF(ISNUMBER(I750),I750,EOMONTH(요약!$B$3,0)),EOMONTH(요약!$B$3,0))-MAX(H750,요약!$B$3)+1),0)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IF(AND(ISNUMBER(AB750),ISNUMBER(AC750)),MAX(0,MIN(AC750,EOMONTH(요약!$B$3,0))-MAX(AB750,요약!$B$3)+1),0)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IF(TRIM(B751&amp;"")="","",IFERROR(INDEX(코드표!$K$2:$K$101,MATCH(TRIM(B751&amp;""),코드표!$J$2:$J$101,0)),"⚠"&amp;TRIM(B751&amp;"")))</f>
        <v/>
      </c>
      <c r="S751" s="10">
        <f>IF(TRIM(K751&amp;"")="","",IFERROR(INDEX(코드표!$K$2:$K$101,MATCH(TRIM(K751&amp;""),코드표!$J$2:$J$101,0)),"⚠"&amp;TRIM(K751&amp;"")))</f>
        <v/>
      </c>
      <c r="T751" s="10">
        <f>IF(TRIM(M751&amp;"")="","",IF(ISNUMBER(MATCH(TRIM(M751&amp;""),코드표!$C$2:$C$11,0)),TRIM(M751&amp;""),"⚠"&amp;TRIM(M751&amp;"")))</f>
        <v/>
      </c>
      <c r="U751" s="10">
        <f>IF(TRIM(L751&amp;"")="","",IFERROR(INDEX(코드표!$G$2:$G$101,MATCH(TRIM(L751&amp;""),코드표!$F$2:$F$101,0)),"⚠"&amp;TRIM(L751&amp;"")))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IF(ISNUMBER(H751),MAX(0,MIN(IF(ISNUMBER(I751),I751,EOMONTH(요약!$B$3,0)),EOMONTH(요약!$B$3,0))-MAX(H751,요약!$B$3)+1),0)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IF(AND(ISNUMBER(AB751),ISNUMBER(AC751)),MAX(0,MIN(AC751,EOMONTH(요약!$B$3,0))-MAX(AB751,요약!$B$3)+1),0)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IF(TRIM(B752&amp;"")="","",IFERROR(INDEX(코드표!$K$2:$K$101,MATCH(TRIM(B752&amp;""),코드표!$J$2:$J$101,0)),"⚠"&amp;TRIM(B752&amp;"")))</f>
        <v/>
      </c>
      <c r="S752" s="10">
        <f>IF(TRIM(K752&amp;"")="","",IFERROR(INDEX(코드표!$K$2:$K$101,MATCH(TRIM(K752&amp;""),코드표!$J$2:$J$101,0)),"⚠"&amp;TRIM(K752&amp;"")))</f>
        <v/>
      </c>
      <c r="T752" s="10">
        <f>IF(TRIM(M752&amp;"")="","",IF(ISNUMBER(MATCH(TRIM(M752&amp;""),코드표!$C$2:$C$11,0)),TRIM(M752&amp;""),"⚠"&amp;TRIM(M752&amp;"")))</f>
        <v/>
      </c>
      <c r="U752" s="10">
        <f>IF(TRIM(L752&amp;"")="","",IFERROR(INDEX(코드표!$G$2:$G$101,MATCH(TRIM(L752&amp;""),코드표!$F$2:$F$101,0)),"⚠"&amp;TRIM(L752&amp;"")))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IF(ISNUMBER(H752),MAX(0,MIN(IF(ISNUMBER(I752),I752,EOMONTH(요약!$B$3,0)),EOMONTH(요약!$B$3,0))-MAX(H752,요약!$B$3)+1),0)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IF(AND(ISNUMBER(AB752),ISNUMBER(AC752)),MAX(0,MIN(AC752,EOMONTH(요약!$B$3,0))-MAX(AB752,요약!$B$3)+1),0)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IF(TRIM(B753&amp;"")="","",IFERROR(INDEX(코드표!$K$2:$K$101,MATCH(TRIM(B753&amp;""),코드표!$J$2:$J$101,0)),"⚠"&amp;TRIM(B753&amp;"")))</f>
        <v/>
      </c>
      <c r="S753" s="10">
        <f>IF(TRIM(K753&amp;"")="","",IFERROR(INDEX(코드표!$K$2:$K$101,MATCH(TRIM(K753&amp;""),코드표!$J$2:$J$101,0)),"⚠"&amp;TRIM(K753&amp;"")))</f>
        <v/>
      </c>
      <c r="T753" s="10">
        <f>IF(TRIM(M753&amp;"")="","",IF(ISNUMBER(MATCH(TRIM(M753&amp;""),코드표!$C$2:$C$11,0)),TRIM(M753&amp;""),"⚠"&amp;TRIM(M753&amp;"")))</f>
        <v/>
      </c>
      <c r="U753" s="10">
        <f>IF(TRIM(L753&amp;"")="","",IFERROR(INDEX(코드표!$G$2:$G$101,MATCH(TRIM(L753&amp;""),코드표!$F$2:$F$101,0)),"⚠"&amp;TRIM(L753&amp;"")))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IF(ISNUMBER(H753),MAX(0,MIN(IF(ISNUMBER(I753),I753,EOMONTH(요약!$B$3,0)),EOMONTH(요약!$B$3,0))-MAX(H753,요약!$B$3)+1),0)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IF(AND(ISNUMBER(AB753),ISNUMBER(AC753)),MAX(0,MIN(AC753,EOMONTH(요약!$B$3,0))-MAX(AB753,요약!$B$3)+1),0)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IF(TRIM(B754&amp;"")="","",IFERROR(INDEX(코드표!$K$2:$K$101,MATCH(TRIM(B754&amp;""),코드표!$J$2:$J$101,0)),"⚠"&amp;TRIM(B754&amp;"")))</f>
        <v/>
      </c>
      <c r="S754" s="10">
        <f>IF(TRIM(K754&amp;"")="","",IFERROR(INDEX(코드표!$K$2:$K$101,MATCH(TRIM(K754&amp;""),코드표!$J$2:$J$101,0)),"⚠"&amp;TRIM(K754&amp;"")))</f>
        <v/>
      </c>
      <c r="T754" s="10">
        <f>IF(TRIM(M754&amp;"")="","",IF(ISNUMBER(MATCH(TRIM(M754&amp;""),코드표!$C$2:$C$11,0)),TRIM(M754&amp;""),"⚠"&amp;TRIM(M754&amp;"")))</f>
        <v/>
      </c>
      <c r="U754" s="10">
        <f>IF(TRIM(L754&amp;"")="","",IFERROR(INDEX(코드표!$G$2:$G$101,MATCH(TRIM(L754&amp;""),코드표!$F$2:$F$101,0)),"⚠"&amp;TRIM(L754&amp;"")))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IF(ISNUMBER(H754),MAX(0,MIN(IF(ISNUMBER(I754),I754,EOMONTH(요약!$B$3,0)),EOMONTH(요약!$B$3,0))-MAX(H754,요약!$B$3)+1),0)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IF(AND(ISNUMBER(AB754),ISNUMBER(AC754)),MAX(0,MIN(AC754,EOMONTH(요약!$B$3,0))-MAX(AB754,요약!$B$3)+1),0)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IF(TRIM(B755&amp;"")="","",IFERROR(INDEX(코드표!$K$2:$K$101,MATCH(TRIM(B755&amp;""),코드표!$J$2:$J$101,0)),"⚠"&amp;TRIM(B755&amp;"")))</f>
        <v/>
      </c>
      <c r="S755" s="10">
        <f>IF(TRIM(K755&amp;"")="","",IFERROR(INDEX(코드표!$K$2:$K$101,MATCH(TRIM(K755&amp;""),코드표!$J$2:$J$101,0)),"⚠"&amp;TRIM(K755&amp;"")))</f>
        <v/>
      </c>
      <c r="T755" s="10">
        <f>IF(TRIM(M755&amp;"")="","",IF(ISNUMBER(MATCH(TRIM(M755&amp;""),코드표!$C$2:$C$11,0)),TRIM(M755&amp;""),"⚠"&amp;TRIM(M755&amp;"")))</f>
        <v/>
      </c>
      <c r="U755" s="10">
        <f>IF(TRIM(L755&amp;"")="","",IFERROR(INDEX(코드표!$G$2:$G$101,MATCH(TRIM(L755&amp;""),코드표!$F$2:$F$101,0)),"⚠"&amp;TRIM(L755&amp;"")))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IF(ISNUMBER(H755),MAX(0,MIN(IF(ISNUMBER(I755),I755,EOMONTH(요약!$B$3,0)),EOMONTH(요약!$B$3,0))-MAX(H755,요약!$B$3)+1),0)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IF(AND(ISNUMBER(AB755),ISNUMBER(AC755)),MAX(0,MIN(AC755,EOMONTH(요약!$B$3,0))-MAX(AB755,요약!$B$3)+1),0)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IF(TRIM(B756&amp;"")="","",IFERROR(INDEX(코드표!$K$2:$K$101,MATCH(TRIM(B756&amp;""),코드표!$J$2:$J$101,0)),"⚠"&amp;TRIM(B756&amp;"")))</f>
        <v/>
      </c>
      <c r="S756" s="10">
        <f>IF(TRIM(K756&amp;"")="","",IFERROR(INDEX(코드표!$K$2:$K$101,MATCH(TRIM(K756&amp;""),코드표!$J$2:$J$101,0)),"⚠"&amp;TRIM(K756&amp;"")))</f>
        <v/>
      </c>
      <c r="T756" s="10">
        <f>IF(TRIM(M756&amp;"")="","",IF(ISNUMBER(MATCH(TRIM(M756&amp;""),코드표!$C$2:$C$11,0)),TRIM(M756&amp;""),"⚠"&amp;TRIM(M756&amp;"")))</f>
        <v/>
      </c>
      <c r="U756" s="10">
        <f>IF(TRIM(L756&amp;"")="","",IFERROR(INDEX(코드표!$G$2:$G$101,MATCH(TRIM(L756&amp;""),코드표!$F$2:$F$101,0)),"⚠"&amp;TRIM(L756&amp;"")))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IF(ISNUMBER(H756),MAX(0,MIN(IF(ISNUMBER(I756),I756,EOMONTH(요약!$B$3,0)),EOMONTH(요약!$B$3,0))-MAX(H756,요약!$B$3)+1),0)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IF(AND(ISNUMBER(AB756),ISNUMBER(AC756)),MAX(0,MIN(AC756,EOMONTH(요약!$B$3,0))-MAX(AB756,요약!$B$3)+1),0)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IF(TRIM(B757&amp;"")="","",IFERROR(INDEX(코드표!$K$2:$K$101,MATCH(TRIM(B757&amp;""),코드표!$J$2:$J$101,0)),"⚠"&amp;TRIM(B757&amp;"")))</f>
        <v/>
      </c>
      <c r="S757" s="10">
        <f>IF(TRIM(K757&amp;"")="","",IFERROR(INDEX(코드표!$K$2:$K$101,MATCH(TRIM(K757&amp;""),코드표!$J$2:$J$101,0)),"⚠"&amp;TRIM(K757&amp;"")))</f>
        <v/>
      </c>
      <c r="T757" s="10">
        <f>IF(TRIM(M757&amp;"")="","",IF(ISNUMBER(MATCH(TRIM(M757&amp;""),코드표!$C$2:$C$11,0)),TRIM(M757&amp;""),"⚠"&amp;TRIM(M757&amp;"")))</f>
        <v/>
      </c>
      <c r="U757" s="10">
        <f>IF(TRIM(L757&amp;"")="","",IFERROR(INDEX(코드표!$G$2:$G$101,MATCH(TRIM(L757&amp;""),코드표!$F$2:$F$101,0)),"⚠"&amp;TRIM(L757&amp;"")))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IF(ISNUMBER(H757),MAX(0,MIN(IF(ISNUMBER(I757),I757,EOMONTH(요약!$B$3,0)),EOMONTH(요약!$B$3,0))-MAX(H757,요약!$B$3)+1),0)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IF(AND(ISNUMBER(AB757),ISNUMBER(AC757)),MAX(0,MIN(AC757,EOMONTH(요약!$B$3,0))-MAX(AB757,요약!$B$3)+1),0)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IF(TRIM(B758&amp;"")="","",IFERROR(INDEX(코드표!$K$2:$K$101,MATCH(TRIM(B758&amp;""),코드표!$J$2:$J$101,0)),"⚠"&amp;TRIM(B758&amp;"")))</f>
        <v/>
      </c>
      <c r="S758" s="10">
        <f>IF(TRIM(K758&amp;"")="","",IFERROR(INDEX(코드표!$K$2:$K$101,MATCH(TRIM(K758&amp;""),코드표!$J$2:$J$101,0)),"⚠"&amp;TRIM(K758&amp;"")))</f>
        <v/>
      </c>
      <c r="T758" s="10">
        <f>IF(TRIM(M758&amp;"")="","",IF(ISNUMBER(MATCH(TRIM(M758&amp;""),코드표!$C$2:$C$11,0)),TRIM(M758&amp;""),"⚠"&amp;TRIM(M758&amp;"")))</f>
        <v/>
      </c>
      <c r="U758" s="10">
        <f>IF(TRIM(L758&amp;"")="","",IFERROR(INDEX(코드표!$G$2:$G$101,MATCH(TRIM(L758&amp;""),코드표!$F$2:$F$101,0)),"⚠"&amp;TRIM(L758&amp;"")))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IF(ISNUMBER(H758),MAX(0,MIN(IF(ISNUMBER(I758),I758,EOMONTH(요약!$B$3,0)),EOMONTH(요약!$B$3,0))-MAX(H758,요약!$B$3)+1),0)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IF(AND(ISNUMBER(AB758),ISNUMBER(AC758)),MAX(0,MIN(AC758,EOMONTH(요약!$B$3,0))-MAX(AB758,요약!$B$3)+1),0)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IF(TRIM(B759&amp;"")="","",IFERROR(INDEX(코드표!$K$2:$K$101,MATCH(TRIM(B759&amp;""),코드표!$J$2:$J$101,0)),"⚠"&amp;TRIM(B759&amp;"")))</f>
        <v/>
      </c>
      <c r="S759" s="10">
        <f>IF(TRIM(K759&amp;"")="","",IFERROR(INDEX(코드표!$K$2:$K$101,MATCH(TRIM(K759&amp;""),코드표!$J$2:$J$101,0)),"⚠"&amp;TRIM(K759&amp;"")))</f>
        <v/>
      </c>
      <c r="T759" s="10">
        <f>IF(TRIM(M759&amp;"")="","",IF(ISNUMBER(MATCH(TRIM(M759&amp;""),코드표!$C$2:$C$11,0)),TRIM(M759&amp;""),"⚠"&amp;TRIM(M759&amp;"")))</f>
        <v/>
      </c>
      <c r="U759" s="10">
        <f>IF(TRIM(L759&amp;"")="","",IFERROR(INDEX(코드표!$G$2:$G$101,MATCH(TRIM(L759&amp;""),코드표!$F$2:$F$101,0)),"⚠"&amp;TRIM(L759&amp;"")))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IF(ISNUMBER(H759),MAX(0,MIN(IF(ISNUMBER(I759),I759,EOMONTH(요약!$B$3,0)),EOMONTH(요약!$B$3,0))-MAX(H759,요약!$B$3)+1),0)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IF(AND(ISNUMBER(AB759),ISNUMBER(AC759)),MAX(0,MIN(AC759,EOMONTH(요약!$B$3,0))-MAX(AB759,요약!$B$3)+1),0)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IF(TRIM(B760&amp;"")="","",IFERROR(INDEX(코드표!$K$2:$K$101,MATCH(TRIM(B760&amp;""),코드표!$J$2:$J$101,0)),"⚠"&amp;TRIM(B760&amp;"")))</f>
        <v/>
      </c>
      <c r="S760" s="10">
        <f>IF(TRIM(K760&amp;"")="","",IFERROR(INDEX(코드표!$K$2:$K$101,MATCH(TRIM(K760&amp;""),코드표!$J$2:$J$101,0)),"⚠"&amp;TRIM(K760&amp;"")))</f>
        <v/>
      </c>
      <c r="T760" s="10">
        <f>IF(TRIM(M760&amp;"")="","",IF(ISNUMBER(MATCH(TRIM(M760&amp;""),코드표!$C$2:$C$11,0)),TRIM(M760&amp;""),"⚠"&amp;TRIM(M760&amp;"")))</f>
        <v/>
      </c>
      <c r="U760" s="10">
        <f>IF(TRIM(L760&amp;"")="","",IFERROR(INDEX(코드표!$G$2:$G$101,MATCH(TRIM(L760&amp;""),코드표!$F$2:$F$101,0)),"⚠"&amp;TRIM(L760&amp;"")))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IF(ISNUMBER(H760),MAX(0,MIN(IF(ISNUMBER(I760),I760,EOMONTH(요약!$B$3,0)),EOMONTH(요약!$B$3,0))-MAX(H760,요약!$B$3)+1),0)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IF(AND(ISNUMBER(AB760),ISNUMBER(AC760)),MAX(0,MIN(AC760,EOMONTH(요약!$B$3,0))-MAX(AB760,요약!$B$3)+1),0)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IF(TRIM(B761&amp;"")="","",IFERROR(INDEX(코드표!$K$2:$K$101,MATCH(TRIM(B761&amp;""),코드표!$J$2:$J$101,0)),"⚠"&amp;TRIM(B761&amp;"")))</f>
        <v/>
      </c>
      <c r="S761" s="10">
        <f>IF(TRIM(K761&amp;"")="","",IFERROR(INDEX(코드표!$K$2:$K$101,MATCH(TRIM(K761&amp;""),코드표!$J$2:$J$101,0)),"⚠"&amp;TRIM(K761&amp;"")))</f>
        <v/>
      </c>
      <c r="T761" s="10">
        <f>IF(TRIM(M761&amp;"")="","",IF(ISNUMBER(MATCH(TRIM(M761&amp;""),코드표!$C$2:$C$11,0)),TRIM(M761&amp;""),"⚠"&amp;TRIM(M761&amp;"")))</f>
        <v/>
      </c>
      <c r="U761" s="10">
        <f>IF(TRIM(L761&amp;"")="","",IFERROR(INDEX(코드표!$G$2:$G$101,MATCH(TRIM(L761&amp;""),코드표!$F$2:$F$101,0)),"⚠"&amp;TRIM(L761&amp;"")))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IF(ISNUMBER(H761),MAX(0,MIN(IF(ISNUMBER(I761),I761,EOMONTH(요약!$B$3,0)),EOMONTH(요약!$B$3,0))-MAX(H761,요약!$B$3)+1),0)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IF(AND(ISNUMBER(AB761),ISNUMBER(AC761)),MAX(0,MIN(AC761,EOMONTH(요약!$B$3,0))-MAX(AB761,요약!$B$3)+1),0)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IF(TRIM(B762&amp;"")="","",IFERROR(INDEX(코드표!$K$2:$K$101,MATCH(TRIM(B762&amp;""),코드표!$J$2:$J$101,0)),"⚠"&amp;TRIM(B762&amp;"")))</f>
        <v/>
      </c>
      <c r="S762" s="10">
        <f>IF(TRIM(K762&amp;"")="","",IFERROR(INDEX(코드표!$K$2:$K$101,MATCH(TRIM(K762&amp;""),코드표!$J$2:$J$101,0)),"⚠"&amp;TRIM(K762&amp;"")))</f>
        <v/>
      </c>
      <c r="T762" s="10">
        <f>IF(TRIM(M762&amp;"")="","",IF(ISNUMBER(MATCH(TRIM(M762&amp;""),코드표!$C$2:$C$11,0)),TRIM(M762&amp;""),"⚠"&amp;TRIM(M762&amp;"")))</f>
        <v/>
      </c>
      <c r="U762" s="10">
        <f>IF(TRIM(L762&amp;"")="","",IFERROR(INDEX(코드표!$G$2:$G$101,MATCH(TRIM(L762&amp;""),코드표!$F$2:$F$101,0)),"⚠"&amp;TRIM(L762&amp;"")))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IF(ISNUMBER(H762),MAX(0,MIN(IF(ISNUMBER(I762),I762,EOMONTH(요약!$B$3,0)),EOMONTH(요약!$B$3,0))-MAX(H762,요약!$B$3)+1),0)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IF(AND(ISNUMBER(AB762),ISNUMBER(AC762)),MAX(0,MIN(AC762,EOMONTH(요약!$B$3,0))-MAX(AB762,요약!$B$3)+1),0)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IF(TRIM(B763&amp;"")="","",IFERROR(INDEX(코드표!$K$2:$K$101,MATCH(TRIM(B763&amp;""),코드표!$J$2:$J$101,0)),"⚠"&amp;TRIM(B763&amp;"")))</f>
        <v/>
      </c>
      <c r="S763" s="10">
        <f>IF(TRIM(K763&amp;"")="","",IFERROR(INDEX(코드표!$K$2:$K$101,MATCH(TRIM(K763&amp;""),코드표!$J$2:$J$101,0)),"⚠"&amp;TRIM(K763&amp;"")))</f>
        <v/>
      </c>
      <c r="T763" s="10">
        <f>IF(TRIM(M763&amp;"")="","",IF(ISNUMBER(MATCH(TRIM(M763&amp;""),코드표!$C$2:$C$11,0)),TRIM(M763&amp;""),"⚠"&amp;TRIM(M763&amp;"")))</f>
        <v/>
      </c>
      <c r="U763" s="10">
        <f>IF(TRIM(L763&amp;"")="","",IFERROR(INDEX(코드표!$G$2:$G$101,MATCH(TRIM(L763&amp;""),코드표!$F$2:$F$101,0)),"⚠"&amp;TRIM(L763&amp;"")))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IF(ISNUMBER(H763),MAX(0,MIN(IF(ISNUMBER(I763),I763,EOMONTH(요약!$B$3,0)),EOMONTH(요약!$B$3,0))-MAX(H763,요약!$B$3)+1),0)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IF(AND(ISNUMBER(AB763),ISNUMBER(AC763)),MAX(0,MIN(AC763,EOMONTH(요약!$B$3,0))-MAX(AB763,요약!$B$3)+1),0)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IF(TRIM(B764&amp;"")="","",IFERROR(INDEX(코드표!$K$2:$K$101,MATCH(TRIM(B764&amp;""),코드표!$J$2:$J$101,0)),"⚠"&amp;TRIM(B764&amp;"")))</f>
        <v/>
      </c>
      <c r="S764" s="10">
        <f>IF(TRIM(K764&amp;"")="","",IFERROR(INDEX(코드표!$K$2:$K$101,MATCH(TRIM(K764&amp;""),코드표!$J$2:$J$101,0)),"⚠"&amp;TRIM(K764&amp;"")))</f>
        <v/>
      </c>
      <c r="T764" s="10">
        <f>IF(TRIM(M764&amp;"")="","",IF(ISNUMBER(MATCH(TRIM(M764&amp;""),코드표!$C$2:$C$11,0)),TRIM(M764&amp;""),"⚠"&amp;TRIM(M764&amp;"")))</f>
        <v/>
      </c>
      <c r="U764" s="10">
        <f>IF(TRIM(L764&amp;"")="","",IFERROR(INDEX(코드표!$G$2:$G$101,MATCH(TRIM(L764&amp;""),코드표!$F$2:$F$101,0)),"⚠"&amp;TRIM(L764&amp;"")))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IF(ISNUMBER(H764),MAX(0,MIN(IF(ISNUMBER(I764),I764,EOMONTH(요약!$B$3,0)),EOMONTH(요약!$B$3,0))-MAX(H764,요약!$B$3)+1),0)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IF(AND(ISNUMBER(AB764),ISNUMBER(AC764)),MAX(0,MIN(AC764,EOMONTH(요약!$B$3,0))-MAX(AB764,요약!$B$3)+1),0)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IF(TRIM(B765&amp;"")="","",IFERROR(INDEX(코드표!$K$2:$K$101,MATCH(TRIM(B765&amp;""),코드표!$J$2:$J$101,0)),"⚠"&amp;TRIM(B765&amp;"")))</f>
        <v/>
      </c>
      <c r="S765" s="10">
        <f>IF(TRIM(K765&amp;"")="","",IFERROR(INDEX(코드표!$K$2:$K$101,MATCH(TRIM(K765&amp;""),코드표!$J$2:$J$101,0)),"⚠"&amp;TRIM(K765&amp;"")))</f>
        <v/>
      </c>
      <c r="T765" s="10">
        <f>IF(TRIM(M765&amp;"")="","",IF(ISNUMBER(MATCH(TRIM(M765&amp;""),코드표!$C$2:$C$11,0)),TRIM(M765&amp;""),"⚠"&amp;TRIM(M765&amp;"")))</f>
        <v/>
      </c>
      <c r="U765" s="10">
        <f>IF(TRIM(L765&amp;"")="","",IFERROR(INDEX(코드표!$G$2:$G$101,MATCH(TRIM(L765&amp;""),코드표!$F$2:$F$101,0)),"⚠"&amp;TRIM(L765&amp;"")))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IF(ISNUMBER(H765),MAX(0,MIN(IF(ISNUMBER(I765),I765,EOMONTH(요약!$B$3,0)),EOMONTH(요약!$B$3,0))-MAX(H765,요약!$B$3)+1),0)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IF(AND(ISNUMBER(AB765),ISNUMBER(AC765)),MAX(0,MIN(AC765,EOMONTH(요약!$B$3,0))-MAX(AB765,요약!$B$3)+1),0)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IF(TRIM(B766&amp;"")="","",IFERROR(INDEX(코드표!$K$2:$K$101,MATCH(TRIM(B766&amp;""),코드표!$J$2:$J$101,0)),"⚠"&amp;TRIM(B766&amp;"")))</f>
        <v/>
      </c>
      <c r="S766" s="10">
        <f>IF(TRIM(K766&amp;"")="","",IFERROR(INDEX(코드표!$K$2:$K$101,MATCH(TRIM(K766&amp;""),코드표!$J$2:$J$101,0)),"⚠"&amp;TRIM(K766&amp;"")))</f>
        <v/>
      </c>
      <c r="T766" s="10">
        <f>IF(TRIM(M766&amp;"")="","",IF(ISNUMBER(MATCH(TRIM(M766&amp;""),코드표!$C$2:$C$11,0)),TRIM(M766&amp;""),"⚠"&amp;TRIM(M766&amp;"")))</f>
        <v/>
      </c>
      <c r="U766" s="10">
        <f>IF(TRIM(L766&amp;"")="","",IFERROR(INDEX(코드표!$G$2:$G$101,MATCH(TRIM(L766&amp;""),코드표!$F$2:$F$101,0)),"⚠"&amp;TRIM(L766&amp;"")))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IF(ISNUMBER(H766),MAX(0,MIN(IF(ISNUMBER(I766),I766,EOMONTH(요약!$B$3,0)),EOMONTH(요약!$B$3,0))-MAX(H766,요약!$B$3)+1),0)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IF(AND(ISNUMBER(AB766),ISNUMBER(AC766)),MAX(0,MIN(AC766,EOMONTH(요약!$B$3,0))-MAX(AB766,요약!$B$3)+1),0)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IF(TRIM(B767&amp;"")="","",IFERROR(INDEX(코드표!$K$2:$K$101,MATCH(TRIM(B767&amp;""),코드표!$J$2:$J$101,0)),"⚠"&amp;TRIM(B767&amp;"")))</f>
        <v/>
      </c>
      <c r="S767" s="10">
        <f>IF(TRIM(K767&amp;"")="","",IFERROR(INDEX(코드표!$K$2:$K$101,MATCH(TRIM(K767&amp;""),코드표!$J$2:$J$101,0)),"⚠"&amp;TRIM(K767&amp;"")))</f>
        <v/>
      </c>
      <c r="T767" s="10">
        <f>IF(TRIM(M767&amp;"")="","",IF(ISNUMBER(MATCH(TRIM(M767&amp;""),코드표!$C$2:$C$11,0)),TRIM(M767&amp;""),"⚠"&amp;TRIM(M767&amp;"")))</f>
        <v/>
      </c>
      <c r="U767" s="10">
        <f>IF(TRIM(L767&amp;"")="","",IFERROR(INDEX(코드표!$G$2:$G$101,MATCH(TRIM(L767&amp;""),코드표!$F$2:$F$101,0)),"⚠"&amp;TRIM(L767&amp;"")))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IF(ISNUMBER(H767),MAX(0,MIN(IF(ISNUMBER(I767),I767,EOMONTH(요약!$B$3,0)),EOMONTH(요약!$B$3,0))-MAX(H767,요약!$B$3)+1),0)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IF(AND(ISNUMBER(AB767),ISNUMBER(AC767)),MAX(0,MIN(AC767,EOMONTH(요약!$B$3,0))-MAX(AB767,요약!$B$3)+1),0)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IF(TRIM(B768&amp;"")="","",IFERROR(INDEX(코드표!$K$2:$K$101,MATCH(TRIM(B768&amp;""),코드표!$J$2:$J$101,0)),"⚠"&amp;TRIM(B768&amp;"")))</f>
        <v/>
      </c>
      <c r="S768" s="10">
        <f>IF(TRIM(K768&amp;"")="","",IFERROR(INDEX(코드표!$K$2:$K$101,MATCH(TRIM(K768&amp;""),코드표!$J$2:$J$101,0)),"⚠"&amp;TRIM(K768&amp;"")))</f>
        <v/>
      </c>
      <c r="T768" s="10">
        <f>IF(TRIM(M768&amp;"")="","",IF(ISNUMBER(MATCH(TRIM(M768&amp;""),코드표!$C$2:$C$11,0)),TRIM(M768&amp;""),"⚠"&amp;TRIM(M768&amp;"")))</f>
        <v/>
      </c>
      <c r="U768" s="10">
        <f>IF(TRIM(L768&amp;"")="","",IFERROR(INDEX(코드표!$G$2:$G$101,MATCH(TRIM(L768&amp;""),코드표!$F$2:$F$101,0)),"⚠"&amp;TRIM(L768&amp;"")))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IF(ISNUMBER(H768),MAX(0,MIN(IF(ISNUMBER(I768),I768,EOMONTH(요약!$B$3,0)),EOMONTH(요약!$B$3,0))-MAX(H768,요약!$B$3)+1),0)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IF(AND(ISNUMBER(AB768),ISNUMBER(AC768)),MAX(0,MIN(AC768,EOMONTH(요약!$B$3,0))-MAX(AB768,요약!$B$3)+1),0)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IF(TRIM(B769&amp;"")="","",IFERROR(INDEX(코드표!$K$2:$K$101,MATCH(TRIM(B769&amp;""),코드표!$J$2:$J$101,0)),"⚠"&amp;TRIM(B769&amp;"")))</f>
        <v/>
      </c>
      <c r="S769" s="10">
        <f>IF(TRIM(K769&amp;"")="","",IFERROR(INDEX(코드표!$K$2:$K$101,MATCH(TRIM(K769&amp;""),코드표!$J$2:$J$101,0)),"⚠"&amp;TRIM(K769&amp;"")))</f>
        <v/>
      </c>
      <c r="T769" s="10">
        <f>IF(TRIM(M769&amp;"")="","",IF(ISNUMBER(MATCH(TRIM(M769&amp;""),코드표!$C$2:$C$11,0)),TRIM(M769&amp;""),"⚠"&amp;TRIM(M769&amp;"")))</f>
        <v/>
      </c>
      <c r="U769" s="10">
        <f>IF(TRIM(L769&amp;"")="","",IFERROR(INDEX(코드표!$G$2:$G$101,MATCH(TRIM(L769&amp;""),코드표!$F$2:$F$101,0)),"⚠"&amp;TRIM(L769&amp;"")))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IF(ISNUMBER(H769),MAX(0,MIN(IF(ISNUMBER(I769),I769,EOMONTH(요약!$B$3,0)),EOMONTH(요약!$B$3,0))-MAX(H769,요약!$B$3)+1),0)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IF(AND(ISNUMBER(AB769),ISNUMBER(AC769)),MAX(0,MIN(AC769,EOMONTH(요약!$B$3,0))-MAX(AB769,요약!$B$3)+1),0)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IF(TRIM(B770&amp;"")="","",IFERROR(INDEX(코드표!$K$2:$K$101,MATCH(TRIM(B770&amp;""),코드표!$J$2:$J$101,0)),"⚠"&amp;TRIM(B770&amp;"")))</f>
        <v/>
      </c>
      <c r="S770" s="10">
        <f>IF(TRIM(K770&amp;"")="","",IFERROR(INDEX(코드표!$K$2:$K$101,MATCH(TRIM(K770&amp;""),코드표!$J$2:$J$101,0)),"⚠"&amp;TRIM(K770&amp;"")))</f>
        <v/>
      </c>
      <c r="T770" s="10">
        <f>IF(TRIM(M770&amp;"")="","",IF(ISNUMBER(MATCH(TRIM(M770&amp;""),코드표!$C$2:$C$11,0)),TRIM(M770&amp;""),"⚠"&amp;TRIM(M770&amp;"")))</f>
        <v/>
      </c>
      <c r="U770" s="10">
        <f>IF(TRIM(L770&amp;"")="","",IFERROR(INDEX(코드표!$G$2:$G$101,MATCH(TRIM(L770&amp;""),코드표!$F$2:$F$101,0)),"⚠"&amp;TRIM(L770&amp;"")))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IF(ISNUMBER(H770),MAX(0,MIN(IF(ISNUMBER(I770),I770,EOMONTH(요약!$B$3,0)),EOMONTH(요약!$B$3,0))-MAX(H770,요약!$B$3)+1),0)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IF(AND(ISNUMBER(AB770),ISNUMBER(AC770)),MAX(0,MIN(AC770,EOMONTH(요약!$B$3,0))-MAX(AB770,요약!$B$3)+1),0)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IF(TRIM(B771&amp;"")="","",IFERROR(INDEX(코드표!$K$2:$K$101,MATCH(TRIM(B771&amp;""),코드표!$J$2:$J$101,0)),"⚠"&amp;TRIM(B771&amp;"")))</f>
        <v/>
      </c>
      <c r="S771" s="10">
        <f>IF(TRIM(K771&amp;"")="","",IFERROR(INDEX(코드표!$K$2:$K$101,MATCH(TRIM(K771&amp;""),코드표!$J$2:$J$101,0)),"⚠"&amp;TRIM(K771&amp;"")))</f>
        <v/>
      </c>
      <c r="T771" s="10">
        <f>IF(TRIM(M771&amp;"")="","",IF(ISNUMBER(MATCH(TRIM(M771&amp;""),코드표!$C$2:$C$11,0)),TRIM(M771&amp;""),"⚠"&amp;TRIM(M771&amp;"")))</f>
        <v/>
      </c>
      <c r="U771" s="10">
        <f>IF(TRIM(L771&amp;"")="","",IFERROR(INDEX(코드표!$G$2:$G$101,MATCH(TRIM(L771&amp;""),코드표!$F$2:$F$101,0)),"⚠"&amp;TRIM(L771&amp;"")))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IF(ISNUMBER(H771),MAX(0,MIN(IF(ISNUMBER(I771),I771,EOMONTH(요약!$B$3,0)),EOMONTH(요약!$B$3,0))-MAX(H771,요약!$B$3)+1),0)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IF(AND(ISNUMBER(AB771),ISNUMBER(AC771)),MAX(0,MIN(AC771,EOMONTH(요약!$B$3,0))-MAX(AB771,요약!$B$3)+1),0)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IF(TRIM(B772&amp;"")="","",IFERROR(INDEX(코드표!$K$2:$K$101,MATCH(TRIM(B772&amp;""),코드표!$J$2:$J$101,0)),"⚠"&amp;TRIM(B772&amp;"")))</f>
        <v/>
      </c>
      <c r="S772" s="10">
        <f>IF(TRIM(K772&amp;"")="","",IFERROR(INDEX(코드표!$K$2:$K$101,MATCH(TRIM(K772&amp;""),코드표!$J$2:$J$101,0)),"⚠"&amp;TRIM(K772&amp;"")))</f>
        <v/>
      </c>
      <c r="T772" s="10">
        <f>IF(TRIM(M772&amp;"")="","",IF(ISNUMBER(MATCH(TRIM(M772&amp;""),코드표!$C$2:$C$11,0)),TRIM(M772&amp;""),"⚠"&amp;TRIM(M772&amp;"")))</f>
        <v/>
      </c>
      <c r="U772" s="10">
        <f>IF(TRIM(L772&amp;"")="","",IFERROR(INDEX(코드표!$G$2:$G$101,MATCH(TRIM(L772&amp;""),코드표!$F$2:$F$101,0)),"⚠"&amp;TRIM(L772&amp;"")))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IF(ISNUMBER(H772),MAX(0,MIN(IF(ISNUMBER(I772),I772,EOMONTH(요약!$B$3,0)),EOMONTH(요약!$B$3,0))-MAX(H772,요약!$B$3)+1),0)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IF(AND(ISNUMBER(AB772),ISNUMBER(AC772)),MAX(0,MIN(AC772,EOMONTH(요약!$B$3,0))-MAX(AB772,요약!$B$3)+1),0)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IF(TRIM(B773&amp;"")="","",IFERROR(INDEX(코드표!$K$2:$K$101,MATCH(TRIM(B773&amp;""),코드표!$J$2:$J$101,0)),"⚠"&amp;TRIM(B773&amp;"")))</f>
        <v/>
      </c>
      <c r="S773" s="10">
        <f>IF(TRIM(K773&amp;"")="","",IFERROR(INDEX(코드표!$K$2:$K$101,MATCH(TRIM(K773&amp;""),코드표!$J$2:$J$101,0)),"⚠"&amp;TRIM(K773&amp;"")))</f>
        <v/>
      </c>
      <c r="T773" s="10">
        <f>IF(TRIM(M773&amp;"")="","",IF(ISNUMBER(MATCH(TRIM(M773&amp;""),코드표!$C$2:$C$11,0)),TRIM(M773&amp;""),"⚠"&amp;TRIM(M773&amp;"")))</f>
        <v/>
      </c>
      <c r="U773" s="10">
        <f>IF(TRIM(L773&amp;"")="","",IFERROR(INDEX(코드표!$G$2:$G$101,MATCH(TRIM(L773&amp;""),코드표!$F$2:$F$101,0)),"⚠"&amp;TRIM(L773&amp;"")))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IF(ISNUMBER(H773),MAX(0,MIN(IF(ISNUMBER(I773),I773,EOMONTH(요약!$B$3,0)),EOMONTH(요약!$B$3,0))-MAX(H773,요약!$B$3)+1),0)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IF(AND(ISNUMBER(AB773),ISNUMBER(AC773)),MAX(0,MIN(AC773,EOMONTH(요약!$B$3,0))-MAX(AB773,요약!$B$3)+1),0)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IF(TRIM(B774&amp;"")="","",IFERROR(INDEX(코드표!$K$2:$K$101,MATCH(TRIM(B774&amp;""),코드표!$J$2:$J$101,0)),"⚠"&amp;TRIM(B774&amp;"")))</f>
        <v/>
      </c>
      <c r="S774" s="10">
        <f>IF(TRIM(K774&amp;"")="","",IFERROR(INDEX(코드표!$K$2:$K$101,MATCH(TRIM(K774&amp;""),코드표!$J$2:$J$101,0)),"⚠"&amp;TRIM(K774&amp;"")))</f>
        <v/>
      </c>
      <c r="T774" s="10">
        <f>IF(TRIM(M774&amp;"")="","",IF(ISNUMBER(MATCH(TRIM(M774&amp;""),코드표!$C$2:$C$11,0)),TRIM(M774&amp;""),"⚠"&amp;TRIM(M774&amp;"")))</f>
        <v/>
      </c>
      <c r="U774" s="10">
        <f>IF(TRIM(L774&amp;"")="","",IFERROR(INDEX(코드표!$G$2:$G$101,MATCH(TRIM(L774&amp;""),코드표!$F$2:$F$101,0)),"⚠"&amp;TRIM(L774&amp;"")))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IF(ISNUMBER(H774),MAX(0,MIN(IF(ISNUMBER(I774),I774,EOMONTH(요약!$B$3,0)),EOMONTH(요약!$B$3,0))-MAX(H774,요약!$B$3)+1),0)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IF(AND(ISNUMBER(AB774),ISNUMBER(AC774)),MAX(0,MIN(AC774,EOMONTH(요약!$B$3,0))-MAX(AB774,요약!$B$3)+1),0)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IF(TRIM(B775&amp;"")="","",IFERROR(INDEX(코드표!$K$2:$K$101,MATCH(TRIM(B775&amp;""),코드표!$J$2:$J$101,0)),"⚠"&amp;TRIM(B775&amp;"")))</f>
        <v/>
      </c>
      <c r="S775" s="10">
        <f>IF(TRIM(K775&amp;"")="","",IFERROR(INDEX(코드표!$K$2:$K$101,MATCH(TRIM(K775&amp;""),코드표!$J$2:$J$101,0)),"⚠"&amp;TRIM(K775&amp;"")))</f>
        <v/>
      </c>
      <c r="T775" s="10">
        <f>IF(TRIM(M775&amp;"")="","",IF(ISNUMBER(MATCH(TRIM(M775&amp;""),코드표!$C$2:$C$11,0)),TRIM(M775&amp;""),"⚠"&amp;TRIM(M775&amp;"")))</f>
        <v/>
      </c>
      <c r="U775" s="10">
        <f>IF(TRIM(L775&amp;"")="","",IFERROR(INDEX(코드표!$G$2:$G$101,MATCH(TRIM(L775&amp;""),코드표!$F$2:$F$101,0)),"⚠"&amp;TRIM(L775&amp;"")))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IF(ISNUMBER(H775),MAX(0,MIN(IF(ISNUMBER(I775),I775,EOMONTH(요약!$B$3,0)),EOMONTH(요약!$B$3,0))-MAX(H775,요약!$B$3)+1),0)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IF(AND(ISNUMBER(AB775),ISNUMBER(AC775)),MAX(0,MIN(AC775,EOMONTH(요약!$B$3,0))-MAX(AB775,요약!$B$3)+1),0)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IF(TRIM(B776&amp;"")="","",IFERROR(INDEX(코드표!$K$2:$K$101,MATCH(TRIM(B776&amp;""),코드표!$J$2:$J$101,0)),"⚠"&amp;TRIM(B776&amp;"")))</f>
        <v/>
      </c>
      <c r="S776" s="10">
        <f>IF(TRIM(K776&amp;"")="","",IFERROR(INDEX(코드표!$K$2:$K$101,MATCH(TRIM(K776&amp;""),코드표!$J$2:$J$101,0)),"⚠"&amp;TRIM(K776&amp;"")))</f>
        <v/>
      </c>
      <c r="T776" s="10">
        <f>IF(TRIM(M776&amp;"")="","",IF(ISNUMBER(MATCH(TRIM(M776&amp;""),코드표!$C$2:$C$11,0)),TRIM(M776&amp;""),"⚠"&amp;TRIM(M776&amp;"")))</f>
        <v/>
      </c>
      <c r="U776" s="10">
        <f>IF(TRIM(L776&amp;"")="","",IFERROR(INDEX(코드표!$G$2:$G$101,MATCH(TRIM(L776&amp;""),코드표!$F$2:$F$101,0)),"⚠"&amp;TRIM(L776&amp;"")))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IF(ISNUMBER(H776),MAX(0,MIN(IF(ISNUMBER(I776),I776,EOMONTH(요약!$B$3,0)),EOMONTH(요약!$B$3,0))-MAX(H776,요약!$B$3)+1),0)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IF(AND(ISNUMBER(AB776),ISNUMBER(AC776)),MAX(0,MIN(AC776,EOMONTH(요약!$B$3,0))-MAX(AB776,요약!$B$3)+1),0)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IF(TRIM(B777&amp;"")="","",IFERROR(INDEX(코드표!$K$2:$K$101,MATCH(TRIM(B777&amp;""),코드표!$J$2:$J$101,0)),"⚠"&amp;TRIM(B777&amp;"")))</f>
        <v/>
      </c>
      <c r="S777" s="10">
        <f>IF(TRIM(K777&amp;"")="","",IFERROR(INDEX(코드표!$K$2:$K$101,MATCH(TRIM(K777&amp;""),코드표!$J$2:$J$101,0)),"⚠"&amp;TRIM(K777&amp;"")))</f>
        <v/>
      </c>
      <c r="T777" s="10">
        <f>IF(TRIM(M777&amp;"")="","",IF(ISNUMBER(MATCH(TRIM(M777&amp;""),코드표!$C$2:$C$11,0)),TRIM(M777&amp;""),"⚠"&amp;TRIM(M777&amp;"")))</f>
        <v/>
      </c>
      <c r="U777" s="10">
        <f>IF(TRIM(L777&amp;"")="","",IFERROR(INDEX(코드표!$G$2:$G$101,MATCH(TRIM(L777&amp;""),코드표!$F$2:$F$101,0)),"⚠"&amp;TRIM(L777&amp;"")))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IF(ISNUMBER(H777),MAX(0,MIN(IF(ISNUMBER(I777),I777,EOMONTH(요약!$B$3,0)),EOMONTH(요약!$B$3,0))-MAX(H777,요약!$B$3)+1),0)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IF(AND(ISNUMBER(AB777),ISNUMBER(AC777)),MAX(0,MIN(AC777,EOMONTH(요약!$B$3,0))-MAX(AB777,요약!$B$3)+1),0)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IF(TRIM(B778&amp;"")="","",IFERROR(INDEX(코드표!$K$2:$K$101,MATCH(TRIM(B778&amp;""),코드표!$J$2:$J$101,0)),"⚠"&amp;TRIM(B778&amp;"")))</f>
        <v/>
      </c>
      <c r="S778" s="10">
        <f>IF(TRIM(K778&amp;"")="","",IFERROR(INDEX(코드표!$K$2:$K$101,MATCH(TRIM(K778&amp;""),코드표!$J$2:$J$101,0)),"⚠"&amp;TRIM(K778&amp;"")))</f>
        <v/>
      </c>
      <c r="T778" s="10">
        <f>IF(TRIM(M778&amp;"")="","",IF(ISNUMBER(MATCH(TRIM(M778&amp;""),코드표!$C$2:$C$11,0)),TRIM(M778&amp;""),"⚠"&amp;TRIM(M778&amp;"")))</f>
        <v/>
      </c>
      <c r="U778" s="10">
        <f>IF(TRIM(L778&amp;"")="","",IFERROR(INDEX(코드표!$G$2:$G$101,MATCH(TRIM(L778&amp;""),코드표!$F$2:$F$101,0)),"⚠"&amp;TRIM(L778&amp;"")))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IF(ISNUMBER(H778),MAX(0,MIN(IF(ISNUMBER(I778),I778,EOMONTH(요약!$B$3,0)),EOMONTH(요약!$B$3,0))-MAX(H778,요약!$B$3)+1),0)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IF(AND(ISNUMBER(AB778),ISNUMBER(AC778)),MAX(0,MIN(AC778,EOMONTH(요약!$B$3,0))-MAX(AB778,요약!$B$3)+1),0)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IF(TRIM(B779&amp;"")="","",IFERROR(INDEX(코드표!$K$2:$K$101,MATCH(TRIM(B779&amp;""),코드표!$J$2:$J$101,0)),"⚠"&amp;TRIM(B779&amp;"")))</f>
        <v/>
      </c>
      <c r="S779" s="10">
        <f>IF(TRIM(K779&amp;"")="","",IFERROR(INDEX(코드표!$K$2:$K$101,MATCH(TRIM(K779&amp;""),코드표!$J$2:$J$101,0)),"⚠"&amp;TRIM(K779&amp;"")))</f>
        <v/>
      </c>
      <c r="T779" s="10">
        <f>IF(TRIM(M779&amp;"")="","",IF(ISNUMBER(MATCH(TRIM(M779&amp;""),코드표!$C$2:$C$11,0)),TRIM(M779&amp;""),"⚠"&amp;TRIM(M779&amp;"")))</f>
        <v/>
      </c>
      <c r="U779" s="10">
        <f>IF(TRIM(L779&amp;"")="","",IFERROR(INDEX(코드표!$G$2:$G$101,MATCH(TRIM(L779&amp;""),코드표!$F$2:$F$101,0)),"⚠"&amp;TRIM(L779&amp;"")))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IF(ISNUMBER(H779),MAX(0,MIN(IF(ISNUMBER(I779),I779,EOMONTH(요약!$B$3,0)),EOMONTH(요약!$B$3,0))-MAX(H779,요약!$B$3)+1),0)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IF(AND(ISNUMBER(AB779),ISNUMBER(AC779)),MAX(0,MIN(AC779,EOMONTH(요약!$B$3,0))-MAX(AB779,요약!$B$3)+1),0)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IF(TRIM(B780&amp;"")="","",IFERROR(INDEX(코드표!$K$2:$K$101,MATCH(TRIM(B780&amp;""),코드표!$J$2:$J$101,0)),"⚠"&amp;TRIM(B780&amp;"")))</f>
        <v/>
      </c>
      <c r="S780" s="10">
        <f>IF(TRIM(K780&amp;"")="","",IFERROR(INDEX(코드표!$K$2:$K$101,MATCH(TRIM(K780&amp;""),코드표!$J$2:$J$101,0)),"⚠"&amp;TRIM(K780&amp;"")))</f>
        <v/>
      </c>
      <c r="T780" s="10">
        <f>IF(TRIM(M780&amp;"")="","",IF(ISNUMBER(MATCH(TRIM(M780&amp;""),코드표!$C$2:$C$11,0)),TRIM(M780&amp;""),"⚠"&amp;TRIM(M780&amp;"")))</f>
        <v/>
      </c>
      <c r="U780" s="10">
        <f>IF(TRIM(L780&amp;"")="","",IFERROR(INDEX(코드표!$G$2:$G$101,MATCH(TRIM(L780&amp;""),코드표!$F$2:$F$101,0)),"⚠"&amp;TRIM(L780&amp;"")))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IF(ISNUMBER(H780),MAX(0,MIN(IF(ISNUMBER(I780),I780,EOMONTH(요약!$B$3,0)),EOMONTH(요약!$B$3,0))-MAX(H780,요약!$B$3)+1),0)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IF(AND(ISNUMBER(AB780),ISNUMBER(AC780)),MAX(0,MIN(AC780,EOMONTH(요약!$B$3,0))-MAX(AB780,요약!$B$3)+1),0)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IF(TRIM(B781&amp;"")="","",IFERROR(INDEX(코드표!$K$2:$K$101,MATCH(TRIM(B781&amp;""),코드표!$J$2:$J$101,0)),"⚠"&amp;TRIM(B781&amp;"")))</f>
        <v/>
      </c>
      <c r="S781" s="10">
        <f>IF(TRIM(K781&amp;"")="","",IFERROR(INDEX(코드표!$K$2:$K$101,MATCH(TRIM(K781&amp;""),코드표!$J$2:$J$101,0)),"⚠"&amp;TRIM(K781&amp;"")))</f>
        <v/>
      </c>
      <c r="T781" s="10">
        <f>IF(TRIM(M781&amp;"")="","",IF(ISNUMBER(MATCH(TRIM(M781&amp;""),코드표!$C$2:$C$11,0)),TRIM(M781&amp;""),"⚠"&amp;TRIM(M781&amp;"")))</f>
        <v/>
      </c>
      <c r="U781" s="10">
        <f>IF(TRIM(L781&amp;"")="","",IFERROR(INDEX(코드표!$G$2:$G$101,MATCH(TRIM(L781&amp;""),코드표!$F$2:$F$101,0)),"⚠"&amp;TRIM(L781&amp;"")))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IF(ISNUMBER(H781),MAX(0,MIN(IF(ISNUMBER(I781),I781,EOMONTH(요약!$B$3,0)),EOMONTH(요약!$B$3,0))-MAX(H781,요약!$B$3)+1),0)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IF(AND(ISNUMBER(AB781),ISNUMBER(AC781)),MAX(0,MIN(AC781,EOMONTH(요약!$B$3,0))-MAX(AB781,요약!$B$3)+1),0)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IF(TRIM(B782&amp;"")="","",IFERROR(INDEX(코드표!$K$2:$K$101,MATCH(TRIM(B782&amp;""),코드표!$J$2:$J$101,0)),"⚠"&amp;TRIM(B782&amp;"")))</f>
        <v/>
      </c>
      <c r="S782" s="10">
        <f>IF(TRIM(K782&amp;"")="","",IFERROR(INDEX(코드표!$K$2:$K$101,MATCH(TRIM(K782&amp;""),코드표!$J$2:$J$101,0)),"⚠"&amp;TRIM(K782&amp;"")))</f>
        <v/>
      </c>
      <c r="T782" s="10">
        <f>IF(TRIM(M782&amp;"")="","",IF(ISNUMBER(MATCH(TRIM(M782&amp;""),코드표!$C$2:$C$11,0)),TRIM(M782&amp;""),"⚠"&amp;TRIM(M782&amp;"")))</f>
        <v/>
      </c>
      <c r="U782" s="10">
        <f>IF(TRIM(L782&amp;"")="","",IFERROR(INDEX(코드표!$G$2:$G$101,MATCH(TRIM(L782&amp;""),코드표!$F$2:$F$101,0)),"⚠"&amp;TRIM(L782&amp;"")))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IF(ISNUMBER(H782),MAX(0,MIN(IF(ISNUMBER(I782),I782,EOMONTH(요약!$B$3,0)),EOMONTH(요약!$B$3,0))-MAX(H782,요약!$B$3)+1),0)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IF(AND(ISNUMBER(AB782),ISNUMBER(AC782)),MAX(0,MIN(AC782,EOMONTH(요약!$B$3,0))-MAX(AB782,요약!$B$3)+1),0)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IF(TRIM(B783&amp;"")="","",IFERROR(INDEX(코드표!$K$2:$K$101,MATCH(TRIM(B783&amp;""),코드표!$J$2:$J$101,0)),"⚠"&amp;TRIM(B783&amp;"")))</f>
        <v/>
      </c>
      <c r="S783" s="10">
        <f>IF(TRIM(K783&amp;"")="","",IFERROR(INDEX(코드표!$K$2:$K$101,MATCH(TRIM(K783&amp;""),코드표!$J$2:$J$101,0)),"⚠"&amp;TRIM(K783&amp;"")))</f>
        <v/>
      </c>
      <c r="T783" s="10">
        <f>IF(TRIM(M783&amp;"")="","",IF(ISNUMBER(MATCH(TRIM(M783&amp;""),코드표!$C$2:$C$11,0)),TRIM(M783&amp;""),"⚠"&amp;TRIM(M783&amp;"")))</f>
        <v/>
      </c>
      <c r="U783" s="10">
        <f>IF(TRIM(L783&amp;"")="","",IFERROR(INDEX(코드표!$G$2:$G$101,MATCH(TRIM(L783&amp;""),코드표!$F$2:$F$101,0)),"⚠"&amp;TRIM(L783&amp;"")))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IF(ISNUMBER(H783),MAX(0,MIN(IF(ISNUMBER(I783),I783,EOMONTH(요약!$B$3,0)),EOMONTH(요약!$B$3,0))-MAX(H783,요약!$B$3)+1),0)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IF(AND(ISNUMBER(AB783),ISNUMBER(AC783)),MAX(0,MIN(AC783,EOMONTH(요약!$B$3,0))-MAX(AB783,요약!$B$3)+1),0)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IF(TRIM(B784&amp;"")="","",IFERROR(INDEX(코드표!$K$2:$K$101,MATCH(TRIM(B784&amp;""),코드표!$J$2:$J$101,0)),"⚠"&amp;TRIM(B784&amp;"")))</f>
        <v/>
      </c>
      <c r="S784" s="10">
        <f>IF(TRIM(K784&amp;"")="","",IFERROR(INDEX(코드표!$K$2:$K$101,MATCH(TRIM(K784&amp;""),코드표!$J$2:$J$101,0)),"⚠"&amp;TRIM(K784&amp;"")))</f>
        <v/>
      </c>
      <c r="T784" s="10">
        <f>IF(TRIM(M784&amp;"")="","",IF(ISNUMBER(MATCH(TRIM(M784&amp;""),코드표!$C$2:$C$11,0)),TRIM(M784&amp;""),"⚠"&amp;TRIM(M784&amp;"")))</f>
        <v/>
      </c>
      <c r="U784" s="10">
        <f>IF(TRIM(L784&amp;"")="","",IFERROR(INDEX(코드표!$G$2:$G$101,MATCH(TRIM(L784&amp;""),코드표!$F$2:$F$101,0)),"⚠"&amp;TRIM(L784&amp;"")))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IF(ISNUMBER(H784),MAX(0,MIN(IF(ISNUMBER(I784),I784,EOMONTH(요약!$B$3,0)),EOMONTH(요약!$B$3,0))-MAX(H784,요약!$B$3)+1),0)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IF(AND(ISNUMBER(AB784),ISNUMBER(AC784)),MAX(0,MIN(AC784,EOMONTH(요약!$B$3,0))-MAX(AB784,요약!$B$3)+1),0)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IF(TRIM(B785&amp;"")="","",IFERROR(INDEX(코드표!$K$2:$K$101,MATCH(TRIM(B785&amp;""),코드표!$J$2:$J$101,0)),"⚠"&amp;TRIM(B785&amp;"")))</f>
        <v/>
      </c>
      <c r="S785" s="10">
        <f>IF(TRIM(K785&amp;"")="","",IFERROR(INDEX(코드표!$K$2:$K$101,MATCH(TRIM(K785&amp;""),코드표!$J$2:$J$101,0)),"⚠"&amp;TRIM(K785&amp;"")))</f>
        <v/>
      </c>
      <c r="T785" s="10">
        <f>IF(TRIM(M785&amp;"")="","",IF(ISNUMBER(MATCH(TRIM(M785&amp;""),코드표!$C$2:$C$11,0)),TRIM(M785&amp;""),"⚠"&amp;TRIM(M785&amp;"")))</f>
        <v/>
      </c>
      <c r="U785" s="10">
        <f>IF(TRIM(L785&amp;"")="","",IFERROR(INDEX(코드표!$G$2:$G$101,MATCH(TRIM(L785&amp;""),코드표!$F$2:$F$101,0)),"⚠"&amp;TRIM(L785&amp;"")))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IF(ISNUMBER(H785),MAX(0,MIN(IF(ISNUMBER(I785),I785,EOMONTH(요약!$B$3,0)),EOMONTH(요약!$B$3,0))-MAX(H785,요약!$B$3)+1),0)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IF(AND(ISNUMBER(AB785),ISNUMBER(AC785)),MAX(0,MIN(AC785,EOMONTH(요약!$B$3,0))-MAX(AB785,요약!$B$3)+1),0)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IF(TRIM(B786&amp;"")="","",IFERROR(INDEX(코드표!$K$2:$K$101,MATCH(TRIM(B786&amp;""),코드표!$J$2:$J$101,0)),"⚠"&amp;TRIM(B786&amp;"")))</f>
        <v/>
      </c>
      <c r="S786" s="10">
        <f>IF(TRIM(K786&amp;"")="","",IFERROR(INDEX(코드표!$K$2:$K$101,MATCH(TRIM(K786&amp;""),코드표!$J$2:$J$101,0)),"⚠"&amp;TRIM(K786&amp;"")))</f>
        <v/>
      </c>
      <c r="T786" s="10">
        <f>IF(TRIM(M786&amp;"")="","",IF(ISNUMBER(MATCH(TRIM(M786&amp;""),코드표!$C$2:$C$11,0)),TRIM(M786&amp;""),"⚠"&amp;TRIM(M786&amp;"")))</f>
        <v/>
      </c>
      <c r="U786" s="10">
        <f>IF(TRIM(L786&amp;"")="","",IFERROR(INDEX(코드표!$G$2:$G$101,MATCH(TRIM(L786&amp;""),코드표!$F$2:$F$101,0)),"⚠"&amp;TRIM(L786&amp;"")))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IF(ISNUMBER(H786),MAX(0,MIN(IF(ISNUMBER(I786),I786,EOMONTH(요약!$B$3,0)),EOMONTH(요약!$B$3,0))-MAX(H786,요약!$B$3)+1),0)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IF(AND(ISNUMBER(AB786),ISNUMBER(AC786)),MAX(0,MIN(AC786,EOMONTH(요약!$B$3,0))-MAX(AB786,요약!$B$3)+1),0)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IF(TRIM(B787&amp;"")="","",IFERROR(INDEX(코드표!$K$2:$K$101,MATCH(TRIM(B787&amp;""),코드표!$J$2:$J$101,0)),"⚠"&amp;TRIM(B787&amp;"")))</f>
        <v/>
      </c>
      <c r="S787" s="10">
        <f>IF(TRIM(K787&amp;"")="","",IFERROR(INDEX(코드표!$K$2:$K$101,MATCH(TRIM(K787&amp;""),코드표!$J$2:$J$101,0)),"⚠"&amp;TRIM(K787&amp;"")))</f>
        <v/>
      </c>
      <c r="T787" s="10">
        <f>IF(TRIM(M787&amp;"")="","",IF(ISNUMBER(MATCH(TRIM(M787&amp;""),코드표!$C$2:$C$11,0)),TRIM(M787&amp;""),"⚠"&amp;TRIM(M787&amp;"")))</f>
        <v/>
      </c>
      <c r="U787" s="10">
        <f>IF(TRIM(L787&amp;"")="","",IFERROR(INDEX(코드표!$G$2:$G$101,MATCH(TRIM(L787&amp;""),코드표!$F$2:$F$101,0)),"⚠"&amp;TRIM(L787&amp;"")))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IF(ISNUMBER(H787),MAX(0,MIN(IF(ISNUMBER(I787),I787,EOMONTH(요약!$B$3,0)),EOMONTH(요약!$B$3,0))-MAX(H787,요약!$B$3)+1),0)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IF(AND(ISNUMBER(AB787),ISNUMBER(AC787)),MAX(0,MIN(AC787,EOMONTH(요약!$B$3,0))-MAX(AB787,요약!$B$3)+1),0)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IF(TRIM(B788&amp;"")="","",IFERROR(INDEX(코드표!$K$2:$K$101,MATCH(TRIM(B788&amp;""),코드표!$J$2:$J$101,0)),"⚠"&amp;TRIM(B788&amp;"")))</f>
        <v/>
      </c>
      <c r="S788" s="10">
        <f>IF(TRIM(K788&amp;"")="","",IFERROR(INDEX(코드표!$K$2:$K$101,MATCH(TRIM(K788&amp;""),코드표!$J$2:$J$101,0)),"⚠"&amp;TRIM(K788&amp;"")))</f>
        <v/>
      </c>
      <c r="T788" s="10">
        <f>IF(TRIM(M788&amp;"")="","",IF(ISNUMBER(MATCH(TRIM(M788&amp;""),코드표!$C$2:$C$11,0)),TRIM(M788&amp;""),"⚠"&amp;TRIM(M788&amp;"")))</f>
        <v/>
      </c>
      <c r="U788" s="10">
        <f>IF(TRIM(L788&amp;"")="","",IFERROR(INDEX(코드표!$G$2:$G$101,MATCH(TRIM(L788&amp;""),코드표!$F$2:$F$101,0)),"⚠"&amp;TRIM(L788&amp;"")))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IF(ISNUMBER(H788),MAX(0,MIN(IF(ISNUMBER(I788),I788,EOMONTH(요약!$B$3,0)),EOMONTH(요약!$B$3,0))-MAX(H788,요약!$B$3)+1),0)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IF(AND(ISNUMBER(AB788),ISNUMBER(AC788)),MAX(0,MIN(AC788,EOMONTH(요약!$B$3,0))-MAX(AB788,요약!$B$3)+1),0)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IF(TRIM(B789&amp;"")="","",IFERROR(INDEX(코드표!$K$2:$K$101,MATCH(TRIM(B789&amp;""),코드표!$J$2:$J$101,0)),"⚠"&amp;TRIM(B789&amp;"")))</f>
        <v/>
      </c>
      <c r="S789" s="10">
        <f>IF(TRIM(K789&amp;"")="","",IFERROR(INDEX(코드표!$K$2:$K$101,MATCH(TRIM(K789&amp;""),코드표!$J$2:$J$101,0)),"⚠"&amp;TRIM(K789&amp;"")))</f>
        <v/>
      </c>
      <c r="T789" s="10">
        <f>IF(TRIM(M789&amp;"")="","",IF(ISNUMBER(MATCH(TRIM(M789&amp;""),코드표!$C$2:$C$11,0)),TRIM(M789&amp;""),"⚠"&amp;TRIM(M789&amp;"")))</f>
        <v/>
      </c>
      <c r="U789" s="10">
        <f>IF(TRIM(L789&amp;"")="","",IFERROR(INDEX(코드표!$G$2:$G$101,MATCH(TRIM(L789&amp;""),코드표!$F$2:$F$101,0)),"⚠"&amp;TRIM(L789&amp;"")))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IF(ISNUMBER(H789),MAX(0,MIN(IF(ISNUMBER(I789),I789,EOMONTH(요약!$B$3,0)),EOMONTH(요약!$B$3,0))-MAX(H789,요약!$B$3)+1),0)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IF(AND(ISNUMBER(AB789),ISNUMBER(AC789)),MAX(0,MIN(AC789,EOMONTH(요약!$B$3,0))-MAX(AB789,요약!$B$3)+1),0)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IF(TRIM(B790&amp;"")="","",IFERROR(INDEX(코드표!$K$2:$K$101,MATCH(TRIM(B790&amp;""),코드표!$J$2:$J$101,0)),"⚠"&amp;TRIM(B790&amp;"")))</f>
        <v/>
      </c>
      <c r="S790" s="10">
        <f>IF(TRIM(K790&amp;"")="","",IFERROR(INDEX(코드표!$K$2:$K$101,MATCH(TRIM(K790&amp;""),코드표!$J$2:$J$101,0)),"⚠"&amp;TRIM(K790&amp;"")))</f>
        <v/>
      </c>
      <c r="T790" s="10">
        <f>IF(TRIM(M790&amp;"")="","",IF(ISNUMBER(MATCH(TRIM(M790&amp;""),코드표!$C$2:$C$11,0)),TRIM(M790&amp;""),"⚠"&amp;TRIM(M790&amp;"")))</f>
        <v/>
      </c>
      <c r="U790" s="10">
        <f>IF(TRIM(L790&amp;"")="","",IFERROR(INDEX(코드표!$G$2:$G$101,MATCH(TRIM(L790&amp;""),코드표!$F$2:$F$101,0)),"⚠"&amp;TRIM(L790&amp;"")))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IF(ISNUMBER(H790),MAX(0,MIN(IF(ISNUMBER(I790),I790,EOMONTH(요약!$B$3,0)),EOMONTH(요약!$B$3,0))-MAX(H790,요약!$B$3)+1),0)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IF(AND(ISNUMBER(AB790),ISNUMBER(AC790)),MAX(0,MIN(AC790,EOMONTH(요약!$B$3,0))-MAX(AB790,요약!$B$3)+1),0)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IF(TRIM(B791&amp;"")="","",IFERROR(INDEX(코드표!$K$2:$K$101,MATCH(TRIM(B791&amp;""),코드표!$J$2:$J$101,0)),"⚠"&amp;TRIM(B791&amp;"")))</f>
        <v/>
      </c>
      <c r="S791" s="10">
        <f>IF(TRIM(K791&amp;"")="","",IFERROR(INDEX(코드표!$K$2:$K$101,MATCH(TRIM(K791&amp;""),코드표!$J$2:$J$101,0)),"⚠"&amp;TRIM(K791&amp;"")))</f>
        <v/>
      </c>
      <c r="T791" s="10">
        <f>IF(TRIM(M791&amp;"")="","",IF(ISNUMBER(MATCH(TRIM(M791&amp;""),코드표!$C$2:$C$11,0)),TRIM(M791&amp;""),"⚠"&amp;TRIM(M791&amp;"")))</f>
        <v/>
      </c>
      <c r="U791" s="10">
        <f>IF(TRIM(L791&amp;"")="","",IFERROR(INDEX(코드표!$G$2:$G$101,MATCH(TRIM(L791&amp;""),코드표!$F$2:$F$101,0)),"⚠"&amp;TRIM(L791&amp;"")))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IF(ISNUMBER(H791),MAX(0,MIN(IF(ISNUMBER(I791),I791,EOMONTH(요약!$B$3,0)),EOMONTH(요약!$B$3,0))-MAX(H791,요약!$B$3)+1),0)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IF(AND(ISNUMBER(AB791),ISNUMBER(AC791)),MAX(0,MIN(AC791,EOMONTH(요약!$B$3,0))-MAX(AB791,요약!$B$3)+1),0)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IF(TRIM(B792&amp;"")="","",IFERROR(INDEX(코드표!$K$2:$K$101,MATCH(TRIM(B792&amp;""),코드표!$J$2:$J$101,0)),"⚠"&amp;TRIM(B792&amp;"")))</f>
        <v/>
      </c>
      <c r="S792" s="10">
        <f>IF(TRIM(K792&amp;"")="","",IFERROR(INDEX(코드표!$K$2:$K$101,MATCH(TRIM(K792&amp;""),코드표!$J$2:$J$101,0)),"⚠"&amp;TRIM(K792&amp;"")))</f>
        <v/>
      </c>
      <c r="T792" s="10">
        <f>IF(TRIM(M792&amp;"")="","",IF(ISNUMBER(MATCH(TRIM(M792&amp;""),코드표!$C$2:$C$11,0)),TRIM(M792&amp;""),"⚠"&amp;TRIM(M792&amp;"")))</f>
        <v/>
      </c>
      <c r="U792" s="10">
        <f>IF(TRIM(L792&amp;"")="","",IFERROR(INDEX(코드표!$G$2:$G$101,MATCH(TRIM(L792&amp;""),코드표!$F$2:$F$101,0)),"⚠"&amp;TRIM(L792&amp;"")))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IF(ISNUMBER(H792),MAX(0,MIN(IF(ISNUMBER(I792),I792,EOMONTH(요약!$B$3,0)),EOMONTH(요약!$B$3,0))-MAX(H792,요약!$B$3)+1),0)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IF(AND(ISNUMBER(AB792),ISNUMBER(AC792)),MAX(0,MIN(AC792,EOMONTH(요약!$B$3,0))-MAX(AB792,요약!$B$3)+1),0)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IF(TRIM(B793&amp;"")="","",IFERROR(INDEX(코드표!$K$2:$K$101,MATCH(TRIM(B793&amp;""),코드표!$J$2:$J$101,0)),"⚠"&amp;TRIM(B793&amp;"")))</f>
        <v/>
      </c>
      <c r="S793" s="10">
        <f>IF(TRIM(K793&amp;"")="","",IFERROR(INDEX(코드표!$K$2:$K$101,MATCH(TRIM(K793&amp;""),코드표!$J$2:$J$101,0)),"⚠"&amp;TRIM(K793&amp;"")))</f>
        <v/>
      </c>
      <c r="T793" s="10">
        <f>IF(TRIM(M793&amp;"")="","",IF(ISNUMBER(MATCH(TRIM(M793&amp;""),코드표!$C$2:$C$11,0)),TRIM(M793&amp;""),"⚠"&amp;TRIM(M793&amp;"")))</f>
        <v/>
      </c>
      <c r="U793" s="10">
        <f>IF(TRIM(L793&amp;"")="","",IFERROR(INDEX(코드표!$G$2:$G$101,MATCH(TRIM(L793&amp;""),코드표!$F$2:$F$101,0)),"⚠"&amp;TRIM(L793&amp;"")))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IF(ISNUMBER(H793),MAX(0,MIN(IF(ISNUMBER(I793),I793,EOMONTH(요약!$B$3,0)),EOMONTH(요약!$B$3,0))-MAX(H793,요약!$B$3)+1),0)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IF(AND(ISNUMBER(AB793),ISNUMBER(AC793)),MAX(0,MIN(AC793,EOMONTH(요약!$B$3,0))-MAX(AB793,요약!$B$3)+1),0)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IF(TRIM(B794&amp;"")="","",IFERROR(INDEX(코드표!$K$2:$K$101,MATCH(TRIM(B794&amp;""),코드표!$J$2:$J$101,0)),"⚠"&amp;TRIM(B794&amp;"")))</f>
        <v/>
      </c>
      <c r="S794" s="10">
        <f>IF(TRIM(K794&amp;"")="","",IFERROR(INDEX(코드표!$K$2:$K$101,MATCH(TRIM(K794&amp;""),코드표!$J$2:$J$101,0)),"⚠"&amp;TRIM(K794&amp;"")))</f>
        <v/>
      </c>
      <c r="T794" s="10">
        <f>IF(TRIM(M794&amp;"")="","",IF(ISNUMBER(MATCH(TRIM(M794&amp;""),코드표!$C$2:$C$11,0)),TRIM(M794&amp;""),"⚠"&amp;TRIM(M794&amp;"")))</f>
        <v/>
      </c>
      <c r="U794" s="10">
        <f>IF(TRIM(L794&amp;"")="","",IFERROR(INDEX(코드표!$G$2:$G$101,MATCH(TRIM(L794&amp;""),코드표!$F$2:$F$101,0)),"⚠"&amp;TRIM(L794&amp;"")))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IF(ISNUMBER(H794),MAX(0,MIN(IF(ISNUMBER(I794),I794,EOMONTH(요약!$B$3,0)),EOMONTH(요약!$B$3,0))-MAX(H794,요약!$B$3)+1),0)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IF(AND(ISNUMBER(AB794),ISNUMBER(AC794)),MAX(0,MIN(AC794,EOMONTH(요약!$B$3,0))-MAX(AB794,요약!$B$3)+1),0)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IF(TRIM(B795&amp;"")="","",IFERROR(INDEX(코드표!$K$2:$K$101,MATCH(TRIM(B795&amp;""),코드표!$J$2:$J$101,0)),"⚠"&amp;TRIM(B795&amp;"")))</f>
        <v/>
      </c>
      <c r="S795" s="10">
        <f>IF(TRIM(K795&amp;"")="","",IFERROR(INDEX(코드표!$K$2:$K$101,MATCH(TRIM(K795&amp;""),코드표!$J$2:$J$101,0)),"⚠"&amp;TRIM(K795&amp;"")))</f>
        <v/>
      </c>
      <c r="T795" s="10">
        <f>IF(TRIM(M795&amp;"")="","",IF(ISNUMBER(MATCH(TRIM(M795&amp;""),코드표!$C$2:$C$11,0)),TRIM(M795&amp;""),"⚠"&amp;TRIM(M795&amp;"")))</f>
        <v/>
      </c>
      <c r="U795" s="10">
        <f>IF(TRIM(L795&amp;"")="","",IFERROR(INDEX(코드표!$G$2:$G$101,MATCH(TRIM(L795&amp;""),코드표!$F$2:$F$101,0)),"⚠"&amp;TRIM(L795&amp;"")))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IF(ISNUMBER(H795),MAX(0,MIN(IF(ISNUMBER(I795),I795,EOMONTH(요약!$B$3,0)),EOMONTH(요약!$B$3,0))-MAX(H795,요약!$B$3)+1),0)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IF(AND(ISNUMBER(AB795),ISNUMBER(AC795)),MAX(0,MIN(AC795,EOMONTH(요약!$B$3,0))-MAX(AB795,요약!$B$3)+1),0)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IF(TRIM(B796&amp;"")="","",IFERROR(INDEX(코드표!$K$2:$K$101,MATCH(TRIM(B796&amp;""),코드표!$J$2:$J$101,0)),"⚠"&amp;TRIM(B796&amp;"")))</f>
        <v/>
      </c>
      <c r="S796" s="10">
        <f>IF(TRIM(K796&amp;"")="","",IFERROR(INDEX(코드표!$K$2:$K$101,MATCH(TRIM(K796&amp;""),코드표!$J$2:$J$101,0)),"⚠"&amp;TRIM(K796&amp;"")))</f>
        <v/>
      </c>
      <c r="T796" s="10">
        <f>IF(TRIM(M796&amp;"")="","",IF(ISNUMBER(MATCH(TRIM(M796&amp;""),코드표!$C$2:$C$11,0)),TRIM(M796&amp;""),"⚠"&amp;TRIM(M796&amp;"")))</f>
        <v/>
      </c>
      <c r="U796" s="10">
        <f>IF(TRIM(L796&amp;"")="","",IFERROR(INDEX(코드표!$G$2:$G$101,MATCH(TRIM(L796&amp;""),코드표!$F$2:$F$101,0)),"⚠"&amp;TRIM(L796&amp;"")))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IF(ISNUMBER(H796),MAX(0,MIN(IF(ISNUMBER(I796),I796,EOMONTH(요약!$B$3,0)),EOMONTH(요약!$B$3,0))-MAX(H796,요약!$B$3)+1),0)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IF(AND(ISNUMBER(AB796),ISNUMBER(AC796)),MAX(0,MIN(AC796,EOMONTH(요약!$B$3,0))-MAX(AB796,요약!$B$3)+1),0)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IF(TRIM(B797&amp;"")="","",IFERROR(INDEX(코드표!$K$2:$K$101,MATCH(TRIM(B797&amp;""),코드표!$J$2:$J$101,0)),"⚠"&amp;TRIM(B797&amp;"")))</f>
        <v/>
      </c>
      <c r="S797" s="10">
        <f>IF(TRIM(K797&amp;"")="","",IFERROR(INDEX(코드표!$K$2:$K$101,MATCH(TRIM(K797&amp;""),코드표!$J$2:$J$101,0)),"⚠"&amp;TRIM(K797&amp;"")))</f>
        <v/>
      </c>
      <c r="T797" s="10">
        <f>IF(TRIM(M797&amp;"")="","",IF(ISNUMBER(MATCH(TRIM(M797&amp;""),코드표!$C$2:$C$11,0)),TRIM(M797&amp;""),"⚠"&amp;TRIM(M797&amp;"")))</f>
        <v/>
      </c>
      <c r="U797" s="10">
        <f>IF(TRIM(L797&amp;"")="","",IFERROR(INDEX(코드표!$G$2:$G$101,MATCH(TRIM(L797&amp;""),코드표!$F$2:$F$101,0)),"⚠"&amp;TRIM(L797&amp;"")))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IF(ISNUMBER(H797),MAX(0,MIN(IF(ISNUMBER(I797),I797,EOMONTH(요약!$B$3,0)),EOMONTH(요약!$B$3,0))-MAX(H797,요약!$B$3)+1),0)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IF(AND(ISNUMBER(AB797),ISNUMBER(AC797)),MAX(0,MIN(AC797,EOMONTH(요약!$B$3,0))-MAX(AB797,요약!$B$3)+1),0)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IF(TRIM(B798&amp;"")="","",IFERROR(INDEX(코드표!$K$2:$K$101,MATCH(TRIM(B798&amp;""),코드표!$J$2:$J$101,0)),"⚠"&amp;TRIM(B798&amp;"")))</f>
        <v/>
      </c>
      <c r="S798" s="10">
        <f>IF(TRIM(K798&amp;"")="","",IFERROR(INDEX(코드표!$K$2:$K$101,MATCH(TRIM(K798&amp;""),코드표!$J$2:$J$101,0)),"⚠"&amp;TRIM(K798&amp;"")))</f>
        <v/>
      </c>
      <c r="T798" s="10">
        <f>IF(TRIM(M798&amp;"")="","",IF(ISNUMBER(MATCH(TRIM(M798&amp;""),코드표!$C$2:$C$11,0)),TRIM(M798&amp;""),"⚠"&amp;TRIM(M798&amp;"")))</f>
        <v/>
      </c>
      <c r="U798" s="10">
        <f>IF(TRIM(L798&amp;"")="","",IFERROR(INDEX(코드표!$G$2:$G$101,MATCH(TRIM(L798&amp;""),코드표!$F$2:$F$101,0)),"⚠"&amp;TRIM(L798&amp;"")))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IF(ISNUMBER(H798),MAX(0,MIN(IF(ISNUMBER(I798),I798,EOMONTH(요약!$B$3,0)),EOMONTH(요약!$B$3,0))-MAX(H798,요약!$B$3)+1),0)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IF(AND(ISNUMBER(AB798),ISNUMBER(AC798)),MAX(0,MIN(AC798,EOMONTH(요약!$B$3,0))-MAX(AB798,요약!$B$3)+1),0)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IF(TRIM(B799&amp;"")="","",IFERROR(INDEX(코드표!$K$2:$K$101,MATCH(TRIM(B799&amp;""),코드표!$J$2:$J$101,0)),"⚠"&amp;TRIM(B799&amp;"")))</f>
        <v/>
      </c>
      <c r="S799" s="10">
        <f>IF(TRIM(K799&amp;"")="","",IFERROR(INDEX(코드표!$K$2:$K$101,MATCH(TRIM(K799&amp;""),코드표!$J$2:$J$101,0)),"⚠"&amp;TRIM(K799&amp;"")))</f>
        <v/>
      </c>
      <c r="T799" s="10">
        <f>IF(TRIM(M799&amp;"")="","",IF(ISNUMBER(MATCH(TRIM(M799&amp;""),코드표!$C$2:$C$11,0)),TRIM(M799&amp;""),"⚠"&amp;TRIM(M799&amp;"")))</f>
        <v/>
      </c>
      <c r="U799" s="10">
        <f>IF(TRIM(L799&amp;"")="","",IFERROR(INDEX(코드표!$G$2:$G$101,MATCH(TRIM(L799&amp;""),코드표!$F$2:$F$101,0)),"⚠"&amp;TRIM(L799&amp;"")))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IF(ISNUMBER(H799),MAX(0,MIN(IF(ISNUMBER(I799),I799,EOMONTH(요약!$B$3,0)),EOMONTH(요약!$B$3,0))-MAX(H799,요약!$B$3)+1),0)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IF(AND(ISNUMBER(AB799),ISNUMBER(AC799)),MAX(0,MIN(AC799,EOMONTH(요약!$B$3,0))-MAX(AB799,요약!$B$3)+1),0)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IF(TRIM(B800&amp;"")="","",IFERROR(INDEX(코드표!$K$2:$K$101,MATCH(TRIM(B800&amp;""),코드표!$J$2:$J$101,0)),"⚠"&amp;TRIM(B800&amp;"")))</f>
        <v/>
      </c>
      <c r="S800" s="10">
        <f>IF(TRIM(K800&amp;"")="","",IFERROR(INDEX(코드표!$K$2:$K$101,MATCH(TRIM(K800&amp;""),코드표!$J$2:$J$101,0)),"⚠"&amp;TRIM(K800&amp;"")))</f>
        <v/>
      </c>
      <c r="T800" s="10">
        <f>IF(TRIM(M800&amp;"")="","",IF(ISNUMBER(MATCH(TRIM(M800&amp;""),코드표!$C$2:$C$11,0)),TRIM(M800&amp;""),"⚠"&amp;TRIM(M800&amp;"")))</f>
        <v/>
      </c>
      <c r="U800" s="10">
        <f>IF(TRIM(L800&amp;"")="","",IFERROR(INDEX(코드표!$G$2:$G$101,MATCH(TRIM(L800&amp;""),코드표!$F$2:$F$101,0)),"⚠"&amp;TRIM(L800&amp;"")))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IF(ISNUMBER(H800),MAX(0,MIN(IF(ISNUMBER(I800),I800,EOMONTH(요약!$B$3,0)),EOMONTH(요약!$B$3,0))-MAX(H800,요약!$B$3)+1),0)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IF(AND(ISNUMBER(AB800),ISNUMBER(AC800)),MAX(0,MIN(AC800,EOMONTH(요약!$B$3,0))-MAX(AB800,요약!$B$3)+1),0)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IF(TRIM(B801&amp;"")="","",IFERROR(INDEX(코드표!$K$2:$K$101,MATCH(TRIM(B801&amp;""),코드표!$J$2:$J$101,0)),"⚠"&amp;TRIM(B801&amp;"")))</f>
        <v/>
      </c>
      <c r="S801" s="10">
        <f>IF(TRIM(K801&amp;"")="","",IFERROR(INDEX(코드표!$K$2:$K$101,MATCH(TRIM(K801&amp;""),코드표!$J$2:$J$101,0)),"⚠"&amp;TRIM(K801&amp;"")))</f>
        <v/>
      </c>
      <c r="T801" s="10">
        <f>IF(TRIM(M801&amp;"")="","",IF(ISNUMBER(MATCH(TRIM(M801&amp;""),코드표!$C$2:$C$11,0)),TRIM(M801&amp;""),"⚠"&amp;TRIM(M801&amp;"")))</f>
        <v/>
      </c>
      <c r="U801" s="10">
        <f>IF(TRIM(L801&amp;"")="","",IFERROR(INDEX(코드표!$G$2:$G$101,MATCH(TRIM(L801&amp;""),코드표!$F$2:$F$101,0)),"⚠"&amp;TRIM(L801&amp;"")))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IF(ISNUMBER(H801),MAX(0,MIN(IF(ISNUMBER(I801),I801,EOMONTH(요약!$B$3,0)),EOMONTH(요약!$B$3,0))-MAX(H801,요약!$B$3)+1),0)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IF(AND(ISNUMBER(AB801),ISNUMBER(AC801)),MAX(0,MIN(AC801,EOMONTH(요약!$B$3,0))-MAX(AB801,요약!$B$3)+1),0)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IF(TRIM(B802&amp;"")="","",IFERROR(INDEX(코드표!$K$2:$K$101,MATCH(TRIM(B802&amp;""),코드표!$J$2:$J$101,0)),"⚠"&amp;TRIM(B802&amp;"")))</f>
        <v/>
      </c>
      <c r="S802" s="10">
        <f>IF(TRIM(K802&amp;"")="","",IFERROR(INDEX(코드표!$K$2:$K$101,MATCH(TRIM(K802&amp;""),코드표!$J$2:$J$101,0)),"⚠"&amp;TRIM(K802&amp;"")))</f>
        <v/>
      </c>
      <c r="T802" s="10">
        <f>IF(TRIM(M802&amp;"")="","",IF(ISNUMBER(MATCH(TRIM(M802&amp;""),코드표!$C$2:$C$11,0)),TRIM(M802&amp;""),"⚠"&amp;TRIM(M802&amp;"")))</f>
        <v/>
      </c>
      <c r="U802" s="10">
        <f>IF(TRIM(L802&amp;"")="","",IFERROR(INDEX(코드표!$G$2:$G$101,MATCH(TRIM(L802&amp;""),코드표!$F$2:$F$101,0)),"⚠"&amp;TRIM(L802&amp;"")))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IF(ISNUMBER(H802),MAX(0,MIN(IF(ISNUMBER(I802),I802,EOMONTH(요약!$B$3,0)),EOMONTH(요약!$B$3,0))-MAX(H802,요약!$B$3)+1),0)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IF(AND(ISNUMBER(AB802),ISNUMBER(AC802)),MAX(0,MIN(AC802,EOMONTH(요약!$B$3,0))-MAX(AB802,요약!$B$3)+1),0)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IF(TRIM(B803&amp;"")="","",IFERROR(INDEX(코드표!$K$2:$K$101,MATCH(TRIM(B803&amp;""),코드표!$J$2:$J$101,0)),"⚠"&amp;TRIM(B803&amp;"")))</f>
        <v/>
      </c>
      <c r="S803" s="10">
        <f>IF(TRIM(K803&amp;"")="","",IFERROR(INDEX(코드표!$K$2:$K$101,MATCH(TRIM(K803&amp;""),코드표!$J$2:$J$101,0)),"⚠"&amp;TRIM(K803&amp;"")))</f>
        <v/>
      </c>
      <c r="T803" s="10">
        <f>IF(TRIM(M803&amp;"")="","",IF(ISNUMBER(MATCH(TRIM(M803&amp;""),코드표!$C$2:$C$11,0)),TRIM(M803&amp;""),"⚠"&amp;TRIM(M803&amp;"")))</f>
        <v/>
      </c>
      <c r="U803" s="10">
        <f>IF(TRIM(L803&amp;"")="","",IFERROR(INDEX(코드표!$G$2:$G$101,MATCH(TRIM(L803&amp;""),코드표!$F$2:$F$101,0)),"⚠"&amp;TRIM(L803&amp;"")))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IF(ISNUMBER(H803),MAX(0,MIN(IF(ISNUMBER(I803),I803,EOMONTH(요약!$B$3,0)),EOMONTH(요약!$B$3,0))-MAX(H803,요약!$B$3)+1),0)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IF(AND(ISNUMBER(AB803),ISNUMBER(AC803)),MAX(0,MIN(AC803,EOMONTH(요약!$B$3,0))-MAX(AB803,요약!$B$3)+1),0)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IF($AB2="","",IF(INDEX(기본자료!$C$2:$C$1001,$AB2)="","",INDEX(기본자료!$C$2:$C$1001,$AB2)))</f>
        <v/>
      </c>
      <c r="D2" s="10">
        <f>IF($AB2="","",IF(INDEX(기본자료!$J$2:$J$1001,$AB2)="","",INDEX(기본자료!$J$2:$J$1001,$AB2)))</f>
        <v/>
      </c>
      <c r="E2" s="11">
        <f>IF($AB2="","",IF(INDEX(기본자료!$K$2:$K$1001,$AB2)="","",IF(NOT(ISNUMBER(INDEX(기본자료!$K$2:$K$1001,$AB2))),INDEX(기본자료!$K$2:$K$1001,$AB2),IF(INDEX(기본자료!$K$2:$K$1001,$AB2)&lt;1000000,INDEX(기본자료!$K$2:$K$1001,$AB2),IF(AND(INDEX(기본자료!$K$2:$K$1001,$AB2)&gt;=10000101,INT(MOD(INDEX(기본자료!$K$2:$K$1001,$AB2),10000)/100)&gt;=1,INT(MOD(INDEX(기본자료!$K$2:$K$1001,$AB2),10000)/100)&lt;=12,MOD(INDEX(기본자료!$K$2:$K$1001,$AB2),100)&gt;=1,MOD(INDEX(기본자료!$K$2:$K$1001,$AB2),100)&lt;=31),DATE(INT(INDEX(기본자료!$K$2:$K$1001,$AB2)/10000),INT(MOD(INDEX(기본자료!$K$2:$K$1001,$AB2),10000)/100),MOD(INDEX(기본자료!$K$2:$K$1001,$AB2),100)),INDEX(기본자료!$K$2:$K$1001,$AB2)&amp;"")))))</f>
        <v/>
      </c>
      <c r="F2" s="10">
        <f>IF($AB2="","",IF(INDEX(기본자료!$D$2:$D$1001,$AB2)="","",INDEX(기본자료!$D$2:$D$1001,$AB2)))</f>
        <v/>
      </c>
      <c r="G2" s="10">
        <f>IF($AB2="","",IF(INDEX(기본자료!$E$2:$E$1001,$AB2)="","",INDEX(기본자료!$E$2:$E$1001,$AB2)))</f>
        <v/>
      </c>
      <c r="H2" s="10">
        <f>IF($AB2="","",IF(INDEX(기본자료!$F$2:$F$1001,$AB2)="","",INDEX(기본자료!$F$2:$F$1001,$AB2)))</f>
        <v/>
      </c>
      <c r="I2" s="11">
        <f>IF($AB2="","",IF(INDEX(기본자료!$G$2:$G$1001,$AB2)="","",IF(NOT(ISNUMBER(INDEX(기본자료!$G$2:$G$1001,$AB2))),INDEX(기본자료!$G$2:$G$1001,$AB2),IF(INDEX(기본자료!$G$2:$G$1001,$AB2)&lt;1000000,INDEX(기본자료!$G$2:$G$1001,$AB2),IF(AND(INDEX(기본자료!$G$2:$G$1001,$AB2)&gt;=10000101,INT(MOD(INDEX(기본자료!$G$2:$G$1001,$AB2),10000)/100)&gt;=1,INT(MOD(INDEX(기본자료!$G$2:$G$1001,$AB2),10000)/100)&lt;=12,MOD(INDEX(기본자료!$G$2:$G$1001,$AB2),100)&gt;=1,MOD(INDEX(기본자료!$G$2:$G$1001,$AB2),100)&lt;=31),DATE(INT(INDEX(기본자료!$G$2:$G$1001,$AB2)/10000),INT(MOD(INDEX(기본자료!$G$2:$G$1001,$AB2),10000)/100),MOD(INDEX(기본자료!$G$2:$G$1001,$AB2),100)),INDEX(기본자료!$G$2:$G$1001,$AB2)&amp;"")))))</f>
        <v/>
      </c>
      <c r="J2" s="10">
        <f>IF($AB2="","",IF(INDEX(기본자료!$H$2:$H$1001,$AB2)="","",INDEX(기본자료!$H$2:$H$1001,$AB2)))</f>
        <v/>
      </c>
      <c r="K2" s="10">
        <f>IF($AB2="","",IF(INDEX(기본자료!$I$2:$I$1001,$AB2)="","",INDEX(기본자료!$I$2:$I$1001,$AB2)))</f>
        <v/>
      </c>
      <c r="L2" s="10">
        <f>IF($AB2="","",IF(INDEX(기본자료!$A$2:$A$1001,$AB2)="","",INDEX(기본자료!$A$2:$A$1001,$AB2)))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$803,$AK2),OR(NOT(ISNUMBER(INDEX(파견수련계획!$AC$4:$AC$803,$AK2))),TODAY()&lt;=INDEX(파견수련계획!$AC$4:$AC$803,$AK2))),"다기관",IF($AF2="","",INDEX(파견수련계획!$T$4:$T$803,$AF2))),IF($AF2="","",INDEX(파견수련계획!$T$4:$T$803,$AF2))))</f>
        <v/>
      </c>
      <c r="Q2" s="10">
        <f>IF($AF2="","",INDEX(파견수련계획!$S$4:$S$803,$AF2))</f>
        <v/>
      </c>
      <c r="R2" s="10">
        <f>IF($AF2="","",INDEX(파견수련계획!$U$4:$U$803,$AF2))</f>
        <v/>
      </c>
      <c r="S2" s="11">
        <f>IF($AF2="","",IF(INDEX(파견수련계획!$H$4:$H$803,$AF2)="","",INDEX(파견수련계획!$H$4:$H$803,$AF2)))</f>
        <v/>
      </c>
      <c r="T2" s="11">
        <f>IF($AF2="","",IF(INDEX(파견수련계획!$I$4:$I$803,$AF2)="","",INDEX(파견수련계획!$I$4:$I$803,$AF2)))</f>
        <v/>
      </c>
      <c r="U2" s="10">
        <f>IF($AF2="","",INDEX(파견수련계획!$X$4:$X$803,$AF2))</f>
        <v/>
      </c>
      <c r="V2" s="17">
        <f>IF($AF2="","",INDEX(파견수련계획!$V$4:$V$803,$AF2))</f>
        <v/>
      </c>
      <c r="W2" s="17">
        <f>IF(AND($U2="파견중",$T2&lt;&gt;""),$T2-TODAY(),"")</f>
        <v/>
      </c>
      <c r="X2" s="17">
        <f>IF(OR($B2="",TRIM($J2&amp;"")=""),"",SUMPRODUCT((파견수련계획!$Q$4:$Q$803=TRIM($J2&amp;""))*파견수련계획!$W$4:$W$803))</f>
        <v/>
      </c>
      <c r="Y2" s="10">
        <f>IF($B2="","",IF($AG2="","",IF(IF(TRIM($J2&amp;"")="",0,SUMPRODUCT((파견수련계획!$Q$4:$Q$803=TRIM($J2&amp;""))*파견수련계획!$AD$4:$AD$803)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"&amp;$AI2&amp;"일)")),IF($AJ2="",$AE2,IF(INDEX(파견수련계획!$T$4:$T$803,$AJ2)="통합수련",INDEX(파견수련계획!$S$4:$S$803,$AJ2),$AE2)))))))</f>
        <v/>
      </c>
      <c r="Z2" s="19">
        <f>IF($B2="","",IF($AB2="","기본자료에 없는 사번",IF(COUNTIF($B$2:$B$401,$B2)&gt;1,"중복 사번",IF($AE2="","소속(입사장소) 입력",IF(IF(TRIM($J2&amp;"")="",0,SUMPRODUCT((파견수련계획!$Q$4:$Q$803=TRIM($J2&amp;""))*(파견수련계획!$AA$4:$AA$803&lt;&gt;"")))&gt;0,"파견수련계획 입력오류 확인",IF(LEFT($Y2,1)="⚠","서울·구리 15일 판정 불가(양쪽 모두 이상/미만)",IF(IF($AC2="",0,N(INDEX(인턴근무계획!$T$3:$T$402,$AC2)))&gt;0,"인턴계획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IF($B2="","",IFERROR(MATCH($B2,기본자료!$B$2:$B$1001,0),IFERROR(MATCH($B2&amp;"",기본자료!$B$2:$B$1001,0),IFERROR(MATCH(VALUE($B2),기본자료!$B$2:$B$1001,0),""))))</f>
        <v/>
      </c>
      <c r="AC2" s="10">
        <f>IF($B2="","",IFERROR(MATCH($B2,인턴근무계획!$D$3:$D$402,0),IFERROR(MATCH($B2&amp;"",인턴근무계획!$D$3:$D$402,0),IFERROR(MATCH(VALUE($B2),인턴근무계획!$D$3:$D$402,0),""))))</f>
        <v/>
      </c>
      <c r="AD2" s="10">
        <f>IF(OR($AC2="",인턴현황!$G$3=""),"",INDEX(인턴근무계획!$M$3:$R$402,$AC2,인턴현황!$G$3)&amp;"")</f>
        <v/>
      </c>
      <c r="AE2" s="10">
        <f>IF($B2="","",IF($M2&lt;&gt;"",$M2,IF($AF2&lt;&gt;"",IF(LEFT(INDEX(파견수련계획!$R$4:$R$803,$AF2),1)&lt;&gt;"⚠",INDEX(파견수련계획!$R$4:$R$803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$803,0),IFERROR(MATCH(TRIM($J2&amp;"")&amp;"|파견예정",파견수련계획!$Y$4:$Y$803,0),IFERROR(MATCH(TRIM($J2&amp;"")&amp;"|파견종료",파견수련계획!$Y$4:$Y$803,0),""))))</f>
        <v/>
      </c>
      <c r="AG2" s="10">
        <f>IF($B2="","",IF(AND(IF(OR($AC2="",인턴현황!$K$2=""),"",INDEX(인턴근무계획!$M$3:$R$402,$AC2,인턴현황!$K$2)&amp;"")&lt;&gt;"",LEFT(IF(OR($AC2="",인턴현황!$K$2=""),"",INDEX(인턴근무계획!$M$3:$R$402,$AC2,인턴현황!$K$2)&amp;""),1)&lt;&gt;"⚠"),LEFT(IF(OR($AC2="",인턴현황!$K$2=""),"",INDEX(인턴근무계획!$M$3:$R$402,$AC2,인턴현황!$K$2)&amp;""),FIND(" ",IF(OR($AC2="",인턴현황!$K$2=""),"",INDEX(인턴근무계획!$M$3:$R$402,$AC2,인턴현황!$K$2)&amp;""))-1),$AE2))</f>
        <v/>
      </c>
      <c r="AH2" s="17">
        <f>IF($B2="","",IF(TRIM($J2&amp;"")="",0,SUMPRODUCT((파견수련계획!$Q$4:$Q$803=TRIM($J2&amp;""))*(파견수련계획!$S$4:$S$803="서울병원")*파견수련계획!$W$4:$W$803))+IF($AG2="서울병원",MAX(0,DAY(EOMONTH(요약!$B$3,0))-N($X2)),0))</f>
        <v/>
      </c>
      <c r="AI2" s="17">
        <f>IF($B2="","",IF(TRIM($J2&amp;"")="",0,SUMPRODUCT((파견수련계획!$Q$4:$Q$803=TRIM($J2&amp;""))*(파견수련계획!$S$4:$S$803="구리병원")*파견수련계획!$W$4:$W$803))+IF($AG2="구리병원",MAX(0,DAY(EOMONTH(요약!$B$3,0))-N($X2)),0))</f>
        <v/>
      </c>
      <c r="AJ2" s="10">
        <f>IF(OR($B2="",TRIM($J2&amp;"")=""),"",IFERROR(MATCH(TRIM($J2&amp;"")&amp;"|월",파견수련계획!$Z$4:$Z$803,0),""))</f>
        <v/>
      </c>
      <c r="AK2" s="10">
        <f>IF(OR($B2="",TRIM($J2&amp;"")=""),"",IFERROR(MATCH(TRIM($J2&amp;"")&amp;"|다기관",파견수련계획!$AE$4:$AE$803,0),""))</f>
        <v/>
      </c>
      <c r="AL2" s="10">
        <f>IF($AK2="","","다기관 "&amp;TEXT(INDEX(파견수련계획!$AB$4:$AB$803,$AK2),"yyyy-mm-dd")&amp;"~"&amp;IF(ISNUMBER(INDEX(파견수련계획!$AC$4:$AC$803,$AK2)),TEXT(INDEX(파견수련계획!$AC$4:$AC$803,$AK2),"yyyy-mm-dd"),""))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IF($AB3="","",IF(INDEX(기본자료!$C$2:$C$1001,$AB3)="","",INDEX(기본자료!$C$2:$C$1001,$AB3)))</f>
        <v/>
      </c>
      <c r="D3" s="10">
        <f>IF($AB3="","",IF(INDEX(기본자료!$J$2:$J$1001,$AB3)="","",INDEX(기본자료!$J$2:$J$1001,$AB3)))</f>
        <v/>
      </c>
      <c r="E3" s="11">
        <f>IF($AB3="","",IF(INDEX(기본자료!$K$2:$K$1001,$AB3)="","",IF(NOT(ISNUMBER(INDEX(기본자료!$K$2:$K$1001,$AB3))),INDEX(기본자료!$K$2:$K$1001,$AB3),IF(INDEX(기본자료!$K$2:$K$1001,$AB3)&lt;1000000,INDEX(기본자료!$K$2:$K$1001,$AB3),IF(AND(INDEX(기본자료!$K$2:$K$1001,$AB3)&gt;=10000101,INT(MOD(INDEX(기본자료!$K$2:$K$1001,$AB3),10000)/100)&gt;=1,INT(MOD(INDEX(기본자료!$K$2:$K$1001,$AB3),10000)/100)&lt;=12,MOD(INDEX(기본자료!$K$2:$K$1001,$AB3),100)&gt;=1,MOD(INDEX(기본자료!$K$2:$K$1001,$AB3),100)&lt;=31),DATE(INT(INDEX(기본자료!$K$2:$K$1001,$AB3)/10000),INT(MOD(INDEX(기본자료!$K$2:$K$1001,$AB3),10000)/100),MOD(INDEX(기본자료!$K$2:$K$1001,$AB3),100)),INDEX(기본자료!$K$2:$K$1001,$AB3)&amp;"")))))</f>
        <v/>
      </c>
      <c r="F3" s="10">
        <f>IF($AB3="","",IF(INDEX(기본자료!$D$2:$D$1001,$AB3)="","",INDEX(기본자료!$D$2:$D$1001,$AB3)))</f>
        <v/>
      </c>
      <c r="G3" s="10">
        <f>IF($AB3="","",IF(INDEX(기본자료!$E$2:$E$1001,$AB3)="","",INDEX(기본자료!$E$2:$E$1001,$AB3)))</f>
        <v/>
      </c>
      <c r="H3" s="10">
        <f>IF($AB3="","",IF(INDEX(기본자료!$F$2:$F$1001,$AB3)="","",INDEX(기본자료!$F$2:$F$1001,$AB3)))</f>
        <v/>
      </c>
      <c r="I3" s="11">
        <f>IF($AB3="","",IF(INDEX(기본자료!$G$2:$G$1001,$AB3)="","",IF(NOT(ISNUMBER(INDEX(기본자료!$G$2:$G$1001,$AB3))),INDEX(기본자료!$G$2:$G$1001,$AB3),IF(INDEX(기본자료!$G$2:$G$1001,$AB3)&lt;1000000,INDEX(기본자료!$G$2:$G$1001,$AB3),IF(AND(INDEX(기본자료!$G$2:$G$1001,$AB3)&gt;=10000101,INT(MOD(INDEX(기본자료!$G$2:$G$1001,$AB3),10000)/100)&gt;=1,INT(MOD(INDEX(기본자료!$G$2:$G$1001,$AB3),10000)/100)&lt;=12,MOD(INDEX(기본자료!$G$2:$G$1001,$AB3),100)&gt;=1,MOD(INDEX(기본자료!$G$2:$G$1001,$AB3),100)&lt;=31),DATE(INT(INDEX(기본자료!$G$2:$G$1001,$AB3)/10000),INT(MOD(INDEX(기본자료!$G$2:$G$1001,$AB3),10000)/100),MOD(INDEX(기본자료!$G$2:$G$1001,$AB3),100)),INDEX(기본자료!$G$2:$G$1001,$AB3)&amp;"")))))</f>
        <v/>
      </c>
      <c r="J3" s="10">
        <f>IF($AB3="","",IF(INDEX(기본자료!$H$2:$H$1001,$AB3)="","",INDEX(기본자료!$H$2:$H$1001,$AB3)))</f>
        <v/>
      </c>
      <c r="K3" s="10">
        <f>IF($AB3="","",IF(INDEX(기본자료!$I$2:$I$1001,$AB3)="","",INDEX(기본자료!$I$2:$I$1001,$AB3)))</f>
        <v/>
      </c>
      <c r="L3" s="10">
        <f>IF($AB3="","",IF(INDEX(기본자료!$A$2:$A$1001,$AB3)="","",INDEX(기본자료!$A$2:$A$1001,$AB3)))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$803,$AK3),OR(NOT(ISNUMBER(INDEX(파견수련계획!$AC$4:$AC$803,$AK3))),TODAY()&lt;=INDEX(파견수련계획!$AC$4:$AC$803,$AK3))),"다기관",IF($AF3="","",INDEX(파견수련계획!$T$4:$T$803,$AF3))),IF($AF3="","",INDEX(파견수련계획!$T$4:$T$803,$AF3))))</f>
        <v/>
      </c>
      <c r="Q3" s="10">
        <f>IF($AF3="","",INDEX(파견수련계획!$S$4:$S$803,$AF3))</f>
        <v/>
      </c>
      <c r="R3" s="10">
        <f>IF($AF3="","",INDEX(파견수련계획!$U$4:$U$803,$AF3))</f>
        <v/>
      </c>
      <c r="S3" s="11">
        <f>IF($AF3="","",IF(INDEX(파견수련계획!$H$4:$H$803,$AF3)="","",INDEX(파견수련계획!$H$4:$H$803,$AF3)))</f>
        <v/>
      </c>
      <c r="T3" s="11">
        <f>IF($AF3="","",IF(INDEX(파견수련계획!$I$4:$I$803,$AF3)="","",INDEX(파견수련계획!$I$4:$I$803,$AF3)))</f>
        <v/>
      </c>
      <c r="U3" s="10">
        <f>IF($AF3="","",INDEX(파견수련계획!$X$4:$X$803,$AF3))</f>
        <v/>
      </c>
      <c r="V3" s="17">
        <f>IF($AF3="","",INDEX(파견수련계획!$V$4:$V$803,$AF3))</f>
        <v/>
      </c>
      <c r="W3" s="17">
        <f>IF(AND($U3="파견중",$T3&lt;&gt;""),$T3-TODAY(),"")</f>
        <v/>
      </c>
      <c r="X3" s="17">
        <f>IF(OR($B3="",TRIM($J3&amp;"")=""),"",SUMPRODUCT((파견수련계획!$Q$4:$Q$803=TRIM($J3&amp;""))*파견수련계획!$W$4:$W$803))</f>
        <v/>
      </c>
      <c r="Y3" s="10">
        <f>IF($B3="","",IF($AG3="","",IF(IF(TRIM($J3&amp;"")="",0,SUMPRODUCT((파견수련계획!$Q$4:$Q$803=TRIM($J3&amp;""))*파견수련계획!$AD$4:$AD$803)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"&amp;$AI3&amp;"일)")),IF($AJ3="",$AE3,IF(INDEX(파견수련계획!$T$4:$T$803,$AJ3)="통합수련",INDEX(파견수련계획!$S$4:$S$803,$AJ3),$AE3)))))))</f>
        <v/>
      </c>
      <c r="Z3" s="19">
        <f>IF($B3="","",IF($AB3="","기본자료에 없는 사번",IF(COUNTIF($B$2:$B$401,$B3)&gt;1,"중복 사번",IF($AE3="","소속(입사장소) 입력",IF(IF(TRIM($J3&amp;"")="",0,SUMPRODUCT((파견수련계획!$Q$4:$Q$803=TRIM($J3&amp;""))*(파견수련계획!$AA$4:$AA$803&lt;&gt;"")))&gt;0,"파견수련계획 입력오류 확인",IF(LEFT($Y3,1)="⚠","서울·구리 15일 판정 불가(양쪽 모두 이상/미만)",IF(IF($AC3="",0,N(INDEX(인턴근무계획!$T$3:$T$402,$AC3)))&gt;0,"인턴계획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IF($B3="","",IFERROR(MATCH($B3,기본자료!$B$2:$B$1001,0),IFERROR(MATCH($B3&amp;"",기본자료!$B$2:$B$1001,0),IFERROR(MATCH(VALUE($B3),기본자료!$B$2:$B$1001,0),""))))</f>
        <v/>
      </c>
      <c r="AC3" s="10">
        <f>IF($B3="","",IFERROR(MATCH($B3,인턴근무계획!$D$3:$D$402,0),IFERROR(MATCH($B3&amp;"",인턴근무계획!$D$3:$D$402,0),IFERROR(MATCH(VALUE($B3),인턴근무계획!$D$3:$D$402,0),""))))</f>
        <v/>
      </c>
      <c r="AD3" s="10">
        <f>IF(OR($AC3="",인턴현황!$G$3=""),"",INDEX(인턴근무계획!$M$3:$R$402,$AC3,인턴현황!$G$3)&amp;"")</f>
        <v/>
      </c>
      <c r="AE3" s="10">
        <f>IF($B3="","",IF($M3&lt;&gt;"",$M3,IF($AF3&lt;&gt;"",IF(LEFT(INDEX(파견수련계획!$R$4:$R$803,$AF3),1)&lt;&gt;"⚠",INDEX(파견수련계획!$R$4:$R$803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$803,0),IFERROR(MATCH(TRIM($J3&amp;"")&amp;"|파견예정",파견수련계획!$Y$4:$Y$803,0),IFERROR(MATCH(TRIM($J3&amp;"")&amp;"|파견종료",파견수련계획!$Y$4:$Y$803,0),""))))</f>
        <v/>
      </c>
      <c r="AG3" s="10">
        <f>IF($B3="","",IF(AND(IF(OR($AC3="",인턴현황!$K$2=""),"",INDEX(인턴근무계획!$M$3:$R$402,$AC3,인턴현황!$K$2)&amp;"")&lt;&gt;"",LEFT(IF(OR($AC3="",인턴현황!$K$2=""),"",INDEX(인턴근무계획!$M$3:$R$402,$AC3,인턴현황!$K$2)&amp;""),1)&lt;&gt;"⚠"),LEFT(IF(OR($AC3="",인턴현황!$K$2=""),"",INDEX(인턴근무계획!$M$3:$R$402,$AC3,인턴현황!$K$2)&amp;""),FIND(" ",IF(OR($AC3="",인턴현황!$K$2=""),"",INDEX(인턴근무계획!$M$3:$R$402,$AC3,인턴현황!$K$2)&amp;""))-1),$AE3))</f>
        <v/>
      </c>
      <c r="AH3" s="17">
        <f>IF($B3="","",IF(TRIM($J3&amp;"")="",0,SUMPRODUCT((파견수련계획!$Q$4:$Q$803=TRIM($J3&amp;""))*(파견수련계획!$S$4:$S$803="서울병원")*파견수련계획!$W$4:$W$803))+IF($AG3="서울병원",MAX(0,DAY(EOMONTH(요약!$B$3,0))-N($X3)),0))</f>
        <v/>
      </c>
      <c r="AI3" s="17">
        <f>IF($B3="","",IF(TRIM($J3&amp;"")="",0,SUMPRODUCT((파견수련계획!$Q$4:$Q$803=TRIM($J3&amp;""))*(파견수련계획!$S$4:$S$803="구리병원")*파견수련계획!$W$4:$W$803))+IF($AG3="구리병원",MAX(0,DAY(EOMONTH(요약!$B$3,0))-N($X3)),0))</f>
        <v/>
      </c>
      <c r="AJ3" s="10">
        <f>IF(OR($B3="",TRIM($J3&amp;"")=""),"",IFERROR(MATCH(TRIM($J3&amp;"")&amp;"|월",파견수련계획!$Z$4:$Z$803,0),""))</f>
        <v/>
      </c>
      <c r="AK3" s="10">
        <f>IF(OR($B3="",TRIM($J3&amp;"")=""),"",IFERROR(MATCH(TRIM($J3&amp;"")&amp;"|다기관",파견수련계획!$AE$4:$AE$803,0),""))</f>
        <v/>
      </c>
      <c r="AL3" s="10">
        <f>IF($AK3="","","다기관 "&amp;TEXT(INDEX(파견수련계획!$AB$4:$AB$803,$AK3),"yyyy-mm-dd")&amp;"~"&amp;IF(ISNUMBER(INDEX(파견수련계획!$AC$4:$AC$803,$AK3)),TEXT(INDEX(파견수련계획!$AC$4:$AC$803,$AK3),"yyyy-mm-dd"),""))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IF($AB4="","",IF(INDEX(기본자료!$C$2:$C$1001,$AB4)="","",INDEX(기본자료!$C$2:$C$1001,$AB4)))</f>
        <v/>
      </c>
      <c r="D4" s="10">
        <f>IF($AB4="","",IF(INDEX(기본자료!$J$2:$J$1001,$AB4)="","",INDEX(기본자료!$J$2:$J$1001,$AB4)))</f>
        <v/>
      </c>
      <c r="E4" s="11">
        <f>IF($AB4="","",IF(INDEX(기본자료!$K$2:$K$1001,$AB4)="","",IF(NOT(ISNUMBER(INDEX(기본자료!$K$2:$K$1001,$AB4))),INDEX(기본자료!$K$2:$K$1001,$AB4),IF(INDEX(기본자료!$K$2:$K$1001,$AB4)&lt;1000000,INDEX(기본자료!$K$2:$K$1001,$AB4),IF(AND(INDEX(기본자료!$K$2:$K$1001,$AB4)&gt;=10000101,INT(MOD(INDEX(기본자료!$K$2:$K$1001,$AB4),10000)/100)&gt;=1,INT(MOD(INDEX(기본자료!$K$2:$K$1001,$AB4),10000)/100)&lt;=12,MOD(INDEX(기본자료!$K$2:$K$1001,$AB4),100)&gt;=1,MOD(INDEX(기본자료!$K$2:$K$1001,$AB4),100)&lt;=31),DATE(INT(INDEX(기본자료!$K$2:$K$1001,$AB4)/10000),INT(MOD(INDEX(기본자료!$K$2:$K$1001,$AB4),10000)/100),MOD(INDEX(기본자료!$K$2:$K$1001,$AB4),100)),INDEX(기본자료!$K$2:$K$1001,$AB4)&amp;"")))))</f>
        <v/>
      </c>
      <c r="F4" s="10">
        <f>IF($AB4="","",IF(INDEX(기본자료!$D$2:$D$1001,$AB4)="","",INDEX(기본자료!$D$2:$D$1001,$AB4)))</f>
        <v/>
      </c>
      <c r="G4" s="10">
        <f>IF($AB4="","",IF(INDEX(기본자료!$E$2:$E$1001,$AB4)="","",INDEX(기본자료!$E$2:$E$1001,$AB4)))</f>
        <v/>
      </c>
      <c r="H4" s="10">
        <f>IF($AB4="","",IF(INDEX(기본자료!$F$2:$F$1001,$AB4)="","",INDEX(기본자료!$F$2:$F$1001,$AB4)))</f>
        <v/>
      </c>
      <c r="I4" s="11">
        <f>IF($AB4="","",IF(INDEX(기본자료!$G$2:$G$1001,$AB4)="","",IF(NOT(ISNUMBER(INDEX(기본자료!$G$2:$G$1001,$AB4))),INDEX(기본자료!$G$2:$G$1001,$AB4),IF(INDEX(기본자료!$G$2:$G$1001,$AB4)&lt;1000000,INDEX(기본자료!$G$2:$G$1001,$AB4),IF(AND(INDEX(기본자료!$G$2:$G$1001,$AB4)&gt;=10000101,INT(MOD(INDEX(기본자료!$G$2:$G$1001,$AB4),10000)/100)&gt;=1,INT(MOD(INDEX(기본자료!$G$2:$G$1001,$AB4),10000)/100)&lt;=12,MOD(INDEX(기본자료!$G$2:$G$1001,$AB4),100)&gt;=1,MOD(INDEX(기본자료!$G$2:$G$1001,$AB4),100)&lt;=31),DATE(INT(INDEX(기본자료!$G$2:$G$1001,$AB4)/10000),INT(MOD(INDEX(기본자료!$G$2:$G$1001,$AB4),10000)/100),MOD(INDEX(기본자료!$G$2:$G$1001,$AB4),100)),INDEX(기본자료!$G$2:$G$1001,$AB4)&amp;"")))))</f>
        <v/>
      </c>
      <c r="J4" s="10">
        <f>IF($AB4="","",IF(INDEX(기본자료!$H$2:$H$1001,$AB4)="","",INDEX(기본자료!$H$2:$H$1001,$AB4)))</f>
        <v/>
      </c>
      <c r="K4" s="10">
        <f>IF($AB4="","",IF(INDEX(기본자료!$I$2:$I$1001,$AB4)="","",INDEX(기본자료!$I$2:$I$1001,$AB4)))</f>
        <v/>
      </c>
      <c r="L4" s="10">
        <f>IF($AB4="","",IF(INDEX(기본자료!$A$2:$A$1001,$AB4)="","",INDEX(기본자료!$A$2:$A$1001,$AB4)))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$803,$AK4),OR(NOT(ISNUMBER(INDEX(파견수련계획!$AC$4:$AC$803,$AK4))),TODAY()&lt;=INDEX(파견수련계획!$AC$4:$AC$803,$AK4))),"다기관",IF($AF4="","",INDEX(파견수련계획!$T$4:$T$803,$AF4))),IF($AF4="","",INDEX(파견수련계획!$T$4:$T$803,$AF4))))</f>
        <v/>
      </c>
      <c r="Q4" s="10">
        <f>IF($AF4="","",INDEX(파견수련계획!$S$4:$S$803,$AF4))</f>
        <v/>
      </c>
      <c r="R4" s="10">
        <f>IF($AF4="","",INDEX(파견수련계획!$U$4:$U$803,$AF4))</f>
        <v/>
      </c>
      <c r="S4" s="11">
        <f>IF($AF4="","",IF(INDEX(파견수련계획!$H$4:$H$803,$AF4)="","",INDEX(파견수련계획!$H$4:$H$803,$AF4)))</f>
        <v/>
      </c>
      <c r="T4" s="11">
        <f>IF($AF4="","",IF(INDEX(파견수련계획!$I$4:$I$803,$AF4)="","",INDEX(파견수련계획!$I$4:$I$803,$AF4)))</f>
        <v/>
      </c>
      <c r="U4" s="10">
        <f>IF($AF4="","",INDEX(파견수련계획!$X$4:$X$803,$AF4))</f>
        <v/>
      </c>
      <c r="V4" s="17">
        <f>IF($AF4="","",INDEX(파견수련계획!$V$4:$V$803,$AF4))</f>
        <v/>
      </c>
      <c r="W4" s="17">
        <f>IF(AND($U4="파견중",$T4&lt;&gt;""),$T4-TODAY(),"")</f>
        <v/>
      </c>
      <c r="X4" s="17">
        <f>IF(OR($B4="",TRIM($J4&amp;"")=""),"",SUMPRODUCT((파견수련계획!$Q$4:$Q$803=TRIM($J4&amp;""))*파견수련계획!$W$4:$W$803))</f>
        <v/>
      </c>
      <c r="Y4" s="10">
        <f>IF($B4="","",IF($AG4="","",IF(IF(TRIM($J4&amp;"")="",0,SUMPRODUCT((파견수련계획!$Q$4:$Q$803=TRIM($J4&amp;""))*파견수련계획!$AD$4:$AD$803)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"&amp;$AI4&amp;"일)")),IF($AJ4="",$AE4,IF(INDEX(파견수련계획!$T$4:$T$803,$AJ4)="통합수련",INDEX(파견수련계획!$S$4:$S$803,$AJ4),$AE4)))))))</f>
        <v/>
      </c>
      <c r="Z4" s="19">
        <f>IF($B4="","",IF($AB4="","기본자료에 없는 사번",IF(COUNTIF($B$2:$B$401,$B4)&gt;1,"중복 사번",IF($AE4="","소속(입사장소) 입력",IF(IF(TRIM($J4&amp;"")="",0,SUMPRODUCT((파견수련계획!$Q$4:$Q$803=TRIM($J4&amp;""))*(파견수련계획!$AA$4:$AA$803&lt;&gt;"")))&gt;0,"파견수련계획 입력오류 확인",IF(LEFT($Y4,1)="⚠","서울·구리 15일 판정 불가(양쪽 모두 이상/미만)",IF(IF($AC4="",0,N(INDEX(인턴근무계획!$T$3:$T$402,$AC4)))&gt;0,"인턴계획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IF($B4="","",IFERROR(MATCH($B4,기본자료!$B$2:$B$1001,0),IFERROR(MATCH($B4&amp;"",기본자료!$B$2:$B$1001,0),IFERROR(MATCH(VALUE($B4),기본자료!$B$2:$B$1001,0),""))))</f>
        <v/>
      </c>
      <c r="AC4" s="10">
        <f>IF($B4="","",IFERROR(MATCH($B4,인턴근무계획!$D$3:$D$402,0),IFERROR(MATCH($B4&amp;"",인턴근무계획!$D$3:$D$402,0),IFERROR(MATCH(VALUE($B4),인턴근무계획!$D$3:$D$402,0),""))))</f>
        <v/>
      </c>
      <c r="AD4" s="10">
        <f>IF(OR($AC4="",인턴현황!$G$3=""),"",INDEX(인턴근무계획!$M$3:$R$402,$AC4,인턴현황!$G$3)&amp;"")</f>
        <v/>
      </c>
      <c r="AE4" s="10">
        <f>IF($B4="","",IF($M4&lt;&gt;"",$M4,IF($AF4&lt;&gt;"",IF(LEFT(INDEX(파견수련계획!$R$4:$R$803,$AF4),1)&lt;&gt;"⚠",INDEX(파견수련계획!$R$4:$R$803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$803,0),IFERROR(MATCH(TRIM($J4&amp;"")&amp;"|파견예정",파견수련계획!$Y$4:$Y$803,0),IFERROR(MATCH(TRIM($J4&amp;"")&amp;"|파견종료",파견수련계획!$Y$4:$Y$803,0),""))))</f>
        <v/>
      </c>
      <c r="AG4" s="10">
        <f>IF($B4="","",IF(AND(IF(OR($AC4="",인턴현황!$K$2=""),"",INDEX(인턴근무계획!$M$3:$R$402,$AC4,인턴현황!$K$2)&amp;"")&lt;&gt;"",LEFT(IF(OR($AC4="",인턴현황!$K$2=""),"",INDEX(인턴근무계획!$M$3:$R$402,$AC4,인턴현황!$K$2)&amp;""),1)&lt;&gt;"⚠"),LEFT(IF(OR($AC4="",인턴현황!$K$2=""),"",INDEX(인턴근무계획!$M$3:$R$402,$AC4,인턴현황!$K$2)&amp;""),FIND(" ",IF(OR($AC4="",인턴현황!$K$2=""),"",INDEX(인턴근무계획!$M$3:$R$402,$AC4,인턴현황!$K$2)&amp;""))-1),$AE4))</f>
        <v/>
      </c>
      <c r="AH4" s="17">
        <f>IF($B4="","",IF(TRIM($J4&amp;"")="",0,SUMPRODUCT((파견수련계획!$Q$4:$Q$803=TRIM($J4&amp;""))*(파견수련계획!$S$4:$S$803="서울병원")*파견수련계획!$W$4:$W$803))+IF($AG4="서울병원",MAX(0,DAY(EOMONTH(요약!$B$3,0))-N($X4)),0))</f>
        <v/>
      </c>
      <c r="AI4" s="17">
        <f>IF($B4="","",IF(TRIM($J4&amp;"")="",0,SUMPRODUCT((파견수련계획!$Q$4:$Q$803=TRIM($J4&amp;""))*(파견수련계획!$S$4:$S$803="구리병원")*파견수련계획!$W$4:$W$803))+IF($AG4="구리병원",MAX(0,DAY(EOMONTH(요약!$B$3,0))-N($X4)),0))</f>
        <v/>
      </c>
      <c r="AJ4" s="10">
        <f>IF(OR($B4="",TRIM($J4&amp;"")=""),"",IFERROR(MATCH(TRIM($J4&amp;"")&amp;"|월",파견수련계획!$Z$4:$Z$803,0),""))</f>
        <v/>
      </c>
      <c r="AK4" s="10">
        <f>IF(OR($B4="",TRIM($J4&amp;"")=""),"",IFERROR(MATCH(TRIM($J4&amp;"")&amp;"|다기관",파견수련계획!$AE$4:$AE$803,0),""))</f>
        <v/>
      </c>
      <c r="AL4" s="10">
        <f>IF($AK4="","","다기관 "&amp;TEXT(INDEX(파견수련계획!$AB$4:$AB$803,$AK4),"yyyy-mm-dd")&amp;"~"&amp;IF(ISNUMBER(INDEX(파견수련계획!$AC$4:$AC$803,$AK4)),TEXT(INDEX(파견수련계획!$AC$4:$AC$803,$AK4),"yyyy-mm-dd"),""))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IF($AB5="","",IF(INDEX(기본자료!$C$2:$C$1001,$AB5)="","",INDEX(기본자료!$C$2:$C$1001,$AB5)))</f>
        <v/>
      </c>
      <c r="D5" s="10">
        <f>IF($AB5="","",IF(INDEX(기본자료!$J$2:$J$1001,$AB5)="","",INDEX(기본자료!$J$2:$J$1001,$AB5)))</f>
        <v/>
      </c>
      <c r="E5" s="11">
        <f>IF($AB5="","",IF(INDEX(기본자료!$K$2:$K$1001,$AB5)="","",IF(NOT(ISNUMBER(INDEX(기본자료!$K$2:$K$1001,$AB5))),INDEX(기본자료!$K$2:$K$1001,$AB5),IF(INDEX(기본자료!$K$2:$K$1001,$AB5)&lt;1000000,INDEX(기본자료!$K$2:$K$1001,$AB5),IF(AND(INDEX(기본자료!$K$2:$K$1001,$AB5)&gt;=10000101,INT(MOD(INDEX(기본자료!$K$2:$K$1001,$AB5),10000)/100)&gt;=1,INT(MOD(INDEX(기본자료!$K$2:$K$1001,$AB5),10000)/100)&lt;=12,MOD(INDEX(기본자료!$K$2:$K$1001,$AB5),100)&gt;=1,MOD(INDEX(기본자료!$K$2:$K$1001,$AB5),100)&lt;=31),DATE(INT(INDEX(기본자료!$K$2:$K$1001,$AB5)/10000),INT(MOD(INDEX(기본자료!$K$2:$K$1001,$AB5),10000)/100),MOD(INDEX(기본자료!$K$2:$K$1001,$AB5),100)),INDEX(기본자료!$K$2:$K$1001,$AB5)&amp;"")))))</f>
        <v/>
      </c>
      <c r="F5" s="10">
        <f>IF($AB5="","",IF(INDEX(기본자료!$D$2:$D$1001,$AB5)="","",INDEX(기본자료!$D$2:$D$1001,$AB5)))</f>
        <v/>
      </c>
      <c r="G5" s="10">
        <f>IF($AB5="","",IF(INDEX(기본자료!$E$2:$E$1001,$AB5)="","",INDEX(기본자료!$E$2:$E$1001,$AB5)))</f>
        <v/>
      </c>
      <c r="H5" s="10">
        <f>IF($AB5="","",IF(INDEX(기본자료!$F$2:$F$1001,$AB5)="","",INDEX(기본자료!$F$2:$F$1001,$AB5)))</f>
        <v/>
      </c>
      <c r="I5" s="11">
        <f>IF($AB5="","",IF(INDEX(기본자료!$G$2:$G$1001,$AB5)="","",IF(NOT(ISNUMBER(INDEX(기본자료!$G$2:$G$1001,$AB5))),INDEX(기본자료!$G$2:$G$1001,$AB5),IF(INDEX(기본자료!$G$2:$G$1001,$AB5)&lt;1000000,INDEX(기본자료!$G$2:$G$1001,$AB5),IF(AND(INDEX(기본자료!$G$2:$G$1001,$AB5)&gt;=10000101,INT(MOD(INDEX(기본자료!$G$2:$G$1001,$AB5),10000)/100)&gt;=1,INT(MOD(INDEX(기본자료!$G$2:$G$1001,$AB5),10000)/100)&lt;=12,MOD(INDEX(기본자료!$G$2:$G$1001,$AB5),100)&gt;=1,MOD(INDEX(기본자료!$G$2:$G$1001,$AB5),100)&lt;=31),DATE(INT(INDEX(기본자료!$G$2:$G$1001,$AB5)/10000),INT(MOD(INDEX(기본자료!$G$2:$G$1001,$AB5),10000)/100),MOD(INDEX(기본자료!$G$2:$G$1001,$AB5),100)),INDEX(기본자료!$G$2:$G$1001,$AB5)&amp;"")))))</f>
        <v/>
      </c>
      <c r="J5" s="10">
        <f>IF($AB5="","",IF(INDEX(기본자료!$H$2:$H$1001,$AB5)="","",INDEX(기본자료!$H$2:$H$1001,$AB5)))</f>
        <v/>
      </c>
      <c r="K5" s="10">
        <f>IF($AB5="","",IF(INDEX(기본자료!$I$2:$I$1001,$AB5)="","",INDEX(기본자료!$I$2:$I$1001,$AB5)))</f>
        <v/>
      </c>
      <c r="L5" s="10">
        <f>IF($AB5="","",IF(INDEX(기본자료!$A$2:$A$1001,$AB5)="","",INDEX(기본자료!$A$2:$A$1001,$AB5)))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$803,$AK5),OR(NOT(ISNUMBER(INDEX(파견수련계획!$AC$4:$AC$803,$AK5))),TODAY()&lt;=INDEX(파견수련계획!$AC$4:$AC$803,$AK5))),"다기관",IF($AF5="","",INDEX(파견수련계획!$T$4:$T$803,$AF5))),IF($AF5="","",INDEX(파견수련계획!$T$4:$T$803,$AF5))))</f>
        <v/>
      </c>
      <c r="Q5" s="10">
        <f>IF($AF5="","",INDEX(파견수련계획!$S$4:$S$803,$AF5))</f>
        <v/>
      </c>
      <c r="R5" s="10">
        <f>IF($AF5="","",INDEX(파견수련계획!$U$4:$U$803,$AF5))</f>
        <v/>
      </c>
      <c r="S5" s="11">
        <f>IF($AF5="","",IF(INDEX(파견수련계획!$H$4:$H$803,$AF5)="","",INDEX(파견수련계획!$H$4:$H$803,$AF5)))</f>
        <v/>
      </c>
      <c r="T5" s="11">
        <f>IF($AF5="","",IF(INDEX(파견수련계획!$I$4:$I$803,$AF5)="","",INDEX(파견수련계획!$I$4:$I$803,$AF5)))</f>
        <v/>
      </c>
      <c r="U5" s="10">
        <f>IF($AF5="","",INDEX(파견수련계획!$X$4:$X$803,$AF5))</f>
        <v/>
      </c>
      <c r="V5" s="17">
        <f>IF($AF5="","",INDEX(파견수련계획!$V$4:$V$803,$AF5))</f>
        <v/>
      </c>
      <c r="W5" s="17">
        <f>IF(AND($U5="파견중",$T5&lt;&gt;""),$T5-TODAY(),"")</f>
        <v/>
      </c>
      <c r="X5" s="17">
        <f>IF(OR($B5="",TRIM($J5&amp;"")=""),"",SUMPRODUCT((파견수련계획!$Q$4:$Q$803=TRIM($J5&amp;""))*파견수련계획!$W$4:$W$803))</f>
        <v/>
      </c>
      <c r="Y5" s="10">
        <f>IF($B5="","",IF($AG5="","",IF(IF(TRIM($J5&amp;"")="",0,SUMPRODUCT((파견수련계획!$Q$4:$Q$803=TRIM($J5&amp;""))*파견수련계획!$AD$4:$AD$803)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"&amp;$AI5&amp;"일)")),IF($AJ5="",$AE5,IF(INDEX(파견수련계획!$T$4:$T$803,$AJ5)="통합수련",INDEX(파견수련계획!$S$4:$S$803,$AJ5),$AE5)))))))</f>
        <v/>
      </c>
      <c r="Z5" s="19">
        <f>IF($B5="","",IF($AB5="","기본자료에 없는 사번",IF(COUNTIF($B$2:$B$401,$B5)&gt;1,"중복 사번",IF($AE5="","소속(입사장소) 입력",IF(IF(TRIM($J5&amp;"")="",0,SUMPRODUCT((파견수련계획!$Q$4:$Q$803=TRIM($J5&amp;""))*(파견수련계획!$AA$4:$AA$803&lt;&gt;"")))&gt;0,"파견수련계획 입력오류 확인",IF(LEFT($Y5,1)="⚠","서울·구리 15일 판정 불가(양쪽 모두 이상/미만)",IF(IF($AC5="",0,N(INDEX(인턴근무계획!$T$3:$T$402,$AC5)))&gt;0,"인턴계획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IF($B5="","",IFERROR(MATCH($B5,기본자료!$B$2:$B$1001,0),IFERROR(MATCH($B5&amp;"",기본자료!$B$2:$B$1001,0),IFERROR(MATCH(VALUE($B5),기본자료!$B$2:$B$1001,0),""))))</f>
        <v/>
      </c>
      <c r="AC5" s="10">
        <f>IF($B5="","",IFERROR(MATCH($B5,인턴근무계획!$D$3:$D$402,0),IFERROR(MATCH($B5&amp;"",인턴근무계획!$D$3:$D$402,0),IFERROR(MATCH(VALUE($B5),인턴근무계획!$D$3:$D$402,0),""))))</f>
        <v/>
      </c>
      <c r="AD5" s="10">
        <f>IF(OR($AC5="",인턴현황!$G$3=""),"",INDEX(인턴근무계획!$M$3:$R$402,$AC5,인턴현황!$G$3)&amp;"")</f>
        <v/>
      </c>
      <c r="AE5" s="10">
        <f>IF($B5="","",IF($M5&lt;&gt;"",$M5,IF($AF5&lt;&gt;"",IF(LEFT(INDEX(파견수련계획!$R$4:$R$803,$AF5),1)&lt;&gt;"⚠",INDEX(파견수련계획!$R$4:$R$803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$803,0),IFERROR(MATCH(TRIM($J5&amp;"")&amp;"|파견예정",파견수련계획!$Y$4:$Y$803,0),IFERROR(MATCH(TRIM($J5&amp;"")&amp;"|파견종료",파견수련계획!$Y$4:$Y$803,0),""))))</f>
        <v/>
      </c>
      <c r="AG5" s="10">
        <f>IF($B5="","",IF(AND(IF(OR($AC5="",인턴현황!$K$2=""),"",INDEX(인턴근무계획!$M$3:$R$402,$AC5,인턴현황!$K$2)&amp;"")&lt;&gt;"",LEFT(IF(OR($AC5="",인턴현황!$K$2=""),"",INDEX(인턴근무계획!$M$3:$R$402,$AC5,인턴현황!$K$2)&amp;""),1)&lt;&gt;"⚠"),LEFT(IF(OR($AC5="",인턴현황!$K$2=""),"",INDEX(인턴근무계획!$M$3:$R$402,$AC5,인턴현황!$K$2)&amp;""),FIND(" ",IF(OR($AC5="",인턴현황!$K$2=""),"",INDEX(인턴근무계획!$M$3:$R$402,$AC5,인턴현황!$K$2)&amp;""))-1),$AE5))</f>
        <v/>
      </c>
      <c r="AH5" s="17">
        <f>IF($B5="","",IF(TRIM($J5&amp;"")="",0,SUMPRODUCT((파견수련계획!$Q$4:$Q$803=TRIM($J5&amp;""))*(파견수련계획!$S$4:$S$803="서울병원")*파견수련계획!$W$4:$W$803))+IF($AG5="서울병원",MAX(0,DAY(EOMONTH(요약!$B$3,0))-N($X5)),0))</f>
        <v/>
      </c>
      <c r="AI5" s="17">
        <f>IF($B5="","",IF(TRIM($J5&amp;"")="",0,SUMPRODUCT((파견수련계획!$Q$4:$Q$803=TRIM($J5&amp;""))*(파견수련계획!$S$4:$S$803="구리병원")*파견수련계획!$W$4:$W$803))+IF($AG5="구리병원",MAX(0,DAY(EOMONTH(요약!$B$3,0))-N($X5)),0))</f>
        <v/>
      </c>
      <c r="AJ5" s="10">
        <f>IF(OR($B5="",TRIM($J5&amp;"")=""),"",IFERROR(MATCH(TRIM($J5&amp;"")&amp;"|월",파견수련계획!$Z$4:$Z$803,0),""))</f>
        <v/>
      </c>
      <c r="AK5" s="10">
        <f>IF(OR($B5="",TRIM($J5&amp;"")=""),"",IFERROR(MATCH(TRIM($J5&amp;"")&amp;"|다기관",파견수련계획!$AE$4:$AE$803,0),""))</f>
        <v/>
      </c>
      <c r="AL5" s="10">
        <f>IF($AK5="","","다기관 "&amp;TEXT(INDEX(파견수련계획!$AB$4:$AB$803,$AK5),"yyyy-mm-dd")&amp;"~"&amp;IF(ISNUMBER(INDEX(파견수련계획!$AC$4:$AC$803,$AK5)),TEXT(INDEX(파견수련계획!$AC$4:$AC$803,$AK5),"yyyy-mm-dd"),""))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IF($AB6="","",IF(INDEX(기본자료!$C$2:$C$1001,$AB6)="","",INDEX(기본자료!$C$2:$C$1001,$AB6)))</f>
        <v/>
      </c>
      <c r="D6" s="10">
        <f>IF($AB6="","",IF(INDEX(기본자료!$J$2:$J$1001,$AB6)="","",INDEX(기본자료!$J$2:$J$1001,$AB6)))</f>
        <v/>
      </c>
      <c r="E6" s="11">
        <f>IF($AB6="","",IF(INDEX(기본자료!$K$2:$K$1001,$AB6)="","",IF(NOT(ISNUMBER(INDEX(기본자료!$K$2:$K$1001,$AB6))),INDEX(기본자료!$K$2:$K$1001,$AB6),IF(INDEX(기본자료!$K$2:$K$1001,$AB6)&lt;1000000,INDEX(기본자료!$K$2:$K$1001,$AB6),IF(AND(INDEX(기본자료!$K$2:$K$1001,$AB6)&gt;=10000101,INT(MOD(INDEX(기본자료!$K$2:$K$1001,$AB6),10000)/100)&gt;=1,INT(MOD(INDEX(기본자료!$K$2:$K$1001,$AB6),10000)/100)&lt;=12,MOD(INDEX(기본자료!$K$2:$K$1001,$AB6),100)&gt;=1,MOD(INDEX(기본자료!$K$2:$K$1001,$AB6),100)&lt;=31),DATE(INT(INDEX(기본자료!$K$2:$K$1001,$AB6)/10000),INT(MOD(INDEX(기본자료!$K$2:$K$1001,$AB6),10000)/100),MOD(INDEX(기본자료!$K$2:$K$1001,$AB6),100)),INDEX(기본자료!$K$2:$K$1001,$AB6)&amp;"")))))</f>
        <v/>
      </c>
      <c r="F6" s="10">
        <f>IF($AB6="","",IF(INDEX(기본자료!$D$2:$D$1001,$AB6)="","",INDEX(기본자료!$D$2:$D$1001,$AB6)))</f>
        <v/>
      </c>
      <c r="G6" s="10">
        <f>IF($AB6="","",IF(INDEX(기본자료!$E$2:$E$1001,$AB6)="","",INDEX(기본자료!$E$2:$E$1001,$AB6)))</f>
        <v/>
      </c>
      <c r="H6" s="10">
        <f>IF($AB6="","",IF(INDEX(기본자료!$F$2:$F$1001,$AB6)="","",INDEX(기본자료!$F$2:$F$1001,$AB6)))</f>
        <v/>
      </c>
      <c r="I6" s="11">
        <f>IF($AB6="","",IF(INDEX(기본자료!$G$2:$G$1001,$AB6)="","",IF(NOT(ISNUMBER(INDEX(기본자료!$G$2:$G$1001,$AB6))),INDEX(기본자료!$G$2:$G$1001,$AB6),IF(INDEX(기본자료!$G$2:$G$1001,$AB6)&lt;1000000,INDEX(기본자료!$G$2:$G$1001,$AB6),IF(AND(INDEX(기본자료!$G$2:$G$1001,$AB6)&gt;=10000101,INT(MOD(INDEX(기본자료!$G$2:$G$1001,$AB6),10000)/100)&gt;=1,INT(MOD(INDEX(기본자료!$G$2:$G$1001,$AB6),10000)/100)&lt;=12,MOD(INDEX(기본자료!$G$2:$G$1001,$AB6),100)&gt;=1,MOD(INDEX(기본자료!$G$2:$G$1001,$AB6),100)&lt;=31),DATE(INT(INDEX(기본자료!$G$2:$G$1001,$AB6)/10000),INT(MOD(INDEX(기본자료!$G$2:$G$1001,$AB6),10000)/100),MOD(INDEX(기본자료!$G$2:$G$1001,$AB6),100)),INDEX(기본자료!$G$2:$G$1001,$AB6)&amp;"")))))</f>
        <v/>
      </c>
      <c r="J6" s="10">
        <f>IF($AB6="","",IF(INDEX(기본자료!$H$2:$H$1001,$AB6)="","",INDEX(기본자료!$H$2:$H$1001,$AB6)))</f>
        <v/>
      </c>
      <c r="K6" s="10">
        <f>IF($AB6="","",IF(INDEX(기본자료!$I$2:$I$1001,$AB6)="","",INDEX(기본자료!$I$2:$I$1001,$AB6)))</f>
        <v/>
      </c>
      <c r="L6" s="10">
        <f>IF($AB6="","",IF(INDEX(기본자료!$A$2:$A$1001,$AB6)="","",INDEX(기본자료!$A$2:$A$1001,$AB6)))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$803,$AK6),OR(NOT(ISNUMBER(INDEX(파견수련계획!$AC$4:$AC$803,$AK6))),TODAY()&lt;=INDEX(파견수련계획!$AC$4:$AC$803,$AK6))),"다기관",IF($AF6="","",INDEX(파견수련계획!$T$4:$T$803,$AF6))),IF($AF6="","",INDEX(파견수련계획!$T$4:$T$803,$AF6))))</f>
        <v/>
      </c>
      <c r="Q6" s="10">
        <f>IF($AF6="","",INDEX(파견수련계획!$S$4:$S$803,$AF6))</f>
        <v/>
      </c>
      <c r="R6" s="10">
        <f>IF($AF6="","",INDEX(파견수련계획!$U$4:$U$803,$AF6))</f>
        <v/>
      </c>
      <c r="S6" s="11">
        <f>IF($AF6="","",IF(INDEX(파견수련계획!$H$4:$H$803,$AF6)="","",INDEX(파견수련계획!$H$4:$H$803,$AF6)))</f>
        <v/>
      </c>
      <c r="T6" s="11">
        <f>IF($AF6="","",IF(INDEX(파견수련계획!$I$4:$I$803,$AF6)="","",INDEX(파견수련계획!$I$4:$I$803,$AF6)))</f>
        <v/>
      </c>
      <c r="U6" s="10">
        <f>IF($AF6="","",INDEX(파견수련계획!$X$4:$X$803,$AF6))</f>
        <v/>
      </c>
      <c r="V6" s="17">
        <f>IF($AF6="","",INDEX(파견수련계획!$V$4:$V$803,$AF6))</f>
        <v/>
      </c>
      <c r="W6" s="17">
        <f>IF(AND($U6="파견중",$T6&lt;&gt;""),$T6-TODAY(),"")</f>
        <v/>
      </c>
      <c r="X6" s="17">
        <f>IF(OR($B6="",TRIM($J6&amp;"")=""),"",SUMPRODUCT((파견수련계획!$Q$4:$Q$803=TRIM($J6&amp;""))*파견수련계획!$W$4:$W$803))</f>
        <v/>
      </c>
      <c r="Y6" s="10">
        <f>IF($B6="","",IF($AG6="","",IF(IF(TRIM($J6&amp;"")="",0,SUMPRODUCT((파견수련계획!$Q$4:$Q$803=TRIM($J6&amp;""))*파견수련계획!$AD$4:$AD$803)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"&amp;$AI6&amp;"일)")),IF($AJ6="",$AE6,IF(INDEX(파견수련계획!$T$4:$T$803,$AJ6)="통합수련",INDEX(파견수련계획!$S$4:$S$803,$AJ6),$AE6)))))))</f>
        <v/>
      </c>
      <c r="Z6" s="19">
        <f>IF($B6="","",IF($AB6="","기본자료에 없는 사번",IF(COUNTIF($B$2:$B$401,$B6)&gt;1,"중복 사번",IF($AE6="","소속(입사장소) 입력",IF(IF(TRIM($J6&amp;"")="",0,SUMPRODUCT((파견수련계획!$Q$4:$Q$803=TRIM($J6&amp;""))*(파견수련계획!$AA$4:$AA$803&lt;&gt;"")))&gt;0,"파견수련계획 입력오류 확인",IF(LEFT($Y6,1)="⚠","서울·구리 15일 판정 불가(양쪽 모두 이상/미만)",IF(IF($AC6="",0,N(INDEX(인턴근무계획!$T$3:$T$402,$AC6)))&gt;0,"인턴계획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IF($B6="","",IFERROR(MATCH($B6,기본자료!$B$2:$B$1001,0),IFERROR(MATCH($B6&amp;"",기본자료!$B$2:$B$1001,0),IFERROR(MATCH(VALUE($B6),기본자료!$B$2:$B$1001,0),""))))</f>
        <v/>
      </c>
      <c r="AC6" s="10">
        <f>IF($B6="","",IFERROR(MATCH($B6,인턴근무계획!$D$3:$D$402,0),IFERROR(MATCH($B6&amp;"",인턴근무계획!$D$3:$D$402,0),IFERROR(MATCH(VALUE($B6),인턴근무계획!$D$3:$D$402,0),""))))</f>
        <v/>
      </c>
      <c r="AD6" s="10">
        <f>IF(OR($AC6="",인턴현황!$G$3=""),"",INDEX(인턴근무계획!$M$3:$R$402,$AC6,인턴현황!$G$3)&amp;"")</f>
        <v/>
      </c>
      <c r="AE6" s="10">
        <f>IF($B6="","",IF($M6&lt;&gt;"",$M6,IF($AF6&lt;&gt;"",IF(LEFT(INDEX(파견수련계획!$R$4:$R$803,$AF6),1)&lt;&gt;"⚠",INDEX(파견수련계획!$R$4:$R$803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$803,0),IFERROR(MATCH(TRIM($J6&amp;"")&amp;"|파견예정",파견수련계획!$Y$4:$Y$803,0),IFERROR(MATCH(TRIM($J6&amp;"")&amp;"|파견종료",파견수련계획!$Y$4:$Y$803,0),""))))</f>
        <v/>
      </c>
      <c r="AG6" s="10">
        <f>IF($B6="","",IF(AND(IF(OR($AC6="",인턴현황!$K$2=""),"",INDEX(인턴근무계획!$M$3:$R$402,$AC6,인턴현황!$K$2)&amp;"")&lt;&gt;"",LEFT(IF(OR($AC6="",인턴현황!$K$2=""),"",INDEX(인턴근무계획!$M$3:$R$402,$AC6,인턴현황!$K$2)&amp;""),1)&lt;&gt;"⚠"),LEFT(IF(OR($AC6="",인턴현황!$K$2=""),"",INDEX(인턴근무계획!$M$3:$R$402,$AC6,인턴현황!$K$2)&amp;""),FIND(" ",IF(OR($AC6="",인턴현황!$K$2=""),"",INDEX(인턴근무계획!$M$3:$R$402,$AC6,인턴현황!$K$2)&amp;""))-1),$AE6))</f>
        <v/>
      </c>
      <c r="AH6" s="17">
        <f>IF($B6="","",IF(TRIM($J6&amp;"")="",0,SUMPRODUCT((파견수련계획!$Q$4:$Q$803=TRIM($J6&amp;""))*(파견수련계획!$S$4:$S$803="서울병원")*파견수련계획!$W$4:$W$803))+IF($AG6="서울병원",MAX(0,DAY(EOMONTH(요약!$B$3,0))-N($X6)),0))</f>
        <v/>
      </c>
      <c r="AI6" s="17">
        <f>IF($B6="","",IF(TRIM($J6&amp;"")="",0,SUMPRODUCT((파견수련계획!$Q$4:$Q$803=TRIM($J6&amp;""))*(파견수련계획!$S$4:$S$803="구리병원")*파견수련계획!$W$4:$W$803))+IF($AG6="구리병원",MAX(0,DAY(EOMONTH(요약!$B$3,0))-N($X6)),0))</f>
        <v/>
      </c>
      <c r="AJ6" s="10">
        <f>IF(OR($B6="",TRIM($J6&amp;"")=""),"",IFERROR(MATCH(TRIM($J6&amp;"")&amp;"|월",파견수련계획!$Z$4:$Z$803,0),""))</f>
        <v/>
      </c>
      <c r="AK6" s="10">
        <f>IF(OR($B6="",TRIM($J6&amp;"")=""),"",IFERROR(MATCH(TRIM($J6&amp;"")&amp;"|다기관",파견수련계획!$AE$4:$AE$803,0),""))</f>
        <v/>
      </c>
      <c r="AL6" s="10">
        <f>IF($AK6="","","다기관 "&amp;TEXT(INDEX(파견수련계획!$AB$4:$AB$803,$AK6),"yyyy-mm-dd")&amp;"~"&amp;IF(ISNUMBER(INDEX(파견수련계획!$AC$4:$AC$803,$AK6)),TEXT(INDEX(파견수련계획!$AC$4:$AC$803,$AK6),"yyyy-mm-dd"),""))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IF($AB7="","",IF(INDEX(기본자료!$C$2:$C$1001,$AB7)="","",INDEX(기본자료!$C$2:$C$1001,$AB7)))</f>
        <v/>
      </c>
      <c r="D7" s="10">
        <f>IF($AB7="","",IF(INDEX(기본자료!$J$2:$J$1001,$AB7)="","",INDEX(기본자료!$J$2:$J$1001,$AB7)))</f>
        <v/>
      </c>
      <c r="E7" s="11">
        <f>IF($AB7="","",IF(INDEX(기본자료!$K$2:$K$1001,$AB7)="","",IF(NOT(ISNUMBER(INDEX(기본자료!$K$2:$K$1001,$AB7))),INDEX(기본자료!$K$2:$K$1001,$AB7),IF(INDEX(기본자료!$K$2:$K$1001,$AB7)&lt;1000000,INDEX(기본자료!$K$2:$K$1001,$AB7),IF(AND(INDEX(기본자료!$K$2:$K$1001,$AB7)&gt;=10000101,INT(MOD(INDEX(기본자료!$K$2:$K$1001,$AB7),10000)/100)&gt;=1,INT(MOD(INDEX(기본자료!$K$2:$K$1001,$AB7),10000)/100)&lt;=12,MOD(INDEX(기본자료!$K$2:$K$1001,$AB7),100)&gt;=1,MOD(INDEX(기본자료!$K$2:$K$1001,$AB7),100)&lt;=31),DATE(INT(INDEX(기본자료!$K$2:$K$1001,$AB7)/10000),INT(MOD(INDEX(기본자료!$K$2:$K$1001,$AB7),10000)/100),MOD(INDEX(기본자료!$K$2:$K$1001,$AB7),100)),INDEX(기본자료!$K$2:$K$1001,$AB7)&amp;"")))))</f>
        <v/>
      </c>
      <c r="F7" s="10">
        <f>IF($AB7="","",IF(INDEX(기본자료!$D$2:$D$1001,$AB7)="","",INDEX(기본자료!$D$2:$D$1001,$AB7)))</f>
        <v/>
      </c>
      <c r="G7" s="10">
        <f>IF($AB7="","",IF(INDEX(기본자료!$E$2:$E$1001,$AB7)="","",INDEX(기본자료!$E$2:$E$1001,$AB7)))</f>
        <v/>
      </c>
      <c r="H7" s="10">
        <f>IF($AB7="","",IF(INDEX(기본자료!$F$2:$F$1001,$AB7)="","",INDEX(기본자료!$F$2:$F$1001,$AB7)))</f>
        <v/>
      </c>
      <c r="I7" s="11">
        <f>IF($AB7="","",IF(INDEX(기본자료!$G$2:$G$1001,$AB7)="","",IF(NOT(ISNUMBER(INDEX(기본자료!$G$2:$G$1001,$AB7))),INDEX(기본자료!$G$2:$G$1001,$AB7),IF(INDEX(기본자료!$G$2:$G$1001,$AB7)&lt;1000000,INDEX(기본자료!$G$2:$G$1001,$AB7),IF(AND(INDEX(기본자료!$G$2:$G$1001,$AB7)&gt;=10000101,INT(MOD(INDEX(기본자료!$G$2:$G$1001,$AB7),10000)/100)&gt;=1,INT(MOD(INDEX(기본자료!$G$2:$G$1001,$AB7),10000)/100)&lt;=12,MOD(INDEX(기본자료!$G$2:$G$1001,$AB7),100)&gt;=1,MOD(INDEX(기본자료!$G$2:$G$1001,$AB7),100)&lt;=31),DATE(INT(INDEX(기본자료!$G$2:$G$1001,$AB7)/10000),INT(MOD(INDEX(기본자료!$G$2:$G$1001,$AB7),10000)/100),MOD(INDEX(기본자료!$G$2:$G$1001,$AB7),100)),INDEX(기본자료!$G$2:$G$1001,$AB7)&amp;"")))))</f>
        <v/>
      </c>
      <c r="J7" s="10">
        <f>IF($AB7="","",IF(INDEX(기본자료!$H$2:$H$1001,$AB7)="","",INDEX(기본자료!$H$2:$H$1001,$AB7)))</f>
        <v/>
      </c>
      <c r="K7" s="10">
        <f>IF($AB7="","",IF(INDEX(기본자료!$I$2:$I$1001,$AB7)="","",INDEX(기본자료!$I$2:$I$1001,$AB7)))</f>
        <v/>
      </c>
      <c r="L7" s="10">
        <f>IF($AB7="","",IF(INDEX(기본자료!$A$2:$A$1001,$AB7)="","",INDEX(기본자료!$A$2:$A$1001,$AB7)))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$803,$AK7),OR(NOT(ISNUMBER(INDEX(파견수련계획!$AC$4:$AC$803,$AK7))),TODAY()&lt;=INDEX(파견수련계획!$AC$4:$AC$803,$AK7))),"다기관",IF($AF7="","",INDEX(파견수련계획!$T$4:$T$803,$AF7))),IF($AF7="","",INDEX(파견수련계획!$T$4:$T$803,$AF7))))</f>
        <v/>
      </c>
      <c r="Q7" s="10">
        <f>IF($AF7="","",INDEX(파견수련계획!$S$4:$S$803,$AF7))</f>
        <v/>
      </c>
      <c r="R7" s="10">
        <f>IF($AF7="","",INDEX(파견수련계획!$U$4:$U$803,$AF7))</f>
        <v/>
      </c>
      <c r="S7" s="11">
        <f>IF($AF7="","",IF(INDEX(파견수련계획!$H$4:$H$803,$AF7)="","",INDEX(파견수련계획!$H$4:$H$803,$AF7)))</f>
        <v/>
      </c>
      <c r="T7" s="11">
        <f>IF($AF7="","",IF(INDEX(파견수련계획!$I$4:$I$803,$AF7)="","",INDEX(파견수련계획!$I$4:$I$803,$AF7)))</f>
        <v/>
      </c>
      <c r="U7" s="10">
        <f>IF($AF7="","",INDEX(파견수련계획!$X$4:$X$803,$AF7))</f>
        <v/>
      </c>
      <c r="V7" s="17">
        <f>IF($AF7="","",INDEX(파견수련계획!$V$4:$V$803,$AF7))</f>
        <v/>
      </c>
      <c r="W7" s="17">
        <f>IF(AND($U7="파견중",$T7&lt;&gt;""),$T7-TODAY(),"")</f>
        <v/>
      </c>
      <c r="X7" s="17">
        <f>IF(OR($B7="",TRIM($J7&amp;"")=""),"",SUMPRODUCT((파견수련계획!$Q$4:$Q$803=TRIM($J7&amp;""))*파견수련계획!$W$4:$W$803))</f>
        <v/>
      </c>
      <c r="Y7" s="10">
        <f>IF($B7="","",IF($AG7="","",IF(IF(TRIM($J7&amp;"")="",0,SUMPRODUCT((파견수련계획!$Q$4:$Q$803=TRIM($J7&amp;""))*파견수련계획!$AD$4:$AD$803)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"&amp;$AI7&amp;"일)")),IF($AJ7="",$AE7,IF(INDEX(파견수련계획!$T$4:$T$803,$AJ7)="통합수련",INDEX(파견수련계획!$S$4:$S$803,$AJ7),$AE7)))))))</f>
        <v/>
      </c>
      <c r="Z7" s="19">
        <f>IF($B7="","",IF($AB7="","기본자료에 없는 사번",IF(COUNTIF($B$2:$B$401,$B7)&gt;1,"중복 사번",IF($AE7="","소속(입사장소) 입력",IF(IF(TRIM($J7&amp;"")="",0,SUMPRODUCT((파견수련계획!$Q$4:$Q$803=TRIM($J7&amp;""))*(파견수련계획!$AA$4:$AA$803&lt;&gt;"")))&gt;0,"파견수련계획 입력오류 확인",IF(LEFT($Y7,1)="⚠","서울·구리 15일 판정 불가(양쪽 모두 이상/미만)",IF(IF($AC7="",0,N(INDEX(인턴근무계획!$T$3:$T$402,$AC7)))&gt;0,"인턴계획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IF($B7="","",IFERROR(MATCH($B7,기본자료!$B$2:$B$1001,0),IFERROR(MATCH($B7&amp;"",기본자료!$B$2:$B$1001,0),IFERROR(MATCH(VALUE($B7),기본자료!$B$2:$B$1001,0),""))))</f>
        <v/>
      </c>
      <c r="AC7" s="10">
        <f>IF($B7="","",IFERROR(MATCH($B7,인턴근무계획!$D$3:$D$402,0),IFERROR(MATCH($B7&amp;"",인턴근무계획!$D$3:$D$402,0),IFERROR(MATCH(VALUE($B7),인턴근무계획!$D$3:$D$402,0),""))))</f>
        <v/>
      </c>
      <c r="AD7" s="10">
        <f>IF(OR($AC7="",인턴현황!$G$3=""),"",INDEX(인턴근무계획!$M$3:$R$402,$AC7,인턴현황!$G$3)&amp;"")</f>
        <v/>
      </c>
      <c r="AE7" s="10">
        <f>IF($B7="","",IF($M7&lt;&gt;"",$M7,IF($AF7&lt;&gt;"",IF(LEFT(INDEX(파견수련계획!$R$4:$R$803,$AF7),1)&lt;&gt;"⚠",INDEX(파견수련계획!$R$4:$R$803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$803,0),IFERROR(MATCH(TRIM($J7&amp;"")&amp;"|파견예정",파견수련계획!$Y$4:$Y$803,0),IFERROR(MATCH(TRIM($J7&amp;"")&amp;"|파견종료",파견수련계획!$Y$4:$Y$803,0),""))))</f>
        <v/>
      </c>
      <c r="AG7" s="10">
        <f>IF($B7="","",IF(AND(IF(OR($AC7="",인턴현황!$K$2=""),"",INDEX(인턴근무계획!$M$3:$R$402,$AC7,인턴현황!$K$2)&amp;"")&lt;&gt;"",LEFT(IF(OR($AC7="",인턴현황!$K$2=""),"",INDEX(인턴근무계획!$M$3:$R$402,$AC7,인턴현황!$K$2)&amp;""),1)&lt;&gt;"⚠"),LEFT(IF(OR($AC7="",인턴현황!$K$2=""),"",INDEX(인턴근무계획!$M$3:$R$402,$AC7,인턴현황!$K$2)&amp;""),FIND(" ",IF(OR($AC7="",인턴현황!$K$2=""),"",INDEX(인턴근무계획!$M$3:$R$402,$AC7,인턴현황!$K$2)&amp;""))-1),$AE7))</f>
        <v/>
      </c>
      <c r="AH7" s="17">
        <f>IF($B7="","",IF(TRIM($J7&amp;"")="",0,SUMPRODUCT((파견수련계획!$Q$4:$Q$803=TRIM($J7&amp;""))*(파견수련계획!$S$4:$S$803="서울병원")*파견수련계획!$W$4:$W$803))+IF($AG7="서울병원",MAX(0,DAY(EOMONTH(요약!$B$3,0))-N($X7)),0))</f>
        <v/>
      </c>
      <c r="AI7" s="17">
        <f>IF($B7="","",IF(TRIM($J7&amp;"")="",0,SUMPRODUCT((파견수련계획!$Q$4:$Q$803=TRIM($J7&amp;""))*(파견수련계획!$S$4:$S$803="구리병원")*파견수련계획!$W$4:$W$803))+IF($AG7="구리병원",MAX(0,DAY(EOMONTH(요약!$B$3,0))-N($X7)),0))</f>
        <v/>
      </c>
      <c r="AJ7" s="10">
        <f>IF(OR($B7="",TRIM($J7&amp;"")=""),"",IFERROR(MATCH(TRIM($J7&amp;"")&amp;"|월",파견수련계획!$Z$4:$Z$803,0),""))</f>
        <v/>
      </c>
      <c r="AK7" s="10">
        <f>IF(OR($B7="",TRIM($J7&amp;"")=""),"",IFERROR(MATCH(TRIM($J7&amp;"")&amp;"|다기관",파견수련계획!$AE$4:$AE$803,0),""))</f>
        <v/>
      </c>
      <c r="AL7" s="10">
        <f>IF($AK7="","","다기관 "&amp;TEXT(INDEX(파견수련계획!$AB$4:$AB$803,$AK7),"yyyy-mm-dd")&amp;"~"&amp;IF(ISNUMBER(INDEX(파견수련계획!$AC$4:$AC$803,$AK7)),TEXT(INDEX(파견수련계획!$AC$4:$AC$803,$AK7),"yyyy-mm-dd"),""))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IF($AB8="","",IF(INDEX(기본자료!$C$2:$C$1001,$AB8)="","",INDEX(기본자료!$C$2:$C$1001,$AB8)))</f>
        <v/>
      </c>
      <c r="D8" s="10">
        <f>IF($AB8="","",IF(INDEX(기본자료!$J$2:$J$1001,$AB8)="","",INDEX(기본자료!$J$2:$J$1001,$AB8)))</f>
        <v/>
      </c>
      <c r="E8" s="11">
        <f>IF($AB8="","",IF(INDEX(기본자료!$K$2:$K$1001,$AB8)="","",IF(NOT(ISNUMBER(INDEX(기본자료!$K$2:$K$1001,$AB8))),INDEX(기본자료!$K$2:$K$1001,$AB8),IF(INDEX(기본자료!$K$2:$K$1001,$AB8)&lt;1000000,INDEX(기본자료!$K$2:$K$1001,$AB8),IF(AND(INDEX(기본자료!$K$2:$K$1001,$AB8)&gt;=10000101,INT(MOD(INDEX(기본자료!$K$2:$K$1001,$AB8),10000)/100)&gt;=1,INT(MOD(INDEX(기본자료!$K$2:$K$1001,$AB8),10000)/100)&lt;=12,MOD(INDEX(기본자료!$K$2:$K$1001,$AB8),100)&gt;=1,MOD(INDEX(기본자료!$K$2:$K$1001,$AB8),100)&lt;=31),DATE(INT(INDEX(기본자료!$K$2:$K$1001,$AB8)/10000),INT(MOD(INDEX(기본자료!$K$2:$K$1001,$AB8),10000)/100),MOD(INDEX(기본자료!$K$2:$K$1001,$AB8),100)),INDEX(기본자료!$K$2:$K$1001,$AB8)&amp;"")))))</f>
        <v/>
      </c>
      <c r="F8" s="10">
        <f>IF($AB8="","",IF(INDEX(기본자료!$D$2:$D$1001,$AB8)="","",INDEX(기본자료!$D$2:$D$1001,$AB8)))</f>
        <v/>
      </c>
      <c r="G8" s="10">
        <f>IF($AB8="","",IF(INDEX(기본자료!$E$2:$E$1001,$AB8)="","",INDEX(기본자료!$E$2:$E$1001,$AB8)))</f>
        <v/>
      </c>
      <c r="H8" s="10">
        <f>IF($AB8="","",IF(INDEX(기본자료!$F$2:$F$1001,$AB8)="","",INDEX(기본자료!$F$2:$F$1001,$AB8)))</f>
        <v/>
      </c>
      <c r="I8" s="11">
        <f>IF($AB8="","",IF(INDEX(기본자료!$G$2:$G$1001,$AB8)="","",IF(NOT(ISNUMBER(INDEX(기본자료!$G$2:$G$1001,$AB8))),INDEX(기본자료!$G$2:$G$1001,$AB8),IF(INDEX(기본자료!$G$2:$G$1001,$AB8)&lt;1000000,INDEX(기본자료!$G$2:$G$1001,$AB8),IF(AND(INDEX(기본자료!$G$2:$G$1001,$AB8)&gt;=10000101,INT(MOD(INDEX(기본자료!$G$2:$G$1001,$AB8),10000)/100)&gt;=1,INT(MOD(INDEX(기본자료!$G$2:$G$1001,$AB8),10000)/100)&lt;=12,MOD(INDEX(기본자료!$G$2:$G$1001,$AB8),100)&gt;=1,MOD(INDEX(기본자료!$G$2:$G$1001,$AB8),100)&lt;=31),DATE(INT(INDEX(기본자료!$G$2:$G$1001,$AB8)/10000),INT(MOD(INDEX(기본자료!$G$2:$G$1001,$AB8),10000)/100),MOD(INDEX(기본자료!$G$2:$G$1001,$AB8),100)),INDEX(기본자료!$G$2:$G$1001,$AB8)&amp;"")))))</f>
        <v/>
      </c>
      <c r="J8" s="10">
        <f>IF($AB8="","",IF(INDEX(기본자료!$H$2:$H$1001,$AB8)="","",INDEX(기본자료!$H$2:$H$1001,$AB8)))</f>
        <v/>
      </c>
      <c r="K8" s="10">
        <f>IF($AB8="","",IF(INDEX(기본자료!$I$2:$I$1001,$AB8)="","",INDEX(기본자료!$I$2:$I$1001,$AB8)))</f>
        <v/>
      </c>
      <c r="L8" s="10">
        <f>IF($AB8="","",IF(INDEX(기본자료!$A$2:$A$1001,$AB8)="","",INDEX(기본자료!$A$2:$A$1001,$AB8)))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$803,$AK8),OR(NOT(ISNUMBER(INDEX(파견수련계획!$AC$4:$AC$803,$AK8))),TODAY()&lt;=INDEX(파견수련계획!$AC$4:$AC$803,$AK8))),"다기관",IF($AF8="","",INDEX(파견수련계획!$T$4:$T$803,$AF8))),IF($AF8="","",INDEX(파견수련계획!$T$4:$T$803,$AF8))))</f>
        <v/>
      </c>
      <c r="Q8" s="10">
        <f>IF($AF8="","",INDEX(파견수련계획!$S$4:$S$803,$AF8))</f>
        <v/>
      </c>
      <c r="R8" s="10">
        <f>IF($AF8="","",INDEX(파견수련계획!$U$4:$U$803,$AF8))</f>
        <v/>
      </c>
      <c r="S8" s="11">
        <f>IF($AF8="","",IF(INDEX(파견수련계획!$H$4:$H$803,$AF8)="","",INDEX(파견수련계획!$H$4:$H$803,$AF8)))</f>
        <v/>
      </c>
      <c r="T8" s="11">
        <f>IF($AF8="","",IF(INDEX(파견수련계획!$I$4:$I$803,$AF8)="","",INDEX(파견수련계획!$I$4:$I$803,$AF8)))</f>
        <v/>
      </c>
      <c r="U8" s="10">
        <f>IF($AF8="","",INDEX(파견수련계획!$X$4:$X$803,$AF8))</f>
        <v/>
      </c>
      <c r="V8" s="17">
        <f>IF($AF8="","",INDEX(파견수련계획!$V$4:$V$803,$AF8))</f>
        <v/>
      </c>
      <c r="W8" s="17">
        <f>IF(AND($U8="파견중",$T8&lt;&gt;""),$T8-TODAY(),"")</f>
        <v/>
      </c>
      <c r="X8" s="17">
        <f>IF(OR($B8="",TRIM($J8&amp;"")=""),"",SUMPRODUCT((파견수련계획!$Q$4:$Q$803=TRIM($J8&amp;""))*파견수련계획!$W$4:$W$803))</f>
        <v/>
      </c>
      <c r="Y8" s="10">
        <f>IF($B8="","",IF($AG8="","",IF(IF(TRIM($J8&amp;"")="",0,SUMPRODUCT((파견수련계획!$Q$4:$Q$803=TRIM($J8&amp;""))*파견수련계획!$AD$4:$AD$803)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"&amp;$AI8&amp;"일)")),IF($AJ8="",$AE8,IF(INDEX(파견수련계획!$T$4:$T$803,$AJ8)="통합수련",INDEX(파견수련계획!$S$4:$S$803,$AJ8),$AE8)))))))</f>
        <v/>
      </c>
      <c r="Z8" s="19">
        <f>IF($B8="","",IF($AB8="","기본자료에 없는 사번",IF(COUNTIF($B$2:$B$401,$B8)&gt;1,"중복 사번",IF($AE8="","소속(입사장소) 입력",IF(IF(TRIM($J8&amp;"")="",0,SUMPRODUCT((파견수련계획!$Q$4:$Q$803=TRIM($J8&amp;""))*(파견수련계획!$AA$4:$AA$803&lt;&gt;"")))&gt;0,"파견수련계획 입력오류 확인",IF(LEFT($Y8,1)="⚠","서울·구리 15일 판정 불가(양쪽 모두 이상/미만)",IF(IF($AC8="",0,N(INDEX(인턴근무계획!$T$3:$T$402,$AC8)))&gt;0,"인턴계획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IF($B8="","",IFERROR(MATCH($B8,기본자료!$B$2:$B$1001,0),IFERROR(MATCH($B8&amp;"",기본자료!$B$2:$B$1001,0),IFERROR(MATCH(VALUE($B8),기본자료!$B$2:$B$1001,0),""))))</f>
        <v/>
      </c>
      <c r="AC8" s="10">
        <f>IF($B8="","",IFERROR(MATCH($B8,인턴근무계획!$D$3:$D$402,0),IFERROR(MATCH($B8&amp;"",인턴근무계획!$D$3:$D$402,0),IFERROR(MATCH(VALUE($B8),인턴근무계획!$D$3:$D$402,0),""))))</f>
        <v/>
      </c>
      <c r="AD8" s="10">
        <f>IF(OR($AC8="",인턴현황!$G$3=""),"",INDEX(인턴근무계획!$M$3:$R$402,$AC8,인턴현황!$G$3)&amp;"")</f>
        <v/>
      </c>
      <c r="AE8" s="10">
        <f>IF($B8="","",IF($M8&lt;&gt;"",$M8,IF($AF8&lt;&gt;"",IF(LEFT(INDEX(파견수련계획!$R$4:$R$803,$AF8),1)&lt;&gt;"⚠",INDEX(파견수련계획!$R$4:$R$803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$803,0),IFERROR(MATCH(TRIM($J8&amp;"")&amp;"|파견예정",파견수련계획!$Y$4:$Y$803,0),IFERROR(MATCH(TRIM($J8&amp;"")&amp;"|파견종료",파견수련계획!$Y$4:$Y$803,0),""))))</f>
        <v/>
      </c>
      <c r="AG8" s="10">
        <f>IF($B8="","",IF(AND(IF(OR($AC8="",인턴현황!$K$2=""),"",INDEX(인턴근무계획!$M$3:$R$402,$AC8,인턴현황!$K$2)&amp;"")&lt;&gt;"",LEFT(IF(OR($AC8="",인턴현황!$K$2=""),"",INDEX(인턴근무계획!$M$3:$R$402,$AC8,인턴현황!$K$2)&amp;""),1)&lt;&gt;"⚠"),LEFT(IF(OR($AC8="",인턴현황!$K$2=""),"",INDEX(인턴근무계획!$M$3:$R$402,$AC8,인턴현황!$K$2)&amp;""),FIND(" ",IF(OR($AC8="",인턴현황!$K$2=""),"",INDEX(인턴근무계획!$M$3:$R$402,$AC8,인턴현황!$K$2)&amp;""))-1),$AE8))</f>
        <v/>
      </c>
      <c r="AH8" s="17">
        <f>IF($B8="","",IF(TRIM($J8&amp;"")="",0,SUMPRODUCT((파견수련계획!$Q$4:$Q$803=TRIM($J8&amp;""))*(파견수련계획!$S$4:$S$803="서울병원")*파견수련계획!$W$4:$W$803))+IF($AG8="서울병원",MAX(0,DAY(EOMONTH(요약!$B$3,0))-N($X8)),0))</f>
        <v/>
      </c>
      <c r="AI8" s="17">
        <f>IF($B8="","",IF(TRIM($J8&amp;"")="",0,SUMPRODUCT((파견수련계획!$Q$4:$Q$803=TRIM($J8&amp;""))*(파견수련계획!$S$4:$S$803="구리병원")*파견수련계획!$W$4:$W$803))+IF($AG8="구리병원",MAX(0,DAY(EOMONTH(요약!$B$3,0))-N($X8)),0))</f>
        <v/>
      </c>
      <c r="AJ8" s="10">
        <f>IF(OR($B8="",TRIM($J8&amp;"")=""),"",IFERROR(MATCH(TRIM($J8&amp;"")&amp;"|월",파견수련계획!$Z$4:$Z$803,0),""))</f>
        <v/>
      </c>
      <c r="AK8" s="10">
        <f>IF(OR($B8="",TRIM($J8&amp;"")=""),"",IFERROR(MATCH(TRIM($J8&amp;"")&amp;"|다기관",파견수련계획!$AE$4:$AE$803,0),""))</f>
        <v/>
      </c>
      <c r="AL8" s="10">
        <f>IF($AK8="","","다기관 "&amp;TEXT(INDEX(파견수련계획!$AB$4:$AB$803,$AK8),"yyyy-mm-dd")&amp;"~"&amp;IF(ISNUMBER(INDEX(파견수련계획!$AC$4:$AC$803,$AK8)),TEXT(INDEX(파견수련계획!$AC$4:$AC$803,$AK8),"yyyy-mm-dd"),""))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IF($AB9="","",IF(INDEX(기본자료!$C$2:$C$1001,$AB9)="","",INDEX(기본자료!$C$2:$C$1001,$AB9)))</f>
        <v/>
      </c>
      <c r="D9" s="10">
        <f>IF($AB9="","",IF(INDEX(기본자료!$J$2:$J$1001,$AB9)="","",INDEX(기본자료!$J$2:$J$1001,$AB9)))</f>
        <v/>
      </c>
      <c r="E9" s="11">
        <f>IF($AB9="","",IF(INDEX(기본자료!$K$2:$K$1001,$AB9)="","",IF(NOT(ISNUMBER(INDEX(기본자료!$K$2:$K$1001,$AB9))),INDEX(기본자료!$K$2:$K$1001,$AB9),IF(INDEX(기본자료!$K$2:$K$1001,$AB9)&lt;1000000,INDEX(기본자료!$K$2:$K$1001,$AB9),IF(AND(INDEX(기본자료!$K$2:$K$1001,$AB9)&gt;=10000101,INT(MOD(INDEX(기본자료!$K$2:$K$1001,$AB9),10000)/100)&gt;=1,INT(MOD(INDEX(기본자료!$K$2:$K$1001,$AB9),10000)/100)&lt;=12,MOD(INDEX(기본자료!$K$2:$K$1001,$AB9),100)&gt;=1,MOD(INDEX(기본자료!$K$2:$K$1001,$AB9),100)&lt;=31),DATE(INT(INDEX(기본자료!$K$2:$K$1001,$AB9)/10000),INT(MOD(INDEX(기본자료!$K$2:$K$1001,$AB9),10000)/100),MOD(INDEX(기본자료!$K$2:$K$1001,$AB9),100)),INDEX(기본자료!$K$2:$K$1001,$AB9)&amp;"")))))</f>
        <v/>
      </c>
      <c r="F9" s="10">
        <f>IF($AB9="","",IF(INDEX(기본자료!$D$2:$D$1001,$AB9)="","",INDEX(기본자료!$D$2:$D$1001,$AB9)))</f>
        <v/>
      </c>
      <c r="G9" s="10">
        <f>IF($AB9="","",IF(INDEX(기본자료!$E$2:$E$1001,$AB9)="","",INDEX(기본자료!$E$2:$E$1001,$AB9)))</f>
        <v/>
      </c>
      <c r="H9" s="10">
        <f>IF($AB9="","",IF(INDEX(기본자료!$F$2:$F$1001,$AB9)="","",INDEX(기본자료!$F$2:$F$1001,$AB9)))</f>
        <v/>
      </c>
      <c r="I9" s="11">
        <f>IF($AB9="","",IF(INDEX(기본자료!$G$2:$G$1001,$AB9)="","",IF(NOT(ISNUMBER(INDEX(기본자료!$G$2:$G$1001,$AB9))),INDEX(기본자료!$G$2:$G$1001,$AB9),IF(INDEX(기본자료!$G$2:$G$1001,$AB9)&lt;1000000,INDEX(기본자료!$G$2:$G$1001,$AB9),IF(AND(INDEX(기본자료!$G$2:$G$1001,$AB9)&gt;=10000101,INT(MOD(INDEX(기본자료!$G$2:$G$1001,$AB9),10000)/100)&gt;=1,INT(MOD(INDEX(기본자료!$G$2:$G$1001,$AB9),10000)/100)&lt;=12,MOD(INDEX(기본자료!$G$2:$G$1001,$AB9),100)&gt;=1,MOD(INDEX(기본자료!$G$2:$G$1001,$AB9),100)&lt;=31),DATE(INT(INDEX(기본자료!$G$2:$G$1001,$AB9)/10000),INT(MOD(INDEX(기본자료!$G$2:$G$1001,$AB9),10000)/100),MOD(INDEX(기본자료!$G$2:$G$1001,$AB9),100)),INDEX(기본자료!$G$2:$G$1001,$AB9)&amp;"")))))</f>
        <v/>
      </c>
      <c r="J9" s="10">
        <f>IF($AB9="","",IF(INDEX(기본자료!$H$2:$H$1001,$AB9)="","",INDEX(기본자료!$H$2:$H$1001,$AB9)))</f>
        <v/>
      </c>
      <c r="K9" s="10">
        <f>IF($AB9="","",IF(INDEX(기본자료!$I$2:$I$1001,$AB9)="","",INDEX(기본자료!$I$2:$I$1001,$AB9)))</f>
        <v/>
      </c>
      <c r="L9" s="10">
        <f>IF($AB9="","",IF(INDEX(기본자료!$A$2:$A$1001,$AB9)="","",INDEX(기본자료!$A$2:$A$1001,$AB9)))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$803,$AK9),OR(NOT(ISNUMBER(INDEX(파견수련계획!$AC$4:$AC$803,$AK9))),TODAY()&lt;=INDEX(파견수련계획!$AC$4:$AC$803,$AK9))),"다기관",IF($AF9="","",INDEX(파견수련계획!$T$4:$T$803,$AF9))),IF($AF9="","",INDEX(파견수련계획!$T$4:$T$803,$AF9))))</f>
        <v/>
      </c>
      <c r="Q9" s="10">
        <f>IF($AF9="","",INDEX(파견수련계획!$S$4:$S$803,$AF9))</f>
        <v/>
      </c>
      <c r="R9" s="10">
        <f>IF($AF9="","",INDEX(파견수련계획!$U$4:$U$803,$AF9))</f>
        <v/>
      </c>
      <c r="S9" s="11">
        <f>IF($AF9="","",IF(INDEX(파견수련계획!$H$4:$H$803,$AF9)="","",INDEX(파견수련계획!$H$4:$H$803,$AF9)))</f>
        <v/>
      </c>
      <c r="T9" s="11">
        <f>IF($AF9="","",IF(INDEX(파견수련계획!$I$4:$I$803,$AF9)="","",INDEX(파견수련계획!$I$4:$I$803,$AF9)))</f>
        <v/>
      </c>
      <c r="U9" s="10">
        <f>IF($AF9="","",INDEX(파견수련계획!$X$4:$X$803,$AF9))</f>
        <v/>
      </c>
      <c r="V9" s="17">
        <f>IF($AF9="","",INDEX(파견수련계획!$V$4:$V$803,$AF9))</f>
        <v/>
      </c>
      <c r="W9" s="17">
        <f>IF(AND($U9="파견중",$T9&lt;&gt;""),$T9-TODAY(),"")</f>
        <v/>
      </c>
      <c r="X9" s="17">
        <f>IF(OR($B9="",TRIM($J9&amp;"")=""),"",SUMPRODUCT((파견수련계획!$Q$4:$Q$803=TRIM($J9&amp;""))*파견수련계획!$W$4:$W$803))</f>
        <v/>
      </c>
      <c r="Y9" s="10">
        <f>IF($B9="","",IF($AG9="","",IF(IF(TRIM($J9&amp;"")="",0,SUMPRODUCT((파견수련계획!$Q$4:$Q$803=TRIM($J9&amp;""))*파견수련계획!$AD$4:$AD$803)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"&amp;$AI9&amp;"일)")),IF($AJ9="",$AE9,IF(INDEX(파견수련계획!$T$4:$T$803,$AJ9)="통합수련",INDEX(파견수련계획!$S$4:$S$803,$AJ9),$AE9)))))))</f>
        <v/>
      </c>
      <c r="Z9" s="19">
        <f>IF($B9="","",IF($AB9="","기본자료에 없는 사번",IF(COUNTIF($B$2:$B$401,$B9)&gt;1,"중복 사번",IF($AE9="","소속(입사장소) 입력",IF(IF(TRIM($J9&amp;"")="",0,SUMPRODUCT((파견수련계획!$Q$4:$Q$803=TRIM($J9&amp;""))*(파견수련계획!$AA$4:$AA$803&lt;&gt;"")))&gt;0,"파견수련계획 입력오류 확인",IF(LEFT($Y9,1)="⚠","서울·구리 15일 판정 불가(양쪽 모두 이상/미만)",IF(IF($AC9="",0,N(INDEX(인턴근무계획!$T$3:$T$402,$AC9)))&gt;0,"인턴계획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IF($B9="","",IFERROR(MATCH($B9,기본자료!$B$2:$B$1001,0),IFERROR(MATCH($B9&amp;"",기본자료!$B$2:$B$1001,0),IFERROR(MATCH(VALUE($B9),기본자료!$B$2:$B$1001,0),""))))</f>
        <v/>
      </c>
      <c r="AC9" s="10">
        <f>IF($B9="","",IFERROR(MATCH($B9,인턴근무계획!$D$3:$D$402,0),IFERROR(MATCH($B9&amp;"",인턴근무계획!$D$3:$D$402,0),IFERROR(MATCH(VALUE($B9),인턴근무계획!$D$3:$D$402,0),""))))</f>
        <v/>
      </c>
      <c r="AD9" s="10">
        <f>IF(OR($AC9="",인턴현황!$G$3=""),"",INDEX(인턴근무계획!$M$3:$R$402,$AC9,인턴현황!$G$3)&amp;"")</f>
        <v/>
      </c>
      <c r="AE9" s="10">
        <f>IF($B9="","",IF($M9&lt;&gt;"",$M9,IF($AF9&lt;&gt;"",IF(LEFT(INDEX(파견수련계획!$R$4:$R$803,$AF9),1)&lt;&gt;"⚠",INDEX(파견수련계획!$R$4:$R$803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$803,0),IFERROR(MATCH(TRIM($J9&amp;"")&amp;"|파견예정",파견수련계획!$Y$4:$Y$803,0),IFERROR(MATCH(TRIM($J9&amp;"")&amp;"|파견종료",파견수련계획!$Y$4:$Y$803,0),""))))</f>
        <v/>
      </c>
      <c r="AG9" s="10">
        <f>IF($B9="","",IF(AND(IF(OR($AC9="",인턴현황!$K$2=""),"",INDEX(인턴근무계획!$M$3:$R$402,$AC9,인턴현황!$K$2)&amp;"")&lt;&gt;"",LEFT(IF(OR($AC9="",인턴현황!$K$2=""),"",INDEX(인턴근무계획!$M$3:$R$402,$AC9,인턴현황!$K$2)&amp;""),1)&lt;&gt;"⚠"),LEFT(IF(OR($AC9="",인턴현황!$K$2=""),"",INDEX(인턴근무계획!$M$3:$R$402,$AC9,인턴현황!$K$2)&amp;""),FIND(" ",IF(OR($AC9="",인턴현황!$K$2=""),"",INDEX(인턴근무계획!$M$3:$R$402,$AC9,인턴현황!$K$2)&amp;""))-1),$AE9))</f>
        <v/>
      </c>
      <c r="AH9" s="17">
        <f>IF($B9="","",IF(TRIM($J9&amp;"")="",0,SUMPRODUCT((파견수련계획!$Q$4:$Q$803=TRIM($J9&amp;""))*(파견수련계획!$S$4:$S$803="서울병원")*파견수련계획!$W$4:$W$803))+IF($AG9="서울병원",MAX(0,DAY(EOMONTH(요약!$B$3,0))-N($X9)),0))</f>
        <v/>
      </c>
      <c r="AI9" s="17">
        <f>IF($B9="","",IF(TRIM($J9&amp;"")="",0,SUMPRODUCT((파견수련계획!$Q$4:$Q$803=TRIM($J9&amp;""))*(파견수련계획!$S$4:$S$803="구리병원")*파견수련계획!$W$4:$W$803))+IF($AG9="구리병원",MAX(0,DAY(EOMONTH(요약!$B$3,0))-N($X9)),0))</f>
        <v/>
      </c>
      <c r="AJ9" s="10">
        <f>IF(OR($B9="",TRIM($J9&amp;"")=""),"",IFERROR(MATCH(TRIM($J9&amp;"")&amp;"|월",파견수련계획!$Z$4:$Z$803,0),""))</f>
        <v/>
      </c>
      <c r="AK9" s="10">
        <f>IF(OR($B9="",TRIM($J9&amp;"")=""),"",IFERROR(MATCH(TRIM($J9&amp;"")&amp;"|다기관",파견수련계획!$AE$4:$AE$803,0),""))</f>
        <v/>
      </c>
      <c r="AL9" s="10">
        <f>IF($AK9="","","다기관 "&amp;TEXT(INDEX(파견수련계획!$AB$4:$AB$803,$AK9),"yyyy-mm-dd")&amp;"~"&amp;IF(ISNUMBER(INDEX(파견수련계획!$AC$4:$AC$803,$AK9)),TEXT(INDEX(파견수련계획!$AC$4:$AC$803,$AK9),"yyyy-mm-dd"),""))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IF($AB10="","",IF(INDEX(기본자료!$C$2:$C$1001,$AB10)="","",INDEX(기본자료!$C$2:$C$1001,$AB10)))</f>
        <v/>
      </c>
      <c r="D10" s="10">
        <f>IF($AB10="","",IF(INDEX(기본자료!$J$2:$J$1001,$AB10)="","",INDEX(기본자료!$J$2:$J$1001,$AB10)))</f>
        <v/>
      </c>
      <c r="E10" s="11">
        <f>IF($AB10="","",IF(INDEX(기본자료!$K$2:$K$1001,$AB10)="","",IF(NOT(ISNUMBER(INDEX(기본자료!$K$2:$K$1001,$AB10))),INDEX(기본자료!$K$2:$K$1001,$AB10),IF(INDEX(기본자료!$K$2:$K$1001,$AB10)&lt;1000000,INDEX(기본자료!$K$2:$K$1001,$AB10),IF(AND(INDEX(기본자료!$K$2:$K$1001,$AB10)&gt;=10000101,INT(MOD(INDEX(기본자료!$K$2:$K$1001,$AB10),10000)/100)&gt;=1,INT(MOD(INDEX(기본자료!$K$2:$K$1001,$AB10),10000)/100)&lt;=12,MOD(INDEX(기본자료!$K$2:$K$1001,$AB10),100)&gt;=1,MOD(INDEX(기본자료!$K$2:$K$1001,$AB10),100)&lt;=31),DATE(INT(INDEX(기본자료!$K$2:$K$1001,$AB10)/10000),INT(MOD(INDEX(기본자료!$K$2:$K$1001,$AB10),10000)/100),MOD(INDEX(기본자료!$K$2:$K$1001,$AB10),100)),INDEX(기본자료!$K$2:$K$1001,$AB10)&amp;"")))))</f>
        <v/>
      </c>
      <c r="F10" s="10">
        <f>IF($AB10="","",IF(INDEX(기본자료!$D$2:$D$1001,$AB10)="","",INDEX(기본자료!$D$2:$D$1001,$AB10)))</f>
        <v/>
      </c>
      <c r="G10" s="10">
        <f>IF($AB10="","",IF(INDEX(기본자료!$E$2:$E$1001,$AB10)="","",INDEX(기본자료!$E$2:$E$1001,$AB10)))</f>
        <v/>
      </c>
      <c r="H10" s="10">
        <f>IF($AB10="","",IF(INDEX(기본자료!$F$2:$F$1001,$AB10)="","",INDEX(기본자료!$F$2:$F$1001,$AB10)))</f>
        <v/>
      </c>
      <c r="I10" s="11">
        <f>IF($AB10="","",IF(INDEX(기본자료!$G$2:$G$1001,$AB10)="","",IF(NOT(ISNUMBER(INDEX(기본자료!$G$2:$G$1001,$AB10))),INDEX(기본자료!$G$2:$G$1001,$AB10),IF(INDEX(기본자료!$G$2:$G$1001,$AB10)&lt;1000000,INDEX(기본자료!$G$2:$G$1001,$AB10),IF(AND(INDEX(기본자료!$G$2:$G$1001,$AB10)&gt;=10000101,INT(MOD(INDEX(기본자료!$G$2:$G$1001,$AB10),10000)/100)&gt;=1,INT(MOD(INDEX(기본자료!$G$2:$G$1001,$AB10),10000)/100)&lt;=12,MOD(INDEX(기본자료!$G$2:$G$1001,$AB10),100)&gt;=1,MOD(INDEX(기본자료!$G$2:$G$1001,$AB10),100)&lt;=31),DATE(INT(INDEX(기본자료!$G$2:$G$1001,$AB10)/10000),INT(MOD(INDEX(기본자료!$G$2:$G$1001,$AB10),10000)/100),MOD(INDEX(기본자료!$G$2:$G$1001,$AB10),100)),INDEX(기본자료!$G$2:$G$1001,$AB10)&amp;"")))))</f>
        <v/>
      </c>
      <c r="J10" s="10">
        <f>IF($AB10="","",IF(INDEX(기본자료!$H$2:$H$1001,$AB10)="","",INDEX(기본자료!$H$2:$H$1001,$AB10)))</f>
        <v/>
      </c>
      <c r="K10" s="10">
        <f>IF($AB10="","",IF(INDEX(기본자료!$I$2:$I$1001,$AB10)="","",INDEX(기본자료!$I$2:$I$1001,$AB10)))</f>
        <v/>
      </c>
      <c r="L10" s="10">
        <f>IF($AB10="","",IF(INDEX(기본자료!$A$2:$A$1001,$AB10)="","",INDEX(기본자료!$A$2:$A$1001,$AB10)))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$803,$AK10),OR(NOT(ISNUMBER(INDEX(파견수련계획!$AC$4:$AC$803,$AK10))),TODAY()&lt;=INDEX(파견수련계획!$AC$4:$AC$803,$AK10))),"다기관",IF($AF10="","",INDEX(파견수련계획!$T$4:$T$803,$AF10))),IF($AF10="","",INDEX(파견수련계획!$T$4:$T$803,$AF10))))</f>
        <v/>
      </c>
      <c r="Q10" s="10">
        <f>IF($AF10="","",INDEX(파견수련계획!$S$4:$S$803,$AF10))</f>
        <v/>
      </c>
      <c r="R10" s="10">
        <f>IF($AF10="","",INDEX(파견수련계획!$U$4:$U$803,$AF10))</f>
        <v/>
      </c>
      <c r="S10" s="11">
        <f>IF($AF10="","",IF(INDEX(파견수련계획!$H$4:$H$803,$AF10)="","",INDEX(파견수련계획!$H$4:$H$803,$AF10)))</f>
        <v/>
      </c>
      <c r="T10" s="11">
        <f>IF($AF10="","",IF(INDEX(파견수련계획!$I$4:$I$803,$AF10)="","",INDEX(파견수련계획!$I$4:$I$803,$AF10)))</f>
        <v/>
      </c>
      <c r="U10" s="10">
        <f>IF($AF10="","",INDEX(파견수련계획!$X$4:$X$803,$AF10))</f>
        <v/>
      </c>
      <c r="V10" s="17">
        <f>IF($AF10="","",INDEX(파견수련계획!$V$4:$V$803,$AF10))</f>
        <v/>
      </c>
      <c r="W10" s="17">
        <f>IF(AND($U10="파견중",$T10&lt;&gt;""),$T10-TODAY(),"")</f>
        <v/>
      </c>
      <c r="X10" s="17">
        <f>IF(OR($B10="",TRIM($J10&amp;"")=""),"",SUMPRODUCT((파견수련계획!$Q$4:$Q$803=TRIM($J10&amp;""))*파견수련계획!$W$4:$W$803))</f>
        <v/>
      </c>
      <c r="Y10" s="10">
        <f>IF($B10="","",IF($AG10="","",IF(IF(TRIM($J10&amp;"")="",0,SUMPRODUCT((파견수련계획!$Q$4:$Q$803=TRIM($J10&amp;""))*파견수련계획!$AD$4:$AD$803)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"&amp;$AI10&amp;"일)")),IF($AJ10="",$AE10,IF(INDEX(파견수련계획!$T$4:$T$803,$AJ10)="통합수련",INDEX(파견수련계획!$S$4:$S$803,$AJ10),$AE10)))))))</f>
        <v/>
      </c>
      <c r="Z10" s="19">
        <f>IF($B10="","",IF($AB10="","기본자료에 없는 사번",IF(COUNTIF($B$2:$B$401,$B10)&gt;1,"중복 사번",IF($AE10="","소속(입사장소) 입력",IF(IF(TRIM($J10&amp;"")="",0,SUMPRODUCT((파견수련계획!$Q$4:$Q$803=TRIM($J10&amp;""))*(파견수련계획!$AA$4:$AA$803&lt;&gt;"")))&gt;0,"파견수련계획 입력오류 확인",IF(LEFT($Y10,1)="⚠","서울·구리 15일 판정 불가(양쪽 모두 이상/미만)",IF(IF($AC10="",0,N(INDEX(인턴근무계획!$T$3:$T$402,$AC10)))&gt;0,"인턴계획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IF($B10="","",IFERROR(MATCH($B10,기본자료!$B$2:$B$1001,0),IFERROR(MATCH($B10&amp;"",기본자료!$B$2:$B$1001,0),IFERROR(MATCH(VALUE($B10),기본자료!$B$2:$B$1001,0),""))))</f>
        <v/>
      </c>
      <c r="AC10" s="10">
        <f>IF($B10="","",IFERROR(MATCH($B10,인턴근무계획!$D$3:$D$402,0),IFERROR(MATCH($B10&amp;"",인턴근무계획!$D$3:$D$402,0),IFERROR(MATCH(VALUE($B10),인턴근무계획!$D$3:$D$402,0),""))))</f>
        <v/>
      </c>
      <c r="AD10" s="10">
        <f>IF(OR($AC10="",인턴현황!$G$3=""),"",INDEX(인턴근무계획!$M$3:$R$402,$AC10,인턴현황!$G$3)&amp;"")</f>
        <v/>
      </c>
      <c r="AE10" s="10">
        <f>IF($B10="","",IF($M10&lt;&gt;"",$M10,IF($AF10&lt;&gt;"",IF(LEFT(INDEX(파견수련계획!$R$4:$R$803,$AF10),1)&lt;&gt;"⚠",INDEX(파견수련계획!$R$4:$R$803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$803,0),IFERROR(MATCH(TRIM($J10&amp;"")&amp;"|파견예정",파견수련계획!$Y$4:$Y$803,0),IFERROR(MATCH(TRIM($J10&amp;"")&amp;"|파견종료",파견수련계획!$Y$4:$Y$803,0),""))))</f>
        <v/>
      </c>
      <c r="AG10" s="10">
        <f>IF($B10="","",IF(AND(IF(OR($AC10="",인턴현황!$K$2=""),"",INDEX(인턴근무계획!$M$3:$R$402,$AC10,인턴현황!$K$2)&amp;"")&lt;&gt;"",LEFT(IF(OR($AC10="",인턴현황!$K$2=""),"",INDEX(인턴근무계획!$M$3:$R$402,$AC10,인턴현황!$K$2)&amp;""),1)&lt;&gt;"⚠"),LEFT(IF(OR($AC10="",인턴현황!$K$2=""),"",INDEX(인턴근무계획!$M$3:$R$402,$AC10,인턴현황!$K$2)&amp;""),FIND(" ",IF(OR($AC10="",인턴현황!$K$2=""),"",INDEX(인턴근무계획!$M$3:$R$402,$AC10,인턴현황!$K$2)&amp;""))-1),$AE10))</f>
        <v/>
      </c>
      <c r="AH10" s="17">
        <f>IF($B10="","",IF(TRIM($J10&amp;"")="",0,SUMPRODUCT((파견수련계획!$Q$4:$Q$803=TRIM($J10&amp;""))*(파견수련계획!$S$4:$S$803="서울병원")*파견수련계획!$W$4:$W$803))+IF($AG10="서울병원",MAX(0,DAY(EOMONTH(요약!$B$3,0))-N($X10)),0))</f>
        <v/>
      </c>
      <c r="AI10" s="17">
        <f>IF($B10="","",IF(TRIM($J10&amp;"")="",0,SUMPRODUCT((파견수련계획!$Q$4:$Q$803=TRIM($J10&amp;""))*(파견수련계획!$S$4:$S$803="구리병원")*파견수련계획!$W$4:$W$803))+IF($AG10="구리병원",MAX(0,DAY(EOMONTH(요약!$B$3,0))-N($X10)),0))</f>
        <v/>
      </c>
      <c r="AJ10" s="10">
        <f>IF(OR($B10="",TRIM($J10&amp;"")=""),"",IFERROR(MATCH(TRIM($J10&amp;"")&amp;"|월",파견수련계획!$Z$4:$Z$803,0),""))</f>
        <v/>
      </c>
      <c r="AK10" s="10">
        <f>IF(OR($B10="",TRIM($J10&amp;"")=""),"",IFERROR(MATCH(TRIM($J10&amp;"")&amp;"|다기관",파견수련계획!$AE$4:$AE$803,0),""))</f>
        <v/>
      </c>
      <c r="AL10" s="10">
        <f>IF($AK10="","","다기관 "&amp;TEXT(INDEX(파견수련계획!$AB$4:$AB$803,$AK10),"yyyy-mm-dd")&amp;"~"&amp;IF(ISNUMBER(INDEX(파견수련계획!$AC$4:$AC$803,$AK10)),TEXT(INDEX(파견수련계획!$AC$4:$AC$803,$AK10),"yyyy-mm-dd"),""))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IF($AB11="","",IF(INDEX(기본자료!$C$2:$C$1001,$AB11)="","",INDEX(기본자료!$C$2:$C$1001,$AB11)))</f>
        <v/>
      </c>
      <c r="D11" s="10">
        <f>IF($AB11="","",IF(INDEX(기본자료!$J$2:$J$1001,$AB11)="","",INDEX(기본자료!$J$2:$J$1001,$AB11)))</f>
        <v/>
      </c>
      <c r="E11" s="11">
        <f>IF($AB11="","",IF(INDEX(기본자료!$K$2:$K$1001,$AB11)="","",IF(NOT(ISNUMBER(INDEX(기본자료!$K$2:$K$1001,$AB11))),INDEX(기본자료!$K$2:$K$1001,$AB11),IF(INDEX(기본자료!$K$2:$K$1001,$AB11)&lt;1000000,INDEX(기본자료!$K$2:$K$1001,$AB11),IF(AND(INDEX(기본자료!$K$2:$K$1001,$AB11)&gt;=10000101,INT(MOD(INDEX(기본자료!$K$2:$K$1001,$AB11),10000)/100)&gt;=1,INT(MOD(INDEX(기본자료!$K$2:$K$1001,$AB11),10000)/100)&lt;=12,MOD(INDEX(기본자료!$K$2:$K$1001,$AB11),100)&gt;=1,MOD(INDEX(기본자료!$K$2:$K$1001,$AB11),100)&lt;=31),DATE(INT(INDEX(기본자료!$K$2:$K$1001,$AB11)/10000),INT(MOD(INDEX(기본자료!$K$2:$K$1001,$AB11),10000)/100),MOD(INDEX(기본자료!$K$2:$K$1001,$AB11),100)),INDEX(기본자료!$K$2:$K$1001,$AB11)&amp;"")))))</f>
        <v/>
      </c>
      <c r="F11" s="10">
        <f>IF($AB11="","",IF(INDEX(기본자료!$D$2:$D$1001,$AB11)="","",INDEX(기본자료!$D$2:$D$1001,$AB11)))</f>
        <v/>
      </c>
      <c r="G11" s="10">
        <f>IF($AB11="","",IF(INDEX(기본자료!$E$2:$E$1001,$AB11)="","",INDEX(기본자료!$E$2:$E$1001,$AB11)))</f>
        <v/>
      </c>
      <c r="H11" s="10">
        <f>IF($AB11="","",IF(INDEX(기본자료!$F$2:$F$1001,$AB11)="","",INDEX(기본자료!$F$2:$F$1001,$AB11)))</f>
        <v/>
      </c>
      <c r="I11" s="11">
        <f>IF($AB11="","",IF(INDEX(기본자료!$G$2:$G$1001,$AB11)="","",IF(NOT(ISNUMBER(INDEX(기본자료!$G$2:$G$1001,$AB11))),INDEX(기본자료!$G$2:$G$1001,$AB11),IF(INDEX(기본자료!$G$2:$G$1001,$AB11)&lt;1000000,INDEX(기본자료!$G$2:$G$1001,$AB11),IF(AND(INDEX(기본자료!$G$2:$G$1001,$AB11)&gt;=10000101,INT(MOD(INDEX(기본자료!$G$2:$G$1001,$AB11),10000)/100)&gt;=1,INT(MOD(INDEX(기본자료!$G$2:$G$1001,$AB11),10000)/100)&lt;=12,MOD(INDEX(기본자료!$G$2:$G$1001,$AB11),100)&gt;=1,MOD(INDEX(기본자료!$G$2:$G$1001,$AB11),100)&lt;=31),DATE(INT(INDEX(기본자료!$G$2:$G$1001,$AB11)/10000),INT(MOD(INDEX(기본자료!$G$2:$G$1001,$AB11),10000)/100),MOD(INDEX(기본자료!$G$2:$G$1001,$AB11),100)),INDEX(기본자료!$G$2:$G$1001,$AB11)&amp;"")))))</f>
        <v/>
      </c>
      <c r="J11" s="10">
        <f>IF($AB11="","",IF(INDEX(기본자료!$H$2:$H$1001,$AB11)="","",INDEX(기본자료!$H$2:$H$1001,$AB11)))</f>
        <v/>
      </c>
      <c r="K11" s="10">
        <f>IF($AB11="","",IF(INDEX(기본자료!$I$2:$I$1001,$AB11)="","",INDEX(기본자료!$I$2:$I$1001,$AB11)))</f>
        <v/>
      </c>
      <c r="L11" s="10">
        <f>IF($AB11="","",IF(INDEX(기본자료!$A$2:$A$1001,$AB11)="","",INDEX(기본자료!$A$2:$A$1001,$AB11)))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$803,$AK11),OR(NOT(ISNUMBER(INDEX(파견수련계획!$AC$4:$AC$803,$AK11))),TODAY()&lt;=INDEX(파견수련계획!$AC$4:$AC$803,$AK11))),"다기관",IF($AF11="","",INDEX(파견수련계획!$T$4:$T$803,$AF11))),IF($AF11="","",INDEX(파견수련계획!$T$4:$T$803,$AF11))))</f>
        <v/>
      </c>
      <c r="Q11" s="10">
        <f>IF($AF11="","",INDEX(파견수련계획!$S$4:$S$803,$AF11))</f>
        <v/>
      </c>
      <c r="R11" s="10">
        <f>IF($AF11="","",INDEX(파견수련계획!$U$4:$U$803,$AF11))</f>
        <v/>
      </c>
      <c r="S11" s="11">
        <f>IF($AF11="","",IF(INDEX(파견수련계획!$H$4:$H$803,$AF11)="","",INDEX(파견수련계획!$H$4:$H$803,$AF11)))</f>
        <v/>
      </c>
      <c r="T11" s="11">
        <f>IF($AF11="","",IF(INDEX(파견수련계획!$I$4:$I$803,$AF11)="","",INDEX(파견수련계획!$I$4:$I$803,$AF11)))</f>
        <v/>
      </c>
      <c r="U11" s="10">
        <f>IF($AF11="","",INDEX(파견수련계획!$X$4:$X$803,$AF11))</f>
        <v/>
      </c>
      <c r="V11" s="17">
        <f>IF($AF11="","",INDEX(파견수련계획!$V$4:$V$803,$AF11))</f>
        <v/>
      </c>
      <c r="W11" s="17">
        <f>IF(AND($U11="파견중",$T11&lt;&gt;""),$T11-TODAY(),"")</f>
        <v/>
      </c>
      <c r="X11" s="17">
        <f>IF(OR($B11="",TRIM($J11&amp;"")=""),"",SUMPRODUCT((파견수련계획!$Q$4:$Q$803=TRIM($J11&amp;""))*파견수련계획!$W$4:$W$803))</f>
        <v/>
      </c>
      <c r="Y11" s="10">
        <f>IF($B11="","",IF($AG11="","",IF(IF(TRIM($J11&amp;"")="",0,SUMPRODUCT((파견수련계획!$Q$4:$Q$803=TRIM($J11&amp;""))*파견수련계획!$AD$4:$AD$803)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"&amp;$AI11&amp;"일)")),IF($AJ11="",$AE11,IF(INDEX(파견수련계획!$T$4:$T$803,$AJ11)="통합수련",INDEX(파견수련계획!$S$4:$S$803,$AJ11),$AE11)))))))</f>
        <v/>
      </c>
      <c r="Z11" s="19">
        <f>IF($B11="","",IF($AB11="","기본자료에 없는 사번",IF(COUNTIF($B$2:$B$401,$B11)&gt;1,"중복 사번",IF($AE11="","소속(입사장소) 입력",IF(IF(TRIM($J11&amp;"")="",0,SUMPRODUCT((파견수련계획!$Q$4:$Q$803=TRIM($J11&amp;""))*(파견수련계획!$AA$4:$AA$803&lt;&gt;"")))&gt;0,"파견수련계획 입력오류 확인",IF(LEFT($Y11,1)="⚠","서울·구리 15일 판정 불가(양쪽 모두 이상/미만)",IF(IF($AC11="",0,N(INDEX(인턴근무계획!$T$3:$T$402,$AC11)))&gt;0,"인턴계획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IF($B11="","",IFERROR(MATCH($B11,기본자료!$B$2:$B$1001,0),IFERROR(MATCH($B11&amp;"",기본자료!$B$2:$B$1001,0),IFERROR(MATCH(VALUE($B11),기본자료!$B$2:$B$1001,0),""))))</f>
        <v/>
      </c>
      <c r="AC11" s="10">
        <f>IF($B11="","",IFERROR(MATCH($B11,인턴근무계획!$D$3:$D$402,0),IFERROR(MATCH($B11&amp;"",인턴근무계획!$D$3:$D$402,0),IFERROR(MATCH(VALUE($B11),인턴근무계획!$D$3:$D$402,0),""))))</f>
        <v/>
      </c>
      <c r="AD11" s="10">
        <f>IF(OR($AC11="",인턴현황!$G$3=""),"",INDEX(인턴근무계획!$M$3:$R$402,$AC11,인턴현황!$G$3)&amp;"")</f>
        <v/>
      </c>
      <c r="AE11" s="10">
        <f>IF($B11="","",IF($M11&lt;&gt;"",$M11,IF($AF11&lt;&gt;"",IF(LEFT(INDEX(파견수련계획!$R$4:$R$803,$AF11),1)&lt;&gt;"⚠",INDEX(파견수련계획!$R$4:$R$803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$803,0),IFERROR(MATCH(TRIM($J11&amp;"")&amp;"|파견예정",파견수련계획!$Y$4:$Y$803,0),IFERROR(MATCH(TRIM($J11&amp;"")&amp;"|파견종료",파견수련계획!$Y$4:$Y$803,0),""))))</f>
        <v/>
      </c>
      <c r="AG11" s="10">
        <f>IF($B11="","",IF(AND(IF(OR($AC11="",인턴현황!$K$2=""),"",INDEX(인턴근무계획!$M$3:$R$402,$AC11,인턴현황!$K$2)&amp;"")&lt;&gt;"",LEFT(IF(OR($AC11="",인턴현황!$K$2=""),"",INDEX(인턴근무계획!$M$3:$R$402,$AC11,인턴현황!$K$2)&amp;""),1)&lt;&gt;"⚠"),LEFT(IF(OR($AC11="",인턴현황!$K$2=""),"",INDEX(인턴근무계획!$M$3:$R$402,$AC11,인턴현황!$K$2)&amp;""),FIND(" ",IF(OR($AC11="",인턴현황!$K$2=""),"",INDEX(인턴근무계획!$M$3:$R$402,$AC11,인턴현황!$K$2)&amp;""))-1),$AE11))</f>
        <v/>
      </c>
      <c r="AH11" s="17">
        <f>IF($B11="","",IF(TRIM($J11&amp;"")="",0,SUMPRODUCT((파견수련계획!$Q$4:$Q$803=TRIM($J11&amp;""))*(파견수련계획!$S$4:$S$803="서울병원")*파견수련계획!$W$4:$W$803))+IF($AG11="서울병원",MAX(0,DAY(EOMONTH(요약!$B$3,0))-N($X11)),0))</f>
        <v/>
      </c>
      <c r="AI11" s="17">
        <f>IF($B11="","",IF(TRIM($J11&amp;"")="",0,SUMPRODUCT((파견수련계획!$Q$4:$Q$803=TRIM($J11&amp;""))*(파견수련계획!$S$4:$S$803="구리병원")*파견수련계획!$W$4:$W$803))+IF($AG11="구리병원",MAX(0,DAY(EOMONTH(요약!$B$3,0))-N($X11)),0))</f>
        <v/>
      </c>
      <c r="AJ11" s="10">
        <f>IF(OR($B11="",TRIM($J11&amp;"")=""),"",IFERROR(MATCH(TRIM($J11&amp;"")&amp;"|월",파견수련계획!$Z$4:$Z$803,0),""))</f>
        <v/>
      </c>
      <c r="AK11" s="10">
        <f>IF(OR($B11="",TRIM($J11&amp;"")=""),"",IFERROR(MATCH(TRIM($J11&amp;"")&amp;"|다기관",파견수련계획!$AE$4:$AE$803,0),""))</f>
        <v/>
      </c>
      <c r="AL11" s="10">
        <f>IF($AK11="","","다기관 "&amp;TEXT(INDEX(파견수련계획!$AB$4:$AB$803,$AK11),"yyyy-mm-dd")&amp;"~"&amp;IF(ISNUMBER(INDEX(파견수련계획!$AC$4:$AC$803,$AK11)),TEXT(INDEX(파견수련계획!$AC$4:$AC$803,$AK11),"yyyy-mm-dd"),""))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IF($AB12="","",IF(INDEX(기본자료!$C$2:$C$1001,$AB12)="","",INDEX(기본자료!$C$2:$C$1001,$AB12)))</f>
        <v/>
      </c>
      <c r="D12" s="10">
        <f>IF($AB12="","",IF(INDEX(기본자료!$J$2:$J$1001,$AB12)="","",INDEX(기본자료!$J$2:$J$1001,$AB12)))</f>
        <v/>
      </c>
      <c r="E12" s="11">
        <f>IF($AB12="","",IF(INDEX(기본자료!$K$2:$K$1001,$AB12)="","",IF(NOT(ISNUMBER(INDEX(기본자료!$K$2:$K$1001,$AB12))),INDEX(기본자료!$K$2:$K$1001,$AB12),IF(INDEX(기본자료!$K$2:$K$1001,$AB12)&lt;1000000,INDEX(기본자료!$K$2:$K$1001,$AB12),IF(AND(INDEX(기본자료!$K$2:$K$1001,$AB12)&gt;=10000101,INT(MOD(INDEX(기본자료!$K$2:$K$1001,$AB12),10000)/100)&gt;=1,INT(MOD(INDEX(기본자료!$K$2:$K$1001,$AB12),10000)/100)&lt;=12,MOD(INDEX(기본자료!$K$2:$K$1001,$AB12),100)&gt;=1,MOD(INDEX(기본자료!$K$2:$K$1001,$AB12),100)&lt;=31),DATE(INT(INDEX(기본자료!$K$2:$K$1001,$AB12)/10000),INT(MOD(INDEX(기본자료!$K$2:$K$1001,$AB12),10000)/100),MOD(INDEX(기본자료!$K$2:$K$1001,$AB12),100)),INDEX(기본자료!$K$2:$K$1001,$AB12)&amp;"")))))</f>
        <v/>
      </c>
      <c r="F12" s="10">
        <f>IF($AB12="","",IF(INDEX(기본자료!$D$2:$D$1001,$AB12)="","",INDEX(기본자료!$D$2:$D$1001,$AB12)))</f>
        <v/>
      </c>
      <c r="G12" s="10">
        <f>IF($AB12="","",IF(INDEX(기본자료!$E$2:$E$1001,$AB12)="","",INDEX(기본자료!$E$2:$E$1001,$AB12)))</f>
        <v/>
      </c>
      <c r="H12" s="10">
        <f>IF($AB12="","",IF(INDEX(기본자료!$F$2:$F$1001,$AB12)="","",INDEX(기본자료!$F$2:$F$1001,$AB12)))</f>
        <v/>
      </c>
      <c r="I12" s="11">
        <f>IF($AB12="","",IF(INDEX(기본자료!$G$2:$G$1001,$AB12)="","",IF(NOT(ISNUMBER(INDEX(기본자료!$G$2:$G$1001,$AB12))),INDEX(기본자료!$G$2:$G$1001,$AB12),IF(INDEX(기본자료!$G$2:$G$1001,$AB12)&lt;1000000,INDEX(기본자료!$G$2:$G$1001,$AB12),IF(AND(INDEX(기본자료!$G$2:$G$1001,$AB12)&gt;=10000101,INT(MOD(INDEX(기본자료!$G$2:$G$1001,$AB12),10000)/100)&gt;=1,INT(MOD(INDEX(기본자료!$G$2:$G$1001,$AB12),10000)/100)&lt;=12,MOD(INDEX(기본자료!$G$2:$G$1001,$AB12),100)&gt;=1,MOD(INDEX(기본자료!$G$2:$G$1001,$AB12),100)&lt;=31),DATE(INT(INDEX(기본자료!$G$2:$G$1001,$AB12)/10000),INT(MOD(INDEX(기본자료!$G$2:$G$1001,$AB12),10000)/100),MOD(INDEX(기본자료!$G$2:$G$1001,$AB12),100)),INDEX(기본자료!$G$2:$G$1001,$AB12)&amp;"")))))</f>
        <v/>
      </c>
      <c r="J12" s="10">
        <f>IF($AB12="","",IF(INDEX(기본자료!$H$2:$H$1001,$AB12)="","",INDEX(기본자료!$H$2:$H$1001,$AB12)))</f>
        <v/>
      </c>
      <c r="K12" s="10">
        <f>IF($AB12="","",IF(INDEX(기본자료!$I$2:$I$1001,$AB12)="","",INDEX(기본자료!$I$2:$I$1001,$AB12)))</f>
        <v/>
      </c>
      <c r="L12" s="10">
        <f>IF($AB12="","",IF(INDEX(기본자료!$A$2:$A$1001,$AB12)="","",INDEX(기본자료!$A$2:$A$1001,$AB12)))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$803,$AK12),OR(NOT(ISNUMBER(INDEX(파견수련계획!$AC$4:$AC$803,$AK12))),TODAY()&lt;=INDEX(파견수련계획!$AC$4:$AC$803,$AK12))),"다기관",IF($AF12="","",INDEX(파견수련계획!$T$4:$T$803,$AF12))),IF($AF12="","",INDEX(파견수련계획!$T$4:$T$803,$AF12))))</f>
        <v/>
      </c>
      <c r="Q12" s="10">
        <f>IF($AF12="","",INDEX(파견수련계획!$S$4:$S$803,$AF12))</f>
        <v/>
      </c>
      <c r="R12" s="10">
        <f>IF($AF12="","",INDEX(파견수련계획!$U$4:$U$803,$AF12))</f>
        <v/>
      </c>
      <c r="S12" s="11">
        <f>IF($AF12="","",IF(INDEX(파견수련계획!$H$4:$H$803,$AF12)="","",INDEX(파견수련계획!$H$4:$H$803,$AF12)))</f>
        <v/>
      </c>
      <c r="T12" s="11">
        <f>IF($AF12="","",IF(INDEX(파견수련계획!$I$4:$I$803,$AF12)="","",INDEX(파견수련계획!$I$4:$I$803,$AF12)))</f>
        <v/>
      </c>
      <c r="U12" s="10">
        <f>IF($AF12="","",INDEX(파견수련계획!$X$4:$X$803,$AF12))</f>
        <v/>
      </c>
      <c r="V12" s="17">
        <f>IF($AF12="","",INDEX(파견수련계획!$V$4:$V$803,$AF12))</f>
        <v/>
      </c>
      <c r="W12" s="17">
        <f>IF(AND($U12="파견중",$T12&lt;&gt;""),$T12-TODAY(),"")</f>
        <v/>
      </c>
      <c r="X12" s="17">
        <f>IF(OR($B12="",TRIM($J12&amp;"")=""),"",SUMPRODUCT((파견수련계획!$Q$4:$Q$803=TRIM($J12&amp;""))*파견수련계획!$W$4:$W$803))</f>
        <v/>
      </c>
      <c r="Y12" s="10">
        <f>IF($B12="","",IF($AG12="","",IF(IF(TRIM($J12&amp;"")="",0,SUMPRODUCT((파견수련계획!$Q$4:$Q$803=TRIM($J12&amp;""))*파견수련계획!$AD$4:$AD$803)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"&amp;$AI12&amp;"일)")),IF($AJ12="",$AE12,IF(INDEX(파견수련계획!$T$4:$T$803,$AJ12)="통합수련",INDEX(파견수련계획!$S$4:$S$803,$AJ12),$AE12)))))))</f>
        <v/>
      </c>
      <c r="Z12" s="19">
        <f>IF($B12="","",IF($AB12="","기본자료에 없는 사번",IF(COUNTIF($B$2:$B$401,$B12)&gt;1,"중복 사번",IF($AE12="","소속(입사장소) 입력",IF(IF(TRIM($J12&amp;"")="",0,SUMPRODUCT((파견수련계획!$Q$4:$Q$803=TRIM($J12&amp;""))*(파견수련계획!$AA$4:$AA$803&lt;&gt;"")))&gt;0,"파견수련계획 입력오류 확인",IF(LEFT($Y12,1)="⚠","서울·구리 15일 판정 불가(양쪽 모두 이상/미만)",IF(IF($AC12="",0,N(INDEX(인턴근무계획!$T$3:$T$402,$AC12)))&gt;0,"인턴계획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IF($B12="","",IFERROR(MATCH($B12,기본자료!$B$2:$B$1001,0),IFERROR(MATCH($B12&amp;"",기본자료!$B$2:$B$1001,0),IFERROR(MATCH(VALUE($B12),기본자료!$B$2:$B$1001,0),""))))</f>
        <v/>
      </c>
      <c r="AC12" s="10">
        <f>IF($B12="","",IFERROR(MATCH($B12,인턴근무계획!$D$3:$D$402,0),IFERROR(MATCH($B12&amp;"",인턴근무계획!$D$3:$D$402,0),IFERROR(MATCH(VALUE($B12),인턴근무계획!$D$3:$D$402,0),""))))</f>
        <v/>
      </c>
      <c r="AD12" s="10">
        <f>IF(OR($AC12="",인턴현황!$G$3=""),"",INDEX(인턴근무계획!$M$3:$R$402,$AC12,인턴현황!$G$3)&amp;"")</f>
        <v/>
      </c>
      <c r="AE12" s="10">
        <f>IF($B12="","",IF($M12&lt;&gt;"",$M12,IF($AF12&lt;&gt;"",IF(LEFT(INDEX(파견수련계획!$R$4:$R$803,$AF12),1)&lt;&gt;"⚠",INDEX(파견수련계획!$R$4:$R$803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$803,0),IFERROR(MATCH(TRIM($J12&amp;"")&amp;"|파견예정",파견수련계획!$Y$4:$Y$803,0),IFERROR(MATCH(TRIM($J12&amp;"")&amp;"|파견종료",파견수련계획!$Y$4:$Y$803,0),""))))</f>
        <v/>
      </c>
      <c r="AG12" s="10">
        <f>IF($B12="","",IF(AND(IF(OR($AC12="",인턴현황!$K$2=""),"",INDEX(인턴근무계획!$M$3:$R$402,$AC12,인턴현황!$K$2)&amp;"")&lt;&gt;"",LEFT(IF(OR($AC12="",인턴현황!$K$2=""),"",INDEX(인턴근무계획!$M$3:$R$402,$AC12,인턴현황!$K$2)&amp;""),1)&lt;&gt;"⚠"),LEFT(IF(OR($AC12="",인턴현황!$K$2=""),"",INDEX(인턴근무계획!$M$3:$R$402,$AC12,인턴현황!$K$2)&amp;""),FIND(" ",IF(OR($AC12="",인턴현황!$K$2=""),"",INDEX(인턴근무계획!$M$3:$R$402,$AC12,인턴현황!$K$2)&amp;""))-1),$AE12))</f>
        <v/>
      </c>
      <c r="AH12" s="17">
        <f>IF($B12="","",IF(TRIM($J12&amp;"")="",0,SUMPRODUCT((파견수련계획!$Q$4:$Q$803=TRIM($J12&amp;""))*(파견수련계획!$S$4:$S$803="서울병원")*파견수련계획!$W$4:$W$803))+IF($AG12="서울병원",MAX(0,DAY(EOMONTH(요약!$B$3,0))-N($X12)),0))</f>
        <v/>
      </c>
      <c r="AI12" s="17">
        <f>IF($B12="","",IF(TRIM($J12&amp;"")="",0,SUMPRODUCT((파견수련계획!$Q$4:$Q$803=TRIM($J12&amp;""))*(파견수련계획!$S$4:$S$803="구리병원")*파견수련계획!$W$4:$W$803))+IF($AG12="구리병원",MAX(0,DAY(EOMONTH(요약!$B$3,0))-N($X12)),0))</f>
        <v/>
      </c>
      <c r="AJ12" s="10">
        <f>IF(OR($B12="",TRIM($J12&amp;"")=""),"",IFERROR(MATCH(TRIM($J12&amp;"")&amp;"|월",파견수련계획!$Z$4:$Z$803,0),""))</f>
        <v/>
      </c>
      <c r="AK12" s="10">
        <f>IF(OR($B12="",TRIM($J12&amp;"")=""),"",IFERROR(MATCH(TRIM($J12&amp;"")&amp;"|다기관",파견수련계획!$AE$4:$AE$803,0),""))</f>
        <v/>
      </c>
      <c r="AL12" s="10">
        <f>IF($AK12="","","다기관 "&amp;TEXT(INDEX(파견수련계획!$AB$4:$AB$803,$AK12),"yyyy-mm-dd")&amp;"~"&amp;IF(ISNUMBER(INDEX(파견수련계획!$AC$4:$AC$803,$AK12)),TEXT(INDEX(파견수련계획!$AC$4:$AC$803,$AK12),"yyyy-mm-dd"),""))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IF($AB13="","",IF(INDEX(기본자료!$C$2:$C$1001,$AB13)="","",INDEX(기본자료!$C$2:$C$1001,$AB13)))</f>
        <v/>
      </c>
      <c r="D13" s="10">
        <f>IF($AB13="","",IF(INDEX(기본자료!$J$2:$J$1001,$AB13)="","",INDEX(기본자료!$J$2:$J$1001,$AB13)))</f>
        <v/>
      </c>
      <c r="E13" s="11">
        <f>IF($AB13="","",IF(INDEX(기본자료!$K$2:$K$1001,$AB13)="","",IF(NOT(ISNUMBER(INDEX(기본자료!$K$2:$K$1001,$AB13))),INDEX(기본자료!$K$2:$K$1001,$AB13),IF(INDEX(기본자료!$K$2:$K$1001,$AB13)&lt;1000000,INDEX(기본자료!$K$2:$K$1001,$AB13),IF(AND(INDEX(기본자료!$K$2:$K$1001,$AB13)&gt;=10000101,INT(MOD(INDEX(기본자료!$K$2:$K$1001,$AB13),10000)/100)&gt;=1,INT(MOD(INDEX(기본자료!$K$2:$K$1001,$AB13),10000)/100)&lt;=12,MOD(INDEX(기본자료!$K$2:$K$1001,$AB13),100)&gt;=1,MOD(INDEX(기본자료!$K$2:$K$1001,$AB13),100)&lt;=31),DATE(INT(INDEX(기본자료!$K$2:$K$1001,$AB13)/10000),INT(MOD(INDEX(기본자료!$K$2:$K$1001,$AB13),10000)/100),MOD(INDEX(기본자료!$K$2:$K$1001,$AB13),100)),INDEX(기본자료!$K$2:$K$1001,$AB13)&amp;"")))))</f>
        <v/>
      </c>
      <c r="F13" s="10">
        <f>IF($AB13="","",IF(INDEX(기본자료!$D$2:$D$1001,$AB13)="","",INDEX(기본자료!$D$2:$D$1001,$AB13)))</f>
        <v/>
      </c>
      <c r="G13" s="10">
        <f>IF($AB13="","",IF(INDEX(기본자료!$E$2:$E$1001,$AB13)="","",INDEX(기본자료!$E$2:$E$1001,$AB13)))</f>
        <v/>
      </c>
      <c r="H13" s="10">
        <f>IF($AB13="","",IF(INDEX(기본자료!$F$2:$F$1001,$AB13)="","",INDEX(기본자료!$F$2:$F$1001,$AB13)))</f>
        <v/>
      </c>
      <c r="I13" s="11">
        <f>IF($AB13="","",IF(INDEX(기본자료!$G$2:$G$1001,$AB13)="","",IF(NOT(ISNUMBER(INDEX(기본자료!$G$2:$G$1001,$AB13))),INDEX(기본자료!$G$2:$G$1001,$AB13),IF(INDEX(기본자료!$G$2:$G$1001,$AB13)&lt;1000000,INDEX(기본자료!$G$2:$G$1001,$AB13),IF(AND(INDEX(기본자료!$G$2:$G$1001,$AB13)&gt;=10000101,INT(MOD(INDEX(기본자료!$G$2:$G$1001,$AB13),10000)/100)&gt;=1,INT(MOD(INDEX(기본자료!$G$2:$G$1001,$AB13),10000)/100)&lt;=12,MOD(INDEX(기본자료!$G$2:$G$1001,$AB13),100)&gt;=1,MOD(INDEX(기본자료!$G$2:$G$1001,$AB13),100)&lt;=31),DATE(INT(INDEX(기본자료!$G$2:$G$1001,$AB13)/10000),INT(MOD(INDEX(기본자료!$G$2:$G$1001,$AB13),10000)/100),MOD(INDEX(기본자료!$G$2:$G$1001,$AB13),100)),INDEX(기본자료!$G$2:$G$1001,$AB13)&amp;"")))))</f>
        <v/>
      </c>
      <c r="J13" s="10">
        <f>IF($AB13="","",IF(INDEX(기본자료!$H$2:$H$1001,$AB13)="","",INDEX(기본자료!$H$2:$H$1001,$AB13)))</f>
        <v/>
      </c>
      <c r="K13" s="10">
        <f>IF($AB13="","",IF(INDEX(기본자료!$I$2:$I$1001,$AB13)="","",INDEX(기본자료!$I$2:$I$1001,$AB13)))</f>
        <v/>
      </c>
      <c r="L13" s="10">
        <f>IF($AB13="","",IF(INDEX(기본자료!$A$2:$A$1001,$AB13)="","",INDEX(기본자료!$A$2:$A$1001,$AB13)))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$803,$AK13),OR(NOT(ISNUMBER(INDEX(파견수련계획!$AC$4:$AC$803,$AK13))),TODAY()&lt;=INDEX(파견수련계획!$AC$4:$AC$803,$AK13))),"다기관",IF($AF13="","",INDEX(파견수련계획!$T$4:$T$803,$AF13))),IF($AF13="","",INDEX(파견수련계획!$T$4:$T$803,$AF13))))</f>
        <v/>
      </c>
      <c r="Q13" s="10">
        <f>IF($AF13="","",INDEX(파견수련계획!$S$4:$S$803,$AF13))</f>
        <v/>
      </c>
      <c r="R13" s="10">
        <f>IF($AF13="","",INDEX(파견수련계획!$U$4:$U$803,$AF13))</f>
        <v/>
      </c>
      <c r="S13" s="11">
        <f>IF($AF13="","",IF(INDEX(파견수련계획!$H$4:$H$803,$AF13)="","",INDEX(파견수련계획!$H$4:$H$803,$AF13)))</f>
        <v/>
      </c>
      <c r="T13" s="11">
        <f>IF($AF13="","",IF(INDEX(파견수련계획!$I$4:$I$803,$AF13)="","",INDEX(파견수련계획!$I$4:$I$803,$AF13)))</f>
        <v/>
      </c>
      <c r="U13" s="10">
        <f>IF($AF13="","",INDEX(파견수련계획!$X$4:$X$803,$AF13))</f>
        <v/>
      </c>
      <c r="V13" s="17">
        <f>IF($AF13="","",INDEX(파견수련계획!$V$4:$V$803,$AF13))</f>
        <v/>
      </c>
      <c r="W13" s="17">
        <f>IF(AND($U13="파견중",$T13&lt;&gt;""),$T13-TODAY(),"")</f>
        <v/>
      </c>
      <c r="X13" s="17">
        <f>IF(OR($B13="",TRIM($J13&amp;"")=""),"",SUMPRODUCT((파견수련계획!$Q$4:$Q$803=TRIM($J13&amp;""))*파견수련계획!$W$4:$W$803))</f>
        <v/>
      </c>
      <c r="Y13" s="10">
        <f>IF($B13="","",IF($AG13="","",IF(IF(TRIM($J13&amp;"")="",0,SUMPRODUCT((파견수련계획!$Q$4:$Q$803=TRIM($J13&amp;""))*파견수련계획!$AD$4:$AD$803)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"&amp;$AI13&amp;"일)")),IF($AJ13="",$AE13,IF(INDEX(파견수련계획!$T$4:$T$803,$AJ13)="통합수련",INDEX(파견수련계획!$S$4:$S$803,$AJ13),$AE13)))))))</f>
        <v/>
      </c>
      <c r="Z13" s="19">
        <f>IF($B13="","",IF($AB13="","기본자료에 없는 사번",IF(COUNTIF($B$2:$B$401,$B13)&gt;1,"중복 사번",IF($AE13="","소속(입사장소) 입력",IF(IF(TRIM($J13&amp;"")="",0,SUMPRODUCT((파견수련계획!$Q$4:$Q$803=TRIM($J13&amp;""))*(파견수련계획!$AA$4:$AA$803&lt;&gt;"")))&gt;0,"파견수련계획 입력오류 확인",IF(LEFT($Y13,1)="⚠","서울·구리 15일 판정 불가(양쪽 모두 이상/미만)",IF(IF($AC13="",0,N(INDEX(인턴근무계획!$T$3:$T$402,$AC13)))&gt;0,"인턴계획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IF($B13="","",IFERROR(MATCH($B13,기본자료!$B$2:$B$1001,0),IFERROR(MATCH($B13&amp;"",기본자료!$B$2:$B$1001,0),IFERROR(MATCH(VALUE($B13),기본자료!$B$2:$B$1001,0),""))))</f>
        <v/>
      </c>
      <c r="AC13" s="10">
        <f>IF($B13="","",IFERROR(MATCH($B13,인턴근무계획!$D$3:$D$402,0),IFERROR(MATCH($B13&amp;"",인턴근무계획!$D$3:$D$402,0),IFERROR(MATCH(VALUE($B13),인턴근무계획!$D$3:$D$402,0),""))))</f>
        <v/>
      </c>
      <c r="AD13" s="10">
        <f>IF(OR($AC13="",인턴현황!$G$3=""),"",INDEX(인턴근무계획!$M$3:$R$402,$AC13,인턴현황!$G$3)&amp;"")</f>
        <v/>
      </c>
      <c r="AE13" s="10">
        <f>IF($B13="","",IF($M13&lt;&gt;"",$M13,IF($AF13&lt;&gt;"",IF(LEFT(INDEX(파견수련계획!$R$4:$R$803,$AF13),1)&lt;&gt;"⚠",INDEX(파견수련계획!$R$4:$R$803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$803,0),IFERROR(MATCH(TRIM($J13&amp;"")&amp;"|파견예정",파견수련계획!$Y$4:$Y$803,0),IFERROR(MATCH(TRIM($J13&amp;"")&amp;"|파견종료",파견수련계획!$Y$4:$Y$803,0),""))))</f>
        <v/>
      </c>
      <c r="AG13" s="10">
        <f>IF($B13="","",IF(AND(IF(OR($AC13="",인턴현황!$K$2=""),"",INDEX(인턴근무계획!$M$3:$R$402,$AC13,인턴현황!$K$2)&amp;"")&lt;&gt;"",LEFT(IF(OR($AC13="",인턴현황!$K$2=""),"",INDEX(인턴근무계획!$M$3:$R$402,$AC13,인턴현황!$K$2)&amp;""),1)&lt;&gt;"⚠"),LEFT(IF(OR($AC13="",인턴현황!$K$2=""),"",INDEX(인턴근무계획!$M$3:$R$402,$AC13,인턴현황!$K$2)&amp;""),FIND(" ",IF(OR($AC13="",인턴현황!$K$2=""),"",INDEX(인턴근무계획!$M$3:$R$402,$AC13,인턴현황!$K$2)&amp;""))-1),$AE13))</f>
        <v/>
      </c>
      <c r="AH13" s="17">
        <f>IF($B13="","",IF(TRIM($J13&amp;"")="",0,SUMPRODUCT((파견수련계획!$Q$4:$Q$803=TRIM($J13&amp;""))*(파견수련계획!$S$4:$S$803="서울병원")*파견수련계획!$W$4:$W$803))+IF($AG13="서울병원",MAX(0,DAY(EOMONTH(요약!$B$3,0))-N($X13)),0))</f>
        <v/>
      </c>
      <c r="AI13" s="17">
        <f>IF($B13="","",IF(TRIM($J13&amp;"")="",0,SUMPRODUCT((파견수련계획!$Q$4:$Q$803=TRIM($J13&amp;""))*(파견수련계획!$S$4:$S$803="구리병원")*파견수련계획!$W$4:$W$803))+IF($AG13="구리병원",MAX(0,DAY(EOMONTH(요약!$B$3,0))-N($X13)),0))</f>
        <v/>
      </c>
      <c r="AJ13" s="10">
        <f>IF(OR($B13="",TRIM($J13&amp;"")=""),"",IFERROR(MATCH(TRIM($J13&amp;"")&amp;"|월",파견수련계획!$Z$4:$Z$803,0),""))</f>
        <v/>
      </c>
      <c r="AK13" s="10">
        <f>IF(OR($B13="",TRIM($J13&amp;"")=""),"",IFERROR(MATCH(TRIM($J13&amp;"")&amp;"|다기관",파견수련계획!$AE$4:$AE$803,0),""))</f>
        <v/>
      </c>
      <c r="AL13" s="10">
        <f>IF($AK13="","","다기관 "&amp;TEXT(INDEX(파견수련계획!$AB$4:$AB$803,$AK13),"yyyy-mm-dd")&amp;"~"&amp;IF(ISNUMBER(INDEX(파견수련계획!$AC$4:$AC$803,$AK13)),TEXT(INDEX(파견수련계획!$AC$4:$AC$803,$AK13),"yyyy-mm-dd"),""))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IF($AB14="","",IF(INDEX(기본자료!$C$2:$C$1001,$AB14)="","",INDEX(기본자료!$C$2:$C$1001,$AB14)))</f>
        <v/>
      </c>
      <c r="D14" s="10">
        <f>IF($AB14="","",IF(INDEX(기본자료!$J$2:$J$1001,$AB14)="","",INDEX(기본자료!$J$2:$J$1001,$AB14)))</f>
        <v/>
      </c>
      <c r="E14" s="11">
        <f>IF($AB14="","",IF(INDEX(기본자료!$K$2:$K$1001,$AB14)="","",IF(NOT(ISNUMBER(INDEX(기본자료!$K$2:$K$1001,$AB14))),INDEX(기본자료!$K$2:$K$1001,$AB14),IF(INDEX(기본자료!$K$2:$K$1001,$AB14)&lt;1000000,INDEX(기본자료!$K$2:$K$1001,$AB14),IF(AND(INDEX(기본자료!$K$2:$K$1001,$AB14)&gt;=10000101,INT(MOD(INDEX(기본자료!$K$2:$K$1001,$AB14),10000)/100)&gt;=1,INT(MOD(INDEX(기본자료!$K$2:$K$1001,$AB14),10000)/100)&lt;=12,MOD(INDEX(기본자료!$K$2:$K$1001,$AB14),100)&gt;=1,MOD(INDEX(기본자료!$K$2:$K$1001,$AB14),100)&lt;=31),DATE(INT(INDEX(기본자료!$K$2:$K$1001,$AB14)/10000),INT(MOD(INDEX(기본자료!$K$2:$K$1001,$AB14),10000)/100),MOD(INDEX(기본자료!$K$2:$K$1001,$AB14),100)),INDEX(기본자료!$K$2:$K$1001,$AB14)&amp;"")))))</f>
        <v/>
      </c>
      <c r="F14" s="10">
        <f>IF($AB14="","",IF(INDEX(기본자료!$D$2:$D$1001,$AB14)="","",INDEX(기본자료!$D$2:$D$1001,$AB14)))</f>
        <v/>
      </c>
      <c r="G14" s="10">
        <f>IF($AB14="","",IF(INDEX(기본자료!$E$2:$E$1001,$AB14)="","",INDEX(기본자료!$E$2:$E$1001,$AB14)))</f>
        <v/>
      </c>
      <c r="H14" s="10">
        <f>IF($AB14="","",IF(INDEX(기본자료!$F$2:$F$1001,$AB14)="","",INDEX(기본자료!$F$2:$F$1001,$AB14)))</f>
        <v/>
      </c>
      <c r="I14" s="11">
        <f>IF($AB14="","",IF(INDEX(기본자료!$G$2:$G$1001,$AB14)="","",IF(NOT(ISNUMBER(INDEX(기본자료!$G$2:$G$1001,$AB14))),INDEX(기본자료!$G$2:$G$1001,$AB14),IF(INDEX(기본자료!$G$2:$G$1001,$AB14)&lt;1000000,INDEX(기본자료!$G$2:$G$1001,$AB14),IF(AND(INDEX(기본자료!$G$2:$G$1001,$AB14)&gt;=10000101,INT(MOD(INDEX(기본자료!$G$2:$G$1001,$AB14),10000)/100)&gt;=1,INT(MOD(INDEX(기본자료!$G$2:$G$1001,$AB14),10000)/100)&lt;=12,MOD(INDEX(기본자료!$G$2:$G$1001,$AB14),100)&gt;=1,MOD(INDEX(기본자료!$G$2:$G$1001,$AB14),100)&lt;=31),DATE(INT(INDEX(기본자료!$G$2:$G$1001,$AB14)/10000),INT(MOD(INDEX(기본자료!$G$2:$G$1001,$AB14),10000)/100),MOD(INDEX(기본자료!$G$2:$G$1001,$AB14),100)),INDEX(기본자료!$G$2:$G$1001,$AB14)&amp;"")))))</f>
        <v/>
      </c>
      <c r="J14" s="10">
        <f>IF($AB14="","",IF(INDEX(기본자료!$H$2:$H$1001,$AB14)="","",INDEX(기본자료!$H$2:$H$1001,$AB14)))</f>
        <v/>
      </c>
      <c r="K14" s="10">
        <f>IF($AB14="","",IF(INDEX(기본자료!$I$2:$I$1001,$AB14)="","",INDEX(기본자료!$I$2:$I$1001,$AB14)))</f>
        <v/>
      </c>
      <c r="L14" s="10">
        <f>IF($AB14="","",IF(INDEX(기본자료!$A$2:$A$1001,$AB14)="","",INDEX(기본자료!$A$2:$A$1001,$AB14)))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$803,$AK14),OR(NOT(ISNUMBER(INDEX(파견수련계획!$AC$4:$AC$803,$AK14))),TODAY()&lt;=INDEX(파견수련계획!$AC$4:$AC$803,$AK14))),"다기관",IF($AF14="","",INDEX(파견수련계획!$T$4:$T$803,$AF14))),IF($AF14="","",INDEX(파견수련계획!$T$4:$T$803,$AF14))))</f>
        <v/>
      </c>
      <c r="Q14" s="10">
        <f>IF($AF14="","",INDEX(파견수련계획!$S$4:$S$803,$AF14))</f>
        <v/>
      </c>
      <c r="R14" s="10">
        <f>IF($AF14="","",INDEX(파견수련계획!$U$4:$U$803,$AF14))</f>
        <v/>
      </c>
      <c r="S14" s="11">
        <f>IF($AF14="","",IF(INDEX(파견수련계획!$H$4:$H$803,$AF14)="","",INDEX(파견수련계획!$H$4:$H$803,$AF14)))</f>
        <v/>
      </c>
      <c r="T14" s="11">
        <f>IF($AF14="","",IF(INDEX(파견수련계획!$I$4:$I$803,$AF14)="","",INDEX(파견수련계획!$I$4:$I$803,$AF14)))</f>
        <v/>
      </c>
      <c r="U14" s="10">
        <f>IF($AF14="","",INDEX(파견수련계획!$X$4:$X$803,$AF14))</f>
        <v/>
      </c>
      <c r="V14" s="17">
        <f>IF($AF14="","",INDEX(파견수련계획!$V$4:$V$803,$AF14))</f>
        <v/>
      </c>
      <c r="W14" s="17">
        <f>IF(AND($U14="파견중",$T14&lt;&gt;""),$T14-TODAY(),"")</f>
        <v/>
      </c>
      <c r="X14" s="17">
        <f>IF(OR($B14="",TRIM($J14&amp;"")=""),"",SUMPRODUCT((파견수련계획!$Q$4:$Q$803=TRIM($J14&amp;""))*파견수련계획!$W$4:$W$803))</f>
        <v/>
      </c>
      <c r="Y14" s="10">
        <f>IF($B14="","",IF($AG14="","",IF(IF(TRIM($J14&amp;"")="",0,SUMPRODUCT((파견수련계획!$Q$4:$Q$803=TRIM($J14&amp;""))*파견수련계획!$AD$4:$AD$803)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"&amp;$AI14&amp;"일)")),IF($AJ14="",$AE14,IF(INDEX(파견수련계획!$T$4:$T$803,$AJ14)="통합수련",INDEX(파견수련계획!$S$4:$S$803,$AJ14),$AE14)))))))</f>
        <v/>
      </c>
      <c r="Z14" s="19">
        <f>IF($B14="","",IF($AB14="","기본자료에 없는 사번",IF(COUNTIF($B$2:$B$401,$B14)&gt;1,"중복 사번",IF($AE14="","소속(입사장소) 입력",IF(IF(TRIM($J14&amp;"")="",0,SUMPRODUCT((파견수련계획!$Q$4:$Q$803=TRIM($J14&amp;""))*(파견수련계획!$AA$4:$AA$803&lt;&gt;"")))&gt;0,"파견수련계획 입력오류 확인",IF(LEFT($Y14,1)="⚠","서울·구리 15일 판정 불가(양쪽 모두 이상/미만)",IF(IF($AC14="",0,N(INDEX(인턴근무계획!$T$3:$T$402,$AC14)))&gt;0,"인턴계획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IF($B14="","",IFERROR(MATCH($B14,기본자료!$B$2:$B$1001,0),IFERROR(MATCH($B14&amp;"",기본자료!$B$2:$B$1001,0),IFERROR(MATCH(VALUE($B14),기본자료!$B$2:$B$1001,0),""))))</f>
        <v/>
      </c>
      <c r="AC14" s="10">
        <f>IF($B14="","",IFERROR(MATCH($B14,인턴근무계획!$D$3:$D$402,0),IFERROR(MATCH($B14&amp;"",인턴근무계획!$D$3:$D$402,0),IFERROR(MATCH(VALUE($B14),인턴근무계획!$D$3:$D$402,0),""))))</f>
        <v/>
      </c>
      <c r="AD14" s="10">
        <f>IF(OR($AC14="",인턴현황!$G$3=""),"",INDEX(인턴근무계획!$M$3:$R$402,$AC14,인턴현황!$G$3)&amp;"")</f>
        <v/>
      </c>
      <c r="AE14" s="10">
        <f>IF($B14="","",IF($M14&lt;&gt;"",$M14,IF($AF14&lt;&gt;"",IF(LEFT(INDEX(파견수련계획!$R$4:$R$803,$AF14),1)&lt;&gt;"⚠",INDEX(파견수련계획!$R$4:$R$803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$803,0),IFERROR(MATCH(TRIM($J14&amp;"")&amp;"|파견예정",파견수련계획!$Y$4:$Y$803,0),IFERROR(MATCH(TRIM($J14&amp;"")&amp;"|파견종료",파견수련계획!$Y$4:$Y$803,0),""))))</f>
        <v/>
      </c>
      <c r="AG14" s="10">
        <f>IF($B14="","",IF(AND(IF(OR($AC14="",인턴현황!$K$2=""),"",INDEX(인턴근무계획!$M$3:$R$402,$AC14,인턴현황!$K$2)&amp;"")&lt;&gt;"",LEFT(IF(OR($AC14="",인턴현황!$K$2=""),"",INDEX(인턴근무계획!$M$3:$R$402,$AC14,인턴현황!$K$2)&amp;""),1)&lt;&gt;"⚠"),LEFT(IF(OR($AC14="",인턴현황!$K$2=""),"",INDEX(인턴근무계획!$M$3:$R$402,$AC14,인턴현황!$K$2)&amp;""),FIND(" ",IF(OR($AC14="",인턴현황!$K$2=""),"",INDEX(인턴근무계획!$M$3:$R$402,$AC14,인턴현황!$K$2)&amp;""))-1),$AE14))</f>
        <v/>
      </c>
      <c r="AH14" s="17">
        <f>IF($B14="","",IF(TRIM($J14&amp;"")="",0,SUMPRODUCT((파견수련계획!$Q$4:$Q$803=TRIM($J14&amp;""))*(파견수련계획!$S$4:$S$803="서울병원")*파견수련계획!$W$4:$W$803))+IF($AG14="서울병원",MAX(0,DAY(EOMONTH(요약!$B$3,0))-N($X14)),0))</f>
        <v/>
      </c>
      <c r="AI14" s="17">
        <f>IF($B14="","",IF(TRIM($J14&amp;"")="",0,SUMPRODUCT((파견수련계획!$Q$4:$Q$803=TRIM($J14&amp;""))*(파견수련계획!$S$4:$S$803="구리병원")*파견수련계획!$W$4:$W$803))+IF($AG14="구리병원",MAX(0,DAY(EOMONTH(요약!$B$3,0))-N($X14)),0))</f>
        <v/>
      </c>
      <c r="AJ14" s="10">
        <f>IF(OR($B14="",TRIM($J14&amp;"")=""),"",IFERROR(MATCH(TRIM($J14&amp;"")&amp;"|월",파견수련계획!$Z$4:$Z$803,0),""))</f>
        <v/>
      </c>
      <c r="AK14" s="10">
        <f>IF(OR($B14="",TRIM($J14&amp;"")=""),"",IFERROR(MATCH(TRIM($J14&amp;"")&amp;"|다기관",파견수련계획!$AE$4:$AE$803,0),""))</f>
        <v/>
      </c>
      <c r="AL14" s="10">
        <f>IF($AK14="","","다기관 "&amp;TEXT(INDEX(파견수련계획!$AB$4:$AB$803,$AK14),"yyyy-mm-dd")&amp;"~"&amp;IF(ISNUMBER(INDEX(파견수련계획!$AC$4:$AC$803,$AK14)),TEXT(INDEX(파견수련계획!$AC$4:$AC$803,$AK14),"yyyy-mm-dd"),""))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IF($AB15="","",IF(INDEX(기본자료!$C$2:$C$1001,$AB15)="","",INDEX(기본자료!$C$2:$C$1001,$AB15)))</f>
        <v/>
      </c>
      <c r="D15" s="10">
        <f>IF($AB15="","",IF(INDEX(기본자료!$J$2:$J$1001,$AB15)="","",INDEX(기본자료!$J$2:$J$1001,$AB15)))</f>
        <v/>
      </c>
      <c r="E15" s="11">
        <f>IF($AB15="","",IF(INDEX(기본자료!$K$2:$K$1001,$AB15)="","",IF(NOT(ISNUMBER(INDEX(기본자료!$K$2:$K$1001,$AB15))),INDEX(기본자료!$K$2:$K$1001,$AB15),IF(INDEX(기본자료!$K$2:$K$1001,$AB15)&lt;1000000,INDEX(기본자료!$K$2:$K$1001,$AB15),IF(AND(INDEX(기본자료!$K$2:$K$1001,$AB15)&gt;=10000101,INT(MOD(INDEX(기본자료!$K$2:$K$1001,$AB15),10000)/100)&gt;=1,INT(MOD(INDEX(기본자료!$K$2:$K$1001,$AB15),10000)/100)&lt;=12,MOD(INDEX(기본자료!$K$2:$K$1001,$AB15),100)&gt;=1,MOD(INDEX(기본자료!$K$2:$K$1001,$AB15),100)&lt;=31),DATE(INT(INDEX(기본자료!$K$2:$K$1001,$AB15)/10000),INT(MOD(INDEX(기본자료!$K$2:$K$1001,$AB15),10000)/100),MOD(INDEX(기본자료!$K$2:$K$1001,$AB15),100)),INDEX(기본자료!$K$2:$K$1001,$AB15)&amp;"")))))</f>
        <v/>
      </c>
      <c r="F15" s="10">
        <f>IF($AB15="","",IF(INDEX(기본자료!$D$2:$D$1001,$AB15)="","",INDEX(기본자료!$D$2:$D$1001,$AB15)))</f>
        <v/>
      </c>
      <c r="G15" s="10">
        <f>IF($AB15="","",IF(INDEX(기본자료!$E$2:$E$1001,$AB15)="","",INDEX(기본자료!$E$2:$E$1001,$AB15)))</f>
        <v/>
      </c>
      <c r="H15" s="10">
        <f>IF($AB15="","",IF(INDEX(기본자료!$F$2:$F$1001,$AB15)="","",INDEX(기본자료!$F$2:$F$1001,$AB15)))</f>
        <v/>
      </c>
      <c r="I15" s="11">
        <f>IF($AB15="","",IF(INDEX(기본자료!$G$2:$G$1001,$AB15)="","",IF(NOT(ISNUMBER(INDEX(기본자료!$G$2:$G$1001,$AB15))),INDEX(기본자료!$G$2:$G$1001,$AB15),IF(INDEX(기본자료!$G$2:$G$1001,$AB15)&lt;1000000,INDEX(기본자료!$G$2:$G$1001,$AB15),IF(AND(INDEX(기본자료!$G$2:$G$1001,$AB15)&gt;=10000101,INT(MOD(INDEX(기본자료!$G$2:$G$1001,$AB15),10000)/100)&gt;=1,INT(MOD(INDEX(기본자료!$G$2:$G$1001,$AB15),10000)/100)&lt;=12,MOD(INDEX(기본자료!$G$2:$G$1001,$AB15),100)&gt;=1,MOD(INDEX(기본자료!$G$2:$G$1001,$AB15),100)&lt;=31),DATE(INT(INDEX(기본자료!$G$2:$G$1001,$AB15)/10000),INT(MOD(INDEX(기본자료!$G$2:$G$1001,$AB15),10000)/100),MOD(INDEX(기본자료!$G$2:$G$1001,$AB15),100)),INDEX(기본자료!$G$2:$G$1001,$AB15)&amp;"")))))</f>
        <v/>
      </c>
      <c r="J15" s="10">
        <f>IF($AB15="","",IF(INDEX(기본자료!$H$2:$H$1001,$AB15)="","",INDEX(기본자료!$H$2:$H$1001,$AB15)))</f>
        <v/>
      </c>
      <c r="K15" s="10">
        <f>IF($AB15="","",IF(INDEX(기본자료!$I$2:$I$1001,$AB15)="","",INDEX(기본자료!$I$2:$I$1001,$AB15)))</f>
        <v/>
      </c>
      <c r="L15" s="10">
        <f>IF($AB15="","",IF(INDEX(기본자료!$A$2:$A$1001,$AB15)="","",INDEX(기본자료!$A$2:$A$1001,$AB15)))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$803,$AK15),OR(NOT(ISNUMBER(INDEX(파견수련계획!$AC$4:$AC$803,$AK15))),TODAY()&lt;=INDEX(파견수련계획!$AC$4:$AC$803,$AK15))),"다기관",IF($AF15="","",INDEX(파견수련계획!$T$4:$T$803,$AF15))),IF($AF15="","",INDEX(파견수련계획!$T$4:$T$803,$AF15))))</f>
        <v/>
      </c>
      <c r="Q15" s="10">
        <f>IF($AF15="","",INDEX(파견수련계획!$S$4:$S$803,$AF15))</f>
        <v/>
      </c>
      <c r="R15" s="10">
        <f>IF($AF15="","",INDEX(파견수련계획!$U$4:$U$803,$AF15))</f>
        <v/>
      </c>
      <c r="S15" s="11">
        <f>IF($AF15="","",IF(INDEX(파견수련계획!$H$4:$H$803,$AF15)="","",INDEX(파견수련계획!$H$4:$H$803,$AF15)))</f>
        <v/>
      </c>
      <c r="T15" s="11">
        <f>IF($AF15="","",IF(INDEX(파견수련계획!$I$4:$I$803,$AF15)="","",INDEX(파견수련계획!$I$4:$I$803,$AF15)))</f>
        <v/>
      </c>
      <c r="U15" s="10">
        <f>IF($AF15="","",INDEX(파견수련계획!$X$4:$X$803,$AF15))</f>
        <v/>
      </c>
      <c r="V15" s="17">
        <f>IF($AF15="","",INDEX(파견수련계획!$V$4:$V$803,$AF15))</f>
        <v/>
      </c>
      <c r="W15" s="17">
        <f>IF(AND($U15="파견중",$T15&lt;&gt;""),$T15-TODAY(),"")</f>
        <v/>
      </c>
      <c r="X15" s="17">
        <f>IF(OR($B15="",TRIM($J15&amp;"")=""),"",SUMPRODUCT((파견수련계획!$Q$4:$Q$803=TRIM($J15&amp;""))*파견수련계획!$W$4:$W$803))</f>
        <v/>
      </c>
      <c r="Y15" s="10">
        <f>IF($B15="","",IF($AG15="","",IF(IF(TRIM($J15&amp;"")="",0,SUMPRODUCT((파견수련계획!$Q$4:$Q$803=TRIM($J15&amp;""))*파견수련계획!$AD$4:$AD$803)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"&amp;$AI15&amp;"일)")),IF($AJ15="",$AE15,IF(INDEX(파견수련계획!$T$4:$T$803,$AJ15)="통합수련",INDEX(파견수련계획!$S$4:$S$803,$AJ15),$AE15)))))))</f>
        <v/>
      </c>
      <c r="Z15" s="19">
        <f>IF($B15="","",IF($AB15="","기본자료에 없는 사번",IF(COUNTIF($B$2:$B$401,$B15)&gt;1,"중복 사번",IF($AE15="","소속(입사장소) 입력",IF(IF(TRIM($J15&amp;"")="",0,SUMPRODUCT((파견수련계획!$Q$4:$Q$803=TRIM($J15&amp;""))*(파견수련계획!$AA$4:$AA$803&lt;&gt;"")))&gt;0,"파견수련계획 입력오류 확인",IF(LEFT($Y15,1)="⚠","서울·구리 15일 판정 불가(양쪽 모두 이상/미만)",IF(IF($AC15="",0,N(INDEX(인턴근무계획!$T$3:$T$402,$AC15)))&gt;0,"인턴계획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IF($B15="","",IFERROR(MATCH($B15,기본자료!$B$2:$B$1001,0),IFERROR(MATCH($B15&amp;"",기본자료!$B$2:$B$1001,0),IFERROR(MATCH(VALUE($B15),기본자료!$B$2:$B$1001,0),""))))</f>
        <v/>
      </c>
      <c r="AC15" s="10">
        <f>IF($B15="","",IFERROR(MATCH($B15,인턴근무계획!$D$3:$D$402,0),IFERROR(MATCH($B15&amp;"",인턴근무계획!$D$3:$D$402,0),IFERROR(MATCH(VALUE($B15),인턴근무계획!$D$3:$D$402,0),""))))</f>
        <v/>
      </c>
      <c r="AD15" s="10">
        <f>IF(OR($AC15="",인턴현황!$G$3=""),"",INDEX(인턴근무계획!$M$3:$R$402,$AC15,인턴현황!$G$3)&amp;"")</f>
        <v/>
      </c>
      <c r="AE15" s="10">
        <f>IF($B15="","",IF($M15&lt;&gt;"",$M15,IF($AF15&lt;&gt;"",IF(LEFT(INDEX(파견수련계획!$R$4:$R$803,$AF15),1)&lt;&gt;"⚠",INDEX(파견수련계획!$R$4:$R$803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$803,0),IFERROR(MATCH(TRIM($J15&amp;"")&amp;"|파견예정",파견수련계획!$Y$4:$Y$803,0),IFERROR(MATCH(TRIM($J15&amp;"")&amp;"|파견종료",파견수련계획!$Y$4:$Y$803,0),""))))</f>
        <v/>
      </c>
      <c r="AG15" s="10">
        <f>IF($B15="","",IF(AND(IF(OR($AC15="",인턴현황!$K$2=""),"",INDEX(인턴근무계획!$M$3:$R$402,$AC15,인턴현황!$K$2)&amp;"")&lt;&gt;"",LEFT(IF(OR($AC15="",인턴현황!$K$2=""),"",INDEX(인턴근무계획!$M$3:$R$402,$AC15,인턴현황!$K$2)&amp;""),1)&lt;&gt;"⚠"),LEFT(IF(OR($AC15="",인턴현황!$K$2=""),"",INDEX(인턴근무계획!$M$3:$R$402,$AC15,인턴현황!$K$2)&amp;""),FIND(" ",IF(OR($AC15="",인턴현황!$K$2=""),"",INDEX(인턴근무계획!$M$3:$R$402,$AC15,인턴현황!$K$2)&amp;""))-1),$AE15))</f>
        <v/>
      </c>
      <c r="AH15" s="17">
        <f>IF($B15="","",IF(TRIM($J15&amp;"")="",0,SUMPRODUCT((파견수련계획!$Q$4:$Q$803=TRIM($J15&amp;""))*(파견수련계획!$S$4:$S$803="서울병원")*파견수련계획!$W$4:$W$803))+IF($AG15="서울병원",MAX(0,DAY(EOMONTH(요약!$B$3,0))-N($X15)),0))</f>
        <v/>
      </c>
      <c r="AI15" s="17">
        <f>IF($B15="","",IF(TRIM($J15&amp;"")="",0,SUMPRODUCT((파견수련계획!$Q$4:$Q$803=TRIM($J15&amp;""))*(파견수련계획!$S$4:$S$803="구리병원")*파견수련계획!$W$4:$W$803))+IF($AG15="구리병원",MAX(0,DAY(EOMONTH(요약!$B$3,0))-N($X15)),0))</f>
        <v/>
      </c>
      <c r="AJ15" s="10">
        <f>IF(OR($B15="",TRIM($J15&amp;"")=""),"",IFERROR(MATCH(TRIM($J15&amp;"")&amp;"|월",파견수련계획!$Z$4:$Z$803,0),""))</f>
        <v/>
      </c>
      <c r="AK15" s="10">
        <f>IF(OR($B15="",TRIM($J15&amp;"")=""),"",IFERROR(MATCH(TRIM($J15&amp;"")&amp;"|다기관",파견수련계획!$AE$4:$AE$803,0),""))</f>
        <v/>
      </c>
      <c r="AL15" s="10">
        <f>IF($AK15="","","다기관 "&amp;TEXT(INDEX(파견수련계획!$AB$4:$AB$803,$AK15),"yyyy-mm-dd")&amp;"~"&amp;IF(ISNUMBER(INDEX(파견수련계획!$AC$4:$AC$803,$AK15)),TEXT(INDEX(파견수련계획!$AC$4:$AC$803,$AK15),"yyyy-mm-dd"),""))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IF($AB16="","",IF(INDEX(기본자료!$C$2:$C$1001,$AB16)="","",INDEX(기본자료!$C$2:$C$1001,$AB16)))</f>
        <v/>
      </c>
      <c r="D16" s="10">
        <f>IF($AB16="","",IF(INDEX(기본자료!$J$2:$J$1001,$AB16)="","",INDEX(기본자료!$J$2:$J$1001,$AB16)))</f>
        <v/>
      </c>
      <c r="E16" s="11">
        <f>IF($AB16="","",IF(INDEX(기본자료!$K$2:$K$1001,$AB16)="","",IF(NOT(ISNUMBER(INDEX(기본자료!$K$2:$K$1001,$AB16))),INDEX(기본자료!$K$2:$K$1001,$AB16),IF(INDEX(기본자료!$K$2:$K$1001,$AB16)&lt;1000000,INDEX(기본자료!$K$2:$K$1001,$AB16),IF(AND(INDEX(기본자료!$K$2:$K$1001,$AB16)&gt;=10000101,INT(MOD(INDEX(기본자료!$K$2:$K$1001,$AB16),10000)/100)&gt;=1,INT(MOD(INDEX(기본자료!$K$2:$K$1001,$AB16),10000)/100)&lt;=12,MOD(INDEX(기본자료!$K$2:$K$1001,$AB16),100)&gt;=1,MOD(INDEX(기본자료!$K$2:$K$1001,$AB16),100)&lt;=31),DATE(INT(INDEX(기본자료!$K$2:$K$1001,$AB16)/10000),INT(MOD(INDEX(기본자료!$K$2:$K$1001,$AB16),10000)/100),MOD(INDEX(기본자료!$K$2:$K$1001,$AB16),100)),INDEX(기본자료!$K$2:$K$1001,$AB16)&amp;"")))))</f>
        <v/>
      </c>
      <c r="F16" s="10">
        <f>IF($AB16="","",IF(INDEX(기본자료!$D$2:$D$1001,$AB16)="","",INDEX(기본자료!$D$2:$D$1001,$AB16)))</f>
        <v/>
      </c>
      <c r="G16" s="10">
        <f>IF($AB16="","",IF(INDEX(기본자료!$E$2:$E$1001,$AB16)="","",INDEX(기본자료!$E$2:$E$1001,$AB16)))</f>
        <v/>
      </c>
      <c r="H16" s="10">
        <f>IF($AB16="","",IF(INDEX(기본자료!$F$2:$F$1001,$AB16)="","",INDEX(기본자료!$F$2:$F$1001,$AB16)))</f>
        <v/>
      </c>
      <c r="I16" s="11">
        <f>IF($AB16="","",IF(INDEX(기본자료!$G$2:$G$1001,$AB16)="","",IF(NOT(ISNUMBER(INDEX(기본자료!$G$2:$G$1001,$AB16))),INDEX(기본자료!$G$2:$G$1001,$AB16),IF(INDEX(기본자료!$G$2:$G$1001,$AB16)&lt;1000000,INDEX(기본자료!$G$2:$G$1001,$AB16),IF(AND(INDEX(기본자료!$G$2:$G$1001,$AB16)&gt;=10000101,INT(MOD(INDEX(기본자료!$G$2:$G$1001,$AB16),10000)/100)&gt;=1,INT(MOD(INDEX(기본자료!$G$2:$G$1001,$AB16),10000)/100)&lt;=12,MOD(INDEX(기본자료!$G$2:$G$1001,$AB16),100)&gt;=1,MOD(INDEX(기본자료!$G$2:$G$1001,$AB16),100)&lt;=31),DATE(INT(INDEX(기본자료!$G$2:$G$1001,$AB16)/10000),INT(MOD(INDEX(기본자료!$G$2:$G$1001,$AB16),10000)/100),MOD(INDEX(기본자료!$G$2:$G$1001,$AB16),100)),INDEX(기본자료!$G$2:$G$1001,$AB16)&amp;"")))))</f>
        <v/>
      </c>
      <c r="J16" s="10">
        <f>IF($AB16="","",IF(INDEX(기본자료!$H$2:$H$1001,$AB16)="","",INDEX(기본자료!$H$2:$H$1001,$AB16)))</f>
        <v/>
      </c>
      <c r="K16" s="10">
        <f>IF($AB16="","",IF(INDEX(기본자료!$I$2:$I$1001,$AB16)="","",INDEX(기본자료!$I$2:$I$1001,$AB16)))</f>
        <v/>
      </c>
      <c r="L16" s="10">
        <f>IF($AB16="","",IF(INDEX(기본자료!$A$2:$A$1001,$AB16)="","",INDEX(기본자료!$A$2:$A$1001,$AB16)))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$803,$AK16),OR(NOT(ISNUMBER(INDEX(파견수련계획!$AC$4:$AC$803,$AK16))),TODAY()&lt;=INDEX(파견수련계획!$AC$4:$AC$803,$AK16))),"다기관",IF($AF16="","",INDEX(파견수련계획!$T$4:$T$803,$AF16))),IF($AF16="","",INDEX(파견수련계획!$T$4:$T$803,$AF16))))</f>
        <v/>
      </c>
      <c r="Q16" s="10">
        <f>IF($AF16="","",INDEX(파견수련계획!$S$4:$S$803,$AF16))</f>
        <v/>
      </c>
      <c r="R16" s="10">
        <f>IF($AF16="","",INDEX(파견수련계획!$U$4:$U$803,$AF16))</f>
        <v/>
      </c>
      <c r="S16" s="11">
        <f>IF($AF16="","",IF(INDEX(파견수련계획!$H$4:$H$803,$AF16)="","",INDEX(파견수련계획!$H$4:$H$803,$AF16)))</f>
        <v/>
      </c>
      <c r="T16" s="11">
        <f>IF($AF16="","",IF(INDEX(파견수련계획!$I$4:$I$803,$AF16)="","",INDEX(파견수련계획!$I$4:$I$803,$AF16)))</f>
        <v/>
      </c>
      <c r="U16" s="10">
        <f>IF($AF16="","",INDEX(파견수련계획!$X$4:$X$803,$AF16))</f>
        <v/>
      </c>
      <c r="V16" s="17">
        <f>IF($AF16="","",INDEX(파견수련계획!$V$4:$V$803,$AF16))</f>
        <v/>
      </c>
      <c r="W16" s="17">
        <f>IF(AND($U16="파견중",$T16&lt;&gt;""),$T16-TODAY(),"")</f>
        <v/>
      </c>
      <c r="X16" s="17">
        <f>IF(OR($B16="",TRIM($J16&amp;"")=""),"",SUMPRODUCT((파견수련계획!$Q$4:$Q$803=TRIM($J16&amp;""))*파견수련계획!$W$4:$W$803))</f>
        <v/>
      </c>
      <c r="Y16" s="10">
        <f>IF($B16="","",IF($AG16="","",IF(IF(TRIM($J16&amp;"")="",0,SUMPRODUCT((파견수련계획!$Q$4:$Q$803=TRIM($J16&amp;""))*파견수련계획!$AD$4:$AD$803)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"&amp;$AI16&amp;"일)")),IF($AJ16="",$AE16,IF(INDEX(파견수련계획!$T$4:$T$803,$AJ16)="통합수련",INDEX(파견수련계획!$S$4:$S$803,$AJ16),$AE16)))))))</f>
        <v/>
      </c>
      <c r="Z16" s="19">
        <f>IF($B16="","",IF($AB16="","기본자료에 없는 사번",IF(COUNTIF($B$2:$B$401,$B16)&gt;1,"중복 사번",IF($AE16="","소속(입사장소) 입력",IF(IF(TRIM($J16&amp;"")="",0,SUMPRODUCT((파견수련계획!$Q$4:$Q$803=TRIM($J16&amp;""))*(파견수련계획!$AA$4:$AA$803&lt;&gt;"")))&gt;0,"파견수련계획 입력오류 확인",IF(LEFT($Y16,1)="⚠","서울·구리 15일 판정 불가(양쪽 모두 이상/미만)",IF(IF($AC16="",0,N(INDEX(인턴근무계획!$T$3:$T$402,$AC16)))&gt;0,"인턴계획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IF($B16="","",IFERROR(MATCH($B16,기본자료!$B$2:$B$1001,0),IFERROR(MATCH($B16&amp;"",기본자료!$B$2:$B$1001,0),IFERROR(MATCH(VALUE($B16),기본자료!$B$2:$B$1001,0),""))))</f>
        <v/>
      </c>
      <c r="AC16" s="10">
        <f>IF($B16="","",IFERROR(MATCH($B16,인턴근무계획!$D$3:$D$402,0),IFERROR(MATCH($B16&amp;"",인턴근무계획!$D$3:$D$402,0),IFERROR(MATCH(VALUE($B16),인턴근무계획!$D$3:$D$402,0),""))))</f>
        <v/>
      </c>
      <c r="AD16" s="10">
        <f>IF(OR($AC16="",인턴현황!$G$3=""),"",INDEX(인턴근무계획!$M$3:$R$402,$AC16,인턴현황!$G$3)&amp;"")</f>
        <v/>
      </c>
      <c r="AE16" s="10">
        <f>IF($B16="","",IF($M16&lt;&gt;"",$M16,IF($AF16&lt;&gt;"",IF(LEFT(INDEX(파견수련계획!$R$4:$R$803,$AF16),1)&lt;&gt;"⚠",INDEX(파견수련계획!$R$4:$R$803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$803,0),IFERROR(MATCH(TRIM($J16&amp;"")&amp;"|파견예정",파견수련계획!$Y$4:$Y$803,0),IFERROR(MATCH(TRIM($J16&amp;"")&amp;"|파견종료",파견수련계획!$Y$4:$Y$803,0),""))))</f>
        <v/>
      </c>
      <c r="AG16" s="10">
        <f>IF($B16="","",IF(AND(IF(OR($AC16="",인턴현황!$K$2=""),"",INDEX(인턴근무계획!$M$3:$R$402,$AC16,인턴현황!$K$2)&amp;"")&lt;&gt;"",LEFT(IF(OR($AC16="",인턴현황!$K$2=""),"",INDEX(인턴근무계획!$M$3:$R$402,$AC16,인턴현황!$K$2)&amp;""),1)&lt;&gt;"⚠"),LEFT(IF(OR($AC16="",인턴현황!$K$2=""),"",INDEX(인턴근무계획!$M$3:$R$402,$AC16,인턴현황!$K$2)&amp;""),FIND(" ",IF(OR($AC16="",인턴현황!$K$2=""),"",INDEX(인턴근무계획!$M$3:$R$402,$AC16,인턴현황!$K$2)&amp;""))-1),$AE16))</f>
        <v/>
      </c>
      <c r="AH16" s="17">
        <f>IF($B16="","",IF(TRIM($J16&amp;"")="",0,SUMPRODUCT((파견수련계획!$Q$4:$Q$803=TRIM($J16&amp;""))*(파견수련계획!$S$4:$S$803="서울병원")*파견수련계획!$W$4:$W$803))+IF($AG16="서울병원",MAX(0,DAY(EOMONTH(요약!$B$3,0))-N($X16)),0))</f>
        <v/>
      </c>
      <c r="AI16" s="17">
        <f>IF($B16="","",IF(TRIM($J16&amp;"")="",0,SUMPRODUCT((파견수련계획!$Q$4:$Q$803=TRIM($J16&amp;""))*(파견수련계획!$S$4:$S$803="구리병원")*파견수련계획!$W$4:$W$803))+IF($AG16="구리병원",MAX(0,DAY(EOMONTH(요약!$B$3,0))-N($X16)),0))</f>
        <v/>
      </c>
      <c r="AJ16" s="10">
        <f>IF(OR($B16="",TRIM($J16&amp;"")=""),"",IFERROR(MATCH(TRIM($J16&amp;"")&amp;"|월",파견수련계획!$Z$4:$Z$803,0),""))</f>
        <v/>
      </c>
      <c r="AK16" s="10">
        <f>IF(OR($B16="",TRIM($J16&amp;"")=""),"",IFERROR(MATCH(TRIM($J16&amp;"")&amp;"|다기관",파견수련계획!$AE$4:$AE$803,0),""))</f>
        <v/>
      </c>
      <c r="AL16" s="10">
        <f>IF($AK16="","","다기관 "&amp;TEXT(INDEX(파견수련계획!$AB$4:$AB$803,$AK16),"yyyy-mm-dd")&amp;"~"&amp;IF(ISNUMBER(INDEX(파견수련계획!$AC$4:$AC$803,$AK16)),TEXT(INDEX(파견수련계획!$AC$4:$AC$803,$AK16),"yyyy-mm-dd"),""))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IF($AB17="","",IF(INDEX(기본자료!$C$2:$C$1001,$AB17)="","",INDEX(기본자료!$C$2:$C$1001,$AB17)))</f>
        <v/>
      </c>
      <c r="D17" s="10">
        <f>IF($AB17="","",IF(INDEX(기본자료!$J$2:$J$1001,$AB17)="","",INDEX(기본자료!$J$2:$J$1001,$AB17)))</f>
        <v/>
      </c>
      <c r="E17" s="11">
        <f>IF($AB17="","",IF(INDEX(기본자료!$K$2:$K$1001,$AB17)="","",IF(NOT(ISNUMBER(INDEX(기본자료!$K$2:$K$1001,$AB17))),INDEX(기본자료!$K$2:$K$1001,$AB17),IF(INDEX(기본자료!$K$2:$K$1001,$AB17)&lt;1000000,INDEX(기본자료!$K$2:$K$1001,$AB17),IF(AND(INDEX(기본자료!$K$2:$K$1001,$AB17)&gt;=10000101,INT(MOD(INDEX(기본자료!$K$2:$K$1001,$AB17),10000)/100)&gt;=1,INT(MOD(INDEX(기본자료!$K$2:$K$1001,$AB17),10000)/100)&lt;=12,MOD(INDEX(기본자료!$K$2:$K$1001,$AB17),100)&gt;=1,MOD(INDEX(기본자료!$K$2:$K$1001,$AB17),100)&lt;=31),DATE(INT(INDEX(기본자료!$K$2:$K$1001,$AB17)/10000),INT(MOD(INDEX(기본자료!$K$2:$K$1001,$AB17),10000)/100),MOD(INDEX(기본자료!$K$2:$K$1001,$AB17),100)),INDEX(기본자료!$K$2:$K$1001,$AB17)&amp;"")))))</f>
        <v/>
      </c>
      <c r="F17" s="10">
        <f>IF($AB17="","",IF(INDEX(기본자료!$D$2:$D$1001,$AB17)="","",INDEX(기본자료!$D$2:$D$1001,$AB17)))</f>
        <v/>
      </c>
      <c r="G17" s="10">
        <f>IF($AB17="","",IF(INDEX(기본자료!$E$2:$E$1001,$AB17)="","",INDEX(기본자료!$E$2:$E$1001,$AB17)))</f>
        <v/>
      </c>
      <c r="H17" s="10">
        <f>IF($AB17="","",IF(INDEX(기본자료!$F$2:$F$1001,$AB17)="","",INDEX(기본자료!$F$2:$F$1001,$AB17)))</f>
        <v/>
      </c>
      <c r="I17" s="11">
        <f>IF($AB17="","",IF(INDEX(기본자료!$G$2:$G$1001,$AB17)="","",IF(NOT(ISNUMBER(INDEX(기본자료!$G$2:$G$1001,$AB17))),INDEX(기본자료!$G$2:$G$1001,$AB17),IF(INDEX(기본자료!$G$2:$G$1001,$AB17)&lt;1000000,INDEX(기본자료!$G$2:$G$1001,$AB17),IF(AND(INDEX(기본자료!$G$2:$G$1001,$AB17)&gt;=10000101,INT(MOD(INDEX(기본자료!$G$2:$G$1001,$AB17),10000)/100)&gt;=1,INT(MOD(INDEX(기본자료!$G$2:$G$1001,$AB17),10000)/100)&lt;=12,MOD(INDEX(기본자료!$G$2:$G$1001,$AB17),100)&gt;=1,MOD(INDEX(기본자료!$G$2:$G$1001,$AB17),100)&lt;=31),DATE(INT(INDEX(기본자료!$G$2:$G$1001,$AB17)/10000),INT(MOD(INDEX(기본자료!$G$2:$G$1001,$AB17),10000)/100),MOD(INDEX(기본자료!$G$2:$G$1001,$AB17),100)),INDEX(기본자료!$G$2:$G$1001,$AB17)&amp;"")))))</f>
        <v/>
      </c>
      <c r="J17" s="10">
        <f>IF($AB17="","",IF(INDEX(기본자료!$H$2:$H$1001,$AB17)="","",INDEX(기본자료!$H$2:$H$1001,$AB17)))</f>
        <v/>
      </c>
      <c r="K17" s="10">
        <f>IF($AB17="","",IF(INDEX(기본자료!$I$2:$I$1001,$AB17)="","",INDEX(기본자료!$I$2:$I$1001,$AB17)))</f>
        <v/>
      </c>
      <c r="L17" s="10">
        <f>IF($AB17="","",IF(INDEX(기본자료!$A$2:$A$1001,$AB17)="","",INDEX(기본자료!$A$2:$A$1001,$AB17)))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$803,$AK17),OR(NOT(ISNUMBER(INDEX(파견수련계획!$AC$4:$AC$803,$AK17))),TODAY()&lt;=INDEX(파견수련계획!$AC$4:$AC$803,$AK17))),"다기관",IF($AF17="","",INDEX(파견수련계획!$T$4:$T$803,$AF17))),IF($AF17="","",INDEX(파견수련계획!$T$4:$T$803,$AF17))))</f>
        <v/>
      </c>
      <c r="Q17" s="10">
        <f>IF($AF17="","",INDEX(파견수련계획!$S$4:$S$803,$AF17))</f>
        <v/>
      </c>
      <c r="R17" s="10">
        <f>IF($AF17="","",INDEX(파견수련계획!$U$4:$U$803,$AF17))</f>
        <v/>
      </c>
      <c r="S17" s="11">
        <f>IF($AF17="","",IF(INDEX(파견수련계획!$H$4:$H$803,$AF17)="","",INDEX(파견수련계획!$H$4:$H$803,$AF17)))</f>
        <v/>
      </c>
      <c r="T17" s="11">
        <f>IF($AF17="","",IF(INDEX(파견수련계획!$I$4:$I$803,$AF17)="","",INDEX(파견수련계획!$I$4:$I$803,$AF17)))</f>
        <v/>
      </c>
      <c r="U17" s="10">
        <f>IF($AF17="","",INDEX(파견수련계획!$X$4:$X$803,$AF17))</f>
        <v/>
      </c>
      <c r="V17" s="17">
        <f>IF($AF17="","",INDEX(파견수련계획!$V$4:$V$803,$AF17))</f>
        <v/>
      </c>
      <c r="W17" s="17">
        <f>IF(AND($U17="파견중",$T17&lt;&gt;""),$T17-TODAY(),"")</f>
        <v/>
      </c>
      <c r="X17" s="17">
        <f>IF(OR($B17="",TRIM($J17&amp;"")=""),"",SUMPRODUCT((파견수련계획!$Q$4:$Q$803=TRIM($J17&amp;""))*파견수련계획!$W$4:$W$803))</f>
        <v/>
      </c>
      <c r="Y17" s="10">
        <f>IF($B17="","",IF($AG17="","",IF(IF(TRIM($J17&amp;"")="",0,SUMPRODUCT((파견수련계획!$Q$4:$Q$803=TRIM($J17&amp;""))*파견수련계획!$AD$4:$AD$803)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"&amp;$AI17&amp;"일)")),IF($AJ17="",$AE17,IF(INDEX(파견수련계획!$T$4:$T$803,$AJ17)="통합수련",INDEX(파견수련계획!$S$4:$S$803,$AJ17),$AE17)))))))</f>
        <v/>
      </c>
      <c r="Z17" s="19">
        <f>IF($B17="","",IF($AB17="","기본자료에 없는 사번",IF(COUNTIF($B$2:$B$401,$B17)&gt;1,"중복 사번",IF($AE17="","소속(입사장소) 입력",IF(IF(TRIM($J17&amp;"")="",0,SUMPRODUCT((파견수련계획!$Q$4:$Q$803=TRIM($J17&amp;""))*(파견수련계획!$AA$4:$AA$803&lt;&gt;"")))&gt;0,"파견수련계획 입력오류 확인",IF(LEFT($Y17,1)="⚠","서울·구리 15일 판정 불가(양쪽 모두 이상/미만)",IF(IF($AC17="",0,N(INDEX(인턴근무계획!$T$3:$T$402,$AC17)))&gt;0,"인턴계획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IF($B17="","",IFERROR(MATCH($B17,기본자료!$B$2:$B$1001,0),IFERROR(MATCH($B17&amp;"",기본자료!$B$2:$B$1001,0),IFERROR(MATCH(VALUE($B17),기본자료!$B$2:$B$1001,0),""))))</f>
        <v/>
      </c>
      <c r="AC17" s="10">
        <f>IF($B17="","",IFERROR(MATCH($B17,인턴근무계획!$D$3:$D$402,0),IFERROR(MATCH($B17&amp;"",인턴근무계획!$D$3:$D$402,0),IFERROR(MATCH(VALUE($B17),인턴근무계획!$D$3:$D$402,0),""))))</f>
        <v/>
      </c>
      <c r="AD17" s="10">
        <f>IF(OR($AC17="",인턴현황!$G$3=""),"",INDEX(인턴근무계획!$M$3:$R$402,$AC17,인턴현황!$G$3)&amp;"")</f>
        <v/>
      </c>
      <c r="AE17" s="10">
        <f>IF($B17="","",IF($M17&lt;&gt;"",$M17,IF($AF17&lt;&gt;"",IF(LEFT(INDEX(파견수련계획!$R$4:$R$803,$AF17),1)&lt;&gt;"⚠",INDEX(파견수련계획!$R$4:$R$803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$803,0),IFERROR(MATCH(TRIM($J17&amp;"")&amp;"|파견예정",파견수련계획!$Y$4:$Y$803,0),IFERROR(MATCH(TRIM($J17&amp;"")&amp;"|파견종료",파견수련계획!$Y$4:$Y$803,0),""))))</f>
        <v/>
      </c>
      <c r="AG17" s="10">
        <f>IF($B17="","",IF(AND(IF(OR($AC17="",인턴현황!$K$2=""),"",INDEX(인턴근무계획!$M$3:$R$402,$AC17,인턴현황!$K$2)&amp;"")&lt;&gt;"",LEFT(IF(OR($AC17="",인턴현황!$K$2=""),"",INDEX(인턴근무계획!$M$3:$R$402,$AC17,인턴현황!$K$2)&amp;""),1)&lt;&gt;"⚠"),LEFT(IF(OR($AC17="",인턴현황!$K$2=""),"",INDEX(인턴근무계획!$M$3:$R$402,$AC17,인턴현황!$K$2)&amp;""),FIND(" ",IF(OR($AC17="",인턴현황!$K$2=""),"",INDEX(인턴근무계획!$M$3:$R$402,$AC17,인턴현황!$K$2)&amp;""))-1),$AE17))</f>
        <v/>
      </c>
      <c r="AH17" s="17">
        <f>IF($B17="","",IF(TRIM($J17&amp;"")="",0,SUMPRODUCT((파견수련계획!$Q$4:$Q$803=TRIM($J17&amp;""))*(파견수련계획!$S$4:$S$803="서울병원")*파견수련계획!$W$4:$W$803))+IF($AG17="서울병원",MAX(0,DAY(EOMONTH(요약!$B$3,0))-N($X17)),0))</f>
        <v/>
      </c>
      <c r="AI17" s="17">
        <f>IF($B17="","",IF(TRIM($J17&amp;"")="",0,SUMPRODUCT((파견수련계획!$Q$4:$Q$803=TRIM($J17&amp;""))*(파견수련계획!$S$4:$S$803="구리병원")*파견수련계획!$W$4:$W$803))+IF($AG17="구리병원",MAX(0,DAY(EOMONTH(요약!$B$3,0))-N($X17)),0))</f>
        <v/>
      </c>
      <c r="AJ17" s="10">
        <f>IF(OR($B17="",TRIM($J17&amp;"")=""),"",IFERROR(MATCH(TRIM($J17&amp;"")&amp;"|월",파견수련계획!$Z$4:$Z$803,0),""))</f>
        <v/>
      </c>
      <c r="AK17" s="10">
        <f>IF(OR($B17="",TRIM($J17&amp;"")=""),"",IFERROR(MATCH(TRIM($J17&amp;"")&amp;"|다기관",파견수련계획!$AE$4:$AE$803,0),""))</f>
        <v/>
      </c>
      <c r="AL17" s="10">
        <f>IF($AK17="","","다기관 "&amp;TEXT(INDEX(파견수련계획!$AB$4:$AB$803,$AK17),"yyyy-mm-dd")&amp;"~"&amp;IF(ISNUMBER(INDEX(파견수련계획!$AC$4:$AC$803,$AK17)),TEXT(INDEX(파견수련계획!$AC$4:$AC$803,$AK17),"yyyy-mm-dd"),""))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IF($AB18="","",IF(INDEX(기본자료!$C$2:$C$1001,$AB18)="","",INDEX(기본자료!$C$2:$C$1001,$AB18)))</f>
        <v/>
      </c>
      <c r="D18" s="10">
        <f>IF($AB18="","",IF(INDEX(기본자료!$J$2:$J$1001,$AB18)="","",INDEX(기본자료!$J$2:$J$1001,$AB18)))</f>
        <v/>
      </c>
      <c r="E18" s="11">
        <f>IF($AB18="","",IF(INDEX(기본자료!$K$2:$K$1001,$AB18)="","",IF(NOT(ISNUMBER(INDEX(기본자료!$K$2:$K$1001,$AB18))),INDEX(기본자료!$K$2:$K$1001,$AB18),IF(INDEX(기본자료!$K$2:$K$1001,$AB18)&lt;1000000,INDEX(기본자료!$K$2:$K$1001,$AB18),IF(AND(INDEX(기본자료!$K$2:$K$1001,$AB18)&gt;=10000101,INT(MOD(INDEX(기본자료!$K$2:$K$1001,$AB18),10000)/100)&gt;=1,INT(MOD(INDEX(기본자료!$K$2:$K$1001,$AB18),10000)/100)&lt;=12,MOD(INDEX(기본자료!$K$2:$K$1001,$AB18),100)&gt;=1,MOD(INDEX(기본자료!$K$2:$K$1001,$AB18),100)&lt;=31),DATE(INT(INDEX(기본자료!$K$2:$K$1001,$AB18)/10000),INT(MOD(INDEX(기본자료!$K$2:$K$1001,$AB18),10000)/100),MOD(INDEX(기본자료!$K$2:$K$1001,$AB18),100)),INDEX(기본자료!$K$2:$K$1001,$AB18)&amp;"")))))</f>
        <v/>
      </c>
      <c r="F18" s="10">
        <f>IF($AB18="","",IF(INDEX(기본자료!$D$2:$D$1001,$AB18)="","",INDEX(기본자료!$D$2:$D$1001,$AB18)))</f>
        <v/>
      </c>
      <c r="G18" s="10">
        <f>IF($AB18="","",IF(INDEX(기본자료!$E$2:$E$1001,$AB18)="","",INDEX(기본자료!$E$2:$E$1001,$AB18)))</f>
        <v/>
      </c>
      <c r="H18" s="10">
        <f>IF($AB18="","",IF(INDEX(기본자료!$F$2:$F$1001,$AB18)="","",INDEX(기본자료!$F$2:$F$1001,$AB18)))</f>
        <v/>
      </c>
      <c r="I18" s="11">
        <f>IF($AB18="","",IF(INDEX(기본자료!$G$2:$G$1001,$AB18)="","",IF(NOT(ISNUMBER(INDEX(기본자료!$G$2:$G$1001,$AB18))),INDEX(기본자료!$G$2:$G$1001,$AB18),IF(INDEX(기본자료!$G$2:$G$1001,$AB18)&lt;1000000,INDEX(기본자료!$G$2:$G$1001,$AB18),IF(AND(INDEX(기본자료!$G$2:$G$1001,$AB18)&gt;=10000101,INT(MOD(INDEX(기본자료!$G$2:$G$1001,$AB18),10000)/100)&gt;=1,INT(MOD(INDEX(기본자료!$G$2:$G$1001,$AB18),10000)/100)&lt;=12,MOD(INDEX(기본자료!$G$2:$G$1001,$AB18),100)&gt;=1,MOD(INDEX(기본자료!$G$2:$G$1001,$AB18),100)&lt;=31),DATE(INT(INDEX(기본자료!$G$2:$G$1001,$AB18)/10000),INT(MOD(INDEX(기본자료!$G$2:$G$1001,$AB18),10000)/100),MOD(INDEX(기본자료!$G$2:$G$1001,$AB18),100)),INDEX(기본자료!$G$2:$G$1001,$AB18)&amp;"")))))</f>
        <v/>
      </c>
      <c r="J18" s="10">
        <f>IF($AB18="","",IF(INDEX(기본자료!$H$2:$H$1001,$AB18)="","",INDEX(기본자료!$H$2:$H$1001,$AB18)))</f>
        <v/>
      </c>
      <c r="K18" s="10">
        <f>IF($AB18="","",IF(INDEX(기본자료!$I$2:$I$1001,$AB18)="","",INDEX(기본자료!$I$2:$I$1001,$AB18)))</f>
        <v/>
      </c>
      <c r="L18" s="10">
        <f>IF($AB18="","",IF(INDEX(기본자료!$A$2:$A$1001,$AB18)="","",INDEX(기본자료!$A$2:$A$1001,$AB18)))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$803,$AK18),OR(NOT(ISNUMBER(INDEX(파견수련계획!$AC$4:$AC$803,$AK18))),TODAY()&lt;=INDEX(파견수련계획!$AC$4:$AC$803,$AK18))),"다기관",IF($AF18="","",INDEX(파견수련계획!$T$4:$T$803,$AF18))),IF($AF18="","",INDEX(파견수련계획!$T$4:$T$803,$AF18))))</f>
        <v/>
      </c>
      <c r="Q18" s="10">
        <f>IF($AF18="","",INDEX(파견수련계획!$S$4:$S$803,$AF18))</f>
        <v/>
      </c>
      <c r="R18" s="10">
        <f>IF($AF18="","",INDEX(파견수련계획!$U$4:$U$803,$AF18))</f>
        <v/>
      </c>
      <c r="S18" s="11">
        <f>IF($AF18="","",IF(INDEX(파견수련계획!$H$4:$H$803,$AF18)="","",INDEX(파견수련계획!$H$4:$H$803,$AF18)))</f>
        <v/>
      </c>
      <c r="T18" s="11">
        <f>IF($AF18="","",IF(INDEX(파견수련계획!$I$4:$I$803,$AF18)="","",INDEX(파견수련계획!$I$4:$I$803,$AF18)))</f>
        <v/>
      </c>
      <c r="U18" s="10">
        <f>IF($AF18="","",INDEX(파견수련계획!$X$4:$X$803,$AF18))</f>
        <v/>
      </c>
      <c r="V18" s="17">
        <f>IF($AF18="","",INDEX(파견수련계획!$V$4:$V$803,$AF18))</f>
        <v/>
      </c>
      <c r="W18" s="17">
        <f>IF(AND($U18="파견중",$T18&lt;&gt;""),$T18-TODAY(),"")</f>
        <v/>
      </c>
      <c r="X18" s="17">
        <f>IF(OR($B18="",TRIM($J18&amp;"")=""),"",SUMPRODUCT((파견수련계획!$Q$4:$Q$803=TRIM($J18&amp;""))*파견수련계획!$W$4:$W$803))</f>
        <v/>
      </c>
      <c r="Y18" s="10">
        <f>IF($B18="","",IF($AG18="","",IF(IF(TRIM($J18&amp;"")="",0,SUMPRODUCT((파견수련계획!$Q$4:$Q$803=TRIM($J18&amp;""))*파견수련계획!$AD$4:$AD$803)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"&amp;$AI18&amp;"일)")),IF($AJ18="",$AE18,IF(INDEX(파견수련계획!$T$4:$T$803,$AJ18)="통합수련",INDEX(파견수련계획!$S$4:$S$803,$AJ18),$AE18)))))))</f>
        <v/>
      </c>
      <c r="Z18" s="19">
        <f>IF($B18="","",IF($AB18="","기본자료에 없는 사번",IF(COUNTIF($B$2:$B$401,$B18)&gt;1,"중복 사번",IF($AE18="","소속(입사장소) 입력",IF(IF(TRIM($J18&amp;"")="",0,SUMPRODUCT((파견수련계획!$Q$4:$Q$803=TRIM($J18&amp;""))*(파견수련계획!$AA$4:$AA$803&lt;&gt;"")))&gt;0,"파견수련계획 입력오류 확인",IF(LEFT($Y18,1)="⚠","서울·구리 15일 판정 불가(양쪽 모두 이상/미만)",IF(IF($AC18="",0,N(INDEX(인턴근무계획!$T$3:$T$402,$AC18)))&gt;0,"인턴계획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IF($B18="","",IFERROR(MATCH($B18,기본자료!$B$2:$B$1001,0),IFERROR(MATCH($B18&amp;"",기본자료!$B$2:$B$1001,0),IFERROR(MATCH(VALUE($B18),기본자료!$B$2:$B$1001,0),""))))</f>
        <v/>
      </c>
      <c r="AC18" s="10">
        <f>IF($B18="","",IFERROR(MATCH($B18,인턴근무계획!$D$3:$D$402,0),IFERROR(MATCH($B18&amp;"",인턴근무계획!$D$3:$D$402,0),IFERROR(MATCH(VALUE($B18),인턴근무계획!$D$3:$D$402,0),""))))</f>
        <v/>
      </c>
      <c r="AD18" s="10">
        <f>IF(OR($AC18="",인턴현황!$G$3=""),"",INDEX(인턴근무계획!$M$3:$R$402,$AC18,인턴현황!$G$3)&amp;"")</f>
        <v/>
      </c>
      <c r="AE18" s="10">
        <f>IF($B18="","",IF($M18&lt;&gt;"",$M18,IF($AF18&lt;&gt;"",IF(LEFT(INDEX(파견수련계획!$R$4:$R$803,$AF18),1)&lt;&gt;"⚠",INDEX(파견수련계획!$R$4:$R$803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$803,0),IFERROR(MATCH(TRIM($J18&amp;"")&amp;"|파견예정",파견수련계획!$Y$4:$Y$803,0),IFERROR(MATCH(TRIM($J18&amp;"")&amp;"|파견종료",파견수련계획!$Y$4:$Y$803,0),""))))</f>
        <v/>
      </c>
      <c r="AG18" s="10">
        <f>IF($B18="","",IF(AND(IF(OR($AC18="",인턴현황!$K$2=""),"",INDEX(인턴근무계획!$M$3:$R$402,$AC18,인턴현황!$K$2)&amp;"")&lt;&gt;"",LEFT(IF(OR($AC18="",인턴현황!$K$2=""),"",INDEX(인턴근무계획!$M$3:$R$402,$AC18,인턴현황!$K$2)&amp;""),1)&lt;&gt;"⚠"),LEFT(IF(OR($AC18="",인턴현황!$K$2=""),"",INDEX(인턴근무계획!$M$3:$R$402,$AC18,인턴현황!$K$2)&amp;""),FIND(" ",IF(OR($AC18="",인턴현황!$K$2=""),"",INDEX(인턴근무계획!$M$3:$R$402,$AC18,인턴현황!$K$2)&amp;""))-1),$AE18))</f>
        <v/>
      </c>
      <c r="AH18" s="17">
        <f>IF($B18="","",IF(TRIM($J18&amp;"")="",0,SUMPRODUCT((파견수련계획!$Q$4:$Q$803=TRIM($J18&amp;""))*(파견수련계획!$S$4:$S$803="서울병원")*파견수련계획!$W$4:$W$803))+IF($AG18="서울병원",MAX(0,DAY(EOMONTH(요약!$B$3,0))-N($X18)),0))</f>
        <v/>
      </c>
      <c r="AI18" s="17">
        <f>IF($B18="","",IF(TRIM($J18&amp;"")="",0,SUMPRODUCT((파견수련계획!$Q$4:$Q$803=TRIM($J18&amp;""))*(파견수련계획!$S$4:$S$803="구리병원")*파견수련계획!$W$4:$W$803))+IF($AG18="구리병원",MAX(0,DAY(EOMONTH(요약!$B$3,0))-N($X18)),0))</f>
        <v/>
      </c>
      <c r="AJ18" s="10">
        <f>IF(OR($B18="",TRIM($J18&amp;"")=""),"",IFERROR(MATCH(TRIM($J18&amp;"")&amp;"|월",파견수련계획!$Z$4:$Z$803,0),""))</f>
        <v/>
      </c>
      <c r="AK18" s="10">
        <f>IF(OR($B18="",TRIM($J18&amp;"")=""),"",IFERROR(MATCH(TRIM($J18&amp;"")&amp;"|다기관",파견수련계획!$AE$4:$AE$803,0),""))</f>
        <v/>
      </c>
      <c r="AL18" s="10">
        <f>IF($AK18="","","다기관 "&amp;TEXT(INDEX(파견수련계획!$AB$4:$AB$803,$AK18),"yyyy-mm-dd")&amp;"~"&amp;IF(ISNUMBER(INDEX(파견수련계획!$AC$4:$AC$803,$AK18)),TEXT(INDEX(파견수련계획!$AC$4:$AC$803,$AK18),"yyyy-mm-dd"),""))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IF($AB19="","",IF(INDEX(기본자료!$C$2:$C$1001,$AB19)="","",INDEX(기본자료!$C$2:$C$1001,$AB19)))</f>
        <v/>
      </c>
      <c r="D19" s="10">
        <f>IF($AB19="","",IF(INDEX(기본자료!$J$2:$J$1001,$AB19)="","",INDEX(기본자료!$J$2:$J$1001,$AB19)))</f>
        <v/>
      </c>
      <c r="E19" s="11">
        <f>IF($AB19="","",IF(INDEX(기본자료!$K$2:$K$1001,$AB19)="","",IF(NOT(ISNUMBER(INDEX(기본자료!$K$2:$K$1001,$AB19))),INDEX(기본자료!$K$2:$K$1001,$AB19),IF(INDEX(기본자료!$K$2:$K$1001,$AB19)&lt;1000000,INDEX(기본자료!$K$2:$K$1001,$AB19),IF(AND(INDEX(기본자료!$K$2:$K$1001,$AB19)&gt;=10000101,INT(MOD(INDEX(기본자료!$K$2:$K$1001,$AB19),10000)/100)&gt;=1,INT(MOD(INDEX(기본자료!$K$2:$K$1001,$AB19),10000)/100)&lt;=12,MOD(INDEX(기본자료!$K$2:$K$1001,$AB19),100)&gt;=1,MOD(INDEX(기본자료!$K$2:$K$1001,$AB19),100)&lt;=31),DATE(INT(INDEX(기본자료!$K$2:$K$1001,$AB19)/10000),INT(MOD(INDEX(기본자료!$K$2:$K$1001,$AB19),10000)/100),MOD(INDEX(기본자료!$K$2:$K$1001,$AB19),100)),INDEX(기본자료!$K$2:$K$1001,$AB19)&amp;"")))))</f>
        <v/>
      </c>
      <c r="F19" s="10">
        <f>IF($AB19="","",IF(INDEX(기본자료!$D$2:$D$1001,$AB19)="","",INDEX(기본자료!$D$2:$D$1001,$AB19)))</f>
        <v/>
      </c>
      <c r="G19" s="10">
        <f>IF($AB19="","",IF(INDEX(기본자료!$E$2:$E$1001,$AB19)="","",INDEX(기본자료!$E$2:$E$1001,$AB19)))</f>
        <v/>
      </c>
      <c r="H19" s="10">
        <f>IF($AB19="","",IF(INDEX(기본자료!$F$2:$F$1001,$AB19)="","",INDEX(기본자료!$F$2:$F$1001,$AB19)))</f>
        <v/>
      </c>
      <c r="I19" s="11">
        <f>IF($AB19="","",IF(INDEX(기본자료!$G$2:$G$1001,$AB19)="","",IF(NOT(ISNUMBER(INDEX(기본자료!$G$2:$G$1001,$AB19))),INDEX(기본자료!$G$2:$G$1001,$AB19),IF(INDEX(기본자료!$G$2:$G$1001,$AB19)&lt;1000000,INDEX(기본자료!$G$2:$G$1001,$AB19),IF(AND(INDEX(기본자료!$G$2:$G$1001,$AB19)&gt;=10000101,INT(MOD(INDEX(기본자료!$G$2:$G$1001,$AB19),10000)/100)&gt;=1,INT(MOD(INDEX(기본자료!$G$2:$G$1001,$AB19),10000)/100)&lt;=12,MOD(INDEX(기본자료!$G$2:$G$1001,$AB19),100)&gt;=1,MOD(INDEX(기본자료!$G$2:$G$1001,$AB19),100)&lt;=31),DATE(INT(INDEX(기본자료!$G$2:$G$1001,$AB19)/10000),INT(MOD(INDEX(기본자료!$G$2:$G$1001,$AB19),10000)/100),MOD(INDEX(기본자료!$G$2:$G$1001,$AB19),100)),INDEX(기본자료!$G$2:$G$1001,$AB19)&amp;"")))))</f>
        <v/>
      </c>
      <c r="J19" s="10">
        <f>IF($AB19="","",IF(INDEX(기본자료!$H$2:$H$1001,$AB19)="","",INDEX(기본자료!$H$2:$H$1001,$AB19)))</f>
        <v/>
      </c>
      <c r="K19" s="10">
        <f>IF($AB19="","",IF(INDEX(기본자료!$I$2:$I$1001,$AB19)="","",INDEX(기본자료!$I$2:$I$1001,$AB19)))</f>
        <v/>
      </c>
      <c r="L19" s="10">
        <f>IF($AB19="","",IF(INDEX(기본자료!$A$2:$A$1001,$AB19)="","",INDEX(기본자료!$A$2:$A$1001,$AB19)))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$803,$AK19),OR(NOT(ISNUMBER(INDEX(파견수련계획!$AC$4:$AC$803,$AK19))),TODAY()&lt;=INDEX(파견수련계획!$AC$4:$AC$803,$AK19))),"다기관",IF($AF19="","",INDEX(파견수련계획!$T$4:$T$803,$AF19))),IF($AF19="","",INDEX(파견수련계획!$T$4:$T$803,$AF19))))</f>
        <v/>
      </c>
      <c r="Q19" s="10">
        <f>IF($AF19="","",INDEX(파견수련계획!$S$4:$S$803,$AF19))</f>
        <v/>
      </c>
      <c r="R19" s="10">
        <f>IF($AF19="","",INDEX(파견수련계획!$U$4:$U$803,$AF19))</f>
        <v/>
      </c>
      <c r="S19" s="11">
        <f>IF($AF19="","",IF(INDEX(파견수련계획!$H$4:$H$803,$AF19)="","",INDEX(파견수련계획!$H$4:$H$803,$AF19)))</f>
        <v/>
      </c>
      <c r="T19" s="11">
        <f>IF($AF19="","",IF(INDEX(파견수련계획!$I$4:$I$803,$AF19)="","",INDEX(파견수련계획!$I$4:$I$803,$AF19)))</f>
        <v/>
      </c>
      <c r="U19" s="10">
        <f>IF($AF19="","",INDEX(파견수련계획!$X$4:$X$803,$AF19))</f>
        <v/>
      </c>
      <c r="V19" s="17">
        <f>IF($AF19="","",INDEX(파견수련계획!$V$4:$V$803,$AF19))</f>
        <v/>
      </c>
      <c r="W19" s="17">
        <f>IF(AND($U19="파견중",$T19&lt;&gt;""),$T19-TODAY(),"")</f>
        <v/>
      </c>
      <c r="X19" s="17">
        <f>IF(OR($B19="",TRIM($J19&amp;"")=""),"",SUMPRODUCT((파견수련계획!$Q$4:$Q$803=TRIM($J19&amp;""))*파견수련계획!$W$4:$W$803))</f>
        <v/>
      </c>
      <c r="Y19" s="10">
        <f>IF($B19="","",IF($AG19="","",IF(IF(TRIM($J19&amp;"")="",0,SUMPRODUCT((파견수련계획!$Q$4:$Q$803=TRIM($J19&amp;""))*파견수련계획!$AD$4:$AD$803)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"&amp;$AI19&amp;"일)")),IF($AJ19="",$AE19,IF(INDEX(파견수련계획!$T$4:$T$803,$AJ19)="통합수련",INDEX(파견수련계획!$S$4:$S$803,$AJ19),$AE19)))))))</f>
        <v/>
      </c>
      <c r="Z19" s="19">
        <f>IF($B19="","",IF($AB19="","기본자료에 없는 사번",IF(COUNTIF($B$2:$B$401,$B19)&gt;1,"중복 사번",IF($AE19="","소속(입사장소) 입력",IF(IF(TRIM($J19&amp;"")="",0,SUMPRODUCT((파견수련계획!$Q$4:$Q$803=TRIM($J19&amp;""))*(파견수련계획!$AA$4:$AA$803&lt;&gt;"")))&gt;0,"파견수련계획 입력오류 확인",IF(LEFT($Y19,1)="⚠","서울·구리 15일 판정 불가(양쪽 모두 이상/미만)",IF(IF($AC19="",0,N(INDEX(인턴근무계획!$T$3:$T$402,$AC19)))&gt;0,"인턴계획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IF($B19="","",IFERROR(MATCH($B19,기본자료!$B$2:$B$1001,0),IFERROR(MATCH($B19&amp;"",기본자료!$B$2:$B$1001,0),IFERROR(MATCH(VALUE($B19),기본자료!$B$2:$B$1001,0),""))))</f>
        <v/>
      </c>
      <c r="AC19" s="10">
        <f>IF($B19="","",IFERROR(MATCH($B19,인턴근무계획!$D$3:$D$402,0),IFERROR(MATCH($B19&amp;"",인턴근무계획!$D$3:$D$402,0),IFERROR(MATCH(VALUE($B19),인턴근무계획!$D$3:$D$402,0),""))))</f>
        <v/>
      </c>
      <c r="AD19" s="10">
        <f>IF(OR($AC19="",인턴현황!$G$3=""),"",INDEX(인턴근무계획!$M$3:$R$402,$AC19,인턴현황!$G$3)&amp;"")</f>
        <v/>
      </c>
      <c r="AE19" s="10">
        <f>IF($B19="","",IF($M19&lt;&gt;"",$M19,IF($AF19&lt;&gt;"",IF(LEFT(INDEX(파견수련계획!$R$4:$R$803,$AF19),1)&lt;&gt;"⚠",INDEX(파견수련계획!$R$4:$R$803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$803,0),IFERROR(MATCH(TRIM($J19&amp;"")&amp;"|파견예정",파견수련계획!$Y$4:$Y$803,0),IFERROR(MATCH(TRIM($J19&amp;"")&amp;"|파견종료",파견수련계획!$Y$4:$Y$803,0),""))))</f>
        <v/>
      </c>
      <c r="AG19" s="10">
        <f>IF($B19="","",IF(AND(IF(OR($AC19="",인턴현황!$K$2=""),"",INDEX(인턴근무계획!$M$3:$R$402,$AC19,인턴현황!$K$2)&amp;"")&lt;&gt;"",LEFT(IF(OR($AC19="",인턴현황!$K$2=""),"",INDEX(인턴근무계획!$M$3:$R$402,$AC19,인턴현황!$K$2)&amp;""),1)&lt;&gt;"⚠"),LEFT(IF(OR($AC19="",인턴현황!$K$2=""),"",INDEX(인턴근무계획!$M$3:$R$402,$AC19,인턴현황!$K$2)&amp;""),FIND(" ",IF(OR($AC19="",인턴현황!$K$2=""),"",INDEX(인턴근무계획!$M$3:$R$402,$AC19,인턴현황!$K$2)&amp;""))-1),$AE19))</f>
        <v/>
      </c>
      <c r="AH19" s="17">
        <f>IF($B19="","",IF(TRIM($J19&amp;"")="",0,SUMPRODUCT((파견수련계획!$Q$4:$Q$803=TRIM($J19&amp;""))*(파견수련계획!$S$4:$S$803="서울병원")*파견수련계획!$W$4:$W$803))+IF($AG19="서울병원",MAX(0,DAY(EOMONTH(요약!$B$3,0))-N($X19)),0))</f>
        <v/>
      </c>
      <c r="AI19" s="17">
        <f>IF($B19="","",IF(TRIM($J19&amp;"")="",0,SUMPRODUCT((파견수련계획!$Q$4:$Q$803=TRIM($J19&amp;""))*(파견수련계획!$S$4:$S$803="구리병원")*파견수련계획!$W$4:$W$803))+IF($AG19="구리병원",MAX(0,DAY(EOMONTH(요약!$B$3,0))-N($X19)),0))</f>
        <v/>
      </c>
      <c r="AJ19" s="10">
        <f>IF(OR($B19="",TRIM($J19&amp;"")=""),"",IFERROR(MATCH(TRIM($J19&amp;"")&amp;"|월",파견수련계획!$Z$4:$Z$803,0),""))</f>
        <v/>
      </c>
      <c r="AK19" s="10">
        <f>IF(OR($B19="",TRIM($J19&amp;"")=""),"",IFERROR(MATCH(TRIM($J19&amp;"")&amp;"|다기관",파견수련계획!$AE$4:$AE$803,0),""))</f>
        <v/>
      </c>
      <c r="AL19" s="10">
        <f>IF($AK19="","","다기관 "&amp;TEXT(INDEX(파견수련계획!$AB$4:$AB$803,$AK19),"yyyy-mm-dd")&amp;"~"&amp;IF(ISNUMBER(INDEX(파견수련계획!$AC$4:$AC$803,$AK19)),TEXT(INDEX(파견수련계획!$AC$4:$AC$803,$AK19),"yyyy-mm-dd"),""))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IF($AB20="","",IF(INDEX(기본자료!$C$2:$C$1001,$AB20)="","",INDEX(기본자료!$C$2:$C$1001,$AB20)))</f>
        <v/>
      </c>
      <c r="D20" s="10">
        <f>IF($AB20="","",IF(INDEX(기본자료!$J$2:$J$1001,$AB20)="","",INDEX(기본자료!$J$2:$J$1001,$AB20)))</f>
        <v/>
      </c>
      <c r="E20" s="11">
        <f>IF($AB20="","",IF(INDEX(기본자료!$K$2:$K$1001,$AB20)="","",IF(NOT(ISNUMBER(INDEX(기본자료!$K$2:$K$1001,$AB20))),INDEX(기본자료!$K$2:$K$1001,$AB20),IF(INDEX(기본자료!$K$2:$K$1001,$AB20)&lt;1000000,INDEX(기본자료!$K$2:$K$1001,$AB20),IF(AND(INDEX(기본자료!$K$2:$K$1001,$AB20)&gt;=10000101,INT(MOD(INDEX(기본자료!$K$2:$K$1001,$AB20),10000)/100)&gt;=1,INT(MOD(INDEX(기본자료!$K$2:$K$1001,$AB20),10000)/100)&lt;=12,MOD(INDEX(기본자료!$K$2:$K$1001,$AB20),100)&gt;=1,MOD(INDEX(기본자료!$K$2:$K$1001,$AB20),100)&lt;=31),DATE(INT(INDEX(기본자료!$K$2:$K$1001,$AB20)/10000),INT(MOD(INDEX(기본자료!$K$2:$K$1001,$AB20),10000)/100),MOD(INDEX(기본자료!$K$2:$K$1001,$AB20),100)),INDEX(기본자료!$K$2:$K$1001,$AB20)&amp;"")))))</f>
        <v/>
      </c>
      <c r="F20" s="10">
        <f>IF($AB20="","",IF(INDEX(기본자료!$D$2:$D$1001,$AB20)="","",INDEX(기본자료!$D$2:$D$1001,$AB20)))</f>
        <v/>
      </c>
      <c r="G20" s="10">
        <f>IF($AB20="","",IF(INDEX(기본자료!$E$2:$E$1001,$AB20)="","",INDEX(기본자료!$E$2:$E$1001,$AB20)))</f>
        <v/>
      </c>
      <c r="H20" s="10">
        <f>IF($AB20="","",IF(INDEX(기본자료!$F$2:$F$1001,$AB20)="","",INDEX(기본자료!$F$2:$F$1001,$AB20)))</f>
        <v/>
      </c>
      <c r="I20" s="11">
        <f>IF($AB20="","",IF(INDEX(기본자료!$G$2:$G$1001,$AB20)="","",IF(NOT(ISNUMBER(INDEX(기본자료!$G$2:$G$1001,$AB20))),INDEX(기본자료!$G$2:$G$1001,$AB20),IF(INDEX(기본자료!$G$2:$G$1001,$AB20)&lt;1000000,INDEX(기본자료!$G$2:$G$1001,$AB20),IF(AND(INDEX(기본자료!$G$2:$G$1001,$AB20)&gt;=10000101,INT(MOD(INDEX(기본자료!$G$2:$G$1001,$AB20),10000)/100)&gt;=1,INT(MOD(INDEX(기본자료!$G$2:$G$1001,$AB20),10000)/100)&lt;=12,MOD(INDEX(기본자료!$G$2:$G$1001,$AB20),100)&gt;=1,MOD(INDEX(기본자료!$G$2:$G$1001,$AB20),100)&lt;=31),DATE(INT(INDEX(기본자료!$G$2:$G$1001,$AB20)/10000),INT(MOD(INDEX(기본자료!$G$2:$G$1001,$AB20),10000)/100),MOD(INDEX(기본자료!$G$2:$G$1001,$AB20),100)),INDEX(기본자료!$G$2:$G$1001,$AB20)&amp;"")))))</f>
        <v/>
      </c>
      <c r="J20" s="10">
        <f>IF($AB20="","",IF(INDEX(기본자료!$H$2:$H$1001,$AB20)="","",INDEX(기본자료!$H$2:$H$1001,$AB20)))</f>
        <v/>
      </c>
      <c r="K20" s="10">
        <f>IF($AB20="","",IF(INDEX(기본자료!$I$2:$I$1001,$AB20)="","",INDEX(기본자료!$I$2:$I$1001,$AB20)))</f>
        <v/>
      </c>
      <c r="L20" s="10">
        <f>IF($AB20="","",IF(INDEX(기본자료!$A$2:$A$1001,$AB20)="","",INDEX(기본자료!$A$2:$A$1001,$AB20)))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$803,$AK20),OR(NOT(ISNUMBER(INDEX(파견수련계획!$AC$4:$AC$803,$AK20))),TODAY()&lt;=INDEX(파견수련계획!$AC$4:$AC$803,$AK20))),"다기관",IF($AF20="","",INDEX(파견수련계획!$T$4:$T$803,$AF20))),IF($AF20="","",INDEX(파견수련계획!$T$4:$T$803,$AF20))))</f>
        <v/>
      </c>
      <c r="Q20" s="10">
        <f>IF($AF20="","",INDEX(파견수련계획!$S$4:$S$803,$AF20))</f>
        <v/>
      </c>
      <c r="R20" s="10">
        <f>IF($AF20="","",INDEX(파견수련계획!$U$4:$U$803,$AF20))</f>
        <v/>
      </c>
      <c r="S20" s="11">
        <f>IF($AF20="","",IF(INDEX(파견수련계획!$H$4:$H$803,$AF20)="","",INDEX(파견수련계획!$H$4:$H$803,$AF20)))</f>
        <v/>
      </c>
      <c r="T20" s="11">
        <f>IF($AF20="","",IF(INDEX(파견수련계획!$I$4:$I$803,$AF20)="","",INDEX(파견수련계획!$I$4:$I$803,$AF20)))</f>
        <v/>
      </c>
      <c r="U20" s="10">
        <f>IF($AF20="","",INDEX(파견수련계획!$X$4:$X$803,$AF20))</f>
        <v/>
      </c>
      <c r="V20" s="17">
        <f>IF($AF20="","",INDEX(파견수련계획!$V$4:$V$803,$AF20))</f>
        <v/>
      </c>
      <c r="W20" s="17">
        <f>IF(AND($U20="파견중",$T20&lt;&gt;""),$T20-TODAY(),"")</f>
        <v/>
      </c>
      <c r="X20" s="17">
        <f>IF(OR($B20="",TRIM($J20&amp;"")=""),"",SUMPRODUCT((파견수련계획!$Q$4:$Q$803=TRIM($J20&amp;""))*파견수련계획!$W$4:$W$803))</f>
        <v/>
      </c>
      <c r="Y20" s="10">
        <f>IF($B20="","",IF($AG20="","",IF(IF(TRIM($J20&amp;"")="",0,SUMPRODUCT((파견수련계획!$Q$4:$Q$803=TRIM($J20&amp;""))*파견수련계획!$AD$4:$AD$803)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"&amp;$AI20&amp;"일)")),IF($AJ20="",$AE20,IF(INDEX(파견수련계획!$T$4:$T$803,$AJ20)="통합수련",INDEX(파견수련계획!$S$4:$S$803,$AJ20),$AE20)))))))</f>
        <v/>
      </c>
      <c r="Z20" s="19">
        <f>IF($B20="","",IF($AB20="","기본자료에 없는 사번",IF(COUNTIF($B$2:$B$401,$B20)&gt;1,"중복 사번",IF($AE20="","소속(입사장소) 입력",IF(IF(TRIM($J20&amp;"")="",0,SUMPRODUCT((파견수련계획!$Q$4:$Q$803=TRIM($J20&amp;""))*(파견수련계획!$AA$4:$AA$803&lt;&gt;"")))&gt;0,"파견수련계획 입력오류 확인",IF(LEFT($Y20,1)="⚠","서울·구리 15일 판정 불가(양쪽 모두 이상/미만)",IF(IF($AC20="",0,N(INDEX(인턴근무계획!$T$3:$T$402,$AC20)))&gt;0,"인턴계획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IF($B20="","",IFERROR(MATCH($B20,기본자료!$B$2:$B$1001,0),IFERROR(MATCH($B20&amp;"",기본자료!$B$2:$B$1001,0),IFERROR(MATCH(VALUE($B20),기본자료!$B$2:$B$1001,0),""))))</f>
        <v/>
      </c>
      <c r="AC20" s="10">
        <f>IF($B20="","",IFERROR(MATCH($B20,인턴근무계획!$D$3:$D$402,0),IFERROR(MATCH($B20&amp;"",인턴근무계획!$D$3:$D$402,0),IFERROR(MATCH(VALUE($B20),인턴근무계획!$D$3:$D$402,0),""))))</f>
        <v/>
      </c>
      <c r="AD20" s="10">
        <f>IF(OR($AC20="",인턴현황!$G$3=""),"",INDEX(인턴근무계획!$M$3:$R$402,$AC20,인턴현황!$G$3)&amp;"")</f>
        <v/>
      </c>
      <c r="AE20" s="10">
        <f>IF($B20="","",IF($M20&lt;&gt;"",$M20,IF($AF20&lt;&gt;"",IF(LEFT(INDEX(파견수련계획!$R$4:$R$803,$AF20),1)&lt;&gt;"⚠",INDEX(파견수련계획!$R$4:$R$803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$803,0),IFERROR(MATCH(TRIM($J20&amp;"")&amp;"|파견예정",파견수련계획!$Y$4:$Y$803,0),IFERROR(MATCH(TRIM($J20&amp;"")&amp;"|파견종료",파견수련계획!$Y$4:$Y$803,0),""))))</f>
        <v/>
      </c>
      <c r="AG20" s="10">
        <f>IF($B20="","",IF(AND(IF(OR($AC20="",인턴현황!$K$2=""),"",INDEX(인턴근무계획!$M$3:$R$402,$AC20,인턴현황!$K$2)&amp;"")&lt;&gt;"",LEFT(IF(OR($AC20="",인턴현황!$K$2=""),"",INDEX(인턴근무계획!$M$3:$R$402,$AC20,인턴현황!$K$2)&amp;""),1)&lt;&gt;"⚠"),LEFT(IF(OR($AC20="",인턴현황!$K$2=""),"",INDEX(인턴근무계획!$M$3:$R$402,$AC20,인턴현황!$K$2)&amp;""),FIND(" ",IF(OR($AC20="",인턴현황!$K$2=""),"",INDEX(인턴근무계획!$M$3:$R$402,$AC20,인턴현황!$K$2)&amp;""))-1),$AE20))</f>
        <v/>
      </c>
      <c r="AH20" s="17">
        <f>IF($B20="","",IF(TRIM($J20&amp;"")="",0,SUMPRODUCT((파견수련계획!$Q$4:$Q$803=TRIM($J20&amp;""))*(파견수련계획!$S$4:$S$803="서울병원")*파견수련계획!$W$4:$W$803))+IF($AG20="서울병원",MAX(0,DAY(EOMONTH(요약!$B$3,0))-N($X20)),0))</f>
        <v/>
      </c>
      <c r="AI20" s="17">
        <f>IF($B20="","",IF(TRIM($J20&amp;"")="",0,SUMPRODUCT((파견수련계획!$Q$4:$Q$803=TRIM($J20&amp;""))*(파견수련계획!$S$4:$S$803="구리병원")*파견수련계획!$W$4:$W$803))+IF($AG20="구리병원",MAX(0,DAY(EOMONTH(요약!$B$3,0))-N($X20)),0))</f>
        <v/>
      </c>
      <c r="AJ20" s="10">
        <f>IF(OR($B20="",TRIM($J20&amp;"")=""),"",IFERROR(MATCH(TRIM($J20&amp;"")&amp;"|월",파견수련계획!$Z$4:$Z$803,0),""))</f>
        <v/>
      </c>
      <c r="AK20" s="10">
        <f>IF(OR($B20="",TRIM($J20&amp;"")=""),"",IFERROR(MATCH(TRIM($J20&amp;"")&amp;"|다기관",파견수련계획!$AE$4:$AE$803,0),""))</f>
        <v/>
      </c>
      <c r="AL20" s="10">
        <f>IF($AK20="","","다기관 "&amp;TEXT(INDEX(파견수련계획!$AB$4:$AB$803,$AK20),"yyyy-mm-dd")&amp;"~"&amp;IF(ISNUMBER(INDEX(파견수련계획!$AC$4:$AC$803,$AK20)),TEXT(INDEX(파견수련계획!$AC$4:$AC$803,$AK20),"yyyy-mm-dd"),""))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IF($AB21="","",IF(INDEX(기본자료!$C$2:$C$1001,$AB21)="","",INDEX(기본자료!$C$2:$C$1001,$AB21)))</f>
        <v/>
      </c>
      <c r="D21" s="10">
        <f>IF($AB21="","",IF(INDEX(기본자료!$J$2:$J$1001,$AB21)="","",INDEX(기본자료!$J$2:$J$1001,$AB21)))</f>
        <v/>
      </c>
      <c r="E21" s="11">
        <f>IF($AB21="","",IF(INDEX(기본자료!$K$2:$K$1001,$AB21)="","",IF(NOT(ISNUMBER(INDEX(기본자료!$K$2:$K$1001,$AB21))),INDEX(기본자료!$K$2:$K$1001,$AB21),IF(INDEX(기본자료!$K$2:$K$1001,$AB21)&lt;1000000,INDEX(기본자료!$K$2:$K$1001,$AB21),IF(AND(INDEX(기본자료!$K$2:$K$1001,$AB21)&gt;=10000101,INT(MOD(INDEX(기본자료!$K$2:$K$1001,$AB21),10000)/100)&gt;=1,INT(MOD(INDEX(기본자료!$K$2:$K$1001,$AB21),10000)/100)&lt;=12,MOD(INDEX(기본자료!$K$2:$K$1001,$AB21),100)&gt;=1,MOD(INDEX(기본자료!$K$2:$K$1001,$AB21),100)&lt;=31),DATE(INT(INDEX(기본자료!$K$2:$K$1001,$AB21)/10000),INT(MOD(INDEX(기본자료!$K$2:$K$1001,$AB21),10000)/100),MOD(INDEX(기본자료!$K$2:$K$1001,$AB21),100)),INDEX(기본자료!$K$2:$K$1001,$AB21)&amp;"")))))</f>
        <v/>
      </c>
      <c r="F21" s="10">
        <f>IF($AB21="","",IF(INDEX(기본자료!$D$2:$D$1001,$AB21)="","",INDEX(기본자료!$D$2:$D$1001,$AB21)))</f>
        <v/>
      </c>
      <c r="G21" s="10">
        <f>IF($AB21="","",IF(INDEX(기본자료!$E$2:$E$1001,$AB21)="","",INDEX(기본자료!$E$2:$E$1001,$AB21)))</f>
        <v/>
      </c>
      <c r="H21" s="10">
        <f>IF($AB21="","",IF(INDEX(기본자료!$F$2:$F$1001,$AB21)="","",INDEX(기본자료!$F$2:$F$1001,$AB21)))</f>
        <v/>
      </c>
      <c r="I21" s="11">
        <f>IF($AB21="","",IF(INDEX(기본자료!$G$2:$G$1001,$AB21)="","",IF(NOT(ISNUMBER(INDEX(기본자료!$G$2:$G$1001,$AB21))),INDEX(기본자료!$G$2:$G$1001,$AB21),IF(INDEX(기본자료!$G$2:$G$1001,$AB21)&lt;1000000,INDEX(기본자료!$G$2:$G$1001,$AB21),IF(AND(INDEX(기본자료!$G$2:$G$1001,$AB21)&gt;=10000101,INT(MOD(INDEX(기본자료!$G$2:$G$1001,$AB21),10000)/100)&gt;=1,INT(MOD(INDEX(기본자료!$G$2:$G$1001,$AB21),10000)/100)&lt;=12,MOD(INDEX(기본자료!$G$2:$G$1001,$AB21),100)&gt;=1,MOD(INDEX(기본자료!$G$2:$G$1001,$AB21),100)&lt;=31),DATE(INT(INDEX(기본자료!$G$2:$G$1001,$AB21)/10000),INT(MOD(INDEX(기본자료!$G$2:$G$1001,$AB21),10000)/100),MOD(INDEX(기본자료!$G$2:$G$1001,$AB21),100)),INDEX(기본자료!$G$2:$G$1001,$AB21)&amp;"")))))</f>
        <v/>
      </c>
      <c r="J21" s="10">
        <f>IF($AB21="","",IF(INDEX(기본자료!$H$2:$H$1001,$AB21)="","",INDEX(기본자료!$H$2:$H$1001,$AB21)))</f>
        <v/>
      </c>
      <c r="K21" s="10">
        <f>IF($AB21="","",IF(INDEX(기본자료!$I$2:$I$1001,$AB21)="","",INDEX(기본자료!$I$2:$I$1001,$AB21)))</f>
        <v/>
      </c>
      <c r="L21" s="10">
        <f>IF($AB21="","",IF(INDEX(기본자료!$A$2:$A$1001,$AB21)="","",INDEX(기본자료!$A$2:$A$1001,$AB21)))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$803,$AK21),OR(NOT(ISNUMBER(INDEX(파견수련계획!$AC$4:$AC$803,$AK21))),TODAY()&lt;=INDEX(파견수련계획!$AC$4:$AC$803,$AK21))),"다기관",IF($AF21="","",INDEX(파견수련계획!$T$4:$T$803,$AF21))),IF($AF21="","",INDEX(파견수련계획!$T$4:$T$803,$AF21))))</f>
        <v/>
      </c>
      <c r="Q21" s="10">
        <f>IF($AF21="","",INDEX(파견수련계획!$S$4:$S$803,$AF21))</f>
        <v/>
      </c>
      <c r="R21" s="10">
        <f>IF($AF21="","",INDEX(파견수련계획!$U$4:$U$803,$AF21))</f>
        <v/>
      </c>
      <c r="S21" s="11">
        <f>IF($AF21="","",IF(INDEX(파견수련계획!$H$4:$H$803,$AF21)="","",INDEX(파견수련계획!$H$4:$H$803,$AF21)))</f>
        <v/>
      </c>
      <c r="T21" s="11">
        <f>IF($AF21="","",IF(INDEX(파견수련계획!$I$4:$I$803,$AF21)="","",INDEX(파견수련계획!$I$4:$I$803,$AF21)))</f>
        <v/>
      </c>
      <c r="U21" s="10">
        <f>IF($AF21="","",INDEX(파견수련계획!$X$4:$X$803,$AF21))</f>
        <v/>
      </c>
      <c r="V21" s="17">
        <f>IF($AF21="","",INDEX(파견수련계획!$V$4:$V$803,$AF21))</f>
        <v/>
      </c>
      <c r="W21" s="17">
        <f>IF(AND($U21="파견중",$T21&lt;&gt;""),$T21-TODAY(),"")</f>
        <v/>
      </c>
      <c r="X21" s="17">
        <f>IF(OR($B21="",TRIM($J21&amp;"")=""),"",SUMPRODUCT((파견수련계획!$Q$4:$Q$803=TRIM($J21&amp;""))*파견수련계획!$W$4:$W$803))</f>
        <v/>
      </c>
      <c r="Y21" s="10">
        <f>IF($B21="","",IF($AG21="","",IF(IF(TRIM($J21&amp;"")="",0,SUMPRODUCT((파견수련계획!$Q$4:$Q$803=TRIM($J21&amp;""))*파견수련계획!$AD$4:$AD$803)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"&amp;$AI21&amp;"일)")),IF($AJ21="",$AE21,IF(INDEX(파견수련계획!$T$4:$T$803,$AJ21)="통합수련",INDEX(파견수련계획!$S$4:$S$803,$AJ21),$AE21)))))))</f>
        <v/>
      </c>
      <c r="Z21" s="19">
        <f>IF($B21="","",IF($AB21="","기본자료에 없는 사번",IF(COUNTIF($B$2:$B$401,$B21)&gt;1,"중복 사번",IF($AE21="","소속(입사장소) 입력",IF(IF(TRIM($J21&amp;"")="",0,SUMPRODUCT((파견수련계획!$Q$4:$Q$803=TRIM($J21&amp;""))*(파견수련계획!$AA$4:$AA$803&lt;&gt;"")))&gt;0,"파견수련계획 입력오류 확인",IF(LEFT($Y21,1)="⚠","서울·구리 15일 판정 불가(양쪽 모두 이상/미만)",IF(IF($AC21="",0,N(INDEX(인턴근무계획!$T$3:$T$402,$AC21)))&gt;0,"인턴계획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IF($B21="","",IFERROR(MATCH($B21,기본자료!$B$2:$B$1001,0),IFERROR(MATCH($B21&amp;"",기본자료!$B$2:$B$1001,0),IFERROR(MATCH(VALUE($B21),기본자료!$B$2:$B$1001,0),""))))</f>
        <v/>
      </c>
      <c r="AC21" s="10">
        <f>IF($B21="","",IFERROR(MATCH($B21,인턴근무계획!$D$3:$D$402,0),IFERROR(MATCH($B21&amp;"",인턴근무계획!$D$3:$D$402,0),IFERROR(MATCH(VALUE($B21),인턴근무계획!$D$3:$D$402,0),""))))</f>
        <v/>
      </c>
      <c r="AD21" s="10">
        <f>IF(OR($AC21="",인턴현황!$G$3=""),"",INDEX(인턴근무계획!$M$3:$R$402,$AC21,인턴현황!$G$3)&amp;"")</f>
        <v/>
      </c>
      <c r="AE21" s="10">
        <f>IF($B21="","",IF($M21&lt;&gt;"",$M21,IF($AF21&lt;&gt;"",IF(LEFT(INDEX(파견수련계획!$R$4:$R$803,$AF21),1)&lt;&gt;"⚠",INDEX(파견수련계획!$R$4:$R$803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$803,0),IFERROR(MATCH(TRIM($J21&amp;"")&amp;"|파견예정",파견수련계획!$Y$4:$Y$803,0),IFERROR(MATCH(TRIM($J21&amp;"")&amp;"|파견종료",파견수련계획!$Y$4:$Y$803,0),""))))</f>
        <v/>
      </c>
      <c r="AG21" s="10">
        <f>IF($B21="","",IF(AND(IF(OR($AC21="",인턴현황!$K$2=""),"",INDEX(인턴근무계획!$M$3:$R$402,$AC21,인턴현황!$K$2)&amp;"")&lt;&gt;"",LEFT(IF(OR($AC21="",인턴현황!$K$2=""),"",INDEX(인턴근무계획!$M$3:$R$402,$AC21,인턴현황!$K$2)&amp;""),1)&lt;&gt;"⚠"),LEFT(IF(OR($AC21="",인턴현황!$K$2=""),"",INDEX(인턴근무계획!$M$3:$R$402,$AC21,인턴현황!$K$2)&amp;""),FIND(" ",IF(OR($AC21="",인턴현황!$K$2=""),"",INDEX(인턴근무계획!$M$3:$R$402,$AC21,인턴현황!$K$2)&amp;""))-1),$AE21))</f>
        <v/>
      </c>
      <c r="AH21" s="17">
        <f>IF($B21="","",IF(TRIM($J21&amp;"")="",0,SUMPRODUCT((파견수련계획!$Q$4:$Q$803=TRIM($J21&amp;""))*(파견수련계획!$S$4:$S$803="서울병원")*파견수련계획!$W$4:$W$803))+IF($AG21="서울병원",MAX(0,DAY(EOMONTH(요약!$B$3,0))-N($X21)),0))</f>
        <v/>
      </c>
      <c r="AI21" s="17">
        <f>IF($B21="","",IF(TRIM($J21&amp;"")="",0,SUMPRODUCT((파견수련계획!$Q$4:$Q$803=TRIM($J21&amp;""))*(파견수련계획!$S$4:$S$803="구리병원")*파견수련계획!$W$4:$W$803))+IF($AG21="구리병원",MAX(0,DAY(EOMONTH(요약!$B$3,0))-N($X21)),0))</f>
        <v/>
      </c>
      <c r="AJ21" s="10">
        <f>IF(OR($B21="",TRIM($J21&amp;"")=""),"",IFERROR(MATCH(TRIM($J21&amp;"")&amp;"|월",파견수련계획!$Z$4:$Z$803,0),""))</f>
        <v/>
      </c>
      <c r="AK21" s="10">
        <f>IF(OR($B21="",TRIM($J21&amp;"")=""),"",IFERROR(MATCH(TRIM($J21&amp;"")&amp;"|다기관",파견수련계획!$AE$4:$AE$803,0),""))</f>
        <v/>
      </c>
      <c r="AL21" s="10">
        <f>IF($AK21="","","다기관 "&amp;TEXT(INDEX(파견수련계획!$AB$4:$AB$803,$AK21),"yyyy-mm-dd")&amp;"~"&amp;IF(ISNUMBER(INDEX(파견수련계획!$AC$4:$AC$803,$AK21)),TEXT(INDEX(파견수련계획!$AC$4:$AC$803,$AK21),"yyyy-mm-dd"),""))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IF($AB22="","",IF(INDEX(기본자료!$C$2:$C$1001,$AB22)="","",INDEX(기본자료!$C$2:$C$1001,$AB22)))</f>
        <v/>
      </c>
      <c r="D22" s="10">
        <f>IF($AB22="","",IF(INDEX(기본자료!$J$2:$J$1001,$AB22)="","",INDEX(기본자료!$J$2:$J$1001,$AB22)))</f>
        <v/>
      </c>
      <c r="E22" s="11">
        <f>IF($AB22="","",IF(INDEX(기본자료!$K$2:$K$1001,$AB22)="","",IF(NOT(ISNUMBER(INDEX(기본자료!$K$2:$K$1001,$AB22))),INDEX(기본자료!$K$2:$K$1001,$AB22),IF(INDEX(기본자료!$K$2:$K$1001,$AB22)&lt;1000000,INDEX(기본자료!$K$2:$K$1001,$AB22),IF(AND(INDEX(기본자료!$K$2:$K$1001,$AB22)&gt;=10000101,INT(MOD(INDEX(기본자료!$K$2:$K$1001,$AB22),10000)/100)&gt;=1,INT(MOD(INDEX(기본자료!$K$2:$K$1001,$AB22),10000)/100)&lt;=12,MOD(INDEX(기본자료!$K$2:$K$1001,$AB22),100)&gt;=1,MOD(INDEX(기본자료!$K$2:$K$1001,$AB22),100)&lt;=31),DATE(INT(INDEX(기본자료!$K$2:$K$1001,$AB22)/10000),INT(MOD(INDEX(기본자료!$K$2:$K$1001,$AB22),10000)/100),MOD(INDEX(기본자료!$K$2:$K$1001,$AB22),100)),INDEX(기본자료!$K$2:$K$1001,$AB22)&amp;"")))))</f>
        <v/>
      </c>
      <c r="F22" s="10">
        <f>IF($AB22="","",IF(INDEX(기본자료!$D$2:$D$1001,$AB22)="","",INDEX(기본자료!$D$2:$D$1001,$AB22)))</f>
        <v/>
      </c>
      <c r="G22" s="10">
        <f>IF($AB22="","",IF(INDEX(기본자료!$E$2:$E$1001,$AB22)="","",INDEX(기본자료!$E$2:$E$1001,$AB22)))</f>
        <v/>
      </c>
      <c r="H22" s="10">
        <f>IF($AB22="","",IF(INDEX(기본자료!$F$2:$F$1001,$AB22)="","",INDEX(기본자료!$F$2:$F$1001,$AB22)))</f>
        <v/>
      </c>
      <c r="I22" s="11">
        <f>IF($AB22="","",IF(INDEX(기본자료!$G$2:$G$1001,$AB22)="","",IF(NOT(ISNUMBER(INDEX(기본자료!$G$2:$G$1001,$AB22))),INDEX(기본자료!$G$2:$G$1001,$AB22),IF(INDEX(기본자료!$G$2:$G$1001,$AB22)&lt;1000000,INDEX(기본자료!$G$2:$G$1001,$AB22),IF(AND(INDEX(기본자료!$G$2:$G$1001,$AB22)&gt;=10000101,INT(MOD(INDEX(기본자료!$G$2:$G$1001,$AB22),10000)/100)&gt;=1,INT(MOD(INDEX(기본자료!$G$2:$G$1001,$AB22),10000)/100)&lt;=12,MOD(INDEX(기본자료!$G$2:$G$1001,$AB22),100)&gt;=1,MOD(INDEX(기본자료!$G$2:$G$1001,$AB22),100)&lt;=31),DATE(INT(INDEX(기본자료!$G$2:$G$1001,$AB22)/10000),INT(MOD(INDEX(기본자료!$G$2:$G$1001,$AB22),10000)/100),MOD(INDEX(기본자료!$G$2:$G$1001,$AB22),100)),INDEX(기본자료!$G$2:$G$1001,$AB22)&amp;"")))))</f>
        <v/>
      </c>
      <c r="J22" s="10">
        <f>IF($AB22="","",IF(INDEX(기본자료!$H$2:$H$1001,$AB22)="","",INDEX(기본자료!$H$2:$H$1001,$AB22)))</f>
        <v/>
      </c>
      <c r="K22" s="10">
        <f>IF($AB22="","",IF(INDEX(기본자료!$I$2:$I$1001,$AB22)="","",INDEX(기본자료!$I$2:$I$1001,$AB22)))</f>
        <v/>
      </c>
      <c r="L22" s="10">
        <f>IF($AB22="","",IF(INDEX(기본자료!$A$2:$A$1001,$AB22)="","",INDEX(기본자료!$A$2:$A$1001,$AB22)))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$803,$AK22),OR(NOT(ISNUMBER(INDEX(파견수련계획!$AC$4:$AC$803,$AK22))),TODAY()&lt;=INDEX(파견수련계획!$AC$4:$AC$803,$AK22))),"다기관",IF($AF22="","",INDEX(파견수련계획!$T$4:$T$803,$AF22))),IF($AF22="","",INDEX(파견수련계획!$T$4:$T$803,$AF22))))</f>
        <v/>
      </c>
      <c r="Q22" s="10">
        <f>IF($AF22="","",INDEX(파견수련계획!$S$4:$S$803,$AF22))</f>
        <v/>
      </c>
      <c r="R22" s="10">
        <f>IF($AF22="","",INDEX(파견수련계획!$U$4:$U$803,$AF22))</f>
        <v/>
      </c>
      <c r="S22" s="11">
        <f>IF($AF22="","",IF(INDEX(파견수련계획!$H$4:$H$803,$AF22)="","",INDEX(파견수련계획!$H$4:$H$803,$AF22)))</f>
        <v/>
      </c>
      <c r="T22" s="11">
        <f>IF($AF22="","",IF(INDEX(파견수련계획!$I$4:$I$803,$AF22)="","",INDEX(파견수련계획!$I$4:$I$803,$AF22)))</f>
        <v/>
      </c>
      <c r="U22" s="10">
        <f>IF($AF22="","",INDEX(파견수련계획!$X$4:$X$803,$AF22))</f>
        <v/>
      </c>
      <c r="V22" s="17">
        <f>IF($AF22="","",INDEX(파견수련계획!$V$4:$V$803,$AF22))</f>
        <v/>
      </c>
      <c r="W22" s="17">
        <f>IF(AND($U22="파견중",$T22&lt;&gt;""),$T22-TODAY(),"")</f>
        <v/>
      </c>
      <c r="X22" s="17">
        <f>IF(OR($B22="",TRIM($J22&amp;"")=""),"",SUMPRODUCT((파견수련계획!$Q$4:$Q$803=TRIM($J22&amp;""))*파견수련계획!$W$4:$W$803))</f>
        <v/>
      </c>
      <c r="Y22" s="10">
        <f>IF($B22="","",IF($AG22="","",IF(IF(TRIM($J22&amp;"")="",0,SUMPRODUCT((파견수련계획!$Q$4:$Q$803=TRIM($J22&amp;""))*파견수련계획!$AD$4:$AD$803)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"&amp;$AI22&amp;"일)")),IF($AJ22="",$AE22,IF(INDEX(파견수련계획!$T$4:$T$803,$AJ22)="통합수련",INDEX(파견수련계획!$S$4:$S$803,$AJ22),$AE22)))))))</f>
        <v/>
      </c>
      <c r="Z22" s="19">
        <f>IF($B22="","",IF($AB22="","기본자료에 없는 사번",IF(COUNTIF($B$2:$B$401,$B22)&gt;1,"중복 사번",IF($AE22="","소속(입사장소) 입력",IF(IF(TRIM($J22&amp;"")="",0,SUMPRODUCT((파견수련계획!$Q$4:$Q$803=TRIM($J22&amp;""))*(파견수련계획!$AA$4:$AA$803&lt;&gt;"")))&gt;0,"파견수련계획 입력오류 확인",IF(LEFT($Y22,1)="⚠","서울·구리 15일 판정 불가(양쪽 모두 이상/미만)",IF(IF($AC22="",0,N(INDEX(인턴근무계획!$T$3:$T$402,$AC22)))&gt;0,"인턴계획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IF($B22="","",IFERROR(MATCH($B22,기본자료!$B$2:$B$1001,0),IFERROR(MATCH($B22&amp;"",기본자료!$B$2:$B$1001,0),IFERROR(MATCH(VALUE($B22),기본자료!$B$2:$B$1001,0),""))))</f>
        <v/>
      </c>
      <c r="AC22" s="10">
        <f>IF($B22="","",IFERROR(MATCH($B22,인턴근무계획!$D$3:$D$402,0),IFERROR(MATCH($B22&amp;"",인턴근무계획!$D$3:$D$402,0),IFERROR(MATCH(VALUE($B22),인턴근무계획!$D$3:$D$402,0),""))))</f>
        <v/>
      </c>
      <c r="AD22" s="10">
        <f>IF(OR($AC22="",인턴현황!$G$3=""),"",INDEX(인턴근무계획!$M$3:$R$402,$AC22,인턴현황!$G$3)&amp;"")</f>
        <v/>
      </c>
      <c r="AE22" s="10">
        <f>IF($B22="","",IF($M22&lt;&gt;"",$M22,IF($AF22&lt;&gt;"",IF(LEFT(INDEX(파견수련계획!$R$4:$R$803,$AF22),1)&lt;&gt;"⚠",INDEX(파견수련계획!$R$4:$R$803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$803,0),IFERROR(MATCH(TRIM($J22&amp;"")&amp;"|파견예정",파견수련계획!$Y$4:$Y$803,0),IFERROR(MATCH(TRIM($J22&amp;"")&amp;"|파견종료",파견수련계획!$Y$4:$Y$803,0),""))))</f>
        <v/>
      </c>
      <c r="AG22" s="10">
        <f>IF($B22="","",IF(AND(IF(OR($AC22="",인턴현황!$K$2=""),"",INDEX(인턴근무계획!$M$3:$R$402,$AC22,인턴현황!$K$2)&amp;"")&lt;&gt;"",LEFT(IF(OR($AC22="",인턴현황!$K$2=""),"",INDEX(인턴근무계획!$M$3:$R$402,$AC22,인턴현황!$K$2)&amp;""),1)&lt;&gt;"⚠"),LEFT(IF(OR($AC22="",인턴현황!$K$2=""),"",INDEX(인턴근무계획!$M$3:$R$402,$AC22,인턴현황!$K$2)&amp;""),FIND(" ",IF(OR($AC22="",인턴현황!$K$2=""),"",INDEX(인턴근무계획!$M$3:$R$402,$AC22,인턴현황!$K$2)&amp;""))-1),$AE22))</f>
        <v/>
      </c>
      <c r="AH22" s="17">
        <f>IF($B22="","",IF(TRIM($J22&amp;"")="",0,SUMPRODUCT((파견수련계획!$Q$4:$Q$803=TRIM($J22&amp;""))*(파견수련계획!$S$4:$S$803="서울병원")*파견수련계획!$W$4:$W$803))+IF($AG22="서울병원",MAX(0,DAY(EOMONTH(요약!$B$3,0))-N($X22)),0))</f>
        <v/>
      </c>
      <c r="AI22" s="17">
        <f>IF($B22="","",IF(TRIM($J22&amp;"")="",0,SUMPRODUCT((파견수련계획!$Q$4:$Q$803=TRIM($J22&amp;""))*(파견수련계획!$S$4:$S$803="구리병원")*파견수련계획!$W$4:$W$803))+IF($AG22="구리병원",MAX(0,DAY(EOMONTH(요약!$B$3,0))-N($X22)),0))</f>
        <v/>
      </c>
      <c r="AJ22" s="10">
        <f>IF(OR($B22="",TRIM($J22&amp;"")=""),"",IFERROR(MATCH(TRIM($J22&amp;"")&amp;"|월",파견수련계획!$Z$4:$Z$803,0),""))</f>
        <v/>
      </c>
      <c r="AK22" s="10">
        <f>IF(OR($B22="",TRIM($J22&amp;"")=""),"",IFERROR(MATCH(TRIM($J22&amp;"")&amp;"|다기관",파견수련계획!$AE$4:$AE$803,0),""))</f>
        <v/>
      </c>
      <c r="AL22" s="10">
        <f>IF($AK22="","","다기관 "&amp;TEXT(INDEX(파견수련계획!$AB$4:$AB$803,$AK22),"yyyy-mm-dd")&amp;"~"&amp;IF(ISNUMBER(INDEX(파견수련계획!$AC$4:$AC$803,$AK22)),TEXT(INDEX(파견수련계획!$AC$4:$AC$803,$AK22),"yyyy-mm-dd"),""))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IF($AB23="","",IF(INDEX(기본자료!$C$2:$C$1001,$AB23)="","",INDEX(기본자료!$C$2:$C$1001,$AB23)))</f>
        <v/>
      </c>
      <c r="D23" s="10">
        <f>IF($AB23="","",IF(INDEX(기본자료!$J$2:$J$1001,$AB23)="","",INDEX(기본자료!$J$2:$J$1001,$AB23)))</f>
        <v/>
      </c>
      <c r="E23" s="11">
        <f>IF($AB23="","",IF(INDEX(기본자료!$K$2:$K$1001,$AB23)="","",IF(NOT(ISNUMBER(INDEX(기본자료!$K$2:$K$1001,$AB23))),INDEX(기본자료!$K$2:$K$1001,$AB23),IF(INDEX(기본자료!$K$2:$K$1001,$AB23)&lt;1000000,INDEX(기본자료!$K$2:$K$1001,$AB23),IF(AND(INDEX(기본자료!$K$2:$K$1001,$AB23)&gt;=10000101,INT(MOD(INDEX(기본자료!$K$2:$K$1001,$AB23),10000)/100)&gt;=1,INT(MOD(INDEX(기본자료!$K$2:$K$1001,$AB23),10000)/100)&lt;=12,MOD(INDEX(기본자료!$K$2:$K$1001,$AB23),100)&gt;=1,MOD(INDEX(기본자료!$K$2:$K$1001,$AB23),100)&lt;=31),DATE(INT(INDEX(기본자료!$K$2:$K$1001,$AB23)/10000),INT(MOD(INDEX(기본자료!$K$2:$K$1001,$AB23),10000)/100),MOD(INDEX(기본자료!$K$2:$K$1001,$AB23),100)),INDEX(기본자료!$K$2:$K$1001,$AB23)&amp;"")))))</f>
        <v/>
      </c>
      <c r="F23" s="10">
        <f>IF($AB23="","",IF(INDEX(기본자료!$D$2:$D$1001,$AB23)="","",INDEX(기본자료!$D$2:$D$1001,$AB23)))</f>
        <v/>
      </c>
      <c r="G23" s="10">
        <f>IF($AB23="","",IF(INDEX(기본자료!$E$2:$E$1001,$AB23)="","",INDEX(기본자료!$E$2:$E$1001,$AB23)))</f>
        <v/>
      </c>
      <c r="H23" s="10">
        <f>IF($AB23="","",IF(INDEX(기본자료!$F$2:$F$1001,$AB23)="","",INDEX(기본자료!$F$2:$F$1001,$AB23)))</f>
        <v/>
      </c>
      <c r="I23" s="11">
        <f>IF($AB23="","",IF(INDEX(기본자료!$G$2:$G$1001,$AB23)="","",IF(NOT(ISNUMBER(INDEX(기본자료!$G$2:$G$1001,$AB23))),INDEX(기본자료!$G$2:$G$1001,$AB23),IF(INDEX(기본자료!$G$2:$G$1001,$AB23)&lt;1000000,INDEX(기본자료!$G$2:$G$1001,$AB23),IF(AND(INDEX(기본자료!$G$2:$G$1001,$AB23)&gt;=10000101,INT(MOD(INDEX(기본자료!$G$2:$G$1001,$AB23),10000)/100)&gt;=1,INT(MOD(INDEX(기본자료!$G$2:$G$1001,$AB23),10000)/100)&lt;=12,MOD(INDEX(기본자료!$G$2:$G$1001,$AB23),100)&gt;=1,MOD(INDEX(기본자료!$G$2:$G$1001,$AB23),100)&lt;=31),DATE(INT(INDEX(기본자료!$G$2:$G$1001,$AB23)/10000),INT(MOD(INDEX(기본자료!$G$2:$G$1001,$AB23),10000)/100),MOD(INDEX(기본자료!$G$2:$G$1001,$AB23),100)),INDEX(기본자료!$G$2:$G$1001,$AB23)&amp;"")))))</f>
        <v/>
      </c>
      <c r="J23" s="10">
        <f>IF($AB23="","",IF(INDEX(기본자료!$H$2:$H$1001,$AB23)="","",INDEX(기본자료!$H$2:$H$1001,$AB23)))</f>
        <v/>
      </c>
      <c r="K23" s="10">
        <f>IF($AB23="","",IF(INDEX(기본자료!$I$2:$I$1001,$AB23)="","",INDEX(기본자료!$I$2:$I$1001,$AB23)))</f>
        <v/>
      </c>
      <c r="L23" s="10">
        <f>IF($AB23="","",IF(INDEX(기본자료!$A$2:$A$1001,$AB23)="","",INDEX(기본자료!$A$2:$A$1001,$AB23)))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$803,$AK23),OR(NOT(ISNUMBER(INDEX(파견수련계획!$AC$4:$AC$803,$AK23))),TODAY()&lt;=INDEX(파견수련계획!$AC$4:$AC$803,$AK23))),"다기관",IF($AF23="","",INDEX(파견수련계획!$T$4:$T$803,$AF23))),IF($AF23="","",INDEX(파견수련계획!$T$4:$T$803,$AF23))))</f>
        <v/>
      </c>
      <c r="Q23" s="10">
        <f>IF($AF23="","",INDEX(파견수련계획!$S$4:$S$803,$AF23))</f>
        <v/>
      </c>
      <c r="R23" s="10">
        <f>IF($AF23="","",INDEX(파견수련계획!$U$4:$U$803,$AF23))</f>
        <v/>
      </c>
      <c r="S23" s="11">
        <f>IF($AF23="","",IF(INDEX(파견수련계획!$H$4:$H$803,$AF23)="","",INDEX(파견수련계획!$H$4:$H$803,$AF23)))</f>
        <v/>
      </c>
      <c r="T23" s="11">
        <f>IF($AF23="","",IF(INDEX(파견수련계획!$I$4:$I$803,$AF23)="","",INDEX(파견수련계획!$I$4:$I$803,$AF23)))</f>
        <v/>
      </c>
      <c r="U23" s="10">
        <f>IF($AF23="","",INDEX(파견수련계획!$X$4:$X$803,$AF23))</f>
        <v/>
      </c>
      <c r="V23" s="17">
        <f>IF($AF23="","",INDEX(파견수련계획!$V$4:$V$803,$AF23))</f>
        <v/>
      </c>
      <c r="W23" s="17">
        <f>IF(AND($U23="파견중",$T23&lt;&gt;""),$T23-TODAY(),"")</f>
        <v/>
      </c>
      <c r="X23" s="17">
        <f>IF(OR($B23="",TRIM($J23&amp;"")=""),"",SUMPRODUCT((파견수련계획!$Q$4:$Q$803=TRIM($J23&amp;""))*파견수련계획!$W$4:$W$803))</f>
        <v/>
      </c>
      <c r="Y23" s="10">
        <f>IF($B23="","",IF($AG23="","",IF(IF(TRIM($J23&amp;"")="",0,SUMPRODUCT((파견수련계획!$Q$4:$Q$803=TRIM($J23&amp;""))*파견수련계획!$AD$4:$AD$803)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"&amp;$AI23&amp;"일)")),IF($AJ23="",$AE23,IF(INDEX(파견수련계획!$T$4:$T$803,$AJ23)="통합수련",INDEX(파견수련계획!$S$4:$S$803,$AJ23),$AE23)))))))</f>
        <v/>
      </c>
      <c r="Z23" s="19">
        <f>IF($B23="","",IF($AB23="","기본자료에 없는 사번",IF(COUNTIF($B$2:$B$401,$B23)&gt;1,"중복 사번",IF($AE23="","소속(입사장소) 입력",IF(IF(TRIM($J23&amp;"")="",0,SUMPRODUCT((파견수련계획!$Q$4:$Q$803=TRIM($J23&amp;""))*(파견수련계획!$AA$4:$AA$803&lt;&gt;"")))&gt;0,"파견수련계획 입력오류 확인",IF(LEFT($Y23,1)="⚠","서울·구리 15일 판정 불가(양쪽 모두 이상/미만)",IF(IF($AC23="",0,N(INDEX(인턴근무계획!$T$3:$T$402,$AC23)))&gt;0,"인턴계획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IF($B23="","",IFERROR(MATCH($B23,기본자료!$B$2:$B$1001,0),IFERROR(MATCH($B23&amp;"",기본자료!$B$2:$B$1001,0),IFERROR(MATCH(VALUE($B23),기본자료!$B$2:$B$1001,0),""))))</f>
        <v/>
      </c>
      <c r="AC23" s="10">
        <f>IF($B23="","",IFERROR(MATCH($B23,인턴근무계획!$D$3:$D$402,0),IFERROR(MATCH($B23&amp;"",인턴근무계획!$D$3:$D$402,0),IFERROR(MATCH(VALUE($B23),인턴근무계획!$D$3:$D$402,0),""))))</f>
        <v/>
      </c>
      <c r="AD23" s="10">
        <f>IF(OR($AC23="",인턴현황!$G$3=""),"",INDEX(인턴근무계획!$M$3:$R$402,$AC23,인턴현황!$G$3)&amp;"")</f>
        <v/>
      </c>
      <c r="AE23" s="10">
        <f>IF($B23="","",IF($M23&lt;&gt;"",$M23,IF($AF23&lt;&gt;"",IF(LEFT(INDEX(파견수련계획!$R$4:$R$803,$AF23),1)&lt;&gt;"⚠",INDEX(파견수련계획!$R$4:$R$803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$803,0),IFERROR(MATCH(TRIM($J23&amp;"")&amp;"|파견예정",파견수련계획!$Y$4:$Y$803,0),IFERROR(MATCH(TRIM($J23&amp;"")&amp;"|파견종료",파견수련계획!$Y$4:$Y$803,0),""))))</f>
        <v/>
      </c>
      <c r="AG23" s="10">
        <f>IF($B23="","",IF(AND(IF(OR($AC23="",인턴현황!$K$2=""),"",INDEX(인턴근무계획!$M$3:$R$402,$AC23,인턴현황!$K$2)&amp;"")&lt;&gt;"",LEFT(IF(OR($AC23="",인턴현황!$K$2=""),"",INDEX(인턴근무계획!$M$3:$R$402,$AC23,인턴현황!$K$2)&amp;""),1)&lt;&gt;"⚠"),LEFT(IF(OR($AC23="",인턴현황!$K$2=""),"",INDEX(인턴근무계획!$M$3:$R$402,$AC23,인턴현황!$K$2)&amp;""),FIND(" ",IF(OR($AC23="",인턴현황!$K$2=""),"",INDEX(인턴근무계획!$M$3:$R$402,$AC23,인턴현황!$K$2)&amp;""))-1),$AE23))</f>
        <v/>
      </c>
      <c r="AH23" s="17">
        <f>IF($B23="","",IF(TRIM($J23&amp;"")="",0,SUMPRODUCT((파견수련계획!$Q$4:$Q$803=TRIM($J23&amp;""))*(파견수련계획!$S$4:$S$803="서울병원")*파견수련계획!$W$4:$W$803))+IF($AG23="서울병원",MAX(0,DAY(EOMONTH(요약!$B$3,0))-N($X23)),0))</f>
        <v/>
      </c>
      <c r="AI23" s="17">
        <f>IF($B23="","",IF(TRIM($J23&amp;"")="",0,SUMPRODUCT((파견수련계획!$Q$4:$Q$803=TRIM($J23&amp;""))*(파견수련계획!$S$4:$S$803="구리병원")*파견수련계획!$W$4:$W$803))+IF($AG23="구리병원",MAX(0,DAY(EOMONTH(요약!$B$3,0))-N($X23)),0))</f>
        <v/>
      </c>
      <c r="AJ23" s="10">
        <f>IF(OR($B23="",TRIM($J23&amp;"")=""),"",IFERROR(MATCH(TRIM($J23&amp;"")&amp;"|월",파견수련계획!$Z$4:$Z$803,0),""))</f>
        <v/>
      </c>
      <c r="AK23" s="10">
        <f>IF(OR($B23="",TRIM($J23&amp;"")=""),"",IFERROR(MATCH(TRIM($J23&amp;"")&amp;"|다기관",파견수련계획!$AE$4:$AE$803,0),""))</f>
        <v/>
      </c>
      <c r="AL23" s="10">
        <f>IF($AK23="","","다기관 "&amp;TEXT(INDEX(파견수련계획!$AB$4:$AB$803,$AK23),"yyyy-mm-dd")&amp;"~"&amp;IF(ISNUMBER(INDEX(파견수련계획!$AC$4:$AC$803,$AK23)),TEXT(INDEX(파견수련계획!$AC$4:$AC$803,$AK23),"yyyy-mm-dd"),""))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IF($AB24="","",IF(INDEX(기본자료!$C$2:$C$1001,$AB24)="","",INDEX(기본자료!$C$2:$C$1001,$AB24)))</f>
        <v/>
      </c>
      <c r="D24" s="10">
        <f>IF($AB24="","",IF(INDEX(기본자료!$J$2:$J$1001,$AB24)="","",INDEX(기본자료!$J$2:$J$1001,$AB24)))</f>
        <v/>
      </c>
      <c r="E24" s="11">
        <f>IF($AB24="","",IF(INDEX(기본자료!$K$2:$K$1001,$AB24)="","",IF(NOT(ISNUMBER(INDEX(기본자료!$K$2:$K$1001,$AB24))),INDEX(기본자료!$K$2:$K$1001,$AB24),IF(INDEX(기본자료!$K$2:$K$1001,$AB24)&lt;1000000,INDEX(기본자료!$K$2:$K$1001,$AB24),IF(AND(INDEX(기본자료!$K$2:$K$1001,$AB24)&gt;=10000101,INT(MOD(INDEX(기본자료!$K$2:$K$1001,$AB24),10000)/100)&gt;=1,INT(MOD(INDEX(기본자료!$K$2:$K$1001,$AB24),10000)/100)&lt;=12,MOD(INDEX(기본자료!$K$2:$K$1001,$AB24),100)&gt;=1,MOD(INDEX(기본자료!$K$2:$K$1001,$AB24),100)&lt;=31),DATE(INT(INDEX(기본자료!$K$2:$K$1001,$AB24)/10000),INT(MOD(INDEX(기본자료!$K$2:$K$1001,$AB24),10000)/100),MOD(INDEX(기본자료!$K$2:$K$1001,$AB24),100)),INDEX(기본자료!$K$2:$K$1001,$AB24)&amp;"")))))</f>
        <v/>
      </c>
      <c r="F24" s="10">
        <f>IF($AB24="","",IF(INDEX(기본자료!$D$2:$D$1001,$AB24)="","",INDEX(기본자료!$D$2:$D$1001,$AB24)))</f>
        <v/>
      </c>
      <c r="G24" s="10">
        <f>IF($AB24="","",IF(INDEX(기본자료!$E$2:$E$1001,$AB24)="","",INDEX(기본자료!$E$2:$E$1001,$AB24)))</f>
        <v/>
      </c>
      <c r="H24" s="10">
        <f>IF($AB24="","",IF(INDEX(기본자료!$F$2:$F$1001,$AB24)="","",INDEX(기본자료!$F$2:$F$1001,$AB24)))</f>
        <v/>
      </c>
      <c r="I24" s="11">
        <f>IF($AB24="","",IF(INDEX(기본자료!$G$2:$G$1001,$AB24)="","",IF(NOT(ISNUMBER(INDEX(기본자료!$G$2:$G$1001,$AB24))),INDEX(기본자료!$G$2:$G$1001,$AB24),IF(INDEX(기본자료!$G$2:$G$1001,$AB24)&lt;1000000,INDEX(기본자료!$G$2:$G$1001,$AB24),IF(AND(INDEX(기본자료!$G$2:$G$1001,$AB24)&gt;=10000101,INT(MOD(INDEX(기본자료!$G$2:$G$1001,$AB24),10000)/100)&gt;=1,INT(MOD(INDEX(기본자료!$G$2:$G$1001,$AB24),10000)/100)&lt;=12,MOD(INDEX(기본자료!$G$2:$G$1001,$AB24),100)&gt;=1,MOD(INDEX(기본자료!$G$2:$G$1001,$AB24),100)&lt;=31),DATE(INT(INDEX(기본자료!$G$2:$G$1001,$AB24)/10000),INT(MOD(INDEX(기본자료!$G$2:$G$1001,$AB24),10000)/100),MOD(INDEX(기본자료!$G$2:$G$1001,$AB24),100)),INDEX(기본자료!$G$2:$G$1001,$AB24)&amp;"")))))</f>
        <v/>
      </c>
      <c r="J24" s="10">
        <f>IF($AB24="","",IF(INDEX(기본자료!$H$2:$H$1001,$AB24)="","",INDEX(기본자료!$H$2:$H$1001,$AB24)))</f>
        <v/>
      </c>
      <c r="K24" s="10">
        <f>IF($AB24="","",IF(INDEX(기본자료!$I$2:$I$1001,$AB24)="","",INDEX(기본자료!$I$2:$I$1001,$AB24)))</f>
        <v/>
      </c>
      <c r="L24" s="10">
        <f>IF($AB24="","",IF(INDEX(기본자료!$A$2:$A$1001,$AB24)="","",INDEX(기본자료!$A$2:$A$1001,$AB24)))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$803,$AK24),OR(NOT(ISNUMBER(INDEX(파견수련계획!$AC$4:$AC$803,$AK24))),TODAY()&lt;=INDEX(파견수련계획!$AC$4:$AC$803,$AK24))),"다기관",IF($AF24="","",INDEX(파견수련계획!$T$4:$T$803,$AF24))),IF($AF24="","",INDEX(파견수련계획!$T$4:$T$803,$AF24))))</f>
        <v/>
      </c>
      <c r="Q24" s="10">
        <f>IF($AF24="","",INDEX(파견수련계획!$S$4:$S$803,$AF24))</f>
        <v/>
      </c>
      <c r="R24" s="10">
        <f>IF($AF24="","",INDEX(파견수련계획!$U$4:$U$803,$AF24))</f>
        <v/>
      </c>
      <c r="S24" s="11">
        <f>IF($AF24="","",IF(INDEX(파견수련계획!$H$4:$H$803,$AF24)="","",INDEX(파견수련계획!$H$4:$H$803,$AF24)))</f>
        <v/>
      </c>
      <c r="T24" s="11">
        <f>IF($AF24="","",IF(INDEX(파견수련계획!$I$4:$I$803,$AF24)="","",INDEX(파견수련계획!$I$4:$I$803,$AF24)))</f>
        <v/>
      </c>
      <c r="U24" s="10">
        <f>IF($AF24="","",INDEX(파견수련계획!$X$4:$X$803,$AF24))</f>
        <v/>
      </c>
      <c r="V24" s="17">
        <f>IF($AF24="","",INDEX(파견수련계획!$V$4:$V$803,$AF24))</f>
        <v/>
      </c>
      <c r="W24" s="17">
        <f>IF(AND($U24="파견중",$T24&lt;&gt;""),$T24-TODAY(),"")</f>
        <v/>
      </c>
      <c r="X24" s="17">
        <f>IF(OR($B24="",TRIM($J24&amp;"")=""),"",SUMPRODUCT((파견수련계획!$Q$4:$Q$803=TRIM($J24&amp;""))*파견수련계획!$W$4:$W$803))</f>
        <v/>
      </c>
      <c r="Y24" s="10">
        <f>IF($B24="","",IF($AG24="","",IF(IF(TRIM($J24&amp;"")="",0,SUMPRODUCT((파견수련계획!$Q$4:$Q$803=TRIM($J24&amp;""))*파견수련계획!$AD$4:$AD$803)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"&amp;$AI24&amp;"일)")),IF($AJ24="",$AE24,IF(INDEX(파견수련계획!$T$4:$T$803,$AJ24)="통합수련",INDEX(파견수련계획!$S$4:$S$803,$AJ24),$AE24)))))))</f>
        <v/>
      </c>
      <c r="Z24" s="19">
        <f>IF($B24="","",IF($AB24="","기본자료에 없는 사번",IF(COUNTIF($B$2:$B$401,$B24)&gt;1,"중복 사번",IF($AE24="","소속(입사장소) 입력",IF(IF(TRIM($J24&amp;"")="",0,SUMPRODUCT((파견수련계획!$Q$4:$Q$803=TRIM($J24&amp;""))*(파견수련계획!$AA$4:$AA$803&lt;&gt;"")))&gt;0,"파견수련계획 입력오류 확인",IF(LEFT($Y24,1)="⚠","서울·구리 15일 판정 불가(양쪽 모두 이상/미만)",IF(IF($AC24="",0,N(INDEX(인턴근무계획!$T$3:$T$402,$AC24)))&gt;0,"인턴계획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IF($B24="","",IFERROR(MATCH($B24,기본자료!$B$2:$B$1001,0),IFERROR(MATCH($B24&amp;"",기본자료!$B$2:$B$1001,0),IFERROR(MATCH(VALUE($B24),기본자료!$B$2:$B$1001,0),""))))</f>
        <v/>
      </c>
      <c r="AC24" s="10">
        <f>IF($B24="","",IFERROR(MATCH($B24,인턴근무계획!$D$3:$D$402,0),IFERROR(MATCH($B24&amp;"",인턴근무계획!$D$3:$D$402,0),IFERROR(MATCH(VALUE($B24),인턴근무계획!$D$3:$D$402,0),""))))</f>
        <v/>
      </c>
      <c r="AD24" s="10">
        <f>IF(OR($AC24="",인턴현황!$G$3=""),"",INDEX(인턴근무계획!$M$3:$R$402,$AC24,인턴현황!$G$3)&amp;"")</f>
        <v/>
      </c>
      <c r="AE24" s="10">
        <f>IF($B24="","",IF($M24&lt;&gt;"",$M24,IF($AF24&lt;&gt;"",IF(LEFT(INDEX(파견수련계획!$R$4:$R$803,$AF24),1)&lt;&gt;"⚠",INDEX(파견수련계획!$R$4:$R$803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$803,0),IFERROR(MATCH(TRIM($J24&amp;"")&amp;"|파견예정",파견수련계획!$Y$4:$Y$803,0),IFERROR(MATCH(TRIM($J24&amp;"")&amp;"|파견종료",파견수련계획!$Y$4:$Y$803,0),""))))</f>
        <v/>
      </c>
      <c r="AG24" s="10">
        <f>IF($B24="","",IF(AND(IF(OR($AC24="",인턴현황!$K$2=""),"",INDEX(인턴근무계획!$M$3:$R$402,$AC24,인턴현황!$K$2)&amp;"")&lt;&gt;"",LEFT(IF(OR($AC24="",인턴현황!$K$2=""),"",INDEX(인턴근무계획!$M$3:$R$402,$AC24,인턴현황!$K$2)&amp;""),1)&lt;&gt;"⚠"),LEFT(IF(OR($AC24="",인턴현황!$K$2=""),"",INDEX(인턴근무계획!$M$3:$R$402,$AC24,인턴현황!$K$2)&amp;""),FIND(" ",IF(OR($AC24="",인턴현황!$K$2=""),"",INDEX(인턴근무계획!$M$3:$R$402,$AC24,인턴현황!$K$2)&amp;""))-1),$AE24))</f>
        <v/>
      </c>
      <c r="AH24" s="17">
        <f>IF($B24="","",IF(TRIM($J24&amp;"")="",0,SUMPRODUCT((파견수련계획!$Q$4:$Q$803=TRIM($J24&amp;""))*(파견수련계획!$S$4:$S$803="서울병원")*파견수련계획!$W$4:$W$803))+IF($AG24="서울병원",MAX(0,DAY(EOMONTH(요약!$B$3,0))-N($X24)),0))</f>
        <v/>
      </c>
      <c r="AI24" s="17">
        <f>IF($B24="","",IF(TRIM($J24&amp;"")="",0,SUMPRODUCT((파견수련계획!$Q$4:$Q$803=TRIM($J24&amp;""))*(파견수련계획!$S$4:$S$803="구리병원")*파견수련계획!$W$4:$W$803))+IF($AG24="구리병원",MAX(0,DAY(EOMONTH(요약!$B$3,0))-N($X24)),0))</f>
        <v/>
      </c>
      <c r="AJ24" s="10">
        <f>IF(OR($B24="",TRIM($J24&amp;"")=""),"",IFERROR(MATCH(TRIM($J24&amp;"")&amp;"|월",파견수련계획!$Z$4:$Z$803,0),""))</f>
        <v/>
      </c>
      <c r="AK24" s="10">
        <f>IF(OR($B24="",TRIM($J24&amp;"")=""),"",IFERROR(MATCH(TRIM($J24&amp;"")&amp;"|다기관",파견수련계획!$AE$4:$AE$803,0),""))</f>
        <v/>
      </c>
      <c r="AL24" s="10">
        <f>IF($AK24="","","다기관 "&amp;TEXT(INDEX(파견수련계획!$AB$4:$AB$803,$AK24),"yyyy-mm-dd")&amp;"~"&amp;IF(ISNUMBER(INDEX(파견수련계획!$AC$4:$AC$803,$AK24)),TEXT(INDEX(파견수련계획!$AC$4:$AC$803,$AK24),"yyyy-mm-dd"),""))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IF($AB25="","",IF(INDEX(기본자료!$C$2:$C$1001,$AB25)="","",INDEX(기본자료!$C$2:$C$1001,$AB25)))</f>
        <v/>
      </c>
      <c r="D25" s="10">
        <f>IF($AB25="","",IF(INDEX(기본자료!$J$2:$J$1001,$AB25)="","",INDEX(기본자료!$J$2:$J$1001,$AB25)))</f>
        <v/>
      </c>
      <c r="E25" s="11">
        <f>IF($AB25="","",IF(INDEX(기본자료!$K$2:$K$1001,$AB25)="","",IF(NOT(ISNUMBER(INDEX(기본자료!$K$2:$K$1001,$AB25))),INDEX(기본자료!$K$2:$K$1001,$AB25),IF(INDEX(기본자료!$K$2:$K$1001,$AB25)&lt;1000000,INDEX(기본자료!$K$2:$K$1001,$AB25),IF(AND(INDEX(기본자료!$K$2:$K$1001,$AB25)&gt;=10000101,INT(MOD(INDEX(기본자료!$K$2:$K$1001,$AB25),10000)/100)&gt;=1,INT(MOD(INDEX(기본자료!$K$2:$K$1001,$AB25),10000)/100)&lt;=12,MOD(INDEX(기본자료!$K$2:$K$1001,$AB25),100)&gt;=1,MOD(INDEX(기본자료!$K$2:$K$1001,$AB25),100)&lt;=31),DATE(INT(INDEX(기본자료!$K$2:$K$1001,$AB25)/10000),INT(MOD(INDEX(기본자료!$K$2:$K$1001,$AB25),10000)/100),MOD(INDEX(기본자료!$K$2:$K$1001,$AB25),100)),INDEX(기본자료!$K$2:$K$1001,$AB25)&amp;"")))))</f>
        <v/>
      </c>
      <c r="F25" s="10">
        <f>IF($AB25="","",IF(INDEX(기본자료!$D$2:$D$1001,$AB25)="","",INDEX(기본자료!$D$2:$D$1001,$AB25)))</f>
        <v/>
      </c>
      <c r="G25" s="10">
        <f>IF($AB25="","",IF(INDEX(기본자료!$E$2:$E$1001,$AB25)="","",INDEX(기본자료!$E$2:$E$1001,$AB25)))</f>
        <v/>
      </c>
      <c r="H25" s="10">
        <f>IF($AB25="","",IF(INDEX(기본자료!$F$2:$F$1001,$AB25)="","",INDEX(기본자료!$F$2:$F$1001,$AB25)))</f>
        <v/>
      </c>
      <c r="I25" s="11">
        <f>IF($AB25="","",IF(INDEX(기본자료!$G$2:$G$1001,$AB25)="","",IF(NOT(ISNUMBER(INDEX(기본자료!$G$2:$G$1001,$AB25))),INDEX(기본자료!$G$2:$G$1001,$AB25),IF(INDEX(기본자료!$G$2:$G$1001,$AB25)&lt;1000000,INDEX(기본자료!$G$2:$G$1001,$AB25),IF(AND(INDEX(기본자료!$G$2:$G$1001,$AB25)&gt;=10000101,INT(MOD(INDEX(기본자료!$G$2:$G$1001,$AB25),10000)/100)&gt;=1,INT(MOD(INDEX(기본자료!$G$2:$G$1001,$AB25),10000)/100)&lt;=12,MOD(INDEX(기본자료!$G$2:$G$1001,$AB25),100)&gt;=1,MOD(INDEX(기본자료!$G$2:$G$1001,$AB25),100)&lt;=31),DATE(INT(INDEX(기본자료!$G$2:$G$1001,$AB25)/10000),INT(MOD(INDEX(기본자료!$G$2:$G$1001,$AB25),10000)/100),MOD(INDEX(기본자료!$G$2:$G$1001,$AB25),100)),INDEX(기본자료!$G$2:$G$1001,$AB25)&amp;"")))))</f>
        <v/>
      </c>
      <c r="J25" s="10">
        <f>IF($AB25="","",IF(INDEX(기본자료!$H$2:$H$1001,$AB25)="","",INDEX(기본자료!$H$2:$H$1001,$AB25)))</f>
        <v/>
      </c>
      <c r="K25" s="10">
        <f>IF($AB25="","",IF(INDEX(기본자료!$I$2:$I$1001,$AB25)="","",INDEX(기본자료!$I$2:$I$1001,$AB25)))</f>
        <v/>
      </c>
      <c r="L25" s="10">
        <f>IF($AB25="","",IF(INDEX(기본자료!$A$2:$A$1001,$AB25)="","",INDEX(기본자료!$A$2:$A$1001,$AB25)))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$803,$AK25),OR(NOT(ISNUMBER(INDEX(파견수련계획!$AC$4:$AC$803,$AK25))),TODAY()&lt;=INDEX(파견수련계획!$AC$4:$AC$803,$AK25))),"다기관",IF($AF25="","",INDEX(파견수련계획!$T$4:$T$803,$AF25))),IF($AF25="","",INDEX(파견수련계획!$T$4:$T$803,$AF25))))</f>
        <v/>
      </c>
      <c r="Q25" s="10">
        <f>IF($AF25="","",INDEX(파견수련계획!$S$4:$S$803,$AF25))</f>
        <v/>
      </c>
      <c r="R25" s="10">
        <f>IF($AF25="","",INDEX(파견수련계획!$U$4:$U$803,$AF25))</f>
        <v/>
      </c>
      <c r="S25" s="11">
        <f>IF($AF25="","",IF(INDEX(파견수련계획!$H$4:$H$803,$AF25)="","",INDEX(파견수련계획!$H$4:$H$803,$AF25)))</f>
        <v/>
      </c>
      <c r="T25" s="11">
        <f>IF($AF25="","",IF(INDEX(파견수련계획!$I$4:$I$803,$AF25)="","",INDEX(파견수련계획!$I$4:$I$803,$AF25)))</f>
        <v/>
      </c>
      <c r="U25" s="10">
        <f>IF($AF25="","",INDEX(파견수련계획!$X$4:$X$803,$AF25))</f>
        <v/>
      </c>
      <c r="V25" s="17">
        <f>IF($AF25="","",INDEX(파견수련계획!$V$4:$V$803,$AF25))</f>
        <v/>
      </c>
      <c r="W25" s="17">
        <f>IF(AND($U25="파견중",$T25&lt;&gt;""),$T25-TODAY(),"")</f>
        <v/>
      </c>
      <c r="X25" s="17">
        <f>IF(OR($B25="",TRIM($J25&amp;"")=""),"",SUMPRODUCT((파견수련계획!$Q$4:$Q$803=TRIM($J25&amp;""))*파견수련계획!$W$4:$W$803))</f>
        <v/>
      </c>
      <c r="Y25" s="10">
        <f>IF($B25="","",IF($AG25="","",IF(IF(TRIM($J25&amp;"")="",0,SUMPRODUCT((파견수련계획!$Q$4:$Q$803=TRIM($J25&amp;""))*파견수련계획!$AD$4:$AD$803)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"&amp;$AI25&amp;"일)")),IF($AJ25="",$AE25,IF(INDEX(파견수련계획!$T$4:$T$803,$AJ25)="통합수련",INDEX(파견수련계획!$S$4:$S$803,$AJ25),$AE25)))))))</f>
        <v/>
      </c>
      <c r="Z25" s="19">
        <f>IF($B25="","",IF($AB25="","기본자료에 없는 사번",IF(COUNTIF($B$2:$B$401,$B25)&gt;1,"중복 사번",IF($AE25="","소속(입사장소) 입력",IF(IF(TRIM($J25&amp;"")="",0,SUMPRODUCT((파견수련계획!$Q$4:$Q$803=TRIM($J25&amp;""))*(파견수련계획!$AA$4:$AA$803&lt;&gt;"")))&gt;0,"파견수련계획 입력오류 확인",IF(LEFT($Y25,1)="⚠","서울·구리 15일 판정 불가(양쪽 모두 이상/미만)",IF(IF($AC25="",0,N(INDEX(인턴근무계획!$T$3:$T$402,$AC25)))&gt;0,"인턴계획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IF($B25="","",IFERROR(MATCH($B25,기본자료!$B$2:$B$1001,0),IFERROR(MATCH($B25&amp;"",기본자료!$B$2:$B$1001,0),IFERROR(MATCH(VALUE($B25),기본자료!$B$2:$B$1001,0),""))))</f>
        <v/>
      </c>
      <c r="AC25" s="10">
        <f>IF($B25="","",IFERROR(MATCH($B25,인턴근무계획!$D$3:$D$402,0),IFERROR(MATCH($B25&amp;"",인턴근무계획!$D$3:$D$402,0),IFERROR(MATCH(VALUE($B25),인턴근무계획!$D$3:$D$402,0),""))))</f>
        <v/>
      </c>
      <c r="AD25" s="10">
        <f>IF(OR($AC25="",인턴현황!$G$3=""),"",INDEX(인턴근무계획!$M$3:$R$402,$AC25,인턴현황!$G$3)&amp;"")</f>
        <v/>
      </c>
      <c r="AE25" s="10">
        <f>IF($B25="","",IF($M25&lt;&gt;"",$M25,IF($AF25&lt;&gt;"",IF(LEFT(INDEX(파견수련계획!$R$4:$R$803,$AF25),1)&lt;&gt;"⚠",INDEX(파견수련계획!$R$4:$R$803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$803,0),IFERROR(MATCH(TRIM($J25&amp;"")&amp;"|파견예정",파견수련계획!$Y$4:$Y$803,0),IFERROR(MATCH(TRIM($J25&amp;"")&amp;"|파견종료",파견수련계획!$Y$4:$Y$803,0),""))))</f>
        <v/>
      </c>
      <c r="AG25" s="10">
        <f>IF($B25="","",IF(AND(IF(OR($AC25="",인턴현황!$K$2=""),"",INDEX(인턴근무계획!$M$3:$R$402,$AC25,인턴현황!$K$2)&amp;"")&lt;&gt;"",LEFT(IF(OR($AC25="",인턴현황!$K$2=""),"",INDEX(인턴근무계획!$M$3:$R$402,$AC25,인턴현황!$K$2)&amp;""),1)&lt;&gt;"⚠"),LEFT(IF(OR($AC25="",인턴현황!$K$2=""),"",INDEX(인턴근무계획!$M$3:$R$402,$AC25,인턴현황!$K$2)&amp;""),FIND(" ",IF(OR($AC25="",인턴현황!$K$2=""),"",INDEX(인턴근무계획!$M$3:$R$402,$AC25,인턴현황!$K$2)&amp;""))-1),$AE25))</f>
        <v/>
      </c>
      <c r="AH25" s="17">
        <f>IF($B25="","",IF(TRIM($J25&amp;"")="",0,SUMPRODUCT((파견수련계획!$Q$4:$Q$803=TRIM($J25&amp;""))*(파견수련계획!$S$4:$S$803="서울병원")*파견수련계획!$W$4:$W$803))+IF($AG25="서울병원",MAX(0,DAY(EOMONTH(요약!$B$3,0))-N($X25)),0))</f>
        <v/>
      </c>
      <c r="AI25" s="17">
        <f>IF($B25="","",IF(TRIM($J25&amp;"")="",0,SUMPRODUCT((파견수련계획!$Q$4:$Q$803=TRIM($J25&amp;""))*(파견수련계획!$S$4:$S$803="구리병원")*파견수련계획!$W$4:$W$803))+IF($AG25="구리병원",MAX(0,DAY(EOMONTH(요약!$B$3,0))-N($X25)),0))</f>
        <v/>
      </c>
      <c r="AJ25" s="10">
        <f>IF(OR($B25="",TRIM($J25&amp;"")=""),"",IFERROR(MATCH(TRIM($J25&amp;"")&amp;"|월",파견수련계획!$Z$4:$Z$803,0),""))</f>
        <v/>
      </c>
      <c r="AK25" s="10">
        <f>IF(OR($B25="",TRIM($J25&amp;"")=""),"",IFERROR(MATCH(TRIM($J25&amp;"")&amp;"|다기관",파견수련계획!$AE$4:$AE$803,0),""))</f>
        <v/>
      </c>
      <c r="AL25" s="10">
        <f>IF($AK25="","","다기관 "&amp;TEXT(INDEX(파견수련계획!$AB$4:$AB$803,$AK25),"yyyy-mm-dd")&amp;"~"&amp;IF(ISNUMBER(INDEX(파견수련계획!$AC$4:$AC$803,$AK25)),TEXT(INDEX(파견수련계획!$AC$4:$AC$803,$AK25),"yyyy-mm-dd"),""))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IF($AB26="","",IF(INDEX(기본자료!$C$2:$C$1001,$AB26)="","",INDEX(기본자료!$C$2:$C$1001,$AB26)))</f>
        <v/>
      </c>
      <c r="D26" s="10">
        <f>IF($AB26="","",IF(INDEX(기본자료!$J$2:$J$1001,$AB26)="","",INDEX(기본자료!$J$2:$J$1001,$AB26)))</f>
        <v/>
      </c>
      <c r="E26" s="11">
        <f>IF($AB26="","",IF(INDEX(기본자료!$K$2:$K$1001,$AB26)="","",IF(NOT(ISNUMBER(INDEX(기본자료!$K$2:$K$1001,$AB26))),INDEX(기본자료!$K$2:$K$1001,$AB26),IF(INDEX(기본자료!$K$2:$K$1001,$AB26)&lt;1000000,INDEX(기본자료!$K$2:$K$1001,$AB26),IF(AND(INDEX(기본자료!$K$2:$K$1001,$AB26)&gt;=10000101,INT(MOD(INDEX(기본자료!$K$2:$K$1001,$AB26),10000)/100)&gt;=1,INT(MOD(INDEX(기본자료!$K$2:$K$1001,$AB26),10000)/100)&lt;=12,MOD(INDEX(기본자료!$K$2:$K$1001,$AB26),100)&gt;=1,MOD(INDEX(기본자료!$K$2:$K$1001,$AB26),100)&lt;=31),DATE(INT(INDEX(기본자료!$K$2:$K$1001,$AB26)/10000),INT(MOD(INDEX(기본자료!$K$2:$K$1001,$AB26),10000)/100),MOD(INDEX(기본자료!$K$2:$K$1001,$AB26),100)),INDEX(기본자료!$K$2:$K$1001,$AB26)&amp;"")))))</f>
        <v/>
      </c>
      <c r="F26" s="10">
        <f>IF($AB26="","",IF(INDEX(기본자료!$D$2:$D$1001,$AB26)="","",INDEX(기본자료!$D$2:$D$1001,$AB26)))</f>
        <v/>
      </c>
      <c r="G26" s="10">
        <f>IF($AB26="","",IF(INDEX(기본자료!$E$2:$E$1001,$AB26)="","",INDEX(기본자료!$E$2:$E$1001,$AB26)))</f>
        <v/>
      </c>
      <c r="H26" s="10">
        <f>IF($AB26="","",IF(INDEX(기본자료!$F$2:$F$1001,$AB26)="","",INDEX(기본자료!$F$2:$F$1001,$AB26)))</f>
        <v/>
      </c>
      <c r="I26" s="11">
        <f>IF($AB26="","",IF(INDEX(기본자료!$G$2:$G$1001,$AB26)="","",IF(NOT(ISNUMBER(INDEX(기본자료!$G$2:$G$1001,$AB26))),INDEX(기본자료!$G$2:$G$1001,$AB26),IF(INDEX(기본자료!$G$2:$G$1001,$AB26)&lt;1000000,INDEX(기본자료!$G$2:$G$1001,$AB26),IF(AND(INDEX(기본자료!$G$2:$G$1001,$AB26)&gt;=10000101,INT(MOD(INDEX(기본자료!$G$2:$G$1001,$AB26),10000)/100)&gt;=1,INT(MOD(INDEX(기본자료!$G$2:$G$1001,$AB26),10000)/100)&lt;=12,MOD(INDEX(기본자료!$G$2:$G$1001,$AB26),100)&gt;=1,MOD(INDEX(기본자료!$G$2:$G$1001,$AB26),100)&lt;=31),DATE(INT(INDEX(기본자료!$G$2:$G$1001,$AB26)/10000),INT(MOD(INDEX(기본자료!$G$2:$G$1001,$AB26),10000)/100),MOD(INDEX(기본자료!$G$2:$G$1001,$AB26),100)),INDEX(기본자료!$G$2:$G$1001,$AB26)&amp;"")))))</f>
        <v/>
      </c>
      <c r="J26" s="10">
        <f>IF($AB26="","",IF(INDEX(기본자료!$H$2:$H$1001,$AB26)="","",INDEX(기본자료!$H$2:$H$1001,$AB26)))</f>
        <v/>
      </c>
      <c r="K26" s="10">
        <f>IF($AB26="","",IF(INDEX(기본자료!$I$2:$I$1001,$AB26)="","",INDEX(기본자료!$I$2:$I$1001,$AB26)))</f>
        <v/>
      </c>
      <c r="L26" s="10">
        <f>IF($AB26="","",IF(INDEX(기본자료!$A$2:$A$1001,$AB26)="","",INDEX(기본자료!$A$2:$A$1001,$AB26)))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$803,$AK26),OR(NOT(ISNUMBER(INDEX(파견수련계획!$AC$4:$AC$803,$AK26))),TODAY()&lt;=INDEX(파견수련계획!$AC$4:$AC$803,$AK26))),"다기관",IF($AF26="","",INDEX(파견수련계획!$T$4:$T$803,$AF26))),IF($AF26="","",INDEX(파견수련계획!$T$4:$T$803,$AF26))))</f>
        <v/>
      </c>
      <c r="Q26" s="10">
        <f>IF($AF26="","",INDEX(파견수련계획!$S$4:$S$803,$AF26))</f>
        <v/>
      </c>
      <c r="R26" s="10">
        <f>IF($AF26="","",INDEX(파견수련계획!$U$4:$U$803,$AF26))</f>
        <v/>
      </c>
      <c r="S26" s="11">
        <f>IF($AF26="","",IF(INDEX(파견수련계획!$H$4:$H$803,$AF26)="","",INDEX(파견수련계획!$H$4:$H$803,$AF26)))</f>
        <v/>
      </c>
      <c r="T26" s="11">
        <f>IF($AF26="","",IF(INDEX(파견수련계획!$I$4:$I$803,$AF26)="","",INDEX(파견수련계획!$I$4:$I$803,$AF26)))</f>
        <v/>
      </c>
      <c r="U26" s="10">
        <f>IF($AF26="","",INDEX(파견수련계획!$X$4:$X$803,$AF26))</f>
        <v/>
      </c>
      <c r="V26" s="17">
        <f>IF($AF26="","",INDEX(파견수련계획!$V$4:$V$803,$AF26))</f>
        <v/>
      </c>
      <c r="W26" s="17">
        <f>IF(AND($U26="파견중",$T26&lt;&gt;""),$T26-TODAY(),"")</f>
        <v/>
      </c>
      <c r="X26" s="17">
        <f>IF(OR($B26="",TRIM($J26&amp;"")=""),"",SUMPRODUCT((파견수련계획!$Q$4:$Q$803=TRIM($J26&amp;""))*파견수련계획!$W$4:$W$803))</f>
        <v/>
      </c>
      <c r="Y26" s="10">
        <f>IF($B26="","",IF($AG26="","",IF(IF(TRIM($J26&amp;"")="",0,SUMPRODUCT((파견수련계획!$Q$4:$Q$803=TRIM($J26&amp;""))*파견수련계획!$AD$4:$AD$803)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"&amp;$AI26&amp;"일)")),IF($AJ26="",$AE26,IF(INDEX(파견수련계획!$T$4:$T$803,$AJ26)="통합수련",INDEX(파견수련계획!$S$4:$S$803,$AJ26),$AE26)))))))</f>
        <v/>
      </c>
      <c r="Z26" s="19">
        <f>IF($B26="","",IF($AB26="","기본자료에 없는 사번",IF(COUNTIF($B$2:$B$401,$B26)&gt;1,"중복 사번",IF($AE26="","소속(입사장소) 입력",IF(IF(TRIM($J26&amp;"")="",0,SUMPRODUCT((파견수련계획!$Q$4:$Q$803=TRIM($J26&amp;""))*(파견수련계획!$AA$4:$AA$803&lt;&gt;"")))&gt;0,"파견수련계획 입력오류 확인",IF(LEFT($Y26,1)="⚠","서울·구리 15일 판정 불가(양쪽 모두 이상/미만)",IF(IF($AC26="",0,N(INDEX(인턴근무계획!$T$3:$T$402,$AC26)))&gt;0,"인턴계획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IF($B26="","",IFERROR(MATCH($B26,기본자료!$B$2:$B$1001,0),IFERROR(MATCH($B26&amp;"",기본자료!$B$2:$B$1001,0),IFERROR(MATCH(VALUE($B26),기본자료!$B$2:$B$1001,0),""))))</f>
        <v/>
      </c>
      <c r="AC26" s="10">
        <f>IF($B26="","",IFERROR(MATCH($B26,인턴근무계획!$D$3:$D$402,0),IFERROR(MATCH($B26&amp;"",인턴근무계획!$D$3:$D$402,0),IFERROR(MATCH(VALUE($B26),인턴근무계획!$D$3:$D$402,0),""))))</f>
        <v/>
      </c>
      <c r="AD26" s="10">
        <f>IF(OR($AC26="",인턴현황!$G$3=""),"",INDEX(인턴근무계획!$M$3:$R$402,$AC26,인턴현황!$G$3)&amp;"")</f>
        <v/>
      </c>
      <c r="AE26" s="10">
        <f>IF($B26="","",IF($M26&lt;&gt;"",$M26,IF($AF26&lt;&gt;"",IF(LEFT(INDEX(파견수련계획!$R$4:$R$803,$AF26),1)&lt;&gt;"⚠",INDEX(파견수련계획!$R$4:$R$803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$803,0),IFERROR(MATCH(TRIM($J26&amp;"")&amp;"|파견예정",파견수련계획!$Y$4:$Y$803,0),IFERROR(MATCH(TRIM($J26&amp;"")&amp;"|파견종료",파견수련계획!$Y$4:$Y$803,0),""))))</f>
        <v/>
      </c>
      <c r="AG26" s="10">
        <f>IF($B26="","",IF(AND(IF(OR($AC26="",인턴현황!$K$2=""),"",INDEX(인턴근무계획!$M$3:$R$402,$AC26,인턴현황!$K$2)&amp;"")&lt;&gt;"",LEFT(IF(OR($AC26="",인턴현황!$K$2=""),"",INDEX(인턴근무계획!$M$3:$R$402,$AC26,인턴현황!$K$2)&amp;""),1)&lt;&gt;"⚠"),LEFT(IF(OR($AC26="",인턴현황!$K$2=""),"",INDEX(인턴근무계획!$M$3:$R$402,$AC26,인턴현황!$K$2)&amp;""),FIND(" ",IF(OR($AC26="",인턴현황!$K$2=""),"",INDEX(인턴근무계획!$M$3:$R$402,$AC26,인턴현황!$K$2)&amp;""))-1),$AE26))</f>
        <v/>
      </c>
      <c r="AH26" s="17">
        <f>IF($B26="","",IF(TRIM($J26&amp;"")="",0,SUMPRODUCT((파견수련계획!$Q$4:$Q$803=TRIM($J26&amp;""))*(파견수련계획!$S$4:$S$803="서울병원")*파견수련계획!$W$4:$W$803))+IF($AG26="서울병원",MAX(0,DAY(EOMONTH(요약!$B$3,0))-N($X26)),0))</f>
        <v/>
      </c>
      <c r="AI26" s="17">
        <f>IF($B26="","",IF(TRIM($J26&amp;"")="",0,SUMPRODUCT((파견수련계획!$Q$4:$Q$803=TRIM($J26&amp;""))*(파견수련계획!$S$4:$S$803="구리병원")*파견수련계획!$W$4:$W$803))+IF($AG26="구리병원",MAX(0,DAY(EOMONTH(요약!$B$3,0))-N($X26)),0))</f>
        <v/>
      </c>
      <c r="AJ26" s="10">
        <f>IF(OR($B26="",TRIM($J26&amp;"")=""),"",IFERROR(MATCH(TRIM($J26&amp;"")&amp;"|월",파견수련계획!$Z$4:$Z$803,0),""))</f>
        <v/>
      </c>
      <c r="AK26" s="10">
        <f>IF(OR($B26="",TRIM($J26&amp;"")=""),"",IFERROR(MATCH(TRIM($J26&amp;"")&amp;"|다기관",파견수련계획!$AE$4:$AE$803,0),""))</f>
        <v/>
      </c>
      <c r="AL26" s="10">
        <f>IF($AK26="","","다기관 "&amp;TEXT(INDEX(파견수련계획!$AB$4:$AB$803,$AK26),"yyyy-mm-dd")&amp;"~"&amp;IF(ISNUMBER(INDEX(파견수련계획!$AC$4:$AC$803,$AK26)),TEXT(INDEX(파견수련계획!$AC$4:$AC$803,$AK26),"yyyy-mm-dd"),""))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IF($AB27="","",IF(INDEX(기본자료!$C$2:$C$1001,$AB27)="","",INDEX(기본자료!$C$2:$C$1001,$AB27)))</f>
        <v/>
      </c>
      <c r="D27" s="10">
        <f>IF($AB27="","",IF(INDEX(기본자료!$J$2:$J$1001,$AB27)="","",INDEX(기본자료!$J$2:$J$1001,$AB27)))</f>
        <v/>
      </c>
      <c r="E27" s="11">
        <f>IF($AB27="","",IF(INDEX(기본자료!$K$2:$K$1001,$AB27)="","",IF(NOT(ISNUMBER(INDEX(기본자료!$K$2:$K$1001,$AB27))),INDEX(기본자료!$K$2:$K$1001,$AB27),IF(INDEX(기본자료!$K$2:$K$1001,$AB27)&lt;1000000,INDEX(기본자료!$K$2:$K$1001,$AB27),IF(AND(INDEX(기본자료!$K$2:$K$1001,$AB27)&gt;=10000101,INT(MOD(INDEX(기본자료!$K$2:$K$1001,$AB27),10000)/100)&gt;=1,INT(MOD(INDEX(기본자료!$K$2:$K$1001,$AB27),10000)/100)&lt;=12,MOD(INDEX(기본자료!$K$2:$K$1001,$AB27),100)&gt;=1,MOD(INDEX(기본자료!$K$2:$K$1001,$AB27),100)&lt;=31),DATE(INT(INDEX(기본자료!$K$2:$K$1001,$AB27)/10000),INT(MOD(INDEX(기본자료!$K$2:$K$1001,$AB27),10000)/100),MOD(INDEX(기본자료!$K$2:$K$1001,$AB27),100)),INDEX(기본자료!$K$2:$K$1001,$AB27)&amp;"")))))</f>
        <v/>
      </c>
      <c r="F27" s="10">
        <f>IF($AB27="","",IF(INDEX(기본자료!$D$2:$D$1001,$AB27)="","",INDEX(기본자료!$D$2:$D$1001,$AB27)))</f>
        <v/>
      </c>
      <c r="G27" s="10">
        <f>IF($AB27="","",IF(INDEX(기본자료!$E$2:$E$1001,$AB27)="","",INDEX(기본자료!$E$2:$E$1001,$AB27)))</f>
        <v/>
      </c>
      <c r="H27" s="10">
        <f>IF($AB27="","",IF(INDEX(기본자료!$F$2:$F$1001,$AB27)="","",INDEX(기본자료!$F$2:$F$1001,$AB27)))</f>
        <v/>
      </c>
      <c r="I27" s="11">
        <f>IF($AB27="","",IF(INDEX(기본자료!$G$2:$G$1001,$AB27)="","",IF(NOT(ISNUMBER(INDEX(기본자료!$G$2:$G$1001,$AB27))),INDEX(기본자료!$G$2:$G$1001,$AB27),IF(INDEX(기본자료!$G$2:$G$1001,$AB27)&lt;1000000,INDEX(기본자료!$G$2:$G$1001,$AB27),IF(AND(INDEX(기본자료!$G$2:$G$1001,$AB27)&gt;=10000101,INT(MOD(INDEX(기본자료!$G$2:$G$1001,$AB27),10000)/100)&gt;=1,INT(MOD(INDEX(기본자료!$G$2:$G$1001,$AB27),10000)/100)&lt;=12,MOD(INDEX(기본자료!$G$2:$G$1001,$AB27),100)&gt;=1,MOD(INDEX(기본자료!$G$2:$G$1001,$AB27),100)&lt;=31),DATE(INT(INDEX(기본자료!$G$2:$G$1001,$AB27)/10000),INT(MOD(INDEX(기본자료!$G$2:$G$1001,$AB27),10000)/100),MOD(INDEX(기본자료!$G$2:$G$1001,$AB27),100)),INDEX(기본자료!$G$2:$G$1001,$AB27)&amp;"")))))</f>
        <v/>
      </c>
      <c r="J27" s="10">
        <f>IF($AB27="","",IF(INDEX(기본자료!$H$2:$H$1001,$AB27)="","",INDEX(기본자료!$H$2:$H$1001,$AB27)))</f>
        <v/>
      </c>
      <c r="K27" s="10">
        <f>IF($AB27="","",IF(INDEX(기본자료!$I$2:$I$1001,$AB27)="","",INDEX(기본자료!$I$2:$I$1001,$AB27)))</f>
        <v/>
      </c>
      <c r="L27" s="10">
        <f>IF($AB27="","",IF(INDEX(기본자료!$A$2:$A$1001,$AB27)="","",INDEX(기본자료!$A$2:$A$1001,$AB27)))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$803,$AK27),OR(NOT(ISNUMBER(INDEX(파견수련계획!$AC$4:$AC$803,$AK27))),TODAY()&lt;=INDEX(파견수련계획!$AC$4:$AC$803,$AK27))),"다기관",IF($AF27="","",INDEX(파견수련계획!$T$4:$T$803,$AF27))),IF($AF27="","",INDEX(파견수련계획!$T$4:$T$803,$AF27))))</f>
        <v/>
      </c>
      <c r="Q27" s="10">
        <f>IF($AF27="","",INDEX(파견수련계획!$S$4:$S$803,$AF27))</f>
        <v/>
      </c>
      <c r="R27" s="10">
        <f>IF($AF27="","",INDEX(파견수련계획!$U$4:$U$803,$AF27))</f>
        <v/>
      </c>
      <c r="S27" s="11">
        <f>IF($AF27="","",IF(INDEX(파견수련계획!$H$4:$H$803,$AF27)="","",INDEX(파견수련계획!$H$4:$H$803,$AF27)))</f>
        <v/>
      </c>
      <c r="T27" s="11">
        <f>IF($AF27="","",IF(INDEX(파견수련계획!$I$4:$I$803,$AF27)="","",INDEX(파견수련계획!$I$4:$I$803,$AF27)))</f>
        <v/>
      </c>
      <c r="U27" s="10">
        <f>IF($AF27="","",INDEX(파견수련계획!$X$4:$X$803,$AF27))</f>
        <v/>
      </c>
      <c r="V27" s="17">
        <f>IF($AF27="","",INDEX(파견수련계획!$V$4:$V$803,$AF27))</f>
        <v/>
      </c>
      <c r="W27" s="17">
        <f>IF(AND($U27="파견중",$T27&lt;&gt;""),$T27-TODAY(),"")</f>
        <v/>
      </c>
      <c r="X27" s="17">
        <f>IF(OR($B27="",TRIM($J27&amp;"")=""),"",SUMPRODUCT((파견수련계획!$Q$4:$Q$803=TRIM($J27&amp;""))*파견수련계획!$W$4:$W$803))</f>
        <v/>
      </c>
      <c r="Y27" s="10">
        <f>IF($B27="","",IF($AG27="","",IF(IF(TRIM($J27&amp;"")="",0,SUMPRODUCT((파견수련계획!$Q$4:$Q$803=TRIM($J27&amp;""))*파견수련계획!$AD$4:$AD$803)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"&amp;$AI27&amp;"일)")),IF($AJ27="",$AE27,IF(INDEX(파견수련계획!$T$4:$T$803,$AJ27)="통합수련",INDEX(파견수련계획!$S$4:$S$803,$AJ27),$AE27)))))))</f>
        <v/>
      </c>
      <c r="Z27" s="19">
        <f>IF($B27="","",IF($AB27="","기본자료에 없는 사번",IF(COUNTIF($B$2:$B$401,$B27)&gt;1,"중복 사번",IF($AE27="","소속(입사장소) 입력",IF(IF(TRIM($J27&amp;"")="",0,SUMPRODUCT((파견수련계획!$Q$4:$Q$803=TRIM($J27&amp;""))*(파견수련계획!$AA$4:$AA$803&lt;&gt;"")))&gt;0,"파견수련계획 입력오류 확인",IF(LEFT($Y27,1)="⚠","서울·구리 15일 판정 불가(양쪽 모두 이상/미만)",IF(IF($AC27="",0,N(INDEX(인턴근무계획!$T$3:$T$402,$AC27)))&gt;0,"인턴계획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IF($B27="","",IFERROR(MATCH($B27,기본자료!$B$2:$B$1001,0),IFERROR(MATCH($B27&amp;"",기본자료!$B$2:$B$1001,0),IFERROR(MATCH(VALUE($B27),기본자료!$B$2:$B$1001,0),""))))</f>
        <v/>
      </c>
      <c r="AC27" s="10">
        <f>IF($B27="","",IFERROR(MATCH($B27,인턴근무계획!$D$3:$D$402,0),IFERROR(MATCH($B27&amp;"",인턴근무계획!$D$3:$D$402,0),IFERROR(MATCH(VALUE($B27),인턴근무계획!$D$3:$D$402,0),""))))</f>
        <v/>
      </c>
      <c r="AD27" s="10">
        <f>IF(OR($AC27="",인턴현황!$G$3=""),"",INDEX(인턴근무계획!$M$3:$R$402,$AC27,인턴현황!$G$3)&amp;"")</f>
        <v/>
      </c>
      <c r="AE27" s="10">
        <f>IF($B27="","",IF($M27&lt;&gt;"",$M27,IF($AF27&lt;&gt;"",IF(LEFT(INDEX(파견수련계획!$R$4:$R$803,$AF27),1)&lt;&gt;"⚠",INDEX(파견수련계획!$R$4:$R$803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$803,0),IFERROR(MATCH(TRIM($J27&amp;"")&amp;"|파견예정",파견수련계획!$Y$4:$Y$803,0),IFERROR(MATCH(TRIM($J27&amp;"")&amp;"|파견종료",파견수련계획!$Y$4:$Y$803,0),""))))</f>
        <v/>
      </c>
      <c r="AG27" s="10">
        <f>IF($B27="","",IF(AND(IF(OR($AC27="",인턴현황!$K$2=""),"",INDEX(인턴근무계획!$M$3:$R$402,$AC27,인턴현황!$K$2)&amp;"")&lt;&gt;"",LEFT(IF(OR($AC27="",인턴현황!$K$2=""),"",INDEX(인턴근무계획!$M$3:$R$402,$AC27,인턴현황!$K$2)&amp;""),1)&lt;&gt;"⚠"),LEFT(IF(OR($AC27="",인턴현황!$K$2=""),"",INDEX(인턴근무계획!$M$3:$R$402,$AC27,인턴현황!$K$2)&amp;""),FIND(" ",IF(OR($AC27="",인턴현황!$K$2=""),"",INDEX(인턴근무계획!$M$3:$R$402,$AC27,인턴현황!$K$2)&amp;""))-1),$AE27))</f>
        <v/>
      </c>
      <c r="AH27" s="17">
        <f>IF($B27="","",IF(TRIM($J27&amp;"")="",0,SUMPRODUCT((파견수련계획!$Q$4:$Q$803=TRIM($J27&amp;""))*(파견수련계획!$S$4:$S$803="서울병원")*파견수련계획!$W$4:$W$803))+IF($AG27="서울병원",MAX(0,DAY(EOMONTH(요약!$B$3,0))-N($X27)),0))</f>
        <v/>
      </c>
      <c r="AI27" s="17">
        <f>IF($B27="","",IF(TRIM($J27&amp;"")="",0,SUMPRODUCT((파견수련계획!$Q$4:$Q$803=TRIM($J27&amp;""))*(파견수련계획!$S$4:$S$803="구리병원")*파견수련계획!$W$4:$W$803))+IF($AG27="구리병원",MAX(0,DAY(EOMONTH(요약!$B$3,0))-N($X27)),0))</f>
        <v/>
      </c>
      <c r="AJ27" s="10">
        <f>IF(OR($B27="",TRIM($J27&amp;"")=""),"",IFERROR(MATCH(TRIM($J27&amp;"")&amp;"|월",파견수련계획!$Z$4:$Z$803,0),""))</f>
        <v/>
      </c>
      <c r="AK27" s="10">
        <f>IF(OR($B27="",TRIM($J27&amp;"")=""),"",IFERROR(MATCH(TRIM($J27&amp;"")&amp;"|다기관",파견수련계획!$AE$4:$AE$803,0),""))</f>
        <v/>
      </c>
      <c r="AL27" s="10">
        <f>IF($AK27="","","다기관 "&amp;TEXT(INDEX(파견수련계획!$AB$4:$AB$803,$AK27),"yyyy-mm-dd")&amp;"~"&amp;IF(ISNUMBER(INDEX(파견수련계획!$AC$4:$AC$803,$AK27)),TEXT(INDEX(파견수련계획!$AC$4:$AC$803,$AK27),"yyyy-mm-dd"),""))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IF($AB28="","",IF(INDEX(기본자료!$C$2:$C$1001,$AB28)="","",INDEX(기본자료!$C$2:$C$1001,$AB28)))</f>
        <v/>
      </c>
      <c r="D28" s="10">
        <f>IF($AB28="","",IF(INDEX(기본자료!$J$2:$J$1001,$AB28)="","",INDEX(기본자료!$J$2:$J$1001,$AB28)))</f>
        <v/>
      </c>
      <c r="E28" s="11">
        <f>IF($AB28="","",IF(INDEX(기본자료!$K$2:$K$1001,$AB28)="","",IF(NOT(ISNUMBER(INDEX(기본자료!$K$2:$K$1001,$AB28))),INDEX(기본자료!$K$2:$K$1001,$AB28),IF(INDEX(기본자료!$K$2:$K$1001,$AB28)&lt;1000000,INDEX(기본자료!$K$2:$K$1001,$AB28),IF(AND(INDEX(기본자료!$K$2:$K$1001,$AB28)&gt;=10000101,INT(MOD(INDEX(기본자료!$K$2:$K$1001,$AB28),10000)/100)&gt;=1,INT(MOD(INDEX(기본자료!$K$2:$K$1001,$AB28),10000)/100)&lt;=12,MOD(INDEX(기본자료!$K$2:$K$1001,$AB28),100)&gt;=1,MOD(INDEX(기본자료!$K$2:$K$1001,$AB28),100)&lt;=31),DATE(INT(INDEX(기본자료!$K$2:$K$1001,$AB28)/10000),INT(MOD(INDEX(기본자료!$K$2:$K$1001,$AB28),10000)/100),MOD(INDEX(기본자료!$K$2:$K$1001,$AB28),100)),INDEX(기본자료!$K$2:$K$1001,$AB28)&amp;"")))))</f>
        <v/>
      </c>
      <c r="F28" s="10">
        <f>IF($AB28="","",IF(INDEX(기본자료!$D$2:$D$1001,$AB28)="","",INDEX(기본자료!$D$2:$D$1001,$AB28)))</f>
        <v/>
      </c>
      <c r="G28" s="10">
        <f>IF($AB28="","",IF(INDEX(기본자료!$E$2:$E$1001,$AB28)="","",INDEX(기본자료!$E$2:$E$1001,$AB28)))</f>
        <v/>
      </c>
      <c r="H28" s="10">
        <f>IF($AB28="","",IF(INDEX(기본자료!$F$2:$F$1001,$AB28)="","",INDEX(기본자료!$F$2:$F$1001,$AB28)))</f>
        <v/>
      </c>
      <c r="I28" s="11">
        <f>IF($AB28="","",IF(INDEX(기본자료!$G$2:$G$1001,$AB28)="","",IF(NOT(ISNUMBER(INDEX(기본자료!$G$2:$G$1001,$AB28))),INDEX(기본자료!$G$2:$G$1001,$AB28),IF(INDEX(기본자료!$G$2:$G$1001,$AB28)&lt;1000000,INDEX(기본자료!$G$2:$G$1001,$AB28),IF(AND(INDEX(기본자료!$G$2:$G$1001,$AB28)&gt;=10000101,INT(MOD(INDEX(기본자료!$G$2:$G$1001,$AB28),10000)/100)&gt;=1,INT(MOD(INDEX(기본자료!$G$2:$G$1001,$AB28),10000)/100)&lt;=12,MOD(INDEX(기본자료!$G$2:$G$1001,$AB28),100)&gt;=1,MOD(INDEX(기본자료!$G$2:$G$1001,$AB28),100)&lt;=31),DATE(INT(INDEX(기본자료!$G$2:$G$1001,$AB28)/10000),INT(MOD(INDEX(기본자료!$G$2:$G$1001,$AB28),10000)/100),MOD(INDEX(기본자료!$G$2:$G$1001,$AB28),100)),INDEX(기본자료!$G$2:$G$1001,$AB28)&amp;"")))))</f>
        <v/>
      </c>
      <c r="J28" s="10">
        <f>IF($AB28="","",IF(INDEX(기본자료!$H$2:$H$1001,$AB28)="","",INDEX(기본자료!$H$2:$H$1001,$AB28)))</f>
        <v/>
      </c>
      <c r="K28" s="10">
        <f>IF($AB28="","",IF(INDEX(기본자료!$I$2:$I$1001,$AB28)="","",INDEX(기본자료!$I$2:$I$1001,$AB28)))</f>
        <v/>
      </c>
      <c r="L28" s="10">
        <f>IF($AB28="","",IF(INDEX(기본자료!$A$2:$A$1001,$AB28)="","",INDEX(기본자료!$A$2:$A$1001,$AB28)))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$803,$AK28),OR(NOT(ISNUMBER(INDEX(파견수련계획!$AC$4:$AC$803,$AK28))),TODAY()&lt;=INDEX(파견수련계획!$AC$4:$AC$803,$AK28))),"다기관",IF($AF28="","",INDEX(파견수련계획!$T$4:$T$803,$AF28))),IF($AF28="","",INDEX(파견수련계획!$T$4:$T$803,$AF28))))</f>
        <v/>
      </c>
      <c r="Q28" s="10">
        <f>IF($AF28="","",INDEX(파견수련계획!$S$4:$S$803,$AF28))</f>
        <v/>
      </c>
      <c r="R28" s="10">
        <f>IF($AF28="","",INDEX(파견수련계획!$U$4:$U$803,$AF28))</f>
        <v/>
      </c>
      <c r="S28" s="11">
        <f>IF($AF28="","",IF(INDEX(파견수련계획!$H$4:$H$803,$AF28)="","",INDEX(파견수련계획!$H$4:$H$803,$AF28)))</f>
        <v/>
      </c>
      <c r="T28" s="11">
        <f>IF($AF28="","",IF(INDEX(파견수련계획!$I$4:$I$803,$AF28)="","",INDEX(파견수련계획!$I$4:$I$803,$AF28)))</f>
        <v/>
      </c>
      <c r="U28" s="10">
        <f>IF($AF28="","",INDEX(파견수련계획!$X$4:$X$803,$AF28))</f>
        <v/>
      </c>
      <c r="V28" s="17">
        <f>IF($AF28="","",INDEX(파견수련계획!$V$4:$V$803,$AF28))</f>
        <v/>
      </c>
      <c r="W28" s="17">
        <f>IF(AND($U28="파견중",$T28&lt;&gt;""),$T28-TODAY(),"")</f>
        <v/>
      </c>
      <c r="X28" s="17">
        <f>IF(OR($B28="",TRIM($J28&amp;"")=""),"",SUMPRODUCT((파견수련계획!$Q$4:$Q$803=TRIM($J28&amp;""))*파견수련계획!$W$4:$W$803))</f>
        <v/>
      </c>
      <c r="Y28" s="10">
        <f>IF($B28="","",IF($AG28="","",IF(IF(TRIM($J28&amp;"")="",0,SUMPRODUCT((파견수련계획!$Q$4:$Q$803=TRIM($J28&amp;""))*파견수련계획!$AD$4:$AD$803)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"&amp;$AI28&amp;"일)")),IF($AJ28="",$AE28,IF(INDEX(파견수련계획!$T$4:$T$803,$AJ28)="통합수련",INDEX(파견수련계획!$S$4:$S$803,$AJ28),$AE28)))))))</f>
        <v/>
      </c>
      <c r="Z28" s="19">
        <f>IF($B28="","",IF($AB28="","기본자료에 없는 사번",IF(COUNTIF($B$2:$B$401,$B28)&gt;1,"중복 사번",IF($AE28="","소속(입사장소) 입력",IF(IF(TRIM($J28&amp;"")="",0,SUMPRODUCT((파견수련계획!$Q$4:$Q$803=TRIM($J28&amp;""))*(파견수련계획!$AA$4:$AA$803&lt;&gt;"")))&gt;0,"파견수련계획 입력오류 확인",IF(LEFT($Y28,1)="⚠","서울·구리 15일 판정 불가(양쪽 모두 이상/미만)",IF(IF($AC28="",0,N(INDEX(인턴근무계획!$T$3:$T$402,$AC28)))&gt;0,"인턴계획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IF($B28="","",IFERROR(MATCH($B28,기본자료!$B$2:$B$1001,0),IFERROR(MATCH($B28&amp;"",기본자료!$B$2:$B$1001,0),IFERROR(MATCH(VALUE($B28),기본자료!$B$2:$B$1001,0),""))))</f>
        <v/>
      </c>
      <c r="AC28" s="10">
        <f>IF($B28="","",IFERROR(MATCH($B28,인턴근무계획!$D$3:$D$402,0),IFERROR(MATCH($B28&amp;"",인턴근무계획!$D$3:$D$402,0),IFERROR(MATCH(VALUE($B28),인턴근무계획!$D$3:$D$402,0),""))))</f>
        <v/>
      </c>
      <c r="AD28" s="10">
        <f>IF(OR($AC28="",인턴현황!$G$3=""),"",INDEX(인턴근무계획!$M$3:$R$402,$AC28,인턴현황!$G$3)&amp;"")</f>
        <v/>
      </c>
      <c r="AE28" s="10">
        <f>IF($B28="","",IF($M28&lt;&gt;"",$M28,IF($AF28&lt;&gt;"",IF(LEFT(INDEX(파견수련계획!$R$4:$R$803,$AF28),1)&lt;&gt;"⚠",INDEX(파견수련계획!$R$4:$R$803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$803,0),IFERROR(MATCH(TRIM($J28&amp;"")&amp;"|파견예정",파견수련계획!$Y$4:$Y$803,0),IFERROR(MATCH(TRIM($J28&amp;"")&amp;"|파견종료",파견수련계획!$Y$4:$Y$803,0),""))))</f>
        <v/>
      </c>
      <c r="AG28" s="10">
        <f>IF($B28="","",IF(AND(IF(OR($AC28="",인턴현황!$K$2=""),"",INDEX(인턴근무계획!$M$3:$R$402,$AC28,인턴현황!$K$2)&amp;"")&lt;&gt;"",LEFT(IF(OR($AC28="",인턴현황!$K$2=""),"",INDEX(인턴근무계획!$M$3:$R$402,$AC28,인턴현황!$K$2)&amp;""),1)&lt;&gt;"⚠"),LEFT(IF(OR($AC28="",인턴현황!$K$2=""),"",INDEX(인턴근무계획!$M$3:$R$402,$AC28,인턴현황!$K$2)&amp;""),FIND(" ",IF(OR($AC28="",인턴현황!$K$2=""),"",INDEX(인턴근무계획!$M$3:$R$402,$AC28,인턴현황!$K$2)&amp;""))-1),$AE28))</f>
        <v/>
      </c>
      <c r="AH28" s="17">
        <f>IF($B28="","",IF(TRIM($J28&amp;"")="",0,SUMPRODUCT((파견수련계획!$Q$4:$Q$803=TRIM($J28&amp;""))*(파견수련계획!$S$4:$S$803="서울병원")*파견수련계획!$W$4:$W$803))+IF($AG28="서울병원",MAX(0,DAY(EOMONTH(요약!$B$3,0))-N($X28)),0))</f>
        <v/>
      </c>
      <c r="AI28" s="17">
        <f>IF($B28="","",IF(TRIM($J28&amp;"")="",0,SUMPRODUCT((파견수련계획!$Q$4:$Q$803=TRIM($J28&amp;""))*(파견수련계획!$S$4:$S$803="구리병원")*파견수련계획!$W$4:$W$803))+IF($AG28="구리병원",MAX(0,DAY(EOMONTH(요약!$B$3,0))-N($X28)),0))</f>
        <v/>
      </c>
      <c r="AJ28" s="10">
        <f>IF(OR($B28="",TRIM($J28&amp;"")=""),"",IFERROR(MATCH(TRIM($J28&amp;"")&amp;"|월",파견수련계획!$Z$4:$Z$803,0),""))</f>
        <v/>
      </c>
      <c r="AK28" s="10">
        <f>IF(OR($B28="",TRIM($J28&amp;"")=""),"",IFERROR(MATCH(TRIM($J28&amp;"")&amp;"|다기관",파견수련계획!$AE$4:$AE$803,0),""))</f>
        <v/>
      </c>
      <c r="AL28" s="10">
        <f>IF($AK28="","","다기관 "&amp;TEXT(INDEX(파견수련계획!$AB$4:$AB$803,$AK28),"yyyy-mm-dd")&amp;"~"&amp;IF(ISNUMBER(INDEX(파견수련계획!$AC$4:$AC$803,$AK28)),TEXT(INDEX(파견수련계획!$AC$4:$AC$803,$AK28),"yyyy-mm-dd"),""))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IF($AB29="","",IF(INDEX(기본자료!$C$2:$C$1001,$AB29)="","",INDEX(기본자료!$C$2:$C$1001,$AB29)))</f>
        <v/>
      </c>
      <c r="D29" s="10">
        <f>IF($AB29="","",IF(INDEX(기본자료!$J$2:$J$1001,$AB29)="","",INDEX(기본자료!$J$2:$J$1001,$AB29)))</f>
        <v/>
      </c>
      <c r="E29" s="11">
        <f>IF($AB29="","",IF(INDEX(기본자료!$K$2:$K$1001,$AB29)="","",IF(NOT(ISNUMBER(INDEX(기본자료!$K$2:$K$1001,$AB29))),INDEX(기본자료!$K$2:$K$1001,$AB29),IF(INDEX(기본자료!$K$2:$K$1001,$AB29)&lt;1000000,INDEX(기본자료!$K$2:$K$1001,$AB29),IF(AND(INDEX(기본자료!$K$2:$K$1001,$AB29)&gt;=10000101,INT(MOD(INDEX(기본자료!$K$2:$K$1001,$AB29),10000)/100)&gt;=1,INT(MOD(INDEX(기본자료!$K$2:$K$1001,$AB29),10000)/100)&lt;=12,MOD(INDEX(기본자료!$K$2:$K$1001,$AB29),100)&gt;=1,MOD(INDEX(기본자료!$K$2:$K$1001,$AB29),100)&lt;=31),DATE(INT(INDEX(기본자료!$K$2:$K$1001,$AB29)/10000),INT(MOD(INDEX(기본자료!$K$2:$K$1001,$AB29),10000)/100),MOD(INDEX(기본자료!$K$2:$K$1001,$AB29),100)),INDEX(기본자료!$K$2:$K$1001,$AB29)&amp;"")))))</f>
        <v/>
      </c>
      <c r="F29" s="10">
        <f>IF($AB29="","",IF(INDEX(기본자료!$D$2:$D$1001,$AB29)="","",INDEX(기본자료!$D$2:$D$1001,$AB29)))</f>
        <v/>
      </c>
      <c r="G29" s="10">
        <f>IF($AB29="","",IF(INDEX(기본자료!$E$2:$E$1001,$AB29)="","",INDEX(기본자료!$E$2:$E$1001,$AB29)))</f>
        <v/>
      </c>
      <c r="H29" s="10">
        <f>IF($AB29="","",IF(INDEX(기본자료!$F$2:$F$1001,$AB29)="","",INDEX(기본자료!$F$2:$F$1001,$AB29)))</f>
        <v/>
      </c>
      <c r="I29" s="11">
        <f>IF($AB29="","",IF(INDEX(기본자료!$G$2:$G$1001,$AB29)="","",IF(NOT(ISNUMBER(INDEX(기본자료!$G$2:$G$1001,$AB29))),INDEX(기본자료!$G$2:$G$1001,$AB29),IF(INDEX(기본자료!$G$2:$G$1001,$AB29)&lt;1000000,INDEX(기본자료!$G$2:$G$1001,$AB29),IF(AND(INDEX(기본자료!$G$2:$G$1001,$AB29)&gt;=10000101,INT(MOD(INDEX(기본자료!$G$2:$G$1001,$AB29),10000)/100)&gt;=1,INT(MOD(INDEX(기본자료!$G$2:$G$1001,$AB29),10000)/100)&lt;=12,MOD(INDEX(기본자료!$G$2:$G$1001,$AB29),100)&gt;=1,MOD(INDEX(기본자료!$G$2:$G$1001,$AB29),100)&lt;=31),DATE(INT(INDEX(기본자료!$G$2:$G$1001,$AB29)/10000),INT(MOD(INDEX(기본자료!$G$2:$G$1001,$AB29),10000)/100),MOD(INDEX(기본자료!$G$2:$G$1001,$AB29),100)),INDEX(기본자료!$G$2:$G$1001,$AB29)&amp;"")))))</f>
        <v/>
      </c>
      <c r="J29" s="10">
        <f>IF($AB29="","",IF(INDEX(기본자료!$H$2:$H$1001,$AB29)="","",INDEX(기본자료!$H$2:$H$1001,$AB29)))</f>
        <v/>
      </c>
      <c r="K29" s="10">
        <f>IF($AB29="","",IF(INDEX(기본자료!$I$2:$I$1001,$AB29)="","",INDEX(기본자료!$I$2:$I$1001,$AB29)))</f>
        <v/>
      </c>
      <c r="L29" s="10">
        <f>IF($AB29="","",IF(INDEX(기본자료!$A$2:$A$1001,$AB29)="","",INDEX(기본자료!$A$2:$A$1001,$AB29)))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$803,$AK29),OR(NOT(ISNUMBER(INDEX(파견수련계획!$AC$4:$AC$803,$AK29))),TODAY()&lt;=INDEX(파견수련계획!$AC$4:$AC$803,$AK29))),"다기관",IF($AF29="","",INDEX(파견수련계획!$T$4:$T$803,$AF29))),IF($AF29="","",INDEX(파견수련계획!$T$4:$T$803,$AF29))))</f>
        <v/>
      </c>
      <c r="Q29" s="10">
        <f>IF($AF29="","",INDEX(파견수련계획!$S$4:$S$803,$AF29))</f>
        <v/>
      </c>
      <c r="R29" s="10">
        <f>IF($AF29="","",INDEX(파견수련계획!$U$4:$U$803,$AF29))</f>
        <v/>
      </c>
      <c r="S29" s="11">
        <f>IF($AF29="","",IF(INDEX(파견수련계획!$H$4:$H$803,$AF29)="","",INDEX(파견수련계획!$H$4:$H$803,$AF29)))</f>
        <v/>
      </c>
      <c r="T29" s="11">
        <f>IF($AF29="","",IF(INDEX(파견수련계획!$I$4:$I$803,$AF29)="","",INDEX(파견수련계획!$I$4:$I$803,$AF29)))</f>
        <v/>
      </c>
      <c r="U29" s="10">
        <f>IF($AF29="","",INDEX(파견수련계획!$X$4:$X$803,$AF29))</f>
        <v/>
      </c>
      <c r="V29" s="17">
        <f>IF($AF29="","",INDEX(파견수련계획!$V$4:$V$803,$AF29))</f>
        <v/>
      </c>
      <c r="W29" s="17">
        <f>IF(AND($U29="파견중",$T29&lt;&gt;""),$T29-TODAY(),"")</f>
        <v/>
      </c>
      <c r="X29" s="17">
        <f>IF(OR($B29="",TRIM($J29&amp;"")=""),"",SUMPRODUCT((파견수련계획!$Q$4:$Q$803=TRIM($J29&amp;""))*파견수련계획!$W$4:$W$803))</f>
        <v/>
      </c>
      <c r="Y29" s="10">
        <f>IF($B29="","",IF($AG29="","",IF(IF(TRIM($J29&amp;"")="",0,SUMPRODUCT((파견수련계획!$Q$4:$Q$803=TRIM($J29&amp;""))*파견수련계획!$AD$4:$AD$803)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"&amp;$AI29&amp;"일)")),IF($AJ29="",$AE29,IF(INDEX(파견수련계획!$T$4:$T$803,$AJ29)="통합수련",INDEX(파견수련계획!$S$4:$S$803,$AJ29),$AE29)))))))</f>
        <v/>
      </c>
      <c r="Z29" s="19">
        <f>IF($B29="","",IF($AB29="","기본자료에 없는 사번",IF(COUNTIF($B$2:$B$401,$B29)&gt;1,"중복 사번",IF($AE29="","소속(입사장소) 입력",IF(IF(TRIM($J29&amp;"")="",0,SUMPRODUCT((파견수련계획!$Q$4:$Q$803=TRIM($J29&amp;""))*(파견수련계획!$AA$4:$AA$803&lt;&gt;"")))&gt;0,"파견수련계획 입력오류 확인",IF(LEFT($Y29,1)="⚠","서울·구리 15일 판정 불가(양쪽 모두 이상/미만)",IF(IF($AC29="",0,N(INDEX(인턴근무계획!$T$3:$T$402,$AC29)))&gt;0,"인턴계획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IF($B29="","",IFERROR(MATCH($B29,기본자료!$B$2:$B$1001,0),IFERROR(MATCH($B29&amp;"",기본자료!$B$2:$B$1001,0),IFERROR(MATCH(VALUE($B29),기본자료!$B$2:$B$1001,0),""))))</f>
        <v/>
      </c>
      <c r="AC29" s="10">
        <f>IF($B29="","",IFERROR(MATCH($B29,인턴근무계획!$D$3:$D$402,0),IFERROR(MATCH($B29&amp;"",인턴근무계획!$D$3:$D$402,0),IFERROR(MATCH(VALUE($B29),인턴근무계획!$D$3:$D$402,0),""))))</f>
        <v/>
      </c>
      <c r="AD29" s="10">
        <f>IF(OR($AC29="",인턴현황!$G$3=""),"",INDEX(인턴근무계획!$M$3:$R$402,$AC29,인턴현황!$G$3)&amp;"")</f>
        <v/>
      </c>
      <c r="AE29" s="10">
        <f>IF($B29="","",IF($M29&lt;&gt;"",$M29,IF($AF29&lt;&gt;"",IF(LEFT(INDEX(파견수련계획!$R$4:$R$803,$AF29),1)&lt;&gt;"⚠",INDEX(파견수련계획!$R$4:$R$803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$803,0),IFERROR(MATCH(TRIM($J29&amp;"")&amp;"|파견예정",파견수련계획!$Y$4:$Y$803,0),IFERROR(MATCH(TRIM($J29&amp;"")&amp;"|파견종료",파견수련계획!$Y$4:$Y$803,0),""))))</f>
        <v/>
      </c>
      <c r="AG29" s="10">
        <f>IF($B29="","",IF(AND(IF(OR($AC29="",인턴현황!$K$2=""),"",INDEX(인턴근무계획!$M$3:$R$402,$AC29,인턴현황!$K$2)&amp;"")&lt;&gt;"",LEFT(IF(OR($AC29="",인턴현황!$K$2=""),"",INDEX(인턴근무계획!$M$3:$R$402,$AC29,인턴현황!$K$2)&amp;""),1)&lt;&gt;"⚠"),LEFT(IF(OR($AC29="",인턴현황!$K$2=""),"",INDEX(인턴근무계획!$M$3:$R$402,$AC29,인턴현황!$K$2)&amp;""),FIND(" ",IF(OR($AC29="",인턴현황!$K$2=""),"",INDEX(인턴근무계획!$M$3:$R$402,$AC29,인턴현황!$K$2)&amp;""))-1),$AE29))</f>
        <v/>
      </c>
      <c r="AH29" s="17">
        <f>IF($B29="","",IF(TRIM($J29&amp;"")="",0,SUMPRODUCT((파견수련계획!$Q$4:$Q$803=TRIM($J29&amp;""))*(파견수련계획!$S$4:$S$803="서울병원")*파견수련계획!$W$4:$W$803))+IF($AG29="서울병원",MAX(0,DAY(EOMONTH(요약!$B$3,0))-N($X29)),0))</f>
        <v/>
      </c>
      <c r="AI29" s="17">
        <f>IF($B29="","",IF(TRIM($J29&amp;"")="",0,SUMPRODUCT((파견수련계획!$Q$4:$Q$803=TRIM($J29&amp;""))*(파견수련계획!$S$4:$S$803="구리병원")*파견수련계획!$W$4:$W$803))+IF($AG29="구리병원",MAX(0,DAY(EOMONTH(요약!$B$3,0))-N($X29)),0))</f>
        <v/>
      </c>
      <c r="AJ29" s="10">
        <f>IF(OR($B29="",TRIM($J29&amp;"")=""),"",IFERROR(MATCH(TRIM($J29&amp;"")&amp;"|월",파견수련계획!$Z$4:$Z$803,0),""))</f>
        <v/>
      </c>
      <c r="AK29" s="10">
        <f>IF(OR($B29="",TRIM($J29&amp;"")=""),"",IFERROR(MATCH(TRIM($J29&amp;"")&amp;"|다기관",파견수련계획!$AE$4:$AE$803,0),""))</f>
        <v/>
      </c>
      <c r="AL29" s="10">
        <f>IF($AK29="","","다기관 "&amp;TEXT(INDEX(파견수련계획!$AB$4:$AB$803,$AK29),"yyyy-mm-dd")&amp;"~"&amp;IF(ISNUMBER(INDEX(파견수련계획!$AC$4:$AC$803,$AK29)),TEXT(INDEX(파견수련계획!$AC$4:$AC$803,$AK29),"yyyy-mm-dd"),""))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IF($AB30="","",IF(INDEX(기본자료!$C$2:$C$1001,$AB30)="","",INDEX(기본자료!$C$2:$C$1001,$AB30)))</f>
        <v/>
      </c>
      <c r="D30" s="10">
        <f>IF($AB30="","",IF(INDEX(기본자료!$J$2:$J$1001,$AB30)="","",INDEX(기본자료!$J$2:$J$1001,$AB30)))</f>
        <v/>
      </c>
      <c r="E30" s="11">
        <f>IF($AB30="","",IF(INDEX(기본자료!$K$2:$K$1001,$AB30)="","",IF(NOT(ISNUMBER(INDEX(기본자료!$K$2:$K$1001,$AB30))),INDEX(기본자료!$K$2:$K$1001,$AB30),IF(INDEX(기본자료!$K$2:$K$1001,$AB30)&lt;1000000,INDEX(기본자료!$K$2:$K$1001,$AB30),IF(AND(INDEX(기본자료!$K$2:$K$1001,$AB30)&gt;=10000101,INT(MOD(INDEX(기본자료!$K$2:$K$1001,$AB30),10000)/100)&gt;=1,INT(MOD(INDEX(기본자료!$K$2:$K$1001,$AB30),10000)/100)&lt;=12,MOD(INDEX(기본자료!$K$2:$K$1001,$AB30),100)&gt;=1,MOD(INDEX(기본자료!$K$2:$K$1001,$AB30),100)&lt;=31),DATE(INT(INDEX(기본자료!$K$2:$K$1001,$AB30)/10000),INT(MOD(INDEX(기본자료!$K$2:$K$1001,$AB30),10000)/100),MOD(INDEX(기본자료!$K$2:$K$1001,$AB30),100)),INDEX(기본자료!$K$2:$K$1001,$AB30)&amp;"")))))</f>
        <v/>
      </c>
      <c r="F30" s="10">
        <f>IF($AB30="","",IF(INDEX(기본자료!$D$2:$D$1001,$AB30)="","",INDEX(기본자료!$D$2:$D$1001,$AB30)))</f>
        <v/>
      </c>
      <c r="G30" s="10">
        <f>IF($AB30="","",IF(INDEX(기본자료!$E$2:$E$1001,$AB30)="","",INDEX(기본자료!$E$2:$E$1001,$AB30)))</f>
        <v/>
      </c>
      <c r="H30" s="10">
        <f>IF($AB30="","",IF(INDEX(기본자료!$F$2:$F$1001,$AB30)="","",INDEX(기본자료!$F$2:$F$1001,$AB30)))</f>
        <v/>
      </c>
      <c r="I30" s="11">
        <f>IF($AB30="","",IF(INDEX(기본자료!$G$2:$G$1001,$AB30)="","",IF(NOT(ISNUMBER(INDEX(기본자료!$G$2:$G$1001,$AB30))),INDEX(기본자료!$G$2:$G$1001,$AB30),IF(INDEX(기본자료!$G$2:$G$1001,$AB30)&lt;1000000,INDEX(기본자료!$G$2:$G$1001,$AB30),IF(AND(INDEX(기본자료!$G$2:$G$1001,$AB30)&gt;=10000101,INT(MOD(INDEX(기본자료!$G$2:$G$1001,$AB30),10000)/100)&gt;=1,INT(MOD(INDEX(기본자료!$G$2:$G$1001,$AB30),10000)/100)&lt;=12,MOD(INDEX(기본자료!$G$2:$G$1001,$AB30),100)&gt;=1,MOD(INDEX(기본자료!$G$2:$G$1001,$AB30),100)&lt;=31),DATE(INT(INDEX(기본자료!$G$2:$G$1001,$AB30)/10000),INT(MOD(INDEX(기본자료!$G$2:$G$1001,$AB30),10000)/100),MOD(INDEX(기본자료!$G$2:$G$1001,$AB30),100)),INDEX(기본자료!$G$2:$G$1001,$AB30)&amp;"")))))</f>
        <v/>
      </c>
      <c r="J30" s="10">
        <f>IF($AB30="","",IF(INDEX(기본자료!$H$2:$H$1001,$AB30)="","",INDEX(기본자료!$H$2:$H$1001,$AB30)))</f>
        <v/>
      </c>
      <c r="K30" s="10">
        <f>IF($AB30="","",IF(INDEX(기본자료!$I$2:$I$1001,$AB30)="","",INDEX(기본자료!$I$2:$I$1001,$AB30)))</f>
        <v/>
      </c>
      <c r="L30" s="10">
        <f>IF($AB30="","",IF(INDEX(기본자료!$A$2:$A$1001,$AB30)="","",INDEX(기본자료!$A$2:$A$1001,$AB30)))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$803,$AK30),OR(NOT(ISNUMBER(INDEX(파견수련계획!$AC$4:$AC$803,$AK30))),TODAY()&lt;=INDEX(파견수련계획!$AC$4:$AC$803,$AK30))),"다기관",IF($AF30="","",INDEX(파견수련계획!$T$4:$T$803,$AF30))),IF($AF30="","",INDEX(파견수련계획!$T$4:$T$803,$AF30))))</f>
        <v/>
      </c>
      <c r="Q30" s="10">
        <f>IF($AF30="","",INDEX(파견수련계획!$S$4:$S$803,$AF30))</f>
        <v/>
      </c>
      <c r="R30" s="10">
        <f>IF($AF30="","",INDEX(파견수련계획!$U$4:$U$803,$AF30))</f>
        <v/>
      </c>
      <c r="S30" s="11">
        <f>IF($AF30="","",IF(INDEX(파견수련계획!$H$4:$H$803,$AF30)="","",INDEX(파견수련계획!$H$4:$H$803,$AF30)))</f>
        <v/>
      </c>
      <c r="T30" s="11">
        <f>IF($AF30="","",IF(INDEX(파견수련계획!$I$4:$I$803,$AF30)="","",INDEX(파견수련계획!$I$4:$I$803,$AF30)))</f>
        <v/>
      </c>
      <c r="U30" s="10">
        <f>IF($AF30="","",INDEX(파견수련계획!$X$4:$X$803,$AF30))</f>
        <v/>
      </c>
      <c r="V30" s="17">
        <f>IF($AF30="","",INDEX(파견수련계획!$V$4:$V$803,$AF30))</f>
        <v/>
      </c>
      <c r="W30" s="17">
        <f>IF(AND($U30="파견중",$T30&lt;&gt;""),$T30-TODAY(),"")</f>
        <v/>
      </c>
      <c r="X30" s="17">
        <f>IF(OR($B30="",TRIM($J30&amp;"")=""),"",SUMPRODUCT((파견수련계획!$Q$4:$Q$803=TRIM($J30&amp;""))*파견수련계획!$W$4:$W$803))</f>
        <v/>
      </c>
      <c r="Y30" s="10">
        <f>IF($B30="","",IF($AG30="","",IF(IF(TRIM($J30&amp;"")="",0,SUMPRODUCT((파견수련계획!$Q$4:$Q$803=TRIM($J30&amp;""))*파견수련계획!$AD$4:$AD$803)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"&amp;$AI30&amp;"일)")),IF($AJ30="",$AE30,IF(INDEX(파견수련계획!$T$4:$T$803,$AJ30)="통합수련",INDEX(파견수련계획!$S$4:$S$803,$AJ30),$AE30)))))))</f>
        <v/>
      </c>
      <c r="Z30" s="19">
        <f>IF($B30="","",IF($AB30="","기본자료에 없는 사번",IF(COUNTIF($B$2:$B$401,$B30)&gt;1,"중복 사번",IF($AE30="","소속(입사장소) 입력",IF(IF(TRIM($J30&amp;"")="",0,SUMPRODUCT((파견수련계획!$Q$4:$Q$803=TRIM($J30&amp;""))*(파견수련계획!$AA$4:$AA$803&lt;&gt;"")))&gt;0,"파견수련계획 입력오류 확인",IF(LEFT($Y30,1)="⚠","서울·구리 15일 판정 불가(양쪽 모두 이상/미만)",IF(IF($AC30="",0,N(INDEX(인턴근무계획!$T$3:$T$402,$AC30)))&gt;0,"인턴계획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IF($B30="","",IFERROR(MATCH($B30,기본자료!$B$2:$B$1001,0),IFERROR(MATCH($B30&amp;"",기본자료!$B$2:$B$1001,0),IFERROR(MATCH(VALUE($B30),기본자료!$B$2:$B$1001,0),""))))</f>
        <v/>
      </c>
      <c r="AC30" s="10">
        <f>IF($B30="","",IFERROR(MATCH($B30,인턴근무계획!$D$3:$D$402,0),IFERROR(MATCH($B30&amp;"",인턴근무계획!$D$3:$D$402,0),IFERROR(MATCH(VALUE($B30),인턴근무계획!$D$3:$D$402,0),""))))</f>
        <v/>
      </c>
      <c r="AD30" s="10">
        <f>IF(OR($AC30="",인턴현황!$G$3=""),"",INDEX(인턴근무계획!$M$3:$R$402,$AC30,인턴현황!$G$3)&amp;"")</f>
        <v/>
      </c>
      <c r="AE30" s="10">
        <f>IF($B30="","",IF($M30&lt;&gt;"",$M30,IF($AF30&lt;&gt;"",IF(LEFT(INDEX(파견수련계획!$R$4:$R$803,$AF30),1)&lt;&gt;"⚠",INDEX(파견수련계획!$R$4:$R$803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$803,0),IFERROR(MATCH(TRIM($J30&amp;"")&amp;"|파견예정",파견수련계획!$Y$4:$Y$803,0),IFERROR(MATCH(TRIM($J30&amp;"")&amp;"|파견종료",파견수련계획!$Y$4:$Y$803,0),""))))</f>
        <v/>
      </c>
      <c r="AG30" s="10">
        <f>IF($B30="","",IF(AND(IF(OR($AC30="",인턴현황!$K$2=""),"",INDEX(인턴근무계획!$M$3:$R$402,$AC30,인턴현황!$K$2)&amp;"")&lt;&gt;"",LEFT(IF(OR($AC30="",인턴현황!$K$2=""),"",INDEX(인턴근무계획!$M$3:$R$402,$AC30,인턴현황!$K$2)&amp;""),1)&lt;&gt;"⚠"),LEFT(IF(OR($AC30="",인턴현황!$K$2=""),"",INDEX(인턴근무계획!$M$3:$R$402,$AC30,인턴현황!$K$2)&amp;""),FIND(" ",IF(OR($AC30="",인턴현황!$K$2=""),"",INDEX(인턴근무계획!$M$3:$R$402,$AC30,인턴현황!$K$2)&amp;""))-1),$AE30))</f>
        <v/>
      </c>
      <c r="AH30" s="17">
        <f>IF($B30="","",IF(TRIM($J30&amp;"")="",0,SUMPRODUCT((파견수련계획!$Q$4:$Q$803=TRIM($J30&amp;""))*(파견수련계획!$S$4:$S$803="서울병원")*파견수련계획!$W$4:$W$803))+IF($AG30="서울병원",MAX(0,DAY(EOMONTH(요약!$B$3,0))-N($X30)),0))</f>
        <v/>
      </c>
      <c r="AI30" s="17">
        <f>IF($B30="","",IF(TRIM($J30&amp;"")="",0,SUMPRODUCT((파견수련계획!$Q$4:$Q$803=TRIM($J30&amp;""))*(파견수련계획!$S$4:$S$803="구리병원")*파견수련계획!$W$4:$W$803))+IF($AG30="구리병원",MAX(0,DAY(EOMONTH(요약!$B$3,0))-N($X30)),0))</f>
        <v/>
      </c>
      <c r="AJ30" s="10">
        <f>IF(OR($B30="",TRIM($J30&amp;"")=""),"",IFERROR(MATCH(TRIM($J30&amp;"")&amp;"|월",파견수련계획!$Z$4:$Z$803,0),""))</f>
        <v/>
      </c>
      <c r="AK30" s="10">
        <f>IF(OR($B30="",TRIM($J30&amp;"")=""),"",IFERROR(MATCH(TRIM($J30&amp;"")&amp;"|다기관",파견수련계획!$AE$4:$AE$803,0),""))</f>
        <v/>
      </c>
      <c r="AL30" s="10">
        <f>IF($AK30="","","다기관 "&amp;TEXT(INDEX(파견수련계획!$AB$4:$AB$803,$AK30),"yyyy-mm-dd")&amp;"~"&amp;IF(ISNUMBER(INDEX(파견수련계획!$AC$4:$AC$803,$AK30)),TEXT(INDEX(파견수련계획!$AC$4:$AC$803,$AK30),"yyyy-mm-dd"),""))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IF($AB31="","",IF(INDEX(기본자료!$C$2:$C$1001,$AB31)="","",INDEX(기본자료!$C$2:$C$1001,$AB31)))</f>
        <v/>
      </c>
      <c r="D31" s="10">
        <f>IF($AB31="","",IF(INDEX(기본자료!$J$2:$J$1001,$AB31)="","",INDEX(기본자료!$J$2:$J$1001,$AB31)))</f>
        <v/>
      </c>
      <c r="E31" s="11">
        <f>IF($AB31="","",IF(INDEX(기본자료!$K$2:$K$1001,$AB31)="","",IF(NOT(ISNUMBER(INDEX(기본자료!$K$2:$K$1001,$AB31))),INDEX(기본자료!$K$2:$K$1001,$AB31),IF(INDEX(기본자료!$K$2:$K$1001,$AB31)&lt;1000000,INDEX(기본자료!$K$2:$K$1001,$AB31),IF(AND(INDEX(기본자료!$K$2:$K$1001,$AB31)&gt;=10000101,INT(MOD(INDEX(기본자료!$K$2:$K$1001,$AB31),10000)/100)&gt;=1,INT(MOD(INDEX(기본자료!$K$2:$K$1001,$AB31),10000)/100)&lt;=12,MOD(INDEX(기본자료!$K$2:$K$1001,$AB31),100)&gt;=1,MOD(INDEX(기본자료!$K$2:$K$1001,$AB31),100)&lt;=31),DATE(INT(INDEX(기본자료!$K$2:$K$1001,$AB31)/10000),INT(MOD(INDEX(기본자료!$K$2:$K$1001,$AB31),10000)/100),MOD(INDEX(기본자료!$K$2:$K$1001,$AB31),100)),INDEX(기본자료!$K$2:$K$1001,$AB31)&amp;"")))))</f>
        <v/>
      </c>
      <c r="F31" s="10">
        <f>IF($AB31="","",IF(INDEX(기본자료!$D$2:$D$1001,$AB31)="","",INDEX(기본자료!$D$2:$D$1001,$AB31)))</f>
        <v/>
      </c>
      <c r="G31" s="10">
        <f>IF($AB31="","",IF(INDEX(기본자료!$E$2:$E$1001,$AB31)="","",INDEX(기본자료!$E$2:$E$1001,$AB31)))</f>
        <v/>
      </c>
      <c r="H31" s="10">
        <f>IF($AB31="","",IF(INDEX(기본자료!$F$2:$F$1001,$AB31)="","",INDEX(기본자료!$F$2:$F$1001,$AB31)))</f>
        <v/>
      </c>
      <c r="I31" s="11">
        <f>IF($AB31="","",IF(INDEX(기본자료!$G$2:$G$1001,$AB31)="","",IF(NOT(ISNUMBER(INDEX(기본자료!$G$2:$G$1001,$AB31))),INDEX(기본자료!$G$2:$G$1001,$AB31),IF(INDEX(기본자료!$G$2:$G$1001,$AB31)&lt;1000000,INDEX(기본자료!$G$2:$G$1001,$AB31),IF(AND(INDEX(기본자료!$G$2:$G$1001,$AB31)&gt;=10000101,INT(MOD(INDEX(기본자료!$G$2:$G$1001,$AB31),10000)/100)&gt;=1,INT(MOD(INDEX(기본자료!$G$2:$G$1001,$AB31),10000)/100)&lt;=12,MOD(INDEX(기본자료!$G$2:$G$1001,$AB31),100)&gt;=1,MOD(INDEX(기본자료!$G$2:$G$1001,$AB31),100)&lt;=31),DATE(INT(INDEX(기본자료!$G$2:$G$1001,$AB31)/10000),INT(MOD(INDEX(기본자료!$G$2:$G$1001,$AB31),10000)/100),MOD(INDEX(기본자료!$G$2:$G$1001,$AB31),100)),INDEX(기본자료!$G$2:$G$1001,$AB31)&amp;"")))))</f>
        <v/>
      </c>
      <c r="J31" s="10">
        <f>IF($AB31="","",IF(INDEX(기본자료!$H$2:$H$1001,$AB31)="","",INDEX(기본자료!$H$2:$H$1001,$AB31)))</f>
        <v/>
      </c>
      <c r="K31" s="10">
        <f>IF($AB31="","",IF(INDEX(기본자료!$I$2:$I$1001,$AB31)="","",INDEX(기본자료!$I$2:$I$1001,$AB31)))</f>
        <v/>
      </c>
      <c r="L31" s="10">
        <f>IF($AB31="","",IF(INDEX(기본자료!$A$2:$A$1001,$AB31)="","",INDEX(기본자료!$A$2:$A$1001,$AB31)))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$803,$AK31),OR(NOT(ISNUMBER(INDEX(파견수련계획!$AC$4:$AC$803,$AK31))),TODAY()&lt;=INDEX(파견수련계획!$AC$4:$AC$803,$AK31))),"다기관",IF($AF31="","",INDEX(파견수련계획!$T$4:$T$803,$AF31))),IF($AF31="","",INDEX(파견수련계획!$T$4:$T$803,$AF31))))</f>
        <v/>
      </c>
      <c r="Q31" s="10">
        <f>IF($AF31="","",INDEX(파견수련계획!$S$4:$S$803,$AF31))</f>
        <v/>
      </c>
      <c r="R31" s="10">
        <f>IF($AF31="","",INDEX(파견수련계획!$U$4:$U$803,$AF31))</f>
        <v/>
      </c>
      <c r="S31" s="11">
        <f>IF($AF31="","",IF(INDEX(파견수련계획!$H$4:$H$803,$AF31)="","",INDEX(파견수련계획!$H$4:$H$803,$AF31)))</f>
        <v/>
      </c>
      <c r="T31" s="11">
        <f>IF($AF31="","",IF(INDEX(파견수련계획!$I$4:$I$803,$AF31)="","",INDEX(파견수련계획!$I$4:$I$803,$AF31)))</f>
        <v/>
      </c>
      <c r="U31" s="10">
        <f>IF($AF31="","",INDEX(파견수련계획!$X$4:$X$803,$AF31))</f>
        <v/>
      </c>
      <c r="V31" s="17">
        <f>IF($AF31="","",INDEX(파견수련계획!$V$4:$V$803,$AF31))</f>
        <v/>
      </c>
      <c r="W31" s="17">
        <f>IF(AND($U31="파견중",$T31&lt;&gt;""),$T31-TODAY(),"")</f>
        <v/>
      </c>
      <c r="X31" s="17">
        <f>IF(OR($B31="",TRIM($J31&amp;"")=""),"",SUMPRODUCT((파견수련계획!$Q$4:$Q$803=TRIM($J31&amp;""))*파견수련계획!$W$4:$W$803))</f>
        <v/>
      </c>
      <c r="Y31" s="10">
        <f>IF($B31="","",IF($AG31="","",IF(IF(TRIM($J31&amp;"")="",0,SUMPRODUCT((파견수련계획!$Q$4:$Q$803=TRIM($J31&amp;""))*파견수련계획!$AD$4:$AD$803)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"&amp;$AI31&amp;"일)")),IF($AJ31="",$AE31,IF(INDEX(파견수련계획!$T$4:$T$803,$AJ31)="통합수련",INDEX(파견수련계획!$S$4:$S$803,$AJ31),$AE31)))))))</f>
        <v/>
      </c>
      <c r="Z31" s="19">
        <f>IF($B31="","",IF($AB31="","기본자료에 없는 사번",IF(COUNTIF($B$2:$B$401,$B31)&gt;1,"중복 사번",IF($AE31="","소속(입사장소) 입력",IF(IF(TRIM($J31&amp;"")="",0,SUMPRODUCT((파견수련계획!$Q$4:$Q$803=TRIM($J31&amp;""))*(파견수련계획!$AA$4:$AA$803&lt;&gt;"")))&gt;0,"파견수련계획 입력오류 확인",IF(LEFT($Y31,1)="⚠","서울·구리 15일 판정 불가(양쪽 모두 이상/미만)",IF(IF($AC31="",0,N(INDEX(인턴근무계획!$T$3:$T$402,$AC31)))&gt;0,"인턴계획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IF($B31="","",IFERROR(MATCH($B31,기본자료!$B$2:$B$1001,0),IFERROR(MATCH($B31&amp;"",기본자료!$B$2:$B$1001,0),IFERROR(MATCH(VALUE($B31),기본자료!$B$2:$B$1001,0),""))))</f>
        <v/>
      </c>
      <c r="AC31" s="10">
        <f>IF($B31="","",IFERROR(MATCH($B31,인턴근무계획!$D$3:$D$402,0),IFERROR(MATCH($B31&amp;"",인턴근무계획!$D$3:$D$402,0),IFERROR(MATCH(VALUE($B31),인턴근무계획!$D$3:$D$402,0),""))))</f>
        <v/>
      </c>
      <c r="AD31" s="10">
        <f>IF(OR($AC31="",인턴현황!$G$3=""),"",INDEX(인턴근무계획!$M$3:$R$402,$AC31,인턴현황!$G$3)&amp;"")</f>
        <v/>
      </c>
      <c r="AE31" s="10">
        <f>IF($B31="","",IF($M31&lt;&gt;"",$M31,IF($AF31&lt;&gt;"",IF(LEFT(INDEX(파견수련계획!$R$4:$R$803,$AF31),1)&lt;&gt;"⚠",INDEX(파견수련계획!$R$4:$R$803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$803,0),IFERROR(MATCH(TRIM($J31&amp;"")&amp;"|파견예정",파견수련계획!$Y$4:$Y$803,0),IFERROR(MATCH(TRIM($J31&amp;"")&amp;"|파견종료",파견수련계획!$Y$4:$Y$803,0),""))))</f>
        <v/>
      </c>
      <c r="AG31" s="10">
        <f>IF($B31="","",IF(AND(IF(OR($AC31="",인턴현황!$K$2=""),"",INDEX(인턴근무계획!$M$3:$R$402,$AC31,인턴현황!$K$2)&amp;"")&lt;&gt;"",LEFT(IF(OR($AC31="",인턴현황!$K$2=""),"",INDEX(인턴근무계획!$M$3:$R$402,$AC31,인턴현황!$K$2)&amp;""),1)&lt;&gt;"⚠"),LEFT(IF(OR($AC31="",인턴현황!$K$2=""),"",INDEX(인턴근무계획!$M$3:$R$402,$AC31,인턴현황!$K$2)&amp;""),FIND(" ",IF(OR($AC31="",인턴현황!$K$2=""),"",INDEX(인턴근무계획!$M$3:$R$402,$AC31,인턴현황!$K$2)&amp;""))-1),$AE31))</f>
        <v/>
      </c>
      <c r="AH31" s="17">
        <f>IF($B31="","",IF(TRIM($J31&amp;"")="",0,SUMPRODUCT((파견수련계획!$Q$4:$Q$803=TRIM($J31&amp;""))*(파견수련계획!$S$4:$S$803="서울병원")*파견수련계획!$W$4:$W$803))+IF($AG31="서울병원",MAX(0,DAY(EOMONTH(요약!$B$3,0))-N($X31)),0))</f>
        <v/>
      </c>
      <c r="AI31" s="17">
        <f>IF($B31="","",IF(TRIM($J31&amp;"")="",0,SUMPRODUCT((파견수련계획!$Q$4:$Q$803=TRIM($J31&amp;""))*(파견수련계획!$S$4:$S$803="구리병원")*파견수련계획!$W$4:$W$803))+IF($AG31="구리병원",MAX(0,DAY(EOMONTH(요약!$B$3,0))-N($X31)),0))</f>
        <v/>
      </c>
      <c r="AJ31" s="10">
        <f>IF(OR($B31="",TRIM($J31&amp;"")=""),"",IFERROR(MATCH(TRIM($J31&amp;"")&amp;"|월",파견수련계획!$Z$4:$Z$803,0),""))</f>
        <v/>
      </c>
      <c r="AK31" s="10">
        <f>IF(OR($B31="",TRIM($J31&amp;"")=""),"",IFERROR(MATCH(TRIM($J31&amp;"")&amp;"|다기관",파견수련계획!$AE$4:$AE$803,0),""))</f>
        <v/>
      </c>
      <c r="AL31" s="10">
        <f>IF($AK31="","","다기관 "&amp;TEXT(INDEX(파견수련계획!$AB$4:$AB$803,$AK31),"yyyy-mm-dd")&amp;"~"&amp;IF(ISNUMBER(INDEX(파견수련계획!$AC$4:$AC$803,$AK31)),TEXT(INDEX(파견수련계획!$AC$4:$AC$803,$AK31),"yyyy-mm-dd"),""))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IF($AB32="","",IF(INDEX(기본자료!$C$2:$C$1001,$AB32)="","",INDEX(기본자료!$C$2:$C$1001,$AB32)))</f>
        <v/>
      </c>
      <c r="D32" s="10">
        <f>IF($AB32="","",IF(INDEX(기본자료!$J$2:$J$1001,$AB32)="","",INDEX(기본자료!$J$2:$J$1001,$AB32)))</f>
        <v/>
      </c>
      <c r="E32" s="11">
        <f>IF($AB32="","",IF(INDEX(기본자료!$K$2:$K$1001,$AB32)="","",IF(NOT(ISNUMBER(INDEX(기본자료!$K$2:$K$1001,$AB32))),INDEX(기본자료!$K$2:$K$1001,$AB32),IF(INDEX(기본자료!$K$2:$K$1001,$AB32)&lt;1000000,INDEX(기본자료!$K$2:$K$1001,$AB32),IF(AND(INDEX(기본자료!$K$2:$K$1001,$AB32)&gt;=10000101,INT(MOD(INDEX(기본자료!$K$2:$K$1001,$AB32),10000)/100)&gt;=1,INT(MOD(INDEX(기본자료!$K$2:$K$1001,$AB32),10000)/100)&lt;=12,MOD(INDEX(기본자료!$K$2:$K$1001,$AB32),100)&gt;=1,MOD(INDEX(기본자료!$K$2:$K$1001,$AB32),100)&lt;=31),DATE(INT(INDEX(기본자료!$K$2:$K$1001,$AB32)/10000),INT(MOD(INDEX(기본자료!$K$2:$K$1001,$AB32),10000)/100),MOD(INDEX(기본자료!$K$2:$K$1001,$AB32),100)),INDEX(기본자료!$K$2:$K$1001,$AB32)&amp;"")))))</f>
        <v/>
      </c>
      <c r="F32" s="10">
        <f>IF($AB32="","",IF(INDEX(기본자료!$D$2:$D$1001,$AB32)="","",INDEX(기본자료!$D$2:$D$1001,$AB32)))</f>
        <v/>
      </c>
      <c r="G32" s="10">
        <f>IF($AB32="","",IF(INDEX(기본자료!$E$2:$E$1001,$AB32)="","",INDEX(기본자료!$E$2:$E$1001,$AB32)))</f>
        <v/>
      </c>
      <c r="H32" s="10">
        <f>IF($AB32="","",IF(INDEX(기본자료!$F$2:$F$1001,$AB32)="","",INDEX(기본자료!$F$2:$F$1001,$AB32)))</f>
        <v/>
      </c>
      <c r="I32" s="11">
        <f>IF($AB32="","",IF(INDEX(기본자료!$G$2:$G$1001,$AB32)="","",IF(NOT(ISNUMBER(INDEX(기본자료!$G$2:$G$1001,$AB32))),INDEX(기본자료!$G$2:$G$1001,$AB32),IF(INDEX(기본자료!$G$2:$G$1001,$AB32)&lt;1000000,INDEX(기본자료!$G$2:$G$1001,$AB32),IF(AND(INDEX(기본자료!$G$2:$G$1001,$AB32)&gt;=10000101,INT(MOD(INDEX(기본자료!$G$2:$G$1001,$AB32),10000)/100)&gt;=1,INT(MOD(INDEX(기본자료!$G$2:$G$1001,$AB32),10000)/100)&lt;=12,MOD(INDEX(기본자료!$G$2:$G$1001,$AB32),100)&gt;=1,MOD(INDEX(기본자료!$G$2:$G$1001,$AB32),100)&lt;=31),DATE(INT(INDEX(기본자료!$G$2:$G$1001,$AB32)/10000),INT(MOD(INDEX(기본자료!$G$2:$G$1001,$AB32),10000)/100),MOD(INDEX(기본자료!$G$2:$G$1001,$AB32),100)),INDEX(기본자료!$G$2:$G$1001,$AB32)&amp;"")))))</f>
        <v/>
      </c>
      <c r="J32" s="10">
        <f>IF($AB32="","",IF(INDEX(기본자료!$H$2:$H$1001,$AB32)="","",INDEX(기본자료!$H$2:$H$1001,$AB32)))</f>
        <v/>
      </c>
      <c r="K32" s="10">
        <f>IF($AB32="","",IF(INDEX(기본자료!$I$2:$I$1001,$AB32)="","",INDEX(기본자료!$I$2:$I$1001,$AB32)))</f>
        <v/>
      </c>
      <c r="L32" s="10">
        <f>IF($AB32="","",IF(INDEX(기본자료!$A$2:$A$1001,$AB32)="","",INDEX(기본자료!$A$2:$A$1001,$AB32)))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$803,$AK32),OR(NOT(ISNUMBER(INDEX(파견수련계획!$AC$4:$AC$803,$AK32))),TODAY()&lt;=INDEX(파견수련계획!$AC$4:$AC$803,$AK32))),"다기관",IF($AF32="","",INDEX(파견수련계획!$T$4:$T$803,$AF32))),IF($AF32="","",INDEX(파견수련계획!$T$4:$T$803,$AF32))))</f>
        <v/>
      </c>
      <c r="Q32" s="10">
        <f>IF($AF32="","",INDEX(파견수련계획!$S$4:$S$803,$AF32))</f>
        <v/>
      </c>
      <c r="R32" s="10">
        <f>IF($AF32="","",INDEX(파견수련계획!$U$4:$U$803,$AF32))</f>
        <v/>
      </c>
      <c r="S32" s="11">
        <f>IF($AF32="","",IF(INDEX(파견수련계획!$H$4:$H$803,$AF32)="","",INDEX(파견수련계획!$H$4:$H$803,$AF32)))</f>
        <v/>
      </c>
      <c r="T32" s="11">
        <f>IF($AF32="","",IF(INDEX(파견수련계획!$I$4:$I$803,$AF32)="","",INDEX(파견수련계획!$I$4:$I$803,$AF32)))</f>
        <v/>
      </c>
      <c r="U32" s="10">
        <f>IF($AF32="","",INDEX(파견수련계획!$X$4:$X$803,$AF32))</f>
        <v/>
      </c>
      <c r="V32" s="17">
        <f>IF($AF32="","",INDEX(파견수련계획!$V$4:$V$803,$AF32))</f>
        <v/>
      </c>
      <c r="W32" s="17">
        <f>IF(AND($U32="파견중",$T32&lt;&gt;""),$T32-TODAY(),"")</f>
        <v/>
      </c>
      <c r="X32" s="17">
        <f>IF(OR($B32="",TRIM($J32&amp;"")=""),"",SUMPRODUCT((파견수련계획!$Q$4:$Q$803=TRIM($J32&amp;""))*파견수련계획!$W$4:$W$803))</f>
        <v/>
      </c>
      <c r="Y32" s="10">
        <f>IF($B32="","",IF($AG32="","",IF(IF(TRIM($J32&amp;"")="",0,SUMPRODUCT((파견수련계획!$Q$4:$Q$803=TRIM($J32&amp;""))*파견수련계획!$AD$4:$AD$803)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"&amp;$AI32&amp;"일)")),IF($AJ32="",$AE32,IF(INDEX(파견수련계획!$T$4:$T$803,$AJ32)="통합수련",INDEX(파견수련계획!$S$4:$S$803,$AJ32),$AE32)))))))</f>
        <v/>
      </c>
      <c r="Z32" s="19">
        <f>IF($B32="","",IF($AB32="","기본자료에 없는 사번",IF(COUNTIF($B$2:$B$401,$B32)&gt;1,"중복 사번",IF($AE32="","소속(입사장소) 입력",IF(IF(TRIM($J32&amp;"")="",0,SUMPRODUCT((파견수련계획!$Q$4:$Q$803=TRIM($J32&amp;""))*(파견수련계획!$AA$4:$AA$803&lt;&gt;"")))&gt;0,"파견수련계획 입력오류 확인",IF(LEFT($Y32,1)="⚠","서울·구리 15일 판정 불가(양쪽 모두 이상/미만)",IF(IF($AC32="",0,N(INDEX(인턴근무계획!$T$3:$T$402,$AC32)))&gt;0,"인턴계획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IF($B32="","",IFERROR(MATCH($B32,기본자료!$B$2:$B$1001,0),IFERROR(MATCH($B32&amp;"",기본자료!$B$2:$B$1001,0),IFERROR(MATCH(VALUE($B32),기본자료!$B$2:$B$1001,0),""))))</f>
        <v/>
      </c>
      <c r="AC32" s="10">
        <f>IF($B32="","",IFERROR(MATCH($B32,인턴근무계획!$D$3:$D$402,0),IFERROR(MATCH($B32&amp;"",인턴근무계획!$D$3:$D$402,0),IFERROR(MATCH(VALUE($B32),인턴근무계획!$D$3:$D$402,0),""))))</f>
        <v/>
      </c>
      <c r="AD32" s="10">
        <f>IF(OR($AC32="",인턴현황!$G$3=""),"",INDEX(인턴근무계획!$M$3:$R$402,$AC32,인턴현황!$G$3)&amp;"")</f>
        <v/>
      </c>
      <c r="AE32" s="10">
        <f>IF($B32="","",IF($M32&lt;&gt;"",$M32,IF($AF32&lt;&gt;"",IF(LEFT(INDEX(파견수련계획!$R$4:$R$803,$AF32),1)&lt;&gt;"⚠",INDEX(파견수련계획!$R$4:$R$803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$803,0),IFERROR(MATCH(TRIM($J32&amp;"")&amp;"|파견예정",파견수련계획!$Y$4:$Y$803,0),IFERROR(MATCH(TRIM($J32&amp;"")&amp;"|파견종료",파견수련계획!$Y$4:$Y$803,0),""))))</f>
        <v/>
      </c>
      <c r="AG32" s="10">
        <f>IF($B32="","",IF(AND(IF(OR($AC32="",인턴현황!$K$2=""),"",INDEX(인턴근무계획!$M$3:$R$402,$AC32,인턴현황!$K$2)&amp;"")&lt;&gt;"",LEFT(IF(OR($AC32="",인턴현황!$K$2=""),"",INDEX(인턴근무계획!$M$3:$R$402,$AC32,인턴현황!$K$2)&amp;""),1)&lt;&gt;"⚠"),LEFT(IF(OR($AC32="",인턴현황!$K$2=""),"",INDEX(인턴근무계획!$M$3:$R$402,$AC32,인턴현황!$K$2)&amp;""),FIND(" ",IF(OR($AC32="",인턴현황!$K$2=""),"",INDEX(인턴근무계획!$M$3:$R$402,$AC32,인턴현황!$K$2)&amp;""))-1),$AE32))</f>
        <v/>
      </c>
      <c r="AH32" s="17">
        <f>IF($B32="","",IF(TRIM($J32&amp;"")="",0,SUMPRODUCT((파견수련계획!$Q$4:$Q$803=TRIM($J32&amp;""))*(파견수련계획!$S$4:$S$803="서울병원")*파견수련계획!$W$4:$W$803))+IF($AG32="서울병원",MAX(0,DAY(EOMONTH(요약!$B$3,0))-N($X32)),0))</f>
        <v/>
      </c>
      <c r="AI32" s="17">
        <f>IF($B32="","",IF(TRIM($J32&amp;"")="",0,SUMPRODUCT((파견수련계획!$Q$4:$Q$803=TRIM($J32&amp;""))*(파견수련계획!$S$4:$S$803="구리병원")*파견수련계획!$W$4:$W$803))+IF($AG32="구리병원",MAX(0,DAY(EOMONTH(요약!$B$3,0))-N($X32)),0))</f>
        <v/>
      </c>
      <c r="AJ32" s="10">
        <f>IF(OR($B32="",TRIM($J32&amp;"")=""),"",IFERROR(MATCH(TRIM($J32&amp;"")&amp;"|월",파견수련계획!$Z$4:$Z$803,0),""))</f>
        <v/>
      </c>
      <c r="AK32" s="10">
        <f>IF(OR($B32="",TRIM($J32&amp;"")=""),"",IFERROR(MATCH(TRIM($J32&amp;"")&amp;"|다기관",파견수련계획!$AE$4:$AE$803,0),""))</f>
        <v/>
      </c>
      <c r="AL32" s="10">
        <f>IF($AK32="","","다기관 "&amp;TEXT(INDEX(파견수련계획!$AB$4:$AB$803,$AK32),"yyyy-mm-dd")&amp;"~"&amp;IF(ISNUMBER(INDEX(파견수련계획!$AC$4:$AC$803,$AK32)),TEXT(INDEX(파견수련계획!$AC$4:$AC$803,$AK32),"yyyy-mm-dd"),""))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IF($AB33="","",IF(INDEX(기본자료!$C$2:$C$1001,$AB33)="","",INDEX(기본자료!$C$2:$C$1001,$AB33)))</f>
        <v/>
      </c>
      <c r="D33" s="10">
        <f>IF($AB33="","",IF(INDEX(기본자료!$J$2:$J$1001,$AB33)="","",INDEX(기본자료!$J$2:$J$1001,$AB33)))</f>
        <v/>
      </c>
      <c r="E33" s="11">
        <f>IF($AB33="","",IF(INDEX(기본자료!$K$2:$K$1001,$AB33)="","",IF(NOT(ISNUMBER(INDEX(기본자료!$K$2:$K$1001,$AB33))),INDEX(기본자료!$K$2:$K$1001,$AB33),IF(INDEX(기본자료!$K$2:$K$1001,$AB33)&lt;1000000,INDEX(기본자료!$K$2:$K$1001,$AB33),IF(AND(INDEX(기본자료!$K$2:$K$1001,$AB33)&gt;=10000101,INT(MOD(INDEX(기본자료!$K$2:$K$1001,$AB33),10000)/100)&gt;=1,INT(MOD(INDEX(기본자료!$K$2:$K$1001,$AB33),10000)/100)&lt;=12,MOD(INDEX(기본자료!$K$2:$K$1001,$AB33),100)&gt;=1,MOD(INDEX(기본자료!$K$2:$K$1001,$AB33),100)&lt;=31),DATE(INT(INDEX(기본자료!$K$2:$K$1001,$AB33)/10000),INT(MOD(INDEX(기본자료!$K$2:$K$1001,$AB33),10000)/100),MOD(INDEX(기본자료!$K$2:$K$1001,$AB33),100)),INDEX(기본자료!$K$2:$K$1001,$AB33)&amp;"")))))</f>
        <v/>
      </c>
      <c r="F33" s="10">
        <f>IF($AB33="","",IF(INDEX(기본자료!$D$2:$D$1001,$AB33)="","",INDEX(기본자료!$D$2:$D$1001,$AB33)))</f>
        <v/>
      </c>
      <c r="G33" s="10">
        <f>IF($AB33="","",IF(INDEX(기본자료!$E$2:$E$1001,$AB33)="","",INDEX(기본자료!$E$2:$E$1001,$AB33)))</f>
        <v/>
      </c>
      <c r="H33" s="10">
        <f>IF($AB33="","",IF(INDEX(기본자료!$F$2:$F$1001,$AB33)="","",INDEX(기본자료!$F$2:$F$1001,$AB33)))</f>
        <v/>
      </c>
      <c r="I33" s="11">
        <f>IF($AB33="","",IF(INDEX(기본자료!$G$2:$G$1001,$AB33)="","",IF(NOT(ISNUMBER(INDEX(기본자료!$G$2:$G$1001,$AB33))),INDEX(기본자료!$G$2:$G$1001,$AB33),IF(INDEX(기본자료!$G$2:$G$1001,$AB33)&lt;1000000,INDEX(기본자료!$G$2:$G$1001,$AB33),IF(AND(INDEX(기본자료!$G$2:$G$1001,$AB33)&gt;=10000101,INT(MOD(INDEX(기본자료!$G$2:$G$1001,$AB33),10000)/100)&gt;=1,INT(MOD(INDEX(기본자료!$G$2:$G$1001,$AB33),10000)/100)&lt;=12,MOD(INDEX(기본자료!$G$2:$G$1001,$AB33),100)&gt;=1,MOD(INDEX(기본자료!$G$2:$G$1001,$AB33),100)&lt;=31),DATE(INT(INDEX(기본자료!$G$2:$G$1001,$AB33)/10000),INT(MOD(INDEX(기본자료!$G$2:$G$1001,$AB33),10000)/100),MOD(INDEX(기본자료!$G$2:$G$1001,$AB33),100)),INDEX(기본자료!$G$2:$G$1001,$AB33)&amp;"")))))</f>
        <v/>
      </c>
      <c r="J33" s="10">
        <f>IF($AB33="","",IF(INDEX(기본자료!$H$2:$H$1001,$AB33)="","",INDEX(기본자료!$H$2:$H$1001,$AB33)))</f>
        <v/>
      </c>
      <c r="K33" s="10">
        <f>IF($AB33="","",IF(INDEX(기본자료!$I$2:$I$1001,$AB33)="","",INDEX(기본자료!$I$2:$I$1001,$AB33)))</f>
        <v/>
      </c>
      <c r="L33" s="10">
        <f>IF($AB33="","",IF(INDEX(기본자료!$A$2:$A$1001,$AB33)="","",INDEX(기본자료!$A$2:$A$1001,$AB33)))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$803,$AK33),OR(NOT(ISNUMBER(INDEX(파견수련계획!$AC$4:$AC$803,$AK33))),TODAY()&lt;=INDEX(파견수련계획!$AC$4:$AC$803,$AK33))),"다기관",IF($AF33="","",INDEX(파견수련계획!$T$4:$T$803,$AF33))),IF($AF33="","",INDEX(파견수련계획!$T$4:$T$803,$AF33))))</f>
        <v/>
      </c>
      <c r="Q33" s="10">
        <f>IF($AF33="","",INDEX(파견수련계획!$S$4:$S$803,$AF33))</f>
        <v/>
      </c>
      <c r="R33" s="10">
        <f>IF($AF33="","",INDEX(파견수련계획!$U$4:$U$803,$AF33))</f>
        <v/>
      </c>
      <c r="S33" s="11">
        <f>IF($AF33="","",IF(INDEX(파견수련계획!$H$4:$H$803,$AF33)="","",INDEX(파견수련계획!$H$4:$H$803,$AF33)))</f>
        <v/>
      </c>
      <c r="T33" s="11">
        <f>IF($AF33="","",IF(INDEX(파견수련계획!$I$4:$I$803,$AF33)="","",INDEX(파견수련계획!$I$4:$I$803,$AF33)))</f>
        <v/>
      </c>
      <c r="U33" s="10">
        <f>IF($AF33="","",INDEX(파견수련계획!$X$4:$X$803,$AF33))</f>
        <v/>
      </c>
      <c r="V33" s="17">
        <f>IF($AF33="","",INDEX(파견수련계획!$V$4:$V$803,$AF33))</f>
        <v/>
      </c>
      <c r="W33" s="17">
        <f>IF(AND($U33="파견중",$T33&lt;&gt;""),$T33-TODAY(),"")</f>
        <v/>
      </c>
      <c r="X33" s="17">
        <f>IF(OR($B33="",TRIM($J33&amp;"")=""),"",SUMPRODUCT((파견수련계획!$Q$4:$Q$803=TRIM($J33&amp;""))*파견수련계획!$W$4:$W$803))</f>
        <v/>
      </c>
      <c r="Y33" s="10">
        <f>IF($B33="","",IF($AG33="","",IF(IF(TRIM($J33&amp;"")="",0,SUMPRODUCT((파견수련계획!$Q$4:$Q$803=TRIM($J33&amp;""))*파견수련계획!$AD$4:$AD$803)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"&amp;$AI33&amp;"일)")),IF($AJ33="",$AE33,IF(INDEX(파견수련계획!$T$4:$T$803,$AJ33)="통합수련",INDEX(파견수련계획!$S$4:$S$803,$AJ33),$AE33)))))))</f>
        <v/>
      </c>
      <c r="Z33" s="19">
        <f>IF($B33="","",IF($AB33="","기본자료에 없는 사번",IF(COUNTIF($B$2:$B$401,$B33)&gt;1,"중복 사번",IF($AE33="","소속(입사장소) 입력",IF(IF(TRIM($J33&amp;"")="",0,SUMPRODUCT((파견수련계획!$Q$4:$Q$803=TRIM($J33&amp;""))*(파견수련계획!$AA$4:$AA$803&lt;&gt;"")))&gt;0,"파견수련계획 입력오류 확인",IF(LEFT($Y33,1)="⚠","서울·구리 15일 판정 불가(양쪽 모두 이상/미만)",IF(IF($AC33="",0,N(INDEX(인턴근무계획!$T$3:$T$402,$AC33)))&gt;0,"인턴계획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IF($B33="","",IFERROR(MATCH($B33,기본자료!$B$2:$B$1001,0),IFERROR(MATCH($B33&amp;"",기본자료!$B$2:$B$1001,0),IFERROR(MATCH(VALUE($B33),기본자료!$B$2:$B$1001,0),""))))</f>
        <v/>
      </c>
      <c r="AC33" s="10">
        <f>IF($B33="","",IFERROR(MATCH($B33,인턴근무계획!$D$3:$D$402,0),IFERROR(MATCH($B33&amp;"",인턴근무계획!$D$3:$D$402,0),IFERROR(MATCH(VALUE($B33),인턴근무계획!$D$3:$D$402,0),""))))</f>
        <v/>
      </c>
      <c r="AD33" s="10">
        <f>IF(OR($AC33="",인턴현황!$G$3=""),"",INDEX(인턴근무계획!$M$3:$R$402,$AC33,인턴현황!$G$3)&amp;"")</f>
        <v/>
      </c>
      <c r="AE33" s="10">
        <f>IF($B33="","",IF($M33&lt;&gt;"",$M33,IF($AF33&lt;&gt;"",IF(LEFT(INDEX(파견수련계획!$R$4:$R$803,$AF33),1)&lt;&gt;"⚠",INDEX(파견수련계획!$R$4:$R$803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$803,0),IFERROR(MATCH(TRIM($J33&amp;"")&amp;"|파견예정",파견수련계획!$Y$4:$Y$803,0),IFERROR(MATCH(TRIM($J33&amp;"")&amp;"|파견종료",파견수련계획!$Y$4:$Y$803,0),""))))</f>
        <v/>
      </c>
      <c r="AG33" s="10">
        <f>IF($B33="","",IF(AND(IF(OR($AC33="",인턴현황!$K$2=""),"",INDEX(인턴근무계획!$M$3:$R$402,$AC33,인턴현황!$K$2)&amp;"")&lt;&gt;"",LEFT(IF(OR($AC33="",인턴현황!$K$2=""),"",INDEX(인턴근무계획!$M$3:$R$402,$AC33,인턴현황!$K$2)&amp;""),1)&lt;&gt;"⚠"),LEFT(IF(OR($AC33="",인턴현황!$K$2=""),"",INDEX(인턴근무계획!$M$3:$R$402,$AC33,인턴현황!$K$2)&amp;""),FIND(" ",IF(OR($AC33="",인턴현황!$K$2=""),"",INDEX(인턴근무계획!$M$3:$R$402,$AC33,인턴현황!$K$2)&amp;""))-1),$AE33))</f>
        <v/>
      </c>
      <c r="AH33" s="17">
        <f>IF($B33="","",IF(TRIM($J33&amp;"")="",0,SUMPRODUCT((파견수련계획!$Q$4:$Q$803=TRIM($J33&amp;""))*(파견수련계획!$S$4:$S$803="서울병원")*파견수련계획!$W$4:$W$803))+IF($AG33="서울병원",MAX(0,DAY(EOMONTH(요약!$B$3,0))-N($X33)),0))</f>
        <v/>
      </c>
      <c r="AI33" s="17">
        <f>IF($B33="","",IF(TRIM($J33&amp;"")="",0,SUMPRODUCT((파견수련계획!$Q$4:$Q$803=TRIM($J33&amp;""))*(파견수련계획!$S$4:$S$803="구리병원")*파견수련계획!$W$4:$W$803))+IF($AG33="구리병원",MAX(0,DAY(EOMONTH(요약!$B$3,0))-N($X33)),0))</f>
        <v/>
      </c>
      <c r="AJ33" s="10">
        <f>IF(OR($B33="",TRIM($J33&amp;"")=""),"",IFERROR(MATCH(TRIM($J33&amp;"")&amp;"|월",파견수련계획!$Z$4:$Z$803,0),""))</f>
        <v/>
      </c>
      <c r="AK33" s="10">
        <f>IF(OR($B33="",TRIM($J33&amp;"")=""),"",IFERROR(MATCH(TRIM($J33&amp;"")&amp;"|다기관",파견수련계획!$AE$4:$AE$803,0),""))</f>
        <v/>
      </c>
      <c r="AL33" s="10">
        <f>IF($AK33="","","다기관 "&amp;TEXT(INDEX(파견수련계획!$AB$4:$AB$803,$AK33),"yyyy-mm-dd")&amp;"~"&amp;IF(ISNUMBER(INDEX(파견수련계획!$AC$4:$AC$803,$AK33)),TEXT(INDEX(파견수련계획!$AC$4:$AC$803,$AK33),"yyyy-mm-dd"),""))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IF($AB34="","",IF(INDEX(기본자료!$C$2:$C$1001,$AB34)="","",INDEX(기본자료!$C$2:$C$1001,$AB34)))</f>
        <v/>
      </c>
      <c r="D34" s="10">
        <f>IF($AB34="","",IF(INDEX(기본자료!$J$2:$J$1001,$AB34)="","",INDEX(기본자료!$J$2:$J$1001,$AB34)))</f>
        <v/>
      </c>
      <c r="E34" s="11">
        <f>IF($AB34="","",IF(INDEX(기본자료!$K$2:$K$1001,$AB34)="","",IF(NOT(ISNUMBER(INDEX(기본자료!$K$2:$K$1001,$AB34))),INDEX(기본자료!$K$2:$K$1001,$AB34),IF(INDEX(기본자료!$K$2:$K$1001,$AB34)&lt;1000000,INDEX(기본자료!$K$2:$K$1001,$AB34),IF(AND(INDEX(기본자료!$K$2:$K$1001,$AB34)&gt;=10000101,INT(MOD(INDEX(기본자료!$K$2:$K$1001,$AB34),10000)/100)&gt;=1,INT(MOD(INDEX(기본자료!$K$2:$K$1001,$AB34),10000)/100)&lt;=12,MOD(INDEX(기본자료!$K$2:$K$1001,$AB34),100)&gt;=1,MOD(INDEX(기본자료!$K$2:$K$1001,$AB34),100)&lt;=31),DATE(INT(INDEX(기본자료!$K$2:$K$1001,$AB34)/10000),INT(MOD(INDEX(기본자료!$K$2:$K$1001,$AB34),10000)/100),MOD(INDEX(기본자료!$K$2:$K$1001,$AB34),100)),INDEX(기본자료!$K$2:$K$1001,$AB34)&amp;"")))))</f>
        <v/>
      </c>
      <c r="F34" s="10">
        <f>IF($AB34="","",IF(INDEX(기본자료!$D$2:$D$1001,$AB34)="","",INDEX(기본자료!$D$2:$D$1001,$AB34)))</f>
        <v/>
      </c>
      <c r="G34" s="10">
        <f>IF($AB34="","",IF(INDEX(기본자료!$E$2:$E$1001,$AB34)="","",INDEX(기본자료!$E$2:$E$1001,$AB34)))</f>
        <v/>
      </c>
      <c r="H34" s="10">
        <f>IF($AB34="","",IF(INDEX(기본자료!$F$2:$F$1001,$AB34)="","",INDEX(기본자료!$F$2:$F$1001,$AB34)))</f>
        <v/>
      </c>
      <c r="I34" s="11">
        <f>IF($AB34="","",IF(INDEX(기본자료!$G$2:$G$1001,$AB34)="","",IF(NOT(ISNUMBER(INDEX(기본자료!$G$2:$G$1001,$AB34))),INDEX(기본자료!$G$2:$G$1001,$AB34),IF(INDEX(기본자료!$G$2:$G$1001,$AB34)&lt;1000000,INDEX(기본자료!$G$2:$G$1001,$AB34),IF(AND(INDEX(기본자료!$G$2:$G$1001,$AB34)&gt;=10000101,INT(MOD(INDEX(기본자료!$G$2:$G$1001,$AB34),10000)/100)&gt;=1,INT(MOD(INDEX(기본자료!$G$2:$G$1001,$AB34),10000)/100)&lt;=12,MOD(INDEX(기본자료!$G$2:$G$1001,$AB34),100)&gt;=1,MOD(INDEX(기본자료!$G$2:$G$1001,$AB34),100)&lt;=31),DATE(INT(INDEX(기본자료!$G$2:$G$1001,$AB34)/10000),INT(MOD(INDEX(기본자료!$G$2:$G$1001,$AB34),10000)/100),MOD(INDEX(기본자료!$G$2:$G$1001,$AB34),100)),INDEX(기본자료!$G$2:$G$1001,$AB34)&amp;"")))))</f>
        <v/>
      </c>
      <c r="J34" s="10">
        <f>IF($AB34="","",IF(INDEX(기본자료!$H$2:$H$1001,$AB34)="","",INDEX(기본자료!$H$2:$H$1001,$AB34)))</f>
        <v/>
      </c>
      <c r="K34" s="10">
        <f>IF($AB34="","",IF(INDEX(기본자료!$I$2:$I$1001,$AB34)="","",INDEX(기본자료!$I$2:$I$1001,$AB34)))</f>
        <v/>
      </c>
      <c r="L34" s="10">
        <f>IF($AB34="","",IF(INDEX(기본자료!$A$2:$A$1001,$AB34)="","",INDEX(기본자료!$A$2:$A$1001,$AB34)))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$803,$AK34),OR(NOT(ISNUMBER(INDEX(파견수련계획!$AC$4:$AC$803,$AK34))),TODAY()&lt;=INDEX(파견수련계획!$AC$4:$AC$803,$AK34))),"다기관",IF($AF34="","",INDEX(파견수련계획!$T$4:$T$803,$AF34))),IF($AF34="","",INDEX(파견수련계획!$T$4:$T$803,$AF34))))</f>
        <v/>
      </c>
      <c r="Q34" s="10">
        <f>IF($AF34="","",INDEX(파견수련계획!$S$4:$S$803,$AF34))</f>
        <v/>
      </c>
      <c r="R34" s="10">
        <f>IF($AF34="","",INDEX(파견수련계획!$U$4:$U$803,$AF34))</f>
        <v/>
      </c>
      <c r="S34" s="11">
        <f>IF($AF34="","",IF(INDEX(파견수련계획!$H$4:$H$803,$AF34)="","",INDEX(파견수련계획!$H$4:$H$803,$AF34)))</f>
        <v/>
      </c>
      <c r="T34" s="11">
        <f>IF($AF34="","",IF(INDEX(파견수련계획!$I$4:$I$803,$AF34)="","",INDEX(파견수련계획!$I$4:$I$803,$AF34)))</f>
        <v/>
      </c>
      <c r="U34" s="10">
        <f>IF($AF34="","",INDEX(파견수련계획!$X$4:$X$803,$AF34))</f>
        <v/>
      </c>
      <c r="V34" s="17">
        <f>IF($AF34="","",INDEX(파견수련계획!$V$4:$V$803,$AF34))</f>
        <v/>
      </c>
      <c r="W34" s="17">
        <f>IF(AND($U34="파견중",$T34&lt;&gt;""),$T34-TODAY(),"")</f>
        <v/>
      </c>
      <c r="X34" s="17">
        <f>IF(OR($B34="",TRIM($J34&amp;"")=""),"",SUMPRODUCT((파견수련계획!$Q$4:$Q$803=TRIM($J34&amp;""))*파견수련계획!$W$4:$W$803))</f>
        <v/>
      </c>
      <c r="Y34" s="10">
        <f>IF($B34="","",IF($AG34="","",IF(IF(TRIM($J34&amp;"")="",0,SUMPRODUCT((파견수련계획!$Q$4:$Q$803=TRIM($J34&amp;""))*파견수련계획!$AD$4:$AD$803)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"&amp;$AI34&amp;"일)")),IF($AJ34="",$AE34,IF(INDEX(파견수련계획!$T$4:$T$803,$AJ34)="통합수련",INDEX(파견수련계획!$S$4:$S$803,$AJ34),$AE34)))))))</f>
        <v/>
      </c>
      <c r="Z34" s="19">
        <f>IF($B34="","",IF($AB34="","기본자료에 없는 사번",IF(COUNTIF($B$2:$B$401,$B34)&gt;1,"중복 사번",IF($AE34="","소속(입사장소) 입력",IF(IF(TRIM($J34&amp;"")="",0,SUMPRODUCT((파견수련계획!$Q$4:$Q$803=TRIM($J34&amp;""))*(파견수련계획!$AA$4:$AA$803&lt;&gt;"")))&gt;0,"파견수련계획 입력오류 확인",IF(LEFT($Y34,1)="⚠","서울·구리 15일 판정 불가(양쪽 모두 이상/미만)",IF(IF($AC34="",0,N(INDEX(인턴근무계획!$T$3:$T$402,$AC34)))&gt;0,"인턴계획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IF($B34="","",IFERROR(MATCH($B34,기본자료!$B$2:$B$1001,0),IFERROR(MATCH($B34&amp;"",기본자료!$B$2:$B$1001,0),IFERROR(MATCH(VALUE($B34),기본자료!$B$2:$B$1001,0),""))))</f>
        <v/>
      </c>
      <c r="AC34" s="10">
        <f>IF($B34="","",IFERROR(MATCH($B34,인턴근무계획!$D$3:$D$402,0),IFERROR(MATCH($B34&amp;"",인턴근무계획!$D$3:$D$402,0),IFERROR(MATCH(VALUE($B34),인턴근무계획!$D$3:$D$402,0),""))))</f>
        <v/>
      </c>
      <c r="AD34" s="10">
        <f>IF(OR($AC34="",인턴현황!$G$3=""),"",INDEX(인턴근무계획!$M$3:$R$402,$AC34,인턴현황!$G$3)&amp;"")</f>
        <v/>
      </c>
      <c r="AE34" s="10">
        <f>IF($B34="","",IF($M34&lt;&gt;"",$M34,IF($AF34&lt;&gt;"",IF(LEFT(INDEX(파견수련계획!$R$4:$R$803,$AF34),1)&lt;&gt;"⚠",INDEX(파견수련계획!$R$4:$R$803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$803,0),IFERROR(MATCH(TRIM($J34&amp;"")&amp;"|파견예정",파견수련계획!$Y$4:$Y$803,0),IFERROR(MATCH(TRIM($J34&amp;"")&amp;"|파견종료",파견수련계획!$Y$4:$Y$803,0),""))))</f>
        <v/>
      </c>
      <c r="AG34" s="10">
        <f>IF($B34="","",IF(AND(IF(OR($AC34="",인턴현황!$K$2=""),"",INDEX(인턴근무계획!$M$3:$R$402,$AC34,인턴현황!$K$2)&amp;"")&lt;&gt;"",LEFT(IF(OR($AC34="",인턴현황!$K$2=""),"",INDEX(인턴근무계획!$M$3:$R$402,$AC34,인턴현황!$K$2)&amp;""),1)&lt;&gt;"⚠"),LEFT(IF(OR($AC34="",인턴현황!$K$2=""),"",INDEX(인턴근무계획!$M$3:$R$402,$AC34,인턴현황!$K$2)&amp;""),FIND(" ",IF(OR($AC34="",인턴현황!$K$2=""),"",INDEX(인턴근무계획!$M$3:$R$402,$AC34,인턴현황!$K$2)&amp;""))-1),$AE34))</f>
        <v/>
      </c>
      <c r="AH34" s="17">
        <f>IF($B34="","",IF(TRIM($J34&amp;"")="",0,SUMPRODUCT((파견수련계획!$Q$4:$Q$803=TRIM($J34&amp;""))*(파견수련계획!$S$4:$S$803="서울병원")*파견수련계획!$W$4:$W$803))+IF($AG34="서울병원",MAX(0,DAY(EOMONTH(요약!$B$3,0))-N($X34)),0))</f>
        <v/>
      </c>
      <c r="AI34" s="17">
        <f>IF($B34="","",IF(TRIM($J34&amp;"")="",0,SUMPRODUCT((파견수련계획!$Q$4:$Q$803=TRIM($J34&amp;""))*(파견수련계획!$S$4:$S$803="구리병원")*파견수련계획!$W$4:$W$803))+IF($AG34="구리병원",MAX(0,DAY(EOMONTH(요약!$B$3,0))-N($X34)),0))</f>
        <v/>
      </c>
      <c r="AJ34" s="10">
        <f>IF(OR($B34="",TRIM($J34&amp;"")=""),"",IFERROR(MATCH(TRIM($J34&amp;"")&amp;"|월",파견수련계획!$Z$4:$Z$803,0),""))</f>
        <v/>
      </c>
      <c r="AK34" s="10">
        <f>IF(OR($B34="",TRIM($J34&amp;"")=""),"",IFERROR(MATCH(TRIM($J34&amp;"")&amp;"|다기관",파견수련계획!$AE$4:$AE$803,0),""))</f>
        <v/>
      </c>
      <c r="AL34" s="10">
        <f>IF($AK34="","","다기관 "&amp;TEXT(INDEX(파견수련계획!$AB$4:$AB$803,$AK34),"yyyy-mm-dd")&amp;"~"&amp;IF(ISNUMBER(INDEX(파견수련계획!$AC$4:$AC$803,$AK34)),TEXT(INDEX(파견수련계획!$AC$4:$AC$803,$AK34),"yyyy-mm-dd"),""))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IF($AB35="","",IF(INDEX(기본자료!$C$2:$C$1001,$AB35)="","",INDEX(기본자료!$C$2:$C$1001,$AB35)))</f>
        <v/>
      </c>
      <c r="D35" s="10">
        <f>IF($AB35="","",IF(INDEX(기본자료!$J$2:$J$1001,$AB35)="","",INDEX(기본자료!$J$2:$J$1001,$AB35)))</f>
        <v/>
      </c>
      <c r="E35" s="11">
        <f>IF($AB35="","",IF(INDEX(기본자료!$K$2:$K$1001,$AB35)="","",IF(NOT(ISNUMBER(INDEX(기본자료!$K$2:$K$1001,$AB35))),INDEX(기본자료!$K$2:$K$1001,$AB35),IF(INDEX(기본자료!$K$2:$K$1001,$AB35)&lt;1000000,INDEX(기본자료!$K$2:$K$1001,$AB35),IF(AND(INDEX(기본자료!$K$2:$K$1001,$AB35)&gt;=10000101,INT(MOD(INDEX(기본자료!$K$2:$K$1001,$AB35),10000)/100)&gt;=1,INT(MOD(INDEX(기본자료!$K$2:$K$1001,$AB35),10000)/100)&lt;=12,MOD(INDEX(기본자료!$K$2:$K$1001,$AB35),100)&gt;=1,MOD(INDEX(기본자료!$K$2:$K$1001,$AB35),100)&lt;=31),DATE(INT(INDEX(기본자료!$K$2:$K$1001,$AB35)/10000),INT(MOD(INDEX(기본자료!$K$2:$K$1001,$AB35),10000)/100),MOD(INDEX(기본자료!$K$2:$K$1001,$AB35),100)),INDEX(기본자료!$K$2:$K$1001,$AB35)&amp;"")))))</f>
        <v/>
      </c>
      <c r="F35" s="10">
        <f>IF($AB35="","",IF(INDEX(기본자료!$D$2:$D$1001,$AB35)="","",INDEX(기본자료!$D$2:$D$1001,$AB35)))</f>
        <v/>
      </c>
      <c r="G35" s="10">
        <f>IF($AB35="","",IF(INDEX(기본자료!$E$2:$E$1001,$AB35)="","",INDEX(기본자료!$E$2:$E$1001,$AB35)))</f>
        <v/>
      </c>
      <c r="H35" s="10">
        <f>IF($AB35="","",IF(INDEX(기본자료!$F$2:$F$1001,$AB35)="","",INDEX(기본자료!$F$2:$F$1001,$AB35)))</f>
        <v/>
      </c>
      <c r="I35" s="11">
        <f>IF($AB35="","",IF(INDEX(기본자료!$G$2:$G$1001,$AB35)="","",IF(NOT(ISNUMBER(INDEX(기본자료!$G$2:$G$1001,$AB35))),INDEX(기본자료!$G$2:$G$1001,$AB35),IF(INDEX(기본자료!$G$2:$G$1001,$AB35)&lt;1000000,INDEX(기본자료!$G$2:$G$1001,$AB35),IF(AND(INDEX(기본자료!$G$2:$G$1001,$AB35)&gt;=10000101,INT(MOD(INDEX(기본자료!$G$2:$G$1001,$AB35),10000)/100)&gt;=1,INT(MOD(INDEX(기본자료!$G$2:$G$1001,$AB35),10000)/100)&lt;=12,MOD(INDEX(기본자료!$G$2:$G$1001,$AB35),100)&gt;=1,MOD(INDEX(기본자료!$G$2:$G$1001,$AB35),100)&lt;=31),DATE(INT(INDEX(기본자료!$G$2:$G$1001,$AB35)/10000),INT(MOD(INDEX(기본자료!$G$2:$G$1001,$AB35),10000)/100),MOD(INDEX(기본자료!$G$2:$G$1001,$AB35),100)),INDEX(기본자료!$G$2:$G$1001,$AB35)&amp;"")))))</f>
        <v/>
      </c>
      <c r="J35" s="10">
        <f>IF($AB35="","",IF(INDEX(기본자료!$H$2:$H$1001,$AB35)="","",INDEX(기본자료!$H$2:$H$1001,$AB35)))</f>
        <v/>
      </c>
      <c r="K35" s="10">
        <f>IF($AB35="","",IF(INDEX(기본자료!$I$2:$I$1001,$AB35)="","",INDEX(기본자료!$I$2:$I$1001,$AB35)))</f>
        <v/>
      </c>
      <c r="L35" s="10">
        <f>IF($AB35="","",IF(INDEX(기본자료!$A$2:$A$1001,$AB35)="","",INDEX(기본자료!$A$2:$A$1001,$AB35)))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$803,$AK35),OR(NOT(ISNUMBER(INDEX(파견수련계획!$AC$4:$AC$803,$AK35))),TODAY()&lt;=INDEX(파견수련계획!$AC$4:$AC$803,$AK35))),"다기관",IF($AF35="","",INDEX(파견수련계획!$T$4:$T$803,$AF35))),IF($AF35="","",INDEX(파견수련계획!$T$4:$T$803,$AF35))))</f>
        <v/>
      </c>
      <c r="Q35" s="10">
        <f>IF($AF35="","",INDEX(파견수련계획!$S$4:$S$803,$AF35))</f>
        <v/>
      </c>
      <c r="R35" s="10">
        <f>IF($AF35="","",INDEX(파견수련계획!$U$4:$U$803,$AF35))</f>
        <v/>
      </c>
      <c r="S35" s="11">
        <f>IF($AF35="","",IF(INDEX(파견수련계획!$H$4:$H$803,$AF35)="","",INDEX(파견수련계획!$H$4:$H$803,$AF35)))</f>
        <v/>
      </c>
      <c r="T35" s="11">
        <f>IF($AF35="","",IF(INDEX(파견수련계획!$I$4:$I$803,$AF35)="","",INDEX(파견수련계획!$I$4:$I$803,$AF35)))</f>
        <v/>
      </c>
      <c r="U35" s="10">
        <f>IF($AF35="","",INDEX(파견수련계획!$X$4:$X$803,$AF35))</f>
        <v/>
      </c>
      <c r="V35" s="17">
        <f>IF($AF35="","",INDEX(파견수련계획!$V$4:$V$803,$AF35))</f>
        <v/>
      </c>
      <c r="W35" s="17">
        <f>IF(AND($U35="파견중",$T35&lt;&gt;""),$T35-TODAY(),"")</f>
        <v/>
      </c>
      <c r="X35" s="17">
        <f>IF(OR($B35="",TRIM($J35&amp;"")=""),"",SUMPRODUCT((파견수련계획!$Q$4:$Q$803=TRIM($J35&amp;""))*파견수련계획!$W$4:$W$803))</f>
        <v/>
      </c>
      <c r="Y35" s="10">
        <f>IF($B35="","",IF($AG35="","",IF(IF(TRIM($J35&amp;"")="",0,SUMPRODUCT((파견수련계획!$Q$4:$Q$803=TRIM($J35&amp;""))*파견수련계획!$AD$4:$AD$803)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"&amp;$AI35&amp;"일)")),IF($AJ35="",$AE35,IF(INDEX(파견수련계획!$T$4:$T$803,$AJ35)="통합수련",INDEX(파견수련계획!$S$4:$S$803,$AJ35),$AE35)))))))</f>
        <v/>
      </c>
      <c r="Z35" s="19">
        <f>IF($B35="","",IF($AB35="","기본자료에 없는 사번",IF(COUNTIF($B$2:$B$401,$B35)&gt;1,"중복 사번",IF($AE35="","소속(입사장소) 입력",IF(IF(TRIM($J35&amp;"")="",0,SUMPRODUCT((파견수련계획!$Q$4:$Q$803=TRIM($J35&amp;""))*(파견수련계획!$AA$4:$AA$803&lt;&gt;"")))&gt;0,"파견수련계획 입력오류 확인",IF(LEFT($Y35,1)="⚠","서울·구리 15일 판정 불가(양쪽 모두 이상/미만)",IF(IF($AC35="",0,N(INDEX(인턴근무계획!$T$3:$T$402,$AC35)))&gt;0,"인턴계획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IF($B35="","",IFERROR(MATCH($B35,기본자료!$B$2:$B$1001,0),IFERROR(MATCH($B35&amp;"",기본자료!$B$2:$B$1001,0),IFERROR(MATCH(VALUE($B35),기본자료!$B$2:$B$1001,0),""))))</f>
        <v/>
      </c>
      <c r="AC35" s="10">
        <f>IF($B35="","",IFERROR(MATCH($B35,인턴근무계획!$D$3:$D$402,0),IFERROR(MATCH($B35&amp;"",인턴근무계획!$D$3:$D$402,0),IFERROR(MATCH(VALUE($B35),인턴근무계획!$D$3:$D$402,0),""))))</f>
        <v/>
      </c>
      <c r="AD35" s="10">
        <f>IF(OR($AC35="",인턴현황!$G$3=""),"",INDEX(인턴근무계획!$M$3:$R$402,$AC35,인턴현황!$G$3)&amp;"")</f>
        <v/>
      </c>
      <c r="AE35" s="10">
        <f>IF($B35="","",IF($M35&lt;&gt;"",$M35,IF($AF35&lt;&gt;"",IF(LEFT(INDEX(파견수련계획!$R$4:$R$803,$AF35),1)&lt;&gt;"⚠",INDEX(파견수련계획!$R$4:$R$803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$803,0),IFERROR(MATCH(TRIM($J35&amp;"")&amp;"|파견예정",파견수련계획!$Y$4:$Y$803,0),IFERROR(MATCH(TRIM($J35&amp;"")&amp;"|파견종료",파견수련계획!$Y$4:$Y$803,0),""))))</f>
        <v/>
      </c>
      <c r="AG35" s="10">
        <f>IF($B35="","",IF(AND(IF(OR($AC35="",인턴현황!$K$2=""),"",INDEX(인턴근무계획!$M$3:$R$402,$AC35,인턴현황!$K$2)&amp;"")&lt;&gt;"",LEFT(IF(OR($AC35="",인턴현황!$K$2=""),"",INDEX(인턴근무계획!$M$3:$R$402,$AC35,인턴현황!$K$2)&amp;""),1)&lt;&gt;"⚠"),LEFT(IF(OR($AC35="",인턴현황!$K$2=""),"",INDEX(인턴근무계획!$M$3:$R$402,$AC35,인턴현황!$K$2)&amp;""),FIND(" ",IF(OR($AC35="",인턴현황!$K$2=""),"",INDEX(인턴근무계획!$M$3:$R$402,$AC35,인턴현황!$K$2)&amp;""))-1),$AE35))</f>
        <v/>
      </c>
      <c r="AH35" s="17">
        <f>IF($B35="","",IF(TRIM($J35&amp;"")="",0,SUMPRODUCT((파견수련계획!$Q$4:$Q$803=TRIM($J35&amp;""))*(파견수련계획!$S$4:$S$803="서울병원")*파견수련계획!$W$4:$W$803))+IF($AG35="서울병원",MAX(0,DAY(EOMONTH(요약!$B$3,0))-N($X35)),0))</f>
        <v/>
      </c>
      <c r="AI35" s="17">
        <f>IF($B35="","",IF(TRIM($J35&amp;"")="",0,SUMPRODUCT((파견수련계획!$Q$4:$Q$803=TRIM($J35&amp;""))*(파견수련계획!$S$4:$S$803="구리병원")*파견수련계획!$W$4:$W$803))+IF($AG35="구리병원",MAX(0,DAY(EOMONTH(요약!$B$3,0))-N($X35)),0))</f>
        <v/>
      </c>
      <c r="AJ35" s="10">
        <f>IF(OR($B35="",TRIM($J35&amp;"")=""),"",IFERROR(MATCH(TRIM($J35&amp;"")&amp;"|월",파견수련계획!$Z$4:$Z$803,0),""))</f>
        <v/>
      </c>
      <c r="AK35" s="10">
        <f>IF(OR($B35="",TRIM($J35&amp;"")=""),"",IFERROR(MATCH(TRIM($J35&amp;"")&amp;"|다기관",파견수련계획!$AE$4:$AE$803,0),""))</f>
        <v/>
      </c>
      <c r="AL35" s="10">
        <f>IF($AK35="","","다기관 "&amp;TEXT(INDEX(파견수련계획!$AB$4:$AB$803,$AK35),"yyyy-mm-dd")&amp;"~"&amp;IF(ISNUMBER(INDEX(파견수련계획!$AC$4:$AC$803,$AK35)),TEXT(INDEX(파견수련계획!$AC$4:$AC$803,$AK35),"yyyy-mm-dd"),""))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IF($AB36="","",IF(INDEX(기본자료!$C$2:$C$1001,$AB36)="","",INDEX(기본자료!$C$2:$C$1001,$AB36)))</f>
        <v/>
      </c>
      <c r="D36" s="10">
        <f>IF($AB36="","",IF(INDEX(기본자료!$J$2:$J$1001,$AB36)="","",INDEX(기본자료!$J$2:$J$1001,$AB36)))</f>
        <v/>
      </c>
      <c r="E36" s="11">
        <f>IF($AB36="","",IF(INDEX(기본자료!$K$2:$K$1001,$AB36)="","",IF(NOT(ISNUMBER(INDEX(기본자료!$K$2:$K$1001,$AB36))),INDEX(기본자료!$K$2:$K$1001,$AB36),IF(INDEX(기본자료!$K$2:$K$1001,$AB36)&lt;1000000,INDEX(기본자료!$K$2:$K$1001,$AB36),IF(AND(INDEX(기본자료!$K$2:$K$1001,$AB36)&gt;=10000101,INT(MOD(INDEX(기본자료!$K$2:$K$1001,$AB36),10000)/100)&gt;=1,INT(MOD(INDEX(기본자료!$K$2:$K$1001,$AB36),10000)/100)&lt;=12,MOD(INDEX(기본자료!$K$2:$K$1001,$AB36),100)&gt;=1,MOD(INDEX(기본자료!$K$2:$K$1001,$AB36),100)&lt;=31),DATE(INT(INDEX(기본자료!$K$2:$K$1001,$AB36)/10000),INT(MOD(INDEX(기본자료!$K$2:$K$1001,$AB36),10000)/100),MOD(INDEX(기본자료!$K$2:$K$1001,$AB36),100)),INDEX(기본자료!$K$2:$K$1001,$AB36)&amp;"")))))</f>
        <v/>
      </c>
      <c r="F36" s="10">
        <f>IF($AB36="","",IF(INDEX(기본자료!$D$2:$D$1001,$AB36)="","",INDEX(기본자료!$D$2:$D$1001,$AB36)))</f>
        <v/>
      </c>
      <c r="G36" s="10">
        <f>IF($AB36="","",IF(INDEX(기본자료!$E$2:$E$1001,$AB36)="","",INDEX(기본자료!$E$2:$E$1001,$AB36)))</f>
        <v/>
      </c>
      <c r="H36" s="10">
        <f>IF($AB36="","",IF(INDEX(기본자료!$F$2:$F$1001,$AB36)="","",INDEX(기본자료!$F$2:$F$1001,$AB36)))</f>
        <v/>
      </c>
      <c r="I36" s="11">
        <f>IF($AB36="","",IF(INDEX(기본자료!$G$2:$G$1001,$AB36)="","",IF(NOT(ISNUMBER(INDEX(기본자료!$G$2:$G$1001,$AB36))),INDEX(기본자료!$G$2:$G$1001,$AB36),IF(INDEX(기본자료!$G$2:$G$1001,$AB36)&lt;1000000,INDEX(기본자료!$G$2:$G$1001,$AB36),IF(AND(INDEX(기본자료!$G$2:$G$1001,$AB36)&gt;=10000101,INT(MOD(INDEX(기본자료!$G$2:$G$1001,$AB36),10000)/100)&gt;=1,INT(MOD(INDEX(기본자료!$G$2:$G$1001,$AB36),10000)/100)&lt;=12,MOD(INDEX(기본자료!$G$2:$G$1001,$AB36),100)&gt;=1,MOD(INDEX(기본자료!$G$2:$G$1001,$AB36),100)&lt;=31),DATE(INT(INDEX(기본자료!$G$2:$G$1001,$AB36)/10000),INT(MOD(INDEX(기본자료!$G$2:$G$1001,$AB36),10000)/100),MOD(INDEX(기본자료!$G$2:$G$1001,$AB36),100)),INDEX(기본자료!$G$2:$G$1001,$AB36)&amp;"")))))</f>
        <v/>
      </c>
      <c r="J36" s="10">
        <f>IF($AB36="","",IF(INDEX(기본자료!$H$2:$H$1001,$AB36)="","",INDEX(기본자료!$H$2:$H$1001,$AB36)))</f>
        <v/>
      </c>
      <c r="K36" s="10">
        <f>IF($AB36="","",IF(INDEX(기본자료!$I$2:$I$1001,$AB36)="","",INDEX(기본자료!$I$2:$I$1001,$AB36)))</f>
        <v/>
      </c>
      <c r="L36" s="10">
        <f>IF($AB36="","",IF(INDEX(기본자료!$A$2:$A$1001,$AB36)="","",INDEX(기본자료!$A$2:$A$1001,$AB36)))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$803,$AK36),OR(NOT(ISNUMBER(INDEX(파견수련계획!$AC$4:$AC$803,$AK36))),TODAY()&lt;=INDEX(파견수련계획!$AC$4:$AC$803,$AK36))),"다기관",IF($AF36="","",INDEX(파견수련계획!$T$4:$T$803,$AF36))),IF($AF36="","",INDEX(파견수련계획!$T$4:$T$803,$AF36))))</f>
        <v/>
      </c>
      <c r="Q36" s="10">
        <f>IF($AF36="","",INDEX(파견수련계획!$S$4:$S$803,$AF36))</f>
        <v/>
      </c>
      <c r="R36" s="10">
        <f>IF($AF36="","",INDEX(파견수련계획!$U$4:$U$803,$AF36))</f>
        <v/>
      </c>
      <c r="S36" s="11">
        <f>IF($AF36="","",IF(INDEX(파견수련계획!$H$4:$H$803,$AF36)="","",INDEX(파견수련계획!$H$4:$H$803,$AF36)))</f>
        <v/>
      </c>
      <c r="T36" s="11">
        <f>IF($AF36="","",IF(INDEX(파견수련계획!$I$4:$I$803,$AF36)="","",INDEX(파견수련계획!$I$4:$I$803,$AF36)))</f>
        <v/>
      </c>
      <c r="U36" s="10">
        <f>IF($AF36="","",INDEX(파견수련계획!$X$4:$X$803,$AF36))</f>
        <v/>
      </c>
      <c r="V36" s="17">
        <f>IF($AF36="","",INDEX(파견수련계획!$V$4:$V$803,$AF36))</f>
        <v/>
      </c>
      <c r="W36" s="17">
        <f>IF(AND($U36="파견중",$T36&lt;&gt;""),$T36-TODAY(),"")</f>
        <v/>
      </c>
      <c r="X36" s="17">
        <f>IF(OR($B36="",TRIM($J36&amp;"")=""),"",SUMPRODUCT((파견수련계획!$Q$4:$Q$803=TRIM($J36&amp;""))*파견수련계획!$W$4:$W$803))</f>
        <v/>
      </c>
      <c r="Y36" s="10">
        <f>IF($B36="","",IF($AG36="","",IF(IF(TRIM($J36&amp;"")="",0,SUMPRODUCT((파견수련계획!$Q$4:$Q$803=TRIM($J36&amp;""))*파견수련계획!$AD$4:$AD$803)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"&amp;$AI36&amp;"일)")),IF($AJ36="",$AE36,IF(INDEX(파견수련계획!$T$4:$T$803,$AJ36)="통합수련",INDEX(파견수련계획!$S$4:$S$803,$AJ36),$AE36)))))))</f>
        <v/>
      </c>
      <c r="Z36" s="19">
        <f>IF($B36="","",IF($AB36="","기본자료에 없는 사번",IF(COUNTIF($B$2:$B$401,$B36)&gt;1,"중복 사번",IF($AE36="","소속(입사장소) 입력",IF(IF(TRIM($J36&amp;"")="",0,SUMPRODUCT((파견수련계획!$Q$4:$Q$803=TRIM($J36&amp;""))*(파견수련계획!$AA$4:$AA$803&lt;&gt;"")))&gt;0,"파견수련계획 입력오류 확인",IF(LEFT($Y36,1)="⚠","서울·구리 15일 판정 불가(양쪽 모두 이상/미만)",IF(IF($AC36="",0,N(INDEX(인턴근무계획!$T$3:$T$402,$AC36)))&gt;0,"인턴계획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IF($B36="","",IFERROR(MATCH($B36,기본자료!$B$2:$B$1001,0),IFERROR(MATCH($B36&amp;"",기본자료!$B$2:$B$1001,0),IFERROR(MATCH(VALUE($B36),기본자료!$B$2:$B$1001,0),""))))</f>
        <v/>
      </c>
      <c r="AC36" s="10">
        <f>IF($B36="","",IFERROR(MATCH($B36,인턴근무계획!$D$3:$D$402,0),IFERROR(MATCH($B36&amp;"",인턴근무계획!$D$3:$D$402,0),IFERROR(MATCH(VALUE($B36),인턴근무계획!$D$3:$D$402,0),""))))</f>
        <v/>
      </c>
      <c r="AD36" s="10">
        <f>IF(OR($AC36="",인턴현황!$G$3=""),"",INDEX(인턴근무계획!$M$3:$R$402,$AC36,인턴현황!$G$3)&amp;"")</f>
        <v/>
      </c>
      <c r="AE36" s="10">
        <f>IF($B36="","",IF($M36&lt;&gt;"",$M36,IF($AF36&lt;&gt;"",IF(LEFT(INDEX(파견수련계획!$R$4:$R$803,$AF36),1)&lt;&gt;"⚠",INDEX(파견수련계획!$R$4:$R$803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$803,0),IFERROR(MATCH(TRIM($J36&amp;"")&amp;"|파견예정",파견수련계획!$Y$4:$Y$803,0),IFERROR(MATCH(TRIM($J36&amp;"")&amp;"|파견종료",파견수련계획!$Y$4:$Y$803,0),""))))</f>
        <v/>
      </c>
      <c r="AG36" s="10">
        <f>IF($B36="","",IF(AND(IF(OR($AC36="",인턴현황!$K$2=""),"",INDEX(인턴근무계획!$M$3:$R$402,$AC36,인턴현황!$K$2)&amp;"")&lt;&gt;"",LEFT(IF(OR($AC36="",인턴현황!$K$2=""),"",INDEX(인턴근무계획!$M$3:$R$402,$AC36,인턴현황!$K$2)&amp;""),1)&lt;&gt;"⚠"),LEFT(IF(OR($AC36="",인턴현황!$K$2=""),"",INDEX(인턴근무계획!$M$3:$R$402,$AC36,인턴현황!$K$2)&amp;""),FIND(" ",IF(OR($AC36="",인턴현황!$K$2=""),"",INDEX(인턴근무계획!$M$3:$R$402,$AC36,인턴현황!$K$2)&amp;""))-1),$AE36))</f>
        <v/>
      </c>
      <c r="AH36" s="17">
        <f>IF($B36="","",IF(TRIM($J36&amp;"")="",0,SUMPRODUCT((파견수련계획!$Q$4:$Q$803=TRIM($J36&amp;""))*(파견수련계획!$S$4:$S$803="서울병원")*파견수련계획!$W$4:$W$803))+IF($AG36="서울병원",MAX(0,DAY(EOMONTH(요약!$B$3,0))-N($X36)),0))</f>
        <v/>
      </c>
      <c r="AI36" s="17">
        <f>IF($B36="","",IF(TRIM($J36&amp;"")="",0,SUMPRODUCT((파견수련계획!$Q$4:$Q$803=TRIM($J36&amp;""))*(파견수련계획!$S$4:$S$803="구리병원")*파견수련계획!$W$4:$W$803))+IF($AG36="구리병원",MAX(0,DAY(EOMONTH(요약!$B$3,0))-N($X36)),0))</f>
        <v/>
      </c>
      <c r="AJ36" s="10">
        <f>IF(OR($B36="",TRIM($J36&amp;"")=""),"",IFERROR(MATCH(TRIM($J36&amp;"")&amp;"|월",파견수련계획!$Z$4:$Z$803,0),""))</f>
        <v/>
      </c>
      <c r="AK36" s="10">
        <f>IF(OR($B36="",TRIM($J36&amp;"")=""),"",IFERROR(MATCH(TRIM($J36&amp;"")&amp;"|다기관",파견수련계획!$AE$4:$AE$803,0),""))</f>
        <v/>
      </c>
      <c r="AL36" s="10">
        <f>IF($AK36="","","다기관 "&amp;TEXT(INDEX(파견수련계획!$AB$4:$AB$803,$AK36),"yyyy-mm-dd")&amp;"~"&amp;IF(ISNUMBER(INDEX(파견수련계획!$AC$4:$AC$803,$AK36)),TEXT(INDEX(파견수련계획!$AC$4:$AC$803,$AK36),"yyyy-mm-dd"),""))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IF($AB37="","",IF(INDEX(기본자료!$C$2:$C$1001,$AB37)="","",INDEX(기본자료!$C$2:$C$1001,$AB37)))</f>
        <v/>
      </c>
      <c r="D37" s="10">
        <f>IF($AB37="","",IF(INDEX(기본자료!$J$2:$J$1001,$AB37)="","",INDEX(기본자료!$J$2:$J$1001,$AB37)))</f>
        <v/>
      </c>
      <c r="E37" s="11">
        <f>IF($AB37="","",IF(INDEX(기본자료!$K$2:$K$1001,$AB37)="","",IF(NOT(ISNUMBER(INDEX(기본자료!$K$2:$K$1001,$AB37))),INDEX(기본자료!$K$2:$K$1001,$AB37),IF(INDEX(기본자료!$K$2:$K$1001,$AB37)&lt;1000000,INDEX(기본자료!$K$2:$K$1001,$AB37),IF(AND(INDEX(기본자료!$K$2:$K$1001,$AB37)&gt;=10000101,INT(MOD(INDEX(기본자료!$K$2:$K$1001,$AB37),10000)/100)&gt;=1,INT(MOD(INDEX(기본자료!$K$2:$K$1001,$AB37),10000)/100)&lt;=12,MOD(INDEX(기본자료!$K$2:$K$1001,$AB37),100)&gt;=1,MOD(INDEX(기본자료!$K$2:$K$1001,$AB37),100)&lt;=31),DATE(INT(INDEX(기본자료!$K$2:$K$1001,$AB37)/10000),INT(MOD(INDEX(기본자료!$K$2:$K$1001,$AB37),10000)/100),MOD(INDEX(기본자료!$K$2:$K$1001,$AB37),100)),INDEX(기본자료!$K$2:$K$1001,$AB37)&amp;"")))))</f>
        <v/>
      </c>
      <c r="F37" s="10">
        <f>IF($AB37="","",IF(INDEX(기본자료!$D$2:$D$1001,$AB37)="","",INDEX(기본자료!$D$2:$D$1001,$AB37)))</f>
        <v/>
      </c>
      <c r="G37" s="10">
        <f>IF($AB37="","",IF(INDEX(기본자료!$E$2:$E$1001,$AB37)="","",INDEX(기본자료!$E$2:$E$1001,$AB37)))</f>
        <v/>
      </c>
      <c r="H37" s="10">
        <f>IF($AB37="","",IF(INDEX(기본자료!$F$2:$F$1001,$AB37)="","",INDEX(기본자료!$F$2:$F$1001,$AB37)))</f>
        <v/>
      </c>
      <c r="I37" s="11">
        <f>IF($AB37="","",IF(INDEX(기본자료!$G$2:$G$1001,$AB37)="","",IF(NOT(ISNUMBER(INDEX(기본자료!$G$2:$G$1001,$AB37))),INDEX(기본자료!$G$2:$G$1001,$AB37),IF(INDEX(기본자료!$G$2:$G$1001,$AB37)&lt;1000000,INDEX(기본자료!$G$2:$G$1001,$AB37),IF(AND(INDEX(기본자료!$G$2:$G$1001,$AB37)&gt;=10000101,INT(MOD(INDEX(기본자료!$G$2:$G$1001,$AB37),10000)/100)&gt;=1,INT(MOD(INDEX(기본자료!$G$2:$G$1001,$AB37),10000)/100)&lt;=12,MOD(INDEX(기본자료!$G$2:$G$1001,$AB37),100)&gt;=1,MOD(INDEX(기본자료!$G$2:$G$1001,$AB37),100)&lt;=31),DATE(INT(INDEX(기본자료!$G$2:$G$1001,$AB37)/10000),INT(MOD(INDEX(기본자료!$G$2:$G$1001,$AB37),10000)/100),MOD(INDEX(기본자료!$G$2:$G$1001,$AB37),100)),INDEX(기본자료!$G$2:$G$1001,$AB37)&amp;"")))))</f>
        <v/>
      </c>
      <c r="J37" s="10">
        <f>IF($AB37="","",IF(INDEX(기본자료!$H$2:$H$1001,$AB37)="","",INDEX(기본자료!$H$2:$H$1001,$AB37)))</f>
        <v/>
      </c>
      <c r="K37" s="10">
        <f>IF($AB37="","",IF(INDEX(기본자료!$I$2:$I$1001,$AB37)="","",INDEX(기본자료!$I$2:$I$1001,$AB37)))</f>
        <v/>
      </c>
      <c r="L37" s="10">
        <f>IF($AB37="","",IF(INDEX(기본자료!$A$2:$A$1001,$AB37)="","",INDEX(기본자료!$A$2:$A$1001,$AB37)))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$803,$AK37),OR(NOT(ISNUMBER(INDEX(파견수련계획!$AC$4:$AC$803,$AK37))),TODAY()&lt;=INDEX(파견수련계획!$AC$4:$AC$803,$AK37))),"다기관",IF($AF37="","",INDEX(파견수련계획!$T$4:$T$803,$AF37))),IF($AF37="","",INDEX(파견수련계획!$T$4:$T$803,$AF37))))</f>
        <v/>
      </c>
      <c r="Q37" s="10">
        <f>IF($AF37="","",INDEX(파견수련계획!$S$4:$S$803,$AF37))</f>
        <v/>
      </c>
      <c r="R37" s="10">
        <f>IF($AF37="","",INDEX(파견수련계획!$U$4:$U$803,$AF37))</f>
        <v/>
      </c>
      <c r="S37" s="11">
        <f>IF($AF37="","",IF(INDEX(파견수련계획!$H$4:$H$803,$AF37)="","",INDEX(파견수련계획!$H$4:$H$803,$AF37)))</f>
        <v/>
      </c>
      <c r="T37" s="11">
        <f>IF($AF37="","",IF(INDEX(파견수련계획!$I$4:$I$803,$AF37)="","",INDEX(파견수련계획!$I$4:$I$803,$AF37)))</f>
        <v/>
      </c>
      <c r="U37" s="10">
        <f>IF($AF37="","",INDEX(파견수련계획!$X$4:$X$803,$AF37))</f>
        <v/>
      </c>
      <c r="V37" s="17">
        <f>IF($AF37="","",INDEX(파견수련계획!$V$4:$V$803,$AF37))</f>
        <v/>
      </c>
      <c r="W37" s="17">
        <f>IF(AND($U37="파견중",$T37&lt;&gt;""),$T37-TODAY(),"")</f>
        <v/>
      </c>
      <c r="X37" s="17">
        <f>IF(OR($B37="",TRIM($J37&amp;"")=""),"",SUMPRODUCT((파견수련계획!$Q$4:$Q$803=TRIM($J37&amp;""))*파견수련계획!$W$4:$W$803))</f>
        <v/>
      </c>
      <c r="Y37" s="10">
        <f>IF($B37="","",IF($AG37="","",IF(IF(TRIM($J37&amp;"")="",0,SUMPRODUCT((파견수련계획!$Q$4:$Q$803=TRIM($J37&amp;""))*파견수련계획!$AD$4:$AD$803)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"&amp;$AI37&amp;"일)")),IF($AJ37="",$AE37,IF(INDEX(파견수련계획!$T$4:$T$803,$AJ37)="통합수련",INDEX(파견수련계획!$S$4:$S$803,$AJ37),$AE37)))))))</f>
        <v/>
      </c>
      <c r="Z37" s="19">
        <f>IF($B37="","",IF($AB37="","기본자료에 없는 사번",IF(COUNTIF($B$2:$B$401,$B37)&gt;1,"중복 사번",IF($AE37="","소속(입사장소) 입력",IF(IF(TRIM($J37&amp;"")="",0,SUMPRODUCT((파견수련계획!$Q$4:$Q$803=TRIM($J37&amp;""))*(파견수련계획!$AA$4:$AA$803&lt;&gt;"")))&gt;0,"파견수련계획 입력오류 확인",IF(LEFT($Y37,1)="⚠","서울·구리 15일 판정 불가(양쪽 모두 이상/미만)",IF(IF($AC37="",0,N(INDEX(인턴근무계획!$T$3:$T$402,$AC37)))&gt;0,"인턴계획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IF($B37="","",IFERROR(MATCH($B37,기본자료!$B$2:$B$1001,0),IFERROR(MATCH($B37&amp;"",기본자료!$B$2:$B$1001,0),IFERROR(MATCH(VALUE($B37),기본자료!$B$2:$B$1001,0),""))))</f>
        <v/>
      </c>
      <c r="AC37" s="10">
        <f>IF($B37="","",IFERROR(MATCH($B37,인턴근무계획!$D$3:$D$402,0),IFERROR(MATCH($B37&amp;"",인턴근무계획!$D$3:$D$402,0),IFERROR(MATCH(VALUE($B37),인턴근무계획!$D$3:$D$402,0),""))))</f>
        <v/>
      </c>
      <c r="AD37" s="10">
        <f>IF(OR($AC37="",인턴현황!$G$3=""),"",INDEX(인턴근무계획!$M$3:$R$402,$AC37,인턴현황!$G$3)&amp;"")</f>
        <v/>
      </c>
      <c r="AE37" s="10">
        <f>IF($B37="","",IF($M37&lt;&gt;"",$M37,IF($AF37&lt;&gt;"",IF(LEFT(INDEX(파견수련계획!$R$4:$R$803,$AF37),1)&lt;&gt;"⚠",INDEX(파견수련계획!$R$4:$R$803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$803,0),IFERROR(MATCH(TRIM($J37&amp;"")&amp;"|파견예정",파견수련계획!$Y$4:$Y$803,0),IFERROR(MATCH(TRIM($J37&amp;"")&amp;"|파견종료",파견수련계획!$Y$4:$Y$803,0),""))))</f>
        <v/>
      </c>
      <c r="AG37" s="10">
        <f>IF($B37="","",IF(AND(IF(OR($AC37="",인턴현황!$K$2=""),"",INDEX(인턴근무계획!$M$3:$R$402,$AC37,인턴현황!$K$2)&amp;"")&lt;&gt;"",LEFT(IF(OR($AC37="",인턴현황!$K$2=""),"",INDEX(인턴근무계획!$M$3:$R$402,$AC37,인턴현황!$K$2)&amp;""),1)&lt;&gt;"⚠"),LEFT(IF(OR($AC37="",인턴현황!$K$2=""),"",INDEX(인턴근무계획!$M$3:$R$402,$AC37,인턴현황!$K$2)&amp;""),FIND(" ",IF(OR($AC37="",인턴현황!$K$2=""),"",INDEX(인턴근무계획!$M$3:$R$402,$AC37,인턴현황!$K$2)&amp;""))-1),$AE37))</f>
        <v/>
      </c>
      <c r="AH37" s="17">
        <f>IF($B37="","",IF(TRIM($J37&amp;"")="",0,SUMPRODUCT((파견수련계획!$Q$4:$Q$803=TRIM($J37&amp;""))*(파견수련계획!$S$4:$S$803="서울병원")*파견수련계획!$W$4:$W$803))+IF($AG37="서울병원",MAX(0,DAY(EOMONTH(요약!$B$3,0))-N($X37)),0))</f>
        <v/>
      </c>
      <c r="AI37" s="17">
        <f>IF($B37="","",IF(TRIM($J37&amp;"")="",0,SUMPRODUCT((파견수련계획!$Q$4:$Q$803=TRIM($J37&amp;""))*(파견수련계획!$S$4:$S$803="구리병원")*파견수련계획!$W$4:$W$803))+IF($AG37="구리병원",MAX(0,DAY(EOMONTH(요약!$B$3,0))-N($X37)),0))</f>
        <v/>
      </c>
      <c r="AJ37" s="10">
        <f>IF(OR($B37="",TRIM($J37&amp;"")=""),"",IFERROR(MATCH(TRIM($J37&amp;"")&amp;"|월",파견수련계획!$Z$4:$Z$803,0),""))</f>
        <v/>
      </c>
      <c r="AK37" s="10">
        <f>IF(OR($B37="",TRIM($J37&amp;"")=""),"",IFERROR(MATCH(TRIM($J37&amp;"")&amp;"|다기관",파견수련계획!$AE$4:$AE$803,0),""))</f>
        <v/>
      </c>
      <c r="AL37" s="10">
        <f>IF($AK37="","","다기관 "&amp;TEXT(INDEX(파견수련계획!$AB$4:$AB$803,$AK37),"yyyy-mm-dd")&amp;"~"&amp;IF(ISNUMBER(INDEX(파견수련계획!$AC$4:$AC$803,$AK37)),TEXT(INDEX(파견수련계획!$AC$4:$AC$803,$AK37),"yyyy-mm-dd"),""))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IF($AB38="","",IF(INDEX(기본자료!$C$2:$C$1001,$AB38)="","",INDEX(기본자료!$C$2:$C$1001,$AB38)))</f>
        <v/>
      </c>
      <c r="D38" s="10">
        <f>IF($AB38="","",IF(INDEX(기본자료!$J$2:$J$1001,$AB38)="","",INDEX(기본자료!$J$2:$J$1001,$AB38)))</f>
        <v/>
      </c>
      <c r="E38" s="11">
        <f>IF($AB38="","",IF(INDEX(기본자료!$K$2:$K$1001,$AB38)="","",IF(NOT(ISNUMBER(INDEX(기본자료!$K$2:$K$1001,$AB38))),INDEX(기본자료!$K$2:$K$1001,$AB38),IF(INDEX(기본자료!$K$2:$K$1001,$AB38)&lt;1000000,INDEX(기본자료!$K$2:$K$1001,$AB38),IF(AND(INDEX(기본자료!$K$2:$K$1001,$AB38)&gt;=10000101,INT(MOD(INDEX(기본자료!$K$2:$K$1001,$AB38),10000)/100)&gt;=1,INT(MOD(INDEX(기본자료!$K$2:$K$1001,$AB38),10000)/100)&lt;=12,MOD(INDEX(기본자료!$K$2:$K$1001,$AB38),100)&gt;=1,MOD(INDEX(기본자료!$K$2:$K$1001,$AB38),100)&lt;=31),DATE(INT(INDEX(기본자료!$K$2:$K$1001,$AB38)/10000),INT(MOD(INDEX(기본자료!$K$2:$K$1001,$AB38),10000)/100),MOD(INDEX(기본자료!$K$2:$K$1001,$AB38),100)),INDEX(기본자료!$K$2:$K$1001,$AB38)&amp;"")))))</f>
        <v/>
      </c>
      <c r="F38" s="10">
        <f>IF($AB38="","",IF(INDEX(기본자료!$D$2:$D$1001,$AB38)="","",INDEX(기본자료!$D$2:$D$1001,$AB38)))</f>
        <v/>
      </c>
      <c r="G38" s="10">
        <f>IF($AB38="","",IF(INDEX(기본자료!$E$2:$E$1001,$AB38)="","",INDEX(기본자료!$E$2:$E$1001,$AB38)))</f>
        <v/>
      </c>
      <c r="H38" s="10">
        <f>IF($AB38="","",IF(INDEX(기본자료!$F$2:$F$1001,$AB38)="","",INDEX(기본자료!$F$2:$F$1001,$AB38)))</f>
        <v/>
      </c>
      <c r="I38" s="11">
        <f>IF($AB38="","",IF(INDEX(기본자료!$G$2:$G$1001,$AB38)="","",IF(NOT(ISNUMBER(INDEX(기본자료!$G$2:$G$1001,$AB38))),INDEX(기본자료!$G$2:$G$1001,$AB38),IF(INDEX(기본자료!$G$2:$G$1001,$AB38)&lt;1000000,INDEX(기본자료!$G$2:$G$1001,$AB38),IF(AND(INDEX(기본자료!$G$2:$G$1001,$AB38)&gt;=10000101,INT(MOD(INDEX(기본자료!$G$2:$G$1001,$AB38),10000)/100)&gt;=1,INT(MOD(INDEX(기본자료!$G$2:$G$1001,$AB38),10000)/100)&lt;=12,MOD(INDEX(기본자료!$G$2:$G$1001,$AB38),100)&gt;=1,MOD(INDEX(기본자료!$G$2:$G$1001,$AB38),100)&lt;=31),DATE(INT(INDEX(기본자료!$G$2:$G$1001,$AB38)/10000),INT(MOD(INDEX(기본자료!$G$2:$G$1001,$AB38),10000)/100),MOD(INDEX(기본자료!$G$2:$G$1001,$AB38),100)),INDEX(기본자료!$G$2:$G$1001,$AB38)&amp;"")))))</f>
        <v/>
      </c>
      <c r="J38" s="10">
        <f>IF($AB38="","",IF(INDEX(기본자료!$H$2:$H$1001,$AB38)="","",INDEX(기본자료!$H$2:$H$1001,$AB38)))</f>
        <v/>
      </c>
      <c r="K38" s="10">
        <f>IF($AB38="","",IF(INDEX(기본자료!$I$2:$I$1001,$AB38)="","",INDEX(기본자료!$I$2:$I$1001,$AB38)))</f>
        <v/>
      </c>
      <c r="L38" s="10">
        <f>IF($AB38="","",IF(INDEX(기본자료!$A$2:$A$1001,$AB38)="","",INDEX(기본자료!$A$2:$A$1001,$AB38)))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$803,$AK38),OR(NOT(ISNUMBER(INDEX(파견수련계획!$AC$4:$AC$803,$AK38))),TODAY()&lt;=INDEX(파견수련계획!$AC$4:$AC$803,$AK38))),"다기관",IF($AF38="","",INDEX(파견수련계획!$T$4:$T$803,$AF38))),IF($AF38="","",INDEX(파견수련계획!$T$4:$T$803,$AF38))))</f>
        <v/>
      </c>
      <c r="Q38" s="10">
        <f>IF($AF38="","",INDEX(파견수련계획!$S$4:$S$803,$AF38))</f>
        <v/>
      </c>
      <c r="R38" s="10">
        <f>IF($AF38="","",INDEX(파견수련계획!$U$4:$U$803,$AF38))</f>
        <v/>
      </c>
      <c r="S38" s="11">
        <f>IF($AF38="","",IF(INDEX(파견수련계획!$H$4:$H$803,$AF38)="","",INDEX(파견수련계획!$H$4:$H$803,$AF38)))</f>
        <v/>
      </c>
      <c r="T38" s="11">
        <f>IF($AF38="","",IF(INDEX(파견수련계획!$I$4:$I$803,$AF38)="","",INDEX(파견수련계획!$I$4:$I$803,$AF38)))</f>
        <v/>
      </c>
      <c r="U38" s="10">
        <f>IF($AF38="","",INDEX(파견수련계획!$X$4:$X$803,$AF38))</f>
        <v/>
      </c>
      <c r="V38" s="17">
        <f>IF($AF38="","",INDEX(파견수련계획!$V$4:$V$803,$AF38))</f>
        <v/>
      </c>
      <c r="W38" s="17">
        <f>IF(AND($U38="파견중",$T38&lt;&gt;""),$T38-TODAY(),"")</f>
        <v/>
      </c>
      <c r="X38" s="17">
        <f>IF(OR($B38="",TRIM($J38&amp;"")=""),"",SUMPRODUCT((파견수련계획!$Q$4:$Q$803=TRIM($J38&amp;""))*파견수련계획!$W$4:$W$803))</f>
        <v/>
      </c>
      <c r="Y38" s="10">
        <f>IF($B38="","",IF($AG38="","",IF(IF(TRIM($J38&amp;"")="",0,SUMPRODUCT((파견수련계획!$Q$4:$Q$803=TRIM($J38&amp;""))*파견수련계획!$AD$4:$AD$803)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"&amp;$AI38&amp;"일)")),IF($AJ38="",$AE38,IF(INDEX(파견수련계획!$T$4:$T$803,$AJ38)="통합수련",INDEX(파견수련계획!$S$4:$S$803,$AJ38),$AE38)))))))</f>
        <v/>
      </c>
      <c r="Z38" s="19">
        <f>IF($B38="","",IF($AB38="","기본자료에 없는 사번",IF(COUNTIF($B$2:$B$401,$B38)&gt;1,"중복 사번",IF($AE38="","소속(입사장소) 입력",IF(IF(TRIM($J38&amp;"")="",0,SUMPRODUCT((파견수련계획!$Q$4:$Q$803=TRIM($J38&amp;""))*(파견수련계획!$AA$4:$AA$803&lt;&gt;"")))&gt;0,"파견수련계획 입력오류 확인",IF(LEFT($Y38,1)="⚠","서울·구리 15일 판정 불가(양쪽 모두 이상/미만)",IF(IF($AC38="",0,N(INDEX(인턴근무계획!$T$3:$T$402,$AC38)))&gt;0,"인턴계획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IF($B38="","",IFERROR(MATCH($B38,기본자료!$B$2:$B$1001,0),IFERROR(MATCH($B38&amp;"",기본자료!$B$2:$B$1001,0),IFERROR(MATCH(VALUE($B38),기본자료!$B$2:$B$1001,0),""))))</f>
        <v/>
      </c>
      <c r="AC38" s="10">
        <f>IF($B38="","",IFERROR(MATCH($B38,인턴근무계획!$D$3:$D$402,0),IFERROR(MATCH($B38&amp;"",인턴근무계획!$D$3:$D$402,0),IFERROR(MATCH(VALUE($B38),인턴근무계획!$D$3:$D$402,0),""))))</f>
        <v/>
      </c>
      <c r="AD38" s="10">
        <f>IF(OR($AC38="",인턴현황!$G$3=""),"",INDEX(인턴근무계획!$M$3:$R$402,$AC38,인턴현황!$G$3)&amp;"")</f>
        <v/>
      </c>
      <c r="AE38" s="10">
        <f>IF($B38="","",IF($M38&lt;&gt;"",$M38,IF($AF38&lt;&gt;"",IF(LEFT(INDEX(파견수련계획!$R$4:$R$803,$AF38),1)&lt;&gt;"⚠",INDEX(파견수련계획!$R$4:$R$803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$803,0),IFERROR(MATCH(TRIM($J38&amp;"")&amp;"|파견예정",파견수련계획!$Y$4:$Y$803,0),IFERROR(MATCH(TRIM($J38&amp;"")&amp;"|파견종료",파견수련계획!$Y$4:$Y$803,0),""))))</f>
        <v/>
      </c>
      <c r="AG38" s="10">
        <f>IF($B38="","",IF(AND(IF(OR($AC38="",인턴현황!$K$2=""),"",INDEX(인턴근무계획!$M$3:$R$402,$AC38,인턴현황!$K$2)&amp;"")&lt;&gt;"",LEFT(IF(OR($AC38="",인턴현황!$K$2=""),"",INDEX(인턴근무계획!$M$3:$R$402,$AC38,인턴현황!$K$2)&amp;""),1)&lt;&gt;"⚠"),LEFT(IF(OR($AC38="",인턴현황!$K$2=""),"",INDEX(인턴근무계획!$M$3:$R$402,$AC38,인턴현황!$K$2)&amp;""),FIND(" ",IF(OR($AC38="",인턴현황!$K$2=""),"",INDEX(인턴근무계획!$M$3:$R$402,$AC38,인턴현황!$K$2)&amp;""))-1),$AE38))</f>
        <v/>
      </c>
      <c r="AH38" s="17">
        <f>IF($B38="","",IF(TRIM($J38&amp;"")="",0,SUMPRODUCT((파견수련계획!$Q$4:$Q$803=TRIM($J38&amp;""))*(파견수련계획!$S$4:$S$803="서울병원")*파견수련계획!$W$4:$W$803))+IF($AG38="서울병원",MAX(0,DAY(EOMONTH(요약!$B$3,0))-N($X38)),0))</f>
        <v/>
      </c>
      <c r="AI38" s="17">
        <f>IF($B38="","",IF(TRIM($J38&amp;"")="",0,SUMPRODUCT((파견수련계획!$Q$4:$Q$803=TRIM($J38&amp;""))*(파견수련계획!$S$4:$S$803="구리병원")*파견수련계획!$W$4:$W$803))+IF($AG38="구리병원",MAX(0,DAY(EOMONTH(요약!$B$3,0))-N($X38)),0))</f>
        <v/>
      </c>
      <c r="AJ38" s="10">
        <f>IF(OR($B38="",TRIM($J38&amp;"")=""),"",IFERROR(MATCH(TRIM($J38&amp;"")&amp;"|월",파견수련계획!$Z$4:$Z$803,0),""))</f>
        <v/>
      </c>
      <c r="AK38" s="10">
        <f>IF(OR($B38="",TRIM($J38&amp;"")=""),"",IFERROR(MATCH(TRIM($J38&amp;"")&amp;"|다기관",파견수련계획!$AE$4:$AE$803,0),""))</f>
        <v/>
      </c>
      <c r="AL38" s="10">
        <f>IF($AK38="","","다기관 "&amp;TEXT(INDEX(파견수련계획!$AB$4:$AB$803,$AK38),"yyyy-mm-dd")&amp;"~"&amp;IF(ISNUMBER(INDEX(파견수련계획!$AC$4:$AC$803,$AK38)),TEXT(INDEX(파견수련계획!$AC$4:$AC$803,$AK38),"yyyy-mm-dd"),""))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IF($AB39="","",IF(INDEX(기본자료!$C$2:$C$1001,$AB39)="","",INDEX(기본자료!$C$2:$C$1001,$AB39)))</f>
        <v/>
      </c>
      <c r="D39" s="10">
        <f>IF($AB39="","",IF(INDEX(기본자료!$J$2:$J$1001,$AB39)="","",INDEX(기본자료!$J$2:$J$1001,$AB39)))</f>
        <v/>
      </c>
      <c r="E39" s="11">
        <f>IF($AB39="","",IF(INDEX(기본자료!$K$2:$K$1001,$AB39)="","",IF(NOT(ISNUMBER(INDEX(기본자료!$K$2:$K$1001,$AB39))),INDEX(기본자료!$K$2:$K$1001,$AB39),IF(INDEX(기본자료!$K$2:$K$1001,$AB39)&lt;1000000,INDEX(기본자료!$K$2:$K$1001,$AB39),IF(AND(INDEX(기본자료!$K$2:$K$1001,$AB39)&gt;=10000101,INT(MOD(INDEX(기본자료!$K$2:$K$1001,$AB39),10000)/100)&gt;=1,INT(MOD(INDEX(기본자료!$K$2:$K$1001,$AB39),10000)/100)&lt;=12,MOD(INDEX(기본자료!$K$2:$K$1001,$AB39),100)&gt;=1,MOD(INDEX(기본자료!$K$2:$K$1001,$AB39),100)&lt;=31),DATE(INT(INDEX(기본자료!$K$2:$K$1001,$AB39)/10000),INT(MOD(INDEX(기본자료!$K$2:$K$1001,$AB39),10000)/100),MOD(INDEX(기본자료!$K$2:$K$1001,$AB39),100)),INDEX(기본자료!$K$2:$K$1001,$AB39)&amp;"")))))</f>
        <v/>
      </c>
      <c r="F39" s="10">
        <f>IF($AB39="","",IF(INDEX(기본자료!$D$2:$D$1001,$AB39)="","",INDEX(기본자료!$D$2:$D$1001,$AB39)))</f>
        <v/>
      </c>
      <c r="G39" s="10">
        <f>IF($AB39="","",IF(INDEX(기본자료!$E$2:$E$1001,$AB39)="","",INDEX(기본자료!$E$2:$E$1001,$AB39)))</f>
        <v/>
      </c>
      <c r="H39" s="10">
        <f>IF($AB39="","",IF(INDEX(기본자료!$F$2:$F$1001,$AB39)="","",INDEX(기본자료!$F$2:$F$1001,$AB39)))</f>
        <v/>
      </c>
      <c r="I39" s="11">
        <f>IF($AB39="","",IF(INDEX(기본자료!$G$2:$G$1001,$AB39)="","",IF(NOT(ISNUMBER(INDEX(기본자료!$G$2:$G$1001,$AB39))),INDEX(기본자료!$G$2:$G$1001,$AB39),IF(INDEX(기본자료!$G$2:$G$1001,$AB39)&lt;1000000,INDEX(기본자료!$G$2:$G$1001,$AB39),IF(AND(INDEX(기본자료!$G$2:$G$1001,$AB39)&gt;=10000101,INT(MOD(INDEX(기본자료!$G$2:$G$1001,$AB39),10000)/100)&gt;=1,INT(MOD(INDEX(기본자료!$G$2:$G$1001,$AB39),10000)/100)&lt;=12,MOD(INDEX(기본자료!$G$2:$G$1001,$AB39),100)&gt;=1,MOD(INDEX(기본자료!$G$2:$G$1001,$AB39),100)&lt;=31),DATE(INT(INDEX(기본자료!$G$2:$G$1001,$AB39)/10000),INT(MOD(INDEX(기본자료!$G$2:$G$1001,$AB39),10000)/100),MOD(INDEX(기본자료!$G$2:$G$1001,$AB39),100)),INDEX(기본자료!$G$2:$G$1001,$AB39)&amp;"")))))</f>
        <v/>
      </c>
      <c r="J39" s="10">
        <f>IF($AB39="","",IF(INDEX(기본자료!$H$2:$H$1001,$AB39)="","",INDEX(기본자료!$H$2:$H$1001,$AB39)))</f>
        <v/>
      </c>
      <c r="K39" s="10">
        <f>IF($AB39="","",IF(INDEX(기본자료!$I$2:$I$1001,$AB39)="","",INDEX(기본자료!$I$2:$I$1001,$AB39)))</f>
        <v/>
      </c>
      <c r="L39" s="10">
        <f>IF($AB39="","",IF(INDEX(기본자료!$A$2:$A$1001,$AB39)="","",INDEX(기본자료!$A$2:$A$1001,$AB39)))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$803,$AK39),OR(NOT(ISNUMBER(INDEX(파견수련계획!$AC$4:$AC$803,$AK39))),TODAY()&lt;=INDEX(파견수련계획!$AC$4:$AC$803,$AK39))),"다기관",IF($AF39="","",INDEX(파견수련계획!$T$4:$T$803,$AF39))),IF($AF39="","",INDEX(파견수련계획!$T$4:$T$803,$AF39))))</f>
        <v/>
      </c>
      <c r="Q39" s="10">
        <f>IF($AF39="","",INDEX(파견수련계획!$S$4:$S$803,$AF39))</f>
        <v/>
      </c>
      <c r="R39" s="10">
        <f>IF($AF39="","",INDEX(파견수련계획!$U$4:$U$803,$AF39))</f>
        <v/>
      </c>
      <c r="S39" s="11">
        <f>IF($AF39="","",IF(INDEX(파견수련계획!$H$4:$H$803,$AF39)="","",INDEX(파견수련계획!$H$4:$H$803,$AF39)))</f>
        <v/>
      </c>
      <c r="T39" s="11">
        <f>IF($AF39="","",IF(INDEX(파견수련계획!$I$4:$I$803,$AF39)="","",INDEX(파견수련계획!$I$4:$I$803,$AF39)))</f>
        <v/>
      </c>
      <c r="U39" s="10">
        <f>IF($AF39="","",INDEX(파견수련계획!$X$4:$X$803,$AF39))</f>
        <v/>
      </c>
      <c r="V39" s="17">
        <f>IF($AF39="","",INDEX(파견수련계획!$V$4:$V$803,$AF39))</f>
        <v/>
      </c>
      <c r="W39" s="17">
        <f>IF(AND($U39="파견중",$T39&lt;&gt;""),$T39-TODAY(),"")</f>
        <v/>
      </c>
      <c r="X39" s="17">
        <f>IF(OR($B39="",TRIM($J39&amp;"")=""),"",SUMPRODUCT((파견수련계획!$Q$4:$Q$803=TRIM($J39&amp;""))*파견수련계획!$W$4:$W$803))</f>
        <v/>
      </c>
      <c r="Y39" s="10">
        <f>IF($B39="","",IF($AG39="","",IF(IF(TRIM($J39&amp;"")="",0,SUMPRODUCT((파견수련계획!$Q$4:$Q$803=TRIM($J39&amp;""))*파견수련계획!$AD$4:$AD$803)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"&amp;$AI39&amp;"일)")),IF($AJ39="",$AE39,IF(INDEX(파견수련계획!$T$4:$T$803,$AJ39)="통합수련",INDEX(파견수련계획!$S$4:$S$803,$AJ39),$AE39)))))))</f>
        <v/>
      </c>
      <c r="Z39" s="19">
        <f>IF($B39="","",IF($AB39="","기본자료에 없는 사번",IF(COUNTIF($B$2:$B$401,$B39)&gt;1,"중복 사번",IF($AE39="","소속(입사장소) 입력",IF(IF(TRIM($J39&amp;"")="",0,SUMPRODUCT((파견수련계획!$Q$4:$Q$803=TRIM($J39&amp;""))*(파견수련계획!$AA$4:$AA$803&lt;&gt;"")))&gt;0,"파견수련계획 입력오류 확인",IF(LEFT($Y39,1)="⚠","서울·구리 15일 판정 불가(양쪽 모두 이상/미만)",IF(IF($AC39="",0,N(INDEX(인턴근무계획!$T$3:$T$402,$AC39)))&gt;0,"인턴계획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IF($B39="","",IFERROR(MATCH($B39,기본자료!$B$2:$B$1001,0),IFERROR(MATCH($B39&amp;"",기본자료!$B$2:$B$1001,0),IFERROR(MATCH(VALUE($B39),기본자료!$B$2:$B$1001,0),""))))</f>
        <v/>
      </c>
      <c r="AC39" s="10">
        <f>IF($B39="","",IFERROR(MATCH($B39,인턴근무계획!$D$3:$D$402,0),IFERROR(MATCH($B39&amp;"",인턴근무계획!$D$3:$D$402,0),IFERROR(MATCH(VALUE($B39),인턴근무계획!$D$3:$D$402,0),""))))</f>
        <v/>
      </c>
      <c r="AD39" s="10">
        <f>IF(OR($AC39="",인턴현황!$G$3=""),"",INDEX(인턴근무계획!$M$3:$R$402,$AC39,인턴현황!$G$3)&amp;"")</f>
        <v/>
      </c>
      <c r="AE39" s="10">
        <f>IF($B39="","",IF($M39&lt;&gt;"",$M39,IF($AF39&lt;&gt;"",IF(LEFT(INDEX(파견수련계획!$R$4:$R$803,$AF39),1)&lt;&gt;"⚠",INDEX(파견수련계획!$R$4:$R$803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$803,0),IFERROR(MATCH(TRIM($J39&amp;"")&amp;"|파견예정",파견수련계획!$Y$4:$Y$803,0),IFERROR(MATCH(TRIM($J39&amp;"")&amp;"|파견종료",파견수련계획!$Y$4:$Y$803,0),""))))</f>
        <v/>
      </c>
      <c r="AG39" s="10">
        <f>IF($B39="","",IF(AND(IF(OR($AC39="",인턴현황!$K$2=""),"",INDEX(인턴근무계획!$M$3:$R$402,$AC39,인턴현황!$K$2)&amp;"")&lt;&gt;"",LEFT(IF(OR($AC39="",인턴현황!$K$2=""),"",INDEX(인턴근무계획!$M$3:$R$402,$AC39,인턴현황!$K$2)&amp;""),1)&lt;&gt;"⚠"),LEFT(IF(OR($AC39="",인턴현황!$K$2=""),"",INDEX(인턴근무계획!$M$3:$R$402,$AC39,인턴현황!$K$2)&amp;""),FIND(" ",IF(OR($AC39="",인턴현황!$K$2=""),"",INDEX(인턴근무계획!$M$3:$R$402,$AC39,인턴현황!$K$2)&amp;""))-1),$AE39))</f>
        <v/>
      </c>
      <c r="AH39" s="17">
        <f>IF($B39="","",IF(TRIM($J39&amp;"")="",0,SUMPRODUCT((파견수련계획!$Q$4:$Q$803=TRIM($J39&amp;""))*(파견수련계획!$S$4:$S$803="서울병원")*파견수련계획!$W$4:$W$803))+IF($AG39="서울병원",MAX(0,DAY(EOMONTH(요약!$B$3,0))-N($X39)),0))</f>
        <v/>
      </c>
      <c r="AI39" s="17">
        <f>IF($B39="","",IF(TRIM($J39&amp;"")="",0,SUMPRODUCT((파견수련계획!$Q$4:$Q$803=TRIM($J39&amp;""))*(파견수련계획!$S$4:$S$803="구리병원")*파견수련계획!$W$4:$W$803))+IF($AG39="구리병원",MAX(0,DAY(EOMONTH(요약!$B$3,0))-N($X39)),0))</f>
        <v/>
      </c>
      <c r="AJ39" s="10">
        <f>IF(OR($B39="",TRIM($J39&amp;"")=""),"",IFERROR(MATCH(TRIM($J39&amp;"")&amp;"|월",파견수련계획!$Z$4:$Z$803,0),""))</f>
        <v/>
      </c>
      <c r="AK39" s="10">
        <f>IF(OR($B39="",TRIM($J39&amp;"")=""),"",IFERROR(MATCH(TRIM($J39&amp;"")&amp;"|다기관",파견수련계획!$AE$4:$AE$803,0),""))</f>
        <v/>
      </c>
      <c r="AL39" s="10">
        <f>IF($AK39="","","다기관 "&amp;TEXT(INDEX(파견수련계획!$AB$4:$AB$803,$AK39),"yyyy-mm-dd")&amp;"~"&amp;IF(ISNUMBER(INDEX(파견수련계획!$AC$4:$AC$803,$AK39)),TEXT(INDEX(파견수련계획!$AC$4:$AC$803,$AK39),"yyyy-mm-dd"),""))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IF($AB40="","",IF(INDEX(기본자료!$C$2:$C$1001,$AB40)="","",INDEX(기본자료!$C$2:$C$1001,$AB40)))</f>
        <v/>
      </c>
      <c r="D40" s="10">
        <f>IF($AB40="","",IF(INDEX(기본자료!$J$2:$J$1001,$AB40)="","",INDEX(기본자료!$J$2:$J$1001,$AB40)))</f>
        <v/>
      </c>
      <c r="E40" s="11">
        <f>IF($AB40="","",IF(INDEX(기본자료!$K$2:$K$1001,$AB40)="","",IF(NOT(ISNUMBER(INDEX(기본자료!$K$2:$K$1001,$AB40))),INDEX(기본자료!$K$2:$K$1001,$AB40),IF(INDEX(기본자료!$K$2:$K$1001,$AB40)&lt;1000000,INDEX(기본자료!$K$2:$K$1001,$AB40),IF(AND(INDEX(기본자료!$K$2:$K$1001,$AB40)&gt;=10000101,INT(MOD(INDEX(기본자료!$K$2:$K$1001,$AB40),10000)/100)&gt;=1,INT(MOD(INDEX(기본자료!$K$2:$K$1001,$AB40),10000)/100)&lt;=12,MOD(INDEX(기본자료!$K$2:$K$1001,$AB40),100)&gt;=1,MOD(INDEX(기본자료!$K$2:$K$1001,$AB40),100)&lt;=31),DATE(INT(INDEX(기본자료!$K$2:$K$1001,$AB40)/10000),INT(MOD(INDEX(기본자료!$K$2:$K$1001,$AB40),10000)/100),MOD(INDEX(기본자료!$K$2:$K$1001,$AB40),100)),INDEX(기본자료!$K$2:$K$1001,$AB40)&amp;"")))))</f>
        <v/>
      </c>
      <c r="F40" s="10">
        <f>IF($AB40="","",IF(INDEX(기본자료!$D$2:$D$1001,$AB40)="","",INDEX(기본자료!$D$2:$D$1001,$AB40)))</f>
        <v/>
      </c>
      <c r="G40" s="10">
        <f>IF($AB40="","",IF(INDEX(기본자료!$E$2:$E$1001,$AB40)="","",INDEX(기본자료!$E$2:$E$1001,$AB40)))</f>
        <v/>
      </c>
      <c r="H40" s="10">
        <f>IF($AB40="","",IF(INDEX(기본자료!$F$2:$F$1001,$AB40)="","",INDEX(기본자료!$F$2:$F$1001,$AB40)))</f>
        <v/>
      </c>
      <c r="I40" s="11">
        <f>IF($AB40="","",IF(INDEX(기본자료!$G$2:$G$1001,$AB40)="","",IF(NOT(ISNUMBER(INDEX(기본자료!$G$2:$G$1001,$AB40))),INDEX(기본자료!$G$2:$G$1001,$AB40),IF(INDEX(기본자료!$G$2:$G$1001,$AB40)&lt;1000000,INDEX(기본자료!$G$2:$G$1001,$AB40),IF(AND(INDEX(기본자료!$G$2:$G$1001,$AB40)&gt;=10000101,INT(MOD(INDEX(기본자료!$G$2:$G$1001,$AB40),10000)/100)&gt;=1,INT(MOD(INDEX(기본자료!$G$2:$G$1001,$AB40),10000)/100)&lt;=12,MOD(INDEX(기본자료!$G$2:$G$1001,$AB40),100)&gt;=1,MOD(INDEX(기본자료!$G$2:$G$1001,$AB40),100)&lt;=31),DATE(INT(INDEX(기본자료!$G$2:$G$1001,$AB40)/10000),INT(MOD(INDEX(기본자료!$G$2:$G$1001,$AB40),10000)/100),MOD(INDEX(기본자료!$G$2:$G$1001,$AB40),100)),INDEX(기본자료!$G$2:$G$1001,$AB40)&amp;"")))))</f>
        <v/>
      </c>
      <c r="J40" s="10">
        <f>IF($AB40="","",IF(INDEX(기본자료!$H$2:$H$1001,$AB40)="","",INDEX(기본자료!$H$2:$H$1001,$AB40)))</f>
        <v/>
      </c>
      <c r="K40" s="10">
        <f>IF($AB40="","",IF(INDEX(기본자료!$I$2:$I$1001,$AB40)="","",INDEX(기본자료!$I$2:$I$1001,$AB40)))</f>
        <v/>
      </c>
      <c r="L40" s="10">
        <f>IF($AB40="","",IF(INDEX(기본자료!$A$2:$A$1001,$AB40)="","",INDEX(기본자료!$A$2:$A$1001,$AB40)))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$803,$AK40),OR(NOT(ISNUMBER(INDEX(파견수련계획!$AC$4:$AC$803,$AK40))),TODAY()&lt;=INDEX(파견수련계획!$AC$4:$AC$803,$AK40))),"다기관",IF($AF40="","",INDEX(파견수련계획!$T$4:$T$803,$AF40))),IF($AF40="","",INDEX(파견수련계획!$T$4:$T$803,$AF40))))</f>
        <v/>
      </c>
      <c r="Q40" s="10">
        <f>IF($AF40="","",INDEX(파견수련계획!$S$4:$S$803,$AF40))</f>
        <v/>
      </c>
      <c r="R40" s="10">
        <f>IF($AF40="","",INDEX(파견수련계획!$U$4:$U$803,$AF40))</f>
        <v/>
      </c>
      <c r="S40" s="11">
        <f>IF($AF40="","",IF(INDEX(파견수련계획!$H$4:$H$803,$AF40)="","",INDEX(파견수련계획!$H$4:$H$803,$AF40)))</f>
        <v/>
      </c>
      <c r="T40" s="11">
        <f>IF($AF40="","",IF(INDEX(파견수련계획!$I$4:$I$803,$AF40)="","",INDEX(파견수련계획!$I$4:$I$803,$AF40)))</f>
        <v/>
      </c>
      <c r="U40" s="10">
        <f>IF($AF40="","",INDEX(파견수련계획!$X$4:$X$803,$AF40))</f>
        <v/>
      </c>
      <c r="V40" s="17">
        <f>IF($AF40="","",INDEX(파견수련계획!$V$4:$V$803,$AF40))</f>
        <v/>
      </c>
      <c r="W40" s="17">
        <f>IF(AND($U40="파견중",$T40&lt;&gt;""),$T40-TODAY(),"")</f>
        <v/>
      </c>
      <c r="X40" s="17">
        <f>IF(OR($B40="",TRIM($J40&amp;"")=""),"",SUMPRODUCT((파견수련계획!$Q$4:$Q$803=TRIM($J40&amp;""))*파견수련계획!$W$4:$W$803))</f>
        <v/>
      </c>
      <c r="Y40" s="10">
        <f>IF($B40="","",IF($AG40="","",IF(IF(TRIM($J40&amp;"")="",0,SUMPRODUCT((파견수련계획!$Q$4:$Q$803=TRIM($J40&amp;""))*파견수련계획!$AD$4:$AD$803)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"&amp;$AI40&amp;"일)")),IF($AJ40="",$AE40,IF(INDEX(파견수련계획!$T$4:$T$803,$AJ40)="통합수련",INDEX(파견수련계획!$S$4:$S$803,$AJ40),$AE40)))))))</f>
        <v/>
      </c>
      <c r="Z40" s="19">
        <f>IF($B40="","",IF($AB40="","기본자료에 없는 사번",IF(COUNTIF($B$2:$B$401,$B40)&gt;1,"중복 사번",IF($AE40="","소속(입사장소) 입력",IF(IF(TRIM($J40&amp;"")="",0,SUMPRODUCT((파견수련계획!$Q$4:$Q$803=TRIM($J40&amp;""))*(파견수련계획!$AA$4:$AA$803&lt;&gt;"")))&gt;0,"파견수련계획 입력오류 확인",IF(LEFT($Y40,1)="⚠","서울·구리 15일 판정 불가(양쪽 모두 이상/미만)",IF(IF($AC40="",0,N(INDEX(인턴근무계획!$T$3:$T$402,$AC40)))&gt;0,"인턴계획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IF($B40="","",IFERROR(MATCH($B40,기본자료!$B$2:$B$1001,0),IFERROR(MATCH($B40&amp;"",기본자료!$B$2:$B$1001,0),IFERROR(MATCH(VALUE($B40),기본자료!$B$2:$B$1001,0),""))))</f>
        <v/>
      </c>
      <c r="AC40" s="10">
        <f>IF($B40="","",IFERROR(MATCH($B40,인턴근무계획!$D$3:$D$402,0),IFERROR(MATCH($B40&amp;"",인턴근무계획!$D$3:$D$402,0),IFERROR(MATCH(VALUE($B40),인턴근무계획!$D$3:$D$402,0),""))))</f>
        <v/>
      </c>
      <c r="AD40" s="10">
        <f>IF(OR($AC40="",인턴현황!$G$3=""),"",INDEX(인턴근무계획!$M$3:$R$402,$AC40,인턴현황!$G$3)&amp;"")</f>
        <v/>
      </c>
      <c r="AE40" s="10">
        <f>IF($B40="","",IF($M40&lt;&gt;"",$M40,IF($AF40&lt;&gt;"",IF(LEFT(INDEX(파견수련계획!$R$4:$R$803,$AF40),1)&lt;&gt;"⚠",INDEX(파견수련계획!$R$4:$R$803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$803,0),IFERROR(MATCH(TRIM($J40&amp;"")&amp;"|파견예정",파견수련계획!$Y$4:$Y$803,0),IFERROR(MATCH(TRIM($J40&amp;"")&amp;"|파견종료",파견수련계획!$Y$4:$Y$803,0),""))))</f>
        <v/>
      </c>
      <c r="AG40" s="10">
        <f>IF($B40="","",IF(AND(IF(OR($AC40="",인턴현황!$K$2=""),"",INDEX(인턴근무계획!$M$3:$R$402,$AC40,인턴현황!$K$2)&amp;"")&lt;&gt;"",LEFT(IF(OR($AC40="",인턴현황!$K$2=""),"",INDEX(인턴근무계획!$M$3:$R$402,$AC40,인턴현황!$K$2)&amp;""),1)&lt;&gt;"⚠"),LEFT(IF(OR($AC40="",인턴현황!$K$2=""),"",INDEX(인턴근무계획!$M$3:$R$402,$AC40,인턴현황!$K$2)&amp;""),FIND(" ",IF(OR($AC40="",인턴현황!$K$2=""),"",INDEX(인턴근무계획!$M$3:$R$402,$AC40,인턴현황!$K$2)&amp;""))-1),$AE40))</f>
        <v/>
      </c>
      <c r="AH40" s="17">
        <f>IF($B40="","",IF(TRIM($J40&amp;"")="",0,SUMPRODUCT((파견수련계획!$Q$4:$Q$803=TRIM($J40&amp;""))*(파견수련계획!$S$4:$S$803="서울병원")*파견수련계획!$W$4:$W$803))+IF($AG40="서울병원",MAX(0,DAY(EOMONTH(요약!$B$3,0))-N($X40)),0))</f>
        <v/>
      </c>
      <c r="AI40" s="17">
        <f>IF($B40="","",IF(TRIM($J40&amp;"")="",0,SUMPRODUCT((파견수련계획!$Q$4:$Q$803=TRIM($J40&amp;""))*(파견수련계획!$S$4:$S$803="구리병원")*파견수련계획!$W$4:$W$803))+IF($AG40="구리병원",MAX(0,DAY(EOMONTH(요약!$B$3,0))-N($X40)),0))</f>
        <v/>
      </c>
      <c r="AJ40" s="10">
        <f>IF(OR($B40="",TRIM($J40&amp;"")=""),"",IFERROR(MATCH(TRIM($J40&amp;"")&amp;"|월",파견수련계획!$Z$4:$Z$803,0),""))</f>
        <v/>
      </c>
      <c r="AK40" s="10">
        <f>IF(OR($B40="",TRIM($J40&amp;"")=""),"",IFERROR(MATCH(TRIM($J40&amp;"")&amp;"|다기관",파견수련계획!$AE$4:$AE$803,0),""))</f>
        <v/>
      </c>
      <c r="AL40" s="10">
        <f>IF($AK40="","","다기관 "&amp;TEXT(INDEX(파견수련계획!$AB$4:$AB$803,$AK40),"yyyy-mm-dd")&amp;"~"&amp;IF(ISNUMBER(INDEX(파견수련계획!$AC$4:$AC$803,$AK40)),TEXT(INDEX(파견수련계획!$AC$4:$AC$803,$AK40),"yyyy-mm-dd"),""))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IF($AB41="","",IF(INDEX(기본자료!$C$2:$C$1001,$AB41)="","",INDEX(기본자료!$C$2:$C$1001,$AB41)))</f>
        <v/>
      </c>
      <c r="D41" s="10">
        <f>IF($AB41="","",IF(INDEX(기본자료!$J$2:$J$1001,$AB41)="","",INDEX(기본자료!$J$2:$J$1001,$AB41)))</f>
        <v/>
      </c>
      <c r="E41" s="11">
        <f>IF($AB41="","",IF(INDEX(기본자료!$K$2:$K$1001,$AB41)="","",IF(NOT(ISNUMBER(INDEX(기본자료!$K$2:$K$1001,$AB41))),INDEX(기본자료!$K$2:$K$1001,$AB41),IF(INDEX(기본자료!$K$2:$K$1001,$AB41)&lt;1000000,INDEX(기본자료!$K$2:$K$1001,$AB41),IF(AND(INDEX(기본자료!$K$2:$K$1001,$AB41)&gt;=10000101,INT(MOD(INDEX(기본자료!$K$2:$K$1001,$AB41),10000)/100)&gt;=1,INT(MOD(INDEX(기본자료!$K$2:$K$1001,$AB41),10000)/100)&lt;=12,MOD(INDEX(기본자료!$K$2:$K$1001,$AB41),100)&gt;=1,MOD(INDEX(기본자료!$K$2:$K$1001,$AB41),100)&lt;=31),DATE(INT(INDEX(기본자료!$K$2:$K$1001,$AB41)/10000),INT(MOD(INDEX(기본자료!$K$2:$K$1001,$AB41),10000)/100),MOD(INDEX(기본자료!$K$2:$K$1001,$AB41),100)),INDEX(기본자료!$K$2:$K$1001,$AB41)&amp;"")))))</f>
        <v/>
      </c>
      <c r="F41" s="10">
        <f>IF($AB41="","",IF(INDEX(기본자료!$D$2:$D$1001,$AB41)="","",INDEX(기본자료!$D$2:$D$1001,$AB41)))</f>
        <v/>
      </c>
      <c r="G41" s="10">
        <f>IF($AB41="","",IF(INDEX(기본자료!$E$2:$E$1001,$AB41)="","",INDEX(기본자료!$E$2:$E$1001,$AB41)))</f>
        <v/>
      </c>
      <c r="H41" s="10">
        <f>IF($AB41="","",IF(INDEX(기본자료!$F$2:$F$1001,$AB41)="","",INDEX(기본자료!$F$2:$F$1001,$AB41)))</f>
        <v/>
      </c>
      <c r="I41" s="11">
        <f>IF($AB41="","",IF(INDEX(기본자료!$G$2:$G$1001,$AB41)="","",IF(NOT(ISNUMBER(INDEX(기본자료!$G$2:$G$1001,$AB41))),INDEX(기본자료!$G$2:$G$1001,$AB41),IF(INDEX(기본자료!$G$2:$G$1001,$AB41)&lt;1000000,INDEX(기본자료!$G$2:$G$1001,$AB41),IF(AND(INDEX(기본자료!$G$2:$G$1001,$AB41)&gt;=10000101,INT(MOD(INDEX(기본자료!$G$2:$G$1001,$AB41),10000)/100)&gt;=1,INT(MOD(INDEX(기본자료!$G$2:$G$1001,$AB41),10000)/100)&lt;=12,MOD(INDEX(기본자료!$G$2:$G$1001,$AB41),100)&gt;=1,MOD(INDEX(기본자료!$G$2:$G$1001,$AB41),100)&lt;=31),DATE(INT(INDEX(기본자료!$G$2:$G$1001,$AB41)/10000),INT(MOD(INDEX(기본자료!$G$2:$G$1001,$AB41),10000)/100),MOD(INDEX(기본자료!$G$2:$G$1001,$AB41),100)),INDEX(기본자료!$G$2:$G$1001,$AB41)&amp;"")))))</f>
        <v/>
      </c>
      <c r="J41" s="10">
        <f>IF($AB41="","",IF(INDEX(기본자료!$H$2:$H$1001,$AB41)="","",INDEX(기본자료!$H$2:$H$1001,$AB41)))</f>
        <v/>
      </c>
      <c r="K41" s="10">
        <f>IF($AB41="","",IF(INDEX(기본자료!$I$2:$I$1001,$AB41)="","",INDEX(기본자료!$I$2:$I$1001,$AB41)))</f>
        <v/>
      </c>
      <c r="L41" s="10">
        <f>IF($AB41="","",IF(INDEX(기본자료!$A$2:$A$1001,$AB41)="","",INDEX(기본자료!$A$2:$A$1001,$AB41)))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$803,$AK41),OR(NOT(ISNUMBER(INDEX(파견수련계획!$AC$4:$AC$803,$AK41))),TODAY()&lt;=INDEX(파견수련계획!$AC$4:$AC$803,$AK41))),"다기관",IF($AF41="","",INDEX(파견수련계획!$T$4:$T$803,$AF41))),IF($AF41="","",INDEX(파견수련계획!$T$4:$T$803,$AF41))))</f>
        <v/>
      </c>
      <c r="Q41" s="10">
        <f>IF($AF41="","",INDEX(파견수련계획!$S$4:$S$803,$AF41))</f>
        <v/>
      </c>
      <c r="R41" s="10">
        <f>IF($AF41="","",INDEX(파견수련계획!$U$4:$U$803,$AF41))</f>
        <v/>
      </c>
      <c r="S41" s="11">
        <f>IF($AF41="","",IF(INDEX(파견수련계획!$H$4:$H$803,$AF41)="","",INDEX(파견수련계획!$H$4:$H$803,$AF41)))</f>
        <v/>
      </c>
      <c r="T41" s="11">
        <f>IF($AF41="","",IF(INDEX(파견수련계획!$I$4:$I$803,$AF41)="","",INDEX(파견수련계획!$I$4:$I$803,$AF41)))</f>
        <v/>
      </c>
      <c r="U41" s="10">
        <f>IF($AF41="","",INDEX(파견수련계획!$X$4:$X$803,$AF41))</f>
        <v/>
      </c>
      <c r="V41" s="17">
        <f>IF($AF41="","",INDEX(파견수련계획!$V$4:$V$803,$AF41))</f>
        <v/>
      </c>
      <c r="W41" s="17">
        <f>IF(AND($U41="파견중",$T41&lt;&gt;""),$T41-TODAY(),"")</f>
        <v/>
      </c>
      <c r="X41" s="17">
        <f>IF(OR($B41="",TRIM($J41&amp;"")=""),"",SUMPRODUCT((파견수련계획!$Q$4:$Q$803=TRIM($J41&amp;""))*파견수련계획!$W$4:$W$803))</f>
        <v/>
      </c>
      <c r="Y41" s="10">
        <f>IF($B41="","",IF($AG41="","",IF(IF(TRIM($J41&amp;"")="",0,SUMPRODUCT((파견수련계획!$Q$4:$Q$803=TRIM($J41&amp;""))*파견수련계획!$AD$4:$AD$803)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"&amp;$AI41&amp;"일)")),IF($AJ41="",$AE41,IF(INDEX(파견수련계획!$T$4:$T$803,$AJ41)="통합수련",INDEX(파견수련계획!$S$4:$S$803,$AJ41),$AE41)))))))</f>
        <v/>
      </c>
      <c r="Z41" s="19">
        <f>IF($B41="","",IF($AB41="","기본자료에 없는 사번",IF(COUNTIF($B$2:$B$401,$B41)&gt;1,"중복 사번",IF($AE41="","소속(입사장소) 입력",IF(IF(TRIM($J41&amp;"")="",0,SUMPRODUCT((파견수련계획!$Q$4:$Q$803=TRIM($J41&amp;""))*(파견수련계획!$AA$4:$AA$803&lt;&gt;"")))&gt;0,"파견수련계획 입력오류 확인",IF(LEFT($Y41,1)="⚠","서울·구리 15일 판정 불가(양쪽 모두 이상/미만)",IF(IF($AC41="",0,N(INDEX(인턴근무계획!$T$3:$T$402,$AC41)))&gt;0,"인턴계획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IF($B41="","",IFERROR(MATCH($B41,기본자료!$B$2:$B$1001,0),IFERROR(MATCH($B41&amp;"",기본자료!$B$2:$B$1001,0),IFERROR(MATCH(VALUE($B41),기본자료!$B$2:$B$1001,0),""))))</f>
        <v/>
      </c>
      <c r="AC41" s="10">
        <f>IF($B41="","",IFERROR(MATCH($B41,인턴근무계획!$D$3:$D$402,0),IFERROR(MATCH($B41&amp;"",인턴근무계획!$D$3:$D$402,0),IFERROR(MATCH(VALUE($B41),인턴근무계획!$D$3:$D$402,0),""))))</f>
        <v/>
      </c>
      <c r="AD41" s="10">
        <f>IF(OR($AC41="",인턴현황!$G$3=""),"",INDEX(인턴근무계획!$M$3:$R$402,$AC41,인턴현황!$G$3)&amp;"")</f>
        <v/>
      </c>
      <c r="AE41" s="10">
        <f>IF($B41="","",IF($M41&lt;&gt;"",$M41,IF($AF41&lt;&gt;"",IF(LEFT(INDEX(파견수련계획!$R$4:$R$803,$AF41),1)&lt;&gt;"⚠",INDEX(파견수련계획!$R$4:$R$803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$803,0),IFERROR(MATCH(TRIM($J41&amp;"")&amp;"|파견예정",파견수련계획!$Y$4:$Y$803,0),IFERROR(MATCH(TRIM($J41&amp;"")&amp;"|파견종료",파견수련계획!$Y$4:$Y$803,0),""))))</f>
        <v/>
      </c>
      <c r="AG41" s="10">
        <f>IF($B41="","",IF(AND(IF(OR($AC41="",인턴현황!$K$2=""),"",INDEX(인턴근무계획!$M$3:$R$402,$AC41,인턴현황!$K$2)&amp;"")&lt;&gt;"",LEFT(IF(OR($AC41="",인턴현황!$K$2=""),"",INDEX(인턴근무계획!$M$3:$R$402,$AC41,인턴현황!$K$2)&amp;""),1)&lt;&gt;"⚠"),LEFT(IF(OR($AC41="",인턴현황!$K$2=""),"",INDEX(인턴근무계획!$M$3:$R$402,$AC41,인턴현황!$K$2)&amp;""),FIND(" ",IF(OR($AC41="",인턴현황!$K$2=""),"",INDEX(인턴근무계획!$M$3:$R$402,$AC41,인턴현황!$K$2)&amp;""))-1),$AE41))</f>
        <v/>
      </c>
      <c r="AH41" s="17">
        <f>IF($B41="","",IF(TRIM($J41&amp;"")="",0,SUMPRODUCT((파견수련계획!$Q$4:$Q$803=TRIM($J41&amp;""))*(파견수련계획!$S$4:$S$803="서울병원")*파견수련계획!$W$4:$W$803))+IF($AG41="서울병원",MAX(0,DAY(EOMONTH(요약!$B$3,0))-N($X41)),0))</f>
        <v/>
      </c>
      <c r="AI41" s="17">
        <f>IF($B41="","",IF(TRIM($J41&amp;"")="",0,SUMPRODUCT((파견수련계획!$Q$4:$Q$803=TRIM($J41&amp;""))*(파견수련계획!$S$4:$S$803="구리병원")*파견수련계획!$W$4:$W$803))+IF($AG41="구리병원",MAX(0,DAY(EOMONTH(요약!$B$3,0))-N($X41)),0))</f>
        <v/>
      </c>
      <c r="AJ41" s="10">
        <f>IF(OR($B41="",TRIM($J41&amp;"")=""),"",IFERROR(MATCH(TRIM($J41&amp;"")&amp;"|월",파견수련계획!$Z$4:$Z$803,0),""))</f>
        <v/>
      </c>
      <c r="AK41" s="10">
        <f>IF(OR($B41="",TRIM($J41&amp;"")=""),"",IFERROR(MATCH(TRIM($J41&amp;"")&amp;"|다기관",파견수련계획!$AE$4:$AE$803,0),""))</f>
        <v/>
      </c>
      <c r="AL41" s="10">
        <f>IF($AK41="","","다기관 "&amp;TEXT(INDEX(파견수련계획!$AB$4:$AB$803,$AK41),"yyyy-mm-dd")&amp;"~"&amp;IF(ISNUMBER(INDEX(파견수련계획!$AC$4:$AC$803,$AK41)),TEXT(INDEX(파견수련계획!$AC$4:$AC$803,$AK41),"yyyy-mm-dd"),""))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IF($AB42="","",IF(INDEX(기본자료!$C$2:$C$1001,$AB42)="","",INDEX(기본자료!$C$2:$C$1001,$AB42)))</f>
        <v/>
      </c>
      <c r="D42" s="10">
        <f>IF($AB42="","",IF(INDEX(기본자료!$J$2:$J$1001,$AB42)="","",INDEX(기본자료!$J$2:$J$1001,$AB42)))</f>
        <v/>
      </c>
      <c r="E42" s="11">
        <f>IF($AB42="","",IF(INDEX(기본자료!$K$2:$K$1001,$AB42)="","",IF(NOT(ISNUMBER(INDEX(기본자료!$K$2:$K$1001,$AB42))),INDEX(기본자료!$K$2:$K$1001,$AB42),IF(INDEX(기본자료!$K$2:$K$1001,$AB42)&lt;1000000,INDEX(기본자료!$K$2:$K$1001,$AB42),IF(AND(INDEX(기본자료!$K$2:$K$1001,$AB42)&gt;=10000101,INT(MOD(INDEX(기본자료!$K$2:$K$1001,$AB42),10000)/100)&gt;=1,INT(MOD(INDEX(기본자료!$K$2:$K$1001,$AB42),10000)/100)&lt;=12,MOD(INDEX(기본자료!$K$2:$K$1001,$AB42),100)&gt;=1,MOD(INDEX(기본자료!$K$2:$K$1001,$AB42),100)&lt;=31),DATE(INT(INDEX(기본자료!$K$2:$K$1001,$AB42)/10000),INT(MOD(INDEX(기본자료!$K$2:$K$1001,$AB42),10000)/100),MOD(INDEX(기본자료!$K$2:$K$1001,$AB42),100)),INDEX(기본자료!$K$2:$K$1001,$AB42)&amp;"")))))</f>
        <v/>
      </c>
      <c r="F42" s="10">
        <f>IF($AB42="","",IF(INDEX(기본자료!$D$2:$D$1001,$AB42)="","",INDEX(기본자료!$D$2:$D$1001,$AB42)))</f>
        <v/>
      </c>
      <c r="G42" s="10">
        <f>IF($AB42="","",IF(INDEX(기본자료!$E$2:$E$1001,$AB42)="","",INDEX(기본자료!$E$2:$E$1001,$AB42)))</f>
        <v/>
      </c>
      <c r="H42" s="10">
        <f>IF($AB42="","",IF(INDEX(기본자료!$F$2:$F$1001,$AB42)="","",INDEX(기본자료!$F$2:$F$1001,$AB42)))</f>
        <v/>
      </c>
      <c r="I42" s="11">
        <f>IF($AB42="","",IF(INDEX(기본자료!$G$2:$G$1001,$AB42)="","",IF(NOT(ISNUMBER(INDEX(기본자료!$G$2:$G$1001,$AB42))),INDEX(기본자료!$G$2:$G$1001,$AB42),IF(INDEX(기본자료!$G$2:$G$1001,$AB42)&lt;1000000,INDEX(기본자료!$G$2:$G$1001,$AB42),IF(AND(INDEX(기본자료!$G$2:$G$1001,$AB42)&gt;=10000101,INT(MOD(INDEX(기본자료!$G$2:$G$1001,$AB42),10000)/100)&gt;=1,INT(MOD(INDEX(기본자료!$G$2:$G$1001,$AB42),10000)/100)&lt;=12,MOD(INDEX(기본자료!$G$2:$G$1001,$AB42),100)&gt;=1,MOD(INDEX(기본자료!$G$2:$G$1001,$AB42),100)&lt;=31),DATE(INT(INDEX(기본자료!$G$2:$G$1001,$AB42)/10000),INT(MOD(INDEX(기본자료!$G$2:$G$1001,$AB42),10000)/100),MOD(INDEX(기본자료!$G$2:$G$1001,$AB42),100)),INDEX(기본자료!$G$2:$G$1001,$AB42)&amp;"")))))</f>
        <v/>
      </c>
      <c r="J42" s="10">
        <f>IF($AB42="","",IF(INDEX(기본자료!$H$2:$H$1001,$AB42)="","",INDEX(기본자료!$H$2:$H$1001,$AB42)))</f>
        <v/>
      </c>
      <c r="K42" s="10">
        <f>IF($AB42="","",IF(INDEX(기본자료!$I$2:$I$1001,$AB42)="","",INDEX(기본자료!$I$2:$I$1001,$AB42)))</f>
        <v/>
      </c>
      <c r="L42" s="10">
        <f>IF($AB42="","",IF(INDEX(기본자료!$A$2:$A$1001,$AB42)="","",INDEX(기본자료!$A$2:$A$1001,$AB42)))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$803,$AK42),OR(NOT(ISNUMBER(INDEX(파견수련계획!$AC$4:$AC$803,$AK42))),TODAY()&lt;=INDEX(파견수련계획!$AC$4:$AC$803,$AK42))),"다기관",IF($AF42="","",INDEX(파견수련계획!$T$4:$T$803,$AF42))),IF($AF42="","",INDEX(파견수련계획!$T$4:$T$803,$AF42))))</f>
        <v/>
      </c>
      <c r="Q42" s="10">
        <f>IF($AF42="","",INDEX(파견수련계획!$S$4:$S$803,$AF42))</f>
        <v/>
      </c>
      <c r="R42" s="10">
        <f>IF($AF42="","",INDEX(파견수련계획!$U$4:$U$803,$AF42))</f>
        <v/>
      </c>
      <c r="S42" s="11">
        <f>IF($AF42="","",IF(INDEX(파견수련계획!$H$4:$H$803,$AF42)="","",INDEX(파견수련계획!$H$4:$H$803,$AF42)))</f>
        <v/>
      </c>
      <c r="T42" s="11">
        <f>IF($AF42="","",IF(INDEX(파견수련계획!$I$4:$I$803,$AF42)="","",INDEX(파견수련계획!$I$4:$I$803,$AF42)))</f>
        <v/>
      </c>
      <c r="U42" s="10">
        <f>IF($AF42="","",INDEX(파견수련계획!$X$4:$X$803,$AF42))</f>
        <v/>
      </c>
      <c r="V42" s="17">
        <f>IF($AF42="","",INDEX(파견수련계획!$V$4:$V$803,$AF42))</f>
        <v/>
      </c>
      <c r="W42" s="17">
        <f>IF(AND($U42="파견중",$T42&lt;&gt;""),$T42-TODAY(),"")</f>
        <v/>
      </c>
      <c r="X42" s="17">
        <f>IF(OR($B42="",TRIM($J42&amp;"")=""),"",SUMPRODUCT((파견수련계획!$Q$4:$Q$803=TRIM($J42&amp;""))*파견수련계획!$W$4:$W$803))</f>
        <v/>
      </c>
      <c r="Y42" s="10">
        <f>IF($B42="","",IF($AG42="","",IF(IF(TRIM($J42&amp;"")="",0,SUMPRODUCT((파견수련계획!$Q$4:$Q$803=TRIM($J42&amp;""))*파견수련계획!$AD$4:$AD$803)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"&amp;$AI42&amp;"일)")),IF($AJ42="",$AE42,IF(INDEX(파견수련계획!$T$4:$T$803,$AJ42)="통합수련",INDEX(파견수련계획!$S$4:$S$803,$AJ42),$AE42)))))))</f>
        <v/>
      </c>
      <c r="Z42" s="19">
        <f>IF($B42="","",IF($AB42="","기본자료에 없는 사번",IF(COUNTIF($B$2:$B$401,$B42)&gt;1,"중복 사번",IF($AE42="","소속(입사장소) 입력",IF(IF(TRIM($J42&amp;"")="",0,SUMPRODUCT((파견수련계획!$Q$4:$Q$803=TRIM($J42&amp;""))*(파견수련계획!$AA$4:$AA$803&lt;&gt;"")))&gt;0,"파견수련계획 입력오류 확인",IF(LEFT($Y42,1)="⚠","서울·구리 15일 판정 불가(양쪽 모두 이상/미만)",IF(IF($AC42="",0,N(INDEX(인턴근무계획!$T$3:$T$402,$AC42)))&gt;0,"인턴계획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IF($B42="","",IFERROR(MATCH($B42,기본자료!$B$2:$B$1001,0),IFERROR(MATCH($B42&amp;"",기본자료!$B$2:$B$1001,0),IFERROR(MATCH(VALUE($B42),기본자료!$B$2:$B$1001,0),""))))</f>
        <v/>
      </c>
      <c r="AC42" s="10">
        <f>IF($B42="","",IFERROR(MATCH($B42,인턴근무계획!$D$3:$D$402,0),IFERROR(MATCH($B42&amp;"",인턴근무계획!$D$3:$D$402,0),IFERROR(MATCH(VALUE($B42),인턴근무계획!$D$3:$D$402,0),""))))</f>
        <v/>
      </c>
      <c r="AD42" s="10">
        <f>IF(OR($AC42="",인턴현황!$G$3=""),"",INDEX(인턴근무계획!$M$3:$R$402,$AC42,인턴현황!$G$3)&amp;"")</f>
        <v/>
      </c>
      <c r="AE42" s="10">
        <f>IF($B42="","",IF($M42&lt;&gt;"",$M42,IF($AF42&lt;&gt;"",IF(LEFT(INDEX(파견수련계획!$R$4:$R$803,$AF42),1)&lt;&gt;"⚠",INDEX(파견수련계획!$R$4:$R$803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$803,0),IFERROR(MATCH(TRIM($J42&amp;"")&amp;"|파견예정",파견수련계획!$Y$4:$Y$803,0),IFERROR(MATCH(TRIM($J42&amp;"")&amp;"|파견종료",파견수련계획!$Y$4:$Y$803,0),""))))</f>
        <v/>
      </c>
      <c r="AG42" s="10">
        <f>IF($B42="","",IF(AND(IF(OR($AC42="",인턴현황!$K$2=""),"",INDEX(인턴근무계획!$M$3:$R$402,$AC42,인턴현황!$K$2)&amp;"")&lt;&gt;"",LEFT(IF(OR($AC42="",인턴현황!$K$2=""),"",INDEX(인턴근무계획!$M$3:$R$402,$AC42,인턴현황!$K$2)&amp;""),1)&lt;&gt;"⚠"),LEFT(IF(OR($AC42="",인턴현황!$K$2=""),"",INDEX(인턴근무계획!$M$3:$R$402,$AC42,인턴현황!$K$2)&amp;""),FIND(" ",IF(OR($AC42="",인턴현황!$K$2=""),"",INDEX(인턴근무계획!$M$3:$R$402,$AC42,인턴현황!$K$2)&amp;""))-1),$AE42))</f>
        <v/>
      </c>
      <c r="AH42" s="17">
        <f>IF($B42="","",IF(TRIM($J42&amp;"")="",0,SUMPRODUCT((파견수련계획!$Q$4:$Q$803=TRIM($J42&amp;""))*(파견수련계획!$S$4:$S$803="서울병원")*파견수련계획!$W$4:$W$803))+IF($AG42="서울병원",MAX(0,DAY(EOMONTH(요약!$B$3,0))-N($X42)),0))</f>
        <v/>
      </c>
      <c r="AI42" s="17">
        <f>IF($B42="","",IF(TRIM($J42&amp;"")="",0,SUMPRODUCT((파견수련계획!$Q$4:$Q$803=TRIM($J42&amp;""))*(파견수련계획!$S$4:$S$803="구리병원")*파견수련계획!$W$4:$W$803))+IF($AG42="구리병원",MAX(0,DAY(EOMONTH(요약!$B$3,0))-N($X42)),0))</f>
        <v/>
      </c>
      <c r="AJ42" s="10">
        <f>IF(OR($B42="",TRIM($J42&amp;"")=""),"",IFERROR(MATCH(TRIM($J42&amp;"")&amp;"|월",파견수련계획!$Z$4:$Z$803,0),""))</f>
        <v/>
      </c>
      <c r="AK42" s="10">
        <f>IF(OR($B42="",TRIM($J42&amp;"")=""),"",IFERROR(MATCH(TRIM($J42&amp;"")&amp;"|다기관",파견수련계획!$AE$4:$AE$803,0),""))</f>
        <v/>
      </c>
      <c r="AL42" s="10">
        <f>IF($AK42="","","다기관 "&amp;TEXT(INDEX(파견수련계획!$AB$4:$AB$803,$AK42),"yyyy-mm-dd")&amp;"~"&amp;IF(ISNUMBER(INDEX(파견수련계획!$AC$4:$AC$803,$AK42)),TEXT(INDEX(파견수련계획!$AC$4:$AC$803,$AK42),"yyyy-mm-dd"),""))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IF($AB43="","",IF(INDEX(기본자료!$C$2:$C$1001,$AB43)="","",INDEX(기본자료!$C$2:$C$1001,$AB43)))</f>
        <v/>
      </c>
      <c r="D43" s="10">
        <f>IF($AB43="","",IF(INDEX(기본자료!$J$2:$J$1001,$AB43)="","",INDEX(기본자료!$J$2:$J$1001,$AB43)))</f>
        <v/>
      </c>
      <c r="E43" s="11">
        <f>IF($AB43="","",IF(INDEX(기본자료!$K$2:$K$1001,$AB43)="","",IF(NOT(ISNUMBER(INDEX(기본자료!$K$2:$K$1001,$AB43))),INDEX(기본자료!$K$2:$K$1001,$AB43),IF(INDEX(기본자료!$K$2:$K$1001,$AB43)&lt;1000000,INDEX(기본자료!$K$2:$K$1001,$AB43),IF(AND(INDEX(기본자료!$K$2:$K$1001,$AB43)&gt;=10000101,INT(MOD(INDEX(기본자료!$K$2:$K$1001,$AB43),10000)/100)&gt;=1,INT(MOD(INDEX(기본자료!$K$2:$K$1001,$AB43),10000)/100)&lt;=12,MOD(INDEX(기본자료!$K$2:$K$1001,$AB43),100)&gt;=1,MOD(INDEX(기본자료!$K$2:$K$1001,$AB43),100)&lt;=31),DATE(INT(INDEX(기본자료!$K$2:$K$1001,$AB43)/10000),INT(MOD(INDEX(기본자료!$K$2:$K$1001,$AB43),10000)/100),MOD(INDEX(기본자료!$K$2:$K$1001,$AB43),100)),INDEX(기본자료!$K$2:$K$1001,$AB43)&amp;"")))))</f>
        <v/>
      </c>
      <c r="F43" s="10">
        <f>IF($AB43="","",IF(INDEX(기본자료!$D$2:$D$1001,$AB43)="","",INDEX(기본자료!$D$2:$D$1001,$AB43)))</f>
        <v/>
      </c>
      <c r="G43" s="10">
        <f>IF($AB43="","",IF(INDEX(기본자료!$E$2:$E$1001,$AB43)="","",INDEX(기본자료!$E$2:$E$1001,$AB43)))</f>
        <v/>
      </c>
      <c r="H43" s="10">
        <f>IF($AB43="","",IF(INDEX(기본자료!$F$2:$F$1001,$AB43)="","",INDEX(기본자료!$F$2:$F$1001,$AB43)))</f>
        <v/>
      </c>
      <c r="I43" s="11">
        <f>IF($AB43="","",IF(INDEX(기본자료!$G$2:$G$1001,$AB43)="","",IF(NOT(ISNUMBER(INDEX(기본자료!$G$2:$G$1001,$AB43))),INDEX(기본자료!$G$2:$G$1001,$AB43),IF(INDEX(기본자료!$G$2:$G$1001,$AB43)&lt;1000000,INDEX(기본자료!$G$2:$G$1001,$AB43),IF(AND(INDEX(기본자료!$G$2:$G$1001,$AB43)&gt;=10000101,INT(MOD(INDEX(기본자료!$G$2:$G$1001,$AB43),10000)/100)&gt;=1,INT(MOD(INDEX(기본자료!$G$2:$G$1001,$AB43),10000)/100)&lt;=12,MOD(INDEX(기본자료!$G$2:$G$1001,$AB43),100)&gt;=1,MOD(INDEX(기본자료!$G$2:$G$1001,$AB43),100)&lt;=31),DATE(INT(INDEX(기본자료!$G$2:$G$1001,$AB43)/10000),INT(MOD(INDEX(기본자료!$G$2:$G$1001,$AB43),10000)/100),MOD(INDEX(기본자료!$G$2:$G$1001,$AB43),100)),INDEX(기본자료!$G$2:$G$1001,$AB43)&amp;"")))))</f>
        <v/>
      </c>
      <c r="J43" s="10">
        <f>IF($AB43="","",IF(INDEX(기본자료!$H$2:$H$1001,$AB43)="","",INDEX(기본자료!$H$2:$H$1001,$AB43)))</f>
        <v/>
      </c>
      <c r="K43" s="10">
        <f>IF($AB43="","",IF(INDEX(기본자료!$I$2:$I$1001,$AB43)="","",INDEX(기본자료!$I$2:$I$1001,$AB43)))</f>
        <v/>
      </c>
      <c r="L43" s="10">
        <f>IF($AB43="","",IF(INDEX(기본자료!$A$2:$A$1001,$AB43)="","",INDEX(기본자료!$A$2:$A$1001,$AB43)))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$803,$AK43),OR(NOT(ISNUMBER(INDEX(파견수련계획!$AC$4:$AC$803,$AK43))),TODAY()&lt;=INDEX(파견수련계획!$AC$4:$AC$803,$AK43))),"다기관",IF($AF43="","",INDEX(파견수련계획!$T$4:$T$803,$AF43))),IF($AF43="","",INDEX(파견수련계획!$T$4:$T$803,$AF43))))</f>
        <v/>
      </c>
      <c r="Q43" s="10">
        <f>IF($AF43="","",INDEX(파견수련계획!$S$4:$S$803,$AF43))</f>
        <v/>
      </c>
      <c r="R43" s="10">
        <f>IF($AF43="","",INDEX(파견수련계획!$U$4:$U$803,$AF43))</f>
        <v/>
      </c>
      <c r="S43" s="11">
        <f>IF($AF43="","",IF(INDEX(파견수련계획!$H$4:$H$803,$AF43)="","",INDEX(파견수련계획!$H$4:$H$803,$AF43)))</f>
        <v/>
      </c>
      <c r="T43" s="11">
        <f>IF($AF43="","",IF(INDEX(파견수련계획!$I$4:$I$803,$AF43)="","",INDEX(파견수련계획!$I$4:$I$803,$AF43)))</f>
        <v/>
      </c>
      <c r="U43" s="10">
        <f>IF($AF43="","",INDEX(파견수련계획!$X$4:$X$803,$AF43))</f>
        <v/>
      </c>
      <c r="V43" s="17">
        <f>IF($AF43="","",INDEX(파견수련계획!$V$4:$V$803,$AF43))</f>
        <v/>
      </c>
      <c r="W43" s="17">
        <f>IF(AND($U43="파견중",$T43&lt;&gt;""),$T43-TODAY(),"")</f>
        <v/>
      </c>
      <c r="X43" s="17">
        <f>IF(OR($B43="",TRIM($J43&amp;"")=""),"",SUMPRODUCT((파견수련계획!$Q$4:$Q$803=TRIM($J43&amp;""))*파견수련계획!$W$4:$W$803))</f>
        <v/>
      </c>
      <c r="Y43" s="10">
        <f>IF($B43="","",IF($AG43="","",IF(IF(TRIM($J43&amp;"")="",0,SUMPRODUCT((파견수련계획!$Q$4:$Q$803=TRIM($J43&amp;""))*파견수련계획!$AD$4:$AD$803)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"&amp;$AI43&amp;"일)")),IF($AJ43="",$AE43,IF(INDEX(파견수련계획!$T$4:$T$803,$AJ43)="통합수련",INDEX(파견수련계획!$S$4:$S$803,$AJ43),$AE43)))))))</f>
        <v/>
      </c>
      <c r="Z43" s="19">
        <f>IF($B43="","",IF($AB43="","기본자료에 없는 사번",IF(COUNTIF($B$2:$B$401,$B43)&gt;1,"중복 사번",IF($AE43="","소속(입사장소) 입력",IF(IF(TRIM($J43&amp;"")="",0,SUMPRODUCT((파견수련계획!$Q$4:$Q$803=TRIM($J43&amp;""))*(파견수련계획!$AA$4:$AA$803&lt;&gt;"")))&gt;0,"파견수련계획 입력오류 확인",IF(LEFT($Y43,1)="⚠","서울·구리 15일 판정 불가(양쪽 모두 이상/미만)",IF(IF($AC43="",0,N(INDEX(인턴근무계획!$T$3:$T$402,$AC43)))&gt;0,"인턴계획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IF($B43="","",IFERROR(MATCH($B43,기본자료!$B$2:$B$1001,0),IFERROR(MATCH($B43&amp;"",기본자료!$B$2:$B$1001,0),IFERROR(MATCH(VALUE($B43),기본자료!$B$2:$B$1001,0),""))))</f>
        <v/>
      </c>
      <c r="AC43" s="10">
        <f>IF($B43="","",IFERROR(MATCH($B43,인턴근무계획!$D$3:$D$402,0),IFERROR(MATCH($B43&amp;"",인턴근무계획!$D$3:$D$402,0),IFERROR(MATCH(VALUE($B43),인턴근무계획!$D$3:$D$402,0),""))))</f>
        <v/>
      </c>
      <c r="AD43" s="10">
        <f>IF(OR($AC43="",인턴현황!$G$3=""),"",INDEX(인턴근무계획!$M$3:$R$402,$AC43,인턴현황!$G$3)&amp;"")</f>
        <v/>
      </c>
      <c r="AE43" s="10">
        <f>IF($B43="","",IF($M43&lt;&gt;"",$M43,IF($AF43&lt;&gt;"",IF(LEFT(INDEX(파견수련계획!$R$4:$R$803,$AF43),1)&lt;&gt;"⚠",INDEX(파견수련계획!$R$4:$R$803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$803,0),IFERROR(MATCH(TRIM($J43&amp;"")&amp;"|파견예정",파견수련계획!$Y$4:$Y$803,0),IFERROR(MATCH(TRIM($J43&amp;"")&amp;"|파견종료",파견수련계획!$Y$4:$Y$803,0),""))))</f>
        <v/>
      </c>
      <c r="AG43" s="10">
        <f>IF($B43="","",IF(AND(IF(OR($AC43="",인턴현황!$K$2=""),"",INDEX(인턴근무계획!$M$3:$R$402,$AC43,인턴현황!$K$2)&amp;"")&lt;&gt;"",LEFT(IF(OR($AC43="",인턴현황!$K$2=""),"",INDEX(인턴근무계획!$M$3:$R$402,$AC43,인턴현황!$K$2)&amp;""),1)&lt;&gt;"⚠"),LEFT(IF(OR($AC43="",인턴현황!$K$2=""),"",INDEX(인턴근무계획!$M$3:$R$402,$AC43,인턴현황!$K$2)&amp;""),FIND(" ",IF(OR($AC43="",인턴현황!$K$2=""),"",INDEX(인턴근무계획!$M$3:$R$402,$AC43,인턴현황!$K$2)&amp;""))-1),$AE43))</f>
        <v/>
      </c>
      <c r="AH43" s="17">
        <f>IF($B43="","",IF(TRIM($J43&amp;"")="",0,SUMPRODUCT((파견수련계획!$Q$4:$Q$803=TRIM($J43&amp;""))*(파견수련계획!$S$4:$S$803="서울병원")*파견수련계획!$W$4:$W$803))+IF($AG43="서울병원",MAX(0,DAY(EOMONTH(요약!$B$3,0))-N($X43)),0))</f>
        <v/>
      </c>
      <c r="AI43" s="17">
        <f>IF($B43="","",IF(TRIM($J43&amp;"")="",0,SUMPRODUCT((파견수련계획!$Q$4:$Q$803=TRIM($J43&amp;""))*(파견수련계획!$S$4:$S$803="구리병원")*파견수련계획!$W$4:$W$803))+IF($AG43="구리병원",MAX(0,DAY(EOMONTH(요약!$B$3,0))-N($X43)),0))</f>
        <v/>
      </c>
      <c r="AJ43" s="10">
        <f>IF(OR($B43="",TRIM($J43&amp;"")=""),"",IFERROR(MATCH(TRIM($J43&amp;"")&amp;"|월",파견수련계획!$Z$4:$Z$803,0),""))</f>
        <v/>
      </c>
      <c r="AK43" s="10">
        <f>IF(OR($B43="",TRIM($J43&amp;"")=""),"",IFERROR(MATCH(TRIM($J43&amp;"")&amp;"|다기관",파견수련계획!$AE$4:$AE$803,0),""))</f>
        <v/>
      </c>
      <c r="AL43" s="10">
        <f>IF($AK43="","","다기관 "&amp;TEXT(INDEX(파견수련계획!$AB$4:$AB$803,$AK43),"yyyy-mm-dd")&amp;"~"&amp;IF(ISNUMBER(INDEX(파견수련계획!$AC$4:$AC$803,$AK43)),TEXT(INDEX(파견수련계획!$AC$4:$AC$803,$AK43),"yyyy-mm-dd"),""))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IF($AB44="","",IF(INDEX(기본자료!$C$2:$C$1001,$AB44)="","",INDEX(기본자료!$C$2:$C$1001,$AB44)))</f>
        <v/>
      </c>
      <c r="D44" s="10">
        <f>IF($AB44="","",IF(INDEX(기본자료!$J$2:$J$1001,$AB44)="","",INDEX(기본자료!$J$2:$J$1001,$AB44)))</f>
        <v/>
      </c>
      <c r="E44" s="11">
        <f>IF($AB44="","",IF(INDEX(기본자료!$K$2:$K$1001,$AB44)="","",IF(NOT(ISNUMBER(INDEX(기본자료!$K$2:$K$1001,$AB44))),INDEX(기본자료!$K$2:$K$1001,$AB44),IF(INDEX(기본자료!$K$2:$K$1001,$AB44)&lt;1000000,INDEX(기본자료!$K$2:$K$1001,$AB44),IF(AND(INDEX(기본자료!$K$2:$K$1001,$AB44)&gt;=10000101,INT(MOD(INDEX(기본자료!$K$2:$K$1001,$AB44),10000)/100)&gt;=1,INT(MOD(INDEX(기본자료!$K$2:$K$1001,$AB44),10000)/100)&lt;=12,MOD(INDEX(기본자료!$K$2:$K$1001,$AB44),100)&gt;=1,MOD(INDEX(기본자료!$K$2:$K$1001,$AB44),100)&lt;=31),DATE(INT(INDEX(기본자료!$K$2:$K$1001,$AB44)/10000),INT(MOD(INDEX(기본자료!$K$2:$K$1001,$AB44),10000)/100),MOD(INDEX(기본자료!$K$2:$K$1001,$AB44),100)),INDEX(기본자료!$K$2:$K$1001,$AB44)&amp;"")))))</f>
        <v/>
      </c>
      <c r="F44" s="10">
        <f>IF($AB44="","",IF(INDEX(기본자료!$D$2:$D$1001,$AB44)="","",INDEX(기본자료!$D$2:$D$1001,$AB44)))</f>
        <v/>
      </c>
      <c r="G44" s="10">
        <f>IF($AB44="","",IF(INDEX(기본자료!$E$2:$E$1001,$AB44)="","",INDEX(기본자료!$E$2:$E$1001,$AB44)))</f>
        <v/>
      </c>
      <c r="H44" s="10">
        <f>IF($AB44="","",IF(INDEX(기본자료!$F$2:$F$1001,$AB44)="","",INDEX(기본자료!$F$2:$F$1001,$AB44)))</f>
        <v/>
      </c>
      <c r="I44" s="11">
        <f>IF($AB44="","",IF(INDEX(기본자료!$G$2:$G$1001,$AB44)="","",IF(NOT(ISNUMBER(INDEX(기본자료!$G$2:$G$1001,$AB44))),INDEX(기본자료!$G$2:$G$1001,$AB44),IF(INDEX(기본자료!$G$2:$G$1001,$AB44)&lt;1000000,INDEX(기본자료!$G$2:$G$1001,$AB44),IF(AND(INDEX(기본자료!$G$2:$G$1001,$AB44)&gt;=10000101,INT(MOD(INDEX(기본자료!$G$2:$G$1001,$AB44),10000)/100)&gt;=1,INT(MOD(INDEX(기본자료!$G$2:$G$1001,$AB44),10000)/100)&lt;=12,MOD(INDEX(기본자료!$G$2:$G$1001,$AB44),100)&gt;=1,MOD(INDEX(기본자료!$G$2:$G$1001,$AB44),100)&lt;=31),DATE(INT(INDEX(기본자료!$G$2:$G$1001,$AB44)/10000),INT(MOD(INDEX(기본자료!$G$2:$G$1001,$AB44),10000)/100),MOD(INDEX(기본자료!$G$2:$G$1001,$AB44),100)),INDEX(기본자료!$G$2:$G$1001,$AB44)&amp;"")))))</f>
        <v/>
      </c>
      <c r="J44" s="10">
        <f>IF($AB44="","",IF(INDEX(기본자료!$H$2:$H$1001,$AB44)="","",INDEX(기본자료!$H$2:$H$1001,$AB44)))</f>
        <v/>
      </c>
      <c r="K44" s="10">
        <f>IF($AB44="","",IF(INDEX(기본자료!$I$2:$I$1001,$AB44)="","",INDEX(기본자료!$I$2:$I$1001,$AB44)))</f>
        <v/>
      </c>
      <c r="L44" s="10">
        <f>IF($AB44="","",IF(INDEX(기본자료!$A$2:$A$1001,$AB44)="","",INDEX(기본자료!$A$2:$A$1001,$AB44)))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$803,$AK44),OR(NOT(ISNUMBER(INDEX(파견수련계획!$AC$4:$AC$803,$AK44))),TODAY()&lt;=INDEX(파견수련계획!$AC$4:$AC$803,$AK44))),"다기관",IF($AF44="","",INDEX(파견수련계획!$T$4:$T$803,$AF44))),IF($AF44="","",INDEX(파견수련계획!$T$4:$T$803,$AF44))))</f>
        <v/>
      </c>
      <c r="Q44" s="10">
        <f>IF($AF44="","",INDEX(파견수련계획!$S$4:$S$803,$AF44))</f>
        <v/>
      </c>
      <c r="R44" s="10">
        <f>IF($AF44="","",INDEX(파견수련계획!$U$4:$U$803,$AF44))</f>
        <v/>
      </c>
      <c r="S44" s="11">
        <f>IF($AF44="","",IF(INDEX(파견수련계획!$H$4:$H$803,$AF44)="","",INDEX(파견수련계획!$H$4:$H$803,$AF44)))</f>
        <v/>
      </c>
      <c r="T44" s="11">
        <f>IF($AF44="","",IF(INDEX(파견수련계획!$I$4:$I$803,$AF44)="","",INDEX(파견수련계획!$I$4:$I$803,$AF44)))</f>
        <v/>
      </c>
      <c r="U44" s="10">
        <f>IF($AF44="","",INDEX(파견수련계획!$X$4:$X$803,$AF44))</f>
        <v/>
      </c>
      <c r="V44" s="17">
        <f>IF($AF44="","",INDEX(파견수련계획!$V$4:$V$803,$AF44))</f>
        <v/>
      </c>
      <c r="W44" s="17">
        <f>IF(AND($U44="파견중",$T44&lt;&gt;""),$T44-TODAY(),"")</f>
        <v/>
      </c>
      <c r="X44" s="17">
        <f>IF(OR($B44="",TRIM($J44&amp;"")=""),"",SUMPRODUCT((파견수련계획!$Q$4:$Q$803=TRIM($J44&amp;""))*파견수련계획!$W$4:$W$803))</f>
        <v/>
      </c>
      <c r="Y44" s="10">
        <f>IF($B44="","",IF($AG44="","",IF(IF(TRIM($J44&amp;"")="",0,SUMPRODUCT((파견수련계획!$Q$4:$Q$803=TRIM($J44&amp;""))*파견수련계획!$AD$4:$AD$803)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"&amp;$AI44&amp;"일)")),IF($AJ44="",$AE44,IF(INDEX(파견수련계획!$T$4:$T$803,$AJ44)="통합수련",INDEX(파견수련계획!$S$4:$S$803,$AJ44),$AE44)))))))</f>
        <v/>
      </c>
      <c r="Z44" s="19">
        <f>IF($B44="","",IF($AB44="","기본자료에 없는 사번",IF(COUNTIF($B$2:$B$401,$B44)&gt;1,"중복 사번",IF($AE44="","소속(입사장소) 입력",IF(IF(TRIM($J44&amp;"")="",0,SUMPRODUCT((파견수련계획!$Q$4:$Q$803=TRIM($J44&amp;""))*(파견수련계획!$AA$4:$AA$803&lt;&gt;"")))&gt;0,"파견수련계획 입력오류 확인",IF(LEFT($Y44,1)="⚠","서울·구리 15일 판정 불가(양쪽 모두 이상/미만)",IF(IF($AC44="",0,N(INDEX(인턴근무계획!$T$3:$T$402,$AC44)))&gt;0,"인턴계획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IF($B44="","",IFERROR(MATCH($B44,기본자료!$B$2:$B$1001,0),IFERROR(MATCH($B44&amp;"",기본자료!$B$2:$B$1001,0),IFERROR(MATCH(VALUE($B44),기본자료!$B$2:$B$1001,0),""))))</f>
        <v/>
      </c>
      <c r="AC44" s="10">
        <f>IF($B44="","",IFERROR(MATCH($B44,인턴근무계획!$D$3:$D$402,0),IFERROR(MATCH($B44&amp;"",인턴근무계획!$D$3:$D$402,0),IFERROR(MATCH(VALUE($B44),인턴근무계획!$D$3:$D$402,0),""))))</f>
        <v/>
      </c>
      <c r="AD44" s="10">
        <f>IF(OR($AC44="",인턴현황!$G$3=""),"",INDEX(인턴근무계획!$M$3:$R$402,$AC44,인턴현황!$G$3)&amp;"")</f>
        <v/>
      </c>
      <c r="AE44" s="10">
        <f>IF($B44="","",IF($M44&lt;&gt;"",$M44,IF($AF44&lt;&gt;"",IF(LEFT(INDEX(파견수련계획!$R$4:$R$803,$AF44),1)&lt;&gt;"⚠",INDEX(파견수련계획!$R$4:$R$803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$803,0),IFERROR(MATCH(TRIM($J44&amp;"")&amp;"|파견예정",파견수련계획!$Y$4:$Y$803,0),IFERROR(MATCH(TRIM($J44&amp;"")&amp;"|파견종료",파견수련계획!$Y$4:$Y$803,0),""))))</f>
        <v/>
      </c>
      <c r="AG44" s="10">
        <f>IF($B44="","",IF(AND(IF(OR($AC44="",인턴현황!$K$2=""),"",INDEX(인턴근무계획!$M$3:$R$402,$AC44,인턴현황!$K$2)&amp;"")&lt;&gt;"",LEFT(IF(OR($AC44="",인턴현황!$K$2=""),"",INDEX(인턴근무계획!$M$3:$R$402,$AC44,인턴현황!$K$2)&amp;""),1)&lt;&gt;"⚠"),LEFT(IF(OR($AC44="",인턴현황!$K$2=""),"",INDEX(인턴근무계획!$M$3:$R$402,$AC44,인턴현황!$K$2)&amp;""),FIND(" ",IF(OR($AC44="",인턴현황!$K$2=""),"",INDEX(인턴근무계획!$M$3:$R$402,$AC44,인턴현황!$K$2)&amp;""))-1),$AE44))</f>
        <v/>
      </c>
      <c r="AH44" s="17">
        <f>IF($B44="","",IF(TRIM($J44&amp;"")="",0,SUMPRODUCT((파견수련계획!$Q$4:$Q$803=TRIM($J44&amp;""))*(파견수련계획!$S$4:$S$803="서울병원")*파견수련계획!$W$4:$W$803))+IF($AG44="서울병원",MAX(0,DAY(EOMONTH(요약!$B$3,0))-N($X44)),0))</f>
        <v/>
      </c>
      <c r="AI44" s="17">
        <f>IF($B44="","",IF(TRIM($J44&amp;"")="",0,SUMPRODUCT((파견수련계획!$Q$4:$Q$803=TRIM($J44&amp;""))*(파견수련계획!$S$4:$S$803="구리병원")*파견수련계획!$W$4:$W$803))+IF($AG44="구리병원",MAX(0,DAY(EOMONTH(요약!$B$3,0))-N($X44)),0))</f>
        <v/>
      </c>
      <c r="AJ44" s="10">
        <f>IF(OR($B44="",TRIM($J44&amp;"")=""),"",IFERROR(MATCH(TRIM($J44&amp;"")&amp;"|월",파견수련계획!$Z$4:$Z$803,0),""))</f>
        <v/>
      </c>
      <c r="AK44" s="10">
        <f>IF(OR($B44="",TRIM($J44&amp;"")=""),"",IFERROR(MATCH(TRIM($J44&amp;"")&amp;"|다기관",파견수련계획!$AE$4:$AE$803,0),""))</f>
        <v/>
      </c>
      <c r="AL44" s="10">
        <f>IF($AK44="","","다기관 "&amp;TEXT(INDEX(파견수련계획!$AB$4:$AB$803,$AK44),"yyyy-mm-dd")&amp;"~"&amp;IF(ISNUMBER(INDEX(파견수련계획!$AC$4:$AC$803,$AK44)),TEXT(INDEX(파견수련계획!$AC$4:$AC$803,$AK44),"yyyy-mm-dd"),""))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IF($AB45="","",IF(INDEX(기본자료!$C$2:$C$1001,$AB45)="","",INDEX(기본자료!$C$2:$C$1001,$AB45)))</f>
        <v/>
      </c>
      <c r="D45" s="10">
        <f>IF($AB45="","",IF(INDEX(기본자료!$J$2:$J$1001,$AB45)="","",INDEX(기본자료!$J$2:$J$1001,$AB45)))</f>
        <v/>
      </c>
      <c r="E45" s="11">
        <f>IF($AB45="","",IF(INDEX(기본자료!$K$2:$K$1001,$AB45)="","",IF(NOT(ISNUMBER(INDEX(기본자료!$K$2:$K$1001,$AB45))),INDEX(기본자료!$K$2:$K$1001,$AB45),IF(INDEX(기본자료!$K$2:$K$1001,$AB45)&lt;1000000,INDEX(기본자료!$K$2:$K$1001,$AB45),IF(AND(INDEX(기본자료!$K$2:$K$1001,$AB45)&gt;=10000101,INT(MOD(INDEX(기본자료!$K$2:$K$1001,$AB45),10000)/100)&gt;=1,INT(MOD(INDEX(기본자료!$K$2:$K$1001,$AB45),10000)/100)&lt;=12,MOD(INDEX(기본자료!$K$2:$K$1001,$AB45),100)&gt;=1,MOD(INDEX(기본자료!$K$2:$K$1001,$AB45),100)&lt;=31),DATE(INT(INDEX(기본자료!$K$2:$K$1001,$AB45)/10000),INT(MOD(INDEX(기본자료!$K$2:$K$1001,$AB45),10000)/100),MOD(INDEX(기본자료!$K$2:$K$1001,$AB45),100)),INDEX(기본자료!$K$2:$K$1001,$AB45)&amp;"")))))</f>
        <v/>
      </c>
      <c r="F45" s="10">
        <f>IF($AB45="","",IF(INDEX(기본자료!$D$2:$D$1001,$AB45)="","",INDEX(기본자료!$D$2:$D$1001,$AB45)))</f>
        <v/>
      </c>
      <c r="G45" s="10">
        <f>IF($AB45="","",IF(INDEX(기본자료!$E$2:$E$1001,$AB45)="","",INDEX(기본자료!$E$2:$E$1001,$AB45)))</f>
        <v/>
      </c>
      <c r="H45" s="10">
        <f>IF($AB45="","",IF(INDEX(기본자료!$F$2:$F$1001,$AB45)="","",INDEX(기본자료!$F$2:$F$1001,$AB45)))</f>
        <v/>
      </c>
      <c r="I45" s="11">
        <f>IF($AB45="","",IF(INDEX(기본자료!$G$2:$G$1001,$AB45)="","",IF(NOT(ISNUMBER(INDEX(기본자료!$G$2:$G$1001,$AB45))),INDEX(기본자료!$G$2:$G$1001,$AB45),IF(INDEX(기본자료!$G$2:$G$1001,$AB45)&lt;1000000,INDEX(기본자료!$G$2:$G$1001,$AB45),IF(AND(INDEX(기본자료!$G$2:$G$1001,$AB45)&gt;=10000101,INT(MOD(INDEX(기본자료!$G$2:$G$1001,$AB45),10000)/100)&gt;=1,INT(MOD(INDEX(기본자료!$G$2:$G$1001,$AB45),10000)/100)&lt;=12,MOD(INDEX(기본자료!$G$2:$G$1001,$AB45),100)&gt;=1,MOD(INDEX(기본자료!$G$2:$G$1001,$AB45),100)&lt;=31),DATE(INT(INDEX(기본자료!$G$2:$G$1001,$AB45)/10000),INT(MOD(INDEX(기본자료!$G$2:$G$1001,$AB45),10000)/100),MOD(INDEX(기본자료!$G$2:$G$1001,$AB45),100)),INDEX(기본자료!$G$2:$G$1001,$AB45)&amp;"")))))</f>
        <v/>
      </c>
      <c r="J45" s="10">
        <f>IF($AB45="","",IF(INDEX(기본자료!$H$2:$H$1001,$AB45)="","",INDEX(기본자료!$H$2:$H$1001,$AB45)))</f>
        <v/>
      </c>
      <c r="K45" s="10">
        <f>IF($AB45="","",IF(INDEX(기본자료!$I$2:$I$1001,$AB45)="","",INDEX(기본자료!$I$2:$I$1001,$AB45)))</f>
        <v/>
      </c>
      <c r="L45" s="10">
        <f>IF($AB45="","",IF(INDEX(기본자료!$A$2:$A$1001,$AB45)="","",INDEX(기본자료!$A$2:$A$1001,$AB45)))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$803,$AK45),OR(NOT(ISNUMBER(INDEX(파견수련계획!$AC$4:$AC$803,$AK45))),TODAY()&lt;=INDEX(파견수련계획!$AC$4:$AC$803,$AK45))),"다기관",IF($AF45="","",INDEX(파견수련계획!$T$4:$T$803,$AF45))),IF($AF45="","",INDEX(파견수련계획!$T$4:$T$803,$AF45))))</f>
        <v/>
      </c>
      <c r="Q45" s="10">
        <f>IF($AF45="","",INDEX(파견수련계획!$S$4:$S$803,$AF45))</f>
        <v/>
      </c>
      <c r="R45" s="10">
        <f>IF($AF45="","",INDEX(파견수련계획!$U$4:$U$803,$AF45))</f>
        <v/>
      </c>
      <c r="S45" s="11">
        <f>IF($AF45="","",IF(INDEX(파견수련계획!$H$4:$H$803,$AF45)="","",INDEX(파견수련계획!$H$4:$H$803,$AF45)))</f>
        <v/>
      </c>
      <c r="T45" s="11">
        <f>IF($AF45="","",IF(INDEX(파견수련계획!$I$4:$I$803,$AF45)="","",INDEX(파견수련계획!$I$4:$I$803,$AF45)))</f>
        <v/>
      </c>
      <c r="U45" s="10">
        <f>IF($AF45="","",INDEX(파견수련계획!$X$4:$X$803,$AF45))</f>
        <v/>
      </c>
      <c r="V45" s="17">
        <f>IF($AF45="","",INDEX(파견수련계획!$V$4:$V$803,$AF45))</f>
        <v/>
      </c>
      <c r="W45" s="17">
        <f>IF(AND($U45="파견중",$T45&lt;&gt;""),$T45-TODAY(),"")</f>
        <v/>
      </c>
      <c r="X45" s="17">
        <f>IF(OR($B45="",TRIM($J45&amp;"")=""),"",SUMPRODUCT((파견수련계획!$Q$4:$Q$803=TRIM($J45&amp;""))*파견수련계획!$W$4:$W$803))</f>
        <v/>
      </c>
      <c r="Y45" s="10">
        <f>IF($B45="","",IF($AG45="","",IF(IF(TRIM($J45&amp;"")="",0,SUMPRODUCT((파견수련계획!$Q$4:$Q$803=TRIM($J45&amp;""))*파견수련계획!$AD$4:$AD$803)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"&amp;$AI45&amp;"일)")),IF($AJ45="",$AE45,IF(INDEX(파견수련계획!$T$4:$T$803,$AJ45)="통합수련",INDEX(파견수련계획!$S$4:$S$803,$AJ45),$AE45)))))))</f>
        <v/>
      </c>
      <c r="Z45" s="19">
        <f>IF($B45="","",IF($AB45="","기본자료에 없는 사번",IF(COUNTIF($B$2:$B$401,$B45)&gt;1,"중복 사번",IF($AE45="","소속(입사장소) 입력",IF(IF(TRIM($J45&amp;"")="",0,SUMPRODUCT((파견수련계획!$Q$4:$Q$803=TRIM($J45&amp;""))*(파견수련계획!$AA$4:$AA$803&lt;&gt;"")))&gt;0,"파견수련계획 입력오류 확인",IF(LEFT($Y45,1)="⚠","서울·구리 15일 판정 불가(양쪽 모두 이상/미만)",IF(IF($AC45="",0,N(INDEX(인턴근무계획!$T$3:$T$402,$AC45)))&gt;0,"인턴계획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IF($B45="","",IFERROR(MATCH($B45,기본자료!$B$2:$B$1001,0),IFERROR(MATCH($B45&amp;"",기본자료!$B$2:$B$1001,0),IFERROR(MATCH(VALUE($B45),기본자료!$B$2:$B$1001,0),""))))</f>
        <v/>
      </c>
      <c r="AC45" s="10">
        <f>IF($B45="","",IFERROR(MATCH($B45,인턴근무계획!$D$3:$D$402,0),IFERROR(MATCH($B45&amp;"",인턴근무계획!$D$3:$D$402,0),IFERROR(MATCH(VALUE($B45),인턴근무계획!$D$3:$D$402,0),""))))</f>
        <v/>
      </c>
      <c r="AD45" s="10">
        <f>IF(OR($AC45="",인턴현황!$G$3=""),"",INDEX(인턴근무계획!$M$3:$R$402,$AC45,인턴현황!$G$3)&amp;"")</f>
        <v/>
      </c>
      <c r="AE45" s="10">
        <f>IF($B45="","",IF($M45&lt;&gt;"",$M45,IF($AF45&lt;&gt;"",IF(LEFT(INDEX(파견수련계획!$R$4:$R$803,$AF45),1)&lt;&gt;"⚠",INDEX(파견수련계획!$R$4:$R$803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$803,0),IFERROR(MATCH(TRIM($J45&amp;"")&amp;"|파견예정",파견수련계획!$Y$4:$Y$803,0),IFERROR(MATCH(TRIM($J45&amp;"")&amp;"|파견종료",파견수련계획!$Y$4:$Y$803,0),""))))</f>
        <v/>
      </c>
      <c r="AG45" s="10">
        <f>IF($B45="","",IF(AND(IF(OR($AC45="",인턴현황!$K$2=""),"",INDEX(인턴근무계획!$M$3:$R$402,$AC45,인턴현황!$K$2)&amp;"")&lt;&gt;"",LEFT(IF(OR($AC45="",인턴현황!$K$2=""),"",INDEX(인턴근무계획!$M$3:$R$402,$AC45,인턴현황!$K$2)&amp;""),1)&lt;&gt;"⚠"),LEFT(IF(OR($AC45="",인턴현황!$K$2=""),"",INDEX(인턴근무계획!$M$3:$R$402,$AC45,인턴현황!$K$2)&amp;""),FIND(" ",IF(OR($AC45="",인턴현황!$K$2=""),"",INDEX(인턴근무계획!$M$3:$R$402,$AC45,인턴현황!$K$2)&amp;""))-1),$AE45))</f>
        <v/>
      </c>
      <c r="AH45" s="17">
        <f>IF($B45="","",IF(TRIM($J45&amp;"")="",0,SUMPRODUCT((파견수련계획!$Q$4:$Q$803=TRIM($J45&amp;""))*(파견수련계획!$S$4:$S$803="서울병원")*파견수련계획!$W$4:$W$803))+IF($AG45="서울병원",MAX(0,DAY(EOMONTH(요약!$B$3,0))-N($X45)),0))</f>
        <v/>
      </c>
      <c r="AI45" s="17">
        <f>IF($B45="","",IF(TRIM($J45&amp;"")="",0,SUMPRODUCT((파견수련계획!$Q$4:$Q$803=TRIM($J45&amp;""))*(파견수련계획!$S$4:$S$803="구리병원")*파견수련계획!$W$4:$W$803))+IF($AG45="구리병원",MAX(0,DAY(EOMONTH(요약!$B$3,0))-N($X45)),0))</f>
        <v/>
      </c>
      <c r="AJ45" s="10">
        <f>IF(OR($B45="",TRIM($J45&amp;"")=""),"",IFERROR(MATCH(TRIM($J45&amp;"")&amp;"|월",파견수련계획!$Z$4:$Z$803,0),""))</f>
        <v/>
      </c>
      <c r="AK45" s="10">
        <f>IF(OR($B45="",TRIM($J45&amp;"")=""),"",IFERROR(MATCH(TRIM($J45&amp;"")&amp;"|다기관",파견수련계획!$AE$4:$AE$803,0),""))</f>
        <v/>
      </c>
      <c r="AL45" s="10">
        <f>IF($AK45="","","다기관 "&amp;TEXT(INDEX(파견수련계획!$AB$4:$AB$803,$AK45),"yyyy-mm-dd")&amp;"~"&amp;IF(ISNUMBER(INDEX(파견수련계획!$AC$4:$AC$803,$AK45)),TEXT(INDEX(파견수련계획!$AC$4:$AC$803,$AK45),"yyyy-mm-dd"),""))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IF($AB46="","",IF(INDEX(기본자료!$C$2:$C$1001,$AB46)="","",INDEX(기본자료!$C$2:$C$1001,$AB46)))</f>
        <v/>
      </c>
      <c r="D46" s="10">
        <f>IF($AB46="","",IF(INDEX(기본자료!$J$2:$J$1001,$AB46)="","",INDEX(기본자료!$J$2:$J$1001,$AB46)))</f>
        <v/>
      </c>
      <c r="E46" s="11">
        <f>IF($AB46="","",IF(INDEX(기본자료!$K$2:$K$1001,$AB46)="","",IF(NOT(ISNUMBER(INDEX(기본자료!$K$2:$K$1001,$AB46))),INDEX(기본자료!$K$2:$K$1001,$AB46),IF(INDEX(기본자료!$K$2:$K$1001,$AB46)&lt;1000000,INDEX(기본자료!$K$2:$K$1001,$AB46),IF(AND(INDEX(기본자료!$K$2:$K$1001,$AB46)&gt;=10000101,INT(MOD(INDEX(기본자료!$K$2:$K$1001,$AB46),10000)/100)&gt;=1,INT(MOD(INDEX(기본자료!$K$2:$K$1001,$AB46),10000)/100)&lt;=12,MOD(INDEX(기본자료!$K$2:$K$1001,$AB46),100)&gt;=1,MOD(INDEX(기본자료!$K$2:$K$1001,$AB46),100)&lt;=31),DATE(INT(INDEX(기본자료!$K$2:$K$1001,$AB46)/10000),INT(MOD(INDEX(기본자료!$K$2:$K$1001,$AB46),10000)/100),MOD(INDEX(기본자료!$K$2:$K$1001,$AB46),100)),INDEX(기본자료!$K$2:$K$1001,$AB46)&amp;"")))))</f>
        <v/>
      </c>
      <c r="F46" s="10">
        <f>IF($AB46="","",IF(INDEX(기본자료!$D$2:$D$1001,$AB46)="","",INDEX(기본자료!$D$2:$D$1001,$AB46)))</f>
        <v/>
      </c>
      <c r="G46" s="10">
        <f>IF($AB46="","",IF(INDEX(기본자료!$E$2:$E$1001,$AB46)="","",INDEX(기본자료!$E$2:$E$1001,$AB46)))</f>
        <v/>
      </c>
      <c r="H46" s="10">
        <f>IF($AB46="","",IF(INDEX(기본자료!$F$2:$F$1001,$AB46)="","",INDEX(기본자료!$F$2:$F$1001,$AB46)))</f>
        <v/>
      </c>
      <c r="I46" s="11">
        <f>IF($AB46="","",IF(INDEX(기본자료!$G$2:$G$1001,$AB46)="","",IF(NOT(ISNUMBER(INDEX(기본자료!$G$2:$G$1001,$AB46))),INDEX(기본자료!$G$2:$G$1001,$AB46),IF(INDEX(기본자료!$G$2:$G$1001,$AB46)&lt;1000000,INDEX(기본자료!$G$2:$G$1001,$AB46),IF(AND(INDEX(기본자료!$G$2:$G$1001,$AB46)&gt;=10000101,INT(MOD(INDEX(기본자료!$G$2:$G$1001,$AB46),10000)/100)&gt;=1,INT(MOD(INDEX(기본자료!$G$2:$G$1001,$AB46),10000)/100)&lt;=12,MOD(INDEX(기본자료!$G$2:$G$1001,$AB46),100)&gt;=1,MOD(INDEX(기본자료!$G$2:$G$1001,$AB46),100)&lt;=31),DATE(INT(INDEX(기본자료!$G$2:$G$1001,$AB46)/10000),INT(MOD(INDEX(기본자료!$G$2:$G$1001,$AB46),10000)/100),MOD(INDEX(기본자료!$G$2:$G$1001,$AB46),100)),INDEX(기본자료!$G$2:$G$1001,$AB46)&amp;"")))))</f>
        <v/>
      </c>
      <c r="J46" s="10">
        <f>IF($AB46="","",IF(INDEX(기본자료!$H$2:$H$1001,$AB46)="","",INDEX(기본자료!$H$2:$H$1001,$AB46)))</f>
        <v/>
      </c>
      <c r="K46" s="10">
        <f>IF($AB46="","",IF(INDEX(기본자료!$I$2:$I$1001,$AB46)="","",INDEX(기본자료!$I$2:$I$1001,$AB46)))</f>
        <v/>
      </c>
      <c r="L46" s="10">
        <f>IF($AB46="","",IF(INDEX(기본자료!$A$2:$A$1001,$AB46)="","",INDEX(기본자료!$A$2:$A$1001,$AB46)))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$803,$AK46),OR(NOT(ISNUMBER(INDEX(파견수련계획!$AC$4:$AC$803,$AK46))),TODAY()&lt;=INDEX(파견수련계획!$AC$4:$AC$803,$AK46))),"다기관",IF($AF46="","",INDEX(파견수련계획!$T$4:$T$803,$AF46))),IF($AF46="","",INDEX(파견수련계획!$T$4:$T$803,$AF46))))</f>
        <v/>
      </c>
      <c r="Q46" s="10">
        <f>IF($AF46="","",INDEX(파견수련계획!$S$4:$S$803,$AF46))</f>
        <v/>
      </c>
      <c r="R46" s="10">
        <f>IF($AF46="","",INDEX(파견수련계획!$U$4:$U$803,$AF46))</f>
        <v/>
      </c>
      <c r="S46" s="11">
        <f>IF($AF46="","",IF(INDEX(파견수련계획!$H$4:$H$803,$AF46)="","",INDEX(파견수련계획!$H$4:$H$803,$AF46)))</f>
        <v/>
      </c>
      <c r="T46" s="11">
        <f>IF($AF46="","",IF(INDEX(파견수련계획!$I$4:$I$803,$AF46)="","",INDEX(파견수련계획!$I$4:$I$803,$AF46)))</f>
        <v/>
      </c>
      <c r="U46" s="10">
        <f>IF($AF46="","",INDEX(파견수련계획!$X$4:$X$803,$AF46))</f>
        <v/>
      </c>
      <c r="V46" s="17">
        <f>IF($AF46="","",INDEX(파견수련계획!$V$4:$V$803,$AF46))</f>
        <v/>
      </c>
      <c r="W46" s="17">
        <f>IF(AND($U46="파견중",$T46&lt;&gt;""),$T46-TODAY(),"")</f>
        <v/>
      </c>
      <c r="X46" s="17">
        <f>IF(OR($B46="",TRIM($J46&amp;"")=""),"",SUMPRODUCT((파견수련계획!$Q$4:$Q$803=TRIM($J46&amp;""))*파견수련계획!$W$4:$W$803))</f>
        <v/>
      </c>
      <c r="Y46" s="10">
        <f>IF($B46="","",IF($AG46="","",IF(IF(TRIM($J46&amp;"")="",0,SUMPRODUCT((파견수련계획!$Q$4:$Q$803=TRIM($J46&amp;""))*파견수련계획!$AD$4:$AD$803)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"&amp;$AI46&amp;"일)")),IF($AJ46="",$AE46,IF(INDEX(파견수련계획!$T$4:$T$803,$AJ46)="통합수련",INDEX(파견수련계획!$S$4:$S$803,$AJ46),$AE46)))))))</f>
        <v/>
      </c>
      <c r="Z46" s="19">
        <f>IF($B46="","",IF($AB46="","기본자료에 없는 사번",IF(COUNTIF($B$2:$B$401,$B46)&gt;1,"중복 사번",IF($AE46="","소속(입사장소) 입력",IF(IF(TRIM($J46&amp;"")="",0,SUMPRODUCT((파견수련계획!$Q$4:$Q$803=TRIM($J46&amp;""))*(파견수련계획!$AA$4:$AA$803&lt;&gt;"")))&gt;0,"파견수련계획 입력오류 확인",IF(LEFT($Y46,1)="⚠","서울·구리 15일 판정 불가(양쪽 모두 이상/미만)",IF(IF($AC46="",0,N(INDEX(인턴근무계획!$T$3:$T$402,$AC46)))&gt;0,"인턴계획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IF($B46="","",IFERROR(MATCH($B46,기본자료!$B$2:$B$1001,0),IFERROR(MATCH($B46&amp;"",기본자료!$B$2:$B$1001,0),IFERROR(MATCH(VALUE($B46),기본자료!$B$2:$B$1001,0),""))))</f>
        <v/>
      </c>
      <c r="AC46" s="10">
        <f>IF($B46="","",IFERROR(MATCH($B46,인턴근무계획!$D$3:$D$402,0),IFERROR(MATCH($B46&amp;"",인턴근무계획!$D$3:$D$402,0),IFERROR(MATCH(VALUE($B46),인턴근무계획!$D$3:$D$402,0),""))))</f>
        <v/>
      </c>
      <c r="AD46" s="10">
        <f>IF(OR($AC46="",인턴현황!$G$3=""),"",INDEX(인턴근무계획!$M$3:$R$402,$AC46,인턴현황!$G$3)&amp;"")</f>
        <v/>
      </c>
      <c r="AE46" s="10">
        <f>IF($B46="","",IF($M46&lt;&gt;"",$M46,IF($AF46&lt;&gt;"",IF(LEFT(INDEX(파견수련계획!$R$4:$R$803,$AF46),1)&lt;&gt;"⚠",INDEX(파견수련계획!$R$4:$R$803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$803,0),IFERROR(MATCH(TRIM($J46&amp;"")&amp;"|파견예정",파견수련계획!$Y$4:$Y$803,0),IFERROR(MATCH(TRIM($J46&amp;"")&amp;"|파견종료",파견수련계획!$Y$4:$Y$803,0),""))))</f>
        <v/>
      </c>
      <c r="AG46" s="10">
        <f>IF($B46="","",IF(AND(IF(OR($AC46="",인턴현황!$K$2=""),"",INDEX(인턴근무계획!$M$3:$R$402,$AC46,인턴현황!$K$2)&amp;"")&lt;&gt;"",LEFT(IF(OR($AC46="",인턴현황!$K$2=""),"",INDEX(인턴근무계획!$M$3:$R$402,$AC46,인턴현황!$K$2)&amp;""),1)&lt;&gt;"⚠"),LEFT(IF(OR($AC46="",인턴현황!$K$2=""),"",INDEX(인턴근무계획!$M$3:$R$402,$AC46,인턴현황!$K$2)&amp;""),FIND(" ",IF(OR($AC46="",인턴현황!$K$2=""),"",INDEX(인턴근무계획!$M$3:$R$402,$AC46,인턴현황!$K$2)&amp;""))-1),$AE46))</f>
        <v/>
      </c>
      <c r="AH46" s="17">
        <f>IF($B46="","",IF(TRIM($J46&amp;"")="",0,SUMPRODUCT((파견수련계획!$Q$4:$Q$803=TRIM($J46&amp;""))*(파견수련계획!$S$4:$S$803="서울병원")*파견수련계획!$W$4:$W$803))+IF($AG46="서울병원",MAX(0,DAY(EOMONTH(요약!$B$3,0))-N($X46)),0))</f>
        <v/>
      </c>
      <c r="AI46" s="17">
        <f>IF($B46="","",IF(TRIM($J46&amp;"")="",0,SUMPRODUCT((파견수련계획!$Q$4:$Q$803=TRIM($J46&amp;""))*(파견수련계획!$S$4:$S$803="구리병원")*파견수련계획!$W$4:$W$803))+IF($AG46="구리병원",MAX(0,DAY(EOMONTH(요약!$B$3,0))-N($X46)),0))</f>
        <v/>
      </c>
      <c r="AJ46" s="10">
        <f>IF(OR($B46="",TRIM($J46&amp;"")=""),"",IFERROR(MATCH(TRIM($J46&amp;"")&amp;"|월",파견수련계획!$Z$4:$Z$803,0),""))</f>
        <v/>
      </c>
      <c r="AK46" s="10">
        <f>IF(OR($B46="",TRIM($J46&amp;"")=""),"",IFERROR(MATCH(TRIM($J46&amp;"")&amp;"|다기관",파견수련계획!$AE$4:$AE$803,0),""))</f>
        <v/>
      </c>
      <c r="AL46" s="10">
        <f>IF($AK46="","","다기관 "&amp;TEXT(INDEX(파견수련계획!$AB$4:$AB$803,$AK46),"yyyy-mm-dd")&amp;"~"&amp;IF(ISNUMBER(INDEX(파견수련계획!$AC$4:$AC$803,$AK46)),TEXT(INDEX(파견수련계획!$AC$4:$AC$803,$AK46),"yyyy-mm-dd"),""))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IF($AB47="","",IF(INDEX(기본자료!$C$2:$C$1001,$AB47)="","",INDEX(기본자료!$C$2:$C$1001,$AB47)))</f>
        <v/>
      </c>
      <c r="D47" s="10">
        <f>IF($AB47="","",IF(INDEX(기본자료!$J$2:$J$1001,$AB47)="","",INDEX(기본자료!$J$2:$J$1001,$AB47)))</f>
        <v/>
      </c>
      <c r="E47" s="11">
        <f>IF($AB47="","",IF(INDEX(기본자료!$K$2:$K$1001,$AB47)="","",IF(NOT(ISNUMBER(INDEX(기본자료!$K$2:$K$1001,$AB47))),INDEX(기본자료!$K$2:$K$1001,$AB47),IF(INDEX(기본자료!$K$2:$K$1001,$AB47)&lt;1000000,INDEX(기본자료!$K$2:$K$1001,$AB47),IF(AND(INDEX(기본자료!$K$2:$K$1001,$AB47)&gt;=10000101,INT(MOD(INDEX(기본자료!$K$2:$K$1001,$AB47),10000)/100)&gt;=1,INT(MOD(INDEX(기본자료!$K$2:$K$1001,$AB47),10000)/100)&lt;=12,MOD(INDEX(기본자료!$K$2:$K$1001,$AB47),100)&gt;=1,MOD(INDEX(기본자료!$K$2:$K$1001,$AB47),100)&lt;=31),DATE(INT(INDEX(기본자료!$K$2:$K$1001,$AB47)/10000),INT(MOD(INDEX(기본자료!$K$2:$K$1001,$AB47),10000)/100),MOD(INDEX(기본자료!$K$2:$K$1001,$AB47),100)),INDEX(기본자료!$K$2:$K$1001,$AB47)&amp;"")))))</f>
        <v/>
      </c>
      <c r="F47" s="10">
        <f>IF($AB47="","",IF(INDEX(기본자료!$D$2:$D$1001,$AB47)="","",INDEX(기본자료!$D$2:$D$1001,$AB47)))</f>
        <v/>
      </c>
      <c r="G47" s="10">
        <f>IF($AB47="","",IF(INDEX(기본자료!$E$2:$E$1001,$AB47)="","",INDEX(기본자료!$E$2:$E$1001,$AB47)))</f>
        <v/>
      </c>
      <c r="H47" s="10">
        <f>IF($AB47="","",IF(INDEX(기본자료!$F$2:$F$1001,$AB47)="","",INDEX(기본자료!$F$2:$F$1001,$AB47)))</f>
        <v/>
      </c>
      <c r="I47" s="11">
        <f>IF($AB47="","",IF(INDEX(기본자료!$G$2:$G$1001,$AB47)="","",IF(NOT(ISNUMBER(INDEX(기본자료!$G$2:$G$1001,$AB47))),INDEX(기본자료!$G$2:$G$1001,$AB47),IF(INDEX(기본자료!$G$2:$G$1001,$AB47)&lt;1000000,INDEX(기본자료!$G$2:$G$1001,$AB47),IF(AND(INDEX(기본자료!$G$2:$G$1001,$AB47)&gt;=10000101,INT(MOD(INDEX(기본자료!$G$2:$G$1001,$AB47),10000)/100)&gt;=1,INT(MOD(INDEX(기본자료!$G$2:$G$1001,$AB47),10000)/100)&lt;=12,MOD(INDEX(기본자료!$G$2:$G$1001,$AB47),100)&gt;=1,MOD(INDEX(기본자료!$G$2:$G$1001,$AB47),100)&lt;=31),DATE(INT(INDEX(기본자료!$G$2:$G$1001,$AB47)/10000),INT(MOD(INDEX(기본자료!$G$2:$G$1001,$AB47),10000)/100),MOD(INDEX(기본자료!$G$2:$G$1001,$AB47),100)),INDEX(기본자료!$G$2:$G$1001,$AB47)&amp;"")))))</f>
        <v/>
      </c>
      <c r="J47" s="10">
        <f>IF($AB47="","",IF(INDEX(기본자료!$H$2:$H$1001,$AB47)="","",INDEX(기본자료!$H$2:$H$1001,$AB47)))</f>
        <v/>
      </c>
      <c r="K47" s="10">
        <f>IF($AB47="","",IF(INDEX(기본자료!$I$2:$I$1001,$AB47)="","",INDEX(기본자료!$I$2:$I$1001,$AB47)))</f>
        <v/>
      </c>
      <c r="L47" s="10">
        <f>IF($AB47="","",IF(INDEX(기본자료!$A$2:$A$1001,$AB47)="","",INDEX(기본자료!$A$2:$A$1001,$AB47)))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$803,$AK47),OR(NOT(ISNUMBER(INDEX(파견수련계획!$AC$4:$AC$803,$AK47))),TODAY()&lt;=INDEX(파견수련계획!$AC$4:$AC$803,$AK47))),"다기관",IF($AF47="","",INDEX(파견수련계획!$T$4:$T$803,$AF47))),IF($AF47="","",INDEX(파견수련계획!$T$4:$T$803,$AF47))))</f>
        <v/>
      </c>
      <c r="Q47" s="10">
        <f>IF($AF47="","",INDEX(파견수련계획!$S$4:$S$803,$AF47))</f>
        <v/>
      </c>
      <c r="R47" s="10">
        <f>IF($AF47="","",INDEX(파견수련계획!$U$4:$U$803,$AF47))</f>
        <v/>
      </c>
      <c r="S47" s="11">
        <f>IF($AF47="","",IF(INDEX(파견수련계획!$H$4:$H$803,$AF47)="","",INDEX(파견수련계획!$H$4:$H$803,$AF47)))</f>
        <v/>
      </c>
      <c r="T47" s="11">
        <f>IF($AF47="","",IF(INDEX(파견수련계획!$I$4:$I$803,$AF47)="","",INDEX(파견수련계획!$I$4:$I$803,$AF47)))</f>
        <v/>
      </c>
      <c r="U47" s="10">
        <f>IF($AF47="","",INDEX(파견수련계획!$X$4:$X$803,$AF47))</f>
        <v/>
      </c>
      <c r="V47" s="17">
        <f>IF($AF47="","",INDEX(파견수련계획!$V$4:$V$803,$AF47))</f>
        <v/>
      </c>
      <c r="W47" s="17">
        <f>IF(AND($U47="파견중",$T47&lt;&gt;""),$T47-TODAY(),"")</f>
        <v/>
      </c>
      <c r="X47" s="17">
        <f>IF(OR($B47="",TRIM($J47&amp;"")=""),"",SUMPRODUCT((파견수련계획!$Q$4:$Q$803=TRIM($J47&amp;""))*파견수련계획!$W$4:$W$803))</f>
        <v/>
      </c>
      <c r="Y47" s="10">
        <f>IF($B47="","",IF($AG47="","",IF(IF(TRIM($J47&amp;"")="",0,SUMPRODUCT((파견수련계획!$Q$4:$Q$803=TRIM($J47&amp;""))*파견수련계획!$AD$4:$AD$803)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"&amp;$AI47&amp;"일)")),IF($AJ47="",$AE47,IF(INDEX(파견수련계획!$T$4:$T$803,$AJ47)="통합수련",INDEX(파견수련계획!$S$4:$S$803,$AJ47),$AE47)))))))</f>
        <v/>
      </c>
      <c r="Z47" s="19">
        <f>IF($B47="","",IF($AB47="","기본자료에 없는 사번",IF(COUNTIF($B$2:$B$401,$B47)&gt;1,"중복 사번",IF($AE47="","소속(입사장소) 입력",IF(IF(TRIM($J47&amp;"")="",0,SUMPRODUCT((파견수련계획!$Q$4:$Q$803=TRIM($J47&amp;""))*(파견수련계획!$AA$4:$AA$803&lt;&gt;"")))&gt;0,"파견수련계획 입력오류 확인",IF(LEFT($Y47,1)="⚠","서울·구리 15일 판정 불가(양쪽 모두 이상/미만)",IF(IF($AC47="",0,N(INDEX(인턴근무계획!$T$3:$T$402,$AC47)))&gt;0,"인턴계획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IF($B47="","",IFERROR(MATCH($B47,기본자료!$B$2:$B$1001,0),IFERROR(MATCH($B47&amp;"",기본자료!$B$2:$B$1001,0),IFERROR(MATCH(VALUE($B47),기본자료!$B$2:$B$1001,0),""))))</f>
        <v/>
      </c>
      <c r="AC47" s="10">
        <f>IF($B47="","",IFERROR(MATCH($B47,인턴근무계획!$D$3:$D$402,0),IFERROR(MATCH($B47&amp;"",인턴근무계획!$D$3:$D$402,0),IFERROR(MATCH(VALUE($B47),인턴근무계획!$D$3:$D$402,0),""))))</f>
        <v/>
      </c>
      <c r="AD47" s="10">
        <f>IF(OR($AC47="",인턴현황!$G$3=""),"",INDEX(인턴근무계획!$M$3:$R$402,$AC47,인턴현황!$G$3)&amp;"")</f>
        <v/>
      </c>
      <c r="AE47" s="10">
        <f>IF($B47="","",IF($M47&lt;&gt;"",$M47,IF($AF47&lt;&gt;"",IF(LEFT(INDEX(파견수련계획!$R$4:$R$803,$AF47),1)&lt;&gt;"⚠",INDEX(파견수련계획!$R$4:$R$803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$803,0),IFERROR(MATCH(TRIM($J47&amp;"")&amp;"|파견예정",파견수련계획!$Y$4:$Y$803,0),IFERROR(MATCH(TRIM($J47&amp;"")&amp;"|파견종료",파견수련계획!$Y$4:$Y$803,0),""))))</f>
        <v/>
      </c>
      <c r="AG47" s="10">
        <f>IF($B47="","",IF(AND(IF(OR($AC47="",인턴현황!$K$2=""),"",INDEX(인턴근무계획!$M$3:$R$402,$AC47,인턴현황!$K$2)&amp;"")&lt;&gt;"",LEFT(IF(OR($AC47="",인턴현황!$K$2=""),"",INDEX(인턴근무계획!$M$3:$R$402,$AC47,인턴현황!$K$2)&amp;""),1)&lt;&gt;"⚠"),LEFT(IF(OR($AC47="",인턴현황!$K$2=""),"",INDEX(인턴근무계획!$M$3:$R$402,$AC47,인턴현황!$K$2)&amp;""),FIND(" ",IF(OR($AC47="",인턴현황!$K$2=""),"",INDEX(인턴근무계획!$M$3:$R$402,$AC47,인턴현황!$K$2)&amp;""))-1),$AE47))</f>
        <v/>
      </c>
      <c r="AH47" s="17">
        <f>IF($B47="","",IF(TRIM($J47&amp;"")="",0,SUMPRODUCT((파견수련계획!$Q$4:$Q$803=TRIM($J47&amp;""))*(파견수련계획!$S$4:$S$803="서울병원")*파견수련계획!$W$4:$W$803))+IF($AG47="서울병원",MAX(0,DAY(EOMONTH(요약!$B$3,0))-N($X47)),0))</f>
        <v/>
      </c>
      <c r="AI47" s="17">
        <f>IF($B47="","",IF(TRIM($J47&amp;"")="",0,SUMPRODUCT((파견수련계획!$Q$4:$Q$803=TRIM($J47&amp;""))*(파견수련계획!$S$4:$S$803="구리병원")*파견수련계획!$W$4:$W$803))+IF($AG47="구리병원",MAX(0,DAY(EOMONTH(요약!$B$3,0))-N($X47)),0))</f>
        <v/>
      </c>
      <c r="AJ47" s="10">
        <f>IF(OR($B47="",TRIM($J47&amp;"")=""),"",IFERROR(MATCH(TRIM($J47&amp;"")&amp;"|월",파견수련계획!$Z$4:$Z$803,0),""))</f>
        <v/>
      </c>
      <c r="AK47" s="10">
        <f>IF(OR($B47="",TRIM($J47&amp;"")=""),"",IFERROR(MATCH(TRIM($J47&amp;"")&amp;"|다기관",파견수련계획!$AE$4:$AE$803,0),""))</f>
        <v/>
      </c>
      <c r="AL47" s="10">
        <f>IF($AK47="","","다기관 "&amp;TEXT(INDEX(파견수련계획!$AB$4:$AB$803,$AK47),"yyyy-mm-dd")&amp;"~"&amp;IF(ISNUMBER(INDEX(파견수련계획!$AC$4:$AC$803,$AK47)),TEXT(INDEX(파견수련계획!$AC$4:$AC$803,$AK47),"yyyy-mm-dd"),""))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IF($AB48="","",IF(INDEX(기본자료!$C$2:$C$1001,$AB48)="","",INDEX(기본자료!$C$2:$C$1001,$AB48)))</f>
        <v/>
      </c>
      <c r="D48" s="10">
        <f>IF($AB48="","",IF(INDEX(기본자료!$J$2:$J$1001,$AB48)="","",INDEX(기본자료!$J$2:$J$1001,$AB48)))</f>
        <v/>
      </c>
      <c r="E48" s="11">
        <f>IF($AB48="","",IF(INDEX(기본자료!$K$2:$K$1001,$AB48)="","",IF(NOT(ISNUMBER(INDEX(기본자료!$K$2:$K$1001,$AB48))),INDEX(기본자료!$K$2:$K$1001,$AB48),IF(INDEX(기본자료!$K$2:$K$1001,$AB48)&lt;1000000,INDEX(기본자료!$K$2:$K$1001,$AB48),IF(AND(INDEX(기본자료!$K$2:$K$1001,$AB48)&gt;=10000101,INT(MOD(INDEX(기본자료!$K$2:$K$1001,$AB48),10000)/100)&gt;=1,INT(MOD(INDEX(기본자료!$K$2:$K$1001,$AB48),10000)/100)&lt;=12,MOD(INDEX(기본자료!$K$2:$K$1001,$AB48),100)&gt;=1,MOD(INDEX(기본자료!$K$2:$K$1001,$AB48),100)&lt;=31),DATE(INT(INDEX(기본자료!$K$2:$K$1001,$AB48)/10000),INT(MOD(INDEX(기본자료!$K$2:$K$1001,$AB48),10000)/100),MOD(INDEX(기본자료!$K$2:$K$1001,$AB48),100)),INDEX(기본자료!$K$2:$K$1001,$AB48)&amp;"")))))</f>
        <v/>
      </c>
      <c r="F48" s="10">
        <f>IF($AB48="","",IF(INDEX(기본자료!$D$2:$D$1001,$AB48)="","",INDEX(기본자료!$D$2:$D$1001,$AB48)))</f>
        <v/>
      </c>
      <c r="G48" s="10">
        <f>IF($AB48="","",IF(INDEX(기본자료!$E$2:$E$1001,$AB48)="","",INDEX(기본자료!$E$2:$E$1001,$AB48)))</f>
        <v/>
      </c>
      <c r="H48" s="10">
        <f>IF($AB48="","",IF(INDEX(기본자료!$F$2:$F$1001,$AB48)="","",INDEX(기본자료!$F$2:$F$1001,$AB48)))</f>
        <v/>
      </c>
      <c r="I48" s="11">
        <f>IF($AB48="","",IF(INDEX(기본자료!$G$2:$G$1001,$AB48)="","",IF(NOT(ISNUMBER(INDEX(기본자료!$G$2:$G$1001,$AB48))),INDEX(기본자료!$G$2:$G$1001,$AB48),IF(INDEX(기본자료!$G$2:$G$1001,$AB48)&lt;1000000,INDEX(기본자료!$G$2:$G$1001,$AB48),IF(AND(INDEX(기본자료!$G$2:$G$1001,$AB48)&gt;=10000101,INT(MOD(INDEX(기본자료!$G$2:$G$1001,$AB48),10000)/100)&gt;=1,INT(MOD(INDEX(기본자료!$G$2:$G$1001,$AB48),10000)/100)&lt;=12,MOD(INDEX(기본자료!$G$2:$G$1001,$AB48),100)&gt;=1,MOD(INDEX(기본자료!$G$2:$G$1001,$AB48),100)&lt;=31),DATE(INT(INDEX(기본자료!$G$2:$G$1001,$AB48)/10000),INT(MOD(INDEX(기본자료!$G$2:$G$1001,$AB48),10000)/100),MOD(INDEX(기본자료!$G$2:$G$1001,$AB48),100)),INDEX(기본자료!$G$2:$G$1001,$AB48)&amp;"")))))</f>
        <v/>
      </c>
      <c r="J48" s="10">
        <f>IF($AB48="","",IF(INDEX(기본자료!$H$2:$H$1001,$AB48)="","",INDEX(기본자료!$H$2:$H$1001,$AB48)))</f>
        <v/>
      </c>
      <c r="K48" s="10">
        <f>IF($AB48="","",IF(INDEX(기본자료!$I$2:$I$1001,$AB48)="","",INDEX(기본자료!$I$2:$I$1001,$AB48)))</f>
        <v/>
      </c>
      <c r="L48" s="10">
        <f>IF($AB48="","",IF(INDEX(기본자료!$A$2:$A$1001,$AB48)="","",INDEX(기본자료!$A$2:$A$1001,$AB48)))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$803,$AK48),OR(NOT(ISNUMBER(INDEX(파견수련계획!$AC$4:$AC$803,$AK48))),TODAY()&lt;=INDEX(파견수련계획!$AC$4:$AC$803,$AK48))),"다기관",IF($AF48="","",INDEX(파견수련계획!$T$4:$T$803,$AF48))),IF($AF48="","",INDEX(파견수련계획!$T$4:$T$803,$AF48))))</f>
        <v/>
      </c>
      <c r="Q48" s="10">
        <f>IF($AF48="","",INDEX(파견수련계획!$S$4:$S$803,$AF48))</f>
        <v/>
      </c>
      <c r="R48" s="10">
        <f>IF($AF48="","",INDEX(파견수련계획!$U$4:$U$803,$AF48))</f>
        <v/>
      </c>
      <c r="S48" s="11">
        <f>IF($AF48="","",IF(INDEX(파견수련계획!$H$4:$H$803,$AF48)="","",INDEX(파견수련계획!$H$4:$H$803,$AF48)))</f>
        <v/>
      </c>
      <c r="T48" s="11">
        <f>IF($AF48="","",IF(INDEX(파견수련계획!$I$4:$I$803,$AF48)="","",INDEX(파견수련계획!$I$4:$I$803,$AF48)))</f>
        <v/>
      </c>
      <c r="U48" s="10">
        <f>IF($AF48="","",INDEX(파견수련계획!$X$4:$X$803,$AF48))</f>
        <v/>
      </c>
      <c r="V48" s="17">
        <f>IF($AF48="","",INDEX(파견수련계획!$V$4:$V$803,$AF48))</f>
        <v/>
      </c>
      <c r="W48" s="17">
        <f>IF(AND($U48="파견중",$T48&lt;&gt;""),$T48-TODAY(),"")</f>
        <v/>
      </c>
      <c r="X48" s="17">
        <f>IF(OR($B48="",TRIM($J48&amp;"")=""),"",SUMPRODUCT((파견수련계획!$Q$4:$Q$803=TRIM($J48&amp;""))*파견수련계획!$W$4:$W$803))</f>
        <v/>
      </c>
      <c r="Y48" s="10">
        <f>IF($B48="","",IF($AG48="","",IF(IF(TRIM($J48&amp;"")="",0,SUMPRODUCT((파견수련계획!$Q$4:$Q$803=TRIM($J48&amp;""))*파견수련계획!$AD$4:$AD$803)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"&amp;$AI48&amp;"일)")),IF($AJ48="",$AE48,IF(INDEX(파견수련계획!$T$4:$T$803,$AJ48)="통합수련",INDEX(파견수련계획!$S$4:$S$803,$AJ48),$AE48)))))))</f>
        <v/>
      </c>
      <c r="Z48" s="19">
        <f>IF($B48="","",IF($AB48="","기본자료에 없는 사번",IF(COUNTIF($B$2:$B$401,$B48)&gt;1,"중복 사번",IF($AE48="","소속(입사장소) 입력",IF(IF(TRIM($J48&amp;"")="",0,SUMPRODUCT((파견수련계획!$Q$4:$Q$803=TRIM($J48&amp;""))*(파견수련계획!$AA$4:$AA$803&lt;&gt;"")))&gt;0,"파견수련계획 입력오류 확인",IF(LEFT($Y48,1)="⚠","서울·구리 15일 판정 불가(양쪽 모두 이상/미만)",IF(IF($AC48="",0,N(INDEX(인턴근무계획!$T$3:$T$402,$AC48)))&gt;0,"인턴계획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IF($B48="","",IFERROR(MATCH($B48,기본자료!$B$2:$B$1001,0),IFERROR(MATCH($B48&amp;"",기본자료!$B$2:$B$1001,0),IFERROR(MATCH(VALUE($B48),기본자료!$B$2:$B$1001,0),""))))</f>
        <v/>
      </c>
      <c r="AC48" s="10">
        <f>IF($B48="","",IFERROR(MATCH($B48,인턴근무계획!$D$3:$D$402,0),IFERROR(MATCH($B48&amp;"",인턴근무계획!$D$3:$D$402,0),IFERROR(MATCH(VALUE($B48),인턴근무계획!$D$3:$D$402,0),""))))</f>
        <v/>
      </c>
      <c r="AD48" s="10">
        <f>IF(OR($AC48="",인턴현황!$G$3=""),"",INDEX(인턴근무계획!$M$3:$R$402,$AC48,인턴현황!$G$3)&amp;"")</f>
        <v/>
      </c>
      <c r="AE48" s="10">
        <f>IF($B48="","",IF($M48&lt;&gt;"",$M48,IF($AF48&lt;&gt;"",IF(LEFT(INDEX(파견수련계획!$R$4:$R$803,$AF48),1)&lt;&gt;"⚠",INDEX(파견수련계획!$R$4:$R$803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$803,0),IFERROR(MATCH(TRIM($J48&amp;"")&amp;"|파견예정",파견수련계획!$Y$4:$Y$803,0),IFERROR(MATCH(TRIM($J48&amp;"")&amp;"|파견종료",파견수련계획!$Y$4:$Y$803,0),""))))</f>
        <v/>
      </c>
      <c r="AG48" s="10">
        <f>IF($B48="","",IF(AND(IF(OR($AC48="",인턴현황!$K$2=""),"",INDEX(인턴근무계획!$M$3:$R$402,$AC48,인턴현황!$K$2)&amp;"")&lt;&gt;"",LEFT(IF(OR($AC48="",인턴현황!$K$2=""),"",INDEX(인턴근무계획!$M$3:$R$402,$AC48,인턴현황!$K$2)&amp;""),1)&lt;&gt;"⚠"),LEFT(IF(OR($AC48="",인턴현황!$K$2=""),"",INDEX(인턴근무계획!$M$3:$R$402,$AC48,인턴현황!$K$2)&amp;""),FIND(" ",IF(OR($AC48="",인턴현황!$K$2=""),"",INDEX(인턴근무계획!$M$3:$R$402,$AC48,인턴현황!$K$2)&amp;""))-1),$AE48))</f>
        <v/>
      </c>
      <c r="AH48" s="17">
        <f>IF($B48="","",IF(TRIM($J48&amp;"")="",0,SUMPRODUCT((파견수련계획!$Q$4:$Q$803=TRIM($J48&amp;""))*(파견수련계획!$S$4:$S$803="서울병원")*파견수련계획!$W$4:$W$803))+IF($AG48="서울병원",MAX(0,DAY(EOMONTH(요약!$B$3,0))-N($X48)),0))</f>
        <v/>
      </c>
      <c r="AI48" s="17">
        <f>IF($B48="","",IF(TRIM($J48&amp;"")="",0,SUMPRODUCT((파견수련계획!$Q$4:$Q$803=TRIM($J48&amp;""))*(파견수련계획!$S$4:$S$803="구리병원")*파견수련계획!$W$4:$W$803))+IF($AG48="구리병원",MAX(0,DAY(EOMONTH(요약!$B$3,0))-N($X48)),0))</f>
        <v/>
      </c>
      <c r="AJ48" s="10">
        <f>IF(OR($B48="",TRIM($J48&amp;"")=""),"",IFERROR(MATCH(TRIM($J48&amp;"")&amp;"|월",파견수련계획!$Z$4:$Z$803,0),""))</f>
        <v/>
      </c>
      <c r="AK48" s="10">
        <f>IF(OR($B48="",TRIM($J48&amp;"")=""),"",IFERROR(MATCH(TRIM($J48&amp;"")&amp;"|다기관",파견수련계획!$AE$4:$AE$803,0),""))</f>
        <v/>
      </c>
      <c r="AL48" s="10">
        <f>IF($AK48="","","다기관 "&amp;TEXT(INDEX(파견수련계획!$AB$4:$AB$803,$AK48),"yyyy-mm-dd")&amp;"~"&amp;IF(ISNUMBER(INDEX(파견수련계획!$AC$4:$AC$803,$AK48)),TEXT(INDEX(파견수련계획!$AC$4:$AC$803,$AK48),"yyyy-mm-dd"),""))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IF($AB49="","",IF(INDEX(기본자료!$C$2:$C$1001,$AB49)="","",INDEX(기본자료!$C$2:$C$1001,$AB49)))</f>
        <v/>
      </c>
      <c r="D49" s="10">
        <f>IF($AB49="","",IF(INDEX(기본자료!$J$2:$J$1001,$AB49)="","",INDEX(기본자료!$J$2:$J$1001,$AB49)))</f>
        <v/>
      </c>
      <c r="E49" s="11">
        <f>IF($AB49="","",IF(INDEX(기본자료!$K$2:$K$1001,$AB49)="","",IF(NOT(ISNUMBER(INDEX(기본자료!$K$2:$K$1001,$AB49))),INDEX(기본자료!$K$2:$K$1001,$AB49),IF(INDEX(기본자료!$K$2:$K$1001,$AB49)&lt;1000000,INDEX(기본자료!$K$2:$K$1001,$AB49),IF(AND(INDEX(기본자료!$K$2:$K$1001,$AB49)&gt;=10000101,INT(MOD(INDEX(기본자료!$K$2:$K$1001,$AB49),10000)/100)&gt;=1,INT(MOD(INDEX(기본자료!$K$2:$K$1001,$AB49),10000)/100)&lt;=12,MOD(INDEX(기본자료!$K$2:$K$1001,$AB49),100)&gt;=1,MOD(INDEX(기본자료!$K$2:$K$1001,$AB49),100)&lt;=31),DATE(INT(INDEX(기본자료!$K$2:$K$1001,$AB49)/10000),INT(MOD(INDEX(기본자료!$K$2:$K$1001,$AB49),10000)/100),MOD(INDEX(기본자료!$K$2:$K$1001,$AB49),100)),INDEX(기본자료!$K$2:$K$1001,$AB49)&amp;"")))))</f>
        <v/>
      </c>
      <c r="F49" s="10">
        <f>IF($AB49="","",IF(INDEX(기본자료!$D$2:$D$1001,$AB49)="","",INDEX(기본자료!$D$2:$D$1001,$AB49)))</f>
        <v/>
      </c>
      <c r="G49" s="10">
        <f>IF($AB49="","",IF(INDEX(기본자료!$E$2:$E$1001,$AB49)="","",INDEX(기본자료!$E$2:$E$1001,$AB49)))</f>
        <v/>
      </c>
      <c r="H49" s="10">
        <f>IF($AB49="","",IF(INDEX(기본자료!$F$2:$F$1001,$AB49)="","",INDEX(기본자료!$F$2:$F$1001,$AB49)))</f>
        <v/>
      </c>
      <c r="I49" s="11">
        <f>IF($AB49="","",IF(INDEX(기본자료!$G$2:$G$1001,$AB49)="","",IF(NOT(ISNUMBER(INDEX(기본자료!$G$2:$G$1001,$AB49))),INDEX(기본자료!$G$2:$G$1001,$AB49),IF(INDEX(기본자료!$G$2:$G$1001,$AB49)&lt;1000000,INDEX(기본자료!$G$2:$G$1001,$AB49),IF(AND(INDEX(기본자료!$G$2:$G$1001,$AB49)&gt;=10000101,INT(MOD(INDEX(기본자료!$G$2:$G$1001,$AB49),10000)/100)&gt;=1,INT(MOD(INDEX(기본자료!$G$2:$G$1001,$AB49),10000)/100)&lt;=12,MOD(INDEX(기본자료!$G$2:$G$1001,$AB49),100)&gt;=1,MOD(INDEX(기본자료!$G$2:$G$1001,$AB49),100)&lt;=31),DATE(INT(INDEX(기본자료!$G$2:$G$1001,$AB49)/10000),INT(MOD(INDEX(기본자료!$G$2:$G$1001,$AB49),10000)/100),MOD(INDEX(기본자료!$G$2:$G$1001,$AB49),100)),INDEX(기본자료!$G$2:$G$1001,$AB49)&amp;"")))))</f>
        <v/>
      </c>
      <c r="J49" s="10">
        <f>IF($AB49="","",IF(INDEX(기본자료!$H$2:$H$1001,$AB49)="","",INDEX(기본자료!$H$2:$H$1001,$AB49)))</f>
        <v/>
      </c>
      <c r="K49" s="10">
        <f>IF($AB49="","",IF(INDEX(기본자료!$I$2:$I$1001,$AB49)="","",INDEX(기본자료!$I$2:$I$1001,$AB49)))</f>
        <v/>
      </c>
      <c r="L49" s="10">
        <f>IF($AB49="","",IF(INDEX(기본자료!$A$2:$A$1001,$AB49)="","",INDEX(기본자료!$A$2:$A$1001,$AB49)))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$803,$AK49),OR(NOT(ISNUMBER(INDEX(파견수련계획!$AC$4:$AC$803,$AK49))),TODAY()&lt;=INDEX(파견수련계획!$AC$4:$AC$803,$AK49))),"다기관",IF($AF49="","",INDEX(파견수련계획!$T$4:$T$803,$AF49))),IF($AF49="","",INDEX(파견수련계획!$T$4:$T$803,$AF49))))</f>
        <v/>
      </c>
      <c r="Q49" s="10">
        <f>IF($AF49="","",INDEX(파견수련계획!$S$4:$S$803,$AF49))</f>
        <v/>
      </c>
      <c r="R49" s="10">
        <f>IF($AF49="","",INDEX(파견수련계획!$U$4:$U$803,$AF49))</f>
        <v/>
      </c>
      <c r="S49" s="11">
        <f>IF($AF49="","",IF(INDEX(파견수련계획!$H$4:$H$803,$AF49)="","",INDEX(파견수련계획!$H$4:$H$803,$AF49)))</f>
        <v/>
      </c>
      <c r="T49" s="11">
        <f>IF($AF49="","",IF(INDEX(파견수련계획!$I$4:$I$803,$AF49)="","",INDEX(파견수련계획!$I$4:$I$803,$AF49)))</f>
        <v/>
      </c>
      <c r="U49" s="10">
        <f>IF($AF49="","",INDEX(파견수련계획!$X$4:$X$803,$AF49))</f>
        <v/>
      </c>
      <c r="V49" s="17">
        <f>IF($AF49="","",INDEX(파견수련계획!$V$4:$V$803,$AF49))</f>
        <v/>
      </c>
      <c r="W49" s="17">
        <f>IF(AND($U49="파견중",$T49&lt;&gt;""),$T49-TODAY(),"")</f>
        <v/>
      </c>
      <c r="X49" s="17">
        <f>IF(OR($B49="",TRIM($J49&amp;"")=""),"",SUMPRODUCT((파견수련계획!$Q$4:$Q$803=TRIM($J49&amp;""))*파견수련계획!$W$4:$W$803))</f>
        <v/>
      </c>
      <c r="Y49" s="10">
        <f>IF($B49="","",IF($AG49="","",IF(IF(TRIM($J49&amp;"")="",0,SUMPRODUCT((파견수련계획!$Q$4:$Q$803=TRIM($J49&amp;""))*파견수련계획!$AD$4:$AD$803)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"&amp;$AI49&amp;"일)")),IF($AJ49="",$AE49,IF(INDEX(파견수련계획!$T$4:$T$803,$AJ49)="통합수련",INDEX(파견수련계획!$S$4:$S$803,$AJ49),$AE49)))))))</f>
        <v/>
      </c>
      <c r="Z49" s="19">
        <f>IF($B49="","",IF($AB49="","기본자료에 없는 사번",IF(COUNTIF($B$2:$B$401,$B49)&gt;1,"중복 사번",IF($AE49="","소속(입사장소) 입력",IF(IF(TRIM($J49&amp;"")="",0,SUMPRODUCT((파견수련계획!$Q$4:$Q$803=TRIM($J49&amp;""))*(파견수련계획!$AA$4:$AA$803&lt;&gt;"")))&gt;0,"파견수련계획 입력오류 확인",IF(LEFT($Y49,1)="⚠","서울·구리 15일 판정 불가(양쪽 모두 이상/미만)",IF(IF($AC49="",0,N(INDEX(인턴근무계획!$T$3:$T$402,$AC49)))&gt;0,"인턴계획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IF($B49="","",IFERROR(MATCH($B49,기본자료!$B$2:$B$1001,0),IFERROR(MATCH($B49&amp;"",기본자료!$B$2:$B$1001,0),IFERROR(MATCH(VALUE($B49),기본자료!$B$2:$B$1001,0),""))))</f>
        <v/>
      </c>
      <c r="AC49" s="10">
        <f>IF($B49="","",IFERROR(MATCH($B49,인턴근무계획!$D$3:$D$402,0),IFERROR(MATCH($B49&amp;"",인턴근무계획!$D$3:$D$402,0),IFERROR(MATCH(VALUE($B49),인턴근무계획!$D$3:$D$402,0),""))))</f>
        <v/>
      </c>
      <c r="AD49" s="10">
        <f>IF(OR($AC49="",인턴현황!$G$3=""),"",INDEX(인턴근무계획!$M$3:$R$402,$AC49,인턴현황!$G$3)&amp;"")</f>
        <v/>
      </c>
      <c r="AE49" s="10">
        <f>IF($B49="","",IF($M49&lt;&gt;"",$M49,IF($AF49&lt;&gt;"",IF(LEFT(INDEX(파견수련계획!$R$4:$R$803,$AF49),1)&lt;&gt;"⚠",INDEX(파견수련계획!$R$4:$R$803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$803,0),IFERROR(MATCH(TRIM($J49&amp;"")&amp;"|파견예정",파견수련계획!$Y$4:$Y$803,0),IFERROR(MATCH(TRIM($J49&amp;"")&amp;"|파견종료",파견수련계획!$Y$4:$Y$803,0),""))))</f>
        <v/>
      </c>
      <c r="AG49" s="10">
        <f>IF($B49="","",IF(AND(IF(OR($AC49="",인턴현황!$K$2=""),"",INDEX(인턴근무계획!$M$3:$R$402,$AC49,인턴현황!$K$2)&amp;"")&lt;&gt;"",LEFT(IF(OR($AC49="",인턴현황!$K$2=""),"",INDEX(인턴근무계획!$M$3:$R$402,$AC49,인턴현황!$K$2)&amp;""),1)&lt;&gt;"⚠"),LEFT(IF(OR($AC49="",인턴현황!$K$2=""),"",INDEX(인턴근무계획!$M$3:$R$402,$AC49,인턴현황!$K$2)&amp;""),FIND(" ",IF(OR($AC49="",인턴현황!$K$2=""),"",INDEX(인턴근무계획!$M$3:$R$402,$AC49,인턴현황!$K$2)&amp;""))-1),$AE49))</f>
        <v/>
      </c>
      <c r="AH49" s="17">
        <f>IF($B49="","",IF(TRIM($J49&amp;"")="",0,SUMPRODUCT((파견수련계획!$Q$4:$Q$803=TRIM($J49&amp;""))*(파견수련계획!$S$4:$S$803="서울병원")*파견수련계획!$W$4:$W$803))+IF($AG49="서울병원",MAX(0,DAY(EOMONTH(요약!$B$3,0))-N($X49)),0))</f>
        <v/>
      </c>
      <c r="AI49" s="17">
        <f>IF($B49="","",IF(TRIM($J49&amp;"")="",0,SUMPRODUCT((파견수련계획!$Q$4:$Q$803=TRIM($J49&amp;""))*(파견수련계획!$S$4:$S$803="구리병원")*파견수련계획!$W$4:$W$803))+IF($AG49="구리병원",MAX(0,DAY(EOMONTH(요약!$B$3,0))-N($X49)),0))</f>
        <v/>
      </c>
      <c r="AJ49" s="10">
        <f>IF(OR($B49="",TRIM($J49&amp;"")=""),"",IFERROR(MATCH(TRIM($J49&amp;"")&amp;"|월",파견수련계획!$Z$4:$Z$803,0),""))</f>
        <v/>
      </c>
      <c r="AK49" s="10">
        <f>IF(OR($B49="",TRIM($J49&amp;"")=""),"",IFERROR(MATCH(TRIM($J49&amp;"")&amp;"|다기관",파견수련계획!$AE$4:$AE$803,0),""))</f>
        <v/>
      </c>
      <c r="AL49" s="10">
        <f>IF($AK49="","","다기관 "&amp;TEXT(INDEX(파견수련계획!$AB$4:$AB$803,$AK49),"yyyy-mm-dd")&amp;"~"&amp;IF(ISNUMBER(INDEX(파견수련계획!$AC$4:$AC$803,$AK49)),TEXT(INDEX(파견수련계획!$AC$4:$AC$803,$AK49),"yyyy-mm-dd"),""))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IF($AB50="","",IF(INDEX(기본자료!$C$2:$C$1001,$AB50)="","",INDEX(기본자료!$C$2:$C$1001,$AB50)))</f>
        <v/>
      </c>
      <c r="D50" s="10">
        <f>IF($AB50="","",IF(INDEX(기본자료!$J$2:$J$1001,$AB50)="","",INDEX(기본자료!$J$2:$J$1001,$AB50)))</f>
        <v/>
      </c>
      <c r="E50" s="11">
        <f>IF($AB50="","",IF(INDEX(기본자료!$K$2:$K$1001,$AB50)="","",IF(NOT(ISNUMBER(INDEX(기본자료!$K$2:$K$1001,$AB50))),INDEX(기본자료!$K$2:$K$1001,$AB50),IF(INDEX(기본자료!$K$2:$K$1001,$AB50)&lt;1000000,INDEX(기본자료!$K$2:$K$1001,$AB50),IF(AND(INDEX(기본자료!$K$2:$K$1001,$AB50)&gt;=10000101,INT(MOD(INDEX(기본자료!$K$2:$K$1001,$AB50),10000)/100)&gt;=1,INT(MOD(INDEX(기본자료!$K$2:$K$1001,$AB50),10000)/100)&lt;=12,MOD(INDEX(기본자료!$K$2:$K$1001,$AB50),100)&gt;=1,MOD(INDEX(기본자료!$K$2:$K$1001,$AB50),100)&lt;=31),DATE(INT(INDEX(기본자료!$K$2:$K$1001,$AB50)/10000),INT(MOD(INDEX(기본자료!$K$2:$K$1001,$AB50),10000)/100),MOD(INDEX(기본자료!$K$2:$K$1001,$AB50),100)),INDEX(기본자료!$K$2:$K$1001,$AB50)&amp;"")))))</f>
        <v/>
      </c>
      <c r="F50" s="10">
        <f>IF($AB50="","",IF(INDEX(기본자료!$D$2:$D$1001,$AB50)="","",INDEX(기본자료!$D$2:$D$1001,$AB50)))</f>
        <v/>
      </c>
      <c r="G50" s="10">
        <f>IF($AB50="","",IF(INDEX(기본자료!$E$2:$E$1001,$AB50)="","",INDEX(기본자료!$E$2:$E$1001,$AB50)))</f>
        <v/>
      </c>
      <c r="H50" s="10">
        <f>IF($AB50="","",IF(INDEX(기본자료!$F$2:$F$1001,$AB50)="","",INDEX(기본자료!$F$2:$F$1001,$AB50)))</f>
        <v/>
      </c>
      <c r="I50" s="11">
        <f>IF($AB50="","",IF(INDEX(기본자료!$G$2:$G$1001,$AB50)="","",IF(NOT(ISNUMBER(INDEX(기본자료!$G$2:$G$1001,$AB50))),INDEX(기본자료!$G$2:$G$1001,$AB50),IF(INDEX(기본자료!$G$2:$G$1001,$AB50)&lt;1000000,INDEX(기본자료!$G$2:$G$1001,$AB50),IF(AND(INDEX(기본자료!$G$2:$G$1001,$AB50)&gt;=10000101,INT(MOD(INDEX(기본자료!$G$2:$G$1001,$AB50),10000)/100)&gt;=1,INT(MOD(INDEX(기본자료!$G$2:$G$1001,$AB50),10000)/100)&lt;=12,MOD(INDEX(기본자료!$G$2:$G$1001,$AB50),100)&gt;=1,MOD(INDEX(기본자료!$G$2:$G$1001,$AB50),100)&lt;=31),DATE(INT(INDEX(기본자료!$G$2:$G$1001,$AB50)/10000),INT(MOD(INDEX(기본자료!$G$2:$G$1001,$AB50),10000)/100),MOD(INDEX(기본자료!$G$2:$G$1001,$AB50),100)),INDEX(기본자료!$G$2:$G$1001,$AB50)&amp;"")))))</f>
        <v/>
      </c>
      <c r="J50" s="10">
        <f>IF($AB50="","",IF(INDEX(기본자료!$H$2:$H$1001,$AB50)="","",INDEX(기본자료!$H$2:$H$1001,$AB50)))</f>
        <v/>
      </c>
      <c r="K50" s="10">
        <f>IF($AB50="","",IF(INDEX(기본자료!$I$2:$I$1001,$AB50)="","",INDEX(기본자료!$I$2:$I$1001,$AB50)))</f>
        <v/>
      </c>
      <c r="L50" s="10">
        <f>IF($AB50="","",IF(INDEX(기본자료!$A$2:$A$1001,$AB50)="","",INDEX(기본자료!$A$2:$A$1001,$AB50)))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$803,$AK50),OR(NOT(ISNUMBER(INDEX(파견수련계획!$AC$4:$AC$803,$AK50))),TODAY()&lt;=INDEX(파견수련계획!$AC$4:$AC$803,$AK50))),"다기관",IF($AF50="","",INDEX(파견수련계획!$T$4:$T$803,$AF50))),IF($AF50="","",INDEX(파견수련계획!$T$4:$T$803,$AF50))))</f>
        <v/>
      </c>
      <c r="Q50" s="10">
        <f>IF($AF50="","",INDEX(파견수련계획!$S$4:$S$803,$AF50))</f>
        <v/>
      </c>
      <c r="R50" s="10">
        <f>IF($AF50="","",INDEX(파견수련계획!$U$4:$U$803,$AF50))</f>
        <v/>
      </c>
      <c r="S50" s="11">
        <f>IF($AF50="","",IF(INDEX(파견수련계획!$H$4:$H$803,$AF50)="","",INDEX(파견수련계획!$H$4:$H$803,$AF50)))</f>
        <v/>
      </c>
      <c r="T50" s="11">
        <f>IF($AF50="","",IF(INDEX(파견수련계획!$I$4:$I$803,$AF50)="","",INDEX(파견수련계획!$I$4:$I$803,$AF50)))</f>
        <v/>
      </c>
      <c r="U50" s="10">
        <f>IF($AF50="","",INDEX(파견수련계획!$X$4:$X$803,$AF50))</f>
        <v/>
      </c>
      <c r="V50" s="17">
        <f>IF($AF50="","",INDEX(파견수련계획!$V$4:$V$803,$AF50))</f>
        <v/>
      </c>
      <c r="W50" s="17">
        <f>IF(AND($U50="파견중",$T50&lt;&gt;""),$T50-TODAY(),"")</f>
        <v/>
      </c>
      <c r="X50" s="17">
        <f>IF(OR($B50="",TRIM($J50&amp;"")=""),"",SUMPRODUCT((파견수련계획!$Q$4:$Q$803=TRIM($J50&amp;""))*파견수련계획!$W$4:$W$803))</f>
        <v/>
      </c>
      <c r="Y50" s="10">
        <f>IF($B50="","",IF($AG50="","",IF(IF(TRIM($J50&amp;"")="",0,SUMPRODUCT((파견수련계획!$Q$4:$Q$803=TRIM($J50&amp;""))*파견수련계획!$AD$4:$AD$803)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"&amp;$AI50&amp;"일)")),IF($AJ50="",$AE50,IF(INDEX(파견수련계획!$T$4:$T$803,$AJ50)="통합수련",INDEX(파견수련계획!$S$4:$S$803,$AJ50),$AE50)))))))</f>
        <v/>
      </c>
      <c r="Z50" s="19">
        <f>IF($B50="","",IF($AB50="","기본자료에 없는 사번",IF(COUNTIF($B$2:$B$401,$B50)&gt;1,"중복 사번",IF($AE50="","소속(입사장소) 입력",IF(IF(TRIM($J50&amp;"")="",0,SUMPRODUCT((파견수련계획!$Q$4:$Q$803=TRIM($J50&amp;""))*(파견수련계획!$AA$4:$AA$803&lt;&gt;"")))&gt;0,"파견수련계획 입력오류 확인",IF(LEFT($Y50,1)="⚠","서울·구리 15일 판정 불가(양쪽 모두 이상/미만)",IF(IF($AC50="",0,N(INDEX(인턴근무계획!$T$3:$T$402,$AC50)))&gt;0,"인턴계획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IF($B50="","",IFERROR(MATCH($B50,기본자료!$B$2:$B$1001,0),IFERROR(MATCH($B50&amp;"",기본자료!$B$2:$B$1001,0),IFERROR(MATCH(VALUE($B50),기본자료!$B$2:$B$1001,0),""))))</f>
        <v/>
      </c>
      <c r="AC50" s="10">
        <f>IF($B50="","",IFERROR(MATCH($B50,인턴근무계획!$D$3:$D$402,0),IFERROR(MATCH($B50&amp;"",인턴근무계획!$D$3:$D$402,0),IFERROR(MATCH(VALUE($B50),인턴근무계획!$D$3:$D$402,0),""))))</f>
        <v/>
      </c>
      <c r="AD50" s="10">
        <f>IF(OR($AC50="",인턴현황!$G$3=""),"",INDEX(인턴근무계획!$M$3:$R$402,$AC50,인턴현황!$G$3)&amp;"")</f>
        <v/>
      </c>
      <c r="AE50" s="10">
        <f>IF($B50="","",IF($M50&lt;&gt;"",$M50,IF($AF50&lt;&gt;"",IF(LEFT(INDEX(파견수련계획!$R$4:$R$803,$AF50),1)&lt;&gt;"⚠",INDEX(파견수련계획!$R$4:$R$803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$803,0),IFERROR(MATCH(TRIM($J50&amp;"")&amp;"|파견예정",파견수련계획!$Y$4:$Y$803,0),IFERROR(MATCH(TRIM($J50&amp;"")&amp;"|파견종료",파견수련계획!$Y$4:$Y$803,0),""))))</f>
        <v/>
      </c>
      <c r="AG50" s="10">
        <f>IF($B50="","",IF(AND(IF(OR($AC50="",인턴현황!$K$2=""),"",INDEX(인턴근무계획!$M$3:$R$402,$AC50,인턴현황!$K$2)&amp;"")&lt;&gt;"",LEFT(IF(OR($AC50="",인턴현황!$K$2=""),"",INDEX(인턴근무계획!$M$3:$R$402,$AC50,인턴현황!$K$2)&amp;""),1)&lt;&gt;"⚠"),LEFT(IF(OR($AC50="",인턴현황!$K$2=""),"",INDEX(인턴근무계획!$M$3:$R$402,$AC50,인턴현황!$K$2)&amp;""),FIND(" ",IF(OR($AC50="",인턴현황!$K$2=""),"",INDEX(인턴근무계획!$M$3:$R$402,$AC50,인턴현황!$K$2)&amp;""))-1),$AE50))</f>
        <v/>
      </c>
      <c r="AH50" s="17">
        <f>IF($B50="","",IF(TRIM($J50&amp;"")="",0,SUMPRODUCT((파견수련계획!$Q$4:$Q$803=TRIM($J50&amp;""))*(파견수련계획!$S$4:$S$803="서울병원")*파견수련계획!$W$4:$W$803))+IF($AG50="서울병원",MAX(0,DAY(EOMONTH(요약!$B$3,0))-N($X50)),0))</f>
        <v/>
      </c>
      <c r="AI50" s="17">
        <f>IF($B50="","",IF(TRIM($J50&amp;"")="",0,SUMPRODUCT((파견수련계획!$Q$4:$Q$803=TRIM($J50&amp;""))*(파견수련계획!$S$4:$S$803="구리병원")*파견수련계획!$W$4:$W$803))+IF($AG50="구리병원",MAX(0,DAY(EOMONTH(요약!$B$3,0))-N($X50)),0))</f>
        <v/>
      </c>
      <c r="AJ50" s="10">
        <f>IF(OR($B50="",TRIM($J50&amp;"")=""),"",IFERROR(MATCH(TRIM($J50&amp;"")&amp;"|월",파견수련계획!$Z$4:$Z$803,0),""))</f>
        <v/>
      </c>
      <c r="AK50" s="10">
        <f>IF(OR($B50="",TRIM($J50&amp;"")=""),"",IFERROR(MATCH(TRIM($J50&amp;"")&amp;"|다기관",파견수련계획!$AE$4:$AE$803,0),""))</f>
        <v/>
      </c>
      <c r="AL50" s="10">
        <f>IF($AK50="","","다기관 "&amp;TEXT(INDEX(파견수련계획!$AB$4:$AB$803,$AK50),"yyyy-mm-dd")&amp;"~"&amp;IF(ISNUMBER(INDEX(파견수련계획!$AC$4:$AC$803,$AK50)),TEXT(INDEX(파견수련계획!$AC$4:$AC$803,$AK50),"yyyy-mm-dd"),""))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IF($AB51="","",IF(INDEX(기본자료!$C$2:$C$1001,$AB51)="","",INDEX(기본자료!$C$2:$C$1001,$AB51)))</f>
        <v/>
      </c>
      <c r="D51" s="10">
        <f>IF($AB51="","",IF(INDEX(기본자료!$J$2:$J$1001,$AB51)="","",INDEX(기본자료!$J$2:$J$1001,$AB51)))</f>
        <v/>
      </c>
      <c r="E51" s="11">
        <f>IF($AB51="","",IF(INDEX(기본자료!$K$2:$K$1001,$AB51)="","",IF(NOT(ISNUMBER(INDEX(기본자료!$K$2:$K$1001,$AB51))),INDEX(기본자료!$K$2:$K$1001,$AB51),IF(INDEX(기본자료!$K$2:$K$1001,$AB51)&lt;1000000,INDEX(기본자료!$K$2:$K$1001,$AB51),IF(AND(INDEX(기본자료!$K$2:$K$1001,$AB51)&gt;=10000101,INT(MOD(INDEX(기본자료!$K$2:$K$1001,$AB51),10000)/100)&gt;=1,INT(MOD(INDEX(기본자료!$K$2:$K$1001,$AB51),10000)/100)&lt;=12,MOD(INDEX(기본자료!$K$2:$K$1001,$AB51),100)&gt;=1,MOD(INDEX(기본자료!$K$2:$K$1001,$AB51),100)&lt;=31),DATE(INT(INDEX(기본자료!$K$2:$K$1001,$AB51)/10000),INT(MOD(INDEX(기본자료!$K$2:$K$1001,$AB51),10000)/100),MOD(INDEX(기본자료!$K$2:$K$1001,$AB51),100)),INDEX(기본자료!$K$2:$K$1001,$AB51)&amp;"")))))</f>
        <v/>
      </c>
      <c r="F51" s="10">
        <f>IF($AB51="","",IF(INDEX(기본자료!$D$2:$D$1001,$AB51)="","",INDEX(기본자료!$D$2:$D$1001,$AB51)))</f>
        <v/>
      </c>
      <c r="G51" s="10">
        <f>IF($AB51="","",IF(INDEX(기본자료!$E$2:$E$1001,$AB51)="","",INDEX(기본자료!$E$2:$E$1001,$AB51)))</f>
        <v/>
      </c>
      <c r="H51" s="10">
        <f>IF($AB51="","",IF(INDEX(기본자료!$F$2:$F$1001,$AB51)="","",INDEX(기본자료!$F$2:$F$1001,$AB51)))</f>
        <v/>
      </c>
      <c r="I51" s="11">
        <f>IF($AB51="","",IF(INDEX(기본자료!$G$2:$G$1001,$AB51)="","",IF(NOT(ISNUMBER(INDEX(기본자료!$G$2:$G$1001,$AB51))),INDEX(기본자료!$G$2:$G$1001,$AB51),IF(INDEX(기본자료!$G$2:$G$1001,$AB51)&lt;1000000,INDEX(기본자료!$G$2:$G$1001,$AB51),IF(AND(INDEX(기본자료!$G$2:$G$1001,$AB51)&gt;=10000101,INT(MOD(INDEX(기본자료!$G$2:$G$1001,$AB51),10000)/100)&gt;=1,INT(MOD(INDEX(기본자료!$G$2:$G$1001,$AB51),10000)/100)&lt;=12,MOD(INDEX(기본자료!$G$2:$G$1001,$AB51),100)&gt;=1,MOD(INDEX(기본자료!$G$2:$G$1001,$AB51),100)&lt;=31),DATE(INT(INDEX(기본자료!$G$2:$G$1001,$AB51)/10000),INT(MOD(INDEX(기본자료!$G$2:$G$1001,$AB51),10000)/100),MOD(INDEX(기본자료!$G$2:$G$1001,$AB51),100)),INDEX(기본자료!$G$2:$G$1001,$AB51)&amp;"")))))</f>
        <v/>
      </c>
      <c r="J51" s="10">
        <f>IF($AB51="","",IF(INDEX(기본자료!$H$2:$H$1001,$AB51)="","",INDEX(기본자료!$H$2:$H$1001,$AB51)))</f>
        <v/>
      </c>
      <c r="K51" s="10">
        <f>IF($AB51="","",IF(INDEX(기본자료!$I$2:$I$1001,$AB51)="","",INDEX(기본자료!$I$2:$I$1001,$AB51)))</f>
        <v/>
      </c>
      <c r="L51" s="10">
        <f>IF($AB51="","",IF(INDEX(기본자료!$A$2:$A$1001,$AB51)="","",INDEX(기본자료!$A$2:$A$1001,$AB51)))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$803,$AK51),OR(NOT(ISNUMBER(INDEX(파견수련계획!$AC$4:$AC$803,$AK51))),TODAY()&lt;=INDEX(파견수련계획!$AC$4:$AC$803,$AK51))),"다기관",IF($AF51="","",INDEX(파견수련계획!$T$4:$T$803,$AF51))),IF($AF51="","",INDEX(파견수련계획!$T$4:$T$803,$AF51))))</f>
        <v/>
      </c>
      <c r="Q51" s="10">
        <f>IF($AF51="","",INDEX(파견수련계획!$S$4:$S$803,$AF51))</f>
        <v/>
      </c>
      <c r="R51" s="10">
        <f>IF($AF51="","",INDEX(파견수련계획!$U$4:$U$803,$AF51))</f>
        <v/>
      </c>
      <c r="S51" s="11">
        <f>IF($AF51="","",IF(INDEX(파견수련계획!$H$4:$H$803,$AF51)="","",INDEX(파견수련계획!$H$4:$H$803,$AF51)))</f>
        <v/>
      </c>
      <c r="T51" s="11">
        <f>IF($AF51="","",IF(INDEX(파견수련계획!$I$4:$I$803,$AF51)="","",INDEX(파견수련계획!$I$4:$I$803,$AF51)))</f>
        <v/>
      </c>
      <c r="U51" s="10">
        <f>IF($AF51="","",INDEX(파견수련계획!$X$4:$X$803,$AF51))</f>
        <v/>
      </c>
      <c r="V51" s="17">
        <f>IF($AF51="","",INDEX(파견수련계획!$V$4:$V$803,$AF51))</f>
        <v/>
      </c>
      <c r="W51" s="17">
        <f>IF(AND($U51="파견중",$T51&lt;&gt;""),$T51-TODAY(),"")</f>
        <v/>
      </c>
      <c r="X51" s="17">
        <f>IF(OR($B51="",TRIM($J51&amp;"")=""),"",SUMPRODUCT((파견수련계획!$Q$4:$Q$803=TRIM($J51&amp;""))*파견수련계획!$W$4:$W$803))</f>
        <v/>
      </c>
      <c r="Y51" s="10">
        <f>IF($B51="","",IF($AG51="","",IF(IF(TRIM($J51&amp;"")="",0,SUMPRODUCT((파견수련계획!$Q$4:$Q$803=TRIM($J51&amp;""))*파견수련계획!$AD$4:$AD$803)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"&amp;$AI51&amp;"일)")),IF($AJ51="",$AE51,IF(INDEX(파견수련계획!$T$4:$T$803,$AJ51)="통합수련",INDEX(파견수련계획!$S$4:$S$803,$AJ51),$AE51)))))))</f>
        <v/>
      </c>
      <c r="Z51" s="19">
        <f>IF($B51="","",IF($AB51="","기본자료에 없는 사번",IF(COUNTIF($B$2:$B$401,$B51)&gt;1,"중복 사번",IF($AE51="","소속(입사장소) 입력",IF(IF(TRIM($J51&amp;"")="",0,SUMPRODUCT((파견수련계획!$Q$4:$Q$803=TRIM($J51&amp;""))*(파견수련계획!$AA$4:$AA$803&lt;&gt;"")))&gt;0,"파견수련계획 입력오류 확인",IF(LEFT($Y51,1)="⚠","서울·구리 15일 판정 불가(양쪽 모두 이상/미만)",IF(IF($AC51="",0,N(INDEX(인턴근무계획!$T$3:$T$402,$AC51)))&gt;0,"인턴계획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IF($B51="","",IFERROR(MATCH($B51,기본자료!$B$2:$B$1001,0),IFERROR(MATCH($B51&amp;"",기본자료!$B$2:$B$1001,0),IFERROR(MATCH(VALUE($B51),기본자료!$B$2:$B$1001,0),""))))</f>
        <v/>
      </c>
      <c r="AC51" s="10">
        <f>IF($B51="","",IFERROR(MATCH($B51,인턴근무계획!$D$3:$D$402,0),IFERROR(MATCH($B51&amp;"",인턴근무계획!$D$3:$D$402,0),IFERROR(MATCH(VALUE($B51),인턴근무계획!$D$3:$D$402,0),""))))</f>
        <v/>
      </c>
      <c r="AD51" s="10">
        <f>IF(OR($AC51="",인턴현황!$G$3=""),"",INDEX(인턴근무계획!$M$3:$R$402,$AC51,인턴현황!$G$3)&amp;"")</f>
        <v/>
      </c>
      <c r="AE51" s="10">
        <f>IF($B51="","",IF($M51&lt;&gt;"",$M51,IF($AF51&lt;&gt;"",IF(LEFT(INDEX(파견수련계획!$R$4:$R$803,$AF51),1)&lt;&gt;"⚠",INDEX(파견수련계획!$R$4:$R$803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$803,0),IFERROR(MATCH(TRIM($J51&amp;"")&amp;"|파견예정",파견수련계획!$Y$4:$Y$803,0),IFERROR(MATCH(TRIM($J51&amp;"")&amp;"|파견종료",파견수련계획!$Y$4:$Y$803,0),""))))</f>
        <v/>
      </c>
      <c r="AG51" s="10">
        <f>IF($B51="","",IF(AND(IF(OR($AC51="",인턴현황!$K$2=""),"",INDEX(인턴근무계획!$M$3:$R$402,$AC51,인턴현황!$K$2)&amp;"")&lt;&gt;"",LEFT(IF(OR($AC51="",인턴현황!$K$2=""),"",INDEX(인턴근무계획!$M$3:$R$402,$AC51,인턴현황!$K$2)&amp;""),1)&lt;&gt;"⚠"),LEFT(IF(OR($AC51="",인턴현황!$K$2=""),"",INDEX(인턴근무계획!$M$3:$R$402,$AC51,인턴현황!$K$2)&amp;""),FIND(" ",IF(OR($AC51="",인턴현황!$K$2=""),"",INDEX(인턴근무계획!$M$3:$R$402,$AC51,인턴현황!$K$2)&amp;""))-1),$AE51))</f>
        <v/>
      </c>
      <c r="AH51" s="17">
        <f>IF($B51="","",IF(TRIM($J51&amp;"")="",0,SUMPRODUCT((파견수련계획!$Q$4:$Q$803=TRIM($J51&amp;""))*(파견수련계획!$S$4:$S$803="서울병원")*파견수련계획!$W$4:$W$803))+IF($AG51="서울병원",MAX(0,DAY(EOMONTH(요약!$B$3,0))-N($X51)),0))</f>
        <v/>
      </c>
      <c r="AI51" s="17">
        <f>IF($B51="","",IF(TRIM($J51&amp;"")="",0,SUMPRODUCT((파견수련계획!$Q$4:$Q$803=TRIM($J51&amp;""))*(파견수련계획!$S$4:$S$803="구리병원")*파견수련계획!$W$4:$W$803))+IF($AG51="구리병원",MAX(0,DAY(EOMONTH(요약!$B$3,0))-N($X51)),0))</f>
        <v/>
      </c>
      <c r="AJ51" s="10">
        <f>IF(OR($B51="",TRIM($J51&amp;"")=""),"",IFERROR(MATCH(TRIM($J51&amp;"")&amp;"|월",파견수련계획!$Z$4:$Z$803,0),""))</f>
        <v/>
      </c>
      <c r="AK51" s="10">
        <f>IF(OR($B51="",TRIM($J51&amp;"")=""),"",IFERROR(MATCH(TRIM($J51&amp;"")&amp;"|다기관",파견수련계획!$AE$4:$AE$803,0),""))</f>
        <v/>
      </c>
      <c r="AL51" s="10">
        <f>IF($AK51="","","다기관 "&amp;TEXT(INDEX(파견수련계획!$AB$4:$AB$803,$AK51),"yyyy-mm-dd")&amp;"~"&amp;IF(ISNUMBER(INDEX(파견수련계획!$AC$4:$AC$803,$AK51)),TEXT(INDEX(파견수련계획!$AC$4:$AC$803,$AK51),"yyyy-mm-dd"),""))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IF($AB52="","",IF(INDEX(기본자료!$C$2:$C$1001,$AB52)="","",INDEX(기본자료!$C$2:$C$1001,$AB52)))</f>
        <v/>
      </c>
      <c r="D52" s="10">
        <f>IF($AB52="","",IF(INDEX(기본자료!$J$2:$J$1001,$AB52)="","",INDEX(기본자료!$J$2:$J$1001,$AB52)))</f>
        <v/>
      </c>
      <c r="E52" s="11">
        <f>IF($AB52="","",IF(INDEX(기본자료!$K$2:$K$1001,$AB52)="","",IF(NOT(ISNUMBER(INDEX(기본자료!$K$2:$K$1001,$AB52))),INDEX(기본자료!$K$2:$K$1001,$AB52),IF(INDEX(기본자료!$K$2:$K$1001,$AB52)&lt;1000000,INDEX(기본자료!$K$2:$K$1001,$AB52),IF(AND(INDEX(기본자료!$K$2:$K$1001,$AB52)&gt;=10000101,INT(MOD(INDEX(기본자료!$K$2:$K$1001,$AB52),10000)/100)&gt;=1,INT(MOD(INDEX(기본자료!$K$2:$K$1001,$AB52),10000)/100)&lt;=12,MOD(INDEX(기본자료!$K$2:$K$1001,$AB52),100)&gt;=1,MOD(INDEX(기본자료!$K$2:$K$1001,$AB52),100)&lt;=31),DATE(INT(INDEX(기본자료!$K$2:$K$1001,$AB52)/10000),INT(MOD(INDEX(기본자료!$K$2:$K$1001,$AB52),10000)/100),MOD(INDEX(기본자료!$K$2:$K$1001,$AB52),100)),INDEX(기본자료!$K$2:$K$1001,$AB52)&amp;"")))))</f>
        <v/>
      </c>
      <c r="F52" s="10">
        <f>IF($AB52="","",IF(INDEX(기본자료!$D$2:$D$1001,$AB52)="","",INDEX(기본자료!$D$2:$D$1001,$AB52)))</f>
        <v/>
      </c>
      <c r="G52" s="10">
        <f>IF($AB52="","",IF(INDEX(기본자료!$E$2:$E$1001,$AB52)="","",INDEX(기본자료!$E$2:$E$1001,$AB52)))</f>
        <v/>
      </c>
      <c r="H52" s="10">
        <f>IF($AB52="","",IF(INDEX(기본자료!$F$2:$F$1001,$AB52)="","",INDEX(기본자료!$F$2:$F$1001,$AB52)))</f>
        <v/>
      </c>
      <c r="I52" s="11">
        <f>IF($AB52="","",IF(INDEX(기본자료!$G$2:$G$1001,$AB52)="","",IF(NOT(ISNUMBER(INDEX(기본자료!$G$2:$G$1001,$AB52))),INDEX(기본자료!$G$2:$G$1001,$AB52),IF(INDEX(기본자료!$G$2:$G$1001,$AB52)&lt;1000000,INDEX(기본자료!$G$2:$G$1001,$AB52),IF(AND(INDEX(기본자료!$G$2:$G$1001,$AB52)&gt;=10000101,INT(MOD(INDEX(기본자료!$G$2:$G$1001,$AB52),10000)/100)&gt;=1,INT(MOD(INDEX(기본자료!$G$2:$G$1001,$AB52),10000)/100)&lt;=12,MOD(INDEX(기본자료!$G$2:$G$1001,$AB52),100)&gt;=1,MOD(INDEX(기본자료!$G$2:$G$1001,$AB52),100)&lt;=31),DATE(INT(INDEX(기본자료!$G$2:$G$1001,$AB52)/10000),INT(MOD(INDEX(기본자료!$G$2:$G$1001,$AB52),10000)/100),MOD(INDEX(기본자료!$G$2:$G$1001,$AB52),100)),INDEX(기본자료!$G$2:$G$1001,$AB52)&amp;"")))))</f>
        <v/>
      </c>
      <c r="J52" s="10">
        <f>IF($AB52="","",IF(INDEX(기본자료!$H$2:$H$1001,$AB52)="","",INDEX(기본자료!$H$2:$H$1001,$AB52)))</f>
        <v/>
      </c>
      <c r="K52" s="10">
        <f>IF($AB52="","",IF(INDEX(기본자료!$I$2:$I$1001,$AB52)="","",INDEX(기본자료!$I$2:$I$1001,$AB52)))</f>
        <v/>
      </c>
      <c r="L52" s="10">
        <f>IF($AB52="","",IF(INDEX(기본자료!$A$2:$A$1001,$AB52)="","",INDEX(기본자료!$A$2:$A$1001,$AB52)))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$803,$AK52),OR(NOT(ISNUMBER(INDEX(파견수련계획!$AC$4:$AC$803,$AK52))),TODAY()&lt;=INDEX(파견수련계획!$AC$4:$AC$803,$AK52))),"다기관",IF($AF52="","",INDEX(파견수련계획!$T$4:$T$803,$AF52))),IF($AF52="","",INDEX(파견수련계획!$T$4:$T$803,$AF52))))</f>
        <v/>
      </c>
      <c r="Q52" s="10">
        <f>IF($AF52="","",INDEX(파견수련계획!$S$4:$S$803,$AF52))</f>
        <v/>
      </c>
      <c r="R52" s="10">
        <f>IF($AF52="","",INDEX(파견수련계획!$U$4:$U$803,$AF52))</f>
        <v/>
      </c>
      <c r="S52" s="11">
        <f>IF($AF52="","",IF(INDEX(파견수련계획!$H$4:$H$803,$AF52)="","",INDEX(파견수련계획!$H$4:$H$803,$AF52)))</f>
        <v/>
      </c>
      <c r="T52" s="11">
        <f>IF($AF52="","",IF(INDEX(파견수련계획!$I$4:$I$803,$AF52)="","",INDEX(파견수련계획!$I$4:$I$803,$AF52)))</f>
        <v/>
      </c>
      <c r="U52" s="10">
        <f>IF($AF52="","",INDEX(파견수련계획!$X$4:$X$803,$AF52))</f>
        <v/>
      </c>
      <c r="V52" s="17">
        <f>IF($AF52="","",INDEX(파견수련계획!$V$4:$V$803,$AF52))</f>
        <v/>
      </c>
      <c r="W52" s="17">
        <f>IF(AND($U52="파견중",$T52&lt;&gt;""),$T52-TODAY(),"")</f>
        <v/>
      </c>
      <c r="X52" s="17">
        <f>IF(OR($B52="",TRIM($J52&amp;"")=""),"",SUMPRODUCT((파견수련계획!$Q$4:$Q$803=TRIM($J52&amp;""))*파견수련계획!$W$4:$W$803))</f>
        <v/>
      </c>
      <c r="Y52" s="10">
        <f>IF($B52="","",IF($AG52="","",IF(IF(TRIM($J52&amp;"")="",0,SUMPRODUCT((파견수련계획!$Q$4:$Q$803=TRIM($J52&amp;""))*파견수련계획!$AD$4:$AD$803)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"&amp;$AI52&amp;"일)")),IF($AJ52="",$AE52,IF(INDEX(파견수련계획!$T$4:$T$803,$AJ52)="통합수련",INDEX(파견수련계획!$S$4:$S$803,$AJ52),$AE52)))))))</f>
        <v/>
      </c>
      <c r="Z52" s="19">
        <f>IF($B52="","",IF($AB52="","기본자료에 없는 사번",IF(COUNTIF($B$2:$B$401,$B52)&gt;1,"중복 사번",IF($AE52="","소속(입사장소) 입력",IF(IF(TRIM($J52&amp;"")="",0,SUMPRODUCT((파견수련계획!$Q$4:$Q$803=TRIM($J52&amp;""))*(파견수련계획!$AA$4:$AA$803&lt;&gt;"")))&gt;0,"파견수련계획 입력오류 확인",IF(LEFT($Y52,1)="⚠","서울·구리 15일 판정 불가(양쪽 모두 이상/미만)",IF(IF($AC52="",0,N(INDEX(인턴근무계획!$T$3:$T$402,$AC52)))&gt;0,"인턴계획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IF($B52="","",IFERROR(MATCH($B52,기본자료!$B$2:$B$1001,0),IFERROR(MATCH($B52&amp;"",기본자료!$B$2:$B$1001,0),IFERROR(MATCH(VALUE($B52),기본자료!$B$2:$B$1001,0),""))))</f>
        <v/>
      </c>
      <c r="AC52" s="10">
        <f>IF($B52="","",IFERROR(MATCH($B52,인턴근무계획!$D$3:$D$402,0),IFERROR(MATCH($B52&amp;"",인턴근무계획!$D$3:$D$402,0),IFERROR(MATCH(VALUE($B52),인턴근무계획!$D$3:$D$402,0),""))))</f>
        <v/>
      </c>
      <c r="AD52" s="10">
        <f>IF(OR($AC52="",인턴현황!$G$3=""),"",INDEX(인턴근무계획!$M$3:$R$402,$AC52,인턴현황!$G$3)&amp;"")</f>
        <v/>
      </c>
      <c r="AE52" s="10">
        <f>IF($B52="","",IF($M52&lt;&gt;"",$M52,IF($AF52&lt;&gt;"",IF(LEFT(INDEX(파견수련계획!$R$4:$R$803,$AF52),1)&lt;&gt;"⚠",INDEX(파견수련계획!$R$4:$R$803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$803,0),IFERROR(MATCH(TRIM($J52&amp;"")&amp;"|파견예정",파견수련계획!$Y$4:$Y$803,0),IFERROR(MATCH(TRIM($J52&amp;"")&amp;"|파견종료",파견수련계획!$Y$4:$Y$803,0),""))))</f>
        <v/>
      </c>
      <c r="AG52" s="10">
        <f>IF($B52="","",IF(AND(IF(OR($AC52="",인턴현황!$K$2=""),"",INDEX(인턴근무계획!$M$3:$R$402,$AC52,인턴현황!$K$2)&amp;"")&lt;&gt;"",LEFT(IF(OR($AC52="",인턴현황!$K$2=""),"",INDEX(인턴근무계획!$M$3:$R$402,$AC52,인턴현황!$K$2)&amp;""),1)&lt;&gt;"⚠"),LEFT(IF(OR($AC52="",인턴현황!$K$2=""),"",INDEX(인턴근무계획!$M$3:$R$402,$AC52,인턴현황!$K$2)&amp;""),FIND(" ",IF(OR($AC52="",인턴현황!$K$2=""),"",INDEX(인턴근무계획!$M$3:$R$402,$AC52,인턴현황!$K$2)&amp;""))-1),$AE52))</f>
        <v/>
      </c>
      <c r="AH52" s="17">
        <f>IF($B52="","",IF(TRIM($J52&amp;"")="",0,SUMPRODUCT((파견수련계획!$Q$4:$Q$803=TRIM($J52&amp;""))*(파견수련계획!$S$4:$S$803="서울병원")*파견수련계획!$W$4:$W$803))+IF($AG52="서울병원",MAX(0,DAY(EOMONTH(요약!$B$3,0))-N($X52)),0))</f>
        <v/>
      </c>
      <c r="AI52" s="17">
        <f>IF($B52="","",IF(TRIM($J52&amp;"")="",0,SUMPRODUCT((파견수련계획!$Q$4:$Q$803=TRIM($J52&amp;""))*(파견수련계획!$S$4:$S$803="구리병원")*파견수련계획!$W$4:$W$803))+IF($AG52="구리병원",MAX(0,DAY(EOMONTH(요약!$B$3,0))-N($X52)),0))</f>
        <v/>
      </c>
      <c r="AJ52" s="10">
        <f>IF(OR($B52="",TRIM($J52&amp;"")=""),"",IFERROR(MATCH(TRIM($J52&amp;"")&amp;"|월",파견수련계획!$Z$4:$Z$803,0),""))</f>
        <v/>
      </c>
      <c r="AK52" s="10">
        <f>IF(OR($B52="",TRIM($J52&amp;"")=""),"",IFERROR(MATCH(TRIM($J52&amp;"")&amp;"|다기관",파견수련계획!$AE$4:$AE$803,0),""))</f>
        <v/>
      </c>
      <c r="AL52" s="10">
        <f>IF($AK52="","","다기관 "&amp;TEXT(INDEX(파견수련계획!$AB$4:$AB$803,$AK52),"yyyy-mm-dd")&amp;"~"&amp;IF(ISNUMBER(INDEX(파견수련계획!$AC$4:$AC$803,$AK52)),TEXT(INDEX(파견수련계획!$AC$4:$AC$803,$AK52),"yyyy-mm-dd"),""))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IF($AB53="","",IF(INDEX(기본자료!$C$2:$C$1001,$AB53)="","",INDEX(기본자료!$C$2:$C$1001,$AB53)))</f>
        <v/>
      </c>
      <c r="D53" s="10">
        <f>IF($AB53="","",IF(INDEX(기본자료!$J$2:$J$1001,$AB53)="","",INDEX(기본자료!$J$2:$J$1001,$AB53)))</f>
        <v/>
      </c>
      <c r="E53" s="11">
        <f>IF($AB53="","",IF(INDEX(기본자료!$K$2:$K$1001,$AB53)="","",IF(NOT(ISNUMBER(INDEX(기본자료!$K$2:$K$1001,$AB53))),INDEX(기본자료!$K$2:$K$1001,$AB53),IF(INDEX(기본자료!$K$2:$K$1001,$AB53)&lt;1000000,INDEX(기본자료!$K$2:$K$1001,$AB53),IF(AND(INDEX(기본자료!$K$2:$K$1001,$AB53)&gt;=10000101,INT(MOD(INDEX(기본자료!$K$2:$K$1001,$AB53),10000)/100)&gt;=1,INT(MOD(INDEX(기본자료!$K$2:$K$1001,$AB53),10000)/100)&lt;=12,MOD(INDEX(기본자료!$K$2:$K$1001,$AB53),100)&gt;=1,MOD(INDEX(기본자료!$K$2:$K$1001,$AB53),100)&lt;=31),DATE(INT(INDEX(기본자료!$K$2:$K$1001,$AB53)/10000),INT(MOD(INDEX(기본자료!$K$2:$K$1001,$AB53),10000)/100),MOD(INDEX(기본자료!$K$2:$K$1001,$AB53),100)),INDEX(기본자료!$K$2:$K$1001,$AB53)&amp;"")))))</f>
        <v/>
      </c>
      <c r="F53" s="10">
        <f>IF($AB53="","",IF(INDEX(기본자료!$D$2:$D$1001,$AB53)="","",INDEX(기본자료!$D$2:$D$1001,$AB53)))</f>
        <v/>
      </c>
      <c r="G53" s="10">
        <f>IF($AB53="","",IF(INDEX(기본자료!$E$2:$E$1001,$AB53)="","",INDEX(기본자료!$E$2:$E$1001,$AB53)))</f>
        <v/>
      </c>
      <c r="H53" s="10">
        <f>IF($AB53="","",IF(INDEX(기본자료!$F$2:$F$1001,$AB53)="","",INDEX(기본자료!$F$2:$F$1001,$AB53)))</f>
        <v/>
      </c>
      <c r="I53" s="11">
        <f>IF($AB53="","",IF(INDEX(기본자료!$G$2:$G$1001,$AB53)="","",IF(NOT(ISNUMBER(INDEX(기본자료!$G$2:$G$1001,$AB53))),INDEX(기본자료!$G$2:$G$1001,$AB53),IF(INDEX(기본자료!$G$2:$G$1001,$AB53)&lt;1000000,INDEX(기본자료!$G$2:$G$1001,$AB53),IF(AND(INDEX(기본자료!$G$2:$G$1001,$AB53)&gt;=10000101,INT(MOD(INDEX(기본자료!$G$2:$G$1001,$AB53),10000)/100)&gt;=1,INT(MOD(INDEX(기본자료!$G$2:$G$1001,$AB53),10000)/100)&lt;=12,MOD(INDEX(기본자료!$G$2:$G$1001,$AB53),100)&gt;=1,MOD(INDEX(기본자료!$G$2:$G$1001,$AB53),100)&lt;=31),DATE(INT(INDEX(기본자료!$G$2:$G$1001,$AB53)/10000),INT(MOD(INDEX(기본자료!$G$2:$G$1001,$AB53),10000)/100),MOD(INDEX(기본자료!$G$2:$G$1001,$AB53),100)),INDEX(기본자료!$G$2:$G$1001,$AB53)&amp;"")))))</f>
        <v/>
      </c>
      <c r="J53" s="10">
        <f>IF($AB53="","",IF(INDEX(기본자료!$H$2:$H$1001,$AB53)="","",INDEX(기본자료!$H$2:$H$1001,$AB53)))</f>
        <v/>
      </c>
      <c r="K53" s="10">
        <f>IF($AB53="","",IF(INDEX(기본자료!$I$2:$I$1001,$AB53)="","",INDEX(기본자료!$I$2:$I$1001,$AB53)))</f>
        <v/>
      </c>
      <c r="L53" s="10">
        <f>IF($AB53="","",IF(INDEX(기본자료!$A$2:$A$1001,$AB53)="","",INDEX(기본자료!$A$2:$A$1001,$AB53)))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$803,$AK53),OR(NOT(ISNUMBER(INDEX(파견수련계획!$AC$4:$AC$803,$AK53))),TODAY()&lt;=INDEX(파견수련계획!$AC$4:$AC$803,$AK53))),"다기관",IF($AF53="","",INDEX(파견수련계획!$T$4:$T$803,$AF53))),IF($AF53="","",INDEX(파견수련계획!$T$4:$T$803,$AF53))))</f>
        <v/>
      </c>
      <c r="Q53" s="10">
        <f>IF($AF53="","",INDEX(파견수련계획!$S$4:$S$803,$AF53))</f>
        <v/>
      </c>
      <c r="R53" s="10">
        <f>IF($AF53="","",INDEX(파견수련계획!$U$4:$U$803,$AF53))</f>
        <v/>
      </c>
      <c r="S53" s="11">
        <f>IF($AF53="","",IF(INDEX(파견수련계획!$H$4:$H$803,$AF53)="","",INDEX(파견수련계획!$H$4:$H$803,$AF53)))</f>
        <v/>
      </c>
      <c r="T53" s="11">
        <f>IF($AF53="","",IF(INDEX(파견수련계획!$I$4:$I$803,$AF53)="","",INDEX(파견수련계획!$I$4:$I$803,$AF53)))</f>
        <v/>
      </c>
      <c r="U53" s="10">
        <f>IF($AF53="","",INDEX(파견수련계획!$X$4:$X$803,$AF53))</f>
        <v/>
      </c>
      <c r="V53" s="17">
        <f>IF($AF53="","",INDEX(파견수련계획!$V$4:$V$803,$AF53))</f>
        <v/>
      </c>
      <c r="W53" s="17">
        <f>IF(AND($U53="파견중",$T53&lt;&gt;""),$T53-TODAY(),"")</f>
        <v/>
      </c>
      <c r="X53" s="17">
        <f>IF(OR($B53="",TRIM($J53&amp;"")=""),"",SUMPRODUCT((파견수련계획!$Q$4:$Q$803=TRIM($J53&amp;""))*파견수련계획!$W$4:$W$803))</f>
        <v/>
      </c>
      <c r="Y53" s="10">
        <f>IF($B53="","",IF($AG53="","",IF(IF(TRIM($J53&amp;"")="",0,SUMPRODUCT((파견수련계획!$Q$4:$Q$803=TRIM($J53&amp;""))*파견수련계획!$AD$4:$AD$803)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"&amp;$AI53&amp;"일)")),IF($AJ53="",$AE53,IF(INDEX(파견수련계획!$T$4:$T$803,$AJ53)="통합수련",INDEX(파견수련계획!$S$4:$S$803,$AJ53),$AE53)))))))</f>
        <v/>
      </c>
      <c r="Z53" s="19">
        <f>IF($B53="","",IF($AB53="","기본자료에 없는 사번",IF(COUNTIF($B$2:$B$401,$B53)&gt;1,"중복 사번",IF($AE53="","소속(입사장소) 입력",IF(IF(TRIM($J53&amp;"")="",0,SUMPRODUCT((파견수련계획!$Q$4:$Q$803=TRIM($J53&amp;""))*(파견수련계획!$AA$4:$AA$803&lt;&gt;"")))&gt;0,"파견수련계획 입력오류 확인",IF(LEFT($Y53,1)="⚠","서울·구리 15일 판정 불가(양쪽 모두 이상/미만)",IF(IF($AC53="",0,N(INDEX(인턴근무계획!$T$3:$T$402,$AC53)))&gt;0,"인턴계획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IF($B53="","",IFERROR(MATCH($B53,기본자료!$B$2:$B$1001,0),IFERROR(MATCH($B53&amp;"",기본자료!$B$2:$B$1001,0),IFERROR(MATCH(VALUE($B53),기본자료!$B$2:$B$1001,0),""))))</f>
        <v/>
      </c>
      <c r="AC53" s="10">
        <f>IF($B53="","",IFERROR(MATCH($B53,인턴근무계획!$D$3:$D$402,0),IFERROR(MATCH($B53&amp;"",인턴근무계획!$D$3:$D$402,0),IFERROR(MATCH(VALUE($B53),인턴근무계획!$D$3:$D$402,0),""))))</f>
        <v/>
      </c>
      <c r="AD53" s="10">
        <f>IF(OR($AC53="",인턴현황!$G$3=""),"",INDEX(인턴근무계획!$M$3:$R$402,$AC53,인턴현황!$G$3)&amp;"")</f>
        <v/>
      </c>
      <c r="AE53" s="10">
        <f>IF($B53="","",IF($M53&lt;&gt;"",$M53,IF($AF53&lt;&gt;"",IF(LEFT(INDEX(파견수련계획!$R$4:$R$803,$AF53),1)&lt;&gt;"⚠",INDEX(파견수련계획!$R$4:$R$803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$803,0),IFERROR(MATCH(TRIM($J53&amp;"")&amp;"|파견예정",파견수련계획!$Y$4:$Y$803,0),IFERROR(MATCH(TRIM($J53&amp;"")&amp;"|파견종료",파견수련계획!$Y$4:$Y$803,0),""))))</f>
        <v/>
      </c>
      <c r="AG53" s="10">
        <f>IF($B53="","",IF(AND(IF(OR($AC53="",인턴현황!$K$2=""),"",INDEX(인턴근무계획!$M$3:$R$402,$AC53,인턴현황!$K$2)&amp;"")&lt;&gt;"",LEFT(IF(OR($AC53="",인턴현황!$K$2=""),"",INDEX(인턴근무계획!$M$3:$R$402,$AC53,인턴현황!$K$2)&amp;""),1)&lt;&gt;"⚠"),LEFT(IF(OR($AC53="",인턴현황!$K$2=""),"",INDEX(인턴근무계획!$M$3:$R$402,$AC53,인턴현황!$K$2)&amp;""),FIND(" ",IF(OR($AC53="",인턴현황!$K$2=""),"",INDEX(인턴근무계획!$M$3:$R$402,$AC53,인턴현황!$K$2)&amp;""))-1),$AE53))</f>
        <v/>
      </c>
      <c r="AH53" s="17">
        <f>IF($B53="","",IF(TRIM($J53&amp;"")="",0,SUMPRODUCT((파견수련계획!$Q$4:$Q$803=TRIM($J53&amp;""))*(파견수련계획!$S$4:$S$803="서울병원")*파견수련계획!$W$4:$W$803))+IF($AG53="서울병원",MAX(0,DAY(EOMONTH(요약!$B$3,0))-N($X53)),0))</f>
        <v/>
      </c>
      <c r="AI53" s="17">
        <f>IF($B53="","",IF(TRIM($J53&amp;"")="",0,SUMPRODUCT((파견수련계획!$Q$4:$Q$803=TRIM($J53&amp;""))*(파견수련계획!$S$4:$S$803="구리병원")*파견수련계획!$W$4:$W$803))+IF($AG53="구리병원",MAX(0,DAY(EOMONTH(요약!$B$3,0))-N($X53)),0))</f>
        <v/>
      </c>
      <c r="AJ53" s="10">
        <f>IF(OR($B53="",TRIM($J53&amp;"")=""),"",IFERROR(MATCH(TRIM($J53&amp;"")&amp;"|월",파견수련계획!$Z$4:$Z$803,0),""))</f>
        <v/>
      </c>
      <c r="AK53" s="10">
        <f>IF(OR($B53="",TRIM($J53&amp;"")=""),"",IFERROR(MATCH(TRIM($J53&amp;"")&amp;"|다기관",파견수련계획!$AE$4:$AE$803,0),""))</f>
        <v/>
      </c>
      <c r="AL53" s="10">
        <f>IF($AK53="","","다기관 "&amp;TEXT(INDEX(파견수련계획!$AB$4:$AB$803,$AK53),"yyyy-mm-dd")&amp;"~"&amp;IF(ISNUMBER(INDEX(파견수련계획!$AC$4:$AC$803,$AK53)),TEXT(INDEX(파견수련계획!$AC$4:$AC$803,$AK53),"yyyy-mm-dd"),""))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IF($AB54="","",IF(INDEX(기본자료!$C$2:$C$1001,$AB54)="","",INDEX(기본자료!$C$2:$C$1001,$AB54)))</f>
        <v/>
      </c>
      <c r="D54" s="10">
        <f>IF($AB54="","",IF(INDEX(기본자료!$J$2:$J$1001,$AB54)="","",INDEX(기본자료!$J$2:$J$1001,$AB54)))</f>
        <v/>
      </c>
      <c r="E54" s="11">
        <f>IF($AB54="","",IF(INDEX(기본자료!$K$2:$K$1001,$AB54)="","",IF(NOT(ISNUMBER(INDEX(기본자료!$K$2:$K$1001,$AB54))),INDEX(기본자료!$K$2:$K$1001,$AB54),IF(INDEX(기본자료!$K$2:$K$1001,$AB54)&lt;1000000,INDEX(기본자료!$K$2:$K$1001,$AB54),IF(AND(INDEX(기본자료!$K$2:$K$1001,$AB54)&gt;=10000101,INT(MOD(INDEX(기본자료!$K$2:$K$1001,$AB54),10000)/100)&gt;=1,INT(MOD(INDEX(기본자료!$K$2:$K$1001,$AB54),10000)/100)&lt;=12,MOD(INDEX(기본자료!$K$2:$K$1001,$AB54),100)&gt;=1,MOD(INDEX(기본자료!$K$2:$K$1001,$AB54),100)&lt;=31),DATE(INT(INDEX(기본자료!$K$2:$K$1001,$AB54)/10000),INT(MOD(INDEX(기본자료!$K$2:$K$1001,$AB54),10000)/100),MOD(INDEX(기본자료!$K$2:$K$1001,$AB54),100)),INDEX(기본자료!$K$2:$K$1001,$AB54)&amp;"")))))</f>
        <v/>
      </c>
      <c r="F54" s="10">
        <f>IF($AB54="","",IF(INDEX(기본자료!$D$2:$D$1001,$AB54)="","",INDEX(기본자료!$D$2:$D$1001,$AB54)))</f>
        <v/>
      </c>
      <c r="G54" s="10">
        <f>IF($AB54="","",IF(INDEX(기본자료!$E$2:$E$1001,$AB54)="","",INDEX(기본자료!$E$2:$E$1001,$AB54)))</f>
        <v/>
      </c>
      <c r="H54" s="10">
        <f>IF($AB54="","",IF(INDEX(기본자료!$F$2:$F$1001,$AB54)="","",INDEX(기본자료!$F$2:$F$1001,$AB54)))</f>
        <v/>
      </c>
      <c r="I54" s="11">
        <f>IF($AB54="","",IF(INDEX(기본자료!$G$2:$G$1001,$AB54)="","",IF(NOT(ISNUMBER(INDEX(기본자료!$G$2:$G$1001,$AB54))),INDEX(기본자료!$G$2:$G$1001,$AB54),IF(INDEX(기본자료!$G$2:$G$1001,$AB54)&lt;1000000,INDEX(기본자료!$G$2:$G$1001,$AB54),IF(AND(INDEX(기본자료!$G$2:$G$1001,$AB54)&gt;=10000101,INT(MOD(INDEX(기본자료!$G$2:$G$1001,$AB54),10000)/100)&gt;=1,INT(MOD(INDEX(기본자료!$G$2:$G$1001,$AB54),10000)/100)&lt;=12,MOD(INDEX(기본자료!$G$2:$G$1001,$AB54),100)&gt;=1,MOD(INDEX(기본자료!$G$2:$G$1001,$AB54),100)&lt;=31),DATE(INT(INDEX(기본자료!$G$2:$G$1001,$AB54)/10000),INT(MOD(INDEX(기본자료!$G$2:$G$1001,$AB54),10000)/100),MOD(INDEX(기본자료!$G$2:$G$1001,$AB54),100)),INDEX(기본자료!$G$2:$G$1001,$AB54)&amp;"")))))</f>
        <v/>
      </c>
      <c r="J54" s="10">
        <f>IF($AB54="","",IF(INDEX(기본자료!$H$2:$H$1001,$AB54)="","",INDEX(기본자료!$H$2:$H$1001,$AB54)))</f>
        <v/>
      </c>
      <c r="K54" s="10">
        <f>IF($AB54="","",IF(INDEX(기본자료!$I$2:$I$1001,$AB54)="","",INDEX(기본자료!$I$2:$I$1001,$AB54)))</f>
        <v/>
      </c>
      <c r="L54" s="10">
        <f>IF($AB54="","",IF(INDEX(기본자료!$A$2:$A$1001,$AB54)="","",INDEX(기본자료!$A$2:$A$1001,$AB54)))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$803,$AK54),OR(NOT(ISNUMBER(INDEX(파견수련계획!$AC$4:$AC$803,$AK54))),TODAY()&lt;=INDEX(파견수련계획!$AC$4:$AC$803,$AK54))),"다기관",IF($AF54="","",INDEX(파견수련계획!$T$4:$T$803,$AF54))),IF($AF54="","",INDEX(파견수련계획!$T$4:$T$803,$AF54))))</f>
        <v/>
      </c>
      <c r="Q54" s="10">
        <f>IF($AF54="","",INDEX(파견수련계획!$S$4:$S$803,$AF54))</f>
        <v/>
      </c>
      <c r="R54" s="10">
        <f>IF($AF54="","",INDEX(파견수련계획!$U$4:$U$803,$AF54))</f>
        <v/>
      </c>
      <c r="S54" s="11">
        <f>IF($AF54="","",IF(INDEX(파견수련계획!$H$4:$H$803,$AF54)="","",INDEX(파견수련계획!$H$4:$H$803,$AF54)))</f>
        <v/>
      </c>
      <c r="T54" s="11">
        <f>IF($AF54="","",IF(INDEX(파견수련계획!$I$4:$I$803,$AF54)="","",INDEX(파견수련계획!$I$4:$I$803,$AF54)))</f>
        <v/>
      </c>
      <c r="U54" s="10">
        <f>IF($AF54="","",INDEX(파견수련계획!$X$4:$X$803,$AF54))</f>
        <v/>
      </c>
      <c r="V54" s="17">
        <f>IF($AF54="","",INDEX(파견수련계획!$V$4:$V$803,$AF54))</f>
        <v/>
      </c>
      <c r="W54" s="17">
        <f>IF(AND($U54="파견중",$T54&lt;&gt;""),$T54-TODAY(),"")</f>
        <v/>
      </c>
      <c r="X54" s="17">
        <f>IF(OR($B54="",TRIM($J54&amp;"")=""),"",SUMPRODUCT((파견수련계획!$Q$4:$Q$803=TRIM($J54&amp;""))*파견수련계획!$W$4:$W$803))</f>
        <v/>
      </c>
      <c r="Y54" s="10">
        <f>IF($B54="","",IF($AG54="","",IF(IF(TRIM($J54&amp;"")="",0,SUMPRODUCT((파견수련계획!$Q$4:$Q$803=TRIM($J54&amp;""))*파견수련계획!$AD$4:$AD$803)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"&amp;$AI54&amp;"일)")),IF($AJ54="",$AE54,IF(INDEX(파견수련계획!$T$4:$T$803,$AJ54)="통합수련",INDEX(파견수련계획!$S$4:$S$803,$AJ54),$AE54)))))))</f>
        <v/>
      </c>
      <c r="Z54" s="19">
        <f>IF($B54="","",IF($AB54="","기본자료에 없는 사번",IF(COUNTIF($B$2:$B$401,$B54)&gt;1,"중복 사번",IF($AE54="","소속(입사장소) 입력",IF(IF(TRIM($J54&amp;"")="",0,SUMPRODUCT((파견수련계획!$Q$4:$Q$803=TRIM($J54&amp;""))*(파견수련계획!$AA$4:$AA$803&lt;&gt;"")))&gt;0,"파견수련계획 입력오류 확인",IF(LEFT($Y54,1)="⚠","서울·구리 15일 판정 불가(양쪽 모두 이상/미만)",IF(IF($AC54="",0,N(INDEX(인턴근무계획!$T$3:$T$402,$AC54)))&gt;0,"인턴계획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IF($B54="","",IFERROR(MATCH($B54,기본자료!$B$2:$B$1001,0),IFERROR(MATCH($B54&amp;"",기본자료!$B$2:$B$1001,0),IFERROR(MATCH(VALUE($B54),기본자료!$B$2:$B$1001,0),""))))</f>
        <v/>
      </c>
      <c r="AC54" s="10">
        <f>IF($B54="","",IFERROR(MATCH($B54,인턴근무계획!$D$3:$D$402,0),IFERROR(MATCH($B54&amp;"",인턴근무계획!$D$3:$D$402,0),IFERROR(MATCH(VALUE($B54),인턴근무계획!$D$3:$D$402,0),""))))</f>
        <v/>
      </c>
      <c r="AD54" s="10">
        <f>IF(OR($AC54="",인턴현황!$G$3=""),"",INDEX(인턴근무계획!$M$3:$R$402,$AC54,인턴현황!$G$3)&amp;"")</f>
        <v/>
      </c>
      <c r="AE54" s="10">
        <f>IF($B54="","",IF($M54&lt;&gt;"",$M54,IF($AF54&lt;&gt;"",IF(LEFT(INDEX(파견수련계획!$R$4:$R$803,$AF54),1)&lt;&gt;"⚠",INDEX(파견수련계획!$R$4:$R$803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$803,0),IFERROR(MATCH(TRIM($J54&amp;"")&amp;"|파견예정",파견수련계획!$Y$4:$Y$803,0),IFERROR(MATCH(TRIM($J54&amp;"")&amp;"|파견종료",파견수련계획!$Y$4:$Y$803,0),""))))</f>
        <v/>
      </c>
      <c r="AG54" s="10">
        <f>IF($B54="","",IF(AND(IF(OR($AC54="",인턴현황!$K$2=""),"",INDEX(인턴근무계획!$M$3:$R$402,$AC54,인턴현황!$K$2)&amp;"")&lt;&gt;"",LEFT(IF(OR($AC54="",인턴현황!$K$2=""),"",INDEX(인턴근무계획!$M$3:$R$402,$AC54,인턴현황!$K$2)&amp;""),1)&lt;&gt;"⚠"),LEFT(IF(OR($AC54="",인턴현황!$K$2=""),"",INDEX(인턴근무계획!$M$3:$R$402,$AC54,인턴현황!$K$2)&amp;""),FIND(" ",IF(OR($AC54="",인턴현황!$K$2=""),"",INDEX(인턴근무계획!$M$3:$R$402,$AC54,인턴현황!$K$2)&amp;""))-1),$AE54))</f>
        <v/>
      </c>
      <c r="AH54" s="17">
        <f>IF($B54="","",IF(TRIM($J54&amp;"")="",0,SUMPRODUCT((파견수련계획!$Q$4:$Q$803=TRIM($J54&amp;""))*(파견수련계획!$S$4:$S$803="서울병원")*파견수련계획!$W$4:$W$803))+IF($AG54="서울병원",MAX(0,DAY(EOMONTH(요약!$B$3,0))-N($X54)),0))</f>
        <v/>
      </c>
      <c r="AI54" s="17">
        <f>IF($B54="","",IF(TRIM($J54&amp;"")="",0,SUMPRODUCT((파견수련계획!$Q$4:$Q$803=TRIM($J54&amp;""))*(파견수련계획!$S$4:$S$803="구리병원")*파견수련계획!$W$4:$W$803))+IF($AG54="구리병원",MAX(0,DAY(EOMONTH(요약!$B$3,0))-N($X54)),0))</f>
        <v/>
      </c>
      <c r="AJ54" s="10">
        <f>IF(OR($B54="",TRIM($J54&amp;"")=""),"",IFERROR(MATCH(TRIM($J54&amp;"")&amp;"|월",파견수련계획!$Z$4:$Z$803,0),""))</f>
        <v/>
      </c>
      <c r="AK54" s="10">
        <f>IF(OR($B54="",TRIM($J54&amp;"")=""),"",IFERROR(MATCH(TRIM($J54&amp;"")&amp;"|다기관",파견수련계획!$AE$4:$AE$803,0),""))</f>
        <v/>
      </c>
      <c r="AL54" s="10">
        <f>IF($AK54="","","다기관 "&amp;TEXT(INDEX(파견수련계획!$AB$4:$AB$803,$AK54),"yyyy-mm-dd")&amp;"~"&amp;IF(ISNUMBER(INDEX(파견수련계획!$AC$4:$AC$803,$AK54)),TEXT(INDEX(파견수련계획!$AC$4:$AC$803,$AK54),"yyyy-mm-dd"),""))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IF($AB55="","",IF(INDEX(기본자료!$C$2:$C$1001,$AB55)="","",INDEX(기본자료!$C$2:$C$1001,$AB55)))</f>
        <v/>
      </c>
      <c r="D55" s="10">
        <f>IF($AB55="","",IF(INDEX(기본자료!$J$2:$J$1001,$AB55)="","",INDEX(기본자료!$J$2:$J$1001,$AB55)))</f>
        <v/>
      </c>
      <c r="E55" s="11">
        <f>IF($AB55="","",IF(INDEX(기본자료!$K$2:$K$1001,$AB55)="","",IF(NOT(ISNUMBER(INDEX(기본자료!$K$2:$K$1001,$AB55))),INDEX(기본자료!$K$2:$K$1001,$AB55),IF(INDEX(기본자료!$K$2:$K$1001,$AB55)&lt;1000000,INDEX(기본자료!$K$2:$K$1001,$AB55),IF(AND(INDEX(기본자료!$K$2:$K$1001,$AB55)&gt;=10000101,INT(MOD(INDEX(기본자료!$K$2:$K$1001,$AB55),10000)/100)&gt;=1,INT(MOD(INDEX(기본자료!$K$2:$K$1001,$AB55),10000)/100)&lt;=12,MOD(INDEX(기본자료!$K$2:$K$1001,$AB55),100)&gt;=1,MOD(INDEX(기본자료!$K$2:$K$1001,$AB55),100)&lt;=31),DATE(INT(INDEX(기본자료!$K$2:$K$1001,$AB55)/10000),INT(MOD(INDEX(기본자료!$K$2:$K$1001,$AB55),10000)/100),MOD(INDEX(기본자료!$K$2:$K$1001,$AB55),100)),INDEX(기본자료!$K$2:$K$1001,$AB55)&amp;"")))))</f>
        <v/>
      </c>
      <c r="F55" s="10">
        <f>IF($AB55="","",IF(INDEX(기본자료!$D$2:$D$1001,$AB55)="","",INDEX(기본자료!$D$2:$D$1001,$AB55)))</f>
        <v/>
      </c>
      <c r="G55" s="10">
        <f>IF($AB55="","",IF(INDEX(기본자료!$E$2:$E$1001,$AB55)="","",INDEX(기본자료!$E$2:$E$1001,$AB55)))</f>
        <v/>
      </c>
      <c r="H55" s="10">
        <f>IF($AB55="","",IF(INDEX(기본자료!$F$2:$F$1001,$AB55)="","",INDEX(기본자료!$F$2:$F$1001,$AB55)))</f>
        <v/>
      </c>
      <c r="I55" s="11">
        <f>IF($AB55="","",IF(INDEX(기본자료!$G$2:$G$1001,$AB55)="","",IF(NOT(ISNUMBER(INDEX(기본자료!$G$2:$G$1001,$AB55))),INDEX(기본자료!$G$2:$G$1001,$AB55),IF(INDEX(기본자료!$G$2:$G$1001,$AB55)&lt;1000000,INDEX(기본자료!$G$2:$G$1001,$AB55),IF(AND(INDEX(기본자료!$G$2:$G$1001,$AB55)&gt;=10000101,INT(MOD(INDEX(기본자료!$G$2:$G$1001,$AB55),10000)/100)&gt;=1,INT(MOD(INDEX(기본자료!$G$2:$G$1001,$AB55),10000)/100)&lt;=12,MOD(INDEX(기본자료!$G$2:$G$1001,$AB55),100)&gt;=1,MOD(INDEX(기본자료!$G$2:$G$1001,$AB55),100)&lt;=31),DATE(INT(INDEX(기본자료!$G$2:$G$1001,$AB55)/10000),INT(MOD(INDEX(기본자료!$G$2:$G$1001,$AB55),10000)/100),MOD(INDEX(기본자료!$G$2:$G$1001,$AB55),100)),INDEX(기본자료!$G$2:$G$1001,$AB55)&amp;"")))))</f>
        <v/>
      </c>
      <c r="J55" s="10">
        <f>IF($AB55="","",IF(INDEX(기본자료!$H$2:$H$1001,$AB55)="","",INDEX(기본자료!$H$2:$H$1001,$AB55)))</f>
        <v/>
      </c>
      <c r="K55" s="10">
        <f>IF($AB55="","",IF(INDEX(기본자료!$I$2:$I$1001,$AB55)="","",INDEX(기본자료!$I$2:$I$1001,$AB55)))</f>
        <v/>
      </c>
      <c r="L55" s="10">
        <f>IF($AB55="","",IF(INDEX(기본자료!$A$2:$A$1001,$AB55)="","",INDEX(기본자료!$A$2:$A$1001,$AB55)))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$803,$AK55),OR(NOT(ISNUMBER(INDEX(파견수련계획!$AC$4:$AC$803,$AK55))),TODAY()&lt;=INDEX(파견수련계획!$AC$4:$AC$803,$AK55))),"다기관",IF($AF55="","",INDEX(파견수련계획!$T$4:$T$803,$AF55))),IF($AF55="","",INDEX(파견수련계획!$T$4:$T$803,$AF55))))</f>
        <v/>
      </c>
      <c r="Q55" s="10">
        <f>IF($AF55="","",INDEX(파견수련계획!$S$4:$S$803,$AF55))</f>
        <v/>
      </c>
      <c r="R55" s="10">
        <f>IF($AF55="","",INDEX(파견수련계획!$U$4:$U$803,$AF55))</f>
        <v/>
      </c>
      <c r="S55" s="11">
        <f>IF($AF55="","",IF(INDEX(파견수련계획!$H$4:$H$803,$AF55)="","",INDEX(파견수련계획!$H$4:$H$803,$AF55)))</f>
        <v/>
      </c>
      <c r="T55" s="11">
        <f>IF($AF55="","",IF(INDEX(파견수련계획!$I$4:$I$803,$AF55)="","",INDEX(파견수련계획!$I$4:$I$803,$AF55)))</f>
        <v/>
      </c>
      <c r="U55" s="10">
        <f>IF($AF55="","",INDEX(파견수련계획!$X$4:$X$803,$AF55))</f>
        <v/>
      </c>
      <c r="V55" s="17">
        <f>IF($AF55="","",INDEX(파견수련계획!$V$4:$V$803,$AF55))</f>
        <v/>
      </c>
      <c r="W55" s="17">
        <f>IF(AND($U55="파견중",$T55&lt;&gt;""),$T55-TODAY(),"")</f>
        <v/>
      </c>
      <c r="X55" s="17">
        <f>IF(OR($B55="",TRIM($J55&amp;"")=""),"",SUMPRODUCT((파견수련계획!$Q$4:$Q$803=TRIM($J55&amp;""))*파견수련계획!$W$4:$W$803))</f>
        <v/>
      </c>
      <c r="Y55" s="10">
        <f>IF($B55="","",IF($AG55="","",IF(IF(TRIM($J55&amp;"")="",0,SUMPRODUCT((파견수련계획!$Q$4:$Q$803=TRIM($J55&amp;""))*파견수련계획!$AD$4:$AD$803)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"&amp;$AI55&amp;"일)")),IF($AJ55="",$AE55,IF(INDEX(파견수련계획!$T$4:$T$803,$AJ55)="통합수련",INDEX(파견수련계획!$S$4:$S$803,$AJ55),$AE55)))))))</f>
        <v/>
      </c>
      <c r="Z55" s="19">
        <f>IF($B55="","",IF($AB55="","기본자료에 없는 사번",IF(COUNTIF($B$2:$B$401,$B55)&gt;1,"중복 사번",IF($AE55="","소속(입사장소) 입력",IF(IF(TRIM($J55&amp;"")="",0,SUMPRODUCT((파견수련계획!$Q$4:$Q$803=TRIM($J55&amp;""))*(파견수련계획!$AA$4:$AA$803&lt;&gt;"")))&gt;0,"파견수련계획 입력오류 확인",IF(LEFT($Y55,1)="⚠","서울·구리 15일 판정 불가(양쪽 모두 이상/미만)",IF(IF($AC55="",0,N(INDEX(인턴근무계획!$T$3:$T$402,$AC55)))&gt;0,"인턴계획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IF($B55="","",IFERROR(MATCH($B55,기본자료!$B$2:$B$1001,0),IFERROR(MATCH($B55&amp;"",기본자료!$B$2:$B$1001,0),IFERROR(MATCH(VALUE($B55),기본자료!$B$2:$B$1001,0),""))))</f>
        <v/>
      </c>
      <c r="AC55" s="10">
        <f>IF($B55="","",IFERROR(MATCH($B55,인턴근무계획!$D$3:$D$402,0),IFERROR(MATCH($B55&amp;"",인턴근무계획!$D$3:$D$402,0),IFERROR(MATCH(VALUE($B55),인턴근무계획!$D$3:$D$402,0),""))))</f>
        <v/>
      </c>
      <c r="AD55" s="10">
        <f>IF(OR($AC55="",인턴현황!$G$3=""),"",INDEX(인턴근무계획!$M$3:$R$402,$AC55,인턴현황!$G$3)&amp;"")</f>
        <v/>
      </c>
      <c r="AE55" s="10">
        <f>IF($B55="","",IF($M55&lt;&gt;"",$M55,IF($AF55&lt;&gt;"",IF(LEFT(INDEX(파견수련계획!$R$4:$R$803,$AF55),1)&lt;&gt;"⚠",INDEX(파견수련계획!$R$4:$R$803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$803,0),IFERROR(MATCH(TRIM($J55&amp;"")&amp;"|파견예정",파견수련계획!$Y$4:$Y$803,0),IFERROR(MATCH(TRIM($J55&amp;"")&amp;"|파견종료",파견수련계획!$Y$4:$Y$803,0),""))))</f>
        <v/>
      </c>
      <c r="AG55" s="10">
        <f>IF($B55="","",IF(AND(IF(OR($AC55="",인턴현황!$K$2=""),"",INDEX(인턴근무계획!$M$3:$R$402,$AC55,인턴현황!$K$2)&amp;"")&lt;&gt;"",LEFT(IF(OR($AC55="",인턴현황!$K$2=""),"",INDEX(인턴근무계획!$M$3:$R$402,$AC55,인턴현황!$K$2)&amp;""),1)&lt;&gt;"⚠"),LEFT(IF(OR($AC55="",인턴현황!$K$2=""),"",INDEX(인턴근무계획!$M$3:$R$402,$AC55,인턴현황!$K$2)&amp;""),FIND(" ",IF(OR($AC55="",인턴현황!$K$2=""),"",INDEX(인턴근무계획!$M$3:$R$402,$AC55,인턴현황!$K$2)&amp;""))-1),$AE55))</f>
        <v/>
      </c>
      <c r="AH55" s="17">
        <f>IF($B55="","",IF(TRIM($J55&amp;"")="",0,SUMPRODUCT((파견수련계획!$Q$4:$Q$803=TRIM($J55&amp;""))*(파견수련계획!$S$4:$S$803="서울병원")*파견수련계획!$W$4:$W$803))+IF($AG55="서울병원",MAX(0,DAY(EOMONTH(요약!$B$3,0))-N($X55)),0))</f>
        <v/>
      </c>
      <c r="AI55" s="17">
        <f>IF($B55="","",IF(TRIM($J55&amp;"")="",0,SUMPRODUCT((파견수련계획!$Q$4:$Q$803=TRIM($J55&amp;""))*(파견수련계획!$S$4:$S$803="구리병원")*파견수련계획!$W$4:$W$803))+IF($AG55="구리병원",MAX(0,DAY(EOMONTH(요약!$B$3,0))-N($X55)),0))</f>
        <v/>
      </c>
      <c r="AJ55" s="10">
        <f>IF(OR($B55="",TRIM($J55&amp;"")=""),"",IFERROR(MATCH(TRIM($J55&amp;"")&amp;"|월",파견수련계획!$Z$4:$Z$803,0),""))</f>
        <v/>
      </c>
      <c r="AK55" s="10">
        <f>IF(OR($B55="",TRIM($J55&amp;"")=""),"",IFERROR(MATCH(TRIM($J55&amp;"")&amp;"|다기관",파견수련계획!$AE$4:$AE$803,0),""))</f>
        <v/>
      </c>
      <c r="AL55" s="10">
        <f>IF($AK55="","","다기관 "&amp;TEXT(INDEX(파견수련계획!$AB$4:$AB$803,$AK55),"yyyy-mm-dd")&amp;"~"&amp;IF(ISNUMBER(INDEX(파견수련계획!$AC$4:$AC$803,$AK55)),TEXT(INDEX(파견수련계획!$AC$4:$AC$803,$AK55),"yyyy-mm-dd"),""))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IF($AB56="","",IF(INDEX(기본자료!$C$2:$C$1001,$AB56)="","",INDEX(기본자료!$C$2:$C$1001,$AB56)))</f>
        <v/>
      </c>
      <c r="D56" s="10">
        <f>IF($AB56="","",IF(INDEX(기본자료!$J$2:$J$1001,$AB56)="","",INDEX(기본자료!$J$2:$J$1001,$AB56)))</f>
        <v/>
      </c>
      <c r="E56" s="11">
        <f>IF($AB56="","",IF(INDEX(기본자료!$K$2:$K$1001,$AB56)="","",IF(NOT(ISNUMBER(INDEX(기본자료!$K$2:$K$1001,$AB56))),INDEX(기본자료!$K$2:$K$1001,$AB56),IF(INDEX(기본자료!$K$2:$K$1001,$AB56)&lt;1000000,INDEX(기본자료!$K$2:$K$1001,$AB56),IF(AND(INDEX(기본자료!$K$2:$K$1001,$AB56)&gt;=10000101,INT(MOD(INDEX(기본자료!$K$2:$K$1001,$AB56),10000)/100)&gt;=1,INT(MOD(INDEX(기본자료!$K$2:$K$1001,$AB56),10000)/100)&lt;=12,MOD(INDEX(기본자료!$K$2:$K$1001,$AB56),100)&gt;=1,MOD(INDEX(기본자료!$K$2:$K$1001,$AB56),100)&lt;=31),DATE(INT(INDEX(기본자료!$K$2:$K$1001,$AB56)/10000),INT(MOD(INDEX(기본자료!$K$2:$K$1001,$AB56),10000)/100),MOD(INDEX(기본자료!$K$2:$K$1001,$AB56),100)),INDEX(기본자료!$K$2:$K$1001,$AB56)&amp;"")))))</f>
        <v/>
      </c>
      <c r="F56" s="10">
        <f>IF($AB56="","",IF(INDEX(기본자료!$D$2:$D$1001,$AB56)="","",INDEX(기본자료!$D$2:$D$1001,$AB56)))</f>
        <v/>
      </c>
      <c r="G56" s="10">
        <f>IF($AB56="","",IF(INDEX(기본자료!$E$2:$E$1001,$AB56)="","",INDEX(기본자료!$E$2:$E$1001,$AB56)))</f>
        <v/>
      </c>
      <c r="H56" s="10">
        <f>IF($AB56="","",IF(INDEX(기본자료!$F$2:$F$1001,$AB56)="","",INDEX(기본자료!$F$2:$F$1001,$AB56)))</f>
        <v/>
      </c>
      <c r="I56" s="11">
        <f>IF($AB56="","",IF(INDEX(기본자료!$G$2:$G$1001,$AB56)="","",IF(NOT(ISNUMBER(INDEX(기본자료!$G$2:$G$1001,$AB56))),INDEX(기본자료!$G$2:$G$1001,$AB56),IF(INDEX(기본자료!$G$2:$G$1001,$AB56)&lt;1000000,INDEX(기본자료!$G$2:$G$1001,$AB56),IF(AND(INDEX(기본자료!$G$2:$G$1001,$AB56)&gt;=10000101,INT(MOD(INDEX(기본자료!$G$2:$G$1001,$AB56),10000)/100)&gt;=1,INT(MOD(INDEX(기본자료!$G$2:$G$1001,$AB56),10000)/100)&lt;=12,MOD(INDEX(기본자료!$G$2:$G$1001,$AB56),100)&gt;=1,MOD(INDEX(기본자료!$G$2:$G$1001,$AB56),100)&lt;=31),DATE(INT(INDEX(기본자료!$G$2:$G$1001,$AB56)/10000),INT(MOD(INDEX(기본자료!$G$2:$G$1001,$AB56),10000)/100),MOD(INDEX(기본자료!$G$2:$G$1001,$AB56),100)),INDEX(기본자료!$G$2:$G$1001,$AB56)&amp;"")))))</f>
        <v/>
      </c>
      <c r="J56" s="10">
        <f>IF($AB56="","",IF(INDEX(기본자료!$H$2:$H$1001,$AB56)="","",INDEX(기본자료!$H$2:$H$1001,$AB56)))</f>
        <v/>
      </c>
      <c r="K56" s="10">
        <f>IF($AB56="","",IF(INDEX(기본자료!$I$2:$I$1001,$AB56)="","",INDEX(기본자료!$I$2:$I$1001,$AB56)))</f>
        <v/>
      </c>
      <c r="L56" s="10">
        <f>IF($AB56="","",IF(INDEX(기본자료!$A$2:$A$1001,$AB56)="","",INDEX(기본자료!$A$2:$A$1001,$AB56)))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$803,$AK56),OR(NOT(ISNUMBER(INDEX(파견수련계획!$AC$4:$AC$803,$AK56))),TODAY()&lt;=INDEX(파견수련계획!$AC$4:$AC$803,$AK56))),"다기관",IF($AF56="","",INDEX(파견수련계획!$T$4:$T$803,$AF56))),IF($AF56="","",INDEX(파견수련계획!$T$4:$T$803,$AF56))))</f>
        <v/>
      </c>
      <c r="Q56" s="10">
        <f>IF($AF56="","",INDEX(파견수련계획!$S$4:$S$803,$AF56))</f>
        <v/>
      </c>
      <c r="R56" s="10">
        <f>IF($AF56="","",INDEX(파견수련계획!$U$4:$U$803,$AF56))</f>
        <v/>
      </c>
      <c r="S56" s="11">
        <f>IF($AF56="","",IF(INDEX(파견수련계획!$H$4:$H$803,$AF56)="","",INDEX(파견수련계획!$H$4:$H$803,$AF56)))</f>
        <v/>
      </c>
      <c r="T56" s="11">
        <f>IF($AF56="","",IF(INDEX(파견수련계획!$I$4:$I$803,$AF56)="","",INDEX(파견수련계획!$I$4:$I$803,$AF56)))</f>
        <v/>
      </c>
      <c r="U56" s="10">
        <f>IF($AF56="","",INDEX(파견수련계획!$X$4:$X$803,$AF56))</f>
        <v/>
      </c>
      <c r="V56" s="17">
        <f>IF($AF56="","",INDEX(파견수련계획!$V$4:$V$803,$AF56))</f>
        <v/>
      </c>
      <c r="W56" s="17">
        <f>IF(AND($U56="파견중",$T56&lt;&gt;""),$T56-TODAY(),"")</f>
        <v/>
      </c>
      <c r="X56" s="17">
        <f>IF(OR($B56="",TRIM($J56&amp;"")=""),"",SUMPRODUCT((파견수련계획!$Q$4:$Q$803=TRIM($J56&amp;""))*파견수련계획!$W$4:$W$803))</f>
        <v/>
      </c>
      <c r="Y56" s="10">
        <f>IF($B56="","",IF($AG56="","",IF(IF(TRIM($J56&amp;"")="",0,SUMPRODUCT((파견수련계획!$Q$4:$Q$803=TRIM($J56&amp;""))*파견수련계획!$AD$4:$AD$803)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"&amp;$AI56&amp;"일)")),IF($AJ56="",$AE56,IF(INDEX(파견수련계획!$T$4:$T$803,$AJ56)="통합수련",INDEX(파견수련계획!$S$4:$S$803,$AJ56),$AE56)))))))</f>
        <v/>
      </c>
      <c r="Z56" s="19">
        <f>IF($B56="","",IF($AB56="","기본자료에 없는 사번",IF(COUNTIF($B$2:$B$401,$B56)&gt;1,"중복 사번",IF($AE56="","소속(입사장소) 입력",IF(IF(TRIM($J56&amp;"")="",0,SUMPRODUCT((파견수련계획!$Q$4:$Q$803=TRIM($J56&amp;""))*(파견수련계획!$AA$4:$AA$803&lt;&gt;"")))&gt;0,"파견수련계획 입력오류 확인",IF(LEFT($Y56,1)="⚠","서울·구리 15일 판정 불가(양쪽 모두 이상/미만)",IF(IF($AC56="",0,N(INDEX(인턴근무계획!$T$3:$T$402,$AC56)))&gt;0,"인턴계획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IF($B56="","",IFERROR(MATCH($B56,기본자료!$B$2:$B$1001,0),IFERROR(MATCH($B56&amp;"",기본자료!$B$2:$B$1001,0),IFERROR(MATCH(VALUE($B56),기본자료!$B$2:$B$1001,0),""))))</f>
        <v/>
      </c>
      <c r="AC56" s="10">
        <f>IF($B56="","",IFERROR(MATCH($B56,인턴근무계획!$D$3:$D$402,0),IFERROR(MATCH($B56&amp;"",인턴근무계획!$D$3:$D$402,0),IFERROR(MATCH(VALUE($B56),인턴근무계획!$D$3:$D$402,0),""))))</f>
        <v/>
      </c>
      <c r="AD56" s="10">
        <f>IF(OR($AC56="",인턴현황!$G$3=""),"",INDEX(인턴근무계획!$M$3:$R$402,$AC56,인턴현황!$G$3)&amp;"")</f>
        <v/>
      </c>
      <c r="AE56" s="10">
        <f>IF($B56="","",IF($M56&lt;&gt;"",$M56,IF($AF56&lt;&gt;"",IF(LEFT(INDEX(파견수련계획!$R$4:$R$803,$AF56),1)&lt;&gt;"⚠",INDEX(파견수련계획!$R$4:$R$803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$803,0),IFERROR(MATCH(TRIM($J56&amp;"")&amp;"|파견예정",파견수련계획!$Y$4:$Y$803,0),IFERROR(MATCH(TRIM($J56&amp;"")&amp;"|파견종료",파견수련계획!$Y$4:$Y$803,0),""))))</f>
        <v/>
      </c>
      <c r="AG56" s="10">
        <f>IF($B56="","",IF(AND(IF(OR($AC56="",인턴현황!$K$2=""),"",INDEX(인턴근무계획!$M$3:$R$402,$AC56,인턴현황!$K$2)&amp;"")&lt;&gt;"",LEFT(IF(OR($AC56="",인턴현황!$K$2=""),"",INDEX(인턴근무계획!$M$3:$R$402,$AC56,인턴현황!$K$2)&amp;""),1)&lt;&gt;"⚠"),LEFT(IF(OR($AC56="",인턴현황!$K$2=""),"",INDEX(인턴근무계획!$M$3:$R$402,$AC56,인턴현황!$K$2)&amp;""),FIND(" ",IF(OR($AC56="",인턴현황!$K$2=""),"",INDEX(인턴근무계획!$M$3:$R$402,$AC56,인턴현황!$K$2)&amp;""))-1),$AE56))</f>
        <v/>
      </c>
      <c r="AH56" s="17">
        <f>IF($B56="","",IF(TRIM($J56&amp;"")="",0,SUMPRODUCT((파견수련계획!$Q$4:$Q$803=TRIM($J56&amp;""))*(파견수련계획!$S$4:$S$803="서울병원")*파견수련계획!$W$4:$W$803))+IF($AG56="서울병원",MAX(0,DAY(EOMONTH(요약!$B$3,0))-N($X56)),0))</f>
        <v/>
      </c>
      <c r="AI56" s="17">
        <f>IF($B56="","",IF(TRIM($J56&amp;"")="",0,SUMPRODUCT((파견수련계획!$Q$4:$Q$803=TRIM($J56&amp;""))*(파견수련계획!$S$4:$S$803="구리병원")*파견수련계획!$W$4:$W$803))+IF($AG56="구리병원",MAX(0,DAY(EOMONTH(요약!$B$3,0))-N($X56)),0))</f>
        <v/>
      </c>
      <c r="AJ56" s="10">
        <f>IF(OR($B56="",TRIM($J56&amp;"")=""),"",IFERROR(MATCH(TRIM($J56&amp;"")&amp;"|월",파견수련계획!$Z$4:$Z$803,0),""))</f>
        <v/>
      </c>
      <c r="AK56" s="10">
        <f>IF(OR($B56="",TRIM($J56&amp;"")=""),"",IFERROR(MATCH(TRIM($J56&amp;"")&amp;"|다기관",파견수련계획!$AE$4:$AE$803,0),""))</f>
        <v/>
      </c>
      <c r="AL56" s="10">
        <f>IF($AK56="","","다기관 "&amp;TEXT(INDEX(파견수련계획!$AB$4:$AB$803,$AK56),"yyyy-mm-dd")&amp;"~"&amp;IF(ISNUMBER(INDEX(파견수련계획!$AC$4:$AC$803,$AK56)),TEXT(INDEX(파견수련계획!$AC$4:$AC$803,$AK56),"yyyy-mm-dd"),""))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IF($AB57="","",IF(INDEX(기본자료!$C$2:$C$1001,$AB57)="","",INDEX(기본자료!$C$2:$C$1001,$AB57)))</f>
        <v/>
      </c>
      <c r="D57" s="10">
        <f>IF($AB57="","",IF(INDEX(기본자료!$J$2:$J$1001,$AB57)="","",INDEX(기본자료!$J$2:$J$1001,$AB57)))</f>
        <v/>
      </c>
      <c r="E57" s="11">
        <f>IF($AB57="","",IF(INDEX(기본자료!$K$2:$K$1001,$AB57)="","",IF(NOT(ISNUMBER(INDEX(기본자료!$K$2:$K$1001,$AB57))),INDEX(기본자료!$K$2:$K$1001,$AB57),IF(INDEX(기본자료!$K$2:$K$1001,$AB57)&lt;1000000,INDEX(기본자료!$K$2:$K$1001,$AB57),IF(AND(INDEX(기본자료!$K$2:$K$1001,$AB57)&gt;=10000101,INT(MOD(INDEX(기본자료!$K$2:$K$1001,$AB57),10000)/100)&gt;=1,INT(MOD(INDEX(기본자료!$K$2:$K$1001,$AB57),10000)/100)&lt;=12,MOD(INDEX(기본자료!$K$2:$K$1001,$AB57),100)&gt;=1,MOD(INDEX(기본자료!$K$2:$K$1001,$AB57),100)&lt;=31),DATE(INT(INDEX(기본자료!$K$2:$K$1001,$AB57)/10000),INT(MOD(INDEX(기본자료!$K$2:$K$1001,$AB57),10000)/100),MOD(INDEX(기본자료!$K$2:$K$1001,$AB57),100)),INDEX(기본자료!$K$2:$K$1001,$AB57)&amp;"")))))</f>
        <v/>
      </c>
      <c r="F57" s="10">
        <f>IF($AB57="","",IF(INDEX(기본자료!$D$2:$D$1001,$AB57)="","",INDEX(기본자료!$D$2:$D$1001,$AB57)))</f>
        <v/>
      </c>
      <c r="G57" s="10">
        <f>IF($AB57="","",IF(INDEX(기본자료!$E$2:$E$1001,$AB57)="","",INDEX(기본자료!$E$2:$E$1001,$AB57)))</f>
        <v/>
      </c>
      <c r="H57" s="10">
        <f>IF($AB57="","",IF(INDEX(기본자료!$F$2:$F$1001,$AB57)="","",INDEX(기본자료!$F$2:$F$1001,$AB57)))</f>
        <v/>
      </c>
      <c r="I57" s="11">
        <f>IF($AB57="","",IF(INDEX(기본자료!$G$2:$G$1001,$AB57)="","",IF(NOT(ISNUMBER(INDEX(기본자료!$G$2:$G$1001,$AB57))),INDEX(기본자료!$G$2:$G$1001,$AB57),IF(INDEX(기본자료!$G$2:$G$1001,$AB57)&lt;1000000,INDEX(기본자료!$G$2:$G$1001,$AB57),IF(AND(INDEX(기본자료!$G$2:$G$1001,$AB57)&gt;=10000101,INT(MOD(INDEX(기본자료!$G$2:$G$1001,$AB57),10000)/100)&gt;=1,INT(MOD(INDEX(기본자료!$G$2:$G$1001,$AB57),10000)/100)&lt;=12,MOD(INDEX(기본자료!$G$2:$G$1001,$AB57),100)&gt;=1,MOD(INDEX(기본자료!$G$2:$G$1001,$AB57),100)&lt;=31),DATE(INT(INDEX(기본자료!$G$2:$G$1001,$AB57)/10000),INT(MOD(INDEX(기본자료!$G$2:$G$1001,$AB57),10000)/100),MOD(INDEX(기본자료!$G$2:$G$1001,$AB57),100)),INDEX(기본자료!$G$2:$G$1001,$AB57)&amp;"")))))</f>
        <v/>
      </c>
      <c r="J57" s="10">
        <f>IF($AB57="","",IF(INDEX(기본자료!$H$2:$H$1001,$AB57)="","",INDEX(기본자료!$H$2:$H$1001,$AB57)))</f>
        <v/>
      </c>
      <c r="K57" s="10">
        <f>IF($AB57="","",IF(INDEX(기본자료!$I$2:$I$1001,$AB57)="","",INDEX(기본자료!$I$2:$I$1001,$AB57)))</f>
        <v/>
      </c>
      <c r="L57" s="10">
        <f>IF($AB57="","",IF(INDEX(기본자료!$A$2:$A$1001,$AB57)="","",INDEX(기본자료!$A$2:$A$1001,$AB57)))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$803,$AK57),OR(NOT(ISNUMBER(INDEX(파견수련계획!$AC$4:$AC$803,$AK57))),TODAY()&lt;=INDEX(파견수련계획!$AC$4:$AC$803,$AK57))),"다기관",IF($AF57="","",INDEX(파견수련계획!$T$4:$T$803,$AF57))),IF($AF57="","",INDEX(파견수련계획!$T$4:$T$803,$AF57))))</f>
        <v/>
      </c>
      <c r="Q57" s="10">
        <f>IF($AF57="","",INDEX(파견수련계획!$S$4:$S$803,$AF57))</f>
        <v/>
      </c>
      <c r="R57" s="10">
        <f>IF($AF57="","",INDEX(파견수련계획!$U$4:$U$803,$AF57))</f>
        <v/>
      </c>
      <c r="S57" s="11">
        <f>IF($AF57="","",IF(INDEX(파견수련계획!$H$4:$H$803,$AF57)="","",INDEX(파견수련계획!$H$4:$H$803,$AF57)))</f>
        <v/>
      </c>
      <c r="T57" s="11">
        <f>IF($AF57="","",IF(INDEX(파견수련계획!$I$4:$I$803,$AF57)="","",INDEX(파견수련계획!$I$4:$I$803,$AF57)))</f>
        <v/>
      </c>
      <c r="U57" s="10">
        <f>IF($AF57="","",INDEX(파견수련계획!$X$4:$X$803,$AF57))</f>
        <v/>
      </c>
      <c r="V57" s="17">
        <f>IF($AF57="","",INDEX(파견수련계획!$V$4:$V$803,$AF57))</f>
        <v/>
      </c>
      <c r="W57" s="17">
        <f>IF(AND($U57="파견중",$T57&lt;&gt;""),$T57-TODAY(),"")</f>
        <v/>
      </c>
      <c r="X57" s="17">
        <f>IF(OR($B57="",TRIM($J57&amp;"")=""),"",SUMPRODUCT((파견수련계획!$Q$4:$Q$803=TRIM($J57&amp;""))*파견수련계획!$W$4:$W$803))</f>
        <v/>
      </c>
      <c r="Y57" s="10">
        <f>IF($B57="","",IF($AG57="","",IF(IF(TRIM($J57&amp;"")="",0,SUMPRODUCT((파견수련계획!$Q$4:$Q$803=TRIM($J57&amp;""))*파견수련계획!$AD$4:$AD$803)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"&amp;$AI57&amp;"일)")),IF($AJ57="",$AE57,IF(INDEX(파견수련계획!$T$4:$T$803,$AJ57)="통합수련",INDEX(파견수련계획!$S$4:$S$803,$AJ57),$AE57)))))))</f>
        <v/>
      </c>
      <c r="Z57" s="19">
        <f>IF($B57="","",IF($AB57="","기본자료에 없는 사번",IF(COUNTIF($B$2:$B$401,$B57)&gt;1,"중복 사번",IF($AE57="","소속(입사장소) 입력",IF(IF(TRIM($J57&amp;"")="",0,SUMPRODUCT((파견수련계획!$Q$4:$Q$803=TRIM($J57&amp;""))*(파견수련계획!$AA$4:$AA$803&lt;&gt;"")))&gt;0,"파견수련계획 입력오류 확인",IF(LEFT($Y57,1)="⚠","서울·구리 15일 판정 불가(양쪽 모두 이상/미만)",IF(IF($AC57="",0,N(INDEX(인턴근무계획!$T$3:$T$402,$AC57)))&gt;0,"인턴계획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IF($B57="","",IFERROR(MATCH($B57,기본자료!$B$2:$B$1001,0),IFERROR(MATCH($B57&amp;"",기본자료!$B$2:$B$1001,0),IFERROR(MATCH(VALUE($B57),기본자료!$B$2:$B$1001,0),""))))</f>
        <v/>
      </c>
      <c r="AC57" s="10">
        <f>IF($B57="","",IFERROR(MATCH($B57,인턴근무계획!$D$3:$D$402,0),IFERROR(MATCH($B57&amp;"",인턴근무계획!$D$3:$D$402,0),IFERROR(MATCH(VALUE($B57),인턴근무계획!$D$3:$D$402,0),""))))</f>
        <v/>
      </c>
      <c r="AD57" s="10">
        <f>IF(OR($AC57="",인턴현황!$G$3=""),"",INDEX(인턴근무계획!$M$3:$R$402,$AC57,인턴현황!$G$3)&amp;"")</f>
        <v/>
      </c>
      <c r="AE57" s="10">
        <f>IF($B57="","",IF($M57&lt;&gt;"",$M57,IF($AF57&lt;&gt;"",IF(LEFT(INDEX(파견수련계획!$R$4:$R$803,$AF57),1)&lt;&gt;"⚠",INDEX(파견수련계획!$R$4:$R$803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$803,0),IFERROR(MATCH(TRIM($J57&amp;"")&amp;"|파견예정",파견수련계획!$Y$4:$Y$803,0),IFERROR(MATCH(TRIM($J57&amp;"")&amp;"|파견종료",파견수련계획!$Y$4:$Y$803,0),""))))</f>
        <v/>
      </c>
      <c r="AG57" s="10">
        <f>IF($B57="","",IF(AND(IF(OR($AC57="",인턴현황!$K$2=""),"",INDEX(인턴근무계획!$M$3:$R$402,$AC57,인턴현황!$K$2)&amp;"")&lt;&gt;"",LEFT(IF(OR($AC57="",인턴현황!$K$2=""),"",INDEX(인턴근무계획!$M$3:$R$402,$AC57,인턴현황!$K$2)&amp;""),1)&lt;&gt;"⚠"),LEFT(IF(OR($AC57="",인턴현황!$K$2=""),"",INDEX(인턴근무계획!$M$3:$R$402,$AC57,인턴현황!$K$2)&amp;""),FIND(" ",IF(OR($AC57="",인턴현황!$K$2=""),"",INDEX(인턴근무계획!$M$3:$R$402,$AC57,인턴현황!$K$2)&amp;""))-1),$AE57))</f>
        <v/>
      </c>
      <c r="AH57" s="17">
        <f>IF($B57="","",IF(TRIM($J57&amp;"")="",0,SUMPRODUCT((파견수련계획!$Q$4:$Q$803=TRIM($J57&amp;""))*(파견수련계획!$S$4:$S$803="서울병원")*파견수련계획!$W$4:$W$803))+IF($AG57="서울병원",MAX(0,DAY(EOMONTH(요약!$B$3,0))-N($X57)),0))</f>
        <v/>
      </c>
      <c r="AI57" s="17">
        <f>IF($B57="","",IF(TRIM($J57&amp;"")="",0,SUMPRODUCT((파견수련계획!$Q$4:$Q$803=TRIM($J57&amp;""))*(파견수련계획!$S$4:$S$803="구리병원")*파견수련계획!$W$4:$W$803))+IF($AG57="구리병원",MAX(0,DAY(EOMONTH(요약!$B$3,0))-N($X57)),0))</f>
        <v/>
      </c>
      <c r="AJ57" s="10">
        <f>IF(OR($B57="",TRIM($J57&amp;"")=""),"",IFERROR(MATCH(TRIM($J57&amp;"")&amp;"|월",파견수련계획!$Z$4:$Z$803,0),""))</f>
        <v/>
      </c>
      <c r="AK57" s="10">
        <f>IF(OR($B57="",TRIM($J57&amp;"")=""),"",IFERROR(MATCH(TRIM($J57&amp;"")&amp;"|다기관",파견수련계획!$AE$4:$AE$803,0),""))</f>
        <v/>
      </c>
      <c r="AL57" s="10">
        <f>IF($AK57="","","다기관 "&amp;TEXT(INDEX(파견수련계획!$AB$4:$AB$803,$AK57),"yyyy-mm-dd")&amp;"~"&amp;IF(ISNUMBER(INDEX(파견수련계획!$AC$4:$AC$803,$AK57)),TEXT(INDEX(파견수련계획!$AC$4:$AC$803,$AK57),"yyyy-mm-dd"),""))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IF($AB58="","",IF(INDEX(기본자료!$C$2:$C$1001,$AB58)="","",INDEX(기본자료!$C$2:$C$1001,$AB58)))</f>
        <v/>
      </c>
      <c r="D58" s="10">
        <f>IF($AB58="","",IF(INDEX(기본자료!$J$2:$J$1001,$AB58)="","",INDEX(기본자료!$J$2:$J$1001,$AB58)))</f>
        <v/>
      </c>
      <c r="E58" s="11">
        <f>IF($AB58="","",IF(INDEX(기본자료!$K$2:$K$1001,$AB58)="","",IF(NOT(ISNUMBER(INDEX(기본자료!$K$2:$K$1001,$AB58))),INDEX(기본자료!$K$2:$K$1001,$AB58),IF(INDEX(기본자료!$K$2:$K$1001,$AB58)&lt;1000000,INDEX(기본자료!$K$2:$K$1001,$AB58),IF(AND(INDEX(기본자료!$K$2:$K$1001,$AB58)&gt;=10000101,INT(MOD(INDEX(기본자료!$K$2:$K$1001,$AB58),10000)/100)&gt;=1,INT(MOD(INDEX(기본자료!$K$2:$K$1001,$AB58),10000)/100)&lt;=12,MOD(INDEX(기본자료!$K$2:$K$1001,$AB58),100)&gt;=1,MOD(INDEX(기본자료!$K$2:$K$1001,$AB58),100)&lt;=31),DATE(INT(INDEX(기본자료!$K$2:$K$1001,$AB58)/10000),INT(MOD(INDEX(기본자료!$K$2:$K$1001,$AB58),10000)/100),MOD(INDEX(기본자료!$K$2:$K$1001,$AB58),100)),INDEX(기본자료!$K$2:$K$1001,$AB58)&amp;"")))))</f>
        <v/>
      </c>
      <c r="F58" s="10">
        <f>IF($AB58="","",IF(INDEX(기본자료!$D$2:$D$1001,$AB58)="","",INDEX(기본자료!$D$2:$D$1001,$AB58)))</f>
        <v/>
      </c>
      <c r="G58" s="10">
        <f>IF($AB58="","",IF(INDEX(기본자료!$E$2:$E$1001,$AB58)="","",INDEX(기본자료!$E$2:$E$1001,$AB58)))</f>
        <v/>
      </c>
      <c r="H58" s="10">
        <f>IF($AB58="","",IF(INDEX(기본자료!$F$2:$F$1001,$AB58)="","",INDEX(기본자료!$F$2:$F$1001,$AB58)))</f>
        <v/>
      </c>
      <c r="I58" s="11">
        <f>IF($AB58="","",IF(INDEX(기본자료!$G$2:$G$1001,$AB58)="","",IF(NOT(ISNUMBER(INDEX(기본자료!$G$2:$G$1001,$AB58))),INDEX(기본자료!$G$2:$G$1001,$AB58),IF(INDEX(기본자료!$G$2:$G$1001,$AB58)&lt;1000000,INDEX(기본자료!$G$2:$G$1001,$AB58),IF(AND(INDEX(기본자료!$G$2:$G$1001,$AB58)&gt;=10000101,INT(MOD(INDEX(기본자료!$G$2:$G$1001,$AB58),10000)/100)&gt;=1,INT(MOD(INDEX(기본자료!$G$2:$G$1001,$AB58),10000)/100)&lt;=12,MOD(INDEX(기본자료!$G$2:$G$1001,$AB58),100)&gt;=1,MOD(INDEX(기본자료!$G$2:$G$1001,$AB58),100)&lt;=31),DATE(INT(INDEX(기본자료!$G$2:$G$1001,$AB58)/10000),INT(MOD(INDEX(기본자료!$G$2:$G$1001,$AB58),10000)/100),MOD(INDEX(기본자료!$G$2:$G$1001,$AB58),100)),INDEX(기본자료!$G$2:$G$1001,$AB58)&amp;"")))))</f>
        <v/>
      </c>
      <c r="J58" s="10">
        <f>IF($AB58="","",IF(INDEX(기본자료!$H$2:$H$1001,$AB58)="","",INDEX(기본자료!$H$2:$H$1001,$AB58)))</f>
        <v/>
      </c>
      <c r="K58" s="10">
        <f>IF($AB58="","",IF(INDEX(기본자료!$I$2:$I$1001,$AB58)="","",INDEX(기본자료!$I$2:$I$1001,$AB58)))</f>
        <v/>
      </c>
      <c r="L58" s="10">
        <f>IF($AB58="","",IF(INDEX(기본자료!$A$2:$A$1001,$AB58)="","",INDEX(기본자료!$A$2:$A$1001,$AB58)))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$803,$AK58),OR(NOT(ISNUMBER(INDEX(파견수련계획!$AC$4:$AC$803,$AK58))),TODAY()&lt;=INDEX(파견수련계획!$AC$4:$AC$803,$AK58))),"다기관",IF($AF58="","",INDEX(파견수련계획!$T$4:$T$803,$AF58))),IF($AF58="","",INDEX(파견수련계획!$T$4:$T$803,$AF58))))</f>
        <v/>
      </c>
      <c r="Q58" s="10">
        <f>IF($AF58="","",INDEX(파견수련계획!$S$4:$S$803,$AF58))</f>
        <v/>
      </c>
      <c r="R58" s="10">
        <f>IF($AF58="","",INDEX(파견수련계획!$U$4:$U$803,$AF58))</f>
        <v/>
      </c>
      <c r="S58" s="11">
        <f>IF($AF58="","",IF(INDEX(파견수련계획!$H$4:$H$803,$AF58)="","",INDEX(파견수련계획!$H$4:$H$803,$AF58)))</f>
        <v/>
      </c>
      <c r="T58" s="11">
        <f>IF($AF58="","",IF(INDEX(파견수련계획!$I$4:$I$803,$AF58)="","",INDEX(파견수련계획!$I$4:$I$803,$AF58)))</f>
        <v/>
      </c>
      <c r="U58" s="10">
        <f>IF($AF58="","",INDEX(파견수련계획!$X$4:$X$803,$AF58))</f>
        <v/>
      </c>
      <c r="V58" s="17">
        <f>IF($AF58="","",INDEX(파견수련계획!$V$4:$V$803,$AF58))</f>
        <v/>
      </c>
      <c r="W58" s="17">
        <f>IF(AND($U58="파견중",$T58&lt;&gt;""),$T58-TODAY(),"")</f>
        <v/>
      </c>
      <c r="X58" s="17">
        <f>IF(OR($B58="",TRIM($J58&amp;"")=""),"",SUMPRODUCT((파견수련계획!$Q$4:$Q$803=TRIM($J58&amp;""))*파견수련계획!$W$4:$W$803))</f>
        <v/>
      </c>
      <c r="Y58" s="10">
        <f>IF($B58="","",IF($AG58="","",IF(IF(TRIM($J58&amp;"")="",0,SUMPRODUCT((파견수련계획!$Q$4:$Q$803=TRIM($J58&amp;""))*파견수련계획!$AD$4:$AD$803)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"&amp;$AI58&amp;"일)")),IF($AJ58="",$AE58,IF(INDEX(파견수련계획!$T$4:$T$803,$AJ58)="통합수련",INDEX(파견수련계획!$S$4:$S$803,$AJ58),$AE58)))))))</f>
        <v/>
      </c>
      <c r="Z58" s="19">
        <f>IF($B58="","",IF($AB58="","기본자료에 없는 사번",IF(COUNTIF($B$2:$B$401,$B58)&gt;1,"중복 사번",IF($AE58="","소속(입사장소) 입력",IF(IF(TRIM($J58&amp;"")="",0,SUMPRODUCT((파견수련계획!$Q$4:$Q$803=TRIM($J58&amp;""))*(파견수련계획!$AA$4:$AA$803&lt;&gt;"")))&gt;0,"파견수련계획 입력오류 확인",IF(LEFT($Y58,1)="⚠","서울·구리 15일 판정 불가(양쪽 모두 이상/미만)",IF(IF($AC58="",0,N(INDEX(인턴근무계획!$T$3:$T$402,$AC58)))&gt;0,"인턴계획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IF($B58="","",IFERROR(MATCH($B58,기본자료!$B$2:$B$1001,0),IFERROR(MATCH($B58&amp;"",기본자료!$B$2:$B$1001,0),IFERROR(MATCH(VALUE($B58),기본자료!$B$2:$B$1001,0),""))))</f>
        <v/>
      </c>
      <c r="AC58" s="10">
        <f>IF($B58="","",IFERROR(MATCH($B58,인턴근무계획!$D$3:$D$402,0),IFERROR(MATCH($B58&amp;"",인턴근무계획!$D$3:$D$402,0),IFERROR(MATCH(VALUE($B58),인턴근무계획!$D$3:$D$402,0),""))))</f>
        <v/>
      </c>
      <c r="AD58" s="10">
        <f>IF(OR($AC58="",인턴현황!$G$3=""),"",INDEX(인턴근무계획!$M$3:$R$402,$AC58,인턴현황!$G$3)&amp;"")</f>
        <v/>
      </c>
      <c r="AE58" s="10">
        <f>IF($B58="","",IF($M58&lt;&gt;"",$M58,IF($AF58&lt;&gt;"",IF(LEFT(INDEX(파견수련계획!$R$4:$R$803,$AF58),1)&lt;&gt;"⚠",INDEX(파견수련계획!$R$4:$R$803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$803,0),IFERROR(MATCH(TRIM($J58&amp;"")&amp;"|파견예정",파견수련계획!$Y$4:$Y$803,0),IFERROR(MATCH(TRIM($J58&amp;"")&amp;"|파견종료",파견수련계획!$Y$4:$Y$803,0),""))))</f>
        <v/>
      </c>
      <c r="AG58" s="10">
        <f>IF($B58="","",IF(AND(IF(OR($AC58="",인턴현황!$K$2=""),"",INDEX(인턴근무계획!$M$3:$R$402,$AC58,인턴현황!$K$2)&amp;"")&lt;&gt;"",LEFT(IF(OR($AC58="",인턴현황!$K$2=""),"",INDEX(인턴근무계획!$M$3:$R$402,$AC58,인턴현황!$K$2)&amp;""),1)&lt;&gt;"⚠"),LEFT(IF(OR($AC58="",인턴현황!$K$2=""),"",INDEX(인턴근무계획!$M$3:$R$402,$AC58,인턴현황!$K$2)&amp;""),FIND(" ",IF(OR($AC58="",인턴현황!$K$2=""),"",INDEX(인턴근무계획!$M$3:$R$402,$AC58,인턴현황!$K$2)&amp;""))-1),$AE58))</f>
        <v/>
      </c>
      <c r="AH58" s="17">
        <f>IF($B58="","",IF(TRIM($J58&amp;"")="",0,SUMPRODUCT((파견수련계획!$Q$4:$Q$803=TRIM($J58&amp;""))*(파견수련계획!$S$4:$S$803="서울병원")*파견수련계획!$W$4:$W$803))+IF($AG58="서울병원",MAX(0,DAY(EOMONTH(요약!$B$3,0))-N($X58)),0))</f>
        <v/>
      </c>
      <c r="AI58" s="17">
        <f>IF($B58="","",IF(TRIM($J58&amp;"")="",0,SUMPRODUCT((파견수련계획!$Q$4:$Q$803=TRIM($J58&amp;""))*(파견수련계획!$S$4:$S$803="구리병원")*파견수련계획!$W$4:$W$803))+IF($AG58="구리병원",MAX(0,DAY(EOMONTH(요약!$B$3,0))-N($X58)),0))</f>
        <v/>
      </c>
      <c r="AJ58" s="10">
        <f>IF(OR($B58="",TRIM($J58&amp;"")=""),"",IFERROR(MATCH(TRIM($J58&amp;"")&amp;"|월",파견수련계획!$Z$4:$Z$803,0),""))</f>
        <v/>
      </c>
      <c r="AK58" s="10">
        <f>IF(OR($B58="",TRIM($J58&amp;"")=""),"",IFERROR(MATCH(TRIM($J58&amp;"")&amp;"|다기관",파견수련계획!$AE$4:$AE$803,0),""))</f>
        <v/>
      </c>
      <c r="AL58" s="10">
        <f>IF($AK58="","","다기관 "&amp;TEXT(INDEX(파견수련계획!$AB$4:$AB$803,$AK58),"yyyy-mm-dd")&amp;"~"&amp;IF(ISNUMBER(INDEX(파견수련계획!$AC$4:$AC$803,$AK58)),TEXT(INDEX(파견수련계획!$AC$4:$AC$803,$AK58),"yyyy-mm-dd"),""))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IF($AB59="","",IF(INDEX(기본자료!$C$2:$C$1001,$AB59)="","",INDEX(기본자료!$C$2:$C$1001,$AB59)))</f>
        <v/>
      </c>
      <c r="D59" s="10">
        <f>IF($AB59="","",IF(INDEX(기본자료!$J$2:$J$1001,$AB59)="","",INDEX(기본자료!$J$2:$J$1001,$AB59)))</f>
        <v/>
      </c>
      <c r="E59" s="11">
        <f>IF($AB59="","",IF(INDEX(기본자료!$K$2:$K$1001,$AB59)="","",IF(NOT(ISNUMBER(INDEX(기본자료!$K$2:$K$1001,$AB59))),INDEX(기본자료!$K$2:$K$1001,$AB59),IF(INDEX(기본자료!$K$2:$K$1001,$AB59)&lt;1000000,INDEX(기본자료!$K$2:$K$1001,$AB59),IF(AND(INDEX(기본자료!$K$2:$K$1001,$AB59)&gt;=10000101,INT(MOD(INDEX(기본자료!$K$2:$K$1001,$AB59),10000)/100)&gt;=1,INT(MOD(INDEX(기본자료!$K$2:$K$1001,$AB59),10000)/100)&lt;=12,MOD(INDEX(기본자료!$K$2:$K$1001,$AB59),100)&gt;=1,MOD(INDEX(기본자료!$K$2:$K$1001,$AB59),100)&lt;=31),DATE(INT(INDEX(기본자료!$K$2:$K$1001,$AB59)/10000),INT(MOD(INDEX(기본자료!$K$2:$K$1001,$AB59),10000)/100),MOD(INDEX(기본자료!$K$2:$K$1001,$AB59),100)),INDEX(기본자료!$K$2:$K$1001,$AB59)&amp;"")))))</f>
        <v/>
      </c>
      <c r="F59" s="10">
        <f>IF($AB59="","",IF(INDEX(기본자료!$D$2:$D$1001,$AB59)="","",INDEX(기본자료!$D$2:$D$1001,$AB59)))</f>
        <v/>
      </c>
      <c r="G59" s="10">
        <f>IF($AB59="","",IF(INDEX(기본자료!$E$2:$E$1001,$AB59)="","",INDEX(기본자료!$E$2:$E$1001,$AB59)))</f>
        <v/>
      </c>
      <c r="H59" s="10">
        <f>IF($AB59="","",IF(INDEX(기본자료!$F$2:$F$1001,$AB59)="","",INDEX(기본자료!$F$2:$F$1001,$AB59)))</f>
        <v/>
      </c>
      <c r="I59" s="11">
        <f>IF($AB59="","",IF(INDEX(기본자료!$G$2:$G$1001,$AB59)="","",IF(NOT(ISNUMBER(INDEX(기본자료!$G$2:$G$1001,$AB59))),INDEX(기본자료!$G$2:$G$1001,$AB59),IF(INDEX(기본자료!$G$2:$G$1001,$AB59)&lt;1000000,INDEX(기본자료!$G$2:$G$1001,$AB59),IF(AND(INDEX(기본자료!$G$2:$G$1001,$AB59)&gt;=10000101,INT(MOD(INDEX(기본자료!$G$2:$G$1001,$AB59),10000)/100)&gt;=1,INT(MOD(INDEX(기본자료!$G$2:$G$1001,$AB59),10000)/100)&lt;=12,MOD(INDEX(기본자료!$G$2:$G$1001,$AB59),100)&gt;=1,MOD(INDEX(기본자료!$G$2:$G$1001,$AB59),100)&lt;=31),DATE(INT(INDEX(기본자료!$G$2:$G$1001,$AB59)/10000),INT(MOD(INDEX(기본자료!$G$2:$G$1001,$AB59),10000)/100),MOD(INDEX(기본자료!$G$2:$G$1001,$AB59),100)),INDEX(기본자료!$G$2:$G$1001,$AB59)&amp;"")))))</f>
        <v/>
      </c>
      <c r="J59" s="10">
        <f>IF($AB59="","",IF(INDEX(기본자료!$H$2:$H$1001,$AB59)="","",INDEX(기본자료!$H$2:$H$1001,$AB59)))</f>
        <v/>
      </c>
      <c r="K59" s="10">
        <f>IF($AB59="","",IF(INDEX(기본자료!$I$2:$I$1001,$AB59)="","",INDEX(기본자료!$I$2:$I$1001,$AB59)))</f>
        <v/>
      </c>
      <c r="L59" s="10">
        <f>IF($AB59="","",IF(INDEX(기본자료!$A$2:$A$1001,$AB59)="","",INDEX(기본자료!$A$2:$A$1001,$AB59)))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$803,$AK59),OR(NOT(ISNUMBER(INDEX(파견수련계획!$AC$4:$AC$803,$AK59))),TODAY()&lt;=INDEX(파견수련계획!$AC$4:$AC$803,$AK59))),"다기관",IF($AF59="","",INDEX(파견수련계획!$T$4:$T$803,$AF59))),IF($AF59="","",INDEX(파견수련계획!$T$4:$T$803,$AF59))))</f>
        <v/>
      </c>
      <c r="Q59" s="10">
        <f>IF($AF59="","",INDEX(파견수련계획!$S$4:$S$803,$AF59))</f>
        <v/>
      </c>
      <c r="R59" s="10">
        <f>IF($AF59="","",INDEX(파견수련계획!$U$4:$U$803,$AF59))</f>
        <v/>
      </c>
      <c r="S59" s="11">
        <f>IF($AF59="","",IF(INDEX(파견수련계획!$H$4:$H$803,$AF59)="","",INDEX(파견수련계획!$H$4:$H$803,$AF59)))</f>
        <v/>
      </c>
      <c r="T59" s="11">
        <f>IF($AF59="","",IF(INDEX(파견수련계획!$I$4:$I$803,$AF59)="","",INDEX(파견수련계획!$I$4:$I$803,$AF59)))</f>
        <v/>
      </c>
      <c r="U59" s="10">
        <f>IF($AF59="","",INDEX(파견수련계획!$X$4:$X$803,$AF59))</f>
        <v/>
      </c>
      <c r="V59" s="17">
        <f>IF($AF59="","",INDEX(파견수련계획!$V$4:$V$803,$AF59))</f>
        <v/>
      </c>
      <c r="W59" s="17">
        <f>IF(AND($U59="파견중",$T59&lt;&gt;""),$T59-TODAY(),"")</f>
        <v/>
      </c>
      <c r="X59" s="17">
        <f>IF(OR($B59="",TRIM($J59&amp;"")=""),"",SUMPRODUCT((파견수련계획!$Q$4:$Q$803=TRIM($J59&amp;""))*파견수련계획!$W$4:$W$803))</f>
        <v/>
      </c>
      <c r="Y59" s="10">
        <f>IF($B59="","",IF($AG59="","",IF(IF(TRIM($J59&amp;"")="",0,SUMPRODUCT((파견수련계획!$Q$4:$Q$803=TRIM($J59&amp;""))*파견수련계획!$AD$4:$AD$803)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"&amp;$AI59&amp;"일)")),IF($AJ59="",$AE59,IF(INDEX(파견수련계획!$T$4:$T$803,$AJ59)="통합수련",INDEX(파견수련계획!$S$4:$S$803,$AJ59),$AE59)))))))</f>
        <v/>
      </c>
      <c r="Z59" s="19">
        <f>IF($B59="","",IF($AB59="","기본자료에 없는 사번",IF(COUNTIF($B$2:$B$401,$B59)&gt;1,"중복 사번",IF($AE59="","소속(입사장소) 입력",IF(IF(TRIM($J59&amp;"")="",0,SUMPRODUCT((파견수련계획!$Q$4:$Q$803=TRIM($J59&amp;""))*(파견수련계획!$AA$4:$AA$803&lt;&gt;"")))&gt;0,"파견수련계획 입력오류 확인",IF(LEFT($Y59,1)="⚠","서울·구리 15일 판정 불가(양쪽 모두 이상/미만)",IF(IF($AC59="",0,N(INDEX(인턴근무계획!$T$3:$T$402,$AC59)))&gt;0,"인턴계획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IF($B59="","",IFERROR(MATCH($B59,기본자료!$B$2:$B$1001,0),IFERROR(MATCH($B59&amp;"",기본자료!$B$2:$B$1001,0),IFERROR(MATCH(VALUE($B59),기본자료!$B$2:$B$1001,0),""))))</f>
        <v/>
      </c>
      <c r="AC59" s="10">
        <f>IF($B59="","",IFERROR(MATCH($B59,인턴근무계획!$D$3:$D$402,0),IFERROR(MATCH($B59&amp;"",인턴근무계획!$D$3:$D$402,0),IFERROR(MATCH(VALUE($B59),인턴근무계획!$D$3:$D$402,0),""))))</f>
        <v/>
      </c>
      <c r="AD59" s="10">
        <f>IF(OR($AC59="",인턴현황!$G$3=""),"",INDEX(인턴근무계획!$M$3:$R$402,$AC59,인턴현황!$G$3)&amp;"")</f>
        <v/>
      </c>
      <c r="AE59" s="10">
        <f>IF($B59="","",IF($M59&lt;&gt;"",$M59,IF($AF59&lt;&gt;"",IF(LEFT(INDEX(파견수련계획!$R$4:$R$803,$AF59),1)&lt;&gt;"⚠",INDEX(파견수련계획!$R$4:$R$803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$803,0),IFERROR(MATCH(TRIM($J59&amp;"")&amp;"|파견예정",파견수련계획!$Y$4:$Y$803,0),IFERROR(MATCH(TRIM($J59&amp;"")&amp;"|파견종료",파견수련계획!$Y$4:$Y$803,0),""))))</f>
        <v/>
      </c>
      <c r="AG59" s="10">
        <f>IF($B59="","",IF(AND(IF(OR($AC59="",인턴현황!$K$2=""),"",INDEX(인턴근무계획!$M$3:$R$402,$AC59,인턴현황!$K$2)&amp;"")&lt;&gt;"",LEFT(IF(OR($AC59="",인턴현황!$K$2=""),"",INDEX(인턴근무계획!$M$3:$R$402,$AC59,인턴현황!$K$2)&amp;""),1)&lt;&gt;"⚠"),LEFT(IF(OR($AC59="",인턴현황!$K$2=""),"",INDEX(인턴근무계획!$M$3:$R$402,$AC59,인턴현황!$K$2)&amp;""),FIND(" ",IF(OR($AC59="",인턴현황!$K$2=""),"",INDEX(인턴근무계획!$M$3:$R$402,$AC59,인턴현황!$K$2)&amp;""))-1),$AE59))</f>
        <v/>
      </c>
      <c r="AH59" s="17">
        <f>IF($B59="","",IF(TRIM($J59&amp;"")="",0,SUMPRODUCT((파견수련계획!$Q$4:$Q$803=TRIM($J59&amp;""))*(파견수련계획!$S$4:$S$803="서울병원")*파견수련계획!$W$4:$W$803))+IF($AG59="서울병원",MAX(0,DAY(EOMONTH(요약!$B$3,0))-N($X59)),0))</f>
        <v/>
      </c>
      <c r="AI59" s="17">
        <f>IF($B59="","",IF(TRIM($J59&amp;"")="",0,SUMPRODUCT((파견수련계획!$Q$4:$Q$803=TRIM($J59&amp;""))*(파견수련계획!$S$4:$S$803="구리병원")*파견수련계획!$W$4:$W$803))+IF($AG59="구리병원",MAX(0,DAY(EOMONTH(요약!$B$3,0))-N($X59)),0))</f>
        <v/>
      </c>
      <c r="AJ59" s="10">
        <f>IF(OR($B59="",TRIM($J59&amp;"")=""),"",IFERROR(MATCH(TRIM($J59&amp;"")&amp;"|월",파견수련계획!$Z$4:$Z$803,0),""))</f>
        <v/>
      </c>
      <c r="AK59" s="10">
        <f>IF(OR($B59="",TRIM($J59&amp;"")=""),"",IFERROR(MATCH(TRIM($J59&amp;"")&amp;"|다기관",파견수련계획!$AE$4:$AE$803,0),""))</f>
        <v/>
      </c>
      <c r="AL59" s="10">
        <f>IF($AK59="","","다기관 "&amp;TEXT(INDEX(파견수련계획!$AB$4:$AB$803,$AK59),"yyyy-mm-dd")&amp;"~"&amp;IF(ISNUMBER(INDEX(파견수련계획!$AC$4:$AC$803,$AK59)),TEXT(INDEX(파견수련계획!$AC$4:$AC$803,$AK59),"yyyy-mm-dd"),""))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IF($AB60="","",IF(INDEX(기본자료!$C$2:$C$1001,$AB60)="","",INDEX(기본자료!$C$2:$C$1001,$AB60)))</f>
        <v/>
      </c>
      <c r="D60" s="10">
        <f>IF($AB60="","",IF(INDEX(기본자료!$J$2:$J$1001,$AB60)="","",INDEX(기본자료!$J$2:$J$1001,$AB60)))</f>
        <v/>
      </c>
      <c r="E60" s="11">
        <f>IF($AB60="","",IF(INDEX(기본자료!$K$2:$K$1001,$AB60)="","",IF(NOT(ISNUMBER(INDEX(기본자료!$K$2:$K$1001,$AB60))),INDEX(기본자료!$K$2:$K$1001,$AB60),IF(INDEX(기본자료!$K$2:$K$1001,$AB60)&lt;1000000,INDEX(기본자료!$K$2:$K$1001,$AB60),IF(AND(INDEX(기본자료!$K$2:$K$1001,$AB60)&gt;=10000101,INT(MOD(INDEX(기본자료!$K$2:$K$1001,$AB60),10000)/100)&gt;=1,INT(MOD(INDEX(기본자료!$K$2:$K$1001,$AB60),10000)/100)&lt;=12,MOD(INDEX(기본자료!$K$2:$K$1001,$AB60),100)&gt;=1,MOD(INDEX(기본자료!$K$2:$K$1001,$AB60),100)&lt;=31),DATE(INT(INDEX(기본자료!$K$2:$K$1001,$AB60)/10000),INT(MOD(INDEX(기본자료!$K$2:$K$1001,$AB60),10000)/100),MOD(INDEX(기본자료!$K$2:$K$1001,$AB60),100)),INDEX(기본자료!$K$2:$K$1001,$AB60)&amp;"")))))</f>
        <v/>
      </c>
      <c r="F60" s="10">
        <f>IF($AB60="","",IF(INDEX(기본자료!$D$2:$D$1001,$AB60)="","",INDEX(기본자료!$D$2:$D$1001,$AB60)))</f>
        <v/>
      </c>
      <c r="G60" s="10">
        <f>IF($AB60="","",IF(INDEX(기본자료!$E$2:$E$1001,$AB60)="","",INDEX(기본자료!$E$2:$E$1001,$AB60)))</f>
        <v/>
      </c>
      <c r="H60" s="10">
        <f>IF($AB60="","",IF(INDEX(기본자료!$F$2:$F$1001,$AB60)="","",INDEX(기본자료!$F$2:$F$1001,$AB60)))</f>
        <v/>
      </c>
      <c r="I60" s="11">
        <f>IF($AB60="","",IF(INDEX(기본자료!$G$2:$G$1001,$AB60)="","",IF(NOT(ISNUMBER(INDEX(기본자료!$G$2:$G$1001,$AB60))),INDEX(기본자료!$G$2:$G$1001,$AB60),IF(INDEX(기본자료!$G$2:$G$1001,$AB60)&lt;1000000,INDEX(기본자료!$G$2:$G$1001,$AB60),IF(AND(INDEX(기본자료!$G$2:$G$1001,$AB60)&gt;=10000101,INT(MOD(INDEX(기본자료!$G$2:$G$1001,$AB60),10000)/100)&gt;=1,INT(MOD(INDEX(기본자료!$G$2:$G$1001,$AB60),10000)/100)&lt;=12,MOD(INDEX(기본자료!$G$2:$G$1001,$AB60),100)&gt;=1,MOD(INDEX(기본자료!$G$2:$G$1001,$AB60),100)&lt;=31),DATE(INT(INDEX(기본자료!$G$2:$G$1001,$AB60)/10000),INT(MOD(INDEX(기본자료!$G$2:$G$1001,$AB60),10000)/100),MOD(INDEX(기본자료!$G$2:$G$1001,$AB60),100)),INDEX(기본자료!$G$2:$G$1001,$AB60)&amp;"")))))</f>
        <v/>
      </c>
      <c r="J60" s="10">
        <f>IF($AB60="","",IF(INDEX(기본자료!$H$2:$H$1001,$AB60)="","",INDEX(기본자료!$H$2:$H$1001,$AB60)))</f>
        <v/>
      </c>
      <c r="K60" s="10">
        <f>IF($AB60="","",IF(INDEX(기본자료!$I$2:$I$1001,$AB60)="","",INDEX(기본자료!$I$2:$I$1001,$AB60)))</f>
        <v/>
      </c>
      <c r="L60" s="10">
        <f>IF($AB60="","",IF(INDEX(기본자료!$A$2:$A$1001,$AB60)="","",INDEX(기본자료!$A$2:$A$1001,$AB60)))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$803,$AK60),OR(NOT(ISNUMBER(INDEX(파견수련계획!$AC$4:$AC$803,$AK60))),TODAY()&lt;=INDEX(파견수련계획!$AC$4:$AC$803,$AK60))),"다기관",IF($AF60="","",INDEX(파견수련계획!$T$4:$T$803,$AF60))),IF($AF60="","",INDEX(파견수련계획!$T$4:$T$803,$AF60))))</f>
        <v/>
      </c>
      <c r="Q60" s="10">
        <f>IF($AF60="","",INDEX(파견수련계획!$S$4:$S$803,$AF60))</f>
        <v/>
      </c>
      <c r="R60" s="10">
        <f>IF($AF60="","",INDEX(파견수련계획!$U$4:$U$803,$AF60))</f>
        <v/>
      </c>
      <c r="S60" s="11">
        <f>IF($AF60="","",IF(INDEX(파견수련계획!$H$4:$H$803,$AF60)="","",INDEX(파견수련계획!$H$4:$H$803,$AF60)))</f>
        <v/>
      </c>
      <c r="T60" s="11">
        <f>IF($AF60="","",IF(INDEX(파견수련계획!$I$4:$I$803,$AF60)="","",INDEX(파견수련계획!$I$4:$I$803,$AF60)))</f>
        <v/>
      </c>
      <c r="U60" s="10">
        <f>IF($AF60="","",INDEX(파견수련계획!$X$4:$X$803,$AF60))</f>
        <v/>
      </c>
      <c r="V60" s="17">
        <f>IF($AF60="","",INDEX(파견수련계획!$V$4:$V$803,$AF60))</f>
        <v/>
      </c>
      <c r="W60" s="17">
        <f>IF(AND($U60="파견중",$T60&lt;&gt;""),$T60-TODAY(),"")</f>
        <v/>
      </c>
      <c r="X60" s="17">
        <f>IF(OR($B60="",TRIM($J60&amp;"")=""),"",SUMPRODUCT((파견수련계획!$Q$4:$Q$803=TRIM($J60&amp;""))*파견수련계획!$W$4:$W$803))</f>
        <v/>
      </c>
      <c r="Y60" s="10">
        <f>IF($B60="","",IF($AG60="","",IF(IF(TRIM($J60&amp;"")="",0,SUMPRODUCT((파견수련계획!$Q$4:$Q$803=TRIM($J60&amp;""))*파견수련계획!$AD$4:$AD$803)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"&amp;$AI60&amp;"일)")),IF($AJ60="",$AE60,IF(INDEX(파견수련계획!$T$4:$T$803,$AJ60)="통합수련",INDEX(파견수련계획!$S$4:$S$803,$AJ60),$AE60)))))))</f>
        <v/>
      </c>
      <c r="Z60" s="19">
        <f>IF($B60="","",IF($AB60="","기본자료에 없는 사번",IF(COUNTIF($B$2:$B$401,$B60)&gt;1,"중복 사번",IF($AE60="","소속(입사장소) 입력",IF(IF(TRIM($J60&amp;"")="",0,SUMPRODUCT((파견수련계획!$Q$4:$Q$803=TRIM($J60&amp;""))*(파견수련계획!$AA$4:$AA$803&lt;&gt;"")))&gt;0,"파견수련계획 입력오류 확인",IF(LEFT($Y60,1)="⚠","서울·구리 15일 판정 불가(양쪽 모두 이상/미만)",IF(IF($AC60="",0,N(INDEX(인턴근무계획!$T$3:$T$402,$AC60)))&gt;0,"인턴계획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IF($B60="","",IFERROR(MATCH($B60,기본자료!$B$2:$B$1001,0),IFERROR(MATCH($B60&amp;"",기본자료!$B$2:$B$1001,0),IFERROR(MATCH(VALUE($B60),기본자료!$B$2:$B$1001,0),""))))</f>
        <v/>
      </c>
      <c r="AC60" s="10">
        <f>IF($B60="","",IFERROR(MATCH($B60,인턴근무계획!$D$3:$D$402,0),IFERROR(MATCH($B60&amp;"",인턴근무계획!$D$3:$D$402,0),IFERROR(MATCH(VALUE($B60),인턴근무계획!$D$3:$D$402,0),""))))</f>
        <v/>
      </c>
      <c r="AD60" s="10">
        <f>IF(OR($AC60="",인턴현황!$G$3=""),"",INDEX(인턴근무계획!$M$3:$R$402,$AC60,인턴현황!$G$3)&amp;"")</f>
        <v/>
      </c>
      <c r="AE60" s="10">
        <f>IF($B60="","",IF($M60&lt;&gt;"",$M60,IF($AF60&lt;&gt;"",IF(LEFT(INDEX(파견수련계획!$R$4:$R$803,$AF60),1)&lt;&gt;"⚠",INDEX(파견수련계획!$R$4:$R$803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$803,0),IFERROR(MATCH(TRIM($J60&amp;"")&amp;"|파견예정",파견수련계획!$Y$4:$Y$803,0),IFERROR(MATCH(TRIM($J60&amp;"")&amp;"|파견종료",파견수련계획!$Y$4:$Y$803,0),""))))</f>
        <v/>
      </c>
      <c r="AG60" s="10">
        <f>IF($B60="","",IF(AND(IF(OR($AC60="",인턴현황!$K$2=""),"",INDEX(인턴근무계획!$M$3:$R$402,$AC60,인턴현황!$K$2)&amp;"")&lt;&gt;"",LEFT(IF(OR($AC60="",인턴현황!$K$2=""),"",INDEX(인턴근무계획!$M$3:$R$402,$AC60,인턴현황!$K$2)&amp;""),1)&lt;&gt;"⚠"),LEFT(IF(OR($AC60="",인턴현황!$K$2=""),"",INDEX(인턴근무계획!$M$3:$R$402,$AC60,인턴현황!$K$2)&amp;""),FIND(" ",IF(OR($AC60="",인턴현황!$K$2=""),"",INDEX(인턴근무계획!$M$3:$R$402,$AC60,인턴현황!$K$2)&amp;""))-1),$AE60))</f>
        <v/>
      </c>
      <c r="AH60" s="17">
        <f>IF($B60="","",IF(TRIM($J60&amp;"")="",0,SUMPRODUCT((파견수련계획!$Q$4:$Q$803=TRIM($J60&amp;""))*(파견수련계획!$S$4:$S$803="서울병원")*파견수련계획!$W$4:$W$803))+IF($AG60="서울병원",MAX(0,DAY(EOMONTH(요약!$B$3,0))-N($X60)),0))</f>
        <v/>
      </c>
      <c r="AI60" s="17">
        <f>IF($B60="","",IF(TRIM($J60&amp;"")="",0,SUMPRODUCT((파견수련계획!$Q$4:$Q$803=TRIM($J60&amp;""))*(파견수련계획!$S$4:$S$803="구리병원")*파견수련계획!$W$4:$W$803))+IF($AG60="구리병원",MAX(0,DAY(EOMONTH(요약!$B$3,0))-N($X60)),0))</f>
        <v/>
      </c>
      <c r="AJ60" s="10">
        <f>IF(OR($B60="",TRIM($J60&amp;"")=""),"",IFERROR(MATCH(TRIM($J60&amp;"")&amp;"|월",파견수련계획!$Z$4:$Z$803,0),""))</f>
        <v/>
      </c>
      <c r="AK60" s="10">
        <f>IF(OR($B60="",TRIM($J60&amp;"")=""),"",IFERROR(MATCH(TRIM($J60&amp;"")&amp;"|다기관",파견수련계획!$AE$4:$AE$803,0),""))</f>
        <v/>
      </c>
      <c r="AL60" s="10">
        <f>IF($AK60="","","다기관 "&amp;TEXT(INDEX(파견수련계획!$AB$4:$AB$803,$AK60),"yyyy-mm-dd")&amp;"~"&amp;IF(ISNUMBER(INDEX(파견수련계획!$AC$4:$AC$803,$AK60)),TEXT(INDEX(파견수련계획!$AC$4:$AC$803,$AK60),"yyyy-mm-dd"),""))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IF($AB61="","",IF(INDEX(기본자료!$C$2:$C$1001,$AB61)="","",INDEX(기본자료!$C$2:$C$1001,$AB61)))</f>
        <v/>
      </c>
      <c r="D61" s="10">
        <f>IF($AB61="","",IF(INDEX(기본자료!$J$2:$J$1001,$AB61)="","",INDEX(기본자료!$J$2:$J$1001,$AB61)))</f>
        <v/>
      </c>
      <c r="E61" s="11">
        <f>IF($AB61="","",IF(INDEX(기본자료!$K$2:$K$1001,$AB61)="","",IF(NOT(ISNUMBER(INDEX(기본자료!$K$2:$K$1001,$AB61))),INDEX(기본자료!$K$2:$K$1001,$AB61),IF(INDEX(기본자료!$K$2:$K$1001,$AB61)&lt;1000000,INDEX(기본자료!$K$2:$K$1001,$AB61),IF(AND(INDEX(기본자료!$K$2:$K$1001,$AB61)&gt;=10000101,INT(MOD(INDEX(기본자료!$K$2:$K$1001,$AB61),10000)/100)&gt;=1,INT(MOD(INDEX(기본자료!$K$2:$K$1001,$AB61),10000)/100)&lt;=12,MOD(INDEX(기본자료!$K$2:$K$1001,$AB61),100)&gt;=1,MOD(INDEX(기본자료!$K$2:$K$1001,$AB61),100)&lt;=31),DATE(INT(INDEX(기본자료!$K$2:$K$1001,$AB61)/10000),INT(MOD(INDEX(기본자료!$K$2:$K$1001,$AB61),10000)/100),MOD(INDEX(기본자료!$K$2:$K$1001,$AB61),100)),INDEX(기본자료!$K$2:$K$1001,$AB61)&amp;"")))))</f>
        <v/>
      </c>
      <c r="F61" s="10">
        <f>IF($AB61="","",IF(INDEX(기본자료!$D$2:$D$1001,$AB61)="","",INDEX(기본자료!$D$2:$D$1001,$AB61)))</f>
        <v/>
      </c>
      <c r="G61" s="10">
        <f>IF($AB61="","",IF(INDEX(기본자료!$E$2:$E$1001,$AB61)="","",INDEX(기본자료!$E$2:$E$1001,$AB61)))</f>
        <v/>
      </c>
      <c r="H61" s="10">
        <f>IF($AB61="","",IF(INDEX(기본자료!$F$2:$F$1001,$AB61)="","",INDEX(기본자료!$F$2:$F$1001,$AB61)))</f>
        <v/>
      </c>
      <c r="I61" s="11">
        <f>IF($AB61="","",IF(INDEX(기본자료!$G$2:$G$1001,$AB61)="","",IF(NOT(ISNUMBER(INDEX(기본자료!$G$2:$G$1001,$AB61))),INDEX(기본자료!$G$2:$G$1001,$AB61),IF(INDEX(기본자료!$G$2:$G$1001,$AB61)&lt;1000000,INDEX(기본자료!$G$2:$G$1001,$AB61),IF(AND(INDEX(기본자료!$G$2:$G$1001,$AB61)&gt;=10000101,INT(MOD(INDEX(기본자료!$G$2:$G$1001,$AB61),10000)/100)&gt;=1,INT(MOD(INDEX(기본자료!$G$2:$G$1001,$AB61),10000)/100)&lt;=12,MOD(INDEX(기본자료!$G$2:$G$1001,$AB61),100)&gt;=1,MOD(INDEX(기본자료!$G$2:$G$1001,$AB61),100)&lt;=31),DATE(INT(INDEX(기본자료!$G$2:$G$1001,$AB61)/10000),INT(MOD(INDEX(기본자료!$G$2:$G$1001,$AB61),10000)/100),MOD(INDEX(기본자료!$G$2:$G$1001,$AB61),100)),INDEX(기본자료!$G$2:$G$1001,$AB61)&amp;"")))))</f>
        <v/>
      </c>
      <c r="J61" s="10">
        <f>IF($AB61="","",IF(INDEX(기본자료!$H$2:$H$1001,$AB61)="","",INDEX(기본자료!$H$2:$H$1001,$AB61)))</f>
        <v/>
      </c>
      <c r="K61" s="10">
        <f>IF($AB61="","",IF(INDEX(기본자료!$I$2:$I$1001,$AB61)="","",INDEX(기본자료!$I$2:$I$1001,$AB61)))</f>
        <v/>
      </c>
      <c r="L61" s="10">
        <f>IF($AB61="","",IF(INDEX(기본자료!$A$2:$A$1001,$AB61)="","",INDEX(기본자료!$A$2:$A$1001,$AB61)))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$803,$AK61),OR(NOT(ISNUMBER(INDEX(파견수련계획!$AC$4:$AC$803,$AK61))),TODAY()&lt;=INDEX(파견수련계획!$AC$4:$AC$803,$AK61))),"다기관",IF($AF61="","",INDEX(파견수련계획!$T$4:$T$803,$AF61))),IF($AF61="","",INDEX(파견수련계획!$T$4:$T$803,$AF61))))</f>
        <v/>
      </c>
      <c r="Q61" s="10">
        <f>IF($AF61="","",INDEX(파견수련계획!$S$4:$S$803,$AF61))</f>
        <v/>
      </c>
      <c r="R61" s="10">
        <f>IF($AF61="","",INDEX(파견수련계획!$U$4:$U$803,$AF61))</f>
        <v/>
      </c>
      <c r="S61" s="11">
        <f>IF($AF61="","",IF(INDEX(파견수련계획!$H$4:$H$803,$AF61)="","",INDEX(파견수련계획!$H$4:$H$803,$AF61)))</f>
        <v/>
      </c>
      <c r="T61" s="11">
        <f>IF($AF61="","",IF(INDEX(파견수련계획!$I$4:$I$803,$AF61)="","",INDEX(파견수련계획!$I$4:$I$803,$AF61)))</f>
        <v/>
      </c>
      <c r="U61" s="10">
        <f>IF($AF61="","",INDEX(파견수련계획!$X$4:$X$803,$AF61))</f>
        <v/>
      </c>
      <c r="V61" s="17">
        <f>IF($AF61="","",INDEX(파견수련계획!$V$4:$V$803,$AF61))</f>
        <v/>
      </c>
      <c r="W61" s="17">
        <f>IF(AND($U61="파견중",$T61&lt;&gt;""),$T61-TODAY(),"")</f>
        <v/>
      </c>
      <c r="X61" s="17">
        <f>IF(OR($B61="",TRIM($J61&amp;"")=""),"",SUMPRODUCT((파견수련계획!$Q$4:$Q$803=TRIM($J61&amp;""))*파견수련계획!$W$4:$W$803))</f>
        <v/>
      </c>
      <c r="Y61" s="10">
        <f>IF($B61="","",IF($AG61="","",IF(IF(TRIM($J61&amp;"")="",0,SUMPRODUCT((파견수련계획!$Q$4:$Q$803=TRIM($J61&amp;""))*파견수련계획!$AD$4:$AD$803)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"&amp;$AI61&amp;"일)")),IF($AJ61="",$AE61,IF(INDEX(파견수련계획!$T$4:$T$803,$AJ61)="통합수련",INDEX(파견수련계획!$S$4:$S$803,$AJ61),$AE61)))))))</f>
        <v/>
      </c>
      <c r="Z61" s="19">
        <f>IF($B61="","",IF($AB61="","기본자료에 없는 사번",IF(COUNTIF($B$2:$B$401,$B61)&gt;1,"중복 사번",IF($AE61="","소속(입사장소) 입력",IF(IF(TRIM($J61&amp;"")="",0,SUMPRODUCT((파견수련계획!$Q$4:$Q$803=TRIM($J61&amp;""))*(파견수련계획!$AA$4:$AA$803&lt;&gt;"")))&gt;0,"파견수련계획 입력오류 확인",IF(LEFT($Y61,1)="⚠","서울·구리 15일 판정 불가(양쪽 모두 이상/미만)",IF(IF($AC61="",0,N(INDEX(인턴근무계획!$T$3:$T$402,$AC61)))&gt;0,"인턴계획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IF($B61="","",IFERROR(MATCH($B61,기본자료!$B$2:$B$1001,0),IFERROR(MATCH($B61&amp;"",기본자료!$B$2:$B$1001,0),IFERROR(MATCH(VALUE($B61),기본자료!$B$2:$B$1001,0),""))))</f>
        <v/>
      </c>
      <c r="AC61" s="10">
        <f>IF($B61="","",IFERROR(MATCH($B61,인턴근무계획!$D$3:$D$402,0),IFERROR(MATCH($B61&amp;"",인턴근무계획!$D$3:$D$402,0),IFERROR(MATCH(VALUE($B61),인턴근무계획!$D$3:$D$402,0),""))))</f>
        <v/>
      </c>
      <c r="AD61" s="10">
        <f>IF(OR($AC61="",인턴현황!$G$3=""),"",INDEX(인턴근무계획!$M$3:$R$402,$AC61,인턴현황!$G$3)&amp;"")</f>
        <v/>
      </c>
      <c r="AE61" s="10">
        <f>IF($B61="","",IF($M61&lt;&gt;"",$M61,IF($AF61&lt;&gt;"",IF(LEFT(INDEX(파견수련계획!$R$4:$R$803,$AF61),1)&lt;&gt;"⚠",INDEX(파견수련계획!$R$4:$R$803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$803,0),IFERROR(MATCH(TRIM($J61&amp;"")&amp;"|파견예정",파견수련계획!$Y$4:$Y$803,0),IFERROR(MATCH(TRIM($J61&amp;"")&amp;"|파견종료",파견수련계획!$Y$4:$Y$803,0),""))))</f>
        <v/>
      </c>
      <c r="AG61" s="10">
        <f>IF($B61="","",IF(AND(IF(OR($AC61="",인턴현황!$K$2=""),"",INDEX(인턴근무계획!$M$3:$R$402,$AC61,인턴현황!$K$2)&amp;"")&lt;&gt;"",LEFT(IF(OR($AC61="",인턴현황!$K$2=""),"",INDEX(인턴근무계획!$M$3:$R$402,$AC61,인턴현황!$K$2)&amp;""),1)&lt;&gt;"⚠"),LEFT(IF(OR($AC61="",인턴현황!$K$2=""),"",INDEX(인턴근무계획!$M$3:$R$402,$AC61,인턴현황!$K$2)&amp;""),FIND(" ",IF(OR($AC61="",인턴현황!$K$2=""),"",INDEX(인턴근무계획!$M$3:$R$402,$AC61,인턴현황!$K$2)&amp;""))-1),$AE61))</f>
        <v/>
      </c>
      <c r="AH61" s="17">
        <f>IF($B61="","",IF(TRIM($J61&amp;"")="",0,SUMPRODUCT((파견수련계획!$Q$4:$Q$803=TRIM($J61&amp;""))*(파견수련계획!$S$4:$S$803="서울병원")*파견수련계획!$W$4:$W$803))+IF($AG61="서울병원",MAX(0,DAY(EOMONTH(요약!$B$3,0))-N($X61)),0))</f>
        <v/>
      </c>
      <c r="AI61" s="17">
        <f>IF($B61="","",IF(TRIM($J61&amp;"")="",0,SUMPRODUCT((파견수련계획!$Q$4:$Q$803=TRIM($J61&amp;""))*(파견수련계획!$S$4:$S$803="구리병원")*파견수련계획!$W$4:$W$803))+IF($AG61="구리병원",MAX(0,DAY(EOMONTH(요약!$B$3,0))-N($X61)),0))</f>
        <v/>
      </c>
      <c r="AJ61" s="10">
        <f>IF(OR($B61="",TRIM($J61&amp;"")=""),"",IFERROR(MATCH(TRIM($J61&amp;"")&amp;"|월",파견수련계획!$Z$4:$Z$803,0),""))</f>
        <v/>
      </c>
      <c r="AK61" s="10">
        <f>IF(OR($B61="",TRIM($J61&amp;"")=""),"",IFERROR(MATCH(TRIM($J61&amp;"")&amp;"|다기관",파견수련계획!$AE$4:$AE$803,0),""))</f>
        <v/>
      </c>
      <c r="AL61" s="10">
        <f>IF($AK61="","","다기관 "&amp;TEXT(INDEX(파견수련계획!$AB$4:$AB$803,$AK61),"yyyy-mm-dd")&amp;"~"&amp;IF(ISNUMBER(INDEX(파견수련계획!$AC$4:$AC$803,$AK61)),TEXT(INDEX(파견수련계획!$AC$4:$AC$803,$AK61),"yyyy-mm-dd"),""))</f>
        <v/>
      </c>
    </row>
    <row r="62">
      <c r="A62" s="10">
        <f>IF(B62="","",ROW()-1)</f>
        <v/>
      </c>
      <c r="B62" s="18" t="n"/>
      <c r="C62" s="10">
        <f>IF($AB62="","",IF(INDEX(기본자료!$C$2:$C$1001,$AB62)="","",INDEX(기본자료!$C$2:$C$1001,$AB62)))</f>
        <v/>
      </c>
      <c r="D62" s="10">
        <f>IF($AB62="","",IF(INDEX(기본자료!$J$2:$J$1001,$AB62)="","",INDEX(기본자료!$J$2:$J$1001,$AB62)))</f>
        <v/>
      </c>
      <c r="E62" s="11">
        <f>IF($AB62="","",IF(INDEX(기본자료!$K$2:$K$1001,$AB62)="","",IF(NOT(ISNUMBER(INDEX(기본자료!$K$2:$K$1001,$AB62))),INDEX(기본자료!$K$2:$K$1001,$AB62),IF(INDEX(기본자료!$K$2:$K$1001,$AB62)&lt;1000000,INDEX(기본자료!$K$2:$K$1001,$AB62),IF(AND(INDEX(기본자료!$K$2:$K$1001,$AB62)&gt;=10000101,INT(MOD(INDEX(기본자료!$K$2:$K$1001,$AB62),10000)/100)&gt;=1,INT(MOD(INDEX(기본자료!$K$2:$K$1001,$AB62),10000)/100)&lt;=12,MOD(INDEX(기본자료!$K$2:$K$1001,$AB62),100)&gt;=1,MOD(INDEX(기본자료!$K$2:$K$1001,$AB62),100)&lt;=31),DATE(INT(INDEX(기본자료!$K$2:$K$1001,$AB62)/10000),INT(MOD(INDEX(기본자료!$K$2:$K$1001,$AB62),10000)/100),MOD(INDEX(기본자료!$K$2:$K$1001,$AB62),100)),INDEX(기본자료!$K$2:$K$1001,$AB62)&amp;"")))))</f>
        <v/>
      </c>
      <c r="F62" s="10">
        <f>IF($AB62="","",IF(INDEX(기본자료!$D$2:$D$1001,$AB62)="","",INDEX(기본자료!$D$2:$D$1001,$AB62)))</f>
        <v/>
      </c>
      <c r="G62" s="10">
        <f>IF($AB62="","",IF(INDEX(기본자료!$E$2:$E$1001,$AB62)="","",INDEX(기본자료!$E$2:$E$1001,$AB62)))</f>
        <v/>
      </c>
      <c r="H62" s="10">
        <f>IF($AB62="","",IF(INDEX(기본자료!$F$2:$F$1001,$AB62)="","",INDEX(기본자료!$F$2:$F$1001,$AB62)))</f>
        <v/>
      </c>
      <c r="I62" s="11">
        <f>IF($AB62="","",IF(INDEX(기본자료!$G$2:$G$1001,$AB62)="","",IF(NOT(ISNUMBER(INDEX(기본자료!$G$2:$G$1001,$AB62))),INDEX(기본자료!$G$2:$G$1001,$AB62),IF(INDEX(기본자료!$G$2:$G$1001,$AB62)&lt;1000000,INDEX(기본자료!$G$2:$G$1001,$AB62),IF(AND(INDEX(기본자료!$G$2:$G$1001,$AB62)&gt;=10000101,INT(MOD(INDEX(기본자료!$G$2:$G$1001,$AB62),10000)/100)&gt;=1,INT(MOD(INDEX(기본자료!$G$2:$G$1001,$AB62),10000)/100)&lt;=12,MOD(INDEX(기본자료!$G$2:$G$1001,$AB62),100)&gt;=1,MOD(INDEX(기본자료!$G$2:$G$1001,$AB62),100)&lt;=31),DATE(INT(INDEX(기본자료!$G$2:$G$1001,$AB62)/10000),INT(MOD(INDEX(기본자료!$G$2:$G$1001,$AB62),10000)/100),MOD(INDEX(기본자료!$G$2:$G$1001,$AB62),100)),INDEX(기본자료!$G$2:$G$1001,$AB62)&amp;"")))))</f>
        <v/>
      </c>
      <c r="J62" s="10">
        <f>IF($AB62="","",IF(INDEX(기본자료!$H$2:$H$1001,$AB62)="","",INDEX(기본자료!$H$2:$H$1001,$AB62)))</f>
        <v/>
      </c>
      <c r="K62" s="10">
        <f>IF($AB62="","",IF(INDEX(기본자료!$I$2:$I$1001,$AB62)="","",INDEX(기본자료!$I$2:$I$1001,$AB62)))</f>
        <v/>
      </c>
      <c r="L62" s="10">
        <f>IF($AB62="","",IF(INDEX(기본자료!$A$2:$A$1001,$AB62)="","",INDEX(기본자료!$A$2:$A$1001,$AB62)))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파견수련계획!$AB$4:$AB$803,$AK62),OR(NOT(ISNUMBER(INDEX(파견수련계획!$AC$4:$AC$803,$AK62))),TODAY()&lt;=INDEX(파견수련계획!$AC$4:$AC$803,$AK62))),"다기관",IF($AF62="","",INDEX(파견수련계획!$T$4:$T$803,$AF62))),IF($AF62="","",INDEX(파견수련계획!$T$4:$T$803,$AF62))))</f>
        <v/>
      </c>
      <c r="Q62" s="10">
        <f>IF($AF62="","",INDEX(파견수련계획!$S$4:$S$803,$AF62))</f>
        <v/>
      </c>
      <c r="R62" s="10">
        <f>IF($AF62="","",INDEX(파견수련계획!$U$4:$U$803,$AF62))</f>
        <v/>
      </c>
      <c r="S62" s="11">
        <f>IF($AF62="","",IF(INDEX(파견수련계획!$H$4:$H$803,$AF62)="","",INDEX(파견수련계획!$H$4:$H$803,$AF62)))</f>
        <v/>
      </c>
      <c r="T62" s="11">
        <f>IF($AF62="","",IF(INDEX(파견수련계획!$I$4:$I$803,$AF62)="","",INDEX(파견수련계획!$I$4:$I$803,$AF62)))</f>
        <v/>
      </c>
      <c r="U62" s="10">
        <f>IF($AF62="","",INDEX(파견수련계획!$X$4:$X$803,$AF62))</f>
        <v/>
      </c>
      <c r="V62" s="17">
        <f>IF($AF62="","",INDEX(파견수련계획!$V$4:$V$803,$AF62))</f>
        <v/>
      </c>
      <c r="W62" s="17">
        <f>IF(AND($U62="파견중",$T62&lt;&gt;""),$T62-TODAY(),"")</f>
        <v/>
      </c>
      <c r="X62" s="17">
        <f>IF(OR($B62="",TRIM($J62&amp;"")=""),"",SUMPRODUCT((파견수련계획!$Q$4:$Q$803=TRIM($J62&amp;""))*파견수련계획!$W$4:$W$803))</f>
        <v/>
      </c>
      <c r="Y62" s="10">
        <f>IF($B62="","",IF($AG62="","",IF(IF(TRIM($J62&amp;"")="",0,SUMPRODUCT((파견수련계획!$Q$4:$Q$803=TRIM($J62&amp;""))*파견수련계획!$AD$4:$AD$803))&gt;0,$AE62,IF(N($X62)&lt;=0,$AG62,IF($AH62+$AI62=DAY(EOMONTH(요약!$B$3,0)),IF(AND($AH62&gt;=요약!$E$3,$AI62&lt;요약!$E$3),"서울병원",IF(AND($AI62&gt;=요약!$E$3,$AH62&lt;요약!$E$3),"구리병원","⚠15일 판정불가(서울 "&amp;$AH62&amp;"일/구리 "&amp;$AI62&amp;"일)")),IF($AJ62="",$AE62,IF(INDEX(파견수련계획!$T$4:$T$803,$AJ62)="통합수련",INDEX(파견수련계획!$S$4:$S$803,$AJ62),$AE62)))))))</f>
        <v/>
      </c>
      <c r="Z62" s="19">
        <f>IF($B62="","",IF($AB62="","기본자료에 없는 사번",IF(COUNTIF($B$2:$B$401,$B62)&gt;1,"중복 사번",IF($AE62="","소속(입사장소) 입력",IF(IF(TRIM($J62&amp;"")="",0,SUMPRODUCT((파견수련계획!$Q$4:$Q$803=TRIM($J62&amp;""))*(파견수련계획!$AA$4:$AA$803&lt;&gt;"")))&gt;0,"파견수련계획 입력오류 확인",IF(LEFT($Y62,1)="⚠","서울·구리 15일 판정 불가(양쪽 모두 이상/미만)",IF(IF($AC62="",0,N(INDEX(인턴근무계획!$T$3:$T$402,$AC62)))&gt;0,"인턴계획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IF($B62="","",IFERROR(MATCH($B62,기본자료!$B$2:$B$1001,0),IFERROR(MATCH($B62&amp;"",기본자료!$B$2:$B$1001,0),IFERROR(MATCH(VALUE($B62),기본자료!$B$2:$B$1001,0),""))))</f>
        <v/>
      </c>
      <c r="AC62" s="10">
        <f>IF($B62="","",IFERROR(MATCH($B62,인턴근무계획!$D$3:$D$402,0),IFERROR(MATCH($B62&amp;"",인턴근무계획!$D$3:$D$402,0),IFERROR(MATCH(VALUE($B62),인턴근무계획!$D$3:$D$402,0),""))))</f>
        <v/>
      </c>
      <c r="AD62" s="10">
        <f>IF(OR($AC62="",인턴현황!$G$3=""),"",INDEX(인턴근무계획!$M$3:$R$402,$AC62,인턴현황!$G$3)&amp;"")</f>
        <v/>
      </c>
      <c r="AE62" s="10">
        <f>IF($B62="","",IF($M62&lt;&gt;"",$M62,IF($AF62&lt;&gt;"",IF(LEFT(INDEX(파견수련계획!$R$4:$R$803,$AF62),1)&lt;&gt;"⚠",INDEX(파견수련계획!$R$4:$R$803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$803,0),IFERROR(MATCH(TRIM($J62&amp;"")&amp;"|파견예정",파견수련계획!$Y$4:$Y$803,0),IFERROR(MATCH(TRIM($J62&amp;"")&amp;"|파견종료",파견수련계획!$Y$4:$Y$803,0),""))))</f>
        <v/>
      </c>
      <c r="AG62" s="10">
        <f>IF($B62="","",IF(AND(IF(OR($AC62="",인턴현황!$K$2=""),"",INDEX(인턴근무계획!$M$3:$R$402,$AC62,인턴현황!$K$2)&amp;"")&lt;&gt;"",LEFT(IF(OR($AC62="",인턴현황!$K$2=""),"",INDEX(인턴근무계획!$M$3:$R$402,$AC62,인턴현황!$K$2)&amp;""),1)&lt;&gt;"⚠"),LEFT(IF(OR($AC62="",인턴현황!$K$2=""),"",INDEX(인턴근무계획!$M$3:$R$402,$AC62,인턴현황!$K$2)&amp;""),FIND(" ",IF(OR($AC62="",인턴현황!$K$2=""),"",INDEX(인턴근무계획!$M$3:$R$402,$AC62,인턴현황!$K$2)&amp;""))-1),$AE62))</f>
        <v/>
      </c>
      <c r="AH62" s="17">
        <f>IF($B62="","",IF(TRIM($J62&amp;"")="",0,SUMPRODUCT((파견수련계획!$Q$4:$Q$803=TRIM($J62&amp;""))*(파견수련계획!$S$4:$S$803="서울병원")*파견수련계획!$W$4:$W$803))+IF($AG62="서울병원",MAX(0,DAY(EOMONTH(요약!$B$3,0))-N($X62)),0))</f>
        <v/>
      </c>
      <c r="AI62" s="17">
        <f>IF($B62="","",IF(TRIM($J62&amp;"")="",0,SUMPRODUCT((파견수련계획!$Q$4:$Q$803=TRIM($J62&amp;""))*(파견수련계획!$S$4:$S$803="구리병원")*파견수련계획!$W$4:$W$803))+IF($AG62="구리병원",MAX(0,DAY(EOMONTH(요약!$B$3,0))-N($X62)),0))</f>
        <v/>
      </c>
      <c r="AJ62" s="10">
        <f>IF(OR($B62="",TRIM($J62&amp;"")=""),"",IFERROR(MATCH(TRIM($J62&amp;"")&amp;"|월",파견수련계획!$Z$4:$Z$803,0),""))</f>
        <v/>
      </c>
      <c r="AK62" s="10">
        <f>IF(OR($B62="",TRIM($J62&amp;"")=""),"",IFERROR(MATCH(TRIM($J62&amp;"")&amp;"|다기관",파견수련계획!$AE$4:$AE$803,0),""))</f>
        <v/>
      </c>
      <c r="AL62" s="10">
        <f>IF($AK62="","","다기관 "&amp;TEXT(INDEX(파견수련계획!$AB$4:$AB$803,$AK62),"yyyy-mm-dd")&amp;"~"&amp;IF(ISNUMBER(INDEX(파견수련계획!$AC$4:$AC$803,$AK62)),TEXT(INDEX(파견수련계획!$AC$4:$AC$803,$AK62),"yyyy-mm-dd"),""))</f>
        <v/>
      </c>
    </row>
    <row r="63">
      <c r="A63" s="10">
        <f>IF(B63="","",ROW()-1)</f>
        <v/>
      </c>
      <c r="B63" s="18" t="n"/>
      <c r="C63" s="10">
        <f>IF($AB63="","",IF(INDEX(기본자료!$C$2:$C$1001,$AB63)="","",INDEX(기본자료!$C$2:$C$1001,$AB63)))</f>
        <v/>
      </c>
      <c r="D63" s="10">
        <f>IF($AB63="","",IF(INDEX(기본자료!$J$2:$J$1001,$AB63)="","",INDEX(기본자료!$J$2:$J$1001,$AB63)))</f>
        <v/>
      </c>
      <c r="E63" s="11">
        <f>IF($AB63="","",IF(INDEX(기본자료!$K$2:$K$1001,$AB63)="","",IF(NOT(ISNUMBER(INDEX(기본자료!$K$2:$K$1001,$AB63))),INDEX(기본자료!$K$2:$K$1001,$AB63),IF(INDEX(기본자료!$K$2:$K$1001,$AB63)&lt;1000000,INDEX(기본자료!$K$2:$K$1001,$AB63),IF(AND(INDEX(기본자료!$K$2:$K$1001,$AB63)&gt;=10000101,INT(MOD(INDEX(기본자료!$K$2:$K$1001,$AB63),10000)/100)&gt;=1,INT(MOD(INDEX(기본자료!$K$2:$K$1001,$AB63),10000)/100)&lt;=12,MOD(INDEX(기본자료!$K$2:$K$1001,$AB63),100)&gt;=1,MOD(INDEX(기본자료!$K$2:$K$1001,$AB63),100)&lt;=31),DATE(INT(INDEX(기본자료!$K$2:$K$1001,$AB63)/10000),INT(MOD(INDEX(기본자료!$K$2:$K$1001,$AB63),10000)/100),MOD(INDEX(기본자료!$K$2:$K$1001,$AB63),100)),INDEX(기본자료!$K$2:$K$1001,$AB63)&amp;"")))))</f>
        <v/>
      </c>
      <c r="F63" s="10">
        <f>IF($AB63="","",IF(INDEX(기본자료!$D$2:$D$1001,$AB63)="","",INDEX(기본자료!$D$2:$D$1001,$AB63)))</f>
        <v/>
      </c>
      <c r="G63" s="10">
        <f>IF($AB63="","",IF(INDEX(기본자료!$E$2:$E$1001,$AB63)="","",INDEX(기본자료!$E$2:$E$1001,$AB63)))</f>
        <v/>
      </c>
      <c r="H63" s="10">
        <f>IF($AB63="","",IF(INDEX(기본자료!$F$2:$F$1001,$AB63)="","",INDEX(기본자료!$F$2:$F$1001,$AB63)))</f>
        <v/>
      </c>
      <c r="I63" s="11">
        <f>IF($AB63="","",IF(INDEX(기본자료!$G$2:$G$1001,$AB63)="","",IF(NOT(ISNUMBER(INDEX(기본자료!$G$2:$G$1001,$AB63))),INDEX(기본자료!$G$2:$G$1001,$AB63),IF(INDEX(기본자료!$G$2:$G$1001,$AB63)&lt;1000000,INDEX(기본자료!$G$2:$G$1001,$AB63),IF(AND(INDEX(기본자료!$G$2:$G$1001,$AB63)&gt;=10000101,INT(MOD(INDEX(기본자료!$G$2:$G$1001,$AB63),10000)/100)&gt;=1,INT(MOD(INDEX(기본자료!$G$2:$G$1001,$AB63),10000)/100)&lt;=12,MOD(INDEX(기본자료!$G$2:$G$1001,$AB63),100)&gt;=1,MOD(INDEX(기본자료!$G$2:$G$1001,$AB63),100)&lt;=31),DATE(INT(INDEX(기본자료!$G$2:$G$1001,$AB63)/10000),INT(MOD(INDEX(기본자료!$G$2:$G$1001,$AB63),10000)/100),MOD(INDEX(기본자료!$G$2:$G$1001,$AB63),100)),INDEX(기본자료!$G$2:$G$1001,$AB63)&amp;"")))))</f>
        <v/>
      </c>
      <c r="J63" s="10">
        <f>IF($AB63="","",IF(INDEX(기본자료!$H$2:$H$1001,$AB63)="","",INDEX(기본자료!$H$2:$H$1001,$AB63)))</f>
        <v/>
      </c>
      <c r="K63" s="10">
        <f>IF($AB63="","",IF(INDEX(기본자료!$I$2:$I$1001,$AB63)="","",INDEX(기본자료!$I$2:$I$1001,$AB63)))</f>
        <v/>
      </c>
      <c r="L63" s="10">
        <f>IF($AB63="","",IF(INDEX(기본자료!$A$2:$A$1001,$AB63)="","",INDEX(기본자료!$A$2:$A$1001,$AB63)))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파견수련계획!$AB$4:$AB$803,$AK63),OR(NOT(ISNUMBER(INDEX(파견수련계획!$AC$4:$AC$803,$AK63))),TODAY()&lt;=INDEX(파견수련계획!$AC$4:$AC$803,$AK63))),"다기관",IF($AF63="","",INDEX(파견수련계획!$T$4:$T$803,$AF63))),IF($AF63="","",INDEX(파견수련계획!$T$4:$T$803,$AF63))))</f>
        <v/>
      </c>
      <c r="Q63" s="10">
        <f>IF($AF63="","",INDEX(파견수련계획!$S$4:$S$803,$AF63))</f>
        <v/>
      </c>
      <c r="R63" s="10">
        <f>IF($AF63="","",INDEX(파견수련계획!$U$4:$U$803,$AF63))</f>
        <v/>
      </c>
      <c r="S63" s="11">
        <f>IF($AF63="","",IF(INDEX(파견수련계획!$H$4:$H$803,$AF63)="","",INDEX(파견수련계획!$H$4:$H$803,$AF63)))</f>
        <v/>
      </c>
      <c r="T63" s="11">
        <f>IF($AF63="","",IF(INDEX(파견수련계획!$I$4:$I$803,$AF63)="","",INDEX(파견수련계획!$I$4:$I$803,$AF63)))</f>
        <v/>
      </c>
      <c r="U63" s="10">
        <f>IF($AF63="","",INDEX(파견수련계획!$X$4:$X$803,$AF63))</f>
        <v/>
      </c>
      <c r="V63" s="17">
        <f>IF($AF63="","",INDEX(파견수련계획!$V$4:$V$803,$AF63))</f>
        <v/>
      </c>
      <c r="W63" s="17">
        <f>IF(AND($U63="파견중",$T63&lt;&gt;""),$T63-TODAY(),"")</f>
        <v/>
      </c>
      <c r="X63" s="17">
        <f>IF(OR($B63="",TRIM($J63&amp;"")=""),"",SUMPRODUCT((파견수련계획!$Q$4:$Q$803=TRIM($J63&amp;""))*파견수련계획!$W$4:$W$803))</f>
        <v/>
      </c>
      <c r="Y63" s="10">
        <f>IF($B63="","",IF($AG63="","",IF(IF(TRIM($J63&amp;"")="",0,SUMPRODUCT((파견수련계획!$Q$4:$Q$803=TRIM($J63&amp;""))*파견수련계획!$AD$4:$AD$803))&gt;0,$AE63,IF(N($X63)&lt;=0,$AG63,IF($AH63+$AI63=DAY(EOMONTH(요약!$B$3,0)),IF(AND($AH63&gt;=요약!$E$3,$AI63&lt;요약!$E$3),"서울병원",IF(AND($AI63&gt;=요약!$E$3,$AH63&lt;요약!$E$3),"구리병원","⚠15일 판정불가(서울 "&amp;$AH63&amp;"일/구리 "&amp;$AI63&amp;"일)")),IF($AJ63="",$AE63,IF(INDEX(파견수련계획!$T$4:$T$803,$AJ63)="통합수련",INDEX(파견수련계획!$S$4:$S$803,$AJ63),$AE63)))))))</f>
        <v/>
      </c>
      <c r="Z63" s="19">
        <f>IF($B63="","",IF($AB63="","기본자료에 없는 사번",IF(COUNTIF($B$2:$B$401,$B63)&gt;1,"중복 사번",IF($AE63="","소속(입사장소) 입력",IF(IF(TRIM($J63&amp;"")="",0,SUMPRODUCT((파견수련계획!$Q$4:$Q$803=TRIM($J63&amp;""))*(파견수련계획!$AA$4:$AA$803&lt;&gt;"")))&gt;0,"파견수련계획 입력오류 확인",IF(LEFT($Y63,1)="⚠","서울·구리 15일 판정 불가(양쪽 모두 이상/미만)",IF(IF($AC63="",0,N(INDEX(인턴근무계획!$T$3:$T$402,$AC63)))&gt;0,"인턴계획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IF($B63="","",IFERROR(MATCH($B63,기본자료!$B$2:$B$1001,0),IFERROR(MATCH($B63&amp;"",기본자료!$B$2:$B$1001,0),IFERROR(MATCH(VALUE($B63),기본자료!$B$2:$B$1001,0),""))))</f>
        <v/>
      </c>
      <c r="AC63" s="10">
        <f>IF($B63="","",IFERROR(MATCH($B63,인턴근무계획!$D$3:$D$402,0),IFERROR(MATCH($B63&amp;"",인턴근무계획!$D$3:$D$402,0),IFERROR(MATCH(VALUE($B63),인턴근무계획!$D$3:$D$402,0),""))))</f>
        <v/>
      </c>
      <c r="AD63" s="10">
        <f>IF(OR($AC63="",인턴현황!$G$3=""),"",INDEX(인턴근무계획!$M$3:$R$402,$AC63,인턴현황!$G$3)&amp;"")</f>
        <v/>
      </c>
      <c r="AE63" s="10">
        <f>IF($B63="","",IF($M63&lt;&gt;"",$M63,IF($AF63&lt;&gt;"",IF(LEFT(INDEX(파견수련계획!$R$4:$R$803,$AF63),1)&lt;&gt;"⚠",INDEX(파견수련계획!$R$4:$R$803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$803,0),IFERROR(MATCH(TRIM($J63&amp;"")&amp;"|파견예정",파견수련계획!$Y$4:$Y$803,0),IFERROR(MATCH(TRIM($J63&amp;"")&amp;"|파견종료",파견수련계획!$Y$4:$Y$803,0),""))))</f>
        <v/>
      </c>
      <c r="AG63" s="10">
        <f>IF($B63="","",IF(AND(IF(OR($AC63="",인턴현황!$K$2=""),"",INDEX(인턴근무계획!$M$3:$R$402,$AC63,인턴현황!$K$2)&amp;"")&lt;&gt;"",LEFT(IF(OR($AC63="",인턴현황!$K$2=""),"",INDEX(인턴근무계획!$M$3:$R$402,$AC63,인턴현황!$K$2)&amp;""),1)&lt;&gt;"⚠"),LEFT(IF(OR($AC63="",인턴현황!$K$2=""),"",INDEX(인턴근무계획!$M$3:$R$402,$AC63,인턴현황!$K$2)&amp;""),FIND(" ",IF(OR($AC63="",인턴현황!$K$2=""),"",INDEX(인턴근무계획!$M$3:$R$402,$AC63,인턴현황!$K$2)&amp;""))-1),$AE63))</f>
        <v/>
      </c>
      <c r="AH63" s="17">
        <f>IF($B63="","",IF(TRIM($J63&amp;"")="",0,SUMPRODUCT((파견수련계획!$Q$4:$Q$803=TRIM($J63&amp;""))*(파견수련계획!$S$4:$S$803="서울병원")*파견수련계획!$W$4:$W$803))+IF($AG63="서울병원",MAX(0,DAY(EOMONTH(요약!$B$3,0))-N($X63)),0))</f>
        <v/>
      </c>
      <c r="AI63" s="17">
        <f>IF($B63="","",IF(TRIM($J63&amp;"")="",0,SUMPRODUCT((파견수련계획!$Q$4:$Q$803=TRIM($J63&amp;""))*(파견수련계획!$S$4:$S$803="구리병원")*파견수련계획!$W$4:$W$803))+IF($AG63="구리병원",MAX(0,DAY(EOMONTH(요약!$B$3,0))-N($X63)),0))</f>
        <v/>
      </c>
      <c r="AJ63" s="10">
        <f>IF(OR($B63="",TRIM($J63&amp;"")=""),"",IFERROR(MATCH(TRIM($J63&amp;"")&amp;"|월",파견수련계획!$Z$4:$Z$803,0),""))</f>
        <v/>
      </c>
      <c r="AK63" s="10">
        <f>IF(OR($B63="",TRIM($J63&amp;"")=""),"",IFERROR(MATCH(TRIM($J63&amp;"")&amp;"|다기관",파견수련계획!$AE$4:$AE$803,0),""))</f>
        <v/>
      </c>
      <c r="AL63" s="10">
        <f>IF($AK63="","","다기관 "&amp;TEXT(INDEX(파견수련계획!$AB$4:$AB$803,$AK63),"yyyy-mm-dd")&amp;"~"&amp;IF(ISNUMBER(INDEX(파견수련계획!$AC$4:$AC$803,$AK63)),TEXT(INDEX(파견수련계획!$AC$4:$AC$803,$AK63),"yyyy-mm-dd"),""))</f>
        <v/>
      </c>
    </row>
    <row r="64">
      <c r="A64" s="10">
        <f>IF(B64="","",ROW()-1)</f>
        <v/>
      </c>
      <c r="B64" s="18" t="n"/>
      <c r="C64" s="10">
        <f>IF($AB64="","",IF(INDEX(기본자료!$C$2:$C$1001,$AB64)="","",INDEX(기본자료!$C$2:$C$1001,$AB64)))</f>
        <v/>
      </c>
      <c r="D64" s="10">
        <f>IF($AB64="","",IF(INDEX(기본자료!$J$2:$J$1001,$AB64)="","",INDEX(기본자료!$J$2:$J$1001,$AB64)))</f>
        <v/>
      </c>
      <c r="E64" s="11">
        <f>IF($AB64="","",IF(INDEX(기본자료!$K$2:$K$1001,$AB64)="","",IF(NOT(ISNUMBER(INDEX(기본자료!$K$2:$K$1001,$AB64))),INDEX(기본자료!$K$2:$K$1001,$AB64),IF(INDEX(기본자료!$K$2:$K$1001,$AB64)&lt;1000000,INDEX(기본자료!$K$2:$K$1001,$AB64),IF(AND(INDEX(기본자료!$K$2:$K$1001,$AB64)&gt;=10000101,INT(MOD(INDEX(기본자료!$K$2:$K$1001,$AB64),10000)/100)&gt;=1,INT(MOD(INDEX(기본자료!$K$2:$K$1001,$AB64),10000)/100)&lt;=12,MOD(INDEX(기본자료!$K$2:$K$1001,$AB64),100)&gt;=1,MOD(INDEX(기본자료!$K$2:$K$1001,$AB64),100)&lt;=31),DATE(INT(INDEX(기본자료!$K$2:$K$1001,$AB64)/10000),INT(MOD(INDEX(기본자료!$K$2:$K$1001,$AB64),10000)/100),MOD(INDEX(기본자료!$K$2:$K$1001,$AB64),100)),INDEX(기본자료!$K$2:$K$1001,$AB64)&amp;"")))))</f>
        <v/>
      </c>
      <c r="F64" s="10">
        <f>IF($AB64="","",IF(INDEX(기본자료!$D$2:$D$1001,$AB64)="","",INDEX(기본자료!$D$2:$D$1001,$AB64)))</f>
        <v/>
      </c>
      <c r="G64" s="10">
        <f>IF($AB64="","",IF(INDEX(기본자료!$E$2:$E$1001,$AB64)="","",INDEX(기본자료!$E$2:$E$1001,$AB64)))</f>
        <v/>
      </c>
      <c r="H64" s="10">
        <f>IF($AB64="","",IF(INDEX(기본자료!$F$2:$F$1001,$AB64)="","",INDEX(기본자료!$F$2:$F$1001,$AB64)))</f>
        <v/>
      </c>
      <c r="I64" s="11">
        <f>IF($AB64="","",IF(INDEX(기본자료!$G$2:$G$1001,$AB64)="","",IF(NOT(ISNUMBER(INDEX(기본자료!$G$2:$G$1001,$AB64))),INDEX(기본자료!$G$2:$G$1001,$AB64),IF(INDEX(기본자료!$G$2:$G$1001,$AB64)&lt;1000000,INDEX(기본자료!$G$2:$G$1001,$AB64),IF(AND(INDEX(기본자료!$G$2:$G$1001,$AB64)&gt;=10000101,INT(MOD(INDEX(기본자료!$G$2:$G$1001,$AB64),10000)/100)&gt;=1,INT(MOD(INDEX(기본자료!$G$2:$G$1001,$AB64),10000)/100)&lt;=12,MOD(INDEX(기본자료!$G$2:$G$1001,$AB64),100)&gt;=1,MOD(INDEX(기본자료!$G$2:$G$1001,$AB64),100)&lt;=31),DATE(INT(INDEX(기본자료!$G$2:$G$1001,$AB64)/10000),INT(MOD(INDEX(기본자료!$G$2:$G$1001,$AB64),10000)/100),MOD(INDEX(기본자료!$G$2:$G$1001,$AB64),100)),INDEX(기본자료!$G$2:$G$1001,$AB64)&amp;"")))))</f>
        <v/>
      </c>
      <c r="J64" s="10">
        <f>IF($AB64="","",IF(INDEX(기본자료!$H$2:$H$1001,$AB64)="","",INDEX(기본자료!$H$2:$H$1001,$AB64)))</f>
        <v/>
      </c>
      <c r="K64" s="10">
        <f>IF($AB64="","",IF(INDEX(기본자료!$I$2:$I$1001,$AB64)="","",INDEX(기본자료!$I$2:$I$1001,$AB64)))</f>
        <v/>
      </c>
      <c r="L64" s="10">
        <f>IF($AB64="","",IF(INDEX(기본자료!$A$2:$A$1001,$AB64)="","",INDEX(기본자료!$A$2:$A$1001,$AB64)))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파견수련계획!$AB$4:$AB$803,$AK64),OR(NOT(ISNUMBER(INDEX(파견수련계획!$AC$4:$AC$803,$AK64))),TODAY()&lt;=INDEX(파견수련계획!$AC$4:$AC$803,$AK64))),"다기관",IF($AF64="","",INDEX(파견수련계획!$T$4:$T$803,$AF64))),IF($AF64="","",INDEX(파견수련계획!$T$4:$T$803,$AF64))))</f>
        <v/>
      </c>
      <c r="Q64" s="10">
        <f>IF($AF64="","",INDEX(파견수련계획!$S$4:$S$803,$AF64))</f>
        <v/>
      </c>
      <c r="R64" s="10">
        <f>IF($AF64="","",INDEX(파견수련계획!$U$4:$U$803,$AF64))</f>
        <v/>
      </c>
      <c r="S64" s="11">
        <f>IF($AF64="","",IF(INDEX(파견수련계획!$H$4:$H$803,$AF64)="","",INDEX(파견수련계획!$H$4:$H$803,$AF64)))</f>
        <v/>
      </c>
      <c r="T64" s="11">
        <f>IF($AF64="","",IF(INDEX(파견수련계획!$I$4:$I$803,$AF64)="","",INDEX(파견수련계획!$I$4:$I$803,$AF64)))</f>
        <v/>
      </c>
      <c r="U64" s="10">
        <f>IF($AF64="","",INDEX(파견수련계획!$X$4:$X$803,$AF64))</f>
        <v/>
      </c>
      <c r="V64" s="17">
        <f>IF($AF64="","",INDEX(파견수련계획!$V$4:$V$803,$AF64))</f>
        <v/>
      </c>
      <c r="W64" s="17">
        <f>IF(AND($U64="파견중",$T64&lt;&gt;""),$T64-TODAY(),"")</f>
        <v/>
      </c>
      <c r="X64" s="17">
        <f>IF(OR($B64="",TRIM($J64&amp;"")=""),"",SUMPRODUCT((파견수련계획!$Q$4:$Q$803=TRIM($J64&amp;""))*파견수련계획!$W$4:$W$803))</f>
        <v/>
      </c>
      <c r="Y64" s="10">
        <f>IF($B64="","",IF($AG64="","",IF(IF(TRIM($J64&amp;"")="",0,SUMPRODUCT((파견수련계획!$Q$4:$Q$803=TRIM($J64&amp;""))*파견수련계획!$AD$4:$AD$803))&gt;0,$AE64,IF(N($X64)&lt;=0,$AG64,IF($AH64+$AI64=DAY(EOMONTH(요약!$B$3,0)),IF(AND($AH64&gt;=요약!$E$3,$AI64&lt;요약!$E$3),"서울병원",IF(AND($AI64&gt;=요약!$E$3,$AH64&lt;요약!$E$3),"구리병원","⚠15일 판정불가(서울 "&amp;$AH64&amp;"일/구리 "&amp;$AI64&amp;"일)")),IF($AJ64="",$AE64,IF(INDEX(파견수련계획!$T$4:$T$803,$AJ64)="통합수련",INDEX(파견수련계획!$S$4:$S$803,$AJ64),$AE64)))))))</f>
        <v/>
      </c>
      <c r="Z64" s="19">
        <f>IF($B64="","",IF($AB64="","기본자료에 없는 사번",IF(COUNTIF($B$2:$B$401,$B64)&gt;1,"중복 사번",IF($AE64="","소속(입사장소) 입력",IF(IF(TRIM($J64&amp;"")="",0,SUMPRODUCT((파견수련계획!$Q$4:$Q$803=TRIM($J64&amp;""))*(파견수련계획!$AA$4:$AA$803&lt;&gt;"")))&gt;0,"파견수련계획 입력오류 확인",IF(LEFT($Y64,1)="⚠","서울·구리 15일 판정 불가(양쪽 모두 이상/미만)",IF(IF($AC64="",0,N(INDEX(인턴근무계획!$T$3:$T$402,$AC64)))&gt;0,"인턴계획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IF($B64="","",IFERROR(MATCH($B64,기본자료!$B$2:$B$1001,0),IFERROR(MATCH($B64&amp;"",기본자료!$B$2:$B$1001,0),IFERROR(MATCH(VALUE($B64),기본자료!$B$2:$B$1001,0),""))))</f>
        <v/>
      </c>
      <c r="AC64" s="10">
        <f>IF($B64="","",IFERROR(MATCH($B64,인턴근무계획!$D$3:$D$402,0),IFERROR(MATCH($B64&amp;"",인턴근무계획!$D$3:$D$402,0),IFERROR(MATCH(VALUE($B64),인턴근무계획!$D$3:$D$402,0),""))))</f>
        <v/>
      </c>
      <c r="AD64" s="10">
        <f>IF(OR($AC64="",인턴현황!$G$3=""),"",INDEX(인턴근무계획!$M$3:$R$402,$AC64,인턴현황!$G$3)&amp;"")</f>
        <v/>
      </c>
      <c r="AE64" s="10">
        <f>IF($B64="","",IF($M64&lt;&gt;"",$M64,IF($AF64&lt;&gt;"",IF(LEFT(INDEX(파견수련계획!$R$4:$R$803,$AF64),1)&lt;&gt;"⚠",INDEX(파견수련계획!$R$4:$R$803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$803,0),IFERROR(MATCH(TRIM($J64&amp;"")&amp;"|파견예정",파견수련계획!$Y$4:$Y$803,0),IFERROR(MATCH(TRIM($J64&amp;"")&amp;"|파견종료",파견수련계획!$Y$4:$Y$803,0),""))))</f>
        <v/>
      </c>
      <c r="AG64" s="10">
        <f>IF($B64="","",IF(AND(IF(OR($AC64="",인턴현황!$K$2=""),"",INDEX(인턴근무계획!$M$3:$R$402,$AC64,인턴현황!$K$2)&amp;"")&lt;&gt;"",LEFT(IF(OR($AC64="",인턴현황!$K$2=""),"",INDEX(인턴근무계획!$M$3:$R$402,$AC64,인턴현황!$K$2)&amp;""),1)&lt;&gt;"⚠"),LEFT(IF(OR($AC64="",인턴현황!$K$2=""),"",INDEX(인턴근무계획!$M$3:$R$402,$AC64,인턴현황!$K$2)&amp;""),FIND(" ",IF(OR($AC64="",인턴현황!$K$2=""),"",INDEX(인턴근무계획!$M$3:$R$402,$AC64,인턴현황!$K$2)&amp;""))-1),$AE64))</f>
        <v/>
      </c>
      <c r="AH64" s="17">
        <f>IF($B64="","",IF(TRIM($J64&amp;"")="",0,SUMPRODUCT((파견수련계획!$Q$4:$Q$803=TRIM($J64&amp;""))*(파견수련계획!$S$4:$S$803="서울병원")*파견수련계획!$W$4:$W$803))+IF($AG64="서울병원",MAX(0,DAY(EOMONTH(요약!$B$3,0))-N($X64)),0))</f>
        <v/>
      </c>
      <c r="AI64" s="17">
        <f>IF($B64="","",IF(TRIM($J64&amp;"")="",0,SUMPRODUCT((파견수련계획!$Q$4:$Q$803=TRIM($J64&amp;""))*(파견수련계획!$S$4:$S$803="구리병원")*파견수련계획!$W$4:$W$803))+IF($AG64="구리병원",MAX(0,DAY(EOMONTH(요약!$B$3,0))-N($X64)),0))</f>
        <v/>
      </c>
      <c r="AJ64" s="10">
        <f>IF(OR($B64="",TRIM($J64&amp;"")=""),"",IFERROR(MATCH(TRIM($J64&amp;"")&amp;"|월",파견수련계획!$Z$4:$Z$803,0),""))</f>
        <v/>
      </c>
      <c r="AK64" s="10">
        <f>IF(OR($B64="",TRIM($J64&amp;"")=""),"",IFERROR(MATCH(TRIM($J64&amp;"")&amp;"|다기관",파견수련계획!$AE$4:$AE$803,0),""))</f>
        <v/>
      </c>
      <c r="AL64" s="10">
        <f>IF($AK64="","","다기관 "&amp;TEXT(INDEX(파견수련계획!$AB$4:$AB$803,$AK64),"yyyy-mm-dd")&amp;"~"&amp;IF(ISNUMBER(INDEX(파견수련계획!$AC$4:$AC$803,$AK64)),TEXT(INDEX(파견수련계획!$AC$4:$AC$803,$AK64),"yyyy-mm-dd"),""))</f>
        <v/>
      </c>
    </row>
    <row r="65">
      <c r="A65" s="10">
        <f>IF(B65="","",ROW()-1)</f>
        <v/>
      </c>
      <c r="B65" s="18" t="n"/>
      <c r="C65" s="10">
        <f>IF($AB65="","",IF(INDEX(기본자료!$C$2:$C$1001,$AB65)="","",INDEX(기본자료!$C$2:$C$1001,$AB65)))</f>
        <v/>
      </c>
      <c r="D65" s="10">
        <f>IF($AB65="","",IF(INDEX(기본자료!$J$2:$J$1001,$AB65)="","",INDEX(기본자료!$J$2:$J$1001,$AB65)))</f>
        <v/>
      </c>
      <c r="E65" s="11">
        <f>IF($AB65="","",IF(INDEX(기본자료!$K$2:$K$1001,$AB65)="","",IF(NOT(ISNUMBER(INDEX(기본자료!$K$2:$K$1001,$AB65))),INDEX(기본자료!$K$2:$K$1001,$AB65),IF(INDEX(기본자료!$K$2:$K$1001,$AB65)&lt;1000000,INDEX(기본자료!$K$2:$K$1001,$AB65),IF(AND(INDEX(기본자료!$K$2:$K$1001,$AB65)&gt;=10000101,INT(MOD(INDEX(기본자료!$K$2:$K$1001,$AB65),10000)/100)&gt;=1,INT(MOD(INDEX(기본자료!$K$2:$K$1001,$AB65),10000)/100)&lt;=12,MOD(INDEX(기본자료!$K$2:$K$1001,$AB65),100)&gt;=1,MOD(INDEX(기본자료!$K$2:$K$1001,$AB65),100)&lt;=31),DATE(INT(INDEX(기본자료!$K$2:$K$1001,$AB65)/10000),INT(MOD(INDEX(기본자료!$K$2:$K$1001,$AB65),10000)/100),MOD(INDEX(기본자료!$K$2:$K$1001,$AB65),100)),INDEX(기본자료!$K$2:$K$1001,$AB65)&amp;"")))))</f>
        <v/>
      </c>
      <c r="F65" s="10">
        <f>IF($AB65="","",IF(INDEX(기본자료!$D$2:$D$1001,$AB65)="","",INDEX(기본자료!$D$2:$D$1001,$AB65)))</f>
        <v/>
      </c>
      <c r="G65" s="10">
        <f>IF($AB65="","",IF(INDEX(기본자료!$E$2:$E$1001,$AB65)="","",INDEX(기본자료!$E$2:$E$1001,$AB65)))</f>
        <v/>
      </c>
      <c r="H65" s="10">
        <f>IF($AB65="","",IF(INDEX(기본자료!$F$2:$F$1001,$AB65)="","",INDEX(기본자료!$F$2:$F$1001,$AB65)))</f>
        <v/>
      </c>
      <c r="I65" s="11">
        <f>IF($AB65="","",IF(INDEX(기본자료!$G$2:$G$1001,$AB65)="","",IF(NOT(ISNUMBER(INDEX(기본자료!$G$2:$G$1001,$AB65))),INDEX(기본자료!$G$2:$G$1001,$AB65),IF(INDEX(기본자료!$G$2:$G$1001,$AB65)&lt;1000000,INDEX(기본자료!$G$2:$G$1001,$AB65),IF(AND(INDEX(기본자료!$G$2:$G$1001,$AB65)&gt;=10000101,INT(MOD(INDEX(기본자료!$G$2:$G$1001,$AB65),10000)/100)&gt;=1,INT(MOD(INDEX(기본자료!$G$2:$G$1001,$AB65),10000)/100)&lt;=12,MOD(INDEX(기본자료!$G$2:$G$1001,$AB65),100)&gt;=1,MOD(INDEX(기본자료!$G$2:$G$1001,$AB65),100)&lt;=31),DATE(INT(INDEX(기본자료!$G$2:$G$1001,$AB65)/10000),INT(MOD(INDEX(기본자료!$G$2:$G$1001,$AB65),10000)/100),MOD(INDEX(기본자료!$G$2:$G$1001,$AB65),100)),INDEX(기본자료!$G$2:$G$1001,$AB65)&amp;"")))))</f>
        <v/>
      </c>
      <c r="J65" s="10">
        <f>IF($AB65="","",IF(INDEX(기본자료!$H$2:$H$1001,$AB65)="","",INDEX(기본자료!$H$2:$H$1001,$AB65)))</f>
        <v/>
      </c>
      <c r="K65" s="10">
        <f>IF($AB65="","",IF(INDEX(기본자료!$I$2:$I$1001,$AB65)="","",INDEX(기본자료!$I$2:$I$1001,$AB65)))</f>
        <v/>
      </c>
      <c r="L65" s="10">
        <f>IF($AB65="","",IF(INDEX(기본자료!$A$2:$A$1001,$AB65)="","",INDEX(기본자료!$A$2:$A$1001,$AB65)))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파견수련계획!$AB$4:$AB$803,$AK65),OR(NOT(ISNUMBER(INDEX(파견수련계획!$AC$4:$AC$803,$AK65))),TODAY()&lt;=INDEX(파견수련계획!$AC$4:$AC$803,$AK65))),"다기관",IF($AF65="","",INDEX(파견수련계획!$T$4:$T$803,$AF65))),IF($AF65="","",INDEX(파견수련계획!$T$4:$T$803,$AF65))))</f>
        <v/>
      </c>
      <c r="Q65" s="10">
        <f>IF($AF65="","",INDEX(파견수련계획!$S$4:$S$803,$AF65))</f>
        <v/>
      </c>
      <c r="R65" s="10">
        <f>IF($AF65="","",INDEX(파견수련계획!$U$4:$U$803,$AF65))</f>
        <v/>
      </c>
      <c r="S65" s="11">
        <f>IF($AF65="","",IF(INDEX(파견수련계획!$H$4:$H$803,$AF65)="","",INDEX(파견수련계획!$H$4:$H$803,$AF65)))</f>
        <v/>
      </c>
      <c r="T65" s="11">
        <f>IF($AF65="","",IF(INDEX(파견수련계획!$I$4:$I$803,$AF65)="","",INDEX(파견수련계획!$I$4:$I$803,$AF65)))</f>
        <v/>
      </c>
      <c r="U65" s="10">
        <f>IF($AF65="","",INDEX(파견수련계획!$X$4:$X$803,$AF65))</f>
        <v/>
      </c>
      <c r="V65" s="17">
        <f>IF($AF65="","",INDEX(파견수련계획!$V$4:$V$803,$AF65))</f>
        <v/>
      </c>
      <c r="W65" s="17">
        <f>IF(AND($U65="파견중",$T65&lt;&gt;""),$T65-TODAY(),"")</f>
        <v/>
      </c>
      <c r="X65" s="17">
        <f>IF(OR($B65="",TRIM($J65&amp;"")=""),"",SUMPRODUCT((파견수련계획!$Q$4:$Q$803=TRIM($J65&amp;""))*파견수련계획!$W$4:$W$803))</f>
        <v/>
      </c>
      <c r="Y65" s="10">
        <f>IF($B65="","",IF($AG65="","",IF(IF(TRIM($J65&amp;"")="",0,SUMPRODUCT((파견수련계획!$Q$4:$Q$803=TRIM($J65&amp;""))*파견수련계획!$AD$4:$AD$803))&gt;0,$AE65,IF(N($X65)&lt;=0,$AG65,IF($AH65+$AI65=DAY(EOMONTH(요약!$B$3,0)),IF(AND($AH65&gt;=요약!$E$3,$AI65&lt;요약!$E$3),"서울병원",IF(AND($AI65&gt;=요약!$E$3,$AH65&lt;요약!$E$3),"구리병원","⚠15일 판정불가(서울 "&amp;$AH65&amp;"일/구리 "&amp;$AI65&amp;"일)")),IF($AJ65="",$AE65,IF(INDEX(파견수련계획!$T$4:$T$803,$AJ65)="통합수련",INDEX(파견수련계획!$S$4:$S$803,$AJ65),$AE65)))))))</f>
        <v/>
      </c>
      <c r="Z65" s="19">
        <f>IF($B65="","",IF($AB65="","기본자료에 없는 사번",IF(COUNTIF($B$2:$B$401,$B65)&gt;1,"중복 사번",IF($AE65="","소속(입사장소) 입력",IF(IF(TRIM($J65&amp;"")="",0,SUMPRODUCT((파견수련계획!$Q$4:$Q$803=TRIM($J65&amp;""))*(파견수련계획!$AA$4:$AA$803&lt;&gt;"")))&gt;0,"파견수련계획 입력오류 확인",IF(LEFT($Y65,1)="⚠","서울·구리 15일 판정 불가(양쪽 모두 이상/미만)",IF(IF($AC65="",0,N(INDEX(인턴근무계획!$T$3:$T$402,$AC65)))&gt;0,"인턴계획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IF($B65="","",IFERROR(MATCH($B65,기본자료!$B$2:$B$1001,0),IFERROR(MATCH($B65&amp;"",기본자료!$B$2:$B$1001,0),IFERROR(MATCH(VALUE($B65),기본자료!$B$2:$B$1001,0),""))))</f>
        <v/>
      </c>
      <c r="AC65" s="10">
        <f>IF($B65="","",IFERROR(MATCH($B65,인턴근무계획!$D$3:$D$402,0),IFERROR(MATCH($B65&amp;"",인턴근무계획!$D$3:$D$402,0),IFERROR(MATCH(VALUE($B65),인턴근무계획!$D$3:$D$402,0),""))))</f>
        <v/>
      </c>
      <c r="AD65" s="10">
        <f>IF(OR($AC65="",인턴현황!$G$3=""),"",INDEX(인턴근무계획!$M$3:$R$402,$AC65,인턴현황!$G$3)&amp;"")</f>
        <v/>
      </c>
      <c r="AE65" s="10">
        <f>IF($B65="","",IF($M65&lt;&gt;"",$M65,IF($AF65&lt;&gt;"",IF(LEFT(INDEX(파견수련계획!$R$4:$R$803,$AF65),1)&lt;&gt;"⚠",INDEX(파견수련계획!$R$4:$R$803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$803,0),IFERROR(MATCH(TRIM($J65&amp;"")&amp;"|파견예정",파견수련계획!$Y$4:$Y$803,0),IFERROR(MATCH(TRIM($J65&amp;"")&amp;"|파견종료",파견수련계획!$Y$4:$Y$803,0),""))))</f>
        <v/>
      </c>
      <c r="AG65" s="10">
        <f>IF($B65="","",IF(AND(IF(OR($AC65="",인턴현황!$K$2=""),"",INDEX(인턴근무계획!$M$3:$R$402,$AC65,인턴현황!$K$2)&amp;"")&lt;&gt;"",LEFT(IF(OR($AC65="",인턴현황!$K$2=""),"",INDEX(인턴근무계획!$M$3:$R$402,$AC65,인턴현황!$K$2)&amp;""),1)&lt;&gt;"⚠"),LEFT(IF(OR($AC65="",인턴현황!$K$2=""),"",INDEX(인턴근무계획!$M$3:$R$402,$AC65,인턴현황!$K$2)&amp;""),FIND(" ",IF(OR($AC65="",인턴현황!$K$2=""),"",INDEX(인턴근무계획!$M$3:$R$402,$AC65,인턴현황!$K$2)&amp;""))-1),$AE65))</f>
        <v/>
      </c>
      <c r="AH65" s="17">
        <f>IF($B65="","",IF(TRIM($J65&amp;"")="",0,SUMPRODUCT((파견수련계획!$Q$4:$Q$803=TRIM($J65&amp;""))*(파견수련계획!$S$4:$S$803="서울병원")*파견수련계획!$W$4:$W$803))+IF($AG65="서울병원",MAX(0,DAY(EOMONTH(요약!$B$3,0))-N($X65)),0))</f>
        <v/>
      </c>
      <c r="AI65" s="17">
        <f>IF($B65="","",IF(TRIM($J65&amp;"")="",0,SUMPRODUCT((파견수련계획!$Q$4:$Q$803=TRIM($J65&amp;""))*(파견수련계획!$S$4:$S$803="구리병원")*파견수련계획!$W$4:$W$803))+IF($AG65="구리병원",MAX(0,DAY(EOMONTH(요약!$B$3,0))-N($X65)),0))</f>
        <v/>
      </c>
      <c r="AJ65" s="10">
        <f>IF(OR($B65="",TRIM($J65&amp;"")=""),"",IFERROR(MATCH(TRIM($J65&amp;"")&amp;"|월",파견수련계획!$Z$4:$Z$803,0),""))</f>
        <v/>
      </c>
      <c r="AK65" s="10">
        <f>IF(OR($B65="",TRIM($J65&amp;"")=""),"",IFERROR(MATCH(TRIM($J65&amp;"")&amp;"|다기관",파견수련계획!$AE$4:$AE$803,0),""))</f>
        <v/>
      </c>
      <c r="AL65" s="10">
        <f>IF($AK65="","","다기관 "&amp;TEXT(INDEX(파견수련계획!$AB$4:$AB$803,$AK65),"yyyy-mm-dd")&amp;"~"&amp;IF(ISNUMBER(INDEX(파견수련계획!$AC$4:$AC$803,$AK65)),TEXT(INDEX(파견수련계획!$AC$4:$AC$803,$AK65),"yyyy-mm-dd"),""))</f>
        <v/>
      </c>
    </row>
    <row r="66">
      <c r="A66" s="10">
        <f>IF(B66="","",ROW()-1)</f>
        <v/>
      </c>
      <c r="B66" s="18" t="n"/>
      <c r="C66" s="10">
        <f>IF($AB66="","",IF(INDEX(기본자료!$C$2:$C$1001,$AB66)="","",INDEX(기본자료!$C$2:$C$1001,$AB66)))</f>
        <v/>
      </c>
      <c r="D66" s="10">
        <f>IF($AB66="","",IF(INDEX(기본자료!$J$2:$J$1001,$AB66)="","",INDEX(기본자료!$J$2:$J$1001,$AB66)))</f>
        <v/>
      </c>
      <c r="E66" s="11">
        <f>IF($AB66="","",IF(INDEX(기본자료!$K$2:$K$1001,$AB66)="","",IF(NOT(ISNUMBER(INDEX(기본자료!$K$2:$K$1001,$AB66))),INDEX(기본자료!$K$2:$K$1001,$AB66),IF(INDEX(기본자료!$K$2:$K$1001,$AB66)&lt;1000000,INDEX(기본자료!$K$2:$K$1001,$AB66),IF(AND(INDEX(기본자료!$K$2:$K$1001,$AB66)&gt;=10000101,INT(MOD(INDEX(기본자료!$K$2:$K$1001,$AB66),10000)/100)&gt;=1,INT(MOD(INDEX(기본자료!$K$2:$K$1001,$AB66),10000)/100)&lt;=12,MOD(INDEX(기본자료!$K$2:$K$1001,$AB66),100)&gt;=1,MOD(INDEX(기본자료!$K$2:$K$1001,$AB66),100)&lt;=31),DATE(INT(INDEX(기본자료!$K$2:$K$1001,$AB66)/10000),INT(MOD(INDEX(기본자료!$K$2:$K$1001,$AB66),10000)/100),MOD(INDEX(기본자료!$K$2:$K$1001,$AB66),100)),INDEX(기본자료!$K$2:$K$1001,$AB66)&amp;"")))))</f>
        <v/>
      </c>
      <c r="F66" s="10">
        <f>IF($AB66="","",IF(INDEX(기본자료!$D$2:$D$1001,$AB66)="","",INDEX(기본자료!$D$2:$D$1001,$AB66)))</f>
        <v/>
      </c>
      <c r="G66" s="10">
        <f>IF($AB66="","",IF(INDEX(기본자료!$E$2:$E$1001,$AB66)="","",INDEX(기본자료!$E$2:$E$1001,$AB66)))</f>
        <v/>
      </c>
      <c r="H66" s="10">
        <f>IF($AB66="","",IF(INDEX(기본자료!$F$2:$F$1001,$AB66)="","",INDEX(기본자료!$F$2:$F$1001,$AB66)))</f>
        <v/>
      </c>
      <c r="I66" s="11">
        <f>IF($AB66="","",IF(INDEX(기본자료!$G$2:$G$1001,$AB66)="","",IF(NOT(ISNUMBER(INDEX(기본자료!$G$2:$G$1001,$AB66))),INDEX(기본자료!$G$2:$G$1001,$AB66),IF(INDEX(기본자료!$G$2:$G$1001,$AB66)&lt;1000000,INDEX(기본자료!$G$2:$G$1001,$AB66),IF(AND(INDEX(기본자료!$G$2:$G$1001,$AB66)&gt;=10000101,INT(MOD(INDEX(기본자료!$G$2:$G$1001,$AB66),10000)/100)&gt;=1,INT(MOD(INDEX(기본자료!$G$2:$G$1001,$AB66),10000)/100)&lt;=12,MOD(INDEX(기본자료!$G$2:$G$1001,$AB66),100)&gt;=1,MOD(INDEX(기본자료!$G$2:$G$1001,$AB66),100)&lt;=31),DATE(INT(INDEX(기본자료!$G$2:$G$1001,$AB66)/10000),INT(MOD(INDEX(기본자료!$G$2:$G$1001,$AB66),10000)/100),MOD(INDEX(기본자료!$G$2:$G$1001,$AB66),100)),INDEX(기본자료!$G$2:$G$1001,$AB66)&amp;"")))))</f>
        <v/>
      </c>
      <c r="J66" s="10">
        <f>IF($AB66="","",IF(INDEX(기본자료!$H$2:$H$1001,$AB66)="","",INDEX(기본자료!$H$2:$H$1001,$AB66)))</f>
        <v/>
      </c>
      <c r="K66" s="10">
        <f>IF($AB66="","",IF(INDEX(기본자료!$I$2:$I$1001,$AB66)="","",INDEX(기본자료!$I$2:$I$1001,$AB66)))</f>
        <v/>
      </c>
      <c r="L66" s="10">
        <f>IF($AB66="","",IF(INDEX(기본자료!$A$2:$A$1001,$AB66)="","",INDEX(기본자료!$A$2:$A$1001,$AB66)))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파견수련계획!$AB$4:$AB$803,$AK66),OR(NOT(ISNUMBER(INDEX(파견수련계획!$AC$4:$AC$803,$AK66))),TODAY()&lt;=INDEX(파견수련계획!$AC$4:$AC$803,$AK66))),"다기관",IF($AF66="","",INDEX(파견수련계획!$T$4:$T$803,$AF66))),IF($AF66="","",INDEX(파견수련계획!$T$4:$T$803,$AF66))))</f>
        <v/>
      </c>
      <c r="Q66" s="10">
        <f>IF($AF66="","",INDEX(파견수련계획!$S$4:$S$803,$AF66))</f>
        <v/>
      </c>
      <c r="R66" s="10">
        <f>IF($AF66="","",INDEX(파견수련계획!$U$4:$U$803,$AF66))</f>
        <v/>
      </c>
      <c r="S66" s="11">
        <f>IF($AF66="","",IF(INDEX(파견수련계획!$H$4:$H$803,$AF66)="","",INDEX(파견수련계획!$H$4:$H$803,$AF66)))</f>
        <v/>
      </c>
      <c r="T66" s="11">
        <f>IF($AF66="","",IF(INDEX(파견수련계획!$I$4:$I$803,$AF66)="","",INDEX(파견수련계획!$I$4:$I$803,$AF66)))</f>
        <v/>
      </c>
      <c r="U66" s="10">
        <f>IF($AF66="","",INDEX(파견수련계획!$X$4:$X$803,$AF66))</f>
        <v/>
      </c>
      <c r="V66" s="17">
        <f>IF($AF66="","",INDEX(파견수련계획!$V$4:$V$803,$AF66))</f>
        <v/>
      </c>
      <c r="W66" s="17">
        <f>IF(AND($U66="파견중",$T66&lt;&gt;""),$T66-TODAY(),"")</f>
        <v/>
      </c>
      <c r="X66" s="17">
        <f>IF(OR($B66="",TRIM($J66&amp;"")=""),"",SUMPRODUCT((파견수련계획!$Q$4:$Q$803=TRIM($J66&amp;""))*파견수련계획!$W$4:$W$803))</f>
        <v/>
      </c>
      <c r="Y66" s="10">
        <f>IF($B66="","",IF($AG66="","",IF(IF(TRIM($J66&amp;"")="",0,SUMPRODUCT((파견수련계획!$Q$4:$Q$803=TRIM($J66&amp;""))*파견수련계획!$AD$4:$AD$803))&gt;0,$AE66,IF(N($X66)&lt;=0,$AG66,IF($AH66+$AI66=DAY(EOMONTH(요약!$B$3,0)),IF(AND($AH66&gt;=요약!$E$3,$AI66&lt;요약!$E$3),"서울병원",IF(AND($AI66&gt;=요약!$E$3,$AH66&lt;요약!$E$3),"구리병원","⚠15일 판정불가(서울 "&amp;$AH66&amp;"일/구리 "&amp;$AI66&amp;"일)")),IF($AJ66="",$AE66,IF(INDEX(파견수련계획!$T$4:$T$803,$AJ66)="통합수련",INDEX(파견수련계획!$S$4:$S$803,$AJ66),$AE66)))))))</f>
        <v/>
      </c>
      <c r="Z66" s="19">
        <f>IF($B66="","",IF($AB66="","기본자료에 없는 사번",IF(COUNTIF($B$2:$B$401,$B66)&gt;1,"중복 사번",IF($AE66="","소속(입사장소) 입력",IF(IF(TRIM($J66&amp;"")="",0,SUMPRODUCT((파견수련계획!$Q$4:$Q$803=TRIM($J66&amp;""))*(파견수련계획!$AA$4:$AA$803&lt;&gt;"")))&gt;0,"파견수련계획 입력오류 확인",IF(LEFT($Y66,1)="⚠","서울·구리 15일 판정 불가(양쪽 모두 이상/미만)",IF(IF($AC66="",0,N(INDEX(인턴근무계획!$T$3:$T$402,$AC66)))&gt;0,"인턴계획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IF($B66="","",IFERROR(MATCH($B66,기본자료!$B$2:$B$1001,0),IFERROR(MATCH($B66&amp;"",기본자료!$B$2:$B$1001,0),IFERROR(MATCH(VALUE($B66),기본자료!$B$2:$B$1001,0),""))))</f>
        <v/>
      </c>
      <c r="AC66" s="10">
        <f>IF($B66="","",IFERROR(MATCH($B66,인턴근무계획!$D$3:$D$402,0),IFERROR(MATCH($B66&amp;"",인턴근무계획!$D$3:$D$402,0),IFERROR(MATCH(VALUE($B66),인턴근무계획!$D$3:$D$402,0),""))))</f>
        <v/>
      </c>
      <c r="AD66" s="10">
        <f>IF(OR($AC66="",인턴현황!$G$3=""),"",INDEX(인턴근무계획!$M$3:$R$402,$AC66,인턴현황!$G$3)&amp;"")</f>
        <v/>
      </c>
      <c r="AE66" s="10">
        <f>IF($B66="","",IF($M66&lt;&gt;"",$M66,IF($AF66&lt;&gt;"",IF(LEFT(INDEX(파견수련계획!$R$4:$R$803,$AF66),1)&lt;&gt;"⚠",INDEX(파견수련계획!$R$4:$R$803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$803,0),IFERROR(MATCH(TRIM($J66&amp;"")&amp;"|파견예정",파견수련계획!$Y$4:$Y$803,0),IFERROR(MATCH(TRIM($J66&amp;"")&amp;"|파견종료",파견수련계획!$Y$4:$Y$803,0),""))))</f>
        <v/>
      </c>
      <c r="AG66" s="10">
        <f>IF($B66="","",IF(AND(IF(OR($AC66="",인턴현황!$K$2=""),"",INDEX(인턴근무계획!$M$3:$R$402,$AC66,인턴현황!$K$2)&amp;"")&lt;&gt;"",LEFT(IF(OR($AC66="",인턴현황!$K$2=""),"",INDEX(인턴근무계획!$M$3:$R$402,$AC66,인턴현황!$K$2)&amp;""),1)&lt;&gt;"⚠"),LEFT(IF(OR($AC66="",인턴현황!$K$2=""),"",INDEX(인턴근무계획!$M$3:$R$402,$AC66,인턴현황!$K$2)&amp;""),FIND(" ",IF(OR($AC66="",인턴현황!$K$2=""),"",INDEX(인턴근무계획!$M$3:$R$402,$AC66,인턴현황!$K$2)&amp;""))-1),$AE66))</f>
        <v/>
      </c>
      <c r="AH66" s="17">
        <f>IF($B66="","",IF(TRIM($J66&amp;"")="",0,SUMPRODUCT((파견수련계획!$Q$4:$Q$803=TRIM($J66&amp;""))*(파견수련계획!$S$4:$S$803="서울병원")*파견수련계획!$W$4:$W$803))+IF($AG66="서울병원",MAX(0,DAY(EOMONTH(요약!$B$3,0))-N($X66)),0))</f>
        <v/>
      </c>
      <c r="AI66" s="17">
        <f>IF($B66="","",IF(TRIM($J66&amp;"")="",0,SUMPRODUCT((파견수련계획!$Q$4:$Q$803=TRIM($J66&amp;""))*(파견수련계획!$S$4:$S$803="구리병원")*파견수련계획!$W$4:$W$803))+IF($AG66="구리병원",MAX(0,DAY(EOMONTH(요약!$B$3,0))-N($X66)),0))</f>
        <v/>
      </c>
      <c r="AJ66" s="10">
        <f>IF(OR($B66="",TRIM($J66&amp;"")=""),"",IFERROR(MATCH(TRIM($J66&amp;"")&amp;"|월",파견수련계획!$Z$4:$Z$803,0),""))</f>
        <v/>
      </c>
      <c r="AK66" s="10">
        <f>IF(OR($B66="",TRIM($J66&amp;"")=""),"",IFERROR(MATCH(TRIM($J66&amp;"")&amp;"|다기관",파견수련계획!$AE$4:$AE$803,0),""))</f>
        <v/>
      </c>
      <c r="AL66" s="10">
        <f>IF($AK66="","","다기관 "&amp;TEXT(INDEX(파견수련계획!$AB$4:$AB$803,$AK66),"yyyy-mm-dd")&amp;"~"&amp;IF(ISNUMBER(INDEX(파견수련계획!$AC$4:$AC$803,$AK66)),TEXT(INDEX(파견수련계획!$AC$4:$AC$803,$AK66),"yyyy-mm-dd"),""))</f>
        <v/>
      </c>
    </row>
    <row r="67">
      <c r="A67" s="10">
        <f>IF(B67="","",ROW()-1)</f>
        <v/>
      </c>
      <c r="B67" s="18" t="n"/>
      <c r="C67" s="10">
        <f>IF($AB67="","",IF(INDEX(기본자료!$C$2:$C$1001,$AB67)="","",INDEX(기본자료!$C$2:$C$1001,$AB67)))</f>
        <v/>
      </c>
      <c r="D67" s="10">
        <f>IF($AB67="","",IF(INDEX(기본자료!$J$2:$J$1001,$AB67)="","",INDEX(기본자료!$J$2:$J$1001,$AB67)))</f>
        <v/>
      </c>
      <c r="E67" s="11">
        <f>IF($AB67="","",IF(INDEX(기본자료!$K$2:$K$1001,$AB67)="","",IF(NOT(ISNUMBER(INDEX(기본자료!$K$2:$K$1001,$AB67))),INDEX(기본자료!$K$2:$K$1001,$AB67),IF(INDEX(기본자료!$K$2:$K$1001,$AB67)&lt;1000000,INDEX(기본자료!$K$2:$K$1001,$AB67),IF(AND(INDEX(기본자료!$K$2:$K$1001,$AB67)&gt;=10000101,INT(MOD(INDEX(기본자료!$K$2:$K$1001,$AB67),10000)/100)&gt;=1,INT(MOD(INDEX(기본자료!$K$2:$K$1001,$AB67),10000)/100)&lt;=12,MOD(INDEX(기본자료!$K$2:$K$1001,$AB67),100)&gt;=1,MOD(INDEX(기본자료!$K$2:$K$1001,$AB67),100)&lt;=31),DATE(INT(INDEX(기본자료!$K$2:$K$1001,$AB67)/10000),INT(MOD(INDEX(기본자료!$K$2:$K$1001,$AB67),10000)/100),MOD(INDEX(기본자료!$K$2:$K$1001,$AB67),100)),INDEX(기본자료!$K$2:$K$1001,$AB67)&amp;"")))))</f>
        <v/>
      </c>
      <c r="F67" s="10">
        <f>IF($AB67="","",IF(INDEX(기본자료!$D$2:$D$1001,$AB67)="","",INDEX(기본자료!$D$2:$D$1001,$AB67)))</f>
        <v/>
      </c>
      <c r="G67" s="10">
        <f>IF($AB67="","",IF(INDEX(기본자료!$E$2:$E$1001,$AB67)="","",INDEX(기본자료!$E$2:$E$1001,$AB67)))</f>
        <v/>
      </c>
      <c r="H67" s="10">
        <f>IF($AB67="","",IF(INDEX(기본자료!$F$2:$F$1001,$AB67)="","",INDEX(기본자료!$F$2:$F$1001,$AB67)))</f>
        <v/>
      </c>
      <c r="I67" s="11">
        <f>IF($AB67="","",IF(INDEX(기본자료!$G$2:$G$1001,$AB67)="","",IF(NOT(ISNUMBER(INDEX(기본자료!$G$2:$G$1001,$AB67))),INDEX(기본자료!$G$2:$G$1001,$AB67),IF(INDEX(기본자료!$G$2:$G$1001,$AB67)&lt;1000000,INDEX(기본자료!$G$2:$G$1001,$AB67),IF(AND(INDEX(기본자료!$G$2:$G$1001,$AB67)&gt;=10000101,INT(MOD(INDEX(기본자료!$G$2:$G$1001,$AB67),10000)/100)&gt;=1,INT(MOD(INDEX(기본자료!$G$2:$G$1001,$AB67),10000)/100)&lt;=12,MOD(INDEX(기본자료!$G$2:$G$1001,$AB67),100)&gt;=1,MOD(INDEX(기본자료!$G$2:$G$1001,$AB67),100)&lt;=31),DATE(INT(INDEX(기본자료!$G$2:$G$1001,$AB67)/10000),INT(MOD(INDEX(기본자료!$G$2:$G$1001,$AB67),10000)/100),MOD(INDEX(기본자료!$G$2:$G$1001,$AB67),100)),INDEX(기본자료!$G$2:$G$1001,$AB67)&amp;"")))))</f>
        <v/>
      </c>
      <c r="J67" s="10">
        <f>IF($AB67="","",IF(INDEX(기본자료!$H$2:$H$1001,$AB67)="","",INDEX(기본자료!$H$2:$H$1001,$AB67)))</f>
        <v/>
      </c>
      <c r="K67" s="10">
        <f>IF($AB67="","",IF(INDEX(기본자료!$I$2:$I$1001,$AB67)="","",INDEX(기본자료!$I$2:$I$1001,$AB67)))</f>
        <v/>
      </c>
      <c r="L67" s="10">
        <f>IF($AB67="","",IF(INDEX(기본자료!$A$2:$A$1001,$AB67)="","",INDEX(기본자료!$A$2:$A$1001,$AB67)))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파견수련계획!$AB$4:$AB$803,$AK67),OR(NOT(ISNUMBER(INDEX(파견수련계획!$AC$4:$AC$803,$AK67))),TODAY()&lt;=INDEX(파견수련계획!$AC$4:$AC$803,$AK67))),"다기관",IF($AF67="","",INDEX(파견수련계획!$T$4:$T$803,$AF67))),IF($AF67="","",INDEX(파견수련계획!$T$4:$T$803,$AF67))))</f>
        <v/>
      </c>
      <c r="Q67" s="10">
        <f>IF($AF67="","",INDEX(파견수련계획!$S$4:$S$803,$AF67))</f>
        <v/>
      </c>
      <c r="R67" s="10">
        <f>IF($AF67="","",INDEX(파견수련계획!$U$4:$U$803,$AF67))</f>
        <v/>
      </c>
      <c r="S67" s="11">
        <f>IF($AF67="","",IF(INDEX(파견수련계획!$H$4:$H$803,$AF67)="","",INDEX(파견수련계획!$H$4:$H$803,$AF67)))</f>
        <v/>
      </c>
      <c r="T67" s="11">
        <f>IF($AF67="","",IF(INDEX(파견수련계획!$I$4:$I$803,$AF67)="","",INDEX(파견수련계획!$I$4:$I$803,$AF67)))</f>
        <v/>
      </c>
      <c r="U67" s="10">
        <f>IF($AF67="","",INDEX(파견수련계획!$X$4:$X$803,$AF67))</f>
        <v/>
      </c>
      <c r="V67" s="17">
        <f>IF($AF67="","",INDEX(파견수련계획!$V$4:$V$803,$AF67))</f>
        <v/>
      </c>
      <c r="W67" s="17">
        <f>IF(AND($U67="파견중",$T67&lt;&gt;""),$T67-TODAY(),"")</f>
        <v/>
      </c>
      <c r="X67" s="17">
        <f>IF(OR($B67="",TRIM($J67&amp;"")=""),"",SUMPRODUCT((파견수련계획!$Q$4:$Q$803=TRIM($J67&amp;""))*파견수련계획!$W$4:$W$803))</f>
        <v/>
      </c>
      <c r="Y67" s="10">
        <f>IF($B67="","",IF($AG67="","",IF(IF(TRIM($J67&amp;"")="",0,SUMPRODUCT((파견수련계획!$Q$4:$Q$803=TRIM($J67&amp;""))*파견수련계획!$AD$4:$AD$803))&gt;0,$AE67,IF(N($X67)&lt;=0,$AG67,IF($AH67+$AI67=DAY(EOMONTH(요약!$B$3,0)),IF(AND($AH67&gt;=요약!$E$3,$AI67&lt;요약!$E$3),"서울병원",IF(AND($AI67&gt;=요약!$E$3,$AH67&lt;요약!$E$3),"구리병원","⚠15일 판정불가(서울 "&amp;$AH67&amp;"일/구리 "&amp;$AI67&amp;"일)")),IF($AJ67="",$AE67,IF(INDEX(파견수련계획!$T$4:$T$803,$AJ67)="통합수련",INDEX(파견수련계획!$S$4:$S$803,$AJ67),$AE67)))))))</f>
        <v/>
      </c>
      <c r="Z67" s="19">
        <f>IF($B67="","",IF($AB67="","기본자료에 없는 사번",IF(COUNTIF($B$2:$B$401,$B67)&gt;1,"중복 사번",IF($AE67="","소속(입사장소) 입력",IF(IF(TRIM($J67&amp;"")="",0,SUMPRODUCT((파견수련계획!$Q$4:$Q$803=TRIM($J67&amp;""))*(파견수련계획!$AA$4:$AA$803&lt;&gt;"")))&gt;0,"파견수련계획 입력오류 확인",IF(LEFT($Y67,1)="⚠","서울·구리 15일 판정 불가(양쪽 모두 이상/미만)",IF(IF($AC67="",0,N(INDEX(인턴근무계획!$T$3:$T$402,$AC67)))&gt;0,"인턴계획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IF($B67="","",IFERROR(MATCH($B67,기본자료!$B$2:$B$1001,0),IFERROR(MATCH($B67&amp;"",기본자료!$B$2:$B$1001,0),IFERROR(MATCH(VALUE($B67),기본자료!$B$2:$B$1001,0),""))))</f>
        <v/>
      </c>
      <c r="AC67" s="10">
        <f>IF($B67="","",IFERROR(MATCH($B67,인턴근무계획!$D$3:$D$402,0),IFERROR(MATCH($B67&amp;"",인턴근무계획!$D$3:$D$402,0),IFERROR(MATCH(VALUE($B67),인턴근무계획!$D$3:$D$402,0),""))))</f>
        <v/>
      </c>
      <c r="AD67" s="10">
        <f>IF(OR($AC67="",인턴현황!$G$3=""),"",INDEX(인턴근무계획!$M$3:$R$402,$AC67,인턴현황!$G$3)&amp;"")</f>
        <v/>
      </c>
      <c r="AE67" s="10">
        <f>IF($B67="","",IF($M67&lt;&gt;"",$M67,IF($AF67&lt;&gt;"",IF(LEFT(INDEX(파견수련계획!$R$4:$R$803,$AF67),1)&lt;&gt;"⚠",INDEX(파견수련계획!$R$4:$R$803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$803,0),IFERROR(MATCH(TRIM($J67&amp;"")&amp;"|파견예정",파견수련계획!$Y$4:$Y$803,0),IFERROR(MATCH(TRIM($J67&amp;"")&amp;"|파견종료",파견수련계획!$Y$4:$Y$803,0),""))))</f>
        <v/>
      </c>
      <c r="AG67" s="10">
        <f>IF($B67="","",IF(AND(IF(OR($AC67="",인턴현황!$K$2=""),"",INDEX(인턴근무계획!$M$3:$R$402,$AC67,인턴현황!$K$2)&amp;"")&lt;&gt;"",LEFT(IF(OR($AC67="",인턴현황!$K$2=""),"",INDEX(인턴근무계획!$M$3:$R$402,$AC67,인턴현황!$K$2)&amp;""),1)&lt;&gt;"⚠"),LEFT(IF(OR($AC67="",인턴현황!$K$2=""),"",INDEX(인턴근무계획!$M$3:$R$402,$AC67,인턴현황!$K$2)&amp;""),FIND(" ",IF(OR($AC67="",인턴현황!$K$2=""),"",INDEX(인턴근무계획!$M$3:$R$402,$AC67,인턴현황!$K$2)&amp;""))-1),$AE67))</f>
        <v/>
      </c>
      <c r="AH67" s="17">
        <f>IF($B67="","",IF(TRIM($J67&amp;"")="",0,SUMPRODUCT((파견수련계획!$Q$4:$Q$803=TRIM($J67&amp;""))*(파견수련계획!$S$4:$S$803="서울병원")*파견수련계획!$W$4:$W$803))+IF($AG67="서울병원",MAX(0,DAY(EOMONTH(요약!$B$3,0))-N($X67)),0))</f>
        <v/>
      </c>
      <c r="AI67" s="17">
        <f>IF($B67="","",IF(TRIM($J67&amp;"")="",0,SUMPRODUCT((파견수련계획!$Q$4:$Q$803=TRIM($J67&amp;""))*(파견수련계획!$S$4:$S$803="구리병원")*파견수련계획!$W$4:$W$803))+IF($AG67="구리병원",MAX(0,DAY(EOMONTH(요약!$B$3,0))-N($X67)),0))</f>
        <v/>
      </c>
      <c r="AJ67" s="10">
        <f>IF(OR($B67="",TRIM($J67&amp;"")=""),"",IFERROR(MATCH(TRIM($J67&amp;"")&amp;"|월",파견수련계획!$Z$4:$Z$803,0),""))</f>
        <v/>
      </c>
      <c r="AK67" s="10">
        <f>IF(OR($B67="",TRIM($J67&amp;"")=""),"",IFERROR(MATCH(TRIM($J67&amp;"")&amp;"|다기관",파견수련계획!$AE$4:$AE$803,0),""))</f>
        <v/>
      </c>
      <c r="AL67" s="10">
        <f>IF($AK67="","","다기관 "&amp;TEXT(INDEX(파견수련계획!$AB$4:$AB$803,$AK67),"yyyy-mm-dd")&amp;"~"&amp;IF(ISNUMBER(INDEX(파견수련계획!$AC$4:$AC$803,$AK67)),TEXT(INDEX(파견수련계획!$AC$4:$AC$803,$AK67),"yyyy-mm-dd"),""))</f>
        <v/>
      </c>
    </row>
    <row r="68">
      <c r="A68" s="10">
        <f>IF(B68="","",ROW()-1)</f>
        <v/>
      </c>
      <c r="B68" s="18" t="n"/>
      <c r="C68" s="10">
        <f>IF($AB68="","",IF(INDEX(기본자료!$C$2:$C$1001,$AB68)="","",INDEX(기본자료!$C$2:$C$1001,$AB68)))</f>
        <v/>
      </c>
      <c r="D68" s="10">
        <f>IF($AB68="","",IF(INDEX(기본자료!$J$2:$J$1001,$AB68)="","",INDEX(기본자료!$J$2:$J$1001,$AB68)))</f>
        <v/>
      </c>
      <c r="E68" s="11">
        <f>IF($AB68="","",IF(INDEX(기본자료!$K$2:$K$1001,$AB68)="","",IF(NOT(ISNUMBER(INDEX(기본자료!$K$2:$K$1001,$AB68))),INDEX(기본자료!$K$2:$K$1001,$AB68),IF(INDEX(기본자료!$K$2:$K$1001,$AB68)&lt;1000000,INDEX(기본자료!$K$2:$K$1001,$AB68),IF(AND(INDEX(기본자료!$K$2:$K$1001,$AB68)&gt;=10000101,INT(MOD(INDEX(기본자료!$K$2:$K$1001,$AB68),10000)/100)&gt;=1,INT(MOD(INDEX(기본자료!$K$2:$K$1001,$AB68),10000)/100)&lt;=12,MOD(INDEX(기본자료!$K$2:$K$1001,$AB68),100)&gt;=1,MOD(INDEX(기본자료!$K$2:$K$1001,$AB68),100)&lt;=31),DATE(INT(INDEX(기본자료!$K$2:$K$1001,$AB68)/10000),INT(MOD(INDEX(기본자료!$K$2:$K$1001,$AB68),10000)/100),MOD(INDEX(기본자료!$K$2:$K$1001,$AB68),100)),INDEX(기본자료!$K$2:$K$1001,$AB68)&amp;"")))))</f>
        <v/>
      </c>
      <c r="F68" s="10">
        <f>IF($AB68="","",IF(INDEX(기본자료!$D$2:$D$1001,$AB68)="","",INDEX(기본자료!$D$2:$D$1001,$AB68)))</f>
        <v/>
      </c>
      <c r="G68" s="10">
        <f>IF($AB68="","",IF(INDEX(기본자료!$E$2:$E$1001,$AB68)="","",INDEX(기본자료!$E$2:$E$1001,$AB68)))</f>
        <v/>
      </c>
      <c r="H68" s="10">
        <f>IF($AB68="","",IF(INDEX(기본자료!$F$2:$F$1001,$AB68)="","",INDEX(기본자료!$F$2:$F$1001,$AB68)))</f>
        <v/>
      </c>
      <c r="I68" s="11">
        <f>IF($AB68="","",IF(INDEX(기본자료!$G$2:$G$1001,$AB68)="","",IF(NOT(ISNUMBER(INDEX(기본자료!$G$2:$G$1001,$AB68))),INDEX(기본자료!$G$2:$G$1001,$AB68),IF(INDEX(기본자료!$G$2:$G$1001,$AB68)&lt;1000000,INDEX(기본자료!$G$2:$G$1001,$AB68),IF(AND(INDEX(기본자료!$G$2:$G$1001,$AB68)&gt;=10000101,INT(MOD(INDEX(기본자료!$G$2:$G$1001,$AB68),10000)/100)&gt;=1,INT(MOD(INDEX(기본자료!$G$2:$G$1001,$AB68),10000)/100)&lt;=12,MOD(INDEX(기본자료!$G$2:$G$1001,$AB68),100)&gt;=1,MOD(INDEX(기본자료!$G$2:$G$1001,$AB68),100)&lt;=31),DATE(INT(INDEX(기본자료!$G$2:$G$1001,$AB68)/10000),INT(MOD(INDEX(기본자료!$G$2:$G$1001,$AB68),10000)/100),MOD(INDEX(기본자료!$G$2:$G$1001,$AB68),100)),INDEX(기본자료!$G$2:$G$1001,$AB68)&amp;"")))))</f>
        <v/>
      </c>
      <c r="J68" s="10">
        <f>IF($AB68="","",IF(INDEX(기본자료!$H$2:$H$1001,$AB68)="","",INDEX(기본자료!$H$2:$H$1001,$AB68)))</f>
        <v/>
      </c>
      <c r="K68" s="10">
        <f>IF($AB68="","",IF(INDEX(기본자료!$I$2:$I$1001,$AB68)="","",INDEX(기본자료!$I$2:$I$1001,$AB68)))</f>
        <v/>
      </c>
      <c r="L68" s="10">
        <f>IF($AB68="","",IF(INDEX(기본자료!$A$2:$A$1001,$AB68)="","",INDEX(기본자료!$A$2:$A$1001,$AB68)))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파견수련계획!$AB$4:$AB$803,$AK68),OR(NOT(ISNUMBER(INDEX(파견수련계획!$AC$4:$AC$803,$AK68))),TODAY()&lt;=INDEX(파견수련계획!$AC$4:$AC$803,$AK68))),"다기관",IF($AF68="","",INDEX(파견수련계획!$T$4:$T$803,$AF68))),IF($AF68="","",INDEX(파견수련계획!$T$4:$T$803,$AF68))))</f>
        <v/>
      </c>
      <c r="Q68" s="10">
        <f>IF($AF68="","",INDEX(파견수련계획!$S$4:$S$803,$AF68))</f>
        <v/>
      </c>
      <c r="R68" s="10">
        <f>IF($AF68="","",INDEX(파견수련계획!$U$4:$U$803,$AF68))</f>
        <v/>
      </c>
      <c r="S68" s="11">
        <f>IF($AF68="","",IF(INDEX(파견수련계획!$H$4:$H$803,$AF68)="","",INDEX(파견수련계획!$H$4:$H$803,$AF68)))</f>
        <v/>
      </c>
      <c r="T68" s="11">
        <f>IF($AF68="","",IF(INDEX(파견수련계획!$I$4:$I$803,$AF68)="","",INDEX(파견수련계획!$I$4:$I$803,$AF68)))</f>
        <v/>
      </c>
      <c r="U68" s="10">
        <f>IF($AF68="","",INDEX(파견수련계획!$X$4:$X$803,$AF68))</f>
        <v/>
      </c>
      <c r="V68" s="17">
        <f>IF($AF68="","",INDEX(파견수련계획!$V$4:$V$803,$AF68))</f>
        <v/>
      </c>
      <c r="W68" s="17">
        <f>IF(AND($U68="파견중",$T68&lt;&gt;""),$T68-TODAY(),"")</f>
        <v/>
      </c>
      <c r="X68" s="17">
        <f>IF(OR($B68="",TRIM($J68&amp;"")=""),"",SUMPRODUCT((파견수련계획!$Q$4:$Q$803=TRIM($J68&amp;""))*파견수련계획!$W$4:$W$803))</f>
        <v/>
      </c>
      <c r="Y68" s="10">
        <f>IF($B68="","",IF($AG68="","",IF(IF(TRIM($J68&amp;"")="",0,SUMPRODUCT((파견수련계획!$Q$4:$Q$803=TRIM($J68&amp;""))*파견수련계획!$AD$4:$AD$803))&gt;0,$AE68,IF(N($X68)&lt;=0,$AG68,IF($AH68+$AI68=DAY(EOMONTH(요약!$B$3,0)),IF(AND($AH68&gt;=요약!$E$3,$AI68&lt;요약!$E$3),"서울병원",IF(AND($AI68&gt;=요약!$E$3,$AH68&lt;요약!$E$3),"구리병원","⚠15일 판정불가(서울 "&amp;$AH68&amp;"일/구리 "&amp;$AI68&amp;"일)")),IF($AJ68="",$AE68,IF(INDEX(파견수련계획!$T$4:$T$803,$AJ68)="통합수련",INDEX(파견수련계획!$S$4:$S$803,$AJ68),$AE68)))))))</f>
        <v/>
      </c>
      <c r="Z68" s="19">
        <f>IF($B68="","",IF($AB68="","기본자료에 없는 사번",IF(COUNTIF($B$2:$B$401,$B68)&gt;1,"중복 사번",IF($AE68="","소속(입사장소) 입력",IF(IF(TRIM($J68&amp;"")="",0,SUMPRODUCT((파견수련계획!$Q$4:$Q$803=TRIM($J68&amp;""))*(파견수련계획!$AA$4:$AA$803&lt;&gt;"")))&gt;0,"파견수련계획 입력오류 확인",IF(LEFT($Y68,1)="⚠","서울·구리 15일 판정 불가(양쪽 모두 이상/미만)",IF(IF($AC68="",0,N(INDEX(인턴근무계획!$T$3:$T$402,$AC68)))&gt;0,"인턴계획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IF($B68="","",IFERROR(MATCH($B68,기본자료!$B$2:$B$1001,0),IFERROR(MATCH($B68&amp;"",기본자료!$B$2:$B$1001,0),IFERROR(MATCH(VALUE($B68),기본자료!$B$2:$B$1001,0),""))))</f>
        <v/>
      </c>
      <c r="AC68" s="10">
        <f>IF($B68="","",IFERROR(MATCH($B68,인턴근무계획!$D$3:$D$402,0),IFERROR(MATCH($B68&amp;"",인턴근무계획!$D$3:$D$402,0),IFERROR(MATCH(VALUE($B68),인턴근무계획!$D$3:$D$402,0),""))))</f>
        <v/>
      </c>
      <c r="AD68" s="10">
        <f>IF(OR($AC68="",인턴현황!$G$3=""),"",INDEX(인턴근무계획!$M$3:$R$402,$AC68,인턴현황!$G$3)&amp;"")</f>
        <v/>
      </c>
      <c r="AE68" s="10">
        <f>IF($B68="","",IF($M68&lt;&gt;"",$M68,IF($AF68&lt;&gt;"",IF(LEFT(INDEX(파견수련계획!$R$4:$R$803,$AF68),1)&lt;&gt;"⚠",INDEX(파견수련계획!$R$4:$R$803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$803,0),IFERROR(MATCH(TRIM($J68&amp;"")&amp;"|파견예정",파견수련계획!$Y$4:$Y$803,0),IFERROR(MATCH(TRIM($J68&amp;"")&amp;"|파견종료",파견수련계획!$Y$4:$Y$803,0),""))))</f>
        <v/>
      </c>
      <c r="AG68" s="10">
        <f>IF($B68="","",IF(AND(IF(OR($AC68="",인턴현황!$K$2=""),"",INDEX(인턴근무계획!$M$3:$R$402,$AC68,인턴현황!$K$2)&amp;"")&lt;&gt;"",LEFT(IF(OR($AC68="",인턴현황!$K$2=""),"",INDEX(인턴근무계획!$M$3:$R$402,$AC68,인턴현황!$K$2)&amp;""),1)&lt;&gt;"⚠"),LEFT(IF(OR($AC68="",인턴현황!$K$2=""),"",INDEX(인턴근무계획!$M$3:$R$402,$AC68,인턴현황!$K$2)&amp;""),FIND(" ",IF(OR($AC68="",인턴현황!$K$2=""),"",INDEX(인턴근무계획!$M$3:$R$402,$AC68,인턴현황!$K$2)&amp;""))-1),$AE68))</f>
        <v/>
      </c>
      <c r="AH68" s="17">
        <f>IF($B68="","",IF(TRIM($J68&amp;"")="",0,SUMPRODUCT((파견수련계획!$Q$4:$Q$803=TRIM($J68&amp;""))*(파견수련계획!$S$4:$S$803="서울병원")*파견수련계획!$W$4:$W$803))+IF($AG68="서울병원",MAX(0,DAY(EOMONTH(요약!$B$3,0))-N($X68)),0))</f>
        <v/>
      </c>
      <c r="AI68" s="17">
        <f>IF($B68="","",IF(TRIM($J68&amp;"")="",0,SUMPRODUCT((파견수련계획!$Q$4:$Q$803=TRIM($J68&amp;""))*(파견수련계획!$S$4:$S$803="구리병원")*파견수련계획!$W$4:$W$803))+IF($AG68="구리병원",MAX(0,DAY(EOMONTH(요약!$B$3,0))-N($X68)),0))</f>
        <v/>
      </c>
      <c r="AJ68" s="10">
        <f>IF(OR($B68="",TRIM($J68&amp;"")=""),"",IFERROR(MATCH(TRIM($J68&amp;"")&amp;"|월",파견수련계획!$Z$4:$Z$803,0),""))</f>
        <v/>
      </c>
      <c r="AK68" s="10">
        <f>IF(OR($B68="",TRIM($J68&amp;"")=""),"",IFERROR(MATCH(TRIM($J68&amp;"")&amp;"|다기관",파견수련계획!$AE$4:$AE$803,0),""))</f>
        <v/>
      </c>
      <c r="AL68" s="10">
        <f>IF($AK68="","","다기관 "&amp;TEXT(INDEX(파견수련계획!$AB$4:$AB$803,$AK68),"yyyy-mm-dd")&amp;"~"&amp;IF(ISNUMBER(INDEX(파견수련계획!$AC$4:$AC$803,$AK68)),TEXT(INDEX(파견수련계획!$AC$4:$AC$803,$AK68),"yyyy-mm-dd"),""))</f>
        <v/>
      </c>
    </row>
    <row r="69">
      <c r="A69" s="10">
        <f>IF(B69="","",ROW()-1)</f>
        <v/>
      </c>
      <c r="B69" s="18" t="n"/>
      <c r="C69" s="10">
        <f>IF($AB69="","",IF(INDEX(기본자료!$C$2:$C$1001,$AB69)="","",INDEX(기본자료!$C$2:$C$1001,$AB69)))</f>
        <v/>
      </c>
      <c r="D69" s="10">
        <f>IF($AB69="","",IF(INDEX(기본자료!$J$2:$J$1001,$AB69)="","",INDEX(기본자료!$J$2:$J$1001,$AB69)))</f>
        <v/>
      </c>
      <c r="E69" s="11">
        <f>IF($AB69="","",IF(INDEX(기본자료!$K$2:$K$1001,$AB69)="","",IF(NOT(ISNUMBER(INDEX(기본자료!$K$2:$K$1001,$AB69))),INDEX(기본자료!$K$2:$K$1001,$AB69),IF(INDEX(기본자료!$K$2:$K$1001,$AB69)&lt;1000000,INDEX(기본자료!$K$2:$K$1001,$AB69),IF(AND(INDEX(기본자료!$K$2:$K$1001,$AB69)&gt;=10000101,INT(MOD(INDEX(기본자료!$K$2:$K$1001,$AB69),10000)/100)&gt;=1,INT(MOD(INDEX(기본자료!$K$2:$K$1001,$AB69),10000)/100)&lt;=12,MOD(INDEX(기본자료!$K$2:$K$1001,$AB69),100)&gt;=1,MOD(INDEX(기본자료!$K$2:$K$1001,$AB69),100)&lt;=31),DATE(INT(INDEX(기본자료!$K$2:$K$1001,$AB69)/10000),INT(MOD(INDEX(기본자료!$K$2:$K$1001,$AB69),10000)/100),MOD(INDEX(기본자료!$K$2:$K$1001,$AB69),100)),INDEX(기본자료!$K$2:$K$1001,$AB69)&amp;"")))))</f>
        <v/>
      </c>
      <c r="F69" s="10">
        <f>IF($AB69="","",IF(INDEX(기본자료!$D$2:$D$1001,$AB69)="","",INDEX(기본자료!$D$2:$D$1001,$AB69)))</f>
        <v/>
      </c>
      <c r="G69" s="10">
        <f>IF($AB69="","",IF(INDEX(기본자료!$E$2:$E$1001,$AB69)="","",INDEX(기본자료!$E$2:$E$1001,$AB69)))</f>
        <v/>
      </c>
      <c r="H69" s="10">
        <f>IF($AB69="","",IF(INDEX(기본자료!$F$2:$F$1001,$AB69)="","",INDEX(기본자료!$F$2:$F$1001,$AB69)))</f>
        <v/>
      </c>
      <c r="I69" s="11">
        <f>IF($AB69="","",IF(INDEX(기본자료!$G$2:$G$1001,$AB69)="","",IF(NOT(ISNUMBER(INDEX(기본자료!$G$2:$G$1001,$AB69))),INDEX(기본자료!$G$2:$G$1001,$AB69),IF(INDEX(기본자료!$G$2:$G$1001,$AB69)&lt;1000000,INDEX(기본자료!$G$2:$G$1001,$AB69),IF(AND(INDEX(기본자료!$G$2:$G$1001,$AB69)&gt;=10000101,INT(MOD(INDEX(기본자료!$G$2:$G$1001,$AB69),10000)/100)&gt;=1,INT(MOD(INDEX(기본자료!$G$2:$G$1001,$AB69),10000)/100)&lt;=12,MOD(INDEX(기본자료!$G$2:$G$1001,$AB69),100)&gt;=1,MOD(INDEX(기본자료!$G$2:$G$1001,$AB69),100)&lt;=31),DATE(INT(INDEX(기본자료!$G$2:$G$1001,$AB69)/10000),INT(MOD(INDEX(기본자료!$G$2:$G$1001,$AB69),10000)/100),MOD(INDEX(기본자료!$G$2:$G$1001,$AB69),100)),INDEX(기본자료!$G$2:$G$1001,$AB69)&amp;"")))))</f>
        <v/>
      </c>
      <c r="J69" s="10">
        <f>IF($AB69="","",IF(INDEX(기본자료!$H$2:$H$1001,$AB69)="","",INDEX(기본자료!$H$2:$H$1001,$AB69)))</f>
        <v/>
      </c>
      <c r="K69" s="10">
        <f>IF($AB69="","",IF(INDEX(기본자료!$I$2:$I$1001,$AB69)="","",INDEX(기본자료!$I$2:$I$1001,$AB69)))</f>
        <v/>
      </c>
      <c r="L69" s="10">
        <f>IF($AB69="","",IF(INDEX(기본자료!$A$2:$A$1001,$AB69)="","",INDEX(기본자료!$A$2:$A$1001,$AB69)))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파견수련계획!$AB$4:$AB$803,$AK69),OR(NOT(ISNUMBER(INDEX(파견수련계획!$AC$4:$AC$803,$AK69))),TODAY()&lt;=INDEX(파견수련계획!$AC$4:$AC$803,$AK69))),"다기관",IF($AF69="","",INDEX(파견수련계획!$T$4:$T$803,$AF69))),IF($AF69="","",INDEX(파견수련계획!$T$4:$T$803,$AF69))))</f>
        <v/>
      </c>
      <c r="Q69" s="10">
        <f>IF($AF69="","",INDEX(파견수련계획!$S$4:$S$803,$AF69))</f>
        <v/>
      </c>
      <c r="R69" s="10">
        <f>IF($AF69="","",INDEX(파견수련계획!$U$4:$U$803,$AF69))</f>
        <v/>
      </c>
      <c r="S69" s="11">
        <f>IF($AF69="","",IF(INDEX(파견수련계획!$H$4:$H$803,$AF69)="","",INDEX(파견수련계획!$H$4:$H$803,$AF69)))</f>
        <v/>
      </c>
      <c r="T69" s="11">
        <f>IF($AF69="","",IF(INDEX(파견수련계획!$I$4:$I$803,$AF69)="","",INDEX(파견수련계획!$I$4:$I$803,$AF69)))</f>
        <v/>
      </c>
      <c r="U69" s="10">
        <f>IF($AF69="","",INDEX(파견수련계획!$X$4:$X$803,$AF69))</f>
        <v/>
      </c>
      <c r="V69" s="17">
        <f>IF($AF69="","",INDEX(파견수련계획!$V$4:$V$803,$AF69))</f>
        <v/>
      </c>
      <c r="W69" s="17">
        <f>IF(AND($U69="파견중",$T69&lt;&gt;""),$T69-TODAY(),"")</f>
        <v/>
      </c>
      <c r="X69" s="17">
        <f>IF(OR($B69="",TRIM($J69&amp;"")=""),"",SUMPRODUCT((파견수련계획!$Q$4:$Q$803=TRIM($J69&amp;""))*파견수련계획!$W$4:$W$803))</f>
        <v/>
      </c>
      <c r="Y69" s="10">
        <f>IF($B69="","",IF($AG69="","",IF(IF(TRIM($J69&amp;"")="",0,SUMPRODUCT((파견수련계획!$Q$4:$Q$803=TRIM($J69&amp;""))*파견수련계획!$AD$4:$AD$803))&gt;0,$AE69,IF(N($X69)&lt;=0,$AG69,IF($AH69+$AI69=DAY(EOMONTH(요약!$B$3,0)),IF(AND($AH69&gt;=요약!$E$3,$AI69&lt;요약!$E$3),"서울병원",IF(AND($AI69&gt;=요약!$E$3,$AH69&lt;요약!$E$3),"구리병원","⚠15일 판정불가(서울 "&amp;$AH69&amp;"일/구리 "&amp;$AI69&amp;"일)")),IF($AJ69="",$AE69,IF(INDEX(파견수련계획!$T$4:$T$803,$AJ69)="통합수련",INDEX(파견수련계획!$S$4:$S$803,$AJ69),$AE69)))))))</f>
        <v/>
      </c>
      <c r="Z69" s="19">
        <f>IF($B69="","",IF($AB69="","기본자료에 없는 사번",IF(COUNTIF($B$2:$B$401,$B69)&gt;1,"중복 사번",IF($AE69="","소속(입사장소) 입력",IF(IF(TRIM($J69&amp;"")="",0,SUMPRODUCT((파견수련계획!$Q$4:$Q$803=TRIM($J69&amp;""))*(파견수련계획!$AA$4:$AA$803&lt;&gt;"")))&gt;0,"파견수련계획 입력오류 확인",IF(LEFT($Y69,1)="⚠","서울·구리 15일 판정 불가(양쪽 모두 이상/미만)",IF(IF($AC69="",0,N(INDEX(인턴근무계획!$T$3:$T$402,$AC69)))&gt;0,"인턴계획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IF($B69="","",IFERROR(MATCH($B69,기본자료!$B$2:$B$1001,0),IFERROR(MATCH($B69&amp;"",기본자료!$B$2:$B$1001,0),IFERROR(MATCH(VALUE($B69),기본자료!$B$2:$B$1001,0),""))))</f>
        <v/>
      </c>
      <c r="AC69" s="10">
        <f>IF($B69="","",IFERROR(MATCH($B69,인턴근무계획!$D$3:$D$402,0),IFERROR(MATCH($B69&amp;"",인턴근무계획!$D$3:$D$402,0),IFERROR(MATCH(VALUE($B69),인턴근무계획!$D$3:$D$402,0),""))))</f>
        <v/>
      </c>
      <c r="AD69" s="10">
        <f>IF(OR($AC69="",인턴현황!$G$3=""),"",INDEX(인턴근무계획!$M$3:$R$402,$AC69,인턴현황!$G$3)&amp;"")</f>
        <v/>
      </c>
      <c r="AE69" s="10">
        <f>IF($B69="","",IF($M69&lt;&gt;"",$M69,IF($AF69&lt;&gt;"",IF(LEFT(INDEX(파견수련계획!$R$4:$R$803,$AF69),1)&lt;&gt;"⚠",INDEX(파견수련계획!$R$4:$R$803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$803,0),IFERROR(MATCH(TRIM($J69&amp;"")&amp;"|파견예정",파견수련계획!$Y$4:$Y$803,0),IFERROR(MATCH(TRIM($J69&amp;"")&amp;"|파견종료",파견수련계획!$Y$4:$Y$803,0),""))))</f>
        <v/>
      </c>
      <c r="AG69" s="10">
        <f>IF($B69="","",IF(AND(IF(OR($AC69="",인턴현황!$K$2=""),"",INDEX(인턴근무계획!$M$3:$R$402,$AC69,인턴현황!$K$2)&amp;"")&lt;&gt;"",LEFT(IF(OR($AC69="",인턴현황!$K$2=""),"",INDEX(인턴근무계획!$M$3:$R$402,$AC69,인턴현황!$K$2)&amp;""),1)&lt;&gt;"⚠"),LEFT(IF(OR($AC69="",인턴현황!$K$2=""),"",INDEX(인턴근무계획!$M$3:$R$402,$AC69,인턴현황!$K$2)&amp;""),FIND(" ",IF(OR($AC69="",인턴현황!$K$2=""),"",INDEX(인턴근무계획!$M$3:$R$402,$AC69,인턴현황!$K$2)&amp;""))-1),$AE69))</f>
        <v/>
      </c>
      <c r="AH69" s="17">
        <f>IF($B69="","",IF(TRIM($J69&amp;"")="",0,SUMPRODUCT((파견수련계획!$Q$4:$Q$803=TRIM($J69&amp;""))*(파견수련계획!$S$4:$S$803="서울병원")*파견수련계획!$W$4:$W$803))+IF($AG69="서울병원",MAX(0,DAY(EOMONTH(요약!$B$3,0))-N($X69)),0))</f>
        <v/>
      </c>
      <c r="AI69" s="17">
        <f>IF($B69="","",IF(TRIM($J69&amp;"")="",0,SUMPRODUCT((파견수련계획!$Q$4:$Q$803=TRIM($J69&amp;""))*(파견수련계획!$S$4:$S$803="구리병원")*파견수련계획!$W$4:$W$803))+IF($AG69="구리병원",MAX(0,DAY(EOMONTH(요약!$B$3,0))-N($X69)),0))</f>
        <v/>
      </c>
      <c r="AJ69" s="10">
        <f>IF(OR($B69="",TRIM($J69&amp;"")=""),"",IFERROR(MATCH(TRIM($J69&amp;"")&amp;"|월",파견수련계획!$Z$4:$Z$803,0),""))</f>
        <v/>
      </c>
      <c r="AK69" s="10">
        <f>IF(OR($B69="",TRIM($J69&amp;"")=""),"",IFERROR(MATCH(TRIM($J69&amp;"")&amp;"|다기관",파견수련계획!$AE$4:$AE$803,0),""))</f>
        <v/>
      </c>
      <c r="AL69" s="10">
        <f>IF($AK69="","","다기관 "&amp;TEXT(INDEX(파견수련계획!$AB$4:$AB$803,$AK69),"yyyy-mm-dd")&amp;"~"&amp;IF(ISNUMBER(INDEX(파견수련계획!$AC$4:$AC$803,$AK69)),TEXT(INDEX(파견수련계획!$AC$4:$AC$803,$AK69),"yyyy-mm-dd"),""))</f>
        <v/>
      </c>
    </row>
    <row r="70">
      <c r="A70" s="10">
        <f>IF(B70="","",ROW()-1)</f>
        <v/>
      </c>
      <c r="B70" s="18" t="n"/>
      <c r="C70" s="10">
        <f>IF($AB70="","",IF(INDEX(기본자료!$C$2:$C$1001,$AB70)="","",INDEX(기본자료!$C$2:$C$1001,$AB70)))</f>
        <v/>
      </c>
      <c r="D70" s="10">
        <f>IF($AB70="","",IF(INDEX(기본자료!$J$2:$J$1001,$AB70)="","",INDEX(기본자료!$J$2:$J$1001,$AB70)))</f>
        <v/>
      </c>
      <c r="E70" s="11">
        <f>IF($AB70="","",IF(INDEX(기본자료!$K$2:$K$1001,$AB70)="","",IF(NOT(ISNUMBER(INDEX(기본자료!$K$2:$K$1001,$AB70))),INDEX(기본자료!$K$2:$K$1001,$AB70),IF(INDEX(기본자료!$K$2:$K$1001,$AB70)&lt;1000000,INDEX(기본자료!$K$2:$K$1001,$AB70),IF(AND(INDEX(기본자료!$K$2:$K$1001,$AB70)&gt;=10000101,INT(MOD(INDEX(기본자료!$K$2:$K$1001,$AB70),10000)/100)&gt;=1,INT(MOD(INDEX(기본자료!$K$2:$K$1001,$AB70),10000)/100)&lt;=12,MOD(INDEX(기본자료!$K$2:$K$1001,$AB70),100)&gt;=1,MOD(INDEX(기본자료!$K$2:$K$1001,$AB70),100)&lt;=31),DATE(INT(INDEX(기본자료!$K$2:$K$1001,$AB70)/10000),INT(MOD(INDEX(기본자료!$K$2:$K$1001,$AB70),10000)/100),MOD(INDEX(기본자료!$K$2:$K$1001,$AB70),100)),INDEX(기본자료!$K$2:$K$1001,$AB70)&amp;"")))))</f>
        <v/>
      </c>
      <c r="F70" s="10">
        <f>IF($AB70="","",IF(INDEX(기본자료!$D$2:$D$1001,$AB70)="","",INDEX(기본자료!$D$2:$D$1001,$AB70)))</f>
        <v/>
      </c>
      <c r="G70" s="10">
        <f>IF($AB70="","",IF(INDEX(기본자료!$E$2:$E$1001,$AB70)="","",INDEX(기본자료!$E$2:$E$1001,$AB70)))</f>
        <v/>
      </c>
      <c r="H70" s="10">
        <f>IF($AB70="","",IF(INDEX(기본자료!$F$2:$F$1001,$AB70)="","",INDEX(기본자료!$F$2:$F$1001,$AB70)))</f>
        <v/>
      </c>
      <c r="I70" s="11">
        <f>IF($AB70="","",IF(INDEX(기본자료!$G$2:$G$1001,$AB70)="","",IF(NOT(ISNUMBER(INDEX(기본자료!$G$2:$G$1001,$AB70))),INDEX(기본자료!$G$2:$G$1001,$AB70),IF(INDEX(기본자료!$G$2:$G$1001,$AB70)&lt;1000000,INDEX(기본자료!$G$2:$G$1001,$AB70),IF(AND(INDEX(기본자료!$G$2:$G$1001,$AB70)&gt;=10000101,INT(MOD(INDEX(기본자료!$G$2:$G$1001,$AB70),10000)/100)&gt;=1,INT(MOD(INDEX(기본자료!$G$2:$G$1001,$AB70),10000)/100)&lt;=12,MOD(INDEX(기본자료!$G$2:$G$1001,$AB70),100)&gt;=1,MOD(INDEX(기본자료!$G$2:$G$1001,$AB70),100)&lt;=31),DATE(INT(INDEX(기본자료!$G$2:$G$1001,$AB70)/10000),INT(MOD(INDEX(기본자료!$G$2:$G$1001,$AB70),10000)/100),MOD(INDEX(기본자료!$G$2:$G$1001,$AB70),100)),INDEX(기본자료!$G$2:$G$1001,$AB70)&amp;"")))))</f>
        <v/>
      </c>
      <c r="J70" s="10">
        <f>IF($AB70="","",IF(INDEX(기본자료!$H$2:$H$1001,$AB70)="","",INDEX(기본자료!$H$2:$H$1001,$AB70)))</f>
        <v/>
      </c>
      <c r="K70" s="10">
        <f>IF($AB70="","",IF(INDEX(기본자료!$I$2:$I$1001,$AB70)="","",INDEX(기본자료!$I$2:$I$1001,$AB70)))</f>
        <v/>
      </c>
      <c r="L70" s="10">
        <f>IF($AB70="","",IF(INDEX(기본자료!$A$2:$A$1001,$AB70)="","",INDEX(기본자료!$A$2:$A$1001,$AB70)))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파견수련계획!$AB$4:$AB$803,$AK70),OR(NOT(ISNUMBER(INDEX(파견수련계획!$AC$4:$AC$803,$AK70))),TODAY()&lt;=INDEX(파견수련계획!$AC$4:$AC$803,$AK70))),"다기관",IF($AF70="","",INDEX(파견수련계획!$T$4:$T$803,$AF70))),IF($AF70="","",INDEX(파견수련계획!$T$4:$T$803,$AF70))))</f>
        <v/>
      </c>
      <c r="Q70" s="10">
        <f>IF($AF70="","",INDEX(파견수련계획!$S$4:$S$803,$AF70))</f>
        <v/>
      </c>
      <c r="R70" s="10">
        <f>IF($AF70="","",INDEX(파견수련계획!$U$4:$U$803,$AF70))</f>
        <v/>
      </c>
      <c r="S70" s="11">
        <f>IF($AF70="","",IF(INDEX(파견수련계획!$H$4:$H$803,$AF70)="","",INDEX(파견수련계획!$H$4:$H$803,$AF70)))</f>
        <v/>
      </c>
      <c r="T70" s="11">
        <f>IF($AF70="","",IF(INDEX(파견수련계획!$I$4:$I$803,$AF70)="","",INDEX(파견수련계획!$I$4:$I$803,$AF70)))</f>
        <v/>
      </c>
      <c r="U70" s="10">
        <f>IF($AF70="","",INDEX(파견수련계획!$X$4:$X$803,$AF70))</f>
        <v/>
      </c>
      <c r="V70" s="17">
        <f>IF($AF70="","",INDEX(파견수련계획!$V$4:$V$803,$AF70))</f>
        <v/>
      </c>
      <c r="W70" s="17">
        <f>IF(AND($U70="파견중",$T70&lt;&gt;""),$T70-TODAY(),"")</f>
        <v/>
      </c>
      <c r="X70" s="17">
        <f>IF(OR($B70="",TRIM($J70&amp;"")=""),"",SUMPRODUCT((파견수련계획!$Q$4:$Q$803=TRIM($J70&amp;""))*파견수련계획!$W$4:$W$803))</f>
        <v/>
      </c>
      <c r="Y70" s="10">
        <f>IF($B70="","",IF($AG70="","",IF(IF(TRIM($J70&amp;"")="",0,SUMPRODUCT((파견수련계획!$Q$4:$Q$803=TRIM($J70&amp;""))*파견수련계획!$AD$4:$AD$803))&gt;0,$AE70,IF(N($X70)&lt;=0,$AG70,IF($AH70+$AI70=DAY(EOMONTH(요약!$B$3,0)),IF(AND($AH70&gt;=요약!$E$3,$AI70&lt;요약!$E$3),"서울병원",IF(AND($AI70&gt;=요약!$E$3,$AH70&lt;요약!$E$3),"구리병원","⚠15일 판정불가(서울 "&amp;$AH70&amp;"일/구리 "&amp;$AI70&amp;"일)")),IF($AJ70="",$AE70,IF(INDEX(파견수련계획!$T$4:$T$803,$AJ70)="통합수련",INDEX(파견수련계획!$S$4:$S$803,$AJ70),$AE70)))))))</f>
        <v/>
      </c>
      <c r="Z70" s="19">
        <f>IF($B70="","",IF($AB70="","기본자료에 없는 사번",IF(COUNTIF($B$2:$B$401,$B70)&gt;1,"중복 사번",IF($AE70="","소속(입사장소) 입력",IF(IF(TRIM($J70&amp;"")="",0,SUMPRODUCT((파견수련계획!$Q$4:$Q$803=TRIM($J70&amp;""))*(파견수련계획!$AA$4:$AA$803&lt;&gt;"")))&gt;0,"파견수련계획 입력오류 확인",IF(LEFT($Y70,1)="⚠","서울·구리 15일 판정 불가(양쪽 모두 이상/미만)",IF(IF($AC70="",0,N(INDEX(인턴근무계획!$T$3:$T$402,$AC70)))&gt;0,"인턴계획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IF($B70="","",IFERROR(MATCH($B70,기본자료!$B$2:$B$1001,0),IFERROR(MATCH($B70&amp;"",기본자료!$B$2:$B$1001,0),IFERROR(MATCH(VALUE($B70),기본자료!$B$2:$B$1001,0),""))))</f>
        <v/>
      </c>
      <c r="AC70" s="10">
        <f>IF($B70="","",IFERROR(MATCH($B70,인턴근무계획!$D$3:$D$402,0),IFERROR(MATCH($B70&amp;"",인턴근무계획!$D$3:$D$402,0),IFERROR(MATCH(VALUE($B70),인턴근무계획!$D$3:$D$402,0),""))))</f>
        <v/>
      </c>
      <c r="AD70" s="10">
        <f>IF(OR($AC70="",인턴현황!$G$3=""),"",INDEX(인턴근무계획!$M$3:$R$402,$AC70,인턴현황!$G$3)&amp;"")</f>
        <v/>
      </c>
      <c r="AE70" s="10">
        <f>IF($B70="","",IF($M70&lt;&gt;"",$M70,IF($AF70&lt;&gt;"",IF(LEFT(INDEX(파견수련계획!$R$4:$R$803,$AF70),1)&lt;&gt;"⚠",INDEX(파견수련계획!$R$4:$R$803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$803,0),IFERROR(MATCH(TRIM($J70&amp;"")&amp;"|파견예정",파견수련계획!$Y$4:$Y$803,0),IFERROR(MATCH(TRIM($J70&amp;"")&amp;"|파견종료",파견수련계획!$Y$4:$Y$803,0),""))))</f>
        <v/>
      </c>
      <c r="AG70" s="10">
        <f>IF($B70="","",IF(AND(IF(OR($AC70="",인턴현황!$K$2=""),"",INDEX(인턴근무계획!$M$3:$R$402,$AC70,인턴현황!$K$2)&amp;"")&lt;&gt;"",LEFT(IF(OR($AC70="",인턴현황!$K$2=""),"",INDEX(인턴근무계획!$M$3:$R$402,$AC70,인턴현황!$K$2)&amp;""),1)&lt;&gt;"⚠"),LEFT(IF(OR($AC70="",인턴현황!$K$2=""),"",INDEX(인턴근무계획!$M$3:$R$402,$AC70,인턴현황!$K$2)&amp;""),FIND(" ",IF(OR($AC70="",인턴현황!$K$2=""),"",INDEX(인턴근무계획!$M$3:$R$402,$AC70,인턴현황!$K$2)&amp;""))-1),$AE70))</f>
        <v/>
      </c>
      <c r="AH70" s="17">
        <f>IF($B70="","",IF(TRIM($J70&amp;"")="",0,SUMPRODUCT((파견수련계획!$Q$4:$Q$803=TRIM($J70&amp;""))*(파견수련계획!$S$4:$S$803="서울병원")*파견수련계획!$W$4:$W$803))+IF($AG70="서울병원",MAX(0,DAY(EOMONTH(요약!$B$3,0))-N($X70)),0))</f>
        <v/>
      </c>
      <c r="AI70" s="17">
        <f>IF($B70="","",IF(TRIM($J70&amp;"")="",0,SUMPRODUCT((파견수련계획!$Q$4:$Q$803=TRIM($J70&amp;""))*(파견수련계획!$S$4:$S$803="구리병원")*파견수련계획!$W$4:$W$803))+IF($AG70="구리병원",MAX(0,DAY(EOMONTH(요약!$B$3,0))-N($X70)),0))</f>
        <v/>
      </c>
      <c r="AJ70" s="10">
        <f>IF(OR($B70="",TRIM($J70&amp;"")=""),"",IFERROR(MATCH(TRIM($J70&amp;"")&amp;"|월",파견수련계획!$Z$4:$Z$803,0),""))</f>
        <v/>
      </c>
      <c r="AK70" s="10">
        <f>IF(OR($B70="",TRIM($J70&amp;"")=""),"",IFERROR(MATCH(TRIM($J70&amp;"")&amp;"|다기관",파견수련계획!$AE$4:$AE$803,0),""))</f>
        <v/>
      </c>
      <c r="AL70" s="10">
        <f>IF($AK70="","","다기관 "&amp;TEXT(INDEX(파견수련계획!$AB$4:$AB$803,$AK70),"yyyy-mm-dd")&amp;"~"&amp;IF(ISNUMBER(INDEX(파견수련계획!$AC$4:$AC$803,$AK70)),TEXT(INDEX(파견수련계획!$AC$4:$AC$803,$AK70),"yyyy-mm-dd"),""))</f>
        <v/>
      </c>
    </row>
    <row r="71">
      <c r="A71" s="10">
        <f>IF(B71="","",ROW()-1)</f>
        <v/>
      </c>
      <c r="B71" s="18" t="n"/>
      <c r="C71" s="10">
        <f>IF($AB71="","",IF(INDEX(기본자료!$C$2:$C$1001,$AB71)="","",INDEX(기본자료!$C$2:$C$1001,$AB71)))</f>
        <v/>
      </c>
      <c r="D71" s="10">
        <f>IF($AB71="","",IF(INDEX(기본자료!$J$2:$J$1001,$AB71)="","",INDEX(기본자료!$J$2:$J$1001,$AB71)))</f>
        <v/>
      </c>
      <c r="E71" s="11">
        <f>IF($AB71="","",IF(INDEX(기본자료!$K$2:$K$1001,$AB71)="","",IF(NOT(ISNUMBER(INDEX(기본자료!$K$2:$K$1001,$AB71))),INDEX(기본자료!$K$2:$K$1001,$AB71),IF(INDEX(기본자료!$K$2:$K$1001,$AB71)&lt;1000000,INDEX(기본자료!$K$2:$K$1001,$AB71),IF(AND(INDEX(기본자료!$K$2:$K$1001,$AB71)&gt;=10000101,INT(MOD(INDEX(기본자료!$K$2:$K$1001,$AB71),10000)/100)&gt;=1,INT(MOD(INDEX(기본자료!$K$2:$K$1001,$AB71),10000)/100)&lt;=12,MOD(INDEX(기본자료!$K$2:$K$1001,$AB71),100)&gt;=1,MOD(INDEX(기본자료!$K$2:$K$1001,$AB71),100)&lt;=31),DATE(INT(INDEX(기본자료!$K$2:$K$1001,$AB71)/10000),INT(MOD(INDEX(기본자료!$K$2:$K$1001,$AB71),10000)/100),MOD(INDEX(기본자료!$K$2:$K$1001,$AB71),100)),INDEX(기본자료!$K$2:$K$1001,$AB71)&amp;"")))))</f>
        <v/>
      </c>
      <c r="F71" s="10">
        <f>IF($AB71="","",IF(INDEX(기본자료!$D$2:$D$1001,$AB71)="","",INDEX(기본자료!$D$2:$D$1001,$AB71)))</f>
        <v/>
      </c>
      <c r="G71" s="10">
        <f>IF($AB71="","",IF(INDEX(기본자료!$E$2:$E$1001,$AB71)="","",INDEX(기본자료!$E$2:$E$1001,$AB71)))</f>
        <v/>
      </c>
      <c r="H71" s="10">
        <f>IF($AB71="","",IF(INDEX(기본자료!$F$2:$F$1001,$AB71)="","",INDEX(기본자료!$F$2:$F$1001,$AB71)))</f>
        <v/>
      </c>
      <c r="I71" s="11">
        <f>IF($AB71="","",IF(INDEX(기본자료!$G$2:$G$1001,$AB71)="","",IF(NOT(ISNUMBER(INDEX(기본자료!$G$2:$G$1001,$AB71))),INDEX(기본자료!$G$2:$G$1001,$AB71),IF(INDEX(기본자료!$G$2:$G$1001,$AB71)&lt;1000000,INDEX(기본자료!$G$2:$G$1001,$AB71),IF(AND(INDEX(기본자료!$G$2:$G$1001,$AB71)&gt;=10000101,INT(MOD(INDEX(기본자료!$G$2:$G$1001,$AB71),10000)/100)&gt;=1,INT(MOD(INDEX(기본자료!$G$2:$G$1001,$AB71),10000)/100)&lt;=12,MOD(INDEX(기본자료!$G$2:$G$1001,$AB71),100)&gt;=1,MOD(INDEX(기본자료!$G$2:$G$1001,$AB71),100)&lt;=31),DATE(INT(INDEX(기본자료!$G$2:$G$1001,$AB71)/10000),INT(MOD(INDEX(기본자료!$G$2:$G$1001,$AB71),10000)/100),MOD(INDEX(기본자료!$G$2:$G$1001,$AB71),100)),INDEX(기본자료!$G$2:$G$1001,$AB71)&amp;"")))))</f>
        <v/>
      </c>
      <c r="J71" s="10">
        <f>IF($AB71="","",IF(INDEX(기본자료!$H$2:$H$1001,$AB71)="","",INDEX(기본자료!$H$2:$H$1001,$AB71)))</f>
        <v/>
      </c>
      <c r="K71" s="10">
        <f>IF($AB71="","",IF(INDEX(기본자료!$I$2:$I$1001,$AB71)="","",INDEX(기본자료!$I$2:$I$1001,$AB71)))</f>
        <v/>
      </c>
      <c r="L71" s="10">
        <f>IF($AB71="","",IF(INDEX(기본자료!$A$2:$A$1001,$AB71)="","",INDEX(기본자료!$A$2:$A$1001,$AB71)))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파견수련계획!$AB$4:$AB$803,$AK71),OR(NOT(ISNUMBER(INDEX(파견수련계획!$AC$4:$AC$803,$AK71))),TODAY()&lt;=INDEX(파견수련계획!$AC$4:$AC$803,$AK71))),"다기관",IF($AF71="","",INDEX(파견수련계획!$T$4:$T$803,$AF71))),IF($AF71="","",INDEX(파견수련계획!$T$4:$T$803,$AF71))))</f>
        <v/>
      </c>
      <c r="Q71" s="10">
        <f>IF($AF71="","",INDEX(파견수련계획!$S$4:$S$803,$AF71))</f>
        <v/>
      </c>
      <c r="R71" s="10">
        <f>IF($AF71="","",INDEX(파견수련계획!$U$4:$U$803,$AF71))</f>
        <v/>
      </c>
      <c r="S71" s="11">
        <f>IF($AF71="","",IF(INDEX(파견수련계획!$H$4:$H$803,$AF71)="","",INDEX(파견수련계획!$H$4:$H$803,$AF71)))</f>
        <v/>
      </c>
      <c r="T71" s="11">
        <f>IF($AF71="","",IF(INDEX(파견수련계획!$I$4:$I$803,$AF71)="","",INDEX(파견수련계획!$I$4:$I$803,$AF71)))</f>
        <v/>
      </c>
      <c r="U71" s="10">
        <f>IF($AF71="","",INDEX(파견수련계획!$X$4:$X$803,$AF71))</f>
        <v/>
      </c>
      <c r="V71" s="17">
        <f>IF($AF71="","",INDEX(파견수련계획!$V$4:$V$803,$AF71))</f>
        <v/>
      </c>
      <c r="W71" s="17">
        <f>IF(AND($U71="파견중",$T71&lt;&gt;""),$T71-TODAY(),"")</f>
        <v/>
      </c>
      <c r="X71" s="17">
        <f>IF(OR($B71="",TRIM($J71&amp;"")=""),"",SUMPRODUCT((파견수련계획!$Q$4:$Q$803=TRIM($J71&amp;""))*파견수련계획!$W$4:$W$803))</f>
        <v/>
      </c>
      <c r="Y71" s="10">
        <f>IF($B71="","",IF($AG71="","",IF(IF(TRIM($J71&amp;"")="",0,SUMPRODUCT((파견수련계획!$Q$4:$Q$803=TRIM($J71&amp;""))*파견수련계획!$AD$4:$AD$803))&gt;0,$AE71,IF(N($X71)&lt;=0,$AG71,IF($AH71+$AI71=DAY(EOMONTH(요약!$B$3,0)),IF(AND($AH71&gt;=요약!$E$3,$AI71&lt;요약!$E$3),"서울병원",IF(AND($AI71&gt;=요약!$E$3,$AH71&lt;요약!$E$3),"구리병원","⚠15일 판정불가(서울 "&amp;$AH71&amp;"일/구리 "&amp;$AI71&amp;"일)")),IF($AJ71="",$AE71,IF(INDEX(파견수련계획!$T$4:$T$803,$AJ71)="통합수련",INDEX(파견수련계획!$S$4:$S$803,$AJ71),$AE71)))))))</f>
        <v/>
      </c>
      <c r="Z71" s="19">
        <f>IF($B71="","",IF($AB71="","기본자료에 없는 사번",IF(COUNTIF($B$2:$B$401,$B71)&gt;1,"중복 사번",IF($AE71="","소속(입사장소) 입력",IF(IF(TRIM($J71&amp;"")="",0,SUMPRODUCT((파견수련계획!$Q$4:$Q$803=TRIM($J71&amp;""))*(파견수련계획!$AA$4:$AA$803&lt;&gt;"")))&gt;0,"파견수련계획 입력오류 확인",IF(LEFT($Y71,1)="⚠","서울·구리 15일 판정 불가(양쪽 모두 이상/미만)",IF(IF($AC71="",0,N(INDEX(인턴근무계획!$T$3:$T$402,$AC71)))&gt;0,"인턴계획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IF($B71="","",IFERROR(MATCH($B71,기본자료!$B$2:$B$1001,0),IFERROR(MATCH($B71&amp;"",기본자료!$B$2:$B$1001,0),IFERROR(MATCH(VALUE($B71),기본자료!$B$2:$B$1001,0),""))))</f>
        <v/>
      </c>
      <c r="AC71" s="10">
        <f>IF($B71="","",IFERROR(MATCH($B71,인턴근무계획!$D$3:$D$402,0),IFERROR(MATCH($B71&amp;"",인턴근무계획!$D$3:$D$402,0),IFERROR(MATCH(VALUE($B71),인턴근무계획!$D$3:$D$402,0),""))))</f>
        <v/>
      </c>
      <c r="AD71" s="10">
        <f>IF(OR($AC71="",인턴현황!$G$3=""),"",INDEX(인턴근무계획!$M$3:$R$402,$AC71,인턴현황!$G$3)&amp;"")</f>
        <v/>
      </c>
      <c r="AE71" s="10">
        <f>IF($B71="","",IF($M71&lt;&gt;"",$M71,IF($AF71&lt;&gt;"",IF(LEFT(INDEX(파견수련계획!$R$4:$R$803,$AF71),1)&lt;&gt;"⚠",INDEX(파견수련계획!$R$4:$R$803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$803,0),IFERROR(MATCH(TRIM($J71&amp;"")&amp;"|파견예정",파견수련계획!$Y$4:$Y$803,0),IFERROR(MATCH(TRIM($J71&amp;"")&amp;"|파견종료",파견수련계획!$Y$4:$Y$803,0),""))))</f>
        <v/>
      </c>
      <c r="AG71" s="10">
        <f>IF($B71="","",IF(AND(IF(OR($AC71="",인턴현황!$K$2=""),"",INDEX(인턴근무계획!$M$3:$R$402,$AC71,인턴현황!$K$2)&amp;"")&lt;&gt;"",LEFT(IF(OR($AC71="",인턴현황!$K$2=""),"",INDEX(인턴근무계획!$M$3:$R$402,$AC71,인턴현황!$K$2)&amp;""),1)&lt;&gt;"⚠"),LEFT(IF(OR($AC71="",인턴현황!$K$2=""),"",INDEX(인턴근무계획!$M$3:$R$402,$AC71,인턴현황!$K$2)&amp;""),FIND(" ",IF(OR($AC71="",인턴현황!$K$2=""),"",INDEX(인턴근무계획!$M$3:$R$402,$AC71,인턴현황!$K$2)&amp;""))-1),$AE71))</f>
        <v/>
      </c>
      <c r="AH71" s="17">
        <f>IF($B71="","",IF(TRIM($J71&amp;"")="",0,SUMPRODUCT((파견수련계획!$Q$4:$Q$803=TRIM($J71&amp;""))*(파견수련계획!$S$4:$S$803="서울병원")*파견수련계획!$W$4:$W$803))+IF($AG71="서울병원",MAX(0,DAY(EOMONTH(요약!$B$3,0))-N($X71)),0))</f>
        <v/>
      </c>
      <c r="AI71" s="17">
        <f>IF($B71="","",IF(TRIM($J71&amp;"")="",0,SUMPRODUCT((파견수련계획!$Q$4:$Q$803=TRIM($J71&amp;""))*(파견수련계획!$S$4:$S$803="구리병원")*파견수련계획!$W$4:$W$803))+IF($AG71="구리병원",MAX(0,DAY(EOMONTH(요약!$B$3,0))-N($X71)),0))</f>
        <v/>
      </c>
      <c r="AJ71" s="10">
        <f>IF(OR($B71="",TRIM($J71&amp;"")=""),"",IFERROR(MATCH(TRIM($J71&amp;"")&amp;"|월",파견수련계획!$Z$4:$Z$803,0),""))</f>
        <v/>
      </c>
      <c r="AK71" s="10">
        <f>IF(OR($B71="",TRIM($J71&amp;"")=""),"",IFERROR(MATCH(TRIM($J71&amp;"")&amp;"|다기관",파견수련계획!$AE$4:$AE$803,0),""))</f>
        <v/>
      </c>
      <c r="AL71" s="10">
        <f>IF($AK71="","","다기관 "&amp;TEXT(INDEX(파견수련계획!$AB$4:$AB$803,$AK71),"yyyy-mm-dd")&amp;"~"&amp;IF(ISNUMBER(INDEX(파견수련계획!$AC$4:$AC$803,$AK71)),TEXT(INDEX(파견수련계획!$AC$4:$AC$803,$AK71),"yyyy-mm-dd"),""))</f>
        <v/>
      </c>
    </row>
    <row r="72">
      <c r="A72" s="10">
        <f>IF(B72="","",ROW()-1)</f>
        <v/>
      </c>
      <c r="B72" s="18" t="n"/>
      <c r="C72" s="10">
        <f>IF($AB72="","",IF(INDEX(기본자료!$C$2:$C$1001,$AB72)="","",INDEX(기본자료!$C$2:$C$1001,$AB72)))</f>
        <v/>
      </c>
      <c r="D72" s="10">
        <f>IF($AB72="","",IF(INDEX(기본자료!$J$2:$J$1001,$AB72)="","",INDEX(기본자료!$J$2:$J$1001,$AB72)))</f>
        <v/>
      </c>
      <c r="E72" s="11">
        <f>IF($AB72="","",IF(INDEX(기본자료!$K$2:$K$1001,$AB72)="","",IF(NOT(ISNUMBER(INDEX(기본자료!$K$2:$K$1001,$AB72))),INDEX(기본자료!$K$2:$K$1001,$AB72),IF(INDEX(기본자료!$K$2:$K$1001,$AB72)&lt;1000000,INDEX(기본자료!$K$2:$K$1001,$AB72),IF(AND(INDEX(기본자료!$K$2:$K$1001,$AB72)&gt;=10000101,INT(MOD(INDEX(기본자료!$K$2:$K$1001,$AB72),10000)/100)&gt;=1,INT(MOD(INDEX(기본자료!$K$2:$K$1001,$AB72),10000)/100)&lt;=12,MOD(INDEX(기본자료!$K$2:$K$1001,$AB72),100)&gt;=1,MOD(INDEX(기본자료!$K$2:$K$1001,$AB72),100)&lt;=31),DATE(INT(INDEX(기본자료!$K$2:$K$1001,$AB72)/10000),INT(MOD(INDEX(기본자료!$K$2:$K$1001,$AB72),10000)/100),MOD(INDEX(기본자료!$K$2:$K$1001,$AB72),100)),INDEX(기본자료!$K$2:$K$1001,$AB72)&amp;"")))))</f>
        <v/>
      </c>
      <c r="F72" s="10">
        <f>IF($AB72="","",IF(INDEX(기본자료!$D$2:$D$1001,$AB72)="","",INDEX(기본자료!$D$2:$D$1001,$AB72)))</f>
        <v/>
      </c>
      <c r="G72" s="10">
        <f>IF($AB72="","",IF(INDEX(기본자료!$E$2:$E$1001,$AB72)="","",INDEX(기본자료!$E$2:$E$1001,$AB72)))</f>
        <v/>
      </c>
      <c r="H72" s="10">
        <f>IF($AB72="","",IF(INDEX(기본자료!$F$2:$F$1001,$AB72)="","",INDEX(기본자료!$F$2:$F$1001,$AB72)))</f>
        <v/>
      </c>
      <c r="I72" s="11">
        <f>IF($AB72="","",IF(INDEX(기본자료!$G$2:$G$1001,$AB72)="","",IF(NOT(ISNUMBER(INDEX(기본자료!$G$2:$G$1001,$AB72))),INDEX(기본자료!$G$2:$G$1001,$AB72),IF(INDEX(기본자료!$G$2:$G$1001,$AB72)&lt;1000000,INDEX(기본자료!$G$2:$G$1001,$AB72),IF(AND(INDEX(기본자료!$G$2:$G$1001,$AB72)&gt;=10000101,INT(MOD(INDEX(기본자료!$G$2:$G$1001,$AB72),10000)/100)&gt;=1,INT(MOD(INDEX(기본자료!$G$2:$G$1001,$AB72),10000)/100)&lt;=12,MOD(INDEX(기본자료!$G$2:$G$1001,$AB72),100)&gt;=1,MOD(INDEX(기본자료!$G$2:$G$1001,$AB72),100)&lt;=31),DATE(INT(INDEX(기본자료!$G$2:$G$1001,$AB72)/10000),INT(MOD(INDEX(기본자료!$G$2:$G$1001,$AB72),10000)/100),MOD(INDEX(기본자료!$G$2:$G$1001,$AB72),100)),INDEX(기본자료!$G$2:$G$1001,$AB72)&amp;"")))))</f>
        <v/>
      </c>
      <c r="J72" s="10">
        <f>IF($AB72="","",IF(INDEX(기본자료!$H$2:$H$1001,$AB72)="","",INDEX(기본자료!$H$2:$H$1001,$AB72)))</f>
        <v/>
      </c>
      <c r="K72" s="10">
        <f>IF($AB72="","",IF(INDEX(기본자료!$I$2:$I$1001,$AB72)="","",INDEX(기본자료!$I$2:$I$1001,$AB72)))</f>
        <v/>
      </c>
      <c r="L72" s="10">
        <f>IF($AB72="","",IF(INDEX(기본자료!$A$2:$A$1001,$AB72)="","",INDEX(기본자료!$A$2:$A$1001,$AB72)))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파견수련계획!$AB$4:$AB$803,$AK72),OR(NOT(ISNUMBER(INDEX(파견수련계획!$AC$4:$AC$803,$AK72))),TODAY()&lt;=INDEX(파견수련계획!$AC$4:$AC$803,$AK72))),"다기관",IF($AF72="","",INDEX(파견수련계획!$T$4:$T$803,$AF72))),IF($AF72="","",INDEX(파견수련계획!$T$4:$T$803,$AF72))))</f>
        <v/>
      </c>
      <c r="Q72" s="10">
        <f>IF($AF72="","",INDEX(파견수련계획!$S$4:$S$803,$AF72))</f>
        <v/>
      </c>
      <c r="R72" s="10">
        <f>IF($AF72="","",INDEX(파견수련계획!$U$4:$U$803,$AF72))</f>
        <v/>
      </c>
      <c r="S72" s="11">
        <f>IF($AF72="","",IF(INDEX(파견수련계획!$H$4:$H$803,$AF72)="","",INDEX(파견수련계획!$H$4:$H$803,$AF72)))</f>
        <v/>
      </c>
      <c r="T72" s="11">
        <f>IF($AF72="","",IF(INDEX(파견수련계획!$I$4:$I$803,$AF72)="","",INDEX(파견수련계획!$I$4:$I$803,$AF72)))</f>
        <v/>
      </c>
      <c r="U72" s="10">
        <f>IF($AF72="","",INDEX(파견수련계획!$X$4:$X$803,$AF72))</f>
        <v/>
      </c>
      <c r="V72" s="17">
        <f>IF($AF72="","",INDEX(파견수련계획!$V$4:$V$803,$AF72))</f>
        <v/>
      </c>
      <c r="W72" s="17">
        <f>IF(AND($U72="파견중",$T72&lt;&gt;""),$T72-TODAY(),"")</f>
        <v/>
      </c>
      <c r="X72" s="17">
        <f>IF(OR($B72="",TRIM($J72&amp;"")=""),"",SUMPRODUCT((파견수련계획!$Q$4:$Q$803=TRIM($J72&amp;""))*파견수련계획!$W$4:$W$803))</f>
        <v/>
      </c>
      <c r="Y72" s="10">
        <f>IF($B72="","",IF($AG72="","",IF(IF(TRIM($J72&amp;"")="",0,SUMPRODUCT((파견수련계획!$Q$4:$Q$803=TRIM($J72&amp;""))*파견수련계획!$AD$4:$AD$803))&gt;0,$AE72,IF(N($X72)&lt;=0,$AG72,IF($AH72+$AI72=DAY(EOMONTH(요약!$B$3,0)),IF(AND($AH72&gt;=요약!$E$3,$AI72&lt;요약!$E$3),"서울병원",IF(AND($AI72&gt;=요약!$E$3,$AH72&lt;요약!$E$3),"구리병원","⚠15일 판정불가(서울 "&amp;$AH72&amp;"일/구리 "&amp;$AI72&amp;"일)")),IF($AJ72="",$AE72,IF(INDEX(파견수련계획!$T$4:$T$803,$AJ72)="통합수련",INDEX(파견수련계획!$S$4:$S$803,$AJ72),$AE72)))))))</f>
        <v/>
      </c>
      <c r="Z72" s="19">
        <f>IF($B72="","",IF($AB72="","기본자료에 없는 사번",IF(COUNTIF($B$2:$B$401,$B72)&gt;1,"중복 사번",IF($AE72="","소속(입사장소) 입력",IF(IF(TRIM($J72&amp;"")="",0,SUMPRODUCT((파견수련계획!$Q$4:$Q$803=TRIM($J72&amp;""))*(파견수련계획!$AA$4:$AA$803&lt;&gt;"")))&gt;0,"파견수련계획 입력오류 확인",IF(LEFT($Y72,1)="⚠","서울·구리 15일 판정 불가(양쪽 모두 이상/미만)",IF(IF($AC72="",0,N(INDEX(인턴근무계획!$T$3:$T$402,$AC72)))&gt;0,"인턴계획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IF($B72="","",IFERROR(MATCH($B72,기본자료!$B$2:$B$1001,0),IFERROR(MATCH($B72&amp;"",기본자료!$B$2:$B$1001,0),IFERROR(MATCH(VALUE($B72),기본자료!$B$2:$B$1001,0),""))))</f>
        <v/>
      </c>
      <c r="AC72" s="10">
        <f>IF($B72="","",IFERROR(MATCH($B72,인턴근무계획!$D$3:$D$402,0),IFERROR(MATCH($B72&amp;"",인턴근무계획!$D$3:$D$402,0),IFERROR(MATCH(VALUE($B72),인턴근무계획!$D$3:$D$402,0),""))))</f>
        <v/>
      </c>
      <c r="AD72" s="10">
        <f>IF(OR($AC72="",인턴현황!$G$3=""),"",INDEX(인턴근무계획!$M$3:$R$402,$AC72,인턴현황!$G$3)&amp;"")</f>
        <v/>
      </c>
      <c r="AE72" s="10">
        <f>IF($B72="","",IF($M72&lt;&gt;"",$M72,IF($AF72&lt;&gt;"",IF(LEFT(INDEX(파견수련계획!$R$4:$R$803,$AF72),1)&lt;&gt;"⚠",INDEX(파견수련계획!$R$4:$R$803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$803,0),IFERROR(MATCH(TRIM($J72&amp;"")&amp;"|파견예정",파견수련계획!$Y$4:$Y$803,0),IFERROR(MATCH(TRIM($J72&amp;"")&amp;"|파견종료",파견수련계획!$Y$4:$Y$803,0),""))))</f>
        <v/>
      </c>
      <c r="AG72" s="10">
        <f>IF($B72="","",IF(AND(IF(OR($AC72="",인턴현황!$K$2=""),"",INDEX(인턴근무계획!$M$3:$R$402,$AC72,인턴현황!$K$2)&amp;"")&lt;&gt;"",LEFT(IF(OR($AC72="",인턴현황!$K$2=""),"",INDEX(인턴근무계획!$M$3:$R$402,$AC72,인턴현황!$K$2)&amp;""),1)&lt;&gt;"⚠"),LEFT(IF(OR($AC72="",인턴현황!$K$2=""),"",INDEX(인턴근무계획!$M$3:$R$402,$AC72,인턴현황!$K$2)&amp;""),FIND(" ",IF(OR($AC72="",인턴현황!$K$2=""),"",INDEX(인턴근무계획!$M$3:$R$402,$AC72,인턴현황!$K$2)&amp;""))-1),$AE72))</f>
        <v/>
      </c>
      <c r="AH72" s="17">
        <f>IF($B72="","",IF(TRIM($J72&amp;"")="",0,SUMPRODUCT((파견수련계획!$Q$4:$Q$803=TRIM($J72&amp;""))*(파견수련계획!$S$4:$S$803="서울병원")*파견수련계획!$W$4:$W$803))+IF($AG72="서울병원",MAX(0,DAY(EOMONTH(요약!$B$3,0))-N($X72)),0))</f>
        <v/>
      </c>
      <c r="AI72" s="17">
        <f>IF($B72="","",IF(TRIM($J72&amp;"")="",0,SUMPRODUCT((파견수련계획!$Q$4:$Q$803=TRIM($J72&amp;""))*(파견수련계획!$S$4:$S$803="구리병원")*파견수련계획!$W$4:$W$803))+IF($AG72="구리병원",MAX(0,DAY(EOMONTH(요약!$B$3,0))-N($X72)),0))</f>
        <v/>
      </c>
      <c r="AJ72" s="10">
        <f>IF(OR($B72="",TRIM($J72&amp;"")=""),"",IFERROR(MATCH(TRIM($J72&amp;"")&amp;"|월",파견수련계획!$Z$4:$Z$803,0),""))</f>
        <v/>
      </c>
      <c r="AK72" s="10">
        <f>IF(OR($B72="",TRIM($J72&amp;"")=""),"",IFERROR(MATCH(TRIM($J72&amp;"")&amp;"|다기관",파견수련계획!$AE$4:$AE$803,0),""))</f>
        <v/>
      </c>
      <c r="AL72" s="10">
        <f>IF($AK72="","","다기관 "&amp;TEXT(INDEX(파견수련계획!$AB$4:$AB$803,$AK72),"yyyy-mm-dd")&amp;"~"&amp;IF(ISNUMBER(INDEX(파견수련계획!$AC$4:$AC$803,$AK72)),TEXT(INDEX(파견수련계획!$AC$4:$AC$803,$AK72),"yyyy-mm-dd"),""))</f>
        <v/>
      </c>
    </row>
    <row r="73">
      <c r="A73" s="10">
        <f>IF(B73="","",ROW()-1)</f>
        <v/>
      </c>
      <c r="B73" s="18" t="n"/>
      <c r="C73" s="10">
        <f>IF($AB73="","",IF(INDEX(기본자료!$C$2:$C$1001,$AB73)="","",INDEX(기본자료!$C$2:$C$1001,$AB73)))</f>
        <v/>
      </c>
      <c r="D73" s="10">
        <f>IF($AB73="","",IF(INDEX(기본자료!$J$2:$J$1001,$AB73)="","",INDEX(기본자료!$J$2:$J$1001,$AB73)))</f>
        <v/>
      </c>
      <c r="E73" s="11">
        <f>IF($AB73="","",IF(INDEX(기본자료!$K$2:$K$1001,$AB73)="","",IF(NOT(ISNUMBER(INDEX(기본자료!$K$2:$K$1001,$AB73))),INDEX(기본자료!$K$2:$K$1001,$AB73),IF(INDEX(기본자료!$K$2:$K$1001,$AB73)&lt;1000000,INDEX(기본자료!$K$2:$K$1001,$AB73),IF(AND(INDEX(기본자료!$K$2:$K$1001,$AB73)&gt;=10000101,INT(MOD(INDEX(기본자료!$K$2:$K$1001,$AB73),10000)/100)&gt;=1,INT(MOD(INDEX(기본자료!$K$2:$K$1001,$AB73),10000)/100)&lt;=12,MOD(INDEX(기본자료!$K$2:$K$1001,$AB73),100)&gt;=1,MOD(INDEX(기본자료!$K$2:$K$1001,$AB73),100)&lt;=31),DATE(INT(INDEX(기본자료!$K$2:$K$1001,$AB73)/10000),INT(MOD(INDEX(기본자료!$K$2:$K$1001,$AB73),10000)/100),MOD(INDEX(기본자료!$K$2:$K$1001,$AB73),100)),INDEX(기본자료!$K$2:$K$1001,$AB73)&amp;"")))))</f>
        <v/>
      </c>
      <c r="F73" s="10">
        <f>IF($AB73="","",IF(INDEX(기본자료!$D$2:$D$1001,$AB73)="","",INDEX(기본자료!$D$2:$D$1001,$AB73)))</f>
        <v/>
      </c>
      <c r="G73" s="10">
        <f>IF($AB73="","",IF(INDEX(기본자료!$E$2:$E$1001,$AB73)="","",INDEX(기본자료!$E$2:$E$1001,$AB73)))</f>
        <v/>
      </c>
      <c r="H73" s="10">
        <f>IF($AB73="","",IF(INDEX(기본자료!$F$2:$F$1001,$AB73)="","",INDEX(기본자료!$F$2:$F$1001,$AB73)))</f>
        <v/>
      </c>
      <c r="I73" s="11">
        <f>IF($AB73="","",IF(INDEX(기본자료!$G$2:$G$1001,$AB73)="","",IF(NOT(ISNUMBER(INDEX(기본자료!$G$2:$G$1001,$AB73))),INDEX(기본자료!$G$2:$G$1001,$AB73),IF(INDEX(기본자료!$G$2:$G$1001,$AB73)&lt;1000000,INDEX(기본자료!$G$2:$G$1001,$AB73),IF(AND(INDEX(기본자료!$G$2:$G$1001,$AB73)&gt;=10000101,INT(MOD(INDEX(기본자료!$G$2:$G$1001,$AB73),10000)/100)&gt;=1,INT(MOD(INDEX(기본자료!$G$2:$G$1001,$AB73),10000)/100)&lt;=12,MOD(INDEX(기본자료!$G$2:$G$1001,$AB73),100)&gt;=1,MOD(INDEX(기본자료!$G$2:$G$1001,$AB73),100)&lt;=31),DATE(INT(INDEX(기본자료!$G$2:$G$1001,$AB73)/10000),INT(MOD(INDEX(기본자료!$G$2:$G$1001,$AB73),10000)/100),MOD(INDEX(기본자료!$G$2:$G$1001,$AB73),100)),INDEX(기본자료!$G$2:$G$1001,$AB73)&amp;"")))))</f>
        <v/>
      </c>
      <c r="J73" s="10">
        <f>IF($AB73="","",IF(INDEX(기본자료!$H$2:$H$1001,$AB73)="","",INDEX(기본자료!$H$2:$H$1001,$AB73)))</f>
        <v/>
      </c>
      <c r="K73" s="10">
        <f>IF($AB73="","",IF(INDEX(기본자료!$I$2:$I$1001,$AB73)="","",INDEX(기본자료!$I$2:$I$1001,$AB73)))</f>
        <v/>
      </c>
      <c r="L73" s="10">
        <f>IF($AB73="","",IF(INDEX(기본자료!$A$2:$A$1001,$AB73)="","",INDEX(기본자료!$A$2:$A$1001,$AB73)))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파견수련계획!$AB$4:$AB$803,$AK73),OR(NOT(ISNUMBER(INDEX(파견수련계획!$AC$4:$AC$803,$AK73))),TODAY()&lt;=INDEX(파견수련계획!$AC$4:$AC$803,$AK73))),"다기관",IF($AF73="","",INDEX(파견수련계획!$T$4:$T$803,$AF73))),IF($AF73="","",INDEX(파견수련계획!$T$4:$T$803,$AF73))))</f>
        <v/>
      </c>
      <c r="Q73" s="10">
        <f>IF($AF73="","",INDEX(파견수련계획!$S$4:$S$803,$AF73))</f>
        <v/>
      </c>
      <c r="R73" s="10">
        <f>IF($AF73="","",INDEX(파견수련계획!$U$4:$U$803,$AF73))</f>
        <v/>
      </c>
      <c r="S73" s="11">
        <f>IF($AF73="","",IF(INDEX(파견수련계획!$H$4:$H$803,$AF73)="","",INDEX(파견수련계획!$H$4:$H$803,$AF73)))</f>
        <v/>
      </c>
      <c r="T73" s="11">
        <f>IF($AF73="","",IF(INDEX(파견수련계획!$I$4:$I$803,$AF73)="","",INDEX(파견수련계획!$I$4:$I$803,$AF73)))</f>
        <v/>
      </c>
      <c r="U73" s="10">
        <f>IF($AF73="","",INDEX(파견수련계획!$X$4:$X$803,$AF73))</f>
        <v/>
      </c>
      <c r="V73" s="17">
        <f>IF($AF73="","",INDEX(파견수련계획!$V$4:$V$803,$AF73))</f>
        <v/>
      </c>
      <c r="W73" s="17">
        <f>IF(AND($U73="파견중",$T73&lt;&gt;""),$T73-TODAY(),"")</f>
        <v/>
      </c>
      <c r="X73" s="17">
        <f>IF(OR($B73="",TRIM($J73&amp;"")=""),"",SUMPRODUCT((파견수련계획!$Q$4:$Q$803=TRIM($J73&amp;""))*파견수련계획!$W$4:$W$803))</f>
        <v/>
      </c>
      <c r="Y73" s="10">
        <f>IF($B73="","",IF($AG73="","",IF(IF(TRIM($J73&amp;"")="",0,SUMPRODUCT((파견수련계획!$Q$4:$Q$803=TRIM($J73&amp;""))*파견수련계획!$AD$4:$AD$803))&gt;0,$AE73,IF(N($X73)&lt;=0,$AG73,IF($AH73+$AI73=DAY(EOMONTH(요약!$B$3,0)),IF(AND($AH73&gt;=요약!$E$3,$AI73&lt;요약!$E$3),"서울병원",IF(AND($AI73&gt;=요약!$E$3,$AH73&lt;요약!$E$3),"구리병원","⚠15일 판정불가(서울 "&amp;$AH73&amp;"일/구리 "&amp;$AI73&amp;"일)")),IF($AJ73="",$AE73,IF(INDEX(파견수련계획!$T$4:$T$803,$AJ73)="통합수련",INDEX(파견수련계획!$S$4:$S$803,$AJ73),$AE73)))))))</f>
        <v/>
      </c>
      <c r="Z73" s="19">
        <f>IF($B73="","",IF($AB73="","기본자료에 없는 사번",IF(COUNTIF($B$2:$B$401,$B73)&gt;1,"중복 사번",IF($AE73="","소속(입사장소) 입력",IF(IF(TRIM($J73&amp;"")="",0,SUMPRODUCT((파견수련계획!$Q$4:$Q$803=TRIM($J73&amp;""))*(파견수련계획!$AA$4:$AA$803&lt;&gt;"")))&gt;0,"파견수련계획 입력오류 확인",IF(LEFT($Y73,1)="⚠","서울·구리 15일 판정 불가(양쪽 모두 이상/미만)",IF(IF($AC73="",0,N(INDEX(인턴근무계획!$T$3:$T$402,$AC73)))&gt;0,"인턴계획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IF($B73="","",IFERROR(MATCH($B73,기본자료!$B$2:$B$1001,0),IFERROR(MATCH($B73&amp;"",기본자료!$B$2:$B$1001,0),IFERROR(MATCH(VALUE($B73),기본자료!$B$2:$B$1001,0),""))))</f>
        <v/>
      </c>
      <c r="AC73" s="10">
        <f>IF($B73="","",IFERROR(MATCH($B73,인턴근무계획!$D$3:$D$402,0),IFERROR(MATCH($B73&amp;"",인턴근무계획!$D$3:$D$402,0),IFERROR(MATCH(VALUE($B73),인턴근무계획!$D$3:$D$402,0),""))))</f>
        <v/>
      </c>
      <c r="AD73" s="10">
        <f>IF(OR($AC73="",인턴현황!$G$3=""),"",INDEX(인턴근무계획!$M$3:$R$402,$AC73,인턴현황!$G$3)&amp;"")</f>
        <v/>
      </c>
      <c r="AE73" s="10">
        <f>IF($B73="","",IF($M73&lt;&gt;"",$M73,IF($AF73&lt;&gt;"",IF(LEFT(INDEX(파견수련계획!$R$4:$R$803,$AF73),1)&lt;&gt;"⚠",INDEX(파견수련계획!$R$4:$R$803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$803,0),IFERROR(MATCH(TRIM($J73&amp;"")&amp;"|파견예정",파견수련계획!$Y$4:$Y$803,0),IFERROR(MATCH(TRIM($J73&amp;"")&amp;"|파견종료",파견수련계획!$Y$4:$Y$803,0),""))))</f>
        <v/>
      </c>
      <c r="AG73" s="10">
        <f>IF($B73="","",IF(AND(IF(OR($AC73="",인턴현황!$K$2=""),"",INDEX(인턴근무계획!$M$3:$R$402,$AC73,인턴현황!$K$2)&amp;"")&lt;&gt;"",LEFT(IF(OR($AC73="",인턴현황!$K$2=""),"",INDEX(인턴근무계획!$M$3:$R$402,$AC73,인턴현황!$K$2)&amp;""),1)&lt;&gt;"⚠"),LEFT(IF(OR($AC73="",인턴현황!$K$2=""),"",INDEX(인턴근무계획!$M$3:$R$402,$AC73,인턴현황!$K$2)&amp;""),FIND(" ",IF(OR($AC73="",인턴현황!$K$2=""),"",INDEX(인턴근무계획!$M$3:$R$402,$AC73,인턴현황!$K$2)&amp;""))-1),$AE73))</f>
        <v/>
      </c>
      <c r="AH73" s="17">
        <f>IF($B73="","",IF(TRIM($J73&amp;"")="",0,SUMPRODUCT((파견수련계획!$Q$4:$Q$803=TRIM($J73&amp;""))*(파견수련계획!$S$4:$S$803="서울병원")*파견수련계획!$W$4:$W$803))+IF($AG73="서울병원",MAX(0,DAY(EOMONTH(요약!$B$3,0))-N($X73)),0))</f>
        <v/>
      </c>
      <c r="AI73" s="17">
        <f>IF($B73="","",IF(TRIM($J73&amp;"")="",0,SUMPRODUCT((파견수련계획!$Q$4:$Q$803=TRIM($J73&amp;""))*(파견수련계획!$S$4:$S$803="구리병원")*파견수련계획!$W$4:$W$803))+IF($AG73="구리병원",MAX(0,DAY(EOMONTH(요약!$B$3,0))-N($X73)),0))</f>
        <v/>
      </c>
      <c r="AJ73" s="10">
        <f>IF(OR($B73="",TRIM($J73&amp;"")=""),"",IFERROR(MATCH(TRIM($J73&amp;"")&amp;"|월",파견수련계획!$Z$4:$Z$803,0),""))</f>
        <v/>
      </c>
      <c r="AK73" s="10">
        <f>IF(OR($B73="",TRIM($J73&amp;"")=""),"",IFERROR(MATCH(TRIM($J73&amp;"")&amp;"|다기관",파견수련계획!$AE$4:$AE$803,0),""))</f>
        <v/>
      </c>
      <c r="AL73" s="10">
        <f>IF($AK73="","","다기관 "&amp;TEXT(INDEX(파견수련계획!$AB$4:$AB$803,$AK73),"yyyy-mm-dd")&amp;"~"&amp;IF(ISNUMBER(INDEX(파견수련계획!$AC$4:$AC$803,$AK73)),TEXT(INDEX(파견수련계획!$AC$4:$AC$803,$AK73),"yyyy-mm-dd"),""))</f>
        <v/>
      </c>
    </row>
    <row r="74">
      <c r="A74" s="10">
        <f>IF(B74="","",ROW()-1)</f>
        <v/>
      </c>
      <c r="B74" s="18" t="n"/>
      <c r="C74" s="10">
        <f>IF($AB74="","",IF(INDEX(기본자료!$C$2:$C$1001,$AB74)="","",INDEX(기본자료!$C$2:$C$1001,$AB74)))</f>
        <v/>
      </c>
      <c r="D74" s="10">
        <f>IF($AB74="","",IF(INDEX(기본자료!$J$2:$J$1001,$AB74)="","",INDEX(기본자료!$J$2:$J$1001,$AB74)))</f>
        <v/>
      </c>
      <c r="E74" s="11">
        <f>IF($AB74="","",IF(INDEX(기본자료!$K$2:$K$1001,$AB74)="","",IF(NOT(ISNUMBER(INDEX(기본자료!$K$2:$K$1001,$AB74))),INDEX(기본자료!$K$2:$K$1001,$AB74),IF(INDEX(기본자료!$K$2:$K$1001,$AB74)&lt;1000000,INDEX(기본자료!$K$2:$K$1001,$AB74),IF(AND(INDEX(기본자료!$K$2:$K$1001,$AB74)&gt;=10000101,INT(MOD(INDEX(기본자료!$K$2:$K$1001,$AB74),10000)/100)&gt;=1,INT(MOD(INDEX(기본자료!$K$2:$K$1001,$AB74),10000)/100)&lt;=12,MOD(INDEX(기본자료!$K$2:$K$1001,$AB74),100)&gt;=1,MOD(INDEX(기본자료!$K$2:$K$1001,$AB74),100)&lt;=31),DATE(INT(INDEX(기본자료!$K$2:$K$1001,$AB74)/10000),INT(MOD(INDEX(기본자료!$K$2:$K$1001,$AB74),10000)/100),MOD(INDEX(기본자료!$K$2:$K$1001,$AB74),100)),INDEX(기본자료!$K$2:$K$1001,$AB74)&amp;"")))))</f>
        <v/>
      </c>
      <c r="F74" s="10">
        <f>IF($AB74="","",IF(INDEX(기본자료!$D$2:$D$1001,$AB74)="","",INDEX(기본자료!$D$2:$D$1001,$AB74)))</f>
        <v/>
      </c>
      <c r="G74" s="10">
        <f>IF($AB74="","",IF(INDEX(기본자료!$E$2:$E$1001,$AB74)="","",INDEX(기본자료!$E$2:$E$1001,$AB74)))</f>
        <v/>
      </c>
      <c r="H74" s="10">
        <f>IF($AB74="","",IF(INDEX(기본자료!$F$2:$F$1001,$AB74)="","",INDEX(기본자료!$F$2:$F$1001,$AB74)))</f>
        <v/>
      </c>
      <c r="I74" s="11">
        <f>IF($AB74="","",IF(INDEX(기본자료!$G$2:$G$1001,$AB74)="","",IF(NOT(ISNUMBER(INDEX(기본자료!$G$2:$G$1001,$AB74))),INDEX(기본자료!$G$2:$G$1001,$AB74),IF(INDEX(기본자료!$G$2:$G$1001,$AB74)&lt;1000000,INDEX(기본자료!$G$2:$G$1001,$AB74),IF(AND(INDEX(기본자료!$G$2:$G$1001,$AB74)&gt;=10000101,INT(MOD(INDEX(기본자료!$G$2:$G$1001,$AB74),10000)/100)&gt;=1,INT(MOD(INDEX(기본자료!$G$2:$G$1001,$AB74),10000)/100)&lt;=12,MOD(INDEX(기본자료!$G$2:$G$1001,$AB74),100)&gt;=1,MOD(INDEX(기본자료!$G$2:$G$1001,$AB74),100)&lt;=31),DATE(INT(INDEX(기본자료!$G$2:$G$1001,$AB74)/10000),INT(MOD(INDEX(기본자료!$G$2:$G$1001,$AB74),10000)/100),MOD(INDEX(기본자료!$G$2:$G$1001,$AB74),100)),INDEX(기본자료!$G$2:$G$1001,$AB74)&amp;"")))))</f>
        <v/>
      </c>
      <c r="J74" s="10">
        <f>IF($AB74="","",IF(INDEX(기본자료!$H$2:$H$1001,$AB74)="","",INDEX(기본자료!$H$2:$H$1001,$AB74)))</f>
        <v/>
      </c>
      <c r="K74" s="10">
        <f>IF($AB74="","",IF(INDEX(기본자료!$I$2:$I$1001,$AB74)="","",INDEX(기본자료!$I$2:$I$1001,$AB74)))</f>
        <v/>
      </c>
      <c r="L74" s="10">
        <f>IF($AB74="","",IF(INDEX(기본자료!$A$2:$A$1001,$AB74)="","",INDEX(기본자료!$A$2:$A$1001,$AB74)))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파견수련계획!$AB$4:$AB$803,$AK74),OR(NOT(ISNUMBER(INDEX(파견수련계획!$AC$4:$AC$803,$AK74))),TODAY()&lt;=INDEX(파견수련계획!$AC$4:$AC$803,$AK74))),"다기관",IF($AF74="","",INDEX(파견수련계획!$T$4:$T$803,$AF74))),IF($AF74="","",INDEX(파견수련계획!$T$4:$T$803,$AF74))))</f>
        <v/>
      </c>
      <c r="Q74" s="10">
        <f>IF($AF74="","",INDEX(파견수련계획!$S$4:$S$803,$AF74))</f>
        <v/>
      </c>
      <c r="R74" s="10">
        <f>IF($AF74="","",INDEX(파견수련계획!$U$4:$U$803,$AF74))</f>
        <v/>
      </c>
      <c r="S74" s="11">
        <f>IF($AF74="","",IF(INDEX(파견수련계획!$H$4:$H$803,$AF74)="","",INDEX(파견수련계획!$H$4:$H$803,$AF74)))</f>
        <v/>
      </c>
      <c r="T74" s="11">
        <f>IF($AF74="","",IF(INDEX(파견수련계획!$I$4:$I$803,$AF74)="","",INDEX(파견수련계획!$I$4:$I$803,$AF74)))</f>
        <v/>
      </c>
      <c r="U74" s="10">
        <f>IF($AF74="","",INDEX(파견수련계획!$X$4:$X$803,$AF74))</f>
        <v/>
      </c>
      <c r="V74" s="17">
        <f>IF($AF74="","",INDEX(파견수련계획!$V$4:$V$803,$AF74))</f>
        <v/>
      </c>
      <c r="W74" s="17">
        <f>IF(AND($U74="파견중",$T74&lt;&gt;""),$T74-TODAY(),"")</f>
        <v/>
      </c>
      <c r="X74" s="17">
        <f>IF(OR($B74="",TRIM($J74&amp;"")=""),"",SUMPRODUCT((파견수련계획!$Q$4:$Q$803=TRIM($J74&amp;""))*파견수련계획!$W$4:$W$803))</f>
        <v/>
      </c>
      <c r="Y74" s="10">
        <f>IF($B74="","",IF($AG74="","",IF(IF(TRIM($J74&amp;"")="",0,SUMPRODUCT((파견수련계획!$Q$4:$Q$803=TRIM($J74&amp;""))*파견수련계획!$AD$4:$AD$803))&gt;0,$AE74,IF(N($X74)&lt;=0,$AG74,IF($AH74+$AI74=DAY(EOMONTH(요약!$B$3,0)),IF(AND($AH74&gt;=요약!$E$3,$AI74&lt;요약!$E$3),"서울병원",IF(AND($AI74&gt;=요약!$E$3,$AH74&lt;요약!$E$3),"구리병원","⚠15일 판정불가(서울 "&amp;$AH74&amp;"일/구리 "&amp;$AI74&amp;"일)")),IF($AJ74="",$AE74,IF(INDEX(파견수련계획!$T$4:$T$803,$AJ74)="통합수련",INDEX(파견수련계획!$S$4:$S$803,$AJ74),$AE74)))))))</f>
        <v/>
      </c>
      <c r="Z74" s="19">
        <f>IF($B74="","",IF($AB74="","기본자료에 없는 사번",IF(COUNTIF($B$2:$B$401,$B74)&gt;1,"중복 사번",IF($AE74="","소속(입사장소) 입력",IF(IF(TRIM($J74&amp;"")="",0,SUMPRODUCT((파견수련계획!$Q$4:$Q$803=TRIM($J74&amp;""))*(파견수련계획!$AA$4:$AA$803&lt;&gt;"")))&gt;0,"파견수련계획 입력오류 확인",IF(LEFT($Y74,1)="⚠","서울·구리 15일 판정 불가(양쪽 모두 이상/미만)",IF(IF($AC74="",0,N(INDEX(인턴근무계획!$T$3:$T$402,$AC74)))&gt;0,"인턴계획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IF($B74="","",IFERROR(MATCH($B74,기본자료!$B$2:$B$1001,0),IFERROR(MATCH($B74&amp;"",기본자료!$B$2:$B$1001,0),IFERROR(MATCH(VALUE($B74),기본자료!$B$2:$B$1001,0),""))))</f>
        <v/>
      </c>
      <c r="AC74" s="10">
        <f>IF($B74="","",IFERROR(MATCH($B74,인턴근무계획!$D$3:$D$402,0),IFERROR(MATCH($B74&amp;"",인턴근무계획!$D$3:$D$402,0),IFERROR(MATCH(VALUE($B74),인턴근무계획!$D$3:$D$402,0),""))))</f>
        <v/>
      </c>
      <c r="AD74" s="10">
        <f>IF(OR($AC74="",인턴현황!$G$3=""),"",INDEX(인턴근무계획!$M$3:$R$402,$AC74,인턴현황!$G$3)&amp;"")</f>
        <v/>
      </c>
      <c r="AE74" s="10">
        <f>IF($B74="","",IF($M74&lt;&gt;"",$M74,IF($AF74&lt;&gt;"",IF(LEFT(INDEX(파견수련계획!$R$4:$R$803,$AF74),1)&lt;&gt;"⚠",INDEX(파견수련계획!$R$4:$R$803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$803,0),IFERROR(MATCH(TRIM($J74&amp;"")&amp;"|파견예정",파견수련계획!$Y$4:$Y$803,0),IFERROR(MATCH(TRIM($J74&amp;"")&amp;"|파견종료",파견수련계획!$Y$4:$Y$803,0),""))))</f>
        <v/>
      </c>
      <c r="AG74" s="10">
        <f>IF($B74="","",IF(AND(IF(OR($AC74="",인턴현황!$K$2=""),"",INDEX(인턴근무계획!$M$3:$R$402,$AC74,인턴현황!$K$2)&amp;"")&lt;&gt;"",LEFT(IF(OR($AC74="",인턴현황!$K$2=""),"",INDEX(인턴근무계획!$M$3:$R$402,$AC74,인턴현황!$K$2)&amp;""),1)&lt;&gt;"⚠"),LEFT(IF(OR($AC74="",인턴현황!$K$2=""),"",INDEX(인턴근무계획!$M$3:$R$402,$AC74,인턴현황!$K$2)&amp;""),FIND(" ",IF(OR($AC74="",인턴현황!$K$2=""),"",INDEX(인턴근무계획!$M$3:$R$402,$AC74,인턴현황!$K$2)&amp;""))-1),$AE74))</f>
        <v/>
      </c>
      <c r="AH74" s="17">
        <f>IF($B74="","",IF(TRIM($J74&amp;"")="",0,SUMPRODUCT((파견수련계획!$Q$4:$Q$803=TRIM($J74&amp;""))*(파견수련계획!$S$4:$S$803="서울병원")*파견수련계획!$W$4:$W$803))+IF($AG74="서울병원",MAX(0,DAY(EOMONTH(요약!$B$3,0))-N($X74)),0))</f>
        <v/>
      </c>
      <c r="AI74" s="17">
        <f>IF($B74="","",IF(TRIM($J74&amp;"")="",0,SUMPRODUCT((파견수련계획!$Q$4:$Q$803=TRIM($J74&amp;""))*(파견수련계획!$S$4:$S$803="구리병원")*파견수련계획!$W$4:$W$803))+IF($AG74="구리병원",MAX(0,DAY(EOMONTH(요약!$B$3,0))-N($X74)),0))</f>
        <v/>
      </c>
      <c r="AJ74" s="10">
        <f>IF(OR($B74="",TRIM($J74&amp;"")=""),"",IFERROR(MATCH(TRIM($J74&amp;"")&amp;"|월",파견수련계획!$Z$4:$Z$803,0),""))</f>
        <v/>
      </c>
      <c r="AK74" s="10">
        <f>IF(OR($B74="",TRIM($J74&amp;"")=""),"",IFERROR(MATCH(TRIM($J74&amp;"")&amp;"|다기관",파견수련계획!$AE$4:$AE$803,0),""))</f>
        <v/>
      </c>
      <c r="AL74" s="10">
        <f>IF($AK74="","","다기관 "&amp;TEXT(INDEX(파견수련계획!$AB$4:$AB$803,$AK74),"yyyy-mm-dd")&amp;"~"&amp;IF(ISNUMBER(INDEX(파견수련계획!$AC$4:$AC$803,$AK74)),TEXT(INDEX(파견수련계획!$AC$4:$AC$803,$AK74),"yyyy-mm-dd"),""))</f>
        <v/>
      </c>
    </row>
    <row r="75">
      <c r="A75" s="10">
        <f>IF(B75="","",ROW()-1)</f>
        <v/>
      </c>
      <c r="B75" s="18" t="n"/>
      <c r="C75" s="10">
        <f>IF($AB75="","",IF(INDEX(기본자료!$C$2:$C$1001,$AB75)="","",INDEX(기본자료!$C$2:$C$1001,$AB75)))</f>
        <v/>
      </c>
      <c r="D75" s="10">
        <f>IF($AB75="","",IF(INDEX(기본자료!$J$2:$J$1001,$AB75)="","",INDEX(기본자료!$J$2:$J$1001,$AB75)))</f>
        <v/>
      </c>
      <c r="E75" s="11">
        <f>IF($AB75="","",IF(INDEX(기본자료!$K$2:$K$1001,$AB75)="","",IF(NOT(ISNUMBER(INDEX(기본자료!$K$2:$K$1001,$AB75))),INDEX(기본자료!$K$2:$K$1001,$AB75),IF(INDEX(기본자료!$K$2:$K$1001,$AB75)&lt;1000000,INDEX(기본자료!$K$2:$K$1001,$AB75),IF(AND(INDEX(기본자료!$K$2:$K$1001,$AB75)&gt;=10000101,INT(MOD(INDEX(기본자료!$K$2:$K$1001,$AB75),10000)/100)&gt;=1,INT(MOD(INDEX(기본자료!$K$2:$K$1001,$AB75),10000)/100)&lt;=12,MOD(INDEX(기본자료!$K$2:$K$1001,$AB75),100)&gt;=1,MOD(INDEX(기본자료!$K$2:$K$1001,$AB75),100)&lt;=31),DATE(INT(INDEX(기본자료!$K$2:$K$1001,$AB75)/10000),INT(MOD(INDEX(기본자료!$K$2:$K$1001,$AB75),10000)/100),MOD(INDEX(기본자료!$K$2:$K$1001,$AB75),100)),INDEX(기본자료!$K$2:$K$1001,$AB75)&amp;"")))))</f>
        <v/>
      </c>
      <c r="F75" s="10">
        <f>IF($AB75="","",IF(INDEX(기본자료!$D$2:$D$1001,$AB75)="","",INDEX(기본자료!$D$2:$D$1001,$AB75)))</f>
        <v/>
      </c>
      <c r="G75" s="10">
        <f>IF($AB75="","",IF(INDEX(기본자료!$E$2:$E$1001,$AB75)="","",INDEX(기본자료!$E$2:$E$1001,$AB75)))</f>
        <v/>
      </c>
      <c r="H75" s="10">
        <f>IF($AB75="","",IF(INDEX(기본자료!$F$2:$F$1001,$AB75)="","",INDEX(기본자료!$F$2:$F$1001,$AB75)))</f>
        <v/>
      </c>
      <c r="I75" s="11">
        <f>IF($AB75="","",IF(INDEX(기본자료!$G$2:$G$1001,$AB75)="","",IF(NOT(ISNUMBER(INDEX(기본자료!$G$2:$G$1001,$AB75))),INDEX(기본자료!$G$2:$G$1001,$AB75),IF(INDEX(기본자료!$G$2:$G$1001,$AB75)&lt;1000000,INDEX(기본자료!$G$2:$G$1001,$AB75),IF(AND(INDEX(기본자료!$G$2:$G$1001,$AB75)&gt;=10000101,INT(MOD(INDEX(기본자료!$G$2:$G$1001,$AB75),10000)/100)&gt;=1,INT(MOD(INDEX(기본자료!$G$2:$G$1001,$AB75),10000)/100)&lt;=12,MOD(INDEX(기본자료!$G$2:$G$1001,$AB75),100)&gt;=1,MOD(INDEX(기본자료!$G$2:$G$1001,$AB75),100)&lt;=31),DATE(INT(INDEX(기본자료!$G$2:$G$1001,$AB75)/10000),INT(MOD(INDEX(기본자료!$G$2:$G$1001,$AB75),10000)/100),MOD(INDEX(기본자료!$G$2:$G$1001,$AB75),100)),INDEX(기본자료!$G$2:$G$1001,$AB75)&amp;"")))))</f>
        <v/>
      </c>
      <c r="J75" s="10">
        <f>IF($AB75="","",IF(INDEX(기본자료!$H$2:$H$1001,$AB75)="","",INDEX(기본자료!$H$2:$H$1001,$AB75)))</f>
        <v/>
      </c>
      <c r="K75" s="10">
        <f>IF($AB75="","",IF(INDEX(기본자료!$I$2:$I$1001,$AB75)="","",INDEX(기본자료!$I$2:$I$1001,$AB75)))</f>
        <v/>
      </c>
      <c r="L75" s="10">
        <f>IF($AB75="","",IF(INDEX(기본자료!$A$2:$A$1001,$AB75)="","",INDEX(기본자료!$A$2:$A$1001,$AB75)))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파견수련계획!$AB$4:$AB$803,$AK75),OR(NOT(ISNUMBER(INDEX(파견수련계획!$AC$4:$AC$803,$AK75))),TODAY()&lt;=INDEX(파견수련계획!$AC$4:$AC$803,$AK75))),"다기관",IF($AF75="","",INDEX(파견수련계획!$T$4:$T$803,$AF75))),IF($AF75="","",INDEX(파견수련계획!$T$4:$T$803,$AF75))))</f>
        <v/>
      </c>
      <c r="Q75" s="10">
        <f>IF($AF75="","",INDEX(파견수련계획!$S$4:$S$803,$AF75))</f>
        <v/>
      </c>
      <c r="R75" s="10">
        <f>IF($AF75="","",INDEX(파견수련계획!$U$4:$U$803,$AF75))</f>
        <v/>
      </c>
      <c r="S75" s="11">
        <f>IF($AF75="","",IF(INDEX(파견수련계획!$H$4:$H$803,$AF75)="","",INDEX(파견수련계획!$H$4:$H$803,$AF75)))</f>
        <v/>
      </c>
      <c r="T75" s="11">
        <f>IF($AF75="","",IF(INDEX(파견수련계획!$I$4:$I$803,$AF75)="","",INDEX(파견수련계획!$I$4:$I$803,$AF75)))</f>
        <v/>
      </c>
      <c r="U75" s="10">
        <f>IF($AF75="","",INDEX(파견수련계획!$X$4:$X$803,$AF75))</f>
        <v/>
      </c>
      <c r="V75" s="17">
        <f>IF($AF75="","",INDEX(파견수련계획!$V$4:$V$803,$AF75))</f>
        <v/>
      </c>
      <c r="W75" s="17">
        <f>IF(AND($U75="파견중",$T75&lt;&gt;""),$T75-TODAY(),"")</f>
        <v/>
      </c>
      <c r="X75" s="17">
        <f>IF(OR($B75="",TRIM($J75&amp;"")=""),"",SUMPRODUCT((파견수련계획!$Q$4:$Q$803=TRIM($J75&amp;""))*파견수련계획!$W$4:$W$803))</f>
        <v/>
      </c>
      <c r="Y75" s="10">
        <f>IF($B75="","",IF($AG75="","",IF(IF(TRIM($J75&amp;"")="",0,SUMPRODUCT((파견수련계획!$Q$4:$Q$803=TRIM($J75&amp;""))*파견수련계획!$AD$4:$AD$803))&gt;0,$AE75,IF(N($X75)&lt;=0,$AG75,IF($AH75+$AI75=DAY(EOMONTH(요약!$B$3,0)),IF(AND($AH75&gt;=요약!$E$3,$AI75&lt;요약!$E$3),"서울병원",IF(AND($AI75&gt;=요약!$E$3,$AH75&lt;요약!$E$3),"구리병원","⚠15일 판정불가(서울 "&amp;$AH75&amp;"일/구리 "&amp;$AI75&amp;"일)")),IF($AJ75="",$AE75,IF(INDEX(파견수련계획!$T$4:$T$803,$AJ75)="통합수련",INDEX(파견수련계획!$S$4:$S$803,$AJ75),$AE75)))))))</f>
        <v/>
      </c>
      <c r="Z75" s="19">
        <f>IF($B75="","",IF($AB75="","기본자료에 없는 사번",IF(COUNTIF($B$2:$B$401,$B75)&gt;1,"중복 사번",IF($AE75="","소속(입사장소) 입력",IF(IF(TRIM($J75&amp;"")="",0,SUMPRODUCT((파견수련계획!$Q$4:$Q$803=TRIM($J75&amp;""))*(파견수련계획!$AA$4:$AA$803&lt;&gt;"")))&gt;0,"파견수련계획 입력오류 확인",IF(LEFT($Y75,1)="⚠","서울·구리 15일 판정 불가(양쪽 모두 이상/미만)",IF(IF($AC75="",0,N(INDEX(인턴근무계획!$T$3:$T$402,$AC75)))&gt;0,"인턴계획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IF($B75="","",IFERROR(MATCH($B75,기본자료!$B$2:$B$1001,0),IFERROR(MATCH($B75&amp;"",기본자료!$B$2:$B$1001,0),IFERROR(MATCH(VALUE($B75),기본자료!$B$2:$B$1001,0),""))))</f>
        <v/>
      </c>
      <c r="AC75" s="10">
        <f>IF($B75="","",IFERROR(MATCH($B75,인턴근무계획!$D$3:$D$402,0),IFERROR(MATCH($B75&amp;"",인턴근무계획!$D$3:$D$402,0),IFERROR(MATCH(VALUE($B75),인턴근무계획!$D$3:$D$402,0),""))))</f>
        <v/>
      </c>
      <c r="AD75" s="10">
        <f>IF(OR($AC75="",인턴현황!$G$3=""),"",INDEX(인턴근무계획!$M$3:$R$402,$AC75,인턴현황!$G$3)&amp;"")</f>
        <v/>
      </c>
      <c r="AE75" s="10">
        <f>IF($B75="","",IF($M75&lt;&gt;"",$M75,IF($AF75&lt;&gt;"",IF(LEFT(INDEX(파견수련계획!$R$4:$R$803,$AF75),1)&lt;&gt;"⚠",INDEX(파견수련계획!$R$4:$R$803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$803,0),IFERROR(MATCH(TRIM($J75&amp;"")&amp;"|파견예정",파견수련계획!$Y$4:$Y$803,0),IFERROR(MATCH(TRIM($J75&amp;"")&amp;"|파견종료",파견수련계획!$Y$4:$Y$803,0),""))))</f>
        <v/>
      </c>
      <c r="AG75" s="10">
        <f>IF($B75="","",IF(AND(IF(OR($AC75="",인턴현황!$K$2=""),"",INDEX(인턴근무계획!$M$3:$R$402,$AC75,인턴현황!$K$2)&amp;"")&lt;&gt;"",LEFT(IF(OR($AC75="",인턴현황!$K$2=""),"",INDEX(인턴근무계획!$M$3:$R$402,$AC75,인턴현황!$K$2)&amp;""),1)&lt;&gt;"⚠"),LEFT(IF(OR($AC75="",인턴현황!$K$2=""),"",INDEX(인턴근무계획!$M$3:$R$402,$AC75,인턴현황!$K$2)&amp;""),FIND(" ",IF(OR($AC75="",인턴현황!$K$2=""),"",INDEX(인턴근무계획!$M$3:$R$402,$AC75,인턴현황!$K$2)&amp;""))-1),$AE75))</f>
        <v/>
      </c>
      <c r="AH75" s="17">
        <f>IF($B75="","",IF(TRIM($J75&amp;"")="",0,SUMPRODUCT((파견수련계획!$Q$4:$Q$803=TRIM($J75&amp;""))*(파견수련계획!$S$4:$S$803="서울병원")*파견수련계획!$W$4:$W$803))+IF($AG75="서울병원",MAX(0,DAY(EOMONTH(요약!$B$3,0))-N($X75)),0))</f>
        <v/>
      </c>
      <c r="AI75" s="17">
        <f>IF($B75="","",IF(TRIM($J75&amp;"")="",0,SUMPRODUCT((파견수련계획!$Q$4:$Q$803=TRIM($J75&amp;""))*(파견수련계획!$S$4:$S$803="구리병원")*파견수련계획!$W$4:$W$803))+IF($AG75="구리병원",MAX(0,DAY(EOMONTH(요약!$B$3,0))-N($X75)),0))</f>
        <v/>
      </c>
      <c r="AJ75" s="10">
        <f>IF(OR($B75="",TRIM($J75&amp;"")=""),"",IFERROR(MATCH(TRIM($J75&amp;"")&amp;"|월",파견수련계획!$Z$4:$Z$803,0),""))</f>
        <v/>
      </c>
      <c r="AK75" s="10">
        <f>IF(OR($B75="",TRIM($J75&amp;"")=""),"",IFERROR(MATCH(TRIM($J75&amp;"")&amp;"|다기관",파견수련계획!$AE$4:$AE$803,0),""))</f>
        <v/>
      </c>
      <c r="AL75" s="10">
        <f>IF($AK75="","","다기관 "&amp;TEXT(INDEX(파견수련계획!$AB$4:$AB$803,$AK75),"yyyy-mm-dd")&amp;"~"&amp;IF(ISNUMBER(INDEX(파견수련계획!$AC$4:$AC$803,$AK75)),TEXT(INDEX(파견수련계획!$AC$4:$AC$803,$AK75),"yyyy-mm-dd"),""))</f>
        <v/>
      </c>
    </row>
    <row r="76">
      <c r="A76" s="10">
        <f>IF(B76="","",ROW()-1)</f>
        <v/>
      </c>
      <c r="B76" s="18" t="n"/>
      <c r="C76" s="10">
        <f>IF($AB76="","",IF(INDEX(기본자료!$C$2:$C$1001,$AB76)="","",INDEX(기본자료!$C$2:$C$1001,$AB76)))</f>
        <v/>
      </c>
      <c r="D76" s="10">
        <f>IF($AB76="","",IF(INDEX(기본자료!$J$2:$J$1001,$AB76)="","",INDEX(기본자료!$J$2:$J$1001,$AB76)))</f>
        <v/>
      </c>
      <c r="E76" s="11">
        <f>IF($AB76="","",IF(INDEX(기본자료!$K$2:$K$1001,$AB76)="","",IF(NOT(ISNUMBER(INDEX(기본자료!$K$2:$K$1001,$AB76))),INDEX(기본자료!$K$2:$K$1001,$AB76),IF(INDEX(기본자료!$K$2:$K$1001,$AB76)&lt;1000000,INDEX(기본자료!$K$2:$K$1001,$AB76),IF(AND(INDEX(기본자료!$K$2:$K$1001,$AB76)&gt;=10000101,INT(MOD(INDEX(기본자료!$K$2:$K$1001,$AB76),10000)/100)&gt;=1,INT(MOD(INDEX(기본자료!$K$2:$K$1001,$AB76),10000)/100)&lt;=12,MOD(INDEX(기본자료!$K$2:$K$1001,$AB76),100)&gt;=1,MOD(INDEX(기본자료!$K$2:$K$1001,$AB76),100)&lt;=31),DATE(INT(INDEX(기본자료!$K$2:$K$1001,$AB76)/10000),INT(MOD(INDEX(기본자료!$K$2:$K$1001,$AB76),10000)/100),MOD(INDEX(기본자료!$K$2:$K$1001,$AB76),100)),INDEX(기본자료!$K$2:$K$1001,$AB76)&amp;"")))))</f>
        <v/>
      </c>
      <c r="F76" s="10">
        <f>IF($AB76="","",IF(INDEX(기본자료!$D$2:$D$1001,$AB76)="","",INDEX(기본자료!$D$2:$D$1001,$AB76)))</f>
        <v/>
      </c>
      <c r="G76" s="10">
        <f>IF($AB76="","",IF(INDEX(기본자료!$E$2:$E$1001,$AB76)="","",INDEX(기본자료!$E$2:$E$1001,$AB76)))</f>
        <v/>
      </c>
      <c r="H76" s="10">
        <f>IF($AB76="","",IF(INDEX(기본자료!$F$2:$F$1001,$AB76)="","",INDEX(기본자료!$F$2:$F$1001,$AB76)))</f>
        <v/>
      </c>
      <c r="I76" s="11">
        <f>IF($AB76="","",IF(INDEX(기본자료!$G$2:$G$1001,$AB76)="","",IF(NOT(ISNUMBER(INDEX(기본자료!$G$2:$G$1001,$AB76))),INDEX(기본자료!$G$2:$G$1001,$AB76),IF(INDEX(기본자료!$G$2:$G$1001,$AB76)&lt;1000000,INDEX(기본자료!$G$2:$G$1001,$AB76),IF(AND(INDEX(기본자료!$G$2:$G$1001,$AB76)&gt;=10000101,INT(MOD(INDEX(기본자료!$G$2:$G$1001,$AB76),10000)/100)&gt;=1,INT(MOD(INDEX(기본자료!$G$2:$G$1001,$AB76),10000)/100)&lt;=12,MOD(INDEX(기본자료!$G$2:$G$1001,$AB76),100)&gt;=1,MOD(INDEX(기본자료!$G$2:$G$1001,$AB76),100)&lt;=31),DATE(INT(INDEX(기본자료!$G$2:$G$1001,$AB76)/10000),INT(MOD(INDEX(기본자료!$G$2:$G$1001,$AB76),10000)/100),MOD(INDEX(기본자료!$G$2:$G$1001,$AB76),100)),INDEX(기본자료!$G$2:$G$1001,$AB76)&amp;"")))))</f>
        <v/>
      </c>
      <c r="J76" s="10">
        <f>IF($AB76="","",IF(INDEX(기본자료!$H$2:$H$1001,$AB76)="","",INDEX(기본자료!$H$2:$H$1001,$AB76)))</f>
        <v/>
      </c>
      <c r="K76" s="10">
        <f>IF($AB76="","",IF(INDEX(기본자료!$I$2:$I$1001,$AB76)="","",INDEX(기본자료!$I$2:$I$1001,$AB76)))</f>
        <v/>
      </c>
      <c r="L76" s="10">
        <f>IF($AB76="","",IF(INDEX(기본자료!$A$2:$A$1001,$AB76)="","",INDEX(기본자료!$A$2:$A$1001,$AB76)))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파견수련계획!$AB$4:$AB$803,$AK76),OR(NOT(ISNUMBER(INDEX(파견수련계획!$AC$4:$AC$803,$AK76))),TODAY()&lt;=INDEX(파견수련계획!$AC$4:$AC$803,$AK76))),"다기관",IF($AF76="","",INDEX(파견수련계획!$T$4:$T$803,$AF76))),IF($AF76="","",INDEX(파견수련계획!$T$4:$T$803,$AF76))))</f>
        <v/>
      </c>
      <c r="Q76" s="10">
        <f>IF($AF76="","",INDEX(파견수련계획!$S$4:$S$803,$AF76))</f>
        <v/>
      </c>
      <c r="R76" s="10">
        <f>IF($AF76="","",INDEX(파견수련계획!$U$4:$U$803,$AF76))</f>
        <v/>
      </c>
      <c r="S76" s="11">
        <f>IF($AF76="","",IF(INDEX(파견수련계획!$H$4:$H$803,$AF76)="","",INDEX(파견수련계획!$H$4:$H$803,$AF76)))</f>
        <v/>
      </c>
      <c r="T76" s="11">
        <f>IF($AF76="","",IF(INDEX(파견수련계획!$I$4:$I$803,$AF76)="","",INDEX(파견수련계획!$I$4:$I$803,$AF76)))</f>
        <v/>
      </c>
      <c r="U76" s="10">
        <f>IF($AF76="","",INDEX(파견수련계획!$X$4:$X$803,$AF76))</f>
        <v/>
      </c>
      <c r="V76" s="17">
        <f>IF($AF76="","",INDEX(파견수련계획!$V$4:$V$803,$AF76))</f>
        <v/>
      </c>
      <c r="W76" s="17">
        <f>IF(AND($U76="파견중",$T76&lt;&gt;""),$T76-TODAY(),"")</f>
        <v/>
      </c>
      <c r="X76" s="17">
        <f>IF(OR($B76="",TRIM($J76&amp;"")=""),"",SUMPRODUCT((파견수련계획!$Q$4:$Q$803=TRIM($J76&amp;""))*파견수련계획!$W$4:$W$803))</f>
        <v/>
      </c>
      <c r="Y76" s="10">
        <f>IF($B76="","",IF($AG76="","",IF(IF(TRIM($J76&amp;"")="",0,SUMPRODUCT((파견수련계획!$Q$4:$Q$803=TRIM($J76&amp;""))*파견수련계획!$AD$4:$AD$803))&gt;0,$AE76,IF(N($X76)&lt;=0,$AG76,IF($AH76+$AI76=DAY(EOMONTH(요약!$B$3,0)),IF(AND($AH76&gt;=요약!$E$3,$AI76&lt;요약!$E$3),"서울병원",IF(AND($AI76&gt;=요약!$E$3,$AH76&lt;요약!$E$3),"구리병원","⚠15일 판정불가(서울 "&amp;$AH76&amp;"일/구리 "&amp;$AI76&amp;"일)")),IF($AJ76="",$AE76,IF(INDEX(파견수련계획!$T$4:$T$803,$AJ76)="통합수련",INDEX(파견수련계획!$S$4:$S$803,$AJ76),$AE76)))))))</f>
        <v/>
      </c>
      <c r="Z76" s="19">
        <f>IF($B76="","",IF($AB76="","기본자료에 없는 사번",IF(COUNTIF($B$2:$B$401,$B76)&gt;1,"중복 사번",IF($AE76="","소속(입사장소) 입력",IF(IF(TRIM($J76&amp;"")="",0,SUMPRODUCT((파견수련계획!$Q$4:$Q$803=TRIM($J76&amp;""))*(파견수련계획!$AA$4:$AA$803&lt;&gt;"")))&gt;0,"파견수련계획 입력오류 확인",IF(LEFT($Y76,1)="⚠","서울·구리 15일 판정 불가(양쪽 모두 이상/미만)",IF(IF($AC76="",0,N(INDEX(인턴근무계획!$T$3:$T$402,$AC76)))&gt;0,"인턴계획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IF($B76="","",IFERROR(MATCH($B76,기본자료!$B$2:$B$1001,0),IFERROR(MATCH($B76&amp;"",기본자료!$B$2:$B$1001,0),IFERROR(MATCH(VALUE($B76),기본자료!$B$2:$B$1001,0),""))))</f>
        <v/>
      </c>
      <c r="AC76" s="10">
        <f>IF($B76="","",IFERROR(MATCH($B76,인턴근무계획!$D$3:$D$402,0),IFERROR(MATCH($B76&amp;"",인턴근무계획!$D$3:$D$402,0),IFERROR(MATCH(VALUE($B76),인턴근무계획!$D$3:$D$402,0),""))))</f>
        <v/>
      </c>
      <c r="AD76" s="10">
        <f>IF(OR($AC76="",인턴현황!$G$3=""),"",INDEX(인턴근무계획!$M$3:$R$402,$AC76,인턴현황!$G$3)&amp;"")</f>
        <v/>
      </c>
      <c r="AE76" s="10">
        <f>IF($B76="","",IF($M76&lt;&gt;"",$M76,IF($AF76&lt;&gt;"",IF(LEFT(INDEX(파견수련계획!$R$4:$R$803,$AF76),1)&lt;&gt;"⚠",INDEX(파견수련계획!$R$4:$R$803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$803,0),IFERROR(MATCH(TRIM($J76&amp;"")&amp;"|파견예정",파견수련계획!$Y$4:$Y$803,0),IFERROR(MATCH(TRIM($J76&amp;"")&amp;"|파견종료",파견수련계획!$Y$4:$Y$803,0),""))))</f>
        <v/>
      </c>
      <c r="AG76" s="10">
        <f>IF($B76="","",IF(AND(IF(OR($AC76="",인턴현황!$K$2=""),"",INDEX(인턴근무계획!$M$3:$R$402,$AC76,인턴현황!$K$2)&amp;"")&lt;&gt;"",LEFT(IF(OR($AC76="",인턴현황!$K$2=""),"",INDEX(인턴근무계획!$M$3:$R$402,$AC76,인턴현황!$K$2)&amp;""),1)&lt;&gt;"⚠"),LEFT(IF(OR($AC76="",인턴현황!$K$2=""),"",INDEX(인턴근무계획!$M$3:$R$402,$AC76,인턴현황!$K$2)&amp;""),FIND(" ",IF(OR($AC76="",인턴현황!$K$2=""),"",INDEX(인턴근무계획!$M$3:$R$402,$AC76,인턴현황!$K$2)&amp;""))-1),$AE76))</f>
        <v/>
      </c>
      <c r="AH76" s="17">
        <f>IF($B76="","",IF(TRIM($J76&amp;"")="",0,SUMPRODUCT((파견수련계획!$Q$4:$Q$803=TRIM($J76&amp;""))*(파견수련계획!$S$4:$S$803="서울병원")*파견수련계획!$W$4:$W$803))+IF($AG76="서울병원",MAX(0,DAY(EOMONTH(요약!$B$3,0))-N($X76)),0))</f>
        <v/>
      </c>
      <c r="AI76" s="17">
        <f>IF($B76="","",IF(TRIM($J76&amp;"")="",0,SUMPRODUCT((파견수련계획!$Q$4:$Q$803=TRIM($J76&amp;""))*(파견수련계획!$S$4:$S$803="구리병원")*파견수련계획!$W$4:$W$803))+IF($AG76="구리병원",MAX(0,DAY(EOMONTH(요약!$B$3,0))-N($X76)),0))</f>
        <v/>
      </c>
      <c r="AJ76" s="10">
        <f>IF(OR($B76="",TRIM($J76&amp;"")=""),"",IFERROR(MATCH(TRIM($J76&amp;"")&amp;"|월",파견수련계획!$Z$4:$Z$803,0),""))</f>
        <v/>
      </c>
      <c r="AK76" s="10">
        <f>IF(OR($B76="",TRIM($J76&amp;"")=""),"",IFERROR(MATCH(TRIM($J76&amp;"")&amp;"|다기관",파견수련계획!$AE$4:$AE$803,0),""))</f>
        <v/>
      </c>
      <c r="AL76" s="10">
        <f>IF($AK76="","","다기관 "&amp;TEXT(INDEX(파견수련계획!$AB$4:$AB$803,$AK76),"yyyy-mm-dd")&amp;"~"&amp;IF(ISNUMBER(INDEX(파견수련계획!$AC$4:$AC$803,$AK76)),TEXT(INDEX(파견수련계획!$AC$4:$AC$803,$AK76),"yyyy-mm-dd"),""))</f>
        <v/>
      </c>
    </row>
    <row r="77">
      <c r="A77" s="10">
        <f>IF(B77="","",ROW()-1)</f>
        <v/>
      </c>
      <c r="B77" s="18" t="n"/>
      <c r="C77" s="10">
        <f>IF($AB77="","",IF(INDEX(기본자료!$C$2:$C$1001,$AB77)="","",INDEX(기본자료!$C$2:$C$1001,$AB77)))</f>
        <v/>
      </c>
      <c r="D77" s="10">
        <f>IF($AB77="","",IF(INDEX(기본자료!$J$2:$J$1001,$AB77)="","",INDEX(기본자료!$J$2:$J$1001,$AB77)))</f>
        <v/>
      </c>
      <c r="E77" s="11">
        <f>IF($AB77="","",IF(INDEX(기본자료!$K$2:$K$1001,$AB77)="","",IF(NOT(ISNUMBER(INDEX(기본자료!$K$2:$K$1001,$AB77))),INDEX(기본자료!$K$2:$K$1001,$AB77),IF(INDEX(기본자료!$K$2:$K$1001,$AB77)&lt;1000000,INDEX(기본자료!$K$2:$K$1001,$AB77),IF(AND(INDEX(기본자료!$K$2:$K$1001,$AB77)&gt;=10000101,INT(MOD(INDEX(기본자료!$K$2:$K$1001,$AB77),10000)/100)&gt;=1,INT(MOD(INDEX(기본자료!$K$2:$K$1001,$AB77),10000)/100)&lt;=12,MOD(INDEX(기본자료!$K$2:$K$1001,$AB77),100)&gt;=1,MOD(INDEX(기본자료!$K$2:$K$1001,$AB77),100)&lt;=31),DATE(INT(INDEX(기본자료!$K$2:$K$1001,$AB77)/10000),INT(MOD(INDEX(기본자료!$K$2:$K$1001,$AB77),10000)/100),MOD(INDEX(기본자료!$K$2:$K$1001,$AB77),100)),INDEX(기본자료!$K$2:$K$1001,$AB77)&amp;"")))))</f>
        <v/>
      </c>
      <c r="F77" s="10">
        <f>IF($AB77="","",IF(INDEX(기본자료!$D$2:$D$1001,$AB77)="","",INDEX(기본자료!$D$2:$D$1001,$AB77)))</f>
        <v/>
      </c>
      <c r="G77" s="10">
        <f>IF($AB77="","",IF(INDEX(기본자료!$E$2:$E$1001,$AB77)="","",INDEX(기본자료!$E$2:$E$1001,$AB77)))</f>
        <v/>
      </c>
      <c r="H77" s="10">
        <f>IF($AB77="","",IF(INDEX(기본자료!$F$2:$F$1001,$AB77)="","",INDEX(기본자료!$F$2:$F$1001,$AB77)))</f>
        <v/>
      </c>
      <c r="I77" s="11">
        <f>IF($AB77="","",IF(INDEX(기본자료!$G$2:$G$1001,$AB77)="","",IF(NOT(ISNUMBER(INDEX(기본자료!$G$2:$G$1001,$AB77))),INDEX(기본자료!$G$2:$G$1001,$AB77),IF(INDEX(기본자료!$G$2:$G$1001,$AB77)&lt;1000000,INDEX(기본자료!$G$2:$G$1001,$AB77),IF(AND(INDEX(기본자료!$G$2:$G$1001,$AB77)&gt;=10000101,INT(MOD(INDEX(기본자료!$G$2:$G$1001,$AB77),10000)/100)&gt;=1,INT(MOD(INDEX(기본자료!$G$2:$G$1001,$AB77),10000)/100)&lt;=12,MOD(INDEX(기본자료!$G$2:$G$1001,$AB77),100)&gt;=1,MOD(INDEX(기본자료!$G$2:$G$1001,$AB77),100)&lt;=31),DATE(INT(INDEX(기본자료!$G$2:$G$1001,$AB77)/10000),INT(MOD(INDEX(기본자료!$G$2:$G$1001,$AB77),10000)/100),MOD(INDEX(기본자료!$G$2:$G$1001,$AB77),100)),INDEX(기본자료!$G$2:$G$1001,$AB77)&amp;"")))))</f>
        <v/>
      </c>
      <c r="J77" s="10">
        <f>IF($AB77="","",IF(INDEX(기본자료!$H$2:$H$1001,$AB77)="","",INDEX(기본자료!$H$2:$H$1001,$AB77)))</f>
        <v/>
      </c>
      <c r="K77" s="10">
        <f>IF($AB77="","",IF(INDEX(기본자료!$I$2:$I$1001,$AB77)="","",INDEX(기본자료!$I$2:$I$1001,$AB77)))</f>
        <v/>
      </c>
      <c r="L77" s="10">
        <f>IF($AB77="","",IF(INDEX(기본자료!$A$2:$A$1001,$AB77)="","",INDEX(기본자료!$A$2:$A$1001,$AB77)))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파견수련계획!$AB$4:$AB$803,$AK77),OR(NOT(ISNUMBER(INDEX(파견수련계획!$AC$4:$AC$803,$AK77))),TODAY()&lt;=INDEX(파견수련계획!$AC$4:$AC$803,$AK77))),"다기관",IF($AF77="","",INDEX(파견수련계획!$T$4:$T$803,$AF77))),IF($AF77="","",INDEX(파견수련계획!$T$4:$T$803,$AF77))))</f>
        <v/>
      </c>
      <c r="Q77" s="10">
        <f>IF($AF77="","",INDEX(파견수련계획!$S$4:$S$803,$AF77))</f>
        <v/>
      </c>
      <c r="R77" s="10">
        <f>IF($AF77="","",INDEX(파견수련계획!$U$4:$U$803,$AF77))</f>
        <v/>
      </c>
      <c r="S77" s="11">
        <f>IF($AF77="","",IF(INDEX(파견수련계획!$H$4:$H$803,$AF77)="","",INDEX(파견수련계획!$H$4:$H$803,$AF77)))</f>
        <v/>
      </c>
      <c r="T77" s="11">
        <f>IF($AF77="","",IF(INDEX(파견수련계획!$I$4:$I$803,$AF77)="","",INDEX(파견수련계획!$I$4:$I$803,$AF77)))</f>
        <v/>
      </c>
      <c r="U77" s="10">
        <f>IF($AF77="","",INDEX(파견수련계획!$X$4:$X$803,$AF77))</f>
        <v/>
      </c>
      <c r="V77" s="17">
        <f>IF($AF77="","",INDEX(파견수련계획!$V$4:$V$803,$AF77))</f>
        <v/>
      </c>
      <c r="W77" s="17">
        <f>IF(AND($U77="파견중",$T77&lt;&gt;""),$T77-TODAY(),"")</f>
        <v/>
      </c>
      <c r="X77" s="17">
        <f>IF(OR($B77="",TRIM($J77&amp;"")=""),"",SUMPRODUCT((파견수련계획!$Q$4:$Q$803=TRIM($J77&amp;""))*파견수련계획!$W$4:$W$803))</f>
        <v/>
      </c>
      <c r="Y77" s="10">
        <f>IF($B77="","",IF($AG77="","",IF(IF(TRIM($J77&amp;"")="",0,SUMPRODUCT((파견수련계획!$Q$4:$Q$803=TRIM($J77&amp;""))*파견수련계획!$AD$4:$AD$803))&gt;0,$AE77,IF(N($X77)&lt;=0,$AG77,IF($AH77+$AI77=DAY(EOMONTH(요약!$B$3,0)),IF(AND($AH77&gt;=요약!$E$3,$AI77&lt;요약!$E$3),"서울병원",IF(AND($AI77&gt;=요약!$E$3,$AH77&lt;요약!$E$3),"구리병원","⚠15일 판정불가(서울 "&amp;$AH77&amp;"일/구리 "&amp;$AI77&amp;"일)")),IF($AJ77="",$AE77,IF(INDEX(파견수련계획!$T$4:$T$803,$AJ77)="통합수련",INDEX(파견수련계획!$S$4:$S$803,$AJ77),$AE77)))))))</f>
        <v/>
      </c>
      <c r="Z77" s="19">
        <f>IF($B77="","",IF($AB77="","기본자료에 없는 사번",IF(COUNTIF($B$2:$B$401,$B77)&gt;1,"중복 사번",IF($AE77="","소속(입사장소) 입력",IF(IF(TRIM($J77&amp;"")="",0,SUMPRODUCT((파견수련계획!$Q$4:$Q$803=TRIM($J77&amp;""))*(파견수련계획!$AA$4:$AA$803&lt;&gt;"")))&gt;0,"파견수련계획 입력오류 확인",IF(LEFT($Y77,1)="⚠","서울·구리 15일 판정 불가(양쪽 모두 이상/미만)",IF(IF($AC77="",0,N(INDEX(인턴근무계획!$T$3:$T$402,$AC77)))&gt;0,"인턴계획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IF($B77="","",IFERROR(MATCH($B77,기본자료!$B$2:$B$1001,0),IFERROR(MATCH($B77&amp;"",기본자료!$B$2:$B$1001,0),IFERROR(MATCH(VALUE($B77),기본자료!$B$2:$B$1001,0),""))))</f>
        <v/>
      </c>
      <c r="AC77" s="10">
        <f>IF($B77="","",IFERROR(MATCH($B77,인턴근무계획!$D$3:$D$402,0),IFERROR(MATCH($B77&amp;"",인턴근무계획!$D$3:$D$402,0),IFERROR(MATCH(VALUE($B77),인턴근무계획!$D$3:$D$402,0),""))))</f>
        <v/>
      </c>
      <c r="AD77" s="10">
        <f>IF(OR($AC77="",인턴현황!$G$3=""),"",INDEX(인턴근무계획!$M$3:$R$402,$AC77,인턴현황!$G$3)&amp;"")</f>
        <v/>
      </c>
      <c r="AE77" s="10">
        <f>IF($B77="","",IF($M77&lt;&gt;"",$M77,IF($AF77&lt;&gt;"",IF(LEFT(INDEX(파견수련계획!$R$4:$R$803,$AF77),1)&lt;&gt;"⚠",INDEX(파견수련계획!$R$4:$R$803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$803,0),IFERROR(MATCH(TRIM($J77&amp;"")&amp;"|파견예정",파견수련계획!$Y$4:$Y$803,0),IFERROR(MATCH(TRIM($J77&amp;"")&amp;"|파견종료",파견수련계획!$Y$4:$Y$803,0),""))))</f>
        <v/>
      </c>
      <c r="AG77" s="10">
        <f>IF($B77="","",IF(AND(IF(OR($AC77="",인턴현황!$K$2=""),"",INDEX(인턴근무계획!$M$3:$R$402,$AC77,인턴현황!$K$2)&amp;"")&lt;&gt;"",LEFT(IF(OR($AC77="",인턴현황!$K$2=""),"",INDEX(인턴근무계획!$M$3:$R$402,$AC77,인턴현황!$K$2)&amp;""),1)&lt;&gt;"⚠"),LEFT(IF(OR($AC77="",인턴현황!$K$2=""),"",INDEX(인턴근무계획!$M$3:$R$402,$AC77,인턴현황!$K$2)&amp;""),FIND(" ",IF(OR($AC77="",인턴현황!$K$2=""),"",INDEX(인턴근무계획!$M$3:$R$402,$AC77,인턴현황!$K$2)&amp;""))-1),$AE77))</f>
        <v/>
      </c>
      <c r="AH77" s="17">
        <f>IF($B77="","",IF(TRIM($J77&amp;"")="",0,SUMPRODUCT((파견수련계획!$Q$4:$Q$803=TRIM($J77&amp;""))*(파견수련계획!$S$4:$S$803="서울병원")*파견수련계획!$W$4:$W$803))+IF($AG77="서울병원",MAX(0,DAY(EOMONTH(요약!$B$3,0))-N($X77)),0))</f>
        <v/>
      </c>
      <c r="AI77" s="17">
        <f>IF($B77="","",IF(TRIM($J77&amp;"")="",0,SUMPRODUCT((파견수련계획!$Q$4:$Q$803=TRIM($J77&amp;""))*(파견수련계획!$S$4:$S$803="구리병원")*파견수련계획!$W$4:$W$803))+IF($AG77="구리병원",MAX(0,DAY(EOMONTH(요약!$B$3,0))-N($X77)),0))</f>
        <v/>
      </c>
      <c r="AJ77" s="10">
        <f>IF(OR($B77="",TRIM($J77&amp;"")=""),"",IFERROR(MATCH(TRIM($J77&amp;"")&amp;"|월",파견수련계획!$Z$4:$Z$803,0),""))</f>
        <v/>
      </c>
      <c r="AK77" s="10">
        <f>IF(OR($B77="",TRIM($J77&amp;"")=""),"",IFERROR(MATCH(TRIM($J77&amp;"")&amp;"|다기관",파견수련계획!$AE$4:$AE$803,0),""))</f>
        <v/>
      </c>
      <c r="AL77" s="10">
        <f>IF($AK77="","","다기관 "&amp;TEXT(INDEX(파견수련계획!$AB$4:$AB$803,$AK77),"yyyy-mm-dd")&amp;"~"&amp;IF(ISNUMBER(INDEX(파견수련계획!$AC$4:$AC$803,$AK77)),TEXT(INDEX(파견수련계획!$AC$4:$AC$803,$AK77),"yyyy-mm-dd"),""))</f>
        <v/>
      </c>
    </row>
    <row r="78">
      <c r="A78" s="10">
        <f>IF(B78="","",ROW()-1)</f>
        <v/>
      </c>
      <c r="B78" s="18" t="n"/>
      <c r="C78" s="10">
        <f>IF($AB78="","",IF(INDEX(기본자료!$C$2:$C$1001,$AB78)="","",INDEX(기본자료!$C$2:$C$1001,$AB78)))</f>
        <v/>
      </c>
      <c r="D78" s="10">
        <f>IF($AB78="","",IF(INDEX(기본자료!$J$2:$J$1001,$AB78)="","",INDEX(기본자료!$J$2:$J$1001,$AB78)))</f>
        <v/>
      </c>
      <c r="E78" s="11">
        <f>IF($AB78="","",IF(INDEX(기본자료!$K$2:$K$1001,$AB78)="","",IF(NOT(ISNUMBER(INDEX(기본자료!$K$2:$K$1001,$AB78))),INDEX(기본자료!$K$2:$K$1001,$AB78),IF(INDEX(기본자료!$K$2:$K$1001,$AB78)&lt;1000000,INDEX(기본자료!$K$2:$K$1001,$AB78),IF(AND(INDEX(기본자료!$K$2:$K$1001,$AB78)&gt;=10000101,INT(MOD(INDEX(기본자료!$K$2:$K$1001,$AB78),10000)/100)&gt;=1,INT(MOD(INDEX(기본자료!$K$2:$K$1001,$AB78),10000)/100)&lt;=12,MOD(INDEX(기본자료!$K$2:$K$1001,$AB78),100)&gt;=1,MOD(INDEX(기본자료!$K$2:$K$1001,$AB78),100)&lt;=31),DATE(INT(INDEX(기본자료!$K$2:$K$1001,$AB78)/10000),INT(MOD(INDEX(기본자료!$K$2:$K$1001,$AB78),10000)/100),MOD(INDEX(기본자료!$K$2:$K$1001,$AB78),100)),INDEX(기본자료!$K$2:$K$1001,$AB78)&amp;"")))))</f>
        <v/>
      </c>
      <c r="F78" s="10">
        <f>IF($AB78="","",IF(INDEX(기본자료!$D$2:$D$1001,$AB78)="","",INDEX(기본자료!$D$2:$D$1001,$AB78)))</f>
        <v/>
      </c>
      <c r="G78" s="10">
        <f>IF($AB78="","",IF(INDEX(기본자료!$E$2:$E$1001,$AB78)="","",INDEX(기본자료!$E$2:$E$1001,$AB78)))</f>
        <v/>
      </c>
      <c r="H78" s="10">
        <f>IF($AB78="","",IF(INDEX(기본자료!$F$2:$F$1001,$AB78)="","",INDEX(기본자료!$F$2:$F$1001,$AB78)))</f>
        <v/>
      </c>
      <c r="I78" s="11">
        <f>IF($AB78="","",IF(INDEX(기본자료!$G$2:$G$1001,$AB78)="","",IF(NOT(ISNUMBER(INDEX(기본자료!$G$2:$G$1001,$AB78))),INDEX(기본자료!$G$2:$G$1001,$AB78),IF(INDEX(기본자료!$G$2:$G$1001,$AB78)&lt;1000000,INDEX(기본자료!$G$2:$G$1001,$AB78),IF(AND(INDEX(기본자료!$G$2:$G$1001,$AB78)&gt;=10000101,INT(MOD(INDEX(기본자료!$G$2:$G$1001,$AB78),10000)/100)&gt;=1,INT(MOD(INDEX(기본자료!$G$2:$G$1001,$AB78),10000)/100)&lt;=12,MOD(INDEX(기본자료!$G$2:$G$1001,$AB78),100)&gt;=1,MOD(INDEX(기본자료!$G$2:$G$1001,$AB78),100)&lt;=31),DATE(INT(INDEX(기본자료!$G$2:$G$1001,$AB78)/10000),INT(MOD(INDEX(기본자료!$G$2:$G$1001,$AB78),10000)/100),MOD(INDEX(기본자료!$G$2:$G$1001,$AB78),100)),INDEX(기본자료!$G$2:$G$1001,$AB78)&amp;"")))))</f>
        <v/>
      </c>
      <c r="J78" s="10">
        <f>IF($AB78="","",IF(INDEX(기본자료!$H$2:$H$1001,$AB78)="","",INDEX(기본자료!$H$2:$H$1001,$AB78)))</f>
        <v/>
      </c>
      <c r="K78" s="10">
        <f>IF($AB78="","",IF(INDEX(기본자료!$I$2:$I$1001,$AB78)="","",INDEX(기본자료!$I$2:$I$1001,$AB78)))</f>
        <v/>
      </c>
      <c r="L78" s="10">
        <f>IF($AB78="","",IF(INDEX(기본자료!$A$2:$A$1001,$AB78)="","",INDEX(기본자료!$A$2:$A$1001,$AB78)))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파견수련계획!$AB$4:$AB$803,$AK78),OR(NOT(ISNUMBER(INDEX(파견수련계획!$AC$4:$AC$803,$AK78))),TODAY()&lt;=INDEX(파견수련계획!$AC$4:$AC$803,$AK78))),"다기관",IF($AF78="","",INDEX(파견수련계획!$T$4:$T$803,$AF78))),IF($AF78="","",INDEX(파견수련계획!$T$4:$T$803,$AF78))))</f>
        <v/>
      </c>
      <c r="Q78" s="10">
        <f>IF($AF78="","",INDEX(파견수련계획!$S$4:$S$803,$AF78))</f>
        <v/>
      </c>
      <c r="R78" s="10">
        <f>IF($AF78="","",INDEX(파견수련계획!$U$4:$U$803,$AF78))</f>
        <v/>
      </c>
      <c r="S78" s="11">
        <f>IF($AF78="","",IF(INDEX(파견수련계획!$H$4:$H$803,$AF78)="","",INDEX(파견수련계획!$H$4:$H$803,$AF78)))</f>
        <v/>
      </c>
      <c r="T78" s="11">
        <f>IF($AF78="","",IF(INDEX(파견수련계획!$I$4:$I$803,$AF78)="","",INDEX(파견수련계획!$I$4:$I$803,$AF78)))</f>
        <v/>
      </c>
      <c r="U78" s="10">
        <f>IF($AF78="","",INDEX(파견수련계획!$X$4:$X$803,$AF78))</f>
        <v/>
      </c>
      <c r="V78" s="17">
        <f>IF($AF78="","",INDEX(파견수련계획!$V$4:$V$803,$AF78))</f>
        <v/>
      </c>
      <c r="W78" s="17">
        <f>IF(AND($U78="파견중",$T78&lt;&gt;""),$T78-TODAY(),"")</f>
        <v/>
      </c>
      <c r="X78" s="17">
        <f>IF(OR($B78="",TRIM($J78&amp;"")=""),"",SUMPRODUCT((파견수련계획!$Q$4:$Q$803=TRIM($J78&amp;""))*파견수련계획!$W$4:$W$803))</f>
        <v/>
      </c>
      <c r="Y78" s="10">
        <f>IF($B78="","",IF($AG78="","",IF(IF(TRIM($J78&amp;"")="",0,SUMPRODUCT((파견수련계획!$Q$4:$Q$803=TRIM($J78&amp;""))*파견수련계획!$AD$4:$AD$803))&gt;0,$AE78,IF(N($X78)&lt;=0,$AG78,IF($AH78+$AI78=DAY(EOMONTH(요약!$B$3,0)),IF(AND($AH78&gt;=요약!$E$3,$AI78&lt;요약!$E$3),"서울병원",IF(AND($AI78&gt;=요약!$E$3,$AH78&lt;요약!$E$3),"구리병원","⚠15일 판정불가(서울 "&amp;$AH78&amp;"일/구리 "&amp;$AI78&amp;"일)")),IF($AJ78="",$AE78,IF(INDEX(파견수련계획!$T$4:$T$803,$AJ78)="통합수련",INDEX(파견수련계획!$S$4:$S$803,$AJ78),$AE78)))))))</f>
        <v/>
      </c>
      <c r="Z78" s="19">
        <f>IF($B78="","",IF($AB78="","기본자료에 없는 사번",IF(COUNTIF($B$2:$B$401,$B78)&gt;1,"중복 사번",IF($AE78="","소속(입사장소) 입력",IF(IF(TRIM($J78&amp;"")="",0,SUMPRODUCT((파견수련계획!$Q$4:$Q$803=TRIM($J78&amp;""))*(파견수련계획!$AA$4:$AA$803&lt;&gt;"")))&gt;0,"파견수련계획 입력오류 확인",IF(LEFT($Y78,1)="⚠","서울·구리 15일 판정 불가(양쪽 모두 이상/미만)",IF(IF($AC78="",0,N(INDEX(인턴근무계획!$T$3:$T$402,$AC78)))&gt;0,"인턴계획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IF($B78="","",IFERROR(MATCH($B78,기본자료!$B$2:$B$1001,0),IFERROR(MATCH($B78&amp;"",기본자료!$B$2:$B$1001,0),IFERROR(MATCH(VALUE($B78),기본자료!$B$2:$B$1001,0),""))))</f>
        <v/>
      </c>
      <c r="AC78" s="10">
        <f>IF($B78="","",IFERROR(MATCH($B78,인턴근무계획!$D$3:$D$402,0),IFERROR(MATCH($B78&amp;"",인턴근무계획!$D$3:$D$402,0),IFERROR(MATCH(VALUE($B78),인턴근무계획!$D$3:$D$402,0),""))))</f>
        <v/>
      </c>
      <c r="AD78" s="10">
        <f>IF(OR($AC78="",인턴현황!$G$3=""),"",INDEX(인턴근무계획!$M$3:$R$402,$AC78,인턴현황!$G$3)&amp;"")</f>
        <v/>
      </c>
      <c r="AE78" s="10">
        <f>IF($B78="","",IF($M78&lt;&gt;"",$M78,IF($AF78&lt;&gt;"",IF(LEFT(INDEX(파견수련계획!$R$4:$R$803,$AF78),1)&lt;&gt;"⚠",INDEX(파견수련계획!$R$4:$R$803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$803,0),IFERROR(MATCH(TRIM($J78&amp;"")&amp;"|파견예정",파견수련계획!$Y$4:$Y$803,0),IFERROR(MATCH(TRIM($J78&amp;"")&amp;"|파견종료",파견수련계획!$Y$4:$Y$803,0),""))))</f>
        <v/>
      </c>
      <c r="AG78" s="10">
        <f>IF($B78="","",IF(AND(IF(OR($AC78="",인턴현황!$K$2=""),"",INDEX(인턴근무계획!$M$3:$R$402,$AC78,인턴현황!$K$2)&amp;"")&lt;&gt;"",LEFT(IF(OR($AC78="",인턴현황!$K$2=""),"",INDEX(인턴근무계획!$M$3:$R$402,$AC78,인턴현황!$K$2)&amp;""),1)&lt;&gt;"⚠"),LEFT(IF(OR($AC78="",인턴현황!$K$2=""),"",INDEX(인턴근무계획!$M$3:$R$402,$AC78,인턴현황!$K$2)&amp;""),FIND(" ",IF(OR($AC78="",인턴현황!$K$2=""),"",INDEX(인턴근무계획!$M$3:$R$402,$AC78,인턴현황!$K$2)&amp;""))-1),$AE78))</f>
        <v/>
      </c>
      <c r="AH78" s="17">
        <f>IF($B78="","",IF(TRIM($J78&amp;"")="",0,SUMPRODUCT((파견수련계획!$Q$4:$Q$803=TRIM($J78&amp;""))*(파견수련계획!$S$4:$S$803="서울병원")*파견수련계획!$W$4:$W$803))+IF($AG78="서울병원",MAX(0,DAY(EOMONTH(요약!$B$3,0))-N($X78)),0))</f>
        <v/>
      </c>
      <c r="AI78" s="17">
        <f>IF($B78="","",IF(TRIM($J78&amp;"")="",0,SUMPRODUCT((파견수련계획!$Q$4:$Q$803=TRIM($J78&amp;""))*(파견수련계획!$S$4:$S$803="구리병원")*파견수련계획!$W$4:$W$803))+IF($AG78="구리병원",MAX(0,DAY(EOMONTH(요약!$B$3,0))-N($X78)),0))</f>
        <v/>
      </c>
      <c r="AJ78" s="10">
        <f>IF(OR($B78="",TRIM($J78&amp;"")=""),"",IFERROR(MATCH(TRIM($J78&amp;"")&amp;"|월",파견수련계획!$Z$4:$Z$803,0),""))</f>
        <v/>
      </c>
      <c r="AK78" s="10">
        <f>IF(OR($B78="",TRIM($J78&amp;"")=""),"",IFERROR(MATCH(TRIM($J78&amp;"")&amp;"|다기관",파견수련계획!$AE$4:$AE$803,0),""))</f>
        <v/>
      </c>
      <c r="AL78" s="10">
        <f>IF($AK78="","","다기관 "&amp;TEXT(INDEX(파견수련계획!$AB$4:$AB$803,$AK78),"yyyy-mm-dd")&amp;"~"&amp;IF(ISNUMBER(INDEX(파견수련계획!$AC$4:$AC$803,$AK78)),TEXT(INDEX(파견수련계획!$AC$4:$AC$803,$AK78),"yyyy-mm-dd"),""))</f>
        <v/>
      </c>
    </row>
    <row r="79">
      <c r="A79" s="10">
        <f>IF(B79="","",ROW()-1)</f>
        <v/>
      </c>
      <c r="B79" s="18" t="n"/>
      <c r="C79" s="10">
        <f>IF($AB79="","",IF(INDEX(기본자료!$C$2:$C$1001,$AB79)="","",INDEX(기본자료!$C$2:$C$1001,$AB79)))</f>
        <v/>
      </c>
      <c r="D79" s="10">
        <f>IF($AB79="","",IF(INDEX(기본자료!$J$2:$J$1001,$AB79)="","",INDEX(기본자료!$J$2:$J$1001,$AB79)))</f>
        <v/>
      </c>
      <c r="E79" s="11">
        <f>IF($AB79="","",IF(INDEX(기본자료!$K$2:$K$1001,$AB79)="","",IF(NOT(ISNUMBER(INDEX(기본자료!$K$2:$K$1001,$AB79))),INDEX(기본자료!$K$2:$K$1001,$AB79),IF(INDEX(기본자료!$K$2:$K$1001,$AB79)&lt;1000000,INDEX(기본자료!$K$2:$K$1001,$AB79),IF(AND(INDEX(기본자료!$K$2:$K$1001,$AB79)&gt;=10000101,INT(MOD(INDEX(기본자료!$K$2:$K$1001,$AB79),10000)/100)&gt;=1,INT(MOD(INDEX(기본자료!$K$2:$K$1001,$AB79),10000)/100)&lt;=12,MOD(INDEX(기본자료!$K$2:$K$1001,$AB79),100)&gt;=1,MOD(INDEX(기본자료!$K$2:$K$1001,$AB79),100)&lt;=31),DATE(INT(INDEX(기본자료!$K$2:$K$1001,$AB79)/10000),INT(MOD(INDEX(기본자료!$K$2:$K$1001,$AB79),10000)/100),MOD(INDEX(기본자료!$K$2:$K$1001,$AB79),100)),INDEX(기본자료!$K$2:$K$1001,$AB79)&amp;"")))))</f>
        <v/>
      </c>
      <c r="F79" s="10">
        <f>IF($AB79="","",IF(INDEX(기본자료!$D$2:$D$1001,$AB79)="","",INDEX(기본자료!$D$2:$D$1001,$AB79)))</f>
        <v/>
      </c>
      <c r="G79" s="10">
        <f>IF($AB79="","",IF(INDEX(기본자료!$E$2:$E$1001,$AB79)="","",INDEX(기본자료!$E$2:$E$1001,$AB79)))</f>
        <v/>
      </c>
      <c r="H79" s="10">
        <f>IF($AB79="","",IF(INDEX(기본자료!$F$2:$F$1001,$AB79)="","",INDEX(기본자료!$F$2:$F$1001,$AB79)))</f>
        <v/>
      </c>
      <c r="I79" s="11">
        <f>IF($AB79="","",IF(INDEX(기본자료!$G$2:$G$1001,$AB79)="","",IF(NOT(ISNUMBER(INDEX(기본자료!$G$2:$G$1001,$AB79))),INDEX(기본자료!$G$2:$G$1001,$AB79),IF(INDEX(기본자료!$G$2:$G$1001,$AB79)&lt;1000000,INDEX(기본자료!$G$2:$G$1001,$AB79),IF(AND(INDEX(기본자료!$G$2:$G$1001,$AB79)&gt;=10000101,INT(MOD(INDEX(기본자료!$G$2:$G$1001,$AB79),10000)/100)&gt;=1,INT(MOD(INDEX(기본자료!$G$2:$G$1001,$AB79),10000)/100)&lt;=12,MOD(INDEX(기본자료!$G$2:$G$1001,$AB79),100)&gt;=1,MOD(INDEX(기본자료!$G$2:$G$1001,$AB79),100)&lt;=31),DATE(INT(INDEX(기본자료!$G$2:$G$1001,$AB79)/10000),INT(MOD(INDEX(기본자료!$G$2:$G$1001,$AB79),10000)/100),MOD(INDEX(기본자료!$G$2:$G$1001,$AB79),100)),INDEX(기본자료!$G$2:$G$1001,$AB79)&amp;"")))))</f>
        <v/>
      </c>
      <c r="J79" s="10">
        <f>IF($AB79="","",IF(INDEX(기본자료!$H$2:$H$1001,$AB79)="","",INDEX(기본자료!$H$2:$H$1001,$AB79)))</f>
        <v/>
      </c>
      <c r="K79" s="10">
        <f>IF($AB79="","",IF(INDEX(기본자료!$I$2:$I$1001,$AB79)="","",INDEX(기본자료!$I$2:$I$1001,$AB79)))</f>
        <v/>
      </c>
      <c r="L79" s="10">
        <f>IF($AB79="","",IF(INDEX(기본자료!$A$2:$A$1001,$AB79)="","",INDEX(기본자료!$A$2:$A$1001,$AB79)))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파견수련계획!$AB$4:$AB$803,$AK79),OR(NOT(ISNUMBER(INDEX(파견수련계획!$AC$4:$AC$803,$AK79))),TODAY()&lt;=INDEX(파견수련계획!$AC$4:$AC$803,$AK79))),"다기관",IF($AF79="","",INDEX(파견수련계획!$T$4:$T$803,$AF79))),IF($AF79="","",INDEX(파견수련계획!$T$4:$T$803,$AF79))))</f>
        <v/>
      </c>
      <c r="Q79" s="10">
        <f>IF($AF79="","",INDEX(파견수련계획!$S$4:$S$803,$AF79))</f>
        <v/>
      </c>
      <c r="R79" s="10">
        <f>IF($AF79="","",INDEX(파견수련계획!$U$4:$U$803,$AF79))</f>
        <v/>
      </c>
      <c r="S79" s="11">
        <f>IF($AF79="","",IF(INDEX(파견수련계획!$H$4:$H$803,$AF79)="","",INDEX(파견수련계획!$H$4:$H$803,$AF79)))</f>
        <v/>
      </c>
      <c r="T79" s="11">
        <f>IF($AF79="","",IF(INDEX(파견수련계획!$I$4:$I$803,$AF79)="","",INDEX(파견수련계획!$I$4:$I$803,$AF79)))</f>
        <v/>
      </c>
      <c r="U79" s="10">
        <f>IF($AF79="","",INDEX(파견수련계획!$X$4:$X$803,$AF79))</f>
        <v/>
      </c>
      <c r="V79" s="17">
        <f>IF($AF79="","",INDEX(파견수련계획!$V$4:$V$803,$AF79))</f>
        <v/>
      </c>
      <c r="W79" s="17">
        <f>IF(AND($U79="파견중",$T79&lt;&gt;""),$T79-TODAY(),"")</f>
        <v/>
      </c>
      <c r="X79" s="17">
        <f>IF(OR($B79="",TRIM($J79&amp;"")=""),"",SUMPRODUCT((파견수련계획!$Q$4:$Q$803=TRIM($J79&amp;""))*파견수련계획!$W$4:$W$803))</f>
        <v/>
      </c>
      <c r="Y79" s="10">
        <f>IF($B79="","",IF($AG79="","",IF(IF(TRIM($J79&amp;"")="",0,SUMPRODUCT((파견수련계획!$Q$4:$Q$803=TRIM($J79&amp;""))*파견수련계획!$AD$4:$AD$803))&gt;0,$AE79,IF(N($X79)&lt;=0,$AG79,IF($AH79+$AI79=DAY(EOMONTH(요약!$B$3,0)),IF(AND($AH79&gt;=요약!$E$3,$AI79&lt;요약!$E$3),"서울병원",IF(AND($AI79&gt;=요약!$E$3,$AH79&lt;요약!$E$3),"구리병원","⚠15일 판정불가(서울 "&amp;$AH79&amp;"일/구리 "&amp;$AI79&amp;"일)")),IF($AJ79="",$AE79,IF(INDEX(파견수련계획!$T$4:$T$803,$AJ79)="통합수련",INDEX(파견수련계획!$S$4:$S$803,$AJ79),$AE79)))))))</f>
        <v/>
      </c>
      <c r="Z79" s="19">
        <f>IF($B79="","",IF($AB79="","기본자료에 없는 사번",IF(COUNTIF($B$2:$B$401,$B79)&gt;1,"중복 사번",IF($AE79="","소속(입사장소) 입력",IF(IF(TRIM($J79&amp;"")="",0,SUMPRODUCT((파견수련계획!$Q$4:$Q$803=TRIM($J79&amp;""))*(파견수련계획!$AA$4:$AA$803&lt;&gt;"")))&gt;0,"파견수련계획 입력오류 확인",IF(LEFT($Y79,1)="⚠","서울·구리 15일 판정 불가(양쪽 모두 이상/미만)",IF(IF($AC79="",0,N(INDEX(인턴근무계획!$T$3:$T$402,$AC79)))&gt;0,"인턴계획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IF($B79="","",IFERROR(MATCH($B79,기본자료!$B$2:$B$1001,0),IFERROR(MATCH($B79&amp;"",기본자료!$B$2:$B$1001,0),IFERROR(MATCH(VALUE($B79),기본자료!$B$2:$B$1001,0),""))))</f>
        <v/>
      </c>
      <c r="AC79" s="10">
        <f>IF($B79="","",IFERROR(MATCH($B79,인턴근무계획!$D$3:$D$402,0),IFERROR(MATCH($B79&amp;"",인턴근무계획!$D$3:$D$402,0),IFERROR(MATCH(VALUE($B79),인턴근무계획!$D$3:$D$402,0),""))))</f>
        <v/>
      </c>
      <c r="AD79" s="10">
        <f>IF(OR($AC79="",인턴현황!$G$3=""),"",INDEX(인턴근무계획!$M$3:$R$402,$AC79,인턴현황!$G$3)&amp;"")</f>
        <v/>
      </c>
      <c r="AE79" s="10">
        <f>IF($B79="","",IF($M79&lt;&gt;"",$M79,IF($AF79&lt;&gt;"",IF(LEFT(INDEX(파견수련계획!$R$4:$R$803,$AF79),1)&lt;&gt;"⚠",INDEX(파견수련계획!$R$4:$R$803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$803,0),IFERROR(MATCH(TRIM($J79&amp;"")&amp;"|파견예정",파견수련계획!$Y$4:$Y$803,0),IFERROR(MATCH(TRIM($J79&amp;"")&amp;"|파견종료",파견수련계획!$Y$4:$Y$803,0),""))))</f>
        <v/>
      </c>
      <c r="AG79" s="10">
        <f>IF($B79="","",IF(AND(IF(OR($AC79="",인턴현황!$K$2=""),"",INDEX(인턴근무계획!$M$3:$R$402,$AC79,인턴현황!$K$2)&amp;"")&lt;&gt;"",LEFT(IF(OR($AC79="",인턴현황!$K$2=""),"",INDEX(인턴근무계획!$M$3:$R$402,$AC79,인턴현황!$K$2)&amp;""),1)&lt;&gt;"⚠"),LEFT(IF(OR($AC79="",인턴현황!$K$2=""),"",INDEX(인턴근무계획!$M$3:$R$402,$AC79,인턴현황!$K$2)&amp;""),FIND(" ",IF(OR($AC79="",인턴현황!$K$2=""),"",INDEX(인턴근무계획!$M$3:$R$402,$AC79,인턴현황!$K$2)&amp;""))-1),$AE79))</f>
        <v/>
      </c>
      <c r="AH79" s="17">
        <f>IF($B79="","",IF(TRIM($J79&amp;"")="",0,SUMPRODUCT((파견수련계획!$Q$4:$Q$803=TRIM($J79&amp;""))*(파견수련계획!$S$4:$S$803="서울병원")*파견수련계획!$W$4:$W$803))+IF($AG79="서울병원",MAX(0,DAY(EOMONTH(요약!$B$3,0))-N($X79)),0))</f>
        <v/>
      </c>
      <c r="AI79" s="17">
        <f>IF($B79="","",IF(TRIM($J79&amp;"")="",0,SUMPRODUCT((파견수련계획!$Q$4:$Q$803=TRIM($J79&amp;""))*(파견수련계획!$S$4:$S$803="구리병원")*파견수련계획!$W$4:$W$803))+IF($AG79="구리병원",MAX(0,DAY(EOMONTH(요약!$B$3,0))-N($X79)),0))</f>
        <v/>
      </c>
      <c r="AJ79" s="10">
        <f>IF(OR($B79="",TRIM($J79&amp;"")=""),"",IFERROR(MATCH(TRIM($J79&amp;"")&amp;"|월",파견수련계획!$Z$4:$Z$803,0),""))</f>
        <v/>
      </c>
      <c r="AK79" s="10">
        <f>IF(OR($B79="",TRIM($J79&amp;"")=""),"",IFERROR(MATCH(TRIM($J79&amp;"")&amp;"|다기관",파견수련계획!$AE$4:$AE$803,0),""))</f>
        <v/>
      </c>
      <c r="AL79" s="10">
        <f>IF($AK79="","","다기관 "&amp;TEXT(INDEX(파견수련계획!$AB$4:$AB$803,$AK79),"yyyy-mm-dd")&amp;"~"&amp;IF(ISNUMBER(INDEX(파견수련계획!$AC$4:$AC$803,$AK79)),TEXT(INDEX(파견수련계획!$AC$4:$AC$803,$AK79),"yyyy-mm-dd"),""))</f>
        <v/>
      </c>
    </row>
    <row r="80">
      <c r="A80" s="10">
        <f>IF(B80="","",ROW()-1)</f>
        <v/>
      </c>
      <c r="B80" s="18" t="n"/>
      <c r="C80" s="10">
        <f>IF($AB80="","",IF(INDEX(기본자료!$C$2:$C$1001,$AB80)="","",INDEX(기본자료!$C$2:$C$1001,$AB80)))</f>
        <v/>
      </c>
      <c r="D80" s="10">
        <f>IF($AB80="","",IF(INDEX(기본자료!$J$2:$J$1001,$AB80)="","",INDEX(기본자료!$J$2:$J$1001,$AB80)))</f>
        <v/>
      </c>
      <c r="E80" s="11">
        <f>IF($AB80="","",IF(INDEX(기본자료!$K$2:$K$1001,$AB80)="","",IF(NOT(ISNUMBER(INDEX(기본자료!$K$2:$K$1001,$AB80))),INDEX(기본자료!$K$2:$K$1001,$AB80),IF(INDEX(기본자료!$K$2:$K$1001,$AB80)&lt;1000000,INDEX(기본자료!$K$2:$K$1001,$AB80),IF(AND(INDEX(기본자료!$K$2:$K$1001,$AB80)&gt;=10000101,INT(MOD(INDEX(기본자료!$K$2:$K$1001,$AB80),10000)/100)&gt;=1,INT(MOD(INDEX(기본자료!$K$2:$K$1001,$AB80),10000)/100)&lt;=12,MOD(INDEX(기본자료!$K$2:$K$1001,$AB80),100)&gt;=1,MOD(INDEX(기본자료!$K$2:$K$1001,$AB80),100)&lt;=31),DATE(INT(INDEX(기본자료!$K$2:$K$1001,$AB80)/10000),INT(MOD(INDEX(기본자료!$K$2:$K$1001,$AB80),10000)/100),MOD(INDEX(기본자료!$K$2:$K$1001,$AB80),100)),INDEX(기본자료!$K$2:$K$1001,$AB80)&amp;"")))))</f>
        <v/>
      </c>
      <c r="F80" s="10">
        <f>IF($AB80="","",IF(INDEX(기본자료!$D$2:$D$1001,$AB80)="","",INDEX(기본자료!$D$2:$D$1001,$AB80)))</f>
        <v/>
      </c>
      <c r="G80" s="10">
        <f>IF($AB80="","",IF(INDEX(기본자료!$E$2:$E$1001,$AB80)="","",INDEX(기본자료!$E$2:$E$1001,$AB80)))</f>
        <v/>
      </c>
      <c r="H80" s="10">
        <f>IF($AB80="","",IF(INDEX(기본자료!$F$2:$F$1001,$AB80)="","",INDEX(기본자료!$F$2:$F$1001,$AB80)))</f>
        <v/>
      </c>
      <c r="I80" s="11">
        <f>IF($AB80="","",IF(INDEX(기본자료!$G$2:$G$1001,$AB80)="","",IF(NOT(ISNUMBER(INDEX(기본자료!$G$2:$G$1001,$AB80))),INDEX(기본자료!$G$2:$G$1001,$AB80),IF(INDEX(기본자료!$G$2:$G$1001,$AB80)&lt;1000000,INDEX(기본자료!$G$2:$G$1001,$AB80),IF(AND(INDEX(기본자료!$G$2:$G$1001,$AB80)&gt;=10000101,INT(MOD(INDEX(기본자료!$G$2:$G$1001,$AB80),10000)/100)&gt;=1,INT(MOD(INDEX(기본자료!$G$2:$G$1001,$AB80),10000)/100)&lt;=12,MOD(INDEX(기본자료!$G$2:$G$1001,$AB80),100)&gt;=1,MOD(INDEX(기본자료!$G$2:$G$1001,$AB80),100)&lt;=31),DATE(INT(INDEX(기본자료!$G$2:$G$1001,$AB80)/10000),INT(MOD(INDEX(기본자료!$G$2:$G$1001,$AB80),10000)/100),MOD(INDEX(기본자료!$G$2:$G$1001,$AB80),100)),INDEX(기본자료!$G$2:$G$1001,$AB80)&amp;"")))))</f>
        <v/>
      </c>
      <c r="J80" s="10">
        <f>IF($AB80="","",IF(INDEX(기본자료!$H$2:$H$1001,$AB80)="","",INDEX(기본자료!$H$2:$H$1001,$AB80)))</f>
        <v/>
      </c>
      <c r="K80" s="10">
        <f>IF($AB80="","",IF(INDEX(기본자료!$I$2:$I$1001,$AB80)="","",INDEX(기본자료!$I$2:$I$1001,$AB80)))</f>
        <v/>
      </c>
      <c r="L80" s="10">
        <f>IF($AB80="","",IF(INDEX(기본자료!$A$2:$A$1001,$AB80)="","",INDEX(기본자료!$A$2:$A$1001,$AB80)))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파견수련계획!$AB$4:$AB$803,$AK80),OR(NOT(ISNUMBER(INDEX(파견수련계획!$AC$4:$AC$803,$AK80))),TODAY()&lt;=INDEX(파견수련계획!$AC$4:$AC$803,$AK80))),"다기관",IF($AF80="","",INDEX(파견수련계획!$T$4:$T$803,$AF80))),IF($AF80="","",INDEX(파견수련계획!$T$4:$T$803,$AF80))))</f>
        <v/>
      </c>
      <c r="Q80" s="10">
        <f>IF($AF80="","",INDEX(파견수련계획!$S$4:$S$803,$AF80))</f>
        <v/>
      </c>
      <c r="R80" s="10">
        <f>IF($AF80="","",INDEX(파견수련계획!$U$4:$U$803,$AF80))</f>
        <v/>
      </c>
      <c r="S80" s="11">
        <f>IF($AF80="","",IF(INDEX(파견수련계획!$H$4:$H$803,$AF80)="","",INDEX(파견수련계획!$H$4:$H$803,$AF80)))</f>
        <v/>
      </c>
      <c r="T80" s="11">
        <f>IF($AF80="","",IF(INDEX(파견수련계획!$I$4:$I$803,$AF80)="","",INDEX(파견수련계획!$I$4:$I$803,$AF80)))</f>
        <v/>
      </c>
      <c r="U80" s="10">
        <f>IF($AF80="","",INDEX(파견수련계획!$X$4:$X$803,$AF80))</f>
        <v/>
      </c>
      <c r="V80" s="17">
        <f>IF($AF80="","",INDEX(파견수련계획!$V$4:$V$803,$AF80))</f>
        <v/>
      </c>
      <c r="W80" s="17">
        <f>IF(AND($U80="파견중",$T80&lt;&gt;""),$T80-TODAY(),"")</f>
        <v/>
      </c>
      <c r="X80" s="17">
        <f>IF(OR($B80="",TRIM($J80&amp;"")=""),"",SUMPRODUCT((파견수련계획!$Q$4:$Q$803=TRIM($J80&amp;""))*파견수련계획!$W$4:$W$803))</f>
        <v/>
      </c>
      <c r="Y80" s="10">
        <f>IF($B80="","",IF($AG80="","",IF(IF(TRIM($J80&amp;"")="",0,SUMPRODUCT((파견수련계획!$Q$4:$Q$803=TRIM($J80&amp;""))*파견수련계획!$AD$4:$AD$803))&gt;0,$AE80,IF(N($X80)&lt;=0,$AG80,IF($AH80+$AI80=DAY(EOMONTH(요약!$B$3,0)),IF(AND($AH80&gt;=요약!$E$3,$AI80&lt;요약!$E$3),"서울병원",IF(AND($AI80&gt;=요약!$E$3,$AH80&lt;요약!$E$3),"구리병원","⚠15일 판정불가(서울 "&amp;$AH80&amp;"일/구리 "&amp;$AI80&amp;"일)")),IF($AJ80="",$AE80,IF(INDEX(파견수련계획!$T$4:$T$803,$AJ80)="통합수련",INDEX(파견수련계획!$S$4:$S$803,$AJ80),$AE80)))))))</f>
        <v/>
      </c>
      <c r="Z80" s="19">
        <f>IF($B80="","",IF($AB80="","기본자료에 없는 사번",IF(COUNTIF($B$2:$B$401,$B80)&gt;1,"중복 사번",IF($AE80="","소속(입사장소) 입력",IF(IF(TRIM($J80&amp;"")="",0,SUMPRODUCT((파견수련계획!$Q$4:$Q$803=TRIM($J80&amp;""))*(파견수련계획!$AA$4:$AA$803&lt;&gt;"")))&gt;0,"파견수련계획 입력오류 확인",IF(LEFT($Y80,1)="⚠","서울·구리 15일 판정 불가(양쪽 모두 이상/미만)",IF(IF($AC80="",0,N(INDEX(인턴근무계획!$T$3:$T$402,$AC80)))&gt;0,"인턴계획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IF($B80="","",IFERROR(MATCH($B80,기본자료!$B$2:$B$1001,0),IFERROR(MATCH($B80&amp;"",기본자료!$B$2:$B$1001,0),IFERROR(MATCH(VALUE($B80),기본자료!$B$2:$B$1001,0),""))))</f>
        <v/>
      </c>
      <c r="AC80" s="10">
        <f>IF($B80="","",IFERROR(MATCH($B80,인턴근무계획!$D$3:$D$402,0),IFERROR(MATCH($B80&amp;"",인턴근무계획!$D$3:$D$402,0),IFERROR(MATCH(VALUE($B80),인턴근무계획!$D$3:$D$402,0),""))))</f>
        <v/>
      </c>
      <c r="AD80" s="10">
        <f>IF(OR($AC80="",인턴현황!$G$3=""),"",INDEX(인턴근무계획!$M$3:$R$402,$AC80,인턴현황!$G$3)&amp;"")</f>
        <v/>
      </c>
      <c r="AE80" s="10">
        <f>IF($B80="","",IF($M80&lt;&gt;"",$M80,IF($AF80&lt;&gt;"",IF(LEFT(INDEX(파견수련계획!$R$4:$R$803,$AF80),1)&lt;&gt;"⚠",INDEX(파견수련계획!$R$4:$R$803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$803,0),IFERROR(MATCH(TRIM($J80&amp;"")&amp;"|파견예정",파견수련계획!$Y$4:$Y$803,0),IFERROR(MATCH(TRIM($J80&amp;"")&amp;"|파견종료",파견수련계획!$Y$4:$Y$803,0),""))))</f>
        <v/>
      </c>
      <c r="AG80" s="10">
        <f>IF($B80="","",IF(AND(IF(OR($AC80="",인턴현황!$K$2=""),"",INDEX(인턴근무계획!$M$3:$R$402,$AC80,인턴현황!$K$2)&amp;"")&lt;&gt;"",LEFT(IF(OR($AC80="",인턴현황!$K$2=""),"",INDEX(인턴근무계획!$M$3:$R$402,$AC80,인턴현황!$K$2)&amp;""),1)&lt;&gt;"⚠"),LEFT(IF(OR($AC80="",인턴현황!$K$2=""),"",INDEX(인턴근무계획!$M$3:$R$402,$AC80,인턴현황!$K$2)&amp;""),FIND(" ",IF(OR($AC80="",인턴현황!$K$2=""),"",INDEX(인턴근무계획!$M$3:$R$402,$AC80,인턴현황!$K$2)&amp;""))-1),$AE80))</f>
        <v/>
      </c>
      <c r="AH80" s="17">
        <f>IF($B80="","",IF(TRIM($J80&amp;"")="",0,SUMPRODUCT((파견수련계획!$Q$4:$Q$803=TRIM($J80&amp;""))*(파견수련계획!$S$4:$S$803="서울병원")*파견수련계획!$W$4:$W$803))+IF($AG80="서울병원",MAX(0,DAY(EOMONTH(요약!$B$3,0))-N($X80)),0))</f>
        <v/>
      </c>
      <c r="AI80" s="17">
        <f>IF($B80="","",IF(TRIM($J80&amp;"")="",0,SUMPRODUCT((파견수련계획!$Q$4:$Q$803=TRIM($J80&amp;""))*(파견수련계획!$S$4:$S$803="구리병원")*파견수련계획!$W$4:$W$803))+IF($AG80="구리병원",MAX(0,DAY(EOMONTH(요약!$B$3,0))-N($X80)),0))</f>
        <v/>
      </c>
      <c r="AJ80" s="10">
        <f>IF(OR($B80="",TRIM($J80&amp;"")=""),"",IFERROR(MATCH(TRIM($J80&amp;"")&amp;"|월",파견수련계획!$Z$4:$Z$803,0),""))</f>
        <v/>
      </c>
      <c r="AK80" s="10">
        <f>IF(OR($B80="",TRIM($J80&amp;"")=""),"",IFERROR(MATCH(TRIM($J80&amp;"")&amp;"|다기관",파견수련계획!$AE$4:$AE$803,0),""))</f>
        <v/>
      </c>
      <c r="AL80" s="10">
        <f>IF($AK80="","","다기관 "&amp;TEXT(INDEX(파견수련계획!$AB$4:$AB$803,$AK80),"yyyy-mm-dd")&amp;"~"&amp;IF(ISNUMBER(INDEX(파견수련계획!$AC$4:$AC$803,$AK80)),TEXT(INDEX(파견수련계획!$AC$4:$AC$803,$AK80),"yyyy-mm-dd"),""))</f>
        <v/>
      </c>
    </row>
    <row r="81">
      <c r="A81" s="10">
        <f>IF(B81="","",ROW()-1)</f>
        <v/>
      </c>
      <c r="B81" s="18" t="n"/>
      <c r="C81" s="10">
        <f>IF($AB81="","",IF(INDEX(기본자료!$C$2:$C$1001,$AB81)="","",INDEX(기본자료!$C$2:$C$1001,$AB81)))</f>
        <v/>
      </c>
      <c r="D81" s="10">
        <f>IF($AB81="","",IF(INDEX(기본자료!$J$2:$J$1001,$AB81)="","",INDEX(기본자료!$J$2:$J$1001,$AB81)))</f>
        <v/>
      </c>
      <c r="E81" s="11">
        <f>IF($AB81="","",IF(INDEX(기본자료!$K$2:$K$1001,$AB81)="","",IF(NOT(ISNUMBER(INDEX(기본자료!$K$2:$K$1001,$AB81))),INDEX(기본자료!$K$2:$K$1001,$AB81),IF(INDEX(기본자료!$K$2:$K$1001,$AB81)&lt;1000000,INDEX(기본자료!$K$2:$K$1001,$AB81),IF(AND(INDEX(기본자료!$K$2:$K$1001,$AB81)&gt;=10000101,INT(MOD(INDEX(기본자료!$K$2:$K$1001,$AB81),10000)/100)&gt;=1,INT(MOD(INDEX(기본자료!$K$2:$K$1001,$AB81),10000)/100)&lt;=12,MOD(INDEX(기본자료!$K$2:$K$1001,$AB81),100)&gt;=1,MOD(INDEX(기본자료!$K$2:$K$1001,$AB81),100)&lt;=31),DATE(INT(INDEX(기본자료!$K$2:$K$1001,$AB81)/10000),INT(MOD(INDEX(기본자료!$K$2:$K$1001,$AB81),10000)/100),MOD(INDEX(기본자료!$K$2:$K$1001,$AB81),100)),INDEX(기본자료!$K$2:$K$1001,$AB81)&amp;"")))))</f>
        <v/>
      </c>
      <c r="F81" s="10">
        <f>IF($AB81="","",IF(INDEX(기본자료!$D$2:$D$1001,$AB81)="","",INDEX(기본자료!$D$2:$D$1001,$AB81)))</f>
        <v/>
      </c>
      <c r="G81" s="10">
        <f>IF($AB81="","",IF(INDEX(기본자료!$E$2:$E$1001,$AB81)="","",INDEX(기본자료!$E$2:$E$1001,$AB81)))</f>
        <v/>
      </c>
      <c r="H81" s="10">
        <f>IF($AB81="","",IF(INDEX(기본자료!$F$2:$F$1001,$AB81)="","",INDEX(기본자료!$F$2:$F$1001,$AB81)))</f>
        <v/>
      </c>
      <c r="I81" s="11">
        <f>IF($AB81="","",IF(INDEX(기본자료!$G$2:$G$1001,$AB81)="","",IF(NOT(ISNUMBER(INDEX(기본자료!$G$2:$G$1001,$AB81))),INDEX(기본자료!$G$2:$G$1001,$AB81),IF(INDEX(기본자료!$G$2:$G$1001,$AB81)&lt;1000000,INDEX(기본자료!$G$2:$G$1001,$AB81),IF(AND(INDEX(기본자료!$G$2:$G$1001,$AB81)&gt;=10000101,INT(MOD(INDEX(기본자료!$G$2:$G$1001,$AB81),10000)/100)&gt;=1,INT(MOD(INDEX(기본자료!$G$2:$G$1001,$AB81),10000)/100)&lt;=12,MOD(INDEX(기본자료!$G$2:$G$1001,$AB81),100)&gt;=1,MOD(INDEX(기본자료!$G$2:$G$1001,$AB81),100)&lt;=31),DATE(INT(INDEX(기본자료!$G$2:$G$1001,$AB81)/10000),INT(MOD(INDEX(기본자료!$G$2:$G$1001,$AB81),10000)/100),MOD(INDEX(기본자료!$G$2:$G$1001,$AB81),100)),INDEX(기본자료!$G$2:$G$1001,$AB81)&amp;"")))))</f>
        <v/>
      </c>
      <c r="J81" s="10">
        <f>IF($AB81="","",IF(INDEX(기본자료!$H$2:$H$1001,$AB81)="","",INDEX(기본자료!$H$2:$H$1001,$AB81)))</f>
        <v/>
      </c>
      <c r="K81" s="10">
        <f>IF($AB81="","",IF(INDEX(기본자료!$I$2:$I$1001,$AB81)="","",INDEX(기본자료!$I$2:$I$1001,$AB81)))</f>
        <v/>
      </c>
      <c r="L81" s="10">
        <f>IF($AB81="","",IF(INDEX(기본자료!$A$2:$A$1001,$AB81)="","",INDEX(기본자료!$A$2:$A$1001,$AB81)))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파견수련계획!$AB$4:$AB$803,$AK81),OR(NOT(ISNUMBER(INDEX(파견수련계획!$AC$4:$AC$803,$AK81))),TODAY()&lt;=INDEX(파견수련계획!$AC$4:$AC$803,$AK81))),"다기관",IF($AF81="","",INDEX(파견수련계획!$T$4:$T$803,$AF81))),IF($AF81="","",INDEX(파견수련계획!$T$4:$T$803,$AF81))))</f>
        <v/>
      </c>
      <c r="Q81" s="10">
        <f>IF($AF81="","",INDEX(파견수련계획!$S$4:$S$803,$AF81))</f>
        <v/>
      </c>
      <c r="R81" s="10">
        <f>IF($AF81="","",INDEX(파견수련계획!$U$4:$U$803,$AF81))</f>
        <v/>
      </c>
      <c r="S81" s="11">
        <f>IF($AF81="","",IF(INDEX(파견수련계획!$H$4:$H$803,$AF81)="","",INDEX(파견수련계획!$H$4:$H$803,$AF81)))</f>
        <v/>
      </c>
      <c r="T81" s="11">
        <f>IF($AF81="","",IF(INDEX(파견수련계획!$I$4:$I$803,$AF81)="","",INDEX(파견수련계획!$I$4:$I$803,$AF81)))</f>
        <v/>
      </c>
      <c r="U81" s="10">
        <f>IF($AF81="","",INDEX(파견수련계획!$X$4:$X$803,$AF81))</f>
        <v/>
      </c>
      <c r="V81" s="17">
        <f>IF($AF81="","",INDEX(파견수련계획!$V$4:$V$803,$AF81))</f>
        <v/>
      </c>
      <c r="W81" s="17">
        <f>IF(AND($U81="파견중",$T81&lt;&gt;""),$T81-TODAY(),"")</f>
        <v/>
      </c>
      <c r="X81" s="17">
        <f>IF(OR($B81="",TRIM($J81&amp;"")=""),"",SUMPRODUCT((파견수련계획!$Q$4:$Q$803=TRIM($J81&amp;""))*파견수련계획!$W$4:$W$803))</f>
        <v/>
      </c>
      <c r="Y81" s="10">
        <f>IF($B81="","",IF($AG81="","",IF(IF(TRIM($J81&amp;"")="",0,SUMPRODUCT((파견수련계획!$Q$4:$Q$803=TRIM($J81&amp;""))*파견수련계획!$AD$4:$AD$803))&gt;0,$AE81,IF(N($X81)&lt;=0,$AG81,IF($AH81+$AI81=DAY(EOMONTH(요약!$B$3,0)),IF(AND($AH81&gt;=요약!$E$3,$AI81&lt;요약!$E$3),"서울병원",IF(AND($AI81&gt;=요약!$E$3,$AH81&lt;요약!$E$3),"구리병원","⚠15일 판정불가(서울 "&amp;$AH81&amp;"일/구리 "&amp;$AI81&amp;"일)")),IF($AJ81="",$AE81,IF(INDEX(파견수련계획!$T$4:$T$803,$AJ81)="통합수련",INDEX(파견수련계획!$S$4:$S$803,$AJ81),$AE81)))))))</f>
        <v/>
      </c>
      <c r="Z81" s="19">
        <f>IF($B81="","",IF($AB81="","기본자료에 없는 사번",IF(COUNTIF($B$2:$B$401,$B81)&gt;1,"중복 사번",IF($AE81="","소속(입사장소) 입력",IF(IF(TRIM($J81&amp;"")="",0,SUMPRODUCT((파견수련계획!$Q$4:$Q$803=TRIM($J81&amp;""))*(파견수련계획!$AA$4:$AA$803&lt;&gt;"")))&gt;0,"파견수련계획 입력오류 확인",IF(LEFT($Y81,1)="⚠","서울·구리 15일 판정 불가(양쪽 모두 이상/미만)",IF(IF($AC81="",0,N(INDEX(인턴근무계획!$T$3:$T$402,$AC81)))&gt;0,"인턴계획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IF($B81="","",IFERROR(MATCH($B81,기본자료!$B$2:$B$1001,0),IFERROR(MATCH($B81&amp;"",기본자료!$B$2:$B$1001,0),IFERROR(MATCH(VALUE($B81),기본자료!$B$2:$B$1001,0),""))))</f>
        <v/>
      </c>
      <c r="AC81" s="10">
        <f>IF($B81="","",IFERROR(MATCH($B81,인턴근무계획!$D$3:$D$402,0),IFERROR(MATCH($B81&amp;"",인턴근무계획!$D$3:$D$402,0),IFERROR(MATCH(VALUE($B81),인턴근무계획!$D$3:$D$402,0),""))))</f>
        <v/>
      </c>
      <c r="AD81" s="10">
        <f>IF(OR($AC81="",인턴현황!$G$3=""),"",INDEX(인턴근무계획!$M$3:$R$402,$AC81,인턴현황!$G$3)&amp;"")</f>
        <v/>
      </c>
      <c r="AE81" s="10">
        <f>IF($B81="","",IF($M81&lt;&gt;"",$M81,IF($AF81&lt;&gt;"",IF(LEFT(INDEX(파견수련계획!$R$4:$R$803,$AF81),1)&lt;&gt;"⚠",INDEX(파견수련계획!$R$4:$R$803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$803,0),IFERROR(MATCH(TRIM($J81&amp;"")&amp;"|파견예정",파견수련계획!$Y$4:$Y$803,0),IFERROR(MATCH(TRIM($J81&amp;"")&amp;"|파견종료",파견수련계획!$Y$4:$Y$803,0),""))))</f>
        <v/>
      </c>
      <c r="AG81" s="10">
        <f>IF($B81="","",IF(AND(IF(OR($AC81="",인턴현황!$K$2=""),"",INDEX(인턴근무계획!$M$3:$R$402,$AC81,인턴현황!$K$2)&amp;"")&lt;&gt;"",LEFT(IF(OR($AC81="",인턴현황!$K$2=""),"",INDEX(인턴근무계획!$M$3:$R$402,$AC81,인턴현황!$K$2)&amp;""),1)&lt;&gt;"⚠"),LEFT(IF(OR($AC81="",인턴현황!$K$2=""),"",INDEX(인턴근무계획!$M$3:$R$402,$AC81,인턴현황!$K$2)&amp;""),FIND(" ",IF(OR($AC81="",인턴현황!$K$2=""),"",INDEX(인턴근무계획!$M$3:$R$402,$AC81,인턴현황!$K$2)&amp;""))-1),$AE81))</f>
        <v/>
      </c>
      <c r="AH81" s="17">
        <f>IF($B81="","",IF(TRIM($J81&amp;"")="",0,SUMPRODUCT((파견수련계획!$Q$4:$Q$803=TRIM($J81&amp;""))*(파견수련계획!$S$4:$S$803="서울병원")*파견수련계획!$W$4:$W$803))+IF($AG81="서울병원",MAX(0,DAY(EOMONTH(요약!$B$3,0))-N($X81)),0))</f>
        <v/>
      </c>
      <c r="AI81" s="17">
        <f>IF($B81="","",IF(TRIM($J81&amp;"")="",0,SUMPRODUCT((파견수련계획!$Q$4:$Q$803=TRIM($J81&amp;""))*(파견수련계획!$S$4:$S$803="구리병원")*파견수련계획!$W$4:$W$803))+IF($AG81="구리병원",MAX(0,DAY(EOMONTH(요약!$B$3,0))-N($X81)),0))</f>
        <v/>
      </c>
      <c r="AJ81" s="10">
        <f>IF(OR($B81="",TRIM($J81&amp;"")=""),"",IFERROR(MATCH(TRIM($J81&amp;"")&amp;"|월",파견수련계획!$Z$4:$Z$803,0),""))</f>
        <v/>
      </c>
      <c r="AK81" s="10">
        <f>IF(OR($B81="",TRIM($J81&amp;"")=""),"",IFERROR(MATCH(TRIM($J81&amp;"")&amp;"|다기관",파견수련계획!$AE$4:$AE$803,0),""))</f>
        <v/>
      </c>
      <c r="AL81" s="10">
        <f>IF($AK81="","","다기관 "&amp;TEXT(INDEX(파견수련계획!$AB$4:$AB$803,$AK81),"yyyy-mm-dd")&amp;"~"&amp;IF(ISNUMBER(INDEX(파견수련계획!$AC$4:$AC$803,$AK81)),TEXT(INDEX(파견수련계획!$AC$4:$AC$803,$AK81),"yyyy-mm-dd"),""))</f>
        <v/>
      </c>
    </row>
    <row r="82">
      <c r="A82" s="10">
        <f>IF(B82="","",ROW()-1)</f>
        <v/>
      </c>
      <c r="B82" s="18" t="n"/>
      <c r="C82" s="10">
        <f>IF($AB82="","",IF(INDEX(기본자료!$C$2:$C$1001,$AB82)="","",INDEX(기본자료!$C$2:$C$1001,$AB82)))</f>
        <v/>
      </c>
      <c r="D82" s="10">
        <f>IF($AB82="","",IF(INDEX(기본자료!$J$2:$J$1001,$AB82)="","",INDEX(기본자료!$J$2:$J$1001,$AB82)))</f>
        <v/>
      </c>
      <c r="E82" s="11">
        <f>IF($AB82="","",IF(INDEX(기본자료!$K$2:$K$1001,$AB82)="","",IF(NOT(ISNUMBER(INDEX(기본자료!$K$2:$K$1001,$AB82))),INDEX(기본자료!$K$2:$K$1001,$AB82),IF(INDEX(기본자료!$K$2:$K$1001,$AB82)&lt;1000000,INDEX(기본자료!$K$2:$K$1001,$AB82),IF(AND(INDEX(기본자료!$K$2:$K$1001,$AB82)&gt;=10000101,INT(MOD(INDEX(기본자료!$K$2:$K$1001,$AB82),10000)/100)&gt;=1,INT(MOD(INDEX(기본자료!$K$2:$K$1001,$AB82),10000)/100)&lt;=12,MOD(INDEX(기본자료!$K$2:$K$1001,$AB82),100)&gt;=1,MOD(INDEX(기본자료!$K$2:$K$1001,$AB82),100)&lt;=31),DATE(INT(INDEX(기본자료!$K$2:$K$1001,$AB82)/10000),INT(MOD(INDEX(기본자료!$K$2:$K$1001,$AB82),10000)/100),MOD(INDEX(기본자료!$K$2:$K$1001,$AB82),100)),INDEX(기본자료!$K$2:$K$1001,$AB82)&amp;"")))))</f>
        <v/>
      </c>
      <c r="F82" s="10">
        <f>IF($AB82="","",IF(INDEX(기본자료!$D$2:$D$1001,$AB82)="","",INDEX(기본자료!$D$2:$D$1001,$AB82)))</f>
        <v/>
      </c>
      <c r="G82" s="10">
        <f>IF($AB82="","",IF(INDEX(기본자료!$E$2:$E$1001,$AB82)="","",INDEX(기본자료!$E$2:$E$1001,$AB82)))</f>
        <v/>
      </c>
      <c r="H82" s="10">
        <f>IF($AB82="","",IF(INDEX(기본자료!$F$2:$F$1001,$AB82)="","",INDEX(기본자료!$F$2:$F$1001,$AB82)))</f>
        <v/>
      </c>
      <c r="I82" s="11">
        <f>IF($AB82="","",IF(INDEX(기본자료!$G$2:$G$1001,$AB82)="","",IF(NOT(ISNUMBER(INDEX(기본자료!$G$2:$G$1001,$AB82))),INDEX(기본자료!$G$2:$G$1001,$AB82),IF(INDEX(기본자료!$G$2:$G$1001,$AB82)&lt;1000000,INDEX(기본자료!$G$2:$G$1001,$AB82),IF(AND(INDEX(기본자료!$G$2:$G$1001,$AB82)&gt;=10000101,INT(MOD(INDEX(기본자료!$G$2:$G$1001,$AB82),10000)/100)&gt;=1,INT(MOD(INDEX(기본자료!$G$2:$G$1001,$AB82),10000)/100)&lt;=12,MOD(INDEX(기본자료!$G$2:$G$1001,$AB82),100)&gt;=1,MOD(INDEX(기본자료!$G$2:$G$1001,$AB82),100)&lt;=31),DATE(INT(INDEX(기본자료!$G$2:$G$1001,$AB82)/10000),INT(MOD(INDEX(기본자료!$G$2:$G$1001,$AB82),10000)/100),MOD(INDEX(기본자료!$G$2:$G$1001,$AB82),100)),INDEX(기본자료!$G$2:$G$1001,$AB82)&amp;"")))))</f>
        <v/>
      </c>
      <c r="J82" s="10">
        <f>IF($AB82="","",IF(INDEX(기본자료!$H$2:$H$1001,$AB82)="","",INDEX(기본자료!$H$2:$H$1001,$AB82)))</f>
        <v/>
      </c>
      <c r="K82" s="10">
        <f>IF($AB82="","",IF(INDEX(기본자료!$I$2:$I$1001,$AB82)="","",INDEX(기본자료!$I$2:$I$1001,$AB82)))</f>
        <v/>
      </c>
      <c r="L82" s="10">
        <f>IF($AB82="","",IF(INDEX(기본자료!$A$2:$A$1001,$AB82)="","",INDEX(기본자료!$A$2:$A$1001,$AB82)))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파견수련계획!$AB$4:$AB$803,$AK82),OR(NOT(ISNUMBER(INDEX(파견수련계획!$AC$4:$AC$803,$AK82))),TODAY()&lt;=INDEX(파견수련계획!$AC$4:$AC$803,$AK82))),"다기관",IF($AF82="","",INDEX(파견수련계획!$T$4:$T$803,$AF82))),IF($AF82="","",INDEX(파견수련계획!$T$4:$T$803,$AF82))))</f>
        <v/>
      </c>
      <c r="Q82" s="10">
        <f>IF($AF82="","",INDEX(파견수련계획!$S$4:$S$803,$AF82))</f>
        <v/>
      </c>
      <c r="R82" s="10">
        <f>IF($AF82="","",INDEX(파견수련계획!$U$4:$U$803,$AF82))</f>
        <v/>
      </c>
      <c r="S82" s="11">
        <f>IF($AF82="","",IF(INDEX(파견수련계획!$H$4:$H$803,$AF82)="","",INDEX(파견수련계획!$H$4:$H$803,$AF82)))</f>
        <v/>
      </c>
      <c r="T82" s="11">
        <f>IF($AF82="","",IF(INDEX(파견수련계획!$I$4:$I$803,$AF82)="","",INDEX(파견수련계획!$I$4:$I$803,$AF82)))</f>
        <v/>
      </c>
      <c r="U82" s="10">
        <f>IF($AF82="","",INDEX(파견수련계획!$X$4:$X$803,$AF82))</f>
        <v/>
      </c>
      <c r="V82" s="17">
        <f>IF($AF82="","",INDEX(파견수련계획!$V$4:$V$803,$AF82))</f>
        <v/>
      </c>
      <c r="W82" s="17">
        <f>IF(AND($U82="파견중",$T82&lt;&gt;""),$T82-TODAY(),"")</f>
        <v/>
      </c>
      <c r="X82" s="17">
        <f>IF(OR($B82="",TRIM($J82&amp;"")=""),"",SUMPRODUCT((파견수련계획!$Q$4:$Q$803=TRIM($J82&amp;""))*파견수련계획!$W$4:$W$803))</f>
        <v/>
      </c>
      <c r="Y82" s="10">
        <f>IF($B82="","",IF($AG82="","",IF(IF(TRIM($J82&amp;"")="",0,SUMPRODUCT((파견수련계획!$Q$4:$Q$803=TRIM($J82&amp;""))*파견수련계획!$AD$4:$AD$803))&gt;0,$AE82,IF(N($X82)&lt;=0,$AG82,IF($AH82+$AI82=DAY(EOMONTH(요약!$B$3,0)),IF(AND($AH82&gt;=요약!$E$3,$AI82&lt;요약!$E$3),"서울병원",IF(AND($AI82&gt;=요약!$E$3,$AH82&lt;요약!$E$3),"구리병원","⚠15일 판정불가(서울 "&amp;$AH82&amp;"일/구리 "&amp;$AI82&amp;"일)")),IF($AJ82="",$AE82,IF(INDEX(파견수련계획!$T$4:$T$803,$AJ82)="통합수련",INDEX(파견수련계획!$S$4:$S$803,$AJ82),$AE82)))))))</f>
        <v/>
      </c>
      <c r="Z82" s="19">
        <f>IF($B82="","",IF($AB82="","기본자료에 없는 사번",IF(COUNTIF($B$2:$B$401,$B82)&gt;1,"중복 사번",IF($AE82="","소속(입사장소) 입력",IF(IF(TRIM($J82&amp;"")="",0,SUMPRODUCT((파견수련계획!$Q$4:$Q$803=TRIM($J82&amp;""))*(파견수련계획!$AA$4:$AA$803&lt;&gt;"")))&gt;0,"파견수련계획 입력오류 확인",IF(LEFT($Y82,1)="⚠","서울·구리 15일 판정 불가(양쪽 모두 이상/미만)",IF(IF($AC82="",0,N(INDEX(인턴근무계획!$T$3:$T$402,$AC82)))&gt;0,"인턴계획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IF($B82="","",IFERROR(MATCH($B82,기본자료!$B$2:$B$1001,0),IFERROR(MATCH($B82&amp;"",기본자료!$B$2:$B$1001,0),IFERROR(MATCH(VALUE($B82),기본자료!$B$2:$B$1001,0),""))))</f>
        <v/>
      </c>
      <c r="AC82" s="10">
        <f>IF($B82="","",IFERROR(MATCH($B82,인턴근무계획!$D$3:$D$402,0),IFERROR(MATCH($B82&amp;"",인턴근무계획!$D$3:$D$402,0),IFERROR(MATCH(VALUE($B82),인턴근무계획!$D$3:$D$402,0),""))))</f>
        <v/>
      </c>
      <c r="AD82" s="10">
        <f>IF(OR($AC82="",인턴현황!$G$3=""),"",INDEX(인턴근무계획!$M$3:$R$402,$AC82,인턴현황!$G$3)&amp;"")</f>
        <v/>
      </c>
      <c r="AE82" s="10">
        <f>IF($B82="","",IF($M82&lt;&gt;"",$M82,IF($AF82&lt;&gt;"",IF(LEFT(INDEX(파견수련계획!$R$4:$R$803,$AF82),1)&lt;&gt;"⚠",INDEX(파견수련계획!$R$4:$R$803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$803,0),IFERROR(MATCH(TRIM($J82&amp;"")&amp;"|파견예정",파견수련계획!$Y$4:$Y$803,0),IFERROR(MATCH(TRIM($J82&amp;"")&amp;"|파견종료",파견수련계획!$Y$4:$Y$803,0),""))))</f>
        <v/>
      </c>
      <c r="AG82" s="10">
        <f>IF($B82="","",IF(AND(IF(OR($AC82="",인턴현황!$K$2=""),"",INDEX(인턴근무계획!$M$3:$R$402,$AC82,인턴현황!$K$2)&amp;"")&lt;&gt;"",LEFT(IF(OR($AC82="",인턴현황!$K$2=""),"",INDEX(인턴근무계획!$M$3:$R$402,$AC82,인턴현황!$K$2)&amp;""),1)&lt;&gt;"⚠"),LEFT(IF(OR($AC82="",인턴현황!$K$2=""),"",INDEX(인턴근무계획!$M$3:$R$402,$AC82,인턴현황!$K$2)&amp;""),FIND(" ",IF(OR($AC82="",인턴현황!$K$2=""),"",INDEX(인턴근무계획!$M$3:$R$402,$AC82,인턴현황!$K$2)&amp;""))-1),$AE82))</f>
        <v/>
      </c>
      <c r="AH82" s="17">
        <f>IF($B82="","",IF(TRIM($J82&amp;"")="",0,SUMPRODUCT((파견수련계획!$Q$4:$Q$803=TRIM($J82&amp;""))*(파견수련계획!$S$4:$S$803="서울병원")*파견수련계획!$W$4:$W$803))+IF($AG82="서울병원",MAX(0,DAY(EOMONTH(요약!$B$3,0))-N($X82)),0))</f>
        <v/>
      </c>
      <c r="AI82" s="17">
        <f>IF($B82="","",IF(TRIM($J82&amp;"")="",0,SUMPRODUCT((파견수련계획!$Q$4:$Q$803=TRIM($J82&amp;""))*(파견수련계획!$S$4:$S$803="구리병원")*파견수련계획!$W$4:$W$803))+IF($AG82="구리병원",MAX(0,DAY(EOMONTH(요약!$B$3,0))-N($X82)),0))</f>
        <v/>
      </c>
      <c r="AJ82" s="10">
        <f>IF(OR($B82="",TRIM($J82&amp;"")=""),"",IFERROR(MATCH(TRIM($J82&amp;"")&amp;"|월",파견수련계획!$Z$4:$Z$803,0),""))</f>
        <v/>
      </c>
      <c r="AK82" s="10">
        <f>IF(OR($B82="",TRIM($J82&amp;"")=""),"",IFERROR(MATCH(TRIM($J82&amp;"")&amp;"|다기관",파견수련계획!$AE$4:$AE$803,0),""))</f>
        <v/>
      </c>
      <c r="AL82" s="10">
        <f>IF($AK82="","","다기관 "&amp;TEXT(INDEX(파견수련계획!$AB$4:$AB$803,$AK82),"yyyy-mm-dd")&amp;"~"&amp;IF(ISNUMBER(INDEX(파견수련계획!$AC$4:$AC$803,$AK82)),TEXT(INDEX(파견수련계획!$AC$4:$AC$803,$AK82),"yyyy-mm-dd"),""))</f>
        <v/>
      </c>
    </row>
    <row r="83">
      <c r="A83" s="10">
        <f>IF(B83="","",ROW()-1)</f>
        <v/>
      </c>
      <c r="B83" s="18" t="n"/>
      <c r="C83" s="10">
        <f>IF($AB83="","",IF(INDEX(기본자료!$C$2:$C$1001,$AB83)="","",INDEX(기본자료!$C$2:$C$1001,$AB83)))</f>
        <v/>
      </c>
      <c r="D83" s="10">
        <f>IF($AB83="","",IF(INDEX(기본자료!$J$2:$J$1001,$AB83)="","",INDEX(기본자료!$J$2:$J$1001,$AB83)))</f>
        <v/>
      </c>
      <c r="E83" s="11">
        <f>IF($AB83="","",IF(INDEX(기본자료!$K$2:$K$1001,$AB83)="","",IF(NOT(ISNUMBER(INDEX(기본자료!$K$2:$K$1001,$AB83))),INDEX(기본자료!$K$2:$K$1001,$AB83),IF(INDEX(기본자료!$K$2:$K$1001,$AB83)&lt;1000000,INDEX(기본자료!$K$2:$K$1001,$AB83),IF(AND(INDEX(기본자료!$K$2:$K$1001,$AB83)&gt;=10000101,INT(MOD(INDEX(기본자료!$K$2:$K$1001,$AB83),10000)/100)&gt;=1,INT(MOD(INDEX(기본자료!$K$2:$K$1001,$AB83),10000)/100)&lt;=12,MOD(INDEX(기본자료!$K$2:$K$1001,$AB83),100)&gt;=1,MOD(INDEX(기본자료!$K$2:$K$1001,$AB83),100)&lt;=31),DATE(INT(INDEX(기본자료!$K$2:$K$1001,$AB83)/10000),INT(MOD(INDEX(기본자료!$K$2:$K$1001,$AB83),10000)/100),MOD(INDEX(기본자료!$K$2:$K$1001,$AB83),100)),INDEX(기본자료!$K$2:$K$1001,$AB83)&amp;"")))))</f>
        <v/>
      </c>
      <c r="F83" s="10">
        <f>IF($AB83="","",IF(INDEX(기본자료!$D$2:$D$1001,$AB83)="","",INDEX(기본자료!$D$2:$D$1001,$AB83)))</f>
        <v/>
      </c>
      <c r="G83" s="10">
        <f>IF($AB83="","",IF(INDEX(기본자료!$E$2:$E$1001,$AB83)="","",INDEX(기본자료!$E$2:$E$1001,$AB83)))</f>
        <v/>
      </c>
      <c r="H83" s="10">
        <f>IF($AB83="","",IF(INDEX(기본자료!$F$2:$F$1001,$AB83)="","",INDEX(기본자료!$F$2:$F$1001,$AB83)))</f>
        <v/>
      </c>
      <c r="I83" s="11">
        <f>IF($AB83="","",IF(INDEX(기본자료!$G$2:$G$1001,$AB83)="","",IF(NOT(ISNUMBER(INDEX(기본자료!$G$2:$G$1001,$AB83))),INDEX(기본자료!$G$2:$G$1001,$AB83),IF(INDEX(기본자료!$G$2:$G$1001,$AB83)&lt;1000000,INDEX(기본자료!$G$2:$G$1001,$AB83),IF(AND(INDEX(기본자료!$G$2:$G$1001,$AB83)&gt;=10000101,INT(MOD(INDEX(기본자료!$G$2:$G$1001,$AB83),10000)/100)&gt;=1,INT(MOD(INDEX(기본자료!$G$2:$G$1001,$AB83),10000)/100)&lt;=12,MOD(INDEX(기본자료!$G$2:$G$1001,$AB83),100)&gt;=1,MOD(INDEX(기본자료!$G$2:$G$1001,$AB83),100)&lt;=31),DATE(INT(INDEX(기본자료!$G$2:$G$1001,$AB83)/10000),INT(MOD(INDEX(기본자료!$G$2:$G$1001,$AB83),10000)/100),MOD(INDEX(기본자료!$G$2:$G$1001,$AB83),100)),INDEX(기본자료!$G$2:$G$1001,$AB83)&amp;"")))))</f>
        <v/>
      </c>
      <c r="J83" s="10">
        <f>IF($AB83="","",IF(INDEX(기본자료!$H$2:$H$1001,$AB83)="","",INDEX(기본자료!$H$2:$H$1001,$AB83)))</f>
        <v/>
      </c>
      <c r="K83" s="10">
        <f>IF($AB83="","",IF(INDEX(기본자료!$I$2:$I$1001,$AB83)="","",INDEX(기본자료!$I$2:$I$1001,$AB83)))</f>
        <v/>
      </c>
      <c r="L83" s="10">
        <f>IF($AB83="","",IF(INDEX(기본자료!$A$2:$A$1001,$AB83)="","",INDEX(기본자료!$A$2:$A$1001,$AB83)))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파견수련계획!$AB$4:$AB$803,$AK83),OR(NOT(ISNUMBER(INDEX(파견수련계획!$AC$4:$AC$803,$AK83))),TODAY()&lt;=INDEX(파견수련계획!$AC$4:$AC$803,$AK83))),"다기관",IF($AF83="","",INDEX(파견수련계획!$T$4:$T$803,$AF83))),IF($AF83="","",INDEX(파견수련계획!$T$4:$T$803,$AF83))))</f>
        <v/>
      </c>
      <c r="Q83" s="10">
        <f>IF($AF83="","",INDEX(파견수련계획!$S$4:$S$803,$AF83))</f>
        <v/>
      </c>
      <c r="R83" s="10">
        <f>IF($AF83="","",INDEX(파견수련계획!$U$4:$U$803,$AF83))</f>
        <v/>
      </c>
      <c r="S83" s="11">
        <f>IF($AF83="","",IF(INDEX(파견수련계획!$H$4:$H$803,$AF83)="","",INDEX(파견수련계획!$H$4:$H$803,$AF83)))</f>
        <v/>
      </c>
      <c r="T83" s="11">
        <f>IF($AF83="","",IF(INDEX(파견수련계획!$I$4:$I$803,$AF83)="","",INDEX(파견수련계획!$I$4:$I$803,$AF83)))</f>
        <v/>
      </c>
      <c r="U83" s="10">
        <f>IF($AF83="","",INDEX(파견수련계획!$X$4:$X$803,$AF83))</f>
        <v/>
      </c>
      <c r="V83" s="17">
        <f>IF($AF83="","",INDEX(파견수련계획!$V$4:$V$803,$AF83))</f>
        <v/>
      </c>
      <c r="W83" s="17">
        <f>IF(AND($U83="파견중",$T83&lt;&gt;""),$T83-TODAY(),"")</f>
        <v/>
      </c>
      <c r="X83" s="17">
        <f>IF(OR($B83="",TRIM($J83&amp;"")=""),"",SUMPRODUCT((파견수련계획!$Q$4:$Q$803=TRIM($J83&amp;""))*파견수련계획!$W$4:$W$803))</f>
        <v/>
      </c>
      <c r="Y83" s="10">
        <f>IF($B83="","",IF($AG83="","",IF(IF(TRIM($J83&amp;"")="",0,SUMPRODUCT((파견수련계획!$Q$4:$Q$803=TRIM($J83&amp;""))*파견수련계획!$AD$4:$AD$803))&gt;0,$AE83,IF(N($X83)&lt;=0,$AG83,IF($AH83+$AI83=DAY(EOMONTH(요약!$B$3,0)),IF(AND($AH83&gt;=요약!$E$3,$AI83&lt;요약!$E$3),"서울병원",IF(AND($AI83&gt;=요약!$E$3,$AH83&lt;요약!$E$3),"구리병원","⚠15일 판정불가(서울 "&amp;$AH83&amp;"일/구리 "&amp;$AI83&amp;"일)")),IF($AJ83="",$AE83,IF(INDEX(파견수련계획!$T$4:$T$803,$AJ83)="통합수련",INDEX(파견수련계획!$S$4:$S$803,$AJ83),$AE83)))))))</f>
        <v/>
      </c>
      <c r="Z83" s="19">
        <f>IF($B83="","",IF($AB83="","기본자료에 없는 사번",IF(COUNTIF($B$2:$B$401,$B83)&gt;1,"중복 사번",IF($AE83="","소속(입사장소) 입력",IF(IF(TRIM($J83&amp;"")="",0,SUMPRODUCT((파견수련계획!$Q$4:$Q$803=TRIM($J83&amp;""))*(파견수련계획!$AA$4:$AA$803&lt;&gt;"")))&gt;0,"파견수련계획 입력오류 확인",IF(LEFT($Y83,1)="⚠","서울·구리 15일 판정 불가(양쪽 모두 이상/미만)",IF(IF($AC83="",0,N(INDEX(인턴근무계획!$T$3:$T$402,$AC83)))&gt;0,"인턴계획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IF($B83="","",IFERROR(MATCH($B83,기본자료!$B$2:$B$1001,0),IFERROR(MATCH($B83&amp;"",기본자료!$B$2:$B$1001,0),IFERROR(MATCH(VALUE($B83),기본자료!$B$2:$B$1001,0),""))))</f>
        <v/>
      </c>
      <c r="AC83" s="10">
        <f>IF($B83="","",IFERROR(MATCH($B83,인턴근무계획!$D$3:$D$402,0),IFERROR(MATCH($B83&amp;"",인턴근무계획!$D$3:$D$402,0),IFERROR(MATCH(VALUE($B83),인턴근무계획!$D$3:$D$402,0),""))))</f>
        <v/>
      </c>
      <c r="AD83" s="10">
        <f>IF(OR($AC83="",인턴현황!$G$3=""),"",INDEX(인턴근무계획!$M$3:$R$402,$AC83,인턴현황!$G$3)&amp;"")</f>
        <v/>
      </c>
      <c r="AE83" s="10">
        <f>IF($B83="","",IF($M83&lt;&gt;"",$M83,IF($AF83&lt;&gt;"",IF(LEFT(INDEX(파견수련계획!$R$4:$R$803,$AF83),1)&lt;&gt;"⚠",INDEX(파견수련계획!$R$4:$R$803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$803,0),IFERROR(MATCH(TRIM($J83&amp;"")&amp;"|파견예정",파견수련계획!$Y$4:$Y$803,0),IFERROR(MATCH(TRIM($J83&amp;"")&amp;"|파견종료",파견수련계획!$Y$4:$Y$803,0),""))))</f>
        <v/>
      </c>
      <c r="AG83" s="10">
        <f>IF($B83="","",IF(AND(IF(OR($AC83="",인턴현황!$K$2=""),"",INDEX(인턴근무계획!$M$3:$R$402,$AC83,인턴현황!$K$2)&amp;"")&lt;&gt;"",LEFT(IF(OR($AC83="",인턴현황!$K$2=""),"",INDEX(인턴근무계획!$M$3:$R$402,$AC83,인턴현황!$K$2)&amp;""),1)&lt;&gt;"⚠"),LEFT(IF(OR($AC83="",인턴현황!$K$2=""),"",INDEX(인턴근무계획!$M$3:$R$402,$AC83,인턴현황!$K$2)&amp;""),FIND(" ",IF(OR($AC83="",인턴현황!$K$2=""),"",INDEX(인턴근무계획!$M$3:$R$402,$AC83,인턴현황!$K$2)&amp;""))-1),$AE83))</f>
        <v/>
      </c>
      <c r="AH83" s="17">
        <f>IF($B83="","",IF(TRIM($J83&amp;"")="",0,SUMPRODUCT((파견수련계획!$Q$4:$Q$803=TRIM($J83&amp;""))*(파견수련계획!$S$4:$S$803="서울병원")*파견수련계획!$W$4:$W$803))+IF($AG83="서울병원",MAX(0,DAY(EOMONTH(요약!$B$3,0))-N($X83)),0))</f>
        <v/>
      </c>
      <c r="AI83" s="17">
        <f>IF($B83="","",IF(TRIM($J83&amp;"")="",0,SUMPRODUCT((파견수련계획!$Q$4:$Q$803=TRIM($J83&amp;""))*(파견수련계획!$S$4:$S$803="구리병원")*파견수련계획!$W$4:$W$803))+IF($AG83="구리병원",MAX(0,DAY(EOMONTH(요약!$B$3,0))-N($X83)),0))</f>
        <v/>
      </c>
      <c r="AJ83" s="10">
        <f>IF(OR($B83="",TRIM($J83&amp;"")=""),"",IFERROR(MATCH(TRIM($J83&amp;"")&amp;"|월",파견수련계획!$Z$4:$Z$803,0),""))</f>
        <v/>
      </c>
      <c r="AK83" s="10">
        <f>IF(OR($B83="",TRIM($J83&amp;"")=""),"",IFERROR(MATCH(TRIM($J83&amp;"")&amp;"|다기관",파견수련계획!$AE$4:$AE$803,0),""))</f>
        <v/>
      </c>
      <c r="AL83" s="10">
        <f>IF($AK83="","","다기관 "&amp;TEXT(INDEX(파견수련계획!$AB$4:$AB$803,$AK83),"yyyy-mm-dd")&amp;"~"&amp;IF(ISNUMBER(INDEX(파견수련계획!$AC$4:$AC$803,$AK83)),TEXT(INDEX(파견수련계획!$AC$4:$AC$803,$AK83),"yyyy-mm-dd"),""))</f>
        <v/>
      </c>
    </row>
    <row r="84">
      <c r="A84" s="10">
        <f>IF(B84="","",ROW()-1)</f>
        <v/>
      </c>
      <c r="B84" s="18" t="n"/>
      <c r="C84" s="10">
        <f>IF($AB84="","",IF(INDEX(기본자료!$C$2:$C$1001,$AB84)="","",INDEX(기본자료!$C$2:$C$1001,$AB84)))</f>
        <v/>
      </c>
      <c r="D84" s="10">
        <f>IF($AB84="","",IF(INDEX(기본자료!$J$2:$J$1001,$AB84)="","",INDEX(기본자료!$J$2:$J$1001,$AB84)))</f>
        <v/>
      </c>
      <c r="E84" s="11">
        <f>IF($AB84="","",IF(INDEX(기본자료!$K$2:$K$1001,$AB84)="","",IF(NOT(ISNUMBER(INDEX(기본자료!$K$2:$K$1001,$AB84))),INDEX(기본자료!$K$2:$K$1001,$AB84),IF(INDEX(기본자료!$K$2:$K$1001,$AB84)&lt;1000000,INDEX(기본자료!$K$2:$K$1001,$AB84),IF(AND(INDEX(기본자료!$K$2:$K$1001,$AB84)&gt;=10000101,INT(MOD(INDEX(기본자료!$K$2:$K$1001,$AB84),10000)/100)&gt;=1,INT(MOD(INDEX(기본자료!$K$2:$K$1001,$AB84),10000)/100)&lt;=12,MOD(INDEX(기본자료!$K$2:$K$1001,$AB84),100)&gt;=1,MOD(INDEX(기본자료!$K$2:$K$1001,$AB84),100)&lt;=31),DATE(INT(INDEX(기본자료!$K$2:$K$1001,$AB84)/10000),INT(MOD(INDEX(기본자료!$K$2:$K$1001,$AB84),10000)/100),MOD(INDEX(기본자료!$K$2:$K$1001,$AB84),100)),INDEX(기본자료!$K$2:$K$1001,$AB84)&amp;"")))))</f>
        <v/>
      </c>
      <c r="F84" s="10">
        <f>IF($AB84="","",IF(INDEX(기본자료!$D$2:$D$1001,$AB84)="","",INDEX(기본자료!$D$2:$D$1001,$AB84)))</f>
        <v/>
      </c>
      <c r="G84" s="10">
        <f>IF($AB84="","",IF(INDEX(기본자료!$E$2:$E$1001,$AB84)="","",INDEX(기본자료!$E$2:$E$1001,$AB84)))</f>
        <v/>
      </c>
      <c r="H84" s="10">
        <f>IF($AB84="","",IF(INDEX(기본자료!$F$2:$F$1001,$AB84)="","",INDEX(기본자료!$F$2:$F$1001,$AB84)))</f>
        <v/>
      </c>
      <c r="I84" s="11">
        <f>IF($AB84="","",IF(INDEX(기본자료!$G$2:$G$1001,$AB84)="","",IF(NOT(ISNUMBER(INDEX(기본자료!$G$2:$G$1001,$AB84))),INDEX(기본자료!$G$2:$G$1001,$AB84),IF(INDEX(기본자료!$G$2:$G$1001,$AB84)&lt;1000000,INDEX(기본자료!$G$2:$G$1001,$AB84),IF(AND(INDEX(기본자료!$G$2:$G$1001,$AB84)&gt;=10000101,INT(MOD(INDEX(기본자료!$G$2:$G$1001,$AB84),10000)/100)&gt;=1,INT(MOD(INDEX(기본자료!$G$2:$G$1001,$AB84),10000)/100)&lt;=12,MOD(INDEX(기본자료!$G$2:$G$1001,$AB84),100)&gt;=1,MOD(INDEX(기본자료!$G$2:$G$1001,$AB84),100)&lt;=31),DATE(INT(INDEX(기본자료!$G$2:$G$1001,$AB84)/10000),INT(MOD(INDEX(기본자료!$G$2:$G$1001,$AB84),10000)/100),MOD(INDEX(기본자료!$G$2:$G$1001,$AB84),100)),INDEX(기본자료!$G$2:$G$1001,$AB84)&amp;"")))))</f>
        <v/>
      </c>
      <c r="J84" s="10">
        <f>IF($AB84="","",IF(INDEX(기본자료!$H$2:$H$1001,$AB84)="","",INDEX(기본자료!$H$2:$H$1001,$AB84)))</f>
        <v/>
      </c>
      <c r="K84" s="10">
        <f>IF($AB84="","",IF(INDEX(기본자료!$I$2:$I$1001,$AB84)="","",INDEX(기본자료!$I$2:$I$1001,$AB84)))</f>
        <v/>
      </c>
      <c r="L84" s="10">
        <f>IF($AB84="","",IF(INDEX(기본자료!$A$2:$A$1001,$AB84)="","",INDEX(기본자료!$A$2:$A$1001,$AB84)))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파견수련계획!$AB$4:$AB$803,$AK84),OR(NOT(ISNUMBER(INDEX(파견수련계획!$AC$4:$AC$803,$AK84))),TODAY()&lt;=INDEX(파견수련계획!$AC$4:$AC$803,$AK84))),"다기관",IF($AF84="","",INDEX(파견수련계획!$T$4:$T$803,$AF84))),IF($AF84="","",INDEX(파견수련계획!$T$4:$T$803,$AF84))))</f>
        <v/>
      </c>
      <c r="Q84" s="10">
        <f>IF($AF84="","",INDEX(파견수련계획!$S$4:$S$803,$AF84))</f>
        <v/>
      </c>
      <c r="R84" s="10">
        <f>IF($AF84="","",INDEX(파견수련계획!$U$4:$U$803,$AF84))</f>
        <v/>
      </c>
      <c r="S84" s="11">
        <f>IF($AF84="","",IF(INDEX(파견수련계획!$H$4:$H$803,$AF84)="","",INDEX(파견수련계획!$H$4:$H$803,$AF84)))</f>
        <v/>
      </c>
      <c r="T84" s="11">
        <f>IF($AF84="","",IF(INDEX(파견수련계획!$I$4:$I$803,$AF84)="","",INDEX(파견수련계획!$I$4:$I$803,$AF84)))</f>
        <v/>
      </c>
      <c r="U84" s="10">
        <f>IF($AF84="","",INDEX(파견수련계획!$X$4:$X$803,$AF84))</f>
        <v/>
      </c>
      <c r="V84" s="17">
        <f>IF($AF84="","",INDEX(파견수련계획!$V$4:$V$803,$AF84))</f>
        <v/>
      </c>
      <c r="W84" s="17">
        <f>IF(AND($U84="파견중",$T84&lt;&gt;""),$T84-TODAY(),"")</f>
        <v/>
      </c>
      <c r="X84" s="17">
        <f>IF(OR($B84="",TRIM($J84&amp;"")=""),"",SUMPRODUCT((파견수련계획!$Q$4:$Q$803=TRIM($J84&amp;""))*파견수련계획!$W$4:$W$803))</f>
        <v/>
      </c>
      <c r="Y84" s="10">
        <f>IF($B84="","",IF($AG84="","",IF(IF(TRIM($J84&amp;"")="",0,SUMPRODUCT((파견수련계획!$Q$4:$Q$803=TRIM($J84&amp;""))*파견수련계획!$AD$4:$AD$803))&gt;0,$AE84,IF(N($X84)&lt;=0,$AG84,IF($AH84+$AI84=DAY(EOMONTH(요약!$B$3,0)),IF(AND($AH84&gt;=요약!$E$3,$AI84&lt;요약!$E$3),"서울병원",IF(AND($AI84&gt;=요약!$E$3,$AH84&lt;요약!$E$3),"구리병원","⚠15일 판정불가(서울 "&amp;$AH84&amp;"일/구리 "&amp;$AI84&amp;"일)")),IF($AJ84="",$AE84,IF(INDEX(파견수련계획!$T$4:$T$803,$AJ84)="통합수련",INDEX(파견수련계획!$S$4:$S$803,$AJ84),$AE84)))))))</f>
        <v/>
      </c>
      <c r="Z84" s="19">
        <f>IF($B84="","",IF($AB84="","기본자료에 없는 사번",IF(COUNTIF($B$2:$B$401,$B84)&gt;1,"중복 사번",IF($AE84="","소속(입사장소) 입력",IF(IF(TRIM($J84&amp;"")="",0,SUMPRODUCT((파견수련계획!$Q$4:$Q$803=TRIM($J84&amp;""))*(파견수련계획!$AA$4:$AA$803&lt;&gt;"")))&gt;0,"파견수련계획 입력오류 확인",IF(LEFT($Y84,1)="⚠","서울·구리 15일 판정 불가(양쪽 모두 이상/미만)",IF(IF($AC84="",0,N(INDEX(인턴근무계획!$T$3:$T$402,$AC84)))&gt;0,"인턴계획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IF($B84="","",IFERROR(MATCH($B84,기본자료!$B$2:$B$1001,0),IFERROR(MATCH($B84&amp;"",기본자료!$B$2:$B$1001,0),IFERROR(MATCH(VALUE($B84),기본자료!$B$2:$B$1001,0),""))))</f>
        <v/>
      </c>
      <c r="AC84" s="10">
        <f>IF($B84="","",IFERROR(MATCH($B84,인턴근무계획!$D$3:$D$402,0),IFERROR(MATCH($B84&amp;"",인턴근무계획!$D$3:$D$402,0),IFERROR(MATCH(VALUE($B84),인턴근무계획!$D$3:$D$402,0),""))))</f>
        <v/>
      </c>
      <c r="AD84" s="10">
        <f>IF(OR($AC84="",인턴현황!$G$3=""),"",INDEX(인턴근무계획!$M$3:$R$402,$AC84,인턴현황!$G$3)&amp;"")</f>
        <v/>
      </c>
      <c r="AE84" s="10">
        <f>IF($B84="","",IF($M84&lt;&gt;"",$M84,IF($AF84&lt;&gt;"",IF(LEFT(INDEX(파견수련계획!$R$4:$R$803,$AF84),1)&lt;&gt;"⚠",INDEX(파견수련계획!$R$4:$R$803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$803,0),IFERROR(MATCH(TRIM($J84&amp;"")&amp;"|파견예정",파견수련계획!$Y$4:$Y$803,0),IFERROR(MATCH(TRIM($J84&amp;"")&amp;"|파견종료",파견수련계획!$Y$4:$Y$803,0),""))))</f>
        <v/>
      </c>
      <c r="AG84" s="10">
        <f>IF($B84="","",IF(AND(IF(OR($AC84="",인턴현황!$K$2=""),"",INDEX(인턴근무계획!$M$3:$R$402,$AC84,인턴현황!$K$2)&amp;"")&lt;&gt;"",LEFT(IF(OR($AC84="",인턴현황!$K$2=""),"",INDEX(인턴근무계획!$M$3:$R$402,$AC84,인턴현황!$K$2)&amp;""),1)&lt;&gt;"⚠"),LEFT(IF(OR($AC84="",인턴현황!$K$2=""),"",INDEX(인턴근무계획!$M$3:$R$402,$AC84,인턴현황!$K$2)&amp;""),FIND(" ",IF(OR($AC84="",인턴현황!$K$2=""),"",INDEX(인턴근무계획!$M$3:$R$402,$AC84,인턴현황!$K$2)&amp;""))-1),$AE84))</f>
        <v/>
      </c>
      <c r="AH84" s="17">
        <f>IF($B84="","",IF(TRIM($J84&amp;"")="",0,SUMPRODUCT((파견수련계획!$Q$4:$Q$803=TRIM($J84&amp;""))*(파견수련계획!$S$4:$S$803="서울병원")*파견수련계획!$W$4:$W$803))+IF($AG84="서울병원",MAX(0,DAY(EOMONTH(요약!$B$3,0))-N($X84)),0))</f>
        <v/>
      </c>
      <c r="AI84" s="17">
        <f>IF($B84="","",IF(TRIM($J84&amp;"")="",0,SUMPRODUCT((파견수련계획!$Q$4:$Q$803=TRIM($J84&amp;""))*(파견수련계획!$S$4:$S$803="구리병원")*파견수련계획!$W$4:$W$803))+IF($AG84="구리병원",MAX(0,DAY(EOMONTH(요약!$B$3,0))-N($X84)),0))</f>
        <v/>
      </c>
      <c r="AJ84" s="10">
        <f>IF(OR($B84="",TRIM($J84&amp;"")=""),"",IFERROR(MATCH(TRIM($J84&amp;"")&amp;"|월",파견수련계획!$Z$4:$Z$803,0),""))</f>
        <v/>
      </c>
      <c r="AK84" s="10">
        <f>IF(OR($B84="",TRIM($J84&amp;"")=""),"",IFERROR(MATCH(TRIM($J84&amp;"")&amp;"|다기관",파견수련계획!$AE$4:$AE$803,0),""))</f>
        <v/>
      </c>
      <c r="AL84" s="10">
        <f>IF($AK84="","","다기관 "&amp;TEXT(INDEX(파견수련계획!$AB$4:$AB$803,$AK84),"yyyy-mm-dd")&amp;"~"&amp;IF(ISNUMBER(INDEX(파견수련계획!$AC$4:$AC$803,$AK84)),TEXT(INDEX(파견수련계획!$AC$4:$AC$803,$AK84),"yyyy-mm-dd"),""))</f>
        <v/>
      </c>
    </row>
    <row r="85">
      <c r="A85" s="10">
        <f>IF(B85="","",ROW()-1)</f>
        <v/>
      </c>
      <c r="B85" s="18" t="n"/>
      <c r="C85" s="10">
        <f>IF($AB85="","",IF(INDEX(기본자료!$C$2:$C$1001,$AB85)="","",INDEX(기본자료!$C$2:$C$1001,$AB85)))</f>
        <v/>
      </c>
      <c r="D85" s="10">
        <f>IF($AB85="","",IF(INDEX(기본자료!$J$2:$J$1001,$AB85)="","",INDEX(기본자료!$J$2:$J$1001,$AB85)))</f>
        <v/>
      </c>
      <c r="E85" s="11">
        <f>IF($AB85="","",IF(INDEX(기본자료!$K$2:$K$1001,$AB85)="","",IF(NOT(ISNUMBER(INDEX(기본자료!$K$2:$K$1001,$AB85))),INDEX(기본자료!$K$2:$K$1001,$AB85),IF(INDEX(기본자료!$K$2:$K$1001,$AB85)&lt;1000000,INDEX(기본자료!$K$2:$K$1001,$AB85),IF(AND(INDEX(기본자료!$K$2:$K$1001,$AB85)&gt;=10000101,INT(MOD(INDEX(기본자료!$K$2:$K$1001,$AB85),10000)/100)&gt;=1,INT(MOD(INDEX(기본자료!$K$2:$K$1001,$AB85),10000)/100)&lt;=12,MOD(INDEX(기본자료!$K$2:$K$1001,$AB85),100)&gt;=1,MOD(INDEX(기본자료!$K$2:$K$1001,$AB85),100)&lt;=31),DATE(INT(INDEX(기본자료!$K$2:$K$1001,$AB85)/10000),INT(MOD(INDEX(기본자료!$K$2:$K$1001,$AB85),10000)/100),MOD(INDEX(기본자료!$K$2:$K$1001,$AB85),100)),INDEX(기본자료!$K$2:$K$1001,$AB85)&amp;"")))))</f>
        <v/>
      </c>
      <c r="F85" s="10">
        <f>IF($AB85="","",IF(INDEX(기본자료!$D$2:$D$1001,$AB85)="","",INDEX(기본자료!$D$2:$D$1001,$AB85)))</f>
        <v/>
      </c>
      <c r="G85" s="10">
        <f>IF($AB85="","",IF(INDEX(기본자료!$E$2:$E$1001,$AB85)="","",INDEX(기본자료!$E$2:$E$1001,$AB85)))</f>
        <v/>
      </c>
      <c r="H85" s="10">
        <f>IF($AB85="","",IF(INDEX(기본자료!$F$2:$F$1001,$AB85)="","",INDEX(기본자료!$F$2:$F$1001,$AB85)))</f>
        <v/>
      </c>
      <c r="I85" s="11">
        <f>IF($AB85="","",IF(INDEX(기본자료!$G$2:$G$1001,$AB85)="","",IF(NOT(ISNUMBER(INDEX(기본자료!$G$2:$G$1001,$AB85))),INDEX(기본자료!$G$2:$G$1001,$AB85),IF(INDEX(기본자료!$G$2:$G$1001,$AB85)&lt;1000000,INDEX(기본자료!$G$2:$G$1001,$AB85),IF(AND(INDEX(기본자료!$G$2:$G$1001,$AB85)&gt;=10000101,INT(MOD(INDEX(기본자료!$G$2:$G$1001,$AB85),10000)/100)&gt;=1,INT(MOD(INDEX(기본자료!$G$2:$G$1001,$AB85),10000)/100)&lt;=12,MOD(INDEX(기본자료!$G$2:$G$1001,$AB85),100)&gt;=1,MOD(INDEX(기본자료!$G$2:$G$1001,$AB85),100)&lt;=31),DATE(INT(INDEX(기본자료!$G$2:$G$1001,$AB85)/10000),INT(MOD(INDEX(기본자료!$G$2:$G$1001,$AB85),10000)/100),MOD(INDEX(기본자료!$G$2:$G$1001,$AB85),100)),INDEX(기본자료!$G$2:$G$1001,$AB85)&amp;"")))))</f>
        <v/>
      </c>
      <c r="J85" s="10">
        <f>IF($AB85="","",IF(INDEX(기본자료!$H$2:$H$1001,$AB85)="","",INDEX(기본자료!$H$2:$H$1001,$AB85)))</f>
        <v/>
      </c>
      <c r="K85" s="10">
        <f>IF($AB85="","",IF(INDEX(기본자료!$I$2:$I$1001,$AB85)="","",INDEX(기본자료!$I$2:$I$1001,$AB85)))</f>
        <v/>
      </c>
      <c r="L85" s="10">
        <f>IF($AB85="","",IF(INDEX(기본자료!$A$2:$A$1001,$AB85)="","",INDEX(기본자료!$A$2:$A$1001,$AB85)))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파견수련계획!$AB$4:$AB$803,$AK85),OR(NOT(ISNUMBER(INDEX(파견수련계획!$AC$4:$AC$803,$AK85))),TODAY()&lt;=INDEX(파견수련계획!$AC$4:$AC$803,$AK85))),"다기관",IF($AF85="","",INDEX(파견수련계획!$T$4:$T$803,$AF85))),IF($AF85="","",INDEX(파견수련계획!$T$4:$T$803,$AF85))))</f>
        <v/>
      </c>
      <c r="Q85" s="10">
        <f>IF($AF85="","",INDEX(파견수련계획!$S$4:$S$803,$AF85))</f>
        <v/>
      </c>
      <c r="R85" s="10">
        <f>IF($AF85="","",INDEX(파견수련계획!$U$4:$U$803,$AF85))</f>
        <v/>
      </c>
      <c r="S85" s="11">
        <f>IF($AF85="","",IF(INDEX(파견수련계획!$H$4:$H$803,$AF85)="","",INDEX(파견수련계획!$H$4:$H$803,$AF85)))</f>
        <v/>
      </c>
      <c r="T85" s="11">
        <f>IF($AF85="","",IF(INDEX(파견수련계획!$I$4:$I$803,$AF85)="","",INDEX(파견수련계획!$I$4:$I$803,$AF85)))</f>
        <v/>
      </c>
      <c r="U85" s="10">
        <f>IF($AF85="","",INDEX(파견수련계획!$X$4:$X$803,$AF85))</f>
        <v/>
      </c>
      <c r="V85" s="17">
        <f>IF($AF85="","",INDEX(파견수련계획!$V$4:$V$803,$AF85))</f>
        <v/>
      </c>
      <c r="W85" s="17">
        <f>IF(AND($U85="파견중",$T85&lt;&gt;""),$T85-TODAY(),"")</f>
        <v/>
      </c>
      <c r="X85" s="17">
        <f>IF(OR($B85="",TRIM($J85&amp;"")=""),"",SUMPRODUCT((파견수련계획!$Q$4:$Q$803=TRIM($J85&amp;""))*파견수련계획!$W$4:$W$803))</f>
        <v/>
      </c>
      <c r="Y85" s="10">
        <f>IF($B85="","",IF($AG85="","",IF(IF(TRIM($J85&amp;"")="",0,SUMPRODUCT((파견수련계획!$Q$4:$Q$803=TRIM($J85&amp;""))*파견수련계획!$AD$4:$AD$803))&gt;0,$AE85,IF(N($X85)&lt;=0,$AG85,IF($AH85+$AI85=DAY(EOMONTH(요약!$B$3,0)),IF(AND($AH85&gt;=요약!$E$3,$AI85&lt;요약!$E$3),"서울병원",IF(AND($AI85&gt;=요약!$E$3,$AH85&lt;요약!$E$3),"구리병원","⚠15일 판정불가(서울 "&amp;$AH85&amp;"일/구리 "&amp;$AI85&amp;"일)")),IF($AJ85="",$AE85,IF(INDEX(파견수련계획!$T$4:$T$803,$AJ85)="통합수련",INDEX(파견수련계획!$S$4:$S$803,$AJ85),$AE85)))))))</f>
        <v/>
      </c>
      <c r="Z85" s="19">
        <f>IF($B85="","",IF($AB85="","기본자료에 없는 사번",IF(COUNTIF($B$2:$B$401,$B85)&gt;1,"중복 사번",IF($AE85="","소속(입사장소) 입력",IF(IF(TRIM($J85&amp;"")="",0,SUMPRODUCT((파견수련계획!$Q$4:$Q$803=TRIM($J85&amp;""))*(파견수련계획!$AA$4:$AA$803&lt;&gt;"")))&gt;0,"파견수련계획 입력오류 확인",IF(LEFT($Y85,1)="⚠","서울·구리 15일 판정 불가(양쪽 모두 이상/미만)",IF(IF($AC85="",0,N(INDEX(인턴근무계획!$T$3:$T$402,$AC85)))&gt;0,"인턴계획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IF($B85="","",IFERROR(MATCH($B85,기본자료!$B$2:$B$1001,0),IFERROR(MATCH($B85&amp;"",기본자료!$B$2:$B$1001,0),IFERROR(MATCH(VALUE($B85),기본자료!$B$2:$B$1001,0),""))))</f>
        <v/>
      </c>
      <c r="AC85" s="10">
        <f>IF($B85="","",IFERROR(MATCH($B85,인턴근무계획!$D$3:$D$402,0),IFERROR(MATCH($B85&amp;"",인턴근무계획!$D$3:$D$402,0),IFERROR(MATCH(VALUE($B85),인턴근무계획!$D$3:$D$402,0),""))))</f>
        <v/>
      </c>
      <c r="AD85" s="10">
        <f>IF(OR($AC85="",인턴현황!$G$3=""),"",INDEX(인턴근무계획!$M$3:$R$402,$AC85,인턴현황!$G$3)&amp;"")</f>
        <v/>
      </c>
      <c r="AE85" s="10">
        <f>IF($B85="","",IF($M85&lt;&gt;"",$M85,IF($AF85&lt;&gt;"",IF(LEFT(INDEX(파견수련계획!$R$4:$R$803,$AF85),1)&lt;&gt;"⚠",INDEX(파견수련계획!$R$4:$R$803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$803,0),IFERROR(MATCH(TRIM($J85&amp;"")&amp;"|파견예정",파견수련계획!$Y$4:$Y$803,0),IFERROR(MATCH(TRIM($J85&amp;"")&amp;"|파견종료",파견수련계획!$Y$4:$Y$803,0),""))))</f>
        <v/>
      </c>
      <c r="AG85" s="10">
        <f>IF($B85="","",IF(AND(IF(OR($AC85="",인턴현황!$K$2=""),"",INDEX(인턴근무계획!$M$3:$R$402,$AC85,인턴현황!$K$2)&amp;"")&lt;&gt;"",LEFT(IF(OR($AC85="",인턴현황!$K$2=""),"",INDEX(인턴근무계획!$M$3:$R$402,$AC85,인턴현황!$K$2)&amp;""),1)&lt;&gt;"⚠"),LEFT(IF(OR($AC85="",인턴현황!$K$2=""),"",INDEX(인턴근무계획!$M$3:$R$402,$AC85,인턴현황!$K$2)&amp;""),FIND(" ",IF(OR($AC85="",인턴현황!$K$2=""),"",INDEX(인턴근무계획!$M$3:$R$402,$AC85,인턴현황!$K$2)&amp;""))-1),$AE85))</f>
        <v/>
      </c>
      <c r="AH85" s="17">
        <f>IF($B85="","",IF(TRIM($J85&amp;"")="",0,SUMPRODUCT((파견수련계획!$Q$4:$Q$803=TRIM($J85&amp;""))*(파견수련계획!$S$4:$S$803="서울병원")*파견수련계획!$W$4:$W$803))+IF($AG85="서울병원",MAX(0,DAY(EOMONTH(요약!$B$3,0))-N($X85)),0))</f>
        <v/>
      </c>
      <c r="AI85" s="17">
        <f>IF($B85="","",IF(TRIM($J85&amp;"")="",0,SUMPRODUCT((파견수련계획!$Q$4:$Q$803=TRIM($J85&amp;""))*(파견수련계획!$S$4:$S$803="구리병원")*파견수련계획!$W$4:$W$803))+IF($AG85="구리병원",MAX(0,DAY(EOMONTH(요약!$B$3,0))-N($X85)),0))</f>
        <v/>
      </c>
      <c r="AJ85" s="10">
        <f>IF(OR($B85="",TRIM($J85&amp;"")=""),"",IFERROR(MATCH(TRIM($J85&amp;"")&amp;"|월",파견수련계획!$Z$4:$Z$803,0),""))</f>
        <v/>
      </c>
      <c r="AK85" s="10">
        <f>IF(OR($B85="",TRIM($J85&amp;"")=""),"",IFERROR(MATCH(TRIM($J85&amp;"")&amp;"|다기관",파견수련계획!$AE$4:$AE$803,0),""))</f>
        <v/>
      </c>
      <c r="AL85" s="10">
        <f>IF($AK85="","","다기관 "&amp;TEXT(INDEX(파견수련계획!$AB$4:$AB$803,$AK85),"yyyy-mm-dd")&amp;"~"&amp;IF(ISNUMBER(INDEX(파견수련계획!$AC$4:$AC$803,$AK85)),TEXT(INDEX(파견수련계획!$AC$4:$AC$803,$AK85),"yyyy-mm-dd"),""))</f>
        <v/>
      </c>
    </row>
    <row r="86">
      <c r="A86" s="10">
        <f>IF(B86="","",ROW()-1)</f>
        <v/>
      </c>
      <c r="B86" s="18" t="n"/>
      <c r="C86" s="10">
        <f>IF($AB86="","",IF(INDEX(기본자료!$C$2:$C$1001,$AB86)="","",INDEX(기본자료!$C$2:$C$1001,$AB86)))</f>
        <v/>
      </c>
      <c r="D86" s="10">
        <f>IF($AB86="","",IF(INDEX(기본자료!$J$2:$J$1001,$AB86)="","",INDEX(기본자료!$J$2:$J$1001,$AB86)))</f>
        <v/>
      </c>
      <c r="E86" s="11">
        <f>IF($AB86="","",IF(INDEX(기본자료!$K$2:$K$1001,$AB86)="","",IF(NOT(ISNUMBER(INDEX(기본자료!$K$2:$K$1001,$AB86))),INDEX(기본자료!$K$2:$K$1001,$AB86),IF(INDEX(기본자료!$K$2:$K$1001,$AB86)&lt;1000000,INDEX(기본자료!$K$2:$K$1001,$AB86),IF(AND(INDEX(기본자료!$K$2:$K$1001,$AB86)&gt;=10000101,INT(MOD(INDEX(기본자료!$K$2:$K$1001,$AB86),10000)/100)&gt;=1,INT(MOD(INDEX(기본자료!$K$2:$K$1001,$AB86),10000)/100)&lt;=12,MOD(INDEX(기본자료!$K$2:$K$1001,$AB86),100)&gt;=1,MOD(INDEX(기본자료!$K$2:$K$1001,$AB86),100)&lt;=31),DATE(INT(INDEX(기본자료!$K$2:$K$1001,$AB86)/10000),INT(MOD(INDEX(기본자료!$K$2:$K$1001,$AB86),10000)/100),MOD(INDEX(기본자료!$K$2:$K$1001,$AB86),100)),INDEX(기본자료!$K$2:$K$1001,$AB86)&amp;"")))))</f>
        <v/>
      </c>
      <c r="F86" s="10">
        <f>IF($AB86="","",IF(INDEX(기본자료!$D$2:$D$1001,$AB86)="","",INDEX(기본자료!$D$2:$D$1001,$AB86)))</f>
        <v/>
      </c>
      <c r="G86" s="10">
        <f>IF($AB86="","",IF(INDEX(기본자료!$E$2:$E$1001,$AB86)="","",INDEX(기본자료!$E$2:$E$1001,$AB86)))</f>
        <v/>
      </c>
      <c r="H86" s="10">
        <f>IF($AB86="","",IF(INDEX(기본자료!$F$2:$F$1001,$AB86)="","",INDEX(기본자료!$F$2:$F$1001,$AB86)))</f>
        <v/>
      </c>
      <c r="I86" s="11">
        <f>IF($AB86="","",IF(INDEX(기본자료!$G$2:$G$1001,$AB86)="","",IF(NOT(ISNUMBER(INDEX(기본자료!$G$2:$G$1001,$AB86))),INDEX(기본자료!$G$2:$G$1001,$AB86),IF(INDEX(기본자료!$G$2:$G$1001,$AB86)&lt;1000000,INDEX(기본자료!$G$2:$G$1001,$AB86),IF(AND(INDEX(기본자료!$G$2:$G$1001,$AB86)&gt;=10000101,INT(MOD(INDEX(기본자료!$G$2:$G$1001,$AB86),10000)/100)&gt;=1,INT(MOD(INDEX(기본자료!$G$2:$G$1001,$AB86),10000)/100)&lt;=12,MOD(INDEX(기본자료!$G$2:$G$1001,$AB86),100)&gt;=1,MOD(INDEX(기본자료!$G$2:$G$1001,$AB86),100)&lt;=31),DATE(INT(INDEX(기본자료!$G$2:$G$1001,$AB86)/10000),INT(MOD(INDEX(기본자료!$G$2:$G$1001,$AB86),10000)/100),MOD(INDEX(기본자료!$G$2:$G$1001,$AB86),100)),INDEX(기본자료!$G$2:$G$1001,$AB86)&amp;"")))))</f>
        <v/>
      </c>
      <c r="J86" s="10">
        <f>IF($AB86="","",IF(INDEX(기본자료!$H$2:$H$1001,$AB86)="","",INDEX(기본자료!$H$2:$H$1001,$AB86)))</f>
        <v/>
      </c>
      <c r="K86" s="10">
        <f>IF($AB86="","",IF(INDEX(기본자료!$I$2:$I$1001,$AB86)="","",INDEX(기본자료!$I$2:$I$1001,$AB86)))</f>
        <v/>
      </c>
      <c r="L86" s="10">
        <f>IF($AB86="","",IF(INDEX(기본자료!$A$2:$A$1001,$AB86)="","",INDEX(기본자료!$A$2:$A$1001,$AB86)))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파견수련계획!$AB$4:$AB$803,$AK86),OR(NOT(ISNUMBER(INDEX(파견수련계획!$AC$4:$AC$803,$AK86))),TODAY()&lt;=INDEX(파견수련계획!$AC$4:$AC$803,$AK86))),"다기관",IF($AF86="","",INDEX(파견수련계획!$T$4:$T$803,$AF86))),IF($AF86="","",INDEX(파견수련계획!$T$4:$T$803,$AF86))))</f>
        <v/>
      </c>
      <c r="Q86" s="10">
        <f>IF($AF86="","",INDEX(파견수련계획!$S$4:$S$803,$AF86))</f>
        <v/>
      </c>
      <c r="R86" s="10">
        <f>IF($AF86="","",INDEX(파견수련계획!$U$4:$U$803,$AF86))</f>
        <v/>
      </c>
      <c r="S86" s="11">
        <f>IF($AF86="","",IF(INDEX(파견수련계획!$H$4:$H$803,$AF86)="","",INDEX(파견수련계획!$H$4:$H$803,$AF86)))</f>
        <v/>
      </c>
      <c r="T86" s="11">
        <f>IF($AF86="","",IF(INDEX(파견수련계획!$I$4:$I$803,$AF86)="","",INDEX(파견수련계획!$I$4:$I$803,$AF86)))</f>
        <v/>
      </c>
      <c r="U86" s="10">
        <f>IF($AF86="","",INDEX(파견수련계획!$X$4:$X$803,$AF86))</f>
        <v/>
      </c>
      <c r="V86" s="17">
        <f>IF($AF86="","",INDEX(파견수련계획!$V$4:$V$803,$AF86))</f>
        <v/>
      </c>
      <c r="W86" s="17">
        <f>IF(AND($U86="파견중",$T86&lt;&gt;""),$T86-TODAY(),"")</f>
        <v/>
      </c>
      <c r="X86" s="17">
        <f>IF(OR($B86="",TRIM($J86&amp;"")=""),"",SUMPRODUCT((파견수련계획!$Q$4:$Q$803=TRIM($J86&amp;""))*파견수련계획!$W$4:$W$803))</f>
        <v/>
      </c>
      <c r="Y86" s="10">
        <f>IF($B86="","",IF($AG86="","",IF(IF(TRIM($J86&amp;"")="",0,SUMPRODUCT((파견수련계획!$Q$4:$Q$803=TRIM($J86&amp;""))*파견수련계획!$AD$4:$AD$803))&gt;0,$AE86,IF(N($X86)&lt;=0,$AG86,IF($AH86+$AI86=DAY(EOMONTH(요약!$B$3,0)),IF(AND($AH86&gt;=요약!$E$3,$AI86&lt;요약!$E$3),"서울병원",IF(AND($AI86&gt;=요약!$E$3,$AH86&lt;요약!$E$3),"구리병원","⚠15일 판정불가(서울 "&amp;$AH86&amp;"일/구리 "&amp;$AI86&amp;"일)")),IF($AJ86="",$AE86,IF(INDEX(파견수련계획!$T$4:$T$803,$AJ86)="통합수련",INDEX(파견수련계획!$S$4:$S$803,$AJ86),$AE86)))))))</f>
        <v/>
      </c>
      <c r="Z86" s="19">
        <f>IF($B86="","",IF($AB86="","기본자료에 없는 사번",IF(COUNTIF($B$2:$B$401,$B86)&gt;1,"중복 사번",IF($AE86="","소속(입사장소) 입력",IF(IF(TRIM($J86&amp;"")="",0,SUMPRODUCT((파견수련계획!$Q$4:$Q$803=TRIM($J86&amp;""))*(파견수련계획!$AA$4:$AA$803&lt;&gt;"")))&gt;0,"파견수련계획 입력오류 확인",IF(LEFT($Y86,1)="⚠","서울·구리 15일 판정 불가(양쪽 모두 이상/미만)",IF(IF($AC86="",0,N(INDEX(인턴근무계획!$T$3:$T$402,$AC86)))&gt;0,"인턴계획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IF($B86="","",IFERROR(MATCH($B86,기본자료!$B$2:$B$1001,0),IFERROR(MATCH($B86&amp;"",기본자료!$B$2:$B$1001,0),IFERROR(MATCH(VALUE($B86),기본자료!$B$2:$B$1001,0),""))))</f>
        <v/>
      </c>
      <c r="AC86" s="10">
        <f>IF($B86="","",IFERROR(MATCH($B86,인턴근무계획!$D$3:$D$402,0),IFERROR(MATCH($B86&amp;"",인턴근무계획!$D$3:$D$402,0),IFERROR(MATCH(VALUE($B86),인턴근무계획!$D$3:$D$402,0),""))))</f>
        <v/>
      </c>
      <c r="AD86" s="10">
        <f>IF(OR($AC86="",인턴현황!$G$3=""),"",INDEX(인턴근무계획!$M$3:$R$402,$AC86,인턴현황!$G$3)&amp;"")</f>
        <v/>
      </c>
      <c r="AE86" s="10">
        <f>IF($B86="","",IF($M86&lt;&gt;"",$M86,IF($AF86&lt;&gt;"",IF(LEFT(INDEX(파견수련계획!$R$4:$R$803,$AF86),1)&lt;&gt;"⚠",INDEX(파견수련계획!$R$4:$R$803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$803,0),IFERROR(MATCH(TRIM($J86&amp;"")&amp;"|파견예정",파견수련계획!$Y$4:$Y$803,0),IFERROR(MATCH(TRIM($J86&amp;"")&amp;"|파견종료",파견수련계획!$Y$4:$Y$803,0),""))))</f>
        <v/>
      </c>
      <c r="AG86" s="10">
        <f>IF($B86="","",IF(AND(IF(OR($AC86="",인턴현황!$K$2=""),"",INDEX(인턴근무계획!$M$3:$R$402,$AC86,인턴현황!$K$2)&amp;"")&lt;&gt;"",LEFT(IF(OR($AC86="",인턴현황!$K$2=""),"",INDEX(인턴근무계획!$M$3:$R$402,$AC86,인턴현황!$K$2)&amp;""),1)&lt;&gt;"⚠"),LEFT(IF(OR($AC86="",인턴현황!$K$2=""),"",INDEX(인턴근무계획!$M$3:$R$402,$AC86,인턴현황!$K$2)&amp;""),FIND(" ",IF(OR($AC86="",인턴현황!$K$2=""),"",INDEX(인턴근무계획!$M$3:$R$402,$AC86,인턴현황!$K$2)&amp;""))-1),$AE86))</f>
        <v/>
      </c>
      <c r="AH86" s="17">
        <f>IF($B86="","",IF(TRIM($J86&amp;"")="",0,SUMPRODUCT((파견수련계획!$Q$4:$Q$803=TRIM($J86&amp;""))*(파견수련계획!$S$4:$S$803="서울병원")*파견수련계획!$W$4:$W$803))+IF($AG86="서울병원",MAX(0,DAY(EOMONTH(요약!$B$3,0))-N($X86)),0))</f>
        <v/>
      </c>
      <c r="AI86" s="17">
        <f>IF($B86="","",IF(TRIM($J86&amp;"")="",0,SUMPRODUCT((파견수련계획!$Q$4:$Q$803=TRIM($J86&amp;""))*(파견수련계획!$S$4:$S$803="구리병원")*파견수련계획!$W$4:$W$803))+IF($AG86="구리병원",MAX(0,DAY(EOMONTH(요약!$B$3,0))-N($X86)),0))</f>
        <v/>
      </c>
      <c r="AJ86" s="10">
        <f>IF(OR($B86="",TRIM($J86&amp;"")=""),"",IFERROR(MATCH(TRIM($J86&amp;"")&amp;"|월",파견수련계획!$Z$4:$Z$803,0),""))</f>
        <v/>
      </c>
      <c r="AK86" s="10">
        <f>IF(OR($B86="",TRIM($J86&amp;"")=""),"",IFERROR(MATCH(TRIM($J86&amp;"")&amp;"|다기관",파견수련계획!$AE$4:$AE$803,0),""))</f>
        <v/>
      </c>
      <c r="AL86" s="10">
        <f>IF($AK86="","","다기관 "&amp;TEXT(INDEX(파견수련계획!$AB$4:$AB$803,$AK86),"yyyy-mm-dd")&amp;"~"&amp;IF(ISNUMBER(INDEX(파견수련계획!$AC$4:$AC$803,$AK86)),TEXT(INDEX(파견수련계획!$AC$4:$AC$803,$AK86),"yyyy-mm-dd"),""))</f>
        <v/>
      </c>
    </row>
    <row r="87">
      <c r="A87" s="10">
        <f>IF(B87="","",ROW()-1)</f>
        <v/>
      </c>
      <c r="B87" s="18" t="n"/>
      <c r="C87" s="10">
        <f>IF($AB87="","",IF(INDEX(기본자료!$C$2:$C$1001,$AB87)="","",INDEX(기본자료!$C$2:$C$1001,$AB87)))</f>
        <v/>
      </c>
      <c r="D87" s="10">
        <f>IF($AB87="","",IF(INDEX(기본자료!$J$2:$J$1001,$AB87)="","",INDEX(기본자료!$J$2:$J$1001,$AB87)))</f>
        <v/>
      </c>
      <c r="E87" s="11">
        <f>IF($AB87="","",IF(INDEX(기본자료!$K$2:$K$1001,$AB87)="","",IF(NOT(ISNUMBER(INDEX(기본자료!$K$2:$K$1001,$AB87))),INDEX(기본자료!$K$2:$K$1001,$AB87),IF(INDEX(기본자료!$K$2:$K$1001,$AB87)&lt;1000000,INDEX(기본자료!$K$2:$K$1001,$AB87),IF(AND(INDEX(기본자료!$K$2:$K$1001,$AB87)&gt;=10000101,INT(MOD(INDEX(기본자료!$K$2:$K$1001,$AB87),10000)/100)&gt;=1,INT(MOD(INDEX(기본자료!$K$2:$K$1001,$AB87),10000)/100)&lt;=12,MOD(INDEX(기본자료!$K$2:$K$1001,$AB87),100)&gt;=1,MOD(INDEX(기본자료!$K$2:$K$1001,$AB87),100)&lt;=31),DATE(INT(INDEX(기본자료!$K$2:$K$1001,$AB87)/10000),INT(MOD(INDEX(기본자료!$K$2:$K$1001,$AB87),10000)/100),MOD(INDEX(기본자료!$K$2:$K$1001,$AB87),100)),INDEX(기본자료!$K$2:$K$1001,$AB87)&amp;"")))))</f>
        <v/>
      </c>
      <c r="F87" s="10">
        <f>IF($AB87="","",IF(INDEX(기본자료!$D$2:$D$1001,$AB87)="","",INDEX(기본자료!$D$2:$D$1001,$AB87)))</f>
        <v/>
      </c>
      <c r="G87" s="10">
        <f>IF($AB87="","",IF(INDEX(기본자료!$E$2:$E$1001,$AB87)="","",INDEX(기본자료!$E$2:$E$1001,$AB87)))</f>
        <v/>
      </c>
      <c r="H87" s="10">
        <f>IF($AB87="","",IF(INDEX(기본자료!$F$2:$F$1001,$AB87)="","",INDEX(기본자료!$F$2:$F$1001,$AB87)))</f>
        <v/>
      </c>
      <c r="I87" s="11">
        <f>IF($AB87="","",IF(INDEX(기본자료!$G$2:$G$1001,$AB87)="","",IF(NOT(ISNUMBER(INDEX(기본자료!$G$2:$G$1001,$AB87))),INDEX(기본자료!$G$2:$G$1001,$AB87),IF(INDEX(기본자료!$G$2:$G$1001,$AB87)&lt;1000000,INDEX(기본자료!$G$2:$G$1001,$AB87),IF(AND(INDEX(기본자료!$G$2:$G$1001,$AB87)&gt;=10000101,INT(MOD(INDEX(기본자료!$G$2:$G$1001,$AB87),10000)/100)&gt;=1,INT(MOD(INDEX(기본자료!$G$2:$G$1001,$AB87),10000)/100)&lt;=12,MOD(INDEX(기본자료!$G$2:$G$1001,$AB87),100)&gt;=1,MOD(INDEX(기본자료!$G$2:$G$1001,$AB87),100)&lt;=31),DATE(INT(INDEX(기본자료!$G$2:$G$1001,$AB87)/10000),INT(MOD(INDEX(기본자료!$G$2:$G$1001,$AB87),10000)/100),MOD(INDEX(기본자료!$G$2:$G$1001,$AB87),100)),INDEX(기본자료!$G$2:$G$1001,$AB87)&amp;"")))))</f>
        <v/>
      </c>
      <c r="J87" s="10">
        <f>IF($AB87="","",IF(INDEX(기본자료!$H$2:$H$1001,$AB87)="","",INDEX(기본자료!$H$2:$H$1001,$AB87)))</f>
        <v/>
      </c>
      <c r="K87" s="10">
        <f>IF($AB87="","",IF(INDEX(기본자료!$I$2:$I$1001,$AB87)="","",INDEX(기본자료!$I$2:$I$1001,$AB87)))</f>
        <v/>
      </c>
      <c r="L87" s="10">
        <f>IF($AB87="","",IF(INDEX(기본자료!$A$2:$A$1001,$AB87)="","",INDEX(기본자료!$A$2:$A$1001,$AB87)))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파견수련계획!$AB$4:$AB$803,$AK87),OR(NOT(ISNUMBER(INDEX(파견수련계획!$AC$4:$AC$803,$AK87))),TODAY()&lt;=INDEX(파견수련계획!$AC$4:$AC$803,$AK87))),"다기관",IF($AF87="","",INDEX(파견수련계획!$T$4:$T$803,$AF87))),IF($AF87="","",INDEX(파견수련계획!$T$4:$T$803,$AF87))))</f>
        <v/>
      </c>
      <c r="Q87" s="10">
        <f>IF($AF87="","",INDEX(파견수련계획!$S$4:$S$803,$AF87))</f>
        <v/>
      </c>
      <c r="R87" s="10">
        <f>IF($AF87="","",INDEX(파견수련계획!$U$4:$U$803,$AF87))</f>
        <v/>
      </c>
      <c r="S87" s="11">
        <f>IF($AF87="","",IF(INDEX(파견수련계획!$H$4:$H$803,$AF87)="","",INDEX(파견수련계획!$H$4:$H$803,$AF87)))</f>
        <v/>
      </c>
      <c r="T87" s="11">
        <f>IF($AF87="","",IF(INDEX(파견수련계획!$I$4:$I$803,$AF87)="","",INDEX(파견수련계획!$I$4:$I$803,$AF87)))</f>
        <v/>
      </c>
      <c r="U87" s="10">
        <f>IF($AF87="","",INDEX(파견수련계획!$X$4:$X$803,$AF87))</f>
        <v/>
      </c>
      <c r="V87" s="17">
        <f>IF($AF87="","",INDEX(파견수련계획!$V$4:$V$803,$AF87))</f>
        <v/>
      </c>
      <c r="W87" s="17">
        <f>IF(AND($U87="파견중",$T87&lt;&gt;""),$T87-TODAY(),"")</f>
        <v/>
      </c>
      <c r="X87" s="17">
        <f>IF(OR($B87="",TRIM($J87&amp;"")=""),"",SUMPRODUCT((파견수련계획!$Q$4:$Q$803=TRIM($J87&amp;""))*파견수련계획!$W$4:$W$803))</f>
        <v/>
      </c>
      <c r="Y87" s="10">
        <f>IF($B87="","",IF($AG87="","",IF(IF(TRIM($J87&amp;"")="",0,SUMPRODUCT((파견수련계획!$Q$4:$Q$803=TRIM($J87&amp;""))*파견수련계획!$AD$4:$AD$803))&gt;0,$AE87,IF(N($X87)&lt;=0,$AG87,IF($AH87+$AI87=DAY(EOMONTH(요약!$B$3,0)),IF(AND($AH87&gt;=요약!$E$3,$AI87&lt;요약!$E$3),"서울병원",IF(AND($AI87&gt;=요약!$E$3,$AH87&lt;요약!$E$3),"구리병원","⚠15일 판정불가(서울 "&amp;$AH87&amp;"일/구리 "&amp;$AI87&amp;"일)")),IF($AJ87="",$AE87,IF(INDEX(파견수련계획!$T$4:$T$803,$AJ87)="통합수련",INDEX(파견수련계획!$S$4:$S$803,$AJ87),$AE87)))))))</f>
        <v/>
      </c>
      <c r="Z87" s="19">
        <f>IF($B87="","",IF($AB87="","기본자료에 없는 사번",IF(COUNTIF($B$2:$B$401,$B87)&gt;1,"중복 사번",IF($AE87="","소속(입사장소) 입력",IF(IF(TRIM($J87&amp;"")="",0,SUMPRODUCT((파견수련계획!$Q$4:$Q$803=TRIM($J87&amp;""))*(파견수련계획!$AA$4:$AA$803&lt;&gt;"")))&gt;0,"파견수련계획 입력오류 확인",IF(LEFT($Y87,1)="⚠","서울·구리 15일 판정 불가(양쪽 모두 이상/미만)",IF(IF($AC87="",0,N(INDEX(인턴근무계획!$T$3:$T$402,$AC87)))&gt;0,"인턴계획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IF($B87="","",IFERROR(MATCH($B87,기본자료!$B$2:$B$1001,0),IFERROR(MATCH($B87&amp;"",기본자료!$B$2:$B$1001,0),IFERROR(MATCH(VALUE($B87),기본자료!$B$2:$B$1001,0),""))))</f>
        <v/>
      </c>
      <c r="AC87" s="10">
        <f>IF($B87="","",IFERROR(MATCH($B87,인턴근무계획!$D$3:$D$402,0),IFERROR(MATCH($B87&amp;"",인턴근무계획!$D$3:$D$402,0),IFERROR(MATCH(VALUE($B87),인턴근무계획!$D$3:$D$402,0),""))))</f>
        <v/>
      </c>
      <c r="AD87" s="10">
        <f>IF(OR($AC87="",인턴현황!$G$3=""),"",INDEX(인턴근무계획!$M$3:$R$402,$AC87,인턴현황!$G$3)&amp;"")</f>
        <v/>
      </c>
      <c r="AE87" s="10">
        <f>IF($B87="","",IF($M87&lt;&gt;"",$M87,IF($AF87&lt;&gt;"",IF(LEFT(INDEX(파견수련계획!$R$4:$R$803,$AF87),1)&lt;&gt;"⚠",INDEX(파견수련계획!$R$4:$R$803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$803,0),IFERROR(MATCH(TRIM($J87&amp;"")&amp;"|파견예정",파견수련계획!$Y$4:$Y$803,0),IFERROR(MATCH(TRIM($J87&amp;"")&amp;"|파견종료",파견수련계획!$Y$4:$Y$803,0),""))))</f>
        <v/>
      </c>
      <c r="AG87" s="10">
        <f>IF($B87="","",IF(AND(IF(OR($AC87="",인턴현황!$K$2=""),"",INDEX(인턴근무계획!$M$3:$R$402,$AC87,인턴현황!$K$2)&amp;"")&lt;&gt;"",LEFT(IF(OR($AC87="",인턴현황!$K$2=""),"",INDEX(인턴근무계획!$M$3:$R$402,$AC87,인턴현황!$K$2)&amp;""),1)&lt;&gt;"⚠"),LEFT(IF(OR($AC87="",인턴현황!$K$2=""),"",INDEX(인턴근무계획!$M$3:$R$402,$AC87,인턴현황!$K$2)&amp;""),FIND(" ",IF(OR($AC87="",인턴현황!$K$2=""),"",INDEX(인턴근무계획!$M$3:$R$402,$AC87,인턴현황!$K$2)&amp;""))-1),$AE87))</f>
        <v/>
      </c>
      <c r="AH87" s="17">
        <f>IF($B87="","",IF(TRIM($J87&amp;"")="",0,SUMPRODUCT((파견수련계획!$Q$4:$Q$803=TRIM($J87&amp;""))*(파견수련계획!$S$4:$S$803="서울병원")*파견수련계획!$W$4:$W$803))+IF($AG87="서울병원",MAX(0,DAY(EOMONTH(요약!$B$3,0))-N($X87)),0))</f>
        <v/>
      </c>
      <c r="AI87" s="17">
        <f>IF($B87="","",IF(TRIM($J87&amp;"")="",0,SUMPRODUCT((파견수련계획!$Q$4:$Q$803=TRIM($J87&amp;""))*(파견수련계획!$S$4:$S$803="구리병원")*파견수련계획!$W$4:$W$803))+IF($AG87="구리병원",MAX(0,DAY(EOMONTH(요약!$B$3,0))-N($X87)),0))</f>
        <v/>
      </c>
      <c r="AJ87" s="10">
        <f>IF(OR($B87="",TRIM($J87&amp;"")=""),"",IFERROR(MATCH(TRIM($J87&amp;"")&amp;"|월",파견수련계획!$Z$4:$Z$803,0),""))</f>
        <v/>
      </c>
      <c r="AK87" s="10">
        <f>IF(OR($B87="",TRIM($J87&amp;"")=""),"",IFERROR(MATCH(TRIM($J87&amp;"")&amp;"|다기관",파견수련계획!$AE$4:$AE$803,0),""))</f>
        <v/>
      </c>
      <c r="AL87" s="10">
        <f>IF($AK87="","","다기관 "&amp;TEXT(INDEX(파견수련계획!$AB$4:$AB$803,$AK87),"yyyy-mm-dd")&amp;"~"&amp;IF(ISNUMBER(INDEX(파견수련계획!$AC$4:$AC$803,$AK87)),TEXT(INDEX(파견수련계획!$AC$4:$AC$803,$AK87),"yyyy-mm-dd"),""))</f>
        <v/>
      </c>
    </row>
    <row r="88">
      <c r="A88" s="10">
        <f>IF(B88="","",ROW()-1)</f>
        <v/>
      </c>
      <c r="B88" s="18" t="n"/>
      <c r="C88" s="10">
        <f>IF($AB88="","",IF(INDEX(기본자료!$C$2:$C$1001,$AB88)="","",INDEX(기본자료!$C$2:$C$1001,$AB88)))</f>
        <v/>
      </c>
      <c r="D88" s="10">
        <f>IF($AB88="","",IF(INDEX(기본자료!$J$2:$J$1001,$AB88)="","",INDEX(기본자료!$J$2:$J$1001,$AB88)))</f>
        <v/>
      </c>
      <c r="E88" s="11">
        <f>IF($AB88="","",IF(INDEX(기본자료!$K$2:$K$1001,$AB88)="","",IF(NOT(ISNUMBER(INDEX(기본자료!$K$2:$K$1001,$AB88))),INDEX(기본자료!$K$2:$K$1001,$AB88),IF(INDEX(기본자료!$K$2:$K$1001,$AB88)&lt;1000000,INDEX(기본자료!$K$2:$K$1001,$AB88),IF(AND(INDEX(기본자료!$K$2:$K$1001,$AB88)&gt;=10000101,INT(MOD(INDEX(기본자료!$K$2:$K$1001,$AB88),10000)/100)&gt;=1,INT(MOD(INDEX(기본자료!$K$2:$K$1001,$AB88),10000)/100)&lt;=12,MOD(INDEX(기본자료!$K$2:$K$1001,$AB88),100)&gt;=1,MOD(INDEX(기본자료!$K$2:$K$1001,$AB88),100)&lt;=31),DATE(INT(INDEX(기본자료!$K$2:$K$1001,$AB88)/10000),INT(MOD(INDEX(기본자료!$K$2:$K$1001,$AB88),10000)/100),MOD(INDEX(기본자료!$K$2:$K$1001,$AB88),100)),INDEX(기본자료!$K$2:$K$1001,$AB88)&amp;"")))))</f>
        <v/>
      </c>
      <c r="F88" s="10">
        <f>IF($AB88="","",IF(INDEX(기본자료!$D$2:$D$1001,$AB88)="","",INDEX(기본자료!$D$2:$D$1001,$AB88)))</f>
        <v/>
      </c>
      <c r="G88" s="10">
        <f>IF($AB88="","",IF(INDEX(기본자료!$E$2:$E$1001,$AB88)="","",INDEX(기본자료!$E$2:$E$1001,$AB88)))</f>
        <v/>
      </c>
      <c r="H88" s="10">
        <f>IF($AB88="","",IF(INDEX(기본자료!$F$2:$F$1001,$AB88)="","",INDEX(기본자료!$F$2:$F$1001,$AB88)))</f>
        <v/>
      </c>
      <c r="I88" s="11">
        <f>IF($AB88="","",IF(INDEX(기본자료!$G$2:$G$1001,$AB88)="","",IF(NOT(ISNUMBER(INDEX(기본자료!$G$2:$G$1001,$AB88))),INDEX(기본자료!$G$2:$G$1001,$AB88),IF(INDEX(기본자료!$G$2:$G$1001,$AB88)&lt;1000000,INDEX(기본자료!$G$2:$G$1001,$AB88),IF(AND(INDEX(기본자료!$G$2:$G$1001,$AB88)&gt;=10000101,INT(MOD(INDEX(기본자료!$G$2:$G$1001,$AB88),10000)/100)&gt;=1,INT(MOD(INDEX(기본자료!$G$2:$G$1001,$AB88),10000)/100)&lt;=12,MOD(INDEX(기본자료!$G$2:$G$1001,$AB88),100)&gt;=1,MOD(INDEX(기본자료!$G$2:$G$1001,$AB88),100)&lt;=31),DATE(INT(INDEX(기본자료!$G$2:$G$1001,$AB88)/10000),INT(MOD(INDEX(기본자료!$G$2:$G$1001,$AB88),10000)/100),MOD(INDEX(기본자료!$G$2:$G$1001,$AB88),100)),INDEX(기본자료!$G$2:$G$1001,$AB88)&amp;"")))))</f>
        <v/>
      </c>
      <c r="J88" s="10">
        <f>IF($AB88="","",IF(INDEX(기본자료!$H$2:$H$1001,$AB88)="","",INDEX(기본자료!$H$2:$H$1001,$AB88)))</f>
        <v/>
      </c>
      <c r="K88" s="10">
        <f>IF($AB88="","",IF(INDEX(기본자료!$I$2:$I$1001,$AB88)="","",INDEX(기본자료!$I$2:$I$1001,$AB88)))</f>
        <v/>
      </c>
      <c r="L88" s="10">
        <f>IF($AB88="","",IF(INDEX(기본자료!$A$2:$A$1001,$AB88)="","",INDEX(기본자료!$A$2:$A$1001,$AB88)))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파견수련계획!$AB$4:$AB$803,$AK88),OR(NOT(ISNUMBER(INDEX(파견수련계획!$AC$4:$AC$803,$AK88))),TODAY()&lt;=INDEX(파견수련계획!$AC$4:$AC$803,$AK88))),"다기관",IF($AF88="","",INDEX(파견수련계획!$T$4:$T$803,$AF88))),IF($AF88="","",INDEX(파견수련계획!$T$4:$T$803,$AF88))))</f>
        <v/>
      </c>
      <c r="Q88" s="10">
        <f>IF($AF88="","",INDEX(파견수련계획!$S$4:$S$803,$AF88))</f>
        <v/>
      </c>
      <c r="R88" s="10">
        <f>IF($AF88="","",INDEX(파견수련계획!$U$4:$U$803,$AF88))</f>
        <v/>
      </c>
      <c r="S88" s="11">
        <f>IF($AF88="","",IF(INDEX(파견수련계획!$H$4:$H$803,$AF88)="","",INDEX(파견수련계획!$H$4:$H$803,$AF88)))</f>
        <v/>
      </c>
      <c r="T88" s="11">
        <f>IF($AF88="","",IF(INDEX(파견수련계획!$I$4:$I$803,$AF88)="","",INDEX(파견수련계획!$I$4:$I$803,$AF88)))</f>
        <v/>
      </c>
      <c r="U88" s="10">
        <f>IF($AF88="","",INDEX(파견수련계획!$X$4:$X$803,$AF88))</f>
        <v/>
      </c>
      <c r="V88" s="17">
        <f>IF($AF88="","",INDEX(파견수련계획!$V$4:$V$803,$AF88))</f>
        <v/>
      </c>
      <c r="W88" s="17">
        <f>IF(AND($U88="파견중",$T88&lt;&gt;""),$T88-TODAY(),"")</f>
        <v/>
      </c>
      <c r="X88" s="17">
        <f>IF(OR($B88="",TRIM($J88&amp;"")=""),"",SUMPRODUCT((파견수련계획!$Q$4:$Q$803=TRIM($J88&amp;""))*파견수련계획!$W$4:$W$803))</f>
        <v/>
      </c>
      <c r="Y88" s="10">
        <f>IF($B88="","",IF($AG88="","",IF(IF(TRIM($J88&amp;"")="",0,SUMPRODUCT((파견수련계획!$Q$4:$Q$803=TRIM($J88&amp;""))*파견수련계획!$AD$4:$AD$803))&gt;0,$AE88,IF(N($X88)&lt;=0,$AG88,IF($AH88+$AI88=DAY(EOMONTH(요약!$B$3,0)),IF(AND($AH88&gt;=요약!$E$3,$AI88&lt;요약!$E$3),"서울병원",IF(AND($AI88&gt;=요약!$E$3,$AH88&lt;요약!$E$3),"구리병원","⚠15일 판정불가(서울 "&amp;$AH88&amp;"일/구리 "&amp;$AI88&amp;"일)")),IF($AJ88="",$AE88,IF(INDEX(파견수련계획!$T$4:$T$803,$AJ88)="통합수련",INDEX(파견수련계획!$S$4:$S$803,$AJ88),$AE88)))))))</f>
        <v/>
      </c>
      <c r="Z88" s="19">
        <f>IF($B88="","",IF($AB88="","기본자료에 없는 사번",IF(COUNTIF($B$2:$B$401,$B88)&gt;1,"중복 사번",IF($AE88="","소속(입사장소) 입력",IF(IF(TRIM($J88&amp;"")="",0,SUMPRODUCT((파견수련계획!$Q$4:$Q$803=TRIM($J88&amp;""))*(파견수련계획!$AA$4:$AA$803&lt;&gt;"")))&gt;0,"파견수련계획 입력오류 확인",IF(LEFT($Y88,1)="⚠","서울·구리 15일 판정 불가(양쪽 모두 이상/미만)",IF(IF($AC88="",0,N(INDEX(인턴근무계획!$T$3:$T$402,$AC88)))&gt;0,"인턴계획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IF($B88="","",IFERROR(MATCH($B88,기본자료!$B$2:$B$1001,0),IFERROR(MATCH($B88&amp;"",기본자료!$B$2:$B$1001,0),IFERROR(MATCH(VALUE($B88),기본자료!$B$2:$B$1001,0),""))))</f>
        <v/>
      </c>
      <c r="AC88" s="10">
        <f>IF($B88="","",IFERROR(MATCH($B88,인턴근무계획!$D$3:$D$402,0),IFERROR(MATCH($B88&amp;"",인턴근무계획!$D$3:$D$402,0),IFERROR(MATCH(VALUE($B88),인턴근무계획!$D$3:$D$402,0),""))))</f>
        <v/>
      </c>
      <c r="AD88" s="10">
        <f>IF(OR($AC88="",인턴현황!$G$3=""),"",INDEX(인턴근무계획!$M$3:$R$402,$AC88,인턴현황!$G$3)&amp;"")</f>
        <v/>
      </c>
      <c r="AE88" s="10">
        <f>IF($B88="","",IF($M88&lt;&gt;"",$M88,IF($AF88&lt;&gt;"",IF(LEFT(INDEX(파견수련계획!$R$4:$R$803,$AF88),1)&lt;&gt;"⚠",INDEX(파견수련계획!$R$4:$R$803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$803,0),IFERROR(MATCH(TRIM($J88&amp;"")&amp;"|파견예정",파견수련계획!$Y$4:$Y$803,0),IFERROR(MATCH(TRIM($J88&amp;"")&amp;"|파견종료",파견수련계획!$Y$4:$Y$803,0),""))))</f>
        <v/>
      </c>
      <c r="AG88" s="10">
        <f>IF($B88="","",IF(AND(IF(OR($AC88="",인턴현황!$K$2=""),"",INDEX(인턴근무계획!$M$3:$R$402,$AC88,인턴현황!$K$2)&amp;"")&lt;&gt;"",LEFT(IF(OR($AC88="",인턴현황!$K$2=""),"",INDEX(인턴근무계획!$M$3:$R$402,$AC88,인턴현황!$K$2)&amp;""),1)&lt;&gt;"⚠"),LEFT(IF(OR($AC88="",인턴현황!$K$2=""),"",INDEX(인턴근무계획!$M$3:$R$402,$AC88,인턴현황!$K$2)&amp;""),FIND(" ",IF(OR($AC88="",인턴현황!$K$2=""),"",INDEX(인턴근무계획!$M$3:$R$402,$AC88,인턴현황!$K$2)&amp;""))-1),$AE88))</f>
        <v/>
      </c>
      <c r="AH88" s="17">
        <f>IF($B88="","",IF(TRIM($J88&amp;"")="",0,SUMPRODUCT((파견수련계획!$Q$4:$Q$803=TRIM($J88&amp;""))*(파견수련계획!$S$4:$S$803="서울병원")*파견수련계획!$W$4:$W$803))+IF($AG88="서울병원",MAX(0,DAY(EOMONTH(요약!$B$3,0))-N($X88)),0))</f>
        <v/>
      </c>
      <c r="AI88" s="17">
        <f>IF($B88="","",IF(TRIM($J88&amp;"")="",0,SUMPRODUCT((파견수련계획!$Q$4:$Q$803=TRIM($J88&amp;""))*(파견수련계획!$S$4:$S$803="구리병원")*파견수련계획!$W$4:$W$803))+IF($AG88="구리병원",MAX(0,DAY(EOMONTH(요약!$B$3,0))-N($X88)),0))</f>
        <v/>
      </c>
      <c r="AJ88" s="10">
        <f>IF(OR($B88="",TRIM($J88&amp;"")=""),"",IFERROR(MATCH(TRIM($J88&amp;"")&amp;"|월",파견수련계획!$Z$4:$Z$803,0),""))</f>
        <v/>
      </c>
      <c r="AK88" s="10">
        <f>IF(OR($B88="",TRIM($J88&amp;"")=""),"",IFERROR(MATCH(TRIM($J88&amp;"")&amp;"|다기관",파견수련계획!$AE$4:$AE$803,0),""))</f>
        <v/>
      </c>
      <c r="AL88" s="10">
        <f>IF($AK88="","","다기관 "&amp;TEXT(INDEX(파견수련계획!$AB$4:$AB$803,$AK88),"yyyy-mm-dd")&amp;"~"&amp;IF(ISNUMBER(INDEX(파견수련계획!$AC$4:$AC$803,$AK88)),TEXT(INDEX(파견수련계획!$AC$4:$AC$803,$AK88),"yyyy-mm-dd"),""))</f>
        <v/>
      </c>
    </row>
    <row r="89">
      <c r="A89" s="10">
        <f>IF(B89="","",ROW()-1)</f>
        <v/>
      </c>
      <c r="B89" s="18" t="n"/>
      <c r="C89" s="10">
        <f>IF($AB89="","",IF(INDEX(기본자료!$C$2:$C$1001,$AB89)="","",INDEX(기본자료!$C$2:$C$1001,$AB89)))</f>
        <v/>
      </c>
      <c r="D89" s="10">
        <f>IF($AB89="","",IF(INDEX(기본자료!$J$2:$J$1001,$AB89)="","",INDEX(기본자료!$J$2:$J$1001,$AB89)))</f>
        <v/>
      </c>
      <c r="E89" s="11">
        <f>IF($AB89="","",IF(INDEX(기본자료!$K$2:$K$1001,$AB89)="","",IF(NOT(ISNUMBER(INDEX(기본자료!$K$2:$K$1001,$AB89))),INDEX(기본자료!$K$2:$K$1001,$AB89),IF(INDEX(기본자료!$K$2:$K$1001,$AB89)&lt;1000000,INDEX(기본자료!$K$2:$K$1001,$AB89),IF(AND(INDEX(기본자료!$K$2:$K$1001,$AB89)&gt;=10000101,INT(MOD(INDEX(기본자료!$K$2:$K$1001,$AB89),10000)/100)&gt;=1,INT(MOD(INDEX(기본자료!$K$2:$K$1001,$AB89),10000)/100)&lt;=12,MOD(INDEX(기본자료!$K$2:$K$1001,$AB89),100)&gt;=1,MOD(INDEX(기본자료!$K$2:$K$1001,$AB89),100)&lt;=31),DATE(INT(INDEX(기본자료!$K$2:$K$1001,$AB89)/10000),INT(MOD(INDEX(기본자료!$K$2:$K$1001,$AB89),10000)/100),MOD(INDEX(기본자료!$K$2:$K$1001,$AB89),100)),INDEX(기본자료!$K$2:$K$1001,$AB89)&amp;"")))))</f>
        <v/>
      </c>
      <c r="F89" s="10">
        <f>IF($AB89="","",IF(INDEX(기본자료!$D$2:$D$1001,$AB89)="","",INDEX(기본자료!$D$2:$D$1001,$AB89)))</f>
        <v/>
      </c>
      <c r="G89" s="10">
        <f>IF($AB89="","",IF(INDEX(기본자료!$E$2:$E$1001,$AB89)="","",INDEX(기본자료!$E$2:$E$1001,$AB89)))</f>
        <v/>
      </c>
      <c r="H89" s="10">
        <f>IF($AB89="","",IF(INDEX(기본자료!$F$2:$F$1001,$AB89)="","",INDEX(기본자료!$F$2:$F$1001,$AB89)))</f>
        <v/>
      </c>
      <c r="I89" s="11">
        <f>IF($AB89="","",IF(INDEX(기본자료!$G$2:$G$1001,$AB89)="","",IF(NOT(ISNUMBER(INDEX(기본자료!$G$2:$G$1001,$AB89))),INDEX(기본자료!$G$2:$G$1001,$AB89),IF(INDEX(기본자료!$G$2:$G$1001,$AB89)&lt;1000000,INDEX(기본자료!$G$2:$G$1001,$AB89),IF(AND(INDEX(기본자료!$G$2:$G$1001,$AB89)&gt;=10000101,INT(MOD(INDEX(기본자료!$G$2:$G$1001,$AB89),10000)/100)&gt;=1,INT(MOD(INDEX(기본자료!$G$2:$G$1001,$AB89),10000)/100)&lt;=12,MOD(INDEX(기본자료!$G$2:$G$1001,$AB89),100)&gt;=1,MOD(INDEX(기본자료!$G$2:$G$1001,$AB89),100)&lt;=31),DATE(INT(INDEX(기본자료!$G$2:$G$1001,$AB89)/10000),INT(MOD(INDEX(기본자료!$G$2:$G$1001,$AB89),10000)/100),MOD(INDEX(기본자료!$G$2:$G$1001,$AB89),100)),INDEX(기본자료!$G$2:$G$1001,$AB89)&amp;"")))))</f>
        <v/>
      </c>
      <c r="J89" s="10">
        <f>IF($AB89="","",IF(INDEX(기본자료!$H$2:$H$1001,$AB89)="","",INDEX(기본자료!$H$2:$H$1001,$AB89)))</f>
        <v/>
      </c>
      <c r="K89" s="10">
        <f>IF($AB89="","",IF(INDEX(기본자료!$I$2:$I$1001,$AB89)="","",INDEX(기본자료!$I$2:$I$1001,$AB89)))</f>
        <v/>
      </c>
      <c r="L89" s="10">
        <f>IF($AB89="","",IF(INDEX(기본자료!$A$2:$A$1001,$AB89)="","",INDEX(기본자료!$A$2:$A$1001,$AB89)))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파견수련계획!$AB$4:$AB$803,$AK89),OR(NOT(ISNUMBER(INDEX(파견수련계획!$AC$4:$AC$803,$AK89))),TODAY()&lt;=INDEX(파견수련계획!$AC$4:$AC$803,$AK89))),"다기관",IF($AF89="","",INDEX(파견수련계획!$T$4:$T$803,$AF89))),IF($AF89="","",INDEX(파견수련계획!$T$4:$T$803,$AF89))))</f>
        <v/>
      </c>
      <c r="Q89" s="10">
        <f>IF($AF89="","",INDEX(파견수련계획!$S$4:$S$803,$AF89))</f>
        <v/>
      </c>
      <c r="R89" s="10">
        <f>IF($AF89="","",INDEX(파견수련계획!$U$4:$U$803,$AF89))</f>
        <v/>
      </c>
      <c r="S89" s="11">
        <f>IF($AF89="","",IF(INDEX(파견수련계획!$H$4:$H$803,$AF89)="","",INDEX(파견수련계획!$H$4:$H$803,$AF89)))</f>
        <v/>
      </c>
      <c r="T89" s="11">
        <f>IF($AF89="","",IF(INDEX(파견수련계획!$I$4:$I$803,$AF89)="","",INDEX(파견수련계획!$I$4:$I$803,$AF89)))</f>
        <v/>
      </c>
      <c r="U89" s="10">
        <f>IF($AF89="","",INDEX(파견수련계획!$X$4:$X$803,$AF89))</f>
        <v/>
      </c>
      <c r="V89" s="17">
        <f>IF($AF89="","",INDEX(파견수련계획!$V$4:$V$803,$AF89))</f>
        <v/>
      </c>
      <c r="W89" s="17">
        <f>IF(AND($U89="파견중",$T89&lt;&gt;""),$T89-TODAY(),"")</f>
        <v/>
      </c>
      <c r="X89" s="17">
        <f>IF(OR($B89="",TRIM($J89&amp;"")=""),"",SUMPRODUCT((파견수련계획!$Q$4:$Q$803=TRIM($J89&amp;""))*파견수련계획!$W$4:$W$803))</f>
        <v/>
      </c>
      <c r="Y89" s="10">
        <f>IF($B89="","",IF($AG89="","",IF(IF(TRIM($J89&amp;"")="",0,SUMPRODUCT((파견수련계획!$Q$4:$Q$803=TRIM($J89&amp;""))*파견수련계획!$AD$4:$AD$803))&gt;0,$AE89,IF(N($X89)&lt;=0,$AG89,IF($AH89+$AI89=DAY(EOMONTH(요약!$B$3,0)),IF(AND($AH89&gt;=요약!$E$3,$AI89&lt;요약!$E$3),"서울병원",IF(AND($AI89&gt;=요약!$E$3,$AH89&lt;요약!$E$3),"구리병원","⚠15일 판정불가(서울 "&amp;$AH89&amp;"일/구리 "&amp;$AI89&amp;"일)")),IF($AJ89="",$AE89,IF(INDEX(파견수련계획!$T$4:$T$803,$AJ89)="통합수련",INDEX(파견수련계획!$S$4:$S$803,$AJ89),$AE89)))))))</f>
        <v/>
      </c>
      <c r="Z89" s="19">
        <f>IF($B89="","",IF($AB89="","기본자료에 없는 사번",IF(COUNTIF($B$2:$B$401,$B89)&gt;1,"중복 사번",IF($AE89="","소속(입사장소) 입력",IF(IF(TRIM($J89&amp;"")="",0,SUMPRODUCT((파견수련계획!$Q$4:$Q$803=TRIM($J89&amp;""))*(파견수련계획!$AA$4:$AA$803&lt;&gt;"")))&gt;0,"파견수련계획 입력오류 확인",IF(LEFT($Y89,1)="⚠","서울·구리 15일 판정 불가(양쪽 모두 이상/미만)",IF(IF($AC89="",0,N(INDEX(인턴근무계획!$T$3:$T$402,$AC89)))&gt;0,"인턴계획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IF($B89="","",IFERROR(MATCH($B89,기본자료!$B$2:$B$1001,0),IFERROR(MATCH($B89&amp;"",기본자료!$B$2:$B$1001,0),IFERROR(MATCH(VALUE($B89),기본자료!$B$2:$B$1001,0),""))))</f>
        <v/>
      </c>
      <c r="AC89" s="10">
        <f>IF($B89="","",IFERROR(MATCH($B89,인턴근무계획!$D$3:$D$402,0),IFERROR(MATCH($B89&amp;"",인턴근무계획!$D$3:$D$402,0),IFERROR(MATCH(VALUE($B89),인턴근무계획!$D$3:$D$402,0),""))))</f>
        <v/>
      </c>
      <c r="AD89" s="10">
        <f>IF(OR($AC89="",인턴현황!$G$3=""),"",INDEX(인턴근무계획!$M$3:$R$402,$AC89,인턴현황!$G$3)&amp;"")</f>
        <v/>
      </c>
      <c r="AE89" s="10">
        <f>IF($B89="","",IF($M89&lt;&gt;"",$M89,IF($AF89&lt;&gt;"",IF(LEFT(INDEX(파견수련계획!$R$4:$R$803,$AF89),1)&lt;&gt;"⚠",INDEX(파견수련계획!$R$4:$R$803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$803,0),IFERROR(MATCH(TRIM($J89&amp;"")&amp;"|파견예정",파견수련계획!$Y$4:$Y$803,0),IFERROR(MATCH(TRIM($J89&amp;"")&amp;"|파견종료",파견수련계획!$Y$4:$Y$803,0),""))))</f>
        <v/>
      </c>
      <c r="AG89" s="10">
        <f>IF($B89="","",IF(AND(IF(OR($AC89="",인턴현황!$K$2=""),"",INDEX(인턴근무계획!$M$3:$R$402,$AC89,인턴현황!$K$2)&amp;"")&lt;&gt;"",LEFT(IF(OR($AC89="",인턴현황!$K$2=""),"",INDEX(인턴근무계획!$M$3:$R$402,$AC89,인턴현황!$K$2)&amp;""),1)&lt;&gt;"⚠"),LEFT(IF(OR($AC89="",인턴현황!$K$2=""),"",INDEX(인턴근무계획!$M$3:$R$402,$AC89,인턴현황!$K$2)&amp;""),FIND(" ",IF(OR($AC89="",인턴현황!$K$2=""),"",INDEX(인턴근무계획!$M$3:$R$402,$AC89,인턴현황!$K$2)&amp;""))-1),$AE89))</f>
        <v/>
      </c>
      <c r="AH89" s="17">
        <f>IF($B89="","",IF(TRIM($J89&amp;"")="",0,SUMPRODUCT((파견수련계획!$Q$4:$Q$803=TRIM($J89&amp;""))*(파견수련계획!$S$4:$S$803="서울병원")*파견수련계획!$W$4:$W$803))+IF($AG89="서울병원",MAX(0,DAY(EOMONTH(요약!$B$3,0))-N($X89)),0))</f>
        <v/>
      </c>
      <c r="AI89" s="17">
        <f>IF($B89="","",IF(TRIM($J89&amp;"")="",0,SUMPRODUCT((파견수련계획!$Q$4:$Q$803=TRIM($J89&amp;""))*(파견수련계획!$S$4:$S$803="구리병원")*파견수련계획!$W$4:$W$803))+IF($AG89="구리병원",MAX(0,DAY(EOMONTH(요약!$B$3,0))-N($X89)),0))</f>
        <v/>
      </c>
      <c r="AJ89" s="10">
        <f>IF(OR($B89="",TRIM($J89&amp;"")=""),"",IFERROR(MATCH(TRIM($J89&amp;"")&amp;"|월",파견수련계획!$Z$4:$Z$803,0),""))</f>
        <v/>
      </c>
      <c r="AK89" s="10">
        <f>IF(OR($B89="",TRIM($J89&amp;"")=""),"",IFERROR(MATCH(TRIM($J89&amp;"")&amp;"|다기관",파견수련계획!$AE$4:$AE$803,0),""))</f>
        <v/>
      </c>
      <c r="AL89" s="10">
        <f>IF($AK89="","","다기관 "&amp;TEXT(INDEX(파견수련계획!$AB$4:$AB$803,$AK89),"yyyy-mm-dd")&amp;"~"&amp;IF(ISNUMBER(INDEX(파견수련계획!$AC$4:$AC$803,$AK89)),TEXT(INDEX(파견수련계획!$AC$4:$AC$803,$AK89),"yyyy-mm-dd"),""))</f>
        <v/>
      </c>
    </row>
    <row r="90">
      <c r="A90" s="10">
        <f>IF(B90="","",ROW()-1)</f>
        <v/>
      </c>
      <c r="B90" s="18" t="n"/>
      <c r="C90" s="10">
        <f>IF($AB90="","",IF(INDEX(기본자료!$C$2:$C$1001,$AB90)="","",INDEX(기본자료!$C$2:$C$1001,$AB90)))</f>
        <v/>
      </c>
      <c r="D90" s="10">
        <f>IF($AB90="","",IF(INDEX(기본자료!$J$2:$J$1001,$AB90)="","",INDEX(기본자료!$J$2:$J$1001,$AB90)))</f>
        <v/>
      </c>
      <c r="E90" s="11">
        <f>IF($AB90="","",IF(INDEX(기본자료!$K$2:$K$1001,$AB90)="","",IF(NOT(ISNUMBER(INDEX(기본자료!$K$2:$K$1001,$AB90))),INDEX(기본자료!$K$2:$K$1001,$AB90),IF(INDEX(기본자료!$K$2:$K$1001,$AB90)&lt;1000000,INDEX(기본자료!$K$2:$K$1001,$AB90),IF(AND(INDEX(기본자료!$K$2:$K$1001,$AB90)&gt;=10000101,INT(MOD(INDEX(기본자료!$K$2:$K$1001,$AB90),10000)/100)&gt;=1,INT(MOD(INDEX(기본자료!$K$2:$K$1001,$AB90),10000)/100)&lt;=12,MOD(INDEX(기본자료!$K$2:$K$1001,$AB90),100)&gt;=1,MOD(INDEX(기본자료!$K$2:$K$1001,$AB90),100)&lt;=31),DATE(INT(INDEX(기본자료!$K$2:$K$1001,$AB90)/10000),INT(MOD(INDEX(기본자료!$K$2:$K$1001,$AB90),10000)/100),MOD(INDEX(기본자료!$K$2:$K$1001,$AB90),100)),INDEX(기본자료!$K$2:$K$1001,$AB90)&amp;"")))))</f>
        <v/>
      </c>
      <c r="F90" s="10">
        <f>IF($AB90="","",IF(INDEX(기본자료!$D$2:$D$1001,$AB90)="","",INDEX(기본자료!$D$2:$D$1001,$AB90)))</f>
        <v/>
      </c>
      <c r="G90" s="10">
        <f>IF($AB90="","",IF(INDEX(기본자료!$E$2:$E$1001,$AB90)="","",INDEX(기본자료!$E$2:$E$1001,$AB90)))</f>
        <v/>
      </c>
      <c r="H90" s="10">
        <f>IF($AB90="","",IF(INDEX(기본자료!$F$2:$F$1001,$AB90)="","",INDEX(기본자료!$F$2:$F$1001,$AB90)))</f>
        <v/>
      </c>
      <c r="I90" s="11">
        <f>IF($AB90="","",IF(INDEX(기본자료!$G$2:$G$1001,$AB90)="","",IF(NOT(ISNUMBER(INDEX(기본자료!$G$2:$G$1001,$AB90))),INDEX(기본자료!$G$2:$G$1001,$AB90),IF(INDEX(기본자료!$G$2:$G$1001,$AB90)&lt;1000000,INDEX(기본자료!$G$2:$G$1001,$AB90),IF(AND(INDEX(기본자료!$G$2:$G$1001,$AB90)&gt;=10000101,INT(MOD(INDEX(기본자료!$G$2:$G$1001,$AB90),10000)/100)&gt;=1,INT(MOD(INDEX(기본자료!$G$2:$G$1001,$AB90),10000)/100)&lt;=12,MOD(INDEX(기본자료!$G$2:$G$1001,$AB90),100)&gt;=1,MOD(INDEX(기본자료!$G$2:$G$1001,$AB90),100)&lt;=31),DATE(INT(INDEX(기본자료!$G$2:$G$1001,$AB90)/10000),INT(MOD(INDEX(기본자료!$G$2:$G$1001,$AB90),10000)/100),MOD(INDEX(기본자료!$G$2:$G$1001,$AB90),100)),INDEX(기본자료!$G$2:$G$1001,$AB90)&amp;"")))))</f>
        <v/>
      </c>
      <c r="J90" s="10">
        <f>IF($AB90="","",IF(INDEX(기본자료!$H$2:$H$1001,$AB90)="","",INDEX(기본자료!$H$2:$H$1001,$AB90)))</f>
        <v/>
      </c>
      <c r="K90" s="10">
        <f>IF($AB90="","",IF(INDEX(기본자료!$I$2:$I$1001,$AB90)="","",INDEX(기본자료!$I$2:$I$1001,$AB90)))</f>
        <v/>
      </c>
      <c r="L90" s="10">
        <f>IF($AB90="","",IF(INDEX(기본자료!$A$2:$A$1001,$AB90)="","",INDEX(기본자료!$A$2:$A$1001,$AB90)))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파견수련계획!$AB$4:$AB$803,$AK90),OR(NOT(ISNUMBER(INDEX(파견수련계획!$AC$4:$AC$803,$AK90))),TODAY()&lt;=INDEX(파견수련계획!$AC$4:$AC$803,$AK90))),"다기관",IF($AF90="","",INDEX(파견수련계획!$T$4:$T$803,$AF90))),IF($AF90="","",INDEX(파견수련계획!$T$4:$T$803,$AF90))))</f>
        <v/>
      </c>
      <c r="Q90" s="10">
        <f>IF($AF90="","",INDEX(파견수련계획!$S$4:$S$803,$AF90))</f>
        <v/>
      </c>
      <c r="R90" s="10">
        <f>IF($AF90="","",INDEX(파견수련계획!$U$4:$U$803,$AF90))</f>
        <v/>
      </c>
      <c r="S90" s="11">
        <f>IF($AF90="","",IF(INDEX(파견수련계획!$H$4:$H$803,$AF90)="","",INDEX(파견수련계획!$H$4:$H$803,$AF90)))</f>
        <v/>
      </c>
      <c r="T90" s="11">
        <f>IF($AF90="","",IF(INDEX(파견수련계획!$I$4:$I$803,$AF90)="","",INDEX(파견수련계획!$I$4:$I$803,$AF90)))</f>
        <v/>
      </c>
      <c r="U90" s="10">
        <f>IF($AF90="","",INDEX(파견수련계획!$X$4:$X$803,$AF90))</f>
        <v/>
      </c>
      <c r="V90" s="17">
        <f>IF($AF90="","",INDEX(파견수련계획!$V$4:$V$803,$AF90))</f>
        <v/>
      </c>
      <c r="W90" s="17">
        <f>IF(AND($U90="파견중",$T90&lt;&gt;""),$T90-TODAY(),"")</f>
        <v/>
      </c>
      <c r="X90" s="17">
        <f>IF(OR($B90="",TRIM($J90&amp;"")=""),"",SUMPRODUCT((파견수련계획!$Q$4:$Q$803=TRIM($J90&amp;""))*파견수련계획!$W$4:$W$803))</f>
        <v/>
      </c>
      <c r="Y90" s="10">
        <f>IF($B90="","",IF($AG90="","",IF(IF(TRIM($J90&amp;"")="",0,SUMPRODUCT((파견수련계획!$Q$4:$Q$803=TRIM($J90&amp;""))*파견수련계획!$AD$4:$AD$803))&gt;0,$AE90,IF(N($X90)&lt;=0,$AG90,IF($AH90+$AI90=DAY(EOMONTH(요약!$B$3,0)),IF(AND($AH90&gt;=요약!$E$3,$AI90&lt;요약!$E$3),"서울병원",IF(AND($AI90&gt;=요약!$E$3,$AH90&lt;요약!$E$3),"구리병원","⚠15일 판정불가(서울 "&amp;$AH90&amp;"일/구리 "&amp;$AI90&amp;"일)")),IF($AJ90="",$AE90,IF(INDEX(파견수련계획!$T$4:$T$803,$AJ90)="통합수련",INDEX(파견수련계획!$S$4:$S$803,$AJ90),$AE90)))))))</f>
        <v/>
      </c>
      <c r="Z90" s="19">
        <f>IF($B90="","",IF($AB90="","기본자료에 없는 사번",IF(COUNTIF($B$2:$B$401,$B90)&gt;1,"중복 사번",IF($AE90="","소속(입사장소) 입력",IF(IF(TRIM($J90&amp;"")="",0,SUMPRODUCT((파견수련계획!$Q$4:$Q$803=TRIM($J90&amp;""))*(파견수련계획!$AA$4:$AA$803&lt;&gt;"")))&gt;0,"파견수련계획 입력오류 확인",IF(LEFT($Y90,1)="⚠","서울·구리 15일 판정 불가(양쪽 모두 이상/미만)",IF(IF($AC90="",0,N(INDEX(인턴근무계획!$T$3:$T$402,$AC90)))&gt;0,"인턴계획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IF($B90="","",IFERROR(MATCH($B90,기본자료!$B$2:$B$1001,0),IFERROR(MATCH($B90&amp;"",기본자료!$B$2:$B$1001,0),IFERROR(MATCH(VALUE($B90),기본자료!$B$2:$B$1001,0),""))))</f>
        <v/>
      </c>
      <c r="AC90" s="10">
        <f>IF($B90="","",IFERROR(MATCH($B90,인턴근무계획!$D$3:$D$402,0),IFERROR(MATCH($B90&amp;"",인턴근무계획!$D$3:$D$402,0),IFERROR(MATCH(VALUE($B90),인턴근무계획!$D$3:$D$402,0),""))))</f>
        <v/>
      </c>
      <c r="AD90" s="10">
        <f>IF(OR($AC90="",인턴현황!$G$3=""),"",INDEX(인턴근무계획!$M$3:$R$402,$AC90,인턴현황!$G$3)&amp;"")</f>
        <v/>
      </c>
      <c r="AE90" s="10">
        <f>IF($B90="","",IF($M90&lt;&gt;"",$M90,IF($AF90&lt;&gt;"",IF(LEFT(INDEX(파견수련계획!$R$4:$R$803,$AF90),1)&lt;&gt;"⚠",INDEX(파견수련계획!$R$4:$R$803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$803,0),IFERROR(MATCH(TRIM($J90&amp;"")&amp;"|파견예정",파견수련계획!$Y$4:$Y$803,0),IFERROR(MATCH(TRIM($J90&amp;"")&amp;"|파견종료",파견수련계획!$Y$4:$Y$803,0),""))))</f>
        <v/>
      </c>
      <c r="AG90" s="10">
        <f>IF($B90="","",IF(AND(IF(OR($AC90="",인턴현황!$K$2=""),"",INDEX(인턴근무계획!$M$3:$R$402,$AC90,인턴현황!$K$2)&amp;"")&lt;&gt;"",LEFT(IF(OR($AC90="",인턴현황!$K$2=""),"",INDEX(인턴근무계획!$M$3:$R$402,$AC90,인턴현황!$K$2)&amp;""),1)&lt;&gt;"⚠"),LEFT(IF(OR($AC90="",인턴현황!$K$2=""),"",INDEX(인턴근무계획!$M$3:$R$402,$AC90,인턴현황!$K$2)&amp;""),FIND(" ",IF(OR($AC90="",인턴현황!$K$2=""),"",INDEX(인턴근무계획!$M$3:$R$402,$AC90,인턴현황!$K$2)&amp;""))-1),$AE90))</f>
        <v/>
      </c>
      <c r="AH90" s="17">
        <f>IF($B90="","",IF(TRIM($J90&amp;"")="",0,SUMPRODUCT((파견수련계획!$Q$4:$Q$803=TRIM($J90&amp;""))*(파견수련계획!$S$4:$S$803="서울병원")*파견수련계획!$W$4:$W$803))+IF($AG90="서울병원",MAX(0,DAY(EOMONTH(요약!$B$3,0))-N($X90)),0))</f>
        <v/>
      </c>
      <c r="AI90" s="17">
        <f>IF($B90="","",IF(TRIM($J90&amp;"")="",0,SUMPRODUCT((파견수련계획!$Q$4:$Q$803=TRIM($J90&amp;""))*(파견수련계획!$S$4:$S$803="구리병원")*파견수련계획!$W$4:$W$803))+IF($AG90="구리병원",MAX(0,DAY(EOMONTH(요약!$B$3,0))-N($X90)),0))</f>
        <v/>
      </c>
      <c r="AJ90" s="10">
        <f>IF(OR($B90="",TRIM($J90&amp;"")=""),"",IFERROR(MATCH(TRIM($J90&amp;"")&amp;"|월",파견수련계획!$Z$4:$Z$803,0),""))</f>
        <v/>
      </c>
      <c r="AK90" s="10">
        <f>IF(OR($B90="",TRIM($J90&amp;"")=""),"",IFERROR(MATCH(TRIM($J90&amp;"")&amp;"|다기관",파견수련계획!$AE$4:$AE$803,0),""))</f>
        <v/>
      </c>
      <c r="AL90" s="10">
        <f>IF($AK90="","","다기관 "&amp;TEXT(INDEX(파견수련계획!$AB$4:$AB$803,$AK90),"yyyy-mm-dd")&amp;"~"&amp;IF(ISNUMBER(INDEX(파견수련계획!$AC$4:$AC$803,$AK90)),TEXT(INDEX(파견수련계획!$AC$4:$AC$803,$AK90),"yyyy-mm-dd"),""))</f>
        <v/>
      </c>
    </row>
    <row r="91">
      <c r="A91" s="10">
        <f>IF(B91="","",ROW()-1)</f>
        <v/>
      </c>
      <c r="B91" s="18" t="n"/>
      <c r="C91" s="10">
        <f>IF($AB91="","",IF(INDEX(기본자료!$C$2:$C$1001,$AB91)="","",INDEX(기본자료!$C$2:$C$1001,$AB91)))</f>
        <v/>
      </c>
      <c r="D91" s="10">
        <f>IF($AB91="","",IF(INDEX(기본자료!$J$2:$J$1001,$AB91)="","",INDEX(기본자료!$J$2:$J$1001,$AB91)))</f>
        <v/>
      </c>
      <c r="E91" s="11">
        <f>IF($AB91="","",IF(INDEX(기본자료!$K$2:$K$1001,$AB91)="","",IF(NOT(ISNUMBER(INDEX(기본자료!$K$2:$K$1001,$AB91))),INDEX(기본자료!$K$2:$K$1001,$AB91),IF(INDEX(기본자료!$K$2:$K$1001,$AB91)&lt;1000000,INDEX(기본자료!$K$2:$K$1001,$AB91),IF(AND(INDEX(기본자료!$K$2:$K$1001,$AB91)&gt;=10000101,INT(MOD(INDEX(기본자료!$K$2:$K$1001,$AB91),10000)/100)&gt;=1,INT(MOD(INDEX(기본자료!$K$2:$K$1001,$AB91),10000)/100)&lt;=12,MOD(INDEX(기본자료!$K$2:$K$1001,$AB91),100)&gt;=1,MOD(INDEX(기본자료!$K$2:$K$1001,$AB91),100)&lt;=31),DATE(INT(INDEX(기본자료!$K$2:$K$1001,$AB91)/10000),INT(MOD(INDEX(기본자료!$K$2:$K$1001,$AB91),10000)/100),MOD(INDEX(기본자료!$K$2:$K$1001,$AB91),100)),INDEX(기본자료!$K$2:$K$1001,$AB91)&amp;"")))))</f>
        <v/>
      </c>
      <c r="F91" s="10">
        <f>IF($AB91="","",IF(INDEX(기본자료!$D$2:$D$1001,$AB91)="","",INDEX(기본자료!$D$2:$D$1001,$AB91)))</f>
        <v/>
      </c>
      <c r="G91" s="10">
        <f>IF($AB91="","",IF(INDEX(기본자료!$E$2:$E$1001,$AB91)="","",INDEX(기본자료!$E$2:$E$1001,$AB91)))</f>
        <v/>
      </c>
      <c r="H91" s="10">
        <f>IF($AB91="","",IF(INDEX(기본자료!$F$2:$F$1001,$AB91)="","",INDEX(기본자료!$F$2:$F$1001,$AB91)))</f>
        <v/>
      </c>
      <c r="I91" s="11">
        <f>IF($AB91="","",IF(INDEX(기본자료!$G$2:$G$1001,$AB91)="","",IF(NOT(ISNUMBER(INDEX(기본자료!$G$2:$G$1001,$AB91))),INDEX(기본자료!$G$2:$G$1001,$AB91),IF(INDEX(기본자료!$G$2:$G$1001,$AB91)&lt;1000000,INDEX(기본자료!$G$2:$G$1001,$AB91),IF(AND(INDEX(기본자료!$G$2:$G$1001,$AB91)&gt;=10000101,INT(MOD(INDEX(기본자료!$G$2:$G$1001,$AB91),10000)/100)&gt;=1,INT(MOD(INDEX(기본자료!$G$2:$G$1001,$AB91),10000)/100)&lt;=12,MOD(INDEX(기본자료!$G$2:$G$1001,$AB91),100)&gt;=1,MOD(INDEX(기본자료!$G$2:$G$1001,$AB91),100)&lt;=31),DATE(INT(INDEX(기본자료!$G$2:$G$1001,$AB91)/10000),INT(MOD(INDEX(기본자료!$G$2:$G$1001,$AB91),10000)/100),MOD(INDEX(기본자료!$G$2:$G$1001,$AB91),100)),INDEX(기본자료!$G$2:$G$1001,$AB91)&amp;"")))))</f>
        <v/>
      </c>
      <c r="J91" s="10">
        <f>IF($AB91="","",IF(INDEX(기본자료!$H$2:$H$1001,$AB91)="","",INDEX(기본자료!$H$2:$H$1001,$AB91)))</f>
        <v/>
      </c>
      <c r="K91" s="10">
        <f>IF($AB91="","",IF(INDEX(기본자료!$I$2:$I$1001,$AB91)="","",INDEX(기본자료!$I$2:$I$1001,$AB91)))</f>
        <v/>
      </c>
      <c r="L91" s="10">
        <f>IF($AB91="","",IF(INDEX(기본자료!$A$2:$A$1001,$AB91)="","",INDEX(기본자료!$A$2:$A$1001,$AB91)))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파견수련계획!$AB$4:$AB$803,$AK91),OR(NOT(ISNUMBER(INDEX(파견수련계획!$AC$4:$AC$803,$AK91))),TODAY()&lt;=INDEX(파견수련계획!$AC$4:$AC$803,$AK91))),"다기관",IF($AF91="","",INDEX(파견수련계획!$T$4:$T$803,$AF91))),IF($AF91="","",INDEX(파견수련계획!$T$4:$T$803,$AF91))))</f>
        <v/>
      </c>
      <c r="Q91" s="10">
        <f>IF($AF91="","",INDEX(파견수련계획!$S$4:$S$803,$AF91))</f>
        <v/>
      </c>
      <c r="R91" s="10">
        <f>IF($AF91="","",INDEX(파견수련계획!$U$4:$U$803,$AF91))</f>
        <v/>
      </c>
      <c r="S91" s="11">
        <f>IF($AF91="","",IF(INDEX(파견수련계획!$H$4:$H$803,$AF91)="","",INDEX(파견수련계획!$H$4:$H$803,$AF91)))</f>
        <v/>
      </c>
      <c r="T91" s="11">
        <f>IF($AF91="","",IF(INDEX(파견수련계획!$I$4:$I$803,$AF91)="","",INDEX(파견수련계획!$I$4:$I$803,$AF91)))</f>
        <v/>
      </c>
      <c r="U91" s="10">
        <f>IF($AF91="","",INDEX(파견수련계획!$X$4:$X$803,$AF91))</f>
        <v/>
      </c>
      <c r="V91" s="17">
        <f>IF($AF91="","",INDEX(파견수련계획!$V$4:$V$803,$AF91))</f>
        <v/>
      </c>
      <c r="W91" s="17">
        <f>IF(AND($U91="파견중",$T91&lt;&gt;""),$T91-TODAY(),"")</f>
        <v/>
      </c>
      <c r="X91" s="17">
        <f>IF(OR($B91="",TRIM($J91&amp;"")=""),"",SUMPRODUCT((파견수련계획!$Q$4:$Q$803=TRIM($J91&amp;""))*파견수련계획!$W$4:$W$803))</f>
        <v/>
      </c>
      <c r="Y91" s="10">
        <f>IF($B91="","",IF($AG91="","",IF(IF(TRIM($J91&amp;"")="",0,SUMPRODUCT((파견수련계획!$Q$4:$Q$803=TRIM($J91&amp;""))*파견수련계획!$AD$4:$AD$803))&gt;0,$AE91,IF(N($X91)&lt;=0,$AG91,IF($AH91+$AI91=DAY(EOMONTH(요약!$B$3,0)),IF(AND($AH91&gt;=요약!$E$3,$AI91&lt;요약!$E$3),"서울병원",IF(AND($AI91&gt;=요약!$E$3,$AH91&lt;요약!$E$3),"구리병원","⚠15일 판정불가(서울 "&amp;$AH91&amp;"일/구리 "&amp;$AI91&amp;"일)")),IF($AJ91="",$AE91,IF(INDEX(파견수련계획!$T$4:$T$803,$AJ91)="통합수련",INDEX(파견수련계획!$S$4:$S$803,$AJ91),$AE91)))))))</f>
        <v/>
      </c>
      <c r="Z91" s="19">
        <f>IF($B91="","",IF($AB91="","기본자료에 없는 사번",IF(COUNTIF($B$2:$B$401,$B91)&gt;1,"중복 사번",IF($AE91="","소속(입사장소) 입력",IF(IF(TRIM($J91&amp;"")="",0,SUMPRODUCT((파견수련계획!$Q$4:$Q$803=TRIM($J91&amp;""))*(파견수련계획!$AA$4:$AA$803&lt;&gt;"")))&gt;0,"파견수련계획 입력오류 확인",IF(LEFT($Y91,1)="⚠","서울·구리 15일 판정 불가(양쪽 모두 이상/미만)",IF(IF($AC91="",0,N(INDEX(인턴근무계획!$T$3:$T$402,$AC91)))&gt;0,"인턴계획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IF($B91="","",IFERROR(MATCH($B91,기본자료!$B$2:$B$1001,0),IFERROR(MATCH($B91&amp;"",기본자료!$B$2:$B$1001,0),IFERROR(MATCH(VALUE($B91),기본자료!$B$2:$B$1001,0),""))))</f>
        <v/>
      </c>
      <c r="AC91" s="10">
        <f>IF($B91="","",IFERROR(MATCH($B91,인턴근무계획!$D$3:$D$402,0),IFERROR(MATCH($B91&amp;"",인턴근무계획!$D$3:$D$402,0),IFERROR(MATCH(VALUE($B91),인턴근무계획!$D$3:$D$402,0),""))))</f>
        <v/>
      </c>
      <c r="AD91" s="10">
        <f>IF(OR($AC91="",인턴현황!$G$3=""),"",INDEX(인턴근무계획!$M$3:$R$402,$AC91,인턴현황!$G$3)&amp;"")</f>
        <v/>
      </c>
      <c r="AE91" s="10">
        <f>IF($B91="","",IF($M91&lt;&gt;"",$M91,IF($AF91&lt;&gt;"",IF(LEFT(INDEX(파견수련계획!$R$4:$R$803,$AF91),1)&lt;&gt;"⚠",INDEX(파견수련계획!$R$4:$R$803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$803,0),IFERROR(MATCH(TRIM($J91&amp;"")&amp;"|파견예정",파견수련계획!$Y$4:$Y$803,0),IFERROR(MATCH(TRIM($J91&amp;"")&amp;"|파견종료",파견수련계획!$Y$4:$Y$803,0),""))))</f>
        <v/>
      </c>
      <c r="AG91" s="10">
        <f>IF($B91="","",IF(AND(IF(OR($AC91="",인턴현황!$K$2=""),"",INDEX(인턴근무계획!$M$3:$R$402,$AC91,인턴현황!$K$2)&amp;"")&lt;&gt;"",LEFT(IF(OR($AC91="",인턴현황!$K$2=""),"",INDEX(인턴근무계획!$M$3:$R$402,$AC91,인턴현황!$K$2)&amp;""),1)&lt;&gt;"⚠"),LEFT(IF(OR($AC91="",인턴현황!$K$2=""),"",INDEX(인턴근무계획!$M$3:$R$402,$AC91,인턴현황!$K$2)&amp;""),FIND(" ",IF(OR($AC91="",인턴현황!$K$2=""),"",INDEX(인턴근무계획!$M$3:$R$402,$AC91,인턴현황!$K$2)&amp;""))-1),$AE91))</f>
        <v/>
      </c>
      <c r="AH91" s="17">
        <f>IF($B91="","",IF(TRIM($J91&amp;"")="",0,SUMPRODUCT((파견수련계획!$Q$4:$Q$803=TRIM($J91&amp;""))*(파견수련계획!$S$4:$S$803="서울병원")*파견수련계획!$W$4:$W$803))+IF($AG91="서울병원",MAX(0,DAY(EOMONTH(요약!$B$3,0))-N($X91)),0))</f>
        <v/>
      </c>
      <c r="AI91" s="17">
        <f>IF($B91="","",IF(TRIM($J91&amp;"")="",0,SUMPRODUCT((파견수련계획!$Q$4:$Q$803=TRIM($J91&amp;""))*(파견수련계획!$S$4:$S$803="구리병원")*파견수련계획!$W$4:$W$803))+IF($AG91="구리병원",MAX(0,DAY(EOMONTH(요약!$B$3,0))-N($X91)),0))</f>
        <v/>
      </c>
      <c r="AJ91" s="10">
        <f>IF(OR($B91="",TRIM($J91&amp;"")=""),"",IFERROR(MATCH(TRIM($J91&amp;"")&amp;"|월",파견수련계획!$Z$4:$Z$803,0),""))</f>
        <v/>
      </c>
      <c r="AK91" s="10">
        <f>IF(OR($B91="",TRIM($J91&amp;"")=""),"",IFERROR(MATCH(TRIM($J91&amp;"")&amp;"|다기관",파견수련계획!$AE$4:$AE$803,0),""))</f>
        <v/>
      </c>
      <c r="AL91" s="10">
        <f>IF($AK91="","","다기관 "&amp;TEXT(INDEX(파견수련계획!$AB$4:$AB$803,$AK91),"yyyy-mm-dd")&amp;"~"&amp;IF(ISNUMBER(INDEX(파견수련계획!$AC$4:$AC$803,$AK91)),TEXT(INDEX(파견수련계획!$AC$4:$AC$803,$AK91),"yyyy-mm-dd"),""))</f>
        <v/>
      </c>
    </row>
    <row r="92">
      <c r="A92" s="10">
        <f>IF(B92="","",ROW()-1)</f>
        <v/>
      </c>
      <c r="B92" s="18" t="n"/>
      <c r="C92" s="10">
        <f>IF($AB92="","",IF(INDEX(기본자료!$C$2:$C$1001,$AB92)="","",INDEX(기본자료!$C$2:$C$1001,$AB92)))</f>
        <v/>
      </c>
      <c r="D92" s="10">
        <f>IF($AB92="","",IF(INDEX(기본자료!$J$2:$J$1001,$AB92)="","",INDEX(기본자료!$J$2:$J$1001,$AB92)))</f>
        <v/>
      </c>
      <c r="E92" s="11">
        <f>IF($AB92="","",IF(INDEX(기본자료!$K$2:$K$1001,$AB92)="","",IF(NOT(ISNUMBER(INDEX(기본자료!$K$2:$K$1001,$AB92))),INDEX(기본자료!$K$2:$K$1001,$AB92),IF(INDEX(기본자료!$K$2:$K$1001,$AB92)&lt;1000000,INDEX(기본자료!$K$2:$K$1001,$AB92),IF(AND(INDEX(기본자료!$K$2:$K$1001,$AB92)&gt;=10000101,INT(MOD(INDEX(기본자료!$K$2:$K$1001,$AB92),10000)/100)&gt;=1,INT(MOD(INDEX(기본자료!$K$2:$K$1001,$AB92),10000)/100)&lt;=12,MOD(INDEX(기본자료!$K$2:$K$1001,$AB92),100)&gt;=1,MOD(INDEX(기본자료!$K$2:$K$1001,$AB92),100)&lt;=31),DATE(INT(INDEX(기본자료!$K$2:$K$1001,$AB92)/10000),INT(MOD(INDEX(기본자료!$K$2:$K$1001,$AB92),10000)/100),MOD(INDEX(기본자료!$K$2:$K$1001,$AB92),100)),INDEX(기본자료!$K$2:$K$1001,$AB92)&amp;"")))))</f>
        <v/>
      </c>
      <c r="F92" s="10">
        <f>IF($AB92="","",IF(INDEX(기본자료!$D$2:$D$1001,$AB92)="","",INDEX(기본자료!$D$2:$D$1001,$AB92)))</f>
        <v/>
      </c>
      <c r="G92" s="10">
        <f>IF($AB92="","",IF(INDEX(기본자료!$E$2:$E$1001,$AB92)="","",INDEX(기본자료!$E$2:$E$1001,$AB92)))</f>
        <v/>
      </c>
      <c r="H92" s="10">
        <f>IF($AB92="","",IF(INDEX(기본자료!$F$2:$F$1001,$AB92)="","",INDEX(기본자료!$F$2:$F$1001,$AB92)))</f>
        <v/>
      </c>
      <c r="I92" s="11">
        <f>IF($AB92="","",IF(INDEX(기본자료!$G$2:$G$1001,$AB92)="","",IF(NOT(ISNUMBER(INDEX(기본자료!$G$2:$G$1001,$AB92))),INDEX(기본자료!$G$2:$G$1001,$AB92),IF(INDEX(기본자료!$G$2:$G$1001,$AB92)&lt;1000000,INDEX(기본자료!$G$2:$G$1001,$AB92),IF(AND(INDEX(기본자료!$G$2:$G$1001,$AB92)&gt;=10000101,INT(MOD(INDEX(기본자료!$G$2:$G$1001,$AB92),10000)/100)&gt;=1,INT(MOD(INDEX(기본자료!$G$2:$G$1001,$AB92),10000)/100)&lt;=12,MOD(INDEX(기본자료!$G$2:$G$1001,$AB92),100)&gt;=1,MOD(INDEX(기본자료!$G$2:$G$1001,$AB92),100)&lt;=31),DATE(INT(INDEX(기본자료!$G$2:$G$1001,$AB92)/10000),INT(MOD(INDEX(기본자료!$G$2:$G$1001,$AB92),10000)/100),MOD(INDEX(기본자료!$G$2:$G$1001,$AB92),100)),INDEX(기본자료!$G$2:$G$1001,$AB92)&amp;"")))))</f>
        <v/>
      </c>
      <c r="J92" s="10">
        <f>IF($AB92="","",IF(INDEX(기본자료!$H$2:$H$1001,$AB92)="","",INDEX(기본자료!$H$2:$H$1001,$AB92)))</f>
        <v/>
      </c>
      <c r="K92" s="10">
        <f>IF($AB92="","",IF(INDEX(기본자료!$I$2:$I$1001,$AB92)="","",INDEX(기본자료!$I$2:$I$1001,$AB92)))</f>
        <v/>
      </c>
      <c r="L92" s="10">
        <f>IF($AB92="","",IF(INDEX(기본자료!$A$2:$A$1001,$AB92)="","",INDEX(기본자료!$A$2:$A$1001,$AB92)))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파견수련계획!$AB$4:$AB$803,$AK92),OR(NOT(ISNUMBER(INDEX(파견수련계획!$AC$4:$AC$803,$AK92))),TODAY()&lt;=INDEX(파견수련계획!$AC$4:$AC$803,$AK92))),"다기관",IF($AF92="","",INDEX(파견수련계획!$T$4:$T$803,$AF92))),IF($AF92="","",INDEX(파견수련계획!$T$4:$T$803,$AF92))))</f>
        <v/>
      </c>
      <c r="Q92" s="10">
        <f>IF($AF92="","",INDEX(파견수련계획!$S$4:$S$803,$AF92))</f>
        <v/>
      </c>
      <c r="R92" s="10">
        <f>IF($AF92="","",INDEX(파견수련계획!$U$4:$U$803,$AF92))</f>
        <v/>
      </c>
      <c r="S92" s="11">
        <f>IF($AF92="","",IF(INDEX(파견수련계획!$H$4:$H$803,$AF92)="","",INDEX(파견수련계획!$H$4:$H$803,$AF92)))</f>
        <v/>
      </c>
      <c r="T92" s="11">
        <f>IF($AF92="","",IF(INDEX(파견수련계획!$I$4:$I$803,$AF92)="","",INDEX(파견수련계획!$I$4:$I$803,$AF92)))</f>
        <v/>
      </c>
      <c r="U92" s="10">
        <f>IF($AF92="","",INDEX(파견수련계획!$X$4:$X$803,$AF92))</f>
        <v/>
      </c>
      <c r="V92" s="17">
        <f>IF($AF92="","",INDEX(파견수련계획!$V$4:$V$803,$AF92))</f>
        <v/>
      </c>
      <c r="W92" s="17">
        <f>IF(AND($U92="파견중",$T92&lt;&gt;""),$T92-TODAY(),"")</f>
        <v/>
      </c>
      <c r="X92" s="17">
        <f>IF(OR($B92="",TRIM($J92&amp;"")=""),"",SUMPRODUCT((파견수련계획!$Q$4:$Q$803=TRIM($J92&amp;""))*파견수련계획!$W$4:$W$803))</f>
        <v/>
      </c>
      <c r="Y92" s="10">
        <f>IF($B92="","",IF($AG92="","",IF(IF(TRIM($J92&amp;"")="",0,SUMPRODUCT((파견수련계획!$Q$4:$Q$803=TRIM($J92&amp;""))*파견수련계획!$AD$4:$AD$803))&gt;0,$AE92,IF(N($X92)&lt;=0,$AG92,IF($AH92+$AI92=DAY(EOMONTH(요약!$B$3,0)),IF(AND($AH92&gt;=요약!$E$3,$AI92&lt;요약!$E$3),"서울병원",IF(AND($AI92&gt;=요약!$E$3,$AH92&lt;요약!$E$3),"구리병원","⚠15일 판정불가(서울 "&amp;$AH92&amp;"일/구리 "&amp;$AI92&amp;"일)")),IF($AJ92="",$AE92,IF(INDEX(파견수련계획!$T$4:$T$803,$AJ92)="통합수련",INDEX(파견수련계획!$S$4:$S$803,$AJ92),$AE92)))))))</f>
        <v/>
      </c>
      <c r="Z92" s="19">
        <f>IF($B92="","",IF($AB92="","기본자료에 없는 사번",IF(COUNTIF($B$2:$B$401,$B92)&gt;1,"중복 사번",IF($AE92="","소속(입사장소) 입력",IF(IF(TRIM($J92&amp;"")="",0,SUMPRODUCT((파견수련계획!$Q$4:$Q$803=TRIM($J92&amp;""))*(파견수련계획!$AA$4:$AA$803&lt;&gt;"")))&gt;0,"파견수련계획 입력오류 확인",IF(LEFT($Y92,1)="⚠","서울·구리 15일 판정 불가(양쪽 모두 이상/미만)",IF(IF($AC92="",0,N(INDEX(인턴근무계획!$T$3:$T$402,$AC92)))&gt;0,"인턴계획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IF($B92="","",IFERROR(MATCH($B92,기본자료!$B$2:$B$1001,0),IFERROR(MATCH($B92&amp;"",기본자료!$B$2:$B$1001,0),IFERROR(MATCH(VALUE($B92),기본자료!$B$2:$B$1001,0),""))))</f>
        <v/>
      </c>
      <c r="AC92" s="10">
        <f>IF($B92="","",IFERROR(MATCH($B92,인턴근무계획!$D$3:$D$402,0),IFERROR(MATCH($B92&amp;"",인턴근무계획!$D$3:$D$402,0),IFERROR(MATCH(VALUE($B92),인턴근무계획!$D$3:$D$402,0),""))))</f>
        <v/>
      </c>
      <c r="AD92" s="10">
        <f>IF(OR($AC92="",인턴현황!$G$3=""),"",INDEX(인턴근무계획!$M$3:$R$402,$AC92,인턴현황!$G$3)&amp;"")</f>
        <v/>
      </c>
      <c r="AE92" s="10">
        <f>IF($B92="","",IF($M92&lt;&gt;"",$M92,IF($AF92&lt;&gt;"",IF(LEFT(INDEX(파견수련계획!$R$4:$R$803,$AF92),1)&lt;&gt;"⚠",INDEX(파견수련계획!$R$4:$R$803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$803,0),IFERROR(MATCH(TRIM($J92&amp;"")&amp;"|파견예정",파견수련계획!$Y$4:$Y$803,0),IFERROR(MATCH(TRIM($J92&amp;"")&amp;"|파견종료",파견수련계획!$Y$4:$Y$803,0),""))))</f>
        <v/>
      </c>
      <c r="AG92" s="10">
        <f>IF($B92="","",IF(AND(IF(OR($AC92="",인턴현황!$K$2=""),"",INDEX(인턴근무계획!$M$3:$R$402,$AC92,인턴현황!$K$2)&amp;"")&lt;&gt;"",LEFT(IF(OR($AC92="",인턴현황!$K$2=""),"",INDEX(인턴근무계획!$M$3:$R$402,$AC92,인턴현황!$K$2)&amp;""),1)&lt;&gt;"⚠"),LEFT(IF(OR($AC92="",인턴현황!$K$2=""),"",INDEX(인턴근무계획!$M$3:$R$402,$AC92,인턴현황!$K$2)&amp;""),FIND(" ",IF(OR($AC92="",인턴현황!$K$2=""),"",INDEX(인턴근무계획!$M$3:$R$402,$AC92,인턴현황!$K$2)&amp;""))-1),$AE92))</f>
        <v/>
      </c>
      <c r="AH92" s="17">
        <f>IF($B92="","",IF(TRIM($J92&amp;"")="",0,SUMPRODUCT((파견수련계획!$Q$4:$Q$803=TRIM($J92&amp;""))*(파견수련계획!$S$4:$S$803="서울병원")*파견수련계획!$W$4:$W$803))+IF($AG92="서울병원",MAX(0,DAY(EOMONTH(요약!$B$3,0))-N($X92)),0))</f>
        <v/>
      </c>
      <c r="AI92" s="17">
        <f>IF($B92="","",IF(TRIM($J92&amp;"")="",0,SUMPRODUCT((파견수련계획!$Q$4:$Q$803=TRIM($J92&amp;""))*(파견수련계획!$S$4:$S$803="구리병원")*파견수련계획!$W$4:$W$803))+IF($AG92="구리병원",MAX(0,DAY(EOMONTH(요약!$B$3,0))-N($X92)),0))</f>
        <v/>
      </c>
      <c r="AJ92" s="10">
        <f>IF(OR($B92="",TRIM($J92&amp;"")=""),"",IFERROR(MATCH(TRIM($J92&amp;"")&amp;"|월",파견수련계획!$Z$4:$Z$803,0),""))</f>
        <v/>
      </c>
      <c r="AK92" s="10">
        <f>IF(OR($B92="",TRIM($J92&amp;"")=""),"",IFERROR(MATCH(TRIM($J92&amp;"")&amp;"|다기관",파견수련계획!$AE$4:$AE$803,0),""))</f>
        <v/>
      </c>
      <c r="AL92" s="10">
        <f>IF($AK92="","","다기관 "&amp;TEXT(INDEX(파견수련계획!$AB$4:$AB$803,$AK92),"yyyy-mm-dd")&amp;"~"&amp;IF(ISNUMBER(INDEX(파견수련계획!$AC$4:$AC$803,$AK92)),TEXT(INDEX(파견수련계획!$AC$4:$AC$803,$AK92),"yyyy-mm-dd"),""))</f>
        <v/>
      </c>
    </row>
    <row r="93">
      <c r="A93" s="10">
        <f>IF(B93="","",ROW()-1)</f>
        <v/>
      </c>
      <c r="B93" s="18" t="n"/>
      <c r="C93" s="10">
        <f>IF($AB93="","",IF(INDEX(기본자료!$C$2:$C$1001,$AB93)="","",INDEX(기본자료!$C$2:$C$1001,$AB93)))</f>
        <v/>
      </c>
      <c r="D93" s="10">
        <f>IF($AB93="","",IF(INDEX(기본자료!$J$2:$J$1001,$AB93)="","",INDEX(기본자료!$J$2:$J$1001,$AB93)))</f>
        <v/>
      </c>
      <c r="E93" s="11">
        <f>IF($AB93="","",IF(INDEX(기본자료!$K$2:$K$1001,$AB93)="","",IF(NOT(ISNUMBER(INDEX(기본자료!$K$2:$K$1001,$AB93))),INDEX(기본자료!$K$2:$K$1001,$AB93),IF(INDEX(기본자료!$K$2:$K$1001,$AB93)&lt;1000000,INDEX(기본자료!$K$2:$K$1001,$AB93),IF(AND(INDEX(기본자료!$K$2:$K$1001,$AB93)&gt;=10000101,INT(MOD(INDEX(기본자료!$K$2:$K$1001,$AB93),10000)/100)&gt;=1,INT(MOD(INDEX(기본자료!$K$2:$K$1001,$AB93),10000)/100)&lt;=12,MOD(INDEX(기본자료!$K$2:$K$1001,$AB93),100)&gt;=1,MOD(INDEX(기본자료!$K$2:$K$1001,$AB93),100)&lt;=31),DATE(INT(INDEX(기본자료!$K$2:$K$1001,$AB93)/10000),INT(MOD(INDEX(기본자료!$K$2:$K$1001,$AB93),10000)/100),MOD(INDEX(기본자료!$K$2:$K$1001,$AB93),100)),INDEX(기본자료!$K$2:$K$1001,$AB93)&amp;"")))))</f>
        <v/>
      </c>
      <c r="F93" s="10">
        <f>IF($AB93="","",IF(INDEX(기본자료!$D$2:$D$1001,$AB93)="","",INDEX(기본자료!$D$2:$D$1001,$AB93)))</f>
        <v/>
      </c>
      <c r="G93" s="10">
        <f>IF($AB93="","",IF(INDEX(기본자료!$E$2:$E$1001,$AB93)="","",INDEX(기본자료!$E$2:$E$1001,$AB93)))</f>
        <v/>
      </c>
      <c r="H93" s="10">
        <f>IF($AB93="","",IF(INDEX(기본자료!$F$2:$F$1001,$AB93)="","",INDEX(기본자료!$F$2:$F$1001,$AB93)))</f>
        <v/>
      </c>
      <c r="I93" s="11">
        <f>IF($AB93="","",IF(INDEX(기본자료!$G$2:$G$1001,$AB93)="","",IF(NOT(ISNUMBER(INDEX(기본자료!$G$2:$G$1001,$AB93))),INDEX(기본자료!$G$2:$G$1001,$AB93),IF(INDEX(기본자료!$G$2:$G$1001,$AB93)&lt;1000000,INDEX(기본자료!$G$2:$G$1001,$AB93),IF(AND(INDEX(기본자료!$G$2:$G$1001,$AB93)&gt;=10000101,INT(MOD(INDEX(기본자료!$G$2:$G$1001,$AB93),10000)/100)&gt;=1,INT(MOD(INDEX(기본자료!$G$2:$G$1001,$AB93),10000)/100)&lt;=12,MOD(INDEX(기본자료!$G$2:$G$1001,$AB93),100)&gt;=1,MOD(INDEX(기본자료!$G$2:$G$1001,$AB93),100)&lt;=31),DATE(INT(INDEX(기본자료!$G$2:$G$1001,$AB93)/10000),INT(MOD(INDEX(기본자료!$G$2:$G$1001,$AB93),10000)/100),MOD(INDEX(기본자료!$G$2:$G$1001,$AB93),100)),INDEX(기본자료!$G$2:$G$1001,$AB93)&amp;"")))))</f>
        <v/>
      </c>
      <c r="J93" s="10">
        <f>IF($AB93="","",IF(INDEX(기본자료!$H$2:$H$1001,$AB93)="","",INDEX(기본자료!$H$2:$H$1001,$AB93)))</f>
        <v/>
      </c>
      <c r="K93" s="10">
        <f>IF($AB93="","",IF(INDEX(기본자료!$I$2:$I$1001,$AB93)="","",INDEX(기본자료!$I$2:$I$1001,$AB93)))</f>
        <v/>
      </c>
      <c r="L93" s="10">
        <f>IF($AB93="","",IF(INDEX(기본자료!$A$2:$A$1001,$AB93)="","",INDEX(기본자료!$A$2:$A$1001,$AB93)))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파견수련계획!$AB$4:$AB$803,$AK93),OR(NOT(ISNUMBER(INDEX(파견수련계획!$AC$4:$AC$803,$AK93))),TODAY()&lt;=INDEX(파견수련계획!$AC$4:$AC$803,$AK93))),"다기관",IF($AF93="","",INDEX(파견수련계획!$T$4:$T$803,$AF93))),IF($AF93="","",INDEX(파견수련계획!$T$4:$T$803,$AF93))))</f>
        <v/>
      </c>
      <c r="Q93" s="10">
        <f>IF($AF93="","",INDEX(파견수련계획!$S$4:$S$803,$AF93))</f>
        <v/>
      </c>
      <c r="R93" s="10">
        <f>IF($AF93="","",INDEX(파견수련계획!$U$4:$U$803,$AF93))</f>
        <v/>
      </c>
      <c r="S93" s="11">
        <f>IF($AF93="","",IF(INDEX(파견수련계획!$H$4:$H$803,$AF93)="","",INDEX(파견수련계획!$H$4:$H$803,$AF93)))</f>
        <v/>
      </c>
      <c r="T93" s="11">
        <f>IF($AF93="","",IF(INDEX(파견수련계획!$I$4:$I$803,$AF93)="","",INDEX(파견수련계획!$I$4:$I$803,$AF93)))</f>
        <v/>
      </c>
      <c r="U93" s="10">
        <f>IF($AF93="","",INDEX(파견수련계획!$X$4:$X$803,$AF93))</f>
        <v/>
      </c>
      <c r="V93" s="17">
        <f>IF($AF93="","",INDEX(파견수련계획!$V$4:$V$803,$AF93))</f>
        <v/>
      </c>
      <c r="W93" s="17">
        <f>IF(AND($U93="파견중",$T93&lt;&gt;""),$T93-TODAY(),"")</f>
        <v/>
      </c>
      <c r="X93" s="17">
        <f>IF(OR($B93="",TRIM($J93&amp;"")=""),"",SUMPRODUCT((파견수련계획!$Q$4:$Q$803=TRIM($J93&amp;""))*파견수련계획!$W$4:$W$803))</f>
        <v/>
      </c>
      <c r="Y93" s="10">
        <f>IF($B93="","",IF($AG93="","",IF(IF(TRIM($J93&amp;"")="",0,SUMPRODUCT((파견수련계획!$Q$4:$Q$803=TRIM($J93&amp;""))*파견수련계획!$AD$4:$AD$803))&gt;0,$AE93,IF(N($X93)&lt;=0,$AG93,IF($AH93+$AI93=DAY(EOMONTH(요약!$B$3,0)),IF(AND($AH93&gt;=요약!$E$3,$AI93&lt;요약!$E$3),"서울병원",IF(AND($AI93&gt;=요약!$E$3,$AH93&lt;요약!$E$3),"구리병원","⚠15일 판정불가(서울 "&amp;$AH93&amp;"일/구리 "&amp;$AI93&amp;"일)")),IF($AJ93="",$AE93,IF(INDEX(파견수련계획!$T$4:$T$803,$AJ93)="통합수련",INDEX(파견수련계획!$S$4:$S$803,$AJ93),$AE93)))))))</f>
        <v/>
      </c>
      <c r="Z93" s="19">
        <f>IF($B93="","",IF($AB93="","기본자료에 없는 사번",IF(COUNTIF($B$2:$B$401,$B93)&gt;1,"중복 사번",IF($AE93="","소속(입사장소) 입력",IF(IF(TRIM($J93&amp;"")="",0,SUMPRODUCT((파견수련계획!$Q$4:$Q$803=TRIM($J93&amp;""))*(파견수련계획!$AA$4:$AA$803&lt;&gt;"")))&gt;0,"파견수련계획 입력오류 확인",IF(LEFT($Y93,1)="⚠","서울·구리 15일 판정 불가(양쪽 모두 이상/미만)",IF(IF($AC93="",0,N(INDEX(인턴근무계획!$T$3:$T$402,$AC93)))&gt;0,"인턴계획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IF($B93="","",IFERROR(MATCH($B93,기본자료!$B$2:$B$1001,0),IFERROR(MATCH($B93&amp;"",기본자료!$B$2:$B$1001,0),IFERROR(MATCH(VALUE($B93),기본자료!$B$2:$B$1001,0),""))))</f>
        <v/>
      </c>
      <c r="AC93" s="10">
        <f>IF($B93="","",IFERROR(MATCH($B93,인턴근무계획!$D$3:$D$402,0),IFERROR(MATCH($B93&amp;"",인턴근무계획!$D$3:$D$402,0),IFERROR(MATCH(VALUE($B93),인턴근무계획!$D$3:$D$402,0),""))))</f>
        <v/>
      </c>
      <c r="AD93" s="10">
        <f>IF(OR($AC93="",인턴현황!$G$3=""),"",INDEX(인턴근무계획!$M$3:$R$402,$AC93,인턴현황!$G$3)&amp;"")</f>
        <v/>
      </c>
      <c r="AE93" s="10">
        <f>IF($B93="","",IF($M93&lt;&gt;"",$M93,IF($AF93&lt;&gt;"",IF(LEFT(INDEX(파견수련계획!$R$4:$R$803,$AF93),1)&lt;&gt;"⚠",INDEX(파견수련계획!$R$4:$R$803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$803,0),IFERROR(MATCH(TRIM($J93&amp;"")&amp;"|파견예정",파견수련계획!$Y$4:$Y$803,0),IFERROR(MATCH(TRIM($J93&amp;"")&amp;"|파견종료",파견수련계획!$Y$4:$Y$803,0),""))))</f>
        <v/>
      </c>
      <c r="AG93" s="10">
        <f>IF($B93="","",IF(AND(IF(OR($AC93="",인턴현황!$K$2=""),"",INDEX(인턴근무계획!$M$3:$R$402,$AC93,인턴현황!$K$2)&amp;"")&lt;&gt;"",LEFT(IF(OR($AC93="",인턴현황!$K$2=""),"",INDEX(인턴근무계획!$M$3:$R$402,$AC93,인턴현황!$K$2)&amp;""),1)&lt;&gt;"⚠"),LEFT(IF(OR($AC93="",인턴현황!$K$2=""),"",INDEX(인턴근무계획!$M$3:$R$402,$AC93,인턴현황!$K$2)&amp;""),FIND(" ",IF(OR($AC93="",인턴현황!$K$2=""),"",INDEX(인턴근무계획!$M$3:$R$402,$AC93,인턴현황!$K$2)&amp;""))-1),$AE93))</f>
        <v/>
      </c>
      <c r="AH93" s="17">
        <f>IF($B93="","",IF(TRIM($J93&amp;"")="",0,SUMPRODUCT((파견수련계획!$Q$4:$Q$803=TRIM($J93&amp;""))*(파견수련계획!$S$4:$S$803="서울병원")*파견수련계획!$W$4:$W$803))+IF($AG93="서울병원",MAX(0,DAY(EOMONTH(요약!$B$3,0))-N($X93)),0))</f>
        <v/>
      </c>
      <c r="AI93" s="17">
        <f>IF($B93="","",IF(TRIM($J93&amp;"")="",0,SUMPRODUCT((파견수련계획!$Q$4:$Q$803=TRIM($J93&amp;""))*(파견수련계획!$S$4:$S$803="구리병원")*파견수련계획!$W$4:$W$803))+IF($AG93="구리병원",MAX(0,DAY(EOMONTH(요약!$B$3,0))-N($X93)),0))</f>
        <v/>
      </c>
      <c r="AJ93" s="10">
        <f>IF(OR($B93="",TRIM($J93&amp;"")=""),"",IFERROR(MATCH(TRIM($J93&amp;"")&amp;"|월",파견수련계획!$Z$4:$Z$803,0),""))</f>
        <v/>
      </c>
      <c r="AK93" s="10">
        <f>IF(OR($B93="",TRIM($J93&amp;"")=""),"",IFERROR(MATCH(TRIM($J93&amp;"")&amp;"|다기관",파견수련계획!$AE$4:$AE$803,0),""))</f>
        <v/>
      </c>
      <c r="AL93" s="10">
        <f>IF($AK93="","","다기관 "&amp;TEXT(INDEX(파견수련계획!$AB$4:$AB$803,$AK93),"yyyy-mm-dd")&amp;"~"&amp;IF(ISNUMBER(INDEX(파견수련계획!$AC$4:$AC$803,$AK93)),TEXT(INDEX(파견수련계획!$AC$4:$AC$803,$AK93),"yyyy-mm-dd"),""))</f>
        <v/>
      </c>
    </row>
    <row r="94">
      <c r="A94" s="10">
        <f>IF(B94="","",ROW()-1)</f>
        <v/>
      </c>
      <c r="B94" s="18" t="n"/>
      <c r="C94" s="10">
        <f>IF($AB94="","",IF(INDEX(기본자료!$C$2:$C$1001,$AB94)="","",INDEX(기본자료!$C$2:$C$1001,$AB94)))</f>
        <v/>
      </c>
      <c r="D94" s="10">
        <f>IF($AB94="","",IF(INDEX(기본자료!$J$2:$J$1001,$AB94)="","",INDEX(기본자료!$J$2:$J$1001,$AB94)))</f>
        <v/>
      </c>
      <c r="E94" s="11">
        <f>IF($AB94="","",IF(INDEX(기본자료!$K$2:$K$1001,$AB94)="","",IF(NOT(ISNUMBER(INDEX(기본자료!$K$2:$K$1001,$AB94))),INDEX(기본자료!$K$2:$K$1001,$AB94),IF(INDEX(기본자료!$K$2:$K$1001,$AB94)&lt;1000000,INDEX(기본자료!$K$2:$K$1001,$AB94),IF(AND(INDEX(기본자료!$K$2:$K$1001,$AB94)&gt;=10000101,INT(MOD(INDEX(기본자료!$K$2:$K$1001,$AB94),10000)/100)&gt;=1,INT(MOD(INDEX(기본자료!$K$2:$K$1001,$AB94),10000)/100)&lt;=12,MOD(INDEX(기본자료!$K$2:$K$1001,$AB94),100)&gt;=1,MOD(INDEX(기본자료!$K$2:$K$1001,$AB94),100)&lt;=31),DATE(INT(INDEX(기본자료!$K$2:$K$1001,$AB94)/10000),INT(MOD(INDEX(기본자료!$K$2:$K$1001,$AB94),10000)/100),MOD(INDEX(기본자료!$K$2:$K$1001,$AB94),100)),INDEX(기본자료!$K$2:$K$1001,$AB94)&amp;"")))))</f>
        <v/>
      </c>
      <c r="F94" s="10">
        <f>IF($AB94="","",IF(INDEX(기본자료!$D$2:$D$1001,$AB94)="","",INDEX(기본자료!$D$2:$D$1001,$AB94)))</f>
        <v/>
      </c>
      <c r="G94" s="10">
        <f>IF($AB94="","",IF(INDEX(기본자료!$E$2:$E$1001,$AB94)="","",INDEX(기본자료!$E$2:$E$1001,$AB94)))</f>
        <v/>
      </c>
      <c r="H94" s="10">
        <f>IF($AB94="","",IF(INDEX(기본자료!$F$2:$F$1001,$AB94)="","",INDEX(기본자료!$F$2:$F$1001,$AB94)))</f>
        <v/>
      </c>
      <c r="I94" s="11">
        <f>IF($AB94="","",IF(INDEX(기본자료!$G$2:$G$1001,$AB94)="","",IF(NOT(ISNUMBER(INDEX(기본자료!$G$2:$G$1001,$AB94))),INDEX(기본자료!$G$2:$G$1001,$AB94),IF(INDEX(기본자료!$G$2:$G$1001,$AB94)&lt;1000000,INDEX(기본자료!$G$2:$G$1001,$AB94),IF(AND(INDEX(기본자료!$G$2:$G$1001,$AB94)&gt;=10000101,INT(MOD(INDEX(기본자료!$G$2:$G$1001,$AB94),10000)/100)&gt;=1,INT(MOD(INDEX(기본자료!$G$2:$G$1001,$AB94),10000)/100)&lt;=12,MOD(INDEX(기본자료!$G$2:$G$1001,$AB94),100)&gt;=1,MOD(INDEX(기본자료!$G$2:$G$1001,$AB94),100)&lt;=31),DATE(INT(INDEX(기본자료!$G$2:$G$1001,$AB94)/10000),INT(MOD(INDEX(기본자료!$G$2:$G$1001,$AB94),10000)/100),MOD(INDEX(기본자료!$G$2:$G$1001,$AB94),100)),INDEX(기본자료!$G$2:$G$1001,$AB94)&amp;"")))))</f>
        <v/>
      </c>
      <c r="J94" s="10">
        <f>IF($AB94="","",IF(INDEX(기본자료!$H$2:$H$1001,$AB94)="","",INDEX(기본자료!$H$2:$H$1001,$AB94)))</f>
        <v/>
      </c>
      <c r="K94" s="10">
        <f>IF($AB94="","",IF(INDEX(기본자료!$I$2:$I$1001,$AB94)="","",INDEX(기본자료!$I$2:$I$1001,$AB94)))</f>
        <v/>
      </c>
      <c r="L94" s="10">
        <f>IF($AB94="","",IF(INDEX(기본자료!$A$2:$A$1001,$AB94)="","",INDEX(기본자료!$A$2:$A$1001,$AB94)))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파견수련계획!$AB$4:$AB$803,$AK94),OR(NOT(ISNUMBER(INDEX(파견수련계획!$AC$4:$AC$803,$AK94))),TODAY()&lt;=INDEX(파견수련계획!$AC$4:$AC$803,$AK94))),"다기관",IF($AF94="","",INDEX(파견수련계획!$T$4:$T$803,$AF94))),IF($AF94="","",INDEX(파견수련계획!$T$4:$T$803,$AF94))))</f>
        <v/>
      </c>
      <c r="Q94" s="10">
        <f>IF($AF94="","",INDEX(파견수련계획!$S$4:$S$803,$AF94))</f>
        <v/>
      </c>
      <c r="R94" s="10">
        <f>IF($AF94="","",INDEX(파견수련계획!$U$4:$U$803,$AF94))</f>
        <v/>
      </c>
      <c r="S94" s="11">
        <f>IF($AF94="","",IF(INDEX(파견수련계획!$H$4:$H$803,$AF94)="","",INDEX(파견수련계획!$H$4:$H$803,$AF94)))</f>
        <v/>
      </c>
      <c r="T94" s="11">
        <f>IF($AF94="","",IF(INDEX(파견수련계획!$I$4:$I$803,$AF94)="","",INDEX(파견수련계획!$I$4:$I$803,$AF94)))</f>
        <v/>
      </c>
      <c r="U94" s="10">
        <f>IF($AF94="","",INDEX(파견수련계획!$X$4:$X$803,$AF94))</f>
        <v/>
      </c>
      <c r="V94" s="17">
        <f>IF($AF94="","",INDEX(파견수련계획!$V$4:$V$803,$AF94))</f>
        <v/>
      </c>
      <c r="W94" s="17">
        <f>IF(AND($U94="파견중",$T94&lt;&gt;""),$T94-TODAY(),"")</f>
        <v/>
      </c>
      <c r="X94" s="17">
        <f>IF(OR($B94="",TRIM($J94&amp;"")=""),"",SUMPRODUCT((파견수련계획!$Q$4:$Q$803=TRIM($J94&amp;""))*파견수련계획!$W$4:$W$803))</f>
        <v/>
      </c>
      <c r="Y94" s="10">
        <f>IF($B94="","",IF($AG94="","",IF(IF(TRIM($J94&amp;"")="",0,SUMPRODUCT((파견수련계획!$Q$4:$Q$803=TRIM($J94&amp;""))*파견수련계획!$AD$4:$AD$803))&gt;0,$AE94,IF(N($X94)&lt;=0,$AG94,IF($AH94+$AI94=DAY(EOMONTH(요약!$B$3,0)),IF(AND($AH94&gt;=요약!$E$3,$AI94&lt;요약!$E$3),"서울병원",IF(AND($AI94&gt;=요약!$E$3,$AH94&lt;요약!$E$3),"구리병원","⚠15일 판정불가(서울 "&amp;$AH94&amp;"일/구리 "&amp;$AI94&amp;"일)")),IF($AJ94="",$AE94,IF(INDEX(파견수련계획!$T$4:$T$803,$AJ94)="통합수련",INDEX(파견수련계획!$S$4:$S$803,$AJ94),$AE94)))))))</f>
        <v/>
      </c>
      <c r="Z94" s="19">
        <f>IF($B94="","",IF($AB94="","기본자료에 없는 사번",IF(COUNTIF($B$2:$B$401,$B94)&gt;1,"중복 사번",IF($AE94="","소속(입사장소) 입력",IF(IF(TRIM($J94&amp;"")="",0,SUMPRODUCT((파견수련계획!$Q$4:$Q$803=TRIM($J94&amp;""))*(파견수련계획!$AA$4:$AA$803&lt;&gt;"")))&gt;0,"파견수련계획 입력오류 확인",IF(LEFT($Y94,1)="⚠","서울·구리 15일 판정 불가(양쪽 모두 이상/미만)",IF(IF($AC94="",0,N(INDEX(인턴근무계획!$T$3:$T$402,$AC94)))&gt;0,"인턴계획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IF($B94="","",IFERROR(MATCH($B94,기본자료!$B$2:$B$1001,0),IFERROR(MATCH($B94&amp;"",기본자료!$B$2:$B$1001,0),IFERROR(MATCH(VALUE($B94),기본자료!$B$2:$B$1001,0),""))))</f>
        <v/>
      </c>
      <c r="AC94" s="10">
        <f>IF($B94="","",IFERROR(MATCH($B94,인턴근무계획!$D$3:$D$402,0),IFERROR(MATCH($B94&amp;"",인턴근무계획!$D$3:$D$402,0),IFERROR(MATCH(VALUE($B94),인턴근무계획!$D$3:$D$402,0),""))))</f>
        <v/>
      </c>
      <c r="AD94" s="10">
        <f>IF(OR($AC94="",인턴현황!$G$3=""),"",INDEX(인턴근무계획!$M$3:$R$402,$AC94,인턴현황!$G$3)&amp;"")</f>
        <v/>
      </c>
      <c r="AE94" s="10">
        <f>IF($B94="","",IF($M94&lt;&gt;"",$M94,IF($AF94&lt;&gt;"",IF(LEFT(INDEX(파견수련계획!$R$4:$R$803,$AF94),1)&lt;&gt;"⚠",INDEX(파견수련계획!$R$4:$R$803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$803,0),IFERROR(MATCH(TRIM($J94&amp;"")&amp;"|파견예정",파견수련계획!$Y$4:$Y$803,0),IFERROR(MATCH(TRIM($J94&amp;"")&amp;"|파견종료",파견수련계획!$Y$4:$Y$803,0),""))))</f>
        <v/>
      </c>
      <c r="AG94" s="10">
        <f>IF($B94="","",IF(AND(IF(OR($AC94="",인턴현황!$K$2=""),"",INDEX(인턴근무계획!$M$3:$R$402,$AC94,인턴현황!$K$2)&amp;"")&lt;&gt;"",LEFT(IF(OR($AC94="",인턴현황!$K$2=""),"",INDEX(인턴근무계획!$M$3:$R$402,$AC94,인턴현황!$K$2)&amp;""),1)&lt;&gt;"⚠"),LEFT(IF(OR($AC94="",인턴현황!$K$2=""),"",INDEX(인턴근무계획!$M$3:$R$402,$AC94,인턴현황!$K$2)&amp;""),FIND(" ",IF(OR($AC94="",인턴현황!$K$2=""),"",INDEX(인턴근무계획!$M$3:$R$402,$AC94,인턴현황!$K$2)&amp;""))-1),$AE94))</f>
        <v/>
      </c>
      <c r="AH94" s="17">
        <f>IF($B94="","",IF(TRIM($J94&amp;"")="",0,SUMPRODUCT((파견수련계획!$Q$4:$Q$803=TRIM($J94&amp;""))*(파견수련계획!$S$4:$S$803="서울병원")*파견수련계획!$W$4:$W$803))+IF($AG94="서울병원",MAX(0,DAY(EOMONTH(요약!$B$3,0))-N($X94)),0))</f>
        <v/>
      </c>
      <c r="AI94" s="17">
        <f>IF($B94="","",IF(TRIM($J94&amp;"")="",0,SUMPRODUCT((파견수련계획!$Q$4:$Q$803=TRIM($J94&amp;""))*(파견수련계획!$S$4:$S$803="구리병원")*파견수련계획!$W$4:$W$803))+IF($AG94="구리병원",MAX(0,DAY(EOMONTH(요약!$B$3,0))-N($X94)),0))</f>
        <v/>
      </c>
      <c r="AJ94" s="10">
        <f>IF(OR($B94="",TRIM($J94&amp;"")=""),"",IFERROR(MATCH(TRIM($J94&amp;"")&amp;"|월",파견수련계획!$Z$4:$Z$803,0),""))</f>
        <v/>
      </c>
      <c r="AK94" s="10">
        <f>IF(OR($B94="",TRIM($J94&amp;"")=""),"",IFERROR(MATCH(TRIM($J94&amp;"")&amp;"|다기관",파견수련계획!$AE$4:$AE$803,0),""))</f>
        <v/>
      </c>
      <c r="AL94" s="10">
        <f>IF($AK94="","","다기관 "&amp;TEXT(INDEX(파견수련계획!$AB$4:$AB$803,$AK94),"yyyy-mm-dd")&amp;"~"&amp;IF(ISNUMBER(INDEX(파견수련계획!$AC$4:$AC$803,$AK94)),TEXT(INDEX(파견수련계획!$AC$4:$AC$803,$AK94),"yyyy-mm-dd"),""))</f>
        <v/>
      </c>
    </row>
    <row r="95">
      <c r="A95" s="10">
        <f>IF(B95="","",ROW()-1)</f>
        <v/>
      </c>
      <c r="B95" s="18" t="n"/>
      <c r="C95" s="10">
        <f>IF($AB95="","",IF(INDEX(기본자료!$C$2:$C$1001,$AB95)="","",INDEX(기본자료!$C$2:$C$1001,$AB95)))</f>
        <v/>
      </c>
      <c r="D95" s="10">
        <f>IF($AB95="","",IF(INDEX(기본자료!$J$2:$J$1001,$AB95)="","",INDEX(기본자료!$J$2:$J$1001,$AB95)))</f>
        <v/>
      </c>
      <c r="E95" s="11">
        <f>IF($AB95="","",IF(INDEX(기본자료!$K$2:$K$1001,$AB95)="","",IF(NOT(ISNUMBER(INDEX(기본자료!$K$2:$K$1001,$AB95))),INDEX(기본자료!$K$2:$K$1001,$AB95),IF(INDEX(기본자료!$K$2:$K$1001,$AB95)&lt;1000000,INDEX(기본자료!$K$2:$K$1001,$AB95),IF(AND(INDEX(기본자료!$K$2:$K$1001,$AB95)&gt;=10000101,INT(MOD(INDEX(기본자료!$K$2:$K$1001,$AB95),10000)/100)&gt;=1,INT(MOD(INDEX(기본자료!$K$2:$K$1001,$AB95),10000)/100)&lt;=12,MOD(INDEX(기본자료!$K$2:$K$1001,$AB95),100)&gt;=1,MOD(INDEX(기본자료!$K$2:$K$1001,$AB95),100)&lt;=31),DATE(INT(INDEX(기본자료!$K$2:$K$1001,$AB95)/10000),INT(MOD(INDEX(기본자료!$K$2:$K$1001,$AB95),10000)/100),MOD(INDEX(기본자료!$K$2:$K$1001,$AB95),100)),INDEX(기본자료!$K$2:$K$1001,$AB95)&amp;"")))))</f>
        <v/>
      </c>
      <c r="F95" s="10">
        <f>IF($AB95="","",IF(INDEX(기본자료!$D$2:$D$1001,$AB95)="","",INDEX(기본자료!$D$2:$D$1001,$AB95)))</f>
        <v/>
      </c>
      <c r="G95" s="10">
        <f>IF($AB95="","",IF(INDEX(기본자료!$E$2:$E$1001,$AB95)="","",INDEX(기본자료!$E$2:$E$1001,$AB95)))</f>
        <v/>
      </c>
      <c r="H95" s="10">
        <f>IF($AB95="","",IF(INDEX(기본자료!$F$2:$F$1001,$AB95)="","",INDEX(기본자료!$F$2:$F$1001,$AB95)))</f>
        <v/>
      </c>
      <c r="I95" s="11">
        <f>IF($AB95="","",IF(INDEX(기본자료!$G$2:$G$1001,$AB95)="","",IF(NOT(ISNUMBER(INDEX(기본자료!$G$2:$G$1001,$AB95))),INDEX(기본자료!$G$2:$G$1001,$AB95),IF(INDEX(기본자료!$G$2:$G$1001,$AB95)&lt;1000000,INDEX(기본자료!$G$2:$G$1001,$AB95),IF(AND(INDEX(기본자료!$G$2:$G$1001,$AB95)&gt;=10000101,INT(MOD(INDEX(기본자료!$G$2:$G$1001,$AB95),10000)/100)&gt;=1,INT(MOD(INDEX(기본자료!$G$2:$G$1001,$AB95),10000)/100)&lt;=12,MOD(INDEX(기본자료!$G$2:$G$1001,$AB95),100)&gt;=1,MOD(INDEX(기본자료!$G$2:$G$1001,$AB95),100)&lt;=31),DATE(INT(INDEX(기본자료!$G$2:$G$1001,$AB95)/10000),INT(MOD(INDEX(기본자료!$G$2:$G$1001,$AB95),10000)/100),MOD(INDEX(기본자료!$G$2:$G$1001,$AB95),100)),INDEX(기본자료!$G$2:$G$1001,$AB95)&amp;"")))))</f>
        <v/>
      </c>
      <c r="J95" s="10">
        <f>IF($AB95="","",IF(INDEX(기본자료!$H$2:$H$1001,$AB95)="","",INDEX(기본자료!$H$2:$H$1001,$AB95)))</f>
        <v/>
      </c>
      <c r="K95" s="10">
        <f>IF($AB95="","",IF(INDEX(기본자료!$I$2:$I$1001,$AB95)="","",INDEX(기본자료!$I$2:$I$1001,$AB95)))</f>
        <v/>
      </c>
      <c r="L95" s="10">
        <f>IF($AB95="","",IF(INDEX(기본자료!$A$2:$A$1001,$AB95)="","",INDEX(기본자료!$A$2:$A$1001,$AB95)))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파견수련계획!$AB$4:$AB$803,$AK95),OR(NOT(ISNUMBER(INDEX(파견수련계획!$AC$4:$AC$803,$AK95))),TODAY()&lt;=INDEX(파견수련계획!$AC$4:$AC$803,$AK95))),"다기관",IF($AF95="","",INDEX(파견수련계획!$T$4:$T$803,$AF95))),IF($AF95="","",INDEX(파견수련계획!$T$4:$T$803,$AF95))))</f>
        <v/>
      </c>
      <c r="Q95" s="10">
        <f>IF($AF95="","",INDEX(파견수련계획!$S$4:$S$803,$AF95))</f>
        <v/>
      </c>
      <c r="R95" s="10">
        <f>IF($AF95="","",INDEX(파견수련계획!$U$4:$U$803,$AF95))</f>
        <v/>
      </c>
      <c r="S95" s="11">
        <f>IF($AF95="","",IF(INDEX(파견수련계획!$H$4:$H$803,$AF95)="","",INDEX(파견수련계획!$H$4:$H$803,$AF95)))</f>
        <v/>
      </c>
      <c r="T95" s="11">
        <f>IF($AF95="","",IF(INDEX(파견수련계획!$I$4:$I$803,$AF95)="","",INDEX(파견수련계획!$I$4:$I$803,$AF95)))</f>
        <v/>
      </c>
      <c r="U95" s="10">
        <f>IF($AF95="","",INDEX(파견수련계획!$X$4:$X$803,$AF95))</f>
        <v/>
      </c>
      <c r="V95" s="17">
        <f>IF($AF95="","",INDEX(파견수련계획!$V$4:$V$803,$AF95))</f>
        <v/>
      </c>
      <c r="W95" s="17">
        <f>IF(AND($U95="파견중",$T95&lt;&gt;""),$T95-TODAY(),"")</f>
        <v/>
      </c>
      <c r="X95" s="17">
        <f>IF(OR($B95="",TRIM($J95&amp;"")=""),"",SUMPRODUCT((파견수련계획!$Q$4:$Q$803=TRIM($J95&amp;""))*파견수련계획!$W$4:$W$803))</f>
        <v/>
      </c>
      <c r="Y95" s="10">
        <f>IF($B95="","",IF($AG95="","",IF(IF(TRIM($J95&amp;"")="",0,SUMPRODUCT((파견수련계획!$Q$4:$Q$803=TRIM($J95&amp;""))*파견수련계획!$AD$4:$AD$803))&gt;0,$AE95,IF(N($X95)&lt;=0,$AG95,IF($AH95+$AI95=DAY(EOMONTH(요약!$B$3,0)),IF(AND($AH95&gt;=요약!$E$3,$AI95&lt;요약!$E$3),"서울병원",IF(AND($AI95&gt;=요약!$E$3,$AH95&lt;요약!$E$3),"구리병원","⚠15일 판정불가(서울 "&amp;$AH95&amp;"일/구리 "&amp;$AI95&amp;"일)")),IF($AJ95="",$AE95,IF(INDEX(파견수련계획!$T$4:$T$803,$AJ95)="통합수련",INDEX(파견수련계획!$S$4:$S$803,$AJ95),$AE95)))))))</f>
        <v/>
      </c>
      <c r="Z95" s="19">
        <f>IF($B95="","",IF($AB95="","기본자료에 없는 사번",IF(COUNTIF($B$2:$B$401,$B95)&gt;1,"중복 사번",IF($AE95="","소속(입사장소) 입력",IF(IF(TRIM($J95&amp;"")="",0,SUMPRODUCT((파견수련계획!$Q$4:$Q$803=TRIM($J95&amp;""))*(파견수련계획!$AA$4:$AA$803&lt;&gt;"")))&gt;0,"파견수련계획 입력오류 확인",IF(LEFT($Y95,1)="⚠","서울·구리 15일 판정 불가(양쪽 모두 이상/미만)",IF(IF($AC95="",0,N(INDEX(인턴근무계획!$T$3:$T$402,$AC95)))&gt;0,"인턴계획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IF($B95="","",IFERROR(MATCH($B95,기본자료!$B$2:$B$1001,0),IFERROR(MATCH($B95&amp;"",기본자료!$B$2:$B$1001,0),IFERROR(MATCH(VALUE($B95),기본자료!$B$2:$B$1001,0),""))))</f>
        <v/>
      </c>
      <c r="AC95" s="10">
        <f>IF($B95="","",IFERROR(MATCH($B95,인턴근무계획!$D$3:$D$402,0),IFERROR(MATCH($B95&amp;"",인턴근무계획!$D$3:$D$402,0),IFERROR(MATCH(VALUE($B95),인턴근무계획!$D$3:$D$402,0),""))))</f>
        <v/>
      </c>
      <c r="AD95" s="10">
        <f>IF(OR($AC95="",인턴현황!$G$3=""),"",INDEX(인턴근무계획!$M$3:$R$402,$AC95,인턴현황!$G$3)&amp;"")</f>
        <v/>
      </c>
      <c r="AE95" s="10">
        <f>IF($B95="","",IF($M95&lt;&gt;"",$M95,IF($AF95&lt;&gt;"",IF(LEFT(INDEX(파견수련계획!$R$4:$R$803,$AF95),1)&lt;&gt;"⚠",INDEX(파견수련계획!$R$4:$R$803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$803,0),IFERROR(MATCH(TRIM($J95&amp;"")&amp;"|파견예정",파견수련계획!$Y$4:$Y$803,0),IFERROR(MATCH(TRIM($J95&amp;"")&amp;"|파견종료",파견수련계획!$Y$4:$Y$803,0),""))))</f>
        <v/>
      </c>
      <c r="AG95" s="10">
        <f>IF($B95="","",IF(AND(IF(OR($AC95="",인턴현황!$K$2=""),"",INDEX(인턴근무계획!$M$3:$R$402,$AC95,인턴현황!$K$2)&amp;"")&lt;&gt;"",LEFT(IF(OR($AC95="",인턴현황!$K$2=""),"",INDEX(인턴근무계획!$M$3:$R$402,$AC95,인턴현황!$K$2)&amp;""),1)&lt;&gt;"⚠"),LEFT(IF(OR($AC95="",인턴현황!$K$2=""),"",INDEX(인턴근무계획!$M$3:$R$402,$AC95,인턴현황!$K$2)&amp;""),FIND(" ",IF(OR($AC95="",인턴현황!$K$2=""),"",INDEX(인턴근무계획!$M$3:$R$402,$AC95,인턴현황!$K$2)&amp;""))-1),$AE95))</f>
        <v/>
      </c>
      <c r="AH95" s="17">
        <f>IF($B95="","",IF(TRIM($J95&amp;"")="",0,SUMPRODUCT((파견수련계획!$Q$4:$Q$803=TRIM($J95&amp;""))*(파견수련계획!$S$4:$S$803="서울병원")*파견수련계획!$W$4:$W$803))+IF($AG95="서울병원",MAX(0,DAY(EOMONTH(요약!$B$3,0))-N($X95)),0))</f>
        <v/>
      </c>
      <c r="AI95" s="17">
        <f>IF($B95="","",IF(TRIM($J95&amp;"")="",0,SUMPRODUCT((파견수련계획!$Q$4:$Q$803=TRIM($J95&amp;""))*(파견수련계획!$S$4:$S$803="구리병원")*파견수련계획!$W$4:$W$803))+IF($AG95="구리병원",MAX(0,DAY(EOMONTH(요약!$B$3,0))-N($X95)),0))</f>
        <v/>
      </c>
      <c r="AJ95" s="10">
        <f>IF(OR($B95="",TRIM($J95&amp;"")=""),"",IFERROR(MATCH(TRIM($J95&amp;"")&amp;"|월",파견수련계획!$Z$4:$Z$803,0),""))</f>
        <v/>
      </c>
      <c r="AK95" s="10">
        <f>IF(OR($B95="",TRIM($J95&amp;"")=""),"",IFERROR(MATCH(TRIM($J95&amp;"")&amp;"|다기관",파견수련계획!$AE$4:$AE$803,0),""))</f>
        <v/>
      </c>
      <c r="AL95" s="10">
        <f>IF($AK95="","","다기관 "&amp;TEXT(INDEX(파견수련계획!$AB$4:$AB$803,$AK95),"yyyy-mm-dd")&amp;"~"&amp;IF(ISNUMBER(INDEX(파견수련계획!$AC$4:$AC$803,$AK95)),TEXT(INDEX(파견수련계획!$AC$4:$AC$803,$AK95),"yyyy-mm-dd"),""))</f>
        <v/>
      </c>
    </row>
    <row r="96">
      <c r="A96" s="10">
        <f>IF(B96="","",ROW()-1)</f>
        <v/>
      </c>
      <c r="B96" s="18" t="n"/>
      <c r="C96" s="10">
        <f>IF($AB96="","",IF(INDEX(기본자료!$C$2:$C$1001,$AB96)="","",INDEX(기본자료!$C$2:$C$1001,$AB96)))</f>
        <v/>
      </c>
      <c r="D96" s="10">
        <f>IF($AB96="","",IF(INDEX(기본자료!$J$2:$J$1001,$AB96)="","",INDEX(기본자료!$J$2:$J$1001,$AB96)))</f>
        <v/>
      </c>
      <c r="E96" s="11">
        <f>IF($AB96="","",IF(INDEX(기본자료!$K$2:$K$1001,$AB96)="","",IF(NOT(ISNUMBER(INDEX(기본자료!$K$2:$K$1001,$AB96))),INDEX(기본자료!$K$2:$K$1001,$AB96),IF(INDEX(기본자료!$K$2:$K$1001,$AB96)&lt;1000000,INDEX(기본자료!$K$2:$K$1001,$AB96),IF(AND(INDEX(기본자료!$K$2:$K$1001,$AB96)&gt;=10000101,INT(MOD(INDEX(기본자료!$K$2:$K$1001,$AB96),10000)/100)&gt;=1,INT(MOD(INDEX(기본자료!$K$2:$K$1001,$AB96),10000)/100)&lt;=12,MOD(INDEX(기본자료!$K$2:$K$1001,$AB96),100)&gt;=1,MOD(INDEX(기본자료!$K$2:$K$1001,$AB96),100)&lt;=31),DATE(INT(INDEX(기본자료!$K$2:$K$1001,$AB96)/10000),INT(MOD(INDEX(기본자료!$K$2:$K$1001,$AB96),10000)/100),MOD(INDEX(기본자료!$K$2:$K$1001,$AB96),100)),INDEX(기본자료!$K$2:$K$1001,$AB96)&amp;"")))))</f>
        <v/>
      </c>
      <c r="F96" s="10">
        <f>IF($AB96="","",IF(INDEX(기본자료!$D$2:$D$1001,$AB96)="","",INDEX(기본자료!$D$2:$D$1001,$AB96)))</f>
        <v/>
      </c>
      <c r="G96" s="10">
        <f>IF($AB96="","",IF(INDEX(기본자료!$E$2:$E$1001,$AB96)="","",INDEX(기본자료!$E$2:$E$1001,$AB96)))</f>
        <v/>
      </c>
      <c r="H96" s="10">
        <f>IF($AB96="","",IF(INDEX(기본자료!$F$2:$F$1001,$AB96)="","",INDEX(기본자료!$F$2:$F$1001,$AB96)))</f>
        <v/>
      </c>
      <c r="I96" s="11">
        <f>IF($AB96="","",IF(INDEX(기본자료!$G$2:$G$1001,$AB96)="","",IF(NOT(ISNUMBER(INDEX(기본자료!$G$2:$G$1001,$AB96))),INDEX(기본자료!$G$2:$G$1001,$AB96),IF(INDEX(기본자료!$G$2:$G$1001,$AB96)&lt;1000000,INDEX(기본자료!$G$2:$G$1001,$AB96),IF(AND(INDEX(기본자료!$G$2:$G$1001,$AB96)&gt;=10000101,INT(MOD(INDEX(기본자료!$G$2:$G$1001,$AB96),10000)/100)&gt;=1,INT(MOD(INDEX(기본자료!$G$2:$G$1001,$AB96),10000)/100)&lt;=12,MOD(INDEX(기본자료!$G$2:$G$1001,$AB96),100)&gt;=1,MOD(INDEX(기본자료!$G$2:$G$1001,$AB96),100)&lt;=31),DATE(INT(INDEX(기본자료!$G$2:$G$1001,$AB96)/10000),INT(MOD(INDEX(기본자료!$G$2:$G$1001,$AB96),10000)/100),MOD(INDEX(기본자료!$G$2:$G$1001,$AB96),100)),INDEX(기본자료!$G$2:$G$1001,$AB96)&amp;"")))))</f>
        <v/>
      </c>
      <c r="J96" s="10">
        <f>IF($AB96="","",IF(INDEX(기본자료!$H$2:$H$1001,$AB96)="","",INDEX(기본자료!$H$2:$H$1001,$AB96)))</f>
        <v/>
      </c>
      <c r="K96" s="10">
        <f>IF($AB96="","",IF(INDEX(기본자료!$I$2:$I$1001,$AB96)="","",INDEX(기본자료!$I$2:$I$1001,$AB96)))</f>
        <v/>
      </c>
      <c r="L96" s="10">
        <f>IF($AB96="","",IF(INDEX(기본자료!$A$2:$A$1001,$AB96)="","",INDEX(기본자료!$A$2:$A$1001,$AB96)))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파견수련계획!$AB$4:$AB$803,$AK96),OR(NOT(ISNUMBER(INDEX(파견수련계획!$AC$4:$AC$803,$AK96))),TODAY()&lt;=INDEX(파견수련계획!$AC$4:$AC$803,$AK96))),"다기관",IF($AF96="","",INDEX(파견수련계획!$T$4:$T$803,$AF96))),IF($AF96="","",INDEX(파견수련계획!$T$4:$T$803,$AF96))))</f>
        <v/>
      </c>
      <c r="Q96" s="10">
        <f>IF($AF96="","",INDEX(파견수련계획!$S$4:$S$803,$AF96))</f>
        <v/>
      </c>
      <c r="R96" s="10">
        <f>IF($AF96="","",INDEX(파견수련계획!$U$4:$U$803,$AF96))</f>
        <v/>
      </c>
      <c r="S96" s="11">
        <f>IF($AF96="","",IF(INDEX(파견수련계획!$H$4:$H$803,$AF96)="","",INDEX(파견수련계획!$H$4:$H$803,$AF96)))</f>
        <v/>
      </c>
      <c r="T96" s="11">
        <f>IF($AF96="","",IF(INDEX(파견수련계획!$I$4:$I$803,$AF96)="","",INDEX(파견수련계획!$I$4:$I$803,$AF96)))</f>
        <v/>
      </c>
      <c r="U96" s="10">
        <f>IF($AF96="","",INDEX(파견수련계획!$X$4:$X$803,$AF96))</f>
        <v/>
      </c>
      <c r="V96" s="17">
        <f>IF($AF96="","",INDEX(파견수련계획!$V$4:$V$803,$AF96))</f>
        <v/>
      </c>
      <c r="W96" s="17">
        <f>IF(AND($U96="파견중",$T96&lt;&gt;""),$T96-TODAY(),"")</f>
        <v/>
      </c>
      <c r="X96" s="17">
        <f>IF(OR($B96="",TRIM($J96&amp;"")=""),"",SUMPRODUCT((파견수련계획!$Q$4:$Q$803=TRIM($J96&amp;""))*파견수련계획!$W$4:$W$803))</f>
        <v/>
      </c>
      <c r="Y96" s="10">
        <f>IF($B96="","",IF($AG96="","",IF(IF(TRIM($J96&amp;"")="",0,SUMPRODUCT((파견수련계획!$Q$4:$Q$803=TRIM($J96&amp;""))*파견수련계획!$AD$4:$AD$803))&gt;0,$AE96,IF(N($X96)&lt;=0,$AG96,IF($AH96+$AI96=DAY(EOMONTH(요약!$B$3,0)),IF(AND($AH96&gt;=요약!$E$3,$AI96&lt;요약!$E$3),"서울병원",IF(AND($AI96&gt;=요약!$E$3,$AH96&lt;요약!$E$3),"구리병원","⚠15일 판정불가(서울 "&amp;$AH96&amp;"일/구리 "&amp;$AI96&amp;"일)")),IF($AJ96="",$AE96,IF(INDEX(파견수련계획!$T$4:$T$803,$AJ96)="통합수련",INDEX(파견수련계획!$S$4:$S$803,$AJ96),$AE96)))))))</f>
        <v/>
      </c>
      <c r="Z96" s="19">
        <f>IF($B96="","",IF($AB96="","기본자료에 없는 사번",IF(COUNTIF($B$2:$B$401,$B96)&gt;1,"중복 사번",IF($AE96="","소속(입사장소) 입력",IF(IF(TRIM($J96&amp;"")="",0,SUMPRODUCT((파견수련계획!$Q$4:$Q$803=TRIM($J96&amp;""))*(파견수련계획!$AA$4:$AA$803&lt;&gt;"")))&gt;0,"파견수련계획 입력오류 확인",IF(LEFT($Y96,1)="⚠","서울·구리 15일 판정 불가(양쪽 모두 이상/미만)",IF(IF($AC96="",0,N(INDEX(인턴근무계획!$T$3:$T$402,$AC96)))&gt;0,"인턴계획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IF($B96="","",IFERROR(MATCH($B96,기본자료!$B$2:$B$1001,0),IFERROR(MATCH($B96&amp;"",기본자료!$B$2:$B$1001,0),IFERROR(MATCH(VALUE($B96),기본자료!$B$2:$B$1001,0),""))))</f>
        <v/>
      </c>
      <c r="AC96" s="10">
        <f>IF($B96="","",IFERROR(MATCH($B96,인턴근무계획!$D$3:$D$402,0),IFERROR(MATCH($B96&amp;"",인턴근무계획!$D$3:$D$402,0),IFERROR(MATCH(VALUE($B96),인턴근무계획!$D$3:$D$402,0),""))))</f>
        <v/>
      </c>
      <c r="AD96" s="10">
        <f>IF(OR($AC96="",인턴현황!$G$3=""),"",INDEX(인턴근무계획!$M$3:$R$402,$AC96,인턴현황!$G$3)&amp;"")</f>
        <v/>
      </c>
      <c r="AE96" s="10">
        <f>IF($B96="","",IF($M96&lt;&gt;"",$M96,IF($AF96&lt;&gt;"",IF(LEFT(INDEX(파견수련계획!$R$4:$R$803,$AF96),1)&lt;&gt;"⚠",INDEX(파견수련계획!$R$4:$R$803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$803,0),IFERROR(MATCH(TRIM($J96&amp;"")&amp;"|파견예정",파견수련계획!$Y$4:$Y$803,0),IFERROR(MATCH(TRIM($J96&amp;"")&amp;"|파견종료",파견수련계획!$Y$4:$Y$803,0),""))))</f>
        <v/>
      </c>
      <c r="AG96" s="10">
        <f>IF($B96="","",IF(AND(IF(OR($AC96="",인턴현황!$K$2=""),"",INDEX(인턴근무계획!$M$3:$R$402,$AC96,인턴현황!$K$2)&amp;"")&lt;&gt;"",LEFT(IF(OR($AC96="",인턴현황!$K$2=""),"",INDEX(인턴근무계획!$M$3:$R$402,$AC96,인턴현황!$K$2)&amp;""),1)&lt;&gt;"⚠"),LEFT(IF(OR($AC96="",인턴현황!$K$2=""),"",INDEX(인턴근무계획!$M$3:$R$402,$AC96,인턴현황!$K$2)&amp;""),FIND(" ",IF(OR($AC96="",인턴현황!$K$2=""),"",INDEX(인턴근무계획!$M$3:$R$402,$AC96,인턴현황!$K$2)&amp;""))-1),$AE96))</f>
        <v/>
      </c>
      <c r="AH96" s="17">
        <f>IF($B96="","",IF(TRIM($J96&amp;"")="",0,SUMPRODUCT((파견수련계획!$Q$4:$Q$803=TRIM($J96&amp;""))*(파견수련계획!$S$4:$S$803="서울병원")*파견수련계획!$W$4:$W$803))+IF($AG96="서울병원",MAX(0,DAY(EOMONTH(요약!$B$3,0))-N($X96)),0))</f>
        <v/>
      </c>
      <c r="AI96" s="17">
        <f>IF($B96="","",IF(TRIM($J96&amp;"")="",0,SUMPRODUCT((파견수련계획!$Q$4:$Q$803=TRIM($J96&amp;""))*(파견수련계획!$S$4:$S$803="구리병원")*파견수련계획!$W$4:$W$803))+IF($AG96="구리병원",MAX(0,DAY(EOMONTH(요약!$B$3,0))-N($X96)),0))</f>
        <v/>
      </c>
      <c r="AJ96" s="10">
        <f>IF(OR($B96="",TRIM($J96&amp;"")=""),"",IFERROR(MATCH(TRIM($J96&amp;"")&amp;"|월",파견수련계획!$Z$4:$Z$803,0),""))</f>
        <v/>
      </c>
      <c r="AK96" s="10">
        <f>IF(OR($B96="",TRIM($J96&amp;"")=""),"",IFERROR(MATCH(TRIM($J96&amp;"")&amp;"|다기관",파견수련계획!$AE$4:$AE$803,0),""))</f>
        <v/>
      </c>
      <c r="AL96" s="10">
        <f>IF($AK96="","","다기관 "&amp;TEXT(INDEX(파견수련계획!$AB$4:$AB$803,$AK96),"yyyy-mm-dd")&amp;"~"&amp;IF(ISNUMBER(INDEX(파견수련계획!$AC$4:$AC$803,$AK96)),TEXT(INDEX(파견수련계획!$AC$4:$AC$803,$AK96),"yyyy-mm-dd"),""))</f>
        <v/>
      </c>
    </row>
    <row r="97">
      <c r="A97" s="10">
        <f>IF(B97="","",ROW()-1)</f>
        <v/>
      </c>
      <c r="B97" s="18" t="n"/>
      <c r="C97" s="10">
        <f>IF($AB97="","",IF(INDEX(기본자료!$C$2:$C$1001,$AB97)="","",INDEX(기본자료!$C$2:$C$1001,$AB97)))</f>
        <v/>
      </c>
      <c r="D97" s="10">
        <f>IF($AB97="","",IF(INDEX(기본자료!$J$2:$J$1001,$AB97)="","",INDEX(기본자료!$J$2:$J$1001,$AB97)))</f>
        <v/>
      </c>
      <c r="E97" s="11">
        <f>IF($AB97="","",IF(INDEX(기본자료!$K$2:$K$1001,$AB97)="","",IF(NOT(ISNUMBER(INDEX(기본자료!$K$2:$K$1001,$AB97))),INDEX(기본자료!$K$2:$K$1001,$AB97),IF(INDEX(기본자료!$K$2:$K$1001,$AB97)&lt;1000000,INDEX(기본자료!$K$2:$K$1001,$AB97),IF(AND(INDEX(기본자료!$K$2:$K$1001,$AB97)&gt;=10000101,INT(MOD(INDEX(기본자료!$K$2:$K$1001,$AB97),10000)/100)&gt;=1,INT(MOD(INDEX(기본자료!$K$2:$K$1001,$AB97),10000)/100)&lt;=12,MOD(INDEX(기본자료!$K$2:$K$1001,$AB97),100)&gt;=1,MOD(INDEX(기본자료!$K$2:$K$1001,$AB97),100)&lt;=31),DATE(INT(INDEX(기본자료!$K$2:$K$1001,$AB97)/10000),INT(MOD(INDEX(기본자료!$K$2:$K$1001,$AB97),10000)/100),MOD(INDEX(기본자료!$K$2:$K$1001,$AB97),100)),INDEX(기본자료!$K$2:$K$1001,$AB97)&amp;"")))))</f>
        <v/>
      </c>
      <c r="F97" s="10">
        <f>IF($AB97="","",IF(INDEX(기본자료!$D$2:$D$1001,$AB97)="","",INDEX(기본자료!$D$2:$D$1001,$AB97)))</f>
        <v/>
      </c>
      <c r="G97" s="10">
        <f>IF($AB97="","",IF(INDEX(기본자료!$E$2:$E$1001,$AB97)="","",INDEX(기본자료!$E$2:$E$1001,$AB97)))</f>
        <v/>
      </c>
      <c r="H97" s="10">
        <f>IF($AB97="","",IF(INDEX(기본자료!$F$2:$F$1001,$AB97)="","",INDEX(기본자료!$F$2:$F$1001,$AB97)))</f>
        <v/>
      </c>
      <c r="I97" s="11">
        <f>IF($AB97="","",IF(INDEX(기본자료!$G$2:$G$1001,$AB97)="","",IF(NOT(ISNUMBER(INDEX(기본자료!$G$2:$G$1001,$AB97))),INDEX(기본자료!$G$2:$G$1001,$AB97),IF(INDEX(기본자료!$G$2:$G$1001,$AB97)&lt;1000000,INDEX(기본자료!$G$2:$G$1001,$AB97),IF(AND(INDEX(기본자료!$G$2:$G$1001,$AB97)&gt;=10000101,INT(MOD(INDEX(기본자료!$G$2:$G$1001,$AB97),10000)/100)&gt;=1,INT(MOD(INDEX(기본자료!$G$2:$G$1001,$AB97),10000)/100)&lt;=12,MOD(INDEX(기본자료!$G$2:$G$1001,$AB97),100)&gt;=1,MOD(INDEX(기본자료!$G$2:$G$1001,$AB97),100)&lt;=31),DATE(INT(INDEX(기본자료!$G$2:$G$1001,$AB97)/10000),INT(MOD(INDEX(기본자료!$G$2:$G$1001,$AB97),10000)/100),MOD(INDEX(기본자료!$G$2:$G$1001,$AB97),100)),INDEX(기본자료!$G$2:$G$1001,$AB97)&amp;"")))))</f>
        <v/>
      </c>
      <c r="J97" s="10">
        <f>IF($AB97="","",IF(INDEX(기본자료!$H$2:$H$1001,$AB97)="","",INDEX(기본자료!$H$2:$H$1001,$AB97)))</f>
        <v/>
      </c>
      <c r="K97" s="10">
        <f>IF($AB97="","",IF(INDEX(기본자료!$I$2:$I$1001,$AB97)="","",INDEX(기본자료!$I$2:$I$1001,$AB97)))</f>
        <v/>
      </c>
      <c r="L97" s="10">
        <f>IF($AB97="","",IF(INDEX(기본자료!$A$2:$A$1001,$AB97)="","",INDEX(기본자료!$A$2:$A$1001,$AB97)))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파견수련계획!$AB$4:$AB$803,$AK97),OR(NOT(ISNUMBER(INDEX(파견수련계획!$AC$4:$AC$803,$AK97))),TODAY()&lt;=INDEX(파견수련계획!$AC$4:$AC$803,$AK97))),"다기관",IF($AF97="","",INDEX(파견수련계획!$T$4:$T$803,$AF97))),IF($AF97="","",INDEX(파견수련계획!$T$4:$T$803,$AF97))))</f>
        <v/>
      </c>
      <c r="Q97" s="10">
        <f>IF($AF97="","",INDEX(파견수련계획!$S$4:$S$803,$AF97))</f>
        <v/>
      </c>
      <c r="R97" s="10">
        <f>IF($AF97="","",INDEX(파견수련계획!$U$4:$U$803,$AF97))</f>
        <v/>
      </c>
      <c r="S97" s="11">
        <f>IF($AF97="","",IF(INDEX(파견수련계획!$H$4:$H$803,$AF97)="","",INDEX(파견수련계획!$H$4:$H$803,$AF97)))</f>
        <v/>
      </c>
      <c r="T97" s="11">
        <f>IF($AF97="","",IF(INDEX(파견수련계획!$I$4:$I$803,$AF97)="","",INDEX(파견수련계획!$I$4:$I$803,$AF97)))</f>
        <v/>
      </c>
      <c r="U97" s="10">
        <f>IF($AF97="","",INDEX(파견수련계획!$X$4:$X$803,$AF97))</f>
        <v/>
      </c>
      <c r="V97" s="17">
        <f>IF($AF97="","",INDEX(파견수련계획!$V$4:$V$803,$AF97))</f>
        <v/>
      </c>
      <c r="W97" s="17">
        <f>IF(AND($U97="파견중",$T97&lt;&gt;""),$T97-TODAY(),"")</f>
        <v/>
      </c>
      <c r="X97" s="17">
        <f>IF(OR($B97="",TRIM($J97&amp;"")=""),"",SUMPRODUCT((파견수련계획!$Q$4:$Q$803=TRIM($J97&amp;""))*파견수련계획!$W$4:$W$803))</f>
        <v/>
      </c>
      <c r="Y97" s="10">
        <f>IF($B97="","",IF($AG97="","",IF(IF(TRIM($J97&amp;"")="",0,SUMPRODUCT((파견수련계획!$Q$4:$Q$803=TRIM($J97&amp;""))*파견수련계획!$AD$4:$AD$803))&gt;0,$AE97,IF(N($X97)&lt;=0,$AG97,IF($AH97+$AI97=DAY(EOMONTH(요약!$B$3,0)),IF(AND($AH97&gt;=요약!$E$3,$AI97&lt;요약!$E$3),"서울병원",IF(AND($AI97&gt;=요약!$E$3,$AH97&lt;요약!$E$3),"구리병원","⚠15일 판정불가(서울 "&amp;$AH97&amp;"일/구리 "&amp;$AI97&amp;"일)")),IF($AJ97="",$AE97,IF(INDEX(파견수련계획!$T$4:$T$803,$AJ97)="통합수련",INDEX(파견수련계획!$S$4:$S$803,$AJ97),$AE97)))))))</f>
        <v/>
      </c>
      <c r="Z97" s="19">
        <f>IF($B97="","",IF($AB97="","기본자료에 없는 사번",IF(COUNTIF($B$2:$B$401,$B97)&gt;1,"중복 사번",IF($AE97="","소속(입사장소) 입력",IF(IF(TRIM($J97&amp;"")="",0,SUMPRODUCT((파견수련계획!$Q$4:$Q$803=TRIM($J97&amp;""))*(파견수련계획!$AA$4:$AA$803&lt;&gt;"")))&gt;0,"파견수련계획 입력오류 확인",IF(LEFT($Y97,1)="⚠","서울·구리 15일 판정 불가(양쪽 모두 이상/미만)",IF(IF($AC97="",0,N(INDEX(인턴근무계획!$T$3:$T$402,$AC97)))&gt;0,"인턴계획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IF($B97="","",IFERROR(MATCH($B97,기본자료!$B$2:$B$1001,0),IFERROR(MATCH($B97&amp;"",기본자료!$B$2:$B$1001,0),IFERROR(MATCH(VALUE($B97),기본자료!$B$2:$B$1001,0),""))))</f>
        <v/>
      </c>
      <c r="AC97" s="10">
        <f>IF($B97="","",IFERROR(MATCH($B97,인턴근무계획!$D$3:$D$402,0),IFERROR(MATCH($B97&amp;"",인턴근무계획!$D$3:$D$402,0),IFERROR(MATCH(VALUE($B97),인턴근무계획!$D$3:$D$402,0),""))))</f>
        <v/>
      </c>
      <c r="AD97" s="10">
        <f>IF(OR($AC97="",인턴현황!$G$3=""),"",INDEX(인턴근무계획!$M$3:$R$402,$AC97,인턴현황!$G$3)&amp;"")</f>
        <v/>
      </c>
      <c r="AE97" s="10">
        <f>IF($B97="","",IF($M97&lt;&gt;"",$M97,IF($AF97&lt;&gt;"",IF(LEFT(INDEX(파견수련계획!$R$4:$R$803,$AF97),1)&lt;&gt;"⚠",INDEX(파견수련계획!$R$4:$R$803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$803,0),IFERROR(MATCH(TRIM($J97&amp;"")&amp;"|파견예정",파견수련계획!$Y$4:$Y$803,0),IFERROR(MATCH(TRIM($J97&amp;"")&amp;"|파견종료",파견수련계획!$Y$4:$Y$803,0),""))))</f>
        <v/>
      </c>
      <c r="AG97" s="10">
        <f>IF($B97="","",IF(AND(IF(OR($AC97="",인턴현황!$K$2=""),"",INDEX(인턴근무계획!$M$3:$R$402,$AC97,인턴현황!$K$2)&amp;"")&lt;&gt;"",LEFT(IF(OR($AC97="",인턴현황!$K$2=""),"",INDEX(인턴근무계획!$M$3:$R$402,$AC97,인턴현황!$K$2)&amp;""),1)&lt;&gt;"⚠"),LEFT(IF(OR($AC97="",인턴현황!$K$2=""),"",INDEX(인턴근무계획!$M$3:$R$402,$AC97,인턴현황!$K$2)&amp;""),FIND(" ",IF(OR($AC97="",인턴현황!$K$2=""),"",INDEX(인턴근무계획!$M$3:$R$402,$AC97,인턴현황!$K$2)&amp;""))-1),$AE97))</f>
        <v/>
      </c>
      <c r="AH97" s="17">
        <f>IF($B97="","",IF(TRIM($J97&amp;"")="",0,SUMPRODUCT((파견수련계획!$Q$4:$Q$803=TRIM($J97&amp;""))*(파견수련계획!$S$4:$S$803="서울병원")*파견수련계획!$W$4:$W$803))+IF($AG97="서울병원",MAX(0,DAY(EOMONTH(요약!$B$3,0))-N($X97)),0))</f>
        <v/>
      </c>
      <c r="AI97" s="17">
        <f>IF($B97="","",IF(TRIM($J97&amp;"")="",0,SUMPRODUCT((파견수련계획!$Q$4:$Q$803=TRIM($J97&amp;""))*(파견수련계획!$S$4:$S$803="구리병원")*파견수련계획!$W$4:$W$803))+IF($AG97="구리병원",MAX(0,DAY(EOMONTH(요약!$B$3,0))-N($X97)),0))</f>
        <v/>
      </c>
      <c r="AJ97" s="10">
        <f>IF(OR($B97="",TRIM($J97&amp;"")=""),"",IFERROR(MATCH(TRIM($J97&amp;"")&amp;"|월",파견수련계획!$Z$4:$Z$803,0),""))</f>
        <v/>
      </c>
      <c r="AK97" s="10">
        <f>IF(OR($B97="",TRIM($J97&amp;"")=""),"",IFERROR(MATCH(TRIM($J97&amp;"")&amp;"|다기관",파견수련계획!$AE$4:$AE$803,0),""))</f>
        <v/>
      </c>
      <c r="AL97" s="10">
        <f>IF($AK97="","","다기관 "&amp;TEXT(INDEX(파견수련계획!$AB$4:$AB$803,$AK97),"yyyy-mm-dd")&amp;"~"&amp;IF(ISNUMBER(INDEX(파견수련계획!$AC$4:$AC$803,$AK97)),TEXT(INDEX(파견수련계획!$AC$4:$AC$803,$AK97),"yyyy-mm-dd"),""))</f>
        <v/>
      </c>
    </row>
    <row r="98">
      <c r="A98" s="10">
        <f>IF(B98="","",ROW()-1)</f>
        <v/>
      </c>
      <c r="B98" s="18" t="n"/>
      <c r="C98" s="10">
        <f>IF($AB98="","",IF(INDEX(기본자료!$C$2:$C$1001,$AB98)="","",INDEX(기본자료!$C$2:$C$1001,$AB98)))</f>
        <v/>
      </c>
      <c r="D98" s="10">
        <f>IF($AB98="","",IF(INDEX(기본자료!$J$2:$J$1001,$AB98)="","",INDEX(기본자료!$J$2:$J$1001,$AB98)))</f>
        <v/>
      </c>
      <c r="E98" s="11">
        <f>IF($AB98="","",IF(INDEX(기본자료!$K$2:$K$1001,$AB98)="","",IF(NOT(ISNUMBER(INDEX(기본자료!$K$2:$K$1001,$AB98))),INDEX(기본자료!$K$2:$K$1001,$AB98),IF(INDEX(기본자료!$K$2:$K$1001,$AB98)&lt;1000000,INDEX(기본자료!$K$2:$K$1001,$AB98),IF(AND(INDEX(기본자료!$K$2:$K$1001,$AB98)&gt;=10000101,INT(MOD(INDEX(기본자료!$K$2:$K$1001,$AB98),10000)/100)&gt;=1,INT(MOD(INDEX(기본자료!$K$2:$K$1001,$AB98),10000)/100)&lt;=12,MOD(INDEX(기본자료!$K$2:$K$1001,$AB98),100)&gt;=1,MOD(INDEX(기본자료!$K$2:$K$1001,$AB98),100)&lt;=31),DATE(INT(INDEX(기본자료!$K$2:$K$1001,$AB98)/10000),INT(MOD(INDEX(기본자료!$K$2:$K$1001,$AB98),10000)/100),MOD(INDEX(기본자료!$K$2:$K$1001,$AB98),100)),INDEX(기본자료!$K$2:$K$1001,$AB98)&amp;"")))))</f>
        <v/>
      </c>
      <c r="F98" s="10">
        <f>IF($AB98="","",IF(INDEX(기본자료!$D$2:$D$1001,$AB98)="","",INDEX(기본자료!$D$2:$D$1001,$AB98)))</f>
        <v/>
      </c>
      <c r="G98" s="10">
        <f>IF($AB98="","",IF(INDEX(기본자료!$E$2:$E$1001,$AB98)="","",INDEX(기본자료!$E$2:$E$1001,$AB98)))</f>
        <v/>
      </c>
      <c r="H98" s="10">
        <f>IF($AB98="","",IF(INDEX(기본자료!$F$2:$F$1001,$AB98)="","",INDEX(기본자료!$F$2:$F$1001,$AB98)))</f>
        <v/>
      </c>
      <c r="I98" s="11">
        <f>IF($AB98="","",IF(INDEX(기본자료!$G$2:$G$1001,$AB98)="","",IF(NOT(ISNUMBER(INDEX(기본자료!$G$2:$G$1001,$AB98))),INDEX(기본자료!$G$2:$G$1001,$AB98),IF(INDEX(기본자료!$G$2:$G$1001,$AB98)&lt;1000000,INDEX(기본자료!$G$2:$G$1001,$AB98),IF(AND(INDEX(기본자료!$G$2:$G$1001,$AB98)&gt;=10000101,INT(MOD(INDEX(기본자료!$G$2:$G$1001,$AB98),10000)/100)&gt;=1,INT(MOD(INDEX(기본자료!$G$2:$G$1001,$AB98),10000)/100)&lt;=12,MOD(INDEX(기본자료!$G$2:$G$1001,$AB98),100)&gt;=1,MOD(INDEX(기본자료!$G$2:$G$1001,$AB98),100)&lt;=31),DATE(INT(INDEX(기본자료!$G$2:$G$1001,$AB98)/10000),INT(MOD(INDEX(기본자료!$G$2:$G$1001,$AB98),10000)/100),MOD(INDEX(기본자료!$G$2:$G$1001,$AB98),100)),INDEX(기본자료!$G$2:$G$1001,$AB98)&amp;"")))))</f>
        <v/>
      </c>
      <c r="J98" s="10">
        <f>IF($AB98="","",IF(INDEX(기본자료!$H$2:$H$1001,$AB98)="","",INDEX(기본자료!$H$2:$H$1001,$AB98)))</f>
        <v/>
      </c>
      <c r="K98" s="10">
        <f>IF($AB98="","",IF(INDEX(기본자료!$I$2:$I$1001,$AB98)="","",INDEX(기본자료!$I$2:$I$1001,$AB98)))</f>
        <v/>
      </c>
      <c r="L98" s="10">
        <f>IF($AB98="","",IF(INDEX(기본자료!$A$2:$A$1001,$AB98)="","",INDEX(기본자료!$A$2:$A$1001,$AB98)))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파견수련계획!$AB$4:$AB$803,$AK98),OR(NOT(ISNUMBER(INDEX(파견수련계획!$AC$4:$AC$803,$AK98))),TODAY()&lt;=INDEX(파견수련계획!$AC$4:$AC$803,$AK98))),"다기관",IF($AF98="","",INDEX(파견수련계획!$T$4:$T$803,$AF98))),IF($AF98="","",INDEX(파견수련계획!$T$4:$T$803,$AF98))))</f>
        <v/>
      </c>
      <c r="Q98" s="10">
        <f>IF($AF98="","",INDEX(파견수련계획!$S$4:$S$803,$AF98))</f>
        <v/>
      </c>
      <c r="R98" s="10">
        <f>IF($AF98="","",INDEX(파견수련계획!$U$4:$U$803,$AF98))</f>
        <v/>
      </c>
      <c r="S98" s="11">
        <f>IF($AF98="","",IF(INDEX(파견수련계획!$H$4:$H$803,$AF98)="","",INDEX(파견수련계획!$H$4:$H$803,$AF98)))</f>
        <v/>
      </c>
      <c r="T98" s="11">
        <f>IF($AF98="","",IF(INDEX(파견수련계획!$I$4:$I$803,$AF98)="","",INDEX(파견수련계획!$I$4:$I$803,$AF98)))</f>
        <v/>
      </c>
      <c r="U98" s="10">
        <f>IF($AF98="","",INDEX(파견수련계획!$X$4:$X$803,$AF98))</f>
        <v/>
      </c>
      <c r="V98" s="17">
        <f>IF($AF98="","",INDEX(파견수련계획!$V$4:$V$803,$AF98))</f>
        <v/>
      </c>
      <c r="W98" s="17">
        <f>IF(AND($U98="파견중",$T98&lt;&gt;""),$T98-TODAY(),"")</f>
        <v/>
      </c>
      <c r="X98" s="17">
        <f>IF(OR($B98="",TRIM($J98&amp;"")=""),"",SUMPRODUCT((파견수련계획!$Q$4:$Q$803=TRIM($J98&amp;""))*파견수련계획!$W$4:$W$803))</f>
        <v/>
      </c>
      <c r="Y98" s="10">
        <f>IF($B98="","",IF($AG98="","",IF(IF(TRIM($J98&amp;"")="",0,SUMPRODUCT((파견수련계획!$Q$4:$Q$803=TRIM($J98&amp;""))*파견수련계획!$AD$4:$AD$803))&gt;0,$AE98,IF(N($X98)&lt;=0,$AG98,IF($AH98+$AI98=DAY(EOMONTH(요약!$B$3,0)),IF(AND($AH98&gt;=요약!$E$3,$AI98&lt;요약!$E$3),"서울병원",IF(AND($AI98&gt;=요약!$E$3,$AH98&lt;요약!$E$3),"구리병원","⚠15일 판정불가(서울 "&amp;$AH98&amp;"일/구리 "&amp;$AI98&amp;"일)")),IF($AJ98="",$AE98,IF(INDEX(파견수련계획!$T$4:$T$803,$AJ98)="통합수련",INDEX(파견수련계획!$S$4:$S$803,$AJ98),$AE98)))))))</f>
        <v/>
      </c>
      <c r="Z98" s="19">
        <f>IF($B98="","",IF($AB98="","기본자료에 없는 사번",IF(COUNTIF($B$2:$B$401,$B98)&gt;1,"중복 사번",IF($AE98="","소속(입사장소) 입력",IF(IF(TRIM($J98&amp;"")="",0,SUMPRODUCT((파견수련계획!$Q$4:$Q$803=TRIM($J98&amp;""))*(파견수련계획!$AA$4:$AA$803&lt;&gt;"")))&gt;0,"파견수련계획 입력오류 확인",IF(LEFT($Y98,1)="⚠","서울·구리 15일 판정 불가(양쪽 모두 이상/미만)",IF(IF($AC98="",0,N(INDEX(인턴근무계획!$T$3:$T$402,$AC98)))&gt;0,"인턴계획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IF($B98="","",IFERROR(MATCH($B98,기본자료!$B$2:$B$1001,0),IFERROR(MATCH($B98&amp;"",기본자료!$B$2:$B$1001,0),IFERROR(MATCH(VALUE($B98),기본자료!$B$2:$B$1001,0),""))))</f>
        <v/>
      </c>
      <c r="AC98" s="10">
        <f>IF($B98="","",IFERROR(MATCH($B98,인턴근무계획!$D$3:$D$402,0),IFERROR(MATCH($B98&amp;"",인턴근무계획!$D$3:$D$402,0),IFERROR(MATCH(VALUE($B98),인턴근무계획!$D$3:$D$402,0),""))))</f>
        <v/>
      </c>
      <c r="AD98" s="10">
        <f>IF(OR($AC98="",인턴현황!$G$3=""),"",INDEX(인턴근무계획!$M$3:$R$402,$AC98,인턴현황!$G$3)&amp;"")</f>
        <v/>
      </c>
      <c r="AE98" s="10">
        <f>IF($B98="","",IF($M98&lt;&gt;"",$M98,IF($AF98&lt;&gt;"",IF(LEFT(INDEX(파견수련계획!$R$4:$R$803,$AF98),1)&lt;&gt;"⚠",INDEX(파견수련계획!$R$4:$R$803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$803,0),IFERROR(MATCH(TRIM($J98&amp;"")&amp;"|파견예정",파견수련계획!$Y$4:$Y$803,0),IFERROR(MATCH(TRIM($J98&amp;"")&amp;"|파견종료",파견수련계획!$Y$4:$Y$803,0),""))))</f>
        <v/>
      </c>
      <c r="AG98" s="10">
        <f>IF($B98="","",IF(AND(IF(OR($AC98="",인턴현황!$K$2=""),"",INDEX(인턴근무계획!$M$3:$R$402,$AC98,인턴현황!$K$2)&amp;"")&lt;&gt;"",LEFT(IF(OR($AC98="",인턴현황!$K$2=""),"",INDEX(인턴근무계획!$M$3:$R$402,$AC98,인턴현황!$K$2)&amp;""),1)&lt;&gt;"⚠"),LEFT(IF(OR($AC98="",인턴현황!$K$2=""),"",INDEX(인턴근무계획!$M$3:$R$402,$AC98,인턴현황!$K$2)&amp;""),FIND(" ",IF(OR($AC98="",인턴현황!$K$2=""),"",INDEX(인턴근무계획!$M$3:$R$402,$AC98,인턴현황!$K$2)&amp;""))-1),$AE98))</f>
        <v/>
      </c>
      <c r="AH98" s="17">
        <f>IF($B98="","",IF(TRIM($J98&amp;"")="",0,SUMPRODUCT((파견수련계획!$Q$4:$Q$803=TRIM($J98&amp;""))*(파견수련계획!$S$4:$S$803="서울병원")*파견수련계획!$W$4:$W$803))+IF($AG98="서울병원",MAX(0,DAY(EOMONTH(요약!$B$3,0))-N($X98)),0))</f>
        <v/>
      </c>
      <c r="AI98" s="17">
        <f>IF($B98="","",IF(TRIM($J98&amp;"")="",0,SUMPRODUCT((파견수련계획!$Q$4:$Q$803=TRIM($J98&amp;""))*(파견수련계획!$S$4:$S$803="구리병원")*파견수련계획!$W$4:$W$803))+IF($AG98="구리병원",MAX(0,DAY(EOMONTH(요약!$B$3,0))-N($X98)),0))</f>
        <v/>
      </c>
      <c r="AJ98" s="10">
        <f>IF(OR($B98="",TRIM($J98&amp;"")=""),"",IFERROR(MATCH(TRIM($J98&amp;"")&amp;"|월",파견수련계획!$Z$4:$Z$803,0),""))</f>
        <v/>
      </c>
      <c r="AK98" s="10">
        <f>IF(OR($B98="",TRIM($J98&amp;"")=""),"",IFERROR(MATCH(TRIM($J98&amp;"")&amp;"|다기관",파견수련계획!$AE$4:$AE$803,0),""))</f>
        <v/>
      </c>
      <c r="AL98" s="10">
        <f>IF($AK98="","","다기관 "&amp;TEXT(INDEX(파견수련계획!$AB$4:$AB$803,$AK98),"yyyy-mm-dd")&amp;"~"&amp;IF(ISNUMBER(INDEX(파견수련계획!$AC$4:$AC$803,$AK98)),TEXT(INDEX(파견수련계획!$AC$4:$AC$803,$AK98),"yyyy-mm-dd"),""))</f>
        <v/>
      </c>
    </row>
    <row r="99">
      <c r="A99" s="10">
        <f>IF(B99="","",ROW()-1)</f>
        <v/>
      </c>
      <c r="B99" s="18" t="n"/>
      <c r="C99" s="10">
        <f>IF($AB99="","",IF(INDEX(기본자료!$C$2:$C$1001,$AB99)="","",INDEX(기본자료!$C$2:$C$1001,$AB99)))</f>
        <v/>
      </c>
      <c r="D99" s="10">
        <f>IF($AB99="","",IF(INDEX(기본자료!$J$2:$J$1001,$AB99)="","",INDEX(기본자료!$J$2:$J$1001,$AB99)))</f>
        <v/>
      </c>
      <c r="E99" s="11">
        <f>IF($AB99="","",IF(INDEX(기본자료!$K$2:$K$1001,$AB99)="","",IF(NOT(ISNUMBER(INDEX(기본자료!$K$2:$K$1001,$AB99))),INDEX(기본자료!$K$2:$K$1001,$AB99),IF(INDEX(기본자료!$K$2:$K$1001,$AB99)&lt;1000000,INDEX(기본자료!$K$2:$K$1001,$AB99),IF(AND(INDEX(기본자료!$K$2:$K$1001,$AB99)&gt;=10000101,INT(MOD(INDEX(기본자료!$K$2:$K$1001,$AB99),10000)/100)&gt;=1,INT(MOD(INDEX(기본자료!$K$2:$K$1001,$AB99),10000)/100)&lt;=12,MOD(INDEX(기본자료!$K$2:$K$1001,$AB99),100)&gt;=1,MOD(INDEX(기본자료!$K$2:$K$1001,$AB99),100)&lt;=31),DATE(INT(INDEX(기본자료!$K$2:$K$1001,$AB99)/10000),INT(MOD(INDEX(기본자료!$K$2:$K$1001,$AB99),10000)/100),MOD(INDEX(기본자료!$K$2:$K$1001,$AB99),100)),INDEX(기본자료!$K$2:$K$1001,$AB99)&amp;"")))))</f>
        <v/>
      </c>
      <c r="F99" s="10">
        <f>IF($AB99="","",IF(INDEX(기본자료!$D$2:$D$1001,$AB99)="","",INDEX(기본자료!$D$2:$D$1001,$AB99)))</f>
        <v/>
      </c>
      <c r="G99" s="10">
        <f>IF($AB99="","",IF(INDEX(기본자료!$E$2:$E$1001,$AB99)="","",INDEX(기본자료!$E$2:$E$1001,$AB99)))</f>
        <v/>
      </c>
      <c r="H99" s="10">
        <f>IF($AB99="","",IF(INDEX(기본자료!$F$2:$F$1001,$AB99)="","",INDEX(기본자료!$F$2:$F$1001,$AB99)))</f>
        <v/>
      </c>
      <c r="I99" s="11">
        <f>IF($AB99="","",IF(INDEX(기본자료!$G$2:$G$1001,$AB99)="","",IF(NOT(ISNUMBER(INDEX(기본자료!$G$2:$G$1001,$AB99))),INDEX(기본자료!$G$2:$G$1001,$AB99),IF(INDEX(기본자료!$G$2:$G$1001,$AB99)&lt;1000000,INDEX(기본자료!$G$2:$G$1001,$AB99),IF(AND(INDEX(기본자료!$G$2:$G$1001,$AB99)&gt;=10000101,INT(MOD(INDEX(기본자료!$G$2:$G$1001,$AB99),10000)/100)&gt;=1,INT(MOD(INDEX(기본자료!$G$2:$G$1001,$AB99),10000)/100)&lt;=12,MOD(INDEX(기본자료!$G$2:$G$1001,$AB99),100)&gt;=1,MOD(INDEX(기본자료!$G$2:$G$1001,$AB99),100)&lt;=31),DATE(INT(INDEX(기본자료!$G$2:$G$1001,$AB99)/10000),INT(MOD(INDEX(기본자료!$G$2:$G$1001,$AB99),10000)/100),MOD(INDEX(기본자료!$G$2:$G$1001,$AB99),100)),INDEX(기본자료!$G$2:$G$1001,$AB99)&amp;"")))))</f>
        <v/>
      </c>
      <c r="J99" s="10">
        <f>IF($AB99="","",IF(INDEX(기본자료!$H$2:$H$1001,$AB99)="","",INDEX(기본자료!$H$2:$H$1001,$AB99)))</f>
        <v/>
      </c>
      <c r="K99" s="10">
        <f>IF($AB99="","",IF(INDEX(기본자료!$I$2:$I$1001,$AB99)="","",INDEX(기본자료!$I$2:$I$1001,$AB99)))</f>
        <v/>
      </c>
      <c r="L99" s="10">
        <f>IF($AB99="","",IF(INDEX(기본자료!$A$2:$A$1001,$AB99)="","",INDEX(기본자료!$A$2:$A$1001,$AB99)))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파견수련계획!$AB$4:$AB$803,$AK99),OR(NOT(ISNUMBER(INDEX(파견수련계획!$AC$4:$AC$803,$AK99))),TODAY()&lt;=INDEX(파견수련계획!$AC$4:$AC$803,$AK99))),"다기관",IF($AF99="","",INDEX(파견수련계획!$T$4:$T$803,$AF99))),IF($AF99="","",INDEX(파견수련계획!$T$4:$T$803,$AF99))))</f>
        <v/>
      </c>
      <c r="Q99" s="10">
        <f>IF($AF99="","",INDEX(파견수련계획!$S$4:$S$803,$AF99))</f>
        <v/>
      </c>
      <c r="R99" s="10">
        <f>IF($AF99="","",INDEX(파견수련계획!$U$4:$U$803,$AF99))</f>
        <v/>
      </c>
      <c r="S99" s="11">
        <f>IF($AF99="","",IF(INDEX(파견수련계획!$H$4:$H$803,$AF99)="","",INDEX(파견수련계획!$H$4:$H$803,$AF99)))</f>
        <v/>
      </c>
      <c r="T99" s="11">
        <f>IF($AF99="","",IF(INDEX(파견수련계획!$I$4:$I$803,$AF99)="","",INDEX(파견수련계획!$I$4:$I$803,$AF99)))</f>
        <v/>
      </c>
      <c r="U99" s="10">
        <f>IF($AF99="","",INDEX(파견수련계획!$X$4:$X$803,$AF99))</f>
        <v/>
      </c>
      <c r="V99" s="17">
        <f>IF($AF99="","",INDEX(파견수련계획!$V$4:$V$803,$AF99))</f>
        <v/>
      </c>
      <c r="W99" s="17">
        <f>IF(AND($U99="파견중",$T99&lt;&gt;""),$T99-TODAY(),"")</f>
        <v/>
      </c>
      <c r="X99" s="17">
        <f>IF(OR($B99="",TRIM($J99&amp;"")=""),"",SUMPRODUCT((파견수련계획!$Q$4:$Q$803=TRIM($J99&amp;""))*파견수련계획!$W$4:$W$803))</f>
        <v/>
      </c>
      <c r="Y99" s="10">
        <f>IF($B99="","",IF($AG99="","",IF(IF(TRIM($J99&amp;"")="",0,SUMPRODUCT((파견수련계획!$Q$4:$Q$803=TRIM($J99&amp;""))*파견수련계획!$AD$4:$AD$803))&gt;0,$AE99,IF(N($X99)&lt;=0,$AG99,IF($AH99+$AI99=DAY(EOMONTH(요약!$B$3,0)),IF(AND($AH99&gt;=요약!$E$3,$AI99&lt;요약!$E$3),"서울병원",IF(AND($AI99&gt;=요약!$E$3,$AH99&lt;요약!$E$3),"구리병원","⚠15일 판정불가(서울 "&amp;$AH99&amp;"일/구리 "&amp;$AI99&amp;"일)")),IF($AJ99="",$AE99,IF(INDEX(파견수련계획!$T$4:$T$803,$AJ99)="통합수련",INDEX(파견수련계획!$S$4:$S$803,$AJ99),$AE99)))))))</f>
        <v/>
      </c>
      <c r="Z99" s="19">
        <f>IF($B99="","",IF($AB99="","기본자료에 없는 사번",IF(COUNTIF($B$2:$B$401,$B99)&gt;1,"중복 사번",IF($AE99="","소속(입사장소) 입력",IF(IF(TRIM($J99&amp;"")="",0,SUMPRODUCT((파견수련계획!$Q$4:$Q$803=TRIM($J99&amp;""))*(파견수련계획!$AA$4:$AA$803&lt;&gt;"")))&gt;0,"파견수련계획 입력오류 확인",IF(LEFT($Y99,1)="⚠","서울·구리 15일 판정 불가(양쪽 모두 이상/미만)",IF(IF($AC99="",0,N(INDEX(인턴근무계획!$T$3:$T$402,$AC99)))&gt;0,"인턴계획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IF($B99="","",IFERROR(MATCH($B99,기본자료!$B$2:$B$1001,0),IFERROR(MATCH($B99&amp;"",기본자료!$B$2:$B$1001,0),IFERROR(MATCH(VALUE($B99),기본자료!$B$2:$B$1001,0),""))))</f>
        <v/>
      </c>
      <c r="AC99" s="10">
        <f>IF($B99="","",IFERROR(MATCH($B99,인턴근무계획!$D$3:$D$402,0),IFERROR(MATCH($B99&amp;"",인턴근무계획!$D$3:$D$402,0),IFERROR(MATCH(VALUE($B99),인턴근무계획!$D$3:$D$402,0),""))))</f>
        <v/>
      </c>
      <c r="AD99" s="10">
        <f>IF(OR($AC99="",인턴현황!$G$3=""),"",INDEX(인턴근무계획!$M$3:$R$402,$AC99,인턴현황!$G$3)&amp;"")</f>
        <v/>
      </c>
      <c r="AE99" s="10">
        <f>IF($B99="","",IF($M99&lt;&gt;"",$M99,IF($AF99&lt;&gt;"",IF(LEFT(INDEX(파견수련계획!$R$4:$R$803,$AF99),1)&lt;&gt;"⚠",INDEX(파견수련계획!$R$4:$R$803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$803,0),IFERROR(MATCH(TRIM($J99&amp;"")&amp;"|파견예정",파견수련계획!$Y$4:$Y$803,0),IFERROR(MATCH(TRIM($J99&amp;"")&amp;"|파견종료",파견수련계획!$Y$4:$Y$803,0),""))))</f>
        <v/>
      </c>
      <c r="AG99" s="10">
        <f>IF($B99="","",IF(AND(IF(OR($AC99="",인턴현황!$K$2=""),"",INDEX(인턴근무계획!$M$3:$R$402,$AC99,인턴현황!$K$2)&amp;"")&lt;&gt;"",LEFT(IF(OR($AC99="",인턴현황!$K$2=""),"",INDEX(인턴근무계획!$M$3:$R$402,$AC99,인턴현황!$K$2)&amp;""),1)&lt;&gt;"⚠"),LEFT(IF(OR($AC99="",인턴현황!$K$2=""),"",INDEX(인턴근무계획!$M$3:$R$402,$AC99,인턴현황!$K$2)&amp;""),FIND(" ",IF(OR($AC99="",인턴현황!$K$2=""),"",INDEX(인턴근무계획!$M$3:$R$402,$AC99,인턴현황!$K$2)&amp;""))-1),$AE99))</f>
        <v/>
      </c>
      <c r="AH99" s="17">
        <f>IF($B99="","",IF(TRIM($J99&amp;"")="",0,SUMPRODUCT((파견수련계획!$Q$4:$Q$803=TRIM($J99&amp;""))*(파견수련계획!$S$4:$S$803="서울병원")*파견수련계획!$W$4:$W$803))+IF($AG99="서울병원",MAX(0,DAY(EOMONTH(요약!$B$3,0))-N($X99)),0))</f>
        <v/>
      </c>
      <c r="AI99" s="17">
        <f>IF($B99="","",IF(TRIM($J99&amp;"")="",0,SUMPRODUCT((파견수련계획!$Q$4:$Q$803=TRIM($J99&amp;""))*(파견수련계획!$S$4:$S$803="구리병원")*파견수련계획!$W$4:$W$803))+IF($AG99="구리병원",MAX(0,DAY(EOMONTH(요약!$B$3,0))-N($X99)),0))</f>
        <v/>
      </c>
      <c r="AJ99" s="10">
        <f>IF(OR($B99="",TRIM($J99&amp;"")=""),"",IFERROR(MATCH(TRIM($J99&amp;"")&amp;"|월",파견수련계획!$Z$4:$Z$803,0),""))</f>
        <v/>
      </c>
      <c r="AK99" s="10">
        <f>IF(OR($B99="",TRIM($J99&amp;"")=""),"",IFERROR(MATCH(TRIM($J99&amp;"")&amp;"|다기관",파견수련계획!$AE$4:$AE$803,0),""))</f>
        <v/>
      </c>
      <c r="AL99" s="10">
        <f>IF($AK99="","","다기관 "&amp;TEXT(INDEX(파견수련계획!$AB$4:$AB$803,$AK99),"yyyy-mm-dd")&amp;"~"&amp;IF(ISNUMBER(INDEX(파견수련계획!$AC$4:$AC$803,$AK99)),TEXT(INDEX(파견수련계획!$AC$4:$AC$803,$AK99),"yyyy-mm-dd"),""))</f>
        <v/>
      </c>
    </row>
    <row r="100">
      <c r="A100" s="10">
        <f>IF(B100="","",ROW()-1)</f>
        <v/>
      </c>
      <c r="B100" s="18" t="n"/>
      <c r="C100" s="10">
        <f>IF($AB100="","",IF(INDEX(기본자료!$C$2:$C$1001,$AB100)="","",INDEX(기본자료!$C$2:$C$1001,$AB100)))</f>
        <v/>
      </c>
      <c r="D100" s="10">
        <f>IF($AB100="","",IF(INDEX(기본자료!$J$2:$J$1001,$AB100)="","",INDEX(기본자료!$J$2:$J$1001,$AB100)))</f>
        <v/>
      </c>
      <c r="E100" s="11">
        <f>IF($AB100="","",IF(INDEX(기본자료!$K$2:$K$1001,$AB100)="","",IF(NOT(ISNUMBER(INDEX(기본자료!$K$2:$K$1001,$AB100))),INDEX(기본자료!$K$2:$K$1001,$AB100),IF(INDEX(기본자료!$K$2:$K$1001,$AB100)&lt;1000000,INDEX(기본자료!$K$2:$K$1001,$AB100),IF(AND(INDEX(기본자료!$K$2:$K$1001,$AB100)&gt;=10000101,INT(MOD(INDEX(기본자료!$K$2:$K$1001,$AB100),10000)/100)&gt;=1,INT(MOD(INDEX(기본자료!$K$2:$K$1001,$AB100),10000)/100)&lt;=12,MOD(INDEX(기본자료!$K$2:$K$1001,$AB100),100)&gt;=1,MOD(INDEX(기본자료!$K$2:$K$1001,$AB100),100)&lt;=31),DATE(INT(INDEX(기본자료!$K$2:$K$1001,$AB100)/10000),INT(MOD(INDEX(기본자료!$K$2:$K$1001,$AB100),10000)/100),MOD(INDEX(기본자료!$K$2:$K$1001,$AB100),100)),INDEX(기본자료!$K$2:$K$1001,$AB100)&amp;"")))))</f>
        <v/>
      </c>
      <c r="F100" s="10">
        <f>IF($AB100="","",IF(INDEX(기본자료!$D$2:$D$1001,$AB100)="","",INDEX(기본자료!$D$2:$D$1001,$AB100)))</f>
        <v/>
      </c>
      <c r="G100" s="10">
        <f>IF($AB100="","",IF(INDEX(기본자료!$E$2:$E$1001,$AB100)="","",INDEX(기본자료!$E$2:$E$1001,$AB100)))</f>
        <v/>
      </c>
      <c r="H100" s="10">
        <f>IF($AB100="","",IF(INDEX(기본자료!$F$2:$F$1001,$AB100)="","",INDEX(기본자료!$F$2:$F$1001,$AB100)))</f>
        <v/>
      </c>
      <c r="I100" s="11">
        <f>IF($AB100="","",IF(INDEX(기본자료!$G$2:$G$1001,$AB100)="","",IF(NOT(ISNUMBER(INDEX(기본자료!$G$2:$G$1001,$AB100))),INDEX(기본자료!$G$2:$G$1001,$AB100),IF(INDEX(기본자료!$G$2:$G$1001,$AB100)&lt;1000000,INDEX(기본자료!$G$2:$G$1001,$AB100),IF(AND(INDEX(기본자료!$G$2:$G$1001,$AB100)&gt;=10000101,INT(MOD(INDEX(기본자료!$G$2:$G$1001,$AB100),10000)/100)&gt;=1,INT(MOD(INDEX(기본자료!$G$2:$G$1001,$AB100),10000)/100)&lt;=12,MOD(INDEX(기본자료!$G$2:$G$1001,$AB100),100)&gt;=1,MOD(INDEX(기본자료!$G$2:$G$1001,$AB100),100)&lt;=31),DATE(INT(INDEX(기본자료!$G$2:$G$1001,$AB100)/10000),INT(MOD(INDEX(기본자료!$G$2:$G$1001,$AB100),10000)/100),MOD(INDEX(기본자료!$G$2:$G$1001,$AB100),100)),INDEX(기본자료!$G$2:$G$1001,$AB100)&amp;"")))))</f>
        <v/>
      </c>
      <c r="J100" s="10">
        <f>IF($AB100="","",IF(INDEX(기본자료!$H$2:$H$1001,$AB100)="","",INDEX(기본자료!$H$2:$H$1001,$AB100)))</f>
        <v/>
      </c>
      <c r="K100" s="10">
        <f>IF($AB100="","",IF(INDEX(기본자료!$I$2:$I$1001,$AB100)="","",INDEX(기본자료!$I$2:$I$1001,$AB100)))</f>
        <v/>
      </c>
      <c r="L100" s="10">
        <f>IF($AB100="","",IF(INDEX(기본자료!$A$2:$A$1001,$AB100)="","",INDEX(기본자료!$A$2:$A$1001,$AB100)))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파견수련계획!$AB$4:$AB$803,$AK100),OR(NOT(ISNUMBER(INDEX(파견수련계획!$AC$4:$AC$803,$AK100))),TODAY()&lt;=INDEX(파견수련계획!$AC$4:$AC$803,$AK100))),"다기관",IF($AF100="","",INDEX(파견수련계획!$T$4:$T$803,$AF100))),IF($AF100="","",INDEX(파견수련계획!$T$4:$T$803,$AF100))))</f>
        <v/>
      </c>
      <c r="Q100" s="10">
        <f>IF($AF100="","",INDEX(파견수련계획!$S$4:$S$803,$AF100))</f>
        <v/>
      </c>
      <c r="R100" s="10">
        <f>IF($AF100="","",INDEX(파견수련계획!$U$4:$U$803,$AF100))</f>
        <v/>
      </c>
      <c r="S100" s="11">
        <f>IF($AF100="","",IF(INDEX(파견수련계획!$H$4:$H$803,$AF100)="","",INDEX(파견수련계획!$H$4:$H$803,$AF100)))</f>
        <v/>
      </c>
      <c r="T100" s="11">
        <f>IF($AF100="","",IF(INDEX(파견수련계획!$I$4:$I$803,$AF100)="","",INDEX(파견수련계획!$I$4:$I$803,$AF100)))</f>
        <v/>
      </c>
      <c r="U100" s="10">
        <f>IF($AF100="","",INDEX(파견수련계획!$X$4:$X$803,$AF100))</f>
        <v/>
      </c>
      <c r="V100" s="17">
        <f>IF($AF100="","",INDEX(파견수련계획!$V$4:$V$803,$AF100))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IF(OR($B100="",TRIM($J100&amp;"")=""),"",SUMPRODUCT((파견수련계획!$Q$4:$Q$803=TRIM($J100&amp;""))*파견수련계획!$W$4:$W$803))</f>
        <v/>
      </c>
      <c r="Y100" s="10">
        <f>IF($B100="","",IF($AG100="","",IF(IF(TRIM($J100&amp;"")="",0,SUMPRODUCT((파견수련계획!$Q$4:$Q$803=TRIM($J100&amp;""))*파견수련계획!$AD$4:$AD$803))&gt;0,$AE100,IF(N($X100)&lt;=0,$AG100,IF($AH100+$AI100=DAY(EOMONTH(요약!$B$3,0)),IF(AND($AH100&gt;=요약!$E$3,$AI100&lt;요약!$E$3),"서울병원",IF(AND($AI100&gt;=요약!$E$3,$AH100&lt;요약!$E$3),"구리병원","⚠15일 판정불가(서울 "&amp;$AH100&amp;"일/구리 "&amp;$AI100&amp;"일)")),IF($AJ100="",$AE100,IF(INDEX(파견수련계획!$T$4:$T$803,$AJ100)="통합수련",INDEX(파견수련계획!$S$4:$S$803,$AJ100),$AE100)))))))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입력",IF(IF(TRIM($J100&amp;"")="",0,SUMPRODUCT((파견수련계획!$Q$4:$Q$803=TRIM($J100&amp;""))*(파견수련계획!$AA$4:$AA$803&lt;&gt;"")))&gt;0,"파견수련계획 입력오류 확인",IF(LEFT($Y100,1)="⚠","서울·구리 15일 판정 불가(양쪽 모두 이상/미만)",IF(IF($AC100="",0,N(INDEX(인턴근무계획!$T$3:$T$402,$AC100)))&gt;0,"인턴계획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IF($B100="","",IFERROR(MATCH($B100,기본자료!$B$2:$B$1001,0),IFERROR(MATCH($B100&amp;"",기본자료!$B$2:$B$1001,0),IFERROR(MATCH(VALUE($B100),기본자료!$B$2:$B$1001,0),""))))</f>
        <v/>
      </c>
      <c r="AC100" s="10">
        <f>IF($B100="","",IFERROR(MATCH($B100,인턴근무계획!$D$3:$D$402,0),IFERROR(MATCH($B100&amp;"",인턴근무계획!$D$3:$D$402,0),IFERROR(MATCH(VALUE($B100),인턴근무계획!$D$3:$D$402,0),""))))</f>
        <v/>
      </c>
      <c r="AD100" s="10">
        <f>IF(OR($AC100="",인턴현황!$G$3=""),"",INDEX(인턴근무계획!$M$3:$R$402,$AC100,인턴현황!$G$3)&amp;"")</f>
        <v/>
      </c>
      <c r="AE100" s="10">
        <f>IF($B100="","",IF($M100&lt;&gt;"",$M100,IF($AF100&lt;&gt;"",IF(LEFT(INDEX(파견수련계획!$R$4:$R$803,$AF100),1)&lt;&gt;"⚠",INDEX(파견수련계획!$R$4:$R$803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$803,0),IFERROR(MATCH(TRIM($J100&amp;"")&amp;"|파견예정",파견수련계획!$Y$4:$Y$803,0),IFERROR(MATCH(TRIM($J100&amp;"")&amp;"|파견종료",파견수련계획!$Y$4:$Y$803,0),""))))</f>
        <v/>
      </c>
      <c r="AG100" s="10">
        <f>IF($B100="","",IF(AND(IF(OR($AC100="",인턴현황!$K$2=""),"",INDEX(인턴근무계획!$M$3:$R$402,$AC100,인턴현황!$K$2)&amp;"")&lt;&gt;"",LEFT(IF(OR($AC100="",인턴현황!$K$2=""),"",INDEX(인턴근무계획!$M$3:$R$402,$AC100,인턴현황!$K$2)&amp;""),1)&lt;&gt;"⚠"),LEFT(IF(OR($AC100="",인턴현황!$K$2=""),"",INDEX(인턴근무계획!$M$3:$R$402,$AC100,인턴현황!$K$2)&amp;""),FIND(" ",IF(OR($AC100="",인턴현황!$K$2=""),"",INDEX(인턴근무계획!$M$3:$R$402,$AC100,인턴현황!$K$2)&amp;""))-1),$AE100))</f>
        <v/>
      </c>
      <c r="AH100" s="17">
        <f>IF($B100="","",IF(TRIM($J100&amp;"")="",0,SUMPRODUCT((파견수련계획!$Q$4:$Q$803=TRIM($J100&amp;""))*(파견수련계획!$S$4:$S$803="서울병원")*파견수련계획!$W$4:$W$803))+IF($AG100="서울병원",MAX(0,DAY(EOMONTH(요약!$B$3,0))-N($X100)),0))</f>
        <v/>
      </c>
      <c r="AI100" s="17">
        <f>IF($B100="","",IF(TRIM($J100&amp;"")="",0,SUMPRODUCT((파견수련계획!$Q$4:$Q$803=TRIM($J100&amp;""))*(파견수련계획!$S$4:$S$803="구리병원")*파견수련계획!$W$4:$W$803))+IF($AG100="구리병원",MAX(0,DAY(EOMONTH(요약!$B$3,0))-N($X100)),0))</f>
        <v/>
      </c>
      <c r="AJ100" s="10">
        <f>IF(OR($B100="",TRIM($J100&amp;"")=""),"",IFERROR(MATCH(TRIM($J100&amp;"")&amp;"|월",파견수련계획!$Z$4:$Z$803,0),""))</f>
        <v/>
      </c>
      <c r="AK100" s="10">
        <f>IF(OR($B100="",TRIM($J100&amp;"")=""),"",IFERROR(MATCH(TRIM($J100&amp;"")&amp;"|다기관",파견수련계획!$AE$4:$AE$803,0),""))</f>
        <v/>
      </c>
      <c r="AL100" s="10">
        <f>IF($AK100="","","다기관 "&amp;TEXT(INDEX(파견수련계획!$AB$4:$AB$803,$AK100),"yyyy-mm-dd")&amp;"~"&amp;IF(ISNUMBER(INDEX(파견수련계획!$AC$4:$AC$803,$AK100)),TEXT(INDEX(파견수련계획!$AC$4:$AC$803,$AK100),"yyyy-mm-dd"),""))</f>
        <v/>
      </c>
    </row>
    <row r="101">
      <c r="A101" s="10">
        <f>IF(B101="","",ROW()-1)</f>
        <v/>
      </c>
      <c r="B101" s="18" t="n"/>
      <c r="C101" s="10">
        <f>IF($AB101="","",IF(INDEX(기본자료!$C$2:$C$1001,$AB101)="","",INDEX(기본자료!$C$2:$C$1001,$AB101)))</f>
        <v/>
      </c>
      <c r="D101" s="10">
        <f>IF($AB101="","",IF(INDEX(기본자료!$J$2:$J$1001,$AB101)="","",INDEX(기본자료!$J$2:$J$1001,$AB101)))</f>
        <v/>
      </c>
      <c r="E101" s="11">
        <f>IF($AB101="","",IF(INDEX(기본자료!$K$2:$K$1001,$AB101)="","",IF(NOT(ISNUMBER(INDEX(기본자료!$K$2:$K$1001,$AB101))),INDEX(기본자료!$K$2:$K$1001,$AB101),IF(INDEX(기본자료!$K$2:$K$1001,$AB101)&lt;1000000,INDEX(기본자료!$K$2:$K$1001,$AB101),IF(AND(INDEX(기본자료!$K$2:$K$1001,$AB101)&gt;=10000101,INT(MOD(INDEX(기본자료!$K$2:$K$1001,$AB101),10000)/100)&gt;=1,INT(MOD(INDEX(기본자료!$K$2:$K$1001,$AB101),10000)/100)&lt;=12,MOD(INDEX(기본자료!$K$2:$K$1001,$AB101),100)&gt;=1,MOD(INDEX(기본자료!$K$2:$K$1001,$AB101),100)&lt;=31),DATE(INT(INDEX(기본자료!$K$2:$K$1001,$AB101)/10000),INT(MOD(INDEX(기본자료!$K$2:$K$1001,$AB101),10000)/100),MOD(INDEX(기본자료!$K$2:$K$1001,$AB101),100)),INDEX(기본자료!$K$2:$K$1001,$AB101)&amp;"")))))</f>
        <v/>
      </c>
      <c r="F101" s="10">
        <f>IF($AB101="","",IF(INDEX(기본자료!$D$2:$D$1001,$AB101)="","",INDEX(기본자료!$D$2:$D$1001,$AB101)))</f>
        <v/>
      </c>
      <c r="G101" s="10">
        <f>IF($AB101="","",IF(INDEX(기본자료!$E$2:$E$1001,$AB101)="","",INDEX(기본자료!$E$2:$E$1001,$AB101)))</f>
        <v/>
      </c>
      <c r="H101" s="10">
        <f>IF($AB101="","",IF(INDEX(기본자료!$F$2:$F$1001,$AB101)="","",INDEX(기본자료!$F$2:$F$1001,$AB101)))</f>
        <v/>
      </c>
      <c r="I101" s="11">
        <f>IF($AB101="","",IF(INDEX(기본자료!$G$2:$G$1001,$AB101)="","",IF(NOT(ISNUMBER(INDEX(기본자료!$G$2:$G$1001,$AB101))),INDEX(기본자료!$G$2:$G$1001,$AB101),IF(INDEX(기본자료!$G$2:$G$1001,$AB101)&lt;1000000,INDEX(기본자료!$G$2:$G$1001,$AB101),IF(AND(INDEX(기본자료!$G$2:$G$1001,$AB101)&gt;=10000101,INT(MOD(INDEX(기본자료!$G$2:$G$1001,$AB101),10000)/100)&gt;=1,INT(MOD(INDEX(기본자료!$G$2:$G$1001,$AB101),10000)/100)&lt;=12,MOD(INDEX(기본자료!$G$2:$G$1001,$AB101),100)&gt;=1,MOD(INDEX(기본자료!$G$2:$G$1001,$AB101),100)&lt;=31),DATE(INT(INDEX(기본자료!$G$2:$G$1001,$AB101)/10000),INT(MOD(INDEX(기본자료!$G$2:$G$1001,$AB101),10000)/100),MOD(INDEX(기본자료!$G$2:$G$1001,$AB101),100)),INDEX(기본자료!$G$2:$G$1001,$AB101)&amp;"")))))</f>
        <v/>
      </c>
      <c r="J101" s="10">
        <f>IF($AB101="","",IF(INDEX(기본자료!$H$2:$H$1001,$AB101)="","",INDEX(기본자료!$H$2:$H$1001,$AB101)))</f>
        <v/>
      </c>
      <c r="K101" s="10">
        <f>IF($AB101="","",IF(INDEX(기본자료!$I$2:$I$1001,$AB101)="","",INDEX(기본자료!$I$2:$I$1001,$AB101)))</f>
        <v/>
      </c>
      <c r="L101" s="10">
        <f>IF($AB101="","",IF(INDEX(기본자료!$A$2:$A$1001,$AB101)="","",INDEX(기본자료!$A$2:$A$1001,$AB101)))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파견수련계획!$AB$4:$AB$803,$AK101),OR(NOT(ISNUMBER(INDEX(파견수련계획!$AC$4:$AC$803,$AK101))),TODAY()&lt;=INDEX(파견수련계획!$AC$4:$AC$803,$AK101))),"다기관",IF($AF101="","",INDEX(파견수련계획!$T$4:$T$803,$AF101))),IF($AF101="","",INDEX(파견수련계획!$T$4:$T$803,$AF101))))</f>
        <v/>
      </c>
      <c r="Q101" s="10">
        <f>IF($AF101="","",INDEX(파견수련계획!$S$4:$S$803,$AF101))</f>
        <v/>
      </c>
      <c r="R101" s="10">
        <f>IF($AF101="","",INDEX(파견수련계획!$U$4:$U$803,$AF101))</f>
        <v/>
      </c>
      <c r="S101" s="11">
        <f>IF($AF101="","",IF(INDEX(파견수련계획!$H$4:$H$803,$AF101)="","",INDEX(파견수련계획!$H$4:$H$803,$AF101)))</f>
        <v/>
      </c>
      <c r="T101" s="11">
        <f>IF($AF101="","",IF(INDEX(파견수련계획!$I$4:$I$803,$AF101)="","",INDEX(파견수련계획!$I$4:$I$803,$AF101)))</f>
        <v/>
      </c>
      <c r="U101" s="10">
        <f>IF($AF101="","",INDEX(파견수련계획!$X$4:$X$803,$AF101))</f>
        <v/>
      </c>
      <c r="V101" s="17">
        <f>IF($AF101="","",INDEX(파견수련계획!$V$4:$V$803,$AF101))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IF(OR($B101="",TRIM($J101&amp;"")=""),"",SUMPRODUCT((파견수련계획!$Q$4:$Q$803=TRIM($J101&amp;""))*파견수련계획!$W$4:$W$803))</f>
        <v/>
      </c>
      <c r="Y101" s="10">
        <f>IF($B101="","",IF($AG101="","",IF(IF(TRIM($J101&amp;"")="",0,SUMPRODUCT((파견수련계획!$Q$4:$Q$803=TRIM($J101&amp;""))*파견수련계획!$AD$4:$AD$803))&gt;0,$AE101,IF(N($X101)&lt;=0,$AG101,IF($AH101+$AI101=DAY(EOMONTH(요약!$B$3,0)),IF(AND($AH101&gt;=요약!$E$3,$AI101&lt;요약!$E$3),"서울병원",IF(AND($AI101&gt;=요약!$E$3,$AH101&lt;요약!$E$3),"구리병원","⚠15일 판정불가(서울 "&amp;$AH101&amp;"일/구리 "&amp;$AI101&amp;"일)")),IF($AJ101="",$AE101,IF(INDEX(파견수련계획!$T$4:$T$803,$AJ101)="통합수련",INDEX(파견수련계획!$S$4:$S$803,$AJ101),$AE101)))))))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입력",IF(IF(TRIM($J101&amp;"")="",0,SUMPRODUCT((파견수련계획!$Q$4:$Q$803=TRIM($J101&amp;""))*(파견수련계획!$AA$4:$AA$803&lt;&gt;"")))&gt;0,"파견수련계획 입력오류 확인",IF(LEFT($Y101,1)="⚠","서울·구리 15일 판정 불가(양쪽 모두 이상/미만)",IF(IF($AC101="",0,N(INDEX(인턴근무계획!$T$3:$T$402,$AC101)))&gt;0,"인턴계획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IF($B101="","",IFERROR(MATCH($B101,기본자료!$B$2:$B$1001,0),IFERROR(MATCH($B101&amp;"",기본자료!$B$2:$B$1001,0),IFERROR(MATCH(VALUE($B101),기본자료!$B$2:$B$1001,0),""))))</f>
        <v/>
      </c>
      <c r="AC101" s="10">
        <f>IF($B101="","",IFERROR(MATCH($B101,인턴근무계획!$D$3:$D$402,0),IFERROR(MATCH($B101&amp;"",인턴근무계획!$D$3:$D$402,0),IFERROR(MATCH(VALUE($B101),인턴근무계획!$D$3:$D$402,0),""))))</f>
        <v/>
      </c>
      <c r="AD101" s="10">
        <f>IF(OR($AC101="",인턴현황!$G$3=""),"",INDEX(인턴근무계획!$M$3:$R$402,$AC101,인턴현황!$G$3)&amp;"")</f>
        <v/>
      </c>
      <c r="AE101" s="10">
        <f>IF($B101="","",IF($M101&lt;&gt;"",$M101,IF($AF101&lt;&gt;"",IF(LEFT(INDEX(파견수련계획!$R$4:$R$803,$AF101),1)&lt;&gt;"⚠",INDEX(파견수련계획!$R$4:$R$803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$803,0),IFERROR(MATCH(TRIM($J101&amp;"")&amp;"|파견예정",파견수련계획!$Y$4:$Y$803,0),IFERROR(MATCH(TRIM($J101&amp;"")&amp;"|파견종료",파견수련계획!$Y$4:$Y$803,0),""))))</f>
        <v/>
      </c>
      <c r="AG101" s="10">
        <f>IF($B101="","",IF(AND(IF(OR($AC101="",인턴현황!$K$2=""),"",INDEX(인턴근무계획!$M$3:$R$402,$AC101,인턴현황!$K$2)&amp;"")&lt;&gt;"",LEFT(IF(OR($AC101="",인턴현황!$K$2=""),"",INDEX(인턴근무계획!$M$3:$R$402,$AC101,인턴현황!$K$2)&amp;""),1)&lt;&gt;"⚠"),LEFT(IF(OR($AC101="",인턴현황!$K$2=""),"",INDEX(인턴근무계획!$M$3:$R$402,$AC101,인턴현황!$K$2)&amp;""),FIND(" ",IF(OR($AC101="",인턴현황!$K$2=""),"",INDEX(인턴근무계획!$M$3:$R$402,$AC101,인턴현황!$K$2)&amp;""))-1),$AE101))</f>
        <v/>
      </c>
      <c r="AH101" s="17">
        <f>IF($B101="","",IF(TRIM($J101&amp;"")="",0,SUMPRODUCT((파견수련계획!$Q$4:$Q$803=TRIM($J101&amp;""))*(파견수련계획!$S$4:$S$803="서울병원")*파견수련계획!$W$4:$W$803))+IF($AG101="서울병원",MAX(0,DAY(EOMONTH(요약!$B$3,0))-N($X101)),0))</f>
        <v/>
      </c>
      <c r="AI101" s="17">
        <f>IF($B101="","",IF(TRIM($J101&amp;"")="",0,SUMPRODUCT((파견수련계획!$Q$4:$Q$803=TRIM($J101&amp;""))*(파견수련계획!$S$4:$S$803="구리병원")*파견수련계획!$W$4:$W$803))+IF($AG101="구리병원",MAX(0,DAY(EOMONTH(요약!$B$3,0))-N($X101)),0))</f>
        <v/>
      </c>
      <c r="AJ101" s="10">
        <f>IF(OR($B101="",TRIM($J101&amp;"")=""),"",IFERROR(MATCH(TRIM($J101&amp;"")&amp;"|월",파견수련계획!$Z$4:$Z$803,0),""))</f>
        <v/>
      </c>
      <c r="AK101" s="10">
        <f>IF(OR($B101="",TRIM($J101&amp;"")=""),"",IFERROR(MATCH(TRIM($J101&amp;"")&amp;"|다기관",파견수련계획!$AE$4:$AE$803,0),""))</f>
        <v/>
      </c>
      <c r="AL101" s="10">
        <f>IF($AK101="","","다기관 "&amp;TEXT(INDEX(파견수련계획!$AB$4:$AB$803,$AK101),"yyyy-mm-dd")&amp;"~"&amp;IF(ISNUMBER(INDEX(파견수련계획!$AC$4:$AC$803,$AK101)),TEXT(INDEX(파견수련계획!$AC$4:$AC$803,$AK101),"yyyy-mm-dd"),""))</f>
        <v/>
      </c>
    </row>
    <row r="102">
      <c r="A102" s="10">
        <f>IF(B102="","",ROW()-1)</f>
        <v/>
      </c>
      <c r="B102" s="18" t="n"/>
      <c r="C102" s="10">
        <f>IF($AB102="","",IF(INDEX(기본자료!$C$2:$C$1001,$AB102)="","",INDEX(기본자료!$C$2:$C$1001,$AB102)))</f>
        <v/>
      </c>
      <c r="D102" s="10">
        <f>IF($AB102="","",IF(INDEX(기본자료!$J$2:$J$1001,$AB102)="","",INDEX(기본자료!$J$2:$J$1001,$AB102)))</f>
        <v/>
      </c>
      <c r="E102" s="11">
        <f>IF($AB102="","",IF(INDEX(기본자료!$K$2:$K$1001,$AB102)="","",IF(NOT(ISNUMBER(INDEX(기본자료!$K$2:$K$1001,$AB102))),INDEX(기본자료!$K$2:$K$1001,$AB102),IF(INDEX(기본자료!$K$2:$K$1001,$AB102)&lt;1000000,INDEX(기본자료!$K$2:$K$1001,$AB102),IF(AND(INDEX(기본자료!$K$2:$K$1001,$AB102)&gt;=10000101,INT(MOD(INDEX(기본자료!$K$2:$K$1001,$AB102),10000)/100)&gt;=1,INT(MOD(INDEX(기본자료!$K$2:$K$1001,$AB102),10000)/100)&lt;=12,MOD(INDEX(기본자료!$K$2:$K$1001,$AB102),100)&gt;=1,MOD(INDEX(기본자료!$K$2:$K$1001,$AB102),100)&lt;=31),DATE(INT(INDEX(기본자료!$K$2:$K$1001,$AB102)/10000),INT(MOD(INDEX(기본자료!$K$2:$K$1001,$AB102),10000)/100),MOD(INDEX(기본자료!$K$2:$K$1001,$AB102),100)),INDEX(기본자료!$K$2:$K$1001,$AB102)&amp;"")))))</f>
        <v/>
      </c>
      <c r="F102" s="10">
        <f>IF($AB102="","",IF(INDEX(기본자료!$D$2:$D$1001,$AB102)="","",INDEX(기본자료!$D$2:$D$1001,$AB102)))</f>
        <v/>
      </c>
      <c r="G102" s="10">
        <f>IF($AB102="","",IF(INDEX(기본자료!$E$2:$E$1001,$AB102)="","",INDEX(기본자료!$E$2:$E$1001,$AB102)))</f>
        <v/>
      </c>
      <c r="H102" s="10">
        <f>IF($AB102="","",IF(INDEX(기본자료!$F$2:$F$1001,$AB102)="","",INDEX(기본자료!$F$2:$F$1001,$AB102)))</f>
        <v/>
      </c>
      <c r="I102" s="11">
        <f>IF($AB102="","",IF(INDEX(기본자료!$G$2:$G$1001,$AB102)="","",IF(NOT(ISNUMBER(INDEX(기본자료!$G$2:$G$1001,$AB102))),INDEX(기본자료!$G$2:$G$1001,$AB102),IF(INDEX(기본자료!$G$2:$G$1001,$AB102)&lt;1000000,INDEX(기본자료!$G$2:$G$1001,$AB102),IF(AND(INDEX(기본자료!$G$2:$G$1001,$AB102)&gt;=10000101,INT(MOD(INDEX(기본자료!$G$2:$G$1001,$AB102),10000)/100)&gt;=1,INT(MOD(INDEX(기본자료!$G$2:$G$1001,$AB102),10000)/100)&lt;=12,MOD(INDEX(기본자료!$G$2:$G$1001,$AB102),100)&gt;=1,MOD(INDEX(기본자료!$G$2:$G$1001,$AB102),100)&lt;=31),DATE(INT(INDEX(기본자료!$G$2:$G$1001,$AB102)/10000),INT(MOD(INDEX(기본자료!$G$2:$G$1001,$AB102),10000)/100),MOD(INDEX(기본자료!$G$2:$G$1001,$AB102),100)),INDEX(기본자료!$G$2:$G$1001,$AB102)&amp;"")))))</f>
        <v/>
      </c>
      <c r="J102" s="10">
        <f>IF($AB102="","",IF(INDEX(기본자료!$H$2:$H$1001,$AB102)="","",INDEX(기본자료!$H$2:$H$1001,$AB102)))</f>
        <v/>
      </c>
      <c r="K102" s="10">
        <f>IF($AB102="","",IF(INDEX(기본자료!$I$2:$I$1001,$AB102)="","",INDEX(기본자료!$I$2:$I$1001,$AB102)))</f>
        <v/>
      </c>
      <c r="L102" s="10">
        <f>IF($AB102="","",IF(INDEX(기본자료!$A$2:$A$1001,$AB102)="","",INDEX(기본자료!$A$2:$A$1001,$AB102)))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파견수련계획!$AB$4:$AB$803,$AK102),OR(NOT(ISNUMBER(INDEX(파견수련계획!$AC$4:$AC$803,$AK102))),TODAY()&lt;=INDEX(파견수련계획!$AC$4:$AC$803,$AK102))),"다기관",IF($AF102="","",INDEX(파견수련계획!$T$4:$T$803,$AF102))),IF($AF102="","",INDEX(파견수련계획!$T$4:$T$803,$AF102))))</f>
        <v/>
      </c>
      <c r="Q102" s="10">
        <f>IF($AF102="","",INDEX(파견수련계획!$S$4:$S$803,$AF102))</f>
        <v/>
      </c>
      <c r="R102" s="10">
        <f>IF($AF102="","",INDEX(파견수련계획!$U$4:$U$803,$AF102))</f>
        <v/>
      </c>
      <c r="S102" s="11">
        <f>IF($AF102="","",IF(INDEX(파견수련계획!$H$4:$H$803,$AF102)="","",INDEX(파견수련계획!$H$4:$H$803,$AF102)))</f>
        <v/>
      </c>
      <c r="T102" s="11">
        <f>IF($AF102="","",IF(INDEX(파견수련계획!$I$4:$I$803,$AF102)="","",INDEX(파견수련계획!$I$4:$I$803,$AF102)))</f>
        <v/>
      </c>
      <c r="U102" s="10">
        <f>IF($AF102="","",INDEX(파견수련계획!$X$4:$X$803,$AF102))</f>
        <v/>
      </c>
      <c r="V102" s="17">
        <f>IF($AF102="","",INDEX(파견수련계획!$V$4:$V$803,$AF102))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IF(OR($B102="",TRIM($J102&amp;"")=""),"",SUMPRODUCT((파견수련계획!$Q$4:$Q$803=TRIM($J102&amp;""))*파견수련계획!$W$4:$W$803))</f>
        <v/>
      </c>
      <c r="Y102" s="10">
        <f>IF($B102="","",IF($AG102="","",IF(IF(TRIM($J102&amp;"")="",0,SUMPRODUCT((파견수련계획!$Q$4:$Q$803=TRIM($J102&amp;""))*파견수련계획!$AD$4:$AD$803))&gt;0,$AE102,IF(N($X102)&lt;=0,$AG102,IF($AH102+$AI102=DAY(EOMONTH(요약!$B$3,0)),IF(AND($AH102&gt;=요약!$E$3,$AI102&lt;요약!$E$3),"서울병원",IF(AND($AI102&gt;=요약!$E$3,$AH102&lt;요약!$E$3),"구리병원","⚠15일 판정불가(서울 "&amp;$AH102&amp;"일/구리 "&amp;$AI102&amp;"일)")),IF($AJ102="",$AE102,IF(INDEX(파견수련계획!$T$4:$T$803,$AJ102)="통합수련",INDEX(파견수련계획!$S$4:$S$803,$AJ102),$AE102)))))))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입력",IF(IF(TRIM($J102&amp;"")="",0,SUMPRODUCT((파견수련계획!$Q$4:$Q$803=TRIM($J102&amp;""))*(파견수련계획!$AA$4:$AA$803&lt;&gt;"")))&gt;0,"파견수련계획 입력오류 확인",IF(LEFT($Y102,1)="⚠","서울·구리 15일 판정 불가(양쪽 모두 이상/미만)",IF(IF($AC102="",0,N(INDEX(인턴근무계획!$T$3:$T$402,$AC102)))&gt;0,"인턴계획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IF($B102="","",IFERROR(MATCH($B102,기본자료!$B$2:$B$1001,0),IFERROR(MATCH($B102&amp;"",기본자료!$B$2:$B$1001,0),IFERROR(MATCH(VALUE($B102),기본자료!$B$2:$B$1001,0),""))))</f>
        <v/>
      </c>
      <c r="AC102" s="10">
        <f>IF($B102="","",IFERROR(MATCH($B102,인턴근무계획!$D$3:$D$402,0),IFERROR(MATCH($B102&amp;"",인턴근무계획!$D$3:$D$402,0),IFERROR(MATCH(VALUE($B102),인턴근무계획!$D$3:$D$402,0),""))))</f>
        <v/>
      </c>
      <c r="AD102" s="10">
        <f>IF(OR($AC102="",인턴현황!$G$3=""),"",INDEX(인턴근무계획!$M$3:$R$402,$AC102,인턴현황!$G$3)&amp;"")</f>
        <v/>
      </c>
      <c r="AE102" s="10">
        <f>IF($B102="","",IF($M102&lt;&gt;"",$M102,IF($AF102&lt;&gt;"",IF(LEFT(INDEX(파견수련계획!$R$4:$R$803,$AF102),1)&lt;&gt;"⚠",INDEX(파견수련계획!$R$4:$R$803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$803,0),IFERROR(MATCH(TRIM($J102&amp;"")&amp;"|파견예정",파견수련계획!$Y$4:$Y$803,0),IFERROR(MATCH(TRIM($J102&amp;"")&amp;"|파견종료",파견수련계획!$Y$4:$Y$803,0),""))))</f>
        <v/>
      </c>
      <c r="AG102" s="10">
        <f>IF($B102="","",IF(AND(IF(OR($AC102="",인턴현황!$K$2=""),"",INDEX(인턴근무계획!$M$3:$R$402,$AC102,인턴현황!$K$2)&amp;"")&lt;&gt;"",LEFT(IF(OR($AC102="",인턴현황!$K$2=""),"",INDEX(인턴근무계획!$M$3:$R$402,$AC102,인턴현황!$K$2)&amp;""),1)&lt;&gt;"⚠"),LEFT(IF(OR($AC102="",인턴현황!$K$2=""),"",INDEX(인턴근무계획!$M$3:$R$402,$AC102,인턴현황!$K$2)&amp;""),FIND(" ",IF(OR($AC102="",인턴현황!$K$2=""),"",INDEX(인턴근무계획!$M$3:$R$402,$AC102,인턴현황!$K$2)&amp;""))-1),$AE102))</f>
        <v/>
      </c>
      <c r="AH102" s="17">
        <f>IF($B102="","",IF(TRIM($J102&amp;"")="",0,SUMPRODUCT((파견수련계획!$Q$4:$Q$803=TRIM($J102&amp;""))*(파견수련계획!$S$4:$S$803="서울병원")*파견수련계획!$W$4:$W$803))+IF($AG102="서울병원",MAX(0,DAY(EOMONTH(요약!$B$3,0))-N($X102)),0))</f>
        <v/>
      </c>
      <c r="AI102" s="17">
        <f>IF($B102="","",IF(TRIM($J102&amp;"")="",0,SUMPRODUCT((파견수련계획!$Q$4:$Q$803=TRIM($J102&amp;""))*(파견수련계획!$S$4:$S$803="구리병원")*파견수련계획!$W$4:$W$803))+IF($AG102="구리병원",MAX(0,DAY(EOMONTH(요약!$B$3,0))-N($X102)),0))</f>
        <v/>
      </c>
      <c r="AJ102" s="10">
        <f>IF(OR($B102="",TRIM($J102&amp;"")=""),"",IFERROR(MATCH(TRIM($J102&amp;"")&amp;"|월",파견수련계획!$Z$4:$Z$803,0),""))</f>
        <v/>
      </c>
      <c r="AK102" s="10">
        <f>IF(OR($B102="",TRIM($J102&amp;"")=""),"",IFERROR(MATCH(TRIM($J102&amp;"")&amp;"|다기관",파견수련계획!$AE$4:$AE$803,0),""))</f>
        <v/>
      </c>
      <c r="AL102" s="10">
        <f>IF($AK102="","","다기관 "&amp;TEXT(INDEX(파견수련계획!$AB$4:$AB$803,$AK102),"yyyy-mm-dd")&amp;"~"&amp;IF(ISNUMBER(INDEX(파견수련계획!$AC$4:$AC$803,$AK102)),TEXT(INDEX(파견수련계획!$AC$4:$AC$803,$AK102),"yyyy-mm-dd"),""))</f>
        <v/>
      </c>
    </row>
    <row r="103">
      <c r="A103" s="10">
        <f>IF(B103="","",ROW()-1)</f>
        <v/>
      </c>
      <c r="B103" s="18" t="n"/>
      <c r="C103" s="10">
        <f>IF($AB103="","",IF(INDEX(기본자료!$C$2:$C$1001,$AB103)="","",INDEX(기본자료!$C$2:$C$1001,$AB103)))</f>
        <v/>
      </c>
      <c r="D103" s="10">
        <f>IF($AB103="","",IF(INDEX(기본자료!$J$2:$J$1001,$AB103)="","",INDEX(기본자료!$J$2:$J$1001,$AB103)))</f>
        <v/>
      </c>
      <c r="E103" s="11">
        <f>IF($AB103="","",IF(INDEX(기본자료!$K$2:$K$1001,$AB103)="","",IF(NOT(ISNUMBER(INDEX(기본자료!$K$2:$K$1001,$AB103))),INDEX(기본자료!$K$2:$K$1001,$AB103),IF(INDEX(기본자료!$K$2:$K$1001,$AB103)&lt;1000000,INDEX(기본자료!$K$2:$K$1001,$AB103),IF(AND(INDEX(기본자료!$K$2:$K$1001,$AB103)&gt;=10000101,INT(MOD(INDEX(기본자료!$K$2:$K$1001,$AB103),10000)/100)&gt;=1,INT(MOD(INDEX(기본자료!$K$2:$K$1001,$AB103),10000)/100)&lt;=12,MOD(INDEX(기본자료!$K$2:$K$1001,$AB103),100)&gt;=1,MOD(INDEX(기본자료!$K$2:$K$1001,$AB103),100)&lt;=31),DATE(INT(INDEX(기본자료!$K$2:$K$1001,$AB103)/10000),INT(MOD(INDEX(기본자료!$K$2:$K$1001,$AB103),10000)/100),MOD(INDEX(기본자료!$K$2:$K$1001,$AB103),100)),INDEX(기본자료!$K$2:$K$1001,$AB103)&amp;"")))))</f>
        <v/>
      </c>
      <c r="F103" s="10">
        <f>IF($AB103="","",IF(INDEX(기본자료!$D$2:$D$1001,$AB103)="","",INDEX(기본자료!$D$2:$D$1001,$AB103)))</f>
        <v/>
      </c>
      <c r="G103" s="10">
        <f>IF($AB103="","",IF(INDEX(기본자료!$E$2:$E$1001,$AB103)="","",INDEX(기본자료!$E$2:$E$1001,$AB103)))</f>
        <v/>
      </c>
      <c r="H103" s="10">
        <f>IF($AB103="","",IF(INDEX(기본자료!$F$2:$F$1001,$AB103)="","",INDEX(기본자료!$F$2:$F$1001,$AB103)))</f>
        <v/>
      </c>
      <c r="I103" s="11">
        <f>IF($AB103="","",IF(INDEX(기본자료!$G$2:$G$1001,$AB103)="","",IF(NOT(ISNUMBER(INDEX(기본자료!$G$2:$G$1001,$AB103))),INDEX(기본자료!$G$2:$G$1001,$AB103),IF(INDEX(기본자료!$G$2:$G$1001,$AB103)&lt;1000000,INDEX(기본자료!$G$2:$G$1001,$AB103),IF(AND(INDEX(기본자료!$G$2:$G$1001,$AB103)&gt;=10000101,INT(MOD(INDEX(기본자료!$G$2:$G$1001,$AB103),10000)/100)&gt;=1,INT(MOD(INDEX(기본자료!$G$2:$G$1001,$AB103),10000)/100)&lt;=12,MOD(INDEX(기본자료!$G$2:$G$1001,$AB103),100)&gt;=1,MOD(INDEX(기본자료!$G$2:$G$1001,$AB103),100)&lt;=31),DATE(INT(INDEX(기본자료!$G$2:$G$1001,$AB103)/10000),INT(MOD(INDEX(기본자료!$G$2:$G$1001,$AB103),10000)/100),MOD(INDEX(기본자료!$G$2:$G$1001,$AB103),100)),INDEX(기본자료!$G$2:$G$1001,$AB103)&amp;"")))))</f>
        <v/>
      </c>
      <c r="J103" s="10">
        <f>IF($AB103="","",IF(INDEX(기본자료!$H$2:$H$1001,$AB103)="","",INDEX(기본자료!$H$2:$H$1001,$AB103)))</f>
        <v/>
      </c>
      <c r="K103" s="10">
        <f>IF($AB103="","",IF(INDEX(기본자료!$I$2:$I$1001,$AB103)="","",INDEX(기본자료!$I$2:$I$1001,$AB103)))</f>
        <v/>
      </c>
      <c r="L103" s="10">
        <f>IF($AB103="","",IF(INDEX(기본자료!$A$2:$A$1001,$AB103)="","",INDEX(기본자료!$A$2:$A$1001,$AB103)))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파견수련계획!$AB$4:$AB$803,$AK103),OR(NOT(ISNUMBER(INDEX(파견수련계획!$AC$4:$AC$803,$AK103))),TODAY()&lt;=INDEX(파견수련계획!$AC$4:$AC$803,$AK103))),"다기관",IF($AF103="","",INDEX(파견수련계획!$T$4:$T$803,$AF103))),IF($AF103="","",INDEX(파견수련계획!$T$4:$T$803,$AF103))))</f>
        <v/>
      </c>
      <c r="Q103" s="10">
        <f>IF($AF103="","",INDEX(파견수련계획!$S$4:$S$803,$AF103))</f>
        <v/>
      </c>
      <c r="R103" s="10">
        <f>IF($AF103="","",INDEX(파견수련계획!$U$4:$U$803,$AF103))</f>
        <v/>
      </c>
      <c r="S103" s="11">
        <f>IF($AF103="","",IF(INDEX(파견수련계획!$H$4:$H$803,$AF103)="","",INDEX(파견수련계획!$H$4:$H$803,$AF103)))</f>
        <v/>
      </c>
      <c r="T103" s="11">
        <f>IF($AF103="","",IF(INDEX(파견수련계획!$I$4:$I$803,$AF103)="","",INDEX(파견수련계획!$I$4:$I$803,$AF103)))</f>
        <v/>
      </c>
      <c r="U103" s="10">
        <f>IF($AF103="","",INDEX(파견수련계획!$X$4:$X$803,$AF103))</f>
        <v/>
      </c>
      <c r="V103" s="17">
        <f>IF($AF103="","",INDEX(파견수련계획!$V$4:$V$803,$AF103))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IF(OR($B103="",TRIM($J103&amp;"")=""),"",SUMPRODUCT((파견수련계획!$Q$4:$Q$803=TRIM($J103&amp;""))*파견수련계획!$W$4:$W$803))</f>
        <v/>
      </c>
      <c r="Y103" s="10">
        <f>IF($B103="","",IF($AG103="","",IF(IF(TRIM($J103&amp;"")="",0,SUMPRODUCT((파견수련계획!$Q$4:$Q$803=TRIM($J103&amp;""))*파견수련계획!$AD$4:$AD$803))&gt;0,$AE103,IF(N($X103)&lt;=0,$AG103,IF($AH103+$AI103=DAY(EOMONTH(요약!$B$3,0)),IF(AND($AH103&gt;=요약!$E$3,$AI103&lt;요약!$E$3),"서울병원",IF(AND($AI103&gt;=요약!$E$3,$AH103&lt;요약!$E$3),"구리병원","⚠15일 판정불가(서울 "&amp;$AH103&amp;"일/구리 "&amp;$AI103&amp;"일)")),IF($AJ103="",$AE103,IF(INDEX(파견수련계획!$T$4:$T$803,$AJ103)="통합수련",INDEX(파견수련계획!$S$4:$S$803,$AJ103),$AE103)))))))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입력",IF(IF(TRIM($J103&amp;"")="",0,SUMPRODUCT((파견수련계획!$Q$4:$Q$803=TRIM($J103&amp;""))*(파견수련계획!$AA$4:$AA$803&lt;&gt;"")))&gt;0,"파견수련계획 입력오류 확인",IF(LEFT($Y103,1)="⚠","서울·구리 15일 판정 불가(양쪽 모두 이상/미만)",IF(IF($AC103="",0,N(INDEX(인턴근무계획!$T$3:$T$402,$AC103)))&gt;0,"인턴계획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IF($B103="","",IFERROR(MATCH($B103,기본자료!$B$2:$B$1001,0),IFERROR(MATCH($B103&amp;"",기본자료!$B$2:$B$1001,0),IFERROR(MATCH(VALUE($B103),기본자료!$B$2:$B$1001,0),""))))</f>
        <v/>
      </c>
      <c r="AC103" s="10">
        <f>IF($B103="","",IFERROR(MATCH($B103,인턴근무계획!$D$3:$D$402,0),IFERROR(MATCH($B103&amp;"",인턴근무계획!$D$3:$D$402,0),IFERROR(MATCH(VALUE($B103),인턴근무계획!$D$3:$D$402,0),""))))</f>
        <v/>
      </c>
      <c r="AD103" s="10">
        <f>IF(OR($AC103="",인턴현황!$G$3=""),"",INDEX(인턴근무계획!$M$3:$R$402,$AC103,인턴현황!$G$3)&amp;"")</f>
        <v/>
      </c>
      <c r="AE103" s="10">
        <f>IF($B103="","",IF($M103&lt;&gt;"",$M103,IF($AF103&lt;&gt;"",IF(LEFT(INDEX(파견수련계획!$R$4:$R$803,$AF103),1)&lt;&gt;"⚠",INDEX(파견수련계획!$R$4:$R$803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$803,0),IFERROR(MATCH(TRIM($J103&amp;"")&amp;"|파견예정",파견수련계획!$Y$4:$Y$803,0),IFERROR(MATCH(TRIM($J103&amp;"")&amp;"|파견종료",파견수련계획!$Y$4:$Y$803,0),""))))</f>
        <v/>
      </c>
      <c r="AG103" s="10">
        <f>IF($B103="","",IF(AND(IF(OR($AC103="",인턴현황!$K$2=""),"",INDEX(인턴근무계획!$M$3:$R$402,$AC103,인턴현황!$K$2)&amp;"")&lt;&gt;"",LEFT(IF(OR($AC103="",인턴현황!$K$2=""),"",INDEX(인턴근무계획!$M$3:$R$402,$AC103,인턴현황!$K$2)&amp;""),1)&lt;&gt;"⚠"),LEFT(IF(OR($AC103="",인턴현황!$K$2=""),"",INDEX(인턴근무계획!$M$3:$R$402,$AC103,인턴현황!$K$2)&amp;""),FIND(" ",IF(OR($AC103="",인턴현황!$K$2=""),"",INDEX(인턴근무계획!$M$3:$R$402,$AC103,인턴현황!$K$2)&amp;""))-1),$AE103))</f>
        <v/>
      </c>
      <c r="AH103" s="17">
        <f>IF($B103="","",IF(TRIM($J103&amp;"")="",0,SUMPRODUCT((파견수련계획!$Q$4:$Q$803=TRIM($J103&amp;""))*(파견수련계획!$S$4:$S$803="서울병원")*파견수련계획!$W$4:$W$803))+IF($AG103="서울병원",MAX(0,DAY(EOMONTH(요약!$B$3,0))-N($X103)),0))</f>
        <v/>
      </c>
      <c r="AI103" s="17">
        <f>IF($B103="","",IF(TRIM($J103&amp;"")="",0,SUMPRODUCT((파견수련계획!$Q$4:$Q$803=TRIM($J103&amp;""))*(파견수련계획!$S$4:$S$803="구리병원")*파견수련계획!$W$4:$W$803))+IF($AG103="구리병원",MAX(0,DAY(EOMONTH(요약!$B$3,0))-N($X103)),0))</f>
        <v/>
      </c>
      <c r="AJ103" s="10">
        <f>IF(OR($B103="",TRIM($J103&amp;"")=""),"",IFERROR(MATCH(TRIM($J103&amp;"")&amp;"|월",파견수련계획!$Z$4:$Z$803,0),""))</f>
        <v/>
      </c>
      <c r="AK103" s="10">
        <f>IF(OR($B103="",TRIM($J103&amp;"")=""),"",IFERROR(MATCH(TRIM($J103&amp;"")&amp;"|다기관",파견수련계획!$AE$4:$AE$803,0),""))</f>
        <v/>
      </c>
      <c r="AL103" s="10">
        <f>IF($AK103="","","다기관 "&amp;TEXT(INDEX(파견수련계획!$AB$4:$AB$803,$AK103),"yyyy-mm-dd")&amp;"~"&amp;IF(ISNUMBER(INDEX(파견수련계획!$AC$4:$AC$803,$AK103)),TEXT(INDEX(파견수련계획!$AC$4:$AC$803,$AK103),"yyyy-mm-dd"),""))</f>
        <v/>
      </c>
    </row>
    <row r="104">
      <c r="A104" s="10">
        <f>IF(B104="","",ROW()-1)</f>
        <v/>
      </c>
      <c r="B104" s="18" t="n"/>
      <c r="C104" s="10">
        <f>IF($AB104="","",IF(INDEX(기본자료!$C$2:$C$1001,$AB104)="","",INDEX(기본자료!$C$2:$C$1001,$AB104)))</f>
        <v/>
      </c>
      <c r="D104" s="10">
        <f>IF($AB104="","",IF(INDEX(기본자료!$J$2:$J$1001,$AB104)="","",INDEX(기본자료!$J$2:$J$1001,$AB104)))</f>
        <v/>
      </c>
      <c r="E104" s="11">
        <f>IF($AB104="","",IF(INDEX(기본자료!$K$2:$K$1001,$AB104)="","",IF(NOT(ISNUMBER(INDEX(기본자료!$K$2:$K$1001,$AB104))),INDEX(기본자료!$K$2:$K$1001,$AB104),IF(INDEX(기본자료!$K$2:$K$1001,$AB104)&lt;1000000,INDEX(기본자료!$K$2:$K$1001,$AB104),IF(AND(INDEX(기본자료!$K$2:$K$1001,$AB104)&gt;=10000101,INT(MOD(INDEX(기본자료!$K$2:$K$1001,$AB104),10000)/100)&gt;=1,INT(MOD(INDEX(기본자료!$K$2:$K$1001,$AB104),10000)/100)&lt;=12,MOD(INDEX(기본자료!$K$2:$K$1001,$AB104),100)&gt;=1,MOD(INDEX(기본자료!$K$2:$K$1001,$AB104),100)&lt;=31),DATE(INT(INDEX(기본자료!$K$2:$K$1001,$AB104)/10000),INT(MOD(INDEX(기본자료!$K$2:$K$1001,$AB104),10000)/100),MOD(INDEX(기본자료!$K$2:$K$1001,$AB104),100)),INDEX(기본자료!$K$2:$K$1001,$AB104)&amp;"")))))</f>
        <v/>
      </c>
      <c r="F104" s="10">
        <f>IF($AB104="","",IF(INDEX(기본자료!$D$2:$D$1001,$AB104)="","",INDEX(기본자료!$D$2:$D$1001,$AB104)))</f>
        <v/>
      </c>
      <c r="G104" s="10">
        <f>IF($AB104="","",IF(INDEX(기본자료!$E$2:$E$1001,$AB104)="","",INDEX(기본자료!$E$2:$E$1001,$AB104)))</f>
        <v/>
      </c>
      <c r="H104" s="10">
        <f>IF($AB104="","",IF(INDEX(기본자료!$F$2:$F$1001,$AB104)="","",INDEX(기본자료!$F$2:$F$1001,$AB104)))</f>
        <v/>
      </c>
      <c r="I104" s="11">
        <f>IF($AB104="","",IF(INDEX(기본자료!$G$2:$G$1001,$AB104)="","",IF(NOT(ISNUMBER(INDEX(기본자료!$G$2:$G$1001,$AB104))),INDEX(기본자료!$G$2:$G$1001,$AB104),IF(INDEX(기본자료!$G$2:$G$1001,$AB104)&lt;1000000,INDEX(기본자료!$G$2:$G$1001,$AB104),IF(AND(INDEX(기본자료!$G$2:$G$1001,$AB104)&gt;=10000101,INT(MOD(INDEX(기본자료!$G$2:$G$1001,$AB104),10000)/100)&gt;=1,INT(MOD(INDEX(기본자료!$G$2:$G$1001,$AB104),10000)/100)&lt;=12,MOD(INDEX(기본자료!$G$2:$G$1001,$AB104),100)&gt;=1,MOD(INDEX(기본자료!$G$2:$G$1001,$AB104),100)&lt;=31),DATE(INT(INDEX(기본자료!$G$2:$G$1001,$AB104)/10000),INT(MOD(INDEX(기본자료!$G$2:$G$1001,$AB104),10000)/100),MOD(INDEX(기본자료!$G$2:$G$1001,$AB104),100)),INDEX(기본자료!$G$2:$G$1001,$AB104)&amp;"")))))</f>
        <v/>
      </c>
      <c r="J104" s="10">
        <f>IF($AB104="","",IF(INDEX(기본자료!$H$2:$H$1001,$AB104)="","",INDEX(기본자료!$H$2:$H$1001,$AB104)))</f>
        <v/>
      </c>
      <c r="K104" s="10">
        <f>IF($AB104="","",IF(INDEX(기본자료!$I$2:$I$1001,$AB104)="","",INDEX(기본자료!$I$2:$I$1001,$AB104)))</f>
        <v/>
      </c>
      <c r="L104" s="10">
        <f>IF($AB104="","",IF(INDEX(기본자료!$A$2:$A$1001,$AB104)="","",INDEX(기본자료!$A$2:$A$1001,$AB104)))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파견수련계획!$AB$4:$AB$803,$AK104),OR(NOT(ISNUMBER(INDEX(파견수련계획!$AC$4:$AC$803,$AK104))),TODAY()&lt;=INDEX(파견수련계획!$AC$4:$AC$803,$AK104))),"다기관",IF($AF104="","",INDEX(파견수련계획!$T$4:$T$803,$AF104))),IF($AF104="","",INDEX(파견수련계획!$T$4:$T$803,$AF104))))</f>
        <v/>
      </c>
      <c r="Q104" s="10">
        <f>IF($AF104="","",INDEX(파견수련계획!$S$4:$S$803,$AF104))</f>
        <v/>
      </c>
      <c r="R104" s="10">
        <f>IF($AF104="","",INDEX(파견수련계획!$U$4:$U$803,$AF104))</f>
        <v/>
      </c>
      <c r="S104" s="11">
        <f>IF($AF104="","",IF(INDEX(파견수련계획!$H$4:$H$803,$AF104)="","",INDEX(파견수련계획!$H$4:$H$803,$AF104)))</f>
        <v/>
      </c>
      <c r="T104" s="11">
        <f>IF($AF104="","",IF(INDEX(파견수련계획!$I$4:$I$803,$AF104)="","",INDEX(파견수련계획!$I$4:$I$803,$AF104)))</f>
        <v/>
      </c>
      <c r="U104" s="10">
        <f>IF($AF104="","",INDEX(파견수련계획!$X$4:$X$803,$AF104))</f>
        <v/>
      </c>
      <c r="V104" s="17">
        <f>IF($AF104="","",INDEX(파견수련계획!$V$4:$V$803,$AF104))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IF(OR($B104="",TRIM($J104&amp;"")=""),"",SUMPRODUCT((파견수련계획!$Q$4:$Q$803=TRIM($J104&amp;""))*파견수련계획!$W$4:$W$803))</f>
        <v/>
      </c>
      <c r="Y104" s="10">
        <f>IF($B104="","",IF($AG104="","",IF(IF(TRIM($J104&amp;"")="",0,SUMPRODUCT((파견수련계획!$Q$4:$Q$803=TRIM($J104&amp;""))*파견수련계획!$AD$4:$AD$803))&gt;0,$AE104,IF(N($X104)&lt;=0,$AG104,IF($AH104+$AI104=DAY(EOMONTH(요약!$B$3,0)),IF(AND($AH104&gt;=요약!$E$3,$AI104&lt;요약!$E$3),"서울병원",IF(AND($AI104&gt;=요약!$E$3,$AH104&lt;요약!$E$3),"구리병원","⚠15일 판정불가(서울 "&amp;$AH104&amp;"일/구리 "&amp;$AI104&amp;"일)")),IF($AJ104="",$AE104,IF(INDEX(파견수련계획!$T$4:$T$803,$AJ104)="통합수련",INDEX(파견수련계획!$S$4:$S$803,$AJ104),$AE104)))))))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입력",IF(IF(TRIM($J104&amp;"")="",0,SUMPRODUCT((파견수련계획!$Q$4:$Q$803=TRIM($J104&amp;""))*(파견수련계획!$AA$4:$AA$803&lt;&gt;"")))&gt;0,"파견수련계획 입력오류 확인",IF(LEFT($Y104,1)="⚠","서울·구리 15일 판정 불가(양쪽 모두 이상/미만)",IF(IF($AC104="",0,N(INDEX(인턴근무계획!$T$3:$T$402,$AC104)))&gt;0,"인턴계획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IF($B104="","",IFERROR(MATCH($B104,기본자료!$B$2:$B$1001,0),IFERROR(MATCH($B104&amp;"",기본자료!$B$2:$B$1001,0),IFERROR(MATCH(VALUE($B104),기본자료!$B$2:$B$1001,0),""))))</f>
        <v/>
      </c>
      <c r="AC104" s="10">
        <f>IF($B104="","",IFERROR(MATCH($B104,인턴근무계획!$D$3:$D$402,0),IFERROR(MATCH($B104&amp;"",인턴근무계획!$D$3:$D$402,0),IFERROR(MATCH(VALUE($B104),인턴근무계획!$D$3:$D$402,0),""))))</f>
        <v/>
      </c>
      <c r="AD104" s="10">
        <f>IF(OR($AC104="",인턴현황!$G$3=""),"",INDEX(인턴근무계획!$M$3:$R$402,$AC104,인턴현황!$G$3)&amp;"")</f>
        <v/>
      </c>
      <c r="AE104" s="10">
        <f>IF($B104="","",IF($M104&lt;&gt;"",$M104,IF($AF104&lt;&gt;"",IF(LEFT(INDEX(파견수련계획!$R$4:$R$803,$AF104),1)&lt;&gt;"⚠",INDEX(파견수련계획!$R$4:$R$803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$803,0),IFERROR(MATCH(TRIM($J104&amp;"")&amp;"|파견예정",파견수련계획!$Y$4:$Y$803,0),IFERROR(MATCH(TRIM($J104&amp;"")&amp;"|파견종료",파견수련계획!$Y$4:$Y$803,0),""))))</f>
        <v/>
      </c>
      <c r="AG104" s="10">
        <f>IF($B104="","",IF(AND(IF(OR($AC104="",인턴현황!$K$2=""),"",INDEX(인턴근무계획!$M$3:$R$402,$AC104,인턴현황!$K$2)&amp;"")&lt;&gt;"",LEFT(IF(OR($AC104="",인턴현황!$K$2=""),"",INDEX(인턴근무계획!$M$3:$R$402,$AC104,인턴현황!$K$2)&amp;""),1)&lt;&gt;"⚠"),LEFT(IF(OR($AC104="",인턴현황!$K$2=""),"",INDEX(인턴근무계획!$M$3:$R$402,$AC104,인턴현황!$K$2)&amp;""),FIND(" ",IF(OR($AC104="",인턴현황!$K$2=""),"",INDEX(인턴근무계획!$M$3:$R$402,$AC104,인턴현황!$K$2)&amp;""))-1),$AE104))</f>
        <v/>
      </c>
      <c r="AH104" s="17">
        <f>IF($B104="","",IF(TRIM($J104&amp;"")="",0,SUMPRODUCT((파견수련계획!$Q$4:$Q$803=TRIM($J104&amp;""))*(파견수련계획!$S$4:$S$803="서울병원")*파견수련계획!$W$4:$W$803))+IF($AG104="서울병원",MAX(0,DAY(EOMONTH(요약!$B$3,0))-N($X104)),0))</f>
        <v/>
      </c>
      <c r="AI104" s="17">
        <f>IF($B104="","",IF(TRIM($J104&amp;"")="",0,SUMPRODUCT((파견수련계획!$Q$4:$Q$803=TRIM($J104&amp;""))*(파견수련계획!$S$4:$S$803="구리병원")*파견수련계획!$W$4:$W$803))+IF($AG104="구리병원",MAX(0,DAY(EOMONTH(요약!$B$3,0))-N($X104)),0))</f>
        <v/>
      </c>
      <c r="AJ104" s="10">
        <f>IF(OR($B104="",TRIM($J104&amp;"")=""),"",IFERROR(MATCH(TRIM($J104&amp;"")&amp;"|월",파견수련계획!$Z$4:$Z$803,0),""))</f>
        <v/>
      </c>
      <c r="AK104" s="10">
        <f>IF(OR($B104="",TRIM($J104&amp;"")=""),"",IFERROR(MATCH(TRIM($J104&amp;"")&amp;"|다기관",파견수련계획!$AE$4:$AE$803,0),""))</f>
        <v/>
      </c>
      <c r="AL104" s="10">
        <f>IF($AK104="","","다기관 "&amp;TEXT(INDEX(파견수련계획!$AB$4:$AB$803,$AK104),"yyyy-mm-dd")&amp;"~"&amp;IF(ISNUMBER(INDEX(파견수련계획!$AC$4:$AC$803,$AK104)),TEXT(INDEX(파견수련계획!$AC$4:$AC$803,$AK104),"yyyy-mm-dd"),""))</f>
        <v/>
      </c>
    </row>
    <row r="105">
      <c r="A105" s="10">
        <f>IF(B105="","",ROW()-1)</f>
        <v/>
      </c>
      <c r="B105" s="18" t="n"/>
      <c r="C105" s="10">
        <f>IF($AB105="","",IF(INDEX(기본자료!$C$2:$C$1001,$AB105)="","",INDEX(기본자료!$C$2:$C$1001,$AB105)))</f>
        <v/>
      </c>
      <c r="D105" s="10">
        <f>IF($AB105="","",IF(INDEX(기본자료!$J$2:$J$1001,$AB105)="","",INDEX(기본자료!$J$2:$J$1001,$AB105)))</f>
        <v/>
      </c>
      <c r="E105" s="11">
        <f>IF($AB105="","",IF(INDEX(기본자료!$K$2:$K$1001,$AB105)="","",IF(NOT(ISNUMBER(INDEX(기본자료!$K$2:$K$1001,$AB105))),INDEX(기본자료!$K$2:$K$1001,$AB105),IF(INDEX(기본자료!$K$2:$K$1001,$AB105)&lt;1000000,INDEX(기본자료!$K$2:$K$1001,$AB105),IF(AND(INDEX(기본자료!$K$2:$K$1001,$AB105)&gt;=10000101,INT(MOD(INDEX(기본자료!$K$2:$K$1001,$AB105),10000)/100)&gt;=1,INT(MOD(INDEX(기본자료!$K$2:$K$1001,$AB105),10000)/100)&lt;=12,MOD(INDEX(기본자료!$K$2:$K$1001,$AB105),100)&gt;=1,MOD(INDEX(기본자료!$K$2:$K$1001,$AB105),100)&lt;=31),DATE(INT(INDEX(기본자료!$K$2:$K$1001,$AB105)/10000),INT(MOD(INDEX(기본자료!$K$2:$K$1001,$AB105),10000)/100),MOD(INDEX(기본자료!$K$2:$K$1001,$AB105),100)),INDEX(기본자료!$K$2:$K$1001,$AB105)&amp;"")))))</f>
        <v/>
      </c>
      <c r="F105" s="10">
        <f>IF($AB105="","",IF(INDEX(기본자료!$D$2:$D$1001,$AB105)="","",INDEX(기본자료!$D$2:$D$1001,$AB105)))</f>
        <v/>
      </c>
      <c r="G105" s="10">
        <f>IF($AB105="","",IF(INDEX(기본자료!$E$2:$E$1001,$AB105)="","",INDEX(기본자료!$E$2:$E$1001,$AB105)))</f>
        <v/>
      </c>
      <c r="H105" s="10">
        <f>IF($AB105="","",IF(INDEX(기본자료!$F$2:$F$1001,$AB105)="","",INDEX(기본자료!$F$2:$F$1001,$AB105)))</f>
        <v/>
      </c>
      <c r="I105" s="11">
        <f>IF($AB105="","",IF(INDEX(기본자료!$G$2:$G$1001,$AB105)="","",IF(NOT(ISNUMBER(INDEX(기본자료!$G$2:$G$1001,$AB105))),INDEX(기본자료!$G$2:$G$1001,$AB105),IF(INDEX(기본자료!$G$2:$G$1001,$AB105)&lt;1000000,INDEX(기본자료!$G$2:$G$1001,$AB105),IF(AND(INDEX(기본자료!$G$2:$G$1001,$AB105)&gt;=10000101,INT(MOD(INDEX(기본자료!$G$2:$G$1001,$AB105),10000)/100)&gt;=1,INT(MOD(INDEX(기본자료!$G$2:$G$1001,$AB105),10000)/100)&lt;=12,MOD(INDEX(기본자료!$G$2:$G$1001,$AB105),100)&gt;=1,MOD(INDEX(기본자료!$G$2:$G$1001,$AB105),100)&lt;=31),DATE(INT(INDEX(기본자료!$G$2:$G$1001,$AB105)/10000),INT(MOD(INDEX(기본자료!$G$2:$G$1001,$AB105),10000)/100),MOD(INDEX(기본자료!$G$2:$G$1001,$AB105),100)),INDEX(기본자료!$G$2:$G$1001,$AB105)&amp;"")))))</f>
        <v/>
      </c>
      <c r="J105" s="10">
        <f>IF($AB105="","",IF(INDEX(기본자료!$H$2:$H$1001,$AB105)="","",INDEX(기본자료!$H$2:$H$1001,$AB105)))</f>
        <v/>
      </c>
      <c r="K105" s="10">
        <f>IF($AB105="","",IF(INDEX(기본자료!$I$2:$I$1001,$AB105)="","",INDEX(기본자료!$I$2:$I$1001,$AB105)))</f>
        <v/>
      </c>
      <c r="L105" s="10">
        <f>IF($AB105="","",IF(INDEX(기본자료!$A$2:$A$1001,$AB105)="","",INDEX(기본자료!$A$2:$A$1001,$AB105)))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파견수련계획!$AB$4:$AB$803,$AK105),OR(NOT(ISNUMBER(INDEX(파견수련계획!$AC$4:$AC$803,$AK105))),TODAY()&lt;=INDEX(파견수련계획!$AC$4:$AC$803,$AK105))),"다기관",IF($AF105="","",INDEX(파견수련계획!$T$4:$T$803,$AF105))),IF($AF105="","",INDEX(파견수련계획!$T$4:$T$803,$AF105))))</f>
        <v/>
      </c>
      <c r="Q105" s="10">
        <f>IF($AF105="","",INDEX(파견수련계획!$S$4:$S$803,$AF105))</f>
        <v/>
      </c>
      <c r="R105" s="10">
        <f>IF($AF105="","",INDEX(파견수련계획!$U$4:$U$803,$AF105))</f>
        <v/>
      </c>
      <c r="S105" s="11">
        <f>IF($AF105="","",IF(INDEX(파견수련계획!$H$4:$H$803,$AF105)="","",INDEX(파견수련계획!$H$4:$H$803,$AF105)))</f>
        <v/>
      </c>
      <c r="T105" s="11">
        <f>IF($AF105="","",IF(INDEX(파견수련계획!$I$4:$I$803,$AF105)="","",INDEX(파견수련계획!$I$4:$I$803,$AF105)))</f>
        <v/>
      </c>
      <c r="U105" s="10">
        <f>IF($AF105="","",INDEX(파견수련계획!$X$4:$X$803,$AF105))</f>
        <v/>
      </c>
      <c r="V105" s="17">
        <f>IF($AF105="","",INDEX(파견수련계획!$V$4:$V$803,$AF105))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IF(OR($B105="",TRIM($J105&amp;"")=""),"",SUMPRODUCT((파견수련계획!$Q$4:$Q$803=TRIM($J105&amp;""))*파견수련계획!$W$4:$W$803))</f>
        <v/>
      </c>
      <c r="Y105" s="10">
        <f>IF($B105="","",IF($AG105="","",IF(IF(TRIM($J105&amp;"")="",0,SUMPRODUCT((파견수련계획!$Q$4:$Q$803=TRIM($J105&amp;""))*파견수련계획!$AD$4:$AD$803))&gt;0,$AE105,IF(N($X105)&lt;=0,$AG105,IF($AH105+$AI105=DAY(EOMONTH(요약!$B$3,0)),IF(AND($AH105&gt;=요약!$E$3,$AI105&lt;요약!$E$3),"서울병원",IF(AND($AI105&gt;=요약!$E$3,$AH105&lt;요약!$E$3),"구리병원","⚠15일 판정불가(서울 "&amp;$AH105&amp;"일/구리 "&amp;$AI105&amp;"일)")),IF($AJ105="",$AE105,IF(INDEX(파견수련계획!$T$4:$T$803,$AJ105)="통합수련",INDEX(파견수련계획!$S$4:$S$803,$AJ105),$AE105)))))))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입력",IF(IF(TRIM($J105&amp;"")="",0,SUMPRODUCT((파견수련계획!$Q$4:$Q$803=TRIM($J105&amp;""))*(파견수련계획!$AA$4:$AA$803&lt;&gt;"")))&gt;0,"파견수련계획 입력오류 확인",IF(LEFT($Y105,1)="⚠","서울·구리 15일 판정 불가(양쪽 모두 이상/미만)",IF(IF($AC105="",0,N(INDEX(인턴근무계획!$T$3:$T$402,$AC105)))&gt;0,"인턴계획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IF($B105="","",IFERROR(MATCH($B105,기본자료!$B$2:$B$1001,0),IFERROR(MATCH($B105&amp;"",기본자료!$B$2:$B$1001,0),IFERROR(MATCH(VALUE($B105),기본자료!$B$2:$B$1001,0),""))))</f>
        <v/>
      </c>
      <c r="AC105" s="10">
        <f>IF($B105="","",IFERROR(MATCH($B105,인턴근무계획!$D$3:$D$402,0),IFERROR(MATCH($B105&amp;"",인턴근무계획!$D$3:$D$402,0),IFERROR(MATCH(VALUE($B105),인턴근무계획!$D$3:$D$402,0),""))))</f>
        <v/>
      </c>
      <c r="AD105" s="10">
        <f>IF(OR($AC105="",인턴현황!$G$3=""),"",INDEX(인턴근무계획!$M$3:$R$402,$AC105,인턴현황!$G$3)&amp;"")</f>
        <v/>
      </c>
      <c r="AE105" s="10">
        <f>IF($B105="","",IF($M105&lt;&gt;"",$M105,IF($AF105&lt;&gt;"",IF(LEFT(INDEX(파견수련계획!$R$4:$R$803,$AF105),1)&lt;&gt;"⚠",INDEX(파견수련계획!$R$4:$R$803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$803,0),IFERROR(MATCH(TRIM($J105&amp;"")&amp;"|파견예정",파견수련계획!$Y$4:$Y$803,0),IFERROR(MATCH(TRIM($J105&amp;"")&amp;"|파견종료",파견수련계획!$Y$4:$Y$803,0),""))))</f>
        <v/>
      </c>
      <c r="AG105" s="10">
        <f>IF($B105="","",IF(AND(IF(OR($AC105="",인턴현황!$K$2=""),"",INDEX(인턴근무계획!$M$3:$R$402,$AC105,인턴현황!$K$2)&amp;"")&lt;&gt;"",LEFT(IF(OR($AC105="",인턴현황!$K$2=""),"",INDEX(인턴근무계획!$M$3:$R$402,$AC105,인턴현황!$K$2)&amp;""),1)&lt;&gt;"⚠"),LEFT(IF(OR($AC105="",인턴현황!$K$2=""),"",INDEX(인턴근무계획!$M$3:$R$402,$AC105,인턴현황!$K$2)&amp;""),FIND(" ",IF(OR($AC105="",인턴현황!$K$2=""),"",INDEX(인턴근무계획!$M$3:$R$402,$AC105,인턴현황!$K$2)&amp;""))-1),$AE105))</f>
        <v/>
      </c>
      <c r="AH105" s="17">
        <f>IF($B105="","",IF(TRIM($J105&amp;"")="",0,SUMPRODUCT((파견수련계획!$Q$4:$Q$803=TRIM($J105&amp;""))*(파견수련계획!$S$4:$S$803="서울병원")*파견수련계획!$W$4:$W$803))+IF($AG105="서울병원",MAX(0,DAY(EOMONTH(요약!$B$3,0))-N($X105)),0))</f>
        <v/>
      </c>
      <c r="AI105" s="17">
        <f>IF($B105="","",IF(TRIM($J105&amp;"")="",0,SUMPRODUCT((파견수련계획!$Q$4:$Q$803=TRIM($J105&amp;""))*(파견수련계획!$S$4:$S$803="구리병원")*파견수련계획!$W$4:$W$803))+IF($AG105="구리병원",MAX(0,DAY(EOMONTH(요약!$B$3,0))-N($X105)),0))</f>
        <v/>
      </c>
      <c r="AJ105" s="10">
        <f>IF(OR($B105="",TRIM($J105&amp;"")=""),"",IFERROR(MATCH(TRIM($J105&amp;"")&amp;"|월",파견수련계획!$Z$4:$Z$803,0),""))</f>
        <v/>
      </c>
      <c r="AK105" s="10">
        <f>IF(OR($B105="",TRIM($J105&amp;"")=""),"",IFERROR(MATCH(TRIM($J105&amp;"")&amp;"|다기관",파견수련계획!$AE$4:$AE$803,0),""))</f>
        <v/>
      </c>
      <c r="AL105" s="10">
        <f>IF($AK105="","","다기관 "&amp;TEXT(INDEX(파견수련계획!$AB$4:$AB$803,$AK105),"yyyy-mm-dd")&amp;"~"&amp;IF(ISNUMBER(INDEX(파견수련계획!$AC$4:$AC$803,$AK105)),TEXT(INDEX(파견수련계획!$AC$4:$AC$803,$AK105),"yyyy-mm-dd"),""))</f>
        <v/>
      </c>
    </row>
    <row r="106">
      <c r="A106" s="10">
        <f>IF(B106="","",ROW()-1)</f>
        <v/>
      </c>
      <c r="B106" s="18" t="n"/>
      <c r="C106" s="10">
        <f>IF($AB106="","",IF(INDEX(기본자료!$C$2:$C$1001,$AB106)="","",INDEX(기본자료!$C$2:$C$1001,$AB106)))</f>
        <v/>
      </c>
      <c r="D106" s="10">
        <f>IF($AB106="","",IF(INDEX(기본자료!$J$2:$J$1001,$AB106)="","",INDEX(기본자료!$J$2:$J$1001,$AB106)))</f>
        <v/>
      </c>
      <c r="E106" s="11">
        <f>IF($AB106="","",IF(INDEX(기본자료!$K$2:$K$1001,$AB106)="","",IF(NOT(ISNUMBER(INDEX(기본자료!$K$2:$K$1001,$AB106))),INDEX(기본자료!$K$2:$K$1001,$AB106),IF(INDEX(기본자료!$K$2:$K$1001,$AB106)&lt;1000000,INDEX(기본자료!$K$2:$K$1001,$AB106),IF(AND(INDEX(기본자료!$K$2:$K$1001,$AB106)&gt;=10000101,INT(MOD(INDEX(기본자료!$K$2:$K$1001,$AB106),10000)/100)&gt;=1,INT(MOD(INDEX(기본자료!$K$2:$K$1001,$AB106),10000)/100)&lt;=12,MOD(INDEX(기본자료!$K$2:$K$1001,$AB106),100)&gt;=1,MOD(INDEX(기본자료!$K$2:$K$1001,$AB106),100)&lt;=31),DATE(INT(INDEX(기본자료!$K$2:$K$1001,$AB106)/10000),INT(MOD(INDEX(기본자료!$K$2:$K$1001,$AB106),10000)/100),MOD(INDEX(기본자료!$K$2:$K$1001,$AB106),100)),INDEX(기본자료!$K$2:$K$1001,$AB106)&amp;"")))))</f>
        <v/>
      </c>
      <c r="F106" s="10">
        <f>IF($AB106="","",IF(INDEX(기본자료!$D$2:$D$1001,$AB106)="","",INDEX(기본자료!$D$2:$D$1001,$AB106)))</f>
        <v/>
      </c>
      <c r="G106" s="10">
        <f>IF($AB106="","",IF(INDEX(기본자료!$E$2:$E$1001,$AB106)="","",INDEX(기본자료!$E$2:$E$1001,$AB106)))</f>
        <v/>
      </c>
      <c r="H106" s="10">
        <f>IF($AB106="","",IF(INDEX(기본자료!$F$2:$F$1001,$AB106)="","",INDEX(기본자료!$F$2:$F$1001,$AB106)))</f>
        <v/>
      </c>
      <c r="I106" s="11">
        <f>IF($AB106="","",IF(INDEX(기본자료!$G$2:$G$1001,$AB106)="","",IF(NOT(ISNUMBER(INDEX(기본자료!$G$2:$G$1001,$AB106))),INDEX(기본자료!$G$2:$G$1001,$AB106),IF(INDEX(기본자료!$G$2:$G$1001,$AB106)&lt;1000000,INDEX(기본자료!$G$2:$G$1001,$AB106),IF(AND(INDEX(기본자료!$G$2:$G$1001,$AB106)&gt;=10000101,INT(MOD(INDEX(기본자료!$G$2:$G$1001,$AB106),10000)/100)&gt;=1,INT(MOD(INDEX(기본자료!$G$2:$G$1001,$AB106),10000)/100)&lt;=12,MOD(INDEX(기본자료!$G$2:$G$1001,$AB106),100)&gt;=1,MOD(INDEX(기본자료!$G$2:$G$1001,$AB106),100)&lt;=31),DATE(INT(INDEX(기본자료!$G$2:$G$1001,$AB106)/10000),INT(MOD(INDEX(기본자료!$G$2:$G$1001,$AB106),10000)/100),MOD(INDEX(기본자료!$G$2:$G$1001,$AB106),100)),INDEX(기본자료!$G$2:$G$1001,$AB106)&amp;"")))))</f>
        <v/>
      </c>
      <c r="J106" s="10">
        <f>IF($AB106="","",IF(INDEX(기본자료!$H$2:$H$1001,$AB106)="","",INDEX(기본자료!$H$2:$H$1001,$AB106)))</f>
        <v/>
      </c>
      <c r="K106" s="10">
        <f>IF($AB106="","",IF(INDEX(기본자료!$I$2:$I$1001,$AB106)="","",INDEX(기본자료!$I$2:$I$1001,$AB106)))</f>
        <v/>
      </c>
      <c r="L106" s="10">
        <f>IF($AB106="","",IF(INDEX(기본자료!$A$2:$A$1001,$AB106)="","",INDEX(기본자료!$A$2:$A$1001,$AB106)))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파견수련계획!$AB$4:$AB$803,$AK106),OR(NOT(ISNUMBER(INDEX(파견수련계획!$AC$4:$AC$803,$AK106))),TODAY()&lt;=INDEX(파견수련계획!$AC$4:$AC$803,$AK106))),"다기관",IF($AF106="","",INDEX(파견수련계획!$T$4:$T$803,$AF106))),IF($AF106="","",INDEX(파견수련계획!$T$4:$T$803,$AF106))))</f>
        <v/>
      </c>
      <c r="Q106" s="10">
        <f>IF($AF106="","",INDEX(파견수련계획!$S$4:$S$803,$AF106))</f>
        <v/>
      </c>
      <c r="R106" s="10">
        <f>IF($AF106="","",INDEX(파견수련계획!$U$4:$U$803,$AF106))</f>
        <v/>
      </c>
      <c r="S106" s="11">
        <f>IF($AF106="","",IF(INDEX(파견수련계획!$H$4:$H$803,$AF106)="","",INDEX(파견수련계획!$H$4:$H$803,$AF106)))</f>
        <v/>
      </c>
      <c r="T106" s="11">
        <f>IF($AF106="","",IF(INDEX(파견수련계획!$I$4:$I$803,$AF106)="","",INDEX(파견수련계획!$I$4:$I$803,$AF106)))</f>
        <v/>
      </c>
      <c r="U106" s="10">
        <f>IF($AF106="","",INDEX(파견수련계획!$X$4:$X$803,$AF106))</f>
        <v/>
      </c>
      <c r="V106" s="17">
        <f>IF($AF106="","",INDEX(파견수련계획!$V$4:$V$803,$AF106))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IF(OR($B106="",TRIM($J106&amp;"")=""),"",SUMPRODUCT((파견수련계획!$Q$4:$Q$803=TRIM($J106&amp;""))*파견수련계획!$W$4:$W$803))</f>
        <v/>
      </c>
      <c r="Y106" s="10">
        <f>IF($B106="","",IF($AG106="","",IF(IF(TRIM($J106&amp;"")="",0,SUMPRODUCT((파견수련계획!$Q$4:$Q$803=TRIM($J106&amp;""))*파견수련계획!$AD$4:$AD$803))&gt;0,$AE106,IF(N($X106)&lt;=0,$AG106,IF($AH106+$AI106=DAY(EOMONTH(요약!$B$3,0)),IF(AND($AH106&gt;=요약!$E$3,$AI106&lt;요약!$E$3),"서울병원",IF(AND($AI106&gt;=요약!$E$3,$AH106&lt;요약!$E$3),"구리병원","⚠15일 판정불가(서울 "&amp;$AH106&amp;"일/구리 "&amp;$AI106&amp;"일)")),IF($AJ106="",$AE106,IF(INDEX(파견수련계획!$T$4:$T$803,$AJ106)="통합수련",INDEX(파견수련계획!$S$4:$S$803,$AJ106),$AE106)))))))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입력",IF(IF(TRIM($J106&amp;"")="",0,SUMPRODUCT((파견수련계획!$Q$4:$Q$803=TRIM($J106&amp;""))*(파견수련계획!$AA$4:$AA$803&lt;&gt;"")))&gt;0,"파견수련계획 입력오류 확인",IF(LEFT($Y106,1)="⚠","서울·구리 15일 판정 불가(양쪽 모두 이상/미만)",IF(IF($AC106="",0,N(INDEX(인턴근무계획!$T$3:$T$402,$AC106)))&gt;0,"인턴계획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IF($B106="","",IFERROR(MATCH($B106,기본자료!$B$2:$B$1001,0),IFERROR(MATCH($B106&amp;"",기본자료!$B$2:$B$1001,0),IFERROR(MATCH(VALUE($B106),기본자료!$B$2:$B$1001,0),""))))</f>
        <v/>
      </c>
      <c r="AC106" s="10">
        <f>IF($B106="","",IFERROR(MATCH($B106,인턴근무계획!$D$3:$D$402,0),IFERROR(MATCH($B106&amp;"",인턴근무계획!$D$3:$D$402,0),IFERROR(MATCH(VALUE($B106),인턴근무계획!$D$3:$D$402,0),""))))</f>
        <v/>
      </c>
      <c r="AD106" s="10">
        <f>IF(OR($AC106="",인턴현황!$G$3=""),"",INDEX(인턴근무계획!$M$3:$R$402,$AC106,인턴현황!$G$3)&amp;"")</f>
        <v/>
      </c>
      <c r="AE106" s="10">
        <f>IF($B106="","",IF($M106&lt;&gt;"",$M106,IF($AF106&lt;&gt;"",IF(LEFT(INDEX(파견수련계획!$R$4:$R$803,$AF106),1)&lt;&gt;"⚠",INDEX(파견수련계획!$R$4:$R$803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$803,0),IFERROR(MATCH(TRIM($J106&amp;"")&amp;"|파견예정",파견수련계획!$Y$4:$Y$803,0),IFERROR(MATCH(TRIM($J106&amp;"")&amp;"|파견종료",파견수련계획!$Y$4:$Y$803,0),""))))</f>
        <v/>
      </c>
      <c r="AG106" s="10">
        <f>IF($B106="","",IF(AND(IF(OR($AC106="",인턴현황!$K$2=""),"",INDEX(인턴근무계획!$M$3:$R$402,$AC106,인턴현황!$K$2)&amp;"")&lt;&gt;"",LEFT(IF(OR($AC106="",인턴현황!$K$2=""),"",INDEX(인턴근무계획!$M$3:$R$402,$AC106,인턴현황!$K$2)&amp;""),1)&lt;&gt;"⚠"),LEFT(IF(OR($AC106="",인턴현황!$K$2=""),"",INDEX(인턴근무계획!$M$3:$R$402,$AC106,인턴현황!$K$2)&amp;""),FIND(" ",IF(OR($AC106="",인턴현황!$K$2=""),"",INDEX(인턴근무계획!$M$3:$R$402,$AC106,인턴현황!$K$2)&amp;""))-1),$AE106))</f>
        <v/>
      </c>
      <c r="AH106" s="17">
        <f>IF($B106="","",IF(TRIM($J106&amp;"")="",0,SUMPRODUCT((파견수련계획!$Q$4:$Q$803=TRIM($J106&amp;""))*(파견수련계획!$S$4:$S$803="서울병원")*파견수련계획!$W$4:$W$803))+IF($AG106="서울병원",MAX(0,DAY(EOMONTH(요약!$B$3,0))-N($X106)),0))</f>
        <v/>
      </c>
      <c r="AI106" s="17">
        <f>IF($B106="","",IF(TRIM($J106&amp;"")="",0,SUMPRODUCT((파견수련계획!$Q$4:$Q$803=TRIM($J106&amp;""))*(파견수련계획!$S$4:$S$803="구리병원")*파견수련계획!$W$4:$W$803))+IF($AG106="구리병원",MAX(0,DAY(EOMONTH(요약!$B$3,0))-N($X106)),0))</f>
        <v/>
      </c>
      <c r="AJ106" s="10">
        <f>IF(OR($B106="",TRIM($J106&amp;"")=""),"",IFERROR(MATCH(TRIM($J106&amp;"")&amp;"|월",파견수련계획!$Z$4:$Z$803,0),""))</f>
        <v/>
      </c>
      <c r="AK106" s="10">
        <f>IF(OR($B106="",TRIM($J106&amp;"")=""),"",IFERROR(MATCH(TRIM($J106&amp;"")&amp;"|다기관",파견수련계획!$AE$4:$AE$803,0),""))</f>
        <v/>
      </c>
      <c r="AL106" s="10">
        <f>IF($AK106="","","다기관 "&amp;TEXT(INDEX(파견수련계획!$AB$4:$AB$803,$AK106),"yyyy-mm-dd")&amp;"~"&amp;IF(ISNUMBER(INDEX(파견수련계획!$AC$4:$AC$803,$AK106)),TEXT(INDEX(파견수련계획!$AC$4:$AC$803,$AK106),"yyyy-mm-dd"),""))</f>
        <v/>
      </c>
    </row>
    <row r="107">
      <c r="A107" s="10">
        <f>IF(B107="","",ROW()-1)</f>
        <v/>
      </c>
      <c r="B107" s="18" t="n"/>
      <c r="C107" s="10">
        <f>IF($AB107="","",IF(INDEX(기본자료!$C$2:$C$1001,$AB107)="","",INDEX(기본자료!$C$2:$C$1001,$AB107)))</f>
        <v/>
      </c>
      <c r="D107" s="10">
        <f>IF($AB107="","",IF(INDEX(기본자료!$J$2:$J$1001,$AB107)="","",INDEX(기본자료!$J$2:$J$1001,$AB107)))</f>
        <v/>
      </c>
      <c r="E107" s="11">
        <f>IF($AB107="","",IF(INDEX(기본자료!$K$2:$K$1001,$AB107)="","",IF(NOT(ISNUMBER(INDEX(기본자료!$K$2:$K$1001,$AB107))),INDEX(기본자료!$K$2:$K$1001,$AB107),IF(INDEX(기본자료!$K$2:$K$1001,$AB107)&lt;1000000,INDEX(기본자료!$K$2:$K$1001,$AB107),IF(AND(INDEX(기본자료!$K$2:$K$1001,$AB107)&gt;=10000101,INT(MOD(INDEX(기본자료!$K$2:$K$1001,$AB107),10000)/100)&gt;=1,INT(MOD(INDEX(기본자료!$K$2:$K$1001,$AB107),10000)/100)&lt;=12,MOD(INDEX(기본자료!$K$2:$K$1001,$AB107),100)&gt;=1,MOD(INDEX(기본자료!$K$2:$K$1001,$AB107),100)&lt;=31),DATE(INT(INDEX(기본자료!$K$2:$K$1001,$AB107)/10000),INT(MOD(INDEX(기본자료!$K$2:$K$1001,$AB107),10000)/100),MOD(INDEX(기본자료!$K$2:$K$1001,$AB107),100)),INDEX(기본자료!$K$2:$K$1001,$AB107)&amp;"")))))</f>
        <v/>
      </c>
      <c r="F107" s="10">
        <f>IF($AB107="","",IF(INDEX(기본자료!$D$2:$D$1001,$AB107)="","",INDEX(기본자료!$D$2:$D$1001,$AB107)))</f>
        <v/>
      </c>
      <c r="G107" s="10">
        <f>IF($AB107="","",IF(INDEX(기본자료!$E$2:$E$1001,$AB107)="","",INDEX(기본자료!$E$2:$E$1001,$AB107)))</f>
        <v/>
      </c>
      <c r="H107" s="10">
        <f>IF($AB107="","",IF(INDEX(기본자료!$F$2:$F$1001,$AB107)="","",INDEX(기본자료!$F$2:$F$1001,$AB107)))</f>
        <v/>
      </c>
      <c r="I107" s="11">
        <f>IF($AB107="","",IF(INDEX(기본자료!$G$2:$G$1001,$AB107)="","",IF(NOT(ISNUMBER(INDEX(기본자료!$G$2:$G$1001,$AB107))),INDEX(기본자료!$G$2:$G$1001,$AB107),IF(INDEX(기본자료!$G$2:$G$1001,$AB107)&lt;1000000,INDEX(기본자료!$G$2:$G$1001,$AB107),IF(AND(INDEX(기본자료!$G$2:$G$1001,$AB107)&gt;=10000101,INT(MOD(INDEX(기본자료!$G$2:$G$1001,$AB107),10000)/100)&gt;=1,INT(MOD(INDEX(기본자료!$G$2:$G$1001,$AB107),10000)/100)&lt;=12,MOD(INDEX(기본자료!$G$2:$G$1001,$AB107),100)&gt;=1,MOD(INDEX(기본자료!$G$2:$G$1001,$AB107),100)&lt;=31),DATE(INT(INDEX(기본자료!$G$2:$G$1001,$AB107)/10000),INT(MOD(INDEX(기본자료!$G$2:$G$1001,$AB107),10000)/100),MOD(INDEX(기본자료!$G$2:$G$1001,$AB107),100)),INDEX(기본자료!$G$2:$G$1001,$AB107)&amp;"")))))</f>
        <v/>
      </c>
      <c r="J107" s="10">
        <f>IF($AB107="","",IF(INDEX(기본자료!$H$2:$H$1001,$AB107)="","",INDEX(기본자료!$H$2:$H$1001,$AB107)))</f>
        <v/>
      </c>
      <c r="K107" s="10">
        <f>IF($AB107="","",IF(INDEX(기본자료!$I$2:$I$1001,$AB107)="","",INDEX(기본자료!$I$2:$I$1001,$AB107)))</f>
        <v/>
      </c>
      <c r="L107" s="10">
        <f>IF($AB107="","",IF(INDEX(기본자료!$A$2:$A$1001,$AB107)="","",INDEX(기본자료!$A$2:$A$1001,$AB107)))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파견수련계획!$AB$4:$AB$803,$AK107),OR(NOT(ISNUMBER(INDEX(파견수련계획!$AC$4:$AC$803,$AK107))),TODAY()&lt;=INDEX(파견수련계획!$AC$4:$AC$803,$AK107))),"다기관",IF($AF107="","",INDEX(파견수련계획!$T$4:$T$803,$AF107))),IF($AF107="","",INDEX(파견수련계획!$T$4:$T$803,$AF107))))</f>
        <v/>
      </c>
      <c r="Q107" s="10">
        <f>IF($AF107="","",INDEX(파견수련계획!$S$4:$S$803,$AF107))</f>
        <v/>
      </c>
      <c r="R107" s="10">
        <f>IF($AF107="","",INDEX(파견수련계획!$U$4:$U$803,$AF107))</f>
        <v/>
      </c>
      <c r="S107" s="11">
        <f>IF($AF107="","",IF(INDEX(파견수련계획!$H$4:$H$803,$AF107)="","",INDEX(파견수련계획!$H$4:$H$803,$AF107)))</f>
        <v/>
      </c>
      <c r="T107" s="11">
        <f>IF($AF107="","",IF(INDEX(파견수련계획!$I$4:$I$803,$AF107)="","",INDEX(파견수련계획!$I$4:$I$803,$AF107)))</f>
        <v/>
      </c>
      <c r="U107" s="10">
        <f>IF($AF107="","",INDEX(파견수련계획!$X$4:$X$803,$AF107))</f>
        <v/>
      </c>
      <c r="V107" s="17">
        <f>IF($AF107="","",INDEX(파견수련계획!$V$4:$V$803,$AF107))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IF(OR($B107="",TRIM($J107&amp;"")=""),"",SUMPRODUCT((파견수련계획!$Q$4:$Q$803=TRIM($J107&amp;""))*파견수련계획!$W$4:$W$803))</f>
        <v/>
      </c>
      <c r="Y107" s="10">
        <f>IF($B107="","",IF($AG107="","",IF(IF(TRIM($J107&amp;"")="",0,SUMPRODUCT((파견수련계획!$Q$4:$Q$803=TRIM($J107&amp;""))*파견수련계획!$AD$4:$AD$803))&gt;0,$AE107,IF(N($X107)&lt;=0,$AG107,IF($AH107+$AI107=DAY(EOMONTH(요약!$B$3,0)),IF(AND($AH107&gt;=요약!$E$3,$AI107&lt;요약!$E$3),"서울병원",IF(AND($AI107&gt;=요약!$E$3,$AH107&lt;요약!$E$3),"구리병원","⚠15일 판정불가(서울 "&amp;$AH107&amp;"일/구리 "&amp;$AI107&amp;"일)")),IF($AJ107="",$AE107,IF(INDEX(파견수련계획!$T$4:$T$803,$AJ107)="통합수련",INDEX(파견수련계획!$S$4:$S$803,$AJ107),$AE107)))))))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입력",IF(IF(TRIM($J107&amp;"")="",0,SUMPRODUCT((파견수련계획!$Q$4:$Q$803=TRIM($J107&amp;""))*(파견수련계획!$AA$4:$AA$803&lt;&gt;"")))&gt;0,"파견수련계획 입력오류 확인",IF(LEFT($Y107,1)="⚠","서울·구리 15일 판정 불가(양쪽 모두 이상/미만)",IF(IF($AC107="",0,N(INDEX(인턴근무계획!$T$3:$T$402,$AC107)))&gt;0,"인턴계획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IF($B107="","",IFERROR(MATCH($B107,기본자료!$B$2:$B$1001,0),IFERROR(MATCH($B107&amp;"",기본자료!$B$2:$B$1001,0),IFERROR(MATCH(VALUE($B107),기본자료!$B$2:$B$1001,0),""))))</f>
        <v/>
      </c>
      <c r="AC107" s="10">
        <f>IF($B107="","",IFERROR(MATCH($B107,인턴근무계획!$D$3:$D$402,0),IFERROR(MATCH($B107&amp;"",인턴근무계획!$D$3:$D$402,0),IFERROR(MATCH(VALUE($B107),인턴근무계획!$D$3:$D$402,0),""))))</f>
        <v/>
      </c>
      <c r="AD107" s="10">
        <f>IF(OR($AC107="",인턴현황!$G$3=""),"",INDEX(인턴근무계획!$M$3:$R$402,$AC107,인턴현황!$G$3)&amp;"")</f>
        <v/>
      </c>
      <c r="AE107" s="10">
        <f>IF($B107="","",IF($M107&lt;&gt;"",$M107,IF($AF107&lt;&gt;"",IF(LEFT(INDEX(파견수련계획!$R$4:$R$803,$AF107),1)&lt;&gt;"⚠",INDEX(파견수련계획!$R$4:$R$803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$803,0),IFERROR(MATCH(TRIM($J107&amp;"")&amp;"|파견예정",파견수련계획!$Y$4:$Y$803,0),IFERROR(MATCH(TRIM($J107&amp;"")&amp;"|파견종료",파견수련계획!$Y$4:$Y$803,0),""))))</f>
        <v/>
      </c>
      <c r="AG107" s="10">
        <f>IF($B107="","",IF(AND(IF(OR($AC107="",인턴현황!$K$2=""),"",INDEX(인턴근무계획!$M$3:$R$402,$AC107,인턴현황!$K$2)&amp;"")&lt;&gt;"",LEFT(IF(OR($AC107="",인턴현황!$K$2=""),"",INDEX(인턴근무계획!$M$3:$R$402,$AC107,인턴현황!$K$2)&amp;""),1)&lt;&gt;"⚠"),LEFT(IF(OR($AC107="",인턴현황!$K$2=""),"",INDEX(인턴근무계획!$M$3:$R$402,$AC107,인턴현황!$K$2)&amp;""),FIND(" ",IF(OR($AC107="",인턴현황!$K$2=""),"",INDEX(인턴근무계획!$M$3:$R$402,$AC107,인턴현황!$K$2)&amp;""))-1),$AE107))</f>
        <v/>
      </c>
      <c r="AH107" s="17">
        <f>IF($B107="","",IF(TRIM($J107&amp;"")="",0,SUMPRODUCT((파견수련계획!$Q$4:$Q$803=TRIM($J107&amp;""))*(파견수련계획!$S$4:$S$803="서울병원")*파견수련계획!$W$4:$W$803))+IF($AG107="서울병원",MAX(0,DAY(EOMONTH(요약!$B$3,0))-N($X107)),0))</f>
        <v/>
      </c>
      <c r="AI107" s="17">
        <f>IF($B107="","",IF(TRIM($J107&amp;"")="",0,SUMPRODUCT((파견수련계획!$Q$4:$Q$803=TRIM($J107&amp;""))*(파견수련계획!$S$4:$S$803="구리병원")*파견수련계획!$W$4:$W$803))+IF($AG107="구리병원",MAX(0,DAY(EOMONTH(요약!$B$3,0))-N($X107)),0))</f>
        <v/>
      </c>
      <c r="AJ107" s="10">
        <f>IF(OR($B107="",TRIM($J107&amp;"")=""),"",IFERROR(MATCH(TRIM($J107&amp;"")&amp;"|월",파견수련계획!$Z$4:$Z$803,0),""))</f>
        <v/>
      </c>
      <c r="AK107" s="10">
        <f>IF(OR($B107="",TRIM($J107&amp;"")=""),"",IFERROR(MATCH(TRIM($J107&amp;"")&amp;"|다기관",파견수련계획!$AE$4:$AE$803,0),""))</f>
        <v/>
      </c>
      <c r="AL107" s="10">
        <f>IF($AK107="","","다기관 "&amp;TEXT(INDEX(파견수련계획!$AB$4:$AB$803,$AK107),"yyyy-mm-dd")&amp;"~"&amp;IF(ISNUMBER(INDEX(파견수련계획!$AC$4:$AC$803,$AK107)),TEXT(INDEX(파견수련계획!$AC$4:$AC$803,$AK107),"yyyy-mm-dd"),""))</f>
        <v/>
      </c>
    </row>
    <row r="108">
      <c r="A108" s="10">
        <f>IF(B108="","",ROW()-1)</f>
        <v/>
      </c>
      <c r="B108" s="18" t="n"/>
      <c r="C108" s="10">
        <f>IF($AB108="","",IF(INDEX(기본자료!$C$2:$C$1001,$AB108)="","",INDEX(기본자료!$C$2:$C$1001,$AB108)))</f>
        <v/>
      </c>
      <c r="D108" s="10">
        <f>IF($AB108="","",IF(INDEX(기본자료!$J$2:$J$1001,$AB108)="","",INDEX(기본자료!$J$2:$J$1001,$AB108)))</f>
        <v/>
      </c>
      <c r="E108" s="11">
        <f>IF($AB108="","",IF(INDEX(기본자료!$K$2:$K$1001,$AB108)="","",IF(NOT(ISNUMBER(INDEX(기본자료!$K$2:$K$1001,$AB108))),INDEX(기본자료!$K$2:$K$1001,$AB108),IF(INDEX(기본자료!$K$2:$K$1001,$AB108)&lt;1000000,INDEX(기본자료!$K$2:$K$1001,$AB108),IF(AND(INDEX(기본자료!$K$2:$K$1001,$AB108)&gt;=10000101,INT(MOD(INDEX(기본자료!$K$2:$K$1001,$AB108),10000)/100)&gt;=1,INT(MOD(INDEX(기본자료!$K$2:$K$1001,$AB108),10000)/100)&lt;=12,MOD(INDEX(기본자료!$K$2:$K$1001,$AB108),100)&gt;=1,MOD(INDEX(기본자료!$K$2:$K$1001,$AB108),100)&lt;=31),DATE(INT(INDEX(기본자료!$K$2:$K$1001,$AB108)/10000),INT(MOD(INDEX(기본자료!$K$2:$K$1001,$AB108),10000)/100),MOD(INDEX(기본자료!$K$2:$K$1001,$AB108),100)),INDEX(기본자료!$K$2:$K$1001,$AB108)&amp;"")))))</f>
        <v/>
      </c>
      <c r="F108" s="10">
        <f>IF($AB108="","",IF(INDEX(기본자료!$D$2:$D$1001,$AB108)="","",INDEX(기본자료!$D$2:$D$1001,$AB108)))</f>
        <v/>
      </c>
      <c r="G108" s="10">
        <f>IF($AB108="","",IF(INDEX(기본자료!$E$2:$E$1001,$AB108)="","",INDEX(기본자료!$E$2:$E$1001,$AB108)))</f>
        <v/>
      </c>
      <c r="H108" s="10">
        <f>IF($AB108="","",IF(INDEX(기본자료!$F$2:$F$1001,$AB108)="","",INDEX(기본자료!$F$2:$F$1001,$AB108)))</f>
        <v/>
      </c>
      <c r="I108" s="11">
        <f>IF($AB108="","",IF(INDEX(기본자료!$G$2:$G$1001,$AB108)="","",IF(NOT(ISNUMBER(INDEX(기본자료!$G$2:$G$1001,$AB108))),INDEX(기본자료!$G$2:$G$1001,$AB108),IF(INDEX(기본자료!$G$2:$G$1001,$AB108)&lt;1000000,INDEX(기본자료!$G$2:$G$1001,$AB108),IF(AND(INDEX(기본자료!$G$2:$G$1001,$AB108)&gt;=10000101,INT(MOD(INDEX(기본자료!$G$2:$G$1001,$AB108),10000)/100)&gt;=1,INT(MOD(INDEX(기본자료!$G$2:$G$1001,$AB108),10000)/100)&lt;=12,MOD(INDEX(기본자료!$G$2:$G$1001,$AB108),100)&gt;=1,MOD(INDEX(기본자료!$G$2:$G$1001,$AB108),100)&lt;=31),DATE(INT(INDEX(기본자료!$G$2:$G$1001,$AB108)/10000),INT(MOD(INDEX(기본자료!$G$2:$G$1001,$AB108),10000)/100),MOD(INDEX(기본자료!$G$2:$G$1001,$AB108),100)),INDEX(기본자료!$G$2:$G$1001,$AB108)&amp;"")))))</f>
        <v/>
      </c>
      <c r="J108" s="10">
        <f>IF($AB108="","",IF(INDEX(기본자료!$H$2:$H$1001,$AB108)="","",INDEX(기본자료!$H$2:$H$1001,$AB108)))</f>
        <v/>
      </c>
      <c r="K108" s="10">
        <f>IF($AB108="","",IF(INDEX(기본자료!$I$2:$I$1001,$AB108)="","",INDEX(기본자료!$I$2:$I$1001,$AB108)))</f>
        <v/>
      </c>
      <c r="L108" s="10">
        <f>IF($AB108="","",IF(INDEX(기본자료!$A$2:$A$1001,$AB108)="","",INDEX(기본자료!$A$2:$A$1001,$AB108)))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파견수련계획!$AB$4:$AB$803,$AK108),OR(NOT(ISNUMBER(INDEX(파견수련계획!$AC$4:$AC$803,$AK108))),TODAY()&lt;=INDEX(파견수련계획!$AC$4:$AC$803,$AK108))),"다기관",IF($AF108="","",INDEX(파견수련계획!$T$4:$T$803,$AF108))),IF($AF108="","",INDEX(파견수련계획!$T$4:$T$803,$AF108))))</f>
        <v/>
      </c>
      <c r="Q108" s="10">
        <f>IF($AF108="","",INDEX(파견수련계획!$S$4:$S$803,$AF108))</f>
        <v/>
      </c>
      <c r="R108" s="10">
        <f>IF($AF108="","",INDEX(파견수련계획!$U$4:$U$803,$AF108))</f>
        <v/>
      </c>
      <c r="S108" s="11">
        <f>IF($AF108="","",IF(INDEX(파견수련계획!$H$4:$H$803,$AF108)="","",INDEX(파견수련계획!$H$4:$H$803,$AF108)))</f>
        <v/>
      </c>
      <c r="T108" s="11">
        <f>IF($AF108="","",IF(INDEX(파견수련계획!$I$4:$I$803,$AF108)="","",INDEX(파견수련계획!$I$4:$I$803,$AF108)))</f>
        <v/>
      </c>
      <c r="U108" s="10">
        <f>IF($AF108="","",INDEX(파견수련계획!$X$4:$X$803,$AF108))</f>
        <v/>
      </c>
      <c r="V108" s="17">
        <f>IF($AF108="","",INDEX(파견수련계획!$V$4:$V$803,$AF108))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IF(OR($B108="",TRIM($J108&amp;"")=""),"",SUMPRODUCT((파견수련계획!$Q$4:$Q$803=TRIM($J108&amp;""))*파견수련계획!$W$4:$W$803))</f>
        <v/>
      </c>
      <c r="Y108" s="10">
        <f>IF($B108="","",IF($AG108="","",IF(IF(TRIM($J108&amp;"")="",0,SUMPRODUCT((파견수련계획!$Q$4:$Q$803=TRIM($J108&amp;""))*파견수련계획!$AD$4:$AD$803))&gt;0,$AE108,IF(N($X108)&lt;=0,$AG108,IF($AH108+$AI108=DAY(EOMONTH(요약!$B$3,0)),IF(AND($AH108&gt;=요약!$E$3,$AI108&lt;요약!$E$3),"서울병원",IF(AND($AI108&gt;=요약!$E$3,$AH108&lt;요약!$E$3),"구리병원","⚠15일 판정불가(서울 "&amp;$AH108&amp;"일/구리 "&amp;$AI108&amp;"일)")),IF($AJ108="",$AE108,IF(INDEX(파견수련계획!$T$4:$T$803,$AJ108)="통합수련",INDEX(파견수련계획!$S$4:$S$803,$AJ108),$AE108)))))))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입력",IF(IF(TRIM($J108&amp;"")="",0,SUMPRODUCT((파견수련계획!$Q$4:$Q$803=TRIM($J108&amp;""))*(파견수련계획!$AA$4:$AA$803&lt;&gt;"")))&gt;0,"파견수련계획 입력오류 확인",IF(LEFT($Y108,1)="⚠","서울·구리 15일 판정 불가(양쪽 모두 이상/미만)",IF(IF($AC108="",0,N(INDEX(인턴근무계획!$T$3:$T$402,$AC108)))&gt;0,"인턴계획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IF($B108="","",IFERROR(MATCH($B108,기본자료!$B$2:$B$1001,0),IFERROR(MATCH($B108&amp;"",기본자료!$B$2:$B$1001,0),IFERROR(MATCH(VALUE($B108),기본자료!$B$2:$B$1001,0),""))))</f>
        <v/>
      </c>
      <c r="AC108" s="10">
        <f>IF($B108="","",IFERROR(MATCH($B108,인턴근무계획!$D$3:$D$402,0),IFERROR(MATCH($B108&amp;"",인턴근무계획!$D$3:$D$402,0),IFERROR(MATCH(VALUE($B108),인턴근무계획!$D$3:$D$402,0),""))))</f>
        <v/>
      </c>
      <c r="AD108" s="10">
        <f>IF(OR($AC108="",인턴현황!$G$3=""),"",INDEX(인턴근무계획!$M$3:$R$402,$AC108,인턴현황!$G$3)&amp;"")</f>
        <v/>
      </c>
      <c r="AE108" s="10">
        <f>IF($B108="","",IF($M108&lt;&gt;"",$M108,IF($AF108&lt;&gt;"",IF(LEFT(INDEX(파견수련계획!$R$4:$R$803,$AF108),1)&lt;&gt;"⚠",INDEX(파견수련계획!$R$4:$R$803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$803,0),IFERROR(MATCH(TRIM($J108&amp;"")&amp;"|파견예정",파견수련계획!$Y$4:$Y$803,0),IFERROR(MATCH(TRIM($J108&amp;"")&amp;"|파견종료",파견수련계획!$Y$4:$Y$803,0),""))))</f>
        <v/>
      </c>
      <c r="AG108" s="10">
        <f>IF($B108="","",IF(AND(IF(OR($AC108="",인턴현황!$K$2=""),"",INDEX(인턴근무계획!$M$3:$R$402,$AC108,인턴현황!$K$2)&amp;"")&lt;&gt;"",LEFT(IF(OR($AC108="",인턴현황!$K$2=""),"",INDEX(인턴근무계획!$M$3:$R$402,$AC108,인턴현황!$K$2)&amp;""),1)&lt;&gt;"⚠"),LEFT(IF(OR($AC108="",인턴현황!$K$2=""),"",INDEX(인턴근무계획!$M$3:$R$402,$AC108,인턴현황!$K$2)&amp;""),FIND(" ",IF(OR($AC108="",인턴현황!$K$2=""),"",INDEX(인턴근무계획!$M$3:$R$402,$AC108,인턴현황!$K$2)&amp;""))-1),$AE108))</f>
        <v/>
      </c>
      <c r="AH108" s="17">
        <f>IF($B108="","",IF(TRIM($J108&amp;"")="",0,SUMPRODUCT((파견수련계획!$Q$4:$Q$803=TRIM($J108&amp;""))*(파견수련계획!$S$4:$S$803="서울병원")*파견수련계획!$W$4:$W$803))+IF($AG108="서울병원",MAX(0,DAY(EOMONTH(요약!$B$3,0))-N($X108)),0))</f>
        <v/>
      </c>
      <c r="AI108" s="17">
        <f>IF($B108="","",IF(TRIM($J108&amp;"")="",0,SUMPRODUCT((파견수련계획!$Q$4:$Q$803=TRIM($J108&amp;""))*(파견수련계획!$S$4:$S$803="구리병원")*파견수련계획!$W$4:$W$803))+IF($AG108="구리병원",MAX(0,DAY(EOMONTH(요약!$B$3,0))-N($X108)),0))</f>
        <v/>
      </c>
      <c r="AJ108" s="10">
        <f>IF(OR($B108="",TRIM($J108&amp;"")=""),"",IFERROR(MATCH(TRIM($J108&amp;"")&amp;"|월",파견수련계획!$Z$4:$Z$803,0),""))</f>
        <v/>
      </c>
      <c r="AK108" s="10">
        <f>IF(OR($B108="",TRIM($J108&amp;"")=""),"",IFERROR(MATCH(TRIM($J108&amp;"")&amp;"|다기관",파견수련계획!$AE$4:$AE$803,0),""))</f>
        <v/>
      </c>
      <c r="AL108" s="10">
        <f>IF($AK108="","","다기관 "&amp;TEXT(INDEX(파견수련계획!$AB$4:$AB$803,$AK108),"yyyy-mm-dd")&amp;"~"&amp;IF(ISNUMBER(INDEX(파견수련계획!$AC$4:$AC$803,$AK108)),TEXT(INDEX(파견수련계획!$AC$4:$AC$803,$AK108),"yyyy-mm-dd"),""))</f>
        <v/>
      </c>
    </row>
    <row r="109">
      <c r="A109" s="10">
        <f>IF(B109="","",ROW()-1)</f>
        <v/>
      </c>
      <c r="B109" s="18" t="n"/>
      <c r="C109" s="10">
        <f>IF($AB109="","",IF(INDEX(기본자료!$C$2:$C$1001,$AB109)="","",INDEX(기본자료!$C$2:$C$1001,$AB109)))</f>
        <v/>
      </c>
      <c r="D109" s="10">
        <f>IF($AB109="","",IF(INDEX(기본자료!$J$2:$J$1001,$AB109)="","",INDEX(기본자료!$J$2:$J$1001,$AB109)))</f>
        <v/>
      </c>
      <c r="E109" s="11">
        <f>IF($AB109="","",IF(INDEX(기본자료!$K$2:$K$1001,$AB109)="","",IF(NOT(ISNUMBER(INDEX(기본자료!$K$2:$K$1001,$AB109))),INDEX(기본자료!$K$2:$K$1001,$AB109),IF(INDEX(기본자료!$K$2:$K$1001,$AB109)&lt;1000000,INDEX(기본자료!$K$2:$K$1001,$AB109),IF(AND(INDEX(기본자료!$K$2:$K$1001,$AB109)&gt;=10000101,INT(MOD(INDEX(기본자료!$K$2:$K$1001,$AB109),10000)/100)&gt;=1,INT(MOD(INDEX(기본자료!$K$2:$K$1001,$AB109),10000)/100)&lt;=12,MOD(INDEX(기본자료!$K$2:$K$1001,$AB109),100)&gt;=1,MOD(INDEX(기본자료!$K$2:$K$1001,$AB109),100)&lt;=31),DATE(INT(INDEX(기본자료!$K$2:$K$1001,$AB109)/10000),INT(MOD(INDEX(기본자료!$K$2:$K$1001,$AB109),10000)/100),MOD(INDEX(기본자료!$K$2:$K$1001,$AB109),100)),INDEX(기본자료!$K$2:$K$1001,$AB109)&amp;"")))))</f>
        <v/>
      </c>
      <c r="F109" s="10">
        <f>IF($AB109="","",IF(INDEX(기본자료!$D$2:$D$1001,$AB109)="","",INDEX(기본자료!$D$2:$D$1001,$AB109)))</f>
        <v/>
      </c>
      <c r="G109" s="10">
        <f>IF($AB109="","",IF(INDEX(기본자료!$E$2:$E$1001,$AB109)="","",INDEX(기본자료!$E$2:$E$1001,$AB109)))</f>
        <v/>
      </c>
      <c r="H109" s="10">
        <f>IF($AB109="","",IF(INDEX(기본자료!$F$2:$F$1001,$AB109)="","",INDEX(기본자료!$F$2:$F$1001,$AB109)))</f>
        <v/>
      </c>
      <c r="I109" s="11">
        <f>IF($AB109="","",IF(INDEX(기본자료!$G$2:$G$1001,$AB109)="","",IF(NOT(ISNUMBER(INDEX(기본자료!$G$2:$G$1001,$AB109))),INDEX(기본자료!$G$2:$G$1001,$AB109),IF(INDEX(기본자료!$G$2:$G$1001,$AB109)&lt;1000000,INDEX(기본자료!$G$2:$G$1001,$AB109),IF(AND(INDEX(기본자료!$G$2:$G$1001,$AB109)&gt;=10000101,INT(MOD(INDEX(기본자료!$G$2:$G$1001,$AB109),10000)/100)&gt;=1,INT(MOD(INDEX(기본자료!$G$2:$G$1001,$AB109),10000)/100)&lt;=12,MOD(INDEX(기본자료!$G$2:$G$1001,$AB109),100)&gt;=1,MOD(INDEX(기본자료!$G$2:$G$1001,$AB109),100)&lt;=31),DATE(INT(INDEX(기본자료!$G$2:$G$1001,$AB109)/10000),INT(MOD(INDEX(기본자료!$G$2:$G$1001,$AB109),10000)/100),MOD(INDEX(기본자료!$G$2:$G$1001,$AB109),100)),INDEX(기본자료!$G$2:$G$1001,$AB109)&amp;"")))))</f>
        <v/>
      </c>
      <c r="J109" s="10">
        <f>IF($AB109="","",IF(INDEX(기본자료!$H$2:$H$1001,$AB109)="","",INDEX(기본자료!$H$2:$H$1001,$AB109)))</f>
        <v/>
      </c>
      <c r="K109" s="10">
        <f>IF($AB109="","",IF(INDEX(기본자료!$I$2:$I$1001,$AB109)="","",INDEX(기본자료!$I$2:$I$1001,$AB109)))</f>
        <v/>
      </c>
      <c r="L109" s="10">
        <f>IF($AB109="","",IF(INDEX(기본자료!$A$2:$A$1001,$AB109)="","",INDEX(기본자료!$A$2:$A$1001,$AB109)))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파견수련계획!$AB$4:$AB$803,$AK109),OR(NOT(ISNUMBER(INDEX(파견수련계획!$AC$4:$AC$803,$AK109))),TODAY()&lt;=INDEX(파견수련계획!$AC$4:$AC$803,$AK109))),"다기관",IF($AF109="","",INDEX(파견수련계획!$T$4:$T$803,$AF109))),IF($AF109="","",INDEX(파견수련계획!$T$4:$T$803,$AF109))))</f>
        <v/>
      </c>
      <c r="Q109" s="10">
        <f>IF($AF109="","",INDEX(파견수련계획!$S$4:$S$803,$AF109))</f>
        <v/>
      </c>
      <c r="R109" s="10">
        <f>IF($AF109="","",INDEX(파견수련계획!$U$4:$U$803,$AF109))</f>
        <v/>
      </c>
      <c r="S109" s="11">
        <f>IF($AF109="","",IF(INDEX(파견수련계획!$H$4:$H$803,$AF109)="","",INDEX(파견수련계획!$H$4:$H$803,$AF109)))</f>
        <v/>
      </c>
      <c r="T109" s="11">
        <f>IF($AF109="","",IF(INDEX(파견수련계획!$I$4:$I$803,$AF109)="","",INDEX(파견수련계획!$I$4:$I$803,$AF109)))</f>
        <v/>
      </c>
      <c r="U109" s="10">
        <f>IF($AF109="","",INDEX(파견수련계획!$X$4:$X$803,$AF109))</f>
        <v/>
      </c>
      <c r="V109" s="17">
        <f>IF($AF109="","",INDEX(파견수련계획!$V$4:$V$803,$AF109))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IF(OR($B109="",TRIM($J109&amp;"")=""),"",SUMPRODUCT((파견수련계획!$Q$4:$Q$803=TRIM($J109&amp;""))*파견수련계획!$W$4:$W$803))</f>
        <v/>
      </c>
      <c r="Y109" s="10">
        <f>IF($B109="","",IF($AG109="","",IF(IF(TRIM($J109&amp;"")="",0,SUMPRODUCT((파견수련계획!$Q$4:$Q$803=TRIM($J109&amp;""))*파견수련계획!$AD$4:$AD$803))&gt;0,$AE109,IF(N($X109)&lt;=0,$AG109,IF($AH109+$AI109=DAY(EOMONTH(요약!$B$3,0)),IF(AND($AH109&gt;=요약!$E$3,$AI109&lt;요약!$E$3),"서울병원",IF(AND($AI109&gt;=요약!$E$3,$AH109&lt;요약!$E$3),"구리병원","⚠15일 판정불가(서울 "&amp;$AH109&amp;"일/구리 "&amp;$AI109&amp;"일)")),IF($AJ109="",$AE109,IF(INDEX(파견수련계획!$T$4:$T$803,$AJ109)="통합수련",INDEX(파견수련계획!$S$4:$S$803,$AJ109),$AE109)))))))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입력",IF(IF(TRIM($J109&amp;"")="",0,SUMPRODUCT((파견수련계획!$Q$4:$Q$803=TRIM($J109&amp;""))*(파견수련계획!$AA$4:$AA$803&lt;&gt;"")))&gt;0,"파견수련계획 입력오류 확인",IF(LEFT($Y109,1)="⚠","서울·구리 15일 판정 불가(양쪽 모두 이상/미만)",IF(IF($AC109="",0,N(INDEX(인턴근무계획!$T$3:$T$402,$AC109)))&gt;0,"인턴계획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IF($B109="","",IFERROR(MATCH($B109,기본자료!$B$2:$B$1001,0),IFERROR(MATCH($B109&amp;"",기본자료!$B$2:$B$1001,0),IFERROR(MATCH(VALUE($B109),기본자료!$B$2:$B$1001,0),""))))</f>
        <v/>
      </c>
      <c r="AC109" s="10">
        <f>IF($B109="","",IFERROR(MATCH($B109,인턴근무계획!$D$3:$D$402,0),IFERROR(MATCH($B109&amp;"",인턴근무계획!$D$3:$D$402,0),IFERROR(MATCH(VALUE($B109),인턴근무계획!$D$3:$D$402,0),""))))</f>
        <v/>
      </c>
      <c r="AD109" s="10">
        <f>IF(OR($AC109="",인턴현황!$G$3=""),"",INDEX(인턴근무계획!$M$3:$R$402,$AC109,인턴현황!$G$3)&amp;"")</f>
        <v/>
      </c>
      <c r="AE109" s="10">
        <f>IF($B109="","",IF($M109&lt;&gt;"",$M109,IF($AF109&lt;&gt;"",IF(LEFT(INDEX(파견수련계획!$R$4:$R$803,$AF109),1)&lt;&gt;"⚠",INDEX(파견수련계획!$R$4:$R$803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$803,0),IFERROR(MATCH(TRIM($J109&amp;"")&amp;"|파견예정",파견수련계획!$Y$4:$Y$803,0),IFERROR(MATCH(TRIM($J109&amp;"")&amp;"|파견종료",파견수련계획!$Y$4:$Y$803,0),""))))</f>
        <v/>
      </c>
      <c r="AG109" s="10">
        <f>IF($B109="","",IF(AND(IF(OR($AC109="",인턴현황!$K$2=""),"",INDEX(인턴근무계획!$M$3:$R$402,$AC109,인턴현황!$K$2)&amp;"")&lt;&gt;"",LEFT(IF(OR($AC109="",인턴현황!$K$2=""),"",INDEX(인턴근무계획!$M$3:$R$402,$AC109,인턴현황!$K$2)&amp;""),1)&lt;&gt;"⚠"),LEFT(IF(OR($AC109="",인턴현황!$K$2=""),"",INDEX(인턴근무계획!$M$3:$R$402,$AC109,인턴현황!$K$2)&amp;""),FIND(" ",IF(OR($AC109="",인턴현황!$K$2=""),"",INDEX(인턴근무계획!$M$3:$R$402,$AC109,인턴현황!$K$2)&amp;""))-1),$AE109))</f>
        <v/>
      </c>
      <c r="AH109" s="17">
        <f>IF($B109="","",IF(TRIM($J109&amp;"")="",0,SUMPRODUCT((파견수련계획!$Q$4:$Q$803=TRIM($J109&amp;""))*(파견수련계획!$S$4:$S$803="서울병원")*파견수련계획!$W$4:$W$803))+IF($AG109="서울병원",MAX(0,DAY(EOMONTH(요약!$B$3,0))-N($X109)),0))</f>
        <v/>
      </c>
      <c r="AI109" s="17">
        <f>IF($B109="","",IF(TRIM($J109&amp;"")="",0,SUMPRODUCT((파견수련계획!$Q$4:$Q$803=TRIM($J109&amp;""))*(파견수련계획!$S$4:$S$803="구리병원")*파견수련계획!$W$4:$W$803))+IF($AG109="구리병원",MAX(0,DAY(EOMONTH(요약!$B$3,0))-N($X109)),0))</f>
        <v/>
      </c>
      <c r="AJ109" s="10">
        <f>IF(OR($B109="",TRIM($J109&amp;"")=""),"",IFERROR(MATCH(TRIM($J109&amp;"")&amp;"|월",파견수련계획!$Z$4:$Z$803,0),""))</f>
        <v/>
      </c>
      <c r="AK109" s="10">
        <f>IF(OR($B109="",TRIM($J109&amp;"")=""),"",IFERROR(MATCH(TRIM($J109&amp;"")&amp;"|다기관",파견수련계획!$AE$4:$AE$803,0),""))</f>
        <v/>
      </c>
      <c r="AL109" s="10">
        <f>IF($AK109="","","다기관 "&amp;TEXT(INDEX(파견수련계획!$AB$4:$AB$803,$AK109),"yyyy-mm-dd")&amp;"~"&amp;IF(ISNUMBER(INDEX(파견수련계획!$AC$4:$AC$803,$AK109)),TEXT(INDEX(파견수련계획!$AC$4:$AC$803,$AK109),"yyyy-mm-dd"),""))</f>
        <v/>
      </c>
    </row>
    <row r="110">
      <c r="A110" s="10">
        <f>IF(B110="","",ROW()-1)</f>
        <v/>
      </c>
      <c r="B110" s="18" t="n"/>
      <c r="C110" s="10">
        <f>IF($AB110="","",IF(INDEX(기본자료!$C$2:$C$1001,$AB110)="","",INDEX(기본자료!$C$2:$C$1001,$AB110)))</f>
        <v/>
      </c>
      <c r="D110" s="10">
        <f>IF($AB110="","",IF(INDEX(기본자료!$J$2:$J$1001,$AB110)="","",INDEX(기본자료!$J$2:$J$1001,$AB110)))</f>
        <v/>
      </c>
      <c r="E110" s="11">
        <f>IF($AB110="","",IF(INDEX(기본자료!$K$2:$K$1001,$AB110)="","",IF(NOT(ISNUMBER(INDEX(기본자료!$K$2:$K$1001,$AB110))),INDEX(기본자료!$K$2:$K$1001,$AB110),IF(INDEX(기본자료!$K$2:$K$1001,$AB110)&lt;1000000,INDEX(기본자료!$K$2:$K$1001,$AB110),IF(AND(INDEX(기본자료!$K$2:$K$1001,$AB110)&gt;=10000101,INT(MOD(INDEX(기본자료!$K$2:$K$1001,$AB110),10000)/100)&gt;=1,INT(MOD(INDEX(기본자료!$K$2:$K$1001,$AB110),10000)/100)&lt;=12,MOD(INDEX(기본자료!$K$2:$K$1001,$AB110),100)&gt;=1,MOD(INDEX(기본자료!$K$2:$K$1001,$AB110),100)&lt;=31),DATE(INT(INDEX(기본자료!$K$2:$K$1001,$AB110)/10000),INT(MOD(INDEX(기본자료!$K$2:$K$1001,$AB110),10000)/100),MOD(INDEX(기본자료!$K$2:$K$1001,$AB110),100)),INDEX(기본자료!$K$2:$K$1001,$AB110)&amp;"")))))</f>
        <v/>
      </c>
      <c r="F110" s="10">
        <f>IF($AB110="","",IF(INDEX(기본자료!$D$2:$D$1001,$AB110)="","",INDEX(기본자료!$D$2:$D$1001,$AB110)))</f>
        <v/>
      </c>
      <c r="G110" s="10">
        <f>IF($AB110="","",IF(INDEX(기본자료!$E$2:$E$1001,$AB110)="","",INDEX(기본자료!$E$2:$E$1001,$AB110)))</f>
        <v/>
      </c>
      <c r="H110" s="10">
        <f>IF($AB110="","",IF(INDEX(기본자료!$F$2:$F$1001,$AB110)="","",INDEX(기본자료!$F$2:$F$1001,$AB110)))</f>
        <v/>
      </c>
      <c r="I110" s="11">
        <f>IF($AB110="","",IF(INDEX(기본자료!$G$2:$G$1001,$AB110)="","",IF(NOT(ISNUMBER(INDEX(기본자료!$G$2:$G$1001,$AB110))),INDEX(기본자료!$G$2:$G$1001,$AB110),IF(INDEX(기본자료!$G$2:$G$1001,$AB110)&lt;1000000,INDEX(기본자료!$G$2:$G$1001,$AB110),IF(AND(INDEX(기본자료!$G$2:$G$1001,$AB110)&gt;=10000101,INT(MOD(INDEX(기본자료!$G$2:$G$1001,$AB110),10000)/100)&gt;=1,INT(MOD(INDEX(기본자료!$G$2:$G$1001,$AB110),10000)/100)&lt;=12,MOD(INDEX(기본자료!$G$2:$G$1001,$AB110),100)&gt;=1,MOD(INDEX(기본자료!$G$2:$G$1001,$AB110),100)&lt;=31),DATE(INT(INDEX(기본자료!$G$2:$G$1001,$AB110)/10000),INT(MOD(INDEX(기본자료!$G$2:$G$1001,$AB110),10000)/100),MOD(INDEX(기본자료!$G$2:$G$1001,$AB110),100)),INDEX(기본자료!$G$2:$G$1001,$AB110)&amp;"")))))</f>
        <v/>
      </c>
      <c r="J110" s="10">
        <f>IF($AB110="","",IF(INDEX(기본자료!$H$2:$H$1001,$AB110)="","",INDEX(기본자료!$H$2:$H$1001,$AB110)))</f>
        <v/>
      </c>
      <c r="K110" s="10">
        <f>IF($AB110="","",IF(INDEX(기본자료!$I$2:$I$1001,$AB110)="","",INDEX(기본자료!$I$2:$I$1001,$AB110)))</f>
        <v/>
      </c>
      <c r="L110" s="10">
        <f>IF($AB110="","",IF(INDEX(기본자료!$A$2:$A$1001,$AB110)="","",INDEX(기본자료!$A$2:$A$1001,$AB110)))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파견수련계획!$AB$4:$AB$803,$AK110),OR(NOT(ISNUMBER(INDEX(파견수련계획!$AC$4:$AC$803,$AK110))),TODAY()&lt;=INDEX(파견수련계획!$AC$4:$AC$803,$AK110))),"다기관",IF($AF110="","",INDEX(파견수련계획!$T$4:$T$803,$AF110))),IF($AF110="","",INDEX(파견수련계획!$T$4:$T$803,$AF110))))</f>
        <v/>
      </c>
      <c r="Q110" s="10">
        <f>IF($AF110="","",INDEX(파견수련계획!$S$4:$S$803,$AF110))</f>
        <v/>
      </c>
      <c r="R110" s="10">
        <f>IF($AF110="","",INDEX(파견수련계획!$U$4:$U$803,$AF110))</f>
        <v/>
      </c>
      <c r="S110" s="11">
        <f>IF($AF110="","",IF(INDEX(파견수련계획!$H$4:$H$803,$AF110)="","",INDEX(파견수련계획!$H$4:$H$803,$AF110)))</f>
        <v/>
      </c>
      <c r="T110" s="11">
        <f>IF($AF110="","",IF(INDEX(파견수련계획!$I$4:$I$803,$AF110)="","",INDEX(파견수련계획!$I$4:$I$803,$AF110)))</f>
        <v/>
      </c>
      <c r="U110" s="10">
        <f>IF($AF110="","",INDEX(파견수련계획!$X$4:$X$803,$AF110))</f>
        <v/>
      </c>
      <c r="V110" s="17">
        <f>IF($AF110="","",INDEX(파견수련계획!$V$4:$V$803,$AF110))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IF(OR($B110="",TRIM($J110&amp;"")=""),"",SUMPRODUCT((파견수련계획!$Q$4:$Q$803=TRIM($J110&amp;""))*파견수련계획!$W$4:$W$803))</f>
        <v/>
      </c>
      <c r="Y110" s="10">
        <f>IF($B110="","",IF($AG110="","",IF(IF(TRIM($J110&amp;"")="",0,SUMPRODUCT((파견수련계획!$Q$4:$Q$803=TRIM($J110&amp;""))*파견수련계획!$AD$4:$AD$803))&gt;0,$AE110,IF(N($X110)&lt;=0,$AG110,IF($AH110+$AI110=DAY(EOMONTH(요약!$B$3,0)),IF(AND($AH110&gt;=요약!$E$3,$AI110&lt;요약!$E$3),"서울병원",IF(AND($AI110&gt;=요약!$E$3,$AH110&lt;요약!$E$3),"구리병원","⚠15일 판정불가(서울 "&amp;$AH110&amp;"일/구리 "&amp;$AI110&amp;"일)")),IF($AJ110="",$AE110,IF(INDEX(파견수련계획!$T$4:$T$803,$AJ110)="통합수련",INDEX(파견수련계획!$S$4:$S$803,$AJ110),$AE110)))))))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입력",IF(IF(TRIM($J110&amp;"")="",0,SUMPRODUCT((파견수련계획!$Q$4:$Q$803=TRIM($J110&amp;""))*(파견수련계획!$AA$4:$AA$803&lt;&gt;"")))&gt;0,"파견수련계획 입력오류 확인",IF(LEFT($Y110,1)="⚠","서울·구리 15일 판정 불가(양쪽 모두 이상/미만)",IF(IF($AC110="",0,N(INDEX(인턴근무계획!$T$3:$T$402,$AC110)))&gt;0,"인턴계획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IF($B110="","",IFERROR(MATCH($B110,기본자료!$B$2:$B$1001,0),IFERROR(MATCH($B110&amp;"",기본자료!$B$2:$B$1001,0),IFERROR(MATCH(VALUE($B110),기본자료!$B$2:$B$1001,0),""))))</f>
        <v/>
      </c>
      <c r="AC110" s="10">
        <f>IF($B110="","",IFERROR(MATCH($B110,인턴근무계획!$D$3:$D$402,0),IFERROR(MATCH($B110&amp;"",인턴근무계획!$D$3:$D$402,0),IFERROR(MATCH(VALUE($B110),인턴근무계획!$D$3:$D$402,0),""))))</f>
        <v/>
      </c>
      <c r="AD110" s="10">
        <f>IF(OR($AC110="",인턴현황!$G$3=""),"",INDEX(인턴근무계획!$M$3:$R$402,$AC110,인턴현황!$G$3)&amp;"")</f>
        <v/>
      </c>
      <c r="AE110" s="10">
        <f>IF($B110="","",IF($M110&lt;&gt;"",$M110,IF($AF110&lt;&gt;"",IF(LEFT(INDEX(파견수련계획!$R$4:$R$803,$AF110),1)&lt;&gt;"⚠",INDEX(파견수련계획!$R$4:$R$803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$803,0),IFERROR(MATCH(TRIM($J110&amp;"")&amp;"|파견예정",파견수련계획!$Y$4:$Y$803,0),IFERROR(MATCH(TRIM($J110&amp;"")&amp;"|파견종료",파견수련계획!$Y$4:$Y$803,0),""))))</f>
        <v/>
      </c>
      <c r="AG110" s="10">
        <f>IF($B110="","",IF(AND(IF(OR($AC110="",인턴현황!$K$2=""),"",INDEX(인턴근무계획!$M$3:$R$402,$AC110,인턴현황!$K$2)&amp;"")&lt;&gt;"",LEFT(IF(OR($AC110="",인턴현황!$K$2=""),"",INDEX(인턴근무계획!$M$3:$R$402,$AC110,인턴현황!$K$2)&amp;""),1)&lt;&gt;"⚠"),LEFT(IF(OR($AC110="",인턴현황!$K$2=""),"",INDEX(인턴근무계획!$M$3:$R$402,$AC110,인턴현황!$K$2)&amp;""),FIND(" ",IF(OR($AC110="",인턴현황!$K$2=""),"",INDEX(인턴근무계획!$M$3:$R$402,$AC110,인턴현황!$K$2)&amp;""))-1),$AE110))</f>
        <v/>
      </c>
      <c r="AH110" s="17">
        <f>IF($B110="","",IF(TRIM($J110&amp;"")="",0,SUMPRODUCT((파견수련계획!$Q$4:$Q$803=TRIM($J110&amp;""))*(파견수련계획!$S$4:$S$803="서울병원")*파견수련계획!$W$4:$W$803))+IF($AG110="서울병원",MAX(0,DAY(EOMONTH(요약!$B$3,0))-N($X110)),0))</f>
        <v/>
      </c>
      <c r="AI110" s="17">
        <f>IF($B110="","",IF(TRIM($J110&amp;"")="",0,SUMPRODUCT((파견수련계획!$Q$4:$Q$803=TRIM($J110&amp;""))*(파견수련계획!$S$4:$S$803="구리병원")*파견수련계획!$W$4:$W$803))+IF($AG110="구리병원",MAX(0,DAY(EOMONTH(요약!$B$3,0))-N($X110)),0))</f>
        <v/>
      </c>
      <c r="AJ110" s="10">
        <f>IF(OR($B110="",TRIM($J110&amp;"")=""),"",IFERROR(MATCH(TRIM($J110&amp;"")&amp;"|월",파견수련계획!$Z$4:$Z$803,0),""))</f>
        <v/>
      </c>
      <c r="AK110" s="10">
        <f>IF(OR($B110="",TRIM($J110&amp;"")=""),"",IFERROR(MATCH(TRIM($J110&amp;"")&amp;"|다기관",파견수련계획!$AE$4:$AE$803,0),""))</f>
        <v/>
      </c>
      <c r="AL110" s="10">
        <f>IF($AK110="","","다기관 "&amp;TEXT(INDEX(파견수련계획!$AB$4:$AB$803,$AK110),"yyyy-mm-dd")&amp;"~"&amp;IF(ISNUMBER(INDEX(파견수련계획!$AC$4:$AC$803,$AK110)),TEXT(INDEX(파견수련계획!$AC$4:$AC$803,$AK110),"yyyy-mm-dd"),""))</f>
        <v/>
      </c>
    </row>
    <row r="111">
      <c r="A111" s="10">
        <f>IF(B111="","",ROW()-1)</f>
        <v/>
      </c>
      <c r="B111" s="18" t="n"/>
      <c r="C111" s="10">
        <f>IF($AB111="","",IF(INDEX(기본자료!$C$2:$C$1001,$AB111)="","",INDEX(기본자료!$C$2:$C$1001,$AB111)))</f>
        <v/>
      </c>
      <c r="D111" s="10">
        <f>IF($AB111="","",IF(INDEX(기본자료!$J$2:$J$1001,$AB111)="","",INDEX(기본자료!$J$2:$J$1001,$AB111)))</f>
        <v/>
      </c>
      <c r="E111" s="11">
        <f>IF($AB111="","",IF(INDEX(기본자료!$K$2:$K$1001,$AB111)="","",IF(NOT(ISNUMBER(INDEX(기본자료!$K$2:$K$1001,$AB111))),INDEX(기본자료!$K$2:$K$1001,$AB111),IF(INDEX(기본자료!$K$2:$K$1001,$AB111)&lt;1000000,INDEX(기본자료!$K$2:$K$1001,$AB111),IF(AND(INDEX(기본자료!$K$2:$K$1001,$AB111)&gt;=10000101,INT(MOD(INDEX(기본자료!$K$2:$K$1001,$AB111),10000)/100)&gt;=1,INT(MOD(INDEX(기본자료!$K$2:$K$1001,$AB111),10000)/100)&lt;=12,MOD(INDEX(기본자료!$K$2:$K$1001,$AB111),100)&gt;=1,MOD(INDEX(기본자료!$K$2:$K$1001,$AB111),100)&lt;=31),DATE(INT(INDEX(기본자료!$K$2:$K$1001,$AB111)/10000),INT(MOD(INDEX(기본자료!$K$2:$K$1001,$AB111),10000)/100),MOD(INDEX(기본자료!$K$2:$K$1001,$AB111),100)),INDEX(기본자료!$K$2:$K$1001,$AB111)&amp;"")))))</f>
        <v/>
      </c>
      <c r="F111" s="10">
        <f>IF($AB111="","",IF(INDEX(기본자료!$D$2:$D$1001,$AB111)="","",INDEX(기본자료!$D$2:$D$1001,$AB111)))</f>
        <v/>
      </c>
      <c r="G111" s="10">
        <f>IF($AB111="","",IF(INDEX(기본자료!$E$2:$E$1001,$AB111)="","",INDEX(기본자료!$E$2:$E$1001,$AB111)))</f>
        <v/>
      </c>
      <c r="H111" s="10">
        <f>IF($AB111="","",IF(INDEX(기본자료!$F$2:$F$1001,$AB111)="","",INDEX(기본자료!$F$2:$F$1001,$AB111)))</f>
        <v/>
      </c>
      <c r="I111" s="11">
        <f>IF($AB111="","",IF(INDEX(기본자료!$G$2:$G$1001,$AB111)="","",IF(NOT(ISNUMBER(INDEX(기본자료!$G$2:$G$1001,$AB111))),INDEX(기본자료!$G$2:$G$1001,$AB111),IF(INDEX(기본자료!$G$2:$G$1001,$AB111)&lt;1000000,INDEX(기본자료!$G$2:$G$1001,$AB111),IF(AND(INDEX(기본자료!$G$2:$G$1001,$AB111)&gt;=10000101,INT(MOD(INDEX(기본자료!$G$2:$G$1001,$AB111),10000)/100)&gt;=1,INT(MOD(INDEX(기본자료!$G$2:$G$1001,$AB111),10000)/100)&lt;=12,MOD(INDEX(기본자료!$G$2:$G$1001,$AB111),100)&gt;=1,MOD(INDEX(기본자료!$G$2:$G$1001,$AB111),100)&lt;=31),DATE(INT(INDEX(기본자료!$G$2:$G$1001,$AB111)/10000),INT(MOD(INDEX(기본자료!$G$2:$G$1001,$AB111),10000)/100),MOD(INDEX(기본자료!$G$2:$G$1001,$AB111),100)),INDEX(기본자료!$G$2:$G$1001,$AB111)&amp;"")))))</f>
        <v/>
      </c>
      <c r="J111" s="10">
        <f>IF($AB111="","",IF(INDEX(기본자료!$H$2:$H$1001,$AB111)="","",INDEX(기본자료!$H$2:$H$1001,$AB111)))</f>
        <v/>
      </c>
      <c r="K111" s="10">
        <f>IF($AB111="","",IF(INDEX(기본자료!$I$2:$I$1001,$AB111)="","",INDEX(기본자료!$I$2:$I$1001,$AB111)))</f>
        <v/>
      </c>
      <c r="L111" s="10">
        <f>IF($AB111="","",IF(INDEX(기본자료!$A$2:$A$1001,$AB111)="","",INDEX(기본자료!$A$2:$A$1001,$AB111)))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파견수련계획!$AB$4:$AB$803,$AK111),OR(NOT(ISNUMBER(INDEX(파견수련계획!$AC$4:$AC$803,$AK111))),TODAY()&lt;=INDEX(파견수련계획!$AC$4:$AC$803,$AK111))),"다기관",IF($AF111="","",INDEX(파견수련계획!$T$4:$T$803,$AF111))),IF($AF111="","",INDEX(파견수련계획!$T$4:$T$803,$AF111))))</f>
        <v/>
      </c>
      <c r="Q111" s="10">
        <f>IF($AF111="","",INDEX(파견수련계획!$S$4:$S$803,$AF111))</f>
        <v/>
      </c>
      <c r="R111" s="10">
        <f>IF($AF111="","",INDEX(파견수련계획!$U$4:$U$803,$AF111))</f>
        <v/>
      </c>
      <c r="S111" s="11">
        <f>IF($AF111="","",IF(INDEX(파견수련계획!$H$4:$H$803,$AF111)="","",INDEX(파견수련계획!$H$4:$H$803,$AF111)))</f>
        <v/>
      </c>
      <c r="T111" s="11">
        <f>IF($AF111="","",IF(INDEX(파견수련계획!$I$4:$I$803,$AF111)="","",INDEX(파견수련계획!$I$4:$I$803,$AF111)))</f>
        <v/>
      </c>
      <c r="U111" s="10">
        <f>IF($AF111="","",INDEX(파견수련계획!$X$4:$X$803,$AF111))</f>
        <v/>
      </c>
      <c r="V111" s="17">
        <f>IF($AF111="","",INDEX(파견수련계획!$V$4:$V$803,$AF111))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IF(OR($B111="",TRIM($J111&amp;"")=""),"",SUMPRODUCT((파견수련계획!$Q$4:$Q$803=TRIM($J111&amp;""))*파견수련계획!$W$4:$W$803))</f>
        <v/>
      </c>
      <c r="Y111" s="10">
        <f>IF($B111="","",IF($AG111="","",IF(IF(TRIM($J111&amp;"")="",0,SUMPRODUCT((파견수련계획!$Q$4:$Q$803=TRIM($J111&amp;""))*파견수련계획!$AD$4:$AD$803))&gt;0,$AE111,IF(N($X111)&lt;=0,$AG111,IF($AH111+$AI111=DAY(EOMONTH(요약!$B$3,0)),IF(AND($AH111&gt;=요약!$E$3,$AI111&lt;요약!$E$3),"서울병원",IF(AND($AI111&gt;=요약!$E$3,$AH111&lt;요약!$E$3),"구리병원","⚠15일 판정불가(서울 "&amp;$AH111&amp;"일/구리 "&amp;$AI111&amp;"일)")),IF($AJ111="",$AE111,IF(INDEX(파견수련계획!$T$4:$T$803,$AJ111)="통합수련",INDEX(파견수련계획!$S$4:$S$803,$AJ111),$AE111)))))))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입력",IF(IF(TRIM($J111&amp;"")="",0,SUMPRODUCT((파견수련계획!$Q$4:$Q$803=TRIM($J111&amp;""))*(파견수련계획!$AA$4:$AA$803&lt;&gt;"")))&gt;0,"파견수련계획 입력오류 확인",IF(LEFT($Y111,1)="⚠","서울·구리 15일 판정 불가(양쪽 모두 이상/미만)",IF(IF($AC111="",0,N(INDEX(인턴근무계획!$T$3:$T$402,$AC111)))&gt;0,"인턴계획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IF($B111="","",IFERROR(MATCH($B111,기본자료!$B$2:$B$1001,0),IFERROR(MATCH($B111&amp;"",기본자료!$B$2:$B$1001,0),IFERROR(MATCH(VALUE($B111),기본자료!$B$2:$B$1001,0),""))))</f>
        <v/>
      </c>
      <c r="AC111" s="10">
        <f>IF($B111="","",IFERROR(MATCH($B111,인턴근무계획!$D$3:$D$402,0),IFERROR(MATCH($B111&amp;"",인턴근무계획!$D$3:$D$402,0),IFERROR(MATCH(VALUE($B111),인턴근무계획!$D$3:$D$402,0),""))))</f>
        <v/>
      </c>
      <c r="AD111" s="10">
        <f>IF(OR($AC111="",인턴현황!$G$3=""),"",INDEX(인턴근무계획!$M$3:$R$402,$AC111,인턴현황!$G$3)&amp;"")</f>
        <v/>
      </c>
      <c r="AE111" s="10">
        <f>IF($B111="","",IF($M111&lt;&gt;"",$M111,IF($AF111&lt;&gt;"",IF(LEFT(INDEX(파견수련계획!$R$4:$R$803,$AF111),1)&lt;&gt;"⚠",INDEX(파견수련계획!$R$4:$R$803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$803,0),IFERROR(MATCH(TRIM($J111&amp;"")&amp;"|파견예정",파견수련계획!$Y$4:$Y$803,0),IFERROR(MATCH(TRIM($J111&amp;"")&amp;"|파견종료",파견수련계획!$Y$4:$Y$803,0),""))))</f>
        <v/>
      </c>
      <c r="AG111" s="10">
        <f>IF($B111="","",IF(AND(IF(OR($AC111="",인턴현황!$K$2=""),"",INDEX(인턴근무계획!$M$3:$R$402,$AC111,인턴현황!$K$2)&amp;"")&lt;&gt;"",LEFT(IF(OR($AC111="",인턴현황!$K$2=""),"",INDEX(인턴근무계획!$M$3:$R$402,$AC111,인턴현황!$K$2)&amp;""),1)&lt;&gt;"⚠"),LEFT(IF(OR($AC111="",인턴현황!$K$2=""),"",INDEX(인턴근무계획!$M$3:$R$402,$AC111,인턴현황!$K$2)&amp;""),FIND(" ",IF(OR($AC111="",인턴현황!$K$2=""),"",INDEX(인턴근무계획!$M$3:$R$402,$AC111,인턴현황!$K$2)&amp;""))-1),$AE111))</f>
        <v/>
      </c>
      <c r="AH111" s="17">
        <f>IF($B111="","",IF(TRIM($J111&amp;"")="",0,SUMPRODUCT((파견수련계획!$Q$4:$Q$803=TRIM($J111&amp;""))*(파견수련계획!$S$4:$S$803="서울병원")*파견수련계획!$W$4:$W$803))+IF($AG111="서울병원",MAX(0,DAY(EOMONTH(요약!$B$3,0))-N($X111)),0))</f>
        <v/>
      </c>
      <c r="AI111" s="17">
        <f>IF($B111="","",IF(TRIM($J111&amp;"")="",0,SUMPRODUCT((파견수련계획!$Q$4:$Q$803=TRIM($J111&amp;""))*(파견수련계획!$S$4:$S$803="구리병원")*파견수련계획!$W$4:$W$803))+IF($AG111="구리병원",MAX(0,DAY(EOMONTH(요약!$B$3,0))-N($X111)),0))</f>
        <v/>
      </c>
      <c r="AJ111" s="10">
        <f>IF(OR($B111="",TRIM($J111&amp;"")=""),"",IFERROR(MATCH(TRIM($J111&amp;"")&amp;"|월",파견수련계획!$Z$4:$Z$803,0),""))</f>
        <v/>
      </c>
      <c r="AK111" s="10">
        <f>IF(OR($B111="",TRIM($J111&amp;"")=""),"",IFERROR(MATCH(TRIM($J111&amp;"")&amp;"|다기관",파견수련계획!$AE$4:$AE$803,0),""))</f>
        <v/>
      </c>
      <c r="AL111" s="10">
        <f>IF($AK111="","","다기관 "&amp;TEXT(INDEX(파견수련계획!$AB$4:$AB$803,$AK111),"yyyy-mm-dd")&amp;"~"&amp;IF(ISNUMBER(INDEX(파견수련계획!$AC$4:$AC$803,$AK111)),TEXT(INDEX(파견수련계획!$AC$4:$AC$803,$AK111),"yyyy-mm-dd"),""))</f>
        <v/>
      </c>
    </row>
    <row r="112">
      <c r="A112" s="10">
        <f>IF(B112="","",ROW()-1)</f>
        <v/>
      </c>
      <c r="B112" s="18" t="n"/>
      <c r="C112" s="10">
        <f>IF($AB112="","",IF(INDEX(기본자료!$C$2:$C$1001,$AB112)="","",INDEX(기본자료!$C$2:$C$1001,$AB112)))</f>
        <v/>
      </c>
      <c r="D112" s="10">
        <f>IF($AB112="","",IF(INDEX(기본자료!$J$2:$J$1001,$AB112)="","",INDEX(기본자료!$J$2:$J$1001,$AB112)))</f>
        <v/>
      </c>
      <c r="E112" s="11">
        <f>IF($AB112="","",IF(INDEX(기본자료!$K$2:$K$1001,$AB112)="","",IF(NOT(ISNUMBER(INDEX(기본자료!$K$2:$K$1001,$AB112))),INDEX(기본자료!$K$2:$K$1001,$AB112),IF(INDEX(기본자료!$K$2:$K$1001,$AB112)&lt;1000000,INDEX(기본자료!$K$2:$K$1001,$AB112),IF(AND(INDEX(기본자료!$K$2:$K$1001,$AB112)&gt;=10000101,INT(MOD(INDEX(기본자료!$K$2:$K$1001,$AB112),10000)/100)&gt;=1,INT(MOD(INDEX(기본자료!$K$2:$K$1001,$AB112),10000)/100)&lt;=12,MOD(INDEX(기본자료!$K$2:$K$1001,$AB112),100)&gt;=1,MOD(INDEX(기본자료!$K$2:$K$1001,$AB112),100)&lt;=31),DATE(INT(INDEX(기본자료!$K$2:$K$1001,$AB112)/10000),INT(MOD(INDEX(기본자료!$K$2:$K$1001,$AB112),10000)/100),MOD(INDEX(기본자료!$K$2:$K$1001,$AB112),100)),INDEX(기본자료!$K$2:$K$1001,$AB112)&amp;"")))))</f>
        <v/>
      </c>
      <c r="F112" s="10">
        <f>IF($AB112="","",IF(INDEX(기본자료!$D$2:$D$1001,$AB112)="","",INDEX(기본자료!$D$2:$D$1001,$AB112)))</f>
        <v/>
      </c>
      <c r="G112" s="10">
        <f>IF($AB112="","",IF(INDEX(기본자료!$E$2:$E$1001,$AB112)="","",INDEX(기본자료!$E$2:$E$1001,$AB112)))</f>
        <v/>
      </c>
      <c r="H112" s="10">
        <f>IF($AB112="","",IF(INDEX(기본자료!$F$2:$F$1001,$AB112)="","",INDEX(기본자료!$F$2:$F$1001,$AB112)))</f>
        <v/>
      </c>
      <c r="I112" s="11">
        <f>IF($AB112="","",IF(INDEX(기본자료!$G$2:$G$1001,$AB112)="","",IF(NOT(ISNUMBER(INDEX(기본자료!$G$2:$G$1001,$AB112))),INDEX(기본자료!$G$2:$G$1001,$AB112),IF(INDEX(기본자료!$G$2:$G$1001,$AB112)&lt;1000000,INDEX(기본자료!$G$2:$G$1001,$AB112),IF(AND(INDEX(기본자료!$G$2:$G$1001,$AB112)&gt;=10000101,INT(MOD(INDEX(기본자료!$G$2:$G$1001,$AB112),10000)/100)&gt;=1,INT(MOD(INDEX(기본자료!$G$2:$G$1001,$AB112),10000)/100)&lt;=12,MOD(INDEX(기본자료!$G$2:$G$1001,$AB112),100)&gt;=1,MOD(INDEX(기본자료!$G$2:$G$1001,$AB112),100)&lt;=31),DATE(INT(INDEX(기본자료!$G$2:$G$1001,$AB112)/10000),INT(MOD(INDEX(기본자료!$G$2:$G$1001,$AB112),10000)/100),MOD(INDEX(기본자료!$G$2:$G$1001,$AB112),100)),INDEX(기본자료!$G$2:$G$1001,$AB112)&amp;"")))))</f>
        <v/>
      </c>
      <c r="J112" s="10">
        <f>IF($AB112="","",IF(INDEX(기본자료!$H$2:$H$1001,$AB112)="","",INDEX(기본자료!$H$2:$H$1001,$AB112)))</f>
        <v/>
      </c>
      <c r="K112" s="10">
        <f>IF($AB112="","",IF(INDEX(기본자료!$I$2:$I$1001,$AB112)="","",INDEX(기본자료!$I$2:$I$1001,$AB112)))</f>
        <v/>
      </c>
      <c r="L112" s="10">
        <f>IF($AB112="","",IF(INDEX(기본자료!$A$2:$A$1001,$AB112)="","",INDEX(기본자료!$A$2:$A$1001,$AB112)))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파견수련계획!$AB$4:$AB$803,$AK112),OR(NOT(ISNUMBER(INDEX(파견수련계획!$AC$4:$AC$803,$AK112))),TODAY()&lt;=INDEX(파견수련계획!$AC$4:$AC$803,$AK112))),"다기관",IF($AF112="","",INDEX(파견수련계획!$T$4:$T$803,$AF112))),IF($AF112="","",INDEX(파견수련계획!$T$4:$T$803,$AF112))))</f>
        <v/>
      </c>
      <c r="Q112" s="10">
        <f>IF($AF112="","",INDEX(파견수련계획!$S$4:$S$803,$AF112))</f>
        <v/>
      </c>
      <c r="R112" s="10">
        <f>IF($AF112="","",INDEX(파견수련계획!$U$4:$U$803,$AF112))</f>
        <v/>
      </c>
      <c r="S112" s="11">
        <f>IF($AF112="","",IF(INDEX(파견수련계획!$H$4:$H$803,$AF112)="","",INDEX(파견수련계획!$H$4:$H$803,$AF112)))</f>
        <v/>
      </c>
      <c r="T112" s="11">
        <f>IF($AF112="","",IF(INDEX(파견수련계획!$I$4:$I$803,$AF112)="","",INDEX(파견수련계획!$I$4:$I$803,$AF112)))</f>
        <v/>
      </c>
      <c r="U112" s="10">
        <f>IF($AF112="","",INDEX(파견수련계획!$X$4:$X$803,$AF112))</f>
        <v/>
      </c>
      <c r="V112" s="17">
        <f>IF($AF112="","",INDEX(파견수련계획!$V$4:$V$803,$AF112))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IF(OR($B112="",TRIM($J112&amp;"")=""),"",SUMPRODUCT((파견수련계획!$Q$4:$Q$803=TRIM($J112&amp;""))*파견수련계획!$W$4:$W$803))</f>
        <v/>
      </c>
      <c r="Y112" s="10">
        <f>IF($B112="","",IF($AG112="","",IF(IF(TRIM($J112&amp;"")="",0,SUMPRODUCT((파견수련계획!$Q$4:$Q$803=TRIM($J112&amp;""))*파견수련계획!$AD$4:$AD$803))&gt;0,$AE112,IF(N($X112)&lt;=0,$AG112,IF($AH112+$AI112=DAY(EOMONTH(요약!$B$3,0)),IF(AND($AH112&gt;=요약!$E$3,$AI112&lt;요약!$E$3),"서울병원",IF(AND($AI112&gt;=요약!$E$3,$AH112&lt;요약!$E$3),"구리병원","⚠15일 판정불가(서울 "&amp;$AH112&amp;"일/구리 "&amp;$AI112&amp;"일)")),IF($AJ112="",$AE112,IF(INDEX(파견수련계획!$T$4:$T$803,$AJ112)="통합수련",INDEX(파견수련계획!$S$4:$S$803,$AJ112),$AE112)))))))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입력",IF(IF(TRIM($J112&amp;"")="",0,SUMPRODUCT((파견수련계획!$Q$4:$Q$803=TRIM($J112&amp;""))*(파견수련계획!$AA$4:$AA$803&lt;&gt;"")))&gt;0,"파견수련계획 입력오류 확인",IF(LEFT($Y112,1)="⚠","서울·구리 15일 판정 불가(양쪽 모두 이상/미만)",IF(IF($AC112="",0,N(INDEX(인턴근무계획!$T$3:$T$402,$AC112)))&gt;0,"인턴계획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IF($B112="","",IFERROR(MATCH($B112,기본자료!$B$2:$B$1001,0),IFERROR(MATCH($B112&amp;"",기본자료!$B$2:$B$1001,0),IFERROR(MATCH(VALUE($B112),기본자료!$B$2:$B$1001,0),""))))</f>
        <v/>
      </c>
      <c r="AC112" s="10">
        <f>IF($B112="","",IFERROR(MATCH($B112,인턴근무계획!$D$3:$D$402,0),IFERROR(MATCH($B112&amp;"",인턴근무계획!$D$3:$D$402,0),IFERROR(MATCH(VALUE($B112),인턴근무계획!$D$3:$D$402,0),""))))</f>
        <v/>
      </c>
      <c r="AD112" s="10">
        <f>IF(OR($AC112="",인턴현황!$G$3=""),"",INDEX(인턴근무계획!$M$3:$R$402,$AC112,인턴현황!$G$3)&amp;"")</f>
        <v/>
      </c>
      <c r="AE112" s="10">
        <f>IF($B112="","",IF($M112&lt;&gt;"",$M112,IF($AF112&lt;&gt;"",IF(LEFT(INDEX(파견수련계획!$R$4:$R$803,$AF112),1)&lt;&gt;"⚠",INDEX(파견수련계획!$R$4:$R$803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$803,0),IFERROR(MATCH(TRIM($J112&amp;"")&amp;"|파견예정",파견수련계획!$Y$4:$Y$803,0),IFERROR(MATCH(TRIM($J112&amp;"")&amp;"|파견종료",파견수련계획!$Y$4:$Y$803,0),""))))</f>
        <v/>
      </c>
      <c r="AG112" s="10">
        <f>IF($B112="","",IF(AND(IF(OR($AC112="",인턴현황!$K$2=""),"",INDEX(인턴근무계획!$M$3:$R$402,$AC112,인턴현황!$K$2)&amp;"")&lt;&gt;"",LEFT(IF(OR($AC112="",인턴현황!$K$2=""),"",INDEX(인턴근무계획!$M$3:$R$402,$AC112,인턴현황!$K$2)&amp;""),1)&lt;&gt;"⚠"),LEFT(IF(OR($AC112="",인턴현황!$K$2=""),"",INDEX(인턴근무계획!$M$3:$R$402,$AC112,인턴현황!$K$2)&amp;""),FIND(" ",IF(OR($AC112="",인턴현황!$K$2=""),"",INDEX(인턴근무계획!$M$3:$R$402,$AC112,인턴현황!$K$2)&amp;""))-1),$AE112))</f>
        <v/>
      </c>
      <c r="AH112" s="17">
        <f>IF($B112="","",IF(TRIM($J112&amp;"")="",0,SUMPRODUCT((파견수련계획!$Q$4:$Q$803=TRIM($J112&amp;""))*(파견수련계획!$S$4:$S$803="서울병원")*파견수련계획!$W$4:$W$803))+IF($AG112="서울병원",MAX(0,DAY(EOMONTH(요약!$B$3,0))-N($X112)),0))</f>
        <v/>
      </c>
      <c r="AI112" s="17">
        <f>IF($B112="","",IF(TRIM($J112&amp;"")="",0,SUMPRODUCT((파견수련계획!$Q$4:$Q$803=TRIM($J112&amp;""))*(파견수련계획!$S$4:$S$803="구리병원")*파견수련계획!$W$4:$W$803))+IF($AG112="구리병원",MAX(0,DAY(EOMONTH(요약!$B$3,0))-N($X112)),0))</f>
        <v/>
      </c>
      <c r="AJ112" s="10">
        <f>IF(OR($B112="",TRIM($J112&amp;"")=""),"",IFERROR(MATCH(TRIM($J112&amp;"")&amp;"|월",파견수련계획!$Z$4:$Z$803,0),""))</f>
        <v/>
      </c>
      <c r="AK112" s="10">
        <f>IF(OR($B112="",TRIM($J112&amp;"")=""),"",IFERROR(MATCH(TRIM($J112&amp;"")&amp;"|다기관",파견수련계획!$AE$4:$AE$803,0),""))</f>
        <v/>
      </c>
      <c r="AL112" s="10">
        <f>IF($AK112="","","다기관 "&amp;TEXT(INDEX(파견수련계획!$AB$4:$AB$803,$AK112),"yyyy-mm-dd")&amp;"~"&amp;IF(ISNUMBER(INDEX(파견수련계획!$AC$4:$AC$803,$AK112)),TEXT(INDEX(파견수련계획!$AC$4:$AC$803,$AK112),"yyyy-mm-dd"),""))</f>
        <v/>
      </c>
    </row>
    <row r="113">
      <c r="A113" s="10">
        <f>IF(B113="","",ROW()-1)</f>
        <v/>
      </c>
      <c r="B113" s="18" t="n"/>
      <c r="C113" s="10">
        <f>IF($AB113="","",IF(INDEX(기본자료!$C$2:$C$1001,$AB113)="","",INDEX(기본자료!$C$2:$C$1001,$AB113)))</f>
        <v/>
      </c>
      <c r="D113" s="10">
        <f>IF($AB113="","",IF(INDEX(기본자료!$J$2:$J$1001,$AB113)="","",INDEX(기본자료!$J$2:$J$1001,$AB113)))</f>
        <v/>
      </c>
      <c r="E113" s="11">
        <f>IF($AB113="","",IF(INDEX(기본자료!$K$2:$K$1001,$AB113)="","",IF(NOT(ISNUMBER(INDEX(기본자료!$K$2:$K$1001,$AB113))),INDEX(기본자료!$K$2:$K$1001,$AB113),IF(INDEX(기본자료!$K$2:$K$1001,$AB113)&lt;1000000,INDEX(기본자료!$K$2:$K$1001,$AB113),IF(AND(INDEX(기본자료!$K$2:$K$1001,$AB113)&gt;=10000101,INT(MOD(INDEX(기본자료!$K$2:$K$1001,$AB113),10000)/100)&gt;=1,INT(MOD(INDEX(기본자료!$K$2:$K$1001,$AB113),10000)/100)&lt;=12,MOD(INDEX(기본자료!$K$2:$K$1001,$AB113),100)&gt;=1,MOD(INDEX(기본자료!$K$2:$K$1001,$AB113),100)&lt;=31),DATE(INT(INDEX(기본자료!$K$2:$K$1001,$AB113)/10000),INT(MOD(INDEX(기본자료!$K$2:$K$1001,$AB113),10000)/100),MOD(INDEX(기본자료!$K$2:$K$1001,$AB113),100)),INDEX(기본자료!$K$2:$K$1001,$AB113)&amp;"")))))</f>
        <v/>
      </c>
      <c r="F113" s="10">
        <f>IF($AB113="","",IF(INDEX(기본자료!$D$2:$D$1001,$AB113)="","",INDEX(기본자료!$D$2:$D$1001,$AB113)))</f>
        <v/>
      </c>
      <c r="G113" s="10">
        <f>IF($AB113="","",IF(INDEX(기본자료!$E$2:$E$1001,$AB113)="","",INDEX(기본자료!$E$2:$E$1001,$AB113)))</f>
        <v/>
      </c>
      <c r="H113" s="10">
        <f>IF($AB113="","",IF(INDEX(기본자료!$F$2:$F$1001,$AB113)="","",INDEX(기본자료!$F$2:$F$1001,$AB113)))</f>
        <v/>
      </c>
      <c r="I113" s="11">
        <f>IF($AB113="","",IF(INDEX(기본자료!$G$2:$G$1001,$AB113)="","",IF(NOT(ISNUMBER(INDEX(기본자료!$G$2:$G$1001,$AB113))),INDEX(기본자료!$G$2:$G$1001,$AB113),IF(INDEX(기본자료!$G$2:$G$1001,$AB113)&lt;1000000,INDEX(기본자료!$G$2:$G$1001,$AB113),IF(AND(INDEX(기본자료!$G$2:$G$1001,$AB113)&gt;=10000101,INT(MOD(INDEX(기본자료!$G$2:$G$1001,$AB113),10000)/100)&gt;=1,INT(MOD(INDEX(기본자료!$G$2:$G$1001,$AB113),10000)/100)&lt;=12,MOD(INDEX(기본자료!$G$2:$G$1001,$AB113),100)&gt;=1,MOD(INDEX(기본자료!$G$2:$G$1001,$AB113),100)&lt;=31),DATE(INT(INDEX(기본자료!$G$2:$G$1001,$AB113)/10000),INT(MOD(INDEX(기본자료!$G$2:$G$1001,$AB113),10000)/100),MOD(INDEX(기본자료!$G$2:$G$1001,$AB113),100)),INDEX(기본자료!$G$2:$G$1001,$AB113)&amp;"")))))</f>
        <v/>
      </c>
      <c r="J113" s="10">
        <f>IF($AB113="","",IF(INDEX(기본자료!$H$2:$H$1001,$AB113)="","",INDEX(기본자료!$H$2:$H$1001,$AB113)))</f>
        <v/>
      </c>
      <c r="K113" s="10">
        <f>IF($AB113="","",IF(INDEX(기본자료!$I$2:$I$1001,$AB113)="","",INDEX(기본자료!$I$2:$I$1001,$AB113)))</f>
        <v/>
      </c>
      <c r="L113" s="10">
        <f>IF($AB113="","",IF(INDEX(기본자료!$A$2:$A$1001,$AB113)="","",INDEX(기본자료!$A$2:$A$1001,$AB113)))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파견수련계획!$AB$4:$AB$803,$AK113),OR(NOT(ISNUMBER(INDEX(파견수련계획!$AC$4:$AC$803,$AK113))),TODAY()&lt;=INDEX(파견수련계획!$AC$4:$AC$803,$AK113))),"다기관",IF($AF113="","",INDEX(파견수련계획!$T$4:$T$803,$AF113))),IF($AF113="","",INDEX(파견수련계획!$T$4:$T$803,$AF113))))</f>
        <v/>
      </c>
      <c r="Q113" s="10">
        <f>IF($AF113="","",INDEX(파견수련계획!$S$4:$S$803,$AF113))</f>
        <v/>
      </c>
      <c r="R113" s="10">
        <f>IF($AF113="","",INDEX(파견수련계획!$U$4:$U$803,$AF113))</f>
        <v/>
      </c>
      <c r="S113" s="11">
        <f>IF($AF113="","",IF(INDEX(파견수련계획!$H$4:$H$803,$AF113)="","",INDEX(파견수련계획!$H$4:$H$803,$AF113)))</f>
        <v/>
      </c>
      <c r="T113" s="11">
        <f>IF($AF113="","",IF(INDEX(파견수련계획!$I$4:$I$803,$AF113)="","",INDEX(파견수련계획!$I$4:$I$803,$AF113)))</f>
        <v/>
      </c>
      <c r="U113" s="10">
        <f>IF($AF113="","",INDEX(파견수련계획!$X$4:$X$803,$AF113))</f>
        <v/>
      </c>
      <c r="V113" s="17">
        <f>IF($AF113="","",INDEX(파견수련계획!$V$4:$V$803,$AF113))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IF(OR($B113="",TRIM($J113&amp;"")=""),"",SUMPRODUCT((파견수련계획!$Q$4:$Q$803=TRIM($J113&amp;""))*파견수련계획!$W$4:$W$803))</f>
        <v/>
      </c>
      <c r="Y113" s="10">
        <f>IF($B113="","",IF($AG113="","",IF(IF(TRIM($J113&amp;"")="",0,SUMPRODUCT((파견수련계획!$Q$4:$Q$803=TRIM($J113&amp;""))*파견수련계획!$AD$4:$AD$803))&gt;0,$AE113,IF(N($X113)&lt;=0,$AG113,IF($AH113+$AI113=DAY(EOMONTH(요약!$B$3,0)),IF(AND($AH113&gt;=요약!$E$3,$AI113&lt;요약!$E$3),"서울병원",IF(AND($AI113&gt;=요약!$E$3,$AH113&lt;요약!$E$3),"구리병원","⚠15일 판정불가(서울 "&amp;$AH113&amp;"일/구리 "&amp;$AI113&amp;"일)")),IF($AJ113="",$AE113,IF(INDEX(파견수련계획!$T$4:$T$803,$AJ113)="통합수련",INDEX(파견수련계획!$S$4:$S$803,$AJ113),$AE113)))))))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입력",IF(IF(TRIM($J113&amp;"")="",0,SUMPRODUCT((파견수련계획!$Q$4:$Q$803=TRIM($J113&amp;""))*(파견수련계획!$AA$4:$AA$803&lt;&gt;"")))&gt;0,"파견수련계획 입력오류 확인",IF(LEFT($Y113,1)="⚠","서울·구리 15일 판정 불가(양쪽 모두 이상/미만)",IF(IF($AC113="",0,N(INDEX(인턴근무계획!$T$3:$T$402,$AC113)))&gt;0,"인턴계획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IF($B113="","",IFERROR(MATCH($B113,기본자료!$B$2:$B$1001,0),IFERROR(MATCH($B113&amp;"",기본자료!$B$2:$B$1001,0),IFERROR(MATCH(VALUE($B113),기본자료!$B$2:$B$1001,0),""))))</f>
        <v/>
      </c>
      <c r="AC113" s="10">
        <f>IF($B113="","",IFERROR(MATCH($B113,인턴근무계획!$D$3:$D$402,0),IFERROR(MATCH($B113&amp;"",인턴근무계획!$D$3:$D$402,0),IFERROR(MATCH(VALUE($B113),인턴근무계획!$D$3:$D$402,0),""))))</f>
        <v/>
      </c>
      <c r="AD113" s="10">
        <f>IF(OR($AC113="",인턴현황!$G$3=""),"",INDEX(인턴근무계획!$M$3:$R$402,$AC113,인턴현황!$G$3)&amp;"")</f>
        <v/>
      </c>
      <c r="AE113" s="10">
        <f>IF($B113="","",IF($M113&lt;&gt;"",$M113,IF($AF113&lt;&gt;"",IF(LEFT(INDEX(파견수련계획!$R$4:$R$803,$AF113),1)&lt;&gt;"⚠",INDEX(파견수련계획!$R$4:$R$803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$803,0),IFERROR(MATCH(TRIM($J113&amp;"")&amp;"|파견예정",파견수련계획!$Y$4:$Y$803,0),IFERROR(MATCH(TRIM($J113&amp;"")&amp;"|파견종료",파견수련계획!$Y$4:$Y$803,0),""))))</f>
        <v/>
      </c>
      <c r="AG113" s="10">
        <f>IF($B113="","",IF(AND(IF(OR($AC113="",인턴현황!$K$2=""),"",INDEX(인턴근무계획!$M$3:$R$402,$AC113,인턴현황!$K$2)&amp;"")&lt;&gt;"",LEFT(IF(OR($AC113="",인턴현황!$K$2=""),"",INDEX(인턴근무계획!$M$3:$R$402,$AC113,인턴현황!$K$2)&amp;""),1)&lt;&gt;"⚠"),LEFT(IF(OR($AC113="",인턴현황!$K$2=""),"",INDEX(인턴근무계획!$M$3:$R$402,$AC113,인턴현황!$K$2)&amp;""),FIND(" ",IF(OR($AC113="",인턴현황!$K$2=""),"",INDEX(인턴근무계획!$M$3:$R$402,$AC113,인턴현황!$K$2)&amp;""))-1),$AE113))</f>
        <v/>
      </c>
      <c r="AH113" s="17">
        <f>IF($B113="","",IF(TRIM($J113&amp;"")="",0,SUMPRODUCT((파견수련계획!$Q$4:$Q$803=TRIM($J113&amp;""))*(파견수련계획!$S$4:$S$803="서울병원")*파견수련계획!$W$4:$W$803))+IF($AG113="서울병원",MAX(0,DAY(EOMONTH(요약!$B$3,0))-N($X113)),0))</f>
        <v/>
      </c>
      <c r="AI113" s="17">
        <f>IF($B113="","",IF(TRIM($J113&amp;"")="",0,SUMPRODUCT((파견수련계획!$Q$4:$Q$803=TRIM($J113&amp;""))*(파견수련계획!$S$4:$S$803="구리병원")*파견수련계획!$W$4:$W$803))+IF($AG113="구리병원",MAX(0,DAY(EOMONTH(요약!$B$3,0))-N($X113)),0))</f>
        <v/>
      </c>
      <c r="AJ113" s="10">
        <f>IF(OR($B113="",TRIM($J113&amp;"")=""),"",IFERROR(MATCH(TRIM($J113&amp;"")&amp;"|월",파견수련계획!$Z$4:$Z$803,0),""))</f>
        <v/>
      </c>
      <c r="AK113" s="10">
        <f>IF(OR($B113="",TRIM($J113&amp;"")=""),"",IFERROR(MATCH(TRIM($J113&amp;"")&amp;"|다기관",파견수련계획!$AE$4:$AE$803,0),""))</f>
        <v/>
      </c>
      <c r="AL113" s="10">
        <f>IF($AK113="","","다기관 "&amp;TEXT(INDEX(파견수련계획!$AB$4:$AB$803,$AK113),"yyyy-mm-dd")&amp;"~"&amp;IF(ISNUMBER(INDEX(파견수련계획!$AC$4:$AC$803,$AK113)),TEXT(INDEX(파견수련계획!$AC$4:$AC$803,$AK113),"yyyy-mm-dd"),""))</f>
        <v/>
      </c>
    </row>
    <row r="114">
      <c r="A114" s="10">
        <f>IF(B114="","",ROW()-1)</f>
        <v/>
      </c>
      <c r="B114" s="18" t="n"/>
      <c r="C114" s="10">
        <f>IF($AB114="","",IF(INDEX(기본자료!$C$2:$C$1001,$AB114)="","",INDEX(기본자료!$C$2:$C$1001,$AB114)))</f>
        <v/>
      </c>
      <c r="D114" s="10">
        <f>IF($AB114="","",IF(INDEX(기본자료!$J$2:$J$1001,$AB114)="","",INDEX(기본자료!$J$2:$J$1001,$AB114)))</f>
        <v/>
      </c>
      <c r="E114" s="11">
        <f>IF($AB114="","",IF(INDEX(기본자료!$K$2:$K$1001,$AB114)="","",IF(NOT(ISNUMBER(INDEX(기본자료!$K$2:$K$1001,$AB114))),INDEX(기본자료!$K$2:$K$1001,$AB114),IF(INDEX(기본자료!$K$2:$K$1001,$AB114)&lt;1000000,INDEX(기본자료!$K$2:$K$1001,$AB114),IF(AND(INDEX(기본자료!$K$2:$K$1001,$AB114)&gt;=10000101,INT(MOD(INDEX(기본자료!$K$2:$K$1001,$AB114),10000)/100)&gt;=1,INT(MOD(INDEX(기본자료!$K$2:$K$1001,$AB114),10000)/100)&lt;=12,MOD(INDEX(기본자료!$K$2:$K$1001,$AB114),100)&gt;=1,MOD(INDEX(기본자료!$K$2:$K$1001,$AB114),100)&lt;=31),DATE(INT(INDEX(기본자료!$K$2:$K$1001,$AB114)/10000),INT(MOD(INDEX(기본자료!$K$2:$K$1001,$AB114),10000)/100),MOD(INDEX(기본자료!$K$2:$K$1001,$AB114),100)),INDEX(기본자료!$K$2:$K$1001,$AB114)&amp;"")))))</f>
        <v/>
      </c>
      <c r="F114" s="10">
        <f>IF($AB114="","",IF(INDEX(기본자료!$D$2:$D$1001,$AB114)="","",INDEX(기본자료!$D$2:$D$1001,$AB114)))</f>
        <v/>
      </c>
      <c r="G114" s="10">
        <f>IF($AB114="","",IF(INDEX(기본자료!$E$2:$E$1001,$AB114)="","",INDEX(기본자료!$E$2:$E$1001,$AB114)))</f>
        <v/>
      </c>
      <c r="H114" s="10">
        <f>IF($AB114="","",IF(INDEX(기본자료!$F$2:$F$1001,$AB114)="","",INDEX(기본자료!$F$2:$F$1001,$AB114)))</f>
        <v/>
      </c>
      <c r="I114" s="11">
        <f>IF($AB114="","",IF(INDEX(기본자료!$G$2:$G$1001,$AB114)="","",IF(NOT(ISNUMBER(INDEX(기본자료!$G$2:$G$1001,$AB114))),INDEX(기본자료!$G$2:$G$1001,$AB114),IF(INDEX(기본자료!$G$2:$G$1001,$AB114)&lt;1000000,INDEX(기본자료!$G$2:$G$1001,$AB114),IF(AND(INDEX(기본자료!$G$2:$G$1001,$AB114)&gt;=10000101,INT(MOD(INDEX(기본자료!$G$2:$G$1001,$AB114),10000)/100)&gt;=1,INT(MOD(INDEX(기본자료!$G$2:$G$1001,$AB114),10000)/100)&lt;=12,MOD(INDEX(기본자료!$G$2:$G$1001,$AB114),100)&gt;=1,MOD(INDEX(기본자료!$G$2:$G$1001,$AB114),100)&lt;=31),DATE(INT(INDEX(기본자료!$G$2:$G$1001,$AB114)/10000),INT(MOD(INDEX(기본자료!$G$2:$G$1001,$AB114),10000)/100),MOD(INDEX(기본자료!$G$2:$G$1001,$AB114),100)),INDEX(기본자료!$G$2:$G$1001,$AB114)&amp;"")))))</f>
        <v/>
      </c>
      <c r="J114" s="10">
        <f>IF($AB114="","",IF(INDEX(기본자료!$H$2:$H$1001,$AB114)="","",INDEX(기본자료!$H$2:$H$1001,$AB114)))</f>
        <v/>
      </c>
      <c r="K114" s="10">
        <f>IF($AB114="","",IF(INDEX(기본자료!$I$2:$I$1001,$AB114)="","",INDEX(기본자료!$I$2:$I$1001,$AB114)))</f>
        <v/>
      </c>
      <c r="L114" s="10">
        <f>IF($AB114="","",IF(INDEX(기본자료!$A$2:$A$1001,$AB114)="","",INDEX(기본자료!$A$2:$A$1001,$AB114)))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파견수련계획!$AB$4:$AB$803,$AK114),OR(NOT(ISNUMBER(INDEX(파견수련계획!$AC$4:$AC$803,$AK114))),TODAY()&lt;=INDEX(파견수련계획!$AC$4:$AC$803,$AK114))),"다기관",IF($AF114="","",INDEX(파견수련계획!$T$4:$T$803,$AF114))),IF($AF114="","",INDEX(파견수련계획!$T$4:$T$803,$AF114))))</f>
        <v/>
      </c>
      <c r="Q114" s="10">
        <f>IF($AF114="","",INDEX(파견수련계획!$S$4:$S$803,$AF114))</f>
        <v/>
      </c>
      <c r="R114" s="10">
        <f>IF($AF114="","",INDEX(파견수련계획!$U$4:$U$803,$AF114))</f>
        <v/>
      </c>
      <c r="S114" s="11">
        <f>IF($AF114="","",IF(INDEX(파견수련계획!$H$4:$H$803,$AF114)="","",INDEX(파견수련계획!$H$4:$H$803,$AF114)))</f>
        <v/>
      </c>
      <c r="T114" s="11">
        <f>IF($AF114="","",IF(INDEX(파견수련계획!$I$4:$I$803,$AF114)="","",INDEX(파견수련계획!$I$4:$I$803,$AF114)))</f>
        <v/>
      </c>
      <c r="U114" s="10">
        <f>IF($AF114="","",INDEX(파견수련계획!$X$4:$X$803,$AF114))</f>
        <v/>
      </c>
      <c r="V114" s="17">
        <f>IF($AF114="","",INDEX(파견수련계획!$V$4:$V$803,$AF114))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IF(OR($B114="",TRIM($J114&amp;"")=""),"",SUMPRODUCT((파견수련계획!$Q$4:$Q$803=TRIM($J114&amp;""))*파견수련계획!$W$4:$W$803))</f>
        <v/>
      </c>
      <c r="Y114" s="10">
        <f>IF($B114="","",IF($AG114="","",IF(IF(TRIM($J114&amp;"")="",0,SUMPRODUCT((파견수련계획!$Q$4:$Q$803=TRIM($J114&amp;""))*파견수련계획!$AD$4:$AD$803))&gt;0,$AE114,IF(N($X114)&lt;=0,$AG114,IF($AH114+$AI114=DAY(EOMONTH(요약!$B$3,0)),IF(AND($AH114&gt;=요약!$E$3,$AI114&lt;요약!$E$3),"서울병원",IF(AND($AI114&gt;=요약!$E$3,$AH114&lt;요약!$E$3),"구리병원","⚠15일 판정불가(서울 "&amp;$AH114&amp;"일/구리 "&amp;$AI114&amp;"일)")),IF($AJ114="",$AE114,IF(INDEX(파견수련계획!$T$4:$T$803,$AJ114)="통합수련",INDEX(파견수련계획!$S$4:$S$803,$AJ114),$AE114)))))))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입력",IF(IF(TRIM($J114&amp;"")="",0,SUMPRODUCT((파견수련계획!$Q$4:$Q$803=TRIM($J114&amp;""))*(파견수련계획!$AA$4:$AA$803&lt;&gt;"")))&gt;0,"파견수련계획 입력오류 확인",IF(LEFT($Y114,1)="⚠","서울·구리 15일 판정 불가(양쪽 모두 이상/미만)",IF(IF($AC114="",0,N(INDEX(인턴근무계획!$T$3:$T$402,$AC114)))&gt;0,"인턴계획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IF($B114="","",IFERROR(MATCH($B114,기본자료!$B$2:$B$1001,0),IFERROR(MATCH($B114&amp;"",기본자료!$B$2:$B$1001,0),IFERROR(MATCH(VALUE($B114),기본자료!$B$2:$B$1001,0),""))))</f>
        <v/>
      </c>
      <c r="AC114" s="10">
        <f>IF($B114="","",IFERROR(MATCH($B114,인턴근무계획!$D$3:$D$402,0),IFERROR(MATCH($B114&amp;"",인턴근무계획!$D$3:$D$402,0),IFERROR(MATCH(VALUE($B114),인턴근무계획!$D$3:$D$402,0),""))))</f>
        <v/>
      </c>
      <c r="AD114" s="10">
        <f>IF(OR($AC114="",인턴현황!$G$3=""),"",INDEX(인턴근무계획!$M$3:$R$402,$AC114,인턴현황!$G$3)&amp;"")</f>
        <v/>
      </c>
      <c r="AE114" s="10">
        <f>IF($B114="","",IF($M114&lt;&gt;"",$M114,IF($AF114&lt;&gt;"",IF(LEFT(INDEX(파견수련계획!$R$4:$R$803,$AF114),1)&lt;&gt;"⚠",INDEX(파견수련계획!$R$4:$R$803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$803,0),IFERROR(MATCH(TRIM($J114&amp;"")&amp;"|파견예정",파견수련계획!$Y$4:$Y$803,0),IFERROR(MATCH(TRIM($J114&amp;"")&amp;"|파견종료",파견수련계획!$Y$4:$Y$803,0),""))))</f>
        <v/>
      </c>
      <c r="AG114" s="10">
        <f>IF($B114="","",IF(AND(IF(OR($AC114="",인턴현황!$K$2=""),"",INDEX(인턴근무계획!$M$3:$R$402,$AC114,인턴현황!$K$2)&amp;"")&lt;&gt;"",LEFT(IF(OR($AC114="",인턴현황!$K$2=""),"",INDEX(인턴근무계획!$M$3:$R$402,$AC114,인턴현황!$K$2)&amp;""),1)&lt;&gt;"⚠"),LEFT(IF(OR($AC114="",인턴현황!$K$2=""),"",INDEX(인턴근무계획!$M$3:$R$402,$AC114,인턴현황!$K$2)&amp;""),FIND(" ",IF(OR($AC114="",인턴현황!$K$2=""),"",INDEX(인턴근무계획!$M$3:$R$402,$AC114,인턴현황!$K$2)&amp;""))-1),$AE114))</f>
        <v/>
      </c>
      <c r="AH114" s="17">
        <f>IF($B114="","",IF(TRIM($J114&amp;"")="",0,SUMPRODUCT((파견수련계획!$Q$4:$Q$803=TRIM($J114&amp;""))*(파견수련계획!$S$4:$S$803="서울병원")*파견수련계획!$W$4:$W$803))+IF($AG114="서울병원",MAX(0,DAY(EOMONTH(요약!$B$3,0))-N($X114)),0))</f>
        <v/>
      </c>
      <c r="AI114" s="17">
        <f>IF($B114="","",IF(TRIM($J114&amp;"")="",0,SUMPRODUCT((파견수련계획!$Q$4:$Q$803=TRIM($J114&amp;""))*(파견수련계획!$S$4:$S$803="구리병원")*파견수련계획!$W$4:$W$803))+IF($AG114="구리병원",MAX(0,DAY(EOMONTH(요약!$B$3,0))-N($X114)),0))</f>
        <v/>
      </c>
      <c r="AJ114" s="10">
        <f>IF(OR($B114="",TRIM($J114&amp;"")=""),"",IFERROR(MATCH(TRIM($J114&amp;"")&amp;"|월",파견수련계획!$Z$4:$Z$803,0),""))</f>
        <v/>
      </c>
      <c r="AK114" s="10">
        <f>IF(OR($B114="",TRIM($J114&amp;"")=""),"",IFERROR(MATCH(TRIM($J114&amp;"")&amp;"|다기관",파견수련계획!$AE$4:$AE$803,0),""))</f>
        <v/>
      </c>
      <c r="AL114" s="10">
        <f>IF($AK114="","","다기관 "&amp;TEXT(INDEX(파견수련계획!$AB$4:$AB$803,$AK114),"yyyy-mm-dd")&amp;"~"&amp;IF(ISNUMBER(INDEX(파견수련계획!$AC$4:$AC$803,$AK114)),TEXT(INDEX(파견수련계획!$AC$4:$AC$803,$AK114),"yyyy-mm-dd"),""))</f>
        <v/>
      </c>
    </row>
    <row r="115">
      <c r="A115" s="10">
        <f>IF(B115="","",ROW()-1)</f>
        <v/>
      </c>
      <c r="B115" s="18" t="n"/>
      <c r="C115" s="10">
        <f>IF($AB115="","",IF(INDEX(기본자료!$C$2:$C$1001,$AB115)="","",INDEX(기본자료!$C$2:$C$1001,$AB115)))</f>
        <v/>
      </c>
      <c r="D115" s="10">
        <f>IF($AB115="","",IF(INDEX(기본자료!$J$2:$J$1001,$AB115)="","",INDEX(기본자료!$J$2:$J$1001,$AB115)))</f>
        <v/>
      </c>
      <c r="E115" s="11">
        <f>IF($AB115="","",IF(INDEX(기본자료!$K$2:$K$1001,$AB115)="","",IF(NOT(ISNUMBER(INDEX(기본자료!$K$2:$K$1001,$AB115))),INDEX(기본자료!$K$2:$K$1001,$AB115),IF(INDEX(기본자료!$K$2:$K$1001,$AB115)&lt;1000000,INDEX(기본자료!$K$2:$K$1001,$AB115),IF(AND(INDEX(기본자료!$K$2:$K$1001,$AB115)&gt;=10000101,INT(MOD(INDEX(기본자료!$K$2:$K$1001,$AB115),10000)/100)&gt;=1,INT(MOD(INDEX(기본자료!$K$2:$K$1001,$AB115),10000)/100)&lt;=12,MOD(INDEX(기본자료!$K$2:$K$1001,$AB115),100)&gt;=1,MOD(INDEX(기본자료!$K$2:$K$1001,$AB115),100)&lt;=31),DATE(INT(INDEX(기본자료!$K$2:$K$1001,$AB115)/10000),INT(MOD(INDEX(기본자료!$K$2:$K$1001,$AB115),10000)/100),MOD(INDEX(기본자료!$K$2:$K$1001,$AB115),100)),INDEX(기본자료!$K$2:$K$1001,$AB115)&amp;"")))))</f>
        <v/>
      </c>
      <c r="F115" s="10">
        <f>IF($AB115="","",IF(INDEX(기본자료!$D$2:$D$1001,$AB115)="","",INDEX(기본자료!$D$2:$D$1001,$AB115)))</f>
        <v/>
      </c>
      <c r="G115" s="10">
        <f>IF($AB115="","",IF(INDEX(기본자료!$E$2:$E$1001,$AB115)="","",INDEX(기본자료!$E$2:$E$1001,$AB115)))</f>
        <v/>
      </c>
      <c r="H115" s="10">
        <f>IF($AB115="","",IF(INDEX(기본자료!$F$2:$F$1001,$AB115)="","",INDEX(기본자료!$F$2:$F$1001,$AB115)))</f>
        <v/>
      </c>
      <c r="I115" s="11">
        <f>IF($AB115="","",IF(INDEX(기본자료!$G$2:$G$1001,$AB115)="","",IF(NOT(ISNUMBER(INDEX(기본자료!$G$2:$G$1001,$AB115))),INDEX(기본자료!$G$2:$G$1001,$AB115),IF(INDEX(기본자료!$G$2:$G$1001,$AB115)&lt;1000000,INDEX(기본자료!$G$2:$G$1001,$AB115),IF(AND(INDEX(기본자료!$G$2:$G$1001,$AB115)&gt;=10000101,INT(MOD(INDEX(기본자료!$G$2:$G$1001,$AB115),10000)/100)&gt;=1,INT(MOD(INDEX(기본자료!$G$2:$G$1001,$AB115),10000)/100)&lt;=12,MOD(INDEX(기본자료!$G$2:$G$1001,$AB115),100)&gt;=1,MOD(INDEX(기본자료!$G$2:$G$1001,$AB115),100)&lt;=31),DATE(INT(INDEX(기본자료!$G$2:$G$1001,$AB115)/10000),INT(MOD(INDEX(기본자료!$G$2:$G$1001,$AB115),10000)/100),MOD(INDEX(기본자료!$G$2:$G$1001,$AB115),100)),INDEX(기본자료!$G$2:$G$1001,$AB115)&amp;"")))))</f>
        <v/>
      </c>
      <c r="J115" s="10">
        <f>IF($AB115="","",IF(INDEX(기본자료!$H$2:$H$1001,$AB115)="","",INDEX(기본자료!$H$2:$H$1001,$AB115)))</f>
        <v/>
      </c>
      <c r="K115" s="10">
        <f>IF($AB115="","",IF(INDEX(기본자료!$I$2:$I$1001,$AB115)="","",INDEX(기본자료!$I$2:$I$1001,$AB115)))</f>
        <v/>
      </c>
      <c r="L115" s="10">
        <f>IF($AB115="","",IF(INDEX(기본자료!$A$2:$A$1001,$AB115)="","",INDEX(기본자료!$A$2:$A$1001,$AB115)))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파견수련계획!$AB$4:$AB$803,$AK115),OR(NOT(ISNUMBER(INDEX(파견수련계획!$AC$4:$AC$803,$AK115))),TODAY()&lt;=INDEX(파견수련계획!$AC$4:$AC$803,$AK115))),"다기관",IF($AF115="","",INDEX(파견수련계획!$T$4:$T$803,$AF115))),IF($AF115="","",INDEX(파견수련계획!$T$4:$T$803,$AF115))))</f>
        <v/>
      </c>
      <c r="Q115" s="10">
        <f>IF($AF115="","",INDEX(파견수련계획!$S$4:$S$803,$AF115))</f>
        <v/>
      </c>
      <c r="R115" s="10">
        <f>IF($AF115="","",INDEX(파견수련계획!$U$4:$U$803,$AF115))</f>
        <v/>
      </c>
      <c r="S115" s="11">
        <f>IF($AF115="","",IF(INDEX(파견수련계획!$H$4:$H$803,$AF115)="","",INDEX(파견수련계획!$H$4:$H$803,$AF115)))</f>
        <v/>
      </c>
      <c r="T115" s="11">
        <f>IF($AF115="","",IF(INDEX(파견수련계획!$I$4:$I$803,$AF115)="","",INDEX(파견수련계획!$I$4:$I$803,$AF115)))</f>
        <v/>
      </c>
      <c r="U115" s="10">
        <f>IF($AF115="","",INDEX(파견수련계획!$X$4:$X$803,$AF115))</f>
        <v/>
      </c>
      <c r="V115" s="17">
        <f>IF($AF115="","",INDEX(파견수련계획!$V$4:$V$803,$AF115))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IF(OR($B115="",TRIM($J115&amp;"")=""),"",SUMPRODUCT((파견수련계획!$Q$4:$Q$803=TRIM($J115&amp;""))*파견수련계획!$W$4:$W$803))</f>
        <v/>
      </c>
      <c r="Y115" s="10">
        <f>IF($B115="","",IF($AG115="","",IF(IF(TRIM($J115&amp;"")="",0,SUMPRODUCT((파견수련계획!$Q$4:$Q$803=TRIM($J115&amp;""))*파견수련계획!$AD$4:$AD$803))&gt;0,$AE115,IF(N($X115)&lt;=0,$AG115,IF($AH115+$AI115=DAY(EOMONTH(요약!$B$3,0)),IF(AND($AH115&gt;=요약!$E$3,$AI115&lt;요약!$E$3),"서울병원",IF(AND($AI115&gt;=요약!$E$3,$AH115&lt;요약!$E$3),"구리병원","⚠15일 판정불가(서울 "&amp;$AH115&amp;"일/구리 "&amp;$AI115&amp;"일)")),IF($AJ115="",$AE115,IF(INDEX(파견수련계획!$T$4:$T$803,$AJ115)="통합수련",INDEX(파견수련계획!$S$4:$S$803,$AJ115),$AE115)))))))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입력",IF(IF(TRIM($J115&amp;"")="",0,SUMPRODUCT((파견수련계획!$Q$4:$Q$803=TRIM($J115&amp;""))*(파견수련계획!$AA$4:$AA$803&lt;&gt;"")))&gt;0,"파견수련계획 입력오류 확인",IF(LEFT($Y115,1)="⚠","서울·구리 15일 판정 불가(양쪽 모두 이상/미만)",IF(IF($AC115="",0,N(INDEX(인턴근무계획!$T$3:$T$402,$AC115)))&gt;0,"인턴계획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IF($B115="","",IFERROR(MATCH($B115,기본자료!$B$2:$B$1001,0),IFERROR(MATCH($B115&amp;"",기본자료!$B$2:$B$1001,0),IFERROR(MATCH(VALUE($B115),기본자료!$B$2:$B$1001,0),""))))</f>
        <v/>
      </c>
      <c r="AC115" s="10">
        <f>IF($B115="","",IFERROR(MATCH($B115,인턴근무계획!$D$3:$D$402,0),IFERROR(MATCH($B115&amp;"",인턴근무계획!$D$3:$D$402,0),IFERROR(MATCH(VALUE($B115),인턴근무계획!$D$3:$D$402,0),""))))</f>
        <v/>
      </c>
      <c r="AD115" s="10">
        <f>IF(OR($AC115="",인턴현황!$G$3=""),"",INDEX(인턴근무계획!$M$3:$R$402,$AC115,인턴현황!$G$3)&amp;"")</f>
        <v/>
      </c>
      <c r="AE115" s="10">
        <f>IF($B115="","",IF($M115&lt;&gt;"",$M115,IF($AF115&lt;&gt;"",IF(LEFT(INDEX(파견수련계획!$R$4:$R$803,$AF115),1)&lt;&gt;"⚠",INDEX(파견수련계획!$R$4:$R$803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$803,0),IFERROR(MATCH(TRIM($J115&amp;"")&amp;"|파견예정",파견수련계획!$Y$4:$Y$803,0),IFERROR(MATCH(TRIM($J115&amp;"")&amp;"|파견종료",파견수련계획!$Y$4:$Y$803,0),""))))</f>
        <v/>
      </c>
      <c r="AG115" s="10">
        <f>IF($B115="","",IF(AND(IF(OR($AC115="",인턴현황!$K$2=""),"",INDEX(인턴근무계획!$M$3:$R$402,$AC115,인턴현황!$K$2)&amp;"")&lt;&gt;"",LEFT(IF(OR($AC115="",인턴현황!$K$2=""),"",INDEX(인턴근무계획!$M$3:$R$402,$AC115,인턴현황!$K$2)&amp;""),1)&lt;&gt;"⚠"),LEFT(IF(OR($AC115="",인턴현황!$K$2=""),"",INDEX(인턴근무계획!$M$3:$R$402,$AC115,인턴현황!$K$2)&amp;""),FIND(" ",IF(OR($AC115="",인턴현황!$K$2=""),"",INDEX(인턴근무계획!$M$3:$R$402,$AC115,인턴현황!$K$2)&amp;""))-1),$AE115))</f>
        <v/>
      </c>
      <c r="AH115" s="17">
        <f>IF($B115="","",IF(TRIM($J115&amp;"")="",0,SUMPRODUCT((파견수련계획!$Q$4:$Q$803=TRIM($J115&amp;""))*(파견수련계획!$S$4:$S$803="서울병원")*파견수련계획!$W$4:$W$803))+IF($AG115="서울병원",MAX(0,DAY(EOMONTH(요약!$B$3,0))-N($X115)),0))</f>
        <v/>
      </c>
      <c r="AI115" s="17">
        <f>IF($B115="","",IF(TRIM($J115&amp;"")="",0,SUMPRODUCT((파견수련계획!$Q$4:$Q$803=TRIM($J115&amp;""))*(파견수련계획!$S$4:$S$803="구리병원")*파견수련계획!$W$4:$W$803))+IF($AG115="구리병원",MAX(0,DAY(EOMONTH(요약!$B$3,0))-N($X115)),0))</f>
        <v/>
      </c>
      <c r="AJ115" s="10">
        <f>IF(OR($B115="",TRIM($J115&amp;"")=""),"",IFERROR(MATCH(TRIM($J115&amp;"")&amp;"|월",파견수련계획!$Z$4:$Z$803,0),""))</f>
        <v/>
      </c>
      <c r="AK115" s="10">
        <f>IF(OR($B115="",TRIM($J115&amp;"")=""),"",IFERROR(MATCH(TRIM($J115&amp;"")&amp;"|다기관",파견수련계획!$AE$4:$AE$803,0),""))</f>
        <v/>
      </c>
      <c r="AL115" s="10">
        <f>IF($AK115="","","다기관 "&amp;TEXT(INDEX(파견수련계획!$AB$4:$AB$803,$AK115),"yyyy-mm-dd")&amp;"~"&amp;IF(ISNUMBER(INDEX(파견수련계획!$AC$4:$AC$803,$AK115)),TEXT(INDEX(파견수련계획!$AC$4:$AC$803,$AK115),"yyyy-mm-dd"),""))</f>
        <v/>
      </c>
    </row>
    <row r="116">
      <c r="A116" s="10">
        <f>IF(B116="","",ROW()-1)</f>
        <v/>
      </c>
      <c r="B116" s="18" t="n"/>
      <c r="C116" s="10">
        <f>IF($AB116="","",IF(INDEX(기본자료!$C$2:$C$1001,$AB116)="","",INDEX(기본자료!$C$2:$C$1001,$AB116)))</f>
        <v/>
      </c>
      <c r="D116" s="10">
        <f>IF($AB116="","",IF(INDEX(기본자료!$J$2:$J$1001,$AB116)="","",INDEX(기본자료!$J$2:$J$1001,$AB116)))</f>
        <v/>
      </c>
      <c r="E116" s="11">
        <f>IF($AB116="","",IF(INDEX(기본자료!$K$2:$K$1001,$AB116)="","",IF(NOT(ISNUMBER(INDEX(기본자료!$K$2:$K$1001,$AB116))),INDEX(기본자료!$K$2:$K$1001,$AB116),IF(INDEX(기본자료!$K$2:$K$1001,$AB116)&lt;1000000,INDEX(기본자료!$K$2:$K$1001,$AB116),IF(AND(INDEX(기본자료!$K$2:$K$1001,$AB116)&gt;=10000101,INT(MOD(INDEX(기본자료!$K$2:$K$1001,$AB116),10000)/100)&gt;=1,INT(MOD(INDEX(기본자료!$K$2:$K$1001,$AB116),10000)/100)&lt;=12,MOD(INDEX(기본자료!$K$2:$K$1001,$AB116),100)&gt;=1,MOD(INDEX(기본자료!$K$2:$K$1001,$AB116),100)&lt;=31),DATE(INT(INDEX(기본자료!$K$2:$K$1001,$AB116)/10000),INT(MOD(INDEX(기본자료!$K$2:$K$1001,$AB116),10000)/100),MOD(INDEX(기본자료!$K$2:$K$1001,$AB116),100)),INDEX(기본자료!$K$2:$K$1001,$AB116)&amp;"")))))</f>
        <v/>
      </c>
      <c r="F116" s="10">
        <f>IF($AB116="","",IF(INDEX(기본자료!$D$2:$D$1001,$AB116)="","",INDEX(기본자료!$D$2:$D$1001,$AB116)))</f>
        <v/>
      </c>
      <c r="G116" s="10">
        <f>IF($AB116="","",IF(INDEX(기본자료!$E$2:$E$1001,$AB116)="","",INDEX(기본자료!$E$2:$E$1001,$AB116)))</f>
        <v/>
      </c>
      <c r="H116" s="10">
        <f>IF($AB116="","",IF(INDEX(기본자료!$F$2:$F$1001,$AB116)="","",INDEX(기본자료!$F$2:$F$1001,$AB116)))</f>
        <v/>
      </c>
      <c r="I116" s="11">
        <f>IF($AB116="","",IF(INDEX(기본자료!$G$2:$G$1001,$AB116)="","",IF(NOT(ISNUMBER(INDEX(기본자료!$G$2:$G$1001,$AB116))),INDEX(기본자료!$G$2:$G$1001,$AB116),IF(INDEX(기본자료!$G$2:$G$1001,$AB116)&lt;1000000,INDEX(기본자료!$G$2:$G$1001,$AB116),IF(AND(INDEX(기본자료!$G$2:$G$1001,$AB116)&gt;=10000101,INT(MOD(INDEX(기본자료!$G$2:$G$1001,$AB116),10000)/100)&gt;=1,INT(MOD(INDEX(기본자료!$G$2:$G$1001,$AB116),10000)/100)&lt;=12,MOD(INDEX(기본자료!$G$2:$G$1001,$AB116),100)&gt;=1,MOD(INDEX(기본자료!$G$2:$G$1001,$AB116),100)&lt;=31),DATE(INT(INDEX(기본자료!$G$2:$G$1001,$AB116)/10000),INT(MOD(INDEX(기본자료!$G$2:$G$1001,$AB116),10000)/100),MOD(INDEX(기본자료!$G$2:$G$1001,$AB116),100)),INDEX(기본자료!$G$2:$G$1001,$AB116)&amp;"")))))</f>
        <v/>
      </c>
      <c r="J116" s="10">
        <f>IF($AB116="","",IF(INDEX(기본자료!$H$2:$H$1001,$AB116)="","",INDEX(기본자료!$H$2:$H$1001,$AB116)))</f>
        <v/>
      </c>
      <c r="K116" s="10">
        <f>IF($AB116="","",IF(INDEX(기본자료!$I$2:$I$1001,$AB116)="","",INDEX(기본자료!$I$2:$I$1001,$AB116)))</f>
        <v/>
      </c>
      <c r="L116" s="10">
        <f>IF($AB116="","",IF(INDEX(기본자료!$A$2:$A$1001,$AB116)="","",INDEX(기본자료!$A$2:$A$1001,$AB116)))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파견수련계획!$AB$4:$AB$803,$AK116),OR(NOT(ISNUMBER(INDEX(파견수련계획!$AC$4:$AC$803,$AK116))),TODAY()&lt;=INDEX(파견수련계획!$AC$4:$AC$803,$AK116))),"다기관",IF($AF116="","",INDEX(파견수련계획!$T$4:$T$803,$AF116))),IF($AF116="","",INDEX(파견수련계획!$T$4:$T$803,$AF116))))</f>
        <v/>
      </c>
      <c r="Q116" s="10">
        <f>IF($AF116="","",INDEX(파견수련계획!$S$4:$S$803,$AF116))</f>
        <v/>
      </c>
      <c r="R116" s="10">
        <f>IF($AF116="","",INDEX(파견수련계획!$U$4:$U$803,$AF116))</f>
        <v/>
      </c>
      <c r="S116" s="11">
        <f>IF($AF116="","",IF(INDEX(파견수련계획!$H$4:$H$803,$AF116)="","",INDEX(파견수련계획!$H$4:$H$803,$AF116)))</f>
        <v/>
      </c>
      <c r="T116" s="11">
        <f>IF($AF116="","",IF(INDEX(파견수련계획!$I$4:$I$803,$AF116)="","",INDEX(파견수련계획!$I$4:$I$803,$AF116)))</f>
        <v/>
      </c>
      <c r="U116" s="10">
        <f>IF($AF116="","",INDEX(파견수련계획!$X$4:$X$803,$AF116))</f>
        <v/>
      </c>
      <c r="V116" s="17">
        <f>IF($AF116="","",INDEX(파견수련계획!$V$4:$V$803,$AF116))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IF(OR($B116="",TRIM($J116&amp;"")=""),"",SUMPRODUCT((파견수련계획!$Q$4:$Q$803=TRIM($J116&amp;""))*파견수련계획!$W$4:$W$803))</f>
        <v/>
      </c>
      <c r="Y116" s="10">
        <f>IF($B116="","",IF($AG116="","",IF(IF(TRIM($J116&amp;"")="",0,SUMPRODUCT((파견수련계획!$Q$4:$Q$803=TRIM($J116&amp;""))*파견수련계획!$AD$4:$AD$803))&gt;0,$AE116,IF(N($X116)&lt;=0,$AG116,IF($AH116+$AI116=DAY(EOMONTH(요약!$B$3,0)),IF(AND($AH116&gt;=요약!$E$3,$AI116&lt;요약!$E$3),"서울병원",IF(AND($AI116&gt;=요약!$E$3,$AH116&lt;요약!$E$3),"구리병원","⚠15일 판정불가(서울 "&amp;$AH116&amp;"일/구리 "&amp;$AI116&amp;"일)")),IF($AJ116="",$AE116,IF(INDEX(파견수련계획!$T$4:$T$803,$AJ116)="통합수련",INDEX(파견수련계획!$S$4:$S$803,$AJ116),$AE116)))))))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입력",IF(IF(TRIM($J116&amp;"")="",0,SUMPRODUCT((파견수련계획!$Q$4:$Q$803=TRIM($J116&amp;""))*(파견수련계획!$AA$4:$AA$803&lt;&gt;"")))&gt;0,"파견수련계획 입력오류 확인",IF(LEFT($Y116,1)="⚠","서울·구리 15일 판정 불가(양쪽 모두 이상/미만)",IF(IF($AC116="",0,N(INDEX(인턴근무계획!$T$3:$T$402,$AC116)))&gt;0,"인턴계획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IF($B116="","",IFERROR(MATCH($B116,기본자료!$B$2:$B$1001,0),IFERROR(MATCH($B116&amp;"",기본자료!$B$2:$B$1001,0),IFERROR(MATCH(VALUE($B116),기본자료!$B$2:$B$1001,0),""))))</f>
        <v/>
      </c>
      <c r="AC116" s="10">
        <f>IF($B116="","",IFERROR(MATCH($B116,인턴근무계획!$D$3:$D$402,0),IFERROR(MATCH($B116&amp;"",인턴근무계획!$D$3:$D$402,0),IFERROR(MATCH(VALUE($B116),인턴근무계획!$D$3:$D$402,0),""))))</f>
        <v/>
      </c>
      <c r="AD116" s="10">
        <f>IF(OR($AC116="",인턴현황!$G$3=""),"",INDEX(인턴근무계획!$M$3:$R$402,$AC116,인턴현황!$G$3)&amp;"")</f>
        <v/>
      </c>
      <c r="AE116" s="10">
        <f>IF($B116="","",IF($M116&lt;&gt;"",$M116,IF($AF116&lt;&gt;"",IF(LEFT(INDEX(파견수련계획!$R$4:$R$803,$AF116),1)&lt;&gt;"⚠",INDEX(파견수련계획!$R$4:$R$803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$803,0),IFERROR(MATCH(TRIM($J116&amp;"")&amp;"|파견예정",파견수련계획!$Y$4:$Y$803,0),IFERROR(MATCH(TRIM($J116&amp;"")&amp;"|파견종료",파견수련계획!$Y$4:$Y$803,0),""))))</f>
        <v/>
      </c>
      <c r="AG116" s="10">
        <f>IF($B116="","",IF(AND(IF(OR($AC116="",인턴현황!$K$2=""),"",INDEX(인턴근무계획!$M$3:$R$402,$AC116,인턴현황!$K$2)&amp;"")&lt;&gt;"",LEFT(IF(OR($AC116="",인턴현황!$K$2=""),"",INDEX(인턴근무계획!$M$3:$R$402,$AC116,인턴현황!$K$2)&amp;""),1)&lt;&gt;"⚠"),LEFT(IF(OR($AC116="",인턴현황!$K$2=""),"",INDEX(인턴근무계획!$M$3:$R$402,$AC116,인턴현황!$K$2)&amp;""),FIND(" ",IF(OR($AC116="",인턴현황!$K$2=""),"",INDEX(인턴근무계획!$M$3:$R$402,$AC116,인턴현황!$K$2)&amp;""))-1),$AE116))</f>
        <v/>
      </c>
      <c r="AH116" s="17">
        <f>IF($B116="","",IF(TRIM($J116&amp;"")="",0,SUMPRODUCT((파견수련계획!$Q$4:$Q$803=TRIM($J116&amp;""))*(파견수련계획!$S$4:$S$803="서울병원")*파견수련계획!$W$4:$W$803))+IF($AG116="서울병원",MAX(0,DAY(EOMONTH(요약!$B$3,0))-N($X116)),0))</f>
        <v/>
      </c>
      <c r="AI116" s="17">
        <f>IF($B116="","",IF(TRIM($J116&amp;"")="",0,SUMPRODUCT((파견수련계획!$Q$4:$Q$803=TRIM($J116&amp;""))*(파견수련계획!$S$4:$S$803="구리병원")*파견수련계획!$W$4:$W$803))+IF($AG116="구리병원",MAX(0,DAY(EOMONTH(요약!$B$3,0))-N($X116)),0))</f>
        <v/>
      </c>
      <c r="AJ116" s="10">
        <f>IF(OR($B116="",TRIM($J116&amp;"")=""),"",IFERROR(MATCH(TRIM($J116&amp;"")&amp;"|월",파견수련계획!$Z$4:$Z$803,0),""))</f>
        <v/>
      </c>
      <c r="AK116" s="10">
        <f>IF(OR($B116="",TRIM($J116&amp;"")=""),"",IFERROR(MATCH(TRIM($J116&amp;"")&amp;"|다기관",파견수련계획!$AE$4:$AE$803,0),""))</f>
        <v/>
      </c>
      <c r="AL116" s="10">
        <f>IF($AK116="","","다기관 "&amp;TEXT(INDEX(파견수련계획!$AB$4:$AB$803,$AK116),"yyyy-mm-dd")&amp;"~"&amp;IF(ISNUMBER(INDEX(파견수련계획!$AC$4:$AC$803,$AK116)),TEXT(INDEX(파견수련계획!$AC$4:$AC$803,$AK116),"yyyy-mm-dd"),""))</f>
        <v/>
      </c>
    </row>
    <row r="117">
      <c r="A117" s="10">
        <f>IF(B117="","",ROW()-1)</f>
        <v/>
      </c>
      <c r="B117" s="18" t="n"/>
      <c r="C117" s="10">
        <f>IF($AB117="","",IF(INDEX(기본자료!$C$2:$C$1001,$AB117)="","",INDEX(기본자료!$C$2:$C$1001,$AB117)))</f>
        <v/>
      </c>
      <c r="D117" s="10">
        <f>IF($AB117="","",IF(INDEX(기본자료!$J$2:$J$1001,$AB117)="","",INDEX(기본자료!$J$2:$J$1001,$AB117)))</f>
        <v/>
      </c>
      <c r="E117" s="11">
        <f>IF($AB117="","",IF(INDEX(기본자료!$K$2:$K$1001,$AB117)="","",IF(NOT(ISNUMBER(INDEX(기본자료!$K$2:$K$1001,$AB117))),INDEX(기본자료!$K$2:$K$1001,$AB117),IF(INDEX(기본자료!$K$2:$K$1001,$AB117)&lt;1000000,INDEX(기본자료!$K$2:$K$1001,$AB117),IF(AND(INDEX(기본자료!$K$2:$K$1001,$AB117)&gt;=10000101,INT(MOD(INDEX(기본자료!$K$2:$K$1001,$AB117),10000)/100)&gt;=1,INT(MOD(INDEX(기본자료!$K$2:$K$1001,$AB117),10000)/100)&lt;=12,MOD(INDEX(기본자료!$K$2:$K$1001,$AB117),100)&gt;=1,MOD(INDEX(기본자료!$K$2:$K$1001,$AB117),100)&lt;=31),DATE(INT(INDEX(기본자료!$K$2:$K$1001,$AB117)/10000),INT(MOD(INDEX(기본자료!$K$2:$K$1001,$AB117),10000)/100),MOD(INDEX(기본자료!$K$2:$K$1001,$AB117),100)),INDEX(기본자료!$K$2:$K$1001,$AB117)&amp;"")))))</f>
        <v/>
      </c>
      <c r="F117" s="10">
        <f>IF($AB117="","",IF(INDEX(기본자료!$D$2:$D$1001,$AB117)="","",INDEX(기본자료!$D$2:$D$1001,$AB117)))</f>
        <v/>
      </c>
      <c r="G117" s="10">
        <f>IF($AB117="","",IF(INDEX(기본자료!$E$2:$E$1001,$AB117)="","",INDEX(기본자료!$E$2:$E$1001,$AB117)))</f>
        <v/>
      </c>
      <c r="H117" s="10">
        <f>IF($AB117="","",IF(INDEX(기본자료!$F$2:$F$1001,$AB117)="","",INDEX(기본자료!$F$2:$F$1001,$AB117)))</f>
        <v/>
      </c>
      <c r="I117" s="11">
        <f>IF($AB117="","",IF(INDEX(기본자료!$G$2:$G$1001,$AB117)="","",IF(NOT(ISNUMBER(INDEX(기본자료!$G$2:$G$1001,$AB117))),INDEX(기본자료!$G$2:$G$1001,$AB117),IF(INDEX(기본자료!$G$2:$G$1001,$AB117)&lt;1000000,INDEX(기본자료!$G$2:$G$1001,$AB117),IF(AND(INDEX(기본자료!$G$2:$G$1001,$AB117)&gt;=10000101,INT(MOD(INDEX(기본자료!$G$2:$G$1001,$AB117),10000)/100)&gt;=1,INT(MOD(INDEX(기본자료!$G$2:$G$1001,$AB117),10000)/100)&lt;=12,MOD(INDEX(기본자료!$G$2:$G$1001,$AB117),100)&gt;=1,MOD(INDEX(기본자료!$G$2:$G$1001,$AB117),100)&lt;=31),DATE(INT(INDEX(기본자료!$G$2:$G$1001,$AB117)/10000),INT(MOD(INDEX(기본자료!$G$2:$G$1001,$AB117),10000)/100),MOD(INDEX(기본자료!$G$2:$G$1001,$AB117),100)),INDEX(기본자료!$G$2:$G$1001,$AB117)&amp;"")))))</f>
        <v/>
      </c>
      <c r="J117" s="10">
        <f>IF($AB117="","",IF(INDEX(기본자료!$H$2:$H$1001,$AB117)="","",INDEX(기본자료!$H$2:$H$1001,$AB117)))</f>
        <v/>
      </c>
      <c r="K117" s="10">
        <f>IF($AB117="","",IF(INDEX(기본자료!$I$2:$I$1001,$AB117)="","",INDEX(기본자료!$I$2:$I$1001,$AB117)))</f>
        <v/>
      </c>
      <c r="L117" s="10">
        <f>IF($AB117="","",IF(INDEX(기본자료!$A$2:$A$1001,$AB117)="","",INDEX(기본자료!$A$2:$A$1001,$AB117)))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파견수련계획!$AB$4:$AB$803,$AK117),OR(NOT(ISNUMBER(INDEX(파견수련계획!$AC$4:$AC$803,$AK117))),TODAY()&lt;=INDEX(파견수련계획!$AC$4:$AC$803,$AK117))),"다기관",IF($AF117="","",INDEX(파견수련계획!$T$4:$T$803,$AF117))),IF($AF117="","",INDEX(파견수련계획!$T$4:$T$803,$AF117))))</f>
        <v/>
      </c>
      <c r="Q117" s="10">
        <f>IF($AF117="","",INDEX(파견수련계획!$S$4:$S$803,$AF117))</f>
        <v/>
      </c>
      <c r="R117" s="10">
        <f>IF($AF117="","",INDEX(파견수련계획!$U$4:$U$803,$AF117))</f>
        <v/>
      </c>
      <c r="S117" s="11">
        <f>IF($AF117="","",IF(INDEX(파견수련계획!$H$4:$H$803,$AF117)="","",INDEX(파견수련계획!$H$4:$H$803,$AF117)))</f>
        <v/>
      </c>
      <c r="T117" s="11">
        <f>IF($AF117="","",IF(INDEX(파견수련계획!$I$4:$I$803,$AF117)="","",INDEX(파견수련계획!$I$4:$I$803,$AF117)))</f>
        <v/>
      </c>
      <c r="U117" s="10">
        <f>IF($AF117="","",INDEX(파견수련계획!$X$4:$X$803,$AF117))</f>
        <v/>
      </c>
      <c r="V117" s="17">
        <f>IF($AF117="","",INDEX(파견수련계획!$V$4:$V$803,$AF117))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IF(OR($B117="",TRIM($J117&amp;"")=""),"",SUMPRODUCT((파견수련계획!$Q$4:$Q$803=TRIM($J117&amp;""))*파견수련계획!$W$4:$W$803))</f>
        <v/>
      </c>
      <c r="Y117" s="10">
        <f>IF($B117="","",IF($AG117="","",IF(IF(TRIM($J117&amp;"")="",0,SUMPRODUCT((파견수련계획!$Q$4:$Q$803=TRIM($J117&amp;""))*파견수련계획!$AD$4:$AD$803))&gt;0,$AE117,IF(N($X117)&lt;=0,$AG117,IF($AH117+$AI117=DAY(EOMONTH(요약!$B$3,0)),IF(AND($AH117&gt;=요약!$E$3,$AI117&lt;요약!$E$3),"서울병원",IF(AND($AI117&gt;=요약!$E$3,$AH117&lt;요약!$E$3),"구리병원","⚠15일 판정불가(서울 "&amp;$AH117&amp;"일/구리 "&amp;$AI117&amp;"일)")),IF($AJ117="",$AE117,IF(INDEX(파견수련계획!$T$4:$T$803,$AJ117)="통합수련",INDEX(파견수련계획!$S$4:$S$803,$AJ117),$AE117)))))))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입력",IF(IF(TRIM($J117&amp;"")="",0,SUMPRODUCT((파견수련계획!$Q$4:$Q$803=TRIM($J117&amp;""))*(파견수련계획!$AA$4:$AA$803&lt;&gt;"")))&gt;0,"파견수련계획 입력오류 확인",IF(LEFT($Y117,1)="⚠","서울·구리 15일 판정 불가(양쪽 모두 이상/미만)",IF(IF($AC117="",0,N(INDEX(인턴근무계획!$T$3:$T$402,$AC117)))&gt;0,"인턴계획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IF($B117="","",IFERROR(MATCH($B117,기본자료!$B$2:$B$1001,0),IFERROR(MATCH($B117&amp;"",기본자료!$B$2:$B$1001,0),IFERROR(MATCH(VALUE($B117),기본자료!$B$2:$B$1001,0),""))))</f>
        <v/>
      </c>
      <c r="AC117" s="10">
        <f>IF($B117="","",IFERROR(MATCH($B117,인턴근무계획!$D$3:$D$402,0),IFERROR(MATCH($B117&amp;"",인턴근무계획!$D$3:$D$402,0),IFERROR(MATCH(VALUE($B117),인턴근무계획!$D$3:$D$402,0),""))))</f>
        <v/>
      </c>
      <c r="AD117" s="10">
        <f>IF(OR($AC117="",인턴현황!$G$3=""),"",INDEX(인턴근무계획!$M$3:$R$402,$AC117,인턴현황!$G$3)&amp;"")</f>
        <v/>
      </c>
      <c r="AE117" s="10">
        <f>IF($B117="","",IF($M117&lt;&gt;"",$M117,IF($AF117&lt;&gt;"",IF(LEFT(INDEX(파견수련계획!$R$4:$R$803,$AF117),1)&lt;&gt;"⚠",INDEX(파견수련계획!$R$4:$R$803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$803,0),IFERROR(MATCH(TRIM($J117&amp;"")&amp;"|파견예정",파견수련계획!$Y$4:$Y$803,0),IFERROR(MATCH(TRIM($J117&amp;"")&amp;"|파견종료",파견수련계획!$Y$4:$Y$803,0),""))))</f>
        <v/>
      </c>
      <c r="AG117" s="10">
        <f>IF($B117="","",IF(AND(IF(OR($AC117="",인턴현황!$K$2=""),"",INDEX(인턴근무계획!$M$3:$R$402,$AC117,인턴현황!$K$2)&amp;"")&lt;&gt;"",LEFT(IF(OR($AC117="",인턴현황!$K$2=""),"",INDEX(인턴근무계획!$M$3:$R$402,$AC117,인턴현황!$K$2)&amp;""),1)&lt;&gt;"⚠"),LEFT(IF(OR($AC117="",인턴현황!$K$2=""),"",INDEX(인턴근무계획!$M$3:$R$402,$AC117,인턴현황!$K$2)&amp;""),FIND(" ",IF(OR($AC117="",인턴현황!$K$2=""),"",INDEX(인턴근무계획!$M$3:$R$402,$AC117,인턴현황!$K$2)&amp;""))-1),$AE117))</f>
        <v/>
      </c>
      <c r="AH117" s="17">
        <f>IF($B117="","",IF(TRIM($J117&amp;"")="",0,SUMPRODUCT((파견수련계획!$Q$4:$Q$803=TRIM($J117&amp;""))*(파견수련계획!$S$4:$S$803="서울병원")*파견수련계획!$W$4:$W$803))+IF($AG117="서울병원",MAX(0,DAY(EOMONTH(요약!$B$3,0))-N($X117)),0))</f>
        <v/>
      </c>
      <c r="AI117" s="17">
        <f>IF($B117="","",IF(TRIM($J117&amp;"")="",0,SUMPRODUCT((파견수련계획!$Q$4:$Q$803=TRIM($J117&amp;""))*(파견수련계획!$S$4:$S$803="구리병원")*파견수련계획!$W$4:$W$803))+IF($AG117="구리병원",MAX(0,DAY(EOMONTH(요약!$B$3,0))-N($X117)),0))</f>
        <v/>
      </c>
      <c r="AJ117" s="10">
        <f>IF(OR($B117="",TRIM($J117&amp;"")=""),"",IFERROR(MATCH(TRIM($J117&amp;"")&amp;"|월",파견수련계획!$Z$4:$Z$803,0),""))</f>
        <v/>
      </c>
      <c r="AK117" s="10">
        <f>IF(OR($B117="",TRIM($J117&amp;"")=""),"",IFERROR(MATCH(TRIM($J117&amp;"")&amp;"|다기관",파견수련계획!$AE$4:$AE$803,0),""))</f>
        <v/>
      </c>
      <c r="AL117" s="10">
        <f>IF($AK117="","","다기관 "&amp;TEXT(INDEX(파견수련계획!$AB$4:$AB$803,$AK117),"yyyy-mm-dd")&amp;"~"&amp;IF(ISNUMBER(INDEX(파견수련계획!$AC$4:$AC$803,$AK117)),TEXT(INDEX(파견수련계획!$AC$4:$AC$803,$AK117),"yyyy-mm-dd"),""))</f>
        <v/>
      </c>
    </row>
    <row r="118">
      <c r="A118" s="10">
        <f>IF(B118="","",ROW()-1)</f>
        <v/>
      </c>
      <c r="B118" s="18" t="n"/>
      <c r="C118" s="10">
        <f>IF($AB118="","",IF(INDEX(기본자료!$C$2:$C$1001,$AB118)="","",INDEX(기본자료!$C$2:$C$1001,$AB118)))</f>
        <v/>
      </c>
      <c r="D118" s="10">
        <f>IF($AB118="","",IF(INDEX(기본자료!$J$2:$J$1001,$AB118)="","",INDEX(기본자료!$J$2:$J$1001,$AB118)))</f>
        <v/>
      </c>
      <c r="E118" s="11">
        <f>IF($AB118="","",IF(INDEX(기본자료!$K$2:$K$1001,$AB118)="","",IF(NOT(ISNUMBER(INDEX(기본자료!$K$2:$K$1001,$AB118))),INDEX(기본자료!$K$2:$K$1001,$AB118),IF(INDEX(기본자료!$K$2:$K$1001,$AB118)&lt;1000000,INDEX(기본자료!$K$2:$K$1001,$AB118),IF(AND(INDEX(기본자료!$K$2:$K$1001,$AB118)&gt;=10000101,INT(MOD(INDEX(기본자료!$K$2:$K$1001,$AB118),10000)/100)&gt;=1,INT(MOD(INDEX(기본자료!$K$2:$K$1001,$AB118),10000)/100)&lt;=12,MOD(INDEX(기본자료!$K$2:$K$1001,$AB118),100)&gt;=1,MOD(INDEX(기본자료!$K$2:$K$1001,$AB118),100)&lt;=31),DATE(INT(INDEX(기본자료!$K$2:$K$1001,$AB118)/10000),INT(MOD(INDEX(기본자료!$K$2:$K$1001,$AB118),10000)/100),MOD(INDEX(기본자료!$K$2:$K$1001,$AB118),100)),INDEX(기본자료!$K$2:$K$1001,$AB118)&amp;"")))))</f>
        <v/>
      </c>
      <c r="F118" s="10">
        <f>IF($AB118="","",IF(INDEX(기본자료!$D$2:$D$1001,$AB118)="","",INDEX(기본자료!$D$2:$D$1001,$AB118)))</f>
        <v/>
      </c>
      <c r="G118" s="10">
        <f>IF($AB118="","",IF(INDEX(기본자료!$E$2:$E$1001,$AB118)="","",INDEX(기본자료!$E$2:$E$1001,$AB118)))</f>
        <v/>
      </c>
      <c r="H118" s="10">
        <f>IF($AB118="","",IF(INDEX(기본자료!$F$2:$F$1001,$AB118)="","",INDEX(기본자료!$F$2:$F$1001,$AB118)))</f>
        <v/>
      </c>
      <c r="I118" s="11">
        <f>IF($AB118="","",IF(INDEX(기본자료!$G$2:$G$1001,$AB118)="","",IF(NOT(ISNUMBER(INDEX(기본자료!$G$2:$G$1001,$AB118))),INDEX(기본자료!$G$2:$G$1001,$AB118),IF(INDEX(기본자료!$G$2:$G$1001,$AB118)&lt;1000000,INDEX(기본자료!$G$2:$G$1001,$AB118),IF(AND(INDEX(기본자료!$G$2:$G$1001,$AB118)&gt;=10000101,INT(MOD(INDEX(기본자료!$G$2:$G$1001,$AB118),10000)/100)&gt;=1,INT(MOD(INDEX(기본자료!$G$2:$G$1001,$AB118),10000)/100)&lt;=12,MOD(INDEX(기본자료!$G$2:$G$1001,$AB118),100)&gt;=1,MOD(INDEX(기본자료!$G$2:$G$1001,$AB118),100)&lt;=31),DATE(INT(INDEX(기본자료!$G$2:$G$1001,$AB118)/10000),INT(MOD(INDEX(기본자료!$G$2:$G$1001,$AB118),10000)/100),MOD(INDEX(기본자료!$G$2:$G$1001,$AB118),100)),INDEX(기본자료!$G$2:$G$1001,$AB118)&amp;"")))))</f>
        <v/>
      </c>
      <c r="J118" s="10">
        <f>IF($AB118="","",IF(INDEX(기본자료!$H$2:$H$1001,$AB118)="","",INDEX(기본자료!$H$2:$H$1001,$AB118)))</f>
        <v/>
      </c>
      <c r="K118" s="10">
        <f>IF($AB118="","",IF(INDEX(기본자료!$I$2:$I$1001,$AB118)="","",INDEX(기본자료!$I$2:$I$1001,$AB118)))</f>
        <v/>
      </c>
      <c r="L118" s="10">
        <f>IF($AB118="","",IF(INDEX(기본자료!$A$2:$A$1001,$AB118)="","",INDEX(기본자료!$A$2:$A$1001,$AB118)))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파견수련계획!$AB$4:$AB$803,$AK118),OR(NOT(ISNUMBER(INDEX(파견수련계획!$AC$4:$AC$803,$AK118))),TODAY()&lt;=INDEX(파견수련계획!$AC$4:$AC$803,$AK118))),"다기관",IF($AF118="","",INDEX(파견수련계획!$T$4:$T$803,$AF118))),IF($AF118="","",INDEX(파견수련계획!$T$4:$T$803,$AF118))))</f>
        <v/>
      </c>
      <c r="Q118" s="10">
        <f>IF($AF118="","",INDEX(파견수련계획!$S$4:$S$803,$AF118))</f>
        <v/>
      </c>
      <c r="R118" s="10">
        <f>IF($AF118="","",INDEX(파견수련계획!$U$4:$U$803,$AF118))</f>
        <v/>
      </c>
      <c r="S118" s="11">
        <f>IF($AF118="","",IF(INDEX(파견수련계획!$H$4:$H$803,$AF118)="","",INDEX(파견수련계획!$H$4:$H$803,$AF118)))</f>
        <v/>
      </c>
      <c r="T118" s="11">
        <f>IF($AF118="","",IF(INDEX(파견수련계획!$I$4:$I$803,$AF118)="","",INDEX(파견수련계획!$I$4:$I$803,$AF118)))</f>
        <v/>
      </c>
      <c r="U118" s="10">
        <f>IF($AF118="","",INDEX(파견수련계획!$X$4:$X$803,$AF118))</f>
        <v/>
      </c>
      <c r="V118" s="17">
        <f>IF($AF118="","",INDEX(파견수련계획!$V$4:$V$803,$AF118))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IF(OR($B118="",TRIM($J118&amp;"")=""),"",SUMPRODUCT((파견수련계획!$Q$4:$Q$803=TRIM($J118&amp;""))*파견수련계획!$W$4:$W$803))</f>
        <v/>
      </c>
      <c r="Y118" s="10">
        <f>IF($B118="","",IF($AG118="","",IF(IF(TRIM($J118&amp;"")="",0,SUMPRODUCT((파견수련계획!$Q$4:$Q$803=TRIM($J118&amp;""))*파견수련계획!$AD$4:$AD$803))&gt;0,$AE118,IF(N($X118)&lt;=0,$AG118,IF($AH118+$AI118=DAY(EOMONTH(요약!$B$3,0)),IF(AND($AH118&gt;=요약!$E$3,$AI118&lt;요약!$E$3),"서울병원",IF(AND($AI118&gt;=요약!$E$3,$AH118&lt;요약!$E$3),"구리병원","⚠15일 판정불가(서울 "&amp;$AH118&amp;"일/구리 "&amp;$AI118&amp;"일)")),IF($AJ118="",$AE118,IF(INDEX(파견수련계획!$T$4:$T$803,$AJ118)="통합수련",INDEX(파견수련계획!$S$4:$S$803,$AJ118),$AE118)))))))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입력",IF(IF(TRIM($J118&amp;"")="",0,SUMPRODUCT((파견수련계획!$Q$4:$Q$803=TRIM($J118&amp;""))*(파견수련계획!$AA$4:$AA$803&lt;&gt;"")))&gt;0,"파견수련계획 입력오류 확인",IF(LEFT($Y118,1)="⚠","서울·구리 15일 판정 불가(양쪽 모두 이상/미만)",IF(IF($AC118="",0,N(INDEX(인턴근무계획!$T$3:$T$402,$AC118)))&gt;0,"인턴계획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IF($B118="","",IFERROR(MATCH($B118,기본자료!$B$2:$B$1001,0),IFERROR(MATCH($B118&amp;"",기본자료!$B$2:$B$1001,0),IFERROR(MATCH(VALUE($B118),기본자료!$B$2:$B$1001,0),""))))</f>
        <v/>
      </c>
      <c r="AC118" s="10">
        <f>IF($B118="","",IFERROR(MATCH($B118,인턴근무계획!$D$3:$D$402,0),IFERROR(MATCH($B118&amp;"",인턴근무계획!$D$3:$D$402,0),IFERROR(MATCH(VALUE($B118),인턴근무계획!$D$3:$D$402,0),""))))</f>
        <v/>
      </c>
      <c r="AD118" s="10">
        <f>IF(OR($AC118="",인턴현황!$G$3=""),"",INDEX(인턴근무계획!$M$3:$R$402,$AC118,인턴현황!$G$3)&amp;"")</f>
        <v/>
      </c>
      <c r="AE118" s="10">
        <f>IF($B118="","",IF($M118&lt;&gt;"",$M118,IF($AF118&lt;&gt;"",IF(LEFT(INDEX(파견수련계획!$R$4:$R$803,$AF118),1)&lt;&gt;"⚠",INDEX(파견수련계획!$R$4:$R$803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$803,0),IFERROR(MATCH(TRIM($J118&amp;"")&amp;"|파견예정",파견수련계획!$Y$4:$Y$803,0),IFERROR(MATCH(TRIM($J118&amp;"")&amp;"|파견종료",파견수련계획!$Y$4:$Y$803,0),""))))</f>
        <v/>
      </c>
      <c r="AG118" s="10">
        <f>IF($B118="","",IF(AND(IF(OR($AC118="",인턴현황!$K$2=""),"",INDEX(인턴근무계획!$M$3:$R$402,$AC118,인턴현황!$K$2)&amp;"")&lt;&gt;"",LEFT(IF(OR($AC118="",인턴현황!$K$2=""),"",INDEX(인턴근무계획!$M$3:$R$402,$AC118,인턴현황!$K$2)&amp;""),1)&lt;&gt;"⚠"),LEFT(IF(OR($AC118="",인턴현황!$K$2=""),"",INDEX(인턴근무계획!$M$3:$R$402,$AC118,인턴현황!$K$2)&amp;""),FIND(" ",IF(OR($AC118="",인턴현황!$K$2=""),"",INDEX(인턴근무계획!$M$3:$R$402,$AC118,인턴현황!$K$2)&amp;""))-1),$AE118))</f>
        <v/>
      </c>
      <c r="AH118" s="17">
        <f>IF($B118="","",IF(TRIM($J118&amp;"")="",0,SUMPRODUCT((파견수련계획!$Q$4:$Q$803=TRIM($J118&amp;""))*(파견수련계획!$S$4:$S$803="서울병원")*파견수련계획!$W$4:$W$803))+IF($AG118="서울병원",MAX(0,DAY(EOMONTH(요약!$B$3,0))-N($X118)),0))</f>
        <v/>
      </c>
      <c r="AI118" s="17">
        <f>IF($B118="","",IF(TRIM($J118&amp;"")="",0,SUMPRODUCT((파견수련계획!$Q$4:$Q$803=TRIM($J118&amp;""))*(파견수련계획!$S$4:$S$803="구리병원")*파견수련계획!$W$4:$W$803))+IF($AG118="구리병원",MAX(0,DAY(EOMONTH(요약!$B$3,0))-N($X118)),0))</f>
        <v/>
      </c>
      <c r="AJ118" s="10">
        <f>IF(OR($B118="",TRIM($J118&amp;"")=""),"",IFERROR(MATCH(TRIM($J118&amp;"")&amp;"|월",파견수련계획!$Z$4:$Z$803,0),""))</f>
        <v/>
      </c>
      <c r="AK118" s="10">
        <f>IF(OR($B118="",TRIM($J118&amp;"")=""),"",IFERROR(MATCH(TRIM($J118&amp;"")&amp;"|다기관",파견수련계획!$AE$4:$AE$803,0),""))</f>
        <v/>
      </c>
      <c r="AL118" s="10">
        <f>IF($AK118="","","다기관 "&amp;TEXT(INDEX(파견수련계획!$AB$4:$AB$803,$AK118),"yyyy-mm-dd")&amp;"~"&amp;IF(ISNUMBER(INDEX(파견수련계획!$AC$4:$AC$803,$AK118)),TEXT(INDEX(파견수련계획!$AC$4:$AC$803,$AK118),"yyyy-mm-dd"),""))</f>
        <v/>
      </c>
    </row>
    <row r="119">
      <c r="A119" s="10">
        <f>IF(B119="","",ROW()-1)</f>
        <v/>
      </c>
      <c r="B119" s="18" t="n"/>
      <c r="C119" s="10">
        <f>IF($AB119="","",IF(INDEX(기본자료!$C$2:$C$1001,$AB119)="","",INDEX(기본자료!$C$2:$C$1001,$AB119)))</f>
        <v/>
      </c>
      <c r="D119" s="10">
        <f>IF($AB119="","",IF(INDEX(기본자료!$J$2:$J$1001,$AB119)="","",INDEX(기본자료!$J$2:$J$1001,$AB119)))</f>
        <v/>
      </c>
      <c r="E119" s="11">
        <f>IF($AB119="","",IF(INDEX(기본자료!$K$2:$K$1001,$AB119)="","",IF(NOT(ISNUMBER(INDEX(기본자료!$K$2:$K$1001,$AB119))),INDEX(기본자료!$K$2:$K$1001,$AB119),IF(INDEX(기본자료!$K$2:$K$1001,$AB119)&lt;1000000,INDEX(기본자료!$K$2:$K$1001,$AB119),IF(AND(INDEX(기본자료!$K$2:$K$1001,$AB119)&gt;=10000101,INT(MOD(INDEX(기본자료!$K$2:$K$1001,$AB119),10000)/100)&gt;=1,INT(MOD(INDEX(기본자료!$K$2:$K$1001,$AB119),10000)/100)&lt;=12,MOD(INDEX(기본자료!$K$2:$K$1001,$AB119),100)&gt;=1,MOD(INDEX(기본자료!$K$2:$K$1001,$AB119),100)&lt;=31),DATE(INT(INDEX(기본자료!$K$2:$K$1001,$AB119)/10000),INT(MOD(INDEX(기본자료!$K$2:$K$1001,$AB119),10000)/100),MOD(INDEX(기본자료!$K$2:$K$1001,$AB119),100)),INDEX(기본자료!$K$2:$K$1001,$AB119)&amp;"")))))</f>
        <v/>
      </c>
      <c r="F119" s="10">
        <f>IF($AB119="","",IF(INDEX(기본자료!$D$2:$D$1001,$AB119)="","",INDEX(기본자료!$D$2:$D$1001,$AB119)))</f>
        <v/>
      </c>
      <c r="G119" s="10">
        <f>IF($AB119="","",IF(INDEX(기본자료!$E$2:$E$1001,$AB119)="","",INDEX(기본자료!$E$2:$E$1001,$AB119)))</f>
        <v/>
      </c>
      <c r="H119" s="10">
        <f>IF($AB119="","",IF(INDEX(기본자료!$F$2:$F$1001,$AB119)="","",INDEX(기본자료!$F$2:$F$1001,$AB119)))</f>
        <v/>
      </c>
      <c r="I119" s="11">
        <f>IF($AB119="","",IF(INDEX(기본자료!$G$2:$G$1001,$AB119)="","",IF(NOT(ISNUMBER(INDEX(기본자료!$G$2:$G$1001,$AB119))),INDEX(기본자료!$G$2:$G$1001,$AB119),IF(INDEX(기본자료!$G$2:$G$1001,$AB119)&lt;1000000,INDEX(기본자료!$G$2:$G$1001,$AB119),IF(AND(INDEX(기본자료!$G$2:$G$1001,$AB119)&gt;=10000101,INT(MOD(INDEX(기본자료!$G$2:$G$1001,$AB119),10000)/100)&gt;=1,INT(MOD(INDEX(기본자료!$G$2:$G$1001,$AB119),10000)/100)&lt;=12,MOD(INDEX(기본자료!$G$2:$G$1001,$AB119),100)&gt;=1,MOD(INDEX(기본자료!$G$2:$G$1001,$AB119),100)&lt;=31),DATE(INT(INDEX(기본자료!$G$2:$G$1001,$AB119)/10000),INT(MOD(INDEX(기본자료!$G$2:$G$1001,$AB119),10000)/100),MOD(INDEX(기본자료!$G$2:$G$1001,$AB119),100)),INDEX(기본자료!$G$2:$G$1001,$AB119)&amp;"")))))</f>
        <v/>
      </c>
      <c r="J119" s="10">
        <f>IF($AB119="","",IF(INDEX(기본자료!$H$2:$H$1001,$AB119)="","",INDEX(기본자료!$H$2:$H$1001,$AB119)))</f>
        <v/>
      </c>
      <c r="K119" s="10">
        <f>IF($AB119="","",IF(INDEX(기본자료!$I$2:$I$1001,$AB119)="","",INDEX(기본자료!$I$2:$I$1001,$AB119)))</f>
        <v/>
      </c>
      <c r="L119" s="10">
        <f>IF($AB119="","",IF(INDEX(기본자료!$A$2:$A$1001,$AB119)="","",INDEX(기본자료!$A$2:$A$1001,$AB119)))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파견수련계획!$AB$4:$AB$803,$AK119),OR(NOT(ISNUMBER(INDEX(파견수련계획!$AC$4:$AC$803,$AK119))),TODAY()&lt;=INDEX(파견수련계획!$AC$4:$AC$803,$AK119))),"다기관",IF($AF119="","",INDEX(파견수련계획!$T$4:$T$803,$AF119))),IF($AF119="","",INDEX(파견수련계획!$T$4:$T$803,$AF119))))</f>
        <v/>
      </c>
      <c r="Q119" s="10">
        <f>IF($AF119="","",INDEX(파견수련계획!$S$4:$S$803,$AF119))</f>
        <v/>
      </c>
      <c r="R119" s="10">
        <f>IF($AF119="","",INDEX(파견수련계획!$U$4:$U$803,$AF119))</f>
        <v/>
      </c>
      <c r="S119" s="11">
        <f>IF($AF119="","",IF(INDEX(파견수련계획!$H$4:$H$803,$AF119)="","",INDEX(파견수련계획!$H$4:$H$803,$AF119)))</f>
        <v/>
      </c>
      <c r="T119" s="11">
        <f>IF($AF119="","",IF(INDEX(파견수련계획!$I$4:$I$803,$AF119)="","",INDEX(파견수련계획!$I$4:$I$803,$AF119)))</f>
        <v/>
      </c>
      <c r="U119" s="10">
        <f>IF($AF119="","",INDEX(파견수련계획!$X$4:$X$803,$AF119))</f>
        <v/>
      </c>
      <c r="V119" s="17">
        <f>IF($AF119="","",INDEX(파견수련계획!$V$4:$V$803,$AF119))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IF(OR($B119="",TRIM($J119&amp;"")=""),"",SUMPRODUCT((파견수련계획!$Q$4:$Q$803=TRIM($J119&amp;""))*파견수련계획!$W$4:$W$803))</f>
        <v/>
      </c>
      <c r="Y119" s="10">
        <f>IF($B119="","",IF($AG119="","",IF(IF(TRIM($J119&amp;"")="",0,SUMPRODUCT((파견수련계획!$Q$4:$Q$803=TRIM($J119&amp;""))*파견수련계획!$AD$4:$AD$803))&gt;0,$AE119,IF(N($X119)&lt;=0,$AG119,IF($AH119+$AI119=DAY(EOMONTH(요약!$B$3,0)),IF(AND($AH119&gt;=요약!$E$3,$AI119&lt;요약!$E$3),"서울병원",IF(AND($AI119&gt;=요약!$E$3,$AH119&lt;요약!$E$3),"구리병원","⚠15일 판정불가(서울 "&amp;$AH119&amp;"일/구리 "&amp;$AI119&amp;"일)")),IF($AJ119="",$AE119,IF(INDEX(파견수련계획!$T$4:$T$803,$AJ119)="통합수련",INDEX(파견수련계획!$S$4:$S$803,$AJ119),$AE119)))))))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입력",IF(IF(TRIM($J119&amp;"")="",0,SUMPRODUCT((파견수련계획!$Q$4:$Q$803=TRIM($J119&amp;""))*(파견수련계획!$AA$4:$AA$803&lt;&gt;"")))&gt;0,"파견수련계획 입력오류 확인",IF(LEFT($Y119,1)="⚠","서울·구리 15일 판정 불가(양쪽 모두 이상/미만)",IF(IF($AC119="",0,N(INDEX(인턴근무계획!$T$3:$T$402,$AC119)))&gt;0,"인턴계획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IF($B119="","",IFERROR(MATCH($B119,기본자료!$B$2:$B$1001,0),IFERROR(MATCH($B119&amp;"",기본자료!$B$2:$B$1001,0),IFERROR(MATCH(VALUE($B119),기본자료!$B$2:$B$1001,0),""))))</f>
        <v/>
      </c>
      <c r="AC119" s="10">
        <f>IF($B119="","",IFERROR(MATCH($B119,인턴근무계획!$D$3:$D$402,0),IFERROR(MATCH($B119&amp;"",인턴근무계획!$D$3:$D$402,0),IFERROR(MATCH(VALUE($B119),인턴근무계획!$D$3:$D$402,0),""))))</f>
        <v/>
      </c>
      <c r="AD119" s="10">
        <f>IF(OR($AC119="",인턴현황!$G$3=""),"",INDEX(인턴근무계획!$M$3:$R$402,$AC119,인턴현황!$G$3)&amp;"")</f>
        <v/>
      </c>
      <c r="AE119" s="10">
        <f>IF($B119="","",IF($M119&lt;&gt;"",$M119,IF($AF119&lt;&gt;"",IF(LEFT(INDEX(파견수련계획!$R$4:$R$803,$AF119),1)&lt;&gt;"⚠",INDEX(파견수련계획!$R$4:$R$803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$803,0),IFERROR(MATCH(TRIM($J119&amp;"")&amp;"|파견예정",파견수련계획!$Y$4:$Y$803,0),IFERROR(MATCH(TRIM($J119&amp;"")&amp;"|파견종료",파견수련계획!$Y$4:$Y$803,0),""))))</f>
        <v/>
      </c>
      <c r="AG119" s="10">
        <f>IF($B119="","",IF(AND(IF(OR($AC119="",인턴현황!$K$2=""),"",INDEX(인턴근무계획!$M$3:$R$402,$AC119,인턴현황!$K$2)&amp;"")&lt;&gt;"",LEFT(IF(OR($AC119="",인턴현황!$K$2=""),"",INDEX(인턴근무계획!$M$3:$R$402,$AC119,인턴현황!$K$2)&amp;""),1)&lt;&gt;"⚠"),LEFT(IF(OR($AC119="",인턴현황!$K$2=""),"",INDEX(인턴근무계획!$M$3:$R$402,$AC119,인턴현황!$K$2)&amp;""),FIND(" ",IF(OR($AC119="",인턴현황!$K$2=""),"",INDEX(인턴근무계획!$M$3:$R$402,$AC119,인턴현황!$K$2)&amp;""))-1),$AE119))</f>
        <v/>
      </c>
      <c r="AH119" s="17">
        <f>IF($B119="","",IF(TRIM($J119&amp;"")="",0,SUMPRODUCT((파견수련계획!$Q$4:$Q$803=TRIM($J119&amp;""))*(파견수련계획!$S$4:$S$803="서울병원")*파견수련계획!$W$4:$W$803))+IF($AG119="서울병원",MAX(0,DAY(EOMONTH(요약!$B$3,0))-N($X119)),0))</f>
        <v/>
      </c>
      <c r="AI119" s="17">
        <f>IF($B119="","",IF(TRIM($J119&amp;"")="",0,SUMPRODUCT((파견수련계획!$Q$4:$Q$803=TRIM($J119&amp;""))*(파견수련계획!$S$4:$S$803="구리병원")*파견수련계획!$W$4:$W$803))+IF($AG119="구리병원",MAX(0,DAY(EOMONTH(요약!$B$3,0))-N($X119)),0))</f>
        <v/>
      </c>
      <c r="AJ119" s="10">
        <f>IF(OR($B119="",TRIM($J119&amp;"")=""),"",IFERROR(MATCH(TRIM($J119&amp;"")&amp;"|월",파견수련계획!$Z$4:$Z$803,0),""))</f>
        <v/>
      </c>
      <c r="AK119" s="10">
        <f>IF(OR($B119="",TRIM($J119&amp;"")=""),"",IFERROR(MATCH(TRIM($J119&amp;"")&amp;"|다기관",파견수련계획!$AE$4:$AE$803,0),""))</f>
        <v/>
      </c>
      <c r="AL119" s="10">
        <f>IF($AK119="","","다기관 "&amp;TEXT(INDEX(파견수련계획!$AB$4:$AB$803,$AK119),"yyyy-mm-dd")&amp;"~"&amp;IF(ISNUMBER(INDEX(파견수련계획!$AC$4:$AC$803,$AK119)),TEXT(INDEX(파견수련계획!$AC$4:$AC$803,$AK119),"yyyy-mm-dd"),""))</f>
        <v/>
      </c>
    </row>
    <row r="120">
      <c r="A120" s="10">
        <f>IF(B120="","",ROW()-1)</f>
        <v/>
      </c>
      <c r="B120" s="18" t="n"/>
      <c r="C120" s="10">
        <f>IF($AB120="","",IF(INDEX(기본자료!$C$2:$C$1001,$AB120)="","",INDEX(기본자료!$C$2:$C$1001,$AB120)))</f>
        <v/>
      </c>
      <c r="D120" s="10">
        <f>IF($AB120="","",IF(INDEX(기본자료!$J$2:$J$1001,$AB120)="","",INDEX(기본자료!$J$2:$J$1001,$AB120)))</f>
        <v/>
      </c>
      <c r="E120" s="11">
        <f>IF($AB120="","",IF(INDEX(기본자료!$K$2:$K$1001,$AB120)="","",IF(NOT(ISNUMBER(INDEX(기본자료!$K$2:$K$1001,$AB120))),INDEX(기본자료!$K$2:$K$1001,$AB120),IF(INDEX(기본자료!$K$2:$K$1001,$AB120)&lt;1000000,INDEX(기본자료!$K$2:$K$1001,$AB120),IF(AND(INDEX(기본자료!$K$2:$K$1001,$AB120)&gt;=10000101,INT(MOD(INDEX(기본자료!$K$2:$K$1001,$AB120),10000)/100)&gt;=1,INT(MOD(INDEX(기본자료!$K$2:$K$1001,$AB120),10000)/100)&lt;=12,MOD(INDEX(기본자료!$K$2:$K$1001,$AB120),100)&gt;=1,MOD(INDEX(기본자료!$K$2:$K$1001,$AB120),100)&lt;=31),DATE(INT(INDEX(기본자료!$K$2:$K$1001,$AB120)/10000),INT(MOD(INDEX(기본자료!$K$2:$K$1001,$AB120),10000)/100),MOD(INDEX(기본자료!$K$2:$K$1001,$AB120),100)),INDEX(기본자료!$K$2:$K$1001,$AB120)&amp;"")))))</f>
        <v/>
      </c>
      <c r="F120" s="10">
        <f>IF($AB120="","",IF(INDEX(기본자료!$D$2:$D$1001,$AB120)="","",INDEX(기본자료!$D$2:$D$1001,$AB120)))</f>
        <v/>
      </c>
      <c r="G120" s="10">
        <f>IF($AB120="","",IF(INDEX(기본자료!$E$2:$E$1001,$AB120)="","",INDEX(기본자료!$E$2:$E$1001,$AB120)))</f>
        <v/>
      </c>
      <c r="H120" s="10">
        <f>IF($AB120="","",IF(INDEX(기본자료!$F$2:$F$1001,$AB120)="","",INDEX(기본자료!$F$2:$F$1001,$AB120)))</f>
        <v/>
      </c>
      <c r="I120" s="11">
        <f>IF($AB120="","",IF(INDEX(기본자료!$G$2:$G$1001,$AB120)="","",IF(NOT(ISNUMBER(INDEX(기본자료!$G$2:$G$1001,$AB120))),INDEX(기본자료!$G$2:$G$1001,$AB120),IF(INDEX(기본자료!$G$2:$G$1001,$AB120)&lt;1000000,INDEX(기본자료!$G$2:$G$1001,$AB120),IF(AND(INDEX(기본자료!$G$2:$G$1001,$AB120)&gt;=10000101,INT(MOD(INDEX(기본자료!$G$2:$G$1001,$AB120),10000)/100)&gt;=1,INT(MOD(INDEX(기본자료!$G$2:$G$1001,$AB120),10000)/100)&lt;=12,MOD(INDEX(기본자료!$G$2:$G$1001,$AB120),100)&gt;=1,MOD(INDEX(기본자료!$G$2:$G$1001,$AB120),100)&lt;=31),DATE(INT(INDEX(기본자료!$G$2:$G$1001,$AB120)/10000),INT(MOD(INDEX(기본자료!$G$2:$G$1001,$AB120),10000)/100),MOD(INDEX(기본자료!$G$2:$G$1001,$AB120),100)),INDEX(기본자료!$G$2:$G$1001,$AB120)&amp;"")))))</f>
        <v/>
      </c>
      <c r="J120" s="10">
        <f>IF($AB120="","",IF(INDEX(기본자료!$H$2:$H$1001,$AB120)="","",INDEX(기본자료!$H$2:$H$1001,$AB120)))</f>
        <v/>
      </c>
      <c r="K120" s="10">
        <f>IF($AB120="","",IF(INDEX(기본자료!$I$2:$I$1001,$AB120)="","",INDEX(기본자료!$I$2:$I$1001,$AB120)))</f>
        <v/>
      </c>
      <c r="L120" s="10">
        <f>IF($AB120="","",IF(INDEX(기본자료!$A$2:$A$1001,$AB120)="","",INDEX(기본자료!$A$2:$A$1001,$AB120)))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파견수련계획!$AB$4:$AB$803,$AK120),OR(NOT(ISNUMBER(INDEX(파견수련계획!$AC$4:$AC$803,$AK120))),TODAY()&lt;=INDEX(파견수련계획!$AC$4:$AC$803,$AK120))),"다기관",IF($AF120="","",INDEX(파견수련계획!$T$4:$T$803,$AF120))),IF($AF120="","",INDEX(파견수련계획!$T$4:$T$803,$AF120))))</f>
        <v/>
      </c>
      <c r="Q120" s="10">
        <f>IF($AF120="","",INDEX(파견수련계획!$S$4:$S$803,$AF120))</f>
        <v/>
      </c>
      <c r="R120" s="10">
        <f>IF($AF120="","",INDEX(파견수련계획!$U$4:$U$803,$AF120))</f>
        <v/>
      </c>
      <c r="S120" s="11">
        <f>IF($AF120="","",IF(INDEX(파견수련계획!$H$4:$H$803,$AF120)="","",INDEX(파견수련계획!$H$4:$H$803,$AF120)))</f>
        <v/>
      </c>
      <c r="T120" s="11">
        <f>IF($AF120="","",IF(INDEX(파견수련계획!$I$4:$I$803,$AF120)="","",INDEX(파견수련계획!$I$4:$I$803,$AF120)))</f>
        <v/>
      </c>
      <c r="U120" s="10">
        <f>IF($AF120="","",INDEX(파견수련계획!$X$4:$X$803,$AF120))</f>
        <v/>
      </c>
      <c r="V120" s="17">
        <f>IF($AF120="","",INDEX(파견수련계획!$V$4:$V$803,$AF120))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IF(OR($B120="",TRIM($J120&amp;"")=""),"",SUMPRODUCT((파견수련계획!$Q$4:$Q$803=TRIM($J120&amp;""))*파견수련계획!$W$4:$W$803))</f>
        <v/>
      </c>
      <c r="Y120" s="10">
        <f>IF($B120="","",IF($AG120="","",IF(IF(TRIM($J120&amp;"")="",0,SUMPRODUCT((파견수련계획!$Q$4:$Q$803=TRIM($J120&amp;""))*파견수련계획!$AD$4:$AD$803))&gt;0,$AE120,IF(N($X120)&lt;=0,$AG120,IF($AH120+$AI120=DAY(EOMONTH(요약!$B$3,0)),IF(AND($AH120&gt;=요약!$E$3,$AI120&lt;요약!$E$3),"서울병원",IF(AND($AI120&gt;=요약!$E$3,$AH120&lt;요약!$E$3),"구리병원","⚠15일 판정불가(서울 "&amp;$AH120&amp;"일/구리 "&amp;$AI120&amp;"일)")),IF($AJ120="",$AE120,IF(INDEX(파견수련계획!$T$4:$T$803,$AJ120)="통합수련",INDEX(파견수련계획!$S$4:$S$803,$AJ120),$AE120)))))))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입력",IF(IF(TRIM($J120&amp;"")="",0,SUMPRODUCT((파견수련계획!$Q$4:$Q$803=TRIM($J120&amp;""))*(파견수련계획!$AA$4:$AA$803&lt;&gt;"")))&gt;0,"파견수련계획 입력오류 확인",IF(LEFT($Y120,1)="⚠","서울·구리 15일 판정 불가(양쪽 모두 이상/미만)",IF(IF($AC120="",0,N(INDEX(인턴근무계획!$T$3:$T$402,$AC120)))&gt;0,"인턴계획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IF($B120="","",IFERROR(MATCH($B120,기본자료!$B$2:$B$1001,0),IFERROR(MATCH($B120&amp;"",기본자료!$B$2:$B$1001,0),IFERROR(MATCH(VALUE($B120),기본자료!$B$2:$B$1001,0),""))))</f>
        <v/>
      </c>
      <c r="AC120" s="10">
        <f>IF($B120="","",IFERROR(MATCH($B120,인턴근무계획!$D$3:$D$402,0),IFERROR(MATCH($B120&amp;"",인턴근무계획!$D$3:$D$402,0),IFERROR(MATCH(VALUE($B120),인턴근무계획!$D$3:$D$402,0),""))))</f>
        <v/>
      </c>
      <c r="AD120" s="10">
        <f>IF(OR($AC120="",인턴현황!$G$3=""),"",INDEX(인턴근무계획!$M$3:$R$402,$AC120,인턴현황!$G$3)&amp;"")</f>
        <v/>
      </c>
      <c r="AE120" s="10">
        <f>IF($B120="","",IF($M120&lt;&gt;"",$M120,IF($AF120&lt;&gt;"",IF(LEFT(INDEX(파견수련계획!$R$4:$R$803,$AF120),1)&lt;&gt;"⚠",INDEX(파견수련계획!$R$4:$R$803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$803,0),IFERROR(MATCH(TRIM($J120&amp;"")&amp;"|파견예정",파견수련계획!$Y$4:$Y$803,0),IFERROR(MATCH(TRIM($J120&amp;"")&amp;"|파견종료",파견수련계획!$Y$4:$Y$803,0),""))))</f>
        <v/>
      </c>
      <c r="AG120" s="10">
        <f>IF($B120="","",IF(AND(IF(OR($AC120="",인턴현황!$K$2=""),"",INDEX(인턴근무계획!$M$3:$R$402,$AC120,인턴현황!$K$2)&amp;"")&lt;&gt;"",LEFT(IF(OR($AC120="",인턴현황!$K$2=""),"",INDEX(인턴근무계획!$M$3:$R$402,$AC120,인턴현황!$K$2)&amp;""),1)&lt;&gt;"⚠"),LEFT(IF(OR($AC120="",인턴현황!$K$2=""),"",INDEX(인턴근무계획!$M$3:$R$402,$AC120,인턴현황!$K$2)&amp;""),FIND(" ",IF(OR($AC120="",인턴현황!$K$2=""),"",INDEX(인턴근무계획!$M$3:$R$402,$AC120,인턴현황!$K$2)&amp;""))-1),$AE120))</f>
        <v/>
      </c>
      <c r="AH120" s="17">
        <f>IF($B120="","",IF(TRIM($J120&amp;"")="",0,SUMPRODUCT((파견수련계획!$Q$4:$Q$803=TRIM($J120&amp;""))*(파견수련계획!$S$4:$S$803="서울병원")*파견수련계획!$W$4:$W$803))+IF($AG120="서울병원",MAX(0,DAY(EOMONTH(요약!$B$3,0))-N($X120)),0))</f>
        <v/>
      </c>
      <c r="AI120" s="17">
        <f>IF($B120="","",IF(TRIM($J120&amp;"")="",0,SUMPRODUCT((파견수련계획!$Q$4:$Q$803=TRIM($J120&amp;""))*(파견수련계획!$S$4:$S$803="구리병원")*파견수련계획!$W$4:$W$803))+IF($AG120="구리병원",MAX(0,DAY(EOMONTH(요약!$B$3,0))-N($X120)),0))</f>
        <v/>
      </c>
      <c r="AJ120" s="10">
        <f>IF(OR($B120="",TRIM($J120&amp;"")=""),"",IFERROR(MATCH(TRIM($J120&amp;"")&amp;"|월",파견수련계획!$Z$4:$Z$803,0),""))</f>
        <v/>
      </c>
      <c r="AK120" s="10">
        <f>IF(OR($B120="",TRIM($J120&amp;"")=""),"",IFERROR(MATCH(TRIM($J120&amp;"")&amp;"|다기관",파견수련계획!$AE$4:$AE$803,0),""))</f>
        <v/>
      </c>
      <c r="AL120" s="10">
        <f>IF($AK120="","","다기관 "&amp;TEXT(INDEX(파견수련계획!$AB$4:$AB$803,$AK120),"yyyy-mm-dd")&amp;"~"&amp;IF(ISNUMBER(INDEX(파견수련계획!$AC$4:$AC$803,$AK120)),TEXT(INDEX(파견수련계획!$AC$4:$AC$803,$AK120),"yyyy-mm-dd"),""))</f>
        <v/>
      </c>
    </row>
    <row r="121">
      <c r="A121" s="10">
        <f>IF(B121="","",ROW()-1)</f>
        <v/>
      </c>
      <c r="B121" s="18" t="n"/>
      <c r="C121" s="10">
        <f>IF($AB121="","",IF(INDEX(기본자료!$C$2:$C$1001,$AB121)="","",INDEX(기본자료!$C$2:$C$1001,$AB121)))</f>
        <v/>
      </c>
      <c r="D121" s="10">
        <f>IF($AB121="","",IF(INDEX(기본자료!$J$2:$J$1001,$AB121)="","",INDEX(기본자료!$J$2:$J$1001,$AB121)))</f>
        <v/>
      </c>
      <c r="E121" s="11">
        <f>IF($AB121="","",IF(INDEX(기본자료!$K$2:$K$1001,$AB121)="","",IF(NOT(ISNUMBER(INDEX(기본자료!$K$2:$K$1001,$AB121))),INDEX(기본자료!$K$2:$K$1001,$AB121),IF(INDEX(기본자료!$K$2:$K$1001,$AB121)&lt;1000000,INDEX(기본자료!$K$2:$K$1001,$AB121),IF(AND(INDEX(기본자료!$K$2:$K$1001,$AB121)&gt;=10000101,INT(MOD(INDEX(기본자료!$K$2:$K$1001,$AB121),10000)/100)&gt;=1,INT(MOD(INDEX(기본자료!$K$2:$K$1001,$AB121),10000)/100)&lt;=12,MOD(INDEX(기본자료!$K$2:$K$1001,$AB121),100)&gt;=1,MOD(INDEX(기본자료!$K$2:$K$1001,$AB121),100)&lt;=31),DATE(INT(INDEX(기본자료!$K$2:$K$1001,$AB121)/10000),INT(MOD(INDEX(기본자료!$K$2:$K$1001,$AB121),10000)/100),MOD(INDEX(기본자료!$K$2:$K$1001,$AB121),100)),INDEX(기본자료!$K$2:$K$1001,$AB121)&amp;"")))))</f>
        <v/>
      </c>
      <c r="F121" s="10">
        <f>IF($AB121="","",IF(INDEX(기본자료!$D$2:$D$1001,$AB121)="","",INDEX(기본자료!$D$2:$D$1001,$AB121)))</f>
        <v/>
      </c>
      <c r="G121" s="10">
        <f>IF($AB121="","",IF(INDEX(기본자료!$E$2:$E$1001,$AB121)="","",INDEX(기본자료!$E$2:$E$1001,$AB121)))</f>
        <v/>
      </c>
      <c r="H121" s="10">
        <f>IF($AB121="","",IF(INDEX(기본자료!$F$2:$F$1001,$AB121)="","",INDEX(기본자료!$F$2:$F$1001,$AB121)))</f>
        <v/>
      </c>
      <c r="I121" s="11">
        <f>IF($AB121="","",IF(INDEX(기본자료!$G$2:$G$1001,$AB121)="","",IF(NOT(ISNUMBER(INDEX(기본자료!$G$2:$G$1001,$AB121))),INDEX(기본자료!$G$2:$G$1001,$AB121),IF(INDEX(기본자료!$G$2:$G$1001,$AB121)&lt;1000000,INDEX(기본자료!$G$2:$G$1001,$AB121),IF(AND(INDEX(기본자료!$G$2:$G$1001,$AB121)&gt;=10000101,INT(MOD(INDEX(기본자료!$G$2:$G$1001,$AB121),10000)/100)&gt;=1,INT(MOD(INDEX(기본자료!$G$2:$G$1001,$AB121),10000)/100)&lt;=12,MOD(INDEX(기본자료!$G$2:$G$1001,$AB121),100)&gt;=1,MOD(INDEX(기본자료!$G$2:$G$1001,$AB121),100)&lt;=31),DATE(INT(INDEX(기본자료!$G$2:$G$1001,$AB121)/10000),INT(MOD(INDEX(기본자료!$G$2:$G$1001,$AB121),10000)/100),MOD(INDEX(기본자료!$G$2:$G$1001,$AB121),100)),INDEX(기본자료!$G$2:$G$1001,$AB121)&amp;"")))))</f>
        <v/>
      </c>
      <c r="J121" s="10">
        <f>IF($AB121="","",IF(INDEX(기본자료!$H$2:$H$1001,$AB121)="","",INDEX(기본자료!$H$2:$H$1001,$AB121)))</f>
        <v/>
      </c>
      <c r="K121" s="10">
        <f>IF($AB121="","",IF(INDEX(기본자료!$I$2:$I$1001,$AB121)="","",INDEX(기본자료!$I$2:$I$1001,$AB121)))</f>
        <v/>
      </c>
      <c r="L121" s="10">
        <f>IF($AB121="","",IF(INDEX(기본자료!$A$2:$A$1001,$AB121)="","",INDEX(기본자료!$A$2:$A$1001,$AB121)))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파견수련계획!$AB$4:$AB$803,$AK121),OR(NOT(ISNUMBER(INDEX(파견수련계획!$AC$4:$AC$803,$AK121))),TODAY()&lt;=INDEX(파견수련계획!$AC$4:$AC$803,$AK121))),"다기관",IF($AF121="","",INDEX(파견수련계획!$T$4:$T$803,$AF121))),IF($AF121="","",INDEX(파견수련계획!$T$4:$T$803,$AF121))))</f>
        <v/>
      </c>
      <c r="Q121" s="10">
        <f>IF($AF121="","",INDEX(파견수련계획!$S$4:$S$803,$AF121))</f>
        <v/>
      </c>
      <c r="R121" s="10">
        <f>IF($AF121="","",INDEX(파견수련계획!$U$4:$U$803,$AF121))</f>
        <v/>
      </c>
      <c r="S121" s="11">
        <f>IF($AF121="","",IF(INDEX(파견수련계획!$H$4:$H$803,$AF121)="","",INDEX(파견수련계획!$H$4:$H$803,$AF121)))</f>
        <v/>
      </c>
      <c r="T121" s="11">
        <f>IF($AF121="","",IF(INDEX(파견수련계획!$I$4:$I$803,$AF121)="","",INDEX(파견수련계획!$I$4:$I$803,$AF121)))</f>
        <v/>
      </c>
      <c r="U121" s="10">
        <f>IF($AF121="","",INDEX(파견수련계획!$X$4:$X$803,$AF121))</f>
        <v/>
      </c>
      <c r="V121" s="17">
        <f>IF($AF121="","",INDEX(파견수련계획!$V$4:$V$803,$AF121))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IF(OR($B121="",TRIM($J121&amp;"")=""),"",SUMPRODUCT((파견수련계획!$Q$4:$Q$803=TRIM($J121&amp;""))*파견수련계획!$W$4:$W$803))</f>
        <v/>
      </c>
      <c r="Y121" s="10">
        <f>IF($B121="","",IF($AG121="","",IF(IF(TRIM($J121&amp;"")="",0,SUMPRODUCT((파견수련계획!$Q$4:$Q$803=TRIM($J121&amp;""))*파견수련계획!$AD$4:$AD$803))&gt;0,$AE121,IF(N($X121)&lt;=0,$AG121,IF($AH121+$AI121=DAY(EOMONTH(요약!$B$3,0)),IF(AND($AH121&gt;=요약!$E$3,$AI121&lt;요약!$E$3),"서울병원",IF(AND($AI121&gt;=요약!$E$3,$AH121&lt;요약!$E$3),"구리병원","⚠15일 판정불가(서울 "&amp;$AH121&amp;"일/구리 "&amp;$AI121&amp;"일)")),IF($AJ121="",$AE121,IF(INDEX(파견수련계획!$T$4:$T$803,$AJ121)="통합수련",INDEX(파견수련계획!$S$4:$S$803,$AJ121),$AE121)))))))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입력",IF(IF(TRIM($J121&amp;"")="",0,SUMPRODUCT((파견수련계획!$Q$4:$Q$803=TRIM($J121&amp;""))*(파견수련계획!$AA$4:$AA$803&lt;&gt;"")))&gt;0,"파견수련계획 입력오류 확인",IF(LEFT($Y121,1)="⚠","서울·구리 15일 판정 불가(양쪽 모두 이상/미만)",IF(IF($AC121="",0,N(INDEX(인턴근무계획!$T$3:$T$402,$AC121)))&gt;0,"인턴계획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IF($B121="","",IFERROR(MATCH($B121,기본자료!$B$2:$B$1001,0),IFERROR(MATCH($B121&amp;"",기본자료!$B$2:$B$1001,0),IFERROR(MATCH(VALUE($B121),기본자료!$B$2:$B$1001,0),""))))</f>
        <v/>
      </c>
      <c r="AC121" s="10">
        <f>IF($B121="","",IFERROR(MATCH($B121,인턴근무계획!$D$3:$D$402,0),IFERROR(MATCH($B121&amp;"",인턴근무계획!$D$3:$D$402,0),IFERROR(MATCH(VALUE($B121),인턴근무계획!$D$3:$D$402,0),""))))</f>
        <v/>
      </c>
      <c r="AD121" s="10">
        <f>IF(OR($AC121="",인턴현황!$G$3=""),"",INDEX(인턴근무계획!$M$3:$R$402,$AC121,인턴현황!$G$3)&amp;"")</f>
        <v/>
      </c>
      <c r="AE121" s="10">
        <f>IF($B121="","",IF($M121&lt;&gt;"",$M121,IF($AF121&lt;&gt;"",IF(LEFT(INDEX(파견수련계획!$R$4:$R$803,$AF121),1)&lt;&gt;"⚠",INDEX(파견수련계획!$R$4:$R$803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$803,0),IFERROR(MATCH(TRIM($J121&amp;"")&amp;"|파견예정",파견수련계획!$Y$4:$Y$803,0),IFERROR(MATCH(TRIM($J121&amp;"")&amp;"|파견종료",파견수련계획!$Y$4:$Y$803,0),""))))</f>
        <v/>
      </c>
      <c r="AG121" s="10">
        <f>IF($B121="","",IF(AND(IF(OR($AC121="",인턴현황!$K$2=""),"",INDEX(인턴근무계획!$M$3:$R$402,$AC121,인턴현황!$K$2)&amp;"")&lt;&gt;"",LEFT(IF(OR($AC121="",인턴현황!$K$2=""),"",INDEX(인턴근무계획!$M$3:$R$402,$AC121,인턴현황!$K$2)&amp;""),1)&lt;&gt;"⚠"),LEFT(IF(OR($AC121="",인턴현황!$K$2=""),"",INDEX(인턴근무계획!$M$3:$R$402,$AC121,인턴현황!$K$2)&amp;""),FIND(" ",IF(OR($AC121="",인턴현황!$K$2=""),"",INDEX(인턴근무계획!$M$3:$R$402,$AC121,인턴현황!$K$2)&amp;""))-1),$AE121))</f>
        <v/>
      </c>
      <c r="AH121" s="17">
        <f>IF($B121="","",IF(TRIM($J121&amp;"")="",0,SUMPRODUCT((파견수련계획!$Q$4:$Q$803=TRIM($J121&amp;""))*(파견수련계획!$S$4:$S$803="서울병원")*파견수련계획!$W$4:$W$803))+IF($AG121="서울병원",MAX(0,DAY(EOMONTH(요약!$B$3,0))-N($X121)),0))</f>
        <v/>
      </c>
      <c r="AI121" s="17">
        <f>IF($B121="","",IF(TRIM($J121&amp;"")="",0,SUMPRODUCT((파견수련계획!$Q$4:$Q$803=TRIM($J121&amp;""))*(파견수련계획!$S$4:$S$803="구리병원")*파견수련계획!$W$4:$W$803))+IF($AG121="구리병원",MAX(0,DAY(EOMONTH(요약!$B$3,0))-N($X121)),0))</f>
        <v/>
      </c>
      <c r="AJ121" s="10">
        <f>IF(OR($B121="",TRIM($J121&amp;"")=""),"",IFERROR(MATCH(TRIM($J121&amp;"")&amp;"|월",파견수련계획!$Z$4:$Z$803,0),""))</f>
        <v/>
      </c>
      <c r="AK121" s="10">
        <f>IF(OR($B121="",TRIM($J121&amp;"")=""),"",IFERROR(MATCH(TRIM($J121&amp;"")&amp;"|다기관",파견수련계획!$AE$4:$AE$803,0),""))</f>
        <v/>
      </c>
      <c r="AL121" s="10">
        <f>IF($AK121="","","다기관 "&amp;TEXT(INDEX(파견수련계획!$AB$4:$AB$803,$AK121),"yyyy-mm-dd")&amp;"~"&amp;IF(ISNUMBER(INDEX(파견수련계획!$AC$4:$AC$803,$AK121)),TEXT(INDEX(파견수련계획!$AC$4:$AC$803,$AK121),"yyyy-mm-dd"),""))</f>
        <v/>
      </c>
    </row>
    <row r="122">
      <c r="A122" s="10">
        <f>IF(B122="","",ROW()-1)</f>
        <v/>
      </c>
      <c r="B122" s="18" t="n"/>
      <c r="C122" s="10">
        <f>IF($AB122="","",IF(INDEX(기본자료!$C$2:$C$1001,$AB122)="","",INDEX(기본자료!$C$2:$C$1001,$AB122)))</f>
        <v/>
      </c>
      <c r="D122" s="10">
        <f>IF($AB122="","",IF(INDEX(기본자료!$J$2:$J$1001,$AB122)="","",INDEX(기본자료!$J$2:$J$1001,$AB122)))</f>
        <v/>
      </c>
      <c r="E122" s="11">
        <f>IF($AB122="","",IF(INDEX(기본자료!$K$2:$K$1001,$AB122)="","",IF(NOT(ISNUMBER(INDEX(기본자료!$K$2:$K$1001,$AB122))),INDEX(기본자료!$K$2:$K$1001,$AB122),IF(INDEX(기본자료!$K$2:$K$1001,$AB122)&lt;1000000,INDEX(기본자료!$K$2:$K$1001,$AB122),IF(AND(INDEX(기본자료!$K$2:$K$1001,$AB122)&gt;=10000101,INT(MOD(INDEX(기본자료!$K$2:$K$1001,$AB122),10000)/100)&gt;=1,INT(MOD(INDEX(기본자료!$K$2:$K$1001,$AB122),10000)/100)&lt;=12,MOD(INDEX(기본자료!$K$2:$K$1001,$AB122),100)&gt;=1,MOD(INDEX(기본자료!$K$2:$K$1001,$AB122),100)&lt;=31),DATE(INT(INDEX(기본자료!$K$2:$K$1001,$AB122)/10000),INT(MOD(INDEX(기본자료!$K$2:$K$1001,$AB122),10000)/100),MOD(INDEX(기본자료!$K$2:$K$1001,$AB122),100)),INDEX(기본자료!$K$2:$K$1001,$AB122)&amp;"")))))</f>
        <v/>
      </c>
      <c r="F122" s="10">
        <f>IF($AB122="","",IF(INDEX(기본자료!$D$2:$D$1001,$AB122)="","",INDEX(기본자료!$D$2:$D$1001,$AB122)))</f>
        <v/>
      </c>
      <c r="G122" s="10">
        <f>IF($AB122="","",IF(INDEX(기본자료!$E$2:$E$1001,$AB122)="","",INDEX(기본자료!$E$2:$E$1001,$AB122)))</f>
        <v/>
      </c>
      <c r="H122" s="10">
        <f>IF($AB122="","",IF(INDEX(기본자료!$F$2:$F$1001,$AB122)="","",INDEX(기본자료!$F$2:$F$1001,$AB122)))</f>
        <v/>
      </c>
      <c r="I122" s="11">
        <f>IF($AB122="","",IF(INDEX(기본자료!$G$2:$G$1001,$AB122)="","",IF(NOT(ISNUMBER(INDEX(기본자료!$G$2:$G$1001,$AB122))),INDEX(기본자료!$G$2:$G$1001,$AB122),IF(INDEX(기본자료!$G$2:$G$1001,$AB122)&lt;1000000,INDEX(기본자료!$G$2:$G$1001,$AB122),IF(AND(INDEX(기본자료!$G$2:$G$1001,$AB122)&gt;=10000101,INT(MOD(INDEX(기본자료!$G$2:$G$1001,$AB122),10000)/100)&gt;=1,INT(MOD(INDEX(기본자료!$G$2:$G$1001,$AB122),10000)/100)&lt;=12,MOD(INDEX(기본자료!$G$2:$G$1001,$AB122),100)&gt;=1,MOD(INDEX(기본자료!$G$2:$G$1001,$AB122),100)&lt;=31),DATE(INT(INDEX(기본자료!$G$2:$G$1001,$AB122)/10000),INT(MOD(INDEX(기본자료!$G$2:$G$1001,$AB122),10000)/100),MOD(INDEX(기본자료!$G$2:$G$1001,$AB122),100)),INDEX(기본자료!$G$2:$G$1001,$AB122)&amp;"")))))</f>
        <v/>
      </c>
      <c r="J122" s="10">
        <f>IF($AB122="","",IF(INDEX(기본자료!$H$2:$H$1001,$AB122)="","",INDEX(기본자료!$H$2:$H$1001,$AB122)))</f>
        <v/>
      </c>
      <c r="K122" s="10">
        <f>IF($AB122="","",IF(INDEX(기본자료!$I$2:$I$1001,$AB122)="","",INDEX(기본자료!$I$2:$I$1001,$AB122)))</f>
        <v/>
      </c>
      <c r="L122" s="10">
        <f>IF($AB122="","",IF(INDEX(기본자료!$A$2:$A$1001,$AB122)="","",INDEX(기본자료!$A$2:$A$1001,$AB122)))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파견수련계획!$AB$4:$AB$803,$AK122),OR(NOT(ISNUMBER(INDEX(파견수련계획!$AC$4:$AC$803,$AK122))),TODAY()&lt;=INDEX(파견수련계획!$AC$4:$AC$803,$AK122))),"다기관",IF($AF122="","",INDEX(파견수련계획!$T$4:$T$803,$AF122))),IF($AF122="","",INDEX(파견수련계획!$T$4:$T$803,$AF122))))</f>
        <v/>
      </c>
      <c r="Q122" s="10">
        <f>IF($AF122="","",INDEX(파견수련계획!$S$4:$S$803,$AF122))</f>
        <v/>
      </c>
      <c r="R122" s="10">
        <f>IF($AF122="","",INDEX(파견수련계획!$U$4:$U$803,$AF122))</f>
        <v/>
      </c>
      <c r="S122" s="11">
        <f>IF($AF122="","",IF(INDEX(파견수련계획!$H$4:$H$803,$AF122)="","",INDEX(파견수련계획!$H$4:$H$803,$AF122)))</f>
        <v/>
      </c>
      <c r="T122" s="11">
        <f>IF($AF122="","",IF(INDEX(파견수련계획!$I$4:$I$803,$AF122)="","",INDEX(파견수련계획!$I$4:$I$803,$AF122)))</f>
        <v/>
      </c>
      <c r="U122" s="10">
        <f>IF($AF122="","",INDEX(파견수련계획!$X$4:$X$803,$AF122))</f>
        <v/>
      </c>
      <c r="V122" s="17">
        <f>IF($AF122="","",INDEX(파견수련계획!$V$4:$V$803,$AF122))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IF(OR($B122="",TRIM($J122&amp;"")=""),"",SUMPRODUCT((파견수련계획!$Q$4:$Q$803=TRIM($J122&amp;""))*파견수련계획!$W$4:$W$803))</f>
        <v/>
      </c>
      <c r="Y122" s="10">
        <f>IF($B122="","",IF($AG122="","",IF(IF(TRIM($J122&amp;"")="",0,SUMPRODUCT((파견수련계획!$Q$4:$Q$803=TRIM($J122&amp;""))*파견수련계획!$AD$4:$AD$803))&gt;0,$AE122,IF(N($X122)&lt;=0,$AG122,IF($AH122+$AI122=DAY(EOMONTH(요약!$B$3,0)),IF(AND($AH122&gt;=요약!$E$3,$AI122&lt;요약!$E$3),"서울병원",IF(AND($AI122&gt;=요약!$E$3,$AH122&lt;요약!$E$3),"구리병원","⚠15일 판정불가(서울 "&amp;$AH122&amp;"일/구리 "&amp;$AI122&amp;"일)")),IF($AJ122="",$AE122,IF(INDEX(파견수련계획!$T$4:$T$803,$AJ122)="통합수련",INDEX(파견수련계획!$S$4:$S$803,$AJ122),$AE122)))))))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입력",IF(IF(TRIM($J122&amp;"")="",0,SUMPRODUCT((파견수련계획!$Q$4:$Q$803=TRIM($J122&amp;""))*(파견수련계획!$AA$4:$AA$803&lt;&gt;"")))&gt;0,"파견수련계획 입력오류 확인",IF(LEFT($Y122,1)="⚠","서울·구리 15일 판정 불가(양쪽 모두 이상/미만)",IF(IF($AC122="",0,N(INDEX(인턴근무계획!$T$3:$T$402,$AC122)))&gt;0,"인턴계획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IF($B122="","",IFERROR(MATCH($B122,기본자료!$B$2:$B$1001,0),IFERROR(MATCH($B122&amp;"",기본자료!$B$2:$B$1001,0),IFERROR(MATCH(VALUE($B122),기본자료!$B$2:$B$1001,0),""))))</f>
        <v/>
      </c>
      <c r="AC122" s="10">
        <f>IF($B122="","",IFERROR(MATCH($B122,인턴근무계획!$D$3:$D$402,0),IFERROR(MATCH($B122&amp;"",인턴근무계획!$D$3:$D$402,0),IFERROR(MATCH(VALUE($B122),인턴근무계획!$D$3:$D$402,0),""))))</f>
        <v/>
      </c>
      <c r="AD122" s="10">
        <f>IF(OR($AC122="",인턴현황!$G$3=""),"",INDEX(인턴근무계획!$M$3:$R$402,$AC122,인턴현황!$G$3)&amp;"")</f>
        <v/>
      </c>
      <c r="AE122" s="10">
        <f>IF($B122="","",IF($M122&lt;&gt;"",$M122,IF($AF122&lt;&gt;"",IF(LEFT(INDEX(파견수련계획!$R$4:$R$803,$AF122),1)&lt;&gt;"⚠",INDEX(파견수련계획!$R$4:$R$803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$803,0),IFERROR(MATCH(TRIM($J122&amp;"")&amp;"|파견예정",파견수련계획!$Y$4:$Y$803,0),IFERROR(MATCH(TRIM($J122&amp;"")&amp;"|파견종료",파견수련계획!$Y$4:$Y$803,0),""))))</f>
        <v/>
      </c>
      <c r="AG122" s="10">
        <f>IF($B122="","",IF(AND(IF(OR($AC122="",인턴현황!$K$2=""),"",INDEX(인턴근무계획!$M$3:$R$402,$AC122,인턴현황!$K$2)&amp;"")&lt;&gt;"",LEFT(IF(OR($AC122="",인턴현황!$K$2=""),"",INDEX(인턴근무계획!$M$3:$R$402,$AC122,인턴현황!$K$2)&amp;""),1)&lt;&gt;"⚠"),LEFT(IF(OR($AC122="",인턴현황!$K$2=""),"",INDEX(인턴근무계획!$M$3:$R$402,$AC122,인턴현황!$K$2)&amp;""),FIND(" ",IF(OR($AC122="",인턴현황!$K$2=""),"",INDEX(인턴근무계획!$M$3:$R$402,$AC122,인턴현황!$K$2)&amp;""))-1),$AE122))</f>
        <v/>
      </c>
      <c r="AH122" s="17">
        <f>IF($B122="","",IF(TRIM($J122&amp;"")="",0,SUMPRODUCT((파견수련계획!$Q$4:$Q$803=TRIM($J122&amp;""))*(파견수련계획!$S$4:$S$803="서울병원")*파견수련계획!$W$4:$W$803))+IF($AG122="서울병원",MAX(0,DAY(EOMONTH(요약!$B$3,0))-N($X122)),0))</f>
        <v/>
      </c>
      <c r="AI122" s="17">
        <f>IF($B122="","",IF(TRIM($J122&amp;"")="",0,SUMPRODUCT((파견수련계획!$Q$4:$Q$803=TRIM($J122&amp;""))*(파견수련계획!$S$4:$S$803="구리병원")*파견수련계획!$W$4:$W$803))+IF($AG122="구리병원",MAX(0,DAY(EOMONTH(요약!$B$3,0))-N($X122)),0))</f>
        <v/>
      </c>
      <c r="AJ122" s="10">
        <f>IF(OR($B122="",TRIM($J122&amp;"")=""),"",IFERROR(MATCH(TRIM($J122&amp;"")&amp;"|월",파견수련계획!$Z$4:$Z$803,0),""))</f>
        <v/>
      </c>
      <c r="AK122" s="10">
        <f>IF(OR($B122="",TRIM($J122&amp;"")=""),"",IFERROR(MATCH(TRIM($J122&amp;"")&amp;"|다기관",파견수련계획!$AE$4:$AE$803,0),""))</f>
        <v/>
      </c>
      <c r="AL122" s="10">
        <f>IF($AK122="","","다기관 "&amp;TEXT(INDEX(파견수련계획!$AB$4:$AB$803,$AK122),"yyyy-mm-dd")&amp;"~"&amp;IF(ISNUMBER(INDEX(파견수련계획!$AC$4:$AC$803,$AK122)),TEXT(INDEX(파견수련계획!$AC$4:$AC$803,$AK122),"yyyy-mm-dd"),""))</f>
        <v/>
      </c>
    </row>
    <row r="123">
      <c r="A123" s="10">
        <f>IF(B123="","",ROW()-1)</f>
        <v/>
      </c>
      <c r="B123" s="18" t="n"/>
      <c r="C123" s="10">
        <f>IF($AB123="","",IF(INDEX(기본자료!$C$2:$C$1001,$AB123)="","",INDEX(기본자료!$C$2:$C$1001,$AB123)))</f>
        <v/>
      </c>
      <c r="D123" s="10">
        <f>IF($AB123="","",IF(INDEX(기본자료!$J$2:$J$1001,$AB123)="","",INDEX(기본자료!$J$2:$J$1001,$AB123)))</f>
        <v/>
      </c>
      <c r="E123" s="11">
        <f>IF($AB123="","",IF(INDEX(기본자료!$K$2:$K$1001,$AB123)="","",IF(NOT(ISNUMBER(INDEX(기본자료!$K$2:$K$1001,$AB123))),INDEX(기본자료!$K$2:$K$1001,$AB123),IF(INDEX(기본자료!$K$2:$K$1001,$AB123)&lt;1000000,INDEX(기본자료!$K$2:$K$1001,$AB123),IF(AND(INDEX(기본자료!$K$2:$K$1001,$AB123)&gt;=10000101,INT(MOD(INDEX(기본자료!$K$2:$K$1001,$AB123),10000)/100)&gt;=1,INT(MOD(INDEX(기본자료!$K$2:$K$1001,$AB123),10000)/100)&lt;=12,MOD(INDEX(기본자료!$K$2:$K$1001,$AB123),100)&gt;=1,MOD(INDEX(기본자료!$K$2:$K$1001,$AB123),100)&lt;=31),DATE(INT(INDEX(기본자료!$K$2:$K$1001,$AB123)/10000),INT(MOD(INDEX(기본자료!$K$2:$K$1001,$AB123),10000)/100),MOD(INDEX(기본자료!$K$2:$K$1001,$AB123),100)),INDEX(기본자료!$K$2:$K$1001,$AB123)&amp;"")))))</f>
        <v/>
      </c>
      <c r="F123" s="10">
        <f>IF($AB123="","",IF(INDEX(기본자료!$D$2:$D$1001,$AB123)="","",INDEX(기본자료!$D$2:$D$1001,$AB123)))</f>
        <v/>
      </c>
      <c r="G123" s="10">
        <f>IF($AB123="","",IF(INDEX(기본자료!$E$2:$E$1001,$AB123)="","",INDEX(기본자료!$E$2:$E$1001,$AB123)))</f>
        <v/>
      </c>
      <c r="H123" s="10">
        <f>IF($AB123="","",IF(INDEX(기본자료!$F$2:$F$1001,$AB123)="","",INDEX(기본자료!$F$2:$F$1001,$AB123)))</f>
        <v/>
      </c>
      <c r="I123" s="11">
        <f>IF($AB123="","",IF(INDEX(기본자료!$G$2:$G$1001,$AB123)="","",IF(NOT(ISNUMBER(INDEX(기본자료!$G$2:$G$1001,$AB123))),INDEX(기본자료!$G$2:$G$1001,$AB123),IF(INDEX(기본자료!$G$2:$G$1001,$AB123)&lt;1000000,INDEX(기본자료!$G$2:$G$1001,$AB123),IF(AND(INDEX(기본자료!$G$2:$G$1001,$AB123)&gt;=10000101,INT(MOD(INDEX(기본자료!$G$2:$G$1001,$AB123),10000)/100)&gt;=1,INT(MOD(INDEX(기본자료!$G$2:$G$1001,$AB123),10000)/100)&lt;=12,MOD(INDEX(기본자료!$G$2:$G$1001,$AB123),100)&gt;=1,MOD(INDEX(기본자료!$G$2:$G$1001,$AB123),100)&lt;=31),DATE(INT(INDEX(기본자료!$G$2:$G$1001,$AB123)/10000),INT(MOD(INDEX(기본자료!$G$2:$G$1001,$AB123),10000)/100),MOD(INDEX(기본자료!$G$2:$G$1001,$AB123),100)),INDEX(기본자료!$G$2:$G$1001,$AB123)&amp;"")))))</f>
        <v/>
      </c>
      <c r="J123" s="10">
        <f>IF($AB123="","",IF(INDEX(기본자료!$H$2:$H$1001,$AB123)="","",INDEX(기본자료!$H$2:$H$1001,$AB123)))</f>
        <v/>
      </c>
      <c r="K123" s="10">
        <f>IF($AB123="","",IF(INDEX(기본자료!$I$2:$I$1001,$AB123)="","",INDEX(기본자료!$I$2:$I$1001,$AB123)))</f>
        <v/>
      </c>
      <c r="L123" s="10">
        <f>IF($AB123="","",IF(INDEX(기본자료!$A$2:$A$1001,$AB123)="","",INDEX(기본자료!$A$2:$A$1001,$AB123)))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파견수련계획!$AB$4:$AB$803,$AK123),OR(NOT(ISNUMBER(INDEX(파견수련계획!$AC$4:$AC$803,$AK123))),TODAY()&lt;=INDEX(파견수련계획!$AC$4:$AC$803,$AK123))),"다기관",IF($AF123="","",INDEX(파견수련계획!$T$4:$T$803,$AF123))),IF($AF123="","",INDEX(파견수련계획!$T$4:$T$803,$AF123))))</f>
        <v/>
      </c>
      <c r="Q123" s="10">
        <f>IF($AF123="","",INDEX(파견수련계획!$S$4:$S$803,$AF123))</f>
        <v/>
      </c>
      <c r="R123" s="10">
        <f>IF($AF123="","",INDEX(파견수련계획!$U$4:$U$803,$AF123))</f>
        <v/>
      </c>
      <c r="S123" s="11">
        <f>IF($AF123="","",IF(INDEX(파견수련계획!$H$4:$H$803,$AF123)="","",INDEX(파견수련계획!$H$4:$H$803,$AF123)))</f>
        <v/>
      </c>
      <c r="T123" s="11">
        <f>IF($AF123="","",IF(INDEX(파견수련계획!$I$4:$I$803,$AF123)="","",INDEX(파견수련계획!$I$4:$I$803,$AF123)))</f>
        <v/>
      </c>
      <c r="U123" s="10">
        <f>IF($AF123="","",INDEX(파견수련계획!$X$4:$X$803,$AF123))</f>
        <v/>
      </c>
      <c r="V123" s="17">
        <f>IF($AF123="","",INDEX(파견수련계획!$V$4:$V$803,$AF123))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IF(OR($B123="",TRIM($J123&amp;"")=""),"",SUMPRODUCT((파견수련계획!$Q$4:$Q$803=TRIM($J123&amp;""))*파견수련계획!$W$4:$W$803))</f>
        <v/>
      </c>
      <c r="Y123" s="10">
        <f>IF($B123="","",IF($AG123="","",IF(IF(TRIM($J123&amp;"")="",0,SUMPRODUCT((파견수련계획!$Q$4:$Q$803=TRIM($J123&amp;""))*파견수련계획!$AD$4:$AD$803))&gt;0,$AE123,IF(N($X123)&lt;=0,$AG123,IF($AH123+$AI123=DAY(EOMONTH(요약!$B$3,0)),IF(AND($AH123&gt;=요약!$E$3,$AI123&lt;요약!$E$3),"서울병원",IF(AND($AI123&gt;=요약!$E$3,$AH123&lt;요약!$E$3),"구리병원","⚠15일 판정불가(서울 "&amp;$AH123&amp;"일/구리 "&amp;$AI123&amp;"일)")),IF($AJ123="",$AE123,IF(INDEX(파견수련계획!$T$4:$T$803,$AJ123)="통합수련",INDEX(파견수련계획!$S$4:$S$803,$AJ123),$AE123)))))))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입력",IF(IF(TRIM($J123&amp;"")="",0,SUMPRODUCT((파견수련계획!$Q$4:$Q$803=TRIM($J123&amp;""))*(파견수련계획!$AA$4:$AA$803&lt;&gt;"")))&gt;0,"파견수련계획 입력오류 확인",IF(LEFT($Y123,1)="⚠","서울·구리 15일 판정 불가(양쪽 모두 이상/미만)",IF(IF($AC123="",0,N(INDEX(인턴근무계획!$T$3:$T$402,$AC123)))&gt;0,"인턴계획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IF($B123="","",IFERROR(MATCH($B123,기본자료!$B$2:$B$1001,0),IFERROR(MATCH($B123&amp;"",기본자료!$B$2:$B$1001,0),IFERROR(MATCH(VALUE($B123),기본자료!$B$2:$B$1001,0),""))))</f>
        <v/>
      </c>
      <c r="AC123" s="10">
        <f>IF($B123="","",IFERROR(MATCH($B123,인턴근무계획!$D$3:$D$402,0),IFERROR(MATCH($B123&amp;"",인턴근무계획!$D$3:$D$402,0),IFERROR(MATCH(VALUE($B123),인턴근무계획!$D$3:$D$402,0),""))))</f>
        <v/>
      </c>
      <c r="AD123" s="10">
        <f>IF(OR($AC123="",인턴현황!$G$3=""),"",INDEX(인턴근무계획!$M$3:$R$402,$AC123,인턴현황!$G$3)&amp;"")</f>
        <v/>
      </c>
      <c r="AE123" s="10">
        <f>IF($B123="","",IF($M123&lt;&gt;"",$M123,IF($AF123&lt;&gt;"",IF(LEFT(INDEX(파견수련계획!$R$4:$R$803,$AF123),1)&lt;&gt;"⚠",INDEX(파견수련계획!$R$4:$R$803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$803,0),IFERROR(MATCH(TRIM($J123&amp;"")&amp;"|파견예정",파견수련계획!$Y$4:$Y$803,0),IFERROR(MATCH(TRIM($J123&amp;"")&amp;"|파견종료",파견수련계획!$Y$4:$Y$803,0),""))))</f>
        <v/>
      </c>
      <c r="AG123" s="10">
        <f>IF($B123="","",IF(AND(IF(OR($AC123="",인턴현황!$K$2=""),"",INDEX(인턴근무계획!$M$3:$R$402,$AC123,인턴현황!$K$2)&amp;"")&lt;&gt;"",LEFT(IF(OR($AC123="",인턴현황!$K$2=""),"",INDEX(인턴근무계획!$M$3:$R$402,$AC123,인턴현황!$K$2)&amp;""),1)&lt;&gt;"⚠"),LEFT(IF(OR($AC123="",인턴현황!$K$2=""),"",INDEX(인턴근무계획!$M$3:$R$402,$AC123,인턴현황!$K$2)&amp;""),FIND(" ",IF(OR($AC123="",인턴현황!$K$2=""),"",INDEX(인턴근무계획!$M$3:$R$402,$AC123,인턴현황!$K$2)&amp;""))-1),$AE123))</f>
        <v/>
      </c>
      <c r="AH123" s="17">
        <f>IF($B123="","",IF(TRIM($J123&amp;"")="",0,SUMPRODUCT((파견수련계획!$Q$4:$Q$803=TRIM($J123&amp;""))*(파견수련계획!$S$4:$S$803="서울병원")*파견수련계획!$W$4:$W$803))+IF($AG123="서울병원",MAX(0,DAY(EOMONTH(요약!$B$3,0))-N($X123)),0))</f>
        <v/>
      </c>
      <c r="AI123" s="17">
        <f>IF($B123="","",IF(TRIM($J123&amp;"")="",0,SUMPRODUCT((파견수련계획!$Q$4:$Q$803=TRIM($J123&amp;""))*(파견수련계획!$S$4:$S$803="구리병원")*파견수련계획!$W$4:$W$803))+IF($AG123="구리병원",MAX(0,DAY(EOMONTH(요약!$B$3,0))-N($X123)),0))</f>
        <v/>
      </c>
      <c r="AJ123" s="10">
        <f>IF(OR($B123="",TRIM($J123&amp;"")=""),"",IFERROR(MATCH(TRIM($J123&amp;"")&amp;"|월",파견수련계획!$Z$4:$Z$803,0),""))</f>
        <v/>
      </c>
      <c r="AK123" s="10">
        <f>IF(OR($B123="",TRIM($J123&amp;"")=""),"",IFERROR(MATCH(TRIM($J123&amp;"")&amp;"|다기관",파견수련계획!$AE$4:$AE$803,0),""))</f>
        <v/>
      </c>
      <c r="AL123" s="10">
        <f>IF($AK123="","","다기관 "&amp;TEXT(INDEX(파견수련계획!$AB$4:$AB$803,$AK123),"yyyy-mm-dd")&amp;"~"&amp;IF(ISNUMBER(INDEX(파견수련계획!$AC$4:$AC$803,$AK123)),TEXT(INDEX(파견수련계획!$AC$4:$AC$803,$AK123),"yyyy-mm-dd"),""))</f>
        <v/>
      </c>
    </row>
    <row r="124">
      <c r="A124" s="10">
        <f>IF(B124="","",ROW()-1)</f>
        <v/>
      </c>
      <c r="B124" s="18" t="n"/>
      <c r="C124" s="10">
        <f>IF($AB124="","",IF(INDEX(기본자료!$C$2:$C$1001,$AB124)="","",INDEX(기본자료!$C$2:$C$1001,$AB124)))</f>
        <v/>
      </c>
      <c r="D124" s="10">
        <f>IF($AB124="","",IF(INDEX(기본자료!$J$2:$J$1001,$AB124)="","",INDEX(기본자료!$J$2:$J$1001,$AB124)))</f>
        <v/>
      </c>
      <c r="E124" s="11">
        <f>IF($AB124="","",IF(INDEX(기본자료!$K$2:$K$1001,$AB124)="","",IF(NOT(ISNUMBER(INDEX(기본자료!$K$2:$K$1001,$AB124))),INDEX(기본자료!$K$2:$K$1001,$AB124),IF(INDEX(기본자료!$K$2:$K$1001,$AB124)&lt;1000000,INDEX(기본자료!$K$2:$K$1001,$AB124),IF(AND(INDEX(기본자료!$K$2:$K$1001,$AB124)&gt;=10000101,INT(MOD(INDEX(기본자료!$K$2:$K$1001,$AB124),10000)/100)&gt;=1,INT(MOD(INDEX(기본자료!$K$2:$K$1001,$AB124),10000)/100)&lt;=12,MOD(INDEX(기본자료!$K$2:$K$1001,$AB124),100)&gt;=1,MOD(INDEX(기본자료!$K$2:$K$1001,$AB124),100)&lt;=31),DATE(INT(INDEX(기본자료!$K$2:$K$1001,$AB124)/10000),INT(MOD(INDEX(기본자료!$K$2:$K$1001,$AB124),10000)/100),MOD(INDEX(기본자료!$K$2:$K$1001,$AB124),100)),INDEX(기본자료!$K$2:$K$1001,$AB124)&amp;"")))))</f>
        <v/>
      </c>
      <c r="F124" s="10">
        <f>IF($AB124="","",IF(INDEX(기본자료!$D$2:$D$1001,$AB124)="","",INDEX(기본자료!$D$2:$D$1001,$AB124)))</f>
        <v/>
      </c>
      <c r="G124" s="10">
        <f>IF($AB124="","",IF(INDEX(기본자료!$E$2:$E$1001,$AB124)="","",INDEX(기본자료!$E$2:$E$1001,$AB124)))</f>
        <v/>
      </c>
      <c r="H124" s="10">
        <f>IF($AB124="","",IF(INDEX(기본자료!$F$2:$F$1001,$AB124)="","",INDEX(기본자료!$F$2:$F$1001,$AB124)))</f>
        <v/>
      </c>
      <c r="I124" s="11">
        <f>IF($AB124="","",IF(INDEX(기본자료!$G$2:$G$1001,$AB124)="","",IF(NOT(ISNUMBER(INDEX(기본자료!$G$2:$G$1001,$AB124))),INDEX(기본자료!$G$2:$G$1001,$AB124),IF(INDEX(기본자료!$G$2:$G$1001,$AB124)&lt;1000000,INDEX(기본자료!$G$2:$G$1001,$AB124),IF(AND(INDEX(기본자료!$G$2:$G$1001,$AB124)&gt;=10000101,INT(MOD(INDEX(기본자료!$G$2:$G$1001,$AB124),10000)/100)&gt;=1,INT(MOD(INDEX(기본자료!$G$2:$G$1001,$AB124),10000)/100)&lt;=12,MOD(INDEX(기본자료!$G$2:$G$1001,$AB124),100)&gt;=1,MOD(INDEX(기본자료!$G$2:$G$1001,$AB124),100)&lt;=31),DATE(INT(INDEX(기본자료!$G$2:$G$1001,$AB124)/10000),INT(MOD(INDEX(기본자료!$G$2:$G$1001,$AB124),10000)/100),MOD(INDEX(기본자료!$G$2:$G$1001,$AB124),100)),INDEX(기본자료!$G$2:$G$1001,$AB124)&amp;"")))))</f>
        <v/>
      </c>
      <c r="J124" s="10">
        <f>IF($AB124="","",IF(INDEX(기본자료!$H$2:$H$1001,$AB124)="","",INDEX(기본자료!$H$2:$H$1001,$AB124)))</f>
        <v/>
      </c>
      <c r="K124" s="10">
        <f>IF($AB124="","",IF(INDEX(기본자료!$I$2:$I$1001,$AB124)="","",INDEX(기본자료!$I$2:$I$1001,$AB124)))</f>
        <v/>
      </c>
      <c r="L124" s="10">
        <f>IF($AB124="","",IF(INDEX(기본자료!$A$2:$A$1001,$AB124)="","",INDEX(기본자료!$A$2:$A$1001,$AB124)))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파견수련계획!$AB$4:$AB$803,$AK124),OR(NOT(ISNUMBER(INDEX(파견수련계획!$AC$4:$AC$803,$AK124))),TODAY()&lt;=INDEX(파견수련계획!$AC$4:$AC$803,$AK124))),"다기관",IF($AF124="","",INDEX(파견수련계획!$T$4:$T$803,$AF124))),IF($AF124="","",INDEX(파견수련계획!$T$4:$T$803,$AF124))))</f>
        <v/>
      </c>
      <c r="Q124" s="10">
        <f>IF($AF124="","",INDEX(파견수련계획!$S$4:$S$803,$AF124))</f>
        <v/>
      </c>
      <c r="R124" s="10">
        <f>IF($AF124="","",INDEX(파견수련계획!$U$4:$U$803,$AF124))</f>
        <v/>
      </c>
      <c r="S124" s="11">
        <f>IF($AF124="","",IF(INDEX(파견수련계획!$H$4:$H$803,$AF124)="","",INDEX(파견수련계획!$H$4:$H$803,$AF124)))</f>
        <v/>
      </c>
      <c r="T124" s="11">
        <f>IF($AF124="","",IF(INDEX(파견수련계획!$I$4:$I$803,$AF124)="","",INDEX(파견수련계획!$I$4:$I$803,$AF124)))</f>
        <v/>
      </c>
      <c r="U124" s="10">
        <f>IF($AF124="","",INDEX(파견수련계획!$X$4:$X$803,$AF124))</f>
        <v/>
      </c>
      <c r="V124" s="17">
        <f>IF($AF124="","",INDEX(파견수련계획!$V$4:$V$803,$AF124))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IF(OR($B124="",TRIM($J124&amp;"")=""),"",SUMPRODUCT((파견수련계획!$Q$4:$Q$803=TRIM($J124&amp;""))*파견수련계획!$W$4:$W$803))</f>
        <v/>
      </c>
      <c r="Y124" s="10">
        <f>IF($B124="","",IF($AG124="","",IF(IF(TRIM($J124&amp;"")="",0,SUMPRODUCT((파견수련계획!$Q$4:$Q$803=TRIM($J124&amp;""))*파견수련계획!$AD$4:$AD$803))&gt;0,$AE124,IF(N($X124)&lt;=0,$AG124,IF($AH124+$AI124=DAY(EOMONTH(요약!$B$3,0)),IF(AND($AH124&gt;=요약!$E$3,$AI124&lt;요약!$E$3),"서울병원",IF(AND($AI124&gt;=요약!$E$3,$AH124&lt;요약!$E$3),"구리병원","⚠15일 판정불가(서울 "&amp;$AH124&amp;"일/구리 "&amp;$AI124&amp;"일)")),IF($AJ124="",$AE124,IF(INDEX(파견수련계획!$T$4:$T$803,$AJ124)="통합수련",INDEX(파견수련계획!$S$4:$S$803,$AJ124),$AE124)))))))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입력",IF(IF(TRIM($J124&amp;"")="",0,SUMPRODUCT((파견수련계획!$Q$4:$Q$803=TRIM($J124&amp;""))*(파견수련계획!$AA$4:$AA$803&lt;&gt;"")))&gt;0,"파견수련계획 입력오류 확인",IF(LEFT($Y124,1)="⚠","서울·구리 15일 판정 불가(양쪽 모두 이상/미만)",IF(IF($AC124="",0,N(INDEX(인턴근무계획!$T$3:$T$402,$AC124)))&gt;0,"인턴계획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IF($B124="","",IFERROR(MATCH($B124,기본자료!$B$2:$B$1001,0),IFERROR(MATCH($B124&amp;"",기본자료!$B$2:$B$1001,0),IFERROR(MATCH(VALUE($B124),기본자료!$B$2:$B$1001,0),""))))</f>
        <v/>
      </c>
      <c r="AC124" s="10">
        <f>IF($B124="","",IFERROR(MATCH($B124,인턴근무계획!$D$3:$D$402,0),IFERROR(MATCH($B124&amp;"",인턴근무계획!$D$3:$D$402,0),IFERROR(MATCH(VALUE($B124),인턴근무계획!$D$3:$D$402,0),""))))</f>
        <v/>
      </c>
      <c r="AD124" s="10">
        <f>IF(OR($AC124="",인턴현황!$G$3=""),"",INDEX(인턴근무계획!$M$3:$R$402,$AC124,인턴현황!$G$3)&amp;"")</f>
        <v/>
      </c>
      <c r="AE124" s="10">
        <f>IF($B124="","",IF($M124&lt;&gt;"",$M124,IF($AF124&lt;&gt;"",IF(LEFT(INDEX(파견수련계획!$R$4:$R$803,$AF124),1)&lt;&gt;"⚠",INDEX(파견수련계획!$R$4:$R$803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$803,0),IFERROR(MATCH(TRIM($J124&amp;"")&amp;"|파견예정",파견수련계획!$Y$4:$Y$803,0),IFERROR(MATCH(TRIM($J124&amp;"")&amp;"|파견종료",파견수련계획!$Y$4:$Y$803,0),""))))</f>
        <v/>
      </c>
      <c r="AG124" s="10">
        <f>IF($B124="","",IF(AND(IF(OR($AC124="",인턴현황!$K$2=""),"",INDEX(인턴근무계획!$M$3:$R$402,$AC124,인턴현황!$K$2)&amp;"")&lt;&gt;"",LEFT(IF(OR($AC124="",인턴현황!$K$2=""),"",INDEX(인턴근무계획!$M$3:$R$402,$AC124,인턴현황!$K$2)&amp;""),1)&lt;&gt;"⚠"),LEFT(IF(OR($AC124="",인턴현황!$K$2=""),"",INDEX(인턴근무계획!$M$3:$R$402,$AC124,인턴현황!$K$2)&amp;""),FIND(" ",IF(OR($AC124="",인턴현황!$K$2=""),"",INDEX(인턴근무계획!$M$3:$R$402,$AC124,인턴현황!$K$2)&amp;""))-1),$AE124))</f>
        <v/>
      </c>
      <c r="AH124" s="17">
        <f>IF($B124="","",IF(TRIM($J124&amp;"")="",0,SUMPRODUCT((파견수련계획!$Q$4:$Q$803=TRIM($J124&amp;""))*(파견수련계획!$S$4:$S$803="서울병원")*파견수련계획!$W$4:$W$803))+IF($AG124="서울병원",MAX(0,DAY(EOMONTH(요약!$B$3,0))-N($X124)),0))</f>
        <v/>
      </c>
      <c r="AI124" s="17">
        <f>IF($B124="","",IF(TRIM($J124&amp;"")="",0,SUMPRODUCT((파견수련계획!$Q$4:$Q$803=TRIM($J124&amp;""))*(파견수련계획!$S$4:$S$803="구리병원")*파견수련계획!$W$4:$W$803))+IF($AG124="구리병원",MAX(0,DAY(EOMONTH(요약!$B$3,0))-N($X124)),0))</f>
        <v/>
      </c>
      <c r="AJ124" s="10">
        <f>IF(OR($B124="",TRIM($J124&amp;"")=""),"",IFERROR(MATCH(TRIM($J124&amp;"")&amp;"|월",파견수련계획!$Z$4:$Z$803,0),""))</f>
        <v/>
      </c>
      <c r="AK124" s="10">
        <f>IF(OR($B124="",TRIM($J124&amp;"")=""),"",IFERROR(MATCH(TRIM($J124&amp;"")&amp;"|다기관",파견수련계획!$AE$4:$AE$803,0),""))</f>
        <v/>
      </c>
      <c r="AL124" s="10">
        <f>IF($AK124="","","다기관 "&amp;TEXT(INDEX(파견수련계획!$AB$4:$AB$803,$AK124),"yyyy-mm-dd")&amp;"~"&amp;IF(ISNUMBER(INDEX(파견수련계획!$AC$4:$AC$803,$AK124)),TEXT(INDEX(파견수련계획!$AC$4:$AC$803,$AK124),"yyyy-mm-dd"),""))</f>
        <v/>
      </c>
    </row>
    <row r="125">
      <c r="A125" s="10">
        <f>IF(B125="","",ROW()-1)</f>
        <v/>
      </c>
      <c r="B125" s="18" t="n"/>
      <c r="C125" s="10">
        <f>IF($AB125="","",IF(INDEX(기본자료!$C$2:$C$1001,$AB125)="","",INDEX(기본자료!$C$2:$C$1001,$AB125)))</f>
        <v/>
      </c>
      <c r="D125" s="10">
        <f>IF($AB125="","",IF(INDEX(기본자료!$J$2:$J$1001,$AB125)="","",INDEX(기본자료!$J$2:$J$1001,$AB125)))</f>
        <v/>
      </c>
      <c r="E125" s="11">
        <f>IF($AB125="","",IF(INDEX(기본자료!$K$2:$K$1001,$AB125)="","",IF(NOT(ISNUMBER(INDEX(기본자료!$K$2:$K$1001,$AB125))),INDEX(기본자료!$K$2:$K$1001,$AB125),IF(INDEX(기본자료!$K$2:$K$1001,$AB125)&lt;1000000,INDEX(기본자료!$K$2:$K$1001,$AB125),IF(AND(INDEX(기본자료!$K$2:$K$1001,$AB125)&gt;=10000101,INT(MOD(INDEX(기본자료!$K$2:$K$1001,$AB125),10000)/100)&gt;=1,INT(MOD(INDEX(기본자료!$K$2:$K$1001,$AB125),10000)/100)&lt;=12,MOD(INDEX(기본자료!$K$2:$K$1001,$AB125),100)&gt;=1,MOD(INDEX(기본자료!$K$2:$K$1001,$AB125),100)&lt;=31),DATE(INT(INDEX(기본자료!$K$2:$K$1001,$AB125)/10000),INT(MOD(INDEX(기본자료!$K$2:$K$1001,$AB125),10000)/100),MOD(INDEX(기본자료!$K$2:$K$1001,$AB125),100)),INDEX(기본자료!$K$2:$K$1001,$AB125)&amp;"")))))</f>
        <v/>
      </c>
      <c r="F125" s="10">
        <f>IF($AB125="","",IF(INDEX(기본자료!$D$2:$D$1001,$AB125)="","",INDEX(기본자료!$D$2:$D$1001,$AB125)))</f>
        <v/>
      </c>
      <c r="G125" s="10">
        <f>IF($AB125="","",IF(INDEX(기본자료!$E$2:$E$1001,$AB125)="","",INDEX(기본자료!$E$2:$E$1001,$AB125)))</f>
        <v/>
      </c>
      <c r="H125" s="10">
        <f>IF($AB125="","",IF(INDEX(기본자료!$F$2:$F$1001,$AB125)="","",INDEX(기본자료!$F$2:$F$1001,$AB125)))</f>
        <v/>
      </c>
      <c r="I125" s="11">
        <f>IF($AB125="","",IF(INDEX(기본자료!$G$2:$G$1001,$AB125)="","",IF(NOT(ISNUMBER(INDEX(기본자료!$G$2:$G$1001,$AB125))),INDEX(기본자료!$G$2:$G$1001,$AB125),IF(INDEX(기본자료!$G$2:$G$1001,$AB125)&lt;1000000,INDEX(기본자료!$G$2:$G$1001,$AB125),IF(AND(INDEX(기본자료!$G$2:$G$1001,$AB125)&gt;=10000101,INT(MOD(INDEX(기본자료!$G$2:$G$1001,$AB125),10000)/100)&gt;=1,INT(MOD(INDEX(기본자료!$G$2:$G$1001,$AB125),10000)/100)&lt;=12,MOD(INDEX(기본자료!$G$2:$G$1001,$AB125),100)&gt;=1,MOD(INDEX(기본자료!$G$2:$G$1001,$AB125),100)&lt;=31),DATE(INT(INDEX(기본자료!$G$2:$G$1001,$AB125)/10000),INT(MOD(INDEX(기본자료!$G$2:$G$1001,$AB125),10000)/100),MOD(INDEX(기본자료!$G$2:$G$1001,$AB125),100)),INDEX(기본자료!$G$2:$G$1001,$AB125)&amp;"")))))</f>
        <v/>
      </c>
      <c r="J125" s="10">
        <f>IF($AB125="","",IF(INDEX(기본자료!$H$2:$H$1001,$AB125)="","",INDEX(기본자료!$H$2:$H$1001,$AB125)))</f>
        <v/>
      </c>
      <c r="K125" s="10">
        <f>IF($AB125="","",IF(INDEX(기본자료!$I$2:$I$1001,$AB125)="","",INDEX(기본자료!$I$2:$I$1001,$AB125)))</f>
        <v/>
      </c>
      <c r="L125" s="10">
        <f>IF($AB125="","",IF(INDEX(기본자료!$A$2:$A$1001,$AB125)="","",INDEX(기본자료!$A$2:$A$1001,$AB125)))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파견수련계획!$AB$4:$AB$803,$AK125),OR(NOT(ISNUMBER(INDEX(파견수련계획!$AC$4:$AC$803,$AK125))),TODAY()&lt;=INDEX(파견수련계획!$AC$4:$AC$803,$AK125))),"다기관",IF($AF125="","",INDEX(파견수련계획!$T$4:$T$803,$AF125))),IF($AF125="","",INDEX(파견수련계획!$T$4:$T$803,$AF125))))</f>
        <v/>
      </c>
      <c r="Q125" s="10">
        <f>IF($AF125="","",INDEX(파견수련계획!$S$4:$S$803,$AF125))</f>
        <v/>
      </c>
      <c r="R125" s="10">
        <f>IF($AF125="","",INDEX(파견수련계획!$U$4:$U$803,$AF125))</f>
        <v/>
      </c>
      <c r="S125" s="11">
        <f>IF($AF125="","",IF(INDEX(파견수련계획!$H$4:$H$803,$AF125)="","",INDEX(파견수련계획!$H$4:$H$803,$AF125)))</f>
        <v/>
      </c>
      <c r="T125" s="11">
        <f>IF($AF125="","",IF(INDEX(파견수련계획!$I$4:$I$803,$AF125)="","",INDEX(파견수련계획!$I$4:$I$803,$AF125)))</f>
        <v/>
      </c>
      <c r="U125" s="10">
        <f>IF($AF125="","",INDEX(파견수련계획!$X$4:$X$803,$AF125))</f>
        <v/>
      </c>
      <c r="V125" s="17">
        <f>IF($AF125="","",INDEX(파견수련계획!$V$4:$V$803,$AF125))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IF(OR($B125="",TRIM($J125&amp;"")=""),"",SUMPRODUCT((파견수련계획!$Q$4:$Q$803=TRIM($J125&amp;""))*파견수련계획!$W$4:$W$803))</f>
        <v/>
      </c>
      <c r="Y125" s="10">
        <f>IF($B125="","",IF($AG125="","",IF(IF(TRIM($J125&amp;"")="",0,SUMPRODUCT((파견수련계획!$Q$4:$Q$803=TRIM($J125&amp;""))*파견수련계획!$AD$4:$AD$803))&gt;0,$AE125,IF(N($X125)&lt;=0,$AG125,IF($AH125+$AI125=DAY(EOMONTH(요약!$B$3,0)),IF(AND($AH125&gt;=요약!$E$3,$AI125&lt;요약!$E$3),"서울병원",IF(AND($AI125&gt;=요약!$E$3,$AH125&lt;요약!$E$3),"구리병원","⚠15일 판정불가(서울 "&amp;$AH125&amp;"일/구리 "&amp;$AI125&amp;"일)")),IF($AJ125="",$AE125,IF(INDEX(파견수련계획!$T$4:$T$803,$AJ125)="통합수련",INDEX(파견수련계획!$S$4:$S$803,$AJ125),$AE125)))))))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입력",IF(IF(TRIM($J125&amp;"")="",0,SUMPRODUCT((파견수련계획!$Q$4:$Q$803=TRIM($J125&amp;""))*(파견수련계획!$AA$4:$AA$803&lt;&gt;"")))&gt;0,"파견수련계획 입력오류 확인",IF(LEFT($Y125,1)="⚠","서울·구리 15일 판정 불가(양쪽 모두 이상/미만)",IF(IF($AC125="",0,N(INDEX(인턴근무계획!$T$3:$T$402,$AC125)))&gt;0,"인턴계획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IF($B125="","",IFERROR(MATCH($B125,기본자료!$B$2:$B$1001,0),IFERROR(MATCH($B125&amp;"",기본자료!$B$2:$B$1001,0),IFERROR(MATCH(VALUE($B125),기본자료!$B$2:$B$1001,0),""))))</f>
        <v/>
      </c>
      <c r="AC125" s="10">
        <f>IF($B125="","",IFERROR(MATCH($B125,인턴근무계획!$D$3:$D$402,0),IFERROR(MATCH($B125&amp;"",인턴근무계획!$D$3:$D$402,0),IFERROR(MATCH(VALUE($B125),인턴근무계획!$D$3:$D$402,0),""))))</f>
        <v/>
      </c>
      <c r="AD125" s="10">
        <f>IF(OR($AC125="",인턴현황!$G$3=""),"",INDEX(인턴근무계획!$M$3:$R$402,$AC125,인턴현황!$G$3)&amp;"")</f>
        <v/>
      </c>
      <c r="AE125" s="10">
        <f>IF($B125="","",IF($M125&lt;&gt;"",$M125,IF($AF125&lt;&gt;"",IF(LEFT(INDEX(파견수련계획!$R$4:$R$803,$AF125),1)&lt;&gt;"⚠",INDEX(파견수련계획!$R$4:$R$803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$803,0),IFERROR(MATCH(TRIM($J125&amp;"")&amp;"|파견예정",파견수련계획!$Y$4:$Y$803,0),IFERROR(MATCH(TRIM($J125&amp;"")&amp;"|파견종료",파견수련계획!$Y$4:$Y$803,0),""))))</f>
        <v/>
      </c>
      <c r="AG125" s="10">
        <f>IF($B125="","",IF(AND(IF(OR($AC125="",인턴현황!$K$2=""),"",INDEX(인턴근무계획!$M$3:$R$402,$AC125,인턴현황!$K$2)&amp;"")&lt;&gt;"",LEFT(IF(OR($AC125="",인턴현황!$K$2=""),"",INDEX(인턴근무계획!$M$3:$R$402,$AC125,인턴현황!$K$2)&amp;""),1)&lt;&gt;"⚠"),LEFT(IF(OR($AC125="",인턴현황!$K$2=""),"",INDEX(인턴근무계획!$M$3:$R$402,$AC125,인턴현황!$K$2)&amp;""),FIND(" ",IF(OR($AC125="",인턴현황!$K$2=""),"",INDEX(인턴근무계획!$M$3:$R$402,$AC125,인턴현황!$K$2)&amp;""))-1),$AE125))</f>
        <v/>
      </c>
      <c r="AH125" s="17">
        <f>IF($B125="","",IF(TRIM($J125&amp;"")="",0,SUMPRODUCT((파견수련계획!$Q$4:$Q$803=TRIM($J125&amp;""))*(파견수련계획!$S$4:$S$803="서울병원")*파견수련계획!$W$4:$W$803))+IF($AG125="서울병원",MAX(0,DAY(EOMONTH(요약!$B$3,0))-N($X125)),0))</f>
        <v/>
      </c>
      <c r="AI125" s="17">
        <f>IF($B125="","",IF(TRIM($J125&amp;"")="",0,SUMPRODUCT((파견수련계획!$Q$4:$Q$803=TRIM($J125&amp;""))*(파견수련계획!$S$4:$S$803="구리병원")*파견수련계획!$W$4:$W$803))+IF($AG125="구리병원",MAX(0,DAY(EOMONTH(요약!$B$3,0))-N($X125)),0))</f>
        <v/>
      </c>
      <c r="AJ125" s="10">
        <f>IF(OR($B125="",TRIM($J125&amp;"")=""),"",IFERROR(MATCH(TRIM($J125&amp;"")&amp;"|월",파견수련계획!$Z$4:$Z$803,0),""))</f>
        <v/>
      </c>
      <c r="AK125" s="10">
        <f>IF(OR($B125="",TRIM($J125&amp;"")=""),"",IFERROR(MATCH(TRIM($J125&amp;"")&amp;"|다기관",파견수련계획!$AE$4:$AE$803,0),""))</f>
        <v/>
      </c>
      <c r="AL125" s="10">
        <f>IF($AK125="","","다기관 "&amp;TEXT(INDEX(파견수련계획!$AB$4:$AB$803,$AK125),"yyyy-mm-dd")&amp;"~"&amp;IF(ISNUMBER(INDEX(파견수련계획!$AC$4:$AC$803,$AK125)),TEXT(INDEX(파견수련계획!$AC$4:$AC$803,$AK125),"yyyy-mm-dd"),""))</f>
        <v/>
      </c>
    </row>
    <row r="126">
      <c r="A126" s="10">
        <f>IF(B126="","",ROW()-1)</f>
        <v/>
      </c>
      <c r="B126" s="18" t="n"/>
      <c r="C126" s="10">
        <f>IF($AB126="","",IF(INDEX(기본자료!$C$2:$C$1001,$AB126)="","",INDEX(기본자료!$C$2:$C$1001,$AB126)))</f>
        <v/>
      </c>
      <c r="D126" s="10">
        <f>IF($AB126="","",IF(INDEX(기본자료!$J$2:$J$1001,$AB126)="","",INDEX(기본자료!$J$2:$J$1001,$AB126)))</f>
        <v/>
      </c>
      <c r="E126" s="11">
        <f>IF($AB126="","",IF(INDEX(기본자료!$K$2:$K$1001,$AB126)="","",IF(NOT(ISNUMBER(INDEX(기본자료!$K$2:$K$1001,$AB126))),INDEX(기본자료!$K$2:$K$1001,$AB126),IF(INDEX(기본자료!$K$2:$K$1001,$AB126)&lt;1000000,INDEX(기본자료!$K$2:$K$1001,$AB126),IF(AND(INDEX(기본자료!$K$2:$K$1001,$AB126)&gt;=10000101,INT(MOD(INDEX(기본자료!$K$2:$K$1001,$AB126),10000)/100)&gt;=1,INT(MOD(INDEX(기본자료!$K$2:$K$1001,$AB126),10000)/100)&lt;=12,MOD(INDEX(기본자료!$K$2:$K$1001,$AB126),100)&gt;=1,MOD(INDEX(기본자료!$K$2:$K$1001,$AB126),100)&lt;=31),DATE(INT(INDEX(기본자료!$K$2:$K$1001,$AB126)/10000),INT(MOD(INDEX(기본자료!$K$2:$K$1001,$AB126),10000)/100),MOD(INDEX(기본자료!$K$2:$K$1001,$AB126),100)),INDEX(기본자료!$K$2:$K$1001,$AB126)&amp;"")))))</f>
        <v/>
      </c>
      <c r="F126" s="10">
        <f>IF($AB126="","",IF(INDEX(기본자료!$D$2:$D$1001,$AB126)="","",INDEX(기본자료!$D$2:$D$1001,$AB126)))</f>
        <v/>
      </c>
      <c r="G126" s="10">
        <f>IF($AB126="","",IF(INDEX(기본자료!$E$2:$E$1001,$AB126)="","",INDEX(기본자료!$E$2:$E$1001,$AB126)))</f>
        <v/>
      </c>
      <c r="H126" s="10">
        <f>IF($AB126="","",IF(INDEX(기본자료!$F$2:$F$1001,$AB126)="","",INDEX(기본자료!$F$2:$F$1001,$AB126)))</f>
        <v/>
      </c>
      <c r="I126" s="11">
        <f>IF($AB126="","",IF(INDEX(기본자료!$G$2:$G$1001,$AB126)="","",IF(NOT(ISNUMBER(INDEX(기본자료!$G$2:$G$1001,$AB126))),INDEX(기본자료!$G$2:$G$1001,$AB126),IF(INDEX(기본자료!$G$2:$G$1001,$AB126)&lt;1000000,INDEX(기본자료!$G$2:$G$1001,$AB126),IF(AND(INDEX(기본자료!$G$2:$G$1001,$AB126)&gt;=10000101,INT(MOD(INDEX(기본자료!$G$2:$G$1001,$AB126),10000)/100)&gt;=1,INT(MOD(INDEX(기본자료!$G$2:$G$1001,$AB126),10000)/100)&lt;=12,MOD(INDEX(기본자료!$G$2:$G$1001,$AB126),100)&gt;=1,MOD(INDEX(기본자료!$G$2:$G$1001,$AB126),100)&lt;=31),DATE(INT(INDEX(기본자료!$G$2:$G$1001,$AB126)/10000),INT(MOD(INDEX(기본자료!$G$2:$G$1001,$AB126),10000)/100),MOD(INDEX(기본자료!$G$2:$G$1001,$AB126),100)),INDEX(기본자료!$G$2:$G$1001,$AB126)&amp;"")))))</f>
        <v/>
      </c>
      <c r="J126" s="10">
        <f>IF($AB126="","",IF(INDEX(기본자료!$H$2:$H$1001,$AB126)="","",INDEX(기본자료!$H$2:$H$1001,$AB126)))</f>
        <v/>
      </c>
      <c r="K126" s="10">
        <f>IF($AB126="","",IF(INDEX(기본자료!$I$2:$I$1001,$AB126)="","",INDEX(기본자료!$I$2:$I$1001,$AB126)))</f>
        <v/>
      </c>
      <c r="L126" s="10">
        <f>IF($AB126="","",IF(INDEX(기본자료!$A$2:$A$1001,$AB126)="","",INDEX(기본자료!$A$2:$A$1001,$AB126)))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파견수련계획!$AB$4:$AB$803,$AK126),OR(NOT(ISNUMBER(INDEX(파견수련계획!$AC$4:$AC$803,$AK126))),TODAY()&lt;=INDEX(파견수련계획!$AC$4:$AC$803,$AK126))),"다기관",IF($AF126="","",INDEX(파견수련계획!$T$4:$T$803,$AF126))),IF($AF126="","",INDEX(파견수련계획!$T$4:$T$803,$AF126))))</f>
        <v/>
      </c>
      <c r="Q126" s="10">
        <f>IF($AF126="","",INDEX(파견수련계획!$S$4:$S$803,$AF126))</f>
        <v/>
      </c>
      <c r="R126" s="10">
        <f>IF($AF126="","",INDEX(파견수련계획!$U$4:$U$803,$AF126))</f>
        <v/>
      </c>
      <c r="S126" s="11">
        <f>IF($AF126="","",IF(INDEX(파견수련계획!$H$4:$H$803,$AF126)="","",INDEX(파견수련계획!$H$4:$H$803,$AF126)))</f>
        <v/>
      </c>
      <c r="T126" s="11">
        <f>IF($AF126="","",IF(INDEX(파견수련계획!$I$4:$I$803,$AF126)="","",INDEX(파견수련계획!$I$4:$I$803,$AF126)))</f>
        <v/>
      </c>
      <c r="U126" s="10">
        <f>IF($AF126="","",INDEX(파견수련계획!$X$4:$X$803,$AF126))</f>
        <v/>
      </c>
      <c r="V126" s="17">
        <f>IF($AF126="","",INDEX(파견수련계획!$V$4:$V$803,$AF126))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IF(OR($B126="",TRIM($J126&amp;"")=""),"",SUMPRODUCT((파견수련계획!$Q$4:$Q$803=TRIM($J126&amp;""))*파견수련계획!$W$4:$W$803))</f>
        <v/>
      </c>
      <c r="Y126" s="10">
        <f>IF($B126="","",IF($AG126="","",IF(IF(TRIM($J126&amp;"")="",0,SUMPRODUCT((파견수련계획!$Q$4:$Q$803=TRIM($J126&amp;""))*파견수련계획!$AD$4:$AD$803))&gt;0,$AE126,IF(N($X126)&lt;=0,$AG126,IF($AH126+$AI126=DAY(EOMONTH(요약!$B$3,0)),IF(AND($AH126&gt;=요약!$E$3,$AI126&lt;요약!$E$3),"서울병원",IF(AND($AI126&gt;=요약!$E$3,$AH126&lt;요약!$E$3),"구리병원","⚠15일 판정불가(서울 "&amp;$AH126&amp;"일/구리 "&amp;$AI126&amp;"일)")),IF($AJ126="",$AE126,IF(INDEX(파견수련계획!$T$4:$T$803,$AJ126)="통합수련",INDEX(파견수련계획!$S$4:$S$803,$AJ126),$AE126)))))))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입력",IF(IF(TRIM($J126&amp;"")="",0,SUMPRODUCT((파견수련계획!$Q$4:$Q$803=TRIM($J126&amp;""))*(파견수련계획!$AA$4:$AA$803&lt;&gt;"")))&gt;0,"파견수련계획 입력오류 확인",IF(LEFT($Y126,1)="⚠","서울·구리 15일 판정 불가(양쪽 모두 이상/미만)",IF(IF($AC126="",0,N(INDEX(인턴근무계획!$T$3:$T$402,$AC126)))&gt;0,"인턴계획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IF($B126="","",IFERROR(MATCH($B126,기본자료!$B$2:$B$1001,0),IFERROR(MATCH($B126&amp;"",기본자료!$B$2:$B$1001,0),IFERROR(MATCH(VALUE($B126),기본자료!$B$2:$B$1001,0),""))))</f>
        <v/>
      </c>
      <c r="AC126" s="10">
        <f>IF($B126="","",IFERROR(MATCH($B126,인턴근무계획!$D$3:$D$402,0),IFERROR(MATCH($B126&amp;"",인턴근무계획!$D$3:$D$402,0),IFERROR(MATCH(VALUE($B126),인턴근무계획!$D$3:$D$402,0),""))))</f>
        <v/>
      </c>
      <c r="AD126" s="10">
        <f>IF(OR($AC126="",인턴현황!$G$3=""),"",INDEX(인턴근무계획!$M$3:$R$402,$AC126,인턴현황!$G$3)&amp;"")</f>
        <v/>
      </c>
      <c r="AE126" s="10">
        <f>IF($B126="","",IF($M126&lt;&gt;"",$M126,IF($AF126&lt;&gt;"",IF(LEFT(INDEX(파견수련계획!$R$4:$R$803,$AF126),1)&lt;&gt;"⚠",INDEX(파견수련계획!$R$4:$R$803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$803,0),IFERROR(MATCH(TRIM($J126&amp;"")&amp;"|파견예정",파견수련계획!$Y$4:$Y$803,0),IFERROR(MATCH(TRIM($J126&amp;"")&amp;"|파견종료",파견수련계획!$Y$4:$Y$803,0),""))))</f>
        <v/>
      </c>
      <c r="AG126" s="10">
        <f>IF($B126="","",IF(AND(IF(OR($AC126="",인턴현황!$K$2=""),"",INDEX(인턴근무계획!$M$3:$R$402,$AC126,인턴현황!$K$2)&amp;"")&lt;&gt;"",LEFT(IF(OR($AC126="",인턴현황!$K$2=""),"",INDEX(인턴근무계획!$M$3:$R$402,$AC126,인턴현황!$K$2)&amp;""),1)&lt;&gt;"⚠"),LEFT(IF(OR($AC126="",인턴현황!$K$2=""),"",INDEX(인턴근무계획!$M$3:$R$402,$AC126,인턴현황!$K$2)&amp;""),FIND(" ",IF(OR($AC126="",인턴현황!$K$2=""),"",INDEX(인턴근무계획!$M$3:$R$402,$AC126,인턴현황!$K$2)&amp;""))-1),$AE126))</f>
        <v/>
      </c>
      <c r="AH126" s="17">
        <f>IF($B126="","",IF(TRIM($J126&amp;"")="",0,SUMPRODUCT((파견수련계획!$Q$4:$Q$803=TRIM($J126&amp;""))*(파견수련계획!$S$4:$S$803="서울병원")*파견수련계획!$W$4:$W$803))+IF($AG126="서울병원",MAX(0,DAY(EOMONTH(요약!$B$3,0))-N($X126)),0))</f>
        <v/>
      </c>
      <c r="AI126" s="17">
        <f>IF($B126="","",IF(TRIM($J126&amp;"")="",0,SUMPRODUCT((파견수련계획!$Q$4:$Q$803=TRIM($J126&amp;""))*(파견수련계획!$S$4:$S$803="구리병원")*파견수련계획!$W$4:$W$803))+IF($AG126="구리병원",MAX(0,DAY(EOMONTH(요약!$B$3,0))-N($X126)),0))</f>
        <v/>
      </c>
      <c r="AJ126" s="10">
        <f>IF(OR($B126="",TRIM($J126&amp;"")=""),"",IFERROR(MATCH(TRIM($J126&amp;"")&amp;"|월",파견수련계획!$Z$4:$Z$803,0),""))</f>
        <v/>
      </c>
      <c r="AK126" s="10">
        <f>IF(OR($B126="",TRIM($J126&amp;"")=""),"",IFERROR(MATCH(TRIM($J126&amp;"")&amp;"|다기관",파견수련계획!$AE$4:$AE$803,0),""))</f>
        <v/>
      </c>
      <c r="AL126" s="10">
        <f>IF($AK126="","","다기관 "&amp;TEXT(INDEX(파견수련계획!$AB$4:$AB$803,$AK126),"yyyy-mm-dd")&amp;"~"&amp;IF(ISNUMBER(INDEX(파견수련계획!$AC$4:$AC$803,$AK126)),TEXT(INDEX(파견수련계획!$AC$4:$AC$803,$AK126),"yyyy-mm-dd"),""))</f>
        <v/>
      </c>
    </row>
    <row r="127">
      <c r="A127" s="10">
        <f>IF(B127="","",ROW()-1)</f>
        <v/>
      </c>
      <c r="B127" s="18" t="n"/>
      <c r="C127" s="10">
        <f>IF($AB127="","",IF(INDEX(기본자료!$C$2:$C$1001,$AB127)="","",INDEX(기본자료!$C$2:$C$1001,$AB127)))</f>
        <v/>
      </c>
      <c r="D127" s="10">
        <f>IF($AB127="","",IF(INDEX(기본자료!$J$2:$J$1001,$AB127)="","",INDEX(기본자료!$J$2:$J$1001,$AB127)))</f>
        <v/>
      </c>
      <c r="E127" s="11">
        <f>IF($AB127="","",IF(INDEX(기본자료!$K$2:$K$1001,$AB127)="","",IF(NOT(ISNUMBER(INDEX(기본자료!$K$2:$K$1001,$AB127))),INDEX(기본자료!$K$2:$K$1001,$AB127),IF(INDEX(기본자료!$K$2:$K$1001,$AB127)&lt;1000000,INDEX(기본자료!$K$2:$K$1001,$AB127),IF(AND(INDEX(기본자료!$K$2:$K$1001,$AB127)&gt;=10000101,INT(MOD(INDEX(기본자료!$K$2:$K$1001,$AB127),10000)/100)&gt;=1,INT(MOD(INDEX(기본자료!$K$2:$K$1001,$AB127),10000)/100)&lt;=12,MOD(INDEX(기본자료!$K$2:$K$1001,$AB127),100)&gt;=1,MOD(INDEX(기본자료!$K$2:$K$1001,$AB127),100)&lt;=31),DATE(INT(INDEX(기본자료!$K$2:$K$1001,$AB127)/10000),INT(MOD(INDEX(기본자료!$K$2:$K$1001,$AB127),10000)/100),MOD(INDEX(기본자료!$K$2:$K$1001,$AB127),100)),INDEX(기본자료!$K$2:$K$1001,$AB127)&amp;"")))))</f>
        <v/>
      </c>
      <c r="F127" s="10">
        <f>IF($AB127="","",IF(INDEX(기본자료!$D$2:$D$1001,$AB127)="","",INDEX(기본자료!$D$2:$D$1001,$AB127)))</f>
        <v/>
      </c>
      <c r="G127" s="10">
        <f>IF($AB127="","",IF(INDEX(기본자료!$E$2:$E$1001,$AB127)="","",INDEX(기본자료!$E$2:$E$1001,$AB127)))</f>
        <v/>
      </c>
      <c r="H127" s="10">
        <f>IF($AB127="","",IF(INDEX(기본자료!$F$2:$F$1001,$AB127)="","",INDEX(기본자료!$F$2:$F$1001,$AB127)))</f>
        <v/>
      </c>
      <c r="I127" s="11">
        <f>IF($AB127="","",IF(INDEX(기본자료!$G$2:$G$1001,$AB127)="","",IF(NOT(ISNUMBER(INDEX(기본자료!$G$2:$G$1001,$AB127))),INDEX(기본자료!$G$2:$G$1001,$AB127),IF(INDEX(기본자료!$G$2:$G$1001,$AB127)&lt;1000000,INDEX(기본자료!$G$2:$G$1001,$AB127),IF(AND(INDEX(기본자료!$G$2:$G$1001,$AB127)&gt;=10000101,INT(MOD(INDEX(기본자료!$G$2:$G$1001,$AB127),10000)/100)&gt;=1,INT(MOD(INDEX(기본자료!$G$2:$G$1001,$AB127),10000)/100)&lt;=12,MOD(INDEX(기본자료!$G$2:$G$1001,$AB127),100)&gt;=1,MOD(INDEX(기본자료!$G$2:$G$1001,$AB127),100)&lt;=31),DATE(INT(INDEX(기본자료!$G$2:$G$1001,$AB127)/10000),INT(MOD(INDEX(기본자료!$G$2:$G$1001,$AB127),10000)/100),MOD(INDEX(기본자료!$G$2:$G$1001,$AB127),100)),INDEX(기본자료!$G$2:$G$1001,$AB127)&amp;"")))))</f>
        <v/>
      </c>
      <c r="J127" s="10">
        <f>IF($AB127="","",IF(INDEX(기본자료!$H$2:$H$1001,$AB127)="","",INDEX(기본자료!$H$2:$H$1001,$AB127)))</f>
        <v/>
      </c>
      <c r="K127" s="10">
        <f>IF($AB127="","",IF(INDEX(기본자료!$I$2:$I$1001,$AB127)="","",INDEX(기본자료!$I$2:$I$1001,$AB127)))</f>
        <v/>
      </c>
      <c r="L127" s="10">
        <f>IF($AB127="","",IF(INDEX(기본자료!$A$2:$A$1001,$AB127)="","",INDEX(기본자료!$A$2:$A$1001,$AB127)))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파견수련계획!$AB$4:$AB$803,$AK127),OR(NOT(ISNUMBER(INDEX(파견수련계획!$AC$4:$AC$803,$AK127))),TODAY()&lt;=INDEX(파견수련계획!$AC$4:$AC$803,$AK127))),"다기관",IF($AF127="","",INDEX(파견수련계획!$T$4:$T$803,$AF127))),IF($AF127="","",INDEX(파견수련계획!$T$4:$T$803,$AF127))))</f>
        <v/>
      </c>
      <c r="Q127" s="10">
        <f>IF($AF127="","",INDEX(파견수련계획!$S$4:$S$803,$AF127))</f>
        <v/>
      </c>
      <c r="R127" s="10">
        <f>IF($AF127="","",INDEX(파견수련계획!$U$4:$U$803,$AF127))</f>
        <v/>
      </c>
      <c r="S127" s="11">
        <f>IF($AF127="","",IF(INDEX(파견수련계획!$H$4:$H$803,$AF127)="","",INDEX(파견수련계획!$H$4:$H$803,$AF127)))</f>
        <v/>
      </c>
      <c r="T127" s="11">
        <f>IF($AF127="","",IF(INDEX(파견수련계획!$I$4:$I$803,$AF127)="","",INDEX(파견수련계획!$I$4:$I$803,$AF127)))</f>
        <v/>
      </c>
      <c r="U127" s="10">
        <f>IF($AF127="","",INDEX(파견수련계획!$X$4:$X$803,$AF127))</f>
        <v/>
      </c>
      <c r="V127" s="17">
        <f>IF($AF127="","",INDEX(파견수련계획!$V$4:$V$803,$AF127))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IF(OR($B127="",TRIM($J127&amp;"")=""),"",SUMPRODUCT((파견수련계획!$Q$4:$Q$803=TRIM($J127&amp;""))*파견수련계획!$W$4:$W$803))</f>
        <v/>
      </c>
      <c r="Y127" s="10">
        <f>IF($B127="","",IF($AG127="","",IF(IF(TRIM($J127&amp;"")="",0,SUMPRODUCT((파견수련계획!$Q$4:$Q$803=TRIM($J127&amp;""))*파견수련계획!$AD$4:$AD$803))&gt;0,$AE127,IF(N($X127)&lt;=0,$AG127,IF($AH127+$AI127=DAY(EOMONTH(요약!$B$3,0)),IF(AND($AH127&gt;=요약!$E$3,$AI127&lt;요약!$E$3),"서울병원",IF(AND($AI127&gt;=요약!$E$3,$AH127&lt;요약!$E$3),"구리병원","⚠15일 판정불가(서울 "&amp;$AH127&amp;"일/구리 "&amp;$AI127&amp;"일)")),IF($AJ127="",$AE127,IF(INDEX(파견수련계획!$T$4:$T$803,$AJ127)="통합수련",INDEX(파견수련계획!$S$4:$S$803,$AJ127),$AE127)))))))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입력",IF(IF(TRIM($J127&amp;"")="",0,SUMPRODUCT((파견수련계획!$Q$4:$Q$803=TRIM($J127&amp;""))*(파견수련계획!$AA$4:$AA$803&lt;&gt;"")))&gt;0,"파견수련계획 입력오류 확인",IF(LEFT($Y127,1)="⚠","서울·구리 15일 판정 불가(양쪽 모두 이상/미만)",IF(IF($AC127="",0,N(INDEX(인턴근무계획!$T$3:$T$402,$AC127)))&gt;0,"인턴계획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IF($B127="","",IFERROR(MATCH($B127,기본자료!$B$2:$B$1001,0),IFERROR(MATCH($B127&amp;"",기본자료!$B$2:$B$1001,0),IFERROR(MATCH(VALUE($B127),기본자료!$B$2:$B$1001,0),""))))</f>
        <v/>
      </c>
      <c r="AC127" s="10">
        <f>IF($B127="","",IFERROR(MATCH($B127,인턴근무계획!$D$3:$D$402,0),IFERROR(MATCH($B127&amp;"",인턴근무계획!$D$3:$D$402,0),IFERROR(MATCH(VALUE($B127),인턴근무계획!$D$3:$D$402,0),""))))</f>
        <v/>
      </c>
      <c r="AD127" s="10">
        <f>IF(OR($AC127="",인턴현황!$G$3=""),"",INDEX(인턴근무계획!$M$3:$R$402,$AC127,인턴현황!$G$3)&amp;"")</f>
        <v/>
      </c>
      <c r="AE127" s="10">
        <f>IF($B127="","",IF($M127&lt;&gt;"",$M127,IF($AF127&lt;&gt;"",IF(LEFT(INDEX(파견수련계획!$R$4:$R$803,$AF127),1)&lt;&gt;"⚠",INDEX(파견수련계획!$R$4:$R$803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$803,0),IFERROR(MATCH(TRIM($J127&amp;"")&amp;"|파견예정",파견수련계획!$Y$4:$Y$803,0),IFERROR(MATCH(TRIM($J127&amp;"")&amp;"|파견종료",파견수련계획!$Y$4:$Y$803,0),""))))</f>
        <v/>
      </c>
      <c r="AG127" s="10">
        <f>IF($B127="","",IF(AND(IF(OR($AC127="",인턴현황!$K$2=""),"",INDEX(인턴근무계획!$M$3:$R$402,$AC127,인턴현황!$K$2)&amp;"")&lt;&gt;"",LEFT(IF(OR($AC127="",인턴현황!$K$2=""),"",INDEX(인턴근무계획!$M$3:$R$402,$AC127,인턴현황!$K$2)&amp;""),1)&lt;&gt;"⚠"),LEFT(IF(OR($AC127="",인턴현황!$K$2=""),"",INDEX(인턴근무계획!$M$3:$R$402,$AC127,인턴현황!$K$2)&amp;""),FIND(" ",IF(OR($AC127="",인턴현황!$K$2=""),"",INDEX(인턴근무계획!$M$3:$R$402,$AC127,인턴현황!$K$2)&amp;""))-1),$AE127))</f>
        <v/>
      </c>
      <c r="AH127" s="17">
        <f>IF($B127="","",IF(TRIM($J127&amp;"")="",0,SUMPRODUCT((파견수련계획!$Q$4:$Q$803=TRIM($J127&amp;""))*(파견수련계획!$S$4:$S$803="서울병원")*파견수련계획!$W$4:$W$803))+IF($AG127="서울병원",MAX(0,DAY(EOMONTH(요약!$B$3,0))-N($X127)),0))</f>
        <v/>
      </c>
      <c r="AI127" s="17">
        <f>IF($B127="","",IF(TRIM($J127&amp;"")="",0,SUMPRODUCT((파견수련계획!$Q$4:$Q$803=TRIM($J127&amp;""))*(파견수련계획!$S$4:$S$803="구리병원")*파견수련계획!$W$4:$W$803))+IF($AG127="구리병원",MAX(0,DAY(EOMONTH(요약!$B$3,0))-N($X127)),0))</f>
        <v/>
      </c>
      <c r="AJ127" s="10">
        <f>IF(OR($B127="",TRIM($J127&amp;"")=""),"",IFERROR(MATCH(TRIM($J127&amp;"")&amp;"|월",파견수련계획!$Z$4:$Z$803,0),""))</f>
        <v/>
      </c>
      <c r="AK127" s="10">
        <f>IF(OR($B127="",TRIM($J127&amp;"")=""),"",IFERROR(MATCH(TRIM($J127&amp;"")&amp;"|다기관",파견수련계획!$AE$4:$AE$803,0),""))</f>
        <v/>
      </c>
      <c r="AL127" s="10">
        <f>IF($AK127="","","다기관 "&amp;TEXT(INDEX(파견수련계획!$AB$4:$AB$803,$AK127),"yyyy-mm-dd")&amp;"~"&amp;IF(ISNUMBER(INDEX(파견수련계획!$AC$4:$AC$803,$AK127)),TEXT(INDEX(파견수련계획!$AC$4:$AC$803,$AK127),"yyyy-mm-dd"),""))</f>
        <v/>
      </c>
    </row>
    <row r="128">
      <c r="A128" s="10">
        <f>IF(B128="","",ROW()-1)</f>
        <v/>
      </c>
      <c r="B128" s="18" t="n"/>
      <c r="C128" s="10">
        <f>IF($AB128="","",IF(INDEX(기본자료!$C$2:$C$1001,$AB128)="","",INDEX(기본자료!$C$2:$C$1001,$AB128)))</f>
        <v/>
      </c>
      <c r="D128" s="10">
        <f>IF($AB128="","",IF(INDEX(기본자료!$J$2:$J$1001,$AB128)="","",INDEX(기본자료!$J$2:$J$1001,$AB128)))</f>
        <v/>
      </c>
      <c r="E128" s="11">
        <f>IF($AB128="","",IF(INDEX(기본자료!$K$2:$K$1001,$AB128)="","",IF(NOT(ISNUMBER(INDEX(기본자료!$K$2:$K$1001,$AB128))),INDEX(기본자료!$K$2:$K$1001,$AB128),IF(INDEX(기본자료!$K$2:$K$1001,$AB128)&lt;1000000,INDEX(기본자료!$K$2:$K$1001,$AB128),IF(AND(INDEX(기본자료!$K$2:$K$1001,$AB128)&gt;=10000101,INT(MOD(INDEX(기본자료!$K$2:$K$1001,$AB128),10000)/100)&gt;=1,INT(MOD(INDEX(기본자료!$K$2:$K$1001,$AB128),10000)/100)&lt;=12,MOD(INDEX(기본자료!$K$2:$K$1001,$AB128),100)&gt;=1,MOD(INDEX(기본자료!$K$2:$K$1001,$AB128),100)&lt;=31),DATE(INT(INDEX(기본자료!$K$2:$K$1001,$AB128)/10000),INT(MOD(INDEX(기본자료!$K$2:$K$1001,$AB128),10000)/100),MOD(INDEX(기본자료!$K$2:$K$1001,$AB128),100)),INDEX(기본자료!$K$2:$K$1001,$AB128)&amp;"")))))</f>
        <v/>
      </c>
      <c r="F128" s="10">
        <f>IF($AB128="","",IF(INDEX(기본자료!$D$2:$D$1001,$AB128)="","",INDEX(기본자료!$D$2:$D$1001,$AB128)))</f>
        <v/>
      </c>
      <c r="G128" s="10">
        <f>IF($AB128="","",IF(INDEX(기본자료!$E$2:$E$1001,$AB128)="","",INDEX(기본자료!$E$2:$E$1001,$AB128)))</f>
        <v/>
      </c>
      <c r="H128" s="10">
        <f>IF($AB128="","",IF(INDEX(기본자료!$F$2:$F$1001,$AB128)="","",INDEX(기본자료!$F$2:$F$1001,$AB128)))</f>
        <v/>
      </c>
      <c r="I128" s="11">
        <f>IF($AB128="","",IF(INDEX(기본자료!$G$2:$G$1001,$AB128)="","",IF(NOT(ISNUMBER(INDEX(기본자료!$G$2:$G$1001,$AB128))),INDEX(기본자료!$G$2:$G$1001,$AB128),IF(INDEX(기본자료!$G$2:$G$1001,$AB128)&lt;1000000,INDEX(기본자료!$G$2:$G$1001,$AB128),IF(AND(INDEX(기본자료!$G$2:$G$1001,$AB128)&gt;=10000101,INT(MOD(INDEX(기본자료!$G$2:$G$1001,$AB128),10000)/100)&gt;=1,INT(MOD(INDEX(기본자료!$G$2:$G$1001,$AB128),10000)/100)&lt;=12,MOD(INDEX(기본자료!$G$2:$G$1001,$AB128),100)&gt;=1,MOD(INDEX(기본자료!$G$2:$G$1001,$AB128),100)&lt;=31),DATE(INT(INDEX(기본자료!$G$2:$G$1001,$AB128)/10000),INT(MOD(INDEX(기본자료!$G$2:$G$1001,$AB128),10000)/100),MOD(INDEX(기본자료!$G$2:$G$1001,$AB128),100)),INDEX(기본자료!$G$2:$G$1001,$AB128)&amp;"")))))</f>
        <v/>
      </c>
      <c r="J128" s="10">
        <f>IF($AB128="","",IF(INDEX(기본자료!$H$2:$H$1001,$AB128)="","",INDEX(기본자료!$H$2:$H$1001,$AB128)))</f>
        <v/>
      </c>
      <c r="K128" s="10">
        <f>IF($AB128="","",IF(INDEX(기본자료!$I$2:$I$1001,$AB128)="","",INDEX(기본자료!$I$2:$I$1001,$AB128)))</f>
        <v/>
      </c>
      <c r="L128" s="10">
        <f>IF($AB128="","",IF(INDEX(기본자료!$A$2:$A$1001,$AB128)="","",INDEX(기본자료!$A$2:$A$1001,$AB128)))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파견수련계획!$AB$4:$AB$803,$AK128),OR(NOT(ISNUMBER(INDEX(파견수련계획!$AC$4:$AC$803,$AK128))),TODAY()&lt;=INDEX(파견수련계획!$AC$4:$AC$803,$AK128))),"다기관",IF($AF128="","",INDEX(파견수련계획!$T$4:$T$803,$AF128))),IF($AF128="","",INDEX(파견수련계획!$T$4:$T$803,$AF128))))</f>
        <v/>
      </c>
      <c r="Q128" s="10">
        <f>IF($AF128="","",INDEX(파견수련계획!$S$4:$S$803,$AF128))</f>
        <v/>
      </c>
      <c r="R128" s="10">
        <f>IF($AF128="","",INDEX(파견수련계획!$U$4:$U$803,$AF128))</f>
        <v/>
      </c>
      <c r="S128" s="11">
        <f>IF($AF128="","",IF(INDEX(파견수련계획!$H$4:$H$803,$AF128)="","",INDEX(파견수련계획!$H$4:$H$803,$AF128)))</f>
        <v/>
      </c>
      <c r="T128" s="11">
        <f>IF($AF128="","",IF(INDEX(파견수련계획!$I$4:$I$803,$AF128)="","",INDEX(파견수련계획!$I$4:$I$803,$AF128)))</f>
        <v/>
      </c>
      <c r="U128" s="10">
        <f>IF($AF128="","",INDEX(파견수련계획!$X$4:$X$803,$AF128))</f>
        <v/>
      </c>
      <c r="V128" s="17">
        <f>IF($AF128="","",INDEX(파견수련계획!$V$4:$V$803,$AF128))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IF(OR($B128="",TRIM($J128&amp;"")=""),"",SUMPRODUCT((파견수련계획!$Q$4:$Q$803=TRIM($J128&amp;""))*파견수련계획!$W$4:$W$803))</f>
        <v/>
      </c>
      <c r="Y128" s="10">
        <f>IF($B128="","",IF($AG128="","",IF(IF(TRIM($J128&amp;"")="",0,SUMPRODUCT((파견수련계획!$Q$4:$Q$803=TRIM($J128&amp;""))*파견수련계획!$AD$4:$AD$803))&gt;0,$AE128,IF(N($X128)&lt;=0,$AG128,IF($AH128+$AI128=DAY(EOMONTH(요약!$B$3,0)),IF(AND($AH128&gt;=요약!$E$3,$AI128&lt;요약!$E$3),"서울병원",IF(AND($AI128&gt;=요약!$E$3,$AH128&lt;요약!$E$3),"구리병원","⚠15일 판정불가(서울 "&amp;$AH128&amp;"일/구리 "&amp;$AI128&amp;"일)")),IF($AJ128="",$AE128,IF(INDEX(파견수련계획!$T$4:$T$803,$AJ128)="통합수련",INDEX(파견수련계획!$S$4:$S$803,$AJ128),$AE128)))))))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입력",IF(IF(TRIM($J128&amp;"")="",0,SUMPRODUCT((파견수련계획!$Q$4:$Q$803=TRIM($J128&amp;""))*(파견수련계획!$AA$4:$AA$803&lt;&gt;"")))&gt;0,"파견수련계획 입력오류 확인",IF(LEFT($Y128,1)="⚠","서울·구리 15일 판정 불가(양쪽 모두 이상/미만)",IF(IF($AC128="",0,N(INDEX(인턴근무계획!$T$3:$T$402,$AC128)))&gt;0,"인턴계획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IF($B128="","",IFERROR(MATCH($B128,기본자료!$B$2:$B$1001,0),IFERROR(MATCH($B128&amp;"",기본자료!$B$2:$B$1001,0),IFERROR(MATCH(VALUE($B128),기본자료!$B$2:$B$1001,0),""))))</f>
        <v/>
      </c>
      <c r="AC128" s="10">
        <f>IF($B128="","",IFERROR(MATCH($B128,인턴근무계획!$D$3:$D$402,0),IFERROR(MATCH($B128&amp;"",인턴근무계획!$D$3:$D$402,0),IFERROR(MATCH(VALUE($B128),인턴근무계획!$D$3:$D$402,0),""))))</f>
        <v/>
      </c>
      <c r="AD128" s="10">
        <f>IF(OR($AC128="",인턴현황!$G$3=""),"",INDEX(인턴근무계획!$M$3:$R$402,$AC128,인턴현황!$G$3)&amp;"")</f>
        <v/>
      </c>
      <c r="AE128" s="10">
        <f>IF($B128="","",IF($M128&lt;&gt;"",$M128,IF($AF128&lt;&gt;"",IF(LEFT(INDEX(파견수련계획!$R$4:$R$803,$AF128),1)&lt;&gt;"⚠",INDEX(파견수련계획!$R$4:$R$803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$803,0),IFERROR(MATCH(TRIM($J128&amp;"")&amp;"|파견예정",파견수련계획!$Y$4:$Y$803,0),IFERROR(MATCH(TRIM($J128&amp;"")&amp;"|파견종료",파견수련계획!$Y$4:$Y$803,0),""))))</f>
        <v/>
      </c>
      <c r="AG128" s="10">
        <f>IF($B128="","",IF(AND(IF(OR($AC128="",인턴현황!$K$2=""),"",INDEX(인턴근무계획!$M$3:$R$402,$AC128,인턴현황!$K$2)&amp;"")&lt;&gt;"",LEFT(IF(OR($AC128="",인턴현황!$K$2=""),"",INDEX(인턴근무계획!$M$3:$R$402,$AC128,인턴현황!$K$2)&amp;""),1)&lt;&gt;"⚠"),LEFT(IF(OR($AC128="",인턴현황!$K$2=""),"",INDEX(인턴근무계획!$M$3:$R$402,$AC128,인턴현황!$K$2)&amp;""),FIND(" ",IF(OR($AC128="",인턴현황!$K$2=""),"",INDEX(인턴근무계획!$M$3:$R$402,$AC128,인턴현황!$K$2)&amp;""))-1),$AE128))</f>
        <v/>
      </c>
      <c r="AH128" s="17">
        <f>IF($B128="","",IF(TRIM($J128&amp;"")="",0,SUMPRODUCT((파견수련계획!$Q$4:$Q$803=TRIM($J128&amp;""))*(파견수련계획!$S$4:$S$803="서울병원")*파견수련계획!$W$4:$W$803))+IF($AG128="서울병원",MAX(0,DAY(EOMONTH(요약!$B$3,0))-N($X128)),0))</f>
        <v/>
      </c>
      <c r="AI128" s="17">
        <f>IF($B128="","",IF(TRIM($J128&amp;"")="",0,SUMPRODUCT((파견수련계획!$Q$4:$Q$803=TRIM($J128&amp;""))*(파견수련계획!$S$4:$S$803="구리병원")*파견수련계획!$W$4:$W$803))+IF($AG128="구리병원",MAX(0,DAY(EOMONTH(요약!$B$3,0))-N($X128)),0))</f>
        <v/>
      </c>
      <c r="AJ128" s="10">
        <f>IF(OR($B128="",TRIM($J128&amp;"")=""),"",IFERROR(MATCH(TRIM($J128&amp;"")&amp;"|월",파견수련계획!$Z$4:$Z$803,0),""))</f>
        <v/>
      </c>
      <c r="AK128" s="10">
        <f>IF(OR($B128="",TRIM($J128&amp;"")=""),"",IFERROR(MATCH(TRIM($J128&amp;"")&amp;"|다기관",파견수련계획!$AE$4:$AE$803,0),""))</f>
        <v/>
      </c>
      <c r="AL128" s="10">
        <f>IF($AK128="","","다기관 "&amp;TEXT(INDEX(파견수련계획!$AB$4:$AB$803,$AK128),"yyyy-mm-dd")&amp;"~"&amp;IF(ISNUMBER(INDEX(파견수련계획!$AC$4:$AC$803,$AK128)),TEXT(INDEX(파견수련계획!$AC$4:$AC$803,$AK128),"yyyy-mm-dd"),""))</f>
        <v/>
      </c>
    </row>
    <row r="129">
      <c r="A129" s="10">
        <f>IF(B129="","",ROW()-1)</f>
        <v/>
      </c>
      <c r="B129" s="18" t="n"/>
      <c r="C129" s="10">
        <f>IF($AB129="","",IF(INDEX(기본자료!$C$2:$C$1001,$AB129)="","",INDEX(기본자료!$C$2:$C$1001,$AB129)))</f>
        <v/>
      </c>
      <c r="D129" s="10">
        <f>IF($AB129="","",IF(INDEX(기본자료!$J$2:$J$1001,$AB129)="","",INDEX(기본자료!$J$2:$J$1001,$AB129)))</f>
        <v/>
      </c>
      <c r="E129" s="11">
        <f>IF($AB129="","",IF(INDEX(기본자료!$K$2:$K$1001,$AB129)="","",IF(NOT(ISNUMBER(INDEX(기본자료!$K$2:$K$1001,$AB129))),INDEX(기본자료!$K$2:$K$1001,$AB129),IF(INDEX(기본자료!$K$2:$K$1001,$AB129)&lt;1000000,INDEX(기본자료!$K$2:$K$1001,$AB129),IF(AND(INDEX(기본자료!$K$2:$K$1001,$AB129)&gt;=10000101,INT(MOD(INDEX(기본자료!$K$2:$K$1001,$AB129),10000)/100)&gt;=1,INT(MOD(INDEX(기본자료!$K$2:$K$1001,$AB129),10000)/100)&lt;=12,MOD(INDEX(기본자료!$K$2:$K$1001,$AB129),100)&gt;=1,MOD(INDEX(기본자료!$K$2:$K$1001,$AB129),100)&lt;=31),DATE(INT(INDEX(기본자료!$K$2:$K$1001,$AB129)/10000),INT(MOD(INDEX(기본자료!$K$2:$K$1001,$AB129),10000)/100),MOD(INDEX(기본자료!$K$2:$K$1001,$AB129),100)),INDEX(기본자료!$K$2:$K$1001,$AB129)&amp;"")))))</f>
        <v/>
      </c>
      <c r="F129" s="10">
        <f>IF($AB129="","",IF(INDEX(기본자료!$D$2:$D$1001,$AB129)="","",INDEX(기본자료!$D$2:$D$1001,$AB129)))</f>
        <v/>
      </c>
      <c r="G129" s="10">
        <f>IF($AB129="","",IF(INDEX(기본자료!$E$2:$E$1001,$AB129)="","",INDEX(기본자료!$E$2:$E$1001,$AB129)))</f>
        <v/>
      </c>
      <c r="H129" s="10">
        <f>IF($AB129="","",IF(INDEX(기본자료!$F$2:$F$1001,$AB129)="","",INDEX(기본자료!$F$2:$F$1001,$AB129)))</f>
        <v/>
      </c>
      <c r="I129" s="11">
        <f>IF($AB129="","",IF(INDEX(기본자료!$G$2:$G$1001,$AB129)="","",IF(NOT(ISNUMBER(INDEX(기본자료!$G$2:$G$1001,$AB129))),INDEX(기본자료!$G$2:$G$1001,$AB129),IF(INDEX(기본자료!$G$2:$G$1001,$AB129)&lt;1000000,INDEX(기본자료!$G$2:$G$1001,$AB129),IF(AND(INDEX(기본자료!$G$2:$G$1001,$AB129)&gt;=10000101,INT(MOD(INDEX(기본자료!$G$2:$G$1001,$AB129),10000)/100)&gt;=1,INT(MOD(INDEX(기본자료!$G$2:$G$1001,$AB129),10000)/100)&lt;=12,MOD(INDEX(기본자료!$G$2:$G$1001,$AB129),100)&gt;=1,MOD(INDEX(기본자료!$G$2:$G$1001,$AB129),100)&lt;=31),DATE(INT(INDEX(기본자료!$G$2:$G$1001,$AB129)/10000),INT(MOD(INDEX(기본자료!$G$2:$G$1001,$AB129),10000)/100),MOD(INDEX(기본자료!$G$2:$G$1001,$AB129),100)),INDEX(기본자료!$G$2:$G$1001,$AB129)&amp;"")))))</f>
        <v/>
      </c>
      <c r="J129" s="10">
        <f>IF($AB129="","",IF(INDEX(기본자료!$H$2:$H$1001,$AB129)="","",INDEX(기본자료!$H$2:$H$1001,$AB129)))</f>
        <v/>
      </c>
      <c r="K129" s="10">
        <f>IF($AB129="","",IF(INDEX(기본자료!$I$2:$I$1001,$AB129)="","",INDEX(기본자료!$I$2:$I$1001,$AB129)))</f>
        <v/>
      </c>
      <c r="L129" s="10">
        <f>IF($AB129="","",IF(INDEX(기본자료!$A$2:$A$1001,$AB129)="","",INDEX(기본자료!$A$2:$A$1001,$AB129)))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파견수련계획!$AB$4:$AB$803,$AK129),OR(NOT(ISNUMBER(INDEX(파견수련계획!$AC$4:$AC$803,$AK129))),TODAY()&lt;=INDEX(파견수련계획!$AC$4:$AC$803,$AK129))),"다기관",IF($AF129="","",INDEX(파견수련계획!$T$4:$T$803,$AF129))),IF($AF129="","",INDEX(파견수련계획!$T$4:$T$803,$AF129))))</f>
        <v/>
      </c>
      <c r="Q129" s="10">
        <f>IF($AF129="","",INDEX(파견수련계획!$S$4:$S$803,$AF129))</f>
        <v/>
      </c>
      <c r="R129" s="10">
        <f>IF($AF129="","",INDEX(파견수련계획!$U$4:$U$803,$AF129))</f>
        <v/>
      </c>
      <c r="S129" s="11">
        <f>IF($AF129="","",IF(INDEX(파견수련계획!$H$4:$H$803,$AF129)="","",INDEX(파견수련계획!$H$4:$H$803,$AF129)))</f>
        <v/>
      </c>
      <c r="T129" s="11">
        <f>IF($AF129="","",IF(INDEX(파견수련계획!$I$4:$I$803,$AF129)="","",INDEX(파견수련계획!$I$4:$I$803,$AF129)))</f>
        <v/>
      </c>
      <c r="U129" s="10">
        <f>IF($AF129="","",INDEX(파견수련계획!$X$4:$X$803,$AF129))</f>
        <v/>
      </c>
      <c r="V129" s="17">
        <f>IF($AF129="","",INDEX(파견수련계획!$V$4:$V$803,$AF129))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IF(OR($B129="",TRIM($J129&amp;"")=""),"",SUMPRODUCT((파견수련계획!$Q$4:$Q$803=TRIM($J129&amp;""))*파견수련계획!$W$4:$W$803))</f>
        <v/>
      </c>
      <c r="Y129" s="10">
        <f>IF($B129="","",IF($AG129="","",IF(IF(TRIM($J129&amp;"")="",0,SUMPRODUCT((파견수련계획!$Q$4:$Q$803=TRIM($J129&amp;""))*파견수련계획!$AD$4:$AD$803))&gt;0,$AE129,IF(N($X129)&lt;=0,$AG129,IF($AH129+$AI129=DAY(EOMONTH(요약!$B$3,0)),IF(AND($AH129&gt;=요약!$E$3,$AI129&lt;요약!$E$3),"서울병원",IF(AND($AI129&gt;=요약!$E$3,$AH129&lt;요약!$E$3),"구리병원","⚠15일 판정불가(서울 "&amp;$AH129&amp;"일/구리 "&amp;$AI129&amp;"일)")),IF($AJ129="",$AE129,IF(INDEX(파견수련계획!$T$4:$T$803,$AJ129)="통합수련",INDEX(파견수련계획!$S$4:$S$803,$AJ129),$AE129)))))))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입력",IF(IF(TRIM($J129&amp;"")="",0,SUMPRODUCT((파견수련계획!$Q$4:$Q$803=TRIM($J129&amp;""))*(파견수련계획!$AA$4:$AA$803&lt;&gt;"")))&gt;0,"파견수련계획 입력오류 확인",IF(LEFT($Y129,1)="⚠","서울·구리 15일 판정 불가(양쪽 모두 이상/미만)",IF(IF($AC129="",0,N(INDEX(인턴근무계획!$T$3:$T$402,$AC129)))&gt;0,"인턴계획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IF($B129="","",IFERROR(MATCH($B129,기본자료!$B$2:$B$1001,0),IFERROR(MATCH($B129&amp;"",기본자료!$B$2:$B$1001,0),IFERROR(MATCH(VALUE($B129),기본자료!$B$2:$B$1001,0),""))))</f>
        <v/>
      </c>
      <c r="AC129" s="10">
        <f>IF($B129="","",IFERROR(MATCH($B129,인턴근무계획!$D$3:$D$402,0),IFERROR(MATCH($B129&amp;"",인턴근무계획!$D$3:$D$402,0),IFERROR(MATCH(VALUE($B129),인턴근무계획!$D$3:$D$402,0),""))))</f>
        <v/>
      </c>
      <c r="AD129" s="10">
        <f>IF(OR($AC129="",인턴현황!$G$3=""),"",INDEX(인턴근무계획!$M$3:$R$402,$AC129,인턴현황!$G$3)&amp;"")</f>
        <v/>
      </c>
      <c r="AE129" s="10">
        <f>IF($B129="","",IF($M129&lt;&gt;"",$M129,IF($AF129&lt;&gt;"",IF(LEFT(INDEX(파견수련계획!$R$4:$R$803,$AF129),1)&lt;&gt;"⚠",INDEX(파견수련계획!$R$4:$R$803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$803,0),IFERROR(MATCH(TRIM($J129&amp;"")&amp;"|파견예정",파견수련계획!$Y$4:$Y$803,0),IFERROR(MATCH(TRIM($J129&amp;"")&amp;"|파견종료",파견수련계획!$Y$4:$Y$803,0),""))))</f>
        <v/>
      </c>
      <c r="AG129" s="10">
        <f>IF($B129="","",IF(AND(IF(OR($AC129="",인턴현황!$K$2=""),"",INDEX(인턴근무계획!$M$3:$R$402,$AC129,인턴현황!$K$2)&amp;"")&lt;&gt;"",LEFT(IF(OR($AC129="",인턴현황!$K$2=""),"",INDEX(인턴근무계획!$M$3:$R$402,$AC129,인턴현황!$K$2)&amp;""),1)&lt;&gt;"⚠"),LEFT(IF(OR($AC129="",인턴현황!$K$2=""),"",INDEX(인턴근무계획!$M$3:$R$402,$AC129,인턴현황!$K$2)&amp;""),FIND(" ",IF(OR($AC129="",인턴현황!$K$2=""),"",INDEX(인턴근무계획!$M$3:$R$402,$AC129,인턴현황!$K$2)&amp;""))-1),$AE129))</f>
        <v/>
      </c>
      <c r="AH129" s="17">
        <f>IF($B129="","",IF(TRIM($J129&amp;"")="",0,SUMPRODUCT((파견수련계획!$Q$4:$Q$803=TRIM($J129&amp;""))*(파견수련계획!$S$4:$S$803="서울병원")*파견수련계획!$W$4:$W$803))+IF($AG129="서울병원",MAX(0,DAY(EOMONTH(요약!$B$3,0))-N($X129)),0))</f>
        <v/>
      </c>
      <c r="AI129" s="17">
        <f>IF($B129="","",IF(TRIM($J129&amp;"")="",0,SUMPRODUCT((파견수련계획!$Q$4:$Q$803=TRIM($J129&amp;""))*(파견수련계획!$S$4:$S$803="구리병원")*파견수련계획!$W$4:$W$803))+IF($AG129="구리병원",MAX(0,DAY(EOMONTH(요약!$B$3,0))-N($X129)),0))</f>
        <v/>
      </c>
      <c r="AJ129" s="10">
        <f>IF(OR($B129="",TRIM($J129&amp;"")=""),"",IFERROR(MATCH(TRIM($J129&amp;"")&amp;"|월",파견수련계획!$Z$4:$Z$803,0),""))</f>
        <v/>
      </c>
      <c r="AK129" s="10">
        <f>IF(OR($B129="",TRIM($J129&amp;"")=""),"",IFERROR(MATCH(TRIM($J129&amp;"")&amp;"|다기관",파견수련계획!$AE$4:$AE$803,0),""))</f>
        <v/>
      </c>
      <c r="AL129" s="10">
        <f>IF($AK129="","","다기관 "&amp;TEXT(INDEX(파견수련계획!$AB$4:$AB$803,$AK129),"yyyy-mm-dd")&amp;"~"&amp;IF(ISNUMBER(INDEX(파견수련계획!$AC$4:$AC$803,$AK129)),TEXT(INDEX(파견수련계획!$AC$4:$AC$803,$AK129),"yyyy-mm-dd"),""))</f>
        <v/>
      </c>
    </row>
    <row r="130">
      <c r="A130" s="10">
        <f>IF(B130="","",ROW()-1)</f>
        <v/>
      </c>
      <c r="B130" s="18" t="n"/>
      <c r="C130" s="10">
        <f>IF($AB130="","",IF(INDEX(기본자료!$C$2:$C$1001,$AB130)="","",INDEX(기본자료!$C$2:$C$1001,$AB130)))</f>
        <v/>
      </c>
      <c r="D130" s="10">
        <f>IF($AB130="","",IF(INDEX(기본자료!$J$2:$J$1001,$AB130)="","",INDEX(기본자료!$J$2:$J$1001,$AB130)))</f>
        <v/>
      </c>
      <c r="E130" s="11">
        <f>IF($AB130="","",IF(INDEX(기본자료!$K$2:$K$1001,$AB130)="","",IF(NOT(ISNUMBER(INDEX(기본자료!$K$2:$K$1001,$AB130))),INDEX(기본자료!$K$2:$K$1001,$AB130),IF(INDEX(기본자료!$K$2:$K$1001,$AB130)&lt;1000000,INDEX(기본자료!$K$2:$K$1001,$AB130),IF(AND(INDEX(기본자료!$K$2:$K$1001,$AB130)&gt;=10000101,INT(MOD(INDEX(기본자료!$K$2:$K$1001,$AB130),10000)/100)&gt;=1,INT(MOD(INDEX(기본자료!$K$2:$K$1001,$AB130),10000)/100)&lt;=12,MOD(INDEX(기본자료!$K$2:$K$1001,$AB130),100)&gt;=1,MOD(INDEX(기본자료!$K$2:$K$1001,$AB130),100)&lt;=31),DATE(INT(INDEX(기본자료!$K$2:$K$1001,$AB130)/10000),INT(MOD(INDEX(기본자료!$K$2:$K$1001,$AB130),10000)/100),MOD(INDEX(기본자료!$K$2:$K$1001,$AB130),100)),INDEX(기본자료!$K$2:$K$1001,$AB130)&amp;"")))))</f>
        <v/>
      </c>
      <c r="F130" s="10">
        <f>IF($AB130="","",IF(INDEX(기본자료!$D$2:$D$1001,$AB130)="","",INDEX(기본자료!$D$2:$D$1001,$AB130)))</f>
        <v/>
      </c>
      <c r="G130" s="10">
        <f>IF($AB130="","",IF(INDEX(기본자료!$E$2:$E$1001,$AB130)="","",INDEX(기본자료!$E$2:$E$1001,$AB130)))</f>
        <v/>
      </c>
      <c r="H130" s="10">
        <f>IF($AB130="","",IF(INDEX(기본자료!$F$2:$F$1001,$AB130)="","",INDEX(기본자료!$F$2:$F$1001,$AB130)))</f>
        <v/>
      </c>
      <c r="I130" s="11">
        <f>IF($AB130="","",IF(INDEX(기본자료!$G$2:$G$1001,$AB130)="","",IF(NOT(ISNUMBER(INDEX(기본자료!$G$2:$G$1001,$AB130))),INDEX(기본자료!$G$2:$G$1001,$AB130),IF(INDEX(기본자료!$G$2:$G$1001,$AB130)&lt;1000000,INDEX(기본자료!$G$2:$G$1001,$AB130),IF(AND(INDEX(기본자료!$G$2:$G$1001,$AB130)&gt;=10000101,INT(MOD(INDEX(기본자료!$G$2:$G$1001,$AB130),10000)/100)&gt;=1,INT(MOD(INDEX(기본자료!$G$2:$G$1001,$AB130),10000)/100)&lt;=12,MOD(INDEX(기본자료!$G$2:$G$1001,$AB130),100)&gt;=1,MOD(INDEX(기본자료!$G$2:$G$1001,$AB130),100)&lt;=31),DATE(INT(INDEX(기본자료!$G$2:$G$1001,$AB130)/10000),INT(MOD(INDEX(기본자료!$G$2:$G$1001,$AB130),10000)/100),MOD(INDEX(기본자료!$G$2:$G$1001,$AB130),100)),INDEX(기본자료!$G$2:$G$1001,$AB130)&amp;"")))))</f>
        <v/>
      </c>
      <c r="J130" s="10">
        <f>IF($AB130="","",IF(INDEX(기본자료!$H$2:$H$1001,$AB130)="","",INDEX(기본자료!$H$2:$H$1001,$AB130)))</f>
        <v/>
      </c>
      <c r="K130" s="10">
        <f>IF($AB130="","",IF(INDEX(기본자료!$I$2:$I$1001,$AB130)="","",INDEX(기본자료!$I$2:$I$1001,$AB130)))</f>
        <v/>
      </c>
      <c r="L130" s="10">
        <f>IF($AB130="","",IF(INDEX(기본자료!$A$2:$A$1001,$AB130)="","",INDEX(기본자료!$A$2:$A$1001,$AB130)))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파견수련계획!$AB$4:$AB$803,$AK130),OR(NOT(ISNUMBER(INDEX(파견수련계획!$AC$4:$AC$803,$AK130))),TODAY()&lt;=INDEX(파견수련계획!$AC$4:$AC$803,$AK130))),"다기관",IF($AF130="","",INDEX(파견수련계획!$T$4:$T$803,$AF130))),IF($AF130="","",INDEX(파견수련계획!$T$4:$T$803,$AF130))))</f>
        <v/>
      </c>
      <c r="Q130" s="10">
        <f>IF($AF130="","",INDEX(파견수련계획!$S$4:$S$803,$AF130))</f>
        <v/>
      </c>
      <c r="R130" s="10">
        <f>IF($AF130="","",INDEX(파견수련계획!$U$4:$U$803,$AF130))</f>
        <v/>
      </c>
      <c r="S130" s="11">
        <f>IF($AF130="","",IF(INDEX(파견수련계획!$H$4:$H$803,$AF130)="","",INDEX(파견수련계획!$H$4:$H$803,$AF130)))</f>
        <v/>
      </c>
      <c r="T130" s="11">
        <f>IF($AF130="","",IF(INDEX(파견수련계획!$I$4:$I$803,$AF130)="","",INDEX(파견수련계획!$I$4:$I$803,$AF130)))</f>
        <v/>
      </c>
      <c r="U130" s="10">
        <f>IF($AF130="","",INDEX(파견수련계획!$X$4:$X$803,$AF130))</f>
        <v/>
      </c>
      <c r="V130" s="17">
        <f>IF($AF130="","",INDEX(파견수련계획!$V$4:$V$803,$AF130))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IF(OR($B130="",TRIM($J130&amp;"")=""),"",SUMPRODUCT((파견수련계획!$Q$4:$Q$803=TRIM($J130&amp;""))*파견수련계획!$W$4:$W$803))</f>
        <v/>
      </c>
      <c r="Y130" s="10">
        <f>IF($B130="","",IF($AG130="","",IF(IF(TRIM($J130&amp;"")="",0,SUMPRODUCT((파견수련계획!$Q$4:$Q$803=TRIM($J130&amp;""))*파견수련계획!$AD$4:$AD$803))&gt;0,$AE130,IF(N($X130)&lt;=0,$AG130,IF($AH130+$AI130=DAY(EOMONTH(요약!$B$3,0)),IF(AND($AH130&gt;=요약!$E$3,$AI130&lt;요약!$E$3),"서울병원",IF(AND($AI130&gt;=요약!$E$3,$AH130&lt;요약!$E$3),"구리병원","⚠15일 판정불가(서울 "&amp;$AH130&amp;"일/구리 "&amp;$AI130&amp;"일)")),IF($AJ130="",$AE130,IF(INDEX(파견수련계획!$T$4:$T$803,$AJ130)="통합수련",INDEX(파견수련계획!$S$4:$S$803,$AJ130),$AE130)))))))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입력",IF(IF(TRIM($J130&amp;"")="",0,SUMPRODUCT((파견수련계획!$Q$4:$Q$803=TRIM($J130&amp;""))*(파견수련계획!$AA$4:$AA$803&lt;&gt;"")))&gt;0,"파견수련계획 입력오류 확인",IF(LEFT($Y130,1)="⚠","서울·구리 15일 판정 불가(양쪽 모두 이상/미만)",IF(IF($AC130="",0,N(INDEX(인턴근무계획!$T$3:$T$402,$AC130)))&gt;0,"인턴계획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IF($B130="","",IFERROR(MATCH($B130,기본자료!$B$2:$B$1001,0),IFERROR(MATCH($B130&amp;"",기본자료!$B$2:$B$1001,0),IFERROR(MATCH(VALUE($B130),기본자료!$B$2:$B$1001,0),""))))</f>
        <v/>
      </c>
      <c r="AC130" s="10">
        <f>IF($B130="","",IFERROR(MATCH($B130,인턴근무계획!$D$3:$D$402,0),IFERROR(MATCH($B130&amp;"",인턴근무계획!$D$3:$D$402,0),IFERROR(MATCH(VALUE($B130),인턴근무계획!$D$3:$D$402,0),""))))</f>
        <v/>
      </c>
      <c r="AD130" s="10">
        <f>IF(OR($AC130="",인턴현황!$G$3=""),"",INDEX(인턴근무계획!$M$3:$R$402,$AC130,인턴현황!$G$3)&amp;"")</f>
        <v/>
      </c>
      <c r="AE130" s="10">
        <f>IF($B130="","",IF($M130&lt;&gt;"",$M130,IF($AF130&lt;&gt;"",IF(LEFT(INDEX(파견수련계획!$R$4:$R$803,$AF130),1)&lt;&gt;"⚠",INDEX(파견수련계획!$R$4:$R$803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$803,0),IFERROR(MATCH(TRIM($J130&amp;"")&amp;"|파견예정",파견수련계획!$Y$4:$Y$803,0),IFERROR(MATCH(TRIM($J130&amp;"")&amp;"|파견종료",파견수련계획!$Y$4:$Y$803,0),""))))</f>
        <v/>
      </c>
      <c r="AG130" s="10">
        <f>IF($B130="","",IF(AND(IF(OR($AC130="",인턴현황!$K$2=""),"",INDEX(인턴근무계획!$M$3:$R$402,$AC130,인턴현황!$K$2)&amp;"")&lt;&gt;"",LEFT(IF(OR($AC130="",인턴현황!$K$2=""),"",INDEX(인턴근무계획!$M$3:$R$402,$AC130,인턴현황!$K$2)&amp;""),1)&lt;&gt;"⚠"),LEFT(IF(OR($AC130="",인턴현황!$K$2=""),"",INDEX(인턴근무계획!$M$3:$R$402,$AC130,인턴현황!$K$2)&amp;""),FIND(" ",IF(OR($AC130="",인턴현황!$K$2=""),"",INDEX(인턴근무계획!$M$3:$R$402,$AC130,인턴현황!$K$2)&amp;""))-1),$AE130))</f>
        <v/>
      </c>
      <c r="AH130" s="17">
        <f>IF($B130="","",IF(TRIM($J130&amp;"")="",0,SUMPRODUCT((파견수련계획!$Q$4:$Q$803=TRIM($J130&amp;""))*(파견수련계획!$S$4:$S$803="서울병원")*파견수련계획!$W$4:$W$803))+IF($AG130="서울병원",MAX(0,DAY(EOMONTH(요약!$B$3,0))-N($X130)),0))</f>
        <v/>
      </c>
      <c r="AI130" s="17">
        <f>IF($B130="","",IF(TRIM($J130&amp;"")="",0,SUMPRODUCT((파견수련계획!$Q$4:$Q$803=TRIM($J130&amp;""))*(파견수련계획!$S$4:$S$803="구리병원")*파견수련계획!$W$4:$W$803))+IF($AG130="구리병원",MAX(0,DAY(EOMONTH(요약!$B$3,0))-N($X130)),0))</f>
        <v/>
      </c>
      <c r="AJ130" s="10">
        <f>IF(OR($B130="",TRIM($J130&amp;"")=""),"",IFERROR(MATCH(TRIM($J130&amp;"")&amp;"|월",파견수련계획!$Z$4:$Z$803,0),""))</f>
        <v/>
      </c>
      <c r="AK130" s="10">
        <f>IF(OR($B130="",TRIM($J130&amp;"")=""),"",IFERROR(MATCH(TRIM($J130&amp;"")&amp;"|다기관",파견수련계획!$AE$4:$AE$803,0),""))</f>
        <v/>
      </c>
      <c r="AL130" s="10">
        <f>IF($AK130="","","다기관 "&amp;TEXT(INDEX(파견수련계획!$AB$4:$AB$803,$AK130),"yyyy-mm-dd")&amp;"~"&amp;IF(ISNUMBER(INDEX(파견수련계획!$AC$4:$AC$803,$AK130)),TEXT(INDEX(파견수련계획!$AC$4:$AC$803,$AK130),"yyyy-mm-dd"),""))</f>
        <v/>
      </c>
    </row>
    <row r="131">
      <c r="A131" s="10">
        <f>IF(B131="","",ROW()-1)</f>
        <v/>
      </c>
      <c r="B131" s="18" t="n"/>
      <c r="C131" s="10">
        <f>IF($AB131="","",IF(INDEX(기본자료!$C$2:$C$1001,$AB131)="","",INDEX(기본자료!$C$2:$C$1001,$AB131)))</f>
        <v/>
      </c>
      <c r="D131" s="10">
        <f>IF($AB131="","",IF(INDEX(기본자료!$J$2:$J$1001,$AB131)="","",INDEX(기본자료!$J$2:$J$1001,$AB131)))</f>
        <v/>
      </c>
      <c r="E131" s="11">
        <f>IF($AB131="","",IF(INDEX(기본자료!$K$2:$K$1001,$AB131)="","",IF(NOT(ISNUMBER(INDEX(기본자료!$K$2:$K$1001,$AB131))),INDEX(기본자료!$K$2:$K$1001,$AB131),IF(INDEX(기본자료!$K$2:$K$1001,$AB131)&lt;1000000,INDEX(기본자료!$K$2:$K$1001,$AB131),IF(AND(INDEX(기본자료!$K$2:$K$1001,$AB131)&gt;=10000101,INT(MOD(INDEX(기본자료!$K$2:$K$1001,$AB131),10000)/100)&gt;=1,INT(MOD(INDEX(기본자료!$K$2:$K$1001,$AB131),10000)/100)&lt;=12,MOD(INDEX(기본자료!$K$2:$K$1001,$AB131),100)&gt;=1,MOD(INDEX(기본자료!$K$2:$K$1001,$AB131),100)&lt;=31),DATE(INT(INDEX(기본자료!$K$2:$K$1001,$AB131)/10000),INT(MOD(INDEX(기본자료!$K$2:$K$1001,$AB131),10000)/100),MOD(INDEX(기본자료!$K$2:$K$1001,$AB131),100)),INDEX(기본자료!$K$2:$K$1001,$AB131)&amp;"")))))</f>
        <v/>
      </c>
      <c r="F131" s="10">
        <f>IF($AB131="","",IF(INDEX(기본자료!$D$2:$D$1001,$AB131)="","",INDEX(기본자료!$D$2:$D$1001,$AB131)))</f>
        <v/>
      </c>
      <c r="G131" s="10">
        <f>IF($AB131="","",IF(INDEX(기본자료!$E$2:$E$1001,$AB131)="","",INDEX(기본자료!$E$2:$E$1001,$AB131)))</f>
        <v/>
      </c>
      <c r="H131" s="10">
        <f>IF($AB131="","",IF(INDEX(기본자료!$F$2:$F$1001,$AB131)="","",INDEX(기본자료!$F$2:$F$1001,$AB131)))</f>
        <v/>
      </c>
      <c r="I131" s="11">
        <f>IF($AB131="","",IF(INDEX(기본자료!$G$2:$G$1001,$AB131)="","",IF(NOT(ISNUMBER(INDEX(기본자료!$G$2:$G$1001,$AB131))),INDEX(기본자료!$G$2:$G$1001,$AB131),IF(INDEX(기본자료!$G$2:$G$1001,$AB131)&lt;1000000,INDEX(기본자료!$G$2:$G$1001,$AB131),IF(AND(INDEX(기본자료!$G$2:$G$1001,$AB131)&gt;=10000101,INT(MOD(INDEX(기본자료!$G$2:$G$1001,$AB131),10000)/100)&gt;=1,INT(MOD(INDEX(기본자료!$G$2:$G$1001,$AB131),10000)/100)&lt;=12,MOD(INDEX(기본자료!$G$2:$G$1001,$AB131),100)&gt;=1,MOD(INDEX(기본자료!$G$2:$G$1001,$AB131),100)&lt;=31),DATE(INT(INDEX(기본자료!$G$2:$G$1001,$AB131)/10000),INT(MOD(INDEX(기본자료!$G$2:$G$1001,$AB131),10000)/100),MOD(INDEX(기본자료!$G$2:$G$1001,$AB131),100)),INDEX(기본자료!$G$2:$G$1001,$AB131)&amp;"")))))</f>
        <v/>
      </c>
      <c r="J131" s="10">
        <f>IF($AB131="","",IF(INDEX(기본자료!$H$2:$H$1001,$AB131)="","",INDEX(기본자료!$H$2:$H$1001,$AB131)))</f>
        <v/>
      </c>
      <c r="K131" s="10">
        <f>IF($AB131="","",IF(INDEX(기본자료!$I$2:$I$1001,$AB131)="","",INDEX(기본자료!$I$2:$I$1001,$AB131)))</f>
        <v/>
      </c>
      <c r="L131" s="10">
        <f>IF($AB131="","",IF(INDEX(기본자료!$A$2:$A$1001,$AB131)="","",INDEX(기본자료!$A$2:$A$1001,$AB131)))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파견수련계획!$AB$4:$AB$803,$AK131),OR(NOT(ISNUMBER(INDEX(파견수련계획!$AC$4:$AC$803,$AK131))),TODAY()&lt;=INDEX(파견수련계획!$AC$4:$AC$803,$AK131))),"다기관",IF($AF131="","",INDEX(파견수련계획!$T$4:$T$803,$AF131))),IF($AF131="","",INDEX(파견수련계획!$T$4:$T$803,$AF131))))</f>
        <v/>
      </c>
      <c r="Q131" s="10">
        <f>IF($AF131="","",INDEX(파견수련계획!$S$4:$S$803,$AF131))</f>
        <v/>
      </c>
      <c r="R131" s="10">
        <f>IF($AF131="","",INDEX(파견수련계획!$U$4:$U$803,$AF131))</f>
        <v/>
      </c>
      <c r="S131" s="11">
        <f>IF($AF131="","",IF(INDEX(파견수련계획!$H$4:$H$803,$AF131)="","",INDEX(파견수련계획!$H$4:$H$803,$AF131)))</f>
        <v/>
      </c>
      <c r="T131" s="11">
        <f>IF($AF131="","",IF(INDEX(파견수련계획!$I$4:$I$803,$AF131)="","",INDEX(파견수련계획!$I$4:$I$803,$AF131)))</f>
        <v/>
      </c>
      <c r="U131" s="10">
        <f>IF($AF131="","",INDEX(파견수련계획!$X$4:$X$803,$AF131))</f>
        <v/>
      </c>
      <c r="V131" s="17">
        <f>IF($AF131="","",INDEX(파견수련계획!$V$4:$V$803,$AF131))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IF(OR($B131="",TRIM($J131&amp;"")=""),"",SUMPRODUCT((파견수련계획!$Q$4:$Q$803=TRIM($J131&amp;""))*파견수련계획!$W$4:$W$803))</f>
        <v/>
      </c>
      <c r="Y131" s="10">
        <f>IF($B131="","",IF($AG131="","",IF(IF(TRIM($J131&amp;"")="",0,SUMPRODUCT((파견수련계획!$Q$4:$Q$803=TRIM($J131&amp;""))*파견수련계획!$AD$4:$AD$803))&gt;0,$AE131,IF(N($X131)&lt;=0,$AG131,IF($AH131+$AI131=DAY(EOMONTH(요약!$B$3,0)),IF(AND($AH131&gt;=요약!$E$3,$AI131&lt;요약!$E$3),"서울병원",IF(AND($AI131&gt;=요약!$E$3,$AH131&lt;요약!$E$3),"구리병원","⚠15일 판정불가(서울 "&amp;$AH131&amp;"일/구리 "&amp;$AI131&amp;"일)")),IF($AJ131="",$AE131,IF(INDEX(파견수련계획!$T$4:$T$803,$AJ131)="통합수련",INDEX(파견수련계획!$S$4:$S$803,$AJ131),$AE131)))))))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입력",IF(IF(TRIM($J131&amp;"")="",0,SUMPRODUCT((파견수련계획!$Q$4:$Q$803=TRIM($J131&amp;""))*(파견수련계획!$AA$4:$AA$803&lt;&gt;"")))&gt;0,"파견수련계획 입력오류 확인",IF(LEFT($Y131,1)="⚠","서울·구리 15일 판정 불가(양쪽 모두 이상/미만)",IF(IF($AC131="",0,N(INDEX(인턴근무계획!$T$3:$T$402,$AC131)))&gt;0,"인턴계획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IF($B131="","",IFERROR(MATCH($B131,기본자료!$B$2:$B$1001,0),IFERROR(MATCH($B131&amp;"",기본자료!$B$2:$B$1001,0),IFERROR(MATCH(VALUE($B131),기본자료!$B$2:$B$1001,0),""))))</f>
        <v/>
      </c>
      <c r="AC131" s="10">
        <f>IF($B131="","",IFERROR(MATCH($B131,인턴근무계획!$D$3:$D$402,0),IFERROR(MATCH($B131&amp;"",인턴근무계획!$D$3:$D$402,0),IFERROR(MATCH(VALUE($B131),인턴근무계획!$D$3:$D$402,0),""))))</f>
        <v/>
      </c>
      <c r="AD131" s="10">
        <f>IF(OR($AC131="",인턴현황!$G$3=""),"",INDEX(인턴근무계획!$M$3:$R$402,$AC131,인턴현황!$G$3)&amp;"")</f>
        <v/>
      </c>
      <c r="AE131" s="10">
        <f>IF($B131="","",IF($M131&lt;&gt;"",$M131,IF($AF131&lt;&gt;"",IF(LEFT(INDEX(파견수련계획!$R$4:$R$803,$AF131),1)&lt;&gt;"⚠",INDEX(파견수련계획!$R$4:$R$803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$803,0),IFERROR(MATCH(TRIM($J131&amp;"")&amp;"|파견예정",파견수련계획!$Y$4:$Y$803,0),IFERROR(MATCH(TRIM($J131&amp;"")&amp;"|파견종료",파견수련계획!$Y$4:$Y$803,0),""))))</f>
        <v/>
      </c>
      <c r="AG131" s="10">
        <f>IF($B131="","",IF(AND(IF(OR($AC131="",인턴현황!$K$2=""),"",INDEX(인턴근무계획!$M$3:$R$402,$AC131,인턴현황!$K$2)&amp;"")&lt;&gt;"",LEFT(IF(OR($AC131="",인턴현황!$K$2=""),"",INDEX(인턴근무계획!$M$3:$R$402,$AC131,인턴현황!$K$2)&amp;""),1)&lt;&gt;"⚠"),LEFT(IF(OR($AC131="",인턴현황!$K$2=""),"",INDEX(인턴근무계획!$M$3:$R$402,$AC131,인턴현황!$K$2)&amp;""),FIND(" ",IF(OR($AC131="",인턴현황!$K$2=""),"",INDEX(인턴근무계획!$M$3:$R$402,$AC131,인턴현황!$K$2)&amp;""))-1),$AE131))</f>
        <v/>
      </c>
      <c r="AH131" s="17">
        <f>IF($B131="","",IF(TRIM($J131&amp;"")="",0,SUMPRODUCT((파견수련계획!$Q$4:$Q$803=TRIM($J131&amp;""))*(파견수련계획!$S$4:$S$803="서울병원")*파견수련계획!$W$4:$W$803))+IF($AG131="서울병원",MAX(0,DAY(EOMONTH(요약!$B$3,0))-N($X131)),0))</f>
        <v/>
      </c>
      <c r="AI131" s="17">
        <f>IF($B131="","",IF(TRIM($J131&amp;"")="",0,SUMPRODUCT((파견수련계획!$Q$4:$Q$803=TRIM($J131&amp;""))*(파견수련계획!$S$4:$S$803="구리병원")*파견수련계획!$W$4:$W$803))+IF($AG131="구리병원",MAX(0,DAY(EOMONTH(요약!$B$3,0))-N($X131)),0))</f>
        <v/>
      </c>
      <c r="AJ131" s="10">
        <f>IF(OR($B131="",TRIM($J131&amp;"")=""),"",IFERROR(MATCH(TRIM($J131&amp;"")&amp;"|월",파견수련계획!$Z$4:$Z$803,0),""))</f>
        <v/>
      </c>
      <c r="AK131" s="10">
        <f>IF(OR($B131="",TRIM($J131&amp;"")=""),"",IFERROR(MATCH(TRIM($J131&amp;"")&amp;"|다기관",파견수련계획!$AE$4:$AE$803,0),""))</f>
        <v/>
      </c>
      <c r="AL131" s="10">
        <f>IF($AK131="","","다기관 "&amp;TEXT(INDEX(파견수련계획!$AB$4:$AB$803,$AK131),"yyyy-mm-dd")&amp;"~"&amp;IF(ISNUMBER(INDEX(파견수련계획!$AC$4:$AC$803,$AK131)),TEXT(INDEX(파견수련계획!$AC$4:$AC$803,$AK131),"yyyy-mm-dd"),""))</f>
        <v/>
      </c>
    </row>
    <row r="132">
      <c r="A132" s="10">
        <f>IF(B132="","",ROW()-1)</f>
        <v/>
      </c>
      <c r="B132" s="18" t="n"/>
      <c r="C132" s="10">
        <f>IF($AB132="","",IF(INDEX(기본자료!$C$2:$C$1001,$AB132)="","",INDEX(기본자료!$C$2:$C$1001,$AB132)))</f>
        <v/>
      </c>
      <c r="D132" s="10">
        <f>IF($AB132="","",IF(INDEX(기본자료!$J$2:$J$1001,$AB132)="","",INDEX(기본자료!$J$2:$J$1001,$AB132)))</f>
        <v/>
      </c>
      <c r="E132" s="11">
        <f>IF($AB132="","",IF(INDEX(기본자료!$K$2:$K$1001,$AB132)="","",IF(NOT(ISNUMBER(INDEX(기본자료!$K$2:$K$1001,$AB132))),INDEX(기본자료!$K$2:$K$1001,$AB132),IF(INDEX(기본자료!$K$2:$K$1001,$AB132)&lt;1000000,INDEX(기본자료!$K$2:$K$1001,$AB132),IF(AND(INDEX(기본자료!$K$2:$K$1001,$AB132)&gt;=10000101,INT(MOD(INDEX(기본자료!$K$2:$K$1001,$AB132),10000)/100)&gt;=1,INT(MOD(INDEX(기본자료!$K$2:$K$1001,$AB132),10000)/100)&lt;=12,MOD(INDEX(기본자료!$K$2:$K$1001,$AB132),100)&gt;=1,MOD(INDEX(기본자료!$K$2:$K$1001,$AB132),100)&lt;=31),DATE(INT(INDEX(기본자료!$K$2:$K$1001,$AB132)/10000),INT(MOD(INDEX(기본자료!$K$2:$K$1001,$AB132),10000)/100),MOD(INDEX(기본자료!$K$2:$K$1001,$AB132),100)),INDEX(기본자료!$K$2:$K$1001,$AB132)&amp;"")))))</f>
        <v/>
      </c>
      <c r="F132" s="10">
        <f>IF($AB132="","",IF(INDEX(기본자료!$D$2:$D$1001,$AB132)="","",INDEX(기본자료!$D$2:$D$1001,$AB132)))</f>
        <v/>
      </c>
      <c r="G132" s="10">
        <f>IF($AB132="","",IF(INDEX(기본자료!$E$2:$E$1001,$AB132)="","",INDEX(기본자료!$E$2:$E$1001,$AB132)))</f>
        <v/>
      </c>
      <c r="H132" s="10">
        <f>IF($AB132="","",IF(INDEX(기본자료!$F$2:$F$1001,$AB132)="","",INDEX(기본자료!$F$2:$F$1001,$AB132)))</f>
        <v/>
      </c>
      <c r="I132" s="11">
        <f>IF($AB132="","",IF(INDEX(기본자료!$G$2:$G$1001,$AB132)="","",IF(NOT(ISNUMBER(INDEX(기본자료!$G$2:$G$1001,$AB132))),INDEX(기본자료!$G$2:$G$1001,$AB132),IF(INDEX(기본자료!$G$2:$G$1001,$AB132)&lt;1000000,INDEX(기본자료!$G$2:$G$1001,$AB132),IF(AND(INDEX(기본자료!$G$2:$G$1001,$AB132)&gt;=10000101,INT(MOD(INDEX(기본자료!$G$2:$G$1001,$AB132),10000)/100)&gt;=1,INT(MOD(INDEX(기본자료!$G$2:$G$1001,$AB132),10000)/100)&lt;=12,MOD(INDEX(기본자료!$G$2:$G$1001,$AB132),100)&gt;=1,MOD(INDEX(기본자료!$G$2:$G$1001,$AB132),100)&lt;=31),DATE(INT(INDEX(기본자료!$G$2:$G$1001,$AB132)/10000),INT(MOD(INDEX(기본자료!$G$2:$G$1001,$AB132),10000)/100),MOD(INDEX(기본자료!$G$2:$G$1001,$AB132),100)),INDEX(기본자료!$G$2:$G$1001,$AB132)&amp;"")))))</f>
        <v/>
      </c>
      <c r="J132" s="10">
        <f>IF($AB132="","",IF(INDEX(기본자료!$H$2:$H$1001,$AB132)="","",INDEX(기본자료!$H$2:$H$1001,$AB132)))</f>
        <v/>
      </c>
      <c r="K132" s="10">
        <f>IF($AB132="","",IF(INDEX(기본자료!$I$2:$I$1001,$AB132)="","",INDEX(기본자료!$I$2:$I$1001,$AB132)))</f>
        <v/>
      </c>
      <c r="L132" s="10">
        <f>IF($AB132="","",IF(INDEX(기본자료!$A$2:$A$1001,$AB132)="","",INDEX(기본자료!$A$2:$A$1001,$AB132)))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파견수련계획!$AB$4:$AB$803,$AK132),OR(NOT(ISNUMBER(INDEX(파견수련계획!$AC$4:$AC$803,$AK132))),TODAY()&lt;=INDEX(파견수련계획!$AC$4:$AC$803,$AK132))),"다기관",IF($AF132="","",INDEX(파견수련계획!$T$4:$T$803,$AF132))),IF($AF132="","",INDEX(파견수련계획!$T$4:$T$803,$AF132))))</f>
        <v/>
      </c>
      <c r="Q132" s="10">
        <f>IF($AF132="","",INDEX(파견수련계획!$S$4:$S$803,$AF132))</f>
        <v/>
      </c>
      <c r="R132" s="10">
        <f>IF($AF132="","",INDEX(파견수련계획!$U$4:$U$803,$AF132))</f>
        <v/>
      </c>
      <c r="S132" s="11">
        <f>IF($AF132="","",IF(INDEX(파견수련계획!$H$4:$H$803,$AF132)="","",INDEX(파견수련계획!$H$4:$H$803,$AF132)))</f>
        <v/>
      </c>
      <c r="T132" s="11">
        <f>IF($AF132="","",IF(INDEX(파견수련계획!$I$4:$I$803,$AF132)="","",INDEX(파견수련계획!$I$4:$I$803,$AF132)))</f>
        <v/>
      </c>
      <c r="U132" s="10">
        <f>IF($AF132="","",INDEX(파견수련계획!$X$4:$X$803,$AF132))</f>
        <v/>
      </c>
      <c r="V132" s="17">
        <f>IF($AF132="","",INDEX(파견수련계획!$V$4:$V$803,$AF132))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IF(OR($B132="",TRIM($J132&amp;"")=""),"",SUMPRODUCT((파견수련계획!$Q$4:$Q$803=TRIM($J132&amp;""))*파견수련계획!$W$4:$W$803))</f>
        <v/>
      </c>
      <c r="Y132" s="10">
        <f>IF($B132="","",IF($AG132="","",IF(IF(TRIM($J132&amp;"")="",0,SUMPRODUCT((파견수련계획!$Q$4:$Q$803=TRIM($J132&amp;""))*파견수련계획!$AD$4:$AD$803))&gt;0,$AE132,IF(N($X132)&lt;=0,$AG132,IF($AH132+$AI132=DAY(EOMONTH(요약!$B$3,0)),IF(AND($AH132&gt;=요약!$E$3,$AI132&lt;요약!$E$3),"서울병원",IF(AND($AI132&gt;=요약!$E$3,$AH132&lt;요약!$E$3),"구리병원","⚠15일 판정불가(서울 "&amp;$AH132&amp;"일/구리 "&amp;$AI132&amp;"일)")),IF($AJ132="",$AE132,IF(INDEX(파견수련계획!$T$4:$T$803,$AJ132)="통합수련",INDEX(파견수련계획!$S$4:$S$803,$AJ132),$AE132)))))))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입력",IF(IF(TRIM($J132&amp;"")="",0,SUMPRODUCT((파견수련계획!$Q$4:$Q$803=TRIM($J132&amp;""))*(파견수련계획!$AA$4:$AA$803&lt;&gt;"")))&gt;0,"파견수련계획 입력오류 확인",IF(LEFT($Y132,1)="⚠","서울·구리 15일 판정 불가(양쪽 모두 이상/미만)",IF(IF($AC132="",0,N(INDEX(인턴근무계획!$T$3:$T$402,$AC132)))&gt;0,"인턴계획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IF($B132="","",IFERROR(MATCH($B132,기본자료!$B$2:$B$1001,0),IFERROR(MATCH($B132&amp;"",기본자료!$B$2:$B$1001,0),IFERROR(MATCH(VALUE($B132),기본자료!$B$2:$B$1001,0),""))))</f>
        <v/>
      </c>
      <c r="AC132" s="10">
        <f>IF($B132="","",IFERROR(MATCH($B132,인턴근무계획!$D$3:$D$402,0),IFERROR(MATCH($B132&amp;"",인턴근무계획!$D$3:$D$402,0),IFERROR(MATCH(VALUE($B132),인턴근무계획!$D$3:$D$402,0),""))))</f>
        <v/>
      </c>
      <c r="AD132" s="10">
        <f>IF(OR($AC132="",인턴현황!$G$3=""),"",INDEX(인턴근무계획!$M$3:$R$402,$AC132,인턴현황!$G$3)&amp;"")</f>
        <v/>
      </c>
      <c r="AE132" s="10">
        <f>IF($B132="","",IF($M132&lt;&gt;"",$M132,IF($AF132&lt;&gt;"",IF(LEFT(INDEX(파견수련계획!$R$4:$R$803,$AF132),1)&lt;&gt;"⚠",INDEX(파견수련계획!$R$4:$R$803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$803,0),IFERROR(MATCH(TRIM($J132&amp;"")&amp;"|파견예정",파견수련계획!$Y$4:$Y$803,0),IFERROR(MATCH(TRIM($J132&amp;"")&amp;"|파견종료",파견수련계획!$Y$4:$Y$803,0),""))))</f>
        <v/>
      </c>
      <c r="AG132" s="10">
        <f>IF($B132="","",IF(AND(IF(OR($AC132="",인턴현황!$K$2=""),"",INDEX(인턴근무계획!$M$3:$R$402,$AC132,인턴현황!$K$2)&amp;"")&lt;&gt;"",LEFT(IF(OR($AC132="",인턴현황!$K$2=""),"",INDEX(인턴근무계획!$M$3:$R$402,$AC132,인턴현황!$K$2)&amp;""),1)&lt;&gt;"⚠"),LEFT(IF(OR($AC132="",인턴현황!$K$2=""),"",INDEX(인턴근무계획!$M$3:$R$402,$AC132,인턴현황!$K$2)&amp;""),FIND(" ",IF(OR($AC132="",인턴현황!$K$2=""),"",INDEX(인턴근무계획!$M$3:$R$402,$AC132,인턴현황!$K$2)&amp;""))-1),$AE132))</f>
        <v/>
      </c>
      <c r="AH132" s="17">
        <f>IF($B132="","",IF(TRIM($J132&amp;"")="",0,SUMPRODUCT((파견수련계획!$Q$4:$Q$803=TRIM($J132&amp;""))*(파견수련계획!$S$4:$S$803="서울병원")*파견수련계획!$W$4:$W$803))+IF($AG132="서울병원",MAX(0,DAY(EOMONTH(요약!$B$3,0))-N($X132)),0))</f>
        <v/>
      </c>
      <c r="AI132" s="17">
        <f>IF($B132="","",IF(TRIM($J132&amp;"")="",0,SUMPRODUCT((파견수련계획!$Q$4:$Q$803=TRIM($J132&amp;""))*(파견수련계획!$S$4:$S$803="구리병원")*파견수련계획!$W$4:$W$803))+IF($AG132="구리병원",MAX(0,DAY(EOMONTH(요약!$B$3,0))-N($X132)),0))</f>
        <v/>
      </c>
      <c r="AJ132" s="10">
        <f>IF(OR($B132="",TRIM($J132&amp;"")=""),"",IFERROR(MATCH(TRIM($J132&amp;"")&amp;"|월",파견수련계획!$Z$4:$Z$803,0),""))</f>
        <v/>
      </c>
      <c r="AK132" s="10">
        <f>IF(OR($B132="",TRIM($J132&amp;"")=""),"",IFERROR(MATCH(TRIM($J132&amp;"")&amp;"|다기관",파견수련계획!$AE$4:$AE$803,0),""))</f>
        <v/>
      </c>
      <c r="AL132" s="10">
        <f>IF($AK132="","","다기관 "&amp;TEXT(INDEX(파견수련계획!$AB$4:$AB$803,$AK132),"yyyy-mm-dd")&amp;"~"&amp;IF(ISNUMBER(INDEX(파견수련계획!$AC$4:$AC$803,$AK132)),TEXT(INDEX(파견수련계획!$AC$4:$AC$803,$AK132),"yyyy-mm-dd"),""))</f>
        <v/>
      </c>
    </row>
    <row r="133">
      <c r="A133" s="10">
        <f>IF(B133="","",ROW()-1)</f>
        <v/>
      </c>
      <c r="B133" s="18" t="n"/>
      <c r="C133" s="10">
        <f>IF($AB133="","",IF(INDEX(기본자료!$C$2:$C$1001,$AB133)="","",INDEX(기본자료!$C$2:$C$1001,$AB133)))</f>
        <v/>
      </c>
      <c r="D133" s="10">
        <f>IF($AB133="","",IF(INDEX(기본자료!$J$2:$J$1001,$AB133)="","",INDEX(기본자료!$J$2:$J$1001,$AB133)))</f>
        <v/>
      </c>
      <c r="E133" s="11">
        <f>IF($AB133="","",IF(INDEX(기본자료!$K$2:$K$1001,$AB133)="","",IF(NOT(ISNUMBER(INDEX(기본자료!$K$2:$K$1001,$AB133))),INDEX(기본자료!$K$2:$K$1001,$AB133),IF(INDEX(기본자료!$K$2:$K$1001,$AB133)&lt;1000000,INDEX(기본자료!$K$2:$K$1001,$AB133),IF(AND(INDEX(기본자료!$K$2:$K$1001,$AB133)&gt;=10000101,INT(MOD(INDEX(기본자료!$K$2:$K$1001,$AB133),10000)/100)&gt;=1,INT(MOD(INDEX(기본자료!$K$2:$K$1001,$AB133),10000)/100)&lt;=12,MOD(INDEX(기본자료!$K$2:$K$1001,$AB133),100)&gt;=1,MOD(INDEX(기본자료!$K$2:$K$1001,$AB133),100)&lt;=31),DATE(INT(INDEX(기본자료!$K$2:$K$1001,$AB133)/10000),INT(MOD(INDEX(기본자료!$K$2:$K$1001,$AB133),10000)/100),MOD(INDEX(기본자료!$K$2:$K$1001,$AB133),100)),INDEX(기본자료!$K$2:$K$1001,$AB133)&amp;"")))))</f>
        <v/>
      </c>
      <c r="F133" s="10">
        <f>IF($AB133="","",IF(INDEX(기본자료!$D$2:$D$1001,$AB133)="","",INDEX(기본자료!$D$2:$D$1001,$AB133)))</f>
        <v/>
      </c>
      <c r="G133" s="10">
        <f>IF($AB133="","",IF(INDEX(기본자료!$E$2:$E$1001,$AB133)="","",INDEX(기본자료!$E$2:$E$1001,$AB133)))</f>
        <v/>
      </c>
      <c r="H133" s="10">
        <f>IF($AB133="","",IF(INDEX(기본자료!$F$2:$F$1001,$AB133)="","",INDEX(기본자료!$F$2:$F$1001,$AB133)))</f>
        <v/>
      </c>
      <c r="I133" s="11">
        <f>IF($AB133="","",IF(INDEX(기본자료!$G$2:$G$1001,$AB133)="","",IF(NOT(ISNUMBER(INDEX(기본자료!$G$2:$G$1001,$AB133))),INDEX(기본자료!$G$2:$G$1001,$AB133),IF(INDEX(기본자료!$G$2:$G$1001,$AB133)&lt;1000000,INDEX(기본자료!$G$2:$G$1001,$AB133),IF(AND(INDEX(기본자료!$G$2:$G$1001,$AB133)&gt;=10000101,INT(MOD(INDEX(기본자료!$G$2:$G$1001,$AB133),10000)/100)&gt;=1,INT(MOD(INDEX(기본자료!$G$2:$G$1001,$AB133),10000)/100)&lt;=12,MOD(INDEX(기본자료!$G$2:$G$1001,$AB133),100)&gt;=1,MOD(INDEX(기본자료!$G$2:$G$1001,$AB133),100)&lt;=31),DATE(INT(INDEX(기본자료!$G$2:$G$1001,$AB133)/10000),INT(MOD(INDEX(기본자료!$G$2:$G$1001,$AB133),10000)/100),MOD(INDEX(기본자료!$G$2:$G$1001,$AB133),100)),INDEX(기본자료!$G$2:$G$1001,$AB133)&amp;"")))))</f>
        <v/>
      </c>
      <c r="J133" s="10">
        <f>IF($AB133="","",IF(INDEX(기본자료!$H$2:$H$1001,$AB133)="","",INDEX(기본자료!$H$2:$H$1001,$AB133)))</f>
        <v/>
      </c>
      <c r="K133" s="10">
        <f>IF($AB133="","",IF(INDEX(기본자료!$I$2:$I$1001,$AB133)="","",INDEX(기본자료!$I$2:$I$1001,$AB133)))</f>
        <v/>
      </c>
      <c r="L133" s="10">
        <f>IF($AB133="","",IF(INDEX(기본자료!$A$2:$A$1001,$AB133)="","",INDEX(기본자료!$A$2:$A$1001,$AB133)))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파견수련계획!$AB$4:$AB$803,$AK133),OR(NOT(ISNUMBER(INDEX(파견수련계획!$AC$4:$AC$803,$AK133))),TODAY()&lt;=INDEX(파견수련계획!$AC$4:$AC$803,$AK133))),"다기관",IF($AF133="","",INDEX(파견수련계획!$T$4:$T$803,$AF133))),IF($AF133="","",INDEX(파견수련계획!$T$4:$T$803,$AF133))))</f>
        <v/>
      </c>
      <c r="Q133" s="10">
        <f>IF($AF133="","",INDEX(파견수련계획!$S$4:$S$803,$AF133))</f>
        <v/>
      </c>
      <c r="R133" s="10">
        <f>IF($AF133="","",INDEX(파견수련계획!$U$4:$U$803,$AF133))</f>
        <v/>
      </c>
      <c r="S133" s="11">
        <f>IF($AF133="","",IF(INDEX(파견수련계획!$H$4:$H$803,$AF133)="","",INDEX(파견수련계획!$H$4:$H$803,$AF133)))</f>
        <v/>
      </c>
      <c r="T133" s="11">
        <f>IF($AF133="","",IF(INDEX(파견수련계획!$I$4:$I$803,$AF133)="","",INDEX(파견수련계획!$I$4:$I$803,$AF133)))</f>
        <v/>
      </c>
      <c r="U133" s="10">
        <f>IF($AF133="","",INDEX(파견수련계획!$X$4:$X$803,$AF133))</f>
        <v/>
      </c>
      <c r="V133" s="17">
        <f>IF($AF133="","",INDEX(파견수련계획!$V$4:$V$803,$AF133))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IF(OR($B133="",TRIM($J133&amp;"")=""),"",SUMPRODUCT((파견수련계획!$Q$4:$Q$803=TRIM($J133&amp;""))*파견수련계획!$W$4:$W$803))</f>
        <v/>
      </c>
      <c r="Y133" s="10">
        <f>IF($B133="","",IF($AG133="","",IF(IF(TRIM($J133&amp;"")="",0,SUMPRODUCT((파견수련계획!$Q$4:$Q$803=TRIM($J133&amp;""))*파견수련계획!$AD$4:$AD$803))&gt;0,$AE133,IF(N($X133)&lt;=0,$AG133,IF($AH133+$AI133=DAY(EOMONTH(요약!$B$3,0)),IF(AND($AH133&gt;=요약!$E$3,$AI133&lt;요약!$E$3),"서울병원",IF(AND($AI133&gt;=요약!$E$3,$AH133&lt;요약!$E$3),"구리병원","⚠15일 판정불가(서울 "&amp;$AH133&amp;"일/구리 "&amp;$AI133&amp;"일)")),IF($AJ133="",$AE133,IF(INDEX(파견수련계획!$T$4:$T$803,$AJ133)="통합수련",INDEX(파견수련계획!$S$4:$S$803,$AJ133),$AE133)))))))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입력",IF(IF(TRIM($J133&amp;"")="",0,SUMPRODUCT((파견수련계획!$Q$4:$Q$803=TRIM($J133&amp;""))*(파견수련계획!$AA$4:$AA$803&lt;&gt;"")))&gt;0,"파견수련계획 입력오류 확인",IF(LEFT($Y133,1)="⚠","서울·구리 15일 판정 불가(양쪽 모두 이상/미만)",IF(IF($AC133="",0,N(INDEX(인턴근무계획!$T$3:$T$402,$AC133)))&gt;0,"인턴계획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IF($B133="","",IFERROR(MATCH($B133,기본자료!$B$2:$B$1001,0),IFERROR(MATCH($B133&amp;"",기본자료!$B$2:$B$1001,0),IFERROR(MATCH(VALUE($B133),기본자료!$B$2:$B$1001,0),""))))</f>
        <v/>
      </c>
      <c r="AC133" s="10">
        <f>IF($B133="","",IFERROR(MATCH($B133,인턴근무계획!$D$3:$D$402,0),IFERROR(MATCH($B133&amp;"",인턴근무계획!$D$3:$D$402,0),IFERROR(MATCH(VALUE($B133),인턴근무계획!$D$3:$D$402,0),""))))</f>
        <v/>
      </c>
      <c r="AD133" s="10">
        <f>IF(OR($AC133="",인턴현황!$G$3=""),"",INDEX(인턴근무계획!$M$3:$R$402,$AC133,인턴현황!$G$3)&amp;"")</f>
        <v/>
      </c>
      <c r="AE133" s="10">
        <f>IF($B133="","",IF($M133&lt;&gt;"",$M133,IF($AF133&lt;&gt;"",IF(LEFT(INDEX(파견수련계획!$R$4:$R$803,$AF133),1)&lt;&gt;"⚠",INDEX(파견수련계획!$R$4:$R$803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$803,0),IFERROR(MATCH(TRIM($J133&amp;"")&amp;"|파견예정",파견수련계획!$Y$4:$Y$803,0),IFERROR(MATCH(TRIM($J133&amp;"")&amp;"|파견종료",파견수련계획!$Y$4:$Y$803,0),""))))</f>
        <v/>
      </c>
      <c r="AG133" s="10">
        <f>IF($B133="","",IF(AND(IF(OR($AC133="",인턴현황!$K$2=""),"",INDEX(인턴근무계획!$M$3:$R$402,$AC133,인턴현황!$K$2)&amp;"")&lt;&gt;"",LEFT(IF(OR($AC133="",인턴현황!$K$2=""),"",INDEX(인턴근무계획!$M$3:$R$402,$AC133,인턴현황!$K$2)&amp;""),1)&lt;&gt;"⚠"),LEFT(IF(OR($AC133="",인턴현황!$K$2=""),"",INDEX(인턴근무계획!$M$3:$R$402,$AC133,인턴현황!$K$2)&amp;""),FIND(" ",IF(OR($AC133="",인턴현황!$K$2=""),"",INDEX(인턴근무계획!$M$3:$R$402,$AC133,인턴현황!$K$2)&amp;""))-1),$AE133))</f>
        <v/>
      </c>
      <c r="AH133" s="17">
        <f>IF($B133="","",IF(TRIM($J133&amp;"")="",0,SUMPRODUCT((파견수련계획!$Q$4:$Q$803=TRIM($J133&amp;""))*(파견수련계획!$S$4:$S$803="서울병원")*파견수련계획!$W$4:$W$803))+IF($AG133="서울병원",MAX(0,DAY(EOMONTH(요약!$B$3,0))-N($X133)),0))</f>
        <v/>
      </c>
      <c r="AI133" s="17">
        <f>IF($B133="","",IF(TRIM($J133&amp;"")="",0,SUMPRODUCT((파견수련계획!$Q$4:$Q$803=TRIM($J133&amp;""))*(파견수련계획!$S$4:$S$803="구리병원")*파견수련계획!$W$4:$W$803))+IF($AG133="구리병원",MAX(0,DAY(EOMONTH(요약!$B$3,0))-N($X133)),0))</f>
        <v/>
      </c>
      <c r="AJ133" s="10">
        <f>IF(OR($B133="",TRIM($J133&amp;"")=""),"",IFERROR(MATCH(TRIM($J133&amp;"")&amp;"|월",파견수련계획!$Z$4:$Z$803,0),""))</f>
        <v/>
      </c>
      <c r="AK133" s="10">
        <f>IF(OR($B133="",TRIM($J133&amp;"")=""),"",IFERROR(MATCH(TRIM($J133&amp;"")&amp;"|다기관",파견수련계획!$AE$4:$AE$803,0),""))</f>
        <v/>
      </c>
      <c r="AL133" s="10">
        <f>IF($AK133="","","다기관 "&amp;TEXT(INDEX(파견수련계획!$AB$4:$AB$803,$AK133),"yyyy-mm-dd")&amp;"~"&amp;IF(ISNUMBER(INDEX(파견수련계획!$AC$4:$AC$803,$AK133)),TEXT(INDEX(파견수련계획!$AC$4:$AC$803,$AK133),"yyyy-mm-dd"),""))</f>
        <v/>
      </c>
    </row>
    <row r="134">
      <c r="A134" s="10">
        <f>IF(B134="","",ROW()-1)</f>
        <v/>
      </c>
      <c r="B134" s="18" t="n"/>
      <c r="C134" s="10">
        <f>IF($AB134="","",IF(INDEX(기본자료!$C$2:$C$1001,$AB134)="","",INDEX(기본자료!$C$2:$C$1001,$AB134)))</f>
        <v/>
      </c>
      <c r="D134" s="10">
        <f>IF($AB134="","",IF(INDEX(기본자료!$J$2:$J$1001,$AB134)="","",INDEX(기본자료!$J$2:$J$1001,$AB134)))</f>
        <v/>
      </c>
      <c r="E134" s="11">
        <f>IF($AB134="","",IF(INDEX(기본자료!$K$2:$K$1001,$AB134)="","",IF(NOT(ISNUMBER(INDEX(기본자료!$K$2:$K$1001,$AB134))),INDEX(기본자료!$K$2:$K$1001,$AB134),IF(INDEX(기본자료!$K$2:$K$1001,$AB134)&lt;1000000,INDEX(기본자료!$K$2:$K$1001,$AB134),IF(AND(INDEX(기본자료!$K$2:$K$1001,$AB134)&gt;=10000101,INT(MOD(INDEX(기본자료!$K$2:$K$1001,$AB134),10000)/100)&gt;=1,INT(MOD(INDEX(기본자료!$K$2:$K$1001,$AB134),10000)/100)&lt;=12,MOD(INDEX(기본자료!$K$2:$K$1001,$AB134),100)&gt;=1,MOD(INDEX(기본자료!$K$2:$K$1001,$AB134),100)&lt;=31),DATE(INT(INDEX(기본자료!$K$2:$K$1001,$AB134)/10000),INT(MOD(INDEX(기본자료!$K$2:$K$1001,$AB134),10000)/100),MOD(INDEX(기본자료!$K$2:$K$1001,$AB134),100)),INDEX(기본자료!$K$2:$K$1001,$AB134)&amp;"")))))</f>
        <v/>
      </c>
      <c r="F134" s="10">
        <f>IF($AB134="","",IF(INDEX(기본자료!$D$2:$D$1001,$AB134)="","",INDEX(기본자료!$D$2:$D$1001,$AB134)))</f>
        <v/>
      </c>
      <c r="G134" s="10">
        <f>IF($AB134="","",IF(INDEX(기본자료!$E$2:$E$1001,$AB134)="","",INDEX(기본자료!$E$2:$E$1001,$AB134)))</f>
        <v/>
      </c>
      <c r="H134" s="10">
        <f>IF($AB134="","",IF(INDEX(기본자료!$F$2:$F$1001,$AB134)="","",INDEX(기본자료!$F$2:$F$1001,$AB134)))</f>
        <v/>
      </c>
      <c r="I134" s="11">
        <f>IF($AB134="","",IF(INDEX(기본자료!$G$2:$G$1001,$AB134)="","",IF(NOT(ISNUMBER(INDEX(기본자료!$G$2:$G$1001,$AB134))),INDEX(기본자료!$G$2:$G$1001,$AB134),IF(INDEX(기본자료!$G$2:$G$1001,$AB134)&lt;1000000,INDEX(기본자료!$G$2:$G$1001,$AB134),IF(AND(INDEX(기본자료!$G$2:$G$1001,$AB134)&gt;=10000101,INT(MOD(INDEX(기본자료!$G$2:$G$1001,$AB134),10000)/100)&gt;=1,INT(MOD(INDEX(기본자료!$G$2:$G$1001,$AB134),10000)/100)&lt;=12,MOD(INDEX(기본자료!$G$2:$G$1001,$AB134),100)&gt;=1,MOD(INDEX(기본자료!$G$2:$G$1001,$AB134),100)&lt;=31),DATE(INT(INDEX(기본자료!$G$2:$G$1001,$AB134)/10000),INT(MOD(INDEX(기본자료!$G$2:$G$1001,$AB134),10000)/100),MOD(INDEX(기본자료!$G$2:$G$1001,$AB134),100)),INDEX(기본자료!$G$2:$G$1001,$AB134)&amp;"")))))</f>
        <v/>
      </c>
      <c r="J134" s="10">
        <f>IF($AB134="","",IF(INDEX(기본자료!$H$2:$H$1001,$AB134)="","",INDEX(기본자료!$H$2:$H$1001,$AB134)))</f>
        <v/>
      </c>
      <c r="K134" s="10">
        <f>IF($AB134="","",IF(INDEX(기본자료!$I$2:$I$1001,$AB134)="","",INDEX(기본자료!$I$2:$I$1001,$AB134)))</f>
        <v/>
      </c>
      <c r="L134" s="10">
        <f>IF($AB134="","",IF(INDEX(기본자료!$A$2:$A$1001,$AB134)="","",INDEX(기본자료!$A$2:$A$1001,$AB134)))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파견수련계획!$AB$4:$AB$803,$AK134),OR(NOT(ISNUMBER(INDEX(파견수련계획!$AC$4:$AC$803,$AK134))),TODAY()&lt;=INDEX(파견수련계획!$AC$4:$AC$803,$AK134))),"다기관",IF($AF134="","",INDEX(파견수련계획!$T$4:$T$803,$AF134))),IF($AF134="","",INDEX(파견수련계획!$T$4:$T$803,$AF134))))</f>
        <v/>
      </c>
      <c r="Q134" s="10">
        <f>IF($AF134="","",INDEX(파견수련계획!$S$4:$S$803,$AF134))</f>
        <v/>
      </c>
      <c r="R134" s="10">
        <f>IF($AF134="","",INDEX(파견수련계획!$U$4:$U$803,$AF134))</f>
        <v/>
      </c>
      <c r="S134" s="11">
        <f>IF($AF134="","",IF(INDEX(파견수련계획!$H$4:$H$803,$AF134)="","",INDEX(파견수련계획!$H$4:$H$803,$AF134)))</f>
        <v/>
      </c>
      <c r="T134" s="11">
        <f>IF($AF134="","",IF(INDEX(파견수련계획!$I$4:$I$803,$AF134)="","",INDEX(파견수련계획!$I$4:$I$803,$AF134)))</f>
        <v/>
      </c>
      <c r="U134" s="10">
        <f>IF($AF134="","",INDEX(파견수련계획!$X$4:$X$803,$AF134))</f>
        <v/>
      </c>
      <c r="V134" s="17">
        <f>IF($AF134="","",INDEX(파견수련계획!$V$4:$V$803,$AF134))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IF(OR($B134="",TRIM($J134&amp;"")=""),"",SUMPRODUCT((파견수련계획!$Q$4:$Q$803=TRIM($J134&amp;""))*파견수련계획!$W$4:$W$803))</f>
        <v/>
      </c>
      <c r="Y134" s="10">
        <f>IF($B134="","",IF($AG134="","",IF(IF(TRIM($J134&amp;"")="",0,SUMPRODUCT((파견수련계획!$Q$4:$Q$803=TRIM($J134&amp;""))*파견수련계획!$AD$4:$AD$803))&gt;0,$AE134,IF(N($X134)&lt;=0,$AG134,IF($AH134+$AI134=DAY(EOMONTH(요약!$B$3,0)),IF(AND($AH134&gt;=요약!$E$3,$AI134&lt;요약!$E$3),"서울병원",IF(AND($AI134&gt;=요약!$E$3,$AH134&lt;요약!$E$3),"구리병원","⚠15일 판정불가(서울 "&amp;$AH134&amp;"일/구리 "&amp;$AI134&amp;"일)")),IF($AJ134="",$AE134,IF(INDEX(파견수련계획!$T$4:$T$803,$AJ134)="통합수련",INDEX(파견수련계획!$S$4:$S$803,$AJ134),$AE134)))))))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입력",IF(IF(TRIM($J134&amp;"")="",0,SUMPRODUCT((파견수련계획!$Q$4:$Q$803=TRIM($J134&amp;""))*(파견수련계획!$AA$4:$AA$803&lt;&gt;"")))&gt;0,"파견수련계획 입력오류 확인",IF(LEFT($Y134,1)="⚠","서울·구리 15일 판정 불가(양쪽 모두 이상/미만)",IF(IF($AC134="",0,N(INDEX(인턴근무계획!$T$3:$T$402,$AC134)))&gt;0,"인턴계획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IF($B134="","",IFERROR(MATCH($B134,기본자료!$B$2:$B$1001,0),IFERROR(MATCH($B134&amp;"",기본자료!$B$2:$B$1001,0),IFERROR(MATCH(VALUE($B134),기본자료!$B$2:$B$1001,0),""))))</f>
        <v/>
      </c>
      <c r="AC134" s="10">
        <f>IF($B134="","",IFERROR(MATCH($B134,인턴근무계획!$D$3:$D$402,0),IFERROR(MATCH($B134&amp;"",인턴근무계획!$D$3:$D$402,0),IFERROR(MATCH(VALUE($B134),인턴근무계획!$D$3:$D$402,0),""))))</f>
        <v/>
      </c>
      <c r="AD134" s="10">
        <f>IF(OR($AC134="",인턴현황!$G$3=""),"",INDEX(인턴근무계획!$M$3:$R$402,$AC134,인턴현황!$G$3)&amp;"")</f>
        <v/>
      </c>
      <c r="AE134" s="10">
        <f>IF($B134="","",IF($M134&lt;&gt;"",$M134,IF($AF134&lt;&gt;"",IF(LEFT(INDEX(파견수련계획!$R$4:$R$803,$AF134),1)&lt;&gt;"⚠",INDEX(파견수련계획!$R$4:$R$803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$803,0),IFERROR(MATCH(TRIM($J134&amp;"")&amp;"|파견예정",파견수련계획!$Y$4:$Y$803,0),IFERROR(MATCH(TRIM($J134&amp;"")&amp;"|파견종료",파견수련계획!$Y$4:$Y$803,0),""))))</f>
        <v/>
      </c>
      <c r="AG134" s="10">
        <f>IF($B134="","",IF(AND(IF(OR($AC134="",인턴현황!$K$2=""),"",INDEX(인턴근무계획!$M$3:$R$402,$AC134,인턴현황!$K$2)&amp;"")&lt;&gt;"",LEFT(IF(OR($AC134="",인턴현황!$K$2=""),"",INDEX(인턴근무계획!$M$3:$R$402,$AC134,인턴현황!$K$2)&amp;""),1)&lt;&gt;"⚠"),LEFT(IF(OR($AC134="",인턴현황!$K$2=""),"",INDEX(인턴근무계획!$M$3:$R$402,$AC134,인턴현황!$K$2)&amp;""),FIND(" ",IF(OR($AC134="",인턴현황!$K$2=""),"",INDEX(인턴근무계획!$M$3:$R$402,$AC134,인턴현황!$K$2)&amp;""))-1),$AE134))</f>
        <v/>
      </c>
      <c r="AH134" s="17">
        <f>IF($B134="","",IF(TRIM($J134&amp;"")="",0,SUMPRODUCT((파견수련계획!$Q$4:$Q$803=TRIM($J134&amp;""))*(파견수련계획!$S$4:$S$803="서울병원")*파견수련계획!$W$4:$W$803))+IF($AG134="서울병원",MAX(0,DAY(EOMONTH(요약!$B$3,0))-N($X134)),0))</f>
        <v/>
      </c>
      <c r="AI134" s="17">
        <f>IF($B134="","",IF(TRIM($J134&amp;"")="",0,SUMPRODUCT((파견수련계획!$Q$4:$Q$803=TRIM($J134&amp;""))*(파견수련계획!$S$4:$S$803="구리병원")*파견수련계획!$W$4:$W$803))+IF($AG134="구리병원",MAX(0,DAY(EOMONTH(요약!$B$3,0))-N($X134)),0))</f>
        <v/>
      </c>
      <c r="AJ134" s="10">
        <f>IF(OR($B134="",TRIM($J134&amp;"")=""),"",IFERROR(MATCH(TRIM($J134&amp;"")&amp;"|월",파견수련계획!$Z$4:$Z$803,0),""))</f>
        <v/>
      </c>
      <c r="AK134" s="10">
        <f>IF(OR($B134="",TRIM($J134&amp;"")=""),"",IFERROR(MATCH(TRIM($J134&amp;"")&amp;"|다기관",파견수련계획!$AE$4:$AE$803,0),""))</f>
        <v/>
      </c>
      <c r="AL134" s="10">
        <f>IF($AK134="","","다기관 "&amp;TEXT(INDEX(파견수련계획!$AB$4:$AB$803,$AK134),"yyyy-mm-dd")&amp;"~"&amp;IF(ISNUMBER(INDEX(파견수련계획!$AC$4:$AC$803,$AK134)),TEXT(INDEX(파견수련계획!$AC$4:$AC$803,$AK134),"yyyy-mm-dd"),""))</f>
        <v/>
      </c>
    </row>
    <row r="135">
      <c r="A135" s="10">
        <f>IF(B135="","",ROW()-1)</f>
        <v/>
      </c>
      <c r="B135" s="18" t="n"/>
      <c r="C135" s="10">
        <f>IF($AB135="","",IF(INDEX(기본자료!$C$2:$C$1001,$AB135)="","",INDEX(기본자료!$C$2:$C$1001,$AB135)))</f>
        <v/>
      </c>
      <c r="D135" s="10">
        <f>IF($AB135="","",IF(INDEX(기본자료!$J$2:$J$1001,$AB135)="","",INDEX(기본자료!$J$2:$J$1001,$AB135)))</f>
        <v/>
      </c>
      <c r="E135" s="11">
        <f>IF($AB135="","",IF(INDEX(기본자료!$K$2:$K$1001,$AB135)="","",IF(NOT(ISNUMBER(INDEX(기본자료!$K$2:$K$1001,$AB135))),INDEX(기본자료!$K$2:$K$1001,$AB135),IF(INDEX(기본자료!$K$2:$K$1001,$AB135)&lt;1000000,INDEX(기본자료!$K$2:$K$1001,$AB135),IF(AND(INDEX(기본자료!$K$2:$K$1001,$AB135)&gt;=10000101,INT(MOD(INDEX(기본자료!$K$2:$K$1001,$AB135),10000)/100)&gt;=1,INT(MOD(INDEX(기본자료!$K$2:$K$1001,$AB135),10000)/100)&lt;=12,MOD(INDEX(기본자료!$K$2:$K$1001,$AB135),100)&gt;=1,MOD(INDEX(기본자료!$K$2:$K$1001,$AB135),100)&lt;=31),DATE(INT(INDEX(기본자료!$K$2:$K$1001,$AB135)/10000),INT(MOD(INDEX(기본자료!$K$2:$K$1001,$AB135),10000)/100),MOD(INDEX(기본자료!$K$2:$K$1001,$AB135),100)),INDEX(기본자료!$K$2:$K$1001,$AB135)&amp;"")))))</f>
        <v/>
      </c>
      <c r="F135" s="10">
        <f>IF($AB135="","",IF(INDEX(기본자료!$D$2:$D$1001,$AB135)="","",INDEX(기본자료!$D$2:$D$1001,$AB135)))</f>
        <v/>
      </c>
      <c r="G135" s="10">
        <f>IF($AB135="","",IF(INDEX(기본자료!$E$2:$E$1001,$AB135)="","",INDEX(기본자료!$E$2:$E$1001,$AB135)))</f>
        <v/>
      </c>
      <c r="H135" s="10">
        <f>IF($AB135="","",IF(INDEX(기본자료!$F$2:$F$1001,$AB135)="","",INDEX(기본자료!$F$2:$F$1001,$AB135)))</f>
        <v/>
      </c>
      <c r="I135" s="11">
        <f>IF($AB135="","",IF(INDEX(기본자료!$G$2:$G$1001,$AB135)="","",IF(NOT(ISNUMBER(INDEX(기본자료!$G$2:$G$1001,$AB135))),INDEX(기본자료!$G$2:$G$1001,$AB135),IF(INDEX(기본자료!$G$2:$G$1001,$AB135)&lt;1000000,INDEX(기본자료!$G$2:$G$1001,$AB135),IF(AND(INDEX(기본자료!$G$2:$G$1001,$AB135)&gt;=10000101,INT(MOD(INDEX(기본자료!$G$2:$G$1001,$AB135),10000)/100)&gt;=1,INT(MOD(INDEX(기본자료!$G$2:$G$1001,$AB135),10000)/100)&lt;=12,MOD(INDEX(기본자료!$G$2:$G$1001,$AB135),100)&gt;=1,MOD(INDEX(기본자료!$G$2:$G$1001,$AB135),100)&lt;=31),DATE(INT(INDEX(기본자료!$G$2:$G$1001,$AB135)/10000),INT(MOD(INDEX(기본자료!$G$2:$G$1001,$AB135),10000)/100),MOD(INDEX(기본자료!$G$2:$G$1001,$AB135),100)),INDEX(기본자료!$G$2:$G$1001,$AB135)&amp;"")))))</f>
        <v/>
      </c>
      <c r="J135" s="10">
        <f>IF($AB135="","",IF(INDEX(기본자료!$H$2:$H$1001,$AB135)="","",INDEX(기본자료!$H$2:$H$1001,$AB135)))</f>
        <v/>
      </c>
      <c r="K135" s="10">
        <f>IF($AB135="","",IF(INDEX(기본자료!$I$2:$I$1001,$AB135)="","",INDEX(기본자료!$I$2:$I$1001,$AB135)))</f>
        <v/>
      </c>
      <c r="L135" s="10">
        <f>IF($AB135="","",IF(INDEX(기본자료!$A$2:$A$1001,$AB135)="","",INDEX(기본자료!$A$2:$A$1001,$AB135)))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파견수련계획!$AB$4:$AB$803,$AK135),OR(NOT(ISNUMBER(INDEX(파견수련계획!$AC$4:$AC$803,$AK135))),TODAY()&lt;=INDEX(파견수련계획!$AC$4:$AC$803,$AK135))),"다기관",IF($AF135="","",INDEX(파견수련계획!$T$4:$T$803,$AF135))),IF($AF135="","",INDEX(파견수련계획!$T$4:$T$803,$AF135))))</f>
        <v/>
      </c>
      <c r="Q135" s="10">
        <f>IF($AF135="","",INDEX(파견수련계획!$S$4:$S$803,$AF135))</f>
        <v/>
      </c>
      <c r="R135" s="10">
        <f>IF($AF135="","",INDEX(파견수련계획!$U$4:$U$803,$AF135))</f>
        <v/>
      </c>
      <c r="S135" s="11">
        <f>IF($AF135="","",IF(INDEX(파견수련계획!$H$4:$H$803,$AF135)="","",INDEX(파견수련계획!$H$4:$H$803,$AF135)))</f>
        <v/>
      </c>
      <c r="T135" s="11">
        <f>IF($AF135="","",IF(INDEX(파견수련계획!$I$4:$I$803,$AF135)="","",INDEX(파견수련계획!$I$4:$I$803,$AF135)))</f>
        <v/>
      </c>
      <c r="U135" s="10">
        <f>IF($AF135="","",INDEX(파견수련계획!$X$4:$X$803,$AF135))</f>
        <v/>
      </c>
      <c r="V135" s="17">
        <f>IF($AF135="","",INDEX(파견수련계획!$V$4:$V$803,$AF135))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IF(OR($B135="",TRIM($J135&amp;"")=""),"",SUMPRODUCT((파견수련계획!$Q$4:$Q$803=TRIM($J135&amp;""))*파견수련계획!$W$4:$W$803))</f>
        <v/>
      </c>
      <c r="Y135" s="10">
        <f>IF($B135="","",IF($AG135="","",IF(IF(TRIM($J135&amp;"")="",0,SUMPRODUCT((파견수련계획!$Q$4:$Q$803=TRIM($J135&amp;""))*파견수련계획!$AD$4:$AD$803))&gt;0,$AE135,IF(N($X135)&lt;=0,$AG135,IF($AH135+$AI135=DAY(EOMONTH(요약!$B$3,0)),IF(AND($AH135&gt;=요약!$E$3,$AI135&lt;요약!$E$3),"서울병원",IF(AND($AI135&gt;=요약!$E$3,$AH135&lt;요약!$E$3),"구리병원","⚠15일 판정불가(서울 "&amp;$AH135&amp;"일/구리 "&amp;$AI135&amp;"일)")),IF($AJ135="",$AE135,IF(INDEX(파견수련계획!$T$4:$T$803,$AJ135)="통합수련",INDEX(파견수련계획!$S$4:$S$803,$AJ135),$AE135)))))))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입력",IF(IF(TRIM($J135&amp;"")="",0,SUMPRODUCT((파견수련계획!$Q$4:$Q$803=TRIM($J135&amp;""))*(파견수련계획!$AA$4:$AA$803&lt;&gt;"")))&gt;0,"파견수련계획 입력오류 확인",IF(LEFT($Y135,1)="⚠","서울·구리 15일 판정 불가(양쪽 모두 이상/미만)",IF(IF($AC135="",0,N(INDEX(인턴근무계획!$T$3:$T$402,$AC135)))&gt;0,"인턴계획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IF($B135="","",IFERROR(MATCH($B135,기본자료!$B$2:$B$1001,0),IFERROR(MATCH($B135&amp;"",기본자료!$B$2:$B$1001,0),IFERROR(MATCH(VALUE($B135),기본자료!$B$2:$B$1001,0),""))))</f>
        <v/>
      </c>
      <c r="AC135" s="10">
        <f>IF($B135="","",IFERROR(MATCH($B135,인턴근무계획!$D$3:$D$402,0),IFERROR(MATCH($B135&amp;"",인턴근무계획!$D$3:$D$402,0),IFERROR(MATCH(VALUE($B135),인턴근무계획!$D$3:$D$402,0),""))))</f>
        <v/>
      </c>
      <c r="AD135" s="10">
        <f>IF(OR($AC135="",인턴현황!$G$3=""),"",INDEX(인턴근무계획!$M$3:$R$402,$AC135,인턴현황!$G$3)&amp;"")</f>
        <v/>
      </c>
      <c r="AE135" s="10">
        <f>IF($B135="","",IF($M135&lt;&gt;"",$M135,IF($AF135&lt;&gt;"",IF(LEFT(INDEX(파견수련계획!$R$4:$R$803,$AF135),1)&lt;&gt;"⚠",INDEX(파견수련계획!$R$4:$R$803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$803,0),IFERROR(MATCH(TRIM($J135&amp;"")&amp;"|파견예정",파견수련계획!$Y$4:$Y$803,0),IFERROR(MATCH(TRIM($J135&amp;"")&amp;"|파견종료",파견수련계획!$Y$4:$Y$803,0),""))))</f>
        <v/>
      </c>
      <c r="AG135" s="10">
        <f>IF($B135="","",IF(AND(IF(OR($AC135="",인턴현황!$K$2=""),"",INDEX(인턴근무계획!$M$3:$R$402,$AC135,인턴현황!$K$2)&amp;"")&lt;&gt;"",LEFT(IF(OR($AC135="",인턴현황!$K$2=""),"",INDEX(인턴근무계획!$M$3:$R$402,$AC135,인턴현황!$K$2)&amp;""),1)&lt;&gt;"⚠"),LEFT(IF(OR($AC135="",인턴현황!$K$2=""),"",INDEX(인턴근무계획!$M$3:$R$402,$AC135,인턴현황!$K$2)&amp;""),FIND(" ",IF(OR($AC135="",인턴현황!$K$2=""),"",INDEX(인턴근무계획!$M$3:$R$402,$AC135,인턴현황!$K$2)&amp;""))-1),$AE135))</f>
        <v/>
      </c>
      <c r="AH135" s="17">
        <f>IF($B135="","",IF(TRIM($J135&amp;"")="",0,SUMPRODUCT((파견수련계획!$Q$4:$Q$803=TRIM($J135&amp;""))*(파견수련계획!$S$4:$S$803="서울병원")*파견수련계획!$W$4:$W$803))+IF($AG135="서울병원",MAX(0,DAY(EOMONTH(요약!$B$3,0))-N($X135)),0))</f>
        <v/>
      </c>
      <c r="AI135" s="17">
        <f>IF($B135="","",IF(TRIM($J135&amp;"")="",0,SUMPRODUCT((파견수련계획!$Q$4:$Q$803=TRIM($J135&amp;""))*(파견수련계획!$S$4:$S$803="구리병원")*파견수련계획!$W$4:$W$803))+IF($AG135="구리병원",MAX(0,DAY(EOMONTH(요약!$B$3,0))-N($X135)),0))</f>
        <v/>
      </c>
      <c r="AJ135" s="10">
        <f>IF(OR($B135="",TRIM($J135&amp;"")=""),"",IFERROR(MATCH(TRIM($J135&amp;"")&amp;"|월",파견수련계획!$Z$4:$Z$803,0),""))</f>
        <v/>
      </c>
      <c r="AK135" s="10">
        <f>IF(OR($B135="",TRIM($J135&amp;"")=""),"",IFERROR(MATCH(TRIM($J135&amp;"")&amp;"|다기관",파견수련계획!$AE$4:$AE$803,0),""))</f>
        <v/>
      </c>
      <c r="AL135" s="10">
        <f>IF($AK135="","","다기관 "&amp;TEXT(INDEX(파견수련계획!$AB$4:$AB$803,$AK135),"yyyy-mm-dd")&amp;"~"&amp;IF(ISNUMBER(INDEX(파견수련계획!$AC$4:$AC$803,$AK135)),TEXT(INDEX(파견수련계획!$AC$4:$AC$803,$AK135),"yyyy-mm-dd"),""))</f>
        <v/>
      </c>
    </row>
    <row r="136">
      <c r="A136" s="10">
        <f>IF(B136="","",ROW()-1)</f>
        <v/>
      </c>
      <c r="B136" s="18" t="n"/>
      <c r="C136" s="10">
        <f>IF($AB136="","",IF(INDEX(기본자료!$C$2:$C$1001,$AB136)="","",INDEX(기본자료!$C$2:$C$1001,$AB136)))</f>
        <v/>
      </c>
      <c r="D136" s="10">
        <f>IF($AB136="","",IF(INDEX(기본자료!$J$2:$J$1001,$AB136)="","",INDEX(기본자료!$J$2:$J$1001,$AB136)))</f>
        <v/>
      </c>
      <c r="E136" s="11">
        <f>IF($AB136="","",IF(INDEX(기본자료!$K$2:$K$1001,$AB136)="","",IF(NOT(ISNUMBER(INDEX(기본자료!$K$2:$K$1001,$AB136))),INDEX(기본자료!$K$2:$K$1001,$AB136),IF(INDEX(기본자료!$K$2:$K$1001,$AB136)&lt;1000000,INDEX(기본자료!$K$2:$K$1001,$AB136),IF(AND(INDEX(기본자료!$K$2:$K$1001,$AB136)&gt;=10000101,INT(MOD(INDEX(기본자료!$K$2:$K$1001,$AB136),10000)/100)&gt;=1,INT(MOD(INDEX(기본자료!$K$2:$K$1001,$AB136),10000)/100)&lt;=12,MOD(INDEX(기본자료!$K$2:$K$1001,$AB136),100)&gt;=1,MOD(INDEX(기본자료!$K$2:$K$1001,$AB136),100)&lt;=31),DATE(INT(INDEX(기본자료!$K$2:$K$1001,$AB136)/10000),INT(MOD(INDEX(기본자료!$K$2:$K$1001,$AB136),10000)/100),MOD(INDEX(기본자료!$K$2:$K$1001,$AB136),100)),INDEX(기본자료!$K$2:$K$1001,$AB136)&amp;"")))))</f>
        <v/>
      </c>
      <c r="F136" s="10">
        <f>IF($AB136="","",IF(INDEX(기본자료!$D$2:$D$1001,$AB136)="","",INDEX(기본자료!$D$2:$D$1001,$AB136)))</f>
        <v/>
      </c>
      <c r="G136" s="10">
        <f>IF($AB136="","",IF(INDEX(기본자료!$E$2:$E$1001,$AB136)="","",INDEX(기본자료!$E$2:$E$1001,$AB136)))</f>
        <v/>
      </c>
      <c r="H136" s="10">
        <f>IF($AB136="","",IF(INDEX(기본자료!$F$2:$F$1001,$AB136)="","",INDEX(기본자료!$F$2:$F$1001,$AB136)))</f>
        <v/>
      </c>
      <c r="I136" s="11">
        <f>IF($AB136="","",IF(INDEX(기본자료!$G$2:$G$1001,$AB136)="","",IF(NOT(ISNUMBER(INDEX(기본자료!$G$2:$G$1001,$AB136))),INDEX(기본자료!$G$2:$G$1001,$AB136),IF(INDEX(기본자료!$G$2:$G$1001,$AB136)&lt;1000000,INDEX(기본자료!$G$2:$G$1001,$AB136),IF(AND(INDEX(기본자료!$G$2:$G$1001,$AB136)&gt;=10000101,INT(MOD(INDEX(기본자료!$G$2:$G$1001,$AB136),10000)/100)&gt;=1,INT(MOD(INDEX(기본자료!$G$2:$G$1001,$AB136),10000)/100)&lt;=12,MOD(INDEX(기본자료!$G$2:$G$1001,$AB136),100)&gt;=1,MOD(INDEX(기본자료!$G$2:$G$1001,$AB136),100)&lt;=31),DATE(INT(INDEX(기본자료!$G$2:$G$1001,$AB136)/10000),INT(MOD(INDEX(기본자료!$G$2:$G$1001,$AB136),10000)/100),MOD(INDEX(기본자료!$G$2:$G$1001,$AB136),100)),INDEX(기본자료!$G$2:$G$1001,$AB136)&amp;"")))))</f>
        <v/>
      </c>
      <c r="J136" s="10">
        <f>IF($AB136="","",IF(INDEX(기본자료!$H$2:$H$1001,$AB136)="","",INDEX(기본자료!$H$2:$H$1001,$AB136)))</f>
        <v/>
      </c>
      <c r="K136" s="10">
        <f>IF($AB136="","",IF(INDEX(기본자료!$I$2:$I$1001,$AB136)="","",INDEX(기본자료!$I$2:$I$1001,$AB136)))</f>
        <v/>
      </c>
      <c r="L136" s="10">
        <f>IF($AB136="","",IF(INDEX(기본자료!$A$2:$A$1001,$AB136)="","",INDEX(기본자료!$A$2:$A$1001,$AB136)))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파견수련계획!$AB$4:$AB$803,$AK136),OR(NOT(ISNUMBER(INDEX(파견수련계획!$AC$4:$AC$803,$AK136))),TODAY()&lt;=INDEX(파견수련계획!$AC$4:$AC$803,$AK136))),"다기관",IF($AF136="","",INDEX(파견수련계획!$T$4:$T$803,$AF136))),IF($AF136="","",INDEX(파견수련계획!$T$4:$T$803,$AF136))))</f>
        <v/>
      </c>
      <c r="Q136" s="10">
        <f>IF($AF136="","",INDEX(파견수련계획!$S$4:$S$803,$AF136))</f>
        <v/>
      </c>
      <c r="R136" s="10">
        <f>IF($AF136="","",INDEX(파견수련계획!$U$4:$U$803,$AF136))</f>
        <v/>
      </c>
      <c r="S136" s="11">
        <f>IF($AF136="","",IF(INDEX(파견수련계획!$H$4:$H$803,$AF136)="","",INDEX(파견수련계획!$H$4:$H$803,$AF136)))</f>
        <v/>
      </c>
      <c r="T136" s="11">
        <f>IF($AF136="","",IF(INDEX(파견수련계획!$I$4:$I$803,$AF136)="","",INDEX(파견수련계획!$I$4:$I$803,$AF136)))</f>
        <v/>
      </c>
      <c r="U136" s="10">
        <f>IF($AF136="","",INDEX(파견수련계획!$X$4:$X$803,$AF136))</f>
        <v/>
      </c>
      <c r="V136" s="17">
        <f>IF($AF136="","",INDEX(파견수련계획!$V$4:$V$803,$AF136))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IF(OR($B136="",TRIM($J136&amp;"")=""),"",SUMPRODUCT((파견수련계획!$Q$4:$Q$803=TRIM($J136&amp;""))*파견수련계획!$W$4:$W$803))</f>
        <v/>
      </c>
      <c r="Y136" s="10">
        <f>IF($B136="","",IF($AG136="","",IF(IF(TRIM($J136&amp;"")="",0,SUMPRODUCT((파견수련계획!$Q$4:$Q$803=TRIM($J136&amp;""))*파견수련계획!$AD$4:$AD$803))&gt;0,$AE136,IF(N($X136)&lt;=0,$AG136,IF($AH136+$AI136=DAY(EOMONTH(요약!$B$3,0)),IF(AND($AH136&gt;=요약!$E$3,$AI136&lt;요약!$E$3),"서울병원",IF(AND($AI136&gt;=요약!$E$3,$AH136&lt;요약!$E$3),"구리병원","⚠15일 판정불가(서울 "&amp;$AH136&amp;"일/구리 "&amp;$AI136&amp;"일)")),IF($AJ136="",$AE136,IF(INDEX(파견수련계획!$T$4:$T$803,$AJ136)="통합수련",INDEX(파견수련계획!$S$4:$S$803,$AJ136),$AE136)))))))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입력",IF(IF(TRIM($J136&amp;"")="",0,SUMPRODUCT((파견수련계획!$Q$4:$Q$803=TRIM($J136&amp;""))*(파견수련계획!$AA$4:$AA$803&lt;&gt;"")))&gt;0,"파견수련계획 입력오류 확인",IF(LEFT($Y136,1)="⚠","서울·구리 15일 판정 불가(양쪽 모두 이상/미만)",IF(IF($AC136="",0,N(INDEX(인턴근무계획!$T$3:$T$402,$AC136)))&gt;0,"인턴계획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IF($B136="","",IFERROR(MATCH($B136,기본자료!$B$2:$B$1001,0),IFERROR(MATCH($B136&amp;"",기본자료!$B$2:$B$1001,0),IFERROR(MATCH(VALUE($B136),기본자료!$B$2:$B$1001,0),""))))</f>
        <v/>
      </c>
      <c r="AC136" s="10">
        <f>IF($B136="","",IFERROR(MATCH($B136,인턴근무계획!$D$3:$D$402,0),IFERROR(MATCH($B136&amp;"",인턴근무계획!$D$3:$D$402,0),IFERROR(MATCH(VALUE($B136),인턴근무계획!$D$3:$D$402,0),""))))</f>
        <v/>
      </c>
      <c r="AD136" s="10">
        <f>IF(OR($AC136="",인턴현황!$G$3=""),"",INDEX(인턴근무계획!$M$3:$R$402,$AC136,인턴현황!$G$3)&amp;"")</f>
        <v/>
      </c>
      <c r="AE136" s="10">
        <f>IF($B136="","",IF($M136&lt;&gt;"",$M136,IF($AF136&lt;&gt;"",IF(LEFT(INDEX(파견수련계획!$R$4:$R$803,$AF136),1)&lt;&gt;"⚠",INDEX(파견수련계획!$R$4:$R$803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$803,0),IFERROR(MATCH(TRIM($J136&amp;"")&amp;"|파견예정",파견수련계획!$Y$4:$Y$803,0),IFERROR(MATCH(TRIM($J136&amp;"")&amp;"|파견종료",파견수련계획!$Y$4:$Y$803,0),""))))</f>
        <v/>
      </c>
      <c r="AG136" s="10">
        <f>IF($B136="","",IF(AND(IF(OR($AC136="",인턴현황!$K$2=""),"",INDEX(인턴근무계획!$M$3:$R$402,$AC136,인턴현황!$K$2)&amp;"")&lt;&gt;"",LEFT(IF(OR($AC136="",인턴현황!$K$2=""),"",INDEX(인턴근무계획!$M$3:$R$402,$AC136,인턴현황!$K$2)&amp;""),1)&lt;&gt;"⚠"),LEFT(IF(OR($AC136="",인턴현황!$K$2=""),"",INDEX(인턴근무계획!$M$3:$R$402,$AC136,인턴현황!$K$2)&amp;""),FIND(" ",IF(OR($AC136="",인턴현황!$K$2=""),"",INDEX(인턴근무계획!$M$3:$R$402,$AC136,인턴현황!$K$2)&amp;""))-1),$AE136))</f>
        <v/>
      </c>
      <c r="AH136" s="17">
        <f>IF($B136="","",IF(TRIM($J136&amp;"")="",0,SUMPRODUCT((파견수련계획!$Q$4:$Q$803=TRIM($J136&amp;""))*(파견수련계획!$S$4:$S$803="서울병원")*파견수련계획!$W$4:$W$803))+IF($AG136="서울병원",MAX(0,DAY(EOMONTH(요약!$B$3,0))-N($X136)),0))</f>
        <v/>
      </c>
      <c r="AI136" s="17">
        <f>IF($B136="","",IF(TRIM($J136&amp;"")="",0,SUMPRODUCT((파견수련계획!$Q$4:$Q$803=TRIM($J136&amp;""))*(파견수련계획!$S$4:$S$803="구리병원")*파견수련계획!$W$4:$W$803))+IF($AG136="구리병원",MAX(0,DAY(EOMONTH(요약!$B$3,0))-N($X136)),0))</f>
        <v/>
      </c>
      <c r="AJ136" s="10">
        <f>IF(OR($B136="",TRIM($J136&amp;"")=""),"",IFERROR(MATCH(TRIM($J136&amp;"")&amp;"|월",파견수련계획!$Z$4:$Z$803,0),""))</f>
        <v/>
      </c>
      <c r="AK136" s="10">
        <f>IF(OR($B136="",TRIM($J136&amp;"")=""),"",IFERROR(MATCH(TRIM($J136&amp;"")&amp;"|다기관",파견수련계획!$AE$4:$AE$803,0),""))</f>
        <v/>
      </c>
      <c r="AL136" s="10">
        <f>IF($AK136="","","다기관 "&amp;TEXT(INDEX(파견수련계획!$AB$4:$AB$803,$AK136),"yyyy-mm-dd")&amp;"~"&amp;IF(ISNUMBER(INDEX(파견수련계획!$AC$4:$AC$803,$AK136)),TEXT(INDEX(파견수련계획!$AC$4:$AC$803,$AK136),"yyyy-mm-dd"),""))</f>
        <v/>
      </c>
    </row>
    <row r="137">
      <c r="A137" s="10">
        <f>IF(B137="","",ROW()-1)</f>
        <v/>
      </c>
      <c r="B137" s="18" t="n"/>
      <c r="C137" s="10">
        <f>IF($AB137="","",IF(INDEX(기본자료!$C$2:$C$1001,$AB137)="","",INDEX(기본자료!$C$2:$C$1001,$AB137)))</f>
        <v/>
      </c>
      <c r="D137" s="10">
        <f>IF($AB137="","",IF(INDEX(기본자료!$J$2:$J$1001,$AB137)="","",INDEX(기본자료!$J$2:$J$1001,$AB137)))</f>
        <v/>
      </c>
      <c r="E137" s="11">
        <f>IF($AB137="","",IF(INDEX(기본자료!$K$2:$K$1001,$AB137)="","",IF(NOT(ISNUMBER(INDEX(기본자료!$K$2:$K$1001,$AB137))),INDEX(기본자료!$K$2:$K$1001,$AB137),IF(INDEX(기본자료!$K$2:$K$1001,$AB137)&lt;1000000,INDEX(기본자료!$K$2:$K$1001,$AB137),IF(AND(INDEX(기본자료!$K$2:$K$1001,$AB137)&gt;=10000101,INT(MOD(INDEX(기본자료!$K$2:$K$1001,$AB137),10000)/100)&gt;=1,INT(MOD(INDEX(기본자료!$K$2:$K$1001,$AB137),10000)/100)&lt;=12,MOD(INDEX(기본자료!$K$2:$K$1001,$AB137),100)&gt;=1,MOD(INDEX(기본자료!$K$2:$K$1001,$AB137),100)&lt;=31),DATE(INT(INDEX(기본자료!$K$2:$K$1001,$AB137)/10000),INT(MOD(INDEX(기본자료!$K$2:$K$1001,$AB137),10000)/100),MOD(INDEX(기본자료!$K$2:$K$1001,$AB137),100)),INDEX(기본자료!$K$2:$K$1001,$AB137)&amp;"")))))</f>
        <v/>
      </c>
      <c r="F137" s="10">
        <f>IF($AB137="","",IF(INDEX(기본자료!$D$2:$D$1001,$AB137)="","",INDEX(기본자료!$D$2:$D$1001,$AB137)))</f>
        <v/>
      </c>
      <c r="G137" s="10">
        <f>IF($AB137="","",IF(INDEX(기본자료!$E$2:$E$1001,$AB137)="","",INDEX(기본자료!$E$2:$E$1001,$AB137)))</f>
        <v/>
      </c>
      <c r="H137" s="10">
        <f>IF($AB137="","",IF(INDEX(기본자료!$F$2:$F$1001,$AB137)="","",INDEX(기본자료!$F$2:$F$1001,$AB137)))</f>
        <v/>
      </c>
      <c r="I137" s="11">
        <f>IF($AB137="","",IF(INDEX(기본자료!$G$2:$G$1001,$AB137)="","",IF(NOT(ISNUMBER(INDEX(기본자료!$G$2:$G$1001,$AB137))),INDEX(기본자료!$G$2:$G$1001,$AB137),IF(INDEX(기본자료!$G$2:$G$1001,$AB137)&lt;1000000,INDEX(기본자료!$G$2:$G$1001,$AB137),IF(AND(INDEX(기본자료!$G$2:$G$1001,$AB137)&gt;=10000101,INT(MOD(INDEX(기본자료!$G$2:$G$1001,$AB137),10000)/100)&gt;=1,INT(MOD(INDEX(기본자료!$G$2:$G$1001,$AB137),10000)/100)&lt;=12,MOD(INDEX(기본자료!$G$2:$G$1001,$AB137),100)&gt;=1,MOD(INDEX(기본자료!$G$2:$G$1001,$AB137),100)&lt;=31),DATE(INT(INDEX(기본자료!$G$2:$G$1001,$AB137)/10000),INT(MOD(INDEX(기본자료!$G$2:$G$1001,$AB137),10000)/100),MOD(INDEX(기본자료!$G$2:$G$1001,$AB137),100)),INDEX(기본자료!$G$2:$G$1001,$AB137)&amp;"")))))</f>
        <v/>
      </c>
      <c r="J137" s="10">
        <f>IF($AB137="","",IF(INDEX(기본자료!$H$2:$H$1001,$AB137)="","",INDEX(기본자료!$H$2:$H$1001,$AB137)))</f>
        <v/>
      </c>
      <c r="K137" s="10">
        <f>IF($AB137="","",IF(INDEX(기본자료!$I$2:$I$1001,$AB137)="","",INDEX(기본자료!$I$2:$I$1001,$AB137)))</f>
        <v/>
      </c>
      <c r="L137" s="10">
        <f>IF($AB137="","",IF(INDEX(기본자료!$A$2:$A$1001,$AB137)="","",INDEX(기본자료!$A$2:$A$1001,$AB137)))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파견수련계획!$AB$4:$AB$803,$AK137),OR(NOT(ISNUMBER(INDEX(파견수련계획!$AC$4:$AC$803,$AK137))),TODAY()&lt;=INDEX(파견수련계획!$AC$4:$AC$803,$AK137))),"다기관",IF($AF137="","",INDEX(파견수련계획!$T$4:$T$803,$AF137))),IF($AF137="","",INDEX(파견수련계획!$T$4:$T$803,$AF137))))</f>
        <v/>
      </c>
      <c r="Q137" s="10">
        <f>IF($AF137="","",INDEX(파견수련계획!$S$4:$S$803,$AF137))</f>
        <v/>
      </c>
      <c r="R137" s="10">
        <f>IF($AF137="","",INDEX(파견수련계획!$U$4:$U$803,$AF137))</f>
        <v/>
      </c>
      <c r="S137" s="11">
        <f>IF($AF137="","",IF(INDEX(파견수련계획!$H$4:$H$803,$AF137)="","",INDEX(파견수련계획!$H$4:$H$803,$AF137)))</f>
        <v/>
      </c>
      <c r="T137" s="11">
        <f>IF($AF137="","",IF(INDEX(파견수련계획!$I$4:$I$803,$AF137)="","",INDEX(파견수련계획!$I$4:$I$803,$AF137)))</f>
        <v/>
      </c>
      <c r="U137" s="10">
        <f>IF($AF137="","",INDEX(파견수련계획!$X$4:$X$803,$AF137))</f>
        <v/>
      </c>
      <c r="V137" s="17">
        <f>IF($AF137="","",INDEX(파견수련계획!$V$4:$V$803,$AF137))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IF(OR($B137="",TRIM($J137&amp;"")=""),"",SUMPRODUCT((파견수련계획!$Q$4:$Q$803=TRIM($J137&amp;""))*파견수련계획!$W$4:$W$803))</f>
        <v/>
      </c>
      <c r="Y137" s="10">
        <f>IF($B137="","",IF($AG137="","",IF(IF(TRIM($J137&amp;"")="",0,SUMPRODUCT((파견수련계획!$Q$4:$Q$803=TRIM($J137&amp;""))*파견수련계획!$AD$4:$AD$803))&gt;0,$AE137,IF(N($X137)&lt;=0,$AG137,IF($AH137+$AI137=DAY(EOMONTH(요약!$B$3,0)),IF(AND($AH137&gt;=요약!$E$3,$AI137&lt;요약!$E$3),"서울병원",IF(AND($AI137&gt;=요약!$E$3,$AH137&lt;요약!$E$3),"구리병원","⚠15일 판정불가(서울 "&amp;$AH137&amp;"일/구리 "&amp;$AI137&amp;"일)")),IF($AJ137="",$AE137,IF(INDEX(파견수련계획!$T$4:$T$803,$AJ137)="통합수련",INDEX(파견수련계획!$S$4:$S$803,$AJ137),$AE137)))))))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입력",IF(IF(TRIM($J137&amp;"")="",0,SUMPRODUCT((파견수련계획!$Q$4:$Q$803=TRIM($J137&amp;""))*(파견수련계획!$AA$4:$AA$803&lt;&gt;"")))&gt;0,"파견수련계획 입력오류 확인",IF(LEFT($Y137,1)="⚠","서울·구리 15일 판정 불가(양쪽 모두 이상/미만)",IF(IF($AC137="",0,N(INDEX(인턴근무계획!$T$3:$T$402,$AC137)))&gt;0,"인턴계획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IF($B137="","",IFERROR(MATCH($B137,기본자료!$B$2:$B$1001,0),IFERROR(MATCH($B137&amp;"",기본자료!$B$2:$B$1001,0),IFERROR(MATCH(VALUE($B137),기본자료!$B$2:$B$1001,0),""))))</f>
        <v/>
      </c>
      <c r="AC137" s="10">
        <f>IF($B137="","",IFERROR(MATCH($B137,인턴근무계획!$D$3:$D$402,0),IFERROR(MATCH($B137&amp;"",인턴근무계획!$D$3:$D$402,0),IFERROR(MATCH(VALUE($B137),인턴근무계획!$D$3:$D$402,0),""))))</f>
        <v/>
      </c>
      <c r="AD137" s="10">
        <f>IF(OR($AC137="",인턴현황!$G$3=""),"",INDEX(인턴근무계획!$M$3:$R$402,$AC137,인턴현황!$G$3)&amp;"")</f>
        <v/>
      </c>
      <c r="AE137" s="10">
        <f>IF($B137="","",IF($M137&lt;&gt;"",$M137,IF($AF137&lt;&gt;"",IF(LEFT(INDEX(파견수련계획!$R$4:$R$803,$AF137),1)&lt;&gt;"⚠",INDEX(파견수련계획!$R$4:$R$803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$803,0),IFERROR(MATCH(TRIM($J137&amp;"")&amp;"|파견예정",파견수련계획!$Y$4:$Y$803,0),IFERROR(MATCH(TRIM($J137&amp;"")&amp;"|파견종료",파견수련계획!$Y$4:$Y$803,0),""))))</f>
        <v/>
      </c>
      <c r="AG137" s="10">
        <f>IF($B137="","",IF(AND(IF(OR($AC137="",인턴현황!$K$2=""),"",INDEX(인턴근무계획!$M$3:$R$402,$AC137,인턴현황!$K$2)&amp;"")&lt;&gt;"",LEFT(IF(OR($AC137="",인턴현황!$K$2=""),"",INDEX(인턴근무계획!$M$3:$R$402,$AC137,인턴현황!$K$2)&amp;""),1)&lt;&gt;"⚠"),LEFT(IF(OR($AC137="",인턴현황!$K$2=""),"",INDEX(인턴근무계획!$M$3:$R$402,$AC137,인턴현황!$K$2)&amp;""),FIND(" ",IF(OR($AC137="",인턴현황!$K$2=""),"",INDEX(인턴근무계획!$M$3:$R$402,$AC137,인턴현황!$K$2)&amp;""))-1),$AE137))</f>
        <v/>
      </c>
      <c r="AH137" s="17">
        <f>IF($B137="","",IF(TRIM($J137&amp;"")="",0,SUMPRODUCT((파견수련계획!$Q$4:$Q$803=TRIM($J137&amp;""))*(파견수련계획!$S$4:$S$803="서울병원")*파견수련계획!$W$4:$W$803))+IF($AG137="서울병원",MAX(0,DAY(EOMONTH(요약!$B$3,0))-N($X137)),0))</f>
        <v/>
      </c>
      <c r="AI137" s="17">
        <f>IF($B137="","",IF(TRIM($J137&amp;"")="",0,SUMPRODUCT((파견수련계획!$Q$4:$Q$803=TRIM($J137&amp;""))*(파견수련계획!$S$4:$S$803="구리병원")*파견수련계획!$W$4:$W$803))+IF($AG137="구리병원",MAX(0,DAY(EOMONTH(요약!$B$3,0))-N($X137)),0))</f>
        <v/>
      </c>
      <c r="AJ137" s="10">
        <f>IF(OR($B137="",TRIM($J137&amp;"")=""),"",IFERROR(MATCH(TRIM($J137&amp;"")&amp;"|월",파견수련계획!$Z$4:$Z$803,0),""))</f>
        <v/>
      </c>
      <c r="AK137" s="10">
        <f>IF(OR($B137="",TRIM($J137&amp;"")=""),"",IFERROR(MATCH(TRIM($J137&amp;"")&amp;"|다기관",파견수련계획!$AE$4:$AE$803,0),""))</f>
        <v/>
      </c>
      <c r="AL137" s="10">
        <f>IF($AK137="","","다기관 "&amp;TEXT(INDEX(파견수련계획!$AB$4:$AB$803,$AK137),"yyyy-mm-dd")&amp;"~"&amp;IF(ISNUMBER(INDEX(파견수련계획!$AC$4:$AC$803,$AK137)),TEXT(INDEX(파견수련계획!$AC$4:$AC$803,$AK137),"yyyy-mm-dd"),""))</f>
        <v/>
      </c>
    </row>
    <row r="138">
      <c r="A138" s="10">
        <f>IF(B138="","",ROW()-1)</f>
        <v/>
      </c>
      <c r="B138" s="18" t="n"/>
      <c r="C138" s="10">
        <f>IF($AB138="","",IF(INDEX(기본자료!$C$2:$C$1001,$AB138)="","",INDEX(기본자료!$C$2:$C$1001,$AB138)))</f>
        <v/>
      </c>
      <c r="D138" s="10">
        <f>IF($AB138="","",IF(INDEX(기본자료!$J$2:$J$1001,$AB138)="","",INDEX(기본자료!$J$2:$J$1001,$AB138)))</f>
        <v/>
      </c>
      <c r="E138" s="11">
        <f>IF($AB138="","",IF(INDEX(기본자료!$K$2:$K$1001,$AB138)="","",IF(NOT(ISNUMBER(INDEX(기본자료!$K$2:$K$1001,$AB138))),INDEX(기본자료!$K$2:$K$1001,$AB138),IF(INDEX(기본자료!$K$2:$K$1001,$AB138)&lt;1000000,INDEX(기본자료!$K$2:$K$1001,$AB138),IF(AND(INDEX(기본자료!$K$2:$K$1001,$AB138)&gt;=10000101,INT(MOD(INDEX(기본자료!$K$2:$K$1001,$AB138),10000)/100)&gt;=1,INT(MOD(INDEX(기본자료!$K$2:$K$1001,$AB138),10000)/100)&lt;=12,MOD(INDEX(기본자료!$K$2:$K$1001,$AB138),100)&gt;=1,MOD(INDEX(기본자료!$K$2:$K$1001,$AB138),100)&lt;=31),DATE(INT(INDEX(기본자료!$K$2:$K$1001,$AB138)/10000),INT(MOD(INDEX(기본자료!$K$2:$K$1001,$AB138),10000)/100),MOD(INDEX(기본자료!$K$2:$K$1001,$AB138),100)),INDEX(기본자료!$K$2:$K$1001,$AB138)&amp;"")))))</f>
        <v/>
      </c>
      <c r="F138" s="10">
        <f>IF($AB138="","",IF(INDEX(기본자료!$D$2:$D$1001,$AB138)="","",INDEX(기본자료!$D$2:$D$1001,$AB138)))</f>
        <v/>
      </c>
      <c r="G138" s="10">
        <f>IF($AB138="","",IF(INDEX(기본자료!$E$2:$E$1001,$AB138)="","",INDEX(기본자료!$E$2:$E$1001,$AB138)))</f>
        <v/>
      </c>
      <c r="H138" s="10">
        <f>IF($AB138="","",IF(INDEX(기본자료!$F$2:$F$1001,$AB138)="","",INDEX(기본자료!$F$2:$F$1001,$AB138)))</f>
        <v/>
      </c>
      <c r="I138" s="11">
        <f>IF($AB138="","",IF(INDEX(기본자료!$G$2:$G$1001,$AB138)="","",IF(NOT(ISNUMBER(INDEX(기본자료!$G$2:$G$1001,$AB138))),INDEX(기본자료!$G$2:$G$1001,$AB138),IF(INDEX(기본자료!$G$2:$G$1001,$AB138)&lt;1000000,INDEX(기본자료!$G$2:$G$1001,$AB138),IF(AND(INDEX(기본자료!$G$2:$G$1001,$AB138)&gt;=10000101,INT(MOD(INDEX(기본자료!$G$2:$G$1001,$AB138),10000)/100)&gt;=1,INT(MOD(INDEX(기본자료!$G$2:$G$1001,$AB138),10000)/100)&lt;=12,MOD(INDEX(기본자료!$G$2:$G$1001,$AB138),100)&gt;=1,MOD(INDEX(기본자료!$G$2:$G$1001,$AB138),100)&lt;=31),DATE(INT(INDEX(기본자료!$G$2:$G$1001,$AB138)/10000),INT(MOD(INDEX(기본자료!$G$2:$G$1001,$AB138),10000)/100),MOD(INDEX(기본자료!$G$2:$G$1001,$AB138),100)),INDEX(기본자료!$G$2:$G$1001,$AB138)&amp;"")))))</f>
        <v/>
      </c>
      <c r="J138" s="10">
        <f>IF($AB138="","",IF(INDEX(기본자료!$H$2:$H$1001,$AB138)="","",INDEX(기본자료!$H$2:$H$1001,$AB138)))</f>
        <v/>
      </c>
      <c r="K138" s="10">
        <f>IF($AB138="","",IF(INDEX(기본자료!$I$2:$I$1001,$AB138)="","",INDEX(기본자료!$I$2:$I$1001,$AB138)))</f>
        <v/>
      </c>
      <c r="L138" s="10">
        <f>IF($AB138="","",IF(INDEX(기본자료!$A$2:$A$1001,$AB138)="","",INDEX(기본자료!$A$2:$A$1001,$AB138)))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파견수련계획!$AB$4:$AB$803,$AK138),OR(NOT(ISNUMBER(INDEX(파견수련계획!$AC$4:$AC$803,$AK138))),TODAY()&lt;=INDEX(파견수련계획!$AC$4:$AC$803,$AK138))),"다기관",IF($AF138="","",INDEX(파견수련계획!$T$4:$T$803,$AF138))),IF($AF138="","",INDEX(파견수련계획!$T$4:$T$803,$AF138))))</f>
        <v/>
      </c>
      <c r="Q138" s="10">
        <f>IF($AF138="","",INDEX(파견수련계획!$S$4:$S$803,$AF138))</f>
        <v/>
      </c>
      <c r="R138" s="10">
        <f>IF($AF138="","",INDEX(파견수련계획!$U$4:$U$803,$AF138))</f>
        <v/>
      </c>
      <c r="S138" s="11">
        <f>IF($AF138="","",IF(INDEX(파견수련계획!$H$4:$H$803,$AF138)="","",INDEX(파견수련계획!$H$4:$H$803,$AF138)))</f>
        <v/>
      </c>
      <c r="T138" s="11">
        <f>IF($AF138="","",IF(INDEX(파견수련계획!$I$4:$I$803,$AF138)="","",INDEX(파견수련계획!$I$4:$I$803,$AF138)))</f>
        <v/>
      </c>
      <c r="U138" s="10">
        <f>IF($AF138="","",INDEX(파견수련계획!$X$4:$X$803,$AF138))</f>
        <v/>
      </c>
      <c r="V138" s="17">
        <f>IF($AF138="","",INDEX(파견수련계획!$V$4:$V$803,$AF138))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IF(OR($B138="",TRIM($J138&amp;"")=""),"",SUMPRODUCT((파견수련계획!$Q$4:$Q$803=TRIM($J138&amp;""))*파견수련계획!$W$4:$W$803))</f>
        <v/>
      </c>
      <c r="Y138" s="10">
        <f>IF($B138="","",IF($AG138="","",IF(IF(TRIM($J138&amp;"")="",0,SUMPRODUCT((파견수련계획!$Q$4:$Q$803=TRIM($J138&amp;""))*파견수련계획!$AD$4:$AD$803))&gt;0,$AE138,IF(N($X138)&lt;=0,$AG138,IF($AH138+$AI138=DAY(EOMONTH(요약!$B$3,0)),IF(AND($AH138&gt;=요약!$E$3,$AI138&lt;요약!$E$3),"서울병원",IF(AND($AI138&gt;=요약!$E$3,$AH138&lt;요약!$E$3),"구리병원","⚠15일 판정불가(서울 "&amp;$AH138&amp;"일/구리 "&amp;$AI138&amp;"일)")),IF($AJ138="",$AE138,IF(INDEX(파견수련계획!$T$4:$T$803,$AJ138)="통합수련",INDEX(파견수련계획!$S$4:$S$803,$AJ138),$AE138)))))))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입력",IF(IF(TRIM($J138&amp;"")="",0,SUMPRODUCT((파견수련계획!$Q$4:$Q$803=TRIM($J138&amp;""))*(파견수련계획!$AA$4:$AA$803&lt;&gt;"")))&gt;0,"파견수련계획 입력오류 확인",IF(LEFT($Y138,1)="⚠","서울·구리 15일 판정 불가(양쪽 모두 이상/미만)",IF(IF($AC138="",0,N(INDEX(인턴근무계획!$T$3:$T$402,$AC138)))&gt;0,"인턴계획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IF($B138="","",IFERROR(MATCH($B138,기본자료!$B$2:$B$1001,0),IFERROR(MATCH($B138&amp;"",기본자료!$B$2:$B$1001,0),IFERROR(MATCH(VALUE($B138),기본자료!$B$2:$B$1001,0),""))))</f>
        <v/>
      </c>
      <c r="AC138" s="10">
        <f>IF($B138="","",IFERROR(MATCH($B138,인턴근무계획!$D$3:$D$402,0),IFERROR(MATCH($B138&amp;"",인턴근무계획!$D$3:$D$402,0),IFERROR(MATCH(VALUE($B138),인턴근무계획!$D$3:$D$402,0),""))))</f>
        <v/>
      </c>
      <c r="AD138" s="10">
        <f>IF(OR($AC138="",인턴현황!$G$3=""),"",INDEX(인턴근무계획!$M$3:$R$402,$AC138,인턴현황!$G$3)&amp;"")</f>
        <v/>
      </c>
      <c r="AE138" s="10">
        <f>IF($B138="","",IF($M138&lt;&gt;"",$M138,IF($AF138&lt;&gt;"",IF(LEFT(INDEX(파견수련계획!$R$4:$R$803,$AF138),1)&lt;&gt;"⚠",INDEX(파견수련계획!$R$4:$R$803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$803,0),IFERROR(MATCH(TRIM($J138&amp;"")&amp;"|파견예정",파견수련계획!$Y$4:$Y$803,0),IFERROR(MATCH(TRIM($J138&amp;"")&amp;"|파견종료",파견수련계획!$Y$4:$Y$803,0),""))))</f>
        <v/>
      </c>
      <c r="AG138" s="10">
        <f>IF($B138="","",IF(AND(IF(OR($AC138="",인턴현황!$K$2=""),"",INDEX(인턴근무계획!$M$3:$R$402,$AC138,인턴현황!$K$2)&amp;"")&lt;&gt;"",LEFT(IF(OR($AC138="",인턴현황!$K$2=""),"",INDEX(인턴근무계획!$M$3:$R$402,$AC138,인턴현황!$K$2)&amp;""),1)&lt;&gt;"⚠"),LEFT(IF(OR($AC138="",인턴현황!$K$2=""),"",INDEX(인턴근무계획!$M$3:$R$402,$AC138,인턴현황!$K$2)&amp;""),FIND(" ",IF(OR($AC138="",인턴현황!$K$2=""),"",INDEX(인턴근무계획!$M$3:$R$402,$AC138,인턴현황!$K$2)&amp;""))-1),$AE138))</f>
        <v/>
      </c>
      <c r="AH138" s="17">
        <f>IF($B138="","",IF(TRIM($J138&amp;"")="",0,SUMPRODUCT((파견수련계획!$Q$4:$Q$803=TRIM($J138&amp;""))*(파견수련계획!$S$4:$S$803="서울병원")*파견수련계획!$W$4:$W$803))+IF($AG138="서울병원",MAX(0,DAY(EOMONTH(요약!$B$3,0))-N($X138)),0))</f>
        <v/>
      </c>
      <c r="AI138" s="17">
        <f>IF($B138="","",IF(TRIM($J138&amp;"")="",0,SUMPRODUCT((파견수련계획!$Q$4:$Q$803=TRIM($J138&amp;""))*(파견수련계획!$S$4:$S$803="구리병원")*파견수련계획!$W$4:$W$803))+IF($AG138="구리병원",MAX(0,DAY(EOMONTH(요약!$B$3,0))-N($X138)),0))</f>
        <v/>
      </c>
      <c r="AJ138" s="10">
        <f>IF(OR($B138="",TRIM($J138&amp;"")=""),"",IFERROR(MATCH(TRIM($J138&amp;"")&amp;"|월",파견수련계획!$Z$4:$Z$803,0),""))</f>
        <v/>
      </c>
      <c r="AK138" s="10">
        <f>IF(OR($B138="",TRIM($J138&amp;"")=""),"",IFERROR(MATCH(TRIM($J138&amp;"")&amp;"|다기관",파견수련계획!$AE$4:$AE$803,0),""))</f>
        <v/>
      </c>
      <c r="AL138" s="10">
        <f>IF($AK138="","","다기관 "&amp;TEXT(INDEX(파견수련계획!$AB$4:$AB$803,$AK138),"yyyy-mm-dd")&amp;"~"&amp;IF(ISNUMBER(INDEX(파견수련계획!$AC$4:$AC$803,$AK138)),TEXT(INDEX(파견수련계획!$AC$4:$AC$803,$AK138),"yyyy-mm-dd"),""))</f>
        <v/>
      </c>
    </row>
    <row r="139">
      <c r="A139" s="10">
        <f>IF(B139="","",ROW()-1)</f>
        <v/>
      </c>
      <c r="B139" s="18" t="n"/>
      <c r="C139" s="10">
        <f>IF($AB139="","",IF(INDEX(기본자료!$C$2:$C$1001,$AB139)="","",INDEX(기본자료!$C$2:$C$1001,$AB139)))</f>
        <v/>
      </c>
      <c r="D139" s="10">
        <f>IF($AB139="","",IF(INDEX(기본자료!$J$2:$J$1001,$AB139)="","",INDEX(기본자료!$J$2:$J$1001,$AB139)))</f>
        <v/>
      </c>
      <c r="E139" s="11">
        <f>IF($AB139="","",IF(INDEX(기본자료!$K$2:$K$1001,$AB139)="","",IF(NOT(ISNUMBER(INDEX(기본자료!$K$2:$K$1001,$AB139))),INDEX(기본자료!$K$2:$K$1001,$AB139),IF(INDEX(기본자료!$K$2:$K$1001,$AB139)&lt;1000000,INDEX(기본자료!$K$2:$K$1001,$AB139),IF(AND(INDEX(기본자료!$K$2:$K$1001,$AB139)&gt;=10000101,INT(MOD(INDEX(기본자료!$K$2:$K$1001,$AB139),10000)/100)&gt;=1,INT(MOD(INDEX(기본자료!$K$2:$K$1001,$AB139),10000)/100)&lt;=12,MOD(INDEX(기본자료!$K$2:$K$1001,$AB139),100)&gt;=1,MOD(INDEX(기본자료!$K$2:$K$1001,$AB139),100)&lt;=31),DATE(INT(INDEX(기본자료!$K$2:$K$1001,$AB139)/10000),INT(MOD(INDEX(기본자료!$K$2:$K$1001,$AB139),10000)/100),MOD(INDEX(기본자료!$K$2:$K$1001,$AB139),100)),INDEX(기본자료!$K$2:$K$1001,$AB139)&amp;"")))))</f>
        <v/>
      </c>
      <c r="F139" s="10">
        <f>IF($AB139="","",IF(INDEX(기본자료!$D$2:$D$1001,$AB139)="","",INDEX(기본자료!$D$2:$D$1001,$AB139)))</f>
        <v/>
      </c>
      <c r="G139" s="10">
        <f>IF($AB139="","",IF(INDEX(기본자료!$E$2:$E$1001,$AB139)="","",INDEX(기본자료!$E$2:$E$1001,$AB139)))</f>
        <v/>
      </c>
      <c r="H139" s="10">
        <f>IF($AB139="","",IF(INDEX(기본자료!$F$2:$F$1001,$AB139)="","",INDEX(기본자료!$F$2:$F$1001,$AB139)))</f>
        <v/>
      </c>
      <c r="I139" s="11">
        <f>IF($AB139="","",IF(INDEX(기본자료!$G$2:$G$1001,$AB139)="","",IF(NOT(ISNUMBER(INDEX(기본자료!$G$2:$G$1001,$AB139))),INDEX(기본자료!$G$2:$G$1001,$AB139),IF(INDEX(기본자료!$G$2:$G$1001,$AB139)&lt;1000000,INDEX(기본자료!$G$2:$G$1001,$AB139),IF(AND(INDEX(기본자료!$G$2:$G$1001,$AB139)&gt;=10000101,INT(MOD(INDEX(기본자료!$G$2:$G$1001,$AB139),10000)/100)&gt;=1,INT(MOD(INDEX(기본자료!$G$2:$G$1001,$AB139),10000)/100)&lt;=12,MOD(INDEX(기본자료!$G$2:$G$1001,$AB139),100)&gt;=1,MOD(INDEX(기본자료!$G$2:$G$1001,$AB139),100)&lt;=31),DATE(INT(INDEX(기본자료!$G$2:$G$1001,$AB139)/10000),INT(MOD(INDEX(기본자료!$G$2:$G$1001,$AB139),10000)/100),MOD(INDEX(기본자료!$G$2:$G$1001,$AB139),100)),INDEX(기본자료!$G$2:$G$1001,$AB139)&amp;"")))))</f>
        <v/>
      </c>
      <c r="J139" s="10">
        <f>IF($AB139="","",IF(INDEX(기본자료!$H$2:$H$1001,$AB139)="","",INDEX(기본자료!$H$2:$H$1001,$AB139)))</f>
        <v/>
      </c>
      <c r="K139" s="10">
        <f>IF($AB139="","",IF(INDEX(기본자료!$I$2:$I$1001,$AB139)="","",INDEX(기본자료!$I$2:$I$1001,$AB139)))</f>
        <v/>
      </c>
      <c r="L139" s="10">
        <f>IF($AB139="","",IF(INDEX(기본자료!$A$2:$A$1001,$AB139)="","",INDEX(기본자료!$A$2:$A$1001,$AB139)))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파견수련계획!$AB$4:$AB$803,$AK139),OR(NOT(ISNUMBER(INDEX(파견수련계획!$AC$4:$AC$803,$AK139))),TODAY()&lt;=INDEX(파견수련계획!$AC$4:$AC$803,$AK139))),"다기관",IF($AF139="","",INDEX(파견수련계획!$T$4:$T$803,$AF139))),IF($AF139="","",INDEX(파견수련계획!$T$4:$T$803,$AF139))))</f>
        <v/>
      </c>
      <c r="Q139" s="10">
        <f>IF($AF139="","",INDEX(파견수련계획!$S$4:$S$803,$AF139))</f>
        <v/>
      </c>
      <c r="R139" s="10">
        <f>IF($AF139="","",INDEX(파견수련계획!$U$4:$U$803,$AF139))</f>
        <v/>
      </c>
      <c r="S139" s="11">
        <f>IF($AF139="","",IF(INDEX(파견수련계획!$H$4:$H$803,$AF139)="","",INDEX(파견수련계획!$H$4:$H$803,$AF139)))</f>
        <v/>
      </c>
      <c r="T139" s="11">
        <f>IF($AF139="","",IF(INDEX(파견수련계획!$I$4:$I$803,$AF139)="","",INDEX(파견수련계획!$I$4:$I$803,$AF139)))</f>
        <v/>
      </c>
      <c r="U139" s="10">
        <f>IF($AF139="","",INDEX(파견수련계획!$X$4:$X$803,$AF139))</f>
        <v/>
      </c>
      <c r="V139" s="17">
        <f>IF($AF139="","",INDEX(파견수련계획!$V$4:$V$803,$AF139))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IF(OR($B139="",TRIM($J139&amp;"")=""),"",SUMPRODUCT((파견수련계획!$Q$4:$Q$803=TRIM($J139&amp;""))*파견수련계획!$W$4:$W$803))</f>
        <v/>
      </c>
      <c r="Y139" s="10">
        <f>IF($B139="","",IF($AG139="","",IF(IF(TRIM($J139&amp;"")="",0,SUMPRODUCT((파견수련계획!$Q$4:$Q$803=TRIM($J139&amp;""))*파견수련계획!$AD$4:$AD$803))&gt;0,$AE139,IF(N($X139)&lt;=0,$AG139,IF($AH139+$AI139=DAY(EOMONTH(요약!$B$3,0)),IF(AND($AH139&gt;=요약!$E$3,$AI139&lt;요약!$E$3),"서울병원",IF(AND($AI139&gt;=요약!$E$3,$AH139&lt;요약!$E$3),"구리병원","⚠15일 판정불가(서울 "&amp;$AH139&amp;"일/구리 "&amp;$AI139&amp;"일)")),IF($AJ139="",$AE139,IF(INDEX(파견수련계획!$T$4:$T$803,$AJ139)="통합수련",INDEX(파견수련계획!$S$4:$S$803,$AJ139),$AE139)))))))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입력",IF(IF(TRIM($J139&amp;"")="",0,SUMPRODUCT((파견수련계획!$Q$4:$Q$803=TRIM($J139&amp;""))*(파견수련계획!$AA$4:$AA$803&lt;&gt;"")))&gt;0,"파견수련계획 입력오류 확인",IF(LEFT($Y139,1)="⚠","서울·구리 15일 판정 불가(양쪽 모두 이상/미만)",IF(IF($AC139="",0,N(INDEX(인턴근무계획!$T$3:$T$402,$AC139)))&gt;0,"인턴계획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IF($B139="","",IFERROR(MATCH($B139,기본자료!$B$2:$B$1001,0),IFERROR(MATCH($B139&amp;"",기본자료!$B$2:$B$1001,0),IFERROR(MATCH(VALUE($B139),기본자료!$B$2:$B$1001,0),""))))</f>
        <v/>
      </c>
      <c r="AC139" s="10">
        <f>IF($B139="","",IFERROR(MATCH($B139,인턴근무계획!$D$3:$D$402,0),IFERROR(MATCH($B139&amp;"",인턴근무계획!$D$3:$D$402,0),IFERROR(MATCH(VALUE($B139),인턴근무계획!$D$3:$D$402,0),""))))</f>
        <v/>
      </c>
      <c r="AD139" s="10">
        <f>IF(OR($AC139="",인턴현황!$G$3=""),"",INDEX(인턴근무계획!$M$3:$R$402,$AC139,인턴현황!$G$3)&amp;"")</f>
        <v/>
      </c>
      <c r="AE139" s="10">
        <f>IF($B139="","",IF($M139&lt;&gt;"",$M139,IF($AF139&lt;&gt;"",IF(LEFT(INDEX(파견수련계획!$R$4:$R$803,$AF139),1)&lt;&gt;"⚠",INDEX(파견수련계획!$R$4:$R$803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$803,0),IFERROR(MATCH(TRIM($J139&amp;"")&amp;"|파견예정",파견수련계획!$Y$4:$Y$803,0),IFERROR(MATCH(TRIM($J139&amp;"")&amp;"|파견종료",파견수련계획!$Y$4:$Y$803,0),""))))</f>
        <v/>
      </c>
      <c r="AG139" s="10">
        <f>IF($B139="","",IF(AND(IF(OR($AC139="",인턴현황!$K$2=""),"",INDEX(인턴근무계획!$M$3:$R$402,$AC139,인턴현황!$K$2)&amp;"")&lt;&gt;"",LEFT(IF(OR($AC139="",인턴현황!$K$2=""),"",INDEX(인턴근무계획!$M$3:$R$402,$AC139,인턴현황!$K$2)&amp;""),1)&lt;&gt;"⚠"),LEFT(IF(OR($AC139="",인턴현황!$K$2=""),"",INDEX(인턴근무계획!$M$3:$R$402,$AC139,인턴현황!$K$2)&amp;""),FIND(" ",IF(OR($AC139="",인턴현황!$K$2=""),"",INDEX(인턴근무계획!$M$3:$R$402,$AC139,인턴현황!$K$2)&amp;""))-1),$AE139))</f>
        <v/>
      </c>
      <c r="AH139" s="17">
        <f>IF($B139="","",IF(TRIM($J139&amp;"")="",0,SUMPRODUCT((파견수련계획!$Q$4:$Q$803=TRIM($J139&amp;""))*(파견수련계획!$S$4:$S$803="서울병원")*파견수련계획!$W$4:$W$803))+IF($AG139="서울병원",MAX(0,DAY(EOMONTH(요약!$B$3,0))-N($X139)),0))</f>
        <v/>
      </c>
      <c r="AI139" s="17">
        <f>IF($B139="","",IF(TRIM($J139&amp;"")="",0,SUMPRODUCT((파견수련계획!$Q$4:$Q$803=TRIM($J139&amp;""))*(파견수련계획!$S$4:$S$803="구리병원")*파견수련계획!$W$4:$W$803))+IF($AG139="구리병원",MAX(0,DAY(EOMONTH(요약!$B$3,0))-N($X139)),0))</f>
        <v/>
      </c>
      <c r="AJ139" s="10">
        <f>IF(OR($B139="",TRIM($J139&amp;"")=""),"",IFERROR(MATCH(TRIM($J139&amp;"")&amp;"|월",파견수련계획!$Z$4:$Z$803,0),""))</f>
        <v/>
      </c>
      <c r="AK139" s="10">
        <f>IF(OR($B139="",TRIM($J139&amp;"")=""),"",IFERROR(MATCH(TRIM($J139&amp;"")&amp;"|다기관",파견수련계획!$AE$4:$AE$803,0),""))</f>
        <v/>
      </c>
      <c r="AL139" s="10">
        <f>IF($AK139="","","다기관 "&amp;TEXT(INDEX(파견수련계획!$AB$4:$AB$803,$AK139),"yyyy-mm-dd")&amp;"~"&amp;IF(ISNUMBER(INDEX(파견수련계획!$AC$4:$AC$803,$AK139)),TEXT(INDEX(파견수련계획!$AC$4:$AC$803,$AK139),"yyyy-mm-dd"),""))</f>
        <v/>
      </c>
    </row>
    <row r="140">
      <c r="A140" s="10">
        <f>IF(B140="","",ROW()-1)</f>
        <v/>
      </c>
      <c r="B140" s="18" t="n"/>
      <c r="C140" s="10">
        <f>IF($AB140="","",IF(INDEX(기본자료!$C$2:$C$1001,$AB140)="","",INDEX(기본자료!$C$2:$C$1001,$AB140)))</f>
        <v/>
      </c>
      <c r="D140" s="10">
        <f>IF($AB140="","",IF(INDEX(기본자료!$J$2:$J$1001,$AB140)="","",INDEX(기본자료!$J$2:$J$1001,$AB140)))</f>
        <v/>
      </c>
      <c r="E140" s="11">
        <f>IF($AB140="","",IF(INDEX(기본자료!$K$2:$K$1001,$AB140)="","",IF(NOT(ISNUMBER(INDEX(기본자료!$K$2:$K$1001,$AB140))),INDEX(기본자료!$K$2:$K$1001,$AB140),IF(INDEX(기본자료!$K$2:$K$1001,$AB140)&lt;1000000,INDEX(기본자료!$K$2:$K$1001,$AB140),IF(AND(INDEX(기본자료!$K$2:$K$1001,$AB140)&gt;=10000101,INT(MOD(INDEX(기본자료!$K$2:$K$1001,$AB140),10000)/100)&gt;=1,INT(MOD(INDEX(기본자료!$K$2:$K$1001,$AB140),10000)/100)&lt;=12,MOD(INDEX(기본자료!$K$2:$K$1001,$AB140),100)&gt;=1,MOD(INDEX(기본자료!$K$2:$K$1001,$AB140),100)&lt;=31),DATE(INT(INDEX(기본자료!$K$2:$K$1001,$AB140)/10000),INT(MOD(INDEX(기본자료!$K$2:$K$1001,$AB140),10000)/100),MOD(INDEX(기본자료!$K$2:$K$1001,$AB140),100)),INDEX(기본자료!$K$2:$K$1001,$AB140)&amp;"")))))</f>
        <v/>
      </c>
      <c r="F140" s="10">
        <f>IF($AB140="","",IF(INDEX(기본자료!$D$2:$D$1001,$AB140)="","",INDEX(기본자료!$D$2:$D$1001,$AB140)))</f>
        <v/>
      </c>
      <c r="G140" s="10">
        <f>IF($AB140="","",IF(INDEX(기본자료!$E$2:$E$1001,$AB140)="","",INDEX(기본자료!$E$2:$E$1001,$AB140)))</f>
        <v/>
      </c>
      <c r="H140" s="10">
        <f>IF($AB140="","",IF(INDEX(기본자료!$F$2:$F$1001,$AB140)="","",INDEX(기본자료!$F$2:$F$1001,$AB140)))</f>
        <v/>
      </c>
      <c r="I140" s="11">
        <f>IF($AB140="","",IF(INDEX(기본자료!$G$2:$G$1001,$AB140)="","",IF(NOT(ISNUMBER(INDEX(기본자료!$G$2:$G$1001,$AB140))),INDEX(기본자료!$G$2:$G$1001,$AB140),IF(INDEX(기본자료!$G$2:$G$1001,$AB140)&lt;1000000,INDEX(기본자료!$G$2:$G$1001,$AB140),IF(AND(INDEX(기본자료!$G$2:$G$1001,$AB140)&gt;=10000101,INT(MOD(INDEX(기본자료!$G$2:$G$1001,$AB140),10000)/100)&gt;=1,INT(MOD(INDEX(기본자료!$G$2:$G$1001,$AB140),10000)/100)&lt;=12,MOD(INDEX(기본자료!$G$2:$G$1001,$AB140),100)&gt;=1,MOD(INDEX(기본자료!$G$2:$G$1001,$AB140),100)&lt;=31),DATE(INT(INDEX(기본자료!$G$2:$G$1001,$AB140)/10000),INT(MOD(INDEX(기본자료!$G$2:$G$1001,$AB140),10000)/100),MOD(INDEX(기본자료!$G$2:$G$1001,$AB140),100)),INDEX(기본자료!$G$2:$G$1001,$AB140)&amp;"")))))</f>
        <v/>
      </c>
      <c r="J140" s="10">
        <f>IF($AB140="","",IF(INDEX(기본자료!$H$2:$H$1001,$AB140)="","",INDEX(기본자료!$H$2:$H$1001,$AB140)))</f>
        <v/>
      </c>
      <c r="K140" s="10">
        <f>IF($AB140="","",IF(INDEX(기본자료!$I$2:$I$1001,$AB140)="","",INDEX(기본자료!$I$2:$I$1001,$AB140)))</f>
        <v/>
      </c>
      <c r="L140" s="10">
        <f>IF($AB140="","",IF(INDEX(기본자료!$A$2:$A$1001,$AB140)="","",INDEX(기본자료!$A$2:$A$1001,$AB140)))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파견수련계획!$AB$4:$AB$803,$AK140),OR(NOT(ISNUMBER(INDEX(파견수련계획!$AC$4:$AC$803,$AK140))),TODAY()&lt;=INDEX(파견수련계획!$AC$4:$AC$803,$AK140))),"다기관",IF($AF140="","",INDEX(파견수련계획!$T$4:$T$803,$AF140))),IF($AF140="","",INDEX(파견수련계획!$T$4:$T$803,$AF140))))</f>
        <v/>
      </c>
      <c r="Q140" s="10">
        <f>IF($AF140="","",INDEX(파견수련계획!$S$4:$S$803,$AF140))</f>
        <v/>
      </c>
      <c r="R140" s="10">
        <f>IF($AF140="","",INDEX(파견수련계획!$U$4:$U$803,$AF140))</f>
        <v/>
      </c>
      <c r="S140" s="11">
        <f>IF($AF140="","",IF(INDEX(파견수련계획!$H$4:$H$803,$AF140)="","",INDEX(파견수련계획!$H$4:$H$803,$AF140)))</f>
        <v/>
      </c>
      <c r="T140" s="11">
        <f>IF($AF140="","",IF(INDEX(파견수련계획!$I$4:$I$803,$AF140)="","",INDEX(파견수련계획!$I$4:$I$803,$AF140)))</f>
        <v/>
      </c>
      <c r="U140" s="10">
        <f>IF($AF140="","",INDEX(파견수련계획!$X$4:$X$803,$AF140))</f>
        <v/>
      </c>
      <c r="V140" s="17">
        <f>IF($AF140="","",INDEX(파견수련계획!$V$4:$V$803,$AF140))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IF(OR($B140="",TRIM($J140&amp;"")=""),"",SUMPRODUCT((파견수련계획!$Q$4:$Q$803=TRIM($J140&amp;""))*파견수련계획!$W$4:$W$803))</f>
        <v/>
      </c>
      <c r="Y140" s="10">
        <f>IF($B140="","",IF($AG140="","",IF(IF(TRIM($J140&amp;"")="",0,SUMPRODUCT((파견수련계획!$Q$4:$Q$803=TRIM($J140&amp;""))*파견수련계획!$AD$4:$AD$803))&gt;0,$AE140,IF(N($X140)&lt;=0,$AG140,IF($AH140+$AI140=DAY(EOMONTH(요약!$B$3,0)),IF(AND($AH140&gt;=요약!$E$3,$AI140&lt;요약!$E$3),"서울병원",IF(AND($AI140&gt;=요약!$E$3,$AH140&lt;요약!$E$3),"구리병원","⚠15일 판정불가(서울 "&amp;$AH140&amp;"일/구리 "&amp;$AI140&amp;"일)")),IF($AJ140="",$AE140,IF(INDEX(파견수련계획!$T$4:$T$803,$AJ140)="통합수련",INDEX(파견수련계획!$S$4:$S$803,$AJ140),$AE140)))))))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입력",IF(IF(TRIM($J140&amp;"")="",0,SUMPRODUCT((파견수련계획!$Q$4:$Q$803=TRIM($J140&amp;""))*(파견수련계획!$AA$4:$AA$803&lt;&gt;"")))&gt;0,"파견수련계획 입력오류 확인",IF(LEFT($Y140,1)="⚠","서울·구리 15일 판정 불가(양쪽 모두 이상/미만)",IF(IF($AC140="",0,N(INDEX(인턴근무계획!$T$3:$T$402,$AC140)))&gt;0,"인턴계획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IF($B140="","",IFERROR(MATCH($B140,기본자료!$B$2:$B$1001,0),IFERROR(MATCH($B140&amp;"",기본자료!$B$2:$B$1001,0),IFERROR(MATCH(VALUE($B140),기본자료!$B$2:$B$1001,0),""))))</f>
        <v/>
      </c>
      <c r="AC140" s="10">
        <f>IF($B140="","",IFERROR(MATCH($B140,인턴근무계획!$D$3:$D$402,0),IFERROR(MATCH($B140&amp;"",인턴근무계획!$D$3:$D$402,0),IFERROR(MATCH(VALUE($B140),인턴근무계획!$D$3:$D$402,0),""))))</f>
        <v/>
      </c>
      <c r="AD140" s="10">
        <f>IF(OR($AC140="",인턴현황!$G$3=""),"",INDEX(인턴근무계획!$M$3:$R$402,$AC140,인턴현황!$G$3)&amp;"")</f>
        <v/>
      </c>
      <c r="AE140" s="10">
        <f>IF($B140="","",IF($M140&lt;&gt;"",$M140,IF($AF140&lt;&gt;"",IF(LEFT(INDEX(파견수련계획!$R$4:$R$803,$AF140),1)&lt;&gt;"⚠",INDEX(파견수련계획!$R$4:$R$803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$803,0),IFERROR(MATCH(TRIM($J140&amp;"")&amp;"|파견예정",파견수련계획!$Y$4:$Y$803,0),IFERROR(MATCH(TRIM($J140&amp;"")&amp;"|파견종료",파견수련계획!$Y$4:$Y$803,0),""))))</f>
        <v/>
      </c>
      <c r="AG140" s="10">
        <f>IF($B140="","",IF(AND(IF(OR($AC140="",인턴현황!$K$2=""),"",INDEX(인턴근무계획!$M$3:$R$402,$AC140,인턴현황!$K$2)&amp;"")&lt;&gt;"",LEFT(IF(OR($AC140="",인턴현황!$K$2=""),"",INDEX(인턴근무계획!$M$3:$R$402,$AC140,인턴현황!$K$2)&amp;""),1)&lt;&gt;"⚠"),LEFT(IF(OR($AC140="",인턴현황!$K$2=""),"",INDEX(인턴근무계획!$M$3:$R$402,$AC140,인턴현황!$K$2)&amp;""),FIND(" ",IF(OR($AC140="",인턴현황!$K$2=""),"",INDEX(인턴근무계획!$M$3:$R$402,$AC140,인턴현황!$K$2)&amp;""))-1),$AE140))</f>
        <v/>
      </c>
      <c r="AH140" s="17">
        <f>IF($B140="","",IF(TRIM($J140&amp;"")="",0,SUMPRODUCT((파견수련계획!$Q$4:$Q$803=TRIM($J140&amp;""))*(파견수련계획!$S$4:$S$803="서울병원")*파견수련계획!$W$4:$W$803))+IF($AG140="서울병원",MAX(0,DAY(EOMONTH(요약!$B$3,0))-N($X140)),0))</f>
        <v/>
      </c>
      <c r="AI140" s="17">
        <f>IF($B140="","",IF(TRIM($J140&amp;"")="",0,SUMPRODUCT((파견수련계획!$Q$4:$Q$803=TRIM($J140&amp;""))*(파견수련계획!$S$4:$S$803="구리병원")*파견수련계획!$W$4:$W$803))+IF($AG140="구리병원",MAX(0,DAY(EOMONTH(요약!$B$3,0))-N($X140)),0))</f>
        <v/>
      </c>
      <c r="AJ140" s="10">
        <f>IF(OR($B140="",TRIM($J140&amp;"")=""),"",IFERROR(MATCH(TRIM($J140&amp;"")&amp;"|월",파견수련계획!$Z$4:$Z$803,0),""))</f>
        <v/>
      </c>
      <c r="AK140" s="10">
        <f>IF(OR($B140="",TRIM($J140&amp;"")=""),"",IFERROR(MATCH(TRIM($J140&amp;"")&amp;"|다기관",파견수련계획!$AE$4:$AE$803,0),""))</f>
        <v/>
      </c>
      <c r="AL140" s="10">
        <f>IF($AK140="","","다기관 "&amp;TEXT(INDEX(파견수련계획!$AB$4:$AB$803,$AK140),"yyyy-mm-dd")&amp;"~"&amp;IF(ISNUMBER(INDEX(파견수련계획!$AC$4:$AC$803,$AK140)),TEXT(INDEX(파견수련계획!$AC$4:$AC$803,$AK140),"yyyy-mm-dd"),""))</f>
        <v/>
      </c>
    </row>
    <row r="141">
      <c r="A141" s="10">
        <f>IF(B141="","",ROW()-1)</f>
        <v/>
      </c>
      <c r="B141" s="18" t="n"/>
      <c r="C141" s="10">
        <f>IF($AB141="","",IF(INDEX(기본자료!$C$2:$C$1001,$AB141)="","",INDEX(기본자료!$C$2:$C$1001,$AB141)))</f>
        <v/>
      </c>
      <c r="D141" s="10">
        <f>IF($AB141="","",IF(INDEX(기본자료!$J$2:$J$1001,$AB141)="","",INDEX(기본자료!$J$2:$J$1001,$AB141)))</f>
        <v/>
      </c>
      <c r="E141" s="11">
        <f>IF($AB141="","",IF(INDEX(기본자료!$K$2:$K$1001,$AB141)="","",IF(NOT(ISNUMBER(INDEX(기본자료!$K$2:$K$1001,$AB141))),INDEX(기본자료!$K$2:$K$1001,$AB141),IF(INDEX(기본자료!$K$2:$K$1001,$AB141)&lt;1000000,INDEX(기본자료!$K$2:$K$1001,$AB141),IF(AND(INDEX(기본자료!$K$2:$K$1001,$AB141)&gt;=10000101,INT(MOD(INDEX(기본자료!$K$2:$K$1001,$AB141),10000)/100)&gt;=1,INT(MOD(INDEX(기본자료!$K$2:$K$1001,$AB141),10000)/100)&lt;=12,MOD(INDEX(기본자료!$K$2:$K$1001,$AB141),100)&gt;=1,MOD(INDEX(기본자료!$K$2:$K$1001,$AB141),100)&lt;=31),DATE(INT(INDEX(기본자료!$K$2:$K$1001,$AB141)/10000),INT(MOD(INDEX(기본자료!$K$2:$K$1001,$AB141),10000)/100),MOD(INDEX(기본자료!$K$2:$K$1001,$AB141),100)),INDEX(기본자료!$K$2:$K$1001,$AB141)&amp;"")))))</f>
        <v/>
      </c>
      <c r="F141" s="10">
        <f>IF($AB141="","",IF(INDEX(기본자료!$D$2:$D$1001,$AB141)="","",INDEX(기본자료!$D$2:$D$1001,$AB141)))</f>
        <v/>
      </c>
      <c r="G141" s="10">
        <f>IF($AB141="","",IF(INDEX(기본자료!$E$2:$E$1001,$AB141)="","",INDEX(기본자료!$E$2:$E$1001,$AB141)))</f>
        <v/>
      </c>
      <c r="H141" s="10">
        <f>IF($AB141="","",IF(INDEX(기본자료!$F$2:$F$1001,$AB141)="","",INDEX(기본자료!$F$2:$F$1001,$AB141)))</f>
        <v/>
      </c>
      <c r="I141" s="11">
        <f>IF($AB141="","",IF(INDEX(기본자료!$G$2:$G$1001,$AB141)="","",IF(NOT(ISNUMBER(INDEX(기본자료!$G$2:$G$1001,$AB141))),INDEX(기본자료!$G$2:$G$1001,$AB141),IF(INDEX(기본자료!$G$2:$G$1001,$AB141)&lt;1000000,INDEX(기본자료!$G$2:$G$1001,$AB141),IF(AND(INDEX(기본자료!$G$2:$G$1001,$AB141)&gt;=10000101,INT(MOD(INDEX(기본자료!$G$2:$G$1001,$AB141),10000)/100)&gt;=1,INT(MOD(INDEX(기본자료!$G$2:$G$1001,$AB141),10000)/100)&lt;=12,MOD(INDEX(기본자료!$G$2:$G$1001,$AB141),100)&gt;=1,MOD(INDEX(기본자료!$G$2:$G$1001,$AB141),100)&lt;=31),DATE(INT(INDEX(기본자료!$G$2:$G$1001,$AB141)/10000),INT(MOD(INDEX(기본자료!$G$2:$G$1001,$AB141),10000)/100),MOD(INDEX(기본자료!$G$2:$G$1001,$AB141),100)),INDEX(기본자료!$G$2:$G$1001,$AB141)&amp;"")))))</f>
        <v/>
      </c>
      <c r="J141" s="10">
        <f>IF($AB141="","",IF(INDEX(기본자료!$H$2:$H$1001,$AB141)="","",INDEX(기본자료!$H$2:$H$1001,$AB141)))</f>
        <v/>
      </c>
      <c r="K141" s="10">
        <f>IF($AB141="","",IF(INDEX(기본자료!$I$2:$I$1001,$AB141)="","",INDEX(기본자료!$I$2:$I$1001,$AB141)))</f>
        <v/>
      </c>
      <c r="L141" s="10">
        <f>IF($AB141="","",IF(INDEX(기본자료!$A$2:$A$1001,$AB141)="","",INDEX(기본자료!$A$2:$A$1001,$AB141)))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파견수련계획!$AB$4:$AB$803,$AK141),OR(NOT(ISNUMBER(INDEX(파견수련계획!$AC$4:$AC$803,$AK141))),TODAY()&lt;=INDEX(파견수련계획!$AC$4:$AC$803,$AK141))),"다기관",IF($AF141="","",INDEX(파견수련계획!$T$4:$T$803,$AF141))),IF($AF141="","",INDEX(파견수련계획!$T$4:$T$803,$AF141))))</f>
        <v/>
      </c>
      <c r="Q141" s="10">
        <f>IF($AF141="","",INDEX(파견수련계획!$S$4:$S$803,$AF141))</f>
        <v/>
      </c>
      <c r="R141" s="10">
        <f>IF($AF141="","",INDEX(파견수련계획!$U$4:$U$803,$AF141))</f>
        <v/>
      </c>
      <c r="S141" s="11">
        <f>IF($AF141="","",IF(INDEX(파견수련계획!$H$4:$H$803,$AF141)="","",INDEX(파견수련계획!$H$4:$H$803,$AF141)))</f>
        <v/>
      </c>
      <c r="T141" s="11">
        <f>IF($AF141="","",IF(INDEX(파견수련계획!$I$4:$I$803,$AF141)="","",INDEX(파견수련계획!$I$4:$I$803,$AF141)))</f>
        <v/>
      </c>
      <c r="U141" s="10">
        <f>IF($AF141="","",INDEX(파견수련계획!$X$4:$X$803,$AF141))</f>
        <v/>
      </c>
      <c r="V141" s="17">
        <f>IF($AF141="","",INDEX(파견수련계획!$V$4:$V$803,$AF141))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IF(OR($B141="",TRIM($J141&amp;"")=""),"",SUMPRODUCT((파견수련계획!$Q$4:$Q$803=TRIM($J141&amp;""))*파견수련계획!$W$4:$W$803))</f>
        <v/>
      </c>
      <c r="Y141" s="10">
        <f>IF($B141="","",IF($AG141="","",IF(IF(TRIM($J141&amp;"")="",0,SUMPRODUCT((파견수련계획!$Q$4:$Q$803=TRIM($J141&amp;""))*파견수련계획!$AD$4:$AD$803))&gt;0,$AE141,IF(N($X141)&lt;=0,$AG141,IF($AH141+$AI141=DAY(EOMONTH(요약!$B$3,0)),IF(AND($AH141&gt;=요약!$E$3,$AI141&lt;요약!$E$3),"서울병원",IF(AND($AI141&gt;=요약!$E$3,$AH141&lt;요약!$E$3),"구리병원","⚠15일 판정불가(서울 "&amp;$AH141&amp;"일/구리 "&amp;$AI141&amp;"일)")),IF($AJ141="",$AE141,IF(INDEX(파견수련계획!$T$4:$T$803,$AJ141)="통합수련",INDEX(파견수련계획!$S$4:$S$803,$AJ141),$AE141)))))))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입력",IF(IF(TRIM($J141&amp;"")="",0,SUMPRODUCT((파견수련계획!$Q$4:$Q$803=TRIM($J141&amp;""))*(파견수련계획!$AA$4:$AA$803&lt;&gt;"")))&gt;0,"파견수련계획 입력오류 확인",IF(LEFT($Y141,1)="⚠","서울·구리 15일 판정 불가(양쪽 모두 이상/미만)",IF(IF($AC141="",0,N(INDEX(인턴근무계획!$T$3:$T$402,$AC141)))&gt;0,"인턴계획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IF($B141="","",IFERROR(MATCH($B141,기본자료!$B$2:$B$1001,0),IFERROR(MATCH($B141&amp;"",기본자료!$B$2:$B$1001,0),IFERROR(MATCH(VALUE($B141),기본자료!$B$2:$B$1001,0),""))))</f>
        <v/>
      </c>
      <c r="AC141" s="10">
        <f>IF($B141="","",IFERROR(MATCH($B141,인턴근무계획!$D$3:$D$402,0),IFERROR(MATCH($B141&amp;"",인턴근무계획!$D$3:$D$402,0),IFERROR(MATCH(VALUE($B141),인턴근무계획!$D$3:$D$402,0),""))))</f>
        <v/>
      </c>
      <c r="AD141" s="10">
        <f>IF(OR($AC141="",인턴현황!$G$3=""),"",INDEX(인턴근무계획!$M$3:$R$402,$AC141,인턴현황!$G$3)&amp;"")</f>
        <v/>
      </c>
      <c r="AE141" s="10">
        <f>IF($B141="","",IF($M141&lt;&gt;"",$M141,IF($AF141&lt;&gt;"",IF(LEFT(INDEX(파견수련계획!$R$4:$R$803,$AF141),1)&lt;&gt;"⚠",INDEX(파견수련계획!$R$4:$R$803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$803,0),IFERROR(MATCH(TRIM($J141&amp;"")&amp;"|파견예정",파견수련계획!$Y$4:$Y$803,0),IFERROR(MATCH(TRIM($J141&amp;"")&amp;"|파견종료",파견수련계획!$Y$4:$Y$803,0),""))))</f>
        <v/>
      </c>
      <c r="AG141" s="10">
        <f>IF($B141="","",IF(AND(IF(OR($AC141="",인턴현황!$K$2=""),"",INDEX(인턴근무계획!$M$3:$R$402,$AC141,인턴현황!$K$2)&amp;"")&lt;&gt;"",LEFT(IF(OR($AC141="",인턴현황!$K$2=""),"",INDEX(인턴근무계획!$M$3:$R$402,$AC141,인턴현황!$K$2)&amp;""),1)&lt;&gt;"⚠"),LEFT(IF(OR($AC141="",인턴현황!$K$2=""),"",INDEX(인턴근무계획!$M$3:$R$402,$AC141,인턴현황!$K$2)&amp;""),FIND(" ",IF(OR($AC141="",인턴현황!$K$2=""),"",INDEX(인턴근무계획!$M$3:$R$402,$AC141,인턴현황!$K$2)&amp;""))-1),$AE141))</f>
        <v/>
      </c>
      <c r="AH141" s="17">
        <f>IF($B141="","",IF(TRIM($J141&amp;"")="",0,SUMPRODUCT((파견수련계획!$Q$4:$Q$803=TRIM($J141&amp;""))*(파견수련계획!$S$4:$S$803="서울병원")*파견수련계획!$W$4:$W$803))+IF($AG141="서울병원",MAX(0,DAY(EOMONTH(요약!$B$3,0))-N($X141)),0))</f>
        <v/>
      </c>
      <c r="AI141" s="17">
        <f>IF($B141="","",IF(TRIM($J141&amp;"")="",0,SUMPRODUCT((파견수련계획!$Q$4:$Q$803=TRIM($J141&amp;""))*(파견수련계획!$S$4:$S$803="구리병원")*파견수련계획!$W$4:$W$803))+IF($AG141="구리병원",MAX(0,DAY(EOMONTH(요약!$B$3,0))-N($X141)),0))</f>
        <v/>
      </c>
      <c r="AJ141" s="10">
        <f>IF(OR($B141="",TRIM($J141&amp;"")=""),"",IFERROR(MATCH(TRIM($J141&amp;"")&amp;"|월",파견수련계획!$Z$4:$Z$803,0),""))</f>
        <v/>
      </c>
      <c r="AK141" s="10">
        <f>IF(OR($B141="",TRIM($J141&amp;"")=""),"",IFERROR(MATCH(TRIM($J141&amp;"")&amp;"|다기관",파견수련계획!$AE$4:$AE$803,0),""))</f>
        <v/>
      </c>
      <c r="AL141" s="10">
        <f>IF($AK141="","","다기관 "&amp;TEXT(INDEX(파견수련계획!$AB$4:$AB$803,$AK141),"yyyy-mm-dd")&amp;"~"&amp;IF(ISNUMBER(INDEX(파견수련계획!$AC$4:$AC$803,$AK141)),TEXT(INDEX(파견수련계획!$AC$4:$AC$803,$AK141),"yyyy-mm-dd"),""))</f>
        <v/>
      </c>
    </row>
    <row r="142">
      <c r="A142" s="10">
        <f>IF(B142="","",ROW()-1)</f>
        <v/>
      </c>
      <c r="B142" s="18" t="n"/>
      <c r="C142" s="10">
        <f>IF($AB142="","",IF(INDEX(기본자료!$C$2:$C$1001,$AB142)="","",INDEX(기본자료!$C$2:$C$1001,$AB142)))</f>
        <v/>
      </c>
      <c r="D142" s="10">
        <f>IF($AB142="","",IF(INDEX(기본자료!$J$2:$J$1001,$AB142)="","",INDEX(기본자료!$J$2:$J$1001,$AB142)))</f>
        <v/>
      </c>
      <c r="E142" s="11">
        <f>IF($AB142="","",IF(INDEX(기본자료!$K$2:$K$1001,$AB142)="","",IF(NOT(ISNUMBER(INDEX(기본자료!$K$2:$K$1001,$AB142))),INDEX(기본자료!$K$2:$K$1001,$AB142),IF(INDEX(기본자료!$K$2:$K$1001,$AB142)&lt;1000000,INDEX(기본자료!$K$2:$K$1001,$AB142),IF(AND(INDEX(기본자료!$K$2:$K$1001,$AB142)&gt;=10000101,INT(MOD(INDEX(기본자료!$K$2:$K$1001,$AB142),10000)/100)&gt;=1,INT(MOD(INDEX(기본자료!$K$2:$K$1001,$AB142),10000)/100)&lt;=12,MOD(INDEX(기본자료!$K$2:$K$1001,$AB142),100)&gt;=1,MOD(INDEX(기본자료!$K$2:$K$1001,$AB142),100)&lt;=31),DATE(INT(INDEX(기본자료!$K$2:$K$1001,$AB142)/10000),INT(MOD(INDEX(기본자료!$K$2:$K$1001,$AB142),10000)/100),MOD(INDEX(기본자료!$K$2:$K$1001,$AB142),100)),INDEX(기본자료!$K$2:$K$1001,$AB142)&amp;"")))))</f>
        <v/>
      </c>
      <c r="F142" s="10">
        <f>IF($AB142="","",IF(INDEX(기본자료!$D$2:$D$1001,$AB142)="","",INDEX(기본자료!$D$2:$D$1001,$AB142)))</f>
        <v/>
      </c>
      <c r="G142" s="10">
        <f>IF($AB142="","",IF(INDEX(기본자료!$E$2:$E$1001,$AB142)="","",INDEX(기본자료!$E$2:$E$1001,$AB142)))</f>
        <v/>
      </c>
      <c r="H142" s="10">
        <f>IF($AB142="","",IF(INDEX(기본자료!$F$2:$F$1001,$AB142)="","",INDEX(기본자료!$F$2:$F$1001,$AB142)))</f>
        <v/>
      </c>
      <c r="I142" s="11">
        <f>IF($AB142="","",IF(INDEX(기본자료!$G$2:$G$1001,$AB142)="","",IF(NOT(ISNUMBER(INDEX(기본자료!$G$2:$G$1001,$AB142))),INDEX(기본자료!$G$2:$G$1001,$AB142),IF(INDEX(기본자료!$G$2:$G$1001,$AB142)&lt;1000000,INDEX(기본자료!$G$2:$G$1001,$AB142),IF(AND(INDEX(기본자료!$G$2:$G$1001,$AB142)&gt;=10000101,INT(MOD(INDEX(기본자료!$G$2:$G$1001,$AB142),10000)/100)&gt;=1,INT(MOD(INDEX(기본자료!$G$2:$G$1001,$AB142),10000)/100)&lt;=12,MOD(INDEX(기본자료!$G$2:$G$1001,$AB142),100)&gt;=1,MOD(INDEX(기본자료!$G$2:$G$1001,$AB142),100)&lt;=31),DATE(INT(INDEX(기본자료!$G$2:$G$1001,$AB142)/10000),INT(MOD(INDEX(기본자료!$G$2:$G$1001,$AB142),10000)/100),MOD(INDEX(기본자료!$G$2:$G$1001,$AB142),100)),INDEX(기본자료!$G$2:$G$1001,$AB142)&amp;"")))))</f>
        <v/>
      </c>
      <c r="J142" s="10">
        <f>IF($AB142="","",IF(INDEX(기본자료!$H$2:$H$1001,$AB142)="","",INDEX(기본자료!$H$2:$H$1001,$AB142)))</f>
        <v/>
      </c>
      <c r="K142" s="10">
        <f>IF($AB142="","",IF(INDEX(기본자료!$I$2:$I$1001,$AB142)="","",INDEX(기본자료!$I$2:$I$1001,$AB142)))</f>
        <v/>
      </c>
      <c r="L142" s="10">
        <f>IF($AB142="","",IF(INDEX(기본자료!$A$2:$A$1001,$AB142)="","",INDEX(기본자료!$A$2:$A$1001,$AB142)))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파견수련계획!$AB$4:$AB$803,$AK142),OR(NOT(ISNUMBER(INDEX(파견수련계획!$AC$4:$AC$803,$AK142))),TODAY()&lt;=INDEX(파견수련계획!$AC$4:$AC$803,$AK142))),"다기관",IF($AF142="","",INDEX(파견수련계획!$T$4:$T$803,$AF142))),IF($AF142="","",INDEX(파견수련계획!$T$4:$T$803,$AF142))))</f>
        <v/>
      </c>
      <c r="Q142" s="10">
        <f>IF($AF142="","",INDEX(파견수련계획!$S$4:$S$803,$AF142))</f>
        <v/>
      </c>
      <c r="R142" s="10">
        <f>IF($AF142="","",INDEX(파견수련계획!$U$4:$U$803,$AF142))</f>
        <v/>
      </c>
      <c r="S142" s="11">
        <f>IF($AF142="","",IF(INDEX(파견수련계획!$H$4:$H$803,$AF142)="","",INDEX(파견수련계획!$H$4:$H$803,$AF142)))</f>
        <v/>
      </c>
      <c r="T142" s="11">
        <f>IF($AF142="","",IF(INDEX(파견수련계획!$I$4:$I$803,$AF142)="","",INDEX(파견수련계획!$I$4:$I$803,$AF142)))</f>
        <v/>
      </c>
      <c r="U142" s="10">
        <f>IF($AF142="","",INDEX(파견수련계획!$X$4:$X$803,$AF142))</f>
        <v/>
      </c>
      <c r="V142" s="17">
        <f>IF($AF142="","",INDEX(파견수련계획!$V$4:$V$803,$AF142))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IF(OR($B142="",TRIM($J142&amp;"")=""),"",SUMPRODUCT((파견수련계획!$Q$4:$Q$803=TRIM($J142&amp;""))*파견수련계획!$W$4:$W$803))</f>
        <v/>
      </c>
      <c r="Y142" s="10">
        <f>IF($B142="","",IF($AG142="","",IF(IF(TRIM($J142&amp;"")="",0,SUMPRODUCT((파견수련계획!$Q$4:$Q$803=TRIM($J142&amp;""))*파견수련계획!$AD$4:$AD$803))&gt;0,$AE142,IF(N($X142)&lt;=0,$AG142,IF($AH142+$AI142=DAY(EOMONTH(요약!$B$3,0)),IF(AND($AH142&gt;=요약!$E$3,$AI142&lt;요약!$E$3),"서울병원",IF(AND($AI142&gt;=요약!$E$3,$AH142&lt;요약!$E$3),"구리병원","⚠15일 판정불가(서울 "&amp;$AH142&amp;"일/구리 "&amp;$AI142&amp;"일)")),IF($AJ142="",$AE142,IF(INDEX(파견수련계획!$T$4:$T$803,$AJ142)="통합수련",INDEX(파견수련계획!$S$4:$S$803,$AJ142),$AE142)))))))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입력",IF(IF(TRIM($J142&amp;"")="",0,SUMPRODUCT((파견수련계획!$Q$4:$Q$803=TRIM($J142&amp;""))*(파견수련계획!$AA$4:$AA$803&lt;&gt;"")))&gt;0,"파견수련계획 입력오류 확인",IF(LEFT($Y142,1)="⚠","서울·구리 15일 판정 불가(양쪽 모두 이상/미만)",IF(IF($AC142="",0,N(INDEX(인턴근무계획!$T$3:$T$402,$AC142)))&gt;0,"인턴계획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IF($B142="","",IFERROR(MATCH($B142,기본자료!$B$2:$B$1001,0),IFERROR(MATCH($B142&amp;"",기본자료!$B$2:$B$1001,0),IFERROR(MATCH(VALUE($B142),기본자료!$B$2:$B$1001,0),""))))</f>
        <v/>
      </c>
      <c r="AC142" s="10">
        <f>IF($B142="","",IFERROR(MATCH($B142,인턴근무계획!$D$3:$D$402,0),IFERROR(MATCH($B142&amp;"",인턴근무계획!$D$3:$D$402,0),IFERROR(MATCH(VALUE($B142),인턴근무계획!$D$3:$D$402,0),""))))</f>
        <v/>
      </c>
      <c r="AD142" s="10">
        <f>IF(OR($AC142="",인턴현황!$G$3=""),"",INDEX(인턴근무계획!$M$3:$R$402,$AC142,인턴현황!$G$3)&amp;"")</f>
        <v/>
      </c>
      <c r="AE142" s="10">
        <f>IF($B142="","",IF($M142&lt;&gt;"",$M142,IF($AF142&lt;&gt;"",IF(LEFT(INDEX(파견수련계획!$R$4:$R$803,$AF142),1)&lt;&gt;"⚠",INDEX(파견수련계획!$R$4:$R$803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$803,0),IFERROR(MATCH(TRIM($J142&amp;"")&amp;"|파견예정",파견수련계획!$Y$4:$Y$803,0),IFERROR(MATCH(TRIM($J142&amp;"")&amp;"|파견종료",파견수련계획!$Y$4:$Y$803,0),""))))</f>
        <v/>
      </c>
      <c r="AG142" s="10">
        <f>IF($B142="","",IF(AND(IF(OR($AC142="",인턴현황!$K$2=""),"",INDEX(인턴근무계획!$M$3:$R$402,$AC142,인턴현황!$K$2)&amp;"")&lt;&gt;"",LEFT(IF(OR($AC142="",인턴현황!$K$2=""),"",INDEX(인턴근무계획!$M$3:$R$402,$AC142,인턴현황!$K$2)&amp;""),1)&lt;&gt;"⚠"),LEFT(IF(OR($AC142="",인턴현황!$K$2=""),"",INDEX(인턴근무계획!$M$3:$R$402,$AC142,인턴현황!$K$2)&amp;""),FIND(" ",IF(OR($AC142="",인턴현황!$K$2=""),"",INDEX(인턴근무계획!$M$3:$R$402,$AC142,인턴현황!$K$2)&amp;""))-1),$AE142))</f>
        <v/>
      </c>
      <c r="AH142" s="17">
        <f>IF($B142="","",IF(TRIM($J142&amp;"")="",0,SUMPRODUCT((파견수련계획!$Q$4:$Q$803=TRIM($J142&amp;""))*(파견수련계획!$S$4:$S$803="서울병원")*파견수련계획!$W$4:$W$803))+IF($AG142="서울병원",MAX(0,DAY(EOMONTH(요약!$B$3,0))-N($X142)),0))</f>
        <v/>
      </c>
      <c r="AI142" s="17">
        <f>IF($B142="","",IF(TRIM($J142&amp;"")="",0,SUMPRODUCT((파견수련계획!$Q$4:$Q$803=TRIM($J142&amp;""))*(파견수련계획!$S$4:$S$803="구리병원")*파견수련계획!$W$4:$W$803))+IF($AG142="구리병원",MAX(0,DAY(EOMONTH(요약!$B$3,0))-N($X142)),0))</f>
        <v/>
      </c>
      <c r="AJ142" s="10">
        <f>IF(OR($B142="",TRIM($J142&amp;"")=""),"",IFERROR(MATCH(TRIM($J142&amp;"")&amp;"|월",파견수련계획!$Z$4:$Z$803,0),""))</f>
        <v/>
      </c>
      <c r="AK142" s="10">
        <f>IF(OR($B142="",TRIM($J142&amp;"")=""),"",IFERROR(MATCH(TRIM($J142&amp;"")&amp;"|다기관",파견수련계획!$AE$4:$AE$803,0),""))</f>
        <v/>
      </c>
      <c r="AL142" s="10">
        <f>IF($AK142="","","다기관 "&amp;TEXT(INDEX(파견수련계획!$AB$4:$AB$803,$AK142),"yyyy-mm-dd")&amp;"~"&amp;IF(ISNUMBER(INDEX(파견수련계획!$AC$4:$AC$803,$AK142)),TEXT(INDEX(파견수련계획!$AC$4:$AC$803,$AK142),"yyyy-mm-dd"),""))</f>
        <v/>
      </c>
    </row>
    <row r="143">
      <c r="A143" s="10">
        <f>IF(B143="","",ROW()-1)</f>
        <v/>
      </c>
      <c r="B143" s="18" t="n"/>
      <c r="C143" s="10">
        <f>IF($AB143="","",IF(INDEX(기본자료!$C$2:$C$1001,$AB143)="","",INDEX(기본자료!$C$2:$C$1001,$AB143)))</f>
        <v/>
      </c>
      <c r="D143" s="10">
        <f>IF($AB143="","",IF(INDEX(기본자료!$J$2:$J$1001,$AB143)="","",INDEX(기본자료!$J$2:$J$1001,$AB143)))</f>
        <v/>
      </c>
      <c r="E143" s="11">
        <f>IF($AB143="","",IF(INDEX(기본자료!$K$2:$K$1001,$AB143)="","",IF(NOT(ISNUMBER(INDEX(기본자료!$K$2:$K$1001,$AB143))),INDEX(기본자료!$K$2:$K$1001,$AB143),IF(INDEX(기본자료!$K$2:$K$1001,$AB143)&lt;1000000,INDEX(기본자료!$K$2:$K$1001,$AB143),IF(AND(INDEX(기본자료!$K$2:$K$1001,$AB143)&gt;=10000101,INT(MOD(INDEX(기본자료!$K$2:$K$1001,$AB143),10000)/100)&gt;=1,INT(MOD(INDEX(기본자료!$K$2:$K$1001,$AB143),10000)/100)&lt;=12,MOD(INDEX(기본자료!$K$2:$K$1001,$AB143),100)&gt;=1,MOD(INDEX(기본자료!$K$2:$K$1001,$AB143),100)&lt;=31),DATE(INT(INDEX(기본자료!$K$2:$K$1001,$AB143)/10000),INT(MOD(INDEX(기본자료!$K$2:$K$1001,$AB143),10000)/100),MOD(INDEX(기본자료!$K$2:$K$1001,$AB143),100)),INDEX(기본자료!$K$2:$K$1001,$AB143)&amp;"")))))</f>
        <v/>
      </c>
      <c r="F143" s="10">
        <f>IF($AB143="","",IF(INDEX(기본자료!$D$2:$D$1001,$AB143)="","",INDEX(기본자료!$D$2:$D$1001,$AB143)))</f>
        <v/>
      </c>
      <c r="G143" s="10">
        <f>IF($AB143="","",IF(INDEX(기본자료!$E$2:$E$1001,$AB143)="","",INDEX(기본자료!$E$2:$E$1001,$AB143)))</f>
        <v/>
      </c>
      <c r="H143" s="10">
        <f>IF($AB143="","",IF(INDEX(기본자료!$F$2:$F$1001,$AB143)="","",INDEX(기본자료!$F$2:$F$1001,$AB143)))</f>
        <v/>
      </c>
      <c r="I143" s="11">
        <f>IF($AB143="","",IF(INDEX(기본자료!$G$2:$G$1001,$AB143)="","",IF(NOT(ISNUMBER(INDEX(기본자료!$G$2:$G$1001,$AB143))),INDEX(기본자료!$G$2:$G$1001,$AB143),IF(INDEX(기본자료!$G$2:$G$1001,$AB143)&lt;1000000,INDEX(기본자료!$G$2:$G$1001,$AB143),IF(AND(INDEX(기본자료!$G$2:$G$1001,$AB143)&gt;=10000101,INT(MOD(INDEX(기본자료!$G$2:$G$1001,$AB143),10000)/100)&gt;=1,INT(MOD(INDEX(기본자료!$G$2:$G$1001,$AB143),10000)/100)&lt;=12,MOD(INDEX(기본자료!$G$2:$G$1001,$AB143),100)&gt;=1,MOD(INDEX(기본자료!$G$2:$G$1001,$AB143),100)&lt;=31),DATE(INT(INDEX(기본자료!$G$2:$G$1001,$AB143)/10000),INT(MOD(INDEX(기본자료!$G$2:$G$1001,$AB143),10000)/100),MOD(INDEX(기본자료!$G$2:$G$1001,$AB143),100)),INDEX(기본자료!$G$2:$G$1001,$AB143)&amp;"")))))</f>
        <v/>
      </c>
      <c r="J143" s="10">
        <f>IF($AB143="","",IF(INDEX(기본자료!$H$2:$H$1001,$AB143)="","",INDEX(기본자료!$H$2:$H$1001,$AB143)))</f>
        <v/>
      </c>
      <c r="K143" s="10">
        <f>IF($AB143="","",IF(INDEX(기본자료!$I$2:$I$1001,$AB143)="","",INDEX(기본자료!$I$2:$I$1001,$AB143)))</f>
        <v/>
      </c>
      <c r="L143" s="10">
        <f>IF($AB143="","",IF(INDEX(기본자료!$A$2:$A$1001,$AB143)="","",INDEX(기본자료!$A$2:$A$1001,$AB143)))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파견수련계획!$AB$4:$AB$803,$AK143),OR(NOT(ISNUMBER(INDEX(파견수련계획!$AC$4:$AC$803,$AK143))),TODAY()&lt;=INDEX(파견수련계획!$AC$4:$AC$803,$AK143))),"다기관",IF($AF143="","",INDEX(파견수련계획!$T$4:$T$803,$AF143))),IF($AF143="","",INDEX(파견수련계획!$T$4:$T$803,$AF143))))</f>
        <v/>
      </c>
      <c r="Q143" s="10">
        <f>IF($AF143="","",INDEX(파견수련계획!$S$4:$S$803,$AF143))</f>
        <v/>
      </c>
      <c r="R143" s="10">
        <f>IF($AF143="","",INDEX(파견수련계획!$U$4:$U$803,$AF143))</f>
        <v/>
      </c>
      <c r="S143" s="11">
        <f>IF($AF143="","",IF(INDEX(파견수련계획!$H$4:$H$803,$AF143)="","",INDEX(파견수련계획!$H$4:$H$803,$AF143)))</f>
        <v/>
      </c>
      <c r="T143" s="11">
        <f>IF($AF143="","",IF(INDEX(파견수련계획!$I$4:$I$803,$AF143)="","",INDEX(파견수련계획!$I$4:$I$803,$AF143)))</f>
        <v/>
      </c>
      <c r="U143" s="10">
        <f>IF($AF143="","",INDEX(파견수련계획!$X$4:$X$803,$AF143))</f>
        <v/>
      </c>
      <c r="V143" s="17">
        <f>IF($AF143="","",INDEX(파견수련계획!$V$4:$V$803,$AF143))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IF(OR($B143="",TRIM($J143&amp;"")=""),"",SUMPRODUCT((파견수련계획!$Q$4:$Q$803=TRIM($J143&amp;""))*파견수련계획!$W$4:$W$803))</f>
        <v/>
      </c>
      <c r="Y143" s="10">
        <f>IF($B143="","",IF($AG143="","",IF(IF(TRIM($J143&amp;"")="",0,SUMPRODUCT((파견수련계획!$Q$4:$Q$803=TRIM($J143&amp;""))*파견수련계획!$AD$4:$AD$803))&gt;0,$AE143,IF(N($X143)&lt;=0,$AG143,IF($AH143+$AI143=DAY(EOMONTH(요약!$B$3,0)),IF(AND($AH143&gt;=요약!$E$3,$AI143&lt;요약!$E$3),"서울병원",IF(AND($AI143&gt;=요약!$E$3,$AH143&lt;요약!$E$3),"구리병원","⚠15일 판정불가(서울 "&amp;$AH143&amp;"일/구리 "&amp;$AI143&amp;"일)")),IF($AJ143="",$AE143,IF(INDEX(파견수련계획!$T$4:$T$803,$AJ143)="통합수련",INDEX(파견수련계획!$S$4:$S$803,$AJ143),$AE143)))))))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입력",IF(IF(TRIM($J143&amp;"")="",0,SUMPRODUCT((파견수련계획!$Q$4:$Q$803=TRIM($J143&amp;""))*(파견수련계획!$AA$4:$AA$803&lt;&gt;"")))&gt;0,"파견수련계획 입력오류 확인",IF(LEFT($Y143,1)="⚠","서울·구리 15일 판정 불가(양쪽 모두 이상/미만)",IF(IF($AC143="",0,N(INDEX(인턴근무계획!$T$3:$T$402,$AC143)))&gt;0,"인턴계획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IF($B143="","",IFERROR(MATCH($B143,기본자료!$B$2:$B$1001,0),IFERROR(MATCH($B143&amp;"",기본자료!$B$2:$B$1001,0),IFERROR(MATCH(VALUE($B143),기본자료!$B$2:$B$1001,0),""))))</f>
        <v/>
      </c>
      <c r="AC143" s="10">
        <f>IF($B143="","",IFERROR(MATCH($B143,인턴근무계획!$D$3:$D$402,0),IFERROR(MATCH($B143&amp;"",인턴근무계획!$D$3:$D$402,0),IFERROR(MATCH(VALUE($B143),인턴근무계획!$D$3:$D$402,0),""))))</f>
        <v/>
      </c>
      <c r="AD143" s="10">
        <f>IF(OR($AC143="",인턴현황!$G$3=""),"",INDEX(인턴근무계획!$M$3:$R$402,$AC143,인턴현황!$G$3)&amp;"")</f>
        <v/>
      </c>
      <c r="AE143" s="10">
        <f>IF($B143="","",IF($M143&lt;&gt;"",$M143,IF($AF143&lt;&gt;"",IF(LEFT(INDEX(파견수련계획!$R$4:$R$803,$AF143),1)&lt;&gt;"⚠",INDEX(파견수련계획!$R$4:$R$803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$803,0),IFERROR(MATCH(TRIM($J143&amp;"")&amp;"|파견예정",파견수련계획!$Y$4:$Y$803,0),IFERROR(MATCH(TRIM($J143&amp;"")&amp;"|파견종료",파견수련계획!$Y$4:$Y$803,0),""))))</f>
        <v/>
      </c>
      <c r="AG143" s="10">
        <f>IF($B143="","",IF(AND(IF(OR($AC143="",인턴현황!$K$2=""),"",INDEX(인턴근무계획!$M$3:$R$402,$AC143,인턴현황!$K$2)&amp;"")&lt;&gt;"",LEFT(IF(OR($AC143="",인턴현황!$K$2=""),"",INDEX(인턴근무계획!$M$3:$R$402,$AC143,인턴현황!$K$2)&amp;""),1)&lt;&gt;"⚠"),LEFT(IF(OR($AC143="",인턴현황!$K$2=""),"",INDEX(인턴근무계획!$M$3:$R$402,$AC143,인턴현황!$K$2)&amp;""),FIND(" ",IF(OR($AC143="",인턴현황!$K$2=""),"",INDEX(인턴근무계획!$M$3:$R$402,$AC143,인턴현황!$K$2)&amp;""))-1),$AE143))</f>
        <v/>
      </c>
      <c r="AH143" s="17">
        <f>IF($B143="","",IF(TRIM($J143&amp;"")="",0,SUMPRODUCT((파견수련계획!$Q$4:$Q$803=TRIM($J143&amp;""))*(파견수련계획!$S$4:$S$803="서울병원")*파견수련계획!$W$4:$W$803))+IF($AG143="서울병원",MAX(0,DAY(EOMONTH(요약!$B$3,0))-N($X143)),0))</f>
        <v/>
      </c>
      <c r="AI143" s="17">
        <f>IF($B143="","",IF(TRIM($J143&amp;"")="",0,SUMPRODUCT((파견수련계획!$Q$4:$Q$803=TRIM($J143&amp;""))*(파견수련계획!$S$4:$S$803="구리병원")*파견수련계획!$W$4:$W$803))+IF($AG143="구리병원",MAX(0,DAY(EOMONTH(요약!$B$3,0))-N($X143)),0))</f>
        <v/>
      </c>
      <c r="AJ143" s="10">
        <f>IF(OR($B143="",TRIM($J143&amp;"")=""),"",IFERROR(MATCH(TRIM($J143&amp;"")&amp;"|월",파견수련계획!$Z$4:$Z$803,0),""))</f>
        <v/>
      </c>
      <c r="AK143" s="10">
        <f>IF(OR($B143="",TRIM($J143&amp;"")=""),"",IFERROR(MATCH(TRIM($J143&amp;"")&amp;"|다기관",파견수련계획!$AE$4:$AE$803,0),""))</f>
        <v/>
      </c>
      <c r="AL143" s="10">
        <f>IF($AK143="","","다기관 "&amp;TEXT(INDEX(파견수련계획!$AB$4:$AB$803,$AK143),"yyyy-mm-dd")&amp;"~"&amp;IF(ISNUMBER(INDEX(파견수련계획!$AC$4:$AC$803,$AK143)),TEXT(INDEX(파견수련계획!$AC$4:$AC$803,$AK143),"yyyy-mm-dd"),""))</f>
        <v/>
      </c>
    </row>
    <row r="144">
      <c r="A144" s="10">
        <f>IF(B144="","",ROW()-1)</f>
        <v/>
      </c>
      <c r="B144" s="18" t="n"/>
      <c r="C144" s="10">
        <f>IF($AB144="","",IF(INDEX(기본자료!$C$2:$C$1001,$AB144)="","",INDEX(기본자료!$C$2:$C$1001,$AB144)))</f>
        <v/>
      </c>
      <c r="D144" s="10">
        <f>IF($AB144="","",IF(INDEX(기본자료!$J$2:$J$1001,$AB144)="","",INDEX(기본자료!$J$2:$J$1001,$AB144)))</f>
        <v/>
      </c>
      <c r="E144" s="11">
        <f>IF($AB144="","",IF(INDEX(기본자료!$K$2:$K$1001,$AB144)="","",IF(NOT(ISNUMBER(INDEX(기본자료!$K$2:$K$1001,$AB144))),INDEX(기본자료!$K$2:$K$1001,$AB144),IF(INDEX(기본자료!$K$2:$K$1001,$AB144)&lt;1000000,INDEX(기본자료!$K$2:$K$1001,$AB144),IF(AND(INDEX(기본자료!$K$2:$K$1001,$AB144)&gt;=10000101,INT(MOD(INDEX(기본자료!$K$2:$K$1001,$AB144),10000)/100)&gt;=1,INT(MOD(INDEX(기본자료!$K$2:$K$1001,$AB144),10000)/100)&lt;=12,MOD(INDEX(기본자료!$K$2:$K$1001,$AB144),100)&gt;=1,MOD(INDEX(기본자료!$K$2:$K$1001,$AB144),100)&lt;=31),DATE(INT(INDEX(기본자료!$K$2:$K$1001,$AB144)/10000),INT(MOD(INDEX(기본자료!$K$2:$K$1001,$AB144),10000)/100),MOD(INDEX(기본자료!$K$2:$K$1001,$AB144),100)),INDEX(기본자료!$K$2:$K$1001,$AB144)&amp;"")))))</f>
        <v/>
      </c>
      <c r="F144" s="10">
        <f>IF($AB144="","",IF(INDEX(기본자료!$D$2:$D$1001,$AB144)="","",INDEX(기본자료!$D$2:$D$1001,$AB144)))</f>
        <v/>
      </c>
      <c r="G144" s="10">
        <f>IF($AB144="","",IF(INDEX(기본자료!$E$2:$E$1001,$AB144)="","",INDEX(기본자료!$E$2:$E$1001,$AB144)))</f>
        <v/>
      </c>
      <c r="H144" s="10">
        <f>IF($AB144="","",IF(INDEX(기본자료!$F$2:$F$1001,$AB144)="","",INDEX(기본자료!$F$2:$F$1001,$AB144)))</f>
        <v/>
      </c>
      <c r="I144" s="11">
        <f>IF($AB144="","",IF(INDEX(기본자료!$G$2:$G$1001,$AB144)="","",IF(NOT(ISNUMBER(INDEX(기본자료!$G$2:$G$1001,$AB144))),INDEX(기본자료!$G$2:$G$1001,$AB144),IF(INDEX(기본자료!$G$2:$G$1001,$AB144)&lt;1000000,INDEX(기본자료!$G$2:$G$1001,$AB144),IF(AND(INDEX(기본자료!$G$2:$G$1001,$AB144)&gt;=10000101,INT(MOD(INDEX(기본자료!$G$2:$G$1001,$AB144),10000)/100)&gt;=1,INT(MOD(INDEX(기본자료!$G$2:$G$1001,$AB144),10000)/100)&lt;=12,MOD(INDEX(기본자료!$G$2:$G$1001,$AB144),100)&gt;=1,MOD(INDEX(기본자료!$G$2:$G$1001,$AB144),100)&lt;=31),DATE(INT(INDEX(기본자료!$G$2:$G$1001,$AB144)/10000),INT(MOD(INDEX(기본자료!$G$2:$G$1001,$AB144),10000)/100),MOD(INDEX(기본자료!$G$2:$G$1001,$AB144),100)),INDEX(기본자료!$G$2:$G$1001,$AB144)&amp;"")))))</f>
        <v/>
      </c>
      <c r="J144" s="10">
        <f>IF($AB144="","",IF(INDEX(기본자료!$H$2:$H$1001,$AB144)="","",INDEX(기본자료!$H$2:$H$1001,$AB144)))</f>
        <v/>
      </c>
      <c r="K144" s="10">
        <f>IF($AB144="","",IF(INDEX(기본자료!$I$2:$I$1001,$AB144)="","",INDEX(기본자료!$I$2:$I$1001,$AB144)))</f>
        <v/>
      </c>
      <c r="L144" s="10">
        <f>IF($AB144="","",IF(INDEX(기본자료!$A$2:$A$1001,$AB144)="","",INDEX(기본자료!$A$2:$A$1001,$AB144)))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파견수련계획!$AB$4:$AB$803,$AK144),OR(NOT(ISNUMBER(INDEX(파견수련계획!$AC$4:$AC$803,$AK144))),TODAY()&lt;=INDEX(파견수련계획!$AC$4:$AC$803,$AK144))),"다기관",IF($AF144="","",INDEX(파견수련계획!$T$4:$T$803,$AF144))),IF($AF144="","",INDEX(파견수련계획!$T$4:$T$803,$AF144))))</f>
        <v/>
      </c>
      <c r="Q144" s="10">
        <f>IF($AF144="","",INDEX(파견수련계획!$S$4:$S$803,$AF144))</f>
        <v/>
      </c>
      <c r="R144" s="10">
        <f>IF($AF144="","",INDEX(파견수련계획!$U$4:$U$803,$AF144))</f>
        <v/>
      </c>
      <c r="S144" s="11">
        <f>IF($AF144="","",IF(INDEX(파견수련계획!$H$4:$H$803,$AF144)="","",INDEX(파견수련계획!$H$4:$H$803,$AF144)))</f>
        <v/>
      </c>
      <c r="T144" s="11">
        <f>IF($AF144="","",IF(INDEX(파견수련계획!$I$4:$I$803,$AF144)="","",INDEX(파견수련계획!$I$4:$I$803,$AF144)))</f>
        <v/>
      </c>
      <c r="U144" s="10">
        <f>IF($AF144="","",INDEX(파견수련계획!$X$4:$X$803,$AF144))</f>
        <v/>
      </c>
      <c r="V144" s="17">
        <f>IF($AF144="","",INDEX(파견수련계획!$V$4:$V$803,$AF144))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IF(OR($B144="",TRIM($J144&amp;"")=""),"",SUMPRODUCT((파견수련계획!$Q$4:$Q$803=TRIM($J144&amp;""))*파견수련계획!$W$4:$W$803))</f>
        <v/>
      </c>
      <c r="Y144" s="10">
        <f>IF($B144="","",IF($AG144="","",IF(IF(TRIM($J144&amp;"")="",0,SUMPRODUCT((파견수련계획!$Q$4:$Q$803=TRIM($J144&amp;""))*파견수련계획!$AD$4:$AD$803))&gt;0,$AE144,IF(N($X144)&lt;=0,$AG144,IF($AH144+$AI144=DAY(EOMONTH(요약!$B$3,0)),IF(AND($AH144&gt;=요약!$E$3,$AI144&lt;요약!$E$3),"서울병원",IF(AND($AI144&gt;=요약!$E$3,$AH144&lt;요약!$E$3),"구리병원","⚠15일 판정불가(서울 "&amp;$AH144&amp;"일/구리 "&amp;$AI144&amp;"일)")),IF($AJ144="",$AE144,IF(INDEX(파견수련계획!$T$4:$T$803,$AJ144)="통합수련",INDEX(파견수련계획!$S$4:$S$803,$AJ144),$AE144)))))))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입력",IF(IF(TRIM($J144&amp;"")="",0,SUMPRODUCT((파견수련계획!$Q$4:$Q$803=TRIM($J144&amp;""))*(파견수련계획!$AA$4:$AA$803&lt;&gt;"")))&gt;0,"파견수련계획 입력오류 확인",IF(LEFT($Y144,1)="⚠","서울·구리 15일 판정 불가(양쪽 모두 이상/미만)",IF(IF($AC144="",0,N(INDEX(인턴근무계획!$T$3:$T$402,$AC144)))&gt;0,"인턴계획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IF($B144="","",IFERROR(MATCH($B144,기본자료!$B$2:$B$1001,0),IFERROR(MATCH($B144&amp;"",기본자료!$B$2:$B$1001,0),IFERROR(MATCH(VALUE($B144),기본자료!$B$2:$B$1001,0),""))))</f>
        <v/>
      </c>
      <c r="AC144" s="10">
        <f>IF($B144="","",IFERROR(MATCH($B144,인턴근무계획!$D$3:$D$402,0),IFERROR(MATCH($B144&amp;"",인턴근무계획!$D$3:$D$402,0),IFERROR(MATCH(VALUE($B144),인턴근무계획!$D$3:$D$402,0),""))))</f>
        <v/>
      </c>
      <c r="AD144" s="10">
        <f>IF(OR($AC144="",인턴현황!$G$3=""),"",INDEX(인턴근무계획!$M$3:$R$402,$AC144,인턴현황!$G$3)&amp;"")</f>
        <v/>
      </c>
      <c r="AE144" s="10">
        <f>IF($B144="","",IF($M144&lt;&gt;"",$M144,IF($AF144&lt;&gt;"",IF(LEFT(INDEX(파견수련계획!$R$4:$R$803,$AF144),1)&lt;&gt;"⚠",INDEX(파견수련계획!$R$4:$R$803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$803,0),IFERROR(MATCH(TRIM($J144&amp;"")&amp;"|파견예정",파견수련계획!$Y$4:$Y$803,0),IFERROR(MATCH(TRIM($J144&amp;"")&amp;"|파견종료",파견수련계획!$Y$4:$Y$803,0),""))))</f>
        <v/>
      </c>
      <c r="AG144" s="10">
        <f>IF($B144="","",IF(AND(IF(OR($AC144="",인턴현황!$K$2=""),"",INDEX(인턴근무계획!$M$3:$R$402,$AC144,인턴현황!$K$2)&amp;"")&lt;&gt;"",LEFT(IF(OR($AC144="",인턴현황!$K$2=""),"",INDEX(인턴근무계획!$M$3:$R$402,$AC144,인턴현황!$K$2)&amp;""),1)&lt;&gt;"⚠"),LEFT(IF(OR($AC144="",인턴현황!$K$2=""),"",INDEX(인턴근무계획!$M$3:$R$402,$AC144,인턴현황!$K$2)&amp;""),FIND(" ",IF(OR($AC144="",인턴현황!$K$2=""),"",INDEX(인턴근무계획!$M$3:$R$402,$AC144,인턴현황!$K$2)&amp;""))-1),$AE144))</f>
        <v/>
      </c>
      <c r="AH144" s="17">
        <f>IF($B144="","",IF(TRIM($J144&amp;"")="",0,SUMPRODUCT((파견수련계획!$Q$4:$Q$803=TRIM($J144&amp;""))*(파견수련계획!$S$4:$S$803="서울병원")*파견수련계획!$W$4:$W$803))+IF($AG144="서울병원",MAX(0,DAY(EOMONTH(요약!$B$3,0))-N($X144)),0))</f>
        <v/>
      </c>
      <c r="AI144" s="17">
        <f>IF($B144="","",IF(TRIM($J144&amp;"")="",0,SUMPRODUCT((파견수련계획!$Q$4:$Q$803=TRIM($J144&amp;""))*(파견수련계획!$S$4:$S$803="구리병원")*파견수련계획!$W$4:$W$803))+IF($AG144="구리병원",MAX(0,DAY(EOMONTH(요약!$B$3,0))-N($X144)),0))</f>
        <v/>
      </c>
      <c r="AJ144" s="10">
        <f>IF(OR($B144="",TRIM($J144&amp;"")=""),"",IFERROR(MATCH(TRIM($J144&amp;"")&amp;"|월",파견수련계획!$Z$4:$Z$803,0),""))</f>
        <v/>
      </c>
      <c r="AK144" s="10">
        <f>IF(OR($B144="",TRIM($J144&amp;"")=""),"",IFERROR(MATCH(TRIM($J144&amp;"")&amp;"|다기관",파견수련계획!$AE$4:$AE$803,0),""))</f>
        <v/>
      </c>
      <c r="AL144" s="10">
        <f>IF($AK144="","","다기관 "&amp;TEXT(INDEX(파견수련계획!$AB$4:$AB$803,$AK144),"yyyy-mm-dd")&amp;"~"&amp;IF(ISNUMBER(INDEX(파견수련계획!$AC$4:$AC$803,$AK144)),TEXT(INDEX(파견수련계획!$AC$4:$AC$803,$AK144),"yyyy-mm-dd"),""))</f>
        <v/>
      </c>
    </row>
    <row r="145">
      <c r="A145" s="10">
        <f>IF(B145="","",ROW()-1)</f>
        <v/>
      </c>
      <c r="B145" s="18" t="n"/>
      <c r="C145" s="10">
        <f>IF($AB145="","",IF(INDEX(기본자료!$C$2:$C$1001,$AB145)="","",INDEX(기본자료!$C$2:$C$1001,$AB145)))</f>
        <v/>
      </c>
      <c r="D145" s="10">
        <f>IF($AB145="","",IF(INDEX(기본자료!$J$2:$J$1001,$AB145)="","",INDEX(기본자료!$J$2:$J$1001,$AB145)))</f>
        <v/>
      </c>
      <c r="E145" s="11">
        <f>IF($AB145="","",IF(INDEX(기본자료!$K$2:$K$1001,$AB145)="","",IF(NOT(ISNUMBER(INDEX(기본자료!$K$2:$K$1001,$AB145))),INDEX(기본자료!$K$2:$K$1001,$AB145),IF(INDEX(기본자료!$K$2:$K$1001,$AB145)&lt;1000000,INDEX(기본자료!$K$2:$K$1001,$AB145),IF(AND(INDEX(기본자료!$K$2:$K$1001,$AB145)&gt;=10000101,INT(MOD(INDEX(기본자료!$K$2:$K$1001,$AB145),10000)/100)&gt;=1,INT(MOD(INDEX(기본자료!$K$2:$K$1001,$AB145),10000)/100)&lt;=12,MOD(INDEX(기본자료!$K$2:$K$1001,$AB145),100)&gt;=1,MOD(INDEX(기본자료!$K$2:$K$1001,$AB145),100)&lt;=31),DATE(INT(INDEX(기본자료!$K$2:$K$1001,$AB145)/10000),INT(MOD(INDEX(기본자료!$K$2:$K$1001,$AB145),10000)/100),MOD(INDEX(기본자료!$K$2:$K$1001,$AB145),100)),INDEX(기본자료!$K$2:$K$1001,$AB145)&amp;"")))))</f>
        <v/>
      </c>
      <c r="F145" s="10">
        <f>IF($AB145="","",IF(INDEX(기본자료!$D$2:$D$1001,$AB145)="","",INDEX(기본자료!$D$2:$D$1001,$AB145)))</f>
        <v/>
      </c>
      <c r="G145" s="10">
        <f>IF($AB145="","",IF(INDEX(기본자료!$E$2:$E$1001,$AB145)="","",INDEX(기본자료!$E$2:$E$1001,$AB145)))</f>
        <v/>
      </c>
      <c r="H145" s="10">
        <f>IF($AB145="","",IF(INDEX(기본자료!$F$2:$F$1001,$AB145)="","",INDEX(기본자료!$F$2:$F$1001,$AB145)))</f>
        <v/>
      </c>
      <c r="I145" s="11">
        <f>IF($AB145="","",IF(INDEX(기본자료!$G$2:$G$1001,$AB145)="","",IF(NOT(ISNUMBER(INDEX(기본자료!$G$2:$G$1001,$AB145))),INDEX(기본자료!$G$2:$G$1001,$AB145),IF(INDEX(기본자료!$G$2:$G$1001,$AB145)&lt;1000000,INDEX(기본자료!$G$2:$G$1001,$AB145),IF(AND(INDEX(기본자료!$G$2:$G$1001,$AB145)&gt;=10000101,INT(MOD(INDEX(기본자료!$G$2:$G$1001,$AB145),10000)/100)&gt;=1,INT(MOD(INDEX(기본자료!$G$2:$G$1001,$AB145),10000)/100)&lt;=12,MOD(INDEX(기본자료!$G$2:$G$1001,$AB145),100)&gt;=1,MOD(INDEX(기본자료!$G$2:$G$1001,$AB145),100)&lt;=31),DATE(INT(INDEX(기본자료!$G$2:$G$1001,$AB145)/10000),INT(MOD(INDEX(기본자료!$G$2:$G$1001,$AB145),10000)/100),MOD(INDEX(기본자료!$G$2:$G$1001,$AB145),100)),INDEX(기본자료!$G$2:$G$1001,$AB145)&amp;"")))))</f>
        <v/>
      </c>
      <c r="J145" s="10">
        <f>IF($AB145="","",IF(INDEX(기본자료!$H$2:$H$1001,$AB145)="","",INDEX(기본자료!$H$2:$H$1001,$AB145)))</f>
        <v/>
      </c>
      <c r="K145" s="10">
        <f>IF($AB145="","",IF(INDEX(기본자료!$I$2:$I$1001,$AB145)="","",INDEX(기본자료!$I$2:$I$1001,$AB145)))</f>
        <v/>
      </c>
      <c r="L145" s="10">
        <f>IF($AB145="","",IF(INDEX(기본자료!$A$2:$A$1001,$AB145)="","",INDEX(기본자료!$A$2:$A$1001,$AB145)))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파견수련계획!$AB$4:$AB$803,$AK145),OR(NOT(ISNUMBER(INDEX(파견수련계획!$AC$4:$AC$803,$AK145))),TODAY()&lt;=INDEX(파견수련계획!$AC$4:$AC$803,$AK145))),"다기관",IF($AF145="","",INDEX(파견수련계획!$T$4:$T$803,$AF145))),IF($AF145="","",INDEX(파견수련계획!$T$4:$T$803,$AF145))))</f>
        <v/>
      </c>
      <c r="Q145" s="10">
        <f>IF($AF145="","",INDEX(파견수련계획!$S$4:$S$803,$AF145))</f>
        <v/>
      </c>
      <c r="R145" s="10">
        <f>IF($AF145="","",INDEX(파견수련계획!$U$4:$U$803,$AF145))</f>
        <v/>
      </c>
      <c r="S145" s="11">
        <f>IF($AF145="","",IF(INDEX(파견수련계획!$H$4:$H$803,$AF145)="","",INDEX(파견수련계획!$H$4:$H$803,$AF145)))</f>
        <v/>
      </c>
      <c r="T145" s="11">
        <f>IF($AF145="","",IF(INDEX(파견수련계획!$I$4:$I$803,$AF145)="","",INDEX(파견수련계획!$I$4:$I$803,$AF145)))</f>
        <v/>
      </c>
      <c r="U145" s="10">
        <f>IF($AF145="","",INDEX(파견수련계획!$X$4:$X$803,$AF145))</f>
        <v/>
      </c>
      <c r="V145" s="17">
        <f>IF($AF145="","",INDEX(파견수련계획!$V$4:$V$803,$AF145))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IF(OR($B145="",TRIM($J145&amp;"")=""),"",SUMPRODUCT((파견수련계획!$Q$4:$Q$803=TRIM($J145&amp;""))*파견수련계획!$W$4:$W$803))</f>
        <v/>
      </c>
      <c r="Y145" s="10">
        <f>IF($B145="","",IF($AG145="","",IF(IF(TRIM($J145&amp;"")="",0,SUMPRODUCT((파견수련계획!$Q$4:$Q$803=TRIM($J145&amp;""))*파견수련계획!$AD$4:$AD$803))&gt;0,$AE145,IF(N($X145)&lt;=0,$AG145,IF($AH145+$AI145=DAY(EOMONTH(요약!$B$3,0)),IF(AND($AH145&gt;=요약!$E$3,$AI145&lt;요약!$E$3),"서울병원",IF(AND($AI145&gt;=요약!$E$3,$AH145&lt;요약!$E$3),"구리병원","⚠15일 판정불가(서울 "&amp;$AH145&amp;"일/구리 "&amp;$AI145&amp;"일)")),IF($AJ145="",$AE145,IF(INDEX(파견수련계획!$T$4:$T$803,$AJ145)="통합수련",INDEX(파견수련계획!$S$4:$S$803,$AJ145),$AE145)))))))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입력",IF(IF(TRIM($J145&amp;"")="",0,SUMPRODUCT((파견수련계획!$Q$4:$Q$803=TRIM($J145&amp;""))*(파견수련계획!$AA$4:$AA$803&lt;&gt;"")))&gt;0,"파견수련계획 입력오류 확인",IF(LEFT($Y145,1)="⚠","서울·구리 15일 판정 불가(양쪽 모두 이상/미만)",IF(IF($AC145="",0,N(INDEX(인턴근무계획!$T$3:$T$402,$AC145)))&gt;0,"인턴계획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IF($B145="","",IFERROR(MATCH($B145,기본자료!$B$2:$B$1001,0),IFERROR(MATCH($B145&amp;"",기본자료!$B$2:$B$1001,0),IFERROR(MATCH(VALUE($B145),기본자료!$B$2:$B$1001,0),""))))</f>
        <v/>
      </c>
      <c r="AC145" s="10">
        <f>IF($B145="","",IFERROR(MATCH($B145,인턴근무계획!$D$3:$D$402,0),IFERROR(MATCH($B145&amp;"",인턴근무계획!$D$3:$D$402,0),IFERROR(MATCH(VALUE($B145),인턴근무계획!$D$3:$D$402,0),""))))</f>
        <v/>
      </c>
      <c r="AD145" s="10">
        <f>IF(OR($AC145="",인턴현황!$G$3=""),"",INDEX(인턴근무계획!$M$3:$R$402,$AC145,인턴현황!$G$3)&amp;"")</f>
        <v/>
      </c>
      <c r="AE145" s="10">
        <f>IF($B145="","",IF($M145&lt;&gt;"",$M145,IF($AF145&lt;&gt;"",IF(LEFT(INDEX(파견수련계획!$R$4:$R$803,$AF145),1)&lt;&gt;"⚠",INDEX(파견수련계획!$R$4:$R$803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$803,0),IFERROR(MATCH(TRIM($J145&amp;"")&amp;"|파견예정",파견수련계획!$Y$4:$Y$803,0),IFERROR(MATCH(TRIM($J145&amp;"")&amp;"|파견종료",파견수련계획!$Y$4:$Y$803,0),""))))</f>
        <v/>
      </c>
      <c r="AG145" s="10">
        <f>IF($B145="","",IF(AND(IF(OR($AC145="",인턴현황!$K$2=""),"",INDEX(인턴근무계획!$M$3:$R$402,$AC145,인턴현황!$K$2)&amp;"")&lt;&gt;"",LEFT(IF(OR($AC145="",인턴현황!$K$2=""),"",INDEX(인턴근무계획!$M$3:$R$402,$AC145,인턴현황!$K$2)&amp;""),1)&lt;&gt;"⚠"),LEFT(IF(OR($AC145="",인턴현황!$K$2=""),"",INDEX(인턴근무계획!$M$3:$R$402,$AC145,인턴현황!$K$2)&amp;""),FIND(" ",IF(OR($AC145="",인턴현황!$K$2=""),"",INDEX(인턴근무계획!$M$3:$R$402,$AC145,인턴현황!$K$2)&amp;""))-1),$AE145))</f>
        <v/>
      </c>
      <c r="AH145" s="17">
        <f>IF($B145="","",IF(TRIM($J145&amp;"")="",0,SUMPRODUCT((파견수련계획!$Q$4:$Q$803=TRIM($J145&amp;""))*(파견수련계획!$S$4:$S$803="서울병원")*파견수련계획!$W$4:$W$803))+IF($AG145="서울병원",MAX(0,DAY(EOMONTH(요약!$B$3,0))-N($X145)),0))</f>
        <v/>
      </c>
      <c r="AI145" s="17">
        <f>IF($B145="","",IF(TRIM($J145&amp;"")="",0,SUMPRODUCT((파견수련계획!$Q$4:$Q$803=TRIM($J145&amp;""))*(파견수련계획!$S$4:$S$803="구리병원")*파견수련계획!$W$4:$W$803))+IF($AG145="구리병원",MAX(0,DAY(EOMONTH(요약!$B$3,0))-N($X145)),0))</f>
        <v/>
      </c>
      <c r="AJ145" s="10">
        <f>IF(OR($B145="",TRIM($J145&amp;"")=""),"",IFERROR(MATCH(TRIM($J145&amp;"")&amp;"|월",파견수련계획!$Z$4:$Z$803,0),""))</f>
        <v/>
      </c>
      <c r="AK145" s="10">
        <f>IF(OR($B145="",TRIM($J145&amp;"")=""),"",IFERROR(MATCH(TRIM($J145&amp;"")&amp;"|다기관",파견수련계획!$AE$4:$AE$803,0),""))</f>
        <v/>
      </c>
      <c r="AL145" s="10">
        <f>IF($AK145="","","다기관 "&amp;TEXT(INDEX(파견수련계획!$AB$4:$AB$803,$AK145),"yyyy-mm-dd")&amp;"~"&amp;IF(ISNUMBER(INDEX(파견수련계획!$AC$4:$AC$803,$AK145)),TEXT(INDEX(파견수련계획!$AC$4:$AC$803,$AK145),"yyyy-mm-dd"),""))</f>
        <v/>
      </c>
    </row>
    <row r="146">
      <c r="A146" s="10">
        <f>IF(B146="","",ROW()-1)</f>
        <v/>
      </c>
      <c r="B146" s="18" t="n"/>
      <c r="C146" s="10">
        <f>IF($AB146="","",IF(INDEX(기본자료!$C$2:$C$1001,$AB146)="","",INDEX(기본자료!$C$2:$C$1001,$AB146)))</f>
        <v/>
      </c>
      <c r="D146" s="10">
        <f>IF($AB146="","",IF(INDEX(기본자료!$J$2:$J$1001,$AB146)="","",INDEX(기본자료!$J$2:$J$1001,$AB146)))</f>
        <v/>
      </c>
      <c r="E146" s="11">
        <f>IF($AB146="","",IF(INDEX(기본자료!$K$2:$K$1001,$AB146)="","",IF(NOT(ISNUMBER(INDEX(기본자료!$K$2:$K$1001,$AB146))),INDEX(기본자료!$K$2:$K$1001,$AB146),IF(INDEX(기본자료!$K$2:$K$1001,$AB146)&lt;1000000,INDEX(기본자료!$K$2:$K$1001,$AB146),IF(AND(INDEX(기본자료!$K$2:$K$1001,$AB146)&gt;=10000101,INT(MOD(INDEX(기본자료!$K$2:$K$1001,$AB146),10000)/100)&gt;=1,INT(MOD(INDEX(기본자료!$K$2:$K$1001,$AB146),10000)/100)&lt;=12,MOD(INDEX(기본자료!$K$2:$K$1001,$AB146),100)&gt;=1,MOD(INDEX(기본자료!$K$2:$K$1001,$AB146),100)&lt;=31),DATE(INT(INDEX(기본자료!$K$2:$K$1001,$AB146)/10000),INT(MOD(INDEX(기본자료!$K$2:$K$1001,$AB146),10000)/100),MOD(INDEX(기본자료!$K$2:$K$1001,$AB146),100)),INDEX(기본자료!$K$2:$K$1001,$AB146)&amp;"")))))</f>
        <v/>
      </c>
      <c r="F146" s="10">
        <f>IF($AB146="","",IF(INDEX(기본자료!$D$2:$D$1001,$AB146)="","",INDEX(기본자료!$D$2:$D$1001,$AB146)))</f>
        <v/>
      </c>
      <c r="G146" s="10">
        <f>IF($AB146="","",IF(INDEX(기본자료!$E$2:$E$1001,$AB146)="","",INDEX(기본자료!$E$2:$E$1001,$AB146)))</f>
        <v/>
      </c>
      <c r="H146" s="10">
        <f>IF($AB146="","",IF(INDEX(기본자료!$F$2:$F$1001,$AB146)="","",INDEX(기본자료!$F$2:$F$1001,$AB146)))</f>
        <v/>
      </c>
      <c r="I146" s="11">
        <f>IF($AB146="","",IF(INDEX(기본자료!$G$2:$G$1001,$AB146)="","",IF(NOT(ISNUMBER(INDEX(기본자료!$G$2:$G$1001,$AB146))),INDEX(기본자료!$G$2:$G$1001,$AB146),IF(INDEX(기본자료!$G$2:$G$1001,$AB146)&lt;1000000,INDEX(기본자료!$G$2:$G$1001,$AB146),IF(AND(INDEX(기본자료!$G$2:$G$1001,$AB146)&gt;=10000101,INT(MOD(INDEX(기본자료!$G$2:$G$1001,$AB146),10000)/100)&gt;=1,INT(MOD(INDEX(기본자료!$G$2:$G$1001,$AB146),10000)/100)&lt;=12,MOD(INDEX(기본자료!$G$2:$G$1001,$AB146),100)&gt;=1,MOD(INDEX(기본자료!$G$2:$G$1001,$AB146),100)&lt;=31),DATE(INT(INDEX(기본자료!$G$2:$G$1001,$AB146)/10000),INT(MOD(INDEX(기본자료!$G$2:$G$1001,$AB146),10000)/100),MOD(INDEX(기본자료!$G$2:$G$1001,$AB146),100)),INDEX(기본자료!$G$2:$G$1001,$AB146)&amp;"")))))</f>
        <v/>
      </c>
      <c r="J146" s="10">
        <f>IF($AB146="","",IF(INDEX(기본자료!$H$2:$H$1001,$AB146)="","",INDEX(기본자료!$H$2:$H$1001,$AB146)))</f>
        <v/>
      </c>
      <c r="K146" s="10">
        <f>IF($AB146="","",IF(INDEX(기본자료!$I$2:$I$1001,$AB146)="","",INDEX(기본자료!$I$2:$I$1001,$AB146)))</f>
        <v/>
      </c>
      <c r="L146" s="10">
        <f>IF($AB146="","",IF(INDEX(기본자료!$A$2:$A$1001,$AB146)="","",INDEX(기본자료!$A$2:$A$1001,$AB146)))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파견수련계획!$AB$4:$AB$803,$AK146),OR(NOT(ISNUMBER(INDEX(파견수련계획!$AC$4:$AC$803,$AK146))),TODAY()&lt;=INDEX(파견수련계획!$AC$4:$AC$803,$AK146))),"다기관",IF($AF146="","",INDEX(파견수련계획!$T$4:$T$803,$AF146))),IF($AF146="","",INDEX(파견수련계획!$T$4:$T$803,$AF146))))</f>
        <v/>
      </c>
      <c r="Q146" s="10">
        <f>IF($AF146="","",INDEX(파견수련계획!$S$4:$S$803,$AF146))</f>
        <v/>
      </c>
      <c r="R146" s="10">
        <f>IF($AF146="","",INDEX(파견수련계획!$U$4:$U$803,$AF146))</f>
        <v/>
      </c>
      <c r="S146" s="11">
        <f>IF($AF146="","",IF(INDEX(파견수련계획!$H$4:$H$803,$AF146)="","",INDEX(파견수련계획!$H$4:$H$803,$AF146)))</f>
        <v/>
      </c>
      <c r="T146" s="11">
        <f>IF($AF146="","",IF(INDEX(파견수련계획!$I$4:$I$803,$AF146)="","",INDEX(파견수련계획!$I$4:$I$803,$AF146)))</f>
        <v/>
      </c>
      <c r="U146" s="10">
        <f>IF($AF146="","",INDEX(파견수련계획!$X$4:$X$803,$AF146))</f>
        <v/>
      </c>
      <c r="V146" s="17">
        <f>IF($AF146="","",INDEX(파견수련계획!$V$4:$V$803,$AF146))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IF(OR($B146="",TRIM($J146&amp;"")=""),"",SUMPRODUCT((파견수련계획!$Q$4:$Q$803=TRIM($J146&amp;""))*파견수련계획!$W$4:$W$803))</f>
        <v/>
      </c>
      <c r="Y146" s="10">
        <f>IF($B146="","",IF($AG146="","",IF(IF(TRIM($J146&amp;"")="",0,SUMPRODUCT((파견수련계획!$Q$4:$Q$803=TRIM($J146&amp;""))*파견수련계획!$AD$4:$AD$803))&gt;0,$AE146,IF(N($X146)&lt;=0,$AG146,IF($AH146+$AI146=DAY(EOMONTH(요약!$B$3,0)),IF(AND($AH146&gt;=요약!$E$3,$AI146&lt;요약!$E$3),"서울병원",IF(AND($AI146&gt;=요약!$E$3,$AH146&lt;요약!$E$3),"구리병원","⚠15일 판정불가(서울 "&amp;$AH146&amp;"일/구리 "&amp;$AI146&amp;"일)")),IF($AJ146="",$AE146,IF(INDEX(파견수련계획!$T$4:$T$803,$AJ146)="통합수련",INDEX(파견수련계획!$S$4:$S$803,$AJ146),$AE146)))))))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입력",IF(IF(TRIM($J146&amp;"")="",0,SUMPRODUCT((파견수련계획!$Q$4:$Q$803=TRIM($J146&amp;""))*(파견수련계획!$AA$4:$AA$803&lt;&gt;"")))&gt;0,"파견수련계획 입력오류 확인",IF(LEFT($Y146,1)="⚠","서울·구리 15일 판정 불가(양쪽 모두 이상/미만)",IF(IF($AC146="",0,N(INDEX(인턴근무계획!$T$3:$T$402,$AC146)))&gt;0,"인턴계획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IF($B146="","",IFERROR(MATCH($B146,기본자료!$B$2:$B$1001,0),IFERROR(MATCH($B146&amp;"",기본자료!$B$2:$B$1001,0),IFERROR(MATCH(VALUE($B146),기본자료!$B$2:$B$1001,0),""))))</f>
        <v/>
      </c>
      <c r="AC146" s="10">
        <f>IF($B146="","",IFERROR(MATCH($B146,인턴근무계획!$D$3:$D$402,0),IFERROR(MATCH($B146&amp;"",인턴근무계획!$D$3:$D$402,0),IFERROR(MATCH(VALUE($B146),인턴근무계획!$D$3:$D$402,0),""))))</f>
        <v/>
      </c>
      <c r="AD146" s="10">
        <f>IF(OR($AC146="",인턴현황!$G$3=""),"",INDEX(인턴근무계획!$M$3:$R$402,$AC146,인턴현황!$G$3)&amp;"")</f>
        <v/>
      </c>
      <c r="AE146" s="10">
        <f>IF($B146="","",IF($M146&lt;&gt;"",$M146,IF($AF146&lt;&gt;"",IF(LEFT(INDEX(파견수련계획!$R$4:$R$803,$AF146),1)&lt;&gt;"⚠",INDEX(파견수련계획!$R$4:$R$803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$803,0),IFERROR(MATCH(TRIM($J146&amp;"")&amp;"|파견예정",파견수련계획!$Y$4:$Y$803,0),IFERROR(MATCH(TRIM($J146&amp;"")&amp;"|파견종료",파견수련계획!$Y$4:$Y$803,0),""))))</f>
        <v/>
      </c>
      <c r="AG146" s="10">
        <f>IF($B146="","",IF(AND(IF(OR($AC146="",인턴현황!$K$2=""),"",INDEX(인턴근무계획!$M$3:$R$402,$AC146,인턴현황!$K$2)&amp;"")&lt;&gt;"",LEFT(IF(OR($AC146="",인턴현황!$K$2=""),"",INDEX(인턴근무계획!$M$3:$R$402,$AC146,인턴현황!$K$2)&amp;""),1)&lt;&gt;"⚠"),LEFT(IF(OR($AC146="",인턴현황!$K$2=""),"",INDEX(인턴근무계획!$M$3:$R$402,$AC146,인턴현황!$K$2)&amp;""),FIND(" ",IF(OR($AC146="",인턴현황!$K$2=""),"",INDEX(인턴근무계획!$M$3:$R$402,$AC146,인턴현황!$K$2)&amp;""))-1),$AE146))</f>
        <v/>
      </c>
      <c r="AH146" s="17">
        <f>IF($B146="","",IF(TRIM($J146&amp;"")="",0,SUMPRODUCT((파견수련계획!$Q$4:$Q$803=TRIM($J146&amp;""))*(파견수련계획!$S$4:$S$803="서울병원")*파견수련계획!$W$4:$W$803))+IF($AG146="서울병원",MAX(0,DAY(EOMONTH(요약!$B$3,0))-N($X146)),0))</f>
        <v/>
      </c>
      <c r="AI146" s="17">
        <f>IF($B146="","",IF(TRIM($J146&amp;"")="",0,SUMPRODUCT((파견수련계획!$Q$4:$Q$803=TRIM($J146&amp;""))*(파견수련계획!$S$4:$S$803="구리병원")*파견수련계획!$W$4:$W$803))+IF($AG146="구리병원",MAX(0,DAY(EOMONTH(요약!$B$3,0))-N($X146)),0))</f>
        <v/>
      </c>
      <c r="AJ146" s="10">
        <f>IF(OR($B146="",TRIM($J146&amp;"")=""),"",IFERROR(MATCH(TRIM($J146&amp;"")&amp;"|월",파견수련계획!$Z$4:$Z$803,0),""))</f>
        <v/>
      </c>
      <c r="AK146" s="10">
        <f>IF(OR($B146="",TRIM($J146&amp;"")=""),"",IFERROR(MATCH(TRIM($J146&amp;"")&amp;"|다기관",파견수련계획!$AE$4:$AE$803,0),""))</f>
        <v/>
      </c>
      <c r="AL146" s="10">
        <f>IF($AK146="","","다기관 "&amp;TEXT(INDEX(파견수련계획!$AB$4:$AB$803,$AK146),"yyyy-mm-dd")&amp;"~"&amp;IF(ISNUMBER(INDEX(파견수련계획!$AC$4:$AC$803,$AK146)),TEXT(INDEX(파견수련계획!$AC$4:$AC$803,$AK146),"yyyy-mm-dd"),""))</f>
        <v/>
      </c>
    </row>
    <row r="147">
      <c r="A147" s="10">
        <f>IF(B147="","",ROW()-1)</f>
        <v/>
      </c>
      <c r="B147" s="18" t="n"/>
      <c r="C147" s="10">
        <f>IF($AB147="","",IF(INDEX(기본자료!$C$2:$C$1001,$AB147)="","",INDEX(기본자료!$C$2:$C$1001,$AB147)))</f>
        <v/>
      </c>
      <c r="D147" s="10">
        <f>IF($AB147="","",IF(INDEX(기본자료!$J$2:$J$1001,$AB147)="","",INDEX(기본자료!$J$2:$J$1001,$AB147)))</f>
        <v/>
      </c>
      <c r="E147" s="11">
        <f>IF($AB147="","",IF(INDEX(기본자료!$K$2:$K$1001,$AB147)="","",IF(NOT(ISNUMBER(INDEX(기본자료!$K$2:$K$1001,$AB147))),INDEX(기본자료!$K$2:$K$1001,$AB147),IF(INDEX(기본자료!$K$2:$K$1001,$AB147)&lt;1000000,INDEX(기본자료!$K$2:$K$1001,$AB147),IF(AND(INDEX(기본자료!$K$2:$K$1001,$AB147)&gt;=10000101,INT(MOD(INDEX(기본자료!$K$2:$K$1001,$AB147),10000)/100)&gt;=1,INT(MOD(INDEX(기본자료!$K$2:$K$1001,$AB147),10000)/100)&lt;=12,MOD(INDEX(기본자료!$K$2:$K$1001,$AB147),100)&gt;=1,MOD(INDEX(기본자료!$K$2:$K$1001,$AB147),100)&lt;=31),DATE(INT(INDEX(기본자료!$K$2:$K$1001,$AB147)/10000),INT(MOD(INDEX(기본자료!$K$2:$K$1001,$AB147),10000)/100),MOD(INDEX(기본자료!$K$2:$K$1001,$AB147),100)),INDEX(기본자료!$K$2:$K$1001,$AB147)&amp;"")))))</f>
        <v/>
      </c>
      <c r="F147" s="10">
        <f>IF($AB147="","",IF(INDEX(기본자료!$D$2:$D$1001,$AB147)="","",INDEX(기본자료!$D$2:$D$1001,$AB147)))</f>
        <v/>
      </c>
      <c r="G147" s="10">
        <f>IF($AB147="","",IF(INDEX(기본자료!$E$2:$E$1001,$AB147)="","",INDEX(기본자료!$E$2:$E$1001,$AB147)))</f>
        <v/>
      </c>
      <c r="H147" s="10">
        <f>IF($AB147="","",IF(INDEX(기본자료!$F$2:$F$1001,$AB147)="","",INDEX(기본자료!$F$2:$F$1001,$AB147)))</f>
        <v/>
      </c>
      <c r="I147" s="11">
        <f>IF($AB147="","",IF(INDEX(기본자료!$G$2:$G$1001,$AB147)="","",IF(NOT(ISNUMBER(INDEX(기본자료!$G$2:$G$1001,$AB147))),INDEX(기본자료!$G$2:$G$1001,$AB147),IF(INDEX(기본자료!$G$2:$G$1001,$AB147)&lt;1000000,INDEX(기본자료!$G$2:$G$1001,$AB147),IF(AND(INDEX(기본자료!$G$2:$G$1001,$AB147)&gt;=10000101,INT(MOD(INDEX(기본자료!$G$2:$G$1001,$AB147),10000)/100)&gt;=1,INT(MOD(INDEX(기본자료!$G$2:$G$1001,$AB147),10000)/100)&lt;=12,MOD(INDEX(기본자료!$G$2:$G$1001,$AB147),100)&gt;=1,MOD(INDEX(기본자료!$G$2:$G$1001,$AB147),100)&lt;=31),DATE(INT(INDEX(기본자료!$G$2:$G$1001,$AB147)/10000),INT(MOD(INDEX(기본자료!$G$2:$G$1001,$AB147),10000)/100),MOD(INDEX(기본자료!$G$2:$G$1001,$AB147),100)),INDEX(기본자료!$G$2:$G$1001,$AB147)&amp;"")))))</f>
        <v/>
      </c>
      <c r="J147" s="10">
        <f>IF($AB147="","",IF(INDEX(기본자료!$H$2:$H$1001,$AB147)="","",INDEX(기본자료!$H$2:$H$1001,$AB147)))</f>
        <v/>
      </c>
      <c r="K147" s="10">
        <f>IF($AB147="","",IF(INDEX(기본자료!$I$2:$I$1001,$AB147)="","",INDEX(기본자료!$I$2:$I$1001,$AB147)))</f>
        <v/>
      </c>
      <c r="L147" s="10">
        <f>IF($AB147="","",IF(INDEX(기본자료!$A$2:$A$1001,$AB147)="","",INDEX(기본자료!$A$2:$A$1001,$AB147)))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파견수련계획!$AB$4:$AB$803,$AK147),OR(NOT(ISNUMBER(INDEX(파견수련계획!$AC$4:$AC$803,$AK147))),TODAY()&lt;=INDEX(파견수련계획!$AC$4:$AC$803,$AK147))),"다기관",IF($AF147="","",INDEX(파견수련계획!$T$4:$T$803,$AF147))),IF($AF147="","",INDEX(파견수련계획!$T$4:$T$803,$AF147))))</f>
        <v/>
      </c>
      <c r="Q147" s="10">
        <f>IF($AF147="","",INDEX(파견수련계획!$S$4:$S$803,$AF147))</f>
        <v/>
      </c>
      <c r="R147" s="10">
        <f>IF($AF147="","",INDEX(파견수련계획!$U$4:$U$803,$AF147))</f>
        <v/>
      </c>
      <c r="S147" s="11">
        <f>IF($AF147="","",IF(INDEX(파견수련계획!$H$4:$H$803,$AF147)="","",INDEX(파견수련계획!$H$4:$H$803,$AF147)))</f>
        <v/>
      </c>
      <c r="T147" s="11">
        <f>IF($AF147="","",IF(INDEX(파견수련계획!$I$4:$I$803,$AF147)="","",INDEX(파견수련계획!$I$4:$I$803,$AF147)))</f>
        <v/>
      </c>
      <c r="U147" s="10">
        <f>IF($AF147="","",INDEX(파견수련계획!$X$4:$X$803,$AF147))</f>
        <v/>
      </c>
      <c r="V147" s="17">
        <f>IF($AF147="","",INDEX(파견수련계획!$V$4:$V$803,$AF147))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IF(OR($B147="",TRIM($J147&amp;"")=""),"",SUMPRODUCT((파견수련계획!$Q$4:$Q$803=TRIM($J147&amp;""))*파견수련계획!$W$4:$W$803))</f>
        <v/>
      </c>
      <c r="Y147" s="10">
        <f>IF($B147="","",IF($AG147="","",IF(IF(TRIM($J147&amp;"")="",0,SUMPRODUCT((파견수련계획!$Q$4:$Q$803=TRIM($J147&amp;""))*파견수련계획!$AD$4:$AD$803))&gt;0,$AE147,IF(N($X147)&lt;=0,$AG147,IF($AH147+$AI147=DAY(EOMONTH(요약!$B$3,0)),IF(AND($AH147&gt;=요약!$E$3,$AI147&lt;요약!$E$3),"서울병원",IF(AND($AI147&gt;=요약!$E$3,$AH147&lt;요약!$E$3),"구리병원","⚠15일 판정불가(서울 "&amp;$AH147&amp;"일/구리 "&amp;$AI147&amp;"일)")),IF($AJ147="",$AE147,IF(INDEX(파견수련계획!$T$4:$T$803,$AJ147)="통합수련",INDEX(파견수련계획!$S$4:$S$803,$AJ147),$AE147)))))))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입력",IF(IF(TRIM($J147&amp;"")="",0,SUMPRODUCT((파견수련계획!$Q$4:$Q$803=TRIM($J147&amp;""))*(파견수련계획!$AA$4:$AA$803&lt;&gt;"")))&gt;0,"파견수련계획 입력오류 확인",IF(LEFT($Y147,1)="⚠","서울·구리 15일 판정 불가(양쪽 모두 이상/미만)",IF(IF($AC147="",0,N(INDEX(인턴근무계획!$T$3:$T$402,$AC147)))&gt;0,"인턴계획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IF($B147="","",IFERROR(MATCH($B147,기본자료!$B$2:$B$1001,0),IFERROR(MATCH($B147&amp;"",기본자료!$B$2:$B$1001,0),IFERROR(MATCH(VALUE($B147),기본자료!$B$2:$B$1001,0),""))))</f>
        <v/>
      </c>
      <c r="AC147" s="10">
        <f>IF($B147="","",IFERROR(MATCH($B147,인턴근무계획!$D$3:$D$402,0),IFERROR(MATCH($B147&amp;"",인턴근무계획!$D$3:$D$402,0),IFERROR(MATCH(VALUE($B147),인턴근무계획!$D$3:$D$402,0),""))))</f>
        <v/>
      </c>
      <c r="AD147" s="10">
        <f>IF(OR($AC147="",인턴현황!$G$3=""),"",INDEX(인턴근무계획!$M$3:$R$402,$AC147,인턴현황!$G$3)&amp;"")</f>
        <v/>
      </c>
      <c r="AE147" s="10">
        <f>IF($B147="","",IF($M147&lt;&gt;"",$M147,IF($AF147&lt;&gt;"",IF(LEFT(INDEX(파견수련계획!$R$4:$R$803,$AF147),1)&lt;&gt;"⚠",INDEX(파견수련계획!$R$4:$R$803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$803,0),IFERROR(MATCH(TRIM($J147&amp;"")&amp;"|파견예정",파견수련계획!$Y$4:$Y$803,0),IFERROR(MATCH(TRIM($J147&amp;"")&amp;"|파견종료",파견수련계획!$Y$4:$Y$803,0),""))))</f>
        <v/>
      </c>
      <c r="AG147" s="10">
        <f>IF($B147="","",IF(AND(IF(OR($AC147="",인턴현황!$K$2=""),"",INDEX(인턴근무계획!$M$3:$R$402,$AC147,인턴현황!$K$2)&amp;"")&lt;&gt;"",LEFT(IF(OR($AC147="",인턴현황!$K$2=""),"",INDEX(인턴근무계획!$M$3:$R$402,$AC147,인턴현황!$K$2)&amp;""),1)&lt;&gt;"⚠"),LEFT(IF(OR($AC147="",인턴현황!$K$2=""),"",INDEX(인턴근무계획!$M$3:$R$402,$AC147,인턴현황!$K$2)&amp;""),FIND(" ",IF(OR($AC147="",인턴현황!$K$2=""),"",INDEX(인턴근무계획!$M$3:$R$402,$AC147,인턴현황!$K$2)&amp;""))-1),$AE147))</f>
        <v/>
      </c>
      <c r="AH147" s="17">
        <f>IF($B147="","",IF(TRIM($J147&amp;"")="",0,SUMPRODUCT((파견수련계획!$Q$4:$Q$803=TRIM($J147&amp;""))*(파견수련계획!$S$4:$S$803="서울병원")*파견수련계획!$W$4:$W$803))+IF($AG147="서울병원",MAX(0,DAY(EOMONTH(요약!$B$3,0))-N($X147)),0))</f>
        <v/>
      </c>
      <c r="AI147" s="17">
        <f>IF($B147="","",IF(TRIM($J147&amp;"")="",0,SUMPRODUCT((파견수련계획!$Q$4:$Q$803=TRIM($J147&amp;""))*(파견수련계획!$S$4:$S$803="구리병원")*파견수련계획!$W$4:$W$803))+IF($AG147="구리병원",MAX(0,DAY(EOMONTH(요약!$B$3,0))-N($X147)),0))</f>
        <v/>
      </c>
      <c r="AJ147" s="10">
        <f>IF(OR($B147="",TRIM($J147&amp;"")=""),"",IFERROR(MATCH(TRIM($J147&amp;"")&amp;"|월",파견수련계획!$Z$4:$Z$803,0),""))</f>
        <v/>
      </c>
      <c r="AK147" s="10">
        <f>IF(OR($B147="",TRIM($J147&amp;"")=""),"",IFERROR(MATCH(TRIM($J147&amp;"")&amp;"|다기관",파견수련계획!$AE$4:$AE$803,0),""))</f>
        <v/>
      </c>
      <c r="AL147" s="10">
        <f>IF($AK147="","","다기관 "&amp;TEXT(INDEX(파견수련계획!$AB$4:$AB$803,$AK147),"yyyy-mm-dd")&amp;"~"&amp;IF(ISNUMBER(INDEX(파견수련계획!$AC$4:$AC$803,$AK147)),TEXT(INDEX(파견수련계획!$AC$4:$AC$803,$AK147),"yyyy-mm-dd"),""))</f>
        <v/>
      </c>
    </row>
    <row r="148">
      <c r="A148" s="10">
        <f>IF(B148="","",ROW()-1)</f>
        <v/>
      </c>
      <c r="B148" s="18" t="n"/>
      <c r="C148" s="10">
        <f>IF($AB148="","",IF(INDEX(기본자료!$C$2:$C$1001,$AB148)="","",INDEX(기본자료!$C$2:$C$1001,$AB148)))</f>
        <v/>
      </c>
      <c r="D148" s="10">
        <f>IF($AB148="","",IF(INDEX(기본자료!$J$2:$J$1001,$AB148)="","",INDEX(기본자료!$J$2:$J$1001,$AB148)))</f>
        <v/>
      </c>
      <c r="E148" s="11">
        <f>IF($AB148="","",IF(INDEX(기본자료!$K$2:$K$1001,$AB148)="","",IF(NOT(ISNUMBER(INDEX(기본자료!$K$2:$K$1001,$AB148))),INDEX(기본자료!$K$2:$K$1001,$AB148),IF(INDEX(기본자료!$K$2:$K$1001,$AB148)&lt;1000000,INDEX(기본자료!$K$2:$K$1001,$AB148),IF(AND(INDEX(기본자료!$K$2:$K$1001,$AB148)&gt;=10000101,INT(MOD(INDEX(기본자료!$K$2:$K$1001,$AB148),10000)/100)&gt;=1,INT(MOD(INDEX(기본자료!$K$2:$K$1001,$AB148),10000)/100)&lt;=12,MOD(INDEX(기본자료!$K$2:$K$1001,$AB148),100)&gt;=1,MOD(INDEX(기본자료!$K$2:$K$1001,$AB148),100)&lt;=31),DATE(INT(INDEX(기본자료!$K$2:$K$1001,$AB148)/10000),INT(MOD(INDEX(기본자료!$K$2:$K$1001,$AB148),10000)/100),MOD(INDEX(기본자료!$K$2:$K$1001,$AB148),100)),INDEX(기본자료!$K$2:$K$1001,$AB148)&amp;"")))))</f>
        <v/>
      </c>
      <c r="F148" s="10">
        <f>IF($AB148="","",IF(INDEX(기본자료!$D$2:$D$1001,$AB148)="","",INDEX(기본자료!$D$2:$D$1001,$AB148)))</f>
        <v/>
      </c>
      <c r="G148" s="10">
        <f>IF($AB148="","",IF(INDEX(기본자료!$E$2:$E$1001,$AB148)="","",INDEX(기본자료!$E$2:$E$1001,$AB148)))</f>
        <v/>
      </c>
      <c r="H148" s="10">
        <f>IF($AB148="","",IF(INDEX(기본자료!$F$2:$F$1001,$AB148)="","",INDEX(기본자료!$F$2:$F$1001,$AB148)))</f>
        <v/>
      </c>
      <c r="I148" s="11">
        <f>IF($AB148="","",IF(INDEX(기본자료!$G$2:$G$1001,$AB148)="","",IF(NOT(ISNUMBER(INDEX(기본자료!$G$2:$G$1001,$AB148))),INDEX(기본자료!$G$2:$G$1001,$AB148),IF(INDEX(기본자료!$G$2:$G$1001,$AB148)&lt;1000000,INDEX(기본자료!$G$2:$G$1001,$AB148),IF(AND(INDEX(기본자료!$G$2:$G$1001,$AB148)&gt;=10000101,INT(MOD(INDEX(기본자료!$G$2:$G$1001,$AB148),10000)/100)&gt;=1,INT(MOD(INDEX(기본자료!$G$2:$G$1001,$AB148),10000)/100)&lt;=12,MOD(INDEX(기본자료!$G$2:$G$1001,$AB148),100)&gt;=1,MOD(INDEX(기본자료!$G$2:$G$1001,$AB148),100)&lt;=31),DATE(INT(INDEX(기본자료!$G$2:$G$1001,$AB148)/10000),INT(MOD(INDEX(기본자료!$G$2:$G$1001,$AB148),10000)/100),MOD(INDEX(기본자료!$G$2:$G$1001,$AB148),100)),INDEX(기본자료!$G$2:$G$1001,$AB148)&amp;"")))))</f>
        <v/>
      </c>
      <c r="J148" s="10">
        <f>IF($AB148="","",IF(INDEX(기본자료!$H$2:$H$1001,$AB148)="","",INDEX(기본자료!$H$2:$H$1001,$AB148)))</f>
        <v/>
      </c>
      <c r="K148" s="10">
        <f>IF($AB148="","",IF(INDEX(기본자료!$I$2:$I$1001,$AB148)="","",INDEX(기본자료!$I$2:$I$1001,$AB148)))</f>
        <v/>
      </c>
      <c r="L148" s="10">
        <f>IF($AB148="","",IF(INDEX(기본자료!$A$2:$A$1001,$AB148)="","",INDEX(기본자료!$A$2:$A$1001,$AB148)))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파견수련계획!$AB$4:$AB$803,$AK148),OR(NOT(ISNUMBER(INDEX(파견수련계획!$AC$4:$AC$803,$AK148))),TODAY()&lt;=INDEX(파견수련계획!$AC$4:$AC$803,$AK148))),"다기관",IF($AF148="","",INDEX(파견수련계획!$T$4:$T$803,$AF148))),IF($AF148="","",INDEX(파견수련계획!$T$4:$T$803,$AF148))))</f>
        <v/>
      </c>
      <c r="Q148" s="10">
        <f>IF($AF148="","",INDEX(파견수련계획!$S$4:$S$803,$AF148))</f>
        <v/>
      </c>
      <c r="R148" s="10">
        <f>IF($AF148="","",INDEX(파견수련계획!$U$4:$U$803,$AF148))</f>
        <v/>
      </c>
      <c r="S148" s="11">
        <f>IF($AF148="","",IF(INDEX(파견수련계획!$H$4:$H$803,$AF148)="","",INDEX(파견수련계획!$H$4:$H$803,$AF148)))</f>
        <v/>
      </c>
      <c r="T148" s="11">
        <f>IF($AF148="","",IF(INDEX(파견수련계획!$I$4:$I$803,$AF148)="","",INDEX(파견수련계획!$I$4:$I$803,$AF148)))</f>
        <v/>
      </c>
      <c r="U148" s="10">
        <f>IF($AF148="","",INDEX(파견수련계획!$X$4:$X$803,$AF148))</f>
        <v/>
      </c>
      <c r="V148" s="17">
        <f>IF($AF148="","",INDEX(파견수련계획!$V$4:$V$803,$AF148))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IF(OR($B148="",TRIM($J148&amp;"")=""),"",SUMPRODUCT((파견수련계획!$Q$4:$Q$803=TRIM($J148&amp;""))*파견수련계획!$W$4:$W$803))</f>
        <v/>
      </c>
      <c r="Y148" s="10">
        <f>IF($B148="","",IF($AG148="","",IF(IF(TRIM($J148&amp;"")="",0,SUMPRODUCT((파견수련계획!$Q$4:$Q$803=TRIM($J148&amp;""))*파견수련계획!$AD$4:$AD$803))&gt;0,$AE148,IF(N($X148)&lt;=0,$AG148,IF($AH148+$AI148=DAY(EOMONTH(요약!$B$3,0)),IF(AND($AH148&gt;=요약!$E$3,$AI148&lt;요약!$E$3),"서울병원",IF(AND($AI148&gt;=요약!$E$3,$AH148&lt;요약!$E$3),"구리병원","⚠15일 판정불가(서울 "&amp;$AH148&amp;"일/구리 "&amp;$AI148&amp;"일)")),IF($AJ148="",$AE148,IF(INDEX(파견수련계획!$T$4:$T$803,$AJ148)="통합수련",INDEX(파견수련계획!$S$4:$S$803,$AJ148),$AE148)))))))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입력",IF(IF(TRIM($J148&amp;"")="",0,SUMPRODUCT((파견수련계획!$Q$4:$Q$803=TRIM($J148&amp;""))*(파견수련계획!$AA$4:$AA$803&lt;&gt;"")))&gt;0,"파견수련계획 입력오류 확인",IF(LEFT($Y148,1)="⚠","서울·구리 15일 판정 불가(양쪽 모두 이상/미만)",IF(IF($AC148="",0,N(INDEX(인턴근무계획!$T$3:$T$402,$AC148)))&gt;0,"인턴계획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IF($B148="","",IFERROR(MATCH($B148,기본자료!$B$2:$B$1001,0),IFERROR(MATCH($B148&amp;"",기본자료!$B$2:$B$1001,0),IFERROR(MATCH(VALUE($B148),기본자료!$B$2:$B$1001,0),""))))</f>
        <v/>
      </c>
      <c r="AC148" s="10">
        <f>IF($B148="","",IFERROR(MATCH($B148,인턴근무계획!$D$3:$D$402,0),IFERROR(MATCH($B148&amp;"",인턴근무계획!$D$3:$D$402,0),IFERROR(MATCH(VALUE($B148),인턴근무계획!$D$3:$D$402,0),""))))</f>
        <v/>
      </c>
      <c r="AD148" s="10">
        <f>IF(OR($AC148="",인턴현황!$G$3=""),"",INDEX(인턴근무계획!$M$3:$R$402,$AC148,인턴현황!$G$3)&amp;"")</f>
        <v/>
      </c>
      <c r="AE148" s="10">
        <f>IF($B148="","",IF($M148&lt;&gt;"",$M148,IF($AF148&lt;&gt;"",IF(LEFT(INDEX(파견수련계획!$R$4:$R$803,$AF148),1)&lt;&gt;"⚠",INDEX(파견수련계획!$R$4:$R$803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$803,0),IFERROR(MATCH(TRIM($J148&amp;"")&amp;"|파견예정",파견수련계획!$Y$4:$Y$803,0),IFERROR(MATCH(TRIM($J148&amp;"")&amp;"|파견종료",파견수련계획!$Y$4:$Y$803,0),""))))</f>
        <v/>
      </c>
      <c r="AG148" s="10">
        <f>IF($B148="","",IF(AND(IF(OR($AC148="",인턴현황!$K$2=""),"",INDEX(인턴근무계획!$M$3:$R$402,$AC148,인턴현황!$K$2)&amp;"")&lt;&gt;"",LEFT(IF(OR($AC148="",인턴현황!$K$2=""),"",INDEX(인턴근무계획!$M$3:$R$402,$AC148,인턴현황!$K$2)&amp;""),1)&lt;&gt;"⚠"),LEFT(IF(OR($AC148="",인턴현황!$K$2=""),"",INDEX(인턴근무계획!$M$3:$R$402,$AC148,인턴현황!$K$2)&amp;""),FIND(" ",IF(OR($AC148="",인턴현황!$K$2=""),"",INDEX(인턴근무계획!$M$3:$R$402,$AC148,인턴현황!$K$2)&amp;""))-1),$AE148))</f>
        <v/>
      </c>
      <c r="AH148" s="17">
        <f>IF($B148="","",IF(TRIM($J148&amp;"")="",0,SUMPRODUCT((파견수련계획!$Q$4:$Q$803=TRIM($J148&amp;""))*(파견수련계획!$S$4:$S$803="서울병원")*파견수련계획!$W$4:$W$803))+IF($AG148="서울병원",MAX(0,DAY(EOMONTH(요약!$B$3,0))-N($X148)),0))</f>
        <v/>
      </c>
      <c r="AI148" s="17">
        <f>IF($B148="","",IF(TRIM($J148&amp;"")="",0,SUMPRODUCT((파견수련계획!$Q$4:$Q$803=TRIM($J148&amp;""))*(파견수련계획!$S$4:$S$803="구리병원")*파견수련계획!$W$4:$W$803))+IF($AG148="구리병원",MAX(0,DAY(EOMONTH(요약!$B$3,0))-N($X148)),0))</f>
        <v/>
      </c>
      <c r="AJ148" s="10">
        <f>IF(OR($B148="",TRIM($J148&amp;"")=""),"",IFERROR(MATCH(TRIM($J148&amp;"")&amp;"|월",파견수련계획!$Z$4:$Z$803,0),""))</f>
        <v/>
      </c>
      <c r="AK148" s="10">
        <f>IF(OR($B148="",TRIM($J148&amp;"")=""),"",IFERROR(MATCH(TRIM($J148&amp;"")&amp;"|다기관",파견수련계획!$AE$4:$AE$803,0),""))</f>
        <v/>
      </c>
      <c r="AL148" s="10">
        <f>IF($AK148="","","다기관 "&amp;TEXT(INDEX(파견수련계획!$AB$4:$AB$803,$AK148),"yyyy-mm-dd")&amp;"~"&amp;IF(ISNUMBER(INDEX(파견수련계획!$AC$4:$AC$803,$AK148)),TEXT(INDEX(파견수련계획!$AC$4:$AC$803,$AK148),"yyyy-mm-dd"),""))</f>
        <v/>
      </c>
    </row>
    <row r="149">
      <c r="A149" s="10">
        <f>IF(B149="","",ROW()-1)</f>
        <v/>
      </c>
      <c r="B149" s="18" t="n"/>
      <c r="C149" s="10">
        <f>IF($AB149="","",IF(INDEX(기본자료!$C$2:$C$1001,$AB149)="","",INDEX(기본자료!$C$2:$C$1001,$AB149)))</f>
        <v/>
      </c>
      <c r="D149" s="10">
        <f>IF($AB149="","",IF(INDEX(기본자료!$J$2:$J$1001,$AB149)="","",INDEX(기본자료!$J$2:$J$1001,$AB149)))</f>
        <v/>
      </c>
      <c r="E149" s="11">
        <f>IF($AB149="","",IF(INDEX(기본자료!$K$2:$K$1001,$AB149)="","",IF(NOT(ISNUMBER(INDEX(기본자료!$K$2:$K$1001,$AB149))),INDEX(기본자료!$K$2:$K$1001,$AB149),IF(INDEX(기본자료!$K$2:$K$1001,$AB149)&lt;1000000,INDEX(기본자료!$K$2:$K$1001,$AB149),IF(AND(INDEX(기본자료!$K$2:$K$1001,$AB149)&gt;=10000101,INT(MOD(INDEX(기본자료!$K$2:$K$1001,$AB149),10000)/100)&gt;=1,INT(MOD(INDEX(기본자료!$K$2:$K$1001,$AB149),10000)/100)&lt;=12,MOD(INDEX(기본자료!$K$2:$K$1001,$AB149),100)&gt;=1,MOD(INDEX(기본자료!$K$2:$K$1001,$AB149),100)&lt;=31),DATE(INT(INDEX(기본자료!$K$2:$K$1001,$AB149)/10000),INT(MOD(INDEX(기본자료!$K$2:$K$1001,$AB149),10000)/100),MOD(INDEX(기본자료!$K$2:$K$1001,$AB149),100)),INDEX(기본자료!$K$2:$K$1001,$AB149)&amp;"")))))</f>
        <v/>
      </c>
      <c r="F149" s="10">
        <f>IF($AB149="","",IF(INDEX(기본자료!$D$2:$D$1001,$AB149)="","",INDEX(기본자료!$D$2:$D$1001,$AB149)))</f>
        <v/>
      </c>
      <c r="G149" s="10">
        <f>IF($AB149="","",IF(INDEX(기본자료!$E$2:$E$1001,$AB149)="","",INDEX(기본자료!$E$2:$E$1001,$AB149)))</f>
        <v/>
      </c>
      <c r="H149" s="10">
        <f>IF($AB149="","",IF(INDEX(기본자료!$F$2:$F$1001,$AB149)="","",INDEX(기본자료!$F$2:$F$1001,$AB149)))</f>
        <v/>
      </c>
      <c r="I149" s="11">
        <f>IF($AB149="","",IF(INDEX(기본자료!$G$2:$G$1001,$AB149)="","",IF(NOT(ISNUMBER(INDEX(기본자료!$G$2:$G$1001,$AB149))),INDEX(기본자료!$G$2:$G$1001,$AB149),IF(INDEX(기본자료!$G$2:$G$1001,$AB149)&lt;1000000,INDEX(기본자료!$G$2:$G$1001,$AB149),IF(AND(INDEX(기본자료!$G$2:$G$1001,$AB149)&gt;=10000101,INT(MOD(INDEX(기본자료!$G$2:$G$1001,$AB149),10000)/100)&gt;=1,INT(MOD(INDEX(기본자료!$G$2:$G$1001,$AB149),10000)/100)&lt;=12,MOD(INDEX(기본자료!$G$2:$G$1001,$AB149),100)&gt;=1,MOD(INDEX(기본자료!$G$2:$G$1001,$AB149),100)&lt;=31),DATE(INT(INDEX(기본자료!$G$2:$G$1001,$AB149)/10000),INT(MOD(INDEX(기본자료!$G$2:$G$1001,$AB149),10000)/100),MOD(INDEX(기본자료!$G$2:$G$1001,$AB149),100)),INDEX(기본자료!$G$2:$G$1001,$AB149)&amp;"")))))</f>
        <v/>
      </c>
      <c r="J149" s="10">
        <f>IF($AB149="","",IF(INDEX(기본자료!$H$2:$H$1001,$AB149)="","",INDEX(기본자료!$H$2:$H$1001,$AB149)))</f>
        <v/>
      </c>
      <c r="K149" s="10">
        <f>IF($AB149="","",IF(INDEX(기본자료!$I$2:$I$1001,$AB149)="","",INDEX(기본자료!$I$2:$I$1001,$AB149)))</f>
        <v/>
      </c>
      <c r="L149" s="10">
        <f>IF($AB149="","",IF(INDEX(기본자료!$A$2:$A$1001,$AB149)="","",INDEX(기본자료!$A$2:$A$1001,$AB149)))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파견수련계획!$AB$4:$AB$803,$AK149),OR(NOT(ISNUMBER(INDEX(파견수련계획!$AC$4:$AC$803,$AK149))),TODAY()&lt;=INDEX(파견수련계획!$AC$4:$AC$803,$AK149))),"다기관",IF($AF149="","",INDEX(파견수련계획!$T$4:$T$803,$AF149))),IF($AF149="","",INDEX(파견수련계획!$T$4:$T$803,$AF149))))</f>
        <v/>
      </c>
      <c r="Q149" s="10">
        <f>IF($AF149="","",INDEX(파견수련계획!$S$4:$S$803,$AF149))</f>
        <v/>
      </c>
      <c r="R149" s="10">
        <f>IF($AF149="","",INDEX(파견수련계획!$U$4:$U$803,$AF149))</f>
        <v/>
      </c>
      <c r="S149" s="11">
        <f>IF($AF149="","",IF(INDEX(파견수련계획!$H$4:$H$803,$AF149)="","",INDEX(파견수련계획!$H$4:$H$803,$AF149)))</f>
        <v/>
      </c>
      <c r="T149" s="11">
        <f>IF($AF149="","",IF(INDEX(파견수련계획!$I$4:$I$803,$AF149)="","",INDEX(파견수련계획!$I$4:$I$803,$AF149)))</f>
        <v/>
      </c>
      <c r="U149" s="10">
        <f>IF($AF149="","",INDEX(파견수련계획!$X$4:$X$803,$AF149))</f>
        <v/>
      </c>
      <c r="V149" s="17">
        <f>IF($AF149="","",INDEX(파견수련계획!$V$4:$V$803,$AF149))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IF(OR($B149="",TRIM($J149&amp;"")=""),"",SUMPRODUCT((파견수련계획!$Q$4:$Q$803=TRIM($J149&amp;""))*파견수련계획!$W$4:$W$803))</f>
        <v/>
      </c>
      <c r="Y149" s="10">
        <f>IF($B149="","",IF($AG149="","",IF(IF(TRIM($J149&amp;"")="",0,SUMPRODUCT((파견수련계획!$Q$4:$Q$803=TRIM($J149&amp;""))*파견수련계획!$AD$4:$AD$803))&gt;0,$AE149,IF(N($X149)&lt;=0,$AG149,IF($AH149+$AI149=DAY(EOMONTH(요약!$B$3,0)),IF(AND($AH149&gt;=요약!$E$3,$AI149&lt;요약!$E$3),"서울병원",IF(AND($AI149&gt;=요약!$E$3,$AH149&lt;요약!$E$3),"구리병원","⚠15일 판정불가(서울 "&amp;$AH149&amp;"일/구리 "&amp;$AI149&amp;"일)")),IF($AJ149="",$AE149,IF(INDEX(파견수련계획!$T$4:$T$803,$AJ149)="통합수련",INDEX(파견수련계획!$S$4:$S$803,$AJ149),$AE149)))))))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입력",IF(IF(TRIM($J149&amp;"")="",0,SUMPRODUCT((파견수련계획!$Q$4:$Q$803=TRIM($J149&amp;""))*(파견수련계획!$AA$4:$AA$803&lt;&gt;"")))&gt;0,"파견수련계획 입력오류 확인",IF(LEFT($Y149,1)="⚠","서울·구리 15일 판정 불가(양쪽 모두 이상/미만)",IF(IF($AC149="",0,N(INDEX(인턴근무계획!$T$3:$T$402,$AC149)))&gt;0,"인턴계획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IF($B149="","",IFERROR(MATCH($B149,기본자료!$B$2:$B$1001,0),IFERROR(MATCH($B149&amp;"",기본자료!$B$2:$B$1001,0),IFERROR(MATCH(VALUE($B149),기본자료!$B$2:$B$1001,0),""))))</f>
        <v/>
      </c>
      <c r="AC149" s="10">
        <f>IF($B149="","",IFERROR(MATCH($B149,인턴근무계획!$D$3:$D$402,0),IFERROR(MATCH($B149&amp;"",인턴근무계획!$D$3:$D$402,0),IFERROR(MATCH(VALUE($B149),인턴근무계획!$D$3:$D$402,0),""))))</f>
        <v/>
      </c>
      <c r="AD149" s="10">
        <f>IF(OR($AC149="",인턴현황!$G$3=""),"",INDEX(인턴근무계획!$M$3:$R$402,$AC149,인턴현황!$G$3)&amp;"")</f>
        <v/>
      </c>
      <c r="AE149" s="10">
        <f>IF($B149="","",IF($M149&lt;&gt;"",$M149,IF($AF149&lt;&gt;"",IF(LEFT(INDEX(파견수련계획!$R$4:$R$803,$AF149),1)&lt;&gt;"⚠",INDEX(파견수련계획!$R$4:$R$803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$803,0),IFERROR(MATCH(TRIM($J149&amp;"")&amp;"|파견예정",파견수련계획!$Y$4:$Y$803,0),IFERROR(MATCH(TRIM($J149&amp;"")&amp;"|파견종료",파견수련계획!$Y$4:$Y$803,0),""))))</f>
        <v/>
      </c>
      <c r="AG149" s="10">
        <f>IF($B149="","",IF(AND(IF(OR($AC149="",인턴현황!$K$2=""),"",INDEX(인턴근무계획!$M$3:$R$402,$AC149,인턴현황!$K$2)&amp;"")&lt;&gt;"",LEFT(IF(OR($AC149="",인턴현황!$K$2=""),"",INDEX(인턴근무계획!$M$3:$R$402,$AC149,인턴현황!$K$2)&amp;""),1)&lt;&gt;"⚠"),LEFT(IF(OR($AC149="",인턴현황!$K$2=""),"",INDEX(인턴근무계획!$M$3:$R$402,$AC149,인턴현황!$K$2)&amp;""),FIND(" ",IF(OR($AC149="",인턴현황!$K$2=""),"",INDEX(인턴근무계획!$M$3:$R$402,$AC149,인턴현황!$K$2)&amp;""))-1),$AE149))</f>
        <v/>
      </c>
      <c r="AH149" s="17">
        <f>IF($B149="","",IF(TRIM($J149&amp;"")="",0,SUMPRODUCT((파견수련계획!$Q$4:$Q$803=TRIM($J149&amp;""))*(파견수련계획!$S$4:$S$803="서울병원")*파견수련계획!$W$4:$W$803))+IF($AG149="서울병원",MAX(0,DAY(EOMONTH(요약!$B$3,0))-N($X149)),0))</f>
        <v/>
      </c>
      <c r="AI149" s="17">
        <f>IF($B149="","",IF(TRIM($J149&amp;"")="",0,SUMPRODUCT((파견수련계획!$Q$4:$Q$803=TRIM($J149&amp;""))*(파견수련계획!$S$4:$S$803="구리병원")*파견수련계획!$W$4:$W$803))+IF($AG149="구리병원",MAX(0,DAY(EOMONTH(요약!$B$3,0))-N($X149)),0))</f>
        <v/>
      </c>
      <c r="AJ149" s="10">
        <f>IF(OR($B149="",TRIM($J149&amp;"")=""),"",IFERROR(MATCH(TRIM($J149&amp;"")&amp;"|월",파견수련계획!$Z$4:$Z$803,0),""))</f>
        <v/>
      </c>
      <c r="AK149" s="10">
        <f>IF(OR($B149="",TRIM($J149&amp;"")=""),"",IFERROR(MATCH(TRIM($J149&amp;"")&amp;"|다기관",파견수련계획!$AE$4:$AE$803,0),""))</f>
        <v/>
      </c>
      <c r="AL149" s="10">
        <f>IF($AK149="","","다기관 "&amp;TEXT(INDEX(파견수련계획!$AB$4:$AB$803,$AK149),"yyyy-mm-dd")&amp;"~"&amp;IF(ISNUMBER(INDEX(파견수련계획!$AC$4:$AC$803,$AK149)),TEXT(INDEX(파견수련계획!$AC$4:$AC$803,$AK149),"yyyy-mm-dd"),""))</f>
        <v/>
      </c>
    </row>
    <row r="150">
      <c r="A150" s="10">
        <f>IF(B150="","",ROW()-1)</f>
        <v/>
      </c>
      <c r="B150" s="18" t="n"/>
      <c r="C150" s="10">
        <f>IF($AB150="","",IF(INDEX(기본자료!$C$2:$C$1001,$AB150)="","",INDEX(기본자료!$C$2:$C$1001,$AB150)))</f>
        <v/>
      </c>
      <c r="D150" s="10">
        <f>IF($AB150="","",IF(INDEX(기본자료!$J$2:$J$1001,$AB150)="","",INDEX(기본자료!$J$2:$J$1001,$AB150)))</f>
        <v/>
      </c>
      <c r="E150" s="11">
        <f>IF($AB150="","",IF(INDEX(기본자료!$K$2:$K$1001,$AB150)="","",IF(NOT(ISNUMBER(INDEX(기본자료!$K$2:$K$1001,$AB150))),INDEX(기본자료!$K$2:$K$1001,$AB150),IF(INDEX(기본자료!$K$2:$K$1001,$AB150)&lt;1000000,INDEX(기본자료!$K$2:$K$1001,$AB150),IF(AND(INDEX(기본자료!$K$2:$K$1001,$AB150)&gt;=10000101,INT(MOD(INDEX(기본자료!$K$2:$K$1001,$AB150),10000)/100)&gt;=1,INT(MOD(INDEX(기본자료!$K$2:$K$1001,$AB150),10000)/100)&lt;=12,MOD(INDEX(기본자료!$K$2:$K$1001,$AB150),100)&gt;=1,MOD(INDEX(기본자료!$K$2:$K$1001,$AB150),100)&lt;=31),DATE(INT(INDEX(기본자료!$K$2:$K$1001,$AB150)/10000),INT(MOD(INDEX(기본자료!$K$2:$K$1001,$AB150),10000)/100),MOD(INDEX(기본자료!$K$2:$K$1001,$AB150),100)),INDEX(기본자료!$K$2:$K$1001,$AB150)&amp;"")))))</f>
        <v/>
      </c>
      <c r="F150" s="10">
        <f>IF($AB150="","",IF(INDEX(기본자료!$D$2:$D$1001,$AB150)="","",INDEX(기본자료!$D$2:$D$1001,$AB150)))</f>
        <v/>
      </c>
      <c r="G150" s="10">
        <f>IF($AB150="","",IF(INDEX(기본자료!$E$2:$E$1001,$AB150)="","",INDEX(기본자료!$E$2:$E$1001,$AB150)))</f>
        <v/>
      </c>
      <c r="H150" s="10">
        <f>IF($AB150="","",IF(INDEX(기본자료!$F$2:$F$1001,$AB150)="","",INDEX(기본자료!$F$2:$F$1001,$AB150)))</f>
        <v/>
      </c>
      <c r="I150" s="11">
        <f>IF($AB150="","",IF(INDEX(기본자료!$G$2:$G$1001,$AB150)="","",IF(NOT(ISNUMBER(INDEX(기본자료!$G$2:$G$1001,$AB150))),INDEX(기본자료!$G$2:$G$1001,$AB150),IF(INDEX(기본자료!$G$2:$G$1001,$AB150)&lt;1000000,INDEX(기본자료!$G$2:$G$1001,$AB150),IF(AND(INDEX(기본자료!$G$2:$G$1001,$AB150)&gt;=10000101,INT(MOD(INDEX(기본자료!$G$2:$G$1001,$AB150),10000)/100)&gt;=1,INT(MOD(INDEX(기본자료!$G$2:$G$1001,$AB150),10000)/100)&lt;=12,MOD(INDEX(기본자료!$G$2:$G$1001,$AB150),100)&gt;=1,MOD(INDEX(기본자료!$G$2:$G$1001,$AB150),100)&lt;=31),DATE(INT(INDEX(기본자료!$G$2:$G$1001,$AB150)/10000),INT(MOD(INDEX(기본자료!$G$2:$G$1001,$AB150),10000)/100),MOD(INDEX(기본자료!$G$2:$G$1001,$AB150),100)),INDEX(기본자료!$G$2:$G$1001,$AB150)&amp;"")))))</f>
        <v/>
      </c>
      <c r="J150" s="10">
        <f>IF($AB150="","",IF(INDEX(기본자료!$H$2:$H$1001,$AB150)="","",INDEX(기본자료!$H$2:$H$1001,$AB150)))</f>
        <v/>
      </c>
      <c r="K150" s="10">
        <f>IF($AB150="","",IF(INDEX(기본자료!$I$2:$I$1001,$AB150)="","",INDEX(기본자료!$I$2:$I$1001,$AB150)))</f>
        <v/>
      </c>
      <c r="L150" s="10">
        <f>IF($AB150="","",IF(INDEX(기본자료!$A$2:$A$1001,$AB150)="","",INDEX(기본자료!$A$2:$A$1001,$AB150)))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파견수련계획!$AB$4:$AB$803,$AK150),OR(NOT(ISNUMBER(INDEX(파견수련계획!$AC$4:$AC$803,$AK150))),TODAY()&lt;=INDEX(파견수련계획!$AC$4:$AC$803,$AK150))),"다기관",IF($AF150="","",INDEX(파견수련계획!$T$4:$T$803,$AF150))),IF($AF150="","",INDEX(파견수련계획!$T$4:$T$803,$AF150))))</f>
        <v/>
      </c>
      <c r="Q150" s="10">
        <f>IF($AF150="","",INDEX(파견수련계획!$S$4:$S$803,$AF150))</f>
        <v/>
      </c>
      <c r="R150" s="10">
        <f>IF($AF150="","",INDEX(파견수련계획!$U$4:$U$803,$AF150))</f>
        <v/>
      </c>
      <c r="S150" s="11">
        <f>IF($AF150="","",IF(INDEX(파견수련계획!$H$4:$H$803,$AF150)="","",INDEX(파견수련계획!$H$4:$H$803,$AF150)))</f>
        <v/>
      </c>
      <c r="T150" s="11">
        <f>IF($AF150="","",IF(INDEX(파견수련계획!$I$4:$I$803,$AF150)="","",INDEX(파견수련계획!$I$4:$I$803,$AF150)))</f>
        <v/>
      </c>
      <c r="U150" s="10">
        <f>IF($AF150="","",INDEX(파견수련계획!$X$4:$X$803,$AF150))</f>
        <v/>
      </c>
      <c r="V150" s="17">
        <f>IF($AF150="","",INDEX(파견수련계획!$V$4:$V$803,$AF150))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IF(OR($B150="",TRIM($J150&amp;"")=""),"",SUMPRODUCT((파견수련계획!$Q$4:$Q$803=TRIM($J150&amp;""))*파견수련계획!$W$4:$W$803))</f>
        <v/>
      </c>
      <c r="Y150" s="10">
        <f>IF($B150="","",IF($AG150="","",IF(IF(TRIM($J150&amp;"")="",0,SUMPRODUCT((파견수련계획!$Q$4:$Q$803=TRIM($J150&amp;""))*파견수련계획!$AD$4:$AD$803))&gt;0,$AE150,IF(N($X150)&lt;=0,$AG150,IF($AH150+$AI150=DAY(EOMONTH(요약!$B$3,0)),IF(AND($AH150&gt;=요약!$E$3,$AI150&lt;요약!$E$3),"서울병원",IF(AND($AI150&gt;=요약!$E$3,$AH150&lt;요약!$E$3),"구리병원","⚠15일 판정불가(서울 "&amp;$AH150&amp;"일/구리 "&amp;$AI150&amp;"일)")),IF($AJ150="",$AE150,IF(INDEX(파견수련계획!$T$4:$T$803,$AJ150)="통합수련",INDEX(파견수련계획!$S$4:$S$803,$AJ150),$AE150)))))))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입력",IF(IF(TRIM($J150&amp;"")="",0,SUMPRODUCT((파견수련계획!$Q$4:$Q$803=TRIM($J150&amp;""))*(파견수련계획!$AA$4:$AA$803&lt;&gt;"")))&gt;0,"파견수련계획 입력오류 확인",IF(LEFT($Y150,1)="⚠","서울·구리 15일 판정 불가(양쪽 모두 이상/미만)",IF(IF($AC150="",0,N(INDEX(인턴근무계획!$T$3:$T$402,$AC150)))&gt;0,"인턴계획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IF($B150="","",IFERROR(MATCH($B150,기본자료!$B$2:$B$1001,0),IFERROR(MATCH($B150&amp;"",기본자료!$B$2:$B$1001,0),IFERROR(MATCH(VALUE($B150),기본자료!$B$2:$B$1001,0),""))))</f>
        <v/>
      </c>
      <c r="AC150" s="10">
        <f>IF($B150="","",IFERROR(MATCH($B150,인턴근무계획!$D$3:$D$402,0),IFERROR(MATCH($B150&amp;"",인턴근무계획!$D$3:$D$402,0),IFERROR(MATCH(VALUE($B150),인턴근무계획!$D$3:$D$402,0),""))))</f>
        <v/>
      </c>
      <c r="AD150" s="10">
        <f>IF(OR($AC150="",인턴현황!$G$3=""),"",INDEX(인턴근무계획!$M$3:$R$402,$AC150,인턴현황!$G$3)&amp;"")</f>
        <v/>
      </c>
      <c r="AE150" s="10">
        <f>IF($B150="","",IF($M150&lt;&gt;"",$M150,IF($AF150&lt;&gt;"",IF(LEFT(INDEX(파견수련계획!$R$4:$R$803,$AF150),1)&lt;&gt;"⚠",INDEX(파견수련계획!$R$4:$R$803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$803,0),IFERROR(MATCH(TRIM($J150&amp;"")&amp;"|파견예정",파견수련계획!$Y$4:$Y$803,0),IFERROR(MATCH(TRIM($J150&amp;"")&amp;"|파견종료",파견수련계획!$Y$4:$Y$803,0),""))))</f>
        <v/>
      </c>
      <c r="AG150" s="10">
        <f>IF($B150="","",IF(AND(IF(OR($AC150="",인턴현황!$K$2=""),"",INDEX(인턴근무계획!$M$3:$R$402,$AC150,인턴현황!$K$2)&amp;"")&lt;&gt;"",LEFT(IF(OR($AC150="",인턴현황!$K$2=""),"",INDEX(인턴근무계획!$M$3:$R$402,$AC150,인턴현황!$K$2)&amp;""),1)&lt;&gt;"⚠"),LEFT(IF(OR($AC150="",인턴현황!$K$2=""),"",INDEX(인턴근무계획!$M$3:$R$402,$AC150,인턴현황!$K$2)&amp;""),FIND(" ",IF(OR($AC150="",인턴현황!$K$2=""),"",INDEX(인턴근무계획!$M$3:$R$402,$AC150,인턴현황!$K$2)&amp;""))-1),$AE150))</f>
        <v/>
      </c>
      <c r="AH150" s="17">
        <f>IF($B150="","",IF(TRIM($J150&amp;"")="",0,SUMPRODUCT((파견수련계획!$Q$4:$Q$803=TRIM($J150&amp;""))*(파견수련계획!$S$4:$S$803="서울병원")*파견수련계획!$W$4:$W$803))+IF($AG150="서울병원",MAX(0,DAY(EOMONTH(요약!$B$3,0))-N($X150)),0))</f>
        <v/>
      </c>
      <c r="AI150" s="17">
        <f>IF($B150="","",IF(TRIM($J150&amp;"")="",0,SUMPRODUCT((파견수련계획!$Q$4:$Q$803=TRIM($J150&amp;""))*(파견수련계획!$S$4:$S$803="구리병원")*파견수련계획!$W$4:$W$803))+IF($AG150="구리병원",MAX(0,DAY(EOMONTH(요약!$B$3,0))-N($X150)),0))</f>
        <v/>
      </c>
      <c r="AJ150" s="10">
        <f>IF(OR($B150="",TRIM($J150&amp;"")=""),"",IFERROR(MATCH(TRIM($J150&amp;"")&amp;"|월",파견수련계획!$Z$4:$Z$803,0),""))</f>
        <v/>
      </c>
      <c r="AK150" s="10">
        <f>IF(OR($B150="",TRIM($J150&amp;"")=""),"",IFERROR(MATCH(TRIM($J150&amp;"")&amp;"|다기관",파견수련계획!$AE$4:$AE$803,0),""))</f>
        <v/>
      </c>
      <c r="AL150" s="10">
        <f>IF($AK150="","","다기관 "&amp;TEXT(INDEX(파견수련계획!$AB$4:$AB$803,$AK150),"yyyy-mm-dd")&amp;"~"&amp;IF(ISNUMBER(INDEX(파견수련계획!$AC$4:$AC$803,$AK150)),TEXT(INDEX(파견수련계획!$AC$4:$AC$803,$AK150),"yyyy-mm-dd"),""))</f>
        <v/>
      </c>
    </row>
    <row r="151">
      <c r="A151" s="10">
        <f>IF(B151="","",ROW()-1)</f>
        <v/>
      </c>
      <c r="B151" s="18" t="n"/>
      <c r="C151" s="10">
        <f>IF($AB151="","",IF(INDEX(기본자료!$C$2:$C$1001,$AB151)="","",INDEX(기본자료!$C$2:$C$1001,$AB151)))</f>
        <v/>
      </c>
      <c r="D151" s="10">
        <f>IF($AB151="","",IF(INDEX(기본자료!$J$2:$J$1001,$AB151)="","",INDEX(기본자료!$J$2:$J$1001,$AB151)))</f>
        <v/>
      </c>
      <c r="E151" s="11">
        <f>IF($AB151="","",IF(INDEX(기본자료!$K$2:$K$1001,$AB151)="","",IF(NOT(ISNUMBER(INDEX(기본자료!$K$2:$K$1001,$AB151))),INDEX(기본자료!$K$2:$K$1001,$AB151),IF(INDEX(기본자료!$K$2:$K$1001,$AB151)&lt;1000000,INDEX(기본자료!$K$2:$K$1001,$AB151),IF(AND(INDEX(기본자료!$K$2:$K$1001,$AB151)&gt;=10000101,INT(MOD(INDEX(기본자료!$K$2:$K$1001,$AB151),10000)/100)&gt;=1,INT(MOD(INDEX(기본자료!$K$2:$K$1001,$AB151),10000)/100)&lt;=12,MOD(INDEX(기본자료!$K$2:$K$1001,$AB151),100)&gt;=1,MOD(INDEX(기본자료!$K$2:$K$1001,$AB151),100)&lt;=31),DATE(INT(INDEX(기본자료!$K$2:$K$1001,$AB151)/10000),INT(MOD(INDEX(기본자료!$K$2:$K$1001,$AB151),10000)/100),MOD(INDEX(기본자료!$K$2:$K$1001,$AB151),100)),INDEX(기본자료!$K$2:$K$1001,$AB151)&amp;"")))))</f>
        <v/>
      </c>
      <c r="F151" s="10">
        <f>IF($AB151="","",IF(INDEX(기본자료!$D$2:$D$1001,$AB151)="","",INDEX(기본자료!$D$2:$D$1001,$AB151)))</f>
        <v/>
      </c>
      <c r="G151" s="10">
        <f>IF($AB151="","",IF(INDEX(기본자료!$E$2:$E$1001,$AB151)="","",INDEX(기본자료!$E$2:$E$1001,$AB151)))</f>
        <v/>
      </c>
      <c r="H151" s="10">
        <f>IF($AB151="","",IF(INDEX(기본자료!$F$2:$F$1001,$AB151)="","",INDEX(기본자료!$F$2:$F$1001,$AB151)))</f>
        <v/>
      </c>
      <c r="I151" s="11">
        <f>IF($AB151="","",IF(INDEX(기본자료!$G$2:$G$1001,$AB151)="","",IF(NOT(ISNUMBER(INDEX(기본자료!$G$2:$G$1001,$AB151))),INDEX(기본자료!$G$2:$G$1001,$AB151),IF(INDEX(기본자료!$G$2:$G$1001,$AB151)&lt;1000000,INDEX(기본자료!$G$2:$G$1001,$AB151),IF(AND(INDEX(기본자료!$G$2:$G$1001,$AB151)&gt;=10000101,INT(MOD(INDEX(기본자료!$G$2:$G$1001,$AB151),10000)/100)&gt;=1,INT(MOD(INDEX(기본자료!$G$2:$G$1001,$AB151),10000)/100)&lt;=12,MOD(INDEX(기본자료!$G$2:$G$1001,$AB151),100)&gt;=1,MOD(INDEX(기본자료!$G$2:$G$1001,$AB151),100)&lt;=31),DATE(INT(INDEX(기본자료!$G$2:$G$1001,$AB151)/10000),INT(MOD(INDEX(기본자료!$G$2:$G$1001,$AB151),10000)/100),MOD(INDEX(기본자료!$G$2:$G$1001,$AB151),100)),INDEX(기본자료!$G$2:$G$1001,$AB151)&amp;"")))))</f>
        <v/>
      </c>
      <c r="J151" s="10">
        <f>IF($AB151="","",IF(INDEX(기본자료!$H$2:$H$1001,$AB151)="","",INDEX(기본자료!$H$2:$H$1001,$AB151)))</f>
        <v/>
      </c>
      <c r="K151" s="10">
        <f>IF($AB151="","",IF(INDEX(기본자료!$I$2:$I$1001,$AB151)="","",INDEX(기본자료!$I$2:$I$1001,$AB151)))</f>
        <v/>
      </c>
      <c r="L151" s="10">
        <f>IF($AB151="","",IF(INDEX(기본자료!$A$2:$A$1001,$AB151)="","",INDEX(기본자료!$A$2:$A$1001,$AB151)))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파견수련계획!$AB$4:$AB$803,$AK151),OR(NOT(ISNUMBER(INDEX(파견수련계획!$AC$4:$AC$803,$AK151))),TODAY()&lt;=INDEX(파견수련계획!$AC$4:$AC$803,$AK151))),"다기관",IF($AF151="","",INDEX(파견수련계획!$T$4:$T$803,$AF151))),IF($AF151="","",INDEX(파견수련계획!$T$4:$T$803,$AF151))))</f>
        <v/>
      </c>
      <c r="Q151" s="10">
        <f>IF($AF151="","",INDEX(파견수련계획!$S$4:$S$803,$AF151))</f>
        <v/>
      </c>
      <c r="R151" s="10">
        <f>IF($AF151="","",INDEX(파견수련계획!$U$4:$U$803,$AF151))</f>
        <v/>
      </c>
      <c r="S151" s="11">
        <f>IF($AF151="","",IF(INDEX(파견수련계획!$H$4:$H$803,$AF151)="","",INDEX(파견수련계획!$H$4:$H$803,$AF151)))</f>
        <v/>
      </c>
      <c r="T151" s="11">
        <f>IF($AF151="","",IF(INDEX(파견수련계획!$I$4:$I$803,$AF151)="","",INDEX(파견수련계획!$I$4:$I$803,$AF151)))</f>
        <v/>
      </c>
      <c r="U151" s="10">
        <f>IF($AF151="","",INDEX(파견수련계획!$X$4:$X$803,$AF151))</f>
        <v/>
      </c>
      <c r="V151" s="17">
        <f>IF($AF151="","",INDEX(파견수련계획!$V$4:$V$803,$AF151))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IF(OR($B151="",TRIM($J151&amp;"")=""),"",SUMPRODUCT((파견수련계획!$Q$4:$Q$803=TRIM($J151&amp;""))*파견수련계획!$W$4:$W$803))</f>
        <v/>
      </c>
      <c r="Y151" s="10">
        <f>IF($B151="","",IF($AG151="","",IF(IF(TRIM($J151&amp;"")="",0,SUMPRODUCT((파견수련계획!$Q$4:$Q$803=TRIM($J151&amp;""))*파견수련계획!$AD$4:$AD$803))&gt;0,$AE151,IF(N($X151)&lt;=0,$AG151,IF($AH151+$AI151=DAY(EOMONTH(요약!$B$3,0)),IF(AND($AH151&gt;=요약!$E$3,$AI151&lt;요약!$E$3),"서울병원",IF(AND($AI151&gt;=요약!$E$3,$AH151&lt;요약!$E$3),"구리병원","⚠15일 판정불가(서울 "&amp;$AH151&amp;"일/구리 "&amp;$AI151&amp;"일)")),IF($AJ151="",$AE151,IF(INDEX(파견수련계획!$T$4:$T$803,$AJ151)="통합수련",INDEX(파견수련계획!$S$4:$S$803,$AJ151),$AE151)))))))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입력",IF(IF(TRIM($J151&amp;"")="",0,SUMPRODUCT((파견수련계획!$Q$4:$Q$803=TRIM($J151&amp;""))*(파견수련계획!$AA$4:$AA$803&lt;&gt;"")))&gt;0,"파견수련계획 입력오류 확인",IF(LEFT($Y151,1)="⚠","서울·구리 15일 판정 불가(양쪽 모두 이상/미만)",IF(IF($AC151="",0,N(INDEX(인턴근무계획!$T$3:$T$402,$AC151)))&gt;0,"인턴계획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IF($B151="","",IFERROR(MATCH($B151,기본자료!$B$2:$B$1001,0),IFERROR(MATCH($B151&amp;"",기본자료!$B$2:$B$1001,0),IFERROR(MATCH(VALUE($B151),기본자료!$B$2:$B$1001,0),""))))</f>
        <v/>
      </c>
      <c r="AC151" s="10">
        <f>IF($B151="","",IFERROR(MATCH($B151,인턴근무계획!$D$3:$D$402,0),IFERROR(MATCH($B151&amp;"",인턴근무계획!$D$3:$D$402,0),IFERROR(MATCH(VALUE($B151),인턴근무계획!$D$3:$D$402,0),""))))</f>
        <v/>
      </c>
      <c r="AD151" s="10">
        <f>IF(OR($AC151="",인턴현황!$G$3=""),"",INDEX(인턴근무계획!$M$3:$R$402,$AC151,인턴현황!$G$3)&amp;"")</f>
        <v/>
      </c>
      <c r="AE151" s="10">
        <f>IF($B151="","",IF($M151&lt;&gt;"",$M151,IF($AF151&lt;&gt;"",IF(LEFT(INDEX(파견수련계획!$R$4:$R$803,$AF151),1)&lt;&gt;"⚠",INDEX(파견수련계획!$R$4:$R$803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$803,0),IFERROR(MATCH(TRIM($J151&amp;"")&amp;"|파견예정",파견수련계획!$Y$4:$Y$803,0),IFERROR(MATCH(TRIM($J151&amp;"")&amp;"|파견종료",파견수련계획!$Y$4:$Y$803,0),""))))</f>
        <v/>
      </c>
      <c r="AG151" s="10">
        <f>IF($B151="","",IF(AND(IF(OR($AC151="",인턴현황!$K$2=""),"",INDEX(인턴근무계획!$M$3:$R$402,$AC151,인턴현황!$K$2)&amp;"")&lt;&gt;"",LEFT(IF(OR($AC151="",인턴현황!$K$2=""),"",INDEX(인턴근무계획!$M$3:$R$402,$AC151,인턴현황!$K$2)&amp;""),1)&lt;&gt;"⚠"),LEFT(IF(OR($AC151="",인턴현황!$K$2=""),"",INDEX(인턴근무계획!$M$3:$R$402,$AC151,인턴현황!$K$2)&amp;""),FIND(" ",IF(OR($AC151="",인턴현황!$K$2=""),"",INDEX(인턴근무계획!$M$3:$R$402,$AC151,인턴현황!$K$2)&amp;""))-1),$AE151))</f>
        <v/>
      </c>
      <c r="AH151" s="17">
        <f>IF($B151="","",IF(TRIM($J151&amp;"")="",0,SUMPRODUCT((파견수련계획!$Q$4:$Q$803=TRIM($J151&amp;""))*(파견수련계획!$S$4:$S$803="서울병원")*파견수련계획!$W$4:$W$803))+IF($AG151="서울병원",MAX(0,DAY(EOMONTH(요약!$B$3,0))-N($X151)),0))</f>
        <v/>
      </c>
      <c r="AI151" s="17">
        <f>IF($B151="","",IF(TRIM($J151&amp;"")="",0,SUMPRODUCT((파견수련계획!$Q$4:$Q$803=TRIM($J151&amp;""))*(파견수련계획!$S$4:$S$803="구리병원")*파견수련계획!$W$4:$W$803))+IF($AG151="구리병원",MAX(0,DAY(EOMONTH(요약!$B$3,0))-N($X151)),0))</f>
        <v/>
      </c>
      <c r="AJ151" s="10">
        <f>IF(OR($B151="",TRIM($J151&amp;"")=""),"",IFERROR(MATCH(TRIM($J151&amp;"")&amp;"|월",파견수련계획!$Z$4:$Z$803,0),""))</f>
        <v/>
      </c>
      <c r="AK151" s="10">
        <f>IF(OR($B151="",TRIM($J151&amp;"")=""),"",IFERROR(MATCH(TRIM($J151&amp;"")&amp;"|다기관",파견수련계획!$AE$4:$AE$803,0),""))</f>
        <v/>
      </c>
      <c r="AL151" s="10">
        <f>IF($AK151="","","다기관 "&amp;TEXT(INDEX(파견수련계획!$AB$4:$AB$803,$AK151),"yyyy-mm-dd")&amp;"~"&amp;IF(ISNUMBER(INDEX(파견수련계획!$AC$4:$AC$803,$AK151)),TEXT(INDEX(파견수련계획!$AC$4:$AC$803,$AK151),"yyyy-mm-dd"),""))</f>
        <v/>
      </c>
    </row>
    <row r="152">
      <c r="A152" s="10">
        <f>IF(B152="","",ROW()-1)</f>
        <v/>
      </c>
      <c r="B152" s="18" t="n"/>
      <c r="C152" s="10">
        <f>IF($AB152="","",IF(INDEX(기본자료!$C$2:$C$1001,$AB152)="","",INDEX(기본자료!$C$2:$C$1001,$AB152)))</f>
        <v/>
      </c>
      <c r="D152" s="10">
        <f>IF($AB152="","",IF(INDEX(기본자료!$J$2:$J$1001,$AB152)="","",INDEX(기본자료!$J$2:$J$1001,$AB152)))</f>
        <v/>
      </c>
      <c r="E152" s="11">
        <f>IF($AB152="","",IF(INDEX(기본자료!$K$2:$K$1001,$AB152)="","",IF(NOT(ISNUMBER(INDEX(기본자료!$K$2:$K$1001,$AB152))),INDEX(기본자료!$K$2:$K$1001,$AB152),IF(INDEX(기본자료!$K$2:$K$1001,$AB152)&lt;1000000,INDEX(기본자료!$K$2:$K$1001,$AB152),IF(AND(INDEX(기본자료!$K$2:$K$1001,$AB152)&gt;=10000101,INT(MOD(INDEX(기본자료!$K$2:$K$1001,$AB152),10000)/100)&gt;=1,INT(MOD(INDEX(기본자료!$K$2:$K$1001,$AB152),10000)/100)&lt;=12,MOD(INDEX(기본자료!$K$2:$K$1001,$AB152),100)&gt;=1,MOD(INDEX(기본자료!$K$2:$K$1001,$AB152),100)&lt;=31),DATE(INT(INDEX(기본자료!$K$2:$K$1001,$AB152)/10000),INT(MOD(INDEX(기본자료!$K$2:$K$1001,$AB152),10000)/100),MOD(INDEX(기본자료!$K$2:$K$1001,$AB152),100)),INDEX(기본자료!$K$2:$K$1001,$AB152)&amp;"")))))</f>
        <v/>
      </c>
      <c r="F152" s="10">
        <f>IF($AB152="","",IF(INDEX(기본자료!$D$2:$D$1001,$AB152)="","",INDEX(기본자료!$D$2:$D$1001,$AB152)))</f>
        <v/>
      </c>
      <c r="G152" s="10">
        <f>IF($AB152="","",IF(INDEX(기본자료!$E$2:$E$1001,$AB152)="","",INDEX(기본자료!$E$2:$E$1001,$AB152)))</f>
        <v/>
      </c>
      <c r="H152" s="10">
        <f>IF($AB152="","",IF(INDEX(기본자료!$F$2:$F$1001,$AB152)="","",INDEX(기본자료!$F$2:$F$1001,$AB152)))</f>
        <v/>
      </c>
      <c r="I152" s="11">
        <f>IF($AB152="","",IF(INDEX(기본자료!$G$2:$G$1001,$AB152)="","",IF(NOT(ISNUMBER(INDEX(기본자료!$G$2:$G$1001,$AB152))),INDEX(기본자료!$G$2:$G$1001,$AB152),IF(INDEX(기본자료!$G$2:$G$1001,$AB152)&lt;1000000,INDEX(기본자료!$G$2:$G$1001,$AB152),IF(AND(INDEX(기본자료!$G$2:$G$1001,$AB152)&gt;=10000101,INT(MOD(INDEX(기본자료!$G$2:$G$1001,$AB152),10000)/100)&gt;=1,INT(MOD(INDEX(기본자료!$G$2:$G$1001,$AB152),10000)/100)&lt;=12,MOD(INDEX(기본자료!$G$2:$G$1001,$AB152),100)&gt;=1,MOD(INDEX(기본자료!$G$2:$G$1001,$AB152),100)&lt;=31),DATE(INT(INDEX(기본자료!$G$2:$G$1001,$AB152)/10000),INT(MOD(INDEX(기본자료!$G$2:$G$1001,$AB152),10000)/100),MOD(INDEX(기본자료!$G$2:$G$1001,$AB152),100)),INDEX(기본자료!$G$2:$G$1001,$AB152)&amp;"")))))</f>
        <v/>
      </c>
      <c r="J152" s="10">
        <f>IF($AB152="","",IF(INDEX(기본자료!$H$2:$H$1001,$AB152)="","",INDEX(기본자료!$H$2:$H$1001,$AB152)))</f>
        <v/>
      </c>
      <c r="K152" s="10">
        <f>IF($AB152="","",IF(INDEX(기본자료!$I$2:$I$1001,$AB152)="","",INDEX(기본자료!$I$2:$I$1001,$AB152)))</f>
        <v/>
      </c>
      <c r="L152" s="10">
        <f>IF($AB152="","",IF(INDEX(기본자료!$A$2:$A$1001,$AB152)="","",INDEX(기본자료!$A$2:$A$1001,$AB152)))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파견수련계획!$AB$4:$AB$803,$AK152),OR(NOT(ISNUMBER(INDEX(파견수련계획!$AC$4:$AC$803,$AK152))),TODAY()&lt;=INDEX(파견수련계획!$AC$4:$AC$803,$AK152))),"다기관",IF($AF152="","",INDEX(파견수련계획!$T$4:$T$803,$AF152))),IF($AF152="","",INDEX(파견수련계획!$T$4:$T$803,$AF152))))</f>
        <v/>
      </c>
      <c r="Q152" s="10">
        <f>IF($AF152="","",INDEX(파견수련계획!$S$4:$S$803,$AF152))</f>
        <v/>
      </c>
      <c r="R152" s="10">
        <f>IF($AF152="","",INDEX(파견수련계획!$U$4:$U$803,$AF152))</f>
        <v/>
      </c>
      <c r="S152" s="11">
        <f>IF($AF152="","",IF(INDEX(파견수련계획!$H$4:$H$803,$AF152)="","",INDEX(파견수련계획!$H$4:$H$803,$AF152)))</f>
        <v/>
      </c>
      <c r="T152" s="11">
        <f>IF($AF152="","",IF(INDEX(파견수련계획!$I$4:$I$803,$AF152)="","",INDEX(파견수련계획!$I$4:$I$803,$AF152)))</f>
        <v/>
      </c>
      <c r="U152" s="10">
        <f>IF($AF152="","",INDEX(파견수련계획!$X$4:$X$803,$AF152))</f>
        <v/>
      </c>
      <c r="V152" s="17">
        <f>IF($AF152="","",INDEX(파견수련계획!$V$4:$V$803,$AF152))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IF(OR($B152="",TRIM($J152&amp;"")=""),"",SUMPRODUCT((파견수련계획!$Q$4:$Q$803=TRIM($J152&amp;""))*파견수련계획!$W$4:$W$803))</f>
        <v/>
      </c>
      <c r="Y152" s="10">
        <f>IF($B152="","",IF($AG152="","",IF(IF(TRIM($J152&amp;"")="",0,SUMPRODUCT((파견수련계획!$Q$4:$Q$803=TRIM($J152&amp;""))*파견수련계획!$AD$4:$AD$803))&gt;0,$AE152,IF(N($X152)&lt;=0,$AG152,IF($AH152+$AI152=DAY(EOMONTH(요약!$B$3,0)),IF(AND($AH152&gt;=요약!$E$3,$AI152&lt;요약!$E$3),"서울병원",IF(AND($AI152&gt;=요약!$E$3,$AH152&lt;요약!$E$3),"구리병원","⚠15일 판정불가(서울 "&amp;$AH152&amp;"일/구리 "&amp;$AI152&amp;"일)")),IF($AJ152="",$AE152,IF(INDEX(파견수련계획!$T$4:$T$803,$AJ152)="통합수련",INDEX(파견수련계획!$S$4:$S$803,$AJ152),$AE152)))))))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입력",IF(IF(TRIM($J152&amp;"")="",0,SUMPRODUCT((파견수련계획!$Q$4:$Q$803=TRIM($J152&amp;""))*(파견수련계획!$AA$4:$AA$803&lt;&gt;"")))&gt;0,"파견수련계획 입력오류 확인",IF(LEFT($Y152,1)="⚠","서울·구리 15일 판정 불가(양쪽 모두 이상/미만)",IF(IF($AC152="",0,N(INDEX(인턴근무계획!$T$3:$T$402,$AC152)))&gt;0,"인턴계획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IF($B152="","",IFERROR(MATCH($B152,기본자료!$B$2:$B$1001,0),IFERROR(MATCH($B152&amp;"",기본자료!$B$2:$B$1001,0),IFERROR(MATCH(VALUE($B152),기본자료!$B$2:$B$1001,0),""))))</f>
        <v/>
      </c>
      <c r="AC152" s="10">
        <f>IF($B152="","",IFERROR(MATCH($B152,인턴근무계획!$D$3:$D$402,0),IFERROR(MATCH($B152&amp;"",인턴근무계획!$D$3:$D$402,0),IFERROR(MATCH(VALUE($B152),인턴근무계획!$D$3:$D$402,0),""))))</f>
        <v/>
      </c>
      <c r="AD152" s="10">
        <f>IF(OR($AC152="",인턴현황!$G$3=""),"",INDEX(인턴근무계획!$M$3:$R$402,$AC152,인턴현황!$G$3)&amp;"")</f>
        <v/>
      </c>
      <c r="AE152" s="10">
        <f>IF($B152="","",IF($M152&lt;&gt;"",$M152,IF($AF152&lt;&gt;"",IF(LEFT(INDEX(파견수련계획!$R$4:$R$803,$AF152),1)&lt;&gt;"⚠",INDEX(파견수련계획!$R$4:$R$803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$803,0),IFERROR(MATCH(TRIM($J152&amp;"")&amp;"|파견예정",파견수련계획!$Y$4:$Y$803,0),IFERROR(MATCH(TRIM($J152&amp;"")&amp;"|파견종료",파견수련계획!$Y$4:$Y$803,0),""))))</f>
        <v/>
      </c>
      <c r="AG152" s="10">
        <f>IF($B152="","",IF(AND(IF(OR($AC152="",인턴현황!$K$2=""),"",INDEX(인턴근무계획!$M$3:$R$402,$AC152,인턴현황!$K$2)&amp;"")&lt;&gt;"",LEFT(IF(OR($AC152="",인턴현황!$K$2=""),"",INDEX(인턴근무계획!$M$3:$R$402,$AC152,인턴현황!$K$2)&amp;""),1)&lt;&gt;"⚠"),LEFT(IF(OR($AC152="",인턴현황!$K$2=""),"",INDEX(인턴근무계획!$M$3:$R$402,$AC152,인턴현황!$K$2)&amp;""),FIND(" ",IF(OR($AC152="",인턴현황!$K$2=""),"",INDEX(인턴근무계획!$M$3:$R$402,$AC152,인턴현황!$K$2)&amp;""))-1),$AE152))</f>
        <v/>
      </c>
      <c r="AH152" s="17">
        <f>IF($B152="","",IF(TRIM($J152&amp;"")="",0,SUMPRODUCT((파견수련계획!$Q$4:$Q$803=TRIM($J152&amp;""))*(파견수련계획!$S$4:$S$803="서울병원")*파견수련계획!$W$4:$W$803))+IF($AG152="서울병원",MAX(0,DAY(EOMONTH(요약!$B$3,0))-N($X152)),0))</f>
        <v/>
      </c>
      <c r="AI152" s="17">
        <f>IF($B152="","",IF(TRIM($J152&amp;"")="",0,SUMPRODUCT((파견수련계획!$Q$4:$Q$803=TRIM($J152&amp;""))*(파견수련계획!$S$4:$S$803="구리병원")*파견수련계획!$W$4:$W$803))+IF($AG152="구리병원",MAX(0,DAY(EOMONTH(요약!$B$3,0))-N($X152)),0))</f>
        <v/>
      </c>
      <c r="AJ152" s="10">
        <f>IF(OR($B152="",TRIM($J152&amp;"")=""),"",IFERROR(MATCH(TRIM($J152&amp;"")&amp;"|월",파견수련계획!$Z$4:$Z$803,0),""))</f>
        <v/>
      </c>
      <c r="AK152" s="10">
        <f>IF(OR($B152="",TRIM($J152&amp;"")=""),"",IFERROR(MATCH(TRIM($J152&amp;"")&amp;"|다기관",파견수련계획!$AE$4:$AE$803,0),""))</f>
        <v/>
      </c>
      <c r="AL152" s="10">
        <f>IF($AK152="","","다기관 "&amp;TEXT(INDEX(파견수련계획!$AB$4:$AB$803,$AK152),"yyyy-mm-dd")&amp;"~"&amp;IF(ISNUMBER(INDEX(파견수련계획!$AC$4:$AC$803,$AK152)),TEXT(INDEX(파견수련계획!$AC$4:$AC$803,$AK152),"yyyy-mm-dd"),""))</f>
        <v/>
      </c>
    </row>
    <row r="153">
      <c r="A153" s="10">
        <f>IF(B153="","",ROW()-1)</f>
        <v/>
      </c>
      <c r="B153" s="18" t="n"/>
      <c r="C153" s="10">
        <f>IF($AB153="","",IF(INDEX(기본자료!$C$2:$C$1001,$AB153)="","",INDEX(기본자료!$C$2:$C$1001,$AB153)))</f>
        <v/>
      </c>
      <c r="D153" s="10">
        <f>IF($AB153="","",IF(INDEX(기본자료!$J$2:$J$1001,$AB153)="","",INDEX(기본자료!$J$2:$J$1001,$AB153)))</f>
        <v/>
      </c>
      <c r="E153" s="11">
        <f>IF($AB153="","",IF(INDEX(기본자료!$K$2:$K$1001,$AB153)="","",IF(NOT(ISNUMBER(INDEX(기본자료!$K$2:$K$1001,$AB153))),INDEX(기본자료!$K$2:$K$1001,$AB153),IF(INDEX(기본자료!$K$2:$K$1001,$AB153)&lt;1000000,INDEX(기본자료!$K$2:$K$1001,$AB153),IF(AND(INDEX(기본자료!$K$2:$K$1001,$AB153)&gt;=10000101,INT(MOD(INDEX(기본자료!$K$2:$K$1001,$AB153),10000)/100)&gt;=1,INT(MOD(INDEX(기본자료!$K$2:$K$1001,$AB153),10000)/100)&lt;=12,MOD(INDEX(기본자료!$K$2:$K$1001,$AB153),100)&gt;=1,MOD(INDEX(기본자료!$K$2:$K$1001,$AB153),100)&lt;=31),DATE(INT(INDEX(기본자료!$K$2:$K$1001,$AB153)/10000),INT(MOD(INDEX(기본자료!$K$2:$K$1001,$AB153),10000)/100),MOD(INDEX(기본자료!$K$2:$K$1001,$AB153),100)),INDEX(기본자료!$K$2:$K$1001,$AB153)&amp;"")))))</f>
        <v/>
      </c>
      <c r="F153" s="10">
        <f>IF($AB153="","",IF(INDEX(기본자료!$D$2:$D$1001,$AB153)="","",INDEX(기본자료!$D$2:$D$1001,$AB153)))</f>
        <v/>
      </c>
      <c r="G153" s="10">
        <f>IF($AB153="","",IF(INDEX(기본자료!$E$2:$E$1001,$AB153)="","",INDEX(기본자료!$E$2:$E$1001,$AB153)))</f>
        <v/>
      </c>
      <c r="H153" s="10">
        <f>IF($AB153="","",IF(INDEX(기본자료!$F$2:$F$1001,$AB153)="","",INDEX(기본자료!$F$2:$F$1001,$AB153)))</f>
        <v/>
      </c>
      <c r="I153" s="11">
        <f>IF($AB153="","",IF(INDEX(기본자료!$G$2:$G$1001,$AB153)="","",IF(NOT(ISNUMBER(INDEX(기본자료!$G$2:$G$1001,$AB153))),INDEX(기본자료!$G$2:$G$1001,$AB153),IF(INDEX(기본자료!$G$2:$G$1001,$AB153)&lt;1000000,INDEX(기본자료!$G$2:$G$1001,$AB153),IF(AND(INDEX(기본자료!$G$2:$G$1001,$AB153)&gt;=10000101,INT(MOD(INDEX(기본자료!$G$2:$G$1001,$AB153),10000)/100)&gt;=1,INT(MOD(INDEX(기본자료!$G$2:$G$1001,$AB153),10000)/100)&lt;=12,MOD(INDEX(기본자료!$G$2:$G$1001,$AB153),100)&gt;=1,MOD(INDEX(기본자료!$G$2:$G$1001,$AB153),100)&lt;=31),DATE(INT(INDEX(기본자료!$G$2:$G$1001,$AB153)/10000),INT(MOD(INDEX(기본자료!$G$2:$G$1001,$AB153),10000)/100),MOD(INDEX(기본자료!$G$2:$G$1001,$AB153),100)),INDEX(기본자료!$G$2:$G$1001,$AB153)&amp;"")))))</f>
        <v/>
      </c>
      <c r="J153" s="10">
        <f>IF($AB153="","",IF(INDEX(기본자료!$H$2:$H$1001,$AB153)="","",INDEX(기본자료!$H$2:$H$1001,$AB153)))</f>
        <v/>
      </c>
      <c r="K153" s="10">
        <f>IF($AB153="","",IF(INDEX(기본자료!$I$2:$I$1001,$AB153)="","",INDEX(기본자료!$I$2:$I$1001,$AB153)))</f>
        <v/>
      </c>
      <c r="L153" s="10">
        <f>IF($AB153="","",IF(INDEX(기본자료!$A$2:$A$1001,$AB153)="","",INDEX(기본자료!$A$2:$A$1001,$AB153)))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파견수련계획!$AB$4:$AB$803,$AK153),OR(NOT(ISNUMBER(INDEX(파견수련계획!$AC$4:$AC$803,$AK153))),TODAY()&lt;=INDEX(파견수련계획!$AC$4:$AC$803,$AK153))),"다기관",IF($AF153="","",INDEX(파견수련계획!$T$4:$T$803,$AF153))),IF($AF153="","",INDEX(파견수련계획!$T$4:$T$803,$AF153))))</f>
        <v/>
      </c>
      <c r="Q153" s="10">
        <f>IF($AF153="","",INDEX(파견수련계획!$S$4:$S$803,$AF153))</f>
        <v/>
      </c>
      <c r="R153" s="10">
        <f>IF($AF153="","",INDEX(파견수련계획!$U$4:$U$803,$AF153))</f>
        <v/>
      </c>
      <c r="S153" s="11">
        <f>IF($AF153="","",IF(INDEX(파견수련계획!$H$4:$H$803,$AF153)="","",INDEX(파견수련계획!$H$4:$H$803,$AF153)))</f>
        <v/>
      </c>
      <c r="T153" s="11">
        <f>IF($AF153="","",IF(INDEX(파견수련계획!$I$4:$I$803,$AF153)="","",INDEX(파견수련계획!$I$4:$I$803,$AF153)))</f>
        <v/>
      </c>
      <c r="U153" s="10">
        <f>IF($AF153="","",INDEX(파견수련계획!$X$4:$X$803,$AF153))</f>
        <v/>
      </c>
      <c r="V153" s="17">
        <f>IF($AF153="","",INDEX(파견수련계획!$V$4:$V$803,$AF153))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IF(OR($B153="",TRIM($J153&amp;"")=""),"",SUMPRODUCT((파견수련계획!$Q$4:$Q$803=TRIM($J153&amp;""))*파견수련계획!$W$4:$W$803))</f>
        <v/>
      </c>
      <c r="Y153" s="10">
        <f>IF($B153="","",IF($AG153="","",IF(IF(TRIM($J153&amp;"")="",0,SUMPRODUCT((파견수련계획!$Q$4:$Q$803=TRIM($J153&amp;""))*파견수련계획!$AD$4:$AD$803))&gt;0,$AE153,IF(N($X153)&lt;=0,$AG153,IF($AH153+$AI153=DAY(EOMONTH(요약!$B$3,0)),IF(AND($AH153&gt;=요약!$E$3,$AI153&lt;요약!$E$3),"서울병원",IF(AND($AI153&gt;=요약!$E$3,$AH153&lt;요약!$E$3),"구리병원","⚠15일 판정불가(서울 "&amp;$AH153&amp;"일/구리 "&amp;$AI153&amp;"일)")),IF($AJ153="",$AE153,IF(INDEX(파견수련계획!$T$4:$T$803,$AJ153)="통합수련",INDEX(파견수련계획!$S$4:$S$803,$AJ153),$AE153)))))))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입력",IF(IF(TRIM($J153&amp;"")="",0,SUMPRODUCT((파견수련계획!$Q$4:$Q$803=TRIM($J153&amp;""))*(파견수련계획!$AA$4:$AA$803&lt;&gt;"")))&gt;0,"파견수련계획 입력오류 확인",IF(LEFT($Y153,1)="⚠","서울·구리 15일 판정 불가(양쪽 모두 이상/미만)",IF(IF($AC153="",0,N(INDEX(인턴근무계획!$T$3:$T$402,$AC153)))&gt;0,"인턴계획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IF($B153="","",IFERROR(MATCH($B153,기본자료!$B$2:$B$1001,0),IFERROR(MATCH($B153&amp;"",기본자료!$B$2:$B$1001,0),IFERROR(MATCH(VALUE($B153),기본자료!$B$2:$B$1001,0),""))))</f>
        <v/>
      </c>
      <c r="AC153" s="10">
        <f>IF($B153="","",IFERROR(MATCH($B153,인턴근무계획!$D$3:$D$402,0),IFERROR(MATCH($B153&amp;"",인턴근무계획!$D$3:$D$402,0),IFERROR(MATCH(VALUE($B153),인턴근무계획!$D$3:$D$402,0),""))))</f>
        <v/>
      </c>
      <c r="AD153" s="10">
        <f>IF(OR($AC153="",인턴현황!$G$3=""),"",INDEX(인턴근무계획!$M$3:$R$402,$AC153,인턴현황!$G$3)&amp;"")</f>
        <v/>
      </c>
      <c r="AE153" s="10">
        <f>IF($B153="","",IF($M153&lt;&gt;"",$M153,IF($AF153&lt;&gt;"",IF(LEFT(INDEX(파견수련계획!$R$4:$R$803,$AF153),1)&lt;&gt;"⚠",INDEX(파견수련계획!$R$4:$R$803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$803,0),IFERROR(MATCH(TRIM($J153&amp;"")&amp;"|파견예정",파견수련계획!$Y$4:$Y$803,0),IFERROR(MATCH(TRIM($J153&amp;"")&amp;"|파견종료",파견수련계획!$Y$4:$Y$803,0),""))))</f>
        <v/>
      </c>
      <c r="AG153" s="10">
        <f>IF($B153="","",IF(AND(IF(OR($AC153="",인턴현황!$K$2=""),"",INDEX(인턴근무계획!$M$3:$R$402,$AC153,인턴현황!$K$2)&amp;"")&lt;&gt;"",LEFT(IF(OR($AC153="",인턴현황!$K$2=""),"",INDEX(인턴근무계획!$M$3:$R$402,$AC153,인턴현황!$K$2)&amp;""),1)&lt;&gt;"⚠"),LEFT(IF(OR($AC153="",인턴현황!$K$2=""),"",INDEX(인턴근무계획!$M$3:$R$402,$AC153,인턴현황!$K$2)&amp;""),FIND(" ",IF(OR($AC153="",인턴현황!$K$2=""),"",INDEX(인턴근무계획!$M$3:$R$402,$AC153,인턴현황!$K$2)&amp;""))-1),$AE153))</f>
        <v/>
      </c>
      <c r="AH153" s="17">
        <f>IF($B153="","",IF(TRIM($J153&amp;"")="",0,SUMPRODUCT((파견수련계획!$Q$4:$Q$803=TRIM($J153&amp;""))*(파견수련계획!$S$4:$S$803="서울병원")*파견수련계획!$W$4:$W$803))+IF($AG153="서울병원",MAX(0,DAY(EOMONTH(요약!$B$3,0))-N($X153)),0))</f>
        <v/>
      </c>
      <c r="AI153" s="17">
        <f>IF($B153="","",IF(TRIM($J153&amp;"")="",0,SUMPRODUCT((파견수련계획!$Q$4:$Q$803=TRIM($J153&amp;""))*(파견수련계획!$S$4:$S$803="구리병원")*파견수련계획!$W$4:$W$803))+IF($AG153="구리병원",MAX(0,DAY(EOMONTH(요약!$B$3,0))-N($X153)),0))</f>
        <v/>
      </c>
      <c r="AJ153" s="10">
        <f>IF(OR($B153="",TRIM($J153&amp;"")=""),"",IFERROR(MATCH(TRIM($J153&amp;"")&amp;"|월",파견수련계획!$Z$4:$Z$803,0),""))</f>
        <v/>
      </c>
      <c r="AK153" s="10">
        <f>IF(OR($B153="",TRIM($J153&amp;"")=""),"",IFERROR(MATCH(TRIM($J153&amp;"")&amp;"|다기관",파견수련계획!$AE$4:$AE$803,0),""))</f>
        <v/>
      </c>
      <c r="AL153" s="10">
        <f>IF($AK153="","","다기관 "&amp;TEXT(INDEX(파견수련계획!$AB$4:$AB$803,$AK153),"yyyy-mm-dd")&amp;"~"&amp;IF(ISNUMBER(INDEX(파견수련계획!$AC$4:$AC$803,$AK153)),TEXT(INDEX(파견수련계획!$AC$4:$AC$803,$AK153),"yyyy-mm-dd"),""))</f>
        <v/>
      </c>
    </row>
    <row r="154">
      <c r="A154" s="10">
        <f>IF(B154="","",ROW()-1)</f>
        <v/>
      </c>
      <c r="B154" s="18" t="n"/>
      <c r="C154" s="10">
        <f>IF($AB154="","",IF(INDEX(기본자료!$C$2:$C$1001,$AB154)="","",INDEX(기본자료!$C$2:$C$1001,$AB154)))</f>
        <v/>
      </c>
      <c r="D154" s="10">
        <f>IF($AB154="","",IF(INDEX(기본자료!$J$2:$J$1001,$AB154)="","",INDEX(기본자료!$J$2:$J$1001,$AB154)))</f>
        <v/>
      </c>
      <c r="E154" s="11">
        <f>IF($AB154="","",IF(INDEX(기본자료!$K$2:$K$1001,$AB154)="","",IF(NOT(ISNUMBER(INDEX(기본자료!$K$2:$K$1001,$AB154))),INDEX(기본자료!$K$2:$K$1001,$AB154),IF(INDEX(기본자료!$K$2:$K$1001,$AB154)&lt;1000000,INDEX(기본자료!$K$2:$K$1001,$AB154),IF(AND(INDEX(기본자료!$K$2:$K$1001,$AB154)&gt;=10000101,INT(MOD(INDEX(기본자료!$K$2:$K$1001,$AB154),10000)/100)&gt;=1,INT(MOD(INDEX(기본자료!$K$2:$K$1001,$AB154),10000)/100)&lt;=12,MOD(INDEX(기본자료!$K$2:$K$1001,$AB154),100)&gt;=1,MOD(INDEX(기본자료!$K$2:$K$1001,$AB154),100)&lt;=31),DATE(INT(INDEX(기본자료!$K$2:$K$1001,$AB154)/10000),INT(MOD(INDEX(기본자료!$K$2:$K$1001,$AB154),10000)/100),MOD(INDEX(기본자료!$K$2:$K$1001,$AB154),100)),INDEX(기본자료!$K$2:$K$1001,$AB154)&amp;"")))))</f>
        <v/>
      </c>
      <c r="F154" s="10">
        <f>IF($AB154="","",IF(INDEX(기본자료!$D$2:$D$1001,$AB154)="","",INDEX(기본자료!$D$2:$D$1001,$AB154)))</f>
        <v/>
      </c>
      <c r="G154" s="10">
        <f>IF($AB154="","",IF(INDEX(기본자료!$E$2:$E$1001,$AB154)="","",INDEX(기본자료!$E$2:$E$1001,$AB154)))</f>
        <v/>
      </c>
      <c r="H154" s="10">
        <f>IF($AB154="","",IF(INDEX(기본자료!$F$2:$F$1001,$AB154)="","",INDEX(기본자료!$F$2:$F$1001,$AB154)))</f>
        <v/>
      </c>
      <c r="I154" s="11">
        <f>IF($AB154="","",IF(INDEX(기본자료!$G$2:$G$1001,$AB154)="","",IF(NOT(ISNUMBER(INDEX(기본자료!$G$2:$G$1001,$AB154))),INDEX(기본자료!$G$2:$G$1001,$AB154),IF(INDEX(기본자료!$G$2:$G$1001,$AB154)&lt;1000000,INDEX(기본자료!$G$2:$G$1001,$AB154),IF(AND(INDEX(기본자료!$G$2:$G$1001,$AB154)&gt;=10000101,INT(MOD(INDEX(기본자료!$G$2:$G$1001,$AB154),10000)/100)&gt;=1,INT(MOD(INDEX(기본자료!$G$2:$G$1001,$AB154),10000)/100)&lt;=12,MOD(INDEX(기본자료!$G$2:$G$1001,$AB154),100)&gt;=1,MOD(INDEX(기본자료!$G$2:$G$1001,$AB154),100)&lt;=31),DATE(INT(INDEX(기본자료!$G$2:$G$1001,$AB154)/10000),INT(MOD(INDEX(기본자료!$G$2:$G$1001,$AB154),10000)/100),MOD(INDEX(기본자료!$G$2:$G$1001,$AB154),100)),INDEX(기본자료!$G$2:$G$1001,$AB154)&amp;"")))))</f>
        <v/>
      </c>
      <c r="J154" s="10">
        <f>IF($AB154="","",IF(INDEX(기본자료!$H$2:$H$1001,$AB154)="","",INDEX(기본자료!$H$2:$H$1001,$AB154)))</f>
        <v/>
      </c>
      <c r="K154" s="10">
        <f>IF($AB154="","",IF(INDEX(기본자료!$I$2:$I$1001,$AB154)="","",INDEX(기본자료!$I$2:$I$1001,$AB154)))</f>
        <v/>
      </c>
      <c r="L154" s="10">
        <f>IF($AB154="","",IF(INDEX(기본자료!$A$2:$A$1001,$AB154)="","",INDEX(기본자료!$A$2:$A$1001,$AB154)))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파견수련계획!$AB$4:$AB$803,$AK154),OR(NOT(ISNUMBER(INDEX(파견수련계획!$AC$4:$AC$803,$AK154))),TODAY()&lt;=INDEX(파견수련계획!$AC$4:$AC$803,$AK154))),"다기관",IF($AF154="","",INDEX(파견수련계획!$T$4:$T$803,$AF154))),IF($AF154="","",INDEX(파견수련계획!$T$4:$T$803,$AF154))))</f>
        <v/>
      </c>
      <c r="Q154" s="10">
        <f>IF($AF154="","",INDEX(파견수련계획!$S$4:$S$803,$AF154))</f>
        <v/>
      </c>
      <c r="R154" s="10">
        <f>IF($AF154="","",INDEX(파견수련계획!$U$4:$U$803,$AF154))</f>
        <v/>
      </c>
      <c r="S154" s="11">
        <f>IF($AF154="","",IF(INDEX(파견수련계획!$H$4:$H$803,$AF154)="","",INDEX(파견수련계획!$H$4:$H$803,$AF154)))</f>
        <v/>
      </c>
      <c r="T154" s="11">
        <f>IF($AF154="","",IF(INDEX(파견수련계획!$I$4:$I$803,$AF154)="","",INDEX(파견수련계획!$I$4:$I$803,$AF154)))</f>
        <v/>
      </c>
      <c r="U154" s="10">
        <f>IF($AF154="","",INDEX(파견수련계획!$X$4:$X$803,$AF154))</f>
        <v/>
      </c>
      <c r="V154" s="17">
        <f>IF($AF154="","",INDEX(파견수련계획!$V$4:$V$803,$AF154))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IF(OR($B154="",TRIM($J154&amp;"")=""),"",SUMPRODUCT((파견수련계획!$Q$4:$Q$803=TRIM($J154&amp;""))*파견수련계획!$W$4:$W$803))</f>
        <v/>
      </c>
      <c r="Y154" s="10">
        <f>IF($B154="","",IF($AG154="","",IF(IF(TRIM($J154&amp;"")="",0,SUMPRODUCT((파견수련계획!$Q$4:$Q$803=TRIM($J154&amp;""))*파견수련계획!$AD$4:$AD$803))&gt;0,$AE154,IF(N($X154)&lt;=0,$AG154,IF($AH154+$AI154=DAY(EOMONTH(요약!$B$3,0)),IF(AND($AH154&gt;=요약!$E$3,$AI154&lt;요약!$E$3),"서울병원",IF(AND($AI154&gt;=요약!$E$3,$AH154&lt;요약!$E$3),"구리병원","⚠15일 판정불가(서울 "&amp;$AH154&amp;"일/구리 "&amp;$AI154&amp;"일)")),IF($AJ154="",$AE154,IF(INDEX(파견수련계획!$T$4:$T$803,$AJ154)="통합수련",INDEX(파견수련계획!$S$4:$S$803,$AJ154),$AE154)))))))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입력",IF(IF(TRIM($J154&amp;"")="",0,SUMPRODUCT((파견수련계획!$Q$4:$Q$803=TRIM($J154&amp;""))*(파견수련계획!$AA$4:$AA$803&lt;&gt;"")))&gt;0,"파견수련계획 입력오류 확인",IF(LEFT($Y154,1)="⚠","서울·구리 15일 판정 불가(양쪽 모두 이상/미만)",IF(IF($AC154="",0,N(INDEX(인턴근무계획!$T$3:$T$402,$AC154)))&gt;0,"인턴계획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IF($B154="","",IFERROR(MATCH($B154,기본자료!$B$2:$B$1001,0),IFERROR(MATCH($B154&amp;"",기본자료!$B$2:$B$1001,0),IFERROR(MATCH(VALUE($B154),기본자료!$B$2:$B$1001,0),""))))</f>
        <v/>
      </c>
      <c r="AC154" s="10">
        <f>IF($B154="","",IFERROR(MATCH($B154,인턴근무계획!$D$3:$D$402,0),IFERROR(MATCH($B154&amp;"",인턴근무계획!$D$3:$D$402,0),IFERROR(MATCH(VALUE($B154),인턴근무계획!$D$3:$D$402,0),""))))</f>
        <v/>
      </c>
      <c r="AD154" s="10">
        <f>IF(OR($AC154="",인턴현황!$G$3=""),"",INDEX(인턴근무계획!$M$3:$R$402,$AC154,인턴현황!$G$3)&amp;"")</f>
        <v/>
      </c>
      <c r="AE154" s="10">
        <f>IF($B154="","",IF($M154&lt;&gt;"",$M154,IF($AF154&lt;&gt;"",IF(LEFT(INDEX(파견수련계획!$R$4:$R$803,$AF154),1)&lt;&gt;"⚠",INDEX(파견수련계획!$R$4:$R$803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$803,0),IFERROR(MATCH(TRIM($J154&amp;"")&amp;"|파견예정",파견수련계획!$Y$4:$Y$803,0),IFERROR(MATCH(TRIM($J154&amp;"")&amp;"|파견종료",파견수련계획!$Y$4:$Y$803,0),""))))</f>
        <v/>
      </c>
      <c r="AG154" s="10">
        <f>IF($B154="","",IF(AND(IF(OR($AC154="",인턴현황!$K$2=""),"",INDEX(인턴근무계획!$M$3:$R$402,$AC154,인턴현황!$K$2)&amp;"")&lt;&gt;"",LEFT(IF(OR($AC154="",인턴현황!$K$2=""),"",INDEX(인턴근무계획!$M$3:$R$402,$AC154,인턴현황!$K$2)&amp;""),1)&lt;&gt;"⚠"),LEFT(IF(OR($AC154="",인턴현황!$K$2=""),"",INDEX(인턴근무계획!$M$3:$R$402,$AC154,인턴현황!$K$2)&amp;""),FIND(" ",IF(OR($AC154="",인턴현황!$K$2=""),"",INDEX(인턴근무계획!$M$3:$R$402,$AC154,인턴현황!$K$2)&amp;""))-1),$AE154))</f>
        <v/>
      </c>
      <c r="AH154" s="17">
        <f>IF($B154="","",IF(TRIM($J154&amp;"")="",0,SUMPRODUCT((파견수련계획!$Q$4:$Q$803=TRIM($J154&amp;""))*(파견수련계획!$S$4:$S$803="서울병원")*파견수련계획!$W$4:$W$803))+IF($AG154="서울병원",MAX(0,DAY(EOMONTH(요약!$B$3,0))-N($X154)),0))</f>
        <v/>
      </c>
      <c r="AI154" s="17">
        <f>IF($B154="","",IF(TRIM($J154&amp;"")="",0,SUMPRODUCT((파견수련계획!$Q$4:$Q$803=TRIM($J154&amp;""))*(파견수련계획!$S$4:$S$803="구리병원")*파견수련계획!$W$4:$W$803))+IF($AG154="구리병원",MAX(0,DAY(EOMONTH(요약!$B$3,0))-N($X154)),0))</f>
        <v/>
      </c>
      <c r="AJ154" s="10">
        <f>IF(OR($B154="",TRIM($J154&amp;"")=""),"",IFERROR(MATCH(TRIM($J154&amp;"")&amp;"|월",파견수련계획!$Z$4:$Z$803,0),""))</f>
        <v/>
      </c>
      <c r="AK154" s="10">
        <f>IF(OR($B154="",TRIM($J154&amp;"")=""),"",IFERROR(MATCH(TRIM($J154&amp;"")&amp;"|다기관",파견수련계획!$AE$4:$AE$803,0),""))</f>
        <v/>
      </c>
      <c r="AL154" s="10">
        <f>IF($AK154="","","다기관 "&amp;TEXT(INDEX(파견수련계획!$AB$4:$AB$803,$AK154),"yyyy-mm-dd")&amp;"~"&amp;IF(ISNUMBER(INDEX(파견수련계획!$AC$4:$AC$803,$AK154)),TEXT(INDEX(파견수련계획!$AC$4:$AC$803,$AK154),"yyyy-mm-dd"),""))</f>
        <v/>
      </c>
    </row>
    <row r="155">
      <c r="A155" s="10">
        <f>IF(B155="","",ROW()-1)</f>
        <v/>
      </c>
      <c r="B155" s="18" t="n"/>
      <c r="C155" s="10">
        <f>IF($AB155="","",IF(INDEX(기본자료!$C$2:$C$1001,$AB155)="","",INDEX(기본자료!$C$2:$C$1001,$AB155)))</f>
        <v/>
      </c>
      <c r="D155" s="10">
        <f>IF($AB155="","",IF(INDEX(기본자료!$J$2:$J$1001,$AB155)="","",INDEX(기본자료!$J$2:$J$1001,$AB155)))</f>
        <v/>
      </c>
      <c r="E155" s="11">
        <f>IF($AB155="","",IF(INDEX(기본자료!$K$2:$K$1001,$AB155)="","",IF(NOT(ISNUMBER(INDEX(기본자료!$K$2:$K$1001,$AB155))),INDEX(기본자료!$K$2:$K$1001,$AB155),IF(INDEX(기본자료!$K$2:$K$1001,$AB155)&lt;1000000,INDEX(기본자료!$K$2:$K$1001,$AB155),IF(AND(INDEX(기본자료!$K$2:$K$1001,$AB155)&gt;=10000101,INT(MOD(INDEX(기본자료!$K$2:$K$1001,$AB155),10000)/100)&gt;=1,INT(MOD(INDEX(기본자료!$K$2:$K$1001,$AB155),10000)/100)&lt;=12,MOD(INDEX(기본자료!$K$2:$K$1001,$AB155),100)&gt;=1,MOD(INDEX(기본자료!$K$2:$K$1001,$AB155),100)&lt;=31),DATE(INT(INDEX(기본자료!$K$2:$K$1001,$AB155)/10000),INT(MOD(INDEX(기본자료!$K$2:$K$1001,$AB155),10000)/100),MOD(INDEX(기본자료!$K$2:$K$1001,$AB155),100)),INDEX(기본자료!$K$2:$K$1001,$AB155)&amp;"")))))</f>
        <v/>
      </c>
      <c r="F155" s="10">
        <f>IF($AB155="","",IF(INDEX(기본자료!$D$2:$D$1001,$AB155)="","",INDEX(기본자료!$D$2:$D$1001,$AB155)))</f>
        <v/>
      </c>
      <c r="G155" s="10">
        <f>IF($AB155="","",IF(INDEX(기본자료!$E$2:$E$1001,$AB155)="","",INDEX(기본자료!$E$2:$E$1001,$AB155)))</f>
        <v/>
      </c>
      <c r="H155" s="10">
        <f>IF($AB155="","",IF(INDEX(기본자료!$F$2:$F$1001,$AB155)="","",INDEX(기본자료!$F$2:$F$1001,$AB155)))</f>
        <v/>
      </c>
      <c r="I155" s="11">
        <f>IF($AB155="","",IF(INDEX(기본자료!$G$2:$G$1001,$AB155)="","",IF(NOT(ISNUMBER(INDEX(기본자료!$G$2:$G$1001,$AB155))),INDEX(기본자료!$G$2:$G$1001,$AB155),IF(INDEX(기본자료!$G$2:$G$1001,$AB155)&lt;1000000,INDEX(기본자료!$G$2:$G$1001,$AB155),IF(AND(INDEX(기본자료!$G$2:$G$1001,$AB155)&gt;=10000101,INT(MOD(INDEX(기본자료!$G$2:$G$1001,$AB155),10000)/100)&gt;=1,INT(MOD(INDEX(기본자료!$G$2:$G$1001,$AB155),10000)/100)&lt;=12,MOD(INDEX(기본자료!$G$2:$G$1001,$AB155),100)&gt;=1,MOD(INDEX(기본자료!$G$2:$G$1001,$AB155),100)&lt;=31),DATE(INT(INDEX(기본자료!$G$2:$G$1001,$AB155)/10000),INT(MOD(INDEX(기본자료!$G$2:$G$1001,$AB155),10000)/100),MOD(INDEX(기본자료!$G$2:$G$1001,$AB155),100)),INDEX(기본자료!$G$2:$G$1001,$AB155)&amp;"")))))</f>
        <v/>
      </c>
      <c r="J155" s="10">
        <f>IF($AB155="","",IF(INDEX(기본자료!$H$2:$H$1001,$AB155)="","",INDEX(기본자료!$H$2:$H$1001,$AB155)))</f>
        <v/>
      </c>
      <c r="K155" s="10">
        <f>IF($AB155="","",IF(INDEX(기본자료!$I$2:$I$1001,$AB155)="","",INDEX(기본자료!$I$2:$I$1001,$AB155)))</f>
        <v/>
      </c>
      <c r="L155" s="10">
        <f>IF($AB155="","",IF(INDEX(기본자료!$A$2:$A$1001,$AB155)="","",INDEX(기본자료!$A$2:$A$1001,$AB155)))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파견수련계획!$AB$4:$AB$803,$AK155),OR(NOT(ISNUMBER(INDEX(파견수련계획!$AC$4:$AC$803,$AK155))),TODAY()&lt;=INDEX(파견수련계획!$AC$4:$AC$803,$AK155))),"다기관",IF($AF155="","",INDEX(파견수련계획!$T$4:$T$803,$AF155))),IF($AF155="","",INDEX(파견수련계획!$T$4:$T$803,$AF155))))</f>
        <v/>
      </c>
      <c r="Q155" s="10">
        <f>IF($AF155="","",INDEX(파견수련계획!$S$4:$S$803,$AF155))</f>
        <v/>
      </c>
      <c r="R155" s="10">
        <f>IF($AF155="","",INDEX(파견수련계획!$U$4:$U$803,$AF155))</f>
        <v/>
      </c>
      <c r="S155" s="11">
        <f>IF($AF155="","",IF(INDEX(파견수련계획!$H$4:$H$803,$AF155)="","",INDEX(파견수련계획!$H$4:$H$803,$AF155)))</f>
        <v/>
      </c>
      <c r="T155" s="11">
        <f>IF($AF155="","",IF(INDEX(파견수련계획!$I$4:$I$803,$AF155)="","",INDEX(파견수련계획!$I$4:$I$803,$AF155)))</f>
        <v/>
      </c>
      <c r="U155" s="10">
        <f>IF($AF155="","",INDEX(파견수련계획!$X$4:$X$803,$AF155))</f>
        <v/>
      </c>
      <c r="V155" s="17">
        <f>IF($AF155="","",INDEX(파견수련계획!$V$4:$V$803,$AF155))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IF(OR($B155="",TRIM($J155&amp;"")=""),"",SUMPRODUCT((파견수련계획!$Q$4:$Q$803=TRIM($J155&amp;""))*파견수련계획!$W$4:$W$803))</f>
        <v/>
      </c>
      <c r="Y155" s="10">
        <f>IF($B155="","",IF($AG155="","",IF(IF(TRIM($J155&amp;"")="",0,SUMPRODUCT((파견수련계획!$Q$4:$Q$803=TRIM($J155&amp;""))*파견수련계획!$AD$4:$AD$803))&gt;0,$AE155,IF(N($X155)&lt;=0,$AG155,IF($AH155+$AI155=DAY(EOMONTH(요약!$B$3,0)),IF(AND($AH155&gt;=요약!$E$3,$AI155&lt;요약!$E$3),"서울병원",IF(AND($AI155&gt;=요약!$E$3,$AH155&lt;요약!$E$3),"구리병원","⚠15일 판정불가(서울 "&amp;$AH155&amp;"일/구리 "&amp;$AI155&amp;"일)")),IF($AJ155="",$AE155,IF(INDEX(파견수련계획!$T$4:$T$803,$AJ155)="통합수련",INDEX(파견수련계획!$S$4:$S$803,$AJ155),$AE155)))))))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입력",IF(IF(TRIM($J155&amp;"")="",0,SUMPRODUCT((파견수련계획!$Q$4:$Q$803=TRIM($J155&amp;""))*(파견수련계획!$AA$4:$AA$803&lt;&gt;"")))&gt;0,"파견수련계획 입력오류 확인",IF(LEFT($Y155,1)="⚠","서울·구리 15일 판정 불가(양쪽 모두 이상/미만)",IF(IF($AC155="",0,N(INDEX(인턴근무계획!$T$3:$T$402,$AC155)))&gt;0,"인턴계획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IF($B155="","",IFERROR(MATCH($B155,기본자료!$B$2:$B$1001,0),IFERROR(MATCH($B155&amp;"",기본자료!$B$2:$B$1001,0),IFERROR(MATCH(VALUE($B155),기본자료!$B$2:$B$1001,0),""))))</f>
        <v/>
      </c>
      <c r="AC155" s="10">
        <f>IF($B155="","",IFERROR(MATCH($B155,인턴근무계획!$D$3:$D$402,0),IFERROR(MATCH($B155&amp;"",인턴근무계획!$D$3:$D$402,0),IFERROR(MATCH(VALUE($B155),인턴근무계획!$D$3:$D$402,0),""))))</f>
        <v/>
      </c>
      <c r="AD155" s="10">
        <f>IF(OR($AC155="",인턴현황!$G$3=""),"",INDEX(인턴근무계획!$M$3:$R$402,$AC155,인턴현황!$G$3)&amp;"")</f>
        <v/>
      </c>
      <c r="AE155" s="10">
        <f>IF($B155="","",IF($M155&lt;&gt;"",$M155,IF($AF155&lt;&gt;"",IF(LEFT(INDEX(파견수련계획!$R$4:$R$803,$AF155),1)&lt;&gt;"⚠",INDEX(파견수련계획!$R$4:$R$803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$803,0),IFERROR(MATCH(TRIM($J155&amp;"")&amp;"|파견예정",파견수련계획!$Y$4:$Y$803,0),IFERROR(MATCH(TRIM($J155&amp;"")&amp;"|파견종료",파견수련계획!$Y$4:$Y$803,0),""))))</f>
        <v/>
      </c>
      <c r="AG155" s="10">
        <f>IF($B155="","",IF(AND(IF(OR($AC155="",인턴현황!$K$2=""),"",INDEX(인턴근무계획!$M$3:$R$402,$AC155,인턴현황!$K$2)&amp;"")&lt;&gt;"",LEFT(IF(OR($AC155="",인턴현황!$K$2=""),"",INDEX(인턴근무계획!$M$3:$R$402,$AC155,인턴현황!$K$2)&amp;""),1)&lt;&gt;"⚠"),LEFT(IF(OR($AC155="",인턴현황!$K$2=""),"",INDEX(인턴근무계획!$M$3:$R$402,$AC155,인턴현황!$K$2)&amp;""),FIND(" ",IF(OR($AC155="",인턴현황!$K$2=""),"",INDEX(인턴근무계획!$M$3:$R$402,$AC155,인턴현황!$K$2)&amp;""))-1),$AE155))</f>
        <v/>
      </c>
      <c r="AH155" s="17">
        <f>IF($B155="","",IF(TRIM($J155&amp;"")="",0,SUMPRODUCT((파견수련계획!$Q$4:$Q$803=TRIM($J155&amp;""))*(파견수련계획!$S$4:$S$803="서울병원")*파견수련계획!$W$4:$W$803))+IF($AG155="서울병원",MAX(0,DAY(EOMONTH(요약!$B$3,0))-N($X155)),0))</f>
        <v/>
      </c>
      <c r="AI155" s="17">
        <f>IF($B155="","",IF(TRIM($J155&amp;"")="",0,SUMPRODUCT((파견수련계획!$Q$4:$Q$803=TRIM($J155&amp;""))*(파견수련계획!$S$4:$S$803="구리병원")*파견수련계획!$W$4:$W$803))+IF($AG155="구리병원",MAX(0,DAY(EOMONTH(요약!$B$3,0))-N($X155)),0))</f>
        <v/>
      </c>
      <c r="AJ155" s="10">
        <f>IF(OR($B155="",TRIM($J155&amp;"")=""),"",IFERROR(MATCH(TRIM($J155&amp;"")&amp;"|월",파견수련계획!$Z$4:$Z$803,0),""))</f>
        <v/>
      </c>
      <c r="AK155" s="10">
        <f>IF(OR($B155="",TRIM($J155&amp;"")=""),"",IFERROR(MATCH(TRIM($J155&amp;"")&amp;"|다기관",파견수련계획!$AE$4:$AE$803,0),""))</f>
        <v/>
      </c>
      <c r="AL155" s="10">
        <f>IF($AK155="","","다기관 "&amp;TEXT(INDEX(파견수련계획!$AB$4:$AB$803,$AK155),"yyyy-mm-dd")&amp;"~"&amp;IF(ISNUMBER(INDEX(파견수련계획!$AC$4:$AC$803,$AK155)),TEXT(INDEX(파견수련계획!$AC$4:$AC$803,$AK155),"yyyy-mm-dd"),""))</f>
        <v/>
      </c>
    </row>
    <row r="156">
      <c r="A156" s="10">
        <f>IF(B156="","",ROW()-1)</f>
        <v/>
      </c>
      <c r="B156" s="18" t="n"/>
      <c r="C156" s="10">
        <f>IF($AB156="","",IF(INDEX(기본자료!$C$2:$C$1001,$AB156)="","",INDEX(기본자료!$C$2:$C$1001,$AB156)))</f>
        <v/>
      </c>
      <c r="D156" s="10">
        <f>IF($AB156="","",IF(INDEX(기본자료!$J$2:$J$1001,$AB156)="","",INDEX(기본자료!$J$2:$J$1001,$AB156)))</f>
        <v/>
      </c>
      <c r="E156" s="11">
        <f>IF($AB156="","",IF(INDEX(기본자료!$K$2:$K$1001,$AB156)="","",IF(NOT(ISNUMBER(INDEX(기본자료!$K$2:$K$1001,$AB156))),INDEX(기본자료!$K$2:$K$1001,$AB156),IF(INDEX(기본자료!$K$2:$K$1001,$AB156)&lt;1000000,INDEX(기본자료!$K$2:$K$1001,$AB156),IF(AND(INDEX(기본자료!$K$2:$K$1001,$AB156)&gt;=10000101,INT(MOD(INDEX(기본자료!$K$2:$K$1001,$AB156),10000)/100)&gt;=1,INT(MOD(INDEX(기본자료!$K$2:$K$1001,$AB156),10000)/100)&lt;=12,MOD(INDEX(기본자료!$K$2:$K$1001,$AB156),100)&gt;=1,MOD(INDEX(기본자료!$K$2:$K$1001,$AB156),100)&lt;=31),DATE(INT(INDEX(기본자료!$K$2:$K$1001,$AB156)/10000),INT(MOD(INDEX(기본자료!$K$2:$K$1001,$AB156),10000)/100),MOD(INDEX(기본자료!$K$2:$K$1001,$AB156),100)),INDEX(기본자료!$K$2:$K$1001,$AB156)&amp;"")))))</f>
        <v/>
      </c>
      <c r="F156" s="10">
        <f>IF($AB156="","",IF(INDEX(기본자료!$D$2:$D$1001,$AB156)="","",INDEX(기본자료!$D$2:$D$1001,$AB156)))</f>
        <v/>
      </c>
      <c r="G156" s="10">
        <f>IF($AB156="","",IF(INDEX(기본자료!$E$2:$E$1001,$AB156)="","",INDEX(기본자료!$E$2:$E$1001,$AB156)))</f>
        <v/>
      </c>
      <c r="H156" s="10">
        <f>IF($AB156="","",IF(INDEX(기본자료!$F$2:$F$1001,$AB156)="","",INDEX(기본자료!$F$2:$F$1001,$AB156)))</f>
        <v/>
      </c>
      <c r="I156" s="11">
        <f>IF($AB156="","",IF(INDEX(기본자료!$G$2:$G$1001,$AB156)="","",IF(NOT(ISNUMBER(INDEX(기본자료!$G$2:$G$1001,$AB156))),INDEX(기본자료!$G$2:$G$1001,$AB156),IF(INDEX(기본자료!$G$2:$G$1001,$AB156)&lt;1000000,INDEX(기본자료!$G$2:$G$1001,$AB156),IF(AND(INDEX(기본자료!$G$2:$G$1001,$AB156)&gt;=10000101,INT(MOD(INDEX(기본자료!$G$2:$G$1001,$AB156),10000)/100)&gt;=1,INT(MOD(INDEX(기본자료!$G$2:$G$1001,$AB156),10000)/100)&lt;=12,MOD(INDEX(기본자료!$G$2:$G$1001,$AB156),100)&gt;=1,MOD(INDEX(기본자료!$G$2:$G$1001,$AB156),100)&lt;=31),DATE(INT(INDEX(기본자료!$G$2:$G$1001,$AB156)/10000),INT(MOD(INDEX(기본자료!$G$2:$G$1001,$AB156),10000)/100),MOD(INDEX(기본자료!$G$2:$G$1001,$AB156),100)),INDEX(기본자료!$G$2:$G$1001,$AB156)&amp;"")))))</f>
        <v/>
      </c>
      <c r="J156" s="10">
        <f>IF($AB156="","",IF(INDEX(기본자료!$H$2:$H$1001,$AB156)="","",INDEX(기본자료!$H$2:$H$1001,$AB156)))</f>
        <v/>
      </c>
      <c r="K156" s="10">
        <f>IF($AB156="","",IF(INDEX(기본자료!$I$2:$I$1001,$AB156)="","",INDEX(기본자료!$I$2:$I$1001,$AB156)))</f>
        <v/>
      </c>
      <c r="L156" s="10">
        <f>IF($AB156="","",IF(INDEX(기본자료!$A$2:$A$1001,$AB156)="","",INDEX(기본자료!$A$2:$A$1001,$AB156)))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파견수련계획!$AB$4:$AB$803,$AK156),OR(NOT(ISNUMBER(INDEX(파견수련계획!$AC$4:$AC$803,$AK156))),TODAY()&lt;=INDEX(파견수련계획!$AC$4:$AC$803,$AK156))),"다기관",IF($AF156="","",INDEX(파견수련계획!$T$4:$T$803,$AF156))),IF($AF156="","",INDEX(파견수련계획!$T$4:$T$803,$AF156))))</f>
        <v/>
      </c>
      <c r="Q156" s="10">
        <f>IF($AF156="","",INDEX(파견수련계획!$S$4:$S$803,$AF156))</f>
        <v/>
      </c>
      <c r="R156" s="10">
        <f>IF($AF156="","",INDEX(파견수련계획!$U$4:$U$803,$AF156))</f>
        <v/>
      </c>
      <c r="S156" s="11">
        <f>IF($AF156="","",IF(INDEX(파견수련계획!$H$4:$H$803,$AF156)="","",INDEX(파견수련계획!$H$4:$H$803,$AF156)))</f>
        <v/>
      </c>
      <c r="T156" s="11">
        <f>IF($AF156="","",IF(INDEX(파견수련계획!$I$4:$I$803,$AF156)="","",INDEX(파견수련계획!$I$4:$I$803,$AF156)))</f>
        <v/>
      </c>
      <c r="U156" s="10">
        <f>IF($AF156="","",INDEX(파견수련계획!$X$4:$X$803,$AF156))</f>
        <v/>
      </c>
      <c r="V156" s="17">
        <f>IF($AF156="","",INDEX(파견수련계획!$V$4:$V$803,$AF156))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IF(OR($B156="",TRIM($J156&amp;"")=""),"",SUMPRODUCT((파견수련계획!$Q$4:$Q$803=TRIM($J156&amp;""))*파견수련계획!$W$4:$W$803))</f>
        <v/>
      </c>
      <c r="Y156" s="10">
        <f>IF($B156="","",IF($AG156="","",IF(IF(TRIM($J156&amp;"")="",0,SUMPRODUCT((파견수련계획!$Q$4:$Q$803=TRIM($J156&amp;""))*파견수련계획!$AD$4:$AD$803))&gt;0,$AE156,IF(N($X156)&lt;=0,$AG156,IF($AH156+$AI156=DAY(EOMONTH(요약!$B$3,0)),IF(AND($AH156&gt;=요약!$E$3,$AI156&lt;요약!$E$3),"서울병원",IF(AND($AI156&gt;=요약!$E$3,$AH156&lt;요약!$E$3),"구리병원","⚠15일 판정불가(서울 "&amp;$AH156&amp;"일/구리 "&amp;$AI156&amp;"일)")),IF($AJ156="",$AE156,IF(INDEX(파견수련계획!$T$4:$T$803,$AJ156)="통합수련",INDEX(파견수련계획!$S$4:$S$803,$AJ156),$AE156)))))))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입력",IF(IF(TRIM($J156&amp;"")="",0,SUMPRODUCT((파견수련계획!$Q$4:$Q$803=TRIM($J156&amp;""))*(파견수련계획!$AA$4:$AA$803&lt;&gt;"")))&gt;0,"파견수련계획 입력오류 확인",IF(LEFT($Y156,1)="⚠","서울·구리 15일 판정 불가(양쪽 모두 이상/미만)",IF(IF($AC156="",0,N(INDEX(인턴근무계획!$T$3:$T$402,$AC156)))&gt;0,"인턴계획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IF($B156="","",IFERROR(MATCH($B156,기본자료!$B$2:$B$1001,0),IFERROR(MATCH($B156&amp;"",기본자료!$B$2:$B$1001,0),IFERROR(MATCH(VALUE($B156),기본자료!$B$2:$B$1001,0),""))))</f>
        <v/>
      </c>
      <c r="AC156" s="10">
        <f>IF($B156="","",IFERROR(MATCH($B156,인턴근무계획!$D$3:$D$402,0),IFERROR(MATCH($B156&amp;"",인턴근무계획!$D$3:$D$402,0),IFERROR(MATCH(VALUE($B156),인턴근무계획!$D$3:$D$402,0),""))))</f>
        <v/>
      </c>
      <c r="AD156" s="10">
        <f>IF(OR($AC156="",인턴현황!$G$3=""),"",INDEX(인턴근무계획!$M$3:$R$402,$AC156,인턴현황!$G$3)&amp;"")</f>
        <v/>
      </c>
      <c r="AE156" s="10">
        <f>IF($B156="","",IF($M156&lt;&gt;"",$M156,IF($AF156&lt;&gt;"",IF(LEFT(INDEX(파견수련계획!$R$4:$R$803,$AF156),1)&lt;&gt;"⚠",INDEX(파견수련계획!$R$4:$R$803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$803,0),IFERROR(MATCH(TRIM($J156&amp;"")&amp;"|파견예정",파견수련계획!$Y$4:$Y$803,0),IFERROR(MATCH(TRIM($J156&amp;"")&amp;"|파견종료",파견수련계획!$Y$4:$Y$803,0),""))))</f>
        <v/>
      </c>
      <c r="AG156" s="10">
        <f>IF($B156="","",IF(AND(IF(OR($AC156="",인턴현황!$K$2=""),"",INDEX(인턴근무계획!$M$3:$R$402,$AC156,인턴현황!$K$2)&amp;"")&lt;&gt;"",LEFT(IF(OR($AC156="",인턴현황!$K$2=""),"",INDEX(인턴근무계획!$M$3:$R$402,$AC156,인턴현황!$K$2)&amp;""),1)&lt;&gt;"⚠"),LEFT(IF(OR($AC156="",인턴현황!$K$2=""),"",INDEX(인턴근무계획!$M$3:$R$402,$AC156,인턴현황!$K$2)&amp;""),FIND(" ",IF(OR($AC156="",인턴현황!$K$2=""),"",INDEX(인턴근무계획!$M$3:$R$402,$AC156,인턴현황!$K$2)&amp;""))-1),$AE156))</f>
        <v/>
      </c>
      <c r="AH156" s="17">
        <f>IF($B156="","",IF(TRIM($J156&amp;"")="",0,SUMPRODUCT((파견수련계획!$Q$4:$Q$803=TRIM($J156&amp;""))*(파견수련계획!$S$4:$S$803="서울병원")*파견수련계획!$W$4:$W$803))+IF($AG156="서울병원",MAX(0,DAY(EOMONTH(요약!$B$3,0))-N($X156)),0))</f>
        <v/>
      </c>
      <c r="AI156" s="17">
        <f>IF($B156="","",IF(TRIM($J156&amp;"")="",0,SUMPRODUCT((파견수련계획!$Q$4:$Q$803=TRIM($J156&amp;""))*(파견수련계획!$S$4:$S$803="구리병원")*파견수련계획!$W$4:$W$803))+IF($AG156="구리병원",MAX(0,DAY(EOMONTH(요약!$B$3,0))-N($X156)),0))</f>
        <v/>
      </c>
      <c r="AJ156" s="10">
        <f>IF(OR($B156="",TRIM($J156&amp;"")=""),"",IFERROR(MATCH(TRIM($J156&amp;"")&amp;"|월",파견수련계획!$Z$4:$Z$803,0),""))</f>
        <v/>
      </c>
      <c r="AK156" s="10">
        <f>IF(OR($B156="",TRIM($J156&amp;"")=""),"",IFERROR(MATCH(TRIM($J156&amp;"")&amp;"|다기관",파견수련계획!$AE$4:$AE$803,0),""))</f>
        <v/>
      </c>
      <c r="AL156" s="10">
        <f>IF($AK156="","","다기관 "&amp;TEXT(INDEX(파견수련계획!$AB$4:$AB$803,$AK156),"yyyy-mm-dd")&amp;"~"&amp;IF(ISNUMBER(INDEX(파견수련계획!$AC$4:$AC$803,$AK156)),TEXT(INDEX(파견수련계획!$AC$4:$AC$803,$AK156),"yyyy-mm-dd"),""))</f>
        <v/>
      </c>
    </row>
    <row r="157">
      <c r="A157" s="10">
        <f>IF(B157="","",ROW()-1)</f>
        <v/>
      </c>
      <c r="B157" s="18" t="n"/>
      <c r="C157" s="10">
        <f>IF($AB157="","",IF(INDEX(기본자료!$C$2:$C$1001,$AB157)="","",INDEX(기본자료!$C$2:$C$1001,$AB157)))</f>
        <v/>
      </c>
      <c r="D157" s="10">
        <f>IF($AB157="","",IF(INDEX(기본자료!$J$2:$J$1001,$AB157)="","",INDEX(기본자료!$J$2:$J$1001,$AB157)))</f>
        <v/>
      </c>
      <c r="E157" s="11">
        <f>IF($AB157="","",IF(INDEX(기본자료!$K$2:$K$1001,$AB157)="","",IF(NOT(ISNUMBER(INDEX(기본자료!$K$2:$K$1001,$AB157))),INDEX(기본자료!$K$2:$K$1001,$AB157),IF(INDEX(기본자료!$K$2:$K$1001,$AB157)&lt;1000000,INDEX(기본자료!$K$2:$K$1001,$AB157),IF(AND(INDEX(기본자료!$K$2:$K$1001,$AB157)&gt;=10000101,INT(MOD(INDEX(기본자료!$K$2:$K$1001,$AB157),10000)/100)&gt;=1,INT(MOD(INDEX(기본자료!$K$2:$K$1001,$AB157),10000)/100)&lt;=12,MOD(INDEX(기본자료!$K$2:$K$1001,$AB157),100)&gt;=1,MOD(INDEX(기본자료!$K$2:$K$1001,$AB157),100)&lt;=31),DATE(INT(INDEX(기본자료!$K$2:$K$1001,$AB157)/10000),INT(MOD(INDEX(기본자료!$K$2:$K$1001,$AB157),10000)/100),MOD(INDEX(기본자료!$K$2:$K$1001,$AB157),100)),INDEX(기본자료!$K$2:$K$1001,$AB157)&amp;"")))))</f>
        <v/>
      </c>
      <c r="F157" s="10">
        <f>IF($AB157="","",IF(INDEX(기본자료!$D$2:$D$1001,$AB157)="","",INDEX(기본자료!$D$2:$D$1001,$AB157)))</f>
        <v/>
      </c>
      <c r="G157" s="10">
        <f>IF($AB157="","",IF(INDEX(기본자료!$E$2:$E$1001,$AB157)="","",INDEX(기본자료!$E$2:$E$1001,$AB157)))</f>
        <v/>
      </c>
      <c r="H157" s="10">
        <f>IF($AB157="","",IF(INDEX(기본자료!$F$2:$F$1001,$AB157)="","",INDEX(기본자료!$F$2:$F$1001,$AB157)))</f>
        <v/>
      </c>
      <c r="I157" s="11">
        <f>IF($AB157="","",IF(INDEX(기본자료!$G$2:$G$1001,$AB157)="","",IF(NOT(ISNUMBER(INDEX(기본자료!$G$2:$G$1001,$AB157))),INDEX(기본자료!$G$2:$G$1001,$AB157),IF(INDEX(기본자료!$G$2:$G$1001,$AB157)&lt;1000000,INDEX(기본자료!$G$2:$G$1001,$AB157),IF(AND(INDEX(기본자료!$G$2:$G$1001,$AB157)&gt;=10000101,INT(MOD(INDEX(기본자료!$G$2:$G$1001,$AB157),10000)/100)&gt;=1,INT(MOD(INDEX(기본자료!$G$2:$G$1001,$AB157),10000)/100)&lt;=12,MOD(INDEX(기본자료!$G$2:$G$1001,$AB157),100)&gt;=1,MOD(INDEX(기본자료!$G$2:$G$1001,$AB157),100)&lt;=31),DATE(INT(INDEX(기본자료!$G$2:$G$1001,$AB157)/10000),INT(MOD(INDEX(기본자료!$G$2:$G$1001,$AB157),10000)/100),MOD(INDEX(기본자료!$G$2:$G$1001,$AB157),100)),INDEX(기본자료!$G$2:$G$1001,$AB157)&amp;"")))))</f>
        <v/>
      </c>
      <c r="J157" s="10">
        <f>IF($AB157="","",IF(INDEX(기본자료!$H$2:$H$1001,$AB157)="","",INDEX(기본자료!$H$2:$H$1001,$AB157)))</f>
        <v/>
      </c>
      <c r="K157" s="10">
        <f>IF($AB157="","",IF(INDEX(기본자료!$I$2:$I$1001,$AB157)="","",INDEX(기본자료!$I$2:$I$1001,$AB157)))</f>
        <v/>
      </c>
      <c r="L157" s="10">
        <f>IF($AB157="","",IF(INDEX(기본자료!$A$2:$A$1001,$AB157)="","",INDEX(기본자료!$A$2:$A$1001,$AB157)))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파견수련계획!$AB$4:$AB$803,$AK157),OR(NOT(ISNUMBER(INDEX(파견수련계획!$AC$4:$AC$803,$AK157))),TODAY()&lt;=INDEX(파견수련계획!$AC$4:$AC$803,$AK157))),"다기관",IF($AF157="","",INDEX(파견수련계획!$T$4:$T$803,$AF157))),IF($AF157="","",INDEX(파견수련계획!$T$4:$T$803,$AF157))))</f>
        <v/>
      </c>
      <c r="Q157" s="10">
        <f>IF($AF157="","",INDEX(파견수련계획!$S$4:$S$803,$AF157))</f>
        <v/>
      </c>
      <c r="R157" s="10">
        <f>IF($AF157="","",INDEX(파견수련계획!$U$4:$U$803,$AF157))</f>
        <v/>
      </c>
      <c r="S157" s="11">
        <f>IF($AF157="","",IF(INDEX(파견수련계획!$H$4:$H$803,$AF157)="","",INDEX(파견수련계획!$H$4:$H$803,$AF157)))</f>
        <v/>
      </c>
      <c r="T157" s="11">
        <f>IF($AF157="","",IF(INDEX(파견수련계획!$I$4:$I$803,$AF157)="","",INDEX(파견수련계획!$I$4:$I$803,$AF157)))</f>
        <v/>
      </c>
      <c r="U157" s="10">
        <f>IF($AF157="","",INDEX(파견수련계획!$X$4:$X$803,$AF157))</f>
        <v/>
      </c>
      <c r="V157" s="17">
        <f>IF($AF157="","",INDEX(파견수련계획!$V$4:$V$803,$AF157))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IF(OR($B157="",TRIM($J157&amp;"")=""),"",SUMPRODUCT((파견수련계획!$Q$4:$Q$803=TRIM($J157&amp;""))*파견수련계획!$W$4:$W$803))</f>
        <v/>
      </c>
      <c r="Y157" s="10">
        <f>IF($B157="","",IF($AG157="","",IF(IF(TRIM($J157&amp;"")="",0,SUMPRODUCT((파견수련계획!$Q$4:$Q$803=TRIM($J157&amp;""))*파견수련계획!$AD$4:$AD$803))&gt;0,$AE157,IF(N($X157)&lt;=0,$AG157,IF($AH157+$AI157=DAY(EOMONTH(요약!$B$3,0)),IF(AND($AH157&gt;=요약!$E$3,$AI157&lt;요약!$E$3),"서울병원",IF(AND($AI157&gt;=요약!$E$3,$AH157&lt;요약!$E$3),"구리병원","⚠15일 판정불가(서울 "&amp;$AH157&amp;"일/구리 "&amp;$AI157&amp;"일)")),IF($AJ157="",$AE157,IF(INDEX(파견수련계획!$T$4:$T$803,$AJ157)="통합수련",INDEX(파견수련계획!$S$4:$S$803,$AJ157),$AE157)))))))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입력",IF(IF(TRIM($J157&amp;"")="",0,SUMPRODUCT((파견수련계획!$Q$4:$Q$803=TRIM($J157&amp;""))*(파견수련계획!$AA$4:$AA$803&lt;&gt;"")))&gt;0,"파견수련계획 입력오류 확인",IF(LEFT($Y157,1)="⚠","서울·구리 15일 판정 불가(양쪽 모두 이상/미만)",IF(IF($AC157="",0,N(INDEX(인턴근무계획!$T$3:$T$402,$AC157)))&gt;0,"인턴계획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IF($B157="","",IFERROR(MATCH($B157,기본자료!$B$2:$B$1001,0),IFERROR(MATCH($B157&amp;"",기본자료!$B$2:$B$1001,0),IFERROR(MATCH(VALUE($B157),기본자료!$B$2:$B$1001,0),""))))</f>
        <v/>
      </c>
      <c r="AC157" s="10">
        <f>IF($B157="","",IFERROR(MATCH($B157,인턴근무계획!$D$3:$D$402,0),IFERROR(MATCH($B157&amp;"",인턴근무계획!$D$3:$D$402,0),IFERROR(MATCH(VALUE($B157),인턴근무계획!$D$3:$D$402,0),""))))</f>
        <v/>
      </c>
      <c r="AD157" s="10">
        <f>IF(OR($AC157="",인턴현황!$G$3=""),"",INDEX(인턴근무계획!$M$3:$R$402,$AC157,인턴현황!$G$3)&amp;"")</f>
        <v/>
      </c>
      <c r="AE157" s="10">
        <f>IF($B157="","",IF($M157&lt;&gt;"",$M157,IF($AF157&lt;&gt;"",IF(LEFT(INDEX(파견수련계획!$R$4:$R$803,$AF157),1)&lt;&gt;"⚠",INDEX(파견수련계획!$R$4:$R$803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$803,0),IFERROR(MATCH(TRIM($J157&amp;"")&amp;"|파견예정",파견수련계획!$Y$4:$Y$803,0),IFERROR(MATCH(TRIM($J157&amp;"")&amp;"|파견종료",파견수련계획!$Y$4:$Y$803,0),""))))</f>
        <v/>
      </c>
      <c r="AG157" s="10">
        <f>IF($B157="","",IF(AND(IF(OR($AC157="",인턴현황!$K$2=""),"",INDEX(인턴근무계획!$M$3:$R$402,$AC157,인턴현황!$K$2)&amp;"")&lt;&gt;"",LEFT(IF(OR($AC157="",인턴현황!$K$2=""),"",INDEX(인턴근무계획!$M$3:$R$402,$AC157,인턴현황!$K$2)&amp;""),1)&lt;&gt;"⚠"),LEFT(IF(OR($AC157="",인턴현황!$K$2=""),"",INDEX(인턴근무계획!$M$3:$R$402,$AC157,인턴현황!$K$2)&amp;""),FIND(" ",IF(OR($AC157="",인턴현황!$K$2=""),"",INDEX(인턴근무계획!$M$3:$R$402,$AC157,인턴현황!$K$2)&amp;""))-1),$AE157))</f>
        <v/>
      </c>
      <c r="AH157" s="17">
        <f>IF($B157="","",IF(TRIM($J157&amp;"")="",0,SUMPRODUCT((파견수련계획!$Q$4:$Q$803=TRIM($J157&amp;""))*(파견수련계획!$S$4:$S$803="서울병원")*파견수련계획!$W$4:$W$803))+IF($AG157="서울병원",MAX(0,DAY(EOMONTH(요약!$B$3,0))-N($X157)),0))</f>
        <v/>
      </c>
      <c r="AI157" s="17">
        <f>IF($B157="","",IF(TRIM($J157&amp;"")="",0,SUMPRODUCT((파견수련계획!$Q$4:$Q$803=TRIM($J157&amp;""))*(파견수련계획!$S$4:$S$803="구리병원")*파견수련계획!$W$4:$W$803))+IF($AG157="구리병원",MAX(0,DAY(EOMONTH(요약!$B$3,0))-N($X157)),0))</f>
        <v/>
      </c>
      <c r="AJ157" s="10">
        <f>IF(OR($B157="",TRIM($J157&amp;"")=""),"",IFERROR(MATCH(TRIM($J157&amp;"")&amp;"|월",파견수련계획!$Z$4:$Z$803,0),""))</f>
        <v/>
      </c>
      <c r="AK157" s="10">
        <f>IF(OR($B157="",TRIM($J157&amp;"")=""),"",IFERROR(MATCH(TRIM($J157&amp;"")&amp;"|다기관",파견수련계획!$AE$4:$AE$803,0),""))</f>
        <v/>
      </c>
      <c r="AL157" s="10">
        <f>IF($AK157="","","다기관 "&amp;TEXT(INDEX(파견수련계획!$AB$4:$AB$803,$AK157),"yyyy-mm-dd")&amp;"~"&amp;IF(ISNUMBER(INDEX(파견수련계획!$AC$4:$AC$803,$AK157)),TEXT(INDEX(파견수련계획!$AC$4:$AC$803,$AK157),"yyyy-mm-dd"),""))</f>
        <v/>
      </c>
    </row>
    <row r="158">
      <c r="A158" s="10">
        <f>IF(B158="","",ROW()-1)</f>
        <v/>
      </c>
      <c r="B158" s="18" t="n"/>
      <c r="C158" s="10">
        <f>IF($AB158="","",IF(INDEX(기본자료!$C$2:$C$1001,$AB158)="","",INDEX(기본자료!$C$2:$C$1001,$AB158)))</f>
        <v/>
      </c>
      <c r="D158" s="10">
        <f>IF($AB158="","",IF(INDEX(기본자료!$J$2:$J$1001,$AB158)="","",INDEX(기본자료!$J$2:$J$1001,$AB158)))</f>
        <v/>
      </c>
      <c r="E158" s="11">
        <f>IF($AB158="","",IF(INDEX(기본자료!$K$2:$K$1001,$AB158)="","",IF(NOT(ISNUMBER(INDEX(기본자료!$K$2:$K$1001,$AB158))),INDEX(기본자료!$K$2:$K$1001,$AB158),IF(INDEX(기본자료!$K$2:$K$1001,$AB158)&lt;1000000,INDEX(기본자료!$K$2:$K$1001,$AB158),IF(AND(INDEX(기본자료!$K$2:$K$1001,$AB158)&gt;=10000101,INT(MOD(INDEX(기본자료!$K$2:$K$1001,$AB158),10000)/100)&gt;=1,INT(MOD(INDEX(기본자료!$K$2:$K$1001,$AB158),10000)/100)&lt;=12,MOD(INDEX(기본자료!$K$2:$K$1001,$AB158),100)&gt;=1,MOD(INDEX(기본자료!$K$2:$K$1001,$AB158),100)&lt;=31),DATE(INT(INDEX(기본자료!$K$2:$K$1001,$AB158)/10000),INT(MOD(INDEX(기본자료!$K$2:$K$1001,$AB158),10000)/100),MOD(INDEX(기본자료!$K$2:$K$1001,$AB158),100)),INDEX(기본자료!$K$2:$K$1001,$AB158)&amp;"")))))</f>
        <v/>
      </c>
      <c r="F158" s="10">
        <f>IF($AB158="","",IF(INDEX(기본자료!$D$2:$D$1001,$AB158)="","",INDEX(기본자료!$D$2:$D$1001,$AB158)))</f>
        <v/>
      </c>
      <c r="G158" s="10">
        <f>IF($AB158="","",IF(INDEX(기본자료!$E$2:$E$1001,$AB158)="","",INDEX(기본자료!$E$2:$E$1001,$AB158)))</f>
        <v/>
      </c>
      <c r="H158" s="10">
        <f>IF($AB158="","",IF(INDEX(기본자료!$F$2:$F$1001,$AB158)="","",INDEX(기본자료!$F$2:$F$1001,$AB158)))</f>
        <v/>
      </c>
      <c r="I158" s="11">
        <f>IF($AB158="","",IF(INDEX(기본자료!$G$2:$G$1001,$AB158)="","",IF(NOT(ISNUMBER(INDEX(기본자료!$G$2:$G$1001,$AB158))),INDEX(기본자료!$G$2:$G$1001,$AB158),IF(INDEX(기본자료!$G$2:$G$1001,$AB158)&lt;1000000,INDEX(기본자료!$G$2:$G$1001,$AB158),IF(AND(INDEX(기본자료!$G$2:$G$1001,$AB158)&gt;=10000101,INT(MOD(INDEX(기본자료!$G$2:$G$1001,$AB158),10000)/100)&gt;=1,INT(MOD(INDEX(기본자료!$G$2:$G$1001,$AB158),10000)/100)&lt;=12,MOD(INDEX(기본자료!$G$2:$G$1001,$AB158),100)&gt;=1,MOD(INDEX(기본자료!$G$2:$G$1001,$AB158),100)&lt;=31),DATE(INT(INDEX(기본자료!$G$2:$G$1001,$AB158)/10000),INT(MOD(INDEX(기본자료!$G$2:$G$1001,$AB158),10000)/100),MOD(INDEX(기본자료!$G$2:$G$1001,$AB158),100)),INDEX(기본자료!$G$2:$G$1001,$AB158)&amp;"")))))</f>
        <v/>
      </c>
      <c r="J158" s="10">
        <f>IF($AB158="","",IF(INDEX(기본자료!$H$2:$H$1001,$AB158)="","",INDEX(기본자료!$H$2:$H$1001,$AB158)))</f>
        <v/>
      </c>
      <c r="K158" s="10">
        <f>IF($AB158="","",IF(INDEX(기본자료!$I$2:$I$1001,$AB158)="","",INDEX(기본자료!$I$2:$I$1001,$AB158)))</f>
        <v/>
      </c>
      <c r="L158" s="10">
        <f>IF($AB158="","",IF(INDEX(기본자료!$A$2:$A$1001,$AB158)="","",INDEX(기본자료!$A$2:$A$1001,$AB158)))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파견수련계획!$AB$4:$AB$803,$AK158),OR(NOT(ISNUMBER(INDEX(파견수련계획!$AC$4:$AC$803,$AK158))),TODAY()&lt;=INDEX(파견수련계획!$AC$4:$AC$803,$AK158))),"다기관",IF($AF158="","",INDEX(파견수련계획!$T$4:$T$803,$AF158))),IF($AF158="","",INDEX(파견수련계획!$T$4:$T$803,$AF158))))</f>
        <v/>
      </c>
      <c r="Q158" s="10">
        <f>IF($AF158="","",INDEX(파견수련계획!$S$4:$S$803,$AF158))</f>
        <v/>
      </c>
      <c r="R158" s="10">
        <f>IF($AF158="","",INDEX(파견수련계획!$U$4:$U$803,$AF158))</f>
        <v/>
      </c>
      <c r="S158" s="11">
        <f>IF($AF158="","",IF(INDEX(파견수련계획!$H$4:$H$803,$AF158)="","",INDEX(파견수련계획!$H$4:$H$803,$AF158)))</f>
        <v/>
      </c>
      <c r="T158" s="11">
        <f>IF($AF158="","",IF(INDEX(파견수련계획!$I$4:$I$803,$AF158)="","",INDEX(파견수련계획!$I$4:$I$803,$AF158)))</f>
        <v/>
      </c>
      <c r="U158" s="10">
        <f>IF($AF158="","",INDEX(파견수련계획!$X$4:$X$803,$AF158))</f>
        <v/>
      </c>
      <c r="V158" s="17">
        <f>IF($AF158="","",INDEX(파견수련계획!$V$4:$V$803,$AF158))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IF(OR($B158="",TRIM($J158&amp;"")=""),"",SUMPRODUCT((파견수련계획!$Q$4:$Q$803=TRIM($J158&amp;""))*파견수련계획!$W$4:$W$803))</f>
        <v/>
      </c>
      <c r="Y158" s="10">
        <f>IF($B158="","",IF($AG158="","",IF(IF(TRIM($J158&amp;"")="",0,SUMPRODUCT((파견수련계획!$Q$4:$Q$803=TRIM($J158&amp;""))*파견수련계획!$AD$4:$AD$803))&gt;0,$AE158,IF(N($X158)&lt;=0,$AG158,IF($AH158+$AI158=DAY(EOMONTH(요약!$B$3,0)),IF(AND($AH158&gt;=요약!$E$3,$AI158&lt;요약!$E$3),"서울병원",IF(AND($AI158&gt;=요약!$E$3,$AH158&lt;요약!$E$3),"구리병원","⚠15일 판정불가(서울 "&amp;$AH158&amp;"일/구리 "&amp;$AI158&amp;"일)")),IF($AJ158="",$AE158,IF(INDEX(파견수련계획!$T$4:$T$803,$AJ158)="통합수련",INDEX(파견수련계획!$S$4:$S$803,$AJ158),$AE158)))))))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입력",IF(IF(TRIM($J158&amp;"")="",0,SUMPRODUCT((파견수련계획!$Q$4:$Q$803=TRIM($J158&amp;""))*(파견수련계획!$AA$4:$AA$803&lt;&gt;"")))&gt;0,"파견수련계획 입력오류 확인",IF(LEFT($Y158,1)="⚠","서울·구리 15일 판정 불가(양쪽 모두 이상/미만)",IF(IF($AC158="",0,N(INDEX(인턴근무계획!$T$3:$T$402,$AC158)))&gt;0,"인턴계획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IF($B158="","",IFERROR(MATCH($B158,기본자료!$B$2:$B$1001,0),IFERROR(MATCH($B158&amp;"",기본자료!$B$2:$B$1001,0),IFERROR(MATCH(VALUE($B158),기본자료!$B$2:$B$1001,0),""))))</f>
        <v/>
      </c>
      <c r="AC158" s="10">
        <f>IF($B158="","",IFERROR(MATCH($B158,인턴근무계획!$D$3:$D$402,0),IFERROR(MATCH($B158&amp;"",인턴근무계획!$D$3:$D$402,0),IFERROR(MATCH(VALUE($B158),인턴근무계획!$D$3:$D$402,0),""))))</f>
        <v/>
      </c>
      <c r="AD158" s="10">
        <f>IF(OR($AC158="",인턴현황!$G$3=""),"",INDEX(인턴근무계획!$M$3:$R$402,$AC158,인턴현황!$G$3)&amp;"")</f>
        <v/>
      </c>
      <c r="AE158" s="10">
        <f>IF($B158="","",IF($M158&lt;&gt;"",$M158,IF($AF158&lt;&gt;"",IF(LEFT(INDEX(파견수련계획!$R$4:$R$803,$AF158),1)&lt;&gt;"⚠",INDEX(파견수련계획!$R$4:$R$803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$803,0),IFERROR(MATCH(TRIM($J158&amp;"")&amp;"|파견예정",파견수련계획!$Y$4:$Y$803,0),IFERROR(MATCH(TRIM($J158&amp;"")&amp;"|파견종료",파견수련계획!$Y$4:$Y$803,0),""))))</f>
        <v/>
      </c>
      <c r="AG158" s="10">
        <f>IF($B158="","",IF(AND(IF(OR($AC158="",인턴현황!$K$2=""),"",INDEX(인턴근무계획!$M$3:$R$402,$AC158,인턴현황!$K$2)&amp;"")&lt;&gt;"",LEFT(IF(OR($AC158="",인턴현황!$K$2=""),"",INDEX(인턴근무계획!$M$3:$R$402,$AC158,인턴현황!$K$2)&amp;""),1)&lt;&gt;"⚠"),LEFT(IF(OR($AC158="",인턴현황!$K$2=""),"",INDEX(인턴근무계획!$M$3:$R$402,$AC158,인턴현황!$K$2)&amp;""),FIND(" ",IF(OR($AC158="",인턴현황!$K$2=""),"",INDEX(인턴근무계획!$M$3:$R$402,$AC158,인턴현황!$K$2)&amp;""))-1),$AE158))</f>
        <v/>
      </c>
      <c r="AH158" s="17">
        <f>IF($B158="","",IF(TRIM($J158&amp;"")="",0,SUMPRODUCT((파견수련계획!$Q$4:$Q$803=TRIM($J158&amp;""))*(파견수련계획!$S$4:$S$803="서울병원")*파견수련계획!$W$4:$W$803))+IF($AG158="서울병원",MAX(0,DAY(EOMONTH(요약!$B$3,0))-N($X158)),0))</f>
        <v/>
      </c>
      <c r="AI158" s="17">
        <f>IF($B158="","",IF(TRIM($J158&amp;"")="",0,SUMPRODUCT((파견수련계획!$Q$4:$Q$803=TRIM($J158&amp;""))*(파견수련계획!$S$4:$S$803="구리병원")*파견수련계획!$W$4:$W$803))+IF($AG158="구리병원",MAX(0,DAY(EOMONTH(요약!$B$3,0))-N($X158)),0))</f>
        <v/>
      </c>
      <c r="AJ158" s="10">
        <f>IF(OR($B158="",TRIM($J158&amp;"")=""),"",IFERROR(MATCH(TRIM($J158&amp;"")&amp;"|월",파견수련계획!$Z$4:$Z$803,0),""))</f>
        <v/>
      </c>
      <c r="AK158" s="10">
        <f>IF(OR($B158="",TRIM($J158&amp;"")=""),"",IFERROR(MATCH(TRIM($J158&amp;"")&amp;"|다기관",파견수련계획!$AE$4:$AE$803,0),""))</f>
        <v/>
      </c>
      <c r="AL158" s="10">
        <f>IF($AK158="","","다기관 "&amp;TEXT(INDEX(파견수련계획!$AB$4:$AB$803,$AK158),"yyyy-mm-dd")&amp;"~"&amp;IF(ISNUMBER(INDEX(파견수련계획!$AC$4:$AC$803,$AK158)),TEXT(INDEX(파견수련계획!$AC$4:$AC$803,$AK158),"yyyy-mm-dd"),""))</f>
        <v/>
      </c>
    </row>
    <row r="159">
      <c r="A159" s="10">
        <f>IF(B159="","",ROW()-1)</f>
        <v/>
      </c>
      <c r="B159" s="18" t="n"/>
      <c r="C159" s="10">
        <f>IF($AB159="","",IF(INDEX(기본자료!$C$2:$C$1001,$AB159)="","",INDEX(기본자료!$C$2:$C$1001,$AB159)))</f>
        <v/>
      </c>
      <c r="D159" s="10">
        <f>IF($AB159="","",IF(INDEX(기본자료!$J$2:$J$1001,$AB159)="","",INDEX(기본자료!$J$2:$J$1001,$AB159)))</f>
        <v/>
      </c>
      <c r="E159" s="11">
        <f>IF($AB159="","",IF(INDEX(기본자료!$K$2:$K$1001,$AB159)="","",IF(NOT(ISNUMBER(INDEX(기본자료!$K$2:$K$1001,$AB159))),INDEX(기본자료!$K$2:$K$1001,$AB159),IF(INDEX(기본자료!$K$2:$K$1001,$AB159)&lt;1000000,INDEX(기본자료!$K$2:$K$1001,$AB159),IF(AND(INDEX(기본자료!$K$2:$K$1001,$AB159)&gt;=10000101,INT(MOD(INDEX(기본자료!$K$2:$K$1001,$AB159),10000)/100)&gt;=1,INT(MOD(INDEX(기본자료!$K$2:$K$1001,$AB159),10000)/100)&lt;=12,MOD(INDEX(기본자료!$K$2:$K$1001,$AB159),100)&gt;=1,MOD(INDEX(기본자료!$K$2:$K$1001,$AB159),100)&lt;=31),DATE(INT(INDEX(기본자료!$K$2:$K$1001,$AB159)/10000),INT(MOD(INDEX(기본자료!$K$2:$K$1001,$AB159),10000)/100),MOD(INDEX(기본자료!$K$2:$K$1001,$AB159),100)),INDEX(기본자료!$K$2:$K$1001,$AB159)&amp;"")))))</f>
        <v/>
      </c>
      <c r="F159" s="10">
        <f>IF($AB159="","",IF(INDEX(기본자료!$D$2:$D$1001,$AB159)="","",INDEX(기본자료!$D$2:$D$1001,$AB159)))</f>
        <v/>
      </c>
      <c r="G159" s="10">
        <f>IF($AB159="","",IF(INDEX(기본자료!$E$2:$E$1001,$AB159)="","",INDEX(기본자료!$E$2:$E$1001,$AB159)))</f>
        <v/>
      </c>
      <c r="H159" s="10">
        <f>IF($AB159="","",IF(INDEX(기본자료!$F$2:$F$1001,$AB159)="","",INDEX(기본자료!$F$2:$F$1001,$AB159)))</f>
        <v/>
      </c>
      <c r="I159" s="11">
        <f>IF($AB159="","",IF(INDEX(기본자료!$G$2:$G$1001,$AB159)="","",IF(NOT(ISNUMBER(INDEX(기본자료!$G$2:$G$1001,$AB159))),INDEX(기본자료!$G$2:$G$1001,$AB159),IF(INDEX(기본자료!$G$2:$G$1001,$AB159)&lt;1000000,INDEX(기본자료!$G$2:$G$1001,$AB159),IF(AND(INDEX(기본자료!$G$2:$G$1001,$AB159)&gt;=10000101,INT(MOD(INDEX(기본자료!$G$2:$G$1001,$AB159),10000)/100)&gt;=1,INT(MOD(INDEX(기본자료!$G$2:$G$1001,$AB159),10000)/100)&lt;=12,MOD(INDEX(기본자료!$G$2:$G$1001,$AB159),100)&gt;=1,MOD(INDEX(기본자료!$G$2:$G$1001,$AB159),100)&lt;=31),DATE(INT(INDEX(기본자료!$G$2:$G$1001,$AB159)/10000),INT(MOD(INDEX(기본자료!$G$2:$G$1001,$AB159),10000)/100),MOD(INDEX(기본자료!$G$2:$G$1001,$AB159),100)),INDEX(기본자료!$G$2:$G$1001,$AB159)&amp;"")))))</f>
        <v/>
      </c>
      <c r="J159" s="10">
        <f>IF($AB159="","",IF(INDEX(기본자료!$H$2:$H$1001,$AB159)="","",INDEX(기본자료!$H$2:$H$1001,$AB159)))</f>
        <v/>
      </c>
      <c r="K159" s="10">
        <f>IF($AB159="","",IF(INDEX(기본자료!$I$2:$I$1001,$AB159)="","",INDEX(기본자료!$I$2:$I$1001,$AB159)))</f>
        <v/>
      </c>
      <c r="L159" s="10">
        <f>IF($AB159="","",IF(INDEX(기본자료!$A$2:$A$1001,$AB159)="","",INDEX(기본자료!$A$2:$A$1001,$AB159)))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파견수련계획!$AB$4:$AB$803,$AK159),OR(NOT(ISNUMBER(INDEX(파견수련계획!$AC$4:$AC$803,$AK159))),TODAY()&lt;=INDEX(파견수련계획!$AC$4:$AC$803,$AK159))),"다기관",IF($AF159="","",INDEX(파견수련계획!$T$4:$T$803,$AF159))),IF($AF159="","",INDEX(파견수련계획!$T$4:$T$803,$AF159))))</f>
        <v/>
      </c>
      <c r="Q159" s="10">
        <f>IF($AF159="","",INDEX(파견수련계획!$S$4:$S$803,$AF159))</f>
        <v/>
      </c>
      <c r="R159" s="10">
        <f>IF($AF159="","",INDEX(파견수련계획!$U$4:$U$803,$AF159))</f>
        <v/>
      </c>
      <c r="S159" s="11">
        <f>IF($AF159="","",IF(INDEX(파견수련계획!$H$4:$H$803,$AF159)="","",INDEX(파견수련계획!$H$4:$H$803,$AF159)))</f>
        <v/>
      </c>
      <c r="T159" s="11">
        <f>IF($AF159="","",IF(INDEX(파견수련계획!$I$4:$I$803,$AF159)="","",INDEX(파견수련계획!$I$4:$I$803,$AF159)))</f>
        <v/>
      </c>
      <c r="U159" s="10">
        <f>IF($AF159="","",INDEX(파견수련계획!$X$4:$X$803,$AF159))</f>
        <v/>
      </c>
      <c r="V159" s="17">
        <f>IF($AF159="","",INDEX(파견수련계획!$V$4:$V$803,$AF159))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IF(OR($B159="",TRIM($J159&amp;"")=""),"",SUMPRODUCT((파견수련계획!$Q$4:$Q$803=TRIM($J159&amp;""))*파견수련계획!$W$4:$W$803))</f>
        <v/>
      </c>
      <c r="Y159" s="10">
        <f>IF($B159="","",IF($AG159="","",IF(IF(TRIM($J159&amp;"")="",0,SUMPRODUCT((파견수련계획!$Q$4:$Q$803=TRIM($J159&amp;""))*파견수련계획!$AD$4:$AD$803))&gt;0,$AE159,IF(N($X159)&lt;=0,$AG159,IF($AH159+$AI159=DAY(EOMONTH(요약!$B$3,0)),IF(AND($AH159&gt;=요약!$E$3,$AI159&lt;요약!$E$3),"서울병원",IF(AND($AI159&gt;=요약!$E$3,$AH159&lt;요약!$E$3),"구리병원","⚠15일 판정불가(서울 "&amp;$AH159&amp;"일/구리 "&amp;$AI159&amp;"일)")),IF($AJ159="",$AE159,IF(INDEX(파견수련계획!$T$4:$T$803,$AJ159)="통합수련",INDEX(파견수련계획!$S$4:$S$803,$AJ159),$AE159)))))))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입력",IF(IF(TRIM($J159&amp;"")="",0,SUMPRODUCT((파견수련계획!$Q$4:$Q$803=TRIM($J159&amp;""))*(파견수련계획!$AA$4:$AA$803&lt;&gt;"")))&gt;0,"파견수련계획 입력오류 확인",IF(LEFT($Y159,1)="⚠","서울·구리 15일 판정 불가(양쪽 모두 이상/미만)",IF(IF($AC159="",0,N(INDEX(인턴근무계획!$T$3:$T$402,$AC159)))&gt;0,"인턴계획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IF($B159="","",IFERROR(MATCH($B159,기본자료!$B$2:$B$1001,0),IFERROR(MATCH($B159&amp;"",기본자료!$B$2:$B$1001,0),IFERROR(MATCH(VALUE($B159),기본자료!$B$2:$B$1001,0),""))))</f>
        <v/>
      </c>
      <c r="AC159" s="10">
        <f>IF($B159="","",IFERROR(MATCH($B159,인턴근무계획!$D$3:$D$402,0),IFERROR(MATCH($B159&amp;"",인턴근무계획!$D$3:$D$402,0),IFERROR(MATCH(VALUE($B159),인턴근무계획!$D$3:$D$402,0),""))))</f>
        <v/>
      </c>
      <c r="AD159" s="10">
        <f>IF(OR($AC159="",인턴현황!$G$3=""),"",INDEX(인턴근무계획!$M$3:$R$402,$AC159,인턴현황!$G$3)&amp;"")</f>
        <v/>
      </c>
      <c r="AE159" s="10">
        <f>IF($B159="","",IF($M159&lt;&gt;"",$M159,IF($AF159&lt;&gt;"",IF(LEFT(INDEX(파견수련계획!$R$4:$R$803,$AF159),1)&lt;&gt;"⚠",INDEX(파견수련계획!$R$4:$R$803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$803,0),IFERROR(MATCH(TRIM($J159&amp;"")&amp;"|파견예정",파견수련계획!$Y$4:$Y$803,0),IFERROR(MATCH(TRIM($J159&amp;"")&amp;"|파견종료",파견수련계획!$Y$4:$Y$803,0),""))))</f>
        <v/>
      </c>
      <c r="AG159" s="10">
        <f>IF($B159="","",IF(AND(IF(OR($AC159="",인턴현황!$K$2=""),"",INDEX(인턴근무계획!$M$3:$R$402,$AC159,인턴현황!$K$2)&amp;"")&lt;&gt;"",LEFT(IF(OR($AC159="",인턴현황!$K$2=""),"",INDEX(인턴근무계획!$M$3:$R$402,$AC159,인턴현황!$K$2)&amp;""),1)&lt;&gt;"⚠"),LEFT(IF(OR($AC159="",인턴현황!$K$2=""),"",INDEX(인턴근무계획!$M$3:$R$402,$AC159,인턴현황!$K$2)&amp;""),FIND(" ",IF(OR($AC159="",인턴현황!$K$2=""),"",INDEX(인턴근무계획!$M$3:$R$402,$AC159,인턴현황!$K$2)&amp;""))-1),$AE159))</f>
        <v/>
      </c>
      <c r="AH159" s="17">
        <f>IF($B159="","",IF(TRIM($J159&amp;"")="",0,SUMPRODUCT((파견수련계획!$Q$4:$Q$803=TRIM($J159&amp;""))*(파견수련계획!$S$4:$S$803="서울병원")*파견수련계획!$W$4:$W$803))+IF($AG159="서울병원",MAX(0,DAY(EOMONTH(요약!$B$3,0))-N($X159)),0))</f>
        <v/>
      </c>
      <c r="AI159" s="17">
        <f>IF($B159="","",IF(TRIM($J159&amp;"")="",0,SUMPRODUCT((파견수련계획!$Q$4:$Q$803=TRIM($J159&amp;""))*(파견수련계획!$S$4:$S$803="구리병원")*파견수련계획!$W$4:$W$803))+IF($AG159="구리병원",MAX(0,DAY(EOMONTH(요약!$B$3,0))-N($X159)),0))</f>
        <v/>
      </c>
      <c r="AJ159" s="10">
        <f>IF(OR($B159="",TRIM($J159&amp;"")=""),"",IFERROR(MATCH(TRIM($J159&amp;"")&amp;"|월",파견수련계획!$Z$4:$Z$803,0),""))</f>
        <v/>
      </c>
      <c r="AK159" s="10">
        <f>IF(OR($B159="",TRIM($J159&amp;"")=""),"",IFERROR(MATCH(TRIM($J159&amp;"")&amp;"|다기관",파견수련계획!$AE$4:$AE$803,0),""))</f>
        <v/>
      </c>
      <c r="AL159" s="10">
        <f>IF($AK159="","","다기관 "&amp;TEXT(INDEX(파견수련계획!$AB$4:$AB$803,$AK159),"yyyy-mm-dd")&amp;"~"&amp;IF(ISNUMBER(INDEX(파견수련계획!$AC$4:$AC$803,$AK159)),TEXT(INDEX(파견수련계획!$AC$4:$AC$803,$AK159),"yyyy-mm-dd"),""))</f>
        <v/>
      </c>
    </row>
    <row r="160">
      <c r="A160" s="10">
        <f>IF(B160="","",ROW()-1)</f>
        <v/>
      </c>
      <c r="B160" s="18" t="n"/>
      <c r="C160" s="10">
        <f>IF($AB160="","",IF(INDEX(기본자료!$C$2:$C$1001,$AB160)="","",INDEX(기본자료!$C$2:$C$1001,$AB160)))</f>
        <v/>
      </c>
      <c r="D160" s="10">
        <f>IF($AB160="","",IF(INDEX(기본자료!$J$2:$J$1001,$AB160)="","",INDEX(기본자료!$J$2:$J$1001,$AB160)))</f>
        <v/>
      </c>
      <c r="E160" s="11">
        <f>IF($AB160="","",IF(INDEX(기본자료!$K$2:$K$1001,$AB160)="","",IF(NOT(ISNUMBER(INDEX(기본자료!$K$2:$K$1001,$AB160))),INDEX(기본자료!$K$2:$K$1001,$AB160),IF(INDEX(기본자료!$K$2:$K$1001,$AB160)&lt;1000000,INDEX(기본자료!$K$2:$K$1001,$AB160),IF(AND(INDEX(기본자료!$K$2:$K$1001,$AB160)&gt;=10000101,INT(MOD(INDEX(기본자료!$K$2:$K$1001,$AB160),10000)/100)&gt;=1,INT(MOD(INDEX(기본자료!$K$2:$K$1001,$AB160),10000)/100)&lt;=12,MOD(INDEX(기본자료!$K$2:$K$1001,$AB160),100)&gt;=1,MOD(INDEX(기본자료!$K$2:$K$1001,$AB160),100)&lt;=31),DATE(INT(INDEX(기본자료!$K$2:$K$1001,$AB160)/10000),INT(MOD(INDEX(기본자료!$K$2:$K$1001,$AB160),10000)/100),MOD(INDEX(기본자료!$K$2:$K$1001,$AB160),100)),INDEX(기본자료!$K$2:$K$1001,$AB160)&amp;"")))))</f>
        <v/>
      </c>
      <c r="F160" s="10">
        <f>IF($AB160="","",IF(INDEX(기본자료!$D$2:$D$1001,$AB160)="","",INDEX(기본자료!$D$2:$D$1001,$AB160)))</f>
        <v/>
      </c>
      <c r="G160" s="10">
        <f>IF($AB160="","",IF(INDEX(기본자료!$E$2:$E$1001,$AB160)="","",INDEX(기본자료!$E$2:$E$1001,$AB160)))</f>
        <v/>
      </c>
      <c r="H160" s="10">
        <f>IF($AB160="","",IF(INDEX(기본자료!$F$2:$F$1001,$AB160)="","",INDEX(기본자료!$F$2:$F$1001,$AB160)))</f>
        <v/>
      </c>
      <c r="I160" s="11">
        <f>IF($AB160="","",IF(INDEX(기본자료!$G$2:$G$1001,$AB160)="","",IF(NOT(ISNUMBER(INDEX(기본자료!$G$2:$G$1001,$AB160))),INDEX(기본자료!$G$2:$G$1001,$AB160),IF(INDEX(기본자료!$G$2:$G$1001,$AB160)&lt;1000000,INDEX(기본자료!$G$2:$G$1001,$AB160),IF(AND(INDEX(기본자료!$G$2:$G$1001,$AB160)&gt;=10000101,INT(MOD(INDEX(기본자료!$G$2:$G$1001,$AB160),10000)/100)&gt;=1,INT(MOD(INDEX(기본자료!$G$2:$G$1001,$AB160),10000)/100)&lt;=12,MOD(INDEX(기본자료!$G$2:$G$1001,$AB160),100)&gt;=1,MOD(INDEX(기본자료!$G$2:$G$1001,$AB160),100)&lt;=31),DATE(INT(INDEX(기본자료!$G$2:$G$1001,$AB160)/10000),INT(MOD(INDEX(기본자료!$G$2:$G$1001,$AB160),10000)/100),MOD(INDEX(기본자료!$G$2:$G$1001,$AB160),100)),INDEX(기본자료!$G$2:$G$1001,$AB160)&amp;"")))))</f>
        <v/>
      </c>
      <c r="J160" s="10">
        <f>IF($AB160="","",IF(INDEX(기본자료!$H$2:$H$1001,$AB160)="","",INDEX(기본자료!$H$2:$H$1001,$AB160)))</f>
        <v/>
      </c>
      <c r="K160" s="10">
        <f>IF($AB160="","",IF(INDEX(기본자료!$I$2:$I$1001,$AB160)="","",INDEX(기본자료!$I$2:$I$1001,$AB160)))</f>
        <v/>
      </c>
      <c r="L160" s="10">
        <f>IF($AB160="","",IF(INDEX(기본자료!$A$2:$A$1001,$AB160)="","",INDEX(기본자료!$A$2:$A$1001,$AB160)))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파견수련계획!$AB$4:$AB$803,$AK160),OR(NOT(ISNUMBER(INDEX(파견수련계획!$AC$4:$AC$803,$AK160))),TODAY()&lt;=INDEX(파견수련계획!$AC$4:$AC$803,$AK160))),"다기관",IF($AF160="","",INDEX(파견수련계획!$T$4:$T$803,$AF160))),IF($AF160="","",INDEX(파견수련계획!$T$4:$T$803,$AF160))))</f>
        <v/>
      </c>
      <c r="Q160" s="10">
        <f>IF($AF160="","",INDEX(파견수련계획!$S$4:$S$803,$AF160))</f>
        <v/>
      </c>
      <c r="R160" s="10">
        <f>IF($AF160="","",INDEX(파견수련계획!$U$4:$U$803,$AF160))</f>
        <v/>
      </c>
      <c r="S160" s="11">
        <f>IF($AF160="","",IF(INDEX(파견수련계획!$H$4:$H$803,$AF160)="","",INDEX(파견수련계획!$H$4:$H$803,$AF160)))</f>
        <v/>
      </c>
      <c r="T160" s="11">
        <f>IF($AF160="","",IF(INDEX(파견수련계획!$I$4:$I$803,$AF160)="","",INDEX(파견수련계획!$I$4:$I$803,$AF160)))</f>
        <v/>
      </c>
      <c r="U160" s="10">
        <f>IF($AF160="","",INDEX(파견수련계획!$X$4:$X$803,$AF160))</f>
        <v/>
      </c>
      <c r="V160" s="17">
        <f>IF($AF160="","",INDEX(파견수련계획!$V$4:$V$803,$AF160))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IF(OR($B160="",TRIM($J160&amp;"")=""),"",SUMPRODUCT((파견수련계획!$Q$4:$Q$803=TRIM($J160&amp;""))*파견수련계획!$W$4:$W$803))</f>
        <v/>
      </c>
      <c r="Y160" s="10">
        <f>IF($B160="","",IF($AG160="","",IF(IF(TRIM($J160&amp;"")="",0,SUMPRODUCT((파견수련계획!$Q$4:$Q$803=TRIM($J160&amp;""))*파견수련계획!$AD$4:$AD$803))&gt;0,$AE160,IF(N($X160)&lt;=0,$AG160,IF($AH160+$AI160=DAY(EOMONTH(요약!$B$3,0)),IF(AND($AH160&gt;=요약!$E$3,$AI160&lt;요약!$E$3),"서울병원",IF(AND($AI160&gt;=요약!$E$3,$AH160&lt;요약!$E$3),"구리병원","⚠15일 판정불가(서울 "&amp;$AH160&amp;"일/구리 "&amp;$AI160&amp;"일)")),IF($AJ160="",$AE160,IF(INDEX(파견수련계획!$T$4:$T$803,$AJ160)="통합수련",INDEX(파견수련계획!$S$4:$S$803,$AJ160),$AE160)))))))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입력",IF(IF(TRIM($J160&amp;"")="",0,SUMPRODUCT((파견수련계획!$Q$4:$Q$803=TRIM($J160&amp;""))*(파견수련계획!$AA$4:$AA$803&lt;&gt;"")))&gt;0,"파견수련계획 입력오류 확인",IF(LEFT($Y160,1)="⚠","서울·구리 15일 판정 불가(양쪽 모두 이상/미만)",IF(IF($AC160="",0,N(INDEX(인턴근무계획!$T$3:$T$402,$AC160)))&gt;0,"인턴계획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IF($B160="","",IFERROR(MATCH($B160,기본자료!$B$2:$B$1001,0),IFERROR(MATCH($B160&amp;"",기본자료!$B$2:$B$1001,0),IFERROR(MATCH(VALUE($B160),기본자료!$B$2:$B$1001,0),""))))</f>
        <v/>
      </c>
      <c r="AC160" s="10">
        <f>IF($B160="","",IFERROR(MATCH($B160,인턴근무계획!$D$3:$D$402,0),IFERROR(MATCH($B160&amp;"",인턴근무계획!$D$3:$D$402,0),IFERROR(MATCH(VALUE($B160),인턴근무계획!$D$3:$D$402,0),""))))</f>
        <v/>
      </c>
      <c r="AD160" s="10">
        <f>IF(OR($AC160="",인턴현황!$G$3=""),"",INDEX(인턴근무계획!$M$3:$R$402,$AC160,인턴현황!$G$3)&amp;"")</f>
        <v/>
      </c>
      <c r="AE160" s="10">
        <f>IF($B160="","",IF($M160&lt;&gt;"",$M160,IF($AF160&lt;&gt;"",IF(LEFT(INDEX(파견수련계획!$R$4:$R$803,$AF160),1)&lt;&gt;"⚠",INDEX(파견수련계획!$R$4:$R$803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$803,0),IFERROR(MATCH(TRIM($J160&amp;"")&amp;"|파견예정",파견수련계획!$Y$4:$Y$803,0),IFERROR(MATCH(TRIM($J160&amp;"")&amp;"|파견종료",파견수련계획!$Y$4:$Y$803,0),""))))</f>
        <v/>
      </c>
      <c r="AG160" s="10">
        <f>IF($B160="","",IF(AND(IF(OR($AC160="",인턴현황!$K$2=""),"",INDEX(인턴근무계획!$M$3:$R$402,$AC160,인턴현황!$K$2)&amp;"")&lt;&gt;"",LEFT(IF(OR($AC160="",인턴현황!$K$2=""),"",INDEX(인턴근무계획!$M$3:$R$402,$AC160,인턴현황!$K$2)&amp;""),1)&lt;&gt;"⚠"),LEFT(IF(OR($AC160="",인턴현황!$K$2=""),"",INDEX(인턴근무계획!$M$3:$R$402,$AC160,인턴현황!$K$2)&amp;""),FIND(" ",IF(OR($AC160="",인턴현황!$K$2=""),"",INDEX(인턴근무계획!$M$3:$R$402,$AC160,인턴현황!$K$2)&amp;""))-1),$AE160))</f>
        <v/>
      </c>
      <c r="AH160" s="17">
        <f>IF($B160="","",IF(TRIM($J160&amp;"")="",0,SUMPRODUCT((파견수련계획!$Q$4:$Q$803=TRIM($J160&amp;""))*(파견수련계획!$S$4:$S$803="서울병원")*파견수련계획!$W$4:$W$803))+IF($AG160="서울병원",MAX(0,DAY(EOMONTH(요약!$B$3,0))-N($X160)),0))</f>
        <v/>
      </c>
      <c r="AI160" s="17">
        <f>IF($B160="","",IF(TRIM($J160&amp;"")="",0,SUMPRODUCT((파견수련계획!$Q$4:$Q$803=TRIM($J160&amp;""))*(파견수련계획!$S$4:$S$803="구리병원")*파견수련계획!$W$4:$W$803))+IF($AG160="구리병원",MAX(0,DAY(EOMONTH(요약!$B$3,0))-N($X160)),0))</f>
        <v/>
      </c>
      <c r="AJ160" s="10">
        <f>IF(OR($B160="",TRIM($J160&amp;"")=""),"",IFERROR(MATCH(TRIM($J160&amp;"")&amp;"|월",파견수련계획!$Z$4:$Z$803,0),""))</f>
        <v/>
      </c>
      <c r="AK160" s="10">
        <f>IF(OR($B160="",TRIM($J160&amp;"")=""),"",IFERROR(MATCH(TRIM($J160&amp;"")&amp;"|다기관",파견수련계획!$AE$4:$AE$803,0),""))</f>
        <v/>
      </c>
      <c r="AL160" s="10">
        <f>IF($AK160="","","다기관 "&amp;TEXT(INDEX(파견수련계획!$AB$4:$AB$803,$AK160),"yyyy-mm-dd")&amp;"~"&amp;IF(ISNUMBER(INDEX(파견수련계획!$AC$4:$AC$803,$AK160)),TEXT(INDEX(파견수련계획!$AC$4:$AC$803,$AK160),"yyyy-mm-dd"),""))</f>
        <v/>
      </c>
    </row>
    <row r="161">
      <c r="A161" s="10">
        <f>IF(B161="","",ROW()-1)</f>
        <v/>
      </c>
      <c r="B161" s="18" t="n"/>
      <c r="C161" s="10">
        <f>IF($AB161="","",IF(INDEX(기본자료!$C$2:$C$1001,$AB161)="","",INDEX(기본자료!$C$2:$C$1001,$AB161)))</f>
        <v/>
      </c>
      <c r="D161" s="10">
        <f>IF($AB161="","",IF(INDEX(기본자료!$J$2:$J$1001,$AB161)="","",INDEX(기본자료!$J$2:$J$1001,$AB161)))</f>
        <v/>
      </c>
      <c r="E161" s="11">
        <f>IF($AB161="","",IF(INDEX(기본자료!$K$2:$K$1001,$AB161)="","",IF(NOT(ISNUMBER(INDEX(기본자료!$K$2:$K$1001,$AB161))),INDEX(기본자료!$K$2:$K$1001,$AB161),IF(INDEX(기본자료!$K$2:$K$1001,$AB161)&lt;1000000,INDEX(기본자료!$K$2:$K$1001,$AB161),IF(AND(INDEX(기본자료!$K$2:$K$1001,$AB161)&gt;=10000101,INT(MOD(INDEX(기본자료!$K$2:$K$1001,$AB161),10000)/100)&gt;=1,INT(MOD(INDEX(기본자료!$K$2:$K$1001,$AB161),10000)/100)&lt;=12,MOD(INDEX(기본자료!$K$2:$K$1001,$AB161),100)&gt;=1,MOD(INDEX(기본자료!$K$2:$K$1001,$AB161),100)&lt;=31),DATE(INT(INDEX(기본자료!$K$2:$K$1001,$AB161)/10000),INT(MOD(INDEX(기본자료!$K$2:$K$1001,$AB161),10000)/100),MOD(INDEX(기본자료!$K$2:$K$1001,$AB161),100)),INDEX(기본자료!$K$2:$K$1001,$AB161)&amp;"")))))</f>
        <v/>
      </c>
      <c r="F161" s="10">
        <f>IF($AB161="","",IF(INDEX(기본자료!$D$2:$D$1001,$AB161)="","",INDEX(기본자료!$D$2:$D$1001,$AB161)))</f>
        <v/>
      </c>
      <c r="G161" s="10">
        <f>IF($AB161="","",IF(INDEX(기본자료!$E$2:$E$1001,$AB161)="","",INDEX(기본자료!$E$2:$E$1001,$AB161)))</f>
        <v/>
      </c>
      <c r="H161" s="10">
        <f>IF($AB161="","",IF(INDEX(기본자료!$F$2:$F$1001,$AB161)="","",INDEX(기본자료!$F$2:$F$1001,$AB161)))</f>
        <v/>
      </c>
      <c r="I161" s="11">
        <f>IF($AB161="","",IF(INDEX(기본자료!$G$2:$G$1001,$AB161)="","",IF(NOT(ISNUMBER(INDEX(기본자료!$G$2:$G$1001,$AB161))),INDEX(기본자료!$G$2:$G$1001,$AB161),IF(INDEX(기본자료!$G$2:$G$1001,$AB161)&lt;1000000,INDEX(기본자료!$G$2:$G$1001,$AB161),IF(AND(INDEX(기본자료!$G$2:$G$1001,$AB161)&gt;=10000101,INT(MOD(INDEX(기본자료!$G$2:$G$1001,$AB161),10000)/100)&gt;=1,INT(MOD(INDEX(기본자료!$G$2:$G$1001,$AB161),10000)/100)&lt;=12,MOD(INDEX(기본자료!$G$2:$G$1001,$AB161),100)&gt;=1,MOD(INDEX(기본자료!$G$2:$G$1001,$AB161),100)&lt;=31),DATE(INT(INDEX(기본자료!$G$2:$G$1001,$AB161)/10000),INT(MOD(INDEX(기본자료!$G$2:$G$1001,$AB161),10000)/100),MOD(INDEX(기본자료!$G$2:$G$1001,$AB161),100)),INDEX(기본자료!$G$2:$G$1001,$AB161)&amp;"")))))</f>
        <v/>
      </c>
      <c r="J161" s="10">
        <f>IF($AB161="","",IF(INDEX(기본자료!$H$2:$H$1001,$AB161)="","",INDEX(기본자료!$H$2:$H$1001,$AB161)))</f>
        <v/>
      </c>
      <c r="K161" s="10">
        <f>IF($AB161="","",IF(INDEX(기본자료!$I$2:$I$1001,$AB161)="","",INDEX(기본자료!$I$2:$I$1001,$AB161)))</f>
        <v/>
      </c>
      <c r="L161" s="10">
        <f>IF($AB161="","",IF(INDEX(기본자료!$A$2:$A$1001,$AB161)="","",INDEX(기본자료!$A$2:$A$1001,$AB161)))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파견수련계획!$AB$4:$AB$803,$AK161),OR(NOT(ISNUMBER(INDEX(파견수련계획!$AC$4:$AC$803,$AK161))),TODAY()&lt;=INDEX(파견수련계획!$AC$4:$AC$803,$AK161))),"다기관",IF($AF161="","",INDEX(파견수련계획!$T$4:$T$803,$AF161))),IF($AF161="","",INDEX(파견수련계획!$T$4:$T$803,$AF161))))</f>
        <v/>
      </c>
      <c r="Q161" s="10">
        <f>IF($AF161="","",INDEX(파견수련계획!$S$4:$S$803,$AF161))</f>
        <v/>
      </c>
      <c r="R161" s="10">
        <f>IF($AF161="","",INDEX(파견수련계획!$U$4:$U$803,$AF161))</f>
        <v/>
      </c>
      <c r="S161" s="11">
        <f>IF($AF161="","",IF(INDEX(파견수련계획!$H$4:$H$803,$AF161)="","",INDEX(파견수련계획!$H$4:$H$803,$AF161)))</f>
        <v/>
      </c>
      <c r="T161" s="11">
        <f>IF($AF161="","",IF(INDEX(파견수련계획!$I$4:$I$803,$AF161)="","",INDEX(파견수련계획!$I$4:$I$803,$AF161)))</f>
        <v/>
      </c>
      <c r="U161" s="10">
        <f>IF($AF161="","",INDEX(파견수련계획!$X$4:$X$803,$AF161))</f>
        <v/>
      </c>
      <c r="V161" s="17">
        <f>IF($AF161="","",INDEX(파견수련계획!$V$4:$V$803,$AF161))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IF(OR($B161="",TRIM($J161&amp;"")=""),"",SUMPRODUCT((파견수련계획!$Q$4:$Q$803=TRIM($J161&amp;""))*파견수련계획!$W$4:$W$803))</f>
        <v/>
      </c>
      <c r="Y161" s="10">
        <f>IF($B161="","",IF($AG161="","",IF(IF(TRIM($J161&amp;"")="",0,SUMPRODUCT((파견수련계획!$Q$4:$Q$803=TRIM($J161&amp;""))*파견수련계획!$AD$4:$AD$803))&gt;0,$AE161,IF(N($X161)&lt;=0,$AG161,IF($AH161+$AI161=DAY(EOMONTH(요약!$B$3,0)),IF(AND($AH161&gt;=요약!$E$3,$AI161&lt;요약!$E$3),"서울병원",IF(AND($AI161&gt;=요약!$E$3,$AH161&lt;요약!$E$3),"구리병원","⚠15일 판정불가(서울 "&amp;$AH161&amp;"일/구리 "&amp;$AI161&amp;"일)")),IF($AJ161="",$AE161,IF(INDEX(파견수련계획!$T$4:$T$803,$AJ161)="통합수련",INDEX(파견수련계획!$S$4:$S$803,$AJ161),$AE161)))))))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입력",IF(IF(TRIM($J161&amp;"")="",0,SUMPRODUCT((파견수련계획!$Q$4:$Q$803=TRIM($J161&amp;""))*(파견수련계획!$AA$4:$AA$803&lt;&gt;"")))&gt;0,"파견수련계획 입력오류 확인",IF(LEFT($Y161,1)="⚠","서울·구리 15일 판정 불가(양쪽 모두 이상/미만)",IF(IF($AC161="",0,N(INDEX(인턴근무계획!$T$3:$T$402,$AC161)))&gt;0,"인턴계획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IF($B161="","",IFERROR(MATCH($B161,기본자료!$B$2:$B$1001,0),IFERROR(MATCH($B161&amp;"",기본자료!$B$2:$B$1001,0),IFERROR(MATCH(VALUE($B161),기본자료!$B$2:$B$1001,0),""))))</f>
        <v/>
      </c>
      <c r="AC161" s="10">
        <f>IF($B161="","",IFERROR(MATCH($B161,인턴근무계획!$D$3:$D$402,0),IFERROR(MATCH($B161&amp;"",인턴근무계획!$D$3:$D$402,0),IFERROR(MATCH(VALUE($B161),인턴근무계획!$D$3:$D$402,0),""))))</f>
        <v/>
      </c>
      <c r="AD161" s="10">
        <f>IF(OR($AC161="",인턴현황!$G$3=""),"",INDEX(인턴근무계획!$M$3:$R$402,$AC161,인턴현황!$G$3)&amp;"")</f>
        <v/>
      </c>
      <c r="AE161" s="10">
        <f>IF($B161="","",IF($M161&lt;&gt;"",$M161,IF($AF161&lt;&gt;"",IF(LEFT(INDEX(파견수련계획!$R$4:$R$803,$AF161),1)&lt;&gt;"⚠",INDEX(파견수련계획!$R$4:$R$803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$803,0),IFERROR(MATCH(TRIM($J161&amp;"")&amp;"|파견예정",파견수련계획!$Y$4:$Y$803,0),IFERROR(MATCH(TRIM($J161&amp;"")&amp;"|파견종료",파견수련계획!$Y$4:$Y$803,0),""))))</f>
        <v/>
      </c>
      <c r="AG161" s="10">
        <f>IF($B161="","",IF(AND(IF(OR($AC161="",인턴현황!$K$2=""),"",INDEX(인턴근무계획!$M$3:$R$402,$AC161,인턴현황!$K$2)&amp;"")&lt;&gt;"",LEFT(IF(OR($AC161="",인턴현황!$K$2=""),"",INDEX(인턴근무계획!$M$3:$R$402,$AC161,인턴현황!$K$2)&amp;""),1)&lt;&gt;"⚠"),LEFT(IF(OR($AC161="",인턴현황!$K$2=""),"",INDEX(인턴근무계획!$M$3:$R$402,$AC161,인턴현황!$K$2)&amp;""),FIND(" ",IF(OR($AC161="",인턴현황!$K$2=""),"",INDEX(인턴근무계획!$M$3:$R$402,$AC161,인턴현황!$K$2)&amp;""))-1),$AE161))</f>
        <v/>
      </c>
      <c r="AH161" s="17">
        <f>IF($B161="","",IF(TRIM($J161&amp;"")="",0,SUMPRODUCT((파견수련계획!$Q$4:$Q$803=TRIM($J161&amp;""))*(파견수련계획!$S$4:$S$803="서울병원")*파견수련계획!$W$4:$W$803))+IF($AG161="서울병원",MAX(0,DAY(EOMONTH(요약!$B$3,0))-N($X161)),0))</f>
        <v/>
      </c>
      <c r="AI161" s="17">
        <f>IF($B161="","",IF(TRIM($J161&amp;"")="",0,SUMPRODUCT((파견수련계획!$Q$4:$Q$803=TRIM($J161&amp;""))*(파견수련계획!$S$4:$S$803="구리병원")*파견수련계획!$W$4:$W$803))+IF($AG161="구리병원",MAX(0,DAY(EOMONTH(요약!$B$3,0))-N($X161)),0))</f>
        <v/>
      </c>
      <c r="AJ161" s="10">
        <f>IF(OR($B161="",TRIM($J161&amp;"")=""),"",IFERROR(MATCH(TRIM($J161&amp;"")&amp;"|월",파견수련계획!$Z$4:$Z$803,0),""))</f>
        <v/>
      </c>
      <c r="AK161" s="10">
        <f>IF(OR($B161="",TRIM($J161&amp;"")=""),"",IFERROR(MATCH(TRIM($J161&amp;"")&amp;"|다기관",파견수련계획!$AE$4:$AE$803,0),""))</f>
        <v/>
      </c>
      <c r="AL161" s="10">
        <f>IF($AK161="","","다기관 "&amp;TEXT(INDEX(파견수련계획!$AB$4:$AB$803,$AK161),"yyyy-mm-dd")&amp;"~"&amp;IF(ISNUMBER(INDEX(파견수련계획!$AC$4:$AC$803,$AK161)),TEXT(INDEX(파견수련계획!$AC$4:$AC$803,$AK161),"yyyy-mm-dd"),""))</f>
        <v/>
      </c>
    </row>
    <row r="162">
      <c r="A162" s="10">
        <f>IF(B162="","",ROW()-1)</f>
        <v/>
      </c>
      <c r="B162" s="18" t="n"/>
      <c r="C162" s="10">
        <f>IF($AB162="","",IF(INDEX(기본자료!$C$2:$C$1001,$AB162)="","",INDEX(기본자료!$C$2:$C$1001,$AB162)))</f>
        <v/>
      </c>
      <c r="D162" s="10">
        <f>IF($AB162="","",IF(INDEX(기본자료!$J$2:$J$1001,$AB162)="","",INDEX(기본자료!$J$2:$J$1001,$AB162)))</f>
        <v/>
      </c>
      <c r="E162" s="11">
        <f>IF($AB162="","",IF(INDEX(기본자료!$K$2:$K$1001,$AB162)="","",IF(NOT(ISNUMBER(INDEX(기본자료!$K$2:$K$1001,$AB162))),INDEX(기본자료!$K$2:$K$1001,$AB162),IF(INDEX(기본자료!$K$2:$K$1001,$AB162)&lt;1000000,INDEX(기본자료!$K$2:$K$1001,$AB162),IF(AND(INDEX(기본자료!$K$2:$K$1001,$AB162)&gt;=10000101,INT(MOD(INDEX(기본자료!$K$2:$K$1001,$AB162),10000)/100)&gt;=1,INT(MOD(INDEX(기본자료!$K$2:$K$1001,$AB162),10000)/100)&lt;=12,MOD(INDEX(기본자료!$K$2:$K$1001,$AB162),100)&gt;=1,MOD(INDEX(기본자료!$K$2:$K$1001,$AB162),100)&lt;=31),DATE(INT(INDEX(기본자료!$K$2:$K$1001,$AB162)/10000),INT(MOD(INDEX(기본자료!$K$2:$K$1001,$AB162),10000)/100),MOD(INDEX(기본자료!$K$2:$K$1001,$AB162),100)),INDEX(기본자료!$K$2:$K$1001,$AB162)&amp;"")))))</f>
        <v/>
      </c>
      <c r="F162" s="10">
        <f>IF($AB162="","",IF(INDEX(기본자료!$D$2:$D$1001,$AB162)="","",INDEX(기본자료!$D$2:$D$1001,$AB162)))</f>
        <v/>
      </c>
      <c r="G162" s="10">
        <f>IF($AB162="","",IF(INDEX(기본자료!$E$2:$E$1001,$AB162)="","",INDEX(기본자료!$E$2:$E$1001,$AB162)))</f>
        <v/>
      </c>
      <c r="H162" s="10">
        <f>IF($AB162="","",IF(INDEX(기본자료!$F$2:$F$1001,$AB162)="","",INDEX(기본자료!$F$2:$F$1001,$AB162)))</f>
        <v/>
      </c>
      <c r="I162" s="11">
        <f>IF($AB162="","",IF(INDEX(기본자료!$G$2:$G$1001,$AB162)="","",IF(NOT(ISNUMBER(INDEX(기본자료!$G$2:$G$1001,$AB162))),INDEX(기본자료!$G$2:$G$1001,$AB162),IF(INDEX(기본자료!$G$2:$G$1001,$AB162)&lt;1000000,INDEX(기본자료!$G$2:$G$1001,$AB162),IF(AND(INDEX(기본자료!$G$2:$G$1001,$AB162)&gt;=10000101,INT(MOD(INDEX(기본자료!$G$2:$G$1001,$AB162),10000)/100)&gt;=1,INT(MOD(INDEX(기본자료!$G$2:$G$1001,$AB162),10000)/100)&lt;=12,MOD(INDEX(기본자료!$G$2:$G$1001,$AB162),100)&gt;=1,MOD(INDEX(기본자료!$G$2:$G$1001,$AB162),100)&lt;=31),DATE(INT(INDEX(기본자료!$G$2:$G$1001,$AB162)/10000),INT(MOD(INDEX(기본자료!$G$2:$G$1001,$AB162),10000)/100),MOD(INDEX(기본자료!$G$2:$G$1001,$AB162),100)),INDEX(기본자료!$G$2:$G$1001,$AB162)&amp;"")))))</f>
        <v/>
      </c>
      <c r="J162" s="10">
        <f>IF($AB162="","",IF(INDEX(기본자료!$H$2:$H$1001,$AB162)="","",INDEX(기본자료!$H$2:$H$1001,$AB162)))</f>
        <v/>
      </c>
      <c r="K162" s="10">
        <f>IF($AB162="","",IF(INDEX(기본자료!$I$2:$I$1001,$AB162)="","",INDEX(기본자료!$I$2:$I$1001,$AB162)))</f>
        <v/>
      </c>
      <c r="L162" s="10">
        <f>IF($AB162="","",IF(INDEX(기본자료!$A$2:$A$1001,$AB162)="","",INDEX(기본자료!$A$2:$A$1001,$AB162)))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파견수련계획!$AB$4:$AB$803,$AK162),OR(NOT(ISNUMBER(INDEX(파견수련계획!$AC$4:$AC$803,$AK162))),TODAY()&lt;=INDEX(파견수련계획!$AC$4:$AC$803,$AK162))),"다기관",IF($AF162="","",INDEX(파견수련계획!$T$4:$T$803,$AF162))),IF($AF162="","",INDEX(파견수련계획!$T$4:$T$803,$AF162))))</f>
        <v/>
      </c>
      <c r="Q162" s="10">
        <f>IF($AF162="","",INDEX(파견수련계획!$S$4:$S$803,$AF162))</f>
        <v/>
      </c>
      <c r="R162" s="10">
        <f>IF($AF162="","",INDEX(파견수련계획!$U$4:$U$803,$AF162))</f>
        <v/>
      </c>
      <c r="S162" s="11">
        <f>IF($AF162="","",IF(INDEX(파견수련계획!$H$4:$H$803,$AF162)="","",INDEX(파견수련계획!$H$4:$H$803,$AF162)))</f>
        <v/>
      </c>
      <c r="T162" s="11">
        <f>IF($AF162="","",IF(INDEX(파견수련계획!$I$4:$I$803,$AF162)="","",INDEX(파견수련계획!$I$4:$I$803,$AF162)))</f>
        <v/>
      </c>
      <c r="U162" s="10">
        <f>IF($AF162="","",INDEX(파견수련계획!$X$4:$X$803,$AF162))</f>
        <v/>
      </c>
      <c r="V162" s="17">
        <f>IF($AF162="","",INDEX(파견수련계획!$V$4:$V$803,$AF162))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IF(OR($B162="",TRIM($J162&amp;"")=""),"",SUMPRODUCT((파견수련계획!$Q$4:$Q$803=TRIM($J162&amp;""))*파견수련계획!$W$4:$W$803))</f>
        <v/>
      </c>
      <c r="Y162" s="10">
        <f>IF($B162="","",IF($AG162="","",IF(IF(TRIM($J162&amp;"")="",0,SUMPRODUCT((파견수련계획!$Q$4:$Q$803=TRIM($J162&amp;""))*파견수련계획!$AD$4:$AD$803))&gt;0,$AE162,IF(N($X162)&lt;=0,$AG162,IF($AH162+$AI162=DAY(EOMONTH(요약!$B$3,0)),IF(AND($AH162&gt;=요약!$E$3,$AI162&lt;요약!$E$3),"서울병원",IF(AND($AI162&gt;=요약!$E$3,$AH162&lt;요약!$E$3),"구리병원","⚠15일 판정불가(서울 "&amp;$AH162&amp;"일/구리 "&amp;$AI162&amp;"일)")),IF($AJ162="",$AE162,IF(INDEX(파견수련계획!$T$4:$T$803,$AJ162)="통합수련",INDEX(파견수련계획!$S$4:$S$803,$AJ162),$AE162)))))))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입력",IF(IF(TRIM($J162&amp;"")="",0,SUMPRODUCT((파견수련계획!$Q$4:$Q$803=TRIM($J162&amp;""))*(파견수련계획!$AA$4:$AA$803&lt;&gt;"")))&gt;0,"파견수련계획 입력오류 확인",IF(LEFT($Y162,1)="⚠","서울·구리 15일 판정 불가(양쪽 모두 이상/미만)",IF(IF($AC162="",0,N(INDEX(인턴근무계획!$T$3:$T$402,$AC162)))&gt;0,"인턴계획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IF($B162="","",IFERROR(MATCH($B162,기본자료!$B$2:$B$1001,0),IFERROR(MATCH($B162&amp;"",기본자료!$B$2:$B$1001,0),IFERROR(MATCH(VALUE($B162),기본자료!$B$2:$B$1001,0),""))))</f>
        <v/>
      </c>
      <c r="AC162" s="10">
        <f>IF($B162="","",IFERROR(MATCH($B162,인턴근무계획!$D$3:$D$402,0),IFERROR(MATCH($B162&amp;"",인턴근무계획!$D$3:$D$402,0),IFERROR(MATCH(VALUE($B162),인턴근무계획!$D$3:$D$402,0),""))))</f>
        <v/>
      </c>
      <c r="AD162" s="10">
        <f>IF(OR($AC162="",인턴현황!$G$3=""),"",INDEX(인턴근무계획!$M$3:$R$402,$AC162,인턴현황!$G$3)&amp;"")</f>
        <v/>
      </c>
      <c r="AE162" s="10">
        <f>IF($B162="","",IF($M162&lt;&gt;"",$M162,IF($AF162&lt;&gt;"",IF(LEFT(INDEX(파견수련계획!$R$4:$R$803,$AF162),1)&lt;&gt;"⚠",INDEX(파견수련계획!$R$4:$R$803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$803,0),IFERROR(MATCH(TRIM($J162&amp;"")&amp;"|파견예정",파견수련계획!$Y$4:$Y$803,0),IFERROR(MATCH(TRIM($J162&amp;"")&amp;"|파견종료",파견수련계획!$Y$4:$Y$803,0),""))))</f>
        <v/>
      </c>
      <c r="AG162" s="10">
        <f>IF($B162="","",IF(AND(IF(OR($AC162="",인턴현황!$K$2=""),"",INDEX(인턴근무계획!$M$3:$R$402,$AC162,인턴현황!$K$2)&amp;"")&lt;&gt;"",LEFT(IF(OR($AC162="",인턴현황!$K$2=""),"",INDEX(인턴근무계획!$M$3:$R$402,$AC162,인턴현황!$K$2)&amp;""),1)&lt;&gt;"⚠"),LEFT(IF(OR($AC162="",인턴현황!$K$2=""),"",INDEX(인턴근무계획!$M$3:$R$402,$AC162,인턴현황!$K$2)&amp;""),FIND(" ",IF(OR($AC162="",인턴현황!$K$2=""),"",INDEX(인턴근무계획!$M$3:$R$402,$AC162,인턴현황!$K$2)&amp;""))-1),$AE162))</f>
        <v/>
      </c>
      <c r="AH162" s="17">
        <f>IF($B162="","",IF(TRIM($J162&amp;"")="",0,SUMPRODUCT((파견수련계획!$Q$4:$Q$803=TRIM($J162&amp;""))*(파견수련계획!$S$4:$S$803="서울병원")*파견수련계획!$W$4:$W$803))+IF($AG162="서울병원",MAX(0,DAY(EOMONTH(요약!$B$3,0))-N($X162)),0))</f>
        <v/>
      </c>
      <c r="AI162" s="17">
        <f>IF($B162="","",IF(TRIM($J162&amp;"")="",0,SUMPRODUCT((파견수련계획!$Q$4:$Q$803=TRIM($J162&amp;""))*(파견수련계획!$S$4:$S$803="구리병원")*파견수련계획!$W$4:$W$803))+IF($AG162="구리병원",MAX(0,DAY(EOMONTH(요약!$B$3,0))-N($X162)),0))</f>
        <v/>
      </c>
      <c r="AJ162" s="10">
        <f>IF(OR($B162="",TRIM($J162&amp;"")=""),"",IFERROR(MATCH(TRIM($J162&amp;"")&amp;"|월",파견수련계획!$Z$4:$Z$803,0),""))</f>
        <v/>
      </c>
      <c r="AK162" s="10">
        <f>IF(OR($B162="",TRIM($J162&amp;"")=""),"",IFERROR(MATCH(TRIM($J162&amp;"")&amp;"|다기관",파견수련계획!$AE$4:$AE$803,0),""))</f>
        <v/>
      </c>
      <c r="AL162" s="10">
        <f>IF($AK162="","","다기관 "&amp;TEXT(INDEX(파견수련계획!$AB$4:$AB$803,$AK162),"yyyy-mm-dd")&amp;"~"&amp;IF(ISNUMBER(INDEX(파견수련계획!$AC$4:$AC$803,$AK162)),TEXT(INDEX(파견수련계획!$AC$4:$AC$803,$AK162),"yyyy-mm-dd"),""))</f>
        <v/>
      </c>
    </row>
    <row r="163">
      <c r="A163" s="10">
        <f>IF(B163="","",ROW()-1)</f>
        <v/>
      </c>
      <c r="B163" s="18" t="n"/>
      <c r="C163" s="10">
        <f>IF($AB163="","",IF(INDEX(기본자료!$C$2:$C$1001,$AB163)="","",INDEX(기본자료!$C$2:$C$1001,$AB163)))</f>
        <v/>
      </c>
      <c r="D163" s="10">
        <f>IF($AB163="","",IF(INDEX(기본자료!$J$2:$J$1001,$AB163)="","",INDEX(기본자료!$J$2:$J$1001,$AB163)))</f>
        <v/>
      </c>
      <c r="E163" s="11">
        <f>IF($AB163="","",IF(INDEX(기본자료!$K$2:$K$1001,$AB163)="","",IF(NOT(ISNUMBER(INDEX(기본자료!$K$2:$K$1001,$AB163))),INDEX(기본자료!$K$2:$K$1001,$AB163),IF(INDEX(기본자료!$K$2:$K$1001,$AB163)&lt;1000000,INDEX(기본자료!$K$2:$K$1001,$AB163),IF(AND(INDEX(기본자료!$K$2:$K$1001,$AB163)&gt;=10000101,INT(MOD(INDEX(기본자료!$K$2:$K$1001,$AB163),10000)/100)&gt;=1,INT(MOD(INDEX(기본자료!$K$2:$K$1001,$AB163),10000)/100)&lt;=12,MOD(INDEX(기본자료!$K$2:$K$1001,$AB163),100)&gt;=1,MOD(INDEX(기본자료!$K$2:$K$1001,$AB163),100)&lt;=31),DATE(INT(INDEX(기본자료!$K$2:$K$1001,$AB163)/10000),INT(MOD(INDEX(기본자료!$K$2:$K$1001,$AB163),10000)/100),MOD(INDEX(기본자료!$K$2:$K$1001,$AB163),100)),INDEX(기본자료!$K$2:$K$1001,$AB163)&amp;"")))))</f>
        <v/>
      </c>
      <c r="F163" s="10">
        <f>IF($AB163="","",IF(INDEX(기본자료!$D$2:$D$1001,$AB163)="","",INDEX(기본자료!$D$2:$D$1001,$AB163)))</f>
        <v/>
      </c>
      <c r="G163" s="10">
        <f>IF($AB163="","",IF(INDEX(기본자료!$E$2:$E$1001,$AB163)="","",INDEX(기본자료!$E$2:$E$1001,$AB163)))</f>
        <v/>
      </c>
      <c r="H163" s="10">
        <f>IF($AB163="","",IF(INDEX(기본자료!$F$2:$F$1001,$AB163)="","",INDEX(기본자료!$F$2:$F$1001,$AB163)))</f>
        <v/>
      </c>
      <c r="I163" s="11">
        <f>IF($AB163="","",IF(INDEX(기본자료!$G$2:$G$1001,$AB163)="","",IF(NOT(ISNUMBER(INDEX(기본자료!$G$2:$G$1001,$AB163))),INDEX(기본자료!$G$2:$G$1001,$AB163),IF(INDEX(기본자료!$G$2:$G$1001,$AB163)&lt;1000000,INDEX(기본자료!$G$2:$G$1001,$AB163),IF(AND(INDEX(기본자료!$G$2:$G$1001,$AB163)&gt;=10000101,INT(MOD(INDEX(기본자료!$G$2:$G$1001,$AB163),10000)/100)&gt;=1,INT(MOD(INDEX(기본자료!$G$2:$G$1001,$AB163),10000)/100)&lt;=12,MOD(INDEX(기본자료!$G$2:$G$1001,$AB163),100)&gt;=1,MOD(INDEX(기본자료!$G$2:$G$1001,$AB163),100)&lt;=31),DATE(INT(INDEX(기본자료!$G$2:$G$1001,$AB163)/10000),INT(MOD(INDEX(기본자료!$G$2:$G$1001,$AB163),10000)/100),MOD(INDEX(기본자료!$G$2:$G$1001,$AB163),100)),INDEX(기본자료!$G$2:$G$1001,$AB163)&amp;"")))))</f>
        <v/>
      </c>
      <c r="J163" s="10">
        <f>IF($AB163="","",IF(INDEX(기본자료!$H$2:$H$1001,$AB163)="","",INDEX(기본자료!$H$2:$H$1001,$AB163)))</f>
        <v/>
      </c>
      <c r="K163" s="10">
        <f>IF($AB163="","",IF(INDEX(기본자료!$I$2:$I$1001,$AB163)="","",INDEX(기본자료!$I$2:$I$1001,$AB163)))</f>
        <v/>
      </c>
      <c r="L163" s="10">
        <f>IF($AB163="","",IF(INDEX(기본자료!$A$2:$A$1001,$AB163)="","",INDEX(기본자료!$A$2:$A$1001,$AB163)))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파견수련계획!$AB$4:$AB$803,$AK163),OR(NOT(ISNUMBER(INDEX(파견수련계획!$AC$4:$AC$803,$AK163))),TODAY()&lt;=INDEX(파견수련계획!$AC$4:$AC$803,$AK163))),"다기관",IF($AF163="","",INDEX(파견수련계획!$T$4:$T$803,$AF163))),IF($AF163="","",INDEX(파견수련계획!$T$4:$T$803,$AF163))))</f>
        <v/>
      </c>
      <c r="Q163" s="10">
        <f>IF($AF163="","",INDEX(파견수련계획!$S$4:$S$803,$AF163))</f>
        <v/>
      </c>
      <c r="R163" s="10">
        <f>IF($AF163="","",INDEX(파견수련계획!$U$4:$U$803,$AF163))</f>
        <v/>
      </c>
      <c r="S163" s="11">
        <f>IF($AF163="","",IF(INDEX(파견수련계획!$H$4:$H$803,$AF163)="","",INDEX(파견수련계획!$H$4:$H$803,$AF163)))</f>
        <v/>
      </c>
      <c r="T163" s="11">
        <f>IF($AF163="","",IF(INDEX(파견수련계획!$I$4:$I$803,$AF163)="","",INDEX(파견수련계획!$I$4:$I$803,$AF163)))</f>
        <v/>
      </c>
      <c r="U163" s="10">
        <f>IF($AF163="","",INDEX(파견수련계획!$X$4:$X$803,$AF163))</f>
        <v/>
      </c>
      <c r="V163" s="17">
        <f>IF($AF163="","",INDEX(파견수련계획!$V$4:$V$803,$AF163))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IF(OR($B163="",TRIM($J163&amp;"")=""),"",SUMPRODUCT((파견수련계획!$Q$4:$Q$803=TRIM($J163&amp;""))*파견수련계획!$W$4:$W$803))</f>
        <v/>
      </c>
      <c r="Y163" s="10">
        <f>IF($B163="","",IF($AG163="","",IF(IF(TRIM($J163&amp;"")="",0,SUMPRODUCT((파견수련계획!$Q$4:$Q$803=TRIM($J163&amp;""))*파견수련계획!$AD$4:$AD$803))&gt;0,$AE163,IF(N($X163)&lt;=0,$AG163,IF($AH163+$AI163=DAY(EOMONTH(요약!$B$3,0)),IF(AND($AH163&gt;=요약!$E$3,$AI163&lt;요약!$E$3),"서울병원",IF(AND($AI163&gt;=요약!$E$3,$AH163&lt;요약!$E$3),"구리병원","⚠15일 판정불가(서울 "&amp;$AH163&amp;"일/구리 "&amp;$AI163&amp;"일)")),IF($AJ163="",$AE163,IF(INDEX(파견수련계획!$T$4:$T$803,$AJ163)="통합수련",INDEX(파견수련계획!$S$4:$S$803,$AJ163),$AE163)))))))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입력",IF(IF(TRIM($J163&amp;"")="",0,SUMPRODUCT((파견수련계획!$Q$4:$Q$803=TRIM($J163&amp;""))*(파견수련계획!$AA$4:$AA$803&lt;&gt;"")))&gt;0,"파견수련계획 입력오류 확인",IF(LEFT($Y163,1)="⚠","서울·구리 15일 판정 불가(양쪽 모두 이상/미만)",IF(IF($AC163="",0,N(INDEX(인턴근무계획!$T$3:$T$402,$AC163)))&gt;0,"인턴계획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IF($B163="","",IFERROR(MATCH($B163,기본자료!$B$2:$B$1001,0),IFERROR(MATCH($B163&amp;"",기본자료!$B$2:$B$1001,0),IFERROR(MATCH(VALUE($B163),기본자료!$B$2:$B$1001,0),""))))</f>
        <v/>
      </c>
      <c r="AC163" s="10">
        <f>IF($B163="","",IFERROR(MATCH($B163,인턴근무계획!$D$3:$D$402,0),IFERROR(MATCH($B163&amp;"",인턴근무계획!$D$3:$D$402,0),IFERROR(MATCH(VALUE($B163),인턴근무계획!$D$3:$D$402,0),""))))</f>
        <v/>
      </c>
      <c r="AD163" s="10">
        <f>IF(OR($AC163="",인턴현황!$G$3=""),"",INDEX(인턴근무계획!$M$3:$R$402,$AC163,인턴현황!$G$3)&amp;"")</f>
        <v/>
      </c>
      <c r="AE163" s="10">
        <f>IF($B163="","",IF($M163&lt;&gt;"",$M163,IF($AF163&lt;&gt;"",IF(LEFT(INDEX(파견수련계획!$R$4:$R$803,$AF163),1)&lt;&gt;"⚠",INDEX(파견수련계획!$R$4:$R$803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$803,0),IFERROR(MATCH(TRIM($J163&amp;"")&amp;"|파견예정",파견수련계획!$Y$4:$Y$803,0),IFERROR(MATCH(TRIM($J163&amp;"")&amp;"|파견종료",파견수련계획!$Y$4:$Y$803,0),""))))</f>
        <v/>
      </c>
      <c r="AG163" s="10">
        <f>IF($B163="","",IF(AND(IF(OR($AC163="",인턴현황!$K$2=""),"",INDEX(인턴근무계획!$M$3:$R$402,$AC163,인턴현황!$K$2)&amp;"")&lt;&gt;"",LEFT(IF(OR($AC163="",인턴현황!$K$2=""),"",INDEX(인턴근무계획!$M$3:$R$402,$AC163,인턴현황!$K$2)&amp;""),1)&lt;&gt;"⚠"),LEFT(IF(OR($AC163="",인턴현황!$K$2=""),"",INDEX(인턴근무계획!$M$3:$R$402,$AC163,인턴현황!$K$2)&amp;""),FIND(" ",IF(OR($AC163="",인턴현황!$K$2=""),"",INDEX(인턴근무계획!$M$3:$R$402,$AC163,인턴현황!$K$2)&amp;""))-1),$AE163))</f>
        <v/>
      </c>
      <c r="AH163" s="17">
        <f>IF($B163="","",IF(TRIM($J163&amp;"")="",0,SUMPRODUCT((파견수련계획!$Q$4:$Q$803=TRIM($J163&amp;""))*(파견수련계획!$S$4:$S$803="서울병원")*파견수련계획!$W$4:$W$803))+IF($AG163="서울병원",MAX(0,DAY(EOMONTH(요약!$B$3,0))-N($X163)),0))</f>
        <v/>
      </c>
      <c r="AI163" s="17">
        <f>IF($B163="","",IF(TRIM($J163&amp;"")="",0,SUMPRODUCT((파견수련계획!$Q$4:$Q$803=TRIM($J163&amp;""))*(파견수련계획!$S$4:$S$803="구리병원")*파견수련계획!$W$4:$W$803))+IF($AG163="구리병원",MAX(0,DAY(EOMONTH(요약!$B$3,0))-N($X163)),0))</f>
        <v/>
      </c>
      <c r="AJ163" s="10">
        <f>IF(OR($B163="",TRIM($J163&amp;"")=""),"",IFERROR(MATCH(TRIM($J163&amp;"")&amp;"|월",파견수련계획!$Z$4:$Z$803,0),""))</f>
        <v/>
      </c>
      <c r="AK163" s="10">
        <f>IF(OR($B163="",TRIM($J163&amp;"")=""),"",IFERROR(MATCH(TRIM($J163&amp;"")&amp;"|다기관",파견수련계획!$AE$4:$AE$803,0),""))</f>
        <v/>
      </c>
      <c r="AL163" s="10">
        <f>IF($AK163="","","다기관 "&amp;TEXT(INDEX(파견수련계획!$AB$4:$AB$803,$AK163),"yyyy-mm-dd")&amp;"~"&amp;IF(ISNUMBER(INDEX(파견수련계획!$AC$4:$AC$803,$AK163)),TEXT(INDEX(파견수련계획!$AC$4:$AC$803,$AK163),"yyyy-mm-dd"),""))</f>
        <v/>
      </c>
    </row>
    <row r="164">
      <c r="A164" s="10">
        <f>IF(B164="","",ROW()-1)</f>
        <v/>
      </c>
      <c r="B164" s="18" t="n"/>
      <c r="C164" s="10">
        <f>IF($AB164="","",IF(INDEX(기본자료!$C$2:$C$1001,$AB164)="","",INDEX(기본자료!$C$2:$C$1001,$AB164)))</f>
        <v/>
      </c>
      <c r="D164" s="10">
        <f>IF($AB164="","",IF(INDEX(기본자료!$J$2:$J$1001,$AB164)="","",INDEX(기본자료!$J$2:$J$1001,$AB164)))</f>
        <v/>
      </c>
      <c r="E164" s="11">
        <f>IF($AB164="","",IF(INDEX(기본자료!$K$2:$K$1001,$AB164)="","",IF(NOT(ISNUMBER(INDEX(기본자료!$K$2:$K$1001,$AB164))),INDEX(기본자료!$K$2:$K$1001,$AB164),IF(INDEX(기본자료!$K$2:$K$1001,$AB164)&lt;1000000,INDEX(기본자료!$K$2:$K$1001,$AB164),IF(AND(INDEX(기본자료!$K$2:$K$1001,$AB164)&gt;=10000101,INT(MOD(INDEX(기본자료!$K$2:$K$1001,$AB164),10000)/100)&gt;=1,INT(MOD(INDEX(기본자료!$K$2:$K$1001,$AB164),10000)/100)&lt;=12,MOD(INDEX(기본자료!$K$2:$K$1001,$AB164),100)&gt;=1,MOD(INDEX(기본자료!$K$2:$K$1001,$AB164),100)&lt;=31),DATE(INT(INDEX(기본자료!$K$2:$K$1001,$AB164)/10000),INT(MOD(INDEX(기본자료!$K$2:$K$1001,$AB164),10000)/100),MOD(INDEX(기본자료!$K$2:$K$1001,$AB164),100)),INDEX(기본자료!$K$2:$K$1001,$AB164)&amp;"")))))</f>
        <v/>
      </c>
      <c r="F164" s="10">
        <f>IF($AB164="","",IF(INDEX(기본자료!$D$2:$D$1001,$AB164)="","",INDEX(기본자료!$D$2:$D$1001,$AB164)))</f>
        <v/>
      </c>
      <c r="G164" s="10">
        <f>IF($AB164="","",IF(INDEX(기본자료!$E$2:$E$1001,$AB164)="","",INDEX(기본자료!$E$2:$E$1001,$AB164)))</f>
        <v/>
      </c>
      <c r="H164" s="10">
        <f>IF($AB164="","",IF(INDEX(기본자료!$F$2:$F$1001,$AB164)="","",INDEX(기본자료!$F$2:$F$1001,$AB164)))</f>
        <v/>
      </c>
      <c r="I164" s="11">
        <f>IF($AB164="","",IF(INDEX(기본자료!$G$2:$G$1001,$AB164)="","",IF(NOT(ISNUMBER(INDEX(기본자료!$G$2:$G$1001,$AB164))),INDEX(기본자료!$G$2:$G$1001,$AB164),IF(INDEX(기본자료!$G$2:$G$1001,$AB164)&lt;1000000,INDEX(기본자료!$G$2:$G$1001,$AB164),IF(AND(INDEX(기본자료!$G$2:$G$1001,$AB164)&gt;=10000101,INT(MOD(INDEX(기본자료!$G$2:$G$1001,$AB164),10000)/100)&gt;=1,INT(MOD(INDEX(기본자료!$G$2:$G$1001,$AB164),10000)/100)&lt;=12,MOD(INDEX(기본자료!$G$2:$G$1001,$AB164),100)&gt;=1,MOD(INDEX(기본자료!$G$2:$G$1001,$AB164),100)&lt;=31),DATE(INT(INDEX(기본자료!$G$2:$G$1001,$AB164)/10000),INT(MOD(INDEX(기본자료!$G$2:$G$1001,$AB164),10000)/100),MOD(INDEX(기본자료!$G$2:$G$1001,$AB164),100)),INDEX(기본자료!$G$2:$G$1001,$AB164)&amp;"")))))</f>
        <v/>
      </c>
      <c r="J164" s="10">
        <f>IF($AB164="","",IF(INDEX(기본자료!$H$2:$H$1001,$AB164)="","",INDEX(기본자료!$H$2:$H$1001,$AB164)))</f>
        <v/>
      </c>
      <c r="K164" s="10">
        <f>IF($AB164="","",IF(INDEX(기본자료!$I$2:$I$1001,$AB164)="","",INDEX(기본자료!$I$2:$I$1001,$AB164)))</f>
        <v/>
      </c>
      <c r="L164" s="10">
        <f>IF($AB164="","",IF(INDEX(기본자료!$A$2:$A$1001,$AB164)="","",INDEX(기본자료!$A$2:$A$1001,$AB164)))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파견수련계획!$AB$4:$AB$803,$AK164),OR(NOT(ISNUMBER(INDEX(파견수련계획!$AC$4:$AC$803,$AK164))),TODAY()&lt;=INDEX(파견수련계획!$AC$4:$AC$803,$AK164))),"다기관",IF($AF164="","",INDEX(파견수련계획!$T$4:$T$803,$AF164))),IF($AF164="","",INDEX(파견수련계획!$T$4:$T$803,$AF164))))</f>
        <v/>
      </c>
      <c r="Q164" s="10">
        <f>IF($AF164="","",INDEX(파견수련계획!$S$4:$S$803,$AF164))</f>
        <v/>
      </c>
      <c r="R164" s="10">
        <f>IF($AF164="","",INDEX(파견수련계획!$U$4:$U$803,$AF164))</f>
        <v/>
      </c>
      <c r="S164" s="11">
        <f>IF($AF164="","",IF(INDEX(파견수련계획!$H$4:$H$803,$AF164)="","",INDEX(파견수련계획!$H$4:$H$803,$AF164)))</f>
        <v/>
      </c>
      <c r="T164" s="11">
        <f>IF($AF164="","",IF(INDEX(파견수련계획!$I$4:$I$803,$AF164)="","",INDEX(파견수련계획!$I$4:$I$803,$AF164)))</f>
        <v/>
      </c>
      <c r="U164" s="10">
        <f>IF($AF164="","",INDEX(파견수련계획!$X$4:$X$803,$AF164))</f>
        <v/>
      </c>
      <c r="V164" s="17">
        <f>IF($AF164="","",INDEX(파견수련계획!$V$4:$V$803,$AF164))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IF(OR($B164="",TRIM($J164&amp;"")=""),"",SUMPRODUCT((파견수련계획!$Q$4:$Q$803=TRIM($J164&amp;""))*파견수련계획!$W$4:$W$803))</f>
        <v/>
      </c>
      <c r="Y164" s="10">
        <f>IF($B164="","",IF($AG164="","",IF(IF(TRIM($J164&amp;"")="",0,SUMPRODUCT((파견수련계획!$Q$4:$Q$803=TRIM($J164&amp;""))*파견수련계획!$AD$4:$AD$803))&gt;0,$AE164,IF(N($X164)&lt;=0,$AG164,IF($AH164+$AI164=DAY(EOMONTH(요약!$B$3,0)),IF(AND($AH164&gt;=요약!$E$3,$AI164&lt;요약!$E$3),"서울병원",IF(AND($AI164&gt;=요약!$E$3,$AH164&lt;요약!$E$3),"구리병원","⚠15일 판정불가(서울 "&amp;$AH164&amp;"일/구리 "&amp;$AI164&amp;"일)")),IF($AJ164="",$AE164,IF(INDEX(파견수련계획!$T$4:$T$803,$AJ164)="통합수련",INDEX(파견수련계획!$S$4:$S$803,$AJ164),$AE164)))))))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입력",IF(IF(TRIM($J164&amp;"")="",0,SUMPRODUCT((파견수련계획!$Q$4:$Q$803=TRIM($J164&amp;""))*(파견수련계획!$AA$4:$AA$803&lt;&gt;"")))&gt;0,"파견수련계획 입력오류 확인",IF(LEFT($Y164,1)="⚠","서울·구리 15일 판정 불가(양쪽 모두 이상/미만)",IF(IF($AC164="",0,N(INDEX(인턴근무계획!$T$3:$T$402,$AC164)))&gt;0,"인턴계획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IF($B164="","",IFERROR(MATCH($B164,기본자료!$B$2:$B$1001,0),IFERROR(MATCH($B164&amp;"",기본자료!$B$2:$B$1001,0),IFERROR(MATCH(VALUE($B164),기본자료!$B$2:$B$1001,0),""))))</f>
        <v/>
      </c>
      <c r="AC164" s="10">
        <f>IF($B164="","",IFERROR(MATCH($B164,인턴근무계획!$D$3:$D$402,0),IFERROR(MATCH($B164&amp;"",인턴근무계획!$D$3:$D$402,0),IFERROR(MATCH(VALUE($B164),인턴근무계획!$D$3:$D$402,0),""))))</f>
        <v/>
      </c>
      <c r="AD164" s="10">
        <f>IF(OR($AC164="",인턴현황!$G$3=""),"",INDEX(인턴근무계획!$M$3:$R$402,$AC164,인턴현황!$G$3)&amp;"")</f>
        <v/>
      </c>
      <c r="AE164" s="10">
        <f>IF($B164="","",IF($M164&lt;&gt;"",$M164,IF($AF164&lt;&gt;"",IF(LEFT(INDEX(파견수련계획!$R$4:$R$803,$AF164),1)&lt;&gt;"⚠",INDEX(파견수련계획!$R$4:$R$803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$803,0),IFERROR(MATCH(TRIM($J164&amp;"")&amp;"|파견예정",파견수련계획!$Y$4:$Y$803,0),IFERROR(MATCH(TRIM($J164&amp;"")&amp;"|파견종료",파견수련계획!$Y$4:$Y$803,0),""))))</f>
        <v/>
      </c>
      <c r="AG164" s="10">
        <f>IF($B164="","",IF(AND(IF(OR($AC164="",인턴현황!$K$2=""),"",INDEX(인턴근무계획!$M$3:$R$402,$AC164,인턴현황!$K$2)&amp;"")&lt;&gt;"",LEFT(IF(OR($AC164="",인턴현황!$K$2=""),"",INDEX(인턴근무계획!$M$3:$R$402,$AC164,인턴현황!$K$2)&amp;""),1)&lt;&gt;"⚠"),LEFT(IF(OR($AC164="",인턴현황!$K$2=""),"",INDEX(인턴근무계획!$M$3:$R$402,$AC164,인턴현황!$K$2)&amp;""),FIND(" ",IF(OR($AC164="",인턴현황!$K$2=""),"",INDEX(인턴근무계획!$M$3:$R$402,$AC164,인턴현황!$K$2)&amp;""))-1),$AE164))</f>
        <v/>
      </c>
      <c r="AH164" s="17">
        <f>IF($B164="","",IF(TRIM($J164&amp;"")="",0,SUMPRODUCT((파견수련계획!$Q$4:$Q$803=TRIM($J164&amp;""))*(파견수련계획!$S$4:$S$803="서울병원")*파견수련계획!$W$4:$W$803))+IF($AG164="서울병원",MAX(0,DAY(EOMONTH(요약!$B$3,0))-N($X164)),0))</f>
        <v/>
      </c>
      <c r="AI164" s="17">
        <f>IF($B164="","",IF(TRIM($J164&amp;"")="",0,SUMPRODUCT((파견수련계획!$Q$4:$Q$803=TRIM($J164&amp;""))*(파견수련계획!$S$4:$S$803="구리병원")*파견수련계획!$W$4:$W$803))+IF($AG164="구리병원",MAX(0,DAY(EOMONTH(요약!$B$3,0))-N($X164)),0))</f>
        <v/>
      </c>
      <c r="AJ164" s="10">
        <f>IF(OR($B164="",TRIM($J164&amp;"")=""),"",IFERROR(MATCH(TRIM($J164&amp;"")&amp;"|월",파견수련계획!$Z$4:$Z$803,0),""))</f>
        <v/>
      </c>
      <c r="AK164" s="10">
        <f>IF(OR($B164="",TRIM($J164&amp;"")=""),"",IFERROR(MATCH(TRIM($J164&amp;"")&amp;"|다기관",파견수련계획!$AE$4:$AE$803,0),""))</f>
        <v/>
      </c>
      <c r="AL164" s="10">
        <f>IF($AK164="","","다기관 "&amp;TEXT(INDEX(파견수련계획!$AB$4:$AB$803,$AK164),"yyyy-mm-dd")&amp;"~"&amp;IF(ISNUMBER(INDEX(파견수련계획!$AC$4:$AC$803,$AK164)),TEXT(INDEX(파견수련계획!$AC$4:$AC$803,$AK164),"yyyy-mm-dd"),""))</f>
        <v/>
      </c>
    </row>
    <row r="165">
      <c r="A165" s="10">
        <f>IF(B165="","",ROW()-1)</f>
        <v/>
      </c>
      <c r="B165" s="18" t="n"/>
      <c r="C165" s="10">
        <f>IF($AB165="","",IF(INDEX(기본자료!$C$2:$C$1001,$AB165)="","",INDEX(기본자료!$C$2:$C$1001,$AB165)))</f>
        <v/>
      </c>
      <c r="D165" s="10">
        <f>IF($AB165="","",IF(INDEX(기본자료!$J$2:$J$1001,$AB165)="","",INDEX(기본자료!$J$2:$J$1001,$AB165)))</f>
        <v/>
      </c>
      <c r="E165" s="11">
        <f>IF($AB165="","",IF(INDEX(기본자료!$K$2:$K$1001,$AB165)="","",IF(NOT(ISNUMBER(INDEX(기본자료!$K$2:$K$1001,$AB165))),INDEX(기본자료!$K$2:$K$1001,$AB165),IF(INDEX(기본자료!$K$2:$K$1001,$AB165)&lt;1000000,INDEX(기본자료!$K$2:$K$1001,$AB165),IF(AND(INDEX(기본자료!$K$2:$K$1001,$AB165)&gt;=10000101,INT(MOD(INDEX(기본자료!$K$2:$K$1001,$AB165),10000)/100)&gt;=1,INT(MOD(INDEX(기본자료!$K$2:$K$1001,$AB165),10000)/100)&lt;=12,MOD(INDEX(기본자료!$K$2:$K$1001,$AB165),100)&gt;=1,MOD(INDEX(기본자료!$K$2:$K$1001,$AB165),100)&lt;=31),DATE(INT(INDEX(기본자료!$K$2:$K$1001,$AB165)/10000),INT(MOD(INDEX(기본자료!$K$2:$K$1001,$AB165),10000)/100),MOD(INDEX(기본자료!$K$2:$K$1001,$AB165),100)),INDEX(기본자료!$K$2:$K$1001,$AB165)&amp;"")))))</f>
        <v/>
      </c>
      <c r="F165" s="10">
        <f>IF($AB165="","",IF(INDEX(기본자료!$D$2:$D$1001,$AB165)="","",INDEX(기본자료!$D$2:$D$1001,$AB165)))</f>
        <v/>
      </c>
      <c r="G165" s="10">
        <f>IF($AB165="","",IF(INDEX(기본자료!$E$2:$E$1001,$AB165)="","",INDEX(기본자료!$E$2:$E$1001,$AB165)))</f>
        <v/>
      </c>
      <c r="H165" s="10">
        <f>IF($AB165="","",IF(INDEX(기본자료!$F$2:$F$1001,$AB165)="","",INDEX(기본자료!$F$2:$F$1001,$AB165)))</f>
        <v/>
      </c>
      <c r="I165" s="11">
        <f>IF($AB165="","",IF(INDEX(기본자료!$G$2:$G$1001,$AB165)="","",IF(NOT(ISNUMBER(INDEX(기본자료!$G$2:$G$1001,$AB165))),INDEX(기본자료!$G$2:$G$1001,$AB165),IF(INDEX(기본자료!$G$2:$G$1001,$AB165)&lt;1000000,INDEX(기본자료!$G$2:$G$1001,$AB165),IF(AND(INDEX(기본자료!$G$2:$G$1001,$AB165)&gt;=10000101,INT(MOD(INDEX(기본자료!$G$2:$G$1001,$AB165),10000)/100)&gt;=1,INT(MOD(INDEX(기본자료!$G$2:$G$1001,$AB165),10000)/100)&lt;=12,MOD(INDEX(기본자료!$G$2:$G$1001,$AB165),100)&gt;=1,MOD(INDEX(기본자료!$G$2:$G$1001,$AB165),100)&lt;=31),DATE(INT(INDEX(기본자료!$G$2:$G$1001,$AB165)/10000),INT(MOD(INDEX(기본자료!$G$2:$G$1001,$AB165),10000)/100),MOD(INDEX(기본자료!$G$2:$G$1001,$AB165),100)),INDEX(기본자료!$G$2:$G$1001,$AB165)&amp;"")))))</f>
        <v/>
      </c>
      <c r="J165" s="10">
        <f>IF($AB165="","",IF(INDEX(기본자료!$H$2:$H$1001,$AB165)="","",INDEX(기본자료!$H$2:$H$1001,$AB165)))</f>
        <v/>
      </c>
      <c r="K165" s="10">
        <f>IF($AB165="","",IF(INDEX(기본자료!$I$2:$I$1001,$AB165)="","",INDEX(기본자료!$I$2:$I$1001,$AB165)))</f>
        <v/>
      </c>
      <c r="L165" s="10">
        <f>IF($AB165="","",IF(INDEX(기본자료!$A$2:$A$1001,$AB165)="","",INDEX(기본자료!$A$2:$A$1001,$AB165)))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파견수련계획!$AB$4:$AB$803,$AK165),OR(NOT(ISNUMBER(INDEX(파견수련계획!$AC$4:$AC$803,$AK165))),TODAY()&lt;=INDEX(파견수련계획!$AC$4:$AC$803,$AK165))),"다기관",IF($AF165="","",INDEX(파견수련계획!$T$4:$T$803,$AF165))),IF($AF165="","",INDEX(파견수련계획!$T$4:$T$803,$AF165))))</f>
        <v/>
      </c>
      <c r="Q165" s="10">
        <f>IF($AF165="","",INDEX(파견수련계획!$S$4:$S$803,$AF165))</f>
        <v/>
      </c>
      <c r="R165" s="10">
        <f>IF($AF165="","",INDEX(파견수련계획!$U$4:$U$803,$AF165))</f>
        <v/>
      </c>
      <c r="S165" s="11">
        <f>IF($AF165="","",IF(INDEX(파견수련계획!$H$4:$H$803,$AF165)="","",INDEX(파견수련계획!$H$4:$H$803,$AF165)))</f>
        <v/>
      </c>
      <c r="T165" s="11">
        <f>IF($AF165="","",IF(INDEX(파견수련계획!$I$4:$I$803,$AF165)="","",INDEX(파견수련계획!$I$4:$I$803,$AF165)))</f>
        <v/>
      </c>
      <c r="U165" s="10">
        <f>IF($AF165="","",INDEX(파견수련계획!$X$4:$X$803,$AF165))</f>
        <v/>
      </c>
      <c r="V165" s="17">
        <f>IF($AF165="","",INDEX(파견수련계획!$V$4:$V$803,$AF165))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IF(OR($B165="",TRIM($J165&amp;"")=""),"",SUMPRODUCT((파견수련계획!$Q$4:$Q$803=TRIM($J165&amp;""))*파견수련계획!$W$4:$W$803))</f>
        <v/>
      </c>
      <c r="Y165" s="10">
        <f>IF($B165="","",IF($AG165="","",IF(IF(TRIM($J165&amp;"")="",0,SUMPRODUCT((파견수련계획!$Q$4:$Q$803=TRIM($J165&amp;""))*파견수련계획!$AD$4:$AD$803))&gt;0,$AE165,IF(N($X165)&lt;=0,$AG165,IF($AH165+$AI165=DAY(EOMONTH(요약!$B$3,0)),IF(AND($AH165&gt;=요약!$E$3,$AI165&lt;요약!$E$3),"서울병원",IF(AND($AI165&gt;=요약!$E$3,$AH165&lt;요약!$E$3),"구리병원","⚠15일 판정불가(서울 "&amp;$AH165&amp;"일/구리 "&amp;$AI165&amp;"일)")),IF($AJ165="",$AE165,IF(INDEX(파견수련계획!$T$4:$T$803,$AJ165)="통합수련",INDEX(파견수련계획!$S$4:$S$803,$AJ165),$AE165)))))))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입력",IF(IF(TRIM($J165&amp;"")="",0,SUMPRODUCT((파견수련계획!$Q$4:$Q$803=TRIM($J165&amp;""))*(파견수련계획!$AA$4:$AA$803&lt;&gt;"")))&gt;0,"파견수련계획 입력오류 확인",IF(LEFT($Y165,1)="⚠","서울·구리 15일 판정 불가(양쪽 모두 이상/미만)",IF(IF($AC165="",0,N(INDEX(인턴근무계획!$T$3:$T$402,$AC165)))&gt;0,"인턴계획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IF($B165="","",IFERROR(MATCH($B165,기본자료!$B$2:$B$1001,0),IFERROR(MATCH($B165&amp;"",기본자료!$B$2:$B$1001,0),IFERROR(MATCH(VALUE($B165),기본자료!$B$2:$B$1001,0),""))))</f>
        <v/>
      </c>
      <c r="AC165" s="10">
        <f>IF($B165="","",IFERROR(MATCH($B165,인턴근무계획!$D$3:$D$402,0),IFERROR(MATCH($B165&amp;"",인턴근무계획!$D$3:$D$402,0),IFERROR(MATCH(VALUE($B165),인턴근무계획!$D$3:$D$402,0),""))))</f>
        <v/>
      </c>
      <c r="AD165" s="10">
        <f>IF(OR($AC165="",인턴현황!$G$3=""),"",INDEX(인턴근무계획!$M$3:$R$402,$AC165,인턴현황!$G$3)&amp;"")</f>
        <v/>
      </c>
      <c r="AE165" s="10">
        <f>IF($B165="","",IF($M165&lt;&gt;"",$M165,IF($AF165&lt;&gt;"",IF(LEFT(INDEX(파견수련계획!$R$4:$R$803,$AF165),1)&lt;&gt;"⚠",INDEX(파견수련계획!$R$4:$R$803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$803,0),IFERROR(MATCH(TRIM($J165&amp;"")&amp;"|파견예정",파견수련계획!$Y$4:$Y$803,0),IFERROR(MATCH(TRIM($J165&amp;"")&amp;"|파견종료",파견수련계획!$Y$4:$Y$803,0),""))))</f>
        <v/>
      </c>
      <c r="AG165" s="10">
        <f>IF($B165="","",IF(AND(IF(OR($AC165="",인턴현황!$K$2=""),"",INDEX(인턴근무계획!$M$3:$R$402,$AC165,인턴현황!$K$2)&amp;"")&lt;&gt;"",LEFT(IF(OR($AC165="",인턴현황!$K$2=""),"",INDEX(인턴근무계획!$M$3:$R$402,$AC165,인턴현황!$K$2)&amp;""),1)&lt;&gt;"⚠"),LEFT(IF(OR($AC165="",인턴현황!$K$2=""),"",INDEX(인턴근무계획!$M$3:$R$402,$AC165,인턴현황!$K$2)&amp;""),FIND(" ",IF(OR($AC165="",인턴현황!$K$2=""),"",INDEX(인턴근무계획!$M$3:$R$402,$AC165,인턴현황!$K$2)&amp;""))-1),$AE165))</f>
        <v/>
      </c>
      <c r="AH165" s="17">
        <f>IF($B165="","",IF(TRIM($J165&amp;"")="",0,SUMPRODUCT((파견수련계획!$Q$4:$Q$803=TRIM($J165&amp;""))*(파견수련계획!$S$4:$S$803="서울병원")*파견수련계획!$W$4:$W$803))+IF($AG165="서울병원",MAX(0,DAY(EOMONTH(요약!$B$3,0))-N($X165)),0))</f>
        <v/>
      </c>
      <c r="AI165" s="17">
        <f>IF($B165="","",IF(TRIM($J165&amp;"")="",0,SUMPRODUCT((파견수련계획!$Q$4:$Q$803=TRIM($J165&amp;""))*(파견수련계획!$S$4:$S$803="구리병원")*파견수련계획!$W$4:$W$803))+IF($AG165="구리병원",MAX(0,DAY(EOMONTH(요약!$B$3,0))-N($X165)),0))</f>
        <v/>
      </c>
      <c r="AJ165" s="10">
        <f>IF(OR($B165="",TRIM($J165&amp;"")=""),"",IFERROR(MATCH(TRIM($J165&amp;"")&amp;"|월",파견수련계획!$Z$4:$Z$803,0),""))</f>
        <v/>
      </c>
      <c r="AK165" s="10">
        <f>IF(OR($B165="",TRIM($J165&amp;"")=""),"",IFERROR(MATCH(TRIM($J165&amp;"")&amp;"|다기관",파견수련계획!$AE$4:$AE$803,0),""))</f>
        <v/>
      </c>
      <c r="AL165" s="10">
        <f>IF($AK165="","","다기관 "&amp;TEXT(INDEX(파견수련계획!$AB$4:$AB$803,$AK165),"yyyy-mm-dd")&amp;"~"&amp;IF(ISNUMBER(INDEX(파견수련계획!$AC$4:$AC$803,$AK165)),TEXT(INDEX(파견수련계획!$AC$4:$AC$803,$AK165),"yyyy-mm-dd"),""))</f>
        <v/>
      </c>
    </row>
    <row r="166">
      <c r="A166" s="10">
        <f>IF(B166="","",ROW()-1)</f>
        <v/>
      </c>
      <c r="B166" s="18" t="n"/>
      <c r="C166" s="10">
        <f>IF($AB166="","",IF(INDEX(기본자료!$C$2:$C$1001,$AB166)="","",INDEX(기본자료!$C$2:$C$1001,$AB166)))</f>
        <v/>
      </c>
      <c r="D166" s="10">
        <f>IF($AB166="","",IF(INDEX(기본자료!$J$2:$J$1001,$AB166)="","",INDEX(기본자료!$J$2:$J$1001,$AB166)))</f>
        <v/>
      </c>
      <c r="E166" s="11">
        <f>IF($AB166="","",IF(INDEX(기본자료!$K$2:$K$1001,$AB166)="","",IF(NOT(ISNUMBER(INDEX(기본자료!$K$2:$K$1001,$AB166))),INDEX(기본자료!$K$2:$K$1001,$AB166),IF(INDEX(기본자료!$K$2:$K$1001,$AB166)&lt;1000000,INDEX(기본자료!$K$2:$K$1001,$AB166),IF(AND(INDEX(기본자료!$K$2:$K$1001,$AB166)&gt;=10000101,INT(MOD(INDEX(기본자료!$K$2:$K$1001,$AB166),10000)/100)&gt;=1,INT(MOD(INDEX(기본자료!$K$2:$K$1001,$AB166),10000)/100)&lt;=12,MOD(INDEX(기본자료!$K$2:$K$1001,$AB166),100)&gt;=1,MOD(INDEX(기본자료!$K$2:$K$1001,$AB166),100)&lt;=31),DATE(INT(INDEX(기본자료!$K$2:$K$1001,$AB166)/10000),INT(MOD(INDEX(기본자료!$K$2:$K$1001,$AB166),10000)/100),MOD(INDEX(기본자료!$K$2:$K$1001,$AB166),100)),INDEX(기본자료!$K$2:$K$1001,$AB166)&amp;"")))))</f>
        <v/>
      </c>
      <c r="F166" s="10">
        <f>IF($AB166="","",IF(INDEX(기본자료!$D$2:$D$1001,$AB166)="","",INDEX(기본자료!$D$2:$D$1001,$AB166)))</f>
        <v/>
      </c>
      <c r="G166" s="10">
        <f>IF($AB166="","",IF(INDEX(기본자료!$E$2:$E$1001,$AB166)="","",INDEX(기본자료!$E$2:$E$1001,$AB166)))</f>
        <v/>
      </c>
      <c r="H166" s="10">
        <f>IF($AB166="","",IF(INDEX(기본자료!$F$2:$F$1001,$AB166)="","",INDEX(기본자료!$F$2:$F$1001,$AB166)))</f>
        <v/>
      </c>
      <c r="I166" s="11">
        <f>IF($AB166="","",IF(INDEX(기본자료!$G$2:$G$1001,$AB166)="","",IF(NOT(ISNUMBER(INDEX(기본자료!$G$2:$G$1001,$AB166))),INDEX(기본자료!$G$2:$G$1001,$AB166),IF(INDEX(기본자료!$G$2:$G$1001,$AB166)&lt;1000000,INDEX(기본자료!$G$2:$G$1001,$AB166),IF(AND(INDEX(기본자료!$G$2:$G$1001,$AB166)&gt;=10000101,INT(MOD(INDEX(기본자료!$G$2:$G$1001,$AB166),10000)/100)&gt;=1,INT(MOD(INDEX(기본자료!$G$2:$G$1001,$AB166),10000)/100)&lt;=12,MOD(INDEX(기본자료!$G$2:$G$1001,$AB166),100)&gt;=1,MOD(INDEX(기본자료!$G$2:$G$1001,$AB166),100)&lt;=31),DATE(INT(INDEX(기본자료!$G$2:$G$1001,$AB166)/10000),INT(MOD(INDEX(기본자료!$G$2:$G$1001,$AB166),10000)/100),MOD(INDEX(기본자료!$G$2:$G$1001,$AB166),100)),INDEX(기본자료!$G$2:$G$1001,$AB166)&amp;"")))))</f>
        <v/>
      </c>
      <c r="J166" s="10">
        <f>IF($AB166="","",IF(INDEX(기본자료!$H$2:$H$1001,$AB166)="","",INDEX(기본자료!$H$2:$H$1001,$AB166)))</f>
        <v/>
      </c>
      <c r="K166" s="10">
        <f>IF($AB166="","",IF(INDEX(기본자료!$I$2:$I$1001,$AB166)="","",INDEX(기본자료!$I$2:$I$1001,$AB166)))</f>
        <v/>
      </c>
      <c r="L166" s="10">
        <f>IF($AB166="","",IF(INDEX(기본자료!$A$2:$A$1001,$AB166)="","",INDEX(기본자료!$A$2:$A$1001,$AB166)))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파견수련계획!$AB$4:$AB$803,$AK166),OR(NOT(ISNUMBER(INDEX(파견수련계획!$AC$4:$AC$803,$AK166))),TODAY()&lt;=INDEX(파견수련계획!$AC$4:$AC$803,$AK166))),"다기관",IF($AF166="","",INDEX(파견수련계획!$T$4:$T$803,$AF166))),IF($AF166="","",INDEX(파견수련계획!$T$4:$T$803,$AF166))))</f>
        <v/>
      </c>
      <c r="Q166" s="10">
        <f>IF($AF166="","",INDEX(파견수련계획!$S$4:$S$803,$AF166))</f>
        <v/>
      </c>
      <c r="R166" s="10">
        <f>IF($AF166="","",INDEX(파견수련계획!$U$4:$U$803,$AF166))</f>
        <v/>
      </c>
      <c r="S166" s="11">
        <f>IF($AF166="","",IF(INDEX(파견수련계획!$H$4:$H$803,$AF166)="","",INDEX(파견수련계획!$H$4:$H$803,$AF166)))</f>
        <v/>
      </c>
      <c r="T166" s="11">
        <f>IF($AF166="","",IF(INDEX(파견수련계획!$I$4:$I$803,$AF166)="","",INDEX(파견수련계획!$I$4:$I$803,$AF166)))</f>
        <v/>
      </c>
      <c r="U166" s="10">
        <f>IF($AF166="","",INDEX(파견수련계획!$X$4:$X$803,$AF166))</f>
        <v/>
      </c>
      <c r="V166" s="17">
        <f>IF($AF166="","",INDEX(파견수련계획!$V$4:$V$803,$AF166))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IF(OR($B166="",TRIM($J166&amp;"")=""),"",SUMPRODUCT((파견수련계획!$Q$4:$Q$803=TRIM($J166&amp;""))*파견수련계획!$W$4:$W$803))</f>
        <v/>
      </c>
      <c r="Y166" s="10">
        <f>IF($B166="","",IF($AG166="","",IF(IF(TRIM($J166&amp;"")="",0,SUMPRODUCT((파견수련계획!$Q$4:$Q$803=TRIM($J166&amp;""))*파견수련계획!$AD$4:$AD$803))&gt;0,$AE166,IF(N($X166)&lt;=0,$AG166,IF($AH166+$AI166=DAY(EOMONTH(요약!$B$3,0)),IF(AND($AH166&gt;=요약!$E$3,$AI166&lt;요약!$E$3),"서울병원",IF(AND($AI166&gt;=요약!$E$3,$AH166&lt;요약!$E$3),"구리병원","⚠15일 판정불가(서울 "&amp;$AH166&amp;"일/구리 "&amp;$AI166&amp;"일)")),IF($AJ166="",$AE166,IF(INDEX(파견수련계획!$T$4:$T$803,$AJ166)="통합수련",INDEX(파견수련계획!$S$4:$S$803,$AJ166),$AE166)))))))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입력",IF(IF(TRIM($J166&amp;"")="",0,SUMPRODUCT((파견수련계획!$Q$4:$Q$803=TRIM($J166&amp;""))*(파견수련계획!$AA$4:$AA$803&lt;&gt;"")))&gt;0,"파견수련계획 입력오류 확인",IF(LEFT($Y166,1)="⚠","서울·구리 15일 판정 불가(양쪽 모두 이상/미만)",IF(IF($AC166="",0,N(INDEX(인턴근무계획!$T$3:$T$402,$AC166)))&gt;0,"인턴계획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IF($B166="","",IFERROR(MATCH($B166,기본자료!$B$2:$B$1001,0),IFERROR(MATCH($B166&amp;"",기본자료!$B$2:$B$1001,0),IFERROR(MATCH(VALUE($B166),기본자료!$B$2:$B$1001,0),""))))</f>
        <v/>
      </c>
      <c r="AC166" s="10">
        <f>IF($B166="","",IFERROR(MATCH($B166,인턴근무계획!$D$3:$D$402,0),IFERROR(MATCH($B166&amp;"",인턴근무계획!$D$3:$D$402,0),IFERROR(MATCH(VALUE($B166),인턴근무계획!$D$3:$D$402,0),""))))</f>
        <v/>
      </c>
      <c r="AD166" s="10">
        <f>IF(OR($AC166="",인턴현황!$G$3=""),"",INDEX(인턴근무계획!$M$3:$R$402,$AC166,인턴현황!$G$3)&amp;"")</f>
        <v/>
      </c>
      <c r="AE166" s="10">
        <f>IF($B166="","",IF($M166&lt;&gt;"",$M166,IF($AF166&lt;&gt;"",IF(LEFT(INDEX(파견수련계획!$R$4:$R$803,$AF166),1)&lt;&gt;"⚠",INDEX(파견수련계획!$R$4:$R$803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$803,0),IFERROR(MATCH(TRIM($J166&amp;"")&amp;"|파견예정",파견수련계획!$Y$4:$Y$803,0),IFERROR(MATCH(TRIM($J166&amp;"")&amp;"|파견종료",파견수련계획!$Y$4:$Y$803,0),""))))</f>
        <v/>
      </c>
      <c r="AG166" s="10">
        <f>IF($B166="","",IF(AND(IF(OR($AC166="",인턴현황!$K$2=""),"",INDEX(인턴근무계획!$M$3:$R$402,$AC166,인턴현황!$K$2)&amp;"")&lt;&gt;"",LEFT(IF(OR($AC166="",인턴현황!$K$2=""),"",INDEX(인턴근무계획!$M$3:$R$402,$AC166,인턴현황!$K$2)&amp;""),1)&lt;&gt;"⚠"),LEFT(IF(OR($AC166="",인턴현황!$K$2=""),"",INDEX(인턴근무계획!$M$3:$R$402,$AC166,인턴현황!$K$2)&amp;""),FIND(" ",IF(OR($AC166="",인턴현황!$K$2=""),"",INDEX(인턴근무계획!$M$3:$R$402,$AC166,인턴현황!$K$2)&amp;""))-1),$AE166))</f>
        <v/>
      </c>
      <c r="AH166" s="17">
        <f>IF($B166="","",IF(TRIM($J166&amp;"")="",0,SUMPRODUCT((파견수련계획!$Q$4:$Q$803=TRIM($J166&amp;""))*(파견수련계획!$S$4:$S$803="서울병원")*파견수련계획!$W$4:$W$803))+IF($AG166="서울병원",MAX(0,DAY(EOMONTH(요약!$B$3,0))-N($X166)),0))</f>
        <v/>
      </c>
      <c r="AI166" s="17">
        <f>IF($B166="","",IF(TRIM($J166&amp;"")="",0,SUMPRODUCT((파견수련계획!$Q$4:$Q$803=TRIM($J166&amp;""))*(파견수련계획!$S$4:$S$803="구리병원")*파견수련계획!$W$4:$W$803))+IF($AG166="구리병원",MAX(0,DAY(EOMONTH(요약!$B$3,0))-N($X166)),0))</f>
        <v/>
      </c>
      <c r="AJ166" s="10">
        <f>IF(OR($B166="",TRIM($J166&amp;"")=""),"",IFERROR(MATCH(TRIM($J166&amp;"")&amp;"|월",파견수련계획!$Z$4:$Z$803,0),""))</f>
        <v/>
      </c>
      <c r="AK166" s="10">
        <f>IF(OR($B166="",TRIM($J166&amp;"")=""),"",IFERROR(MATCH(TRIM($J166&amp;"")&amp;"|다기관",파견수련계획!$AE$4:$AE$803,0),""))</f>
        <v/>
      </c>
      <c r="AL166" s="10">
        <f>IF($AK166="","","다기관 "&amp;TEXT(INDEX(파견수련계획!$AB$4:$AB$803,$AK166),"yyyy-mm-dd")&amp;"~"&amp;IF(ISNUMBER(INDEX(파견수련계획!$AC$4:$AC$803,$AK166)),TEXT(INDEX(파견수련계획!$AC$4:$AC$803,$AK166),"yyyy-mm-dd"),""))</f>
        <v/>
      </c>
    </row>
    <row r="167">
      <c r="A167" s="10">
        <f>IF(B167="","",ROW()-1)</f>
        <v/>
      </c>
      <c r="B167" s="18" t="n"/>
      <c r="C167" s="10">
        <f>IF($AB167="","",IF(INDEX(기본자료!$C$2:$C$1001,$AB167)="","",INDEX(기본자료!$C$2:$C$1001,$AB167)))</f>
        <v/>
      </c>
      <c r="D167" s="10">
        <f>IF($AB167="","",IF(INDEX(기본자료!$J$2:$J$1001,$AB167)="","",INDEX(기본자료!$J$2:$J$1001,$AB167)))</f>
        <v/>
      </c>
      <c r="E167" s="11">
        <f>IF($AB167="","",IF(INDEX(기본자료!$K$2:$K$1001,$AB167)="","",IF(NOT(ISNUMBER(INDEX(기본자료!$K$2:$K$1001,$AB167))),INDEX(기본자료!$K$2:$K$1001,$AB167),IF(INDEX(기본자료!$K$2:$K$1001,$AB167)&lt;1000000,INDEX(기본자료!$K$2:$K$1001,$AB167),IF(AND(INDEX(기본자료!$K$2:$K$1001,$AB167)&gt;=10000101,INT(MOD(INDEX(기본자료!$K$2:$K$1001,$AB167),10000)/100)&gt;=1,INT(MOD(INDEX(기본자료!$K$2:$K$1001,$AB167),10000)/100)&lt;=12,MOD(INDEX(기본자료!$K$2:$K$1001,$AB167),100)&gt;=1,MOD(INDEX(기본자료!$K$2:$K$1001,$AB167),100)&lt;=31),DATE(INT(INDEX(기본자료!$K$2:$K$1001,$AB167)/10000),INT(MOD(INDEX(기본자료!$K$2:$K$1001,$AB167),10000)/100),MOD(INDEX(기본자료!$K$2:$K$1001,$AB167),100)),INDEX(기본자료!$K$2:$K$1001,$AB167)&amp;"")))))</f>
        <v/>
      </c>
      <c r="F167" s="10">
        <f>IF($AB167="","",IF(INDEX(기본자료!$D$2:$D$1001,$AB167)="","",INDEX(기본자료!$D$2:$D$1001,$AB167)))</f>
        <v/>
      </c>
      <c r="G167" s="10">
        <f>IF($AB167="","",IF(INDEX(기본자료!$E$2:$E$1001,$AB167)="","",INDEX(기본자료!$E$2:$E$1001,$AB167)))</f>
        <v/>
      </c>
      <c r="H167" s="10">
        <f>IF($AB167="","",IF(INDEX(기본자료!$F$2:$F$1001,$AB167)="","",INDEX(기본자료!$F$2:$F$1001,$AB167)))</f>
        <v/>
      </c>
      <c r="I167" s="11">
        <f>IF($AB167="","",IF(INDEX(기본자료!$G$2:$G$1001,$AB167)="","",IF(NOT(ISNUMBER(INDEX(기본자료!$G$2:$G$1001,$AB167))),INDEX(기본자료!$G$2:$G$1001,$AB167),IF(INDEX(기본자료!$G$2:$G$1001,$AB167)&lt;1000000,INDEX(기본자료!$G$2:$G$1001,$AB167),IF(AND(INDEX(기본자료!$G$2:$G$1001,$AB167)&gt;=10000101,INT(MOD(INDEX(기본자료!$G$2:$G$1001,$AB167),10000)/100)&gt;=1,INT(MOD(INDEX(기본자료!$G$2:$G$1001,$AB167),10000)/100)&lt;=12,MOD(INDEX(기본자료!$G$2:$G$1001,$AB167),100)&gt;=1,MOD(INDEX(기본자료!$G$2:$G$1001,$AB167),100)&lt;=31),DATE(INT(INDEX(기본자료!$G$2:$G$1001,$AB167)/10000),INT(MOD(INDEX(기본자료!$G$2:$G$1001,$AB167),10000)/100),MOD(INDEX(기본자료!$G$2:$G$1001,$AB167),100)),INDEX(기본자료!$G$2:$G$1001,$AB167)&amp;"")))))</f>
        <v/>
      </c>
      <c r="J167" s="10">
        <f>IF($AB167="","",IF(INDEX(기본자료!$H$2:$H$1001,$AB167)="","",INDEX(기본자료!$H$2:$H$1001,$AB167)))</f>
        <v/>
      </c>
      <c r="K167" s="10">
        <f>IF($AB167="","",IF(INDEX(기본자료!$I$2:$I$1001,$AB167)="","",INDEX(기본자료!$I$2:$I$1001,$AB167)))</f>
        <v/>
      </c>
      <c r="L167" s="10">
        <f>IF($AB167="","",IF(INDEX(기본자료!$A$2:$A$1001,$AB167)="","",INDEX(기본자료!$A$2:$A$1001,$AB167)))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파견수련계획!$AB$4:$AB$803,$AK167),OR(NOT(ISNUMBER(INDEX(파견수련계획!$AC$4:$AC$803,$AK167))),TODAY()&lt;=INDEX(파견수련계획!$AC$4:$AC$803,$AK167))),"다기관",IF($AF167="","",INDEX(파견수련계획!$T$4:$T$803,$AF167))),IF($AF167="","",INDEX(파견수련계획!$T$4:$T$803,$AF167))))</f>
        <v/>
      </c>
      <c r="Q167" s="10">
        <f>IF($AF167="","",INDEX(파견수련계획!$S$4:$S$803,$AF167))</f>
        <v/>
      </c>
      <c r="R167" s="10">
        <f>IF($AF167="","",INDEX(파견수련계획!$U$4:$U$803,$AF167))</f>
        <v/>
      </c>
      <c r="S167" s="11">
        <f>IF($AF167="","",IF(INDEX(파견수련계획!$H$4:$H$803,$AF167)="","",INDEX(파견수련계획!$H$4:$H$803,$AF167)))</f>
        <v/>
      </c>
      <c r="T167" s="11">
        <f>IF($AF167="","",IF(INDEX(파견수련계획!$I$4:$I$803,$AF167)="","",INDEX(파견수련계획!$I$4:$I$803,$AF167)))</f>
        <v/>
      </c>
      <c r="U167" s="10">
        <f>IF($AF167="","",INDEX(파견수련계획!$X$4:$X$803,$AF167))</f>
        <v/>
      </c>
      <c r="V167" s="17">
        <f>IF($AF167="","",INDEX(파견수련계획!$V$4:$V$803,$AF167))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IF(OR($B167="",TRIM($J167&amp;"")=""),"",SUMPRODUCT((파견수련계획!$Q$4:$Q$803=TRIM($J167&amp;""))*파견수련계획!$W$4:$W$803))</f>
        <v/>
      </c>
      <c r="Y167" s="10">
        <f>IF($B167="","",IF($AG167="","",IF(IF(TRIM($J167&amp;"")="",0,SUMPRODUCT((파견수련계획!$Q$4:$Q$803=TRIM($J167&amp;""))*파견수련계획!$AD$4:$AD$803))&gt;0,$AE167,IF(N($X167)&lt;=0,$AG167,IF($AH167+$AI167=DAY(EOMONTH(요약!$B$3,0)),IF(AND($AH167&gt;=요약!$E$3,$AI167&lt;요약!$E$3),"서울병원",IF(AND($AI167&gt;=요약!$E$3,$AH167&lt;요약!$E$3),"구리병원","⚠15일 판정불가(서울 "&amp;$AH167&amp;"일/구리 "&amp;$AI167&amp;"일)")),IF($AJ167="",$AE167,IF(INDEX(파견수련계획!$T$4:$T$803,$AJ167)="통합수련",INDEX(파견수련계획!$S$4:$S$803,$AJ167),$AE167)))))))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입력",IF(IF(TRIM($J167&amp;"")="",0,SUMPRODUCT((파견수련계획!$Q$4:$Q$803=TRIM($J167&amp;""))*(파견수련계획!$AA$4:$AA$803&lt;&gt;"")))&gt;0,"파견수련계획 입력오류 확인",IF(LEFT($Y167,1)="⚠","서울·구리 15일 판정 불가(양쪽 모두 이상/미만)",IF(IF($AC167="",0,N(INDEX(인턴근무계획!$T$3:$T$402,$AC167)))&gt;0,"인턴계획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IF($B167="","",IFERROR(MATCH($B167,기본자료!$B$2:$B$1001,0),IFERROR(MATCH($B167&amp;"",기본자료!$B$2:$B$1001,0),IFERROR(MATCH(VALUE($B167),기본자료!$B$2:$B$1001,0),""))))</f>
        <v/>
      </c>
      <c r="AC167" s="10">
        <f>IF($B167="","",IFERROR(MATCH($B167,인턴근무계획!$D$3:$D$402,0),IFERROR(MATCH($B167&amp;"",인턴근무계획!$D$3:$D$402,0),IFERROR(MATCH(VALUE($B167),인턴근무계획!$D$3:$D$402,0),""))))</f>
        <v/>
      </c>
      <c r="AD167" s="10">
        <f>IF(OR($AC167="",인턴현황!$G$3=""),"",INDEX(인턴근무계획!$M$3:$R$402,$AC167,인턴현황!$G$3)&amp;"")</f>
        <v/>
      </c>
      <c r="AE167" s="10">
        <f>IF($B167="","",IF($M167&lt;&gt;"",$M167,IF($AF167&lt;&gt;"",IF(LEFT(INDEX(파견수련계획!$R$4:$R$803,$AF167),1)&lt;&gt;"⚠",INDEX(파견수련계획!$R$4:$R$803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$803,0),IFERROR(MATCH(TRIM($J167&amp;"")&amp;"|파견예정",파견수련계획!$Y$4:$Y$803,0),IFERROR(MATCH(TRIM($J167&amp;"")&amp;"|파견종료",파견수련계획!$Y$4:$Y$803,0),""))))</f>
        <v/>
      </c>
      <c r="AG167" s="10">
        <f>IF($B167="","",IF(AND(IF(OR($AC167="",인턴현황!$K$2=""),"",INDEX(인턴근무계획!$M$3:$R$402,$AC167,인턴현황!$K$2)&amp;"")&lt;&gt;"",LEFT(IF(OR($AC167="",인턴현황!$K$2=""),"",INDEX(인턴근무계획!$M$3:$R$402,$AC167,인턴현황!$K$2)&amp;""),1)&lt;&gt;"⚠"),LEFT(IF(OR($AC167="",인턴현황!$K$2=""),"",INDEX(인턴근무계획!$M$3:$R$402,$AC167,인턴현황!$K$2)&amp;""),FIND(" ",IF(OR($AC167="",인턴현황!$K$2=""),"",INDEX(인턴근무계획!$M$3:$R$402,$AC167,인턴현황!$K$2)&amp;""))-1),$AE167))</f>
        <v/>
      </c>
      <c r="AH167" s="17">
        <f>IF($B167="","",IF(TRIM($J167&amp;"")="",0,SUMPRODUCT((파견수련계획!$Q$4:$Q$803=TRIM($J167&amp;""))*(파견수련계획!$S$4:$S$803="서울병원")*파견수련계획!$W$4:$W$803))+IF($AG167="서울병원",MAX(0,DAY(EOMONTH(요약!$B$3,0))-N($X167)),0))</f>
        <v/>
      </c>
      <c r="AI167" s="17">
        <f>IF($B167="","",IF(TRIM($J167&amp;"")="",0,SUMPRODUCT((파견수련계획!$Q$4:$Q$803=TRIM($J167&amp;""))*(파견수련계획!$S$4:$S$803="구리병원")*파견수련계획!$W$4:$W$803))+IF($AG167="구리병원",MAX(0,DAY(EOMONTH(요약!$B$3,0))-N($X167)),0))</f>
        <v/>
      </c>
      <c r="AJ167" s="10">
        <f>IF(OR($B167="",TRIM($J167&amp;"")=""),"",IFERROR(MATCH(TRIM($J167&amp;"")&amp;"|월",파견수련계획!$Z$4:$Z$803,0),""))</f>
        <v/>
      </c>
      <c r="AK167" s="10">
        <f>IF(OR($B167="",TRIM($J167&amp;"")=""),"",IFERROR(MATCH(TRIM($J167&amp;"")&amp;"|다기관",파견수련계획!$AE$4:$AE$803,0),""))</f>
        <v/>
      </c>
      <c r="AL167" s="10">
        <f>IF($AK167="","","다기관 "&amp;TEXT(INDEX(파견수련계획!$AB$4:$AB$803,$AK167),"yyyy-mm-dd")&amp;"~"&amp;IF(ISNUMBER(INDEX(파견수련계획!$AC$4:$AC$803,$AK167)),TEXT(INDEX(파견수련계획!$AC$4:$AC$803,$AK167),"yyyy-mm-dd"),""))</f>
        <v/>
      </c>
    </row>
    <row r="168">
      <c r="A168" s="10">
        <f>IF(B168="","",ROW()-1)</f>
        <v/>
      </c>
      <c r="B168" s="18" t="n"/>
      <c r="C168" s="10">
        <f>IF($AB168="","",IF(INDEX(기본자료!$C$2:$C$1001,$AB168)="","",INDEX(기본자료!$C$2:$C$1001,$AB168)))</f>
        <v/>
      </c>
      <c r="D168" s="10">
        <f>IF($AB168="","",IF(INDEX(기본자료!$J$2:$J$1001,$AB168)="","",INDEX(기본자료!$J$2:$J$1001,$AB168)))</f>
        <v/>
      </c>
      <c r="E168" s="11">
        <f>IF($AB168="","",IF(INDEX(기본자료!$K$2:$K$1001,$AB168)="","",IF(NOT(ISNUMBER(INDEX(기본자료!$K$2:$K$1001,$AB168))),INDEX(기본자료!$K$2:$K$1001,$AB168),IF(INDEX(기본자료!$K$2:$K$1001,$AB168)&lt;1000000,INDEX(기본자료!$K$2:$K$1001,$AB168),IF(AND(INDEX(기본자료!$K$2:$K$1001,$AB168)&gt;=10000101,INT(MOD(INDEX(기본자료!$K$2:$K$1001,$AB168),10000)/100)&gt;=1,INT(MOD(INDEX(기본자료!$K$2:$K$1001,$AB168),10000)/100)&lt;=12,MOD(INDEX(기본자료!$K$2:$K$1001,$AB168),100)&gt;=1,MOD(INDEX(기본자료!$K$2:$K$1001,$AB168),100)&lt;=31),DATE(INT(INDEX(기본자료!$K$2:$K$1001,$AB168)/10000),INT(MOD(INDEX(기본자료!$K$2:$K$1001,$AB168),10000)/100),MOD(INDEX(기본자료!$K$2:$K$1001,$AB168),100)),INDEX(기본자료!$K$2:$K$1001,$AB168)&amp;"")))))</f>
        <v/>
      </c>
      <c r="F168" s="10">
        <f>IF($AB168="","",IF(INDEX(기본자료!$D$2:$D$1001,$AB168)="","",INDEX(기본자료!$D$2:$D$1001,$AB168)))</f>
        <v/>
      </c>
      <c r="G168" s="10">
        <f>IF($AB168="","",IF(INDEX(기본자료!$E$2:$E$1001,$AB168)="","",INDEX(기본자료!$E$2:$E$1001,$AB168)))</f>
        <v/>
      </c>
      <c r="H168" s="10">
        <f>IF($AB168="","",IF(INDEX(기본자료!$F$2:$F$1001,$AB168)="","",INDEX(기본자료!$F$2:$F$1001,$AB168)))</f>
        <v/>
      </c>
      <c r="I168" s="11">
        <f>IF($AB168="","",IF(INDEX(기본자료!$G$2:$G$1001,$AB168)="","",IF(NOT(ISNUMBER(INDEX(기본자료!$G$2:$G$1001,$AB168))),INDEX(기본자료!$G$2:$G$1001,$AB168),IF(INDEX(기본자료!$G$2:$G$1001,$AB168)&lt;1000000,INDEX(기본자료!$G$2:$G$1001,$AB168),IF(AND(INDEX(기본자료!$G$2:$G$1001,$AB168)&gt;=10000101,INT(MOD(INDEX(기본자료!$G$2:$G$1001,$AB168),10000)/100)&gt;=1,INT(MOD(INDEX(기본자료!$G$2:$G$1001,$AB168),10000)/100)&lt;=12,MOD(INDEX(기본자료!$G$2:$G$1001,$AB168),100)&gt;=1,MOD(INDEX(기본자료!$G$2:$G$1001,$AB168),100)&lt;=31),DATE(INT(INDEX(기본자료!$G$2:$G$1001,$AB168)/10000),INT(MOD(INDEX(기본자료!$G$2:$G$1001,$AB168),10000)/100),MOD(INDEX(기본자료!$G$2:$G$1001,$AB168),100)),INDEX(기본자료!$G$2:$G$1001,$AB168)&amp;"")))))</f>
        <v/>
      </c>
      <c r="J168" s="10">
        <f>IF($AB168="","",IF(INDEX(기본자료!$H$2:$H$1001,$AB168)="","",INDEX(기본자료!$H$2:$H$1001,$AB168)))</f>
        <v/>
      </c>
      <c r="K168" s="10">
        <f>IF($AB168="","",IF(INDEX(기본자료!$I$2:$I$1001,$AB168)="","",INDEX(기본자료!$I$2:$I$1001,$AB168)))</f>
        <v/>
      </c>
      <c r="L168" s="10">
        <f>IF($AB168="","",IF(INDEX(기본자료!$A$2:$A$1001,$AB168)="","",INDEX(기본자료!$A$2:$A$1001,$AB168)))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파견수련계획!$AB$4:$AB$803,$AK168),OR(NOT(ISNUMBER(INDEX(파견수련계획!$AC$4:$AC$803,$AK168))),TODAY()&lt;=INDEX(파견수련계획!$AC$4:$AC$803,$AK168))),"다기관",IF($AF168="","",INDEX(파견수련계획!$T$4:$T$803,$AF168))),IF($AF168="","",INDEX(파견수련계획!$T$4:$T$803,$AF168))))</f>
        <v/>
      </c>
      <c r="Q168" s="10">
        <f>IF($AF168="","",INDEX(파견수련계획!$S$4:$S$803,$AF168))</f>
        <v/>
      </c>
      <c r="R168" s="10">
        <f>IF($AF168="","",INDEX(파견수련계획!$U$4:$U$803,$AF168))</f>
        <v/>
      </c>
      <c r="S168" s="11">
        <f>IF($AF168="","",IF(INDEX(파견수련계획!$H$4:$H$803,$AF168)="","",INDEX(파견수련계획!$H$4:$H$803,$AF168)))</f>
        <v/>
      </c>
      <c r="T168" s="11">
        <f>IF($AF168="","",IF(INDEX(파견수련계획!$I$4:$I$803,$AF168)="","",INDEX(파견수련계획!$I$4:$I$803,$AF168)))</f>
        <v/>
      </c>
      <c r="U168" s="10">
        <f>IF($AF168="","",INDEX(파견수련계획!$X$4:$X$803,$AF168))</f>
        <v/>
      </c>
      <c r="V168" s="17">
        <f>IF($AF168="","",INDEX(파견수련계획!$V$4:$V$803,$AF168))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IF(OR($B168="",TRIM($J168&amp;"")=""),"",SUMPRODUCT((파견수련계획!$Q$4:$Q$803=TRIM($J168&amp;""))*파견수련계획!$W$4:$W$803))</f>
        <v/>
      </c>
      <c r="Y168" s="10">
        <f>IF($B168="","",IF($AG168="","",IF(IF(TRIM($J168&amp;"")="",0,SUMPRODUCT((파견수련계획!$Q$4:$Q$803=TRIM($J168&amp;""))*파견수련계획!$AD$4:$AD$803))&gt;0,$AE168,IF(N($X168)&lt;=0,$AG168,IF($AH168+$AI168=DAY(EOMONTH(요약!$B$3,0)),IF(AND($AH168&gt;=요약!$E$3,$AI168&lt;요약!$E$3),"서울병원",IF(AND($AI168&gt;=요약!$E$3,$AH168&lt;요약!$E$3),"구리병원","⚠15일 판정불가(서울 "&amp;$AH168&amp;"일/구리 "&amp;$AI168&amp;"일)")),IF($AJ168="",$AE168,IF(INDEX(파견수련계획!$T$4:$T$803,$AJ168)="통합수련",INDEX(파견수련계획!$S$4:$S$803,$AJ168),$AE168)))))))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입력",IF(IF(TRIM($J168&amp;"")="",0,SUMPRODUCT((파견수련계획!$Q$4:$Q$803=TRIM($J168&amp;""))*(파견수련계획!$AA$4:$AA$803&lt;&gt;"")))&gt;0,"파견수련계획 입력오류 확인",IF(LEFT($Y168,1)="⚠","서울·구리 15일 판정 불가(양쪽 모두 이상/미만)",IF(IF($AC168="",0,N(INDEX(인턴근무계획!$T$3:$T$402,$AC168)))&gt;0,"인턴계획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IF($B168="","",IFERROR(MATCH($B168,기본자료!$B$2:$B$1001,0),IFERROR(MATCH($B168&amp;"",기본자료!$B$2:$B$1001,0),IFERROR(MATCH(VALUE($B168),기본자료!$B$2:$B$1001,0),""))))</f>
        <v/>
      </c>
      <c r="AC168" s="10">
        <f>IF($B168="","",IFERROR(MATCH($B168,인턴근무계획!$D$3:$D$402,0),IFERROR(MATCH($B168&amp;"",인턴근무계획!$D$3:$D$402,0),IFERROR(MATCH(VALUE($B168),인턴근무계획!$D$3:$D$402,0),""))))</f>
        <v/>
      </c>
      <c r="AD168" s="10">
        <f>IF(OR($AC168="",인턴현황!$G$3=""),"",INDEX(인턴근무계획!$M$3:$R$402,$AC168,인턴현황!$G$3)&amp;"")</f>
        <v/>
      </c>
      <c r="AE168" s="10">
        <f>IF($B168="","",IF($M168&lt;&gt;"",$M168,IF($AF168&lt;&gt;"",IF(LEFT(INDEX(파견수련계획!$R$4:$R$803,$AF168),1)&lt;&gt;"⚠",INDEX(파견수련계획!$R$4:$R$803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$803,0),IFERROR(MATCH(TRIM($J168&amp;"")&amp;"|파견예정",파견수련계획!$Y$4:$Y$803,0),IFERROR(MATCH(TRIM($J168&amp;"")&amp;"|파견종료",파견수련계획!$Y$4:$Y$803,0),""))))</f>
        <v/>
      </c>
      <c r="AG168" s="10">
        <f>IF($B168="","",IF(AND(IF(OR($AC168="",인턴현황!$K$2=""),"",INDEX(인턴근무계획!$M$3:$R$402,$AC168,인턴현황!$K$2)&amp;"")&lt;&gt;"",LEFT(IF(OR($AC168="",인턴현황!$K$2=""),"",INDEX(인턴근무계획!$M$3:$R$402,$AC168,인턴현황!$K$2)&amp;""),1)&lt;&gt;"⚠"),LEFT(IF(OR($AC168="",인턴현황!$K$2=""),"",INDEX(인턴근무계획!$M$3:$R$402,$AC168,인턴현황!$K$2)&amp;""),FIND(" ",IF(OR($AC168="",인턴현황!$K$2=""),"",INDEX(인턴근무계획!$M$3:$R$402,$AC168,인턴현황!$K$2)&amp;""))-1),$AE168))</f>
        <v/>
      </c>
      <c r="AH168" s="17">
        <f>IF($B168="","",IF(TRIM($J168&amp;"")="",0,SUMPRODUCT((파견수련계획!$Q$4:$Q$803=TRIM($J168&amp;""))*(파견수련계획!$S$4:$S$803="서울병원")*파견수련계획!$W$4:$W$803))+IF($AG168="서울병원",MAX(0,DAY(EOMONTH(요약!$B$3,0))-N($X168)),0))</f>
        <v/>
      </c>
      <c r="AI168" s="17">
        <f>IF($B168="","",IF(TRIM($J168&amp;"")="",0,SUMPRODUCT((파견수련계획!$Q$4:$Q$803=TRIM($J168&amp;""))*(파견수련계획!$S$4:$S$803="구리병원")*파견수련계획!$W$4:$W$803))+IF($AG168="구리병원",MAX(0,DAY(EOMONTH(요약!$B$3,0))-N($X168)),0))</f>
        <v/>
      </c>
      <c r="AJ168" s="10">
        <f>IF(OR($B168="",TRIM($J168&amp;"")=""),"",IFERROR(MATCH(TRIM($J168&amp;"")&amp;"|월",파견수련계획!$Z$4:$Z$803,0),""))</f>
        <v/>
      </c>
      <c r="AK168" s="10">
        <f>IF(OR($B168="",TRIM($J168&amp;"")=""),"",IFERROR(MATCH(TRIM($J168&amp;"")&amp;"|다기관",파견수련계획!$AE$4:$AE$803,0),""))</f>
        <v/>
      </c>
      <c r="AL168" s="10">
        <f>IF($AK168="","","다기관 "&amp;TEXT(INDEX(파견수련계획!$AB$4:$AB$803,$AK168),"yyyy-mm-dd")&amp;"~"&amp;IF(ISNUMBER(INDEX(파견수련계획!$AC$4:$AC$803,$AK168)),TEXT(INDEX(파견수련계획!$AC$4:$AC$803,$AK168),"yyyy-mm-dd"),""))</f>
        <v/>
      </c>
    </row>
    <row r="169">
      <c r="A169" s="10">
        <f>IF(B169="","",ROW()-1)</f>
        <v/>
      </c>
      <c r="B169" s="18" t="n"/>
      <c r="C169" s="10">
        <f>IF($AB169="","",IF(INDEX(기본자료!$C$2:$C$1001,$AB169)="","",INDEX(기본자료!$C$2:$C$1001,$AB169)))</f>
        <v/>
      </c>
      <c r="D169" s="10">
        <f>IF($AB169="","",IF(INDEX(기본자료!$J$2:$J$1001,$AB169)="","",INDEX(기본자료!$J$2:$J$1001,$AB169)))</f>
        <v/>
      </c>
      <c r="E169" s="11">
        <f>IF($AB169="","",IF(INDEX(기본자료!$K$2:$K$1001,$AB169)="","",IF(NOT(ISNUMBER(INDEX(기본자료!$K$2:$K$1001,$AB169))),INDEX(기본자료!$K$2:$K$1001,$AB169),IF(INDEX(기본자료!$K$2:$K$1001,$AB169)&lt;1000000,INDEX(기본자료!$K$2:$K$1001,$AB169),IF(AND(INDEX(기본자료!$K$2:$K$1001,$AB169)&gt;=10000101,INT(MOD(INDEX(기본자료!$K$2:$K$1001,$AB169),10000)/100)&gt;=1,INT(MOD(INDEX(기본자료!$K$2:$K$1001,$AB169),10000)/100)&lt;=12,MOD(INDEX(기본자료!$K$2:$K$1001,$AB169),100)&gt;=1,MOD(INDEX(기본자료!$K$2:$K$1001,$AB169),100)&lt;=31),DATE(INT(INDEX(기본자료!$K$2:$K$1001,$AB169)/10000),INT(MOD(INDEX(기본자료!$K$2:$K$1001,$AB169),10000)/100),MOD(INDEX(기본자료!$K$2:$K$1001,$AB169),100)),INDEX(기본자료!$K$2:$K$1001,$AB169)&amp;"")))))</f>
        <v/>
      </c>
      <c r="F169" s="10">
        <f>IF($AB169="","",IF(INDEX(기본자료!$D$2:$D$1001,$AB169)="","",INDEX(기본자료!$D$2:$D$1001,$AB169)))</f>
        <v/>
      </c>
      <c r="G169" s="10">
        <f>IF($AB169="","",IF(INDEX(기본자료!$E$2:$E$1001,$AB169)="","",INDEX(기본자료!$E$2:$E$1001,$AB169)))</f>
        <v/>
      </c>
      <c r="H169" s="10">
        <f>IF($AB169="","",IF(INDEX(기본자료!$F$2:$F$1001,$AB169)="","",INDEX(기본자료!$F$2:$F$1001,$AB169)))</f>
        <v/>
      </c>
      <c r="I169" s="11">
        <f>IF($AB169="","",IF(INDEX(기본자료!$G$2:$G$1001,$AB169)="","",IF(NOT(ISNUMBER(INDEX(기본자료!$G$2:$G$1001,$AB169))),INDEX(기본자료!$G$2:$G$1001,$AB169),IF(INDEX(기본자료!$G$2:$G$1001,$AB169)&lt;1000000,INDEX(기본자료!$G$2:$G$1001,$AB169),IF(AND(INDEX(기본자료!$G$2:$G$1001,$AB169)&gt;=10000101,INT(MOD(INDEX(기본자료!$G$2:$G$1001,$AB169),10000)/100)&gt;=1,INT(MOD(INDEX(기본자료!$G$2:$G$1001,$AB169),10000)/100)&lt;=12,MOD(INDEX(기본자료!$G$2:$G$1001,$AB169),100)&gt;=1,MOD(INDEX(기본자료!$G$2:$G$1001,$AB169),100)&lt;=31),DATE(INT(INDEX(기본자료!$G$2:$G$1001,$AB169)/10000),INT(MOD(INDEX(기본자료!$G$2:$G$1001,$AB169),10000)/100),MOD(INDEX(기본자료!$G$2:$G$1001,$AB169),100)),INDEX(기본자료!$G$2:$G$1001,$AB169)&amp;"")))))</f>
        <v/>
      </c>
      <c r="J169" s="10">
        <f>IF($AB169="","",IF(INDEX(기본자료!$H$2:$H$1001,$AB169)="","",INDEX(기본자료!$H$2:$H$1001,$AB169)))</f>
        <v/>
      </c>
      <c r="K169" s="10">
        <f>IF($AB169="","",IF(INDEX(기본자료!$I$2:$I$1001,$AB169)="","",INDEX(기본자료!$I$2:$I$1001,$AB169)))</f>
        <v/>
      </c>
      <c r="L169" s="10">
        <f>IF($AB169="","",IF(INDEX(기본자료!$A$2:$A$1001,$AB169)="","",INDEX(기본자료!$A$2:$A$1001,$AB169)))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파견수련계획!$AB$4:$AB$803,$AK169),OR(NOT(ISNUMBER(INDEX(파견수련계획!$AC$4:$AC$803,$AK169))),TODAY()&lt;=INDEX(파견수련계획!$AC$4:$AC$803,$AK169))),"다기관",IF($AF169="","",INDEX(파견수련계획!$T$4:$T$803,$AF169))),IF($AF169="","",INDEX(파견수련계획!$T$4:$T$803,$AF169))))</f>
        <v/>
      </c>
      <c r="Q169" s="10">
        <f>IF($AF169="","",INDEX(파견수련계획!$S$4:$S$803,$AF169))</f>
        <v/>
      </c>
      <c r="R169" s="10">
        <f>IF($AF169="","",INDEX(파견수련계획!$U$4:$U$803,$AF169))</f>
        <v/>
      </c>
      <c r="S169" s="11">
        <f>IF($AF169="","",IF(INDEX(파견수련계획!$H$4:$H$803,$AF169)="","",INDEX(파견수련계획!$H$4:$H$803,$AF169)))</f>
        <v/>
      </c>
      <c r="T169" s="11">
        <f>IF($AF169="","",IF(INDEX(파견수련계획!$I$4:$I$803,$AF169)="","",INDEX(파견수련계획!$I$4:$I$803,$AF169)))</f>
        <v/>
      </c>
      <c r="U169" s="10">
        <f>IF($AF169="","",INDEX(파견수련계획!$X$4:$X$803,$AF169))</f>
        <v/>
      </c>
      <c r="V169" s="17">
        <f>IF($AF169="","",INDEX(파견수련계획!$V$4:$V$803,$AF169))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IF(OR($B169="",TRIM($J169&amp;"")=""),"",SUMPRODUCT((파견수련계획!$Q$4:$Q$803=TRIM($J169&amp;""))*파견수련계획!$W$4:$W$803))</f>
        <v/>
      </c>
      <c r="Y169" s="10">
        <f>IF($B169="","",IF($AG169="","",IF(IF(TRIM($J169&amp;"")="",0,SUMPRODUCT((파견수련계획!$Q$4:$Q$803=TRIM($J169&amp;""))*파견수련계획!$AD$4:$AD$803))&gt;0,$AE169,IF(N($X169)&lt;=0,$AG169,IF($AH169+$AI169=DAY(EOMONTH(요약!$B$3,0)),IF(AND($AH169&gt;=요약!$E$3,$AI169&lt;요약!$E$3),"서울병원",IF(AND($AI169&gt;=요약!$E$3,$AH169&lt;요약!$E$3),"구리병원","⚠15일 판정불가(서울 "&amp;$AH169&amp;"일/구리 "&amp;$AI169&amp;"일)")),IF($AJ169="",$AE169,IF(INDEX(파견수련계획!$T$4:$T$803,$AJ169)="통합수련",INDEX(파견수련계획!$S$4:$S$803,$AJ169),$AE169)))))))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입력",IF(IF(TRIM($J169&amp;"")="",0,SUMPRODUCT((파견수련계획!$Q$4:$Q$803=TRIM($J169&amp;""))*(파견수련계획!$AA$4:$AA$803&lt;&gt;"")))&gt;0,"파견수련계획 입력오류 확인",IF(LEFT($Y169,1)="⚠","서울·구리 15일 판정 불가(양쪽 모두 이상/미만)",IF(IF($AC169="",0,N(INDEX(인턴근무계획!$T$3:$T$402,$AC169)))&gt;0,"인턴계획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IF($B169="","",IFERROR(MATCH($B169,기본자료!$B$2:$B$1001,0),IFERROR(MATCH($B169&amp;"",기본자료!$B$2:$B$1001,0),IFERROR(MATCH(VALUE($B169),기본자료!$B$2:$B$1001,0),""))))</f>
        <v/>
      </c>
      <c r="AC169" s="10">
        <f>IF($B169="","",IFERROR(MATCH($B169,인턴근무계획!$D$3:$D$402,0),IFERROR(MATCH($B169&amp;"",인턴근무계획!$D$3:$D$402,0),IFERROR(MATCH(VALUE($B169),인턴근무계획!$D$3:$D$402,0),""))))</f>
        <v/>
      </c>
      <c r="AD169" s="10">
        <f>IF(OR($AC169="",인턴현황!$G$3=""),"",INDEX(인턴근무계획!$M$3:$R$402,$AC169,인턴현황!$G$3)&amp;"")</f>
        <v/>
      </c>
      <c r="AE169" s="10">
        <f>IF($B169="","",IF($M169&lt;&gt;"",$M169,IF($AF169&lt;&gt;"",IF(LEFT(INDEX(파견수련계획!$R$4:$R$803,$AF169),1)&lt;&gt;"⚠",INDEX(파견수련계획!$R$4:$R$803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$803,0),IFERROR(MATCH(TRIM($J169&amp;"")&amp;"|파견예정",파견수련계획!$Y$4:$Y$803,0),IFERROR(MATCH(TRIM($J169&amp;"")&amp;"|파견종료",파견수련계획!$Y$4:$Y$803,0),""))))</f>
        <v/>
      </c>
      <c r="AG169" s="10">
        <f>IF($B169="","",IF(AND(IF(OR($AC169="",인턴현황!$K$2=""),"",INDEX(인턴근무계획!$M$3:$R$402,$AC169,인턴현황!$K$2)&amp;"")&lt;&gt;"",LEFT(IF(OR($AC169="",인턴현황!$K$2=""),"",INDEX(인턴근무계획!$M$3:$R$402,$AC169,인턴현황!$K$2)&amp;""),1)&lt;&gt;"⚠"),LEFT(IF(OR($AC169="",인턴현황!$K$2=""),"",INDEX(인턴근무계획!$M$3:$R$402,$AC169,인턴현황!$K$2)&amp;""),FIND(" ",IF(OR($AC169="",인턴현황!$K$2=""),"",INDEX(인턴근무계획!$M$3:$R$402,$AC169,인턴현황!$K$2)&amp;""))-1),$AE169))</f>
        <v/>
      </c>
      <c r="AH169" s="17">
        <f>IF($B169="","",IF(TRIM($J169&amp;"")="",0,SUMPRODUCT((파견수련계획!$Q$4:$Q$803=TRIM($J169&amp;""))*(파견수련계획!$S$4:$S$803="서울병원")*파견수련계획!$W$4:$W$803))+IF($AG169="서울병원",MAX(0,DAY(EOMONTH(요약!$B$3,0))-N($X169)),0))</f>
        <v/>
      </c>
      <c r="AI169" s="17">
        <f>IF($B169="","",IF(TRIM($J169&amp;"")="",0,SUMPRODUCT((파견수련계획!$Q$4:$Q$803=TRIM($J169&amp;""))*(파견수련계획!$S$4:$S$803="구리병원")*파견수련계획!$W$4:$W$803))+IF($AG169="구리병원",MAX(0,DAY(EOMONTH(요약!$B$3,0))-N($X169)),0))</f>
        <v/>
      </c>
      <c r="AJ169" s="10">
        <f>IF(OR($B169="",TRIM($J169&amp;"")=""),"",IFERROR(MATCH(TRIM($J169&amp;"")&amp;"|월",파견수련계획!$Z$4:$Z$803,0),""))</f>
        <v/>
      </c>
      <c r="AK169" s="10">
        <f>IF(OR($B169="",TRIM($J169&amp;"")=""),"",IFERROR(MATCH(TRIM($J169&amp;"")&amp;"|다기관",파견수련계획!$AE$4:$AE$803,0),""))</f>
        <v/>
      </c>
      <c r="AL169" s="10">
        <f>IF($AK169="","","다기관 "&amp;TEXT(INDEX(파견수련계획!$AB$4:$AB$803,$AK169),"yyyy-mm-dd")&amp;"~"&amp;IF(ISNUMBER(INDEX(파견수련계획!$AC$4:$AC$803,$AK169)),TEXT(INDEX(파견수련계획!$AC$4:$AC$803,$AK169),"yyyy-mm-dd"),""))</f>
        <v/>
      </c>
    </row>
    <row r="170">
      <c r="A170" s="10">
        <f>IF(B170="","",ROW()-1)</f>
        <v/>
      </c>
      <c r="B170" s="18" t="n"/>
      <c r="C170" s="10">
        <f>IF($AB170="","",IF(INDEX(기본자료!$C$2:$C$1001,$AB170)="","",INDEX(기본자료!$C$2:$C$1001,$AB170)))</f>
        <v/>
      </c>
      <c r="D170" s="10">
        <f>IF($AB170="","",IF(INDEX(기본자료!$J$2:$J$1001,$AB170)="","",INDEX(기본자료!$J$2:$J$1001,$AB170)))</f>
        <v/>
      </c>
      <c r="E170" s="11">
        <f>IF($AB170="","",IF(INDEX(기본자료!$K$2:$K$1001,$AB170)="","",IF(NOT(ISNUMBER(INDEX(기본자료!$K$2:$K$1001,$AB170))),INDEX(기본자료!$K$2:$K$1001,$AB170),IF(INDEX(기본자료!$K$2:$K$1001,$AB170)&lt;1000000,INDEX(기본자료!$K$2:$K$1001,$AB170),IF(AND(INDEX(기본자료!$K$2:$K$1001,$AB170)&gt;=10000101,INT(MOD(INDEX(기본자료!$K$2:$K$1001,$AB170),10000)/100)&gt;=1,INT(MOD(INDEX(기본자료!$K$2:$K$1001,$AB170),10000)/100)&lt;=12,MOD(INDEX(기본자료!$K$2:$K$1001,$AB170),100)&gt;=1,MOD(INDEX(기본자료!$K$2:$K$1001,$AB170),100)&lt;=31),DATE(INT(INDEX(기본자료!$K$2:$K$1001,$AB170)/10000),INT(MOD(INDEX(기본자료!$K$2:$K$1001,$AB170),10000)/100),MOD(INDEX(기본자료!$K$2:$K$1001,$AB170),100)),INDEX(기본자료!$K$2:$K$1001,$AB170)&amp;"")))))</f>
        <v/>
      </c>
      <c r="F170" s="10">
        <f>IF($AB170="","",IF(INDEX(기본자료!$D$2:$D$1001,$AB170)="","",INDEX(기본자료!$D$2:$D$1001,$AB170)))</f>
        <v/>
      </c>
      <c r="G170" s="10">
        <f>IF($AB170="","",IF(INDEX(기본자료!$E$2:$E$1001,$AB170)="","",INDEX(기본자료!$E$2:$E$1001,$AB170)))</f>
        <v/>
      </c>
      <c r="H170" s="10">
        <f>IF($AB170="","",IF(INDEX(기본자료!$F$2:$F$1001,$AB170)="","",INDEX(기본자료!$F$2:$F$1001,$AB170)))</f>
        <v/>
      </c>
      <c r="I170" s="11">
        <f>IF($AB170="","",IF(INDEX(기본자료!$G$2:$G$1001,$AB170)="","",IF(NOT(ISNUMBER(INDEX(기본자료!$G$2:$G$1001,$AB170))),INDEX(기본자료!$G$2:$G$1001,$AB170),IF(INDEX(기본자료!$G$2:$G$1001,$AB170)&lt;1000000,INDEX(기본자료!$G$2:$G$1001,$AB170),IF(AND(INDEX(기본자료!$G$2:$G$1001,$AB170)&gt;=10000101,INT(MOD(INDEX(기본자료!$G$2:$G$1001,$AB170),10000)/100)&gt;=1,INT(MOD(INDEX(기본자료!$G$2:$G$1001,$AB170),10000)/100)&lt;=12,MOD(INDEX(기본자료!$G$2:$G$1001,$AB170),100)&gt;=1,MOD(INDEX(기본자료!$G$2:$G$1001,$AB170),100)&lt;=31),DATE(INT(INDEX(기본자료!$G$2:$G$1001,$AB170)/10000),INT(MOD(INDEX(기본자료!$G$2:$G$1001,$AB170),10000)/100),MOD(INDEX(기본자료!$G$2:$G$1001,$AB170),100)),INDEX(기본자료!$G$2:$G$1001,$AB170)&amp;"")))))</f>
        <v/>
      </c>
      <c r="J170" s="10">
        <f>IF($AB170="","",IF(INDEX(기본자료!$H$2:$H$1001,$AB170)="","",INDEX(기본자료!$H$2:$H$1001,$AB170)))</f>
        <v/>
      </c>
      <c r="K170" s="10">
        <f>IF($AB170="","",IF(INDEX(기본자료!$I$2:$I$1001,$AB170)="","",INDEX(기본자료!$I$2:$I$1001,$AB170)))</f>
        <v/>
      </c>
      <c r="L170" s="10">
        <f>IF($AB170="","",IF(INDEX(기본자료!$A$2:$A$1001,$AB170)="","",INDEX(기본자료!$A$2:$A$1001,$AB170)))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파견수련계획!$AB$4:$AB$803,$AK170),OR(NOT(ISNUMBER(INDEX(파견수련계획!$AC$4:$AC$803,$AK170))),TODAY()&lt;=INDEX(파견수련계획!$AC$4:$AC$803,$AK170))),"다기관",IF($AF170="","",INDEX(파견수련계획!$T$4:$T$803,$AF170))),IF($AF170="","",INDEX(파견수련계획!$T$4:$T$803,$AF170))))</f>
        <v/>
      </c>
      <c r="Q170" s="10">
        <f>IF($AF170="","",INDEX(파견수련계획!$S$4:$S$803,$AF170))</f>
        <v/>
      </c>
      <c r="R170" s="10">
        <f>IF($AF170="","",INDEX(파견수련계획!$U$4:$U$803,$AF170))</f>
        <v/>
      </c>
      <c r="S170" s="11">
        <f>IF($AF170="","",IF(INDEX(파견수련계획!$H$4:$H$803,$AF170)="","",INDEX(파견수련계획!$H$4:$H$803,$AF170)))</f>
        <v/>
      </c>
      <c r="T170" s="11">
        <f>IF($AF170="","",IF(INDEX(파견수련계획!$I$4:$I$803,$AF170)="","",INDEX(파견수련계획!$I$4:$I$803,$AF170)))</f>
        <v/>
      </c>
      <c r="U170" s="10">
        <f>IF($AF170="","",INDEX(파견수련계획!$X$4:$X$803,$AF170))</f>
        <v/>
      </c>
      <c r="V170" s="17">
        <f>IF($AF170="","",INDEX(파견수련계획!$V$4:$V$803,$AF170))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IF(OR($B170="",TRIM($J170&amp;"")=""),"",SUMPRODUCT((파견수련계획!$Q$4:$Q$803=TRIM($J170&amp;""))*파견수련계획!$W$4:$W$803))</f>
        <v/>
      </c>
      <c r="Y170" s="10">
        <f>IF($B170="","",IF($AG170="","",IF(IF(TRIM($J170&amp;"")="",0,SUMPRODUCT((파견수련계획!$Q$4:$Q$803=TRIM($J170&amp;""))*파견수련계획!$AD$4:$AD$803))&gt;0,$AE170,IF(N($X170)&lt;=0,$AG170,IF($AH170+$AI170=DAY(EOMONTH(요약!$B$3,0)),IF(AND($AH170&gt;=요약!$E$3,$AI170&lt;요약!$E$3),"서울병원",IF(AND($AI170&gt;=요약!$E$3,$AH170&lt;요약!$E$3),"구리병원","⚠15일 판정불가(서울 "&amp;$AH170&amp;"일/구리 "&amp;$AI170&amp;"일)")),IF($AJ170="",$AE170,IF(INDEX(파견수련계획!$T$4:$T$803,$AJ170)="통합수련",INDEX(파견수련계획!$S$4:$S$803,$AJ170),$AE170)))))))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입력",IF(IF(TRIM($J170&amp;"")="",0,SUMPRODUCT((파견수련계획!$Q$4:$Q$803=TRIM($J170&amp;""))*(파견수련계획!$AA$4:$AA$803&lt;&gt;"")))&gt;0,"파견수련계획 입력오류 확인",IF(LEFT($Y170,1)="⚠","서울·구리 15일 판정 불가(양쪽 모두 이상/미만)",IF(IF($AC170="",0,N(INDEX(인턴근무계획!$T$3:$T$402,$AC170)))&gt;0,"인턴계획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IF($B170="","",IFERROR(MATCH($B170,기본자료!$B$2:$B$1001,0),IFERROR(MATCH($B170&amp;"",기본자료!$B$2:$B$1001,0),IFERROR(MATCH(VALUE($B170),기본자료!$B$2:$B$1001,0),""))))</f>
        <v/>
      </c>
      <c r="AC170" s="10">
        <f>IF($B170="","",IFERROR(MATCH($B170,인턴근무계획!$D$3:$D$402,0),IFERROR(MATCH($B170&amp;"",인턴근무계획!$D$3:$D$402,0),IFERROR(MATCH(VALUE($B170),인턴근무계획!$D$3:$D$402,0),""))))</f>
        <v/>
      </c>
      <c r="AD170" s="10">
        <f>IF(OR($AC170="",인턴현황!$G$3=""),"",INDEX(인턴근무계획!$M$3:$R$402,$AC170,인턴현황!$G$3)&amp;"")</f>
        <v/>
      </c>
      <c r="AE170" s="10">
        <f>IF($B170="","",IF($M170&lt;&gt;"",$M170,IF($AF170&lt;&gt;"",IF(LEFT(INDEX(파견수련계획!$R$4:$R$803,$AF170),1)&lt;&gt;"⚠",INDEX(파견수련계획!$R$4:$R$803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$803,0),IFERROR(MATCH(TRIM($J170&amp;"")&amp;"|파견예정",파견수련계획!$Y$4:$Y$803,0),IFERROR(MATCH(TRIM($J170&amp;"")&amp;"|파견종료",파견수련계획!$Y$4:$Y$803,0),""))))</f>
        <v/>
      </c>
      <c r="AG170" s="10">
        <f>IF($B170="","",IF(AND(IF(OR($AC170="",인턴현황!$K$2=""),"",INDEX(인턴근무계획!$M$3:$R$402,$AC170,인턴현황!$K$2)&amp;"")&lt;&gt;"",LEFT(IF(OR($AC170="",인턴현황!$K$2=""),"",INDEX(인턴근무계획!$M$3:$R$402,$AC170,인턴현황!$K$2)&amp;""),1)&lt;&gt;"⚠"),LEFT(IF(OR($AC170="",인턴현황!$K$2=""),"",INDEX(인턴근무계획!$M$3:$R$402,$AC170,인턴현황!$K$2)&amp;""),FIND(" ",IF(OR($AC170="",인턴현황!$K$2=""),"",INDEX(인턴근무계획!$M$3:$R$402,$AC170,인턴현황!$K$2)&amp;""))-1),$AE170))</f>
        <v/>
      </c>
      <c r="AH170" s="17">
        <f>IF($B170="","",IF(TRIM($J170&amp;"")="",0,SUMPRODUCT((파견수련계획!$Q$4:$Q$803=TRIM($J170&amp;""))*(파견수련계획!$S$4:$S$803="서울병원")*파견수련계획!$W$4:$W$803))+IF($AG170="서울병원",MAX(0,DAY(EOMONTH(요약!$B$3,0))-N($X170)),0))</f>
        <v/>
      </c>
      <c r="AI170" s="17">
        <f>IF($B170="","",IF(TRIM($J170&amp;"")="",0,SUMPRODUCT((파견수련계획!$Q$4:$Q$803=TRIM($J170&amp;""))*(파견수련계획!$S$4:$S$803="구리병원")*파견수련계획!$W$4:$W$803))+IF($AG170="구리병원",MAX(0,DAY(EOMONTH(요약!$B$3,0))-N($X170)),0))</f>
        <v/>
      </c>
      <c r="AJ170" s="10">
        <f>IF(OR($B170="",TRIM($J170&amp;"")=""),"",IFERROR(MATCH(TRIM($J170&amp;"")&amp;"|월",파견수련계획!$Z$4:$Z$803,0),""))</f>
        <v/>
      </c>
      <c r="AK170" s="10">
        <f>IF(OR($B170="",TRIM($J170&amp;"")=""),"",IFERROR(MATCH(TRIM($J170&amp;"")&amp;"|다기관",파견수련계획!$AE$4:$AE$803,0),""))</f>
        <v/>
      </c>
      <c r="AL170" s="10">
        <f>IF($AK170="","","다기관 "&amp;TEXT(INDEX(파견수련계획!$AB$4:$AB$803,$AK170),"yyyy-mm-dd")&amp;"~"&amp;IF(ISNUMBER(INDEX(파견수련계획!$AC$4:$AC$803,$AK170)),TEXT(INDEX(파견수련계획!$AC$4:$AC$803,$AK170),"yyyy-mm-dd"),""))</f>
        <v/>
      </c>
    </row>
    <row r="171">
      <c r="A171" s="10">
        <f>IF(B171="","",ROW()-1)</f>
        <v/>
      </c>
      <c r="B171" s="18" t="n"/>
      <c r="C171" s="10">
        <f>IF($AB171="","",IF(INDEX(기본자료!$C$2:$C$1001,$AB171)="","",INDEX(기본자료!$C$2:$C$1001,$AB171)))</f>
        <v/>
      </c>
      <c r="D171" s="10">
        <f>IF($AB171="","",IF(INDEX(기본자료!$J$2:$J$1001,$AB171)="","",INDEX(기본자료!$J$2:$J$1001,$AB171)))</f>
        <v/>
      </c>
      <c r="E171" s="11">
        <f>IF($AB171="","",IF(INDEX(기본자료!$K$2:$K$1001,$AB171)="","",IF(NOT(ISNUMBER(INDEX(기본자료!$K$2:$K$1001,$AB171))),INDEX(기본자료!$K$2:$K$1001,$AB171),IF(INDEX(기본자료!$K$2:$K$1001,$AB171)&lt;1000000,INDEX(기본자료!$K$2:$K$1001,$AB171),IF(AND(INDEX(기본자료!$K$2:$K$1001,$AB171)&gt;=10000101,INT(MOD(INDEX(기본자료!$K$2:$K$1001,$AB171),10000)/100)&gt;=1,INT(MOD(INDEX(기본자료!$K$2:$K$1001,$AB171),10000)/100)&lt;=12,MOD(INDEX(기본자료!$K$2:$K$1001,$AB171),100)&gt;=1,MOD(INDEX(기본자료!$K$2:$K$1001,$AB171),100)&lt;=31),DATE(INT(INDEX(기본자료!$K$2:$K$1001,$AB171)/10000),INT(MOD(INDEX(기본자료!$K$2:$K$1001,$AB171),10000)/100),MOD(INDEX(기본자료!$K$2:$K$1001,$AB171),100)),INDEX(기본자료!$K$2:$K$1001,$AB171)&amp;"")))))</f>
        <v/>
      </c>
      <c r="F171" s="10">
        <f>IF($AB171="","",IF(INDEX(기본자료!$D$2:$D$1001,$AB171)="","",INDEX(기본자료!$D$2:$D$1001,$AB171)))</f>
        <v/>
      </c>
      <c r="G171" s="10">
        <f>IF($AB171="","",IF(INDEX(기본자료!$E$2:$E$1001,$AB171)="","",INDEX(기본자료!$E$2:$E$1001,$AB171)))</f>
        <v/>
      </c>
      <c r="H171" s="10">
        <f>IF($AB171="","",IF(INDEX(기본자료!$F$2:$F$1001,$AB171)="","",INDEX(기본자료!$F$2:$F$1001,$AB171)))</f>
        <v/>
      </c>
      <c r="I171" s="11">
        <f>IF($AB171="","",IF(INDEX(기본자료!$G$2:$G$1001,$AB171)="","",IF(NOT(ISNUMBER(INDEX(기본자료!$G$2:$G$1001,$AB171))),INDEX(기본자료!$G$2:$G$1001,$AB171),IF(INDEX(기본자료!$G$2:$G$1001,$AB171)&lt;1000000,INDEX(기본자료!$G$2:$G$1001,$AB171),IF(AND(INDEX(기본자료!$G$2:$G$1001,$AB171)&gt;=10000101,INT(MOD(INDEX(기본자료!$G$2:$G$1001,$AB171),10000)/100)&gt;=1,INT(MOD(INDEX(기본자료!$G$2:$G$1001,$AB171),10000)/100)&lt;=12,MOD(INDEX(기본자료!$G$2:$G$1001,$AB171),100)&gt;=1,MOD(INDEX(기본자료!$G$2:$G$1001,$AB171),100)&lt;=31),DATE(INT(INDEX(기본자료!$G$2:$G$1001,$AB171)/10000),INT(MOD(INDEX(기본자료!$G$2:$G$1001,$AB171),10000)/100),MOD(INDEX(기본자료!$G$2:$G$1001,$AB171),100)),INDEX(기본자료!$G$2:$G$1001,$AB171)&amp;"")))))</f>
        <v/>
      </c>
      <c r="J171" s="10">
        <f>IF($AB171="","",IF(INDEX(기본자료!$H$2:$H$1001,$AB171)="","",INDEX(기본자료!$H$2:$H$1001,$AB171)))</f>
        <v/>
      </c>
      <c r="K171" s="10">
        <f>IF($AB171="","",IF(INDEX(기본자료!$I$2:$I$1001,$AB171)="","",INDEX(기본자료!$I$2:$I$1001,$AB171)))</f>
        <v/>
      </c>
      <c r="L171" s="10">
        <f>IF($AB171="","",IF(INDEX(기본자료!$A$2:$A$1001,$AB171)="","",INDEX(기본자료!$A$2:$A$1001,$AB171)))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파견수련계획!$AB$4:$AB$803,$AK171),OR(NOT(ISNUMBER(INDEX(파견수련계획!$AC$4:$AC$803,$AK171))),TODAY()&lt;=INDEX(파견수련계획!$AC$4:$AC$803,$AK171))),"다기관",IF($AF171="","",INDEX(파견수련계획!$T$4:$T$803,$AF171))),IF($AF171="","",INDEX(파견수련계획!$T$4:$T$803,$AF171))))</f>
        <v/>
      </c>
      <c r="Q171" s="10">
        <f>IF($AF171="","",INDEX(파견수련계획!$S$4:$S$803,$AF171))</f>
        <v/>
      </c>
      <c r="R171" s="10">
        <f>IF($AF171="","",INDEX(파견수련계획!$U$4:$U$803,$AF171))</f>
        <v/>
      </c>
      <c r="S171" s="11">
        <f>IF($AF171="","",IF(INDEX(파견수련계획!$H$4:$H$803,$AF171)="","",INDEX(파견수련계획!$H$4:$H$803,$AF171)))</f>
        <v/>
      </c>
      <c r="T171" s="11">
        <f>IF($AF171="","",IF(INDEX(파견수련계획!$I$4:$I$803,$AF171)="","",INDEX(파견수련계획!$I$4:$I$803,$AF171)))</f>
        <v/>
      </c>
      <c r="U171" s="10">
        <f>IF($AF171="","",INDEX(파견수련계획!$X$4:$X$803,$AF171))</f>
        <v/>
      </c>
      <c r="V171" s="17">
        <f>IF($AF171="","",INDEX(파견수련계획!$V$4:$V$803,$AF171))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IF(OR($B171="",TRIM($J171&amp;"")=""),"",SUMPRODUCT((파견수련계획!$Q$4:$Q$803=TRIM($J171&amp;""))*파견수련계획!$W$4:$W$803))</f>
        <v/>
      </c>
      <c r="Y171" s="10">
        <f>IF($B171="","",IF($AG171="","",IF(IF(TRIM($J171&amp;"")="",0,SUMPRODUCT((파견수련계획!$Q$4:$Q$803=TRIM($J171&amp;""))*파견수련계획!$AD$4:$AD$803))&gt;0,$AE171,IF(N($X171)&lt;=0,$AG171,IF($AH171+$AI171=DAY(EOMONTH(요약!$B$3,0)),IF(AND($AH171&gt;=요약!$E$3,$AI171&lt;요약!$E$3),"서울병원",IF(AND($AI171&gt;=요약!$E$3,$AH171&lt;요약!$E$3),"구리병원","⚠15일 판정불가(서울 "&amp;$AH171&amp;"일/구리 "&amp;$AI171&amp;"일)")),IF($AJ171="",$AE171,IF(INDEX(파견수련계획!$T$4:$T$803,$AJ171)="통합수련",INDEX(파견수련계획!$S$4:$S$803,$AJ171),$AE171)))))))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입력",IF(IF(TRIM($J171&amp;"")="",0,SUMPRODUCT((파견수련계획!$Q$4:$Q$803=TRIM($J171&amp;""))*(파견수련계획!$AA$4:$AA$803&lt;&gt;"")))&gt;0,"파견수련계획 입력오류 확인",IF(LEFT($Y171,1)="⚠","서울·구리 15일 판정 불가(양쪽 모두 이상/미만)",IF(IF($AC171="",0,N(INDEX(인턴근무계획!$T$3:$T$402,$AC171)))&gt;0,"인턴계획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IF($B171="","",IFERROR(MATCH($B171,기본자료!$B$2:$B$1001,0),IFERROR(MATCH($B171&amp;"",기본자료!$B$2:$B$1001,0),IFERROR(MATCH(VALUE($B171),기본자료!$B$2:$B$1001,0),""))))</f>
        <v/>
      </c>
      <c r="AC171" s="10">
        <f>IF($B171="","",IFERROR(MATCH($B171,인턴근무계획!$D$3:$D$402,0),IFERROR(MATCH($B171&amp;"",인턴근무계획!$D$3:$D$402,0),IFERROR(MATCH(VALUE($B171),인턴근무계획!$D$3:$D$402,0),""))))</f>
        <v/>
      </c>
      <c r="AD171" s="10">
        <f>IF(OR($AC171="",인턴현황!$G$3=""),"",INDEX(인턴근무계획!$M$3:$R$402,$AC171,인턴현황!$G$3)&amp;"")</f>
        <v/>
      </c>
      <c r="AE171" s="10">
        <f>IF($B171="","",IF($M171&lt;&gt;"",$M171,IF($AF171&lt;&gt;"",IF(LEFT(INDEX(파견수련계획!$R$4:$R$803,$AF171),1)&lt;&gt;"⚠",INDEX(파견수련계획!$R$4:$R$803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$803,0),IFERROR(MATCH(TRIM($J171&amp;"")&amp;"|파견예정",파견수련계획!$Y$4:$Y$803,0),IFERROR(MATCH(TRIM($J171&amp;"")&amp;"|파견종료",파견수련계획!$Y$4:$Y$803,0),""))))</f>
        <v/>
      </c>
      <c r="AG171" s="10">
        <f>IF($B171="","",IF(AND(IF(OR($AC171="",인턴현황!$K$2=""),"",INDEX(인턴근무계획!$M$3:$R$402,$AC171,인턴현황!$K$2)&amp;"")&lt;&gt;"",LEFT(IF(OR($AC171="",인턴현황!$K$2=""),"",INDEX(인턴근무계획!$M$3:$R$402,$AC171,인턴현황!$K$2)&amp;""),1)&lt;&gt;"⚠"),LEFT(IF(OR($AC171="",인턴현황!$K$2=""),"",INDEX(인턴근무계획!$M$3:$R$402,$AC171,인턴현황!$K$2)&amp;""),FIND(" ",IF(OR($AC171="",인턴현황!$K$2=""),"",INDEX(인턴근무계획!$M$3:$R$402,$AC171,인턴현황!$K$2)&amp;""))-1),$AE171))</f>
        <v/>
      </c>
      <c r="AH171" s="17">
        <f>IF($B171="","",IF(TRIM($J171&amp;"")="",0,SUMPRODUCT((파견수련계획!$Q$4:$Q$803=TRIM($J171&amp;""))*(파견수련계획!$S$4:$S$803="서울병원")*파견수련계획!$W$4:$W$803))+IF($AG171="서울병원",MAX(0,DAY(EOMONTH(요약!$B$3,0))-N($X171)),0))</f>
        <v/>
      </c>
      <c r="AI171" s="17">
        <f>IF($B171="","",IF(TRIM($J171&amp;"")="",0,SUMPRODUCT((파견수련계획!$Q$4:$Q$803=TRIM($J171&amp;""))*(파견수련계획!$S$4:$S$803="구리병원")*파견수련계획!$W$4:$W$803))+IF($AG171="구리병원",MAX(0,DAY(EOMONTH(요약!$B$3,0))-N($X171)),0))</f>
        <v/>
      </c>
      <c r="AJ171" s="10">
        <f>IF(OR($B171="",TRIM($J171&amp;"")=""),"",IFERROR(MATCH(TRIM($J171&amp;"")&amp;"|월",파견수련계획!$Z$4:$Z$803,0),""))</f>
        <v/>
      </c>
      <c r="AK171" s="10">
        <f>IF(OR($B171="",TRIM($J171&amp;"")=""),"",IFERROR(MATCH(TRIM($J171&amp;"")&amp;"|다기관",파견수련계획!$AE$4:$AE$803,0),""))</f>
        <v/>
      </c>
      <c r="AL171" s="10">
        <f>IF($AK171="","","다기관 "&amp;TEXT(INDEX(파견수련계획!$AB$4:$AB$803,$AK171),"yyyy-mm-dd")&amp;"~"&amp;IF(ISNUMBER(INDEX(파견수련계획!$AC$4:$AC$803,$AK171)),TEXT(INDEX(파견수련계획!$AC$4:$AC$803,$AK171),"yyyy-mm-dd"),""))</f>
        <v/>
      </c>
    </row>
    <row r="172">
      <c r="A172" s="10">
        <f>IF(B172="","",ROW()-1)</f>
        <v/>
      </c>
      <c r="B172" s="18" t="n"/>
      <c r="C172" s="10">
        <f>IF($AB172="","",IF(INDEX(기본자료!$C$2:$C$1001,$AB172)="","",INDEX(기본자료!$C$2:$C$1001,$AB172)))</f>
        <v/>
      </c>
      <c r="D172" s="10">
        <f>IF($AB172="","",IF(INDEX(기본자료!$J$2:$J$1001,$AB172)="","",INDEX(기본자료!$J$2:$J$1001,$AB172)))</f>
        <v/>
      </c>
      <c r="E172" s="11">
        <f>IF($AB172="","",IF(INDEX(기본자료!$K$2:$K$1001,$AB172)="","",IF(NOT(ISNUMBER(INDEX(기본자료!$K$2:$K$1001,$AB172))),INDEX(기본자료!$K$2:$K$1001,$AB172),IF(INDEX(기본자료!$K$2:$K$1001,$AB172)&lt;1000000,INDEX(기본자료!$K$2:$K$1001,$AB172),IF(AND(INDEX(기본자료!$K$2:$K$1001,$AB172)&gt;=10000101,INT(MOD(INDEX(기본자료!$K$2:$K$1001,$AB172),10000)/100)&gt;=1,INT(MOD(INDEX(기본자료!$K$2:$K$1001,$AB172),10000)/100)&lt;=12,MOD(INDEX(기본자료!$K$2:$K$1001,$AB172),100)&gt;=1,MOD(INDEX(기본자료!$K$2:$K$1001,$AB172),100)&lt;=31),DATE(INT(INDEX(기본자료!$K$2:$K$1001,$AB172)/10000),INT(MOD(INDEX(기본자료!$K$2:$K$1001,$AB172),10000)/100),MOD(INDEX(기본자료!$K$2:$K$1001,$AB172),100)),INDEX(기본자료!$K$2:$K$1001,$AB172)&amp;"")))))</f>
        <v/>
      </c>
      <c r="F172" s="10">
        <f>IF($AB172="","",IF(INDEX(기본자료!$D$2:$D$1001,$AB172)="","",INDEX(기본자료!$D$2:$D$1001,$AB172)))</f>
        <v/>
      </c>
      <c r="G172" s="10">
        <f>IF($AB172="","",IF(INDEX(기본자료!$E$2:$E$1001,$AB172)="","",INDEX(기본자료!$E$2:$E$1001,$AB172)))</f>
        <v/>
      </c>
      <c r="H172" s="10">
        <f>IF($AB172="","",IF(INDEX(기본자료!$F$2:$F$1001,$AB172)="","",INDEX(기본자료!$F$2:$F$1001,$AB172)))</f>
        <v/>
      </c>
      <c r="I172" s="11">
        <f>IF($AB172="","",IF(INDEX(기본자료!$G$2:$G$1001,$AB172)="","",IF(NOT(ISNUMBER(INDEX(기본자료!$G$2:$G$1001,$AB172))),INDEX(기본자료!$G$2:$G$1001,$AB172),IF(INDEX(기본자료!$G$2:$G$1001,$AB172)&lt;1000000,INDEX(기본자료!$G$2:$G$1001,$AB172),IF(AND(INDEX(기본자료!$G$2:$G$1001,$AB172)&gt;=10000101,INT(MOD(INDEX(기본자료!$G$2:$G$1001,$AB172),10000)/100)&gt;=1,INT(MOD(INDEX(기본자료!$G$2:$G$1001,$AB172),10000)/100)&lt;=12,MOD(INDEX(기본자료!$G$2:$G$1001,$AB172),100)&gt;=1,MOD(INDEX(기본자료!$G$2:$G$1001,$AB172),100)&lt;=31),DATE(INT(INDEX(기본자료!$G$2:$G$1001,$AB172)/10000),INT(MOD(INDEX(기본자료!$G$2:$G$1001,$AB172),10000)/100),MOD(INDEX(기본자료!$G$2:$G$1001,$AB172),100)),INDEX(기본자료!$G$2:$G$1001,$AB172)&amp;"")))))</f>
        <v/>
      </c>
      <c r="J172" s="10">
        <f>IF($AB172="","",IF(INDEX(기본자료!$H$2:$H$1001,$AB172)="","",INDEX(기본자료!$H$2:$H$1001,$AB172)))</f>
        <v/>
      </c>
      <c r="K172" s="10">
        <f>IF($AB172="","",IF(INDEX(기본자료!$I$2:$I$1001,$AB172)="","",INDEX(기본자료!$I$2:$I$1001,$AB172)))</f>
        <v/>
      </c>
      <c r="L172" s="10">
        <f>IF($AB172="","",IF(INDEX(기본자료!$A$2:$A$1001,$AB172)="","",INDEX(기본자료!$A$2:$A$1001,$AB172)))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파견수련계획!$AB$4:$AB$803,$AK172),OR(NOT(ISNUMBER(INDEX(파견수련계획!$AC$4:$AC$803,$AK172))),TODAY()&lt;=INDEX(파견수련계획!$AC$4:$AC$803,$AK172))),"다기관",IF($AF172="","",INDEX(파견수련계획!$T$4:$T$803,$AF172))),IF($AF172="","",INDEX(파견수련계획!$T$4:$T$803,$AF172))))</f>
        <v/>
      </c>
      <c r="Q172" s="10">
        <f>IF($AF172="","",INDEX(파견수련계획!$S$4:$S$803,$AF172))</f>
        <v/>
      </c>
      <c r="R172" s="10">
        <f>IF($AF172="","",INDEX(파견수련계획!$U$4:$U$803,$AF172))</f>
        <v/>
      </c>
      <c r="S172" s="11">
        <f>IF($AF172="","",IF(INDEX(파견수련계획!$H$4:$H$803,$AF172)="","",INDEX(파견수련계획!$H$4:$H$803,$AF172)))</f>
        <v/>
      </c>
      <c r="T172" s="11">
        <f>IF($AF172="","",IF(INDEX(파견수련계획!$I$4:$I$803,$AF172)="","",INDEX(파견수련계획!$I$4:$I$803,$AF172)))</f>
        <v/>
      </c>
      <c r="U172" s="10">
        <f>IF($AF172="","",INDEX(파견수련계획!$X$4:$X$803,$AF172))</f>
        <v/>
      </c>
      <c r="V172" s="17">
        <f>IF($AF172="","",INDEX(파견수련계획!$V$4:$V$803,$AF172))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IF(OR($B172="",TRIM($J172&amp;"")=""),"",SUMPRODUCT((파견수련계획!$Q$4:$Q$803=TRIM($J172&amp;""))*파견수련계획!$W$4:$W$803))</f>
        <v/>
      </c>
      <c r="Y172" s="10">
        <f>IF($B172="","",IF($AG172="","",IF(IF(TRIM($J172&amp;"")="",0,SUMPRODUCT((파견수련계획!$Q$4:$Q$803=TRIM($J172&amp;""))*파견수련계획!$AD$4:$AD$803))&gt;0,$AE172,IF(N($X172)&lt;=0,$AG172,IF($AH172+$AI172=DAY(EOMONTH(요약!$B$3,0)),IF(AND($AH172&gt;=요약!$E$3,$AI172&lt;요약!$E$3),"서울병원",IF(AND($AI172&gt;=요약!$E$3,$AH172&lt;요약!$E$3),"구리병원","⚠15일 판정불가(서울 "&amp;$AH172&amp;"일/구리 "&amp;$AI172&amp;"일)")),IF($AJ172="",$AE172,IF(INDEX(파견수련계획!$T$4:$T$803,$AJ172)="통합수련",INDEX(파견수련계획!$S$4:$S$803,$AJ172),$AE172)))))))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입력",IF(IF(TRIM($J172&amp;"")="",0,SUMPRODUCT((파견수련계획!$Q$4:$Q$803=TRIM($J172&amp;""))*(파견수련계획!$AA$4:$AA$803&lt;&gt;"")))&gt;0,"파견수련계획 입력오류 확인",IF(LEFT($Y172,1)="⚠","서울·구리 15일 판정 불가(양쪽 모두 이상/미만)",IF(IF($AC172="",0,N(INDEX(인턴근무계획!$T$3:$T$402,$AC172)))&gt;0,"인턴계획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IF($B172="","",IFERROR(MATCH($B172,기본자료!$B$2:$B$1001,0),IFERROR(MATCH($B172&amp;"",기본자료!$B$2:$B$1001,0),IFERROR(MATCH(VALUE($B172),기본자료!$B$2:$B$1001,0),""))))</f>
        <v/>
      </c>
      <c r="AC172" s="10">
        <f>IF($B172="","",IFERROR(MATCH($B172,인턴근무계획!$D$3:$D$402,0),IFERROR(MATCH($B172&amp;"",인턴근무계획!$D$3:$D$402,0),IFERROR(MATCH(VALUE($B172),인턴근무계획!$D$3:$D$402,0),""))))</f>
        <v/>
      </c>
      <c r="AD172" s="10">
        <f>IF(OR($AC172="",인턴현황!$G$3=""),"",INDEX(인턴근무계획!$M$3:$R$402,$AC172,인턴현황!$G$3)&amp;"")</f>
        <v/>
      </c>
      <c r="AE172" s="10">
        <f>IF($B172="","",IF($M172&lt;&gt;"",$M172,IF($AF172&lt;&gt;"",IF(LEFT(INDEX(파견수련계획!$R$4:$R$803,$AF172),1)&lt;&gt;"⚠",INDEX(파견수련계획!$R$4:$R$803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$803,0),IFERROR(MATCH(TRIM($J172&amp;"")&amp;"|파견예정",파견수련계획!$Y$4:$Y$803,0),IFERROR(MATCH(TRIM($J172&amp;"")&amp;"|파견종료",파견수련계획!$Y$4:$Y$803,0),""))))</f>
        <v/>
      </c>
      <c r="AG172" s="10">
        <f>IF($B172="","",IF(AND(IF(OR($AC172="",인턴현황!$K$2=""),"",INDEX(인턴근무계획!$M$3:$R$402,$AC172,인턴현황!$K$2)&amp;"")&lt;&gt;"",LEFT(IF(OR($AC172="",인턴현황!$K$2=""),"",INDEX(인턴근무계획!$M$3:$R$402,$AC172,인턴현황!$K$2)&amp;""),1)&lt;&gt;"⚠"),LEFT(IF(OR($AC172="",인턴현황!$K$2=""),"",INDEX(인턴근무계획!$M$3:$R$402,$AC172,인턴현황!$K$2)&amp;""),FIND(" ",IF(OR($AC172="",인턴현황!$K$2=""),"",INDEX(인턴근무계획!$M$3:$R$402,$AC172,인턴현황!$K$2)&amp;""))-1),$AE172))</f>
        <v/>
      </c>
      <c r="AH172" s="17">
        <f>IF($B172="","",IF(TRIM($J172&amp;"")="",0,SUMPRODUCT((파견수련계획!$Q$4:$Q$803=TRIM($J172&amp;""))*(파견수련계획!$S$4:$S$803="서울병원")*파견수련계획!$W$4:$W$803))+IF($AG172="서울병원",MAX(0,DAY(EOMONTH(요약!$B$3,0))-N($X172)),0))</f>
        <v/>
      </c>
      <c r="AI172" s="17">
        <f>IF($B172="","",IF(TRIM($J172&amp;"")="",0,SUMPRODUCT((파견수련계획!$Q$4:$Q$803=TRIM($J172&amp;""))*(파견수련계획!$S$4:$S$803="구리병원")*파견수련계획!$W$4:$W$803))+IF($AG172="구리병원",MAX(0,DAY(EOMONTH(요약!$B$3,0))-N($X172)),0))</f>
        <v/>
      </c>
      <c r="AJ172" s="10">
        <f>IF(OR($B172="",TRIM($J172&amp;"")=""),"",IFERROR(MATCH(TRIM($J172&amp;"")&amp;"|월",파견수련계획!$Z$4:$Z$803,0),""))</f>
        <v/>
      </c>
      <c r="AK172" s="10">
        <f>IF(OR($B172="",TRIM($J172&amp;"")=""),"",IFERROR(MATCH(TRIM($J172&amp;"")&amp;"|다기관",파견수련계획!$AE$4:$AE$803,0),""))</f>
        <v/>
      </c>
      <c r="AL172" s="10">
        <f>IF($AK172="","","다기관 "&amp;TEXT(INDEX(파견수련계획!$AB$4:$AB$803,$AK172),"yyyy-mm-dd")&amp;"~"&amp;IF(ISNUMBER(INDEX(파견수련계획!$AC$4:$AC$803,$AK172)),TEXT(INDEX(파견수련계획!$AC$4:$AC$803,$AK172),"yyyy-mm-dd"),""))</f>
        <v/>
      </c>
    </row>
    <row r="173">
      <c r="A173" s="10">
        <f>IF(B173="","",ROW()-1)</f>
        <v/>
      </c>
      <c r="B173" s="18" t="n"/>
      <c r="C173" s="10">
        <f>IF($AB173="","",IF(INDEX(기본자료!$C$2:$C$1001,$AB173)="","",INDEX(기본자료!$C$2:$C$1001,$AB173)))</f>
        <v/>
      </c>
      <c r="D173" s="10">
        <f>IF($AB173="","",IF(INDEX(기본자료!$J$2:$J$1001,$AB173)="","",INDEX(기본자료!$J$2:$J$1001,$AB173)))</f>
        <v/>
      </c>
      <c r="E173" s="11">
        <f>IF($AB173="","",IF(INDEX(기본자료!$K$2:$K$1001,$AB173)="","",IF(NOT(ISNUMBER(INDEX(기본자료!$K$2:$K$1001,$AB173))),INDEX(기본자료!$K$2:$K$1001,$AB173),IF(INDEX(기본자료!$K$2:$K$1001,$AB173)&lt;1000000,INDEX(기본자료!$K$2:$K$1001,$AB173),IF(AND(INDEX(기본자료!$K$2:$K$1001,$AB173)&gt;=10000101,INT(MOD(INDEX(기본자료!$K$2:$K$1001,$AB173),10000)/100)&gt;=1,INT(MOD(INDEX(기본자료!$K$2:$K$1001,$AB173),10000)/100)&lt;=12,MOD(INDEX(기본자료!$K$2:$K$1001,$AB173),100)&gt;=1,MOD(INDEX(기본자료!$K$2:$K$1001,$AB173),100)&lt;=31),DATE(INT(INDEX(기본자료!$K$2:$K$1001,$AB173)/10000),INT(MOD(INDEX(기본자료!$K$2:$K$1001,$AB173),10000)/100),MOD(INDEX(기본자료!$K$2:$K$1001,$AB173),100)),INDEX(기본자료!$K$2:$K$1001,$AB173)&amp;"")))))</f>
        <v/>
      </c>
      <c r="F173" s="10">
        <f>IF($AB173="","",IF(INDEX(기본자료!$D$2:$D$1001,$AB173)="","",INDEX(기본자료!$D$2:$D$1001,$AB173)))</f>
        <v/>
      </c>
      <c r="G173" s="10">
        <f>IF($AB173="","",IF(INDEX(기본자료!$E$2:$E$1001,$AB173)="","",INDEX(기본자료!$E$2:$E$1001,$AB173)))</f>
        <v/>
      </c>
      <c r="H173" s="10">
        <f>IF($AB173="","",IF(INDEX(기본자료!$F$2:$F$1001,$AB173)="","",INDEX(기본자료!$F$2:$F$1001,$AB173)))</f>
        <v/>
      </c>
      <c r="I173" s="11">
        <f>IF($AB173="","",IF(INDEX(기본자료!$G$2:$G$1001,$AB173)="","",IF(NOT(ISNUMBER(INDEX(기본자료!$G$2:$G$1001,$AB173))),INDEX(기본자료!$G$2:$G$1001,$AB173),IF(INDEX(기본자료!$G$2:$G$1001,$AB173)&lt;1000000,INDEX(기본자료!$G$2:$G$1001,$AB173),IF(AND(INDEX(기본자료!$G$2:$G$1001,$AB173)&gt;=10000101,INT(MOD(INDEX(기본자료!$G$2:$G$1001,$AB173),10000)/100)&gt;=1,INT(MOD(INDEX(기본자료!$G$2:$G$1001,$AB173),10000)/100)&lt;=12,MOD(INDEX(기본자료!$G$2:$G$1001,$AB173),100)&gt;=1,MOD(INDEX(기본자료!$G$2:$G$1001,$AB173),100)&lt;=31),DATE(INT(INDEX(기본자료!$G$2:$G$1001,$AB173)/10000),INT(MOD(INDEX(기본자료!$G$2:$G$1001,$AB173),10000)/100),MOD(INDEX(기본자료!$G$2:$G$1001,$AB173),100)),INDEX(기본자료!$G$2:$G$1001,$AB173)&amp;"")))))</f>
        <v/>
      </c>
      <c r="J173" s="10">
        <f>IF($AB173="","",IF(INDEX(기본자료!$H$2:$H$1001,$AB173)="","",INDEX(기본자료!$H$2:$H$1001,$AB173)))</f>
        <v/>
      </c>
      <c r="K173" s="10">
        <f>IF($AB173="","",IF(INDEX(기본자료!$I$2:$I$1001,$AB173)="","",INDEX(기본자료!$I$2:$I$1001,$AB173)))</f>
        <v/>
      </c>
      <c r="L173" s="10">
        <f>IF($AB173="","",IF(INDEX(기본자료!$A$2:$A$1001,$AB173)="","",INDEX(기본자료!$A$2:$A$1001,$AB173)))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파견수련계획!$AB$4:$AB$803,$AK173),OR(NOT(ISNUMBER(INDEX(파견수련계획!$AC$4:$AC$803,$AK173))),TODAY()&lt;=INDEX(파견수련계획!$AC$4:$AC$803,$AK173))),"다기관",IF($AF173="","",INDEX(파견수련계획!$T$4:$T$803,$AF173))),IF($AF173="","",INDEX(파견수련계획!$T$4:$T$803,$AF173))))</f>
        <v/>
      </c>
      <c r="Q173" s="10">
        <f>IF($AF173="","",INDEX(파견수련계획!$S$4:$S$803,$AF173))</f>
        <v/>
      </c>
      <c r="R173" s="10">
        <f>IF($AF173="","",INDEX(파견수련계획!$U$4:$U$803,$AF173))</f>
        <v/>
      </c>
      <c r="S173" s="11">
        <f>IF($AF173="","",IF(INDEX(파견수련계획!$H$4:$H$803,$AF173)="","",INDEX(파견수련계획!$H$4:$H$803,$AF173)))</f>
        <v/>
      </c>
      <c r="T173" s="11">
        <f>IF($AF173="","",IF(INDEX(파견수련계획!$I$4:$I$803,$AF173)="","",INDEX(파견수련계획!$I$4:$I$803,$AF173)))</f>
        <v/>
      </c>
      <c r="U173" s="10">
        <f>IF($AF173="","",INDEX(파견수련계획!$X$4:$X$803,$AF173))</f>
        <v/>
      </c>
      <c r="V173" s="17">
        <f>IF($AF173="","",INDEX(파견수련계획!$V$4:$V$803,$AF173))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IF(OR($B173="",TRIM($J173&amp;"")=""),"",SUMPRODUCT((파견수련계획!$Q$4:$Q$803=TRIM($J173&amp;""))*파견수련계획!$W$4:$W$803))</f>
        <v/>
      </c>
      <c r="Y173" s="10">
        <f>IF($B173="","",IF($AG173="","",IF(IF(TRIM($J173&amp;"")="",0,SUMPRODUCT((파견수련계획!$Q$4:$Q$803=TRIM($J173&amp;""))*파견수련계획!$AD$4:$AD$803))&gt;0,$AE173,IF(N($X173)&lt;=0,$AG173,IF($AH173+$AI173=DAY(EOMONTH(요약!$B$3,0)),IF(AND($AH173&gt;=요약!$E$3,$AI173&lt;요약!$E$3),"서울병원",IF(AND($AI173&gt;=요약!$E$3,$AH173&lt;요약!$E$3),"구리병원","⚠15일 판정불가(서울 "&amp;$AH173&amp;"일/구리 "&amp;$AI173&amp;"일)")),IF($AJ173="",$AE173,IF(INDEX(파견수련계획!$T$4:$T$803,$AJ173)="통합수련",INDEX(파견수련계획!$S$4:$S$803,$AJ173),$AE173)))))))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입력",IF(IF(TRIM($J173&amp;"")="",0,SUMPRODUCT((파견수련계획!$Q$4:$Q$803=TRIM($J173&amp;""))*(파견수련계획!$AA$4:$AA$803&lt;&gt;"")))&gt;0,"파견수련계획 입력오류 확인",IF(LEFT($Y173,1)="⚠","서울·구리 15일 판정 불가(양쪽 모두 이상/미만)",IF(IF($AC173="",0,N(INDEX(인턴근무계획!$T$3:$T$402,$AC173)))&gt;0,"인턴계획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IF($B173="","",IFERROR(MATCH($B173,기본자료!$B$2:$B$1001,0),IFERROR(MATCH($B173&amp;"",기본자료!$B$2:$B$1001,0),IFERROR(MATCH(VALUE($B173),기본자료!$B$2:$B$1001,0),""))))</f>
        <v/>
      </c>
      <c r="AC173" s="10">
        <f>IF($B173="","",IFERROR(MATCH($B173,인턴근무계획!$D$3:$D$402,0),IFERROR(MATCH($B173&amp;"",인턴근무계획!$D$3:$D$402,0),IFERROR(MATCH(VALUE($B173),인턴근무계획!$D$3:$D$402,0),""))))</f>
        <v/>
      </c>
      <c r="AD173" s="10">
        <f>IF(OR($AC173="",인턴현황!$G$3=""),"",INDEX(인턴근무계획!$M$3:$R$402,$AC173,인턴현황!$G$3)&amp;"")</f>
        <v/>
      </c>
      <c r="AE173" s="10">
        <f>IF($B173="","",IF($M173&lt;&gt;"",$M173,IF($AF173&lt;&gt;"",IF(LEFT(INDEX(파견수련계획!$R$4:$R$803,$AF173),1)&lt;&gt;"⚠",INDEX(파견수련계획!$R$4:$R$803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$803,0),IFERROR(MATCH(TRIM($J173&amp;"")&amp;"|파견예정",파견수련계획!$Y$4:$Y$803,0),IFERROR(MATCH(TRIM($J173&amp;"")&amp;"|파견종료",파견수련계획!$Y$4:$Y$803,0),""))))</f>
        <v/>
      </c>
      <c r="AG173" s="10">
        <f>IF($B173="","",IF(AND(IF(OR($AC173="",인턴현황!$K$2=""),"",INDEX(인턴근무계획!$M$3:$R$402,$AC173,인턴현황!$K$2)&amp;"")&lt;&gt;"",LEFT(IF(OR($AC173="",인턴현황!$K$2=""),"",INDEX(인턴근무계획!$M$3:$R$402,$AC173,인턴현황!$K$2)&amp;""),1)&lt;&gt;"⚠"),LEFT(IF(OR($AC173="",인턴현황!$K$2=""),"",INDEX(인턴근무계획!$M$3:$R$402,$AC173,인턴현황!$K$2)&amp;""),FIND(" ",IF(OR($AC173="",인턴현황!$K$2=""),"",INDEX(인턴근무계획!$M$3:$R$402,$AC173,인턴현황!$K$2)&amp;""))-1),$AE173))</f>
        <v/>
      </c>
      <c r="AH173" s="17">
        <f>IF($B173="","",IF(TRIM($J173&amp;"")="",0,SUMPRODUCT((파견수련계획!$Q$4:$Q$803=TRIM($J173&amp;""))*(파견수련계획!$S$4:$S$803="서울병원")*파견수련계획!$W$4:$W$803))+IF($AG173="서울병원",MAX(0,DAY(EOMONTH(요약!$B$3,0))-N($X173)),0))</f>
        <v/>
      </c>
      <c r="AI173" s="17">
        <f>IF($B173="","",IF(TRIM($J173&amp;"")="",0,SUMPRODUCT((파견수련계획!$Q$4:$Q$803=TRIM($J173&amp;""))*(파견수련계획!$S$4:$S$803="구리병원")*파견수련계획!$W$4:$W$803))+IF($AG173="구리병원",MAX(0,DAY(EOMONTH(요약!$B$3,0))-N($X173)),0))</f>
        <v/>
      </c>
      <c r="AJ173" s="10">
        <f>IF(OR($B173="",TRIM($J173&amp;"")=""),"",IFERROR(MATCH(TRIM($J173&amp;"")&amp;"|월",파견수련계획!$Z$4:$Z$803,0),""))</f>
        <v/>
      </c>
      <c r="AK173" s="10">
        <f>IF(OR($B173="",TRIM($J173&amp;"")=""),"",IFERROR(MATCH(TRIM($J173&amp;"")&amp;"|다기관",파견수련계획!$AE$4:$AE$803,0),""))</f>
        <v/>
      </c>
      <c r="AL173" s="10">
        <f>IF($AK173="","","다기관 "&amp;TEXT(INDEX(파견수련계획!$AB$4:$AB$803,$AK173),"yyyy-mm-dd")&amp;"~"&amp;IF(ISNUMBER(INDEX(파견수련계획!$AC$4:$AC$803,$AK173)),TEXT(INDEX(파견수련계획!$AC$4:$AC$803,$AK173),"yyyy-mm-dd"),""))</f>
        <v/>
      </c>
    </row>
    <row r="174">
      <c r="A174" s="10">
        <f>IF(B174="","",ROW()-1)</f>
        <v/>
      </c>
      <c r="B174" s="18" t="n"/>
      <c r="C174" s="10">
        <f>IF($AB174="","",IF(INDEX(기본자료!$C$2:$C$1001,$AB174)="","",INDEX(기본자료!$C$2:$C$1001,$AB174)))</f>
        <v/>
      </c>
      <c r="D174" s="10">
        <f>IF($AB174="","",IF(INDEX(기본자료!$J$2:$J$1001,$AB174)="","",INDEX(기본자료!$J$2:$J$1001,$AB174)))</f>
        <v/>
      </c>
      <c r="E174" s="11">
        <f>IF($AB174="","",IF(INDEX(기본자료!$K$2:$K$1001,$AB174)="","",IF(NOT(ISNUMBER(INDEX(기본자료!$K$2:$K$1001,$AB174))),INDEX(기본자료!$K$2:$K$1001,$AB174),IF(INDEX(기본자료!$K$2:$K$1001,$AB174)&lt;1000000,INDEX(기본자료!$K$2:$K$1001,$AB174),IF(AND(INDEX(기본자료!$K$2:$K$1001,$AB174)&gt;=10000101,INT(MOD(INDEX(기본자료!$K$2:$K$1001,$AB174),10000)/100)&gt;=1,INT(MOD(INDEX(기본자료!$K$2:$K$1001,$AB174),10000)/100)&lt;=12,MOD(INDEX(기본자료!$K$2:$K$1001,$AB174),100)&gt;=1,MOD(INDEX(기본자료!$K$2:$K$1001,$AB174),100)&lt;=31),DATE(INT(INDEX(기본자료!$K$2:$K$1001,$AB174)/10000),INT(MOD(INDEX(기본자료!$K$2:$K$1001,$AB174),10000)/100),MOD(INDEX(기본자료!$K$2:$K$1001,$AB174),100)),INDEX(기본자료!$K$2:$K$1001,$AB174)&amp;"")))))</f>
        <v/>
      </c>
      <c r="F174" s="10">
        <f>IF($AB174="","",IF(INDEX(기본자료!$D$2:$D$1001,$AB174)="","",INDEX(기본자료!$D$2:$D$1001,$AB174)))</f>
        <v/>
      </c>
      <c r="G174" s="10">
        <f>IF($AB174="","",IF(INDEX(기본자료!$E$2:$E$1001,$AB174)="","",INDEX(기본자료!$E$2:$E$1001,$AB174)))</f>
        <v/>
      </c>
      <c r="H174" s="10">
        <f>IF($AB174="","",IF(INDEX(기본자료!$F$2:$F$1001,$AB174)="","",INDEX(기본자료!$F$2:$F$1001,$AB174)))</f>
        <v/>
      </c>
      <c r="I174" s="11">
        <f>IF($AB174="","",IF(INDEX(기본자료!$G$2:$G$1001,$AB174)="","",IF(NOT(ISNUMBER(INDEX(기본자료!$G$2:$G$1001,$AB174))),INDEX(기본자료!$G$2:$G$1001,$AB174),IF(INDEX(기본자료!$G$2:$G$1001,$AB174)&lt;1000000,INDEX(기본자료!$G$2:$G$1001,$AB174),IF(AND(INDEX(기본자료!$G$2:$G$1001,$AB174)&gt;=10000101,INT(MOD(INDEX(기본자료!$G$2:$G$1001,$AB174),10000)/100)&gt;=1,INT(MOD(INDEX(기본자료!$G$2:$G$1001,$AB174),10000)/100)&lt;=12,MOD(INDEX(기본자료!$G$2:$G$1001,$AB174),100)&gt;=1,MOD(INDEX(기본자료!$G$2:$G$1001,$AB174),100)&lt;=31),DATE(INT(INDEX(기본자료!$G$2:$G$1001,$AB174)/10000),INT(MOD(INDEX(기본자료!$G$2:$G$1001,$AB174),10000)/100),MOD(INDEX(기본자료!$G$2:$G$1001,$AB174),100)),INDEX(기본자료!$G$2:$G$1001,$AB174)&amp;"")))))</f>
        <v/>
      </c>
      <c r="J174" s="10">
        <f>IF($AB174="","",IF(INDEX(기본자료!$H$2:$H$1001,$AB174)="","",INDEX(기본자료!$H$2:$H$1001,$AB174)))</f>
        <v/>
      </c>
      <c r="K174" s="10">
        <f>IF($AB174="","",IF(INDEX(기본자료!$I$2:$I$1001,$AB174)="","",INDEX(기본자료!$I$2:$I$1001,$AB174)))</f>
        <v/>
      </c>
      <c r="L174" s="10">
        <f>IF($AB174="","",IF(INDEX(기본자료!$A$2:$A$1001,$AB174)="","",INDEX(기본자료!$A$2:$A$1001,$AB174)))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파견수련계획!$AB$4:$AB$803,$AK174),OR(NOT(ISNUMBER(INDEX(파견수련계획!$AC$4:$AC$803,$AK174))),TODAY()&lt;=INDEX(파견수련계획!$AC$4:$AC$803,$AK174))),"다기관",IF($AF174="","",INDEX(파견수련계획!$T$4:$T$803,$AF174))),IF($AF174="","",INDEX(파견수련계획!$T$4:$T$803,$AF174))))</f>
        <v/>
      </c>
      <c r="Q174" s="10">
        <f>IF($AF174="","",INDEX(파견수련계획!$S$4:$S$803,$AF174))</f>
        <v/>
      </c>
      <c r="R174" s="10">
        <f>IF($AF174="","",INDEX(파견수련계획!$U$4:$U$803,$AF174))</f>
        <v/>
      </c>
      <c r="S174" s="11">
        <f>IF($AF174="","",IF(INDEX(파견수련계획!$H$4:$H$803,$AF174)="","",INDEX(파견수련계획!$H$4:$H$803,$AF174)))</f>
        <v/>
      </c>
      <c r="T174" s="11">
        <f>IF($AF174="","",IF(INDEX(파견수련계획!$I$4:$I$803,$AF174)="","",INDEX(파견수련계획!$I$4:$I$803,$AF174)))</f>
        <v/>
      </c>
      <c r="U174" s="10">
        <f>IF($AF174="","",INDEX(파견수련계획!$X$4:$X$803,$AF174))</f>
        <v/>
      </c>
      <c r="V174" s="17">
        <f>IF($AF174="","",INDEX(파견수련계획!$V$4:$V$803,$AF174))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IF(OR($B174="",TRIM($J174&amp;"")=""),"",SUMPRODUCT((파견수련계획!$Q$4:$Q$803=TRIM($J174&amp;""))*파견수련계획!$W$4:$W$803))</f>
        <v/>
      </c>
      <c r="Y174" s="10">
        <f>IF($B174="","",IF($AG174="","",IF(IF(TRIM($J174&amp;"")="",0,SUMPRODUCT((파견수련계획!$Q$4:$Q$803=TRIM($J174&amp;""))*파견수련계획!$AD$4:$AD$803))&gt;0,$AE174,IF(N($X174)&lt;=0,$AG174,IF($AH174+$AI174=DAY(EOMONTH(요약!$B$3,0)),IF(AND($AH174&gt;=요약!$E$3,$AI174&lt;요약!$E$3),"서울병원",IF(AND($AI174&gt;=요약!$E$3,$AH174&lt;요약!$E$3),"구리병원","⚠15일 판정불가(서울 "&amp;$AH174&amp;"일/구리 "&amp;$AI174&amp;"일)")),IF($AJ174="",$AE174,IF(INDEX(파견수련계획!$T$4:$T$803,$AJ174)="통합수련",INDEX(파견수련계획!$S$4:$S$803,$AJ174),$AE174)))))))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입력",IF(IF(TRIM($J174&amp;"")="",0,SUMPRODUCT((파견수련계획!$Q$4:$Q$803=TRIM($J174&amp;""))*(파견수련계획!$AA$4:$AA$803&lt;&gt;"")))&gt;0,"파견수련계획 입력오류 확인",IF(LEFT($Y174,1)="⚠","서울·구리 15일 판정 불가(양쪽 모두 이상/미만)",IF(IF($AC174="",0,N(INDEX(인턴근무계획!$T$3:$T$402,$AC174)))&gt;0,"인턴계획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IF($B174="","",IFERROR(MATCH($B174,기본자료!$B$2:$B$1001,0),IFERROR(MATCH($B174&amp;"",기본자료!$B$2:$B$1001,0),IFERROR(MATCH(VALUE($B174),기본자료!$B$2:$B$1001,0),""))))</f>
        <v/>
      </c>
      <c r="AC174" s="10">
        <f>IF($B174="","",IFERROR(MATCH($B174,인턴근무계획!$D$3:$D$402,0),IFERROR(MATCH($B174&amp;"",인턴근무계획!$D$3:$D$402,0),IFERROR(MATCH(VALUE($B174),인턴근무계획!$D$3:$D$402,0),""))))</f>
        <v/>
      </c>
      <c r="AD174" s="10">
        <f>IF(OR($AC174="",인턴현황!$G$3=""),"",INDEX(인턴근무계획!$M$3:$R$402,$AC174,인턴현황!$G$3)&amp;"")</f>
        <v/>
      </c>
      <c r="AE174" s="10">
        <f>IF($B174="","",IF($M174&lt;&gt;"",$M174,IF($AF174&lt;&gt;"",IF(LEFT(INDEX(파견수련계획!$R$4:$R$803,$AF174),1)&lt;&gt;"⚠",INDEX(파견수련계획!$R$4:$R$803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$803,0),IFERROR(MATCH(TRIM($J174&amp;"")&amp;"|파견예정",파견수련계획!$Y$4:$Y$803,0),IFERROR(MATCH(TRIM($J174&amp;"")&amp;"|파견종료",파견수련계획!$Y$4:$Y$803,0),""))))</f>
        <v/>
      </c>
      <c r="AG174" s="10">
        <f>IF($B174="","",IF(AND(IF(OR($AC174="",인턴현황!$K$2=""),"",INDEX(인턴근무계획!$M$3:$R$402,$AC174,인턴현황!$K$2)&amp;"")&lt;&gt;"",LEFT(IF(OR($AC174="",인턴현황!$K$2=""),"",INDEX(인턴근무계획!$M$3:$R$402,$AC174,인턴현황!$K$2)&amp;""),1)&lt;&gt;"⚠"),LEFT(IF(OR($AC174="",인턴현황!$K$2=""),"",INDEX(인턴근무계획!$M$3:$R$402,$AC174,인턴현황!$K$2)&amp;""),FIND(" ",IF(OR($AC174="",인턴현황!$K$2=""),"",INDEX(인턴근무계획!$M$3:$R$402,$AC174,인턴현황!$K$2)&amp;""))-1),$AE174))</f>
        <v/>
      </c>
      <c r="AH174" s="17">
        <f>IF($B174="","",IF(TRIM($J174&amp;"")="",0,SUMPRODUCT((파견수련계획!$Q$4:$Q$803=TRIM($J174&amp;""))*(파견수련계획!$S$4:$S$803="서울병원")*파견수련계획!$W$4:$W$803))+IF($AG174="서울병원",MAX(0,DAY(EOMONTH(요약!$B$3,0))-N($X174)),0))</f>
        <v/>
      </c>
      <c r="AI174" s="17">
        <f>IF($B174="","",IF(TRIM($J174&amp;"")="",0,SUMPRODUCT((파견수련계획!$Q$4:$Q$803=TRIM($J174&amp;""))*(파견수련계획!$S$4:$S$803="구리병원")*파견수련계획!$W$4:$W$803))+IF($AG174="구리병원",MAX(0,DAY(EOMONTH(요약!$B$3,0))-N($X174)),0))</f>
        <v/>
      </c>
      <c r="AJ174" s="10">
        <f>IF(OR($B174="",TRIM($J174&amp;"")=""),"",IFERROR(MATCH(TRIM($J174&amp;"")&amp;"|월",파견수련계획!$Z$4:$Z$803,0),""))</f>
        <v/>
      </c>
      <c r="AK174" s="10">
        <f>IF(OR($B174="",TRIM($J174&amp;"")=""),"",IFERROR(MATCH(TRIM($J174&amp;"")&amp;"|다기관",파견수련계획!$AE$4:$AE$803,0),""))</f>
        <v/>
      </c>
      <c r="AL174" s="10">
        <f>IF($AK174="","","다기관 "&amp;TEXT(INDEX(파견수련계획!$AB$4:$AB$803,$AK174),"yyyy-mm-dd")&amp;"~"&amp;IF(ISNUMBER(INDEX(파견수련계획!$AC$4:$AC$803,$AK174)),TEXT(INDEX(파견수련계획!$AC$4:$AC$803,$AK174),"yyyy-mm-dd"),""))</f>
        <v/>
      </c>
    </row>
    <row r="175">
      <c r="A175" s="10">
        <f>IF(B175="","",ROW()-1)</f>
        <v/>
      </c>
      <c r="B175" s="18" t="n"/>
      <c r="C175" s="10">
        <f>IF($AB175="","",IF(INDEX(기본자료!$C$2:$C$1001,$AB175)="","",INDEX(기본자료!$C$2:$C$1001,$AB175)))</f>
        <v/>
      </c>
      <c r="D175" s="10">
        <f>IF($AB175="","",IF(INDEX(기본자료!$J$2:$J$1001,$AB175)="","",INDEX(기본자료!$J$2:$J$1001,$AB175)))</f>
        <v/>
      </c>
      <c r="E175" s="11">
        <f>IF($AB175="","",IF(INDEX(기본자료!$K$2:$K$1001,$AB175)="","",IF(NOT(ISNUMBER(INDEX(기본자료!$K$2:$K$1001,$AB175))),INDEX(기본자료!$K$2:$K$1001,$AB175),IF(INDEX(기본자료!$K$2:$K$1001,$AB175)&lt;1000000,INDEX(기본자료!$K$2:$K$1001,$AB175),IF(AND(INDEX(기본자료!$K$2:$K$1001,$AB175)&gt;=10000101,INT(MOD(INDEX(기본자료!$K$2:$K$1001,$AB175),10000)/100)&gt;=1,INT(MOD(INDEX(기본자료!$K$2:$K$1001,$AB175),10000)/100)&lt;=12,MOD(INDEX(기본자료!$K$2:$K$1001,$AB175),100)&gt;=1,MOD(INDEX(기본자료!$K$2:$K$1001,$AB175),100)&lt;=31),DATE(INT(INDEX(기본자료!$K$2:$K$1001,$AB175)/10000),INT(MOD(INDEX(기본자료!$K$2:$K$1001,$AB175),10000)/100),MOD(INDEX(기본자료!$K$2:$K$1001,$AB175),100)),INDEX(기본자료!$K$2:$K$1001,$AB175)&amp;"")))))</f>
        <v/>
      </c>
      <c r="F175" s="10">
        <f>IF($AB175="","",IF(INDEX(기본자료!$D$2:$D$1001,$AB175)="","",INDEX(기본자료!$D$2:$D$1001,$AB175)))</f>
        <v/>
      </c>
      <c r="G175" s="10">
        <f>IF($AB175="","",IF(INDEX(기본자료!$E$2:$E$1001,$AB175)="","",INDEX(기본자료!$E$2:$E$1001,$AB175)))</f>
        <v/>
      </c>
      <c r="H175" s="10">
        <f>IF($AB175="","",IF(INDEX(기본자료!$F$2:$F$1001,$AB175)="","",INDEX(기본자료!$F$2:$F$1001,$AB175)))</f>
        <v/>
      </c>
      <c r="I175" s="11">
        <f>IF($AB175="","",IF(INDEX(기본자료!$G$2:$G$1001,$AB175)="","",IF(NOT(ISNUMBER(INDEX(기본자료!$G$2:$G$1001,$AB175))),INDEX(기본자료!$G$2:$G$1001,$AB175),IF(INDEX(기본자료!$G$2:$G$1001,$AB175)&lt;1000000,INDEX(기본자료!$G$2:$G$1001,$AB175),IF(AND(INDEX(기본자료!$G$2:$G$1001,$AB175)&gt;=10000101,INT(MOD(INDEX(기본자료!$G$2:$G$1001,$AB175),10000)/100)&gt;=1,INT(MOD(INDEX(기본자료!$G$2:$G$1001,$AB175),10000)/100)&lt;=12,MOD(INDEX(기본자료!$G$2:$G$1001,$AB175),100)&gt;=1,MOD(INDEX(기본자료!$G$2:$G$1001,$AB175),100)&lt;=31),DATE(INT(INDEX(기본자료!$G$2:$G$1001,$AB175)/10000),INT(MOD(INDEX(기본자료!$G$2:$G$1001,$AB175),10000)/100),MOD(INDEX(기본자료!$G$2:$G$1001,$AB175),100)),INDEX(기본자료!$G$2:$G$1001,$AB175)&amp;"")))))</f>
        <v/>
      </c>
      <c r="J175" s="10">
        <f>IF($AB175="","",IF(INDEX(기본자료!$H$2:$H$1001,$AB175)="","",INDEX(기본자료!$H$2:$H$1001,$AB175)))</f>
        <v/>
      </c>
      <c r="K175" s="10">
        <f>IF($AB175="","",IF(INDEX(기본자료!$I$2:$I$1001,$AB175)="","",INDEX(기본자료!$I$2:$I$1001,$AB175)))</f>
        <v/>
      </c>
      <c r="L175" s="10">
        <f>IF($AB175="","",IF(INDEX(기본자료!$A$2:$A$1001,$AB175)="","",INDEX(기본자료!$A$2:$A$1001,$AB175)))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파견수련계획!$AB$4:$AB$803,$AK175),OR(NOT(ISNUMBER(INDEX(파견수련계획!$AC$4:$AC$803,$AK175))),TODAY()&lt;=INDEX(파견수련계획!$AC$4:$AC$803,$AK175))),"다기관",IF($AF175="","",INDEX(파견수련계획!$T$4:$T$803,$AF175))),IF($AF175="","",INDEX(파견수련계획!$T$4:$T$803,$AF175))))</f>
        <v/>
      </c>
      <c r="Q175" s="10">
        <f>IF($AF175="","",INDEX(파견수련계획!$S$4:$S$803,$AF175))</f>
        <v/>
      </c>
      <c r="R175" s="10">
        <f>IF($AF175="","",INDEX(파견수련계획!$U$4:$U$803,$AF175))</f>
        <v/>
      </c>
      <c r="S175" s="11">
        <f>IF($AF175="","",IF(INDEX(파견수련계획!$H$4:$H$803,$AF175)="","",INDEX(파견수련계획!$H$4:$H$803,$AF175)))</f>
        <v/>
      </c>
      <c r="T175" s="11">
        <f>IF($AF175="","",IF(INDEX(파견수련계획!$I$4:$I$803,$AF175)="","",INDEX(파견수련계획!$I$4:$I$803,$AF175)))</f>
        <v/>
      </c>
      <c r="U175" s="10">
        <f>IF($AF175="","",INDEX(파견수련계획!$X$4:$X$803,$AF175))</f>
        <v/>
      </c>
      <c r="V175" s="17">
        <f>IF($AF175="","",INDEX(파견수련계획!$V$4:$V$803,$AF175))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IF(OR($B175="",TRIM($J175&amp;"")=""),"",SUMPRODUCT((파견수련계획!$Q$4:$Q$803=TRIM($J175&amp;""))*파견수련계획!$W$4:$W$803))</f>
        <v/>
      </c>
      <c r="Y175" s="10">
        <f>IF($B175="","",IF($AG175="","",IF(IF(TRIM($J175&amp;"")="",0,SUMPRODUCT((파견수련계획!$Q$4:$Q$803=TRIM($J175&amp;""))*파견수련계획!$AD$4:$AD$803))&gt;0,$AE175,IF(N($X175)&lt;=0,$AG175,IF($AH175+$AI175=DAY(EOMONTH(요약!$B$3,0)),IF(AND($AH175&gt;=요약!$E$3,$AI175&lt;요약!$E$3),"서울병원",IF(AND($AI175&gt;=요약!$E$3,$AH175&lt;요약!$E$3),"구리병원","⚠15일 판정불가(서울 "&amp;$AH175&amp;"일/구리 "&amp;$AI175&amp;"일)")),IF($AJ175="",$AE175,IF(INDEX(파견수련계획!$T$4:$T$803,$AJ175)="통합수련",INDEX(파견수련계획!$S$4:$S$803,$AJ175),$AE175)))))))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입력",IF(IF(TRIM($J175&amp;"")="",0,SUMPRODUCT((파견수련계획!$Q$4:$Q$803=TRIM($J175&amp;""))*(파견수련계획!$AA$4:$AA$803&lt;&gt;"")))&gt;0,"파견수련계획 입력오류 확인",IF(LEFT($Y175,1)="⚠","서울·구리 15일 판정 불가(양쪽 모두 이상/미만)",IF(IF($AC175="",0,N(INDEX(인턴근무계획!$T$3:$T$402,$AC175)))&gt;0,"인턴계획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IF($B175="","",IFERROR(MATCH($B175,기본자료!$B$2:$B$1001,0),IFERROR(MATCH($B175&amp;"",기본자료!$B$2:$B$1001,0),IFERROR(MATCH(VALUE($B175),기본자료!$B$2:$B$1001,0),""))))</f>
        <v/>
      </c>
      <c r="AC175" s="10">
        <f>IF($B175="","",IFERROR(MATCH($B175,인턴근무계획!$D$3:$D$402,0),IFERROR(MATCH($B175&amp;"",인턴근무계획!$D$3:$D$402,0),IFERROR(MATCH(VALUE($B175),인턴근무계획!$D$3:$D$402,0),""))))</f>
        <v/>
      </c>
      <c r="AD175" s="10">
        <f>IF(OR($AC175="",인턴현황!$G$3=""),"",INDEX(인턴근무계획!$M$3:$R$402,$AC175,인턴현황!$G$3)&amp;"")</f>
        <v/>
      </c>
      <c r="AE175" s="10">
        <f>IF($B175="","",IF($M175&lt;&gt;"",$M175,IF($AF175&lt;&gt;"",IF(LEFT(INDEX(파견수련계획!$R$4:$R$803,$AF175),1)&lt;&gt;"⚠",INDEX(파견수련계획!$R$4:$R$803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$803,0),IFERROR(MATCH(TRIM($J175&amp;"")&amp;"|파견예정",파견수련계획!$Y$4:$Y$803,0),IFERROR(MATCH(TRIM($J175&amp;"")&amp;"|파견종료",파견수련계획!$Y$4:$Y$803,0),""))))</f>
        <v/>
      </c>
      <c r="AG175" s="10">
        <f>IF($B175="","",IF(AND(IF(OR($AC175="",인턴현황!$K$2=""),"",INDEX(인턴근무계획!$M$3:$R$402,$AC175,인턴현황!$K$2)&amp;"")&lt;&gt;"",LEFT(IF(OR($AC175="",인턴현황!$K$2=""),"",INDEX(인턴근무계획!$M$3:$R$402,$AC175,인턴현황!$K$2)&amp;""),1)&lt;&gt;"⚠"),LEFT(IF(OR($AC175="",인턴현황!$K$2=""),"",INDEX(인턴근무계획!$M$3:$R$402,$AC175,인턴현황!$K$2)&amp;""),FIND(" ",IF(OR($AC175="",인턴현황!$K$2=""),"",INDEX(인턴근무계획!$M$3:$R$402,$AC175,인턴현황!$K$2)&amp;""))-1),$AE175))</f>
        <v/>
      </c>
      <c r="AH175" s="17">
        <f>IF($B175="","",IF(TRIM($J175&amp;"")="",0,SUMPRODUCT((파견수련계획!$Q$4:$Q$803=TRIM($J175&amp;""))*(파견수련계획!$S$4:$S$803="서울병원")*파견수련계획!$W$4:$W$803))+IF($AG175="서울병원",MAX(0,DAY(EOMONTH(요약!$B$3,0))-N($X175)),0))</f>
        <v/>
      </c>
      <c r="AI175" s="17">
        <f>IF($B175="","",IF(TRIM($J175&amp;"")="",0,SUMPRODUCT((파견수련계획!$Q$4:$Q$803=TRIM($J175&amp;""))*(파견수련계획!$S$4:$S$803="구리병원")*파견수련계획!$W$4:$W$803))+IF($AG175="구리병원",MAX(0,DAY(EOMONTH(요약!$B$3,0))-N($X175)),0))</f>
        <v/>
      </c>
      <c r="AJ175" s="10">
        <f>IF(OR($B175="",TRIM($J175&amp;"")=""),"",IFERROR(MATCH(TRIM($J175&amp;"")&amp;"|월",파견수련계획!$Z$4:$Z$803,0),""))</f>
        <v/>
      </c>
      <c r="AK175" s="10">
        <f>IF(OR($B175="",TRIM($J175&amp;"")=""),"",IFERROR(MATCH(TRIM($J175&amp;"")&amp;"|다기관",파견수련계획!$AE$4:$AE$803,0),""))</f>
        <v/>
      </c>
      <c r="AL175" s="10">
        <f>IF($AK175="","","다기관 "&amp;TEXT(INDEX(파견수련계획!$AB$4:$AB$803,$AK175),"yyyy-mm-dd")&amp;"~"&amp;IF(ISNUMBER(INDEX(파견수련계획!$AC$4:$AC$803,$AK175)),TEXT(INDEX(파견수련계획!$AC$4:$AC$803,$AK175),"yyyy-mm-dd"),""))</f>
        <v/>
      </c>
    </row>
    <row r="176">
      <c r="A176" s="10">
        <f>IF(B176="","",ROW()-1)</f>
        <v/>
      </c>
      <c r="B176" s="18" t="n"/>
      <c r="C176" s="10">
        <f>IF($AB176="","",IF(INDEX(기본자료!$C$2:$C$1001,$AB176)="","",INDEX(기본자료!$C$2:$C$1001,$AB176)))</f>
        <v/>
      </c>
      <c r="D176" s="10">
        <f>IF($AB176="","",IF(INDEX(기본자료!$J$2:$J$1001,$AB176)="","",INDEX(기본자료!$J$2:$J$1001,$AB176)))</f>
        <v/>
      </c>
      <c r="E176" s="11">
        <f>IF($AB176="","",IF(INDEX(기본자료!$K$2:$K$1001,$AB176)="","",IF(NOT(ISNUMBER(INDEX(기본자료!$K$2:$K$1001,$AB176))),INDEX(기본자료!$K$2:$K$1001,$AB176),IF(INDEX(기본자료!$K$2:$K$1001,$AB176)&lt;1000000,INDEX(기본자료!$K$2:$K$1001,$AB176),IF(AND(INDEX(기본자료!$K$2:$K$1001,$AB176)&gt;=10000101,INT(MOD(INDEX(기본자료!$K$2:$K$1001,$AB176),10000)/100)&gt;=1,INT(MOD(INDEX(기본자료!$K$2:$K$1001,$AB176),10000)/100)&lt;=12,MOD(INDEX(기본자료!$K$2:$K$1001,$AB176),100)&gt;=1,MOD(INDEX(기본자료!$K$2:$K$1001,$AB176),100)&lt;=31),DATE(INT(INDEX(기본자료!$K$2:$K$1001,$AB176)/10000),INT(MOD(INDEX(기본자료!$K$2:$K$1001,$AB176),10000)/100),MOD(INDEX(기본자료!$K$2:$K$1001,$AB176),100)),INDEX(기본자료!$K$2:$K$1001,$AB176)&amp;"")))))</f>
        <v/>
      </c>
      <c r="F176" s="10">
        <f>IF($AB176="","",IF(INDEX(기본자료!$D$2:$D$1001,$AB176)="","",INDEX(기본자료!$D$2:$D$1001,$AB176)))</f>
        <v/>
      </c>
      <c r="G176" s="10">
        <f>IF($AB176="","",IF(INDEX(기본자료!$E$2:$E$1001,$AB176)="","",INDEX(기본자료!$E$2:$E$1001,$AB176)))</f>
        <v/>
      </c>
      <c r="H176" s="10">
        <f>IF($AB176="","",IF(INDEX(기본자료!$F$2:$F$1001,$AB176)="","",INDEX(기본자료!$F$2:$F$1001,$AB176)))</f>
        <v/>
      </c>
      <c r="I176" s="11">
        <f>IF($AB176="","",IF(INDEX(기본자료!$G$2:$G$1001,$AB176)="","",IF(NOT(ISNUMBER(INDEX(기본자료!$G$2:$G$1001,$AB176))),INDEX(기본자료!$G$2:$G$1001,$AB176),IF(INDEX(기본자료!$G$2:$G$1001,$AB176)&lt;1000000,INDEX(기본자료!$G$2:$G$1001,$AB176),IF(AND(INDEX(기본자료!$G$2:$G$1001,$AB176)&gt;=10000101,INT(MOD(INDEX(기본자료!$G$2:$G$1001,$AB176),10000)/100)&gt;=1,INT(MOD(INDEX(기본자료!$G$2:$G$1001,$AB176),10000)/100)&lt;=12,MOD(INDEX(기본자료!$G$2:$G$1001,$AB176),100)&gt;=1,MOD(INDEX(기본자료!$G$2:$G$1001,$AB176),100)&lt;=31),DATE(INT(INDEX(기본자료!$G$2:$G$1001,$AB176)/10000),INT(MOD(INDEX(기본자료!$G$2:$G$1001,$AB176),10000)/100),MOD(INDEX(기본자료!$G$2:$G$1001,$AB176),100)),INDEX(기본자료!$G$2:$G$1001,$AB176)&amp;"")))))</f>
        <v/>
      </c>
      <c r="J176" s="10">
        <f>IF($AB176="","",IF(INDEX(기본자료!$H$2:$H$1001,$AB176)="","",INDEX(기본자료!$H$2:$H$1001,$AB176)))</f>
        <v/>
      </c>
      <c r="K176" s="10">
        <f>IF($AB176="","",IF(INDEX(기본자료!$I$2:$I$1001,$AB176)="","",INDEX(기본자료!$I$2:$I$1001,$AB176)))</f>
        <v/>
      </c>
      <c r="L176" s="10">
        <f>IF($AB176="","",IF(INDEX(기본자료!$A$2:$A$1001,$AB176)="","",INDEX(기본자료!$A$2:$A$1001,$AB176)))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파견수련계획!$AB$4:$AB$803,$AK176),OR(NOT(ISNUMBER(INDEX(파견수련계획!$AC$4:$AC$803,$AK176))),TODAY()&lt;=INDEX(파견수련계획!$AC$4:$AC$803,$AK176))),"다기관",IF($AF176="","",INDEX(파견수련계획!$T$4:$T$803,$AF176))),IF($AF176="","",INDEX(파견수련계획!$T$4:$T$803,$AF176))))</f>
        <v/>
      </c>
      <c r="Q176" s="10">
        <f>IF($AF176="","",INDEX(파견수련계획!$S$4:$S$803,$AF176))</f>
        <v/>
      </c>
      <c r="R176" s="10">
        <f>IF($AF176="","",INDEX(파견수련계획!$U$4:$U$803,$AF176))</f>
        <v/>
      </c>
      <c r="S176" s="11">
        <f>IF($AF176="","",IF(INDEX(파견수련계획!$H$4:$H$803,$AF176)="","",INDEX(파견수련계획!$H$4:$H$803,$AF176)))</f>
        <v/>
      </c>
      <c r="T176" s="11">
        <f>IF($AF176="","",IF(INDEX(파견수련계획!$I$4:$I$803,$AF176)="","",INDEX(파견수련계획!$I$4:$I$803,$AF176)))</f>
        <v/>
      </c>
      <c r="U176" s="10">
        <f>IF($AF176="","",INDEX(파견수련계획!$X$4:$X$803,$AF176))</f>
        <v/>
      </c>
      <c r="V176" s="17">
        <f>IF($AF176="","",INDEX(파견수련계획!$V$4:$V$803,$AF176))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IF(OR($B176="",TRIM($J176&amp;"")=""),"",SUMPRODUCT((파견수련계획!$Q$4:$Q$803=TRIM($J176&amp;""))*파견수련계획!$W$4:$W$803))</f>
        <v/>
      </c>
      <c r="Y176" s="10">
        <f>IF($B176="","",IF($AG176="","",IF(IF(TRIM($J176&amp;"")="",0,SUMPRODUCT((파견수련계획!$Q$4:$Q$803=TRIM($J176&amp;""))*파견수련계획!$AD$4:$AD$803))&gt;0,$AE176,IF(N($X176)&lt;=0,$AG176,IF($AH176+$AI176=DAY(EOMONTH(요약!$B$3,0)),IF(AND($AH176&gt;=요약!$E$3,$AI176&lt;요약!$E$3),"서울병원",IF(AND($AI176&gt;=요약!$E$3,$AH176&lt;요약!$E$3),"구리병원","⚠15일 판정불가(서울 "&amp;$AH176&amp;"일/구리 "&amp;$AI176&amp;"일)")),IF($AJ176="",$AE176,IF(INDEX(파견수련계획!$T$4:$T$803,$AJ176)="통합수련",INDEX(파견수련계획!$S$4:$S$803,$AJ176),$AE176)))))))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입력",IF(IF(TRIM($J176&amp;"")="",0,SUMPRODUCT((파견수련계획!$Q$4:$Q$803=TRIM($J176&amp;""))*(파견수련계획!$AA$4:$AA$803&lt;&gt;"")))&gt;0,"파견수련계획 입력오류 확인",IF(LEFT($Y176,1)="⚠","서울·구리 15일 판정 불가(양쪽 모두 이상/미만)",IF(IF($AC176="",0,N(INDEX(인턴근무계획!$T$3:$T$402,$AC176)))&gt;0,"인턴계획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IF($B176="","",IFERROR(MATCH($B176,기본자료!$B$2:$B$1001,0),IFERROR(MATCH($B176&amp;"",기본자료!$B$2:$B$1001,0),IFERROR(MATCH(VALUE($B176),기본자료!$B$2:$B$1001,0),""))))</f>
        <v/>
      </c>
      <c r="AC176" s="10">
        <f>IF($B176="","",IFERROR(MATCH($B176,인턴근무계획!$D$3:$D$402,0),IFERROR(MATCH($B176&amp;"",인턴근무계획!$D$3:$D$402,0),IFERROR(MATCH(VALUE($B176),인턴근무계획!$D$3:$D$402,0),""))))</f>
        <v/>
      </c>
      <c r="AD176" s="10">
        <f>IF(OR($AC176="",인턴현황!$G$3=""),"",INDEX(인턴근무계획!$M$3:$R$402,$AC176,인턴현황!$G$3)&amp;"")</f>
        <v/>
      </c>
      <c r="AE176" s="10">
        <f>IF($B176="","",IF($M176&lt;&gt;"",$M176,IF($AF176&lt;&gt;"",IF(LEFT(INDEX(파견수련계획!$R$4:$R$803,$AF176),1)&lt;&gt;"⚠",INDEX(파견수련계획!$R$4:$R$803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$803,0),IFERROR(MATCH(TRIM($J176&amp;"")&amp;"|파견예정",파견수련계획!$Y$4:$Y$803,0),IFERROR(MATCH(TRIM($J176&amp;"")&amp;"|파견종료",파견수련계획!$Y$4:$Y$803,0),""))))</f>
        <v/>
      </c>
      <c r="AG176" s="10">
        <f>IF($B176="","",IF(AND(IF(OR($AC176="",인턴현황!$K$2=""),"",INDEX(인턴근무계획!$M$3:$R$402,$AC176,인턴현황!$K$2)&amp;"")&lt;&gt;"",LEFT(IF(OR($AC176="",인턴현황!$K$2=""),"",INDEX(인턴근무계획!$M$3:$R$402,$AC176,인턴현황!$K$2)&amp;""),1)&lt;&gt;"⚠"),LEFT(IF(OR($AC176="",인턴현황!$K$2=""),"",INDEX(인턴근무계획!$M$3:$R$402,$AC176,인턴현황!$K$2)&amp;""),FIND(" ",IF(OR($AC176="",인턴현황!$K$2=""),"",INDEX(인턴근무계획!$M$3:$R$402,$AC176,인턴현황!$K$2)&amp;""))-1),$AE176))</f>
        <v/>
      </c>
      <c r="AH176" s="17">
        <f>IF($B176="","",IF(TRIM($J176&amp;"")="",0,SUMPRODUCT((파견수련계획!$Q$4:$Q$803=TRIM($J176&amp;""))*(파견수련계획!$S$4:$S$803="서울병원")*파견수련계획!$W$4:$W$803))+IF($AG176="서울병원",MAX(0,DAY(EOMONTH(요약!$B$3,0))-N($X176)),0))</f>
        <v/>
      </c>
      <c r="AI176" s="17">
        <f>IF($B176="","",IF(TRIM($J176&amp;"")="",0,SUMPRODUCT((파견수련계획!$Q$4:$Q$803=TRIM($J176&amp;""))*(파견수련계획!$S$4:$S$803="구리병원")*파견수련계획!$W$4:$W$803))+IF($AG176="구리병원",MAX(0,DAY(EOMONTH(요약!$B$3,0))-N($X176)),0))</f>
        <v/>
      </c>
      <c r="AJ176" s="10">
        <f>IF(OR($B176="",TRIM($J176&amp;"")=""),"",IFERROR(MATCH(TRIM($J176&amp;"")&amp;"|월",파견수련계획!$Z$4:$Z$803,0),""))</f>
        <v/>
      </c>
      <c r="AK176" s="10">
        <f>IF(OR($B176="",TRIM($J176&amp;"")=""),"",IFERROR(MATCH(TRIM($J176&amp;"")&amp;"|다기관",파견수련계획!$AE$4:$AE$803,0),""))</f>
        <v/>
      </c>
      <c r="AL176" s="10">
        <f>IF($AK176="","","다기관 "&amp;TEXT(INDEX(파견수련계획!$AB$4:$AB$803,$AK176),"yyyy-mm-dd")&amp;"~"&amp;IF(ISNUMBER(INDEX(파견수련계획!$AC$4:$AC$803,$AK176)),TEXT(INDEX(파견수련계획!$AC$4:$AC$803,$AK176),"yyyy-mm-dd"),""))</f>
        <v/>
      </c>
    </row>
    <row r="177">
      <c r="A177" s="10">
        <f>IF(B177="","",ROW()-1)</f>
        <v/>
      </c>
      <c r="B177" s="18" t="n"/>
      <c r="C177" s="10">
        <f>IF($AB177="","",IF(INDEX(기본자료!$C$2:$C$1001,$AB177)="","",INDEX(기본자료!$C$2:$C$1001,$AB177)))</f>
        <v/>
      </c>
      <c r="D177" s="10">
        <f>IF($AB177="","",IF(INDEX(기본자료!$J$2:$J$1001,$AB177)="","",INDEX(기본자료!$J$2:$J$1001,$AB177)))</f>
        <v/>
      </c>
      <c r="E177" s="11">
        <f>IF($AB177="","",IF(INDEX(기본자료!$K$2:$K$1001,$AB177)="","",IF(NOT(ISNUMBER(INDEX(기본자료!$K$2:$K$1001,$AB177))),INDEX(기본자료!$K$2:$K$1001,$AB177),IF(INDEX(기본자료!$K$2:$K$1001,$AB177)&lt;1000000,INDEX(기본자료!$K$2:$K$1001,$AB177),IF(AND(INDEX(기본자료!$K$2:$K$1001,$AB177)&gt;=10000101,INT(MOD(INDEX(기본자료!$K$2:$K$1001,$AB177),10000)/100)&gt;=1,INT(MOD(INDEX(기본자료!$K$2:$K$1001,$AB177),10000)/100)&lt;=12,MOD(INDEX(기본자료!$K$2:$K$1001,$AB177),100)&gt;=1,MOD(INDEX(기본자료!$K$2:$K$1001,$AB177),100)&lt;=31),DATE(INT(INDEX(기본자료!$K$2:$K$1001,$AB177)/10000),INT(MOD(INDEX(기본자료!$K$2:$K$1001,$AB177),10000)/100),MOD(INDEX(기본자료!$K$2:$K$1001,$AB177),100)),INDEX(기본자료!$K$2:$K$1001,$AB177)&amp;"")))))</f>
        <v/>
      </c>
      <c r="F177" s="10">
        <f>IF($AB177="","",IF(INDEX(기본자료!$D$2:$D$1001,$AB177)="","",INDEX(기본자료!$D$2:$D$1001,$AB177)))</f>
        <v/>
      </c>
      <c r="G177" s="10">
        <f>IF($AB177="","",IF(INDEX(기본자료!$E$2:$E$1001,$AB177)="","",INDEX(기본자료!$E$2:$E$1001,$AB177)))</f>
        <v/>
      </c>
      <c r="H177" s="10">
        <f>IF($AB177="","",IF(INDEX(기본자료!$F$2:$F$1001,$AB177)="","",INDEX(기본자료!$F$2:$F$1001,$AB177)))</f>
        <v/>
      </c>
      <c r="I177" s="11">
        <f>IF($AB177="","",IF(INDEX(기본자료!$G$2:$G$1001,$AB177)="","",IF(NOT(ISNUMBER(INDEX(기본자료!$G$2:$G$1001,$AB177))),INDEX(기본자료!$G$2:$G$1001,$AB177),IF(INDEX(기본자료!$G$2:$G$1001,$AB177)&lt;1000000,INDEX(기본자료!$G$2:$G$1001,$AB177),IF(AND(INDEX(기본자료!$G$2:$G$1001,$AB177)&gt;=10000101,INT(MOD(INDEX(기본자료!$G$2:$G$1001,$AB177),10000)/100)&gt;=1,INT(MOD(INDEX(기본자료!$G$2:$G$1001,$AB177),10000)/100)&lt;=12,MOD(INDEX(기본자료!$G$2:$G$1001,$AB177),100)&gt;=1,MOD(INDEX(기본자료!$G$2:$G$1001,$AB177),100)&lt;=31),DATE(INT(INDEX(기본자료!$G$2:$G$1001,$AB177)/10000),INT(MOD(INDEX(기본자료!$G$2:$G$1001,$AB177),10000)/100),MOD(INDEX(기본자료!$G$2:$G$1001,$AB177),100)),INDEX(기본자료!$G$2:$G$1001,$AB177)&amp;"")))))</f>
        <v/>
      </c>
      <c r="J177" s="10">
        <f>IF($AB177="","",IF(INDEX(기본자료!$H$2:$H$1001,$AB177)="","",INDEX(기본자료!$H$2:$H$1001,$AB177)))</f>
        <v/>
      </c>
      <c r="K177" s="10">
        <f>IF($AB177="","",IF(INDEX(기본자료!$I$2:$I$1001,$AB177)="","",INDEX(기본자료!$I$2:$I$1001,$AB177)))</f>
        <v/>
      </c>
      <c r="L177" s="10">
        <f>IF($AB177="","",IF(INDEX(기본자료!$A$2:$A$1001,$AB177)="","",INDEX(기본자료!$A$2:$A$1001,$AB177)))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파견수련계획!$AB$4:$AB$803,$AK177),OR(NOT(ISNUMBER(INDEX(파견수련계획!$AC$4:$AC$803,$AK177))),TODAY()&lt;=INDEX(파견수련계획!$AC$4:$AC$803,$AK177))),"다기관",IF($AF177="","",INDEX(파견수련계획!$T$4:$T$803,$AF177))),IF($AF177="","",INDEX(파견수련계획!$T$4:$T$803,$AF177))))</f>
        <v/>
      </c>
      <c r="Q177" s="10">
        <f>IF($AF177="","",INDEX(파견수련계획!$S$4:$S$803,$AF177))</f>
        <v/>
      </c>
      <c r="R177" s="10">
        <f>IF($AF177="","",INDEX(파견수련계획!$U$4:$U$803,$AF177))</f>
        <v/>
      </c>
      <c r="S177" s="11">
        <f>IF($AF177="","",IF(INDEX(파견수련계획!$H$4:$H$803,$AF177)="","",INDEX(파견수련계획!$H$4:$H$803,$AF177)))</f>
        <v/>
      </c>
      <c r="T177" s="11">
        <f>IF($AF177="","",IF(INDEX(파견수련계획!$I$4:$I$803,$AF177)="","",INDEX(파견수련계획!$I$4:$I$803,$AF177)))</f>
        <v/>
      </c>
      <c r="U177" s="10">
        <f>IF($AF177="","",INDEX(파견수련계획!$X$4:$X$803,$AF177))</f>
        <v/>
      </c>
      <c r="V177" s="17">
        <f>IF($AF177="","",INDEX(파견수련계획!$V$4:$V$803,$AF177))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IF(OR($B177="",TRIM($J177&amp;"")=""),"",SUMPRODUCT((파견수련계획!$Q$4:$Q$803=TRIM($J177&amp;""))*파견수련계획!$W$4:$W$803))</f>
        <v/>
      </c>
      <c r="Y177" s="10">
        <f>IF($B177="","",IF($AG177="","",IF(IF(TRIM($J177&amp;"")="",0,SUMPRODUCT((파견수련계획!$Q$4:$Q$803=TRIM($J177&amp;""))*파견수련계획!$AD$4:$AD$803))&gt;0,$AE177,IF(N($X177)&lt;=0,$AG177,IF($AH177+$AI177=DAY(EOMONTH(요약!$B$3,0)),IF(AND($AH177&gt;=요약!$E$3,$AI177&lt;요약!$E$3),"서울병원",IF(AND($AI177&gt;=요약!$E$3,$AH177&lt;요약!$E$3),"구리병원","⚠15일 판정불가(서울 "&amp;$AH177&amp;"일/구리 "&amp;$AI177&amp;"일)")),IF($AJ177="",$AE177,IF(INDEX(파견수련계획!$T$4:$T$803,$AJ177)="통합수련",INDEX(파견수련계획!$S$4:$S$803,$AJ177),$AE177)))))))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입력",IF(IF(TRIM($J177&amp;"")="",0,SUMPRODUCT((파견수련계획!$Q$4:$Q$803=TRIM($J177&amp;""))*(파견수련계획!$AA$4:$AA$803&lt;&gt;"")))&gt;0,"파견수련계획 입력오류 확인",IF(LEFT($Y177,1)="⚠","서울·구리 15일 판정 불가(양쪽 모두 이상/미만)",IF(IF($AC177="",0,N(INDEX(인턴근무계획!$T$3:$T$402,$AC177)))&gt;0,"인턴계획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IF($B177="","",IFERROR(MATCH($B177,기본자료!$B$2:$B$1001,0),IFERROR(MATCH($B177&amp;"",기본자료!$B$2:$B$1001,0),IFERROR(MATCH(VALUE($B177),기본자료!$B$2:$B$1001,0),""))))</f>
        <v/>
      </c>
      <c r="AC177" s="10">
        <f>IF($B177="","",IFERROR(MATCH($B177,인턴근무계획!$D$3:$D$402,0),IFERROR(MATCH($B177&amp;"",인턴근무계획!$D$3:$D$402,0),IFERROR(MATCH(VALUE($B177),인턴근무계획!$D$3:$D$402,0),""))))</f>
        <v/>
      </c>
      <c r="AD177" s="10">
        <f>IF(OR($AC177="",인턴현황!$G$3=""),"",INDEX(인턴근무계획!$M$3:$R$402,$AC177,인턴현황!$G$3)&amp;"")</f>
        <v/>
      </c>
      <c r="AE177" s="10">
        <f>IF($B177="","",IF($M177&lt;&gt;"",$M177,IF($AF177&lt;&gt;"",IF(LEFT(INDEX(파견수련계획!$R$4:$R$803,$AF177),1)&lt;&gt;"⚠",INDEX(파견수련계획!$R$4:$R$803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$803,0),IFERROR(MATCH(TRIM($J177&amp;"")&amp;"|파견예정",파견수련계획!$Y$4:$Y$803,0),IFERROR(MATCH(TRIM($J177&amp;"")&amp;"|파견종료",파견수련계획!$Y$4:$Y$803,0),""))))</f>
        <v/>
      </c>
      <c r="AG177" s="10">
        <f>IF($B177="","",IF(AND(IF(OR($AC177="",인턴현황!$K$2=""),"",INDEX(인턴근무계획!$M$3:$R$402,$AC177,인턴현황!$K$2)&amp;"")&lt;&gt;"",LEFT(IF(OR($AC177="",인턴현황!$K$2=""),"",INDEX(인턴근무계획!$M$3:$R$402,$AC177,인턴현황!$K$2)&amp;""),1)&lt;&gt;"⚠"),LEFT(IF(OR($AC177="",인턴현황!$K$2=""),"",INDEX(인턴근무계획!$M$3:$R$402,$AC177,인턴현황!$K$2)&amp;""),FIND(" ",IF(OR($AC177="",인턴현황!$K$2=""),"",INDEX(인턴근무계획!$M$3:$R$402,$AC177,인턴현황!$K$2)&amp;""))-1),$AE177))</f>
        <v/>
      </c>
      <c r="AH177" s="17">
        <f>IF($B177="","",IF(TRIM($J177&amp;"")="",0,SUMPRODUCT((파견수련계획!$Q$4:$Q$803=TRIM($J177&amp;""))*(파견수련계획!$S$4:$S$803="서울병원")*파견수련계획!$W$4:$W$803))+IF($AG177="서울병원",MAX(0,DAY(EOMONTH(요약!$B$3,0))-N($X177)),0))</f>
        <v/>
      </c>
      <c r="AI177" s="17">
        <f>IF($B177="","",IF(TRIM($J177&amp;"")="",0,SUMPRODUCT((파견수련계획!$Q$4:$Q$803=TRIM($J177&amp;""))*(파견수련계획!$S$4:$S$803="구리병원")*파견수련계획!$W$4:$W$803))+IF($AG177="구리병원",MAX(0,DAY(EOMONTH(요약!$B$3,0))-N($X177)),0))</f>
        <v/>
      </c>
      <c r="AJ177" s="10">
        <f>IF(OR($B177="",TRIM($J177&amp;"")=""),"",IFERROR(MATCH(TRIM($J177&amp;"")&amp;"|월",파견수련계획!$Z$4:$Z$803,0),""))</f>
        <v/>
      </c>
      <c r="AK177" s="10">
        <f>IF(OR($B177="",TRIM($J177&amp;"")=""),"",IFERROR(MATCH(TRIM($J177&amp;"")&amp;"|다기관",파견수련계획!$AE$4:$AE$803,0),""))</f>
        <v/>
      </c>
      <c r="AL177" s="10">
        <f>IF($AK177="","","다기관 "&amp;TEXT(INDEX(파견수련계획!$AB$4:$AB$803,$AK177),"yyyy-mm-dd")&amp;"~"&amp;IF(ISNUMBER(INDEX(파견수련계획!$AC$4:$AC$803,$AK177)),TEXT(INDEX(파견수련계획!$AC$4:$AC$803,$AK177),"yyyy-mm-dd"),""))</f>
        <v/>
      </c>
    </row>
    <row r="178">
      <c r="A178" s="10">
        <f>IF(B178="","",ROW()-1)</f>
        <v/>
      </c>
      <c r="B178" s="18" t="n"/>
      <c r="C178" s="10">
        <f>IF($AB178="","",IF(INDEX(기본자료!$C$2:$C$1001,$AB178)="","",INDEX(기본자료!$C$2:$C$1001,$AB178)))</f>
        <v/>
      </c>
      <c r="D178" s="10">
        <f>IF($AB178="","",IF(INDEX(기본자료!$J$2:$J$1001,$AB178)="","",INDEX(기본자료!$J$2:$J$1001,$AB178)))</f>
        <v/>
      </c>
      <c r="E178" s="11">
        <f>IF($AB178="","",IF(INDEX(기본자료!$K$2:$K$1001,$AB178)="","",IF(NOT(ISNUMBER(INDEX(기본자료!$K$2:$K$1001,$AB178))),INDEX(기본자료!$K$2:$K$1001,$AB178),IF(INDEX(기본자료!$K$2:$K$1001,$AB178)&lt;1000000,INDEX(기본자료!$K$2:$K$1001,$AB178),IF(AND(INDEX(기본자료!$K$2:$K$1001,$AB178)&gt;=10000101,INT(MOD(INDEX(기본자료!$K$2:$K$1001,$AB178),10000)/100)&gt;=1,INT(MOD(INDEX(기본자료!$K$2:$K$1001,$AB178),10000)/100)&lt;=12,MOD(INDEX(기본자료!$K$2:$K$1001,$AB178),100)&gt;=1,MOD(INDEX(기본자료!$K$2:$K$1001,$AB178),100)&lt;=31),DATE(INT(INDEX(기본자료!$K$2:$K$1001,$AB178)/10000),INT(MOD(INDEX(기본자료!$K$2:$K$1001,$AB178),10000)/100),MOD(INDEX(기본자료!$K$2:$K$1001,$AB178),100)),INDEX(기본자료!$K$2:$K$1001,$AB178)&amp;"")))))</f>
        <v/>
      </c>
      <c r="F178" s="10">
        <f>IF($AB178="","",IF(INDEX(기본자료!$D$2:$D$1001,$AB178)="","",INDEX(기본자료!$D$2:$D$1001,$AB178)))</f>
        <v/>
      </c>
      <c r="G178" s="10">
        <f>IF($AB178="","",IF(INDEX(기본자료!$E$2:$E$1001,$AB178)="","",INDEX(기본자료!$E$2:$E$1001,$AB178)))</f>
        <v/>
      </c>
      <c r="H178" s="10">
        <f>IF($AB178="","",IF(INDEX(기본자료!$F$2:$F$1001,$AB178)="","",INDEX(기본자료!$F$2:$F$1001,$AB178)))</f>
        <v/>
      </c>
      <c r="I178" s="11">
        <f>IF($AB178="","",IF(INDEX(기본자료!$G$2:$G$1001,$AB178)="","",IF(NOT(ISNUMBER(INDEX(기본자료!$G$2:$G$1001,$AB178))),INDEX(기본자료!$G$2:$G$1001,$AB178),IF(INDEX(기본자료!$G$2:$G$1001,$AB178)&lt;1000000,INDEX(기본자료!$G$2:$G$1001,$AB178),IF(AND(INDEX(기본자료!$G$2:$G$1001,$AB178)&gt;=10000101,INT(MOD(INDEX(기본자료!$G$2:$G$1001,$AB178),10000)/100)&gt;=1,INT(MOD(INDEX(기본자료!$G$2:$G$1001,$AB178),10000)/100)&lt;=12,MOD(INDEX(기본자료!$G$2:$G$1001,$AB178),100)&gt;=1,MOD(INDEX(기본자료!$G$2:$G$1001,$AB178),100)&lt;=31),DATE(INT(INDEX(기본자료!$G$2:$G$1001,$AB178)/10000),INT(MOD(INDEX(기본자료!$G$2:$G$1001,$AB178),10000)/100),MOD(INDEX(기본자료!$G$2:$G$1001,$AB178),100)),INDEX(기본자료!$G$2:$G$1001,$AB178)&amp;"")))))</f>
        <v/>
      </c>
      <c r="J178" s="10">
        <f>IF($AB178="","",IF(INDEX(기본자료!$H$2:$H$1001,$AB178)="","",INDEX(기본자료!$H$2:$H$1001,$AB178)))</f>
        <v/>
      </c>
      <c r="K178" s="10">
        <f>IF($AB178="","",IF(INDEX(기본자료!$I$2:$I$1001,$AB178)="","",INDEX(기본자료!$I$2:$I$1001,$AB178)))</f>
        <v/>
      </c>
      <c r="L178" s="10">
        <f>IF($AB178="","",IF(INDEX(기본자료!$A$2:$A$1001,$AB178)="","",INDEX(기본자료!$A$2:$A$1001,$AB178)))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파견수련계획!$AB$4:$AB$803,$AK178),OR(NOT(ISNUMBER(INDEX(파견수련계획!$AC$4:$AC$803,$AK178))),TODAY()&lt;=INDEX(파견수련계획!$AC$4:$AC$803,$AK178))),"다기관",IF($AF178="","",INDEX(파견수련계획!$T$4:$T$803,$AF178))),IF($AF178="","",INDEX(파견수련계획!$T$4:$T$803,$AF178))))</f>
        <v/>
      </c>
      <c r="Q178" s="10">
        <f>IF($AF178="","",INDEX(파견수련계획!$S$4:$S$803,$AF178))</f>
        <v/>
      </c>
      <c r="R178" s="10">
        <f>IF($AF178="","",INDEX(파견수련계획!$U$4:$U$803,$AF178))</f>
        <v/>
      </c>
      <c r="S178" s="11">
        <f>IF($AF178="","",IF(INDEX(파견수련계획!$H$4:$H$803,$AF178)="","",INDEX(파견수련계획!$H$4:$H$803,$AF178)))</f>
        <v/>
      </c>
      <c r="T178" s="11">
        <f>IF($AF178="","",IF(INDEX(파견수련계획!$I$4:$I$803,$AF178)="","",INDEX(파견수련계획!$I$4:$I$803,$AF178)))</f>
        <v/>
      </c>
      <c r="U178" s="10">
        <f>IF($AF178="","",INDEX(파견수련계획!$X$4:$X$803,$AF178))</f>
        <v/>
      </c>
      <c r="V178" s="17">
        <f>IF($AF178="","",INDEX(파견수련계획!$V$4:$V$803,$AF178))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IF(OR($B178="",TRIM($J178&amp;"")=""),"",SUMPRODUCT((파견수련계획!$Q$4:$Q$803=TRIM($J178&amp;""))*파견수련계획!$W$4:$W$803))</f>
        <v/>
      </c>
      <c r="Y178" s="10">
        <f>IF($B178="","",IF($AG178="","",IF(IF(TRIM($J178&amp;"")="",0,SUMPRODUCT((파견수련계획!$Q$4:$Q$803=TRIM($J178&amp;""))*파견수련계획!$AD$4:$AD$803))&gt;0,$AE178,IF(N($X178)&lt;=0,$AG178,IF($AH178+$AI178=DAY(EOMONTH(요약!$B$3,0)),IF(AND($AH178&gt;=요약!$E$3,$AI178&lt;요약!$E$3),"서울병원",IF(AND($AI178&gt;=요약!$E$3,$AH178&lt;요약!$E$3),"구리병원","⚠15일 판정불가(서울 "&amp;$AH178&amp;"일/구리 "&amp;$AI178&amp;"일)")),IF($AJ178="",$AE178,IF(INDEX(파견수련계획!$T$4:$T$803,$AJ178)="통합수련",INDEX(파견수련계획!$S$4:$S$803,$AJ178),$AE178)))))))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입력",IF(IF(TRIM($J178&amp;"")="",0,SUMPRODUCT((파견수련계획!$Q$4:$Q$803=TRIM($J178&amp;""))*(파견수련계획!$AA$4:$AA$803&lt;&gt;"")))&gt;0,"파견수련계획 입력오류 확인",IF(LEFT($Y178,1)="⚠","서울·구리 15일 판정 불가(양쪽 모두 이상/미만)",IF(IF($AC178="",0,N(INDEX(인턴근무계획!$T$3:$T$402,$AC178)))&gt;0,"인턴계획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IF($B178="","",IFERROR(MATCH($B178,기본자료!$B$2:$B$1001,0),IFERROR(MATCH($B178&amp;"",기본자료!$B$2:$B$1001,0),IFERROR(MATCH(VALUE($B178),기본자료!$B$2:$B$1001,0),""))))</f>
        <v/>
      </c>
      <c r="AC178" s="10">
        <f>IF($B178="","",IFERROR(MATCH($B178,인턴근무계획!$D$3:$D$402,0),IFERROR(MATCH($B178&amp;"",인턴근무계획!$D$3:$D$402,0),IFERROR(MATCH(VALUE($B178),인턴근무계획!$D$3:$D$402,0),""))))</f>
        <v/>
      </c>
      <c r="AD178" s="10">
        <f>IF(OR($AC178="",인턴현황!$G$3=""),"",INDEX(인턴근무계획!$M$3:$R$402,$AC178,인턴현황!$G$3)&amp;"")</f>
        <v/>
      </c>
      <c r="AE178" s="10">
        <f>IF($B178="","",IF($M178&lt;&gt;"",$M178,IF($AF178&lt;&gt;"",IF(LEFT(INDEX(파견수련계획!$R$4:$R$803,$AF178),1)&lt;&gt;"⚠",INDEX(파견수련계획!$R$4:$R$803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$803,0),IFERROR(MATCH(TRIM($J178&amp;"")&amp;"|파견예정",파견수련계획!$Y$4:$Y$803,0),IFERROR(MATCH(TRIM($J178&amp;"")&amp;"|파견종료",파견수련계획!$Y$4:$Y$803,0),""))))</f>
        <v/>
      </c>
      <c r="AG178" s="10">
        <f>IF($B178="","",IF(AND(IF(OR($AC178="",인턴현황!$K$2=""),"",INDEX(인턴근무계획!$M$3:$R$402,$AC178,인턴현황!$K$2)&amp;"")&lt;&gt;"",LEFT(IF(OR($AC178="",인턴현황!$K$2=""),"",INDEX(인턴근무계획!$M$3:$R$402,$AC178,인턴현황!$K$2)&amp;""),1)&lt;&gt;"⚠"),LEFT(IF(OR($AC178="",인턴현황!$K$2=""),"",INDEX(인턴근무계획!$M$3:$R$402,$AC178,인턴현황!$K$2)&amp;""),FIND(" ",IF(OR($AC178="",인턴현황!$K$2=""),"",INDEX(인턴근무계획!$M$3:$R$402,$AC178,인턴현황!$K$2)&amp;""))-1),$AE178))</f>
        <v/>
      </c>
      <c r="AH178" s="17">
        <f>IF($B178="","",IF(TRIM($J178&amp;"")="",0,SUMPRODUCT((파견수련계획!$Q$4:$Q$803=TRIM($J178&amp;""))*(파견수련계획!$S$4:$S$803="서울병원")*파견수련계획!$W$4:$W$803))+IF($AG178="서울병원",MAX(0,DAY(EOMONTH(요약!$B$3,0))-N($X178)),0))</f>
        <v/>
      </c>
      <c r="AI178" s="17">
        <f>IF($B178="","",IF(TRIM($J178&amp;"")="",0,SUMPRODUCT((파견수련계획!$Q$4:$Q$803=TRIM($J178&amp;""))*(파견수련계획!$S$4:$S$803="구리병원")*파견수련계획!$W$4:$W$803))+IF($AG178="구리병원",MAX(0,DAY(EOMONTH(요약!$B$3,0))-N($X178)),0))</f>
        <v/>
      </c>
      <c r="AJ178" s="10">
        <f>IF(OR($B178="",TRIM($J178&amp;"")=""),"",IFERROR(MATCH(TRIM($J178&amp;"")&amp;"|월",파견수련계획!$Z$4:$Z$803,0),""))</f>
        <v/>
      </c>
      <c r="AK178" s="10">
        <f>IF(OR($B178="",TRIM($J178&amp;"")=""),"",IFERROR(MATCH(TRIM($J178&amp;"")&amp;"|다기관",파견수련계획!$AE$4:$AE$803,0),""))</f>
        <v/>
      </c>
      <c r="AL178" s="10">
        <f>IF($AK178="","","다기관 "&amp;TEXT(INDEX(파견수련계획!$AB$4:$AB$803,$AK178),"yyyy-mm-dd")&amp;"~"&amp;IF(ISNUMBER(INDEX(파견수련계획!$AC$4:$AC$803,$AK178)),TEXT(INDEX(파견수련계획!$AC$4:$AC$803,$AK178),"yyyy-mm-dd"),""))</f>
        <v/>
      </c>
    </row>
    <row r="179">
      <c r="A179" s="10">
        <f>IF(B179="","",ROW()-1)</f>
        <v/>
      </c>
      <c r="B179" s="18" t="n"/>
      <c r="C179" s="10">
        <f>IF($AB179="","",IF(INDEX(기본자료!$C$2:$C$1001,$AB179)="","",INDEX(기본자료!$C$2:$C$1001,$AB179)))</f>
        <v/>
      </c>
      <c r="D179" s="10">
        <f>IF($AB179="","",IF(INDEX(기본자료!$J$2:$J$1001,$AB179)="","",INDEX(기본자료!$J$2:$J$1001,$AB179)))</f>
        <v/>
      </c>
      <c r="E179" s="11">
        <f>IF($AB179="","",IF(INDEX(기본자료!$K$2:$K$1001,$AB179)="","",IF(NOT(ISNUMBER(INDEX(기본자료!$K$2:$K$1001,$AB179))),INDEX(기본자료!$K$2:$K$1001,$AB179),IF(INDEX(기본자료!$K$2:$K$1001,$AB179)&lt;1000000,INDEX(기본자료!$K$2:$K$1001,$AB179),IF(AND(INDEX(기본자료!$K$2:$K$1001,$AB179)&gt;=10000101,INT(MOD(INDEX(기본자료!$K$2:$K$1001,$AB179),10000)/100)&gt;=1,INT(MOD(INDEX(기본자료!$K$2:$K$1001,$AB179),10000)/100)&lt;=12,MOD(INDEX(기본자료!$K$2:$K$1001,$AB179),100)&gt;=1,MOD(INDEX(기본자료!$K$2:$K$1001,$AB179),100)&lt;=31),DATE(INT(INDEX(기본자료!$K$2:$K$1001,$AB179)/10000),INT(MOD(INDEX(기본자료!$K$2:$K$1001,$AB179),10000)/100),MOD(INDEX(기본자료!$K$2:$K$1001,$AB179),100)),INDEX(기본자료!$K$2:$K$1001,$AB179)&amp;"")))))</f>
        <v/>
      </c>
      <c r="F179" s="10">
        <f>IF($AB179="","",IF(INDEX(기본자료!$D$2:$D$1001,$AB179)="","",INDEX(기본자료!$D$2:$D$1001,$AB179)))</f>
        <v/>
      </c>
      <c r="G179" s="10">
        <f>IF($AB179="","",IF(INDEX(기본자료!$E$2:$E$1001,$AB179)="","",INDEX(기본자료!$E$2:$E$1001,$AB179)))</f>
        <v/>
      </c>
      <c r="H179" s="10">
        <f>IF($AB179="","",IF(INDEX(기본자료!$F$2:$F$1001,$AB179)="","",INDEX(기본자료!$F$2:$F$1001,$AB179)))</f>
        <v/>
      </c>
      <c r="I179" s="11">
        <f>IF($AB179="","",IF(INDEX(기본자료!$G$2:$G$1001,$AB179)="","",IF(NOT(ISNUMBER(INDEX(기본자료!$G$2:$G$1001,$AB179))),INDEX(기본자료!$G$2:$G$1001,$AB179),IF(INDEX(기본자료!$G$2:$G$1001,$AB179)&lt;1000000,INDEX(기본자료!$G$2:$G$1001,$AB179),IF(AND(INDEX(기본자료!$G$2:$G$1001,$AB179)&gt;=10000101,INT(MOD(INDEX(기본자료!$G$2:$G$1001,$AB179),10000)/100)&gt;=1,INT(MOD(INDEX(기본자료!$G$2:$G$1001,$AB179),10000)/100)&lt;=12,MOD(INDEX(기본자료!$G$2:$G$1001,$AB179),100)&gt;=1,MOD(INDEX(기본자료!$G$2:$G$1001,$AB179),100)&lt;=31),DATE(INT(INDEX(기본자료!$G$2:$G$1001,$AB179)/10000),INT(MOD(INDEX(기본자료!$G$2:$G$1001,$AB179),10000)/100),MOD(INDEX(기본자료!$G$2:$G$1001,$AB179),100)),INDEX(기본자료!$G$2:$G$1001,$AB179)&amp;"")))))</f>
        <v/>
      </c>
      <c r="J179" s="10">
        <f>IF($AB179="","",IF(INDEX(기본자료!$H$2:$H$1001,$AB179)="","",INDEX(기본자료!$H$2:$H$1001,$AB179)))</f>
        <v/>
      </c>
      <c r="K179" s="10">
        <f>IF($AB179="","",IF(INDEX(기본자료!$I$2:$I$1001,$AB179)="","",INDEX(기본자료!$I$2:$I$1001,$AB179)))</f>
        <v/>
      </c>
      <c r="L179" s="10">
        <f>IF($AB179="","",IF(INDEX(기본자료!$A$2:$A$1001,$AB179)="","",INDEX(기본자료!$A$2:$A$1001,$AB179)))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파견수련계획!$AB$4:$AB$803,$AK179),OR(NOT(ISNUMBER(INDEX(파견수련계획!$AC$4:$AC$803,$AK179))),TODAY()&lt;=INDEX(파견수련계획!$AC$4:$AC$803,$AK179))),"다기관",IF($AF179="","",INDEX(파견수련계획!$T$4:$T$803,$AF179))),IF($AF179="","",INDEX(파견수련계획!$T$4:$T$803,$AF179))))</f>
        <v/>
      </c>
      <c r="Q179" s="10">
        <f>IF($AF179="","",INDEX(파견수련계획!$S$4:$S$803,$AF179))</f>
        <v/>
      </c>
      <c r="R179" s="10">
        <f>IF($AF179="","",INDEX(파견수련계획!$U$4:$U$803,$AF179))</f>
        <v/>
      </c>
      <c r="S179" s="11">
        <f>IF($AF179="","",IF(INDEX(파견수련계획!$H$4:$H$803,$AF179)="","",INDEX(파견수련계획!$H$4:$H$803,$AF179)))</f>
        <v/>
      </c>
      <c r="T179" s="11">
        <f>IF($AF179="","",IF(INDEX(파견수련계획!$I$4:$I$803,$AF179)="","",INDEX(파견수련계획!$I$4:$I$803,$AF179)))</f>
        <v/>
      </c>
      <c r="U179" s="10">
        <f>IF($AF179="","",INDEX(파견수련계획!$X$4:$X$803,$AF179))</f>
        <v/>
      </c>
      <c r="V179" s="17">
        <f>IF($AF179="","",INDEX(파견수련계획!$V$4:$V$803,$AF179))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IF(OR($B179="",TRIM($J179&amp;"")=""),"",SUMPRODUCT((파견수련계획!$Q$4:$Q$803=TRIM($J179&amp;""))*파견수련계획!$W$4:$W$803))</f>
        <v/>
      </c>
      <c r="Y179" s="10">
        <f>IF($B179="","",IF($AG179="","",IF(IF(TRIM($J179&amp;"")="",0,SUMPRODUCT((파견수련계획!$Q$4:$Q$803=TRIM($J179&amp;""))*파견수련계획!$AD$4:$AD$803))&gt;0,$AE179,IF(N($X179)&lt;=0,$AG179,IF($AH179+$AI179=DAY(EOMONTH(요약!$B$3,0)),IF(AND($AH179&gt;=요약!$E$3,$AI179&lt;요약!$E$3),"서울병원",IF(AND($AI179&gt;=요약!$E$3,$AH179&lt;요약!$E$3),"구리병원","⚠15일 판정불가(서울 "&amp;$AH179&amp;"일/구리 "&amp;$AI179&amp;"일)")),IF($AJ179="",$AE179,IF(INDEX(파견수련계획!$T$4:$T$803,$AJ179)="통합수련",INDEX(파견수련계획!$S$4:$S$803,$AJ179),$AE179)))))))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입력",IF(IF(TRIM($J179&amp;"")="",0,SUMPRODUCT((파견수련계획!$Q$4:$Q$803=TRIM($J179&amp;""))*(파견수련계획!$AA$4:$AA$803&lt;&gt;"")))&gt;0,"파견수련계획 입력오류 확인",IF(LEFT($Y179,1)="⚠","서울·구리 15일 판정 불가(양쪽 모두 이상/미만)",IF(IF($AC179="",0,N(INDEX(인턴근무계획!$T$3:$T$402,$AC179)))&gt;0,"인턴계획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IF($B179="","",IFERROR(MATCH($B179,기본자료!$B$2:$B$1001,0),IFERROR(MATCH($B179&amp;"",기본자료!$B$2:$B$1001,0),IFERROR(MATCH(VALUE($B179),기본자료!$B$2:$B$1001,0),""))))</f>
        <v/>
      </c>
      <c r="AC179" s="10">
        <f>IF($B179="","",IFERROR(MATCH($B179,인턴근무계획!$D$3:$D$402,0),IFERROR(MATCH($B179&amp;"",인턴근무계획!$D$3:$D$402,0),IFERROR(MATCH(VALUE($B179),인턴근무계획!$D$3:$D$402,0),""))))</f>
        <v/>
      </c>
      <c r="AD179" s="10">
        <f>IF(OR($AC179="",인턴현황!$G$3=""),"",INDEX(인턴근무계획!$M$3:$R$402,$AC179,인턴현황!$G$3)&amp;"")</f>
        <v/>
      </c>
      <c r="AE179" s="10">
        <f>IF($B179="","",IF($M179&lt;&gt;"",$M179,IF($AF179&lt;&gt;"",IF(LEFT(INDEX(파견수련계획!$R$4:$R$803,$AF179),1)&lt;&gt;"⚠",INDEX(파견수련계획!$R$4:$R$803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$803,0),IFERROR(MATCH(TRIM($J179&amp;"")&amp;"|파견예정",파견수련계획!$Y$4:$Y$803,0),IFERROR(MATCH(TRIM($J179&amp;"")&amp;"|파견종료",파견수련계획!$Y$4:$Y$803,0),""))))</f>
        <v/>
      </c>
      <c r="AG179" s="10">
        <f>IF($B179="","",IF(AND(IF(OR($AC179="",인턴현황!$K$2=""),"",INDEX(인턴근무계획!$M$3:$R$402,$AC179,인턴현황!$K$2)&amp;"")&lt;&gt;"",LEFT(IF(OR($AC179="",인턴현황!$K$2=""),"",INDEX(인턴근무계획!$M$3:$R$402,$AC179,인턴현황!$K$2)&amp;""),1)&lt;&gt;"⚠"),LEFT(IF(OR($AC179="",인턴현황!$K$2=""),"",INDEX(인턴근무계획!$M$3:$R$402,$AC179,인턴현황!$K$2)&amp;""),FIND(" ",IF(OR($AC179="",인턴현황!$K$2=""),"",INDEX(인턴근무계획!$M$3:$R$402,$AC179,인턴현황!$K$2)&amp;""))-1),$AE179))</f>
        <v/>
      </c>
      <c r="AH179" s="17">
        <f>IF($B179="","",IF(TRIM($J179&amp;"")="",0,SUMPRODUCT((파견수련계획!$Q$4:$Q$803=TRIM($J179&amp;""))*(파견수련계획!$S$4:$S$803="서울병원")*파견수련계획!$W$4:$W$803))+IF($AG179="서울병원",MAX(0,DAY(EOMONTH(요약!$B$3,0))-N($X179)),0))</f>
        <v/>
      </c>
      <c r="AI179" s="17">
        <f>IF($B179="","",IF(TRIM($J179&amp;"")="",0,SUMPRODUCT((파견수련계획!$Q$4:$Q$803=TRIM($J179&amp;""))*(파견수련계획!$S$4:$S$803="구리병원")*파견수련계획!$W$4:$W$803))+IF($AG179="구리병원",MAX(0,DAY(EOMONTH(요약!$B$3,0))-N($X179)),0))</f>
        <v/>
      </c>
      <c r="AJ179" s="10">
        <f>IF(OR($B179="",TRIM($J179&amp;"")=""),"",IFERROR(MATCH(TRIM($J179&amp;"")&amp;"|월",파견수련계획!$Z$4:$Z$803,0),""))</f>
        <v/>
      </c>
      <c r="AK179" s="10">
        <f>IF(OR($B179="",TRIM($J179&amp;"")=""),"",IFERROR(MATCH(TRIM($J179&amp;"")&amp;"|다기관",파견수련계획!$AE$4:$AE$803,0),""))</f>
        <v/>
      </c>
      <c r="AL179" s="10">
        <f>IF($AK179="","","다기관 "&amp;TEXT(INDEX(파견수련계획!$AB$4:$AB$803,$AK179),"yyyy-mm-dd")&amp;"~"&amp;IF(ISNUMBER(INDEX(파견수련계획!$AC$4:$AC$803,$AK179)),TEXT(INDEX(파견수련계획!$AC$4:$AC$803,$AK179),"yyyy-mm-dd"),""))</f>
        <v/>
      </c>
    </row>
    <row r="180">
      <c r="A180" s="10">
        <f>IF(B180="","",ROW()-1)</f>
        <v/>
      </c>
      <c r="B180" s="18" t="n"/>
      <c r="C180" s="10">
        <f>IF($AB180="","",IF(INDEX(기본자료!$C$2:$C$1001,$AB180)="","",INDEX(기본자료!$C$2:$C$1001,$AB180)))</f>
        <v/>
      </c>
      <c r="D180" s="10">
        <f>IF($AB180="","",IF(INDEX(기본자료!$J$2:$J$1001,$AB180)="","",INDEX(기본자료!$J$2:$J$1001,$AB180)))</f>
        <v/>
      </c>
      <c r="E180" s="11">
        <f>IF($AB180="","",IF(INDEX(기본자료!$K$2:$K$1001,$AB180)="","",IF(NOT(ISNUMBER(INDEX(기본자료!$K$2:$K$1001,$AB180))),INDEX(기본자료!$K$2:$K$1001,$AB180),IF(INDEX(기본자료!$K$2:$K$1001,$AB180)&lt;1000000,INDEX(기본자료!$K$2:$K$1001,$AB180),IF(AND(INDEX(기본자료!$K$2:$K$1001,$AB180)&gt;=10000101,INT(MOD(INDEX(기본자료!$K$2:$K$1001,$AB180),10000)/100)&gt;=1,INT(MOD(INDEX(기본자료!$K$2:$K$1001,$AB180),10000)/100)&lt;=12,MOD(INDEX(기본자료!$K$2:$K$1001,$AB180),100)&gt;=1,MOD(INDEX(기본자료!$K$2:$K$1001,$AB180),100)&lt;=31),DATE(INT(INDEX(기본자료!$K$2:$K$1001,$AB180)/10000),INT(MOD(INDEX(기본자료!$K$2:$K$1001,$AB180),10000)/100),MOD(INDEX(기본자료!$K$2:$K$1001,$AB180),100)),INDEX(기본자료!$K$2:$K$1001,$AB180)&amp;"")))))</f>
        <v/>
      </c>
      <c r="F180" s="10">
        <f>IF($AB180="","",IF(INDEX(기본자료!$D$2:$D$1001,$AB180)="","",INDEX(기본자료!$D$2:$D$1001,$AB180)))</f>
        <v/>
      </c>
      <c r="G180" s="10">
        <f>IF($AB180="","",IF(INDEX(기본자료!$E$2:$E$1001,$AB180)="","",INDEX(기본자료!$E$2:$E$1001,$AB180)))</f>
        <v/>
      </c>
      <c r="H180" s="10">
        <f>IF($AB180="","",IF(INDEX(기본자료!$F$2:$F$1001,$AB180)="","",INDEX(기본자료!$F$2:$F$1001,$AB180)))</f>
        <v/>
      </c>
      <c r="I180" s="11">
        <f>IF($AB180="","",IF(INDEX(기본자료!$G$2:$G$1001,$AB180)="","",IF(NOT(ISNUMBER(INDEX(기본자료!$G$2:$G$1001,$AB180))),INDEX(기본자료!$G$2:$G$1001,$AB180),IF(INDEX(기본자료!$G$2:$G$1001,$AB180)&lt;1000000,INDEX(기본자료!$G$2:$G$1001,$AB180),IF(AND(INDEX(기본자료!$G$2:$G$1001,$AB180)&gt;=10000101,INT(MOD(INDEX(기본자료!$G$2:$G$1001,$AB180),10000)/100)&gt;=1,INT(MOD(INDEX(기본자료!$G$2:$G$1001,$AB180),10000)/100)&lt;=12,MOD(INDEX(기본자료!$G$2:$G$1001,$AB180),100)&gt;=1,MOD(INDEX(기본자료!$G$2:$G$1001,$AB180),100)&lt;=31),DATE(INT(INDEX(기본자료!$G$2:$G$1001,$AB180)/10000),INT(MOD(INDEX(기본자료!$G$2:$G$1001,$AB180),10000)/100),MOD(INDEX(기본자료!$G$2:$G$1001,$AB180),100)),INDEX(기본자료!$G$2:$G$1001,$AB180)&amp;"")))))</f>
        <v/>
      </c>
      <c r="J180" s="10">
        <f>IF($AB180="","",IF(INDEX(기본자료!$H$2:$H$1001,$AB180)="","",INDEX(기본자료!$H$2:$H$1001,$AB180)))</f>
        <v/>
      </c>
      <c r="K180" s="10">
        <f>IF($AB180="","",IF(INDEX(기본자료!$I$2:$I$1001,$AB180)="","",INDEX(기본자료!$I$2:$I$1001,$AB180)))</f>
        <v/>
      </c>
      <c r="L180" s="10">
        <f>IF($AB180="","",IF(INDEX(기본자료!$A$2:$A$1001,$AB180)="","",INDEX(기본자료!$A$2:$A$1001,$AB180)))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파견수련계획!$AB$4:$AB$803,$AK180),OR(NOT(ISNUMBER(INDEX(파견수련계획!$AC$4:$AC$803,$AK180))),TODAY()&lt;=INDEX(파견수련계획!$AC$4:$AC$803,$AK180))),"다기관",IF($AF180="","",INDEX(파견수련계획!$T$4:$T$803,$AF180))),IF($AF180="","",INDEX(파견수련계획!$T$4:$T$803,$AF180))))</f>
        <v/>
      </c>
      <c r="Q180" s="10">
        <f>IF($AF180="","",INDEX(파견수련계획!$S$4:$S$803,$AF180))</f>
        <v/>
      </c>
      <c r="R180" s="10">
        <f>IF($AF180="","",INDEX(파견수련계획!$U$4:$U$803,$AF180))</f>
        <v/>
      </c>
      <c r="S180" s="11">
        <f>IF($AF180="","",IF(INDEX(파견수련계획!$H$4:$H$803,$AF180)="","",INDEX(파견수련계획!$H$4:$H$803,$AF180)))</f>
        <v/>
      </c>
      <c r="T180" s="11">
        <f>IF($AF180="","",IF(INDEX(파견수련계획!$I$4:$I$803,$AF180)="","",INDEX(파견수련계획!$I$4:$I$803,$AF180)))</f>
        <v/>
      </c>
      <c r="U180" s="10">
        <f>IF($AF180="","",INDEX(파견수련계획!$X$4:$X$803,$AF180))</f>
        <v/>
      </c>
      <c r="V180" s="17">
        <f>IF($AF180="","",INDEX(파견수련계획!$V$4:$V$803,$AF180))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IF(OR($B180="",TRIM($J180&amp;"")=""),"",SUMPRODUCT((파견수련계획!$Q$4:$Q$803=TRIM($J180&amp;""))*파견수련계획!$W$4:$W$803))</f>
        <v/>
      </c>
      <c r="Y180" s="10">
        <f>IF($B180="","",IF($AG180="","",IF(IF(TRIM($J180&amp;"")="",0,SUMPRODUCT((파견수련계획!$Q$4:$Q$803=TRIM($J180&amp;""))*파견수련계획!$AD$4:$AD$803))&gt;0,$AE180,IF(N($X180)&lt;=0,$AG180,IF($AH180+$AI180=DAY(EOMONTH(요약!$B$3,0)),IF(AND($AH180&gt;=요약!$E$3,$AI180&lt;요약!$E$3),"서울병원",IF(AND($AI180&gt;=요약!$E$3,$AH180&lt;요약!$E$3),"구리병원","⚠15일 판정불가(서울 "&amp;$AH180&amp;"일/구리 "&amp;$AI180&amp;"일)")),IF($AJ180="",$AE180,IF(INDEX(파견수련계획!$T$4:$T$803,$AJ180)="통합수련",INDEX(파견수련계획!$S$4:$S$803,$AJ180),$AE180)))))))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입력",IF(IF(TRIM($J180&amp;"")="",0,SUMPRODUCT((파견수련계획!$Q$4:$Q$803=TRIM($J180&amp;""))*(파견수련계획!$AA$4:$AA$803&lt;&gt;"")))&gt;0,"파견수련계획 입력오류 확인",IF(LEFT($Y180,1)="⚠","서울·구리 15일 판정 불가(양쪽 모두 이상/미만)",IF(IF($AC180="",0,N(INDEX(인턴근무계획!$T$3:$T$402,$AC180)))&gt;0,"인턴계획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IF($B180="","",IFERROR(MATCH($B180,기본자료!$B$2:$B$1001,0),IFERROR(MATCH($B180&amp;"",기본자료!$B$2:$B$1001,0),IFERROR(MATCH(VALUE($B180),기본자료!$B$2:$B$1001,0),""))))</f>
        <v/>
      </c>
      <c r="AC180" s="10">
        <f>IF($B180="","",IFERROR(MATCH($B180,인턴근무계획!$D$3:$D$402,0),IFERROR(MATCH($B180&amp;"",인턴근무계획!$D$3:$D$402,0),IFERROR(MATCH(VALUE($B180),인턴근무계획!$D$3:$D$402,0),""))))</f>
        <v/>
      </c>
      <c r="AD180" s="10">
        <f>IF(OR($AC180="",인턴현황!$G$3=""),"",INDEX(인턴근무계획!$M$3:$R$402,$AC180,인턴현황!$G$3)&amp;"")</f>
        <v/>
      </c>
      <c r="AE180" s="10">
        <f>IF($B180="","",IF($M180&lt;&gt;"",$M180,IF($AF180&lt;&gt;"",IF(LEFT(INDEX(파견수련계획!$R$4:$R$803,$AF180),1)&lt;&gt;"⚠",INDEX(파견수련계획!$R$4:$R$803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$803,0),IFERROR(MATCH(TRIM($J180&amp;"")&amp;"|파견예정",파견수련계획!$Y$4:$Y$803,0),IFERROR(MATCH(TRIM($J180&amp;"")&amp;"|파견종료",파견수련계획!$Y$4:$Y$803,0),""))))</f>
        <v/>
      </c>
      <c r="AG180" s="10">
        <f>IF($B180="","",IF(AND(IF(OR($AC180="",인턴현황!$K$2=""),"",INDEX(인턴근무계획!$M$3:$R$402,$AC180,인턴현황!$K$2)&amp;"")&lt;&gt;"",LEFT(IF(OR($AC180="",인턴현황!$K$2=""),"",INDEX(인턴근무계획!$M$3:$R$402,$AC180,인턴현황!$K$2)&amp;""),1)&lt;&gt;"⚠"),LEFT(IF(OR($AC180="",인턴현황!$K$2=""),"",INDEX(인턴근무계획!$M$3:$R$402,$AC180,인턴현황!$K$2)&amp;""),FIND(" ",IF(OR($AC180="",인턴현황!$K$2=""),"",INDEX(인턴근무계획!$M$3:$R$402,$AC180,인턴현황!$K$2)&amp;""))-1),$AE180))</f>
        <v/>
      </c>
      <c r="AH180" s="17">
        <f>IF($B180="","",IF(TRIM($J180&amp;"")="",0,SUMPRODUCT((파견수련계획!$Q$4:$Q$803=TRIM($J180&amp;""))*(파견수련계획!$S$4:$S$803="서울병원")*파견수련계획!$W$4:$W$803))+IF($AG180="서울병원",MAX(0,DAY(EOMONTH(요약!$B$3,0))-N($X180)),0))</f>
        <v/>
      </c>
      <c r="AI180" s="17">
        <f>IF($B180="","",IF(TRIM($J180&amp;"")="",0,SUMPRODUCT((파견수련계획!$Q$4:$Q$803=TRIM($J180&amp;""))*(파견수련계획!$S$4:$S$803="구리병원")*파견수련계획!$W$4:$W$803))+IF($AG180="구리병원",MAX(0,DAY(EOMONTH(요약!$B$3,0))-N($X180)),0))</f>
        <v/>
      </c>
      <c r="AJ180" s="10">
        <f>IF(OR($B180="",TRIM($J180&amp;"")=""),"",IFERROR(MATCH(TRIM($J180&amp;"")&amp;"|월",파견수련계획!$Z$4:$Z$803,0),""))</f>
        <v/>
      </c>
      <c r="AK180" s="10">
        <f>IF(OR($B180="",TRIM($J180&amp;"")=""),"",IFERROR(MATCH(TRIM($J180&amp;"")&amp;"|다기관",파견수련계획!$AE$4:$AE$803,0),""))</f>
        <v/>
      </c>
      <c r="AL180" s="10">
        <f>IF($AK180="","","다기관 "&amp;TEXT(INDEX(파견수련계획!$AB$4:$AB$803,$AK180),"yyyy-mm-dd")&amp;"~"&amp;IF(ISNUMBER(INDEX(파견수련계획!$AC$4:$AC$803,$AK180)),TEXT(INDEX(파견수련계획!$AC$4:$AC$803,$AK180),"yyyy-mm-dd"),""))</f>
        <v/>
      </c>
    </row>
    <row r="181">
      <c r="A181" s="10">
        <f>IF(B181="","",ROW()-1)</f>
        <v/>
      </c>
      <c r="B181" s="18" t="n"/>
      <c r="C181" s="10">
        <f>IF($AB181="","",IF(INDEX(기본자료!$C$2:$C$1001,$AB181)="","",INDEX(기본자료!$C$2:$C$1001,$AB181)))</f>
        <v/>
      </c>
      <c r="D181" s="10">
        <f>IF($AB181="","",IF(INDEX(기본자료!$J$2:$J$1001,$AB181)="","",INDEX(기본자료!$J$2:$J$1001,$AB181)))</f>
        <v/>
      </c>
      <c r="E181" s="11">
        <f>IF($AB181="","",IF(INDEX(기본자료!$K$2:$K$1001,$AB181)="","",IF(NOT(ISNUMBER(INDEX(기본자료!$K$2:$K$1001,$AB181))),INDEX(기본자료!$K$2:$K$1001,$AB181),IF(INDEX(기본자료!$K$2:$K$1001,$AB181)&lt;1000000,INDEX(기본자료!$K$2:$K$1001,$AB181),IF(AND(INDEX(기본자료!$K$2:$K$1001,$AB181)&gt;=10000101,INT(MOD(INDEX(기본자료!$K$2:$K$1001,$AB181),10000)/100)&gt;=1,INT(MOD(INDEX(기본자료!$K$2:$K$1001,$AB181),10000)/100)&lt;=12,MOD(INDEX(기본자료!$K$2:$K$1001,$AB181),100)&gt;=1,MOD(INDEX(기본자료!$K$2:$K$1001,$AB181),100)&lt;=31),DATE(INT(INDEX(기본자료!$K$2:$K$1001,$AB181)/10000),INT(MOD(INDEX(기본자료!$K$2:$K$1001,$AB181),10000)/100),MOD(INDEX(기본자료!$K$2:$K$1001,$AB181),100)),INDEX(기본자료!$K$2:$K$1001,$AB181)&amp;"")))))</f>
        <v/>
      </c>
      <c r="F181" s="10">
        <f>IF($AB181="","",IF(INDEX(기본자료!$D$2:$D$1001,$AB181)="","",INDEX(기본자료!$D$2:$D$1001,$AB181)))</f>
        <v/>
      </c>
      <c r="G181" s="10">
        <f>IF($AB181="","",IF(INDEX(기본자료!$E$2:$E$1001,$AB181)="","",INDEX(기본자료!$E$2:$E$1001,$AB181)))</f>
        <v/>
      </c>
      <c r="H181" s="10">
        <f>IF($AB181="","",IF(INDEX(기본자료!$F$2:$F$1001,$AB181)="","",INDEX(기본자료!$F$2:$F$1001,$AB181)))</f>
        <v/>
      </c>
      <c r="I181" s="11">
        <f>IF($AB181="","",IF(INDEX(기본자료!$G$2:$G$1001,$AB181)="","",IF(NOT(ISNUMBER(INDEX(기본자료!$G$2:$G$1001,$AB181))),INDEX(기본자료!$G$2:$G$1001,$AB181),IF(INDEX(기본자료!$G$2:$G$1001,$AB181)&lt;1000000,INDEX(기본자료!$G$2:$G$1001,$AB181),IF(AND(INDEX(기본자료!$G$2:$G$1001,$AB181)&gt;=10000101,INT(MOD(INDEX(기본자료!$G$2:$G$1001,$AB181),10000)/100)&gt;=1,INT(MOD(INDEX(기본자료!$G$2:$G$1001,$AB181),10000)/100)&lt;=12,MOD(INDEX(기본자료!$G$2:$G$1001,$AB181),100)&gt;=1,MOD(INDEX(기본자료!$G$2:$G$1001,$AB181),100)&lt;=31),DATE(INT(INDEX(기본자료!$G$2:$G$1001,$AB181)/10000),INT(MOD(INDEX(기본자료!$G$2:$G$1001,$AB181),10000)/100),MOD(INDEX(기본자료!$G$2:$G$1001,$AB181),100)),INDEX(기본자료!$G$2:$G$1001,$AB181)&amp;"")))))</f>
        <v/>
      </c>
      <c r="J181" s="10">
        <f>IF($AB181="","",IF(INDEX(기본자료!$H$2:$H$1001,$AB181)="","",INDEX(기본자료!$H$2:$H$1001,$AB181)))</f>
        <v/>
      </c>
      <c r="K181" s="10">
        <f>IF($AB181="","",IF(INDEX(기본자료!$I$2:$I$1001,$AB181)="","",INDEX(기본자료!$I$2:$I$1001,$AB181)))</f>
        <v/>
      </c>
      <c r="L181" s="10">
        <f>IF($AB181="","",IF(INDEX(기본자료!$A$2:$A$1001,$AB181)="","",INDEX(기본자료!$A$2:$A$1001,$AB181)))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파견수련계획!$AB$4:$AB$803,$AK181),OR(NOT(ISNUMBER(INDEX(파견수련계획!$AC$4:$AC$803,$AK181))),TODAY()&lt;=INDEX(파견수련계획!$AC$4:$AC$803,$AK181))),"다기관",IF($AF181="","",INDEX(파견수련계획!$T$4:$T$803,$AF181))),IF($AF181="","",INDEX(파견수련계획!$T$4:$T$803,$AF181))))</f>
        <v/>
      </c>
      <c r="Q181" s="10">
        <f>IF($AF181="","",INDEX(파견수련계획!$S$4:$S$803,$AF181))</f>
        <v/>
      </c>
      <c r="R181" s="10">
        <f>IF($AF181="","",INDEX(파견수련계획!$U$4:$U$803,$AF181))</f>
        <v/>
      </c>
      <c r="S181" s="11">
        <f>IF($AF181="","",IF(INDEX(파견수련계획!$H$4:$H$803,$AF181)="","",INDEX(파견수련계획!$H$4:$H$803,$AF181)))</f>
        <v/>
      </c>
      <c r="T181" s="11">
        <f>IF($AF181="","",IF(INDEX(파견수련계획!$I$4:$I$803,$AF181)="","",INDEX(파견수련계획!$I$4:$I$803,$AF181)))</f>
        <v/>
      </c>
      <c r="U181" s="10">
        <f>IF($AF181="","",INDEX(파견수련계획!$X$4:$X$803,$AF181))</f>
        <v/>
      </c>
      <c r="V181" s="17">
        <f>IF($AF181="","",INDEX(파견수련계획!$V$4:$V$803,$AF181))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IF(OR($B181="",TRIM($J181&amp;"")=""),"",SUMPRODUCT((파견수련계획!$Q$4:$Q$803=TRIM($J181&amp;""))*파견수련계획!$W$4:$W$803))</f>
        <v/>
      </c>
      <c r="Y181" s="10">
        <f>IF($B181="","",IF($AG181="","",IF(IF(TRIM($J181&amp;"")="",0,SUMPRODUCT((파견수련계획!$Q$4:$Q$803=TRIM($J181&amp;""))*파견수련계획!$AD$4:$AD$803))&gt;0,$AE181,IF(N($X181)&lt;=0,$AG181,IF($AH181+$AI181=DAY(EOMONTH(요약!$B$3,0)),IF(AND($AH181&gt;=요약!$E$3,$AI181&lt;요약!$E$3),"서울병원",IF(AND($AI181&gt;=요약!$E$3,$AH181&lt;요약!$E$3),"구리병원","⚠15일 판정불가(서울 "&amp;$AH181&amp;"일/구리 "&amp;$AI181&amp;"일)")),IF($AJ181="",$AE181,IF(INDEX(파견수련계획!$T$4:$T$803,$AJ181)="통합수련",INDEX(파견수련계획!$S$4:$S$803,$AJ181),$AE181)))))))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입력",IF(IF(TRIM($J181&amp;"")="",0,SUMPRODUCT((파견수련계획!$Q$4:$Q$803=TRIM($J181&amp;""))*(파견수련계획!$AA$4:$AA$803&lt;&gt;"")))&gt;0,"파견수련계획 입력오류 확인",IF(LEFT($Y181,1)="⚠","서울·구리 15일 판정 불가(양쪽 모두 이상/미만)",IF(IF($AC181="",0,N(INDEX(인턴근무계획!$T$3:$T$402,$AC181)))&gt;0,"인턴계획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IF($B181="","",IFERROR(MATCH($B181,기본자료!$B$2:$B$1001,0),IFERROR(MATCH($B181&amp;"",기본자료!$B$2:$B$1001,0),IFERROR(MATCH(VALUE($B181),기본자료!$B$2:$B$1001,0),""))))</f>
        <v/>
      </c>
      <c r="AC181" s="10">
        <f>IF($B181="","",IFERROR(MATCH($B181,인턴근무계획!$D$3:$D$402,0),IFERROR(MATCH($B181&amp;"",인턴근무계획!$D$3:$D$402,0),IFERROR(MATCH(VALUE($B181),인턴근무계획!$D$3:$D$402,0),""))))</f>
        <v/>
      </c>
      <c r="AD181" s="10">
        <f>IF(OR($AC181="",인턴현황!$G$3=""),"",INDEX(인턴근무계획!$M$3:$R$402,$AC181,인턴현황!$G$3)&amp;"")</f>
        <v/>
      </c>
      <c r="AE181" s="10">
        <f>IF($B181="","",IF($M181&lt;&gt;"",$M181,IF($AF181&lt;&gt;"",IF(LEFT(INDEX(파견수련계획!$R$4:$R$803,$AF181),1)&lt;&gt;"⚠",INDEX(파견수련계획!$R$4:$R$803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$803,0),IFERROR(MATCH(TRIM($J181&amp;"")&amp;"|파견예정",파견수련계획!$Y$4:$Y$803,0),IFERROR(MATCH(TRIM($J181&amp;"")&amp;"|파견종료",파견수련계획!$Y$4:$Y$803,0),""))))</f>
        <v/>
      </c>
      <c r="AG181" s="10">
        <f>IF($B181="","",IF(AND(IF(OR($AC181="",인턴현황!$K$2=""),"",INDEX(인턴근무계획!$M$3:$R$402,$AC181,인턴현황!$K$2)&amp;"")&lt;&gt;"",LEFT(IF(OR($AC181="",인턴현황!$K$2=""),"",INDEX(인턴근무계획!$M$3:$R$402,$AC181,인턴현황!$K$2)&amp;""),1)&lt;&gt;"⚠"),LEFT(IF(OR($AC181="",인턴현황!$K$2=""),"",INDEX(인턴근무계획!$M$3:$R$402,$AC181,인턴현황!$K$2)&amp;""),FIND(" ",IF(OR($AC181="",인턴현황!$K$2=""),"",INDEX(인턴근무계획!$M$3:$R$402,$AC181,인턴현황!$K$2)&amp;""))-1),$AE181))</f>
        <v/>
      </c>
      <c r="AH181" s="17">
        <f>IF($B181="","",IF(TRIM($J181&amp;"")="",0,SUMPRODUCT((파견수련계획!$Q$4:$Q$803=TRIM($J181&amp;""))*(파견수련계획!$S$4:$S$803="서울병원")*파견수련계획!$W$4:$W$803))+IF($AG181="서울병원",MAX(0,DAY(EOMONTH(요약!$B$3,0))-N($X181)),0))</f>
        <v/>
      </c>
      <c r="AI181" s="17">
        <f>IF($B181="","",IF(TRIM($J181&amp;"")="",0,SUMPRODUCT((파견수련계획!$Q$4:$Q$803=TRIM($J181&amp;""))*(파견수련계획!$S$4:$S$803="구리병원")*파견수련계획!$W$4:$W$803))+IF($AG181="구리병원",MAX(0,DAY(EOMONTH(요약!$B$3,0))-N($X181)),0))</f>
        <v/>
      </c>
      <c r="AJ181" s="10">
        <f>IF(OR($B181="",TRIM($J181&amp;"")=""),"",IFERROR(MATCH(TRIM($J181&amp;"")&amp;"|월",파견수련계획!$Z$4:$Z$803,0),""))</f>
        <v/>
      </c>
      <c r="AK181" s="10">
        <f>IF(OR($B181="",TRIM($J181&amp;"")=""),"",IFERROR(MATCH(TRIM($J181&amp;"")&amp;"|다기관",파견수련계획!$AE$4:$AE$803,0),""))</f>
        <v/>
      </c>
      <c r="AL181" s="10">
        <f>IF($AK181="","","다기관 "&amp;TEXT(INDEX(파견수련계획!$AB$4:$AB$803,$AK181),"yyyy-mm-dd")&amp;"~"&amp;IF(ISNUMBER(INDEX(파견수련계획!$AC$4:$AC$803,$AK181)),TEXT(INDEX(파견수련계획!$AC$4:$AC$803,$AK181),"yyyy-mm-dd"),""))</f>
        <v/>
      </c>
    </row>
    <row r="182">
      <c r="A182" s="10">
        <f>IF(B182="","",ROW()-1)</f>
        <v/>
      </c>
      <c r="B182" s="18" t="n"/>
      <c r="C182" s="10">
        <f>IF($AB182="","",IF(INDEX(기본자료!$C$2:$C$1001,$AB182)="","",INDEX(기본자료!$C$2:$C$1001,$AB182)))</f>
        <v/>
      </c>
      <c r="D182" s="10">
        <f>IF($AB182="","",IF(INDEX(기본자료!$J$2:$J$1001,$AB182)="","",INDEX(기본자료!$J$2:$J$1001,$AB182)))</f>
        <v/>
      </c>
      <c r="E182" s="11">
        <f>IF($AB182="","",IF(INDEX(기본자료!$K$2:$K$1001,$AB182)="","",IF(NOT(ISNUMBER(INDEX(기본자료!$K$2:$K$1001,$AB182))),INDEX(기본자료!$K$2:$K$1001,$AB182),IF(INDEX(기본자료!$K$2:$K$1001,$AB182)&lt;1000000,INDEX(기본자료!$K$2:$K$1001,$AB182),IF(AND(INDEX(기본자료!$K$2:$K$1001,$AB182)&gt;=10000101,INT(MOD(INDEX(기본자료!$K$2:$K$1001,$AB182),10000)/100)&gt;=1,INT(MOD(INDEX(기본자료!$K$2:$K$1001,$AB182),10000)/100)&lt;=12,MOD(INDEX(기본자료!$K$2:$K$1001,$AB182),100)&gt;=1,MOD(INDEX(기본자료!$K$2:$K$1001,$AB182),100)&lt;=31),DATE(INT(INDEX(기본자료!$K$2:$K$1001,$AB182)/10000),INT(MOD(INDEX(기본자료!$K$2:$K$1001,$AB182),10000)/100),MOD(INDEX(기본자료!$K$2:$K$1001,$AB182),100)),INDEX(기본자료!$K$2:$K$1001,$AB182)&amp;"")))))</f>
        <v/>
      </c>
      <c r="F182" s="10">
        <f>IF($AB182="","",IF(INDEX(기본자료!$D$2:$D$1001,$AB182)="","",INDEX(기본자료!$D$2:$D$1001,$AB182)))</f>
        <v/>
      </c>
      <c r="G182" s="10">
        <f>IF($AB182="","",IF(INDEX(기본자료!$E$2:$E$1001,$AB182)="","",INDEX(기본자료!$E$2:$E$1001,$AB182)))</f>
        <v/>
      </c>
      <c r="H182" s="10">
        <f>IF($AB182="","",IF(INDEX(기본자료!$F$2:$F$1001,$AB182)="","",INDEX(기본자료!$F$2:$F$1001,$AB182)))</f>
        <v/>
      </c>
      <c r="I182" s="11">
        <f>IF($AB182="","",IF(INDEX(기본자료!$G$2:$G$1001,$AB182)="","",IF(NOT(ISNUMBER(INDEX(기본자료!$G$2:$G$1001,$AB182))),INDEX(기본자료!$G$2:$G$1001,$AB182),IF(INDEX(기본자료!$G$2:$G$1001,$AB182)&lt;1000000,INDEX(기본자료!$G$2:$G$1001,$AB182),IF(AND(INDEX(기본자료!$G$2:$G$1001,$AB182)&gt;=10000101,INT(MOD(INDEX(기본자료!$G$2:$G$1001,$AB182),10000)/100)&gt;=1,INT(MOD(INDEX(기본자료!$G$2:$G$1001,$AB182),10000)/100)&lt;=12,MOD(INDEX(기본자료!$G$2:$G$1001,$AB182),100)&gt;=1,MOD(INDEX(기본자료!$G$2:$G$1001,$AB182),100)&lt;=31),DATE(INT(INDEX(기본자료!$G$2:$G$1001,$AB182)/10000),INT(MOD(INDEX(기본자료!$G$2:$G$1001,$AB182),10000)/100),MOD(INDEX(기본자료!$G$2:$G$1001,$AB182),100)),INDEX(기본자료!$G$2:$G$1001,$AB182)&amp;"")))))</f>
        <v/>
      </c>
      <c r="J182" s="10">
        <f>IF($AB182="","",IF(INDEX(기본자료!$H$2:$H$1001,$AB182)="","",INDEX(기본자료!$H$2:$H$1001,$AB182)))</f>
        <v/>
      </c>
      <c r="K182" s="10">
        <f>IF($AB182="","",IF(INDEX(기본자료!$I$2:$I$1001,$AB182)="","",INDEX(기본자료!$I$2:$I$1001,$AB182)))</f>
        <v/>
      </c>
      <c r="L182" s="10">
        <f>IF($AB182="","",IF(INDEX(기본자료!$A$2:$A$1001,$AB182)="","",INDEX(기본자료!$A$2:$A$1001,$AB182)))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파견수련계획!$AB$4:$AB$803,$AK182),OR(NOT(ISNUMBER(INDEX(파견수련계획!$AC$4:$AC$803,$AK182))),TODAY()&lt;=INDEX(파견수련계획!$AC$4:$AC$803,$AK182))),"다기관",IF($AF182="","",INDEX(파견수련계획!$T$4:$T$803,$AF182))),IF($AF182="","",INDEX(파견수련계획!$T$4:$T$803,$AF182))))</f>
        <v/>
      </c>
      <c r="Q182" s="10">
        <f>IF($AF182="","",INDEX(파견수련계획!$S$4:$S$803,$AF182))</f>
        <v/>
      </c>
      <c r="R182" s="10">
        <f>IF($AF182="","",INDEX(파견수련계획!$U$4:$U$803,$AF182))</f>
        <v/>
      </c>
      <c r="S182" s="11">
        <f>IF($AF182="","",IF(INDEX(파견수련계획!$H$4:$H$803,$AF182)="","",INDEX(파견수련계획!$H$4:$H$803,$AF182)))</f>
        <v/>
      </c>
      <c r="T182" s="11">
        <f>IF($AF182="","",IF(INDEX(파견수련계획!$I$4:$I$803,$AF182)="","",INDEX(파견수련계획!$I$4:$I$803,$AF182)))</f>
        <v/>
      </c>
      <c r="U182" s="10">
        <f>IF($AF182="","",INDEX(파견수련계획!$X$4:$X$803,$AF182))</f>
        <v/>
      </c>
      <c r="V182" s="17">
        <f>IF($AF182="","",INDEX(파견수련계획!$V$4:$V$803,$AF182))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IF(OR($B182="",TRIM($J182&amp;"")=""),"",SUMPRODUCT((파견수련계획!$Q$4:$Q$803=TRIM($J182&amp;""))*파견수련계획!$W$4:$W$803))</f>
        <v/>
      </c>
      <c r="Y182" s="10">
        <f>IF($B182="","",IF($AG182="","",IF(IF(TRIM($J182&amp;"")="",0,SUMPRODUCT((파견수련계획!$Q$4:$Q$803=TRIM($J182&amp;""))*파견수련계획!$AD$4:$AD$803))&gt;0,$AE182,IF(N($X182)&lt;=0,$AG182,IF($AH182+$AI182=DAY(EOMONTH(요약!$B$3,0)),IF(AND($AH182&gt;=요약!$E$3,$AI182&lt;요약!$E$3),"서울병원",IF(AND($AI182&gt;=요약!$E$3,$AH182&lt;요약!$E$3),"구리병원","⚠15일 판정불가(서울 "&amp;$AH182&amp;"일/구리 "&amp;$AI182&amp;"일)")),IF($AJ182="",$AE182,IF(INDEX(파견수련계획!$T$4:$T$803,$AJ182)="통합수련",INDEX(파견수련계획!$S$4:$S$803,$AJ182),$AE182)))))))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입력",IF(IF(TRIM($J182&amp;"")="",0,SUMPRODUCT((파견수련계획!$Q$4:$Q$803=TRIM($J182&amp;""))*(파견수련계획!$AA$4:$AA$803&lt;&gt;"")))&gt;0,"파견수련계획 입력오류 확인",IF(LEFT($Y182,1)="⚠","서울·구리 15일 판정 불가(양쪽 모두 이상/미만)",IF(IF($AC182="",0,N(INDEX(인턴근무계획!$T$3:$T$402,$AC182)))&gt;0,"인턴계획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IF($B182="","",IFERROR(MATCH($B182,기본자료!$B$2:$B$1001,0),IFERROR(MATCH($B182&amp;"",기본자료!$B$2:$B$1001,0),IFERROR(MATCH(VALUE($B182),기본자료!$B$2:$B$1001,0),""))))</f>
        <v/>
      </c>
      <c r="AC182" s="10">
        <f>IF($B182="","",IFERROR(MATCH($B182,인턴근무계획!$D$3:$D$402,0),IFERROR(MATCH($B182&amp;"",인턴근무계획!$D$3:$D$402,0),IFERROR(MATCH(VALUE($B182),인턴근무계획!$D$3:$D$402,0),""))))</f>
        <v/>
      </c>
      <c r="AD182" s="10">
        <f>IF(OR($AC182="",인턴현황!$G$3=""),"",INDEX(인턴근무계획!$M$3:$R$402,$AC182,인턴현황!$G$3)&amp;"")</f>
        <v/>
      </c>
      <c r="AE182" s="10">
        <f>IF($B182="","",IF($M182&lt;&gt;"",$M182,IF($AF182&lt;&gt;"",IF(LEFT(INDEX(파견수련계획!$R$4:$R$803,$AF182),1)&lt;&gt;"⚠",INDEX(파견수련계획!$R$4:$R$803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$803,0),IFERROR(MATCH(TRIM($J182&amp;"")&amp;"|파견예정",파견수련계획!$Y$4:$Y$803,0),IFERROR(MATCH(TRIM($J182&amp;"")&amp;"|파견종료",파견수련계획!$Y$4:$Y$803,0),""))))</f>
        <v/>
      </c>
      <c r="AG182" s="10">
        <f>IF($B182="","",IF(AND(IF(OR($AC182="",인턴현황!$K$2=""),"",INDEX(인턴근무계획!$M$3:$R$402,$AC182,인턴현황!$K$2)&amp;"")&lt;&gt;"",LEFT(IF(OR($AC182="",인턴현황!$K$2=""),"",INDEX(인턴근무계획!$M$3:$R$402,$AC182,인턴현황!$K$2)&amp;""),1)&lt;&gt;"⚠"),LEFT(IF(OR($AC182="",인턴현황!$K$2=""),"",INDEX(인턴근무계획!$M$3:$R$402,$AC182,인턴현황!$K$2)&amp;""),FIND(" ",IF(OR($AC182="",인턴현황!$K$2=""),"",INDEX(인턴근무계획!$M$3:$R$402,$AC182,인턴현황!$K$2)&amp;""))-1),$AE182))</f>
        <v/>
      </c>
      <c r="AH182" s="17">
        <f>IF($B182="","",IF(TRIM($J182&amp;"")="",0,SUMPRODUCT((파견수련계획!$Q$4:$Q$803=TRIM($J182&amp;""))*(파견수련계획!$S$4:$S$803="서울병원")*파견수련계획!$W$4:$W$803))+IF($AG182="서울병원",MAX(0,DAY(EOMONTH(요약!$B$3,0))-N($X182)),0))</f>
        <v/>
      </c>
      <c r="AI182" s="17">
        <f>IF($B182="","",IF(TRIM($J182&amp;"")="",0,SUMPRODUCT((파견수련계획!$Q$4:$Q$803=TRIM($J182&amp;""))*(파견수련계획!$S$4:$S$803="구리병원")*파견수련계획!$W$4:$W$803))+IF($AG182="구리병원",MAX(0,DAY(EOMONTH(요약!$B$3,0))-N($X182)),0))</f>
        <v/>
      </c>
      <c r="AJ182" s="10">
        <f>IF(OR($B182="",TRIM($J182&amp;"")=""),"",IFERROR(MATCH(TRIM($J182&amp;"")&amp;"|월",파견수련계획!$Z$4:$Z$803,0),""))</f>
        <v/>
      </c>
      <c r="AK182" s="10">
        <f>IF(OR($B182="",TRIM($J182&amp;"")=""),"",IFERROR(MATCH(TRIM($J182&amp;"")&amp;"|다기관",파견수련계획!$AE$4:$AE$803,0),""))</f>
        <v/>
      </c>
      <c r="AL182" s="10">
        <f>IF($AK182="","","다기관 "&amp;TEXT(INDEX(파견수련계획!$AB$4:$AB$803,$AK182),"yyyy-mm-dd")&amp;"~"&amp;IF(ISNUMBER(INDEX(파견수련계획!$AC$4:$AC$803,$AK182)),TEXT(INDEX(파견수련계획!$AC$4:$AC$803,$AK182),"yyyy-mm-dd"),""))</f>
        <v/>
      </c>
    </row>
    <row r="183">
      <c r="A183" s="10">
        <f>IF(B183="","",ROW()-1)</f>
        <v/>
      </c>
      <c r="B183" s="18" t="n"/>
      <c r="C183" s="10">
        <f>IF($AB183="","",IF(INDEX(기본자료!$C$2:$C$1001,$AB183)="","",INDEX(기본자료!$C$2:$C$1001,$AB183)))</f>
        <v/>
      </c>
      <c r="D183" s="10">
        <f>IF($AB183="","",IF(INDEX(기본자료!$J$2:$J$1001,$AB183)="","",INDEX(기본자료!$J$2:$J$1001,$AB183)))</f>
        <v/>
      </c>
      <c r="E183" s="11">
        <f>IF($AB183="","",IF(INDEX(기본자료!$K$2:$K$1001,$AB183)="","",IF(NOT(ISNUMBER(INDEX(기본자료!$K$2:$K$1001,$AB183))),INDEX(기본자료!$K$2:$K$1001,$AB183),IF(INDEX(기본자료!$K$2:$K$1001,$AB183)&lt;1000000,INDEX(기본자료!$K$2:$K$1001,$AB183),IF(AND(INDEX(기본자료!$K$2:$K$1001,$AB183)&gt;=10000101,INT(MOD(INDEX(기본자료!$K$2:$K$1001,$AB183),10000)/100)&gt;=1,INT(MOD(INDEX(기본자료!$K$2:$K$1001,$AB183),10000)/100)&lt;=12,MOD(INDEX(기본자료!$K$2:$K$1001,$AB183),100)&gt;=1,MOD(INDEX(기본자료!$K$2:$K$1001,$AB183),100)&lt;=31),DATE(INT(INDEX(기본자료!$K$2:$K$1001,$AB183)/10000),INT(MOD(INDEX(기본자료!$K$2:$K$1001,$AB183),10000)/100),MOD(INDEX(기본자료!$K$2:$K$1001,$AB183),100)),INDEX(기본자료!$K$2:$K$1001,$AB183)&amp;"")))))</f>
        <v/>
      </c>
      <c r="F183" s="10">
        <f>IF($AB183="","",IF(INDEX(기본자료!$D$2:$D$1001,$AB183)="","",INDEX(기본자료!$D$2:$D$1001,$AB183)))</f>
        <v/>
      </c>
      <c r="G183" s="10">
        <f>IF($AB183="","",IF(INDEX(기본자료!$E$2:$E$1001,$AB183)="","",INDEX(기본자료!$E$2:$E$1001,$AB183)))</f>
        <v/>
      </c>
      <c r="H183" s="10">
        <f>IF($AB183="","",IF(INDEX(기본자료!$F$2:$F$1001,$AB183)="","",INDEX(기본자료!$F$2:$F$1001,$AB183)))</f>
        <v/>
      </c>
      <c r="I183" s="11">
        <f>IF($AB183="","",IF(INDEX(기본자료!$G$2:$G$1001,$AB183)="","",IF(NOT(ISNUMBER(INDEX(기본자료!$G$2:$G$1001,$AB183))),INDEX(기본자료!$G$2:$G$1001,$AB183),IF(INDEX(기본자료!$G$2:$G$1001,$AB183)&lt;1000000,INDEX(기본자료!$G$2:$G$1001,$AB183),IF(AND(INDEX(기본자료!$G$2:$G$1001,$AB183)&gt;=10000101,INT(MOD(INDEX(기본자료!$G$2:$G$1001,$AB183),10000)/100)&gt;=1,INT(MOD(INDEX(기본자료!$G$2:$G$1001,$AB183),10000)/100)&lt;=12,MOD(INDEX(기본자료!$G$2:$G$1001,$AB183),100)&gt;=1,MOD(INDEX(기본자료!$G$2:$G$1001,$AB183),100)&lt;=31),DATE(INT(INDEX(기본자료!$G$2:$G$1001,$AB183)/10000),INT(MOD(INDEX(기본자료!$G$2:$G$1001,$AB183),10000)/100),MOD(INDEX(기본자료!$G$2:$G$1001,$AB183),100)),INDEX(기본자료!$G$2:$G$1001,$AB183)&amp;"")))))</f>
        <v/>
      </c>
      <c r="J183" s="10">
        <f>IF($AB183="","",IF(INDEX(기본자료!$H$2:$H$1001,$AB183)="","",INDEX(기본자료!$H$2:$H$1001,$AB183)))</f>
        <v/>
      </c>
      <c r="K183" s="10">
        <f>IF($AB183="","",IF(INDEX(기본자료!$I$2:$I$1001,$AB183)="","",INDEX(기본자료!$I$2:$I$1001,$AB183)))</f>
        <v/>
      </c>
      <c r="L183" s="10">
        <f>IF($AB183="","",IF(INDEX(기본자료!$A$2:$A$1001,$AB183)="","",INDEX(기본자료!$A$2:$A$1001,$AB183)))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파견수련계획!$AB$4:$AB$803,$AK183),OR(NOT(ISNUMBER(INDEX(파견수련계획!$AC$4:$AC$803,$AK183))),TODAY()&lt;=INDEX(파견수련계획!$AC$4:$AC$803,$AK183))),"다기관",IF($AF183="","",INDEX(파견수련계획!$T$4:$T$803,$AF183))),IF($AF183="","",INDEX(파견수련계획!$T$4:$T$803,$AF183))))</f>
        <v/>
      </c>
      <c r="Q183" s="10">
        <f>IF($AF183="","",INDEX(파견수련계획!$S$4:$S$803,$AF183))</f>
        <v/>
      </c>
      <c r="R183" s="10">
        <f>IF($AF183="","",INDEX(파견수련계획!$U$4:$U$803,$AF183))</f>
        <v/>
      </c>
      <c r="S183" s="11">
        <f>IF($AF183="","",IF(INDEX(파견수련계획!$H$4:$H$803,$AF183)="","",INDEX(파견수련계획!$H$4:$H$803,$AF183)))</f>
        <v/>
      </c>
      <c r="T183" s="11">
        <f>IF($AF183="","",IF(INDEX(파견수련계획!$I$4:$I$803,$AF183)="","",INDEX(파견수련계획!$I$4:$I$803,$AF183)))</f>
        <v/>
      </c>
      <c r="U183" s="10">
        <f>IF($AF183="","",INDEX(파견수련계획!$X$4:$X$803,$AF183))</f>
        <v/>
      </c>
      <c r="V183" s="17">
        <f>IF($AF183="","",INDEX(파견수련계획!$V$4:$V$803,$AF183))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IF(OR($B183="",TRIM($J183&amp;"")=""),"",SUMPRODUCT((파견수련계획!$Q$4:$Q$803=TRIM($J183&amp;""))*파견수련계획!$W$4:$W$803))</f>
        <v/>
      </c>
      <c r="Y183" s="10">
        <f>IF($B183="","",IF($AG183="","",IF(IF(TRIM($J183&amp;"")="",0,SUMPRODUCT((파견수련계획!$Q$4:$Q$803=TRIM($J183&amp;""))*파견수련계획!$AD$4:$AD$803))&gt;0,$AE183,IF(N($X183)&lt;=0,$AG183,IF($AH183+$AI183=DAY(EOMONTH(요약!$B$3,0)),IF(AND($AH183&gt;=요약!$E$3,$AI183&lt;요약!$E$3),"서울병원",IF(AND($AI183&gt;=요약!$E$3,$AH183&lt;요약!$E$3),"구리병원","⚠15일 판정불가(서울 "&amp;$AH183&amp;"일/구리 "&amp;$AI183&amp;"일)")),IF($AJ183="",$AE183,IF(INDEX(파견수련계획!$T$4:$T$803,$AJ183)="통합수련",INDEX(파견수련계획!$S$4:$S$803,$AJ183),$AE183)))))))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입력",IF(IF(TRIM($J183&amp;"")="",0,SUMPRODUCT((파견수련계획!$Q$4:$Q$803=TRIM($J183&amp;""))*(파견수련계획!$AA$4:$AA$803&lt;&gt;"")))&gt;0,"파견수련계획 입력오류 확인",IF(LEFT($Y183,1)="⚠","서울·구리 15일 판정 불가(양쪽 모두 이상/미만)",IF(IF($AC183="",0,N(INDEX(인턴근무계획!$T$3:$T$402,$AC183)))&gt;0,"인턴계획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IF($B183="","",IFERROR(MATCH($B183,기본자료!$B$2:$B$1001,0),IFERROR(MATCH($B183&amp;"",기본자료!$B$2:$B$1001,0),IFERROR(MATCH(VALUE($B183),기본자료!$B$2:$B$1001,0),""))))</f>
        <v/>
      </c>
      <c r="AC183" s="10">
        <f>IF($B183="","",IFERROR(MATCH($B183,인턴근무계획!$D$3:$D$402,0),IFERROR(MATCH($B183&amp;"",인턴근무계획!$D$3:$D$402,0),IFERROR(MATCH(VALUE($B183),인턴근무계획!$D$3:$D$402,0),""))))</f>
        <v/>
      </c>
      <c r="AD183" s="10">
        <f>IF(OR($AC183="",인턴현황!$G$3=""),"",INDEX(인턴근무계획!$M$3:$R$402,$AC183,인턴현황!$G$3)&amp;"")</f>
        <v/>
      </c>
      <c r="AE183" s="10">
        <f>IF($B183="","",IF($M183&lt;&gt;"",$M183,IF($AF183&lt;&gt;"",IF(LEFT(INDEX(파견수련계획!$R$4:$R$803,$AF183),1)&lt;&gt;"⚠",INDEX(파견수련계획!$R$4:$R$803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$803,0),IFERROR(MATCH(TRIM($J183&amp;"")&amp;"|파견예정",파견수련계획!$Y$4:$Y$803,0),IFERROR(MATCH(TRIM($J183&amp;"")&amp;"|파견종료",파견수련계획!$Y$4:$Y$803,0),""))))</f>
        <v/>
      </c>
      <c r="AG183" s="10">
        <f>IF($B183="","",IF(AND(IF(OR($AC183="",인턴현황!$K$2=""),"",INDEX(인턴근무계획!$M$3:$R$402,$AC183,인턴현황!$K$2)&amp;"")&lt;&gt;"",LEFT(IF(OR($AC183="",인턴현황!$K$2=""),"",INDEX(인턴근무계획!$M$3:$R$402,$AC183,인턴현황!$K$2)&amp;""),1)&lt;&gt;"⚠"),LEFT(IF(OR($AC183="",인턴현황!$K$2=""),"",INDEX(인턴근무계획!$M$3:$R$402,$AC183,인턴현황!$K$2)&amp;""),FIND(" ",IF(OR($AC183="",인턴현황!$K$2=""),"",INDEX(인턴근무계획!$M$3:$R$402,$AC183,인턴현황!$K$2)&amp;""))-1),$AE183))</f>
        <v/>
      </c>
      <c r="AH183" s="17">
        <f>IF($B183="","",IF(TRIM($J183&amp;"")="",0,SUMPRODUCT((파견수련계획!$Q$4:$Q$803=TRIM($J183&amp;""))*(파견수련계획!$S$4:$S$803="서울병원")*파견수련계획!$W$4:$W$803))+IF($AG183="서울병원",MAX(0,DAY(EOMONTH(요약!$B$3,0))-N($X183)),0))</f>
        <v/>
      </c>
      <c r="AI183" s="17">
        <f>IF($B183="","",IF(TRIM($J183&amp;"")="",0,SUMPRODUCT((파견수련계획!$Q$4:$Q$803=TRIM($J183&amp;""))*(파견수련계획!$S$4:$S$803="구리병원")*파견수련계획!$W$4:$W$803))+IF($AG183="구리병원",MAX(0,DAY(EOMONTH(요약!$B$3,0))-N($X183)),0))</f>
        <v/>
      </c>
      <c r="AJ183" s="10">
        <f>IF(OR($B183="",TRIM($J183&amp;"")=""),"",IFERROR(MATCH(TRIM($J183&amp;"")&amp;"|월",파견수련계획!$Z$4:$Z$803,0),""))</f>
        <v/>
      </c>
      <c r="AK183" s="10">
        <f>IF(OR($B183="",TRIM($J183&amp;"")=""),"",IFERROR(MATCH(TRIM($J183&amp;"")&amp;"|다기관",파견수련계획!$AE$4:$AE$803,0),""))</f>
        <v/>
      </c>
      <c r="AL183" s="10">
        <f>IF($AK183="","","다기관 "&amp;TEXT(INDEX(파견수련계획!$AB$4:$AB$803,$AK183),"yyyy-mm-dd")&amp;"~"&amp;IF(ISNUMBER(INDEX(파견수련계획!$AC$4:$AC$803,$AK183)),TEXT(INDEX(파견수련계획!$AC$4:$AC$803,$AK183),"yyyy-mm-dd"),""))</f>
        <v/>
      </c>
    </row>
    <row r="184">
      <c r="A184" s="10">
        <f>IF(B184="","",ROW()-1)</f>
        <v/>
      </c>
      <c r="B184" s="18" t="n"/>
      <c r="C184" s="10">
        <f>IF($AB184="","",IF(INDEX(기본자료!$C$2:$C$1001,$AB184)="","",INDEX(기본자료!$C$2:$C$1001,$AB184)))</f>
        <v/>
      </c>
      <c r="D184" s="10">
        <f>IF($AB184="","",IF(INDEX(기본자료!$J$2:$J$1001,$AB184)="","",INDEX(기본자료!$J$2:$J$1001,$AB184)))</f>
        <v/>
      </c>
      <c r="E184" s="11">
        <f>IF($AB184="","",IF(INDEX(기본자료!$K$2:$K$1001,$AB184)="","",IF(NOT(ISNUMBER(INDEX(기본자료!$K$2:$K$1001,$AB184))),INDEX(기본자료!$K$2:$K$1001,$AB184),IF(INDEX(기본자료!$K$2:$K$1001,$AB184)&lt;1000000,INDEX(기본자료!$K$2:$K$1001,$AB184),IF(AND(INDEX(기본자료!$K$2:$K$1001,$AB184)&gt;=10000101,INT(MOD(INDEX(기본자료!$K$2:$K$1001,$AB184),10000)/100)&gt;=1,INT(MOD(INDEX(기본자료!$K$2:$K$1001,$AB184),10000)/100)&lt;=12,MOD(INDEX(기본자료!$K$2:$K$1001,$AB184),100)&gt;=1,MOD(INDEX(기본자료!$K$2:$K$1001,$AB184),100)&lt;=31),DATE(INT(INDEX(기본자료!$K$2:$K$1001,$AB184)/10000),INT(MOD(INDEX(기본자료!$K$2:$K$1001,$AB184),10000)/100),MOD(INDEX(기본자료!$K$2:$K$1001,$AB184),100)),INDEX(기본자료!$K$2:$K$1001,$AB184)&amp;"")))))</f>
        <v/>
      </c>
      <c r="F184" s="10">
        <f>IF($AB184="","",IF(INDEX(기본자료!$D$2:$D$1001,$AB184)="","",INDEX(기본자료!$D$2:$D$1001,$AB184)))</f>
        <v/>
      </c>
      <c r="G184" s="10">
        <f>IF($AB184="","",IF(INDEX(기본자료!$E$2:$E$1001,$AB184)="","",INDEX(기본자료!$E$2:$E$1001,$AB184)))</f>
        <v/>
      </c>
      <c r="H184" s="10">
        <f>IF($AB184="","",IF(INDEX(기본자료!$F$2:$F$1001,$AB184)="","",INDEX(기본자료!$F$2:$F$1001,$AB184)))</f>
        <v/>
      </c>
      <c r="I184" s="11">
        <f>IF($AB184="","",IF(INDEX(기본자료!$G$2:$G$1001,$AB184)="","",IF(NOT(ISNUMBER(INDEX(기본자료!$G$2:$G$1001,$AB184))),INDEX(기본자료!$G$2:$G$1001,$AB184),IF(INDEX(기본자료!$G$2:$G$1001,$AB184)&lt;1000000,INDEX(기본자료!$G$2:$G$1001,$AB184),IF(AND(INDEX(기본자료!$G$2:$G$1001,$AB184)&gt;=10000101,INT(MOD(INDEX(기본자료!$G$2:$G$1001,$AB184),10000)/100)&gt;=1,INT(MOD(INDEX(기본자료!$G$2:$G$1001,$AB184),10000)/100)&lt;=12,MOD(INDEX(기본자료!$G$2:$G$1001,$AB184),100)&gt;=1,MOD(INDEX(기본자료!$G$2:$G$1001,$AB184),100)&lt;=31),DATE(INT(INDEX(기본자료!$G$2:$G$1001,$AB184)/10000),INT(MOD(INDEX(기본자료!$G$2:$G$1001,$AB184),10000)/100),MOD(INDEX(기본자료!$G$2:$G$1001,$AB184),100)),INDEX(기본자료!$G$2:$G$1001,$AB184)&amp;"")))))</f>
        <v/>
      </c>
      <c r="J184" s="10">
        <f>IF($AB184="","",IF(INDEX(기본자료!$H$2:$H$1001,$AB184)="","",INDEX(기본자료!$H$2:$H$1001,$AB184)))</f>
        <v/>
      </c>
      <c r="K184" s="10">
        <f>IF($AB184="","",IF(INDEX(기본자료!$I$2:$I$1001,$AB184)="","",INDEX(기본자료!$I$2:$I$1001,$AB184)))</f>
        <v/>
      </c>
      <c r="L184" s="10">
        <f>IF($AB184="","",IF(INDEX(기본자료!$A$2:$A$1001,$AB184)="","",INDEX(기본자료!$A$2:$A$1001,$AB184)))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파견수련계획!$AB$4:$AB$803,$AK184),OR(NOT(ISNUMBER(INDEX(파견수련계획!$AC$4:$AC$803,$AK184))),TODAY()&lt;=INDEX(파견수련계획!$AC$4:$AC$803,$AK184))),"다기관",IF($AF184="","",INDEX(파견수련계획!$T$4:$T$803,$AF184))),IF($AF184="","",INDEX(파견수련계획!$T$4:$T$803,$AF184))))</f>
        <v/>
      </c>
      <c r="Q184" s="10">
        <f>IF($AF184="","",INDEX(파견수련계획!$S$4:$S$803,$AF184))</f>
        <v/>
      </c>
      <c r="R184" s="10">
        <f>IF($AF184="","",INDEX(파견수련계획!$U$4:$U$803,$AF184))</f>
        <v/>
      </c>
      <c r="S184" s="11">
        <f>IF($AF184="","",IF(INDEX(파견수련계획!$H$4:$H$803,$AF184)="","",INDEX(파견수련계획!$H$4:$H$803,$AF184)))</f>
        <v/>
      </c>
      <c r="T184" s="11">
        <f>IF($AF184="","",IF(INDEX(파견수련계획!$I$4:$I$803,$AF184)="","",INDEX(파견수련계획!$I$4:$I$803,$AF184)))</f>
        <v/>
      </c>
      <c r="U184" s="10">
        <f>IF($AF184="","",INDEX(파견수련계획!$X$4:$X$803,$AF184))</f>
        <v/>
      </c>
      <c r="V184" s="17">
        <f>IF($AF184="","",INDEX(파견수련계획!$V$4:$V$803,$AF184))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IF(OR($B184="",TRIM($J184&amp;"")=""),"",SUMPRODUCT((파견수련계획!$Q$4:$Q$803=TRIM($J184&amp;""))*파견수련계획!$W$4:$W$803))</f>
        <v/>
      </c>
      <c r="Y184" s="10">
        <f>IF($B184="","",IF($AG184="","",IF(IF(TRIM($J184&amp;"")="",0,SUMPRODUCT((파견수련계획!$Q$4:$Q$803=TRIM($J184&amp;""))*파견수련계획!$AD$4:$AD$803))&gt;0,$AE184,IF(N($X184)&lt;=0,$AG184,IF($AH184+$AI184=DAY(EOMONTH(요약!$B$3,0)),IF(AND($AH184&gt;=요약!$E$3,$AI184&lt;요약!$E$3),"서울병원",IF(AND($AI184&gt;=요약!$E$3,$AH184&lt;요약!$E$3),"구리병원","⚠15일 판정불가(서울 "&amp;$AH184&amp;"일/구리 "&amp;$AI184&amp;"일)")),IF($AJ184="",$AE184,IF(INDEX(파견수련계획!$T$4:$T$803,$AJ184)="통합수련",INDEX(파견수련계획!$S$4:$S$803,$AJ184),$AE184)))))))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입력",IF(IF(TRIM($J184&amp;"")="",0,SUMPRODUCT((파견수련계획!$Q$4:$Q$803=TRIM($J184&amp;""))*(파견수련계획!$AA$4:$AA$803&lt;&gt;"")))&gt;0,"파견수련계획 입력오류 확인",IF(LEFT($Y184,1)="⚠","서울·구리 15일 판정 불가(양쪽 모두 이상/미만)",IF(IF($AC184="",0,N(INDEX(인턴근무계획!$T$3:$T$402,$AC184)))&gt;0,"인턴계획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IF($B184="","",IFERROR(MATCH($B184,기본자료!$B$2:$B$1001,0),IFERROR(MATCH($B184&amp;"",기본자료!$B$2:$B$1001,0),IFERROR(MATCH(VALUE($B184),기본자료!$B$2:$B$1001,0),""))))</f>
        <v/>
      </c>
      <c r="AC184" s="10">
        <f>IF($B184="","",IFERROR(MATCH($B184,인턴근무계획!$D$3:$D$402,0),IFERROR(MATCH($B184&amp;"",인턴근무계획!$D$3:$D$402,0),IFERROR(MATCH(VALUE($B184),인턴근무계획!$D$3:$D$402,0),""))))</f>
        <v/>
      </c>
      <c r="AD184" s="10">
        <f>IF(OR($AC184="",인턴현황!$G$3=""),"",INDEX(인턴근무계획!$M$3:$R$402,$AC184,인턴현황!$G$3)&amp;"")</f>
        <v/>
      </c>
      <c r="AE184" s="10">
        <f>IF($B184="","",IF($M184&lt;&gt;"",$M184,IF($AF184&lt;&gt;"",IF(LEFT(INDEX(파견수련계획!$R$4:$R$803,$AF184),1)&lt;&gt;"⚠",INDEX(파견수련계획!$R$4:$R$803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$803,0),IFERROR(MATCH(TRIM($J184&amp;"")&amp;"|파견예정",파견수련계획!$Y$4:$Y$803,0),IFERROR(MATCH(TRIM($J184&amp;"")&amp;"|파견종료",파견수련계획!$Y$4:$Y$803,0),""))))</f>
        <v/>
      </c>
      <c r="AG184" s="10">
        <f>IF($B184="","",IF(AND(IF(OR($AC184="",인턴현황!$K$2=""),"",INDEX(인턴근무계획!$M$3:$R$402,$AC184,인턴현황!$K$2)&amp;"")&lt;&gt;"",LEFT(IF(OR($AC184="",인턴현황!$K$2=""),"",INDEX(인턴근무계획!$M$3:$R$402,$AC184,인턴현황!$K$2)&amp;""),1)&lt;&gt;"⚠"),LEFT(IF(OR($AC184="",인턴현황!$K$2=""),"",INDEX(인턴근무계획!$M$3:$R$402,$AC184,인턴현황!$K$2)&amp;""),FIND(" ",IF(OR($AC184="",인턴현황!$K$2=""),"",INDEX(인턴근무계획!$M$3:$R$402,$AC184,인턴현황!$K$2)&amp;""))-1),$AE184))</f>
        <v/>
      </c>
      <c r="AH184" s="17">
        <f>IF($B184="","",IF(TRIM($J184&amp;"")="",0,SUMPRODUCT((파견수련계획!$Q$4:$Q$803=TRIM($J184&amp;""))*(파견수련계획!$S$4:$S$803="서울병원")*파견수련계획!$W$4:$W$803))+IF($AG184="서울병원",MAX(0,DAY(EOMONTH(요약!$B$3,0))-N($X184)),0))</f>
        <v/>
      </c>
      <c r="AI184" s="17">
        <f>IF($B184="","",IF(TRIM($J184&amp;"")="",0,SUMPRODUCT((파견수련계획!$Q$4:$Q$803=TRIM($J184&amp;""))*(파견수련계획!$S$4:$S$803="구리병원")*파견수련계획!$W$4:$W$803))+IF($AG184="구리병원",MAX(0,DAY(EOMONTH(요약!$B$3,0))-N($X184)),0))</f>
        <v/>
      </c>
      <c r="AJ184" s="10">
        <f>IF(OR($B184="",TRIM($J184&amp;"")=""),"",IFERROR(MATCH(TRIM($J184&amp;"")&amp;"|월",파견수련계획!$Z$4:$Z$803,0),""))</f>
        <v/>
      </c>
      <c r="AK184" s="10">
        <f>IF(OR($B184="",TRIM($J184&amp;"")=""),"",IFERROR(MATCH(TRIM($J184&amp;"")&amp;"|다기관",파견수련계획!$AE$4:$AE$803,0),""))</f>
        <v/>
      </c>
      <c r="AL184" s="10">
        <f>IF($AK184="","","다기관 "&amp;TEXT(INDEX(파견수련계획!$AB$4:$AB$803,$AK184),"yyyy-mm-dd")&amp;"~"&amp;IF(ISNUMBER(INDEX(파견수련계획!$AC$4:$AC$803,$AK184)),TEXT(INDEX(파견수련계획!$AC$4:$AC$803,$AK184),"yyyy-mm-dd"),""))</f>
        <v/>
      </c>
    </row>
    <row r="185">
      <c r="A185" s="10">
        <f>IF(B185="","",ROW()-1)</f>
        <v/>
      </c>
      <c r="B185" s="18" t="n"/>
      <c r="C185" s="10">
        <f>IF($AB185="","",IF(INDEX(기본자료!$C$2:$C$1001,$AB185)="","",INDEX(기본자료!$C$2:$C$1001,$AB185)))</f>
        <v/>
      </c>
      <c r="D185" s="10">
        <f>IF($AB185="","",IF(INDEX(기본자료!$J$2:$J$1001,$AB185)="","",INDEX(기본자료!$J$2:$J$1001,$AB185)))</f>
        <v/>
      </c>
      <c r="E185" s="11">
        <f>IF($AB185="","",IF(INDEX(기본자료!$K$2:$K$1001,$AB185)="","",IF(NOT(ISNUMBER(INDEX(기본자료!$K$2:$K$1001,$AB185))),INDEX(기본자료!$K$2:$K$1001,$AB185),IF(INDEX(기본자료!$K$2:$K$1001,$AB185)&lt;1000000,INDEX(기본자료!$K$2:$K$1001,$AB185),IF(AND(INDEX(기본자료!$K$2:$K$1001,$AB185)&gt;=10000101,INT(MOD(INDEX(기본자료!$K$2:$K$1001,$AB185),10000)/100)&gt;=1,INT(MOD(INDEX(기본자료!$K$2:$K$1001,$AB185),10000)/100)&lt;=12,MOD(INDEX(기본자료!$K$2:$K$1001,$AB185),100)&gt;=1,MOD(INDEX(기본자료!$K$2:$K$1001,$AB185),100)&lt;=31),DATE(INT(INDEX(기본자료!$K$2:$K$1001,$AB185)/10000),INT(MOD(INDEX(기본자료!$K$2:$K$1001,$AB185),10000)/100),MOD(INDEX(기본자료!$K$2:$K$1001,$AB185),100)),INDEX(기본자료!$K$2:$K$1001,$AB185)&amp;"")))))</f>
        <v/>
      </c>
      <c r="F185" s="10">
        <f>IF($AB185="","",IF(INDEX(기본자료!$D$2:$D$1001,$AB185)="","",INDEX(기본자료!$D$2:$D$1001,$AB185)))</f>
        <v/>
      </c>
      <c r="G185" s="10">
        <f>IF($AB185="","",IF(INDEX(기본자료!$E$2:$E$1001,$AB185)="","",INDEX(기본자료!$E$2:$E$1001,$AB185)))</f>
        <v/>
      </c>
      <c r="H185" s="10">
        <f>IF($AB185="","",IF(INDEX(기본자료!$F$2:$F$1001,$AB185)="","",INDEX(기본자료!$F$2:$F$1001,$AB185)))</f>
        <v/>
      </c>
      <c r="I185" s="11">
        <f>IF($AB185="","",IF(INDEX(기본자료!$G$2:$G$1001,$AB185)="","",IF(NOT(ISNUMBER(INDEX(기본자료!$G$2:$G$1001,$AB185))),INDEX(기본자료!$G$2:$G$1001,$AB185),IF(INDEX(기본자료!$G$2:$G$1001,$AB185)&lt;1000000,INDEX(기본자료!$G$2:$G$1001,$AB185),IF(AND(INDEX(기본자료!$G$2:$G$1001,$AB185)&gt;=10000101,INT(MOD(INDEX(기본자료!$G$2:$G$1001,$AB185),10000)/100)&gt;=1,INT(MOD(INDEX(기본자료!$G$2:$G$1001,$AB185),10000)/100)&lt;=12,MOD(INDEX(기본자료!$G$2:$G$1001,$AB185),100)&gt;=1,MOD(INDEX(기본자료!$G$2:$G$1001,$AB185),100)&lt;=31),DATE(INT(INDEX(기본자료!$G$2:$G$1001,$AB185)/10000),INT(MOD(INDEX(기본자료!$G$2:$G$1001,$AB185),10000)/100),MOD(INDEX(기본자료!$G$2:$G$1001,$AB185),100)),INDEX(기본자료!$G$2:$G$1001,$AB185)&amp;"")))))</f>
        <v/>
      </c>
      <c r="J185" s="10">
        <f>IF($AB185="","",IF(INDEX(기본자료!$H$2:$H$1001,$AB185)="","",INDEX(기본자료!$H$2:$H$1001,$AB185)))</f>
        <v/>
      </c>
      <c r="K185" s="10">
        <f>IF($AB185="","",IF(INDEX(기본자료!$I$2:$I$1001,$AB185)="","",INDEX(기본자료!$I$2:$I$1001,$AB185)))</f>
        <v/>
      </c>
      <c r="L185" s="10">
        <f>IF($AB185="","",IF(INDEX(기본자료!$A$2:$A$1001,$AB185)="","",INDEX(기본자료!$A$2:$A$1001,$AB185)))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파견수련계획!$AB$4:$AB$803,$AK185),OR(NOT(ISNUMBER(INDEX(파견수련계획!$AC$4:$AC$803,$AK185))),TODAY()&lt;=INDEX(파견수련계획!$AC$4:$AC$803,$AK185))),"다기관",IF($AF185="","",INDEX(파견수련계획!$T$4:$T$803,$AF185))),IF($AF185="","",INDEX(파견수련계획!$T$4:$T$803,$AF185))))</f>
        <v/>
      </c>
      <c r="Q185" s="10">
        <f>IF($AF185="","",INDEX(파견수련계획!$S$4:$S$803,$AF185))</f>
        <v/>
      </c>
      <c r="R185" s="10">
        <f>IF($AF185="","",INDEX(파견수련계획!$U$4:$U$803,$AF185))</f>
        <v/>
      </c>
      <c r="S185" s="11">
        <f>IF($AF185="","",IF(INDEX(파견수련계획!$H$4:$H$803,$AF185)="","",INDEX(파견수련계획!$H$4:$H$803,$AF185)))</f>
        <v/>
      </c>
      <c r="T185" s="11">
        <f>IF($AF185="","",IF(INDEX(파견수련계획!$I$4:$I$803,$AF185)="","",INDEX(파견수련계획!$I$4:$I$803,$AF185)))</f>
        <v/>
      </c>
      <c r="U185" s="10">
        <f>IF($AF185="","",INDEX(파견수련계획!$X$4:$X$803,$AF185))</f>
        <v/>
      </c>
      <c r="V185" s="17">
        <f>IF($AF185="","",INDEX(파견수련계획!$V$4:$V$803,$AF185))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IF(OR($B185="",TRIM($J185&amp;"")=""),"",SUMPRODUCT((파견수련계획!$Q$4:$Q$803=TRIM($J185&amp;""))*파견수련계획!$W$4:$W$803))</f>
        <v/>
      </c>
      <c r="Y185" s="10">
        <f>IF($B185="","",IF($AG185="","",IF(IF(TRIM($J185&amp;"")="",0,SUMPRODUCT((파견수련계획!$Q$4:$Q$803=TRIM($J185&amp;""))*파견수련계획!$AD$4:$AD$803))&gt;0,$AE185,IF(N($X185)&lt;=0,$AG185,IF($AH185+$AI185=DAY(EOMONTH(요약!$B$3,0)),IF(AND($AH185&gt;=요약!$E$3,$AI185&lt;요약!$E$3),"서울병원",IF(AND($AI185&gt;=요약!$E$3,$AH185&lt;요약!$E$3),"구리병원","⚠15일 판정불가(서울 "&amp;$AH185&amp;"일/구리 "&amp;$AI185&amp;"일)")),IF($AJ185="",$AE185,IF(INDEX(파견수련계획!$T$4:$T$803,$AJ185)="통합수련",INDEX(파견수련계획!$S$4:$S$803,$AJ185),$AE185)))))))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입력",IF(IF(TRIM($J185&amp;"")="",0,SUMPRODUCT((파견수련계획!$Q$4:$Q$803=TRIM($J185&amp;""))*(파견수련계획!$AA$4:$AA$803&lt;&gt;"")))&gt;0,"파견수련계획 입력오류 확인",IF(LEFT($Y185,1)="⚠","서울·구리 15일 판정 불가(양쪽 모두 이상/미만)",IF(IF($AC185="",0,N(INDEX(인턴근무계획!$T$3:$T$402,$AC185)))&gt;0,"인턴계획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IF($B185="","",IFERROR(MATCH($B185,기본자료!$B$2:$B$1001,0),IFERROR(MATCH($B185&amp;"",기본자료!$B$2:$B$1001,0),IFERROR(MATCH(VALUE($B185),기본자료!$B$2:$B$1001,0),""))))</f>
        <v/>
      </c>
      <c r="AC185" s="10">
        <f>IF($B185="","",IFERROR(MATCH($B185,인턴근무계획!$D$3:$D$402,0),IFERROR(MATCH($B185&amp;"",인턴근무계획!$D$3:$D$402,0),IFERROR(MATCH(VALUE($B185),인턴근무계획!$D$3:$D$402,0),""))))</f>
        <v/>
      </c>
      <c r="AD185" s="10">
        <f>IF(OR($AC185="",인턴현황!$G$3=""),"",INDEX(인턴근무계획!$M$3:$R$402,$AC185,인턴현황!$G$3)&amp;"")</f>
        <v/>
      </c>
      <c r="AE185" s="10">
        <f>IF($B185="","",IF($M185&lt;&gt;"",$M185,IF($AF185&lt;&gt;"",IF(LEFT(INDEX(파견수련계획!$R$4:$R$803,$AF185),1)&lt;&gt;"⚠",INDEX(파견수련계획!$R$4:$R$803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$803,0),IFERROR(MATCH(TRIM($J185&amp;"")&amp;"|파견예정",파견수련계획!$Y$4:$Y$803,0),IFERROR(MATCH(TRIM($J185&amp;"")&amp;"|파견종료",파견수련계획!$Y$4:$Y$803,0),""))))</f>
        <v/>
      </c>
      <c r="AG185" s="10">
        <f>IF($B185="","",IF(AND(IF(OR($AC185="",인턴현황!$K$2=""),"",INDEX(인턴근무계획!$M$3:$R$402,$AC185,인턴현황!$K$2)&amp;"")&lt;&gt;"",LEFT(IF(OR($AC185="",인턴현황!$K$2=""),"",INDEX(인턴근무계획!$M$3:$R$402,$AC185,인턴현황!$K$2)&amp;""),1)&lt;&gt;"⚠"),LEFT(IF(OR($AC185="",인턴현황!$K$2=""),"",INDEX(인턴근무계획!$M$3:$R$402,$AC185,인턴현황!$K$2)&amp;""),FIND(" ",IF(OR($AC185="",인턴현황!$K$2=""),"",INDEX(인턴근무계획!$M$3:$R$402,$AC185,인턴현황!$K$2)&amp;""))-1),$AE185))</f>
        <v/>
      </c>
      <c r="AH185" s="17">
        <f>IF($B185="","",IF(TRIM($J185&amp;"")="",0,SUMPRODUCT((파견수련계획!$Q$4:$Q$803=TRIM($J185&amp;""))*(파견수련계획!$S$4:$S$803="서울병원")*파견수련계획!$W$4:$W$803))+IF($AG185="서울병원",MAX(0,DAY(EOMONTH(요약!$B$3,0))-N($X185)),0))</f>
        <v/>
      </c>
      <c r="AI185" s="17">
        <f>IF($B185="","",IF(TRIM($J185&amp;"")="",0,SUMPRODUCT((파견수련계획!$Q$4:$Q$803=TRIM($J185&amp;""))*(파견수련계획!$S$4:$S$803="구리병원")*파견수련계획!$W$4:$W$803))+IF($AG185="구리병원",MAX(0,DAY(EOMONTH(요약!$B$3,0))-N($X185)),0))</f>
        <v/>
      </c>
      <c r="AJ185" s="10">
        <f>IF(OR($B185="",TRIM($J185&amp;"")=""),"",IFERROR(MATCH(TRIM($J185&amp;"")&amp;"|월",파견수련계획!$Z$4:$Z$803,0),""))</f>
        <v/>
      </c>
      <c r="AK185" s="10">
        <f>IF(OR($B185="",TRIM($J185&amp;"")=""),"",IFERROR(MATCH(TRIM($J185&amp;"")&amp;"|다기관",파견수련계획!$AE$4:$AE$803,0),""))</f>
        <v/>
      </c>
      <c r="AL185" s="10">
        <f>IF($AK185="","","다기관 "&amp;TEXT(INDEX(파견수련계획!$AB$4:$AB$803,$AK185),"yyyy-mm-dd")&amp;"~"&amp;IF(ISNUMBER(INDEX(파견수련계획!$AC$4:$AC$803,$AK185)),TEXT(INDEX(파견수련계획!$AC$4:$AC$803,$AK185),"yyyy-mm-dd"),""))</f>
        <v/>
      </c>
    </row>
    <row r="186">
      <c r="A186" s="10">
        <f>IF(B186="","",ROW()-1)</f>
        <v/>
      </c>
      <c r="B186" s="18" t="n"/>
      <c r="C186" s="10">
        <f>IF($AB186="","",IF(INDEX(기본자료!$C$2:$C$1001,$AB186)="","",INDEX(기본자료!$C$2:$C$1001,$AB186)))</f>
        <v/>
      </c>
      <c r="D186" s="10">
        <f>IF($AB186="","",IF(INDEX(기본자료!$J$2:$J$1001,$AB186)="","",INDEX(기본자료!$J$2:$J$1001,$AB186)))</f>
        <v/>
      </c>
      <c r="E186" s="11">
        <f>IF($AB186="","",IF(INDEX(기본자료!$K$2:$K$1001,$AB186)="","",IF(NOT(ISNUMBER(INDEX(기본자료!$K$2:$K$1001,$AB186))),INDEX(기본자료!$K$2:$K$1001,$AB186),IF(INDEX(기본자료!$K$2:$K$1001,$AB186)&lt;1000000,INDEX(기본자료!$K$2:$K$1001,$AB186),IF(AND(INDEX(기본자료!$K$2:$K$1001,$AB186)&gt;=10000101,INT(MOD(INDEX(기본자료!$K$2:$K$1001,$AB186),10000)/100)&gt;=1,INT(MOD(INDEX(기본자료!$K$2:$K$1001,$AB186),10000)/100)&lt;=12,MOD(INDEX(기본자료!$K$2:$K$1001,$AB186),100)&gt;=1,MOD(INDEX(기본자료!$K$2:$K$1001,$AB186),100)&lt;=31),DATE(INT(INDEX(기본자료!$K$2:$K$1001,$AB186)/10000),INT(MOD(INDEX(기본자료!$K$2:$K$1001,$AB186),10000)/100),MOD(INDEX(기본자료!$K$2:$K$1001,$AB186),100)),INDEX(기본자료!$K$2:$K$1001,$AB186)&amp;"")))))</f>
        <v/>
      </c>
      <c r="F186" s="10">
        <f>IF($AB186="","",IF(INDEX(기본자료!$D$2:$D$1001,$AB186)="","",INDEX(기본자료!$D$2:$D$1001,$AB186)))</f>
        <v/>
      </c>
      <c r="G186" s="10">
        <f>IF($AB186="","",IF(INDEX(기본자료!$E$2:$E$1001,$AB186)="","",INDEX(기본자료!$E$2:$E$1001,$AB186)))</f>
        <v/>
      </c>
      <c r="H186" s="10">
        <f>IF($AB186="","",IF(INDEX(기본자료!$F$2:$F$1001,$AB186)="","",INDEX(기본자료!$F$2:$F$1001,$AB186)))</f>
        <v/>
      </c>
      <c r="I186" s="11">
        <f>IF($AB186="","",IF(INDEX(기본자료!$G$2:$G$1001,$AB186)="","",IF(NOT(ISNUMBER(INDEX(기본자료!$G$2:$G$1001,$AB186))),INDEX(기본자료!$G$2:$G$1001,$AB186),IF(INDEX(기본자료!$G$2:$G$1001,$AB186)&lt;1000000,INDEX(기본자료!$G$2:$G$1001,$AB186),IF(AND(INDEX(기본자료!$G$2:$G$1001,$AB186)&gt;=10000101,INT(MOD(INDEX(기본자료!$G$2:$G$1001,$AB186),10000)/100)&gt;=1,INT(MOD(INDEX(기본자료!$G$2:$G$1001,$AB186),10000)/100)&lt;=12,MOD(INDEX(기본자료!$G$2:$G$1001,$AB186),100)&gt;=1,MOD(INDEX(기본자료!$G$2:$G$1001,$AB186),100)&lt;=31),DATE(INT(INDEX(기본자료!$G$2:$G$1001,$AB186)/10000),INT(MOD(INDEX(기본자료!$G$2:$G$1001,$AB186),10000)/100),MOD(INDEX(기본자료!$G$2:$G$1001,$AB186),100)),INDEX(기본자료!$G$2:$G$1001,$AB186)&amp;"")))))</f>
        <v/>
      </c>
      <c r="J186" s="10">
        <f>IF($AB186="","",IF(INDEX(기본자료!$H$2:$H$1001,$AB186)="","",INDEX(기본자료!$H$2:$H$1001,$AB186)))</f>
        <v/>
      </c>
      <c r="K186" s="10">
        <f>IF($AB186="","",IF(INDEX(기본자료!$I$2:$I$1001,$AB186)="","",INDEX(기본자료!$I$2:$I$1001,$AB186)))</f>
        <v/>
      </c>
      <c r="L186" s="10">
        <f>IF($AB186="","",IF(INDEX(기본자료!$A$2:$A$1001,$AB186)="","",INDEX(기본자료!$A$2:$A$1001,$AB186)))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파견수련계획!$AB$4:$AB$803,$AK186),OR(NOT(ISNUMBER(INDEX(파견수련계획!$AC$4:$AC$803,$AK186))),TODAY()&lt;=INDEX(파견수련계획!$AC$4:$AC$803,$AK186))),"다기관",IF($AF186="","",INDEX(파견수련계획!$T$4:$T$803,$AF186))),IF($AF186="","",INDEX(파견수련계획!$T$4:$T$803,$AF186))))</f>
        <v/>
      </c>
      <c r="Q186" s="10">
        <f>IF($AF186="","",INDEX(파견수련계획!$S$4:$S$803,$AF186))</f>
        <v/>
      </c>
      <c r="R186" s="10">
        <f>IF($AF186="","",INDEX(파견수련계획!$U$4:$U$803,$AF186))</f>
        <v/>
      </c>
      <c r="S186" s="11">
        <f>IF($AF186="","",IF(INDEX(파견수련계획!$H$4:$H$803,$AF186)="","",INDEX(파견수련계획!$H$4:$H$803,$AF186)))</f>
        <v/>
      </c>
      <c r="T186" s="11">
        <f>IF($AF186="","",IF(INDEX(파견수련계획!$I$4:$I$803,$AF186)="","",INDEX(파견수련계획!$I$4:$I$803,$AF186)))</f>
        <v/>
      </c>
      <c r="U186" s="10">
        <f>IF($AF186="","",INDEX(파견수련계획!$X$4:$X$803,$AF186))</f>
        <v/>
      </c>
      <c r="V186" s="17">
        <f>IF($AF186="","",INDEX(파견수련계획!$V$4:$V$803,$AF186))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IF(OR($B186="",TRIM($J186&amp;"")=""),"",SUMPRODUCT((파견수련계획!$Q$4:$Q$803=TRIM($J186&amp;""))*파견수련계획!$W$4:$W$803))</f>
        <v/>
      </c>
      <c r="Y186" s="10">
        <f>IF($B186="","",IF($AG186="","",IF(IF(TRIM($J186&amp;"")="",0,SUMPRODUCT((파견수련계획!$Q$4:$Q$803=TRIM($J186&amp;""))*파견수련계획!$AD$4:$AD$803))&gt;0,$AE186,IF(N($X186)&lt;=0,$AG186,IF($AH186+$AI186=DAY(EOMONTH(요약!$B$3,0)),IF(AND($AH186&gt;=요약!$E$3,$AI186&lt;요약!$E$3),"서울병원",IF(AND($AI186&gt;=요약!$E$3,$AH186&lt;요약!$E$3),"구리병원","⚠15일 판정불가(서울 "&amp;$AH186&amp;"일/구리 "&amp;$AI186&amp;"일)")),IF($AJ186="",$AE186,IF(INDEX(파견수련계획!$T$4:$T$803,$AJ186)="통합수련",INDEX(파견수련계획!$S$4:$S$803,$AJ186),$AE186)))))))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입력",IF(IF(TRIM($J186&amp;"")="",0,SUMPRODUCT((파견수련계획!$Q$4:$Q$803=TRIM($J186&amp;""))*(파견수련계획!$AA$4:$AA$803&lt;&gt;"")))&gt;0,"파견수련계획 입력오류 확인",IF(LEFT($Y186,1)="⚠","서울·구리 15일 판정 불가(양쪽 모두 이상/미만)",IF(IF($AC186="",0,N(INDEX(인턴근무계획!$T$3:$T$402,$AC186)))&gt;0,"인턴계획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IF($B186="","",IFERROR(MATCH($B186,기본자료!$B$2:$B$1001,0),IFERROR(MATCH($B186&amp;"",기본자료!$B$2:$B$1001,0),IFERROR(MATCH(VALUE($B186),기본자료!$B$2:$B$1001,0),""))))</f>
        <v/>
      </c>
      <c r="AC186" s="10">
        <f>IF($B186="","",IFERROR(MATCH($B186,인턴근무계획!$D$3:$D$402,0),IFERROR(MATCH($B186&amp;"",인턴근무계획!$D$3:$D$402,0),IFERROR(MATCH(VALUE($B186),인턴근무계획!$D$3:$D$402,0),""))))</f>
        <v/>
      </c>
      <c r="AD186" s="10">
        <f>IF(OR($AC186="",인턴현황!$G$3=""),"",INDEX(인턴근무계획!$M$3:$R$402,$AC186,인턴현황!$G$3)&amp;"")</f>
        <v/>
      </c>
      <c r="AE186" s="10">
        <f>IF($B186="","",IF($M186&lt;&gt;"",$M186,IF($AF186&lt;&gt;"",IF(LEFT(INDEX(파견수련계획!$R$4:$R$803,$AF186),1)&lt;&gt;"⚠",INDEX(파견수련계획!$R$4:$R$803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$803,0),IFERROR(MATCH(TRIM($J186&amp;"")&amp;"|파견예정",파견수련계획!$Y$4:$Y$803,0),IFERROR(MATCH(TRIM($J186&amp;"")&amp;"|파견종료",파견수련계획!$Y$4:$Y$803,0),""))))</f>
        <v/>
      </c>
      <c r="AG186" s="10">
        <f>IF($B186="","",IF(AND(IF(OR($AC186="",인턴현황!$K$2=""),"",INDEX(인턴근무계획!$M$3:$R$402,$AC186,인턴현황!$K$2)&amp;"")&lt;&gt;"",LEFT(IF(OR($AC186="",인턴현황!$K$2=""),"",INDEX(인턴근무계획!$M$3:$R$402,$AC186,인턴현황!$K$2)&amp;""),1)&lt;&gt;"⚠"),LEFT(IF(OR($AC186="",인턴현황!$K$2=""),"",INDEX(인턴근무계획!$M$3:$R$402,$AC186,인턴현황!$K$2)&amp;""),FIND(" ",IF(OR($AC186="",인턴현황!$K$2=""),"",INDEX(인턴근무계획!$M$3:$R$402,$AC186,인턴현황!$K$2)&amp;""))-1),$AE186))</f>
        <v/>
      </c>
      <c r="AH186" s="17">
        <f>IF($B186="","",IF(TRIM($J186&amp;"")="",0,SUMPRODUCT((파견수련계획!$Q$4:$Q$803=TRIM($J186&amp;""))*(파견수련계획!$S$4:$S$803="서울병원")*파견수련계획!$W$4:$W$803))+IF($AG186="서울병원",MAX(0,DAY(EOMONTH(요약!$B$3,0))-N($X186)),0))</f>
        <v/>
      </c>
      <c r="AI186" s="17">
        <f>IF($B186="","",IF(TRIM($J186&amp;"")="",0,SUMPRODUCT((파견수련계획!$Q$4:$Q$803=TRIM($J186&amp;""))*(파견수련계획!$S$4:$S$803="구리병원")*파견수련계획!$W$4:$W$803))+IF($AG186="구리병원",MAX(0,DAY(EOMONTH(요약!$B$3,0))-N($X186)),0))</f>
        <v/>
      </c>
      <c r="AJ186" s="10">
        <f>IF(OR($B186="",TRIM($J186&amp;"")=""),"",IFERROR(MATCH(TRIM($J186&amp;"")&amp;"|월",파견수련계획!$Z$4:$Z$803,0),""))</f>
        <v/>
      </c>
      <c r="AK186" s="10">
        <f>IF(OR($B186="",TRIM($J186&amp;"")=""),"",IFERROR(MATCH(TRIM($J186&amp;"")&amp;"|다기관",파견수련계획!$AE$4:$AE$803,0),""))</f>
        <v/>
      </c>
      <c r="AL186" s="10">
        <f>IF($AK186="","","다기관 "&amp;TEXT(INDEX(파견수련계획!$AB$4:$AB$803,$AK186),"yyyy-mm-dd")&amp;"~"&amp;IF(ISNUMBER(INDEX(파견수련계획!$AC$4:$AC$803,$AK186)),TEXT(INDEX(파견수련계획!$AC$4:$AC$803,$AK186),"yyyy-mm-dd"),""))</f>
        <v/>
      </c>
    </row>
    <row r="187">
      <c r="A187" s="10">
        <f>IF(B187="","",ROW()-1)</f>
        <v/>
      </c>
      <c r="B187" s="18" t="n"/>
      <c r="C187" s="10">
        <f>IF($AB187="","",IF(INDEX(기본자료!$C$2:$C$1001,$AB187)="","",INDEX(기본자료!$C$2:$C$1001,$AB187)))</f>
        <v/>
      </c>
      <c r="D187" s="10">
        <f>IF($AB187="","",IF(INDEX(기본자료!$J$2:$J$1001,$AB187)="","",INDEX(기본자료!$J$2:$J$1001,$AB187)))</f>
        <v/>
      </c>
      <c r="E187" s="11">
        <f>IF($AB187="","",IF(INDEX(기본자료!$K$2:$K$1001,$AB187)="","",IF(NOT(ISNUMBER(INDEX(기본자료!$K$2:$K$1001,$AB187))),INDEX(기본자료!$K$2:$K$1001,$AB187),IF(INDEX(기본자료!$K$2:$K$1001,$AB187)&lt;1000000,INDEX(기본자료!$K$2:$K$1001,$AB187),IF(AND(INDEX(기본자료!$K$2:$K$1001,$AB187)&gt;=10000101,INT(MOD(INDEX(기본자료!$K$2:$K$1001,$AB187),10000)/100)&gt;=1,INT(MOD(INDEX(기본자료!$K$2:$K$1001,$AB187),10000)/100)&lt;=12,MOD(INDEX(기본자료!$K$2:$K$1001,$AB187),100)&gt;=1,MOD(INDEX(기본자료!$K$2:$K$1001,$AB187),100)&lt;=31),DATE(INT(INDEX(기본자료!$K$2:$K$1001,$AB187)/10000),INT(MOD(INDEX(기본자료!$K$2:$K$1001,$AB187),10000)/100),MOD(INDEX(기본자료!$K$2:$K$1001,$AB187),100)),INDEX(기본자료!$K$2:$K$1001,$AB187)&amp;"")))))</f>
        <v/>
      </c>
      <c r="F187" s="10">
        <f>IF($AB187="","",IF(INDEX(기본자료!$D$2:$D$1001,$AB187)="","",INDEX(기본자료!$D$2:$D$1001,$AB187)))</f>
        <v/>
      </c>
      <c r="G187" s="10">
        <f>IF($AB187="","",IF(INDEX(기본자료!$E$2:$E$1001,$AB187)="","",INDEX(기본자료!$E$2:$E$1001,$AB187)))</f>
        <v/>
      </c>
      <c r="H187" s="10">
        <f>IF($AB187="","",IF(INDEX(기본자료!$F$2:$F$1001,$AB187)="","",INDEX(기본자료!$F$2:$F$1001,$AB187)))</f>
        <v/>
      </c>
      <c r="I187" s="11">
        <f>IF($AB187="","",IF(INDEX(기본자료!$G$2:$G$1001,$AB187)="","",IF(NOT(ISNUMBER(INDEX(기본자료!$G$2:$G$1001,$AB187))),INDEX(기본자료!$G$2:$G$1001,$AB187),IF(INDEX(기본자료!$G$2:$G$1001,$AB187)&lt;1000000,INDEX(기본자료!$G$2:$G$1001,$AB187),IF(AND(INDEX(기본자료!$G$2:$G$1001,$AB187)&gt;=10000101,INT(MOD(INDEX(기본자료!$G$2:$G$1001,$AB187),10000)/100)&gt;=1,INT(MOD(INDEX(기본자료!$G$2:$G$1001,$AB187),10000)/100)&lt;=12,MOD(INDEX(기본자료!$G$2:$G$1001,$AB187),100)&gt;=1,MOD(INDEX(기본자료!$G$2:$G$1001,$AB187),100)&lt;=31),DATE(INT(INDEX(기본자료!$G$2:$G$1001,$AB187)/10000),INT(MOD(INDEX(기본자료!$G$2:$G$1001,$AB187),10000)/100),MOD(INDEX(기본자료!$G$2:$G$1001,$AB187),100)),INDEX(기본자료!$G$2:$G$1001,$AB187)&amp;"")))))</f>
        <v/>
      </c>
      <c r="J187" s="10">
        <f>IF($AB187="","",IF(INDEX(기본자료!$H$2:$H$1001,$AB187)="","",INDEX(기본자료!$H$2:$H$1001,$AB187)))</f>
        <v/>
      </c>
      <c r="K187" s="10">
        <f>IF($AB187="","",IF(INDEX(기본자료!$I$2:$I$1001,$AB187)="","",INDEX(기본자료!$I$2:$I$1001,$AB187)))</f>
        <v/>
      </c>
      <c r="L187" s="10">
        <f>IF($AB187="","",IF(INDEX(기본자료!$A$2:$A$1001,$AB187)="","",INDEX(기본자료!$A$2:$A$1001,$AB187)))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파견수련계획!$AB$4:$AB$803,$AK187),OR(NOT(ISNUMBER(INDEX(파견수련계획!$AC$4:$AC$803,$AK187))),TODAY()&lt;=INDEX(파견수련계획!$AC$4:$AC$803,$AK187))),"다기관",IF($AF187="","",INDEX(파견수련계획!$T$4:$T$803,$AF187))),IF($AF187="","",INDEX(파견수련계획!$T$4:$T$803,$AF187))))</f>
        <v/>
      </c>
      <c r="Q187" s="10">
        <f>IF($AF187="","",INDEX(파견수련계획!$S$4:$S$803,$AF187))</f>
        <v/>
      </c>
      <c r="R187" s="10">
        <f>IF($AF187="","",INDEX(파견수련계획!$U$4:$U$803,$AF187))</f>
        <v/>
      </c>
      <c r="S187" s="11">
        <f>IF($AF187="","",IF(INDEX(파견수련계획!$H$4:$H$803,$AF187)="","",INDEX(파견수련계획!$H$4:$H$803,$AF187)))</f>
        <v/>
      </c>
      <c r="T187" s="11">
        <f>IF($AF187="","",IF(INDEX(파견수련계획!$I$4:$I$803,$AF187)="","",INDEX(파견수련계획!$I$4:$I$803,$AF187)))</f>
        <v/>
      </c>
      <c r="U187" s="10">
        <f>IF($AF187="","",INDEX(파견수련계획!$X$4:$X$803,$AF187))</f>
        <v/>
      </c>
      <c r="V187" s="17">
        <f>IF($AF187="","",INDEX(파견수련계획!$V$4:$V$803,$AF187))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IF(OR($B187="",TRIM($J187&amp;"")=""),"",SUMPRODUCT((파견수련계획!$Q$4:$Q$803=TRIM($J187&amp;""))*파견수련계획!$W$4:$W$803))</f>
        <v/>
      </c>
      <c r="Y187" s="10">
        <f>IF($B187="","",IF($AG187="","",IF(IF(TRIM($J187&amp;"")="",0,SUMPRODUCT((파견수련계획!$Q$4:$Q$803=TRIM($J187&amp;""))*파견수련계획!$AD$4:$AD$803))&gt;0,$AE187,IF(N($X187)&lt;=0,$AG187,IF($AH187+$AI187=DAY(EOMONTH(요약!$B$3,0)),IF(AND($AH187&gt;=요약!$E$3,$AI187&lt;요약!$E$3),"서울병원",IF(AND($AI187&gt;=요약!$E$3,$AH187&lt;요약!$E$3),"구리병원","⚠15일 판정불가(서울 "&amp;$AH187&amp;"일/구리 "&amp;$AI187&amp;"일)")),IF($AJ187="",$AE187,IF(INDEX(파견수련계획!$T$4:$T$803,$AJ187)="통합수련",INDEX(파견수련계획!$S$4:$S$803,$AJ187),$AE187)))))))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입력",IF(IF(TRIM($J187&amp;"")="",0,SUMPRODUCT((파견수련계획!$Q$4:$Q$803=TRIM($J187&amp;""))*(파견수련계획!$AA$4:$AA$803&lt;&gt;"")))&gt;0,"파견수련계획 입력오류 확인",IF(LEFT($Y187,1)="⚠","서울·구리 15일 판정 불가(양쪽 모두 이상/미만)",IF(IF($AC187="",0,N(INDEX(인턴근무계획!$T$3:$T$402,$AC187)))&gt;0,"인턴계획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IF($B187="","",IFERROR(MATCH($B187,기본자료!$B$2:$B$1001,0),IFERROR(MATCH($B187&amp;"",기본자료!$B$2:$B$1001,0),IFERROR(MATCH(VALUE($B187),기본자료!$B$2:$B$1001,0),""))))</f>
        <v/>
      </c>
      <c r="AC187" s="10">
        <f>IF($B187="","",IFERROR(MATCH($B187,인턴근무계획!$D$3:$D$402,0),IFERROR(MATCH($B187&amp;"",인턴근무계획!$D$3:$D$402,0),IFERROR(MATCH(VALUE($B187),인턴근무계획!$D$3:$D$402,0),""))))</f>
        <v/>
      </c>
      <c r="AD187" s="10">
        <f>IF(OR($AC187="",인턴현황!$G$3=""),"",INDEX(인턴근무계획!$M$3:$R$402,$AC187,인턴현황!$G$3)&amp;"")</f>
        <v/>
      </c>
      <c r="AE187" s="10">
        <f>IF($B187="","",IF($M187&lt;&gt;"",$M187,IF($AF187&lt;&gt;"",IF(LEFT(INDEX(파견수련계획!$R$4:$R$803,$AF187),1)&lt;&gt;"⚠",INDEX(파견수련계획!$R$4:$R$803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$803,0),IFERROR(MATCH(TRIM($J187&amp;"")&amp;"|파견예정",파견수련계획!$Y$4:$Y$803,0),IFERROR(MATCH(TRIM($J187&amp;"")&amp;"|파견종료",파견수련계획!$Y$4:$Y$803,0),""))))</f>
        <v/>
      </c>
      <c r="AG187" s="10">
        <f>IF($B187="","",IF(AND(IF(OR($AC187="",인턴현황!$K$2=""),"",INDEX(인턴근무계획!$M$3:$R$402,$AC187,인턴현황!$K$2)&amp;"")&lt;&gt;"",LEFT(IF(OR($AC187="",인턴현황!$K$2=""),"",INDEX(인턴근무계획!$M$3:$R$402,$AC187,인턴현황!$K$2)&amp;""),1)&lt;&gt;"⚠"),LEFT(IF(OR($AC187="",인턴현황!$K$2=""),"",INDEX(인턴근무계획!$M$3:$R$402,$AC187,인턴현황!$K$2)&amp;""),FIND(" ",IF(OR($AC187="",인턴현황!$K$2=""),"",INDEX(인턴근무계획!$M$3:$R$402,$AC187,인턴현황!$K$2)&amp;""))-1),$AE187))</f>
        <v/>
      </c>
      <c r="AH187" s="17">
        <f>IF($B187="","",IF(TRIM($J187&amp;"")="",0,SUMPRODUCT((파견수련계획!$Q$4:$Q$803=TRIM($J187&amp;""))*(파견수련계획!$S$4:$S$803="서울병원")*파견수련계획!$W$4:$W$803))+IF($AG187="서울병원",MAX(0,DAY(EOMONTH(요약!$B$3,0))-N($X187)),0))</f>
        <v/>
      </c>
      <c r="AI187" s="17">
        <f>IF($B187="","",IF(TRIM($J187&amp;"")="",0,SUMPRODUCT((파견수련계획!$Q$4:$Q$803=TRIM($J187&amp;""))*(파견수련계획!$S$4:$S$803="구리병원")*파견수련계획!$W$4:$W$803))+IF($AG187="구리병원",MAX(0,DAY(EOMONTH(요약!$B$3,0))-N($X187)),0))</f>
        <v/>
      </c>
      <c r="AJ187" s="10">
        <f>IF(OR($B187="",TRIM($J187&amp;"")=""),"",IFERROR(MATCH(TRIM($J187&amp;"")&amp;"|월",파견수련계획!$Z$4:$Z$803,0),""))</f>
        <v/>
      </c>
      <c r="AK187" s="10">
        <f>IF(OR($B187="",TRIM($J187&amp;"")=""),"",IFERROR(MATCH(TRIM($J187&amp;"")&amp;"|다기관",파견수련계획!$AE$4:$AE$803,0),""))</f>
        <v/>
      </c>
      <c r="AL187" s="10">
        <f>IF($AK187="","","다기관 "&amp;TEXT(INDEX(파견수련계획!$AB$4:$AB$803,$AK187),"yyyy-mm-dd")&amp;"~"&amp;IF(ISNUMBER(INDEX(파견수련계획!$AC$4:$AC$803,$AK187)),TEXT(INDEX(파견수련계획!$AC$4:$AC$803,$AK187),"yyyy-mm-dd"),""))</f>
        <v/>
      </c>
    </row>
    <row r="188">
      <c r="A188" s="10">
        <f>IF(B188="","",ROW()-1)</f>
        <v/>
      </c>
      <c r="B188" s="18" t="n"/>
      <c r="C188" s="10">
        <f>IF($AB188="","",IF(INDEX(기본자료!$C$2:$C$1001,$AB188)="","",INDEX(기본자료!$C$2:$C$1001,$AB188)))</f>
        <v/>
      </c>
      <c r="D188" s="10">
        <f>IF($AB188="","",IF(INDEX(기본자료!$J$2:$J$1001,$AB188)="","",INDEX(기본자료!$J$2:$J$1001,$AB188)))</f>
        <v/>
      </c>
      <c r="E188" s="11">
        <f>IF($AB188="","",IF(INDEX(기본자료!$K$2:$K$1001,$AB188)="","",IF(NOT(ISNUMBER(INDEX(기본자료!$K$2:$K$1001,$AB188))),INDEX(기본자료!$K$2:$K$1001,$AB188),IF(INDEX(기본자료!$K$2:$K$1001,$AB188)&lt;1000000,INDEX(기본자료!$K$2:$K$1001,$AB188),IF(AND(INDEX(기본자료!$K$2:$K$1001,$AB188)&gt;=10000101,INT(MOD(INDEX(기본자료!$K$2:$K$1001,$AB188),10000)/100)&gt;=1,INT(MOD(INDEX(기본자료!$K$2:$K$1001,$AB188),10000)/100)&lt;=12,MOD(INDEX(기본자료!$K$2:$K$1001,$AB188),100)&gt;=1,MOD(INDEX(기본자료!$K$2:$K$1001,$AB188),100)&lt;=31),DATE(INT(INDEX(기본자료!$K$2:$K$1001,$AB188)/10000),INT(MOD(INDEX(기본자료!$K$2:$K$1001,$AB188),10000)/100),MOD(INDEX(기본자료!$K$2:$K$1001,$AB188),100)),INDEX(기본자료!$K$2:$K$1001,$AB188)&amp;"")))))</f>
        <v/>
      </c>
      <c r="F188" s="10">
        <f>IF($AB188="","",IF(INDEX(기본자료!$D$2:$D$1001,$AB188)="","",INDEX(기본자료!$D$2:$D$1001,$AB188)))</f>
        <v/>
      </c>
      <c r="G188" s="10">
        <f>IF($AB188="","",IF(INDEX(기본자료!$E$2:$E$1001,$AB188)="","",INDEX(기본자료!$E$2:$E$1001,$AB188)))</f>
        <v/>
      </c>
      <c r="H188" s="10">
        <f>IF($AB188="","",IF(INDEX(기본자료!$F$2:$F$1001,$AB188)="","",INDEX(기본자료!$F$2:$F$1001,$AB188)))</f>
        <v/>
      </c>
      <c r="I188" s="11">
        <f>IF($AB188="","",IF(INDEX(기본자료!$G$2:$G$1001,$AB188)="","",IF(NOT(ISNUMBER(INDEX(기본자료!$G$2:$G$1001,$AB188))),INDEX(기본자료!$G$2:$G$1001,$AB188),IF(INDEX(기본자료!$G$2:$G$1001,$AB188)&lt;1000000,INDEX(기본자료!$G$2:$G$1001,$AB188),IF(AND(INDEX(기본자료!$G$2:$G$1001,$AB188)&gt;=10000101,INT(MOD(INDEX(기본자료!$G$2:$G$1001,$AB188),10000)/100)&gt;=1,INT(MOD(INDEX(기본자료!$G$2:$G$1001,$AB188),10000)/100)&lt;=12,MOD(INDEX(기본자료!$G$2:$G$1001,$AB188),100)&gt;=1,MOD(INDEX(기본자료!$G$2:$G$1001,$AB188),100)&lt;=31),DATE(INT(INDEX(기본자료!$G$2:$G$1001,$AB188)/10000),INT(MOD(INDEX(기본자료!$G$2:$G$1001,$AB188),10000)/100),MOD(INDEX(기본자료!$G$2:$G$1001,$AB188),100)),INDEX(기본자료!$G$2:$G$1001,$AB188)&amp;"")))))</f>
        <v/>
      </c>
      <c r="J188" s="10">
        <f>IF($AB188="","",IF(INDEX(기본자료!$H$2:$H$1001,$AB188)="","",INDEX(기본자료!$H$2:$H$1001,$AB188)))</f>
        <v/>
      </c>
      <c r="K188" s="10">
        <f>IF($AB188="","",IF(INDEX(기본자료!$I$2:$I$1001,$AB188)="","",INDEX(기본자료!$I$2:$I$1001,$AB188)))</f>
        <v/>
      </c>
      <c r="L188" s="10">
        <f>IF($AB188="","",IF(INDEX(기본자료!$A$2:$A$1001,$AB188)="","",INDEX(기본자료!$A$2:$A$1001,$AB188)))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파견수련계획!$AB$4:$AB$803,$AK188),OR(NOT(ISNUMBER(INDEX(파견수련계획!$AC$4:$AC$803,$AK188))),TODAY()&lt;=INDEX(파견수련계획!$AC$4:$AC$803,$AK188))),"다기관",IF($AF188="","",INDEX(파견수련계획!$T$4:$T$803,$AF188))),IF($AF188="","",INDEX(파견수련계획!$T$4:$T$803,$AF188))))</f>
        <v/>
      </c>
      <c r="Q188" s="10">
        <f>IF($AF188="","",INDEX(파견수련계획!$S$4:$S$803,$AF188))</f>
        <v/>
      </c>
      <c r="R188" s="10">
        <f>IF($AF188="","",INDEX(파견수련계획!$U$4:$U$803,$AF188))</f>
        <v/>
      </c>
      <c r="S188" s="11">
        <f>IF($AF188="","",IF(INDEX(파견수련계획!$H$4:$H$803,$AF188)="","",INDEX(파견수련계획!$H$4:$H$803,$AF188)))</f>
        <v/>
      </c>
      <c r="T188" s="11">
        <f>IF($AF188="","",IF(INDEX(파견수련계획!$I$4:$I$803,$AF188)="","",INDEX(파견수련계획!$I$4:$I$803,$AF188)))</f>
        <v/>
      </c>
      <c r="U188" s="10">
        <f>IF($AF188="","",INDEX(파견수련계획!$X$4:$X$803,$AF188))</f>
        <v/>
      </c>
      <c r="V188" s="17">
        <f>IF($AF188="","",INDEX(파견수련계획!$V$4:$V$803,$AF188))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IF(OR($B188="",TRIM($J188&amp;"")=""),"",SUMPRODUCT((파견수련계획!$Q$4:$Q$803=TRIM($J188&amp;""))*파견수련계획!$W$4:$W$803))</f>
        <v/>
      </c>
      <c r="Y188" s="10">
        <f>IF($B188="","",IF($AG188="","",IF(IF(TRIM($J188&amp;"")="",0,SUMPRODUCT((파견수련계획!$Q$4:$Q$803=TRIM($J188&amp;""))*파견수련계획!$AD$4:$AD$803))&gt;0,$AE188,IF(N($X188)&lt;=0,$AG188,IF($AH188+$AI188=DAY(EOMONTH(요약!$B$3,0)),IF(AND($AH188&gt;=요약!$E$3,$AI188&lt;요약!$E$3),"서울병원",IF(AND($AI188&gt;=요약!$E$3,$AH188&lt;요약!$E$3),"구리병원","⚠15일 판정불가(서울 "&amp;$AH188&amp;"일/구리 "&amp;$AI188&amp;"일)")),IF($AJ188="",$AE188,IF(INDEX(파견수련계획!$T$4:$T$803,$AJ188)="통합수련",INDEX(파견수련계획!$S$4:$S$803,$AJ188),$AE188)))))))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입력",IF(IF(TRIM($J188&amp;"")="",0,SUMPRODUCT((파견수련계획!$Q$4:$Q$803=TRIM($J188&amp;""))*(파견수련계획!$AA$4:$AA$803&lt;&gt;"")))&gt;0,"파견수련계획 입력오류 확인",IF(LEFT($Y188,1)="⚠","서울·구리 15일 판정 불가(양쪽 모두 이상/미만)",IF(IF($AC188="",0,N(INDEX(인턴근무계획!$T$3:$T$402,$AC188)))&gt;0,"인턴계획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IF($B188="","",IFERROR(MATCH($B188,기본자료!$B$2:$B$1001,0),IFERROR(MATCH($B188&amp;"",기본자료!$B$2:$B$1001,0),IFERROR(MATCH(VALUE($B188),기본자료!$B$2:$B$1001,0),""))))</f>
        <v/>
      </c>
      <c r="AC188" s="10">
        <f>IF($B188="","",IFERROR(MATCH($B188,인턴근무계획!$D$3:$D$402,0),IFERROR(MATCH($B188&amp;"",인턴근무계획!$D$3:$D$402,0),IFERROR(MATCH(VALUE($B188),인턴근무계획!$D$3:$D$402,0),""))))</f>
        <v/>
      </c>
      <c r="AD188" s="10">
        <f>IF(OR($AC188="",인턴현황!$G$3=""),"",INDEX(인턴근무계획!$M$3:$R$402,$AC188,인턴현황!$G$3)&amp;"")</f>
        <v/>
      </c>
      <c r="AE188" s="10">
        <f>IF($B188="","",IF($M188&lt;&gt;"",$M188,IF($AF188&lt;&gt;"",IF(LEFT(INDEX(파견수련계획!$R$4:$R$803,$AF188),1)&lt;&gt;"⚠",INDEX(파견수련계획!$R$4:$R$803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$803,0),IFERROR(MATCH(TRIM($J188&amp;"")&amp;"|파견예정",파견수련계획!$Y$4:$Y$803,0),IFERROR(MATCH(TRIM($J188&amp;"")&amp;"|파견종료",파견수련계획!$Y$4:$Y$803,0),""))))</f>
        <v/>
      </c>
      <c r="AG188" s="10">
        <f>IF($B188="","",IF(AND(IF(OR($AC188="",인턴현황!$K$2=""),"",INDEX(인턴근무계획!$M$3:$R$402,$AC188,인턴현황!$K$2)&amp;"")&lt;&gt;"",LEFT(IF(OR($AC188="",인턴현황!$K$2=""),"",INDEX(인턴근무계획!$M$3:$R$402,$AC188,인턴현황!$K$2)&amp;""),1)&lt;&gt;"⚠"),LEFT(IF(OR($AC188="",인턴현황!$K$2=""),"",INDEX(인턴근무계획!$M$3:$R$402,$AC188,인턴현황!$K$2)&amp;""),FIND(" ",IF(OR($AC188="",인턴현황!$K$2=""),"",INDEX(인턴근무계획!$M$3:$R$402,$AC188,인턴현황!$K$2)&amp;""))-1),$AE188))</f>
        <v/>
      </c>
      <c r="AH188" s="17">
        <f>IF($B188="","",IF(TRIM($J188&amp;"")="",0,SUMPRODUCT((파견수련계획!$Q$4:$Q$803=TRIM($J188&amp;""))*(파견수련계획!$S$4:$S$803="서울병원")*파견수련계획!$W$4:$W$803))+IF($AG188="서울병원",MAX(0,DAY(EOMONTH(요약!$B$3,0))-N($X188)),0))</f>
        <v/>
      </c>
      <c r="AI188" s="17">
        <f>IF($B188="","",IF(TRIM($J188&amp;"")="",0,SUMPRODUCT((파견수련계획!$Q$4:$Q$803=TRIM($J188&amp;""))*(파견수련계획!$S$4:$S$803="구리병원")*파견수련계획!$W$4:$W$803))+IF($AG188="구리병원",MAX(0,DAY(EOMONTH(요약!$B$3,0))-N($X188)),0))</f>
        <v/>
      </c>
      <c r="AJ188" s="10">
        <f>IF(OR($B188="",TRIM($J188&amp;"")=""),"",IFERROR(MATCH(TRIM($J188&amp;"")&amp;"|월",파견수련계획!$Z$4:$Z$803,0),""))</f>
        <v/>
      </c>
      <c r="AK188" s="10">
        <f>IF(OR($B188="",TRIM($J188&amp;"")=""),"",IFERROR(MATCH(TRIM($J188&amp;"")&amp;"|다기관",파견수련계획!$AE$4:$AE$803,0),""))</f>
        <v/>
      </c>
      <c r="AL188" s="10">
        <f>IF($AK188="","","다기관 "&amp;TEXT(INDEX(파견수련계획!$AB$4:$AB$803,$AK188),"yyyy-mm-dd")&amp;"~"&amp;IF(ISNUMBER(INDEX(파견수련계획!$AC$4:$AC$803,$AK188)),TEXT(INDEX(파견수련계획!$AC$4:$AC$803,$AK188),"yyyy-mm-dd"),""))</f>
        <v/>
      </c>
    </row>
    <row r="189">
      <c r="A189" s="10">
        <f>IF(B189="","",ROW()-1)</f>
        <v/>
      </c>
      <c r="B189" s="18" t="n"/>
      <c r="C189" s="10">
        <f>IF($AB189="","",IF(INDEX(기본자료!$C$2:$C$1001,$AB189)="","",INDEX(기본자료!$C$2:$C$1001,$AB189)))</f>
        <v/>
      </c>
      <c r="D189" s="10">
        <f>IF($AB189="","",IF(INDEX(기본자료!$J$2:$J$1001,$AB189)="","",INDEX(기본자료!$J$2:$J$1001,$AB189)))</f>
        <v/>
      </c>
      <c r="E189" s="11">
        <f>IF($AB189="","",IF(INDEX(기본자료!$K$2:$K$1001,$AB189)="","",IF(NOT(ISNUMBER(INDEX(기본자료!$K$2:$K$1001,$AB189))),INDEX(기본자료!$K$2:$K$1001,$AB189),IF(INDEX(기본자료!$K$2:$K$1001,$AB189)&lt;1000000,INDEX(기본자료!$K$2:$K$1001,$AB189),IF(AND(INDEX(기본자료!$K$2:$K$1001,$AB189)&gt;=10000101,INT(MOD(INDEX(기본자료!$K$2:$K$1001,$AB189),10000)/100)&gt;=1,INT(MOD(INDEX(기본자료!$K$2:$K$1001,$AB189),10000)/100)&lt;=12,MOD(INDEX(기본자료!$K$2:$K$1001,$AB189),100)&gt;=1,MOD(INDEX(기본자료!$K$2:$K$1001,$AB189),100)&lt;=31),DATE(INT(INDEX(기본자료!$K$2:$K$1001,$AB189)/10000),INT(MOD(INDEX(기본자료!$K$2:$K$1001,$AB189),10000)/100),MOD(INDEX(기본자료!$K$2:$K$1001,$AB189),100)),INDEX(기본자료!$K$2:$K$1001,$AB189)&amp;"")))))</f>
        <v/>
      </c>
      <c r="F189" s="10">
        <f>IF($AB189="","",IF(INDEX(기본자료!$D$2:$D$1001,$AB189)="","",INDEX(기본자료!$D$2:$D$1001,$AB189)))</f>
        <v/>
      </c>
      <c r="G189" s="10">
        <f>IF($AB189="","",IF(INDEX(기본자료!$E$2:$E$1001,$AB189)="","",INDEX(기본자료!$E$2:$E$1001,$AB189)))</f>
        <v/>
      </c>
      <c r="H189" s="10">
        <f>IF($AB189="","",IF(INDEX(기본자료!$F$2:$F$1001,$AB189)="","",INDEX(기본자료!$F$2:$F$1001,$AB189)))</f>
        <v/>
      </c>
      <c r="I189" s="11">
        <f>IF($AB189="","",IF(INDEX(기본자료!$G$2:$G$1001,$AB189)="","",IF(NOT(ISNUMBER(INDEX(기본자료!$G$2:$G$1001,$AB189))),INDEX(기본자료!$G$2:$G$1001,$AB189),IF(INDEX(기본자료!$G$2:$G$1001,$AB189)&lt;1000000,INDEX(기본자료!$G$2:$G$1001,$AB189),IF(AND(INDEX(기본자료!$G$2:$G$1001,$AB189)&gt;=10000101,INT(MOD(INDEX(기본자료!$G$2:$G$1001,$AB189),10000)/100)&gt;=1,INT(MOD(INDEX(기본자료!$G$2:$G$1001,$AB189),10000)/100)&lt;=12,MOD(INDEX(기본자료!$G$2:$G$1001,$AB189),100)&gt;=1,MOD(INDEX(기본자료!$G$2:$G$1001,$AB189),100)&lt;=31),DATE(INT(INDEX(기본자료!$G$2:$G$1001,$AB189)/10000),INT(MOD(INDEX(기본자료!$G$2:$G$1001,$AB189),10000)/100),MOD(INDEX(기본자료!$G$2:$G$1001,$AB189),100)),INDEX(기본자료!$G$2:$G$1001,$AB189)&amp;"")))))</f>
        <v/>
      </c>
      <c r="J189" s="10">
        <f>IF($AB189="","",IF(INDEX(기본자료!$H$2:$H$1001,$AB189)="","",INDEX(기본자료!$H$2:$H$1001,$AB189)))</f>
        <v/>
      </c>
      <c r="K189" s="10">
        <f>IF($AB189="","",IF(INDEX(기본자료!$I$2:$I$1001,$AB189)="","",INDEX(기본자료!$I$2:$I$1001,$AB189)))</f>
        <v/>
      </c>
      <c r="L189" s="10">
        <f>IF($AB189="","",IF(INDEX(기본자료!$A$2:$A$1001,$AB189)="","",INDEX(기본자료!$A$2:$A$1001,$AB189)))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파견수련계획!$AB$4:$AB$803,$AK189),OR(NOT(ISNUMBER(INDEX(파견수련계획!$AC$4:$AC$803,$AK189))),TODAY()&lt;=INDEX(파견수련계획!$AC$4:$AC$803,$AK189))),"다기관",IF($AF189="","",INDEX(파견수련계획!$T$4:$T$803,$AF189))),IF($AF189="","",INDEX(파견수련계획!$T$4:$T$803,$AF189))))</f>
        <v/>
      </c>
      <c r="Q189" s="10">
        <f>IF($AF189="","",INDEX(파견수련계획!$S$4:$S$803,$AF189))</f>
        <v/>
      </c>
      <c r="R189" s="10">
        <f>IF($AF189="","",INDEX(파견수련계획!$U$4:$U$803,$AF189))</f>
        <v/>
      </c>
      <c r="S189" s="11">
        <f>IF($AF189="","",IF(INDEX(파견수련계획!$H$4:$H$803,$AF189)="","",INDEX(파견수련계획!$H$4:$H$803,$AF189)))</f>
        <v/>
      </c>
      <c r="T189" s="11">
        <f>IF($AF189="","",IF(INDEX(파견수련계획!$I$4:$I$803,$AF189)="","",INDEX(파견수련계획!$I$4:$I$803,$AF189)))</f>
        <v/>
      </c>
      <c r="U189" s="10">
        <f>IF($AF189="","",INDEX(파견수련계획!$X$4:$X$803,$AF189))</f>
        <v/>
      </c>
      <c r="V189" s="17">
        <f>IF($AF189="","",INDEX(파견수련계획!$V$4:$V$803,$AF189))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IF(OR($B189="",TRIM($J189&amp;"")=""),"",SUMPRODUCT((파견수련계획!$Q$4:$Q$803=TRIM($J189&amp;""))*파견수련계획!$W$4:$W$803))</f>
        <v/>
      </c>
      <c r="Y189" s="10">
        <f>IF($B189="","",IF($AG189="","",IF(IF(TRIM($J189&amp;"")="",0,SUMPRODUCT((파견수련계획!$Q$4:$Q$803=TRIM($J189&amp;""))*파견수련계획!$AD$4:$AD$803))&gt;0,$AE189,IF(N($X189)&lt;=0,$AG189,IF($AH189+$AI189=DAY(EOMONTH(요약!$B$3,0)),IF(AND($AH189&gt;=요약!$E$3,$AI189&lt;요약!$E$3),"서울병원",IF(AND($AI189&gt;=요약!$E$3,$AH189&lt;요약!$E$3),"구리병원","⚠15일 판정불가(서울 "&amp;$AH189&amp;"일/구리 "&amp;$AI189&amp;"일)")),IF($AJ189="",$AE189,IF(INDEX(파견수련계획!$T$4:$T$803,$AJ189)="통합수련",INDEX(파견수련계획!$S$4:$S$803,$AJ189),$AE189)))))))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입력",IF(IF(TRIM($J189&amp;"")="",0,SUMPRODUCT((파견수련계획!$Q$4:$Q$803=TRIM($J189&amp;""))*(파견수련계획!$AA$4:$AA$803&lt;&gt;"")))&gt;0,"파견수련계획 입력오류 확인",IF(LEFT($Y189,1)="⚠","서울·구리 15일 판정 불가(양쪽 모두 이상/미만)",IF(IF($AC189="",0,N(INDEX(인턴근무계획!$T$3:$T$402,$AC189)))&gt;0,"인턴계획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IF($B189="","",IFERROR(MATCH($B189,기본자료!$B$2:$B$1001,0),IFERROR(MATCH($B189&amp;"",기본자료!$B$2:$B$1001,0),IFERROR(MATCH(VALUE($B189),기본자료!$B$2:$B$1001,0),""))))</f>
        <v/>
      </c>
      <c r="AC189" s="10">
        <f>IF($B189="","",IFERROR(MATCH($B189,인턴근무계획!$D$3:$D$402,0),IFERROR(MATCH($B189&amp;"",인턴근무계획!$D$3:$D$402,0),IFERROR(MATCH(VALUE($B189),인턴근무계획!$D$3:$D$402,0),""))))</f>
        <v/>
      </c>
      <c r="AD189" s="10">
        <f>IF(OR($AC189="",인턴현황!$G$3=""),"",INDEX(인턴근무계획!$M$3:$R$402,$AC189,인턴현황!$G$3)&amp;"")</f>
        <v/>
      </c>
      <c r="AE189" s="10">
        <f>IF($B189="","",IF($M189&lt;&gt;"",$M189,IF($AF189&lt;&gt;"",IF(LEFT(INDEX(파견수련계획!$R$4:$R$803,$AF189),1)&lt;&gt;"⚠",INDEX(파견수련계획!$R$4:$R$803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$803,0),IFERROR(MATCH(TRIM($J189&amp;"")&amp;"|파견예정",파견수련계획!$Y$4:$Y$803,0),IFERROR(MATCH(TRIM($J189&amp;"")&amp;"|파견종료",파견수련계획!$Y$4:$Y$803,0),""))))</f>
        <v/>
      </c>
      <c r="AG189" s="10">
        <f>IF($B189="","",IF(AND(IF(OR($AC189="",인턴현황!$K$2=""),"",INDEX(인턴근무계획!$M$3:$R$402,$AC189,인턴현황!$K$2)&amp;"")&lt;&gt;"",LEFT(IF(OR($AC189="",인턴현황!$K$2=""),"",INDEX(인턴근무계획!$M$3:$R$402,$AC189,인턴현황!$K$2)&amp;""),1)&lt;&gt;"⚠"),LEFT(IF(OR($AC189="",인턴현황!$K$2=""),"",INDEX(인턴근무계획!$M$3:$R$402,$AC189,인턴현황!$K$2)&amp;""),FIND(" ",IF(OR($AC189="",인턴현황!$K$2=""),"",INDEX(인턴근무계획!$M$3:$R$402,$AC189,인턴현황!$K$2)&amp;""))-1),$AE189))</f>
        <v/>
      </c>
      <c r="AH189" s="17">
        <f>IF($B189="","",IF(TRIM($J189&amp;"")="",0,SUMPRODUCT((파견수련계획!$Q$4:$Q$803=TRIM($J189&amp;""))*(파견수련계획!$S$4:$S$803="서울병원")*파견수련계획!$W$4:$W$803))+IF($AG189="서울병원",MAX(0,DAY(EOMONTH(요약!$B$3,0))-N($X189)),0))</f>
        <v/>
      </c>
      <c r="AI189" s="17">
        <f>IF($B189="","",IF(TRIM($J189&amp;"")="",0,SUMPRODUCT((파견수련계획!$Q$4:$Q$803=TRIM($J189&amp;""))*(파견수련계획!$S$4:$S$803="구리병원")*파견수련계획!$W$4:$W$803))+IF($AG189="구리병원",MAX(0,DAY(EOMONTH(요약!$B$3,0))-N($X189)),0))</f>
        <v/>
      </c>
      <c r="AJ189" s="10">
        <f>IF(OR($B189="",TRIM($J189&amp;"")=""),"",IFERROR(MATCH(TRIM($J189&amp;"")&amp;"|월",파견수련계획!$Z$4:$Z$803,0),""))</f>
        <v/>
      </c>
      <c r="AK189" s="10">
        <f>IF(OR($B189="",TRIM($J189&amp;"")=""),"",IFERROR(MATCH(TRIM($J189&amp;"")&amp;"|다기관",파견수련계획!$AE$4:$AE$803,0),""))</f>
        <v/>
      </c>
      <c r="AL189" s="10">
        <f>IF($AK189="","","다기관 "&amp;TEXT(INDEX(파견수련계획!$AB$4:$AB$803,$AK189),"yyyy-mm-dd")&amp;"~"&amp;IF(ISNUMBER(INDEX(파견수련계획!$AC$4:$AC$803,$AK189)),TEXT(INDEX(파견수련계획!$AC$4:$AC$803,$AK189),"yyyy-mm-dd"),""))</f>
        <v/>
      </c>
    </row>
    <row r="190">
      <c r="A190" s="10">
        <f>IF(B190="","",ROW()-1)</f>
        <v/>
      </c>
      <c r="B190" s="18" t="n"/>
      <c r="C190" s="10">
        <f>IF($AB190="","",IF(INDEX(기본자료!$C$2:$C$1001,$AB190)="","",INDEX(기본자료!$C$2:$C$1001,$AB190)))</f>
        <v/>
      </c>
      <c r="D190" s="10">
        <f>IF($AB190="","",IF(INDEX(기본자료!$J$2:$J$1001,$AB190)="","",INDEX(기본자료!$J$2:$J$1001,$AB190)))</f>
        <v/>
      </c>
      <c r="E190" s="11">
        <f>IF($AB190="","",IF(INDEX(기본자료!$K$2:$K$1001,$AB190)="","",IF(NOT(ISNUMBER(INDEX(기본자료!$K$2:$K$1001,$AB190))),INDEX(기본자료!$K$2:$K$1001,$AB190),IF(INDEX(기본자료!$K$2:$K$1001,$AB190)&lt;1000000,INDEX(기본자료!$K$2:$K$1001,$AB190),IF(AND(INDEX(기본자료!$K$2:$K$1001,$AB190)&gt;=10000101,INT(MOD(INDEX(기본자료!$K$2:$K$1001,$AB190),10000)/100)&gt;=1,INT(MOD(INDEX(기본자료!$K$2:$K$1001,$AB190),10000)/100)&lt;=12,MOD(INDEX(기본자료!$K$2:$K$1001,$AB190),100)&gt;=1,MOD(INDEX(기본자료!$K$2:$K$1001,$AB190),100)&lt;=31),DATE(INT(INDEX(기본자료!$K$2:$K$1001,$AB190)/10000),INT(MOD(INDEX(기본자료!$K$2:$K$1001,$AB190),10000)/100),MOD(INDEX(기본자료!$K$2:$K$1001,$AB190),100)),INDEX(기본자료!$K$2:$K$1001,$AB190)&amp;"")))))</f>
        <v/>
      </c>
      <c r="F190" s="10">
        <f>IF($AB190="","",IF(INDEX(기본자료!$D$2:$D$1001,$AB190)="","",INDEX(기본자료!$D$2:$D$1001,$AB190)))</f>
        <v/>
      </c>
      <c r="G190" s="10">
        <f>IF($AB190="","",IF(INDEX(기본자료!$E$2:$E$1001,$AB190)="","",INDEX(기본자료!$E$2:$E$1001,$AB190)))</f>
        <v/>
      </c>
      <c r="H190" s="10">
        <f>IF($AB190="","",IF(INDEX(기본자료!$F$2:$F$1001,$AB190)="","",INDEX(기본자료!$F$2:$F$1001,$AB190)))</f>
        <v/>
      </c>
      <c r="I190" s="11">
        <f>IF($AB190="","",IF(INDEX(기본자료!$G$2:$G$1001,$AB190)="","",IF(NOT(ISNUMBER(INDEX(기본자료!$G$2:$G$1001,$AB190))),INDEX(기본자료!$G$2:$G$1001,$AB190),IF(INDEX(기본자료!$G$2:$G$1001,$AB190)&lt;1000000,INDEX(기본자료!$G$2:$G$1001,$AB190),IF(AND(INDEX(기본자료!$G$2:$G$1001,$AB190)&gt;=10000101,INT(MOD(INDEX(기본자료!$G$2:$G$1001,$AB190),10000)/100)&gt;=1,INT(MOD(INDEX(기본자료!$G$2:$G$1001,$AB190),10000)/100)&lt;=12,MOD(INDEX(기본자료!$G$2:$G$1001,$AB190),100)&gt;=1,MOD(INDEX(기본자료!$G$2:$G$1001,$AB190),100)&lt;=31),DATE(INT(INDEX(기본자료!$G$2:$G$1001,$AB190)/10000),INT(MOD(INDEX(기본자료!$G$2:$G$1001,$AB190),10000)/100),MOD(INDEX(기본자료!$G$2:$G$1001,$AB190),100)),INDEX(기본자료!$G$2:$G$1001,$AB190)&amp;"")))))</f>
        <v/>
      </c>
      <c r="J190" s="10">
        <f>IF($AB190="","",IF(INDEX(기본자료!$H$2:$H$1001,$AB190)="","",INDEX(기본자료!$H$2:$H$1001,$AB190)))</f>
        <v/>
      </c>
      <c r="K190" s="10">
        <f>IF($AB190="","",IF(INDEX(기본자료!$I$2:$I$1001,$AB190)="","",INDEX(기본자료!$I$2:$I$1001,$AB190)))</f>
        <v/>
      </c>
      <c r="L190" s="10">
        <f>IF($AB190="","",IF(INDEX(기본자료!$A$2:$A$1001,$AB190)="","",INDEX(기본자료!$A$2:$A$1001,$AB190)))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파견수련계획!$AB$4:$AB$803,$AK190),OR(NOT(ISNUMBER(INDEX(파견수련계획!$AC$4:$AC$803,$AK190))),TODAY()&lt;=INDEX(파견수련계획!$AC$4:$AC$803,$AK190))),"다기관",IF($AF190="","",INDEX(파견수련계획!$T$4:$T$803,$AF190))),IF($AF190="","",INDEX(파견수련계획!$T$4:$T$803,$AF190))))</f>
        <v/>
      </c>
      <c r="Q190" s="10">
        <f>IF($AF190="","",INDEX(파견수련계획!$S$4:$S$803,$AF190))</f>
        <v/>
      </c>
      <c r="R190" s="10">
        <f>IF($AF190="","",INDEX(파견수련계획!$U$4:$U$803,$AF190))</f>
        <v/>
      </c>
      <c r="S190" s="11">
        <f>IF($AF190="","",IF(INDEX(파견수련계획!$H$4:$H$803,$AF190)="","",INDEX(파견수련계획!$H$4:$H$803,$AF190)))</f>
        <v/>
      </c>
      <c r="T190" s="11">
        <f>IF($AF190="","",IF(INDEX(파견수련계획!$I$4:$I$803,$AF190)="","",INDEX(파견수련계획!$I$4:$I$803,$AF190)))</f>
        <v/>
      </c>
      <c r="U190" s="10">
        <f>IF($AF190="","",INDEX(파견수련계획!$X$4:$X$803,$AF190))</f>
        <v/>
      </c>
      <c r="V190" s="17">
        <f>IF($AF190="","",INDEX(파견수련계획!$V$4:$V$803,$AF190))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IF(OR($B190="",TRIM($J190&amp;"")=""),"",SUMPRODUCT((파견수련계획!$Q$4:$Q$803=TRIM($J190&amp;""))*파견수련계획!$W$4:$W$803))</f>
        <v/>
      </c>
      <c r="Y190" s="10">
        <f>IF($B190="","",IF($AG190="","",IF(IF(TRIM($J190&amp;"")="",0,SUMPRODUCT((파견수련계획!$Q$4:$Q$803=TRIM($J190&amp;""))*파견수련계획!$AD$4:$AD$803))&gt;0,$AE190,IF(N($X190)&lt;=0,$AG190,IF($AH190+$AI190=DAY(EOMONTH(요약!$B$3,0)),IF(AND($AH190&gt;=요약!$E$3,$AI190&lt;요약!$E$3),"서울병원",IF(AND($AI190&gt;=요약!$E$3,$AH190&lt;요약!$E$3),"구리병원","⚠15일 판정불가(서울 "&amp;$AH190&amp;"일/구리 "&amp;$AI190&amp;"일)")),IF($AJ190="",$AE190,IF(INDEX(파견수련계획!$T$4:$T$803,$AJ190)="통합수련",INDEX(파견수련계획!$S$4:$S$803,$AJ190),$AE190)))))))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입력",IF(IF(TRIM($J190&amp;"")="",0,SUMPRODUCT((파견수련계획!$Q$4:$Q$803=TRIM($J190&amp;""))*(파견수련계획!$AA$4:$AA$803&lt;&gt;"")))&gt;0,"파견수련계획 입력오류 확인",IF(LEFT($Y190,1)="⚠","서울·구리 15일 판정 불가(양쪽 모두 이상/미만)",IF(IF($AC190="",0,N(INDEX(인턴근무계획!$T$3:$T$402,$AC190)))&gt;0,"인턴계획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IF($B190="","",IFERROR(MATCH($B190,기본자료!$B$2:$B$1001,0),IFERROR(MATCH($B190&amp;"",기본자료!$B$2:$B$1001,0),IFERROR(MATCH(VALUE($B190),기본자료!$B$2:$B$1001,0),""))))</f>
        <v/>
      </c>
      <c r="AC190" s="10">
        <f>IF($B190="","",IFERROR(MATCH($B190,인턴근무계획!$D$3:$D$402,0),IFERROR(MATCH($B190&amp;"",인턴근무계획!$D$3:$D$402,0),IFERROR(MATCH(VALUE($B190),인턴근무계획!$D$3:$D$402,0),""))))</f>
        <v/>
      </c>
      <c r="AD190" s="10">
        <f>IF(OR($AC190="",인턴현황!$G$3=""),"",INDEX(인턴근무계획!$M$3:$R$402,$AC190,인턴현황!$G$3)&amp;"")</f>
        <v/>
      </c>
      <c r="AE190" s="10">
        <f>IF($B190="","",IF($M190&lt;&gt;"",$M190,IF($AF190&lt;&gt;"",IF(LEFT(INDEX(파견수련계획!$R$4:$R$803,$AF190),1)&lt;&gt;"⚠",INDEX(파견수련계획!$R$4:$R$803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$803,0),IFERROR(MATCH(TRIM($J190&amp;"")&amp;"|파견예정",파견수련계획!$Y$4:$Y$803,0),IFERROR(MATCH(TRIM($J190&amp;"")&amp;"|파견종료",파견수련계획!$Y$4:$Y$803,0),""))))</f>
        <v/>
      </c>
      <c r="AG190" s="10">
        <f>IF($B190="","",IF(AND(IF(OR($AC190="",인턴현황!$K$2=""),"",INDEX(인턴근무계획!$M$3:$R$402,$AC190,인턴현황!$K$2)&amp;"")&lt;&gt;"",LEFT(IF(OR($AC190="",인턴현황!$K$2=""),"",INDEX(인턴근무계획!$M$3:$R$402,$AC190,인턴현황!$K$2)&amp;""),1)&lt;&gt;"⚠"),LEFT(IF(OR($AC190="",인턴현황!$K$2=""),"",INDEX(인턴근무계획!$M$3:$R$402,$AC190,인턴현황!$K$2)&amp;""),FIND(" ",IF(OR($AC190="",인턴현황!$K$2=""),"",INDEX(인턴근무계획!$M$3:$R$402,$AC190,인턴현황!$K$2)&amp;""))-1),$AE190))</f>
        <v/>
      </c>
      <c r="AH190" s="17">
        <f>IF($B190="","",IF(TRIM($J190&amp;"")="",0,SUMPRODUCT((파견수련계획!$Q$4:$Q$803=TRIM($J190&amp;""))*(파견수련계획!$S$4:$S$803="서울병원")*파견수련계획!$W$4:$W$803))+IF($AG190="서울병원",MAX(0,DAY(EOMONTH(요약!$B$3,0))-N($X190)),0))</f>
        <v/>
      </c>
      <c r="AI190" s="17">
        <f>IF($B190="","",IF(TRIM($J190&amp;"")="",0,SUMPRODUCT((파견수련계획!$Q$4:$Q$803=TRIM($J190&amp;""))*(파견수련계획!$S$4:$S$803="구리병원")*파견수련계획!$W$4:$W$803))+IF($AG190="구리병원",MAX(0,DAY(EOMONTH(요약!$B$3,0))-N($X190)),0))</f>
        <v/>
      </c>
      <c r="AJ190" s="10">
        <f>IF(OR($B190="",TRIM($J190&amp;"")=""),"",IFERROR(MATCH(TRIM($J190&amp;"")&amp;"|월",파견수련계획!$Z$4:$Z$803,0),""))</f>
        <v/>
      </c>
      <c r="AK190" s="10">
        <f>IF(OR($B190="",TRIM($J190&amp;"")=""),"",IFERROR(MATCH(TRIM($J190&amp;"")&amp;"|다기관",파견수련계획!$AE$4:$AE$803,0),""))</f>
        <v/>
      </c>
      <c r="AL190" s="10">
        <f>IF($AK190="","","다기관 "&amp;TEXT(INDEX(파견수련계획!$AB$4:$AB$803,$AK190),"yyyy-mm-dd")&amp;"~"&amp;IF(ISNUMBER(INDEX(파견수련계획!$AC$4:$AC$803,$AK190)),TEXT(INDEX(파견수련계획!$AC$4:$AC$803,$AK190),"yyyy-mm-dd"),""))</f>
        <v/>
      </c>
    </row>
    <row r="191">
      <c r="A191" s="10">
        <f>IF(B191="","",ROW()-1)</f>
        <v/>
      </c>
      <c r="B191" s="18" t="n"/>
      <c r="C191" s="10">
        <f>IF($AB191="","",IF(INDEX(기본자료!$C$2:$C$1001,$AB191)="","",INDEX(기본자료!$C$2:$C$1001,$AB191)))</f>
        <v/>
      </c>
      <c r="D191" s="10">
        <f>IF($AB191="","",IF(INDEX(기본자료!$J$2:$J$1001,$AB191)="","",INDEX(기본자료!$J$2:$J$1001,$AB191)))</f>
        <v/>
      </c>
      <c r="E191" s="11">
        <f>IF($AB191="","",IF(INDEX(기본자료!$K$2:$K$1001,$AB191)="","",IF(NOT(ISNUMBER(INDEX(기본자료!$K$2:$K$1001,$AB191))),INDEX(기본자료!$K$2:$K$1001,$AB191),IF(INDEX(기본자료!$K$2:$K$1001,$AB191)&lt;1000000,INDEX(기본자료!$K$2:$K$1001,$AB191),IF(AND(INDEX(기본자료!$K$2:$K$1001,$AB191)&gt;=10000101,INT(MOD(INDEX(기본자료!$K$2:$K$1001,$AB191),10000)/100)&gt;=1,INT(MOD(INDEX(기본자료!$K$2:$K$1001,$AB191),10000)/100)&lt;=12,MOD(INDEX(기본자료!$K$2:$K$1001,$AB191),100)&gt;=1,MOD(INDEX(기본자료!$K$2:$K$1001,$AB191),100)&lt;=31),DATE(INT(INDEX(기본자료!$K$2:$K$1001,$AB191)/10000),INT(MOD(INDEX(기본자료!$K$2:$K$1001,$AB191),10000)/100),MOD(INDEX(기본자료!$K$2:$K$1001,$AB191),100)),INDEX(기본자료!$K$2:$K$1001,$AB191)&amp;"")))))</f>
        <v/>
      </c>
      <c r="F191" s="10">
        <f>IF($AB191="","",IF(INDEX(기본자료!$D$2:$D$1001,$AB191)="","",INDEX(기본자료!$D$2:$D$1001,$AB191)))</f>
        <v/>
      </c>
      <c r="G191" s="10">
        <f>IF($AB191="","",IF(INDEX(기본자료!$E$2:$E$1001,$AB191)="","",INDEX(기본자료!$E$2:$E$1001,$AB191)))</f>
        <v/>
      </c>
      <c r="H191" s="10">
        <f>IF($AB191="","",IF(INDEX(기본자료!$F$2:$F$1001,$AB191)="","",INDEX(기본자료!$F$2:$F$1001,$AB191)))</f>
        <v/>
      </c>
      <c r="I191" s="11">
        <f>IF($AB191="","",IF(INDEX(기본자료!$G$2:$G$1001,$AB191)="","",IF(NOT(ISNUMBER(INDEX(기본자료!$G$2:$G$1001,$AB191))),INDEX(기본자료!$G$2:$G$1001,$AB191),IF(INDEX(기본자료!$G$2:$G$1001,$AB191)&lt;1000000,INDEX(기본자료!$G$2:$G$1001,$AB191),IF(AND(INDEX(기본자료!$G$2:$G$1001,$AB191)&gt;=10000101,INT(MOD(INDEX(기본자료!$G$2:$G$1001,$AB191),10000)/100)&gt;=1,INT(MOD(INDEX(기본자료!$G$2:$G$1001,$AB191),10000)/100)&lt;=12,MOD(INDEX(기본자료!$G$2:$G$1001,$AB191),100)&gt;=1,MOD(INDEX(기본자료!$G$2:$G$1001,$AB191),100)&lt;=31),DATE(INT(INDEX(기본자료!$G$2:$G$1001,$AB191)/10000),INT(MOD(INDEX(기본자료!$G$2:$G$1001,$AB191),10000)/100),MOD(INDEX(기본자료!$G$2:$G$1001,$AB191),100)),INDEX(기본자료!$G$2:$G$1001,$AB191)&amp;"")))))</f>
        <v/>
      </c>
      <c r="J191" s="10">
        <f>IF($AB191="","",IF(INDEX(기본자료!$H$2:$H$1001,$AB191)="","",INDEX(기본자료!$H$2:$H$1001,$AB191)))</f>
        <v/>
      </c>
      <c r="K191" s="10">
        <f>IF($AB191="","",IF(INDEX(기본자료!$I$2:$I$1001,$AB191)="","",INDEX(기본자료!$I$2:$I$1001,$AB191)))</f>
        <v/>
      </c>
      <c r="L191" s="10">
        <f>IF($AB191="","",IF(INDEX(기본자료!$A$2:$A$1001,$AB191)="","",INDEX(기본자료!$A$2:$A$1001,$AB191)))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파견수련계획!$AB$4:$AB$803,$AK191),OR(NOT(ISNUMBER(INDEX(파견수련계획!$AC$4:$AC$803,$AK191))),TODAY()&lt;=INDEX(파견수련계획!$AC$4:$AC$803,$AK191))),"다기관",IF($AF191="","",INDEX(파견수련계획!$T$4:$T$803,$AF191))),IF($AF191="","",INDEX(파견수련계획!$T$4:$T$803,$AF191))))</f>
        <v/>
      </c>
      <c r="Q191" s="10">
        <f>IF($AF191="","",INDEX(파견수련계획!$S$4:$S$803,$AF191))</f>
        <v/>
      </c>
      <c r="R191" s="10">
        <f>IF($AF191="","",INDEX(파견수련계획!$U$4:$U$803,$AF191))</f>
        <v/>
      </c>
      <c r="S191" s="11">
        <f>IF($AF191="","",IF(INDEX(파견수련계획!$H$4:$H$803,$AF191)="","",INDEX(파견수련계획!$H$4:$H$803,$AF191)))</f>
        <v/>
      </c>
      <c r="T191" s="11">
        <f>IF($AF191="","",IF(INDEX(파견수련계획!$I$4:$I$803,$AF191)="","",INDEX(파견수련계획!$I$4:$I$803,$AF191)))</f>
        <v/>
      </c>
      <c r="U191" s="10">
        <f>IF($AF191="","",INDEX(파견수련계획!$X$4:$X$803,$AF191))</f>
        <v/>
      </c>
      <c r="V191" s="17">
        <f>IF($AF191="","",INDEX(파견수련계획!$V$4:$V$803,$AF191))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IF(OR($B191="",TRIM($J191&amp;"")=""),"",SUMPRODUCT((파견수련계획!$Q$4:$Q$803=TRIM($J191&amp;""))*파견수련계획!$W$4:$W$803))</f>
        <v/>
      </c>
      <c r="Y191" s="10">
        <f>IF($B191="","",IF($AG191="","",IF(IF(TRIM($J191&amp;"")="",0,SUMPRODUCT((파견수련계획!$Q$4:$Q$803=TRIM($J191&amp;""))*파견수련계획!$AD$4:$AD$803))&gt;0,$AE191,IF(N($X191)&lt;=0,$AG191,IF($AH191+$AI191=DAY(EOMONTH(요약!$B$3,0)),IF(AND($AH191&gt;=요약!$E$3,$AI191&lt;요약!$E$3),"서울병원",IF(AND($AI191&gt;=요약!$E$3,$AH191&lt;요약!$E$3),"구리병원","⚠15일 판정불가(서울 "&amp;$AH191&amp;"일/구리 "&amp;$AI191&amp;"일)")),IF($AJ191="",$AE191,IF(INDEX(파견수련계획!$T$4:$T$803,$AJ191)="통합수련",INDEX(파견수련계획!$S$4:$S$803,$AJ191),$AE191)))))))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입력",IF(IF(TRIM($J191&amp;"")="",0,SUMPRODUCT((파견수련계획!$Q$4:$Q$803=TRIM($J191&amp;""))*(파견수련계획!$AA$4:$AA$803&lt;&gt;"")))&gt;0,"파견수련계획 입력오류 확인",IF(LEFT($Y191,1)="⚠","서울·구리 15일 판정 불가(양쪽 모두 이상/미만)",IF(IF($AC191="",0,N(INDEX(인턴근무계획!$T$3:$T$402,$AC191)))&gt;0,"인턴계획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IF($B191="","",IFERROR(MATCH($B191,기본자료!$B$2:$B$1001,0),IFERROR(MATCH($B191&amp;"",기본자료!$B$2:$B$1001,0),IFERROR(MATCH(VALUE($B191),기본자료!$B$2:$B$1001,0),""))))</f>
        <v/>
      </c>
      <c r="AC191" s="10">
        <f>IF($B191="","",IFERROR(MATCH($B191,인턴근무계획!$D$3:$D$402,0),IFERROR(MATCH($B191&amp;"",인턴근무계획!$D$3:$D$402,0),IFERROR(MATCH(VALUE($B191),인턴근무계획!$D$3:$D$402,0),""))))</f>
        <v/>
      </c>
      <c r="AD191" s="10">
        <f>IF(OR($AC191="",인턴현황!$G$3=""),"",INDEX(인턴근무계획!$M$3:$R$402,$AC191,인턴현황!$G$3)&amp;"")</f>
        <v/>
      </c>
      <c r="AE191" s="10">
        <f>IF($B191="","",IF($M191&lt;&gt;"",$M191,IF($AF191&lt;&gt;"",IF(LEFT(INDEX(파견수련계획!$R$4:$R$803,$AF191),1)&lt;&gt;"⚠",INDEX(파견수련계획!$R$4:$R$803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$803,0),IFERROR(MATCH(TRIM($J191&amp;"")&amp;"|파견예정",파견수련계획!$Y$4:$Y$803,0),IFERROR(MATCH(TRIM($J191&amp;"")&amp;"|파견종료",파견수련계획!$Y$4:$Y$803,0),""))))</f>
        <v/>
      </c>
      <c r="AG191" s="10">
        <f>IF($B191="","",IF(AND(IF(OR($AC191="",인턴현황!$K$2=""),"",INDEX(인턴근무계획!$M$3:$R$402,$AC191,인턴현황!$K$2)&amp;"")&lt;&gt;"",LEFT(IF(OR($AC191="",인턴현황!$K$2=""),"",INDEX(인턴근무계획!$M$3:$R$402,$AC191,인턴현황!$K$2)&amp;""),1)&lt;&gt;"⚠"),LEFT(IF(OR($AC191="",인턴현황!$K$2=""),"",INDEX(인턴근무계획!$M$3:$R$402,$AC191,인턴현황!$K$2)&amp;""),FIND(" ",IF(OR($AC191="",인턴현황!$K$2=""),"",INDEX(인턴근무계획!$M$3:$R$402,$AC191,인턴현황!$K$2)&amp;""))-1),$AE191))</f>
        <v/>
      </c>
      <c r="AH191" s="17">
        <f>IF($B191="","",IF(TRIM($J191&amp;"")="",0,SUMPRODUCT((파견수련계획!$Q$4:$Q$803=TRIM($J191&amp;""))*(파견수련계획!$S$4:$S$803="서울병원")*파견수련계획!$W$4:$W$803))+IF($AG191="서울병원",MAX(0,DAY(EOMONTH(요약!$B$3,0))-N($X191)),0))</f>
        <v/>
      </c>
      <c r="AI191" s="17">
        <f>IF($B191="","",IF(TRIM($J191&amp;"")="",0,SUMPRODUCT((파견수련계획!$Q$4:$Q$803=TRIM($J191&amp;""))*(파견수련계획!$S$4:$S$803="구리병원")*파견수련계획!$W$4:$W$803))+IF($AG191="구리병원",MAX(0,DAY(EOMONTH(요약!$B$3,0))-N($X191)),0))</f>
        <v/>
      </c>
      <c r="AJ191" s="10">
        <f>IF(OR($B191="",TRIM($J191&amp;"")=""),"",IFERROR(MATCH(TRIM($J191&amp;"")&amp;"|월",파견수련계획!$Z$4:$Z$803,0),""))</f>
        <v/>
      </c>
      <c r="AK191" s="10">
        <f>IF(OR($B191="",TRIM($J191&amp;"")=""),"",IFERROR(MATCH(TRIM($J191&amp;"")&amp;"|다기관",파견수련계획!$AE$4:$AE$803,0),""))</f>
        <v/>
      </c>
      <c r="AL191" s="10">
        <f>IF($AK191="","","다기관 "&amp;TEXT(INDEX(파견수련계획!$AB$4:$AB$803,$AK191),"yyyy-mm-dd")&amp;"~"&amp;IF(ISNUMBER(INDEX(파견수련계획!$AC$4:$AC$803,$AK191)),TEXT(INDEX(파견수련계획!$AC$4:$AC$803,$AK191),"yyyy-mm-dd"),""))</f>
        <v/>
      </c>
    </row>
    <row r="192">
      <c r="A192" s="10">
        <f>IF(B192="","",ROW()-1)</f>
        <v/>
      </c>
      <c r="B192" s="18" t="n"/>
      <c r="C192" s="10">
        <f>IF($AB192="","",IF(INDEX(기본자료!$C$2:$C$1001,$AB192)="","",INDEX(기본자료!$C$2:$C$1001,$AB192)))</f>
        <v/>
      </c>
      <c r="D192" s="10">
        <f>IF($AB192="","",IF(INDEX(기본자료!$J$2:$J$1001,$AB192)="","",INDEX(기본자료!$J$2:$J$1001,$AB192)))</f>
        <v/>
      </c>
      <c r="E192" s="11">
        <f>IF($AB192="","",IF(INDEX(기본자료!$K$2:$K$1001,$AB192)="","",IF(NOT(ISNUMBER(INDEX(기본자료!$K$2:$K$1001,$AB192))),INDEX(기본자료!$K$2:$K$1001,$AB192),IF(INDEX(기본자료!$K$2:$K$1001,$AB192)&lt;1000000,INDEX(기본자료!$K$2:$K$1001,$AB192),IF(AND(INDEX(기본자료!$K$2:$K$1001,$AB192)&gt;=10000101,INT(MOD(INDEX(기본자료!$K$2:$K$1001,$AB192),10000)/100)&gt;=1,INT(MOD(INDEX(기본자료!$K$2:$K$1001,$AB192),10000)/100)&lt;=12,MOD(INDEX(기본자료!$K$2:$K$1001,$AB192),100)&gt;=1,MOD(INDEX(기본자료!$K$2:$K$1001,$AB192),100)&lt;=31),DATE(INT(INDEX(기본자료!$K$2:$K$1001,$AB192)/10000),INT(MOD(INDEX(기본자료!$K$2:$K$1001,$AB192),10000)/100),MOD(INDEX(기본자료!$K$2:$K$1001,$AB192),100)),INDEX(기본자료!$K$2:$K$1001,$AB192)&amp;"")))))</f>
        <v/>
      </c>
      <c r="F192" s="10">
        <f>IF($AB192="","",IF(INDEX(기본자료!$D$2:$D$1001,$AB192)="","",INDEX(기본자료!$D$2:$D$1001,$AB192)))</f>
        <v/>
      </c>
      <c r="G192" s="10">
        <f>IF($AB192="","",IF(INDEX(기본자료!$E$2:$E$1001,$AB192)="","",INDEX(기본자료!$E$2:$E$1001,$AB192)))</f>
        <v/>
      </c>
      <c r="H192" s="10">
        <f>IF($AB192="","",IF(INDEX(기본자료!$F$2:$F$1001,$AB192)="","",INDEX(기본자료!$F$2:$F$1001,$AB192)))</f>
        <v/>
      </c>
      <c r="I192" s="11">
        <f>IF($AB192="","",IF(INDEX(기본자료!$G$2:$G$1001,$AB192)="","",IF(NOT(ISNUMBER(INDEX(기본자료!$G$2:$G$1001,$AB192))),INDEX(기본자료!$G$2:$G$1001,$AB192),IF(INDEX(기본자료!$G$2:$G$1001,$AB192)&lt;1000000,INDEX(기본자료!$G$2:$G$1001,$AB192),IF(AND(INDEX(기본자료!$G$2:$G$1001,$AB192)&gt;=10000101,INT(MOD(INDEX(기본자료!$G$2:$G$1001,$AB192),10000)/100)&gt;=1,INT(MOD(INDEX(기본자료!$G$2:$G$1001,$AB192),10000)/100)&lt;=12,MOD(INDEX(기본자료!$G$2:$G$1001,$AB192),100)&gt;=1,MOD(INDEX(기본자료!$G$2:$G$1001,$AB192),100)&lt;=31),DATE(INT(INDEX(기본자료!$G$2:$G$1001,$AB192)/10000),INT(MOD(INDEX(기본자료!$G$2:$G$1001,$AB192),10000)/100),MOD(INDEX(기본자료!$G$2:$G$1001,$AB192),100)),INDEX(기본자료!$G$2:$G$1001,$AB192)&amp;"")))))</f>
        <v/>
      </c>
      <c r="J192" s="10">
        <f>IF($AB192="","",IF(INDEX(기본자료!$H$2:$H$1001,$AB192)="","",INDEX(기본자료!$H$2:$H$1001,$AB192)))</f>
        <v/>
      </c>
      <c r="K192" s="10">
        <f>IF($AB192="","",IF(INDEX(기본자료!$I$2:$I$1001,$AB192)="","",INDEX(기본자료!$I$2:$I$1001,$AB192)))</f>
        <v/>
      </c>
      <c r="L192" s="10">
        <f>IF($AB192="","",IF(INDEX(기본자료!$A$2:$A$1001,$AB192)="","",INDEX(기본자료!$A$2:$A$1001,$AB192)))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파견수련계획!$AB$4:$AB$803,$AK192),OR(NOT(ISNUMBER(INDEX(파견수련계획!$AC$4:$AC$803,$AK192))),TODAY()&lt;=INDEX(파견수련계획!$AC$4:$AC$803,$AK192))),"다기관",IF($AF192="","",INDEX(파견수련계획!$T$4:$T$803,$AF192))),IF($AF192="","",INDEX(파견수련계획!$T$4:$T$803,$AF192))))</f>
        <v/>
      </c>
      <c r="Q192" s="10">
        <f>IF($AF192="","",INDEX(파견수련계획!$S$4:$S$803,$AF192))</f>
        <v/>
      </c>
      <c r="R192" s="10">
        <f>IF($AF192="","",INDEX(파견수련계획!$U$4:$U$803,$AF192))</f>
        <v/>
      </c>
      <c r="S192" s="11">
        <f>IF($AF192="","",IF(INDEX(파견수련계획!$H$4:$H$803,$AF192)="","",INDEX(파견수련계획!$H$4:$H$803,$AF192)))</f>
        <v/>
      </c>
      <c r="T192" s="11">
        <f>IF($AF192="","",IF(INDEX(파견수련계획!$I$4:$I$803,$AF192)="","",INDEX(파견수련계획!$I$4:$I$803,$AF192)))</f>
        <v/>
      </c>
      <c r="U192" s="10">
        <f>IF($AF192="","",INDEX(파견수련계획!$X$4:$X$803,$AF192))</f>
        <v/>
      </c>
      <c r="V192" s="17">
        <f>IF($AF192="","",INDEX(파견수련계획!$V$4:$V$803,$AF192))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IF(OR($B192="",TRIM($J192&amp;"")=""),"",SUMPRODUCT((파견수련계획!$Q$4:$Q$803=TRIM($J192&amp;""))*파견수련계획!$W$4:$W$803))</f>
        <v/>
      </c>
      <c r="Y192" s="10">
        <f>IF($B192="","",IF($AG192="","",IF(IF(TRIM($J192&amp;"")="",0,SUMPRODUCT((파견수련계획!$Q$4:$Q$803=TRIM($J192&amp;""))*파견수련계획!$AD$4:$AD$803))&gt;0,$AE192,IF(N($X192)&lt;=0,$AG192,IF($AH192+$AI192=DAY(EOMONTH(요약!$B$3,0)),IF(AND($AH192&gt;=요약!$E$3,$AI192&lt;요약!$E$3),"서울병원",IF(AND($AI192&gt;=요약!$E$3,$AH192&lt;요약!$E$3),"구리병원","⚠15일 판정불가(서울 "&amp;$AH192&amp;"일/구리 "&amp;$AI192&amp;"일)")),IF($AJ192="",$AE192,IF(INDEX(파견수련계획!$T$4:$T$803,$AJ192)="통합수련",INDEX(파견수련계획!$S$4:$S$803,$AJ192),$AE192)))))))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입력",IF(IF(TRIM($J192&amp;"")="",0,SUMPRODUCT((파견수련계획!$Q$4:$Q$803=TRIM($J192&amp;""))*(파견수련계획!$AA$4:$AA$803&lt;&gt;"")))&gt;0,"파견수련계획 입력오류 확인",IF(LEFT($Y192,1)="⚠","서울·구리 15일 판정 불가(양쪽 모두 이상/미만)",IF(IF($AC192="",0,N(INDEX(인턴근무계획!$T$3:$T$402,$AC192)))&gt;0,"인턴계획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IF($B192="","",IFERROR(MATCH($B192,기본자료!$B$2:$B$1001,0),IFERROR(MATCH($B192&amp;"",기본자료!$B$2:$B$1001,0),IFERROR(MATCH(VALUE($B192),기본자료!$B$2:$B$1001,0),""))))</f>
        <v/>
      </c>
      <c r="AC192" s="10">
        <f>IF($B192="","",IFERROR(MATCH($B192,인턴근무계획!$D$3:$D$402,0),IFERROR(MATCH($B192&amp;"",인턴근무계획!$D$3:$D$402,0),IFERROR(MATCH(VALUE($B192),인턴근무계획!$D$3:$D$402,0),""))))</f>
        <v/>
      </c>
      <c r="AD192" s="10">
        <f>IF(OR($AC192="",인턴현황!$G$3=""),"",INDEX(인턴근무계획!$M$3:$R$402,$AC192,인턴현황!$G$3)&amp;"")</f>
        <v/>
      </c>
      <c r="AE192" s="10">
        <f>IF($B192="","",IF($M192&lt;&gt;"",$M192,IF($AF192&lt;&gt;"",IF(LEFT(INDEX(파견수련계획!$R$4:$R$803,$AF192),1)&lt;&gt;"⚠",INDEX(파견수련계획!$R$4:$R$803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$803,0),IFERROR(MATCH(TRIM($J192&amp;"")&amp;"|파견예정",파견수련계획!$Y$4:$Y$803,0),IFERROR(MATCH(TRIM($J192&amp;"")&amp;"|파견종료",파견수련계획!$Y$4:$Y$803,0),""))))</f>
        <v/>
      </c>
      <c r="AG192" s="10">
        <f>IF($B192="","",IF(AND(IF(OR($AC192="",인턴현황!$K$2=""),"",INDEX(인턴근무계획!$M$3:$R$402,$AC192,인턴현황!$K$2)&amp;"")&lt;&gt;"",LEFT(IF(OR($AC192="",인턴현황!$K$2=""),"",INDEX(인턴근무계획!$M$3:$R$402,$AC192,인턴현황!$K$2)&amp;""),1)&lt;&gt;"⚠"),LEFT(IF(OR($AC192="",인턴현황!$K$2=""),"",INDEX(인턴근무계획!$M$3:$R$402,$AC192,인턴현황!$K$2)&amp;""),FIND(" ",IF(OR($AC192="",인턴현황!$K$2=""),"",INDEX(인턴근무계획!$M$3:$R$402,$AC192,인턴현황!$K$2)&amp;""))-1),$AE192))</f>
        <v/>
      </c>
      <c r="AH192" s="17">
        <f>IF($B192="","",IF(TRIM($J192&amp;"")="",0,SUMPRODUCT((파견수련계획!$Q$4:$Q$803=TRIM($J192&amp;""))*(파견수련계획!$S$4:$S$803="서울병원")*파견수련계획!$W$4:$W$803))+IF($AG192="서울병원",MAX(0,DAY(EOMONTH(요약!$B$3,0))-N($X192)),0))</f>
        <v/>
      </c>
      <c r="AI192" s="17">
        <f>IF($B192="","",IF(TRIM($J192&amp;"")="",0,SUMPRODUCT((파견수련계획!$Q$4:$Q$803=TRIM($J192&amp;""))*(파견수련계획!$S$4:$S$803="구리병원")*파견수련계획!$W$4:$W$803))+IF($AG192="구리병원",MAX(0,DAY(EOMONTH(요약!$B$3,0))-N($X192)),0))</f>
        <v/>
      </c>
      <c r="AJ192" s="10">
        <f>IF(OR($B192="",TRIM($J192&amp;"")=""),"",IFERROR(MATCH(TRIM($J192&amp;"")&amp;"|월",파견수련계획!$Z$4:$Z$803,0),""))</f>
        <v/>
      </c>
      <c r="AK192" s="10">
        <f>IF(OR($B192="",TRIM($J192&amp;"")=""),"",IFERROR(MATCH(TRIM($J192&amp;"")&amp;"|다기관",파견수련계획!$AE$4:$AE$803,0),""))</f>
        <v/>
      </c>
      <c r="AL192" s="10">
        <f>IF($AK192="","","다기관 "&amp;TEXT(INDEX(파견수련계획!$AB$4:$AB$803,$AK192),"yyyy-mm-dd")&amp;"~"&amp;IF(ISNUMBER(INDEX(파견수련계획!$AC$4:$AC$803,$AK192)),TEXT(INDEX(파견수련계획!$AC$4:$AC$803,$AK192),"yyyy-mm-dd"),""))</f>
        <v/>
      </c>
    </row>
    <row r="193">
      <c r="A193" s="10">
        <f>IF(B193="","",ROW()-1)</f>
        <v/>
      </c>
      <c r="B193" s="18" t="n"/>
      <c r="C193" s="10">
        <f>IF($AB193="","",IF(INDEX(기본자료!$C$2:$C$1001,$AB193)="","",INDEX(기본자료!$C$2:$C$1001,$AB193)))</f>
        <v/>
      </c>
      <c r="D193" s="10">
        <f>IF($AB193="","",IF(INDEX(기본자료!$J$2:$J$1001,$AB193)="","",INDEX(기본자료!$J$2:$J$1001,$AB193)))</f>
        <v/>
      </c>
      <c r="E193" s="11">
        <f>IF($AB193="","",IF(INDEX(기본자료!$K$2:$K$1001,$AB193)="","",IF(NOT(ISNUMBER(INDEX(기본자료!$K$2:$K$1001,$AB193))),INDEX(기본자료!$K$2:$K$1001,$AB193),IF(INDEX(기본자료!$K$2:$K$1001,$AB193)&lt;1000000,INDEX(기본자료!$K$2:$K$1001,$AB193),IF(AND(INDEX(기본자료!$K$2:$K$1001,$AB193)&gt;=10000101,INT(MOD(INDEX(기본자료!$K$2:$K$1001,$AB193),10000)/100)&gt;=1,INT(MOD(INDEX(기본자료!$K$2:$K$1001,$AB193),10000)/100)&lt;=12,MOD(INDEX(기본자료!$K$2:$K$1001,$AB193),100)&gt;=1,MOD(INDEX(기본자료!$K$2:$K$1001,$AB193),100)&lt;=31),DATE(INT(INDEX(기본자료!$K$2:$K$1001,$AB193)/10000),INT(MOD(INDEX(기본자료!$K$2:$K$1001,$AB193),10000)/100),MOD(INDEX(기본자료!$K$2:$K$1001,$AB193),100)),INDEX(기본자료!$K$2:$K$1001,$AB193)&amp;"")))))</f>
        <v/>
      </c>
      <c r="F193" s="10">
        <f>IF($AB193="","",IF(INDEX(기본자료!$D$2:$D$1001,$AB193)="","",INDEX(기본자료!$D$2:$D$1001,$AB193)))</f>
        <v/>
      </c>
      <c r="G193" s="10">
        <f>IF($AB193="","",IF(INDEX(기본자료!$E$2:$E$1001,$AB193)="","",INDEX(기본자료!$E$2:$E$1001,$AB193)))</f>
        <v/>
      </c>
      <c r="H193" s="10">
        <f>IF($AB193="","",IF(INDEX(기본자료!$F$2:$F$1001,$AB193)="","",INDEX(기본자료!$F$2:$F$1001,$AB193)))</f>
        <v/>
      </c>
      <c r="I193" s="11">
        <f>IF($AB193="","",IF(INDEX(기본자료!$G$2:$G$1001,$AB193)="","",IF(NOT(ISNUMBER(INDEX(기본자료!$G$2:$G$1001,$AB193))),INDEX(기본자료!$G$2:$G$1001,$AB193),IF(INDEX(기본자료!$G$2:$G$1001,$AB193)&lt;1000000,INDEX(기본자료!$G$2:$G$1001,$AB193),IF(AND(INDEX(기본자료!$G$2:$G$1001,$AB193)&gt;=10000101,INT(MOD(INDEX(기본자료!$G$2:$G$1001,$AB193),10000)/100)&gt;=1,INT(MOD(INDEX(기본자료!$G$2:$G$1001,$AB193),10000)/100)&lt;=12,MOD(INDEX(기본자료!$G$2:$G$1001,$AB193),100)&gt;=1,MOD(INDEX(기본자료!$G$2:$G$1001,$AB193),100)&lt;=31),DATE(INT(INDEX(기본자료!$G$2:$G$1001,$AB193)/10000),INT(MOD(INDEX(기본자료!$G$2:$G$1001,$AB193),10000)/100),MOD(INDEX(기본자료!$G$2:$G$1001,$AB193),100)),INDEX(기본자료!$G$2:$G$1001,$AB193)&amp;"")))))</f>
        <v/>
      </c>
      <c r="J193" s="10">
        <f>IF($AB193="","",IF(INDEX(기본자료!$H$2:$H$1001,$AB193)="","",INDEX(기본자료!$H$2:$H$1001,$AB193)))</f>
        <v/>
      </c>
      <c r="K193" s="10">
        <f>IF($AB193="","",IF(INDEX(기본자료!$I$2:$I$1001,$AB193)="","",INDEX(기본자료!$I$2:$I$1001,$AB193)))</f>
        <v/>
      </c>
      <c r="L193" s="10">
        <f>IF($AB193="","",IF(INDEX(기본자료!$A$2:$A$1001,$AB193)="","",INDEX(기본자료!$A$2:$A$1001,$AB193)))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파견수련계획!$AB$4:$AB$803,$AK193),OR(NOT(ISNUMBER(INDEX(파견수련계획!$AC$4:$AC$803,$AK193))),TODAY()&lt;=INDEX(파견수련계획!$AC$4:$AC$803,$AK193))),"다기관",IF($AF193="","",INDEX(파견수련계획!$T$4:$T$803,$AF193))),IF($AF193="","",INDEX(파견수련계획!$T$4:$T$803,$AF193))))</f>
        <v/>
      </c>
      <c r="Q193" s="10">
        <f>IF($AF193="","",INDEX(파견수련계획!$S$4:$S$803,$AF193))</f>
        <v/>
      </c>
      <c r="R193" s="10">
        <f>IF($AF193="","",INDEX(파견수련계획!$U$4:$U$803,$AF193))</f>
        <v/>
      </c>
      <c r="S193" s="11">
        <f>IF($AF193="","",IF(INDEX(파견수련계획!$H$4:$H$803,$AF193)="","",INDEX(파견수련계획!$H$4:$H$803,$AF193)))</f>
        <v/>
      </c>
      <c r="T193" s="11">
        <f>IF($AF193="","",IF(INDEX(파견수련계획!$I$4:$I$803,$AF193)="","",INDEX(파견수련계획!$I$4:$I$803,$AF193)))</f>
        <v/>
      </c>
      <c r="U193" s="10">
        <f>IF($AF193="","",INDEX(파견수련계획!$X$4:$X$803,$AF193))</f>
        <v/>
      </c>
      <c r="V193" s="17">
        <f>IF($AF193="","",INDEX(파견수련계획!$V$4:$V$803,$AF193))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IF(OR($B193="",TRIM($J193&amp;"")=""),"",SUMPRODUCT((파견수련계획!$Q$4:$Q$803=TRIM($J193&amp;""))*파견수련계획!$W$4:$W$803))</f>
        <v/>
      </c>
      <c r="Y193" s="10">
        <f>IF($B193="","",IF($AG193="","",IF(IF(TRIM($J193&amp;"")="",0,SUMPRODUCT((파견수련계획!$Q$4:$Q$803=TRIM($J193&amp;""))*파견수련계획!$AD$4:$AD$803))&gt;0,$AE193,IF(N($X193)&lt;=0,$AG193,IF($AH193+$AI193=DAY(EOMONTH(요약!$B$3,0)),IF(AND($AH193&gt;=요약!$E$3,$AI193&lt;요약!$E$3),"서울병원",IF(AND($AI193&gt;=요약!$E$3,$AH193&lt;요약!$E$3),"구리병원","⚠15일 판정불가(서울 "&amp;$AH193&amp;"일/구리 "&amp;$AI193&amp;"일)")),IF($AJ193="",$AE193,IF(INDEX(파견수련계획!$T$4:$T$803,$AJ193)="통합수련",INDEX(파견수련계획!$S$4:$S$803,$AJ193),$AE193)))))))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입력",IF(IF(TRIM($J193&amp;"")="",0,SUMPRODUCT((파견수련계획!$Q$4:$Q$803=TRIM($J193&amp;""))*(파견수련계획!$AA$4:$AA$803&lt;&gt;"")))&gt;0,"파견수련계획 입력오류 확인",IF(LEFT($Y193,1)="⚠","서울·구리 15일 판정 불가(양쪽 모두 이상/미만)",IF(IF($AC193="",0,N(INDEX(인턴근무계획!$T$3:$T$402,$AC193)))&gt;0,"인턴계획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IF($B193="","",IFERROR(MATCH($B193,기본자료!$B$2:$B$1001,0),IFERROR(MATCH($B193&amp;"",기본자료!$B$2:$B$1001,0),IFERROR(MATCH(VALUE($B193),기본자료!$B$2:$B$1001,0),""))))</f>
        <v/>
      </c>
      <c r="AC193" s="10">
        <f>IF($B193="","",IFERROR(MATCH($B193,인턴근무계획!$D$3:$D$402,0),IFERROR(MATCH($B193&amp;"",인턴근무계획!$D$3:$D$402,0),IFERROR(MATCH(VALUE($B193),인턴근무계획!$D$3:$D$402,0),""))))</f>
        <v/>
      </c>
      <c r="AD193" s="10">
        <f>IF(OR($AC193="",인턴현황!$G$3=""),"",INDEX(인턴근무계획!$M$3:$R$402,$AC193,인턴현황!$G$3)&amp;"")</f>
        <v/>
      </c>
      <c r="AE193" s="10">
        <f>IF($B193="","",IF($M193&lt;&gt;"",$M193,IF($AF193&lt;&gt;"",IF(LEFT(INDEX(파견수련계획!$R$4:$R$803,$AF193),1)&lt;&gt;"⚠",INDEX(파견수련계획!$R$4:$R$803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$803,0),IFERROR(MATCH(TRIM($J193&amp;"")&amp;"|파견예정",파견수련계획!$Y$4:$Y$803,0),IFERROR(MATCH(TRIM($J193&amp;"")&amp;"|파견종료",파견수련계획!$Y$4:$Y$803,0),""))))</f>
        <v/>
      </c>
      <c r="AG193" s="10">
        <f>IF($B193="","",IF(AND(IF(OR($AC193="",인턴현황!$K$2=""),"",INDEX(인턴근무계획!$M$3:$R$402,$AC193,인턴현황!$K$2)&amp;"")&lt;&gt;"",LEFT(IF(OR($AC193="",인턴현황!$K$2=""),"",INDEX(인턴근무계획!$M$3:$R$402,$AC193,인턴현황!$K$2)&amp;""),1)&lt;&gt;"⚠"),LEFT(IF(OR($AC193="",인턴현황!$K$2=""),"",INDEX(인턴근무계획!$M$3:$R$402,$AC193,인턴현황!$K$2)&amp;""),FIND(" ",IF(OR($AC193="",인턴현황!$K$2=""),"",INDEX(인턴근무계획!$M$3:$R$402,$AC193,인턴현황!$K$2)&amp;""))-1),$AE193))</f>
        <v/>
      </c>
      <c r="AH193" s="17">
        <f>IF($B193="","",IF(TRIM($J193&amp;"")="",0,SUMPRODUCT((파견수련계획!$Q$4:$Q$803=TRIM($J193&amp;""))*(파견수련계획!$S$4:$S$803="서울병원")*파견수련계획!$W$4:$W$803))+IF($AG193="서울병원",MAX(0,DAY(EOMONTH(요약!$B$3,0))-N($X193)),0))</f>
        <v/>
      </c>
      <c r="AI193" s="17">
        <f>IF($B193="","",IF(TRIM($J193&amp;"")="",0,SUMPRODUCT((파견수련계획!$Q$4:$Q$803=TRIM($J193&amp;""))*(파견수련계획!$S$4:$S$803="구리병원")*파견수련계획!$W$4:$W$803))+IF($AG193="구리병원",MAX(0,DAY(EOMONTH(요약!$B$3,0))-N($X193)),0))</f>
        <v/>
      </c>
      <c r="AJ193" s="10">
        <f>IF(OR($B193="",TRIM($J193&amp;"")=""),"",IFERROR(MATCH(TRIM($J193&amp;"")&amp;"|월",파견수련계획!$Z$4:$Z$803,0),""))</f>
        <v/>
      </c>
      <c r="AK193" s="10">
        <f>IF(OR($B193="",TRIM($J193&amp;"")=""),"",IFERROR(MATCH(TRIM($J193&amp;"")&amp;"|다기관",파견수련계획!$AE$4:$AE$803,0),""))</f>
        <v/>
      </c>
      <c r="AL193" s="10">
        <f>IF($AK193="","","다기관 "&amp;TEXT(INDEX(파견수련계획!$AB$4:$AB$803,$AK193),"yyyy-mm-dd")&amp;"~"&amp;IF(ISNUMBER(INDEX(파견수련계획!$AC$4:$AC$803,$AK193)),TEXT(INDEX(파견수련계획!$AC$4:$AC$803,$AK193),"yyyy-mm-dd"),""))</f>
        <v/>
      </c>
    </row>
    <row r="194">
      <c r="A194" s="10">
        <f>IF(B194="","",ROW()-1)</f>
        <v/>
      </c>
      <c r="B194" s="18" t="n"/>
      <c r="C194" s="10">
        <f>IF($AB194="","",IF(INDEX(기본자료!$C$2:$C$1001,$AB194)="","",INDEX(기본자료!$C$2:$C$1001,$AB194)))</f>
        <v/>
      </c>
      <c r="D194" s="10">
        <f>IF($AB194="","",IF(INDEX(기본자료!$J$2:$J$1001,$AB194)="","",INDEX(기본자료!$J$2:$J$1001,$AB194)))</f>
        <v/>
      </c>
      <c r="E194" s="11">
        <f>IF($AB194="","",IF(INDEX(기본자료!$K$2:$K$1001,$AB194)="","",IF(NOT(ISNUMBER(INDEX(기본자료!$K$2:$K$1001,$AB194))),INDEX(기본자료!$K$2:$K$1001,$AB194),IF(INDEX(기본자료!$K$2:$K$1001,$AB194)&lt;1000000,INDEX(기본자료!$K$2:$K$1001,$AB194),IF(AND(INDEX(기본자료!$K$2:$K$1001,$AB194)&gt;=10000101,INT(MOD(INDEX(기본자료!$K$2:$K$1001,$AB194),10000)/100)&gt;=1,INT(MOD(INDEX(기본자료!$K$2:$K$1001,$AB194),10000)/100)&lt;=12,MOD(INDEX(기본자료!$K$2:$K$1001,$AB194),100)&gt;=1,MOD(INDEX(기본자료!$K$2:$K$1001,$AB194),100)&lt;=31),DATE(INT(INDEX(기본자료!$K$2:$K$1001,$AB194)/10000),INT(MOD(INDEX(기본자료!$K$2:$K$1001,$AB194),10000)/100),MOD(INDEX(기본자료!$K$2:$K$1001,$AB194),100)),INDEX(기본자료!$K$2:$K$1001,$AB194)&amp;"")))))</f>
        <v/>
      </c>
      <c r="F194" s="10">
        <f>IF($AB194="","",IF(INDEX(기본자료!$D$2:$D$1001,$AB194)="","",INDEX(기본자료!$D$2:$D$1001,$AB194)))</f>
        <v/>
      </c>
      <c r="G194" s="10">
        <f>IF($AB194="","",IF(INDEX(기본자료!$E$2:$E$1001,$AB194)="","",INDEX(기본자료!$E$2:$E$1001,$AB194)))</f>
        <v/>
      </c>
      <c r="H194" s="10">
        <f>IF($AB194="","",IF(INDEX(기본자료!$F$2:$F$1001,$AB194)="","",INDEX(기본자료!$F$2:$F$1001,$AB194)))</f>
        <v/>
      </c>
      <c r="I194" s="11">
        <f>IF($AB194="","",IF(INDEX(기본자료!$G$2:$G$1001,$AB194)="","",IF(NOT(ISNUMBER(INDEX(기본자료!$G$2:$G$1001,$AB194))),INDEX(기본자료!$G$2:$G$1001,$AB194),IF(INDEX(기본자료!$G$2:$G$1001,$AB194)&lt;1000000,INDEX(기본자료!$G$2:$G$1001,$AB194),IF(AND(INDEX(기본자료!$G$2:$G$1001,$AB194)&gt;=10000101,INT(MOD(INDEX(기본자료!$G$2:$G$1001,$AB194),10000)/100)&gt;=1,INT(MOD(INDEX(기본자료!$G$2:$G$1001,$AB194),10000)/100)&lt;=12,MOD(INDEX(기본자료!$G$2:$G$1001,$AB194),100)&gt;=1,MOD(INDEX(기본자료!$G$2:$G$1001,$AB194),100)&lt;=31),DATE(INT(INDEX(기본자료!$G$2:$G$1001,$AB194)/10000),INT(MOD(INDEX(기본자료!$G$2:$G$1001,$AB194),10000)/100),MOD(INDEX(기본자료!$G$2:$G$1001,$AB194),100)),INDEX(기본자료!$G$2:$G$1001,$AB194)&amp;"")))))</f>
        <v/>
      </c>
      <c r="J194" s="10">
        <f>IF($AB194="","",IF(INDEX(기본자료!$H$2:$H$1001,$AB194)="","",INDEX(기본자료!$H$2:$H$1001,$AB194)))</f>
        <v/>
      </c>
      <c r="K194" s="10">
        <f>IF($AB194="","",IF(INDEX(기본자료!$I$2:$I$1001,$AB194)="","",INDEX(기본자료!$I$2:$I$1001,$AB194)))</f>
        <v/>
      </c>
      <c r="L194" s="10">
        <f>IF($AB194="","",IF(INDEX(기본자료!$A$2:$A$1001,$AB194)="","",INDEX(기본자료!$A$2:$A$1001,$AB194)))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파견수련계획!$AB$4:$AB$803,$AK194),OR(NOT(ISNUMBER(INDEX(파견수련계획!$AC$4:$AC$803,$AK194))),TODAY()&lt;=INDEX(파견수련계획!$AC$4:$AC$803,$AK194))),"다기관",IF($AF194="","",INDEX(파견수련계획!$T$4:$T$803,$AF194))),IF($AF194="","",INDEX(파견수련계획!$T$4:$T$803,$AF194))))</f>
        <v/>
      </c>
      <c r="Q194" s="10">
        <f>IF($AF194="","",INDEX(파견수련계획!$S$4:$S$803,$AF194))</f>
        <v/>
      </c>
      <c r="R194" s="10">
        <f>IF($AF194="","",INDEX(파견수련계획!$U$4:$U$803,$AF194))</f>
        <v/>
      </c>
      <c r="S194" s="11">
        <f>IF($AF194="","",IF(INDEX(파견수련계획!$H$4:$H$803,$AF194)="","",INDEX(파견수련계획!$H$4:$H$803,$AF194)))</f>
        <v/>
      </c>
      <c r="T194" s="11">
        <f>IF($AF194="","",IF(INDEX(파견수련계획!$I$4:$I$803,$AF194)="","",INDEX(파견수련계획!$I$4:$I$803,$AF194)))</f>
        <v/>
      </c>
      <c r="U194" s="10">
        <f>IF($AF194="","",INDEX(파견수련계획!$X$4:$X$803,$AF194))</f>
        <v/>
      </c>
      <c r="V194" s="17">
        <f>IF($AF194="","",INDEX(파견수련계획!$V$4:$V$803,$AF194))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IF(OR($B194="",TRIM($J194&amp;"")=""),"",SUMPRODUCT((파견수련계획!$Q$4:$Q$803=TRIM($J194&amp;""))*파견수련계획!$W$4:$W$803))</f>
        <v/>
      </c>
      <c r="Y194" s="10">
        <f>IF($B194="","",IF($AG194="","",IF(IF(TRIM($J194&amp;"")="",0,SUMPRODUCT((파견수련계획!$Q$4:$Q$803=TRIM($J194&amp;""))*파견수련계획!$AD$4:$AD$803))&gt;0,$AE194,IF(N($X194)&lt;=0,$AG194,IF($AH194+$AI194=DAY(EOMONTH(요약!$B$3,0)),IF(AND($AH194&gt;=요약!$E$3,$AI194&lt;요약!$E$3),"서울병원",IF(AND($AI194&gt;=요약!$E$3,$AH194&lt;요약!$E$3),"구리병원","⚠15일 판정불가(서울 "&amp;$AH194&amp;"일/구리 "&amp;$AI194&amp;"일)")),IF($AJ194="",$AE194,IF(INDEX(파견수련계획!$T$4:$T$803,$AJ194)="통합수련",INDEX(파견수련계획!$S$4:$S$803,$AJ194),$AE194)))))))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입력",IF(IF(TRIM($J194&amp;"")="",0,SUMPRODUCT((파견수련계획!$Q$4:$Q$803=TRIM($J194&amp;""))*(파견수련계획!$AA$4:$AA$803&lt;&gt;"")))&gt;0,"파견수련계획 입력오류 확인",IF(LEFT($Y194,1)="⚠","서울·구리 15일 판정 불가(양쪽 모두 이상/미만)",IF(IF($AC194="",0,N(INDEX(인턴근무계획!$T$3:$T$402,$AC194)))&gt;0,"인턴계획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IF($B194="","",IFERROR(MATCH($B194,기본자료!$B$2:$B$1001,0),IFERROR(MATCH($B194&amp;"",기본자료!$B$2:$B$1001,0),IFERROR(MATCH(VALUE($B194),기본자료!$B$2:$B$1001,0),""))))</f>
        <v/>
      </c>
      <c r="AC194" s="10">
        <f>IF($B194="","",IFERROR(MATCH($B194,인턴근무계획!$D$3:$D$402,0),IFERROR(MATCH($B194&amp;"",인턴근무계획!$D$3:$D$402,0),IFERROR(MATCH(VALUE($B194),인턴근무계획!$D$3:$D$402,0),""))))</f>
        <v/>
      </c>
      <c r="AD194" s="10">
        <f>IF(OR($AC194="",인턴현황!$G$3=""),"",INDEX(인턴근무계획!$M$3:$R$402,$AC194,인턴현황!$G$3)&amp;"")</f>
        <v/>
      </c>
      <c r="AE194" s="10">
        <f>IF($B194="","",IF($M194&lt;&gt;"",$M194,IF($AF194&lt;&gt;"",IF(LEFT(INDEX(파견수련계획!$R$4:$R$803,$AF194),1)&lt;&gt;"⚠",INDEX(파견수련계획!$R$4:$R$803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$803,0),IFERROR(MATCH(TRIM($J194&amp;"")&amp;"|파견예정",파견수련계획!$Y$4:$Y$803,0),IFERROR(MATCH(TRIM($J194&amp;"")&amp;"|파견종료",파견수련계획!$Y$4:$Y$803,0),""))))</f>
        <v/>
      </c>
      <c r="AG194" s="10">
        <f>IF($B194="","",IF(AND(IF(OR($AC194="",인턴현황!$K$2=""),"",INDEX(인턴근무계획!$M$3:$R$402,$AC194,인턴현황!$K$2)&amp;"")&lt;&gt;"",LEFT(IF(OR($AC194="",인턴현황!$K$2=""),"",INDEX(인턴근무계획!$M$3:$R$402,$AC194,인턴현황!$K$2)&amp;""),1)&lt;&gt;"⚠"),LEFT(IF(OR($AC194="",인턴현황!$K$2=""),"",INDEX(인턴근무계획!$M$3:$R$402,$AC194,인턴현황!$K$2)&amp;""),FIND(" ",IF(OR($AC194="",인턴현황!$K$2=""),"",INDEX(인턴근무계획!$M$3:$R$402,$AC194,인턴현황!$K$2)&amp;""))-1),$AE194))</f>
        <v/>
      </c>
      <c r="AH194" s="17">
        <f>IF($B194="","",IF(TRIM($J194&amp;"")="",0,SUMPRODUCT((파견수련계획!$Q$4:$Q$803=TRIM($J194&amp;""))*(파견수련계획!$S$4:$S$803="서울병원")*파견수련계획!$W$4:$W$803))+IF($AG194="서울병원",MAX(0,DAY(EOMONTH(요약!$B$3,0))-N($X194)),0))</f>
        <v/>
      </c>
      <c r="AI194" s="17">
        <f>IF($B194="","",IF(TRIM($J194&amp;"")="",0,SUMPRODUCT((파견수련계획!$Q$4:$Q$803=TRIM($J194&amp;""))*(파견수련계획!$S$4:$S$803="구리병원")*파견수련계획!$W$4:$W$803))+IF($AG194="구리병원",MAX(0,DAY(EOMONTH(요약!$B$3,0))-N($X194)),0))</f>
        <v/>
      </c>
      <c r="AJ194" s="10">
        <f>IF(OR($B194="",TRIM($J194&amp;"")=""),"",IFERROR(MATCH(TRIM($J194&amp;"")&amp;"|월",파견수련계획!$Z$4:$Z$803,0),""))</f>
        <v/>
      </c>
      <c r="AK194" s="10">
        <f>IF(OR($B194="",TRIM($J194&amp;"")=""),"",IFERROR(MATCH(TRIM($J194&amp;"")&amp;"|다기관",파견수련계획!$AE$4:$AE$803,0),""))</f>
        <v/>
      </c>
      <c r="AL194" s="10">
        <f>IF($AK194="","","다기관 "&amp;TEXT(INDEX(파견수련계획!$AB$4:$AB$803,$AK194),"yyyy-mm-dd")&amp;"~"&amp;IF(ISNUMBER(INDEX(파견수련계획!$AC$4:$AC$803,$AK194)),TEXT(INDEX(파견수련계획!$AC$4:$AC$803,$AK194),"yyyy-mm-dd"),""))</f>
        <v/>
      </c>
    </row>
    <row r="195">
      <c r="A195" s="10">
        <f>IF(B195="","",ROW()-1)</f>
        <v/>
      </c>
      <c r="B195" s="18" t="n"/>
      <c r="C195" s="10">
        <f>IF($AB195="","",IF(INDEX(기본자료!$C$2:$C$1001,$AB195)="","",INDEX(기본자료!$C$2:$C$1001,$AB195)))</f>
        <v/>
      </c>
      <c r="D195" s="10">
        <f>IF($AB195="","",IF(INDEX(기본자료!$J$2:$J$1001,$AB195)="","",INDEX(기본자료!$J$2:$J$1001,$AB195)))</f>
        <v/>
      </c>
      <c r="E195" s="11">
        <f>IF($AB195="","",IF(INDEX(기본자료!$K$2:$K$1001,$AB195)="","",IF(NOT(ISNUMBER(INDEX(기본자료!$K$2:$K$1001,$AB195))),INDEX(기본자료!$K$2:$K$1001,$AB195),IF(INDEX(기본자료!$K$2:$K$1001,$AB195)&lt;1000000,INDEX(기본자료!$K$2:$K$1001,$AB195),IF(AND(INDEX(기본자료!$K$2:$K$1001,$AB195)&gt;=10000101,INT(MOD(INDEX(기본자료!$K$2:$K$1001,$AB195),10000)/100)&gt;=1,INT(MOD(INDEX(기본자료!$K$2:$K$1001,$AB195),10000)/100)&lt;=12,MOD(INDEX(기본자료!$K$2:$K$1001,$AB195),100)&gt;=1,MOD(INDEX(기본자료!$K$2:$K$1001,$AB195),100)&lt;=31),DATE(INT(INDEX(기본자료!$K$2:$K$1001,$AB195)/10000),INT(MOD(INDEX(기본자료!$K$2:$K$1001,$AB195),10000)/100),MOD(INDEX(기본자료!$K$2:$K$1001,$AB195),100)),INDEX(기본자료!$K$2:$K$1001,$AB195)&amp;"")))))</f>
        <v/>
      </c>
      <c r="F195" s="10">
        <f>IF($AB195="","",IF(INDEX(기본자료!$D$2:$D$1001,$AB195)="","",INDEX(기본자료!$D$2:$D$1001,$AB195)))</f>
        <v/>
      </c>
      <c r="G195" s="10">
        <f>IF($AB195="","",IF(INDEX(기본자료!$E$2:$E$1001,$AB195)="","",INDEX(기본자료!$E$2:$E$1001,$AB195)))</f>
        <v/>
      </c>
      <c r="H195" s="10">
        <f>IF($AB195="","",IF(INDEX(기본자료!$F$2:$F$1001,$AB195)="","",INDEX(기본자료!$F$2:$F$1001,$AB195)))</f>
        <v/>
      </c>
      <c r="I195" s="11">
        <f>IF($AB195="","",IF(INDEX(기본자료!$G$2:$G$1001,$AB195)="","",IF(NOT(ISNUMBER(INDEX(기본자료!$G$2:$G$1001,$AB195))),INDEX(기본자료!$G$2:$G$1001,$AB195),IF(INDEX(기본자료!$G$2:$G$1001,$AB195)&lt;1000000,INDEX(기본자료!$G$2:$G$1001,$AB195),IF(AND(INDEX(기본자료!$G$2:$G$1001,$AB195)&gt;=10000101,INT(MOD(INDEX(기본자료!$G$2:$G$1001,$AB195),10000)/100)&gt;=1,INT(MOD(INDEX(기본자료!$G$2:$G$1001,$AB195),10000)/100)&lt;=12,MOD(INDEX(기본자료!$G$2:$G$1001,$AB195),100)&gt;=1,MOD(INDEX(기본자료!$G$2:$G$1001,$AB195),100)&lt;=31),DATE(INT(INDEX(기본자료!$G$2:$G$1001,$AB195)/10000),INT(MOD(INDEX(기본자료!$G$2:$G$1001,$AB195),10000)/100),MOD(INDEX(기본자료!$G$2:$G$1001,$AB195),100)),INDEX(기본자료!$G$2:$G$1001,$AB195)&amp;"")))))</f>
        <v/>
      </c>
      <c r="J195" s="10">
        <f>IF($AB195="","",IF(INDEX(기본자료!$H$2:$H$1001,$AB195)="","",INDEX(기본자료!$H$2:$H$1001,$AB195)))</f>
        <v/>
      </c>
      <c r="K195" s="10">
        <f>IF($AB195="","",IF(INDEX(기본자료!$I$2:$I$1001,$AB195)="","",INDEX(기본자료!$I$2:$I$1001,$AB195)))</f>
        <v/>
      </c>
      <c r="L195" s="10">
        <f>IF($AB195="","",IF(INDEX(기본자료!$A$2:$A$1001,$AB195)="","",INDEX(기본자료!$A$2:$A$1001,$AB195)))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파견수련계획!$AB$4:$AB$803,$AK195),OR(NOT(ISNUMBER(INDEX(파견수련계획!$AC$4:$AC$803,$AK195))),TODAY()&lt;=INDEX(파견수련계획!$AC$4:$AC$803,$AK195))),"다기관",IF($AF195="","",INDEX(파견수련계획!$T$4:$T$803,$AF195))),IF($AF195="","",INDEX(파견수련계획!$T$4:$T$803,$AF195))))</f>
        <v/>
      </c>
      <c r="Q195" s="10">
        <f>IF($AF195="","",INDEX(파견수련계획!$S$4:$S$803,$AF195))</f>
        <v/>
      </c>
      <c r="R195" s="10">
        <f>IF($AF195="","",INDEX(파견수련계획!$U$4:$U$803,$AF195))</f>
        <v/>
      </c>
      <c r="S195" s="11">
        <f>IF($AF195="","",IF(INDEX(파견수련계획!$H$4:$H$803,$AF195)="","",INDEX(파견수련계획!$H$4:$H$803,$AF195)))</f>
        <v/>
      </c>
      <c r="T195" s="11">
        <f>IF($AF195="","",IF(INDEX(파견수련계획!$I$4:$I$803,$AF195)="","",INDEX(파견수련계획!$I$4:$I$803,$AF195)))</f>
        <v/>
      </c>
      <c r="U195" s="10">
        <f>IF($AF195="","",INDEX(파견수련계획!$X$4:$X$803,$AF195))</f>
        <v/>
      </c>
      <c r="V195" s="17">
        <f>IF($AF195="","",INDEX(파견수련계획!$V$4:$V$803,$AF195))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IF(OR($B195="",TRIM($J195&amp;"")=""),"",SUMPRODUCT((파견수련계획!$Q$4:$Q$803=TRIM($J195&amp;""))*파견수련계획!$W$4:$W$803))</f>
        <v/>
      </c>
      <c r="Y195" s="10">
        <f>IF($B195="","",IF($AG195="","",IF(IF(TRIM($J195&amp;"")="",0,SUMPRODUCT((파견수련계획!$Q$4:$Q$803=TRIM($J195&amp;""))*파견수련계획!$AD$4:$AD$803))&gt;0,$AE195,IF(N($X195)&lt;=0,$AG195,IF($AH195+$AI195=DAY(EOMONTH(요약!$B$3,0)),IF(AND($AH195&gt;=요약!$E$3,$AI195&lt;요약!$E$3),"서울병원",IF(AND($AI195&gt;=요약!$E$3,$AH195&lt;요약!$E$3),"구리병원","⚠15일 판정불가(서울 "&amp;$AH195&amp;"일/구리 "&amp;$AI195&amp;"일)")),IF($AJ195="",$AE195,IF(INDEX(파견수련계획!$T$4:$T$803,$AJ195)="통합수련",INDEX(파견수련계획!$S$4:$S$803,$AJ195),$AE195)))))))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입력",IF(IF(TRIM($J195&amp;"")="",0,SUMPRODUCT((파견수련계획!$Q$4:$Q$803=TRIM($J195&amp;""))*(파견수련계획!$AA$4:$AA$803&lt;&gt;"")))&gt;0,"파견수련계획 입력오류 확인",IF(LEFT($Y195,1)="⚠","서울·구리 15일 판정 불가(양쪽 모두 이상/미만)",IF(IF($AC195="",0,N(INDEX(인턴근무계획!$T$3:$T$402,$AC195)))&gt;0,"인턴계획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IF($B195="","",IFERROR(MATCH($B195,기본자료!$B$2:$B$1001,0),IFERROR(MATCH($B195&amp;"",기본자료!$B$2:$B$1001,0),IFERROR(MATCH(VALUE($B195),기본자료!$B$2:$B$1001,0),""))))</f>
        <v/>
      </c>
      <c r="AC195" s="10">
        <f>IF($B195="","",IFERROR(MATCH($B195,인턴근무계획!$D$3:$D$402,0),IFERROR(MATCH($B195&amp;"",인턴근무계획!$D$3:$D$402,0),IFERROR(MATCH(VALUE($B195),인턴근무계획!$D$3:$D$402,0),""))))</f>
        <v/>
      </c>
      <c r="AD195" s="10">
        <f>IF(OR($AC195="",인턴현황!$G$3=""),"",INDEX(인턴근무계획!$M$3:$R$402,$AC195,인턴현황!$G$3)&amp;"")</f>
        <v/>
      </c>
      <c r="AE195" s="10">
        <f>IF($B195="","",IF($M195&lt;&gt;"",$M195,IF($AF195&lt;&gt;"",IF(LEFT(INDEX(파견수련계획!$R$4:$R$803,$AF195),1)&lt;&gt;"⚠",INDEX(파견수련계획!$R$4:$R$803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$803,0),IFERROR(MATCH(TRIM($J195&amp;"")&amp;"|파견예정",파견수련계획!$Y$4:$Y$803,0),IFERROR(MATCH(TRIM($J195&amp;"")&amp;"|파견종료",파견수련계획!$Y$4:$Y$803,0),""))))</f>
        <v/>
      </c>
      <c r="AG195" s="10">
        <f>IF($B195="","",IF(AND(IF(OR($AC195="",인턴현황!$K$2=""),"",INDEX(인턴근무계획!$M$3:$R$402,$AC195,인턴현황!$K$2)&amp;"")&lt;&gt;"",LEFT(IF(OR($AC195="",인턴현황!$K$2=""),"",INDEX(인턴근무계획!$M$3:$R$402,$AC195,인턴현황!$K$2)&amp;""),1)&lt;&gt;"⚠"),LEFT(IF(OR($AC195="",인턴현황!$K$2=""),"",INDEX(인턴근무계획!$M$3:$R$402,$AC195,인턴현황!$K$2)&amp;""),FIND(" ",IF(OR($AC195="",인턴현황!$K$2=""),"",INDEX(인턴근무계획!$M$3:$R$402,$AC195,인턴현황!$K$2)&amp;""))-1),$AE195))</f>
        <v/>
      </c>
      <c r="AH195" s="17">
        <f>IF($B195="","",IF(TRIM($J195&amp;"")="",0,SUMPRODUCT((파견수련계획!$Q$4:$Q$803=TRIM($J195&amp;""))*(파견수련계획!$S$4:$S$803="서울병원")*파견수련계획!$W$4:$W$803))+IF($AG195="서울병원",MAX(0,DAY(EOMONTH(요약!$B$3,0))-N($X195)),0))</f>
        <v/>
      </c>
      <c r="AI195" s="17">
        <f>IF($B195="","",IF(TRIM($J195&amp;"")="",0,SUMPRODUCT((파견수련계획!$Q$4:$Q$803=TRIM($J195&amp;""))*(파견수련계획!$S$4:$S$803="구리병원")*파견수련계획!$W$4:$W$803))+IF($AG195="구리병원",MAX(0,DAY(EOMONTH(요약!$B$3,0))-N($X195)),0))</f>
        <v/>
      </c>
      <c r="AJ195" s="10">
        <f>IF(OR($B195="",TRIM($J195&amp;"")=""),"",IFERROR(MATCH(TRIM($J195&amp;"")&amp;"|월",파견수련계획!$Z$4:$Z$803,0),""))</f>
        <v/>
      </c>
      <c r="AK195" s="10">
        <f>IF(OR($B195="",TRIM($J195&amp;"")=""),"",IFERROR(MATCH(TRIM($J195&amp;"")&amp;"|다기관",파견수련계획!$AE$4:$AE$803,0),""))</f>
        <v/>
      </c>
      <c r="AL195" s="10">
        <f>IF($AK195="","","다기관 "&amp;TEXT(INDEX(파견수련계획!$AB$4:$AB$803,$AK195),"yyyy-mm-dd")&amp;"~"&amp;IF(ISNUMBER(INDEX(파견수련계획!$AC$4:$AC$803,$AK195)),TEXT(INDEX(파견수련계획!$AC$4:$AC$803,$AK195),"yyyy-mm-dd"),""))</f>
        <v/>
      </c>
    </row>
    <row r="196">
      <c r="A196" s="10">
        <f>IF(B196="","",ROW()-1)</f>
        <v/>
      </c>
      <c r="B196" s="18" t="n"/>
      <c r="C196" s="10">
        <f>IF($AB196="","",IF(INDEX(기본자료!$C$2:$C$1001,$AB196)="","",INDEX(기본자료!$C$2:$C$1001,$AB196)))</f>
        <v/>
      </c>
      <c r="D196" s="10">
        <f>IF($AB196="","",IF(INDEX(기본자료!$J$2:$J$1001,$AB196)="","",INDEX(기본자료!$J$2:$J$1001,$AB196)))</f>
        <v/>
      </c>
      <c r="E196" s="11">
        <f>IF($AB196="","",IF(INDEX(기본자료!$K$2:$K$1001,$AB196)="","",IF(NOT(ISNUMBER(INDEX(기본자료!$K$2:$K$1001,$AB196))),INDEX(기본자료!$K$2:$K$1001,$AB196),IF(INDEX(기본자료!$K$2:$K$1001,$AB196)&lt;1000000,INDEX(기본자료!$K$2:$K$1001,$AB196),IF(AND(INDEX(기본자료!$K$2:$K$1001,$AB196)&gt;=10000101,INT(MOD(INDEX(기본자료!$K$2:$K$1001,$AB196),10000)/100)&gt;=1,INT(MOD(INDEX(기본자료!$K$2:$K$1001,$AB196),10000)/100)&lt;=12,MOD(INDEX(기본자료!$K$2:$K$1001,$AB196),100)&gt;=1,MOD(INDEX(기본자료!$K$2:$K$1001,$AB196),100)&lt;=31),DATE(INT(INDEX(기본자료!$K$2:$K$1001,$AB196)/10000),INT(MOD(INDEX(기본자료!$K$2:$K$1001,$AB196),10000)/100),MOD(INDEX(기본자료!$K$2:$K$1001,$AB196),100)),INDEX(기본자료!$K$2:$K$1001,$AB196)&amp;"")))))</f>
        <v/>
      </c>
      <c r="F196" s="10">
        <f>IF($AB196="","",IF(INDEX(기본자료!$D$2:$D$1001,$AB196)="","",INDEX(기본자료!$D$2:$D$1001,$AB196)))</f>
        <v/>
      </c>
      <c r="G196" s="10">
        <f>IF($AB196="","",IF(INDEX(기본자료!$E$2:$E$1001,$AB196)="","",INDEX(기본자료!$E$2:$E$1001,$AB196)))</f>
        <v/>
      </c>
      <c r="H196" s="10">
        <f>IF($AB196="","",IF(INDEX(기본자료!$F$2:$F$1001,$AB196)="","",INDEX(기본자료!$F$2:$F$1001,$AB196)))</f>
        <v/>
      </c>
      <c r="I196" s="11">
        <f>IF($AB196="","",IF(INDEX(기본자료!$G$2:$G$1001,$AB196)="","",IF(NOT(ISNUMBER(INDEX(기본자료!$G$2:$G$1001,$AB196))),INDEX(기본자료!$G$2:$G$1001,$AB196),IF(INDEX(기본자료!$G$2:$G$1001,$AB196)&lt;1000000,INDEX(기본자료!$G$2:$G$1001,$AB196),IF(AND(INDEX(기본자료!$G$2:$G$1001,$AB196)&gt;=10000101,INT(MOD(INDEX(기본자료!$G$2:$G$1001,$AB196),10000)/100)&gt;=1,INT(MOD(INDEX(기본자료!$G$2:$G$1001,$AB196),10000)/100)&lt;=12,MOD(INDEX(기본자료!$G$2:$G$1001,$AB196),100)&gt;=1,MOD(INDEX(기본자료!$G$2:$G$1001,$AB196),100)&lt;=31),DATE(INT(INDEX(기본자료!$G$2:$G$1001,$AB196)/10000),INT(MOD(INDEX(기본자료!$G$2:$G$1001,$AB196),10000)/100),MOD(INDEX(기본자료!$G$2:$G$1001,$AB196),100)),INDEX(기본자료!$G$2:$G$1001,$AB196)&amp;"")))))</f>
        <v/>
      </c>
      <c r="J196" s="10">
        <f>IF($AB196="","",IF(INDEX(기본자료!$H$2:$H$1001,$AB196)="","",INDEX(기본자료!$H$2:$H$1001,$AB196)))</f>
        <v/>
      </c>
      <c r="K196" s="10">
        <f>IF($AB196="","",IF(INDEX(기본자료!$I$2:$I$1001,$AB196)="","",INDEX(기본자료!$I$2:$I$1001,$AB196)))</f>
        <v/>
      </c>
      <c r="L196" s="10">
        <f>IF($AB196="","",IF(INDEX(기본자료!$A$2:$A$1001,$AB196)="","",INDEX(기본자료!$A$2:$A$1001,$AB196)))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파견수련계획!$AB$4:$AB$803,$AK196),OR(NOT(ISNUMBER(INDEX(파견수련계획!$AC$4:$AC$803,$AK196))),TODAY()&lt;=INDEX(파견수련계획!$AC$4:$AC$803,$AK196))),"다기관",IF($AF196="","",INDEX(파견수련계획!$T$4:$T$803,$AF196))),IF($AF196="","",INDEX(파견수련계획!$T$4:$T$803,$AF196))))</f>
        <v/>
      </c>
      <c r="Q196" s="10">
        <f>IF($AF196="","",INDEX(파견수련계획!$S$4:$S$803,$AF196))</f>
        <v/>
      </c>
      <c r="R196" s="10">
        <f>IF($AF196="","",INDEX(파견수련계획!$U$4:$U$803,$AF196))</f>
        <v/>
      </c>
      <c r="S196" s="11">
        <f>IF($AF196="","",IF(INDEX(파견수련계획!$H$4:$H$803,$AF196)="","",INDEX(파견수련계획!$H$4:$H$803,$AF196)))</f>
        <v/>
      </c>
      <c r="T196" s="11">
        <f>IF($AF196="","",IF(INDEX(파견수련계획!$I$4:$I$803,$AF196)="","",INDEX(파견수련계획!$I$4:$I$803,$AF196)))</f>
        <v/>
      </c>
      <c r="U196" s="10">
        <f>IF($AF196="","",INDEX(파견수련계획!$X$4:$X$803,$AF196))</f>
        <v/>
      </c>
      <c r="V196" s="17">
        <f>IF($AF196="","",INDEX(파견수련계획!$V$4:$V$803,$AF196))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IF(OR($B196="",TRIM($J196&amp;"")=""),"",SUMPRODUCT((파견수련계획!$Q$4:$Q$803=TRIM($J196&amp;""))*파견수련계획!$W$4:$W$803))</f>
        <v/>
      </c>
      <c r="Y196" s="10">
        <f>IF($B196="","",IF($AG196="","",IF(IF(TRIM($J196&amp;"")="",0,SUMPRODUCT((파견수련계획!$Q$4:$Q$803=TRIM($J196&amp;""))*파견수련계획!$AD$4:$AD$803))&gt;0,$AE196,IF(N($X196)&lt;=0,$AG196,IF($AH196+$AI196=DAY(EOMONTH(요약!$B$3,0)),IF(AND($AH196&gt;=요약!$E$3,$AI196&lt;요약!$E$3),"서울병원",IF(AND($AI196&gt;=요약!$E$3,$AH196&lt;요약!$E$3),"구리병원","⚠15일 판정불가(서울 "&amp;$AH196&amp;"일/구리 "&amp;$AI196&amp;"일)")),IF($AJ196="",$AE196,IF(INDEX(파견수련계획!$T$4:$T$803,$AJ196)="통합수련",INDEX(파견수련계획!$S$4:$S$803,$AJ196),$AE196)))))))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입력",IF(IF(TRIM($J196&amp;"")="",0,SUMPRODUCT((파견수련계획!$Q$4:$Q$803=TRIM($J196&amp;""))*(파견수련계획!$AA$4:$AA$803&lt;&gt;"")))&gt;0,"파견수련계획 입력오류 확인",IF(LEFT($Y196,1)="⚠","서울·구리 15일 판정 불가(양쪽 모두 이상/미만)",IF(IF($AC196="",0,N(INDEX(인턴근무계획!$T$3:$T$402,$AC196)))&gt;0,"인턴계획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IF($B196="","",IFERROR(MATCH($B196,기본자료!$B$2:$B$1001,0),IFERROR(MATCH($B196&amp;"",기본자료!$B$2:$B$1001,0),IFERROR(MATCH(VALUE($B196),기본자료!$B$2:$B$1001,0),""))))</f>
        <v/>
      </c>
      <c r="AC196" s="10">
        <f>IF($B196="","",IFERROR(MATCH($B196,인턴근무계획!$D$3:$D$402,0),IFERROR(MATCH($B196&amp;"",인턴근무계획!$D$3:$D$402,0),IFERROR(MATCH(VALUE($B196),인턴근무계획!$D$3:$D$402,0),""))))</f>
        <v/>
      </c>
      <c r="AD196" s="10">
        <f>IF(OR($AC196="",인턴현황!$G$3=""),"",INDEX(인턴근무계획!$M$3:$R$402,$AC196,인턴현황!$G$3)&amp;"")</f>
        <v/>
      </c>
      <c r="AE196" s="10">
        <f>IF($B196="","",IF($M196&lt;&gt;"",$M196,IF($AF196&lt;&gt;"",IF(LEFT(INDEX(파견수련계획!$R$4:$R$803,$AF196),1)&lt;&gt;"⚠",INDEX(파견수련계획!$R$4:$R$803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$803,0),IFERROR(MATCH(TRIM($J196&amp;"")&amp;"|파견예정",파견수련계획!$Y$4:$Y$803,0),IFERROR(MATCH(TRIM($J196&amp;"")&amp;"|파견종료",파견수련계획!$Y$4:$Y$803,0),""))))</f>
        <v/>
      </c>
      <c r="AG196" s="10">
        <f>IF($B196="","",IF(AND(IF(OR($AC196="",인턴현황!$K$2=""),"",INDEX(인턴근무계획!$M$3:$R$402,$AC196,인턴현황!$K$2)&amp;"")&lt;&gt;"",LEFT(IF(OR($AC196="",인턴현황!$K$2=""),"",INDEX(인턴근무계획!$M$3:$R$402,$AC196,인턴현황!$K$2)&amp;""),1)&lt;&gt;"⚠"),LEFT(IF(OR($AC196="",인턴현황!$K$2=""),"",INDEX(인턴근무계획!$M$3:$R$402,$AC196,인턴현황!$K$2)&amp;""),FIND(" ",IF(OR($AC196="",인턴현황!$K$2=""),"",INDEX(인턴근무계획!$M$3:$R$402,$AC196,인턴현황!$K$2)&amp;""))-1),$AE196))</f>
        <v/>
      </c>
      <c r="AH196" s="17">
        <f>IF($B196="","",IF(TRIM($J196&amp;"")="",0,SUMPRODUCT((파견수련계획!$Q$4:$Q$803=TRIM($J196&amp;""))*(파견수련계획!$S$4:$S$803="서울병원")*파견수련계획!$W$4:$W$803))+IF($AG196="서울병원",MAX(0,DAY(EOMONTH(요약!$B$3,0))-N($X196)),0))</f>
        <v/>
      </c>
      <c r="AI196" s="17">
        <f>IF($B196="","",IF(TRIM($J196&amp;"")="",0,SUMPRODUCT((파견수련계획!$Q$4:$Q$803=TRIM($J196&amp;""))*(파견수련계획!$S$4:$S$803="구리병원")*파견수련계획!$W$4:$W$803))+IF($AG196="구리병원",MAX(0,DAY(EOMONTH(요약!$B$3,0))-N($X196)),0))</f>
        <v/>
      </c>
      <c r="AJ196" s="10">
        <f>IF(OR($B196="",TRIM($J196&amp;"")=""),"",IFERROR(MATCH(TRIM($J196&amp;"")&amp;"|월",파견수련계획!$Z$4:$Z$803,0),""))</f>
        <v/>
      </c>
      <c r="AK196" s="10">
        <f>IF(OR($B196="",TRIM($J196&amp;"")=""),"",IFERROR(MATCH(TRIM($J196&amp;"")&amp;"|다기관",파견수련계획!$AE$4:$AE$803,0),""))</f>
        <v/>
      </c>
      <c r="AL196" s="10">
        <f>IF($AK196="","","다기관 "&amp;TEXT(INDEX(파견수련계획!$AB$4:$AB$803,$AK196),"yyyy-mm-dd")&amp;"~"&amp;IF(ISNUMBER(INDEX(파견수련계획!$AC$4:$AC$803,$AK196)),TEXT(INDEX(파견수련계획!$AC$4:$AC$803,$AK196),"yyyy-mm-dd"),""))</f>
        <v/>
      </c>
    </row>
    <row r="197">
      <c r="A197" s="10">
        <f>IF(B197="","",ROW()-1)</f>
        <v/>
      </c>
      <c r="B197" s="18" t="n"/>
      <c r="C197" s="10">
        <f>IF($AB197="","",IF(INDEX(기본자료!$C$2:$C$1001,$AB197)="","",INDEX(기본자료!$C$2:$C$1001,$AB197)))</f>
        <v/>
      </c>
      <c r="D197" s="10">
        <f>IF($AB197="","",IF(INDEX(기본자료!$J$2:$J$1001,$AB197)="","",INDEX(기본자료!$J$2:$J$1001,$AB197)))</f>
        <v/>
      </c>
      <c r="E197" s="11">
        <f>IF($AB197="","",IF(INDEX(기본자료!$K$2:$K$1001,$AB197)="","",IF(NOT(ISNUMBER(INDEX(기본자료!$K$2:$K$1001,$AB197))),INDEX(기본자료!$K$2:$K$1001,$AB197),IF(INDEX(기본자료!$K$2:$K$1001,$AB197)&lt;1000000,INDEX(기본자료!$K$2:$K$1001,$AB197),IF(AND(INDEX(기본자료!$K$2:$K$1001,$AB197)&gt;=10000101,INT(MOD(INDEX(기본자료!$K$2:$K$1001,$AB197),10000)/100)&gt;=1,INT(MOD(INDEX(기본자료!$K$2:$K$1001,$AB197),10000)/100)&lt;=12,MOD(INDEX(기본자료!$K$2:$K$1001,$AB197),100)&gt;=1,MOD(INDEX(기본자료!$K$2:$K$1001,$AB197),100)&lt;=31),DATE(INT(INDEX(기본자료!$K$2:$K$1001,$AB197)/10000),INT(MOD(INDEX(기본자료!$K$2:$K$1001,$AB197),10000)/100),MOD(INDEX(기본자료!$K$2:$K$1001,$AB197),100)),INDEX(기본자료!$K$2:$K$1001,$AB197)&amp;"")))))</f>
        <v/>
      </c>
      <c r="F197" s="10">
        <f>IF($AB197="","",IF(INDEX(기본자료!$D$2:$D$1001,$AB197)="","",INDEX(기본자료!$D$2:$D$1001,$AB197)))</f>
        <v/>
      </c>
      <c r="G197" s="10">
        <f>IF($AB197="","",IF(INDEX(기본자료!$E$2:$E$1001,$AB197)="","",INDEX(기본자료!$E$2:$E$1001,$AB197)))</f>
        <v/>
      </c>
      <c r="H197" s="10">
        <f>IF($AB197="","",IF(INDEX(기본자료!$F$2:$F$1001,$AB197)="","",INDEX(기본자료!$F$2:$F$1001,$AB197)))</f>
        <v/>
      </c>
      <c r="I197" s="11">
        <f>IF($AB197="","",IF(INDEX(기본자료!$G$2:$G$1001,$AB197)="","",IF(NOT(ISNUMBER(INDEX(기본자료!$G$2:$G$1001,$AB197))),INDEX(기본자료!$G$2:$G$1001,$AB197),IF(INDEX(기본자료!$G$2:$G$1001,$AB197)&lt;1000000,INDEX(기본자료!$G$2:$G$1001,$AB197),IF(AND(INDEX(기본자료!$G$2:$G$1001,$AB197)&gt;=10000101,INT(MOD(INDEX(기본자료!$G$2:$G$1001,$AB197),10000)/100)&gt;=1,INT(MOD(INDEX(기본자료!$G$2:$G$1001,$AB197),10000)/100)&lt;=12,MOD(INDEX(기본자료!$G$2:$G$1001,$AB197),100)&gt;=1,MOD(INDEX(기본자료!$G$2:$G$1001,$AB197),100)&lt;=31),DATE(INT(INDEX(기본자료!$G$2:$G$1001,$AB197)/10000),INT(MOD(INDEX(기본자료!$G$2:$G$1001,$AB197),10000)/100),MOD(INDEX(기본자료!$G$2:$G$1001,$AB197),100)),INDEX(기본자료!$G$2:$G$1001,$AB197)&amp;"")))))</f>
        <v/>
      </c>
      <c r="J197" s="10">
        <f>IF($AB197="","",IF(INDEX(기본자료!$H$2:$H$1001,$AB197)="","",INDEX(기본자료!$H$2:$H$1001,$AB197)))</f>
        <v/>
      </c>
      <c r="K197" s="10">
        <f>IF($AB197="","",IF(INDEX(기본자료!$I$2:$I$1001,$AB197)="","",INDEX(기본자료!$I$2:$I$1001,$AB197)))</f>
        <v/>
      </c>
      <c r="L197" s="10">
        <f>IF($AB197="","",IF(INDEX(기본자료!$A$2:$A$1001,$AB197)="","",INDEX(기본자료!$A$2:$A$1001,$AB197)))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파견수련계획!$AB$4:$AB$803,$AK197),OR(NOT(ISNUMBER(INDEX(파견수련계획!$AC$4:$AC$803,$AK197))),TODAY()&lt;=INDEX(파견수련계획!$AC$4:$AC$803,$AK197))),"다기관",IF($AF197="","",INDEX(파견수련계획!$T$4:$T$803,$AF197))),IF($AF197="","",INDEX(파견수련계획!$T$4:$T$803,$AF197))))</f>
        <v/>
      </c>
      <c r="Q197" s="10">
        <f>IF($AF197="","",INDEX(파견수련계획!$S$4:$S$803,$AF197))</f>
        <v/>
      </c>
      <c r="R197" s="10">
        <f>IF($AF197="","",INDEX(파견수련계획!$U$4:$U$803,$AF197))</f>
        <v/>
      </c>
      <c r="S197" s="11">
        <f>IF($AF197="","",IF(INDEX(파견수련계획!$H$4:$H$803,$AF197)="","",INDEX(파견수련계획!$H$4:$H$803,$AF197)))</f>
        <v/>
      </c>
      <c r="T197" s="11">
        <f>IF($AF197="","",IF(INDEX(파견수련계획!$I$4:$I$803,$AF197)="","",INDEX(파견수련계획!$I$4:$I$803,$AF197)))</f>
        <v/>
      </c>
      <c r="U197" s="10">
        <f>IF($AF197="","",INDEX(파견수련계획!$X$4:$X$803,$AF197))</f>
        <v/>
      </c>
      <c r="V197" s="17">
        <f>IF($AF197="","",INDEX(파견수련계획!$V$4:$V$803,$AF197))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IF(OR($B197="",TRIM($J197&amp;"")=""),"",SUMPRODUCT((파견수련계획!$Q$4:$Q$803=TRIM($J197&amp;""))*파견수련계획!$W$4:$W$803))</f>
        <v/>
      </c>
      <c r="Y197" s="10">
        <f>IF($B197="","",IF($AG197="","",IF(IF(TRIM($J197&amp;"")="",0,SUMPRODUCT((파견수련계획!$Q$4:$Q$803=TRIM($J197&amp;""))*파견수련계획!$AD$4:$AD$803))&gt;0,$AE197,IF(N($X197)&lt;=0,$AG197,IF($AH197+$AI197=DAY(EOMONTH(요약!$B$3,0)),IF(AND($AH197&gt;=요약!$E$3,$AI197&lt;요약!$E$3),"서울병원",IF(AND($AI197&gt;=요약!$E$3,$AH197&lt;요약!$E$3),"구리병원","⚠15일 판정불가(서울 "&amp;$AH197&amp;"일/구리 "&amp;$AI197&amp;"일)")),IF($AJ197="",$AE197,IF(INDEX(파견수련계획!$T$4:$T$803,$AJ197)="통합수련",INDEX(파견수련계획!$S$4:$S$803,$AJ197),$AE197)))))))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입력",IF(IF(TRIM($J197&amp;"")="",0,SUMPRODUCT((파견수련계획!$Q$4:$Q$803=TRIM($J197&amp;""))*(파견수련계획!$AA$4:$AA$803&lt;&gt;"")))&gt;0,"파견수련계획 입력오류 확인",IF(LEFT($Y197,1)="⚠","서울·구리 15일 판정 불가(양쪽 모두 이상/미만)",IF(IF($AC197="",0,N(INDEX(인턴근무계획!$T$3:$T$402,$AC197)))&gt;0,"인턴계획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IF($B197="","",IFERROR(MATCH($B197,기본자료!$B$2:$B$1001,0),IFERROR(MATCH($B197&amp;"",기본자료!$B$2:$B$1001,0),IFERROR(MATCH(VALUE($B197),기본자료!$B$2:$B$1001,0),""))))</f>
        <v/>
      </c>
      <c r="AC197" s="10">
        <f>IF($B197="","",IFERROR(MATCH($B197,인턴근무계획!$D$3:$D$402,0),IFERROR(MATCH($B197&amp;"",인턴근무계획!$D$3:$D$402,0),IFERROR(MATCH(VALUE($B197),인턴근무계획!$D$3:$D$402,0),""))))</f>
        <v/>
      </c>
      <c r="AD197" s="10">
        <f>IF(OR($AC197="",인턴현황!$G$3=""),"",INDEX(인턴근무계획!$M$3:$R$402,$AC197,인턴현황!$G$3)&amp;"")</f>
        <v/>
      </c>
      <c r="AE197" s="10">
        <f>IF($B197="","",IF($M197&lt;&gt;"",$M197,IF($AF197&lt;&gt;"",IF(LEFT(INDEX(파견수련계획!$R$4:$R$803,$AF197),1)&lt;&gt;"⚠",INDEX(파견수련계획!$R$4:$R$803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$803,0),IFERROR(MATCH(TRIM($J197&amp;"")&amp;"|파견예정",파견수련계획!$Y$4:$Y$803,0),IFERROR(MATCH(TRIM($J197&amp;"")&amp;"|파견종료",파견수련계획!$Y$4:$Y$803,0),""))))</f>
        <v/>
      </c>
      <c r="AG197" s="10">
        <f>IF($B197="","",IF(AND(IF(OR($AC197="",인턴현황!$K$2=""),"",INDEX(인턴근무계획!$M$3:$R$402,$AC197,인턴현황!$K$2)&amp;"")&lt;&gt;"",LEFT(IF(OR($AC197="",인턴현황!$K$2=""),"",INDEX(인턴근무계획!$M$3:$R$402,$AC197,인턴현황!$K$2)&amp;""),1)&lt;&gt;"⚠"),LEFT(IF(OR($AC197="",인턴현황!$K$2=""),"",INDEX(인턴근무계획!$M$3:$R$402,$AC197,인턴현황!$K$2)&amp;""),FIND(" ",IF(OR($AC197="",인턴현황!$K$2=""),"",INDEX(인턴근무계획!$M$3:$R$402,$AC197,인턴현황!$K$2)&amp;""))-1),$AE197))</f>
        <v/>
      </c>
      <c r="AH197" s="17">
        <f>IF($B197="","",IF(TRIM($J197&amp;"")="",0,SUMPRODUCT((파견수련계획!$Q$4:$Q$803=TRIM($J197&amp;""))*(파견수련계획!$S$4:$S$803="서울병원")*파견수련계획!$W$4:$W$803))+IF($AG197="서울병원",MAX(0,DAY(EOMONTH(요약!$B$3,0))-N($X197)),0))</f>
        <v/>
      </c>
      <c r="AI197" s="17">
        <f>IF($B197="","",IF(TRIM($J197&amp;"")="",0,SUMPRODUCT((파견수련계획!$Q$4:$Q$803=TRIM($J197&amp;""))*(파견수련계획!$S$4:$S$803="구리병원")*파견수련계획!$W$4:$W$803))+IF($AG197="구리병원",MAX(0,DAY(EOMONTH(요약!$B$3,0))-N($X197)),0))</f>
        <v/>
      </c>
      <c r="AJ197" s="10">
        <f>IF(OR($B197="",TRIM($J197&amp;"")=""),"",IFERROR(MATCH(TRIM($J197&amp;"")&amp;"|월",파견수련계획!$Z$4:$Z$803,0),""))</f>
        <v/>
      </c>
      <c r="AK197" s="10">
        <f>IF(OR($B197="",TRIM($J197&amp;"")=""),"",IFERROR(MATCH(TRIM($J197&amp;"")&amp;"|다기관",파견수련계획!$AE$4:$AE$803,0),""))</f>
        <v/>
      </c>
      <c r="AL197" s="10">
        <f>IF($AK197="","","다기관 "&amp;TEXT(INDEX(파견수련계획!$AB$4:$AB$803,$AK197),"yyyy-mm-dd")&amp;"~"&amp;IF(ISNUMBER(INDEX(파견수련계획!$AC$4:$AC$803,$AK197)),TEXT(INDEX(파견수련계획!$AC$4:$AC$803,$AK197),"yyyy-mm-dd"),""))</f>
        <v/>
      </c>
    </row>
    <row r="198">
      <c r="A198" s="10">
        <f>IF(B198="","",ROW()-1)</f>
        <v/>
      </c>
      <c r="B198" s="18" t="n"/>
      <c r="C198" s="10">
        <f>IF($AB198="","",IF(INDEX(기본자료!$C$2:$C$1001,$AB198)="","",INDEX(기본자료!$C$2:$C$1001,$AB198)))</f>
        <v/>
      </c>
      <c r="D198" s="10">
        <f>IF($AB198="","",IF(INDEX(기본자료!$J$2:$J$1001,$AB198)="","",INDEX(기본자료!$J$2:$J$1001,$AB198)))</f>
        <v/>
      </c>
      <c r="E198" s="11">
        <f>IF($AB198="","",IF(INDEX(기본자료!$K$2:$K$1001,$AB198)="","",IF(NOT(ISNUMBER(INDEX(기본자료!$K$2:$K$1001,$AB198))),INDEX(기본자료!$K$2:$K$1001,$AB198),IF(INDEX(기본자료!$K$2:$K$1001,$AB198)&lt;1000000,INDEX(기본자료!$K$2:$K$1001,$AB198),IF(AND(INDEX(기본자료!$K$2:$K$1001,$AB198)&gt;=10000101,INT(MOD(INDEX(기본자료!$K$2:$K$1001,$AB198),10000)/100)&gt;=1,INT(MOD(INDEX(기본자료!$K$2:$K$1001,$AB198),10000)/100)&lt;=12,MOD(INDEX(기본자료!$K$2:$K$1001,$AB198),100)&gt;=1,MOD(INDEX(기본자료!$K$2:$K$1001,$AB198),100)&lt;=31),DATE(INT(INDEX(기본자료!$K$2:$K$1001,$AB198)/10000),INT(MOD(INDEX(기본자료!$K$2:$K$1001,$AB198),10000)/100),MOD(INDEX(기본자료!$K$2:$K$1001,$AB198),100)),INDEX(기본자료!$K$2:$K$1001,$AB198)&amp;"")))))</f>
        <v/>
      </c>
      <c r="F198" s="10">
        <f>IF($AB198="","",IF(INDEX(기본자료!$D$2:$D$1001,$AB198)="","",INDEX(기본자료!$D$2:$D$1001,$AB198)))</f>
        <v/>
      </c>
      <c r="G198" s="10">
        <f>IF($AB198="","",IF(INDEX(기본자료!$E$2:$E$1001,$AB198)="","",INDEX(기본자료!$E$2:$E$1001,$AB198)))</f>
        <v/>
      </c>
      <c r="H198" s="10">
        <f>IF($AB198="","",IF(INDEX(기본자료!$F$2:$F$1001,$AB198)="","",INDEX(기본자료!$F$2:$F$1001,$AB198)))</f>
        <v/>
      </c>
      <c r="I198" s="11">
        <f>IF($AB198="","",IF(INDEX(기본자료!$G$2:$G$1001,$AB198)="","",IF(NOT(ISNUMBER(INDEX(기본자료!$G$2:$G$1001,$AB198))),INDEX(기본자료!$G$2:$G$1001,$AB198),IF(INDEX(기본자료!$G$2:$G$1001,$AB198)&lt;1000000,INDEX(기본자료!$G$2:$G$1001,$AB198),IF(AND(INDEX(기본자료!$G$2:$G$1001,$AB198)&gt;=10000101,INT(MOD(INDEX(기본자료!$G$2:$G$1001,$AB198),10000)/100)&gt;=1,INT(MOD(INDEX(기본자료!$G$2:$G$1001,$AB198),10000)/100)&lt;=12,MOD(INDEX(기본자료!$G$2:$G$1001,$AB198),100)&gt;=1,MOD(INDEX(기본자료!$G$2:$G$1001,$AB198),100)&lt;=31),DATE(INT(INDEX(기본자료!$G$2:$G$1001,$AB198)/10000),INT(MOD(INDEX(기본자료!$G$2:$G$1001,$AB198),10000)/100),MOD(INDEX(기본자료!$G$2:$G$1001,$AB198),100)),INDEX(기본자료!$G$2:$G$1001,$AB198)&amp;"")))))</f>
        <v/>
      </c>
      <c r="J198" s="10">
        <f>IF($AB198="","",IF(INDEX(기본자료!$H$2:$H$1001,$AB198)="","",INDEX(기본자료!$H$2:$H$1001,$AB198)))</f>
        <v/>
      </c>
      <c r="K198" s="10">
        <f>IF($AB198="","",IF(INDEX(기본자료!$I$2:$I$1001,$AB198)="","",INDEX(기본자료!$I$2:$I$1001,$AB198)))</f>
        <v/>
      </c>
      <c r="L198" s="10">
        <f>IF($AB198="","",IF(INDEX(기본자료!$A$2:$A$1001,$AB198)="","",INDEX(기본자료!$A$2:$A$1001,$AB198)))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파견수련계획!$AB$4:$AB$803,$AK198),OR(NOT(ISNUMBER(INDEX(파견수련계획!$AC$4:$AC$803,$AK198))),TODAY()&lt;=INDEX(파견수련계획!$AC$4:$AC$803,$AK198))),"다기관",IF($AF198="","",INDEX(파견수련계획!$T$4:$T$803,$AF198))),IF($AF198="","",INDEX(파견수련계획!$T$4:$T$803,$AF198))))</f>
        <v/>
      </c>
      <c r="Q198" s="10">
        <f>IF($AF198="","",INDEX(파견수련계획!$S$4:$S$803,$AF198))</f>
        <v/>
      </c>
      <c r="R198" s="10">
        <f>IF($AF198="","",INDEX(파견수련계획!$U$4:$U$803,$AF198))</f>
        <v/>
      </c>
      <c r="S198" s="11">
        <f>IF($AF198="","",IF(INDEX(파견수련계획!$H$4:$H$803,$AF198)="","",INDEX(파견수련계획!$H$4:$H$803,$AF198)))</f>
        <v/>
      </c>
      <c r="T198" s="11">
        <f>IF($AF198="","",IF(INDEX(파견수련계획!$I$4:$I$803,$AF198)="","",INDEX(파견수련계획!$I$4:$I$803,$AF198)))</f>
        <v/>
      </c>
      <c r="U198" s="10">
        <f>IF($AF198="","",INDEX(파견수련계획!$X$4:$X$803,$AF198))</f>
        <v/>
      </c>
      <c r="V198" s="17">
        <f>IF($AF198="","",INDEX(파견수련계획!$V$4:$V$803,$AF198))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IF(OR($B198="",TRIM($J198&amp;"")=""),"",SUMPRODUCT((파견수련계획!$Q$4:$Q$803=TRIM($J198&amp;""))*파견수련계획!$W$4:$W$803))</f>
        <v/>
      </c>
      <c r="Y198" s="10">
        <f>IF($B198="","",IF($AG198="","",IF(IF(TRIM($J198&amp;"")="",0,SUMPRODUCT((파견수련계획!$Q$4:$Q$803=TRIM($J198&amp;""))*파견수련계획!$AD$4:$AD$803))&gt;0,$AE198,IF(N($X198)&lt;=0,$AG198,IF($AH198+$AI198=DAY(EOMONTH(요약!$B$3,0)),IF(AND($AH198&gt;=요약!$E$3,$AI198&lt;요약!$E$3),"서울병원",IF(AND($AI198&gt;=요약!$E$3,$AH198&lt;요약!$E$3),"구리병원","⚠15일 판정불가(서울 "&amp;$AH198&amp;"일/구리 "&amp;$AI198&amp;"일)")),IF($AJ198="",$AE198,IF(INDEX(파견수련계획!$T$4:$T$803,$AJ198)="통합수련",INDEX(파견수련계획!$S$4:$S$803,$AJ198),$AE198)))))))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입력",IF(IF(TRIM($J198&amp;"")="",0,SUMPRODUCT((파견수련계획!$Q$4:$Q$803=TRIM($J198&amp;""))*(파견수련계획!$AA$4:$AA$803&lt;&gt;"")))&gt;0,"파견수련계획 입력오류 확인",IF(LEFT($Y198,1)="⚠","서울·구리 15일 판정 불가(양쪽 모두 이상/미만)",IF(IF($AC198="",0,N(INDEX(인턴근무계획!$T$3:$T$402,$AC198)))&gt;0,"인턴계획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IF($B198="","",IFERROR(MATCH($B198,기본자료!$B$2:$B$1001,0),IFERROR(MATCH($B198&amp;"",기본자료!$B$2:$B$1001,0),IFERROR(MATCH(VALUE($B198),기본자료!$B$2:$B$1001,0),""))))</f>
        <v/>
      </c>
      <c r="AC198" s="10">
        <f>IF($B198="","",IFERROR(MATCH($B198,인턴근무계획!$D$3:$D$402,0),IFERROR(MATCH($B198&amp;"",인턴근무계획!$D$3:$D$402,0),IFERROR(MATCH(VALUE($B198),인턴근무계획!$D$3:$D$402,0),""))))</f>
        <v/>
      </c>
      <c r="AD198" s="10">
        <f>IF(OR($AC198="",인턴현황!$G$3=""),"",INDEX(인턴근무계획!$M$3:$R$402,$AC198,인턴현황!$G$3)&amp;"")</f>
        <v/>
      </c>
      <c r="AE198" s="10">
        <f>IF($B198="","",IF($M198&lt;&gt;"",$M198,IF($AF198&lt;&gt;"",IF(LEFT(INDEX(파견수련계획!$R$4:$R$803,$AF198),1)&lt;&gt;"⚠",INDEX(파견수련계획!$R$4:$R$803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$803,0),IFERROR(MATCH(TRIM($J198&amp;"")&amp;"|파견예정",파견수련계획!$Y$4:$Y$803,0),IFERROR(MATCH(TRIM($J198&amp;"")&amp;"|파견종료",파견수련계획!$Y$4:$Y$803,0),""))))</f>
        <v/>
      </c>
      <c r="AG198" s="10">
        <f>IF($B198="","",IF(AND(IF(OR($AC198="",인턴현황!$K$2=""),"",INDEX(인턴근무계획!$M$3:$R$402,$AC198,인턴현황!$K$2)&amp;"")&lt;&gt;"",LEFT(IF(OR($AC198="",인턴현황!$K$2=""),"",INDEX(인턴근무계획!$M$3:$R$402,$AC198,인턴현황!$K$2)&amp;""),1)&lt;&gt;"⚠"),LEFT(IF(OR($AC198="",인턴현황!$K$2=""),"",INDEX(인턴근무계획!$M$3:$R$402,$AC198,인턴현황!$K$2)&amp;""),FIND(" ",IF(OR($AC198="",인턴현황!$K$2=""),"",INDEX(인턴근무계획!$M$3:$R$402,$AC198,인턴현황!$K$2)&amp;""))-1),$AE198))</f>
        <v/>
      </c>
      <c r="AH198" s="17">
        <f>IF($B198="","",IF(TRIM($J198&amp;"")="",0,SUMPRODUCT((파견수련계획!$Q$4:$Q$803=TRIM($J198&amp;""))*(파견수련계획!$S$4:$S$803="서울병원")*파견수련계획!$W$4:$W$803))+IF($AG198="서울병원",MAX(0,DAY(EOMONTH(요약!$B$3,0))-N($X198)),0))</f>
        <v/>
      </c>
      <c r="AI198" s="17">
        <f>IF($B198="","",IF(TRIM($J198&amp;"")="",0,SUMPRODUCT((파견수련계획!$Q$4:$Q$803=TRIM($J198&amp;""))*(파견수련계획!$S$4:$S$803="구리병원")*파견수련계획!$W$4:$W$803))+IF($AG198="구리병원",MAX(0,DAY(EOMONTH(요약!$B$3,0))-N($X198)),0))</f>
        <v/>
      </c>
      <c r="AJ198" s="10">
        <f>IF(OR($B198="",TRIM($J198&amp;"")=""),"",IFERROR(MATCH(TRIM($J198&amp;"")&amp;"|월",파견수련계획!$Z$4:$Z$803,0),""))</f>
        <v/>
      </c>
      <c r="AK198" s="10">
        <f>IF(OR($B198="",TRIM($J198&amp;"")=""),"",IFERROR(MATCH(TRIM($J198&amp;"")&amp;"|다기관",파견수련계획!$AE$4:$AE$803,0),""))</f>
        <v/>
      </c>
      <c r="AL198" s="10">
        <f>IF($AK198="","","다기관 "&amp;TEXT(INDEX(파견수련계획!$AB$4:$AB$803,$AK198),"yyyy-mm-dd")&amp;"~"&amp;IF(ISNUMBER(INDEX(파견수련계획!$AC$4:$AC$803,$AK198)),TEXT(INDEX(파견수련계획!$AC$4:$AC$803,$AK198),"yyyy-mm-dd"),""))</f>
        <v/>
      </c>
    </row>
    <row r="199">
      <c r="A199" s="10">
        <f>IF(B199="","",ROW()-1)</f>
        <v/>
      </c>
      <c r="B199" s="18" t="n"/>
      <c r="C199" s="10">
        <f>IF($AB199="","",IF(INDEX(기본자료!$C$2:$C$1001,$AB199)="","",INDEX(기본자료!$C$2:$C$1001,$AB199)))</f>
        <v/>
      </c>
      <c r="D199" s="10">
        <f>IF($AB199="","",IF(INDEX(기본자료!$J$2:$J$1001,$AB199)="","",INDEX(기본자료!$J$2:$J$1001,$AB199)))</f>
        <v/>
      </c>
      <c r="E199" s="11">
        <f>IF($AB199="","",IF(INDEX(기본자료!$K$2:$K$1001,$AB199)="","",IF(NOT(ISNUMBER(INDEX(기본자료!$K$2:$K$1001,$AB199))),INDEX(기본자료!$K$2:$K$1001,$AB199),IF(INDEX(기본자료!$K$2:$K$1001,$AB199)&lt;1000000,INDEX(기본자료!$K$2:$K$1001,$AB199),IF(AND(INDEX(기본자료!$K$2:$K$1001,$AB199)&gt;=10000101,INT(MOD(INDEX(기본자료!$K$2:$K$1001,$AB199),10000)/100)&gt;=1,INT(MOD(INDEX(기본자료!$K$2:$K$1001,$AB199),10000)/100)&lt;=12,MOD(INDEX(기본자료!$K$2:$K$1001,$AB199),100)&gt;=1,MOD(INDEX(기본자료!$K$2:$K$1001,$AB199),100)&lt;=31),DATE(INT(INDEX(기본자료!$K$2:$K$1001,$AB199)/10000),INT(MOD(INDEX(기본자료!$K$2:$K$1001,$AB199),10000)/100),MOD(INDEX(기본자료!$K$2:$K$1001,$AB199),100)),INDEX(기본자료!$K$2:$K$1001,$AB199)&amp;"")))))</f>
        <v/>
      </c>
      <c r="F199" s="10">
        <f>IF($AB199="","",IF(INDEX(기본자료!$D$2:$D$1001,$AB199)="","",INDEX(기본자료!$D$2:$D$1001,$AB199)))</f>
        <v/>
      </c>
      <c r="G199" s="10">
        <f>IF($AB199="","",IF(INDEX(기본자료!$E$2:$E$1001,$AB199)="","",INDEX(기본자료!$E$2:$E$1001,$AB199)))</f>
        <v/>
      </c>
      <c r="H199" s="10">
        <f>IF($AB199="","",IF(INDEX(기본자료!$F$2:$F$1001,$AB199)="","",INDEX(기본자료!$F$2:$F$1001,$AB199)))</f>
        <v/>
      </c>
      <c r="I199" s="11">
        <f>IF($AB199="","",IF(INDEX(기본자료!$G$2:$G$1001,$AB199)="","",IF(NOT(ISNUMBER(INDEX(기본자료!$G$2:$G$1001,$AB199))),INDEX(기본자료!$G$2:$G$1001,$AB199),IF(INDEX(기본자료!$G$2:$G$1001,$AB199)&lt;1000000,INDEX(기본자료!$G$2:$G$1001,$AB199),IF(AND(INDEX(기본자료!$G$2:$G$1001,$AB199)&gt;=10000101,INT(MOD(INDEX(기본자료!$G$2:$G$1001,$AB199),10000)/100)&gt;=1,INT(MOD(INDEX(기본자료!$G$2:$G$1001,$AB199),10000)/100)&lt;=12,MOD(INDEX(기본자료!$G$2:$G$1001,$AB199),100)&gt;=1,MOD(INDEX(기본자료!$G$2:$G$1001,$AB199),100)&lt;=31),DATE(INT(INDEX(기본자료!$G$2:$G$1001,$AB199)/10000),INT(MOD(INDEX(기본자료!$G$2:$G$1001,$AB199),10000)/100),MOD(INDEX(기본자료!$G$2:$G$1001,$AB199),100)),INDEX(기본자료!$G$2:$G$1001,$AB199)&amp;"")))))</f>
        <v/>
      </c>
      <c r="J199" s="10">
        <f>IF($AB199="","",IF(INDEX(기본자료!$H$2:$H$1001,$AB199)="","",INDEX(기본자료!$H$2:$H$1001,$AB199)))</f>
        <v/>
      </c>
      <c r="K199" s="10">
        <f>IF($AB199="","",IF(INDEX(기본자료!$I$2:$I$1001,$AB199)="","",INDEX(기본자료!$I$2:$I$1001,$AB199)))</f>
        <v/>
      </c>
      <c r="L199" s="10">
        <f>IF($AB199="","",IF(INDEX(기본자료!$A$2:$A$1001,$AB199)="","",INDEX(기본자료!$A$2:$A$1001,$AB199)))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파견수련계획!$AB$4:$AB$803,$AK199),OR(NOT(ISNUMBER(INDEX(파견수련계획!$AC$4:$AC$803,$AK199))),TODAY()&lt;=INDEX(파견수련계획!$AC$4:$AC$803,$AK199))),"다기관",IF($AF199="","",INDEX(파견수련계획!$T$4:$T$803,$AF199))),IF($AF199="","",INDEX(파견수련계획!$T$4:$T$803,$AF199))))</f>
        <v/>
      </c>
      <c r="Q199" s="10">
        <f>IF($AF199="","",INDEX(파견수련계획!$S$4:$S$803,$AF199))</f>
        <v/>
      </c>
      <c r="R199" s="10">
        <f>IF($AF199="","",INDEX(파견수련계획!$U$4:$U$803,$AF199))</f>
        <v/>
      </c>
      <c r="S199" s="11">
        <f>IF($AF199="","",IF(INDEX(파견수련계획!$H$4:$H$803,$AF199)="","",INDEX(파견수련계획!$H$4:$H$803,$AF199)))</f>
        <v/>
      </c>
      <c r="T199" s="11">
        <f>IF($AF199="","",IF(INDEX(파견수련계획!$I$4:$I$803,$AF199)="","",INDEX(파견수련계획!$I$4:$I$803,$AF199)))</f>
        <v/>
      </c>
      <c r="U199" s="10">
        <f>IF($AF199="","",INDEX(파견수련계획!$X$4:$X$803,$AF199))</f>
        <v/>
      </c>
      <c r="V199" s="17">
        <f>IF($AF199="","",INDEX(파견수련계획!$V$4:$V$803,$AF199))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IF(OR($B199="",TRIM($J199&amp;"")=""),"",SUMPRODUCT((파견수련계획!$Q$4:$Q$803=TRIM($J199&amp;""))*파견수련계획!$W$4:$W$803))</f>
        <v/>
      </c>
      <c r="Y199" s="10">
        <f>IF($B199="","",IF($AG199="","",IF(IF(TRIM($J199&amp;"")="",0,SUMPRODUCT((파견수련계획!$Q$4:$Q$803=TRIM($J199&amp;""))*파견수련계획!$AD$4:$AD$803))&gt;0,$AE199,IF(N($X199)&lt;=0,$AG199,IF($AH199+$AI199=DAY(EOMONTH(요약!$B$3,0)),IF(AND($AH199&gt;=요약!$E$3,$AI199&lt;요약!$E$3),"서울병원",IF(AND($AI199&gt;=요약!$E$3,$AH199&lt;요약!$E$3),"구리병원","⚠15일 판정불가(서울 "&amp;$AH199&amp;"일/구리 "&amp;$AI199&amp;"일)")),IF($AJ199="",$AE199,IF(INDEX(파견수련계획!$T$4:$T$803,$AJ199)="통합수련",INDEX(파견수련계획!$S$4:$S$803,$AJ199),$AE199)))))))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입력",IF(IF(TRIM($J199&amp;"")="",0,SUMPRODUCT((파견수련계획!$Q$4:$Q$803=TRIM($J199&amp;""))*(파견수련계획!$AA$4:$AA$803&lt;&gt;"")))&gt;0,"파견수련계획 입력오류 확인",IF(LEFT($Y199,1)="⚠","서울·구리 15일 판정 불가(양쪽 모두 이상/미만)",IF(IF($AC199="",0,N(INDEX(인턴근무계획!$T$3:$T$402,$AC199)))&gt;0,"인턴계획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IF($B199="","",IFERROR(MATCH($B199,기본자료!$B$2:$B$1001,0),IFERROR(MATCH($B199&amp;"",기본자료!$B$2:$B$1001,0),IFERROR(MATCH(VALUE($B199),기본자료!$B$2:$B$1001,0),""))))</f>
        <v/>
      </c>
      <c r="AC199" s="10">
        <f>IF($B199="","",IFERROR(MATCH($B199,인턴근무계획!$D$3:$D$402,0),IFERROR(MATCH($B199&amp;"",인턴근무계획!$D$3:$D$402,0),IFERROR(MATCH(VALUE($B199),인턴근무계획!$D$3:$D$402,0),""))))</f>
        <v/>
      </c>
      <c r="AD199" s="10">
        <f>IF(OR($AC199="",인턴현황!$G$3=""),"",INDEX(인턴근무계획!$M$3:$R$402,$AC199,인턴현황!$G$3)&amp;"")</f>
        <v/>
      </c>
      <c r="AE199" s="10">
        <f>IF($B199="","",IF($M199&lt;&gt;"",$M199,IF($AF199&lt;&gt;"",IF(LEFT(INDEX(파견수련계획!$R$4:$R$803,$AF199),1)&lt;&gt;"⚠",INDEX(파견수련계획!$R$4:$R$803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$803,0),IFERROR(MATCH(TRIM($J199&amp;"")&amp;"|파견예정",파견수련계획!$Y$4:$Y$803,0),IFERROR(MATCH(TRIM($J199&amp;"")&amp;"|파견종료",파견수련계획!$Y$4:$Y$803,0),""))))</f>
        <v/>
      </c>
      <c r="AG199" s="10">
        <f>IF($B199="","",IF(AND(IF(OR($AC199="",인턴현황!$K$2=""),"",INDEX(인턴근무계획!$M$3:$R$402,$AC199,인턴현황!$K$2)&amp;"")&lt;&gt;"",LEFT(IF(OR($AC199="",인턴현황!$K$2=""),"",INDEX(인턴근무계획!$M$3:$R$402,$AC199,인턴현황!$K$2)&amp;""),1)&lt;&gt;"⚠"),LEFT(IF(OR($AC199="",인턴현황!$K$2=""),"",INDEX(인턴근무계획!$M$3:$R$402,$AC199,인턴현황!$K$2)&amp;""),FIND(" ",IF(OR($AC199="",인턴현황!$K$2=""),"",INDEX(인턴근무계획!$M$3:$R$402,$AC199,인턴현황!$K$2)&amp;""))-1),$AE199))</f>
        <v/>
      </c>
      <c r="AH199" s="17">
        <f>IF($B199="","",IF(TRIM($J199&amp;"")="",0,SUMPRODUCT((파견수련계획!$Q$4:$Q$803=TRIM($J199&amp;""))*(파견수련계획!$S$4:$S$803="서울병원")*파견수련계획!$W$4:$W$803))+IF($AG199="서울병원",MAX(0,DAY(EOMONTH(요약!$B$3,0))-N($X199)),0))</f>
        <v/>
      </c>
      <c r="AI199" s="17">
        <f>IF($B199="","",IF(TRIM($J199&amp;"")="",0,SUMPRODUCT((파견수련계획!$Q$4:$Q$803=TRIM($J199&amp;""))*(파견수련계획!$S$4:$S$803="구리병원")*파견수련계획!$W$4:$W$803))+IF($AG199="구리병원",MAX(0,DAY(EOMONTH(요약!$B$3,0))-N($X199)),0))</f>
        <v/>
      </c>
      <c r="AJ199" s="10">
        <f>IF(OR($B199="",TRIM($J199&amp;"")=""),"",IFERROR(MATCH(TRIM($J199&amp;"")&amp;"|월",파견수련계획!$Z$4:$Z$803,0),""))</f>
        <v/>
      </c>
      <c r="AK199" s="10">
        <f>IF(OR($B199="",TRIM($J199&amp;"")=""),"",IFERROR(MATCH(TRIM($J199&amp;"")&amp;"|다기관",파견수련계획!$AE$4:$AE$803,0),""))</f>
        <v/>
      </c>
      <c r="AL199" s="10">
        <f>IF($AK199="","","다기관 "&amp;TEXT(INDEX(파견수련계획!$AB$4:$AB$803,$AK199),"yyyy-mm-dd")&amp;"~"&amp;IF(ISNUMBER(INDEX(파견수련계획!$AC$4:$AC$803,$AK199)),TEXT(INDEX(파견수련계획!$AC$4:$AC$803,$AK199),"yyyy-mm-dd"),""))</f>
        <v/>
      </c>
    </row>
    <row r="200">
      <c r="A200" s="10">
        <f>IF(B200="","",ROW()-1)</f>
        <v/>
      </c>
      <c r="B200" s="18" t="n"/>
      <c r="C200" s="10">
        <f>IF($AB200="","",IF(INDEX(기본자료!$C$2:$C$1001,$AB200)="","",INDEX(기본자료!$C$2:$C$1001,$AB200)))</f>
        <v/>
      </c>
      <c r="D200" s="10">
        <f>IF($AB200="","",IF(INDEX(기본자료!$J$2:$J$1001,$AB200)="","",INDEX(기본자료!$J$2:$J$1001,$AB200)))</f>
        <v/>
      </c>
      <c r="E200" s="11">
        <f>IF($AB200="","",IF(INDEX(기본자료!$K$2:$K$1001,$AB200)="","",IF(NOT(ISNUMBER(INDEX(기본자료!$K$2:$K$1001,$AB200))),INDEX(기본자료!$K$2:$K$1001,$AB200),IF(INDEX(기본자료!$K$2:$K$1001,$AB200)&lt;1000000,INDEX(기본자료!$K$2:$K$1001,$AB200),IF(AND(INDEX(기본자료!$K$2:$K$1001,$AB200)&gt;=10000101,INT(MOD(INDEX(기본자료!$K$2:$K$1001,$AB200),10000)/100)&gt;=1,INT(MOD(INDEX(기본자료!$K$2:$K$1001,$AB200),10000)/100)&lt;=12,MOD(INDEX(기본자료!$K$2:$K$1001,$AB200),100)&gt;=1,MOD(INDEX(기본자료!$K$2:$K$1001,$AB200),100)&lt;=31),DATE(INT(INDEX(기본자료!$K$2:$K$1001,$AB200)/10000),INT(MOD(INDEX(기본자료!$K$2:$K$1001,$AB200),10000)/100),MOD(INDEX(기본자료!$K$2:$K$1001,$AB200),100)),INDEX(기본자료!$K$2:$K$1001,$AB200)&amp;"")))))</f>
        <v/>
      </c>
      <c r="F200" s="10">
        <f>IF($AB200="","",IF(INDEX(기본자료!$D$2:$D$1001,$AB200)="","",INDEX(기본자료!$D$2:$D$1001,$AB200)))</f>
        <v/>
      </c>
      <c r="G200" s="10">
        <f>IF($AB200="","",IF(INDEX(기본자료!$E$2:$E$1001,$AB200)="","",INDEX(기본자료!$E$2:$E$1001,$AB200)))</f>
        <v/>
      </c>
      <c r="H200" s="10">
        <f>IF($AB200="","",IF(INDEX(기본자료!$F$2:$F$1001,$AB200)="","",INDEX(기본자료!$F$2:$F$1001,$AB200)))</f>
        <v/>
      </c>
      <c r="I200" s="11">
        <f>IF($AB200="","",IF(INDEX(기본자료!$G$2:$G$1001,$AB200)="","",IF(NOT(ISNUMBER(INDEX(기본자료!$G$2:$G$1001,$AB200))),INDEX(기본자료!$G$2:$G$1001,$AB200),IF(INDEX(기본자료!$G$2:$G$1001,$AB200)&lt;1000000,INDEX(기본자료!$G$2:$G$1001,$AB200),IF(AND(INDEX(기본자료!$G$2:$G$1001,$AB200)&gt;=10000101,INT(MOD(INDEX(기본자료!$G$2:$G$1001,$AB200),10000)/100)&gt;=1,INT(MOD(INDEX(기본자료!$G$2:$G$1001,$AB200),10000)/100)&lt;=12,MOD(INDEX(기본자료!$G$2:$G$1001,$AB200),100)&gt;=1,MOD(INDEX(기본자료!$G$2:$G$1001,$AB200),100)&lt;=31),DATE(INT(INDEX(기본자료!$G$2:$G$1001,$AB200)/10000),INT(MOD(INDEX(기본자료!$G$2:$G$1001,$AB200),10000)/100),MOD(INDEX(기본자료!$G$2:$G$1001,$AB200),100)),INDEX(기본자료!$G$2:$G$1001,$AB200)&amp;"")))))</f>
        <v/>
      </c>
      <c r="J200" s="10">
        <f>IF($AB200="","",IF(INDEX(기본자료!$H$2:$H$1001,$AB200)="","",INDEX(기본자료!$H$2:$H$1001,$AB200)))</f>
        <v/>
      </c>
      <c r="K200" s="10">
        <f>IF($AB200="","",IF(INDEX(기본자료!$I$2:$I$1001,$AB200)="","",INDEX(기본자료!$I$2:$I$1001,$AB200)))</f>
        <v/>
      </c>
      <c r="L200" s="10">
        <f>IF($AB200="","",IF(INDEX(기본자료!$A$2:$A$1001,$AB200)="","",INDEX(기본자료!$A$2:$A$1001,$AB200)))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파견수련계획!$AB$4:$AB$803,$AK200),OR(NOT(ISNUMBER(INDEX(파견수련계획!$AC$4:$AC$803,$AK200))),TODAY()&lt;=INDEX(파견수련계획!$AC$4:$AC$803,$AK200))),"다기관",IF($AF200="","",INDEX(파견수련계획!$T$4:$T$803,$AF200))),IF($AF200="","",INDEX(파견수련계획!$T$4:$T$803,$AF200))))</f>
        <v/>
      </c>
      <c r="Q200" s="10">
        <f>IF($AF200="","",INDEX(파견수련계획!$S$4:$S$803,$AF200))</f>
        <v/>
      </c>
      <c r="R200" s="10">
        <f>IF($AF200="","",INDEX(파견수련계획!$U$4:$U$803,$AF200))</f>
        <v/>
      </c>
      <c r="S200" s="11">
        <f>IF($AF200="","",IF(INDEX(파견수련계획!$H$4:$H$803,$AF200)="","",INDEX(파견수련계획!$H$4:$H$803,$AF200)))</f>
        <v/>
      </c>
      <c r="T200" s="11">
        <f>IF($AF200="","",IF(INDEX(파견수련계획!$I$4:$I$803,$AF200)="","",INDEX(파견수련계획!$I$4:$I$803,$AF200)))</f>
        <v/>
      </c>
      <c r="U200" s="10">
        <f>IF($AF200="","",INDEX(파견수련계획!$X$4:$X$803,$AF200))</f>
        <v/>
      </c>
      <c r="V200" s="17">
        <f>IF($AF200="","",INDEX(파견수련계획!$V$4:$V$803,$AF200))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IF(OR($B200="",TRIM($J200&amp;"")=""),"",SUMPRODUCT((파견수련계획!$Q$4:$Q$803=TRIM($J200&amp;""))*파견수련계획!$W$4:$W$803))</f>
        <v/>
      </c>
      <c r="Y200" s="10">
        <f>IF($B200="","",IF($AG200="","",IF(IF(TRIM($J200&amp;"")="",0,SUMPRODUCT((파견수련계획!$Q$4:$Q$803=TRIM($J200&amp;""))*파견수련계획!$AD$4:$AD$803))&gt;0,$AE200,IF(N($X200)&lt;=0,$AG200,IF($AH200+$AI200=DAY(EOMONTH(요약!$B$3,0)),IF(AND($AH200&gt;=요약!$E$3,$AI200&lt;요약!$E$3),"서울병원",IF(AND($AI200&gt;=요약!$E$3,$AH200&lt;요약!$E$3),"구리병원","⚠15일 판정불가(서울 "&amp;$AH200&amp;"일/구리 "&amp;$AI200&amp;"일)")),IF($AJ200="",$AE200,IF(INDEX(파견수련계획!$T$4:$T$803,$AJ200)="통합수련",INDEX(파견수련계획!$S$4:$S$803,$AJ200),$AE200)))))))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입력",IF(IF(TRIM($J200&amp;"")="",0,SUMPRODUCT((파견수련계획!$Q$4:$Q$803=TRIM($J200&amp;""))*(파견수련계획!$AA$4:$AA$803&lt;&gt;"")))&gt;0,"파견수련계획 입력오류 확인",IF(LEFT($Y200,1)="⚠","서울·구리 15일 판정 불가(양쪽 모두 이상/미만)",IF(IF($AC200="",0,N(INDEX(인턴근무계획!$T$3:$T$402,$AC200)))&gt;0,"인턴계획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IF($B200="","",IFERROR(MATCH($B200,기본자료!$B$2:$B$1001,0),IFERROR(MATCH($B200&amp;"",기본자료!$B$2:$B$1001,0),IFERROR(MATCH(VALUE($B200),기본자료!$B$2:$B$1001,0),""))))</f>
        <v/>
      </c>
      <c r="AC200" s="10">
        <f>IF($B200="","",IFERROR(MATCH($B200,인턴근무계획!$D$3:$D$402,0),IFERROR(MATCH($B200&amp;"",인턴근무계획!$D$3:$D$402,0),IFERROR(MATCH(VALUE($B200),인턴근무계획!$D$3:$D$402,0),""))))</f>
        <v/>
      </c>
      <c r="AD200" s="10">
        <f>IF(OR($AC200="",인턴현황!$G$3=""),"",INDEX(인턴근무계획!$M$3:$R$402,$AC200,인턴현황!$G$3)&amp;"")</f>
        <v/>
      </c>
      <c r="AE200" s="10">
        <f>IF($B200="","",IF($M200&lt;&gt;"",$M200,IF($AF200&lt;&gt;"",IF(LEFT(INDEX(파견수련계획!$R$4:$R$803,$AF200),1)&lt;&gt;"⚠",INDEX(파견수련계획!$R$4:$R$803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$803,0),IFERROR(MATCH(TRIM($J200&amp;"")&amp;"|파견예정",파견수련계획!$Y$4:$Y$803,0),IFERROR(MATCH(TRIM($J200&amp;"")&amp;"|파견종료",파견수련계획!$Y$4:$Y$803,0),""))))</f>
        <v/>
      </c>
      <c r="AG200" s="10">
        <f>IF($B200="","",IF(AND(IF(OR($AC200="",인턴현황!$K$2=""),"",INDEX(인턴근무계획!$M$3:$R$402,$AC200,인턴현황!$K$2)&amp;"")&lt;&gt;"",LEFT(IF(OR($AC200="",인턴현황!$K$2=""),"",INDEX(인턴근무계획!$M$3:$R$402,$AC200,인턴현황!$K$2)&amp;""),1)&lt;&gt;"⚠"),LEFT(IF(OR($AC200="",인턴현황!$K$2=""),"",INDEX(인턴근무계획!$M$3:$R$402,$AC200,인턴현황!$K$2)&amp;""),FIND(" ",IF(OR($AC200="",인턴현황!$K$2=""),"",INDEX(인턴근무계획!$M$3:$R$402,$AC200,인턴현황!$K$2)&amp;""))-1),$AE200))</f>
        <v/>
      </c>
      <c r="AH200" s="17">
        <f>IF($B200="","",IF(TRIM($J200&amp;"")="",0,SUMPRODUCT((파견수련계획!$Q$4:$Q$803=TRIM($J200&amp;""))*(파견수련계획!$S$4:$S$803="서울병원")*파견수련계획!$W$4:$W$803))+IF($AG200="서울병원",MAX(0,DAY(EOMONTH(요약!$B$3,0))-N($X200)),0))</f>
        <v/>
      </c>
      <c r="AI200" s="17">
        <f>IF($B200="","",IF(TRIM($J200&amp;"")="",0,SUMPRODUCT((파견수련계획!$Q$4:$Q$803=TRIM($J200&amp;""))*(파견수련계획!$S$4:$S$803="구리병원")*파견수련계획!$W$4:$W$803))+IF($AG200="구리병원",MAX(0,DAY(EOMONTH(요약!$B$3,0))-N($X200)),0))</f>
        <v/>
      </c>
      <c r="AJ200" s="10">
        <f>IF(OR($B200="",TRIM($J200&amp;"")=""),"",IFERROR(MATCH(TRIM($J200&amp;"")&amp;"|월",파견수련계획!$Z$4:$Z$803,0),""))</f>
        <v/>
      </c>
      <c r="AK200" s="10">
        <f>IF(OR($B200="",TRIM($J200&amp;"")=""),"",IFERROR(MATCH(TRIM($J200&amp;"")&amp;"|다기관",파견수련계획!$AE$4:$AE$803,0),""))</f>
        <v/>
      </c>
      <c r="AL200" s="10">
        <f>IF($AK200="","","다기관 "&amp;TEXT(INDEX(파견수련계획!$AB$4:$AB$803,$AK200),"yyyy-mm-dd")&amp;"~"&amp;IF(ISNUMBER(INDEX(파견수련계획!$AC$4:$AC$803,$AK200)),TEXT(INDEX(파견수련계획!$AC$4:$AC$803,$AK200),"yyyy-mm-dd"),""))</f>
        <v/>
      </c>
    </row>
    <row r="201">
      <c r="A201" s="10">
        <f>IF(B201="","",ROW()-1)</f>
        <v/>
      </c>
      <c r="B201" s="18" t="n"/>
      <c r="C201" s="10">
        <f>IF($AB201="","",IF(INDEX(기본자료!$C$2:$C$1001,$AB201)="","",INDEX(기본자료!$C$2:$C$1001,$AB201)))</f>
        <v/>
      </c>
      <c r="D201" s="10">
        <f>IF($AB201="","",IF(INDEX(기본자료!$J$2:$J$1001,$AB201)="","",INDEX(기본자료!$J$2:$J$1001,$AB201)))</f>
        <v/>
      </c>
      <c r="E201" s="11">
        <f>IF($AB201="","",IF(INDEX(기본자료!$K$2:$K$1001,$AB201)="","",IF(NOT(ISNUMBER(INDEX(기본자료!$K$2:$K$1001,$AB201))),INDEX(기본자료!$K$2:$K$1001,$AB201),IF(INDEX(기본자료!$K$2:$K$1001,$AB201)&lt;1000000,INDEX(기본자료!$K$2:$K$1001,$AB201),IF(AND(INDEX(기본자료!$K$2:$K$1001,$AB201)&gt;=10000101,INT(MOD(INDEX(기본자료!$K$2:$K$1001,$AB201),10000)/100)&gt;=1,INT(MOD(INDEX(기본자료!$K$2:$K$1001,$AB201),10000)/100)&lt;=12,MOD(INDEX(기본자료!$K$2:$K$1001,$AB201),100)&gt;=1,MOD(INDEX(기본자료!$K$2:$K$1001,$AB201),100)&lt;=31),DATE(INT(INDEX(기본자료!$K$2:$K$1001,$AB201)/10000),INT(MOD(INDEX(기본자료!$K$2:$K$1001,$AB201),10000)/100),MOD(INDEX(기본자료!$K$2:$K$1001,$AB201),100)),INDEX(기본자료!$K$2:$K$1001,$AB201)&amp;"")))))</f>
        <v/>
      </c>
      <c r="F201" s="10">
        <f>IF($AB201="","",IF(INDEX(기본자료!$D$2:$D$1001,$AB201)="","",INDEX(기본자료!$D$2:$D$1001,$AB201)))</f>
        <v/>
      </c>
      <c r="G201" s="10">
        <f>IF($AB201="","",IF(INDEX(기본자료!$E$2:$E$1001,$AB201)="","",INDEX(기본자료!$E$2:$E$1001,$AB201)))</f>
        <v/>
      </c>
      <c r="H201" s="10">
        <f>IF($AB201="","",IF(INDEX(기본자료!$F$2:$F$1001,$AB201)="","",INDEX(기본자료!$F$2:$F$1001,$AB201)))</f>
        <v/>
      </c>
      <c r="I201" s="11">
        <f>IF($AB201="","",IF(INDEX(기본자료!$G$2:$G$1001,$AB201)="","",IF(NOT(ISNUMBER(INDEX(기본자료!$G$2:$G$1001,$AB201))),INDEX(기본자료!$G$2:$G$1001,$AB201),IF(INDEX(기본자료!$G$2:$G$1001,$AB201)&lt;1000000,INDEX(기본자료!$G$2:$G$1001,$AB201),IF(AND(INDEX(기본자료!$G$2:$G$1001,$AB201)&gt;=10000101,INT(MOD(INDEX(기본자료!$G$2:$G$1001,$AB201),10000)/100)&gt;=1,INT(MOD(INDEX(기본자료!$G$2:$G$1001,$AB201),10000)/100)&lt;=12,MOD(INDEX(기본자료!$G$2:$G$1001,$AB201),100)&gt;=1,MOD(INDEX(기본자료!$G$2:$G$1001,$AB201),100)&lt;=31),DATE(INT(INDEX(기본자료!$G$2:$G$1001,$AB201)/10000),INT(MOD(INDEX(기본자료!$G$2:$G$1001,$AB201),10000)/100),MOD(INDEX(기본자료!$G$2:$G$1001,$AB201),100)),INDEX(기본자료!$G$2:$G$1001,$AB201)&amp;"")))))</f>
        <v/>
      </c>
      <c r="J201" s="10">
        <f>IF($AB201="","",IF(INDEX(기본자료!$H$2:$H$1001,$AB201)="","",INDEX(기본자료!$H$2:$H$1001,$AB201)))</f>
        <v/>
      </c>
      <c r="K201" s="10">
        <f>IF($AB201="","",IF(INDEX(기본자료!$I$2:$I$1001,$AB201)="","",INDEX(기본자료!$I$2:$I$1001,$AB201)))</f>
        <v/>
      </c>
      <c r="L201" s="10">
        <f>IF($AB201="","",IF(INDEX(기본자료!$A$2:$A$1001,$AB201)="","",INDEX(기본자료!$A$2:$A$1001,$AB201)))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파견수련계획!$AB$4:$AB$803,$AK201),OR(NOT(ISNUMBER(INDEX(파견수련계획!$AC$4:$AC$803,$AK201))),TODAY()&lt;=INDEX(파견수련계획!$AC$4:$AC$803,$AK201))),"다기관",IF($AF201="","",INDEX(파견수련계획!$T$4:$T$803,$AF201))),IF($AF201="","",INDEX(파견수련계획!$T$4:$T$803,$AF201))))</f>
        <v/>
      </c>
      <c r="Q201" s="10">
        <f>IF($AF201="","",INDEX(파견수련계획!$S$4:$S$803,$AF201))</f>
        <v/>
      </c>
      <c r="R201" s="10">
        <f>IF($AF201="","",INDEX(파견수련계획!$U$4:$U$803,$AF201))</f>
        <v/>
      </c>
      <c r="S201" s="11">
        <f>IF($AF201="","",IF(INDEX(파견수련계획!$H$4:$H$803,$AF201)="","",INDEX(파견수련계획!$H$4:$H$803,$AF201)))</f>
        <v/>
      </c>
      <c r="T201" s="11">
        <f>IF($AF201="","",IF(INDEX(파견수련계획!$I$4:$I$803,$AF201)="","",INDEX(파견수련계획!$I$4:$I$803,$AF201)))</f>
        <v/>
      </c>
      <c r="U201" s="10">
        <f>IF($AF201="","",INDEX(파견수련계획!$X$4:$X$803,$AF201))</f>
        <v/>
      </c>
      <c r="V201" s="17">
        <f>IF($AF201="","",INDEX(파견수련계획!$V$4:$V$803,$AF201))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IF(OR($B201="",TRIM($J201&amp;"")=""),"",SUMPRODUCT((파견수련계획!$Q$4:$Q$803=TRIM($J201&amp;""))*파견수련계획!$W$4:$W$803))</f>
        <v/>
      </c>
      <c r="Y201" s="10">
        <f>IF($B201="","",IF($AG201="","",IF(IF(TRIM($J201&amp;"")="",0,SUMPRODUCT((파견수련계획!$Q$4:$Q$803=TRIM($J201&amp;""))*파견수련계획!$AD$4:$AD$803))&gt;0,$AE201,IF(N($X201)&lt;=0,$AG201,IF($AH201+$AI201=DAY(EOMONTH(요약!$B$3,0)),IF(AND($AH201&gt;=요약!$E$3,$AI201&lt;요약!$E$3),"서울병원",IF(AND($AI201&gt;=요약!$E$3,$AH201&lt;요약!$E$3),"구리병원","⚠15일 판정불가(서울 "&amp;$AH201&amp;"일/구리 "&amp;$AI201&amp;"일)")),IF($AJ201="",$AE201,IF(INDEX(파견수련계획!$T$4:$T$803,$AJ201)="통합수련",INDEX(파견수련계획!$S$4:$S$803,$AJ201),$AE201)))))))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입력",IF(IF(TRIM($J201&amp;"")="",0,SUMPRODUCT((파견수련계획!$Q$4:$Q$803=TRIM($J201&amp;""))*(파견수련계획!$AA$4:$AA$803&lt;&gt;"")))&gt;0,"파견수련계획 입력오류 확인",IF(LEFT($Y201,1)="⚠","서울·구리 15일 판정 불가(양쪽 모두 이상/미만)",IF(IF($AC201="",0,N(INDEX(인턴근무계획!$T$3:$T$402,$AC201)))&gt;0,"인턴계획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IF($B201="","",IFERROR(MATCH($B201,기본자료!$B$2:$B$1001,0),IFERROR(MATCH($B201&amp;"",기본자료!$B$2:$B$1001,0),IFERROR(MATCH(VALUE($B201),기본자료!$B$2:$B$1001,0),""))))</f>
        <v/>
      </c>
      <c r="AC201" s="10">
        <f>IF($B201="","",IFERROR(MATCH($B201,인턴근무계획!$D$3:$D$402,0),IFERROR(MATCH($B201&amp;"",인턴근무계획!$D$3:$D$402,0),IFERROR(MATCH(VALUE($B201),인턴근무계획!$D$3:$D$402,0),""))))</f>
        <v/>
      </c>
      <c r="AD201" s="10">
        <f>IF(OR($AC201="",인턴현황!$G$3=""),"",INDEX(인턴근무계획!$M$3:$R$402,$AC201,인턴현황!$G$3)&amp;"")</f>
        <v/>
      </c>
      <c r="AE201" s="10">
        <f>IF($B201="","",IF($M201&lt;&gt;"",$M201,IF($AF201&lt;&gt;"",IF(LEFT(INDEX(파견수련계획!$R$4:$R$803,$AF201),1)&lt;&gt;"⚠",INDEX(파견수련계획!$R$4:$R$803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$803,0),IFERROR(MATCH(TRIM($J201&amp;"")&amp;"|파견예정",파견수련계획!$Y$4:$Y$803,0),IFERROR(MATCH(TRIM($J201&amp;"")&amp;"|파견종료",파견수련계획!$Y$4:$Y$803,0),""))))</f>
        <v/>
      </c>
      <c r="AG201" s="10">
        <f>IF($B201="","",IF(AND(IF(OR($AC201="",인턴현황!$K$2=""),"",INDEX(인턴근무계획!$M$3:$R$402,$AC201,인턴현황!$K$2)&amp;"")&lt;&gt;"",LEFT(IF(OR($AC201="",인턴현황!$K$2=""),"",INDEX(인턴근무계획!$M$3:$R$402,$AC201,인턴현황!$K$2)&amp;""),1)&lt;&gt;"⚠"),LEFT(IF(OR($AC201="",인턴현황!$K$2=""),"",INDEX(인턴근무계획!$M$3:$R$402,$AC201,인턴현황!$K$2)&amp;""),FIND(" ",IF(OR($AC201="",인턴현황!$K$2=""),"",INDEX(인턴근무계획!$M$3:$R$402,$AC201,인턴현황!$K$2)&amp;""))-1),$AE201))</f>
        <v/>
      </c>
      <c r="AH201" s="17">
        <f>IF($B201="","",IF(TRIM($J201&amp;"")="",0,SUMPRODUCT((파견수련계획!$Q$4:$Q$803=TRIM($J201&amp;""))*(파견수련계획!$S$4:$S$803="서울병원")*파견수련계획!$W$4:$W$803))+IF($AG201="서울병원",MAX(0,DAY(EOMONTH(요약!$B$3,0))-N($X201)),0))</f>
        <v/>
      </c>
      <c r="AI201" s="17">
        <f>IF($B201="","",IF(TRIM($J201&amp;"")="",0,SUMPRODUCT((파견수련계획!$Q$4:$Q$803=TRIM($J201&amp;""))*(파견수련계획!$S$4:$S$803="구리병원")*파견수련계획!$W$4:$W$803))+IF($AG201="구리병원",MAX(0,DAY(EOMONTH(요약!$B$3,0))-N($X201)),0))</f>
        <v/>
      </c>
      <c r="AJ201" s="10">
        <f>IF(OR($B201="",TRIM($J201&amp;"")=""),"",IFERROR(MATCH(TRIM($J201&amp;"")&amp;"|월",파견수련계획!$Z$4:$Z$803,0),""))</f>
        <v/>
      </c>
      <c r="AK201" s="10">
        <f>IF(OR($B201="",TRIM($J201&amp;"")=""),"",IFERROR(MATCH(TRIM($J201&amp;"")&amp;"|다기관",파견수련계획!$AE$4:$AE$803,0),""))</f>
        <v/>
      </c>
      <c r="AL201" s="10">
        <f>IF($AK201="","","다기관 "&amp;TEXT(INDEX(파견수련계획!$AB$4:$AB$803,$AK201),"yyyy-mm-dd")&amp;"~"&amp;IF(ISNUMBER(INDEX(파견수련계획!$AC$4:$AC$803,$AK201)),TEXT(INDEX(파견수련계획!$AC$4:$AC$803,$AK201),"yyyy-mm-dd"),""))</f>
        <v/>
      </c>
    </row>
    <row r="202">
      <c r="A202" s="10">
        <f>IF(B202="","",ROW()-1)</f>
        <v/>
      </c>
      <c r="B202" s="18" t="n"/>
      <c r="C202" s="10">
        <f>IF($AB202="","",IF(INDEX(기본자료!$C$2:$C$1001,$AB202)="","",INDEX(기본자료!$C$2:$C$1001,$AB202)))</f>
        <v/>
      </c>
      <c r="D202" s="10">
        <f>IF($AB202="","",IF(INDEX(기본자료!$J$2:$J$1001,$AB202)="","",INDEX(기본자료!$J$2:$J$1001,$AB202)))</f>
        <v/>
      </c>
      <c r="E202" s="11">
        <f>IF($AB202="","",IF(INDEX(기본자료!$K$2:$K$1001,$AB202)="","",IF(NOT(ISNUMBER(INDEX(기본자료!$K$2:$K$1001,$AB202))),INDEX(기본자료!$K$2:$K$1001,$AB202),IF(INDEX(기본자료!$K$2:$K$1001,$AB202)&lt;1000000,INDEX(기본자료!$K$2:$K$1001,$AB202),IF(AND(INDEX(기본자료!$K$2:$K$1001,$AB202)&gt;=10000101,INT(MOD(INDEX(기본자료!$K$2:$K$1001,$AB202),10000)/100)&gt;=1,INT(MOD(INDEX(기본자료!$K$2:$K$1001,$AB202),10000)/100)&lt;=12,MOD(INDEX(기본자료!$K$2:$K$1001,$AB202),100)&gt;=1,MOD(INDEX(기본자료!$K$2:$K$1001,$AB202),100)&lt;=31),DATE(INT(INDEX(기본자료!$K$2:$K$1001,$AB202)/10000),INT(MOD(INDEX(기본자료!$K$2:$K$1001,$AB202),10000)/100),MOD(INDEX(기본자료!$K$2:$K$1001,$AB202),100)),INDEX(기본자료!$K$2:$K$1001,$AB202)&amp;"")))))</f>
        <v/>
      </c>
      <c r="F202" s="10">
        <f>IF($AB202="","",IF(INDEX(기본자료!$D$2:$D$1001,$AB202)="","",INDEX(기본자료!$D$2:$D$1001,$AB202)))</f>
        <v/>
      </c>
      <c r="G202" s="10">
        <f>IF($AB202="","",IF(INDEX(기본자료!$E$2:$E$1001,$AB202)="","",INDEX(기본자료!$E$2:$E$1001,$AB202)))</f>
        <v/>
      </c>
      <c r="H202" s="10">
        <f>IF($AB202="","",IF(INDEX(기본자료!$F$2:$F$1001,$AB202)="","",INDEX(기본자료!$F$2:$F$1001,$AB202)))</f>
        <v/>
      </c>
      <c r="I202" s="11">
        <f>IF($AB202="","",IF(INDEX(기본자료!$G$2:$G$1001,$AB202)="","",IF(NOT(ISNUMBER(INDEX(기본자료!$G$2:$G$1001,$AB202))),INDEX(기본자료!$G$2:$G$1001,$AB202),IF(INDEX(기본자료!$G$2:$G$1001,$AB202)&lt;1000000,INDEX(기본자료!$G$2:$G$1001,$AB202),IF(AND(INDEX(기본자료!$G$2:$G$1001,$AB202)&gt;=10000101,INT(MOD(INDEX(기본자료!$G$2:$G$1001,$AB202),10000)/100)&gt;=1,INT(MOD(INDEX(기본자료!$G$2:$G$1001,$AB202),10000)/100)&lt;=12,MOD(INDEX(기본자료!$G$2:$G$1001,$AB202),100)&gt;=1,MOD(INDEX(기본자료!$G$2:$G$1001,$AB202),100)&lt;=31),DATE(INT(INDEX(기본자료!$G$2:$G$1001,$AB202)/10000),INT(MOD(INDEX(기본자료!$G$2:$G$1001,$AB202),10000)/100),MOD(INDEX(기본자료!$G$2:$G$1001,$AB202),100)),INDEX(기본자료!$G$2:$G$1001,$AB202)&amp;"")))))</f>
        <v/>
      </c>
      <c r="J202" s="10">
        <f>IF($AB202="","",IF(INDEX(기본자료!$H$2:$H$1001,$AB202)="","",INDEX(기본자료!$H$2:$H$1001,$AB202)))</f>
        <v/>
      </c>
      <c r="K202" s="10">
        <f>IF($AB202="","",IF(INDEX(기본자료!$I$2:$I$1001,$AB202)="","",INDEX(기본자료!$I$2:$I$1001,$AB202)))</f>
        <v/>
      </c>
      <c r="L202" s="10">
        <f>IF($AB202="","",IF(INDEX(기본자료!$A$2:$A$1001,$AB202)="","",INDEX(기본자료!$A$2:$A$1001,$AB202)))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파견수련계획!$AB$4:$AB$803,$AK202),OR(NOT(ISNUMBER(INDEX(파견수련계획!$AC$4:$AC$803,$AK202))),TODAY()&lt;=INDEX(파견수련계획!$AC$4:$AC$803,$AK202))),"다기관",IF($AF202="","",INDEX(파견수련계획!$T$4:$T$803,$AF202))),IF($AF202="","",INDEX(파견수련계획!$T$4:$T$803,$AF202))))</f>
        <v/>
      </c>
      <c r="Q202" s="10">
        <f>IF($AF202="","",INDEX(파견수련계획!$S$4:$S$803,$AF202))</f>
        <v/>
      </c>
      <c r="R202" s="10">
        <f>IF($AF202="","",INDEX(파견수련계획!$U$4:$U$803,$AF202))</f>
        <v/>
      </c>
      <c r="S202" s="11">
        <f>IF($AF202="","",IF(INDEX(파견수련계획!$H$4:$H$803,$AF202)="","",INDEX(파견수련계획!$H$4:$H$803,$AF202)))</f>
        <v/>
      </c>
      <c r="T202" s="11">
        <f>IF($AF202="","",IF(INDEX(파견수련계획!$I$4:$I$803,$AF202)="","",INDEX(파견수련계획!$I$4:$I$803,$AF202)))</f>
        <v/>
      </c>
      <c r="U202" s="10">
        <f>IF($AF202="","",INDEX(파견수련계획!$X$4:$X$803,$AF202))</f>
        <v/>
      </c>
      <c r="V202" s="17">
        <f>IF($AF202="","",INDEX(파견수련계획!$V$4:$V$803,$AF202))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IF(OR($B202="",TRIM($J202&amp;"")=""),"",SUMPRODUCT((파견수련계획!$Q$4:$Q$803=TRIM($J202&amp;""))*파견수련계획!$W$4:$W$803))</f>
        <v/>
      </c>
      <c r="Y202" s="10">
        <f>IF($B202="","",IF($AG202="","",IF(IF(TRIM($J202&amp;"")="",0,SUMPRODUCT((파견수련계획!$Q$4:$Q$803=TRIM($J202&amp;""))*파견수련계획!$AD$4:$AD$803))&gt;0,$AE202,IF(N($X202)&lt;=0,$AG202,IF($AH202+$AI202=DAY(EOMONTH(요약!$B$3,0)),IF(AND($AH202&gt;=요약!$E$3,$AI202&lt;요약!$E$3),"서울병원",IF(AND($AI202&gt;=요약!$E$3,$AH202&lt;요약!$E$3),"구리병원","⚠15일 판정불가(서울 "&amp;$AH202&amp;"일/구리 "&amp;$AI202&amp;"일)")),IF($AJ202="",$AE202,IF(INDEX(파견수련계획!$T$4:$T$803,$AJ202)="통합수련",INDEX(파견수련계획!$S$4:$S$803,$AJ202),$AE202)))))))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입력",IF(IF(TRIM($J202&amp;"")="",0,SUMPRODUCT((파견수련계획!$Q$4:$Q$803=TRIM($J202&amp;""))*(파견수련계획!$AA$4:$AA$803&lt;&gt;"")))&gt;0,"파견수련계획 입력오류 확인",IF(LEFT($Y202,1)="⚠","서울·구리 15일 판정 불가(양쪽 모두 이상/미만)",IF(IF($AC202="",0,N(INDEX(인턴근무계획!$T$3:$T$402,$AC202)))&gt;0,"인턴계획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IF($B202="","",IFERROR(MATCH($B202,기본자료!$B$2:$B$1001,0),IFERROR(MATCH($B202&amp;"",기본자료!$B$2:$B$1001,0),IFERROR(MATCH(VALUE($B202),기본자료!$B$2:$B$1001,0),""))))</f>
        <v/>
      </c>
      <c r="AC202" s="10">
        <f>IF($B202="","",IFERROR(MATCH($B202,인턴근무계획!$D$3:$D$402,0),IFERROR(MATCH($B202&amp;"",인턴근무계획!$D$3:$D$402,0),IFERROR(MATCH(VALUE($B202),인턴근무계획!$D$3:$D$402,0),""))))</f>
        <v/>
      </c>
      <c r="AD202" s="10">
        <f>IF(OR($AC202="",인턴현황!$G$3=""),"",INDEX(인턴근무계획!$M$3:$R$402,$AC202,인턴현황!$G$3)&amp;"")</f>
        <v/>
      </c>
      <c r="AE202" s="10">
        <f>IF($B202="","",IF($M202&lt;&gt;"",$M202,IF($AF202&lt;&gt;"",IF(LEFT(INDEX(파견수련계획!$R$4:$R$803,$AF202),1)&lt;&gt;"⚠",INDEX(파견수련계획!$R$4:$R$803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파견수련계획!$Y$4:$Y$803,0),IFERROR(MATCH(TRIM($J202&amp;"")&amp;"|파견예정",파견수련계획!$Y$4:$Y$803,0),IFERROR(MATCH(TRIM($J202&amp;"")&amp;"|파견종료",파견수련계획!$Y$4:$Y$803,0),""))))</f>
        <v/>
      </c>
      <c r="AG202" s="10">
        <f>IF($B202="","",IF(AND(IF(OR($AC202="",인턴현황!$K$2=""),"",INDEX(인턴근무계획!$M$3:$R$402,$AC202,인턴현황!$K$2)&amp;"")&lt;&gt;"",LEFT(IF(OR($AC202="",인턴현황!$K$2=""),"",INDEX(인턴근무계획!$M$3:$R$402,$AC202,인턴현황!$K$2)&amp;""),1)&lt;&gt;"⚠"),LEFT(IF(OR($AC202="",인턴현황!$K$2=""),"",INDEX(인턴근무계획!$M$3:$R$402,$AC202,인턴현황!$K$2)&amp;""),FIND(" ",IF(OR($AC202="",인턴현황!$K$2=""),"",INDEX(인턴근무계획!$M$3:$R$402,$AC202,인턴현황!$K$2)&amp;""))-1),$AE202))</f>
        <v/>
      </c>
      <c r="AH202" s="17">
        <f>IF($B202="","",IF(TRIM($J202&amp;"")="",0,SUMPRODUCT((파견수련계획!$Q$4:$Q$803=TRIM($J202&amp;""))*(파견수련계획!$S$4:$S$803="서울병원")*파견수련계획!$W$4:$W$803))+IF($AG202="서울병원",MAX(0,DAY(EOMONTH(요약!$B$3,0))-N($X202)),0))</f>
        <v/>
      </c>
      <c r="AI202" s="17">
        <f>IF($B202="","",IF(TRIM($J202&amp;"")="",0,SUMPRODUCT((파견수련계획!$Q$4:$Q$803=TRIM($J202&amp;""))*(파견수련계획!$S$4:$S$803="구리병원")*파견수련계획!$W$4:$W$803))+IF($AG202="구리병원",MAX(0,DAY(EOMONTH(요약!$B$3,0))-N($X202)),0))</f>
        <v/>
      </c>
      <c r="AJ202" s="10">
        <f>IF(OR($B202="",TRIM($J202&amp;"")=""),"",IFERROR(MATCH(TRIM($J202&amp;"")&amp;"|월",파견수련계획!$Z$4:$Z$803,0),""))</f>
        <v/>
      </c>
      <c r="AK202" s="10">
        <f>IF(OR($B202="",TRIM($J202&amp;"")=""),"",IFERROR(MATCH(TRIM($J202&amp;"")&amp;"|다기관",파견수련계획!$AE$4:$AE$803,0),""))</f>
        <v/>
      </c>
      <c r="AL202" s="10">
        <f>IF($AK202="","","다기관 "&amp;TEXT(INDEX(파견수련계획!$AB$4:$AB$803,$AK202),"yyyy-mm-dd")&amp;"~"&amp;IF(ISNUMBER(INDEX(파견수련계획!$AC$4:$AC$803,$AK202)),TEXT(INDEX(파견수련계획!$AC$4:$AC$803,$AK202),"yyyy-mm-dd"),""))</f>
        <v/>
      </c>
    </row>
    <row r="203">
      <c r="A203" s="10">
        <f>IF(B203="","",ROW()-1)</f>
        <v/>
      </c>
      <c r="B203" s="18" t="n"/>
      <c r="C203" s="10">
        <f>IF($AB203="","",IF(INDEX(기본자료!$C$2:$C$1001,$AB203)="","",INDEX(기본자료!$C$2:$C$1001,$AB203)))</f>
        <v/>
      </c>
      <c r="D203" s="10">
        <f>IF($AB203="","",IF(INDEX(기본자료!$J$2:$J$1001,$AB203)="","",INDEX(기본자료!$J$2:$J$1001,$AB203)))</f>
        <v/>
      </c>
      <c r="E203" s="11">
        <f>IF($AB203="","",IF(INDEX(기본자료!$K$2:$K$1001,$AB203)="","",IF(NOT(ISNUMBER(INDEX(기본자료!$K$2:$K$1001,$AB203))),INDEX(기본자료!$K$2:$K$1001,$AB203),IF(INDEX(기본자료!$K$2:$K$1001,$AB203)&lt;1000000,INDEX(기본자료!$K$2:$K$1001,$AB203),IF(AND(INDEX(기본자료!$K$2:$K$1001,$AB203)&gt;=10000101,INT(MOD(INDEX(기본자료!$K$2:$K$1001,$AB203),10000)/100)&gt;=1,INT(MOD(INDEX(기본자료!$K$2:$K$1001,$AB203),10000)/100)&lt;=12,MOD(INDEX(기본자료!$K$2:$K$1001,$AB203),100)&gt;=1,MOD(INDEX(기본자료!$K$2:$K$1001,$AB203),100)&lt;=31),DATE(INT(INDEX(기본자료!$K$2:$K$1001,$AB203)/10000),INT(MOD(INDEX(기본자료!$K$2:$K$1001,$AB203),10000)/100),MOD(INDEX(기본자료!$K$2:$K$1001,$AB203),100)),INDEX(기본자료!$K$2:$K$1001,$AB203)&amp;"")))))</f>
        <v/>
      </c>
      <c r="F203" s="10">
        <f>IF($AB203="","",IF(INDEX(기본자료!$D$2:$D$1001,$AB203)="","",INDEX(기본자료!$D$2:$D$1001,$AB203)))</f>
        <v/>
      </c>
      <c r="G203" s="10">
        <f>IF($AB203="","",IF(INDEX(기본자료!$E$2:$E$1001,$AB203)="","",INDEX(기본자료!$E$2:$E$1001,$AB203)))</f>
        <v/>
      </c>
      <c r="H203" s="10">
        <f>IF($AB203="","",IF(INDEX(기본자료!$F$2:$F$1001,$AB203)="","",INDEX(기본자료!$F$2:$F$1001,$AB203)))</f>
        <v/>
      </c>
      <c r="I203" s="11">
        <f>IF($AB203="","",IF(INDEX(기본자료!$G$2:$G$1001,$AB203)="","",IF(NOT(ISNUMBER(INDEX(기본자료!$G$2:$G$1001,$AB203))),INDEX(기본자료!$G$2:$G$1001,$AB203),IF(INDEX(기본자료!$G$2:$G$1001,$AB203)&lt;1000000,INDEX(기본자료!$G$2:$G$1001,$AB203),IF(AND(INDEX(기본자료!$G$2:$G$1001,$AB203)&gt;=10000101,INT(MOD(INDEX(기본자료!$G$2:$G$1001,$AB203),10000)/100)&gt;=1,INT(MOD(INDEX(기본자료!$G$2:$G$1001,$AB203),10000)/100)&lt;=12,MOD(INDEX(기본자료!$G$2:$G$1001,$AB203),100)&gt;=1,MOD(INDEX(기본자료!$G$2:$G$1001,$AB203),100)&lt;=31),DATE(INT(INDEX(기본자료!$G$2:$G$1001,$AB203)/10000),INT(MOD(INDEX(기본자료!$G$2:$G$1001,$AB203),10000)/100),MOD(INDEX(기본자료!$G$2:$G$1001,$AB203),100)),INDEX(기본자료!$G$2:$G$1001,$AB203)&amp;"")))))</f>
        <v/>
      </c>
      <c r="J203" s="10">
        <f>IF($AB203="","",IF(INDEX(기본자료!$H$2:$H$1001,$AB203)="","",INDEX(기본자료!$H$2:$H$1001,$AB203)))</f>
        <v/>
      </c>
      <c r="K203" s="10">
        <f>IF($AB203="","",IF(INDEX(기본자료!$I$2:$I$1001,$AB203)="","",INDEX(기본자료!$I$2:$I$1001,$AB203)))</f>
        <v/>
      </c>
      <c r="L203" s="10">
        <f>IF($AB203="","",IF(INDEX(기본자료!$A$2:$A$1001,$AB203)="","",INDEX(기본자료!$A$2:$A$1001,$AB203)))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파견수련계획!$AB$4:$AB$803,$AK203),OR(NOT(ISNUMBER(INDEX(파견수련계획!$AC$4:$AC$803,$AK203))),TODAY()&lt;=INDEX(파견수련계획!$AC$4:$AC$803,$AK203))),"다기관",IF($AF203="","",INDEX(파견수련계획!$T$4:$T$803,$AF203))),IF($AF203="","",INDEX(파견수련계획!$T$4:$T$803,$AF203))))</f>
        <v/>
      </c>
      <c r="Q203" s="10">
        <f>IF($AF203="","",INDEX(파견수련계획!$S$4:$S$803,$AF203))</f>
        <v/>
      </c>
      <c r="R203" s="10">
        <f>IF($AF203="","",INDEX(파견수련계획!$U$4:$U$803,$AF203))</f>
        <v/>
      </c>
      <c r="S203" s="11">
        <f>IF($AF203="","",IF(INDEX(파견수련계획!$H$4:$H$803,$AF203)="","",INDEX(파견수련계획!$H$4:$H$803,$AF203)))</f>
        <v/>
      </c>
      <c r="T203" s="11">
        <f>IF($AF203="","",IF(INDEX(파견수련계획!$I$4:$I$803,$AF203)="","",INDEX(파견수련계획!$I$4:$I$803,$AF203)))</f>
        <v/>
      </c>
      <c r="U203" s="10">
        <f>IF($AF203="","",INDEX(파견수련계획!$X$4:$X$803,$AF203))</f>
        <v/>
      </c>
      <c r="V203" s="17">
        <f>IF($AF203="","",INDEX(파견수련계획!$V$4:$V$803,$AF203))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IF(OR($B203="",TRIM($J203&amp;"")=""),"",SUMPRODUCT((파견수련계획!$Q$4:$Q$803=TRIM($J203&amp;""))*파견수련계획!$W$4:$W$803))</f>
        <v/>
      </c>
      <c r="Y203" s="10">
        <f>IF($B203="","",IF($AG203="","",IF(IF(TRIM($J203&amp;"")="",0,SUMPRODUCT((파견수련계획!$Q$4:$Q$803=TRIM($J203&amp;""))*파견수련계획!$AD$4:$AD$803))&gt;0,$AE203,IF(N($X203)&lt;=0,$AG203,IF($AH203+$AI203=DAY(EOMONTH(요약!$B$3,0)),IF(AND($AH203&gt;=요약!$E$3,$AI203&lt;요약!$E$3),"서울병원",IF(AND($AI203&gt;=요약!$E$3,$AH203&lt;요약!$E$3),"구리병원","⚠15일 판정불가(서울 "&amp;$AH203&amp;"일/구리 "&amp;$AI203&amp;"일)")),IF($AJ203="",$AE203,IF(INDEX(파견수련계획!$T$4:$T$803,$AJ203)="통합수련",INDEX(파견수련계획!$S$4:$S$803,$AJ203),$AE203)))))))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입력",IF(IF(TRIM($J203&amp;"")="",0,SUMPRODUCT((파견수련계획!$Q$4:$Q$803=TRIM($J203&amp;""))*(파견수련계획!$AA$4:$AA$803&lt;&gt;"")))&gt;0,"파견수련계획 입력오류 확인",IF(LEFT($Y203,1)="⚠","서울·구리 15일 판정 불가(양쪽 모두 이상/미만)",IF(IF($AC203="",0,N(INDEX(인턴근무계획!$T$3:$T$402,$AC203)))&gt;0,"인턴계획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IF($B203="","",IFERROR(MATCH($B203,기본자료!$B$2:$B$1001,0),IFERROR(MATCH($B203&amp;"",기본자료!$B$2:$B$1001,0),IFERROR(MATCH(VALUE($B203),기본자료!$B$2:$B$1001,0),""))))</f>
        <v/>
      </c>
      <c r="AC203" s="10">
        <f>IF($B203="","",IFERROR(MATCH($B203,인턴근무계획!$D$3:$D$402,0),IFERROR(MATCH($B203&amp;"",인턴근무계획!$D$3:$D$402,0),IFERROR(MATCH(VALUE($B203),인턴근무계획!$D$3:$D$402,0),""))))</f>
        <v/>
      </c>
      <c r="AD203" s="10">
        <f>IF(OR($AC203="",인턴현황!$G$3=""),"",INDEX(인턴근무계획!$M$3:$R$402,$AC203,인턴현황!$G$3)&amp;"")</f>
        <v/>
      </c>
      <c r="AE203" s="10">
        <f>IF($B203="","",IF($M203&lt;&gt;"",$M203,IF($AF203&lt;&gt;"",IF(LEFT(INDEX(파견수련계획!$R$4:$R$803,$AF203),1)&lt;&gt;"⚠",INDEX(파견수련계획!$R$4:$R$803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파견수련계획!$Y$4:$Y$803,0),IFERROR(MATCH(TRIM($J203&amp;"")&amp;"|파견예정",파견수련계획!$Y$4:$Y$803,0),IFERROR(MATCH(TRIM($J203&amp;"")&amp;"|파견종료",파견수련계획!$Y$4:$Y$803,0),""))))</f>
        <v/>
      </c>
      <c r="AG203" s="10">
        <f>IF($B203="","",IF(AND(IF(OR($AC203="",인턴현황!$K$2=""),"",INDEX(인턴근무계획!$M$3:$R$402,$AC203,인턴현황!$K$2)&amp;"")&lt;&gt;"",LEFT(IF(OR($AC203="",인턴현황!$K$2=""),"",INDEX(인턴근무계획!$M$3:$R$402,$AC203,인턴현황!$K$2)&amp;""),1)&lt;&gt;"⚠"),LEFT(IF(OR($AC203="",인턴현황!$K$2=""),"",INDEX(인턴근무계획!$M$3:$R$402,$AC203,인턴현황!$K$2)&amp;""),FIND(" ",IF(OR($AC203="",인턴현황!$K$2=""),"",INDEX(인턴근무계획!$M$3:$R$402,$AC203,인턴현황!$K$2)&amp;""))-1),$AE203))</f>
        <v/>
      </c>
      <c r="AH203" s="17">
        <f>IF($B203="","",IF(TRIM($J203&amp;"")="",0,SUMPRODUCT((파견수련계획!$Q$4:$Q$803=TRIM($J203&amp;""))*(파견수련계획!$S$4:$S$803="서울병원")*파견수련계획!$W$4:$W$803))+IF($AG203="서울병원",MAX(0,DAY(EOMONTH(요약!$B$3,0))-N($X203)),0))</f>
        <v/>
      </c>
      <c r="AI203" s="17">
        <f>IF($B203="","",IF(TRIM($J203&amp;"")="",0,SUMPRODUCT((파견수련계획!$Q$4:$Q$803=TRIM($J203&amp;""))*(파견수련계획!$S$4:$S$803="구리병원")*파견수련계획!$W$4:$W$803))+IF($AG203="구리병원",MAX(0,DAY(EOMONTH(요약!$B$3,0))-N($X203)),0))</f>
        <v/>
      </c>
      <c r="AJ203" s="10">
        <f>IF(OR($B203="",TRIM($J203&amp;"")=""),"",IFERROR(MATCH(TRIM($J203&amp;"")&amp;"|월",파견수련계획!$Z$4:$Z$803,0),""))</f>
        <v/>
      </c>
      <c r="AK203" s="10">
        <f>IF(OR($B203="",TRIM($J203&amp;"")=""),"",IFERROR(MATCH(TRIM($J203&amp;"")&amp;"|다기관",파견수련계획!$AE$4:$AE$803,0),""))</f>
        <v/>
      </c>
      <c r="AL203" s="10">
        <f>IF($AK203="","","다기관 "&amp;TEXT(INDEX(파견수련계획!$AB$4:$AB$803,$AK203),"yyyy-mm-dd")&amp;"~"&amp;IF(ISNUMBER(INDEX(파견수련계획!$AC$4:$AC$803,$AK203)),TEXT(INDEX(파견수련계획!$AC$4:$AC$803,$AK203),"yyyy-mm-dd"),""))</f>
        <v/>
      </c>
    </row>
    <row r="204">
      <c r="A204" s="10">
        <f>IF(B204="","",ROW()-1)</f>
        <v/>
      </c>
      <c r="B204" s="18" t="n"/>
      <c r="C204" s="10">
        <f>IF($AB204="","",IF(INDEX(기본자료!$C$2:$C$1001,$AB204)="","",INDEX(기본자료!$C$2:$C$1001,$AB204)))</f>
        <v/>
      </c>
      <c r="D204" s="10">
        <f>IF($AB204="","",IF(INDEX(기본자료!$J$2:$J$1001,$AB204)="","",INDEX(기본자료!$J$2:$J$1001,$AB204)))</f>
        <v/>
      </c>
      <c r="E204" s="11">
        <f>IF($AB204="","",IF(INDEX(기본자료!$K$2:$K$1001,$AB204)="","",IF(NOT(ISNUMBER(INDEX(기본자료!$K$2:$K$1001,$AB204))),INDEX(기본자료!$K$2:$K$1001,$AB204),IF(INDEX(기본자료!$K$2:$K$1001,$AB204)&lt;1000000,INDEX(기본자료!$K$2:$K$1001,$AB204),IF(AND(INDEX(기본자료!$K$2:$K$1001,$AB204)&gt;=10000101,INT(MOD(INDEX(기본자료!$K$2:$K$1001,$AB204),10000)/100)&gt;=1,INT(MOD(INDEX(기본자료!$K$2:$K$1001,$AB204),10000)/100)&lt;=12,MOD(INDEX(기본자료!$K$2:$K$1001,$AB204),100)&gt;=1,MOD(INDEX(기본자료!$K$2:$K$1001,$AB204),100)&lt;=31),DATE(INT(INDEX(기본자료!$K$2:$K$1001,$AB204)/10000),INT(MOD(INDEX(기본자료!$K$2:$K$1001,$AB204),10000)/100),MOD(INDEX(기본자료!$K$2:$K$1001,$AB204),100)),INDEX(기본자료!$K$2:$K$1001,$AB204)&amp;"")))))</f>
        <v/>
      </c>
      <c r="F204" s="10">
        <f>IF($AB204="","",IF(INDEX(기본자료!$D$2:$D$1001,$AB204)="","",INDEX(기본자료!$D$2:$D$1001,$AB204)))</f>
        <v/>
      </c>
      <c r="G204" s="10">
        <f>IF($AB204="","",IF(INDEX(기본자료!$E$2:$E$1001,$AB204)="","",INDEX(기본자료!$E$2:$E$1001,$AB204)))</f>
        <v/>
      </c>
      <c r="H204" s="10">
        <f>IF($AB204="","",IF(INDEX(기본자료!$F$2:$F$1001,$AB204)="","",INDEX(기본자료!$F$2:$F$1001,$AB204)))</f>
        <v/>
      </c>
      <c r="I204" s="11">
        <f>IF($AB204="","",IF(INDEX(기본자료!$G$2:$G$1001,$AB204)="","",IF(NOT(ISNUMBER(INDEX(기본자료!$G$2:$G$1001,$AB204))),INDEX(기본자료!$G$2:$G$1001,$AB204),IF(INDEX(기본자료!$G$2:$G$1001,$AB204)&lt;1000000,INDEX(기본자료!$G$2:$G$1001,$AB204),IF(AND(INDEX(기본자료!$G$2:$G$1001,$AB204)&gt;=10000101,INT(MOD(INDEX(기본자료!$G$2:$G$1001,$AB204),10000)/100)&gt;=1,INT(MOD(INDEX(기본자료!$G$2:$G$1001,$AB204),10000)/100)&lt;=12,MOD(INDEX(기본자료!$G$2:$G$1001,$AB204),100)&gt;=1,MOD(INDEX(기본자료!$G$2:$G$1001,$AB204),100)&lt;=31),DATE(INT(INDEX(기본자료!$G$2:$G$1001,$AB204)/10000),INT(MOD(INDEX(기본자료!$G$2:$G$1001,$AB204),10000)/100),MOD(INDEX(기본자료!$G$2:$G$1001,$AB204),100)),INDEX(기본자료!$G$2:$G$1001,$AB204)&amp;"")))))</f>
        <v/>
      </c>
      <c r="J204" s="10">
        <f>IF($AB204="","",IF(INDEX(기본자료!$H$2:$H$1001,$AB204)="","",INDEX(기본자료!$H$2:$H$1001,$AB204)))</f>
        <v/>
      </c>
      <c r="K204" s="10">
        <f>IF($AB204="","",IF(INDEX(기본자료!$I$2:$I$1001,$AB204)="","",INDEX(기본자료!$I$2:$I$1001,$AB204)))</f>
        <v/>
      </c>
      <c r="L204" s="10">
        <f>IF($AB204="","",IF(INDEX(기본자료!$A$2:$A$1001,$AB204)="","",INDEX(기본자료!$A$2:$A$1001,$AB204)))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파견수련계획!$AB$4:$AB$803,$AK204),OR(NOT(ISNUMBER(INDEX(파견수련계획!$AC$4:$AC$803,$AK204))),TODAY()&lt;=INDEX(파견수련계획!$AC$4:$AC$803,$AK204))),"다기관",IF($AF204="","",INDEX(파견수련계획!$T$4:$T$803,$AF204))),IF($AF204="","",INDEX(파견수련계획!$T$4:$T$803,$AF204))))</f>
        <v/>
      </c>
      <c r="Q204" s="10">
        <f>IF($AF204="","",INDEX(파견수련계획!$S$4:$S$803,$AF204))</f>
        <v/>
      </c>
      <c r="R204" s="10">
        <f>IF($AF204="","",INDEX(파견수련계획!$U$4:$U$803,$AF204))</f>
        <v/>
      </c>
      <c r="S204" s="11">
        <f>IF($AF204="","",IF(INDEX(파견수련계획!$H$4:$H$803,$AF204)="","",INDEX(파견수련계획!$H$4:$H$803,$AF204)))</f>
        <v/>
      </c>
      <c r="T204" s="11">
        <f>IF($AF204="","",IF(INDEX(파견수련계획!$I$4:$I$803,$AF204)="","",INDEX(파견수련계획!$I$4:$I$803,$AF204)))</f>
        <v/>
      </c>
      <c r="U204" s="10">
        <f>IF($AF204="","",INDEX(파견수련계획!$X$4:$X$803,$AF204))</f>
        <v/>
      </c>
      <c r="V204" s="17">
        <f>IF($AF204="","",INDEX(파견수련계획!$V$4:$V$803,$AF204))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IF(OR($B204="",TRIM($J204&amp;"")=""),"",SUMPRODUCT((파견수련계획!$Q$4:$Q$803=TRIM($J204&amp;""))*파견수련계획!$W$4:$W$803))</f>
        <v/>
      </c>
      <c r="Y204" s="10">
        <f>IF($B204="","",IF($AG204="","",IF(IF(TRIM($J204&amp;"")="",0,SUMPRODUCT((파견수련계획!$Q$4:$Q$803=TRIM($J204&amp;""))*파견수련계획!$AD$4:$AD$803))&gt;0,$AE204,IF(N($X204)&lt;=0,$AG204,IF($AH204+$AI204=DAY(EOMONTH(요약!$B$3,0)),IF(AND($AH204&gt;=요약!$E$3,$AI204&lt;요약!$E$3),"서울병원",IF(AND($AI204&gt;=요약!$E$3,$AH204&lt;요약!$E$3),"구리병원","⚠15일 판정불가(서울 "&amp;$AH204&amp;"일/구리 "&amp;$AI204&amp;"일)")),IF($AJ204="",$AE204,IF(INDEX(파견수련계획!$T$4:$T$803,$AJ204)="통합수련",INDEX(파견수련계획!$S$4:$S$803,$AJ204),$AE204)))))))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입력",IF(IF(TRIM($J204&amp;"")="",0,SUMPRODUCT((파견수련계획!$Q$4:$Q$803=TRIM($J204&amp;""))*(파견수련계획!$AA$4:$AA$803&lt;&gt;"")))&gt;0,"파견수련계획 입력오류 확인",IF(LEFT($Y204,1)="⚠","서울·구리 15일 판정 불가(양쪽 모두 이상/미만)",IF(IF($AC204="",0,N(INDEX(인턴근무계획!$T$3:$T$402,$AC204)))&gt;0,"인턴계획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IF($B204="","",IFERROR(MATCH($B204,기본자료!$B$2:$B$1001,0),IFERROR(MATCH($B204&amp;"",기본자료!$B$2:$B$1001,0),IFERROR(MATCH(VALUE($B204),기본자료!$B$2:$B$1001,0),""))))</f>
        <v/>
      </c>
      <c r="AC204" s="10">
        <f>IF($B204="","",IFERROR(MATCH($B204,인턴근무계획!$D$3:$D$402,0),IFERROR(MATCH($B204&amp;"",인턴근무계획!$D$3:$D$402,0),IFERROR(MATCH(VALUE($B204),인턴근무계획!$D$3:$D$402,0),""))))</f>
        <v/>
      </c>
      <c r="AD204" s="10">
        <f>IF(OR($AC204="",인턴현황!$G$3=""),"",INDEX(인턴근무계획!$M$3:$R$402,$AC204,인턴현황!$G$3)&amp;"")</f>
        <v/>
      </c>
      <c r="AE204" s="10">
        <f>IF($B204="","",IF($M204&lt;&gt;"",$M204,IF($AF204&lt;&gt;"",IF(LEFT(INDEX(파견수련계획!$R$4:$R$803,$AF204),1)&lt;&gt;"⚠",INDEX(파견수련계획!$R$4:$R$803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파견수련계획!$Y$4:$Y$803,0),IFERROR(MATCH(TRIM($J204&amp;"")&amp;"|파견예정",파견수련계획!$Y$4:$Y$803,0),IFERROR(MATCH(TRIM($J204&amp;"")&amp;"|파견종료",파견수련계획!$Y$4:$Y$803,0),""))))</f>
        <v/>
      </c>
      <c r="AG204" s="10">
        <f>IF($B204="","",IF(AND(IF(OR($AC204="",인턴현황!$K$2=""),"",INDEX(인턴근무계획!$M$3:$R$402,$AC204,인턴현황!$K$2)&amp;"")&lt;&gt;"",LEFT(IF(OR($AC204="",인턴현황!$K$2=""),"",INDEX(인턴근무계획!$M$3:$R$402,$AC204,인턴현황!$K$2)&amp;""),1)&lt;&gt;"⚠"),LEFT(IF(OR($AC204="",인턴현황!$K$2=""),"",INDEX(인턴근무계획!$M$3:$R$402,$AC204,인턴현황!$K$2)&amp;""),FIND(" ",IF(OR($AC204="",인턴현황!$K$2=""),"",INDEX(인턴근무계획!$M$3:$R$402,$AC204,인턴현황!$K$2)&amp;""))-1),$AE204))</f>
        <v/>
      </c>
      <c r="AH204" s="17">
        <f>IF($B204="","",IF(TRIM($J204&amp;"")="",0,SUMPRODUCT((파견수련계획!$Q$4:$Q$803=TRIM($J204&amp;""))*(파견수련계획!$S$4:$S$803="서울병원")*파견수련계획!$W$4:$W$803))+IF($AG204="서울병원",MAX(0,DAY(EOMONTH(요약!$B$3,0))-N($X204)),0))</f>
        <v/>
      </c>
      <c r="AI204" s="17">
        <f>IF($B204="","",IF(TRIM($J204&amp;"")="",0,SUMPRODUCT((파견수련계획!$Q$4:$Q$803=TRIM($J204&amp;""))*(파견수련계획!$S$4:$S$803="구리병원")*파견수련계획!$W$4:$W$803))+IF($AG204="구리병원",MAX(0,DAY(EOMONTH(요약!$B$3,0))-N($X204)),0))</f>
        <v/>
      </c>
      <c r="AJ204" s="10">
        <f>IF(OR($B204="",TRIM($J204&amp;"")=""),"",IFERROR(MATCH(TRIM($J204&amp;"")&amp;"|월",파견수련계획!$Z$4:$Z$803,0),""))</f>
        <v/>
      </c>
      <c r="AK204" s="10">
        <f>IF(OR($B204="",TRIM($J204&amp;"")=""),"",IFERROR(MATCH(TRIM($J204&amp;"")&amp;"|다기관",파견수련계획!$AE$4:$AE$803,0),""))</f>
        <v/>
      </c>
      <c r="AL204" s="10">
        <f>IF($AK204="","","다기관 "&amp;TEXT(INDEX(파견수련계획!$AB$4:$AB$803,$AK204),"yyyy-mm-dd")&amp;"~"&amp;IF(ISNUMBER(INDEX(파견수련계획!$AC$4:$AC$803,$AK204)),TEXT(INDEX(파견수련계획!$AC$4:$AC$803,$AK204),"yyyy-mm-dd"),""))</f>
        <v/>
      </c>
    </row>
    <row r="205">
      <c r="A205" s="10">
        <f>IF(B205="","",ROW()-1)</f>
        <v/>
      </c>
      <c r="B205" s="18" t="n"/>
      <c r="C205" s="10">
        <f>IF($AB205="","",IF(INDEX(기본자료!$C$2:$C$1001,$AB205)="","",INDEX(기본자료!$C$2:$C$1001,$AB205)))</f>
        <v/>
      </c>
      <c r="D205" s="10">
        <f>IF($AB205="","",IF(INDEX(기본자료!$J$2:$J$1001,$AB205)="","",INDEX(기본자료!$J$2:$J$1001,$AB205)))</f>
        <v/>
      </c>
      <c r="E205" s="11">
        <f>IF($AB205="","",IF(INDEX(기본자료!$K$2:$K$1001,$AB205)="","",IF(NOT(ISNUMBER(INDEX(기본자료!$K$2:$K$1001,$AB205))),INDEX(기본자료!$K$2:$K$1001,$AB205),IF(INDEX(기본자료!$K$2:$K$1001,$AB205)&lt;1000000,INDEX(기본자료!$K$2:$K$1001,$AB205),IF(AND(INDEX(기본자료!$K$2:$K$1001,$AB205)&gt;=10000101,INT(MOD(INDEX(기본자료!$K$2:$K$1001,$AB205),10000)/100)&gt;=1,INT(MOD(INDEX(기본자료!$K$2:$K$1001,$AB205),10000)/100)&lt;=12,MOD(INDEX(기본자료!$K$2:$K$1001,$AB205),100)&gt;=1,MOD(INDEX(기본자료!$K$2:$K$1001,$AB205),100)&lt;=31),DATE(INT(INDEX(기본자료!$K$2:$K$1001,$AB205)/10000),INT(MOD(INDEX(기본자료!$K$2:$K$1001,$AB205),10000)/100),MOD(INDEX(기본자료!$K$2:$K$1001,$AB205),100)),INDEX(기본자료!$K$2:$K$1001,$AB205)&amp;"")))))</f>
        <v/>
      </c>
      <c r="F205" s="10">
        <f>IF($AB205="","",IF(INDEX(기본자료!$D$2:$D$1001,$AB205)="","",INDEX(기본자료!$D$2:$D$1001,$AB205)))</f>
        <v/>
      </c>
      <c r="G205" s="10">
        <f>IF($AB205="","",IF(INDEX(기본자료!$E$2:$E$1001,$AB205)="","",INDEX(기본자료!$E$2:$E$1001,$AB205)))</f>
        <v/>
      </c>
      <c r="H205" s="10">
        <f>IF($AB205="","",IF(INDEX(기본자료!$F$2:$F$1001,$AB205)="","",INDEX(기본자료!$F$2:$F$1001,$AB205)))</f>
        <v/>
      </c>
      <c r="I205" s="11">
        <f>IF($AB205="","",IF(INDEX(기본자료!$G$2:$G$1001,$AB205)="","",IF(NOT(ISNUMBER(INDEX(기본자료!$G$2:$G$1001,$AB205))),INDEX(기본자료!$G$2:$G$1001,$AB205),IF(INDEX(기본자료!$G$2:$G$1001,$AB205)&lt;1000000,INDEX(기본자료!$G$2:$G$1001,$AB205),IF(AND(INDEX(기본자료!$G$2:$G$1001,$AB205)&gt;=10000101,INT(MOD(INDEX(기본자료!$G$2:$G$1001,$AB205),10000)/100)&gt;=1,INT(MOD(INDEX(기본자료!$G$2:$G$1001,$AB205),10000)/100)&lt;=12,MOD(INDEX(기본자료!$G$2:$G$1001,$AB205),100)&gt;=1,MOD(INDEX(기본자료!$G$2:$G$1001,$AB205),100)&lt;=31),DATE(INT(INDEX(기본자료!$G$2:$G$1001,$AB205)/10000),INT(MOD(INDEX(기본자료!$G$2:$G$1001,$AB205),10000)/100),MOD(INDEX(기본자료!$G$2:$G$1001,$AB205),100)),INDEX(기본자료!$G$2:$G$1001,$AB205)&amp;"")))))</f>
        <v/>
      </c>
      <c r="J205" s="10">
        <f>IF($AB205="","",IF(INDEX(기본자료!$H$2:$H$1001,$AB205)="","",INDEX(기본자료!$H$2:$H$1001,$AB205)))</f>
        <v/>
      </c>
      <c r="K205" s="10">
        <f>IF($AB205="","",IF(INDEX(기본자료!$I$2:$I$1001,$AB205)="","",INDEX(기본자료!$I$2:$I$1001,$AB205)))</f>
        <v/>
      </c>
      <c r="L205" s="10">
        <f>IF($AB205="","",IF(INDEX(기본자료!$A$2:$A$1001,$AB205)="","",INDEX(기본자료!$A$2:$A$1001,$AB205)))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파견수련계획!$AB$4:$AB$803,$AK205),OR(NOT(ISNUMBER(INDEX(파견수련계획!$AC$4:$AC$803,$AK205))),TODAY()&lt;=INDEX(파견수련계획!$AC$4:$AC$803,$AK205))),"다기관",IF($AF205="","",INDEX(파견수련계획!$T$4:$T$803,$AF205))),IF($AF205="","",INDEX(파견수련계획!$T$4:$T$803,$AF205))))</f>
        <v/>
      </c>
      <c r="Q205" s="10">
        <f>IF($AF205="","",INDEX(파견수련계획!$S$4:$S$803,$AF205))</f>
        <v/>
      </c>
      <c r="R205" s="10">
        <f>IF($AF205="","",INDEX(파견수련계획!$U$4:$U$803,$AF205))</f>
        <v/>
      </c>
      <c r="S205" s="11">
        <f>IF($AF205="","",IF(INDEX(파견수련계획!$H$4:$H$803,$AF205)="","",INDEX(파견수련계획!$H$4:$H$803,$AF205)))</f>
        <v/>
      </c>
      <c r="T205" s="11">
        <f>IF($AF205="","",IF(INDEX(파견수련계획!$I$4:$I$803,$AF205)="","",INDEX(파견수련계획!$I$4:$I$803,$AF205)))</f>
        <v/>
      </c>
      <c r="U205" s="10">
        <f>IF($AF205="","",INDEX(파견수련계획!$X$4:$X$803,$AF205))</f>
        <v/>
      </c>
      <c r="V205" s="17">
        <f>IF($AF205="","",INDEX(파견수련계획!$V$4:$V$803,$AF205))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IF(OR($B205="",TRIM($J205&amp;"")=""),"",SUMPRODUCT((파견수련계획!$Q$4:$Q$803=TRIM($J205&amp;""))*파견수련계획!$W$4:$W$803))</f>
        <v/>
      </c>
      <c r="Y205" s="10">
        <f>IF($B205="","",IF($AG205="","",IF(IF(TRIM($J205&amp;"")="",0,SUMPRODUCT((파견수련계획!$Q$4:$Q$803=TRIM($J205&amp;""))*파견수련계획!$AD$4:$AD$803))&gt;0,$AE205,IF(N($X205)&lt;=0,$AG205,IF($AH205+$AI205=DAY(EOMONTH(요약!$B$3,0)),IF(AND($AH205&gt;=요약!$E$3,$AI205&lt;요약!$E$3),"서울병원",IF(AND($AI205&gt;=요약!$E$3,$AH205&lt;요약!$E$3),"구리병원","⚠15일 판정불가(서울 "&amp;$AH205&amp;"일/구리 "&amp;$AI205&amp;"일)")),IF($AJ205="",$AE205,IF(INDEX(파견수련계획!$T$4:$T$803,$AJ205)="통합수련",INDEX(파견수련계획!$S$4:$S$803,$AJ205),$AE205)))))))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입력",IF(IF(TRIM($J205&amp;"")="",0,SUMPRODUCT((파견수련계획!$Q$4:$Q$803=TRIM($J205&amp;""))*(파견수련계획!$AA$4:$AA$803&lt;&gt;"")))&gt;0,"파견수련계획 입력오류 확인",IF(LEFT($Y205,1)="⚠","서울·구리 15일 판정 불가(양쪽 모두 이상/미만)",IF(IF($AC205="",0,N(INDEX(인턴근무계획!$T$3:$T$402,$AC205)))&gt;0,"인턴계획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IF($B205="","",IFERROR(MATCH($B205,기본자료!$B$2:$B$1001,0),IFERROR(MATCH($B205&amp;"",기본자료!$B$2:$B$1001,0),IFERROR(MATCH(VALUE($B205),기본자료!$B$2:$B$1001,0),""))))</f>
        <v/>
      </c>
      <c r="AC205" s="10">
        <f>IF($B205="","",IFERROR(MATCH($B205,인턴근무계획!$D$3:$D$402,0),IFERROR(MATCH($B205&amp;"",인턴근무계획!$D$3:$D$402,0),IFERROR(MATCH(VALUE($B205),인턴근무계획!$D$3:$D$402,0),""))))</f>
        <v/>
      </c>
      <c r="AD205" s="10">
        <f>IF(OR($AC205="",인턴현황!$G$3=""),"",INDEX(인턴근무계획!$M$3:$R$402,$AC205,인턴현황!$G$3)&amp;"")</f>
        <v/>
      </c>
      <c r="AE205" s="10">
        <f>IF($B205="","",IF($M205&lt;&gt;"",$M205,IF($AF205&lt;&gt;"",IF(LEFT(INDEX(파견수련계획!$R$4:$R$803,$AF205),1)&lt;&gt;"⚠",INDEX(파견수련계획!$R$4:$R$803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파견수련계획!$Y$4:$Y$803,0),IFERROR(MATCH(TRIM($J205&amp;"")&amp;"|파견예정",파견수련계획!$Y$4:$Y$803,0),IFERROR(MATCH(TRIM($J205&amp;"")&amp;"|파견종료",파견수련계획!$Y$4:$Y$803,0),""))))</f>
        <v/>
      </c>
      <c r="AG205" s="10">
        <f>IF($B205="","",IF(AND(IF(OR($AC205="",인턴현황!$K$2=""),"",INDEX(인턴근무계획!$M$3:$R$402,$AC205,인턴현황!$K$2)&amp;"")&lt;&gt;"",LEFT(IF(OR($AC205="",인턴현황!$K$2=""),"",INDEX(인턴근무계획!$M$3:$R$402,$AC205,인턴현황!$K$2)&amp;""),1)&lt;&gt;"⚠"),LEFT(IF(OR($AC205="",인턴현황!$K$2=""),"",INDEX(인턴근무계획!$M$3:$R$402,$AC205,인턴현황!$K$2)&amp;""),FIND(" ",IF(OR($AC205="",인턴현황!$K$2=""),"",INDEX(인턴근무계획!$M$3:$R$402,$AC205,인턴현황!$K$2)&amp;""))-1),$AE205))</f>
        <v/>
      </c>
      <c r="AH205" s="17">
        <f>IF($B205="","",IF(TRIM($J205&amp;"")="",0,SUMPRODUCT((파견수련계획!$Q$4:$Q$803=TRIM($J205&amp;""))*(파견수련계획!$S$4:$S$803="서울병원")*파견수련계획!$W$4:$W$803))+IF($AG205="서울병원",MAX(0,DAY(EOMONTH(요약!$B$3,0))-N($X205)),0))</f>
        <v/>
      </c>
      <c r="AI205" s="17">
        <f>IF($B205="","",IF(TRIM($J205&amp;"")="",0,SUMPRODUCT((파견수련계획!$Q$4:$Q$803=TRIM($J205&amp;""))*(파견수련계획!$S$4:$S$803="구리병원")*파견수련계획!$W$4:$W$803))+IF($AG205="구리병원",MAX(0,DAY(EOMONTH(요약!$B$3,0))-N($X205)),0))</f>
        <v/>
      </c>
      <c r="AJ205" s="10">
        <f>IF(OR($B205="",TRIM($J205&amp;"")=""),"",IFERROR(MATCH(TRIM($J205&amp;"")&amp;"|월",파견수련계획!$Z$4:$Z$803,0),""))</f>
        <v/>
      </c>
      <c r="AK205" s="10">
        <f>IF(OR($B205="",TRIM($J205&amp;"")=""),"",IFERROR(MATCH(TRIM($J205&amp;"")&amp;"|다기관",파견수련계획!$AE$4:$AE$803,0),""))</f>
        <v/>
      </c>
      <c r="AL205" s="10">
        <f>IF($AK205="","","다기관 "&amp;TEXT(INDEX(파견수련계획!$AB$4:$AB$803,$AK205),"yyyy-mm-dd")&amp;"~"&amp;IF(ISNUMBER(INDEX(파견수련계획!$AC$4:$AC$803,$AK205)),TEXT(INDEX(파견수련계획!$AC$4:$AC$803,$AK205),"yyyy-mm-dd"),""))</f>
        <v/>
      </c>
    </row>
    <row r="206">
      <c r="A206" s="10">
        <f>IF(B206="","",ROW()-1)</f>
        <v/>
      </c>
      <c r="B206" s="18" t="n"/>
      <c r="C206" s="10">
        <f>IF($AB206="","",IF(INDEX(기본자료!$C$2:$C$1001,$AB206)="","",INDEX(기본자료!$C$2:$C$1001,$AB206)))</f>
        <v/>
      </c>
      <c r="D206" s="10">
        <f>IF($AB206="","",IF(INDEX(기본자료!$J$2:$J$1001,$AB206)="","",INDEX(기본자료!$J$2:$J$1001,$AB206)))</f>
        <v/>
      </c>
      <c r="E206" s="11">
        <f>IF($AB206="","",IF(INDEX(기본자료!$K$2:$K$1001,$AB206)="","",IF(NOT(ISNUMBER(INDEX(기본자료!$K$2:$K$1001,$AB206))),INDEX(기본자료!$K$2:$K$1001,$AB206),IF(INDEX(기본자료!$K$2:$K$1001,$AB206)&lt;1000000,INDEX(기본자료!$K$2:$K$1001,$AB206),IF(AND(INDEX(기본자료!$K$2:$K$1001,$AB206)&gt;=10000101,INT(MOD(INDEX(기본자료!$K$2:$K$1001,$AB206),10000)/100)&gt;=1,INT(MOD(INDEX(기본자료!$K$2:$K$1001,$AB206),10000)/100)&lt;=12,MOD(INDEX(기본자료!$K$2:$K$1001,$AB206),100)&gt;=1,MOD(INDEX(기본자료!$K$2:$K$1001,$AB206),100)&lt;=31),DATE(INT(INDEX(기본자료!$K$2:$K$1001,$AB206)/10000),INT(MOD(INDEX(기본자료!$K$2:$K$1001,$AB206),10000)/100),MOD(INDEX(기본자료!$K$2:$K$1001,$AB206),100)),INDEX(기본자료!$K$2:$K$1001,$AB206)&amp;"")))))</f>
        <v/>
      </c>
      <c r="F206" s="10">
        <f>IF($AB206="","",IF(INDEX(기본자료!$D$2:$D$1001,$AB206)="","",INDEX(기본자료!$D$2:$D$1001,$AB206)))</f>
        <v/>
      </c>
      <c r="G206" s="10">
        <f>IF($AB206="","",IF(INDEX(기본자료!$E$2:$E$1001,$AB206)="","",INDEX(기본자료!$E$2:$E$1001,$AB206)))</f>
        <v/>
      </c>
      <c r="H206" s="10">
        <f>IF($AB206="","",IF(INDEX(기본자료!$F$2:$F$1001,$AB206)="","",INDEX(기본자료!$F$2:$F$1001,$AB206)))</f>
        <v/>
      </c>
      <c r="I206" s="11">
        <f>IF($AB206="","",IF(INDEX(기본자료!$G$2:$G$1001,$AB206)="","",IF(NOT(ISNUMBER(INDEX(기본자료!$G$2:$G$1001,$AB206))),INDEX(기본자료!$G$2:$G$1001,$AB206),IF(INDEX(기본자료!$G$2:$G$1001,$AB206)&lt;1000000,INDEX(기본자료!$G$2:$G$1001,$AB206),IF(AND(INDEX(기본자료!$G$2:$G$1001,$AB206)&gt;=10000101,INT(MOD(INDEX(기본자료!$G$2:$G$1001,$AB206),10000)/100)&gt;=1,INT(MOD(INDEX(기본자료!$G$2:$G$1001,$AB206),10000)/100)&lt;=12,MOD(INDEX(기본자료!$G$2:$G$1001,$AB206),100)&gt;=1,MOD(INDEX(기본자료!$G$2:$G$1001,$AB206),100)&lt;=31),DATE(INT(INDEX(기본자료!$G$2:$G$1001,$AB206)/10000),INT(MOD(INDEX(기본자료!$G$2:$G$1001,$AB206),10000)/100),MOD(INDEX(기본자료!$G$2:$G$1001,$AB206),100)),INDEX(기본자료!$G$2:$G$1001,$AB206)&amp;"")))))</f>
        <v/>
      </c>
      <c r="J206" s="10">
        <f>IF($AB206="","",IF(INDEX(기본자료!$H$2:$H$1001,$AB206)="","",INDEX(기본자료!$H$2:$H$1001,$AB206)))</f>
        <v/>
      </c>
      <c r="K206" s="10">
        <f>IF($AB206="","",IF(INDEX(기본자료!$I$2:$I$1001,$AB206)="","",INDEX(기본자료!$I$2:$I$1001,$AB206)))</f>
        <v/>
      </c>
      <c r="L206" s="10">
        <f>IF($AB206="","",IF(INDEX(기본자료!$A$2:$A$1001,$AB206)="","",INDEX(기본자료!$A$2:$A$1001,$AB206)))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파견수련계획!$AB$4:$AB$803,$AK206),OR(NOT(ISNUMBER(INDEX(파견수련계획!$AC$4:$AC$803,$AK206))),TODAY()&lt;=INDEX(파견수련계획!$AC$4:$AC$803,$AK206))),"다기관",IF($AF206="","",INDEX(파견수련계획!$T$4:$T$803,$AF206))),IF($AF206="","",INDEX(파견수련계획!$T$4:$T$803,$AF206))))</f>
        <v/>
      </c>
      <c r="Q206" s="10">
        <f>IF($AF206="","",INDEX(파견수련계획!$S$4:$S$803,$AF206))</f>
        <v/>
      </c>
      <c r="R206" s="10">
        <f>IF($AF206="","",INDEX(파견수련계획!$U$4:$U$803,$AF206))</f>
        <v/>
      </c>
      <c r="S206" s="11">
        <f>IF($AF206="","",IF(INDEX(파견수련계획!$H$4:$H$803,$AF206)="","",INDEX(파견수련계획!$H$4:$H$803,$AF206)))</f>
        <v/>
      </c>
      <c r="T206" s="11">
        <f>IF($AF206="","",IF(INDEX(파견수련계획!$I$4:$I$803,$AF206)="","",INDEX(파견수련계획!$I$4:$I$803,$AF206)))</f>
        <v/>
      </c>
      <c r="U206" s="10">
        <f>IF($AF206="","",INDEX(파견수련계획!$X$4:$X$803,$AF206))</f>
        <v/>
      </c>
      <c r="V206" s="17">
        <f>IF($AF206="","",INDEX(파견수련계획!$V$4:$V$803,$AF206))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IF(OR($B206="",TRIM($J206&amp;"")=""),"",SUMPRODUCT((파견수련계획!$Q$4:$Q$803=TRIM($J206&amp;""))*파견수련계획!$W$4:$W$803))</f>
        <v/>
      </c>
      <c r="Y206" s="10">
        <f>IF($B206="","",IF($AG206="","",IF(IF(TRIM($J206&amp;"")="",0,SUMPRODUCT((파견수련계획!$Q$4:$Q$803=TRIM($J206&amp;""))*파견수련계획!$AD$4:$AD$803))&gt;0,$AE206,IF(N($X206)&lt;=0,$AG206,IF($AH206+$AI206=DAY(EOMONTH(요약!$B$3,0)),IF(AND($AH206&gt;=요약!$E$3,$AI206&lt;요약!$E$3),"서울병원",IF(AND($AI206&gt;=요약!$E$3,$AH206&lt;요약!$E$3),"구리병원","⚠15일 판정불가(서울 "&amp;$AH206&amp;"일/구리 "&amp;$AI206&amp;"일)")),IF($AJ206="",$AE206,IF(INDEX(파견수련계획!$T$4:$T$803,$AJ206)="통합수련",INDEX(파견수련계획!$S$4:$S$803,$AJ206),$AE206)))))))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입력",IF(IF(TRIM($J206&amp;"")="",0,SUMPRODUCT((파견수련계획!$Q$4:$Q$803=TRIM($J206&amp;""))*(파견수련계획!$AA$4:$AA$803&lt;&gt;"")))&gt;0,"파견수련계획 입력오류 확인",IF(LEFT($Y206,1)="⚠","서울·구리 15일 판정 불가(양쪽 모두 이상/미만)",IF(IF($AC206="",0,N(INDEX(인턴근무계획!$T$3:$T$402,$AC206)))&gt;0,"인턴계획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IF($B206="","",IFERROR(MATCH($B206,기본자료!$B$2:$B$1001,0),IFERROR(MATCH($B206&amp;"",기본자료!$B$2:$B$1001,0),IFERROR(MATCH(VALUE($B206),기본자료!$B$2:$B$1001,0),""))))</f>
        <v/>
      </c>
      <c r="AC206" s="10">
        <f>IF($B206="","",IFERROR(MATCH($B206,인턴근무계획!$D$3:$D$402,0),IFERROR(MATCH($B206&amp;"",인턴근무계획!$D$3:$D$402,0),IFERROR(MATCH(VALUE($B206),인턴근무계획!$D$3:$D$402,0),""))))</f>
        <v/>
      </c>
      <c r="AD206" s="10">
        <f>IF(OR($AC206="",인턴현황!$G$3=""),"",INDEX(인턴근무계획!$M$3:$R$402,$AC206,인턴현황!$G$3)&amp;"")</f>
        <v/>
      </c>
      <c r="AE206" s="10">
        <f>IF($B206="","",IF($M206&lt;&gt;"",$M206,IF($AF206&lt;&gt;"",IF(LEFT(INDEX(파견수련계획!$R$4:$R$803,$AF206),1)&lt;&gt;"⚠",INDEX(파견수련계획!$R$4:$R$803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파견수련계획!$Y$4:$Y$803,0),IFERROR(MATCH(TRIM($J206&amp;"")&amp;"|파견예정",파견수련계획!$Y$4:$Y$803,0),IFERROR(MATCH(TRIM($J206&amp;"")&amp;"|파견종료",파견수련계획!$Y$4:$Y$803,0),""))))</f>
        <v/>
      </c>
      <c r="AG206" s="10">
        <f>IF($B206="","",IF(AND(IF(OR($AC206="",인턴현황!$K$2=""),"",INDEX(인턴근무계획!$M$3:$R$402,$AC206,인턴현황!$K$2)&amp;"")&lt;&gt;"",LEFT(IF(OR($AC206="",인턴현황!$K$2=""),"",INDEX(인턴근무계획!$M$3:$R$402,$AC206,인턴현황!$K$2)&amp;""),1)&lt;&gt;"⚠"),LEFT(IF(OR($AC206="",인턴현황!$K$2=""),"",INDEX(인턴근무계획!$M$3:$R$402,$AC206,인턴현황!$K$2)&amp;""),FIND(" ",IF(OR($AC206="",인턴현황!$K$2=""),"",INDEX(인턴근무계획!$M$3:$R$402,$AC206,인턴현황!$K$2)&amp;""))-1),$AE206))</f>
        <v/>
      </c>
      <c r="AH206" s="17">
        <f>IF($B206="","",IF(TRIM($J206&amp;"")="",0,SUMPRODUCT((파견수련계획!$Q$4:$Q$803=TRIM($J206&amp;""))*(파견수련계획!$S$4:$S$803="서울병원")*파견수련계획!$W$4:$W$803))+IF($AG206="서울병원",MAX(0,DAY(EOMONTH(요약!$B$3,0))-N($X206)),0))</f>
        <v/>
      </c>
      <c r="AI206" s="17">
        <f>IF($B206="","",IF(TRIM($J206&amp;"")="",0,SUMPRODUCT((파견수련계획!$Q$4:$Q$803=TRIM($J206&amp;""))*(파견수련계획!$S$4:$S$803="구리병원")*파견수련계획!$W$4:$W$803))+IF($AG206="구리병원",MAX(0,DAY(EOMONTH(요약!$B$3,0))-N($X206)),0))</f>
        <v/>
      </c>
      <c r="AJ206" s="10">
        <f>IF(OR($B206="",TRIM($J206&amp;"")=""),"",IFERROR(MATCH(TRIM($J206&amp;"")&amp;"|월",파견수련계획!$Z$4:$Z$803,0),""))</f>
        <v/>
      </c>
      <c r="AK206" s="10">
        <f>IF(OR($B206="",TRIM($J206&amp;"")=""),"",IFERROR(MATCH(TRIM($J206&amp;"")&amp;"|다기관",파견수련계획!$AE$4:$AE$803,0),""))</f>
        <v/>
      </c>
      <c r="AL206" s="10">
        <f>IF($AK206="","","다기관 "&amp;TEXT(INDEX(파견수련계획!$AB$4:$AB$803,$AK206),"yyyy-mm-dd")&amp;"~"&amp;IF(ISNUMBER(INDEX(파견수련계획!$AC$4:$AC$803,$AK206)),TEXT(INDEX(파견수련계획!$AC$4:$AC$803,$AK206),"yyyy-mm-dd"),""))</f>
        <v/>
      </c>
    </row>
    <row r="207">
      <c r="A207" s="10">
        <f>IF(B207="","",ROW()-1)</f>
        <v/>
      </c>
      <c r="B207" s="18" t="n"/>
      <c r="C207" s="10">
        <f>IF($AB207="","",IF(INDEX(기본자료!$C$2:$C$1001,$AB207)="","",INDEX(기본자료!$C$2:$C$1001,$AB207)))</f>
        <v/>
      </c>
      <c r="D207" s="10">
        <f>IF($AB207="","",IF(INDEX(기본자료!$J$2:$J$1001,$AB207)="","",INDEX(기본자료!$J$2:$J$1001,$AB207)))</f>
        <v/>
      </c>
      <c r="E207" s="11">
        <f>IF($AB207="","",IF(INDEX(기본자료!$K$2:$K$1001,$AB207)="","",IF(NOT(ISNUMBER(INDEX(기본자료!$K$2:$K$1001,$AB207))),INDEX(기본자료!$K$2:$K$1001,$AB207),IF(INDEX(기본자료!$K$2:$K$1001,$AB207)&lt;1000000,INDEX(기본자료!$K$2:$K$1001,$AB207),IF(AND(INDEX(기본자료!$K$2:$K$1001,$AB207)&gt;=10000101,INT(MOD(INDEX(기본자료!$K$2:$K$1001,$AB207),10000)/100)&gt;=1,INT(MOD(INDEX(기본자료!$K$2:$K$1001,$AB207),10000)/100)&lt;=12,MOD(INDEX(기본자료!$K$2:$K$1001,$AB207),100)&gt;=1,MOD(INDEX(기본자료!$K$2:$K$1001,$AB207),100)&lt;=31),DATE(INT(INDEX(기본자료!$K$2:$K$1001,$AB207)/10000),INT(MOD(INDEX(기본자료!$K$2:$K$1001,$AB207),10000)/100),MOD(INDEX(기본자료!$K$2:$K$1001,$AB207),100)),INDEX(기본자료!$K$2:$K$1001,$AB207)&amp;"")))))</f>
        <v/>
      </c>
      <c r="F207" s="10">
        <f>IF($AB207="","",IF(INDEX(기본자료!$D$2:$D$1001,$AB207)="","",INDEX(기본자료!$D$2:$D$1001,$AB207)))</f>
        <v/>
      </c>
      <c r="G207" s="10">
        <f>IF($AB207="","",IF(INDEX(기본자료!$E$2:$E$1001,$AB207)="","",INDEX(기본자료!$E$2:$E$1001,$AB207)))</f>
        <v/>
      </c>
      <c r="H207" s="10">
        <f>IF($AB207="","",IF(INDEX(기본자료!$F$2:$F$1001,$AB207)="","",INDEX(기본자료!$F$2:$F$1001,$AB207)))</f>
        <v/>
      </c>
      <c r="I207" s="11">
        <f>IF($AB207="","",IF(INDEX(기본자료!$G$2:$G$1001,$AB207)="","",IF(NOT(ISNUMBER(INDEX(기본자료!$G$2:$G$1001,$AB207))),INDEX(기본자료!$G$2:$G$1001,$AB207),IF(INDEX(기본자료!$G$2:$G$1001,$AB207)&lt;1000000,INDEX(기본자료!$G$2:$G$1001,$AB207),IF(AND(INDEX(기본자료!$G$2:$G$1001,$AB207)&gt;=10000101,INT(MOD(INDEX(기본자료!$G$2:$G$1001,$AB207),10000)/100)&gt;=1,INT(MOD(INDEX(기본자료!$G$2:$G$1001,$AB207),10000)/100)&lt;=12,MOD(INDEX(기본자료!$G$2:$G$1001,$AB207),100)&gt;=1,MOD(INDEX(기본자료!$G$2:$G$1001,$AB207),100)&lt;=31),DATE(INT(INDEX(기본자료!$G$2:$G$1001,$AB207)/10000),INT(MOD(INDEX(기본자료!$G$2:$G$1001,$AB207),10000)/100),MOD(INDEX(기본자료!$G$2:$G$1001,$AB207),100)),INDEX(기본자료!$G$2:$G$1001,$AB207)&amp;"")))))</f>
        <v/>
      </c>
      <c r="J207" s="10">
        <f>IF($AB207="","",IF(INDEX(기본자료!$H$2:$H$1001,$AB207)="","",INDEX(기본자료!$H$2:$H$1001,$AB207)))</f>
        <v/>
      </c>
      <c r="K207" s="10">
        <f>IF($AB207="","",IF(INDEX(기본자료!$I$2:$I$1001,$AB207)="","",INDEX(기본자료!$I$2:$I$1001,$AB207)))</f>
        <v/>
      </c>
      <c r="L207" s="10">
        <f>IF($AB207="","",IF(INDEX(기본자료!$A$2:$A$1001,$AB207)="","",INDEX(기본자료!$A$2:$A$1001,$AB207)))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파견수련계획!$AB$4:$AB$803,$AK207),OR(NOT(ISNUMBER(INDEX(파견수련계획!$AC$4:$AC$803,$AK207))),TODAY()&lt;=INDEX(파견수련계획!$AC$4:$AC$803,$AK207))),"다기관",IF($AF207="","",INDEX(파견수련계획!$T$4:$T$803,$AF207))),IF($AF207="","",INDEX(파견수련계획!$T$4:$T$803,$AF207))))</f>
        <v/>
      </c>
      <c r="Q207" s="10">
        <f>IF($AF207="","",INDEX(파견수련계획!$S$4:$S$803,$AF207))</f>
        <v/>
      </c>
      <c r="R207" s="10">
        <f>IF($AF207="","",INDEX(파견수련계획!$U$4:$U$803,$AF207))</f>
        <v/>
      </c>
      <c r="S207" s="11">
        <f>IF($AF207="","",IF(INDEX(파견수련계획!$H$4:$H$803,$AF207)="","",INDEX(파견수련계획!$H$4:$H$803,$AF207)))</f>
        <v/>
      </c>
      <c r="T207" s="11">
        <f>IF($AF207="","",IF(INDEX(파견수련계획!$I$4:$I$803,$AF207)="","",INDEX(파견수련계획!$I$4:$I$803,$AF207)))</f>
        <v/>
      </c>
      <c r="U207" s="10">
        <f>IF($AF207="","",INDEX(파견수련계획!$X$4:$X$803,$AF207))</f>
        <v/>
      </c>
      <c r="V207" s="17">
        <f>IF($AF207="","",INDEX(파견수련계획!$V$4:$V$803,$AF207))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IF(OR($B207="",TRIM($J207&amp;"")=""),"",SUMPRODUCT((파견수련계획!$Q$4:$Q$803=TRIM($J207&amp;""))*파견수련계획!$W$4:$W$803))</f>
        <v/>
      </c>
      <c r="Y207" s="10">
        <f>IF($B207="","",IF($AG207="","",IF(IF(TRIM($J207&amp;"")="",0,SUMPRODUCT((파견수련계획!$Q$4:$Q$803=TRIM($J207&amp;""))*파견수련계획!$AD$4:$AD$803))&gt;0,$AE207,IF(N($X207)&lt;=0,$AG207,IF($AH207+$AI207=DAY(EOMONTH(요약!$B$3,0)),IF(AND($AH207&gt;=요약!$E$3,$AI207&lt;요약!$E$3),"서울병원",IF(AND($AI207&gt;=요약!$E$3,$AH207&lt;요약!$E$3),"구리병원","⚠15일 판정불가(서울 "&amp;$AH207&amp;"일/구리 "&amp;$AI207&amp;"일)")),IF($AJ207="",$AE207,IF(INDEX(파견수련계획!$T$4:$T$803,$AJ207)="통합수련",INDEX(파견수련계획!$S$4:$S$803,$AJ207),$AE207)))))))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입력",IF(IF(TRIM($J207&amp;"")="",0,SUMPRODUCT((파견수련계획!$Q$4:$Q$803=TRIM($J207&amp;""))*(파견수련계획!$AA$4:$AA$803&lt;&gt;"")))&gt;0,"파견수련계획 입력오류 확인",IF(LEFT($Y207,1)="⚠","서울·구리 15일 판정 불가(양쪽 모두 이상/미만)",IF(IF($AC207="",0,N(INDEX(인턴근무계획!$T$3:$T$402,$AC207)))&gt;0,"인턴계획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IF($B207="","",IFERROR(MATCH($B207,기본자료!$B$2:$B$1001,0),IFERROR(MATCH($B207&amp;"",기본자료!$B$2:$B$1001,0),IFERROR(MATCH(VALUE($B207),기본자료!$B$2:$B$1001,0),""))))</f>
        <v/>
      </c>
      <c r="AC207" s="10">
        <f>IF($B207="","",IFERROR(MATCH($B207,인턴근무계획!$D$3:$D$402,0),IFERROR(MATCH($B207&amp;"",인턴근무계획!$D$3:$D$402,0),IFERROR(MATCH(VALUE($B207),인턴근무계획!$D$3:$D$402,0),""))))</f>
        <v/>
      </c>
      <c r="AD207" s="10">
        <f>IF(OR($AC207="",인턴현황!$G$3=""),"",INDEX(인턴근무계획!$M$3:$R$402,$AC207,인턴현황!$G$3)&amp;"")</f>
        <v/>
      </c>
      <c r="AE207" s="10">
        <f>IF($B207="","",IF($M207&lt;&gt;"",$M207,IF($AF207&lt;&gt;"",IF(LEFT(INDEX(파견수련계획!$R$4:$R$803,$AF207),1)&lt;&gt;"⚠",INDEX(파견수련계획!$R$4:$R$803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파견수련계획!$Y$4:$Y$803,0),IFERROR(MATCH(TRIM($J207&amp;"")&amp;"|파견예정",파견수련계획!$Y$4:$Y$803,0),IFERROR(MATCH(TRIM($J207&amp;"")&amp;"|파견종료",파견수련계획!$Y$4:$Y$803,0),""))))</f>
        <v/>
      </c>
      <c r="AG207" s="10">
        <f>IF($B207="","",IF(AND(IF(OR($AC207="",인턴현황!$K$2=""),"",INDEX(인턴근무계획!$M$3:$R$402,$AC207,인턴현황!$K$2)&amp;"")&lt;&gt;"",LEFT(IF(OR($AC207="",인턴현황!$K$2=""),"",INDEX(인턴근무계획!$M$3:$R$402,$AC207,인턴현황!$K$2)&amp;""),1)&lt;&gt;"⚠"),LEFT(IF(OR($AC207="",인턴현황!$K$2=""),"",INDEX(인턴근무계획!$M$3:$R$402,$AC207,인턴현황!$K$2)&amp;""),FIND(" ",IF(OR($AC207="",인턴현황!$K$2=""),"",INDEX(인턴근무계획!$M$3:$R$402,$AC207,인턴현황!$K$2)&amp;""))-1),$AE207))</f>
        <v/>
      </c>
      <c r="AH207" s="17">
        <f>IF($B207="","",IF(TRIM($J207&amp;"")="",0,SUMPRODUCT((파견수련계획!$Q$4:$Q$803=TRIM($J207&amp;""))*(파견수련계획!$S$4:$S$803="서울병원")*파견수련계획!$W$4:$W$803))+IF($AG207="서울병원",MAX(0,DAY(EOMONTH(요약!$B$3,0))-N($X207)),0))</f>
        <v/>
      </c>
      <c r="AI207" s="17">
        <f>IF($B207="","",IF(TRIM($J207&amp;"")="",0,SUMPRODUCT((파견수련계획!$Q$4:$Q$803=TRIM($J207&amp;""))*(파견수련계획!$S$4:$S$803="구리병원")*파견수련계획!$W$4:$W$803))+IF($AG207="구리병원",MAX(0,DAY(EOMONTH(요약!$B$3,0))-N($X207)),0))</f>
        <v/>
      </c>
      <c r="AJ207" s="10">
        <f>IF(OR($B207="",TRIM($J207&amp;"")=""),"",IFERROR(MATCH(TRIM($J207&amp;"")&amp;"|월",파견수련계획!$Z$4:$Z$803,0),""))</f>
        <v/>
      </c>
      <c r="AK207" s="10">
        <f>IF(OR($B207="",TRIM($J207&amp;"")=""),"",IFERROR(MATCH(TRIM($J207&amp;"")&amp;"|다기관",파견수련계획!$AE$4:$AE$803,0),""))</f>
        <v/>
      </c>
      <c r="AL207" s="10">
        <f>IF($AK207="","","다기관 "&amp;TEXT(INDEX(파견수련계획!$AB$4:$AB$803,$AK207),"yyyy-mm-dd")&amp;"~"&amp;IF(ISNUMBER(INDEX(파견수련계획!$AC$4:$AC$803,$AK207)),TEXT(INDEX(파견수련계획!$AC$4:$AC$803,$AK207),"yyyy-mm-dd"),""))</f>
        <v/>
      </c>
    </row>
    <row r="208">
      <c r="A208" s="10">
        <f>IF(B208="","",ROW()-1)</f>
        <v/>
      </c>
      <c r="B208" s="18" t="n"/>
      <c r="C208" s="10">
        <f>IF($AB208="","",IF(INDEX(기본자료!$C$2:$C$1001,$AB208)="","",INDEX(기본자료!$C$2:$C$1001,$AB208)))</f>
        <v/>
      </c>
      <c r="D208" s="10">
        <f>IF($AB208="","",IF(INDEX(기본자료!$J$2:$J$1001,$AB208)="","",INDEX(기본자료!$J$2:$J$1001,$AB208)))</f>
        <v/>
      </c>
      <c r="E208" s="11">
        <f>IF($AB208="","",IF(INDEX(기본자료!$K$2:$K$1001,$AB208)="","",IF(NOT(ISNUMBER(INDEX(기본자료!$K$2:$K$1001,$AB208))),INDEX(기본자료!$K$2:$K$1001,$AB208),IF(INDEX(기본자료!$K$2:$K$1001,$AB208)&lt;1000000,INDEX(기본자료!$K$2:$K$1001,$AB208),IF(AND(INDEX(기본자료!$K$2:$K$1001,$AB208)&gt;=10000101,INT(MOD(INDEX(기본자료!$K$2:$K$1001,$AB208),10000)/100)&gt;=1,INT(MOD(INDEX(기본자료!$K$2:$K$1001,$AB208),10000)/100)&lt;=12,MOD(INDEX(기본자료!$K$2:$K$1001,$AB208),100)&gt;=1,MOD(INDEX(기본자료!$K$2:$K$1001,$AB208),100)&lt;=31),DATE(INT(INDEX(기본자료!$K$2:$K$1001,$AB208)/10000),INT(MOD(INDEX(기본자료!$K$2:$K$1001,$AB208),10000)/100),MOD(INDEX(기본자료!$K$2:$K$1001,$AB208),100)),INDEX(기본자료!$K$2:$K$1001,$AB208)&amp;"")))))</f>
        <v/>
      </c>
      <c r="F208" s="10">
        <f>IF($AB208="","",IF(INDEX(기본자료!$D$2:$D$1001,$AB208)="","",INDEX(기본자료!$D$2:$D$1001,$AB208)))</f>
        <v/>
      </c>
      <c r="G208" s="10">
        <f>IF($AB208="","",IF(INDEX(기본자료!$E$2:$E$1001,$AB208)="","",INDEX(기본자료!$E$2:$E$1001,$AB208)))</f>
        <v/>
      </c>
      <c r="H208" s="10">
        <f>IF($AB208="","",IF(INDEX(기본자료!$F$2:$F$1001,$AB208)="","",INDEX(기본자료!$F$2:$F$1001,$AB208)))</f>
        <v/>
      </c>
      <c r="I208" s="11">
        <f>IF($AB208="","",IF(INDEX(기본자료!$G$2:$G$1001,$AB208)="","",IF(NOT(ISNUMBER(INDEX(기본자료!$G$2:$G$1001,$AB208))),INDEX(기본자료!$G$2:$G$1001,$AB208),IF(INDEX(기본자료!$G$2:$G$1001,$AB208)&lt;1000000,INDEX(기본자료!$G$2:$G$1001,$AB208),IF(AND(INDEX(기본자료!$G$2:$G$1001,$AB208)&gt;=10000101,INT(MOD(INDEX(기본자료!$G$2:$G$1001,$AB208),10000)/100)&gt;=1,INT(MOD(INDEX(기본자료!$G$2:$G$1001,$AB208),10000)/100)&lt;=12,MOD(INDEX(기본자료!$G$2:$G$1001,$AB208),100)&gt;=1,MOD(INDEX(기본자료!$G$2:$G$1001,$AB208),100)&lt;=31),DATE(INT(INDEX(기본자료!$G$2:$G$1001,$AB208)/10000),INT(MOD(INDEX(기본자료!$G$2:$G$1001,$AB208),10000)/100),MOD(INDEX(기본자료!$G$2:$G$1001,$AB208),100)),INDEX(기본자료!$G$2:$G$1001,$AB208)&amp;"")))))</f>
        <v/>
      </c>
      <c r="J208" s="10">
        <f>IF($AB208="","",IF(INDEX(기본자료!$H$2:$H$1001,$AB208)="","",INDEX(기본자료!$H$2:$H$1001,$AB208)))</f>
        <v/>
      </c>
      <c r="K208" s="10">
        <f>IF($AB208="","",IF(INDEX(기본자료!$I$2:$I$1001,$AB208)="","",INDEX(기본자료!$I$2:$I$1001,$AB208)))</f>
        <v/>
      </c>
      <c r="L208" s="10">
        <f>IF($AB208="","",IF(INDEX(기본자료!$A$2:$A$1001,$AB208)="","",INDEX(기본자료!$A$2:$A$1001,$AB208)))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파견수련계획!$AB$4:$AB$803,$AK208),OR(NOT(ISNUMBER(INDEX(파견수련계획!$AC$4:$AC$803,$AK208))),TODAY()&lt;=INDEX(파견수련계획!$AC$4:$AC$803,$AK208))),"다기관",IF($AF208="","",INDEX(파견수련계획!$T$4:$T$803,$AF208))),IF($AF208="","",INDEX(파견수련계획!$T$4:$T$803,$AF208))))</f>
        <v/>
      </c>
      <c r="Q208" s="10">
        <f>IF($AF208="","",INDEX(파견수련계획!$S$4:$S$803,$AF208))</f>
        <v/>
      </c>
      <c r="R208" s="10">
        <f>IF($AF208="","",INDEX(파견수련계획!$U$4:$U$803,$AF208))</f>
        <v/>
      </c>
      <c r="S208" s="11">
        <f>IF($AF208="","",IF(INDEX(파견수련계획!$H$4:$H$803,$AF208)="","",INDEX(파견수련계획!$H$4:$H$803,$AF208)))</f>
        <v/>
      </c>
      <c r="T208" s="11">
        <f>IF($AF208="","",IF(INDEX(파견수련계획!$I$4:$I$803,$AF208)="","",INDEX(파견수련계획!$I$4:$I$803,$AF208)))</f>
        <v/>
      </c>
      <c r="U208" s="10">
        <f>IF($AF208="","",INDEX(파견수련계획!$X$4:$X$803,$AF208))</f>
        <v/>
      </c>
      <c r="V208" s="17">
        <f>IF($AF208="","",INDEX(파견수련계획!$V$4:$V$803,$AF208))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IF(OR($B208="",TRIM($J208&amp;"")=""),"",SUMPRODUCT((파견수련계획!$Q$4:$Q$803=TRIM($J208&amp;""))*파견수련계획!$W$4:$W$803))</f>
        <v/>
      </c>
      <c r="Y208" s="10">
        <f>IF($B208="","",IF($AG208="","",IF(IF(TRIM($J208&amp;"")="",0,SUMPRODUCT((파견수련계획!$Q$4:$Q$803=TRIM($J208&amp;""))*파견수련계획!$AD$4:$AD$803))&gt;0,$AE208,IF(N($X208)&lt;=0,$AG208,IF($AH208+$AI208=DAY(EOMONTH(요약!$B$3,0)),IF(AND($AH208&gt;=요약!$E$3,$AI208&lt;요약!$E$3),"서울병원",IF(AND($AI208&gt;=요약!$E$3,$AH208&lt;요약!$E$3),"구리병원","⚠15일 판정불가(서울 "&amp;$AH208&amp;"일/구리 "&amp;$AI208&amp;"일)")),IF($AJ208="",$AE208,IF(INDEX(파견수련계획!$T$4:$T$803,$AJ208)="통합수련",INDEX(파견수련계획!$S$4:$S$803,$AJ208),$AE208)))))))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입력",IF(IF(TRIM($J208&amp;"")="",0,SUMPRODUCT((파견수련계획!$Q$4:$Q$803=TRIM($J208&amp;""))*(파견수련계획!$AA$4:$AA$803&lt;&gt;"")))&gt;0,"파견수련계획 입력오류 확인",IF(LEFT($Y208,1)="⚠","서울·구리 15일 판정 불가(양쪽 모두 이상/미만)",IF(IF($AC208="",0,N(INDEX(인턴근무계획!$T$3:$T$402,$AC208)))&gt;0,"인턴계획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IF($B208="","",IFERROR(MATCH($B208,기본자료!$B$2:$B$1001,0),IFERROR(MATCH($B208&amp;"",기본자료!$B$2:$B$1001,0),IFERROR(MATCH(VALUE($B208),기본자료!$B$2:$B$1001,0),""))))</f>
        <v/>
      </c>
      <c r="AC208" s="10">
        <f>IF($B208="","",IFERROR(MATCH($B208,인턴근무계획!$D$3:$D$402,0),IFERROR(MATCH($B208&amp;"",인턴근무계획!$D$3:$D$402,0),IFERROR(MATCH(VALUE($B208),인턴근무계획!$D$3:$D$402,0),""))))</f>
        <v/>
      </c>
      <c r="AD208" s="10">
        <f>IF(OR($AC208="",인턴현황!$G$3=""),"",INDEX(인턴근무계획!$M$3:$R$402,$AC208,인턴현황!$G$3)&amp;"")</f>
        <v/>
      </c>
      <c r="AE208" s="10">
        <f>IF($B208="","",IF($M208&lt;&gt;"",$M208,IF($AF208&lt;&gt;"",IF(LEFT(INDEX(파견수련계획!$R$4:$R$803,$AF208),1)&lt;&gt;"⚠",INDEX(파견수련계획!$R$4:$R$803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파견수련계획!$Y$4:$Y$803,0),IFERROR(MATCH(TRIM($J208&amp;"")&amp;"|파견예정",파견수련계획!$Y$4:$Y$803,0),IFERROR(MATCH(TRIM($J208&amp;"")&amp;"|파견종료",파견수련계획!$Y$4:$Y$803,0),""))))</f>
        <v/>
      </c>
      <c r="AG208" s="10">
        <f>IF($B208="","",IF(AND(IF(OR($AC208="",인턴현황!$K$2=""),"",INDEX(인턴근무계획!$M$3:$R$402,$AC208,인턴현황!$K$2)&amp;"")&lt;&gt;"",LEFT(IF(OR($AC208="",인턴현황!$K$2=""),"",INDEX(인턴근무계획!$M$3:$R$402,$AC208,인턴현황!$K$2)&amp;""),1)&lt;&gt;"⚠"),LEFT(IF(OR($AC208="",인턴현황!$K$2=""),"",INDEX(인턴근무계획!$M$3:$R$402,$AC208,인턴현황!$K$2)&amp;""),FIND(" ",IF(OR($AC208="",인턴현황!$K$2=""),"",INDEX(인턴근무계획!$M$3:$R$402,$AC208,인턴현황!$K$2)&amp;""))-1),$AE208))</f>
        <v/>
      </c>
      <c r="AH208" s="17">
        <f>IF($B208="","",IF(TRIM($J208&amp;"")="",0,SUMPRODUCT((파견수련계획!$Q$4:$Q$803=TRIM($J208&amp;""))*(파견수련계획!$S$4:$S$803="서울병원")*파견수련계획!$W$4:$W$803))+IF($AG208="서울병원",MAX(0,DAY(EOMONTH(요약!$B$3,0))-N($X208)),0))</f>
        <v/>
      </c>
      <c r="AI208" s="17">
        <f>IF($B208="","",IF(TRIM($J208&amp;"")="",0,SUMPRODUCT((파견수련계획!$Q$4:$Q$803=TRIM($J208&amp;""))*(파견수련계획!$S$4:$S$803="구리병원")*파견수련계획!$W$4:$W$803))+IF($AG208="구리병원",MAX(0,DAY(EOMONTH(요약!$B$3,0))-N($X208)),0))</f>
        <v/>
      </c>
      <c r="AJ208" s="10">
        <f>IF(OR($B208="",TRIM($J208&amp;"")=""),"",IFERROR(MATCH(TRIM($J208&amp;"")&amp;"|월",파견수련계획!$Z$4:$Z$803,0),""))</f>
        <v/>
      </c>
      <c r="AK208" s="10">
        <f>IF(OR($B208="",TRIM($J208&amp;"")=""),"",IFERROR(MATCH(TRIM($J208&amp;"")&amp;"|다기관",파견수련계획!$AE$4:$AE$803,0),""))</f>
        <v/>
      </c>
      <c r="AL208" s="10">
        <f>IF($AK208="","","다기관 "&amp;TEXT(INDEX(파견수련계획!$AB$4:$AB$803,$AK208),"yyyy-mm-dd")&amp;"~"&amp;IF(ISNUMBER(INDEX(파견수련계획!$AC$4:$AC$803,$AK208)),TEXT(INDEX(파견수련계획!$AC$4:$AC$803,$AK208),"yyyy-mm-dd"),""))</f>
        <v/>
      </c>
    </row>
    <row r="209">
      <c r="A209" s="10">
        <f>IF(B209="","",ROW()-1)</f>
        <v/>
      </c>
      <c r="B209" s="18" t="n"/>
      <c r="C209" s="10">
        <f>IF($AB209="","",IF(INDEX(기본자료!$C$2:$C$1001,$AB209)="","",INDEX(기본자료!$C$2:$C$1001,$AB209)))</f>
        <v/>
      </c>
      <c r="D209" s="10">
        <f>IF($AB209="","",IF(INDEX(기본자료!$J$2:$J$1001,$AB209)="","",INDEX(기본자료!$J$2:$J$1001,$AB209)))</f>
        <v/>
      </c>
      <c r="E209" s="11">
        <f>IF($AB209="","",IF(INDEX(기본자료!$K$2:$K$1001,$AB209)="","",IF(NOT(ISNUMBER(INDEX(기본자료!$K$2:$K$1001,$AB209))),INDEX(기본자료!$K$2:$K$1001,$AB209),IF(INDEX(기본자료!$K$2:$K$1001,$AB209)&lt;1000000,INDEX(기본자료!$K$2:$K$1001,$AB209),IF(AND(INDEX(기본자료!$K$2:$K$1001,$AB209)&gt;=10000101,INT(MOD(INDEX(기본자료!$K$2:$K$1001,$AB209),10000)/100)&gt;=1,INT(MOD(INDEX(기본자료!$K$2:$K$1001,$AB209),10000)/100)&lt;=12,MOD(INDEX(기본자료!$K$2:$K$1001,$AB209),100)&gt;=1,MOD(INDEX(기본자료!$K$2:$K$1001,$AB209),100)&lt;=31),DATE(INT(INDEX(기본자료!$K$2:$K$1001,$AB209)/10000),INT(MOD(INDEX(기본자료!$K$2:$K$1001,$AB209),10000)/100),MOD(INDEX(기본자료!$K$2:$K$1001,$AB209),100)),INDEX(기본자료!$K$2:$K$1001,$AB209)&amp;"")))))</f>
        <v/>
      </c>
      <c r="F209" s="10">
        <f>IF($AB209="","",IF(INDEX(기본자료!$D$2:$D$1001,$AB209)="","",INDEX(기본자료!$D$2:$D$1001,$AB209)))</f>
        <v/>
      </c>
      <c r="G209" s="10">
        <f>IF($AB209="","",IF(INDEX(기본자료!$E$2:$E$1001,$AB209)="","",INDEX(기본자료!$E$2:$E$1001,$AB209)))</f>
        <v/>
      </c>
      <c r="H209" s="10">
        <f>IF($AB209="","",IF(INDEX(기본자료!$F$2:$F$1001,$AB209)="","",INDEX(기본자료!$F$2:$F$1001,$AB209)))</f>
        <v/>
      </c>
      <c r="I209" s="11">
        <f>IF($AB209="","",IF(INDEX(기본자료!$G$2:$G$1001,$AB209)="","",IF(NOT(ISNUMBER(INDEX(기본자료!$G$2:$G$1001,$AB209))),INDEX(기본자료!$G$2:$G$1001,$AB209),IF(INDEX(기본자료!$G$2:$G$1001,$AB209)&lt;1000000,INDEX(기본자료!$G$2:$G$1001,$AB209),IF(AND(INDEX(기본자료!$G$2:$G$1001,$AB209)&gt;=10000101,INT(MOD(INDEX(기본자료!$G$2:$G$1001,$AB209),10000)/100)&gt;=1,INT(MOD(INDEX(기본자료!$G$2:$G$1001,$AB209),10000)/100)&lt;=12,MOD(INDEX(기본자료!$G$2:$G$1001,$AB209),100)&gt;=1,MOD(INDEX(기본자료!$G$2:$G$1001,$AB209),100)&lt;=31),DATE(INT(INDEX(기본자료!$G$2:$G$1001,$AB209)/10000),INT(MOD(INDEX(기본자료!$G$2:$G$1001,$AB209),10000)/100),MOD(INDEX(기본자료!$G$2:$G$1001,$AB209),100)),INDEX(기본자료!$G$2:$G$1001,$AB209)&amp;"")))))</f>
        <v/>
      </c>
      <c r="J209" s="10">
        <f>IF($AB209="","",IF(INDEX(기본자료!$H$2:$H$1001,$AB209)="","",INDEX(기본자료!$H$2:$H$1001,$AB209)))</f>
        <v/>
      </c>
      <c r="K209" s="10">
        <f>IF($AB209="","",IF(INDEX(기본자료!$I$2:$I$1001,$AB209)="","",INDEX(기본자료!$I$2:$I$1001,$AB209)))</f>
        <v/>
      </c>
      <c r="L209" s="10">
        <f>IF($AB209="","",IF(INDEX(기본자료!$A$2:$A$1001,$AB209)="","",INDEX(기본자료!$A$2:$A$1001,$AB209)))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파견수련계획!$AB$4:$AB$803,$AK209),OR(NOT(ISNUMBER(INDEX(파견수련계획!$AC$4:$AC$803,$AK209))),TODAY()&lt;=INDEX(파견수련계획!$AC$4:$AC$803,$AK209))),"다기관",IF($AF209="","",INDEX(파견수련계획!$T$4:$T$803,$AF209))),IF($AF209="","",INDEX(파견수련계획!$T$4:$T$803,$AF209))))</f>
        <v/>
      </c>
      <c r="Q209" s="10">
        <f>IF($AF209="","",INDEX(파견수련계획!$S$4:$S$803,$AF209))</f>
        <v/>
      </c>
      <c r="R209" s="10">
        <f>IF($AF209="","",INDEX(파견수련계획!$U$4:$U$803,$AF209))</f>
        <v/>
      </c>
      <c r="S209" s="11">
        <f>IF($AF209="","",IF(INDEX(파견수련계획!$H$4:$H$803,$AF209)="","",INDEX(파견수련계획!$H$4:$H$803,$AF209)))</f>
        <v/>
      </c>
      <c r="T209" s="11">
        <f>IF($AF209="","",IF(INDEX(파견수련계획!$I$4:$I$803,$AF209)="","",INDEX(파견수련계획!$I$4:$I$803,$AF209)))</f>
        <v/>
      </c>
      <c r="U209" s="10">
        <f>IF($AF209="","",INDEX(파견수련계획!$X$4:$X$803,$AF209))</f>
        <v/>
      </c>
      <c r="V209" s="17">
        <f>IF($AF209="","",INDEX(파견수련계획!$V$4:$V$803,$AF209))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IF(OR($B209="",TRIM($J209&amp;"")=""),"",SUMPRODUCT((파견수련계획!$Q$4:$Q$803=TRIM($J209&amp;""))*파견수련계획!$W$4:$W$803))</f>
        <v/>
      </c>
      <c r="Y209" s="10">
        <f>IF($B209="","",IF($AG209="","",IF(IF(TRIM($J209&amp;"")="",0,SUMPRODUCT((파견수련계획!$Q$4:$Q$803=TRIM($J209&amp;""))*파견수련계획!$AD$4:$AD$803))&gt;0,$AE209,IF(N($X209)&lt;=0,$AG209,IF($AH209+$AI209=DAY(EOMONTH(요약!$B$3,0)),IF(AND($AH209&gt;=요약!$E$3,$AI209&lt;요약!$E$3),"서울병원",IF(AND($AI209&gt;=요약!$E$3,$AH209&lt;요약!$E$3),"구리병원","⚠15일 판정불가(서울 "&amp;$AH209&amp;"일/구리 "&amp;$AI209&amp;"일)")),IF($AJ209="",$AE209,IF(INDEX(파견수련계획!$T$4:$T$803,$AJ209)="통합수련",INDEX(파견수련계획!$S$4:$S$803,$AJ209),$AE209)))))))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입력",IF(IF(TRIM($J209&amp;"")="",0,SUMPRODUCT((파견수련계획!$Q$4:$Q$803=TRIM($J209&amp;""))*(파견수련계획!$AA$4:$AA$803&lt;&gt;"")))&gt;0,"파견수련계획 입력오류 확인",IF(LEFT($Y209,1)="⚠","서울·구리 15일 판정 불가(양쪽 모두 이상/미만)",IF(IF($AC209="",0,N(INDEX(인턴근무계획!$T$3:$T$402,$AC209)))&gt;0,"인턴계획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IF($B209="","",IFERROR(MATCH($B209,기본자료!$B$2:$B$1001,0),IFERROR(MATCH($B209&amp;"",기본자료!$B$2:$B$1001,0),IFERROR(MATCH(VALUE($B209),기본자료!$B$2:$B$1001,0),""))))</f>
        <v/>
      </c>
      <c r="AC209" s="10">
        <f>IF($B209="","",IFERROR(MATCH($B209,인턴근무계획!$D$3:$D$402,0),IFERROR(MATCH($B209&amp;"",인턴근무계획!$D$3:$D$402,0),IFERROR(MATCH(VALUE($B209),인턴근무계획!$D$3:$D$402,0),""))))</f>
        <v/>
      </c>
      <c r="AD209" s="10">
        <f>IF(OR($AC209="",인턴현황!$G$3=""),"",INDEX(인턴근무계획!$M$3:$R$402,$AC209,인턴현황!$G$3)&amp;"")</f>
        <v/>
      </c>
      <c r="AE209" s="10">
        <f>IF($B209="","",IF($M209&lt;&gt;"",$M209,IF($AF209&lt;&gt;"",IF(LEFT(INDEX(파견수련계획!$R$4:$R$803,$AF209),1)&lt;&gt;"⚠",INDEX(파견수련계획!$R$4:$R$803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파견수련계획!$Y$4:$Y$803,0),IFERROR(MATCH(TRIM($J209&amp;"")&amp;"|파견예정",파견수련계획!$Y$4:$Y$803,0),IFERROR(MATCH(TRIM($J209&amp;"")&amp;"|파견종료",파견수련계획!$Y$4:$Y$803,0),""))))</f>
        <v/>
      </c>
      <c r="AG209" s="10">
        <f>IF($B209="","",IF(AND(IF(OR($AC209="",인턴현황!$K$2=""),"",INDEX(인턴근무계획!$M$3:$R$402,$AC209,인턴현황!$K$2)&amp;"")&lt;&gt;"",LEFT(IF(OR($AC209="",인턴현황!$K$2=""),"",INDEX(인턴근무계획!$M$3:$R$402,$AC209,인턴현황!$K$2)&amp;""),1)&lt;&gt;"⚠"),LEFT(IF(OR($AC209="",인턴현황!$K$2=""),"",INDEX(인턴근무계획!$M$3:$R$402,$AC209,인턴현황!$K$2)&amp;""),FIND(" ",IF(OR($AC209="",인턴현황!$K$2=""),"",INDEX(인턴근무계획!$M$3:$R$402,$AC209,인턴현황!$K$2)&amp;""))-1),$AE209))</f>
        <v/>
      </c>
      <c r="AH209" s="17">
        <f>IF($B209="","",IF(TRIM($J209&amp;"")="",0,SUMPRODUCT((파견수련계획!$Q$4:$Q$803=TRIM($J209&amp;""))*(파견수련계획!$S$4:$S$803="서울병원")*파견수련계획!$W$4:$W$803))+IF($AG209="서울병원",MAX(0,DAY(EOMONTH(요약!$B$3,0))-N($X209)),0))</f>
        <v/>
      </c>
      <c r="AI209" s="17">
        <f>IF($B209="","",IF(TRIM($J209&amp;"")="",0,SUMPRODUCT((파견수련계획!$Q$4:$Q$803=TRIM($J209&amp;""))*(파견수련계획!$S$4:$S$803="구리병원")*파견수련계획!$W$4:$W$803))+IF($AG209="구리병원",MAX(0,DAY(EOMONTH(요약!$B$3,0))-N($X209)),0))</f>
        <v/>
      </c>
      <c r="AJ209" s="10">
        <f>IF(OR($B209="",TRIM($J209&amp;"")=""),"",IFERROR(MATCH(TRIM($J209&amp;"")&amp;"|월",파견수련계획!$Z$4:$Z$803,0),""))</f>
        <v/>
      </c>
      <c r="AK209" s="10">
        <f>IF(OR($B209="",TRIM($J209&amp;"")=""),"",IFERROR(MATCH(TRIM($J209&amp;"")&amp;"|다기관",파견수련계획!$AE$4:$AE$803,0),""))</f>
        <v/>
      </c>
      <c r="AL209" s="10">
        <f>IF($AK209="","","다기관 "&amp;TEXT(INDEX(파견수련계획!$AB$4:$AB$803,$AK209),"yyyy-mm-dd")&amp;"~"&amp;IF(ISNUMBER(INDEX(파견수련계획!$AC$4:$AC$803,$AK209)),TEXT(INDEX(파견수련계획!$AC$4:$AC$803,$AK209),"yyyy-mm-dd"),""))</f>
        <v/>
      </c>
    </row>
    <row r="210">
      <c r="A210" s="10">
        <f>IF(B210="","",ROW()-1)</f>
        <v/>
      </c>
      <c r="B210" s="18" t="n"/>
      <c r="C210" s="10">
        <f>IF($AB210="","",IF(INDEX(기본자료!$C$2:$C$1001,$AB210)="","",INDEX(기본자료!$C$2:$C$1001,$AB210)))</f>
        <v/>
      </c>
      <c r="D210" s="10">
        <f>IF($AB210="","",IF(INDEX(기본자료!$J$2:$J$1001,$AB210)="","",INDEX(기본자료!$J$2:$J$1001,$AB210)))</f>
        <v/>
      </c>
      <c r="E210" s="11">
        <f>IF($AB210="","",IF(INDEX(기본자료!$K$2:$K$1001,$AB210)="","",IF(NOT(ISNUMBER(INDEX(기본자료!$K$2:$K$1001,$AB210))),INDEX(기본자료!$K$2:$K$1001,$AB210),IF(INDEX(기본자료!$K$2:$K$1001,$AB210)&lt;1000000,INDEX(기본자료!$K$2:$K$1001,$AB210),IF(AND(INDEX(기본자료!$K$2:$K$1001,$AB210)&gt;=10000101,INT(MOD(INDEX(기본자료!$K$2:$K$1001,$AB210),10000)/100)&gt;=1,INT(MOD(INDEX(기본자료!$K$2:$K$1001,$AB210),10000)/100)&lt;=12,MOD(INDEX(기본자료!$K$2:$K$1001,$AB210),100)&gt;=1,MOD(INDEX(기본자료!$K$2:$K$1001,$AB210),100)&lt;=31),DATE(INT(INDEX(기본자료!$K$2:$K$1001,$AB210)/10000),INT(MOD(INDEX(기본자료!$K$2:$K$1001,$AB210),10000)/100),MOD(INDEX(기본자료!$K$2:$K$1001,$AB210),100)),INDEX(기본자료!$K$2:$K$1001,$AB210)&amp;"")))))</f>
        <v/>
      </c>
      <c r="F210" s="10">
        <f>IF($AB210="","",IF(INDEX(기본자료!$D$2:$D$1001,$AB210)="","",INDEX(기본자료!$D$2:$D$1001,$AB210)))</f>
        <v/>
      </c>
      <c r="G210" s="10">
        <f>IF($AB210="","",IF(INDEX(기본자료!$E$2:$E$1001,$AB210)="","",INDEX(기본자료!$E$2:$E$1001,$AB210)))</f>
        <v/>
      </c>
      <c r="H210" s="10">
        <f>IF($AB210="","",IF(INDEX(기본자료!$F$2:$F$1001,$AB210)="","",INDEX(기본자료!$F$2:$F$1001,$AB210)))</f>
        <v/>
      </c>
      <c r="I210" s="11">
        <f>IF($AB210="","",IF(INDEX(기본자료!$G$2:$G$1001,$AB210)="","",IF(NOT(ISNUMBER(INDEX(기본자료!$G$2:$G$1001,$AB210))),INDEX(기본자료!$G$2:$G$1001,$AB210),IF(INDEX(기본자료!$G$2:$G$1001,$AB210)&lt;1000000,INDEX(기본자료!$G$2:$G$1001,$AB210),IF(AND(INDEX(기본자료!$G$2:$G$1001,$AB210)&gt;=10000101,INT(MOD(INDEX(기본자료!$G$2:$G$1001,$AB210),10000)/100)&gt;=1,INT(MOD(INDEX(기본자료!$G$2:$G$1001,$AB210),10000)/100)&lt;=12,MOD(INDEX(기본자료!$G$2:$G$1001,$AB210),100)&gt;=1,MOD(INDEX(기본자료!$G$2:$G$1001,$AB210),100)&lt;=31),DATE(INT(INDEX(기본자료!$G$2:$G$1001,$AB210)/10000),INT(MOD(INDEX(기본자료!$G$2:$G$1001,$AB210),10000)/100),MOD(INDEX(기본자료!$G$2:$G$1001,$AB210),100)),INDEX(기본자료!$G$2:$G$1001,$AB210)&amp;"")))))</f>
        <v/>
      </c>
      <c r="J210" s="10">
        <f>IF($AB210="","",IF(INDEX(기본자료!$H$2:$H$1001,$AB210)="","",INDEX(기본자료!$H$2:$H$1001,$AB210)))</f>
        <v/>
      </c>
      <c r="K210" s="10">
        <f>IF($AB210="","",IF(INDEX(기본자료!$I$2:$I$1001,$AB210)="","",INDEX(기본자료!$I$2:$I$1001,$AB210)))</f>
        <v/>
      </c>
      <c r="L210" s="10">
        <f>IF($AB210="","",IF(INDEX(기본자료!$A$2:$A$1001,$AB210)="","",INDEX(기본자료!$A$2:$A$1001,$AB210)))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파견수련계획!$AB$4:$AB$803,$AK210),OR(NOT(ISNUMBER(INDEX(파견수련계획!$AC$4:$AC$803,$AK210))),TODAY()&lt;=INDEX(파견수련계획!$AC$4:$AC$803,$AK210))),"다기관",IF($AF210="","",INDEX(파견수련계획!$T$4:$T$803,$AF210))),IF($AF210="","",INDEX(파견수련계획!$T$4:$T$803,$AF210))))</f>
        <v/>
      </c>
      <c r="Q210" s="10">
        <f>IF($AF210="","",INDEX(파견수련계획!$S$4:$S$803,$AF210))</f>
        <v/>
      </c>
      <c r="R210" s="10">
        <f>IF($AF210="","",INDEX(파견수련계획!$U$4:$U$803,$AF210))</f>
        <v/>
      </c>
      <c r="S210" s="11">
        <f>IF($AF210="","",IF(INDEX(파견수련계획!$H$4:$H$803,$AF210)="","",INDEX(파견수련계획!$H$4:$H$803,$AF210)))</f>
        <v/>
      </c>
      <c r="T210" s="11">
        <f>IF($AF210="","",IF(INDEX(파견수련계획!$I$4:$I$803,$AF210)="","",INDEX(파견수련계획!$I$4:$I$803,$AF210)))</f>
        <v/>
      </c>
      <c r="U210" s="10">
        <f>IF($AF210="","",INDEX(파견수련계획!$X$4:$X$803,$AF210))</f>
        <v/>
      </c>
      <c r="V210" s="17">
        <f>IF($AF210="","",INDEX(파견수련계획!$V$4:$V$803,$AF210))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IF(OR($B210="",TRIM($J210&amp;"")=""),"",SUMPRODUCT((파견수련계획!$Q$4:$Q$803=TRIM($J210&amp;""))*파견수련계획!$W$4:$W$803))</f>
        <v/>
      </c>
      <c r="Y210" s="10">
        <f>IF($B210="","",IF($AG210="","",IF(IF(TRIM($J210&amp;"")="",0,SUMPRODUCT((파견수련계획!$Q$4:$Q$803=TRIM($J210&amp;""))*파견수련계획!$AD$4:$AD$803))&gt;0,$AE210,IF(N($X210)&lt;=0,$AG210,IF($AH210+$AI210=DAY(EOMONTH(요약!$B$3,0)),IF(AND($AH210&gt;=요약!$E$3,$AI210&lt;요약!$E$3),"서울병원",IF(AND($AI210&gt;=요약!$E$3,$AH210&lt;요약!$E$3),"구리병원","⚠15일 판정불가(서울 "&amp;$AH210&amp;"일/구리 "&amp;$AI210&amp;"일)")),IF($AJ210="",$AE210,IF(INDEX(파견수련계획!$T$4:$T$803,$AJ210)="통합수련",INDEX(파견수련계획!$S$4:$S$803,$AJ210),$AE210)))))))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입력",IF(IF(TRIM($J210&amp;"")="",0,SUMPRODUCT((파견수련계획!$Q$4:$Q$803=TRIM($J210&amp;""))*(파견수련계획!$AA$4:$AA$803&lt;&gt;"")))&gt;0,"파견수련계획 입력오류 확인",IF(LEFT($Y210,1)="⚠","서울·구리 15일 판정 불가(양쪽 모두 이상/미만)",IF(IF($AC210="",0,N(INDEX(인턴근무계획!$T$3:$T$402,$AC210)))&gt;0,"인턴계획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IF($B210="","",IFERROR(MATCH($B210,기본자료!$B$2:$B$1001,0),IFERROR(MATCH($B210&amp;"",기본자료!$B$2:$B$1001,0),IFERROR(MATCH(VALUE($B210),기본자료!$B$2:$B$1001,0),""))))</f>
        <v/>
      </c>
      <c r="AC210" s="10">
        <f>IF($B210="","",IFERROR(MATCH($B210,인턴근무계획!$D$3:$D$402,0),IFERROR(MATCH($B210&amp;"",인턴근무계획!$D$3:$D$402,0),IFERROR(MATCH(VALUE($B210),인턴근무계획!$D$3:$D$402,0),""))))</f>
        <v/>
      </c>
      <c r="AD210" s="10">
        <f>IF(OR($AC210="",인턴현황!$G$3=""),"",INDEX(인턴근무계획!$M$3:$R$402,$AC210,인턴현황!$G$3)&amp;"")</f>
        <v/>
      </c>
      <c r="AE210" s="10">
        <f>IF($B210="","",IF($M210&lt;&gt;"",$M210,IF($AF210&lt;&gt;"",IF(LEFT(INDEX(파견수련계획!$R$4:$R$803,$AF210),1)&lt;&gt;"⚠",INDEX(파견수련계획!$R$4:$R$803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파견수련계획!$Y$4:$Y$803,0),IFERROR(MATCH(TRIM($J210&amp;"")&amp;"|파견예정",파견수련계획!$Y$4:$Y$803,0),IFERROR(MATCH(TRIM($J210&amp;"")&amp;"|파견종료",파견수련계획!$Y$4:$Y$803,0),""))))</f>
        <v/>
      </c>
      <c r="AG210" s="10">
        <f>IF($B210="","",IF(AND(IF(OR($AC210="",인턴현황!$K$2=""),"",INDEX(인턴근무계획!$M$3:$R$402,$AC210,인턴현황!$K$2)&amp;"")&lt;&gt;"",LEFT(IF(OR($AC210="",인턴현황!$K$2=""),"",INDEX(인턴근무계획!$M$3:$R$402,$AC210,인턴현황!$K$2)&amp;""),1)&lt;&gt;"⚠"),LEFT(IF(OR($AC210="",인턴현황!$K$2=""),"",INDEX(인턴근무계획!$M$3:$R$402,$AC210,인턴현황!$K$2)&amp;""),FIND(" ",IF(OR($AC210="",인턴현황!$K$2=""),"",INDEX(인턴근무계획!$M$3:$R$402,$AC210,인턴현황!$K$2)&amp;""))-1),$AE210))</f>
        <v/>
      </c>
      <c r="AH210" s="17">
        <f>IF($B210="","",IF(TRIM($J210&amp;"")="",0,SUMPRODUCT((파견수련계획!$Q$4:$Q$803=TRIM($J210&amp;""))*(파견수련계획!$S$4:$S$803="서울병원")*파견수련계획!$W$4:$W$803))+IF($AG210="서울병원",MAX(0,DAY(EOMONTH(요약!$B$3,0))-N($X210)),0))</f>
        <v/>
      </c>
      <c r="AI210" s="17">
        <f>IF($B210="","",IF(TRIM($J210&amp;"")="",0,SUMPRODUCT((파견수련계획!$Q$4:$Q$803=TRIM($J210&amp;""))*(파견수련계획!$S$4:$S$803="구리병원")*파견수련계획!$W$4:$W$803))+IF($AG210="구리병원",MAX(0,DAY(EOMONTH(요약!$B$3,0))-N($X210)),0))</f>
        <v/>
      </c>
      <c r="AJ210" s="10">
        <f>IF(OR($B210="",TRIM($J210&amp;"")=""),"",IFERROR(MATCH(TRIM($J210&amp;"")&amp;"|월",파견수련계획!$Z$4:$Z$803,0),""))</f>
        <v/>
      </c>
      <c r="AK210" s="10">
        <f>IF(OR($B210="",TRIM($J210&amp;"")=""),"",IFERROR(MATCH(TRIM($J210&amp;"")&amp;"|다기관",파견수련계획!$AE$4:$AE$803,0),""))</f>
        <v/>
      </c>
      <c r="AL210" s="10">
        <f>IF($AK210="","","다기관 "&amp;TEXT(INDEX(파견수련계획!$AB$4:$AB$803,$AK210),"yyyy-mm-dd")&amp;"~"&amp;IF(ISNUMBER(INDEX(파견수련계획!$AC$4:$AC$803,$AK210)),TEXT(INDEX(파견수련계획!$AC$4:$AC$803,$AK210),"yyyy-mm-dd"),""))</f>
        <v/>
      </c>
    </row>
    <row r="211">
      <c r="A211" s="10">
        <f>IF(B211="","",ROW()-1)</f>
        <v/>
      </c>
      <c r="B211" s="18" t="n"/>
      <c r="C211" s="10">
        <f>IF($AB211="","",IF(INDEX(기본자료!$C$2:$C$1001,$AB211)="","",INDEX(기본자료!$C$2:$C$1001,$AB211)))</f>
        <v/>
      </c>
      <c r="D211" s="10">
        <f>IF($AB211="","",IF(INDEX(기본자료!$J$2:$J$1001,$AB211)="","",INDEX(기본자료!$J$2:$J$1001,$AB211)))</f>
        <v/>
      </c>
      <c r="E211" s="11">
        <f>IF($AB211="","",IF(INDEX(기본자료!$K$2:$K$1001,$AB211)="","",IF(NOT(ISNUMBER(INDEX(기본자료!$K$2:$K$1001,$AB211))),INDEX(기본자료!$K$2:$K$1001,$AB211),IF(INDEX(기본자료!$K$2:$K$1001,$AB211)&lt;1000000,INDEX(기본자료!$K$2:$K$1001,$AB211),IF(AND(INDEX(기본자료!$K$2:$K$1001,$AB211)&gt;=10000101,INT(MOD(INDEX(기본자료!$K$2:$K$1001,$AB211),10000)/100)&gt;=1,INT(MOD(INDEX(기본자료!$K$2:$K$1001,$AB211),10000)/100)&lt;=12,MOD(INDEX(기본자료!$K$2:$K$1001,$AB211),100)&gt;=1,MOD(INDEX(기본자료!$K$2:$K$1001,$AB211),100)&lt;=31),DATE(INT(INDEX(기본자료!$K$2:$K$1001,$AB211)/10000),INT(MOD(INDEX(기본자료!$K$2:$K$1001,$AB211),10000)/100),MOD(INDEX(기본자료!$K$2:$K$1001,$AB211),100)),INDEX(기본자료!$K$2:$K$1001,$AB211)&amp;"")))))</f>
        <v/>
      </c>
      <c r="F211" s="10">
        <f>IF($AB211="","",IF(INDEX(기본자료!$D$2:$D$1001,$AB211)="","",INDEX(기본자료!$D$2:$D$1001,$AB211)))</f>
        <v/>
      </c>
      <c r="G211" s="10">
        <f>IF($AB211="","",IF(INDEX(기본자료!$E$2:$E$1001,$AB211)="","",INDEX(기본자료!$E$2:$E$1001,$AB211)))</f>
        <v/>
      </c>
      <c r="H211" s="10">
        <f>IF($AB211="","",IF(INDEX(기본자료!$F$2:$F$1001,$AB211)="","",INDEX(기본자료!$F$2:$F$1001,$AB211)))</f>
        <v/>
      </c>
      <c r="I211" s="11">
        <f>IF($AB211="","",IF(INDEX(기본자료!$G$2:$G$1001,$AB211)="","",IF(NOT(ISNUMBER(INDEX(기본자료!$G$2:$G$1001,$AB211))),INDEX(기본자료!$G$2:$G$1001,$AB211),IF(INDEX(기본자료!$G$2:$G$1001,$AB211)&lt;1000000,INDEX(기본자료!$G$2:$G$1001,$AB211),IF(AND(INDEX(기본자료!$G$2:$G$1001,$AB211)&gt;=10000101,INT(MOD(INDEX(기본자료!$G$2:$G$1001,$AB211),10000)/100)&gt;=1,INT(MOD(INDEX(기본자료!$G$2:$G$1001,$AB211),10000)/100)&lt;=12,MOD(INDEX(기본자료!$G$2:$G$1001,$AB211),100)&gt;=1,MOD(INDEX(기본자료!$G$2:$G$1001,$AB211),100)&lt;=31),DATE(INT(INDEX(기본자료!$G$2:$G$1001,$AB211)/10000),INT(MOD(INDEX(기본자료!$G$2:$G$1001,$AB211),10000)/100),MOD(INDEX(기본자료!$G$2:$G$1001,$AB211),100)),INDEX(기본자료!$G$2:$G$1001,$AB211)&amp;"")))))</f>
        <v/>
      </c>
      <c r="J211" s="10">
        <f>IF($AB211="","",IF(INDEX(기본자료!$H$2:$H$1001,$AB211)="","",INDEX(기본자료!$H$2:$H$1001,$AB211)))</f>
        <v/>
      </c>
      <c r="K211" s="10">
        <f>IF($AB211="","",IF(INDEX(기본자료!$I$2:$I$1001,$AB211)="","",INDEX(기본자료!$I$2:$I$1001,$AB211)))</f>
        <v/>
      </c>
      <c r="L211" s="10">
        <f>IF($AB211="","",IF(INDEX(기본자료!$A$2:$A$1001,$AB211)="","",INDEX(기본자료!$A$2:$A$1001,$AB211)))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파견수련계획!$AB$4:$AB$803,$AK211),OR(NOT(ISNUMBER(INDEX(파견수련계획!$AC$4:$AC$803,$AK211))),TODAY()&lt;=INDEX(파견수련계획!$AC$4:$AC$803,$AK211))),"다기관",IF($AF211="","",INDEX(파견수련계획!$T$4:$T$803,$AF211))),IF($AF211="","",INDEX(파견수련계획!$T$4:$T$803,$AF211))))</f>
        <v/>
      </c>
      <c r="Q211" s="10">
        <f>IF($AF211="","",INDEX(파견수련계획!$S$4:$S$803,$AF211))</f>
        <v/>
      </c>
      <c r="R211" s="10">
        <f>IF($AF211="","",INDEX(파견수련계획!$U$4:$U$803,$AF211))</f>
        <v/>
      </c>
      <c r="S211" s="11">
        <f>IF($AF211="","",IF(INDEX(파견수련계획!$H$4:$H$803,$AF211)="","",INDEX(파견수련계획!$H$4:$H$803,$AF211)))</f>
        <v/>
      </c>
      <c r="T211" s="11">
        <f>IF($AF211="","",IF(INDEX(파견수련계획!$I$4:$I$803,$AF211)="","",INDEX(파견수련계획!$I$4:$I$803,$AF211)))</f>
        <v/>
      </c>
      <c r="U211" s="10">
        <f>IF($AF211="","",INDEX(파견수련계획!$X$4:$X$803,$AF211))</f>
        <v/>
      </c>
      <c r="V211" s="17">
        <f>IF($AF211="","",INDEX(파견수련계획!$V$4:$V$803,$AF211))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IF(OR($B211="",TRIM($J211&amp;"")=""),"",SUMPRODUCT((파견수련계획!$Q$4:$Q$803=TRIM($J211&amp;""))*파견수련계획!$W$4:$W$803))</f>
        <v/>
      </c>
      <c r="Y211" s="10">
        <f>IF($B211="","",IF($AG211="","",IF(IF(TRIM($J211&amp;"")="",0,SUMPRODUCT((파견수련계획!$Q$4:$Q$803=TRIM($J211&amp;""))*파견수련계획!$AD$4:$AD$803))&gt;0,$AE211,IF(N($X211)&lt;=0,$AG211,IF($AH211+$AI211=DAY(EOMONTH(요약!$B$3,0)),IF(AND($AH211&gt;=요약!$E$3,$AI211&lt;요약!$E$3),"서울병원",IF(AND($AI211&gt;=요약!$E$3,$AH211&lt;요약!$E$3),"구리병원","⚠15일 판정불가(서울 "&amp;$AH211&amp;"일/구리 "&amp;$AI211&amp;"일)")),IF($AJ211="",$AE211,IF(INDEX(파견수련계획!$T$4:$T$803,$AJ211)="통합수련",INDEX(파견수련계획!$S$4:$S$803,$AJ211),$AE211)))))))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입력",IF(IF(TRIM($J211&amp;"")="",0,SUMPRODUCT((파견수련계획!$Q$4:$Q$803=TRIM($J211&amp;""))*(파견수련계획!$AA$4:$AA$803&lt;&gt;"")))&gt;0,"파견수련계획 입력오류 확인",IF(LEFT($Y211,1)="⚠","서울·구리 15일 판정 불가(양쪽 모두 이상/미만)",IF(IF($AC211="",0,N(INDEX(인턴근무계획!$T$3:$T$402,$AC211)))&gt;0,"인턴계획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IF($B211="","",IFERROR(MATCH($B211,기본자료!$B$2:$B$1001,0),IFERROR(MATCH($B211&amp;"",기본자료!$B$2:$B$1001,0),IFERROR(MATCH(VALUE($B211),기본자료!$B$2:$B$1001,0),""))))</f>
        <v/>
      </c>
      <c r="AC211" s="10">
        <f>IF($B211="","",IFERROR(MATCH($B211,인턴근무계획!$D$3:$D$402,0),IFERROR(MATCH($B211&amp;"",인턴근무계획!$D$3:$D$402,0),IFERROR(MATCH(VALUE($B211),인턴근무계획!$D$3:$D$402,0),""))))</f>
        <v/>
      </c>
      <c r="AD211" s="10">
        <f>IF(OR($AC211="",인턴현황!$G$3=""),"",INDEX(인턴근무계획!$M$3:$R$402,$AC211,인턴현황!$G$3)&amp;"")</f>
        <v/>
      </c>
      <c r="AE211" s="10">
        <f>IF($B211="","",IF($M211&lt;&gt;"",$M211,IF($AF211&lt;&gt;"",IF(LEFT(INDEX(파견수련계획!$R$4:$R$803,$AF211),1)&lt;&gt;"⚠",INDEX(파견수련계획!$R$4:$R$803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파견수련계획!$Y$4:$Y$803,0),IFERROR(MATCH(TRIM($J211&amp;"")&amp;"|파견예정",파견수련계획!$Y$4:$Y$803,0),IFERROR(MATCH(TRIM($J211&amp;"")&amp;"|파견종료",파견수련계획!$Y$4:$Y$803,0),""))))</f>
        <v/>
      </c>
      <c r="AG211" s="10">
        <f>IF($B211="","",IF(AND(IF(OR($AC211="",인턴현황!$K$2=""),"",INDEX(인턴근무계획!$M$3:$R$402,$AC211,인턴현황!$K$2)&amp;"")&lt;&gt;"",LEFT(IF(OR($AC211="",인턴현황!$K$2=""),"",INDEX(인턴근무계획!$M$3:$R$402,$AC211,인턴현황!$K$2)&amp;""),1)&lt;&gt;"⚠"),LEFT(IF(OR($AC211="",인턴현황!$K$2=""),"",INDEX(인턴근무계획!$M$3:$R$402,$AC211,인턴현황!$K$2)&amp;""),FIND(" ",IF(OR($AC211="",인턴현황!$K$2=""),"",INDEX(인턴근무계획!$M$3:$R$402,$AC211,인턴현황!$K$2)&amp;""))-1),$AE211))</f>
        <v/>
      </c>
      <c r="AH211" s="17">
        <f>IF($B211="","",IF(TRIM($J211&amp;"")="",0,SUMPRODUCT((파견수련계획!$Q$4:$Q$803=TRIM($J211&amp;""))*(파견수련계획!$S$4:$S$803="서울병원")*파견수련계획!$W$4:$W$803))+IF($AG211="서울병원",MAX(0,DAY(EOMONTH(요약!$B$3,0))-N($X211)),0))</f>
        <v/>
      </c>
      <c r="AI211" s="17">
        <f>IF($B211="","",IF(TRIM($J211&amp;"")="",0,SUMPRODUCT((파견수련계획!$Q$4:$Q$803=TRIM($J211&amp;""))*(파견수련계획!$S$4:$S$803="구리병원")*파견수련계획!$W$4:$W$803))+IF($AG211="구리병원",MAX(0,DAY(EOMONTH(요약!$B$3,0))-N($X211)),0))</f>
        <v/>
      </c>
      <c r="AJ211" s="10">
        <f>IF(OR($B211="",TRIM($J211&amp;"")=""),"",IFERROR(MATCH(TRIM($J211&amp;"")&amp;"|월",파견수련계획!$Z$4:$Z$803,0),""))</f>
        <v/>
      </c>
      <c r="AK211" s="10">
        <f>IF(OR($B211="",TRIM($J211&amp;"")=""),"",IFERROR(MATCH(TRIM($J211&amp;"")&amp;"|다기관",파견수련계획!$AE$4:$AE$803,0),""))</f>
        <v/>
      </c>
      <c r="AL211" s="10">
        <f>IF($AK211="","","다기관 "&amp;TEXT(INDEX(파견수련계획!$AB$4:$AB$803,$AK211),"yyyy-mm-dd")&amp;"~"&amp;IF(ISNUMBER(INDEX(파견수련계획!$AC$4:$AC$803,$AK211)),TEXT(INDEX(파견수련계획!$AC$4:$AC$803,$AK211),"yyyy-mm-dd"),""))</f>
        <v/>
      </c>
    </row>
    <row r="212">
      <c r="A212" s="10">
        <f>IF(B212="","",ROW()-1)</f>
        <v/>
      </c>
      <c r="B212" s="18" t="n"/>
      <c r="C212" s="10">
        <f>IF($AB212="","",IF(INDEX(기본자료!$C$2:$C$1001,$AB212)="","",INDEX(기본자료!$C$2:$C$1001,$AB212)))</f>
        <v/>
      </c>
      <c r="D212" s="10">
        <f>IF($AB212="","",IF(INDEX(기본자료!$J$2:$J$1001,$AB212)="","",INDEX(기본자료!$J$2:$J$1001,$AB212)))</f>
        <v/>
      </c>
      <c r="E212" s="11">
        <f>IF($AB212="","",IF(INDEX(기본자료!$K$2:$K$1001,$AB212)="","",IF(NOT(ISNUMBER(INDEX(기본자료!$K$2:$K$1001,$AB212))),INDEX(기본자료!$K$2:$K$1001,$AB212),IF(INDEX(기본자료!$K$2:$K$1001,$AB212)&lt;1000000,INDEX(기본자료!$K$2:$K$1001,$AB212),IF(AND(INDEX(기본자료!$K$2:$K$1001,$AB212)&gt;=10000101,INT(MOD(INDEX(기본자료!$K$2:$K$1001,$AB212),10000)/100)&gt;=1,INT(MOD(INDEX(기본자료!$K$2:$K$1001,$AB212),10000)/100)&lt;=12,MOD(INDEX(기본자료!$K$2:$K$1001,$AB212),100)&gt;=1,MOD(INDEX(기본자료!$K$2:$K$1001,$AB212),100)&lt;=31),DATE(INT(INDEX(기본자료!$K$2:$K$1001,$AB212)/10000),INT(MOD(INDEX(기본자료!$K$2:$K$1001,$AB212),10000)/100),MOD(INDEX(기본자료!$K$2:$K$1001,$AB212),100)),INDEX(기본자료!$K$2:$K$1001,$AB212)&amp;"")))))</f>
        <v/>
      </c>
      <c r="F212" s="10">
        <f>IF($AB212="","",IF(INDEX(기본자료!$D$2:$D$1001,$AB212)="","",INDEX(기본자료!$D$2:$D$1001,$AB212)))</f>
        <v/>
      </c>
      <c r="G212" s="10">
        <f>IF($AB212="","",IF(INDEX(기본자료!$E$2:$E$1001,$AB212)="","",INDEX(기본자료!$E$2:$E$1001,$AB212)))</f>
        <v/>
      </c>
      <c r="H212" s="10">
        <f>IF($AB212="","",IF(INDEX(기본자료!$F$2:$F$1001,$AB212)="","",INDEX(기본자료!$F$2:$F$1001,$AB212)))</f>
        <v/>
      </c>
      <c r="I212" s="11">
        <f>IF($AB212="","",IF(INDEX(기본자료!$G$2:$G$1001,$AB212)="","",IF(NOT(ISNUMBER(INDEX(기본자료!$G$2:$G$1001,$AB212))),INDEX(기본자료!$G$2:$G$1001,$AB212),IF(INDEX(기본자료!$G$2:$G$1001,$AB212)&lt;1000000,INDEX(기본자료!$G$2:$G$1001,$AB212),IF(AND(INDEX(기본자료!$G$2:$G$1001,$AB212)&gt;=10000101,INT(MOD(INDEX(기본자료!$G$2:$G$1001,$AB212),10000)/100)&gt;=1,INT(MOD(INDEX(기본자료!$G$2:$G$1001,$AB212),10000)/100)&lt;=12,MOD(INDEX(기본자료!$G$2:$G$1001,$AB212),100)&gt;=1,MOD(INDEX(기본자료!$G$2:$G$1001,$AB212),100)&lt;=31),DATE(INT(INDEX(기본자료!$G$2:$G$1001,$AB212)/10000),INT(MOD(INDEX(기본자료!$G$2:$G$1001,$AB212),10000)/100),MOD(INDEX(기본자료!$G$2:$G$1001,$AB212),100)),INDEX(기본자료!$G$2:$G$1001,$AB212)&amp;"")))))</f>
        <v/>
      </c>
      <c r="J212" s="10">
        <f>IF($AB212="","",IF(INDEX(기본자료!$H$2:$H$1001,$AB212)="","",INDEX(기본자료!$H$2:$H$1001,$AB212)))</f>
        <v/>
      </c>
      <c r="K212" s="10">
        <f>IF($AB212="","",IF(INDEX(기본자료!$I$2:$I$1001,$AB212)="","",INDEX(기본자료!$I$2:$I$1001,$AB212)))</f>
        <v/>
      </c>
      <c r="L212" s="10">
        <f>IF($AB212="","",IF(INDEX(기본자료!$A$2:$A$1001,$AB212)="","",INDEX(기본자료!$A$2:$A$1001,$AB212)))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파견수련계획!$AB$4:$AB$803,$AK212),OR(NOT(ISNUMBER(INDEX(파견수련계획!$AC$4:$AC$803,$AK212))),TODAY()&lt;=INDEX(파견수련계획!$AC$4:$AC$803,$AK212))),"다기관",IF($AF212="","",INDEX(파견수련계획!$T$4:$T$803,$AF212))),IF($AF212="","",INDEX(파견수련계획!$T$4:$T$803,$AF212))))</f>
        <v/>
      </c>
      <c r="Q212" s="10">
        <f>IF($AF212="","",INDEX(파견수련계획!$S$4:$S$803,$AF212))</f>
        <v/>
      </c>
      <c r="R212" s="10">
        <f>IF($AF212="","",INDEX(파견수련계획!$U$4:$U$803,$AF212))</f>
        <v/>
      </c>
      <c r="S212" s="11">
        <f>IF($AF212="","",IF(INDEX(파견수련계획!$H$4:$H$803,$AF212)="","",INDEX(파견수련계획!$H$4:$H$803,$AF212)))</f>
        <v/>
      </c>
      <c r="T212" s="11">
        <f>IF($AF212="","",IF(INDEX(파견수련계획!$I$4:$I$803,$AF212)="","",INDEX(파견수련계획!$I$4:$I$803,$AF212)))</f>
        <v/>
      </c>
      <c r="U212" s="10">
        <f>IF($AF212="","",INDEX(파견수련계획!$X$4:$X$803,$AF212))</f>
        <v/>
      </c>
      <c r="V212" s="17">
        <f>IF($AF212="","",INDEX(파견수련계획!$V$4:$V$803,$AF212))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IF(OR($B212="",TRIM($J212&amp;"")=""),"",SUMPRODUCT((파견수련계획!$Q$4:$Q$803=TRIM($J212&amp;""))*파견수련계획!$W$4:$W$803))</f>
        <v/>
      </c>
      <c r="Y212" s="10">
        <f>IF($B212="","",IF($AG212="","",IF(IF(TRIM($J212&amp;"")="",0,SUMPRODUCT((파견수련계획!$Q$4:$Q$803=TRIM($J212&amp;""))*파견수련계획!$AD$4:$AD$803))&gt;0,$AE212,IF(N($X212)&lt;=0,$AG212,IF($AH212+$AI212=DAY(EOMONTH(요약!$B$3,0)),IF(AND($AH212&gt;=요약!$E$3,$AI212&lt;요약!$E$3),"서울병원",IF(AND($AI212&gt;=요약!$E$3,$AH212&lt;요약!$E$3),"구리병원","⚠15일 판정불가(서울 "&amp;$AH212&amp;"일/구리 "&amp;$AI212&amp;"일)")),IF($AJ212="",$AE212,IF(INDEX(파견수련계획!$T$4:$T$803,$AJ212)="통합수련",INDEX(파견수련계획!$S$4:$S$803,$AJ212),$AE212)))))))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입력",IF(IF(TRIM($J212&amp;"")="",0,SUMPRODUCT((파견수련계획!$Q$4:$Q$803=TRIM($J212&amp;""))*(파견수련계획!$AA$4:$AA$803&lt;&gt;"")))&gt;0,"파견수련계획 입력오류 확인",IF(LEFT($Y212,1)="⚠","서울·구리 15일 판정 불가(양쪽 모두 이상/미만)",IF(IF($AC212="",0,N(INDEX(인턴근무계획!$T$3:$T$402,$AC212)))&gt;0,"인턴계획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IF($B212="","",IFERROR(MATCH($B212,기본자료!$B$2:$B$1001,0),IFERROR(MATCH($B212&amp;"",기본자료!$B$2:$B$1001,0),IFERROR(MATCH(VALUE($B212),기본자료!$B$2:$B$1001,0),""))))</f>
        <v/>
      </c>
      <c r="AC212" s="10">
        <f>IF($B212="","",IFERROR(MATCH($B212,인턴근무계획!$D$3:$D$402,0),IFERROR(MATCH($B212&amp;"",인턴근무계획!$D$3:$D$402,0),IFERROR(MATCH(VALUE($B212),인턴근무계획!$D$3:$D$402,0),""))))</f>
        <v/>
      </c>
      <c r="AD212" s="10">
        <f>IF(OR($AC212="",인턴현황!$G$3=""),"",INDEX(인턴근무계획!$M$3:$R$402,$AC212,인턴현황!$G$3)&amp;"")</f>
        <v/>
      </c>
      <c r="AE212" s="10">
        <f>IF($B212="","",IF($M212&lt;&gt;"",$M212,IF($AF212&lt;&gt;"",IF(LEFT(INDEX(파견수련계획!$R$4:$R$803,$AF212),1)&lt;&gt;"⚠",INDEX(파견수련계획!$R$4:$R$803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파견수련계획!$Y$4:$Y$803,0),IFERROR(MATCH(TRIM($J212&amp;"")&amp;"|파견예정",파견수련계획!$Y$4:$Y$803,0),IFERROR(MATCH(TRIM($J212&amp;"")&amp;"|파견종료",파견수련계획!$Y$4:$Y$803,0),""))))</f>
        <v/>
      </c>
      <c r="AG212" s="10">
        <f>IF($B212="","",IF(AND(IF(OR($AC212="",인턴현황!$K$2=""),"",INDEX(인턴근무계획!$M$3:$R$402,$AC212,인턴현황!$K$2)&amp;"")&lt;&gt;"",LEFT(IF(OR($AC212="",인턴현황!$K$2=""),"",INDEX(인턴근무계획!$M$3:$R$402,$AC212,인턴현황!$K$2)&amp;""),1)&lt;&gt;"⚠"),LEFT(IF(OR($AC212="",인턴현황!$K$2=""),"",INDEX(인턴근무계획!$M$3:$R$402,$AC212,인턴현황!$K$2)&amp;""),FIND(" ",IF(OR($AC212="",인턴현황!$K$2=""),"",INDEX(인턴근무계획!$M$3:$R$402,$AC212,인턴현황!$K$2)&amp;""))-1),$AE212))</f>
        <v/>
      </c>
      <c r="AH212" s="17">
        <f>IF($B212="","",IF(TRIM($J212&amp;"")="",0,SUMPRODUCT((파견수련계획!$Q$4:$Q$803=TRIM($J212&amp;""))*(파견수련계획!$S$4:$S$803="서울병원")*파견수련계획!$W$4:$W$803))+IF($AG212="서울병원",MAX(0,DAY(EOMONTH(요약!$B$3,0))-N($X212)),0))</f>
        <v/>
      </c>
      <c r="AI212" s="17">
        <f>IF($B212="","",IF(TRIM($J212&amp;"")="",0,SUMPRODUCT((파견수련계획!$Q$4:$Q$803=TRIM($J212&amp;""))*(파견수련계획!$S$4:$S$803="구리병원")*파견수련계획!$W$4:$W$803))+IF($AG212="구리병원",MAX(0,DAY(EOMONTH(요약!$B$3,0))-N($X212)),0))</f>
        <v/>
      </c>
      <c r="AJ212" s="10">
        <f>IF(OR($B212="",TRIM($J212&amp;"")=""),"",IFERROR(MATCH(TRIM($J212&amp;"")&amp;"|월",파견수련계획!$Z$4:$Z$803,0),""))</f>
        <v/>
      </c>
      <c r="AK212" s="10">
        <f>IF(OR($B212="",TRIM($J212&amp;"")=""),"",IFERROR(MATCH(TRIM($J212&amp;"")&amp;"|다기관",파견수련계획!$AE$4:$AE$803,0),""))</f>
        <v/>
      </c>
      <c r="AL212" s="10">
        <f>IF($AK212="","","다기관 "&amp;TEXT(INDEX(파견수련계획!$AB$4:$AB$803,$AK212),"yyyy-mm-dd")&amp;"~"&amp;IF(ISNUMBER(INDEX(파견수련계획!$AC$4:$AC$803,$AK212)),TEXT(INDEX(파견수련계획!$AC$4:$AC$803,$AK212),"yyyy-mm-dd"),""))</f>
        <v/>
      </c>
    </row>
    <row r="213">
      <c r="A213" s="10">
        <f>IF(B213="","",ROW()-1)</f>
        <v/>
      </c>
      <c r="B213" s="18" t="n"/>
      <c r="C213" s="10">
        <f>IF($AB213="","",IF(INDEX(기본자료!$C$2:$C$1001,$AB213)="","",INDEX(기본자료!$C$2:$C$1001,$AB213)))</f>
        <v/>
      </c>
      <c r="D213" s="10">
        <f>IF($AB213="","",IF(INDEX(기본자료!$J$2:$J$1001,$AB213)="","",INDEX(기본자료!$J$2:$J$1001,$AB213)))</f>
        <v/>
      </c>
      <c r="E213" s="11">
        <f>IF($AB213="","",IF(INDEX(기본자료!$K$2:$K$1001,$AB213)="","",IF(NOT(ISNUMBER(INDEX(기본자료!$K$2:$K$1001,$AB213))),INDEX(기본자료!$K$2:$K$1001,$AB213),IF(INDEX(기본자료!$K$2:$K$1001,$AB213)&lt;1000000,INDEX(기본자료!$K$2:$K$1001,$AB213),IF(AND(INDEX(기본자료!$K$2:$K$1001,$AB213)&gt;=10000101,INT(MOD(INDEX(기본자료!$K$2:$K$1001,$AB213),10000)/100)&gt;=1,INT(MOD(INDEX(기본자료!$K$2:$K$1001,$AB213),10000)/100)&lt;=12,MOD(INDEX(기본자료!$K$2:$K$1001,$AB213),100)&gt;=1,MOD(INDEX(기본자료!$K$2:$K$1001,$AB213),100)&lt;=31),DATE(INT(INDEX(기본자료!$K$2:$K$1001,$AB213)/10000),INT(MOD(INDEX(기본자료!$K$2:$K$1001,$AB213),10000)/100),MOD(INDEX(기본자료!$K$2:$K$1001,$AB213),100)),INDEX(기본자료!$K$2:$K$1001,$AB213)&amp;"")))))</f>
        <v/>
      </c>
      <c r="F213" s="10">
        <f>IF($AB213="","",IF(INDEX(기본자료!$D$2:$D$1001,$AB213)="","",INDEX(기본자료!$D$2:$D$1001,$AB213)))</f>
        <v/>
      </c>
      <c r="G213" s="10">
        <f>IF($AB213="","",IF(INDEX(기본자료!$E$2:$E$1001,$AB213)="","",INDEX(기본자료!$E$2:$E$1001,$AB213)))</f>
        <v/>
      </c>
      <c r="H213" s="10">
        <f>IF($AB213="","",IF(INDEX(기본자료!$F$2:$F$1001,$AB213)="","",INDEX(기본자료!$F$2:$F$1001,$AB213)))</f>
        <v/>
      </c>
      <c r="I213" s="11">
        <f>IF($AB213="","",IF(INDEX(기본자료!$G$2:$G$1001,$AB213)="","",IF(NOT(ISNUMBER(INDEX(기본자료!$G$2:$G$1001,$AB213))),INDEX(기본자료!$G$2:$G$1001,$AB213),IF(INDEX(기본자료!$G$2:$G$1001,$AB213)&lt;1000000,INDEX(기본자료!$G$2:$G$1001,$AB213),IF(AND(INDEX(기본자료!$G$2:$G$1001,$AB213)&gt;=10000101,INT(MOD(INDEX(기본자료!$G$2:$G$1001,$AB213),10000)/100)&gt;=1,INT(MOD(INDEX(기본자료!$G$2:$G$1001,$AB213),10000)/100)&lt;=12,MOD(INDEX(기본자료!$G$2:$G$1001,$AB213),100)&gt;=1,MOD(INDEX(기본자료!$G$2:$G$1001,$AB213),100)&lt;=31),DATE(INT(INDEX(기본자료!$G$2:$G$1001,$AB213)/10000),INT(MOD(INDEX(기본자료!$G$2:$G$1001,$AB213),10000)/100),MOD(INDEX(기본자료!$G$2:$G$1001,$AB213),100)),INDEX(기본자료!$G$2:$G$1001,$AB213)&amp;"")))))</f>
        <v/>
      </c>
      <c r="J213" s="10">
        <f>IF($AB213="","",IF(INDEX(기본자료!$H$2:$H$1001,$AB213)="","",INDEX(기본자료!$H$2:$H$1001,$AB213)))</f>
        <v/>
      </c>
      <c r="K213" s="10">
        <f>IF($AB213="","",IF(INDEX(기본자료!$I$2:$I$1001,$AB213)="","",INDEX(기본자료!$I$2:$I$1001,$AB213)))</f>
        <v/>
      </c>
      <c r="L213" s="10">
        <f>IF($AB213="","",IF(INDEX(기본자료!$A$2:$A$1001,$AB213)="","",INDEX(기본자료!$A$2:$A$1001,$AB213)))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파견수련계획!$AB$4:$AB$803,$AK213),OR(NOT(ISNUMBER(INDEX(파견수련계획!$AC$4:$AC$803,$AK213))),TODAY()&lt;=INDEX(파견수련계획!$AC$4:$AC$803,$AK213))),"다기관",IF($AF213="","",INDEX(파견수련계획!$T$4:$T$803,$AF213))),IF($AF213="","",INDEX(파견수련계획!$T$4:$T$803,$AF213))))</f>
        <v/>
      </c>
      <c r="Q213" s="10">
        <f>IF($AF213="","",INDEX(파견수련계획!$S$4:$S$803,$AF213))</f>
        <v/>
      </c>
      <c r="R213" s="10">
        <f>IF($AF213="","",INDEX(파견수련계획!$U$4:$U$803,$AF213))</f>
        <v/>
      </c>
      <c r="S213" s="11">
        <f>IF($AF213="","",IF(INDEX(파견수련계획!$H$4:$H$803,$AF213)="","",INDEX(파견수련계획!$H$4:$H$803,$AF213)))</f>
        <v/>
      </c>
      <c r="T213" s="11">
        <f>IF($AF213="","",IF(INDEX(파견수련계획!$I$4:$I$803,$AF213)="","",INDEX(파견수련계획!$I$4:$I$803,$AF213)))</f>
        <v/>
      </c>
      <c r="U213" s="10">
        <f>IF($AF213="","",INDEX(파견수련계획!$X$4:$X$803,$AF213))</f>
        <v/>
      </c>
      <c r="V213" s="17">
        <f>IF($AF213="","",INDEX(파견수련계획!$V$4:$V$803,$AF213))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IF(OR($B213="",TRIM($J213&amp;"")=""),"",SUMPRODUCT((파견수련계획!$Q$4:$Q$803=TRIM($J213&amp;""))*파견수련계획!$W$4:$W$803))</f>
        <v/>
      </c>
      <c r="Y213" s="10">
        <f>IF($B213="","",IF($AG213="","",IF(IF(TRIM($J213&amp;"")="",0,SUMPRODUCT((파견수련계획!$Q$4:$Q$803=TRIM($J213&amp;""))*파견수련계획!$AD$4:$AD$803))&gt;0,$AE213,IF(N($X213)&lt;=0,$AG213,IF($AH213+$AI213=DAY(EOMONTH(요약!$B$3,0)),IF(AND($AH213&gt;=요약!$E$3,$AI213&lt;요약!$E$3),"서울병원",IF(AND($AI213&gt;=요약!$E$3,$AH213&lt;요약!$E$3),"구리병원","⚠15일 판정불가(서울 "&amp;$AH213&amp;"일/구리 "&amp;$AI213&amp;"일)")),IF($AJ213="",$AE213,IF(INDEX(파견수련계획!$T$4:$T$803,$AJ213)="통합수련",INDEX(파견수련계획!$S$4:$S$803,$AJ213),$AE213)))))))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입력",IF(IF(TRIM($J213&amp;"")="",0,SUMPRODUCT((파견수련계획!$Q$4:$Q$803=TRIM($J213&amp;""))*(파견수련계획!$AA$4:$AA$803&lt;&gt;"")))&gt;0,"파견수련계획 입력오류 확인",IF(LEFT($Y213,1)="⚠","서울·구리 15일 판정 불가(양쪽 모두 이상/미만)",IF(IF($AC213="",0,N(INDEX(인턴근무계획!$T$3:$T$402,$AC213)))&gt;0,"인턴계획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IF($B213="","",IFERROR(MATCH($B213,기본자료!$B$2:$B$1001,0),IFERROR(MATCH($B213&amp;"",기본자료!$B$2:$B$1001,0),IFERROR(MATCH(VALUE($B213),기본자료!$B$2:$B$1001,0),""))))</f>
        <v/>
      </c>
      <c r="AC213" s="10">
        <f>IF($B213="","",IFERROR(MATCH($B213,인턴근무계획!$D$3:$D$402,0),IFERROR(MATCH($B213&amp;"",인턴근무계획!$D$3:$D$402,0),IFERROR(MATCH(VALUE($B213),인턴근무계획!$D$3:$D$402,0),""))))</f>
        <v/>
      </c>
      <c r="AD213" s="10">
        <f>IF(OR($AC213="",인턴현황!$G$3=""),"",INDEX(인턴근무계획!$M$3:$R$402,$AC213,인턴현황!$G$3)&amp;"")</f>
        <v/>
      </c>
      <c r="AE213" s="10">
        <f>IF($B213="","",IF($M213&lt;&gt;"",$M213,IF($AF213&lt;&gt;"",IF(LEFT(INDEX(파견수련계획!$R$4:$R$803,$AF213),1)&lt;&gt;"⚠",INDEX(파견수련계획!$R$4:$R$803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파견수련계획!$Y$4:$Y$803,0),IFERROR(MATCH(TRIM($J213&amp;"")&amp;"|파견예정",파견수련계획!$Y$4:$Y$803,0),IFERROR(MATCH(TRIM($J213&amp;"")&amp;"|파견종료",파견수련계획!$Y$4:$Y$803,0),""))))</f>
        <v/>
      </c>
      <c r="AG213" s="10">
        <f>IF($B213="","",IF(AND(IF(OR($AC213="",인턴현황!$K$2=""),"",INDEX(인턴근무계획!$M$3:$R$402,$AC213,인턴현황!$K$2)&amp;"")&lt;&gt;"",LEFT(IF(OR($AC213="",인턴현황!$K$2=""),"",INDEX(인턴근무계획!$M$3:$R$402,$AC213,인턴현황!$K$2)&amp;""),1)&lt;&gt;"⚠"),LEFT(IF(OR($AC213="",인턴현황!$K$2=""),"",INDEX(인턴근무계획!$M$3:$R$402,$AC213,인턴현황!$K$2)&amp;""),FIND(" ",IF(OR($AC213="",인턴현황!$K$2=""),"",INDEX(인턴근무계획!$M$3:$R$402,$AC213,인턴현황!$K$2)&amp;""))-1),$AE213))</f>
        <v/>
      </c>
      <c r="AH213" s="17">
        <f>IF($B213="","",IF(TRIM($J213&amp;"")="",0,SUMPRODUCT((파견수련계획!$Q$4:$Q$803=TRIM($J213&amp;""))*(파견수련계획!$S$4:$S$803="서울병원")*파견수련계획!$W$4:$W$803))+IF($AG213="서울병원",MAX(0,DAY(EOMONTH(요약!$B$3,0))-N($X213)),0))</f>
        <v/>
      </c>
      <c r="AI213" s="17">
        <f>IF($B213="","",IF(TRIM($J213&amp;"")="",0,SUMPRODUCT((파견수련계획!$Q$4:$Q$803=TRIM($J213&amp;""))*(파견수련계획!$S$4:$S$803="구리병원")*파견수련계획!$W$4:$W$803))+IF($AG213="구리병원",MAX(0,DAY(EOMONTH(요약!$B$3,0))-N($X213)),0))</f>
        <v/>
      </c>
      <c r="AJ213" s="10">
        <f>IF(OR($B213="",TRIM($J213&amp;"")=""),"",IFERROR(MATCH(TRIM($J213&amp;"")&amp;"|월",파견수련계획!$Z$4:$Z$803,0),""))</f>
        <v/>
      </c>
      <c r="AK213" s="10">
        <f>IF(OR($B213="",TRIM($J213&amp;"")=""),"",IFERROR(MATCH(TRIM($J213&amp;"")&amp;"|다기관",파견수련계획!$AE$4:$AE$803,0),""))</f>
        <v/>
      </c>
      <c r="AL213" s="10">
        <f>IF($AK213="","","다기관 "&amp;TEXT(INDEX(파견수련계획!$AB$4:$AB$803,$AK213),"yyyy-mm-dd")&amp;"~"&amp;IF(ISNUMBER(INDEX(파견수련계획!$AC$4:$AC$803,$AK213)),TEXT(INDEX(파견수련계획!$AC$4:$AC$803,$AK213),"yyyy-mm-dd"),""))</f>
        <v/>
      </c>
    </row>
    <row r="214">
      <c r="A214" s="10">
        <f>IF(B214="","",ROW()-1)</f>
        <v/>
      </c>
      <c r="B214" s="18" t="n"/>
      <c r="C214" s="10">
        <f>IF($AB214="","",IF(INDEX(기본자료!$C$2:$C$1001,$AB214)="","",INDEX(기본자료!$C$2:$C$1001,$AB214)))</f>
        <v/>
      </c>
      <c r="D214" s="10">
        <f>IF($AB214="","",IF(INDEX(기본자료!$J$2:$J$1001,$AB214)="","",INDEX(기본자료!$J$2:$J$1001,$AB214)))</f>
        <v/>
      </c>
      <c r="E214" s="11">
        <f>IF($AB214="","",IF(INDEX(기본자료!$K$2:$K$1001,$AB214)="","",IF(NOT(ISNUMBER(INDEX(기본자료!$K$2:$K$1001,$AB214))),INDEX(기본자료!$K$2:$K$1001,$AB214),IF(INDEX(기본자료!$K$2:$K$1001,$AB214)&lt;1000000,INDEX(기본자료!$K$2:$K$1001,$AB214),IF(AND(INDEX(기본자료!$K$2:$K$1001,$AB214)&gt;=10000101,INT(MOD(INDEX(기본자료!$K$2:$K$1001,$AB214),10000)/100)&gt;=1,INT(MOD(INDEX(기본자료!$K$2:$K$1001,$AB214),10000)/100)&lt;=12,MOD(INDEX(기본자료!$K$2:$K$1001,$AB214),100)&gt;=1,MOD(INDEX(기본자료!$K$2:$K$1001,$AB214),100)&lt;=31),DATE(INT(INDEX(기본자료!$K$2:$K$1001,$AB214)/10000),INT(MOD(INDEX(기본자료!$K$2:$K$1001,$AB214),10000)/100),MOD(INDEX(기본자료!$K$2:$K$1001,$AB214),100)),INDEX(기본자료!$K$2:$K$1001,$AB214)&amp;"")))))</f>
        <v/>
      </c>
      <c r="F214" s="10">
        <f>IF($AB214="","",IF(INDEX(기본자료!$D$2:$D$1001,$AB214)="","",INDEX(기본자료!$D$2:$D$1001,$AB214)))</f>
        <v/>
      </c>
      <c r="G214" s="10">
        <f>IF($AB214="","",IF(INDEX(기본자료!$E$2:$E$1001,$AB214)="","",INDEX(기본자료!$E$2:$E$1001,$AB214)))</f>
        <v/>
      </c>
      <c r="H214" s="10">
        <f>IF($AB214="","",IF(INDEX(기본자료!$F$2:$F$1001,$AB214)="","",INDEX(기본자료!$F$2:$F$1001,$AB214)))</f>
        <v/>
      </c>
      <c r="I214" s="11">
        <f>IF($AB214="","",IF(INDEX(기본자료!$G$2:$G$1001,$AB214)="","",IF(NOT(ISNUMBER(INDEX(기본자료!$G$2:$G$1001,$AB214))),INDEX(기본자료!$G$2:$G$1001,$AB214),IF(INDEX(기본자료!$G$2:$G$1001,$AB214)&lt;1000000,INDEX(기본자료!$G$2:$G$1001,$AB214),IF(AND(INDEX(기본자료!$G$2:$G$1001,$AB214)&gt;=10000101,INT(MOD(INDEX(기본자료!$G$2:$G$1001,$AB214),10000)/100)&gt;=1,INT(MOD(INDEX(기본자료!$G$2:$G$1001,$AB214),10000)/100)&lt;=12,MOD(INDEX(기본자료!$G$2:$G$1001,$AB214),100)&gt;=1,MOD(INDEX(기본자료!$G$2:$G$1001,$AB214),100)&lt;=31),DATE(INT(INDEX(기본자료!$G$2:$G$1001,$AB214)/10000),INT(MOD(INDEX(기본자료!$G$2:$G$1001,$AB214),10000)/100),MOD(INDEX(기본자료!$G$2:$G$1001,$AB214),100)),INDEX(기본자료!$G$2:$G$1001,$AB214)&amp;"")))))</f>
        <v/>
      </c>
      <c r="J214" s="10">
        <f>IF($AB214="","",IF(INDEX(기본자료!$H$2:$H$1001,$AB214)="","",INDEX(기본자료!$H$2:$H$1001,$AB214)))</f>
        <v/>
      </c>
      <c r="K214" s="10">
        <f>IF($AB214="","",IF(INDEX(기본자료!$I$2:$I$1001,$AB214)="","",INDEX(기본자료!$I$2:$I$1001,$AB214)))</f>
        <v/>
      </c>
      <c r="L214" s="10">
        <f>IF($AB214="","",IF(INDEX(기본자료!$A$2:$A$1001,$AB214)="","",INDEX(기본자료!$A$2:$A$1001,$AB214)))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파견수련계획!$AB$4:$AB$803,$AK214),OR(NOT(ISNUMBER(INDEX(파견수련계획!$AC$4:$AC$803,$AK214))),TODAY()&lt;=INDEX(파견수련계획!$AC$4:$AC$803,$AK214))),"다기관",IF($AF214="","",INDEX(파견수련계획!$T$4:$T$803,$AF214))),IF($AF214="","",INDEX(파견수련계획!$T$4:$T$803,$AF214))))</f>
        <v/>
      </c>
      <c r="Q214" s="10">
        <f>IF($AF214="","",INDEX(파견수련계획!$S$4:$S$803,$AF214))</f>
        <v/>
      </c>
      <c r="R214" s="10">
        <f>IF($AF214="","",INDEX(파견수련계획!$U$4:$U$803,$AF214))</f>
        <v/>
      </c>
      <c r="S214" s="11">
        <f>IF($AF214="","",IF(INDEX(파견수련계획!$H$4:$H$803,$AF214)="","",INDEX(파견수련계획!$H$4:$H$803,$AF214)))</f>
        <v/>
      </c>
      <c r="T214" s="11">
        <f>IF($AF214="","",IF(INDEX(파견수련계획!$I$4:$I$803,$AF214)="","",INDEX(파견수련계획!$I$4:$I$803,$AF214)))</f>
        <v/>
      </c>
      <c r="U214" s="10">
        <f>IF($AF214="","",INDEX(파견수련계획!$X$4:$X$803,$AF214))</f>
        <v/>
      </c>
      <c r="V214" s="17">
        <f>IF($AF214="","",INDEX(파견수련계획!$V$4:$V$803,$AF214))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IF(OR($B214="",TRIM($J214&amp;"")=""),"",SUMPRODUCT((파견수련계획!$Q$4:$Q$803=TRIM($J214&amp;""))*파견수련계획!$W$4:$W$803))</f>
        <v/>
      </c>
      <c r="Y214" s="10">
        <f>IF($B214="","",IF($AG214="","",IF(IF(TRIM($J214&amp;"")="",0,SUMPRODUCT((파견수련계획!$Q$4:$Q$803=TRIM($J214&amp;""))*파견수련계획!$AD$4:$AD$803))&gt;0,$AE214,IF(N($X214)&lt;=0,$AG214,IF($AH214+$AI214=DAY(EOMONTH(요약!$B$3,0)),IF(AND($AH214&gt;=요약!$E$3,$AI214&lt;요약!$E$3),"서울병원",IF(AND($AI214&gt;=요약!$E$3,$AH214&lt;요약!$E$3),"구리병원","⚠15일 판정불가(서울 "&amp;$AH214&amp;"일/구리 "&amp;$AI214&amp;"일)")),IF($AJ214="",$AE214,IF(INDEX(파견수련계획!$T$4:$T$803,$AJ214)="통합수련",INDEX(파견수련계획!$S$4:$S$803,$AJ214),$AE214)))))))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입력",IF(IF(TRIM($J214&amp;"")="",0,SUMPRODUCT((파견수련계획!$Q$4:$Q$803=TRIM($J214&amp;""))*(파견수련계획!$AA$4:$AA$803&lt;&gt;"")))&gt;0,"파견수련계획 입력오류 확인",IF(LEFT($Y214,1)="⚠","서울·구리 15일 판정 불가(양쪽 모두 이상/미만)",IF(IF($AC214="",0,N(INDEX(인턴근무계획!$T$3:$T$402,$AC214)))&gt;0,"인턴계획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IF($B214="","",IFERROR(MATCH($B214,기본자료!$B$2:$B$1001,0),IFERROR(MATCH($B214&amp;"",기본자료!$B$2:$B$1001,0),IFERROR(MATCH(VALUE($B214),기본자료!$B$2:$B$1001,0),""))))</f>
        <v/>
      </c>
      <c r="AC214" s="10">
        <f>IF($B214="","",IFERROR(MATCH($B214,인턴근무계획!$D$3:$D$402,0),IFERROR(MATCH($B214&amp;"",인턴근무계획!$D$3:$D$402,0),IFERROR(MATCH(VALUE($B214),인턴근무계획!$D$3:$D$402,0),""))))</f>
        <v/>
      </c>
      <c r="AD214" s="10">
        <f>IF(OR($AC214="",인턴현황!$G$3=""),"",INDEX(인턴근무계획!$M$3:$R$402,$AC214,인턴현황!$G$3)&amp;"")</f>
        <v/>
      </c>
      <c r="AE214" s="10">
        <f>IF($B214="","",IF($M214&lt;&gt;"",$M214,IF($AF214&lt;&gt;"",IF(LEFT(INDEX(파견수련계획!$R$4:$R$803,$AF214),1)&lt;&gt;"⚠",INDEX(파견수련계획!$R$4:$R$803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파견수련계획!$Y$4:$Y$803,0),IFERROR(MATCH(TRIM($J214&amp;"")&amp;"|파견예정",파견수련계획!$Y$4:$Y$803,0),IFERROR(MATCH(TRIM($J214&amp;"")&amp;"|파견종료",파견수련계획!$Y$4:$Y$803,0),""))))</f>
        <v/>
      </c>
      <c r="AG214" s="10">
        <f>IF($B214="","",IF(AND(IF(OR($AC214="",인턴현황!$K$2=""),"",INDEX(인턴근무계획!$M$3:$R$402,$AC214,인턴현황!$K$2)&amp;"")&lt;&gt;"",LEFT(IF(OR($AC214="",인턴현황!$K$2=""),"",INDEX(인턴근무계획!$M$3:$R$402,$AC214,인턴현황!$K$2)&amp;""),1)&lt;&gt;"⚠"),LEFT(IF(OR($AC214="",인턴현황!$K$2=""),"",INDEX(인턴근무계획!$M$3:$R$402,$AC214,인턴현황!$K$2)&amp;""),FIND(" ",IF(OR($AC214="",인턴현황!$K$2=""),"",INDEX(인턴근무계획!$M$3:$R$402,$AC214,인턴현황!$K$2)&amp;""))-1),$AE214))</f>
        <v/>
      </c>
      <c r="AH214" s="17">
        <f>IF($B214="","",IF(TRIM($J214&amp;"")="",0,SUMPRODUCT((파견수련계획!$Q$4:$Q$803=TRIM($J214&amp;""))*(파견수련계획!$S$4:$S$803="서울병원")*파견수련계획!$W$4:$W$803))+IF($AG214="서울병원",MAX(0,DAY(EOMONTH(요약!$B$3,0))-N($X214)),0))</f>
        <v/>
      </c>
      <c r="AI214" s="17">
        <f>IF($B214="","",IF(TRIM($J214&amp;"")="",0,SUMPRODUCT((파견수련계획!$Q$4:$Q$803=TRIM($J214&amp;""))*(파견수련계획!$S$4:$S$803="구리병원")*파견수련계획!$W$4:$W$803))+IF($AG214="구리병원",MAX(0,DAY(EOMONTH(요약!$B$3,0))-N($X214)),0))</f>
        <v/>
      </c>
      <c r="AJ214" s="10">
        <f>IF(OR($B214="",TRIM($J214&amp;"")=""),"",IFERROR(MATCH(TRIM($J214&amp;"")&amp;"|월",파견수련계획!$Z$4:$Z$803,0),""))</f>
        <v/>
      </c>
      <c r="AK214" s="10">
        <f>IF(OR($B214="",TRIM($J214&amp;"")=""),"",IFERROR(MATCH(TRIM($J214&amp;"")&amp;"|다기관",파견수련계획!$AE$4:$AE$803,0),""))</f>
        <v/>
      </c>
      <c r="AL214" s="10">
        <f>IF($AK214="","","다기관 "&amp;TEXT(INDEX(파견수련계획!$AB$4:$AB$803,$AK214),"yyyy-mm-dd")&amp;"~"&amp;IF(ISNUMBER(INDEX(파견수련계획!$AC$4:$AC$803,$AK214)),TEXT(INDEX(파견수련계획!$AC$4:$AC$803,$AK214),"yyyy-mm-dd"),""))</f>
        <v/>
      </c>
    </row>
    <row r="215">
      <c r="A215" s="10">
        <f>IF(B215="","",ROW()-1)</f>
        <v/>
      </c>
      <c r="B215" s="18" t="n"/>
      <c r="C215" s="10">
        <f>IF($AB215="","",IF(INDEX(기본자료!$C$2:$C$1001,$AB215)="","",INDEX(기본자료!$C$2:$C$1001,$AB215)))</f>
        <v/>
      </c>
      <c r="D215" s="10">
        <f>IF($AB215="","",IF(INDEX(기본자료!$J$2:$J$1001,$AB215)="","",INDEX(기본자료!$J$2:$J$1001,$AB215)))</f>
        <v/>
      </c>
      <c r="E215" s="11">
        <f>IF($AB215="","",IF(INDEX(기본자료!$K$2:$K$1001,$AB215)="","",IF(NOT(ISNUMBER(INDEX(기본자료!$K$2:$K$1001,$AB215))),INDEX(기본자료!$K$2:$K$1001,$AB215),IF(INDEX(기본자료!$K$2:$K$1001,$AB215)&lt;1000000,INDEX(기본자료!$K$2:$K$1001,$AB215),IF(AND(INDEX(기본자료!$K$2:$K$1001,$AB215)&gt;=10000101,INT(MOD(INDEX(기본자료!$K$2:$K$1001,$AB215),10000)/100)&gt;=1,INT(MOD(INDEX(기본자료!$K$2:$K$1001,$AB215),10000)/100)&lt;=12,MOD(INDEX(기본자료!$K$2:$K$1001,$AB215),100)&gt;=1,MOD(INDEX(기본자료!$K$2:$K$1001,$AB215),100)&lt;=31),DATE(INT(INDEX(기본자료!$K$2:$K$1001,$AB215)/10000),INT(MOD(INDEX(기본자료!$K$2:$K$1001,$AB215),10000)/100),MOD(INDEX(기본자료!$K$2:$K$1001,$AB215),100)),INDEX(기본자료!$K$2:$K$1001,$AB215)&amp;"")))))</f>
        <v/>
      </c>
      <c r="F215" s="10">
        <f>IF($AB215="","",IF(INDEX(기본자료!$D$2:$D$1001,$AB215)="","",INDEX(기본자료!$D$2:$D$1001,$AB215)))</f>
        <v/>
      </c>
      <c r="G215" s="10">
        <f>IF($AB215="","",IF(INDEX(기본자료!$E$2:$E$1001,$AB215)="","",INDEX(기본자료!$E$2:$E$1001,$AB215)))</f>
        <v/>
      </c>
      <c r="H215" s="10">
        <f>IF($AB215="","",IF(INDEX(기본자료!$F$2:$F$1001,$AB215)="","",INDEX(기본자료!$F$2:$F$1001,$AB215)))</f>
        <v/>
      </c>
      <c r="I215" s="11">
        <f>IF($AB215="","",IF(INDEX(기본자료!$G$2:$G$1001,$AB215)="","",IF(NOT(ISNUMBER(INDEX(기본자료!$G$2:$G$1001,$AB215))),INDEX(기본자료!$G$2:$G$1001,$AB215),IF(INDEX(기본자료!$G$2:$G$1001,$AB215)&lt;1000000,INDEX(기본자료!$G$2:$G$1001,$AB215),IF(AND(INDEX(기본자료!$G$2:$G$1001,$AB215)&gt;=10000101,INT(MOD(INDEX(기본자료!$G$2:$G$1001,$AB215),10000)/100)&gt;=1,INT(MOD(INDEX(기본자료!$G$2:$G$1001,$AB215),10000)/100)&lt;=12,MOD(INDEX(기본자료!$G$2:$G$1001,$AB215),100)&gt;=1,MOD(INDEX(기본자료!$G$2:$G$1001,$AB215),100)&lt;=31),DATE(INT(INDEX(기본자료!$G$2:$G$1001,$AB215)/10000),INT(MOD(INDEX(기본자료!$G$2:$G$1001,$AB215),10000)/100),MOD(INDEX(기본자료!$G$2:$G$1001,$AB215),100)),INDEX(기본자료!$G$2:$G$1001,$AB215)&amp;"")))))</f>
        <v/>
      </c>
      <c r="J215" s="10">
        <f>IF($AB215="","",IF(INDEX(기본자료!$H$2:$H$1001,$AB215)="","",INDEX(기본자료!$H$2:$H$1001,$AB215)))</f>
        <v/>
      </c>
      <c r="K215" s="10">
        <f>IF($AB215="","",IF(INDEX(기본자료!$I$2:$I$1001,$AB215)="","",INDEX(기본자료!$I$2:$I$1001,$AB215)))</f>
        <v/>
      </c>
      <c r="L215" s="10">
        <f>IF($AB215="","",IF(INDEX(기본자료!$A$2:$A$1001,$AB215)="","",INDEX(기본자료!$A$2:$A$1001,$AB215)))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파견수련계획!$AB$4:$AB$803,$AK215),OR(NOT(ISNUMBER(INDEX(파견수련계획!$AC$4:$AC$803,$AK215))),TODAY()&lt;=INDEX(파견수련계획!$AC$4:$AC$803,$AK215))),"다기관",IF($AF215="","",INDEX(파견수련계획!$T$4:$T$803,$AF215))),IF($AF215="","",INDEX(파견수련계획!$T$4:$T$803,$AF215))))</f>
        <v/>
      </c>
      <c r="Q215" s="10">
        <f>IF($AF215="","",INDEX(파견수련계획!$S$4:$S$803,$AF215))</f>
        <v/>
      </c>
      <c r="R215" s="10">
        <f>IF($AF215="","",INDEX(파견수련계획!$U$4:$U$803,$AF215))</f>
        <v/>
      </c>
      <c r="S215" s="11">
        <f>IF($AF215="","",IF(INDEX(파견수련계획!$H$4:$H$803,$AF215)="","",INDEX(파견수련계획!$H$4:$H$803,$AF215)))</f>
        <v/>
      </c>
      <c r="T215" s="11">
        <f>IF($AF215="","",IF(INDEX(파견수련계획!$I$4:$I$803,$AF215)="","",INDEX(파견수련계획!$I$4:$I$803,$AF215)))</f>
        <v/>
      </c>
      <c r="U215" s="10">
        <f>IF($AF215="","",INDEX(파견수련계획!$X$4:$X$803,$AF215))</f>
        <v/>
      </c>
      <c r="V215" s="17">
        <f>IF($AF215="","",INDEX(파견수련계획!$V$4:$V$803,$AF215))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IF(OR($B215="",TRIM($J215&amp;"")=""),"",SUMPRODUCT((파견수련계획!$Q$4:$Q$803=TRIM($J215&amp;""))*파견수련계획!$W$4:$W$803))</f>
        <v/>
      </c>
      <c r="Y215" s="10">
        <f>IF($B215="","",IF($AG215="","",IF(IF(TRIM($J215&amp;"")="",0,SUMPRODUCT((파견수련계획!$Q$4:$Q$803=TRIM($J215&amp;""))*파견수련계획!$AD$4:$AD$803))&gt;0,$AE215,IF(N($X215)&lt;=0,$AG215,IF($AH215+$AI215=DAY(EOMONTH(요약!$B$3,0)),IF(AND($AH215&gt;=요약!$E$3,$AI215&lt;요약!$E$3),"서울병원",IF(AND($AI215&gt;=요약!$E$3,$AH215&lt;요약!$E$3),"구리병원","⚠15일 판정불가(서울 "&amp;$AH215&amp;"일/구리 "&amp;$AI215&amp;"일)")),IF($AJ215="",$AE215,IF(INDEX(파견수련계획!$T$4:$T$803,$AJ215)="통합수련",INDEX(파견수련계획!$S$4:$S$803,$AJ215),$AE215)))))))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입력",IF(IF(TRIM($J215&amp;"")="",0,SUMPRODUCT((파견수련계획!$Q$4:$Q$803=TRIM($J215&amp;""))*(파견수련계획!$AA$4:$AA$803&lt;&gt;"")))&gt;0,"파견수련계획 입력오류 확인",IF(LEFT($Y215,1)="⚠","서울·구리 15일 판정 불가(양쪽 모두 이상/미만)",IF(IF($AC215="",0,N(INDEX(인턴근무계획!$T$3:$T$402,$AC215)))&gt;0,"인턴계획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IF($B215="","",IFERROR(MATCH($B215,기본자료!$B$2:$B$1001,0),IFERROR(MATCH($B215&amp;"",기본자료!$B$2:$B$1001,0),IFERROR(MATCH(VALUE($B215),기본자료!$B$2:$B$1001,0),""))))</f>
        <v/>
      </c>
      <c r="AC215" s="10">
        <f>IF($B215="","",IFERROR(MATCH($B215,인턴근무계획!$D$3:$D$402,0),IFERROR(MATCH($B215&amp;"",인턴근무계획!$D$3:$D$402,0),IFERROR(MATCH(VALUE($B215),인턴근무계획!$D$3:$D$402,0),""))))</f>
        <v/>
      </c>
      <c r="AD215" s="10">
        <f>IF(OR($AC215="",인턴현황!$G$3=""),"",INDEX(인턴근무계획!$M$3:$R$402,$AC215,인턴현황!$G$3)&amp;"")</f>
        <v/>
      </c>
      <c r="AE215" s="10">
        <f>IF($B215="","",IF($M215&lt;&gt;"",$M215,IF($AF215&lt;&gt;"",IF(LEFT(INDEX(파견수련계획!$R$4:$R$803,$AF215),1)&lt;&gt;"⚠",INDEX(파견수련계획!$R$4:$R$803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파견수련계획!$Y$4:$Y$803,0),IFERROR(MATCH(TRIM($J215&amp;"")&amp;"|파견예정",파견수련계획!$Y$4:$Y$803,0),IFERROR(MATCH(TRIM($J215&amp;"")&amp;"|파견종료",파견수련계획!$Y$4:$Y$803,0),""))))</f>
        <v/>
      </c>
      <c r="AG215" s="10">
        <f>IF($B215="","",IF(AND(IF(OR($AC215="",인턴현황!$K$2=""),"",INDEX(인턴근무계획!$M$3:$R$402,$AC215,인턴현황!$K$2)&amp;"")&lt;&gt;"",LEFT(IF(OR($AC215="",인턴현황!$K$2=""),"",INDEX(인턴근무계획!$M$3:$R$402,$AC215,인턴현황!$K$2)&amp;""),1)&lt;&gt;"⚠"),LEFT(IF(OR($AC215="",인턴현황!$K$2=""),"",INDEX(인턴근무계획!$M$3:$R$402,$AC215,인턴현황!$K$2)&amp;""),FIND(" ",IF(OR($AC215="",인턴현황!$K$2=""),"",INDEX(인턴근무계획!$M$3:$R$402,$AC215,인턴현황!$K$2)&amp;""))-1),$AE215))</f>
        <v/>
      </c>
      <c r="AH215" s="17">
        <f>IF($B215="","",IF(TRIM($J215&amp;"")="",0,SUMPRODUCT((파견수련계획!$Q$4:$Q$803=TRIM($J215&amp;""))*(파견수련계획!$S$4:$S$803="서울병원")*파견수련계획!$W$4:$W$803))+IF($AG215="서울병원",MAX(0,DAY(EOMONTH(요약!$B$3,0))-N($X215)),0))</f>
        <v/>
      </c>
      <c r="AI215" s="17">
        <f>IF($B215="","",IF(TRIM($J215&amp;"")="",0,SUMPRODUCT((파견수련계획!$Q$4:$Q$803=TRIM($J215&amp;""))*(파견수련계획!$S$4:$S$803="구리병원")*파견수련계획!$W$4:$W$803))+IF($AG215="구리병원",MAX(0,DAY(EOMONTH(요약!$B$3,0))-N($X215)),0))</f>
        <v/>
      </c>
      <c r="AJ215" s="10">
        <f>IF(OR($B215="",TRIM($J215&amp;"")=""),"",IFERROR(MATCH(TRIM($J215&amp;"")&amp;"|월",파견수련계획!$Z$4:$Z$803,0),""))</f>
        <v/>
      </c>
      <c r="AK215" s="10">
        <f>IF(OR($B215="",TRIM($J215&amp;"")=""),"",IFERROR(MATCH(TRIM($J215&amp;"")&amp;"|다기관",파견수련계획!$AE$4:$AE$803,0),""))</f>
        <v/>
      </c>
      <c r="AL215" s="10">
        <f>IF($AK215="","","다기관 "&amp;TEXT(INDEX(파견수련계획!$AB$4:$AB$803,$AK215),"yyyy-mm-dd")&amp;"~"&amp;IF(ISNUMBER(INDEX(파견수련계획!$AC$4:$AC$803,$AK215)),TEXT(INDEX(파견수련계획!$AC$4:$AC$803,$AK215),"yyyy-mm-dd"),""))</f>
        <v/>
      </c>
    </row>
    <row r="216">
      <c r="A216" s="10">
        <f>IF(B216="","",ROW()-1)</f>
        <v/>
      </c>
      <c r="B216" s="18" t="n"/>
      <c r="C216" s="10">
        <f>IF($AB216="","",IF(INDEX(기본자료!$C$2:$C$1001,$AB216)="","",INDEX(기본자료!$C$2:$C$1001,$AB216)))</f>
        <v/>
      </c>
      <c r="D216" s="10">
        <f>IF($AB216="","",IF(INDEX(기본자료!$J$2:$J$1001,$AB216)="","",INDEX(기본자료!$J$2:$J$1001,$AB216)))</f>
        <v/>
      </c>
      <c r="E216" s="11">
        <f>IF($AB216="","",IF(INDEX(기본자료!$K$2:$K$1001,$AB216)="","",IF(NOT(ISNUMBER(INDEX(기본자료!$K$2:$K$1001,$AB216))),INDEX(기본자료!$K$2:$K$1001,$AB216),IF(INDEX(기본자료!$K$2:$K$1001,$AB216)&lt;1000000,INDEX(기본자료!$K$2:$K$1001,$AB216),IF(AND(INDEX(기본자료!$K$2:$K$1001,$AB216)&gt;=10000101,INT(MOD(INDEX(기본자료!$K$2:$K$1001,$AB216),10000)/100)&gt;=1,INT(MOD(INDEX(기본자료!$K$2:$K$1001,$AB216),10000)/100)&lt;=12,MOD(INDEX(기본자료!$K$2:$K$1001,$AB216),100)&gt;=1,MOD(INDEX(기본자료!$K$2:$K$1001,$AB216),100)&lt;=31),DATE(INT(INDEX(기본자료!$K$2:$K$1001,$AB216)/10000),INT(MOD(INDEX(기본자료!$K$2:$K$1001,$AB216),10000)/100),MOD(INDEX(기본자료!$K$2:$K$1001,$AB216),100)),INDEX(기본자료!$K$2:$K$1001,$AB216)&amp;"")))))</f>
        <v/>
      </c>
      <c r="F216" s="10">
        <f>IF($AB216="","",IF(INDEX(기본자료!$D$2:$D$1001,$AB216)="","",INDEX(기본자료!$D$2:$D$1001,$AB216)))</f>
        <v/>
      </c>
      <c r="G216" s="10">
        <f>IF($AB216="","",IF(INDEX(기본자료!$E$2:$E$1001,$AB216)="","",INDEX(기본자료!$E$2:$E$1001,$AB216)))</f>
        <v/>
      </c>
      <c r="H216" s="10">
        <f>IF($AB216="","",IF(INDEX(기본자료!$F$2:$F$1001,$AB216)="","",INDEX(기본자료!$F$2:$F$1001,$AB216)))</f>
        <v/>
      </c>
      <c r="I216" s="11">
        <f>IF($AB216="","",IF(INDEX(기본자료!$G$2:$G$1001,$AB216)="","",IF(NOT(ISNUMBER(INDEX(기본자료!$G$2:$G$1001,$AB216))),INDEX(기본자료!$G$2:$G$1001,$AB216),IF(INDEX(기본자료!$G$2:$G$1001,$AB216)&lt;1000000,INDEX(기본자료!$G$2:$G$1001,$AB216),IF(AND(INDEX(기본자료!$G$2:$G$1001,$AB216)&gt;=10000101,INT(MOD(INDEX(기본자료!$G$2:$G$1001,$AB216),10000)/100)&gt;=1,INT(MOD(INDEX(기본자료!$G$2:$G$1001,$AB216),10000)/100)&lt;=12,MOD(INDEX(기본자료!$G$2:$G$1001,$AB216),100)&gt;=1,MOD(INDEX(기본자료!$G$2:$G$1001,$AB216),100)&lt;=31),DATE(INT(INDEX(기본자료!$G$2:$G$1001,$AB216)/10000),INT(MOD(INDEX(기본자료!$G$2:$G$1001,$AB216),10000)/100),MOD(INDEX(기본자료!$G$2:$G$1001,$AB216),100)),INDEX(기본자료!$G$2:$G$1001,$AB216)&amp;"")))))</f>
        <v/>
      </c>
      <c r="J216" s="10">
        <f>IF($AB216="","",IF(INDEX(기본자료!$H$2:$H$1001,$AB216)="","",INDEX(기본자료!$H$2:$H$1001,$AB216)))</f>
        <v/>
      </c>
      <c r="K216" s="10">
        <f>IF($AB216="","",IF(INDEX(기본자료!$I$2:$I$1001,$AB216)="","",INDEX(기본자료!$I$2:$I$1001,$AB216)))</f>
        <v/>
      </c>
      <c r="L216" s="10">
        <f>IF($AB216="","",IF(INDEX(기본자료!$A$2:$A$1001,$AB216)="","",INDEX(기본자료!$A$2:$A$1001,$AB216)))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파견수련계획!$AB$4:$AB$803,$AK216),OR(NOT(ISNUMBER(INDEX(파견수련계획!$AC$4:$AC$803,$AK216))),TODAY()&lt;=INDEX(파견수련계획!$AC$4:$AC$803,$AK216))),"다기관",IF($AF216="","",INDEX(파견수련계획!$T$4:$T$803,$AF216))),IF($AF216="","",INDEX(파견수련계획!$T$4:$T$803,$AF216))))</f>
        <v/>
      </c>
      <c r="Q216" s="10">
        <f>IF($AF216="","",INDEX(파견수련계획!$S$4:$S$803,$AF216))</f>
        <v/>
      </c>
      <c r="R216" s="10">
        <f>IF($AF216="","",INDEX(파견수련계획!$U$4:$U$803,$AF216))</f>
        <v/>
      </c>
      <c r="S216" s="11">
        <f>IF($AF216="","",IF(INDEX(파견수련계획!$H$4:$H$803,$AF216)="","",INDEX(파견수련계획!$H$4:$H$803,$AF216)))</f>
        <v/>
      </c>
      <c r="T216" s="11">
        <f>IF($AF216="","",IF(INDEX(파견수련계획!$I$4:$I$803,$AF216)="","",INDEX(파견수련계획!$I$4:$I$803,$AF216)))</f>
        <v/>
      </c>
      <c r="U216" s="10">
        <f>IF($AF216="","",INDEX(파견수련계획!$X$4:$X$803,$AF216))</f>
        <v/>
      </c>
      <c r="V216" s="17">
        <f>IF($AF216="","",INDEX(파견수련계획!$V$4:$V$803,$AF216))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IF(OR($B216="",TRIM($J216&amp;"")=""),"",SUMPRODUCT((파견수련계획!$Q$4:$Q$803=TRIM($J216&amp;""))*파견수련계획!$W$4:$W$803))</f>
        <v/>
      </c>
      <c r="Y216" s="10">
        <f>IF($B216="","",IF($AG216="","",IF(IF(TRIM($J216&amp;"")="",0,SUMPRODUCT((파견수련계획!$Q$4:$Q$803=TRIM($J216&amp;""))*파견수련계획!$AD$4:$AD$803))&gt;0,$AE216,IF(N($X216)&lt;=0,$AG216,IF($AH216+$AI216=DAY(EOMONTH(요약!$B$3,0)),IF(AND($AH216&gt;=요약!$E$3,$AI216&lt;요약!$E$3),"서울병원",IF(AND($AI216&gt;=요약!$E$3,$AH216&lt;요약!$E$3),"구리병원","⚠15일 판정불가(서울 "&amp;$AH216&amp;"일/구리 "&amp;$AI216&amp;"일)")),IF($AJ216="",$AE216,IF(INDEX(파견수련계획!$T$4:$T$803,$AJ216)="통합수련",INDEX(파견수련계획!$S$4:$S$803,$AJ216),$AE216)))))))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입력",IF(IF(TRIM($J216&amp;"")="",0,SUMPRODUCT((파견수련계획!$Q$4:$Q$803=TRIM($J216&amp;""))*(파견수련계획!$AA$4:$AA$803&lt;&gt;"")))&gt;0,"파견수련계획 입력오류 확인",IF(LEFT($Y216,1)="⚠","서울·구리 15일 판정 불가(양쪽 모두 이상/미만)",IF(IF($AC216="",0,N(INDEX(인턴근무계획!$T$3:$T$402,$AC216)))&gt;0,"인턴계획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IF($B216="","",IFERROR(MATCH($B216,기본자료!$B$2:$B$1001,0),IFERROR(MATCH($B216&amp;"",기본자료!$B$2:$B$1001,0),IFERROR(MATCH(VALUE($B216),기본자료!$B$2:$B$1001,0),""))))</f>
        <v/>
      </c>
      <c r="AC216" s="10">
        <f>IF($B216="","",IFERROR(MATCH($B216,인턴근무계획!$D$3:$D$402,0),IFERROR(MATCH($B216&amp;"",인턴근무계획!$D$3:$D$402,0),IFERROR(MATCH(VALUE($B216),인턴근무계획!$D$3:$D$402,0),""))))</f>
        <v/>
      </c>
      <c r="AD216" s="10">
        <f>IF(OR($AC216="",인턴현황!$G$3=""),"",INDEX(인턴근무계획!$M$3:$R$402,$AC216,인턴현황!$G$3)&amp;"")</f>
        <v/>
      </c>
      <c r="AE216" s="10">
        <f>IF($B216="","",IF($M216&lt;&gt;"",$M216,IF($AF216&lt;&gt;"",IF(LEFT(INDEX(파견수련계획!$R$4:$R$803,$AF216),1)&lt;&gt;"⚠",INDEX(파견수련계획!$R$4:$R$803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파견수련계획!$Y$4:$Y$803,0),IFERROR(MATCH(TRIM($J216&amp;"")&amp;"|파견예정",파견수련계획!$Y$4:$Y$803,0),IFERROR(MATCH(TRIM($J216&amp;"")&amp;"|파견종료",파견수련계획!$Y$4:$Y$803,0),""))))</f>
        <v/>
      </c>
      <c r="AG216" s="10">
        <f>IF($B216="","",IF(AND(IF(OR($AC216="",인턴현황!$K$2=""),"",INDEX(인턴근무계획!$M$3:$R$402,$AC216,인턴현황!$K$2)&amp;"")&lt;&gt;"",LEFT(IF(OR($AC216="",인턴현황!$K$2=""),"",INDEX(인턴근무계획!$M$3:$R$402,$AC216,인턴현황!$K$2)&amp;""),1)&lt;&gt;"⚠"),LEFT(IF(OR($AC216="",인턴현황!$K$2=""),"",INDEX(인턴근무계획!$M$3:$R$402,$AC216,인턴현황!$K$2)&amp;""),FIND(" ",IF(OR($AC216="",인턴현황!$K$2=""),"",INDEX(인턴근무계획!$M$3:$R$402,$AC216,인턴현황!$K$2)&amp;""))-1),$AE216))</f>
        <v/>
      </c>
      <c r="AH216" s="17">
        <f>IF($B216="","",IF(TRIM($J216&amp;"")="",0,SUMPRODUCT((파견수련계획!$Q$4:$Q$803=TRIM($J216&amp;""))*(파견수련계획!$S$4:$S$803="서울병원")*파견수련계획!$W$4:$W$803))+IF($AG216="서울병원",MAX(0,DAY(EOMONTH(요약!$B$3,0))-N($X216)),0))</f>
        <v/>
      </c>
      <c r="AI216" s="17">
        <f>IF($B216="","",IF(TRIM($J216&amp;"")="",0,SUMPRODUCT((파견수련계획!$Q$4:$Q$803=TRIM($J216&amp;""))*(파견수련계획!$S$4:$S$803="구리병원")*파견수련계획!$W$4:$W$803))+IF($AG216="구리병원",MAX(0,DAY(EOMONTH(요약!$B$3,0))-N($X216)),0))</f>
        <v/>
      </c>
      <c r="AJ216" s="10">
        <f>IF(OR($B216="",TRIM($J216&amp;"")=""),"",IFERROR(MATCH(TRIM($J216&amp;"")&amp;"|월",파견수련계획!$Z$4:$Z$803,0),""))</f>
        <v/>
      </c>
      <c r="AK216" s="10">
        <f>IF(OR($B216="",TRIM($J216&amp;"")=""),"",IFERROR(MATCH(TRIM($J216&amp;"")&amp;"|다기관",파견수련계획!$AE$4:$AE$803,0),""))</f>
        <v/>
      </c>
      <c r="AL216" s="10">
        <f>IF($AK216="","","다기관 "&amp;TEXT(INDEX(파견수련계획!$AB$4:$AB$803,$AK216),"yyyy-mm-dd")&amp;"~"&amp;IF(ISNUMBER(INDEX(파견수련계획!$AC$4:$AC$803,$AK216)),TEXT(INDEX(파견수련계획!$AC$4:$AC$803,$AK216),"yyyy-mm-dd"),""))</f>
        <v/>
      </c>
    </row>
    <row r="217">
      <c r="A217" s="10">
        <f>IF(B217="","",ROW()-1)</f>
        <v/>
      </c>
      <c r="B217" s="18" t="n"/>
      <c r="C217" s="10">
        <f>IF($AB217="","",IF(INDEX(기본자료!$C$2:$C$1001,$AB217)="","",INDEX(기본자료!$C$2:$C$1001,$AB217)))</f>
        <v/>
      </c>
      <c r="D217" s="10">
        <f>IF($AB217="","",IF(INDEX(기본자료!$J$2:$J$1001,$AB217)="","",INDEX(기본자료!$J$2:$J$1001,$AB217)))</f>
        <v/>
      </c>
      <c r="E217" s="11">
        <f>IF($AB217="","",IF(INDEX(기본자료!$K$2:$K$1001,$AB217)="","",IF(NOT(ISNUMBER(INDEX(기본자료!$K$2:$K$1001,$AB217))),INDEX(기본자료!$K$2:$K$1001,$AB217),IF(INDEX(기본자료!$K$2:$K$1001,$AB217)&lt;1000000,INDEX(기본자료!$K$2:$K$1001,$AB217),IF(AND(INDEX(기본자료!$K$2:$K$1001,$AB217)&gt;=10000101,INT(MOD(INDEX(기본자료!$K$2:$K$1001,$AB217),10000)/100)&gt;=1,INT(MOD(INDEX(기본자료!$K$2:$K$1001,$AB217),10000)/100)&lt;=12,MOD(INDEX(기본자료!$K$2:$K$1001,$AB217),100)&gt;=1,MOD(INDEX(기본자료!$K$2:$K$1001,$AB217),100)&lt;=31),DATE(INT(INDEX(기본자료!$K$2:$K$1001,$AB217)/10000),INT(MOD(INDEX(기본자료!$K$2:$K$1001,$AB217),10000)/100),MOD(INDEX(기본자료!$K$2:$K$1001,$AB217),100)),INDEX(기본자료!$K$2:$K$1001,$AB217)&amp;"")))))</f>
        <v/>
      </c>
      <c r="F217" s="10">
        <f>IF($AB217="","",IF(INDEX(기본자료!$D$2:$D$1001,$AB217)="","",INDEX(기본자료!$D$2:$D$1001,$AB217)))</f>
        <v/>
      </c>
      <c r="G217" s="10">
        <f>IF($AB217="","",IF(INDEX(기본자료!$E$2:$E$1001,$AB217)="","",INDEX(기본자료!$E$2:$E$1001,$AB217)))</f>
        <v/>
      </c>
      <c r="H217" s="10">
        <f>IF($AB217="","",IF(INDEX(기본자료!$F$2:$F$1001,$AB217)="","",INDEX(기본자료!$F$2:$F$1001,$AB217)))</f>
        <v/>
      </c>
      <c r="I217" s="11">
        <f>IF($AB217="","",IF(INDEX(기본자료!$G$2:$G$1001,$AB217)="","",IF(NOT(ISNUMBER(INDEX(기본자료!$G$2:$G$1001,$AB217))),INDEX(기본자료!$G$2:$G$1001,$AB217),IF(INDEX(기본자료!$G$2:$G$1001,$AB217)&lt;1000000,INDEX(기본자료!$G$2:$G$1001,$AB217),IF(AND(INDEX(기본자료!$G$2:$G$1001,$AB217)&gt;=10000101,INT(MOD(INDEX(기본자료!$G$2:$G$1001,$AB217),10000)/100)&gt;=1,INT(MOD(INDEX(기본자료!$G$2:$G$1001,$AB217),10000)/100)&lt;=12,MOD(INDEX(기본자료!$G$2:$G$1001,$AB217),100)&gt;=1,MOD(INDEX(기본자료!$G$2:$G$1001,$AB217),100)&lt;=31),DATE(INT(INDEX(기본자료!$G$2:$G$1001,$AB217)/10000),INT(MOD(INDEX(기본자료!$G$2:$G$1001,$AB217),10000)/100),MOD(INDEX(기본자료!$G$2:$G$1001,$AB217),100)),INDEX(기본자료!$G$2:$G$1001,$AB217)&amp;"")))))</f>
        <v/>
      </c>
      <c r="J217" s="10">
        <f>IF($AB217="","",IF(INDEX(기본자료!$H$2:$H$1001,$AB217)="","",INDEX(기본자료!$H$2:$H$1001,$AB217)))</f>
        <v/>
      </c>
      <c r="K217" s="10">
        <f>IF($AB217="","",IF(INDEX(기본자료!$I$2:$I$1001,$AB217)="","",INDEX(기본자료!$I$2:$I$1001,$AB217)))</f>
        <v/>
      </c>
      <c r="L217" s="10">
        <f>IF($AB217="","",IF(INDEX(기본자료!$A$2:$A$1001,$AB217)="","",INDEX(기본자료!$A$2:$A$1001,$AB217)))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파견수련계획!$AB$4:$AB$803,$AK217),OR(NOT(ISNUMBER(INDEX(파견수련계획!$AC$4:$AC$803,$AK217))),TODAY()&lt;=INDEX(파견수련계획!$AC$4:$AC$803,$AK217))),"다기관",IF($AF217="","",INDEX(파견수련계획!$T$4:$T$803,$AF217))),IF($AF217="","",INDEX(파견수련계획!$T$4:$T$803,$AF217))))</f>
        <v/>
      </c>
      <c r="Q217" s="10">
        <f>IF($AF217="","",INDEX(파견수련계획!$S$4:$S$803,$AF217))</f>
        <v/>
      </c>
      <c r="R217" s="10">
        <f>IF($AF217="","",INDEX(파견수련계획!$U$4:$U$803,$AF217))</f>
        <v/>
      </c>
      <c r="S217" s="11">
        <f>IF($AF217="","",IF(INDEX(파견수련계획!$H$4:$H$803,$AF217)="","",INDEX(파견수련계획!$H$4:$H$803,$AF217)))</f>
        <v/>
      </c>
      <c r="T217" s="11">
        <f>IF($AF217="","",IF(INDEX(파견수련계획!$I$4:$I$803,$AF217)="","",INDEX(파견수련계획!$I$4:$I$803,$AF217)))</f>
        <v/>
      </c>
      <c r="U217" s="10">
        <f>IF($AF217="","",INDEX(파견수련계획!$X$4:$X$803,$AF217))</f>
        <v/>
      </c>
      <c r="V217" s="17">
        <f>IF($AF217="","",INDEX(파견수련계획!$V$4:$V$803,$AF217))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IF(OR($B217="",TRIM($J217&amp;"")=""),"",SUMPRODUCT((파견수련계획!$Q$4:$Q$803=TRIM($J217&amp;""))*파견수련계획!$W$4:$W$803))</f>
        <v/>
      </c>
      <c r="Y217" s="10">
        <f>IF($B217="","",IF($AG217="","",IF(IF(TRIM($J217&amp;"")="",0,SUMPRODUCT((파견수련계획!$Q$4:$Q$803=TRIM($J217&amp;""))*파견수련계획!$AD$4:$AD$803))&gt;0,$AE217,IF(N($X217)&lt;=0,$AG217,IF($AH217+$AI217=DAY(EOMONTH(요약!$B$3,0)),IF(AND($AH217&gt;=요약!$E$3,$AI217&lt;요약!$E$3),"서울병원",IF(AND($AI217&gt;=요약!$E$3,$AH217&lt;요약!$E$3),"구리병원","⚠15일 판정불가(서울 "&amp;$AH217&amp;"일/구리 "&amp;$AI217&amp;"일)")),IF($AJ217="",$AE217,IF(INDEX(파견수련계획!$T$4:$T$803,$AJ217)="통합수련",INDEX(파견수련계획!$S$4:$S$803,$AJ217),$AE217)))))))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입력",IF(IF(TRIM($J217&amp;"")="",0,SUMPRODUCT((파견수련계획!$Q$4:$Q$803=TRIM($J217&amp;""))*(파견수련계획!$AA$4:$AA$803&lt;&gt;"")))&gt;0,"파견수련계획 입력오류 확인",IF(LEFT($Y217,1)="⚠","서울·구리 15일 판정 불가(양쪽 모두 이상/미만)",IF(IF($AC217="",0,N(INDEX(인턴근무계획!$T$3:$T$402,$AC217)))&gt;0,"인턴계획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IF($B217="","",IFERROR(MATCH($B217,기본자료!$B$2:$B$1001,0),IFERROR(MATCH($B217&amp;"",기본자료!$B$2:$B$1001,0),IFERROR(MATCH(VALUE($B217),기본자료!$B$2:$B$1001,0),""))))</f>
        <v/>
      </c>
      <c r="AC217" s="10">
        <f>IF($B217="","",IFERROR(MATCH($B217,인턴근무계획!$D$3:$D$402,0),IFERROR(MATCH($B217&amp;"",인턴근무계획!$D$3:$D$402,0),IFERROR(MATCH(VALUE($B217),인턴근무계획!$D$3:$D$402,0),""))))</f>
        <v/>
      </c>
      <c r="AD217" s="10">
        <f>IF(OR($AC217="",인턴현황!$G$3=""),"",INDEX(인턴근무계획!$M$3:$R$402,$AC217,인턴현황!$G$3)&amp;"")</f>
        <v/>
      </c>
      <c r="AE217" s="10">
        <f>IF($B217="","",IF($M217&lt;&gt;"",$M217,IF($AF217&lt;&gt;"",IF(LEFT(INDEX(파견수련계획!$R$4:$R$803,$AF217),1)&lt;&gt;"⚠",INDEX(파견수련계획!$R$4:$R$803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파견수련계획!$Y$4:$Y$803,0),IFERROR(MATCH(TRIM($J217&amp;"")&amp;"|파견예정",파견수련계획!$Y$4:$Y$803,0),IFERROR(MATCH(TRIM($J217&amp;"")&amp;"|파견종료",파견수련계획!$Y$4:$Y$803,0),""))))</f>
        <v/>
      </c>
      <c r="AG217" s="10">
        <f>IF($B217="","",IF(AND(IF(OR($AC217="",인턴현황!$K$2=""),"",INDEX(인턴근무계획!$M$3:$R$402,$AC217,인턴현황!$K$2)&amp;"")&lt;&gt;"",LEFT(IF(OR($AC217="",인턴현황!$K$2=""),"",INDEX(인턴근무계획!$M$3:$R$402,$AC217,인턴현황!$K$2)&amp;""),1)&lt;&gt;"⚠"),LEFT(IF(OR($AC217="",인턴현황!$K$2=""),"",INDEX(인턴근무계획!$M$3:$R$402,$AC217,인턴현황!$K$2)&amp;""),FIND(" ",IF(OR($AC217="",인턴현황!$K$2=""),"",INDEX(인턴근무계획!$M$3:$R$402,$AC217,인턴현황!$K$2)&amp;""))-1),$AE217))</f>
        <v/>
      </c>
      <c r="AH217" s="17">
        <f>IF($B217="","",IF(TRIM($J217&amp;"")="",0,SUMPRODUCT((파견수련계획!$Q$4:$Q$803=TRIM($J217&amp;""))*(파견수련계획!$S$4:$S$803="서울병원")*파견수련계획!$W$4:$W$803))+IF($AG217="서울병원",MAX(0,DAY(EOMONTH(요약!$B$3,0))-N($X217)),0))</f>
        <v/>
      </c>
      <c r="AI217" s="17">
        <f>IF($B217="","",IF(TRIM($J217&amp;"")="",0,SUMPRODUCT((파견수련계획!$Q$4:$Q$803=TRIM($J217&amp;""))*(파견수련계획!$S$4:$S$803="구리병원")*파견수련계획!$W$4:$W$803))+IF($AG217="구리병원",MAX(0,DAY(EOMONTH(요약!$B$3,0))-N($X217)),0))</f>
        <v/>
      </c>
      <c r="AJ217" s="10">
        <f>IF(OR($B217="",TRIM($J217&amp;"")=""),"",IFERROR(MATCH(TRIM($J217&amp;"")&amp;"|월",파견수련계획!$Z$4:$Z$803,0),""))</f>
        <v/>
      </c>
      <c r="AK217" s="10">
        <f>IF(OR($B217="",TRIM($J217&amp;"")=""),"",IFERROR(MATCH(TRIM($J217&amp;"")&amp;"|다기관",파견수련계획!$AE$4:$AE$803,0),""))</f>
        <v/>
      </c>
      <c r="AL217" s="10">
        <f>IF($AK217="","","다기관 "&amp;TEXT(INDEX(파견수련계획!$AB$4:$AB$803,$AK217),"yyyy-mm-dd")&amp;"~"&amp;IF(ISNUMBER(INDEX(파견수련계획!$AC$4:$AC$803,$AK217)),TEXT(INDEX(파견수련계획!$AC$4:$AC$803,$AK217),"yyyy-mm-dd"),""))</f>
        <v/>
      </c>
    </row>
    <row r="218">
      <c r="A218" s="10">
        <f>IF(B218="","",ROW()-1)</f>
        <v/>
      </c>
      <c r="B218" s="18" t="n"/>
      <c r="C218" s="10">
        <f>IF($AB218="","",IF(INDEX(기본자료!$C$2:$C$1001,$AB218)="","",INDEX(기본자료!$C$2:$C$1001,$AB218)))</f>
        <v/>
      </c>
      <c r="D218" s="10">
        <f>IF($AB218="","",IF(INDEX(기본자료!$J$2:$J$1001,$AB218)="","",INDEX(기본자료!$J$2:$J$1001,$AB218)))</f>
        <v/>
      </c>
      <c r="E218" s="11">
        <f>IF($AB218="","",IF(INDEX(기본자료!$K$2:$K$1001,$AB218)="","",IF(NOT(ISNUMBER(INDEX(기본자료!$K$2:$K$1001,$AB218))),INDEX(기본자료!$K$2:$K$1001,$AB218),IF(INDEX(기본자료!$K$2:$K$1001,$AB218)&lt;1000000,INDEX(기본자료!$K$2:$K$1001,$AB218),IF(AND(INDEX(기본자료!$K$2:$K$1001,$AB218)&gt;=10000101,INT(MOD(INDEX(기본자료!$K$2:$K$1001,$AB218),10000)/100)&gt;=1,INT(MOD(INDEX(기본자료!$K$2:$K$1001,$AB218),10000)/100)&lt;=12,MOD(INDEX(기본자료!$K$2:$K$1001,$AB218),100)&gt;=1,MOD(INDEX(기본자료!$K$2:$K$1001,$AB218),100)&lt;=31),DATE(INT(INDEX(기본자료!$K$2:$K$1001,$AB218)/10000),INT(MOD(INDEX(기본자료!$K$2:$K$1001,$AB218),10000)/100),MOD(INDEX(기본자료!$K$2:$K$1001,$AB218),100)),INDEX(기본자료!$K$2:$K$1001,$AB218)&amp;"")))))</f>
        <v/>
      </c>
      <c r="F218" s="10">
        <f>IF($AB218="","",IF(INDEX(기본자료!$D$2:$D$1001,$AB218)="","",INDEX(기본자료!$D$2:$D$1001,$AB218)))</f>
        <v/>
      </c>
      <c r="G218" s="10">
        <f>IF($AB218="","",IF(INDEX(기본자료!$E$2:$E$1001,$AB218)="","",INDEX(기본자료!$E$2:$E$1001,$AB218)))</f>
        <v/>
      </c>
      <c r="H218" s="10">
        <f>IF($AB218="","",IF(INDEX(기본자료!$F$2:$F$1001,$AB218)="","",INDEX(기본자료!$F$2:$F$1001,$AB218)))</f>
        <v/>
      </c>
      <c r="I218" s="11">
        <f>IF($AB218="","",IF(INDEX(기본자료!$G$2:$G$1001,$AB218)="","",IF(NOT(ISNUMBER(INDEX(기본자료!$G$2:$G$1001,$AB218))),INDEX(기본자료!$G$2:$G$1001,$AB218),IF(INDEX(기본자료!$G$2:$G$1001,$AB218)&lt;1000000,INDEX(기본자료!$G$2:$G$1001,$AB218),IF(AND(INDEX(기본자료!$G$2:$G$1001,$AB218)&gt;=10000101,INT(MOD(INDEX(기본자료!$G$2:$G$1001,$AB218),10000)/100)&gt;=1,INT(MOD(INDEX(기본자료!$G$2:$G$1001,$AB218),10000)/100)&lt;=12,MOD(INDEX(기본자료!$G$2:$G$1001,$AB218),100)&gt;=1,MOD(INDEX(기본자료!$G$2:$G$1001,$AB218),100)&lt;=31),DATE(INT(INDEX(기본자료!$G$2:$G$1001,$AB218)/10000),INT(MOD(INDEX(기본자료!$G$2:$G$1001,$AB218),10000)/100),MOD(INDEX(기본자료!$G$2:$G$1001,$AB218),100)),INDEX(기본자료!$G$2:$G$1001,$AB218)&amp;"")))))</f>
        <v/>
      </c>
      <c r="J218" s="10">
        <f>IF($AB218="","",IF(INDEX(기본자료!$H$2:$H$1001,$AB218)="","",INDEX(기본자료!$H$2:$H$1001,$AB218)))</f>
        <v/>
      </c>
      <c r="K218" s="10">
        <f>IF($AB218="","",IF(INDEX(기본자료!$I$2:$I$1001,$AB218)="","",INDEX(기본자료!$I$2:$I$1001,$AB218)))</f>
        <v/>
      </c>
      <c r="L218" s="10">
        <f>IF($AB218="","",IF(INDEX(기본자료!$A$2:$A$1001,$AB218)="","",INDEX(기본자료!$A$2:$A$1001,$AB218)))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파견수련계획!$AB$4:$AB$803,$AK218),OR(NOT(ISNUMBER(INDEX(파견수련계획!$AC$4:$AC$803,$AK218))),TODAY()&lt;=INDEX(파견수련계획!$AC$4:$AC$803,$AK218))),"다기관",IF($AF218="","",INDEX(파견수련계획!$T$4:$T$803,$AF218))),IF($AF218="","",INDEX(파견수련계획!$T$4:$T$803,$AF218))))</f>
        <v/>
      </c>
      <c r="Q218" s="10">
        <f>IF($AF218="","",INDEX(파견수련계획!$S$4:$S$803,$AF218))</f>
        <v/>
      </c>
      <c r="R218" s="10">
        <f>IF($AF218="","",INDEX(파견수련계획!$U$4:$U$803,$AF218))</f>
        <v/>
      </c>
      <c r="S218" s="11">
        <f>IF($AF218="","",IF(INDEX(파견수련계획!$H$4:$H$803,$AF218)="","",INDEX(파견수련계획!$H$4:$H$803,$AF218)))</f>
        <v/>
      </c>
      <c r="T218" s="11">
        <f>IF($AF218="","",IF(INDEX(파견수련계획!$I$4:$I$803,$AF218)="","",INDEX(파견수련계획!$I$4:$I$803,$AF218)))</f>
        <v/>
      </c>
      <c r="U218" s="10">
        <f>IF($AF218="","",INDEX(파견수련계획!$X$4:$X$803,$AF218))</f>
        <v/>
      </c>
      <c r="V218" s="17">
        <f>IF($AF218="","",INDEX(파견수련계획!$V$4:$V$803,$AF218))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IF(OR($B218="",TRIM($J218&amp;"")=""),"",SUMPRODUCT((파견수련계획!$Q$4:$Q$803=TRIM($J218&amp;""))*파견수련계획!$W$4:$W$803))</f>
        <v/>
      </c>
      <c r="Y218" s="10">
        <f>IF($B218="","",IF($AG218="","",IF(IF(TRIM($J218&amp;"")="",0,SUMPRODUCT((파견수련계획!$Q$4:$Q$803=TRIM($J218&amp;""))*파견수련계획!$AD$4:$AD$803))&gt;0,$AE218,IF(N($X218)&lt;=0,$AG218,IF($AH218+$AI218=DAY(EOMONTH(요약!$B$3,0)),IF(AND($AH218&gt;=요약!$E$3,$AI218&lt;요약!$E$3),"서울병원",IF(AND($AI218&gt;=요약!$E$3,$AH218&lt;요약!$E$3),"구리병원","⚠15일 판정불가(서울 "&amp;$AH218&amp;"일/구리 "&amp;$AI218&amp;"일)")),IF($AJ218="",$AE218,IF(INDEX(파견수련계획!$T$4:$T$803,$AJ218)="통합수련",INDEX(파견수련계획!$S$4:$S$803,$AJ218),$AE218)))))))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입력",IF(IF(TRIM($J218&amp;"")="",0,SUMPRODUCT((파견수련계획!$Q$4:$Q$803=TRIM($J218&amp;""))*(파견수련계획!$AA$4:$AA$803&lt;&gt;"")))&gt;0,"파견수련계획 입력오류 확인",IF(LEFT($Y218,1)="⚠","서울·구리 15일 판정 불가(양쪽 모두 이상/미만)",IF(IF($AC218="",0,N(INDEX(인턴근무계획!$T$3:$T$402,$AC218)))&gt;0,"인턴계획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IF($B218="","",IFERROR(MATCH($B218,기본자료!$B$2:$B$1001,0),IFERROR(MATCH($B218&amp;"",기본자료!$B$2:$B$1001,0),IFERROR(MATCH(VALUE($B218),기본자료!$B$2:$B$1001,0),""))))</f>
        <v/>
      </c>
      <c r="AC218" s="10">
        <f>IF($B218="","",IFERROR(MATCH($B218,인턴근무계획!$D$3:$D$402,0),IFERROR(MATCH($B218&amp;"",인턴근무계획!$D$3:$D$402,0),IFERROR(MATCH(VALUE($B218),인턴근무계획!$D$3:$D$402,0),""))))</f>
        <v/>
      </c>
      <c r="AD218" s="10">
        <f>IF(OR($AC218="",인턴현황!$G$3=""),"",INDEX(인턴근무계획!$M$3:$R$402,$AC218,인턴현황!$G$3)&amp;"")</f>
        <v/>
      </c>
      <c r="AE218" s="10">
        <f>IF($B218="","",IF($M218&lt;&gt;"",$M218,IF($AF218&lt;&gt;"",IF(LEFT(INDEX(파견수련계획!$R$4:$R$803,$AF218),1)&lt;&gt;"⚠",INDEX(파견수련계획!$R$4:$R$803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파견수련계획!$Y$4:$Y$803,0),IFERROR(MATCH(TRIM($J218&amp;"")&amp;"|파견예정",파견수련계획!$Y$4:$Y$803,0),IFERROR(MATCH(TRIM($J218&amp;"")&amp;"|파견종료",파견수련계획!$Y$4:$Y$803,0),""))))</f>
        <v/>
      </c>
      <c r="AG218" s="10">
        <f>IF($B218="","",IF(AND(IF(OR($AC218="",인턴현황!$K$2=""),"",INDEX(인턴근무계획!$M$3:$R$402,$AC218,인턴현황!$K$2)&amp;"")&lt;&gt;"",LEFT(IF(OR($AC218="",인턴현황!$K$2=""),"",INDEX(인턴근무계획!$M$3:$R$402,$AC218,인턴현황!$K$2)&amp;""),1)&lt;&gt;"⚠"),LEFT(IF(OR($AC218="",인턴현황!$K$2=""),"",INDEX(인턴근무계획!$M$3:$R$402,$AC218,인턴현황!$K$2)&amp;""),FIND(" ",IF(OR($AC218="",인턴현황!$K$2=""),"",INDEX(인턴근무계획!$M$3:$R$402,$AC218,인턴현황!$K$2)&amp;""))-1),$AE218))</f>
        <v/>
      </c>
      <c r="AH218" s="17">
        <f>IF($B218="","",IF(TRIM($J218&amp;"")="",0,SUMPRODUCT((파견수련계획!$Q$4:$Q$803=TRIM($J218&amp;""))*(파견수련계획!$S$4:$S$803="서울병원")*파견수련계획!$W$4:$W$803))+IF($AG218="서울병원",MAX(0,DAY(EOMONTH(요약!$B$3,0))-N($X218)),0))</f>
        <v/>
      </c>
      <c r="AI218" s="17">
        <f>IF($B218="","",IF(TRIM($J218&amp;"")="",0,SUMPRODUCT((파견수련계획!$Q$4:$Q$803=TRIM($J218&amp;""))*(파견수련계획!$S$4:$S$803="구리병원")*파견수련계획!$W$4:$W$803))+IF($AG218="구리병원",MAX(0,DAY(EOMONTH(요약!$B$3,0))-N($X218)),0))</f>
        <v/>
      </c>
      <c r="AJ218" s="10">
        <f>IF(OR($B218="",TRIM($J218&amp;"")=""),"",IFERROR(MATCH(TRIM($J218&amp;"")&amp;"|월",파견수련계획!$Z$4:$Z$803,0),""))</f>
        <v/>
      </c>
      <c r="AK218" s="10">
        <f>IF(OR($B218="",TRIM($J218&amp;"")=""),"",IFERROR(MATCH(TRIM($J218&amp;"")&amp;"|다기관",파견수련계획!$AE$4:$AE$803,0),""))</f>
        <v/>
      </c>
      <c r="AL218" s="10">
        <f>IF($AK218="","","다기관 "&amp;TEXT(INDEX(파견수련계획!$AB$4:$AB$803,$AK218),"yyyy-mm-dd")&amp;"~"&amp;IF(ISNUMBER(INDEX(파견수련계획!$AC$4:$AC$803,$AK218)),TEXT(INDEX(파견수련계획!$AC$4:$AC$803,$AK218),"yyyy-mm-dd"),""))</f>
        <v/>
      </c>
    </row>
    <row r="219">
      <c r="A219" s="10">
        <f>IF(B219="","",ROW()-1)</f>
        <v/>
      </c>
      <c r="B219" s="18" t="n"/>
      <c r="C219" s="10">
        <f>IF($AB219="","",IF(INDEX(기본자료!$C$2:$C$1001,$AB219)="","",INDEX(기본자료!$C$2:$C$1001,$AB219)))</f>
        <v/>
      </c>
      <c r="D219" s="10">
        <f>IF($AB219="","",IF(INDEX(기본자료!$J$2:$J$1001,$AB219)="","",INDEX(기본자료!$J$2:$J$1001,$AB219)))</f>
        <v/>
      </c>
      <c r="E219" s="11">
        <f>IF($AB219="","",IF(INDEX(기본자료!$K$2:$K$1001,$AB219)="","",IF(NOT(ISNUMBER(INDEX(기본자료!$K$2:$K$1001,$AB219))),INDEX(기본자료!$K$2:$K$1001,$AB219),IF(INDEX(기본자료!$K$2:$K$1001,$AB219)&lt;1000000,INDEX(기본자료!$K$2:$K$1001,$AB219),IF(AND(INDEX(기본자료!$K$2:$K$1001,$AB219)&gt;=10000101,INT(MOD(INDEX(기본자료!$K$2:$K$1001,$AB219),10000)/100)&gt;=1,INT(MOD(INDEX(기본자료!$K$2:$K$1001,$AB219),10000)/100)&lt;=12,MOD(INDEX(기본자료!$K$2:$K$1001,$AB219),100)&gt;=1,MOD(INDEX(기본자료!$K$2:$K$1001,$AB219),100)&lt;=31),DATE(INT(INDEX(기본자료!$K$2:$K$1001,$AB219)/10000),INT(MOD(INDEX(기본자료!$K$2:$K$1001,$AB219),10000)/100),MOD(INDEX(기본자료!$K$2:$K$1001,$AB219),100)),INDEX(기본자료!$K$2:$K$1001,$AB219)&amp;"")))))</f>
        <v/>
      </c>
      <c r="F219" s="10">
        <f>IF($AB219="","",IF(INDEX(기본자료!$D$2:$D$1001,$AB219)="","",INDEX(기본자료!$D$2:$D$1001,$AB219)))</f>
        <v/>
      </c>
      <c r="G219" s="10">
        <f>IF($AB219="","",IF(INDEX(기본자료!$E$2:$E$1001,$AB219)="","",INDEX(기본자료!$E$2:$E$1001,$AB219)))</f>
        <v/>
      </c>
      <c r="H219" s="10">
        <f>IF($AB219="","",IF(INDEX(기본자료!$F$2:$F$1001,$AB219)="","",INDEX(기본자료!$F$2:$F$1001,$AB219)))</f>
        <v/>
      </c>
      <c r="I219" s="11">
        <f>IF($AB219="","",IF(INDEX(기본자료!$G$2:$G$1001,$AB219)="","",IF(NOT(ISNUMBER(INDEX(기본자료!$G$2:$G$1001,$AB219))),INDEX(기본자료!$G$2:$G$1001,$AB219),IF(INDEX(기본자료!$G$2:$G$1001,$AB219)&lt;1000000,INDEX(기본자료!$G$2:$G$1001,$AB219),IF(AND(INDEX(기본자료!$G$2:$G$1001,$AB219)&gt;=10000101,INT(MOD(INDEX(기본자료!$G$2:$G$1001,$AB219),10000)/100)&gt;=1,INT(MOD(INDEX(기본자료!$G$2:$G$1001,$AB219),10000)/100)&lt;=12,MOD(INDEX(기본자료!$G$2:$G$1001,$AB219),100)&gt;=1,MOD(INDEX(기본자료!$G$2:$G$1001,$AB219),100)&lt;=31),DATE(INT(INDEX(기본자료!$G$2:$G$1001,$AB219)/10000),INT(MOD(INDEX(기본자료!$G$2:$G$1001,$AB219),10000)/100),MOD(INDEX(기본자료!$G$2:$G$1001,$AB219),100)),INDEX(기본자료!$G$2:$G$1001,$AB219)&amp;"")))))</f>
        <v/>
      </c>
      <c r="J219" s="10">
        <f>IF($AB219="","",IF(INDEX(기본자료!$H$2:$H$1001,$AB219)="","",INDEX(기본자료!$H$2:$H$1001,$AB219)))</f>
        <v/>
      </c>
      <c r="K219" s="10">
        <f>IF($AB219="","",IF(INDEX(기본자료!$I$2:$I$1001,$AB219)="","",INDEX(기본자료!$I$2:$I$1001,$AB219)))</f>
        <v/>
      </c>
      <c r="L219" s="10">
        <f>IF($AB219="","",IF(INDEX(기본자료!$A$2:$A$1001,$AB219)="","",INDEX(기본자료!$A$2:$A$1001,$AB219)))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파견수련계획!$AB$4:$AB$803,$AK219),OR(NOT(ISNUMBER(INDEX(파견수련계획!$AC$4:$AC$803,$AK219))),TODAY()&lt;=INDEX(파견수련계획!$AC$4:$AC$803,$AK219))),"다기관",IF($AF219="","",INDEX(파견수련계획!$T$4:$T$803,$AF219))),IF($AF219="","",INDEX(파견수련계획!$T$4:$T$803,$AF219))))</f>
        <v/>
      </c>
      <c r="Q219" s="10">
        <f>IF($AF219="","",INDEX(파견수련계획!$S$4:$S$803,$AF219))</f>
        <v/>
      </c>
      <c r="R219" s="10">
        <f>IF($AF219="","",INDEX(파견수련계획!$U$4:$U$803,$AF219))</f>
        <v/>
      </c>
      <c r="S219" s="11">
        <f>IF($AF219="","",IF(INDEX(파견수련계획!$H$4:$H$803,$AF219)="","",INDEX(파견수련계획!$H$4:$H$803,$AF219)))</f>
        <v/>
      </c>
      <c r="T219" s="11">
        <f>IF($AF219="","",IF(INDEX(파견수련계획!$I$4:$I$803,$AF219)="","",INDEX(파견수련계획!$I$4:$I$803,$AF219)))</f>
        <v/>
      </c>
      <c r="U219" s="10">
        <f>IF($AF219="","",INDEX(파견수련계획!$X$4:$X$803,$AF219))</f>
        <v/>
      </c>
      <c r="V219" s="17">
        <f>IF($AF219="","",INDEX(파견수련계획!$V$4:$V$803,$AF219))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IF(OR($B219="",TRIM($J219&amp;"")=""),"",SUMPRODUCT((파견수련계획!$Q$4:$Q$803=TRIM($J219&amp;""))*파견수련계획!$W$4:$W$803))</f>
        <v/>
      </c>
      <c r="Y219" s="10">
        <f>IF($B219="","",IF($AG219="","",IF(IF(TRIM($J219&amp;"")="",0,SUMPRODUCT((파견수련계획!$Q$4:$Q$803=TRIM($J219&amp;""))*파견수련계획!$AD$4:$AD$803))&gt;0,$AE219,IF(N($X219)&lt;=0,$AG219,IF($AH219+$AI219=DAY(EOMONTH(요약!$B$3,0)),IF(AND($AH219&gt;=요약!$E$3,$AI219&lt;요약!$E$3),"서울병원",IF(AND($AI219&gt;=요약!$E$3,$AH219&lt;요약!$E$3),"구리병원","⚠15일 판정불가(서울 "&amp;$AH219&amp;"일/구리 "&amp;$AI219&amp;"일)")),IF($AJ219="",$AE219,IF(INDEX(파견수련계획!$T$4:$T$803,$AJ219)="통합수련",INDEX(파견수련계획!$S$4:$S$803,$AJ219),$AE219)))))))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입력",IF(IF(TRIM($J219&amp;"")="",0,SUMPRODUCT((파견수련계획!$Q$4:$Q$803=TRIM($J219&amp;""))*(파견수련계획!$AA$4:$AA$803&lt;&gt;"")))&gt;0,"파견수련계획 입력오류 확인",IF(LEFT($Y219,1)="⚠","서울·구리 15일 판정 불가(양쪽 모두 이상/미만)",IF(IF($AC219="",0,N(INDEX(인턴근무계획!$T$3:$T$402,$AC219)))&gt;0,"인턴계획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IF($B219="","",IFERROR(MATCH($B219,기본자료!$B$2:$B$1001,0),IFERROR(MATCH($B219&amp;"",기본자료!$B$2:$B$1001,0),IFERROR(MATCH(VALUE($B219),기본자료!$B$2:$B$1001,0),""))))</f>
        <v/>
      </c>
      <c r="AC219" s="10">
        <f>IF($B219="","",IFERROR(MATCH($B219,인턴근무계획!$D$3:$D$402,0),IFERROR(MATCH($B219&amp;"",인턴근무계획!$D$3:$D$402,0),IFERROR(MATCH(VALUE($B219),인턴근무계획!$D$3:$D$402,0),""))))</f>
        <v/>
      </c>
      <c r="AD219" s="10">
        <f>IF(OR($AC219="",인턴현황!$G$3=""),"",INDEX(인턴근무계획!$M$3:$R$402,$AC219,인턴현황!$G$3)&amp;"")</f>
        <v/>
      </c>
      <c r="AE219" s="10">
        <f>IF($B219="","",IF($M219&lt;&gt;"",$M219,IF($AF219&lt;&gt;"",IF(LEFT(INDEX(파견수련계획!$R$4:$R$803,$AF219),1)&lt;&gt;"⚠",INDEX(파견수련계획!$R$4:$R$803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파견수련계획!$Y$4:$Y$803,0),IFERROR(MATCH(TRIM($J219&amp;"")&amp;"|파견예정",파견수련계획!$Y$4:$Y$803,0),IFERROR(MATCH(TRIM($J219&amp;"")&amp;"|파견종료",파견수련계획!$Y$4:$Y$803,0),""))))</f>
        <v/>
      </c>
      <c r="AG219" s="10">
        <f>IF($B219="","",IF(AND(IF(OR($AC219="",인턴현황!$K$2=""),"",INDEX(인턴근무계획!$M$3:$R$402,$AC219,인턴현황!$K$2)&amp;"")&lt;&gt;"",LEFT(IF(OR($AC219="",인턴현황!$K$2=""),"",INDEX(인턴근무계획!$M$3:$R$402,$AC219,인턴현황!$K$2)&amp;""),1)&lt;&gt;"⚠"),LEFT(IF(OR($AC219="",인턴현황!$K$2=""),"",INDEX(인턴근무계획!$M$3:$R$402,$AC219,인턴현황!$K$2)&amp;""),FIND(" ",IF(OR($AC219="",인턴현황!$K$2=""),"",INDEX(인턴근무계획!$M$3:$R$402,$AC219,인턴현황!$K$2)&amp;""))-1),$AE219))</f>
        <v/>
      </c>
      <c r="AH219" s="17">
        <f>IF($B219="","",IF(TRIM($J219&amp;"")="",0,SUMPRODUCT((파견수련계획!$Q$4:$Q$803=TRIM($J219&amp;""))*(파견수련계획!$S$4:$S$803="서울병원")*파견수련계획!$W$4:$W$803))+IF($AG219="서울병원",MAX(0,DAY(EOMONTH(요약!$B$3,0))-N($X219)),0))</f>
        <v/>
      </c>
      <c r="AI219" s="17">
        <f>IF($B219="","",IF(TRIM($J219&amp;"")="",0,SUMPRODUCT((파견수련계획!$Q$4:$Q$803=TRIM($J219&amp;""))*(파견수련계획!$S$4:$S$803="구리병원")*파견수련계획!$W$4:$W$803))+IF($AG219="구리병원",MAX(0,DAY(EOMONTH(요약!$B$3,0))-N($X219)),0))</f>
        <v/>
      </c>
      <c r="AJ219" s="10">
        <f>IF(OR($B219="",TRIM($J219&amp;"")=""),"",IFERROR(MATCH(TRIM($J219&amp;"")&amp;"|월",파견수련계획!$Z$4:$Z$803,0),""))</f>
        <v/>
      </c>
      <c r="AK219" s="10">
        <f>IF(OR($B219="",TRIM($J219&amp;"")=""),"",IFERROR(MATCH(TRIM($J219&amp;"")&amp;"|다기관",파견수련계획!$AE$4:$AE$803,0),""))</f>
        <v/>
      </c>
      <c r="AL219" s="10">
        <f>IF($AK219="","","다기관 "&amp;TEXT(INDEX(파견수련계획!$AB$4:$AB$803,$AK219),"yyyy-mm-dd")&amp;"~"&amp;IF(ISNUMBER(INDEX(파견수련계획!$AC$4:$AC$803,$AK219)),TEXT(INDEX(파견수련계획!$AC$4:$AC$803,$AK219),"yyyy-mm-dd"),""))</f>
        <v/>
      </c>
    </row>
    <row r="220">
      <c r="A220" s="10">
        <f>IF(B220="","",ROW()-1)</f>
        <v/>
      </c>
      <c r="B220" s="18" t="n"/>
      <c r="C220" s="10">
        <f>IF($AB220="","",IF(INDEX(기본자료!$C$2:$C$1001,$AB220)="","",INDEX(기본자료!$C$2:$C$1001,$AB220)))</f>
        <v/>
      </c>
      <c r="D220" s="10">
        <f>IF($AB220="","",IF(INDEX(기본자료!$J$2:$J$1001,$AB220)="","",INDEX(기본자료!$J$2:$J$1001,$AB220)))</f>
        <v/>
      </c>
      <c r="E220" s="11">
        <f>IF($AB220="","",IF(INDEX(기본자료!$K$2:$K$1001,$AB220)="","",IF(NOT(ISNUMBER(INDEX(기본자료!$K$2:$K$1001,$AB220))),INDEX(기본자료!$K$2:$K$1001,$AB220),IF(INDEX(기본자료!$K$2:$K$1001,$AB220)&lt;1000000,INDEX(기본자료!$K$2:$K$1001,$AB220),IF(AND(INDEX(기본자료!$K$2:$K$1001,$AB220)&gt;=10000101,INT(MOD(INDEX(기본자료!$K$2:$K$1001,$AB220),10000)/100)&gt;=1,INT(MOD(INDEX(기본자료!$K$2:$K$1001,$AB220),10000)/100)&lt;=12,MOD(INDEX(기본자료!$K$2:$K$1001,$AB220),100)&gt;=1,MOD(INDEX(기본자료!$K$2:$K$1001,$AB220),100)&lt;=31),DATE(INT(INDEX(기본자료!$K$2:$K$1001,$AB220)/10000),INT(MOD(INDEX(기본자료!$K$2:$K$1001,$AB220),10000)/100),MOD(INDEX(기본자료!$K$2:$K$1001,$AB220),100)),INDEX(기본자료!$K$2:$K$1001,$AB220)&amp;"")))))</f>
        <v/>
      </c>
      <c r="F220" s="10">
        <f>IF($AB220="","",IF(INDEX(기본자료!$D$2:$D$1001,$AB220)="","",INDEX(기본자료!$D$2:$D$1001,$AB220)))</f>
        <v/>
      </c>
      <c r="G220" s="10">
        <f>IF($AB220="","",IF(INDEX(기본자료!$E$2:$E$1001,$AB220)="","",INDEX(기본자료!$E$2:$E$1001,$AB220)))</f>
        <v/>
      </c>
      <c r="H220" s="10">
        <f>IF($AB220="","",IF(INDEX(기본자료!$F$2:$F$1001,$AB220)="","",INDEX(기본자료!$F$2:$F$1001,$AB220)))</f>
        <v/>
      </c>
      <c r="I220" s="11">
        <f>IF($AB220="","",IF(INDEX(기본자료!$G$2:$G$1001,$AB220)="","",IF(NOT(ISNUMBER(INDEX(기본자료!$G$2:$G$1001,$AB220))),INDEX(기본자료!$G$2:$G$1001,$AB220),IF(INDEX(기본자료!$G$2:$G$1001,$AB220)&lt;1000000,INDEX(기본자료!$G$2:$G$1001,$AB220),IF(AND(INDEX(기본자료!$G$2:$G$1001,$AB220)&gt;=10000101,INT(MOD(INDEX(기본자료!$G$2:$G$1001,$AB220),10000)/100)&gt;=1,INT(MOD(INDEX(기본자료!$G$2:$G$1001,$AB220),10000)/100)&lt;=12,MOD(INDEX(기본자료!$G$2:$G$1001,$AB220),100)&gt;=1,MOD(INDEX(기본자료!$G$2:$G$1001,$AB220),100)&lt;=31),DATE(INT(INDEX(기본자료!$G$2:$G$1001,$AB220)/10000),INT(MOD(INDEX(기본자료!$G$2:$G$1001,$AB220),10000)/100),MOD(INDEX(기본자료!$G$2:$G$1001,$AB220),100)),INDEX(기본자료!$G$2:$G$1001,$AB220)&amp;"")))))</f>
        <v/>
      </c>
      <c r="J220" s="10">
        <f>IF($AB220="","",IF(INDEX(기본자료!$H$2:$H$1001,$AB220)="","",INDEX(기본자료!$H$2:$H$1001,$AB220)))</f>
        <v/>
      </c>
      <c r="K220" s="10">
        <f>IF($AB220="","",IF(INDEX(기본자료!$I$2:$I$1001,$AB220)="","",INDEX(기본자료!$I$2:$I$1001,$AB220)))</f>
        <v/>
      </c>
      <c r="L220" s="10">
        <f>IF($AB220="","",IF(INDEX(기본자료!$A$2:$A$1001,$AB220)="","",INDEX(기본자료!$A$2:$A$1001,$AB220)))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파견수련계획!$AB$4:$AB$803,$AK220),OR(NOT(ISNUMBER(INDEX(파견수련계획!$AC$4:$AC$803,$AK220))),TODAY()&lt;=INDEX(파견수련계획!$AC$4:$AC$803,$AK220))),"다기관",IF($AF220="","",INDEX(파견수련계획!$T$4:$T$803,$AF220))),IF($AF220="","",INDEX(파견수련계획!$T$4:$T$803,$AF220))))</f>
        <v/>
      </c>
      <c r="Q220" s="10">
        <f>IF($AF220="","",INDEX(파견수련계획!$S$4:$S$803,$AF220))</f>
        <v/>
      </c>
      <c r="R220" s="10">
        <f>IF($AF220="","",INDEX(파견수련계획!$U$4:$U$803,$AF220))</f>
        <v/>
      </c>
      <c r="S220" s="11">
        <f>IF($AF220="","",IF(INDEX(파견수련계획!$H$4:$H$803,$AF220)="","",INDEX(파견수련계획!$H$4:$H$803,$AF220)))</f>
        <v/>
      </c>
      <c r="T220" s="11">
        <f>IF($AF220="","",IF(INDEX(파견수련계획!$I$4:$I$803,$AF220)="","",INDEX(파견수련계획!$I$4:$I$803,$AF220)))</f>
        <v/>
      </c>
      <c r="U220" s="10">
        <f>IF($AF220="","",INDEX(파견수련계획!$X$4:$X$803,$AF220))</f>
        <v/>
      </c>
      <c r="V220" s="17">
        <f>IF($AF220="","",INDEX(파견수련계획!$V$4:$V$803,$AF220))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IF(OR($B220="",TRIM($J220&amp;"")=""),"",SUMPRODUCT((파견수련계획!$Q$4:$Q$803=TRIM($J220&amp;""))*파견수련계획!$W$4:$W$803))</f>
        <v/>
      </c>
      <c r="Y220" s="10">
        <f>IF($B220="","",IF($AG220="","",IF(IF(TRIM($J220&amp;"")="",0,SUMPRODUCT((파견수련계획!$Q$4:$Q$803=TRIM($J220&amp;""))*파견수련계획!$AD$4:$AD$803))&gt;0,$AE220,IF(N($X220)&lt;=0,$AG220,IF($AH220+$AI220=DAY(EOMONTH(요약!$B$3,0)),IF(AND($AH220&gt;=요약!$E$3,$AI220&lt;요약!$E$3),"서울병원",IF(AND($AI220&gt;=요약!$E$3,$AH220&lt;요약!$E$3),"구리병원","⚠15일 판정불가(서울 "&amp;$AH220&amp;"일/구리 "&amp;$AI220&amp;"일)")),IF($AJ220="",$AE220,IF(INDEX(파견수련계획!$T$4:$T$803,$AJ220)="통합수련",INDEX(파견수련계획!$S$4:$S$803,$AJ220),$AE220)))))))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입력",IF(IF(TRIM($J220&amp;"")="",0,SUMPRODUCT((파견수련계획!$Q$4:$Q$803=TRIM($J220&amp;""))*(파견수련계획!$AA$4:$AA$803&lt;&gt;"")))&gt;0,"파견수련계획 입력오류 확인",IF(LEFT($Y220,1)="⚠","서울·구리 15일 판정 불가(양쪽 모두 이상/미만)",IF(IF($AC220="",0,N(INDEX(인턴근무계획!$T$3:$T$402,$AC220)))&gt;0,"인턴계획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IF($B220="","",IFERROR(MATCH($B220,기본자료!$B$2:$B$1001,0),IFERROR(MATCH($B220&amp;"",기본자료!$B$2:$B$1001,0),IFERROR(MATCH(VALUE($B220),기본자료!$B$2:$B$1001,0),""))))</f>
        <v/>
      </c>
      <c r="AC220" s="10">
        <f>IF($B220="","",IFERROR(MATCH($B220,인턴근무계획!$D$3:$D$402,0),IFERROR(MATCH($B220&amp;"",인턴근무계획!$D$3:$D$402,0),IFERROR(MATCH(VALUE($B220),인턴근무계획!$D$3:$D$402,0),""))))</f>
        <v/>
      </c>
      <c r="AD220" s="10">
        <f>IF(OR($AC220="",인턴현황!$G$3=""),"",INDEX(인턴근무계획!$M$3:$R$402,$AC220,인턴현황!$G$3)&amp;"")</f>
        <v/>
      </c>
      <c r="AE220" s="10">
        <f>IF($B220="","",IF($M220&lt;&gt;"",$M220,IF($AF220&lt;&gt;"",IF(LEFT(INDEX(파견수련계획!$R$4:$R$803,$AF220),1)&lt;&gt;"⚠",INDEX(파견수련계획!$R$4:$R$803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파견수련계획!$Y$4:$Y$803,0),IFERROR(MATCH(TRIM($J220&amp;"")&amp;"|파견예정",파견수련계획!$Y$4:$Y$803,0),IFERROR(MATCH(TRIM($J220&amp;"")&amp;"|파견종료",파견수련계획!$Y$4:$Y$803,0),""))))</f>
        <v/>
      </c>
      <c r="AG220" s="10">
        <f>IF($B220="","",IF(AND(IF(OR($AC220="",인턴현황!$K$2=""),"",INDEX(인턴근무계획!$M$3:$R$402,$AC220,인턴현황!$K$2)&amp;"")&lt;&gt;"",LEFT(IF(OR($AC220="",인턴현황!$K$2=""),"",INDEX(인턴근무계획!$M$3:$R$402,$AC220,인턴현황!$K$2)&amp;""),1)&lt;&gt;"⚠"),LEFT(IF(OR($AC220="",인턴현황!$K$2=""),"",INDEX(인턴근무계획!$M$3:$R$402,$AC220,인턴현황!$K$2)&amp;""),FIND(" ",IF(OR($AC220="",인턴현황!$K$2=""),"",INDEX(인턴근무계획!$M$3:$R$402,$AC220,인턴현황!$K$2)&amp;""))-1),$AE220))</f>
        <v/>
      </c>
      <c r="AH220" s="17">
        <f>IF($B220="","",IF(TRIM($J220&amp;"")="",0,SUMPRODUCT((파견수련계획!$Q$4:$Q$803=TRIM($J220&amp;""))*(파견수련계획!$S$4:$S$803="서울병원")*파견수련계획!$W$4:$W$803))+IF($AG220="서울병원",MAX(0,DAY(EOMONTH(요약!$B$3,0))-N($X220)),0))</f>
        <v/>
      </c>
      <c r="AI220" s="17">
        <f>IF($B220="","",IF(TRIM($J220&amp;"")="",0,SUMPRODUCT((파견수련계획!$Q$4:$Q$803=TRIM($J220&amp;""))*(파견수련계획!$S$4:$S$803="구리병원")*파견수련계획!$W$4:$W$803))+IF($AG220="구리병원",MAX(0,DAY(EOMONTH(요약!$B$3,0))-N($X220)),0))</f>
        <v/>
      </c>
      <c r="AJ220" s="10">
        <f>IF(OR($B220="",TRIM($J220&amp;"")=""),"",IFERROR(MATCH(TRIM($J220&amp;"")&amp;"|월",파견수련계획!$Z$4:$Z$803,0),""))</f>
        <v/>
      </c>
      <c r="AK220" s="10">
        <f>IF(OR($B220="",TRIM($J220&amp;"")=""),"",IFERROR(MATCH(TRIM($J220&amp;"")&amp;"|다기관",파견수련계획!$AE$4:$AE$803,0),""))</f>
        <v/>
      </c>
      <c r="AL220" s="10">
        <f>IF($AK220="","","다기관 "&amp;TEXT(INDEX(파견수련계획!$AB$4:$AB$803,$AK220),"yyyy-mm-dd")&amp;"~"&amp;IF(ISNUMBER(INDEX(파견수련계획!$AC$4:$AC$803,$AK220)),TEXT(INDEX(파견수련계획!$AC$4:$AC$803,$AK220),"yyyy-mm-dd"),""))</f>
        <v/>
      </c>
    </row>
    <row r="221">
      <c r="A221" s="10">
        <f>IF(B221="","",ROW()-1)</f>
        <v/>
      </c>
      <c r="B221" s="18" t="n"/>
      <c r="C221" s="10">
        <f>IF($AB221="","",IF(INDEX(기본자료!$C$2:$C$1001,$AB221)="","",INDEX(기본자료!$C$2:$C$1001,$AB221)))</f>
        <v/>
      </c>
      <c r="D221" s="10">
        <f>IF($AB221="","",IF(INDEX(기본자료!$J$2:$J$1001,$AB221)="","",INDEX(기본자료!$J$2:$J$1001,$AB221)))</f>
        <v/>
      </c>
      <c r="E221" s="11">
        <f>IF($AB221="","",IF(INDEX(기본자료!$K$2:$K$1001,$AB221)="","",IF(NOT(ISNUMBER(INDEX(기본자료!$K$2:$K$1001,$AB221))),INDEX(기본자료!$K$2:$K$1001,$AB221),IF(INDEX(기본자료!$K$2:$K$1001,$AB221)&lt;1000000,INDEX(기본자료!$K$2:$K$1001,$AB221),IF(AND(INDEX(기본자료!$K$2:$K$1001,$AB221)&gt;=10000101,INT(MOD(INDEX(기본자료!$K$2:$K$1001,$AB221),10000)/100)&gt;=1,INT(MOD(INDEX(기본자료!$K$2:$K$1001,$AB221),10000)/100)&lt;=12,MOD(INDEX(기본자료!$K$2:$K$1001,$AB221),100)&gt;=1,MOD(INDEX(기본자료!$K$2:$K$1001,$AB221),100)&lt;=31),DATE(INT(INDEX(기본자료!$K$2:$K$1001,$AB221)/10000),INT(MOD(INDEX(기본자료!$K$2:$K$1001,$AB221),10000)/100),MOD(INDEX(기본자료!$K$2:$K$1001,$AB221),100)),INDEX(기본자료!$K$2:$K$1001,$AB221)&amp;"")))))</f>
        <v/>
      </c>
      <c r="F221" s="10">
        <f>IF($AB221="","",IF(INDEX(기본자료!$D$2:$D$1001,$AB221)="","",INDEX(기본자료!$D$2:$D$1001,$AB221)))</f>
        <v/>
      </c>
      <c r="G221" s="10">
        <f>IF($AB221="","",IF(INDEX(기본자료!$E$2:$E$1001,$AB221)="","",INDEX(기본자료!$E$2:$E$1001,$AB221)))</f>
        <v/>
      </c>
      <c r="H221" s="10">
        <f>IF($AB221="","",IF(INDEX(기본자료!$F$2:$F$1001,$AB221)="","",INDEX(기본자료!$F$2:$F$1001,$AB221)))</f>
        <v/>
      </c>
      <c r="I221" s="11">
        <f>IF($AB221="","",IF(INDEX(기본자료!$G$2:$G$1001,$AB221)="","",IF(NOT(ISNUMBER(INDEX(기본자료!$G$2:$G$1001,$AB221))),INDEX(기본자료!$G$2:$G$1001,$AB221),IF(INDEX(기본자료!$G$2:$G$1001,$AB221)&lt;1000000,INDEX(기본자료!$G$2:$G$1001,$AB221),IF(AND(INDEX(기본자료!$G$2:$G$1001,$AB221)&gt;=10000101,INT(MOD(INDEX(기본자료!$G$2:$G$1001,$AB221),10000)/100)&gt;=1,INT(MOD(INDEX(기본자료!$G$2:$G$1001,$AB221),10000)/100)&lt;=12,MOD(INDEX(기본자료!$G$2:$G$1001,$AB221),100)&gt;=1,MOD(INDEX(기본자료!$G$2:$G$1001,$AB221),100)&lt;=31),DATE(INT(INDEX(기본자료!$G$2:$G$1001,$AB221)/10000),INT(MOD(INDEX(기본자료!$G$2:$G$1001,$AB221),10000)/100),MOD(INDEX(기본자료!$G$2:$G$1001,$AB221),100)),INDEX(기본자료!$G$2:$G$1001,$AB221)&amp;"")))))</f>
        <v/>
      </c>
      <c r="J221" s="10">
        <f>IF($AB221="","",IF(INDEX(기본자료!$H$2:$H$1001,$AB221)="","",INDEX(기본자료!$H$2:$H$1001,$AB221)))</f>
        <v/>
      </c>
      <c r="K221" s="10">
        <f>IF($AB221="","",IF(INDEX(기본자료!$I$2:$I$1001,$AB221)="","",INDEX(기본자료!$I$2:$I$1001,$AB221)))</f>
        <v/>
      </c>
      <c r="L221" s="10">
        <f>IF($AB221="","",IF(INDEX(기본자료!$A$2:$A$1001,$AB221)="","",INDEX(기본자료!$A$2:$A$1001,$AB221)))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파견수련계획!$AB$4:$AB$803,$AK221),OR(NOT(ISNUMBER(INDEX(파견수련계획!$AC$4:$AC$803,$AK221))),TODAY()&lt;=INDEX(파견수련계획!$AC$4:$AC$803,$AK221))),"다기관",IF($AF221="","",INDEX(파견수련계획!$T$4:$T$803,$AF221))),IF($AF221="","",INDEX(파견수련계획!$T$4:$T$803,$AF221))))</f>
        <v/>
      </c>
      <c r="Q221" s="10">
        <f>IF($AF221="","",INDEX(파견수련계획!$S$4:$S$803,$AF221))</f>
        <v/>
      </c>
      <c r="R221" s="10">
        <f>IF($AF221="","",INDEX(파견수련계획!$U$4:$U$803,$AF221))</f>
        <v/>
      </c>
      <c r="S221" s="11">
        <f>IF($AF221="","",IF(INDEX(파견수련계획!$H$4:$H$803,$AF221)="","",INDEX(파견수련계획!$H$4:$H$803,$AF221)))</f>
        <v/>
      </c>
      <c r="T221" s="11">
        <f>IF($AF221="","",IF(INDEX(파견수련계획!$I$4:$I$803,$AF221)="","",INDEX(파견수련계획!$I$4:$I$803,$AF221)))</f>
        <v/>
      </c>
      <c r="U221" s="10">
        <f>IF($AF221="","",INDEX(파견수련계획!$X$4:$X$803,$AF221))</f>
        <v/>
      </c>
      <c r="V221" s="17">
        <f>IF($AF221="","",INDEX(파견수련계획!$V$4:$V$803,$AF221))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IF(OR($B221="",TRIM($J221&amp;"")=""),"",SUMPRODUCT((파견수련계획!$Q$4:$Q$803=TRIM($J221&amp;""))*파견수련계획!$W$4:$W$803))</f>
        <v/>
      </c>
      <c r="Y221" s="10">
        <f>IF($B221="","",IF($AG221="","",IF(IF(TRIM($J221&amp;"")="",0,SUMPRODUCT((파견수련계획!$Q$4:$Q$803=TRIM($J221&amp;""))*파견수련계획!$AD$4:$AD$803))&gt;0,$AE221,IF(N($X221)&lt;=0,$AG221,IF($AH221+$AI221=DAY(EOMONTH(요약!$B$3,0)),IF(AND($AH221&gt;=요약!$E$3,$AI221&lt;요약!$E$3),"서울병원",IF(AND($AI221&gt;=요약!$E$3,$AH221&lt;요약!$E$3),"구리병원","⚠15일 판정불가(서울 "&amp;$AH221&amp;"일/구리 "&amp;$AI221&amp;"일)")),IF($AJ221="",$AE221,IF(INDEX(파견수련계획!$T$4:$T$803,$AJ221)="통합수련",INDEX(파견수련계획!$S$4:$S$803,$AJ221),$AE221)))))))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입력",IF(IF(TRIM($J221&amp;"")="",0,SUMPRODUCT((파견수련계획!$Q$4:$Q$803=TRIM($J221&amp;""))*(파견수련계획!$AA$4:$AA$803&lt;&gt;"")))&gt;0,"파견수련계획 입력오류 확인",IF(LEFT($Y221,1)="⚠","서울·구리 15일 판정 불가(양쪽 모두 이상/미만)",IF(IF($AC221="",0,N(INDEX(인턴근무계획!$T$3:$T$402,$AC221)))&gt;0,"인턴계획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IF($B221="","",IFERROR(MATCH($B221,기본자료!$B$2:$B$1001,0),IFERROR(MATCH($B221&amp;"",기본자료!$B$2:$B$1001,0),IFERROR(MATCH(VALUE($B221),기본자료!$B$2:$B$1001,0),""))))</f>
        <v/>
      </c>
      <c r="AC221" s="10">
        <f>IF($B221="","",IFERROR(MATCH($B221,인턴근무계획!$D$3:$D$402,0),IFERROR(MATCH($B221&amp;"",인턴근무계획!$D$3:$D$402,0),IFERROR(MATCH(VALUE($B221),인턴근무계획!$D$3:$D$402,0),""))))</f>
        <v/>
      </c>
      <c r="AD221" s="10">
        <f>IF(OR($AC221="",인턴현황!$G$3=""),"",INDEX(인턴근무계획!$M$3:$R$402,$AC221,인턴현황!$G$3)&amp;"")</f>
        <v/>
      </c>
      <c r="AE221" s="10">
        <f>IF($B221="","",IF($M221&lt;&gt;"",$M221,IF($AF221&lt;&gt;"",IF(LEFT(INDEX(파견수련계획!$R$4:$R$803,$AF221),1)&lt;&gt;"⚠",INDEX(파견수련계획!$R$4:$R$803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파견수련계획!$Y$4:$Y$803,0),IFERROR(MATCH(TRIM($J221&amp;"")&amp;"|파견예정",파견수련계획!$Y$4:$Y$803,0),IFERROR(MATCH(TRIM($J221&amp;"")&amp;"|파견종료",파견수련계획!$Y$4:$Y$803,0),""))))</f>
        <v/>
      </c>
      <c r="AG221" s="10">
        <f>IF($B221="","",IF(AND(IF(OR($AC221="",인턴현황!$K$2=""),"",INDEX(인턴근무계획!$M$3:$R$402,$AC221,인턴현황!$K$2)&amp;"")&lt;&gt;"",LEFT(IF(OR($AC221="",인턴현황!$K$2=""),"",INDEX(인턴근무계획!$M$3:$R$402,$AC221,인턴현황!$K$2)&amp;""),1)&lt;&gt;"⚠"),LEFT(IF(OR($AC221="",인턴현황!$K$2=""),"",INDEX(인턴근무계획!$M$3:$R$402,$AC221,인턴현황!$K$2)&amp;""),FIND(" ",IF(OR($AC221="",인턴현황!$K$2=""),"",INDEX(인턴근무계획!$M$3:$R$402,$AC221,인턴현황!$K$2)&amp;""))-1),$AE221))</f>
        <v/>
      </c>
      <c r="AH221" s="17">
        <f>IF($B221="","",IF(TRIM($J221&amp;"")="",0,SUMPRODUCT((파견수련계획!$Q$4:$Q$803=TRIM($J221&amp;""))*(파견수련계획!$S$4:$S$803="서울병원")*파견수련계획!$W$4:$W$803))+IF($AG221="서울병원",MAX(0,DAY(EOMONTH(요약!$B$3,0))-N($X221)),0))</f>
        <v/>
      </c>
      <c r="AI221" s="17">
        <f>IF($B221="","",IF(TRIM($J221&amp;"")="",0,SUMPRODUCT((파견수련계획!$Q$4:$Q$803=TRIM($J221&amp;""))*(파견수련계획!$S$4:$S$803="구리병원")*파견수련계획!$W$4:$W$803))+IF($AG221="구리병원",MAX(0,DAY(EOMONTH(요약!$B$3,0))-N($X221)),0))</f>
        <v/>
      </c>
      <c r="AJ221" s="10">
        <f>IF(OR($B221="",TRIM($J221&amp;"")=""),"",IFERROR(MATCH(TRIM($J221&amp;"")&amp;"|월",파견수련계획!$Z$4:$Z$803,0),""))</f>
        <v/>
      </c>
      <c r="AK221" s="10">
        <f>IF(OR($B221="",TRIM($J221&amp;"")=""),"",IFERROR(MATCH(TRIM($J221&amp;"")&amp;"|다기관",파견수련계획!$AE$4:$AE$803,0),""))</f>
        <v/>
      </c>
      <c r="AL221" s="10">
        <f>IF($AK221="","","다기관 "&amp;TEXT(INDEX(파견수련계획!$AB$4:$AB$803,$AK221),"yyyy-mm-dd")&amp;"~"&amp;IF(ISNUMBER(INDEX(파견수련계획!$AC$4:$AC$803,$AK221)),TEXT(INDEX(파견수련계획!$AC$4:$AC$803,$AK221),"yyyy-mm-dd"),""))</f>
        <v/>
      </c>
    </row>
    <row r="222">
      <c r="A222" s="10">
        <f>IF(B222="","",ROW()-1)</f>
        <v/>
      </c>
      <c r="B222" s="18" t="n"/>
      <c r="C222" s="10">
        <f>IF($AB222="","",IF(INDEX(기본자료!$C$2:$C$1001,$AB222)="","",INDEX(기본자료!$C$2:$C$1001,$AB222)))</f>
        <v/>
      </c>
      <c r="D222" s="10">
        <f>IF($AB222="","",IF(INDEX(기본자료!$J$2:$J$1001,$AB222)="","",INDEX(기본자료!$J$2:$J$1001,$AB222)))</f>
        <v/>
      </c>
      <c r="E222" s="11">
        <f>IF($AB222="","",IF(INDEX(기본자료!$K$2:$K$1001,$AB222)="","",IF(NOT(ISNUMBER(INDEX(기본자료!$K$2:$K$1001,$AB222))),INDEX(기본자료!$K$2:$K$1001,$AB222),IF(INDEX(기본자료!$K$2:$K$1001,$AB222)&lt;1000000,INDEX(기본자료!$K$2:$K$1001,$AB222),IF(AND(INDEX(기본자료!$K$2:$K$1001,$AB222)&gt;=10000101,INT(MOD(INDEX(기본자료!$K$2:$K$1001,$AB222),10000)/100)&gt;=1,INT(MOD(INDEX(기본자료!$K$2:$K$1001,$AB222),10000)/100)&lt;=12,MOD(INDEX(기본자료!$K$2:$K$1001,$AB222),100)&gt;=1,MOD(INDEX(기본자료!$K$2:$K$1001,$AB222),100)&lt;=31),DATE(INT(INDEX(기본자료!$K$2:$K$1001,$AB222)/10000),INT(MOD(INDEX(기본자료!$K$2:$K$1001,$AB222),10000)/100),MOD(INDEX(기본자료!$K$2:$K$1001,$AB222),100)),INDEX(기본자료!$K$2:$K$1001,$AB222)&amp;"")))))</f>
        <v/>
      </c>
      <c r="F222" s="10">
        <f>IF($AB222="","",IF(INDEX(기본자료!$D$2:$D$1001,$AB222)="","",INDEX(기본자료!$D$2:$D$1001,$AB222)))</f>
        <v/>
      </c>
      <c r="G222" s="10">
        <f>IF($AB222="","",IF(INDEX(기본자료!$E$2:$E$1001,$AB222)="","",INDEX(기본자료!$E$2:$E$1001,$AB222)))</f>
        <v/>
      </c>
      <c r="H222" s="10">
        <f>IF($AB222="","",IF(INDEX(기본자료!$F$2:$F$1001,$AB222)="","",INDEX(기본자료!$F$2:$F$1001,$AB222)))</f>
        <v/>
      </c>
      <c r="I222" s="11">
        <f>IF($AB222="","",IF(INDEX(기본자료!$G$2:$G$1001,$AB222)="","",IF(NOT(ISNUMBER(INDEX(기본자료!$G$2:$G$1001,$AB222))),INDEX(기본자료!$G$2:$G$1001,$AB222),IF(INDEX(기본자료!$G$2:$G$1001,$AB222)&lt;1000000,INDEX(기본자료!$G$2:$G$1001,$AB222),IF(AND(INDEX(기본자료!$G$2:$G$1001,$AB222)&gt;=10000101,INT(MOD(INDEX(기본자료!$G$2:$G$1001,$AB222),10000)/100)&gt;=1,INT(MOD(INDEX(기본자료!$G$2:$G$1001,$AB222),10000)/100)&lt;=12,MOD(INDEX(기본자료!$G$2:$G$1001,$AB222),100)&gt;=1,MOD(INDEX(기본자료!$G$2:$G$1001,$AB222),100)&lt;=31),DATE(INT(INDEX(기본자료!$G$2:$G$1001,$AB222)/10000),INT(MOD(INDEX(기본자료!$G$2:$G$1001,$AB222),10000)/100),MOD(INDEX(기본자료!$G$2:$G$1001,$AB222),100)),INDEX(기본자료!$G$2:$G$1001,$AB222)&amp;"")))))</f>
        <v/>
      </c>
      <c r="J222" s="10">
        <f>IF($AB222="","",IF(INDEX(기본자료!$H$2:$H$1001,$AB222)="","",INDEX(기본자료!$H$2:$H$1001,$AB222)))</f>
        <v/>
      </c>
      <c r="K222" s="10">
        <f>IF($AB222="","",IF(INDEX(기본자료!$I$2:$I$1001,$AB222)="","",INDEX(기본자료!$I$2:$I$1001,$AB222)))</f>
        <v/>
      </c>
      <c r="L222" s="10">
        <f>IF($AB222="","",IF(INDEX(기본자료!$A$2:$A$1001,$AB222)="","",INDEX(기본자료!$A$2:$A$1001,$AB222)))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파견수련계획!$AB$4:$AB$803,$AK222),OR(NOT(ISNUMBER(INDEX(파견수련계획!$AC$4:$AC$803,$AK222))),TODAY()&lt;=INDEX(파견수련계획!$AC$4:$AC$803,$AK222))),"다기관",IF($AF222="","",INDEX(파견수련계획!$T$4:$T$803,$AF222))),IF($AF222="","",INDEX(파견수련계획!$T$4:$T$803,$AF222))))</f>
        <v/>
      </c>
      <c r="Q222" s="10">
        <f>IF($AF222="","",INDEX(파견수련계획!$S$4:$S$803,$AF222))</f>
        <v/>
      </c>
      <c r="R222" s="10">
        <f>IF($AF222="","",INDEX(파견수련계획!$U$4:$U$803,$AF222))</f>
        <v/>
      </c>
      <c r="S222" s="11">
        <f>IF($AF222="","",IF(INDEX(파견수련계획!$H$4:$H$803,$AF222)="","",INDEX(파견수련계획!$H$4:$H$803,$AF222)))</f>
        <v/>
      </c>
      <c r="T222" s="11">
        <f>IF($AF222="","",IF(INDEX(파견수련계획!$I$4:$I$803,$AF222)="","",INDEX(파견수련계획!$I$4:$I$803,$AF222)))</f>
        <v/>
      </c>
      <c r="U222" s="10">
        <f>IF($AF222="","",INDEX(파견수련계획!$X$4:$X$803,$AF222))</f>
        <v/>
      </c>
      <c r="V222" s="17">
        <f>IF($AF222="","",INDEX(파견수련계획!$V$4:$V$803,$AF222))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IF(OR($B222="",TRIM($J222&amp;"")=""),"",SUMPRODUCT((파견수련계획!$Q$4:$Q$803=TRIM($J222&amp;""))*파견수련계획!$W$4:$W$803))</f>
        <v/>
      </c>
      <c r="Y222" s="10">
        <f>IF($B222="","",IF($AG222="","",IF(IF(TRIM($J222&amp;"")="",0,SUMPRODUCT((파견수련계획!$Q$4:$Q$803=TRIM($J222&amp;""))*파견수련계획!$AD$4:$AD$803))&gt;0,$AE222,IF(N($X222)&lt;=0,$AG222,IF($AH222+$AI222=DAY(EOMONTH(요약!$B$3,0)),IF(AND($AH222&gt;=요약!$E$3,$AI222&lt;요약!$E$3),"서울병원",IF(AND($AI222&gt;=요약!$E$3,$AH222&lt;요약!$E$3),"구리병원","⚠15일 판정불가(서울 "&amp;$AH222&amp;"일/구리 "&amp;$AI222&amp;"일)")),IF($AJ222="",$AE222,IF(INDEX(파견수련계획!$T$4:$T$803,$AJ222)="통합수련",INDEX(파견수련계획!$S$4:$S$803,$AJ222),$AE222)))))))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입력",IF(IF(TRIM($J222&amp;"")="",0,SUMPRODUCT((파견수련계획!$Q$4:$Q$803=TRIM($J222&amp;""))*(파견수련계획!$AA$4:$AA$803&lt;&gt;"")))&gt;0,"파견수련계획 입력오류 확인",IF(LEFT($Y222,1)="⚠","서울·구리 15일 판정 불가(양쪽 모두 이상/미만)",IF(IF($AC222="",0,N(INDEX(인턴근무계획!$T$3:$T$402,$AC222)))&gt;0,"인턴계획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IF($B222="","",IFERROR(MATCH($B222,기본자료!$B$2:$B$1001,0),IFERROR(MATCH($B222&amp;"",기본자료!$B$2:$B$1001,0),IFERROR(MATCH(VALUE($B222),기본자료!$B$2:$B$1001,0),""))))</f>
        <v/>
      </c>
      <c r="AC222" s="10">
        <f>IF($B222="","",IFERROR(MATCH($B222,인턴근무계획!$D$3:$D$402,0),IFERROR(MATCH($B222&amp;"",인턴근무계획!$D$3:$D$402,0),IFERROR(MATCH(VALUE($B222),인턴근무계획!$D$3:$D$402,0),""))))</f>
        <v/>
      </c>
      <c r="AD222" s="10">
        <f>IF(OR($AC222="",인턴현황!$G$3=""),"",INDEX(인턴근무계획!$M$3:$R$402,$AC222,인턴현황!$G$3)&amp;"")</f>
        <v/>
      </c>
      <c r="AE222" s="10">
        <f>IF($B222="","",IF($M222&lt;&gt;"",$M222,IF($AF222&lt;&gt;"",IF(LEFT(INDEX(파견수련계획!$R$4:$R$803,$AF222),1)&lt;&gt;"⚠",INDEX(파견수련계획!$R$4:$R$803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파견수련계획!$Y$4:$Y$803,0),IFERROR(MATCH(TRIM($J222&amp;"")&amp;"|파견예정",파견수련계획!$Y$4:$Y$803,0),IFERROR(MATCH(TRIM($J222&amp;"")&amp;"|파견종료",파견수련계획!$Y$4:$Y$803,0),""))))</f>
        <v/>
      </c>
      <c r="AG222" s="10">
        <f>IF($B222="","",IF(AND(IF(OR($AC222="",인턴현황!$K$2=""),"",INDEX(인턴근무계획!$M$3:$R$402,$AC222,인턴현황!$K$2)&amp;"")&lt;&gt;"",LEFT(IF(OR($AC222="",인턴현황!$K$2=""),"",INDEX(인턴근무계획!$M$3:$R$402,$AC222,인턴현황!$K$2)&amp;""),1)&lt;&gt;"⚠"),LEFT(IF(OR($AC222="",인턴현황!$K$2=""),"",INDEX(인턴근무계획!$M$3:$R$402,$AC222,인턴현황!$K$2)&amp;""),FIND(" ",IF(OR($AC222="",인턴현황!$K$2=""),"",INDEX(인턴근무계획!$M$3:$R$402,$AC222,인턴현황!$K$2)&amp;""))-1),$AE222))</f>
        <v/>
      </c>
      <c r="AH222" s="17">
        <f>IF($B222="","",IF(TRIM($J222&amp;"")="",0,SUMPRODUCT((파견수련계획!$Q$4:$Q$803=TRIM($J222&amp;""))*(파견수련계획!$S$4:$S$803="서울병원")*파견수련계획!$W$4:$W$803))+IF($AG222="서울병원",MAX(0,DAY(EOMONTH(요약!$B$3,0))-N($X222)),0))</f>
        <v/>
      </c>
      <c r="AI222" s="17">
        <f>IF($B222="","",IF(TRIM($J222&amp;"")="",0,SUMPRODUCT((파견수련계획!$Q$4:$Q$803=TRIM($J222&amp;""))*(파견수련계획!$S$4:$S$803="구리병원")*파견수련계획!$W$4:$W$803))+IF($AG222="구리병원",MAX(0,DAY(EOMONTH(요약!$B$3,0))-N($X222)),0))</f>
        <v/>
      </c>
      <c r="AJ222" s="10">
        <f>IF(OR($B222="",TRIM($J222&amp;"")=""),"",IFERROR(MATCH(TRIM($J222&amp;"")&amp;"|월",파견수련계획!$Z$4:$Z$803,0),""))</f>
        <v/>
      </c>
      <c r="AK222" s="10">
        <f>IF(OR($B222="",TRIM($J222&amp;"")=""),"",IFERROR(MATCH(TRIM($J222&amp;"")&amp;"|다기관",파견수련계획!$AE$4:$AE$803,0),""))</f>
        <v/>
      </c>
      <c r="AL222" s="10">
        <f>IF($AK222="","","다기관 "&amp;TEXT(INDEX(파견수련계획!$AB$4:$AB$803,$AK222),"yyyy-mm-dd")&amp;"~"&amp;IF(ISNUMBER(INDEX(파견수련계획!$AC$4:$AC$803,$AK222)),TEXT(INDEX(파견수련계획!$AC$4:$AC$803,$AK222),"yyyy-mm-dd"),""))</f>
        <v/>
      </c>
    </row>
    <row r="223">
      <c r="A223" s="10">
        <f>IF(B223="","",ROW()-1)</f>
        <v/>
      </c>
      <c r="B223" s="18" t="n"/>
      <c r="C223" s="10">
        <f>IF($AB223="","",IF(INDEX(기본자료!$C$2:$C$1001,$AB223)="","",INDEX(기본자료!$C$2:$C$1001,$AB223)))</f>
        <v/>
      </c>
      <c r="D223" s="10">
        <f>IF($AB223="","",IF(INDEX(기본자료!$J$2:$J$1001,$AB223)="","",INDEX(기본자료!$J$2:$J$1001,$AB223)))</f>
        <v/>
      </c>
      <c r="E223" s="11">
        <f>IF($AB223="","",IF(INDEX(기본자료!$K$2:$K$1001,$AB223)="","",IF(NOT(ISNUMBER(INDEX(기본자료!$K$2:$K$1001,$AB223))),INDEX(기본자료!$K$2:$K$1001,$AB223),IF(INDEX(기본자료!$K$2:$K$1001,$AB223)&lt;1000000,INDEX(기본자료!$K$2:$K$1001,$AB223),IF(AND(INDEX(기본자료!$K$2:$K$1001,$AB223)&gt;=10000101,INT(MOD(INDEX(기본자료!$K$2:$K$1001,$AB223),10000)/100)&gt;=1,INT(MOD(INDEX(기본자료!$K$2:$K$1001,$AB223),10000)/100)&lt;=12,MOD(INDEX(기본자료!$K$2:$K$1001,$AB223),100)&gt;=1,MOD(INDEX(기본자료!$K$2:$K$1001,$AB223),100)&lt;=31),DATE(INT(INDEX(기본자료!$K$2:$K$1001,$AB223)/10000),INT(MOD(INDEX(기본자료!$K$2:$K$1001,$AB223),10000)/100),MOD(INDEX(기본자료!$K$2:$K$1001,$AB223),100)),INDEX(기본자료!$K$2:$K$1001,$AB223)&amp;"")))))</f>
        <v/>
      </c>
      <c r="F223" s="10">
        <f>IF($AB223="","",IF(INDEX(기본자료!$D$2:$D$1001,$AB223)="","",INDEX(기본자료!$D$2:$D$1001,$AB223)))</f>
        <v/>
      </c>
      <c r="G223" s="10">
        <f>IF($AB223="","",IF(INDEX(기본자료!$E$2:$E$1001,$AB223)="","",INDEX(기본자료!$E$2:$E$1001,$AB223)))</f>
        <v/>
      </c>
      <c r="H223" s="10">
        <f>IF($AB223="","",IF(INDEX(기본자료!$F$2:$F$1001,$AB223)="","",INDEX(기본자료!$F$2:$F$1001,$AB223)))</f>
        <v/>
      </c>
      <c r="I223" s="11">
        <f>IF($AB223="","",IF(INDEX(기본자료!$G$2:$G$1001,$AB223)="","",IF(NOT(ISNUMBER(INDEX(기본자료!$G$2:$G$1001,$AB223))),INDEX(기본자료!$G$2:$G$1001,$AB223),IF(INDEX(기본자료!$G$2:$G$1001,$AB223)&lt;1000000,INDEX(기본자료!$G$2:$G$1001,$AB223),IF(AND(INDEX(기본자료!$G$2:$G$1001,$AB223)&gt;=10000101,INT(MOD(INDEX(기본자료!$G$2:$G$1001,$AB223),10000)/100)&gt;=1,INT(MOD(INDEX(기본자료!$G$2:$G$1001,$AB223),10000)/100)&lt;=12,MOD(INDEX(기본자료!$G$2:$G$1001,$AB223),100)&gt;=1,MOD(INDEX(기본자료!$G$2:$G$1001,$AB223),100)&lt;=31),DATE(INT(INDEX(기본자료!$G$2:$G$1001,$AB223)/10000),INT(MOD(INDEX(기본자료!$G$2:$G$1001,$AB223),10000)/100),MOD(INDEX(기본자료!$G$2:$G$1001,$AB223),100)),INDEX(기본자료!$G$2:$G$1001,$AB223)&amp;"")))))</f>
        <v/>
      </c>
      <c r="J223" s="10">
        <f>IF($AB223="","",IF(INDEX(기본자료!$H$2:$H$1001,$AB223)="","",INDEX(기본자료!$H$2:$H$1001,$AB223)))</f>
        <v/>
      </c>
      <c r="K223" s="10">
        <f>IF($AB223="","",IF(INDEX(기본자료!$I$2:$I$1001,$AB223)="","",INDEX(기본자료!$I$2:$I$1001,$AB223)))</f>
        <v/>
      </c>
      <c r="L223" s="10">
        <f>IF($AB223="","",IF(INDEX(기본자료!$A$2:$A$1001,$AB223)="","",INDEX(기본자료!$A$2:$A$1001,$AB223)))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파견수련계획!$AB$4:$AB$803,$AK223),OR(NOT(ISNUMBER(INDEX(파견수련계획!$AC$4:$AC$803,$AK223))),TODAY()&lt;=INDEX(파견수련계획!$AC$4:$AC$803,$AK223))),"다기관",IF($AF223="","",INDEX(파견수련계획!$T$4:$T$803,$AF223))),IF($AF223="","",INDEX(파견수련계획!$T$4:$T$803,$AF223))))</f>
        <v/>
      </c>
      <c r="Q223" s="10">
        <f>IF($AF223="","",INDEX(파견수련계획!$S$4:$S$803,$AF223))</f>
        <v/>
      </c>
      <c r="R223" s="10">
        <f>IF($AF223="","",INDEX(파견수련계획!$U$4:$U$803,$AF223))</f>
        <v/>
      </c>
      <c r="S223" s="11">
        <f>IF($AF223="","",IF(INDEX(파견수련계획!$H$4:$H$803,$AF223)="","",INDEX(파견수련계획!$H$4:$H$803,$AF223)))</f>
        <v/>
      </c>
      <c r="T223" s="11">
        <f>IF($AF223="","",IF(INDEX(파견수련계획!$I$4:$I$803,$AF223)="","",INDEX(파견수련계획!$I$4:$I$803,$AF223)))</f>
        <v/>
      </c>
      <c r="U223" s="10">
        <f>IF($AF223="","",INDEX(파견수련계획!$X$4:$X$803,$AF223))</f>
        <v/>
      </c>
      <c r="V223" s="17">
        <f>IF($AF223="","",INDEX(파견수련계획!$V$4:$V$803,$AF223))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IF(OR($B223="",TRIM($J223&amp;"")=""),"",SUMPRODUCT((파견수련계획!$Q$4:$Q$803=TRIM($J223&amp;""))*파견수련계획!$W$4:$W$803))</f>
        <v/>
      </c>
      <c r="Y223" s="10">
        <f>IF($B223="","",IF($AG223="","",IF(IF(TRIM($J223&amp;"")="",0,SUMPRODUCT((파견수련계획!$Q$4:$Q$803=TRIM($J223&amp;""))*파견수련계획!$AD$4:$AD$803))&gt;0,$AE223,IF(N($X223)&lt;=0,$AG223,IF($AH223+$AI223=DAY(EOMONTH(요약!$B$3,0)),IF(AND($AH223&gt;=요약!$E$3,$AI223&lt;요약!$E$3),"서울병원",IF(AND($AI223&gt;=요약!$E$3,$AH223&lt;요약!$E$3),"구리병원","⚠15일 판정불가(서울 "&amp;$AH223&amp;"일/구리 "&amp;$AI223&amp;"일)")),IF($AJ223="",$AE223,IF(INDEX(파견수련계획!$T$4:$T$803,$AJ223)="통합수련",INDEX(파견수련계획!$S$4:$S$803,$AJ223),$AE223)))))))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입력",IF(IF(TRIM($J223&amp;"")="",0,SUMPRODUCT((파견수련계획!$Q$4:$Q$803=TRIM($J223&amp;""))*(파견수련계획!$AA$4:$AA$803&lt;&gt;"")))&gt;0,"파견수련계획 입력오류 확인",IF(LEFT($Y223,1)="⚠","서울·구리 15일 판정 불가(양쪽 모두 이상/미만)",IF(IF($AC223="",0,N(INDEX(인턴근무계획!$T$3:$T$402,$AC223)))&gt;0,"인턴계획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IF($B223="","",IFERROR(MATCH($B223,기본자료!$B$2:$B$1001,0),IFERROR(MATCH($B223&amp;"",기본자료!$B$2:$B$1001,0),IFERROR(MATCH(VALUE($B223),기본자료!$B$2:$B$1001,0),""))))</f>
        <v/>
      </c>
      <c r="AC223" s="10">
        <f>IF($B223="","",IFERROR(MATCH($B223,인턴근무계획!$D$3:$D$402,0),IFERROR(MATCH($B223&amp;"",인턴근무계획!$D$3:$D$402,0),IFERROR(MATCH(VALUE($B223),인턴근무계획!$D$3:$D$402,0),""))))</f>
        <v/>
      </c>
      <c r="AD223" s="10">
        <f>IF(OR($AC223="",인턴현황!$G$3=""),"",INDEX(인턴근무계획!$M$3:$R$402,$AC223,인턴현황!$G$3)&amp;"")</f>
        <v/>
      </c>
      <c r="AE223" s="10">
        <f>IF($B223="","",IF($M223&lt;&gt;"",$M223,IF($AF223&lt;&gt;"",IF(LEFT(INDEX(파견수련계획!$R$4:$R$803,$AF223),1)&lt;&gt;"⚠",INDEX(파견수련계획!$R$4:$R$803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파견수련계획!$Y$4:$Y$803,0),IFERROR(MATCH(TRIM($J223&amp;"")&amp;"|파견예정",파견수련계획!$Y$4:$Y$803,0),IFERROR(MATCH(TRIM($J223&amp;"")&amp;"|파견종료",파견수련계획!$Y$4:$Y$803,0),""))))</f>
        <v/>
      </c>
      <c r="AG223" s="10">
        <f>IF($B223="","",IF(AND(IF(OR($AC223="",인턴현황!$K$2=""),"",INDEX(인턴근무계획!$M$3:$R$402,$AC223,인턴현황!$K$2)&amp;"")&lt;&gt;"",LEFT(IF(OR($AC223="",인턴현황!$K$2=""),"",INDEX(인턴근무계획!$M$3:$R$402,$AC223,인턴현황!$K$2)&amp;""),1)&lt;&gt;"⚠"),LEFT(IF(OR($AC223="",인턴현황!$K$2=""),"",INDEX(인턴근무계획!$M$3:$R$402,$AC223,인턴현황!$K$2)&amp;""),FIND(" ",IF(OR($AC223="",인턴현황!$K$2=""),"",INDEX(인턴근무계획!$M$3:$R$402,$AC223,인턴현황!$K$2)&amp;""))-1),$AE223))</f>
        <v/>
      </c>
      <c r="AH223" s="17">
        <f>IF($B223="","",IF(TRIM($J223&amp;"")="",0,SUMPRODUCT((파견수련계획!$Q$4:$Q$803=TRIM($J223&amp;""))*(파견수련계획!$S$4:$S$803="서울병원")*파견수련계획!$W$4:$W$803))+IF($AG223="서울병원",MAX(0,DAY(EOMONTH(요약!$B$3,0))-N($X223)),0))</f>
        <v/>
      </c>
      <c r="AI223" s="17">
        <f>IF($B223="","",IF(TRIM($J223&amp;"")="",0,SUMPRODUCT((파견수련계획!$Q$4:$Q$803=TRIM($J223&amp;""))*(파견수련계획!$S$4:$S$803="구리병원")*파견수련계획!$W$4:$W$803))+IF($AG223="구리병원",MAX(0,DAY(EOMONTH(요약!$B$3,0))-N($X223)),0))</f>
        <v/>
      </c>
      <c r="AJ223" s="10">
        <f>IF(OR($B223="",TRIM($J223&amp;"")=""),"",IFERROR(MATCH(TRIM($J223&amp;"")&amp;"|월",파견수련계획!$Z$4:$Z$803,0),""))</f>
        <v/>
      </c>
      <c r="AK223" s="10">
        <f>IF(OR($B223="",TRIM($J223&amp;"")=""),"",IFERROR(MATCH(TRIM($J223&amp;"")&amp;"|다기관",파견수련계획!$AE$4:$AE$803,0),""))</f>
        <v/>
      </c>
      <c r="AL223" s="10">
        <f>IF($AK223="","","다기관 "&amp;TEXT(INDEX(파견수련계획!$AB$4:$AB$803,$AK223),"yyyy-mm-dd")&amp;"~"&amp;IF(ISNUMBER(INDEX(파견수련계획!$AC$4:$AC$803,$AK223)),TEXT(INDEX(파견수련계획!$AC$4:$AC$803,$AK223),"yyyy-mm-dd"),""))</f>
        <v/>
      </c>
    </row>
    <row r="224">
      <c r="A224" s="10">
        <f>IF(B224="","",ROW()-1)</f>
        <v/>
      </c>
      <c r="B224" s="18" t="n"/>
      <c r="C224" s="10">
        <f>IF($AB224="","",IF(INDEX(기본자료!$C$2:$C$1001,$AB224)="","",INDEX(기본자료!$C$2:$C$1001,$AB224)))</f>
        <v/>
      </c>
      <c r="D224" s="10">
        <f>IF($AB224="","",IF(INDEX(기본자료!$J$2:$J$1001,$AB224)="","",INDEX(기본자료!$J$2:$J$1001,$AB224)))</f>
        <v/>
      </c>
      <c r="E224" s="11">
        <f>IF($AB224="","",IF(INDEX(기본자료!$K$2:$K$1001,$AB224)="","",IF(NOT(ISNUMBER(INDEX(기본자료!$K$2:$K$1001,$AB224))),INDEX(기본자료!$K$2:$K$1001,$AB224),IF(INDEX(기본자료!$K$2:$K$1001,$AB224)&lt;1000000,INDEX(기본자료!$K$2:$K$1001,$AB224),IF(AND(INDEX(기본자료!$K$2:$K$1001,$AB224)&gt;=10000101,INT(MOD(INDEX(기본자료!$K$2:$K$1001,$AB224),10000)/100)&gt;=1,INT(MOD(INDEX(기본자료!$K$2:$K$1001,$AB224),10000)/100)&lt;=12,MOD(INDEX(기본자료!$K$2:$K$1001,$AB224),100)&gt;=1,MOD(INDEX(기본자료!$K$2:$K$1001,$AB224),100)&lt;=31),DATE(INT(INDEX(기본자료!$K$2:$K$1001,$AB224)/10000),INT(MOD(INDEX(기본자료!$K$2:$K$1001,$AB224),10000)/100),MOD(INDEX(기본자료!$K$2:$K$1001,$AB224),100)),INDEX(기본자료!$K$2:$K$1001,$AB224)&amp;"")))))</f>
        <v/>
      </c>
      <c r="F224" s="10">
        <f>IF($AB224="","",IF(INDEX(기본자료!$D$2:$D$1001,$AB224)="","",INDEX(기본자료!$D$2:$D$1001,$AB224)))</f>
        <v/>
      </c>
      <c r="G224" s="10">
        <f>IF($AB224="","",IF(INDEX(기본자료!$E$2:$E$1001,$AB224)="","",INDEX(기본자료!$E$2:$E$1001,$AB224)))</f>
        <v/>
      </c>
      <c r="H224" s="10">
        <f>IF($AB224="","",IF(INDEX(기본자료!$F$2:$F$1001,$AB224)="","",INDEX(기본자료!$F$2:$F$1001,$AB224)))</f>
        <v/>
      </c>
      <c r="I224" s="11">
        <f>IF($AB224="","",IF(INDEX(기본자료!$G$2:$G$1001,$AB224)="","",IF(NOT(ISNUMBER(INDEX(기본자료!$G$2:$G$1001,$AB224))),INDEX(기본자료!$G$2:$G$1001,$AB224),IF(INDEX(기본자료!$G$2:$G$1001,$AB224)&lt;1000000,INDEX(기본자료!$G$2:$G$1001,$AB224),IF(AND(INDEX(기본자료!$G$2:$G$1001,$AB224)&gt;=10000101,INT(MOD(INDEX(기본자료!$G$2:$G$1001,$AB224),10000)/100)&gt;=1,INT(MOD(INDEX(기본자료!$G$2:$G$1001,$AB224),10000)/100)&lt;=12,MOD(INDEX(기본자료!$G$2:$G$1001,$AB224),100)&gt;=1,MOD(INDEX(기본자료!$G$2:$G$1001,$AB224),100)&lt;=31),DATE(INT(INDEX(기본자료!$G$2:$G$1001,$AB224)/10000),INT(MOD(INDEX(기본자료!$G$2:$G$1001,$AB224),10000)/100),MOD(INDEX(기본자료!$G$2:$G$1001,$AB224),100)),INDEX(기본자료!$G$2:$G$1001,$AB224)&amp;"")))))</f>
        <v/>
      </c>
      <c r="J224" s="10">
        <f>IF($AB224="","",IF(INDEX(기본자료!$H$2:$H$1001,$AB224)="","",INDEX(기본자료!$H$2:$H$1001,$AB224)))</f>
        <v/>
      </c>
      <c r="K224" s="10">
        <f>IF($AB224="","",IF(INDEX(기본자료!$I$2:$I$1001,$AB224)="","",INDEX(기본자료!$I$2:$I$1001,$AB224)))</f>
        <v/>
      </c>
      <c r="L224" s="10">
        <f>IF($AB224="","",IF(INDEX(기본자료!$A$2:$A$1001,$AB224)="","",INDEX(기본자료!$A$2:$A$1001,$AB224)))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파견수련계획!$AB$4:$AB$803,$AK224),OR(NOT(ISNUMBER(INDEX(파견수련계획!$AC$4:$AC$803,$AK224))),TODAY()&lt;=INDEX(파견수련계획!$AC$4:$AC$803,$AK224))),"다기관",IF($AF224="","",INDEX(파견수련계획!$T$4:$T$803,$AF224))),IF($AF224="","",INDEX(파견수련계획!$T$4:$T$803,$AF224))))</f>
        <v/>
      </c>
      <c r="Q224" s="10">
        <f>IF($AF224="","",INDEX(파견수련계획!$S$4:$S$803,$AF224))</f>
        <v/>
      </c>
      <c r="R224" s="10">
        <f>IF($AF224="","",INDEX(파견수련계획!$U$4:$U$803,$AF224))</f>
        <v/>
      </c>
      <c r="S224" s="11">
        <f>IF($AF224="","",IF(INDEX(파견수련계획!$H$4:$H$803,$AF224)="","",INDEX(파견수련계획!$H$4:$H$803,$AF224)))</f>
        <v/>
      </c>
      <c r="T224" s="11">
        <f>IF($AF224="","",IF(INDEX(파견수련계획!$I$4:$I$803,$AF224)="","",INDEX(파견수련계획!$I$4:$I$803,$AF224)))</f>
        <v/>
      </c>
      <c r="U224" s="10">
        <f>IF($AF224="","",INDEX(파견수련계획!$X$4:$X$803,$AF224))</f>
        <v/>
      </c>
      <c r="V224" s="17">
        <f>IF($AF224="","",INDEX(파견수련계획!$V$4:$V$803,$AF224))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IF(OR($B224="",TRIM($J224&amp;"")=""),"",SUMPRODUCT((파견수련계획!$Q$4:$Q$803=TRIM($J224&amp;""))*파견수련계획!$W$4:$W$803))</f>
        <v/>
      </c>
      <c r="Y224" s="10">
        <f>IF($B224="","",IF($AG224="","",IF(IF(TRIM($J224&amp;"")="",0,SUMPRODUCT((파견수련계획!$Q$4:$Q$803=TRIM($J224&amp;""))*파견수련계획!$AD$4:$AD$803))&gt;0,$AE224,IF(N($X224)&lt;=0,$AG224,IF($AH224+$AI224=DAY(EOMONTH(요약!$B$3,0)),IF(AND($AH224&gt;=요약!$E$3,$AI224&lt;요약!$E$3),"서울병원",IF(AND($AI224&gt;=요약!$E$3,$AH224&lt;요약!$E$3),"구리병원","⚠15일 판정불가(서울 "&amp;$AH224&amp;"일/구리 "&amp;$AI224&amp;"일)")),IF($AJ224="",$AE224,IF(INDEX(파견수련계획!$T$4:$T$803,$AJ224)="통합수련",INDEX(파견수련계획!$S$4:$S$803,$AJ224),$AE224)))))))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입력",IF(IF(TRIM($J224&amp;"")="",0,SUMPRODUCT((파견수련계획!$Q$4:$Q$803=TRIM($J224&amp;""))*(파견수련계획!$AA$4:$AA$803&lt;&gt;"")))&gt;0,"파견수련계획 입력오류 확인",IF(LEFT($Y224,1)="⚠","서울·구리 15일 판정 불가(양쪽 모두 이상/미만)",IF(IF($AC224="",0,N(INDEX(인턴근무계획!$T$3:$T$402,$AC224)))&gt;0,"인턴계획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IF($B224="","",IFERROR(MATCH($B224,기본자료!$B$2:$B$1001,0),IFERROR(MATCH($B224&amp;"",기본자료!$B$2:$B$1001,0),IFERROR(MATCH(VALUE($B224),기본자료!$B$2:$B$1001,0),""))))</f>
        <v/>
      </c>
      <c r="AC224" s="10">
        <f>IF($B224="","",IFERROR(MATCH($B224,인턴근무계획!$D$3:$D$402,0),IFERROR(MATCH($B224&amp;"",인턴근무계획!$D$3:$D$402,0),IFERROR(MATCH(VALUE($B224),인턴근무계획!$D$3:$D$402,0),""))))</f>
        <v/>
      </c>
      <c r="AD224" s="10">
        <f>IF(OR($AC224="",인턴현황!$G$3=""),"",INDEX(인턴근무계획!$M$3:$R$402,$AC224,인턴현황!$G$3)&amp;"")</f>
        <v/>
      </c>
      <c r="AE224" s="10">
        <f>IF($B224="","",IF($M224&lt;&gt;"",$M224,IF($AF224&lt;&gt;"",IF(LEFT(INDEX(파견수련계획!$R$4:$R$803,$AF224),1)&lt;&gt;"⚠",INDEX(파견수련계획!$R$4:$R$803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파견수련계획!$Y$4:$Y$803,0),IFERROR(MATCH(TRIM($J224&amp;"")&amp;"|파견예정",파견수련계획!$Y$4:$Y$803,0),IFERROR(MATCH(TRIM($J224&amp;"")&amp;"|파견종료",파견수련계획!$Y$4:$Y$803,0),""))))</f>
        <v/>
      </c>
      <c r="AG224" s="10">
        <f>IF($B224="","",IF(AND(IF(OR($AC224="",인턴현황!$K$2=""),"",INDEX(인턴근무계획!$M$3:$R$402,$AC224,인턴현황!$K$2)&amp;"")&lt;&gt;"",LEFT(IF(OR($AC224="",인턴현황!$K$2=""),"",INDEX(인턴근무계획!$M$3:$R$402,$AC224,인턴현황!$K$2)&amp;""),1)&lt;&gt;"⚠"),LEFT(IF(OR($AC224="",인턴현황!$K$2=""),"",INDEX(인턴근무계획!$M$3:$R$402,$AC224,인턴현황!$K$2)&amp;""),FIND(" ",IF(OR($AC224="",인턴현황!$K$2=""),"",INDEX(인턴근무계획!$M$3:$R$402,$AC224,인턴현황!$K$2)&amp;""))-1),$AE224))</f>
        <v/>
      </c>
      <c r="AH224" s="17">
        <f>IF($B224="","",IF(TRIM($J224&amp;"")="",0,SUMPRODUCT((파견수련계획!$Q$4:$Q$803=TRIM($J224&amp;""))*(파견수련계획!$S$4:$S$803="서울병원")*파견수련계획!$W$4:$W$803))+IF($AG224="서울병원",MAX(0,DAY(EOMONTH(요약!$B$3,0))-N($X224)),0))</f>
        <v/>
      </c>
      <c r="AI224" s="17">
        <f>IF($B224="","",IF(TRIM($J224&amp;"")="",0,SUMPRODUCT((파견수련계획!$Q$4:$Q$803=TRIM($J224&amp;""))*(파견수련계획!$S$4:$S$803="구리병원")*파견수련계획!$W$4:$W$803))+IF($AG224="구리병원",MAX(0,DAY(EOMONTH(요약!$B$3,0))-N($X224)),0))</f>
        <v/>
      </c>
      <c r="AJ224" s="10">
        <f>IF(OR($B224="",TRIM($J224&amp;"")=""),"",IFERROR(MATCH(TRIM($J224&amp;"")&amp;"|월",파견수련계획!$Z$4:$Z$803,0),""))</f>
        <v/>
      </c>
      <c r="AK224" s="10">
        <f>IF(OR($B224="",TRIM($J224&amp;"")=""),"",IFERROR(MATCH(TRIM($J224&amp;"")&amp;"|다기관",파견수련계획!$AE$4:$AE$803,0),""))</f>
        <v/>
      </c>
      <c r="AL224" s="10">
        <f>IF($AK224="","","다기관 "&amp;TEXT(INDEX(파견수련계획!$AB$4:$AB$803,$AK224),"yyyy-mm-dd")&amp;"~"&amp;IF(ISNUMBER(INDEX(파견수련계획!$AC$4:$AC$803,$AK224)),TEXT(INDEX(파견수련계획!$AC$4:$AC$803,$AK224),"yyyy-mm-dd"),""))</f>
        <v/>
      </c>
    </row>
    <row r="225">
      <c r="A225" s="10">
        <f>IF(B225="","",ROW()-1)</f>
        <v/>
      </c>
      <c r="B225" s="18" t="n"/>
      <c r="C225" s="10">
        <f>IF($AB225="","",IF(INDEX(기본자료!$C$2:$C$1001,$AB225)="","",INDEX(기본자료!$C$2:$C$1001,$AB225)))</f>
        <v/>
      </c>
      <c r="D225" s="10">
        <f>IF($AB225="","",IF(INDEX(기본자료!$J$2:$J$1001,$AB225)="","",INDEX(기본자료!$J$2:$J$1001,$AB225)))</f>
        <v/>
      </c>
      <c r="E225" s="11">
        <f>IF($AB225="","",IF(INDEX(기본자료!$K$2:$K$1001,$AB225)="","",IF(NOT(ISNUMBER(INDEX(기본자료!$K$2:$K$1001,$AB225))),INDEX(기본자료!$K$2:$K$1001,$AB225),IF(INDEX(기본자료!$K$2:$K$1001,$AB225)&lt;1000000,INDEX(기본자료!$K$2:$K$1001,$AB225),IF(AND(INDEX(기본자료!$K$2:$K$1001,$AB225)&gt;=10000101,INT(MOD(INDEX(기본자료!$K$2:$K$1001,$AB225),10000)/100)&gt;=1,INT(MOD(INDEX(기본자료!$K$2:$K$1001,$AB225),10000)/100)&lt;=12,MOD(INDEX(기본자료!$K$2:$K$1001,$AB225),100)&gt;=1,MOD(INDEX(기본자료!$K$2:$K$1001,$AB225),100)&lt;=31),DATE(INT(INDEX(기본자료!$K$2:$K$1001,$AB225)/10000),INT(MOD(INDEX(기본자료!$K$2:$K$1001,$AB225),10000)/100),MOD(INDEX(기본자료!$K$2:$K$1001,$AB225),100)),INDEX(기본자료!$K$2:$K$1001,$AB225)&amp;"")))))</f>
        <v/>
      </c>
      <c r="F225" s="10">
        <f>IF($AB225="","",IF(INDEX(기본자료!$D$2:$D$1001,$AB225)="","",INDEX(기본자료!$D$2:$D$1001,$AB225)))</f>
        <v/>
      </c>
      <c r="G225" s="10">
        <f>IF($AB225="","",IF(INDEX(기본자료!$E$2:$E$1001,$AB225)="","",INDEX(기본자료!$E$2:$E$1001,$AB225)))</f>
        <v/>
      </c>
      <c r="H225" s="10">
        <f>IF($AB225="","",IF(INDEX(기본자료!$F$2:$F$1001,$AB225)="","",INDEX(기본자료!$F$2:$F$1001,$AB225)))</f>
        <v/>
      </c>
      <c r="I225" s="11">
        <f>IF($AB225="","",IF(INDEX(기본자료!$G$2:$G$1001,$AB225)="","",IF(NOT(ISNUMBER(INDEX(기본자료!$G$2:$G$1001,$AB225))),INDEX(기본자료!$G$2:$G$1001,$AB225),IF(INDEX(기본자료!$G$2:$G$1001,$AB225)&lt;1000000,INDEX(기본자료!$G$2:$G$1001,$AB225),IF(AND(INDEX(기본자료!$G$2:$G$1001,$AB225)&gt;=10000101,INT(MOD(INDEX(기본자료!$G$2:$G$1001,$AB225),10000)/100)&gt;=1,INT(MOD(INDEX(기본자료!$G$2:$G$1001,$AB225),10000)/100)&lt;=12,MOD(INDEX(기본자료!$G$2:$G$1001,$AB225),100)&gt;=1,MOD(INDEX(기본자료!$G$2:$G$1001,$AB225),100)&lt;=31),DATE(INT(INDEX(기본자료!$G$2:$G$1001,$AB225)/10000),INT(MOD(INDEX(기본자료!$G$2:$G$1001,$AB225),10000)/100),MOD(INDEX(기본자료!$G$2:$G$1001,$AB225),100)),INDEX(기본자료!$G$2:$G$1001,$AB225)&amp;"")))))</f>
        <v/>
      </c>
      <c r="J225" s="10">
        <f>IF($AB225="","",IF(INDEX(기본자료!$H$2:$H$1001,$AB225)="","",INDEX(기본자료!$H$2:$H$1001,$AB225)))</f>
        <v/>
      </c>
      <c r="K225" s="10">
        <f>IF($AB225="","",IF(INDEX(기본자료!$I$2:$I$1001,$AB225)="","",INDEX(기본자료!$I$2:$I$1001,$AB225)))</f>
        <v/>
      </c>
      <c r="L225" s="10">
        <f>IF($AB225="","",IF(INDEX(기본자료!$A$2:$A$1001,$AB225)="","",INDEX(기본자료!$A$2:$A$1001,$AB225)))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파견수련계획!$AB$4:$AB$803,$AK225),OR(NOT(ISNUMBER(INDEX(파견수련계획!$AC$4:$AC$803,$AK225))),TODAY()&lt;=INDEX(파견수련계획!$AC$4:$AC$803,$AK225))),"다기관",IF($AF225="","",INDEX(파견수련계획!$T$4:$T$803,$AF225))),IF($AF225="","",INDEX(파견수련계획!$T$4:$T$803,$AF225))))</f>
        <v/>
      </c>
      <c r="Q225" s="10">
        <f>IF($AF225="","",INDEX(파견수련계획!$S$4:$S$803,$AF225))</f>
        <v/>
      </c>
      <c r="R225" s="10">
        <f>IF($AF225="","",INDEX(파견수련계획!$U$4:$U$803,$AF225))</f>
        <v/>
      </c>
      <c r="S225" s="11">
        <f>IF($AF225="","",IF(INDEX(파견수련계획!$H$4:$H$803,$AF225)="","",INDEX(파견수련계획!$H$4:$H$803,$AF225)))</f>
        <v/>
      </c>
      <c r="T225" s="11">
        <f>IF($AF225="","",IF(INDEX(파견수련계획!$I$4:$I$803,$AF225)="","",INDEX(파견수련계획!$I$4:$I$803,$AF225)))</f>
        <v/>
      </c>
      <c r="U225" s="10">
        <f>IF($AF225="","",INDEX(파견수련계획!$X$4:$X$803,$AF225))</f>
        <v/>
      </c>
      <c r="V225" s="17">
        <f>IF($AF225="","",INDEX(파견수련계획!$V$4:$V$803,$AF225))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IF(OR($B225="",TRIM($J225&amp;"")=""),"",SUMPRODUCT((파견수련계획!$Q$4:$Q$803=TRIM($J225&amp;""))*파견수련계획!$W$4:$W$803))</f>
        <v/>
      </c>
      <c r="Y225" s="10">
        <f>IF($B225="","",IF($AG225="","",IF(IF(TRIM($J225&amp;"")="",0,SUMPRODUCT((파견수련계획!$Q$4:$Q$803=TRIM($J225&amp;""))*파견수련계획!$AD$4:$AD$803))&gt;0,$AE225,IF(N($X225)&lt;=0,$AG225,IF($AH225+$AI225=DAY(EOMONTH(요약!$B$3,0)),IF(AND($AH225&gt;=요약!$E$3,$AI225&lt;요약!$E$3),"서울병원",IF(AND($AI225&gt;=요약!$E$3,$AH225&lt;요약!$E$3),"구리병원","⚠15일 판정불가(서울 "&amp;$AH225&amp;"일/구리 "&amp;$AI225&amp;"일)")),IF($AJ225="",$AE225,IF(INDEX(파견수련계획!$T$4:$T$803,$AJ225)="통합수련",INDEX(파견수련계획!$S$4:$S$803,$AJ225),$AE225)))))))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입력",IF(IF(TRIM($J225&amp;"")="",0,SUMPRODUCT((파견수련계획!$Q$4:$Q$803=TRIM($J225&amp;""))*(파견수련계획!$AA$4:$AA$803&lt;&gt;"")))&gt;0,"파견수련계획 입력오류 확인",IF(LEFT($Y225,1)="⚠","서울·구리 15일 판정 불가(양쪽 모두 이상/미만)",IF(IF($AC225="",0,N(INDEX(인턴근무계획!$T$3:$T$402,$AC225)))&gt;0,"인턴계획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IF($B225="","",IFERROR(MATCH($B225,기본자료!$B$2:$B$1001,0),IFERROR(MATCH($B225&amp;"",기본자료!$B$2:$B$1001,0),IFERROR(MATCH(VALUE($B225),기본자료!$B$2:$B$1001,0),""))))</f>
        <v/>
      </c>
      <c r="AC225" s="10">
        <f>IF($B225="","",IFERROR(MATCH($B225,인턴근무계획!$D$3:$D$402,0),IFERROR(MATCH($B225&amp;"",인턴근무계획!$D$3:$D$402,0),IFERROR(MATCH(VALUE($B225),인턴근무계획!$D$3:$D$402,0),""))))</f>
        <v/>
      </c>
      <c r="AD225" s="10">
        <f>IF(OR($AC225="",인턴현황!$G$3=""),"",INDEX(인턴근무계획!$M$3:$R$402,$AC225,인턴현황!$G$3)&amp;"")</f>
        <v/>
      </c>
      <c r="AE225" s="10">
        <f>IF($B225="","",IF($M225&lt;&gt;"",$M225,IF($AF225&lt;&gt;"",IF(LEFT(INDEX(파견수련계획!$R$4:$R$803,$AF225),1)&lt;&gt;"⚠",INDEX(파견수련계획!$R$4:$R$803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파견수련계획!$Y$4:$Y$803,0),IFERROR(MATCH(TRIM($J225&amp;"")&amp;"|파견예정",파견수련계획!$Y$4:$Y$803,0),IFERROR(MATCH(TRIM($J225&amp;"")&amp;"|파견종료",파견수련계획!$Y$4:$Y$803,0),""))))</f>
        <v/>
      </c>
      <c r="AG225" s="10">
        <f>IF($B225="","",IF(AND(IF(OR($AC225="",인턴현황!$K$2=""),"",INDEX(인턴근무계획!$M$3:$R$402,$AC225,인턴현황!$K$2)&amp;"")&lt;&gt;"",LEFT(IF(OR($AC225="",인턴현황!$K$2=""),"",INDEX(인턴근무계획!$M$3:$R$402,$AC225,인턴현황!$K$2)&amp;""),1)&lt;&gt;"⚠"),LEFT(IF(OR($AC225="",인턴현황!$K$2=""),"",INDEX(인턴근무계획!$M$3:$R$402,$AC225,인턴현황!$K$2)&amp;""),FIND(" ",IF(OR($AC225="",인턴현황!$K$2=""),"",INDEX(인턴근무계획!$M$3:$R$402,$AC225,인턴현황!$K$2)&amp;""))-1),$AE225))</f>
        <v/>
      </c>
      <c r="AH225" s="17">
        <f>IF($B225="","",IF(TRIM($J225&amp;"")="",0,SUMPRODUCT((파견수련계획!$Q$4:$Q$803=TRIM($J225&amp;""))*(파견수련계획!$S$4:$S$803="서울병원")*파견수련계획!$W$4:$W$803))+IF($AG225="서울병원",MAX(0,DAY(EOMONTH(요약!$B$3,0))-N($X225)),0))</f>
        <v/>
      </c>
      <c r="AI225" s="17">
        <f>IF($B225="","",IF(TRIM($J225&amp;"")="",0,SUMPRODUCT((파견수련계획!$Q$4:$Q$803=TRIM($J225&amp;""))*(파견수련계획!$S$4:$S$803="구리병원")*파견수련계획!$W$4:$W$803))+IF($AG225="구리병원",MAX(0,DAY(EOMONTH(요약!$B$3,0))-N($X225)),0))</f>
        <v/>
      </c>
      <c r="AJ225" s="10">
        <f>IF(OR($B225="",TRIM($J225&amp;"")=""),"",IFERROR(MATCH(TRIM($J225&amp;"")&amp;"|월",파견수련계획!$Z$4:$Z$803,0),""))</f>
        <v/>
      </c>
      <c r="AK225" s="10">
        <f>IF(OR($B225="",TRIM($J225&amp;"")=""),"",IFERROR(MATCH(TRIM($J225&amp;"")&amp;"|다기관",파견수련계획!$AE$4:$AE$803,0),""))</f>
        <v/>
      </c>
      <c r="AL225" s="10">
        <f>IF($AK225="","","다기관 "&amp;TEXT(INDEX(파견수련계획!$AB$4:$AB$803,$AK225),"yyyy-mm-dd")&amp;"~"&amp;IF(ISNUMBER(INDEX(파견수련계획!$AC$4:$AC$803,$AK225)),TEXT(INDEX(파견수련계획!$AC$4:$AC$803,$AK225),"yyyy-mm-dd"),""))</f>
        <v/>
      </c>
    </row>
    <row r="226">
      <c r="A226" s="10">
        <f>IF(B226="","",ROW()-1)</f>
        <v/>
      </c>
      <c r="B226" s="18" t="n"/>
      <c r="C226" s="10">
        <f>IF($AB226="","",IF(INDEX(기본자료!$C$2:$C$1001,$AB226)="","",INDEX(기본자료!$C$2:$C$1001,$AB226)))</f>
        <v/>
      </c>
      <c r="D226" s="10">
        <f>IF($AB226="","",IF(INDEX(기본자료!$J$2:$J$1001,$AB226)="","",INDEX(기본자료!$J$2:$J$1001,$AB226)))</f>
        <v/>
      </c>
      <c r="E226" s="11">
        <f>IF($AB226="","",IF(INDEX(기본자료!$K$2:$K$1001,$AB226)="","",IF(NOT(ISNUMBER(INDEX(기본자료!$K$2:$K$1001,$AB226))),INDEX(기본자료!$K$2:$K$1001,$AB226),IF(INDEX(기본자료!$K$2:$K$1001,$AB226)&lt;1000000,INDEX(기본자료!$K$2:$K$1001,$AB226),IF(AND(INDEX(기본자료!$K$2:$K$1001,$AB226)&gt;=10000101,INT(MOD(INDEX(기본자료!$K$2:$K$1001,$AB226),10000)/100)&gt;=1,INT(MOD(INDEX(기본자료!$K$2:$K$1001,$AB226),10000)/100)&lt;=12,MOD(INDEX(기본자료!$K$2:$K$1001,$AB226),100)&gt;=1,MOD(INDEX(기본자료!$K$2:$K$1001,$AB226),100)&lt;=31),DATE(INT(INDEX(기본자료!$K$2:$K$1001,$AB226)/10000),INT(MOD(INDEX(기본자료!$K$2:$K$1001,$AB226),10000)/100),MOD(INDEX(기본자료!$K$2:$K$1001,$AB226),100)),INDEX(기본자료!$K$2:$K$1001,$AB226)&amp;"")))))</f>
        <v/>
      </c>
      <c r="F226" s="10">
        <f>IF($AB226="","",IF(INDEX(기본자료!$D$2:$D$1001,$AB226)="","",INDEX(기본자료!$D$2:$D$1001,$AB226)))</f>
        <v/>
      </c>
      <c r="G226" s="10">
        <f>IF($AB226="","",IF(INDEX(기본자료!$E$2:$E$1001,$AB226)="","",INDEX(기본자료!$E$2:$E$1001,$AB226)))</f>
        <v/>
      </c>
      <c r="H226" s="10">
        <f>IF($AB226="","",IF(INDEX(기본자료!$F$2:$F$1001,$AB226)="","",INDEX(기본자료!$F$2:$F$1001,$AB226)))</f>
        <v/>
      </c>
      <c r="I226" s="11">
        <f>IF($AB226="","",IF(INDEX(기본자료!$G$2:$G$1001,$AB226)="","",IF(NOT(ISNUMBER(INDEX(기본자료!$G$2:$G$1001,$AB226))),INDEX(기본자료!$G$2:$G$1001,$AB226),IF(INDEX(기본자료!$G$2:$G$1001,$AB226)&lt;1000000,INDEX(기본자료!$G$2:$G$1001,$AB226),IF(AND(INDEX(기본자료!$G$2:$G$1001,$AB226)&gt;=10000101,INT(MOD(INDEX(기본자료!$G$2:$G$1001,$AB226),10000)/100)&gt;=1,INT(MOD(INDEX(기본자료!$G$2:$G$1001,$AB226),10000)/100)&lt;=12,MOD(INDEX(기본자료!$G$2:$G$1001,$AB226),100)&gt;=1,MOD(INDEX(기본자료!$G$2:$G$1001,$AB226),100)&lt;=31),DATE(INT(INDEX(기본자료!$G$2:$G$1001,$AB226)/10000),INT(MOD(INDEX(기본자료!$G$2:$G$1001,$AB226),10000)/100),MOD(INDEX(기본자료!$G$2:$G$1001,$AB226),100)),INDEX(기본자료!$G$2:$G$1001,$AB226)&amp;"")))))</f>
        <v/>
      </c>
      <c r="J226" s="10">
        <f>IF($AB226="","",IF(INDEX(기본자료!$H$2:$H$1001,$AB226)="","",INDEX(기본자료!$H$2:$H$1001,$AB226)))</f>
        <v/>
      </c>
      <c r="K226" s="10">
        <f>IF($AB226="","",IF(INDEX(기본자료!$I$2:$I$1001,$AB226)="","",INDEX(기본자료!$I$2:$I$1001,$AB226)))</f>
        <v/>
      </c>
      <c r="L226" s="10">
        <f>IF($AB226="","",IF(INDEX(기본자료!$A$2:$A$1001,$AB226)="","",INDEX(기본자료!$A$2:$A$1001,$AB226)))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파견수련계획!$AB$4:$AB$803,$AK226),OR(NOT(ISNUMBER(INDEX(파견수련계획!$AC$4:$AC$803,$AK226))),TODAY()&lt;=INDEX(파견수련계획!$AC$4:$AC$803,$AK226))),"다기관",IF($AF226="","",INDEX(파견수련계획!$T$4:$T$803,$AF226))),IF($AF226="","",INDEX(파견수련계획!$T$4:$T$803,$AF226))))</f>
        <v/>
      </c>
      <c r="Q226" s="10">
        <f>IF($AF226="","",INDEX(파견수련계획!$S$4:$S$803,$AF226))</f>
        <v/>
      </c>
      <c r="R226" s="10">
        <f>IF($AF226="","",INDEX(파견수련계획!$U$4:$U$803,$AF226))</f>
        <v/>
      </c>
      <c r="S226" s="11">
        <f>IF($AF226="","",IF(INDEX(파견수련계획!$H$4:$H$803,$AF226)="","",INDEX(파견수련계획!$H$4:$H$803,$AF226)))</f>
        <v/>
      </c>
      <c r="T226" s="11">
        <f>IF($AF226="","",IF(INDEX(파견수련계획!$I$4:$I$803,$AF226)="","",INDEX(파견수련계획!$I$4:$I$803,$AF226)))</f>
        <v/>
      </c>
      <c r="U226" s="10">
        <f>IF($AF226="","",INDEX(파견수련계획!$X$4:$X$803,$AF226))</f>
        <v/>
      </c>
      <c r="V226" s="17">
        <f>IF($AF226="","",INDEX(파견수련계획!$V$4:$V$803,$AF226))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IF(OR($B226="",TRIM($J226&amp;"")=""),"",SUMPRODUCT((파견수련계획!$Q$4:$Q$803=TRIM($J226&amp;""))*파견수련계획!$W$4:$W$803))</f>
        <v/>
      </c>
      <c r="Y226" s="10">
        <f>IF($B226="","",IF($AG226="","",IF(IF(TRIM($J226&amp;"")="",0,SUMPRODUCT((파견수련계획!$Q$4:$Q$803=TRIM($J226&amp;""))*파견수련계획!$AD$4:$AD$803))&gt;0,$AE226,IF(N($X226)&lt;=0,$AG226,IF($AH226+$AI226=DAY(EOMONTH(요약!$B$3,0)),IF(AND($AH226&gt;=요약!$E$3,$AI226&lt;요약!$E$3),"서울병원",IF(AND($AI226&gt;=요약!$E$3,$AH226&lt;요약!$E$3),"구리병원","⚠15일 판정불가(서울 "&amp;$AH226&amp;"일/구리 "&amp;$AI226&amp;"일)")),IF($AJ226="",$AE226,IF(INDEX(파견수련계획!$T$4:$T$803,$AJ226)="통합수련",INDEX(파견수련계획!$S$4:$S$803,$AJ226),$AE226)))))))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입력",IF(IF(TRIM($J226&amp;"")="",0,SUMPRODUCT((파견수련계획!$Q$4:$Q$803=TRIM($J226&amp;""))*(파견수련계획!$AA$4:$AA$803&lt;&gt;"")))&gt;0,"파견수련계획 입력오류 확인",IF(LEFT($Y226,1)="⚠","서울·구리 15일 판정 불가(양쪽 모두 이상/미만)",IF(IF($AC226="",0,N(INDEX(인턴근무계획!$T$3:$T$402,$AC226)))&gt;0,"인턴계획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IF($B226="","",IFERROR(MATCH($B226,기본자료!$B$2:$B$1001,0),IFERROR(MATCH($B226&amp;"",기본자료!$B$2:$B$1001,0),IFERROR(MATCH(VALUE($B226),기본자료!$B$2:$B$1001,0),""))))</f>
        <v/>
      </c>
      <c r="AC226" s="10">
        <f>IF($B226="","",IFERROR(MATCH($B226,인턴근무계획!$D$3:$D$402,0),IFERROR(MATCH($B226&amp;"",인턴근무계획!$D$3:$D$402,0),IFERROR(MATCH(VALUE($B226),인턴근무계획!$D$3:$D$402,0),""))))</f>
        <v/>
      </c>
      <c r="AD226" s="10">
        <f>IF(OR($AC226="",인턴현황!$G$3=""),"",INDEX(인턴근무계획!$M$3:$R$402,$AC226,인턴현황!$G$3)&amp;"")</f>
        <v/>
      </c>
      <c r="AE226" s="10">
        <f>IF($B226="","",IF($M226&lt;&gt;"",$M226,IF($AF226&lt;&gt;"",IF(LEFT(INDEX(파견수련계획!$R$4:$R$803,$AF226),1)&lt;&gt;"⚠",INDEX(파견수련계획!$R$4:$R$803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파견수련계획!$Y$4:$Y$803,0),IFERROR(MATCH(TRIM($J226&amp;"")&amp;"|파견예정",파견수련계획!$Y$4:$Y$803,0),IFERROR(MATCH(TRIM($J226&amp;"")&amp;"|파견종료",파견수련계획!$Y$4:$Y$803,0),""))))</f>
        <v/>
      </c>
      <c r="AG226" s="10">
        <f>IF($B226="","",IF(AND(IF(OR($AC226="",인턴현황!$K$2=""),"",INDEX(인턴근무계획!$M$3:$R$402,$AC226,인턴현황!$K$2)&amp;"")&lt;&gt;"",LEFT(IF(OR($AC226="",인턴현황!$K$2=""),"",INDEX(인턴근무계획!$M$3:$R$402,$AC226,인턴현황!$K$2)&amp;""),1)&lt;&gt;"⚠"),LEFT(IF(OR($AC226="",인턴현황!$K$2=""),"",INDEX(인턴근무계획!$M$3:$R$402,$AC226,인턴현황!$K$2)&amp;""),FIND(" ",IF(OR($AC226="",인턴현황!$K$2=""),"",INDEX(인턴근무계획!$M$3:$R$402,$AC226,인턴현황!$K$2)&amp;""))-1),$AE226))</f>
        <v/>
      </c>
      <c r="AH226" s="17">
        <f>IF($B226="","",IF(TRIM($J226&amp;"")="",0,SUMPRODUCT((파견수련계획!$Q$4:$Q$803=TRIM($J226&amp;""))*(파견수련계획!$S$4:$S$803="서울병원")*파견수련계획!$W$4:$W$803))+IF($AG226="서울병원",MAX(0,DAY(EOMONTH(요약!$B$3,0))-N($X226)),0))</f>
        <v/>
      </c>
      <c r="AI226" s="17">
        <f>IF($B226="","",IF(TRIM($J226&amp;"")="",0,SUMPRODUCT((파견수련계획!$Q$4:$Q$803=TRIM($J226&amp;""))*(파견수련계획!$S$4:$S$803="구리병원")*파견수련계획!$W$4:$W$803))+IF($AG226="구리병원",MAX(0,DAY(EOMONTH(요약!$B$3,0))-N($X226)),0))</f>
        <v/>
      </c>
      <c r="AJ226" s="10">
        <f>IF(OR($B226="",TRIM($J226&amp;"")=""),"",IFERROR(MATCH(TRIM($J226&amp;"")&amp;"|월",파견수련계획!$Z$4:$Z$803,0),""))</f>
        <v/>
      </c>
      <c r="AK226" s="10">
        <f>IF(OR($B226="",TRIM($J226&amp;"")=""),"",IFERROR(MATCH(TRIM($J226&amp;"")&amp;"|다기관",파견수련계획!$AE$4:$AE$803,0),""))</f>
        <v/>
      </c>
      <c r="AL226" s="10">
        <f>IF($AK226="","","다기관 "&amp;TEXT(INDEX(파견수련계획!$AB$4:$AB$803,$AK226),"yyyy-mm-dd")&amp;"~"&amp;IF(ISNUMBER(INDEX(파견수련계획!$AC$4:$AC$803,$AK226)),TEXT(INDEX(파견수련계획!$AC$4:$AC$803,$AK226),"yyyy-mm-dd"),""))</f>
        <v/>
      </c>
    </row>
    <row r="227">
      <c r="A227" s="10">
        <f>IF(B227="","",ROW()-1)</f>
        <v/>
      </c>
      <c r="B227" s="18" t="n"/>
      <c r="C227" s="10">
        <f>IF($AB227="","",IF(INDEX(기본자료!$C$2:$C$1001,$AB227)="","",INDEX(기본자료!$C$2:$C$1001,$AB227)))</f>
        <v/>
      </c>
      <c r="D227" s="10">
        <f>IF($AB227="","",IF(INDEX(기본자료!$J$2:$J$1001,$AB227)="","",INDEX(기본자료!$J$2:$J$1001,$AB227)))</f>
        <v/>
      </c>
      <c r="E227" s="11">
        <f>IF($AB227="","",IF(INDEX(기본자료!$K$2:$K$1001,$AB227)="","",IF(NOT(ISNUMBER(INDEX(기본자료!$K$2:$K$1001,$AB227))),INDEX(기본자료!$K$2:$K$1001,$AB227),IF(INDEX(기본자료!$K$2:$K$1001,$AB227)&lt;1000000,INDEX(기본자료!$K$2:$K$1001,$AB227),IF(AND(INDEX(기본자료!$K$2:$K$1001,$AB227)&gt;=10000101,INT(MOD(INDEX(기본자료!$K$2:$K$1001,$AB227),10000)/100)&gt;=1,INT(MOD(INDEX(기본자료!$K$2:$K$1001,$AB227),10000)/100)&lt;=12,MOD(INDEX(기본자료!$K$2:$K$1001,$AB227),100)&gt;=1,MOD(INDEX(기본자료!$K$2:$K$1001,$AB227),100)&lt;=31),DATE(INT(INDEX(기본자료!$K$2:$K$1001,$AB227)/10000),INT(MOD(INDEX(기본자료!$K$2:$K$1001,$AB227),10000)/100),MOD(INDEX(기본자료!$K$2:$K$1001,$AB227),100)),INDEX(기본자료!$K$2:$K$1001,$AB227)&amp;"")))))</f>
        <v/>
      </c>
      <c r="F227" s="10">
        <f>IF($AB227="","",IF(INDEX(기본자료!$D$2:$D$1001,$AB227)="","",INDEX(기본자료!$D$2:$D$1001,$AB227)))</f>
        <v/>
      </c>
      <c r="G227" s="10">
        <f>IF($AB227="","",IF(INDEX(기본자료!$E$2:$E$1001,$AB227)="","",INDEX(기본자료!$E$2:$E$1001,$AB227)))</f>
        <v/>
      </c>
      <c r="H227" s="10">
        <f>IF($AB227="","",IF(INDEX(기본자료!$F$2:$F$1001,$AB227)="","",INDEX(기본자료!$F$2:$F$1001,$AB227)))</f>
        <v/>
      </c>
      <c r="I227" s="11">
        <f>IF($AB227="","",IF(INDEX(기본자료!$G$2:$G$1001,$AB227)="","",IF(NOT(ISNUMBER(INDEX(기본자료!$G$2:$G$1001,$AB227))),INDEX(기본자료!$G$2:$G$1001,$AB227),IF(INDEX(기본자료!$G$2:$G$1001,$AB227)&lt;1000000,INDEX(기본자료!$G$2:$G$1001,$AB227),IF(AND(INDEX(기본자료!$G$2:$G$1001,$AB227)&gt;=10000101,INT(MOD(INDEX(기본자료!$G$2:$G$1001,$AB227),10000)/100)&gt;=1,INT(MOD(INDEX(기본자료!$G$2:$G$1001,$AB227),10000)/100)&lt;=12,MOD(INDEX(기본자료!$G$2:$G$1001,$AB227),100)&gt;=1,MOD(INDEX(기본자료!$G$2:$G$1001,$AB227),100)&lt;=31),DATE(INT(INDEX(기본자료!$G$2:$G$1001,$AB227)/10000),INT(MOD(INDEX(기본자료!$G$2:$G$1001,$AB227),10000)/100),MOD(INDEX(기본자료!$G$2:$G$1001,$AB227),100)),INDEX(기본자료!$G$2:$G$1001,$AB227)&amp;"")))))</f>
        <v/>
      </c>
      <c r="J227" s="10">
        <f>IF($AB227="","",IF(INDEX(기본자료!$H$2:$H$1001,$AB227)="","",INDEX(기본자료!$H$2:$H$1001,$AB227)))</f>
        <v/>
      </c>
      <c r="K227" s="10">
        <f>IF($AB227="","",IF(INDEX(기본자료!$I$2:$I$1001,$AB227)="","",INDEX(기본자료!$I$2:$I$1001,$AB227)))</f>
        <v/>
      </c>
      <c r="L227" s="10">
        <f>IF($AB227="","",IF(INDEX(기본자료!$A$2:$A$1001,$AB227)="","",INDEX(기본자료!$A$2:$A$1001,$AB227)))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파견수련계획!$AB$4:$AB$803,$AK227),OR(NOT(ISNUMBER(INDEX(파견수련계획!$AC$4:$AC$803,$AK227))),TODAY()&lt;=INDEX(파견수련계획!$AC$4:$AC$803,$AK227))),"다기관",IF($AF227="","",INDEX(파견수련계획!$T$4:$T$803,$AF227))),IF($AF227="","",INDEX(파견수련계획!$T$4:$T$803,$AF227))))</f>
        <v/>
      </c>
      <c r="Q227" s="10">
        <f>IF($AF227="","",INDEX(파견수련계획!$S$4:$S$803,$AF227))</f>
        <v/>
      </c>
      <c r="R227" s="10">
        <f>IF($AF227="","",INDEX(파견수련계획!$U$4:$U$803,$AF227))</f>
        <v/>
      </c>
      <c r="S227" s="11">
        <f>IF($AF227="","",IF(INDEX(파견수련계획!$H$4:$H$803,$AF227)="","",INDEX(파견수련계획!$H$4:$H$803,$AF227)))</f>
        <v/>
      </c>
      <c r="T227" s="11">
        <f>IF($AF227="","",IF(INDEX(파견수련계획!$I$4:$I$803,$AF227)="","",INDEX(파견수련계획!$I$4:$I$803,$AF227)))</f>
        <v/>
      </c>
      <c r="U227" s="10">
        <f>IF($AF227="","",INDEX(파견수련계획!$X$4:$X$803,$AF227))</f>
        <v/>
      </c>
      <c r="V227" s="17">
        <f>IF($AF227="","",INDEX(파견수련계획!$V$4:$V$803,$AF227))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IF(OR($B227="",TRIM($J227&amp;"")=""),"",SUMPRODUCT((파견수련계획!$Q$4:$Q$803=TRIM($J227&amp;""))*파견수련계획!$W$4:$W$803))</f>
        <v/>
      </c>
      <c r="Y227" s="10">
        <f>IF($B227="","",IF($AG227="","",IF(IF(TRIM($J227&amp;"")="",0,SUMPRODUCT((파견수련계획!$Q$4:$Q$803=TRIM($J227&amp;""))*파견수련계획!$AD$4:$AD$803))&gt;0,$AE227,IF(N($X227)&lt;=0,$AG227,IF($AH227+$AI227=DAY(EOMONTH(요약!$B$3,0)),IF(AND($AH227&gt;=요약!$E$3,$AI227&lt;요약!$E$3),"서울병원",IF(AND($AI227&gt;=요약!$E$3,$AH227&lt;요약!$E$3),"구리병원","⚠15일 판정불가(서울 "&amp;$AH227&amp;"일/구리 "&amp;$AI227&amp;"일)")),IF($AJ227="",$AE227,IF(INDEX(파견수련계획!$T$4:$T$803,$AJ227)="통합수련",INDEX(파견수련계획!$S$4:$S$803,$AJ227),$AE227)))))))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입력",IF(IF(TRIM($J227&amp;"")="",0,SUMPRODUCT((파견수련계획!$Q$4:$Q$803=TRIM($J227&amp;""))*(파견수련계획!$AA$4:$AA$803&lt;&gt;"")))&gt;0,"파견수련계획 입력오류 확인",IF(LEFT($Y227,1)="⚠","서울·구리 15일 판정 불가(양쪽 모두 이상/미만)",IF(IF($AC227="",0,N(INDEX(인턴근무계획!$T$3:$T$402,$AC227)))&gt;0,"인턴계획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IF($B227="","",IFERROR(MATCH($B227,기본자료!$B$2:$B$1001,0),IFERROR(MATCH($B227&amp;"",기본자료!$B$2:$B$1001,0),IFERROR(MATCH(VALUE($B227),기본자료!$B$2:$B$1001,0),""))))</f>
        <v/>
      </c>
      <c r="AC227" s="10">
        <f>IF($B227="","",IFERROR(MATCH($B227,인턴근무계획!$D$3:$D$402,0),IFERROR(MATCH($B227&amp;"",인턴근무계획!$D$3:$D$402,0),IFERROR(MATCH(VALUE($B227),인턴근무계획!$D$3:$D$402,0),""))))</f>
        <v/>
      </c>
      <c r="AD227" s="10">
        <f>IF(OR($AC227="",인턴현황!$G$3=""),"",INDEX(인턴근무계획!$M$3:$R$402,$AC227,인턴현황!$G$3)&amp;"")</f>
        <v/>
      </c>
      <c r="AE227" s="10">
        <f>IF($B227="","",IF($M227&lt;&gt;"",$M227,IF($AF227&lt;&gt;"",IF(LEFT(INDEX(파견수련계획!$R$4:$R$803,$AF227),1)&lt;&gt;"⚠",INDEX(파견수련계획!$R$4:$R$803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파견수련계획!$Y$4:$Y$803,0),IFERROR(MATCH(TRIM($J227&amp;"")&amp;"|파견예정",파견수련계획!$Y$4:$Y$803,0),IFERROR(MATCH(TRIM($J227&amp;"")&amp;"|파견종료",파견수련계획!$Y$4:$Y$803,0),""))))</f>
        <v/>
      </c>
      <c r="AG227" s="10">
        <f>IF($B227="","",IF(AND(IF(OR($AC227="",인턴현황!$K$2=""),"",INDEX(인턴근무계획!$M$3:$R$402,$AC227,인턴현황!$K$2)&amp;"")&lt;&gt;"",LEFT(IF(OR($AC227="",인턴현황!$K$2=""),"",INDEX(인턴근무계획!$M$3:$R$402,$AC227,인턴현황!$K$2)&amp;""),1)&lt;&gt;"⚠"),LEFT(IF(OR($AC227="",인턴현황!$K$2=""),"",INDEX(인턴근무계획!$M$3:$R$402,$AC227,인턴현황!$K$2)&amp;""),FIND(" ",IF(OR($AC227="",인턴현황!$K$2=""),"",INDEX(인턴근무계획!$M$3:$R$402,$AC227,인턴현황!$K$2)&amp;""))-1),$AE227))</f>
        <v/>
      </c>
      <c r="AH227" s="17">
        <f>IF($B227="","",IF(TRIM($J227&amp;"")="",0,SUMPRODUCT((파견수련계획!$Q$4:$Q$803=TRIM($J227&amp;""))*(파견수련계획!$S$4:$S$803="서울병원")*파견수련계획!$W$4:$W$803))+IF($AG227="서울병원",MAX(0,DAY(EOMONTH(요약!$B$3,0))-N($X227)),0))</f>
        <v/>
      </c>
      <c r="AI227" s="17">
        <f>IF($B227="","",IF(TRIM($J227&amp;"")="",0,SUMPRODUCT((파견수련계획!$Q$4:$Q$803=TRIM($J227&amp;""))*(파견수련계획!$S$4:$S$803="구리병원")*파견수련계획!$W$4:$W$803))+IF($AG227="구리병원",MAX(0,DAY(EOMONTH(요약!$B$3,0))-N($X227)),0))</f>
        <v/>
      </c>
      <c r="AJ227" s="10">
        <f>IF(OR($B227="",TRIM($J227&amp;"")=""),"",IFERROR(MATCH(TRIM($J227&amp;"")&amp;"|월",파견수련계획!$Z$4:$Z$803,0),""))</f>
        <v/>
      </c>
      <c r="AK227" s="10">
        <f>IF(OR($B227="",TRIM($J227&amp;"")=""),"",IFERROR(MATCH(TRIM($J227&amp;"")&amp;"|다기관",파견수련계획!$AE$4:$AE$803,0),""))</f>
        <v/>
      </c>
      <c r="AL227" s="10">
        <f>IF($AK227="","","다기관 "&amp;TEXT(INDEX(파견수련계획!$AB$4:$AB$803,$AK227),"yyyy-mm-dd")&amp;"~"&amp;IF(ISNUMBER(INDEX(파견수련계획!$AC$4:$AC$803,$AK227)),TEXT(INDEX(파견수련계획!$AC$4:$AC$803,$AK227),"yyyy-mm-dd"),""))</f>
        <v/>
      </c>
    </row>
    <row r="228">
      <c r="A228" s="10">
        <f>IF(B228="","",ROW()-1)</f>
        <v/>
      </c>
      <c r="B228" s="18" t="n"/>
      <c r="C228" s="10">
        <f>IF($AB228="","",IF(INDEX(기본자료!$C$2:$C$1001,$AB228)="","",INDEX(기본자료!$C$2:$C$1001,$AB228)))</f>
        <v/>
      </c>
      <c r="D228" s="10">
        <f>IF($AB228="","",IF(INDEX(기본자료!$J$2:$J$1001,$AB228)="","",INDEX(기본자료!$J$2:$J$1001,$AB228)))</f>
        <v/>
      </c>
      <c r="E228" s="11">
        <f>IF($AB228="","",IF(INDEX(기본자료!$K$2:$K$1001,$AB228)="","",IF(NOT(ISNUMBER(INDEX(기본자료!$K$2:$K$1001,$AB228))),INDEX(기본자료!$K$2:$K$1001,$AB228),IF(INDEX(기본자료!$K$2:$K$1001,$AB228)&lt;1000000,INDEX(기본자료!$K$2:$K$1001,$AB228),IF(AND(INDEX(기본자료!$K$2:$K$1001,$AB228)&gt;=10000101,INT(MOD(INDEX(기본자료!$K$2:$K$1001,$AB228),10000)/100)&gt;=1,INT(MOD(INDEX(기본자료!$K$2:$K$1001,$AB228),10000)/100)&lt;=12,MOD(INDEX(기본자료!$K$2:$K$1001,$AB228),100)&gt;=1,MOD(INDEX(기본자료!$K$2:$K$1001,$AB228),100)&lt;=31),DATE(INT(INDEX(기본자료!$K$2:$K$1001,$AB228)/10000),INT(MOD(INDEX(기본자료!$K$2:$K$1001,$AB228),10000)/100),MOD(INDEX(기본자료!$K$2:$K$1001,$AB228),100)),INDEX(기본자료!$K$2:$K$1001,$AB228)&amp;"")))))</f>
        <v/>
      </c>
      <c r="F228" s="10">
        <f>IF($AB228="","",IF(INDEX(기본자료!$D$2:$D$1001,$AB228)="","",INDEX(기본자료!$D$2:$D$1001,$AB228)))</f>
        <v/>
      </c>
      <c r="G228" s="10">
        <f>IF($AB228="","",IF(INDEX(기본자료!$E$2:$E$1001,$AB228)="","",INDEX(기본자료!$E$2:$E$1001,$AB228)))</f>
        <v/>
      </c>
      <c r="H228" s="10">
        <f>IF($AB228="","",IF(INDEX(기본자료!$F$2:$F$1001,$AB228)="","",INDEX(기본자료!$F$2:$F$1001,$AB228)))</f>
        <v/>
      </c>
      <c r="I228" s="11">
        <f>IF($AB228="","",IF(INDEX(기본자료!$G$2:$G$1001,$AB228)="","",IF(NOT(ISNUMBER(INDEX(기본자료!$G$2:$G$1001,$AB228))),INDEX(기본자료!$G$2:$G$1001,$AB228),IF(INDEX(기본자료!$G$2:$G$1001,$AB228)&lt;1000000,INDEX(기본자료!$G$2:$G$1001,$AB228),IF(AND(INDEX(기본자료!$G$2:$G$1001,$AB228)&gt;=10000101,INT(MOD(INDEX(기본자료!$G$2:$G$1001,$AB228),10000)/100)&gt;=1,INT(MOD(INDEX(기본자료!$G$2:$G$1001,$AB228),10000)/100)&lt;=12,MOD(INDEX(기본자료!$G$2:$G$1001,$AB228),100)&gt;=1,MOD(INDEX(기본자료!$G$2:$G$1001,$AB228),100)&lt;=31),DATE(INT(INDEX(기본자료!$G$2:$G$1001,$AB228)/10000),INT(MOD(INDEX(기본자료!$G$2:$G$1001,$AB228),10000)/100),MOD(INDEX(기본자료!$G$2:$G$1001,$AB228),100)),INDEX(기본자료!$G$2:$G$1001,$AB228)&amp;"")))))</f>
        <v/>
      </c>
      <c r="J228" s="10">
        <f>IF($AB228="","",IF(INDEX(기본자료!$H$2:$H$1001,$AB228)="","",INDEX(기본자료!$H$2:$H$1001,$AB228)))</f>
        <v/>
      </c>
      <c r="K228" s="10">
        <f>IF($AB228="","",IF(INDEX(기본자료!$I$2:$I$1001,$AB228)="","",INDEX(기본자료!$I$2:$I$1001,$AB228)))</f>
        <v/>
      </c>
      <c r="L228" s="10">
        <f>IF($AB228="","",IF(INDEX(기본자료!$A$2:$A$1001,$AB228)="","",INDEX(기본자료!$A$2:$A$1001,$AB228)))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파견수련계획!$AB$4:$AB$803,$AK228),OR(NOT(ISNUMBER(INDEX(파견수련계획!$AC$4:$AC$803,$AK228))),TODAY()&lt;=INDEX(파견수련계획!$AC$4:$AC$803,$AK228))),"다기관",IF($AF228="","",INDEX(파견수련계획!$T$4:$T$803,$AF228))),IF($AF228="","",INDEX(파견수련계획!$T$4:$T$803,$AF228))))</f>
        <v/>
      </c>
      <c r="Q228" s="10">
        <f>IF($AF228="","",INDEX(파견수련계획!$S$4:$S$803,$AF228))</f>
        <v/>
      </c>
      <c r="R228" s="10">
        <f>IF($AF228="","",INDEX(파견수련계획!$U$4:$U$803,$AF228))</f>
        <v/>
      </c>
      <c r="S228" s="11">
        <f>IF($AF228="","",IF(INDEX(파견수련계획!$H$4:$H$803,$AF228)="","",INDEX(파견수련계획!$H$4:$H$803,$AF228)))</f>
        <v/>
      </c>
      <c r="T228" s="11">
        <f>IF($AF228="","",IF(INDEX(파견수련계획!$I$4:$I$803,$AF228)="","",INDEX(파견수련계획!$I$4:$I$803,$AF228)))</f>
        <v/>
      </c>
      <c r="U228" s="10">
        <f>IF($AF228="","",INDEX(파견수련계획!$X$4:$X$803,$AF228))</f>
        <v/>
      </c>
      <c r="V228" s="17">
        <f>IF($AF228="","",INDEX(파견수련계획!$V$4:$V$803,$AF228))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IF(OR($B228="",TRIM($J228&amp;"")=""),"",SUMPRODUCT((파견수련계획!$Q$4:$Q$803=TRIM($J228&amp;""))*파견수련계획!$W$4:$W$803))</f>
        <v/>
      </c>
      <c r="Y228" s="10">
        <f>IF($B228="","",IF($AG228="","",IF(IF(TRIM($J228&amp;"")="",0,SUMPRODUCT((파견수련계획!$Q$4:$Q$803=TRIM($J228&amp;""))*파견수련계획!$AD$4:$AD$803))&gt;0,$AE228,IF(N($X228)&lt;=0,$AG228,IF($AH228+$AI228=DAY(EOMONTH(요약!$B$3,0)),IF(AND($AH228&gt;=요약!$E$3,$AI228&lt;요약!$E$3),"서울병원",IF(AND($AI228&gt;=요약!$E$3,$AH228&lt;요약!$E$3),"구리병원","⚠15일 판정불가(서울 "&amp;$AH228&amp;"일/구리 "&amp;$AI228&amp;"일)")),IF($AJ228="",$AE228,IF(INDEX(파견수련계획!$T$4:$T$803,$AJ228)="통합수련",INDEX(파견수련계획!$S$4:$S$803,$AJ228),$AE228)))))))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입력",IF(IF(TRIM($J228&amp;"")="",0,SUMPRODUCT((파견수련계획!$Q$4:$Q$803=TRIM($J228&amp;""))*(파견수련계획!$AA$4:$AA$803&lt;&gt;"")))&gt;0,"파견수련계획 입력오류 확인",IF(LEFT($Y228,1)="⚠","서울·구리 15일 판정 불가(양쪽 모두 이상/미만)",IF(IF($AC228="",0,N(INDEX(인턴근무계획!$T$3:$T$402,$AC228)))&gt;0,"인턴계획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IF($B228="","",IFERROR(MATCH($B228,기본자료!$B$2:$B$1001,0),IFERROR(MATCH($B228&amp;"",기본자료!$B$2:$B$1001,0),IFERROR(MATCH(VALUE($B228),기본자료!$B$2:$B$1001,0),""))))</f>
        <v/>
      </c>
      <c r="AC228" s="10">
        <f>IF($B228="","",IFERROR(MATCH($B228,인턴근무계획!$D$3:$D$402,0),IFERROR(MATCH($B228&amp;"",인턴근무계획!$D$3:$D$402,0),IFERROR(MATCH(VALUE($B228),인턴근무계획!$D$3:$D$402,0),""))))</f>
        <v/>
      </c>
      <c r="AD228" s="10">
        <f>IF(OR($AC228="",인턴현황!$G$3=""),"",INDEX(인턴근무계획!$M$3:$R$402,$AC228,인턴현황!$G$3)&amp;"")</f>
        <v/>
      </c>
      <c r="AE228" s="10">
        <f>IF($B228="","",IF($M228&lt;&gt;"",$M228,IF($AF228&lt;&gt;"",IF(LEFT(INDEX(파견수련계획!$R$4:$R$803,$AF228),1)&lt;&gt;"⚠",INDEX(파견수련계획!$R$4:$R$803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파견수련계획!$Y$4:$Y$803,0),IFERROR(MATCH(TRIM($J228&amp;"")&amp;"|파견예정",파견수련계획!$Y$4:$Y$803,0),IFERROR(MATCH(TRIM($J228&amp;"")&amp;"|파견종료",파견수련계획!$Y$4:$Y$803,0),""))))</f>
        <v/>
      </c>
      <c r="AG228" s="10">
        <f>IF($B228="","",IF(AND(IF(OR($AC228="",인턴현황!$K$2=""),"",INDEX(인턴근무계획!$M$3:$R$402,$AC228,인턴현황!$K$2)&amp;"")&lt;&gt;"",LEFT(IF(OR($AC228="",인턴현황!$K$2=""),"",INDEX(인턴근무계획!$M$3:$R$402,$AC228,인턴현황!$K$2)&amp;""),1)&lt;&gt;"⚠"),LEFT(IF(OR($AC228="",인턴현황!$K$2=""),"",INDEX(인턴근무계획!$M$3:$R$402,$AC228,인턴현황!$K$2)&amp;""),FIND(" ",IF(OR($AC228="",인턴현황!$K$2=""),"",INDEX(인턴근무계획!$M$3:$R$402,$AC228,인턴현황!$K$2)&amp;""))-1),$AE228))</f>
        <v/>
      </c>
      <c r="AH228" s="17">
        <f>IF($B228="","",IF(TRIM($J228&amp;"")="",0,SUMPRODUCT((파견수련계획!$Q$4:$Q$803=TRIM($J228&amp;""))*(파견수련계획!$S$4:$S$803="서울병원")*파견수련계획!$W$4:$W$803))+IF($AG228="서울병원",MAX(0,DAY(EOMONTH(요약!$B$3,0))-N($X228)),0))</f>
        <v/>
      </c>
      <c r="AI228" s="17">
        <f>IF($B228="","",IF(TRIM($J228&amp;"")="",0,SUMPRODUCT((파견수련계획!$Q$4:$Q$803=TRIM($J228&amp;""))*(파견수련계획!$S$4:$S$803="구리병원")*파견수련계획!$W$4:$W$803))+IF($AG228="구리병원",MAX(0,DAY(EOMONTH(요약!$B$3,0))-N($X228)),0))</f>
        <v/>
      </c>
      <c r="AJ228" s="10">
        <f>IF(OR($B228="",TRIM($J228&amp;"")=""),"",IFERROR(MATCH(TRIM($J228&amp;"")&amp;"|월",파견수련계획!$Z$4:$Z$803,0),""))</f>
        <v/>
      </c>
      <c r="AK228" s="10">
        <f>IF(OR($B228="",TRIM($J228&amp;"")=""),"",IFERROR(MATCH(TRIM($J228&amp;"")&amp;"|다기관",파견수련계획!$AE$4:$AE$803,0),""))</f>
        <v/>
      </c>
      <c r="AL228" s="10">
        <f>IF($AK228="","","다기관 "&amp;TEXT(INDEX(파견수련계획!$AB$4:$AB$803,$AK228),"yyyy-mm-dd")&amp;"~"&amp;IF(ISNUMBER(INDEX(파견수련계획!$AC$4:$AC$803,$AK228)),TEXT(INDEX(파견수련계획!$AC$4:$AC$803,$AK228),"yyyy-mm-dd"),""))</f>
        <v/>
      </c>
    </row>
    <row r="229">
      <c r="A229" s="10">
        <f>IF(B229="","",ROW()-1)</f>
        <v/>
      </c>
      <c r="B229" s="18" t="n"/>
      <c r="C229" s="10">
        <f>IF($AB229="","",IF(INDEX(기본자료!$C$2:$C$1001,$AB229)="","",INDEX(기본자료!$C$2:$C$1001,$AB229)))</f>
        <v/>
      </c>
      <c r="D229" s="10">
        <f>IF($AB229="","",IF(INDEX(기본자료!$J$2:$J$1001,$AB229)="","",INDEX(기본자료!$J$2:$J$1001,$AB229)))</f>
        <v/>
      </c>
      <c r="E229" s="11">
        <f>IF($AB229="","",IF(INDEX(기본자료!$K$2:$K$1001,$AB229)="","",IF(NOT(ISNUMBER(INDEX(기본자료!$K$2:$K$1001,$AB229))),INDEX(기본자료!$K$2:$K$1001,$AB229),IF(INDEX(기본자료!$K$2:$K$1001,$AB229)&lt;1000000,INDEX(기본자료!$K$2:$K$1001,$AB229),IF(AND(INDEX(기본자료!$K$2:$K$1001,$AB229)&gt;=10000101,INT(MOD(INDEX(기본자료!$K$2:$K$1001,$AB229),10000)/100)&gt;=1,INT(MOD(INDEX(기본자료!$K$2:$K$1001,$AB229),10000)/100)&lt;=12,MOD(INDEX(기본자료!$K$2:$K$1001,$AB229),100)&gt;=1,MOD(INDEX(기본자료!$K$2:$K$1001,$AB229),100)&lt;=31),DATE(INT(INDEX(기본자료!$K$2:$K$1001,$AB229)/10000),INT(MOD(INDEX(기본자료!$K$2:$K$1001,$AB229),10000)/100),MOD(INDEX(기본자료!$K$2:$K$1001,$AB229),100)),INDEX(기본자료!$K$2:$K$1001,$AB229)&amp;"")))))</f>
        <v/>
      </c>
      <c r="F229" s="10">
        <f>IF($AB229="","",IF(INDEX(기본자료!$D$2:$D$1001,$AB229)="","",INDEX(기본자료!$D$2:$D$1001,$AB229)))</f>
        <v/>
      </c>
      <c r="G229" s="10">
        <f>IF($AB229="","",IF(INDEX(기본자료!$E$2:$E$1001,$AB229)="","",INDEX(기본자료!$E$2:$E$1001,$AB229)))</f>
        <v/>
      </c>
      <c r="H229" s="10">
        <f>IF($AB229="","",IF(INDEX(기본자료!$F$2:$F$1001,$AB229)="","",INDEX(기본자료!$F$2:$F$1001,$AB229)))</f>
        <v/>
      </c>
      <c r="I229" s="11">
        <f>IF($AB229="","",IF(INDEX(기본자료!$G$2:$G$1001,$AB229)="","",IF(NOT(ISNUMBER(INDEX(기본자료!$G$2:$G$1001,$AB229))),INDEX(기본자료!$G$2:$G$1001,$AB229),IF(INDEX(기본자료!$G$2:$G$1001,$AB229)&lt;1000000,INDEX(기본자료!$G$2:$G$1001,$AB229),IF(AND(INDEX(기본자료!$G$2:$G$1001,$AB229)&gt;=10000101,INT(MOD(INDEX(기본자료!$G$2:$G$1001,$AB229),10000)/100)&gt;=1,INT(MOD(INDEX(기본자료!$G$2:$G$1001,$AB229),10000)/100)&lt;=12,MOD(INDEX(기본자료!$G$2:$G$1001,$AB229),100)&gt;=1,MOD(INDEX(기본자료!$G$2:$G$1001,$AB229),100)&lt;=31),DATE(INT(INDEX(기본자료!$G$2:$G$1001,$AB229)/10000),INT(MOD(INDEX(기본자료!$G$2:$G$1001,$AB229),10000)/100),MOD(INDEX(기본자료!$G$2:$G$1001,$AB229),100)),INDEX(기본자료!$G$2:$G$1001,$AB229)&amp;"")))))</f>
        <v/>
      </c>
      <c r="J229" s="10">
        <f>IF($AB229="","",IF(INDEX(기본자료!$H$2:$H$1001,$AB229)="","",INDEX(기본자료!$H$2:$H$1001,$AB229)))</f>
        <v/>
      </c>
      <c r="K229" s="10">
        <f>IF($AB229="","",IF(INDEX(기본자료!$I$2:$I$1001,$AB229)="","",INDEX(기본자료!$I$2:$I$1001,$AB229)))</f>
        <v/>
      </c>
      <c r="L229" s="10">
        <f>IF($AB229="","",IF(INDEX(기본자료!$A$2:$A$1001,$AB229)="","",INDEX(기본자료!$A$2:$A$1001,$AB229)))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파견수련계획!$AB$4:$AB$803,$AK229),OR(NOT(ISNUMBER(INDEX(파견수련계획!$AC$4:$AC$803,$AK229))),TODAY()&lt;=INDEX(파견수련계획!$AC$4:$AC$803,$AK229))),"다기관",IF($AF229="","",INDEX(파견수련계획!$T$4:$T$803,$AF229))),IF($AF229="","",INDEX(파견수련계획!$T$4:$T$803,$AF229))))</f>
        <v/>
      </c>
      <c r="Q229" s="10">
        <f>IF($AF229="","",INDEX(파견수련계획!$S$4:$S$803,$AF229))</f>
        <v/>
      </c>
      <c r="R229" s="10">
        <f>IF($AF229="","",INDEX(파견수련계획!$U$4:$U$803,$AF229))</f>
        <v/>
      </c>
      <c r="S229" s="11">
        <f>IF($AF229="","",IF(INDEX(파견수련계획!$H$4:$H$803,$AF229)="","",INDEX(파견수련계획!$H$4:$H$803,$AF229)))</f>
        <v/>
      </c>
      <c r="T229" s="11">
        <f>IF($AF229="","",IF(INDEX(파견수련계획!$I$4:$I$803,$AF229)="","",INDEX(파견수련계획!$I$4:$I$803,$AF229)))</f>
        <v/>
      </c>
      <c r="U229" s="10">
        <f>IF($AF229="","",INDEX(파견수련계획!$X$4:$X$803,$AF229))</f>
        <v/>
      </c>
      <c r="V229" s="17">
        <f>IF($AF229="","",INDEX(파견수련계획!$V$4:$V$803,$AF229))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IF(OR($B229="",TRIM($J229&amp;"")=""),"",SUMPRODUCT((파견수련계획!$Q$4:$Q$803=TRIM($J229&amp;""))*파견수련계획!$W$4:$W$803))</f>
        <v/>
      </c>
      <c r="Y229" s="10">
        <f>IF($B229="","",IF($AG229="","",IF(IF(TRIM($J229&amp;"")="",0,SUMPRODUCT((파견수련계획!$Q$4:$Q$803=TRIM($J229&amp;""))*파견수련계획!$AD$4:$AD$803))&gt;0,$AE229,IF(N($X229)&lt;=0,$AG229,IF($AH229+$AI229=DAY(EOMONTH(요약!$B$3,0)),IF(AND($AH229&gt;=요약!$E$3,$AI229&lt;요약!$E$3),"서울병원",IF(AND($AI229&gt;=요약!$E$3,$AH229&lt;요약!$E$3),"구리병원","⚠15일 판정불가(서울 "&amp;$AH229&amp;"일/구리 "&amp;$AI229&amp;"일)")),IF($AJ229="",$AE229,IF(INDEX(파견수련계획!$T$4:$T$803,$AJ229)="통합수련",INDEX(파견수련계획!$S$4:$S$803,$AJ229),$AE229)))))))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입력",IF(IF(TRIM($J229&amp;"")="",0,SUMPRODUCT((파견수련계획!$Q$4:$Q$803=TRIM($J229&amp;""))*(파견수련계획!$AA$4:$AA$803&lt;&gt;"")))&gt;0,"파견수련계획 입력오류 확인",IF(LEFT($Y229,1)="⚠","서울·구리 15일 판정 불가(양쪽 모두 이상/미만)",IF(IF($AC229="",0,N(INDEX(인턴근무계획!$T$3:$T$402,$AC229)))&gt;0,"인턴계획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IF($B229="","",IFERROR(MATCH($B229,기본자료!$B$2:$B$1001,0),IFERROR(MATCH($B229&amp;"",기본자료!$B$2:$B$1001,0),IFERROR(MATCH(VALUE($B229),기본자료!$B$2:$B$1001,0),""))))</f>
        <v/>
      </c>
      <c r="AC229" s="10">
        <f>IF($B229="","",IFERROR(MATCH($B229,인턴근무계획!$D$3:$D$402,0),IFERROR(MATCH($B229&amp;"",인턴근무계획!$D$3:$D$402,0),IFERROR(MATCH(VALUE($B229),인턴근무계획!$D$3:$D$402,0),""))))</f>
        <v/>
      </c>
      <c r="AD229" s="10">
        <f>IF(OR($AC229="",인턴현황!$G$3=""),"",INDEX(인턴근무계획!$M$3:$R$402,$AC229,인턴현황!$G$3)&amp;"")</f>
        <v/>
      </c>
      <c r="AE229" s="10">
        <f>IF($B229="","",IF($M229&lt;&gt;"",$M229,IF($AF229&lt;&gt;"",IF(LEFT(INDEX(파견수련계획!$R$4:$R$803,$AF229),1)&lt;&gt;"⚠",INDEX(파견수련계획!$R$4:$R$803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파견수련계획!$Y$4:$Y$803,0),IFERROR(MATCH(TRIM($J229&amp;"")&amp;"|파견예정",파견수련계획!$Y$4:$Y$803,0),IFERROR(MATCH(TRIM($J229&amp;"")&amp;"|파견종료",파견수련계획!$Y$4:$Y$803,0),""))))</f>
        <v/>
      </c>
      <c r="AG229" s="10">
        <f>IF($B229="","",IF(AND(IF(OR($AC229="",인턴현황!$K$2=""),"",INDEX(인턴근무계획!$M$3:$R$402,$AC229,인턴현황!$K$2)&amp;"")&lt;&gt;"",LEFT(IF(OR($AC229="",인턴현황!$K$2=""),"",INDEX(인턴근무계획!$M$3:$R$402,$AC229,인턴현황!$K$2)&amp;""),1)&lt;&gt;"⚠"),LEFT(IF(OR($AC229="",인턴현황!$K$2=""),"",INDEX(인턴근무계획!$M$3:$R$402,$AC229,인턴현황!$K$2)&amp;""),FIND(" ",IF(OR($AC229="",인턴현황!$K$2=""),"",INDEX(인턴근무계획!$M$3:$R$402,$AC229,인턴현황!$K$2)&amp;""))-1),$AE229))</f>
        <v/>
      </c>
      <c r="AH229" s="17">
        <f>IF($B229="","",IF(TRIM($J229&amp;"")="",0,SUMPRODUCT((파견수련계획!$Q$4:$Q$803=TRIM($J229&amp;""))*(파견수련계획!$S$4:$S$803="서울병원")*파견수련계획!$W$4:$W$803))+IF($AG229="서울병원",MAX(0,DAY(EOMONTH(요약!$B$3,0))-N($X229)),0))</f>
        <v/>
      </c>
      <c r="AI229" s="17">
        <f>IF($B229="","",IF(TRIM($J229&amp;"")="",0,SUMPRODUCT((파견수련계획!$Q$4:$Q$803=TRIM($J229&amp;""))*(파견수련계획!$S$4:$S$803="구리병원")*파견수련계획!$W$4:$W$803))+IF($AG229="구리병원",MAX(0,DAY(EOMONTH(요약!$B$3,0))-N($X229)),0))</f>
        <v/>
      </c>
      <c r="AJ229" s="10">
        <f>IF(OR($B229="",TRIM($J229&amp;"")=""),"",IFERROR(MATCH(TRIM($J229&amp;"")&amp;"|월",파견수련계획!$Z$4:$Z$803,0),""))</f>
        <v/>
      </c>
      <c r="AK229" s="10">
        <f>IF(OR($B229="",TRIM($J229&amp;"")=""),"",IFERROR(MATCH(TRIM($J229&amp;"")&amp;"|다기관",파견수련계획!$AE$4:$AE$803,0),""))</f>
        <v/>
      </c>
      <c r="AL229" s="10">
        <f>IF($AK229="","","다기관 "&amp;TEXT(INDEX(파견수련계획!$AB$4:$AB$803,$AK229),"yyyy-mm-dd")&amp;"~"&amp;IF(ISNUMBER(INDEX(파견수련계획!$AC$4:$AC$803,$AK229)),TEXT(INDEX(파견수련계획!$AC$4:$AC$803,$AK229),"yyyy-mm-dd"),""))</f>
        <v/>
      </c>
    </row>
    <row r="230">
      <c r="A230" s="10">
        <f>IF(B230="","",ROW()-1)</f>
        <v/>
      </c>
      <c r="B230" s="18" t="n"/>
      <c r="C230" s="10">
        <f>IF($AB230="","",IF(INDEX(기본자료!$C$2:$C$1001,$AB230)="","",INDEX(기본자료!$C$2:$C$1001,$AB230)))</f>
        <v/>
      </c>
      <c r="D230" s="10">
        <f>IF($AB230="","",IF(INDEX(기본자료!$J$2:$J$1001,$AB230)="","",INDEX(기본자료!$J$2:$J$1001,$AB230)))</f>
        <v/>
      </c>
      <c r="E230" s="11">
        <f>IF($AB230="","",IF(INDEX(기본자료!$K$2:$K$1001,$AB230)="","",IF(NOT(ISNUMBER(INDEX(기본자료!$K$2:$K$1001,$AB230))),INDEX(기본자료!$K$2:$K$1001,$AB230),IF(INDEX(기본자료!$K$2:$K$1001,$AB230)&lt;1000000,INDEX(기본자료!$K$2:$K$1001,$AB230),IF(AND(INDEX(기본자료!$K$2:$K$1001,$AB230)&gt;=10000101,INT(MOD(INDEX(기본자료!$K$2:$K$1001,$AB230),10000)/100)&gt;=1,INT(MOD(INDEX(기본자료!$K$2:$K$1001,$AB230),10000)/100)&lt;=12,MOD(INDEX(기본자료!$K$2:$K$1001,$AB230),100)&gt;=1,MOD(INDEX(기본자료!$K$2:$K$1001,$AB230),100)&lt;=31),DATE(INT(INDEX(기본자료!$K$2:$K$1001,$AB230)/10000),INT(MOD(INDEX(기본자료!$K$2:$K$1001,$AB230),10000)/100),MOD(INDEX(기본자료!$K$2:$K$1001,$AB230),100)),INDEX(기본자료!$K$2:$K$1001,$AB230)&amp;"")))))</f>
        <v/>
      </c>
      <c r="F230" s="10">
        <f>IF($AB230="","",IF(INDEX(기본자료!$D$2:$D$1001,$AB230)="","",INDEX(기본자료!$D$2:$D$1001,$AB230)))</f>
        <v/>
      </c>
      <c r="G230" s="10">
        <f>IF($AB230="","",IF(INDEX(기본자료!$E$2:$E$1001,$AB230)="","",INDEX(기본자료!$E$2:$E$1001,$AB230)))</f>
        <v/>
      </c>
      <c r="H230" s="10">
        <f>IF($AB230="","",IF(INDEX(기본자료!$F$2:$F$1001,$AB230)="","",INDEX(기본자료!$F$2:$F$1001,$AB230)))</f>
        <v/>
      </c>
      <c r="I230" s="11">
        <f>IF($AB230="","",IF(INDEX(기본자료!$G$2:$G$1001,$AB230)="","",IF(NOT(ISNUMBER(INDEX(기본자료!$G$2:$G$1001,$AB230))),INDEX(기본자료!$G$2:$G$1001,$AB230),IF(INDEX(기본자료!$G$2:$G$1001,$AB230)&lt;1000000,INDEX(기본자료!$G$2:$G$1001,$AB230),IF(AND(INDEX(기본자료!$G$2:$G$1001,$AB230)&gt;=10000101,INT(MOD(INDEX(기본자료!$G$2:$G$1001,$AB230),10000)/100)&gt;=1,INT(MOD(INDEX(기본자료!$G$2:$G$1001,$AB230),10000)/100)&lt;=12,MOD(INDEX(기본자료!$G$2:$G$1001,$AB230),100)&gt;=1,MOD(INDEX(기본자료!$G$2:$G$1001,$AB230),100)&lt;=31),DATE(INT(INDEX(기본자료!$G$2:$G$1001,$AB230)/10000),INT(MOD(INDEX(기본자료!$G$2:$G$1001,$AB230),10000)/100),MOD(INDEX(기본자료!$G$2:$G$1001,$AB230),100)),INDEX(기본자료!$G$2:$G$1001,$AB230)&amp;"")))))</f>
        <v/>
      </c>
      <c r="J230" s="10">
        <f>IF($AB230="","",IF(INDEX(기본자료!$H$2:$H$1001,$AB230)="","",INDEX(기본자료!$H$2:$H$1001,$AB230)))</f>
        <v/>
      </c>
      <c r="K230" s="10">
        <f>IF($AB230="","",IF(INDEX(기본자료!$I$2:$I$1001,$AB230)="","",INDEX(기본자료!$I$2:$I$1001,$AB230)))</f>
        <v/>
      </c>
      <c r="L230" s="10">
        <f>IF($AB230="","",IF(INDEX(기본자료!$A$2:$A$1001,$AB230)="","",INDEX(기본자료!$A$2:$A$1001,$AB230)))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파견수련계획!$AB$4:$AB$803,$AK230),OR(NOT(ISNUMBER(INDEX(파견수련계획!$AC$4:$AC$803,$AK230))),TODAY()&lt;=INDEX(파견수련계획!$AC$4:$AC$803,$AK230))),"다기관",IF($AF230="","",INDEX(파견수련계획!$T$4:$T$803,$AF230))),IF($AF230="","",INDEX(파견수련계획!$T$4:$T$803,$AF230))))</f>
        <v/>
      </c>
      <c r="Q230" s="10">
        <f>IF($AF230="","",INDEX(파견수련계획!$S$4:$S$803,$AF230))</f>
        <v/>
      </c>
      <c r="R230" s="10">
        <f>IF($AF230="","",INDEX(파견수련계획!$U$4:$U$803,$AF230))</f>
        <v/>
      </c>
      <c r="S230" s="11">
        <f>IF($AF230="","",IF(INDEX(파견수련계획!$H$4:$H$803,$AF230)="","",INDEX(파견수련계획!$H$4:$H$803,$AF230)))</f>
        <v/>
      </c>
      <c r="T230" s="11">
        <f>IF($AF230="","",IF(INDEX(파견수련계획!$I$4:$I$803,$AF230)="","",INDEX(파견수련계획!$I$4:$I$803,$AF230)))</f>
        <v/>
      </c>
      <c r="U230" s="10">
        <f>IF($AF230="","",INDEX(파견수련계획!$X$4:$X$803,$AF230))</f>
        <v/>
      </c>
      <c r="V230" s="17">
        <f>IF($AF230="","",INDEX(파견수련계획!$V$4:$V$803,$AF230))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IF(OR($B230="",TRIM($J230&amp;"")=""),"",SUMPRODUCT((파견수련계획!$Q$4:$Q$803=TRIM($J230&amp;""))*파견수련계획!$W$4:$W$803))</f>
        <v/>
      </c>
      <c r="Y230" s="10">
        <f>IF($B230="","",IF($AG230="","",IF(IF(TRIM($J230&amp;"")="",0,SUMPRODUCT((파견수련계획!$Q$4:$Q$803=TRIM($J230&amp;""))*파견수련계획!$AD$4:$AD$803))&gt;0,$AE230,IF(N($X230)&lt;=0,$AG230,IF($AH230+$AI230=DAY(EOMONTH(요약!$B$3,0)),IF(AND($AH230&gt;=요약!$E$3,$AI230&lt;요약!$E$3),"서울병원",IF(AND($AI230&gt;=요약!$E$3,$AH230&lt;요약!$E$3),"구리병원","⚠15일 판정불가(서울 "&amp;$AH230&amp;"일/구리 "&amp;$AI230&amp;"일)")),IF($AJ230="",$AE230,IF(INDEX(파견수련계획!$T$4:$T$803,$AJ230)="통합수련",INDEX(파견수련계획!$S$4:$S$803,$AJ230),$AE230)))))))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입력",IF(IF(TRIM($J230&amp;"")="",0,SUMPRODUCT((파견수련계획!$Q$4:$Q$803=TRIM($J230&amp;""))*(파견수련계획!$AA$4:$AA$803&lt;&gt;"")))&gt;0,"파견수련계획 입력오류 확인",IF(LEFT($Y230,1)="⚠","서울·구리 15일 판정 불가(양쪽 모두 이상/미만)",IF(IF($AC230="",0,N(INDEX(인턴근무계획!$T$3:$T$402,$AC230)))&gt;0,"인턴계획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IF($B230="","",IFERROR(MATCH($B230,기본자료!$B$2:$B$1001,0),IFERROR(MATCH($B230&amp;"",기본자료!$B$2:$B$1001,0),IFERROR(MATCH(VALUE($B230),기본자료!$B$2:$B$1001,0),""))))</f>
        <v/>
      </c>
      <c r="AC230" s="10">
        <f>IF($B230="","",IFERROR(MATCH($B230,인턴근무계획!$D$3:$D$402,0),IFERROR(MATCH($B230&amp;"",인턴근무계획!$D$3:$D$402,0),IFERROR(MATCH(VALUE($B230),인턴근무계획!$D$3:$D$402,0),""))))</f>
        <v/>
      </c>
      <c r="AD230" s="10">
        <f>IF(OR($AC230="",인턴현황!$G$3=""),"",INDEX(인턴근무계획!$M$3:$R$402,$AC230,인턴현황!$G$3)&amp;"")</f>
        <v/>
      </c>
      <c r="AE230" s="10">
        <f>IF($B230="","",IF($M230&lt;&gt;"",$M230,IF($AF230&lt;&gt;"",IF(LEFT(INDEX(파견수련계획!$R$4:$R$803,$AF230),1)&lt;&gt;"⚠",INDEX(파견수련계획!$R$4:$R$803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파견수련계획!$Y$4:$Y$803,0),IFERROR(MATCH(TRIM($J230&amp;"")&amp;"|파견예정",파견수련계획!$Y$4:$Y$803,0),IFERROR(MATCH(TRIM($J230&amp;"")&amp;"|파견종료",파견수련계획!$Y$4:$Y$803,0),""))))</f>
        <v/>
      </c>
      <c r="AG230" s="10">
        <f>IF($B230="","",IF(AND(IF(OR($AC230="",인턴현황!$K$2=""),"",INDEX(인턴근무계획!$M$3:$R$402,$AC230,인턴현황!$K$2)&amp;"")&lt;&gt;"",LEFT(IF(OR($AC230="",인턴현황!$K$2=""),"",INDEX(인턴근무계획!$M$3:$R$402,$AC230,인턴현황!$K$2)&amp;""),1)&lt;&gt;"⚠"),LEFT(IF(OR($AC230="",인턴현황!$K$2=""),"",INDEX(인턴근무계획!$M$3:$R$402,$AC230,인턴현황!$K$2)&amp;""),FIND(" ",IF(OR($AC230="",인턴현황!$K$2=""),"",INDEX(인턴근무계획!$M$3:$R$402,$AC230,인턴현황!$K$2)&amp;""))-1),$AE230))</f>
        <v/>
      </c>
      <c r="AH230" s="17">
        <f>IF($B230="","",IF(TRIM($J230&amp;"")="",0,SUMPRODUCT((파견수련계획!$Q$4:$Q$803=TRIM($J230&amp;""))*(파견수련계획!$S$4:$S$803="서울병원")*파견수련계획!$W$4:$W$803))+IF($AG230="서울병원",MAX(0,DAY(EOMONTH(요약!$B$3,0))-N($X230)),0))</f>
        <v/>
      </c>
      <c r="AI230" s="17">
        <f>IF($B230="","",IF(TRIM($J230&amp;"")="",0,SUMPRODUCT((파견수련계획!$Q$4:$Q$803=TRIM($J230&amp;""))*(파견수련계획!$S$4:$S$803="구리병원")*파견수련계획!$W$4:$W$803))+IF($AG230="구리병원",MAX(0,DAY(EOMONTH(요약!$B$3,0))-N($X230)),0))</f>
        <v/>
      </c>
      <c r="AJ230" s="10">
        <f>IF(OR($B230="",TRIM($J230&amp;"")=""),"",IFERROR(MATCH(TRIM($J230&amp;"")&amp;"|월",파견수련계획!$Z$4:$Z$803,0),""))</f>
        <v/>
      </c>
      <c r="AK230" s="10">
        <f>IF(OR($B230="",TRIM($J230&amp;"")=""),"",IFERROR(MATCH(TRIM($J230&amp;"")&amp;"|다기관",파견수련계획!$AE$4:$AE$803,0),""))</f>
        <v/>
      </c>
      <c r="AL230" s="10">
        <f>IF($AK230="","","다기관 "&amp;TEXT(INDEX(파견수련계획!$AB$4:$AB$803,$AK230),"yyyy-mm-dd")&amp;"~"&amp;IF(ISNUMBER(INDEX(파견수련계획!$AC$4:$AC$803,$AK230)),TEXT(INDEX(파견수련계획!$AC$4:$AC$803,$AK230),"yyyy-mm-dd"),""))</f>
        <v/>
      </c>
    </row>
    <row r="231">
      <c r="A231" s="10">
        <f>IF(B231="","",ROW()-1)</f>
        <v/>
      </c>
      <c r="B231" s="18" t="n"/>
      <c r="C231" s="10">
        <f>IF($AB231="","",IF(INDEX(기본자료!$C$2:$C$1001,$AB231)="","",INDEX(기본자료!$C$2:$C$1001,$AB231)))</f>
        <v/>
      </c>
      <c r="D231" s="10">
        <f>IF($AB231="","",IF(INDEX(기본자료!$J$2:$J$1001,$AB231)="","",INDEX(기본자료!$J$2:$J$1001,$AB231)))</f>
        <v/>
      </c>
      <c r="E231" s="11">
        <f>IF($AB231="","",IF(INDEX(기본자료!$K$2:$K$1001,$AB231)="","",IF(NOT(ISNUMBER(INDEX(기본자료!$K$2:$K$1001,$AB231))),INDEX(기본자료!$K$2:$K$1001,$AB231),IF(INDEX(기본자료!$K$2:$K$1001,$AB231)&lt;1000000,INDEX(기본자료!$K$2:$K$1001,$AB231),IF(AND(INDEX(기본자료!$K$2:$K$1001,$AB231)&gt;=10000101,INT(MOD(INDEX(기본자료!$K$2:$K$1001,$AB231),10000)/100)&gt;=1,INT(MOD(INDEX(기본자료!$K$2:$K$1001,$AB231),10000)/100)&lt;=12,MOD(INDEX(기본자료!$K$2:$K$1001,$AB231),100)&gt;=1,MOD(INDEX(기본자료!$K$2:$K$1001,$AB231),100)&lt;=31),DATE(INT(INDEX(기본자료!$K$2:$K$1001,$AB231)/10000),INT(MOD(INDEX(기본자료!$K$2:$K$1001,$AB231),10000)/100),MOD(INDEX(기본자료!$K$2:$K$1001,$AB231),100)),INDEX(기본자료!$K$2:$K$1001,$AB231)&amp;"")))))</f>
        <v/>
      </c>
      <c r="F231" s="10">
        <f>IF($AB231="","",IF(INDEX(기본자료!$D$2:$D$1001,$AB231)="","",INDEX(기본자료!$D$2:$D$1001,$AB231)))</f>
        <v/>
      </c>
      <c r="G231" s="10">
        <f>IF($AB231="","",IF(INDEX(기본자료!$E$2:$E$1001,$AB231)="","",INDEX(기본자료!$E$2:$E$1001,$AB231)))</f>
        <v/>
      </c>
      <c r="H231" s="10">
        <f>IF($AB231="","",IF(INDEX(기본자료!$F$2:$F$1001,$AB231)="","",INDEX(기본자료!$F$2:$F$1001,$AB231)))</f>
        <v/>
      </c>
      <c r="I231" s="11">
        <f>IF($AB231="","",IF(INDEX(기본자료!$G$2:$G$1001,$AB231)="","",IF(NOT(ISNUMBER(INDEX(기본자료!$G$2:$G$1001,$AB231))),INDEX(기본자료!$G$2:$G$1001,$AB231),IF(INDEX(기본자료!$G$2:$G$1001,$AB231)&lt;1000000,INDEX(기본자료!$G$2:$G$1001,$AB231),IF(AND(INDEX(기본자료!$G$2:$G$1001,$AB231)&gt;=10000101,INT(MOD(INDEX(기본자료!$G$2:$G$1001,$AB231),10000)/100)&gt;=1,INT(MOD(INDEX(기본자료!$G$2:$G$1001,$AB231),10000)/100)&lt;=12,MOD(INDEX(기본자료!$G$2:$G$1001,$AB231),100)&gt;=1,MOD(INDEX(기본자료!$G$2:$G$1001,$AB231),100)&lt;=31),DATE(INT(INDEX(기본자료!$G$2:$G$1001,$AB231)/10000),INT(MOD(INDEX(기본자료!$G$2:$G$1001,$AB231),10000)/100),MOD(INDEX(기본자료!$G$2:$G$1001,$AB231),100)),INDEX(기본자료!$G$2:$G$1001,$AB231)&amp;"")))))</f>
        <v/>
      </c>
      <c r="J231" s="10">
        <f>IF($AB231="","",IF(INDEX(기본자료!$H$2:$H$1001,$AB231)="","",INDEX(기본자료!$H$2:$H$1001,$AB231)))</f>
        <v/>
      </c>
      <c r="K231" s="10">
        <f>IF($AB231="","",IF(INDEX(기본자료!$I$2:$I$1001,$AB231)="","",INDEX(기본자료!$I$2:$I$1001,$AB231)))</f>
        <v/>
      </c>
      <c r="L231" s="10">
        <f>IF($AB231="","",IF(INDEX(기본자료!$A$2:$A$1001,$AB231)="","",INDEX(기본자료!$A$2:$A$1001,$AB231)))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파견수련계획!$AB$4:$AB$803,$AK231),OR(NOT(ISNUMBER(INDEX(파견수련계획!$AC$4:$AC$803,$AK231))),TODAY()&lt;=INDEX(파견수련계획!$AC$4:$AC$803,$AK231))),"다기관",IF($AF231="","",INDEX(파견수련계획!$T$4:$T$803,$AF231))),IF($AF231="","",INDEX(파견수련계획!$T$4:$T$803,$AF231))))</f>
        <v/>
      </c>
      <c r="Q231" s="10">
        <f>IF($AF231="","",INDEX(파견수련계획!$S$4:$S$803,$AF231))</f>
        <v/>
      </c>
      <c r="R231" s="10">
        <f>IF($AF231="","",INDEX(파견수련계획!$U$4:$U$803,$AF231))</f>
        <v/>
      </c>
      <c r="S231" s="11">
        <f>IF($AF231="","",IF(INDEX(파견수련계획!$H$4:$H$803,$AF231)="","",INDEX(파견수련계획!$H$4:$H$803,$AF231)))</f>
        <v/>
      </c>
      <c r="T231" s="11">
        <f>IF($AF231="","",IF(INDEX(파견수련계획!$I$4:$I$803,$AF231)="","",INDEX(파견수련계획!$I$4:$I$803,$AF231)))</f>
        <v/>
      </c>
      <c r="U231" s="10">
        <f>IF($AF231="","",INDEX(파견수련계획!$X$4:$X$803,$AF231))</f>
        <v/>
      </c>
      <c r="V231" s="17">
        <f>IF($AF231="","",INDEX(파견수련계획!$V$4:$V$803,$AF231))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IF(OR($B231="",TRIM($J231&amp;"")=""),"",SUMPRODUCT((파견수련계획!$Q$4:$Q$803=TRIM($J231&amp;""))*파견수련계획!$W$4:$W$803))</f>
        <v/>
      </c>
      <c r="Y231" s="10">
        <f>IF($B231="","",IF($AG231="","",IF(IF(TRIM($J231&amp;"")="",0,SUMPRODUCT((파견수련계획!$Q$4:$Q$803=TRIM($J231&amp;""))*파견수련계획!$AD$4:$AD$803))&gt;0,$AE231,IF(N($X231)&lt;=0,$AG231,IF($AH231+$AI231=DAY(EOMONTH(요약!$B$3,0)),IF(AND($AH231&gt;=요약!$E$3,$AI231&lt;요약!$E$3),"서울병원",IF(AND($AI231&gt;=요약!$E$3,$AH231&lt;요약!$E$3),"구리병원","⚠15일 판정불가(서울 "&amp;$AH231&amp;"일/구리 "&amp;$AI231&amp;"일)")),IF($AJ231="",$AE231,IF(INDEX(파견수련계획!$T$4:$T$803,$AJ231)="통합수련",INDEX(파견수련계획!$S$4:$S$803,$AJ231),$AE231)))))))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입력",IF(IF(TRIM($J231&amp;"")="",0,SUMPRODUCT((파견수련계획!$Q$4:$Q$803=TRIM($J231&amp;""))*(파견수련계획!$AA$4:$AA$803&lt;&gt;"")))&gt;0,"파견수련계획 입력오류 확인",IF(LEFT($Y231,1)="⚠","서울·구리 15일 판정 불가(양쪽 모두 이상/미만)",IF(IF($AC231="",0,N(INDEX(인턴근무계획!$T$3:$T$402,$AC231)))&gt;0,"인턴계획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IF($B231="","",IFERROR(MATCH($B231,기본자료!$B$2:$B$1001,0),IFERROR(MATCH($B231&amp;"",기본자료!$B$2:$B$1001,0),IFERROR(MATCH(VALUE($B231),기본자료!$B$2:$B$1001,0),""))))</f>
        <v/>
      </c>
      <c r="AC231" s="10">
        <f>IF($B231="","",IFERROR(MATCH($B231,인턴근무계획!$D$3:$D$402,0),IFERROR(MATCH($B231&amp;"",인턴근무계획!$D$3:$D$402,0),IFERROR(MATCH(VALUE($B231),인턴근무계획!$D$3:$D$402,0),""))))</f>
        <v/>
      </c>
      <c r="AD231" s="10">
        <f>IF(OR($AC231="",인턴현황!$G$3=""),"",INDEX(인턴근무계획!$M$3:$R$402,$AC231,인턴현황!$G$3)&amp;"")</f>
        <v/>
      </c>
      <c r="AE231" s="10">
        <f>IF($B231="","",IF($M231&lt;&gt;"",$M231,IF($AF231&lt;&gt;"",IF(LEFT(INDEX(파견수련계획!$R$4:$R$803,$AF231),1)&lt;&gt;"⚠",INDEX(파견수련계획!$R$4:$R$803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파견수련계획!$Y$4:$Y$803,0),IFERROR(MATCH(TRIM($J231&amp;"")&amp;"|파견예정",파견수련계획!$Y$4:$Y$803,0),IFERROR(MATCH(TRIM($J231&amp;"")&amp;"|파견종료",파견수련계획!$Y$4:$Y$803,0),""))))</f>
        <v/>
      </c>
      <c r="AG231" s="10">
        <f>IF($B231="","",IF(AND(IF(OR($AC231="",인턴현황!$K$2=""),"",INDEX(인턴근무계획!$M$3:$R$402,$AC231,인턴현황!$K$2)&amp;"")&lt;&gt;"",LEFT(IF(OR($AC231="",인턴현황!$K$2=""),"",INDEX(인턴근무계획!$M$3:$R$402,$AC231,인턴현황!$K$2)&amp;""),1)&lt;&gt;"⚠"),LEFT(IF(OR($AC231="",인턴현황!$K$2=""),"",INDEX(인턴근무계획!$M$3:$R$402,$AC231,인턴현황!$K$2)&amp;""),FIND(" ",IF(OR($AC231="",인턴현황!$K$2=""),"",INDEX(인턴근무계획!$M$3:$R$402,$AC231,인턴현황!$K$2)&amp;""))-1),$AE231))</f>
        <v/>
      </c>
      <c r="AH231" s="17">
        <f>IF($B231="","",IF(TRIM($J231&amp;"")="",0,SUMPRODUCT((파견수련계획!$Q$4:$Q$803=TRIM($J231&amp;""))*(파견수련계획!$S$4:$S$803="서울병원")*파견수련계획!$W$4:$W$803))+IF($AG231="서울병원",MAX(0,DAY(EOMONTH(요약!$B$3,0))-N($X231)),0))</f>
        <v/>
      </c>
      <c r="AI231" s="17">
        <f>IF($B231="","",IF(TRIM($J231&amp;"")="",0,SUMPRODUCT((파견수련계획!$Q$4:$Q$803=TRIM($J231&amp;""))*(파견수련계획!$S$4:$S$803="구리병원")*파견수련계획!$W$4:$W$803))+IF($AG231="구리병원",MAX(0,DAY(EOMONTH(요약!$B$3,0))-N($X231)),0))</f>
        <v/>
      </c>
      <c r="AJ231" s="10">
        <f>IF(OR($B231="",TRIM($J231&amp;"")=""),"",IFERROR(MATCH(TRIM($J231&amp;"")&amp;"|월",파견수련계획!$Z$4:$Z$803,0),""))</f>
        <v/>
      </c>
      <c r="AK231" s="10">
        <f>IF(OR($B231="",TRIM($J231&amp;"")=""),"",IFERROR(MATCH(TRIM($J231&amp;"")&amp;"|다기관",파견수련계획!$AE$4:$AE$803,0),""))</f>
        <v/>
      </c>
      <c r="AL231" s="10">
        <f>IF($AK231="","","다기관 "&amp;TEXT(INDEX(파견수련계획!$AB$4:$AB$803,$AK231),"yyyy-mm-dd")&amp;"~"&amp;IF(ISNUMBER(INDEX(파견수련계획!$AC$4:$AC$803,$AK231)),TEXT(INDEX(파견수련계획!$AC$4:$AC$803,$AK231),"yyyy-mm-dd"),""))</f>
        <v/>
      </c>
    </row>
    <row r="232">
      <c r="A232" s="10">
        <f>IF(B232="","",ROW()-1)</f>
        <v/>
      </c>
      <c r="B232" s="18" t="n"/>
      <c r="C232" s="10">
        <f>IF($AB232="","",IF(INDEX(기본자료!$C$2:$C$1001,$AB232)="","",INDEX(기본자료!$C$2:$C$1001,$AB232)))</f>
        <v/>
      </c>
      <c r="D232" s="10">
        <f>IF($AB232="","",IF(INDEX(기본자료!$J$2:$J$1001,$AB232)="","",INDEX(기본자료!$J$2:$J$1001,$AB232)))</f>
        <v/>
      </c>
      <c r="E232" s="11">
        <f>IF($AB232="","",IF(INDEX(기본자료!$K$2:$K$1001,$AB232)="","",IF(NOT(ISNUMBER(INDEX(기본자료!$K$2:$K$1001,$AB232))),INDEX(기본자료!$K$2:$K$1001,$AB232),IF(INDEX(기본자료!$K$2:$K$1001,$AB232)&lt;1000000,INDEX(기본자료!$K$2:$K$1001,$AB232),IF(AND(INDEX(기본자료!$K$2:$K$1001,$AB232)&gt;=10000101,INT(MOD(INDEX(기본자료!$K$2:$K$1001,$AB232),10000)/100)&gt;=1,INT(MOD(INDEX(기본자료!$K$2:$K$1001,$AB232),10000)/100)&lt;=12,MOD(INDEX(기본자료!$K$2:$K$1001,$AB232),100)&gt;=1,MOD(INDEX(기본자료!$K$2:$K$1001,$AB232),100)&lt;=31),DATE(INT(INDEX(기본자료!$K$2:$K$1001,$AB232)/10000),INT(MOD(INDEX(기본자료!$K$2:$K$1001,$AB232),10000)/100),MOD(INDEX(기본자료!$K$2:$K$1001,$AB232),100)),INDEX(기본자료!$K$2:$K$1001,$AB232)&amp;"")))))</f>
        <v/>
      </c>
      <c r="F232" s="10">
        <f>IF($AB232="","",IF(INDEX(기본자료!$D$2:$D$1001,$AB232)="","",INDEX(기본자료!$D$2:$D$1001,$AB232)))</f>
        <v/>
      </c>
      <c r="G232" s="10">
        <f>IF($AB232="","",IF(INDEX(기본자료!$E$2:$E$1001,$AB232)="","",INDEX(기본자료!$E$2:$E$1001,$AB232)))</f>
        <v/>
      </c>
      <c r="H232" s="10">
        <f>IF($AB232="","",IF(INDEX(기본자료!$F$2:$F$1001,$AB232)="","",INDEX(기본자료!$F$2:$F$1001,$AB232)))</f>
        <v/>
      </c>
      <c r="I232" s="11">
        <f>IF($AB232="","",IF(INDEX(기본자료!$G$2:$G$1001,$AB232)="","",IF(NOT(ISNUMBER(INDEX(기본자료!$G$2:$G$1001,$AB232))),INDEX(기본자료!$G$2:$G$1001,$AB232),IF(INDEX(기본자료!$G$2:$G$1001,$AB232)&lt;1000000,INDEX(기본자료!$G$2:$G$1001,$AB232),IF(AND(INDEX(기본자료!$G$2:$G$1001,$AB232)&gt;=10000101,INT(MOD(INDEX(기본자료!$G$2:$G$1001,$AB232),10000)/100)&gt;=1,INT(MOD(INDEX(기본자료!$G$2:$G$1001,$AB232),10000)/100)&lt;=12,MOD(INDEX(기본자료!$G$2:$G$1001,$AB232),100)&gt;=1,MOD(INDEX(기본자료!$G$2:$G$1001,$AB232),100)&lt;=31),DATE(INT(INDEX(기본자료!$G$2:$G$1001,$AB232)/10000),INT(MOD(INDEX(기본자료!$G$2:$G$1001,$AB232),10000)/100),MOD(INDEX(기본자료!$G$2:$G$1001,$AB232),100)),INDEX(기본자료!$G$2:$G$1001,$AB232)&amp;"")))))</f>
        <v/>
      </c>
      <c r="J232" s="10">
        <f>IF($AB232="","",IF(INDEX(기본자료!$H$2:$H$1001,$AB232)="","",INDEX(기본자료!$H$2:$H$1001,$AB232)))</f>
        <v/>
      </c>
      <c r="K232" s="10">
        <f>IF($AB232="","",IF(INDEX(기본자료!$I$2:$I$1001,$AB232)="","",INDEX(기본자료!$I$2:$I$1001,$AB232)))</f>
        <v/>
      </c>
      <c r="L232" s="10">
        <f>IF($AB232="","",IF(INDEX(기본자료!$A$2:$A$1001,$AB232)="","",INDEX(기본자료!$A$2:$A$1001,$AB232)))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파견수련계획!$AB$4:$AB$803,$AK232),OR(NOT(ISNUMBER(INDEX(파견수련계획!$AC$4:$AC$803,$AK232))),TODAY()&lt;=INDEX(파견수련계획!$AC$4:$AC$803,$AK232))),"다기관",IF($AF232="","",INDEX(파견수련계획!$T$4:$T$803,$AF232))),IF($AF232="","",INDEX(파견수련계획!$T$4:$T$803,$AF232))))</f>
        <v/>
      </c>
      <c r="Q232" s="10">
        <f>IF($AF232="","",INDEX(파견수련계획!$S$4:$S$803,$AF232))</f>
        <v/>
      </c>
      <c r="R232" s="10">
        <f>IF($AF232="","",INDEX(파견수련계획!$U$4:$U$803,$AF232))</f>
        <v/>
      </c>
      <c r="S232" s="11">
        <f>IF($AF232="","",IF(INDEX(파견수련계획!$H$4:$H$803,$AF232)="","",INDEX(파견수련계획!$H$4:$H$803,$AF232)))</f>
        <v/>
      </c>
      <c r="T232" s="11">
        <f>IF($AF232="","",IF(INDEX(파견수련계획!$I$4:$I$803,$AF232)="","",INDEX(파견수련계획!$I$4:$I$803,$AF232)))</f>
        <v/>
      </c>
      <c r="U232" s="10">
        <f>IF($AF232="","",INDEX(파견수련계획!$X$4:$X$803,$AF232))</f>
        <v/>
      </c>
      <c r="V232" s="17">
        <f>IF($AF232="","",INDEX(파견수련계획!$V$4:$V$803,$AF232))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IF(OR($B232="",TRIM($J232&amp;"")=""),"",SUMPRODUCT((파견수련계획!$Q$4:$Q$803=TRIM($J232&amp;""))*파견수련계획!$W$4:$W$803))</f>
        <v/>
      </c>
      <c r="Y232" s="10">
        <f>IF($B232="","",IF($AG232="","",IF(IF(TRIM($J232&amp;"")="",0,SUMPRODUCT((파견수련계획!$Q$4:$Q$803=TRIM($J232&amp;""))*파견수련계획!$AD$4:$AD$803))&gt;0,$AE232,IF(N($X232)&lt;=0,$AG232,IF($AH232+$AI232=DAY(EOMONTH(요약!$B$3,0)),IF(AND($AH232&gt;=요약!$E$3,$AI232&lt;요약!$E$3),"서울병원",IF(AND($AI232&gt;=요약!$E$3,$AH232&lt;요약!$E$3),"구리병원","⚠15일 판정불가(서울 "&amp;$AH232&amp;"일/구리 "&amp;$AI232&amp;"일)")),IF($AJ232="",$AE232,IF(INDEX(파견수련계획!$T$4:$T$803,$AJ232)="통합수련",INDEX(파견수련계획!$S$4:$S$803,$AJ232),$AE232)))))))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입력",IF(IF(TRIM($J232&amp;"")="",0,SUMPRODUCT((파견수련계획!$Q$4:$Q$803=TRIM($J232&amp;""))*(파견수련계획!$AA$4:$AA$803&lt;&gt;"")))&gt;0,"파견수련계획 입력오류 확인",IF(LEFT($Y232,1)="⚠","서울·구리 15일 판정 불가(양쪽 모두 이상/미만)",IF(IF($AC232="",0,N(INDEX(인턴근무계획!$T$3:$T$402,$AC232)))&gt;0,"인턴계획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IF($B232="","",IFERROR(MATCH($B232,기본자료!$B$2:$B$1001,0),IFERROR(MATCH($B232&amp;"",기본자료!$B$2:$B$1001,0),IFERROR(MATCH(VALUE($B232),기본자료!$B$2:$B$1001,0),""))))</f>
        <v/>
      </c>
      <c r="AC232" s="10">
        <f>IF($B232="","",IFERROR(MATCH($B232,인턴근무계획!$D$3:$D$402,0),IFERROR(MATCH($B232&amp;"",인턴근무계획!$D$3:$D$402,0),IFERROR(MATCH(VALUE($B232),인턴근무계획!$D$3:$D$402,0),""))))</f>
        <v/>
      </c>
      <c r="AD232" s="10">
        <f>IF(OR($AC232="",인턴현황!$G$3=""),"",INDEX(인턴근무계획!$M$3:$R$402,$AC232,인턴현황!$G$3)&amp;"")</f>
        <v/>
      </c>
      <c r="AE232" s="10">
        <f>IF($B232="","",IF($M232&lt;&gt;"",$M232,IF($AF232&lt;&gt;"",IF(LEFT(INDEX(파견수련계획!$R$4:$R$803,$AF232),1)&lt;&gt;"⚠",INDEX(파견수련계획!$R$4:$R$803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파견수련계획!$Y$4:$Y$803,0),IFERROR(MATCH(TRIM($J232&amp;"")&amp;"|파견예정",파견수련계획!$Y$4:$Y$803,0),IFERROR(MATCH(TRIM($J232&amp;"")&amp;"|파견종료",파견수련계획!$Y$4:$Y$803,0),""))))</f>
        <v/>
      </c>
      <c r="AG232" s="10">
        <f>IF($B232="","",IF(AND(IF(OR($AC232="",인턴현황!$K$2=""),"",INDEX(인턴근무계획!$M$3:$R$402,$AC232,인턴현황!$K$2)&amp;"")&lt;&gt;"",LEFT(IF(OR($AC232="",인턴현황!$K$2=""),"",INDEX(인턴근무계획!$M$3:$R$402,$AC232,인턴현황!$K$2)&amp;""),1)&lt;&gt;"⚠"),LEFT(IF(OR($AC232="",인턴현황!$K$2=""),"",INDEX(인턴근무계획!$M$3:$R$402,$AC232,인턴현황!$K$2)&amp;""),FIND(" ",IF(OR($AC232="",인턴현황!$K$2=""),"",INDEX(인턴근무계획!$M$3:$R$402,$AC232,인턴현황!$K$2)&amp;""))-1),$AE232))</f>
        <v/>
      </c>
      <c r="AH232" s="17">
        <f>IF($B232="","",IF(TRIM($J232&amp;"")="",0,SUMPRODUCT((파견수련계획!$Q$4:$Q$803=TRIM($J232&amp;""))*(파견수련계획!$S$4:$S$803="서울병원")*파견수련계획!$W$4:$W$803))+IF($AG232="서울병원",MAX(0,DAY(EOMONTH(요약!$B$3,0))-N($X232)),0))</f>
        <v/>
      </c>
      <c r="AI232" s="17">
        <f>IF($B232="","",IF(TRIM($J232&amp;"")="",0,SUMPRODUCT((파견수련계획!$Q$4:$Q$803=TRIM($J232&amp;""))*(파견수련계획!$S$4:$S$803="구리병원")*파견수련계획!$W$4:$W$803))+IF($AG232="구리병원",MAX(0,DAY(EOMONTH(요약!$B$3,0))-N($X232)),0))</f>
        <v/>
      </c>
      <c r="AJ232" s="10">
        <f>IF(OR($B232="",TRIM($J232&amp;"")=""),"",IFERROR(MATCH(TRIM($J232&amp;"")&amp;"|월",파견수련계획!$Z$4:$Z$803,0),""))</f>
        <v/>
      </c>
      <c r="AK232" s="10">
        <f>IF(OR($B232="",TRIM($J232&amp;"")=""),"",IFERROR(MATCH(TRIM($J232&amp;"")&amp;"|다기관",파견수련계획!$AE$4:$AE$803,0),""))</f>
        <v/>
      </c>
      <c r="AL232" s="10">
        <f>IF($AK232="","","다기관 "&amp;TEXT(INDEX(파견수련계획!$AB$4:$AB$803,$AK232),"yyyy-mm-dd")&amp;"~"&amp;IF(ISNUMBER(INDEX(파견수련계획!$AC$4:$AC$803,$AK232)),TEXT(INDEX(파견수련계획!$AC$4:$AC$803,$AK232),"yyyy-mm-dd"),""))</f>
        <v/>
      </c>
    </row>
    <row r="233">
      <c r="A233" s="10">
        <f>IF(B233="","",ROW()-1)</f>
        <v/>
      </c>
      <c r="B233" s="18" t="n"/>
      <c r="C233" s="10">
        <f>IF($AB233="","",IF(INDEX(기본자료!$C$2:$C$1001,$AB233)="","",INDEX(기본자료!$C$2:$C$1001,$AB233)))</f>
        <v/>
      </c>
      <c r="D233" s="10">
        <f>IF($AB233="","",IF(INDEX(기본자료!$J$2:$J$1001,$AB233)="","",INDEX(기본자료!$J$2:$J$1001,$AB233)))</f>
        <v/>
      </c>
      <c r="E233" s="11">
        <f>IF($AB233="","",IF(INDEX(기본자료!$K$2:$K$1001,$AB233)="","",IF(NOT(ISNUMBER(INDEX(기본자료!$K$2:$K$1001,$AB233))),INDEX(기본자료!$K$2:$K$1001,$AB233),IF(INDEX(기본자료!$K$2:$K$1001,$AB233)&lt;1000000,INDEX(기본자료!$K$2:$K$1001,$AB233),IF(AND(INDEX(기본자료!$K$2:$K$1001,$AB233)&gt;=10000101,INT(MOD(INDEX(기본자료!$K$2:$K$1001,$AB233),10000)/100)&gt;=1,INT(MOD(INDEX(기본자료!$K$2:$K$1001,$AB233),10000)/100)&lt;=12,MOD(INDEX(기본자료!$K$2:$K$1001,$AB233),100)&gt;=1,MOD(INDEX(기본자료!$K$2:$K$1001,$AB233),100)&lt;=31),DATE(INT(INDEX(기본자료!$K$2:$K$1001,$AB233)/10000),INT(MOD(INDEX(기본자료!$K$2:$K$1001,$AB233),10000)/100),MOD(INDEX(기본자료!$K$2:$K$1001,$AB233),100)),INDEX(기본자료!$K$2:$K$1001,$AB233)&amp;"")))))</f>
        <v/>
      </c>
      <c r="F233" s="10">
        <f>IF($AB233="","",IF(INDEX(기본자료!$D$2:$D$1001,$AB233)="","",INDEX(기본자료!$D$2:$D$1001,$AB233)))</f>
        <v/>
      </c>
      <c r="G233" s="10">
        <f>IF($AB233="","",IF(INDEX(기본자료!$E$2:$E$1001,$AB233)="","",INDEX(기본자료!$E$2:$E$1001,$AB233)))</f>
        <v/>
      </c>
      <c r="H233" s="10">
        <f>IF($AB233="","",IF(INDEX(기본자료!$F$2:$F$1001,$AB233)="","",INDEX(기본자료!$F$2:$F$1001,$AB233)))</f>
        <v/>
      </c>
      <c r="I233" s="11">
        <f>IF($AB233="","",IF(INDEX(기본자료!$G$2:$G$1001,$AB233)="","",IF(NOT(ISNUMBER(INDEX(기본자료!$G$2:$G$1001,$AB233))),INDEX(기본자료!$G$2:$G$1001,$AB233),IF(INDEX(기본자료!$G$2:$G$1001,$AB233)&lt;1000000,INDEX(기본자료!$G$2:$G$1001,$AB233),IF(AND(INDEX(기본자료!$G$2:$G$1001,$AB233)&gt;=10000101,INT(MOD(INDEX(기본자료!$G$2:$G$1001,$AB233),10000)/100)&gt;=1,INT(MOD(INDEX(기본자료!$G$2:$G$1001,$AB233),10000)/100)&lt;=12,MOD(INDEX(기본자료!$G$2:$G$1001,$AB233),100)&gt;=1,MOD(INDEX(기본자료!$G$2:$G$1001,$AB233),100)&lt;=31),DATE(INT(INDEX(기본자료!$G$2:$G$1001,$AB233)/10000),INT(MOD(INDEX(기본자료!$G$2:$G$1001,$AB233),10000)/100),MOD(INDEX(기본자료!$G$2:$G$1001,$AB233),100)),INDEX(기본자료!$G$2:$G$1001,$AB233)&amp;"")))))</f>
        <v/>
      </c>
      <c r="J233" s="10">
        <f>IF($AB233="","",IF(INDEX(기본자료!$H$2:$H$1001,$AB233)="","",INDEX(기본자료!$H$2:$H$1001,$AB233)))</f>
        <v/>
      </c>
      <c r="K233" s="10">
        <f>IF($AB233="","",IF(INDEX(기본자료!$I$2:$I$1001,$AB233)="","",INDEX(기본자료!$I$2:$I$1001,$AB233)))</f>
        <v/>
      </c>
      <c r="L233" s="10">
        <f>IF($AB233="","",IF(INDEX(기본자료!$A$2:$A$1001,$AB233)="","",INDEX(기본자료!$A$2:$A$1001,$AB233)))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파견수련계획!$AB$4:$AB$803,$AK233),OR(NOT(ISNUMBER(INDEX(파견수련계획!$AC$4:$AC$803,$AK233))),TODAY()&lt;=INDEX(파견수련계획!$AC$4:$AC$803,$AK233))),"다기관",IF($AF233="","",INDEX(파견수련계획!$T$4:$T$803,$AF233))),IF($AF233="","",INDEX(파견수련계획!$T$4:$T$803,$AF233))))</f>
        <v/>
      </c>
      <c r="Q233" s="10">
        <f>IF($AF233="","",INDEX(파견수련계획!$S$4:$S$803,$AF233))</f>
        <v/>
      </c>
      <c r="R233" s="10">
        <f>IF($AF233="","",INDEX(파견수련계획!$U$4:$U$803,$AF233))</f>
        <v/>
      </c>
      <c r="S233" s="11">
        <f>IF($AF233="","",IF(INDEX(파견수련계획!$H$4:$H$803,$AF233)="","",INDEX(파견수련계획!$H$4:$H$803,$AF233)))</f>
        <v/>
      </c>
      <c r="T233" s="11">
        <f>IF($AF233="","",IF(INDEX(파견수련계획!$I$4:$I$803,$AF233)="","",INDEX(파견수련계획!$I$4:$I$803,$AF233)))</f>
        <v/>
      </c>
      <c r="U233" s="10">
        <f>IF($AF233="","",INDEX(파견수련계획!$X$4:$X$803,$AF233))</f>
        <v/>
      </c>
      <c r="V233" s="17">
        <f>IF($AF233="","",INDEX(파견수련계획!$V$4:$V$803,$AF233))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IF(OR($B233="",TRIM($J233&amp;"")=""),"",SUMPRODUCT((파견수련계획!$Q$4:$Q$803=TRIM($J233&amp;""))*파견수련계획!$W$4:$W$803))</f>
        <v/>
      </c>
      <c r="Y233" s="10">
        <f>IF($B233="","",IF($AG233="","",IF(IF(TRIM($J233&amp;"")="",0,SUMPRODUCT((파견수련계획!$Q$4:$Q$803=TRIM($J233&amp;""))*파견수련계획!$AD$4:$AD$803))&gt;0,$AE233,IF(N($X233)&lt;=0,$AG233,IF($AH233+$AI233=DAY(EOMONTH(요약!$B$3,0)),IF(AND($AH233&gt;=요약!$E$3,$AI233&lt;요약!$E$3),"서울병원",IF(AND($AI233&gt;=요약!$E$3,$AH233&lt;요약!$E$3),"구리병원","⚠15일 판정불가(서울 "&amp;$AH233&amp;"일/구리 "&amp;$AI233&amp;"일)")),IF($AJ233="",$AE233,IF(INDEX(파견수련계획!$T$4:$T$803,$AJ233)="통합수련",INDEX(파견수련계획!$S$4:$S$803,$AJ233),$AE233)))))))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입력",IF(IF(TRIM($J233&amp;"")="",0,SUMPRODUCT((파견수련계획!$Q$4:$Q$803=TRIM($J233&amp;""))*(파견수련계획!$AA$4:$AA$803&lt;&gt;"")))&gt;0,"파견수련계획 입력오류 확인",IF(LEFT($Y233,1)="⚠","서울·구리 15일 판정 불가(양쪽 모두 이상/미만)",IF(IF($AC233="",0,N(INDEX(인턴근무계획!$T$3:$T$402,$AC233)))&gt;0,"인턴계획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IF($B233="","",IFERROR(MATCH($B233,기본자료!$B$2:$B$1001,0),IFERROR(MATCH($B233&amp;"",기본자료!$B$2:$B$1001,0),IFERROR(MATCH(VALUE($B233),기본자료!$B$2:$B$1001,0),""))))</f>
        <v/>
      </c>
      <c r="AC233" s="10">
        <f>IF($B233="","",IFERROR(MATCH($B233,인턴근무계획!$D$3:$D$402,0),IFERROR(MATCH($B233&amp;"",인턴근무계획!$D$3:$D$402,0),IFERROR(MATCH(VALUE($B233),인턴근무계획!$D$3:$D$402,0),""))))</f>
        <v/>
      </c>
      <c r="AD233" s="10">
        <f>IF(OR($AC233="",인턴현황!$G$3=""),"",INDEX(인턴근무계획!$M$3:$R$402,$AC233,인턴현황!$G$3)&amp;"")</f>
        <v/>
      </c>
      <c r="AE233" s="10">
        <f>IF($B233="","",IF($M233&lt;&gt;"",$M233,IF($AF233&lt;&gt;"",IF(LEFT(INDEX(파견수련계획!$R$4:$R$803,$AF233),1)&lt;&gt;"⚠",INDEX(파견수련계획!$R$4:$R$803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파견수련계획!$Y$4:$Y$803,0),IFERROR(MATCH(TRIM($J233&amp;"")&amp;"|파견예정",파견수련계획!$Y$4:$Y$803,0),IFERROR(MATCH(TRIM($J233&amp;"")&amp;"|파견종료",파견수련계획!$Y$4:$Y$803,0),""))))</f>
        <v/>
      </c>
      <c r="AG233" s="10">
        <f>IF($B233="","",IF(AND(IF(OR($AC233="",인턴현황!$K$2=""),"",INDEX(인턴근무계획!$M$3:$R$402,$AC233,인턴현황!$K$2)&amp;"")&lt;&gt;"",LEFT(IF(OR($AC233="",인턴현황!$K$2=""),"",INDEX(인턴근무계획!$M$3:$R$402,$AC233,인턴현황!$K$2)&amp;""),1)&lt;&gt;"⚠"),LEFT(IF(OR($AC233="",인턴현황!$K$2=""),"",INDEX(인턴근무계획!$M$3:$R$402,$AC233,인턴현황!$K$2)&amp;""),FIND(" ",IF(OR($AC233="",인턴현황!$K$2=""),"",INDEX(인턴근무계획!$M$3:$R$402,$AC233,인턴현황!$K$2)&amp;""))-1),$AE233))</f>
        <v/>
      </c>
      <c r="AH233" s="17">
        <f>IF($B233="","",IF(TRIM($J233&amp;"")="",0,SUMPRODUCT((파견수련계획!$Q$4:$Q$803=TRIM($J233&amp;""))*(파견수련계획!$S$4:$S$803="서울병원")*파견수련계획!$W$4:$W$803))+IF($AG233="서울병원",MAX(0,DAY(EOMONTH(요약!$B$3,0))-N($X233)),0))</f>
        <v/>
      </c>
      <c r="AI233" s="17">
        <f>IF($B233="","",IF(TRIM($J233&amp;"")="",0,SUMPRODUCT((파견수련계획!$Q$4:$Q$803=TRIM($J233&amp;""))*(파견수련계획!$S$4:$S$803="구리병원")*파견수련계획!$W$4:$W$803))+IF($AG233="구리병원",MAX(0,DAY(EOMONTH(요약!$B$3,0))-N($X233)),0))</f>
        <v/>
      </c>
      <c r="AJ233" s="10">
        <f>IF(OR($B233="",TRIM($J233&amp;"")=""),"",IFERROR(MATCH(TRIM($J233&amp;"")&amp;"|월",파견수련계획!$Z$4:$Z$803,0),""))</f>
        <v/>
      </c>
      <c r="AK233" s="10">
        <f>IF(OR($B233="",TRIM($J233&amp;"")=""),"",IFERROR(MATCH(TRIM($J233&amp;"")&amp;"|다기관",파견수련계획!$AE$4:$AE$803,0),""))</f>
        <v/>
      </c>
      <c r="AL233" s="10">
        <f>IF($AK233="","","다기관 "&amp;TEXT(INDEX(파견수련계획!$AB$4:$AB$803,$AK233),"yyyy-mm-dd")&amp;"~"&amp;IF(ISNUMBER(INDEX(파견수련계획!$AC$4:$AC$803,$AK233)),TEXT(INDEX(파견수련계획!$AC$4:$AC$803,$AK233),"yyyy-mm-dd"),""))</f>
        <v/>
      </c>
    </row>
    <row r="234">
      <c r="A234" s="10">
        <f>IF(B234="","",ROW()-1)</f>
        <v/>
      </c>
      <c r="B234" s="18" t="n"/>
      <c r="C234" s="10">
        <f>IF($AB234="","",IF(INDEX(기본자료!$C$2:$C$1001,$AB234)="","",INDEX(기본자료!$C$2:$C$1001,$AB234)))</f>
        <v/>
      </c>
      <c r="D234" s="10">
        <f>IF($AB234="","",IF(INDEX(기본자료!$J$2:$J$1001,$AB234)="","",INDEX(기본자료!$J$2:$J$1001,$AB234)))</f>
        <v/>
      </c>
      <c r="E234" s="11">
        <f>IF($AB234="","",IF(INDEX(기본자료!$K$2:$K$1001,$AB234)="","",IF(NOT(ISNUMBER(INDEX(기본자료!$K$2:$K$1001,$AB234))),INDEX(기본자료!$K$2:$K$1001,$AB234),IF(INDEX(기본자료!$K$2:$K$1001,$AB234)&lt;1000000,INDEX(기본자료!$K$2:$K$1001,$AB234),IF(AND(INDEX(기본자료!$K$2:$K$1001,$AB234)&gt;=10000101,INT(MOD(INDEX(기본자료!$K$2:$K$1001,$AB234),10000)/100)&gt;=1,INT(MOD(INDEX(기본자료!$K$2:$K$1001,$AB234),10000)/100)&lt;=12,MOD(INDEX(기본자료!$K$2:$K$1001,$AB234),100)&gt;=1,MOD(INDEX(기본자료!$K$2:$K$1001,$AB234),100)&lt;=31),DATE(INT(INDEX(기본자료!$K$2:$K$1001,$AB234)/10000),INT(MOD(INDEX(기본자료!$K$2:$K$1001,$AB234),10000)/100),MOD(INDEX(기본자료!$K$2:$K$1001,$AB234),100)),INDEX(기본자료!$K$2:$K$1001,$AB234)&amp;"")))))</f>
        <v/>
      </c>
      <c r="F234" s="10">
        <f>IF($AB234="","",IF(INDEX(기본자료!$D$2:$D$1001,$AB234)="","",INDEX(기본자료!$D$2:$D$1001,$AB234)))</f>
        <v/>
      </c>
      <c r="G234" s="10">
        <f>IF($AB234="","",IF(INDEX(기본자료!$E$2:$E$1001,$AB234)="","",INDEX(기본자료!$E$2:$E$1001,$AB234)))</f>
        <v/>
      </c>
      <c r="H234" s="10">
        <f>IF($AB234="","",IF(INDEX(기본자료!$F$2:$F$1001,$AB234)="","",INDEX(기본자료!$F$2:$F$1001,$AB234)))</f>
        <v/>
      </c>
      <c r="I234" s="11">
        <f>IF($AB234="","",IF(INDEX(기본자료!$G$2:$G$1001,$AB234)="","",IF(NOT(ISNUMBER(INDEX(기본자료!$G$2:$G$1001,$AB234))),INDEX(기본자료!$G$2:$G$1001,$AB234),IF(INDEX(기본자료!$G$2:$G$1001,$AB234)&lt;1000000,INDEX(기본자료!$G$2:$G$1001,$AB234),IF(AND(INDEX(기본자료!$G$2:$G$1001,$AB234)&gt;=10000101,INT(MOD(INDEX(기본자료!$G$2:$G$1001,$AB234),10000)/100)&gt;=1,INT(MOD(INDEX(기본자료!$G$2:$G$1001,$AB234),10000)/100)&lt;=12,MOD(INDEX(기본자료!$G$2:$G$1001,$AB234),100)&gt;=1,MOD(INDEX(기본자료!$G$2:$G$1001,$AB234),100)&lt;=31),DATE(INT(INDEX(기본자료!$G$2:$G$1001,$AB234)/10000),INT(MOD(INDEX(기본자료!$G$2:$G$1001,$AB234),10000)/100),MOD(INDEX(기본자료!$G$2:$G$1001,$AB234),100)),INDEX(기본자료!$G$2:$G$1001,$AB234)&amp;"")))))</f>
        <v/>
      </c>
      <c r="J234" s="10">
        <f>IF($AB234="","",IF(INDEX(기본자료!$H$2:$H$1001,$AB234)="","",INDEX(기본자료!$H$2:$H$1001,$AB234)))</f>
        <v/>
      </c>
      <c r="K234" s="10">
        <f>IF($AB234="","",IF(INDEX(기본자료!$I$2:$I$1001,$AB234)="","",INDEX(기본자료!$I$2:$I$1001,$AB234)))</f>
        <v/>
      </c>
      <c r="L234" s="10">
        <f>IF($AB234="","",IF(INDEX(기본자료!$A$2:$A$1001,$AB234)="","",INDEX(기본자료!$A$2:$A$1001,$AB234)))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파견수련계획!$AB$4:$AB$803,$AK234),OR(NOT(ISNUMBER(INDEX(파견수련계획!$AC$4:$AC$803,$AK234))),TODAY()&lt;=INDEX(파견수련계획!$AC$4:$AC$803,$AK234))),"다기관",IF($AF234="","",INDEX(파견수련계획!$T$4:$T$803,$AF234))),IF($AF234="","",INDEX(파견수련계획!$T$4:$T$803,$AF234))))</f>
        <v/>
      </c>
      <c r="Q234" s="10">
        <f>IF($AF234="","",INDEX(파견수련계획!$S$4:$S$803,$AF234))</f>
        <v/>
      </c>
      <c r="R234" s="10">
        <f>IF($AF234="","",INDEX(파견수련계획!$U$4:$U$803,$AF234))</f>
        <v/>
      </c>
      <c r="S234" s="11">
        <f>IF($AF234="","",IF(INDEX(파견수련계획!$H$4:$H$803,$AF234)="","",INDEX(파견수련계획!$H$4:$H$803,$AF234)))</f>
        <v/>
      </c>
      <c r="T234" s="11">
        <f>IF($AF234="","",IF(INDEX(파견수련계획!$I$4:$I$803,$AF234)="","",INDEX(파견수련계획!$I$4:$I$803,$AF234)))</f>
        <v/>
      </c>
      <c r="U234" s="10">
        <f>IF($AF234="","",INDEX(파견수련계획!$X$4:$X$803,$AF234))</f>
        <v/>
      </c>
      <c r="V234" s="17">
        <f>IF($AF234="","",INDEX(파견수련계획!$V$4:$V$803,$AF234))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IF(OR($B234="",TRIM($J234&amp;"")=""),"",SUMPRODUCT((파견수련계획!$Q$4:$Q$803=TRIM($J234&amp;""))*파견수련계획!$W$4:$W$803))</f>
        <v/>
      </c>
      <c r="Y234" s="10">
        <f>IF($B234="","",IF($AG234="","",IF(IF(TRIM($J234&amp;"")="",0,SUMPRODUCT((파견수련계획!$Q$4:$Q$803=TRIM($J234&amp;""))*파견수련계획!$AD$4:$AD$803))&gt;0,$AE234,IF(N($X234)&lt;=0,$AG234,IF($AH234+$AI234=DAY(EOMONTH(요약!$B$3,0)),IF(AND($AH234&gt;=요약!$E$3,$AI234&lt;요약!$E$3),"서울병원",IF(AND($AI234&gt;=요약!$E$3,$AH234&lt;요약!$E$3),"구리병원","⚠15일 판정불가(서울 "&amp;$AH234&amp;"일/구리 "&amp;$AI234&amp;"일)")),IF($AJ234="",$AE234,IF(INDEX(파견수련계획!$T$4:$T$803,$AJ234)="통합수련",INDEX(파견수련계획!$S$4:$S$803,$AJ234),$AE234)))))))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입력",IF(IF(TRIM($J234&amp;"")="",0,SUMPRODUCT((파견수련계획!$Q$4:$Q$803=TRIM($J234&amp;""))*(파견수련계획!$AA$4:$AA$803&lt;&gt;"")))&gt;0,"파견수련계획 입력오류 확인",IF(LEFT($Y234,1)="⚠","서울·구리 15일 판정 불가(양쪽 모두 이상/미만)",IF(IF($AC234="",0,N(INDEX(인턴근무계획!$T$3:$T$402,$AC234)))&gt;0,"인턴계획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IF($B234="","",IFERROR(MATCH($B234,기본자료!$B$2:$B$1001,0),IFERROR(MATCH($B234&amp;"",기본자료!$B$2:$B$1001,0),IFERROR(MATCH(VALUE($B234),기본자료!$B$2:$B$1001,0),""))))</f>
        <v/>
      </c>
      <c r="AC234" s="10">
        <f>IF($B234="","",IFERROR(MATCH($B234,인턴근무계획!$D$3:$D$402,0),IFERROR(MATCH($B234&amp;"",인턴근무계획!$D$3:$D$402,0),IFERROR(MATCH(VALUE($B234),인턴근무계획!$D$3:$D$402,0),""))))</f>
        <v/>
      </c>
      <c r="AD234" s="10">
        <f>IF(OR($AC234="",인턴현황!$G$3=""),"",INDEX(인턴근무계획!$M$3:$R$402,$AC234,인턴현황!$G$3)&amp;"")</f>
        <v/>
      </c>
      <c r="AE234" s="10">
        <f>IF($B234="","",IF($M234&lt;&gt;"",$M234,IF($AF234&lt;&gt;"",IF(LEFT(INDEX(파견수련계획!$R$4:$R$803,$AF234),1)&lt;&gt;"⚠",INDEX(파견수련계획!$R$4:$R$803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파견수련계획!$Y$4:$Y$803,0),IFERROR(MATCH(TRIM($J234&amp;"")&amp;"|파견예정",파견수련계획!$Y$4:$Y$803,0),IFERROR(MATCH(TRIM($J234&amp;"")&amp;"|파견종료",파견수련계획!$Y$4:$Y$803,0),""))))</f>
        <v/>
      </c>
      <c r="AG234" s="10">
        <f>IF($B234="","",IF(AND(IF(OR($AC234="",인턴현황!$K$2=""),"",INDEX(인턴근무계획!$M$3:$R$402,$AC234,인턴현황!$K$2)&amp;"")&lt;&gt;"",LEFT(IF(OR($AC234="",인턴현황!$K$2=""),"",INDEX(인턴근무계획!$M$3:$R$402,$AC234,인턴현황!$K$2)&amp;""),1)&lt;&gt;"⚠"),LEFT(IF(OR($AC234="",인턴현황!$K$2=""),"",INDEX(인턴근무계획!$M$3:$R$402,$AC234,인턴현황!$K$2)&amp;""),FIND(" ",IF(OR($AC234="",인턴현황!$K$2=""),"",INDEX(인턴근무계획!$M$3:$R$402,$AC234,인턴현황!$K$2)&amp;""))-1),$AE234))</f>
        <v/>
      </c>
      <c r="AH234" s="17">
        <f>IF($B234="","",IF(TRIM($J234&amp;"")="",0,SUMPRODUCT((파견수련계획!$Q$4:$Q$803=TRIM($J234&amp;""))*(파견수련계획!$S$4:$S$803="서울병원")*파견수련계획!$W$4:$W$803))+IF($AG234="서울병원",MAX(0,DAY(EOMONTH(요약!$B$3,0))-N($X234)),0))</f>
        <v/>
      </c>
      <c r="AI234" s="17">
        <f>IF($B234="","",IF(TRIM($J234&amp;"")="",0,SUMPRODUCT((파견수련계획!$Q$4:$Q$803=TRIM($J234&amp;""))*(파견수련계획!$S$4:$S$803="구리병원")*파견수련계획!$W$4:$W$803))+IF($AG234="구리병원",MAX(0,DAY(EOMONTH(요약!$B$3,0))-N($X234)),0))</f>
        <v/>
      </c>
      <c r="AJ234" s="10">
        <f>IF(OR($B234="",TRIM($J234&amp;"")=""),"",IFERROR(MATCH(TRIM($J234&amp;"")&amp;"|월",파견수련계획!$Z$4:$Z$803,0),""))</f>
        <v/>
      </c>
      <c r="AK234" s="10">
        <f>IF(OR($B234="",TRIM($J234&amp;"")=""),"",IFERROR(MATCH(TRIM($J234&amp;"")&amp;"|다기관",파견수련계획!$AE$4:$AE$803,0),""))</f>
        <v/>
      </c>
      <c r="AL234" s="10">
        <f>IF($AK234="","","다기관 "&amp;TEXT(INDEX(파견수련계획!$AB$4:$AB$803,$AK234),"yyyy-mm-dd")&amp;"~"&amp;IF(ISNUMBER(INDEX(파견수련계획!$AC$4:$AC$803,$AK234)),TEXT(INDEX(파견수련계획!$AC$4:$AC$803,$AK234),"yyyy-mm-dd"),""))</f>
        <v/>
      </c>
    </row>
    <row r="235">
      <c r="A235" s="10">
        <f>IF(B235="","",ROW()-1)</f>
        <v/>
      </c>
      <c r="B235" s="18" t="n"/>
      <c r="C235" s="10">
        <f>IF($AB235="","",IF(INDEX(기본자료!$C$2:$C$1001,$AB235)="","",INDEX(기본자료!$C$2:$C$1001,$AB235)))</f>
        <v/>
      </c>
      <c r="D235" s="10">
        <f>IF($AB235="","",IF(INDEX(기본자료!$J$2:$J$1001,$AB235)="","",INDEX(기본자료!$J$2:$J$1001,$AB235)))</f>
        <v/>
      </c>
      <c r="E235" s="11">
        <f>IF($AB235="","",IF(INDEX(기본자료!$K$2:$K$1001,$AB235)="","",IF(NOT(ISNUMBER(INDEX(기본자료!$K$2:$K$1001,$AB235))),INDEX(기본자료!$K$2:$K$1001,$AB235),IF(INDEX(기본자료!$K$2:$K$1001,$AB235)&lt;1000000,INDEX(기본자료!$K$2:$K$1001,$AB235),IF(AND(INDEX(기본자료!$K$2:$K$1001,$AB235)&gt;=10000101,INT(MOD(INDEX(기본자료!$K$2:$K$1001,$AB235),10000)/100)&gt;=1,INT(MOD(INDEX(기본자료!$K$2:$K$1001,$AB235),10000)/100)&lt;=12,MOD(INDEX(기본자료!$K$2:$K$1001,$AB235),100)&gt;=1,MOD(INDEX(기본자료!$K$2:$K$1001,$AB235),100)&lt;=31),DATE(INT(INDEX(기본자료!$K$2:$K$1001,$AB235)/10000),INT(MOD(INDEX(기본자료!$K$2:$K$1001,$AB235),10000)/100),MOD(INDEX(기본자료!$K$2:$K$1001,$AB235),100)),INDEX(기본자료!$K$2:$K$1001,$AB235)&amp;"")))))</f>
        <v/>
      </c>
      <c r="F235" s="10">
        <f>IF($AB235="","",IF(INDEX(기본자료!$D$2:$D$1001,$AB235)="","",INDEX(기본자료!$D$2:$D$1001,$AB235)))</f>
        <v/>
      </c>
      <c r="G235" s="10">
        <f>IF($AB235="","",IF(INDEX(기본자료!$E$2:$E$1001,$AB235)="","",INDEX(기본자료!$E$2:$E$1001,$AB235)))</f>
        <v/>
      </c>
      <c r="H235" s="10">
        <f>IF($AB235="","",IF(INDEX(기본자료!$F$2:$F$1001,$AB235)="","",INDEX(기본자료!$F$2:$F$1001,$AB235)))</f>
        <v/>
      </c>
      <c r="I235" s="11">
        <f>IF($AB235="","",IF(INDEX(기본자료!$G$2:$G$1001,$AB235)="","",IF(NOT(ISNUMBER(INDEX(기본자료!$G$2:$G$1001,$AB235))),INDEX(기본자료!$G$2:$G$1001,$AB235),IF(INDEX(기본자료!$G$2:$G$1001,$AB235)&lt;1000000,INDEX(기본자료!$G$2:$G$1001,$AB235),IF(AND(INDEX(기본자료!$G$2:$G$1001,$AB235)&gt;=10000101,INT(MOD(INDEX(기본자료!$G$2:$G$1001,$AB235),10000)/100)&gt;=1,INT(MOD(INDEX(기본자료!$G$2:$G$1001,$AB235),10000)/100)&lt;=12,MOD(INDEX(기본자료!$G$2:$G$1001,$AB235),100)&gt;=1,MOD(INDEX(기본자료!$G$2:$G$1001,$AB235),100)&lt;=31),DATE(INT(INDEX(기본자료!$G$2:$G$1001,$AB235)/10000),INT(MOD(INDEX(기본자료!$G$2:$G$1001,$AB235),10000)/100),MOD(INDEX(기본자료!$G$2:$G$1001,$AB235),100)),INDEX(기본자료!$G$2:$G$1001,$AB235)&amp;"")))))</f>
        <v/>
      </c>
      <c r="J235" s="10">
        <f>IF($AB235="","",IF(INDEX(기본자료!$H$2:$H$1001,$AB235)="","",INDEX(기본자료!$H$2:$H$1001,$AB235)))</f>
        <v/>
      </c>
      <c r="K235" s="10">
        <f>IF($AB235="","",IF(INDEX(기본자료!$I$2:$I$1001,$AB235)="","",INDEX(기본자료!$I$2:$I$1001,$AB235)))</f>
        <v/>
      </c>
      <c r="L235" s="10">
        <f>IF($AB235="","",IF(INDEX(기본자료!$A$2:$A$1001,$AB235)="","",INDEX(기본자료!$A$2:$A$1001,$AB235)))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파견수련계획!$AB$4:$AB$803,$AK235),OR(NOT(ISNUMBER(INDEX(파견수련계획!$AC$4:$AC$803,$AK235))),TODAY()&lt;=INDEX(파견수련계획!$AC$4:$AC$803,$AK235))),"다기관",IF($AF235="","",INDEX(파견수련계획!$T$4:$T$803,$AF235))),IF($AF235="","",INDEX(파견수련계획!$T$4:$T$803,$AF235))))</f>
        <v/>
      </c>
      <c r="Q235" s="10">
        <f>IF($AF235="","",INDEX(파견수련계획!$S$4:$S$803,$AF235))</f>
        <v/>
      </c>
      <c r="R235" s="10">
        <f>IF($AF235="","",INDEX(파견수련계획!$U$4:$U$803,$AF235))</f>
        <v/>
      </c>
      <c r="S235" s="11">
        <f>IF($AF235="","",IF(INDEX(파견수련계획!$H$4:$H$803,$AF235)="","",INDEX(파견수련계획!$H$4:$H$803,$AF235)))</f>
        <v/>
      </c>
      <c r="T235" s="11">
        <f>IF($AF235="","",IF(INDEX(파견수련계획!$I$4:$I$803,$AF235)="","",INDEX(파견수련계획!$I$4:$I$803,$AF235)))</f>
        <v/>
      </c>
      <c r="U235" s="10">
        <f>IF($AF235="","",INDEX(파견수련계획!$X$4:$X$803,$AF235))</f>
        <v/>
      </c>
      <c r="V235" s="17">
        <f>IF($AF235="","",INDEX(파견수련계획!$V$4:$V$803,$AF235))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IF(OR($B235="",TRIM($J235&amp;"")=""),"",SUMPRODUCT((파견수련계획!$Q$4:$Q$803=TRIM($J235&amp;""))*파견수련계획!$W$4:$W$803))</f>
        <v/>
      </c>
      <c r="Y235" s="10">
        <f>IF($B235="","",IF($AG235="","",IF(IF(TRIM($J235&amp;"")="",0,SUMPRODUCT((파견수련계획!$Q$4:$Q$803=TRIM($J235&amp;""))*파견수련계획!$AD$4:$AD$803))&gt;0,$AE235,IF(N($X235)&lt;=0,$AG235,IF($AH235+$AI235=DAY(EOMONTH(요약!$B$3,0)),IF(AND($AH235&gt;=요약!$E$3,$AI235&lt;요약!$E$3),"서울병원",IF(AND($AI235&gt;=요약!$E$3,$AH235&lt;요약!$E$3),"구리병원","⚠15일 판정불가(서울 "&amp;$AH235&amp;"일/구리 "&amp;$AI235&amp;"일)")),IF($AJ235="",$AE235,IF(INDEX(파견수련계획!$T$4:$T$803,$AJ235)="통합수련",INDEX(파견수련계획!$S$4:$S$803,$AJ235),$AE235)))))))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입력",IF(IF(TRIM($J235&amp;"")="",0,SUMPRODUCT((파견수련계획!$Q$4:$Q$803=TRIM($J235&amp;""))*(파견수련계획!$AA$4:$AA$803&lt;&gt;"")))&gt;0,"파견수련계획 입력오류 확인",IF(LEFT($Y235,1)="⚠","서울·구리 15일 판정 불가(양쪽 모두 이상/미만)",IF(IF($AC235="",0,N(INDEX(인턴근무계획!$T$3:$T$402,$AC235)))&gt;0,"인턴계획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IF($B235="","",IFERROR(MATCH($B235,기본자료!$B$2:$B$1001,0),IFERROR(MATCH($B235&amp;"",기본자료!$B$2:$B$1001,0),IFERROR(MATCH(VALUE($B235),기본자료!$B$2:$B$1001,0),""))))</f>
        <v/>
      </c>
      <c r="AC235" s="10">
        <f>IF($B235="","",IFERROR(MATCH($B235,인턴근무계획!$D$3:$D$402,0),IFERROR(MATCH($B235&amp;"",인턴근무계획!$D$3:$D$402,0),IFERROR(MATCH(VALUE($B235),인턴근무계획!$D$3:$D$402,0),""))))</f>
        <v/>
      </c>
      <c r="AD235" s="10">
        <f>IF(OR($AC235="",인턴현황!$G$3=""),"",INDEX(인턴근무계획!$M$3:$R$402,$AC235,인턴현황!$G$3)&amp;"")</f>
        <v/>
      </c>
      <c r="AE235" s="10">
        <f>IF($B235="","",IF($M235&lt;&gt;"",$M235,IF($AF235&lt;&gt;"",IF(LEFT(INDEX(파견수련계획!$R$4:$R$803,$AF235),1)&lt;&gt;"⚠",INDEX(파견수련계획!$R$4:$R$803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파견수련계획!$Y$4:$Y$803,0),IFERROR(MATCH(TRIM($J235&amp;"")&amp;"|파견예정",파견수련계획!$Y$4:$Y$803,0),IFERROR(MATCH(TRIM($J235&amp;"")&amp;"|파견종료",파견수련계획!$Y$4:$Y$803,0),""))))</f>
        <v/>
      </c>
      <c r="AG235" s="10">
        <f>IF($B235="","",IF(AND(IF(OR($AC235="",인턴현황!$K$2=""),"",INDEX(인턴근무계획!$M$3:$R$402,$AC235,인턴현황!$K$2)&amp;"")&lt;&gt;"",LEFT(IF(OR($AC235="",인턴현황!$K$2=""),"",INDEX(인턴근무계획!$M$3:$R$402,$AC235,인턴현황!$K$2)&amp;""),1)&lt;&gt;"⚠"),LEFT(IF(OR($AC235="",인턴현황!$K$2=""),"",INDEX(인턴근무계획!$M$3:$R$402,$AC235,인턴현황!$K$2)&amp;""),FIND(" ",IF(OR($AC235="",인턴현황!$K$2=""),"",INDEX(인턴근무계획!$M$3:$R$402,$AC235,인턴현황!$K$2)&amp;""))-1),$AE235))</f>
        <v/>
      </c>
      <c r="AH235" s="17">
        <f>IF($B235="","",IF(TRIM($J235&amp;"")="",0,SUMPRODUCT((파견수련계획!$Q$4:$Q$803=TRIM($J235&amp;""))*(파견수련계획!$S$4:$S$803="서울병원")*파견수련계획!$W$4:$W$803))+IF($AG235="서울병원",MAX(0,DAY(EOMONTH(요약!$B$3,0))-N($X235)),0))</f>
        <v/>
      </c>
      <c r="AI235" s="17">
        <f>IF($B235="","",IF(TRIM($J235&amp;"")="",0,SUMPRODUCT((파견수련계획!$Q$4:$Q$803=TRIM($J235&amp;""))*(파견수련계획!$S$4:$S$803="구리병원")*파견수련계획!$W$4:$W$803))+IF($AG235="구리병원",MAX(0,DAY(EOMONTH(요약!$B$3,0))-N($X235)),0))</f>
        <v/>
      </c>
      <c r="AJ235" s="10">
        <f>IF(OR($B235="",TRIM($J235&amp;"")=""),"",IFERROR(MATCH(TRIM($J235&amp;"")&amp;"|월",파견수련계획!$Z$4:$Z$803,0),""))</f>
        <v/>
      </c>
      <c r="AK235" s="10">
        <f>IF(OR($B235="",TRIM($J235&amp;"")=""),"",IFERROR(MATCH(TRIM($J235&amp;"")&amp;"|다기관",파견수련계획!$AE$4:$AE$803,0),""))</f>
        <v/>
      </c>
      <c r="AL235" s="10">
        <f>IF($AK235="","","다기관 "&amp;TEXT(INDEX(파견수련계획!$AB$4:$AB$803,$AK235),"yyyy-mm-dd")&amp;"~"&amp;IF(ISNUMBER(INDEX(파견수련계획!$AC$4:$AC$803,$AK235)),TEXT(INDEX(파견수련계획!$AC$4:$AC$803,$AK235),"yyyy-mm-dd"),""))</f>
        <v/>
      </c>
    </row>
    <row r="236">
      <c r="A236" s="10">
        <f>IF(B236="","",ROW()-1)</f>
        <v/>
      </c>
      <c r="B236" s="18" t="n"/>
      <c r="C236" s="10">
        <f>IF($AB236="","",IF(INDEX(기본자료!$C$2:$C$1001,$AB236)="","",INDEX(기본자료!$C$2:$C$1001,$AB236)))</f>
        <v/>
      </c>
      <c r="D236" s="10">
        <f>IF($AB236="","",IF(INDEX(기본자료!$J$2:$J$1001,$AB236)="","",INDEX(기본자료!$J$2:$J$1001,$AB236)))</f>
        <v/>
      </c>
      <c r="E236" s="11">
        <f>IF($AB236="","",IF(INDEX(기본자료!$K$2:$K$1001,$AB236)="","",IF(NOT(ISNUMBER(INDEX(기본자료!$K$2:$K$1001,$AB236))),INDEX(기본자료!$K$2:$K$1001,$AB236),IF(INDEX(기본자료!$K$2:$K$1001,$AB236)&lt;1000000,INDEX(기본자료!$K$2:$K$1001,$AB236),IF(AND(INDEX(기본자료!$K$2:$K$1001,$AB236)&gt;=10000101,INT(MOD(INDEX(기본자료!$K$2:$K$1001,$AB236),10000)/100)&gt;=1,INT(MOD(INDEX(기본자료!$K$2:$K$1001,$AB236),10000)/100)&lt;=12,MOD(INDEX(기본자료!$K$2:$K$1001,$AB236),100)&gt;=1,MOD(INDEX(기본자료!$K$2:$K$1001,$AB236),100)&lt;=31),DATE(INT(INDEX(기본자료!$K$2:$K$1001,$AB236)/10000),INT(MOD(INDEX(기본자료!$K$2:$K$1001,$AB236),10000)/100),MOD(INDEX(기본자료!$K$2:$K$1001,$AB236),100)),INDEX(기본자료!$K$2:$K$1001,$AB236)&amp;"")))))</f>
        <v/>
      </c>
      <c r="F236" s="10">
        <f>IF($AB236="","",IF(INDEX(기본자료!$D$2:$D$1001,$AB236)="","",INDEX(기본자료!$D$2:$D$1001,$AB236)))</f>
        <v/>
      </c>
      <c r="G236" s="10">
        <f>IF($AB236="","",IF(INDEX(기본자료!$E$2:$E$1001,$AB236)="","",INDEX(기본자료!$E$2:$E$1001,$AB236)))</f>
        <v/>
      </c>
      <c r="H236" s="10">
        <f>IF($AB236="","",IF(INDEX(기본자료!$F$2:$F$1001,$AB236)="","",INDEX(기본자료!$F$2:$F$1001,$AB236)))</f>
        <v/>
      </c>
      <c r="I236" s="11">
        <f>IF($AB236="","",IF(INDEX(기본자료!$G$2:$G$1001,$AB236)="","",IF(NOT(ISNUMBER(INDEX(기본자료!$G$2:$G$1001,$AB236))),INDEX(기본자료!$G$2:$G$1001,$AB236),IF(INDEX(기본자료!$G$2:$G$1001,$AB236)&lt;1000000,INDEX(기본자료!$G$2:$G$1001,$AB236),IF(AND(INDEX(기본자료!$G$2:$G$1001,$AB236)&gt;=10000101,INT(MOD(INDEX(기본자료!$G$2:$G$1001,$AB236),10000)/100)&gt;=1,INT(MOD(INDEX(기본자료!$G$2:$G$1001,$AB236),10000)/100)&lt;=12,MOD(INDEX(기본자료!$G$2:$G$1001,$AB236),100)&gt;=1,MOD(INDEX(기본자료!$G$2:$G$1001,$AB236),100)&lt;=31),DATE(INT(INDEX(기본자료!$G$2:$G$1001,$AB236)/10000),INT(MOD(INDEX(기본자료!$G$2:$G$1001,$AB236),10000)/100),MOD(INDEX(기본자료!$G$2:$G$1001,$AB236),100)),INDEX(기본자료!$G$2:$G$1001,$AB236)&amp;"")))))</f>
        <v/>
      </c>
      <c r="J236" s="10">
        <f>IF($AB236="","",IF(INDEX(기본자료!$H$2:$H$1001,$AB236)="","",INDEX(기본자료!$H$2:$H$1001,$AB236)))</f>
        <v/>
      </c>
      <c r="K236" s="10">
        <f>IF($AB236="","",IF(INDEX(기본자료!$I$2:$I$1001,$AB236)="","",INDEX(기본자료!$I$2:$I$1001,$AB236)))</f>
        <v/>
      </c>
      <c r="L236" s="10">
        <f>IF($AB236="","",IF(INDEX(기본자료!$A$2:$A$1001,$AB236)="","",INDEX(기본자료!$A$2:$A$1001,$AB236)))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파견수련계획!$AB$4:$AB$803,$AK236),OR(NOT(ISNUMBER(INDEX(파견수련계획!$AC$4:$AC$803,$AK236))),TODAY()&lt;=INDEX(파견수련계획!$AC$4:$AC$803,$AK236))),"다기관",IF($AF236="","",INDEX(파견수련계획!$T$4:$T$803,$AF236))),IF($AF236="","",INDEX(파견수련계획!$T$4:$T$803,$AF236))))</f>
        <v/>
      </c>
      <c r="Q236" s="10">
        <f>IF($AF236="","",INDEX(파견수련계획!$S$4:$S$803,$AF236))</f>
        <v/>
      </c>
      <c r="R236" s="10">
        <f>IF($AF236="","",INDEX(파견수련계획!$U$4:$U$803,$AF236))</f>
        <v/>
      </c>
      <c r="S236" s="11">
        <f>IF($AF236="","",IF(INDEX(파견수련계획!$H$4:$H$803,$AF236)="","",INDEX(파견수련계획!$H$4:$H$803,$AF236)))</f>
        <v/>
      </c>
      <c r="T236" s="11">
        <f>IF($AF236="","",IF(INDEX(파견수련계획!$I$4:$I$803,$AF236)="","",INDEX(파견수련계획!$I$4:$I$803,$AF236)))</f>
        <v/>
      </c>
      <c r="U236" s="10">
        <f>IF($AF236="","",INDEX(파견수련계획!$X$4:$X$803,$AF236))</f>
        <v/>
      </c>
      <c r="V236" s="17">
        <f>IF($AF236="","",INDEX(파견수련계획!$V$4:$V$803,$AF236))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IF(OR($B236="",TRIM($J236&amp;"")=""),"",SUMPRODUCT((파견수련계획!$Q$4:$Q$803=TRIM($J236&amp;""))*파견수련계획!$W$4:$W$803))</f>
        <v/>
      </c>
      <c r="Y236" s="10">
        <f>IF($B236="","",IF($AG236="","",IF(IF(TRIM($J236&amp;"")="",0,SUMPRODUCT((파견수련계획!$Q$4:$Q$803=TRIM($J236&amp;""))*파견수련계획!$AD$4:$AD$803))&gt;0,$AE236,IF(N($X236)&lt;=0,$AG236,IF($AH236+$AI236=DAY(EOMONTH(요약!$B$3,0)),IF(AND($AH236&gt;=요약!$E$3,$AI236&lt;요약!$E$3),"서울병원",IF(AND($AI236&gt;=요약!$E$3,$AH236&lt;요약!$E$3),"구리병원","⚠15일 판정불가(서울 "&amp;$AH236&amp;"일/구리 "&amp;$AI236&amp;"일)")),IF($AJ236="",$AE236,IF(INDEX(파견수련계획!$T$4:$T$803,$AJ236)="통합수련",INDEX(파견수련계획!$S$4:$S$803,$AJ236),$AE236)))))))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입력",IF(IF(TRIM($J236&amp;"")="",0,SUMPRODUCT((파견수련계획!$Q$4:$Q$803=TRIM($J236&amp;""))*(파견수련계획!$AA$4:$AA$803&lt;&gt;"")))&gt;0,"파견수련계획 입력오류 확인",IF(LEFT($Y236,1)="⚠","서울·구리 15일 판정 불가(양쪽 모두 이상/미만)",IF(IF($AC236="",0,N(INDEX(인턴근무계획!$T$3:$T$402,$AC236)))&gt;0,"인턴계획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IF($B236="","",IFERROR(MATCH($B236,기본자료!$B$2:$B$1001,0),IFERROR(MATCH($B236&amp;"",기본자료!$B$2:$B$1001,0),IFERROR(MATCH(VALUE($B236),기본자료!$B$2:$B$1001,0),""))))</f>
        <v/>
      </c>
      <c r="AC236" s="10">
        <f>IF($B236="","",IFERROR(MATCH($B236,인턴근무계획!$D$3:$D$402,0),IFERROR(MATCH($B236&amp;"",인턴근무계획!$D$3:$D$402,0),IFERROR(MATCH(VALUE($B236),인턴근무계획!$D$3:$D$402,0),""))))</f>
        <v/>
      </c>
      <c r="AD236" s="10">
        <f>IF(OR($AC236="",인턴현황!$G$3=""),"",INDEX(인턴근무계획!$M$3:$R$402,$AC236,인턴현황!$G$3)&amp;"")</f>
        <v/>
      </c>
      <c r="AE236" s="10">
        <f>IF($B236="","",IF($M236&lt;&gt;"",$M236,IF($AF236&lt;&gt;"",IF(LEFT(INDEX(파견수련계획!$R$4:$R$803,$AF236),1)&lt;&gt;"⚠",INDEX(파견수련계획!$R$4:$R$803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파견수련계획!$Y$4:$Y$803,0),IFERROR(MATCH(TRIM($J236&amp;"")&amp;"|파견예정",파견수련계획!$Y$4:$Y$803,0),IFERROR(MATCH(TRIM($J236&amp;"")&amp;"|파견종료",파견수련계획!$Y$4:$Y$803,0),""))))</f>
        <v/>
      </c>
      <c r="AG236" s="10">
        <f>IF($B236="","",IF(AND(IF(OR($AC236="",인턴현황!$K$2=""),"",INDEX(인턴근무계획!$M$3:$R$402,$AC236,인턴현황!$K$2)&amp;"")&lt;&gt;"",LEFT(IF(OR($AC236="",인턴현황!$K$2=""),"",INDEX(인턴근무계획!$M$3:$R$402,$AC236,인턴현황!$K$2)&amp;""),1)&lt;&gt;"⚠"),LEFT(IF(OR($AC236="",인턴현황!$K$2=""),"",INDEX(인턴근무계획!$M$3:$R$402,$AC236,인턴현황!$K$2)&amp;""),FIND(" ",IF(OR($AC236="",인턴현황!$K$2=""),"",INDEX(인턴근무계획!$M$3:$R$402,$AC236,인턴현황!$K$2)&amp;""))-1),$AE236))</f>
        <v/>
      </c>
      <c r="AH236" s="17">
        <f>IF($B236="","",IF(TRIM($J236&amp;"")="",0,SUMPRODUCT((파견수련계획!$Q$4:$Q$803=TRIM($J236&amp;""))*(파견수련계획!$S$4:$S$803="서울병원")*파견수련계획!$W$4:$W$803))+IF($AG236="서울병원",MAX(0,DAY(EOMONTH(요약!$B$3,0))-N($X236)),0))</f>
        <v/>
      </c>
      <c r="AI236" s="17">
        <f>IF($B236="","",IF(TRIM($J236&amp;"")="",0,SUMPRODUCT((파견수련계획!$Q$4:$Q$803=TRIM($J236&amp;""))*(파견수련계획!$S$4:$S$803="구리병원")*파견수련계획!$W$4:$W$803))+IF($AG236="구리병원",MAX(0,DAY(EOMONTH(요약!$B$3,0))-N($X236)),0))</f>
        <v/>
      </c>
      <c r="AJ236" s="10">
        <f>IF(OR($B236="",TRIM($J236&amp;"")=""),"",IFERROR(MATCH(TRIM($J236&amp;"")&amp;"|월",파견수련계획!$Z$4:$Z$803,0),""))</f>
        <v/>
      </c>
      <c r="AK236" s="10">
        <f>IF(OR($B236="",TRIM($J236&amp;"")=""),"",IFERROR(MATCH(TRIM($J236&amp;"")&amp;"|다기관",파견수련계획!$AE$4:$AE$803,0),""))</f>
        <v/>
      </c>
      <c r="AL236" s="10">
        <f>IF($AK236="","","다기관 "&amp;TEXT(INDEX(파견수련계획!$AB$4:$AB$803,$AK236),"yyyy-mm-dd")&amp;"~"&amp;IF(ISNUMBER(INDEX(파견수련계획!$AC$4:$AC$803,$AK236)),TEXT(INDEX(파견수련계획!$AC$4:$AC$803,$AK236),"yyyy-mm-dd"),""))</f>
        <v/>
      </c>
    </row>
    <row r="237">
      <c r="A237" s="10">
        <f>IF(B237="","",ROW()-1)</f>
        <v/>
      </c>
      <c r="B237" s="18" t="n"/>
      <c r="C237" s="10">
        <f>IF($AB237="","",IF(INDEX(기본자료!$C$2:$C$1001,$AB237)="","",INDEX(기본자료!$C$2:$C$1001,$AB237)))</f>
        <v/>
      </c>
      <c r="D237" s="10">
        <f>IF($AB237="","",IF(INDEX(기본자료!$J$2:$J$1001,$AB237)="","",INDEX(기본자료!$J$2:$J$1001,$AB237)))</f>
        <v/>
      </c>
      <c r="E237" s="11">
        <f>IF($AB237="","",IF(INDEX(기본자료!$K$2:$K$1001,$AB237)="","",IF(NOT(ISNUMBER(INDEX(기본자료!$K$2:$K$1001,$AB237))),INDEX(기본자료!$K$2:$K$1001,$AB237),IF(INDEX(기본자료!$K$2:$K$1001,$AB237)&lt;1000000,INDEX(기본자료!$K$2:$K$1001,$AB237),IF(AND(INDEX(기본자료!$K$2:$K$1001,$AB237)&gt;=10000101,INT(MOD(INDEX(기본자료!$K$2:$K$1001,$AB237),10000)/100)&gt;=1,INT(MOD(INDEX(기본자료!$K$2:$K$1001,$AB237),10000)/100)&lt;=12,MOD(INDEX(기본자료!$K$2:$K$1001,$AB237),100)&gt;=1,MOD(INDEX(기본자료!$K$2:$K$1001,$AB237),100)&lt;=31),DATE(INT(INDEX(기본자료!$K$2:$K$1001,$AB237)/10000),INT(MOD(INDEX(기본자료!$K$2:$K$1001,$AB237),10000)/100),MOD(INDEX(기본자료!$K$2:$K$1001,$AB237),100)),INDEX(기본자료!$K$2:$K$1001,$AB237)&amp;"")))))</f>
        <v/>
      </c>
      <c r="F237" s="10">
        <f>IF($AB237="","",IF(INDEX(기본자료!$D$2:$D$1001,$AB237)="","",INDEX(기본자료!$D$2:$D$1001,$AB237)))</f>
        <v/>
      </c>
      <c r="G237" s="10">
        <f>IF($AB237="","",IF(INDEX(기본자료!$E$2:$E$1001,$AB237)="","",INDEX(기본자료!$E$2:$E$1001,$AB237)))</f>
        <v/>
      </c>
      <c r="H237" s="10">
        <f>IF($AB237="","",IF(INDEX(기본자료!$F$2:$F$1001,$AB237)="","",INDEX(기본자료!$F$2:$F$1001,$AB237)))</f>
        <v/>
      </c>
      <c r="I237" s="11">
        <f>IF($AB237="","",IF(INDEX(기본자료!$G$2:$G$1001,$AB237)="","",IF(NOT(ISNUMBER(INDEX(기본자료!$G$2:$G$1001,$AB237))),INDEX(기본자료!$G$2:$G$1001,$AB237),IF(INDEX(기본자료!$G$2:$G$1001,$AB237)&lt;1000000,INDEX(기본자료!$G$2:$G$1001,$AB237),IF(AND(INDEX(기본자료!$G$2:$G$1001,$AB237)&gt;=10000101,INT(MOD(INDEX(기본자료!$G$2:$G$1001,$AB237),10000)/100)&gt;=1,INT(MOD(INDEX(기본자료!$G$2:$G$1001,$AB237),10000)/100)&lt;=12,MOD(INDEX(기본자료!$G$2:$G$1001,$AB237),100)&gt;=1,MOD(INDEX(기본자료!$G$2:$G$1001,$AB237),100)&lt;=31),DATE(INT(INDEX(기본자료!$G$2:$G$1001,$AB237)/10000),INT(MOD(INDEX(기본자료!$G$2:$G$1001,$AB237),10000)/100),MOD(INDEX(기본자료!$G$2:$G$1001,$AB237),100)),INDEX(기본자료!$G$2:$G$1001,$AB237)&amp;"")))))</f>
        <v/>
      </c>
      <c r="J237" s="10">
        <f>IF($AB237="","",IF(INDEX(기본자료!$H$2:$H$1001,$AB237)="","",INDEX(기본자료!$H$2:$H$1001,$AB237)))</f>
        <v/>
      </c>
      <c r="K237" s="10">
        <f>IF($AB237="","",IF(INDEX(기본자료!$I$2:$I$1001,$AB237)="","",INDEX(기본자료!$I$2:$I$1001,$AB237)))</f>
        <v/>
      </c>
      <c r="L237" s="10">
        <f>IF($AB237="","",IF(INDEX(기본자료!$A$2:$A$1001,$AB237)="","",INDEX(기본자료!$A$2:$A$1001,$AB237)))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파견수련계획!$AB$4:$AB$803,$AK237),OR(NOT(ISNUMBER(INDEX(파견수련계획!$AC$4:$AC$803,$AK237))),TODAY()&lt;=INDEX(파견수련계획!$AC$4:$AC$803,$AK237))),"다기관",IF($AF237="","",INDEX(파견수련계획!$T$4:$T$803,$AF237))),IF($AF237="","",INDEX(파견수련계획!$T$4:$T$803,$AF237))))</f>
        <v/>
      </c>
      <c r="Q237" s="10">
        <f>IF($AF237="","",INDEX(파견수련계획!$S$4:$S$803,$AF237))</f>
        <v/>
      </c>
      <c r="R237" s="10">
        <f>IF($AF237="","",INDEX(파견수련계획!$U$4:$U$803,$AF237))</f>
        <v/>
      </c>
      <c r="S237" s="11">
        <f>IF($AF237="","",IF(INDEX(파견수련계획!$H$4:$H$803,$AF237)="","",INDEX(파견수련계획!$H$4:$H$803,$AF237)))</f>
        <v/>
      </c>
      <c r="T237" s="11">
        <f>IF($AF237="","",IF(INDEX(파견수련계획!$I$4:$I$803,$AF237)="","",INDEX(파견수련계획!$I$4:$I$803,$AF237)))</f>
        <v/>
      </c>
      <c r="U237" s="10">
        <f>IF($AF237="","",INDEX(파견수련계획!$X$4:$X$803,$AF237))</f>
        <v/>
      </c>
      <c r="V237" s="17">
        <f>IF($AF237="","",INDEX(파견수련계획!$V$4:$V$803,$AF237))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IF(OR($B237="",TRIM($J237&amp;"")=""),"",SUMPRODUCT((파견수련계획!$Q$4:$Q$803=TRIM($J237&amp;""))*파견수련계획!$W$4:$W$803))</f>
        <v/>
      </c>
      <c r="Y237" s="10">
        <f>IF($B237="","",IF($AG237="","",IF(IF(TRIM($J237&amp;"")="",0,SUMPRODUCT((파견수련계획!$Q$4:$Q$803=TRIM($J237&amp;""))*파견수련계획!$AD$4:$AD$803))&gt;0,$AE237,IF(N($X237)&lt;=0,$AG237,IF($AH237+$AI237=DAY(EOMONTH(요약!$B$3,0)),IF(AND($AH237&gt;=요약!$E$3,$AI237&lt;요약!$E$3),"서울병원",IF(AND($AI237&gt;=요약!$E$3,$AH237&lt;요약!$E$3),"구리병원","⚠15일 판정불가(서울 "&amp;$AH237&amp;"일/구리 "&amp;$AI237&amp;"일)")),IF($AJ237="",$AE237,IF(INDEX(파견수련계획!$T$4:$T$803,$AJ237)="통합수련",INDEX(파견수련계획!$S$4:$S$803,$AJ237),$AE237)))))))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입력",IF(IF(TRIM($J237&amp;"")="",0,SUMPRODUCT((파견수련계획!$Q$4:$Q$803=TRIM($J237&amp;""))*(파견수련계획!$AA$4:$AA$803&lt;&gt;"")))&gt;0,"파견수련계획 입력오류 확인",IF(LEFT($Y237,1)="⚠","서울·구리 15일 판정 불가(양쪽 모두 이상/미만)",IF(IF($AC237="",0,N(INDEX(인턴근무계획!$T$3:$T$402,$AC237)))&gt;0,"인턴계획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IF($B237="","",IFERROR(MATCH($B237,기본자료!$B$2:$B$1001,0),IFERROR(MATCH($B237&amp;"",기본자료!$B$2:$B$1001,0),IFERROR(MATCH(VALUE($B237),기본자료!$B$2:$B$1001,0),""))))</f>
        <v/>
      </c>
      <c r="AC237" s="10">
        <f>IF($B237="","",IFERROR(MATCH($B237,인턴근무계획!$D$3:$D$402,0),IFERROR(MATCH($B237&amp;"",인턴근무계획!$D$3:$D$402,0),IFERROR(MATCH(VALUE($B237),인턴근무계획!$D$3:$D$402,0),""))))</f>
        <v/>
      </c>
      <c r="AD237" s="10">
        <f>IF(OR($AC237="",인턴현황!$G$3=""),"",INDEX(인턴근무계획!$M$3:$R$402,$AC237,인턴현황!$G$3)&amp;"")</f>
        <v/>
      </c>
      <c r="AE237" s="10">
        <f>IF($B237="","",IF($M237&lt;&gt;"",$M237,IF($AF237&lt;&gt;"",IF(LEFT(INDEX(파견수련계획!$R$4:$R$803,$AF237),1)&lt;&gt;"⚠",INDEX(파견수련계획!$R$4:$R$803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파견수련계획!$Y$4:$Y$803,0),IFERROR(MATCH(TRIM($J237&amp;"")&amp;"|파견예정",파견수련계획!$Y$4:$Y$803,0),IFERROR(MATCH(TRIM($J237&amp;"")&amp;"|파견종료",파견수련계획!$Y$4:$Y$803,0),""))))</f>
        <v/>
      </c>
      <c r="AG237" s="10">
        <f>IF($B237="","",IF(AND(IF(OR($AC237="",인턴현황!$K$2=""),"",INDEX(인턴근무계획!$M$3:$R$402,$AC237,인턴현황!$K$2)&amp;"")&lt;&gt;"",LEFT(IF(OR($AC237="",인턴현황!$K$2=""),"",INDEX(인턴근무계획!$M$3:$R$402,$AC237,인턴현황!$K$2)&amp;""),1)&lt;&gt;"⚠"),LEFT(IF(OR($AC237="",인턴현황!$K$2=""),"",INDEX(인턴근무계획!$M$3:$R$402,$AC237,인턴현황!$K$2)&amp;""),FIND(" ",IF(OR($AC237="",인턴현황!$K$2=""),"",INDEX(인턴근무계획!$M$3:$R$402,$AC237,인턴현황!$K$2)&amp;""))-1),$AE237))</f>
        <v/>
      </c>
      <c r="AH237" s="17">
        <f>IF($B237="","",IF(TRIM($J237&amp;"")="",0,SUMPRODUCT((파견수련계획!$Q$4:$Q$803=TRIM($J237&amp;""))*(파견수련계획!$S$4:$S$803="서울병원")*파견수련계획!$W$4:$W$803))+IF($AG237="서울병원",MAX(0,DAY(EOMONTH(요약!$B$3,0))-N($X237)),0))</f>
        <v/>
      </c>
      <c r="AI237" s="17">
        <f>IF($B237="","",IF(TRIM($J237&amp;"")="",0,SUMPRODUCT((파견수련계획!$Q$4:$Q$803=TRIM($J237&amp;""))*(파견수련계획!$S$4:$S$803="구리병원")*파견수련계획!$W$4:$W$803))+IF($AG237="구리병원",MAX(0,DAY(EOMONTH(요약!$B$3,0))-N($X237)),0))</f>
        <v/>
      </c>
      <c r="AJ237" s="10">
        <f>IF(OR($B237="",TRIM($J237&amp;"")=""),"",IFERROR(MATCH(TRIM($J237&amp;"")&amp;"|월",파견수련계획!$Z$4:$Z$803,0),""))</f>
        <v/>
      </c>
      <c r="AK237" s="10">
        <f>IF(OR($B237="",TRIM($J237&amp;"")=""),"",IFERROR(MATCH(TRIM($J237&amp;"")&amp;"|다기관",파견수련계획!$AE$4:$AE$803,0),""))</f>
        <v/>
      </c>
      <c r="AL237" s="10">
        <f>IF($AK237="","","다기관 "&amp;TEXT(INDEX(파견수련계획!$AB$4:$AB$803,$AK237),"yyyy-mm-dd")&amp;"~"&amp;IF(ISNUMBER(INDEX(파견수련계획!$AC$4:$AC$803,$AK237)),TEXT(INDEX(파견수련계획!$AC$4:$AC$803,$AK237),"yyyy-mm-dd"),""))</f>
        <v/>
      </c>
    </row>
    <row r="238">
      <c r="A238" s="10">
        <f>IF(B238="","",ROW()-1)</f>
        <v/>
      </c>
      <c r="B238" s="18" t="n"/>
      <c r="C238" s="10">
        <f>IF($AB238="","",IF(INDEX(기본자료!$C$2:$C$1001,$AB238)="","",INDEX(기본자료!$C$2:$C$1001,$AB238)))</f>
        <v/>
      </c>
      <c r="D238" s="10">
        <f>IF($AB238="","",IF(INDEX(기본자료!$J$2:$J$1001,$AB238)="","",INDEX(기본자료!$J$2:$J$1001,$AB238)))</f>
        <v/>
      </c>
      <c r="E238" s="11">
        <f>IF($AB238="","",IF(INDEX(기본자료!$K$2:$K$1001,$AB238)="","",IF(NOT(ISNUMBER(INDEX(기본자료!$K$2:$K$1001,$AB238))),INDEX(기본자료!$K$2:$K$1001,$AB238),IF(INDEX(기본자료!$K$2:$K$1001,$AB238)&lt;1000000,INDEX(기본자료!$K$2:$K$1001,$AB238),IF(AND(INDEX(기본자료!$K$2:$K$1001,$AB238)&gt;=10000101,INT(MOD(INDEX(기본자료!$K$2:$K$1001,$AB238),10000)/100)&gt;=1,INT(MOD(INDEX(기본자료!$K$2:$K$1001,$AB238),10000)/100)&lt;=12,MOD(INDEX(기본자료!$K$2:$K$1001,$AB238),100)&gt;=1,MOD(INDEX(기본자료!$K$2:$K$1001,$AB238),100)&lt;=31),DATE(INT(INDEX(기본자료!$K$2:$K$1001,$AB238)/10000),INT(MOD(INDEX(기본자료!$K$2:$K$1001,$AB238),10000)/100),MOD(INDEX(기본자료!$K$2:$K$1001,$AB238),100)),INDEX(기본자료!$K$2:$K$1001,$AB238)&amp;"")))))</f>
        <v/>
      </c>
      <c r="F238" s="10">
        <f>IF($AB238="","",IF(INDEX(기본자료!$D$2:$D$1001,$AB238)="","",INDEX(기본자료!$D$2:$D$1001,$AB238)))</f>
        <v/>
      </c>
      <c r="G238" s="10">
        <f>IF($AB238="","",IF(INDEX(기본자료!$E$2:$E$1001,$AB238)="","",INDEX(기본자료!$E$2:$E$1001,$AB238)))</f>
        <v/>
      </c>
      <c r="H238" s="10">
        <f>IF($AB238="","",IF(INDEX(기본자료!$F$2:$F$1001,$AB238)="","",INDEX(기본자료!$F$2:$F$1001,$AB238)))</f>
        <v/>
      </c>
      <c r="I238" s="11">
        <f>IF($AB238="","",IF(INDEX(기본자료!$G$2:$G$1001,$AB238)="","",IF(NOT(ISNUMBER(INDEX(기본자료!$G$2:$G$1001,$AB238))),INDEX(기본자료!$G$2:$G$1001,$AB238),IF(INDEX(기본자료!$G$2:$G$1001,$AB238)&lt;1000000,INDEX(기본자료!$G$2:$G$1001,$AB238),IF(AND(INDEX(기본자료!$G$2:$G$1001,$AB238)&gt;=10000101,INT(MOD(INDEX(기본자료!$G$2:$G$1001,$AB238),10000)/100)&gt;=1,INT(MOD(INDEX(기본자료!$G$2:$G$1001,$AB238),10000)/100)&lt;=12,MOD(INDEX(기본자료!$G$2:$G$1001,$AB238),100)&gt;=1,MOD(INDEX(기본자료!$G$2:$G$1001,$AB238),100)&lt;=31),DATE(INT(INDEX(기본자료!$G$2:$G$1001,$AB238)/10000),INT(MOD(INDEX(기본자료!$G$2:$G$1001,$AB238),10000)/100),MOD(INDEX(기본자료!$G$2:$G$1001,$AB238),100)),INDEX(기본자료!$G$2:$G$1001,$AB238)&amp;"")))))</f>
        <v/>
      </c>
      <c r="J238" s="10">
        <f>IF($AB238="","",IF(INDEX(기본자료!$H$2:$H$1001,$AB238)="","",INDEX(기본자료!$H$2:$H$1001,$AB238)))</f>
        <v/>
      </c>
      <c r="K238" s="10">
        <f>IF($AB238="","",IF(INDEX(기본자료!$I$2:$I$1001,$AB238)="","",INDEX(기본자료!$I$2:$I$1001,$AB238)))</f>
        <v/>
      </c>
      <c r="L238" s="10">
        <f>IF($AB238="","",IF(INDEX(기본자료!$A$2:$A$1001,$AB238)="","",INDEX(기본자료!$A$2:$A$1001,$AB238)))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파견수련계획!$AB$4:$AB$803,$AK238),OR(NOT(ISNUMBER(INDEX(파견수련계획!$AC$4:$AC$803,$AK238))),TODAY()&lt;=INDEX(파견수련계획!$AC$4:$AC$803,$AK238))),"다기관",IF($AF238="","",INDEX(파견수련계획!$T$4:$T$803,$AF238))),IF($AF238="","",INDEX(파견수련계획!$T$4:$T$803,$AF238))))</f>
        <v/>
      </c>
      <c r="Q238" s="10">
        <f>IF($AF238="","",INDEX(파견수련계획!$S$4:$S$803,$AF238))</f>
        <v/>
      </c>
      <c r="R238" s="10">
        <f>IF($AF238="","",INDEX(파견수련계획!$U$4:$U$803,$AF238))</f>
        <v/>
      </c>
      <c r="S238" s="11">
        <f>IF($AF238="","",IF(INDEX(파견수련계획!$H$4:$H$803,$AF238)="","",INDEX(파견수련계획!$H$4:$H$803,$AF238)))</f>
        <v/>
      </c>
      <c r="T238" s="11">
        <f>IF($AF238="","",IF(INDEX(파견수련계획!$I$4:$I$803,$AF238)="","",INDEX(파견수련계획!$I$4:$I$803,$AF238)))</f>
        <v/>
      </c>
      <c r="U238" s="10">
        <f>IF($AF238="","",INDEX(파견수련계획!$X$4:$X$803,$AF238))</f>
        <v/>
      </c>
      <c r="V238" s="17">
        <f>IF($AF238="","",INDEX(파견수련계획!$V$4:$V$803,$AF238))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IF(OR($B238="",TRIM($J238&amp;"")=""),"",SUMPRODUCT((파견수련계획!$Q$4:$Q$803=TRIM($J238&amp;""))*파견수련계획!$W$4:$W$803))</f>
        <v/>
      </c>
      <c r="Y238" s="10">
        <f>IF($B238="","",IF($AG238="","",IF(IF(TRIM($J238&amp;"")="",0,SUMPRODUCT((파견수련계획!$Q$4:$Q$803=TRIM($J238&amp;""))*파견수련계획!$AD$4:$AD$803))&gt;0,$AE238,IF(N($X238)&lt;=0,$AG238,IF($AH238+$AI238=DAY(EOMONTH(요약!$B$3,0)),IF(AND($AH238&gt;=요약!$E$3,$AI238&lt;요약!$E$3),"서울병원",IF(AND($AI238&gt;=요약!$E$3,$AH238&lt;요약!$E$3),"구리병원","⚠15일 판정불가(서울 "&amp;$AH238&amp;"일/구리 "&amp;$AI238&amp;"일)")),IF($AJ238="",$AE238,IF(INDEX(파견수련계획!$T$4:$T$803,$AJ238)="통합수련",INDEX(파견수련계획!$S$4:$S$803,$AJ238),$AE238)))))))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입력",IF(IF(TRIM($J238&amp;"")="",0,SUMPRODUCT((파견수련계획!$Q$4:$Q$803=TRIM($J238&amp;""))*(파견수련계획!$AA$4:$AA$803&lt;&gt;"")))&gt;0,"파견수련계획 입력오류 확인",IF(LEFT($Y238,1)="⚠","서울·구리 15일 판정 불가(양쪽 모두 이상/미만)",IF(IF($AC238="",0,N(INDEX(인턴근무계획!$T$3:$T$402,$AC238)))&gt;0,"인턴계획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IF($B238="","",IFERROR(MATCH($B238,기본자료!$B$2:$B$1001,0),IFERROR(MATCH($B238&amp;"",기본자료!$B$2:$B$1001,0),IFERROR(MATCH(VALUE($B238),기본자료!$B$2:$B$1001,0),""))))</f>
        <v/>
      </c>
      <c r="AC238" s="10">
        <f>IF($B238="","",IFERROR(MATCH($B238,인턴근무계획!$D$3:$D$402,0),IFERROR(MATCH($B238&amp;"",인턴근무계획!$D$3:$D$402,0),IFERROR(MATCH(VALUE($B238),인턴근무계획!$D$3:$D$402,0),""))))</f>
        <v/>
      </c>
      <c r="AD238" s="10">
        <f>IF(OR($AC238="",인턴현황!$G$3=""),"",INDEX(인턴근무계획!$M$3:$R$402,$AC238,인턴현황!$G$3)&amp;"")</f>
        <v/>
      </c>
      <c r="AE238" s="10">
        <f>IF($B238="","",IF($M238&lt;&gt;"",$M238,IF($AF238&lt;&gt;"",IF(LEFT(INDEX(파견수련계획!$R$4:$R$803,$AF238),1)&lt;&gt;"⚠",INDEX(파견수련계획!$R$4:$R$803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파견수련계획!$Y$4:$Y$803,0),IFERROR(MATCH(TRIM($J238&amp;"")&amp;"|파견예정",파견수련계획!$Y$4:$Y$803,0),IFERROR(MATCH(TRIM($J238&amp;"")&amp;"|파견종료",파견수련계획!$Y$4:$Y$803,0),""))))</f>
        <v/>
      </c>
      <c r="AG238" s="10">
        <f>IF($B238="","",IF(AND(IF(OR($AC238="",인턴현황!$K$2=""),"",INDEX(인턴근무계획!$M$3:$R$402,$AC238,인턴현황!$K$2)&amp;"")&lt;&gt;"",LEFT(IF(OR($AC238="",인턴현황!$K$2=""),"",INDEX(인턴근무계획!$M$3:$R$402,$AC238,인턴현황!$K$2)&amp;""),1)&lt;&gt;"⚠"),LEFT(IF(OR($AC238="",인턴현황!$K$2=""),"",INDEX(인턴근무계획!$M$3:$R$402,$AC238,인턴현황!$K$2)&amp;""),FIND(" ",IF(OR($AC238="",인턴현황!$K$2=""),"",INDEX(인턴근무계획!$M$3:$R$402,$AC238,인턴현황!$K$2)&amp;""))-1),$AE238))</f>
        <v/>
      </c>
      <c r="AH238" s="17">
        <f>IF($B238="","",IF(TRIM($J238&amp;"")="",0,SUMPRODUCT((파견수련계획!$Q$4:$Q$803=TRIM($J238&amp;""))*(파견수련계획!$S$4:$S$803="서울병원")*파견수련계획!$W$4:$W$803))+IF($AG238="서울병원",MAX(0,DAY(EOMONTH(요약!$B$3,0))-N($X238)),0))</f>
        <v/>
      </c>
      <c r="AI238" s="17">
        <f>IF($B238="","",IF(TRIM($J238&amp;"")="",0,SUMPRODUCT((파견수련계획!$Q$4:$Q$803=TRIM($J238&amp;""))*(파견수련계획!$S$4:$S$803="구리병원")*파견수련계획!$W$4:$W$803))+IF($AG238="구리병원",MAX(0,DAY(EOMONTH(요약!$B$3,0))-N($X238)),0))</f>
        <v/>
      </c>
      <c r="AJ238" s="10">
        <f>IF(OR($B238="",TRIM($J238&amp;"")=""),"",IFERROR(MATCH(TRIM($J238&amp;"")&amp;"|월",파견수련계획!$Z$4:$Z$803,0),""))</f>
        <v/>
      </c>
      <c r="AK238" s="10">
        <f>IF(OR($B238="",TRIM($J238&amp;"")=""),"",IFERROR(MATCH(TRIM($J238&amp;"")&amp;"|다기관",파견수련계획!$AE$4:$AE$803,0),""))</f>
        <v/>
      </c>
      <c r="AL238" s="10">
        <f>IF($AK238="","","다기관 "&amp;TEXT(INDEX(파견수련계획!$AB$4:$AB$803,$AK238),"yyyy-mm-dd")&amp;"~"&amp;IF(ISNUMBER(INDEX(파견수련계획!$AC$4:$AC$803,$AK238)),TEXT(INDEX(파견수련계획!$AC$4:$AC$803,$AK238),"yyyy-mm-dd"),""))</f>
        <v/>
      </c>
    </row>
    <row r="239">
      <c r="A239" s="10">
        <f>IF(B239="","",ROW()-1)</f>
        <v/>
      </c>
      <c r="B239" s="18" t="n"/>
      <c r="C239" s="10">
        <f>IF($AB239="","",IF(INDEX(기본자료!$C$2:$C$1001,$AB239)="","",INDEX(기본자료!$C$2:$C$1001,$AB239)))</f>
        <v/>
      </c>
      <c r="D239" s="10">
        <f>IF($AB239="","",IF(INDEX(기본자료!$J$2:$J$1001,$AB239)="","",INDEX(기본자료!$J$2:$J$1001,$AB239)))</f>
        <v/>
      </c>
      <c r="E239" s="11">
        <f>IF($AB239="","",IF(INDEX(기본자료!$K$2:$K$1001,$AB239)="","",IF(NOT(ISNUMBER(INDEX(기본자료!$K$2:$K$1001,$AB239))),INDEX(기본자료!$K$2:$K$1001,$AB239),IF(INDEX(기본자료!$K$2:$K$1001,$AB239)&lt;1000000,INDEX(기본자료!$K$2:$K$1001,$AB239),IF(AND(INDEX(기본자료!$K$2:$K$1001,$AB239)&gt;=10000101,INT(MOD(INDEX(기본자료!$K$2:$K$1001,$AB239),10000)/100)&gt;=1,INT(MOD(INDEX(기본자료!$K$2:$K$1001,$AB239),10000)/100)&lt;=12,MOD(INDEX(기본자료!$K$2:$K$1001,$AB239),100)&gt;=1,MOD(INDEX(기본자료!$K$2:$K$1001,$AB239),100)&lt;=31),DATE(INT(INDEX(기본자료!$K$2:$K$1001,$AB239)/10000),INT(MOD(INDEX(기본자료!$K$2:$K$1001,$AB239),10000)/100),MOD(INDEX(기본자료!$K$2:$K$1001,$AB239),100)),INDEX(기본자료!$K$2:$K$1001,$AB239)&amp;"")))))</f>
        <v/>
      </c>
      <c r="F239" s="10">
        <f>IF($AB239="","",IF(INDEX(기본자료!$D$2:$D$1001,$AB239)="","",INDEX(기본자료!$D$2:$D$1001,$AB239)))</f>
        <v/>
      </c>
      <c r="G239" s="10">
        <f>IF($AB239="","",IF(INDEX(기본자료!$E$2:$E$1001,$AB239)="","",INDEX(기본자료!$E$2:$E$1001,$AB239)))</f>
        <v/>
      </c>
      <c r="H239" s="10">
        <f>IF($AB239="","",IF(INDEX(기본자료!$F$2:$F$1001,$AB239)="","",INDEX(기본자료!$F$2:$F$1001,$AB239)))</f>
        <v/>
      </c>
      <c r="I239" s="11">
        <f>IF($AB239="","",IF(INDEX(기본자료!$G$2:$G$1001,$AB239)="","",IF(NOT(ISNUMBER(INDEX(기본자료!$G$2:$G$1001,$AB239))),INDEX(기본자료!$G$2:$G$1001,$AB239),IF(INDEX(기본자료!$G$2:$G$1001,$AB239)&lt;1000000,INDEX(기본자료!$G$2:$G$1001,$AB239),IF(AND(INDEX(기본자료!$G$2:$G$1001,$AB239)&gt;=10000101,INT(MOD(INDEX(기본자료!$G$2:$G$1001,$AB239),10000)/100)&gt;=1,INT(MOD(INDEX(기본자료!$G$2:$G$1001,$AB239),10000)/100)&lt;=12,MOD(INDEX(기본자료!$G$2:$G$1001,$AB239),100)&gt;=1,MOD(INDEX(기본자료!$G$2:$G$1001,$AB239),100)&lt;=31),DATE(INT(INDEX(기본자료!$G$2:$G$1001,$AB239)/10000),INT(MOD(INDEX(기본자료!$G$2:$G$1001,$AB239),10000)/100),MOD(INDEX(기본자료!$G$2:$G$1001,$AB239),100)),INDEX(기본자료!$G$2:$G$1001,$AB239)&amp;"")))))</f>
        <v/>
      </c>
      <c r="J239" s="10">
        <f>IF($AB239="","",IF(INDEX(기본자료!$H$2:$H$1001,$AB239)="","",INDEX(기본자료!$H$2:$H$1001,$AB239)))</f>
        <v/>
      </c>
      <c r="K239" s="10">
        <f>IF($AB239="","",IF(INDEX(기본자료!$I$2:$I$1001,$AB239)="","",INDEX(기본자료!$I$2:$I$1001,$AB239)))</f>
        <v/>
      </c>
      <c r="L239" s="10">
        <f>IF($AB239="","",IF(INDEX(기본자료!$A$2:$A$1001,$AB239)="","",INDEX(기본자료!$A$2:$A$1001,$AB239)))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파견수련계획!$AB$4:$AB$803,$AK239),OR(NOT(ISNUMBER(INDEX(파견수련계획!$AC$4:$AC$803,$AK239))),TODAY()&lt;=INDEX(파견수련계획!$AC$4:$AC$803,$AK239))),"다기관",IF($AF239="","",INDEX(파견수련계획!$T$4:$T$803,$AF239))),IF($AF239="","",INDEX(파견수련계획!$T$4:$T$803,$AF239))))</f>
        <v/>
      </c>
      <c r="Q239" s="10">
        <f>IF($AF239="","",INDEX(파견수련계획!$S$4:$S$803,$AF239))</f>
        <v/>
      </c>
      <c r="R239" s="10">
        <f>IF($AF239="","",INDEX(파견수련계획!$U$4:$U$803,$AF239))</f>
        <v/>
      </c>
      <c r="S239" s="11">
        <f>IF($AF239="","",IF(INDEX(파견수련계획!$H$4:$H$803,$AF239)="","",INDEX(파견수련계획!$H$4:$H$803,$AF239)))</f>
        <v/>
      </c>
      <c r="T239" s="11">
        <f>IF($AF239="","",IF(INDEX(파견수련계획!$I$4:$I$803,$AF239)="","",INDEX(파견수련계획!$I$4:$I$803,$AF239)))</f>
        <v/>
      </c>
      <c r="U239" s="10">
        <f>IF($AF239="","",INDEX(파견수련계획!$X$4:$X$803,$AF239))</f>
        <v/>
      </c>
      <c r="V239" s="17">
        <f>IF($AF239="","",INDEX(파견수련계획!$V$4:$V$803,$AF239))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IF(OR($B239="",TRIM($J239&amp;"")=""),"",SUMPRODUCT((파견수련계획!$Q$4:$Q$803=TRIM($J239&amp;""))*파견수련계획!$W$4:$W$803))</f>
        <v/>
      </c>
      <c r="Y239" s="10">
        <f>IF($B239="","",IF($AG239="","",IF(IF(TRIM($J239&amp;"")="",0,SUMPRODUCT((파견수련계획!$Q$4:$Q$803=TRIM($J239&amp;""))*파견수련계획!$AD$4:$AD$803))&gt;0,$AE239,IF(N($X239)&lt;=0,$AG239,IF($AH239+$AI239=DAY(EOMONTH(요약!$B$3,0)),IF(AND($AH239&gt;=요약!$E$3,$AI239&lt;요약!$E$3),"서울병원",IF(AND($AI239&gt;=요약!$E$3,$AH239&lt;요약!$E$3),"구리병원","⚠15일 판정불가(서울 "&amp;$AH239&amp;"일/구리 "&amp;$AI239&amp;"일)")),IF($AJ239="",$AE239,IF(INDEX(파견수련계획!$T$4:$T$803,$AJ239)="통합수련",INDEX(파견수련계획!$S$4:$S$803,$AJ239),$AE239)))))))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입력",IF(IF(TRIM($J239&amp;"")="",0,SUMPRODUCT((파견수련계획!$Q$4:$Q$803=TRIM($J239&amp;""))*(파견수련계획!$AA$4:$AA$803&lt;&gt;"")))&gt;0,"파견수련계획 입력오류 확인",IF(LEFT($Y239,1)="⚠","서울·구리 15일 판정 불가(양쪽 모두 이상/미만)",IF(IF($AC239="",0,N(INDEX(인턴근무계획!$T$3:$T$402,$AC239)))&gt;0,"인턴계획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IF($B239="","",IFERROR(MATCH($B239,기본자료!$B$2:$B$1001,0),IFERROR(MATCH($B239&amp;"",기본자료!$B$2:$B$1001,0),IFERROR(MATCH(VALUE($B239),기본자료!$B$2:$B$1001,0),""))))</f>
        <v/>
      </c>
      <c r="AC239" s="10">
        <f>IF($B239="","",IFERROR(MATCH($B239,인턴근무계획!$D$3:$D$402,0),IFERROR(MATCH($B239&amp;"",인턴근무계획!$D$3:$D$402,0),IFERROR(MATCH(VALUE($B239),인턴근무계획!$D$3:$D$402,0),""))))</f>
        <v/>
      </c>
      <c r="AD239" s="10">
        <f>IF(OR($AC239="",인턴현황!$G$3=""),"",INDEX(인턴근무계획!$M$3:$R$402,$AC239,인턴현황!$G$3)&amp;"")</f>
        <v/>
      </c>
      <c r="AE239" s="10">
        <f>IF($B239="","",IF($M239&lt;&gt;"",$M239,IF($AF239&lt;&gt;"",IF(LEFT(INDEX(파견수련계획!$R$4:$R$803,$AF239),1)&lt;&gt;"⚠",INDEX(파견수련계획!$R$4:$R$803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파견수련계획!$Y$4:$Y$803,0),IFERROR(MATCH(TRIM($J239&amp;"")&amp;"|파견예정",파견수련계획!$Y$4:$Y$803,0),IFERROR(MATCH(TRIM($J239&amp;"")&amp;"|파견종료",파견수련계획!$Y$4:$Y$803,0),""))))</f>
        <v/>
      </c>
      <c r="AG239" s="10">
        <f>IF($B239="","",IF(AND(IF(OR($AC239="",인턴현황!$K$2=""),"",INDEX(인턴근무계획!$M$3:$R$402,$AC239,인턴현황!$K$2)&amp;"")&lt;&gt;"",LEFT(IF(OR($AC239="",인턴현황!$K$2=""),"",INDEX(인턴근무계획!$M$3:$R$402,$AC239,인턴현황!$K$2)&amp;""),1)&lt;&gt;"⚠"),LEFT(IF(OR($AC239="",인턴현황!$K$2=""),"",INDEX(인턴근무계획!$M$3:$R$402,$AC239,인턴현황!$K$2)&amp;""),FIND(" ",IF(OR($AC239="",인턴현황!$K$2=""),"",INDEX(인턴근무계획!$M$3:$R$402,$AC239,인턴현황!$K$2)&amp;""))-1),$AE239))</f>
        <v/>
      </c>
      <c r="AH239" s="17">
        <f>IF($B239="","",IF(TRIM($J239&amp;"")="",0,SUMPRODUCT((파견수련계획!$Q$4:$Q$803=TRIM($J239&amp;""))*(파견수련계획!$S$4:$S$803="서울병원")*파견수련계획!$W$4:$W$803))+IF($AG239="서울병원",MAX(0,DAY(EOMONTH(요약!$B$3,0))-N($X239)),0))</f>
        <v/>
      </c>
      <c r="AI239" s="17">
        <f>IF($B239="","",IF(TRIM($J239&amp;"")="",0,SUMPRODUCT((파견수련계획!$Q$4:$Q$803=TRIM($J239&amp;""))*(파견수련계획!$S$4:$S$803="구리병원")*파견수련계획!$W$4:$W$803))+IF($AG239="구리병원",MAX(0,DAY(EOMONTH(요약!$B$3,0))-N($X239)),0))</f>
        <v/>
      </c>
      <c r="AJ239" s="10">
        <f>IF(OR($B239="",TRIM($J239&amp;"")=""),"",IFERROR(MATCH(TRIM($J239&amp;"")&amp;"|월",파견수련계획!$Z$4:$Z$803,0),""))</f>
        <v/>
      </c>
      <c r="AK239" s="10">
        <f>IF(OR($B239="",TRIM($J239&amp;"")=""),"",IFERROR(MATCH(TRIM($J239&amp;"")&amp;"|다기관",파견수련계획!$AE$4:$AE$803,0),""))</f>
        <v/>
      </c>
      <c r="AL239" s="10">
        <f>IF($AK239="","","다기관 "&amp;TEXT(INDEX(파견수련계획!$AB$4:$AB$803,$AK239),"yyyy-mm-dd")&amp;"~"&amp;IF(ISNUMBER(INDEX(파견수련계획!$AC$4:$AC$803,$AK239)),TEXT(INDEX(파견수련계획!$AC$4:$AC$803,$AK239),"yyyy-mm-dd"),""))</f>
        <v/>
      </c>
    </row>
    <row r="240">
      <c r="A240" s="10">
        <f>IF(B240="","",ROW()-1)</f>
        <v/>
      </c>
      <c r="B240" s="18" t="n"/>
      <c r="C240" s="10">
        <f>IF($AB240="","",IF(INDEX(기본자료!$C$2:$C$1001,$AB240)="","",INDEX(기본자료!$C$2:$C$1001,$AB240)))</f>
        <v/>
      </c>
      <c r="D240" s="10">
        <f>IF($AB240="","",IF(INDEX(기본자료!$J$2:$J$1001,$AB240)="","",INDEX(기본자료!$J$2:$J$1001,$AB240)))</f>
        <v/>
      </c>
      <c r="E240" s="11">
        <f>IF($AB240="","",IF(INDEX(기본자료!$K$2:$K$1001,$AB240)="","",IF(NOT(ISNUMBER(INDEX(기본자료!$K$2:$K$1001,$AB240))),INDEX(기본자료!$K$2:$K$1001,$AB240),IF(INDEX(기본자료!$K$2:$K$1001,$AB240)&lt;1000000,INDEX(기본자료!$K$2:$K$1001,$AB240),IF(AND(INDEX(기본자료!$K$2:$K$1001,$AB240)&gt;=10000101,INT(MOD(INDEX(기본자료!$K$2:$K$1001,$AB240),10000)/100)&gt;=1,INT(MOD(INDEX(기본자료!$K$2:$K$1001,$AB240),10000)/100)&lt;=12,MOD(INDEX(기본자료!$K$2:$K$1001,$AB240),100)&gt;=1,MOD(INDEX(기본자료!$K$2:$K$1001,$AB240),100)&lt;=31),DATE(INT(INDEX(기본자료!$K$2:$K$1001,$AB240)/10000),INT(MOD(INDEX(기본자료!$K$2:$K$1001,$AB240),10000)/100),MOD(INDEX(기본자료!$K$2:$K$1001,$AB240),100)),INDEX(기본자료!$K$2:$K$1001,$AB240)&amp;"")))))</f>
        <v/>
      </c>
      <c r="F240" s="10">
        <f>IF($AB240="","",IF(INDEX(기본자료!$D$2:$D$1001,$AB240)="","",INDEX(기본자료!$D$2:$D$1001,$AB240)))</f>
        <v/>
      </c>
      <c r="G240" s="10">
        <f>IF($AB240="","",IF(INDEX(기본자료!$E$2:$E$1001,$AB240)="","",INDEX(기본자료!$E$2:$E$1001,$AB240)))</f>
        <v/>
      </c>
      <c r="H240" s="10">
        <f>IF($AB240="","",IF(INDEX(기본자료!$F$2:$F$1001,$AB240)="","",INDEX(기본자료!$F$2:$F$1001,$AB240)))</f>
        <v/>
      </c>
      <c r="I240" s="11">
        <f>IF($AB240="","",IF(INDEX(기본자료!$G$2:$G$1001,$AB240)="","",IF(NOT(ISNUMBER(INDEX(기본자료!$G$2:$G$1001,$AB240))),INDEX(기본자료!$G$2:$G$1001,$AB240),IF(INDEX(기본자료!$G$2:$G$1001,$AB240)&lt;1000000,INDEX(기본자료!$G$2:$G$1001,$AB240),IF(AND(INDEX(기본자료!$G$2:$G$1001,$AB240)&gt;=10000101,INT(MOD(INDEX(기본자료!$G$2:$G$1001,$AB240),10000)/100)&gt;=1,INT(MOD(INDEX(기본자료!$G$2:$G$1001,$AB240),10000)/100)&lt;=12,MOD(INDEX(기본자료!$G$2:$G$1001,$AB240),100)&gt;=1,MOD(INDEX(기본자료!$G$2:$G$1001,$AB240),100)&lt;=31),DATE(INT(INDEX(기본자료!$G$2:$G$1001,$AB240)/10000),INT(MOD(INDEX(기본자료!$G$2:$G$1001,$AB240),10000)/100),MOD(INDEX(기본자료!$G$2:$G$1001,$AB240),100)),INDEX(기본자료!$G$2:$G$1001,$AB240)&amp;"")))))</f>
        <v/>
      </c>
      <c r="J240" s="10">
        <f>IF($AB240="","",IF(INDEX(기본자료!$H$2:$H$1001,$AB240)="","",INDEX(기본자료!$H$2:$H$1001,$AB240)))</f>
        <v/>
      </c>
      <c r="K240" s="10">
        <f>IF($AB240="","",IF(INDEX(기본자료!$I$2:$I$1001,$AB240)="","",INDEX(기본자료!$I$2:$I$1001,$AB240)))</f>
        <v/>
      </c>
      <c r="L240" s="10">
        <f>IF($AB240="","",IF(INDEX(기본자료!$A$2:$A$1001,$AB240)="","",INDEX(기본자료!$A$2:$A$1001,$AB240)))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파견수련계획!$AB$4:$AB$803,$AK240),OR(NOT(ISNUMBER(INDEX(파견수련계획!$AC$4:$AC$803,$AK240))),TODAY()&lt;=INDEX(파견수련계획!$AC$4:$AC$803,$AK240))),"다기관",IF($AF240="","",INDEX(파견수련계획!$T$4:$T$803,$AF240))),IF($AF240="","",INDEX(파견수련계획!$T$4:$T$803,$AF240))))</f>
        <v/>
      </c>
      <c r="Q240" s="10">
        <f>IF($AF240="","",INDEX(파견수련계획!$S$4:$S$803,$AF240))</f>
        <v/>
      </c>
      <c r="R240" s="10">
        <f>IF($AF240="","",INDEX(파견수련계획!$U$4:$U$803,$AF240))</f>
        <v/>
      </c>
      <c r="S240" s="11">
        <f>IF($AF240="","",IF(INDEX(파견수련계획!$H$4:$H$803,$AF240)="","",INDEX(파견수련계획!$H$4:$H$803,$AF240)))</f>
        <v/>
      </c>
      <c r="T240" s="11">
        <f>IF($AF240="","",IF(INDEX(파견수련계획!$I$4:$I$803,$AF240)="","",INDEX(파견수련계획!$I$4:$I$803,$AF240)))</f>
        <v/>
      </c>
      <c r="U240" s="10">
        <f>IF($AF240="","",INDEX(파견수련계획!$X$4:$X$803,$AF240))</f>
        <v/>
      </c>
      <c r="V240" s="17">
        <f>IF($AF240="","",INDEX(파견수련계획!$V$4:$V$803,$AF240))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IF(OR($B240="",TRIM($J240&amp;"")=""),"",SUMPRODUCT((파견수련계획!$Q$4:$Q$803=TRIM($J240&amp;""))*파견수련계획!$W$4:$W$803))</f>
        <v/>
      </c>
      <c r="Y240" s="10">
        <f>IF($B240="","",IF($AG240="","",IF(IF(TRIM($J240&amp;"")="",0,SUMPRODUCT((파견수련계획!$Q$4:$Q$803=TRIM($J240&amp;""))*파견수련계획!$AD$4:$AD$803))&gt;0,$AE240,IF(N($X240)&lt;=0,$AG240,IF($AH240+$AI240=DAY(EOMONTH(요약!$B$3,0)),IF(AND($AH240&gt;=요약!$E$3,$AI240&lt;요약!$E$3),"서울병원",IF(AND($AI240&gt;=요약!$E$3,$AH240&lt;요약!$E$3),"구리병원","⚠15일 판정불가(서울 "&amp;$AH240&amp;"일/구리 "&amp;$AI240&amp;"일)")),IF($AJ240="",$AE240,IF(INDEX(파견수련계획!$T$4:$T$803,$AJ240)="통합수련",INDEX(파견수련계획!$S$4:$S$803,$AJ240),$AE240)))))))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입력",IF(IF(TRIM($J240&amp;"")="",0,SUMPRODUCT((파견수련계획!$Q$4:$Q$803=TRIM($J240&amp;""))*(파견수련계획!$AA$4:$AA$803&lt;&gt;"")))&gt;0,"파견수련계획 입력오류 확인",IF(LEFT($Y240,1)="⚠","서울·구리 15일 판정 불가(양쪽 모두 이상/미만)",IF(IF($AC240="",0,N(INDEX(인턴근무계획!$T$3:$T$402,$AC240)))&gt;0,"인턴계획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IF($B240="","",IFERROR(MATCH($B240,기본자료!$B$2:$B$1001,0),IFERROR(MATCH($B240&amp;"",기본자료!$B$2:$B$1001,0),IFERROR(MATCH(VALUE($B240),기본자료!$B$2:$B$1001,0),""))))</f>
        <v/>
      </c>
      <c r="AC240" s="10">
        <f>IF($B240="","",IFERROR(MATCH($B240,인턴근무계획!$D$3:$D$402,0),IFERROR(MATCH($B240&amp;"",인턴근무계획!$D$3:$D$402,0),IFERROR(MATCH(VALUE($B240),인턴근무계획!$D$3:$D$402,0),""))))</f>
        <v/>
      </c>
      <c r="AD240" s="10">
        <f>IF(OR($AC240="",인턴현황!$G$3=""),"",INDEX(인턴근무계획!$M$3:$R$402,$AC240,인턴현황!$G$3)&amp;"")</f>
        <v/>
      </c>
      <c r="AE240" s="10">
        <f>IF($B240="","",IF($M240&lt;&gt;"",$M240,IF($AF240&lt;&gt;"",IF(LEFT(INDEX(파견수련계획!$R$4:$R$803,$AF240),1)&lt;&gt;"⚠",INDEX(파견수련계획!$R$4:$R$803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파견수련계획!$Y$4:$Y$803,0),IFERROR(MATCH(TRIM($J240&amp;"")&amp;"|파견예정",파견수련계획!$Y$4:$Y$803,0),IFERROR(MATCH(TRIM($J240&amp;"")&amp;"|파견종료",파견수련계획!$Y$4:$Y$803,0),""))))</f>
        <v/>
      </c>
      <c r="AG240" s="10">
        <f>IF($B240="","",IF(AND(IF(OR($AC240="",인턴현황!$K$2=""),"",INDEX(인턴근무계획!$M$3:$R$402,$AC240,인턴현황!$K$2)&amp;"")&lt;&gt;"",LEFT(IF(OR($AC240="",인턴현황!$K$2=""),"",INDEX(인턴근무계획!$M$3:$R$402,$AC240,인턴현황!$K$2)&amp;""),1)&lt;&gt;"⚠"),LEFT(IF(OR($AC240="",인턴현황!$K$2=""),"",INDEX(인턴근무계획!$M$3:$R$402,$AC240,인턴현황!$K$2)&amp;""),FIND(" ",IF(OR($AC240="",인턴현황!$K$2=""),"",INDEX(인턴근무계획!$M$3:$R$402,$AC240,인턴현황!$K$2)&amp;""))-1),$AE240))</f>
        <v/>
      </c>
      <c r="AH240" s="17">
        <f>IF($B240="","",IF(TRIM($J240&amp;"")="",0,SUMPRODUCT((파견수련계획!$Q$4:$Q$803=TRIM($J240&amp;""))*(파견수련계획!$S$4:$S$803="서울병원")*파견수련계획!$W$4:$W$803))+IF($AG240="서울병원",MAX(0,DAY(EOMONTH(요약!$B$3,0))-N($X240)),0))</f>
        <v/>
      </c>
      <c r="AI240" s="17">
        <f>IF($B240="","",IF(TRIM($J240&amp;"")="",0,SUMPRODUCT((파견수련계획!$Q$4:$Q$803=TRIM($J240&amp;""))*(파견수련계획!$S$4:$S$803="구리병원")*파견수련계획!$W$4:$W$803))+IF($AG240="구리병원",MAX(0,DAY(EOMONTH(요약!$B$3,0))-N($X240)),0))</f>
        <v/>
      </c>
      <c r="AJ240" s="10">
        <f>IF(OR($B240="",TRIM($J240&amp;"")=""),"",IFERROR(MATCH(TRIM($J240&amp;"")&amp;"|월",파견수련계획!$Z$4:$Z$803,0),""))</f>
        <v/>
      </c>
      <c r="AK240" s="10">
        <f>IF(OR($B240="",TRIM($J240&amp;"")=""),"",IFERROR(MATCH(TRIM($J240&amp;"")&amp;"|다기관",파견수련계획!$AE$4:$AE$803,0),""))</f>
        <v/>
      </c>
      <c r="AL240" s="10">
        <f>IF($AK240="","","다기관 "&amp;TEXT(INDEX(파견수련계획!$AB$4:$AB$803,$AK240),"yyyy-mm-dd")&amp;"~"&amp;IF(ISNUMBER(INDEX(파견수련계획!$AC$4:$AC$803,$AK240)),TEXT(INDEX(파견수련계획!$AC$4:$AC$803,$AK240),"yyyy-mm-dd"),""))</f>
        <v/>
      </c>
    </row>
    <row r="241">
      <c r="A241" s="10">
        <f>IF(B241="","",ROW()-1)</f>
        <v/>
      </c>
      <c r="B241" s="18" t="n"/>
      <c r="C241" s="10">
        <f>IF($AB241="","",IF(INDEX(기본자료!$C$2:$C$1001,$AB241)="","",INDEX(기본자료!$C$2:$C$1001,$AB241)))</f>
        <v/>
      </c>
      <c r="D241" s="10">
        <f>IF($AB241="","",IF(INDEX(기본자료!$J$2:$J$1001,$AB241)="","",INDEX(기본자료!$J$2:$J$1001,$AB241)))</f>
        <v/>
      </c>
      <c r="E241" s="11">
        <f>IF($AB241="","",IF(INDEX(기본자료!$K$2:$K$1001,$AB241)="","",IF(NOT(ISNUMBER(INDEX(기본자료!$K$2:$K$1001,$AB241))),INDEX(기본자료!$K$2:$K$1001,$AB241),IF(INDEX(기본자료!$K$2:$K$1001,$AB241)&lt;1000000,INDEX(기본자료!$K$2:$K$1001,$AB241),IF(AND(INDEX(기본자료!$K$2:$K$1001,$AB241)&gt;=10000101,INT(MOD(INDEX(기본자료!$K$2:$K$1001,$AB241),10000)/100)&gt;=1,INT(MOD(INDEX(기본자료!$K$2:$K$1001,$AB241),10000)/100)&lt;=12,MOD(INDEX(기본자료!$K$2:$K$1001,$AB241),100)&gt;=1,MOD(INDEX(기본자료!$K$2:$K$1001,$AB241),100)&lt;=31),DATE(INT(INDEX(기본자료!$K$2:$K$1001,$AB241)/10000),INT(MOD(INDEX(기본자료!$K$2:$K$1001,$AB241),10000)/100),MOD(INDEX(기본자료!$K$2:$K$1001,$AB241),100)),INDEX(기본자료!$K$2:$K$1001,$AB241)&amp;"")))))</f>
        <v/>
      </c>
      <c r="F241" s="10">
        <f>IF($AB241="","",IF(INDEX(기본자료!$D$2:$D$1001,$AB241)="","",INDEX(기본자료!$D$2:$D$1001,$AB241)))</f>
        <v/>
      </c>
      <c r="G241" s="10">
        <f>IF($AB241="","",IF(INDEX(기본자료!$E$2:$E$1001,$AB241)="","",INDEX(기본자료!$E$2:$E$1001,$AB241)))</f>
        <v/>
      </c>
      <c r="H241" s="10">
        <f>IF($AB241="","",IF(INDEX(기본자료!$F$2:$F$1001,$AB241)="","",INDEX(기본자료!$F$2:$F$1001,$AB241)))</f>
        <v/>
      </c>
      <c r="I241" s="11">
        <f>IF($AB241="","",IF(INDEX(기본자료!$G$2:$G$1001,$AB241)="","",IF(NOT(ISNUMBER(INDEX(기본자료!$G$2:$G$1001,$AB241))),INDEX(기본자료!$G$2:$G$1001,$AB241),IF(INDEX(기본자료!$G$2:$G$1001,$AB241)&lt;1000000,INDEX(기본자료!$G$2:$G$1001,$AB241),IF(AND(INDEX(기본자료!$G$2:$G$1001,$AB241)&gt;=10000101,INT(MOD(INDEX(기본자료!$G$2:$G$1001,$AB241),10000)/100)&gt;=1,INT(MOD(INDEX(기본자료!$G$2:$G$1001,$AB241),10000)/100)&lt;=12,MOD(INDEX(기본자료!$G$2:$G$1001,$AB241),100)&gt;=1,MOD(INDEX(기본자료!$G$2:$G$1001,$AB241),100)&lt;=31),DATE(INT(INDEX(기본자료!$G$2:$G$1001,$AB241)/10000),INT(MOD(INDEX(기본자료!$G$2:$G$1001,$AB241),10000)/100),MOD(INDEX(기본자료!$G$2:$G$1001,$AB241),100)),INDEX(기본자료!$G$2:$G$1001,$AB241)&amp;"")))))</f>
        <v/>
      </c>
      <c r="J241" s="10">
        <f>IF($AB241="","",IF(INDEX(기본자료!$H$2:$H$1001,$AB241)="","",INDEX(기본자료!$H$2:$H$1001,$AB241)))</f>
        <v/>
      </c>
      <c r="K241" s="10">
        <f>IF($AB241="","",IF(INDEX(기본자료!$I$2:$I$1001,$AB241)="","",INDEX(기본자료!$I$2:$I$1001,$AB241)))</f>
        <v/>
      </c>
      <c r="L241" s="10">
        <f>IF($AB241="","",IF(INDEX(기본자료!$A$2:$A$1001,$AB241)="","",INDEX(기본자료!$A$2:$A$1001,$AB241)))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파견수련계획!$AB$4:$AB$803,$AK241),OR(NOT(ISNUMBER(INDEX(파견수련계획!$AC$4:$AC$803,$AK241))),TODAY()&lt;=INDEX(파견수련계획!$AC$4:$AC$803,$AK241))),"다기관",IF($AF241="","",INDEX(파견수련계획!$T$4:$T$803,$AF241))),IF($AF241="","",INDEX(파견수련계획!$T$4:$T$803,$AF241))))</f>
        <v/>
      </c>
      <c r="Q241" s="10">
        <f>IF($AF241="","",INDEX(파견수련계획!$S$4:$S$803,$AF241))</f>
        <v/>
      </c>
      <c r="R241" s="10">
        <f>IF($AF241="","",INDEX(파견수련계획!$U$4:$U$803,$AF241))</f>
        <v/>
      </c>
      <c r="S241" s="11">
        <f>IF($AF241="","",IF(INDEX(파견수련계획!$H$4:$H$803,$AF241)="","",INDEX(파견수련계획!$H$4:$H$803,$AF241)))</f>
        <v/>
      </c>
      <c r="T241" s="11">
        <f>IF($AF241="","",IF(INDEX(파견수련계획!$I$4:$I$803,$AF241)="","",INDEX(파견수련계획!$I$4:$I$803,$AF241)))</f>
        <v/>
      </c>
      <c r="U241" s="10">
        <f>IF($AF241="","",INDEX(파견수련계획!$X$4:$X$803,$AF241))</f>
        <v/>
      </c>
      <c r="V241" s="17">
        <f>IF($AF241="","",INDEX(파견수련계획!$V$4:$V$803,$AF241))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IF(OR($B241="",TRIM($J241&amp;"")=""),"",SUMPRODUCT((파견수련계획!$Q$4:$Q$803=TRIM($J241&amp;""))*파견수련계획!$W$4:$W$803))</f>
        <v/>
      </c>
      <c r="Y241" s="10">
        <f>IF($B241="","",IF($AG241="","",IF(IF(TRIM($J241&amp;"")="",0,SUMPRODUCT((파견수련계획!$Q$4:$Q$803=TRIM($J241&amp;""))*파견수련계획!$AD$4:$AD$803))&gt;0,$AE241,IF(N($X241)&lt;=0,$AG241,IF($AH241+$AI241=DAY(EOMONTH(요약!$B$3,0)),IF(AND($AH241&gt;=요약!$E$3,$AI241&lt;요약!$E$3),"서울병원",IF(AND($AI241&gt;=요약!$E$3,$AH241&lt;요약!$E$3),"구리병원","⚠15일 판정불가(서울 "&amp;$AH241&amp;"일/구리 "&amp;$AI241&amp;"일)")),IF($AJ241="",$AE241,IF(INDEX(파견수련계획!$T$4:$T$803,$AJ241)="통합수련",INDEX(파견수련계획!$S$4:$S$803,$AJ241),$AE241)))))))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입력",IF(IF(TRIM($J241&amp;"")="",0,SUMPRODUCT((파견수련계획!$Q$4:$Q$803=TRIM($J241&amp;""))*(파견수련계획!$AA$4:$AA$803&lt;&gt;"")))&gt;0,"파견수련계획 입력오류 확인",IF(LEFT($Y241,1)="⚠","서울·구리 15일 판정 불가(양쪽 모두 이상/미만)",IF(IF($AC241="",0,N(INDEX(인턴근무계획!$T$3:$T$402,$AC241)))&gt;0,"인턴계획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IF($B241="","",IFERROR(MATCH($B241,기본자료!$B$2:$B$1001,0),IFERROR(MATCH($B241&amp;"",기본자료!$B$2:$B$1001,0),IFERROR(MATCH(VALUE($B241),기본자료!$B$2:$B$1001,0),""))))</f>
        <v/>
      </c>
      <c r="AC241" s="10">
        <f>IF($B241="","",IFERROR(MATCH($B241,인턴근무계획!$D$3:$D$402,0),IFERROR(MATCH($B241&amp;"",인턴근무계획!$D$3:$D$402,0),IFERROR(MATCH(VALUE($B241),인턴근무계획!$D$3:$D$402,0),""))))</f>
        <v/>
      </c>
      <c r="AD241" s="10">
        <f>IF(OR($AC241="",인턴현황!$G$3=""),"",INDEX(인턴근무계획!$M$3:$R$402,$AC241,인턴현황!$G$3)&amp;"")</f>
        <v/>
      </c>
      <c r="AE241" s="10">
        <f>IF($B241="","",IF($M241&lt;&gt;"",$M241,IF($AF241&lt;&gt;"",IF(LEFT(INDEX(파견수련계획!$R$4:$R$803,$AF241),1)&lt;&gt;"⚠",INDEX(파견수련계획!$R$4:$R$803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파견수련계획!$Y$4:$Y$803,0),IFERROR(MATCH(TRIM($J241&amp;"")&amp;"|파견예정",파견수련계획!$Y$4:$Y$803,0),IFERROR(MATCH(TRIM($J241&amp;"")&amp;"|파견종료",파견수련계획!$Y$4:$Y$803,0),""))))</f>
        <v/>
      </c>
      <c r="AG241" s="10">
        <f>IF($B241="","",IF(AND(IF(OR($AC241="",인턴현황!$K$2=""),"",INDEX(인턴근무계획!$M$3:$R$402,$AC241,인턴현황!$K$2)&amp;"")&lt;&gt;"",LEFT(IF(OR($AC241="",인턴현황!$K$2=""),"",INDEX(인턴근무계획!$M$3:$R$402,$AC241,인턴현황!$K$2)&amp;""),1)&lt;&gt;"⚠"),LEFT(IF(OR($AC241="",인턴현황!$K$2=""),"",INDEX(인턴근무계획!$M$3:$R$402,$AC241,인턴현황!$K$2)&amp;""),FIND(" ",IF(OR($AC241="",인턴현황!$K$2=""),"",INDEX(인턴근무계획!$M$3:$R$402,$AC241,인턴현황!$K$2)&amp;""))-1),$AE241))</f>
        <v/>
      </c>
      <c r="AH241" s="17">
        <f>IF($B241="","",IF(TRIM($J241&amp;"")="",0,SUMPRODUCT((파견수련계획!$Q$4:$Q$803=TRIM($J241&amp;""))*(파견수련계획!$S$4:$S$803="서울병원")*파견수련계획!$W$4:$W$803))+IF($AG241="서울병원",MAX(0,DAY(EOMONTH(요약!$B$3,0))-N($X241)),0))</f>
        <v/>
      </c>
      <c r="AI241" s="17">
        <f>IF($B241="","",IF(TRIM($J241&amp;"")="",0,SUMPRODUCT((파견수련계획!$Q$4:$Q$803=TRIM($J241&amp;""))*(파견수련계획!$S$4:$S$803="구리병원")*파견수련계획!$W$4:$W$803))+IF($AG241="구리병원",MAX(0,DAY(EOMONTH(요약!$B$3,0))-N($X241)),0))</f>
        <v/>
      </c>
      <c r="AJ241" s="10">
        <f>IF(OR($B241="",TRIM($J241&amp;"")=""),"",IFERROR(MATCH(TRIM($J241&amp;"")&amp;"|월",파견수련계획!$Z$4:$Z$803,0),""))</f>
        <v/>
      </c>
      <c r="AK241" s="10">
        <f>IF(OR($B241="",TRIM($J241&amp;"")=""),"",IFERROR(MATCH(TRIM($J241&amp;"")&amp;"|다기관",파견수련계획!$AE$4:$AE$803,0),""))</f>
        <v/>
      </c>
      <c r="AL241" s="10">
        <f>IF($AK241="","","다기관 "&amp;TEXT(INDEX(파견수련계획!$AB$4:$AB$803,$AK241),"yyyy-mm-dd")&amp;"~"&amp;IF(ISNUMBER(INDEX(파견수련계획!$AC$4:$AC$803,$AK241)),TEXT(INDEX(파견수련계획!$AC$4:$AC$803,$AK241),"yyyy-mm-dd"),""))</f>
        <v/>
      </c>
    </row>
    <row r="242">
      <c r="A242" s="10">
        <f>IF(B242="","",ROW()-1)</f>
        <v/>
      </c>
      <c r="B242" s="18" t="n"/>
      <c r="C242" s="10">
        <f>IF($AB242="","",IF(INDEX(기본자료!$C$2:$C$1001,$AB242)="","",INDEX(기본자료!$C$2:$C$1001,$AB242)))</f>
        <v/>
      </c>
      <c r="D242" s="10">
        <f>IF($AB242="","",IF(INDEX(기본자료!$J$2:$J$1001,$AB242)="","",INDEX(기본자료!$J$2:$J$1001,$AB242)))</f>
        <v/>
      </c>
      <c r="E242" s="11">
        <f>IF($AB242="","",IF(INDEX(기본자료!$K$2:$K$1001,$AB242)="","",IF(NOT(ISNUMBER(INDEX(기본자료!$K$2:$K$1001,$AB242))),INDEX(기본자료!$K$2:$K$1001,$AB242),IF(INDEX(기본자료!$K$2:$K$1001,$AB242)&lt;1000000,INDEX(기본자료!$K$2:$K$1001,$AB242),IF(AND(INDEX(기본자료!$K$2:$K$1001,$AB242)&gt;=10000101,INT(MOD(INDEX(기본자료!$K$2:$K$1001,$AB242),10000)/100)&gt;=1,INT(MOD(INDEX(기본자료!$K$2:$K$1001,$AB242),10000)/100)&lt;=12,MOD(INDEX(기본자료!$K$2:$K$1001,$AB242),100)&gt;=1,MOD(INDEX(기본자료!$K$2:$K$1001,$AB242),100)&lt;=31),DATE(INT(INDEX(기본자료!$K$2:$K$1001,$AB242)/10000),INT(MOD(INDEX(기본자료!$K$2:$K$1001,$AB242),10000)/100),MOD(INDEX(기본자료!$K$2:$K$1001,$AB242),100)),INDEX(기본자료!$K$2:$K$1001,$AB242)&amp;"")))))</f>
        <v/>
      </c>
      <c r="F242" s="10">
        <f>IF($AB242="","",IF(INDEX(기본자료!$D$2:$D$1001,$AB242)="","",INDEX(기본자료!$D$2:$D$1001,$AB242)))</f>
        <v/>
      </c>
      <c r="G242" s="10">
        <f>IF($AB242="","",IF(INDEX(기본자료!$E$2:$E$1001,$AB242)="","",INDEX(기본자료!$E$2:$E$1001,$AB242)))</f>
        <v/>
      </c>
      <c r="H242" s="10">
        <f>IF($AB242="","",IF(INDEX(기본자료!$F$2:$F$1001,$AB242)="","",INDEX(기본자료!$F$2:$F$1001,$AB242)))</f>
        <v/>
      </c>
      <c r="I242" s="11">
        <f>IF($AB242="","",IF(INDEX(기본자료!$G$2:$G$1001,$AB242)="","",IF(NOT(ISNUMBER(INDEX(기본자료!$G$2:$G$1001,$AB242))),INDEX(기본자료!$G$2:$G$1001,$AB242),IF(INDEX(기본자료!$G$2:$G$1001,$AB242)&lt;1000000,INDEX(기본자료!$G$2:$G$1001,$AB242),IF(AND(INDEX(기본자료!$G$2:$G$1001,$AB242)&gt;=10000101,INT(MOD(INDEX(기본자료!$G$2:$G$1001,$AB242),10000)/100)&gt;=1,INT(MOD(INDEX(기본자료!$G$2:$G$1001,$AB242),10000)/100)&lt;=12,MOD(INDEX(기본자료!$G$2:$G$1001,$AB242),100)&gt;=1,MOD(INDEX(기본자료!$G$2:$G$1001,$AB242),100)&lt;=31),DATE(INT(INDEX(기본자료!$G$2:$G$1001,$AB242)/10000),INT(MOD(INDEX(기본자료!$G$2:$G$1001,$AB242),10000)/100),MOD(INDEX(기본자료!$G$2:$G$1001,$AB242),100)),INDEX(기본자료!$G$2:$G$1001,$AB242)&amp;"")))))</f>
        <v/>
      </c>
      <c r="J242" s="10">
        <f>IF($AB242="","",IF(INDEX(기본자료!$H$2:$H$1001,$AB242)="","",INDEX(기본자료!$H$2:$H$1001,$AB242)))</f>
        <v/>
      </c>
      <c r="K242" s="10">
        <f>IF($AB242="","",IF(INDEX(기본자료!$I$2:$I$1001,$AB242)="","",INDEX(기본자료!$I$2:$I$1001,$AB242)))</f>
        <v/>
      </c>
      <c r="L242" s="10">
        <f>IF($AB242="","",IF(INDEX(기본자료!$A$2:$A$1001,$AB242)="","",INDEX(기본자료!$A$2:$A$1001,$AB242)))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파견수련계획!$AB$4:$AB$803,$AK242),OR(NOT(ISNUMBER(INDEX(파견수련계획!$AC$4:$AC$803,$AK242))),TODAY()&lt;=INDEX(파견수련계획!$AC$4:$AC$803,$AK242))),"다기관",IF($AF242="","",INDEX(파견수련계획!$T$4:$T$803,$AF242))),IF($AF242="","",INDEX(파견수련계획!$T$4:$T$803,$AF242))))</f>
        <v/>
      </c>
      <c r="Q242" s="10">
        <f>IF($AF242="","",INDEX(파견수련계획!$S$4:$S$803,$AF242))</f>
        <v/>
      </c>
      <c r="R242" s="10">
        <f>IF($AF242="","",INDEX(파견수련계획!$U$4:$U$803,$AF242))</f>
        <v/>
      </c>
      <c r="S242" s="11">
        <f>IF($AF242="","",IF(INDEX(파견수련계획!$H$4:$H$803,$AF242)="","",INDEX(파견수련계획!$H$4:$H$803,$AF242)))</f>
        <v/>
      </c>
      <c r="T242" s="11">
        <f>IF($AF242="","",IF(INDEX(파견수련계획!$I$4:$I$803,$AF242)="","",INDEX(파견수련계획!$I$4:$I$803,$AF242)))</f>
        <v/>
      </c>
      <c r="U242" s="10">
        <f>IF($AF242="","",INDEX(파견수련계획!$X$4:$X$803,$AF242))</f>
        <v/>
      </c>
      <c r="V242" s="17">
        <f>IF($AF242="","",INDEX(파견수련계획!$V$4:$V$803,$AF242))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IF(OR($B242="",TRIM($J242&amp;"")=""),"",SUMPRODUCT((파견수련계획!$Q$4:$Q$803=TRIM($J242&amp;""))*파견수련계획!$W$4:$W$803))</f>
        <v/>
      </c>
      <c r="Y242" s="10">
        <f>IF($B242="","",IF($AG242="","",IF(IF(TRIM($J242&amp;"")="",0,SUMPRODUCT((파견수련계획!$Q$4:$Q$803=TRIM($J242&amp;""))*파견수련계획!$AD$4:$AD$803))&gt;0,$AE242,IF(N($X242)&lt;=0,$AG242,IF($AH242+$AI242=DAY(EOMONTH(요약!$B$3,0)),IF(AND($AH242&gt;=요약!$E$3,$AI242&lt;요약!$E$3),"서울병원",IF(AND($AI242&gt;=요약!$E$3,$AH242&lt;요약!$E$3),"구리병원","⚠15일 판정불가(서울 "&amp;$AH242&amp;"일/구리 "&amp;$AI242&amp;"일)")),IF($AJ242="",$AE242,IF(INDEX(파견수련계획!$T$4:$T$803,$AJ242)="통합수련",INDEX(파견수련계획!$S$4:$S$803,$AJ242),$AE242)))))))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입력",IF(IF(TRIM($J242&amp;"")="",0,SUMPRODUCT((파견수련계획!$Q$4:$Q$803=TRIM($J242&amp;""))*(파견수련계획!$AA$4:$AA$803&lt;&gt;"")))&gt;0,"파견수련계획 입력오류 확인",IF(LEFT($Y242,1)="⚠","서울·구리 15일 판정 불가(양쪽 모두 이상/미만)",IF(IF($AC242="",0,N(INDEX(인턴근무계획!$T$3:$T$402,$AC242)))&gt;0,"인턴계획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IF($B242="","",IFERROR(MATCH($B242,기본자료!$B$2:$B$1001,0),IFERROR(MATCH($B242&amp;"",기본자료!$B$2:$B$1001,0),IFERROR(MATCH(VALUE($B242),기본자료!$B$2:$B$1001,0),""))))</f>
        <v/>
      </c>
      <c r="AC242" s="10">
        <f>IF($B242="","",IFERROR(MATCH($B242,인턴근무계획!$D$3:$D$402,0),IFERROR(MATCH($B242&amp;"",인턴근무계획!$D$3:$D$402,0),IFERROR(MATCH(VALUE($B242),인턴근무계획!$D$3:$D$402,0),""))))</f>
        <v/>
      </c>
      <c r="AD242" s="10">
        <f>IF(OR($AC242="",인턴현황!$G$3=""),"",INDEX(인턴근무계획!$M$3:$R$402,$AC242,인턴현황!$G$3)&amp;"")</f>
        <v/>
      </c>
      <c r="AE242" s="10">
        <f>IF($B242="","",IF($M242&lt;&gt;"",$M242,IF($AF242&lt;&gt;"",IF(LEFT(INDEX(파견수련계획!$R$4:$R$803,$AF242),1)&lt;&gt;"⚠",INDEX(파견수련계획!$R$4:$R$803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파견수련계획!$Y$4:$Y$803,0),IFERROR(MATCH(TRIM($J242&amp;"")&amp;"|파견예정",파견수련계획!$Y$4:$Y$803,0),IFERROR(MATCH(TRIM($J242&amp;"")&amp;"|파견종료",파견수련계획!$Y$4:$Y$803,0),""))))</f>
        <v/>
      </c>
      <c r="AG242" s="10">
        <f>IF($B242="","",IF(AND(IF(OR($AC242="",인턴현황!$K$2=""),"",INDEX(인턴근무계획!$M$3:$R$402,$AC242,인턴현황!$K$2)&amp;"")&lt;&gt;"",LEFT(IF(OR($AC242="",인턴현황!$K$2=""),"",INDEX(인턴근무계획!$M$3:$R$402,$AC242,인턴현황!$K$2)&amp;""),1)&lt;&gt;"⚠"),LEFT(IF(OR($AC242="",인턴현황!$K$2=""),"",INDEX(인턴근무계획!$M$3:$R$402,$AC242,인턴현황!$K$2)&amp;""),FIND(" ",IF(OR($AC242="",인턴현황!$K$2=""),"",INDEX(인턴근무계획!$M$3:$R$402,$AC242,인턴현황!$K$2)&amp;""))-1),$AE242))</f>
        <v/>
      </c>
      <c r="AH242" s="17">
        <f>IF($B242="","",IF(TRIM($J242&amp;"")="",0,SUMPRODUCT((파견수련계획!$Q$4:$Q$803=TRIM($J242&amp;""))*(파견수련계획!$S$4:$S$803="서울병원")*파견수련계획!$W$4:$W$803))+IF($AG242="서울병원",MAX(0,DAY(EOMONTH(요약!$B$3,0))-N($X242)),0))</f>
        <v/>
      </c>
      <c r="AI242" s="17">
        <f>IF($B242="","",IF(TRIM($J242&amp;"")="",0,SUMPRODUCT((파견수련계획!$Q$4:$Q$803=TRIM($J242&amp;""))*(파견수련계획!$S$4:$S$803="구리병원")*파견수련계획!$W$4:$W$803))+IF($AG242="구리병원",MAX(0,DAY(EOMONTH(요약!$B$3,0))-N($X242)),0))</f>
        <v/>
      </c>
      <c r="AJ242" s="10">
        <f>IF(OR($B242="",TRIM($J242&amp;"")=""),"",IFERROR(MATCH(TRIM($J242&amp;"")&amp;"|월",파견수련계획!$Z$4:$Z$803,0),""))</f>
        <v/>
      </c>
      <c r="AK242" s="10">
        <f>IF(OR($B242="",TRIM($J242&amp;"")=""),"",IFERROR(MATCH(TRIM($J242&amp;"")&amp;"|다기관",파견수련계획!$AE$4:$AE$803,0),""))</f>
        <v/>
      </c>
      <c r="AL242" s="10">
        <f>IF($AK242="","","다기관 "&amp;TEXT(INDEX(파견수련계획!$AB$4:$AB$803,$AK242),"yyyy-mm-dd")&amp;"~"&amp;IF(ISNUMBER(INDEX(파견수련계획!$AC$4:$AC$803,$AK242)),TEXT(INDEX(파견수련계획!$AC$4:$AC$803,$AK242),"yyyy-mm-dd"),""))</f>
        <v/>
      </c>
    </row>
    <row r="243">
      <c r="A243" s="10">
        <f>IF(B243="","",ROW()-1)</f>
        <v/>
      </c>
      <c r="B243" s="18" t="n"/>
      <c r="C243" s="10">
        <f>IF($AB243="","",IF(INDEX(기본자료!$C$2:$C$1001,$AB243)="","",INDEX(기본자료!$C$2:$C$1001,$AB243)))</f>
        <v/>
      </c>
      <c r="D243" s="10">
        <f>IF($AB243="","",IF(INDEX(기본자료!$J$2:$J$1001,$AB243)="","",INDEX(기본자료!$J$2:$J$1001,$AB243)))</f>
        <v/>
      </c>
      <c r="E243" s="11">
        <f>IF($AB243="","",IF(INDEX(기본자료!$K$2:$K$1001,$AB243)="","",IF(NOT(ISNUMBER(INDEX(기본자료!$K$2:$K$1001,$AB243))),INDEX(기본자료!$K$2:$K$1001,$AB243),IF(INDEX(기본자료!$K$2:$K$1001,$AB243)&lt;1000000,INDEX(기본자료!$K$2:$K$1001,$AB243),IF(AND(INDEX(기본자료!$K$2:$K$1001,$AB243)&gt;=10000101,INT(MOD(INDEX(기본자료!$K$2:$K$1001,$AB243),10000)/100)&gt;=1,INT(MOD(INDEX(기본자료!$K$2:$K$1001,$AB243),10000)/100)&lt;=12,MOD(INDEX(기본자료!$K$2:$K$1001,$AB243),100)&gt;=1,MOD(INDEX(기본자료!$K$2:$K$1001,$AB243),100)&lt;=31),DATE(INT(INDEX(기본자료!$K$2:$K$1001,$AB243)/10000),INT(MOD(INDEX(기본자료!$K$2:$K$1001,$AB243),10000)/100),MOD(INDEX(기본자료!$K$2:$K$1001,$AB243),100)),INDEX(기본자료!$K$2:$K$1001,$AB243)&amp;"")))))</f>
        <v/>
      </c>
      <c r="F243" s="10">
        <f>IF($AB243="","",IF(INDEX(기본자료!$D$2:$D$1001,$AB243)="","",INDEX(기본자료!$D$2:$D$1001,$AB243)))</f>
        <v/>
      </c>
      <c r="G243" s="10">
        <f>IF($AB243="","",IF(INDEX(기본자료!$E$2:$E$1001,$AB243)="","",INDEX(기본자료!$E$2:$E$1001,$AB243)))</f>
        <v/>
      </c>
      <c r="H243" s="10">
        <f>IF($AB243="","",IF(INDEX(기본자료!$F$2:$F$1001,$AB243)="","",INDEX(기본자료!$F$2:$F$1001,$AB243)))</f>
        <v/>
      </c>
      <c r="I243" s="11">
        <f>IF($AB243="","",IF(INDEX(기본자료!$G$2:$G$1001,$AB243)="","",IF(NOT(ISNUMBER(INDEX(기본자료!$G$2:$G$1001,$AB243))),INDEX(기본자료!$G$2:$G$1001,$AB243),IF(INDEX(기본자료!$G$2:$G$1001,$AB243)&lt;1000000,INDEX(기본자료!$G$2:$G$1001,$AB243),IF(AND(INDEX(기본자료!$G$2:$G$1001,$AB243)&gt;=10000101,INT(MOD(INDEX(기본자료!$G$2:$G$1001,$AB243),10000)/100)&gt;=1,INT(MOD(INDEX(기본자료!$G$2:$G$1001,$AB243),10000)/100)&lt;=12,MOD(INDEX(기본자료!$G$2:$G$1001,$AB243),100)&gt;=1,MOD(INDEX(기본자료!$G$2:$G$1001,$AB243),100)&lt;=31),DATE(INT(INDEX(기본자료!$G$2:$G$1001,$AB243)/10000),INT(MOD(INDEX(기본자료!$G$2:$G$1001,$AB243),10000)/100),MOD(INDEX(기본자료!$G$2:$G$1001,$AB243),100)),INDEX(기본자료!$G$2:$G$1001,$AB243)&amp;"")))))</f>
        <v/>
      </c>
      <c r="J243" s="10">
        <f>IF($AB243="","",IF(INDEX(기본자료!$H$2:$H$1001,$AB243)="","",INDEX(기본자료!$H$2:$H$1001,$AB243)))</f>
        <v/>
      </c>
      <c r="K243" s="10">
        <f>IF($AB243="","",IF(INDEX(기본자료!$I$2:$I$1001,$AB243)="","",INDEX(기본자료!$I$2:$I$1001,$AB243)))</f>
        <v/>
      </c>
      <c r="L243" s="10">
        <f>IF($AB243="","",IF(INDEX(기본자료!$A$2:$A$1001,$AB243)="","",INDEX(기본자료!$A$2:$A$1001,$AB243)))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파견수련계획!$AB$4:$AB$803,$AK243),OR(NOT(ISNUMBER(INDEX(파견수련계획!$AC$4:$AC$803,$AK243))),TODAY()&lt;=INDEX(파견수련계획!$AC$4:$AC$803,$AK243))),"다기관",IF($AF243="","",INDEX(파견수련계획!$T$4:$T$803,$AF243))),IF($AF243="","",INDEX(파견수련계획!$T$4:$T$803,$AF243))))</f>
        <v/>
      </c>
      <c r="Q243" s="10">
        <f>IF($AF243="","",INDEX(파견수련계획!$S$4:$S$803,$AF243))</f>
        <v/>
      </c>
      <c r="R243" s="10">
        <f>IF($AF243="","",INDEX(파견수련계획!$U$4:$U$803,$AF243))</f>
        <v/>
      </c>
      <c r="S243" s="11">
        <f>IF($AF243="","",IF(INDEX(파견수련계획!$H$4:$H$803,$AF243)="","",INDEX(파견수련계획!$H$4:$H$803,$AF243)))</f>
        <v/>
      </c>
      <c r="T243" s="11">
        <f>IF($AF243="","",IF(INDEX(파견수련계획!$I$4:$I$803,$AF243)="","",INDEX(파견수련계획!$I$4:$I$803,$AF243)))</f>
        <v/>
      </c>
      <c r="U243" s="10">
        <f>IF($AF243="","",INDEX(파견수련계획!$X$4:$X$803,$AF243))</f>
        <v/>
      </c>
      <c r="V243" s="17">
        <f>IF($AF243="","",INDEX(파견수련계획!$V$4:$V$803,$AF243))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IF(OR($B243="",TRIM($J243&amp;"")=""),"",SUMPRODUCT((파견수련계획!$Q$4:$Q$803=TRIM($J243&amp;""))*파견수련계획!$W$4:$W$803))</f>
        <v/>
      </c>
      <c r="Y243" s="10">
        <f>IF($B243="","",IF($AG243="","",IF(IF(TRIM($J243&amp;"")="",0,SUMPRODUCT((파견수련계획!$Q$4:$Q$803=TRIM($J243&amp;""))*파견수련계획!$AD$4:$AD$803))&gt;0,$AE243,IF(N($X243)&lt;=0,$AG243,IF($AH243+$AI243=DAY(EOMONTH(요약!$B$3,0)),IF(AND($AH243&gt;=요약!$E$3,$AI243&lt;요약!$E$3),"서울병원",IF(AND($AI243&gt;=요약!$E$3,$AH243&lt;요약!$E$3),"구리병원","⚠15일 판정불가(서울 "&amp;$AH243&amp;"일/구리 "&amp;$AI243&amp;"일)")),IF($AJ243="",$AE243,IF(INDEX(파견수련계획!$T$4:$T$803,$AJ243)="통합수련",INDEX(파견수련계획!$S$4:$S$803,$AJ243),$AE243)))))))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입력",IF(IF(TRIM($J243&amp;"")="",0,SUMPRODUCT((파견수련계획!$Q$4:$Q$803=TRIM($J243&amp;""))*(파견수련계획!$AA$4:$AA$803&lt;&gt;"")))&gt;0,"파견수련계획 입력오류 확인",IF(LEFT($Y243,1)="⚠","서울·구리 15일 판정 불가(양쪽 모두 이상/미만)",IF(IF($AC243="",0,N(INDEX(인턴근무계획!$T$3:$T$402,$AC243)))&gt;0,"인턴계획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IF($B243="","",IFERROR(MATCH($B243,기본자료!$B$2:$B$1001,0),IFERROR(MATCH($B243&amp;"",기본자료!$B$2:$B$1001,0),IFERROR(MATCH(VALUE($B243),기본자료!$B$2:$B$1001,0),""))))</f>
        <v/>
      </c>
      <c r="AC243" s="10">
        <f>IF($B243="","",IFERROR(MATCH($B243,인턴근무계획!$D$3:$D$402,0),IFERROR(MATCH($B243&amp;"",인턴근무계획!$D$3:$D$402,0),IFERROR(MATCH(VALUE($B243),인턴근무계획!$D$3:$D$402,0),""))))</f>
        <v/>
      </c>
      <c r="AD243" s="10">
        <f>IF(OR($AC243="",인턴현황!$G$3=""),"",INDEX(인턴근무계획!$M$3:$R$402,$AC243,인턴현황!$G$3)&amp;"")</f>
        <v/>
      </c>
      <c r="AE243" s="10">
        <f>IF($B243="","",IF($M243&lt;&gt;"",$M243,IF($AF243&lt;&gt;"",IF(LEFT(INDEX(파견수련계획!$R$4:$R$803,$AF243),1)&lt;&gt;"⚠",INDEX(파견수련계획!$R$4:$R$803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파견수련계획!$Y$4:$Y$803,0),IFERROR(MATCH(TRIM($J243&amp;"")&amp;"|파견예정",파견수련계획!$Y$4:$Y$803,0),IFERROR(MATCH(TRIM($J243&amp;"")&amp;"|파견종료",파견수련계획!$Y$4:$Y$803,0),""))))</f>
        <v/>
      </c>
      <c r="AG243" s="10">
        <f>IF($B243="","",IF(AND(IF(OR($AC243="",인턴현황!$K$2=""),"",INDEX(인턴근무계획!$M$3:$R$402,$AC243,인턴현황!$K$2)&amp;"")&lt;&gt;"",LEFT(IF(OR($AC243="",인턴현황!$K$2=""),"",INDEX(인턴근무계획!$M$3:$R$402,$AC243,인턴현황!$K$2)&amp;""),1)&lt;&gt;"⚠"),LEFT(IF(OR($AC243="",인턴현황!$K$2=""),"",INDEX(인턴근무계획!$M$3:$R$402,$AC243,인턴현황!$K$2)&amp;""),FIND(" ",IF(OR($AC243="",인턴현황!$K$2=""),"",INDEX(인턴근무계획!$M$3:$R$402,$AC243,인턴현황!$K$2)&amp;""))-1),$AE243))</f>
        <v/>
      </c>
      <c r="AH243" s="17">
        <f>IF($B243="","",IF(TRIM($J243&amp;"")="",0,SUMPRODUCT((파견수련계획!$Q$4:$Q$803=TRIM($J243&amp;""))*(파견수련계획!$S$4:$S$803="서울병원")*파견수련계획!$W$4:$W$803))+IF($AG243="서울병원",MAX(0,DAY(EOMONTH(요약!$B$3,0))-N($X243)),0))</f>
        <v/>
      </c>
      <c r="AI243" s="17">
        <f>IF($B243="","",IF(TRIM($J243&amp;"")="",0,SUMPRODUCT((파견수련계획!$Q$4:$Q$803=TRIM($J243&amp;""))*(파견수련계획!$S$4:$S$803="구리병원")*파견수련계획!$W$4:$W$803))+IF($AG243="구리병원",MAX(0,DAY(EOMONTH(요약!$B$3,0))-N($X243)),0))</f>
        <v/>
      </c>
      <c r="AJ243" s="10">
        <f>IF(OR($B243="",TRIM($J243&amp;"")=""),"",IFERROR(MATCH(TRIM($J243&amp;"")&amp;"|월",파견수련계획!$Z$4:$Z$803,0),""))</f>
        <v/>
      </c>
      <c r="AK243" s="10">
        <f>IF(OR($B243="",TRIM($J243&amp;"")=""),"",IFERROR(MATCH(TRIM($J243&amp;"")&amp;"|다기관",파견수련계획!$AE$4:$AE$803,0),""))</f>
        <v/>
      </c>
      <c r="AL243" s="10">
        <f>IF($AK243="","","다기관 "&amp;TEXT(INDEX(파견수련계획!$AB$4:$AB$803,$AK243),"yyyy-mm-dd")&amp;"~"&amp;IF(ISNUMBER(INDEX(파견수련계획!$AC$4:$AC$803,$AK243)),TEXT(INDEX(파견수련계획!$AC$4:$AC$803,$AK243),"yyyy-mm-dd"),""))</f>
        <v/>
      </c>
    </row>
    <row r="244">
      <c r="A244" s="10">
        <f>IF(B244="","",ROW()-1)</f>
        <v/>
      </c>
      <c r="B244" s="18" t="n"/>
      <c r="C244" s="10">
        <f>IF($AB244="","",IF(INDEX(기본자료!$C$2:$C$1001,$AB244)="","",INDEX(기본자료!$C$2:$C$1001,$AB244)))</f>
        <v/>
      </c>
      <c r="D244" s="10">
        <f>IF($AB244="","",IF(INDEX(기본자료!$J$2:$J$1001,$AB244)="","",INDEX(기본자료!$J$2:$J$1001,$AB244)))</f>
        <v/>
      </c>
      <c r="E244" s="11">
        <f>IF($AB244="","",IF(INDEX(기본자료!$K$2:$K$1001,$AB244)="","",IF(NOT(ISNUMBER(INDEX(기본자료!$K$2:$K$1001,$AB244))),INDEX(기본자료!$K$2:$K$1001,$AB244),IF(INDEX(기본자료!$K$2:$K$1001,$AB244)&lt;1000000,INDEX(기본자료!$K$2:$K$1001,$AB244),IF(AND(INDEX(기본자료!$K$2:$K$1001,$AB244)&gt;=10000101,INT(MOD(INDEX(기본자료!$K$2:$K$1001,$AB244),10000)/100)&gt;=1,INT(MOD(INDEX(기본자료!$K$2:$K$1001,$AB244),10000)/100)&lt;=12,MOD(INDEX(기본자료!$K$2:$K$1001,$AB244),100)&gt;=1,MOD(INDEX(기본자료!$K$2:$K$1001,$AB244),100)&lt;=31),DATE(INT(INDEX(기본자료!$K$2:$K$1001,$AB244)/10000),INT(MOD(INDEX(기본자료!$K$2:$K$1001,$AB244),10000)/100),MOD(INDEX(기본자료!$K$2:$K$1001,$AB244),100)),INDEX(기본자료!$K$2:$K$1001,$AB244)&amp;"")))))</f>
        <v/>
      </c>
      <c r="F244" s="10">
        <f>IF($AB244="","",IF(INDEX(기본자료!$D$2:$D$1001,$AB244)="","",INDEX(기본자료!$D$2:$D$1001,$AB244)))</f>
        <v/>
      </c>
      <c r="G244" s="10">
        <f>IF($AB244="","",IF(INDEX(기본자료!$E$2:$E$1001,$AB244)="","",INDEX(기본자료!$E$2:$E$1001,$AB244)))</f>
        <v/>
      </c>
      <c r="H244" s="10">
        <f>IF($AB244="","",IF(INDEX(기본자료!$F$2:$F$1001,$AB244)="","",INDEX(기본자료!$F$2:$F$1001,$AB244)))</f>
        <v/>
      </c>
      <c r="I244" s="11">
        <f>IF($AB244="","",IF(INDEX(기본자료!$G$2:$G$1001,$AB244)="","",IF(NOT(ISNUMBER(INDEX(기본자료!$G$2:$G$1001,$AB244))),INDEX(기본자료!$G$2:$G$1001,$AB244),IF(INDEX(기본자료!$G$2:$G$1001,$AB244)&lt;1000000,INDEX(기본자료!$G$2:$G$1001,$AB244),IF(AND(INDEX(기본자료!$G$2:$G$1001,$AB244)&gt;=10000101,INT(MOD(INDEX(기본자료!$G$2:$G$1001,$AB244),10000)/100)&gt;=1,INT(MOD(INDEX(기본자료!$G$2:$G$1001,$AB244),10000)/100)&lt;=12,MOD(INDEX(기본자료!$G$2:$G$1001,$AB244),100)&gt;=1,MOD(INDEX(기본자료!$G$2:$G$1001,$AB244),100)&lt;=31),DATE(INT(INDEX(기본자료!$G$2:$G$1001,$AB244)/10000),INT(MOD(INDEX(기본자료!$G$2:$G$1001,$AB244),10000)/100),MOD(INDEX(기본자료!$G$2:$G$1001,$AB244),100)),INDEX(기본자료!$G$2:$G$1001,$AB244)&amp;"")))))</f>
        <v/>
      </c>
      <c r="J244" s="10">
        <f>IF($AB244="","",IF(INDEX(기본자료!$H$2:$H$1001,$AB244)="","",INDEX(기본자료!$H$2:$H$1001,$AB244)))</f>
        <v/>
      </c>
      <c r="K244" s="10">
        <f>IF($AB244="","",IF(INDEX(기본자료!$I$2:$I$1001,$AB244)="","",INDEX(기본자료!$I$2:$I$1001,$AB244)))</f>
        <v/>
      </c>
      <c r="L244" s="10">
        <f>IF($AB244="","",IF(INDEX(기본자료!$A$2:$A$1001,$AB244)="","",INDEX(기본자료!$A$2:$A$1001,$AB244)))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파견수련계획!$AB$4:$AB$803,$AK244),OR(NOT(ISNUMBER(INDEX(파견수련계획!$AC$4:$AC$803,$AK244))),TODAY()&lt;=INDEX(파견수련계획!$AC$4:$AC$803,$AK244))),"다기관",IF($AF244="","",INDEX(파견수련계획!$T$4:$T$803,$AF244))),IF($AF244="","",INDEX(파견수련계획!$T$4:$T$803,$AF244))))</f>
        <v/>
      </c>
      <c r="Q244" s="10">
        <f>IF($AF244="","",INDEX(파견수련계획!$S$4:$S$803,$AF244))</f>
        <v/>
      </c>
      <c r="R244" s="10">
        <f>IF($AF244="","",INDEX(파견수련계획!$U$4:$U$803,$AF244))</f>
        <v/>
      </c>
      <c r="S244" s="11">
        <f>IF($AF244="","",IF(INDEX(파견수련계획!$H$4:$H$803,$AF244)="","",INDEX(파견수련계획!$H$4:$H$803,$AF244)))</f>
        <v/>
      </c>
      <c r="T244" s="11">
        <f>IF($AF244="","",IF(INDEX(파견수련계획!$I$4:$I$803,$AF244)="","",INDEX(파견수련계획!$I$4:$I$803,$AF244)))</f>
        <v/>
      </c>
      <c r="U244" s="10">
        <f>IF($AF244="","",INDEX(파견수련계획!$X$4:$X$803,$AF244))</f>
        <v/>
      </c>
      <c r="V244" s="17">
        <f>IF($AF244="","",INDEX(파견수련계획!$V$4:$V$803,$AF244))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IF(OR($B244="",TRIM($J244&amp;"")=""),"",SUMPRODUCT((파견수련계획!$Q$4:$Q$803=TRIM($J244&amp;""))*파견수련계획!$W$4:$W$803))</f>
        <v/>
      </c>
      <c r="Y244" s="10">
        <f>IF($B244="","",IF($AG244="","",IF(IF(TRIM($J244&amp;"")="",0,SUMPRODUCT((파견수련계획!$Q$4:$Q$803=TRIM($J244&amp;""))*파견수련계획!$AD$4:$AD$803))&gt;0,$AE244,IF(N($X244)&lt;=0,$AG244,IF($AH244+$AI244=DAY(EOMONTH(요약!$B$3,0)),IF(AND($AH244&gt;=요약!$E$3,$AI244&lt;요약!$E$3),"서울병원",IF(AND($AI244&gt;=요약!$E$3,$AH244&lt;요약!$E$3),"구리병원","⚠15일 판정불가(서울 "&amp;$AH244&amp;"일/구리 "&amp;$AI244&amp;"일)")),IF($AJ244="",$AE244,IF(INDEX(파견수련계획!$T$4:$T$803,$AJ244)="통합수련",INDEX(파견수련계획!$S$4:$S$803,$AJ244),$AE244)))))))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입력",IF(IF(TRIM($J244&amp;"")="",0,SUMPRODUCT((파견수련계획!$Q$4:$Q$803=TRIM($J244&amp;""))*(파견수련계획!$AA$4:$AA$803&lt;&gt;"")))&gt;0,"파견수련계획 입력오류 확인",IF(LEFT($Y244,1)="⚠","서울·구리 15일 판정 불가(양쪽 모두 이상/미만)",IF(IF($AC244="",0,N(INDEX(인턴근무계획!$T$3:$T$402,$AC244)))&gt;0,"인턴계획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IF($B244="","",IFERROR(MATCH($B244,기본자료!$B$2:$B$1001,0),IFERROR(MATCH($B244&amp;"",기본자료!$B$2:$B$1001,0),IFERROR(MATCH(VALUE($B244),기본자료!$B$2:$B$1001,0),""))))</f>
        <v/>
      </c>
      <c r="AC244" s="10">
        <f>IF($B244="","",IFERROR(MATCH($B244,인턴근무계획!$D$3:$D$402,0),IFERROR(MATCH($B244&amp;"",인턴근무계획!$D$3:$D$402,0),IFERROR(MATCH(VALUE($B244),인턴근무계획!$D$3:$D$402,0),""))))</f>
        <v/>
      </c>
      <c r="AD244" s="10">
        <f>IF(OR($AC244="",인턴현황!$G$3=""),"",INDEX(인턴근무계획!$M$3:$R$402,$AC244,인턴현황!$G$3)&amp;"")</f>
        <v/>
      </c>
      <c r="AE244" s="10">
        <f>IF($B244="","",IF($M244&lt;&gt;"",$M244,IF($AF244&lt;&gt;"",IF(LEFT(INDEX(파견수련계획!$R$4:$R$803,$AF244),1)&lt;&gt;"⚠",INDEX(파견수련계획!$R$4:$R$803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파견수련계획!$Y$4:$Y$803,0),IFERROR(MATCH(TRIM($J244&amp;"")&amp;"|파견예정",파견수련계획!$Y$4:$Y$803,0),IFERROR(MATCH(TRIM($J244&amp;"")&amp;"|파견종료",파견수련계획!$Y$4:$Y$803,0),""))))</f>
        <v/>
      </c>
      <c r="AG244" s="10">
        <f>IF($B244="","",IF(AND(IF(OR($AC244="",인턴현황!$K$2=""),"",INDEX(인턴근무계획!$M$3:$R$402,$AC244,인턴현황!$K$2)&amp;"")&lt;&gt;"",LEFT(IF(OR($AC244="",인턴현황!$K$2=""),"",INDEX(인턴근무계획!$M$3:$R$402,$AC244,인턴현황!$K$2)&amp;""),1)&lt;&gt;"⚠"),LEFT(IF(OR($AC244="",인턴현황!$K$2=""),"",INDEX(인턴근무계획!$M$3:$R$402,$AC244,인턴현황!$K$2)&amp;""),FIND(" ",IF(OR($AC244="",인턴현황!$K$2=""),"",INDEX(인턴근무계획!$M$3:$R$402,$AC244,인턴현황!$K$2)&amp;""))-1),$AE244))</f>
        <v/>
      </c>
      <c r="AH244" s="17">
        <f>IF($B244="","",IF(TRIM($J244&amp;"")="",0,SUMPRODUCT((파견수련계획!$Q$4:$Q$803=TRIM($J244&amp;""))*(파견수련계획!$S$4:$S$803="서울병원")*파견수련계획!$W$4:$W$803))+IF($AG244="서울병원",MAX(0,DAY(EOMONTH(요약!$B$3,0))-N($X244)),0))</f>
        <v/>
      </c>
      <c r="AI244" s="17">
        <f>IF($B244="","",IF(TRIM($J244&amp;"")="",0,SUMPRODUCT((파견수련계획!$Q$4:$Q$803=TRIM($J244&amp;""))*(파견수련계획!$S$4:$S$803="구리병원")*파견수련계획!$W$4:$W$803))+IF($AG244="구리병원",MAX(0,DAY(EOMONTH(요약!$B$3,0))-N($X244)),0))</f>
        <v/>
      </c>
      <c r="AJ244" s="10">
        <f>IF(OR($B244="",TRIM($J244&amp;"")=""),"",IFERROR(MATCH(TRIM($J244&amp;"")&amp;"|월",파견수련계획!$Z$4:$Z$803,0),""))</f>
        <v/>
      </c>
      <c r="AK244" s="10">
        <f>IF(OR($B244="",TRIM($J244&amp;"")=""),"",IFERROR(MATCH(TRIM($J244&amp;"")&amp;"|다기관",파견수련계획!$AE$4:$AE$803,0),""))</f>
        <v/>
      </c>
      <c r="AL244" s="10">
        <f>IF($AK244="","","다기관 "&amp;TEXT(INDEX(파견수련계획!$AB$4:$AB$803,$AK244),"yyyy-mm-dd")&amp;"~"&amp;IF(ISNUMBER(INDEX(파견수련계획!$AC$4:$AC$803,$AK244)),TEXT(INDEX(파견수련계획!$AC$4:$AC$803,$AK244),"yyyy-mm-dd"),""))</f>
        <v/>
      </c>
    </row>
    <row r="245">
      <c r="A245" s="10">
        <f>IF(B245="","",ROW()-1)</f>
        <v/>
      </c>
      <c r="B245" s="18" t="n"/>
      <c r="C245" s="10">
        <f>IF($AB245="","",IF(INDEX(기본자료!$C$2:$C$1001,$AB245)="","",INDEX(기본자료!$C$2:$C$1001,$AB245)))</f>
        <v/>
      </c>
      <c r="D245" s="10">
        <f>IF($AB245="","",IF(INDEX(기본자료!$J$2:$J$1001,$AB245)="","",INDEX(기본자료!$J$2:$J$1001,$AB245)))</f>
        <v/>
      </c>
      <c r="E245" s="11">
        <f>IF($AB245="","",IF(INDEX(기본자료!$K$2:$K$1001,$AB245)="","",IF(NOT(ISNUMBER(INDEX(기본자료!$K$2:$K$1001,$AB245))),INDEX(기본자료!$K$2:$K$1001,$AB245),IF(INDEX(기본자료!$K$2:$K$1001,$AB245)&lt;1000000,INDEX(기본자료!$K$2:$K$1001,$AB245),IF(AND(INDEX(기본자료!$K$2:$K$1001,$AB245)&gt;=10000101,INT(MOD(INDEX(기본자료!$K$2:$K$1001,$AB245),10000)/100)&gt;=1,INT(MOD(INDEX(기본자료!$K$2:$K$1001,$AB245),10000)/100)&lt;=12,MOD(INDEX(기본자료!$K$2:$K$1001,$AB245),100)&gt;=1,MOD(INDEX(기본자료!$K$2:$K$1001,$AB245),100)&lt;=31),DATE(INT(INDEX(기본자료!$K$2:$K$1001,$AB245)/10000),INT(MOD(INDEX(기본자료!$K$2:$K$1001,$AB245),10000)/100),MOD(INDEX(기본자료!$K$2:$K$1001,$AB245),100)),INDEX(기본자료!$K$2:$K$1001,$AB245)&amp;"")))))</f>
        <v/>
      </c>
      <c r="F245" s="10">
        <f>IF($AB245="","",IF(INDEX(기본자료!$D$2:$D$1001,$AB245)="","",INDEX(기본자료!$D$2:$D$1001,$AB245)))</f>
        <v/>
      </c>
      <c r="G245" s="10">
        <f>IF($AB245="","",IF(INDEX(기본자료!$E$2:$E$1001,$AB245)="","",INDEX(기본자료!$E$2:$E$1001,$AB245)))</f>
        <v/>
      </c>
      <c r="H245" s="10">
        <f>IF($AB245="","",IF(INDEX(기본자료!$F$2:$F$1001,$AB245)="","",INDEX(기본자료!$F$2:$F$1001,$AB245)))</f>
        <v/>
      </c>
      <c r="I245" s="11">
        <f>IF($AB245="","",IF(INDEX(기본자료!$G$2:$G$1001,$AB245)="","",IF(NOT(ISNUMBER(INDEX(기본자료!$G$2:$G$1001,$AB245))),INDEX(기본자료!$G$2:$G$1001,$AB245),IF(INDEX(기본자료!$G$2:$G$1001,$AB245)&lt;1000000,INDEX(기본자료!$G$2:$G$1001,$AB245),IF(AND(INDEX(기본자료!$G$2:$G$1001,$AB245)&gt;=10000101,INT(MOD(INDEX(기본자료!$G$2:$G$1001,$AB245),10000)/100)&gt;=1,INT(MOD(INDEX(기본자료!$G$2:$G$1001,$AB245),10000)/100)&lt;=12,MOD(INDEX(기본자료!$G$2:$G$1001,$AB245),100)&gt;=1,MOD(INDEX(기본자료!$G$2:$G$1001,$AB245),100)&lt;=31),DATE(INT(INDEX(기본자료!$G$2:$G$1001,$AB245)/10000),INT(MOD(INDEX(기본자료!$G$2:$G$1001,$AB245),10000)/100),MOD(INDEX(기본자료!$G$2:$G$1001,$AB245),100)),INDEX(기본자료!$G$2:$G$1001,$AB245)&amp;"")))))</f>
        <v/>
      </c>
      <c r="J245" s="10">
        <f>IF($AB245="","",IF(INDEX(기본자료!$H$2:$H$1001,$AB245)="","",INDEX(기본자료!$H$2:$H$1001,$AB245)))</f>
        <v/>
      </c>
      <c r="K245" s="10">
        <f>IF($AB245="","",IF(INDEX(기본자료!$I$2:$I$1001,$AB245)="","",INDEX(기본자료!$I$2:$I$1001,$AB245)))</f>
        <v/>
      </c>
      <c r="L245" s="10">
        <f>IF($AB245="","",IF(INDEX(기본자료!$A$2:$A$1001,$AB245)="","",INDEX(기본자료!$A$2:$A$1001,$AB245)))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파견수련계획!$AB$4:$AB$803,$AK245),OR(NOT(ISNUMBER(INDEX(파견수련계획!$AC$4:$AC$803,$AK245))),TODAY()&lt;=INDEX(파견수련계획!$AC$4:$AC$803,$AK245))),"다기관",IF($AF245="","",INDEX(파견수련계획!$T$4:$T$803,$AF245))),IF($AF245="","",INDEX(파견수련계획!$T$4:$T$803,$AF245))))</f>
        <v/>
      </c>
      <c r="Q245" s="10">
        <f>IF($AF245="","",INDEX(파견수련계획!$S$4:$S$803,$AF245))</f>
        <v/>
      </c>
      <c r="R245" s="10">
        <f>IF($AF245="","",INDEX(파견수련계획!$U$4:$U$803,$AF245))</f>
        <v/>
      </c>
      <c r="S245" s="11">
        <f>IF($AF245="","",IF(INDEX(파견수련계획!$H$4:$H$803,$AF245)="","",INDEX(파견수련계획!$H$4:$H$803,$AF245)))</f>
        <v/>
      </c>
      <c r="T245" s="11">
        <f>IF($AF245="","",IF(INDEX(파견수련계획!$I$4:$I$803,$AF245)="","",INDEX(파견수련계획!$I$4:$I$803,$AF245)))</f>
        <v/>
      </c>
      <c r="U245" s="10">
        <f>IF($AF245="","",INDEX(파견수련계획!$X$4:$X$803,$AF245))</f>
        <v/>
      </c>
      <c r="V245" s="17">
        <f>IF($AF245="","",INDEX(파견수련계획!$V$4:$V$803,$AF245))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IF(OR($B245="",TRIM($J245&amp;"")=""),"",SUMPRODUCT((파견수련계획!$Q$4:$Q$803=TRIM($J245&amp;""))*파견수련계획!$W$4:$W$803))</f>
        <v/>
      </c>
      <c r="Y245" s="10">
        <f>IF($B245="","",IF($AG245="","",IF(IF(TRIM($J245&amp;"")="",0,SUMPRODUCT((파견수련계획!$Q$4:$Q$803=TRIM($J245&amp;""))*파견수련계획!$AD$4:$AD$803))&gt;0,$AE245,IF(N($X245)&lt;=0,$AG245,IF($AH245+$AI245=DAY(EOMONTH(요약!$B$3,0)),IF(AND($AH245&gt;=요약!$E$3,$AI245&lt;요약!$E$3),"서울병원",IF(AND($AI245&gt;=요약!$E$3,$AH245&lt;요약!$E$3),"구리병원","⚠15일 판정불가(서울 "&amp;$AH245&amp;"일/구리 "&amp;$AI245&amp;"일)")),IF($AJ245="",$AE245,IF(INDEX(파견수련계획!$T$4:$T$803,$AJ245)="통합수련",INDEX(파견수련계획!$S$4:$S$803,$AJ245),$AE245)))))))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입력",IF(IF(TRIM($J245&amp;"")="",0,SUMPRODUCT((파견수련계획!$Q$4:$Q$803=TRIM($J245&amp;""))*(파견수련계획!$AA$4:$AA$803&lt;&gt;"")))&gt;0,"파견수련계획 입력오류 확인",IF(LEFT($Y245,1)="⚠","서울·구리 15일 판정 불가(양쪽 모두 이상/미만)",IF(IF($AC245="",0,N(INDEX(인턴근무계획!$T$3:$T$402,$AC245)))&gt;0,"인턴계획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IF($B245="","",IFERROR(MATCH($B245,기본자료!$B$2:$B$1001,0),IFERROR(MATCH($B245&amp;"",기본자료!$B$2:$B$1001,0),IFERROR(MATCH(VALUE($B245),기본자료!$B$2:$B$1001,0),""))))</f>
        <v/>
      </c>
      <c r="AC245" s="10">
        <f>IF($B245="","",IFERROR(MATCH($B245,인턴근무계획!$D$3:$D$402,0),IFERROR(MATCH($B245&amp;"",인턴근무계획!$D$3:$D$402,0),IFERROR(MATCH(VALUE($B245),인턴근무계획!$D$3:$D$402,0),""))))</f>
        <v/>
      </c>
      <c r="AD245" s="10">
        <f>IF(OR($AC245="",인턴현황!$G$3=""),"",INDEX(인턴근무계획!$M$3:$R$402,$AC245,인턴현황!$G$3)&amp;"")</f>
        <v/>
      </c>
      <c r="AE245" s="10">
        <f>IF($B245="","",IF($M245&lt;&gt;"",$M245,IF($AF245&lt;&gt;"",IF(LEFT(INDEX(파견수련계획!$R$4:$R$803,$AF245),1)&lt;&gt;"⚠",INDEX(파견수련계획!$R$4:$R$803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파견수련계획!$Y$4:$Y$803,0),IFERROR(MATCH(TRIM($J245&amp;"")&amp;"|파견예정",파견수련계획!$Y$4:$Y$803,0),IFERROR(MATCH(TRIM($J245&amp;"")&amp;"|파견종료",파견수련계획!$Y$4:$Y$803,0),""))))</f>
        <v/>
      </c>
      <c r="AG245" s="10">
        <f>IF($B245="","",IF(AND(IF(OR($AC245="",인턴현황!$K$2=""),"",INDEX(인턴근무계획!$M$3:$R$402,$AC245,인턴현황!$K$2)&amp;"")&lt;&gt;"",LEFT(IF(OR($AC245="",인턴현황!$K$2=""),"",INDEX(인턴근무계획!$M$3:$R$402,$AC245,인턴현황!$K$2)&amp;""),1)&lt;&gt;"⚠"),LEFT(IF(OR($AC245="",인턴현황!$K$2=""),"",INDEX(인턴근무계획!$M$3:$R$402,$AC245,인턴현황!$K$2)&amp;""),FIND(" ",IF(OR($AC245="",인턴현황!$K$2=""),"",INDEX(인턴근무계획!$M$3:$R$402,$AC245,인턴현황!$K$2)&amp;""))-1),$AE245))</f>
        <v/>
      </c>
      <c r="AH245" s="17">
        <f>IF($B245="","",IF(TRIM($J245&amp;"")="",0,SUMPRODUCT((파견수련계획!$Q$4:$Q$803=TRIM($J245&amp;""))*(파견수련계획!$S$4:$S$803="서울병원")*파견수련계획!$W$4:$W$803))+IF($AG245="서울병원",MAX(0,DAY(EOMONTH(요약!$B$3,0))-N($X245)),0))</f>
        <v/>
      </c>
      <c r="AI245" s="17">
        <f>IF($B245="","",IF(TRIM($J245&amp;"")="",0,SUMPRODUCT((파견수련계획!$Q$4:$Q$803=TRIM($J245&amp;""))*(파견수련계획!$S$4:$S$803="구리병원")*파견수련계획!$W$4:$W$803))+IF($AG245="구리병원",MAX(0,DAY(EOMONTH(요약!$B$3,0))-N($X245)),0))</f>
        <v/>
      </c>
      <c r="AJ245" s="10">
        <f>IF(OR($B245="",TRIM($J245&amp;"")=""),"",IFERROR(MATCH(TRIM($J245&amp;"")&amp;"|월",파견수련계획!$Z$4:$Z$803,0),""))</f>
        <v/>
      </c>
      <c r="AK245" s="10">
        <f>IF(OR($B245="",TRIM($J245&amp;"")=""),"",IFERROR(MATCH(TRIM($J245&amp;"")&amp;"|다기관",파견수련계획!$AE$4:$AE$803,0),""))</f>
        <v/>
      </c>
      <c r="AL245" s="10">
        <f>IF($AK245="","","다기관 "&amp;TEXT(INDEX(파견수련계획!$AB$4:$AB$803,$AK245),"yyyy-mm-dd")&amp;"~"&amp;IF(ISNUMBER(INDEX(파견수련계획!$AC$4:$AC$803,$AK245)),TEXT(INDEX(파견수련계획!$AC$4:$AC$803,$AK245),"yyyy-mm-dd"),""))</f>
        <v/>
      </c>
    </row>
    <row r="246">
      <c r="A246" s="10">
        <f>IF(B246="","",ROW()-1)</f>
        <v/>
      </c>
      <c r="B246" s="18" t="n"/>
      <c r="C246" s="10">
        <f>IF($AB246="","",IF(INDEX(기본자료!$C$2:$C$1001,$AB246)="","",INDEX(기본자료!$C$2:$C$1001,$AB246)))</f>
        <v/>
      </c>
      <c r="D246" s="10">
        <f>IF($AB246="","",IF(INDEX(기본자료!$J$2:$J$1001,$AB246)="","",INDEX(기본자료!$J$2:$J$1001,$AB246)))</f>
        <v/>
      </c>
      <c r="E246" s="11">
        <f>IF($AB246="","",IF(INDEX(기본자료!$K$2:$K$1001,$AB246)="","",IF(NOT(ISNUMBER(INDEX(기본자료!$K$2:$K$1001,$AB246))),INDEX(기본자료!$K$2:$K$1001,$AB246),IF(INDEX(기본자료!$K$2:$K$1001,$AB246)&lt;1000000,INDEX(기본자료!$K$2:$K$1001,$AB246),IF(AND(INDEX(기본자료!$K$2:$K$1001,$AB246)&gt;=10000101,INT(MOD(INDEX(기본자료!$K$2:$K$1001,$AB246),10000)/100)&gt;=1,INT(MOD(INDEX(기본자료!$K$2:$K$1001,$AB246),10000)/100)&lt;=12,MOD(INDEX(기본자료!$K$2:$K$1001,$AB246),100)&gt;=1,MOD(INDEX(기본자료!$K$2:$K$1001,$AB246),100)&lt;=31),DATE(INT(INDEX(기본자료!$K$2:$K$1001,$AB246)/10000),INT(MOD(INDEX(기본자료!$K$2:$K$1001,$AB246),10000)/100),MOD(INDEX(기본자료!$K$2:$K$1001,$AB246),100)),INDEX(기본자료!$K$2:$K$1001,$AB246)&amp;"")))))</f>
        <v/>
      </c>
      <c r="F246" s="10">
        <f>IF($AB246="","",IF(INDEX(기본자료!$D$2:$D$1001,$AB246)="","",INDEX(기본자료!$D$2:$D$1001,$AB246)))</f>
        <v/>
      </c>
      <c r="G246" s="10">
        <f>IF($AB246="","",IF(INDEX(기본자료!$E$2:$E$1001,$AB246)="","",INDEX(기본자료!$E$2:$E$1001,$AB246)))</f>
        <v/>
      </c>
      <c r="H246" s="10">
        <f>IF($AB246="","",IF(INDEX(기본자료!$F$2:$F$1001,$AB246)="","",INDEX(기본자료!$F$2:$F$1001,$AB246)))</f>
        <v/>
      </c>
      <c r="I246" s="11">
        <f>IF($AB246="","",IF(INDEX(기본자료!$G$2:$G$1001,$AB246)="","",IF(NOT(ISNUMBER(INDEX(기본자료!$G$2:$G$1001,$AB246))),INDEX(기본자료!$G$2:$G$1001,$AB246),IF(INDEX(기본자료!$G$2:$G$1001,$AB246)&lt;1000000,INDEX(기본자료!$G$2:$G$1001,$AB246),IF(AND(INDEX(기본자료!$G$2:$G$1001,$AB246)&gt;=10000101,INT(MOD(INDEX(기본자료!$G$2:$G$1001,$AB246),10000)/100)&gt;=1,INT(MOD(INDEX(기본자료!$G$2:$G$1001,$AB246),10000)/100)&lt;=12,MOD(INDEX(기본자료!$G$2:$G$1001,$AB246),100)&gt;=1,MOD(INDEX(기본자료!$G$2:$G$1001,$AB246),100)&lt;=31),DATE(INT(INDEX(기본자료!$G$2:$G$1001,$AB246)/10000),INT(MOD(INDEX(기본자료!$G$2:$G$1001,$AB246),10000)/100),MOD(INDEX(기본자료!$G$2:$G$1001,$AB246),100)),INDEX(기본자료!$G$2:$G$1001,$AB246)&amp;"")))))</f>
        <v/>
      </c>
      <c r="J246" s="10">
        <f>IF($AB246="","",IF(INDEX(기본자료!$H$2:$H$1001,$AB246)="","",INDEX(기본자료!$H$2:$H$1001,$AB246)))</f>
        <v/>
      </c>
      <c r="K246" s="10">
        <f>IF($AB246="","",IF(INDEX(기본자료!$I$2:$I$1001,$AB246)="","",INDEX(기본자료!$I$2:$I$1001,$AB246)))</f>
        <v/>
      </c>
      <c r="L246" s="10">
        <f>IF($AB246="","",IF(INDEX(기본자료!$A$2:$A$1001,$AB246)="","",INDEX(기본자료!$A$2:$A$1001,$AB246)))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파견수련계획!$AB$4:$AB$803,$AK246),OR(NOT(ISNUMBER(INDEX(파견수련계획!$AC$4:$AC$803,$AK246))),TODAY()&lt;=INDEX(파견수련계획!$AC$4:$AC$803,$AK246))),"다기관",IF($AF246="","",INDEX(파견수련계획!$T$4:$T$803,$AF246))),IF($AF246="","",INDEX(파견수련계획!$T$4:$T$803,$AF246))))</f>
        <v/>
      </c>
      <c r="Q246" s="10">
        <f>IF($AF246="","",INDEX(파견수련계획!$S$4:$S$803,$AF246))</f>
        <v/>
      </c>
      <c r="R246" s="10">
        <f>IF($AF246="","",INDEX(파견수련계획!$U$4:$U$803,$AF246))</f>
        <v/>
      </c>
      <c r="S246" s="11">
        <f>IF($AF246="","",IF(INDEX(파견수련계획!$H$4:$H$803,$AF246)="","",INDEX(파견수련계획!$H$4:$H$803,$AF246)))</f>
        <v/>
      </c>
      <c r="T246" s="11">
        <f>IF($AF246="","",IF(INDEX(파견수련계획!$I$4:$I$803,$AF246)="","",INDEX(파견수련계획!$I$4:$I$803,$AF246)))</f>
        <v/>
      </c>
      <c r="U246" s="10">
        <f>IF($AF246="","",INDEX(파견수련계획!$X$4:$X$803,$AF246))</f>
        <v/>
      </c>
      <c r="V246" s="17">
        <f>IF($AF246="","",INDEX(파견수련계획!$V$4:$V$803,$AF246))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IF(OR($B246="",TRIM($J246&amp;"")=""),"",SUMPRODUCT((파견수련계획!$Q$4:$Q$803=TRIM($J246&amp;""))*파견수련계획!$W$4:$W$803))</f>
        <v/>
      </c>
      <c r="Y246" s="10">
        <f>IF($B246="","",IF($AG246="","",IF(IF(TRIM($J246&amp;"")="",0,SUMPRODUCT((파견수련계획!$Q$4:$Q$803=TRIM($J246&amp;""))*파견수련계획!$AD$4:$AD$803))&gt;0,$AE246,IF(N($X246)&lt;=0,$AG246,IF($AH246+$AI246=DAY(EOMONTH(요약!$B$3,0)),IF(AND($AH246&gt;=요약!$E$3,$AI246&lt;요약!$E$3),"서울병원",IF(AND($AI246&gt;=요약!$E$3,$AH246&lt;요약!$E$3),"구리병원","⚠15일 판정불가(서울 "&amp;$AH246&amp;"일/구리 "&amp;$AI246&amp;"일)")),IF($AJ246="",$AE246,IF(INDEX(파견수련계획!$T$4:$T$803,$AJ246)="통합수련",INDEX(파견수련계획!$S$4:$S$803,$AJ246),$AE246)))))))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입력",IF(IF(TRIM($J246&amp;"")="",0,SUMPRODUCT((파견수련계획!$Q$4:$Q$803=TRIM($J246&amp;""))*(파견수련계획!$AA$4:$AA$803&lt;&gt;"")))&gt;0,"파견수련계획 입력오류 확인",IF(LEFT($Y246,1)="⚠","서울·구리 15일 판정 불가(양쪽 모두 이상/미만)",IF(IF($AC246="",0,N(INDEX(인턴근무계획!$T$3:$T$402,$AC246)))&gt;0,"인턴계획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IF($B246="","",IFERROR(MATCH($B246,기본자료!$B$2:$B$1001,0),IFERROR(MATCH($B246&amp;"",기본자료!$B$2:$B$1001,0),IFERROR(MATCH(VALUE($B246),기본자료!$B$2:$B$1001,0),""))))</f>
        <v/>
      </c>
      <c r="AC246" s="10">
        <f>IF($B246="","",IFERROR(MATCH($B246,인턴근무계획!$D$3:$D$402,0),IFERROR(MATCH($B246&amp;"",인턴근무계획!$D$3:$D$402,0),IFERROR(MATCH(VALUE($B246),인턴근무계획!$D$3:$D$402,0),""))))</f>
        <v/>
      </c>
      <c r="AD246" s="10">
        <f>IF(OR($AC246="",인턴현황!$G$3=""),"",INDEX(인턴근무계획!$M$3:$R$402,$AC246,인턴현황!$G$3)&amp;"")</f>
        <v/>
      </c>
      <c r="AE246" s="10">
        <f>IF($B246="","",IF($M246&lt;&gt;"",$M246,IF($AF246&lt;&gt;"",IF(LEFT(INDEX(파견수련계획!$R$4:$R$803,$AF246),1)&lt;&gt;"⚠",INDEX(파견수련계획!$R$4:$R$803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파견수련계획!$Y$4:$Y$803,0),IFERROR(MATCH(TRIM($J246&amp;"")&amp;"|파견예정",파견수련계획!$Y$4:$Y$803,0),IFERROR(MATCH(TRIM($J246&amp;"")&amp;"|파견종료",파견수련계획!$Y$4:$Y$803,0),""))))</f>
        <v/>
      </c>
      <c r="AG246" s="10">
        <f>IF($B246="","",IF(AND(IF(OR($AC246="",인턴현황!$K$2=""),"",INDEX(인턴근무계획!$M$3:$R$402,$AC246,인턴현황!$K$2)&amp;"")&lt;&gt;"",LEFT(IF(OR($AC246="",인턴현황!$K$2=""),"",INDEX(인턴근무계획!$M$3:$R$402,$AC246,인턴현황!$K$2)&amp;""),1)&lt;&gt;"⚠"),LEFT(IF(OR($AC246="",인턴현황!$K$2=""),"",INDEX(인턴근무계획!$M$3:$R$402,$AC246,인턴현황!$K$2)&amp;""),FIND(" ",IF(OR($AC246="",인턴현황!$K$2=""),"",INDEX(인턴근무계획!$M$3:$R$402,$AC246,인턴현황!$K$2)&amp;""))-1),$AE246))</f>
        <v/>
      </c>
      <c r="AH246" s="17">
        <f>IF($B246="","",IF(TRIM($J246&amp;"")="",0,SUMPRODUCT((파견수련계획!$Q$4:$Q$803=TRIM($J246&amp;""))*(파견수련계획!$S$4:$S$803="서울병원")*파견수련계획!$W$4:$W$803))+IF($AG246="서울병원",MAX(0,DAY(EOMONTH(요약!$B$3,0))-N($X246)),0))</f>
        <v/>
      </c>
      <c r="AI246" s="17">
        <f>IF($B246="","",IF(TRIM($J246&amp;"")="",0,SUMPRODUCT((파견수련계획!$Q$4:$Q$803=TRIM($J246&amp;""))*(파견수련계획!$S$4:$S$803="구리병원")*파견수련계획!$W$4:$W$803))+IF($AG246="구리병원",MAX(0,DAY(EOMONTH(요약!$B$3,0))-N($X246)),0))</f>
        <v/>
      </c>
      <c r="AJ246" s="10">
        <f>IF(OR($B246="",TRIM($J246&amp;"")=""),"",IFERROR(MATCH(TRIM($J246&amp;"")&amp;"|월",파견수련계획!$Z$4:$Z$803,0),""))</f>
        <v/>
      </c>
      <c r="AK246" s="10">
        <f>IF(OR($B246="",TRIM($J246&amp;"")=""),"",IFERROR(MATCH(TRIM($J246&amp;"")&amp;"|다기관",파견수련계획!$AE$4:$AE$803,0),""))</f>
        <v/>
      </c>
      <c r="AL246" s="10">
        <f>IF($AK246="","","다기관 "&amp;TEXT(INDEX(파견수련계획!$AB$4:$AB$803,$AK246),"yyyy-mm-dd")&amp;"~"&amp;IF(ISNUMBER(INDEX(파견수련계획!$AC$4:$AC$803,$AK246)),TEXT(INDEX(파견수련계획!$AC$4:$AC$803,$AK246),"yyyy-mm-dd"),""))</f>
        <v/>
      </c>
    </row>
    <row r="247">
      <c r="A247" s="10">
        <f>IF(B247="","",ROW()-1)</f>
        <v/>
      </c>
      <c r="B247" s="18" t="n"/>
      <c r="C247" s="10">
        <f>IF($AB247="","",IF(INDEX(기본자료!$C$2:$C$1001,$AB247)="","",INDEX(기본자료!$C$2:$C$1001,$AB247)))</f>
        <v/>
      </c>
      <c r="D247" s="10">
        <f>IF($AB247="","",IF(INDEX(기본자료!$J$2:$J$1001,$AB247)="","",INDEX(기본자료!$J$2:$J$1001,$AB247)))</f>
        <v/>
      </c>
      <c r="E247" s="11">
        <f>IF($AB247="","",IF(INDEX(기본자료!$K$2:$K$1001,$AB247)="","",IF(NOT(ISNUMBER(INDEX(기본자료!$K$2:$K$1001,$AB247))),INDEX(기본자료!$K$2:$K$1001,$AB247),IF(INDEX(기본자료!$K$2:$K$1001,$AB247)&lt;1000000,INDEX(기본자료!$K$2:$K$1001,$AB247),IF(AND(INDEX(기본자료!$K$2:$K$1001,$AB247)&gt;=10000101,INT(MOD(INDEX(기본자료!$K$2:$K$1001,$AB247),10000)/100)&gt;=1,INT(MOD(INDEX(기본자료!$K$2:$K$1001,$AB247),10000)/100)&lt;=12,MOD(INDEX(기본자료!$K$2:$K$1001,$AB247),100)&gt;=1,MOD(INDEX(기본자료!$K$2:$K$1001,$AB247),100)&lt;=31),DATE(INT(INDEX(기본자료!$K$2:$K$1001,$AB247)/10000),INT(MOD(INDEX(기본자료!$K$2:$K$1001,$AB247),10000)/100),MOD(INDEX(기본자료!$K$2:$K$1001,$AB247),100)),INDEX(기본자료!$K$2:$K$1001,$AB247)&amp;"")))))</f>
        <v/>
      </c>
      <c r="F247" s="10">
        <f>IF($AB247="","",IF(INDEX(기본자료!$D$2:$D$1001,$AB247)="","",INDEX(기본자료!$D$2:$D$1001,$AB247)))</f>
        <v/>
      </c>
      <c r="G247" s="10">
        <f>IF($AB247="","",IF(INDEX(기본자료!$E$2:$E$1001,$AB247)="","",INDEX(기본자료!$E$2:$E$1001,$AB247)))</f>
        <v/>
      </c>
      <c r="H247" s="10">
        <f>IF($AB247="","",IF(INDEX(기본자료!$F$2:$F$1001,$AB247)="","",INDEX(기본자료!$F$2:$F$1001,$AB247)))</f>
        <v/>
      </c>
      <c r="I247" s="11">
        <f>IF($AB247="","",IF(INDEX(기본자료!$G$2:$G$1001,$AB247)="","",IF(NOT(ISNUMBER(INDEX(기본자료!$G$2:$G$1001,$AB247))),INDEX(기본자료!$G$2:$G$1001,$AB247),IF(INDEX(기본자료!$G$2:$G$1001,$AB247)&lt;1000000,INDEX(기본자료!$G$2:$G$1001,$AB247),IF(AND(INDEX(기본자료!$G$2:$G$1001,$AB247)&gt;=10000101,INT(MOD(INDEX(기본자료!$G$2:$G$1001,$AB247),10000)/100)&gt;=1,INT(MOD(INDEX(기본자료!$G$2:$G$1001,$AB247),10000)/100)&lt;=12,MOD(INDEX(기본자료!$G$2:$G$1001,$AB247),100)&gt;=1,MOD(INDEX(기본자료!$G$2:$G$1001,$AB247),100)&lt;=31),DATE(INT(INDEX(기본자료!$G$2:$G$1001,$AB247)/10000),INT(MOD(INDEX(기본자료!$G$2:$G$1001,$AB247),10000)/100),MOD(INDEX(기본자료!$G$2:$G$1001,$AB247),100)),INDEX(기본자료!$G$2:$G$1001,$AB247)&amp;"")))))</f>
        <v/>
      </c>
      <c r="J247" s="10">
        <f>IF($AB247="","",IF(INDEX(기본자료!$H$2:$H$1001,$AB247)="","",INDEX(기본자료!$H$2:$H$1001,$AB247)))</f>
        <v/>
      </c>
      <c r="K247" s="10">
        <f>IF($AB247="","",IF(INDEX(기본자료!$I$2:$I$1001,$AB247)="","",INDEX(기본자료!$I$2:$I$1001,$AB247)))</f>
        <v/>
      </c>
      <c r="L247" s="10">
        <f>IF($AB247="","",IF(INDEX(기본자료!$A$2:$A$1001,$AB247)="","",INDEX(기본자료!$A$2:$A$1001,$AB247)))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파견수련계획!$AB$4:$AB$803,$AK247),OR(NOT(ISNUMBER(INDEX(파견수련계획!$AC$4:$AC$803,$AK247))),TODAY()&lt;=INDEX(파견수련계획!$AC$4:$AC$803,$AK247))),"다기관",IF($AF247="","",INDEX(파견수련계획!$T$4:$T$803,$AF247))),IF($AF247="","",INDEX(파견수련계획!$T$4:$T$803,$AF247))))</f>
        <v/>
      </c>
      <c r="Q247" s="10">
        <f>IF($AF247="","",INDEX(파견수련계획!$S$4:$S$803,$AF247))</f>
        <v/>
      </c>
      <c r="R247" s="10">
        <f>IF($AF247="","",INDEX(파견수련계획!$U$4:$U$803,$AF247))</f>
        <v/>
      </c>
      <c r="S247" s="11">
        <f>IF($AF247="","",IF(INDEX(파견수련계획!$H$4:$H$803,$AF247)="","",INDEX(파견수련계획!$H$4:$H$803,$AF247)))</f>
        <v/>
      </c>
      <c r="T247" s="11">
        <f>IF($AF247="","",IF(INDEX(파견수련계획!$I$4:$I$803,$AF247)="","",INDEX(파견수련계획!$I$4:$I$803,$AF247)))</f>
        <v/>
      </c>
      <c r="U247" s="10">
        <f>IF($AF247="","",INDEX(파견수련계획!$X$4:$X$803,$AF247))</f>
        <v/>
      </c>
      <c r="V247" s="17">
        <f>IF($AF247="","",INDEX(파견수련계획!$V$4:$V$803,$AF247))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IF(OR($B247="",TRIM($J247&amp;"")=""),"",SUMPRODUCT((파견수련계획!$Q$4:$Q$803=TRIM($J247&amp;""))*파견수련계획!$W$4:$W$803))</f>
        <v/>
      </c>
      <c r="Y247" s="10">
        <f>IF($B247="","",IF($AG247="","",IF(IF(TRIM($J247&amp;"")="",0,SUMPRODUCT((파견수련계획!$Q$4:$Q$803=TRIM($J247&amp;""))*파견수련계획!$AD$4:$AD$803))&gt;0,$AE247,IF(N($X247)&lt;=0,$AG247,IF($AH247+$AI247=DAY(EOMONTH(요약!$B$3,0)),IF(AND($AH247&gt;=요약!$E$3,$AI247&lt;요약!$E$3),"서울병원",IF(AND($AI247&gt;=요약!$E$3,$AH247&lt;요약!$E$3),"구리병원","⚠15일 판정불가(서울 "&amp;$AH247&amp;"일/구리 "&amp;$AI247&amp;"일)")),IF($AJ247="",$AE247,IF(INDEX(파견수련계획!$T$4:$T$803,$AJ247)="통합수련",INDEX(파견수련계획!$S$4:$S$803,$AJ247),$AE247)))))))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입력",IF(IF(TRIM($J247&amp;"")="",0,SUMPRODUCT((파견수련계획!$Q$4:$Q$803=TRIM($J247&amp;""))*(파견수련계획!$AA$4:$AA$803&lt;&gt;"")))&gt;0,"파견수련계획 입력오류 확인",IF(LEFT($Y247,1)="⚠","서울·구리 15일 판정 불가(양쪽 모두 이상/미만)",IF(IF($AC247="",0,N(INDEX(인턴근무계획!$T$3:$T$402,$AC247)))&gt;0,"인턴계획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IF($B247="","",IFERROR(MATCH($B247,기본자료!$B$2:$B$1001,0),IFERROR(MATCH($B247&amp;"",기본자료!$B$2:$B$1001,0),IFERROR(MATCH(VALUE($B247),기본자료!$B$2:$B$1001,0),""))))</f>
        <v/>
      </c>
      <c r="AC247" s="10">
        <f>IF($B247="","",IFERROR(MATCH($B247,인턴근무계획!$D$3:$D$402,0),IFERROR(MATCH($B247&amp;"",인턴근무계획!$D$3:$D$402,0),IFERROR(MATCH(VALUE($B247),인턴근무계획!$D$3:$D$402,0),""))))</f>
        <v/>
      </c>
      <c r="AD247" s="10">
        <f>IF(OR($AC247="",인턴현황!$G$3=""),"",INDEX(인턴근무계획!$M$3:$R$402,$AC247,인턴현황!$G$3)&amp;"")</f>
        <v/>
      </c>
      <c r="AE247" s="10">
        <f>IF($B247="","",IF($M247&lt;&gt;"",$M247,IF($AF247&lt;&gt;"",IF(LEFT(INDEX(파견수련계획!$R$4:$R$803,$AF247),1)&lt;&gt;"⚠",INDEX(파견수련계획!$R$4:$R$803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파견수련계획!$Y$4:$Y$803,0),IFERROR(MATCH(TRIM($J247&amp;"")&amp;"|파견예정",파견수련계획!$Y$4:$Y$803,0),IFERROR(MATCH(TRIM($J247&amp;"")&amp;"|파견종료",파견수련계획!$Y$4:$Y$803,0),""))))</f>
        <v/>
      </c>
      <c r="AG247" s="10">
        <f>IF($B247="","",IF(AND(IF(OR($AC247="",인턴현황!$K$2=""),"",INDEX(인턴근무계획!$M$3:$R$402,$AC247,인턴현황!$K$2)&amp;"")&lt;&gt;"",LEFT(IF(OR($AC247="",인턴현황!$K$2=""),"",INDEX(인턴근무계획!$M$3:$R$402,$AC247,인턴현황!$K$2)&amp;""),1)&lt;&gt;"⚠"),LEFT(IF(OR($AC247="",인턴현황!$K$2=""),"",INDEX(인턴근무계획!$M$3:$R$402,$AC247,인턴현황!$K$2)&amp;""),FIND(" ",IF(OR($AC247="",인턴현황!$K$2=""),"",INDEX(인턴근무계획!$M$3:$R$402,$AC247,인턴현황!$K$2)&amp;""))-1),$AE247))</f>
        <v/>
      </c>
      <c r="AH247" s="17">
        <f>IF($B247="","",IF(TRIM($J247&amp;"")="",0,SUMPRODUCT((파견수련계획!$Q$4:$Q$803=TRIM($J247&amp;""))*(파견수련계획!$S$4:$S$803="서울병원")*파견수련계획!$W$4:$W$803))+IF($AG247="서울병원",MAX(0,DAY(EOMONTH(요약!$B$3,0))-N($X247)),0))</f>
        <v/>
      </c>
      <c r="AI247" s="17">
        <f>IF($B247="","",IF(TRIM($J247&amp;"")="",0,SUMPRODUCT((파견수련계획!$Q$4:$Q$803=TRIM($J247&amp;""))*(파견수련계획!$S$4:$S$803="구리병원")*파견수련계획!$W$4:$W$803))+IF($AG247="구리병원",MAX(0,DAY(EOMONTH(요약!$B$3,0))-N($X247)),0))</f>
        <v/>
      </c>
      <c r="AJ247" s="10">
        <f>IF(OR($B247="",TRIM($J247&amp;"")=""),"",IFERROR(MATCH(TRIM($J247&amp;"")&amp;"|월",파견수련계획!$Z$4:$Z$803,0),""))</f>
        <v/>
      </c>
      <c r="AK247" s="10">
        <f>IF(OR($B247="",TRIM($J247&amp;"")=""),"",IFERROR(MATCH(TRIM($J247&amp;"")&amp;"|다기관",파견수련계획!$AE$4:$AE$803,0),""))</f>
        <v/>
      </c>
      <c r="AL247" s="10">
        <f>IF($AK247="","","다기관 "&amp;TEXT(INDEX(파견수련계획!$AB$4:$AB$803,$AK247),"yyyy-mm-dd")&amp;"~"&amp;IF(ISNUMBER(INDEX(파견수련계획!$AC$4:$AC$803,$AK247)),TEXT(INDEX(파견수련계획!$AC$4:$AC$803,$AK247),"yyyy-mm-dd"),""))</f>
        <v/>
      </c>
    </row>
    <row r="248">
      <c r="A248" s="10">
        <f>IF(B248="","",ROW()-1)</f>
        <v/>
      </c>
      <c r="B248" s="18" t="n"/>
      <c r="C248" s="10">
        <f>IF($AB248="","",IF(INDEX(기본자료!$C$2:$C$1001,$AB248)="","",INDEX(기본자료!$C$2:$C$1001,$AB248)))</f>
        <v/>
      </c>
      <c r="D248" s="10">
        <f>IF($AB248="","",IF(INDEX(기본자료!$J$2:$J$1001,$AB248)="","",INDEX(기본자료!$J$2:$J$1001,$AB248)))</f>
        <v/>
      </c>
      <c r="E248" s="11">
        <f>IF($AB248="","",IF(INDEX(기본자료!$K$2:$K$1001,$AB248)="","",IF(NOT(ISNUMBER(INDEX(기본자료!$K$2:$K$1001,$AB248))),INDEX(기본자료!$K$2:$K$1001,$AB248),IF(INDEX(기본자료!$K$2:$K$1001,$AB248)&lt;1000000,INDEX(기본자료!$K$2:$K$1001,$AB248),IF(AND(INDEX(기본자료!$K$2:$K$1001,$AB248)&gt;=10000101,INT(MOD(INDEX(기본자료!$K$2:$K$1001,$AB248),10000)/100)&gt;=1,INT(MOD(INDEX(기본자료!$K$2:$K$1001,$AB248),10000)/100)&lt;=12,MOD(INDEX(기본자료!$K$2:$K$1001,$AB248),100)&gt;=1,MOD(INDEX(기본자료!$K$2:$K$1001,$AB248),100)&lt;=31),DATE(INT(INDEX(기본자료!$K$2:$K$1001,$AB248)/10000),INT(MOD(INDEX(기본자료!$K$2:$K$1001,$AB248),10000)/100),MOD(INDEX(기본자료!$K$2:$K$1001,$AB248),100)),INDEX(기본자료!$K$2:$K$1001,$AB248)&amp;"")))))</f>
        <v/>
      </c>
      <c r="F248" s="10">
        <f>IF($AB248="","",IF(INDEX(기본자료!$D$2:$D$1001,$AB248)="","",INDEX(기본자료!$D$2:$D$1001,$AB248)))</f>
        <v/>
      </c>
      <c r="G248" s="10">
        <f>IF($AB248="","",IF(INDEX(기본자료!$E$2:$E$1001,$AB248)="","",INDEX(기본자료!$E$2:$E$1001,$AB248)))</f>
        <v/>
      </c>
      <c r="H248" s="10">
        <f>IF($AB248="","",IF(INDEX(기본자료!$F$2:$F$1001,$AB248)="","",INDEX(기본자료!$F$2:$F$1001,$AB248)))</f>
        <v/>
      </c>
      <c r="I248" s="11">
        <f>IF($AB248="","",IF(INDEX(기본자료!$G$2:$G$1001,$AB248)="","",IF(NOT(ISNUMBER(INDEX(기본자료!$G$2:$G$1001,$AB248))),INDEX(기본자료!$G$2:$G$1001,$AB248),IF(INDEX(기본자료!$G$2:$G$1001,$AB248)&lt;1000000,INDEX(기본자료!$G$2:$G$1001,$AB248),IF(AND(INDEX(기본자료!$G$2:$G$1001,$AB248)&gt;=10000101,INT(MOD(INDEX(기본자료!$G$2:$G$1001,$AB248),10000)/100)&gt;=1,INT(MOD(INDEX(기본자료!$G$2:$G$1001,$AB248),10000)/100)&lt;=12,MOD(INDEX(기본자료!$G$2:$G$1001,$AB248),100)&gt;=1,MOD(INDEX(기본자료!$G$2:$G$1001,$AB248),100)&lt;=31),DATE(INT(INDEX(기본자료!$G$2:$G$1001,$AB248)/10000),INT(MOD(INDEX(기본자료!$G$2:$G$1001,$AB248),10000)/100),MOD(INDEX(기본자료!$G$2:$G$1001,$AB248),100)),INDEX(기본자료!$G$2:$G$1001,$AB248)&amp;"")))))</f>
        <v/>
      </c>
      <c r="J248" s="10">
        <f>IF($AB248="","",IF(INDEX(기본자료!$H$2:$H$1001,$AB248)="","",INDEX(기본자료!$H$2:$H$1001,$AB248)))</f>
        <v/>
      </c>
      <c r="K248" s="10">
        <f>IF($AB248="","",IF(INDEX(기본자료!$I$2:$I$1001,$AB248)="","",INDEX(기본자료!$I$2:$I$1001,$AB248)))</f>
        <v/>
      </c>
      <c r="L248" s="10">
        <f>IF($AB248="","",IF(INDEX(기본자료!$A$2:$A$1001,$AB248)="","",INDEX(기본자료!$A$2:$A$1001,$AB248)))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파견수련계획!$AB$4:$AB$803,$AK248),OR(NOT(ISNUMBER(INDEX(파견수련계획!$AC$4:$AC$803,$AK248))),TODAY()&lt;=INDEX(파견수련계획!$AC$4:$AC$803,$AK248))),"다기관",IF($AF248="","",INDEX(파견수련계획!$T$4:$T$803,$AF248))),IF($AF248="","",INDEX(파견수련계획!$T$4:$T$803,$AF248))))</f>
        <v/>
      </c>
      <c r="Q248" s="10">
        <f>IF($AF248="","",INDEX(파견수련계획!$S$4:$S$803,$AF248))</f>
        <v/>
      </c>
      <c r="R248" s="10">
        <f>IF($AF248="","",INDEX(파견수련계획!$U$4:$U$803,$AF248))</f>
        <v/>
      </c>
      <c r="S248" s="11">
        <f>IF($AF248="","",IF(INDEX(파견수련계획!$H$4:$H$803,$AF248)="","",INDEX(파견수련계획!$H$4:$H$803,$AF248)))</f>
        <v/>
      </c>
      <c r="T248" s="11">
        <f>IF($AF248="","",IF(INDEX(파견수련계획!$I$4:$I$803,$AF248)="","",INDEX(파견수련계획!$I$4:$I$803,$AF248)))</f>
        <v/>
      </c>
      <c r="U248" s="10">
        <f>IF($AF248="","",INDEX(파견수련계획!$X$4:$X$803,$AF248))</f>
        <v/>
      </c>
      <c r="V248" s="17">
        <f>IF($AF248="","",INDEX(파견수련계획!$V$4:$V$803,$AF248))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IF(OR($B248="",TRIM($J248&amp;"")=""),"",SUMPRODUCT((파견수련계획!$Q$4:$Q$803=TRIM($J248&amp;""))*파견수련계획!$W$4:$W$803))</f>
        <v/>
      </c>
      <c r="Y248" s="10">
        <f>IF($B248="","",IF($AG248="","",IF(IF(TRIM($J248&amp;"")="",0,SUMPRODUCT((파견수련계획!$Q$4:$Q$803=TRIM($J248&amp;""))*파견수련계획!$AD$4:$AD$803))&gt;0,$AE248,IF(N($X248)&lt;=0,$AG248,IF($AH248+$AI248=DAY(EOMONTH(요약!$B$3,0)),IF(AND($AH248&gt;=요약!$E$3,$AI248&lt;요약!$E$3),"서울병원",IF(AND($AI248&gt;=요약!$E$3,$AH248&lt;요약!$E$3),"구리병원","⚠15일 판정불가(서울 "&amp;$AH248&amp;"일/구리 "&amp;$AI248&amp;"일)")),IF($AJ248="",$AE248,IF(INDEX(파견수련계획!$T$4:$T$803,$AJ248)="통합수련",INDEX(파견수련계획!$S$4:$S$803,$AJ248),$AE248)))))))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입력",IF(IF(TRIM($J248&amp;"")="",0,SUMPRODUCT((파견수련계획!$Q$4:$Q$803=TRIM($J248&amp;""))*(파견수련계획!$AA$4:$AA$803&lt;&gt;"")))&gt;0,"파견수련계획 입력오류 확인",IF(LEFT($Y248,1)="⚠","서울·구리 15일 판정 불가(양쪽 모두 이상/미만)",IF(IF($AC248="",0,N(INDEX(인턴근무계획!$T$3:$T$402,$AC248)))&gt;0,"인턴계획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IF($B248="","",IFERROR(MATCH($B248,기본자료!$B$2:$B$1001,0),IFERROR(MATCH($B248&amp;"",기본자료!$B$2:$B$1001,0),IFERROR(MATCH(VALUE($B248),기본자료!$B$2:$B$1001,0),""))))</f>
        <v/>
      </c>
      <c r="AC248" s="10">
        <f>IF($B248="","",IFERROR(MATCH($B248,인턴근무계획!$D$3:$D$402,0),IFERROR(MATCH($B248&amp;"",인턴근무계획!$D$3:$D$402,0),IFERROR(MATCH(VALUE($B248),인턴근무계획!$D$3:$D$402,0),""))))</f>
        <v/>
      </c>
      <c r="AD248" s="10">
        <f>IF(OR($AC248="",인턴현황!$G$3=""),"",INDEX(인턴근무계획!$M$3:$R$402,$AC248,인턴현황!$G$3)&amp;"")</f>
        <v/>
      </c>
      <c r="AE248" s="10">
        <f>IF($B248="","",IF($M248&lt;&gt;"",$M248,IF($AF248&lt;&gt;"",IF(LEFT(INDEX(파견수련계획!$R$4:$R$803,$AF248),1)&lt;&gt;"⚠",INDEX(파견수련계획!$R$4:$R$803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파견수련계획!$Y$4:$Y$803,0),IFERROR(MATCH(TRIM($J248&amp;"")&amp;"|파견예정",파견수련계획!$Y$4:$Y$803,0),IFERROR(MATCH(TRIM($J248&amp;"")&amp;"|파견종료",파견수련계획!$Y$4:$Y$803,0),""))))</f>
        <v/>
      </c>
      <c r="AG248" s="10">
        <f>IF($B248="","",IF(AND(IF(OR($AC248="",인턴현황!$K$2=""),"",INDEX(인턴근무계획!$M$3:$R$402,$AC248,인턴현황!$K$2)&amp;"")&lt;&gt;"",LEFT(IF(OR($AC248="",인턴현황!$K$2=""),"",INDEX(인턴근무계획!$M$3:$R$402,$AC248,인턴현황!$K$2)&amp;""),1)&lt;&gt;"⚠"),LEFT(IF(OR($AC248="",인턴현황!$K$2=""),"",INDEX(인턴근무계획!$M$3:$R$402,$AC248,인턴현황!$K$2)&amp;""),FIND(" ",IF(OR($AC248="",인턴현황!$K$2=""),"",INDEX(인턴근무계획!$M$3:$R$402,$AC248,인턴현황!$K$2)&amp;""))-1),$AE248))</f>
        <v/>
      </c>
      <c r="AH248" s="17">
        <f>IF($B248="","",IF(TRIM($J248&amp;"")="",0,SUMPRODUCT((파견수련계획!$Q$4:$Q$803=TRIM($J248&amp;""))*(파견수련계획!$S$4:$S$803="서울병원")*파견수련계획!$W$4:$W$803))+IF($AG248="서울병원",MAX(0,DAY(EOMONTH(요약!$B$3,0))-N($X248)),0))</f>
        <v/>
      </c>
      <c r="AI248" s="17">
        <f>IF($B248="","",IF(TRIM($J248&amp;"")="",0,SUMPRODUCT((파견수련계획!$Q$4:$Q$803=TRIM($J248&amp;""))*(파견수련계획!$S$4:$S$803="구리병원")*파견수련계획!$W$4:$W$803))+IF($AG248="구리병원",MAX(0,DAY(EOMONTH(요약!$B$3,0))-N($X248)),0))</f>
        <v/>
      </c>
      <c r="AJ248" s="10">
        <f>IF(OR($B248="",TRIM($J248&amp;"")=""),"",IFERROR(MATCH(TRIM($J248&amp;"")&amp;"|월",파견수련계획!$Z$4:$Z$803,0),""))</f>
        <v/>
      </c>
      <c r="AK248" s="10">
        <f>IF(OR($B248="",TRIM($J248&amp;"")=""),"",IFERROR(MATCH(TRIM($J248&amp;"")&amp;"|다기관",파견수련계획!$AE$4:$AE$803,0),""))</f>
        <v/>
      </c>
      <c r="AL248" s="10">
        <f>IF($AK248="","","다기관 "&amp;TEXT(INDEX(파견수련계획!$AB$4:$AB$803,$AK248),"yyyy-mm-dd")&amp;"~"&amp;IF(ISNUMBER(INDEX(파견수련계획!$AC$4:$AC$803,$AK248)),TEXT(INDEX(파견수련계획!$AC$4:$AC$803,$AK248),"yyyy-mm-dd"),""))</f>
        <v/>
      </c>
    </row>
    <row r="249">
      <c r="A249" s="10">
        <f>IF(B249="","",ROW()-1)</f>
        <v/>
      </c>
      <c r="B249" s="18" t="n"/>
      <c r="C249" s="10">
        <f>IF($AB249="","",IF(INDEX(기본자료!$C$2:$C$1001,$AB249)="","",INDEX(기본자료!$C$2:$C$1001,$AB249)))</f>
        <v/>
      </c>
      <c r="D249" s="10">
        <f>IF($AB249="","",IF(INDEX(기본자료!$J$2:$J$1001,$AB249)="","",INDEX(기본자료!$J$2:$J$1001,$AB249)))</f>
        <v/>
      </c>
      <c r="E249" s="11">
        <f>IF($AB249="","",IF(INDEX(기본자료!$K$2:$K$1001,$AB249)="","",IF(NOT(ISNUMBER(INDEX(기본자료!$K$2:$K$1001,$AB249))),INDEX(기본자료!$K$2:$K$1001,$AB249),IF(INDEX(기본자료!$K$2:$K$1001,$AB249)&lt;1000000,INDEX(기본자료!$K$2:$K$1001,$AB249),IF(AND(INDEX(기본자료!$K$2:$K$1001,$AB249)&gt;=10000101,INT(MOD(INDEX(기본자료!$K$2:$K$1001,$AB249),10000)/100)&gt;=1,INT(MOD(INDEX(기본자료!$K$2:$K$1001,$AB249),10000)/100)&lt;=12,MOD(INDEX(기본자료!$K$2:$K$1001,$AB249),100)&gt;=1,MOD(INDEX(기본자료!$K$2:$K$1001,$AB249),100)&lt;=31),DATE(INT(INDEX(기본자료!$K$2:$K$1001,$AB249)/10000),INT(MOD(INDEX(기본자료!$K$2:$K$1001,$AB249),10000)/100),MOD(INDEX(기본자료!$K$2:$K$1001,$AB249),100)),INDEX(기본자료!$K$2:$K$1001,$AB249)&amp;"")))))</f>
        <v/>
      </c>
      <c r="F249" s="10">
        <f>IF($AB249="","",IF(INDEX(기본자료!$D$2:$D$1001,$AB249)="","",INDEX(기본자료!$D$2:$D$1001,$AB249)))</f>
        <v/>
      </c>
      <c r="G249" s="10">
        <f>IF($AB249="","",IF(INDEX(기본자료!$E$2:$E$1001,$AB249)="","",INDEX(기본자료!$E$2:$E$1001,$AB249)))</f>
        <v/>
      </c>
      <c r="H249" s="10">
        <f>IF($AB249="","",IF(INDEX(기본자료!$F$2:$F$1001,$AB249)="","",INDEX(기본자료!$F$2:$F$1001,$AB249)))</f>
        <v/>
      </c>
      <c r="I249" s="11">
        <f>IF($AB249="","",IF(INDEX(기본자료!$G$2:$G$1001,$AB249)="","",IF(NOT(ISNUMBER(INDEX(기본자료!$G$2:$G$1001,$AB249))),INDEX(기본자료!$G$2:$G$1001,$AB249),IF(INDEX(기본자료!$G$2:$G$1001,$AB249)&lt;1000000,INDEX(기본자료!$G$2:$G$1001,$AB249),IF(AND(INDEX(기본자료!$G$2:$G$1001,$AB249)&gt;=10000101,INT(MOD(INDEX(기본자료!$G$2:$G$1001,$AB249),10000)/100)&gt;=1,INT(MOD(INDEX(기본자료!$G$2:$G$1001,$AB249),10000)/100)&lt;=12,MOD(INDEX(기본자료!$G$2:$G$1001,$AB249),100)&gt;=1,MOD(INDEX(기본자료!$G$2:$G$1001,$AB249),100)&lt;=31),DATE(INT(INDEX(기본자료!$G$2:$G$1001,$AB249)/10000),INT(MOD(INDEX(기본자료!$G$2:$G$1001,$AB249),10000)/100),MOD(INDEX(기본자료!$G$2:$G$1001,$AB249),100)),INDEX(기본자료!$G$2:$G$1001,$AB249)&amp;"")))))</f>
        <v/>
      </c>
      <c r="J249" s="10">
        <f>IF($AB249="","",IF(INDEX(기본자료!$H$2:$H$1001,$AB249)="","",INDEX(기본자료!$H$2:$H$1001,$AB249)))</f>
        <v/>
      </c>
      <c r="K249" s="10">
        <f>IF($AB249="","",IF(INDEX(기본자료!$I$2:$I$1001,$AB249)="","",INDEX(기본자료!$I$2:$I$1001,$AB249)))</f>
        <v/>
      </c>
      <c r="L249" s="10">
        <f>IF($AB249="","",IF(INDEX(기본자료!$A$2:$A$1001,$AB249)="","",INDEX(기본자료!$A$2:$A$1001,$AB249)))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파견수련계획!$AB$4:$AB$803,$AK249),OR(NOT(ISNUMBER(INDEX(파견수련계획!$AC$4:$AC$803,$AK249))),TODAY()&lt;=INDEX(파견수련계획!$AC$4:$AC$803,$AK249))),"다기관",IF($AF249="","",INDEX(파견수련계획!$T$4:$T$803,$AF249))),IF($AF249="","",INDEX(파견수련계획!$T$4:$T$803,$AF249))))</f>
        <v/>
      </c>
      <c r="Q249" s="10">
        <f>IF($AF249="","",INDEX(파견수련계획!$S$4:$S$803,$AF249))</f>
        <v/>
      </c>
      <c r="R249" s="10">
        <f>IF($AF249="","",INDEX(파견수련계획!$U$4:$U$803,$AF249))</f>
        <v/>
      </c>
      <c r="S249" s="11">
        <f>IF($AF249="","",IF(INDEX(파견수련계획!$H$4:$H$803,$AF249)="","",INDEX(파견수련계획!$H$4:$H$803,$AF249)))</f>
        <v/>
      </c>
      <c r="T249" s="11">
        <f>IF($AF249="","",IF(INDEX(파견수련계획!$I$4:$I$803,$AF249)="","",INDEX(파견수련계획!$I$4:$I$803,$AF249)))</f>
        <v/>
      </c>
      <c r="U249" s="10">
        <f>IF($AF249="","",INDEX(파견수련계획!$X$4:$X$803,$AF249))</f>
        <v/>
      </c>
      <c r="V249" s="17">
        <f>IF($AF249="","",INDEX(파견수련계획!$V$4:$V$803,$AF249))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IF(OR($B249="",TRIM($J249&amp;"")=""),"",SUMPRODUCT((파견수련계획!$Q$4:$Q$803=TRIM($J249&amp;""))*파견수련계획!$W$4:$W$803))</f>
        <v/>
      </c>
      <c r="Y249" s="10">
        <f>IF($B249="","",IF($AG249="","",IF(IF(TRIM($J249&amp;"")="",0,SUMPRODUCT((파견수련계획!$Q$4:$Q$803=TRIM($J249&amp;""))*파견수련계획!$AD$4:$AD$803))&gt;0,$AE249,IF(N($X249)&lt;=0,$AG249,IF($AH249+$AI249=DAY(EOMONTH(요약!$B$3,0)),IF(AND($AH249&gt;=요약!$E$3,$AI249&lt;요약!$E$3),"서울병원",IF(AND($AI249&gt;=요약!$E$3,$AH249&lt;요약!$E$3),"구리병원","⚠15일 판정불가(서울 "&amp;$AH249&amp;"일/구리 "&amp;$AI249&amp;"일)")),IF($AJ249="",$AE249,IF(INDEX(파견수련계획!$T$4:$T$803,$AJ249)="통합수련",INDEX(파견수련계획!$S$4:$S$803,$AJ249),$AE249)))))))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입력",IF(IF(TRIM($J249&amp;"")="",0,SUMPRODUCT((파견수련계획!$Q$4:$Q$803=TRIM($J249&amp;""))*(파견수련계획!$AA$4:$AA$803&lt;&gt;"")))&gt;0,"파견수련계획 입력오류 확인",IF(LEFT($Y249,1)="⚠","서울·구리 15일 판정 불가(양쪽 모두 이상/미만)",IF(IF($AC249="",0,N(INDEX(인턴근무계획!$T$3:$T$402,$AC249)))&gt;0,"인턴계획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IF($B249="","",IFERROR(MATCH($B249,기본자료!$B$2:$B$1001,0),IFERROR(MATCH($B249&amp;"",기본자료!$B$2:$B$1001,0),IFERROR(MATCH(VALUE($B249),기본자료!$B$2:$B$1001,0),""))))</f>
        <v/>
      </c>
      <c r="AC249" s="10">
        <f>IF($B249="","",IFERROR(MATCH($B249,인턴근무계획!$D$3:$D$402,0),IFERROR(MATCH($B249&amp;"",인턴근무계획!$D$3:$D$402,0),IFERROR(MATCH(VALUE($B249),인턴근무계획!$D$3:$D$402,0),""))))</f>
        <v/>
      </c>
      <c r="AD249" s="10">
        <f>IF(OR($AC249="",인턴현황!$G$3=""),"",INDEX(인턴근무계획!$M$3:$R$402,$AC249,인턴현황!$G$3)&amp;"")</f>
        <v/>
      </c>
      <c r="AE249" s="10">
        <f>IF($B249="","",IF($M249&lt;&gt;"",$M249,IF($AF249&lt;&gt;"",IF(LEFT(INDEX(파견수련계획!$R$4:$R$803,$AF249),1)&lt;&gt;"⚠",INDEX(파견수련계획!$R$4:$R$803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파견수련계획!$Y$4:$Y$803,0),IFERROR(MATCH(TRIM($J249&amp;"")&amp;"|파견예정",파견수련계획!$Y$4:$Y$803,0),IFERROR(MATCH(TRIM($J249&amp;"")&amp;"|파견종료",파견수련계획!$Y$4:$Y$803,0),""))))</f>
        <v/>
      </c>
      <c r="AG249" s="10">
        <f>IF($B249="","",IF(AND(IF(OR($AC249="",인턴현황!$K$2=""),"",INDEX(인턴근무계획!$M$3:$R$402,$AC249,인턴현황!$K$2)&amp;"")&lt;&gt;"",LEFT(IF(OR($AC249="",인턴현황!$K$2=""),"",INDEX(인턴근무계획!$M$3:$R$402,$AC249,인턴현황!$K$2)&amp;""),1)&lt;&gt;"⚠"),LEFT(IF(OR($AC249="",인턴현황!$K$2=""),"",INDEX(인턴근무계획!$M$3:$R$402,$AC249,인턴현황!$K$2)&amp;""),FIND(" ",IF(OR($AC249="",인턴현황!$K$2=""),"",INDEX(인턴근무계획!$M$3:$R$402,$AC249,인턴현황!$K$2)&amp;""))-1),$AE249))</f>
        <v/>
      </c>
      <c r="AH249" s="17">
        <f>IF($B249="","",IF(TRIM($J249&amp;"")="",0,SUMPRODUCT((파견수련계획!$Q$4:$Q$803=TRIM($J249&amp;""))*(파견수련계획!$S$4:$S$803="서울병원")*파견수련계획!$W$4:$W$803))+IF($AG249="서울병원",MAX(0,DAY(EOMONTH(요약!$B$3,0))-N($X249)),0))</f>
        <v/>
      </c>
      <c r="AI249" s="17">
        <f>IF($B249="","",IF(TRIM($J249&amp;"")="",0,SUMPRODUCT((파견수련계획!$Q$4:$Q$803=TRIM($J249&amp;""))*(파견수련계획!$S$4:$S$803="구리병원")*파견수련계획!$W$4:$W$803))+IF($AG249="구리병원",MAX(0,DAY(EOMONTH(요약!$B$3,0))-N($X249)),0))</f>
        <v/>
      </c>
      <c r="AJ249" s="10">
        <f>IF(OR($B249="",TRIM($J249&amp;"")=""),"",IFERROR(MATCH(TRIM($J249&amp;"")&amp;"|월",파견수련계획!$Z$4:$Z$803,0),""))</f>
        <v/>
      </c>
      <c r="AK249" s="10">
        <f>IF(OR($B249="",TRIM($J249&amp;"")=""),"",IFERROR(MATCH(TRIM($J249&amp;"")&amp;"|다기관",파견수련계획!$AE$4:$AE$803,0),""))</f>
        <v/>
      </c>
      <c r="AL249" s="10">
        <f>IF($AK249="","","다기관 "&amp;TEXT(INDEX(파견수련계획!$AB$4:$AB$803,$AK249),"yyyy-mm-dd")&amp;"~"&amp;IF(ISNUMBER(INDEX(파견수련계획!$AC$4:$AC$803,$AK249)),TEXT(INDEX(파견수련계획!$AC$4:$AC$803,$AK249),"yyyy-mm-dd"),""))</f>
        <v/>
      </c>
    </row>
    <row r="250">
      <c r="A250" s="10">
        <f>IF(B250="","",ROW()-1)</f>
        <v/>
      </c>
      <c r="B250" s="18" t="n"/>
      <c r="C250" s="10">
        <f>IF($AB250="","",IF(INDEX(기본자료!$C$2:$C$1001,$AB250)="","",INDEX(기본자료!$C$2:$C$1001,$AB250)))</f>
        <v/>
      </c>
      <c r="D250" s="10">
        <f>IF($AB250="","",IF(INDEX(기본자료!$J$2:$J$1001,$AB250)="","",INDEX(기본자료!$J$2:$J$1001,$AB250)))</f>
        <v/>
      </c>
      <c r="E250" s="11">
        <f>IF($AB250="","",IF(INDEX(기본자료!$K$2:$K$1001,$AB250)="","",IF(NOT(ISNUMBER(INDEX(기본자료!$K$2:$K$1001,$AB250))),INDEX(기본자료!$K$2:$K$1001,$AB250),IF(INDEX(기본자료!$K$2:$K$1001,$AB250)&lt;1000000,INDEX(기본자료!$K$2:$K$1001,$AB250),IF(AND(INDEX(기본자료!$K$2:$K$1001,$AB250)&gt;=10000101,INT(MOD(INDEX(기본자료!$K$2:$K$1001,$AB250),10000)/100)&gt;=1,INT(MOD(INDEX(기본자료!$K$2:$K$1001,$AB250),10000)/100)&lt;=12,MOD(INDEX(기본자료!$K$2:$K$1001,$AB250),100)&gt;=1,MOD(INDEX(기본자료!$K$2:$K$1001,$AB250),100)&lt;=31),DATE(INT(INDEX(기본자료!$K$2:$K$1001,$AB250)/10000),INT(MOD(INDEX(기본자료!$K$2:$K$1001,$AB250),10000)/100),MOD(INDEX(기본자료!$K$2:$K$1001,$AB250),100)),INDEX(기본자료!$K$2:$K$1001,$AB250)&amp;"")))))</f>
        <v/>
      </c>
      <c r="F250" s="10">
        <f>IF($AB250="","",IF(INDEX(기본자료!$D$2:$D$1001,$AB250)="","",INDEX(기본자료!$D$2:$D$1001,$AB250)))</f>
        <v/>
      </c>
      <c r="G250" s="10">
        <f>IF($AB250="","",IF(INDEX(기본자료!$E$2:$E$1001,$AB250)="","",INDEX(기본자료!$E$2:$E$1001,$AB250)))</f>
        <v/>
      </c>
      <c r="H250" s="10">
        <f>IF($AB250="","",IF(INDEX(기본자료!$F$2:$F$1001,$AB250)="","",INDEX(기본자료!$F$2:$F$1001,$AB250)))</f>
        <v/>
      </c>
      <c r="I250" s="11">
        <f>IF($AB250="","",IF(INDEX(기본자료!$G$2:$G$1001,$AB250)="","",IF(NOT(ISNUMBER(INDEX(기본자료!$G$2:$G$1001,$AB250))),INDEX(기본자료!$G$2:$G$1001,$AB250),IF(INDEX(기본자료!$G$2:$G$1001,$AB250)&lt;1000000,INDEX(기본자료!$G$2:$G$1001,$AB250),IF(AND(INDEX(기본자료!$G$2:$G$1001,$AB250)&gt;=10000101,INT(MOD(INDEX(기본자료!$G$2:$G$1001,$AB250),10000)/100)&gt;=1,INT(MOD(INDEX(기본자료!$G$2:$G$1001,$AB250),10000)/100)&lt;=12,MOD(INDEX(기본자료!$G$2:$G$1001,$AB250),100)&gt;=1,MOD(INDEX(기본자료!$G$2:$G$1001,$AB250),100)&lt;=31),DATE(INT(INDEX(기본자료!$G$2:$G$1001,$AB250)/10000),INT(MOD(INDEX(기본자료!$G$2:$G$1001,$AB250),10000)/100),MOD(INDEX(기본자료!$G$2:$G$1001,$AB250),100)),INDEX(기본자료!$G$2:$G$1001,$AB250)&amp;"")))))</f>
        <v/>
      </c>
      <c r="J250" s="10">
        <f>IF($AB250="","",IF(INDEX(기본자료!$H$2:$H$1001,$AB250)="","",INDEX(기본자료!$H$2:$H$1001,$AB250)))</f>
        <v/>
      </c>
      <c r="K250" s="10">
        <f>IF($AB250="","",IF(INDEX(기본자료!$I$2:$I$1001,$AB250)="","",INDEX(기본자료!$I$2:$I$1001,$AB250)))</f>
        <v/>
      </c>
      <c r="L250" s="10">
        <f>IF($AB250="","",IF(INDEX(기본자료!$A$2:$A$1001,$AB250)="","",INDEX(기본자료!$A$2:$A$1001,$AB250)))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파견수련계획!$AB$4:$AB$803,$AK250),OR(NOT(ISNUMBER(INDEX(파견수련계획!$AC$4:$AC$803,$AK250))),TODAY()&lt;=INDEX(파견수련계획!$AC$4:$AC$803,$AK250))),"다기관",IF($AF250="","",INDEX(파견수련계획!$T$4:$T$803,$AF250))),IF($AF250="","",INDEX(파견수련계획!$T$4:$T$803,$AF250))))</f>
        <v/>
      </c>
      <c r="Q250" s="10">
        <f>IF($AF250="","",INDEX(파견수련계획!$S$4:$S$803,$AF250))</f>
        <v/>
      </c>
      <c r="R250" s="10">
        <f>IF($AF250="","",INDEX(파견수련계획!$U$4:$U$803,$AF250))</f>
        <v/>
      </c>
      <c r="S250" s="11">
        <f>IF($AF250="","",IF(INDEX(파견수련계획!$H$4:$H$803,$AF250)="","",INDEX(파견수련계획!$H$4:$H$803,$AF250)))</f>
        <v/>
      </c>
      <c r="T250" s="11">
        <f>IF($AF250="","",IF(INDEX(파견수련계획!$I$4:$I$803,$AF250)="","",INDEX(파견수련계획!$I$4:$I$803,$AF250)))</f>
        <v/>
      </c>
      <c r="U250" s="10">
        <f>IF($AF250="","",INDEX(파견수련계획!$X$4:$X$803,$AF250))</f>
        <v/>
      </c>
      <c r="V250" s="17">
        <f>IF($AF250="","",INDEX(파견수련계획!$V$4:$V$803,$AF250))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IF(OR($B250="",TRIM($J250&amp;"")=""),"",SUMPRODUCT((파견수련계획!$Q$4:$Q$803=TRIM($J250&amp;""))*파견수련계획!$W$4:$W$803))</f>
        <v/>
      </c>
      <c r="Y250" s="10">
        <f>IF($B250="","",IF($AG250="","",IF(IF(TRIM($J250&amp;"")="",0,SUMPRODUCT((파견수련계획!$Q$4:$Q$803=TRIM($J250&amp;""))*파견수련계획!$AD$4:$AD$803))&gt;0,$AE250,IF(N($X250)&lt;=0,$AG250,IF($AH250+$AI250=DAY(EOMONTH(요약!$B$3,0)),IF(AND($AH250&gt;=요약!$E$3,$AI250&lt;요약!$E$3),"서울병원",IF(AND($AI250&gt;=요약!$E$3,$AH250&lt;요약!$E$3),"구리병원","⚠15일 판정불가(서울 "&amp;$AH250&amp;"일/구리 "&amp;$AI250&amp;"일)")),IF($AJ250="",$AE250,IF(INDEX(파견수련계획!$T$4:$T$803,$AJ250)="통합수련",INDEX(파견수련계획!$S$4:$S$803,$AJ250),$AE250)))))))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입력",IF(IF(TRIM($J250&amp;"")="",0,SUMPRODUCT((파견수련계획!$Q$4:$Q$803=TRIM($J250&amp;""))*(파견수련계획!$AA$4:$AA$803&lt;&gt;"")))&gt;0,"파견수련계획 입력오류 확인",IF(LEFT($Y250,1)="⚠","서울·구리 15일 판정 불가(양쪽 모두 이상/미만)",IF(IF($AC250="",0,N(INDEX(인턴근무계획!$T$3:$T$402,$AC250)))&gt;0,"인턴계획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IF($B250="","",IFERROR(MATCH($B250,기본자료!$B$2:$B$1001,0),IFERROR(MATCH($B250&amp;"",기본자료!$B$2:$B$1001,0),IFERROR(MATCH(VALUE($B250),기본자료!$B$2:$B$1001,0),""))))</f>
        <v/>
      </c>
      <c r="AC250" s="10">
        <f>IF($B250="","",IFERROR(MATCH($B250,인턴근무계획!$D$3:$D$402,0),IFERROR(MATCH($B250&amp;"",인턴근무계획!$D$3:$D$402,0),IFERROR(MATCH(VALUE($B250),인턴근무계획!$D$3:$D$402,0),""))))</f>
        <v/>
      </c>
      <c r="AD250" s="10">
        <f>IF(OR($AC250="",인턴현황!$G$3=""),"",INDEX(인턴근무계획!$M$3:$R$402,$AC250,인턴현황!$G$3)&amp;"")</f>
        <v/>
      </c>
      <c r="AE250" s="10">
        <f>IF($B250="","",IF($M250&lt;&gt;"",$M250,IF($AF250&lt;&gt;"",IF(LEFT(INDEX(파견수련계획!$R$4:$R$803,$AF250),1)&lt;&gt;"⚠",INDEX(파견수련계획!$R$4:$R$803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파견수련계획!$Y$4:$Y$803,0),IFERROR(MATCH(TRIM($J250&amp;"")&amp;"|파견예정",파견수련계획!$Y$4:$Y$803,0),IFERROR(MATCH(TRIM($J250&amp;"")&amp;"|파견종료",파견수련계획!$Y$4:$Y$803,0),""))))</f>
        <v/>
      </c>
      <c r="AG250" s="10">
        <f>IF($B250="","",IF(AND(IF(OR($AC250="",인턴현황!$K$2=""),"",INDEX(인턴근무계획!$M$3:$R$402,$AC250,인턴현황!$K$2)&amp;"")&lt;&gt;"",LEFT(IF(OR($AC250="",인턴현황!$K$2=""),"",INDEX(인턴근무계획!$M$3:$R$402,$AC250,인턴현황!$K$2)&amp;""),1)&lt;&gt;"⚠"),LEFT(IF(OR($AC250="",인턴현황!$K$2=""),"",INDEX(인턴근무계획!$M$3:$R$402,$AC250,인턴현황!$K$2)&amp;""),FIND(" ",IF(OR($AC250="",인턴현황!$K$2=""),"",INDEX(인턴근무계획!$M$3:$R$402,$AC250,인턴현황!$K$2)&amp;""))-1),$AE250))</f>
        <v/>
      </c>
      <c r="AH250" s="17">
        <f>IF($B250="","",IF(TRIM($J250&amp;"")="",0,SUMPRODUCT((파견수련계획!$Q$4:$Q$803=TRIM($J250&amp;""))*(파견수련계획!$S$4:$S$803="서울병원")*파견수련계획!$W$4:$W$803))+IF($AG250="서울병원",MAX(0,DAY(EOMONTH(요약!$B$3,0))-N($X250)),0))</f>
        <v/>
      </c>
      <c r="AI250" s="17">
        <f>IF($B250="","",IF(TRIM($J250&amp;"")="",0,SUMPRODUCT((파견수련계획!$Q$4:$Q$803=TRIM($J250&amp;""))*(파견수련계획!$S$4:$S$803="구리병원")*파견수련계획!$W$4:$W$803))+IF($AG250="구리병원",MAX(0,DAY(EOMONTH(요약!$B$3,0))-N($X250)),0))</f>
        <v/>
      </c>
      <c r="AJ250" s="10">
        <f>IF(OR($B250="",TRIM($J250&amp;"")=""),"",IFERROR(MATCH(TRIM($J250&amp;"")&amp;"|월",파견수련계획!$Z$4:$Z$803,0),""))</f>
        <v/>
      </c>
      <c r="AK250" s="10">
        <f>IF(OR($B250="",TRIM($J250&amp;"")=""),"",IFERROR(MATCH(TRIM($J250&amp;"")&amp;"|다기관",파견수련계획!$AE$4:$AE$803,0),""))</f>
        <v/>
      </c>
      <c r="AL250" s="10">
        <f>IF($AK250="","","다기관 "&amp;TEXT(INDEX(파견수련계획!$AB$4:$AB$803,$AK250),"yyyy-mm-dd")&amp;"~"&amp;IF(ISNUMBER(INDEX(파견수련계획!$AC$4:$AC$803,$AK250)),TEXT(INDEX(파견수련계획!$AC$4:$AC$803,$AK250),"yyyy-mm-dd"),""))</f>
        <v/>
      </c>
    </row>
    <row r="251">
      <c r="A251" s="10">
        <f>IF(B251="","",ROW()-1)</f>
        <v/>
      </c>
      <c r="B251" s="18" t="n"/>
      <c r="C251" s="10">
        <f>IF($AB251="","",IF(INDEX(기본자료!$C$2:$C$1001,$AB251)="","",INDEX(기본자료!$C$2:$C$1001,$AB251)))</f>
        <v/>
      </c>
      <c r="D251" s="10">
        <f>IF($AB251="","",IF(INDEX(기본자료!$J$2:$J$1001,$AB251)="","",INDEX(기본자료!$J$2:$J$1001,$AB251)))</f>
        <v/>
      </c>
      <c r="E251" s="11">
        <f>IF($AB251="","",IF(INDEX(기본자료!$K$2:$K$1001,$AB251)="","",IF(NOT(ISNUMBER(INDEX(기본자료!$K$2:$K$1001,$AB251))),INDEX(기본자료!$K$2:$K$1001,$AB251),IF(INDEX(기본자료!$K$2:$K$1001,$AB251)&lt;1000000,INDEX(기본자료!$K$2:$K$1001,$AB251),IF(AND(INDEX(기본자료!$K$2:$K$1001,$AB251)&gt;=10000101,INT(MOD(INDEX(기본자료!$K$2:$K$1001,$AB251),10000)/100)&gt;=1,INT(MOD(INDEX(기본자료!$K$2:$K$1001,$AB251),10000)/100)&lt;=12,MOD(INDEX(기본자료!$K$2:$K$1001,$AB251),100)&gt;=1,MOD(INDEX(기본자료!$K$2:$K$1001,$AB251),100)&lt;=31),DATE(INT(INDEX(기본자료!$K$2:$K$1001,$AB251)/10000),INT(MOD(INDEX(기본자료!$K$2:$K$1001,$AB251),10000)/100),MOD(INDEX(기본자료!$K$2:$K$1001,$AB251),100)),INDEX(기본자료!$K$2:$K$1001,$AB251)&amp;"")))))</f>
        <v/>
      </c>
      <c r="F251" s="10">
        <f>IF($AB251="","",IF(INDEX(기본자료!$D$2:$D$1001,$AB251)="","",INDEX(기본자료!$D$2:$D$1001,$AB251)))</f>
        <v/>
      </c>
      <c r="G251" s="10">
        <f>IF($AB251="","",IF(INDEX(기본자료!$E$2:$E$1001,$AB251)="","",INDEX(기본자료!$E$2:$E$1001,$AB251)))</f>
        <v/>
      </c>
      <c r="H251" s="10">
        <f>IF($AB251="","",IF(INDEX(기본자료!$F$2:$F$1001,$AB251)="","",INDEX(기본자료!$F$2:$F$1001,$AB251)))</f>
        <v/>
      </c>
      <c r="I251" s="11">
        <f>IF($AB251="","",IF(INDEX(기본자료!$G$2:$G$1001,$AB251)="","",IF(NOT(ISNUMBER(INDEX(기본자료!$G$2:$G$1001,$AB251))),INDEX(기본자료!$G$2:$G$1001,$AB251),IF(INDEX(기본자료!$G$2:$G$1001,$AB251)&lt;1000000,INDEX(기본자료!$G$2:$G$1001,$AB251),IF(AND(INDEX(기본자료!$G$2:$G$1001,$AB251)&gt;=10000101,INT(MOD(INDEX(기본자료!$G$2:$G$1001,$AB251),10000)/100)&gt;=1,INT(MOD(INDEX(기본자료!$G$2:$G$1001,$AB251),10000)/100)&lt;=12,MOD(INDEX(기본자료!$G$2:$G$1001,$AB251),100)&gt;=1,MOD(INDEX(기본자료!$G$2:$G$1001,$AB251),100)&lt;=31),DATE(INT(INDEX(기본자료!$G$2:$G$1001,$AB251)/10000),INT(MOD(INDEX(기본자료!$G$2:$G$1001,$AB251),10000)/100),MOD(INDEX(기본자료!$G$2:$G$1001,$AB251),100)),INDEX(기본자료!$G$2:$G$1001,$AB251)&amp;"")))))</f>
        <v/>
      </c>
      <c r="J251" s="10">
        <f>IF($AB251="","",IF(INDEX(기본자료!$H$2:$H$1001,$AB251)="","",INDEX(기본자료!$H$2:$H$1001,$AB251)))</f>
        <v/>
      </c>
      <c r="K251" s="10">
        <f>IF($AB251="","",IF(INDEX(기본자료!$I$2:$I$1001,$AB251)="","",INDEX(기본자료!$I$2:$I$1001,$AB251)))</f>
        <v/>
      </c>
      <c r="L251" s="10">
        <f>IF($AB251="","",IF(INDEX(기본자료!$A$2:$A$1001,$AB251)="","",INDEX(기본자료!$A$2:$A$1001,$AB251)))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파견수련계획!$AB$4:$AB$803,$AK251),OR(NOT(ISNUMBER(INDEX(파견수련계획!$AC$4:$AC$803,$AK251))),TODAY()&lt;=INDEX(파견수련계획!$AC$4:$AC$803,$AK251))),"다기관",IF($AF251="","",INDEX(파견수련계획!$T$4:$T$803,$AF251))),IF($AF251="","",INDEX(파견수련계획!$T$4:$T$803,$AF251))))</f>
        <v/>
      </c>
      <c r="Q251" s="10">
        <f>IF($AF251="","",INDEX(파견수련계획!$S$4:$S$803,$AF251))</f>
        <v/>
      </c>
      <c r="R251" s="10">
        <f>IF($AF251="","",INDEX(파견수련계획!$U$4:$U$803,$AF251))</f>
        <v/>
      </c>
      <c r="S251" s="11">
        <f>IF($AF251="","",IF(INDEX(파견수련계획!$H$4:$H$803,$AF251)="","",INDEX(파견수련계획!$H$4:$H$803,$AF251)))</f>
        <v/>
      </c>
      <c r="T251" s="11">
        <f>IF($AF251="","",IF(INDEX(파견수련계획!$I$4:$I$803,$AF251)="","",INDEX(파견수련계획!$I$4:$I$803,$AF251)))</f>
        <v/>
      </c>
      <c r="U251" s="10">
        <f>IF($AF251="","",INDEX(파견수련계획!$X$4:$X$803,$AF251))</f>
        <v/>
      </c>
      <c r="V251" s="17">
        <f>IF($AF251="","",INDEX(파견수련계획!$V$4:$V$803,$AF251))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IF(OR($B251="",TRIM($J251&amp;"")=""),"",SUMPRODUCT((파견수련계획!$Q$4:$Q$803=TRIM($J251&amp;""))*파견수련계획!$W$4:$W$803))</f>
        <v/>
      </c>
      <c r="Y251" s="10">
        <f>IF($B251="","",IF($AG251="","",IF(IF(TRIM($J251&amp;"")="",0,SUMPRODUCT((파견수련계획!$Q$4:$Q$803=TRIM($J251&amp;""))*파견수련계획!$AD$4:$AD$803))&gt;0,$AE251,IF(N($X251)&lt;=0,$AG251,IF($AH251+$AI251=DAY(EOMONTH(요약!$B$3,0)),IF(AND($AH251&gt;=요약!$E$3,$AI251&lt;요약!$E$3),"서울병원",IF(AND($AI251&gt;=요약!$E$3,$AH251&lt;요약!$E$3),"구리병원","⚠15일 판정불가(서울 "&amp;$AH251&amp;"일/구리 "&amp;$AI251&amp;"일)")),IF($AJ251="",$AE251,IF(INDEX(파견수련계획!$T$4:$T$803,$AJ251)="통합수련",INDEX(파견수련계획!$S$4:$S$803,$AJ251),$AE251)))))))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입력",IF(IF(TRIM($J251&amp;"")="",0,SUMPRODUCT((파견수련계획!$Q$4:$Q$803=TRIM($J251&amp;""))*(파견수련계획!$AA$4:$AA$803&lt;&gt;"")))&gt;0,"파견수련계획 입력오류 확인",IF(LEFT($Y251,1)="⚠","서울·구리 15일 판정 불가(양쪽 모두 이상/미만)",IF(IF($AC251="",0,N(INDEX(인턴근무계획!$T$3:$T$402,$AC251)))&gt;0,"인턴계획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IF($B251="","",IFERROR(MATCH($B251,기본자료!$B$2:$B$1001,0),IFERROR(MATCH($B251&amp;"",기본자료!$B$2:$B$1001,0),IFERROR(MATCH(VALUE($B251),기본자료!$B$2:$B$1001,0),""))))</f>
        <v/>
      </c>
      <c r="AC251" s="10">
        <f>IF($B251="","",IFERROR(MATCH($B251,인턴근무계획!$D$3:$D$402,0),IFERROR(MATCH($B251&amp;"",인턴근무계획!$D$3:$D$402,0),IFERROR(MATCH(VALUE($B251),인턴근무계획!$D$3:$D$402,0),""))))</f>
        <v/>
      </c>
      <c r="AD251" s="10">
        <f>IF(OR($AC251="",인턴현황!$G$3=""),"",INDEX(인턴근무계획!$M$3:$R$402,$AC251,인턴현황!$G$3)&amp;"")</f>
        <v/>
      </c>
      <c r="AE251" s="10">
        <f>IF($B251="","",IF($M251&lt;&gt;"",$M251,IF($AF251&lt;&gt;"",IF(LEFT(INDEX(파견수련계획!$R$4:$R$803,$AF251),1)&lt;&gt;"⚠",INDEX(파견수련계획!$R$4:$R$803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파견수련계획!$Y$4:$Y$803,0),IFERROR(MATCH(TRIM($J251&amp;"")&amp;"|파견예정",파견수련계획!$Y$4:$Y$803,0),IFERROR(MATCH(TRIM($J251&amp;"")&amp;"|파견종료",파견수련계획!$Y$4:$Y$803,0),""))))</f>
        <v/>
      </c>
      <c r="AG251" s="10">
        <f>IF($B251="","",IF(AND(IF(OR($AC251="",인턴현황!$K$2=""),"",INDEX(인턴근무계획!$M$3:$R$402,$AC251,인턴현황!$K$2)&amp;"")&lt;&gt;"",LEFT(IF(OR($AC251="",인턴현황!$K$2=""),"",INDEX(인턴근무계획!$M$3:$R$402,$AC251,인턴현황!$K$2)&amp;""),1)&lt;&gt;"⚠"),LEFT(IF(OR($AC251="",인턴현황!$K$2=""),"",INDEX(인턴근무계획!$M$3:$R$402,$AC251,인턴현황!$K$2)&amp;""),FIND(" ",IF(OR($AC251="",인턴현황!$K$2=""),"",INDEX(인턴근무계획!$M$3:$R$402,$AC251,인턴현황!$K$2)&amp;""))-1),$AE251))</f>
        <v/>
      </c>
      <c r="AH251" s="17">
        <f>IF($B251="","",IF(TRIM($J251&amp;"")="",0,SUMPRODUCT((파견수련계획!$Q$4:$Q$803=TRIM($J251&amp;""))*(파견수련계획!$S$4:$S$803="서울병원")*파견수련계획!$W$4:$W$803))+IF($AG251="서울병원",MAX(0,DAY(EOMONTH(요약!$B$3,0))-N($X251)),0))</f>
        <v/>
      </c>
      <c r="AI251" s="17">
        <f>IF($B251="","",IF(TRIM($J251&amp;"")="",0,SUMPRODUCT((파견수련계획!$Q$4:$Q$803=TRIM($J251&amp;""))*(파견수련계획!$S$4:$S$803="구리병원")*파견수련계획!$W$4:$W$803))+IF($AG251="구리병원",MAX(0,DAY(EOMONTH(요약!$B$3,0))-N($X251)),0))</f>
        <v/>
      </c>
      <c r="AJ251" s="10">
        <f>IF(OR($B251="",TRIM($J251&amp;"")=""),"",IFERROR(MATCH(TRIM($J251&amp;"")&amp;"|월",파견수련계획!$Z$4:$Z$803,0),""))</f>
        <v/>
      </c>
      <c r="AK251" s="10">
        <f>IF(OR($B251="",TRIM($J251&amp;"")=""),"",IFERROR(MATCH(TRIM($J251&amp;"")&amp;"|다기관",파견수련계획!$AE$4:$AE$803,0),""))</f>
        <v/>
      </c>
      <c r="AL251" s="10">
        <f>IF($AK251="","","다기관 "&amp;TEXT(INDEX(파견수련계획!$AB$4:$AB$803,$AK251),"yyyy-mm-dd")&amp;"~"&amp;IF(ISNUMBER(INDEX(파견수련계획!$AC$4:$AC$803,$AK251)),TEXT(INDEX(파견수련계획!$AC$4:$AC$803,$AK251),"yyyy-mm-dd"),""))</f>
        <v/>
      </c>
    </row>
    <row r="252">
      <c r="A252" s="10">
        <f>IF(B252="","",ROW()-1)</f>
        <v/>
      </c>
      <c r="B252" s="18" t="n"/>
      <c r="C252" s="10">
        <f>IF($AB252="","",IF(INDEX(기본자료!$C$2:$C$1001,$AB252)="","",INDEX(기본자료!$C$2:$C$1001,$AB252)))</f>
        <v/>
      </c>
      <c r="D252" s="10">
        <f>IF($AB252="","",IF(INDEX(기본자료!$J$2:$J$1001,$AB252)="","",INDEX(기본자료!$J$2:$J$1001,$AB252)))</f>
        <v/>
      </c>
      <c r="E252" s="11">
        <f>IF($AB252="","",IF(INDEX(기본자료!$K$2:$K$1001,$AB252)="","",IF(NOT(ISNUMBER(INDEX(기본자료!$K$2:$K$1001,$AB252))),INDEX(기본자료!$K$2:$K$1001,$AB252),IF(INDEX(기본자료!$K$2:$K$1001,$AB252)&lt;1000000,INDEX(기본자료!$K$2:$K$1001,$AB252),IF(AND(INDEX(기본자료!$K$2:$K$1001,$AB252)&gt;=10000101,INT(MOD(INDEX(기본자료!$K$2:$K$1001,$AB252),10000)/100)&gt;=1,INT(MOD(INDEX(기본자료!$K$2:$K$1001,$AB252),10000)/100)&lt;=12,MOD(INDEX(기본자료!$K$2:$K$1001,$AB252),100)&gt;=1,MOD(INDEX(기본자료!$K$2:$K$1001,$AB252),100)&lt;=31),DATE(INT(INDEX(기본자료!$K$2:$K$1001,$AB252)/10000),INT(MOD(INDEX(기본자료!$K$2:$K$1001,$AB252),10000)/100),MOD(INDEX(기본자료!$K$2:$K$1001,$AB252),100)),INDEX(기본자료!$K$2:$K$1001,$AB252)&amp;"")))))</f>
        <v/>
      </c>
      <c r="F252" s="10">
        <f>IF($AB252="","",IF(INDEX(기본자료!$D$2:$D$1001,$AB252)="","",INDEX(기본자료!$D$2:$D$1001,$AB252)))</f>
        <v/>
      </c>
      <c r="G252" s="10">
        <f>IF($AB252="","",IF(INDEX(기본자료!$E$2:$E$1001,$AB252)="","",INDEX(기본자료!$E$2:$E$1001,$AB252)))</f>
        <v/>
      </c>
      <c r="H252" s="10">
        <f>IF($AB252="","",IF(INDEX(기본자료!$F$2:$F$1001,$AB252)="","",INDEX(기본자료!$F$2:$F$1001,$AB252)))</f>
        <v/>
      </c>
      <c r="I252" s="11">
        <f>IF($AB252="","",IF(INDEX(기본자료!$G$2:$G$1001,$AB252)="","",IF(NOT(ISNUMBER(INDEX(기본자료!$G$2:$G$1001,$AB252))),INDEX(기본자료!$G$2:$G$1001,$AB252),IF(INDEX(기본자료!$G$2:$G$1001,$AB252)&lt;1000000,INDEX(기본자료!$G$2:$G$1001,$AB252),IF(AND(INDEX(기본자료!$G$2:$G$1001,$AB252)&gt;=10000101,INT(MOD(INDEX(기본자료!$G$2:$G$1001,$AB252),10000)/100)&gt;=1,INT(MOD(INDEX(기본자료!$G$2:$G$1001,$AB252),10000)/100)&lt;=12,MOD(INDEX(기본자료!$G$2:$G$1001,$AB252),100)&gt;=1,MOD(INDEX(기본자료!$G$2:$G$1001,$AB252),100)&lt;=31),DATE(INT(INDEX(기본자료!$G$2:$G$1001,$AB252)/10000),INT(MOD(INDEX(기본자료!$G$2:$G$1001,$AB252),10000)/100),MOD(INDEX(기본자료!$G$2:$G$1001,$AB252),100)),INDEX(기본자료!$G$2:$G$1001,$AB252)&amp;"")))))</f>
        <v/>
      </c>
      <c r="J252" s="10">
        <f>IF($AB252="","",IF(INDEX(기본자료!$H$2:$H$1001,$AB252)="","",INDEX(기본자료!$H$2:$H$1001,$AB252)))</f>
        <v/>
      </c>
      <c r="K252" s="10">
        <f>IF($AB252="","",IF(INDEX(기본자료!$I$2:$I$1001,$AB252)="","",INDEX(기본자료!$I$2:$I$1001,$AB252)))</f>
        <v/>
      </c>
      <c r="L252" s="10">
        <f>IF($AB252="","",IF(INDEX(기본자료!$A$2:$A$1001,$AB252)="","",INDEX(기본자료!$A$2:$A$1001,$AB252)))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파견수련계획!$AB$4:$AB$803,$AK252),OR(NOT(ISNUMBER(INDEX(파견수련계획!$AC$4:$AC$803,$AK252))),TODAY()&lt;=INDEX(파견수련계획!$AC$4:$AC$803,$AK252))),"다기관",IF($AF252="","",INDEX(파견수련계획!$T$4:$T$803,$AF252))),IF($AF252="","",INDEX(파견수련계획!$T$4:$T$803,$AF252))))</f>
        <v/>
      </c>
      <c r="Q252" s="10">
        <f>IF($AF252="","",INDEX(파견수련계획!$S$4:$S$803,$AF252))</f>
        <v/>
      </c>
      <c r="R252" s="10">
        <f>IF($AF252="","",INDEX(파견수련계획!$U$4:$U$803,$AF252))</f>
        <v/>
      </c>
      <c r="S252" s="11">
        <f>IF($AF252="","",IF(INDEX(파견수련계획!$H$4:$H$803,$AF252)="","",INDEX(파견수련계획!$H$4:$H$803,$AF252)))</f>
        <v/>
      </c>
      <c r="T252" s="11">
        <f>IF($AF252="","",IF(INDEX(파견수련계획!$I$4:$I$803,$AF252)="","",INDEX(파견수련계획!$I$4:$I$803,$AF252)))</f>
        <v/>
      </c>
      <c r="U252" s="10">
        <f>IF($AF252="","",INDEX(파견수련계획!$X$4:$X$803,$AF252))</f>
        <v/>
      </c>
      <c r="V252" s="17">
        <f>IF($AF252="","",INDEX(파견수련계획!$V$4:$V$803,$AF252))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IF(OR($B252="",TRIM($J252&amp;"")=""),"",SUMPRODUCT((파견수련계획!$Q$4:$Q$803=TRIM($J252&amp;""))*파견수련계획!$W$4:$W$803))</f>
        <v/>
      </c>
      <c r="Y252" s="10">
        <f>IF($B252="","",IF($AG252="","",IF(IF(TRIM($J252&amp;"")="",0,SUMPRODUCT((파견수련계획!$Q$4:$Q$803=TRIM($J252&amp;""))*파견수련계획!$AD$4:$AD$803))&gt;0,$AE252,IF(N($X252)&lt;=0,$AG252,IF($AH252+$AI252=DAY(EOMONTH(요약!$B$3,0)),IF(AND($AH252&gt;=요약!$E$3,$AI252&lt;요약!$E$3),"서울병원",IF(AND($AI252&gt;=요약!$E$3,$AH252&lt;요약!$E$3),"구리병원","⚠15일 판정불가(서울 "&amp;$AH252&amp;"일/구리 "&amp;$AI252&amp;"일)")),IF($AJ252="",$AE252,IF(INDEX(파견수련계획!$T$4:$T$803,$AJ252)="통합수련",INDEX(파견수련계획!$S$4:$S$803,$AJ252),$AE252)))))))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입력",IF(IF(TRIM($J252&amp;"")="",0,SUMPRODUCT((파견수련계획!$Q$4:$Q$803=TRIM($J252&amp;""))*(파견수련계획!$AA$4:$AA$803&lt;&gt;"")))&gt;0,"파견수련계획 입력오류 확인",IF(LEFT($Y252,1)="⚠","서울·구리 15일 판정 불가(양쪽 모두 이상/미만)",IF(IF($AC252="",0,N(INDEX(인턴근무계획!$T$3:$T$402,$AC252)))&gt;0,"인턴계획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IF($B252="","",IFERROR(MATCH($B252,기본자료!$B$2:$B$1001,0),IFERROR(MATCH($B252&amp;"",기본자료!$B$2:$B$1001,0),IFERROR(MATCH(VALUE($B252),기본자료!$B$2:$B$1001,0),""))))</f>
        <v/>
      </c>
      <c r="AC252" s="10">
        <f>IF($B252="","",IFERROR(MATCH($B252,인턴근무계획!$D$3:$D$402,0),IFERROR(MATCH($B252&amp;"",인턴근무계획!$D$3:$D$402,0),IFERROR(MATCH(VALUE($B252),인턴근무계획!$D$3:$D$402,0),""))))</f>
        <v/>
      </c>
      <c r="AD252" s="10">
        <f>IF(OR($AC252="",인턴현황!$G$3=""),"",INDEX(인턴근무계획!$M$3:$R$402,$AC252,인턴현황!$G$3)&amp;"")</f>
        <v/>
      </c>
      <c r="AE252" s="10">
        <f>IF($B252="","",IF($M252&lt;&gt;"",$M252,IF($AF252&lt;&gt;"",IF(LEFT(INDEX(파견수련계획!$R$4:$R$803,$AF252),1)&lt;&gt;"⚠",INDEX(파견수련계획!$R$4:$R$803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파견수련계획!$Y$4:$Y$803,0),IFERROR(MATCH(TRIM($J252&amp;"")&amp;"|파견예정",파견수련계획!$Y$4:$Y$803,0),IFERROR(MATCH(TRIM($J252&amp;"")&amp;"|파견종료",파견수련계획!$Y$4:$Y$803,0),""))))</f>
        <v/>
      </c>
      <c r="AG252" s="10">
        <f>IF($B252="","",IF(AND(IF(OR($AC252="",인턴현황!$K$2=""),"",INDEX(인턴근무계획!$M$3:$R$402,$AC252,인턴현황!$K$2)&amp;"")&lt;&gt;"",LEFT(IF(OR($AC252="",인턴현황!$K$2=""),"",INDEX(인턴근무계획!$M$3:$R$402,$AC252,인턴현황!$K$2)&amp;""),1)&lt;&gt;"⚠"),LEFT(IF(OR($AC252="",인턴현황!$K$2=""),"",INDEX(인턴근무계획!$M$3:$R$402,$AC252,인턴현황!$K$2)&amp;""),FIND(" ",IF(OR($AC252="",인턴현황!$K$2=""),"",INDEX(인턴근무계획!$M$3:$R$402,$AC252,인턴현황!$K$2)&amp;""))-1),$AE252))</f>
        <v/>
      </c>
      <c r="AH252" s="17">
        <f>IF($B252="","",IF(TRIM($J252&amp;"")="",0,SUMPRODUCT((파견수련계획!$Q$4:$Q$803=TRIM($J252&amp;""))*(파견수련계획!$S$4:$S$803="서울병원")*파견수련계획!$W$4:$W$803))+IF($AG252="서울병원",MAX(0,DAY(EOMONTH(요약!$B$3,0))-N($X252)),0))</f>
        <v/>
      </c>
      <c r="AI252" s="17">
        <f>IF($B252="","",IF(TRIM($J252&amp;"")="",0,SUMPRODUCT((파견수련계획!$Q$4:$Q$803=TRIM($J252&amp;""))*(파견수련계획!$S$4:$S$803="구리병원")*파견수련계획!$W$4:$W$803))+IF($AG252="구리병원",MAX(0,DAY(EOMONTH(요약!$B$3,0))-N($X252)),0))</f>
        <v/>
      </c>
      <c r="AJ252" s="10">
        <f>IF(OR($B252="",TRIM($J252&amp;"")=""),"",IFERROR(MATCH(TRIM($J252&amp;"")&amp;"|월",파견수련계획!$Z$4:$Z$803,0),""))</f>
        <v/>
      </c>
      <c r="AK252" s="10">
        <f>IF(OR($B252="",TRIM($J252&amp;"")=""),"",IFERROR(MATCH(TRIM($J252&amp;"")&amp;"|다기관",파견수련계획!$AE$4:$AE$803,0),""))</f>
        <v/>
      </c>
      <c r="AL252" s="10">
        <f>IF($AK252="","","다기관 "&amp;TEXT(INDEX(파견수련계획!$AB$4:$AB$803,$AK252),"yyyy-mm-dd")&amp;"~"&amp;IF(ISNUMBER(INDEX(파견수련계획!$AC$4:$AC$803,$AK252)),TEXT(INDEX(파견수련계획!$AC$4:$AC$803,$AK252),"yyyy-mm-dd"),""))</f>
        <v/>
      </c>
    </row>
    <row r="253">
      <c r="A253" s="10">
        <f>IF(B253="","",ROW()-1)</f>
        <v/>
      </c>
      <c r="B253" s="18" t="n"/>
      <c r="C253" s="10">
        <f>IF($AB253="","",IF(INDEX(기본자료!$C$2:$C$1001,$AB253)="","",INDEX(기본자료!$C$2:$C$1001,$AB253)))</f>
        <v/>
      </c>
      <c r="D253" s="10">
        <f>IF($AB253="","",IF(INDEX(기본자료!$J$2:$J$1001,$AB253)="","",INDEX(기본자료!$J$2:$J$1001,$AB253)))</f>
        <v/>
      </c>
      <c r="E253" s="11">
        <f>IF($AB253="","",IF(INDEX(기본자료!$K$2:$K$1001,$AB253)="","",IF(NOT(ISNUMBER(INDEX(기본자료!$K$2:$K$1001,$AB253))),INDEX(기본자료!$K$2:$K$1001,$AB253),IF(INDEX(기본자료!$K$2:$K$1001,$AB253)&lt;1000000,INDEX(기본자료!$K$2:$K$1001,$AB253),IF(AND(INDEX(기본자료!$K$2:$K$1001,$AB253)&gt;=10000101,INT(MOD(INDEX(기본자료!$K$2:$K$1001,$AB253),10000)/100)&gt;=1,INT(MOD(INDEX(기본자료!$K$2:$K$1001,$AB253),10000)/100)&lt;=12,MOD(INDEX(기본자료!$K$2:$K$1001,$AB253),100)&gt;=1,MOD(INDEX(기본자료!$K$2:$K$1001,$AB253),100)&lt;=31),DATE(INT(INDEX(기본자료!$K$2:$K$1001,$AB253)/10000),INT(MOD(INDEX(기본자료!$K$2:$K$1001,$AB253),10000)/100),MOD(INDEX(기본자료!$K$2:$K$1001,$AB253),100)),INDEX(기본자료!$K$2:$K$1001,$AB253)&amp;"")))))</f>
        <v/>
      </c>
      <c r="F253" s="10">
        <f>IF($AB253="","",IF(INDEX(기본자료!$D$2:$D$1001,$AB253)="","",INDEX(기본자료!$D$2:$D$1001,$AB253)))</f>
        <v/>
      </c>
      <c r="G253" s="10">
        <f>IF($AB253="","",IF(INDEX(기본자료!$E$2:$E$1001,$AB253)="","",INDEX(기본자료!$E$2:$E$1001,$AB253)))</f>
        <v/>
      </c>
      <c r="H253" s="10">
        <f>IF($AB253="","",IF(INDEX(기본자료!$F$2:$F$1001,$AB253)="","",INDEX(기본자료!$F$2:$F$1001,$AB253)))</f>
        <v/>
      </c>
      <c r="I253" s="11">
        <f>IF($AB253="","",IF(INDEX(기본자료!$G$2:$G$1001,$AB253)="","",IF(NOT(ISNUMBER(INDEX(기본자료!$G$2:$G$1001,$AB253))),INDEX(기본자료!$G$2:$G$1001,$AB253),IF(INDEX(기본자료!$G$2:$G$1001,$AB253)&lt;1000000,INDEX(기본자료!$G$2:$G$1001,$AB253),IF(AND(INDEX(기본자료!$G$2:$G$1001,$AB253)&gt;=10000101,INT(MOD(INDEX(기본자료!$G$2:$G$1001,$AB253),10000)/100)&gt;=1,INT(MOD(INDEX(기본자료!$G$2:$G$1001,$AB253),10000)/100)&lt;=12,MOD(INDEX(기본자료!$G$2:$G$1001,$AB253),100)&gt;=1,MOD(INDEX(기본자료!$G$2:$G$1001,$AB253),100)&lt;=31),DATE(INT(INDEX(기본자료!$G$2:$G$1001,$AB253)/10000),INT(MOD(INDEX(기본자료!$G$2:$G$1001,$AB253),10000)/100),MOD(INDEX(기본자료!$G$2:$G$1001,$AB253),100)),INDEX(기본자료!$G$2:$G$1001,$AB253)&amp;"")))))</f>
        <v/>
      </c>
      <c r="J253" s="10">
        <f>IF($AB253="","",IF(INDEX(기본자료!$H$2:$H$1001,$AB253)="","",INDEX(기본자료!$H$2:$H$1001,$AB253)))</f>
        <v/>
      </c>
      <c r="K253" s="10">
        <f>IF($AB253="","",IF(INDEX(기본자료!$I$2:$I$1001,$AB253)="","",INDEX(기본자료!$I$2:$I$1001,$AB253)))</f>
        <v/>
      </c>
      <c r="L253" s="10">
        <f>IF($AB253="","",IF(INDEX(기본자료!$A$2:$A$1001,$AB253)="","",INDEX(기본자료!$A$2:$A$1001,$AB253)))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파견수련계획!$AB$4:$AB$803,$AK253),OR(NOT(ISNUMBER(INDEX(파견수련계획!$AC$4:$AC$803,$AK253))),TODAY()&lt;=INDEX(파견수련계획!$AC$4:$AC$803,$AK253))),"다기관",IF($AF253="","",INDEX(파견수련계획!$T$4:$T$803,$AF253))),IF($AF253="","",INDEX(파견수련계획!$T$4:$T$803,$AF253))))</f>
        <v/>
      </c>
      <c r="Q253" s="10">
        <f>IF($AF253="","",INDEX(파견수련계획!$S$4:$S$803,$AF253))</f>
        <v/>
      </c>
      <c r="R253" s="10">
        <f>IF($AF253="","",INDEX(파견수련계획!$U$4:$U$803,$AF253))</f>
        <v/>
      </c>
      <c r="S253" s="11">
        <f>IF($AF253="","",IF(INDEX(파견수련계획!$H$4:$H$803,$AF253)="","",INDEX(파견수련계획!$H$4:$H$803,$AF253)))</f>
        <v/>
      </c>
      <c r="T253" s="11">
        <f>IF($AF253="","",IF(INDEX(파견수련계획!$I$4:$I$803,$AF253)="","",INDEX(파견수련계획!$I$4:$I$803,$AF253)))</f>
        <v/>
      </c>
      <c r="U253" s="10">
        <f>IF($AF253="","",INDEX(파견수련계획!$X$4:$X$803,$AF253))</f>
        <v/>
      </c>
      <c r="V253" s="17">
        <f>IF($AF253="","",INDEX(파견수련계획!$V$4:$V$803,$AF253))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IF(OR($B253="",TRIM($J253&amp;"")=""),"",SUMPRODUCT((파견수련계획!$Q$4:$Q$803=TRIM($J253&amp;""))*파견수련계획!$W$4:$W$803))</f>
        <v/>
      </c>
      <c r="Y253" s="10">
        <f>IF($B253="","",IF($AG253="","",IF(IF(TRIM($J253&amp;"")="",0,SUMPRODUCT((파견수련계획!$Q$4:$Q$803=TRIM($J253&amp;""))*파견수련계획!$AD$4:$AD$803))&gt;0,$AE253,IF(N($X253)&lt;=0,$AG253,IF($AH253+$AI253=DAY(EOMONTH(요약!$B$3,0)),IF(AND($AH253&gt;=요약!$E$3,$AI253&lt;요약!$E$3),"서울병원",IF(AND($AI253&gt;=요약!$E$3,$AH253&lt;요약!$E$3),"구리병원","⚠15일 판정불가(서울 "&amp;$AH253&amp;"일/구리 "&amp;$AI253&amp;"일)")),IF($AJ253="",$AE253,IF(INDEX(파견수련계획!$T$4:$T$803,$AJ253)="통합수련",INDEX(파견수련계획!$S$4:$S$803,$AJ253),$AE253)))))))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입력",IF(IF(TRIM($J253&amp;"")="",0,SUMPRODUCT((파견수련계획!$Q$4:$Q$803=TRIM($J253&amp;""))*(파견수련계획!$AA$4:$AA$803&lt;&gt;"")))&gt;0,"파견수련계획 입력오류 확인",IF(LEFT($Y253,1)="⚠","서울·구리 15일 판정 불가(양쪽 모두 이상/미만)",IF(IF($AC253="",0,N(INDEX(인턴근무계획!$T$3:$T$402,$AC253)))&gt;0,"인턴계획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IF($B253="","",IFERROR(MATCH($B253,기본자료!$B$2:$B$1001,0),IFERROR(MATCH($B253&amp;"",기본자료!$B$2:$B$1001,0),IFERROR(MATCH(VALUE($B253),기본자료!$B$2:$B$1001,0),""))))</f>
        <v/>
      </c>
      <c r="AC253" s="10">
        <f>IF($B253="","",IFERROR(MATCH($B253,인턴근무계획!$D$3:$D$402,0),IFERROR(MATCH($B253&amp;"",인턴근무계획!$D$3:$D$402,0),IFERROR(MATCH(VALUE($B253),인턴근무계획!$D$3:$D$402,0),""))))</f>
        <v/>
      </c>
      <c r="AD253" s="10">
        <f>IF(OR($AC253="",인턴현황!$G$3=""),"",INDEX(인턴근무계획!$M$3:$R$402,$AC253,인턴현황!$G$3)&amp;"")</f>
        <v/>
      </c>
      <c r="AE253" s="10">
        <f>IF($B253="","",IF($M253&lt;&gt;"",$M253,IF($AF253&lt;&gt;"",IF(LEFT(INDEX(파견수련계획!$R$4:$R$803,$AF253),1)&lt;&gt;"⚠",INDEX(파견수련계획!$R$4:$R$803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파견수련계획!$Y$4:$Y$803,0),IFERROR(MATCH(TRIM($J253&amp;"")&amp;"|파견예정",파견수련계획!$Y$4:$Y$803,0),IFERROR(MATCH(TRIM($J253&amp;"")&amp;"|파견종료",파견수련계획!$Y$4:$Y$803,0),""))))</f>
        <v/>
      </c>
      <c r="AG253" s="10">
        <f>IF($B253="","",IF(AND(IF(OR($AC253="",인턴현황!$K$2=""),"",INDEX(인턴근무계획!$M$3:$R$402,$AC253,인턴현황!$K$2)&amp;"")&lt;&gt;"",LEFT(IF(OR($AC253="",인턴현황!$K$2=""),"",INDEX(인턴근무계획!$M$3:$R$402,$AC253,인턴현황!$K$2)&amp;""),1)&lt;&gt;"⚠"),LEFT(IF(OR($AC253="",인턴현황!$K$2=""),"",INDEX(인턴근무계획!$M$3:$R$402,$AC253,인턴현황!$K$2)&amp;""),FIND(" ",IF(OR($AC253="",인턴현황!$K$2=""),"",INDEX(인턴근무계획!$M$3:$R$402,$AC253,인턴현황!$K$2)&amp;""))-1),$AE253))</f>
        <v/>
      </c>
      <c r="AH253" s="17">
        <f>IF($B253="","",IF(TRIM($J253&amp;"")="",0,SUMPRODUCT((파견수련계획!$Q$4:$Q$803=TRIM($J253&amp;""))*(파견수련계획!$S$4:$S$803="서울병원")*파견수련계획!$W$4:$W$803))+IF($AG253="서울병원",MAX(0,DAY(EOMONTH(요약!$B$3,0))-N($X253)),0))</f>
        <v/>
      </c>
      <c r="AI253" s="17">
        <f>IF($B253="","",IF(TRIM($J253&amp;"")="",0,SUMPRODUCT((파견수련계획!$Q$4:$Q$803=TRIM($J253&amp;""))*(파견수련계획!$S$4:$S$803="구리병원")*파견수련계획!$W$4:$W$803))+IF($AG253="구리병원",MAX(0,DAY(EOMONTH(요약!$B$3,0))-N($X253)),0))</f>
        <v/>
      </c>
      <c r="AJ253" s="10">
        <f>IF(OR($B253="",TRIM($J253&amp;"")=""),"",IFERROR(MATCH(TRIM($J253&amp;"")&amp;"|월",파견수련계획!$Z$4:$Z$803,0),""))</f>
        <v/>
      </c>
      <c r="AK253" s="10">
        <f>IF(OR($B253="",TRIM($J253&amp;"")=""),"",IFERROR(MATCH(TRIM($J253&amp;"")&amp;"|다기관",파견수련계획!$AE$4:$AE$803,0),""))</f>
        <v/>
      </c>
      <c r="AL253" s="10">
        <f>IF($AK253="","","다기관 "&amp;TEXT(INDEX(파견수련계획!$AB$4:$AB$803,$AK253),"yyyy-mm-dd")&amp;"~"&amp;IF(ISNUMBER(INDEX(파견수련계획!$AC$4:$AC$803,$AK253)),TEXT(INDEX(파견수련계획!$AC$4:$AC$803,$AK253),"yyyy-mm-dd"),""))</f>
        <v/>
      </c>
    </row>
    <row r="254">
      <c r="A254" s="10">
        <f>IF(B254="","",ROW()-1)</f>
        <v/>
      </c>
      <c r="B254" s="18" t="n"/>
      <c r="C254" s="10">
        <f>IF($AB254="","",IF(INDEX(기본자료!$C$2:$C$1001,$AB254)="","",INDEX(기본자료!$C$2:$C$1001,$AB254)))</f>
        <v/>
      </c>
      <c r="D254" s="10">
        <f>IF($AB254="","",IF(INDEX(기본자료!$J$2:$J$1001,$AB254)="","",INDEX(기본자료!$J$2:$J$1001,$AB254)))</f>
        <v/>
      </c>
      <c r="E254" s="11">
        <f>IF($AB254="","",IF(INDEX(기본자료!$K$2:$K$1001,$AB254)="","",IF(NOT(ISNUMBER(INDEX(기본자료!$K$2:$K$1001,$AB254))),INDEX(기본자료!$K$2:$K$1001,$AB254),IF(INDEX(기본자료!$K$2:$K$1001,$AB254)&lt;1000000,INDEX(기본자료!$K$2:$K$1001,$AB254),IF(AND(INDEX(기본자료!$K$2:$K$1001,$AB254)&gt;=10000101,INT(MOD(INDEX(기본자료!$K$2:$K$1001,$AB254),10000)/100)&gt;=1,INT(MOD(INDEX(기본자료!$K$2:$K$1001,$AB254),10000)/100)&lt;=12,MOD(INDEX(기본자료!$K$2:$K$1001,$AB254),100)&gt;=1,MOD(INDEX(기본자료!$K$2:$K$1001,$AB254),100)&lt;=31),DATE(INT(INDEX(기본자료!$K$2:$K$1001,$AB254)/10000),INT(MOD(INDEX(기본자료!$K$2:$K$1001,$AB254),10000)/100),MOD(INDEX(기본자료!$K$2:$K$1001,$AB254),100)),INDEX(기본자료!$K$2:$K$1001,$AB254)&amp;"")))))</f>
        <v/>
      </c>
      <c r="F254" s="10">
        <f>IF($AB254="","",IF(INDEX(기본자료!$D$2:$D$1001,$AB254)="","",INDEX(기본자료!$D$2:$D$1001,$AB254)))</f>
        <v/>
      </c>
      <c r="G254" s="10">
        <f>IF($AB254="","",IF(INDEX(기본자료!$E$2:$E$1001,$AB254)="","",INDEX(기본자료!$E$2:$E$1001,$AB254)))</f>
        <v/>
      </c>
      <c r="H254" s="10">
        <f>IF($AB254="","",IF(INDEX(기본자료!$F$2:$F$1001,$AB254)="","",INDEX(기본자료!$F$2:$F$1001,$AB254)))</f>
        <v/>
      </c>
      <c r="I254" s="11">
        <f>IF($AB254="","",IF(INDEX(기본자료!$G$2:$G$1001,$AB254)="","",IF(NOT(ISNUMBER(INDEX(기본자료!$G$2:$G$1001,$AB254))),INDEX(기본자료!$G$2:$G$1001,$AB254),IF(INDEX(기본자료!$G$2:$G$1001,$AB254)&lt;1000000,INDEX(기본자료!$G$2:$G$1001,$AB254),IF(AND(INDEX(기본자료!$G$2:$G$1001,$AB254)&gt;=10000101,INT(MOD(INDEX(기본자료!$G$2:$G$1001,$AB254),10000)/100)&gt;=1,INT(MOD(INDEX(기본자료!$G$2:$G$1001,$AB254),10000)/100)&lt;=12,MOD(INDEX(기본자료!$G$2:$G$1001,$AB254),100)&gt;=1,MOD(INDEX(기본자료!$G$2:$G$1001,$AB254),100)&lt;=31),DATE(INT(INDEX(기본자료!$G$2:$G$1001,$AB254)/10000),INT(MOD(INDEX(기본자료!$G$2:$G$1001,$AB254),10000)/100),MOD(INDEX(기본자료!$G$2:$G$1001,$AB254),100)),INDEX(기본자료!$G$2:$G$1001,$AB254)&amp;"")))))</f>
        <v/>
      </c>
      <c r="J254" s="10">
        <f>IF($AB254="","",IF(INDEX(기본자료!$H$2:$H$1001,$AB254)="","",INDEX(기본자료!$H$2:$H$1001,$AB254)))</f>
        <v/>
      </c>
      <c r="K254" s="10">
        <f>IF($AB254="","",IF(INDEX(기본자료!$I$2:$I$1001,$AB254)="","",INDEX(기본자료!$I$2:$I$1001,$AB254)))</f>
        <v/>
      </c>
      <c r="L254" s="10">
        <f>IF($AB254="","",IF(INDEX(기본자료!$A$2:$A$1001,$AB254)="","",INDEX(기본자료!$A$2:$A$1001,$AB254)))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파견수련계획!$AB$4:$AB$803,$AK254),OR(NOT(ISNUMBER(INDEX(파견수련계획!$AC$4:$AC$803,$AK254))),TODAY()&lt;=INDEX(파견수련계획!$AC$4:$AC$803,$AK254))),"다기관",IF($AF254="","",INDEX(파견수련계획!$T$4:$T$803,$AF254))),IF($AF254="","",INDEX(파견수련계획!$T$4:$T$803,$AF254))))</f>
        <v/>
      </c>
      <c r="Q254" s="10">
        <f>IF($AF254="","",INDEX(파견수련계획!$S$4:$S$803,$AF254))</f>
        <v/>
      </c>
      <c r="R254" s="10">
        <f>IF($AF254="","",INDEX(파견수련계획!$U$4:$U$803,$AF254))</f>
        <v/>
      </c>
      <c r="S254" s="11">
        <f>IF($AF254="","",IF(INDEX(파견수련계획!$H$4:$H$803,$AF254)="","",INDEX(파견수련계획!$H$4:$H$803,$AF254)))</f>
        <v/>
      </c>
      <c r="T254" s="11">
        <f>IF($AF254="","",IF(INDEX(파견수련계획!$I$4:$I$803,$AF254)="","",INDEX(파견수련계획!$I$4:$I$803,$AF254)))</f>
        <v/>
      </c>
      <c r="U254" s="10">
        <f>IF($AF254="","",INDEX(파견수련계획!$X$4:$X$803,$AF254))</f>
        <v/>
      </c>
      <c r="V254" s="17">
        <f>IF($AF254="","",INDEX(파견수련계획!$V$4:$V$803,$AF254))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IF(OR($B254="",TRIM($J254&amp;"")=""),"",SUMPRODUCT((파견수련계획!$Q$4:$Q$803=TRIM($J254&amp;""))*파견수련계획!$W$4:$W$803))</f>
        <v/>
      </c>
      <c r="Y254" s="10">
        <f>IF($B254="","",IF($AG254="","",IF(IF(TRIM($J254&amp;"")="",0,SUMPRODUCT((파견수련계획!$Q$4:$Q$803=TRIM($J254&amp;""))*파견수련계획!$AD$4:$AD$803))&gt;0,$AE254,IF(N($X254)&lt;=0,$AG254,IF($AH254+$AI254=DAY(EOMONTH(요약!$B$3,0)),IF(AND($AH254&gt;=요약!$E$3,$AI254&lt;요약!$E$3),"서울병원",IF(AND($AI254&gt;=요약!$E$3,$AH254&lt;요약!$E$3),"구리병원","⚠15일 판정불가(서울 "&amp;$AH254&amp;"일/구리 "&amp;$AI254&amp;"일)")),IF($AJ254="",$AE254,IF(INDEX(파견수련계획!$T$4:$T$803,$AJ254)="통합수련",INDEX(파견수련계획!$S$4:$S$803,$AJ254),$AE254)))))))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입력",IF(IF(TRIM($J254&amp;"")="",0,SUMPRODUCT((파견수련계획!$Q$4:$Q$803=TRIM($J254&amp;""))*(파견수련계획!$AA$4:$AA$803&lt;&gt;"")))&gt;0,"파견수련계획 입력오류 확인",IF(LEFT($Y254,1)="⚠","서울·구리 15일 판정 불가(양쪽 모두 이상/미만)",IF(IF($AC254="",0,N(INDEX(인턴근무계획!$T$3:$T$402,$AC254)))&gt;0,"인턴계획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IF($B254="","",IFERROR(MATCH($B254,기본자료!$B$2:$B$1001,0),IFERROR(MATCH($B254&amp;"",기본자료!$B$2:$B$1001,0),IFERROR(MATCH(VALUE($B254),기본자료!$B$2:$B$1001,0),""))))</f>
        <v/>
      </c>
      <c r="AC254" s="10">
        <f>IF($B254="","",IFERROR(MATCH($B254,인턴근무계획!$D$3:$D$402,0),IFERROR(MATCH($B254&amp;"",인턴근무계획!$D$3:$D$402,0),IFERROR(MATCH(VALUE($B254),인턴근무계획!$D$3:$D$402,0),""))))</f>
        <v/>
      </c>
      <c r="AD254" s="10">
        <f>IF(OR($AC254="",인턴현황!$G$3=""),"",INDEX(인턴근무계획!$M$3:$R$402,$AC254,인턴현황!$G$3)&amp;"")</f>
        <v/>
      </c>
      <c r="AE254" s="10">
        <f>IF($B254="","",IF($M254&lt;&gt;"",$M254,IF($AF254&lt;&gt;"",IF(LEFT(INDEX(파견수련계획!$R$4:$R$803,$AF254),1)&lt;&gt;"⚠",INDEX(파견수련계획!$R$4:$R$803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파견수련계획!$Y$4:$Y$803,0),IFERROR(MATCH(TRIM($J254&amp;"")&amp;"|파견예정",파견수련계획!$Y$4:$Y$803,0),IFERROR(MATCH(TRIM($J254&amp;"")&amp;"|파견종료",파견수련계획!$Y$4:$Y$803,0),""))))</f>
        <v/>
      </c>
      <c r="AG254" s="10">
        <f>IF($B254="","",IF(AND(IF(OR($AC254="",인턴현황!$K$2=""),"",INDEX(인턴근무계획!$M$3:$R$402,$AC254,인턴현황!$K$2)&amp;"")&lt;&gt;"",LEFT(IF(OR($AC254="",인턴현황!$K$2=""),"",INDEX(인턴근무계획!$M$3:$R$402,$AC254,인턴현황!$K$2)&amp;""),1)&lt;&gt;"⚠"),LEFT(IF(OR($AC254="",인턴현황!$K$2=""),"",INDEX(인턴근무계획!$M$3:$R$402,$AC254,인턴현황!$K$2)&amp;""),FIND(" ",IF(OR($AC254="",인턴현황!$K$2=""),"",INDEX(인턴근무계획!$M$3:$R$402,$AC254,인턴현황!$K$2)&amp;""))-1),$AE254))</f>
        <v/>
      </c>
      <c r="AH254" s="17">
        <f>IF($B254="","",IF(TRIM($J254&amp;"")="",0,SUMPRODUCT((파견수련계획!$Q$4:$Q$803=TRIM($J254&amp;""))*(파견수련계획!$S$4:$S$803="서울병원")*파견수련계획!$W$4:$W$803))+IF($AG254="서울병원",MAX(0,DAY(EOMONTH(요약!$B$3,0))-N($X254)),0))</f>
        <v/>
      </c>
      <c r="AI254" s="17">
        <f>IF($B254="","",IF(TRIM($J254&amp;"")="",0,SUMPRODUCT((파견수련계획!$Q$4:$Q$803=TRIM($J254&amp;""))*(파견수련계획!$S$4:$S$803="구리병원")*파견수련계획!$W$4:$W$803))+IF($AG254="구리병원",MAX(0,DAY(EOMONTH(요약!$B$3,0))-N($X254)),0))</f>
        <v/>
      </c>
      <c r="AJ254" s="10">
        <f>IF(OR($B254="",TRIM($J254&amp;"")=""),"",IFERROR(MATCH(TRIM($J254&amp;"")&amp;"|월",파견수련계획!$Z$4:$Z$803,0),""))</f>
        <v/>
      </c>
      <c r="AK254" s="10">
        <f>IF(OR($B254="",TRIM($J254&amp;"")=""),"",IFERROR(MATCH(TRIM($J254&amp;"")&amp;"|다기관",파견수련계획!$AE$4:$AE$803,0),""))</f>
        <v/>
      </c>
      <c r="AL254" s="10">
        <f>IF($AK254="","","다기관 "&amp;TEXT(INDEX(파견수련계획!$AB$4:$AB$803,$AK254),"yyyy-mm-dd")&amp;"~"&amp;IF(ISNUMBER(INDEX(파견수련계획!$AC$4:$AC$803,$AK254)),TEXT(INDEX(파견수련계획!$AC$4:$AC$803,$AK254),"yyyy-mm-dd"),""))</f>
        <v/>
      </c>
    </row>
    <row r="255">
      <c r="A255" s="10">
        <f>IF(B255="","",ROW()-1)</f>
        <v/>
      </c>
      <c r="B255" s="18" t="n"/>
      <c r="C255" s="10">
        <f>IF($AB255="","",IF(INDEX(기본자료!$C$2:$C$1001,$AB255)="","",INDEX(기본자료!$C$2:$C$1001,$AB255)))</f>
        <v/>
      </c>
      <c r="D255" s="10">
        <f>IF($AB255="","",IF(INDEX(기본자료!$J$2:$J$1001,$AB255)="","",INDEX(기본자료!$J$2:$J$1001,$AB255)))</f>
        <v/>
      </c>
      <c r="E255" s="11">
        <f>IF($AB255="","",IF(INDEX(기본자료!$K$2:$K$1001,$AB255)="","",IF(NOT(ISNUMBER(INDEX(기본자료!$K$2:$K$1001,$AB255))),INDEX(기본자료!$K$2:$K$1001,$AB255),IF(INDEX(기본자료!$K$2:$K$1001,$AB255)&lt;1000000,INDEX(기본자료!$K$2:$K$1001,$AB255),IF(AND(INDEX(기본자료!$K$2:$K$1001,$AB255)&gt;=10000101,INT(MOD(INDEX(기본자료!$K$2:$K$1001,$AB255),10000)/100)&gt;=1,INT(MOD(INDEX(기본자료!$K$2:$K$1001,$AB255),10000)/100)&lt;=12,MOD(INDEX(기본자료!$K$2:$K$1001,$AB255),100)&gt;=1,MOD(INDEX(기본자료!$K$2:$K$1001,$AB255),100)&lt;=31),DATE(INT(INDEX(기본자료!$K$2:$K$1001,$AB255)/10000),INT(MOD(INDEX(기본자료!$K$2:$K$1001,$AB255),10000)/100),MOD(INDEX(기본자료!$K$2:$K$1001,$AB255),100)),INDEX(기본자료!$K$2:$K$1001,$AB255)&amp;"")))))</f>
        <v/>
      </c>
      <c r="F255" s="10">
        <f>IF($AB255="","",IF(INDEX(기본자료!$D$2:$D$1001,$AB255)="","",INDEX(기본자료!$D$2:$D$1001,$AB255)))</f>
        <v/>
      </c>
      <c r="G255" s="10">
        <f>IF($AB255="","",IF(INDEX(기본자료!$E$2:$E$1001,$AB255)="","",INDEX(기본자료!$E$2:$E$1001,$AB255)))</f>
        <v/>
      </c>
      <c r="H255" s="10">
        <f>IF($AB255="","",IF(INDEX(기본자료!$F$2:$F$1001,$AB255)="","",INDEX(기본자료!$F$2:$F$1001,$AB255)))</f>
        <v/>
      </c>
      <c r="I255" s="11">
        <f>IF($AB255="","",IF(INDEX(기본자료!$G$2:$G$1001,$AB255)="","",IF(NOT(ISNUMBER(INDEX(기본자료!$G$2:$G$1001,$AB255))),INDEX(기본자료!$G$2:$G$1001,$AB255),IF(INDEX(기본자료!$G$2:$G$1001,$AB255)&lt;1000000,INDEX(기본자료!$G$2:$G$1001,$AB255),IF(AND(INDEX(기본자료!$G$2:$G$1001,$AB255)&gt;=10000101,INT(MOD(INDEX(기본자료!$G$2:$G$1001,$AB255),10000)/100)&gt;=1,INT(MOD(INDEX(기본자료!$G$2:$G$1001,$AB255),10000)/100)&lt;=12,MOD(INDEX(기본자료!$G$2:$G$1001,$AB255),100)&gt;=1,MOD(INDEX(기본자료!$G$2:$G$1001,$AB255),100)&lt;=31),DATE(INT(INDEX(기본자료!$G$2:$G$1001,$AB255)/10000),INT(MOD(INDEX(기본자료!$G$2:$G$1001,$AB255),10000)/100),MOD(INDEX(기본자료!$G$2:$G$1001,$AB255),100)),INDEX(기본자료!$G$2:$G$1001,$AB255)&amp;"")))))</f>
        <v/>
      </c>
      <c r="J255" s="10">
        <f>IF($AB255="","",IF(INDEX(기본자료!$H$2:$H$1001,$AB255)="","",INDEX(기본자료!$H$2:$H$1001,$AB255)))</f>
        <v/>
      </c>
      <c r="K255" s="10">
        <f>IF($AB255="","",IF(INDEX(기본자료!$I$2:$I$1001,$AB255)="","",INDEX(기본자료!$I$2:$I$1001,$AB255)))</f>
        <v/>
      </c>
      <c r="L255" s="10">
        <f>IF($AB255="","",IF(INDEX(기본자료!$A$2:$A$1001,$AB255)="","",INDEX(기본자료!$A$2:$A$1001,$AB255)))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파견수련계획!$AB$4:$AB$803,$AK255),OR(NOT(ISNUMBER(INDEX(파견수련계획!$AC$4:$AC$803,$AK255))),TODAY()&lt;=INDEX(파견수련계획!$AC$4:$AC$803,$AK255))),"다기관",IF($AF255="","",INDEX(파견수련계획!$T$4:$T$803,$AF255))),IF($AF255="","",INDEX(파견수련계획!$T$4:$T$803,$AF255))))</f>
        <v/>
      </c>
      <c r="Q255" s="10">
        <f>IF($AF255="","",INDEX(파견수련계획!$S$4:$S$803,$AF255))</f>
        <v/>
      </c>
      <c r="R255" s="10">
        <f>IF($AF255="","",INDEX(파견수련계획!$U$4:$U$803,$AF255))</f>
        <v/>
      </c>
      <c r="S255" s="11">
        <f>IF($AF255="","",IF(INDEX(파견수련계획!$H$4:$H$803,$AF255)="","",INDEX(파견수련계획!$H$4:$H$803,$AF255)))</f>
        <v/>
      </c>
      <c r="T255" s="11">
        <f>IF($AF255="","",IF(INDEX(파견수련계획!$I$4:$I$803,$AF255)="","",INDEX(파견수련계획!$I$4:$I$803,$AF255)))</f>
        <v/>
      </c>
      <c r="U255" s="10">
        <f>IF($AF255="","",INDEX(파견수련계획!$X$4:$X$803,$AF255))</f>
        <v/>
      </c>
      <c r="V255" s="17">
        <f>IF($AF255="","",INDEX(파견수련계획!$V$4:$V$803,$AF255))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IF(OR($B255="",TRIM($J255&amp;"")=""),"",SUMPRODUCT((파견수련계획!$Q$4:$Q$803=TRIM($J255&amp;""))*파견수련계획!$W$4:$W$803))</f>
        <v/>
      </c>
      <c r="Y255" s="10">
        <f>IF($B255="","",IF($AG255="","",IF(IF(TRIM($J255&amp;"")="",0,SUMPRODUCT((파견수련계획!$Q$4:$Q$803=TRIM($J255&amp;""))*파견수련계획!$AD$4:$AD$803))&gt;0,$AE255,IF(N($X255)&lt;=0,$AG255,IF($AH255+$AI255=DAY(EOMONTH(요약!$B$3,0)),IF(AND($AH255&gt;=요약!$E$3,$AI255&lt;요약!$E$3),"서울병원",IF(AND($AI255&gt;=요약!$E$3,$AH255&lt;요약!$E$3),"구리병원","⚠15일 판정불가(서울 "&amp;$AH255&amp;"일/구리 "&amp;$AI255&amp;"일)")),IF($AJ255="",$AE255,IF(INDEX(파견수련계획!$T$4:$T$803,$AJ255)="통합수련",INDEX(파견수련계획!$S$4:$S$803,$AJ255),$AE255)))))))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입력",IF(IF(TRIM($J255&amp;"")="",0,SUMPRODUCT((파견수련계획!$Q$4:$Q$803=TRIM($J255&amp;""))*(파견수련계획!$AA$4:$AA$803&lt;&gt;"")))&gt;0,"파견수련계획 입력오류 확인",IF(LEFT($Y255,1)="⚠","서울·구리 15일 판정 불가(양쪽 모두 이상/미만)",IF(IF($AC255="",0,N(INDEX(인턴근무계획!$T$3:$T$402,$AC255)))&gt;0,"인턴계획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IF($B255="","",IFERROR(MATCH($B255,기본자료!$B$2:$B$1001,0),IFERROR(MATCH($B255&amp;"",기본자료!$B$2:$B$1001,0),IFERROR(MATCH(VALUE($B255),기본자료!$B$2:$B$1001,0),""))))</f>
        <v/>
      </c>
      <c r="AC255" s="10">
        <f>IF($B255="","",IFERROR(MATCH($B255,인턴근무계획!$D$3:$D$402,0),IFERROR(MATCH($B255&amp;"",인턴근무계획!$D$3:$D$402,0),IFERROR(MATCH(VALUE($B255),인턴근무계획!$D$3:$D$402,0),""))))</f>
        <v/>
      </c>
      <c r="AD255" s="10">
        <f>IF(OR($AC255="",인턴현황!$G$3=""),"",INDEX(인턴근무계획!$M$3:$R$402,$AC255,인턴현황!$G$3)&amp;"")</f>
        <v/>
      </c>
      <c r="AE255" s="10">
        <f>IF($B255="","",IF($M255&lt;&gt;"",$M255,IF($AF255&lt;&gt;"",IF(LEFT(INDEX(파견수련계획!$R$4:$R$803,$AF255),1)&lt;&gt;"⚠",INDEX(파견수련계획!$R$4:$R$803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파견수련계획!$Y$4:$Y$803,0),IFERROR(MATCH(TRIM($J255&amp;"")&amp;"|파견예정",파견수련계획!$Y$4:$Y$803,0),IFERROR(MATCH(TRIM($J255&amp;"")&amp;"|파견종료",파견수련계획!$Y$4:$Y$803,0),""))))</f>
        <v/>
      </c>
      <c r="AG255" s="10">
        <f>IF($B255="","",IF(AND(IF(OR($AC255="",인턴현황!$K$2=""),"",INDEX(인턴근무계획!$M$3:$R$402,$AC255,인턴현황!$K$2)&amp;"")&lt;&gt;"",LEFT(IF(OR($AC255="",인턴현황!$K$2=""),"",INDEX(인턴근무계획!$M$3:$R$402,$AC255,인턴현황!$K$2)&amp;""),1)&lt;&gt;"⚠"),LEFT(IF(OR($AC255="",인턴현황!$K$2=""),"",INDEX(인턴근무계획!$M$3:$R$402,$AC255,인턴현황!$K$2)&amp;""),FIND(" ",IF(OR($AC255="",인턴현황!$K$2=""),"",INDEX(인턴근무계획!$M$3:$R$402,$AC255,인턴현황!$K$2)&amp;""))-1),$AE255))</f>
        <v/>
      </c>
      <c r="AH255" s="17">
        <f>IF($B255="","",IF(TRIM($J255&amp;"")="",0,SUMPRODUCT((파견수련계획!$Q$4:$Q$803=TRIM($J255&amp;""))*(파견수련계획!$S$4:$S$803="서울병원")*파견수련계획!$W$4:$W$803))+IF($AG255="서울병원",MAX(0,DAY(EOMONTH(요약!$B$3,0))-N($X255)),0))</f>
        <v/>
      </c>
      <c r="AI255" s="17">
        <f>IF($B255="","",IF(TRIM($J255&amp;"")="",0,SUMPRODUCT((파견수련계획!$Q$4:$Q$803=TRIM($J255&amp;""))*(파견수련계획!$S$4:$S$803="구리병원")*파견수련계획!$W$4:$W$803))+IF($AG255="구리병원",MAX(0,DAY(EOMONTH(요약!$B$3,0))-N($X255)),0))</f>
        <v/>
      </c>
      <c r="AJ255" s="10">
        <f>IF(OR($B255="",TRIM($J255&amp;"")=""),"",IFERROR(MATCH(TRIM($J255&amp;"")&amp;"|월",파견수련계획!$Z$4:$Z$803,0),""))</f>
        <v/>
      </c>
      <c r="AK255" s="10">
        <f>IF(OR($B255="",TRIM($J255&amp;"")=""),"",IFERROR(MATCH(TRIM($J255&amp;"")&amp;"|다기관",파견수련계획!$AE$4:$AE$803,0),""))</f>
        <v/>
      </c>
      <c r="AL255" s="10">
        <f>IF($AK255="","","다기관 "&amp;TEXT(INDEX(파견수련계획!$AB$4:$AB$803,$AK255),"yyyy-mm-dd")&amp;"~"&amp;IF(ISNUMBER(INDEX(파견수련계획!$AC$4:$AC$803,$AK255)),TEXT(INDEX(파견수련계획!$AC$4:$AC$803,$AK255),"yyyy-mm-dd"),""))</f>
        <v/>
      </c>
    </row>
    <row r="256">
      <c r="A256" s="10">
        <f>IF(B256="","",ROW()-1)</f>
        <v/>
      </c>
      <c r="B256" s="18" t="n"/>
      <c r="C256" s="10">
        <f>IF($AB256="","",IF(INDEX(기본자료!$C$2:$C$1001,$AB256)="","",INDEX(기본자료!$C$2:$C$1001,$AB256)))</f>
        <v/>
      </c>
      <c r="D256" s="10">
        <f>IF($AB256="","",IF(INDEX(기본자료!$J$2:$J$1001,$AB256)="","",INDEX(기본자료!$J$2:$J$1001,$AB256)))</f>
        <v/>
      </c>
      <c r="E256" s="11">
        <f>IF($AB256="","",IF(INDEX(기본자료!$K$2:$K$1001,$AB256)="","",IF(NOT(ISNUMBER(INDEX(기본자료!$K$2:$K$1001,$AB256))),INDEX(기본자료!$K$2:$K$1001,$AB256),IF(INDEX(기본자료!$K$2:$K$1001,$AB256)&lt;1000000,INDEX(기본자료!$K$2:$K$1001,$AB256),IF(AND(INDEX(기본자료!$K$2:$K$1001,$AB256)&gt;=10000101,INT(MOD(INDEX(기본자료!$K$2:$K$1001,$AB256),10000)/100)&gt;=1,INT(MOD(INDEX(기본자료!$K$2:$K$1001,$AB256),10000)/100)&lt;=12,MOD(INDEX(기본자료!$K$2:$K$1001,$AB256),100)&gt;=1,MOD(INDEX(기본자료!$K$2:$K$1001,$AB256),100)&lt;=31),DATE(INT(INDEX(기본자료!$K$2:$K$1001,$AB256)/10000),INT(MOD(INDEX(기본자료!$K$2:$K$1001,$AB256),10000)/100),MOD(INDEX(기본자료!$K$2:$K$1001,$AB256),100)),INDEX(기본자료!$K$2:$K$1001,$AB256)&amp;"")))))</f>
        <v/>
      </c>
      <c r="F256" s="10">
        <f>IF($AB256="","",IF(INDEX(기본자료!$D$2:$D$1001,$AB256)="","",INDEX(기본자료!$D$2:$D$1001,$AB256)))</f>
        <v/>
      </c>
      <c r="G256" s="10">
        <f>IF($AB256="","",IF(INDEX(기본자료!$E$2:$E$1001,$AB256)="","",INDEX(기본자료!$E$2:$E$1001,$AB256)))</f>
        <v/>
      </c>
      <c r="H256" s="10">
        <f>IF($AB256="","",IF(INDEX(기본자료!$F$2:$F$1001,$AB256)="","",INDEX(기본자료!$F$2:$F$1001,$AB256)))</f>
        <v/>
      </c>
      <c r="I256" s="11">
        <f>IF($AB256="","",IF(INDEX(기본자료!$G$2:$G$1001,$AB256)="","",IF(NOT(ISNUMBER(INDEX(기본자료!$G$2:$G$1001,$AB256))),INDEX(기본자료!$G$2:$G$1001,$AB256),IF(INDEX(기본자료!$G$2:$G$1001,$AB256)&lt;1000000,INDEX(기본자료!$G$2:$G$1001,$AB256),IF(AND(INDEX(기본자료!$G$2:$G$1001,$AB256)&gt;=10000101,INT(MOD(INDEX(기본자료!$G$2:$G$1001,$AB256),10000)/100)&gt;=1,INT(MOD(INDEX(기본자료!$G$2:$G$1001,$AB256),10000)/100)&lt;=12,MOD(INDEX(기본자료!$G$2:$G$1001,$AB256),100)&gt;=1,MOD(INDEX(기본자료!$G$2:$G$1001,$AB256),100)&lt;=31),DATE(INT(INDEX(기본자료!$G$2:$G$1001,$AB256)/10000),INT(MOD(INDEX(기본자료!$G$2:$G$1001,$AB256),10000)/100),MOD(INDEX(기본자료!$G$2:$G$1001,$AB256),100)),INDEX(기본자료!$G$2:$G$1001,$AB256)&amp;"")))))</f>
        <v/>
      </c>
      <c r="J256" s="10">
        <f>IF($AB256="","",IF(INDEX(기본자료!$H$2:$H$1001,$AB256)="","",INDEX(기본자료!$H$2:$H$1001,$AB256)))</f>
        <v/>
      </c>
      <c r="K256" s="10">
        <f>IF($AB256="","",IF(INDEX(기본자료!$I$2:$I$1001,$AB256)="","",INDEX(기본자료!$I$2:$I$1001,$AB256)))</f>
        <v/>
      </c>
      <c r="L256" s="10">
        <f>IF($AB256="","",IF(INDEX(기본자료!$A$2:$A$1001,$AB256)="","",INDEX(기본자료!$A$2:$A$1001,$AB256)))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파견수련계획!$AB$4:$AB$803,$AK256),OR(NOT(ISNUMBER(INDEX(파견수련계획!$AC$4:$AC$803,$AK256))),TODAY()&lt;=INDEX(파견수련계획!$AC$4:$AC$803,$AK256))),"다기관",IF($AF256="","",INDEX(파견수련계획!$T$4:$T$803,$AF256))),IF($AF256="","",INDEX(파견수련계획!$T$4:$T$803,$AF256))))</f>
        <v/>
      </c>
      <c r="Q256" s="10">
        <f>IF($AF256="","",INDEX(파견수련계획!$S$4:$S$803,$AF256))</f>
        <v/>
      </c>
      <c r="R256" s="10">
        <f>IF($AF256="","",INDEX(파견수련계획!$U$4:$U$803,$AF256))</f>
        <v/>
      </c>
      <c r="S256" s="11">
        <f>IF($AF256="","",IF(INDEX(파견수련계획!$H$4:$H$803,$AF256)="","",INDEX(파견수련계획!$H$4:$H$803,$AF256)))</f>
        <v/>
      </c>
      <c r="T256" s="11">
        <f>IF($AF256="","",IF(INDEX(파견수련계획!$I$4:$I$803,$AF256)="","",INDEX(파견수련계획!$I$4:$I$803,$AF256)))</f>
        <v/>
      </c>
      <c r="U256" s="10">
        <f>IF($AF256="","",INDEX(파견수련계획!$X$4:$X$803,$AF256))</f>
        <v/>
      </c>
      <c r="V256" s="17">
        <f>IF($AF256="","",INDEX(파견수련계획!$V$4:$V$803,$AF256))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IF(OR($B256="",TRIM($J256&amp;"")=""),"",SUMPRODUCT((파견수련계획!$Q$4:$Q$803=TRIM($J256&amp;""))*파견수련계획!$W$4:$W$803))</f>
        <v/>
      </c>
      <c r="Y256" s="10">
        <f>IF($B256="","",IF($AG256="","",IF(IF(TRIM($J256&amp;"")="",0,SUMPRODUCT((파견수련계획!$Q$4:$Q$803=TRIM($J256&amp;""))*파견수련계획!$AD$4:$AD$803))&gt;0,$AE256,IF(N($X256)&lt;=0,$AG256,IF($AH256+$AI256=DAY(EOMONTH(요약!$B$3,0)),IF(AND($AH256&gt;=요약!$E$3,$AI256&lt;요약!$E$3),"서울병원",IF(AND($AI256&gt;=요약!$E$3,$AH256&lt;요약!$E$3),"구리병원","⚠15일 판정불가(서울 "&amp;$AH256&amp;"일/구리 "&amp;$AI256&amp;"일)")),IF($AJ256="",$AE256,IF(INDEX(파견수련계획!$T$4:$T$803,$AJ256)="통합수련",INDEX(파견수련계획!$S$4:$S$803,$AJ256),$AE256)))))))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입력",IF(IF(TRIM($J256&amp;"")="",0,SUMPRODUCT((파견수련계획!$Q$4:$Q$803=TRIM($J256&amp;""))*(파견수련계획!$AA$4:$AA$803&lt;&gt;"")))&gt;0,"파견수련계획 입력오류 확인",IF(LEFT($Y256,1)="⚠","서울·구리 15일 판정 불가(양쪽 모두 이상/미만)",IF(IF($AC256="",0,N(INDEX(인턴근무계획!$T$3:$T$402,$AC256)))&gt;0,"인턴계획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IF($B256="","",IFERROR(MATCH($B256,기본자료!$B$2:$B$1001,0),IFERROR(MATCH($B256&amp;"",기본자료!$B$2:$B$1001,0),IFERROR(MATCH(VALUE($B256),기본자료!$B$2:$B$1001,0),""))))</f>
        <v/>
      </c>
      <c r="AC256" s="10">
        <f>IF($B256="","",IFERROR(MATCH($B256,인턴근무계획!$D$3:$D$402,0),IFERROR(MATCH($B256&amp;"",인턴근무계획!$D$3:$D$402,0),IFERROR(MATCH(VALUE($B256),인턴근무계획!$D$3:$D$402,0),""))))</f>
        <v/>
      </c>
      <c r="AD256" s="10">
        <f>IF(OR($AC256="",인턴현황!$G$3=""),"",INDEX(인턴근무계획!$M$3:$R$402,$AC256,인턴현황!$G$3)&amp;"")</f>
        <v/>
      </c>
      <c r="AE256" s="10">
        <f>IF($B256="","",IF($M256&lt;&gt;"",$M256,IF($AF256&lt;&gt;"",IF(LEFT(INDEX(파견수련계획!$R$4:$R$803,$AF256),1)&lt;&gt;"⚠",INDEX(파견수련계획!$R$4:$R$803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파견수련계획!$Y$4:$Y$803,0),IFERROR(MATCH(TRIM($J256&amp;"")&amp;"|파견예정",파견수련계획!$Y$4:$Y$803,0),IFERROR(MATCH(TRIM($J256&amp;"")&amp;"|파견종료",파견수련계획!$Y$4:$Y$803,0),""))))</f>
        <v/>
      </c>
      <c r="AG256" s="10">
        <f>IF($B256="","",IF(AND(IF(OR($AC256="",인턴현황!$K$2=""),"",INDEX(인턴근무계획!$M$3:$R$402,$AC256,인턴현황!$K$2)&amp;"")&lt;&gt;"",LEFT(IF(OR($AC256="",인턴현황!$K$2=""),"",INDEX(인턴근무계획!$M$3:$R$402,$AC256,인턴현황!$K$2)&amp;""),1)&lt;&gt;"⚠"),LEFT(IF(OR($AC256="",인턴현황!$K$2=""),"",INDEX(인턴근무계획!$M$3:$R$402,$AC256,인턴현황!$K$2)&amp;""),FIND(" ",IF(OR($AC256="",인턴현황!$K$2=""),"",INDEX(인턴근무계획!$M$3:$R$402,$AC256,인턴현황!$K$2)&amp;""))-1),$AE256))</f>
        <v/>
      </c>
      <c r="AH256" s="17">
        <f>IF($B256="","",IF(TRIM($J256&amp;"")="",0,SUMPRODUCT((파견수련계획!$Q$4:$Q$803=TRIM($J256&amp;""))*(파견수련계획!$S$4:$S$803="서울병원")*파견수련계획!$W$4:$W$803))+IF($AG256="서울병원",MAX(0,DAY(EOMONTH(요약!$B$3,0))-N($X256)),0))</f>
        <v/>
      </c>
      <c r="AI256" s="17">
        <f>IF($B256="","",IF(TRIM($J256&amp;"")="",0,SUMPRODUCT((파견수련계획!$Q$4:$Q$803=TRIM($J256&amp;""))*(파견수련계획!$S$4:$S$803="구리병원")*파견수련계획!$W$4:$W$803))+IF($AG256="구리병원",MAX(0,DAY(EOMONTH(요약!$B$3,0))-N($X256)),0))</f>
        <v/>
      </c>
      <c r="AJ256" s="10">
        <f>IF(OR($B256="",TRIM($J256&amp;"")=""),"",IFERROR(MATCH(TRIM($J256&amp;"")&amp;"|월",파견수련계획!$Z$4:$Z$803,0),""))</f>
        <v/>
      </c>
      <c r="AK256" s="10">
        <f>IF(OR($B256="",TRIM($J256&amp;"")=""),"",IFERROR(MATCH(TRIM($J256&amp;"")&amp;"|다기관",파견수련계획!$AE$4:$AE$803,0),""))</f>
        <v/>
      </c>
      <c r="AL256" s="10">
        <f>IF($AK256="","","다기관 "&amp;TEXT(INDEX(파견수련계획!$AB$4:$AB$803,$AK256),"yyyy-mm-dd")&amp;"~"&amp;IF(ISNUMBER(INDEX(파견수련계획!$AC$4:$AC$803,$AK256)),TEXT(INDEX(파견수련계획!$AC$4:$AC$803,$AK256),"yyyy-mm-dd"),""))</f>
        <v/>
      </c>
    </row>
    <row r="257">
      <c r="A257" s="10">
        <f>IF(B257="","",ROW()-1)</f>
        <v/>
      </c>
      <c r="B257" s="18" t="n"/>
      <c r="C257" s="10">
        <f>IF($AB257="","",IF(INDEX(기본자료!$C$2:$C$1001,$AB257)="","",INDEX(기본자료!$C$2:$C$1001,$AB257)))</f>
        <v/>
      </c>
      <c r="D257" s="10">
        <f>IF($AB257="","",IF(INDEX(기본자료!$J$2:$J$1001,$AB257)="","",INDEX(기본자료!$J$2:$J$1001,$AB257)))</f>
        <v/>
      </c>
      <c r="E257" s="11">
        <f>IF($AB257="","",IF(INDEX(기본자료!$K$2:$K$1001,$AB257)="","",IF(NOT(ISNUMBER(INDEX(기본자료!$K$2:$K$1001,$AB257))),INDEX(기본자료!$K$2:$K$1001,$AB257),IF(INDEX(기본자료!$K$2:$K$1001,$AB257)&lt;1000000,INDEX(기본자료!$K$2:$K$1001,$AB257),IF(AND(INDEX(기본자료!$K$2:$K$1001,$AB257)&gt;=10000101,INT(MOD(INDEX(기본자료!$K$2:$K$1001,$AB257),10000)/100)&gt;=1,INT(MOD(INDEX(기본자료!$K$2:$K$1001,$AB257),10000)/100)&lt;=12,MOD(INDEX(기본자료!$K$2:$K$1001,$AB257),100)&gt;=1,MOD(INDEX(기본자료!$K$2:$K$1001,$AB257),100)&lt;=31),DATE(INT(INDEX(기본자료!$K$2:$K$1001,$AB257)/10000),INT(MOD(INDEX(기본자료!$K$2:$K$1001,$AB257),10000)/100),MOD(INDEX(기본자료!$K$2:$K$1001,$AB257),100)),INDEX(기본자료!$K$2:$K$1001,$AB257)&amp;"")))))</f>
        <v/>
      </c>
      <c r="F257" s="10">
        <f>IF($AB257="","",IF(INDEX(기본자료!$D$2:$D$1001,$AB257)="","",INDEX(기본자료!$D$2:$D$1001,$AB257)))</f>
        <v/>
      </c>
      <c r="G257" s="10">
        <f>IF($AB257="","",IF(INDEX(기본자료!$E$2:$E$1001,$AB257)="","",INDEX(기본자료!$E$2:$E$1001,$AB257)))</f>
        <v/>
      </c>
      <c r="H257" s="10">
        <f>IF($AB257="","",IF(INDEX(기본자료!$F$2:$F$1001,$AB257)="","",INDEX(기본자료!$F$2:$F$1001,$AB257)))</f>
        <v/>
      </c>
      <c r="I257" s="11">
        <f>IF($AB257="","",IF(INDEX(기본자료!$G$2:$G$1001,$AB257)="","",IF(NOT(ISNUMBER(INDEX(기본자료!$G$2:$G$1001,$AB257))),INDEX(기본자료!$G$2:$G$1001,$AB257),IF(INDEX(기본자료!$G$2:$G$1001,$AB257)&lt;1000000,INDEX(기본자료!$G$2:$G$1001,$AB257),IF(AND(INDEX(기본자료!$G$2:$G$1001,$AB257)&gt;=10000101,INT(MOD(INDEX(기본자료!$G$2:$G$1001,$AB257),10000)/100)&gt;=1,INT(MOD(INDEX(기본자료!$G$2:$G$1001,$AB257),10000)/100)&lt;=12,MOD(INDEX(기본자료!$G$2:$G$1001,$AB257),100)&gt;=1,MOD(INDEX(기본자료!$G$2:$G$1001,$AB257),100)&lt;=31),DATE(INT(INDEX(기본자료!$G$2:$G$1001,$AB257)/10000),INT(MOD(INDEX(기본자료!$G$2:$G$1001,$AB257),10000)/100),MOD(INDEX(기본자료!$G$2:$G$1001,$AB257),100)),INDEX(기본자료!$G$2:$G$1001,$AB257)&amp;"")))))</f>
        <v/>
      </c>
      <c r="J257" s="10">
        <f>IF($AB257="","",IF(INDEX(기본자료!$H$2:$H$1001,$AB257)="","",INDEX(기본자료!$H$2:$H$1001,$AB257)))</f>
        <v/>
      </c>
      <c r="K257" s="10">
        <f>IF($AB257="","",IF(INDEX(기본자료!$I$2:$I$1001,$AB257)="","",INDEX(기본자료!$I$2:$I$1001,$AB257)))</f>
        <v/>
      </c>
      <c r="L257" s="10">
        <f>IF($AB257="","",IF(INDEX(기본자료!$A$2:$A$1001,$AB257)="","",INDEX(기본자료!$A$2:$A$1001,$AB257)))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파견수련계획!$AB$4:$AB$803,$AK257),OR(NOT(ISNUMBER(INDEX(파견수련계획!$AC$4:$AC$803,$AK257))),TODAY()&lt;=INDEX(파견수련계획!$AC$4:$AC$803,$AK257))),"다기관",IF($AF257="","",INDEX(파견수련계획!$T$4:$T$803,$AF257))),IF($AF257="","",INDEX(파견수련계획!$T$4:$T$803,$AF257))))</f>
        <v/>
      </c>
      <c r="Q257" s="10">
        <f>IF($AF257="","",INDEX(파견수련계획!$S$4:$S$803,$AF257))</f>
        <v/>
      </c>
      <c r="R257" s="10">
        <f>IF($AF257="","",INDEX(파견수련계획!$U$4:$U$803,$AF257))</f>
        <v/>
      </c>
      <c r="S257" s="11">
        <f>IF($AF257="","",IF(INDEX(파견수련계획!$H$4:$H$803,$AF257)="","",INDEX(파견수련계획!$H$4:$H$803,$AF257)))</f>
        <v/>
      </c>
      <c r="T257" s="11">
        <f>IF($AF257="","",IF(INDEX(파견수련계획!$I$4:$I$803,$AF257)="","",INDEX(파견수련계획!$I$4:$I$803,$AF257)))</f>
        <v/>
      </c>
      <c r="U257" s="10">
        <f>IF($AF257="","",INDEX(파견수련계획!$X$4:$X$803,$AF257))</f>
        <v/>
      </c>
      <c r="V257" s="17">
        <f>IF($AF257="","",INDEX(파견수련계획!$V$4:$V$803,$AF257))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IF(OR($B257="",TRIM($J257&amp;"")=""),"",SUMPRODUCT((파견수련계획!$Q$4:$Q$803=TRIM($J257&amp;""))*파견수련계획!$W$4:$W$803))</f>
        <v/>
      </c>
      <c r="Y257" s="10">
        <f>IF($B257="","",IF($AG257="","",IF(IF(TRIM($J257&amp;"")="",0,SUMPRODUCT((파견수련계획!$Q$4:$Q$803=TRIM($J257&amp;""))*파견수련계획!$AD$4:$AD$803))&gt;0,$AE257,IF(N($X257)&lt;=0,$AG257,IF($AH257+$AI257=DAY(EOMONTH(요약!$B$3,0)),IF(AND($AH257&gt;=요약!$E$3,$AI257&lt;요약!$E$3),"서울병원",IF(AND($AI257&gt;=요약!$E$3,$AH257&lt;요약!$E$3),"구리병원","⚠15일 판정불가(서울 "&amp;$AH257&amp;"일/구리 "&amp;$AI257&amp;"일)")),IF($AJ257="",$AE257,IF(INDEX(파견수련계획!$T$4:$T$803,$AJ257)="통합수련",INDEX(파견수련계획!$S$4:$S$803,$AJ257),$AE257)))))))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입력",IF(IF(TRIM($J257&amp;"")="",0,SUMPRODUCT((파견수련계획!$Q$4:$Q$803=TRIM($J257&amp;""))*(파견수련계획!$AA$4:$AA$803&lt;&gt;"")))&gt;0,"파견수련계획 입력오류 확인",IF(LEFT($Y257,1)="⚠","서울·구리 15일 판정 불가(양쪽 모두 이상/미만)",IF(IF($AC257="",0,N(INDEX(인턴근무계획!$T$3:$T$402,$AC257)))&gt;0,"인턴계획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IF($B257="","",IFERROR(MATCH($B257,기본자료!$B$2:$B$1001,0),IFERROR(MATCH($B257&amp;"",기본자료!$B$2:$B$1001,0),IFERROR(MATCH(VALUE($B257),기본자료!$B$2:$B$1001,0),""))))</f>
        <v/>
      </c>
      <c r="AC257" s="10">
        <f>IF($B257="","",IFERROR(MATCH($B257,인턴근무계획!$D$3:$D$402,0),IFERROR(MATCH($B257&amp;"",인턴근무계획!$D$3:$D$402,0),IFERROR(MATCH(VALUE($B257),인턴근무계획!$D$3:$D$402,0),""))))</f>
        <v/>
      </c>
      <c r="AD257" s="10">
        <f>IF(OR($AC257="",인턴현황!$G$3=""),"",INDEX(인턴근무계획!$M$3:$R$402,$AC257,인턴현황!$G$3)&amp;"")</f>
        <v/>
      </c>
      <c r="AE257" s="10">
        <f>IF($B257="","",IF($M257&lt;&gt;"",$M257,IF($AF257&lt;&gt;"",IF(LEFT(INDEX(파견수련계획!$R$4:$R$803,$AF257),1)&lt;&gt;"⚠",INDEX(파견수련계획!$R$4:$R$803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파견수련계획!$Y$4:$Y$803,0),IFERROR(MATCH(TRIM($J257&amp;"")&amp;"|파견예정",파견수련계획!$Y$4:$Y$803,0),IFERROR(MATCH(TRIM($J257&amp;"")&amp;"|파견종료",파견수련계획!$Y$4:$Y$803,0),""))))</f>
        <v/>
      </c>
      <c r="AG257" s="10">
        <f>IF($B257="","",IF(AND(IF(OR($AC257="",인턴현황!$K$2=""),"",INDEX(인턴근무계획!$M$3:$R$402,$AC257,인턴현황!$K$2)&amp;"")&lt;&gt;"",LEFT(IF(OR($AC257="",인턴현황!$K$2=""),"",INDEX(인턴근무계획!$M$3:$R$402,$AC257,인턴현황!$K$2)&amp;""),1)&lt;&gt;"⚠"),LEFT(IF(OR($AC257="",인턴현황!$K$2=""),"",INDEX(인턴근무계획!$M$3:$R$402,$AC257,인턴현황!$K$2)&amp;""),FIND(" ",IF(OR($AC257="",인턴현황!$K$2=""),"",INDEX(인턴근무계획!$M$3:$R$402,$AC257,인턴현황!$K$2)&amp;""))-1),$AE257))</f>
        <v/>
      </c>
      <c r="AH257" s="17">
        <f>IF($B257="","",IF(TRIM($J257&amp;"")="",0,SUMPRODUCT((파견수련계획!$Q$4:$Q$803=TRIM($J257&amp;""))*(파견수련계획!$S$4:$S$803="서울병원")*파견수련계획!$W$4:$W$803))+IF($AG257="서울병원",MAX(0,DAY(EOMONTH(요약!$B$3,0))-N($X257)),0))</f>
        <v/>
      </c>
      <c r="AI257" s="17">
        <f>IF($B257="","",IF(TRIM($J257&amp;"")="",0,SUMPRODUCT((파견수련계획!$Q$4:$Q$803=TRIM($J257&amp;""))*(파견수련계획!$S$4:$S$803="구리병원")*파견수련계획!$W$4:$W$803))+IF($AG257="구리병원",MAX(0,DAY(EOMONTH(요약!$B$3,0))-N($X257)),0))</f>
        <v/>
      </c>
      <c r="AJ257" s="10">
        <f>IF(OR($B257="",TRIM($J257&amp;"")=""),"",IFERROR(MATCH(TRIM($J257&amp;"")&amp;"|월",파견수련계획!$Z$4:$Z$803,0),""))</f>
        <v/>
      </c>
      <c r="AK257" s="10">
        <f>IF(OR($B257="",TRIM($J257&amp;"")=""),"",IFERROR(MATCH(TRIM($J257&amp;"")&amp;"|다기관",파견수련계획!$AE$4:$AE$803,0),""))</f>
        <v/>
      </c>
      <c r="AL257" s="10">
        <f>IF($AK257="","","다기관 "&amp;TEXT(INDEX(파견수련계획!$AB$4:$AB$803,$AK257),"yyyy-mm-dd")&amp;"~"&amp;IF(ISNUMBER(INDEX(파견수련계획!$AC$4:$AC$803,$AK257)),TEXT(INDEX(파견수련계획!$AC$4:$AC$803,$AK257),"yyyy-mm-dd"),""))</f>
        <v/>
      </c>
    </row>
    <row r="258">
      <c r="A258" s="10">
        <f>IF(B258="","",ROW()-1)</f>
        <v/>
      </c>
      <c r="B258" s="18" t="n"/>
      <c r="C258" s="10">
        <f>IF($AB258="","",IF(INDEX(기본자료!$C$2:$C$1001,$AB258)="","",INDEX(기본자료!$C$2:$C$1001,$AB258)))</f>
        <v/>
      </c>
      <c r="D258" s="10">
        <f>IF($AB258="","",IF(INDEX(기본자료!$J$2:$J$1001,$AB258)="","",INDEX(기본자료!$J$2:$J$1001,$AB258)))</f>
        <v/>
      </c>
      <c r="E258" s="11">
        <f>IF($AB258="","",IF(INDEX(기본자료!$K$2:$K$1001,$AB258)="","",IF(NOT(ISNUMBER(INDEX(기본자료!$K$2:$K$1001,$AB258))),INDEX(기본자료!$K$2:$K$1001,$AB258),IF(INDEX(기본자료!$K$2:$K$1001,$AB258)&lt;1000000,INDEX(기본자료!$K$2:$K$1001,$AB258),IF(AND(INDEX(기본자료!$K$2:$K$1001,$AB258)&gt;=10000101,INT(MOD(INDEX(기본자료!$K$2:$K$1001,$AB258),10000)/100)&gt;=1,INT(MOD(INDEX(기본자료!$K$2:$K$1001,$AB258),10000)/100)&lt;=12,MOD(INDEX(기본자료!$K$2:$K$1001,$AB258),100)&gt;=1,MOD(INDEX(기본자료!$K$2:$K$1001,$AB258),100)&lt;=31),DATE(INT(INDEX(기본자료!$K$2:$K$1001,$AB258)/10000),INT(MOD(INDEX(기본자료!$K$2:$K$1001,$AB258),10000)/100),MOD(INDEX(기본자료!$K$2:$K$1001,$AB258),100)),INDEX(기본자료!$K$2:$K$1001,$AB258)&amp;"")))))</f>
        <v/>
      </c>
      <c r="F258" s="10">
        <f>IF($AB258="","",IF(INDEX(기본자료!$D$2:$D$1001,$AB258)="","",INDEX(기본자료!$D$2:$D$1001,$AB258)))</f>
        <v/>
      </c>
      <c r="G258" s="10">
        <f>IF($AB258="","",IF(INDEX(기본자료!$E$2:$E$1001,$AB258)="","",INDEX(기본자료!$E$2:$E$1001,$AB258)))</f>
        <v/>
      </c>
      <c r="H258" s="10">
        <f>IF($AB258="","",IF(INDEX(기본자료!$F$2:$F$1001,$AB258)="","",INDEX(기본자료!$F$2:$F$1001,$AB258)))</f>
        <v/>
      </c>
      <c r="I258" s="11">
        <f>IF($AB258="","",IF(INDEX(기본자료!$G$2:$G$1001,$AB258)="","",IF(NOT(ISNUMBER(INDEX(기본자료!$G$2:$G$1001,$AB258))),INDEX(기본자료!$G$2:$G$1001,$AB258),IF(INDEX(기본자료!$G$2:$G$1001,$AB258)&lt;1000000,INDEX(기본자료!$G$2:$G$1001,$AB258),IF(AND(INDEX(기본자료!$G$2:$G$1001,$AB258)&gt;=10000101,INT(MOD(INDEX(기본자료!$G$2:$G$1001,$AB258),10000)/100)&gt;=1,INT(MOD(INDEX(기본자료!$G$2:$G$1001,$AB258),10000)/100)&lt;=12,MOD(INDEX(기본자료!$G$2:$G$1001,$AB258),100)&gt;=1,MOD(INDEX(기본자료!$G$2:$G$1001,$AB258),100)&lt;=31),DATE(INT(INDEX(기본자료!$G$2:$G$1001,$AB258)/10000),INT(MOD(INDEX(기본자료!$G$2:$G$1001,$AB258),10000)/100),MOD(INDEX(기본자료!$G$2:$G$1001,$AB258),100)),INDEX(기본자료!$G$2:$G$1001,$AB258)&amp;"")))))</f>
        <v/>
      </c>
      <c r="J258" s="10">
        <f>IF($AB258="","",IF(INDEX(기본자료!$H$2:$H$1001,$AB258)="","",INDEX(기본자료!$H$2:$H$1001,$AB258)))</f>
        <v/>
      </c>
      <c r="K258" s="10">
        <f>IF($AB258="","",IF(INDEX(기본자료!$I$2:$I$1001,$AB258)="","",INDEX(기본자료!$I$2:$I$1001,$AB258)))</f>
        <v/>
      </c>
      <c r="L258" s="10">
        <f>IF($AB258="","",IF(INDEX(기본자료!$A$2:$A$1001,$AB258)="","",INDEX(기본자료!$A$2:$A$1001,$AB258)))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파견수련계획!$AB$4:$AB$803,$AK258),OR(NOT(ISNUMBER(INDEX(파견수련계획!$AC$4:$AC$803,$AK258))),TODAY()&lt;=INDEX(파견수련계획!$AC$4:$AC$803,$AK258))),"다기관",IF($AF258="","",INDEX(파견수련계획!$T$4:$T$803,$AF258))),IF($AF258="","",INDEX(파견수련계획!$T$4:$T$803,$AF258))))</f>
        <v/>
      </c>
      <c r="Q258" s="10">
        <f>IF($AF258="","",INDEX(파견수련계획!$S$4:$S$803,$AF258))</f>
        <v/>
      </c>
      <c r="R258" s="10">
        <f>IF($AF258="","",INDEX(파견수련계획!$U$4:$U$803,$AF258))</f>
        <v/>
      </c>
      <c r="S258" s="11">
        <f>IF($AF258="","",IF(INDEX(파견수련계획!$H$4:$H$803,$AF258)="","",INDEX(파견수련계획!$H$4:$H$803,$AF258)))</f>
        <v/>
      </c>
      <c r="T258" s="11">
        <f>IF($AF258="","",IF(INDEX(파견수련계획!$I$4:$I$803,$AF258)="","",INDEX(파견수련계획!$I$4:$I$803,$AF258)))</f>
        <v/>
      </c>
      <c r="U258" s="10">
        <f>IF($AF258="","",INDEX(파견수련계획!$X$4:$X$803,$AF258))</f>
        <v/>
      </c>
      <c r="V258" s="17">
        <f>IF($AF258="","",INDEX(파견수련계획!$V$4:$V$803,$AF258))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IF(OR($B258="",TRIM($J258&amp;"")=""),"",SUMPRODUCT((파견수련계획!$Q$4:$Q$803=TRIM($J258&amp;""))*파견수련계획!$W$4:$W$803))</f>
        <v/>
      </c>
      <c r="Y258" s="10">
        <f>IF($B258="","",IF($AG258="","",IF(IF(TRIM($J258&amp;"")="",0,SUMPRODUCT((파견수련계획!$Q$4:$Q$803=TRIM($J258&amp;""))*파견수련계획!$AD$4:$AD$803))&gt;0,$AE258,IF(N($X258)&lt;=0,$AG258,IF($AH258+$AI258=DAY(EOMONTH(요약!$B$3,0)),IF(AND($AH258&gt;=요약!$E$3,$AI258&lt;요약!$E$3),"서울병원",IF(AND($AI258&gt;=요약!$E$3,$AH258&lt;요약!$E$3),"구리병원","⚠15일 판정불가(서울 "&amp;$AH258&amp;"일/구리 "&amp;$AI258&amp;"일)")),IF($AJ258="",$AE258,IF(INDEX(파견수련계획!$T$4:$T$803,$AJ258)="통합수련",INDEX(파견수련계획!$S$4:$S$803,$AJ258),$AE258)))))))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입력",IF(IF(TRIM($J258&amp;"")="",0,SUMPRODUCT((파견수련계획!$Q$4:$Q$803=TRIM($J258&amp;""))*(파견수련계획!$AA$4:$AA$803&lt;&gt;"")))&gt;0,"파견수련계획 입력오류 확인",IF(LEFT($Y258,1)="⚠","서울·구리 15일 판정 불가(양쪽 모두 이상/미만)",IF(IF($AC258="",0,N(INDEX(인턴근무계획!$T$3:$T$402,$AC258)))&gt;0,"인턴계획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IF($B258="","",IFERROR(MATCH($B258,기본자료!$B$2:$B$1001,0),IFERROR(MATCH($B258&amp;"",기본자료!$B$2:$B$1001,0),IFERROR(MATCH(VALUE($B258),기본자료!$B$2:$B$1001,0),""))))</f>
        <v/>
      </c>
      <c r="AC258" s="10">
        <f>IF($B258="","",IFERROR(MATCH($B258,인턴근무계획!$D$3:$D$402,0),IFERROR(MATCH($B258&amp;"",인턴근무계획!$D$3:$D$402,0),IFERROR(MATCH(VALUE($B258),인턴근무계획!$D$3:$D$402,0),""))))</f>
        <v/>
      </c>
      <c r="AD258" s="10">
        <f>IF(OR($AC258="",인턴현황!$G$3=""),"",INDEX(인턴근무계획!$M$3:$R$402,$AC258,인턴현황!$G$3)&amp;"")</f>
        <v/>
      </c>
      <c r="AE258" s="10">
        <f>IF($B258="","",IF($M258&lt;&gt;"",$M258,IF($AF258&lt;&gt;"",IF(LEFT(INDEX(파견수련계획!$R$4:$R$803,$AF258),1)&lt;&gt;"⚠",INDEX(파견수련계획!$R$4:$R$803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파견수련계획!$Y$4:$Y$803,0),IFERROR(MATCH(TRIM($J258&amp;"")&amp;"|파견예정",파견수련계획!$Y$4:$Y$803,0),IFERROR(MATCH(TRIM($J258&amp;"")&amp;"|파견종료",파견수련계획!$Y$4:$Y$803,0),""))))</f>
        <v/>
      </c>
      <c r="AG258" s="10">
        <f>IF($B258="","",IF(AND(IF(OR($AC258="",인턴현황!$K$2=""),"",INDEX(인턴근무계획!$M$3:$R$402,$AC258,인턴현황!$K$2)&amp;"")&lt;&gt;"",LEFT(IF(OR($AC258="",인턴현황!$K$2=""),"",INDEX(인턴근무계획!$M$3:$R$402,$AC258,인턴현황!$K$2)&amp;""),1)&lt;&gt;"⚠"),LEFT(IF(OR($AC258="",인턴현황!$K$2=""),"",INDEX(인턴근무계획!$M$3:$R$402,$AC258,인턴현황!$K$2)&amp;""),FIND(" ",IF(OR($AC258="",인턴현황!$K$2=""),"",INDEX(인턴근무계획!$M$3:$R$402,$AC258,인턴현황!$K$2)&amp;""))-1),$AE258))</f>
        <v/>
      </c>
      <c r="AH258" s="17">
        <f>IF($B258="","",IF(TRIM($J258&amp;"")="",0,SUMPRODUCT((파견수련계획!$Q$4:$Q$803=TRIM($J258&amp;""))*(파견수련계획!$S$4:$S$803="서울병원")*파견수련계획!$W$4:$W$803))+IF($AG258="서울병원",MAX(0,DAY(EOMONTH(요약!$B$3,0))-N($X258)),0))</f>
        <v/>
      </c>
      <c r="AI258" s="17">
        <f>IF($B258="","",IF(TRIM($J258&amp;"")="",0,SUMPRODUCT((파견수련계획!$Q$4:$Q$803=TRIM($J258&amp;""))*(파견수련계획!$S$4:$S$803="구리병원")*파견수련계획!$W$4:$W$803))+IF($AG258="구리병원",MAX(0,DAY(EOMONTH(요약!$B$3,0))-N($X258)),0))</f>
        <v/>
      </c>
      <c r="AJ258" s="10">
        <f>IF(OR($B258="",TRIM($J258&amp;"")=""),"",IFERROR(MATCH(TRIM($J258&amp;"")&amp;"|월",파견수련계획!$Z$4:$Z$803,0),""))</f>
        <v/>
      </c>
      <c r="AK258" s="10">
        <f>IF(OR($B258="",TRIM($J258&amp;"")=""),"",IFERROR(MATCH(TRIM($J258&amp;"")&amp;"|다기관",파견수련계획!$AE$4:$AE$803,0),""))</f>
        <v/>
      </c>
      <c r="AL258" s="10">
        <f>IF($AK258="","","다기관 "&amp;TEXT(INDEX(파견수련계획!$AB$4:$AB$803,$AK258),"yyyy-mm-dd")&amp;"~"&amp;IF(ISNUMBER(INDEX(파견수련계획!$AC$4:$AC$803,$AK258)),TEXT(INDEX(파견수련계획!$AC$4:$AC$803,$AK258),"yyyy-mm-dd"),""))</f>
        <v/>
      </c>
    </row>
    <row r="259">
      <c r="A259" s="10">
        <f>IF(B259="","",ROW()-1)</f>
        <v/>
      </c>
      <c r="B259" s="18" t="n"/>
      <c r="C259" s="10">
        <f>IF($AB259="","",IF(INDEX(기본자료!$C$2:$C$1001,$AB259)="","",INDEX(기본자료!$C$2:$C$1001,$AB259)))</f>
        <v/>
      </c>
      <c r="D259" s="10">
        <f>IF($AB259="","",IF(INDEX(기본자료!$J$2:$J$1001,$AB259)="","",INDEX(기본자료!$J$2:$J$1001,$AB259)))</f>
        <v/>
      </c>
      <c r="E259" s="11">
        <f>IF($AB259="","",IF(INDEX(기본자료!$K$2:$K$1001,$AB259)="","",IF(NOT(ISNUMBER(INDEX(기본자료!$K$2:$K$1001,$AB259))),INDEX(기본자료!$K$2:$K$1001,$AB259),IF(INDEX(기본자료!$K$2:$K$1001,$AB259)&lt;1000000,INDEX(기본자료!$K$2:$K$1001,$AB259),IF(AND(INDEX(기본자료!$K$2:$K$1001,$AB259)&gt;=10000101,INT(MOD(INDEX(기본자료!$K$2:$K$1001,$AB259),10000)/100)&gt;=1,INT(MOD(INDEX(기본자료!$K$2:$K$1001,$AB259),10000)/100)&lt;=12,MOD(INDEX(기본자료!$K$2:$K$1001,$AB259),100)&gt;=1,MOD(INDEX(기본자료!$K$2:$K$1001,$AB259),100)&lt;=31),DATE(INT(INDEX(기본자료!$K$2:$K$1001,$AB259)/10000),INT(MOD(INDEX(기본자료!$K$2:$K$1001,$AB259),10000)/100),MOD(INDEX(기본자료!$K$2:$K$1001,$AB259),100)),INDEX(기본자료!$K$2:$K$1001,$AB259)&amp;"")))))</f>
        <v/>
      </c>
      <c r="F259" s="10">
        <f>IF($AB259="","",IF(INDEX(기본자료!$D$2:$D$1001,$AB259)="","",INDEX(기본자료!$D$2:$D$1001,$AB259)))</f>
        <v/>
      </c>
      <c r="G259" s="10">
        <f>IF($AB259="","",IF(INDEX(기본자료!$E$2:$E$1001,$AB259)="","",INDEX(기본자료!$E$2:$E$1001,$AB259)))</f>
        <v/>
      </c>
      <c r="H259" s="10">
        <f>IF($AB259="","",IF(INDEX(기본자료!$F$2:$F$1001,$AB259)="","",INDEX(기본자료!$F$2:$F$1001,$AB259)))</f>
        <v/>
      </c>
      <c r="I259" s="11">
        <f>IF($AB259="","",IF(INDEX(기본자료!$G$2:$G$1001,$AB259)="","",IF(NOT(ISNUMBER(INDEX(기본자료!$G$2:$G$1001,$AB259))),INDEX(기본자료!$G$2:$G$1001,$AB259),IF(INDEX(기본자료!$G$2:$G$1001,$AB259)&lt;1000000,INDEX(기본자료!$G$2:$G$1001,$AB259),IF(AND(INDEX(기본자료!$G$2:$G$1001,$AB259)&gt;=10000101,INT(MOD(INDEX(기본자료!$G$2:$G$1001,$AB259),10000)/100)&gt;=1,INT(MOD(INDEX(기본자료!$G$2:$G$1001,$AB259),10000)/100)&lt;=12,MOD(INDEX(기본자료!$G$2:$G$1001,$AB259),100)&gt;=1,MOD(INDEX(기본자료!$G$2:$G$1001,$AB259),100)&lt;=31),DATE(INT(INDEX(기본자료!$G$2:$G$1001,$AB259)/10000),INT(MOD(INDEX(기본자료!$G$2:$G$1001,$AB259),10000)/100),MOD(INDEX(기본자료!$G$2:$G$1001,$AB259),100)),INDEX(기본자료!$G$2:$G$1001,$AB259)&amp;"")))))</f>
        <v/>
      </c>
      <c r="J259" s="10">
        <f>IF($AB259="","",IF(INDEX(기본자료!$H$2:$H$1001,$AB259)="","",INDEX(기본자료!$H$2:$H$1001,$AB259)))</f>
        <v/>
      </c>
      <c r="K259" s="10">
        <f>IF($AB259="","",IF(INDEX(기본자료!$I$2:$I$1001,$AB259)="","",INDEX(기본자료!$I$2:$I$1001,$AB259)))</f>
        <v/>
      </c>
      <c r="L259" s="10">
        <f>IF($AB259="","",IF(INDEX(기본자료!$A$2:$A$1001,$AB259)="","",INDEX(기본자료!$A$2:$A$1001,$AB259)))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파견수련계획!$AB$4:$AB$803,$AK259),OR(NOT(ISNUMBER(INDEX(파견수련계획!$AC$4:$AC$803,$AK259))),TODAY()&lt;=INDEX(파견수련계획!$AC$4:$AC$803,$AK259))),"다기관",IF($AF259="","",INDEX(파견수련계획!$T$4:$T$803,$AF259))),IF($AF259="","",INDEX(파견수련계획!$T$4:$T$803,$AF259))))</f>
        <v/>
      </c>
      <c r="Q259" s="10">
        <f>IF($AF259="","",INDEX(파견수련계획!$S$4:$S$803,$AF259))</f>
        <v/>
      </c>
      <c r="R259" s="10">
        <f>IF($AF259="","",INDEX(파견수련계획!$U$4:$U$803,$AF259))</f>
        <v/>
      </c>
      <c r="S259" s="11">
        <f>IF($AF259="","",IF(INDEX(파견수련계획!$H$4:$H$803,$AF259)="","",INDEX(파견수련계획!$H$4:$H$803,$AF259)))</f>
        <v/>
      </c>
      <c r="T259" s="11">
        <f>IF($AF259="","",IF(INDEX(파견수련계획!$I$4:$I$803,$AF259)="","",INDEX(파견수련계획!$I$4:$I$803,$AF259)))</f>
        <v/>
      </c>
      <c r="U259" s="10">
        <f>IF($AF259="","",INDEX(파견수련계획!$X$4:$X$803,$AF259))</f>
        <v/>
      </c>
      <c r="V259" s="17">
        <f>IF($AF259="","",INDEX(파견수련계획!$V$4:$V$803,$AF259))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IF(OR($B259="",TRIM($J259&amp;"")=""),"",SUMPRODUCT((파견수련계획!$Q$4:$Q$803=TRIM($J259&amp;""))*파견수련계획!$W$4:$W$803))</f>
        <v/>
      </c>
      <c r="Y259" s="10">
        <f>IF($B259="","",IF($AG259="","",IF(IF(TRIM($J259&amp;"")="",0,SUMPRODUCT((파견수련계획!$Q$4:$Q$803=TRIM($J259&amp;""))*파견수련계획!$AD$4:$AD$803))&gt;0,$AE259,IF(N($X259)&lt;=0,$AG259,IF($AH259+$AI259=DAY(EOMONTH(요약!$B$3,0)),IF(AND($AH259&gt;=요약!$E$3,$AI259&lt;요약!$E$3),"서울병원",IF(AND($AI259&gt;=요약!$E$3,$AH259&lt;요약!$E$3),"구리병원","⚠15일 판정불가(서울 "&amp;$AH259&amp;"일/구리 "&amp;$AI259&amp;"일)")),IF($AJ259="",$AE259,IF(INDEX(파견수련계획!$T$4:$T$803,$AJ259)="통합수련",INDEX(파견수련계획!$S$4:$S$803,$AJ259),$AE259)))))))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입력",IF(IF(TRIM($J259&amp;"")="",0,SUMPRODUCT((파견수련계획!$Q$4:$Q$803=TRIM($J259&amp;""))*(파견수련계획!$AA$4:$AA$803&lt;&gt;"")))&gt;0,"파견수련계획 입력오류 확인",IF(LEFT($Y259,1)="⚠","서울·구리 15일 판정 불가(양쪽 모두 이상/미만)",IF(IF($AC259="",0,N(INDEX(인턴근무계획!$T$3:$T$402,$AC259)))&gt;0,"인턴계획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IF($B259="","",IFERROR(MATCH($B259,기본자료!$B$2:$B$1001,0),IFERROR(MATCH($B259&amp;"",기본자료!$B$2:$B$1001,0),IFERROR(MATCH(VALUE($B259),기본자료!$B$2:$B$1001,0),""))))</f>
        <v/>
      </c>
      <c r="AC259" s="10">
        <f>IF($B259="","",IFERROR(MATCH($B259,인턴근무계획!$D$3:$D$402,0),IFERROR(MATCH($B259&amp;"",인턴근무계획!$D$3:$D$402,0),IFERROR(MATCH(VALUE($B259),인턴근무계획!$D$3:$D$402,0),""))))</f>
        <v/>
      </c>
      <c r="AD259" s="10">
        <f>IF(OR($AC259="",인턴현황!$G$3=""),"",INDEX(인턴근무계획!$M$3:$R$402,$AC259,인턴현황!$G$3)&amp;"")</f>
        <v/>
      </c>
      <c r="AE259" s="10">
        <f>IF($B259="","",IF($M259&lt;&gt;"",$M259,IF($AF259&lt;&gt;"",IF(LEFT(INDEX(파견수련계획!$R$4:$R$803,$AF259),1)&lt;&gt;"⚠",INDEX(파견수련계획!$R$4:$R$803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파견수련계획!$Y$4:$Y$803,0),IFERROR(MATCH(TRIM($J259&amp;"")&amp;"|파견예정",파견수련계획!$Y$4:$Y$803,0),IFERROR(MATCH(TRIM($J259&amp;"")&amp;"|파견종료",파견수련계획!$Y$4:$Y$803,0),""))))</f>
        <v/>
      </c>
      <c r="AG259" s="10">
        <f>IF($B259="","",IF(AND(IF(OR($AC259="",인턴현황!$K$2=""),"",INDEX(인턴근무계획!$M$3:$R$402,$AC259,인턴현황!$K$2)&amp;"")&lt;&gt;"",LEFT(IF(OR($AC259="",인턴현황!$K$2=""),"",INDEX(인턴근무계획!$M$3:$R$402,$AC259,인턴현황!$K$2)&amp;""),1)&lt;&gt;"⚠"),LEFT(IF(OR($AC259="",인턴현황!$K$2=""),"",INDEX(인턴근무계획!$M$3:$R$402,$AC259,인턴현황!$K$2)&amp;""),FIND(" ",IF(OR($AC259="",인턴현황!$K$2=""),"",INDEX(인턴근무계획!$M$3:$R$402,$AC259,인턴현황!$K$2)&amp;""))-1),$AE259))</f>
        <v/>
      </c>
      <c r="AH259" s="17">
        <f>IF($B259="","",IF(TRIM($J259&amp;"")="",0,SUMPRODUCT((파견수련계획!$Q$4:$Q$803=TRIM($J259&amp;""))*(파견수련계획!$S$4:$S$803="서울병원")*파견수련계획!$W$4:$W$803))+IF($AG259="서울병원",MAX(0,DAY(EOMONTH(요약!$B$3,0))-N($X259)),0))</f>
        <v/>
      </c>
      <c r="AI259" s="17">
        <f>IF($B259="","",IF(TRIM($J259&amp;"")="",0,SUMPRODUCT((파견수련계획!$Q$4:$Q$803=TRIM($J259&amp;""))*(파견수련계획!$S$4:$S$803="구리병원")*파견수련계획!$W$4:$W$803))+IF($AG259="구리병원",MAX(0,DAY(EOMONTH(요약!$B$3,0))-N($X259)),0))</f>
        <v/>
      </c>
      <c r="AJ259" s="10">
        <f>IF(OR($B259="",TRIM($J259&amp;"")=""),"",IFERROR(MATCH(TRIM($J259&amp;"")&amp;"|월",파견수련계획!$Z$4:$Z$803,0),""))</f>
        <v/>
      </c>
      <c r="AK259" s="10">
        <f>IF(OR($B259="",TRIM($J259&amp;"")=""),"",IFERROR(MATCH(TRIM($J259&amp;"")&amp;"|다기관",파견수련계획!$AE$4:$AE$803,0),""))</f>
        <v/>
      </c>
      <c r="AL259" s="10">
        <f>IF($AK259="","","다기관 "&amp;TEXT(INDEX(파견수련계획!$AB$4:$AB$803,$AK259),"yyyy-mm-dd")&amp;"~"&amp;IF(ISNUMBER(INDEX(파견수련계획!$AC$4:$AC$803,$AK259)),TEXT(INDEX(파견수련계획!$AC$4:$AC$803,$AK259),"yyyy-mm-dd"),""))</f>
        <v/>
      </c>
    </row>
    <row r="260">
      <c r="A260" s="10">
        <f>IF(B260="","",ROW()-1)</f>
        <v/>
      </c>
      <c r="B260" s="18" t="n"/>
      <c r="C260" s="10">
        <f>IF($AB260="","",IF(INDEX(기본자료!$C$2:$C$1001,$AB260)="","",INDEX(기본자료!$C$2:$C$1001,$AB260)))</f>
        <v/>
      </c>
      <c r="D260" s="10">
        <f>IF($AB260="","",IF(INDEX(기본자료!$J$2:$J$1001,$AB260)="","",INDEX(기본자료!$J$2:$J$1001,$AB260)))</f>
        <v/>
      </c>
      <c r="E260" s="11">
        <f>IF($AB260="","",IF(INDEX(기본자료!$K$2:$K$1001,$AB260)="","",IF(NOT(ISNUMBER(INDEX(기본자료!$K$2:$K$1001,$AB260))),INDEX(기본자료!$K$2:$K$1001,$AB260),IF(INDEX(기본자료!$K$2:$K$1001,$AB260)&lt;1000000,INDEX(기본자료!$K$2:$K$1001,$AB260),IF(AND(INDEX(기본자료!$K$2:$K$1001,$AB260)&gt;=10000101,INT(MOD(INDEX(기본자료!$K$2:$K$1001,$AB260),10000)/100)&gt;=1,INT(MOD(INDEX(기본자료!$K$2:$K$1001,$AB260),10000)/100)&lt;=12,MOD(INDEX(기본자료!$K$2:$K$1001,$AB260),100)&gt;=1,MOD(INDEX(기본자료!$K$2:$K$1001,$AB260),100)&lt;=31),DATE(INT(INDEX(기본자료!$K$2:$K$1001,$AB260)/10000),INT(MOD(INDEX(기본자료!$K$2:$K$1001,$AB260),10000)/100),MOD(INDEX(기본자료!$K$2:$K$1001,$AB260),100)),INDEX(기본자료!$K$2:$K$1001,$AB260)&amp;"")))))</f>
        <v/>
      </c>
      <c r="F260" s="10">
        <f>IF($AB260="","",IF(INDEX(기본자료!$D$2:$D$1001,$AB260)="","",INDEX(기본자료!$D$2:$D$1001,$AB260)))</f>
        <v/>
      </c>
      <c r="G260" s="10">
        <f>IF($AB260="","",IF(INDEX(기본자료!$E$2:$E$1001,$AB260)="","",INDEX(기본자료!$E$2:$E$1001,$AB260)))</f>
        <v/>
      </c>
      <c r="H260" s="10">
        <f>IF($AB260="","",IF(INDEX(기본자료!$F$2:$F$1001,$AB260)="","",INDEX(기본자료!$F$2:$F$1001,$AB260)))</f>
        <v/>
      </c>
      <c r="I260" s="11">
        <f>IF($AB260="","",IF(INDEX(기본자료!$G$2:$G$1001,$AB260)="","",IF(NOT(ISNUMBER(INDEX(기본자료!$G$2:$G$1001,$AB260))),INDEX(기본자료!$G$2:$G$1001,$AB260),IF(INDEX(기본자료!$G$2:$G$1001,$AB260)&lt;1000000,INDEX(기본자료!$G$2:$G$1001,$AB260),IF(AND(INDEX(기본자료!$G$2:$G$1001,$AB260)&gt;=10000101,INT(MOD(INDEX(기본자료!$G$2:$G$1001,$AB260),10000)/100)&gt;=1,INT(MOD(INDEX(기본자료!$G$2:$G$1001,$AB260),10000)/100)&lt;=12,MOD(INDEX(기본자료!$G$2:$G$1001,$AB260),100)&gt;=1,MOD(INDEX(기본자료!$G$2:$G$1001,$AB260),100)&lt;=31),DATE(INT(INDEX(기본자료!$G$2:$G$1001,$AB260)/10000),INT(MOD(INDEX(기본자료!$G$2:$G$1001,$AB260),10000)/100),MOD(INDEX(기본자료!$G$2:$G$1001,$AB260),100)),INDEX(기본자료!$G$2:$G$1001,$AB260)&amp;"")))))</f>
        <v/>
      </c>
      <c r="J260" s="10">
        <f>IF($AB260="","",IF(INDEX(기본자료!$H$2:$H$1001,$AB260)="","",INDEX(기본자료!$H$2:$H$1001,$AB260)))</f>
        <v/>
      </c>
      <c r="K260" s="10">
        <f>IF($AB260="","",IF(INDEX(기본자료!$I$2:$I$1001,$AB260)="","",INDEX(기본자료!$I$2:$I$1001,$AB260)))</f>
        <v/>
      </c>
      <c r="L260" s="10">
        <f>IF($AB260="","",IF(INDEX(기본자료!$A$2:$A$1001,$AB260)="","",INDEX(기본자료!$A$2:$A$1001,$AB260)))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파견수련계획!$AB$4:$AB$803,$AK260),OR(NOT(ISNUMBER(INDEX(파견수련계획!$AC$4:$AC$803,$AK260))),TODAY()&lt;=INDEX(파견수련계획!$AC$4:$AC$803,$AK260))),"다기관",IF($AF260="","",INDEX(파견수련계획!$T$4:$T$803,$AF260))),IF($AF260="","",INDEX(파견수련계획!$T$4:$T$803,$AF260))))</f>
        <v/>
      </c>
      <c r="Q260" s="10">
        <f>IF($AF260="","",INDEX(파견수련계획!$S$4:$S$803,$AF260))</f>
        <v/>
      </c>
      <c r="R260" s="10">
        <f>IF($AF260="","",INDEX(파견수련계획!$U$4:$U$803,$AF260))</f>
        <v/>
      </c>
      <c r="S260" s="11">
        <f>IF($AF260="","",IF(INDEX(파견수련계획!$H$4:$H$803,$AF260)="","",INDEX(파견수련계획!$H$4:$H$803,$AF260)))</f>
        <v/>
      </c>
      <c r="T260" s="11">
        <f>IF($AF260="","",IF(INDEX(파견수련계획!$I$4:$I$803,$AF260)="","",INDEX(파견수련계획!$I$4:$I$803,$AF260)))</f>
        <v/>
      </c>
      <c r="U260" s="10">
        <f>IF($AF260="","",INDEX(파견수련계획!$X$4:$X$803,$AF260))</f>
        <v/>
      </c>
      <c r="V260" s="17">
        <f>IF($AF260="","",INDEX(파견수련계획!$V$4:$V$803,$AF260))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IF(OR($B260="",TRIM($J260&amp;"")=""),"",SUMPRODUCT((파견수련계획!$Q$4:$Q$803=TRIM($J260&amp;""))*파견수련계획!$W$4:$W$803))</f>
        <v/>
      </c>
      <c r="Y260" s="10">
        <f>IF($B260="","",IF($AG260="","",IF(IF(TRIM($J260&amp;"")="",0,SUMPRODUCT((파견수련계획!$Q$4:$Q$803=TRIM($J260&amp;""))*파견수련계획!$AD$4:$AD$803))&gt;0,$AE260,IF(N($X260)&lt;=0,$AG260,IF($AH260+$AI260=DAY(EOMONTH(요약!$B$3,0)),IF(AND($AH260&gt;=요약!$E$3,$AI260&lt;요약!$E$3),"서울병원",IF(AND($AI260&gt;=요약!$E$3,$AH260&lt;요약!$E$3),"구리병원","⚠15일 판정불가(서울 "&amp;$AH260&amp;"일/구리 "&amp;$AI260&amp;"일)")),IF($AJ260="",$AE260,IF(INDEX(파견수련계획!$T$4:$T$803,$AJ260)="통합수련",INDEX(파견수련계획!$S$4:$S$803,$AJ260),$AE260)))))))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입력",IF(IF(TRIM($J260&amp;"")="",0,SUMPRODUCT((파견수련계획!$Q$4:$Q$803=TRIM($J260&amp;""))*(파견수련계획!$AA$4:$AA$803&lt;&gt;"")))&gt;0,"파견수련계획 입력오류 확인",IF(LEFT($Y260,1)="⚠","서울·구리 15일 판정 불가(양쪽 모두 이상/미만)",IF(IF($AC260="",0,N(INDEX(인턴근무계획!$T$3:$T$402,$AC260)))&gt;0,"인턴계획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IF($B260="","",IFERROR(MATCH($B260,기본자료!$B$2:$B$1001,0),IFERROR(MATCH($B260&amp;"",기본자료!$B$2:$B$1001,0),IFERROR(MATCH(VALUE($B260),기본자료!$B$2:$B$1001,0),""))))</f>
        <v/>
      </c>
      <c r="AC260" s="10">
        <f>IF($B260="","",IFERROR(MATCH($B260,인턴근무계획!$D$3:$D$402,0),IFERROR(MATCH($B260&amp;"",인턴근무계획!$D$3:$D$402,0),IFERROR(MATCH(VALUE($B260),인턴근무계획!$D$3:$D$402,0),""))))</f>
        <v/>
      </c>
      <c r="AD260" s="10">
        <f>IF(OR($AC260="",인턴현황!$G$3=""),"",INDEX(인턴근무계획!$M$3:$R$402,$AC260,인턴현황!$G$3)&amp;"")</f>
        <v/>
      </c>
      <c r="AE260" s="10">
        <f>IF($B260="","",IF($M260&lt;&gt;"",$M260,IF($AF260&lt;&gt;"",IF(LEFT(INDEX(파견수련계획!$R$4:$R$803,$AF260),1)&lt;&gt;"⚠",INDEX(파견수련계획!$R$4:$R$803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파견수련계획!$Y$4:$Y$803,0),IFERROR(MATCH(TRIM($J260&amp;"")&amp;"|파견예정",파견수련계획!$Y$4:$Y$803,0),IFERROR(MATCH(TRIM($J260&amp;"")&amp;"|파견종료",파견수련계획!$Y$4:$Y$803,0),""))))</f>
        <v/>
      </c>
      <c r="AG260" s="10">
        <f>IF($B260="","",IF(AND(IF(OR($AC260="",인턴현황!$K$2=""),"",INDEX(인턴근무계획!$M$3:$R$402,$AC260,인턴현황!$K$2)&amp;"")&lt;&gt;"",LEFT(IF(OR($AC260="",인턴현황!$K$2=""),"",INDEX(인턴근무계획!$M$3:$R$402,$AC260,인턴현황!$K$2)&amp;""),1)&lt;&gt;"⚠"),LEFT(IF(OR($AC260="",인턴현황!$K$2=""),"",INDEX(인턴근무계획!$M$3:$R$402,$AC260,인턴현황!$K$2)&amp;""),FIND(" ",IF(OR($AC260="",인턴현황!$K$2=""),"",INDEX(인턴근무계획!$M$3:$R$402,$AC260,인턴현황!$K$2)&amp;""))-1),$AE260))</f>
        <v/>
      </c>
      <c r="AH260" s="17">
        <f>IF($B260="","",IF(TRIM($J260&amp;"")="",0,SUMPRODUCT((파견수련계획!$Q$4:$Q$803=TRIM($J260&amp;""))*(파견수련계획!$S$4:$S$803="서울병원")*파견수련계획!$W$4:$W$803))+IF($AG260="서울병원",MAX(0,DAY(EOMONTH(요약!$B$3,0))-N($X260)),0))</f>
        <v/>
      </c>
      <c r="AI260" s="17">
        <f>IF($B260="","",IF(TRIM($J260&amp;"")="",0,SUMPRODUCT((파견수련계획!$Q$4:$Q$803=TRIM($J260&amp;""))*(파견수련계획!$S$4:$S$803="구리병원")*파견수련계획!$W$4:$W$803))+IF($AG260="구리병원",MAX(0,DAY(EOMONTH(요약!$B$3,0))-N($X260)),0))</f>
        <v/>
      </c>
      <c r="AJ260" s="10">
        <f>IF(OR($B260="",TRIM($J260&amp;"")=""),"",IFERROR(MATCH(TRIM($J260&amp;"")&amp;"|월",파견수련계획!$Z$4:$Z$803,0),""))</f>
        <v/>
      </c>
      <c r="AK260" s="10">
        <f>IF(OR($B260="",TRIM($J260&amp;"")=""),"",IFERROR(MATCH(TRIM($J260&amp;"")&amp;"|다기관",파견수련계획!$AE$4:$AE$803,0),""))</f>
        <v/>
      </c>
      <c r="AL260" s="10">
        <f>IF($AK260="","","다기관 "&amp;TEXT(INDEX(파견수련계획!$AB$4:$AB$803,$AK260),"yyyy-mm-dd")&amp;"~"&amp;IF(ISNUMBER(INDEX(파견수련계획!$AC$4:$AC$803,$AK260)),TEXT(INDEX(파견수련계획!$AC$4:$AC$803,$AK260),"yyyy-mm-dd"),""))</f>
        <v/>
      </c>
    </row>
    <row r="261">
      <c r="A261" s="10">
        <f>IF(B261="","",ROW()-1)</f>
        <v/>
      </c>
      <c r="B261" s="18" t="n"/>
      <c r="C261" s="10">
        <f>IF($AB261="","",IF(INDEX(기본자료!$C$2:$C$1001,$AB261)="","",INDEX(기본자료!$C$2:$C$1001,$AB261)))</f>
        <v/>
      </c>
      <c r="D261" s="10">
        <f>IF($AB261="","",IF(INDEX(기본자료!$J$2:$J$1001,$AB261)="","",INDEX(기본자료!$J$2:$J$1001,$AB261)))</f>
        <v/>
      </c>
      <c r="E261" s="11">
        <f>IF($AB261="","",IF(INDEX(기본자료!$K$2:$K$1001,$AB261)="","",IF(NOT(ISNUMBER(INDEX(기본자료!$K$2:$K$1001,$AB261))),INDEX(기본자료!$K$2:$K$1001,$AB261),IF(INDEX(기본자료!$K$2:$K$1001,$AB261)&lt;1000000,INDEX(기본자료!$K$2:$K$1001,$AB261),IF(AND(INDEX(기본자료!$K$2:$K$1001,$AB261)&gt;=10000101,INT(MOD(INDEX(기본자료!$K$2:$K$1001,$AB261),10000)/100)&gt;=1,INT(MOD(INDEX(기본자료!$K$2:$K$1001,$AB261),10000)/100)&lt;=12,MOD(INDEX(기본자료!$K$2:$K$1001,$AB261),100)&gt;=1,MOD(INDEX(기본자료!$K$2:$K$1001,$AB261),100)&lt;=31),DATE(INT(INDEX(기본자료!$K$2:$K$1001,$AB261)/10000),INT(MOD(INDEX(기본자료!$K$2:$K$1001,$AB261),10000)/100),MOD(INDEX(기본자료!$K$2:$K$1001,$AB261),100)),INDEX(기본자료!$K$2:$K$1001,$AB261)&amp;"")))))</f>
        <v/>
      </c>
      <c r="F261" s="10">
        <f>IF($AB261="","",IF(INDEX(기본자료!$D$2:$D$1001,$AB261)="","",INDEX(기본자료!$D$2:$D$1001,$AB261)))</f>
        <v/>
      </c>
      <c r="G261" s="10">
        <f>IF($AB261="","",IF(INDEX(기본자료!$E$2:$E$1001,$AB261)="","",INDEX(기본자료!$E$2:$E$1001,$AB261)))</f>
        <v/>
      </c>
      <c r="H261" s="10">
        <f>IF($AB261="","",IF(INDEX(기본자료!$F$2:$F$1001,$AB261)="","",INDEX(기본자료!$F$2:$F$1001,$AB261)))</f>
        <v/>
      </c>
      <c r="I261" s="11">
        <f>IF($AB261="","",IF(INDEX(기본자료!$G$2:$G$1001,$AB261)="","",IF(NOT(ISNUMBER(INDEX(기본자료!$G$2:$G$1001,$AB261))),INDEX(기본자료!$G$2:$G$1001,$AB261),IF(INDEX(기본자료!$G$2:$G$1001,$AB261)&lt;1000000,INDEX(기본자료!$G$2:$G$1001,$AB261),IF(AND(INDEX(기본자료!$G$2:$G$1001,$AB261)&gt;=10000101,INT(MOD(INDEX(기본자료!$G$2:$G$1001,$AB261),10000)/100)&gt;=1,INT(MOD(INDEX(기본자료!$G$2:$G$1001,$AB261),10000)/100)&lt;=12,MOD(INDEX(기본자료!$G$2:$G$1001,$AB261),100)&gt;=1,MOD(INDEX(기본자료!$G$2:$G$1001,$AB261),100)&lt;=31),DATE(INT(INDEX(기본자료!$G$2:$G$1001,$AB261)/10000),INT(MOD(INDEX(기본자료!$G$2:$G$1001,$AB261),10000)/100),MOD(INDEX(기본자료!$G$2:$G$1001,$AB261),100)),INDEX(기본자료!$G$2:$G$1001,$AB261)&amp;"")))))</f>
        <v/>
      </c>
      <c r="J261" s="10">
        <f>IF($AB261="","",IF(INDEX(기본자료!$H$2:$H$1001,$AB261)="","",INDEX(기본자료!$H$2:$H$1001,$AB261)))</f>
        <v/>
      </c>
      <c r="K261" s="10">
        <f>IF($AB261="","",IF(INDEX(기본자료!$I$2:$I$1001,$AB261)="","",INDEX(기본자료!$I$2:$I$1001,$AB261)))</f>
        <v/>
      </c>
      <c r="L261" s="10">
        <f>IF($AB261="","",IF(INDEX(기본자료!$A$2:$A$1001,$AB261)="","",INDEX(기본자료!$A$2:$A$1001,$AB261)))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파견수련계획!$AB$4:$AB$803,$AK261),OR(NOT(ISNUMBER(INDEX(파견수련계획!$AC$4:$AC$803,$AK261))),TODAY()&lt;=INDEX(파견수련계획!$AC$4:$AC$803,$AK261))),"다기관",IF($AF261="","",INDEX(파견수련계획!$T$4:$T$803,$AF261))),IF($AF261="","",INDEX(파견수련계획!$T$4:$T$803,$AF261))))</f>
        <v/>
      </c>
      <c r="Q261" s="10">
        <f>IF($AF261="","",INDEX(파견수련계획!$S$4:$S$803,$AF261))</f>
        <v/>
      </c>
      <c r="R261" s="10">
        <f>IF($AF261="","",INDEX(파견수련계획!$U$4:$U$803,$AF261))</f>
        <v/>
      </c>
      <c r="S261" s="11">
        <f>IF($AF261="","",IF(INDEX(파견수련계획!$H$4:$H$803,$AF261)="","",INDEX(파견수련계획!$H$4:$H$803,$AF261)))</f>
        <v/>
      </c>
      <c r="T261" s="11">
        <f>IF($AF261="","",IF(INDEX(파견수련계획!$I$4:$I$803,$AF261)="","",INDEX(파견수련계획!$I$4:$I$803,$AF261)))</f>
        <v/>
      </c>
      <c r="U261" s="10">
        <f>IF($AF261="","",INDEX(파견수련계획!$X$4:$X$803,$AF261))</f>
        <v/>
      </c>
      <c r="V261" s="17">
        <f>IF($AF261="","",INDEX(파견수련계획!$V$4:$V$803,$AF261))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IF(OR($B261="",TRIM($J261&amp;"")=""),"",SUMPRODUCT((파견수련계획!$Q$4:$Q$803=TRIM($J261&amp;""))*파견수련계획!$W$4:$W$803))</f>
        <v/>
      </c>
      <c r="Y261" s="10">
        <f>IF($B261="","",IF($AG261="","",IF(IF(TRIM($J261&amp;"")="",0,SUMPRODUCT((파견수련계획!$Q$4:$Q$803=TRIM($J261&amp;""))*파견수련계획!$AD$4:$AD$803))&gt;0,$AE261,IF(N($X261)&lt;=0,$AG261,IF($AH261+$AI261=DAY(EOMONTH(요약!$B$3,0)),IF(AND($AH261&gt;=요약!$E$3,$AI261&lt;요약!$E$3),"서울병원",IF(AND($AI261&gt;=요약!$E$3,$AH261&lt;요약!$E$3),"구리병원","⚠15일 판정불가(서울 "&amp;$AH261&amp;"일/구리 "&amp;$AI261&amp;"일)")),IF($AJ261="",$AE261,IF(INDEX(파견수련계획!$T$4:$T$803,$AJ261)="통합수련",INDEX(파견수련계획!$S$4:$S$803,$AJ261),$AE261)))))))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입력",IF(IF(TRIM($J261&amp;"")="",0,SUMPRODUCT((파견수련계획!$Q$4:$Q$803=TRIM($J261&amp;""))*(파견수련계획!$AA$4:$AA$803&lt;&gt;"")))&gt;0,"파견수련계획 입력오류 확인",IF(LEFT($Y261,1)="⚠","서울·구리 15일 판정 불가(양쪽 모두 이상/미만)",IF(IF($AC261="",0,N(INDEX(인턴근무계획!$T$3:$T$402,$AC261)))&gt;0,"인턴계획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IF($B261="","",IFERROR(MATCH($B261,기본자료!$B$2:$B$1001,0),IFERROR(MATCH($B261&amp;"",기본자료!$B$2:$B$1001,0),IFERROR(MATCH(VALUE($B261),기본자료!$B$2:$B$1001,0),""))))</f>
        <v/>
      </c>
      <c r="AC261" s="10">
        <f>IF($B261="","",IFERROR(MATCH($B261,인턴근무계획!$D$3:$D$402,0),IFERROR(MATCH($B261&amp;"",인턴근무계획!$D$3:$D$402,0),IFERROR(MATCH(VALUE($B261),인턴근무계획!$D$3:$D$402,0),""))))</f>
        <v/>
      </c>
      <c r="AD261" s="10">
        <f>IF(OR($AC261="",인턴현황!$G$3=""),"",INDEX(인턴근무계획!$M$3:$R$402,$AC261,인턴현황!$G$3)&amp;"")</f>
        <v/>
      </c>
      <c r="AE261" s="10">
        <f>IF($B261="","",IF($M261&lt;&gt;"",$M261,IF($AF261&lt;&gt;"",IF(LEFT(INDEX(파견수련계획!$R$4:$R$803,$AF261),1)&lt;&gt;"⚠",INDEX(파견수련계획!$R$4:$R$803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파견수련계획!$Y$4:$Y$803,0),IFERROR(MATCH(TRIM($J261&amp;"")&amp;"|파견예정",파견수련계획!$Y$4:$Y$803,0),IFERROR(MATCH(TRIM($J261&amp;"")&amp;"|파견종료",파견수련계획!$Y$4:$Y$803,0),""))))</f>
        <v/>
      </c>
      <c r="AG261" s="10">
        <f>IF($B261="","",IF(AND(IF(OR($AC261="",인턴현황!$K$2=""),"",INDEX(인턴근무계획!$M$3:$R$402,$AC261,인턴현황!$K$2)&amp;"")&lt;&gt;"",LEFT(IF(OR($AC261="",인턴현황!$K$2=""),"",INDEX(인턴근무계획!$M$3:$R$402,$AC261,인턴현황!$K$2)&amp;""),1)&lt;&gt;"⚠"),LEFT(IF(OR($AC261="",인턴현황!$K$2=""),"",INDEX(인턴근무계획!$M$3:$R$402,$AC261,인턴현황!$K$2)&amp;""),FIND(" ",IF(OR($AC261="",인턴현황!$K$2=""),"",INDEX(인턴근무계획!$M$3:$R$402,$AC261,인턴현황!$K$2)&amp;""))-1),$AE261))</f>
        <v/>
      </c>
      <c r="AH261" s="17">
        <f>IF($B261="","",IF(TRIM($J261&amp;"")="",0,SUMPRODUCT((파견수련계획!$Q$4:$Q$803=TRIM($J261&amp;""))*(파견수련계획!$S$4:$S$803="서울병원")*파견수련계획!$W$4:$W$803))+IF($AG261="서울병원",MAX(0,DAY(EOMONTH(요약!$B$3,0))-N($X261)),0))</f>
        <v/>
      </c>
      <c r="AI261" s="17">
        <f>IF($B261="","",IF(TRIM($J261&amp;"")="",0,SUMPRODUCT((파견수련계획!$Q$4:$Q$803=TRIM($J261&amp;""))*(파견수련계획!$S$4:$S$803="구리병원")*파견수련계획!$W$4:$W$803))+IF($AG261="구리병원",MAX(0,DAY(EOMONTH(요약!$B$3,0))-N($X261)),0))</f>
        <v/>
      </c>
      <c r="AJ261" s="10">
        <f>IF(OR($B261="",TRIM($J261&amp;"")=""),"",IFERROR(MATCH(TRIM($J261&amp;"")&amp;"|월",파견수련계획!$Z$4:$Z$803,0),""))</f>
        <v/>
      </c>
      <c r="AK261" s="10">
        <f>IF(OR($B261="",TRIM($J261&amp;"")=""),"",IFERROR(MATCH(TRIM($J261&amp;"")&amp;"|다기관",파견수련계획!$AE$4:$AE$803,0),""))</f>
        <v/>
      </c>
      <c r="AL261" s="10">
        <f>IF($AK261="","","다기관 "&amp;TEXT(INDEX(파견수련계획!$AB$4:$AB$803,$AK261),"yyyy-mm-dd")&amp;"~"&amp;IF(ISNUMBER(INDEX(파견수련계획!$AC$4:$AC$803,$AK261)),TEXT(INDEX(파견수련계획!$AC$4:$AC$803,$AK261),"yyyy-mm-dd"),""))</f>
        <v/>
      </c>
    </row>
    <row r="262">
      <c r="A262" s="10">
        <f>IF(B262="","",ROW()-1)</f>
        <v/>
      </c>
      <c r="B262" s="18" t="n"/>
      <c r="C262" s="10">
        <f>IF($AB262="","",IF(INDEX(기본자료!$C$2:$C$1001,$AB262)="","",INDEX(기본자료!$C$2:$C$1001,$AB262)))</f>
        <v/>
      </c>
      <c r="D262" s="10">
        <f>IF($AB262="","",IF(INDEX(기본자료!$J$2:$J$1001,$AB262)="","",INDEX(기본자료!$J$2:$J$1001,$AB262)))</f>
        <v/>
      </c>
      <c r="E262" s="11">
        <f>IF($AB262="","",IF(INDEX(기본자료!$K$2:$K$1001,$AB262)="","",IF(NOT(ISNUMBER(INDEX(기본자료!$K$2:$K$1001,$AB262))),INDEX(기본자료!$K$2:$K$1001,$AB262),IF(INDEX(기본자료!$K$2:$K$1001,$AB262)&lt;1000000,INDEX(기본자료!$K$2:$K$1001,$AB262),IF(AND(INDEX(기본자료!$K$2:$K$1001,$AB262)&gt;=10000101,INT(MOD(INDEX(기본자료!$K$2:$K$1001,$AB262),10000)/100)&gt;=1,INT(MOD(INDEX(기본자료!$K$2:$K$1001,$AB262),10000)/100)&lt;=12,MOD(INDEX(기본자료!$K$2:$K$1001,$AB262),100)&gt;=1,MOD(INDEX(기본자료!$K$2:$K$1001,$AB262),100)&lt;=31),DATE(INT(INDEX(기본자료!$K$2:$K$1001,$AB262)/10000),INT(MOD(INDEX(기본자료!$K$2:$K$1001,$AB262),10000)/100),MOD(INDEX(기본자료!$K$2:$K$1001,$AB262),100)),INDEX(기본자료!$K$2:$K$1001,$AB262)&amp;"")))))</f>
        <v/>
      </c>
      <c r="F262" s="10">
        <f>IF($AB262="","",IF(INDEX(기본자료!$D$2:$D$1001,$AB262)="","",INDEX(기본자료!$D$2:$D$1001,$AB262)))</f>
        <v/>
      </c>
      <c r="G262" s="10">
        <f>IF($AB262="","",IF(INDEX(기본자료!$E$2:$E$1001,$AB262)="","",INDEX(기본자료!$E$2:$E$1001,$AB262)))</f>
        <v/>
      </c>
      <c r="H262" s="10">
        <f>IF($AB262="","",IF(INDEX(기본자료!$F$2:$F$1001,$AB262)="","",INDEX(기본자료!$F$2:$F$1001,$AB262)))</f>
        <v/>
      </c>
      <c r="I262" s="11">
        <f>IF($AB262="","",IF(INDEX(기본자료!$G$2:$G$1001,$AB262)="","",IF(NOT(ISNUMBER(INDEX(기본자료!$G$2:$G$1001,$AB262))),INDEX(기본자료!$G$2:$G$1001,$AB262),IF(INDEX(기본자료!$G$2:$G$1001,$AB262)&lt;1000000,INDEX(기본자료!$G$2:$G$1001,$AB262),IF(AND(INDEX(기본자료!$G$2:$G$1001,$AB262)&gt;=10000101,INT(MOD(INDEX(기본자료!$G$2:$G$1001,$AB262),10000)/100)&gt;=1,INT(MOD(INDEX(기본자료!$G$2:$G$1001,$AB262),10000)/100)&lt;=12,MOD(INDEX(기본자료!$G$2:$G$1001,$AB262),100)&gt;=1,MOD(INDEX(기본자료!$G$2:$G$1001,$AB262),100)&lt;=31),DATE(INT(INDEX(기본자료!$G$2:$G$1001,$AB262)/10000),INT(MOD(INDEX(기본자료!$G$2:$G$1001,$AB262),10000)/100),MOD(INDEX(기본자료!$G$2:$G$1001,$AB262),100)),INDEX(기본자료!$G$2:$G$1001,$AB262)&amp;"")))))</f>
        <v/>
      </c>
      <c r="J262" s="10">
        <f>IF($AB262="","",IF(INDEX(기본자료!$H$2:$H$1001,$AB262)="","",INDEX(기본자료!$H$2:$H$1001,$AB262)))</f>
        <v/>
      </c>
      <c r="K262" s="10">
        <f>IF($AB262="","",IF(INDEX(기본자료!$I$2:$I$1001,$AB262)="","",INDEX(기본자료!$I$2:$I$1001,$AB262)))</f>
        <v/>
      </c>
      <c r="L262" s="10">
        <f>IF($AB262="","",IF(INDEX(기본자료!$A$2:$A$1001,$AB262)="","",INDEX(기본자료!$A$2:$A$1001,$AB262)))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파견수련계획!$AB$4:$AB$803,$AK262),OR(NOT(ISNUMBER(INDEX(파견수련계획!$AC$4:$AC$803,$AK262))),TODAY()&lt;=INDEX(파견수련계획!$AC$4:$AC$803,$AK262))),"다기관",IF($AF262="","",INDEX(파견수련계획!$T$4:$T$803,$AF262))),IF($AF262="","",INDEX(파견수련계획!$T$4:$T$803,$AF262))))</f>
        <v/>
      </c>
      <c r="Q262" s="10">
        <f>IF($AF262="","",INDEX(파견수련계획!$S$4:$S$803,$AF262))</f>
        <v/>
      </c>
      <c r="R262" s="10">
        <f>IF($AF262="","",INDEX(파견수련계획!$U$4:$U$803,$AF262))</f>
        <v/>
      </c>
      <c r="S262" s="11">
        <f>IF($AF262="","",IF(INDEX(파견수련계획!$H$4:$H$803,$AF262)="","",INDEX(파견수련계획!$H$4:$H$803,$AF262)))</f>
        <v/>
      </c>
      <c r="T262" s="11">
        <f>IF($AF262="","",IF(INDEX(파견수련계획!$I$4:$I$803,$AF262)="","",INDEX(파견수련계획!$I$4:$I$803,$AF262)))</f>
        <v/>
      </c>
      <c r="U262" s="10">
        <f>IF($AF262="","",INDEX(파견수련계획!$X$4:$X$803,$AF262))</f>
        <v/>
      </c>
      <c r="V262" s="17">
        <f>IF($AF262="","",INDEX(파견수련계획!$V$4:$V$803,$AF262))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IF(OR($B262="",TRIM($J262&amp;"")=""),"",SUMPRODUCT((파견수련계획!$Q$4:$Q$803=TRIM($J262&amp;""))*파견수련계획!$W$4:$W$803))</f>
        <v/>
      </c>
      <c r="Y262" s="10">
        <f>IF($B262="","",IF($AG262="","",IF(IF(TRIM($J262&amp;"")="",0,SUMPRODUCT((파견수련계획!$Q$4:$Q$803=TRIM($J262&amp;""))*파견수련계획!$AD$4:$AD$803))&gt;0,$AE262,IF(N($X262)&lt;=0,$AG262,IF($AH262+$AI262=DAY(EOMONTH(요약!$B$3,0)),IF(AND($AH262&gt;=요약!$E$3,$AI262&lt;요약!$E$3),"서울병원",IF(AND($AI262&gt;=요약!$E$3,$AH262&lt;요약!$E$3),"구리병원","⚠15일 판정불가(서울 "&amp;$AH262&amp;"일/구리 "&amp;$AI262&amp;"일)")),IF($AJ262="",$AE262,IF(INDEX(파견수련계획!$T$4:$T$803,$AJ262)="통합수련",INDEX(파견수련계획!$S$4:$S$803,$AJ262),$AE262)))))))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입력",IF(IF(TRIM($J262&amp;"")="",0,SUMPRODUCT((파견수련계획!$Q$4:$Q$803=TRIM($J262&amp;""))*(파견수련계획!$AA$4:$AA$803&lt;&gt;"")))&gt;0,"파견수련계획 입력오류 확인",IF(LEFT($Y262,1)="⚠","서울·구리 15일 판정 불가(양쪽 모두 이상/미만)",IF(IF($AC262="",0,N(INDEX(인턴근무계획!$T$3:$T$402,$AC262)))&gt;0,"인턴계획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IF($B262="","",IFERROR(MATCH($B262,기본자료!$B$2:$B$1001,0),IFERROR(MATCH($B262&amp;"",기본자료!$B$2:$B$1001,0),IFERROR(MATCH(VALUE($B262),기본자료!$B$2:$B$1001,0),""))))</f>
        <v/>
      </c>
      <c r="AC262" s="10">
        <f>IF($B262="","",IFERROR(MATCH($B262,인턴근무계획!$D$3:$D$402,0),IFERROR(MATCH($B262&amp;"",인턴근무계획!$D$3:$D$402,0),IFERROR(MATCH(VALUE($B262),인턴근무계획!$D$3:$D$402,0),""))))</f>
        <v/>
      </c>
      <c r="AD262" s="10">
        <f>IF(OR($AC262="",인턴현황!$G$3=""),"",INDEX(인턴근무계획!$M$3:$R$402,$AC262,인턴현황!$G$3)&amp;"")</f>
        <v/>
      </c>
      <c r="AE262" s="10">
        <f>IF($B262="","",IF($M262&lt;&gt;"",$M262,IF($AF262&lt;&gt;"",IF(LEFT(INDEX(파견수련계획!$R$4:$R$803,$AF262),1)&lt;&gt;"⚠",INDEX(파견수련계획!$R$4:$R$803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파견수련계획!$Y$4:$Y$803,0),IFERROR(MATCH(TRIM($J262&amp;"")&amp;"|파견예정",파견수련계획!$Y$4:$Y$803,0),IFERROR(MATCH(TRIM($J262&amp;"")&amp;"|파견종료",파견수련계획!$Y$4:$Y$803,0),""))))</f>
        <v/>
      </c>
      <c r="AG262" s="10">
        <f>IF($B262="","",IF(AND(IF(OR($AC262="",인턴현황!$K$2=""),"",INDEX(인턴근무계획!$M$3:$R$402,$AC262,인턴현황!$K$2)&amp;"")&lt;&gt;"",LEFT(IF(OR($AC262="",인턴현황!$K$2=""),"",INDEX(인턴근무계획!$M$3:$R$402,$AC262,인턴현황!$K$2)&amp;""),1)&lt;&gt;"⚠"),LEFT(IF(OR($AC262="",인턴현황!$K$2=""),"",INDEX(인턴근무계획!$M$3:$R$402,$AC262,인턴현황!$K$2)&amp;""),FIND(" ",IF(OR($AC262="",인턴현황!$K$2=""),"",INDEX(인턴근무계획!$M$3:$R$402,$AC262,인턴현황!$K$2)&amp;""))-1),$AE262))</f>
        <v/>
      </c>
      <c r="AH262" s="17">
        <f>IF($B262="","",IF(TRIM($J262&amp;"")="",0,SUMPRODUCT((파견수련계획!$Q$4:$Q$803=TRIM($J262&amp;""))*(파견수련계획!$S$4:$S$803="서울병원")*파견수련계획!$W$4:$W$803))+IF($AG262="서울병원",MAX(0,DAY(EOMONTH(요약!$B$3,0))-N($X262)),0))</f>
        <v/>
      </c>
      <c r="AI262" s="17">
        <f>IF($B262="","",IF(TRIM($J262&amp;"")="",0,SUMPRODUCT((파견수련계획!$Q$4:$Q$803=TRIM($J262&amp;""))*(파견수련계획!$S$4:$S$803="구리병원")*파견수련계획!$W$4:$W$803))+IF($AG262="구리병원",MAX(0,DAY(EOMONTH(요약!$B$3,0))-N($X262)),0))</f>
        <v/>
      </c>
      <c r="AJ262" s="10">
        <f>IF(OR($B262="",TRIM($J262&amp;"")=""),"",IFERROR(MATCH(TRIM($J262&amp;"")&amp;"|월",파견수련계획!$Z$4:$Z$803,0),""))</f>
        <v/>
      </c>
      <c r="AK262" s="10">
        <f>IF(OR($B262="",TRIM($J262&amp;"")=""),"",IFERROR(MATCH(TRIM($J262&amp;"")&amp;"|다기관",파견수련계획!$AE$4:$AE$803,0),""))</f>
        <v/>
      </c>
      <c r="AL262" s="10">
        <f>IF($AK262="","","다기관 "&amp;TEXT(INDEX(파견수련계획!$AB$4:$AB$803,$AK262),"yyyy-mm-dd")&amp;"~"&amp;IF(ISNUMBER(INDEX(파견수련계획!$AC$4:$AC$803,$AK262)),TEXT(INDEX(파견수련계획!$AC$4:$AC$803,$AK262),"yyyy-mm-dd"),""))</f>
        <v/>
      </c>
    </row>
    <row r="263">
      <c r="A263" s="10">
        <f>IF(B263="","",ROW()-1)</f>
        <v/>
      </c>
      <c r="B263" s="18" t="n"/>
      <c r="C263" s="10">
        <f>IF($AB263="","",IF(INDEX(기본자료!$C$2:$C$1001,$AB263)="","",INDEX(기본자료!$C$2:$C$1001,$AB263)))</f>
        <v/>
      </c>
      <c r="D263" s="10">
        <f>IF($AB263="","",IF(INDEX(기본자료!$J$2:$J$1001,$AB263)="","",INDEX(기본자료!$J$2:$J$1001,$AB263)))</f>
        <v/>
      </c>
      <c r="E263" s="11">
        <f>IF($AB263="","",IF(INDEX(기본자료!$K$2:$K$1001,$AB263)="","",IF(NOT(ISNUMBER(INDEX(기본자료!$K$2:$K$1001,$AB263))),INDEX(기본자료!$K$2:$K$1001,$AB263),IF(INDEX(기본자료!$K$2:$K$1001,$AB263)&lt;1000000,INDEX(기본자료!$K$2:$K$1001,$AB263),IF(AND(INDEX(기본자료!$K$2:$K$1001,$AB263)&gt;=10000101,INT(MOD(INDEX(기본자료!$K$2:$K$1001,$AB263),10000)/100)&gt;=1,INT(MOD(INDEX(기본자료!$K$2:$K$1001,$AB263),10000)/100)&lt;=12,MOD(INDEX(기본자료!$K$2:$K$1001,$AB263),100)&gt;=1,MOD(INDEX(기본자료!$K$2:$K$1001,$AB263),100)&lt;=31),DATE(INT(INDEX(기본자료!$K$2:$K$1001,$AB263)/10000),INT(MOD(INDEX(기본자료!$K$2:$K$1001,$AB263),10000)/100),MOD(INDEX(기본자료!$K$2:$K$1001,$AB263),100)),INDEX(기본자료!$K$2:$K$1001,$AB263)&amp;"")))))</f>
        <v/>
      </c>
      <c r="F263" s="10">
        <f>IF($AB263="","",IF(INDEX(기본자료!$D$2:$D$1001,$AB263)="","",INDEX(기본자료!$D$2:$D$1001,$AB263)))</f>
        <v/>
      </c>
      <c r="G263" s="10">
        <f>IF($AB263="","",IF(INDEX(기본자료!$E$2:$E$1001,$AB263)="","",INDEX(기본자료!$E$2:$E$1001,$AB263)))</f>
        <v/>
      </c>
      <c r="H263" s="10">
        <f>IF($AB263="","",IF(INDEX(기본자료!$F$2:$F$1001,$AB263)="","",INDEX(기본자료!$F$2:$F$1001,$AB263)))</f>
        <v/>
      </c>
      <c r="I263" s="11">
        <f>IF($AB263="","",IF(INDEX(기본자료!$G$2:$G$1001,$AB263)="","",IF(NOT(ISNUMBER(INDEX(기본자료!$G$2:$G$1001,$AB263))),INDEX(기본자료!$G$2:$G$1001,$AB263),IF(INDEX(기본자료!$G$2:$G$1001,$AB263)&lt;1000000,INDEX(기본자료!$G$2:$G$1001,$AB263),IF(AND(INDEX(기본자료!$G$2:$G$1001,$AB263)&gt;=10000101,INT(MOD(INDEX(기본자료!$G$2:$G$1001,$AB263),10000)/100)&gt;=1,INT(MOD(INDEX(기본자료!$G$2:$G$1001,$AB263),10000)/100)&lt;=12,MOD(INDEX(기본자료!$G$2:$G$1001,$AB263),100)&gt;=1,MOD(INDEX(기본자료!$G$2:$G$1001,$AB263),100)&lt;=31),DATE(INT(INDEX(기본자료!$G$2:$G$1001,$AB263)/10000),INT(MOD(INDEX(기본자료!$G$2:$G$1001,$AB263),10000)/100),MOD(INDEX(기본자료!$G$2:$G$1001,$AB263),100)),INDEX(기본자료!$G$2:$G$1001,$AB263)&amp;"")))))</f>
        <v/>
      </c>
      <c r="J263" s="10">
        <f>IF($AB263="","",IF(INDEX(기본자료!$H$2:$H$1001,$AB263)="","",INDEX(기본자료!$H$2:$H$1001,$AB263)))</f>
        <v/>
      </c>
      <c r="K263" s="10">
        <f>IF($AB263="","",IF(INDEX(기본자료!$I$2:$I$1001,$AB263)="","",INDEX(기본자료!$I$2:$I$1001,$AB263)))</f>
        <v/>
      </c>
      <c r="L263" s="10">
        <f>IF($AB263="","",IF(INDEX(기본자료!$A$2:$A$1001,$AB263)="","",INDEX(기본자료!$A$2:$A$1001,$AB263)))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파견수련계획!$AB$4:$AB$803,$AK263),OR(NOT(ISNUMBER(INDEX(파견수련계획!$AC$4:$AC$803,$AK263))),TODAY()&lt;=INDEX(파견수련계획!$AC$4:$AC$803,$AK263))),"다기관",IF($AF263="","",INDEX(파견수련계획!$T$4:$T$803,$AF263))),IF($AF263="","",INDEX(파견수련계획!$T$4:$T$803,$AF263))))</f>
        <v/>
      </c>
      <c r="Q263" s="10">
        <f>IF($AF263="","",INDEX(파견수련계획!$S$4:$S$803,$AF263))</f>
        <v/>
      </c>
      <c r="R263" s="10">
        <f>IF($AF263="","",INDEX(파견수련계획!$U$4:$U$803,$AF263))</f>
        <v/>
      </c>
      <c r="S263" s="11">
        <f>IF($AF263="","",IF(INDEX(파견수련계획!$H$4:$H$803,$AF263)="","",INDEX(파견수련계획!$H$4:$H$803,$AF263)))</f>
        <v/>
      </c>
      <c r="T263" s="11">
        <f>IF($AF263="","",IF(INDEX(파견수련계획!$I$4:$I$803,$AF263)="","",INDEX(파견수련계획!$I$4:$I$803,$AF263)))</f>
        <v/>
      </c>
      <c r="U263" s="10">
        <f>IF($AF263="","",INDEX(파견수련계획!$X$4:$X$803,$AF263))</f>
        <v/>
      </c>
      <c r="V263" s="17">
        <f>IF($AF263="","",INDEX(파견수련계획!$V$4:$V$803,$AF263))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IF(OR($B263="",TRIM($J263&amp;"")=""),"",SUMPRODUCT((파견수련계획!$Q$4:$Q$803=TRIM($J263&amp;""))*파견수련계획!$W$4:$W$803))</f>
        <v/>
      </c>
      <c r="Y263" s="10">
        <f>IF($B263="","",IF($AG263="","",IF(IF(TRIM($J263&amp;"")="",0,SUMPRODUCT((파견수련계획!$Q$4:$Q$803=TRIM($J263&amp;""))*파견수련계획!$AD$4:$AD$803))&gt;0,$AE263,IF(N($X263)&lt;=0,$AG263,IF($AH263+$AI263=DAY(EOMONTH(요약!$B$3,0)),IF(AND($AH263&gt;=요약!$E$3,$AI263&lt;요약!$E$3),"서울병원",IF(AND($AI263&gt;=요약!$E$3,$AH263&lt;요약!$E$3),"구리병원","⚠15일 판정불가(서울 "&amp;$AH263&amp;"일/구리 "&amp;$AI263&amp;"일)")),IF($AJ263="",$AE263,IF(INDEX(파견수련계획!$T$4:$T$803,$AJ263)="통합수련",INDEX(파견수련계획!$S$4:$S$803,$AJ263),$AE263)))))))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입력",IF(IF(TRIM($J263&amp;"")="",0,SUMPRODUCT((파견수련계획!$Q$4:$Q$803=TRIM($J263&amp;""))*(파견수련계획!$AA$4:$AA$803&lt;&gt;"")))&gt;0,"파견수련계획 입력오류 확인",IF(LEFT($Y263,1)="⚠","서울·구리 15일 판정 불가(양쪽 모두 이상/미만)",IF(IF($AC263="",0,N(INDEX(인턴근무계획!$T$3:$T$402,$AC263)))&gt;0,"인턴계획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IF($B263="","",IFERROR(MATCH($B263,기본자료!$B$2:$B$1001,0),IFERROR(MATCH($B263&amp;"",기본자료!$B$2:$B$1001,0),IFERROR(MATCH(VALUE($B263),기본자료!$B$2:$B$1001,0),""))))</f>
        <v/>
      </c>
      <c r="AC263" s="10">
        <f>IF($B263="","",IFERROR(MATCH($B263,인턴근무계획!$D$3:$D$402,0),IFERROR(MATCH($B263&amp;"",인턴근무계획!$D$3:$D$402,0),IFERROR(MATCH(VALUE($B263),인턴근무계획!$D$3:$D$402,0),""))))</f>
        <v/>
      </c>
      <c r="AD263" s="10">
        <f>IF(OR($AC263="",인턴현황!$G$3=""),"",INDEX(인턴근무계획!$M$3:$R$402,$AC263,인턴현황!$G$3)&amp;"")</f>
        <v/>
      </c>
      <c r="AE263" s="10">
        <f>IF($B263="","",IF($M263&lt;&gt;"",$M263,IF($AF263&lt;&gt;"",IF(LEFT(INDEX(파견수련계획!$R$4:$R$803,$AF263),1)&lt;&gt;"⚠",INDEX(파견수련계획!$R$4:$R$803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파견수련계획!$Y$4:$Y$803,0),IFERROR(MATCH(TRIM($J263&amp;"")&amp;"|파견예정",파견수련계획!$Y$4:$Y$803,0),IFERROR(MATCH(TRIM($J263&amp;"")&amp;"|파견종료",파견수련계획!$Y$4:$Y$803,0),""))))</f>
        <v/>
      </c>
      <c r="AG263" s="10">
        <f>IF($B263="","",IF(AND(IF(OR($AC263="",인턴현황!$K$2=""),"",INDEX(인턴근무계획!$M$3:$R$402,$AC263,인턴현황!$K$2)&amp;"")&lt;&gt;"",LEFT(IF(OR($AC263="",인턴현황!$K$2=""),"",INDEX(인턴근무계획!$M$3:$R$402,$AC263,인턴현황!$K$2)&amp;""),1)&lt;&gt;"⚠"),LEFT(IF(OR($AC263="",인턴현황!$K$2=""),"",INDEX(인턴근무계획!$M$3:$R$402,$AC263,인턴현황!$K$2)&amp;""),FIND(" ",IF(OR($AC263="",인턴현황!$K$2=""),"",INDEX(인턴근무계획!$M$3:$R$402,$AC263,인턴현황!$K$2)&amp;""))-1),$AE263))</f>
        <v/>
      </c>
      <c r="AH263" s="17">
        <f>IF($B263="","",IF(TRIM($J263&amp;"")="",0,SUMPRODUCT((파견수련계획!$Q$4:$Q$803=TRIM($J263&amp;""))*(파견수련계획!$S$4:$S$803="서울병원")*파견수련계획!$W$4:$W$803))+IF($AG263="서울병원",MAX(0,DAY(EOMONTH(요약!$B$3,0))-N($X263)),0))</f>
        <v/>
      </c>
      <c r="AI263" s="17">
        <f>IF($B263="","",IF(TRIM($J263&amp;"")="",0,SUMPRODUCT((파견수련계획!$Q$4:$Q$803=TRIM($J263&amp;""))*(파견수련계획!$S$4:$S$803="구리병원")*파견수련계획!$W$4:$W$803))+IF($AG263="구리병원",MAX(0,DAY(EOMONTH(요약!$B$3,0))-N($X263)),0))</f>
        <v/>
      </c>
      <c r="AJ263" s="10">
        <f>IF(OR($B263="",TRIM($J263&amp;"")=""),"",IFERROR(MATCH(TRIM($J263&amp;"")&amp;"|월",파견수련계획!$Z$4:$Z$803,0),""))</f>
        <v/>
      </c>
      <c r="AK263" s="10">
        <f>IF(OR($B263="",TRIM($J263&amp;"")=""),"",IFERROR(MATCH(TRIM($J263&amp;"")&amp;"|다기관",파견수련계획!$AE$4:$AE$803,0),""))</f>
        <v/>
      </c>
      <c r="AL263" s="10">
        <f>IF($AK263="","","다기관 "&amp;TEXT(INDEX(파견수련계획!$AB$4:$AB$803,$AK263),"yyyy-mm-dd")&amp;"~"&amp;IF(ISNUMBER(INDEX(파견수련계획!$AC$4:$AC$803,$AK263)),TEXT(INDEX(파견수련계획!$AC$4:$AC$803,$AK263),"yyyy-mm-dd"),""))</f>
        <v/>
      </c>
    </row>
    <row r="264">
      <c r="A264" s="10">
        <f>IF(B264="","",ROW()-1)</f>
        <v/>
      </c>
      <c r="B264" s="18" t="n"/>
      <c r="C264" s="10">
        <f>IF($AB264="","",IF(INDEX(기본자료!$C$2:$C$1001,$AB264)="","",INDEX(기본자료!$C$2:$C$1001,$AB264)))</f>
        <v/>
      </c>
      <c r="D264" s="10">
        <f>IF($AB264="","",IF(INDEX(기본자료!$J$2:$J$1001,$AB264)="","",INDEX(기본자료!$J$2:$J$1001,$AB264)))</f>
        <v/>
      </c>
      <c r="E264" s="11">
        <f>IF($AB264="","",IF(INDEX(기본자료!$K$2:$K$1001,$AB264)="","",IF(NOT(ISNUMBER(INDEX(기본자료!$K$2:$K$1001,$AB264))),INDEX(기본자료!$K$2:$K$1001,$AB264),IF(INDEX(기본자료!$K$2:$K$1001,$AB264)&lt;1000000,INDEX(기본자료!$K$2:$K$1001,$AB264),IF(AND(INDEX(기본자료!$K$2:$K$1001,$AB264)&gt;=10000101,INT(MOD(INDEX(기본자료!$K$2:$K$1001,$AB264),10000)/100)&gt;=1,INT(MOD(INDEX(기본자료!$K$2:$K$1001,$AB264),10000)/100)&lt;=12,MOD(INDEX(기본자료!$K$2:$K$1001,$AB264),100)&gt;=1,MOD(INDEX(기본자료!$K$2:$K$1001,$AB264),100)&lt;=31),DATE(INT(INDEX(기본자료!$K$2:$K$1001,$AB264)/10000),INT(MOD(INDEX(기본자료!$K$2:$K$1001,$AB264),10000)/100),MOD(INDEX(기본자료!$K$2:$K$1001,$AB264),100)),INDEX(기본자료!$K$2:$K$1001,$AB264)&amp;"")))))</f>
        <v/>
      </c>
      <c r="F264" s="10">
        <f>IF($AB264="","",IF(INDEX(기본자료!$D$2:$D$1001,$AB264)="","",INDEX(기본자료!$D$2:$D$1001,$AB264)))</f>
        <v/>
      </c>
      <c r="G264" s="10">
        <f>IF($AB264="","",IF(INDEX(기본자료!$E$2:$E$1001,$AB264)="","",INDEX(기본자료!$E$2:$E$1001,$AB264)))</f>
        <v/>
      </c>
      <c r="H264" s="10">
        <f>IF($AB264="","",IF(INDEX(기본자료!$F$2:$F$1001,$AB264)="","",INDEX(기본자료!$F$2:$F$1001,$AB264)))</f>
        <v/>
      </c>
      <c r="I264" s="11">
        <f>IF($AB264="","",IF(INDEX(기본자료!$G$2:$G$1001,$AB264)="","",IF(NOT(ISNUMBER(INDEX(기본자료!$G$2:$G$1001,$AB264))),INDEX(기본자료!$G$2:$G$1001,$AB264),IF(INDEX(기본자료!$G$2:$G$1001,$AB264)&lt;1000000,INDEX(기본자료!$G$2:$G$1001,$AB264),IF(AND(INDEX(기본자료!$G$2:$G$1001,$AB264)&gt;=10000101,INT(MOD(INDEX(기본자료!$G$2:$G$1001,$AB264),10000)/100)&gt;=1,INT(MOD(INDEX(기본자료!$G$2:$G$1001,$AB264),10000)/100)&lt;=12,MOD(INDEX(기본자료!$G$2:$G$1001,$AB264),100)&gt;=1,MOD(INDEX(기본자료!$G$2:$G$1001,$AB264),100)&lt;=31),DATE(INT(INDEX(기본자료!$G$2:$G$1001,$AB264)/10000),INT(MOD(INDEX(기본자료!$G$2:$G$1001,$AB264),10000)/100),MOD(INDEX(기본자료!$G$2:$G$1001,$AB264),100)),INDEX(기본자료!$G$2:$G$1001,$AB264)&amp;"")))))</f>
        <v/>
      </c>
      <c r="J264" s="10">
        <f>IF($AB264="","",IF(INDEX(기본자료!$H$2:$H$1001,$AB264)="","",INDEX(기본자료!$H$2:$H$1001,$AB264)))</f>
        <v/>
      </c>
      <c r="K264" s="10">
        <f>IF($AB264="","",IF(INDEX(기본자료!$I$2:$I$1001,$AB264)="","",INDEX(기본자료!$I$2:$I$1001,$AB264)))</f>
        <v/>
      </c>
      <c r="L264" s="10">
        <f>IF($AB264="","",IF(INDEX(기본자료!$A$2:$A$1001,$AB264)="","",INDEX(기본자료!$A$2:$A$1001,$AB264)))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파견수련계획!$AB$4:$AB$803,$AK264),OR(NOT(ISNUMBER(INDEX(파견수련계획!$AC$4:$AC$803,$AK264))),TODAY()&lt;=INDEX(파견수련계획!$AC$4:$AC$803,$AK264))),"다기관",IF($AF264="","",INDEX(파견수련계획!$T$4:$T$803,$AF264))),IF($AF264="","",INDEX(파견수련계획!$T$4:$T$803,$AF264))))</f>
        <v/>
      </c>
      <c r="Q264" s="10">
        <f>IF($AF264="","",INDEX(파견수련계획!$S$4:$S$803,$AF264))</f>
        <v/>
      </c>
      <c r="R264" s="10">
        <f>IF($AF264="","",INDEX(파견수련계획!$U$4:$U$803,$AF264))</f>
        <v/>
      </c>
      <c r="S264" s="11">
        <f>IF($AF264="","",IF(INDEX(파견수련계획!$H$4:$H$803,$AF264)="","",INDEX(파견수련계획!$H$4:$H$803,$AF264)))</f>
        <v/>
      </c>
      <c r="T264" s="11">
        <f>IF($AF264="","",IF(INDEX(파견수련계획!$I$4:$I$803,$AF264)="","",INDEX(파견수련계획!$I$4:$I$803,$AF264)))</f>
        <v/>
      </c>
      <c r="U264" s="10">
        <f>IF($AF264="","",INDEX(파견수련계획!$X$4:$X$803,$AF264))</f>
        <v/>
      </c>
      <c r="V264" s="17">
        <f>IF($AF264="","",INDEX(파견수련계획!$V$4:$V$803,$AF264))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IF(OR($B264="",TRIM($J264&amp;"")=""),"",SUMPRODUCT((파견수련계획!$Q$4:$Q$803=TRIM($J264&amp;""))*파견수련계획!$W$4:$W$803))</f>
        <v/>
      </c>
      <c r="Y264" s="10">
        <f>IF($B264="","",IF($AG264="","",IF(IF(TRIM($J264&amp;"")="",0,SUMPRODUCT((파견수련계획!$Q$4:$Q$803=TRIM($J264&amp;""))*파견수련계획!$AD$4:$AD$803))&gt;0,$AE264,IF(N($X264)&lt;=0,$AG264,IF($AH264+$AI264=DAY(EOMONTH(요약!$B$3,0)),IF(AND($AH264&gt;=요약!$E$3,$AI264&lt;요약!$E$3),"서울병원",IF(AND($AI264&gt;=요약!$E$3,$AH264&lt;요약!$E$3),"구리병원","⚠15일 판정불가(서울 "&amp;$AH264&amp;"일/구리 "&amp;$AI264&amp;"일)")),IF($AJ264="",$AE264,IF(INDEX(파견수련계획!$T$4:$T$803,$AJ264)="통합수련",INDEX(파견수련계획!$S$4:$S$803,$AJ264),$AE264)))))))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입력",IF(IF(TRIM($J264&amp;"")="",0,SUMPRODUCT((파견수련계획!$Q$4:$Q$803=TRIM($J264&amp;""))*(파견수련계획!$AA$4:$AA$803&lt;&gt;"")))&gt;0,"파견수련계획 입력오류 확인",IF(LEFT($Y264,1)="⚠","서울·구리 15일 판정 불가(양쪽 모두 이상/미만)",IF(IF($AC264="",0,N(INDEX(인턴근무계획!$T$3:$T$402,$AC264)))&gt;0,"인턴계획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IF($B264="","",IFERROR(MATCH($B264,기본자료!$B$2:$B$1001,0),IFERROR(MATCH($B264&amp;"",기본자료!$B$2:$B$1001,0),IFERROR(MATCH(VALUE($B264),기본자료!$B$2:$B$1001,0),""))))</f>
        <v/>
      </c>
      <c r="AC264" s="10">
        <f>IF($B264="","",IFERROR(MATCH($B264,인턴근무계획!$D$3:$D$402,0),IFERROR(MATCH($B264&amp;"",인턴근무계획!$D$3:$D$402,0),IFERROR(MATCH(VALUE($B264),인턴근무계획!$D$3:$D$402,0),""))))</f>
        <v/>
      </c>
      <c r="AD264" s="10">
        <f>IF(OR($AC264="",인턴현황!$G$3=""),"",INDEX(인턴근무계획!$M$3:$R$402,$AC264,인턴현황!$G$3)&amp;"")</f>
        <v/>
      </c>
      <c r="AE264" s="10">
        <f>IF($B264="","",IF($M264&lt;&gt;"",$M264,IF($AF264&lt;&gt;"",IF(LEFT(INDEX(파견수련계획!$R$4:$R$803,$AF264),1)&lt;&gt;"⚠",INDEX(파견수련계획!$R$4:$R$803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파견수련계획!$Y$4:$Y$803,0),IFERROR(MATCH(TRIM($J264&amp;"")&amp;"|파견예정",파견수련계획!$Y$4:$Y$803,0),IFERROR(MATCH(TRIM($J264&amp;"")&amp;"|파견종료",파견수련계획!$Y$4:$Y$803,0),""))))</f>
        <v/>
      </c>
      <c r="AG264" s="10">
        <f>IF($B264="","",IF(AND(IF(OR($AC264="",인턴현황!$K$2=""),"",INDEX(인턴근무계획!$M$3:$R$402,$AC264,인턴현황!$K$2)&amp;"")&lt;&gt;"",LEFT(IF(OR($AC264="",인턴현황!$K$2=""),"",INDEX(인턴근무계획!$M$3:$R$402,$AC264,인턴현황!$K$2)&amp;""),1)&lt;&gt;"⚠"),LEFT(IF(OR($AC264="",인턴현황!$K$2=""),"",INDEX(인턴근무계획!$M$3:$R$402,$AC264,인턴현황!$K$2)&amp;""),FIND(" ",IF(OR($AC264="",인턴현황!$K$2=""),"",INDEX(인턴근무계획!$M$3:$R$402,$AC264,인턴현황!$K$2)&amp;""))-1),$AE264))</f>
        <v/>
      </c>
      <c r="AH264" s="17">
        <f>IF($B264="","",IF(TRIM($J264&amp;"")="",0,SUMPRODUCT((파견수련계획!$Q$4:$Q$803=TRIM($J264&amp;""))*(파견수련계획!$S$4:$S$803="서울병원")*파견수련계획!$W$4:$W$803))+IF($AG264="서울병원",MAX(0,DAY(EOMONTH(요약!$B$3,0))-N($X264)),0))</f>
        <v/>
      </c>
      <c r="AI264" s="17">
        <f>IF($B264="","",IF(TRIM($J264&amp;"")="",0,SUMPRODUCT((파견수련계획!$Q$4:$Q$803=TRIM($J264&amp;""))*(파견수련계획!$S$4:$S$803="구리병원")*파견수련계획!$W$4:$W$803))+IF($AG264="구리병원",MAX(0,DAY(EOMONTH(요약!$B$3,0))-N($X264)),0))</f>
        <v/>
      </c>
      <c r="AJ264" s="10">
        <f>IF(OR($B264="",TRIM($J264&amp;"")=""),"",IFERROR(MATCH(TRIM($J264&amp;"")&amp;"|월",파견수련계획!$Z$4:$Z$803,0),""))</f>
        <v/>
      </c>
      <c r="AK264" s="10">
        <f>IF(OR($B264="",TRIM($J264&amp;"")=""),"",IFERROR(MATCH(TRIM($J264&amp;"")&amp;"|다기관",파견수련계획!$AE$4:$AE$803,0),""))</f>
        <v/>
      </c>
      <c r="AL264" s="10">
        <f>IF($AK264="","","다기관 "&amp;TEXT(INDEX(파견수련계획!$AB$4:$AB$803,$AK264),"yyyy-mm-dd")&amp;"~"&amp;IF(ISNUMBER(INDEX(파견수련계획!$AC$4:$AC$803,$AK264)),TEXT(INDEX(파견수련계획!$AC$4:$AC$803,$AK264),"yyyy-mm-dd"),""))</f>
        <v/>
      </c>
    </row>
    <row r="265">
      <c r="A265" s="10">
        <f>IF(B265="","",ROW()-1)</f>
        <v/>
      </c>
      <c r="B265" s="18" t="n"/>
      <c r="C265" s="10">
        <f>IF($AB265="","",IF(INDEX(기본자료!$C$2:$C$1001,$AB265)="","",INDEX(기본자료!$C$2:$C$1001,$AB265)))</f>
        <v/>
      </c>
      <c r="D265" s="10">
        <f>IF($AB265="","",IF(INDEX(기본자료!$J$2:$J$1001,$AB265)="","",INDEX(기본자료!$J$2:$J$1001,$AB265)))</f>
        <v/>
      </c>
      <c r="E265" s="11">
        <f>IF($AB265="","",IF(INDEX(기본자료!$K$2:$K$1001,$AB265)="","",IF(NOT(ISNUMBER(INDEX(기본자료!$K$2:$K$1001,$AB265))),INDEX(기본자료!$K$2:$K$1001,$AB265),IF(INDEX(기본자료!$K$2:$K$1001,$AB265)&lt;1000000,INDEX(기본자료!$K$2:$K$1001,$AB265),IF(AND(INDEX(기본자료!$K$2:$K$1001,$AB265)&gt;=10000101,INT(MOD(INDEX(기본자료!$K$2:$K$1001,$AB265),10000)/100)&gt;=1,INT(MOD(INDEX(기본자료!$K$2:$K$1001,$AB265),10000)/100)&lt;=12,MOD(INDEX(기본자료!$K$2:$K$1001,$AB265),100)&gt;=1,MOD(INDEX(기본자료!$K$2:$K$1001,$AB265),100)&lt;=31),DATE(INT(INDEX(기본자료!$K$2:$K$1001,$AB265)/10000),INT(MOD(INDEX(기본자료!$K$2:$K$1001,$AB265),10000)/100),MOD(INDEX(기본자료!$K$2:$K$1001,$AB265),100)),INDEX(기본자료!$K$2:$K$1001,$AB265)&amp;"")))))</f>
        <v/>
      </c>
      <c r="F265" s="10">
        <f>IF($AB265="","",IF(INDEX(기본자료!$D$2:$D$1001,$AB265)="","",INDEX(기본자료!$D$2:$D$1001,$AB265)))</f>
        <v/>
      </c>
      <c r="G265" s="10">
        <f>IF($AB265="","",IF(INDEX(기본자료!$E$2:$E$1001,$AB265)="","",INDEX(기본자료!$E$2:$E$1001,$AB265)))</f>
        <v/>
      </c>
      <c r="H265" s="10">
        <f>IF($AB265="","",IF(INDEX(기본자료!$F$2:$F$1001,$AB265)="","",INDEX(기본자료!$F$2:$F$1001,$AB265)))</f>
        <v/>
      </c>
      <c r="I265" s="11">
        <f>IF($AB265="","",IF(INDEX(기본자료!$G$2:$G$1001,$AB265)="","",IF(NOT(ISNUMBER(INDEX(기본자료!$G$2:$G$1001,$AB265))),INDEX(기본자료!$G$2:$G$1001,$AB265),IF(INDEX(기본자료!$G$2:$G$1001,$AB265)&lt;1000000,INDEX(기본자료!$G$2:$G$1001,$AB265),IF(AND(INDEX(기본자료!$G$2:$G$1001,$AB265)&gt;=10000101,INT(MOD(INDEX(기본자료!$G$2:$G$1001,$AB265),10000)/100)&gt;=1,INT(MOD(INDEX(기본자료!$G$2:$G$1001,$AB265),10000)/100)&lt;=12,MOD(INDEX(기본자료!$G$2:$G$1001,$AB265),100)&gt;=1,MOD(INDEX(기본자료!$G$2:$G$1001,$AB265),100)&lt;=31),DATE(INT(INDEX(기본자료!$G$2:$G$1001,$AB265)/10000),INT(MOD(INDEX(기본자료!$G$2:$G$1001,$AB265),10000)/100),MOD(INDEX(기본자료!$G$2:$G$1001,$AB265),100)),INDEX(기본자료!$G$2:$G$1001,$AB265)&amp;"")))))</f>
        <v/>
      </c>
      <c r="J265" s="10">
        <f>IF($AB265="","",IF(INDEX(기본자료!$H$2:$H$1001,$AB265)="","",INDEX(기본자료!$H$2:$H$1001,$AB265)))</f>
        <v/>
      </c>
      <c r="K265" s="10">
        <f>IF($AB265="","",IF(INDEX(기본자료!$I$2:$I$1001,$AB265)="","",INDEX(기본자료!$I$2:$I$1001,$AB265)))</f>
        <v/>
      </c>
      <c r="L265" s="10">
        <f>IF($AB265="","",IF(INDEX(기본자료!$A$2:$A$1001,$AB265)="","",INDEX(기본자료!$A$2:$A$1001,$AB265)))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파견수련계획!$AB$4:$AB$803,$AK265),OR(NOT(ISNUMBER(INDEX(파견수련계획!$AC$4:$AC$803,$AK265))),TODAY()&lt;=INDEX(파견수련계획!$AC$4:$AC$803,$AK265))),"다기관",IF($AF265="","",INDEX(파견수련계획!$T$4:$T$803,$AF265))),IF($AF265="","",INDEX(파견수련계획!$T$4:$T$803,$AF265))))</f>
        <v/>
      </c>
      <c r="Q265" s="10">
        <f>IF($AF265="","",INDEX(파견수련계획!$S$4:$S$803,$AF265))</f>
        <v/>
      </c>
      <c r="R265" s="10">
        <f>IF($AF265="","",INDEX(파견수련계획!$U$4:$U$803,$AF265))</f>
        <v/>
      </c>
      <c r="S265" s="11">
        <f>IF($AF265="","",IF(INDEX(파견수련계획!$H$4:$H$803,$AF265)="","",INDEX(파견수련계획!$H$4:$H$803,$AF265)))</f>
        <v/>
      </c>
      <c r="T265" s="11">
        <f>IF($AF265="","",IF(INDEX(파견수련계획!$I$4:$I$803,$AF265)="","",INDEX(파견수련계획!$I$4:$I$803,$AF265)))</f>
        <v/>
      </c>
      <c r="U265" s="10">
        <f>IF($AF265="","",INDEX(파견수련계획!$X$4:$X$803,$AF265))</f>
        <v/>
      </c>
      <c r="V265" s="17">
        <f>IF($AF265="","",INDEX(파견수련계획!$V$4:$V$803,$AF265))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IF(OR($B265="",TRIM($J265&amp;"")=""),"",SUMPRODUCT((파견수련계획!$Q$4:$Q$803=TRIM($J265&amp;""))*파견수련계획!$W$4:$W$803))</f>
        <v/>
      </c>
      <c r="Y265" s="10">
        <f>IF($B265="","",IF($AG265="","",IF(IF(TRIM($J265&amp;"")="",0,SUMPRODUCT((파견수련계획!$Q$4:$Q$803=TRIM($J265&amp;""))*파견수련계획!$AD$4:$AD$803))&gt;0,$AE265,IF(N($X265)&lt;=0,$AG265,IF($AH265+$AI265=DAY(EOMONTH(요약!$B$3,0)),IF(AND($AH265&gt;=요약!$E$3,$AI265&lt;요약!$E$3),"서울병원",IF(AND($AI265&gt;=요약!$E$3,$AH265&lt;요약!$E$3),"구리병원","⚠15일 판정불가(서울 "&amp;$AH265&amp;"일/구리 "&amp;$AI265&amp;"일)")),IF($AJ265="",$AE265,IF(INDEX(파견수련계획!$T$4:$T$803,$AJ265)="통합수련",INDEX(파견수련계획!$S$4:$S$803,$AJ265),$AE265)))))))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입력",IF(IF(TRIM($J265&amp;"")="",0,SUMPRODUCT((파견수련계획!$Q$4:$Q$803=TRIM($J265&amp;""))*(파견수련계획!$AA$4:$AA$803&lt;&gt;"")))&gt;0,"파견수련계획 입력오류 확인",IF(LEFT($Y265,1)="⚠","서울·구리 15일 판정 불가(양쪽 모두 이상/미만)",IF(IF($AC265="",0,N(INDEX(인턴근무계획!$T$3:$T$402,$AC265)))&gt;0,"인턴계획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IF($B265="","",IFERROR(MATCH($B265,기본자료!$B$2:$B$1001,0),IFERROR(MATCH($B265&amp;"",기본자료!$B$2:$B$1001,0),IFERROR(MATCH(VALUE($B265),기본자료!$B$2:$B$1001,0),""))))</f>
        <v/>
      </c>
      <c r="AC265" s="10">
        <f>IF($B265="","",IFERROR(MATCH($B265,인턴근무계획!$D$3:$D$402,0),IFERROR(MATCH($B265&amp;"",인턴근무계획!$D$3:$D$402,0),IFERROR(MATCH(VALUE($B265),인턴근무계획!$D$3:$D$402,0),""))))</f>
        <v/>
      </c>
      <c r="AD265" s="10">
        <f>IF(OR($AC265="",인턴현황!$G$3=""),"",INDEX(인턴근무계획!$M$3:$R$402,$AC265,인턴현황!$G$3)&amp;"")</f>
        <v/>
      </c>
      <c r="AE265" s="10">
        <f>IF($B265="","",IF($M265&lt;&gt;"",$M265,IF($AF265&lt;&gt;"",IF(LEFT(INDEX(파견수련계획!$R$4:$R$803,$AF265),1)&lt;&gt;"⚠",INDEX(파견수련계획!$R$4:$R$803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파견수련계획!$Y$4:$Y$803,0),IFERROR(MATCH(TRIM($J265&amp;"")&amp;"|파견예정",파견수련계획!$Y$4:$Y$803,0),IFERROR(MATCH(TRIM($J265&amp;"")&amp;"|파견종료",파견수련계획!$Y$4:$Y$803,0),""))))</f>
        <v/>
      </c>
      <c r="AG265" s="10">
        <f>IF($B265="","",IF(AND(IF(OR($AC265="",인턴현황!$K$2=""),"",INDEX(인턴근무계획!$M$3:$R$402,$AC265,인턴현황!$K$2)&amp;"")&lt;&gt;"",LEFT(IF(OR($AC265="",인턴현황!$K$2=""),"",INDEX(인턴근무계획!$M$3:$R$402,$AC265,인턴현황!$K$2)&amp;""),1)&lt;&gt;"⚠"),LEFT(IF(OR($AC265="",인턴현황!$K$2=""),"",INDEX(인턴근무계획!$M$3:$R$402,$AC265,인턴현황!$K$2)&amp;""),FIND(" ",IF(OR($AC265="",인턴현황!$K$2=""),"",INDEX(인턴근무계획!$M$3:$R$402,$AC265,인턴현황!$K$2)&amp;""))-1),$AE265))</f>
        <v/>
      </c>
      <c r="AH265" s="17">
        <f>IF($B265="","",IF(TRIM($J265&amp;"")="",0,SUMPRODUCT((파견수련계획!$Q$4:$Q$803=TRIM($J265&amp;""))*(파견수련계획!$S$4:$S$803="서울병원")*파견수련계획!$W$4:$W$803))+IF($AG265="서울병원",MAX(0,DAY(EOMONTH(요약!$B$3,0))-N($X265)),0))</f>
        <v/>
      </c>
      <c r="AI265" s="17">
        <f>IF($B265="","",IF(TRIM($J265&amp;"")="",0,SUMPRODUCT((파견수련계획!$Q$4:$Q$803=TRIM($J265&amp;""))*(파견수련계획!$S$4:$S$803="구리병원")*파견수련계획!$W$4:$W$803))+IF($AG265="구리병원",MAX(0,DAY(EOMONTH(요약!$B$3,0))-N($X265)),0))</f>
        <v/>
      </c>
      <c r="AJ265" s="10">
        <f>IF(OR($B265="",TRIM($J265&amp;"")=""),"",IFERROR(MATCH(TRIM($J265&amp;"")&amp;"|월",파견수련계획!$Z$4:$Z$803,0),""))</f>
        <v/>
      </c>
      <c r="AK265" s="10">
        <f>IF(OR($B265="",TRIM($J265&amp;"")=""),"",IFERROR(MATCH(TRIM($J265&amp;"")&amp;"|다기관",파견수련계획!$AE$4:$AE$803,0),""))</f>
        <v/>
      </c>
      <c r="AL265" s="10">
        <f>IF($AK265="","","다기관 "&amp;TEXT(INDEX(파견수련계획!$AB$4:$AB$803,$AK265),"yyyy-mm-dd")&amp;"~"&amp;IF(ISNUMBER(INDEX(파견수련계획!$AC$4:$AC$803,$AK265)),TEXT(INDEX(파견수련계획!$AC$4:$AC$803,$AK265),"yyyy-mm-dd"),""))</f>
        <v/>
      </c>
    </row>
    <row r="266">
      <c r="A266" s="10">
        <f>IF(B266="","",ROW()-1)</f>
        <v/>
      </c>
      <c r="B266" s="18" t="n"/>
      <c r="C266" s="10">
        <f>IF($AB266="","",IF(INDEX(기본자료!$C$2:$C$1001,$AB266)="","",INDEX(기본자료!$C$2:$C$1001,$AB266)))</f>
        <v/>
      </c>
      <c r="D266" s="10">
        <f>IF($AB266="","",IF(INDEX(기본자료!$J$2:$J$1001,$AB266)="","",INDEX(기본자료!$J$2:$J$1001,$AB266)))</f>
        <v/>
      </c>
      <c r="E266" s="11">
        <f>IF($AB266="","",IF(INDEX(기본자료!$K$2:$K$1001,$AB266)="","",IF(NOT(ISNUMBER(INDEX(기본자료!$K$2:$K$1001,$AB266))),INDEX(기본자료!$K$2:$K$1001,$AB266),IF(INDEX(기본자료!$K$2:$K$1001,$AB266)&lt;1000000,INDEX(기본자료!$K$2:$K$1001,$AB266),IF(AND(INDEX(기본자료!$K$2:$K$1001,$AB266)&gt;=10000101,INT(MOD(INDEX(기본자료!$K$2:$K$1001,$AB266),10000)/100)&gt;=1,INT(MOD(INDEX(기본자료!$K$2:$K$1001,$AB266),10000)/100)&lt;=12,MOD(INDEX(기본자료!$K$2:$K$1001,$AB266),100)&gt;=1,MOD(INDEX(기본자료!$K$2:$K$1001,$AB266),100)&lt;=31),DATE(INT(INDEX(기본자료!$K$2:$K$1001,$AB266)/10000),INT(MOD(INDEX(기본자료!$K$2:$K$1001,$AB266),10000)/100),MOD(INDEX(기본자료!$K$2:$K$1001,$AB266),100)),INDEX(기본자료!$K$2:$K$1001,$AB266)&amp;"")))))</f>
        <v/>
      </c>
      <c r="F266" s="10">
        <f>IF($AB266="","",IF(INDEX(기본자료!$D$2:$D$1001,$AB266)="","",INDEX(기본자료!$D$2:$D$1001,$AB266)))</f>
        <v/>
      </c>
      <c r="G266" s="10">
        <f>IF($AB266="","",IF(INDEX(기본자료!$E$2:$E$1001,$AB266)="","",INDEX(기본자료!$E$2:$E$1001,$AB266)))</f>
        <v/>
      </c>
      <c r="H266" s="10">
        <f>IF($AB266="","",IF(INDEX(기본자료!$F$2:$F$1001,$AB266)="","",INDEX(기본자료!$F$2:$F$1001,$AB266)))</f>
        <v/>
      </c>
      <c r="I266" s="11">
        <f>IF($AB266="","",IF(INDEX(기본자료!$G$2:$G$1001,$AB266)="","",IF(NOT(ISNUMBER(INDEX(기본자료!$G$2:$G$1001,$AB266))),INDEX(기본자료!$G$2:$G$1001,$AB266),IF(INDEX(기본자료!$G$2:$G$1001,$AB266)&lt;1000000,INDEX(기본자료!$G$2:$G$1001,$AB266),IF(AND(INDEX(기본자료!$G$2:$G$1001,$AB266)&gt;=10000101,INT(MOD(INDEX(기본자료!$G$2:$G$1001,$AB266),10000)/100)&gt;=1,INT(MOD(INDEX(기본자료!$G$2:$G$1001,$AB266),10000)/100)&lt;=12,MOD(INDEX(기본자료!$G$2:$G$1001,$AB266),100)&gt;=1,MOD(INDEX(기본자료!$G$2:$G$1001,$AB266),100)&lt;=31),DATE(INT(INDEX(기본자료!$G$2:$G$1001,$AB266)/10000),INT(MOD(INDEX(기본자료!$G$2:$G$1001,$AB266),10000)/100),MOD(INDEX(기본자료!$G$2:$G$1001,$AB266),100)),INDEX(기본자료!$G$2:$G$1001,$AB266)&amp;"")))))</f>
        <v/>
      </c>
      <c r="J266" s="10">
        <f>IF($AB266="","",IF(INDEX(기본자료!$H$2:$H$1001,$AB266)="","",INDEX(기본자료!$H$2:$H$1001,$AB266)))</f>
        <v/>
      </c>
      <c r="K266" s="10">
        <f>IF($AB266="","",IF(INDEX(기본자료!$I$2:$I$1001,$AB266)="","",INDEX(기본자료!$I$2:$I$1001,$AB266)))</f>
        <v/>
      </c>
      <c r="L266" s="10">
        <f>IF($AB266="","",IF(INDEX(기본자료!$A$2:$A$1001,$AB266)="","",INDEX(기본자료!$A$2:$A$1001,$AB266)))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파견수련계획!$AB$4:$AB$803,$AK266),OR(NOT(ISNUMBER(INDEX(파견수련계획!$AC$4:$AC$803,$AK266))),TODAY()&lt;=INDEX(파견수련계획!$AC$4:$AC$803,$AK266))),"다기관",IF($AF266="","",INDEX(파견수련계획!$T$4:$T$803,$AF266))),IF($AF266="","",INDEX(파견수련계획!$T$4:$T$803,$AF266))))</f>
        <v/>
      </c>
      <c r="Q266" s="10">
        <f>IF($AF266="","",INDEX(파견수련계획!$S$4:$S$803,$AF266))</f>
        <v/>
      </c>
      <c r="R266" s="10">
        <f>IF($AF266="","",INDEX(파견수련계획!$U$4:$U$803,$AF266))</f>
        <v/>
      </c>
      <c r="S266" s="11">
        <f>IF($AF266="","",IF(INDEX(파견수련계획!$H$4:$H$803,$AF266)="","",INDEX(파견수련계획!$H$4:$H$803,$AF266)))</f>
        <v/>
      </c>
      <c r="T266" s="11">
        <f>IF($AF266="","",IF(INDEX(파견수련계획!$I$4:$I$803,$AF266)="","",INDEX(파견수련계획!$I$4:$I$803,$AF266)))</f>
        <v/>
      </c>
      <c r="U266" s="10">
        <f>IF($AF266="","",INDEX(파견수련계획!$X$4:$X$803,$AF266))</f>
        <v/>
      </c>
      <c r="V266" s="17">
        <f>IF($AF266="","",INDEX(파견수련계획!$V$4:$V$803,$AF266))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IF(OR($B266="",TRIM($J266&amp;"")=""),"",SUMPRODUCT((파견수련계획!$Q$4:$Q$803=TRIM($J266&amp;""))*파견수련계획!$W$4:$W$803))</f>
        <v/>
      </c>
      <c r="Y266" s="10">
        <f>IF($B266="","",IF($AG266="","",IF(IF(TRIM($J266&amp;"")="",0,SUMPRODUCT((파견수련계획!$Q$4:$Q$803=TRIM($J266&amp;""))*파견수련계획!$AD$4:$AD$803))&gt;0,$AE266,IF(N($X266)&lt;=0,$AG266,IF($AH266+$AI266=DAY(EOMONTH(요약!$B$3,0)),IF(AND($AH266&gt;=요약!$E$3,$AI266&lt;요약!$E$3),"서울병원",IF(AND($AI266&gt;=요약!$E$3,$AH266&lt;요약!$E$3),"구리병원","⚠15일 판정불가(서울 "&amp;$AH266&amp;"일/구리 "&amp;$AI266&amp;"일)")),IF($AJ266="",$AE266,IF(INDEX(파견수련계획!$T$4:$T$803,$AJ266)="통합수련",INDEX(파견수련계획!$S$4:$S$803,$AJ266),$AE266)))))))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입력",IF(IF(TRIM($J266&amp;"")="",0,SUMPRODUCT((파견수련계획!$Q$4:$Q$803=TRIM($J266&amp;""))*(파견수련계획!$AA$4:$AA$803&lt;&gt;"")))&gt;0,"파견수련계획 입력오류 확인",IF(LEFT($Y266,1)="⚠","서울·구리 15일 판정 불가(양쪽 모두 이상/미만)",IF(IF($AC266="",0,N(INDEX(인턴근무계획!$T$3:$T$402,$AC266)))&gt;0,"인턴계획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IF($B266="","",IFERROR(MATCH($B266,기본자료!$B$2:$B$1001,0),IFERROR(MATCH($B266&amp;"",기본자료!$B$2:$B$1001,0),IFERROR(MATCH(VALUE($B266),기본자료!$B$2:$B$1001,0),""))))</f>
        <v/>
      </c>
      <c r="AC266" s="10">
        <f>IF($B266="","",IFERROR(MATCH($B266,인턴근무계획!$D$3:$D$402,0),IFERROR(MATCH($B266&amp;"",인턴근무계획!$D$3:$D$402,0),IFERROR(MATCH(VALUE($B266),인턴근무계획!$D$3:$D$402,0),""))))</f>
        <v/>
      </c>
      <c r="AD266" s="10">
        <f>IF(OR($AC266="",인턴현황!$G$3=""),"",INDEX(인턴근무계획!$M$3:$R$402,$AC266,인턴현황!$G$3)&amp;"")</f>
        <v/>
      </c>
      <c r="AE266" s="10">
        <f>IF($B266="","",IF($M266&lt;&gt;"",$M266,IF($AF266&lt;&gt;"",IF(LEFT(INDEX(파견수련계획!$R$4:$R$803,$AF266),1)&lt;&gt;"⚠",INDEX(파견수련계획!$R$4:$R$803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파견수련계획!$Y$4:$Y$803,0),IFERROR(MATCH(TRIM($J266&amp;"")&amp;"|파견예정",파견수련계획!$Y$4:$Y$803,0),IFERROR(MATCH(TRIM($J266&amp;"")&amp;"|파견종료",파견수련계획!$Y$4:$Y$803,0),""))))</f>
        <v/>
      </c>
      <c r="AG266" s="10">
        <f>IF($B266="","",IF(AND(IF(OR($AC266="",인턴현황!$K$2=""),"",INDEX(인턴근무계획!$M$3:$R$402,$AC266,인턴현황!$K$2)&amp;"")&lt;&gt;"",LEFT(IF(OR($AC266="",인턴현황!$K$2=""),"",INDEX(인턴근무계획!$M$3:$R$402,$AC266,인턴현황!$K$2)&amp;""),1)&lt;&gt;"⚠"),LEFT(IF(OR($AC266="",인턴현황!$K$2=""),"",INDEX(인턴근무계획!$M$3:$R$402,$AC266,인턴현황!$K$2)&amp;""),FIND(" ",IF(OR($AC266="",인턴현황!$K$2=""),"",INDEX(인턴근무계획!$M$3:$R$402,$AC266,인턴현황!$K$2)&amp;""))-1),$AE266))</f>
        <v/>
      </c>
      <c r="AH266" s="17">
        <f>IF($B266="","",IF(TRIM($J266&amp;"")="",0,SUMPRODUCT((파견수련계획!$Q$4:$Q$803=TRIM($J266&amp;""))*(파견수련계획!$S$4:$S$803="서울병원")*파견수련계획!$W$4:$W$803))+IF($AG266="서울병원",MAX(0,DAY(EOMONTH(요약!$B$3,0))-N($X266)),0))</f>
        <v/>
      </c>
      <c r="AI266" s="17">
        <f>IF($B266="","",IF(TRIM($J266&amp;"")="",0,SUMPRODUCT((파견수련계획!$Q$4:$Q$803=TRIM($J266&amp;""))*(파견수련계획!$S$4:$S$803="구리병원")*파견수련계획!$W$4:$W$803))+IF($AG266="구리병원",MAX(0,DAY(EOMONTH(요약!$B$3,0))-N($X266)),0))</f>
        <v/>
      </c>
      <c r="AJ266" s="10">
        <f>IF(OR($B266="",TRIM($J266&amp;"")=""),"",IFERROR(MATCH(TRIM($J266&amp;"")&amp;"|월",파견수련계획!$Z$4:$Z$803,0),""))</f>
        <v/>
      </c>
      <c r="AK266" s="10">
        <f>IF(OR($B266="",TRIM($J266&amp;"")=""),"",IFERROR(MATCH(TRIM($J266&amp;"")&amp;"|다기관",파견수련계획!$AE$4:$AE$803,0),""))</f>
        <v/>
      </c>
      <c r="AL266" s="10">
        <f>IF($AK266="","","다기관 "&amp;TEXT(INDEX(파견수련계획!$AB$4:$AB$803,$AK266),"yyyy-mm-dd")&amp;"~"&amp;IF(ISNUMBER(INDEX(파견수련계획!$AC$4:$AC$803,$AK266)),TEXT(INDEX(파견수련계획!$AC$4:$AC$803,$AK266),"yyyy-mm-dd"),""))</f>
        <v/>
      </c>
    </row>
    <row r="267">
      <c r="A267" s="10">
        <f>IF(B267="","",ROW()-1)</f>
        <v/>
      </c>
      <c r="B267" s="18" t="n"/>
      <c r="C267" s="10">
        <f>IF($AB267="","",IF(INDEX(기본자료!$C$2:$C$1001,$AB267)="","",INDEX(기본자료!$C$2:$C$1001,$AB267)))</f>
        <v/>
      </c>
      <c r="D267" s="10">
        <f>IF($AB267="","",IF(INDEX(기본자료!$J$2:$J$1001,$AB267)="","",INDEX(기본자료!$J$2:$J$1001,$AB267)))</f>
        <v/>
      </c>
      <c r="E267" s="11">
        <f>IF($AB267="","",IF(INDEX(기본자료!$K$2:$K$1001,$AB267)="","",IF(NOT(ISNUMBER(INDEX(기본자료!$K$2:$K$1001,$AB267))),INDEX(기본자료!$K$2:$K$1001,$AB267),IF(INDEX(기본자료!$K$2:$K$1001,$AB267)&lt;1000000,INDEX(기본자료!$K$2:$K$1001,$AB267),IF(AND(INDEX(기본자료!$K$2:$K$1001,$AB267)&gt;=10000101,INT(MOD(INDEX(기본자료!$K$2:$K$1001,$AB267),10000)/100)&gt;=1,INT(MOD(INDEX(기본자료!$K$2:$K$1001,$AB267),10000)/100)&lt;=12,MOD(INDEX(기본자료!$K$2:$K$1001,$AB267),100)&gt;=1,MOD(INDEX(기본자료!$K$2:$K$1001,$AB267),100)&lt;=31),DATE(INT(INDEX(기본자료!$K$2:$K$1001,$AB267)/10000),INT(MOD(INDEX(기본자료!$K$2:$K$1001,$AB267),10000)/100),MOD(INDEX(기본자료!$K$2:$K$1001,$AB267),100)),INDEX(기본자료!$K$2:$K$1001,$AB267)&amp;"")))))</f>
        <v/>
      </c>
      <c r="F267" s="10">
        <f>IF($AB267="","",IF(INDEX(기본자료!$D$2:$D$1001,$AB267)="","",INDEX(기본자료!$D$2:$D$1001,$AB267)))</f>
        <v/>
      </c>
      <c r="G267" s="10">
        <f>IF($AB267="","",IF(INDEX(기본자료!$E$2:$E$1001,$AB267)="","",INDEX(기본자료!$E$2:$E$1001,$AB267)))</f>
        <v/>
      </c>
      <c r="H267" s="10">
        <f>IF($AB267="","",IF(INDEX(기본자료!$F$2:$F$1001,$AB267)="","",INDEX(기본자료!$F$2:$F$1001,$AB267)))</f>
        <v/>
      </c>
      <c r="I267" s="11">
        <f>IF($AB267="","",IF(INDEX(기본자료!$G$2:$G$1001,$AB267)="","",IF(NOT(ISNUMBER(INDEX(기본자료!$G$2:$G$1001,$AB267))),INDEX(기본자료!$G$2:$G$1001,$AB267),IF(INDEX(기본자료!$G$2:$G$1001,$AB267)&lt;1000000,INDEX(기본자료!$G$2:$G$1001,$AB267),IF(AND(INDEX(기본자료!$G$2:$G$1001,$AB267)&gt;=10000101,INT(MOD(INDEX(기본자료!$G$2:$G$1001,$AB267),10000)/100)&gt;=1,INT(MOD(INDEX(기본자료!$G$2:$G$1001,$AB267),10000)/100)&lt;=12,MOD(INDEX(기본자료!$G$2:$G$1001,$AB267),100)&gt;=1,MOD(INDEX(기본자료!$G$2:$G$1001,$AB267),100)&lt;=31),DATE(INT(INDEX(기본자료!$G$2:$G$1001,$AB267)/10000),INT(MOD(INDEX(기본자료!$G$2:$G$1001,$AB267),10000)/100),MOD(INDEX(기본자료!$G$2:$G$1001,$AB267),100)),INDEX(기본자료!$G$2:$G$1001,$AB267)&amp;"")))))</f>
        <v/>
      </c>
      <c r="J267" s="10">
        <f>IF($AB267="","",IF(INDEX(기본자료!$H$2:$H$1001,$AB267)="","",INDEX(기본자료!$H$2:$H$1001,$AB267)))</f>
        <v/>
      </c>
      <c r="K267" s="10">
        <f>IF($AB267="","",IF(INDEX(기본자료!$I$2:$I$1001,$AB267)="","",INDEX(기본자료!$I$2:$I$1001,$AB267)))</f>
        <v/>
      </c>
      <c r="L267" s="10">
        <f>IF($AB267="","",IF(INDEX(기본자료!$A$2:$A$1001,$AB267)="","",INDEX(기본자료!$A$2:$A$1001,$AB267)))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파견수련계획!$AB$4:$AB$803,$AK267),OR(NOT(ISNUMBER(INDEX(파견수련계획!$AC$4:$AC$803,$AK267))),TODAY()&lt;=INDEX(파견수련계획!$AC$4:$AC$803,$AK267))),"다기관",IF($AF267="","",INDEX(파견수련계획!$T$4:$T$803,$AF267))),IF($AF267="","",INDEX(파견수련계획!$T$4:$T$803,$AF267))))</f>
        <v/>
      </c>
      <c r="Q267" s="10">
        <f>IF($AF267="","",INDEX(파견수련계획!$S$4:$S$803,$AF267))</f>
        <v/>
      </c>
      <c r="R267" s="10">
        <f>IF($AF267="","",INDEX(파견수련계획!$U$4:$U$803,$AF267))</f>
        <v/>
      </c>
      <c r="S267" s="11">
        <f>IF($AF267="","",IF(INDEX(파견수련계획!$H$4:$H$803,$AF267)="","",INDEX(파견수련계획!$H$4:$H$803,$AF267)))</f>
        <v/>
      </c>
      <c r="T267" s="11">
        <f>IF($AF267="","",IF(INDEX(파견수련계획!$I$4:$I$803,$AF267)="","",INDEX(파견수련계획!$I$4:$I$803,$AF267)))</f>
        <v/>
      </c>
      <c r="U267" s="10">
        <f>IF($AF267="","",INDEX(파견수련계획!$X$4:$X$803,$AF267))</f>
        <v/>
      </c>
      <c r="V267" s="17">
        <f>IF($AF267="","",INDEX(파견수련계획!$V$4:$V$803,$AF267))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IF(OR($B267="",TRIM($J267&amp;"")=""),"",SUMPRODUCT((파견수련계획!$Q$4:$Q$803=TRIM($J267&amp;""))*파견수련계획!$W$4:$W$803))</f>
        <v/>
      </c>
      <c r="Y267" s="10">
        <f>IF($B267="","",IF($AG267="","",IF(IF(TRIM($J267&amp;"")="",0,SUMPRODUCT((파견수련계획!$Q$4:$Q$803=TRIM($J267&amp;""))*파견수련계획!$AD$4:$AD$803))&gt;0,$AE267,IF(N($X267)&lt;=0,$AG267,IF($AH267+$AI267=DAY(EOMONTH(요약!$B$3,0)),IF(AND($AH267&gt;=요약!$E$3,$AI267&lt;요약!$E$3),"서울병원",IF(AND($AI267&gt;=요약!$E$3,$AH267&lt;요약!$E$3),"구리병원","⚠15일 판정불가(서울 "&amp;$AH267&amp;"일/구리 "&amp;$AI267&amp;"일)")),IF($AJ267="",$AE267,IF(INDEX(파견수련계획!$T$4:$T$803,$AJ267)="통합수련",INDEX(파견수련계획!$S$4:$S$803,$AJ267),$AE267)))))))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입력",IF(IF(TRIM($J267&amp;"")="",0,SUMPRODUCT((파견수련계획!$Q$4:$Q$803=TRIM($J267&amp;""))*(파견수련계획!$AA$4:$AA$803&lt;&gt;"")))&gt;0,"파견수련계획 입력오류 확인",IF(LEFT($Y267,1)="⚠","서울·구리 15일 판정 불가(양쪽 모두 이상/미만)",IF(IF($AC267="",0,N(INDEX(인턴근무계획!$T$3:$T$402,$AC267)))&gt;0,"인턴계획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IF($B267="","",IFERROR(MATCH($B267,기본자료!$B$2:$B$1001,0),IFERROR(MATCH($B267&amp;"",기본자료!$B$2:$B$1001,0),IFERROR(MATCH(VALUE($B267),기본자료!$B$2:$B$1001,0),""))))</f>
        <v/>
      </c>
      <c r="AC267" s="10">
        <f>IF($B267="","",IFERROR(MATCH($B267,인턴근무계획!$D$3:$D$402,0),IFERROR(MATCH($B267&amp;"",인턴근무계획!$D$3:$D$402,0),IFERROR(MATCH(VALUE($B267),인턴근무계획!$D$3:$D$402,0),""))))</f>
        <v/>
      </c>
      <c r="AD267" s="10">
        <f>IF(OR($AC267="",인턴현황!$G$3=""),"",INDEX(인턴근무계획!$M$3:$R$402,$AC267,인턴현황!$G$3)&amp;"")</f>
        <v/>
      </c>
      <c r="AE267" s="10">
        <f>IF($B267="","",IF($M267&lt;&gt;"",$M267,IF($AF267&lt;&gt;"",IF(LEFT(INDEX(파견수련계획!$R$4:$R$803,$AF267),1)&lt;&gt;"⚠",INDEX(파견수련계획!$R$4:$R$803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파견수련계획!$Y$4:$Y$803,0),IFERROR(MATCH(TRIM($J267&amp;"")&amp;"|파견예정",파견수련계획!$Y$4:$Y$803,0),IFERROR(MATCH(TRIM($J267&amp;"")&amp;"|파견종료",파견수련계획!$Y$4:$Y$803,0),""))))</f>
        <v/>
      </c>
      <c r="AG267" s="10">
        <f>IF($B267="","",IF(AND(IF(OR($AC267="",인턴현황!$K$2=""),"",INDEX(인턴근무계획!$M$3:$R$402,$AC267,인턴현황!$K$2)&amp;"")&lt;&gt;"",LEFT(IF(OR($AC267="",인턴현황!$K$2=""),"",INDEX(인턴근무계획!$M$3:$R$402,$AC267,인턴현황!$K$2)&amp;""),1)&lt;&gt;"⚠"),LEFT(IF(OR($AC267="",인턴현황!$K$2=""),"",INDEX(인턴근무계획!$M$3:$R$402,$AC267,인턴현황!$K$2)&amp;""),FIND(" ",IF(OR($AC267="",인턴현황!$K$2=""),"",INDEX(인턴근무계획!$M$3:$R$402,$AC267,인턴현황!$K$2)&amp;""))-1),$AE267))</f>
        <v/>
      </c>
      <c r="AH267" s="17">
        <f>IF($B267="","",IF(TRIM($J267&amp;"")="",0,SUMPRODUCT((파견수련계획!$Q$4:$Q$803=TRIM($J267&amp;""))*(파견수련계획!$S$4:$S$803="서울병원")*파견수련계획!$W$4:$W$803))+IF($AG267="서울병원",MAX(0,DAY(EOMONTH(요약!$B$3,0))-N($X267)),0))</f>
        <v/>
      </c>
      <c r="AI267" s="17">
        <f>IF($B267="","",IF(TRIM($J267&amp;"")="",0,SUMPRODUCT((파견수련계획!$Q$4:$Q$803=TRIM($J267&amp;""))*(파견수련계획!$S$4:$S$803="구리병원")*파견수련계획!$W$4:$W$803))+IF($AG267="구리병원",MAX(0,DAY(EOMONTH(요약!$B$3,0))-N($X267)),0))</f>
        <v/>
      </c>
      <c r="AJ267" s="10">
        <f>IF(OR($B267="",TRIM($J267&amp;"")=""),"",IFERROR(MATCH(TRIM($J267&amp;"")&amp;"|월",파견수련계획!$Z$4:$Z$803,0),""))</f>
        <v/>
      </c>
      <c r="AK267" s="10">
        <f>IF(OR($B267="",TRIM($J267&amp;"")=""),"",IFERROR(MATCH(TRIM($J267&amp;"")&amp;"|다기관",파견수련계획!$AE$4:$AE$803,0),""))</f>
        <v/>
      </c>
      <c r="AL267" s="10">
        <f>IF($AK267="","","다기관 "&amp;TEXT(INDEX(파견수련계획!$AB$4:$AB$803,$AK267),"yyyy-mm-dd")&amp;"~"&amp;IF(ISNUMBER(INDEX(파견수련계획!$AC$4:$AC$803,$AK267)),TEXT(INDEX(파견수련계획!$AC$4:$AC$803,$AK267),"yyyy-mm-dd"),""))</f>
        <v/>
      </c>
    </row>
    <row r="268">
      <c r="A268" s="10">
        <f>IF(B268="","",ROW()-1)</f>
        <v/>
      </c>
      <c r="B268" s="18" t="n"/>
      <c r="C268" s="10">
        <f>IF($AB268="","",IF(INDEX(기본자료!$C$2:$C$1001,$AB268)="","",INDEX(기본자료!$C$2:$C$1001,$AB268)))</f>
        <v/>
      </c>
      <c r="D268" s="10">
        <f>IF($AB268="","",IF(INDEX(기본자료!$J$2:$J$1001,$AB268)="","",INDEX(기본자료!$J$2:$J$1001,$AB268)))</f>
        <v/>
      </c>
      <c r="E268" s="11">
        <f>IF($AB268="","",IF(INDEX(기본자료!$K$2:$K$1001,$AB268)="","",IF(NOT(ISNUMBER(INDEX(기본자료!$K$2:$K$1001,$AB268))),INDEX(기본자료!$K$2:$K$1001,$AB268),IF(INDEX(기본자료!$K$2:$K$1001,$AB268)&lt;1000000,INDEX(기본자료!$K$2:$K$1001,$AB268),IF(AND(INDEX(기본자료!$K$2:$K$1001,$AB268)&gt;=10000101,INT(MOD(INDEX(기본자료!$K$2:$K$1001,$AB268),10000)/100)&gt;=1,INT(MOD(INDEX(기본자료!$K$2:$K$1001,$AB268),10000)/100)&lt;=12,MOD(INDEX(기본자료!$K$2:$K$1001,$AB268),100)&gt;=1,MOD(INDEX(기본자료!$K$2:$K$1001,$AB268),100)&lt;=31),DATE(INT(INDEX(기본자료!$K$2:$K$1001,$AB268)/10000),INT(MOD(INDEX(기본자료!$K$2:$K$1001,$AB268),10000)/100),MOD(INDEX(기본자료!$K$2:$K$1001,$AB268),100)),INDEX(기본자료!$K$2:$K$1001,$AB268)&amp;"")))))</f>
        <v/>
      </c>
      <c r="F268" s="10">
        <f>IF($AB268="","",IF(INDEX(기본자료!$D$2:$D$1001,$AB268)="","",INDEX(기본자료!$D$2:$D$1001,$AB268)))</f>
        <v/>
      </c>
      <c r="G268" s="10">
        <f>IF($AB268="","",IF(INDEX(기본자료!$E$2:$E$1001,$AB268)="","",INDEX(기본자료!$E$2:$E$1001,$AB268)))</f>
        <v/>
      </c>
      <c r="H268" s="10">
        <f>IF($AB268="","",IF(INDEX(기본자료!$F$2:$F$1001,$AB268)="","",INDEX(기본자료!$F$2:$F$1001,$AB268)))</f>
        <v/>
      </c>
      <c r="I268" s="11">
        <f>IF($AB268="","",IF(INDEX(기본자료!$G$2:$G$1001,$AB268)="","",IF(NOT(ISNUMBER(INDEX(기본자료!$G$2:$G$1001,$AB268))),INDEX(기본자료!$G$2:$G$1001,$AB268),IF(INDEX(기본자료!$G$2:$G$1001,$AB268)&lt;1000000,INDEX(기본자료!$G$2:$G$1001,$AB268),IF(AND(INDEX(기본자료!$G$2:$G$1001,$AB268)&gt;=10000101,INT(MOD(INDEX(기본자료!$G$2:$G$1001,$AB268),10000)/100)&gt;=1,INT(MOD(INDEX(기본자료!$G$2:$G$1001,$AB268),10000)/100)&lt;=12,MOD(INDEX(기본자료!$G$2:$G$1001,$AB268),100)&gt;=1,MOD(INDEX(기본자료!$G$2:$G$1001,$AB268),100)&lt;=31),DATE(INT(INDEX(기본자료!$G$2:$G$1001,$AB268)/10000),INT(MOD(INDEX(기본자료!$G$2:$G$1001,$AB268),10000)/100),MOD(INDEX(기본자료!$G$2:$G$1001,$AB268),100)),INDEX(기본자료!$G$2:$G$1001,$AB268)&amp;"")))))</f>
        <v/>
      </c>
      <c r="J268" s="10">
        <f>IF($AB268="","",IF(INDEX(기본자료!$H$2:$H$1001,$AB268)="","",INDEX(기본자료!$H$2:$H$1001,$AB268)))</f>
        <v/>
      </c>
      <c r="K268" s="10">
        <f>IF($AB268="","",IF(INDEX(기본자료!$I$2:$I$1001,$AB268)="","",INDEX(기본자료!$I$2:$I$1001,$AB268)))</f>
        <v/>
      </c>
      <c r="L268" s="10">
        <f>IF($AB268="","",IF(INDEX(기본자료!$A$2:$A$1001,$AB268)="","",INDEX(기본자료!$A$2:$A$1001,$AB268)))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파견수련계획!$AB$4:$AB$803,$AK268),OR(NOT(ISNUMBER(INDEX(파견수련계획!$AC$4:$AC$803,$AK268))),TODAY()&lt;=INDEX(파견수련계획!$AC$4:$AC$803,$AK268))),"다기관",IF($AF268="","",INDEX(파견수련계획!$T$4:$T$803,$AF268))),IF($AF268="","",INDEX(파견수련계획!$T$4:$T$803,$AF268))))</f>
        <v/>
      </c>
      <c r="Q268" s="10">
        <f>IF($AF268="","",INDEX(파견수련계획!$S$4:$S$803,$AF268))</f>
        <v/>
      </c>
      <c r="R268" s="10">
        <f>IF($AF268="","",INDEX(파견수련계획!$U$4:$U$803,$AF268))</f>
        <v/>
      </c>
      <c r="S268" s="11">
        <f>IF($AF268="","",IF(INDEX(파견수련계획!$H$4:$H$803,$AF268)="","",INDEX(파견수련계획!$H$4:$H$803,$AF268)))</f>
        <v/>
      </c>
      <c r="T268" s="11">
        <f>IF($AF268="","",IF(INDEX(파견수련계획!$I$4:$I$803,$AF268)="","",INDEX(파견수련계획!$I$4:$I$803,$AF268)))</f>
        <v/>
      </c>
      <c r="U268" s="10">
        <f>IF($AF268="","",INDEX(파견수련계획!$X$4:$X$803,$AF268))</f>
        <v/>
      </c>
      <c r="V268" s="17">
        <f>IF($AF268="","",INDEX(파견수련계획!$V$4:$V$803,$AF268))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IF(OR($B268="",TRIM($J268&amp;"")=""),"",SUMPRODUCT((파견수련계획!$Q$4:$Q$803=TRIM($J268&amp;""))*파견수련계획!$W$4:$W$803))</f>
        <v/>
      </c>
      <c r="Y268" s="10">
        <f>IF($B268="","",IF($AG268="","",IF(IF(TRIM($J268&amp;"")="",0,SUMPRODUCT((파견수련계획!$Q$4:$Q$803=TRIM($J268&amp;""))*파견수련계획!$AD$4:$AD$803))&gt;0,$AE268,IF(N($X268)&lt;=0,$AG268,IF($AH268+$AI268=DAY(EOMONTH(요약!$B$3,0)),IF(AND($AH268&gt;=요약!$E$3,$AI268&lt;요약!$E$3),"서울병원",IF(AND($AI268&gt;=요약!$E$3,$AH268&lt;요약!$E$3),"구리병원","⚠15일 판정불가(서울 "&amp;$AH268&amp;"일/구리 "&amp;$AI268&amp;"일)")),IF($AJ268="",$AE268,IF(INDEX(파견수련계획!$T$4:$T$803,$AJ268)="통합수련",INDEX(파견수련계획!$S$4:$S$803,$AJ268),$AE268)))))))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입력",IF(IF(TRIM($J268&amp;"")="",0,SUMPRODUCT((파견수련계획!$Q$4:$Q$803=TRIM($J268&amp;""))*(파견수련계획!$AA$4:$AA$803&lt;&gt;"")))&gt;0,"파견수련계획 입력오류 확인",IF(LEFT($Y268,1)="⚠","서울·구리 15일 판정 불가(양쪽 모두 이상/미만)",IF(IF($AC268="",0,N(INDEX(인턴근무계획!$T$3:$T$402,$AC268)))&gt;0,"인턴계획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IF($B268="","",IFERROR(MATCH($B268,기본자료!$B$2:$B$1001,0),IFERROR(MATCH($B268&amp;"",기본자료!$B$2:$B$1001,0),IFERROR(MATCH(VALUE($B268),기본자료!$B$2:$B$1001,0),""))))</f>
        <v/>
      </c>
      <c r="AC268" s="10">
        <f>IF($B268="","",IFERROR(MATCH($B268,인턴근무계획!$D$3:$D$402,0),IFERROR(MATCH($B268&amp;"",인턴근무계획!$D$3:$D$402,0),IFERROR(MATCH(VALUE($B268),인턴근무계획!$D$3:$D$402,0),""))))</f>
        <v/>
      </c>
      <c r="AD268" s="10">
        <f>IF(OR($AC268="",인턴현황!$G$3=""),"",INDEX(인턴근무계획!$M$3:$R$402,$AC268,인턴현황!$G$3)&amp;"")</f>
        <v/>
      </c>
      <c r="AE268" s="10">
        <f>IF($B268="","",IF($M268&lt;&gt;"",$M268,IF($AF268&lt;&gt;"",IF(LEFT(INDEX(파견수련계획!$R$4:$R$803,$AF268),1)&lt;&gt;"⚠",INDEX(파견수련계획!$R$4:$R$803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파견수련계획!$Y$4:$Y$803,0),IFERROR(MATCH(TRIM($J268&amp;"")&amp;"|파견예정",파견수련계획!$Y$4:$Y$803,0),IFERROR(MATCH(TRIM($J268&amp;"")&amp;"|파견종료",파견수련계획!$Y$4:$Y$803,0),""))))</f>
        <v/>
      </c>
      <c r="AG268" s="10">
        <f>IF($B268="","",IF(AND(IF(OR($AC268="",인턴현황!$K$2=""),"",INDEX(인턴근무계획!$M$3:$R$402,$AC268,인턴현황!$K$2)&amp;"")&lt;&gt;"",LEFT(IF(OR($AC268="",인턴현황!$K$2=""),"",INDEX(인턴근무계획!$M$3:$R$402,$AC268,인턴현황!$K$2)&amp;""),1)&lt;&gt;"⚠"),LEFT(IF(OR($AC268="",인턴현황!$K$2=""),"",INDEX(인턴근무계획!$M$3:$R$402,$AC268,인턴현황!$K$2)&amp;""),FIND(" ",IF(OR($AC268="",인턴현황!$K$2=""),"",INDEX(인턴근무계획!$M$3:$R$402,$AC268,인턴현황!$K$2)&amp;""))-1),$AE268))</f>
        <v/>
      </c>
      <c r="AH268" s="17">
        <f>IF($B268="","",IF(TRIM($J268&amp;"")="",0,SUMPRODUCT((파견수련계획!$Q$4:$Q$803=TRIM($J268&amp;""))*(파견수련계획!$S$4:$S$803="서울병원")*파견수련계획!$W$4:$W$803))+IF($AG268="서울병원",MAX(0,DAY(EOMONTH(요약!$B$3,0))-N($X268)),0))</f>
        <v/>
      </c>
      <c r="AI268" s="17">
        <f>IF($B268="","",IF(TRIM($J268&amp;"")="",0,SUMPRODUCT((파견수련계획!$Q$4:$Q$803=TRIM($J268&amp;""))*(파견수련계획!$S$4:$S$803="구리병원")*파견수련계획!$W$4:$W$803))+IF($AG268="구리병원",MAX(0,DAY(EOMONTH(요약!$B$3,0))-N($X268)),0))</f>
        <v/>
      </c>
      <c r="AJ268" s="10">
        <f>IF(OR($B268="",TRIM($J268&amp;"")=""),"",IFERROR(MATCH(TRIM($J268&amp;"")&amp;"|월",파견수련계획!$Z$4:$Z$803,0),""))</f>
        <v/>
      </c>
      <c r="AK268" s="10">
        <f>IF(OR($B268="",TRIM($J268&amp;"")=""),"",IFERROR(MATCH(TRIM($J268&amp;"")&amp;"|다기관",파견수련계획!$AE$4:$AE$803,0),""))</f>
        <v/>
      </c>
      <c r="AL268" s="10">
        <f>IF($AK268="","","다기관 "&amp;TEXT(INDEX(파견수련계획!$AB$4:$AB$803,$AK268),"yyyy-mm-dd")&amp;"~"&amp;IF(ISNUMBER(INDEX(파견수련계획!$AC$4:$AC$803,$AK268)),TEXT(INDEX(파견수련계획!$AC$4:$AC$803,$AK268),"yyyy-mm-dd"),""))</f>
        <v/>
      </c>
    </row>
    <row r="269">
      <c r="A269" s="10">
        <f>IF(B269="","",ROW()-1)</f>
        <v/>
      </c>
      <c r="B269" s="18" t="n"/>
      <c r="C269" s="10">
        <f>IF($AB269="","",IF(INDEX(기본자료!$C$2:$C$1001,$AB269)="","",INDEX(기본자료!$C$2:$C$1001,$AB269)))</f>
        <v/>
      </c>
      <c r="D269" s="10">
        <f>IF($AB269="","",IF(INDEX(기본자료!$J$2:$J$1001,$AB269)="","",INDEX(기본자료!$J$2:$J$1001,$AB269)))</f>
        <v/>
      </c>
      <c r="E269" s="11">
        <f>IF($AB269="","",IF(INDEX(기본자료!$K$2:$K$1001,$AB269)="","",IF(NOT(ISNUMBER(INDEX(기본자료!$K$2:$K$1001,$AB269))),INDEX(기본자료!$K$2:$K$1001,$AB269),IF(INDEX(기본자료!$K$2:$K$1001,$AB269)&lt;1000000,INDEX(기본자료!$K$2:$K$1001,$AB269),IF(AND(INDEX(기본자료!$K$2:$K$1001,$AB269)&gt;=10000101,INT(MOD(INDEX(기본자료!$K$2:$K$1001,$AB269),10000)/100)&gt;=1,INT(MOD(INDEX(기본자료!$K$2:$K$1001,$AB269),10000)/100)&lt;=12,MOD(INDEX(기본자료!$K$2:$K$1001,$AB269),100)&gt;=1,MOD(INDEX(기본자료!$K$2:$K$1001,$AB269),100)&lt;=31),DATE(INT(INDEX(기본자료!$K$2:$K$1001,$AB269)/10000),INT(MOD(INDEX(기본자료!$K$2:$K$1001,$AB269),10000)/100),MOD(INDEX(기본자료!$K$2:$K$1001,$AB269),100)),INDEX(기본자료!$K$2:$K$1001,$AB269)&amp;"")))))</f>
        <v/>
      </c>
      <c r="F269" s="10">
        <f>IF($AB269="","",IF(INDEX(기본자료!$D$2:$D$1001,$AB269)="","",INDEX(기본자료!$D$2:$D$1001,$AB269)))</f>
        <v/>
      </c>
      <c r="G269" s="10">
        <f>IF($AB269="","",IF(INDEX(기본자료!$E$2:$E$1001,$AB269)="","",INDEX(기본자료!$E$2:$E$1001,$AB269)))</f>
        <v/>
      </c>
      <c r="H269" s="10">
        <f>IF($AB269="","",IF(INDEX(기본자료!$F$2:$F$1001,$AB269)="","",INDEX(기본자료!$F$2:$F$1001,$AB269)))</f>
        <v/>
      </c>
      <c r="I269" s="11">
        <f>IF($AB269="","",IF(INDEX(기본자료!$G$2:$G$1001,$AB269)="","",IF(NOT(ISNUMBER(INDEX(기본자료!$G$2:$G$1001,$AB269))),INDEX(기본자료!$G$2:$G$1001,$AB269),IF(INDEX(기본자료!$G$2:$G$1001,$AB269)&lt;1000000,INDEX(기본자료!$G$2:$G$1001,$AB269),IF(AND(INDEX(기본자료!$G$2:$G$1001,$AB269)&gt;=10000101,INT(MOD(INDEX(기본자료!$G$2:$G$1001,$AB269),10000)/100)&gt;=1,INT(MOD(INDEX(기본자료!$G$2:$G$1001,$AB269),10000)/100)&lt;=12,MOD(INDEX(기본자료!$G$2:$G$1001,$AB269),100)&gt;=1,MOD(INDEX(기본자료!$G$2:$G$1001,$AB269),100)&lt;=31),DATE(INT(INDEX(기본자료!$G$2:$G$1001,$AB269)/10000),INT(MOD(INDEX(기본자료!$G$2:$G$1001,$AB269),10000)/100),MOD(INDEX(기본자료!$G$2:$G$1001,$AB269),100)),INDEX(기본자료!$G$2:$G$1001,$AB269)&amp;"")))))</f>
        <v/>
      </c>
      <c r="J269" s="10">
        <f>IF($AB269="","",IF(INDEX(기본자료!$H$2:$H$1001,$AB269)="","",INDEX(기본자료!$H$2:$H$1001,$AB269)))</f>
        <v/>
      </c>
      <c r="K269" s="10">
        <f>IF($AB269="","",IF(INDEX(기본자료!$I$2:$I$1001,$AB269)="","",INDEX(기본자료!$I$2:$I$1001,$AB269)))</f>
        <v/>
      </c>
      <c r="L269" s="10">
        <f>IF($AB269="","",IF(INDEX(기본자료!$A$2:$A$1001,$AB269)="","",INDEX(기본자료!$A$2:$A$1001,$AB269)))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파견수련계획!$AB$4:$AB$803,$AK269),OR(NOT(ISNUMBER(INDEX(파견수련계획!$AC$4:$AC$803,$AK269))),TODAY()&lt;=INDEX(파견수련계획!$AC$4:$AC$803,$AK269))),"다기관",IF($AF269="","",INDEX(파견수련계획!$T$4:$T$803,$AF269))),IF($AF269="","",INDEX(파견수련계획!$T$4:$T$803,$AF269))))</f>
        <v/>
      </c>
      <c r="Q269" s="10">
        <f>IF($AF269="","",INDEX(파견수련계획!$S$4:$S$803,$AF269))</f>
        <v/>
      </c>
      <c r="R269" s="10">
        <f>IF($AF269="","",INDEX(파견수련계획!$U$4:$U$803,$AF269))</f>
        <v/>
      </c>
      <c r="S269" s="11">
        <f>IF($AF269="","",IF(INDEX(파견수련계획!$H$4:$H$803,$AF269)="","",INDEX(파견수련계획!$H$4:$H$803,$AF269)))</f>
        <v/>
      </c>
      <c r="T269" s="11">
        <f>IF($AF269="","",IF(INDEX(파견수련계획!$I$4:$I$803,$AF269)="","",INDEX(파견수련계획!$I$4:$I$803,$AF269)))</f>
        <v/>
      </c>
      <c r="U269" s="10">
        <f>IF($AF269="","",INDEX(파견수련계획!$X$4:$X$803,$AF269))</f>
        <v/>
      </c>
      <c r="V269" s="17">
        <f>IF($AF269="","",INDEX(파견수련계획!$V$4:$V$803,$AF269))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IF(OR($B269="",TRIM($J269&amp;"")=""),"",SUMPRODUCT((파견수련계획!$Q$4:$Q$803=TRIM($J269&amp;""))*파견수련계획!$W$4:$W$803))</f>
        <v/>
      </c>
      <c r="Y269" s="10">
        <f>IF($B269="","",IF($AG269="","",IF(IF(TRIM($J269&amp;"")="",0,SUMPRODUCT((파견수련계획!$Q$4:$Q$803=TRIM($J269&amp;""))*파견수련계획!$AD$4:$AD$803))&gt;0,$AE269,IF(N($X269)&lt;=0,$AG269,IF($AH269+$AI269=DAY(EOMONTH(요약!$B$3,0)),IF(AND($AH269&gt;=요약!$E$3,$AI269&lt;요약!$E$3),"서울병원",IF(AND($AI269&gt;=요약!$E$3,$AH269&lt;요약!$E$3),"구리병원","⚠15일 판정불가(서울 "&amp;$AH269&amp;"일/구리 "&amp;$AI269&amp;"일)")),IF($AJ269="",$AE269,IF(INDEX(파견수련계획!$T$4:$T$803,$AJ269)="통합수련",INDEX(파견수련계획!$S$4:$S$803,$AJ269),$AE269)))))))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입력",IF(IF(TRIM($J269&amp;"")="",0,SUMPRODUCT((파견수련계획!$Q$4:$Q$803=TRIM($J269&amp;""))*(파견수련계획!$AA$4:$AA$803&lt;&gt;"")))&gt;0,"파견수련계획 입력오류 확인",IF(LEFT($Y269,1)="⚠","서울·구리 15일 판정 불가(양쪽 모두 이상/미만)",IF(IF($AC269="",0,N(INDEX(인턴근무계획!$T$3:$T$402,$AC269)))&gt;0,"인턴계획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IF($B269="","",IFERROR(MATCH($B269,기본자료!$B$2:$B$1001,0),IFERROR(MATCH($B269&amp;"",기본자료!$B$2:$B$1001,0),IFERROR(MATCH(VALUE($B269),기본자료!$B$2:$B$1001,0),""))))</f>
        <v/>
      </c>
      <c r="AC269" s="10">
        <f>IF($B269="","",IFERROR(MATCH($B269,인턴근무계획!$D$3:$D$402,0),IFERROR(MATCH($B269&amp;"",인턴근무계획!$D$3:$D$402,0),IFERROR(MATCH(VALUE($B269),인턴근무계획!$D$3:$D$402,0),""))))</f>
        <v/>
      </c>
      <c r="AD269" s="10">
        <f>IF(OR($AC269="",인턴현황!$G$3=""),"",INDEX(인턴근무계획!$M$3:$R$402,$AC269,인턴현황!$G$3)&amp;"")</f>
        <v/>
      </c>
      <c r="AE269" s="10">
        <f>IF($B269="","",IF($M269&lt;&gt;"",$M269,IF($AF269&lt;&gt;"",IF(LEFT(INDEX(파견수련계획!$R$4:$R$803,$AF269),1)&lt;&gt;"⚠",INDEX(파견수련계획!$R$4:$R$803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파견수련계획!$Y$4:$Y$803,0),IFERROR(MATCH(TRIM($J269&amp;"")&amp;"|파견예정",파견수련계획!$Y$4:$Y$803,0),IFERROR(MATCH(TRIM($J269&amp;"")&amp;"|파견종료",파견수련계획!$Y$4:$Y$803,0),""))))</f>
        <v/>
      </c>
      <c r="AG269" s="10">
        <f>IF($B269="","",IF(AND(IF(OR($AC269="",인턴현황!$K$2=""),"",INDEX(인턴근무계획!$M$3:$R$402,$AC269,인턴현황!$K$2)&amp;"")&lt;&gt;"",LEFT(IF(OR($AC269="",인턴현황!$K$2=""),"",INDEX(인턴근무계획!$M$3:$R$402,$AC269,인턴현황!$K$2)&amp;""),1)&lt;&gt;"⚠"),LEFT(IF(OR($AC269="",인턴현황!$K$2=""),"",INDEX(인턴근무계획!$M$3:$R$402,$AC269,인턴현황!$K$2)&amp;""),FIND(" ",IF(OR($AC269="",인턴현황!$K$2=""),"",INDEX(인턴근무계획!$M$3:$R$402,$AC269,인턴현황!$K$2)&amp;""))-1),$AE269))</f>
        <v/>
      </c>
      <c r="AH269" s="17">
        <f>IF($B269="","",IF(TRIM($J269&amp;"")="",0,SUMPRODUCT((파견수련계획!$Q$4:$Q$803=TRIM($J269&amp;""))*(파견수련계획!$S$4:$S$803="서울병원")*파견수련계획!$W$4:$W$803))+IF($AG269="서울병원",MAX(0,DAY(EOMONTH(요약!$B$3,0))-N($X269)),0))</f>
        <v/>
      </c>
      <c r="AI269" s="17">
        <f>IF($B269="","",IF(TRIM($J269&amp;"")="",0,SUMPRODUCT((파견수련계획!$Q$4:$Q$803=TRIM($J269&amp;""))*(파견수련계획!$S$4:$S$803="구리병원")*파견수련계획!$W$4:$W$803))+IF($AG269="구리병원",MAX(0,DAY(EOMONTH(요약!$B$3,0))-N($X269)),0))</f>
        <v/>
      </c>
      <c r="AJ269" s="10">
        <f>IF(OR($B269="",TRIM($J269&amp;"")=""),"",IFERROR(MATCH(TRIM($J269&amp;"")&amp;"|월",파견수련계획!$Z$4:$Z$803,0),""))</f>
        <v/>
      </c>
      <c r="AK269" s="10">
        <f>IF(OR($B269="",TRIM($J269&amp;"")=""),"",IFERROR(MATCH(TRIM($J269&amp;"")&amp;"|다기관",파견수련계획!$AE$4:$AE$803,0),""))</f>
        <v/>
      </c>
      <c r="AL269" s="10">
        <f>IF($AK269="","","다기관 "&amp;TEXT(INDEX(파견수련계획!$AB$4:$AB$803,$AK269),"yyyy-mm-dd")&amp;"~"&amp;IF(ISNUMBER(INDEX(파견수련계획!$AC$4:$AC$803,$AK269)),TEXT(INDEX(파견수련계획!$AC$4:$AC$803,$AK269),"yyyy-mm-dd"),""))</f>
        <v/>
      </c>
    </row>
    <row r="270">
      <c r="A270" s="10">
        <f>IF(B270="","",ROW()-1)</f>
        <v/>
      </c>
      <c r="B270" s="18" t="n"/>
      <c r="C270" s="10">
        <f>IF($AB270="","",IF(INDEX(기본자료!$C$2:$C$1001,$AB270)="","",INDEX(기본자료!$C$2:$C$1001,$AB270)))</f>
        <v/>
      </c>
      <c r="D270" s="10">
        <f>IF($AB270="","",IF(INDEX(기본자료!$J$2:$J$1001,$AB270)="","",INDEX(기본자료!$J$2:$J$1001,$AB270)))</f>
        <v/>
      </c>
      <c r="E270" s="11">
        <f>IF($AB270="","",IF(INDEX(기본자료!$K$2:$K$1001,$AB270)="","",IF(NOT(ISNUMBER(INDEX(기본자료!$K$2:$K$1001,$AB270))),INDEX(기본자료!$K$2:$K$1001,$AB270),IF(INDEX(기본자료!$K$2:$K$1001,$AB270)&lt;1000000,INDEX(기본자료!$K$2:$K$1001,$AB270),IF(AND(INDEX(기본자료!$K$2:$K$1001,$AB270)&gt;=10000101,INT(MOD(INDEX(기본자료!$K$2:$K$1001,$AB270),10000)/100)&gt;=1,INT(MOD(INDEX(기본자료!$K$2:$K$1001,$AB270),10000)/100)&lt;=12,MOD(INDEX(기본자료!$K$2:$K$1001,$AB270),100)&gt;=1,MOD(INDEX(기본자료!$K$2:$K$1001,$AB270),100)&lt;=31),DATE(INT(INDEX(기본자료!$K$2:$K$1001,$AB270)/10000),INT(MOD(INDEX(기본자료!$K$2:$K$1001,$AB270),10000)/100),MOD(INDEX(기본자료!$K$2:$K$1001,$AB270),100)),INDEX(기본자료!$K$2:$K$1001,$AB270)&amp;"")))))</f>
        <v/>
      </c>
      <c r="F270" s="10">
        <f>IF($AB270="","",IF(INDEX(기본자료!$D$2:$D$1001,$AB270)="","",INDEX(기본자료!$D$2:$D$1001,$AB270)))</f>
        <v/>
      </c>
      <c r="G270" s="10">
        <f>IF($AB270="","",IF(INDEX(기본자료!$E$2:$E$1001,$AB270)="","",INDEX(기본자료!$E$2:$E$1001,$AB270)))</f>
        <v/>
      </c>
      <c r="H270" s="10">
        <f>IF($AB270="","",IF(INDEX(기본자료!$F$2:$F$1001,$AB270)="","",INDEX(기본자료!$F$2:$F$1001,$AB270)))</f>
        <v/>
      </c>
      <c r="I270" s="11">
        <f>IF($AB270="","",IF(INDEX(기본자료!$G$2:$G$1001,$AB270)="","",IF(NOT(ISNUMBER(INDEX(기본자료!$G$2:$G$1001,$AB270))),INDEX(기본자료!$G$2:$G$1001,$AB270),IF(INDEX(기본자료!$G$2:$G$1001,$AB270)&lt;1000000,INDEX(기본자료!$G$2:$G$1001,$AB270),IF(AND(INDEX(기본자료!$G$2:$G$1001,$AB270)&gt;=10000101,INT(MOD(INDEX(기본자료!$G$2:$G$1001,$AB270),10000)/100)&gt;=1,INT(MOD(INDEX(기본자료!$G$2:$G$1001,$AB270),10000)/100)&lt;=12,MOD(INDEX(기본자료!$G$2:$G$1001,$AB270),100)&gt;=1,MOD(INDEX(기본자료!$G$2:$G$1001,$AB270),100)&lt;=31),DATE(INT(INDEX(기본자료!$G$2:$G$1001,$AB270)/10000),INT(MOD(INDEX(기본자료!$G$2:$G$1001,$AB270),10000)/100),MOD(INDEX(기본자료!$G$2:$G$1001,$AB270),100)),INDEX(기본자료!$G$2:$G$1001,$AB270)&amp;"")))))</f>
        <v/>
      </c>
      <c r="J270" s="10">
        <f>IF($AB270="","",IF(INDEX(기본자료!$H$2:$H$1001,$AB270)="","",INDEX(기본자료!$H$2:$H$1001,$AB270)))</f>
        <v/>
      </c>
      <c r="K270" s="10">
        <f>IF($AB270="","",IF(INDEX(기본자료!$I$2:$I$1001,$AB270)="","",INDEX(기본자료!$I$2:$I$1001,$AB270)))</f>
        <v/>
      </c>
      <c r="L270" s="10">
        <f>IF($AB270="","",IF(INDEX(기본자료!$A$2:$A$1001,$AB270)="","",INDEX(기본자료!$A$2:$A$1001,$AB270)))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파견수련계획!$AB$4:$AB$803,$AK270),OR(NOT(ISNUMBER(INDEX(파견수련계획!$AC$4:$AC$803,$AK270))),TODAY()&lt;=INDEX(파견수련계획!$AC$4:$AC$803,$AK270))),"다기관",IF($AF270="","",INDEX(파견수련계획!$T$4:$T$803,$AF270))),IF($AF270="","",INDEX(파견수련계획!$T$4:$T$803,$AF270))))</f>
        <v/>
      </c>
      <c r="Q270" s="10">
        <f>IF($AF270="","",INDEX(파견수련계획!$S$4:$S$803,$AF270))</f>
        <v/>
      </c>
      <c r="R270" s="10">
        <f>IF($AF270="","",INDEX(파견수련계획!$U$4:$U$803,$AF270))</f>
        <v/>
      </c>
      <c r="S270" s="11">
        <f>IF($AF270="","",IF(INDEX(파견수련계획!$H$4:$H$803,$AF270)="","",INDEX(파견수련계획!$H$4:$H$803,$AF270)))</f>
        <v/>
      </c>
      <c r="T270" s="11">
        <f>IF($AF270="","",IF(INDEX(파견수련계획!$I$4:$I$803,$AF270)="","",INDEX(파견수련계획!$I$4:$I$803,$AF270)))</f>
        <v/>
      </c>
      <c r="U270" s="10">
        <f>IF($AF270="","",INDEX(파견수련계획!$X$4:$X$803,$AF270))</f>
        <v/>
      </c>
      <c r="V270" s="17">
        <f>IF($AF270="","",INDEX(파견수련계획!$V$4:$V$803,$AF270))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IF(OR($B270="",TRIM($J270&amp;"")=""),"",SUMPRODUCT((파견수련계획!$Q$4:$Q$803=TRIM($J270&amp;""))*파견수련계획!$W$4:$W$803))</f>
        <v/>
      </c>
      <c r="Y270" s="10">
        <f>IF($B270="","",IF($AG270="","",IF(IF(TRIM($J270&amp;"")="",0,SUMPRODUCT((파견수련계획!$Q$4:$Q$803=TRIM($J270&amp;""))*파견수련계획!$AD$4:$AD$803))&gt;0,$AE270,IF(N($X270)&lt;=0,$AG270,IF($AH270+$AI270=DAY(EOMONTH(요약!$B$3,0)),IF(AND($AH270&gt;=요약!$E$3,$AI270&lt;요약!$E$3),"서울병원",IF(AND($AI270&gt;=요약!$E$3,$AH270&lt;요약!$E$3),"구리병원","⚠15일 판정불가(서울 "&amp;$AH270&amp;"일/구리 "&amp;$AI270&amp;"일)")),IF($AJ270="",$AE270,IF(INDEX(파견수련계획!$T$4:$T$803,$AJ270)="통합수련",INDEX(파견수련계획!$S$4:$S$803,$AJ270),$AE270)))))))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입력",IF(IF(TRIM($J270&amp;"")="",0,SUMPRODUCT((파견수련계획!$Q$4:$Q$803=TRIM($J270&amp;""))*(파견수련계획!$AA$4:$AA$803&lt;&gt;"")))&gt;0,"파견수련계획 입력오류 확인",IF(LEFT($Y270,1)="⚠","서울·구리 15일 판정 불가(양쪽 모두 이상/미만)",IF(IF($AC270="",0,N(INDEX(인턴근무계획!$T$3:$T$402,$AC270)))&gt;0,"인턴계획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IF($B270="","",IFERROR(MATCH($B270,기본자료!$B$2:$B$1001,0),IFERROR(MATCH($B270&amp;"",기본자료!$B$2:$B$1001,0),IFERROR(MATCH(VALUE($B270),기본자료!$B$2:$B$1001,0),""))))</f>
        <v/>
      </c>
      <c r="AC270" s="10">
        <f>IF($B270="","",IFERROR(MATCH($B270,인턴근무계획!$D$3:$D$402,0),IFERROR(MATCH($B270&amp;"",인턴근무계획!$D$3:$D$402,0),IFERROR(MATCH(VALUE($B270),인턴근무계획!$D$3:$D$402,0),""))))</f>
        <v/>
      </c>
      <c r="AD270" s="10">
        <f>IF(OR($AC270="",인턴현황!$G$3=""),"",INDEX(인턴근무계획!$M$3:$R$402,$AC270,인턴현황!$G$3)&amp;"")</f>
        <v/>
      </c>
      <c r="AE270" s="10">
        <f>IF($B270="","",IF($M270&lt;&gt;"",$M270,IF($AF270&lt;&gt;"",IF(LEFT(INDEX(파견수련계획!$R$4:$R$803,$AF270),1)&lt;&gt;"⚠",INDEX(파견수련계획!$R$4:$R$803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파견수련계획!$Y$4:$Y$803,0),IFERROR(MATCH(TRIM($J270&amp;"")&amp;"|파견예정",파견수련계획!$Y$4:$Y$803,0),IFERROR(MATCH(TRIM($J270&amp;"")&amp;"|파견종료",파견수련계획!$Y$4:$Y$803,0),""))))</f>
        <v/>
      </c>
      <c r="AG270" s="10">
        <f>IF($B270="","",IF(AND(IF(OR($AC270="",인턴현황!$K$2=""),"",INDEX(인턴근무계획!$M$3:$R$402,$AC270,인턴현황!$K$2)&amp;"")&lt;&gt;"",LEFT(IF(OR($AC270="",인턴현황!$K$2=""),"",INDEX(인턴근무계획!$M$3:$R$402,$AC270,인턴현황!$K$2)&amp;""),1)&lt;&gt;"⚠"),LEFT(IF(OR($AC270="",인턴현황!$K$2=""),"",INDEX(인턴근무계획!$M$3:$R$402,$AC270,인턴현황!$K$2)&amp;""),FIND(" ",IF(OR($AC270="",인턴현황!$K$2=""),"",INDEX(인턴근무계획!$M$3:$R$402,$AC270,인턴현황!$K$2)&amp;""))-1),$AE270))</f>
        <v/>
      </c>
      <c r="AH270" s="17">
        <f>IF($B270="","",IF(TRIM($J270&amp;"")="",0,SUMPRODUCT((파견수련계획!$Q$4:$Q$803=TRIM($J270&amp;""))*(파견수련계획!$S$4:$S$803="서울병원")*파견수련계획!$W$4:$W$803))+IF($AG270="서울병원",MAX(0,DAY(EOMONTH(요약!$B$3,0))-N($X270)),0))</f>
        <v/>
      </c>
      <c r="AI270" s="17">
        <f>IF($B270="","",IF(TRIM($J270&amp;"")="",0,SUMPRODUCT((파견수련계획!$Q$4:$Q$803=TRIM($J270&amp;""))*(파견수련계획!$S$4:$S$803="구리병원")*파견수련계획!$W$4:$W$803))+IF($AG270="구리병원",MAX(0,DAY(EOMONTH(요약!$B$3,0))-N($X270)),0))</f>
        <v/>
      </c>
      <c r="AJ270" s="10">
        <f>IF(OR($B270="",TRIM($J270&amp;"")=""),"",IFERROR(MATCH(TRIM($J270&amp;"")&amp;"|월",파견수련계획!$Z$4:$Z$803,0),""))</f>
        <v/>
      </c>
      <c r="AK270" s="10">
        <f>IF(OR($B270="",TRIM($J270&amp;"")=""),"",IFERROR(MATCH(TRIM($J270&amp;"")&amp;"|다기관",파견수련계획!$AE$4:$AE$803,0),""))</f>
        <v/>
      </c>
      <c r="AL270" s="10">
        <f>IF($AK270="","","다기관 "&amp;TEXT(INDEX(파견수련계획!$AB$4:$AB$803,$AK270),"yyyy-mm-dd")&amp;"~"&amp;IF(ISNUMBER(INDEX(파견수련계획!$AC$4:$AC$803,$AK270)),TEXT(INDEX(파견수련계획!$AC$4:$AC$803,$AK270),"yyyy-mm-dd"),""))</f>
        <v/>
      </c>
    </row>
    <row r="271">
      <c r="A271" s="10">
        <f>IF(B271="","",ROW()-1)</f>
        <v/>
      </c>
      <c r="B271" s="18" t="n"/>
      <c r="C271" s="10">
        <f>IF($AB271="","",IF(INDEX(기본자료!$C$2:$C$1001,$AB271)="","",INDEX(기본자료!$C$2:$C$1001,$AB271)))</f>
        <v/>
      </c>
      <c r="D271" s="10">
        <f>IF($AB271="","",IF(INDEX(기본자료!$J$2:$J$1001,$AB271)="","",INDEX(기본자료!$J$2:$J$1001,$AB271)))</f>
        <v/>
      </c>
      <c r="E271" s="11">
        <f>IF($AB271="","",IF(INDEX(기본자료!$K$2:$K$1001,$AB271)="","",IF(NOT(ISNUMBER(INDEX(기본자료!$K$2:$K$1001,$AB271))),INDEX(기본자료!$K$2:$K$1001,$AB271),IF(INDEX(기본자료!$K$2:$K$1001,$AB271)&lt;1000000,INDEX(기본자료!$K$2:$K$1001,$AB271),IF(AND(INDEX(기본자료!$K$2:$K$1001,$AB271)&gt;=10000101,INT(MOD(INDEX(기본자료!$K$2:$K$1001,$AB271),10000)/100)&gt;=1,INT(MOD(INDEX(기본자료!$K$2:$K$1001,$AB271),10000)/100)&lt;=12,MOD(INDEX(기본자료!$K$2:$K$1001,$AB271),100)&gt;=1,MOD(INDEX(기본자료!$K$2:$K$1001,$AB271),100)&lt;=31),DATE(INT(INDEX(기본자료!$K$2:$K$1001,$AB271)/10000),INT(MOD(INDEX(기본자료!$K$2:$K$1001,$AB271),10000)/100),MOD(INDEX(기본자료!$K$2:$K$1001,$AB271),100)),INDEX(기본자료!$K$2:$K$1001,$AB271)&amp;"")))))</f>
        <v/>
      </c>
      <c r="F271" s="10">
        <f>IF($AB271="","",IF(INDEX(기본자료!$D$2:$D$1001,$AB271)="","",INDEX(기본자료!$D$2:$D$1001,$AB271)))</f>
        <v/>
      </c>
      <c r="G271" s="10">
        <f>IF($AB271="","",IF(INDEX(기본자료!$E$2:$E$1001,$AB271)="","",INDEX(기본자료!$E$2:$E$1001,$AB271)))</f>
        <v/>
      </c>
      <c r="H271" s="10">
        <f>IF($AB271="","",IF(INDEX(기본자료!$F$2:$F$1001,$AB271)="","",INDEX(기본자료!$F$2:$F$1001,$AB271)))</f>
        <v/>
      </c>
      <c r="I271" s="11">
        <f>IF($AB271="","",IF(INDEX(기본자료!$G$2:$G$1001,$AB271)="","",IF(NOT(ISNUMBER(INDEX(기본자료!$G$2:$G$1001,$AB271))),INDEX(기본자료!$G$2:$G$1001,$AB271),IF(INDEX(기본자료!$G$2:$G$1001,$AB271)&lt;1000000,INDEX(기본자료!$G$2:$G$1001,$AB271),IF(AND(INDEX(기본자료!$G$2:$G$1001,$AB271)&gt;=10000101,INT(MOD(INDEX(기본자료!$G$2:$G$1001,$AB271),10000)/100)&gt;=1,INT(MOD(INDEX(기본자료!$G$2:$G$1001,$AB271),10000)/100)&lt;=12,MOD(INDEX(기본자료!$G$2:$G$1001,$AB271),100)&gt;=1,MOD(INDEX(기본자료!$G$2:$G$1001,$AB271),100)&lt;=31),DATE(INT(INDEX(기본자료!$G$2:$G$1001,$AB271)/10000),INT(MOD(INDEX(기본자료!$G$2:$G$1001,$AB271),10000)/100),MOD(INDEX(기본자료!$G$2:$G$1001,$AB271),100)),INDEX(기본자료!$G$2:$G$1001,$AB271)&amp;"")))))</f>
        <v/>
      </c>
      <c r="J271" s="10">
        <f>IF($AB271="","",IF(INDEX(기본자료!$H$2:$H$1001,$AB271)="","",INDEX(기본자료!$H$2:$H$1001,$AB271)))</f>
        <v/>
      </c>
      <c r="K271" s="10">
        <f>IF($AB271="","",IF(INDEX(기본자료!$I$2:$I$1001,$AB271)="","",INDEX(기본자료!$I$2:$I$1001,$AB271)))</f>
        <v/>
      </c>
      <c r="L271" s="10">
        <f>IF($AB271="","",IF(INDEX(기본자료!$A$2:$A$1001,$AB271)="","",INDEX(기본자료!$A$2:$A$1001,$AB271)))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파견수련계획!$AB$4:$AB$803,$AK271),OR(NOT(ISNUMBER(INDEX(파견수련계획!$AC$4:$AC$803,$AK271))),TODAY()&lt;=INDEX(파견수련계획!$AC$4:$AC$803,$AK271))),"다기관",IF($AF271="","",INDEX(파견수련계획!$T$4:$T$803,$AF271))),IF($AF271="","",INDEX(파견수련계획!$T$4:$T$803,$AF271))))</f>
        <v/>
      </c>
      <c r="Q271" s="10">
        <f>IF($AF271="","",INDEX(파견수련계획!$S$4:$S$803,$AF271))</f>
        <v/>
      </c>
      <c r="R271" s="10">
        <f>IF($AF271="","",INDEX(파견수련계획!$U$4:$U$803,$AF271))</f>
        <v/>
      </c>
      <c r="S271" s="11">
        <f>IF($AF271="","",IF(INDEX(파견수련계획!$H$4:$H$803,$AF271)="","",INDEX(파견수련계획!$H$4:$H$803,$AF271)))</f>
        <v/>
      </c>
      <c r="T271" s="11">
        <f>IF($AF271="","",IF(INDEX(파견수련계획!$I$4:$I$803,$AF271)="","",INDEX(파견수련계획!$I$4:$I$803,$AF271)))</f>
        <v/>
      </c>
      <c r="U271" s="10">
        <f>IF($AF271="","",INDEX(파견수련계획!$X$4:$X$803,$AF271))</f>
        <v/>
      </c>
      <c r="V271" s="17">
        <f>IF($AF271="","",INDEX(파견수련계획!$V$4:$V$803,$AF271))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IF(OR($B271="",TRIM($J271&amp;"")=""),"",SUMPRODUCT((파견수련계획!$Q$4:$Q$803=TRIM($J271&amp;""))*파견수련계획!$W$4:$W$803))</f>
        <v/>
      </c>
      <c r="Y271" s="10">
        <f>IF($B271="","",IF($AG271="","",IF(IF(TRIM($J271&amp;"")="",0,SUMPRODUCT((파견수련계획!$Q$4:$Q$803=TRIM($J271&amp;""))*파견수련계획!$AD$4:$AD$803))&gt;0,$AE271,IF(N($X271)&lt;=0,$AG271,IF($AH271+$AI271=DAY(EOMONTH(요약!$B$3,0)),IF(AND($AH271&gt;=요약!$E$3,$AI271&lt;요약!$E$3),"서울병원",IF(AND($AI271&gt;=요약!$E$3,$AH271&lt;요약!$E$3),"구리병원","⚠15일 판정불가(서울 "&amp;$AH271&amp;"일/구리 "&amp;$AI271&amp;"일)")),IF($AJ271="",$AE271,IF(INDEX(파견수련계획!$T$4:$T$803,$AJ271)="통합수련",INDEX(파견수련계획!$S$4:$S$803,$AJ271),$AE271)))))))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입력",IF(IF(TRIM($J271&amp;"")="",0,SUMPRODUCT((파견수련계획!$Q$4:$Q$803=TRIM($J271&amp;""))*(파견수련계획!$AA$4:$AA$803&lt;&gt;"")))&gt;0,"파견수련계획 입력오류 확인",IF(LEFT($Y271,1)="⚠","서울·구리 15일 판정 불가(양쪽 모두 이상/미만)",IF(IF($AC271="",0,N(INDEX(인턴근무계획!$T$3:$T$402,$AC271)))&gt;0,"인턴계획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IF($B271="","",IFERROR(MATCH($B271,기본자료!$B$2:$B$1001,0),IFERROR(MATCH($B271&amp;"",기본자료!$B$2:$B$1001,0),IFERROR(MATCH(VALUE($B271),기본자료!$B$2:$B$1001,0),""))))</f>
        <v/>
      </c>
      <c r="AC271" s="10">
        <f>IF($B271="","",IFERROR(MATCH($B271,인턴근무계획!$D$3:$D$402,0),IFERROR(MATCH($B271&amp;"",인턴근무계획!$D$3:$D$402,0),IFERROR(MATCH(VALUE($B271),인턴근무계획!$D$3:$D$402,0),""))))</f>
        <v/>
      </c>
      <c r="AD271" s="10">
        <f>IF(OR($AC271="",인턴현황!$G$3=""),"",INDEX(인턴근무계획!$M$3:$R$402,$AC271,인턴현황!$G$3)&amp;"")</f>
        <v/>
      </c>
      <c r="AE271" s="10">
        <f>IF($B271="","",IF($M271&lt;&gt;"",$M271,IF($AF271&lt;&gt;"",IF(LEFT(INDEX(파견수련계획!$R$4:$R$803,$AF271),1)&lt;&gt;"⚠",INDEX(파견수련계획!$R$4:$R$803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파견수련계획!$Y$4:$Y$803,0),IFERROR(MATCH(TRIM($J271&amp;"")&amp;"|파견예정",파견수련계획!$Y$4:$Y$803,0),IFERROR(MATCH(TRIM($J271&amp;"")&amp;"|파견종료",파견수련계획!$Y$4:$Y$803,0),""))))</f>
        <v/>
      </c>
      <c r="AG271" s="10">
        <f>IF($B271="","",IF(AND(IF(OR($AC271="",인턴현황!$K$2=""),"",INDEX(인턴근무계획!$M$3:$R$402,$AC271,인턴현황!$K$2)&amp;"")&lt;&gt;"",LEFT(IF(OR($AC271="",인턴현황!$K$2=""),"",INDEX(인턴근무계획!$M$3:$R$402,$AC271,인턴현황!$K$2)&amp;""),1)&lt;&gt;"⚠"),LEFT(IF(OR($AC271="",인턴현황!$K$2=""),"",INDEX(인턴근무계획!$M$3:$R$402,$AC271,인턴현황!$K$2)&amp;""),FIND(" ",IF(OR($AC271="",인턴현황!$K$2=""),"",INDEX(인턴근무계획!$M$3:$R$402,$AC271,인턴현황!$K$2)&amp;""))-1),$AE271))</f>
        <v/>
      </c>
      <c r="AH271" s="17">
        <f>IF($B271="","",IF(TRIM($J271&amp;"")="",0,SUMPRODUCT((파견수련계획!$Q$4:$Q$803=TRIM($J271&amp;""))*(파견수련계획!$S$4:$S$803="서울병원")*파견수련계획!$W$4:$W$803))+IF($AG271="서울병원",MAX(0,DAY(EOMONTH(요약!$B$3,0))-N($X271)),0))</f>
        <v/>
      </c>
      <c r="AI271" s="17">
        <f>IF($B271="","",IF(TRIM($J271&amp;"")="",0,SUMPRODUCT((파견수련계획!$Q$4:$Q$803=TRIM($J271&amp;""))*(파견수련계획!$S$4:$S$803="구리병원")*파견수련계획!$W$4:$W$803))+IF($AG271="구리병원",MAX(0,DAY(EOMONTH(요약!$B$3,0))-N($X271)),0))</f>
        <v/>
      </c>
      <c r="AJ271" s="10">
        <f>IF(OR($B271="",TRIM($J271&amp;"")=""),"",IFERROR(MATCH(TRIM($J271&amp;"")&amp;"|월",파견수련계획!$Z$4:$Z$803,0),""))</f>
        <v/>
      </c>
      <c r="AK271" s="10">
        <f>IF(OR($B271="",TRIM($J271&amp;"")=""),"",IFERROR(MATCH(TRIM($J271&amp;"")&amp;"|다기관",파견수련계획!$AE$4:$AE$803,0),""))</f>
        <v/>
      </c>
      <c r="AL271" s="10">
        <f>IF($AK271="","","다기관 "&amp;TEXT(INDEX(파견수련계획!$AB$4:$AB$803,$AK271),"yyyy-mm-dd")&amp;"~"&amp;IF(ISNUMBER(INDEX(파견수련계획!$AC$4:$AC$803,$AK271)),TEXT(INDEX(파견수련계획!$AC$4:$AC$803,$AK271),"yyyy-mm-dd"),""))</f>
        <v/>
      </c>
    </row>
    <row r="272">
      <c r="A272" s="10">
        <f>IF(B272="","",ROW()-1)</f>
        <v/>
      </c>
      <c r="B272" s="18" t="n"/>
      <c r="C272" s="10">
        <f>IF($AB272="","",IF(INDEX(기본자료!$C$2:$C$1001,$AB272)="","",INDEX(기본자료!$C$2:$C$1001,$AB272)))</f>
        <v/>
      </c>
      <c r="D272" s="10">
        <f>IF($AB272="","",IF(INDEX(기본자료!$J$2:$J$1001,$AB272)="","",INDEX(기본자료!$J$2:$J$1001,$AB272)))</f>
        <v/>
      </c>
      <c r="E272" s="11">
        <f>IF($AB272="","",IF(INDEX(기본자료!$K$2:$K$1001,$AB272)="","",IF(NOT(ISNUMBER(INDEX(기본자료!$K$2:$K$1001,$AB272))),INDEX(기본자료!$K$2:$K$1001,$AB272),IF(INDEX(기본자료!$K$2:$K$1001,$AB272)&lt;1000000,INDEX(기본자료!$K$2:$K$1001,$AB272),IF(AND(INDEX(기본자료!$K$2:$K$1001,$AB272)&gt;=10000101,INT(MOD(INDEX(기본자료!$K$2:$K$1001,$AB272),10000)/100)&gt;=1,INT(MOD(INDEX(기본자료!$K$2:$K$1001,$AB272),10000)/100)&lt;=12,MOD(INDEX(기본자료!$K$2:$K$1001,$AB272),100)&gt;=1,MOD(INDEX(기본자료!$K$2:$K$1001,$AB272),100)&lt;=31),DATE(INT(INDEX(기본자료!$K$2:$K$1001,$AB272)/10000),INT(MOD(INDEX(기본자료!$K$2:$K$1001,$AB272),10000)/100),MOD(INDEX(기본자료!$K$2:$K$1001,$AB272),100)),INDEX(기본자료!$K$2:$K$1001,$AB272)&amp;"")))))</f>
        <v/>
      </c>
      <c r="F272" s="10">
        <f>IF($AB272="","",IF(INDEX(기본자료!$D$2:$D$1001,$AB272)="","",INDEX(기본자료!$D$2:$D$1001,$AB272)))</f>
        <v/>
      </c>
      <c r="G272" s="10">
        <f>IF($AB272="","",IF(INDEX(기본자료!$E$2:$E$1001,$AB272)="","",INDEX(기본자료!$E$2:$E$1001,$AB272)))</f>
        <v/>
      </c>
      <c r="H272" s="10">
        <f>IF($AB272="","",IF(INDEX(기본자료!$F$2:$F$1001,$AB272)="","",INDEX(기본자료!$F$2:$F$1001,$AB272)))</f>
        <v/>
      </c>
      <c r="I272" s="11">
        <f>IF($AB272="","",IF(INDEX(기본자료!$G$2:$G$1001,$AB272)="","",IF(NOT(ISNUMBER(INDEX(기본자료!$G$2:$G$1001,$AB272))),INDEX(기본자료!$G$2:$G$1001,$AB272),IF(INDEX(기본자료!$G$2:$G$1001,$AB272)&lt;1000000,INDEX(기본자료!$G$2:$G$1001,$AB272),IF(AND(INDEX(기본자료!$G$2:$G$1001,$AB272)&gt;=10000101,INT(MOD(INDEX(기본자료!$G$2:$G$1001,$AB272),10000)/100)&gt;=1,INT(MOD(INDEX(기본자료!$G$2:$G$1001,$AB272),10000)/100)&lt;=12,MOD(INDEX(기본자료!$G$2:$G$1001,$AB272),100)&gt;=1,MOD(INDEX(기본자료!$G$2:$G$1001,$AB272),100)&lt;=31),DATE(INT(INDEX(기본자료!$G$2:$G$1001,$AB272)/10000),INT(MOD(INDEX(기본자료!$G$2:$G$1001,$AB272),10000)/100),MOD(INDEX(기본자료!$G$2:$G$1001,$AB272),100)),INDEX(기본자료!$G$2:$G$1001,$AB272)&amp;"")))))</f>
        <v/>
      </c>
      <c r="J272" s="10">
        <f>IF($AB272="","",IF(INDEX(기본자료!$H$2:$H$1001,$AB272)="","",INDEX(기본자료!$H$2:$H$1001,$AB272)))</f>
        <v/>
      </c>
      <c r="K272" s="10">
        <f>IF($AB272="","",IF(INDEX(기본자료!$I$2:$I$1001,$AB272)="","",INDEX(기본자료!$I$2:$I$1001,$AB272)))</f>
        <v/>
      </c>
      <c r="L272" s="10">
        <f>IF($AB272="","",IF(INDEX(기본자료!$A$2:$A$1001,$AB272)="","",INDEX(기본자료!$A$2:$A$1001,$AB272)))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파견수련계획!$AB$4:$AB$803,$AK272),OR(NOT(ISNUMBER(INDEX(파견수련계획!$AC$4:$AC$803,$AK272))),TODAY()&lt;=INDEX(파견수련계획!$AC$4:$AC$803,$AK272))),"다기관",IF($AF272="","",INDEX(파견수련계획!$T$4:$T$803,$AF272))),IF($AF272="","",INDEX(파견수련계획!$T$4:$T$803,$AF272))))</f>
        <v/>
      </c>
      <c r="Q272" s="10">
        <f>IF($AF272="","",INDEX(파견수련계획!$S$4:$S$803,$AF272))</f>
        <v/>
      </c>
      <c r="R272" s="10">
        <f>IF($AF272="","",INDEX(파견수련계획!$U$4:$U$803,$AF272))</f>
        <v/>
      </c>
      <c r="S272" s="11">
        <f>IF($AF272="","",IF(INDEX(파견수련계획!$H$4:$H$803,$AF272)="","",INDEX(파견수련계획!$H$4:$H$803,$AF272)))</f>
        <v/>
      </c>
      <c r="T272" s="11">
        <f>IF($AF272="","",IF(INDEX(파견수련계획!$I$4:$I$803,$AF272)="","",INDEX(파견수련계획!$I$4:$I$803,$AF272)))</f>
        <v/>
      </c>
      <c r="U272" s="10">
        <f>IF($AF272="","",INDEX(파견수련계획!$X$4:$X$803,$AF272))</f>
        <v/>
      </c>
      <c r="V272" s="17">
        <f>IF($AF272="","",INDEX(파견수련계획!$V$4:$V$803,$AF272))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IF(OR($B272="",TRIM($J272&amp;"")=""),"",SUMPRODUCT((파견수련계획!$Q$4:$Q$803=TRIM($J272&amp;""))*파견수련계획!$W$4:$W$803))</f>
        <v/>
      </c>
      <c r="Y272" s="10">
        <f>IF($B272="","",IF($AG272="","",IF(IF(TRIM($J272&amp;"")="",0,SUMPRODUCT((파견수련계획!$Q$4:$Q$803=TRIM($J272&amp;""))*파견수련계획!$AD$4:$AD$803))&gt;0,$AE272,IF(N($X272)&lt;=0,$AG272,IF($AH272+$AI272=DAY(EOMONTH(요약!$B$3,0)),IF(AND($AH272&gt;=요약!$E$3,$AI272&lt;요약!$E$3),"서울병원",IF(AND($AI272&gt;=요약!$E$3,$AH272&lt;요약!$E$3),"구리병원","⚠15일 판정불가(서울 "&amp;$AH272&amp;"일/구리 "&amp;$AI272&amp;"일)")),IF($AJ272="",$AE272,IF(INDEX(파견수련계획!$T$4:$T$803,$AJ272)="통합수련",INDEX(파견수련계획!$S$4:$S$803,$AJ272),$AE272)))))))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입력",IF(IF(TRIM($J272&amp;"")="",0,SUMPRODUCT((파견수련계획!$Q$4:$Q$803=TRIM($J272&amp;""))*(파견수련계획!$AA$4:$AA$803&lt;&gt;"")))&gt;0,"파견수련계획 입력오류 확인",IF(LEFT($Y272,1)="⚠","서울·구리 15일 판정 불가(양쪽 모두 이상/미만)",IF(IF($AC272="",0,N(INDEX(인턴근무계획!$T$3:$T$402,$AC272)))&gt;0,"인턴계획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IF($B272="","",IFERROR(MATCH($B272,기본자료!$B$2:$B$1001,0),IFERROR(MATCH($B272&amp;"",기본자료!$B$2:$B$1001,0),IFERROR(MATCH(VALUE($B272),기본자료!$B$2:$B$1001,0),""))))</f>
        <v/>
      </c>
      <c r="AC272" s="10">
        <f>IF($B272="","",IFERROR(MATCH($B272,인턴근무계획!$D$3:$D$402,0),IFERROR(MATCH($B272&amp;"",인턴근무계획!$D$3:$D$402,0),IFERROR(MATCH(VALUE($B272),인턴근무계획!$D$3:$D$402,0),""))))</f>
        <v/>
      </c>
      <c r="AD272" s="10">
        <f>IF(OR($AC272="",인턴현황!$G$3=""),"",INDEX(인턴근무계획!$M$3:$R$402,$AC272,인턴현황!$G$3)&amp;"")</f>
        <v/>
      </c>
      <c r="AE272" s="10">
        <f>IF($B272="","",IF($M272&lt;&gt;"",$M272,IF($AF272&lt;&gt;"",IF(LEFT(INDEX(파견수련계획!$R$4:$R$803,$AF272),1)&lt;&gt;"⚠",INDEX(파견수련계획!$R$4:$R$803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파견수련계획!$Y$4:$Y$803,0),IFERROR(MATCH(TRIM($J272&amp;"")&amp;"|파견예정",파견수련계획!$Y$4:$Y$803,0),IFERROR(MATCH(TRIM($J272&amp;"")&amp;"|파견종료",파견수련계획!$Y$4:$Y$803,0),""))))</f>
        <v/>
      </c>
      <c r="AG272" s="10">
        <f>IF($B272="","",IF(AND(IF(OR($AC272="",인턴현황!$K$2=""),"",INDEX(인턴근무계획!$M$3:$R$402,$AC272,인턴현황!$K$2)&amp;"")&lt;&gt;"",LEFT(IF(OR($AC272="",인턴현황!$K$2=""),"",INDEX(인턴근무계획!$M$3:$R$402,$AC272,인턴현황!$K$2)&amp;""),1)&lt;&gt;"⚠"),LEFT(IF(OR($AC272="",인턴현황!$K$2=""),"",INDEX(인턴근무계획!$M$3:$R$402,$AC272,인턴현황!$K$2)&amp;""),FIND(" ",IF(OR($AC272="",인턴현황!$K$2=""),"",INDEX(인턴근무계획!$M$3:$R$402,$AC272,인턴현황!$K$2)&amp;""))-1),$AE272))</f>
        <v/>
      </c>
      <c r="AH272" s="17">
        <f>IF($B272="","",IF(TRIM($J272&amp;"")="",0,SUMPRODUCT((파견수련계획!$Q$4:$Q$803=TRIM($J272&amp;""))*(파견수련계획!$S$4:$S$803="서울병원")*파견수련계획!$W$4:$W$803))+IF($AG272="서울병원",MAX(0,DAY(EOMONTH(요약!$B$3,0))-N($X272)),0))</f>
        <v/>
      </c>
      <c r="AI272" s="17">
        <f>IF($B272="","",IF(TRIM($J272&amp;"")="",0,SUMPRODUCT((파견수련계획!$Q$4:$Q$803=TRIM($J272&amp;""))*(파견수련계획!$S$4:$S$803="구리병원")*파견수련계획!$W$4:$W$803))+IF($AG272="구리병원",MAX(0,DAY(EOMONTH(요약!$B$3,0))-N($X272)),0))</f>
        <v/>
      </c>
      <c r="AJ272" s="10">
        <f>IF(OR($B272="",TRIM($J272&amp;"")=""),"",IFERROR(MATCH(TRIM($J272&amp;"")&amp;"|월",파견수련계획!$Z$4:$Z$803,0),""))</f>
        <v/>
      </c>
      <c r="AK272" s="10">
        <f>IF(OR($B272="",TRIM($J272&amp;"")=""),"",IFERROR(MATCH(TRIM($J272&amp;"")&amp;"|다기관",파견수련계획!$AE$4:$AE$803,0),""))</f>
        <v/>
      </c>
      <c r="AL272" s="10">
        <f>IF($AK272="","","다기관 "&amp;TEXT(INDEX(파견수련계획!$AB$4:$AB$803,$AK272),"yyyy-mm-dd")&amp;"~"&amp;IF(ISNUMBER(INDEX(파견수련계획!$AC$4:$AC$803,$AK272)),TEXT(INDEX(파견수련계획!$AC$4:$AC$803,$AK272),"yyyy-mm-dd"),""))</f>
        <v/>
      </c>
    </row>
    <row r="273">
      <c r="A273" s="10">
        <f>IF(B273="","",ROW()-1)</f>
        <v/>
      </c>
      <c r="B273" s="18" t="n"/>
      <c r="C273" s="10">
        <f>IF($AB273="","",IF(INDEX(기본자료!$C$2:$C$1001,$AB273)="","",INDEX(기본자료!$C$2:$C$1001,$AB273)))</f>
        <v/>
      </c>
      <c r="D273" s="10">
        <f>IF($AB273="","",IF(INDEX(기본자료!$J$2:$J$1001,$AB273)="","",INDEX(기본자료!$J$2:$J$1001,$AB273)))</f>
        <v/>
      </c>
      <c r="E273" s="11">
        <f>IF($AB273="","",IF(INDEX(기본자료!$K$2:$K$1001,$AB273)="","",IF(NOT(ISNUMBER(INDEX(기본자료!$K$2:$K$1001,$AB273))),INDEX(기본자료!$K$2:$K$1001,$AB273),IF(INDEX(기본자료!$K$2:$K$1001,$AB273)&lt;1000000,INDEX(기본자료!$K$2:$K$1001,$AB273),IF(AND(INDEX(기본자료!$K$2:$K$1001,$AB273)&gt;=10000101,INT(MOD(INDEX(기본자료!$K$2:$K$1001,$AB273),10000)/100)&gt;=1,INT(MOD(INDEX(기본자료!$K$2:$K$1001,$AB273),10000)/100)&lt;=12,MOD(INDEX(기본자료!$K$2:$K$1001,$AB273),100)&gt;=1,MOD(INDEX(기본자료!$K$2:$K$1001,$AB273),100)&lt;=31),DATE(INT(INDEX(기본자료!$K$2:$K$1001,$AB273)/10000),INT(MOD(INDEX(기본자료!$K$2:$K$1001,$AB273),10000)/100),MOD(INDEX(기본자료!$K$2:$K$1001,$AB273),100)),INDEX(기본자료!$K$2:$K$1001,$AB273)&amp;"")))))</f>
        <v/>
      </c>
      <c r="F273" s="10">
        <f>IF($AB273="","",IF(INDEX(기본자료!$D$2:$D$1001,$AB273)="","",INDEX(기본자료!$D$2:$D$1001,$AB273)))</f>
        <v/>
      </c>
      <c r="G273" s="10">
        <f>IF($AB273="","",IF(INDEX(기본자료!$E$2:$E$1001,$AB273)="","",INDEX(기본자료!$E$2:$E$1001,$AB273)))</f>
        <v/>
      </c>
      <c r="H273" s="10">
        <f>IF($AB273="","",IF(INDEX(기본자료!$F$2:$F$1001,$AB273)="","",INDEX(기본자료!$F$2:$F$1001,$AB273)))</f>
        <v/>
      </c>
      <c r="I273" s="11">
        <f>IF($AB273="","",IF(INDEX(기본자료!$G$2:$G$1001,$AB273)="","",IF(NOT(ISNUMBER(INDEX(기본자료!$G$2:$G$1001,$AB273))),INDEX(기본자료!$G$2:$G$1001,$AB273),IF(INDEX(기본자료!$G$2:$G$1001,$AB273)&lt;1000000,INDEX(기본자료!$G$2:$G$1001,$AB273),IF(AND(INDEX(기본자료!$G$2:$G$1001,$AB273)&gt;=10000101,INT(MOD(INDEX(기본자료!$G$2:$G$1001,$AB273),10000)/100)&gt;=1,INT(MOD(INDEX(기본자료!$G$2:$G$1001,$AB273),10000)/100)&lt;=12,MOD(INDEX(기본자료!$G$2:$G$1001,$AB273),100)&gt;=1,MOD(INDEX(기본자료!$G$2:$G$1001,$AB273),100)&lt;=31),DATE(INT(INDEX(기본자료!$G$2:$G$1001,$AB273)/10000),INT(MOD(INDEX(기본자료!$G$2:$G$1001,$AB273),10000)/100),MOD(INDEX(기본자료!$G$2:$G$1001,$AB273),100)),INDEX(기본자료!$G$2:$G$1001,$AB273)&amp;"")))))</f>
        <v/>
      </c>
      <c r="J273" s="10">
        <f>IF($AB273="","",IF(INDEX(기본자료!$H$2:$H$1001,$AB273)="","",INDEX(기본자료!$H$2:$H$1001,$AB273)))</f>
        <v/>
      </c>
      <c r="K273" s="10">
        <f>IF($AB273="","",IF(INDEX(기본자료!$I$2:$I$1001,$AB273)="","",INDEX(기본자료!$I$2:$I$1001,$AB273)))</f>
        <v/>
      </c>
      <c r="L273" s="10">
        <f>IF($AB273="","",IF(INDEX(기본자료!$A$2:$A$1001,$AB273)="","",INDEX(기본자료!$A$2:$A$1001,$AB273)))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파견수련계획!$AB$4:$AB$803,$AK273),OR(NOT(ISNUMBER(INDEX(파견수련계획!$AC$4:$AC$803,$AK273))),TODAY()&lt;=INDEX(파견수련계획!$AC$4:$AC$803,$AK273))),"다기관",IF($AF273="","",INDEX(파견수련계획!$T$4:$T$803,$AF273))),IF($AF273="","",INDEX(파견수련계획!$T$4:$T$803,$AF273))))</f>
        <v/>
      </c>
      <c r="Q273" s="10">
        <f>IF($AF273="","",INDEX(파견수련계획!$S$4:$S$803,$AF273))</f>
        <v/>
      </c>
      <c r="R273" s="10">
        <f>IF($AF273="","",INDEX(파견수련계획!$U$4:$U$803,$AF273))</f>
        <v/>
      </c>
      <c r="S273" s="11">
        <f>IF($AF273="","",IF(INDEX(파견수련계획!$H$4:$H$803,$AF273)="","",INDEX(파견수련계획!$H$4:$H$803,$AF273)))</f>
        <v/>
      </c>
      <c r="T273" s="11">
        <f>IF($AF273="","",IF(INDEX(파견수련계획!$I$4:$I$803,$AF273)="","",INDEX(파견수련계획!$I$4:$I$803,$AF273)))</f>
        <v/>
      </c>
      <c r="U273" s="10">
        <f>IF($AF273="","",INDEX(파견수련계획!$X$4:$X$803,$AF273))</f>
        <v/>
      </c>
      <c r="V273" s="17">
        <f>IF($AF273="","",INDEX(파견수련계획!$V$4:$V$803,$AF273))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IF(OR($B273="",TRIM($J273&amp;"")=""),"",SUMPRODUCT((파견수련계획!$Q$4:$Q$803=TRIM($J273&amp;""))*파견수련계획!$W$4:$W$803))</f>
        <v/>
      </c>
      <c r="Y273" s="10">
        <f>IF($B273="","",IF($AG273="","",IF(IF(TRIM($J273&amp;"")="",0,SUMPRODUCT((파견수련계획!$Q$4:$Q$803=TRIM($J273&amp;""))*파견수련계획!$AD$4:$AD$803))&gt;0,$AE273,IF(N($X273)&lt;=0,$AG273,IF($AH273+$AI273=DAY(EOMONTH(요약!$B$3,0)),IF(AND($AH273&gt;=요약!$E$3,$AI273&lt;요약!$E$3),"서울병원",IF(AND($AI273&gt;=요약!$E$3,$AH273&lt;요약!$E$3),"구리병원","⚠15일 판정불가(서울 "&amp;$AH273&amp;"일/구리 "&amp;$AI273&amp;"일)")),IF($AJ273="",$AE273,IF(INDEX(파견수련계획!$T$4:$T$803,$AJ273)="통합수련",INDEX(파견수련계획!$S$4:$S$803,$AJ273),$AE273)))))))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입력",IF(IF(TRIM($J273&amp;"")="",0,SUMPRODUCT((파견수련계획!$Q$4:$Q$803=TRIM($J273&amp;""))*(파견수련계획!$AA$4:$AA$803&lt;&gt;"")))&gt;0,"파견수련계획 입력오류 확인",IF(LEFT($Y273,1)="⚠","서울·구리 15일 판정 불가(양쪽 모두 이상/미만)",IF(IF($AC273="",0,N(INDEX(인턴근무계획!$T$3:$T$402,$AC273)))&gt;0,"인턴계획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IF($B273="","",IFERROR(MATCH($B273,기본자료!$B$2:$B$1001,0),IFERROR(MATCH($B273&amp;"",기본자료!$B$2:$B$1001,0),IFERROR(MATCH(VALUE($B273),기본자료!$B$2:$B$1001,0),""))))</f>
        <v/>
      </c>
      <c r="AC273" s="10">
        <f>IF($B273="","",IFERROR(MATCH($B273,인턴근무계획!$D$3:$D$402,0),IFERROR(MATCH($B273&amp;"",인턴근무계획!$D$3:$D$402,0),IFERROR(MATCH(VALUE($B273),인턴근무계획!$D$3:$D$402,0),""))))</f>
        <v/>
      </c>
      <c r="AD273" s="10">
        <f>IF(OR($AC273="",인턴현황!$G$3=""),"",INDEX(인턴근무계획!$M$3:$R$402,$AC273,인턴현황!$G$3)&amp;"")</f>
        <v/>
      </c>
      <c r="AE273" s="10">
        <f>IF($B273="","",IF($M273&lt;&gt;"",$M273,IF($AF273&lt;&gt;"",IF(LEFT(INDEX(파견수련계획!$R$4:$R$803,$AF273),1)&lt;&gt;"⚠",INDEX(파견수련계획!$R$4:$R$803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파견수련계획!$Y$4:$Y$803,0),IFERROR(MATCH(TRIM($J273&amp;"")&amp;"|파견예정",파견수련계획!$Y$4:$Y$803,0),IFERROR(MATCH(TRIM($J273&amp;"")&amp;"|파견종료",파견수련계획!$Y$4:$Y$803,0),""))))</f>
        <v/>
      </c>
      <c r="AG273" s="10">
        <f>IF($B273="","",IF(AND(IF(OR($AC273="",인턴현황!$K$2=""),"",INDEX(인턴근무계획!$M$3:$R$402,$AC273,인턴현황!$K$2)&amp;"")&lt;&gt;"",LEFT(IF(OR($AC273="",인턴현황!$K$2=""),"",INDEX(인턴근무계획!$M$3:$R$402,$AC273,인턴현황!$K$2)&amp;""),1)&lt;&gt;"⚠"),LEFT(IF(OR($AC273="",인턴현황!$K$2=""),"",INDEX(인턴근무계획!$M$3:$R$402,$AC273,인턴현황!$K$2)&amp;""),FIND(" ",IF(OR($AC273="",인턴현황!$K$2=""),"",INDEX(인턴근무계획!$M$3:$R$402,$AC273,인턴현황!$K$2)&amp;""))-1),$AE273))</f>
        <v/>
      </c>
      <c r="AH273" s="17">
        <f>IF($B273="","",IF(TRIM($J273&amp;"")="",0,SUMPRODUCT((파견수련계획!$Q$4:$Q$803=TRIM($J273&amp;""))*(파견수련계획!$S$4:$S$803="서울병원")*파견수련계획!$W$4:$W$803))+IF($AG273="서울병원",MAX(0,DAY(EOMONTH(요약!$B$3,0))-N($X273)),0))</f>
        <v/>
      </c>
      <c r="AI273" s="17">
        <f>IF($B273="","",IF(TRIM($J273&amp;"")="",0,SUMPRODUCT((파견수련계획!$Q$4:$Q$803=TRIM($J273&amp;""))*(파견수련계획!$S$4:$S$803="구리병원")*파견수련계획!$W$4:$W$803))+IF($AG273="구리병원",MAX(0,DAY(EOMONTH(요약!$B$3,0))-N($X273)),0))</f>
        <v/>
      </c>
      <c r="AJ273" s="10">
        <f>IF(OR($B273="",TRIM($J273&amp;"")=""),"",IFERROR(MATCH(TRIM($J273&amp;"")&amp;"|월",파견수련계획!$Z$4:$Z$803,0),""))</f>
        <v/>
      </c>
      <c r="AK273" s="10">
        <f>IF(OR($B273="",TRIM($J273&amp;"")=""),"",IFERROR(MATCH(TRIM($J273&amp;"")&amp;"|다기관",파견수련계획!$AE$4:$AE$803,0),""))</f>
        <v/>
      </c>
      <c r="AL273" s="10">
        <f>IF($AK273="","","다기관 "&amp;TEXT(INDEX(파견수련계획!$AB$4:$AB$803,$AK273),"yyyy-mm-dd")&amp;"~"&amp;IF(ISNUMBER(INDEX(파견수련계획!$AC$4:$AC$803,$AK273)),TEXT(INDEX(파견수련계획!$AC$4:$AC$803,$AK273),"yyyy-mm-dd"),""))</f>
        <v/>
      </c>
    </row>
    <row r="274">
      <c r="A274" s="10">
        <f>IF(B274="","",ROW()-1)</f>
        <v/>
      </c>
      <c r="B274" s="18" t="n"/>
      <c r="C274" s="10">
        <f>IF($AB274="","",IF(INDEX(기본자료!$C$2:$C$1001,$AB274)="","",INDEX(기본자료!$C$2:$C$1001,$AB274)))</f>
        <v/>
      </c>
      <c r="D274" s="10">
        <f>IF($AB274="","",IF(INDEX(기본자료!$J$2:$J$1001,$AB274)="","",INDEX(기본자료!$J$2:$J$1001,$AB274)))</f>
        <v/>
      </c>
      <c r="E274" s="11">
        <f>IF($AB274="","",IF(INDEX(기본자료!$K$2:$K$1001,$AB274)="","",IF(NOT(ISNUMBER(INDEX(기본자료!$K$2:$K$1001,$AB274))),INDEX(기본자료!$K$2:$K$1001,$AB274),IF(INDEX(기본자료!$K$2:$K$1001,$AB274)&lt;1000000,INDEX(기본자료!$K$2:$K$1001,$AB274),IF(AND(INDEX(기본자료!$K$2:$K$1001,$AB274)&gt;=10000101,INT(MOD(INDEX(기본자료!$K$2:$K$1001,$AB274),10000)/100)&gt;=1,INT(MOD(INDEX(기본자료!$K$2:$K$1001,$AB274),10000)/100)&lt;=12,MOD(INDEX(기본자료!$K$2:$K$1001,$AB274),100)&gt;=1,MOD(INDEX(기본자료!$K$2:$K$1001,$AB274),100)&lt;=31),DATE(INT(INDEX(기본자료!$K$2:$K$1001,$AB274)/10000),INT(MOD(INDEX(기본자료!$K$2:$K$1001,$AB274),10000)/100),MOD(INDEX(기본자료!$K$2:$K$1001,$AB274),100)),INDEX(기본자료!$K$2:$K$1001,$AB274)&amp;"")))))</f>
        <v/>
      </c>
      <c r="F274" s="10">
        <f>IF($AB274="","",IF(INDEX(기본자료!$D$2:$D$1001,$AB274)="","",INDEX(기본자료!$D$2:$D$1001,$AB274)))</f>
        <v/>
      </c>
      <c r="G274" s="10">
        <f>IF($AB274="","",IF(INDEX(기본자료!$E$2:$E$1001,$AB274)="","",INDEX(기본자료!$E$2:$E$1001,$AB274)))</f>
        <v/>
      </c>
      <c r="H274" s="10">
        <f>IF($AB274="","",IF(INDEX(기본자료!$F$2:$F$1001,$AB274)="","",INDEX(기본자료!$F$2:$F$1001,$AB274)))</f>
        <v/>
      </c>
      <c r="I274" s="11">
        <f>IF($AB274="","",IF(INDEX(기본자료!$G$2:$G$1001,$AB274)="","",IF(NOT(ISNUMBER(INDEX(기본자료!$G$2:$G$1001,$AB274))),INDEX(기본자료!$G$2:$G$1001,$AB274),IF(INDEX(기본자료!$G$2:$G$1001,$AB274)&lt;1000000,INDEX(기본자료!$G$2:$G$1001,$AB274),IF(AND(INDEX(기본자료!$G$2:$G$1001,$AB274)&gt;=10000101,INT(MOD(INDEX(기본자료!$G$2:$G$1001,$AB274),10000)/100)&gt;=1,INT(MOD(INDEX(기본자료!$G$2:$G$1001,$AB274),10000)/100)&lt;=12,MOD(INDEX(기본자료!$G$2:$G$1001,$AB274),100)&gt;=1,MOD(INDEX(기본자료!$G$2:$G$1001,$AB274),100)&lt;=31),DATE(INT(INDEX(기본자료!$G$2:$G$1001,$AB274)/10000),INT(MOD(INDEX(기본자료!$G$2:$G$1001,$AB274),10000)/100),MOD(INDEX(기본자료!$G$2:$G$1001,$AB274),100)),INDEX(기본자료!$G$2:$G$1001,$AB274)&amp;"")))))</f>
        <v/>
      </c>
      <c r="J274" s="10">
        <f>IF($AB274="","",IF(INDEX(기본자료!$H$2:$H$1001,$AB274)="","",INDEX(기본자료!$H$2:$H$1001,$AB274)))</f>
        <v/>
      </c>
      <c r="K274" s="10">
        <f>IF($AB274="","",IF(INDEX(기본자료!$I$2:$I$1001,$AB274)="","",INDEX(기본자료!$I$2:$I$1001,$AB274)))</f>
        <v/>
      </c>
      <c r="L274" s="10">
        <f>IF($AB274="","",IF(INDEX(기본자료!$A$2:$A$1001,$AB274)="","",INDEX(기본자료!$A$2:$A$1001,$AB274)))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파견수련계획!$AB$4:$AB$803,$AK274),OR(NOT(ISNUMBER(INDEX(파견수련계획!$AC$4:$AC$803,$AK274))),TODAY()&lt;=INDEX(파견수련계획!$AC$4:$AC$803,$AK274))),"다기관",IF($AF274="","",INDEX(파견수련계획!$T$4:$T$803,$AF274))),IF($AF274="","",INDEX(파견수련계획!$T$4:$T$803,$AF274))))</f>
        <v/>
      </c>
      <c r="Q274" s="10">
        <f>IF($AF274="","",INDEX(파견수련계획!$S$4:$S$803,$AF274))</f>
        <v/>
      </c>
      <c r="R274" s="10">
        <f>IF($AF274="","",INDEX(파견수련계획!$U$4:$U$803,$AF274))</f>
        <v/>
      </c>
      <c r="S274" s="11">
        <f>IF($AF274="","",IF(INDEX(파견수련계획!$H$4:$H$803,$AF274)="","",INDEX(파견수련계획!$H$4:$H$803,$AF274)))</f>
        <v/>
      </c>
      <c r="T274" s="11">
        <f>IF($AF274="","",IF(INDEX(파견수련계획!$I$4:$I$803,$AF274)="","",INDEX(파견수련계획!$I$4:$I$803,$AF274)))</f>
        <v/>
      </c>
      <c r="U274" s="10">
        <f>IF($AF274="","",INDEX(파견수련계획!$X$4:$X$803,$AF274))</f>
        <v/>
      </c>
      <c r="V274" s="17">
        <f>IF($AF274="","",INDEX(파견수련계획!$V$4:$V$803,$AF274))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IF(OR($B274="",TRIM($J274&amp;"")=""),"",SUMPRODUCT((파견수련계획!$Q$4:$Q$803=TRIM($J274&amp;""))*파견수련계획!$W$4:$W$803))</f>
        <v/>
      </c>
      <c r="Y274" s="10">
        <f>IF($B274="","",IF($AG274="","",IF(IF(TRIM($J274&amp;"")="",0,SUMPRODUCT((파견수련계획!$Q$4:$Q$803=TRIM($J274&amp;""))*파견수련계획!$AD$4:$AD$803))&gt;0,$AE274,IF(N($X274)&lt;=0,$AG274,IF($AH274+$AI274=DAY(EOMONTH(요약!$B$3,0)),IF(AND($AH274&gt;=요약!$E$3,$AI274&lt;요약!$E$3),"서울병원",IF(AND($AI274&gt;=요약!$E$3,$AH274&lt;요약!$E$3),"구리병원","⚠15일 판정불가(서울 "&amp;$AH274&amp;"일/구리 "&amp;$AI274&amp;"일)")),IF($AJ274="",$AE274,IF(INDEX(파견수련계획!$T$4:$T$803,$AJ274)="통합수련",INDEX(파견수련계획!$S$4:$S$803,$AJ274),$AE274)))))))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입력",IF(IF(TRIM($J274&amp;"")="",0,SUMPRODUCT((파견수련계획!$Q$4:$Q$803=TRIM($J274&amp;""))*(파견수련계획!$AA$4:$AA$803&lt;&gt;"")))&gt;0,"파견수련계획 입력오류 확인",IF(LEFT($Y274,1)="⚠","서울·구리 15일 판정 불가(양쪽 모두 이상/미만)",IF(IF($AC274="",0,N(INDEX(인턴근무계획!$T$3:$T$402,$AC274)))&gt;0,"인턴계획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IF($B274="","",IFERROR(MATCH($B274,기본자료!$B$2:$B$1001,0),IFERROR(MATCH($B274&amp;"",기본자료!$B$2:$B$1001,0),IFERROR(MATCH(VALUE($B274),기본자료!$B$2:$B$1001,0),""))))</f>
        <v/>
      </c>
      <c r="AC274" s="10">
        <f>IF($B274="","",IFERROR(MATCH($B274,인턴근무계획!$D$3:$D$402,0),IFERROR(MATCH($B274&amp;"",인턴근무계획!$D$3:$D$402,0),IFERROR(MATCH(VALUE($B274),인턴근무계획!$D$3:$D$402,0),""))))</f>
        <v/>
      </c>
      <c r="AD274" s="10">
        <f>IF(OR($AC274="",인턴현황!$G$3=""),"",INDEX(인턴근무계획!$M$3:$R$402,$AC274,인턴현황!$G$3)&amp;"")</f>
        <v/>
      </c>
      <c r="AE274" s="10">
        <f>IF($B274="","",IF($M274&lt;&gt;"",$M274,IF($AF274&lt;&gt;"",IF(LEFT(INDEX(파견수련계획!$R$4:$R$803,$AF274),1)&lt;&gt;"⚠",INDEX(파견수련계획!$R$4:$R$803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파견수련계획!$Y$4:$Y$803,0),IFERROR(MATCH(TRIM($J274&amp;"")&amp;"|파견예정",파견수련계획!$Y$4:$Y$803,0),IFERROR(MATCH(TRIM($J274&amp;"")&amp;"|파견종료",파견수련계획!$Y$4:$Y$803,0),""))))</f>
        <v/>
      </c>
      <c r="AG274" s="10">
        <f>IF($B274="","",IF(AND(IF(OR($AC274="",인턴현황!$K$2=""),"",INDEX(인턴근무계획!$M$3:$R$402,$AC274,인턴현황!$K$2)&amp;"")&lt;&gt;"",LEFT(IF(OR($AC274="",인턴현황!$K$2=""),"",INDEX(인턴근무계획!$M$3:$R$402,$AC274,인턴현황!$K$2)&amp;""),1)&lt;&gt;"⚠"),LEFT(IF(OR($AC274="",인턴현황!$K$2=""),"",INDEX(인턴근무계획!$M$3:$R$402,$AC274,인턴현황!$K$2)&amp;""),FIND(" ",IF(OR($AC274="",인턴현황!$K$2=""),"",INDEX(인턴근무계획!$M$3:$R$402,$AC274,인턴현황!$K$2)&amp;""))-1),$AE274))</f>
        <v/>
      </c>
      <c r="AH274" s="17">
        <f>IF($B274="","",IF(TRIM($J274&amp;"")="",0,SUMPRODUCT((파견수련계획!$Q$4:$Q$803=TRIM($J274&amp;""))*(파견수련계획!$S$4:$S$803="서울병원")*파견수련계획!$W$4:$W$803))+IF($AG274="서울병원",MAX(0,DAY(EOMONTH(요약!$B$3,0))-N($X274)),0))</f>
        <v/>
      </c>
      <c r="AI274" s="17">
        <f>IF($B274="","",IF(TRIM($J274&amp;"")="",0,SUMPRODUCT((파견수련계획!$Q$4:$Q$803=TRIM($J274&amp;""))*(파견수련계획!$S$4:$S$803="구리병원")*파견수련계획!$W$4:$W$803))+IF($AG274="구리병원",MAX(0,DAY(EOMONTH(요약!$B$3,0))-N($X274)),0))</f>
        <v/>
      </c>
      <c r="AJ274" s="10">
        <f>IF(OR($B274="",TRIM($J274&amp;"")=""),"",IFERROR(MATCH(TRIM($J274&amp;"")&amp;"|월",파견수련계획!$Z$4:$Z$803,0),""))</f>
        <v/>
      </c>
      <c r="AK274" s="10">
        <f>IF(OR($B274="",TRIM($J274&amp;"")=""),"",IFERROR(MATCH(TRIM($J274&amp;"")&amp;"|다기관",파견수련계획!$AE$4:$AE$803,0),""))</f>
        <v/>
      </c>
      <c r="AL274" s="10">
        <f>IF($AK274="","","다기관 "&amp;TEXT(INDEX(파견수련계획!$AB$4:$AB$803,$AK274),"yyyy-mm-dd")&amp;"~"&amp;IF(ISNUMBER(INDEX(파견수련계획!$AC$4:$AC$803,$AK274)),TEXT(INDEX(파견수련계획!$AC$4:$AC$803,$AK274),"yyyy-mm-dd"),""))</f>
        <v/>
      </c>
    </row>
    <row r="275">
      <c r="A275" s="10">
        <f>IF(B275="","",ROW()-1)</f>
        <v/>
      </c>
      <c r="B275" s="18" t="n"/>
      <c r="C275" s="10">
        <f>IF($AB275="","",IF(INDEX(기본자료!$C$2:$C$1001,$AB275)="","",INDEX(기본자료!$C$2:$C$1001,$AB275)))</f>
        <v/>
      </c>
      <c r="D275" s="10">
        <f>IF($AB275="","",IF(INDEX(기본자료!$J$2:$J$1001,$AB275)="","",INDEX(기본자료!$J$2:$J$1001,$AB275)))</f>
        <v/>
      </c>
      <c r="E275" s="11">
        <f>IF($AB275="","",IF(INDEX(기본자료!$K$2:$K$1001,$AB275)="","",IF(NOT(ISNUMBER(INDEX(기본자료!$K$2:$K$1001,$AB275))),INDEX(기본자료!$K$2:$K$1001,$AB275),IF(INDEX(기본자료!$K$2:$K$1001,$AB275)&lt;1000000,INDEX(기본자료!$K$2:$K$1001,$AB275),IF(AND(INDEX(기본자료!$K$2:$K$1001,$AB275)&gt;=10000101,INT(MOD(INDEX(기본자료!$K$2:$K$1001,$AB275),10000)/100)&gt;=1,INT(MOD(INDEX(기본자료!$K$2:$K$1001,$AB275),10000)/100)&lt;=12,MOD(INDEX(기본자료!$K$2:$K$1001,$AB275),100)&gt;=1,MOD(INDEX(기본자료!$K$2:$K$1001,$AB275),100)&lt;=31),DATE(INT(INDEX(기본자료!$K$2:$K$1001,$AB275)/10000),INT(MOD(INDEX(기본자료!$K$2:$K$1001,$AB275),10000)/100),MOD(INDEX(기본자료!$K$2:$K$1001,$AB275),100)),INDEX(기본자료!$K$2:$K$1001,$AB275)&amp;"")))))</f>
        <v/>
      </c>
      <c r="F275" s="10">
        <f>IF($AB275="","",IF(INDEX(기본자료!$D$2:$D$1001,$AB275)="","",INDEX(기본자료!$D$2:$D$1001,$AB275)))</f>
        <v/>
      </c>
      <c r="G275" s="10">
        <f>IF($AB275="","",IF(INDEX(기본자료!$E$2:$E$1001,$AB275)="","",INDEX(기본자료!$E$2:$E$1001,$AB275)))</f>
        <v/>
      </c>
      <c r="H275" s="10">
        <f>IF($AB275="","",IF(INDEX(기본자료!$F$2:$F$1001,$AB275)="","",INDEX(기본자료!$F$2:$F$1001,$AB275)))</f>
        <v/>
      </c>
      <c r="I275" s="11">
        <f>IF($AB275="","",IF(INDEX(기본자료!$G$2:$G$1001,$AB275)="","",IF(NOT(ISNUMBER(INDEX(기본자료!$G$2:$G$1001,$AB275))),INDEX(기본자료!$G$2:$G$1001,$AB275),IF(INDEX(기본자료!$G$2:$G$1001,$AB275)&lt;1000000,INDEX(기본자료!$G$2:$G$1001,$AB275),IF(AND(INDEX(기본자료!$G$2:$G$1001,$AB275)&gt;=10000101,INT(MOD(INDEX(기본자료!$G$2:$G$1001,$AB275),10000)/100)&gt;=1,INT(MOD(INDEX(기본자료!$G$2:$G$1001,$AB275),10000)/100)&lt;=12,MOD(INDEX(기본자료!$G$2:$G$1001,$AB275),100)&gt;=1,MOD(INDEX(기본자료!$G$2:$G$1001,$AB275),100)&lt;=31),DATE(INT(INDEX(기본자료!$G$2:$G$1001,$AB275)/10000),INT(MOD(INDEX(기본자료!$G$2:$G$1001,$AB275),10000)/100),MOD(INDEX(기본자료!$G$2:$G$1001,$AB275),100)),INDEX(기본자료!$G$2:$G$1001,$AB275)&amp;"")))))</f>
        <v/>
      </c>
      <c r="J275" s="10">
        <f>IF($AB275="","",IF(INDEX(기본자료!$H$2:$H$1001,$AB275)="","",INDEX(기본자료!$H$2:$H$1001,$AB275)))</f>
        <v/>
      </c>
      <c r="K275" s="10">
        <f>IF($AB275="","",IF(INDEX(기본자료!$I$2:$I$1001,$AB275)="","",INDEX(기본자료!$I$2:$I$1001,$AB275)))</f>
        <v/>
      </c>
      <c r="L275" s="10">
        <f>IF($AB275="","",IF(INDEX(기본자료!$A$2:$A$1001,$AB275)="","",INDEX(기본자료!$A$2:$A$1001,$AB275)))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파견수련계획!$AB$4:$AB$803,$AK275),OR(NOT(ISNUMBER(INDEX(파견수련계획!$AC$4:$AC$803,$AK275))),TODAY()&lt;=INDEX(파견수련계획!$AC$4:$AC$803,$AK275))),"다기관",IF($AF275="","",INDEX(파견수련계획!$T$4:$T$803,$AF275))),IF($AF275="","",INDEX(파견수련계획!$T$4:$T$803,$AF275))))</f>
        <v/>
      </c>
      <c r="Q275" s="10">
        <f>IF($AF275="","",INDEX(파견수련계획!$S$4:$S$803,$AF275))</f>
        <v/>
      </c>
      <c r="R275" s="10">
        <f>IF($AF275="","",INDEX(파견수련계획!$U$4:$U$803,$AF275))</f>
        <v/>
      </c>
      <c r="S275" s="11">
        <f>IF($AF275="","",IF(INDEX(파견수련계획!$H$4:$H$803,$AF275)="","",INDEX(파견수련계획!$H$4:$H$803,$AF275)))</f>
        <v/>
      </c>
      <c r="T275" s="11">
        <f>IF($AF275="","",IF(INDEX(파견수련계획!$I$4:$I$803,$AF275)="","",INDEX(파견수련계획!$I$4:$I$803,$AF275)))</f>
        <v/>
      </c>
      <c r="U275" s="10">
        <f>IF($AF275="","",INDEX(파견수련계획!$X$4:$X$803,$AF275))</f>
        <v/>
      </c>
      <c r="V275" s="17">
        <f>IF($AF275="","",INDEX(파견수련계획!$V$4:$V$803,$AF275))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IF(OR($B275="",TRIM($J275&amp;"")=""),"",SUMPRODUCT((파견수련계획!$Q$4:$Q$803=TRIM($J275&amp;""))*파견수련계획!$W$4:$W$803))</f>
        <v/>
      </c>
      <c r="Y275" s="10">
        <f>IF($B275="","",IF($AG275="","",IF(IF(TRIM($J275&amp;"")="",0,SUMPRODUCT((파견수련계획!$Q$4:$Q$803=TRIM($J275&amp;""))*파견수련계획!$AD$4:$AD$803))&gt;0,$AE275,IF(N($X275)&lt;=0,$AG275,IF($AH275+$AI275=DAY(EOMONTH(요약!$B$3,0)),IF(AND($AH275&gt;=요약!$E$3,$AI275&lt;요약!$E$3),"서울병원",IF(AND($AI275&gt;=요약!$E$3,$AH275&lt;요약!$E$3),"구리병원","⚠15일 판정불가(서울 "&amp;$AH275&amp;"일/구리 "&amp;$AI275&amp;"일)")),IF($AJ275="",$AE275,IF(INDEX(파견수련계획!$T$4:$T$803,$AJ275)="통합수련",INDEX(파견수련계획!$S$4:$S$803,$AJ275),$AE275)))))))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입력",IF(IF(TRIM($J275&amp;"")="",0,SUMPRODUCT((파견수련계획!$Q$4:$Q$803=TRIM($J275&amp;""))*(파견수련계획!$AA$4:$AA$803&lt;&gt;"")))&gt;0,"파견수련계획 입력오류 확인",IF(LEFT($Y275,1)="⚠","서울·구리 15일 판정 불가(양쪽 모두 이상/미만)",IF(IF($AC275="",0,N(INDEX(인턴근무계획!$T$3:$T$402,$AC275)))&gt;0,"인턴계획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IF($B275="","",IFERROR(MATCH($B275,기본자료!$B$2:$B$1001,0),IFERROR(MATCH($B275&amp;"",기본자료!$B$2:$B$1001,0),IFERROR(MATCH(VALUE($B275),기본자료!$B$2:$B$1001,0),""))))</f>
        <v/>
      </c>
      <c r="AC275" s="10">
        <f>IF($B275="","",IFERROR(MATCH($B275,인턴근무계획!$D$3:$D$402,0),IFERROR(MATCH($B275&amp;"",인턴근무계획!$D$3:$D$402,0),IFERROR(MATCH(VALUE($B275),인턴근무계획!$D$3:$D$402,0),""))))</f>
        <v/>
      </c>
      <c r="AD275" s="10">
        <f>IF(OR($AC275="",인턴현황!$G$3=""),"",INDEX(인턴근무계획!$M$3:$R$402,$AC275,인턴현황!$G$3)&amp;"")</f>
        <v/>
      </c>
      <c r="AE275" s="10">
        <f>IF($B275="","",IF($M275&lt;&gt;"",$M275,IF($AF275&lt;&gt;"",IF(LEFT(INDEX(파견수련계획!$R$4:$R$803,$AF275),1)&lt;&gt;"⚠",INDEX(파견수련계획!$R$4:$R$803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파견수련계획!$Y$4:$Y$803,0),IFERROR(MATCH(TRIM($J275&amp;"")&amp;"|파견예정",파견수련계획!$Y$4:$Y$803,0),IFERROR(MATCH(TRIM($J275&amp;"")&amp;"|파견종료",파견수련계획!$Y$4:$Y$803,0),""))))</f>
        <v/>
      </c>
      <c r="AG275" s="10">
        <f>IF($B275="","",IF(AND(IF(OR($AC275="",인턴현황!$K$2=""),"",INDEX(인턴근무계획!$M$3:$R$402,$AC275,인턴현황!$K$2)&amp;"")&lt;&gt;"",LEFT(IF(OR($AC275="",인턴현황!$K$2=""),"",INDEX(인턴근무계획!$M$3:$R$402,$AC275,인턴현황!$K$2)&amp;""),1)&lt;&gt;"⚠"),LEFT(IF(OR($AC275="",인턴현황!$K$2=""),"",INDEX(인턴근무계획!$M$3:$R$402,$AC275,인턴현황!$K$2)&amp;""),FIND(" ",IF(OR($AC275="",인턴현황!$K$2=""),"",INDEX(인턴근무계획!$M$3:$R$402,$AC275,인턴현황!$K$2)&amp;""))-1),$AE275))</f>
        <v/>
      </c>
      <c r="AH275" s="17">
        <f>IF($B275="","",IF(TRIM($J275&amp;"")="",0,SUMPRODUCT((파견수련계획!$Q$4:$Q$803=TRIM($J275&amp;""))*(파견수련계획!$S$4:$S$803="서울병원")*파견수련계획!$W$4:$W$803))+IF($AG275="서울병원",MAX(0,DAY(EOMONTH(요약!$B$3,0))-N($X275)),0))</f>
        <v/>
      </c>
      <c r="AI275" s="17">
        <f>IF($B275="","",IF(TRIM($J275&amp;"")="",0,SUMPRODUCT((파견수련계획!$Q$4:$Q$803=TRIM($J275&amp;""))*(파견수련계획!$S$4:$S$803="구리병원")*파견수련계획!$W$4:$W$803))+IF($AG275="구리병원",MAX(0,DAY(EOMONTH(요약!$B$3,0))-N($X275)),0))</f>
        <v/>
      </c>
      <c r="AJ275" s="10">
        <f>IF(OR($B275="",TRIM($J275&amp;"")=""),"",IFERROR(MATCH(TRIM($J275&amp;"")&amp;"|월",파견수련계획!$Z$4:$Z$803,0),""))</f>
        <v/>
      </c>
      <c r="AK275" s="10">
        <f>IF(OR($B275="",TRIM($J275&amp;"")=""),"",IFERROR(MATCH(TRIM($J275&amp;"")&amp;"|다기관",파견수련계획!$AE$4:$AE$803,0),""))</f>
        <v/>
      </c>
      <c r="AL275" s="10">
        <f>IF($AK275="","","다기관 "&amp;TEXT(INDEX(파견수련계획!$AB$4:$AB$803,$AK275),"yyyy-mm-dd")&amp;"~"&amp;IF(ISNUMBER(INDEX(파견수련계획!$AC$4:$AC$803,$AK275)),TEXT(INDEX(파견수련계획!$AC$4:$AC$803,$AK275),"yyyy-mm-dd"),""))</f>
        <v/>
      </c>
    </row>
    <row r="276">
      <c r="A276" s="10">
        <f>IF(B276="","",ROW()-1)</f>
        <v/>
      </c>
      <c r="B276" s="18" t="n"/>
      <c r="C276" s="10">
        <f>IF($AB276="","",IF(INDEX(기본자료!$C$2:$C$1001,$AB276)="","",INDEX(기본자료!$C$2:$C$1001,$AB276)))</f>
        <v/>
      </c>
      <c r="D276" s="10">
        <f>IF($AB276="","",IF(INDEX(기본자료!$J$2:$J$1001,$AB276)="","",INDEX(기본자료!$J$2:$J$1001,$AB276)))</f>
        <v/>
      </c>
      <c r="E276" s="11">
        <f>IF($AB276="","",IF(INDEX(기본자료!$K$2:$K$1001,$AB276)="","",IF(NOT(ISNUMBER(INDEX(기본자료!$K$2:$K$1001,$AB276))),INDEX(기본자료!$K$2:$K$1001,$AB276),IF(INDEX(기본자료!$K$2:$K$1001,$AB276)&lt;1000000,INDEX(기본자료!$K$2:$K$1001,$AB276),IF(AND(INDEX(기본자료!$K$2:$K$1001,$AB276)&gt;=10000101,INT(MOD(INDEX(기본자료!$K$2:$K$1001,$AB276),10000)/100)&gt;=1,INT(MOD(INDEX(기본자료!$K$2:$K$1001,$AB276),10000)/100)&lt;=12,MOD(INDEX(기본자료!$K$2:$K$1001,$AB276),100)&gt;=1,MOD(INDEX(기본자료!$K$2:$K$1001,$AB276),100)&lt;=31),DATE(INT(INDEX(기본자료!$K$2:$K$1001,$AB276)/10000),INT(MOD(INDEX(기본자료!$K$2:$K$1001,$AB276),10000)/100),MOD(INDEX(기본자료!$K$2:$K$1001,$AB276),100)),INDEX(기본자료!$K$2:$K$1001,$AB276)&amp;"")))))</f>
        <v/>
      </c>
      <c r="F276" s="10">
        <f>IF($AB276="","",IF(INDEX(기본자료!$D$2:$D$1001,$AB276)="","",INDEX(기본자료!$D$2:$D$1001,$AB276)))</f>
        <v/>
      </c>
      <c r="G276" s="10">
        <f>IF($AB276="","",IF(INDEX(기본자료!$E$2:$E$1001,$AB276)="","",INDEX(기본자료!$E$2:$E$1001,$AB276)))</f>
        <v/>
      </c>
      <c r="H276" s="10">
        <f>IF($AB276="","",IF(INDEX(기본자료!$F$2:$F$1001,$AB276)="","",INDEX(기본자료!$F$2:$F$1001,$AB276)))</f>
        <v/>
      </c>
      <c r="I276" s="11">
        <f>IF($AB276="","",IF(INDEX(기본자료!$G$2:$G$1001,$AB276)="","",IF(NOT(ISNUMBER(INDEX(기본자료!$G$2:$G$1001,$AB276))),INDEX(기본자료!$G$2:$G$1001,$AB276),IF(INDEX(기본자료!$G$2:$G$1001,$AB276)&lt;1000000,INDEX(기본자료!$G$2:$G$1001,$AB276),IF(AND(INDEX(기본자료!$G$2:$G$1001,$AB276)&gt;=10000101,INT(MOD(INDEX(기본자료!$G$2:$G$1001,$AB276),10000)/100)&gt;=1,INT(MOD(INDEX(기본자료!$G$2:$G$1001,$AB276),10000)/100)&lt;=12,MOD(INDEX(기본자료!$G$2:$G$1001,$AB276),100)&gt;=1,MOD(INDEX(기본자료!$G$2:$G$1001,$AB276),100)&lt;=31),DATE(INT(INDEX(기본자료!$G$2:$G$1001,$AB276)/10000),INT(MOD(INDEX(기본자료!$G$2:$G$1001,$AB276),10000)/100),MOD(INDEX(기본자료!$G$2:$G$1001,$AB276),100)),INDEX(기본자료!$G$2:$G$1001,$AB276)&amp;"")))))</f>
        <v/>
      </c>
      <c r="J276" s="10">
        <f>IF($AB276="","",IF(INDEX(기본자료!$H$2:$H$1001,$AB276)="","",INDEX(기본자료!$H$2:$H$1001,$AB276)))</f>
        <v/>
      </c>
      <c r="K276" s="10">
        <f>IF($AB276="","",IF(INDEX(기본자료!$I$2:$I$1001,$AB276)="","",INDEX(기본자료!$I$2:$I$1001,$AB276)))</f>
        <v/>
      </c>
      <c r="L276" s="10">
        <f>IF($AB276="","",IF(INDEX(기본자료!$A$2:$A$1001,$AB276)="","",INDEX(기본자료!$A$2:$A$1001,$AB276)))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파견수련계획!$AB$4:$AB$803,$AK276),OR(NOT(ISNUMBER(INDEX(파견수련계획!$AC$4:$AC$803,$AK276))),TODAY()&lt;=INDEX(파견수련계획!$AC$4:$AC$803,$AK276))),"다기관",IF($AF276="","",INDEX(파견수련계획!$T$4:$T$803,$AF276))),IF($AF276="","",INDEX(파견수련계획!$T$4:$T$803,$AF276))))</f>
        <v/>
      </c>
      <c r="Q276" s="10">
        <f>IF($AF276="","",INDEX(파견수련계획!$S$4:$S$803,$AF276))</f>
        <v/>
      </c>
      <c r="R276" s="10">
        <f>IF($AF276="","",INDEX(파견수련계획!$U$4:$U$803,$AF276))</f>
        <v/>
      </c>
      <c r="S276" s="11">
        <f>IF($AF276="","",IF(INDEX(파견수련계획!$H$4:$H$803,$AF276)="","",INDEX(파견수련계획!$H$4:$H$803,$AF276)))</f>
        <v/>
      </c>
      <c r="T276" s="11">
        <f>IF($AF276="","",IF(INDEX(파견수련계획!$I$4:$I$803,$AF276)="","",INDEX(파견수련계획!$I$4:$I$803,$AF276)))</f>
        <v/>
      </c>
      <c r="U276" s="10">
        <f>IF($AF276="","",INDEX(파견수련계획!$X$4:$X$803,$AF276))</f>
        <v/>
      </c>
      <c r="V276" s="17">
        <f>IF($AF276="","",INDEX(파견수련계획!$V$4:$V$803,$AF276))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IF(OR($B276="",TRIM($J276&amp;"")=""),"",SUMPRODUCT((파견수련계획!$Q$4:$Q$803=TRIM($J276&amp;""))*파견수련계획!$W$4:$W$803))</f>
        <v/>
      </c>
      <c r="Y276" s="10">
        <f>IF($B276="","",IF($AG276="","",IF(IF(TRIM($J276&amp;"")="",0,SUMPRODUCT((파견수련계획!$Q$4:$Q$803=TRIM($J276&amp;""))*파견수련계획!$AD$4:$AD$803))&gt;0,$AE276,IF(N($X276)&lt;=0,$AG276,IF($AH276+$AI276=DAY(EOMONTH(요약!$B$3,0)),IF(AND($AH276&gt;=요약!$E$3,$AI276&lt;요약!$E$3),"서울병원",IF(AND($AI276&gt;=요약!$E$3,$AH276&lt;요약!$E$3),"구리병원","⚠15일 판정불가(서울 "&amp;$AH276&amp;"일/구리 "&amp;$AI276&amp;"일)")),IF($AJ276="",$AE276,IF(INDEX(파견수련계획!$T$4:$T$803,$AJ276)="통합수련",INDEX(파견수련계획!$S$4:$S$803,$AJ276),$AE276)))))))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입력",IF(IF(TRIM($J276&amp;"")="",0,SUMPRODUCT((파견수련계획!$Q$4:$Q$803=TRIM($J276&amp;""))*(파견수련계획!$AA$4:$AA$803&lt;&gt;"")))&gt;0,"파견수련계획 입력오류 확인",IF(LEFT($Y276,1)="⚠","서울·구리 15일 판정 불가(양쪽 모두 이상/미만)",IF(IF($AC276="",0,N(INDEX(인턴근무계획!$T$3:$T$402,$AC276)))&gt;0,"인턴계획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IF($B276="","",IFERROR(MATCH($B276,기본자료!$B$2:$B$1001,0),IFERROR(MATCH($B276&amp;"",기본자료!$B$2:$B$1001,0),IFERROR(MATCH(VALUE($B276),기본자료!$B$2:$B$1001,0),""))))</f>
        <v/>
      </c>
      <c r="AC276" s="10">
        <f>IF($B276="","",IFERROR(MATCH($B276,인턴근무계획!$D$3:$D$402,0),IFERROR(MATCH($B276&amp;"",인턴근무계획!$D$3:$D$402,0),IFERROR(MATCH(VALUE($B276),인턴근무계획!$D$3:$D$402,0),""))))</f>
        <v/>
      </c>
      <c r="AD276" s="10">
        <f>IF(OR($AC276="",인턴현황!$G$3=""),"",INDEX(인턴근무계획!$M$3:$R$402,$AC276,인턴현황!$G$3)&amp;"")</f>
        <v/>
      </c>
      <c r="AE276" s="10">
        <f>IF($B276="","",IF($M276&lt;&gt;"",$M276,IF($AF276&lt;&gt;"",IF(LEFT(INDEX(파견수련계획!$R$4:$R$803,$AF276),1)&lt;&gt;"⚠",INDEX(파견수련계획!$R$4:$R$803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파견수련계획!$Y$4:$Y$803,0),IFERROR(MATCH(TRIM($J276&amp;"")&amp;"|파견예정",파견수련계획!$Y$4:$Y$803,0),IFERROR(MATCH(TRIM($J276&amp;"")&amp;"|파견종료",파견수련계획!$Y$4:$Y$803,0),""))))</f>
        <v/>
      </c>
      <c r="AG276" s="10">
        <f>IF($B276="","",IF(AND(IF(OR($AC276="",인턴현황!$K$2=""),"",INDEX(인턴근무계획!$M$3:$R$402,$AC276,인턴현황!$K$2)&amp;"")&lt;&gt;"",LEFT(IF(OR($AC276="",인턴현황!$K$2=""),"",INDEX(인턴근무계획!$M$3:$R$402,$AC276,인턴현황!$K$2)&amp;""),1)&lt;&gt;"⚠"),LEFT(IF(OR($AC276="",인턴현황!$K$2=""),"",INDEX(인턴근무계획!$M$3:$R$402,$AC276,인턴현황!$K$2)&amp;""),FIND(" ",IF(OR($AC276="",인턴현황!$K$2=""),"",INDEX(인턴근무계획!$M$3:$R$402,$AC276,인턴현황!$K$2)&amp;""))-1),$AE276))</f>
        <v/>
      </c>
      <c r="AH276" s="17">
        <f>IF($B276="","",IF(TRIM($J276&amp;"")="",0,SUMPRODUCT((파견수련계획!$Q$4:$Q$803=TRIM($J276&amp;""))*(파견수련계획!$S$4:$S$803="서울병원")*파견수련계획!$W$4:$W$803))+IF($AG276="서울병원",MAX(0,DAY(EOMONTH(요약!$B$3,0))-N($X276)),0))</f>
        <v/>
      </c>
      <c r="AI276" s="17">
        <f>IF($B276="","",IF(TRIM($J276&amp;"")="",0,SUMPRODUCT((파견수련계획!$Q$4:$Q$803=TRIM($J276&amp;""))*(파견수련계획!$S$4:$S$803="구리병원")*파견수련계획!$W$4:$W$803))+IF($AG276="구리병원",MAX(0,DAY(EOMONTH(요약!$B$3,0))-N($X276)),0))</f>
        <v/>
      </c>
      <c r="AJ276" s="10">
        <f>IF(OR($B276="",TRIM($J276&amp;"")=""),"",IFERROR(MATCH(TRIM($J276&amp;"")&amp;"|월",파견수련계획!$Z$4:$Z$803,0),""))</f>
        <v/>
      </c>
      <c r="AK276" s="10">
        <f>IF(OR($B276="",TRIM($J276&amp;"")=""),"",IFERROR(MATCH(TRIM($J276&amp;"")&amp;"|다기관",파견수련계획!$AE$4:$AE$803,0),""))</f>
        <v/>
      </c>
      <c r="AL276" s="10">
        <f>IF($AK276="","","다기관 "&amp;TEXT(INDEX(파견수련계획!$AB$4:$AB$803,$AK276),"yyyy-mm-dd")&amp;"~"&amp;IF(ISNUMBER(INDEX(파견수련계획!$AC$4:$AC$803,$AK276)),TEXT(INDEX(파견수련계획!$AC$4:$AC$803,$AK276),"yyyy-mm-dd"),""))</f>
        <v/>
      </c>
    </row>
    <row r="277">
      <c r="A277" s="10">
        <f>IF(B277="","",ROW()-1)</f>
        <v/>
      </c>
      <c r="B277" s="18" t="n"/>
      <c r="C277" s="10">
        <f>IF($AB277="","",IF(INDEX(기본자료!$C$2:$C$1001,$AB277)="","",INDEX(기본자료!$C$2:$C$1001,$AB277)))</f>
        <v/>
      </c>
      <c r="D277" s="10">
        <f>IF($AB277="","",IF(INDEX(기본자료!$J$2:$J$1001,$AB277)="","",INDEX(기본자료!$J$2:$J$1001,$AB277)))</f>
        <v/>
      </c>
      <c r="E277" s="11">
        <f>IF($AB277="","",IF(INDEX(기본자료!$K$2:$K$1001,$AB277)="","",IF(NOT(ISNUMBER(INDEX(기본자료!$K$2:$K$1001,$AB277))),INDEX(기본자료!$K$2:$K$1001,$AB277),IF(INDEX(기본자료!$K$2:$K$1001,$AB277)&lt;1000000,INDEX(기본자료!$K$2:$K$1001,$AB277),IF(AND(INDEX(기본자료!$K$2:$K$1001,$AB277)&gt;=10000101,INT(MOD(INDEX(기본자료!$K$2:$K$1001,$AB277),10000)/100)&gt;=1,INT(MOD(INDEX(기본자료!$K$2:$K$1001,$AB277),10000)/100)&lt;=12,MOD(INDEX(기본자료!$K$2:$K$1001,$AB277),100)&gt;=1,MOD(INDEX(기본자료!$K$2:$K$1001,$AB277),100)&lt;=31),DATE(INT(INDEX(기본자료!$K$2:$K$1001,$AB277)/10000),INT(MOD(INDEX(기본자료!$K$2:$K$1001,$AB277),10000)/100),MOD(INDEX(기본자료!$K$2:$K$1001,$AB277),100)),INDEX(기본자료!$K$2:$K$1001,$AB277)&amp;"")))))</f>
        <v/>
      </c>
      <c r="F277" s="10">
        <f>IF($AB277="","",IF(INDEX(기본자료!$D$2:$D$1001,$AB277)="","",INDEX(기본자료!$D$2:$D$1001,$AB277)))</f>
        <v/>
      </c>
      <c r="G277" s="10">
        <f>IF($AB277="","",IF(INDEX(기본자료!$E$2:$E$1001,$AB277)="","",INDEX(기본자료!$E$2:$E$1001,$AB277)))</f>
        <v/>
      </c>
      <c r="H277" s="10">
        <f>IF($AB277="","",IF(INDEX(기본자료!$F$2:$F$1001,$AB277)="","",INDEX(기본자료!$F$2:$F$1001,$AB277)))</f>
        <v/>
      </c>
      <c r="I277" s="11">
        <f>IF($AB277="","",IF(INDEX(기본자료!$G$2:$G$1001,$AB277)="","",IF(NOT(ISNUMBER(INDEX(기본자료!$G$2:$G$1001,$AB277))),INDEX(기본자료!$G$2:$G$1001,$AB277),IF(INDEX(기본자료!$G$2:$G$1001,$AB277)&lt;1000000,INDEX(기본자료!$G$2:$G$1001,$AB277),IF(AND(INDEX(기본자료!$G$2:$G$1001,$AB277)&gt;=10000101,INT(MOD(INDEX(기본자료!$G$2:$G$1001,$AB277),10000)/100)&gt;=1,INT(MOD(INDEX(기본자료!$G$2:$G$1001,$AB277),10000)/100)&lt;=12,MOD(INDEX(기본자료!$G$2:$G$1001,$AB277),100)&gt;=1,MOD(INDEX(기본자료!$G$2:$G$1001,$AB277),100)&lt;=31),DATE(INT(INDEX(기본자료!$G$2:$G$1001,$AB277)/10000),INT(MOD(INDEX(기본자료!$G$2:$G$1001,$AB277),10000)/100),MOD(INDEX(기본자료!$G$2:$G$1001,$AB277),100)),INDEX(기본자료!$G$2:$G$1001,$AB277)&amp;"")))))</f>
        <v/>
      </c>
      <c r="J277" s="10">
        <f>IF($AB277="","",IF(INDEX(기본자료!$H$2:$H$1001,$AB277)="","",INDEX(기본자료!$H$2:$H$1001,$AB277)))</f>
        <v/>
      </c>
      <c r="K277" s="10">
        <f>IF($AB277="","",IF(INDEX(기본자료!$I$2:$I$1001,$AB277)="","",INDEX(기본자료!$I$2:$I$1001,$AB277)))</f>
        <v/>
      </c>
      <c r="L277" s="10">
        <f>IF($AB277="","",IF(INDEX(기본자료!$A$2:$A$1001,$AB277)="","",INDEX(기본자료!$A$2:$A$1001,$AB277)))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파견수련계획!$AB$4:$AB$803,$AK277),OR(NOT(ISNUMBER(INDEX(파견수련계획!$AC$4:$AC$803,$AK277))),TODAY()&lt;=INDEX(파견수련계획!$AC$4:$AC$803,$AK277))),"다기관",IF($AF277="","",INDEX(파견수련계획!$T$4:$T$803,$AF277))),IF($AF277="","",INDEX(파견수련계획!$T$4:$T$803,$AF277))))</f>
        <v/>
      </c>
      <c r="Q277" s="10">
        <f>IF($AF277="","",INDEX(파견수련계획!$S$4:$S$803,$AF277))</f>
        <v/>
      </c>
      <c r="R277" s="10">
        <f>IF($AF277="","",INDEX(파견수련계획!$U$4:$U$803,$AF277))</f>
        <v/>
      </c>
      <c r="S277" s="11">
        <f>IF($AF277="","",IF(INDEX(파견수련계획!$H$4:$H$803,$AF277)="","",INDEX(파견수련계획!$H$4:$H$803,$AF277)))</f>
        <v/>
      </c>
      <c r="T277" s="11">
        <f>IF($AF277="","",IF(INDEX(파견수련계획!$I$4:$I$803,$AF277)="","",INDEX(파견수련계획!$I$4:$I$803,$AF277)))</f>
        <v/>
      </c>
      <c r="U277" s="10">
        <f>IF($AF277="","",INDEX(파견수련계획!$X$4:$X$803,$AF277))</f>
        <v/>
      </c>
      <c r="V277" s="17">
        <f>IF($AF277="","",INDEX(파견수련계획!$V$4:$V$803,$AF277))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IF(OR($B277="",TRIM($J277&amp;"")=""),"",SUMPRODUCT((파견수련계획!$Q$4:$Q$803=TRIM($J277&amp;""))*파견수련계획!$W$4:$W$803))</f>
        <v/>
      </c>
      <c r="Y277" s="10">
        <f>IF($B277="","",IF($AG277="","",IF(IF(TRIM($J277&amp;"")="",0,SUMPRODUCT((파견수련계획!$Q$4:$Q$803=TRIM($J277&amp;""))*파견수련계획!$AD$4:$AD$803))&gt;0,$AE277,IF(N($X277)&lt;=0,$AG277,IF($AH277+$AI277=DAY(EOMONTH(요약!$B$3,0)),IF(AND($AH277&gt;=요약!$E$3,$AI277&lt;요약!$E$3),"서울병원",IF(AND($AI277&gt;=요약!$E$3,$AH277&lt;요약!$E$3),"구리병원","⚠15일 판정불가(서울 "&amp;$AH277&amp;"일/구리 "&amp;$AI277&amp;"일)")),IF($AJ277="",$AE277,IF(INDEX(파견수련계획!$T$4:$T$803,$AJ277)="통합수련",INDEX(파견수련계획!$S$4:$S$803,$AJ277),$AE277)))))))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입력",IF(IF(TRIM($J277&amp;"")="",0,SUMPRODUCT((파견수련계획!$Q$4:$Q$803=TRIM($J277&amp;""))*(파견수련계획!$AA$4:$AA$803&lt;&gt;"")))&gt;0,"파견수련계획 입력오류 확인",IF(LEFT($Y277,1)="⚠","서울·구리 15일 판정 불가(양쪽 모두 이상/미만)",IF(IF($AC277="",0,N(INDEX(인턴근무계획!$T$3:$T$402,$AC277)))&gt;0,"인턴계획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IF($B277="","",IFERROR(MATCH($B277,기본자료!$B$2:$B$1001,0),IFERROR(MATCH($B277&amp;"",기본자료!$B$2:$B$1001,0),IFERROR(MATCH(VALUE($B277),기본자료!$B$2:$B$1001,0),""))))</f>
        <v/>
      </c>
      <c r="AC277" s="10">
        <f>IF($B277="","",IFERROR(MATCH($B277,인턴근무계획!$D$3:$D$402,0),IFERROR(MATCH($B277&amp;"",인턴근무계획!$D$3:$D$402,0),IFERROR(MATCH(VALUE($B277),인턴근무계획!$D$3:$D$402,0),""))))</f>
        <v/>
      </c>
      <c r="AD277" s="10">
        <f>IF(OR($AC277="",인턴현황!$G$3=""),"",INDEX(인턴근무계획!$M$3:$R$402,$AC277,인턴현황!$G$3)&amp;"")</f>
        <v/>
      </c>
      <c r="AE277" s="10">
        <f>IF($B277="","",IF($M277&lt;&gt;"",$M277,IF($AF277&lt;&gt;"",IF(LEFT(INDEX(파견수련계획!$R$4:$R$803,$AF277),1)&lt;&gt;"⚠",INDEX(파견수련계획!$R$4:$R$803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파견수련계획!$Y$4:$Y$803,0),IFERROR(MATCH(TRIM($J277&amp;"")&amp;"|파견예정",파견수련계획!$Y$4:$Y$803,0),IFERROR(MATCH(TRIM($J277&amp;"")&amp;"|파견종료",파견수련계획!$Y$4:$Y$803,0),""))))</f>
        <v/>
      </c>
      <c r="AG277" s="10">
        <f>IF($B277="","",IF(AND(IF(OR($AC277="",인턴현황!$K$2=""),"",INDEX(인턴근무계획!$M$3:$R$402,$AC277,인턴현황!$K$2)&amp;"")&lt;&gt;"",LEFT(IF(OR($AC277="",인턴현황!$K$2=""),"",INDEX(인턴근무계획!$M$3:$R$402,$AC277,인턴현황!$K$2)&amp;""),1)&lt;&gt;"⚠"),LEFT(IF(OR($AC277="",인턴현황!$K$2=""),"",INDEX(인턴근무계획!$M$3:$R$402,$AC277,인턴현황!$K$2)&amp;""),FIND(" ",IF(OR($AC277="",인턴현황!$K$2=""),"",INDEX(인턴근무계획!$M$3:$R$402,$AC277,인턴현황!$K$2)&amp;""))-1),$AE277))</f>
        <v/>
      </c>
      <c r="AH277" s="17">
        <f>IF($B277="","",IF(TRIM($J277&amp;"")="",0,SUMPRODUCT((파견수련계획!$Q$4:$Q$803=TRIM($J277&amp;""))*(파견수련계획!$S$4:$S$803="서울병원")*파견수련계획!$W$4:$W$803))+IF($AG277="서울병원",MAX(0,DAY(EOMONTH(요약!$B$3,0))-N($X277)),0))</f>
        <v/>
      </c>
      <c r="AI277" s="17">
        <f>IF($B277="","",IF(TRIM($J277&amp;"")="",0,SUMPRODUCT((파견수련계획!$Q$4:$Q$803=TRIM($J277&amp;""))*(파견수련계획!$S$4:$S$803="구리병원")*파견수련계획!$W$4:$W$803))+IF($AG277="구리병원",MAX(0,DAY(EOMONTH(요약!$B$3,0))-N($X277)),0))</f>
        <v/>
      </c>
      <c r="AJ277" s="10">
        <f>IF(OR($B277="",TRIM($J277&amp;"")=""),"",IFERROR(MATCH(TRIM($J277&amp;"")&amp;"|월",파견수련계획!$Z$4:$Z$803,0),""))</f>
        <v/>
      </c>
      <c r="AK277" s="10">
        <f>IF(OR($B277="",TRIM($J277&amp;"")=""),"",IFERROR(MATCH(TRIM($J277&amp;"")&amp;"|다기관",파견수련계획!$AE$4:$AE$803,0),""))</f>
        <v/>
      </c>
      <c r="AL277" s="10">
        <f>IF($AK277="","","다기관 "&amp;TEXT(INDEX(파견수련계획!$AB$4:$AB$803,$AK277),"yyyy-mm-dd")&amp;"~"&amp;IF(ISNUMBER(INDEX(파견수련계획!$AC$4:$AC$803,$AK277)),TEXT(INDEX(파견수련계획!$AC$4:$AC$803,$AK277),"yyyy-mm-dd"),""))</f>
        <v/>
      </c>
    </row>
    <row r="278">
      <c r="A278" s="10">
        <f>IF(B278="","",ROW()-1)</f>
        <v/>
      </c>
      <c r="B278" s="18" t="n"/>
      <c r="C278" s="10">
        <f>IF($AB278="","",IF(INDEX(기본자료!$C$2:$C$1001,$AB278)="","",INDEX(기본자료!$C$2:$C$1001,$AB278)))</f>
        <v/>
      </c>
      <c r="D278" s="10">
        <f>IF($AB278="","",IF(INDEX(기본자료!$J$2:$J$1001,$AB278)="","",INDEX(기본자료!$J$2:$J$1001,$AB278)))</f>
        <v/>
      </c>
      <c r="E278" s="11">
        <f>IF($AB278="","",IF(INDEX(기본자료!$K$2:$K$1001,$AB278)="","",IF(NOT(ISNUMBER(INDEX(기본자료!$K$2:$K$1001,$AB278))),INDEX(기본자료!$K$2:$K$1001,$AB278),IF(INDEX(기본자료!$K$2:$K$1001,$AB278)&lt;1000000,INDEX(기본자료!$K$2:$K$1001,$AB278),IF(AND(INDEX(기본자료!$K$2:$K$1001,$AB278)&gt;=10000101,INT(MOD(INDEX(기본자료!$K$2:$K$1001,$AB278),10000)/100)&gt;=1,INT(MOD(INDEX(기본자료!$K$2:$K$1001,$AB278),10000)/100)&lt;=12,MOD(INDEX(기본자료!$K$2:$K$1001,$AB278),100)&gt;=1,MOD(INDEX(기본자료!$K$2:$K$1001,$AB278),100)&lt;=31),DATE(INT(INDEX(기본자료!$K$2:$K$1001,$AB278)/10000),INT(MOD(INDEX(기본자료!$K$2:$K$1001,$AB278),10000)/100),MOD(INDEX(기본자료!$K$2:$K$1001,$AB278),100)),INDEX(기본자료!$K$2:$K$1001,$AB278)&amp;"")))))</f>
        <v/>
      </c>
      <c r="F278" s="10">
        <f>IF($AB278="","",IF(INDEX(기본자료!$D$2:$D$1001,$AB278)="","",INDEX(기본자료!$D$2:$D$1001,$AB278)))</f>
        <v/>
      </c>
      <c r="G278" s="10">
        <f>IF($AB278="","",IF(INDEX(기본자료!$E$2:$E$1001,$AB278)="","",INDEX(기본자료!$E$2:$E$1001,$AB278)))</f>
        <v/>
      </c>
      <c r="H278" s="10">
        <f>IF($AB278="","",IF(INDEX(기본자료!$F$2:$F$1001,$AB278)="","",INDEX(기본자료!$F$2:$F$1001,$AB278)))</f>
        <v/>
      </c>
      <c r="I278" s="11">
        <f>IF($AB278="","",IF(INDEX(기본자료!$G$2:$G$1001,$AB278)="","",IF(NOT(ISNUMBER(INDEX(기본자료!$G$2:$G$1001,$AB278))),INDEX(기본자료!$G$2:$G$1001,$AB278),IF(INDEX(기본자료!$G$2:$G$1001,$AB278)&lt;1000000,INDEX(기본자료!$G$2:$G$1001,$AB278),IF(AND(INDEX(기본자료!$G$2:$G$1001,$AB278)&gt;=10000101,INT(MOD(INDEX(기본자료!$G$2:$G$1001,$AB278),10000)/100)&gt;=1,INT(MOD(INDEX(기본자료!$G$2:$G$1001,$AB278),10000)/100)&lt;=12,MOD(INDEX(기본자료!$G$2:$G$1001,$AB278),100)&gt;=1,MOD(INDEX(기본자료!$G$2:$G$1001,$AB278),100)&lt;=31),DATE(INT(INDEX(기본자료!$G$2:$G$1001,$AB278)/10000),INT(MOD(INDEX(기본자료!$G$2:$G$1001,$AB278),10000)/100),MOD(INDEX(기본자료!$G$2:$G$1001,$AB278),100)),INDEX(기본자료!$G$2:$G$1001,$AB278)&amp;"")))))</f>
        <v/>
      </c>
      <c r="J278" s="10">
        <f>IF($AB278="","",IF(INDEX(기본자료!$H$2:$H$1001,$AB278)="","",INDEX(기본자료!$H$2:$H$1001,$AB278)))</f>
        <v/>
      </c>
      <c r="K278" s="10">
        <f>IF($AB278="","",IF(INDEX(기본자료!$I$2:$I$1001,$AB278)="","",INDEX(기본자료!$I$2:$I$1001,$AB278)))</f>
        <v/>
      </c>
      <c r="L278" s="10">
        <f>IF($AB278="","",IF(INDEX(기본자료!$A$2:$A$1001,$AB278)="","",INDEX(기본자료!$A$2:$A$1001,$AB278)))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파견수련계획!$AB$4:$AB$803,$AK278),OR(NOT(ISNUMBER(INDEX(파견수련계획!$AC$4:$AC$803,$AK278))),TODAY()&lt;=INDEX(파견수련계획!$AC$4:$AC$803,$AK278))),"다기관",IF($AF278="","",INDEX(파견수련계획!$T$4:$T$803,$AF278))),IF($AF278="","",INDEX(파견수련계획!$T$4:$T$803,$AF278))))</f>
        <v/>
      </c>
      <c r="Q278" s="10">
        <f>IF($AF278="","",INDEX(파견수련계획!$S$4:$S$803,$AF278))</f>
        <v/>
      </c>
      <c r="R278" s="10">
        <f>IF($AF278="","",INDEX(파견수련계획!$U$4:$U$803,$AF278))</f>
        <v/>
      </c>
      <c r="S278" s="11">
        <f>IF($AF278="","",IF(INDEX(파견수련계획!$H$4:$H$803,$AF278)="","",INDEX(파견수련계획!$H$4:$H$803,$AF278)))</f>
        <v/>
      </c>
      <c r="T278" s="11">
        <f>IF($AF278="","",IF(INDEX(파견수련계획!$I$4:$I$803,$AF278)="","",INDEX(파견수련계획!$I$4:$I$803,$AF278)))</f>
        <v/>
      </c>
      <c r="U278" s="10">
        <f>IF($AF278="","",INDEX(파견수련계획!$X$4:$X$803,$AF278))</f>
        <v/>
      </c>
      <c r="V278" s="17">
        <f>IF($AF278="","",INDEX(파견수련계획!$V$4:$V$803,$AF278))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IF(OR($B278="",TRIM($J278&amp;"")=""),"",SUMPRODUCT((파견수련계획!$Q$4:$Q$803=TRIM($J278&amp;""))*파견수련계획!$W$4:$W$803))</f>
        <v/>
      </c>
      <c r="Y278" s="10">
        <f>IF($B278="","",IF($AG278="","",IF(IF(TRIM($J278&amp;"")="",0,SUMPRODUCT((파견수련계획!$Q$4:$Q$803=TRIM($J278&amp;""))*파견수련계획!$AD$4:$AD$803))&gt;0,$AE278,IF(N($X278)&lt;=0,$AG278,IF($AH278+$AI278=DAY(EOMONTH(요약!$B$3,0)),IF(AND($AH278&gt;=요약!$E$3,$AI278&lt;요약!$E$3),"서울병원",IF(AND($AI278&gt;=요약!$E$3,$AH278&lt;요약!$E$3),"구리병원","⚠15일 판정불가(서울 "&amp;$AH278&amp;"일/구리 "&amp;$AI278&amp;"일)")),IF($AJ278="",$AE278,IF(INDEX(파견수련계획!$T$4:$T$803,$AJ278)="통합수련",INDEX(파견수련계획!$S$4:$S$803,$AJ278),$AE278)))))))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입력",IF(IF(TRIM($J278&amp;"")="",0,SUMPRODUCT((파견수련계획!$Q$4:$Q$803=TRIM($J278&amp;""))*(파견수련계획!$AA$4:$AA$803&lt;&gt;"")))&gt;0,"파견수련계획 입력오류 확인",IF(LEFT($Y278,1)="⚠","서울·구리 15일 판정 불가(양쪽 모두 이상/미만)",IF(IF($AC278="",0,N(INDEX(인턴근무계획!$T$3:$T$402,$AC278)))&gt;0,"인턴계획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IF($B278="","",IFERROR(MATCH($B278,기본자료!$B$2:$B$1001,0),IFERROR(MATCH($B278&amp;"",기본자료!$B$2:$B$1001,0),IFERROR(MATCH(VALUE($B278),기본자료!$B$2:$B$1001,0),""))))</f>
        <v/>
      </c>
      <c r="AC278" s="10">
        <f>IF($B278="","",IFERROR(MATCH($B278,인턴근무계획!$D$3:$D$402,0),IFERROR(MATCH($B278&amp;"",인턴근무계획!$D$3:$D$402,0),IFERROR(MATCH(VALUE($B278),인턴근무계획!$D$3:$D$402,0),""))))</f>
        <v/>
      </c>
      <c r="AD278" s="10">
        <f>IF(OR($AC278="",인턴현황!$G$3=""),"",INDEX(인턴근무계획!$M$3:$R$402,$AC278,인턴현황!$G$3)&amp;"")</f>
        <v/>
      </c>
      <c r="AE278" s="10">
        <f>IF($B278="","",IF($M278&lt;&gt;"",$M278,IF($AF278&lt;&gt;"",IF(LEFT(INDEX(파견수련계획!$R$4:$R$803,$AF278),1)&lt;&gt;"⚠",INDEX(파견수련계획!$R$4:$R$803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파견수련계획!$Y$4:$Y$803,0),IFERROR(MATCH(TRIM($J278&amp;"")&amp;"|파견예정",파견수련계획!$Y$4:$Y$803,0),IFERROR(MATCH(TRIM($J278&amp;"")&amp;"|파견종료",파견수련계획!$Y$4:$Y$803,0),""))))</f>
        <v/>
      </c>
      <c r="AG278" s="10">
        <f>IF($B278="","",IF(AND(IF(OR($AC278="",인턴현황!$K$2=""),"",INDEX(인턴근무계획!$M$3:$R$402,$AC278,인턴현황!$K$2)&amp;"")&lt;&gt;"",LEFT(IF(OR($AC278="",인턴현황!$K$2=""),"",INDEX(인턴근무계획!$M$3:$R$402,$AC278,인턴현황!$K$2)&amp;""),1)&lt;&gt;"⚠"),LEFT(IF(OR($AC278="",인턴현황!$K$2=""),"",INDEX(인턴근무계획!$M$3:$R$402,$AC278,인턴현황!$K$2)&amp;""),FIND(" ",IF(OR($AC278="",인턴현황!$K$2=""),"",INDEX(인턴근무계획!$M$3:$R$402,$AC278,인턴현황!$K$2)&amp;""))-1),$AE278))</f>
        <v/>
      </c>
      <c r="AH278" s="17">
        <f>IF($B278="","",IF(TRIM($J278&amp;"")="",0,SUMPRODUCT((파견수련계획!$Q$4:$Q$803=TRIM($J278&amp;""))*(파견수련계획!$S$4:$S$803="서울병원")*파견수련계획!$W$4:$W$803))+IF($AG278="서울병원",MAX(0,DAY(EOMONTH(요약!$B$3,0))-N($X278)),0))</f>
        <v/>
      </c>
      <c r="AI278" s="17">
        <f>IF($B278="","",IF(TRIM($J278&amp;"")="",0,SUMPRODUCT((파견수련계획!$Q$4:$Q$803=TRIM($J278&amp;""))*(파견수련계획!$S$4:$S$803="구리병원")*파견수련계획!$W$4:$W$803))+IF($AG278="구리병원",MAX(0,DAY(EOMONTH(요약!$B$3,0))-N($X278)),0))</f>
        <v/>
      </c>
      <c r="AJ278" s="10">
        <f>IF(OR($B278="",TRIM($J278&amp;"")=""),"",IFERROR(MATCH(TRIM($J278&amp;"")&amp;"|월",파견수련계획!$Z$4:$Z$803,0),""))</f>
        <v/>
      </c>
      <c r="AK278" s="10">
        <f>IF(OR($B278="",TRIM($J278&amp;"")=""),"",IFERROR(MATCH(TRIM($J278&amp;"")&amp;"|다기관",파견수련계획!$AE$4:$AE$803,0),""))</f>
        <v/>
      </c>
      <c r="AL278" s="10">
        <f>IF($AK278="","","다기관 "&amp;TEXT(INDEX(파견수련계획!$AB$4:$AB$803,$AK278),"yyyy-mm-dd")&amp;"~"&amp;IF(ISNUMBER(INDEX(파견수련계획!$AC$4:$AC$803,$AK278)),TEXT(INDEX(파견수련계획!$AC$4:$AC$803,$AK278),"yyyy-mm-dd"),""))</f>
        <v/>
      </c>
    </row>
    <row r="279">
      <c r="A279" s="10">
        <f>IF(B279="","",ROW()-1)</f>
        <v/>
      </c>
      <c r="B279" s="18" t="n"/>
      <c r="C279" s="10">
        <f>IF($AB279="","",IF(INDEX(기본자료!$C$2:$C$1001,$AB279)="","",INDEX(기본자료!$C$2:$C$1001,$AB279)))</f>
        <v/>
      </c>
      <c r="D279" s="10">
        <f>IF($AB279="","",IF(INDEX(기본자료!$J$2:$J$1001,$AB279)="","",INDEX(기본자료!$J$2:$J$1001,$AB279)))</f>
        <v/>
      </c>
      <c r="E279" s="11">
        <f>IF($AB279="","",IF(INDEX(기본자료!$K$2:$K$1001,$AB279)="","",IF(NOT(ISNUMBER(INDEX(기본자료!$K$2:$K$1001,$AB279))),INDEX(기본자료!$K$2:$K$1001,$AB279),IF(INDEX(기본자료!$K$2:$K$1001,$AB279)&lt;1000000,INDEX(기본자료!$K$2:$K$1001,$AB279),IF(AND(INDEX(기본자료!$K$2:$K$1001,$AB279)&gt;=10000101,INT(MOD(INDEX(기본자료!$K$2:$K$1001,$AB279),10000)/100)&gt;=1,INT(MOD(INDEX(기본자료!$K$2:$K$1001,$AB279),10000)/100)&lt;=12,MOD(INDEX(기본자료!$K$2:$K$1001,$AB279),100)&gt;=1,MOD(INDEX(기본자료!$K$2:$K$1001,$AB279),100)&lt;=31),DATE(INT(INDEX(기본자료!$K$2:$K$1001,$AB279)/10000),INT(MOD(INDEX(기본자료!$K$2:$K$1001,$AB279),10000)/100),MOD(INDEX(기본자료!$K$2:$K$1001,$AB279),100)),INDEX(기본자료!$K$2:$K$1001,$AB279)&amp;"")))))</f>
        <v/>
      </c>
      <c r="F279" s="10">
        <f>IF($AB279="","",IF(INDEX(기본자료!$D$2:$D$1001,$AB279)="","",INDEX(기본자료!$D$2:$D$1001,$AB279)))</f>
        <v/>
      </c>
      <c r="G279" s="10">
        <f>IF($AB279="","",IF(INDEX(기본자료!$E$2:$E$1001,$AB279)="","",INDEX(기본자료!$E$2:$E$1001,$AB279)))</f>
        <v/>
      </c>
      <c r="H279" s="10">
        <f>IF($AB279="","",IF(INDEX(기본자료!$F$2:$F$1001,$AB279)="","",INDEX(기본자료!$F$2:$F$1001,$AB279)))</f>
        <v/>
      </c>
      <c r="I279" s="11">
        <f>IF($AB279="","",IF(INDEX(기본자료!$G$2:$G$1001,$AB279)="","",IF(NOT(ISNUMBER(INDEX(기본자료!$G$2:$G$1001,$AB279))),INDEX(기본자료!$G$2:$G$1001,$AB279),IF(INDEX(기본자료!$G$2:$G$1001,$AB279)&lt;1000000,INDEX(기본자료!$G$2:$G$1001,$AB279),IF(AND(INDEX(기본자료!$G$2:$G$1001,$AB279)&gt;=10000101,INT(MOD(INDEX(기본자료!$G$2:$G$1001,$AB279),10000)/100)&gt;=1,INT(MOD(INDEX(기본자료!$G$2:$G$1001,$AB279),10000)/100)&lt;=12,MOD(INDEX(기본자료!$G$2:$G$1001,$AB279),100)&gt;=1,MOD(INDEX(기본자료!$G$2:$G$1001,$AB279),100)&lt;=31),DATE(INT(INDEX(기본자료!$G$2:$G$1001,$AB279)/10000),INT(MOD(INDEX(기본자료!$G$2:$G$1001,$AB279),10000)/100),MOD(INDEX(기본자료!$G$2:$G$1001,$AB279),100)),INDEX(기본자료!$G$2:$G$1001,$AB279)&amp;"")))))</f>
        <v/>
      </c>
      <c r="J279" s="10">
        <f>IF($AB279="","",IF(INDEX(기본자료!$H$2:$H$1001,$AB279)="","",INDEX(기본자료!$H$2:$H$1001,$AB279)))</f>
        <v/>
      </c>
      <c r="K279" s="10">
        <f>IF($AB279="","",IF(INDEX(기본자료!$I$2:$I$1001,$AB279)="","",INDEX(기본자료!$I$2:$I$1001,$AB279)))</f>
        <v/>
      </c>
      <c r="L279" s="10">
        <f>IF($AB279="","",IF(INDEX(기본자료!$A$2:$A$1001,$AB279)="","",INDEX(기본자료!$A$2:$A$1001,$AB279)))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파견수련계획!$AB$4:$AB$803,$AK279),OR(NOT(ISNUMBER(INDEX(파견수련계획!$AC$4:$AC$803,$AK279))),TODAY()&lt;=INDEX(파견수련계획!$AC$4:$AC$803,$AK279))),"다기관",IF($AF279="","",INDEX(파견수련계획!$T$4:$T$803,$AF279))),IF($AF279="","",INDEX(파견수련계획!$T$4:$T$803,$AF279))))</f>
        <v/>
      </c>
      <c r="Q279" s="10">
        <f>IF($AF279="","",INDEX(파견수련계획!$S$4:$S$803,$AF279))</f>
        <v/>
      </c>
      <c r="R279" s="10">
        <f>IF($AF279="","",INDEX(파견수련계획!$U$4:$U$803,$AF279))</f>
        <v/>
      </c>
      <c r="S279" s="11">
        <f>IF($AF279="","",IF(INDEX(파견수련계획!$H$4:$H$803,$AF279)="","",INDEX(파견수련계획!$H$4:$H$803,$AF279)))</f>
        <v/>
      </c>
      <c r="T279" s="11">
        <f>IF($AF279="","",IF(INDEX(파견수련계획!$I$4:$I$803,$AF279)="","",INDEX(파견수련계획!$I$4:$I$803,$AF279)))</f>
        <v/>
      </c>
      <c r="U279" s="10">
        <f>IF($AF279="","",INDEX(파견수련계획!$X$4:$X$803,$AF279))</f>
        <v/>
      </c>
      <c r="V279" s="17">
        <f>IF($AF279="","",INDEX(파견수련계획!$V$4:$V$803,$AF279))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IF(OR($B279="",TRIM($J279&amp;"")=""),"",SUMPRODUCT((파견수련계획!$Q$4:$Q$803=TRIM($J279&amp;""))*파견수련계획!$W$4:$W$803))</f>
        <v/>
      </c>
      <c r="Y279" s="10">
        <f>IF($B279="","",IF($AG279="","",IF(IF(TRIM($J279&amp;"")="",0,SUMPRODUCT((파견수련계획!$Q$4:$Q$803=TRIM($J279&amp;""))*파견수련계획!$AD$4:$AD$803))&gt;0,$AE279,IF(N($X279)&lt;=0,$AG279,IF($AH279+$AI279=DAY(EOMONTH(요약!$B$3,0)),IF(AND($AH279&gt;=요약!$E$3,$AI279&lt;요약!$E$3),"서울병원",IF(AND($AI279&gt;=요약!$E$3,$AH279&lt;요약!$E$3),"구리병원","⚠15일 판정불가(서울 "&amp;$AH279&amp;"일/구리 "&amp;$AI279&amp;"일)")),IF($AJ279="",$AE279,IF(INDEX(파견수련계획!$T$4:$T$803,$AJ279)="통합수련",INDEX(파견수련계획!$S$4:$S$803,$AJ279),$AE279)))))))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입력",IF(IF(TRIM($J279&amp;"")="",0,SUMPRODUCT((파견수련계획!$Q$4:$Q$803=TRIM($J279&amp;""))*(파견수련계획!$AA$4:$AA$803&lt;&gt;"")))&gt;0,"파견수련계획 입력오류 확인",IF(LEFT($Y279,1)="⚠","서울·구리 15일 판정 불가(양쪽 모두 이상/미만)",IF(IF($AC279="",0,N(INDEX(인턴근무계획!$T$3:$T$402,$AC279)))&gt;0,"인턴계획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IF($B279="","",IFERROR(MATCH($B279,기본자료!$B$2:$B$1001,0),IFERROR(MATCH($B279&amp;"",기본자료!$B$2:$B$1001,0),IFERROR(MATCH(VALUE($B279),기본자료!$B$2:$B$1001,0),""))))</f>
        <v/>
      </c>
      <c r="AC279" s="10">
        <f>IF($B279="","",IFERROR(MATCH($B279,인턴근무계획!$D$3:$D$402,0),IFERROR(MATCH($B279&amp;"",인턴근무계획!$D$3:$D$402,0),IFERROR(MATCH(VALUE($B279),인턴근무계획!$D$3:$D$402,0),""))))</f>
        <v/>
      </c>
      <c r="AD279" s="10">
        <f>IF(OR($AC279="",인턴현황!$G$3=""),"",INDEX(인턴근무계획!$M$3:$R$402,$AC279,인턴현황!$G$3)&amp;"")</f>
        <v/>
      </c>
      <c r="AE279" s="10">
        <f>IF($B279="","",IF($M279&lt;&gt;"",$M279,IF($AF279&lt;&gt;"",IF(LEFT(INDEX(파견수련계획!$R$4:$R$803,$AF279),1)&lt;&gt;"⚠",INDEX(파견수련계획!$R$4:$R$803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파견수련계획!$Y$4:$Y$803,0),IFERROR(MATCH(TRIM($J279&amp;"")&amp;"|파견예정",파견수련계획!$Y$4:$Y$803,0),IFERROR(MATCH(TRIM($J279&amp;"")&amp;"|파견종료",파견수련계획!$Y$4:$Y$803,0),""))))</f>
        <v/>
      </c>
      <c r="AG279" s="10">
        <f>IF($B279="","",IF(AND(IF(OR($AC279="",인턴현황!$K$2=""),"",INDEX(인턴근무계획!$M$3:$R$402,$AC279,인턴현황!$K$2)&amp;"")&lt;&gt;"",LEFT(IF(OR($AC279="",인턴현황!$K$2=""),"",INDEX(인턴근무계획!$M$3:$R$402,$AC279,인턴현황!$K$2)&amp;""),1)&lt;&gt;"⚠"),LEFT(IF(OR($AC279="",인턴현황!$K$2=""),"",INDEX(인턴근무계획!$M$3:$R$402,$AC279,인턴현황!$K$2)&amp;""),FIND(" ",IF(OR($AC279="",인턴현황!$K$2=""),"",INDEX(인턴근무계획!$M$3:$R$402,$AC279,인턴현황!$K$2)&amp;""))-1),$AE279))</f>
        <v/>
      </c>
      <c r="AH279" s="17">
        <f>IF($B279="","",IF(TRIM($J279&amp;"")="",0,SUMPRODUCT((파견수련계획!$Q$4:$Q$803=TRIM($J279&amp;""))*(파견수련계획!$S$4:$S$803="서울병원")*파견수련계획!$W$4:$W$803))+IF($AG279="서울병원",MAX(0,DAY(EOMONTH(요약!$B$3,0))-N($X279)),0))</f>
        <v/>
      </c>
      <c r="AI279" s="17">
        <f>IF($B279="","",IF(TRIM($J279&amp;"")="",0,SUMPRODUCT((파견수련계획!$Q$4:$Q$803=TRIM($J279&amp;""))*(파견수련계획!$S$4:$S$803="구리병원")*파견수련계획!$W$4:$W$803))+IF($AG279="구리병원",MAX(0,DAY(EOMONTH(요약!$B$3,0))-N($X279)),0))</f>
        <v/>
      </c>
      <c r="AJ279" s="10">
        <f>IF(OR($B279="",TRIM($J279&amp;"")=""),"",IFERROR(MATCH(TRIM($J279&amp;"")&amp;"|월",파견수련계획!$Z$4:$Z$803,0),""))</f>
        <v/>
      </c>
      <c r="AK279" s="10">
        <f>IF(OR($B279="",TRIM($J279&amp;"")=""),"",IFERROR(MATCH(TRIM($J279&amp;"")&amp;"|다기관",파견수련계획!$AE$4:$AE$803,0),""))</f>
        <v/>
      </c>
      <c r="AL279" s="10">
        <f>IF($AK279="","","다기관 "&amp;TEXT(INDEX(파견수련계획!$AB$4:$AB$803,$AK279),"yyyy-mm-dd")&amp;"~"&amp;IF(ISNUMBER(INDEX(파견수련계획!$AC$4:$AC$803,$AK279)),TEXT(INDEX(파견수련계획!$AC$4:$AC$803,$AK279),"yyyy-mm-dd"),""))</f>
        <v/>
      </c>
    </row>
    <row r="280">
      <c r="A280" s="10">
        <f>IF(B280="","",ROW()-1)</f>
        <v/>
      </c>
      <c r="B280" s="18" t="n"/>
      <c r="C280" s="10">
        <f>IF($AB280="","",IF(INDEX(기본자료!$C$2:$C$1001,$AB280)="","",INDEX(기본자료!$C$2:$C$1001,$AB280)))</f>
        <v/>
      </c>
      <c r="D280" s="10">
        <f>IF($AB280="","",IF(INDEX(기본자료!$J$2:$J$1001,$AB280)="","",INDEX(기본자료!$J$2:$J$1001,$AB280)))</f>
        <v/>
      </c>
      <c r="E280" s="11">
        <f>IF($AB280="","",IF(INDEX(기본자료!$K$2:$K$1001,$AB280)="","",IF(NOT(ISNUMBER(INDEX(기본자료!$K$2:$K$1001,$AB280))),INDEX(기본자료!$K$2:$K$1001,$AB280),IF(INDEX(기본자료!$K$2:$K$1001,$AB280)&lt;1000000,INDEX(기본자료!$K$2:$K$1001,$AB280),IF(AND(INDEX(기본자료!$K$2:$K$1001,$AB280)&gt;=10000101,INT(MOD(INDEX(기본자료!$K$2:$K$1001,$AB280),10000)/100)&gt;=1,INT(MOD(INDEX(기본자료!$K$2:$K$1001,$AB280),10000)/100)&lt;=12,MOD(INDEX(기본자료!$K$2:$K$1001,$AB280),100)&gt;=1,MOD(INDEX(기본자료!$K$2:$K$1001,$AB280),100)&lt;=31),DATE(INT(INDEX(기본자료!$K$2:$K$1001,$AB280)/10000),INT(MOD(INDEX(기본자료!$K$2:$K$1001,$AB280),10000)/100),MOD(INDEX(기본자료!$K$2:$K$1001,$AB280),100)),INDEX(기본자료!$K$2:$K$1001,$AB280)&amp;"")))))</f>
        <v/>
      </c>
      <c r="F280" s="10">
        <f>IF($AB280="","",IF(INDEX(기본자료!$D$2:$D$1001,$AB280)="","",INDEX(기본자료!$D$2:$D$1001,$AB280)))</f>
        <v/>
      </c>
      <c r="G280" s="10">
        <f>IF($AB280="","",IF(INDEX(기본자료!$E$2:$E$1001,$AB280)="","",INDEX(기본자료!$E$2:$E$1001,$AB280)))</f>
        <v/>
      </c>
      <c r="H280" s="10">
        <f>IF($AB280="","",IF(INDEX(기본자료!$F$2:$F$1001,$AB280)="","",INDEX(기본자료!$F$2:$F$1001,$AB280)))</f>
        <v/>
      </c>
      <c r="I280" s="11">
        <f>IF($AB280="","",IF(INDEX(기본자료!$G$2:$G$1001,$AB280)="","",IF(NOT(ISNUMBER(INDEX(기본자료!$G$2:$G$1001,$AB280))),INDEX(기본자료!$G$2:$G$1001,$AB280),IF(INDEX(기본자료!$G$2:$G$1001,$AB280)&lt;1000000,INDEX(기본자료!$G$2:$G$1001,$AB280),IF(AND(INDEX(기본자료!$G$2:$G$1001,$AB280)&gt;=10000101,INT(MOD(INDEX(기본자료!$G$2:$G$1001,$AB280),10000)/100)&gt;=1,INT(MOD(INDEX(기본자료!$G$2:$G$1001,$AB280),10000)/100)&lt;=12,MOD(INDEX(기본자료!$G$2:$G$1001,$AB280),100)&gt;=1,MOD(INDEX(기본자료!$G$2:$G$1001,$AB280),100)&lt;=31),DATE(INT(INDEX(기본자료!$G$2:$G$1001,$AB280)/10000),INT(MOD(INDEX(기본자료!$G$2:$G$1001,$AB280),10000)/100),MOD(INDEX(기본자료!$G$2:$G$1001,$AB280),100)),INDEX(기본자료!$G$2:$G$1001,$AB280)&amp;"")))))</f>
        <v/>
      </c>
      <c r="J280" s="10">
        <f>IF($AB280="","",IF(INDEX(기본자료!$H$2:$H$1001,$AB280)="","",INDEX(기본자료!$H$2:$H$1001,$AB280)))</f>
        <v/>
      </c>
      <c r="K280" s="10">
        <f>IF($AB280="","",IF(INDEX(기본자료!$I$2:$I$1001,$AB280)="","",INDEX(기본자료!$I$2:$I$1001,$AB280)))</f>
        <v/>
      </c>
      <c r="L280" s="10">
        <f>IF($AB280="","",IF(INDEX(기본자료!$A$2:$A$1001,$AB280)="","",INDEX(기본자료!$A$2:$A$1001,$AB280)))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파견수련계획!$AB$4:$AB$803,$AK280),OR(NOT(ISNUMBER(INDEX(파견수련계획!$AC$4:$AC$803,$AK280))),TODAY()&lt;=INDEX(파견수련계획!$AC$4:$AC$803,$AK280))),"다기관",IF($AF280="","",INDEX(파견수련계획!$T$4:$T$803,$AF280))),IF($AF280="","",INDEX(파견수련계획!$T$4:$T$803,$AF280))))</f>
        <v/>
      </c>
      <c r="Q280" s="10">
        <f>IF($AF280="","",INDEX(파견수련계획!$S$4:$S$803,$AF280))</f>
        <v/>
      </c>
      <c r="R280" s="10">
        <f>IF($AF280="","",INDEX(파견수련계획!$U$4:$U$803,$AF280))</f>
        <v/>
      </c>
      <c r="S280" s="11">
        <f>IF($AF280="","",IF(INDEX(파견수련계획!$H$4:$H$803,$AF280)="","",INDEX(파견수련계획!$H$4:$H$803,$AF280)))</f>
        <v/>
      </c>
      <c r="T280" s="11">
        <f>IF($AF280="","",IF(INDEX(파견수련계획!$I$4:$I$803,$AF280)="","",INDEX(파견수련계획!$I$4:$I$803,$AF280)))</f>
        <v/>
      </c>
      <c r="U280" s="10">
        <f>IF($AF280="","",INDEX(파견수련계획!$X$4:$X$803,$AF280))</f>
        <v/>
      </c>
      <c r="V280" s="17">
        <f>IF($AF280="","",INDEX(파견수련계획!$V$4:$V$803,$AF280))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IF(OR($B280="",TRIM($J280&amp;"")=""),"",SUMPRODUCT((파견수련계획!$Q$4:$Q$803=TRIM($J280&amp;""))*파견수련계획!$W$4:$W$803))</f>
        <v/>
      </c>
      <c r="Y280" s="10">
        <f>IF($B280="","",IF($AG280="","",IF(IF(TRIM($J280&amp;"")="",0,SUMPRODUCT((파견수련계획!$Q$4:$Q$803=TRIM($J280&amp;""))*파견수련계획!$AD$4:$AD$803))&gt;0,$AE280,IF(N($X280)&lt;=0,$AG280,IF($AH280+$AI280=DAY(EOMONTH(요약!$B$3,0)),IF(AND($AH280&gt;=요약!$E$3,$AI280&lt;요약!$E$3),"서울병원",IF(AND($AI280&gt;=요약!$E$3,$AH280&lt;요약!$E$3),"구리병원","⚠15일 판정불가(서울 "&amp;$AH280&amp;"일/구리 "&amp;$AI280&amp;"일)")),IF($AJ280="",$AE280,IF(INDEX(파견수련계획!$T$4:$T$803,$AJ280)="통합수련",INDEX(파견수련계획!$S$4:$S$803,$AJ280),$AE280)))))))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입력",IF(IF(TRIM($J280&amp;"")="",0,SUMPRODUCT((파견수련계획!$Q$4:$Q$803=TRIM($J280&amp;""))*(파견수련계획!$AA$4:$AA$803&lt;&gt;"")))&gt;0,"파견수련계획 입력오류 확인",IF(LEFT($Y280,1)="⚠","서울·구리 15일 판정 불가(양쪽 모두 이상/미만)",IF(IF($AC280="",0,N(INDEX(인턴근무계획!$T$3:$T$402,$AC280)))&gt;0,"인턴계획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IF($B280="","",IFERROR(MATCH($B280,기본자료!$B$2:$B$1001,0),IFERROR(MATCH($B280&amp;"",기본자료!$B$2:$B$1001,0),IFERROR(MATCH(VALUE($B280),기본자료!$B$2:$B$1001,0),""))))</f>
        <v/>
      </c>
      <c r="AC280" s="10">
        <f>IF($B280="","",IFERROR(MATCH($B280,인턴근무계획!$D$3:$D$402,0),IFERROR(MATCH($B280&amp;"",인턴근무계획!$D$3:$D$402,0),IFERROR(MATCH(VALUE($B280),인턴근무계획!$D$3:$D$402,0),""))))</f>
        <v/>
      </c>
      <c r="AD280" s="10">
        <f>IF(OR($AC280="",인턴현황!$G$3=""),"",INDEX(인턴근무계획!$M$3:$R$402,$AC280,인턴현황!$G$3)&amp;"")</f>
        <v/>
      </c>
      <c r="AE280" s="10">
        <f>IF($B280="","",IF($M280&lt;&gt;"",$M280,IF($AF280&lt;&gt;"",IF(LEFT(INDEX(파견수련계획!$R$4:$R$803,$AF280),1)&lt;&gt;"⚠",INDEX(파견수련계획!$R$4:$R$803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파견수련계획!$Y$4:$Y$803,0),IFERROR(MATCH(TRIM($J280&amp;"")&amp;"|파견예정",파견수련계획!$Y$4:$Y$803,0),IFERROR(MATCH(TRIM($J280&amp;"")&amp;"|파견종료",파견수련계획!$Y$4:$Y$803,0),""))))</f>
        <v/>
      </c>
      <c r="AG280" s="10">
        <f>IF($B280="","",IF(AND(IF(OR($AC280="",인턴현황!$K$2=""),"",INDEX(인턴근무계획!$M$3:$R$402,$AC280,인턴현황!$K$2)&amp;"")&lt;&gt;"",LEFT(IF(OR($AC280="",인턴현황!$K$2=""),"",INDEX(인턴근무계획!$M$3:$R$402,$AC280,인턴현황!$K$2)&amp;""),1)&lt;&gt;"⚠"),LEFT(IF(OR($AC280="",인턴현황!$K$2=""),"",INDEX(인턴근무계획!$M$3:$R$402,$AC280,인턴현황!$K$2)&amp;""),FIND(" ",IF(OR($AC280="",인턴현황!$K$2=""),"",INDEX(인턴근무계획!$M$3:$R$402,$AC280,인턴현황!$K$2)&amp;""))-1),$AE280))</f>
        <v/>
      </c>
      <c r="AH280" s="17">
        <f>IF($B280="","",IF(TRIM($J280&amp;"")="",0,SUMPRODUCT((파견수련계획!$Q$4:$Q$803=TRIM($J280&amp;""))*(파견수련계획!$S$4:$S$803="서울병원")*파견수련계획!$W$4:$W$803))+IF($AG280="서울병원",MAX(0,DAY(EOMONTH(요약!$B$3,0))-N($X280)),0))</f>
        <v/>
      </c>
      <c r="AI280" s="17">
        <f>IF($B280="","",IF(TRIM($J280&amp;"")="",0,SUMPRODUCT((파견수련계획!$Q$4:$Q$803=TRIM($J280&amp;""))*(파견수련계획!$S$4:$S$803="구리병원")*파견수련계획!$W$4:$W$803))+IF($AG280="구리병원",MAX(0,DAY(EOMONTH(요약!$B$3,0))-N($X280)),0))</f>
        <v/>
      </c>
      <c r="AJ280" s="10">
        <f>IF(OR($B280="",TRIM($J280&amp;"")=""),"",IFERROR(MATCH(TRIM($J280&amp;"")&amp;"|월",파견수련계획!$Z$4:$Z$803,0),""))</f>
        <v/>
      </c>
      <c r="AK280" s="10">
        <f>IF(OR($B280="",TRIM($J280&amp;"")=""),"",IFERROR(MATCH(TRIM($J280&amp;"")&amp;"|다기관",파견수련계획!$AE$4:$AE$803,0),""))</f>
        <v/>
      </c>
      <c r="AL280" s="10">
        <f>IF($AK280="","","다기관 "&amp;TEXT(INDEX(파견수련계획!$AB$4:$AB$803,$AK280),"yyyy-mm-dd")&amp;"~"&amp;IF(ISNUMBER(INDEX(파견수련계획!$AC$4:$AC$803,$AK280)),TEXT(INDEX(파견수련계획!$AC$4:$AC$803,$AK280),"yyyy-mm-dd"),""))</f>
        <v/>
      </c>
    </row>
    <row r="281">
      <c r="A281" s="10">
        <f>IF(B281="","",ROW()-1)</f>
        <v/>
      </c>
      <c r="B281" s="18" t="n"/>
      <c r="C281" s="10">
        <f>IF($AB281="","",IF(INDEX(기본자료!$C$2:$C$1001,$AB281)="","",INDEX(기본자료!$C$2:$C$1001,$AB281)))</f>
        <v/>
      </c>
      <c r="D281" s="10">
        <f>IF($AB281="","",IF(INDEX(기본자료!$J$2:$J$1001,$AB281)="","",INDEX(기본자료!$J$2:$J$1001,$AB281)))</f>
        <v/>
      </c>
      <c r="E281" s="11">
        <f>IF($AB281="","",IF(INDEX(기본자료!$K$2:$K$1001,$AB281)="","",IF(NOT(ISNUMBER(INDEX(기본자료!$K$2:$K$1001,$AB281))),INDEX(기본자료!$K$2:$K$1001,$AB281),IF(INDEX(기본자료!$K$2:$K$1001,$AB281)&lt;1000000,INDEX(기본자료!$K$2:$K$1001,$AB281),IF(AND(INDEX(기본자료!$K$2:$K$1001,$AB281)&gt;=10000101,INT(MOD(INDEX(기본자료!$K$2:$K$1001,$AB281),10000)/100)&gt;=1,INT(MOD(INDEX(기본자료!$K$2:$K$1001,$AB281),10000)/100)&lt;=12,MOD(INDEX(기본자료!$K$2:$K$1001,$AB281),100)&gt;=1,MOD(INDEX(기본자료!$K$2:$K$1001,$AB281),100)&lt;=31),DATE(INT(INDEX(기본자료!$K$2:$K$1001,$AB281)/10000),INT(MOD(INDEX(기본자료!$K$2:$K$1001,$AB281),10000)/100),MOD(INDEX(기본자료!$K$2:$K$1001,$AB281),100)),INDEX(기본자료!$K$2:$K$1001,$AB281)&amp;"")))))</f>
        <v/>
      </c>
      <c r="F281" s="10">
        <f>IF($AB281="","",IF(INDEX(기본자료!$D$2:$D$1001,$AB281)="","",INDEX(기본자료!$D$2:$D$1001,$AB281)))</f>
        <v/>
      </c>
      <c r="G281" s="10">
        <f>IF($AB281="","",IF(INDEX(기본자료!$E$2:$E$1001,$AB281)="","",INDEX(기본자료!$E$2:$E$1001,$AB281)))</f>
        <v/>
      </c>
      <c r="H281" s="10">
        <f>IF($AB281="","",IF(INDEX(기본자료!$F$2:$F$1001,$AB281)="","",INDEX(기본자료!$F$2:$F$1001,$AB281)))</f>
        <v/>
      </c>
      <c r="I281" s="11">
        <f>IF($AB281="","",IF(INDEX(기본자료!$G$2:$G$1001,$AB281)="","",IF(NOT(ISNUMBER(INDEX(기본자료!$G$2:$G$1001,$AB281))),INDEX(기본자료!$G$2:$G$1001,$AB281),IF(INDEX(기본자료!$G$2:$G$1001,$AB281)&lt;1000000,INDEX(기본자료!$G$2:$G$1001,$AB281),IF(AND(INDEX(기본자료!$G$2:$G$1001,$AB281)&gt;=10000101,INT(MOD(INDEX(기본자료!$G$2:$G$1001,$AB281),10000)/100)&gt;=1,INT(MOD(INDEX(기본자료!$G$2:$G$1001,$AB281),10000)/100)&lt;=12,MOD(INDEX(기본자료!$G$2:$G$1001,$AB281),100)&gt;=1,MOD(INDEX(기본자료!$G$2:$G$1001,$AB281),100)&lt;=31),DATE(INT(INDEX(기본자료!$G$2:$G$1001,$AB281)/10000),INT(MOD(INDEX(기본자료!$G$2:$G$1001,$AB281),10000)/100),MOD(INDEX(기본자료!$G$2:$G$1001,$AB281),100)),INDEX(기본자료!$G$2:$G$1001,$AB281)&amp;"")))))</f>
        <v/>
      </c>
      <c r="J281" s="10">
        <f>IF($AB281="","",IF(INDEX(기본자료!$H$2:$H$1001,$AB281)="","",INDEX(기본자료!$H$2:$H$1001,$AB281)))</f>
        <v/>
      </c>
      <c r="K281" s="10">
        <f>IF($AB281="","",IF(INDEX(기본자료!$I$2:$I$1001,$AB281)="","",INDEX(기본자료!$I$2:$I$1001,$AB281)))</f>
        <v/>
      </c>
      <c r="L281" s="10">
        <f>IF($AB281="","",IF(INDEX(기본자료!$A$2:$A$1001,$AB281)="","",INDEX(기본자료!$A$2:$A$1001,$AB281)))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파견수련계획!$AB$4:$AB$803,$AK281),OR(NOT(ISNUMBER(INDEX(파견수련계획!$AC$4:$AC$803,$AK281))),TODAY()&lt;=INDEX(파견수련계획!$AC$4:$AC$803,$AK281))),"다기관",IF($AF281="","",INDEX(파견수련계획!$T$4:$T$803,$AF281))),IF($AF281="","",INDEX(파견수련계획!$T$4:$T$803,$AF281))))</f>
        <v/>
      </c>
      <c r="Q281" s="10">
        <f>IF($AF281="","",INDEX(파견수련계획!$S$4:$S$803,$AF281))</f>
        <v/>
      </c>
      <c r="R281" s="10">
        <f>IF($AF281="","",INDEX(파견수련계획!$U$4:$U$803,$AF281))</f>
        <v/>
      </c>
      <c r="S281" s="11">
        <f>IF($AF281="","",IF(INDEX(파견수련계획!$H$4:$H$803,$AF281)="","",INDEX(파견수련계획!$H$4:$H$803,$AF281)))</f>
        <v/>
      </c>
      <c r="T281" s="11">
        <f>IF($AF281="","",IF(INDEX(파견수련계획!$I$4:$I$803,$AF281)="","",INDEX(파견수련계획!$I$4:$I$803,$AF281)))</f>
        <v/>
      </c>
      <c r="U281" s="10">
        <f>IF($AF281="","",INDEX(파견수련계획!$X$4:$X$803,$AF281))</f>
        <v/>
      </c>
      <c r="V281" s="17">
        <f>IF($AF281="","",INDEX(파견수련계획!$V$4:$V$803,$AF281))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IF(OR($B281="",TRIM($J281&amp;"")=""),"",SUMPRODUCT((파견수련계획!$Q$4:$Q$803=TRIM($J281&amp;""))*파견수련계획!$W$4:$W$803))</f>
        <v/>
      </c>
      <c r="Y281" s="10">
        <f>IF($B281="","",IF($AG281="","",IF(IF(TRIM($J281&amp;"")="",0,SUMPRODUCT((파견수련계획!$Q$4:$Q$803=TRIM($J281&amp;""))*파견수련계획!$AD$4:$AD$803))&gt;0,$AE281,IF(N($X281)&lt;=0,$AG281,IF($AH281+$AI281=DAY(EOMONTH(요약!$B$3,0)),IF(AND($AH281&gt;=요약!$E$3,$AI281&lt;요약!$E$3),"서울병원",IF(AND($AI281&gt;=요약!$E$3,$AH281&lt;요약!$E$3),"구리병원","⚠15일 판정불가(서울 "&amp;$AH281&amp;"일/구리 "&amp;$AI281&amp;"일)")),IF($AJ281="",$AE281,IF(INDEX(파견수련계획!$T$4:$T$803,$AJ281)="통합수련",INDEX(파견수련계획!$S$4:$S$803,$AJ281),$AE281)))))))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입력",IF(IF(TRIM($J281&amp;"")="",0,SUMPRODUCT((파견수련계획!$Q$4:$Q$803=TRIM($J281&amp;""))*(파견수련계획!$AA$4:$AA$803&lt;&gt;"")))&gt;0,"파견수련계획 입력오류 확인",IF(LEFT($Y281,1)="⚠","서울·구리 15일 판정 불가(양쪽 모두 이상/미만)",IF(IF($AC281="",0,N(INDEX(인턴근무계획!$T$3:$T$402,$AC281)))&gt;0,"인턴계획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IF($B281="","",IFERROR(MATCH($B281,기본자료!$B$2:$B$1001,0),IFERROR(MATCH($B281&amp;"",기본자료!$B$2:$B$1001,0),IFERROR(MATCH(VALUE($B281),기본자료!$B$2:$B$1001,0),""))))</f>
        <v/>
      </c>
      <c r="AC281" s="10">
        <f>IF($B281="","",IFERROR(MATCH($B281,인턴근무계획!$D$3:$D$402,0),IFERROR(MATCH($B281&amp;"",인턴근무계획!$D$3:$D$402,0),IFERROR(MATCH(VALUE($B281),인턴근무계획!$D$3:$D$402,0),""))))</f>
        <v/>
      </c>
      <c r="AD281" s="10">
        <f>IF(OR($AC281="",인턴현황!$G$3=""),"",INDEX(인턴근무계획!$M$3:$R$402,$AC281,인턴현황!$G$3)&amp;"")</f>
        <v/>
      </c>
      <c r="AE281" s="10">
        <f>IF($B281="","",IF($M281&lt;&gt;"",$M281,IF($AF281&lt;&gt;"",IF(LEFT(INDEX(파견수련계획!$R$4:$R$803,$AF281),1)&lt;&gt;"⚠",INDEX(파견수련계획!$R$4:$R$803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파견수련계획!$Y$4:$Y$803,0),IFERROR(MATCH(TRIM($J281&amp;"")&amp;"|파견예정",파견수련계획!$Y$4:$Y$803,0),IFERROR(MATCH(TRIM($J281&amp;"")&amp;"|파견종료",파견수련계획!$Y$4:$Y$803,0),""))))</f>
        <v/>
      </c>
      <c r="AG281" s="10">
        <f>IF($B281="","",IF(AND(IF(OR($AC281="",인턴현황!$K$2=""),"",INDEX(인턴근무계획!$M$3:$R$402,$AC281,인턴현황!$K$2)&amp;"")&lt;&gt;"",LEFT(IF(OR($AC281="",인턴현황!$K$2=""),"",INDEX(인턴근무계획!$M$3:$R$402,$AC281,인턴현황!$K$2)&amp;""),1)&lt;&gt;"⚠"),LEFT(IF(OR($AC281="",인턴현황!$K$2=""),"",INDEX(인턴근무계획!$M$3:$R$402,$AC281,인턴현황!$K$2)&amp;""),FIND(" ",IF(OR($AC281="",인턴현황!$K$2=""),"",INDEX(인턴근무계획!$M$3:$R$402,$AC281,인턴현황!$K$2)&amp;""))-1),$AE281))</f>
        <v/>
      </c>
      <c r="AH281" s="17">
        <f>IF($B281="","",IF(TRIM($J281&amp;"")="",0,SUMPRODUCT((파견수련계획!$Q$4:$Q$803=TRIM($J281&amp;""))*(파견수련계획!$S$4:$S$803="서울병원")*파견수련계획!$W$4:$W$803))+IF($AG281="서울병원",MAX(0,DAY(EOMONTH(요약!$B$3,0))-N($X281)),0))</f>
        <v/>
      </c>
      <c r="AI281" s="17">
        <f>IF($B281="","",IF(TRIM($J281&amp;"")="",0,SUMPRODUCT((파견수련계획!$Q$4:$Q$803=TRIM($J281&amp;""))*(파견수련계획!$S$4:$S$803="구리병원")*파견수련계획!$W$4:$W$803))+IF($AG281="구리병원",MAX(0,DAY(EOMONTH(요약!$B$3,0))-N($X281)),0))</f>
        <v/>
      </c>
      <c r="AJ281" s="10">
        <f>IF(OR($B281="",TRIM($J281&amp;"")=""),"",IFERROR(MATCH(TRIM($J281&amp;"")&amp;"|월",파견수련계획!$Z$4:$Z$803,0),""))</f>
        <v/>
      </c>
      <c r="AK281" s="10">
        <f>IF(OR($B281="",TRIM($J281&amp;"")=""),"",IFERROR(MATCH(TRIM($J281&amp;"")&amp;"|다기관",파견수련계획!$AE$4:$AE$803,0),""))</f>
        <v/>
      </c>
      <c r="AL281" s="10">
        <f>IF($AK281="","","다기관 "&amp;TEXT(INDEX(파견수련계획!$AB$4:$AB$803,$AK281),"yyyy-mm-dd")&amp;"~"&amp;IF(ISNUMBER(INDEX(파견수련계획!$AC$4:$AC$803,$AK281)),TEXT(INDEX(파견수련계획!$AC$4:$AC$803,$AK281),"yyyy-mm-dd"),""))</f>
        <v/>
      </c>
    </row>
    <row r="282">
      <c r="A282" s="10">
        <f>IF(B282="","",ROW()-1)</f>
        <v/>
      </c>
      <c r="B282" s="18" t="n"/>
      <c r="C282" s="10">
        <f>IF($AB282="","",IF(INDEX(기본자료!$C$2:$C$1001,$AB282)="","",INDEX(기본자료!$C$2:$C$1001,$AB282)))</f>
        <v/>
      </c>
      <c r="D282" s="10">
        <f>IF($AB282="","",IF(INDEX(기본자료!$J$2:$J$1001,$AB282)="","",INDEX(기본자료!$J$2:$J$1001,$AB282)))</f>
        <v/>
      </c>
      <c r="E282" s="11">
        <f>IF($AB282="","",IF(INDEX(기본자료!$K$2:$K$1001,$AB282)="","",IF(NOT(ISNUMBER(INDEX(기본자료!$K$2:$K$1001,$AB282))),INDEX(기본자료!$K$2:$K$1001,$AB282),IF(INDEX(기본자료!$K$2:$K$1001,$AB282)&lt;1000000,INDEX(기본자료!$K$2:$K$1001,$AB282),IF(AND(INDEX(기본자료!$K$2:$K$1001,$AB282)&gt;=10000101,INT(MOD(INDEX(기본자료!$K$2:$K$1001,$AB282),10000)/100)&gt;=1,INT(MOD(INDEX(기본자료!$K$2:$K$1001,$AB282),10000)/100)&lt;=12,MOD(INDEX(기본자료!$K$2:$K$1001,$AB282),100)&gt;=1,MOD(INDEX(기본자료!$K$2:$K$1001,$AB282),100)&lt;=31),DATE(INT(INDEX(기본자료!$K$2:$K$1001,$AB282)/10000),INT(MOD(INDEX(기본자료!$K$2:$K$1001,$AB282),10000)/100),MOD(INDEX(기본자료!$K$2:$K$1001,$AB282),100)),INDEX(기본자료!$K$2:$K$1001,$AB282)&amp;"")))))</f>
        <v/>
      </c>
      <c r="F282" s="10">
        <f>IF($AB282="","",IF(INDEX(기본자료!$D$2:$D$1001,$AB282)="","",INDEX(기본자료!$D$2:$D$1001,$AB282)))</f>
        <v/>
      </c>
      <c r="G282" s="10">
        <f>IF($AB282="","",IF(INDEX(기본자료!$E$2:$E$1001,$AB282)="","",INDEX(기본자료!$E$2:$E$1001,$AB282)))</f>
        <v/>
      </c>
      <c r="H282" s="10">
        <f>IF($AB282="","",IF(INDEX(기본자료!$F$2:$F$1001,$AB282)="","",INDEX(기본자료!$F$2:$F$1001,$AB282)))</f>
        <v/>
      </c>
      <c r="I282" s="11">
        <f>IF($AB282="","",IF(INDEX(기본자료!$G$2:$G$1001,$AB282)="","",IF(NOT(ISNUMBER(INDEX(기본자료!$G$2:$G$1001,$AB282))),INDEX(기본자료!$G$2:$G$1001,$AB282),IF(INDEX(기본자료!$G$2:$G$1001,$AB282)&lt;1000000,INDEX(기본자료!$G$2:$G$1001,$AB282),IF(AND(INDEX(기본자료!$G$2:$G$1001,$AB282)&gt;=10000101,INT(MOD(INDEX(기본자료!$G$2:$G$1001,$AB282),10000)/100)&gt;=1,INT(MOD(INDEX(기본자료!$G$2:$G$1001,$AB282),10000)/100)&lt;=12,MOD(INDEX(기본자료!$G$2:$G$1001,$AB282),100)&gt;=1,MOD(INDEX(기본자료!$G$2:$G$1001,$AB282),100)&lt;=31),DATE(INT(INDEX(기본자료!$G$2:$G$1001,$AB282)/10000),INT(MOD(INDEX(기본자료!$G$2:$G$1001,$AB282),10000)/100),MOD(INDEX(기본자료!$G$2:$G$1001,$AB282),100)),INDEX(기본자료!$G$2:$G$1001,$AB282)&amp;"")))))</f>
        <v/>
      </c>
      <c r="J282" s="10">
        <f>IF($AB282="","",IF(INDEX(기본자료!$H$2:$H$1001,$AB282)="","",INDEX(기본자료!$H$2:$H$1001,$AB282)))</f>
        <v/>
      </c>
      <c r="K282" s="10">
        <f>IF($AB282="","",IF(INDEX(기본자료!$I$2:$I$1001,$AB282)="","",INDEX(기본자료!$I$2:$I$1001,$AB282)))</f>
        <v/>
      </c>
      <c r="L282" s="10">
        <f>IF($AB282="","",IF(INDEX(기본자료!$A$2:$A$1001,$AB282)="","",INDEX(기본자료!$A$2:$A$1001,$AB282)))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파견수련계획!$AB$4:$AB$803,$AK282),OR(NOT(ISNUMBER(INDEX(파견수련계획!$AC$4:$AC$803,$AK282))),TODAY()&lt;=INDEX(파견수련계획!$AC$4:$AC$803,$AK282))),"다기관",IF($AF282="","",INDEX(파견수련계획!$T$4:$T$803,$AF282))),IF($AF282="","",INDEX(파견수련계획!$T$4:$T$803,$AF282))))</f>
        <v/>
      </c>
      <c r="Q282" s="10">
        <f>IF($AF282="","",INDEX(파견수련계획!$S$4:$S$803,$AF282))</f>
        <v/>
      </c>
      <c r="R282" s="10">
        <f>IF($AF282="","",INDEX(파견수련계획!$U$4:$U$803,$AF282))</f>
        <v/>
      </c>
      <c r="S282" s="11">
        <f>IF($AF282="","",IF(INDEX(파견수련계획!$H$4:$H$803,$AF282)="","",INDEX(파견수련계획!$H$4:$H$803,$AF282)))</f>
        <v/>
      </c>
      <c r="T282" s="11">
        <f>IF($AF282="","",IF(INDEX(파견수련계획!$I$4:$I$803,$AF282)="","",INDEX(파견수련계획!$I$4:$I$803,$AF282)))</f>
        <v/>
      </c>
      <c r="U282" s="10">
        <f>IF($AF282="","",INDEX(파견수련계획!$X$4:$X$803,$AF282))</f>
        <v/>
      </c>
      <c r="V282" s="17">
        <f>IF($AF282="","",INDEX(파견수련계획!$V$4:$V$803,$AF282))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IF(OR($B282="",TRIM($J282&amp;"")=""),"",SUMPRODUCT((파견수련계획!$Q$4:$Q$803=TRIM($J282&amp;""))*파견수련계획!$W$4:$W$803))</f>
        <v/>
      </c>
      <c r="Y282" s="10">
        <f>IF($B282="","",IF($AG282="","",IF(IF(TRIM($J282&amp;"")="",0,SUMPRODUCT((파견수련계획!$Q$4:$Q$803=TRIM($J282&amp;""))*파견수련계획!$AD$4:$AD$803))&gt;0,$AE282,IF(N($X282)&lt;=0,$AG282,IF($AH282+$AI282=DAY(EOMONTH(요약!$B$3,0)),IF(AND($AH282&gt;=요약!$E$3,$AI282&lt;요약!$E$3),"서울병원",IF(AND($AI282&gt;=요약!$E$3,$AH282&lt;요약!$E$3),"구리병원","⚠15일 판정불가(서울 "&amp;$AH282&amp;"일/구리 "&amp;$AI282&amp;"일)")),IF($AJ282="",$AE282,IF(INDEX(파견수련계획!$T$4:$T$803,$AJ282)="통합수련",INDEX(파견수련계획!$S$4:$S$803,$AJ282),$AE282)))))))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입력",IF(IF(TRIM($J282&amp;"")="",0,SUMPRODUCT((파견수련계획!$Q$4:$Q$803=TRIM($J282&amp;""))*(파견수련계획!$AA$4:$AA$803&lt;&gt;"")))&gt;0,"파견수련계획 입력오류 확인",IF(LEFT($Y282,1)="⚠","서울·구리 15일 판정 불가(양쪽 모두 이상/미만)",IF(IF($AC282="",0,N(INDEX(인턴근무계획!$T$3:$T$402,$AC282)))&gt;0,"인턴계획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IF($B282="","",IFERROR(MATCH($B282,기본자료!$B$2:$B$1001,0),IFERROR(MATCH($B282&amp;"",기본자료!$B$2:$B$1001,0),IFERROR(MATCH(VALUE($B282),기본자료!$B$2:$B$1001,0),""))))</f>
        <v/>
      </c>
      <c r="AC282" s="10">
        <f>IF($B282="","",IFERROR(MATCH($B282,인턴근무계획!$D$3:$D$402,0),IFERROR(MATCH($B282&amp;"",인턴근무계획!$D$3:$D$402,0),IFERROR(MATCH(VALUE($B282),인턴근무계획!$D$3:$D$402,0),""))))</f>
        <v/>
      </c>
      <c r="AD282" s="10">
        <f>IF(OR($AC282="",인턴현황!$G$3=""),"",INDEX(인턴근무계획!$M$3:$R$402,$AC282,인턴현황!$G$3)&amp;"")</f>
        <v/>
      </c>
      <c r="AE282" s="10">
        <f>IF($B282="","",IF($M282&lt;&gt;"",$M282,IF($AF282&lt;&gt;"",IF(LEFT(INDEX(파견수련계획!$R$4:$R$803,$AF282),1)&lt;&gt;"⚠",INDEX(파견수련계획!$R$4:$R$803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파견수련계획!$Y$4:$Y$803,0),IFERROR(MATCH(TRIM($J282&amp;"")&amp;"|파견예정",파견수련계획!$Y$4:$Y$803,0),IFERROR(MATCH(TRIM($J282&amp;"")&amp;"|파견종료",파견수련계획!$Y$4:$Y$803,0),""))))</f>
        <v/>
      </c>
      <c r="AG282" s="10">
        <f>IF($B282="","",IF(AND(IF(OR($AC282="",인턴현황!$K$2=""),"",INDEX(인턴근무계획!$M$3:$R$402,$AC282,인턴현황!$K$2)&amp;"")&lt;&gt;"",LEFT(IF(OR($AC282="",인턴현황!$K$2=""),"",INDEX(인턴근무계획!$M$3:$R$402,$AC282,인턴현황!$K$2)&amp;""),1)&lt;&gt;"⚠"),LEFT(IF(OR($AC282="",인턴현황!$K$2=""),"",INDEX(인턴근무계획!$M$3:$R$402,$AC282,인턴현황!$K$2)&amp;""),FIND(" ",IF(OR($AC282="",인턴현황!$K$2=""),"",INDEX(인턴근무계획!$M$3:$R$402,$AC282,인턴현황!$K$2)&amp;""))-1),$AE282))</f>
        <v/>
      </c>
      <c r="AH282" s="17">
        <f>IF($B282="","",IF(TRIM($J282&amp;"")="",0,SUMPRODUCT((파견수련계획!$Q$4:$Q$803=TRIM($J282&amp;""))*(파견수련계획!$S$4:$S$803="서울병원")*파견수련계획!$W$4:$W$803))+IF($AG282="서울병원",MAX(0,DAY(EOMONTH(요약!$B$3,0))-N($X282)),0))</f>
        <v/>
      </c>
      <c r="AI282" s="17">
        <f>IF($B282="","",IF(TRIM($J282&amp;"")="",0,SUMPRODUCT((파견수련계획!$Q$4:$Q$803=TRIM($J282&amp;""))*(파견수련계획!$S$4:$S$803="구리병원")*파견수련계획!$W$4:$W$803))+IF($AG282="구리병원",MAX(0,DAY(EOMONTH(요약!$B$3,0))-N($X282)),0))</f>
        <v/>
      </c>
      <c r="AJ282" s="10">
        <f>IF(OR($B282="",TRIM($J282&amp;"")=""),"",IFERROR(MATCH(TRIM($J282&amp;"")&amp;"|월",파견수련계획!$Z$4:$Z$803,0),""))</f>
        <v/>
      </c>
      <c r="AK282" s="10">
        <f>IF(OR($B282="",TRIM($J282&amp;"")=""),"",IFERROR(MATCH(TRIM($J282&amp;"")&amp;"|다기관",파견수련계획!$AE$4:$AE$803,0),""))</f>
        <v/>
      </c>
      <c r="AL282" s="10">
        <f>IF($AK282="","","다기관 "&amp;TEXT(INDEX(파견수련계획!$AB$4:$AB$803,$AK282),"yyyy-mm-dd")&amp;"~"&amp;IF(ISNUMBER(INDEX(파견수련계획!$AC$4:$AC$803,$AK282)),TEXT(INDEX(파견수련계획!$AC$4:$AC$803,$AK282),"yyyy-mm-dd"),""))</f>
        <v/>
      </c>
    </row>
    <row r="283">
      <c r="A283" s="10">
        <f>IF(B283="","",ROW()-1)</f>
        <v/>
      </c>
      <c r="B283" s="18" t="n"/>
      <c r="C283" s="10">
        <f>IF($AB283="","",IF(INDEX(기본자료!$C$2:$C$1001,$AB283)="","",INDEX(기본자료!$C$2:$C$1001,$AB283)))</f>
        <v/>
      </c>
      <c r="D283" s="10">
        <f>IF($AB283="","",IF(INDEX(기본자료!$J$2:$J$1001,$AB283)="","",INDEX(기본자료!$J$2:$J$1001,$AB283)))</f>
        <v/>
      </c>
      <c r="E283" s="11">
        <f>IF($AB283="","",IF(INDEX(기본자료!$K$2:$K$1001,$AB283)="","",IF(NOT(ISNUMBER(INDEX(기본자료!$K$2:$K$1001,$AB283))),INDEX(기본자료!$K$2:$K$1001,$AB283),IF(INDEX(기본자료!$K$2:$K$1001,$AB283)&lt;1000000,INDEX(기본자료!$K$2:$K$1001,$AB283),IF(AND(INDEX(기본자료!$K$2:$K$1001,$AB283)&gt;=10000101,INT(MOD(INDEX(기본자료!$K$2:$K$1001,$AB283),10000)/100)&gt;=1,INT(MOD(INDEX(기본자료!$K$2:$K$1001,$AB283),10000)/100)&lt;=12,MOD(INDEX(기본자료!$K$2:$K$1001,$AB283),100)&gt;=1,MOD(INDEX(기본자료!$K$2:$K$1001,$AB283),100)&lt;=31),DATE(INT(INDEX(기본자료!$K$2:$K$1001,$AB283)/10000),INT(MOD(INDEX(기본자료!$K$2:$K$1001,$AB283),10000)/100),MOD(INDEX(기본자료!$K$2:$K$1001,$AB283),100)),INDEX(기본자료!$K$2:$K$1001,$AB283)&amp;"")))))</f>
        <v/>
      </c>
      <c r="F283" s="10">
        <f>IF($AB283="","",IF(INDEX(기본자료!$D$2:$D$1001,$AB283)="","",INDEX(기본자료!$D$2:$D$1001,$AB283)))</f>
        <v/>
      </c>
      <c r="G283" s="10">
        <f>IF($AB283="","",IF(INDEX(기본자료!$E$2:$E$1001,$AB283)="","",INDEX(기본자료!$E$2:$E$1001,$AB283)))</f>
        <v/>
      </c>
      <c r="H283" s="10">
        <f>IF($AB283="","",IF(INDEX(기본자료!$F$2:$F$1001,$AB283)="","",INDEX(기본자료!$F$2:$F$1001,$AB283)))</f>
        <v/>
      </c>
      <c r="I283" s="11">
        <f>IF($AB283="","",IF(INDEX(기본자료!$G$2:$G$1001,$AB283)="","",IF(NOT(ISNUMBER(INDEX(기본자료!$G$2:$G$1001,$AB283))),INDEX(기본자료!$G$2:$G$1001,$AB283),IF(INDEX(기본자료!$G$2:$G$1001,$AB283)&lt;1000000,INDEX(기본자료!$G$2:$G$1001,$AB283),IF(AND(INDEX(기본자료!$G$2:$G$1001,$AB283)&gt;=10000101,INT(MOD(INDEX(기본자료!$G$2:$G$1001,$AB283),10000)/100)&gt;=1,INT(MOD(INDEX(기본자료!$G$2:$G$1001,$AB283),10000)/100)&lt;=12,MOD(INDEX(기본자료!$G$2:$G$1001,$AB283),100)&gt;=1,MOD(INDEX(기본자료!$G$2:$G$1001,$AB283),100)&lt;=31),DATE(INT(INDEX(기본자료!$G$2:$G$1001,$AB283)/10000),INT(MOD(INDEX(기본자료!$G$2:$G$1001,$AB283),10000)/100),MOD(INDEX(기본자료!$G$2:$G$1001,$AB283),100)),INDEX(기본자료!$G$2:$G$1001,$AB283)&amp;"")))))</f>
        <v/>
      </c>
      <c r="J283" s="10">
        <f>IF($AB283="","",IF(INDEX(기본자료!$H$2:$H$1001,$AB283)="","",INDEX(기본자료!$H$2:$H$1001,$AB283)))</f>
        <v/>
      </c>
      <c r="K283" s="10">
        <f>IF($AB283="","",IF(INDEX(기본자료!$I$2:$I$1001,$AB283)="","",INDEX(기본자료!$I$2:$I$1001,$AB283)))</f>
        <v/>
      </c>
      <c r="L283" s="10">
        <f>IF($AB283="","",IF(INDEX(기본자료!$A$2:$A$1001,$AB283)="","",INDEX(기본자료!$A$2:$A$1001,$AB283)))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파견수련계획!$AB$4:$AB$803,$AK283),OR(NOT(ISNUMBER(INDEX(파견수련계획!$AC$4:$AC$803,$AK283))),TODAY()&lt;=INDEX(파견수련계획!$AC$4:$AC$803,$AK283))),"다기관",IF($AF283="","",INDEX(파견수련계획!$T$4:$T$803,$AF283))),IF($AF283="","",INDEX(파견수련계획!$T$4:$T$803,$AF283))))</f>
        <v/>
      </c>
      <c r="Q283" s="10">
        <f>IF($AF283="","",INDEX(파견수련계획!$S$4:$S$803,$AF283))</f>
        <v/>
      </c>
      <c r="R283" s="10">
        <f>IF($AF283="","",INDEX(파견수련계획!$U$4:$U$803,$AF283))</f>
        <v/>
      </c>
      <c r="S283" s="11">
        <f>IF($AF283="","",IF(INDEX(파견수련계획!$H$4:$H$803,$AF283)="","",INDEX(파견수련계획!$H$4:$H$803,$AF283)))</f>
        <v/>
      </c>
      <c r="T283" s="11">
        <f>IF($AF283="","",IF(INDEX(파견수련계획!$I$4:$I$803,$AF283)="","",INDEX(파견수련계획!$I$4:$I$803,$AF283)))</f>
        <v/>
      </c>
      <c r="U283" s="10">
        <f>IF($AF283="","",INDEX(파견수련계획!$X$4:$X$803,$AF283))</f>
        <v/>
      </c>
      <c r="V283" s="17">
        <f>IF($AF283="","",INDEX(파견수련계획!$V$4:$V$803,$AF283))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IF(OR($B283="",TRIM($J283&amp;"")=""),"",SUMPRODUCT((파견수련계획!$Q$4:$Q$803=TRIM($J283&amp;""))*파견수련계획!$W$4:$W$803))</f>
        <v/>
      </c>
      <c r="Y283" s="10">
        <f>IF($B283="","",IF($AG283="","",IF(IF(TRIM($J283&amp;"")="",0,SUMPRODUCT((파견수련계획!$Q$4:$Q$803=TRIM($J283&amp;""))*파견수련계획!$AD$4:$AD$803))&gt;0,$AE283,IF(N($X283)&lt;=0,$AG283,IF($AH283+$AI283=DAY(EOMONTH(요약!$B$3,0)),IF(AND($AH283&gt;=요약!$E$3,$AI283&lt;요약!$E$3),"서울병원",IF(AND($AI283&gt;=요약!$E$3,$AH283&lt;요약!$E$3),"구리병원","⚠15일 판정불가(서울 "&amp;$AH283&amp;"일/구리 "&amp;$AI283&amp;"일)")),IF($AJ283="",$AE283,IF(INDEX(파견수련계획!$T$4:$T$803,$AJ283)="통합수련",INDEX(파견수련계획!$S$4:$S$803,$AJ283),$AE283)))))))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입력",IF(IF(TRIM($J283&amp;"")="",0,SUMPRODUCT((파견수련계획!$Q$4:$Q$803=TRIM($J283&amp;""))*(파견수련계획!$AA$4:$AA$803&lt;&gt;"")))&gt;0,"파견수련계획 입력오류 확인",IF(LEFT($Y283,1)="⚠","서울·구리 15일 판정 불가(양쪽 모두 이상/미만)",IF(IF($AC283="",0,N(INDEX(인턴근무계획!$T$3:$T$402,$AC283)))&gt;0,"인턴계획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IF($B283="","",IFERROR(MATCH($B283,기본자료!$B$2:$B$1001,0),IFERROR(MATCH($B283&amp;"",기본자료!$B$2:$B$1001,0),IFERROR(MATCH(VALUE($B283),기본자료!$B$2:$B$1001,0),""))))</f>
        <v/>
      </c>
      <c r="AC283" s="10">
        <f>IF($B283="","",IFERROR(MATCH($B283,인턴근무계획!$D$3:$D$402,0),IFERROR(MATCH($B283&amp;"",인턴근무계획!$D$3:$D$402,0),IFERROR(MATCH(VALUE($B283),인턴근무계획!$D$3:$D$402,0),""))))</f>
        <v/>
      </c>
      <c r="AD283" s="10">
        <f>IF(OR($AC283="",인턴현황!$G$3=""),"",INDEX(인턴근무계획!$M$3:$R$402,$AC283,인턴현황!$G$3)&amp;"")</f>
        <v/>
      </c>
      <c r="AE283" s="10">
        <f>IF($B283="","",IF($M283&lt;&gt;"",$M283,IF($AF283&lt;&gt;"",IF(LEFT(INDEX(파견수련계획!$R$4:$R$803,$AF283),1)&lt;&gt;"⚠",INDEX(파견수련계획!$R$4:$R$803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파견수련계획!$Y$4:$Y$803,0),IFERROR(MATCH(TRIM($J283&amp;"")&amp;"|파견예정",파견수련계획!$Y$4:$Y$803,0),IFERROR(MATCH(TRIM($J283&amp;"")&amp;"|파견종료",파견수련계획!$Y$4:$Y$803,0),""))))</f>
        <v/>
      </c>
      <c r="AG283" s="10">
        <f>IF($B283="","",IF(AND(IF(OR($AC283="",인턴현황!$K$2=""),"",INDEX(인턴근무계획!$M$3:$R$402,$AC283,인턴현황!$K$2)&amp;"")&lt;&gt;"",LEFT(IF(OR($AC283="",인턴현황!$K$2=""),"",INDEX(인턴근무계획!$M$3:$R$402,$AC283,인턴현황!$K$2)&amp;""),1)&lt;&gt;"⚠"),LEFT(IF(OR($AC283="",인턴현황!$K$2=""),"",INDEX(인턴근무계획!$M$3:$R$402,$AC283,인턴현황!$K$2)&amp;""),FIND(" ",IF(OR($AC283="",인턴현황!$K$2=""),"",INDEX(인턴근무계획!$M$3:$R$402,$AC283,인턴현황!$K$2)&amp;""))-1),$AE283))</f>
        <v/>
      </c>
      <c r="AH283" s="17">
        <f>IF($B283="","",IF(TRIM($J283&amp;"")="",0,SUMPRODUCT((파견수련계획!$Q$4:$Q$803=TRIM($J283&amp;""))*(파견수련계획!$S$4:$S$803="서울병원")*파견수련계획!$W$4:$W$803))+IF($AG283="서울병원",MAX(0,DAY(EOMONTH(요약!$B$3,0))-N($X283)),0))</f>
        <v/>
      </c>
      <c r="AI283" s="17">
        <f>IF($B283="","",IF(TRIM($J283&amp;"")="",0,SUMPRODUCT((파견수련계획!$Q$4:$Q$803=TRIM($J283&amp;""))*(파견수련계획!$S$4:$S$803="구리병원")*파견수련계획!$W$4:$W$803))+IF($AG283="구리병원",MAX(0,DAY(EOMONTH(요약!$B$3,0))-N($X283)),0))</f>
        <v/>
      </c>
      <c r="AJ283" s="10">
        <f>IF(OR($B283="",TRIM($J283&amp;"")=""),"",IFERROR(MATCH(TRIM($J283&amp;"")&amp;"|월",파견수련계획!$Z$4:$Z$803,0),""))</f>
        <v/>
      </c>
      <c r="AK283" s="10">
        <f>IF(OR($B283="",TRIM($J283&amp;"")=""),"",IFERROR(MATCH(TRIM($J283&amp;"")&amp;"|다기관",파견수련계획!$AE$4:$AE$803,0),""))</f>
        <v/>
      </c>
      <c r="AL283" s="10">
        <f>IF($AK283="","","다기관 "&amp;TEXT(INDEX(파견수련계획!$AB$4:$AB$803,$AK283),"yyyy-mm-dd")&amp;"~"&amp;IF(ISNUMBER(INDEX(파견수련계획!$AC$4:$AC$803,$AK283)),TEXT(INDEX(파견수련계획!$AC$4:$AC$803,$AK283),"yyyy-mm-dd"),""))</f>
        <v/>
      </c>
    </row>
    <row r="284">
      <c r="A284" s="10">
        <f>IF(B284="","",ROW()-1)</f>
        <v/>
      </c>
      <c r="B284" s="18" t="n"/>
      <c r="C284" s="10">
        <f>IF($AB284="","",IF(INDEX(기본자료!$C$2:$C$1001,$AB284)="","",INDEX(기본자료!$C$2:$C$1001,$AB284)))</f>
        <v/>
      </c>
      <c r="D284" s="10">
        <f>IF($AB284="","",IF(INDEX(기본자료!$J$2:$J$1001,$AB284)="","",INDEX(기본자료!$J$2:$J$1001,$AB284)))</f>
        <v/>
      </c>
      <c r="E284" s="11">
        <f>IF($AB284="","",IF(INDEX(기본자료!$K$2:$K$1001,$AB284)="","",IF(NOT(ISNUMBER(INDEX(기본자료!$K$2:$K$1001,$AB284))),INDEX(기본자료!$K$2:$K$1001,$AB284),IF(INDEX(기본자료!$K$2:$K$1001,$AB284)&lt;1000000,INDEX(기본자료!$K$2:$K$1001,$AB284),IF(AND(INDEX(기본자료!$K$2:$K$1001,$AB284)&gt;=10000101,INT(MOD(INDEX(기본자료!$K$2:$K$1001,$AB284),10000)/100)&gt;=1,INT(MOD(INDEX(기본자료!$K$2:$K$1001,$AB284),10000)/100)&lt;=12,MOD(INDEX(기본자료!$K$2:$K$1001,$AB284),100)&gt;=1,MOD(INDEX(기본자료!$K$2:$K$1001,$AB284),100)&lt;=31),DATE(INT(INDEX(기본자료!$K$2:$K$1001,$AB284)/10000),INT(MOD(INDEX(기본자료!$K$2:$K$1001,$AB284),10000)/100),MOD(INDEX(기본자료!$K$2:$K$1001,$AB284),100)),INDEX(기본자료!$K$2:$K$1001,$AB284)&amp;"")))))</f>
        <v/>
      </c>
      <c r="F284" s="10">
        <f>IF($AB284="","",IF(INDEX(기본자료!$D$2:$D$1001,$AB284)="","",INDEX(기본자료!$D$2:$D$1001,$AB284)))</f>
        <v/>
      </c>
      <c r="G284" s="10">
        <f>IF($AB284="","",IF(INDEX(기본자료!$E$2:$E$1001,$AB284)="","",INDEX(기본자료!$E$2:$E$1001,$AB284)))</f>
        <v/>
      </c>
      <c r="H284" s="10">
        <f>IF($AB284="","",IF(INDEX(기본자료!$F$2:$F$1001,$AB284)="","",INDEX(기본자료!$F$2:$F$1001,$AB284)))</f>
        <v/>
      </c>
      <c r="I284" s="11">
        <f>IF($AB284="","",IF(INDEX(기본자료!$G$2:$G$1001,$AB284)="","",IF(NOT(ISNUMBER(INDEX(기본자료!$G$2:$G$1001,$AB284))),INDEX(기본자료!$G$2:$G$1001,$AB284),IF(INDEX(기본자료!$G$2:$G$1001,$AB284)&lt;1000000,INDEX(기본자료!$G$2:$G$1001,$AB284),IF(AND(INDEX(기본자료!$G$2:$G$1001,$AB284)&gt;=10000101,INT(MOD(INDEX(기본자료!$G$2:$G$1001,$AB284),10000)/100)&gt;=1,INT(MOD(INDEX(기본자료!$G$2:$G$1001,$AB284),10000)/100)&lt;=12,MOD(INDEX(기본자료!$G$2:$G$1001,$AB284),100)&gt;=1,MOD(INDEX(기본자료!$G$2:$G$1001,$AB284),100)&lt;=31),DATE(INT(INDEX(기본자료!$G$2:$G$1001,$AB284)/10000),INT(MOD(INDEX(기본자료!$G$2:$G$1001,$AB284),10000)/100),MOD(INDEX(기본자료!$G$2:$G$1001,$AB284),100)),INDEX(기본자료!$G$2:$G$1001,$AB284)&amp;"")))))</f>
        <v/>
      </c>
      <c r="J284" s="10">
        <f>IF($AB284="","",IF(INDEX(기본자료!$H$2:$H$1001,$AB284)="","",INDEX(기본자료!$H$2:$H$1001,$AB284)))</f>
        <v/>
      </c>
      <c r="K284" s="10">
        <f>IF($AB284="","",IF(INDEX(기본자료!$I$2:$I$1001,$AB284)="","",INDEX(기본자료!$I$2:$I$1001,$AB284)))</f>
        <v/>
      </c>
      <c r="L284" s="10">
        <f>IF($AB284="","",IF(INDEX(기본자료!$A$2:$A$1001,$AB284)="","",INDEX(기본자료!$A$2:$A$1001,$AB284)))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파견수련계획!$AB$4:$AB$803,$AK284),OR(NOT(ISNUMBER(INDEX(파견수련계획!$AC$4:$AC$803,$AK284))),TODAY()&lt;=INDEX(파견수련계획!$AC$4:$AC$803,$AK284))),"다기관",IF($AF284="","",INDEX(파견수련계획!$T$4:$T$803,$AF284))),IF($AF284="","",INDEX(파견수련계획!$T$4:$T$803,$AF284))))</f>
        <v/>
      </c>
      <c r="Q284" s="10">
        <f>IF($AF284="","",INDEX(파견수련계획!$S$4:$S$803,$AF284))</f>
        <v/>
      </c>
      <c r="R284" s="10">
        <f>IF($AF284="","",INDEX(파견수련계획!$U$4:$U$803,$AF284))</f>
        <v/>
      </c>
      <c r="S284" s="11">
        <f>IF($AF284="","",IF(INDEX(파견수련계획!$H$4:$H$803,$AF284)="","",INDEX(파견수련계획!$H$4:$H$803,$AF284)))</f>
        <v/>
      </c>
      <c r="T284" s="11">
        <f>IF($AF284="","",IF(INDEX(파견수련계획!$I$4:$I$803,$AF284)="","",INDEX(파견수련계획!$I$4:$I$803,$AF284)))</f>
        <v/>
      </c>
      <c r="U284" s="10">
        <f>IF($AF284="","",INDEX(파견수련계획!$X$4:$X$803,$AF284))</f>
        <v/>
      </c>
      <c r="V284" s="17">
        <f>IF($AF284="","",INDEX(파견수련계획!$V$4:$V$803,$AF284))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IF(OR($B284="",TRIM($J284&amp;"")=""),"",SUMPRODUCT((파견수련계획!$Q$4:$Q$803=TRIM($J284&amp;""))*파견수련계획!$W$4:$W$803))</f>
        <v/>
      </c>
      <c r="Y284" s="10">
        <f>IF($B284="","",IF($AG284="","",IF(IF(TRIM($J284&amp;"")="",0,SUMPRODUCT((파견수련계획!$Q$4:$Q$803=TRIM($J284&amp;""))*파견수련계획!$AD$4:$AD$803))&gt;0,$AE284,IF(N($X284)&lt;=0,$AG284,IF($AH284+$AI284=DAY(EOMONTH(요약!$B$3,0)),IF(AND($AH284&gt;=요약!$E$3,$AI284&lt;요약!$E$3),"서울병원",IF(AND($AI284&gt;=요약!$E$3,$AH284&lt;요약!$E$3),"구리병원","⚠15일 판정불가(서울 "&amp;$AH284&amp;"일/구리 "&amp;$AI284&amp;"일)")),IF($AJ284="",$AE284,IF(INDEX(파견수련계획!$T$4:$T$803,$AJ284)="통합수련",INDEX(파견수련계획!$S$4:$S$803,$AJ284),$AE284)))))))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입력",IF(IF(TRIM($J284&amp;"")="",0,SUMPRODUCT((파견수련계획!$Q$4:$Q$803=TRIM($J284&amp;""))*(파견수련계획!$AA$4:$AA$803&lt;&gt;"")))&gt;0,"파견수련계획 입력오류 확인",IF(LEFT($Y284,1)="⚠","서울·구리 15일 판정 불가(양쪽 모두 이상/미만)",IF(IF($AC284="",0,N(INDEX(인턴근무계획!$T$3:$T$402,$AC284)))&gt;0,"인턴계획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IF($B284="","",IFERROR(MATCH($B284,기본자료!$B$2:$B$1001,0),IFERROR(MATCH($B284&amp;"",기본자료!$B$2:$B$1001,0),IFERROR(MATCH(VALUE($B284),기본자료!$B$2:$B$1001,0),""))))</f>
        <v/>
      </c>
      <c r="AC284" s="10">
        <f>IF($B284="","",IFERROR(MATCH($B284,인턴근무계획!$D$3:$D$402,0),IFERROR(MATCH($B284&amp;"",인턴근무계획!$D$3:$D$402,0),IFERROR(MATCH(VALUE($B284),인턴근무계획!$D$3:$D$402,0),""))))</f>
        <v/>
      </c>
      <c r="AD284" s="10">
        <f>IF(OR($AC284="",인턴현황!$G$3=""),"",INDEX(인턴근무계획!$M$3:$R$402,$AC284,인턴현황!$G$3)&amp;"")</f>
        <v/>
      </c>
      <c r="AE284" s="10">
        <f>IF($B284="","",IF($M284&lt;&gt;"",$M284,IF($AF284&lt;&gt;"",IF(LEFT(INDEX(파견수련계획!$R$4:$R$803,$AF284),1)&lt;&gt;"⚠",INDEX(파견수련계획!$R$4:$R$803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파견수련계획!$Y$4:$Y$803,0),IFERROR(MATCH(TRIM($J284&amp;"")&amp;"|파견예정",파견수련계획!$Y$4:$Y$803,0),IFERROR(MATCH(TRIM($J284&amp;"")&amp;"|파견종료",파견수련계획!$Y$4:$Y$803,0),""))))</f>
        <v/>
      </c>
      <c r="AG284" s="10">
        <f>IF($B284="","",IF(AND(IF(OR($AC284="",인턴현황!$K$2=""),"",INDEX(인턴근무계획!$M$3:$R$402,$AC284,인턴현황!$K$2)&amp;"")&lt;&gt;"",LEFT(IF(OR($AC284="",인턴현황!$K$2=""),"",INDEX(인턴근무계획!$M$3:$R$402,$AC284,인턴현황!$K$2)&amp;""),1)&lt;&gt;"⚠"),LEFT(IF(OR($AC284="",인턴현황!$K$2=""),"",INDEX(인턴근무계획!$M$3:$R$402,$AC284,인턴현황!$K$2)&amp;""),FIND(" ",IF(OR($AC284="",인턴현황!$K$2=""),"",INDEX(인턴근무계획!$M$3:$R$402,$AC284,인턴현황!$K$2)&amp;""))-1),$AE284))</f>
        <v/>
      </c>
      <c r="AH284" s="17">
        <f>IF($B284="","",IF(TRIM($J284&amp;"")="",0,SUMPRODUCT((파견수련계획!$Q$4:$Q$803=TRIM($J284&amp;""))*(파견수련계획!$S$4:$S$803="서울병원")*파견수련계획!$W$4:$W$803))+IF($AG284="서울병원",MAX(0,DAY(EOMONTH(요약!$B$3,0))-N($X284)),0))</f>
        <v/>
      </c>
      <c r="AI284" s="17">
        <f>IF($B284="","",IF(TRIM($J284&amp;"")="",0,SUMPRODUCT((파견수련계획!$Q$4:$Q$803=TRIM($J284&amp;""))*(파견수련계획!$S$4:$S$803="구리병원")*파견수련계획!$W$4:$W$803))+IF($AG284="구리병원",MAX(0,DAY(EOMONTH(요약!$B$3,0))-N($X284)),0))</f>
        <v/>
      </c>
      <c r="AJ284" s="10">
        <f>IF(OR($B284="",TRIM($J284&amp;"")=""),"",IFERROR(MATCH(TRIM($J284&amp;"")&amp;"|월",파견수련계획!$Z$4:$Z$803,0),""))</f>
        <v/>
      </c>
      <c r="AK284" s="10">
        <f>IF(OR($B284="",TRIM($J284&amp;"")=""),"",IFERROR(MATCH(TRIM($J284&amp;"")&amp;"|다기관",파견수련계획!$AE$4:$AE$803,0),""))</f>
        <v/>
      </c>
      <c r="AL284" s="10">
        <f>IF($AK284="","","다기관 "&amp;TEXT(INDEX(파견수련계획!$AB$4:$AB$803,$AK284),"yyyy-mm-dd")&amp;"~"&amp;IF(ISNUMBER(INDEX(파견수련계획!$AC$4:$AC$803,$AK284)),TEXT(INDEX(파견수련계획!$AC$4:$AC$803,$AK284),"yyyy-mm-dd"),""))</f>
        <v/>
      </c>
    </row>
    <row r="285">
      <c r="A285" s="10">
        <f>IF(B285="","",ROW()-1)</f>
        <v/>
      </c>
      <c r="B285" s="18" t="n"/>
      <c r="C285" s="10">
        <f>IF($AB285="","",IF(INDEX(기본자료!$C$2:$C$1001,$AB285)="","",INDEX(기본자료!$C$2:$C$1001,$AB285)))</f>
        <v/>
      </c>
      <c r="D285" s="10">
        <f>IF($AB285="","",IF(INDEX(기본자료!$J$2:$J$1001,$AB285)="","",INDEX(기본자료!$J$2:$J$1001,$AB285)))</f>
        <v/>
      </c>
      <c r="E285" s="11">
        <f>IF($AB285="","",IF(INDEX(기본자료!$K$2:$K$1001,$AB285)="","",IF(NOT(ISNUMBER(INDEX(기본자료!$K$2:$K$1001,$AB285))),INDEX(기본자료!$K$2:$K$1001,$AB285),IF(INDEX(기본자료!$K$2:$K$1001,$AB285)&lt;1000000,INDEX(기본자료!$K$2:$K$1001,$AB285),IF(AND(INDEX(기본자료!$K$2:$K$1001,$AB285)&gt;=10000101,INT(MOD(INDEX(기본자료!$K$2:$K$1001,$AB285),10000)/100)&gt;=1,INT(MOD(INDEX(기본자료!$K$2:$K$1001,$AB285),10000)/100)&lt;=12,MOD(INDEX(기본자료!$K$2:$K$1001,$AB285),100)&gt;=1,MOD(INDEX(기본자료!$K$2:$K$1001,$AB285),100)&lt;=31),DATE(INT(INDEX(기본자료!$K$2:$K$1001,$AB285)/10000),INT(MOD(INDEX(기본자료!$K$2:$K$1001,$AB285),10000)/100),MOD(INDEX(기본자료!$K$2:$K$1001,$AB285),100)),INDEX(기본자료!$K$2:$K$1001,$AB285)&amp;"")))))</f>
        <v/>
      </c>
      <c r="F285" s="10">
        <f>IF($AB285="","",IF(INDEX(기본자료!$D$2:$D$1001,$AB285)="","",INDEX(기본자료!$D$2:$D$1001,$AB285)))</f>
        <v/>
      </c>
      <c r="G285" s="10">
        <f>IF($AB285="","",IF(INDEX(기본자료!$E$2:$E$1001,$AB285)="","",INDEX(기본자료!$E$2:$E$1001,$AB285)))</f>
        <v/>
      </c>
      <c r="H285" s="10">
        <f>IF($AB285="","",IF(INDEX(기본자료!$F$2:$F$1001,$AB285)="","",INDEX(기본자료!$F$2:$F$1001,$AB285)))</f>
        <v/>
      </c>
      <c r="I285" s="11">
        <f>IF($AB285="","",IF(INDEX(기본자료!$G$2:$G$1001,$AB285)="","",IF(NOT(ISNUMBER(INDEX(기본자료!$G$2:$G$1001,$AB285))),INDEX(기본자료!$G$2:$G$1001,$AB285),IF(INDEX(기본자료!$G$2:$G$1001,$AB285)&lt;1000000,INDEX(기본자료!$G$2:$G$1001,$AB285),IF(AND(INDEX(기본자료!$G$2:$G$1001,$AB285)&gt;=10000101,INT(MOD(INDEX(기본자료!$G$2:$G$1001,$AB285),10000)/100)&gt;=1,INT(MOD(INDEX(기본자료!$G$2:$G$1001,$AB285),10000)/100)&lt;=12,MOD(INDEX(기본자료!$G$2:$G$1001,$AB285),100)&gt;=1,MOD(INDEX(기본자료!$G$2:$G$1001,$AB285),100)&lt;=31),DATE(INT(INDEX(기본자료!$G$2:$G$1001,$AB285)/10000),INT(MOD(INDEX(기본자료!$G$2:$G$1001,$AB285),10000)/100),MOD(INDEX(기본자료!$G$2:$G$1001,$AB285),100)),INDEX(기본자료!$G$2:$G$1001,$AB285)&amp;"")))))</f>
        <v/>
      </c>
      <c r="J285" s="10">
        <f>IF($AB285="","",IF(INDEX(기본자료!$H$2:$H$1001,$AB285)="","",INDEX(기본자료!$H$2:$H$1001,$AB285)))</f>
        <v/>
      </c>
      <c r="K285" s="10">
        <f>IF($AB285="","",IF(INDEX(기본자료!$I$2:$I$1001,$AB285)="","",INDEX(기본자료!$I$2:$I$1001,$AB285)))</f>
        <v/>
      </c>
      <c r="L285" s="10">
        <f>IF($AB285="","",IF(INDEX(기본자료!$A$2:$A$1001,$AB285)="","",INDEX(기본자료!$A$2:$A$1001,$AB285)))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파견수련계획!$AB$4:$AB$803,$AK285),OR(NOT(ISNUMBER(INDEX(파견수련계획!$AC$4:$AC$803,$AK285))),TODAY()&lt;=INDEX(파견수련계획!$AC$4:$AC$803,$AK285))),"다기관",IF($AF285="","",INDEX(파견수련계획!$T$4:$T$803,$AF285))),IF($AF285="","",INDEX(파견수련계획!$T$4:$T$803,$AF285))))</f>
        <v/>
      </c>
      <c r="Q285" s="10">
        <f>IF($AF285="","",INDEX(파견수련계획!$S$4:$S$803,$AF285))</f>
        <v/>
      </c>
      <c r="R285" s="10">
        <f>IF($AF285="","",INDEX(파견수련계획!$U$4:$U$803,$AF285))</f>
        <v/>
      </c>
      <c r="S285" s="11">
        <f>IF($AF285="","",IF(INDEX(파견수련계획!$H$4:$H$803,$AF285)="","",INDEX(파견수련계획!$H$4:$H$803,$AF285)))</f>
        <v/>
      </c>
      <c r="T285" s="11">
        <f>IF($AF285="","",IF(INDEX(파견수련계획!$I$4:$I$803,$AF285)="","",INDEX(파견수련계획!$I$4:$I$803,$AF285)))</f>
        <v/>
      </c>
      <c r="U285" s="10">
        <f>IF($AF285="","",INDEX(파견수련계획!$X$4:$X$803,$AF285))</f>
        <v/>
      </c>
      <c r="V285" s="17">
        <f>IF($AF285="","",INDEX(파견수련계획!$V$4:$V$803,$AF285))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IF(OR($B285="",TRIM($J285&amp;"")=""),"",SUMPRODUCT((파견수련계획!$Q$4:$Q$803=TRIM($J285&amp;""))*파견수련계획!$W$4:$W$803))</f>
        <v/>
      </c>
      <c r="Y285" s="10">
        <f>IF($B285="","",IF($AG285="","",IF(IF(TRIM($J285&amp;"")="",0,SUMPRODUCT((파견수련계획!$Q$4:$Q$803=TRIM($J285&amp;""))*파견수련계획!$AD$4:$AD$803))&gt;0,$AE285,IF(N($X285)&lt;=0,$AG285,IF($AH285+$AI285=DAY(EOMONTH(요약!$B$3,0)),IF(AND($AH285&gt;=요약!$E$3,$AI285&lt;요약!$E$3),"서울병원",IF(AND($AI285&gt;=요약!$E$3,$AH285&lt;요약!$E$3),"구리병원","⚠15일 판정불가(서울 "&amp;$AH285&amp;"일/구리 "&amp;$AI285&amp;"일)")),IF($AJ285="",$AE285,IF(INDEX(파견수련계획!$T$4:$T$803,$AJ285)="통합수련",INDEX(파견수련계획!$S$4:$S$803,$AJ285),$AE285)))))))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입력",IF(IF(TRIM($J285&amp;"")="",0,SUMPRODUCT((파견수련계획!$Q$4:$Q$803=TRIM($J285&amp;""))*(파견수련계획!$AA$4:$AA$803&lt;&gt;"")))&gt;0,"파견수련계획 입력오류 확인",IF(LEFT($Y285,1)="⚠","서울·구리 15일 판정 불가(양쪽 모두 이상/미만)",IF(IF($AC285="",0,N(INDEX(인턴근무계획!$T$3:$T$402,$AC285)))&gt;0,"인턴계획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IF($B285="","",IFERROR(MATCH($B285,기본자료!$B$2:$B$1001,0),IFERROR(MATCH($B285&amp;"",기본자료!$B$2:$B$1001,0),IFERROR(MATCH(VALUE($B285),기본자료!$B$2:$B$1001,0),""))))</f>
        <v/>
      </c>
      <c r="AC285" s="10">
        <f>IF($B285="","",IFERROR(MATCH($B285,인턴근무계획!$D$3:$D$402,0),IFERROR(MATCH($B285&amp;"",인턴근무계획!$D$3:$D$402,0),IFERROR(MATCH(VALUE($B285),인턴근무계획!$D$3:$D$402,0),""))))</f>
        <v/>
      </c>
      <c r="AD285" s="10">
        <f>IF(OR($AC285="",인턴현황!$G$3=""),"",INDEX(인턴근무계획!$M$3:$R$402,$AC285,인턴현황!$G$3)&amp;"")</f>
        <v/>
      </c>
      <c r="AE285" s="10">
        <f>IF($B285="","",IF($M285&lt;&gt;"",$M285,IF($AF285&lt;&gt;"",IF(LEFT(INDEX(파견수련계획!$R$4:$R$803,$AF285),1)&lt;&gt;"⚠",INDEX(파견수련계획!$R$4:$R$803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파견수련계획!$Y$4:$Y$803,0),IFERROR(MATCH(TRIM($J285&amp;"")&amp;"|파견예정",파견수련계획!$Y$4:$Y$803,0),IFERROR(MATCH(TRIM($J285&amp;"")&amp;"|파견종료",파견수련계획!$Y$4:$Y$803,0),""))))</f>
        <v/>
      </c>
      <c r="AG285" s="10">
        <f>IF($B285="","",IF(AND(IF(OR($AC285="",인턴현황!$K$2=""),"",INDEX(인턴근무계획!$M$3:$R$402,$AC285,인턴현황!$K$2)&amp;"")&lt;&gt;"",LEFT(IF(OR($AC285="",인턴현황!$K$2=""),"",INDEX(인턴근무계획!$M$3:$R$402,$AC285,인턴현황!$K$2)&amp;""),1)&lt;&gt;"⚠"),LEFT(IF(OR($AC285="",인턴현황!$K$2=""),"",INDEX(인턴근무계획!$M$3:$R$402,$AC285,인턴현황!$K$2)&amp;""),FIND(" ",IF(OR($AC285="",인턴현황!$K$2=""),"",INDEX(인턴근무계획!$M$3:$R$402,$AC285,인턴현황!$K$2)&amp;""))-1),$AE285))</f>
        <v/>
      </c>
      <c r="AH285" s="17">
        <f>IF($B285="","",IF(TRIM($J285&amp;"")="",0,SUMPRODUCT((파견수련계획!$Q$4:$Q$803=TRIM($J285&amp;""))*(파견수련계획!$S$4:$S$803="서울병원")*파견수련계획!$W$4:$W$803))+IF($AG285="서울병원",MAX(0,DAY(EOMONTH(요약!$B$3,0))-N($X285)),0))</f>
        <v/>
      </c>
      <c r="AI285" s="17">
        <f>IF($B285="","",IF(TRIM($J285&amp;"")="",0,SUMPRODUCT((파견수련계획!$Q$4:$Q$803=TRIM($J285&amp;""))*(파견수련계획!$S$4:$S$803="구리병원")*파견수련계획!$W$4:$W$803))+IF($AG285="구리병원",MAX(0,DAY(EOMONTH(요약!$B$3,0))-N($X285)),0))</f>
        <v/>
      </c>
      <c r="AJ285" s="10">
        <f>IF(OR($B285="",TRIM($J285&amp;"")=""),"",IFERROR(MATCH(TRIM($J285&amp;"")&amp;"|월",파견수련계획!$Z$4:$Z$803,0),""))</f>
        <v/>
      </c>
      <c r="AK285" s="10">
        <f>IF(OR($B285="",TRIM($J285&amp;"")=""),"",IFERROR(MATCH(TRIM($J285&amp;"")&amp;"|다기관",파견수련계획!$AE$4:$AE$803,0),""))</f>
        <v/>
      </c>
      <c r="AL285" s="10">
        <f>IF($AK285="","","다기관 "&amp;TEXT(INDEX(파견수련계획!$AB$4:$AB$803,$AK285),"yyyy-mm-dd")&amp;"~"&amp;IF(ISNUMBER(INDEX(파견수련계획!$AC$4:$AC$803,$AK285)),TEXT(INDEX(파견수련계획!$AC$4:$AC$803,$AK285),"yyyy-mm-dd"),""))</f>
        <v/>
      </c>
    </row>
    <row r="286">
      <c r="A286" s="10">
        <f>IF(B286="","",ROW()-1)</f>
        <v/>
      </c>
      <c r="B286" s="18" t="n"/>
      <c r="C286" s="10">
        <f>IF($AB286="","",IF(INDEX(기본자료!$C$2:$C$1001,$AB286)="","",INDEX(기본자료!$C$2:$C$1001,$AB286)))</f>
        <v/>
      </c>
      <c r="D286" s="10">
        <f>IF($AB286="","",IF(INDEX(기본자료!$J$2:$J$1001,$AB286)="","",INDEX(기본자료!$J$2:$J$1001,$AB286)))</f>
        <v/>
      </c>
      <c r="E286" s="11">
        <f>IF($AB286="","",IF(INDEX(기본자료!$K$2:$K$1001,$AB286)="","",IF(NOT(ISNUMBER(INDEX(기본자료!$K$2:$K$1001,$AB286))),INDEX(기본자료!$K$2:$K$1001,$AB286),IF(INDEX(기본자료!$K$2:$K$1001,$AB286)&lt;1000000,INDEX(기본자료!$K$2:$K$1001,$AB286),IF(AND(INDEX(기본자료!$K$2:$K$1001,$AB286)&gt;=10000101,INT(MOD(INDEX(기본자료!$K$2:$K$1001,$AB286),10000)/100)&gt;=1,INT(MOD(INDEX(기본자료!$K$2:$K$1001,$AB286),10000)/100)&lt;=12,MOD(INDEX(기본자료!$K$2:$K$1001,$AB286),100)&gt;=1,MOD(INDEX(기본자료!$K$2:$K$1001,$AB286),100)&lt;=31),DATE(INT(INDEX(기본자료!$K$2:$K$1001,$AB286)/10000),INT(MOD(INDEX(기본자료!$K$2:$K$1001,$AB286),10000)/100),MOD(INDEX(기본자료!$K$2:$K$1001,$AB286),100)),INDEX(기본자료!$K$2:$K$1001,$AB286)&amp;"")))))</f>
        <v/>
      </c>
      <c r="F286" s="10">
        <f>IF($AB286="","",IF(INDEX(기본자료!$D$2:$D$1001,$AB286)="","",INDEX(기본자료!$D$2:$D$1001,$AB286)))</f>
        <v/>
      </c>
      <c r="G286" s="10">
        <f>IF($AB286="","",IF(INDEX(기본자료!$E$2:$E$1001,$AB286)="","",INDEX(기본자료!$E$2:$E$1001,$AB286)))</f>
        <v/>
      </c>
      <c r="H286" s="10">
        <f>IF($AB286="","",IF(INDEX(기본자료!$F$2:$F$1001,$AB286)="","",INDEX(기본자료!$F$2:$F$1001,$AB286)))</f>
        <v/>
      </c>
      <c r="I286" s="11">
        <f>IF($AB286="","",IF(INDEX(기본자료!$G$2:$G$1001,$AB286)="","",IF(NOT(ISNUMBER(INDEX(기본자료!$G$2:$G$1001,$AB286))),INDEX(기본자료!$G$2:$G$1001,$AB286),IF(INDEX(기본자료!$G$2:$G$1001,$AB286)&lt;1000000,INDEX(기본자료!$G$2:$G$1001,$AB286),IF(AND(INDEX(기본자료!$G$2:$G$1001,$AB286)&gt;=10000101,INT(MOD(INDEX(기본자료!$G$2:$G$1001,$AB286),10000)/100)&gt;=1,INT(MOD(INDEX(기본자료!$G$2:$G$1001,$AB286),10000)/100)&lt;=12,MOD(INDEX(기본자료!$G$2:$G$1001,$AB286),100)&gt;=1,MOD(INDEX(기본자료!$G$2:$G$1001,$AB286),100)&lt;=31),DATE(INT(INDEX(기본자료!$G$2:$G$1001,$AB286)/10000),INT(MOD(INDEX(기본자료!$G$2:$G$1001,$AB286),10000)/100),MOD(INDEX(기본자료!$G$2:$G$1001,$AB286),100)),INDEX(기본자료!$G$2:$G$1001,$AB286)&amp;"")))))</f>
        <v/>
      </c>
      <c r="J286" s="10">
        <f>IF($AB286="","",IF(INDEX(기본자료!$H$2:$H$1001,$AB286)="","",INDEX(기본자료!$H$2:$H$1001,$AB286)))</f>
        <v/>
      </c>
      <c r="K286" s="10">
        <f>IF($AB286="","",IF(INDEX(기본자료!$I$2:$I$1001,$AB286)="","",INDEX(기본자료!$I$2:$I$1001,$AB286)))</f>
        <v/>
      </c>
      <c r="L286" s="10">
        <f>IF($AB286="","",IF(INDEX(기본자료!$A$2:$A$1001,$AB286)="","",INDEX(기본자료!$A$2:$A$1001,$AB286)))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파견수련계획!$AB$4:$AB$803,$AK286),OR(NOT(ISNUMBER(INDEX(파견수련계획!$AC$4:$AC$803,$AK286))),TODAY()&lt;=INDEX(파견수련계획!$AC$4:$AC$803,$AK286))),"다기관",IF($AF286="","",INDEX(파견수련계획!$T$4:$T$803,$AF286))),IF($AF286="","",INDEX(파견수련계획!$T$4:$T$803,$AF286))))</f>
        <v/>
      </c>
      <c r="Q286" s="10">
        <f>IF($AF286="","",INDEX(파견수련계획!$S$4:$S$803,$AF286))</f>
        <v/>
      </c>
      <c r="R286" s="10">
        <f>IF($AF286="","",INDEX(파견수련계획!$U$4:$U$803,$AF286))</f>
        <v/>
      </c>
      <c r="S286" s="11">
        <f>IF($AF286="","",IF(INDEX(파견수련계획!$H$4:$H$803,$AF286)="","",INDEX(파견수련계획!$H$4:$H$803,$AF286)))</f>
        <v/>
      </c>
      <c r="T286" s="11">
        <f>IF($AF286="","",IF(INDEX(파견수련계획!$I$4:$I$803,$AF286)="","",INDEX(파견수련계획!$I$4:$I$803,$AF286)))</f>
        <v/>
      </c>
      <c r="U286" s="10">
        <f>IF($AF286="","",INDEX(파견수련계획!$X$4:$X$803,$AF286))</f>
        <v/>
      </c>
      <c r="V286" s="17">
        <f>IF($AF286="","",INDEX(파견수련계획!$V$4:$V$803,$AF286))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IF(OR($B286="",TRIM($J286&amp;"")=""),"",SUMPRODUCT((파견수련계획!$Q$4:$Q$803=TRIM($J286&amp;""))*파견수련계획!$W$4:$W$803))</f>
        <v/>
      </c>
      <c r="Y286" s="10">
        <f>IF($B286="","",IF($AG286="","",IF(IF(TRIM($J286&amp;"")="",0,SUMPRODUCT((파견수련계획!$Q$4:$Q$803=TRIM($J286&amp;""))*파견수련계획!$AD$4:$AD$803))&gt;0,$AE286,IF(N($X286)&lt;=0,$AG286,IF($AH286+$AI286=DAY(EOMONTH(요약!$B$3,0)),IF(AND($AH286&gt;=요약!$E$3,$AI286&lt;요약!$E$3),"서울병원",IF(AND($AI286&gt;=요약!$E$3,$AH286&lt;요약!$E$3),"구리병원","⚠15일 판정불가(서울 "&amp;$AH286&amp;"일/구리 "&amp;$AI286&amp;"일)")),IF($AJ286="",$AE286,IF(INDEX(파견수련계획!$T$4:$T$803,$AJ286)="통합수련",INDEX(파견수련계획!$S$4:$S$803,$AJ286),$AE286)))))))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입력",IF(IF(TRIM($J286&amp;"")="",0,SUMPRODUCT((파견수련계획!$Q$4:$Q$803=TRIM($J286&amp;""))*(파견수련계획!$AA$4:$AA$803&lt;&gt;"")))&gt;0,"파견수련계획 입력오류 확인",IF(LEFT($Y286,1)="⚠","서울·구리 15일 판정 불가(양쪽 모두 이상/미만)",IF(IF($AC286="",0,N(INDEX(인턴근무계획!$T$3:$T$402,$AC286)))&gt;0,"인턴계획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IF($B286="","",IFERROR(MATCH($B286,기본자료!$B$2:$B$1001,0),IFERROR(MATCH($B286&amp;"",기본자료!$B$2:$B$1001,0),IFERROR(MATCH(VALUE($B286),기본자료!$B$2:$B$1001,0),""))))</f>
        <v/>
      </c>
      <c r="AC286" s="10">
        <f>IF($B286="","",IFERROR(MATCH($B286,인턴근무계획!$D$3:$D$402,0),IFERROR(MATCH($B286&amp;"",인턴근무계획!$D$3:$D$402,0),IFERROR(MATCH(VALUE($B286),인턴근무계획!$D$3:$D$402,0),""))))</f>
        <v/>
      </c>
      <c r="AD286" s="10">
        <f>IF(OR($AC286="",인턴현황!$G$3=""),"",INDEX(인턴근무계획!$M$3:$R$402,$AC286,인턴현황!$G$3)&amp;"")</f>
        <v/>
      </c>
      <c r="AE286" s="10">
        <f>IF($B286="","",IF($M286&lt;&gt;"",$M286,IF($AF286&lt;&gt;"",IF(LEFT(INDEX(파견수련계획!$R$4:$R$803,$AF286),1)&lt;&gt;"⚠",INDEX(파견수련계획!$R$4:$R$803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파견수련계획!$Y$4:$Y$803,0),IFERROR(MATCH(TRIM($J286&amp;"")&amp;"|파견예정",파견수련계획!$Y$4:$Y$803,0),IFERROR(MATCH(TRIM($J286&amp;"")&amp;"|파견종료",파견수련계획!$Y$4:$Y$803,0),""))))</f>
        <v/>
      </c>
      <c r="AG286" s="10">
        <f>IF($B286="","",IF(AND(IF(OR($AC286="",인턴현황!$K$2=""),"",INDEX(인턴근무계획!$M$3:$R$402,$AC286,인턴현황!$K$2)&amp;"")&lt;&gt;"",LEFT(IF(OR($AC286="",인턴현황!$K$2=""),"",INDEX(인턴근무계획!$M$3:$R$402,$AC286,인턴현황!$K$2)&amp;""),1)&lt;&gt;"⚠"),LEFT(IF(OR($AC286="",인턴현황!$K$2=""),"",INDEX(인턴근무계획!$M$3:$R$402,$AC286,인턴현황!$K$2)&amp;""),FIND(" ",IF(OR($AC286="",인턴현황!$K$2=""),"",INDEX(인턴근무계획!$M$3:$R$402,$AC286,인턴현황!$K$2)&amp;""))-1),$AE286))</f>
        <v/>
      </c>
      <c r="AH286" s="17">
        <f>IF($B286="","",IF(TRIM($J286&amp;"")="",0,SUMPRODUCT((파견수련계획!$Q$4:$Q$803=TRIM($J286&amp;""))*(파견수련계획!$S$4:$S$803="서울병원")*파견수련계획!$W$4:$W$803))+IF($AG286="서울병원",MAX(0,DAY(EOMONTH(요약!$B$3,0))-N($X286)),0))</f>
        <v/>
      </c>
      <c r="AI286" s="17">
        <f>IF($B286="","",IF(TRIM($J286&amp;"")="",0,SUMPRODUCT((파견수련계획!$Q$4:$Q$803=TRIM($J286&amp;""))*(파견수련계획!$S$4:$S$803="구리병원")*파견수련계획!$W$4:$W$803))+IF($AG286="구리병원",MAX(0,DAY(EOMONTH(요약!$B$3,0))-N($X286)),0))</f>
        <v/>
      </c>
      <c r="AJ286" s="10">
        <f>IF(OR($B286="",TRIM($J286&amp;"")=""),"",IFERROR(MATCH(TRIM($J286&amp;"")&amp;"|월",파견수련계획!$Z$4:$Z$803,0),""))</f>
        <v/>
      </c>
      <c r="AK286" s="10">
        <f>IF(OR($B286="",TRIM($J286&amp;"")=""),"",IFERROR(MATCH(TRIM($J286&amp;"")&amp;"|다기관",파견수련계획!$AE$4:$AE$803,0),""))</f>
        <v/>
      </c>
      <c r="AL286" s="10">
        <f>IF($AK286="","","다기관 "&amp;TEXT(INDEX(파견수련계획!$AB$4:$AB$803,$AK286),"yyyy-mm-dd")&amp;"~"&amp;IF(ISNUMBER(INDEX(파견수련계획!$AC$4:$AC$803,$AK286)),TEXT(INDEX(파견수련계획!$AC$4:$AC$803,$AK286),"yyyy-mm-dd"),""))</f>
        <v/>
      </c>
    </row>
    <row r="287">
      <c r="A287" s="10">
        <f>IF(B287="","",ROW()-1)</f>
        <v/>
      </c>
      <c r="B287" s="18" t="n"/>
      <c r="C287" s="10">
        <f>IF($AB287="","",IF(INDEX(기본자료!$C$2:$C$1001,$AB287)="","",INDEX(기본자료!$C$2:$C$1001,$AB287)))</f>
        <v/>
      </c>
      <c r="D287" s="10">
        <f>IF($AB287="","",IF(INDEX(기본자료!$J$2:$J$1001,$AB287)="","",INDEX(기본자료!$J$2:$J$1001,$AB287)))</f>
        <v/>
      </c>
      <c r="E287" s="11">
        <f>IF($AB287="","",IF(INDEX(기본자료!$K$2:$K$1001,$AB287)="","",IF(NOT(ISNUMBER(INDEX(기본자료!$K$2:$K$1001,$AB287))),INDEX(기본자료!$K$2:$K$1001,$AB287),IF(INDEX(기본자료!$K$2:$K$1001,$AB287)&lt;1000000,INDEX(기본자료!$K$2:$K$1001,$AB287),IF(AND(INDEX(기본자료!$K$2:$K$1001,$AB287)&gt;=10000101,INT(MOD(INDEX(기본자료!$K$2:$K$1001,$AB287),10000)/100)&gt;=1,INT(MOD(INDEX(기본자료!$K$2:$K$1001,$AB287),10000)/100)&lt;=12,MOD(INDEX(기본자료!$K$2:$K$1001,$AB287),100)&gt;=1,MOD(INDEX(기본자료!$K$2:$K$1001,$AB287),100)&lt;=31),DATE(INT(INDEX(기본자료!$K$2:$K$1001,$AB287)/10000),INT(MOD(INDEX(기본자료!$K$2:$K$1001,$AB287),10000)/100),MOD(INDEX(기본자료!$K$2:$K$1001,$AB287),100)),INDEX(기본자료!$K$2:$K$1001,$AB287)&amp;"")))))</f>
        <v/>
      </c>
      <c r="F287" s="10">
        <f>IF($AB287="","",IF(INDEX(기본자료!$D$2:$D$1001,$AB287)="","",INDEX(기본자료!$D$2:$D$1001,$AB287)))</f>
        <v/>
      </c>
      <c r="G287" s="10">
        <f>IF($AB287="","",IF(INDEX(기본자료!$E$2:$E$1001,$AB287)="","",INDEX(기본자료!$E$2:$E$1001,$AB287)))</f>
        <v/>
      </c>
      <c r="H287" s="10">
        <f>IF($AB287="","",IF(INDEX(기본자료!$F$2:$F$1001,$AB287)="","",INDEX(기본자료!$F$2:$F$1001,$AB287)))</f>
        <v/>
      </c>
      <c r="I287" s="11">
        <f>IF($AB287="","",IF(INDEX(기본자료!$G$2:$G$1001,$AB287)="","",IF(NOT(ISNUMBER(INDEX(기본자료!$G$2:$G$1001,$AB287))),INDEX(기본자료!$G$2:$G$1001,$AB287),IF(INDEX(기본자료!$G$2:$G$1001,$AB287)&lt;1000000,INDEX(기본자료!$G$2:$G$1001,$AB287),IF(AND(INDEX(기본자료!$G$2:$G$1001,$AB287)&gt;=10000101,INT(MOD(INDEX(기본자료!$G$2:$G$1001,$AB287),10000)/100)&gt;=1,INT(MOD(INDEX(기본자료!$G$2:$G$1001,$AB287),10000)/100)&lt;=12,MOD(INDEX(기본자료!$G$2:$G$1001,$AB287),100)&gt;=1,MOD(INDEX(기본자료!$G$2:$G$1001,$AB287),100)&lt;=31),DATE(INT(INDEX(기본자료!$G$2:$G$1001,$AB287)/10000),INT(MOD(INDEX(기본자료!$G$2:$G$1001,$AB287),10000)/100),MOD(INDEX(기본자료!$G$2:$G$1001,$AB287),100)),INDEX(기본자료!$G$2:$G$1001,$AB287)&amp;"")))))</f>
        <v/>
      </c>
      <c r="J287" s="10">
        <f>IF($AB287="","",IF(INDEX(기본자료!$H$2:$H$1001,$AB287)="","",INDEX(기본자료!$H$2:$H$1001,$AB287)))</f>
        <v/>
      </c>
      <c r="K287" s="10">
        <f>IF($AB287="","",IF(INDEX(기본자료!$I$2:$I$1001,$AB287)="","",INDEX(기본자료!$I$2:$I$1001,$AB287)))</f>
        <v/>
      </c>
      <c r="L287" s="10">
        <f>IF($AB287="","",IF(INDEX(기본자료!$A$2:$A$1001,$AB287)="","",INDEX(기본자료!$A$2:$A$1001,$AB287)))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파견수련계획!$AB$4:$AB$803,$AK287),OR(NOT(ISNUMBER(INDEX(파견수련계획!$AC$4:$AC$803,$AK287))),TODAY()&lt;=INDEX(파견수련계획!$AC$4:$AC$803,$AK287))),"다기관",IF($AF287="","",INDEX(파견수련계획!$T$4:$T$803,$AF287))),IF($AF287="","",INDEX(파견수련계획!$T$4:$T$803,$AF287))))</f>
        <v/>
      </c>
      <c r="Q287" s="10">
        <f>IF($AF287="","",INDEX(파견수련계획!$S$4:$S$803,$AF287))</f>
        <v/>
      </c>
      <c r="R287" s="10">
        <f>IF($AF287="","",INDEX(파견수련계획!$U$4:$U$803,$AF287))</f>
        <v/>
      </c>
      <c r="S287" s="11">
        <f>IF($AF287="","",IF(INDEX(파견수련계획!$H$4:$H$803,$AF287)="","",INDEX(파견수련계획!$H$4:$H$803,$AF287)))</f>
        <v/>
      </c>
      <c r="T287" s="11">
        <f>IF($AF287="","",IF(INDEX(파견수련계획!$I$4:$I$803,$AF287)="","",INDEX(파견수련계획!$I$4:$I$803,$AF287)))</f>
        <v/>
      </c>
      <c r="U287" s="10">
        <f>IF($AF287="","",INDEX(파견수련계획!$X$4:$X$803,$AF287))</f>
        <v/>
      </c>
      <c r="V287" s="17">
        <f>IF($AF287="","",INDEX(파견수련계획!$V$4:$V$803,$AF287))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IF(OR($B287="",TRIM($J287&amp;"")=""),"",SUMPRODUCT((파견수련계획!$Q$4:$Q$803=TRIM($J287&amp;""))*파견수련계획!$W$4:$W$803))</f>
        <v/>
      </c>
      <c r="Y287" s="10">
        <f>IF($B287="","",IF($AG287="","",IF(IF(TRIM($J287&amp;"")="",0,SUMPRODUCT((파견수련계획!$Q$4:$Q$803=TRIM($J287&amp;""))*파견수련계획!$AD$4:$AD$803))&gt;0,$AE287,IF(N($X287)&lt;=0,$AG287,IF($AH287+$AI287=DAY(EOMONTH(요약!$B$3,0)),IF(AND($AH287&gt;=요약!$E$3,$AI287&lt;요약!$E$3),"서울병원",IF(AND($AI287&gt;=요약!$E$3,$AH287&lt;요약!$E$3),"구리병원","⚠15일 판정불가(서울 "&amp;$AH287&amp;"일/구리 "&amp;$AI287&amp;"일)")),IF($AJ287="",$AE287,IF(INDEX(파견수련계획!$T$4:$T$803,$AJ287)="통합수련",INDEX(파견수련계획!$S$4:$S$803,$AJ287),$AE287)))))))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입력",IF(IF(TRIM($J287&amp;"")="",0,SUMPRODUCT((파견수련계획!$Q$4:$Q$803=TRIM($J287&amp;""))*(파견수련계획!$AA$4:$AA$803&lt;&gt;"")))&gt;0,"파견수련계획 입력오류 확인",IF(LEFT($Y287,1)="⚠","서울·구리 15일 판정 불가(양쪽 모두 이상/미만)",IF(IF($AC287="",0,N(INDEX(인턴근무계획!$T$3:$T$402,$AC287)))&gt;0,"인턴계획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IF($B287="","",IFERROR(MATCH($B287,기본자료!$B$2:$B$1001,0),IFERROR(MATCH($B287&amp;"",기본자료!$B$2:$B$1001,0),IFERROR(MATCH(VALUE($B287),기본자료!$B$2:$B$1001,0),""))))</f>
        <v/>
      </c>
      <c r="AC287" s="10">
        <f>IF($B287="","",IFERROR(MATCH($B287,인턴근무계획!$D$3:$D$402,0),IFERROR(MATCH($B287&amp;"",인턴근무계획!$D$3:$D$402,0),IFERROR(MATCH(VALUE($B287),인턴근무계획!$D$3:$D$402,0),""))))</f>
        <v/>
      </c>
      <c r="AD287" s="10">
        <f>IF(OR($AC287="",인턴현황!$G$3=""),"",INDEX(인턴근무계획!$M$3:$R$402,$AC287,인턴현황!$G$3)&amp;"")</f>
        <v/>
      </c>
      <c r="AE287" s="10">
        <f>IF($B287="","",IF($M287&lt;&gt;"",$M287,IF($AF287&lt;&gt;"",IF(LEFT(INDEX(파견수련계획!$R$4:$R$803,$AF287),1)&lt;&gt;"⚠",INDEX(파견수련계획!$R$4:$R$803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파견수련계획!$Y$4:$Y$803,0),IFERROR(MATCH(TRIM($J287&amp;"")&amp;"|파견예정",파견수련계획!$Y$4:$Y$803,0),IFERROR(MATCH(TRIM($J287&amp;"")&amp;"|파견종료",파견수련계획!$Y$4:$Y$803,0),""))))</f>
        <v/>
      </c>
      <c r="AG287" s="10">
        <f>IF($B287="","",IF(AND(IF(OR($AC287="",인턴현황!$K$2=""),"",INDEX(인턴근무계획!$M$3:$R$402,$AC287,인턴현황!$K$2)&amp;"")&lt;&gt;"",LEFT(IF(OR($AC287="",인턴현황!$K$2=""),"",INDEX(인턴근무계획!$M$3:$R$402,$AC287,인턴현황!$K$2)&amp;""),1)&lt;&gt;"⚠"),LEFT(IF(OR($AC287="",인턴현황!$K$2=""),"",INDEX(인턴근무계획!$M$3:$R$402,$AC287,인턴현황!$K$2)&amp;""),FIND(" ",IF(OR($AC287="",인턴현황!$K$2=""),"",INDEX(인턴근무계획!$M$3:$R$402,$AC287,인턴현황!$K$2)&amp;""))-1),$AE287))</f>
        <v/>
      </c>
      <c r="AH287" s="17">
        <f>IF($B287="","",IF(TRIM($J287&amp;"")="",0,SUMPRODUCT((파견수련계획!$Q$4:$Q$803=TRIM($J287&amp;""))*(파견수련계획!$S$4:$S$803="서울병원")*파견수련계획!$W$4:$W$803))+IF($AG287="서울병원",MAX(0,DAY(EOMONTH(요약!$B$3,0))-N($X287)),0))</f>
        <v/>
      </c>
      <c r="AI287" s="17">
        <f>IF($B287="","",IF(TRIM($J287&amp;"")="",0,SUMPRODUCT((파견수련계획!$Q$4:$Q$803=TRIM($J287&amp;""))*(파견수련계획!$S$4:$S$803="구리병원")*파견수련계획!$W$4:$W$803))+IF($AG287="구리병원",MAX(0,DAY(EOMONTH(요약!$B$3,0))-N($X287)),0))</f>
        <v/>
      </c>
      <c r="AJ287" s="10">
        <f>IF(OR($B287="",TRIM($J287&amp;"")=""),"",IFERROR(MATCH(TRIM($J287&amp;"")&amp;"|월",파견수련계획!$Z$4:$Z$803,0),""))</f>
        <v/>
      </c>
      <c r="AK287" s="10">
        <f>IF(OR($B287="",TRIM($J287&amp;"")=""),"",IFERROR(MATCH(TRIM($J287&amp;"")&amp;"|다기관",파견수련계획!$AE$4:$AE$803,0),""))</f>
        <v/>
      </c>
      <c r="AL287" s="10">
        <f>IF($AK287="","","다기관 "&amp;TEXT(INDEX(파견수련계획!$AB$4:$AB$803,$AK287),"yyyy-mm-dd")&amp;"~"&amp;IF(ISNUMBER(INDEX(파견수련계획!$AC$4:$AC$803,$AK287)),TEXT(INDEX(파견수련계획!$AC$4:$AC$803,$AK287),"yyyy-mm-dd"),""))</f>
        <v/>
      </c>
    </row>
    <row r="288">
      <c r="A288" s="10">
        <f>IF(B288="","",ROW()-1)</f>
        <v/>
      </c>
      <c r="B288" s="18" t="n"/>
      <c r="C288" s="10">
        <f>IF($AB288="","",IF(INDEX(기본자료!$C$2:$C$1001,$AB288)="","",INDEX(기본자료!$C$2:$C$1001,$AB288)))</f>
        <v/>
      </c>
      <c r="D288" s="10">
        <f>IF($AB288="","",IF(INDEX(기본자료!$J$2:$J$1001,$AB288)="","",INDEX(기본자료!$J$2:$J$1001,$AB288)))</f>
        <v/>
      </c>
      <c r="E288" s="11">
        <f>IF($AB288="","",IF(INDEX(기본자료!$K$2:$K$1001,$AB288)="","",IF(NOT(ISNUMBER(INDEX(기본자료!$K$2:$K$1001,$AB288))),INDEX(기본자료!$K$2:$K$1001,$AB288),IF(INDEX(기본자료!$K$2:$K$1001,$AB288)&lt;1000000,INDEX(기본자료!$K$2:$K$1001,$AB288),IF(AND(INDEX(기본자료!$K$2:$K$1001,$AB288)&gt;=10000101,INT(MOD(INDEX(기본자료!$K$2:$K$1001,$AB288),10000)/100)&gt;=1,INT(MOD(INDEX(기본자료!$K$2:$K$1001,$AB288),10000)/100)&lt;=12,MOD(INDEX(기본자료!$K$2:$K$1001,$AB288),100)&gt;=1,MOD(INDEX(기본자료!$K$2:$K$1001,$AB288),100)&lt;=31),DATE(INT(INDEX(기본자료!$K$2:$K$1001,$AB288)/10000),INT(MOD(INDEX(기본자료!$K$2:$K$1001,$AB288),10000)/100),MOD(INDEX(기본자료!$K$2:$K$1001,$AB288),100)),INDEX(기본자료!$K$2:$K$1001,$AB288)&amp;"")))))</f>
        <v/>
      </c>
      <c r="F288" s="10">
        <f>IF($AB288="","",IF(INDEX(기본자료!$D$2:$D$1001,$AB288)="","",INDEX(기본자료!$D$2:$D$1001,$AB288)))</f>
        <v/>
      </c>
      <c r="G288" s="10">
        <f>IF($AB288="","",IF(INDEX(기본자료!$E$2:$E$1001,$AB288)="","",INDEX(기본자료!$E$2:$E$1001,$AB288)))</f>
        <v/>
      </c>
      <c r="H288" s="10">
        <f>IF($AB288="","",IF(INDEX(기본자료!$F$2:$F$1001,$AB288)="","",INDEX(기본자료!$F$2:$F$1001,$AB288)))</f>
        <v/>
      </c>
      <c r="I288" s="11">
        <f>IF($AB288="","",IF(INDEX(기본자료!$G$2:$G$1001,$AB288)="","",IF(NOT(ISNUMBER(INDEX(기본자료!$G$2:$G$1001,$AB288))),INDEX(기본자료!$G$2:$G$1001,$AB288),IF(INDEX(기본자료!$G$2:$G$1001,$AB288)&lt;1000000,INDEX(기본자료!$G$2:$G$1001,$AB288),IF(AND(INDEX(기본자료!$G$2:$G$1001,$AB288)&gt;=10000101,INT(MOD(INDEX(기본자료!$G$2:$G$1001,$AB288),10000)/100)&gt;=1,INT(MOD(INDEX(기본자료!$G$2:$G$1001,$AB288),10000)/100)&lt;=12,MOD(INDEX(기본자료!$G$2:$G$1001,$AB288),100)&gt;=1,MOD(INDEX(기본자료!$G$2:$G$1001,$AB288),100)&lt;=31),DATE(INT(INDEX(기본자료!$G$2:$G$1001,$AB288)/10000),INT(MOD(INDEX(기본자료!$G$2:$G$1001,$AB288),10000)/100),MOD(INDEX(기본자료!$G$2:$G$1001,$AB288),100)),INDEX(기본자료!$G$2:$G$1001,$AB288)&amp;"")))))</f>
        <v/>
      </c>
      <c r="J288" s="10">
        <f>IF($AB288="","",IF(INDEX(기본자료!$H$2:$H$1001,$AB288)="","",INDEX(기본자료!$H$2:$H$1001,$AB288)))</f>
        <v/>
      </c>
      <c r="K288" s="10">
        <f>IF($AB288="","",IF(INDEX(기본자료!$I$2:$I$1001,$AB288)="","",INDEX(기본자료!$I$2:$I$1001,$AB288)))</f>
        <v/>
      </c>
      <c r="L288" s="10">
        <f>IF($AB288="","",IF(INDEX(기본자료!$A$2:$A$1001,$AB288)="","",INDEX(기본자료!$A$2:$A$1001,$AB288)))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파견수련계획!$AB$4:$AB$803,$AK288),OR(NOT(ISNUMBER(INDEX(파견수련계획!$AC$4:$AC$803,$AK288))),TODAY()&lt;=INDEX(파견수련계획!$AC$4:$AC$803,$AK288))),"다기관",IF($AF288="","",INDEX(파견수련계획!$T$4:$T$803,$AF288))),IF($AF288="","",INDEX(파견수련계획!$T$4:$T$803,$AF288))))</f>
        <v/>
      </c>
      <c r="Q288" s="10">
        <f>IF($AF288="","",INDEX(파견수련계획!$S$4:$S$803,$AF288))</f>
        <v/>
      </c>
      <c r="R288" s="10">
        <f>IF($AF288="","",INDEX(파견수련계획!$U$4:$U$803,$AF288))</f>
        <v/>
      </c>
      <c r="S288" s="11">
        <f>IF($AF288="","",IF(INDEX(파견수련계획!$H$4:$H$803,$AF288)="","",INDEX(파견수련계획!$H$4:$H$803,$AF288)))</f>
        <v/>
      </c>
      <c r="T288" s="11">
        <f>IF($AF288="","",IF(INDEX(파견수련계획!$I$4:$I$803,$AF288)="","",INDEX(파견수련계획!$I$4:$I$803,$AF288)))</f>
        <v/>
      </c>
      <c r="U288" s="10">
        <f>IF($AF288="","",INDEX(파견수련계획!$X$4:$X$803,$AF288))</f>
        <v/>
      </c>
      <c r="V288" s="17">
        <f>IF($AF288="","",INDEX(파견수련계획!$V$4:$V$803,$AF288))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IF(OR($B288="",TRIM($J288&amp;"")=""),"",SUMPRODUCT((파견수련계획!$Q$4:$Q$803=TRIM($J288&amp;""))*파견수련계획!$W$4:$W$803))</f>
        <v/>
      </c>
      <c r="Y288" s="10">
        <f>IF($B288="","",IF($AG288="","",IF(IF(TRIM($J288&amp;"")="",0,SUMPRODUCT((파견수련계획!$Q$4:$Q$803=TRIM($J288&amp;""))*파견수련계획!$AD$4:$AD$803))&gt;0,$AE288,IF(N($X288)&lt;=0,$AG288,IF($AH288+$AI288=DAY(EOMONTH(요약!$B$3,0)),IF(AND($AH288&gt;=요약!$E$3,$AI288&lt;요약!$E$3),"서울병원",IF(AND($AI288&gt;=요약!$E$3,$AH288&lt;요약!$E$3),"구리병원","⚠15일 판정불가(서울 "&amp;$AH288&amp;"일/구리 "&amp;$AI288&amp;"일)")),IF($AJ288="",$AE288,IF(INDEX(파견수련계획!$T$4:$T$803,$AJ288)="통합수련",INDEX(파견수련계획!$S$4:$S$803,$AJ288),$AE288)))))))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입력",IF(IF(TRIM($J288&amp;"")="",0,SUMPRODUCT((파견수련계획!$Q$4:$Q$803=TRIM($J288&amp;""))*(파견수련계획!$AA$4:$AA$803&lt;&gt;"")))&gt;0,"파견수련계획 입력오류 확인",IF(LEFT($Y288,1)="⚠","서울·구리 15일 판정 불가(양쪽 모두 이상/미만)",IF(IF($AC288="",0,N(INDEX(인턴근무계획!$T$3:$T$402,$AC288)))&gt;0,"인턴계획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IF($B288="","",IFERROR(MATCH($B288,기본자료!$B$2:$B$1001,0),IFERROR(MATCH($B288&amp;"",기본자료!$B$2:$B$1001,0),IFERROR(MATCH(VALUE($B288),기본자료!$B$2:$B$1001,0),""))))</f>
        <v/>
      </c>
      <c r="AC288" s="10">
        <f>IF($B288="","",IFERROR(MATCH($B288,인턴근무계획!$D$3:$D$402,0),IFERROR(MATCH($B288&amp;"",인턴근무계획!$D$3:$D$402,0),IFERROR(MATCH(VALUE($B288),인턴근무계획!$D$3:$D$402,0),""))))</f>
        <v/>
      </c>
      <c r="AD288" s="10">
        <f>IF(OR($AC288="",인턴현황!$G$3=""),"",INDEX(인턴근무계획!$M$3:$R$402,$AC288,인턴현황!$G$3)&amp;"")</f>
        <v/>
      </c>
      <c r="AE288" s="10">
        <f>IF($B288="","",IF($M288&lt;&gt;"",$M288,IF($AF288&lt;&gt;"",IF(LEFT(INDEX(파견수련계획!$R$4:$R$803,$AF288),1)&lt;&gt;"⚠",INDEX(파견수련계획!$R$4:$R$803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파견수련계획!$Y$4:$Y$803,0),IFERROR(MATCH(TRIM($J288&amp;"")&amp;"|파견예정",파견수련계획!$Y$4:$Y$803,0),IFERROR(MATCH(TRIM($J288&amp;"")&amp;"|파견종료",파견수련계획!$Y$4:$Y$803,0),""))))</f>
        <v/>
      </c>
      <c r="AG288" s="10">
        <f>IF($B288="","",IF(AND(IF(OR($AC288="",인턴현황!$K$2=""),"",INDEX(인턴근무계획!$M$3:$R$402,$AC288,인턴현황!$K$2)&amp;"")&lt;&gt;"",LEFT(IF(OR($AC288="",인턴현황!$K$2=""),"",INDEX(인턴근무계획!$M$3:$R$402,$AC288,인턴현황!$K$2)&amp;""),1)&lt;&gt;"⚠"),LEFT(IF(OR($AC288="",인턴현황!$K$2=""),"",INDEX(인턴근무계획!$M$3:$R$402,$AC288,인턴현황!$K$2)&amp;""),FIND(" ",IF(OR($AC288="",인턴현황!$K$2=""),"",INDEX(인턴근무계획!$M$3:$R$402,$AC288,인턴현황!$K$2)&amp;""))-1),$AE288))</f>
        <v/>
      </c>
      <c r="AH288" s="17">
        <f>IF($B288="","",IF(TRIM($J288&amp;"")="",0,SUMPRODUCT((파견수련계획!$Q$4:$Q$803=TRIM($J288&amp;""))*(파견수련계획!$S$4:$S$803="서울병원")*파견수련계획!$W$4:$W$803))+IF($AG288="서울병원",MAX(0,DAY(EOMONTH(요약!$B$3,0))-N($X288)),0))</f>
        <v/>
      </c>
      <c r="AI288" s="17">
        <f>IF($B288="","",IF(TRIM($J288&amp;"")="",0,SUMPRODUCT((파견수련계획!$Q$4:$Q$803=TRIM($J288&amp;""))*(파견수련계획!$S$4:$S$803="구리병원")*파견수련계획!$W$4:$W$803))+IF($AG288="구리병원",MAX(0,DAY(EOMONTH(요약!$B$3,0))-N($X288)),0))</f>
        <v/>
      </c>
      <c r="AJ288" s="10">
        <f>IF(OR($B288="",TRIM($J288&amp;"")=""),"",IFERROR(MATCH(TRIM($J288&amp;"")&amp;"|월",파견수련계획!$Z$4:$Z$803,0),""))</f>
        <v/>
      </c>
      <c r="AK288" s="10">
        <f>IF(OR($B288="",TRIM($J288&amp;"")=""),"",IFERROR(MATCH(TRIM($J288&amp;"")&amp;"|다기관",파견수련계획!$AE$4:$AE$803,0),""))</f>
        <v/>
      </c>
      <c r="AL288" s="10">
        <f>IF($AK288="","","다기관 "&amp;TEXT(INDEX(파견수련계획!$AB$4:$AB$803,$AK288),"yyyy-mm-dd")&amp;"~"&amp;IF(ISNUMBER(INDEX(파견수련계획!$AC$4:$AC$803,$AK288)),TEXT(INDEX(파견수련계획!$AC$4:$AC$803,$AK288),"yyyy-mm-dd"),""))</f>
        <v/>
      </c>
    </row>
    <row r="289">
      <c r="A289" s="10">
        <f>IF(B289="","",ROW()-1)</f>
        <v/>
      </c>
      <c r="B289" s="18" t="n"/>
      <c r="C289" s="10">
        <f>IF($AB289="","",IF(INDEX(기본자료!$C$2:$C$1001,$AB289)="","",INDEX(기본자료!$C$2:$C$1001,$AB289)))</f>
        <v/>
      </c>
      <c r="D289" s="10">
        <f>IF($AB289="","",IF(INDEX(기본자료!$J$2:$J$1001,$AB289)="","",INDEX(기본자료!$J$2:$J$1001,$AB289)))</f>
        <v/>
      </c>
      <c r="E289" s="11">
        <f>IF($AB289="","",IF(INDEX(기본자료!$K$2:$K$1001,$AB289)="","",IF(NOT(ISNUMBER(INDEX(기본자료!$K$2:$K$1001,$AB289))),INDEX(기본자료!$K$2:$K$1001,$AB289),IF(INDEX(기본자료!$K$2:$K$1001,$AB289)&lt;1000000,INDEX(기본자료!$K$2:$K$1001,$AB289),IF(AND(INDEX(기본자료!$K$2:$K$1001,$AB289)&gt;=10000101,INT(MOD(INDEX(기본자료!$K$2:$K$1001,$AB289),10000)/100)&gt;=1,INT(MOD(INDEX(기본자료!$K$2:$K$1001,$AB289),10000)/100)&lt;=12,MOD(INDEX(기본자료!$K$2:$K$1001,$AB289),100)&gt;=1,MOD(INDEX(기본자료!$K$2:$K$1001,$AB289),100)&lt;=31),DATE(INT(INDEX(기본자료!$K$2:$K$1001,$AB289)/10000),INT(MOD(INDEX(기본자료!$K$2:$K$1001,$AB289),10000)/100),MOD(INDEX(기본자료!$K$2:$K$1001,$AB289),100)),INDEX(기본자료!$K$2:$K$1001,$AB289)&amp;"")))))</f>
        <v/>
      </c>
      <c r="F289" s="10">
        <f>IF($AB289="","",IF(INDEX(기본자료!$D$2:$D$1001,$AB289)="","",INDEX(기본자료!$D$2:$D$1001,$AB289)))</f>
        <v/>
      </c>
      <c r="G289" s="10">
        <f>IF($AB289="","",IF(INDEX(기본자료!$E$2:$E$1001,$AB289)="","",INDEX(기본자료!$E$2:$E$1001,$AB289)))</f>
        <v/>
      </c>
      <c r="H289" s="10">
        <f>IF($AB289="","",IF(INDEX(기본자료!$F$2:$F$1001,$AB289)="","",INDEX(기본자료!$F$2:$F$1001,$AB289)))</f>
        <v/>
      </c>
      <c r="I289" s="11">
        <f>IF($AB289="","",IF(INDEX(기본자료!$G$2:$G$1001,$AB289)="","",IF(NOT(ISNUMBER(INDEX(기본자료!$G$2:$G$1001,$AB289))),INDEX(기본자료!$G$2:$G$1001,$AB289),IF(INDEX(기본자료!$G$2:$G$1001,$AB289)&lt;1000000,INDEX(기본자료!$G$2:$G$1001,$AB289),IF(AND(INDEX(기본자료!$G$2:$G$1001,$AB289)&gt;=10000101,INT(MOD(INDEX(기본자료!$G$2:$G$1001,$AB289),10000)/100)&gt;=1,INT(MOD(INDEX(기본자료!$G$2:$G$1001,$AB289),10000)/100)&lt;=12,MOD(INDEX(기본자료!$G$2:$G$1001,$AB289),100)&gt;=1,MOD(INDEX(기본자료!$G$2:$G$1001,$AB289),100)&lt;=31),DATE(INT(INDEX(기본자료!$G$2:$G$1001,$AB289)/10000),INT(MOD(INDEX(기본자료!$G$2:$G$1001,$AB289),10000)/100),MOD(INDEX(기본자료!$G$2:$G$1001,$AB289),100)),INDEX(기본자료!$G$2:$G$1001,$AB289)&amp;"")))))</f>
        <v/>
      </c>
      <c r="J289" s="10">
        <f>IF($AB289="","",IF(INDEX(기본자료!$H$2:$H$1001,$AB289)="","",INDEX(기본자료!$H$2:$H$1001,$AB289)))</f>
        <v/>
      </c>
      <c r="K289" s="10">
        <f>IF($AB289="","",IF(INDEX(기본자료!$I$2:$I$1001,$AB289)="","",INDEX(기본자료!$I$2:$I$1001,$AB289)))</f>
        <v/>
      </c>
      <c r="L289" s="10">
        <f>IF($AB289="","",IF(INDEX(기본자료!$A$2:$A$1001,$AB289)="","",INDEX(기본자료!$A$2:$A$1001,$AB289)))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파견수련계획!$AB$4:$AB$803,$AK289),OR(NOT(ISNUMBER(INDEX(파견수련계획!$AC$4:$AC$803,$AK289))),TODAY()&lt;=INDEX(파견수련계획!$AC$4:$AC$803,$AK289))),"다기관",IF($AF289="","",INDEX(파견수련계획!$T$4:$T$803,$AF289))),IF($AF289="","",INDEX(파견수련계획!$T$4:$T$803,$AF289))))</f>
        <v/>
      </c>
      <c r="Q289" s="10">
        <f>IF($AF289="","",INDEX(파견수련계획!$S$4:$S$803,$AF289))</f>
        <v/>
      </c>
      <c r="R289" s="10">
        <f>IF($AF289="","",INDEX(파견수련계획!$U$4:$U$803,$AF289))</f>
        <v/>
      </c>
      <c r="S289" s="11">
        <f>IF($AF289="","",IF(INDEX(파견수련계획!$H$4:$H$803,$AF289)="","",INDEX(파견수련계획!$H$4:$H$803,$AF289)))</f>
        <v/>
      </c>
      <c r="T289" s="11">
        <f>IF($AF289="","",IF(INDEX(파견수련계획!$I$4:$I$803,$AF289)="","",INDEX(파견수련계획!$I$4:$I$803,$AF289)))</f>
        <v/>
      </c>
      <c r="U289" s="10">
        <f>IF($AF289="","",INDEX(파견수련계획!$X$4:$X$803,$AF289))</f>
        <v/>
      </c>
      <c r="V289" s="17">
        <f>IF($AF289="","",INDEX(파견수련계획!$V$4:$V$803,$AF289))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IF(OR($B289="",TRIM($J289&amp;"")=""),"",SUMPRODUCT((파견수련계획!$Q$4:$Q$803=TRIM($J289&amp;""))*파견수련계획!$W$4:$W$803))</f>
        <v/>
      </c>
      <c r="Y289" s="10">
        <f>IF($B289="","",IF($AG289="","",IF(IF(TRIM($J289&amp;"")="",0,SUMPRODUCT((파견수련계획!$Q$4:$Q$803=TRIM($J289&amp;""))*파견수련계획!$AD$4:$AD$803))&gt;0,$AE289,IF(N($X289)&lt;=0,$AG289,IF($AH289+$AI289=DAY(EOMONTH(요약!$B$3,0)),IF(AND($AH289&gt;=요약!$E$3,$AI289&lt;요약!$E$3),"서울병원",IF(AND($AI289&gt;=요약!$E$3,$AH289&lt;요약!$E$3),"구리병원","⚠15일 판정불가(서울 "&amp;$AH289&amp;"일/구리 "&amp;$AI289&amp;"일)")),IF($AJ289="",$AE289,IF(INDEX(파견수련계획!$T$4:$T$803,$AJ289)="통합수련",INDEX(파견수련계획!$S$4:$S$803,$AJ289),$AE289)))))))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입력",IF(IF(TRIM($J289&amp;"")="",0,SUMPRODUCT((파견수련계획!$Q$4:$Q$803=TRIM($J289&amp;""))*(파견수련계획!$AA$4:$AA$803&lt;&gt;"")))&gt;0,"파견수련계획 입력오류 확인",IF(LEFT($Y289,1)="⚠","서울·구리 15일 판정 불가(양쪽 모두 이상/미만)",IF(IF($AC289="",0,N(INDEX(인턴근무계획!$T$3:$T$402,$AC289)))&gt;0,"인턴계획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IF($B289="","",IFERROR(MATCH($B289,기본자료!$B$2:$B$1001,0),IFERROR(MATCH($B289&amp;"",기본자료!$B$2:$B$1001,0),IFERROR(MATCH(VALUE($B289),기본자료!$B$2:$B$1001,0),""))))</f>
        <v/>
      </c>
      <c r="AC289" s="10">
        <f>IF($B289="","",IFERROR(MATCH($B289,인턴근무계획!$D$3:$D$402,0),IFERROR(MATCH($B289&amp;"",인턴근무계획!$D$3:$D$402,0),IFERROR(MATCH(VALUE($B289),인턴근무계획!$D$3:$D$402,0),""))))</f>
        <v/>
      </c>
      <c r="AD289" s="10">
        <f>IF(OR($AC289="",인턴현황!$G$3=""),"",INDEX(인턴근무계획!$M$3:$R$402,$AC289,인턴현황!$G$3)&amp;"")</f>
        <v/>
      </c>
      <c r="AE289" s="10">
        <f>IF($B289="","",IF($M289&lt;&gt;"",$M289,IF($AF289&lt;&gt;"",IF(LEFT(INDEX(파견수련계획!$R$4:$R$803,$AF289),1)&lt;&gt;"⚠",INDEX(파견수련계획!$R$4:$R$803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파견수련계획!$Y$4:$Y$803,0),IFERROR(MATCH(TRIM($J289&amp;"")&amp;"|파견예정",파견수련계획!$Y$4:$Y$803,0),IFERROR(MATCH(TRIM($J289&amp;"")&amp;"|파견종료",파견수련계획!$Y$4:$Y$803,0),""))))</f>
        <v/>
      </c>
      <c r="AG289" s="10">
        <f>IF($B289="","",IF(AND(IF(OR($AC289="",인턴현황!$K$2=""),"",INDEX(인턴근무계획!$M$3:$R$402,$AC289,인턴현황!$K$2)&amp;"")&lt;&gt;"",LEFT(IF(OR($AC289="",인턴현황!$K$2=""),"",INDEX(인턴근무계획!$M$3:$R$402,$AC289,인턴현황!$K$2)&amp;""),1)&lt;&gt;"⚠"),LEFT(IF(OR($AC289="",인턴현황!$K$2=""),"",INDEX(인턴근무계획!$M$3:$R$402,$AC289,인턴현황!$K$2)&amp;""),FIND(" ",IF(OR($AC289="",인턴현황!$K$2=""),"",INDEX(인턴근무계획!$M$3:$R$402,$AC289,인턴현황!$K$2)&amp;""))-1),$AE289))</f>
        <v/>
      </c>
      <c r="AH289" s="17">
        <f>IF($B289="","",IF(TRIM($J289&amp;"")="",0,SUMPRODUCT((파견수련계획!$Q$4:$Q$803=TRIM($J289&amp;""))*(파견수련계획!$S$4:$S$803="서울병원")*파견수련계획!$W$4:$W$803))+IF($AG289="서울병원",MAX(0,DAY(EOMONTH(요약!$B$3,0))-N($X289)),0))</f>
        <v/>
      </c>
      <c r="AI289" s="17">
        <f>IF($B289="","",IF(TRIM($J289&amp;"")="",0,SUMPRODUCT((파견수련계획!$Q$4:$Q$803=TRIM($J289&amp;""))*(파견수련계획!$S$4:$S$803="구리병원")*파견수련계획!$W$4:$W$803))+IF($AG289="구리병원",MAX(0,DAY(EOMONTH(요약!$B$3,0))-N($X289)),0))</f>
        <v/>
      </c>
      <c r="AJ289" s="10">
        <f>IF(OR($B289="",TRIM($J289&amp;"")=""),"",IFERROR(MATCH(TRIM($J289&amp;"")&amp;"|월",파견수련계획!$Z$4:$Z$803,0),""))</f>
        <v/>
      </c>
      <c r="AK289" s="10">
        <f>IF(OR($B289="",TRIM($J289&amp;"")=""),"",IFERROR(MATCH(TRIM($J289&amp;"")&amp;"|다기관",파견수련계획!$AE$4:$AE$803,0),""))</f>
        <v/>
      </c>
      <c r="AL289" s="10">
        <f>IF($AK289="","","다기관 "&amp;TEXT(INDEX(파견수련계획!$AB$4:$AB$803,$AK289),"yyyy-mm-dd")&amp;"~"&amp;IF(ISNUMBER(INDEX(파견수련계획!$AC$4:$AC$803,$AK289)),TEXT(INDEX(파견수련계획!$AC$4:$AC$803,$AK289),"yyyy-mm-dd"),""))</f>
        <v/>
      </c>
    </row>
    <row r="290">
      <c r="A290" s="10">
        <f>IF(B290="","",ROW()-1)</f>
        <v/>
      </c>
      <c r="B290" s="18" t="n"/>
      <c r="C290" s="10">
        <f>IF($AB290="","",IF(INDEX(기본자료!$C$2:$C$1001,$AB290)="","",INDEX(기본자료!$C$2:$C$1001,$AB290)))</f>
        <v/>
      </c>
      <c r="D290" s="10">
        <f>IF($AB290="","",IF(INDEX(기본자료!$J$2:$J$1001,$AB290)="","",INDEX(기본자료!$J$2:$J$1001,$AB290)))</f>
        <v/>
      </c>
      <c r="E290" s="11">
        <f>IF($AB290="","",IF(INDEX(기본자료!$K$2:$K$1001,$AB290)="","",IF(NOT(ISNUMBER(INDEX(기본자료!$K$2:$K$1001,$AB290))),INDEX(기본자료!$K$2:$K$1001,$AB290),IF(INDEX(기본자료!$K$2:$K$1001,$AB290)&lt;1000000,INDEX(기본자료!$K$2:$K$1001,$AB290),IF(AND(INDEX(기본자료!$K$2:$K$1001,$AB290)&gt;=10000101,INT(MOD(INDEX(기본자료!$K$2:$K$1001,$AB290),10000)/100)&gt;=1,INT(MOD(INDEX(기본자료!$K$2:$K$1001,$AB290),10000)/100)&lt;=12,MOD(INDEX(기본자료!$K$2:$K$1001,$AB290),100)&gt;=1,MOD(INDEX(기본자료!$K$2:$K$1001,$AB290),100)&lt;=31),DATE(INT(INDEX(기본자료!$K$2:$K$1001,$AB290)/10000),INT(MOD(INDEX(기본자료!$K$2:$K$1001,$AB290),10000)/100),MOD(INDEX(기본자료!$K$2:$K$1001,$AB290),100)),INDEX(기본자료!$K$2:$K$1001,$AB290)&amp;"")))))</f>
        <v/>
      </c>
      <c r="F290" s="10">
        <f>IF($AB290="","",IF(INDEX(기본자료!$D$2:$D$1001,$AB290)="","",INDEX(기본자료!$D$2:$D$1001,$AB290)))</f>
        <v/>
      </c>
      <c r="G290" s="10">
        <f>IF($AB290="","",IF(INDEX(기본자료!$E$2:$E$1001,$AB290)="","",INDEX(기본자료!$E$2:$E$1001,$AB290)))</f>
        <v/>
      </c>
      <c r="H290" s="10">
        <f>IF($AB290="","",IF(INDEX(기본자료!$F$2:$F$1001,$AB290)="","",INDEX(기본자료!$F$2:$F$1001,$AB290)))</f>
        <v/>
      </c>
      <c r="I290" s="11">
        <f>IF($AB290="","",IF(INDEX(기본자료!$G$2:$G$1001,$AB290)="","",IF(NOT(ISNUMBER(INDEX(기본자료!$G$2:$G$1001,$AB290))),INDEX(기본자료!$G$2:$G$1001,$AB290),IF(INDEX(기본자료!$G$2:$G$1001,$AB290)&lt;1000000,INDEX(기본자료!$G$2:$G$1001,$AB290),IF(AND(INDEX(기본자료!$G$2:$G$1001,$AB290)&gt;=10000101,INT(MOD(INDEX(기본자료!$G$2:$G$1001,$AB290),10000)/100)&gt;=1,INT(MOD(INDEX(기본자료!$G$2:$G$1001,$AB290),10000)/100)&lt;=12,MOD(INDEX(기본자료!$G$2:$G$1001,$AB290),100)&gt;=1,MOD(INDEX(기본자료!$G$2:$G$1001,$AB290),100)&lt;=31),DATE(INT(INDEX(기본자료!$G$2:$G$1001,$AB290)/10000),INT(MOD(INDEX(기본자료!$G$2:$G$1001,$AB290),10000)/100),MOD(INDEX(기본자료!$G$2:$G$1001,$AB290),100)),INDEX(기본자료!$G$2:$G$1001,$AB290)&amp;"")))))</f>
        <v/>
      </c>
      <c r="J290" s="10">
        <f>IF($AB290="","",IF(INDEX(기본자료!$H$2:$H$1001,$AB290)="","",INDEX(기본자료!$H$2:$H$1001,$AB290)))</f>
        <v/>
      </c>
      <c r="K290" s="10">
        <f>IF($AB290="","",IF(INDEX(기본자료!$I$2:$I$1001,$AB290)="","",INDEX(기본자료!$I$2:$I$1001,$AB290)))</f>
        <v/>
      </c>
      <c r="L290" s="10">
        <f>IF($AB290="","",IF(INDEX(기본자료!$A$2:$A$1001,$AB290)="","",INDEX(기본자료!$A$2:$A$1001,$AB290)))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파견수련계획!$AB$4:$AB$803,$AK290),OR(NOT(ISNUMBER(INDEX(파견수련계획!$AC$4:$AC$803,$AK290))),TODAY()&lt;=INDEX(파견수련계획!$AC$4:$AC$803,$AK290))),"다기관",IF($AF290="","",INDEX(파견수련계획!$T$4:$T$803,$AF290))),IF($AF290="","",INDEX(파견수련계획!$T$4:$T$803,$AF290))))</f>
        <v/>
      </c>
      <c r="Q290" s="10">
        <f>IF($AF290="","",INDEX(파견수련계획!$S$4:$S$803,$AF290))</f>
        <v/>
      </c>
      <c r="R290" s="10">
        <f>IF($AF290="","",INDEX(파견수련계획!$U$4:$U$803,$AF290))</f>
        <v/>
      </c>
      <c r="S290" s="11">
        <f>IF($AF290="","",IF(INDEX(파견수련계획!$H$4:$H$803,$AF290)="","",INDEX(파견수련계획!$H$4:$H$803,$AF290)))</f>
        <v/>
      </c>
      <c r="T290" s="11">
        <f>IF($AF290="","",IF(INDEX(파견수련계획!$I$4:$I$803,$AF290)="","",INDEX(파견수련계획!$I$4:$I$803,$AF290)))</f>
        <v/>
      </c>
      <c r="U290" s="10">
        <f>IF($AF290="","",INDEX(파견수련계획!$X$4:$X$803,$AF290))</f>
        <v/>
      </c>
      <c r="V290" s="17">
        <f>IF($AF290="","",INDEX(파견수련계획!$V$4:$V$803,$AF290))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IF(OR($B290="",TRIM($J290&amp;"")=""),"",SUMPRODUCT((파견수련계획!$Q$4:$Q$803=TRIM($J290&amp;""))*파견수련계획!$W$4:$W$803))</f>
        <v/>
      </c>
      <c r="Y290" s="10">
        <f>IF($B290="","",IF($AG290="","",IF(IF(TRIM($J290&amp;"")="",0,SUMPRODUCT((파견수련계획!$Q$4:$Q$803=TRIM($J290&amp;""))*파견수련계획!$AD$4:$AD$803))&gt;0,$AE290,IF(N($X290)&lt;=0,$AG290,IF($AH290+$AI290=DAY(EOMONTH(요약!$B$3,0)),IF(AND($AH290&gt;=요약!$E$3,$AI290&lt;요약!$E$3),"서울병원",IF(AND($AI290&gt;=요약!$E$3,$AH290&lt;요약!$E$3),"구리병원","⚠15일 판정불가(서울 "&amp;$AH290&amp;"일/구리 "&amp;$AI290&amp;"일)")),IF($AJ290="",$AE290,IF(INDEX(파견수련계획!$T$4:$T$803,$AJ290)="통합수련",INDEX(파견수련계획!$S$4:$S$803,$AJ290),$AE290)))))))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입력",IF(IF(TRIM($J290&amp;"")="",0,SUMPRODUCT((파견수련계획!$Q$4:$Q$803=TRIM($J290&amp;""))*(파견수련계획!$AA$4:$AA$803&lt;&gt;"")))&gt;0,"파견수련계획 입력오류 확인",IF(LEFT($Y290,1)="⚠","서울·구리 15일 판정 불가(양쪽 모두 이상/미만)",IF(IF($AC290="",0,N(INDEX(인턴근무계획!$T$3:$T$402,$AC290)))&gt;0,"인턴계획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IF($B290="","",IFERROR(MATCH($B290,기본자료!$B$2:$B$1001,0),IFERROR(MATCH($B290&amp;"",기본자료!$B$2:$B$1001,0),IFERROR(MATCH(VALUE($B290),기본자료!$B$2:$B$1001,0),""))))</f>
        <v/>
      </c>
      <c r="AC290" s="10">
        <f>IF($B290="","",IFERROR(MATCH($B290,인턴근무계획!$D$3:$D$402,0),IFERROR(MATCH($B290&amp;"",인턴근무계획!$D$3:$D$402,0),IFERROR(MATCH(VALUE($B290),인턴근무계획!$D$3:$D$402,0),""))))</f>
        <v/>
      </c>
      <c r="AD290" s="10">
        <f>IF(OR($AC290="",인턴현황!$G$3=""),"",INDEX(인턴근무계획!$M$3:$R$402,$AC290,인턴현황!$G$3)&amp;"")</f>
        <v/>
      </c>
      <c r="AE290" s="10">
        <f>IF($B290="","",IF($M290&lt;&gt;"",$M290,IF($AF290&lt;&gt;"",IF(LEFT(INDEX(파견수련계획!$R$4:$R$803,$AF290),1)&lt;&gt;"⚠",INDEX(파견수련계획!$R$4:$R$803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파견수련계획!$Y$4:$Y$803,0),IFERROR(MATCH(TRIM($J290&amp;"")&amp;"|파견예정",파견수련계획!$Y$4:$Y$803,0),IFERROR(MATCH(TRIM($J290&amp;"")&amp;"|파견종료",파견수련계획!$Y$4:$Y$803,0),""))))</f>
        <v/>
      </c>
      <c r="AG290" s="10">
        <f>IF($B290="","",IF(AND(IF(OR($AC290="",인턴현황!$K$2=""),"",INDEX(인턴근무계획!$M$3:$R$402,$AC290,인턴현황!$K$2)&amp;"")&lt;&gt;"",LEFT(IF(OR($AC290="",인턴현황!$K$2=""),"",INDEX(인턴근무계획!$M$3:$R$402,$AC290,인턴현황!$K$2)&amp;""),1)&lt;&gt;"⚠"),LEFT(IF(OR($AC290="",인턴현황!$K$2=""),"",INDEX(인턴근무계획!$M$3:$R$402,$AC290,인턴현황!$K$2)&amp;""),FIND(" ",IF(OR($AC290="",인턴현황!$K$2=""),"",INDEX(인턴근무계획!$M$3:$R$402,$AC290,인턴현황!$K$2)&amp;""))-1),$AE290))</f>
        <v/>
      </c>
      <c r="AH290" s="17">
        <f>IF($B290="","",IF(TRIM($J290&amp;"")="",0,SUMPRODUCT((파견수련계획!$Q$4:$Q$803=TRIM($J290&amp;""))*(파견수련계획!$S$4:$S$803="서울병원")*파견수련계획!$W$4:$W$803))+IF($AG290="서울병원",MAX(0,DAY(EOMONTH(요약!$B$3,0))-N($X290)),0))</f>
        <v/>
      </c>
      <c r="AI290" s="17">
        <f>IF($B290="","",IF(TRIM($J290&amp;"")="",0,SUMPRODUCT((파견수련계획!$Q$4:$Q$803=TRIM($J290&amp;""))*(파견수련계획!$S$4:$S$803="구리병원")*파견수련계획!$W$4:$W$803))+IF($AG290="구리병원",MAX(0,DAY(EOMONTH(요약!$B$3,0))-N($X290)),0))</f>
        <v/>
      </c>
      <c r="AJ290" s="10">
        <f>IF(OR($B290="",TRIM($J290&amp;"")=""),"",IFERROR(MATCH(TRIM($J290&amp;"")&amp;"|월",파견수련계획!$Z$4:$Z$803,0),""))</f>
        <v/>
      </c>
      <c r="AK290" s="10">
        <f>IF(OR($B290="",TRIM($J290&amp;"")=""),"",IFERROR(MATCH(TRIM($J290&amp;"")&amp;"|다기관",파견수련계획!$AE$4:$AE$803,0),""))</f>
        <v/>
      </c>
      <c r="AL290" s="10">
        <f>IF($AK290="","","다기관 "&amp;TEXT(INDEX(파견수련계획!$AB$4:$AB$803,$AK290),"yyyy-mm-dd")&amp;"~"&amp;IF(ISNUMBER(INDEX(파견수련계획!$AC$4:$AC$803,$AK290)),TEXT(INDEX(파견수련계획!$AC$4:$AC$803,$AK290),"yyyy-mm-dd"),""))</f>
        <v/>
      </c>
    </row>
    <row r="291">
      <c r="A291" s="10">
        <f>IF(B291="","",ROW()-1)</f>
        <v/>
      </c>
      <c r="B291" s="18" t="n"/>
      <c r="C291" s="10">
        <f>IF($AB291="","",IF(INDEX(기본자료!$C$2:$C$1001,$AB291)="","",INDEX(기본자료!$C$2:$C$1001,$AB291)))</f>
        <v/>
      </c>
      <c r="D291" s="10">
        <f>IF($AB291="","",IF(INDEX(기본자료!$J$2:$J$1001,$AB291)="","",INDEX(기본자료!$J$2:$J$1001,$AB291)))</f>
        <v/>
      </c>
      <c r="E291" s="11">
        <f>IF($AB291="","",IF(INDEX(기본자료!$K$2:$K$1001,$AB291)="","",IF(NOT(ISNUMBER(INDEX(기본자료!$K$2:$K$1001,$AB291))),INDEX(기본자료!$K$2:$K$1001,$AB291),IF(INDEX(기본자료!$K$2:$K$1001,$AB291)&lt;1000000,INDEX(기본자료!$K$2:$K$1001,$AB291),IF(AND(INDEX(기본자료!$K$2:$K$1001,$AB291)&gt;=10000101,INT(MOD(INDEX(기본자료!$K$2:$K$1001,$AB291),10000)/100)&gt;=1,INT(MOD(INDEX(기본자료!$K$2:$K$1001,$AB291),10000)/100)&lt;=12,MOD(INDEX(기본자료!$K$2:$K$1001,$AB291),100)&gt;=1,MOD(INDEX(기본자료!$K$2:$K$1001,$AB291),100)&lt;=31),DATE(INT(INDEX(기본자료!$K$2:$K$1001,$AB291)/10000),INT(MOD(INDEX(기본자료!$K$2:$K$1001,$AB291),10000)/100),MOD(INDEX(기본자료!$K$2:$K$1001,$AB291),100)),INDEX(기본자료!$K$2:$K$1001,$AB291)&amp;"")))))</f>
        <v/>
      </c>
      <c r="F291" s="10">
        <f>IF($AB291="","",IF(INDEX(기본자료!$D$2:$D$1001,$AB291)="","",INDEX(기본자료!$D$2:$D$1001,$AB291)))</f>
        <v/>
      </c>
      <c r="G291" s="10">
        <f>IF($AB291="","",IF(INDEX(기본자료!$E$2:$E$1001,$AB291)="","",INDEX(기본자료!$E$2:$E$1001,$AB291)))</f>
        <v/>
      </c>
      <c r="H291" s="10">
        <f>IF($AB291="","",IF(INDEX(기본자료!$F$2:$F$1001,$AB291)="","",INDEX(기본자료!$F$2:$F$1001,$AB291)))</f>
        <v/>
      </c>
      <c r="I291" s="11">
        <f>IF($AB291="","",IF(INDEX(기본자료!$G$2:$G$1001,$AB291)="","",IF(NOT(ISNUMBER(INDEX(기본자료!$G$2:$G$1001,$AB291))),INDEX(기본자료!$G$2:$G$1001,$AB291),IF(INDEX(기본자료!$G$2:$G$1001,$AB291)&lt;1000000,INDEX(기본자료!$G$2:$G$1001,$AB291),IF(AND(INDEX(기본자료!$G$2:$G$1001,$AB291)&gt;=10000101,INT(MOD(INDEX(기본자료!$G$2:$G$1001,$AB291),10000)/100)&gt;=1,INT(MOD(INDEX(기본자료!$G$2:$G$1001,$AB291),10000)/100)&lt;=12,MOD(INDEX(기본자료!$G$2:$G$1001,$AB291),100)&gt;=1,MOD(INDEX(기본자료!$G$2:$G$1001,$AB291),100)&lt;=31),DATE(INT(INDEX(기본자료!$G$2:$G$1001,$AB291)/10000),INT(MOD(INDEX(기본자료!$G$2:$G$1001,$AB291),10000)/100),MOD(INDEX(기본자료!$G$2:$G$1001,$AB291),100)),INDEX(기본자료!$G$2:$G$1001,$AB291)&amp;"")))))</f>
        <v/>
      </c>
      <c r="J291" s="10">
        <f>IF($AB291="","",IF(INDEX(기본자료!$H$2:$H$1001,$AB291)="","",INDEX(기본자료!$H$2:$H$1001,$AB291)))</f>
        <v/>
      </c>
      <c r="K291" s="10">
        <f>IF($AB291="","",IF(INDEX(기본자료!$I$2:$I$1001,$AB291)="","",INDEX(기본자료!$I$2:$I$1001,$AB291)))</f>
        <v/>
      </c>
      <c r="L291" s="10">
        <f>IF($AB291="","",IF(INDEX(기본자료!$A$2:$A$1001,$AB291)="","",INDEX(기본자료!$A$2:$A$1001,$AB291)))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파견수련계획!$AB$4:$AB$803,$AK291),OR(NOT(ISNUMBER(INDEX(파견수련계획!$AC$4:$AC$803,$AK291))),TODAY()&lt;=INDEX(파견수련계획!$AC$4:$AC$803,$AK291))),"다기관",IF($AF291="","",INDEX(파견수련계획!$T$4:$T$803,$AF291))),IF($AF291="","",INDEX(파견수련계획!$T$4:$T$803,$AF291))))</f>
        <v/>
      </c>
      <c r="Q291" s="10">
        <f>IF($AF291="","",INDEX(파견수련계획!$S$4:$S$803,$AF291))</f>
        <v/>
      </c>
      <c r="R291" s="10">
        <f>IF($AF291="","",INDEX(파견수련계획!$U$4:$U$803,$AF291))</f>
        <v/>
      </c>
      <c r="S291" s="11">
        <f>IF($AF291="","",IF(INDEX(파견수련계획!$H$4:$H$803,$AF291)="","",INDEX(파견수련계획!$H$4:$H$803,$AF291)))</f>
        <v/>
      </c>
      <c r="T291" s="11">
        <f>IF($AF291="","",IF(INDEX(파견수련계획!$I$4:$I$803,$AF291)="","",INDEX(파견수련계획!$I$4:$I$803,$AF291)))</f>
        <v/>
      </c>
      <c r="U291" s="10">
        <f>IF($AF291="","",INDEX(파견수련계획!$X$4:$X$803,$AF291))</f>
        <v/>
      </c>
      <c r="V291" s="17">
        <f>IF($AF291="","",INDEX(파견수련계획!$V$4:$V$803,$AF291))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IF(OR($B291="",TRIM($J291&amp;"")=""),"",SUMPRODUCT((파견수련계획!$Q$4:$Q$803=TRIM($J291&amp;""))*파견수련계획!$W$4:$W$803))</f>
        <v/>
      </c>
      <c r="Y291" s="10">
        <f>IF($B291="","",IF($AG291="","",IF(IF(TRIM($J291&amp;"")="",0,SUMPRODUCT((파견수련계획!$Q$4:$Q$803=TRIM($J291&amp;""))*파견수련계획!$AD$4:$AD$803))&gt;0,$AE291,IF(N($X291)&lt;=0,$AG291,IF($AH291+$AI291=DAY(EOMONTH(요약!$B$3,0)),IF(AND($AH291&gt;=요약!$E$3,$AI291&lt;요약!$E$3),"서울병원",IF(AND($AI291&gt;=요약!$E$3,$AH291&lt;요약!$E$3),"구리병원","⚠15일 판정불가(서울 "&amp;$AH291&amp;"일/구리 "&amp;$AI291&amp;"일)")),IF($AJ291="",$AE291,IF(INDEX(파견수련계획!$T$4:$T$803,$AJ291)="통합수련",INDEX(파견수련계획!$S$4:$S$803,$AJ291),$AE291)))))))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입력",IF(IF(TRIM($J291&amp;"")="",0,SUMPRODUCT((파견수련계획!$Q$4:$Q$803=TRIM($J291&amp;""))*(파견수련계획!$AA$4:$AA$803&lt;&gt;"")))&gt;0,"파견수련계획 입력오류 확인",IF(LEFT($Y291,1)="⚠","서울·구리 15일 판정 불가(양쪽 모두 이상/미만)",IF(IF($AC291="",0,N(INDEX(인턴근무계획!$T$3:$T$402,$AC291)))&gt;0,"인턴계획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IF($B291="","",IFERROR(MATCH($B291,기본자료!$B$2:$B$1001,0),IFERROR(MATCH($B291&amp;"",기본자료!$B$2:$B$1001,0),IFERROR(MATCH(VALUE($B291),기본자료!$B$2:$B$1001,0),""))))</f>
        <v/>
      </c>
      <c r="AC291" s="10">
        <f>IF($B291="","",IFERROR(MATCH($B291,인턴근무계획!$D$3:$D$402,0),IFERROR(MATCH($B291&amp;"",인턴근무계획!$D$3:$D$402,0),IFERROR(MATCH(VALUE($B291),인턴근무계획!$D$3:$D$402,0),""))))</f>
        <v/>
      </c>
      <c r="AD291" s="10">
        <f>IF(OR($AC291="",인턴현황!$G$3=""),"",INDEX(인턴근무계획!$M$3:$R$402,$AC291,인턴현황!$G$3)&amp;"")</f>
        <v/>
      </c>
      <c r="AE291" s="10">
        <f>IF($B291="","",IF($M291&lt;&gt;"",$M291,IF($AF291&lt;&gt;"",IF(LEFT(INDEX(파견수련계획!$R$4:$R$803,$AF291),1)&lt;&gt;"⚠",INDEX(파견수련계획!$R$4:$R$803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파견수련계획!$Y$4:$Y$803,0),IFERROR(MATCH(TRIM($J291&amp;"")&amp;"|파견예정",파견수련계획!$Y$4:$Y$803,0),IFERROR(MATCH(TRIM($J291&amp;"")&amp;"|파견종료",파견수련계획!$Y$4:$Y$803,0),""))))</f>
        <v/>
      </c>
      <c r="AG291" s="10">
        <f>IF($B291="","",IF(AND(IF(OR($AC291="",인턴현황!$K$2=""),"",INDEX(인턴근무계획!$M$3:$R$402,$AC291,인턴현황!$K$2)&amp;"")&lt;&gt;"",LEFT(IF(OR($AC291="",인턴현황!$K$2=""),"",INDEX(인턴근무계획!$M$3:$R$402,$AC291,인턴현황!$K$2)&amp;""),1)&lt;&gt;"⚠"),LEFT(IF(OR($AC291="",인턴현황!$K$2=""),"",INDEX(인턴근무계획!$M$3:$R$402,$AC291,인턴현황!$K$2)&amp;""),FIND(" ",IF(OR($AC291="",인턴현황!$K$2=""),"",INDEX(인턴근무계획!$M$3:$R$402,$AC291,인턴현황!$K$2)&amp;""))-1),$AE291))</f>
        <v/>
      </c>
      <c r="AH291" s="17">
        <f>IF($B291="","",IF(TRIM($J291&amp;"")="",0,SUMPRODUCT((파견수련계획!$Q$4:$Q$803=TRIM($J291&amp;""))*(파견수련계획!$S$4:$S$803="서울병원")*파견수련계획!$W$4:$W$803))+IF($AG291="서울병원",MAX(0,DAY(EOMONTH(요약!$B$3,0))-N($X291)),0))</f>
        <v/>
      </c>
      <c r="AI291" s="17">
        <f>IF($B291="","",IF(TRIM($J291&amp;"")="",0,SUMPRODUCT((파견수련계획!$Q$4:$Q$803=TRIM($J291&amp;""))*(파견수련계획!$S$4:$S$803="구리병원")*파견수련계획!$W$4:$W$803))+IF($AG291="구리병원",MAX(0,DAY(EOMONTH(요약!$B$3,0))-N($X291)),0))</f>
        <v/>
      </c>
      <c r="AJ291" s="10">
        <f>IF(OR($B291="",TRIM($J291&amp;"")=""),"",IFERROR(MATCH(TRIM($J291&amp;"")&amp;"|월",파견수련계획!$Z$4:$Z$803,0),""))</f>
        <v/>
      </c>
      <c r="AK291" s="10">
        <f>IF(OR($B291="",TRIM($J291&amp;"")=""),"",IFERROR(MATCH(TRIM($J291&amp;"")&amp;"|다기관",파견수련계획!$AE$4:$AE$803,0),""))</f>
        <v/>
      </c>
      <c r="AL291" s="10">
        <f>IF($AK291="","","다기관 "&amp;TEXT(INDEX(파견수련계획!$AB$4:$AB$803,$AK291),"yyyy-mm-dd")&amp;"~"&amp;IF(ISNUMBER(INDEX(파견수련계획!$AC$4:$AC$803,$AK291)),TEXT(INDEX(파견수련계획!$AC$4:$AC$803,$AK291),"yyyy-mm-dd"),""))</f>
        <v/>
      </c>
    </row>
    <row r="292">
      <c r="A292" s="10">
        <f>IF(B292="","",ROW()-1)</f>
        <v/>
      </c>
      <c r="B292" s="18" t="n"/>
      <c r="C292" s="10">
        <f>IF($AB292="","",IF(INDEX(기본자료!$C$2:$C$1001,$AB292)="","",INDEX(기본자료!$C$2:$C$1001,$AB292)))</f>
        <v/>
      </c>
      <c r="D292" s="10">
        <f>IF($AB292="","",IF(INDEX(기본자료!$J$2:$J$1001,$AB292)="","",INDEX(기본자료!$J$2:$J$1001,$AB292)))</f>
        <v/>
      </c>
      <c r="E292" s="11">
        <f>IF($AB292="","",IF(INDEX(기본자료!$K$2:$K$1001,$AB292)="","",IF(NOT(ISNUMBER(INDEX(기본자료!$K$2:$K$1001,$AB292))),INDEX(기본자료!$K$2:$K$1001,$AB292),IF(INDEX(기본자료!$K$2:$K$1001,$AB292)&lt;1000000,INDEX(기본자료!$K$2:$K$1001,$AB292),IF(AND(INDEX(기본자료!$K$2:$K$1001,$AB292)&gt;=10000101,INT(MOD(INDEX(기본자료!$K$2:$K$1001,$AB292),10000)/100)&gt;=1,INT(MOD(INDEX(기본자료!$K$2:$K$1001,$AB292),10000)/100)&lt;=12,MOD(INDEX(기본자료!$K$2:$K$1001,$AB292),100)&gt;=1,MOD(INDEX(기본자료!$K$2:$K$1001,$AB292),100)&lt;=31),DATE(INT(INDEX(기본자료!$K$2:$K$1001,$AB292)/10000),INT(MOD(INDEX(기본자료!$K$2:$K$1001,$AB292),10000)/100),MOD(INDEX(기본자료!$K$2:$K$1001,$AB292),100)),INDEX(기본자료!$K$2:$K$1001,$AB292)&amp;"")))))</f>
        <v/>
      </c>
      <c r="F292" s="10">
        <f>IF($AB292="","",IF(INDEX(기본자료!$D$2:$D$1001,$AB292)="","",INDEX(기본자료!$D$2:$D$1001,$AB292)))</f>
        <v/>
      </c>
      <c r="G292" s="10">
        <f>IF($AB292="","",IF(INDEX(기본자료!$E$2:$E$1001,$AB292)="","",INDEX(기본자료!$E$2:$E$1001,$AB292)))</f>
        <v/>
      </c>
      <c r="H292" s="10">
        <f>IF($AB292="","",IF(INDEX(기본자료!$F$2:$F$1001,$AB292)="","",INDEX(기본자료!$F$2:$F$1001,$AB292)))</f>
        <v/>
      </c>
      <c r="I292" s="11">
        <f>IF($AB292="","",IF(INDEX(기본자료!$G$2:$G$1001,$AB292)="","",IF(NOT(ISNUMBER(INDEX(기본자료!$G$2:$G$1001,$AB292))),INDEX(기본자료!$G$2:$G$1001,$AB292),IF(INDEX(기본자료!$G$2:$G$1001,$AB292)&lt;1000000,INDEX(기본자료!$G$2:$G$1001,$AB292),IF(AND(INDEX(기본자료!$G$2:$G$1001,$AB292)&gt;=10000101,INT(MOD(INDEX(기본자료!$G$2:$G$1001,$AB292),10000)/100)&gt;=1,INT(MOD(INDEX(기본자료!$G$2:$G$1001,$AB292),10000)/100)&lt;=12,MOD(INDEX(기본자료!$G$2:$G$1001,$AB292),100)&gt;=1,MOD(INDEX(기본자료!$G$2:$G$1001,$AB292),100)&lt;=31),DATE(INT(INDEX(기본자료!$G$2:$G$1001,$AB292)/10000),INT(MOD(INDEX(기본자료!$G$2:$G$1001,$AB292),10000)/100),MOD(INDEX(기본자료!$G$2:$G$1001,$AB292),100)),INDEX(기본자료!$G$2:$G$1001,$AB292)&amp;"")))))</f>
        <v/>
      </c>
      <c r="J292" s="10">
        <f>IF($AB292="","",IF(INDEX(기본자료!$H$2:$H$1001,$AB292)="","",INDEX(기본자료!$H$2:$H$1001,$AB292)))</f>
        <v/>
      </c>
      <c r="K292" s="10">
        <f>IF($AB292="","",IF(INDEX(기본자료!$I$2:$I$1001,$AB292)="","",INDEX(기본자료!$I$2:$I$1001,$AB292)))</f>
        <v/>
      </c>
      <c r="L292" s="10">
        <f>IF($AB292="","",IF(INDEX(기본자료!$A$2:$A$1001,$AB292)="","",INDEX(기본자료!$A$2:$A$1001,$AB292)))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파견수련계획!$AB$4:$AB$803,$AK292),OR(NOT(ISNUMBER(INDEX(파견수련계획!$AC$4:$AC$803,$AK292))),TODAY()&lt;=INDEX(파견수련계획!$AC$4:$AC$803,$AK292))),"다기관",IF($AF292="","",INDEX(파견수련계획!$T$4:$T$803,$AF292))),IF($AF292="","",INDEX(파견수련계획!$T$4:$T$803,$AF292))))</f>
        <v/>
      </c>
      <c r="Q292" s="10">
        <f>IF($AF292="","",INDEX(파견수련계획!$S$4:$S$803,$AF292))</f>
        <v/>
      </c>
      <c r="R292" s="10">
        <f>IF($AF292="","",INDEX(파견수련계획!$U$4:$U$803,$AF292))</f>
        <v/>
      </c>
      <c r="S292" s="11">
        <f>IF($AF292="","",IF(INDEX(파견수련계획!$H$4:$H$803,$AF292)="","",INDEX(파견수련계획!$H$4:$H$803,$AF292)))</f>
        <v/>
      </c>
      <c r="T292" s="11">
        <f>IF($AF292="","",IF(INDEX(파견수련계획!$I$4:$I$803,$AF292)="","",INDEX(파견수련계획!$I$4:$I$803,$AF292)))</f>
        <v/>
      </c>
      <c r="U292" s="10">
        <f>IF($AF292="","",INDEX(파견수련계획!$X$4:$X$803,$AF292))</f>
        <v/>
      </c>
      <c r="V292" s="17">
        <f>IF($AF292="","",INDEX(파견수련계획!$V$4:$V$803,$AF292))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IF(OR($B292="",TRIM($J292&amp;"")=""),"",SUMPRODUCT((파견수련계획!$Q$4:$Q$803=TRIM($J292&amp;""))*파견수련계획!$W$4:$W$803))</f>
        <v/>
      </c>
      <c r="Y292" s="10">
        <f>IF($B292="","",IF($AG292="","",IF(IF(TRIM($J292&amp;"")="",0,SUMPRODUCT((파견수련계획!$Q$4:$Q$803=TRIM($J292&amp;""))*파견수련계획!$AD$4:$AD$803))&gt;0,$AE292,IF(N($X292)&lt;=0,$AG292,IF($AH292+$AI292=DAY(EOMONTH(요약!$B$3,0)),IF(AND($AH292&gt;=요약!$E$3,$AI292&lt;요약!$E$3),"서울병원",IF(AND($AI292&gt;=요약!$E$3,$AH292&lt;요약!$E$3),"구리병원","⚠15일 판정불가(서울 "&amp;$AH292&amp;"일/구리 "&amp;$AI292&amp;"일)")),IF($AJ292="",$AE292,IF(INDEX(파견수련계획!$T$4:$T$803,$AJ292)="통합수련",INDEX(파견수련계획!$S$4:$S$803,$AJ292),$AE292)))))))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입력",IF(IF(TRIM($J292&amp;"")="",0,SUMPRODUCT((파견수련계획!$Q$4:$Q$803=TRIM($J292&amp;""))*(파견수련계획!$AA$4:$AA$803&lt;&gt;"")))&gt;0,"파견수련계획 입력오류 확인",IF(LEFT($Y292,1)="⚠","서울·구리 15일 판정 불가(양쪽 모두 이상/미만)",IF(IF($AC292="",0,N(INDEX(인턴근무계획!$T$3:$T$402,$AC292)))&gt;0,"인턴계획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IF($B292="","",IFERROR(MATCH($B292,기본자료!$B$2:$B$1001,0),IFERROR(MATCH($B292&amp;"",기본자료!$B$2:$B$1001,0),IFERROR(MATCH(VALUE($B292),기본자료!$B$2:$B$1001,0),""))))</f>
        <v/>
      </c>
      <c r="AC292" s="10">
        <f>IF($B292="","",IFERROR(MATCH($B292,인턴근무계획!$D$3:$D$402,0),IFERROR(MATCH($B292&amp;"",인턴근무계획!$D$3:$D$402,0),IFERROR(MATCH(VALUE($B292),인턴근무계획!$D$3:$D$402,0),""))))</f>
        <v/>
      </c>
      <c r="AD292" s="10">
        <f>IF(OR($AC292="",인턴현황!$G$3=""),"",INDEX(인턴근무계획!$M$3:$R$402,$AC292,인턴현황!$G$3)&amp;"")</f>
        <v/>
      </c>
      <c r="AE292" s="10">
        <f>IF($B292="","",IF($M292&lt;&gt;"",$M292,IF($AF292&lt;&gt;"",IF(LEFT(INDEX(파견수련계획!$R$4:$R$803,$AF292),1)&lt;&gt;"⚠",INDEX(파견수련계획!$R$4:$R$803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파견수련계획!$Y$4:$Y$803,0),IFERROR(MATCH(TRIM($J292&amp;"")&amp;"|파견예정",파견수련계획!$Y$4:$Y$803,0),IFERROR(MATCH(TRIM($J292&amp;"")&amp;"|파견종료",파견수련계획!$Y$4:$Y$803,0),""))))</f>
        <v/>
      </c>
      <c r="AG292" s="10">
        <f>IF($B292="","",IF(AND(IF(OR($AC292="",인턴현황!$K$2=""),"",INDEX(인턴근무계획!$M$3:$R$402,$AC292,인턴현황!$K$2)&amp;"")&lt;&gt;"",LEFT(IF(OR($AC292="",인턴현황!$K$2=""),"",INDEX(인턴근무계획!$M$3:$R$402,$AC292,인턴현황!$K$2)&amp;""),1)&lt;&gt;"⚠"),LEFT(IF(OR($AC292="",인턴현황!$K$2=""),"",INDEX(인턴근무계획!$M$3:$R$402,$AC292,인턴현황!$K$2)&amp;""),FIND(" ",IF(OR($AC292="",인턴현황!$K$2=""),"",INDEX(인턴근무계획!$M$3:$R$402,$AC292,인턴현황!$K$2)&amp;""))-1),$AE292))</f>
        <v/>
      </c>
      <c r="AH292" s="17">
        <f>IF($B292="","",IF(TRIM($J292&amp;"")="",0,SUMPRODUCT((파견수련계획!$Q$4:$Q$803=TRIM($J292&amp;""))*(파견수련계획!$S$4:$S$803="서울병원")*파견수련계획!$W$4:$W$803))+IF($AG292="서울병원",MAX(0,DAY(EOMONTH(요약!$B$3,0))-N($X292)),0))</f>
        <v/>
      </c>
      <c r="AI292" s="17">
        <f>IF($B292="","",IF(TRIM($J292&amp;"")="",0,SUMPRODUCT((파견수련계획!$Q$4:$Q$803=TRIM($J292&amp;""))*(파견수련계획!$S$4:$S$803="구리병원")*파견수련계획!$W$4:$W$803))+IF($AG292="구리병원",MAX(0,DAY(EOMONTH(요약!$B$3,0))-N($X292)),0))</f>
        <v/>
      </c>
      <c r="AJ292" s="10">
        <f>IF(OR($B292="",TRIM($J292&amp;"")=""),"",IFERROR(MATCH(TRIM($J292&amp;"")&amp;"|월",파견수련계획!$Z$4:$Z$803,0),""))</f>
        <v/>
      </c>
      <c r="AK292" s="10">
        <f>IF(OR($B292="",TRIM($J292&amp;"")=""),"",IFERROR(MATCH(TRIM($J292&amp;"")&amp;"|다기관",파견수련계획!$AE$4:$AE$803,0),""))</f>
        <v/>
      </c>
      <c r="AL292" s="10">
        <f>IF($AK292="","","다기관 "&amp;TEXT(INDEX(파견수련계획!$AB$4:$AB$803,$AK292),"yyyy-mm-dd")&amp;"~"&amp;IF(ISNUMBER(INDEX(파견수련계획!$AC$4:$AC$803,$AK292)),TEXT(INDEX(파견수련계획!$AC$4:$AC$803,$AK292),"yyyy-mm-dd"),""))</f>
        <v/>
      </c>
    </row>
    <row r="293">
      <c r="A293" s="10">
        <f>IF(B293="","",ROW()-1)</f>
        <v/>
      </c>
      <c r="B293" s="18" t="n"/>
      <c r="C293" s="10">
        <f>IF($AB293="","",IF(INDEX(기본자료!$C$2:$C$1001,$AB293)="","",INDEX(기본자료!$C$2:$C$1001,$AB293)))</f>
        <v/>
      </c>
      <c r="D293" s="10">
        <f>IF($AB293="","",IF(INDEX(기본자료!$J$2:$J$1001,$AB293)="","",INDEX(기본자료!$J$2:$J$1001,$AB293)))</f>
        <v/>
      </c>
      <c r="E293" s="11">
        <f>IF($AB293="","",IF(INDEX(기본자료!$K$2:$K$1001,$AB293)="","",IF(NOT(ISNUMBER(INDEX(기본자료!$K$2:$K$1001,$AB293))),INDEX(기본자료!$K$2:$K$1001,$AB293),IF(INDEX(기본자료!$K$2:$K$1001,$AB293)&lt;1000000,INDEX(기본자료!$K$2:$K$1001,$AB293),IF(AND(INDEX(기본자료!$K$2:$K$1001,$AB293)&gt;=10000101,INT(MOD(INDEX(기본자료!$K$2:$K$1001,$AB293),10000)/100)&gt;=1,INT(MOD(INDEX(기본자료!$K$2:$K$1001,$AB293),10000)/100)&lt;=12,MOD(INDEX(기본자료!$K$2:$K$1001,$AB293),100)&gt;=1,MOD(INDEX(기본자료!$K$2:$K$1001,$AB293),100)&lt;=31),DATE(INT(INDEX(기본자료!$K$2:$K$1001,$AB293)/10000),INT(MOD(INDEX(기본자료!$K$2:$K$1001,$AB293),10000)/100),MOD(INDEX(기본자료!$K$2:$K$1001,$AB293),100)),INDEX(기본자료!$K$2:$K$1001,$AB293)&amp;"")))))</f>
        <v/>
      </c>
      <c r="F293" s="10">
        <f>IF($AB293="","",IF(INDEX(기본자료!$D$2:$D$1001,$AB293)="","",INDEX(기본자료!$D$2:$D$1001,$AB293)))</f>
        <v/>
      </c>
      <c r="G293" s="10">
        <f>IF($AB293="","",IF(INDEX(기본자료!$E$2:$E$1001,$AB293)="","",INDEX(기본자료!$E$2:$E$1001,$AB293)))</f>
        <v/>
      </c>
      <c r="H293" s="10">
        <f>IF($AB293="","",IF(INDEX(기본자료!$F$2:$F$1001,$AB293)="","",INDEX(기본자료!$F$2:$F$1001,$AB293)))</f>
        <v/>
      </c>
      <c r="I293" s="11">
        <f>IF($AB293="","",IF(INDEX(기본자료!$G$2:$G$1001,$AB293)="","",IF(NOT(ISNUMBER(INDEX(기본자료!$G$2:$G$1001,$AB293))),INDEX(기본자료!$G$2:$G$1001,$AB293),IF(INDEX(기본자료!$G$2:$G$1001,$AB293)&lt;1000000,INDEX(기본자료!$G$2:$G$1001,$AB293),IF(AND(INDEX(기본자료!$G$2:$G$1001,$AB293)&gt;=10000101,INT(MOD(INDEX(기본자료!$G$2:$G$1001,$AB293),10000)/100)&gt;=1,INT(MOD(INDEX(기본자료!$G$2:$G$1001,$AB293),10000)/100)&lt;=12,MOD(INDEX(기본자료!$G$2:$G$1001,$AB293),100)&gt;=1,MOD(INDEX(기본자료!$G$2:$G$1001,$AB293),100)&lt;=31),DATE(INT(INDEX(기본자료!$G$2:$G$1001,$AB293)/10000),INT(MOD(INDEX(기본자료!$G$2:$G$1001,$AB293),10000)/100),MOD(INDEX(기본자료!$G$2:$G$1001,$AB293),100)),INDEX(기본자료!$G$2:$G$1001,$AB293)&amp;"")))))</f>
        <v/>
      </c>
      <c r="J293" s="10">
        <f>IF($AB293="","",IF(INDEX(기본자료!$H$2:$H$1001,$AB293)="","",INDEX(기본자료!$H$2:$H$1001,$AB293)))</f>
        <v/>
      </c>
      <c r="K293" s="10">
        <f>IF($AB293="","",IF(INDEX(기본자료!$I$2:$I$1001,$AB293)="","",INDEX(기본자료!$I$2:$I$1001,$AB293)))</f>
        <v/>
      </c>
      <c r="L293" s="10">
        <f>IF($AB293="","",IF(INDEX(기본자료!$A$2:$A$1001,$AB293)="","",INDEX(기본자료!$A$2:$A$1001,$AB293)))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파견수련계획!$AB$4:$AB$803,$AK293),OR(NOT(ISNUMBER(INDEX(파견수련계획!$AC$4:$AC$803,$AK293))),TODAY()&lt;=INDEX(파견수련계획!$AC$4:$AC$803,$AK293))),"다기관",IF($AF293="","",INDEX(파견수련계획!$T$4:$T$803,$AF293))),IF($AF293="","",INDEX(파견수련계획!$T$4:$T$803,$AF293))))</f>
        <v/>
      </c>
      <c r="Q293" s="10">
        <f>IF($AF293="","",INDEX(파견수련계획!$S$4:$S$803,$AF293))</f>
        <v/>
      </c>
      <c r="R293" s="10">
        <f>IF($AF293="","",INDEX(파견수련계획!$U$4:$U$803,$AF293))</f>
        <v/>
      </c>
      <c r="S293" s="11">
        <f>IF($AF293="","",IF(INDEX(파견수련계획!$H$4:$H$803,$AF293)="","",INDEX(파견수련계획!$H$4:$H$803,$AF293)))</f>
        <v/>
      </c>
      <c r="T293" s="11">
        <f>IF($AF293="","",IF(INDEX(파견수련계획!$I$4:$I$803,$AF293)="","",INDEX(파견수련계획!$I$4:$I$803,$AF293)))</f>
        <v/>
      </c>
      <c r="U293" s="10">
        <f>IF($AF293="","",INDEX(파견수련계획!$X$4:$X$803,$AF293))</f>
        <v/>
      </c>
      <c r="V293" s="17">
        <f>IF($AF293="","",INDEX(파견수련계획!$V$4:$V$803,$AF293))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IF(OR($B293="",TRIM($J293&amp;"")=""),"",SUMPRODUCT((파견수련계획!$Q$4:$Q$803=TRIM($J293&amp;""))*파견수련계획!$W$4:$W$803))</f>
        <v/>
      </c>
      <c r="Y293" s="10">
        <f>IF($B293="","",IF($AG293="","",IF(IF(TRIM($J293&amp;"")="",0,SUMPRODUCT((파견수련계획!$Q$4:$Q$803=TRIM($J293&amp;""))*파견수련계획!$AD$4:$AD$803))&gt;0,$AE293,IF(N($X293)&lt;=0,$AG293,IF($AH293+$AI293=DAY(EOMONTH(요약!$B$3,0)),IF(AND($AH293&gt;=요약!$E$3,$AI293&lt;요약!$E$3),"서울병원",IF(AND($AI293&gt;=요약!$E$3,$AH293&lt;요약!$E$3),"구리병원","⚠15일 판정불가(서울 "&amp;$AH293&amp;"일/구리 "&amp;$AI293&amp;"일)")),IF($AJ293="",$AE293,IF(INDEX(파견수련계획!$T$4:$T$803,$AJ293)="통합수련",INDEX(파견수련계획!$S$4:$S$803,$AJ293),$AE293)))))))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입력",IF(IF(TRIM($J293&amp;"")="",0,SUMPRODUCT((파견수련계획!$Q$4:$Q$803=TRIM($J293&amp;""))*(파견수련계획!$AA$4:$AA$803&lt;&gt;"")))&gt;0,"파견수련계획 입력오류 확인",IF(LEFT($Y293,1)="⚠","서울·구리 15일 판정 불가(양쪽 모두 이상/미만)",IF(IF($AC293="",0,N(INDEX(인턴근무계획!$T$3:$T$402,$AC293)))&gt;0,"인턴계획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IF($B293="","",IFERROR(MATCH($B293,기본자료!$B$2:$B$1001,0),IFERROR(MATCH($B293&amp;"",기본자료!$B$2:$B$1001,0),IFERROR(MATCH(VALUE($B293),기본자료!$B$2:$B$1001,0),""))))</f>
        <v/>
      </c>
      <c r="AC293" s="10">
        <f>IF($B293="","",IFERROR(MATCH($B293,인턴근무계획!$D$3:$D$402,0),IFERROR(MATCH($B293&amp;"",인턴근무계획!$D$3:$D$402,0),IFERROR(MATCH(VALUE($B293),인턴근무계획!$D$3:$D$402,0),""))))</f>
        <v/>
      </c>
      <c r="AD293" s="10">
        <f>IF(OR($AC293="",인턴현황!$G$3=""),"",INDEX(인턴근무계획!$M$3:$R$402,$AC293,인턴현황!$G$3)&amp;"")</f>
        <v/>
      </c>
      <c r="AE293" s="10">
        <f>IF($B293="","",IF($M293&lt;&gt;"",$M293,IF($AF293&lt;&gt;"",IF(LEFT(INDEX(파견수련계획!$R$4:$R$803,$AF293),1)&lt;&gt;"⚠",INDEX(파견수련계획!$R$4:$R$803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파견수련계획!$Y$4:$Y$803,0),IFERROR(MATCH(TRIM($J293&amp;"")&amp;"|파견예정",파견수련계획!$Y$4:$Y$803,0),IFERROR(MATCH(TRIM($J293&amp;"")&amp;"|파견종료",파견수련계획!$Y$4:$Y$803,0),""))))</f>
        <v/>
      </c>
      <c r="AG293" s="10">
        <f>IF($B293="","",IF(AND(IF(OR($AC293="",인턴현황!$K$2=""),"",INDEX(인턴근무계획!$M$3:$R$402,$AC293,인턴현황!$K$2)&amp;"")&lt;&gt;"",LEFT(IF(OR($AC293="",인턴현황!$K$2=""),"",INDEX(인턴근무계획!$M$3:$R$402,$AC293,인턴현황!$K$2)&amp;""),1)&lt;&gt;"⚠"),LEFT(IF(OR($AC293="",인턴현황!$K$2=""),"",INDEX(인턴근무계획!$M$3:$R$402,$AC293,인턴현황!$K$2)&amp;""),FIND(" ",IF(OR($AC293="",인턴현황!$K$2=""),"",INDEX(인턴근무계획!$M$3:$R$402,$AC293,인턴현황!$K$2)&amp;""))-1),$AE293))</f>
        <v/>
      </c>
      <c r="AH293" s="17">
        <f>IF($B293="","",IF(TRIM($J293&amp;"")="",0,SUMPRODUCT((파견수련계획!$Q$4:$Q$803=TRIM($J293&amp;""))*(파견수련계획!$S$4:$S$803="서울병원")*파견수련계획!$W$4:$W$803))+IF($AG293="서울병원",MAX(0,DAY(EOMONTH(요약!$B$3,0))-N($X293)),0))</f>
        <v/>
      </c>
      <c r="AI293" s="17">
        <f>IF($B293="","",IF(TRIM($J293&amp;"")="",0,SUMPRODUCT((파견수련계획!$Q$4:$Q$803=TRIM($J293&amp;""))*(파견수련계획!$S$4:$S$803="구리병원")*파견수련계획!$W$4:$W$803))+IF($AG293="구리병원",MAX(0,DAY(EOMONTH(요약!$B$3,0))-N($X293)),0))</f>
        <v/>
      </c>
      <c r="AJ293" s="10">
        <f>IF(OR($B293="",TRIM($J293&amp;"")=""),"",IFERROR(MATCH(TRIM($J293&amp;"")&amp;"|월",파견수련계획!$Z$4:$Z$803,0),""))</f>
        <v/>
      </c>
      <c r="AK293" s="10">
        <f>IF(OR($B293="",TRIM($J293&amp;"")=""),"",IFERROR(MATCH(TRIM($J293&amp;"")&amp;"|다기관",파견수련계획!$AE$4:$AE$803,0),""))</f>
        <v/>
      </c>
      <c r="AL293" s="10">
        <f>IF($AK293="","","다기관 "&amp;TEXT(INDEX(파견수련계획!$AB$4:$AB$803,$AK293),"yyyy-mm-dd")&amp;"~"&amp;IF(ISNUMBER(INDEX(파견수련계획!$AC$4:$AC$803,$AK293)),TEXT(INDEX(파견수련계획!$AC$4:$AC$803,$AK293),"yyyy-mm-dd"),""))</f>
        <v/>
      </c>
    </row>
    <row r="294">
      <c r="A294" s="10">
        <f>IF(B294="","",ROW()-1)</f>
        <v/>
      </c>
      <c r="B294" s="18" t="n"/>
      <c r="C294" s="10">
        <f>IF($AB294="","",IF(INDEX(기본자료!$C$2:$C$1001,$AB294)="","",INDEX(기본자료!$C$2:$C$1001,$AB294)))</f>
        <v/>
      </c>
      <c r="D294" s="10">
        <f>IF($AB294="","",IF(INDEX(기본자료!$J$2:$J$1001,$AB294)="","",INDEX(기본자료!$J$2:$J$1001,$AB294)))</f>
        <v/>
      </c>
      <c r="E294" s="11">
        <f>IF($AB294="","",IF(INDEX(기본자료!$K$2:$K$1001,$AB294)="","",IF(NOT(ISNUMBER(INDEX(기본자료!$K$2:$K$1001,$AB294))),INDEX(기본자료!$K$2:$K$1001,$AB294),IF(INDEX(기본자료!$K$2:$K$1001,$AB294)&lt;1000000,INDEX(기본자료!$K$2:$K$1001,$AB294),IF(AND(INDEX(기본자료!$K$2:$K$1001,$AB294)&gt;=10000101,INT(MOD(INDEX(기본자료!$K$2:$K$1001,$AB294),10000)/100)&gt;=1,INT(MOD(INDEX(기본자료!$K$2:$K$1001,$AB294),10000)/100)&lt;=12,MOD(INDEX(기본자료!$K$2:$K$1001,$AB294),100)&gt;=1,MOD(INDEX(기본자료!$K$2:$K$1001,$AB294),100)&lt;=31),DATE(INT(INDEX(기본자료!$K$2:$K$1001,$AB294)/10000),INT(MOD(INDEX(기본자료!$K$2:$K$1001,$AB294),10000)/100),MOD(INDEX(기본자료!$K$2:$K$1001,$AB294),100)),INDEX(기본자료!$K$2:$K$1001,$AB294)&amp;"")))))</f>
        <v/>
      </c>
      <c r="F294" s="10">
        <f>IF($AB294="","",IF(INDEX(기본자료!$D$2:$D$1001,$AB294)="","",INDEX(기본자료!$D$2:$D$1001,$AB294)))</f>
        <v/>
      </c>
      <c r="G294" s="10">
        <f>IF($AB294="","",IF(INDEX(기본자료!$E$2:$E$1001,$AB294)="","",INDEX(기본자료!$E$2:$E$1001,$AB294)))</f>
        <v/>
      </c>
      <c r="H294" s="10">
        <f>IF($AB294="","",IF(INDEX(기본자료!$F$2:$F$1001,$AB294)="","",INDEX(기본자료!$F$2:$F$1001,$AB294)))</f>
        <v/>
      </c>
      <c r="I294" s="11">
        <f>IF($AB294="","",IF(INDEX(기본자료!$G$2:$G$1001,$AB294)="","",IF(NOT(ISNUMBER(INDEX(기본자료!$G$2:$G$1001,$AB294))),INDEX(기본자료!$G$2:$G$1001,$AB294),IF(INDEX(기본자료!$G$2:$G$1001,$AB294)&lt;1000000,INDEX(기본자료!$G$2:$G$1001,$AB294),IF(AND(INDEX(기본자료!$G$2:$G$1001,$AB294)&gt;=10000101,INT(MOD(INDEX(기본자료!$G$2:$G$1001,$AB294),10000)/100)&gt;=1,INT(MOD(INDEX(기본자료!$G$2:$G$1001,$AB294),10000)/100)&lt;=12,MOD(INDEX(기본자료!$G$2:$G$1001,$AB294),100)&gt;=1,MOD(INDEX(기본자료!$G$2:$G$1001,$AB294),100)&lt;=31),DATE(INT(INDEX(기본자료!$G$2:$G$1001,$AB294)/10000),INT(MOD(INDEX(기본자료!$G$2:$G$1001,$AB294),10000)/100),MOD(INDEX(기본자료!$G$2:$G$1001,$AB294),100)),INDEX(기본자료!$G$2:$G$1001,$AB294)&amp;"")))))</f>
        <v/>
      </c>
      <c r="J294" s="10">
        <f>IF($AB294="","",IF(INDEX(기본자료!$H$2:$H$1001,$AB294)="","",INDEX(기본자료!$H$2:$H$1001,$AB294)))</f>
        <v/>
      </c>
      <c r="K294" s="10">
        <f>IF($AB294="","",IF(INDEX(기본자료!$I$2:$I$1001,$AB294)="","",INDEX(기본자료!$I$2:$I$1001,$AB294)))</f>
        <v/>
      </c>
      <c r="L294" s="10">
        <f>IF($AB294="","",IF(INDEX(기본자료!$A$2:$A$1001,$AB294)="","",INDEX(기본자료!$A$2:$A$1001,$AB294)))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파견수련계획!$AB$4:$AB$803,$AK294),OR(NOT(ISNUMBER(INDEX(파견수련계획!$AC$4:$AC$803,$AK294))),TODAY()&lt;=INDEX(파견수련계획!$AC$4:$AC$803,$AK294))),"다기관",IF($AF294="","",INDEX(파견수련계획!$T$4:$T$803,$AF294))),IF($AF294="","",INDEX(파견수련계획!$T$4:$T$803,$AF294))))</f>
        <v/>
      </c>
      <c r="Q294" s="10">
        <f>IF($AF294="","",INDEX(파견수련계획!$S$4:$S$803,$AF294))</f>
        <v/>
      </c>
      <c r="R294" s="10">
        <f>IF($AF294="","",INDEX(파견수련계획!$U$4:$U$803,$AF294))</f>
        <v/>
      </c>
      <c r="S294" s="11">
        <f>IF($AF294="","",IF(INDEX(파견수련계획!$H$4:$H$803,$AF294)="","",INDEX(파견수련계획!$H$4:$H$803,$AF294)))</f>
        <v/>
      </c>
      <c r="T294" s="11">
        <f>IF($AF294="","",IF(INDEX(파견수련계획!$I$4:$I$803,$AF294)="","",INDEX(파견수련계획!$I$4:$I$803,$AF294)))</f>
        <v/>
      </c>
      <c r="U294" s="10">
        <f>IF($AF294="","",INDEX(파견수련계획!$X$4:$X$803,$AF294))</f>
        <v/>
      </c>
      <c r="V294" s="17">
        <f>IF($AF294="","",INDEX(파견수련계획!$V$4:$V$803,$AF294))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IF(OR($B294="",TRIM($J294&amp;"")=""),"",SUMPRODUCT((파견수련계획!$Q$4:$Q$803=TRIM($J294&amp;""))*파견수련계획!$W$4:$W$803))</f>
        <v/>
      </c>
      <c r="Y294" s="10">
        <f>IF($B294="","",IF($AG294="","",IF(IF(TRIM($J294&amp;"")="",0,SUMPRODUCT((파견수련계획!$Q$4:$Q$803=TRIM($J294&amp;""))*파견수련계획!$AD$4:$AD$803))&gt;0,$AE294,IF(N($X294)&lt;=0,$AG294,IF($AH294+$AI294=DAY(EOMONTH(요약!$B$3,0)),IF(AND($AH294&gt;=요약!$E$3,$AI294&lt;요약!$E$3),"서울병원",IF(AND($AI294&gt;=요약!$E$3,$AH294&lt;요약!$E$3),"구리병원","⚠15일 판정불가(서울 "&amp;$AH294&amp;"일/구리 "&amp;$AI294&amp;"일)")),IF($AJ294="",$AE294,IF(INDEX(파견수련계획!$T$4:$T$803,$AJ294)="통합수련",INDEX(파견수련계획!$S$4:$S$803,$AJ294),$AE294)))))))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입력",IF(IF(TRIM($J294&amp;"")="",0,SUMPRODUCT((파견수련계획!$Q$4:$Q$803=TRIM($J294&amp;""))*(파견수련계획!$AA$4:$AA$803&lt;&gt;"")))&gt;0,"파견수련계획 입력오류 확인",IF(LEFT($Y294,1)="⚠","서울·구리 15일 판정 불가(양쪽 모두 이상/미만)",IF(IF($AC294="",0,N(INDEX(인턴근무계획!$T$3:$T$402,$AC294)))&gt;0,"인턴계획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IF($B294="","",IFERROR(MATCH($B294,기본자료!$B$2:$B$1001,0),IFERROR(MATCH($B294&amp;"",기본자료!$B$2:$B$1001,0),IFERROR(MATCH(VALUE($B294),기본자료!$B$2:$B$1001,0),""))))</f>
        <v/>
      </c>
      <c r="AC294" s="10">
        <f>IF($B294="","",IFERROR(MATCH($B294,인턴근무계획!$D$3:$D$402,0),IFERROR(MATCH($B294&amp;"",인턴근무계획!$D$3:$D$402,0),IFERROR(MATCH(VALUE($B294),인턴근무계획!$D$3:$D$402,0),""))))</f>
        <v/>
      </c>
      <c r="AD294" s="10">
        <f>IF(OR($AC294="",인턴현황!$G$3=""),"",INDEX(인턴근무계획!$M$3:$R$402,$AC294,인턴현황!$G$3)&amp;"")</f>
        <v/>
      </c>
      <c r="AE294" s="10">
        <f>IF($B294="","",IF($M294&lt;&gt;"",$M294,IF($AF294&lt;&gt;"",IF(LEFT(INDEX(파견수련계획!$R$4:$R$803,$AF294),1)&lt;&gt;"⚠",INDEX(파견수련계획!$R$4:$R$803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파견수련계획!$Y$4:$Y$803,0),IFERROR(MATCH(TRIM($J294&amp;"")&amp;"|파견예정",파견수련계획!$Y$4:$Y$803,0),IFERROR(MATCH(TRIM($J294&amp;"")&amp;"|파견종료",파견수련계획!$Y$4:$Y$803,0),""))))</f>
        <v/>
      </c>
      <c r="AG294" s="10">
        <f>IF($B294="","",IF(AND(IF(OR($AC294="",인턴현황!$K$2=""),"",INDEX(인턴근무계획!$M$3:$R$402,$AC294,인턴현황!$K$2)&amp;"")&lt;&gt;"",LEFT(IF(OR($AC294="",인턴현황!$K$2=""),"",INDEX(인턴근무계획!$M$3:$R$402,$AC294,인턴현황!$K$2)&amp;""),1)&lt;&gt;"⚠"),LEFT(IF(OR($AC294="",인턴현황!$K$2=""),"",INDEX(인턴근무계획!$M$3:$R$402,$AC294,인턴현황!$K$2)&amp;""),FIND(" ",IF(OR($AC294="",인턴현황!$K$2=""),"",INDEX(인턴근무계획!$M$3:$R$402,$AC294,인턴현황!$K$2)&amp;""))-1),$AE294))</f>
        <v/>
      </c>
      <c r="AH294" s="17">
        <f>IF($B294="","",IF(TRIM($J294&amp;"")="",0,SUMPRODUCT((파견수련계획!$Q$4:$Q$803=TRIM($J294&amp;""))*(파견수련계획!$S$4:$S$803="서울병원")*파견수련계획!$W$4:$W$803))+IF($AG294="서울병원",MAX(0,DAY(EOMONTH(요약!$B$3,0))-N($X294)),0))</f>
        <v/>
      </c>
      <c r="AI294" s="17">
        <f>IF($B294="","",IF(TRIM($J294&amp;"")="",0,SUMPRODUCT((파견수련계획!$Q$4:$Q$803=TRIM($J294&amp;""))*(파견수련계획!$S$4:$S$803="구리병원")*파견수련계획!$W$4:$W$803))+IF($AG294="구리병원",MAX(0,DAY(EOMONTH(요약!$B$3,0))-N($X294)),0))</f>
        <v/>
      </c>
      <c r="AJ294" s="10">
        <f>IF(OR($B294="",TRIM($J294&amp;"")=""),"",IFERROR(MATCH(TRIM($J294&amp;"")&amp;"|월",파견수련계획!$Z$4:$Z$803,0),""))</f>
        <v/>
      </c>
      <c r="AK294" s="10">
        <f>IF(OR($B294="",TRIM($J294&amp;"")=""),"",IFERROR(MATCH(TRIM($J294&amp;"")&amp;"|다기관",파견수련계획!$AE$4:$AE$803,0),""))</f>
        <v/>
      </c>
      <c r="AL294" s="10">
        <f>IF($AK294="","","다기관 "&amp;TEXT(INDEX(파견수련계획!$AB$4:$AB$803,$AK294),"yyyy-mm-dd")&amp;"~"&amp;IF(ISNUMBER(INDEX(파견수련계획!$AC$4:$AC$803,$AK294)),TEXT(INDEX(파견수련계획!$AC$4:$AC$803,$AK294),"yyyy-mm-dd"),""))</f>
        <v/>
      </c>
    </row>
    <row r="295">
      <c r="A295" s="10">
        <f>IF(B295="","",ROW()-1)</f>
        <v/>
      </c>
      <c r="B295" s="18" t="n"/>
      <c r="C295" s="10">
        <f>IF($AB295="","",IF(INDEX(기본자료!$C$2:$C$1001,$AB295)="","",INDEX(기본자료!$C$2:$C$1001,$AB295)))</f>
        <v/>
      </c>
      <c r="D295" s="10">
        <f>IF($AB295="","",IF(INDEX(기본자료!$J$2:$J$1001,$AB295)="","",INDEX(기본자료!$J$2:$J$1001,$AB295)))</f>
        <v/>
      </c>
      <c r="E295" s="11">
        <f>IF($AB295="","",IF(INDEX(기본자료!$K$2:$K$1001,$AB295)="","",IF(NOT(ISNUMBER(INDEX(기본자료!$K$2:$K$1001,$AB295))),INDEX(기본자료!$K$2:$K$1001,$AB295),IF(INDEX(기본자료!$K$2:$K$1001,$AB295)&lt;1000000,INDEX(기본자료!$K$2:$K$1001,$AB295),IF(AND(INDEX(기본자료!$K$2:$K$1001,$AB295)&gt;=10000101,INT(MOD(INDEX(기본자료!$K$2:$K$1001,$AB295),10000)/100)&gt;=1,INT(MOD(INDEX(기본자료!$K$2:$K$1001,$AB295),10000)/100)&lt;=12,MOD(INDEX(기본자료!$K$2:$K$1001,$AB295),100)&gt;=1,MOD(INDEX(기본자료!$K$2:$K$1001,$AB295),100)&lt;=31),DATE(INT(INDEX(기본자료!$K$2:$K$1001,$AB295)/10000),INT(MOD(INDEX(기본자료!$K$2:$K$1001,$AB295),10000)/100),MOD(INDEX(기본자료!$K$2:$K$1001,$AB295),100)),INDEX(기본자료!$K$2:$K$1001,$AB295)&amp;"")))))</f>
        <v/>
      </c>
      <c r="F295" s="10">
        <f>IF($AB295="","",IF(INDEX(기본자료!$D$2:$D$1001,$AB295)="","",INDEX(기본자료!$D$2:$D$1001,$AB295)))</f>
        <v/>
      </c>
      <c r="G295" s="10">
        <f>IF($AB295="","",IF(INDEX(기본자료!$E$2:$E$1001,$AB295)="","",INDEX(기본자료!$E$2:$E$1001,$AB295)))</f>
        <v/>
      </c>
      <c r="H295" s="10">
        <f>IF($AB295="","",IF(INDEX(기본자료!$F$2:$F$1001,$AB295)="","",INDEX(기본자료!$F$2:$F$1001,$AB295)))</f>
        <v/>
      </c>
      <c r="I295" s="11">
        <f>IF($AB295="","",IF(INDEX(기본자료!$G$2:$G$1001,$AB295)="","",IF(NOT(ISNUMBER(INDEX(기본자료!$G$2:$G$1001,$AB295))),INDEX(기본자료!$G$2:$G$1001,$AB295),IF(INDEX(기본자료!$G$2:$G$1001,$AB295)&lt;1000000,INDEX(기본자료!$G$2:$G$1001,$AB295),IF(AND(INDEX(기본자료!$G$2:$G$1001,$AB295)&gt;=10000101,INT(MOD(INDEX(기본자료!$G$2:$G$1001,$AB295),10000)/100)&gt;=1,INT(MOD(INDEX(기본자료!$G$2:$G$1001,$AB295),10000)/100)&lt;=12,MOD(INDEX(기본자료!$G$2:$G$1001,$AB295),100)&gt;=1,MOD(INDEX(기본자료!$G$2:$G$1001,$AB295),100)&lt;=31),DATE(INT(INDEX(기본자료!$G$2:$G$1001,$AB295)/10000),INT(MOD(INDEX(기본자료!$G$2:$G$1001,$AB295),10000)/100),MOD(INDEX(기본자료!$G$2:$G$1001,$AB295),100)),INDEX(기본자료!$G$2:$G$1001,$AB295)&amp;"")))))</f>
        <v/>
      </c>
      <c r="J295" s="10">
        <f>IF($AB295="","",IF(INDEX(기본자료!$H$2:$H$1001,$AB295)="","",INDEX(기본자료!$H$2:$H$1001,$AB295)))</f>
        <v/>
      </c>
      <c r="K295" s="10">
        <f>IF($AB295="","",IF(INDEX(기본자료!$I$2:$I$1001,$AB295)="","",INDEX(기본자료!$I$2:$I$1001,$AB295)))</f>
        <v/>
      </c>
      <c r="L295" s="10">
        <f>IF($AB295="","",IF(INDEX(기본자료!$A$2:$A$1001,$AB295)="","",INDEX(기본자료!$A$2:$A$1001,$AB295)))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파견수련계획!$AB$4:$AB$803,$AK295),OR(NOT(ISNUMBER(INDEX(파견수련계획!$AC$4:$AC$803,$AK295))),TODAY()&lt;=INDEX(파견수련계획!$AC$4:$AC$803,$AK295))),"다기관",IF($AF295="","",INDEX(파견수련계획!$T$4:$T$803,$AF295))),IF($AF295="","",INDEX(파견수련계획!$T$4:$T$803,$AF295))))</f>
        <v/>
      </c>
      <c r="Q295" s="10">
        <f>IF($AF295="","",INDEX(파견수련계획!$S$4:$S$803,$AF295))</f>
        <v/>
      </c>
      <c r="R295" s="10">
        <f>IF($AF295="","",INDEX(파견수련계획!$U$4:$U$803,$AF295))</f>
        <v/>
      </c>
      <c r="S295" s="11">
        <f>IF($AF295="","",IF(INDEX(파견수련계획!$H$4:$H$803,$AF295)="","",INDEX(파견수련계획!$H$4:$H$803,$AF295)))</f>
        <v/>
      </c>
      <c r="T295" s="11">
        <f>IF($AF295="","",IF(INDEX(파견수련계획!$I$4:$I$803,$AF295)="","",INDEX(파견수련계획!$I$4:$I$803,$AF295)))</f>
        <v/>
      </c>
      <c r="U295" s="10">
        <f>IF($AF295="","",INDEX(파견수련계획!$X$4:$X$803,$AF295))</f>
        <v/>
      </c>
      <c r="V295" s="17">
        <f>IF($AF295="","",INDEX(파견수련계획!$V$4:$V$803,$AF295))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IF(OR($B295="",TRIM($J295&amp;"")=""),"",SUMPRODUCT((파견수련계획!$Q$4:$Q$803=TRIM($J295&amp;""))*파견수련계획!$W$4:$W$803))</f>
        <v/>
      </c>
      <c r="Y295" s="10">
        <f>IF($B295="","",IF($AG295="","",IF(IF(TRIM($J295&amp;"")="",0,SUMPRODUCT((파견수련계획!$Q$4:$Q$803=TRIM($J295&amp;""))*파견수련계획!$AD$4:$AD$803))&gt;0,$AE295,IF(N($X295)&lt;=0,$AG295,IF($AH295+$AI295=DAY(EOMONTH(요약!$B$3,0)),IF(AND($AH295&gt;=요약!$E$3,$AI295&lt;요약!$E$3),"서울병원",IF(AND($AI295&gt;=요약!$E$3,$AH295&lt;요약!$E$3),"구리병원","⚠15일 판정불가(서울 "&amp;$AH295&amp;"일/구리 "&amp;$AI295&amp;"일)")),IF($AJ295="",$AE295,IF(INDEX(파견수련계획!$T$4:$T$803,$AJ295)="통합수련",INDEX(파견수련계획!$S$4:$S$803,$AJ295),$AE295)))))))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입력",IF(IF(TRIM($J295&amp;"")="",0,SUMPRODUCT((파견수련계획!$Q$4:$Q$803=TRIM($J295&amp;""))*(파견수련계획!$AA$4:$AA$803&lt;&gt;"")))&gt;0,"파견수련계획 입력오류 확인",IF(LEFT($Y295,1)="⚠","서울·구리 15일 판정 불가(양쪽 모두 이상/미만)",IF(IF($AC295="",0,N(INDEX(인턴근무계획!$T$3:$T$402,$AC295)))&gt;0,"인턴계획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IF($B295="","",IFERROR(MATCH($B295,기본자료!$B$2:$B$1001,0),IFERROR(MATCH($B295&amp;"",기본자료!$B$2:$B$1001,0),IFERROR(MATCH(VALUE($B295),기본자료!$B$2:$B$1001,0),""))))</f>
        <v/>
      </c>
      <c r="AC295" s="10">
        <f>IF($B295="","",IFERROR(MATCH($B295,인턴근무계획!$D$3:$D$402,0),IFERROR(MATCH($B295&amp;"",인턴근무계획!$D$3:$D$402,0),IFERROR(MATCH(VALUE($B295),인턴근무계획!$D$3:$D$402,0),""))))</f>
        <v/>
      </c>
      <c r="AD295" s="10">
        <f>IF(OR($AC295="",인턴현황!$G$3=""),"",INDEX(인턴근무계획!$M$3:$R$402,$AC295,인턴현황!$G$3)&amp;"")</f>
        <v/>
      </c>
      <c r="AE295" s="10">
        <f>IF($B295="","",IF($M295&lt;&gt;"",$M295,IF($AF295&lt;&gt;"",IF(LEFT(INDEX(파견수련계획!$R$4:$R$803,$AF295),1)&lt;&gt;"⚠",INDEX(파견수련계획!$R$4:$R$803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파견수련계획!$Y$4:$Y$803,0),IFERROR(MATCH(TRIM($J295&amp;"")&amp;"|파견예정",파견수련계획!$Y$4:$Y$803,0),IFERROR(MATCH(TRIM($J295&amp;"")&amp;"|파견종료",파견수련계획!$Y$4:$Y$803,0),""))))</f>
        <v/>
      </c>
      <c r="AG295" s="10">
        <f>IF($B295="","",IF(AND(IF(OR($AC295="",인턴현황!$K$2=""),"",INDEX(인턴근무계획!$M$3:$R$402,$AC295,인턴현황!$K$2)&amp;"")&lt;&gt;"",LEFT(IF(OR($AC295="",인턴현황!$K$2=""),"",INDEX(인턴근무계획!$M$3:$R$402,$AC295,인턴현황!$K$2)&amp;""),1)&lt;&gt;"⚠"),LEFT(IF(OR($AC295="",인턴현황!$K$2=""),"",INDEX(인턴근무계획!$M$3:$R$402,$AC295,인턴현황!$K$2)&amp;""),FIND(" ",IF(OR($AC295="",인턴현황!$K$2=""),"",INDEX(인턴근무계획!$M$3:$R$402,$AC295,인턴현황!$K$2)&amp;""))-1),$AE295))</f>
        <v/>
      </c>
      <c r="AH295" s="17">
        <f>IF($B295="","",IF(TRIM($J295&amp;"")="",0,SUMPRODUCT((파견수련계획!$Q$4:$Q$803=TRIM($J295&amp;""))*(파견수련계획!$S$4:$S$803="서울병원")*파견수련계획!$W$4:$W$803))+IF($AG295="서울병원",MAX(0,DAY(EOMONTH(요약!$B$3,0))-N($X295)),0))</f>
        <v/>
      </c>
      <c r="AI295" s="17">
        <f>IF($B295="","",IF(TRIM($J295&amp;"")="",0,SUMPRODUCT((파견수련계획!$Q$4:$Q$803=TRIM($J295&amp;""))*(파견수련계획!$S$4:$S$803="구리병원")*파견수련계획!$W$4:$W$803))+IF($AG295="구리병원",MAX(0,DAY(EOMONTH(요약!$B$3,0))-N($X295)),0))</f>
        <v/>
      </c>
      <c r="AJ295" s="10">
        <f>IF(OR($B295="",TRIM($J295&amp;"")=""),"",IFERROR(MATCH(TRIM($J295&amp;"")&amp;"|월",파견수련계획!$Z$4:$Z$803,0),""))</f>
        <v/>
      </c>
      <c r="AK295" s="10">
        <f>IF(OR($B295="",TRIM($J295&amp;"")=""),"",IFERROR(MATCH(TRIM($J295&amp;"")&amp;"|다기관",파견수련계획!$AE$4:$AE$803,0),""))</f>
        <v/>
      </c>
      <c r="AL295" s="10">
        <f>IF($AK295="","","다기관 "&amp;TEXT(INDEX(파견수련계획!$AB$4:$AB$803,$AK295),"yyyy-mm-dd")&amp;"~"&amp;IF(ISNUMBER(INDEX(파견수련계획!$AC$4:$AC$803,$AK295)),TEXT(INDEX(파견수련계획!$AC$4:$AC$803,$AK295),"yyyy-mm-dd"),""))</f>
        <v/>
      </c>
    </row>
    <row r="296">
      <c r="A296" s="10">
        <f>IF(B296="","",ROW()-1)</f>
        <v/>
      </c>
      <c r="B296" s="18" t="n"/>
      <c r="C296" s="10">
        <f>IF($AB296="","",IF(INDEX(기본자료!$C$2:$C$1001,$AB296)="","",INDEX(기본자료!$C$2:$C$1001,$AB296)))</f>
        <v/>
      </c>
      <c r="D296" s="10">
        <f>IF($AB296="","",IF(INDEX(기본자료!$J$2:$J$1001,$AB296)="","",INDEX(기본자료!$J$2:$J$1001,$AB296)))</f>
        <v/>
      </c>
      <c r="E296" s="11">
        <f>IF($AB296="","",IF(INDEX(기본자료!$K$2:$K$1001,$AB296)="","",IF(NOT(ISNUMBER(INDEX(기본자료!$K$2:$K$1001,$AB296))),INDEX(기본자료!$K$2:$K$1001,$AB296),IF(INDEX(기본자료!$K$2:$K$1001,$AB296)&lt;1000000,INDEX(기본자료!$K$2:$K$1001,$AB296),IF(AND(INDEX(기본자료!$K$2:$K$1001,$AB296)&gt;=10000101,INT(MOD(INDEX(기본자료!$K$2:$K$1001,$AB296),10000)/100)&gt;=1,INT(MOD(INDEX(기본자료!$K$2:$K$1001,$AB296),10000)/100)&lt;=12,MOD(INDEX(기본자료!$K$2:$K$1001,$AB296),100)&gt;=1,MOD(INDEX(기본자료!$K$2:$K$1001,$AB296),100)&lt;=31),DATE(INT(INDEX(기본자료!$K$2:$K$1001,$AB296)/10000),INT(MOD(INDEX(기본자료!$K$2:$K$1001,$AB296),10000)/100),MOD(INDEX(기본자료!$K$2:$K$1001,$AB296),100)),INDEX(기본자료!$K$2:$K$1001,$AB296)&amp;"")))))</f>
        <v/>
      </c>
      <c r="F296" s="10">
        <f>IF($AB296="","",IF(INDEX(기본자료!$D$2:$D$1001,$AB296)="","",INDEX(기본자료!$D$2:$D$1001,$AB296)))</f>
        <v/>
      </c>
      <c r="G296" s="10">
        <f>IF($AB296="","",IF(INDEX(기본자료!$E$2:$E$1001,$AB296)="","",INDEX(기본자료!$E$2:$E$1001,$AB296)))</f>
        <v/>
      </c>
      <c r="H296" s="10">
        <f>IF($AB296="","",IF(INDEX(기본자료!$F$2:$F$1001,$AB296)="","",INDEX(기본자료!$F$2:$F$1001,$AB296)))</f>
        <v/>
      </c>
      <c r="I296" s="11">
        <f>IF($AB296="","",IF(INDEX(기본자료!$G$2:$G$1001,$AB296)="","",IF(NOT(ISNUMBER(INDEX(기본자료!$G$2:$G$1001,$AB296))),INDEX(기본자료!$G$2:$G$1001,$AB296),IF(INDEX(기본자료!$G$2:$G$1001,$AB296)&lt;1000000,INDEX(기본자료!$G$2:$G$1001,$AB296),IF(AND(INDEX(기본자료!$G$2:$G$1001,$AB296)&gt;=10000101,INT(MOD(INDEX(기본자료!$G$2:$G$1001,$AB296),10000)/100)&gt;=1,INT(MOD(INDEX(기본자료!$G$2:$G$1001,$AB296),10000)/100)&lt;=12,MOD(INDEX(기본자료!$G$2:$G$1001,$AB296),100)&gt;=1,MOD(INDEX(기본자료!$G$2:$G$1001,$AB296),100)&lt;=31),DATE(INT(INDEX(기본자료!$G$2:$G$1001,$AB296)/10000),INT(MOD(INDEX(기본자료!$G$2:$G$1001,$AB296),10000)/100),MOD(INDEX(기본자료!$G$2:$G$1001,$AB296),100)),INDEX(기본자료!$G$2:$G$1001,$AB296)&amp;"")))))</f>
        <v/>
      </c>
      <c r="J296" s="10">
        <f>IF($AB296="","",IF(INDEX(기본자료!$H$2:$H$1001,$AB296)="","",INDEX(기본자료!$H$2:$H$1001,$AB296)))</f>
        <v/>
      </c>
      <c r="K296" s="10">
        <f>IF($AB296="","",IF(INDEX(기본자료!$I$2:$I$1001,$AB296)="","",INDEX(기본자료!$I$2:$I$1001,$AB296)))</f>
        <v/>
      </c>
      <c r="L296" s="10">
        <f>IF($AB296="","",IF(INDEX(기본자료!$A$2:$A$1001,$AB296)="","",INDEX(기본자료!$A$2:$A$1001,$AB296)))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파견수련계획!$AB$4:$AB$803,$AK296),OR(NOT(ISNUMBER(INDEX(파견수련계획!$AC$4:$AC$803,$AK296))),TODAY()&lt;=INDEX(파견수련계획!$AC$4:$AC$803,$AK296))),"다기관",IF($AF296="","",INDEX(파견수련계획!$T$4:$T$803,$AF296))),IF($AF296="","",INDEX(파견수련계획!$T$4:$T$803,$AF296))))</f>
        <v/>
      </c>
      <c r="Q296" s="10">
        <f>IF($AF296="","",INDEX(파견수련계획!$S$4:$S$803,$AF296))</f>
        <v/>
      </c>
      <c r="R296" s="10">
        <f>IF($AF296="","",INDEX(파견수련계획!$U$4:$U$803,$AF296))</f>
        <v/>
      </c>
      <c r="S296" s="11">
        <f>IF($AF296="","",IF(INDEX(파견수련계획!$H$4:$H$803,$AF296)="","",INDEX(파견수련계획!$H$4:$H$803,$AF296)))</f>
        <v/>
      </c>
      <c r="T296" s="11">
        <f>IF($AF296="","",IF(INDEX(파견수련계획!$I$4:$I$803,$AF296)="","",INDEX(파견수련계획!$I$4:$I$803,$AF296)))</f>
        <v/>
      </c>
      <c r="U296" s="10">
        <f>IF($AF296="","",INDEX(파견수련계획!$X$4:$X$803,$AF296))</f>
        <v/>
      </c>
      <c r="V296" s="17">
        <f>IF($AF296="","",INDEX(파견수련계획!$V$4:$V$803,$AF296))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IF(OR($B296="",TRIM($J296&amp;"")=""),"",SUMPRODUCT((파견수련계획!$Q$4:$Q$803=TRIM($J296&amp;""))*파견수련계획!$W$4:$W$803))</f>
        <v/>
      </c>
      <c r="Y296" s="10">
        <f>IF($B296="","",IF($AG296="","",IF(IF(TRIM($J296&amp;"")="",0,SUMPRODUCT((파견수련계획!$Q$4:$Q$803=TRIM($J296&amp;""))*파견수련계획!$AD$4:$AD$803))&gt;0,$AE296,IF(N($X296)&lt;=0,$AG296,IF($AH296+$AI296=DAY(EOMONTH(요약!$B$3,0)),IF(AND($AH296&gt;=요약!$E$3,$AI296&lt;요약!$E$3),"서울병원",IF(AND($AI296&gt;=요약!$E$3,$AH296&lt;요약!$E$3),"구리병원","⚠15일 판정불가(서울 "&amp;$AH296&amp;"일/구리 "&amp;$AI296&amp;"일)")),IF($AJ296="",$AE296,IF(INDEX(파견수련계획!$T$4:$T$803,$AJ296)="통합수련",INDEX(파견수련계획!$S$4:$S$803,$AJ296),$AE296)))))))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입력",IF(IF(TRIM($J296&amp;"")="",0,SUMPRODUCT((파견수련계획!$Q$4:$Q$803=TRIM($J296&amp;""))*(파견수련계획!$AA$4:$AA$803&lt;&gt;"")))&gt;0,"파견수련계획 입력오류 확인",IF(LEFT($Y296,1)="⚠","서울·구리 15일 판정 불가(양쪽 모두 이상/미만)",IF(IF($AC296="",0,N(INDEX(인턴근무계획!$T$3:$T$402,$AC296)))&gt;0,"인턴계획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IF($B296="","",IFERROR(MATCH($B296,기본자료!$B$2:$B$1001,0),IFERROR(MATCH($B296&amp;"",기본자료!$B$2:$B$1001,0),IFERROR(MATCH(VALUE($B296),기본자료!$B$2:$B$1001,0),""))))</f>
        <v/>
      </c>
      <c r="AC296" s="10">
        <f>IF($B296="","",IFERROR(MATCH($B296,인턴근무계획!$D$3:$D$402,0),IFERROR(MATCH($B296&amp;"",인턴근무계획!$D$3:$D$402,0),IFERROR(MATCH(VALUE($B296),인턴근무계획!$D$3:$D$402,0),""))))</f>
        <v/>
      </c>
      <c r="AD296" s="10">
        <f>IF(OR($AC296="",인턴현황!$G$3=""),"",INDEX(인턴근무계획!$M$3:$R$402,$AC296,인턴현황!$G$3)&amp;"")</f>
        <v/>
      </c>
      <c r="AE296" s="10">
        <f>IF($B296="","",IF($M296&lt;&gt;"",$M296,IF($AF296&lt;&gt;"",IF(LEFT(INDEX(파견수련계획!$R$4:$R$803,$AF296),1)&lt;&gt;"⚠",INDEX(파견수련계획!$R$4:$R$803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파견수련계획!$Y$4:$Y$803,0),IFERROR(MATCH(TRIM($J296&amp;"")&amp;"|파견예정",파견수련계획!$Y$4:$Y$803,0),IFERROR(MATCH(TRIM($J296&amp;"")&amp;"|파견종료",파견수련계획!$Y$4:$Y$803,0),""))))</f>
        <v/>
      </c>
      <c r="AG296" s="10">
        <f>IF($B296="","",IF(AND(IF(OR($AC296="",인턴현황!$K$2=""),"",INDEX(인턴근무계획!$M$3:$R$402,$AC296,인턴현황!$K$2)&amp;"")&lt;&gt;"",LEFT(IF(OR($AC296="",인턴현황!$K$2=""),"",INDEX(인턴근무계획!$M$3:$R$402,$AC296,인턴현황!$K$2)&amp;""),1)&lt;&gt;"⚠"),LEFT(IF(OR($AC296="",인턴현황!$K$2=""),"",INDEX(인턴근무계획!$M$3:$R$402,$AC296,인턴현황!$K$2)&amp;""),FIND(" ",IF(OR($AC296="",인턴현황!$K$2=""),"",INDEX(인턴근무계획!$M$3:$R$402,$AC296,인턴현황!$K$2)&amp;""))-1),$AE296))</f>
        <v/>
      </c>
      <c r="AH296" s="17">
        <f>IF($B296="","",IF(TRIM($J296&amp;"")="",0,SUMPRODUCT((파견수련계획!$Q$4:$Q$803=TRIM($J296&amp;""))*(파견수련계획!$S$4:$S$803="서울병원")*파견수련계획!$W$4:$W$803))+IF($AG296="서울병원",MAX(0,DAY(EOMONTH(요약!$B$3,0))-N($X296)),0))</f>
        <v/>
      </c>
      <c r="AI296" s="17">
        <f>IF($B296="","",IF(TRIM($J296&amp;"")="",0,SUMPRODUCT((파견수련계획!$Q$4:$Q$803=TRIM($J296&amp;""))*(파견수련계획!$S$4:$S$803="구리병원")*파견수련계획!$W$4:$W$803))+IF($AG296="구리병원",MAX(0,DAY(EOMONTH(요약!$B$3,0))-N($X296)),0))</f>
        <v/>
      </c>
      <c r="AJ296" s="10">
        <f>IF(OR($B296="",TRIM($J296&amp;"")=""),"",IFERROR(MATCH(TRIM($J296&amp;"")&amp;"|월",파견수련계획!$Z$4:$Z$803,0),""))</f>
        <v/>
      </c>
      <c r="AK296" s="10">
        <f>IF(OR($B296="",TRIM($J296&amp;"")=""),"",IFERROR(MATCH(TRIM($J296&amp;"")&amp;"|다기관",파견수련계획!$AE$4:$AE$803,0),""))</f>
        <v/>
      </c>
      <c r="AL296" s="10">
        <f>IF($AK296="","","다기관 "&amp;TEXT(INDEX(파견수련계획!$AB$4:$AB$803,$AK296),"yyyy-mm-dd")&amp;"~"&amp;IF(ISNUMBER(INDEX(파견수련계획!$AC$4:$AC$803,$AK296)),TEXT(INDEX(파견수련계획!$AC$4:$AC$803,$AK296),"yyyy-mm-dd"),""))</f>
        <v/>
      </c>
    </row>
    <row r="297">
      <c r="A297" s="10">
        <f>IF(B297="","",ROW()-1)</f>
        <v/>
      </c>
      <c r="B297" s="18" t="n"/>
      <c r="C297" s="10">
        <f>IF($AB297="","",IF(INDEX(기본자료!$C$2:$C$1001,$AB297)="","",INDEX(기본자료!$C$2:$C$1001,$AB297)))</f>
        <v/>
      </c>
      <c r="D297" s="10">
        <f>IF($AB297="","",IF(INDEX(기본자료!$J$2:$J$1001,$AB297)="","",INDEX(기본자료!$J$2:$J$1001,$AB297)))</f>
        <v/>
      </c>
      <c r="E297" s="11">
        <f>IF($AB297="","",IF(INDEX(기본자료!$K$2:$K$1001,$AB297)="","",IF(NOT(ISNUMBER(INDEX(기본자료!$K$2:$K$1001,$AB297))),INDEX(기본자료!$K$2:$K$1001,$AB297),IF(INDEX(기본자료!$K$2:$K$1001,$AB297)&lt;1000000,INDEX(기본자료!$K$2:$K$1001,$AB297),IF(AND(INDEX(기본자료!$K$2:$K$1001,$AB297)&gt;=10000101,INT(MOD(INDEX(기본자료!$K$2:$K$1001,$AB297),10000)/100)&gt;=1,INT(MOD(INDEX(기본자료!$K$2:$K$1001,$AB297),10000)/100)&lt;=12,MOD(INDEX(기본자료!$K$2:$K$1001,$AB297),100)&gt;=1,MOD(INDEX(기본자료!$K$2:$K$1001,$AB297),100)&lt;=31),DATE(INT(INDEX(기본자료!$K$2:$K$1001,$AB297)/10000),INT(MOD(INDEX(기본자료!$K$2:$K$1001,$AB297),10000)/100),MOD(INDEX(기본자료!$K$2:$K$1001,$AB297),100)),INDEX(기본자료!$K$2:$K$1001,$AB297)&amp;"")))))</f>
        <v/>
      </c>
      <c r="F297" s="10">
        <f>IF($AB297="","",IF(INDEX(기본자료!$D$2:$D$1001,$AB297)="","",INDEX(기본자료!$D$2:$D$1001,$AB297)))</f>
        <v/>
      </c>
      <c r="G297" s="10">
        <f>IF($AB297="","",IF(INDEX(기본자료!$E$2:$E$1001,$AB297)="","",INDEX(기본자료!$E$2:$E$1001,$AB297)))</f>
        <v/>
      </c>
      <c r="H297" s="10">
        <f>IF($AB297="","",IF(INDEX(기본자료!$F$2:$F$1001,$AB297)="","",INDEX(기본자료!$F$2:$F$1001,$AB297)))</f>
        <v/>
      </c>
      <c r="I297" s="11">
        <f>IF($AB297="","",IF(INDEX(기본자료!$G$2:$G$1001,$AB297)="","",IF(NOT(ISNUMBER(INDEX(기본자료!$G$2:$G$1001,$AB297))),INDEX(기본자료!$G$2:$G$1001,$AB297),IF(INDEX(기본자료!$G$2:$G$1001,$AB297)&lt;1000000,INDEX(기본자료!$G$2:$G$1001,$AB297),IF(AND(INDEX(기본자료!$G$2:$G$1001,$AB297)&gt;=10000101,INT(MOD(INDEX(기본자료!$G$2:$G$1001,$AB297),10000)/100)&gt;=1,INT(MOD(INDEX(기본자료!$G$2:$G$1001,$AB297),10000)/100)&lt;=12,MOD(INDEX(기본자료!$G$2:$G$1001,$AB297),100)&gt;=1,MOD(INDEX(기본자료!$G$2:$G$1001,$AB297),100)&lt;=31),DATE(INT(INDEX(기본자료!$G$2:$G$1001,$AB297)/10000),INT(MOD(INDEX(기본자료!$G$2:$G$1001,$AB297),10000)/100),MOD(INDEX(기본자료!$G$2:$G$1001,$AB297),100)),INDEX(기본자료!$G$2:$G$1001,$AB297)&amp;"")))))</f>
        <v/>
      </c>
      <c r="J297" s="10">
        <f>IF($AB297="","",IF(INDEX(기본자료!$H$2:$H$1001,$AB297)="","",INDEX(기본자료!$H$2:$H$1001,$AB297)))</f>
        <v/>
      </c>
      <c r="K297" s="10">
        <f>IF($AB297="","",IF(INDEX(기본자료!$I$2:$I$1001,$AB297)="","",INDEX(기본자료!$I$2:$I$1001,$AB297)))</f>
        <v/>
      </c>
      <c r="L297" s="10">
        <f>IF($AB297="","",IF(INDEX(기본자료!$A$2:$A$1001,$AB297)="","",INDEX(기본자료!$A$2:$A$1001,$AB297)))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파견수련계획!$AB$4:$AB$803,$AK297),OR(NOT(ISNUMBER(INDEX(파견수련계획!$AC$4:$AC$803,$AK297))),TODAY()&lt;=INDEX(파견수련계획!$AC$4:$AC$803,$AK297))),"다기관",IF($AF297="","",INDEX(파견수련계획!$T$4:$T$803,$AF297))),IF($AF297="","",INDEX(파견수련계획!$T$4:$T$803,$AF297))))</f>
        <v/>
      </c>
      <c r="Q297" s="10">
        <f>IF($AF297="","",INDEX(파견수련계획!$S$4:$S$803,$AF297))</f>
        <v/>
      </c>
      <c r="R297" s="10">
        <f>IF($AF297="","",INDEX(파견수련계획!$U$4:$U$803,$AF297))</f>
        <v/>
      </c>
      <c r="S297" s="11">
        <f>IF($AF297="","",IF(INDEX(파견수련계획!$H$4:$H$803,$AF297)="","",INDEX(파견수련계획!$H$4:$H$803,$AF297)))</f>
        <v/>
      </c>
      <c r="T297" s="11">
        <f>IF($AF297="","",IF(INDEX(파견수련계획!$I$4:$I$803,$AF297)="","",INDEX(파견수련계획!$I$4:$I$803,$AF297)))</f>
        <v/>
      </c>
      <c r="U297" s="10">
        <f>IF($AF297="","",INDEX(파견수련계획!$X$4:$X$803,$AF297))</f>
        <v/>
      </c>
      <c r="V297" s="17">
        <f>IF($AF297="","",INDEX(파견수련계획!$V$4:$V$803,$AF297))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IF(OR($B297="",TRIM($J297&amp;"")=""),"",SUMPRODUCT((파견수련계획!$Q$4:$Q$803=TRIM($J297&amp;""))*파견수련계획!$W$4:$W$803))</f>
        <v/>
      </c>
      <c r="Y297" s="10">
        <f>IF($B297="","",IF($AG297="","",IF(IF(TRIM($J297&amp;"")="",0,SUMPRODUCT((파견수련계획!$Q$4:$Q$803=TRIM($J297&amp;""))*파견수련계획!$AD$4:$AD$803))&gt;0,$AE297,IF(N($X297)&lt;=0,$AG297,IF($AH297+$AI297=DAY(EOMONTH(요약!$B$3,0)),IF(AND($AH297&gt;=요약!$E$3,$AI297&lt;요약!$E$3),"서울병원",IF(AND($AI297&gt;=요약!$E$3,$AH297&lt;요약!$E$3),"구리병원","⚠15일 판정불가(서울 "&amp;$AH297&amp;"일/구리 "&amp;$AI297&amp;"일)")),IF($AJ297="",$AE297,IF(INDEX(파견수련계획!$T$4:$T$803,$AJ297)="통합수련",INDEX(파견수련계획!$S$4:$S$803,$AJ297),$AE297)))))))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입력",IF(IF(TRIM($J297&amp;"")="",0,SUMPRODUCT((파견수련계획!$Q$4:$Q$803=TRIM($J297&amp;""))*(파견수련계획!$AA$4:$AA$803&lt;&gt;"")))&gt;0,"파견수련계획 입력오류 확인",IF(LEFT($Y297,1)="⚠","서울·구리 15일 판정 불가(양쪽 모두 이상/미만)",IF(IF($AC297="",0,N(INDEX(인턴근무계획!$T$3:$T$402,$AC297)))&gt;0,"인턴계획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IF($B297="","",IFERROR(MATCH($B297,기본자료!$B$2:$B$1001,0),IFERROR(MATCH($B297&amp;"",기본자료!$B$2:$B$1001,0),IFERROR(MATCH(VALUE($B297),기본자료!$B$2:$B$1001,0),""))))</f>
        <v/>
      </c>
      <c r="AC297" s="10">
        <f>IF($B297="","",IFERROR(MATCH($B297,인턴근무계획!$D$3:$D$402,0),IFERROR(MATCH($B297&amp;"",인턴근무계획!$D$3:$D$402,0),IFERROR(MATCH(VALUE($B297),인턴근무계획!$D$3:$D$402,0),""))))</f>
        <v/>
      </c>
      <c r="AD297" s="10">
        <f>IF(OR($AC297="",인턴현황!$G$3=""),"",INDEX(인턴근무계획!$M$3:$R$402,$AC297,인턴현황!$G$3)&amp;"")</f>
        <v/>
      </c>
      <c r="AE297" s="10">
        <f>IF($B297="","",IF($M297&lt;&gt;"",$M297,IF($AF297&lt;&gt;"",IF(LEFT(INDEX(파견수련계획!$R$4:$R$803,$AF297),1)&lt;&gt;"⚠",INDEX(파견수련계획!$R$4:$R$803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파견수련계획!$Y$4:$Y$803,0),IFERROR(MATCH(TRIM($J297&amp;"")&amp;"|파견예정",파견수련계획!$Y$4:$Y$803,0),IFERROR(MATCH(TRIM($J297&amp;"")&amp;"|파견종료",파견수련계획!$Y$4:$Y$803,0),""))))</f>
        <v/>
      </c>
      <c r="AG297" s="10">
        <f>IF($B297="","",IF(AND(IF(OR($AC297="",인턴현황!$K$2=""),"",INDEX(인턴근무계획!$M$3:$R$402,$AC297,인턴현황!$K$2)&amp;"")&lt;&gt;"",LEFT(IF(OR($AC297="",인턴현황!$K$2=""),"",INDEX(인턴근무계획!$M$3:$R$402,$AC297,인턴현황!$K$2)&amp;""),1)&lt;&gt;"⚠"),LEFT(IF(OR($AC297="",인턴현황!$K$2=""),"",INDEX(인턴근무계획!$M$3:$R$402,$AC297,인턴현황!$K$2)&amp;""),FIND(" ",IF(OR($AC297="",인턴현황!$K$2=""),"",INDEX(인턴근무계획!$M$3:$R$402,$AC297,인턴현황!$K$2)&amp;""))-1),$AE297))</f>
        <v/>
      </c>
      <c r="AH297" s="17">
        <f>IF($B297="","",IF(TRIM($J297&amp;"")="",0,SUMPRODUCT((파견수련계획!$Q$4:$Q$803=TRIM($J297&amp;""))*(파견수련계획!$S$4:$S$803="서울병원")*파견수련계획!$W$4:$W$803))+IF($AG297="서울병원",MAX(0,DAY(EOMONTH(요약!$B$3,0))-N($X297)),0))</f>
        <v/>
      </c>
      <c r="AI297" s="17">
        <f>IF($B297="","",IF(TRIM($J297&amp;"")="",0,SUMPRODUCT((파견수련계획!$Q$4:$Q$803=TRIM($J297&amp;""))*(파견수련계획!$S$4:$S$803="구리병원")*파견수련계획!$W$4:$W$803))+IF($AG297="구리병원",MAX(0,DAY(EOMONTH(요약!$B$3,0))-N($X297)),0))</f>
        <v/>
      </c>
      <c r="AJ297" s="10">
        <f>IF(OR($B297="",TRIM($J297&amp;"")=""),"",IFERROR(MATCH(TRIM($J297&amp;"")&amp;"|월",파견수련계획!$Z$4:$Z$803,0),""))</f>
        <v/>
      </c>
      <c r="AK297" s="10">
        <f>IF(OR($B297="",TRIM($J297&amp;"")=""),"",IFERROR(MATCH(TRIM($J297&amp;"")&amp;"|다기관",파견수련계획!$AE$4:$AE$803,0),""))</f>
        <v/>
      </c>
      <c r="AL297" s="10">
        <f>IF($AK297="","","다기관 "&amp;TEXT(INDEX(파견수련계획!$AB$4:$AB$803,$AK297),"yyyy-mm-dd")&amp;"~"&amp;IF(ISNUMBER(INDEX(파견수련계획!$AC$4:$AC$803,$AK297)),TEXT(INDEX(파견수련계획!$AC$4:$AC$803,$AK297),"yyyy-mm-dd"),""))</f>
        <v/>
      </c>
    </row>
    <row r="298">
      <c r="A298" s="10">
        <f>IF(B298="","",ROW()-1)</f>
        <v/>
      </c>
      <c r="B298" s="18" t="n"/>
      <c r="C298" s="10">
        <f>IF($AB298="","",IF(INDEX(기본자료!$C$2:$C$1001,$AB298)="","",INDEX(기본자료!$C$2:$C$1001,$AB298)))</f>
        <v/>
      </c>
      <c r="D298" s="10">
        <f>IF($AB298="","",IF(INDEX(기본자료!$J$2:$J$1001,$AB298)="","",INDEX(기본자료!$J$2:$J$1001,$AB298)))</f>
        <v/>
      </c>
      <c r="E298" s="11">
        <f>IF($AB298="","",IF(INDEX(기본자료!$K$2:$K$1001,$AB298)="","",IF(NOT(ISNUMBER(INDEX(기본자료!$K$2:$K$1001,$AB298))),INDEX(기본자료!$K$2:$K$1001,$AB298),IF(INDEX(기본자료!$K$2:$K$1001,$AB298)&lt;1000000,INDEX(기본자료!$K$2:$K$1001,$AB298),IF(AND(INDEX(기본자료!$K$2:$K$1001,$AB298)&gt;=10000101,INT(MOD(INDEX(기본자료!$K$2:$K$1001,$AB298),10000)/100)&gt;=1,INT(MOD(INDEX(기본자료!$K$2:$K$1001,$AB298),10000)/100)&lt;=12,MOD(INDEX(기본자료!$K$2:$K$1001,$AB298),100)&gt;=1,MOD(INDEX(기본자료!$K$2:$K$1001,$AB298),100)&lt;=31),DATE(INT(INDEX(기본자료!$K$2:$K$1001,$AB298)/10000),INT(MOD(INDEX(기본자료!$K$2:$K$1001,$AB298),10000)/100),MOD(INDEX(기본자료!$K$2:$K$1001,$AB298),100)),INDEX(기본자료!$K$2:$K$1001,$AB298)&amp;"")))))</f>
        <v/>
      </c>
      <c r="F298" s="10">
        <f>IF($AB298="","",IF(INDEX(기본자료!$D$2:$D$1001,$AB298)="","",INDEX(기본자료!$D$2:$D$1001,$AB298)))</f>
        <v/>
      </c>
      <c r="G298" s="10">
        <f>IF($AB298="","",IF(INDEX(기본자료!$E$2:$E$1001,$AB298)="","",INDEX(기본자료!$E$2:$E$1001,$AB298)))</f>
        <v/>
      </c>
      <c r="H298" s="10">
        <f>IF($AB298="","",IF(INDEX(기본자료!$F$2:$F$1001,$AB298)="","",INDEX(기본자료!$F$2:$F$1001,$AB298)))</f>
        <v/>
      </c>
      <c r="I298" s="11">
        <f>IF($AB298="","",IF(INDEX(기본자료!$G$2:$G$1001,$AB298)="","",IF(NOT(ISNUMBER(INDEX(기본자료!$G$2:$G$1001,$AB298))),INDEX(기본자료!$G$2:$G$1001,$AB298),IF(INDEX(기본자료!$G$2:$G$1001,$AB298)&lt;1000000,INDEX(기본자료!$G$2:$G$1001,$AB298),IF(AND(INDEX(기본자료!$G$2:$G$1001,$AB298)&gt;=10000101,INT(MOD(INDEX(기본자료!$G$2:$G$1001,$AB298),10000)/100)&gt;=1,INT(MOD(INDEX(기본자료!$G$2:$G$1001,$AB298),10000)/100)&lt;=12,MOD(INDEX(기본자료!$G$2:$G$1001,$AB298),100)&gt;=1,MOD(INDEX(기본자료!$G$2:$G$1001,$AB298),100)&lt;=31),DATE(INT(INDEX(기본자료!$G$2:$G$1001,$AB298)/10000),INT(MOD(INDEX(기본자료!$G$2:$G$1001,$AB298),10000)/100),MOD(INDEX(기본자료!$G$2:$G$1001,$AB298),100)),INDEX(기본자료!$G$2:$G$1001,$AB298)&amp;"")))))</f>
        <v/>
      </c>
      <c r="J298" s="10">
        <f>IF($AB298="","",IF(INDEX(기본자료!$H$2:$H$1001,$AB298)="","",INDEX(기본자료!$H$2:$H$1001,$AB298)))</f>
        <v/>
      </c>
      <c r="K298" s="10">
        <f>IF($AB298="","",IF(INDEX(기본자료!$I$2:$I$1001,$AB298)="","",INDEX(기본자료!$I$2:$I$1001,$AB298)))</f>
        <v/>
      </c>
      <c r="L298" s="10">
        <f>IF($AB298="","",IF(INDEX(기본자료!$A$2:$A$1001,$AB298)="","",INDEX(기본자료!$A$2:$A$1001,$AB298)))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파견수련계획!$AB$4:$AB$803,$AK298),OR(NOT(ISNUMBER(INDEX(파견수련계획!$AC$4:$AC$803,$AK298))),TODAY()&lt;=INDEX(파견수련계획!$AC$4:$AC$803,$AK298))),"다기관",IF($AF298="","",INDEX(파견수련계획!$T$4:$T$803,$AF298))),IF($AF298="","",INDEX(파견수련계획!$T$4:$T$803,$AF298))))</f>
        <v/>
      </c>
      <c r="Q298" s="10">
        <f>IF($AF298="","",INDEX(파견수련계획!$S$4:$S$803,$AF298))</f>
        <v/>
      </c>
      <c r="R298" s="10">
        <f>IF($AF298="","",INDEX(파견수련계획!$U$4:$U$803,$AF298))</f>
        <v/>
      </c>
      <c r="S298" s="11">
        <f>IF($AF298="","",IF(INDEX(파견수련계획!$H$4:$H$803,$AF298)="","",INDEX(파견수련계획!$H$4:$H$803,$AF298)))</f>
        <v/>
      </c>
      <c r="T298" s="11">
        <f>IF($AF298="","",IF(INDEX(파견수련계획!$I$4:$I$803,$AF298)="","",INDEX(파견수련계획!$I$4:$I$803,$AF298)))</f>
        <v/>
      </c>
      <c r="U298" s="10">
        <f>IF($AF298="","",INDEX(파견수련계획!$X$4:$X$803,$AF298))</f>
        <v/>
      </c>
      <c r="V298" s="17">
        <f>IF($AF298="","",INDEX(파견수련계획!$V$4:$V$803,$AF298))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IF(OR($B298="",TRIM($J298&amp;"")=""),"",SUMPRODUCT((파견수련계획!$Q$4:$Q$803=TRIM($J298&amp;""))*파견수련계획!$W$4:$W$803))</f>
        <v/>
      </c>
      <c r="Y298" s="10">
        <f>IF($B298="","",IF($AG298="","",IF(IF(TRIM($J298&amp;"")="",0,SUMPRODUCT((파견수련계획!$Q$4:$Q$803=TRIM($J298&amp;""))*파견수련계획!$AD$4:$AD$803))&gt;0,$AE298,IF(N($X298)&lt;=0,$AG298,IF($AH298+$AI298=DAY(EOMONTH(요약!$B$3,0)),IF(AND($AH298&gt;=요약!$E$3,$AI298&lt;요약!$E$3),"서울병원",IF(AND($AI298&gt;=요약!$E$3,$AH298&lt;요약!$E$3),"구리병원","⚠15일 판정불가(서울 "&amp;$AH298&amp;"일/구리 "&amp;$AI298&amp;"일)")),IF($AJ298="",$AE298,IF(INDEX(파견수련계획!$T$4:$T$803,$AJ298)="통합수련",INDEX(파견수련계획!$S$4:$S$803,$AJ298),$AE298)))))))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입력",IF(IF(TRIM($J298&amp;"")="",0,SUMPRODUCT((파견수련계획!$Q$4:$Q$803=TRIM($J298&amp;""))*(파견수련계획!$AA$4:$AA$803&lt;&gt;"")))&gt;0,"파견수련계획 입력오류 확인",IF(LEFT($Y298,1)="⚠","서울·구리 15일 판정 불가(양쪽 모두 이상/미만)",IF(IF($AC298="",0,N(INDEX(인턴근무계획!$T$3:$T$402,$AC298)))&gt;0,"인턴계획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IF($B298="","",IFERROR(MATCH($B298,기본자료!$B$2:$B$1001,0),IFERROR(MATCH($B298&amp;"",기본자료!$B$2:$B$1001,0),IFERROR(MATCH(VALUE($B298),기본자료!$B$2:$B$1001,0),""))))</f>
        <v/>
      </c>
      <c r="AC298" s="10">
        <f>IF($B298="","",IFERROR(MATCH($B298,인턴근무계획!$D$3:$D$402,0),IFERROR(MATCH($B298&amp;"",인턴근무계획!$D$3:$D$402,0),IFERROR(MATCH(VALUE($B298),인턴근무계획!$D$3:$D$402,0),""))))</f>
        <v/>
      </c>
      <c r="AD298" s="10">
        <f>IF(OR($AC298="",인턴현황!$G$3=""),"",INDEX(인턴근무계획!$M$3:$R$402,$AC298,인턴현황!$G$3)&amp;"")</f>
        <v/>
      </c>
      <c r="AE298" s="10">
        <f>IF($B298="","",IF($M298&lt;&gt;"",$M298,IF($AF298&lt;&gt;"",IF(LEFT(INDEX(파견수련계획!$R$4:$R$803,$AF298),1)&lt;&gt;"⚠",INDEX(파견수련계획!$R$4:$R$803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파견수련계획!$Y$4:$Y$803,0),IFERROR(MATCH(TRIM($J298&amp;"")&amp;"|파견예정",파견수련계획!$Y$4:$Y$803,0),IFERROR(MATCH(TRIM($J298&amp;"")&amp;"|파견종료",파견수련계획!$Y$4:$Y$803,0),""))))</f>
        <v/>
      </c>
      <c r="AG298" s="10">
        <f>IF($B298="","",IF(AND(IF(OR($AC298="",인턴현황!$K$2=""),"",INDEX(인턴근무계획!$M$3:$R$402,$AC298,인턴현황!$K$2)&amp;"")&lt;&gt;"",LEFT(IF(OR($AC298="",인턴현황!$K$2=""),"",INDEX(인턴근무계획!$M$3:$R$402,$AC298,인턴현황!$K$2)&amp;""),1)&lt;&gt;"⚠"),LEFT(IF(OR($AC298="",인턴현황!$K$2=""),"",INDEX(인턴근무계획!$M$3:$R$402,$AC298,인턴현황!$K$2)&amp;""),FIND(" ",IF(OR($AC298="",인턴현황!$K$2=""),"",INDEX(인턴근무계획!$M$3:$R$402,$AC298,인턴현황!$K$2)&amp;""))-1),$AE298))</f>
        <v/>
      </c>
      <c r="AH298" s="17">
        <f>IF($B298="","",IF(TRIM($J298&amp;"")="",0,SUMPRODUCT((파견수련계획!$Q$4:$Q$803=TRIM($J298&amp;""))*(파견수련계획!$S$4:$S$803="서울병원")*파견수련계획!$W$4:$W$803))+IF($AG298="서울병원",MAX(0,DAY(EOMONTH(요약!$B$3,0))-N($X298)),0))</f>
        <v/>
      </c>
      <c r="AI298" s="17">
        <f>IF($B298="","",IF(TRIM($J298&amp;"")="",0,SUMPRODUCT((파견수련계획!$Q$4:$Q$803=TRIM($J298&amp;""))*(파견수련계획!$S$4:$S$803="구리병원")*파견수련계획!$W$4:$W$803))+IF($AG298="구리병원",MAX(0,DAY(EOMONTH(요약!$B$3,0))-N($X298)),0))</f>
        <v/>
      </c>
      <c r="AJ298" s="10">
        <f>IF(OR($B298="",TRIM($J298&amp;"")=""),"",IFERROR(MATCH(TRIM($J298&amp;"")&amp;"|월",파견수련계획!$Z$4:$Z$803,0),""))</f>
        <v/>
      </c>
      <c r="AK298" s="10">
        <f>IF(OR($B298="",TRIM($J298&amp;"")=""),"",IFERROR(MATCH(TRIM($J298&amp;"")&amp;"|다기관",파견수련계획!$AE$4:$AE$803,0),""))</f>
        <v/>
      </c>
      <c r="AL298" s="10">
        <f>IF($AK298="","","다기관 "&amp;TEXT(INDEX(파견수련계획!$AB$4:$AB$803,$AK298),"yyyy-mm-dd")&amp;"~"&amp;IF(ISNUMBER(INDEX(파견수련계획!$AC$4:$AC$803,$AK298)),TEXT(INDEX(파견수련계획!$AC$4:$AC$803,$AK298),"yyyy-mm-dd"),""))</f>
        <v/>
      </c>
    </row>
    <row r="299">
      <c r="A299" s="10">
        <f>IF(B299="","",ROW()-1)</f>
        <v/>
      </c>
      <c r="B299" s="18" t="n"/>
      <c r="C299" s="10">
        <f>IF($AB299="","",IF(INDEX(기본자료!$C$2:$C$1001,$AB299)="","",INDEX(기본자료!$C$2:$C$1001,$AB299)))</f>
        <v/>
      </c>
      <c r="D299" s="10">
        <f>IF($AB299="","",IF(INDEX(기본자료!$J$2:$J$1001,$AB299)="","",INDEX(기본자료!$J$2:$J$1001,$AB299)))</f>
        <v/>
      </c>
      <c r="E299" s="11">
        <f>IF($AB299="","",IF(INDEX(기본자료!$K$2:$K$1001,$AB299)="","",IF(NOT(ISNUMBER(INDEX(기본자료!$K$2:$K$1001,$AB299))),INDEX(기본자료!$K$2:$K$1001,$AB299),IF(INDEX(기본자료!$K$2:$K$1001,$AB299)&lt;1000000,INDEX(기본자료!$K$2:$K$1001,$AB299),IF(AND(INDEX(기본자료!$K$2:$K$1001,$AB299)&gt;=10000101,INT(MOD(INDEX(기본자료!$K$2:$K$1001,$AB299),10000)/100)&gt;=1,INT(MOD(INDEX(기본자료!$K$2:$K$1001,$AB299),10000)/100)&lt;=12,MOD(INDEX(기본자료!$K$2:$K$1001,$AB299),100)&gt;=1,MOD(INDEX(기본자료!$K$2:$K$1001,$AB299),100)&lt;=31),DATE(INT(INDEX(기본자료!$K$2:$K$1001,$AB299)/10000),INT(MOD(INDEX(기본자료!$K$2:$K$1001,$AB299),10000)/100),MOD(INDEX(기본자료!$K$2:$K$1001,$AB299),100)),INDEX(기본자료!$K$2:$K$1001,$AB299)&amp;"")))))</f>
        <v/>
      </c>
      <c r="F299" s="10">
        <f>IF($AB299="","",IF(INDEX(기본자료!$D$2:$D$1001,$AB299)="","",INDEX(기본자료!$D$2:$D$1001,$AB299)))</f>
        <v/>
      </c>
      <c r="G299" s="10">
        <f>IF($AB299="","",IF(INDEX(기본자료!$E$2:$E$1001,$AB299)="","",INDEX(기본자료!$E$2:$E$1001,$AB299)))</f>
        <v/>
      </c>
      <c r="H299" s="10">
        <f>IF($AB299="","",IF(INDEX(기본자료!$F$2:$F$1001,$AB299)="","",INDEX(기본자료!$F$2:$F$1001,$AB299)))</f>
        <v/>
      </c>
      <c r="I299" s="11">
        <f>IF($AB299="","",IF(INDEX(기본자료!$G$2:$G$1001,$AB299)="","",IF(NOT(ISNUMBER(INDEX(기본자료!$G$2:$G$1001,$AB299))),INDEX(기본자료!$G$2:$G$1001,$AB299),IF(INDEX(기본자료!$G$2:$G$1001,$AB299)&lt;1000000,INDEX(기본자료!$G$2:$G$1001,$AB299),IF(AND(INDEX(기본자료!$G$2:$G$1001,$AB299)&gt;=10000101,INT(MOD(INDEX(기본자료!$G$2:$G$1001,$AB299),10000)/100)&gt;=1,INT(MOD(INDEX(기본자료!$G$2:$G$1001,$AB299),10000)/100)&lt;=12,MOD(INDEX(기본자료!$G$2:$G$1001,$AB299),100)&gt;=1,MOD(INDEX(기본자료!$G$2:$G$1001,$AB299),100)&lt;=31),DATE(INT(INDEX(기본자료!$G$2:$G$1001,$AB299)/10000),INT(MOD(INDEX(기본자료!$G$2:$G$1001,$AB299),10000)/100),MOD(INDEX(기본자료!$G$2:$G$1001,$AB299),100)),INDEX(기본자료!$G$2:$G$1001,$AB299)&amp;"")))))</f>
        <v/>
      </c>
      <c r="J299" s="10">
        <f>IF($AB299="","",IF(INDEX(기본자료!$H$2:$H$1001,$AB299)="","",INDEX(기본자료!$H$2:$H$1001,$AB299)))</f>
        <v/>
      </c>
      <c r="K299" s="10">
        <f>IF($AB299="","",IF(INDEX(기본자료!$I$2:$I$1001,$AB299)="","",INDEX(기본자료!$I$2:$I$1001,$AB299)))</f>
        <v/>
      </c>
      <c r="L299" s="10">
        <f>IF($AB299="","",IF(INDEX(기본자료!$A$2:$A$1001,$AB299)="","",INDEX(기본자료!$A$2:$A$1001,$AB299)))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파견수련계획!$AB$4:$AB$803,$AK299),OR(NOT(ISNUMBER(INDEX(파견수련계획!$AC$4:$AC$803,$AK299))),TODAY()&lt;=INDEX(파견수련계획!$AC$4:$AC$803,$AK299))),"다기관",IF($AF299="","",INDEX(파견수련계획!$T$4:$T$803,$AF299))),IF($AF299="","",INDEX(파견수련계획!$T$4:$T$803,$AF299))))</f>
        <v/>
      </c>
      <c r="Q299" s="10">
        <f>IF($AF299="","",INDEX(파견수련계획!$S$4:$S$803,$AF299))</f>
        <v/>
      </c>
      <c r="R299" s="10">
        <f>IF($AF299="","",INDEX(파견수련계획!$U$4:$U$803,$AF299))</f>
        <v/>
      </c>
      <c r="S299" s="11">
        <f>IF($AF299="","",IF(INDEX(파견수련계획!$H$4:$H$803,$AF299)="","",INDEX(파견수련계획!$H$4:$H$803,$AF299)))</f>
        <v/>
      </c>
      <c r="T299" s="11">
        <f>IF($AF299="","",IF(INDEX(파견수련계획!$I$4:$I$803,$AF299)="","",INDEX(파견수련계획!$I$4:$I$803,$AF299)))</f>
        <v/>
      </c>
      <c r="U299" s="10">
        <f>IF($AF299="","",INDEX(파견수련계획!$X$4:$X$803,$AF299))</f>
        <v/>
      </c>
      <c r="V299" s="17">
        <f>IF($AF299="","",INDEX(파견수련계획!$V$4:$V$803,$AF299))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IF(OR($B299="",TRIM($J299&amp;"")=""),"",SUMPRODUCT((파견수련계획!$Q$4:$Q$803=TRIM($J299&amp;""))*파견수련계획!$W$4:$W$803))</f>
        <v/>
      </c>
      <c r="Y299" s="10">
        <f>IF($B299="","",IF($AG299="","",IF(IF(TRIM($J299&amp;"")="",0,SUMPRODUCT((파견수련계획!$Q$4:$Q$803=TRIM($J299&amp;""))*파견수련계획!$AD$4:$AD$803))&gt;0,$AE299,IF(N($X299)&lt;=0,$AG299,IF($AH299+$AI299=DAY(EOMONTH(요약!$B$3,0)),IF(AND($AH299&gt;=요약!$E$3,$AI299&lt;요약!$E$3),"서울병원",IF(AND($AI299&gt;=요약!$E$3,$AH299&lt;요약!$E$3),"구리병원","⚠15일 판정불가(서울 "&amp;$AH299&amp;"일/구리 "&amp;$AI299&amp;"일)")),IF($AJ299="",$AE299,IF(INDEX(파견수련계획!$T$4:$T$803,$AJ299)="통합수련",INDEX(파견수련계획!$S$4:$S$803,$AJ299),$AE299)))))))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입력",IF(IF(TRIM($J299&amp;"")="",0,SUMPRODUCT((파견수련계획!$Q$4:$Q$803=TRIM($J299&amp;""))*(파견수련계획!$AA$4:$AA$803&lt;&gt;"")))&gt;0,"파견수련계획 입력오류 확인",IF(LEFT($Y299,1)="⚠","서울·구리 15일 판정 불가(양쪽 모두 이상/미만)",IF(IF($AC299="",0,N(INDEX(인턴근무계획!$T$3:$T$402,$AC299)))&gt;0,"인턴계획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IF($B299="","",IFERROR(MATCH($B299,기본자료!$B$2:$B$1001,0),IFERROR(MATCH($B299&amp;"",기본자료!$B$2:$B$1001,0),IFERROR(MATCH(VALUE($B299),기본자료!$B$2:$B$1001,0),""))))</f>
        <v/>
      </c>
      <c r="AC299" s="10">
        <f>IF($B299="","",IFERROR(MATCH($B299,인턴근무계획!$D$3:$D$402,0),IFERROR(MATCH($B299&amp;"",인턴근무계획!$D$3:$D$402,0),IFERROR(MATCH(VALUE($B299),인턴근무계획!$D$3:$D$402,0),""))))</f>
        <v/>
      </c>
      <c r="AD299" s="10">
        <f>IF(OR($AC299="",인턴현황!$G$3=""),"",INDEX(인턴근무계획!$M$3:$R$402,$AC299,인턴현황!$G$3)&amp;"")</f>
        <v/>
      </c>
      <c r="AE299" s="10">
        <f>IF($B299="","",IF($M299&lt;&gt;"",$M299,IF($AF299&lt;&gt;"",IF(LEFT(INDEX(파견수련계획!$R$4:$R$803,$AF299),1)&lt;&gt;"⚠",INDEX(파견수련계획!$R$4:$R$803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파견수련계획!$Y$4:$Y$803,0),IFERROR(MATCH(TRIM($J299&amp;"")&amp;"|파견예정",파견수련계획!$Y$4:$Y$803,0),IFERROR(MATCH(TRIM($J299&amp;"")&amp;"|파견종료",파견수련계획!$Y$4:$Y$803,0),""))))</f>
        <v/>
      </c>
      <c r="AG299" s="10">
        <f>IF($B299="","",IF(AND(IF(OR($AC299="",인턴현황!$K$2=""),"",INDEX(인턴근무계획!$M$3:$R$402,$AC299,인턴현황!$K$2)&amp;"")&lt;&gt;"",LEFT(IF(OR($AC299="",인턴현황!$K$2=""),"",INDEX(인턴근무계획!$M$3:$R$402,$AC299,인턴현황!$K$2)&amp;""),1)&lt;&gt;"⚠"),LEFT(IF(OR($AC299="",인턴현황!$K$2=""),"",INDEX(인턴근무계획!$M$3:$R$402,$AC299,인턴현황!$K$2)&amp;""),FIND(" ",IF(OR($AC299="",인턴현황!$K$2=""),"",INDEX(인턴근무계획!$M$3:$R$402,$AC299,인턴현황!$K$2)&amp;""))-1),$AE299))</f>
        <v/>
      </c>
      <c r="AH299" s="17">
        <f>IF($B299="","",IF(TRIM($J299&amp;"")="",0,SUMPRODUCT((파견수련계획!$Q$4:$Q$803=TRIM($J299&amp;""))*(파견수련계획!$S$4:$S$803="서울병원")*파견수련계획!$W$4:$W$803))+IF($AG299="서울병원",MAX(0,DAY(EOMONTH(요약!$B$3,0))-N($X299)),0))</f>
        <v/>
      </c>
      <c r="AI299" s="17">
        <f>IF($B299="","",IF(TRIM($J299&amp;"")="",0,SUMPRODUCT((파견수련계획!$Q$4:$Q$803=TRIM($J299&amp;""))*(파견수련계획!$S$4:$S$803="구리병원")*파견수련계획!$W$4:$W$803))+IF($AG299="구리병원",MAX(0,DAY(EOMONTH(요약!$B$3,0))-N($X299)),0))</f>
        <v/>
      </c>
      <c r="AJ299" s="10">
        <f>IF(OR($B299="",TRIM($J299&amp;"")=""),"",IFERROR(MATCH(TRIM($J299&amp;"")&amp;"|월",파견수련계획!$Z$4:$Z$803,0),""))</f>
        <v/>
      </c>
      <c r="AK299" s="10">
        <f>IF(OR($B299="",TRIM($J299&amp;"")=""),"",IFERROR(MATCH(TRIM($J299&amp;"")&amp;"|다기관",파견수련계획!$AE$4:$AE$803,0),""))</f>
        <v/>
      </c>
      <c r="AL299" s="10">
        <f>IF($AK299="","","다기관 "&amp;TEXT(INDEX(파견수련계획!$AB$4:$AB$803,$AK299),"yyyy-mm-dd")&amp;"~"&amp;IF(ISNUMBER(INDEX(파견수련계획!$AC$4:$AC$803,$AK299)),TEXT(INDEX(파견수련계획!$AC$4:$AC$803,$AK299),"yyyy-mm-dd"),""))</f>
        <v/>
      </c>
    </row>
    <row r="300">
      <c r="A300" s="10">
        <f>IF(B300="","",ROW()-1)</f>
        <v/>
      </c>
      <c r="B300" s="18" t="n"/>
      <c r="C300" s="10">
        <f>IF($AB300="","",IF(INDEX(기본자료!$C$2:$C$1001,$AB300)="","",INDEX(기본자료!$C$2:$C$1001,$AB300)))</f>
        <v/>
      </c>
      <c r="D300" s="10">
        <f>IF($AB300="","",IF(INDEX(기본자료!$J$2:$J$1001,$AB300)="","",INDEX(기본자료!$J$2:$J$1001,$AB300)))</f>
        <v/>
      </c>
      <c r="E300" s="11">
        <f>IF($AB300="","",IF(INDEX(기본자료!$K$2:$K$1001,$AB300)="","",IF(NOT(ISNUMBER(INDEX(기본자료!$K$2:$K$1001,$AB300))),INDEX(기본자료!$K$2:$K$1001,$AB300),IF(INDEX(기본자료!$K$2:$K$1001,$AB300)&lt;1000000,INDEX(기본자료!$K$2:$K$1001,$AB300),IF(AND(INDEX(기본자료!$K$2:$K$1001,$AB300)&gt;=10000101,INT(MOD(INDEX(기본자료!$K$2:$K$1001,$AB300),10000)/100)&gt;=1,INT(MOD(INDEX(기본자료!$K$2:$K$1001,$AB300),10000)/100)&lt;=12,MOD(INDEX(기본자료!$K$2:$K$1001,$AB300),100)&gt;=1,MOD(INDEX(기본자료!$K$2:$K$1001,$AB300),100)&lt;=31),DATE(INT(INDEX(기본자료!$K$2:$K$1001,$AB300)/10000),INT(MOD(INDEX(기본자료!$K$2:$K$1001,$AB300),10000)/100),MOD(INDEX(기본자료!$K$2:$K$1001,$AB300),100)),INDEX(기본자료!$K$2:$K$1001,$AB300)&amp;"")))))</f>
        <v/>
      </c>
      <c r="F300" s="10">
        <f>IF($AB300="","",IF(INDEX(기본자료!$D$2:$D$1001,$AB300)="","",INDEX(기본자료!$D$2:$D$1001,$AB300)))</f>
        <v/>
      </c>
      <c r="G300" s="10">
        <f>IF($AB300="","",IF(INDEX(기본자료!$E$2:$E$1001,$AB300)="","",INDEX(기본자료!$E$2:$E$1001,$AB300)))</f>
        <v/>
      </c>
      <c r="H300" s="10">
        <f>IF($AB300="","",IF(INDEX(기본자료!$F$2:$F$1001,$AB300)="","",INDEX(기본자료!$F$2:$F$1001,$AB300)))</f>
        <v/>
      </c>
      <c r="I300" s="11">
        <f>IF($AB300="","",IF(INDEX(기본자료!$G$2:$G$1001,$AB300)="","",IF(NOT(ISNUMBER(INDEX(기본자료!$G$2:$G$1001,$AB300))),INDEX(기본자료!$G$2:$G$1001,$AB300),IF(INDEX(기본자료!$G$2:$G$1001,$AB300)&lt;1000000,INDEX(기본자료!$G$2:$G$1001,$AB300),IF(AND(INDEX(기본자료!$G$2:$G$1001,$AB300)&gt;=10000101,INT(MOD(INDEX(기본자료!$G$2:$G$1001,$AB300),10000)/100)&gt;=1,INT(MOD(INDEX(기본자료!$G$2:$G$1001,$AB300),10000)/100)&lt;=12,MOD(INDEX(기본자료!$G$2:$G$1001,$AB300),100)&gt;=1,MOD(INDEX(기본자료!$G$2:$G$1001,$AB300),100)&lt;=31),DATE(INT(INDEX(기본자료!$G$2:$G$1001,$AB300)/10000),INT(MOD(INDEX(기본자료!$G$2:$G$1001,$AB300),10000)/100),MOD(INDEX(기본자료!$G$2:$G$1001,$AB300),100)),INDEX(기본자료!$G$2:$G$1001,$AB300)&amp;"")))))</f>
        <v/>
      </c>
      <c r="J300" s="10">
        <f>IF($AB300="","",IF(INDEX(기본자료!$H$2:$H$1001,$AB300)="","",INDEX(기본자료!$H$2:$H$1001,$AB300)))</f>
        <v/>
      </c>
      <c r="K300" s="10">
        <f>IF($AB300="","",IF(INDEX(기본자료!$I$2:$I$1001,$AB300)="","",INDEX(기본자료!$I$2:$I$1001,$AB300)))</f>
        <v/>
      </c>
      <c r="L300" s="10">
        <f>IF($AB300="","",IF(INDEX(기본자료!$A$2:$A$1001,$AB300)="","",INDEX(기본자료!$A$2:$A$1001,$AB300)))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파견수련계획!$AB$4:$AB$803,$AK300),OR(NOT(ISNUMBER(INDEX(파견수련계획!$AC$4:$AC$803,$AK300))),TODAY()&lt;=INDEX(파견수련계획!$AC$4:$AC$803,$AK300))),"다기관",IF($AF300="","",INDEX(파견수련계획!$T$4:$T$803,$AF300))),IF($AF300="","",INDEX(파견수련계획!$T$4:$T$803,$AF300))))</f>
        <v/>
      </c>
      <c r="Q300" s="10">
        <f>IF($AF300="","",INDEX(파견수련계획!$S$4:$S$803,$AF300))</f>
        <v/>
      </c>
      <c r="R300" s="10">
        <f>IF($AF300="","",INDEX(파견수련계획!$U$4:$U$803,$AF300))</f>
        <v/>
      </c>
      <c r="S300" s="11">
        <f>IF($AF300="","",IF(INDEX(파견수련계획!$H$4:$H$803,$AF300)="","",INDEX(파견수련계획!$H$4:$H$803,$AF300)))</f>
        <v/>
      </c>
      <c r="T300" s="11">
        <f>IF($AF300="","",IF(INDEX(파견수련계획!$I$4:$I$803,$AF300)="","",INDEX(파견수련계획!$I$4:$I$803,$AF300)))</f>
        <v/>
      </c>
      <c r="U300" s="10">
        <f>IF($AF300="","",INDEX(파견수련계획!$X$4:$X$803,$AF300))</f>
        <v/>
      </c>
      <c r="V300" s="17">
        <f>IF($AF300="","",INDEX(파견수련계획!$V$4:$V$803,$AF300))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IF(OR($B300="",TRIM($J300&amp;"")=""),"",SUMPRODUCT((파견수련계획!$Q$4:$Q$803=TRIM($J300&amp;""))*파견수련계획!$W$4:$W$803))</f>
        <v/>
      </c>
      <c r="Y300" s="10">
        <f>IF($B300="","",IF($AG300="","",IF(IF(TRIM($J300&amp;"")="",0,SUMPRODUCT((파견수련계획!$Q$4:$Q$803=TRIM($J300&amp;""))*파견수련계획!$AD$4:$AD$803))&gt;0,$AE300,IF(N($X300)&lt;=0,$AG300,IF($AH300+$AI300=DAY(EOMONTH(요약!$B$3,0)),IF(AND($AH300&gt;=요약!$E$3,$AI300&lt;요약!$E$3),"서울병원",IF(AND($AI300&gt;=요약!$E$3,$AH300&lt;요약!$E$3),"구리병원","⚠15일 판정불가(서울 "&amp;$AH300&amp;"일/구리 "&amp;$AI300&amp;"일)")),IF($AJ300="",$AE300,IF(INDEX(파견수련계획!$T$4:$T$803,$AJ300)="통합수련",INDEX(파견수련계획!$S$4:$S$803,$AJ300),$AE300)))))))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입력",IF(IF(TRIM($J300&amp;"")="",0,SUMPRODUCT((파견수련계획!$Q$4:$Q$803=TRIM($J300&amp;""))*(파견수련계획!$AA$4:$AA$803&lt;&gt;"")))&gt;0,"파견수련계획 입력오류 확인",IF(LEFT($Y300,1)="⚠","서울·구리 15일 판정 불가(양쪽 모두 이상/미만)",IF(IF($AC300="",0,N(INDEX(인턴근무계획!$T$3:$T$402,$AC300)))&gt;0,"인턴계획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IF($B300="","",IFERROR(MATCH($B300,기본자료!$B$2:$B$1001,0),IFERROR(MATCH($B300&amp;"",기본자료!$B$2:$B$1001,0),IFERROR(MATCH(VALUE($B300),기본자료!$B$2:$B$1001,0),""))))</f>
        <v/>
      </c>
      <c r="AC300" s="10">
        <f>IF($B300="","",IFERROR(MATCH($B300,인턴근무계획!$D$3:$D$402,0),IFERROR(MATCH($B300&amp;"",인턴근무계획!$D$3:$D$402,0),IFERROR(MATCH(VALUE($B300),인턴근무계획!$D$3:$D$402,0),""))))</f>
        <v/>
      </c>
      <c r="AD300" s="10">
        <f>IF(OR($AC300="",인턴현황!$G$3=""),"",INDEX(인턴근무계획!$M$3:$R$402,$AC300,인턴현황!$G$3)&amp;"")</f>
        <v/>
      </c>
      <c r="AE300" s="10">
        <f>IF($B300="","",IF($M300&lt;&gt;"",$M300,IF($AF300&lt;&gt;"",IF(LEFT(INDEX(파견수련계획!$R$4:$R$803,$AF300),1)&lt;&gt;"⚠",INDEX(파견수련계획!$R$4:$R$803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파견수련계획!$Y$4:$Y$803,0),IFERROR(MATCH(TRIM($J300&amp;"")&amp;"|파견예정",파견수련계획!$Y$4:$Y$803,0),IFERROR(MATCH(TRIM($J300&amp;"")&amp;"|파견종료",파견수련계획!$Y$4:$Y$803,0),""))))</f>
        <v/>
      </c>
      <c r="AG300" s="10">
        <f>IF($B300="","",IF(AND(IF(OR($AC300="",인턴현황!$K$2=""),"",INDEX(인턴근무계획!$M$3:$R$402,$AC300,인턴현황!$K$2)&amp;"")&lt;&gt;"",LEFT(IF(OR($AC300="",인턴현황!$K$2=""),"",INDEX(인턴근무계획!$M$3:$R$402,$AC300,인턴현황!$K$2)&amp;""),1)&lt;&gt;"⚠"),LEFT(IF(OR($AC300="",인턴현황!$K$2=""),"",INDEX(인턴근무계획!$M$3:$R$402,$AC300,인턴현황!$K$2)&amp;""),FIND(" ",IF(OR($AC300="",인턴현황!$K$2=""),"",INDEX(인턴근무계획!$M$3:$R$402,$AC300,인턴현황!$K$2)&amp;""))-1),$AE300))</f>
        <v/>
      </c>
      <c r="AH300" s="17">
        <f>IF($B300="","",IF(TRIM($J300&amp;"")="",0,SUMPRODUCT((파견수련계획!$Q$4:$Q$803=TRIM($J300&amp;""))*(파견수련계획!$S$4:$S$803="서울병원")*파견수련계획!$W$4:$W$803))+IF($AG300="서울병원",MAX(0,DAY(EOMONTH(요약!$B$3,0))-N($X300)),0))</f>
        <v/>
      </c>
      <c r="AI300" s="17">
        <f>IF($B300="","",IF(TRIM($J300&amp;"")="",0,SUMPRODUCT((파견수련계획!$Q$4:$Q$803=TRIM($J300&amp;""))*(파견수련계획!$S$4:$S$803="구리병원")*파견수련계획!$W$4:$W$803))+IF($AG300="구리병원",MAX(0,DAY(EOMONTH(요약!$B$3,0))-N($X300)),0))</f>
        <v/>
      </c>
      <c r="AJ300" s="10">
        <f>IF(OR($B300="",TRIM($J300&amp;"")=""),"",IFERROR(MATCH(TRIM($J300&amp;"")&amp;"|월",파견수련계획!$Z$4:$Z$803,0),""))</f>
        <v/>
      </c>
      <c r="AK300" s="10">
        <f>IF(OR($B300="",TRIM($J300&amp;"")=""),"",IFERROR(MATCH(TRIM($J300&amp;"")&amp;"|다기관",파견수련계획!$AE$4:$AE$803,0),""))</f>
        <v/>
      </c>
      <c r="AL300" s="10">
        <f>IF($AK300="","","다기관 "&amp;TEXT(INDEX(파견수련계획!$AB$4:$AB$803,$AK300),"yyyy-mm-dd")&amp;"~"&amp;IF(ISNUMBER(INDEX(파견수련계획!$AC$4:$AC$803,$AK300)),TEXT(INDEX(파견수련계획!$AC$4:$AC$803,$AK300),"yyyy-mm-dd"),""))</f>
        <v/>
      </c>
    </row>
    <row r="301">
      <c r="A301" s="10">
        <f>IF(B301="","",ROW()-1)</f>
        <v/>
      </c>
      <c r="B301" s="18" t="n"/>
      <c r="C301" s="10">
        <f>IF($AB301="","",IF(INDEX(기본자료!$C$2:$C$1001,$AB301)="","",INDEX(기본자료!$C$2:$C$1001,$AB301)))</f>
        <v/>
      </c>
      <c r="D301" s="10">
        <f>IF($AB301="","",IF(INDEX(기본자료!$J$2:$J$1001,$AB301)="","",INDEX(기본자료!$J$2:$J$1001,$AB301)))</f>
        <v/>
      </c>
      <c r="E301" s="11">
        <f>IF($AB301="","",IF(INDEX(기본자료!$K$2:$K$1001,$AB301)="","",IF(NOT(ISNUMBER(INDEX(기본자료!$K$2:$K$1001,$AB301))),INDEX(기본자료!$K$2:$K$1001,$AB301),IF(INDEX(기본자료!$K$2:$K$1001,$AB301)&lt;1000000,INDEX(기본자료!$K$2:$K$1001,$AB301),IF(AND(INDEX(기본자료!$K$2:$K$1001,$AB301)&gt;=10000101,INT(MOD(INDEX(기본자료!$K$2:$K$1001,$AB301),10000)/100)&gt;=1,INT(MOD(INDEX(기본자료!$K$2:$K$1001,$AB301),10000)/100)&lt;=12,MOD(INDEX(기본자료!$K$2:$K$1001,$AB301),100)&gt;=1,MOD(INDEX(기본자료!$K$2:$K$1001,$AB301),100)&lt;=31),DATE(INT(INDEX(기본자료!$K$2:$K$1001,$AB301)/10000),INT(MOD(INDEX(기본자료!$K$2:$K$1001,$AB301),10000)/100),MOD(INDEX(기본자료!$K$2:$K$1001,$AB301),100)),INDEX(기본자료!$K$2:$K$1001,$AB301)&amp;"")))))</f>
        <v/>
      </c>
      <c r="F301" s="10">
        <f>IF($AB301="","",IF(INDEX(기본자료!$D$2:$D$1001,$AB301)="","",INDEX(기본자료!$D$2:$D$1001,$AB301)))</f>
        <v/>
      </c>
      <c r="G301" s="10">
        <f>IF($AB301="","",IF(INDEX(기본자료!$E$2:$E$1001,$AB301)="","",INDEX(기본자료!$E$2:$E$1001,$AB301)))</f>
        <v/>
      </c>
      <c r="H301" s="10">
        <f>IF($AB301="","",IF(INDEX(기본자료!$F$2:$F$1001,$AB301)="","",INDEX(기본자료!$F$2:$F$1001,$AB301)))</f>
        <v/>
      </c>
      <c r="I301" s="11">
        <f>IF($AB301="","",IF(INDEX(기본자료!$G$2:$G$1001,$AB301)="","",IF(NOT(ISNUMBER(INDEX(기본자료!$G$2:$G$1001,$AB301))),INDEX(기본자료!$G$2:$G$1001,$AB301),IF(INDEX(기본자료!$G$2:$G$1001,$AB301)&lt;1000000,INDEX(기본자료!$G$2:$G$1001,$AB301),IF(AND(INDEX(기본자료!$G$2:$G$1001,$AB301)&gt;=10000101,INT(MOD(INDEX(기본자료!$G$2:$G$1001,$AB301),10000)/100)&gt;=1,INT(MOD(INDEX(기본자료!$G$2:$G$1001,$AB301),10000)/100)&lt;=12,MOD(INDEX(기본자료!$G$2:$G$1001,$AB301),100)&gt;=1,MOD(INDEX(기본자료!$G$2:$G$1001,$AB301),100)&lt;=31),DATE(INT(INDEX(기본자료!$G$2:$G$1001,$AB301)/10000),INT(MOD(INDEX(기본자료!$G$2:$G$1001,$AB301),10000)/100),MOD(INDEX(기본자료!$G$2:$G$1001,$AB301),100)),INDEX(기본자료!$G$2:$G$1001,$AB301)&amp;"")))))</f>
        <v/>
      </c>
      <c r="J301" s="10">
        <f>IF($AB301="","",IF(INDEX(기본자료!$H$2:$H$1001,$AB301)="","",INDEX(기본자료!$H$2:$H$1001,$AB301)))</f>
        <v/>
      </c>
      <c r="K301" s="10">
        <f>IF($AB301="","",IF(INDEX(기본자료!$I$2:$I$1001,$AB301)="","",INDEX(기본자료!$I$2:$I$1001,$AB301)))</f>
        <v/>
      </c>
      <c r="L301" s="10">
        <f>IF($AB301="","",IF(INDEX(기본자료!$A$2:$A$1001,$AB301)="","",INDEX(기본자료!$A$2:$A$1001,$AB301)))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파견수련계획!$AB$4:$AB$803,$AK301),OR(NOT(ISNUMBER(INDEX(파견수련계획!$AC$4:$AC$803,$AK301))),TODAY()&lt;=INDEX(파견수련계획!$AC$4:$AC$803,$AK301))),"다기관",IF($AF301="","",INDEX(파견수련계획!$T$4:$T$803,$AF301))),IF($AF301="","",INDEX(파견수련계획!$T$4:$T$803,$AF301))))</f>
        <v/>
      </c>
      <c r="Q301" s="10">
        <f>IF($AF301="","",INDEX(파견수련계획!$S$4:$S$803,$AF301))</f>
        <v/>
      </c>
      <c r="R301" s="10">
        <f>IF($AF301="","",INDEX(파견수련계획!$U$4:$U$803,$AF301))</f>
        <v/>
      </c>
      <c r="S301" s="11">
        <f>IF($AF301="","",IF(INDEX(파견수련계획!$H$4:$H$803,$AF301)="","",INDEX(파견수련계획!$H$4:$H$803,$AF301)))</f>
        <v/>
      </c>
      <c r="T301" s="11">
        <f>IF($AF301="","",IF(INDEX(파견수련계획!$I$4:$I$803,$AF301)="","",INDEX(파견수련계획!$I$4:$I$803,$AF301)))</f>
        <v/>
      </c>
      <c r="U301" s="10">
        <f>IF($AF301="","",INDEX(파견수련계획!$X$4:$X$803,$AF301))</f>
        <v/>
      </c>
      <c r="V301" s="17">
        <f>IF($AF301="","",INDEX(파견수련계획!$V$4:$V$803,$AF301))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IF(OR($B301="",TRIM($J301&amp;"")=""),"",SUMPRODUCT((파견수련계획!$Q$4:$Q$803=TRIM($J301&amp;""))*파견수련계획!$W$4:$W$803))</f>
        <v/>
      </c>
      <c r="Y301" s="10">
        <f>IF($B301="","",IF($AG301="","",IF(IF(TRIM($J301&amp;"")="",0,SUMPRODUCT((파견수련계획!$Q$4:$Q$803=TRIM($J301&amp;""))*파견수련계획!$AD$4:$AD$803))&gt;0,$AE301,IF(N($X301)&lt;=0,$AG301,IF($AH301+$AI301=DAY(EOMONTH(요약!$B$3,0)),IF(AND($AH301&gt;=요약!$E$3,$AI301&lt;요약!$E$3),"서울병원",IF(AND($AI301&gt;=요약!$E$3,$AH301&lt;요약!$E$3),"구리병원","⚠15일 판정불가(서울 "&amp;$AH301&amp;"일/구리 "&amp;$AI301&amp;"일)")),IF($AJ301="",$AE301,IF(INDEX(파견수련계획!$T$4:$T$803,$AJ301)="통합수련",INDEX(파견수련계획!$S$4:$S$803,$AJ301),$AE301)))))))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입력",IF(IF(TRIM($J301&amp;"")="",0,SUMPRODUCT((파견수련계획!$Q$4:$Q$803=TRIM($J301&amp;""))*(파견수련계획!$AA$4:$AA$803&lt;&gt;"")))&gt;0,"파견수련계획 입력오류 확인",IF(LEFT($Y301,1)="⚠","서울·구리 15일 판정 불가(양쪽 모두 이상/미만)",IF(IF($AC301="",0,N(INDEX(인턴근무계획!$T$3:$T$402,$AC301)))&gt;0,"인턴계획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IF($B301="","",IFERROR(MATCH($B301,기본자료!$B$2:$B$1001,0),IFERROR(MATCH($B301&amp;"",기본자료!$B$2:$B$1001,0),IFERROR(MATCH(VALUE($B301),기본자료!$B$2:$B$1001,0),""))))</f>
        <v/>
      </c>
      <c r="AC301" s="10">
        <f>IF($B301="","",IFERROR(MATCH($B301,인턴근무계획!$D$3:$D$402,0),IFERROR(MATCH($B301&amp;"",인턴근무계획!$D$3:$D$402,0),IFERROR(MATCH(VALUE($B301),인턴근무계획!$D$3:$D$402,0),""))))</f>
        <v/>
      </c>
      <c r="AD301" s="10">
        <f>IF(OR($AC301="",인턴현황!$G$3=""),"",INDEX(인턴근무계획!$M$3:$R$402,$AC301,인턴현황!$G$3)&amp;"")</f>
        <v/>
      </c>
      <c r="AE301" s="10">
        <f>IF($B301="","",IF($M301&lt;&gt;"",$M301,IF($AF301&lt;&gt;"",IF(LEFT(INDEX(파견수련계획!$R$4:$R$803,$AF301),1)&lt;&gt;"⚠",INDEX(파견수련계획!$R$4:$R$803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파견수련계획!$Y$4:$Y$803,0),IFERROR(MATCH(TRIM($J301&amp;"")&amp;"|파견예정",파견수련계획!$Y$4:$Y$803,0),IFERROR(MATCH(TRIM($J301&amp;"")&amp;"|파견종료",파견수련계획!$Y$4:$Y$803,0),""))))</f>
        <v/>
      </c>
      <c r="AG301" s="10">
        <f>IF($B301="","",IF(AND(IF(OR($AC301="",인턴현황!$K$2=""),"",INDEX(인턴근무계획!$M$3:$R$402,$AC301,인턴현황!$K$2)&amp;"")&lt;&gt;"",LEFT(IF(OR($AC301="",인턴현황!$K$2=""),"",INDEX(인턴근무계획!$M$3:$R$402,$AC301,인턴현황!$K$2)&amp;""),1)&lt;&gt;"⚠"),LEFT(IF(OR($AC301="",인턴현황!$K$2=""),"",INDEX(인턴근무계획!$M$3:$R$402,$AC301,인턴현황!$K$2)&amp;""),FIND(" ",IF(OR($AC301="",인턴현황!$K$2=""),"",INDEX(인턴근무계획!$M$3:$R$402,$AC301,인턴현황!$K$2)&amp;""))-1),$AE301))</f>
        <v/>
      </c>
      <c r="AH301" s="17">
        <f>IF($B301="","",IF(TRIM($J301&amp;"")="",0,SUMPRODUCT((파견수련계획!$Q$4:$Q$803=TRIM($J301&amp;""))*(파견수련계획!$S$4:$S$803="서울병원")*파견수련계획!$W$4:$W$803))+IF($AG301="서울병원",MAX(0,DAY(EOMONTH(요약!$B$3,0))-N($X301)),0))</f>
        <v/>
      </c>
      <c r="AI301" s="17">
        <f>IF($B301="","",IF(TRIM($J301&amp;"")="",0,SUMPRODUCT((파견수련계획!$Q$4:$Q$803=TRIM($J301&amp;""))*(파견수련계획!$S$4:$S$803="구리병원")*파견수련계획!$W$4:$W$803))+IF($AG301="구리병원",MAX(0,DAY(EOMONTH(요약!$B$3,0))-N($X301)),0))</f>
        <v/>
      </c>
      <c r="AJ301" s="10">
        <f>IF(OR($B301="",TRIM($J301&amp;"")=""),"",IFERROR(MATCH(TRIM($J301&amp;"")&amp;"|월",파견수련계획!$Z$4:$Z$803,0),""))</f>
        <v/>
      </c>
      <c r="AK301" s="10">
        <f>IF(OR($B301="",TRIM($J301&amp;"")=""),"",IFERROR(MATCH(TRIM($J301&amp;"")&amp;"|다기관",파견수련계획!$AE$4:$AE$803,0),""))</f>
        <v/>
      </c>
      <c r="AL301" s="10">
        <f>IF($AK301="","","다기관 "&amp;TEXT(INDEX(파견수련계획!$AB$4:$AB$803,$AK301),"yyyy-mm-dd")&amp;"~"&amp;IF(ISNUMBER(INDEX(파견수련계획!$AC$4:$AC$803,$AK301)),TEXT(INDEX(파견수련계획!$AC$4:$AC$803,$AK301),"yyyy-mm-dd"),""))</f>
        <v/>
      </c>
    </row>
    <row r="302">
      <c r="A302" s="10">
        <f>IF(B302="","",ROW()-1)</f>
        <v/>
      </c>
      <c r="B302" s="18" t="n"/>
      <c r="C302" s="10">
        <f>IF($AB302="","",IF(INDEX(기본자료!$C$2:$C$1001,$AB302)="","",INDEX(기본자료!$C$2:$C$1001,$AB302)))</f>
        <v/>
      </c>
      <c r="D302" s="10">
        <f>IF($AB302="","",IF(INDEX(기본자료!$J$2:$J$1001,$AB302)="","",INDEX(기본자료!$J$2:$J$1001,$AB302)))</f>
        <v/>
      </c>
      <c r="E302" s="11">
        <f>IF($AB302="","",IF(INDEX(기본자료!$K$2:$K$1001,$AB302)="","",IF(NOT(ISNUMBER(INDEX(기본자료!$K$2:$K$1001,$AB302))),INDEX(기본자료!$K$2:$K$1001,$AB302),IF(INDEX(기본자료!$K$2:$K$1001,$AB302)&lt;1000000,INDEX(기본자료!$K$2:$K$1001,$AB302),IF(AND(INDEX(기본자료!$K$2:$K$1001,$AB302)&gt;=10000101,INT(MOD(INDEX(기본자료!$K$2:$K$1001,$AB302),10000)/100)&gt;=1,INT(MOD(INDEX(기본자료!$K$2:$K$1001,$AB302),10000)/100)&lt;=12,MOD(INDEX(기본자료!$K$2:$K$1001,$AB302),100)&gt;=1,MOD(INDEX(기본자료!$K$2:$K$1001,$AB302),100)&lt;=31),DATE(INT(INDEX(기본자료!$K$2:$K$1001,$AB302)/10000),INT(MOD(INDEX(기본자료!$K$2:$K$1001,$AB302),10000)/100),MOD(INDEX(기본자료!$K$2:$K$1001,$AB302),100)),INDEX(기본자료!$K$2:$K$1001,$AB302)&amp;"")))))</f>
        <v/>
      </c>
      <c r="F302" s="10">
        <f>IF($AB302="","",IF(INDEX(기본자료!$D$2:$D$1001,$AB302)="","",INDEX(기본자료!$D$2:$D$1001,$AB302)))</f>
        <v/>
      </c>
      <c r="G302" s="10">
        <f>IF($AB302="","",IF(INDEX(기본자료!$E$2:$E$1001,$AB302)="","",INDEX(기본자료!$E$2:$E$1001,$AB302)))</f>
        <v/>
      </c>
      <c r="H302" s="10">
        <f>IF($AB302="","",IF(INDEX(기본자료!$F$2:$F$1001,$AB302)="","",INDEX(기본자료!$F$2:$F$1001,$AB302)))</f>
        <v/>
      </c>
      <c r="I302" s="11">
        <f>IF($AB302="","",IF(INDEX(기본자료!$G$2:$G$1001,$AB302)="","",IF(NOT(ISNUMBER(INDEX(기본자료!$G$2:$G$1001,$AB302))),INDEX(기본자료!$G$2:$G$1001,$AB302),IF(INDEX(기본자료!$G$2:$G$1001,$AB302)&lt;1000000,INDEX(기본자료!$G$2:$G$1001,$AB302),IF(AND(INDEX(기본자료!$G$2:$G$1001,$AB302)&gt;=10000101,INT(MOD(INDEX(기본자료!$G$2:$G$1001,$AB302),10000)/100)&gt;=1,INT(MOD(INDEX(기본자료!$G$2:$G$1001,$AB302),10000)/100)&lt;=12,MOD(INDEX(기본자료!$G$2:$G$1001,$AB302),100)&gt;=1,MOD(INDEX(기본자료!$G$2:$G$1001,$AB302),100)&lt;=31),DATE(INT(INDEX(기본자료!$G$2:$G$1001,$AB302)/10000),INT(MOD(INDEX(기본자료!$G$2:$G$1001,$AB302),10000)/100),MOD(INDEX(기본자료!$G$2:$G$1001,$AB302),100)),INDEX(기본자료!$G$2:$G$1001,$AB302)&amp;"")))))</f>
        <v/>
      </c>
      <c r="J302" s="10">
        <f>IF($AB302="","",IF(INDEX(기본자료!$H$2:$H$1001,$AB302)="","",INDEX(기본자료!$H$2:$H$1001,$AB302)))</f>
        <v/>
      </c>
      <c r="K302" s="10">
        <f>IF($AB302="","",IF(INDEX(기본자료!$I$2:$I$1001,$AB302)="","",INDEX(기본자료!$I$2:$I$1001,$AB302)))</f>
        <v/>
      </c>
      <c r="L302" s="10">
        <f>IF($AB302="","",IF(INDEX(기본자료!$A$2:$A$1001,$AB302)="","",INDEX(기본자료!$A$2:$A$1001,$AB302)))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파견수련계획!$AB$4:$AB$803,$AK302),OR(NOT(ISNUMBER(INDEX(파견수련계획!$AC$4:$AC$803,$AK302))),TODAY()&lt;=INDEX(파견수련계획!$AC$4:$AC$803,$AK302))),"다기관",IF($AF302="","",INDEX(파견수련계획!$T$4:$T$803,$AF302))),IF($AF302="","",INDEX(파견수련계획!$T$4:$T$803,$AF302))))</f>
        <v/>
      </c>
      <c r="Q302" s="10">
        <f>IF($AF302="","",INDEX(파견수련계획!$S$4:$S$803,$AF302))</f>
        <v/>
      </c>
      <c r="R302" s="10">
        <f>IF($AF302="","",INDEX(파견수련계획!$U$4:$U$803,$AF302))</f>
        <v/>
      </c>
      <c r="S302" s="11">
        <f>IF($AF302="","",IF(INDEX(파견수련계획!$H$4:$H$803,$AF302)="","",INDEX(파견수련계획!$H$4:$H$803,$AF302)))</f>
        <v/>
      </c>
      <c r="T302" s="11">
        <f>IF($AF302="","",IF(INDEX(파견수련계획!$I$4:$I$803,$AF302)="","",INDEX(파견수련계획!$I$4:$I$803,$AF302)))</f>
        <v/>
      </c>
      <c r="U302" s="10">
        <f>IF($AF302="","",INDEX(파견수련계획!$X$4:$X$803,$AF302))</f>
        <v/>
      </c>
      <c r="V302" s="17">
        <f>IF($AF302="","",INDEX(파견수련계획!$V$4:$V$803,$AF302))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IF(OR($B302="",TRIM($J302&amp;"")=""),"",SUMPRODUCT((파견수련계획!$Q$4:$Q$803=TRIM($J302&amp;""))*파견수련계획!$W$4:$W$803))</f>
        <v/>
      </c>
      <c r="Y302" s="10">
        <f>IF($B302="","",IF($AG302="","",IF(IF(TRIM($J302&amp;"")="",0,SUMPRODUCT((파견수련계획!$Q$4:$Q$803=TRIM($J302&amp;""))*파견수련계획!$AD$4:$AD$803))&gt;0,$AE302,IF(N($X302)&lt;=0,$AG302,IF($AH302+$AI302=DAY(EOMONTH(요약!$B$3,0)),IF(AND($AH302&gt;=요약!$E$3,$AI302&lt;요약!$E$3),"서울병원",IF(AND($AI302&gt;=요약!$E$3,$AH302&lt;요약!$E$3),"구리병원","⚠15일 판정불가(서울 "&amp;$AH302&amp;"일/구리 "&amp;$AI302&amp;"일)")),IF($AJ302="",$AE302,IF(INDEX(파견수련계획!$T$4:$T$803,$AJ302)="통합수련",INDEX(파견수련계획!$S$4:$S$803,$AJ302),$AE302)))))))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입력",IF(IF(TRIM($J302&amp;"")="",0,SUMPRODUCT((파견수련계획!$Q$4:$Q$803=TRIM($J302&amp;""))*(파견수련계획!$AA$4:$AA$803&lt;&gt;"")))&gt;0,"파견수련계획 입력오류 확인",IF(LEFT($Y302,1)="⚠","서울·구리 15일 판정 불가(양쪽 모두 이상/미만)",IF(IF($AC302="",0,N(INDEX(인턴근무계획!$T$3:$T$402,$AC302)))&gt;0,"인턴계획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IF($B302="","",IFERROR(MATCH($B302,기본자료!$B$2:$B$1001,0),IFERROR(MATCH($B302&amp;"",기본자료!$B$2:$B$1001,0),IFERROR(MATCH(VALUE($B302),기본자료!$B$2:$B$1001,0),""))))</f>
        <v/>
      </c>
      <c r="AC302" s="10">
        <f>IF($B302="","",IFERROR(MATCH($B302,인턴근무계획!$D$3:$D$402,0),IFERROR(MATCH($B302&amp;"",인턴근무계획!$D$3:$D$402,0),IFERROR(MATCH(VALUE($B302),인턴근무계획!$D$3:$D$402,0),""))))</f>
        <v/>
      </c>
      <c r="AD302" s="10">
        <f>IF(OR($AC302="",인턴현황!$G$3=""),"",INDEX(인턴근무계획!$M$3:$R$402,$AC302,인턴현황!$G$3)&amp;"")</f>
        <v/>
      </c>
      <c r="AE302" s="10">
        <f>IF($B302="","",IF($M302&lt;&gt;"",$M302,IF($AF302&lt;&gt;"",IF(LEFT(INDEX(파견수련계획!$R$4:$R$803,$AF302),1)&lt;&gt;"⚠",INDEX(파견수련계획!$R$4:$R$803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파견수련계획!$Y$4:$Y$803,0),IFERROR(MATCH(TRIM($J302&amp;"")&amp;"|파견예정",파견수련계획!$Y$4:$Y$803,0),IFERROR(MATCH(TRIM($J302&amp;"")&amp;"|파견종료",파견수련계획!$Y$4:$Y$803,0),""))))</f>
        <v/>
      </c>
      <c r="AG302" s="10">
        <f>IF($B302="","",IF(AND(IF(OR($AC302="",인턴현황!$K$2=""),"",INDEX(인턴근무계획!$M$3:$R$402,$AC302,인턴현황!$K$2)&amp;"")&lt;&gt;"",LEFT(IF(OR($AC302="",인턴현황!$K$2=""),"",INDEX(인턴근무계획!$M$3:$R$402,$AC302,인턴현황!$K$2)&amp;""),1)&lt;&gt;"⚠"),LEFT(IF(OR($AC302="",인턴현황!$K$2=""),"",INDEX(인턴근무계획!$M$3:$R$402,$AC302,인턴현황!$K$2)&amp;""),FIND(" ",IF(OR($AC302="",인턴현황!$K$2=""),"",INDEX(인턴근무계획!$M$3:$R$402,$AC302,인턴현황!$K$2)&amp;""))-1),$AE302))</f>
        <v/>
      </c>
      <c r="AH302" s="17">
        <f>IF($B302="","",IF(TRIM($J302&amp;"")="",0,SUMPRODUCT((파견수련계획!$Q$4:$Q$803=TRIM($J302&amp;""))*(파견수련계획!$S$4:$S$803="서울병원")*파견수련계획!$W$4:$W$803))+IF($AG302="서울병원",MAX(0,DAY(EOMONTH(요약!$B$3,0))-N($X302)),0))</f>
        <v/>
      </c>
      <c r="AI302" s="17">
        <f>IF($B302="","",IF(TRIM($J302&amp;"")="",0,SUMPRODUCT((파견수련계획!$Q$4:$Q$803=TRIM($J302&amp;""))*(파견수련계획!$S$4:$S$803="구리병원")*파견수련계획!$W$4:$W$803))+IF($AG302="구리병원",MAX(0,DAY(EOMONTH(요약!$B$3,0))-N($X302)),0))</f>
        <v/>
      </c>
      <c r="AJ302" s="10">
        <f>IF(OR($B302="",TRIM($J302&amp;"")=""),"",IFERROR(MATCH(TRIM($J302&amp;"")&amp;"|월",파견수련계획!$Z$4:$Z$803,0),""))</f>
        <v/>
      </c>
      <c r="AK302" s="10">
        <f>IF(OR($B302="",TRIM($J302&amp;"")=""),"",IFERROR(MATCH(TRIM($J302&amp;"")&amp;"|다기관",파견수련계획!$AE$4:$AE$803,0),""))</f>
        <v/>
      </c>
      <c r="AL302" s="10">
        <f>IF($AK302="","","다기관 "&amp;TEXT(INDEX(파견수련계획!$AB$4:$AB$803,$AK302),"yyyy-mm-dd")&amp;"~"&amp;IF(ISNUMBER(INDEX(파견수련계획!$AC$4:$AC$803,$AK302)),TEXT(INDEX(파견수련계획!$AC$4:$AC$803,$AK302),"yyyy-mm-dd"),""))</f>
        <v/>
      </c>
    </row>
    <row r="303">
      <c r="A303" s="10">
        <f>IF(B303="","",ROW()-1)</f>
        <v/>
      </c>
      <c r="B303" s="18" t="n"/>
      <c r="C303" s="10">
        <f>IF($AB303="","",IF(INDEX(기본자료!$C$2:$C$1001,$AB303)="","",INDEX(기본자료!$C$2:$C$1001,$AB303)))</f>
        <v/>
      </c>
      <c r="D303" s="10">
        <f>IF($AB303="","",IF(INDEX(기본자료!$J$2:$J$1001,$AB303)="","",INDEX(기본자료!$J$2:$J$1001,$AB303)))</f>
        <v/>
      </c>
      <c r="E303" s="11">
        <f>IF($AB303="","",IF(INDEX(기본자료!$K$2:$K$1001,$AB303)="","",IF(NOT(ISNUMBER(INDEX(기본자료!$K$2:$K$1001,$AB303))),INDEX(기본자료!$K$2:$K$1001,$AB303),IF(INDEX(기본자료!$K$2:$K$1001,$AB303)&lt;1000000,INDEX(기본자료!$K$2:$K$1001,$AB303),IF(AND(INDEX(기본자료!$K$2:$K$1001,$AB303)&gt;=10000101,INT(MOD(INDEX(기본자료!$K$2:$K$1001,$AB303),10000)/100)&gt;=1,INT(MOD(INDEX(기본자료!$K$2:$K$1001,$AB303),10000)/100)&lt;=12,MOD(INDEX(기본자료!$K$2:$K$1001,$AB303),100)&gt;=1,MOD(INDEX(기본자료!$K$2:$K$1001,$AB303),100)&lt;=31),DATE(INT(INDEX(기본자료!$K$2:$K$1001,$AB303)/10000),INT(MOD(INDEX(기본자료!$K$2:$K$1001,$AB303),10000)/100),MOD(INDEX(기본자료!$K$2:$K$1001,$AB303),100)),INDEX(기본자료!$K$2:$K$1001,$AB303)&amp;"")))))</f>
        <v/>
      </c>
      <c r="F303" s="10">
        <f>IF($AB303="","",IF(INDEX(기본자료!$D$2:$D$1001,$AB303)="","",INDEX(기본자료!$D$2:$D$1001,$AB303)))</f>
        <v/>
      </c>
      <c r="G303" s="10">
        <f>IF($AB303="","",IF(INDEX(기본자료!$E$2:$E$1001,$AB303)="","",INDEX(기본자료!$E$2:$E$1001,$AB303)))</f>
        <v/>
      </c>
      <c r="H303" s="10">
        <f>IF($AB303="","",IF(INDEX(기본자료!$F$2:$F$1001,$AB303)="","",INDEX(기본자료!$F$2:$F$1001,$AB303)))</f>
        <v/>
      </c>
      <c r="I303" s="11">
        <f>IF($AB303="","",IF(INDEX(기본자료!$G$2:$G$1001,$AB303)="","",IF(NOT(ISNUMBER(INDEX(기본자료!$G$2:$G$1001,$AB303))),INDEX(기본자료!$G$2:$G$1001,$AB303),IF(INDEX(기본자료!$G$2:$G$1001,$AB303)&lt;1000000,INDEX(기본자료!$G$2:$G$1001,$AB303),IF(AND(INDEX(기본자료!$G$2:$G$1001,$AB303)&gt;=10000101,INT(MOD(INDEX(기본자료!$G$2:$G$1001,$AB303),10000)/100)&gt;=1,INT(MOD(INDEX(기본자료!$G$2:$G$1001,$AB303),10000)/100)&lt;=12,MOD(INDEX(기본자료!$G$2:$G$1001,$AB303),100)&gt;=1,MOD(INDEX(기본자료!$G$2:$G$1001,$AB303),100)&lt;=31),DATE(INT(INDEX(기본자료!$G$2:$G$1001,$AB303)/10000),INT(MOD(INDEX(기본자료!$G$2:$G$1001,$AB303),10000)/100),MOD(INDEX(기본자료!$G$2:$G$1001,$AB303),100)),INDEX(기본자료!$G$2:$G$1001,$AB303)&amp;"")))))</f>
        <v/>
      </c>
      <c r="J303" s="10">
        <f>IF($AB303="","",IF(INDEX(기본자료!$H$2:$H$1001,$AB303)="","",INDEX(기본자료!$H$2:$H$1001,$AB303)))</f>
        <v/>
      </c>
      <c r="K303" s="10">
        <f>IF($AB303="","",IF(INDEX(기본자료!$I$2:$I$1001,$AB303)="","",INDEX(기본자료!$I$2:$I$1001,$AB303)))</f>
        <v/>
      </c>
      <c r="L303" s="10">
        <f>IF($AB303="","",IF(INDEX(기본자료!$A$2:$A$1001,$AB303)="","",INDEX(기본자료!$A$2:$A$1001,$AB303)))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파견수련계획!$AB$4:$AB$803,$AK303),OR(NOT(ISNUMBER(INDEX(파견수련계획!$AC$4:$AC$803,$AK303))),TODAY()&lt;=INDEX(파견수련계획!$AC$4:$AC$803,$AK303))),"다기관",IF($AF303="","",INDEX(파견수련계획!$T$4:$T$803,$AF303))),IF($AF303="","",INDEX(파견수련계획!$T$4:$T$803,$AF303))))</f>
        <v/>
      </c>
      <c r="Q303" s="10">
        <f>IF($AF303="","",INDEX(파견수련계획!$S$4:$S$803,$AF303))</f>
        <v/>
      </c>
      <c r="R303" s="10">
        <f>IF($AF303="","",INDEX(파견수련계획!$U$4:$U$803,$AF303))</f>
        <v/>
      </c>
      <c r="S303" s="11">
        <f>IF($AF303="","",IF(INDEX(파견수련계획!$H$4:$H$803,$AF303)="","",INDEX(파견수련계획!$H$4:$H$803,$AF303)))</f>
        <v/>
      </c>
      <c r="T303" s="11">
        <f>IF($AF303="","",IF(INDEX(파견수련계획!$I$4:$I$803,$AF303)="","",INDEX(파견수련계획!$I$4:$I$803,$AF303)))</f>
        <v/>
      </c>
      <c r="U303" s="10">
        <f>IF($AF303="","",INDEX(파견수련계획!$X$4:$X$803,$AF303))</f>
        <v/>
      </c>
      <c r="V303" s="17">
        <f>IF($AF303="","",INDEX(파견수련계획!$V$4:$V$803,$AF303))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IF(OR($B303="",TRIM($J303&amp;"")=""),"",SUMPRODUCT((파견수련계획!$Q$4:$Q$803=TRIM($J303&amp;""))*파견수련계획!$W$4:$W$803))</f>
        <v/>
      </c>
      <c r="Y303" s="10">
        <f>IF($B303="","",IF($AG303="","",IF(IF(TRIM($J303&amp;"")="",0,SUMPRODUCT((파견수련계획!$Q$4:$Q$803=TRIM($J303&amp;""))*파견수련계획!$AD$4:$AD$803))&gt;0,$AE303,IF(N($X303)&lt;=0,$AG303,IF($AH303+$AI303=DAY(EOMONTH(요약!$B$3,0)),IF(AND($AH303&gt;=요약!$E$3,$AI303&lt;요약!$E$3),"서울병원",IF(AND($AI303&gt;=요약!$E$3,$AH303&lt;요약!$E$3),"구리병원","⚠15일 판정불가(서울 "&amp;$AH303&amp;"일/구리 "&amp;$AI303&amp;"일)")),IF($AJ303="",$AE303,IF(INDEX(파견수련계획!$T$4:$T$803,$AJ303)="통합수련",INDEX(파견수련계획!$S$4:$S$803,$AJ303),$AE303)))))))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입력",IF(IF(TRIM($J303&amp;"")="",0,SUMPRODUCT((파견수련계획!$Q$4:$Q$803=TRIM($J303&amp;""))*(파견수련계획!$AA$4:$AA$803&lt;&gt;"")))&gt;0,"파견수련계획 입력오류 확인",IF(LEFT($Y303,1)="⚠","서울·구리 15일 판정 불가(양쪽 모두 이상/미만)",IF(IF($AC303="",0,N(INDEX(인턴근무계획!$T$3:$T$402,$AC303)))&gt;0,"인턴계획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IF($B303="","",IFERROR(MATCH($B303,기본자료!$B$2:$B$1001,0),IFERROR(MATCH($B303&amp;"",기본자료!$B$2:$B$1001,0),IFERROR(MATCH(VALUE($B303),기본자료!$B$2:$B$1001,0),""))))</f>
        <v/>
      </c>
      <c r="AC303" s="10">
        <f>IF($B303="","",IFERROR(MATCH($B303,인턴근무계획!$D$3:$D$402,0),IFERROR(MATCH($B303&amp;"",인턴근무계획!$D$3:$D$402,0),IFERROR(MATCH(VALUE($B303),인턴근무계획!$D$3:$D$402,0),""))))</f>
        <v/>
      </c>
      <c r="AD303" s="10">
        <f>IF(OR($AC303="",인턴현황!$G$3=""),"",INDEX(인턴근무계획!$M$3:$R$402,$AC303,인턴현황!$G$3)&amp;"")</f>
        <v/>
      </c>
      <c r="AE303" s="10">
        <f>IF($B303="","",IF($M303&lt;&gt;"",$M303,IF($AF303&lt;&gt;"",IF(LEFT(INDEX(파견수련계획!$R$4:$R$803,$AF303),1)&lt;&gt;"⚠",INDEX(파견수련계획!$R$4:$R$803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파견수련계획!$Y$4:$Y$803,0),IFERROR(MATCH(TRIM($J303&amp;"")&amp;"|파견예정",파견수련계획!$Y$4:$Y$803,0),IFERROR(MATCH(TRIM($J303&amp;"")&amp;"|파견종료",파견수련계획!$Y$4:$Y$803,0),""))))</f>
        <v/>
      </c>
      <c r="AG303" s="10">
        <f>IF($B303="","",IF(AND(IF(OR($AC303="",인턴현황!$K$2=""),"",INDEX(인턴근무계획!$M$3:$R$402,$AC303,인턴현황!$K$2)&amp;"")&lt;&gt;"",LEFT(IF(OR($AC303="",인턴현황!$K$2=""),"",INDEX(인턴근무계획!$M$3:$R$402,$AC303,인턴현황!$K$2)&amp;""),1)&lt;&gt;"⚠"),LEFT(IF(OR($AC303="",인턴현황!$K$2=""),"",INDEX(인턴근무계획!$M$3:$R$402,$AC303,인턴현황!$K$2)&amp;""),FIND(" ",IF(OR($AC303="",인턴현황!$K$2=""),"",INDEX(인턴근무계획!$M$3:$R$402,$AC303,인턴현황!$K$2)&amp;""))-1),$AE303))</f>
        <v/>
      </c>
      <c r="AH303" s="17">
        <f>IF($B303="","",IF(TRIM($J303&amp;"")="",0,SUMPRODUCT((파견수련계획!$Q$4:$Q$803=TRIM($J303&amp;""))*(파견수련계획!$S$4:$S$803="서울병원")*파견수련계획!$W$4:$W$803))+IF($AG303="서울병원",MAX(0,DAY(EOMONTH(요약!$B$3,0))-N($X303)),0))</f>
        <v/>
      </c>
      <c r="AI303" s="17">
        <f>IF($B303="","",IF(TRIM($J303&amp;"")="",0,SUMPRODUCT((파견수련계획!$Q$4:$Q$803=TRIM($J303&amp;""))*(파견수련계획!$S$4:$S$803="구리병원")*파견수련계획!$W$4:$W$803))+IF($AG303="구리병원",MAX(0,DAY(EOMONTH(요약!$B$3,0))-N($X303)),0))</f>
        <v/>
      </c>
      <c r="AJ303" s="10">
        <f>IF(OR($B303="",TRIM($J303&amp;"")=""),"",IFERROR(MATCH(TRIM($J303&amp;"")&amp;"|월",파견수련계획!$Z$4:$Z$803,0),""))</f>
        <v/>
      </c>
      <c r="AK303" s="10">
        <f>IF(OR($B303="",TRIM($J303&amp;"")=""),"",IFERROR(MATCH(TRIM($J303&amp;"")&amp;"|다기관",파견수련계획!$AE$4:$AE$803,0),""))</f>
        <v/>
      </c>
      <c r="AL303" s="10">
        <f>IF($AK303="","","다기관 "&amp;TEXT(INDEX(파견수련계획!$AB$4:$AB$803,$AK303),"yyyy-mm-dd")&amp;"~"&amp;IF(ISNUMBER(INDEX(파견수련계획!$AC$4:$AC$803,$AK303)),TEXT(INDEX(파견수련계획!$AC$4:$AC$803,$AK303),"yyyy-mm-dd"),""))</f>
        <v/>
      </c>
    </row>
    <row r="304">
      <c r="A304" s="10">
        <f>IF(B304="","",ROW()-1)</f>
        <v/>
      </c>
      <c r="B304" s="18" t="n"/>
      <c r="C304" s="10">
        <f>IF($AB304="","",IF(INDEX(기본자료!$C$2:$C$1001,$AB304)="","",INDEX(기본자료!$C$2:$C$1001,$AB304)))</f>
        <v/>
      </c>
      <c r="D304" s="10">
        <f>IF($AB304="","",IF(INDEX(기본자료!$J$2:$J$1001,$AB304)="","",INDEX(기본자료!$J$2:$J$1001,$AB304)))</f>
        <v/>
      </c>
      <c r="E304" s="11">
        <f>IF($AB304="","",IF(INDEX(기본자료!$K$2:$K$1001,$AB304)="","",IF(NOT(ISNUMBER(INDEX(기본자료!$K$2:$K$1001,$AB304))),INDEX(기본자료!$K$2:$K$1001,$AB304),IF(INDEX(기본자료!$K$2:$K$1001,$AB304)&lt;1000000,INDEX(기본자료!$K$2:$K$1001,$AB304),IF(AND(INDEX(기본자료!$K$2:$K$1001,$AB304)&gt;=10000101,INT(MOD(INDEX(기본자료!$K$2:$K$1001,$AB304),10000)/100)&gt;=1,INT(MOD(INDEX(기본자료!$K$2:$K$1001,$AB304),10000)/100)&lt;=12,MOD(INDEX(기본자료!$K$2:$K$1001,$AB304),100)&gt;=1,MOD(INDEX(기본자료!$K$2:$K$1001,$AB304),100)&lt;=31),DATE(INT(INDEX(기본자료!$K$2:$K$1001,$AB304)/10000),INT(MOD(INDEX(기본자료!$K$2:$K$1001,$AB304),10000)/100),MOD(INDEX(기본자료!$K$2:$K$1001,$AB304),100)),INDEX(기본자료!$K$2:$K$1001,$AB304)&amp;"")))))</f>
        <v/>
      </c>
      <c r="F304" s="10">
        <f>IF($AB304="","",IF(INDEX(기본자료!$D$2:$D$1001,$AB304)="","",INDEX(기본자료!$D$2:$D$1001,$AB304)))</f>
        <v/>
      </c>
      <c r="G304" s="10">
        <f>IF($AB304="","",IF(INDEX(기본자료!$E$2:$E$1001,$AB304)="","",INDEX(기본자료!$E$2:$E$1001,$AB304)))</f>
        <v/>
      </c>
      <c r="H304" s="10">
        <f>IF($AB304="","",IF(INDEX(기본자료!$F$2:$F$1001,$AB304)="","",INDEX(기본자료!$F$2:$F$1001,$AB304)))</f>
        <v/>
      </c>
      <c r="I304" s="11">
        <f>IF($AB304="","",IF(INDEX(기본자료!$G$2:$G$1001,$AB304)="","",IF(NOT(ISNUMBER(INDEX(기본자료!$G$2:$G$1001,$AB304))),INDEX(기본자료!$G$2:$G$1001,$AB304),IF(INDEX(기본자료!$G$2:$G$1001,$AB304)&lt;1000000,INDEX(기본자료!$G$2:$G$1001,$AB304),IF(AND(INDEX(기본자료!$G$2:$G$1001,$AB304)&gt;=10000101,INT(MOD(INDEX(기본자료!$G$2:$G$1001,$AB304),10000)/100)&gt;=1,INT(MOD(INDEX(기본자료!$G$2:$G$1001,$AB304),10000)/100)&lt;=12,MOD(INDEX(기본자료!$G$2:$G$1001,$AB304),100)&gt;=1,MOD(INDEX(기본자료!$G$2:$G$1001,$AB304),100)&lt;=31),DATE(INT(INDEX(기본자료!$G$2:$G$1001,$AB304)/10000),INT(MOD(INDEX(기본자료!$G$2:$G$1001,$AB304),10000)/100),MOD(INDEX(기본자료!$G$2:$G$1001,$AB304),100)),INDEX(기본자료!$G$2:$G$1001,$AB304)&amp;"")))))</f>
        <v/>
      </c>
      <c r="J304" s="10">
        <f>IF($AB304="","",IF(INDEX(기본자료!$H$2:$H$1001,$AB304)="","",INDEX(기본자료!$H$2:$H$1001,$AB304)))</f>
        <v/>
      </c>
      <c r="K304" s="10">
        <f>IF($AB304="","",IF(INDEX(기본자료!$I$2:$I$1001,$AB304)="","",INDEX(기본자료!$I$2:$I$1001,$AB304)))</f>
        <v/>
      </c>
      <c r="L304" s="10">
        <f>IF($AB304="","",IF(INDEX(기본자료!$A$2:$A$1001,$AB304)="","",INDEX(기본자료!$A$2:$A$1001,$AB304)))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파견수련계획!$AB$4:$AB$803,$AK304),OR(NOT(ISNUMBER(INDEX(파견수련계획!$AC$4:$AC$803,$AK304))),TODAY()&lt;=INDEX(파견수련계획!$AC$4:$AC$803,$AK304))),"다기관",IF($AF304="","",INDEX(파견수련계획!$T$4:$T$803,$AF304))),IF($AF304="","",INDEX(파견수련계획!$T$4:$T$803,$AF304))))</f>
        <v/>
      </c>
      <c r="Q304" s="10">
        <f>IF($AF304="","",INDEX(파견수련계획!$S$4:$S$803,$AF304))</f>
        <v/>
      </c>
      <c r="R304" s="10">
        <f>IF($AF304="","",INDEX(파견수련계획!$U$4:$U$803,$AF304))</f>
        <v/>
      </c>
      <c r="S304" s="11">
        <f>IF($AF304="","",IF(INDEX(파견수련계획!$H$4:$H$803,$AF304)="","",INDEX(파견수련계획!$H$4:$H$803,$AF304)))</f>
        <v/>
      </c>
      <c r="T304" s="11">
        <f>IF($AF304="","",IF(INDEX(파견수련계획!$I$4:$I$803,$AF304)="","",INDEX(파견수련계획!$I$4:$I$803,$AF304)))</f>
        <v/>
      </c>
      <c r="U304" s="10">
        <f>IF($AF304="","",INDEX(파견수련계획!$X$4:$X$803,$AF304))</f>
        <v/>
      </c>
      <c r="V304" s="17">
        <f>IF($AF304="","",INDEX(파견수련계획!$V$4:$V$803,$AF304))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IF(OR($B304="",TRIM($J304&amp;"")=""),"",SUMPRODUCT((파견수련계획!$Q$4:$Q$803=TRIM($J304&amp;""))*파견수련계획!$W$4:$W$803))</f>
        <v/>
      </c>
      <c r="Y304" s="10">
        <f>IF($B304="","",IF($AG304="","",IF(IF(TRIM($J304&amp;"")="",0,SUMPRODUCT((파견수련계획!$Q$4:$Q$803=TRIM($J304&amp;""))*파견수련계획!$AD$4:$AD$803))&gt;0,$AE304,IF(N($X304)&lt;=0,$AG304,IF($AH304+$AI304=DAY(EOMONTH(요약!$B$3,0)),IF(AND($AH304&gt;=요약!$E$3,$AI304&lt;요약!$E$3),"서울병원",IF(AND($AI304&gt;=요약!$E$3,$AH304&lt;요약!$E$3),"구리병원","⚠15일 판정불가(서울 "&amp;$AH304&amp;"일/구리 "&amp;$AI304&amp;"일)")),IF($AJ304="",$AE304,IF(INDEX(파견수련계획!$T$4:$T$803,$AJ304)="통합수련",INDEX(파견수련계획!$S$4:$S$803,$AJ304),$AE304)))))))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입력",IF(IF(TRIM($J304&amp;"")="",0,SUMPRODUCT((파견수련계획!$Q$4:$Q$803=TRIM($J304&amp;""))*(파견수련계획!$AA$4:$AA$803&lt;&gt;"")))&gt;0,"파견수련계획 입력오류 확인",IF(LEFT($Y304,1)="⚠","서울·구리 15일 판정 불가(양쪽 모두 이상/미만)",IF(IF($AC304="",0,N(INDEX(인턴근무계획!$T$3:$T$402,$AC304)))&gt;0,"인턴계획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IF($B304="","",IFERROR(MATCH($B304,기본자료!$B$2:$B$1001,0),IFERROR(MATCH($B304&amp;"",기본자료!$B$2:$B$1001,0),IFERROR(MATCH(VALUE($B304),기본자료!$B$2:$B$1001,0),""))))</f>
        <v/>
      </c>
      <c r="AC304" s="10">
        <f>IF($B304="","",IFERROR(MATCH($B304,인턴근무계획!$D$3:$D$402,0),IFERROR(MATCH($B304&amp;"",인턴근무계획!$D$3:$D$402,0),IFERROR(MATCH(VALUE($B304),인턴근무계획!$D$3:$D$402,0),""))))</f>
        <v/>
      </c>
      <c r="AD304" s="10">
        <f>IF(OR($AC304="",인턴현황!$G$3=""),"",INDEX(인턴근무계획!$M$3:$R$402,$AC304,인턴현황!$G$3)&amp;"")</f>
        <v/>
      </c>
      <c r="AE304" s="10">
        <f>IF($B304="","",IF($M304&lt;&gt;"",$M304,IF($AF304&lt;&gt;"",IF(LEFT(INDEX(파견수련계획!$R$4:$R$803,$AF304),1)&lt;&gt;"⚠",INDEX(파견수련계획!$R$4:$R$803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파견수련계획!$Y$4:$Y$803,0),IFERROR(MATCH(TRIM($J304&amp;"")&amp;"|파견예정",파견수련계획!$Y$4:$Y$803,0),IFERROR(MATCH(TRIM($J304&amp;"")&amp;"|파견종료",파견수련계획!$Y$4:$Y$803,0),""))))</f>
        <v/>
      </c>
      <c r="AG304" s="10">
        <f>IF($B304="","",IF(AND(IF(OR($AC304="",인턴현황!$K$2=""),"",INDEX(인턴근무계획!$M$3:$R$402,$AC304,인턴현황!$K$2)&amp;"")&lt;&gt;"",LEFT(IF(OR($AC304="",인턴현황!$K$2=""),"",INDEX(인턴근무계획!$M$3:$R$402,$AC304,인턴현황!$K$2)&amp;""),1)&lt;&gt;"⚠"),LEFT(IF(OR($AC304="",인턴현황!$K$2=""),"",INDEX(인턴근무계획!$M$3:$R$402,$AC304,인턴현황!$K$2)&amp;""),FIND(" ",IF(OR($AC304="",인턴현황!$K$2=""),"",INDEX(인턴근무계획!$M$3:$R$402,$AC304,인턴현황!$K$2)&amp;""))-1),$AE304))</f>
        <v/>
      </c>
      <c r="AH304" s="17">
        <f>IF($B304="","",IF(TRIM($J304&amp;"")="",0,SUMPRODUCT((파견수련계획!$Q$4:$Q$803=TRIM($J304&amp;""))*(파견수련계획!$S$4:$S$803="서울병원")*파견수련계획!$W$4:$W$803))+IF($AG304="서울병원",MAX(0,DAY(EOMONTH(요약!$B$3,0))-N($X304)),0))</f>
        <v/>
      </c>
      <c r="AI304" s="17">
        <f>IF($B304="","",IF(TRIM($J304&amp;"")="",0,SUMPRODUCT((파견수련계획!$Q$4:$Q$803=TRIM($J304&amp;""))*(파견수련계획!$S$4:$S$803="구리병원")*파견수련계획!$W$4:$W$803))+IF($AG304="구리병원",MAX(0,DAY(EOMONTH(요약!$B$3,0))-N($X304)),0))</f>
        <v/>
      </c>
      <c r="AJ304" s="10">
        <f>IF(OR($B304="",TRIM($J304&amp;"")=""),"",IFERROR(MATCH(TRIM($J304&amp;"")&amp;"|월",파견수련계획!$Z$4:$Z$803,0),""))</f>
        <v/>
      </c>
      <c r="AK304" s="10">
        <f>IF(OR($B304="",TRIM($J304&amp;"")=""),"",IFERROR(MATCH(TRIM($J304&amp;"")&amp;"|다기관",파견수련계획!$AE$4:$AE$803,0),""))</f>
        <v/>
      </c>
      <c r="AL304" s="10">
        <f>IF($AK304="","","다기관 "&amp;TEXT(INDEX(파견수련계획!$AB$4:$AB$803,$AK304),"yyyy-mm-dd")&amp;"~"&amp;IF(ISNUMBER(INDEX(파견수련계획!$AC$4:$AC$803,$AK304)),TEXT(INDEX(파견수련계획!$AC$4:$AC$803,$AK304),"yyyy-mm-dd"),""))</f>
        <v/>
      </c>
    </row>
    <row r="305">
      <c r="A305" s="10">
        <f>IF(B305="","",ROW()-1)</f>
        <v/>
      </c>
      <c r="B305" s="18" t="n"/>
      <c r="C305" s="10">
        <f>IF($AB305="","",IF(INDEX(기본자료!$C$2:$C$1001,$AB305)="","",INDEX(기본자료!$C$2:$C$1001,$AB305)))</f>
        <v/>
      </c>
      <c r="D305" s="10">
        <f>IF($AB305="","",IF(INDEX(기본자료!$J$2:$J$1001,$AB305)="","",INDEX(기본자료!$J$2:$J$1001,$AB305)))</f>
        <v/>
      </c>
      <c r="E305" s="11">
        <f>IF($AB305="","",IF(INDEX(기본자료!$K$2:$K$1001,$AB305)="","",IF(NOT(ISNUMBER(INDEX(기본자료!$K$2:$K$1001,$AB305))),INDEX(기본자료!$K$2:$K$1001,$AB305),IF(INDEX(기본자료!$K$2:$K$1001,$AB305)&lt;1000000,INDEX(기본자료!$K$2:$K$1001,$AB305),IF(AND(INDEX(기본자료!$K$2:$K$1001,$AB305)&gt;=10000101,INT(MOD(INDEX(기본자료!$K$2:$K$1001,$AB305),10000)/100)&gt;=1,INT(MOD(INDEX(기본자료!$K$2:$K$1001,$AB305),10000)/100)&lt;=12,MOD(INDEX(기본자료!$K$2:$K$1001,$AB305),100)&gt;=1,MOD(INDEX(기본자료!$K$2:$K$1001,$AB305),100)&lt;=31),DATE(INT(INDEX(기본자료!$K$2:$K$1001,$AB305)/10000),INT(MOD(INDEX(기본자료!$K$2:$K$1001,$AB305),10000)/100),MOD(INDEX(기본자료!$K$2:$K$1001,$AB305),100)),INDEX(기본자료!$K$2:$K$1001,$AB305)&amp;"")))))</f>
        <v/>
      </c>
      <c r="F305" s="10">
        <f>IF($AB305="","",IF(INDEX(기본자료!$D$2:$D$1001,$AB305)="","",INDEX(기본자료!$D$2:$D$1001,$AB305)))</f>
        <v/>
      </c>
      <c r="G305" s="10">
        <f>IF($AB305="","",IF(INDEX(기본자료!$E$2:$E$1001,$AB305)="","",INDEX(기본자료!$E$2:$E$1001,$AB305)))</f>
        <v/>
      </c>
      <c r="H305" s="10">
        <f>IF($AB305="","",IF(INDEX(기본자료!$F$2:$F$1001,$AB305)="","",INDEX(기본자료!$F$2:$F$1001,$AB305)))</f>
        <v/>
      </c>
      <c r="I305" s="11">
        <f>IF($AB305="","",IF(INDEX(기본자료!$G$2:$G$1001,$AB305)="","",IF(NOT(ISNUMBER(INDEX(기본자료!$G$2:$G$1001,$AB305))),INDEX(기본자료!$G$2:$G$1001,$AB305),IF(INDEX(기본자료!$G$2:$G$1001,$AB305)&lt;1000000,INDEX(기본자료!$G$2:$G$1001,$AB305),IF(AND(INDEX(기본자료!$G$2:$G$1001,$AB305)&gt;=10000101,INT(MOD(INDEX(기본자료!$G$2:$G$1001,$AB305),10000)/100)&gt;=1,INT(MOD(INDEX(기본자료!$G$2:$G$1001,$AB305),10000)/100)&lt;=12,MOD(INDEX(기본자료!$G$2:$G$1001,$AB305),100)&gt;=1,MOD(INDEX(기본자료!$G$2:$G$1001,$AB305),100)&lt;=31),DATE(INT(INDEX(기본자료!$G$2:$G$1001,$AB305)/10000),INT(MOD(INDEX(기본자료!$G$2:$G$1001,$AB305),10000)/100),MOD(INDEX(기본자료!$G$2:$G$1001,$AB305),100)),INDEX(기본자료!$G$2:$G$1001,$AB305)&amp;"")))))</f>
        <v/>
      </c>
      <c r="J305" s="10">
        <f>IF($AB305="","",IF(INDEX(기본자료!$H$2:$H$1001,$AB305)="","",INDEX(기본자료!$H$2:$H$1001,$AB305)))</f>
        <v/>
      </c>
      <c r="K305" s="10">
        <f>IF($AB305="","",IF(INDEX(기본자료!$I$2:$I$1001,$AB305)="","",INDEX(기본자료!$I$2:$I$1001,$AB305)))</f>
        <v/>
      </c>
      <c r="L305" s="10">
        <f>IF($AB305="","",IF(INDEX(기본자료!$A$2:$A$1001,$AB305)="","",INDEX(기본자료!$A$2:$A$1001,$AB305)))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파견수련계획!$AB$4:$AB$803,$AK305),OR(NOT(ISNUMBER(INDEX(파견수련계획!$AC$4:$AC$803,$AK305))),TODAY()&lt;=INDEX(파견수련계획!$AC$4:$AC$803,$AK305))),"다기관",IF($AF305="","",INDEX(파견수련계획!$T$4:$T$803,$AF305))),IF($AF305="","",INDEX(파견수련계획!$T$4:$T$803,$AF305))))</f>
        <v/>
      </c>
      <c r="Q305" s="10">
        <f>IF($AF305="","",INDEX(파견수련계획!$S$4:$S$803,$AF305))</f>
        <v/>
      </c>
      <c r="R305" s="10">
        <f>IF($AF305="","",INDEX(파견수련계획!$U$4:$U$803,$AF305))</f>
        <v/>
      </c>
      <c r="S305" s="11">
        <f>IF($AF305="","",IF(INDEX(파견수련계획!$H$4:$H$803,$AF305)="","",INDEX(파견수련계획!$H$4:$H$803,$AF305)))</f>
        <v/>
      </c>
      <c r="T305" s="11">
        <f>IF($AF305="","",IF(INDEX(파견수련계획!$I$4:$I$803,$AF305)="","",INDEX(파견수련계획!$I$4:$I$803,$AF305)))</f>
        <v/>
      </c>
      <c r="U305" s="10">
        <f>IF($AF305="","",INDEX(파견수련계획!$X$4:$X$803,$AF305))</f>
        <v/>
      </c>
      <c r="V305" s="17">
        <f>IF($AF305="","",INDEX(파견수련계획!$V$4:$V$803,$AF305))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IF(OR($B305="",TRIM($J305&amp;"")=""),"",SUMPRODUCT((파견수련계획!$Q$4:$Q$803=TRIM($J305&amp;""))*파견수련계획!$W$4:$W$803))</f>
        <v/>
      </c>
      <c r="Y305" s="10">
        <f>IF($B305="","",IF($AG305="","",IF(IF(TRIM($J305&amp;"")="",0,SUMPRODUCT((파견수련계획!$Q$4:$Q$803=TRIM($J305&amp;""))*파견수련계획!$AD$4:$AD$803))&gt;0,$AE305,IF(N($X305)&lt;=0,$AG305,IF($AH305+$AI305=DAY(EOMONTH(요약!$B$3,0)),IF(AND($AH305&gt;=요약!$E$3,$AI305&lt;요약!$E$3),"서울병원",IF(AND($AI305&gt;=요약!$E$3,$AH305&lt;요약!$E$3),"구리병원","⚠15일 판정불가(서울 "&amp;$AH305&amp;"일/구리 "&amp;$AI305&amp;"일)")),IF($AJ305="",$AE305,IF(INDEX(파견수련계획!$T$4:$T$803,$AJ305)="통합수련",INDEX(파견수련계획!$S$4:$S$803,$AJ305),$AE305)))))))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입력",IF(IF(TRIM($J305&amp;"")="",0,SUMPRODUCT((파견수련계획!$Q$4:$Q$803=TRIM($J305&amp;""))*(파견수련계획!$AA$4:$AA$803&lt;&gt;"")))&gt;0,"파견수련계획 입력오류 확인",IF(LEFT($Y305,1)="⚠","서울·구리 15일 판정 불가(양쪽 모두 이상/미만)",IF(IF($AC305="",0,N(INDEX(인턴근무계획!$T$3:$T$402,$AC305)))&gt;0,"인턴계획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IF($B305="","",IFERROR(MATCH($B305,기본자료!$B$2:$B$1001,0),IFERROR(MATCH($B305&amp;"",기본자료!$B$2:$B$1001,0),IFERROR(MATCH(VALUE($B305),기본자료!$B$2:$B$1001,0),""))))</f>
        <v/>
      </c>
      <c r="AC305" s="10">
        <f>IF($B305="","",IFERROR(MATCH($B305,인턴근무계획!$D$3:$D$402,0),IFERROR(MATCH($B305&amp;"",인턴근무계획!$D$3:$D$402,0),IFERROR(MATCH(VALUE($B305),인턴근무계획!$D$3:$D$402,0),""))))</f>
        <v/>
      </c>
      <c r="AD305" s="10">
        <f>IF(OR($AC305="",인턴현황!$G$3=""),"",INDEX(인턴근무계획!$M$3:$R$402,$AC305,인턴현황!$G$3)&amp;"")</f>
        <v/>
      </c>
      <c r="AE305" s="10">
        <f>IF($B305="","",IF($M305&lt;&gt;"",$M305,IF($AF305&lt;&gt;"",IF(LEFT(INDEX(파견수련계획!$R$4:$R$803,$AF305),1)&lt;&gt;"⚠",INDEX(파견수련계획!$R$4:$R$803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파견수련계획!$Y$4:$Y$803,0),IFERROR(MATCH(TRIM($J305&amp;"")&amp;"|파견예정",파견수련계획!$Y$4:$Y$803,0),IFERROR(MATCH(TRIM($J305&amp;"")&amp;"|파견종료",파견수련계획!$Y$4:$Y$803,0),""))))</f>
        <v/>
      </c>
      <c r="AG305" s="10">
        <f>IF($B305="","",IF(AND(IF(OR($AC305="",인턴현황!$K$2=""),"",INDEX(인턴근무계획!$M$3:$R$402,$AC305,인턴현황!$K$2)&amp;"")&lt;&gt;"",LEFT(IF(OR($AC305="",인턴현황!$K$2=""),"",INDEX(인턴근무계획!$M$3:$R$402,$AC305,인턴현황!$K$2)&amp;""),1)&lt;&gt;"⚠"),LEFT(IF(OR($AC305="",인턴현황!$K$2=""),"",INDEX(인턴근무계획!$M$3:$R$402,$AC305,인턴현황!$K$2)&amp;""),FIND(" ",IF(OR($AC305="",인턴현황!$K$2=""),"",INDEX(인턴근무계획!$M$3:$R$402,$AC305,인턴현황!$K$2)&amp;""))-1),$AE305))</f>
        <v/>
      </c>
      <c r="AH305" s="17">
        <f>IF($B305="","",IF(TRIM($J305&amp;"")="",0,SUMPRODUCT((파견수련계획!$Q$4:$Q$803=TRIM($J305&amp;""))*(파견수련계획!$S$4:$S$803="서울병원")*파견수련계획!$W$4:$W$803))+IF($AG305="서울병원",MAX(0,DAY(EOMONTH(요약!$B$3,0))-N($X305)),0))</f>
        <v/>
      </c>
      <c r="AI305" s="17">
        <f>IF($B305="","",IF(TRIM($J305&amp;"")="",0,SUMPRODUCT((파견수련계획!$Q$4:$Q$803=TRIM($J305&amp;""))*(파견수련계획!$S$4:$S$803="구리병원")*파견수련계획!$W$4:$W$803))+IF($AG305="구리병원",MAX(0,DAY(EOMONTH(요약!$B$3,0))-N($X305)),0))</f>
        <v/>
      </c>
      <c r="AJ305" s="10">
        <f>IF(OR($B305="",TRIM($J305&amp;"")=""),"",IFERROR(MATCH(TRIM($J305&amp;"")&amp;"|월",파견수련계획!$Z$4:$Z$803,0),""))</f>
        <v/>
      </c>
      <c r="AK305" s="10">
        <f>IF(OR($B305="",TRIM($J305&amp;"")=""),"",IFERROR(MATCH(TRIM($J305&amp;"")&amp;"|다기관",파견수련계획!$AE$4:$AE$803,0),""))</f>
        <v/>
      </c>
      <c r="AL305" s="10">
        <f>IF($AK305="","","다기관 "&amp;TEXT(INDEX(파견수련계획!$AB$4:$AB$803,$AK305),"yyyy-mm-dd")&amp;"~"&amp;IF(ISNUMBER(INDEX(파견수련계획!$AC$4:$AC$803,$AK305)),TEXT(INDEX(파견수련계획!$AC$4:$AC$803,$AK305),"yyyy-mm-dd"),""))</f>
        <v/>
      </c>
    </row>
    <row r="306">
      <c r="A306" s="10">
        <f>IF(B306="","",ROW()-1)</f>
        <v/>
      </c>
      <c r="B306" s="18" t="n"/>
      <c r="C306" s="10">
        <f>IF($AB306="","",IF(INDEX(기본자료!$C$2:$C$1001,$AB306)="","",INDEX(기본자료!$C$2:$C$1001,$AB306)))</f>
        <v/>
      </c>
      <c r="D306" s="10">
        <f>IF($AB306="","",IF(INDEX(기본자료!$J$2:$J$1001,$AB306)="","",INDEX(기본자료!$J$2:$J$1001,$AB306)))</f>
        <v/>
      </c>
      <c r="E306" s="11">
        <f>IF($AB306="","",IF(INDEX(기본자료!$K$2:$K$1001,$AB306)="","",IF(NOT(ISNUMBER(INDEX(기본자료!$K$2:$K$1001,$AB306))),INDEX(기본자료!$K$2:$K$1001,$AB306),IF(INDEX(기본자료!$K$2:$K$1001,$AB306)&lt;1000000,INDEX(기본자료!$K$2:$K$1001,$AB306),IF(AND(INDEX(기본자료!$K$2:$K$1001,$AB306)&gt;=10000101,INT(MOD(INDEX(기본자료!$K$2:$K$1001,$AB306),10000)/100)&gt;=1,INT(MOD(INDEX(기본자료!$K$2:$K$1001,$AB306),10000)/100)&lt;=12,MOD(INDEX(기본자료!$K$2:$K$1001,$AB306),100)&gt;=1,MOD(INDEX(기본자료!$K$2:$K$1001,$AB306),100)&lt;=31),DATE(INT(INDEX(기본자료!$K$2:$K$1001,$AB306)/10000),INT(MOD(INDEX(기본자료!$K$2:$K$1001,$AB306),10000)/100),MOD(INDEX(기본자료!$K$2:$K$1001,$AB306),100)),INDEX(기본자료!$K$2:$K$1001,$AB306)&amp;"")))))</f>
        <v/>
      </c>
      <c r="F306" s="10">
        <f>IF($AB306="","",IF(INDEX(기본자료!$D$2:$D$1001,$AB306)="","",INDEX(기본자료!$D$2:$D$1001,$AB306)))</f>
        <v/>
      </c>
      <c r="G306" s="10">
        <f>IF($AB306="","",IF(INDEX(기본자료!$E$2:$E$1001,$AB306)="","",INDEX(기본자료!$E$2:$E$1001,$AB306)))</f>
        <v/>
      </c>
      <c r="H306" s="10">
        <f>IF($AB306="","",IF(INDEX(기본자료!$F$2:$F$1001,$AB306)="","",INDEX(기본자료!$F$2:$F$1001,$AB306)))</f>
        <v/>
      </c>
      <c r="I306" s="11">
        <f>IF($AB306="","",IF(INDEX(기본자료!$G$2:$G$1001,$AB306)="","",IF(NOT(ISNUMBER(INDEX(기본자료!$G$2:$G$1001,$AB306))),INDEX(기본자료!$G$2:$G$1001,$AB306),IF(INDEX(기본자료!$G$2:$G$1001,$AB306)&lt;1000000,INDEX(기본자료!$G$2:$G$1001,$AB306),IF(AND(INDEX(기본자료!$G$2:$G$1001,$AB306)&gt;=10000101,INT(MOD(INDEX(기본자료!$G$2:$G$1001,$AB306),10000)/100)&gt;=1,INT(MOD(INDEX(기본자료!$G$2:$G$1001,$AB306),10000)/100)&lt;=12,MOD(INDEX(기본자료!$G$2:$G$1001,$AB306),100)&gt;=1,MOD(INDEX(기본자료!$G$2:$G$1001,$AB306),100)&lt;=31),DATE(INT(INDEX(기본자료!$G$2:$G$1001,$AB306)/10000),INT(MOD(INDEX(기본자료!$G$2:$G$1001,$AB306),10000)/100),MOD(INDEX(기본자료!$G$2:$G$1001,$AB306),100)),INDEX(기본자료!$G$2:$G$1001,$AB306)&amp;"")))))</f>
        <v/>
      </c>
      <c r="J306" s="10">
        <f>IF($AB306="","",IF(INDEX(기본자료!$H$2:$H$1001,$AB306)="","",INDEX(기본자료!$H$2:$H$1001,$AB306)))</f>
        <v/>
      </c>
      <c r="K306" s="10">
        <f>IF($AB306="","",IF(INDEX(기본자료!$I$2:$I$1001,$AB306)="","",INDEX(기본자료!$I$2:$I$1001,$AB306)))</f>
        <v/>
      </c>
      <c r="L306" s="10">
        <f>IF($AB306="","",IF(INDEX(기본자료!$A$2:$A$1001,$AB306)="","",INDEX(기본자료!$A$2:$A$1001,$AB306)))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파견수련계획!$AB$4:$AB$803,$AK306),OR(NOT(ISNUMBER(INDEX(파견수련계획!$AC$4:$AC$803,$AK306))),TODAY()&lt;=INDEX(파견수련계획!$AC$4:$AC$803,$AK306))),"다기관",IF($AF306="","",INDEX(파견수련계획!$T$4:$T$803,$AF306))),IF($AF306="","",INDEX(파견수련계획!$T$4:$T$803,$AF306))))</f>
        <v/>
      </c>
      <c r="Q306" s="10">
        <f>IF($AF306="","",INDEX(파견수련계획!$S$4:$S$803,$AF306))</f>
        <v/>
      </c>
      <c r="R306" s="10">
        <f>IF($AF306="","",INDEX(파견수련계획!$U$4:$U$803,$AF306))</f>
        <v/>
      </c>
      <c r="S306" s="11">
        <f>IF($AF306="","",IF(INDEX(파견수련계획!$H$4:$H$803,$AF306)="","",INDEX(파견수련계획!$H$4:$H$803,$AF306)))</f>
        <v/>
      </c>
      <c r="T306" s="11">
        <f>IF($AF306="","",IF(INDEX(파견수련계획!$I$4:$I$803,$AF306)="","",INDEX(파견수련계획!$I$4:$I$803,$AF306)))</f>
        <v/>
      </c>
      <c r="U306" s="10">
        <f>IF($AF306="","",INDEX(파견수련계획!$X$4:$X$803,$AF306))</f>
        <v/>
      </c>
      <c r="V306" s="17">
        <f>IF($AF306="","",INDEX(파견수련계획!$V$4:$V$803,$AF306))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IF(OR($B306="",TRIM($J306&amp;"")=""),"",SUMPRODUCT((파견수련계획!$Q$4:$Q$803=TRIM($J306&amp;""))*파견수련계획!$W$4:$W$803))</f>
        <v/>
      </c>
      <c r="Y306" s="10">
        <f>IF($B306="","",IF($AG306="","",IF(IF(TRIM($J306&amp;"")="",0,SUMPRODUCT((파견수련계획!$Q$4:$Q$803=TRIM($J306&amp;""))*파견수련계획!$AD$4:$AD$803))&gt;0,$AE306,IF(N($X306)&lt;=0,$AG306,IF($AH306+$AI306=DAY(EOMONTH(요약!$B$3,0)),IF(AND($AH306&gt;=요약!$E$3,$AI306&lt;요약!$E$3),"서울병원",IF(AND($AI306&gt;=요약!$E$3,$AH306&lt;요약!$E$3),"구리병원","⚠15일 판정불가(서울 "&amp;$AH306&amp;"일/구리 "&amp;$AI306&amp;"일)")),IF($AJ306="",$AE306,IF(INDEX(파견수련계획!$T$4:$T$803,$AJ306)="통합수련",INDEX(파견수련계획!$S$4:$S$803,$AJ306),$AE306)))))))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입력",IF(IF(TRIM($J306&amp;"")="",0,SUMPRODUCT((파견수련계획!$Q$4:$Q$803=TRIM($J306&amp;""))*(파견수련계획!$AA$4:$AA$803&lt;&gt;"")))&gt;0,"파견수련계획 입력오류 확인",IF(LEFT($Y306,1)="⚠","서울·구리 15일 판정 불가(양쪽 모두 이상/미만)",IF(IF($AC306="",0,N(INDEX(인턴근무계획!$T$3:$T$402,$AC306)))&gt;0,"인턴계획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IF($B306="","",IFERROR(MATCH($B306,기본자료!$B$2:$B$1001,0),IFERROR(MATCH($B306&amp;"",기본자료!$B$2:$B$1001,0),IFERROR(MATCH(VALUE($B306),기본자료!$B$2:$B$1001,0),""))))</f>
        <v/>
      </c>
      <c r="AC306" s="10">
        <f>IF($B306="","",IFERROR(MATCH($B306,인턴근무계획!$D$3:$D$402,0),IFERROR(MATCH($B306&amp;"",인턴근무계획!$D$3:$D$402,0),IFERROR(MATCH(VALUE($B306),인턴근무계획!$D$3:$D$402,0),""))))</f>
        <v/>
      </c>
      <c r="AD306" s="10">
        <f>IF(OR($AC306="",인턴현황!$G$3=""),"",INDEX(인턴근무계획!$M$3:$R$402,$AC306,인턴현황!$G$3)&amp;"")</f>
        <v/>
      </c>
      <c r="AE306" s="10">
        <f>IF($B306="","",IF($M306&lt;&gt;"",$M306,IF($AF306&lt;&gt;"",IF(LEFT(INDEX(파견수련계획!$R$4:$R$803,$AF306),1)&lt;&gt;"⚠",INDEX(파견수련계획!$R$4:$R$803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파견수련계획!$Y$4:$Y$803,0),IFERROR(MATCH(TRIM($J306&amp;"")&amp;"|파견예정",파견수련계획!$Y$4:$Y$803,0),IFERROR(MATCH(TRIM($J306&amp;"")&amp;"|파견종료",파견수련계획!$Y$4:$Y$803,0),""))))</f>
        <v/>
      </c>
      <c r="AG306" s="10">
        <f>IF($B306="","",IF(AND(IF(OR($AC306="",인턴현황!$K$2=""),"",INDEX(인턴근무계획!$M$3:$R$402,$AC306,인턴현황!$K$2)&amp;"")&lt;&gt;"",LEFT(IF(OR($AC306="",인턴현황!$K$2=""),"",INDEX(인턴근무계획!$M$3:$R$402,$AC306,인턴현황!$K$2)&amp;""),1)&lt;&gt;"⚠"),LEFT(IF(OR($AC306="",인턴현황!$K$2=""),"",INDEX(인턴근무계획!$M$3:$R$402,$AC306,인턴현황!$K$2)&amp;""),FIND(" ",IF(OR($AC306="",인턴현황!$K$2=""),"",INDEX(인턴근무계획!$M$3:$R$402,$AC306,인턴현황!$K$2)&amp;""))-1),$AE306))</f>
        <v/>
      </c>
      <c r="AH306" s="17">
        <f>IF($B306="","",IF(TRIM($J306&amp;"")="",0,SUMPRODUCT((파견수련계획!$Q$4:$Q$803=TRIM($J306&amp;""))*(파견수련계획!$S$4:$S$803="서울병원")*파견수련계획!$W$4:$W$803))+IF($AG306="서울병원",MAX(0,DAY(EOMONTH(요약!$B$3,0))-N($X306)),0))</f>
        <v/>
      </c>
      <c r="AI306" s="17">
        <f>IF($B306="","",IF(TRIM($J306&amp;"")="",0,SUMPRODUCT((파견수련계획!$Q$4:$Q$803=TRIM($J306&amp;""))*(파견수련계획!$S$4:$S$803="구리병원")*파견수련계획!$W$4:$W$803))+IF($AG306="구리병원",MAX(0,DAY(EOMONTH(요약!$B$3,0))-N($X306)),0))</f>
        <v/>
      </c>
      <c r="AJ306" s="10">
        <f>IF(OR($B306="",TRIM($J306&amp;"")=""),"",IFERROR(MATCH(TRIM($J306&amp;"")&amp;"|월",파견수련계획!$Z$4:$Z$803,0),""))</f>
        <v/>
      </c>
      <c r="AK306" s="10">
        <f>IF(OR($B306="",TRIM($J306&amp;"")=""),"",IFERROR(MATCH(TRIM($J306&amp;"")&amp;"|다기관",파견수련계획!$AE$4:$AE$803,0),""))</f>
        <v/>
      </c>
      <c r="AL306" s="10">
        <f>IF($AK306="","","다기관 "&amp;TEXT(INDEX(파견수련계획!$AB$4:$AB$803,$AK306),"yyyy-mm-dd")&amp;"~"&amp;IF(ISNUMBER(INDEX(파견수련계획!$AC$4:$AC$803,$AK306)),TEXT(INDEX(파견수련계획!$AC$4:$AC$803,$AK306),"yyyy-mm-dd"),""))</f>
        <v/>
      </c>
    </row>
    <row r="307">
      <c r="A307" s="10">
        <f>IF(B307="","",ROW()-1)</f>
        <v/>
      </c>
      <c r="B307" s="18" t="n"/>
      <c r="C307" s="10">
        <f>IF($AB307="","",IF(INDEX(기본자료!$C$2:$C$1001,$AB307)="","",INDEX(기본자료!$C$2:$C$1001,$AB307)))</f>
        <v/>
      </c>
      <c r="D307" s="10">
        <f>IF($AB307="","",IF(INDEX(기본자료!$J$2:$J$1001,$AB307)="","",INDEX(기본자료!$J$2:$J$1001,$AB307)))</f>
        <v/>
      </c>
      <c r="E307" s="11">
        <f>IF($AB307="","",IF(INDEX(기본자료!$K$2:$K$1001,$AB307)="","",IF(NOT(ISNUMBER(INDEX(기본자료!$K$2:$K$1001,$AB307))),INDEX(기본자료!$K$2:$K$1001,$AB307),IF(INDEX(기본자료!$K$2:$K$1001,$AB307)&lt;1000000,INDEX(기본자료!$K$2:$K$1001,$AB307),IF(AND(INDEX(기본자료!$K$2:$K$1001,$AB307)&gt;=10000101,INT(MOD(INDEX(기본자료!$K$2:$K$1001,$AB307),10000)/100)&gt;=1,INT(MOD(INDEX(기본자료!$K$2:$K$1001,$AB307),10000)/100)&lt;=12,MOD(INDEX(기본자료!$K$2:$K$1001,$AB307),100)&gt;=1,MOD(INDEX(기본자료!$K$2:$K$1001,$AB307),100)&lt;=31),DATE(INT(INDEX(기본자료!$K$2:$K$1001,$AB307)/10000),INT(MOD(INDEX(기본자료!$K$2:$K$1001,$AB307),10000)/100),MOD(INDEX(기본자료!$K$2:$K$1001,$AB307),100)),INDEX(기본자료!$K$2:$K$1001,$AB307)&amp;"")))))</f>
        <v/>
      </c>
      <c r="F307" s="10">
        <f>IF($AB307="","",IF(INDEX(기본자료!$D$2:$D$1001,$AB307)="","",INDEX(기본자료!$D$2:$D$1001,$AB307)))</f>
        <v/>
      </c>
      <c r="G307" s="10">
        <f>IF($AB307="","",IF(INDEX(기본자료!$E$2:$E$1001,$AB307)="","",INDEX(기본자료!$E$2:$E$1001,$AB307)))</f>
        <v/>
      </c>
      <c r="H307" s="10">
        <f>IF($AB307="","",IF(INDEX(기본자료!$F$2:$F$1001,$AB307)="","",INDEX(기본자료!$F$2:$F$1001,$AB307)))</f>
        <v/>
      </c>
      <c r="I307" s="11">
        <f>IF($AB307="","",IF(INDEX(기본자료!$G$2:$G$1001,$AB307)="","",IF(NOT(ISNUMBER(INDEX(기본자료!$G$2:$G$1001,$AB307))),INDEX(기본자료!$G$2:$G$1001,$AB307),IF(INDEX(기본자료!$G$2:$G$1001,$AB307)&lt;1000000,INDEX(기본자료!$G$2:$G$1001,$AB307),IF(AND(INDEX(기본자료!$G$2:$G$1001,$AB307)&gt;=10000101,INT(MOD(INDEX(기본자료!$G$2:$G$1001,$AB307),10000)/100)&gt;=1,INT(MOD(INDEX(기본자료!$G$2:$G$1001,$AB307),10000)/100)&lt;=12,MOD(INDEX(기본자료!$G$2:$G$1001,$AB307),100)&gt;=1,MOD(INDEX(기본자료!$G$2:$G$1001,$AB307),100)&lt;=31),DATE(INT(INDEX(기본자료!$G$2:$G$1001,$AB307)/10000),INT(MOD(INDEX(기본자료!$G$2:$G$1001,$AB307),10000)/100),MOD(INDEX(기본자료!$G$2:$G$1001,$AB307),100)),INDEX(기본자료!$G$2:$G$1001,$AB307)&amp;"")))))</f>
        <v/>
      </c>
      <c r="J307" s="10">
        <f>IF($AB307="","",IF(INDEX(기본자료!$H$2:$H$1001,$AB307)="","",INDEX(기본자료!$H$2:$H$1001,$AB307)))</f>
        <v/>
      </c>
      <c r="K307" s="10">
        <f>IF($AB307="","",IF(INDEX(기본자료!$I$2:$I$1001,$AB307)="","",INDEX(기본자료!$I$2:$I$1001,$AB307)))</f>
        <v/>
      </c>
      <c r="L307" s="10">
        <f>IF($AB307="","",IF(INDEX(기본자료!$A$2:$A$1001,$AB307)="","",INDEX(기본자료!$A$2:$A$1001,$AB307)))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파견수련계획!$AB$4:$AB$803,$AK307),OR(NOT(ISNUMBER(INDEX(파견수련계획!$AC$4:$AC$803,$AK307))),TODAY()&lt;=INDEX(파견수련계획!$AC$4:$AC$803,$AK307))),"다기관",IF($AF307="","",INDEX(파견수련계획!$T$4:$T$803,$AF307))),IF($AF307="","",INDEX(파견수련계획!$T$4:$T$803,$AF307))))</f>
        <v/>
      </c>
      <c r="Q307" s="10">
        <f>IF($AF307="","",INDEX(파견수련계획!$S$4:$S$803,$AF307))</f>
        <v/>
      </c>
      <c r="R307" s="10">
        <f>IF($AF307="","",INDEX(파견수련계획!$U$4:$U$803,$AF307))</f>
        <v/>
      </c>
      <c r="S307" s="11">
        <f>IF($AF307="","",IF(INDEX(파견수련계획!$H$4:$H$803,$AF307)="","",INDEX(파견수련계획!$H$4:$H$803,$AF307)))</f>
        <v/>
      </c>
      <c r="T307" s="11">
        <f>IF($AF307="","",IF(INDEX(파견수련계획!$I$4:$I$803,$AF307)="","",INDEX(파견수련계획!$I$4:$I$803,$AF307)))</f>
        <v/>
      </c>
      <c r="U307" s="10">
        <f>IF($AF307="","",INDEX(파견수련계획!$X$4:$X$803,$AF307))</f>
        <v/>
      </c>
      <c r="V307" s="17">
        <f>IF($AF307="","",INDEX(파견수련계획!$V$4:$V$803,$AF307))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IF(OR($B307="",TRIM($J307&amp;"")=""),"",SUMPRODUCT((파견수련계획!$Q$4:$Q$803=TRIM($J307&amp;""))*파견수련계획!$W$4:$W$803))</f>
        <v/>
      </c>
      <c r="Y307" s="10">
        <f>IF($B307="","",IF($AG307="","",IF(IF(TRIM($J307&amp;"")="",0,SUMPRODUCT((파견수련계획!$Q$4:$Q$803=TRIM($J307&amp;""))*파견수련계획!$AD$4:$AD$803))&gt;0,$AE307,IF(N($X307)&lt;=0,$AG307,IF($AH307+$AI307=DAY(EOMONTH(요약!$B$3,0)),IF(AND($AH307&gt;=요약!$E$3,$AI307&lt;요약!$E$3),"서울병원",IF(AND($AI307&gt;=요약!$E$3,$AH307&lt;요약!$E$3),"구리병원","⚠15일 판정불가(서울 "&amp;$AH307&amp;"일/구리 "&amp;$AI307&amp;"일)")),IF($AJ307="",$AE307,IF(INDEX(파견수련계획!$T$4:$T$803,$AJ307)="통합수련",INDEX(파견수련계획!$S$4:$S$803,$AJ307),$AE307)))))))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입력",IF(IF(TRIM($J307&amp;"")="",0,SUMPRODUCT((파견수련계획!$Q$4:$Q$803=TRIM($J307&amp;""))*(파견수련계획!$AA$4:$AA$803&lt;&gt;"")))&gt;0,"파견수련계획 입력오류 확인",IF(LEFT($Y307,1)="⚠","서울·구리 15일 판정 불가(양쪽 모두 이상/미만)",IF(IF($AC307="",0,N(INDEX(인턴근무계획!$T$3:$T$402,$AC307)))&gt;0,"인턴계획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IF($B307="","",IFERROR(MATCH($B307,기본자료!$B$2:$B$1001,0),IFERROR(MATCH($B307&amp;"",기본자료!$B$2:$B$1001,0),IFERROR(MATCH(VALUE($B307),기본자료!$B$2:$B$1001,0),""))))</f>
        <v/>
      </c>
      <c r="AC307" s="10">
        <f>IF($B307="","",IFERROR(MATCH($B307,인턴근무계획!$D$3:$D$402,0),IFERROR(MATCH($B307&amp;"",인턴근무계획!$D$3:$D$402,0),IFERROR(MATCH(VALUE($B307),인턴근무계획!$D$3:$D$402,0),""))))</f>
        <v/>
      </c>
      <c r="AD307" s="10">
        <f>IF(OR($AC307="",인턴현황!$G$3=""),"",INDEX(인턴근무계획!$M$3:$R$402,$AC307,인턴현황!$G$3)&amp;"")</f>
        <v/>
      </c>
      <c r="AE307" s="10">
        <f>IF($B307="","",IF($M307&lt;&gt;"",$M307,IF($AF307&lt;&gt;"",IF(LEFT(INDEX(파견수련계획!$R$4:$R$803,$AF307),1)&lt;&gt;"⚠",INDEX(파견수련계획!$R$4:$R$803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파견수련계획!$Y$4:$Y$803,0),IFERROR(MATCH(TRIM($J307&amp;"")&amp;"|파견예정",파견수련계획!$Y$4:$Y$803,0),IFERROR(MATCH(TRIM($J307&amp;"")&amp;"|파견종료",파견수련계획!$Y$4:$Y$803,0),""))))</f>
        <v/>
      </c>
      <c r="AG307" s="10">
        <f>IF($B307="","",IF(AND(IF(OR($AC307="",인턴현황!$K$2=""),"",INDEX(인턴근무계획!$M$3:$R$402,$AC307,인턴현황!$K$2)&amp;"")&lt;&gt;"",LEFT(IF(OR($AC307="",인턴현황!$K$2=""),"",INDEX(인턴근무계획!$M$3:$R$402,$AC307,인턴현황!$K$2)&amp;""),1)&lt;&gt;"⚠"),LEFT(IF(OR($AC307="",인턴현황!$K$2=""),"",INDEX(인턴근무계획!$M$3:$R$402,$AC307,인턴현황!$K$2)&amp;""),FIND(" ",IF(OR($AC307="",인턴현황!$K$2=""),"",INDEX(인턴근무계획!$M$3:$R$402,$AC307,인턴현황!$K$2)&amp;""))-1),$AE307))</f>
        <v/>
      </c>
      <c r="AH307" s="17">
        <f>IF($B307="","",IF(TRIM($J307&amp;"")="",0,SUMPRODUCT((파견수련계획!$Q$4:$Q$803=TRIM($J307&amp;""))*(파견수련계획!$S$4:$S$803="서울병원")*파견수련계획!$W$4:$W$803))+IF($AG307="서울병원",MAX(0,DAY(EOMONTH(요약!$B$3,0))-N($X307)),0))</f>
        <v/>
      </c>
      <c r="AI307" s="17">
        <f>IF($B307="","",IF(TRIM($J307&amp;"")="",0,SUMPRODUCT((파견수련계획!$Q$4:$Q$803=TRIM($J307&amp;""))*(파견수련계획!$S$4:$S$803="구리병원")*파견수련계획!$W$4:$W$803))+IF($AG307="구리병원",MAX(0,DAY(EOMONTH(요약!$B$3,0))-N($X307)),0))</f>
        <v/>
      </c>
      <c r="AJ307" s="10">
        <f>IF(OR($B307="",TRIM($J307&amp;"")=""),"",IFERROR(MATCH(TRIM($J307&amp;"")&amp;"|월",파견수련계획!$Z$4:$Z$803,0),""))</f>
        <v/>
      </c>
      <c r="AK307" s="10">
        <f>IF(OR($B307="",TRIM($J307&amp;"")=""),"",IFERROR(MATCH(TRIM($J307&amp;"")&amp;"|다기관",파견수련계획!$AE$4:$AE$803,0),""))</f>
        <v/>
      </c>
      <c r="AL307" s="10">
        <f>IF($AK307="","","다기관 "&amp;TEXT(INDEX(파견수련계획!$AB$4:$AB$803,$AK307),"yyyy-mm-dd")&amp;"~"&amp;IF(ISNUMBER(INDEX(파견수련계획!$AC$4:$AC$803,$AK307)),TEXT(INDEX(파견수련계획!$AC$4:$AC$803,$AK307),"yyyy-mm-dd"),""))</f>
        <v/>
      </c>
    </row>
    <row r="308">
      <c r="A308" s="10">
        <f>IF(B308="","",ROW()-1)</f>
        <v/>
      </c>
      <c r="B308" s="18" t="n"/>
      <c r="C308" s="10">
        <f>IF($AB308="","",IF(INDEX(기본자료!$C$2:$C$1001,$AB308)="","",INDEX(기본자료!$C$2:$C$1001,$AB308)))</f>
        <v/>
      </c>
      <c r="D308" s="10">
        <f>IF($AB308="","",IF(INDEX(기본자료!$J$2:$J$1001,$AB308)="","",INDEX(기본자료!$J$2:$J$1001,$AB308)))</f>
        <v/>
      </c>
      <c r="E308" s="11">
        <f>IF($AB308="","",IF(INDEX(기본자료!$K$2:$K$1001,$AB308)="","",IF(NOT(ISNUMBER(INDEX(기본자료!$K$2:$K$1001,$AB308))),INDEX(기본자료!$K$2:$K$1001,$AB308),IF(INDEX(기본자료!$K$2:$K$1001,$AB308)&lt;1000000,INDEX(기본자료!$K$2:$K$1001,$AB308),IF(AND(INDEX(기본자료!$K$2:$K$1001,$AB308)&gt;=10000101,INT(MOD(INDEX(기본자료!$K$2:$K$1001,$AB308),10000)/100)&gt;=1,INT(MOD(INDEX(기본자료!$K$2:$K$1001,$AB308),10000)/100)&lt;=12,MOD(INDEX(기본자료!$K$2:$K$1001,$AB308),100)&gt;=1,MOD(INDEX(기본자료!$K$2:$K$1001,$AB308),100)&lt;=31),DATE(INT(INDEX(기본자료!$K$2:$K$1001,$AB308)/10000),INT(MOD(INDEX(기본자료!$K$2:$K$1001,$AB308),10000)/100),MOD(INDEX(기본자료!$K$2:$K$1001,$AB308),100)),INDEX(기본자료!$K$2:$K$1001,$AB308)&amp;"")))))</f>
        <v/>
      </c>
      <c r="F308" s="10">
        <f>IF($AB308="","",IF(INDEX(기본자료!$D$2:$D$1001,$AB308)="","",INDEX(기본자료!$D$2:$D$1001,$AB308)))</f>
        <v/>
      </c>
      <c r="G308" s="10">
        <f>IF($AB308="","",IF(INDEX(기본자료!$E$2:$E$1001,$AB308)="","",INDEX(기본자료!$E$2:$E$1001,$AB308)))</f>
        <v/>
      </c>
      <c r="H308" s="10">
        <f>IF($AB308="","",IF(INDEX(기본자료!$F$2:$F$1001,$AB308)="","",INDEX(기본자료!$F$2:$F$1001,$AB308)))</f>
        <v/>
      </c>
      <c r="I308" s="11">
        <f>IF($AB308="","",IF(INDEX(기본자료!$G$2:$G$1001,$AB308)="","",IF(NOT(ISNUMBER(INDEX(기본자료!$G$2:$G$1001,$AB308))),INDEX(기본자료!$G$2:$G$1001,$AB308),IF(INDEX(기본자료!$G$2:$G$1001,$AB308)&lt;1000000,INDEX(기본자료!$G$2:$G$1001,$AB308),IF(AND(INDEX(기본자료!$G$2:$G$1001,$AB308)&gt;=10000101,INT(MOD(INDEX(기본자료!$G$2:$G$1001,$AB308),10000)/100)&gt;=1,INT(MOD(INDEX(기본자료!$G$2:$G$1001,$AB308),10000)/100)&lt;=12,MOD(INDEX(기본자료!$G$2:$G$1001,$AB308),100)&gt;=1,MOD(INDEX(기본자료!$G$2:$G$1001,$AB308),100)&lt;=31),DATE(INT(INDEX(기본자료!$G$2:$G$1001,$AB308)/10000),INT(MOD(INDEX(기본자료!$G$2:$G$1001,$AB308),10000)/100),MOD(INDEX(기본자료!$G$2:$G$1001,$AB308),100)),INDEX(기본자료!$G$2:$G$1001,$AB308)&amp;"")))))</f>
        <v/>
      </c>
      <c r="J308" s="10">
        <f>IF($AB308="","",IF(INDEX(기본자료!$H$2:$H$1001,$AB308)="","",INDEX(기본자료!$H$2:$H$1001,$AB308)))</f>
        <v/>
      </c>
      <c r="K308" s="10">
        <f>IF($AB308="","",IF(INDEX(기본자료!$I$2:$I$1001,$AB308)="","",INDEX(기본자료!$I$2:$I$1001,$AB308)))</f>
        <v/>
      </c>
      <c r="L308" s="10">
        <f>IF($AB308="","",IF(INDEX(기본자료!$A$2:$A$1001,$AB308)="","",INDEX(기본자료!$A$2:$A$1001,$AB308)))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파견수련계획!$AB$4:$AB$803,$AK308),OR(NOT(ISNUMBER(INDEX(파견수련계획!$AC$4:$AC$803,$AK308))),TODAY()&lt;=INDEX(파견수련계획!$AC$4:$AC$803,$AK308))),"다기관",IF($AF308="","",INDEX(파견수련계획!$T$4:$T$803,$AF308))),IF($AF308="","",INDEX(파견수련계획!$T$4:$T$803,$AF308))))</f>
        <v/>
      </c>
      <c r="Q308" s="10">
        <f>IF($AF308="","",INDEX(파견수련계획!$S$4:$S$803,$AF308))</f>
        <v/>
      </c>
      <c r="R308" s="10">
        <f>IF($AF308="","",INDEX(파견수련계획!$U$4:$U$803,$AF308))</f>
        <v/>
      </c>
      <c r="S308" s="11">
        <f>IF($AF308="","",IF(INDEX(파견수련계획!$H$4:$H$803,$AF308)="","",INDEX(파견수련계획!$H$4:$H$803,$AF308)))</f>
        <v/>
      </c>
      <c r="T308" s="11">
        <f>IF($AF308="","",IF(INDEX(파견수련계획!$I$4:$I$803,$AF308)="","",INDEX(파견수련계획!$I$4:$I$803,$AF308)))</f>
        <v/>
      </c>
      <c r="U308" s="10">
        <f>IF($AF308="","",INDEX(파견수련계획!$X$4:$X$803,$AF308))</f>
        <v/>
      </c>
      <c r="V308" s="17">
        <f>IF($AF308="","",INDEX(파견수련계획!$V$4:$V$803,$AF308))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IF(OR($B308="",TRIM($J308&amp;"")=""),"",SUMPRODUCT((파견수련계획!$Q$4:$Q$803=TRIM($J308&amp;""))*파견수련계획!$W$4:$W$803))</f>
        <v/>
      </c>
      <c r="Y308" s="10">
        <f>IF($B308="","",IF($AG308="","",IF(IF(TRIM($J308&amp;"")="",0,SUMPRODUCT((파견수련계획!$Q$4:$Q$803=TRIM($J308&amp;""))*파견수련계획!$AD$4:$AD$803))&gt;0,$AE308,IF(N($X308)&lt;=0,$AG308,IF($AH308+$AI308=DAY(EOMONTH(요약!$B$3,0)),IF(AND($AH308&gt;=요약!$E$3,$AI308&lt;요약!$E$3),"서울병원",IF(AND($AI308&gt;=요약!$E$3,$AH308&lt;요약!$E$3),"구리병원","⚠15일 판정불가(서울 "&amp;$AH308&amp;"일/구리 "&amp;$AI308&amp;"일)")),IF($AJ308="",$AE308,IF(INDEX(파견수련계획!$T$4:$T$803,$AJ308)="통합수련",INDEX(파견수련계획!$S$4:$S$803,$AJ308),$AE308)))))))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입력",IF(IF(TRIM($J308&amp;"")="",0,SUMPRODUCT((파견수련계획!$Q$4:$Q$803=TRIM($J308&amp;""))*(파견수련계획!$AA$4:$AA$803&lt;&gt;"")))&gt;0,"파견수련계획 입력오류 확인",IF(LEFT($Y308,1)="⚠","서울·구리 15일 판정 불가(양쪽 모두 이상/미만)",IF(IF($AC308="",0,N(INDEX(인턴근무계획!$T$3:$T$402,$AC308)))&gt;0,"인턴계획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IF($B308="","",IFERROR(MATCH($B308,기본자료!$B$2:$B$1001,0),IFERROR(MATCH($B308&amp;"",기본자료!$B$2:$B$1001,0),IFERROR(MATCH(VALUE($B308),기본자료!$B$2:$B$1001,0),""))))</f>
        <v/>
      </c>
      <c r="AC308" s="10">
        <f>IF($B308="","",IFERROR(MATCH($B308,인턴근무계획!$D$3:$D$402,0),IFERROR(MATCH($B308&amp;"",인턴근무계획!$D$3:$D$402,0),IFERROR(MATCH(VALUE($B308),인턴근무계획!$D$3:$D$402,0),""))))</f>
        <v/>
      </c>
      <c r="AD308" s="10">
        <f>IF(OR($AC308="",인턴현황!$G$3=""),"",INDEX(인턴근무계획!$M$3:$R$402,$AC308,인턴현황!$G$3)&amp;"")</f>
        <v/>
      </c>
      <c r="AE308" s="10">
        <f>IF($B308="","",IF($M308&lt;&gt;"",$M308,IF($AF308&lt;&gt;"",IF(LEFT(INDEX(파견수련계획!$R$4:$R$803,$AF308),1)&lt;&gt;"⚠",INDEX(파견수련계획!$R$4:$R$803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파견수련계획!$Y$4:$Y$803,0),IFERROR(MATCH(TRIM($J308&amp;"")&amp;"|파견예정",파견수련계획!$Y$4:$Y$803,0),IFERROR(MATCH(TRIM($J308&amp;"")&amp;"|파견종료",파견수련계획!$Y$4:$Y$803,0),""))))</f>
        <v/>
      </c>
      <c r="AG308" s="10">
        <f>IF($B308="","",IF(AND(IF(OR($AC308="",인턴현황!$K$2=""),"",INDEX(인턴근무계획!$M$3:$R$402,$AC308,인턴현황!$K$2)&amp;"")&lt;&gt;"",LEFT(IF(OR($AC308="",인턴현황!$K$2=""),"",INDEX(인턴근무계획!$M$3:$R$402,$AC308,인턴현황!$K$2)&amp;""),1)&lt;&gt;"⚠"),LEFT(IF(OR($AC308="",인턴현황!$K$2=""),"",INDEX(인턴근무계획!$M$3:$R$402,$AC308,인턴현황!$K$2)&amp;""),FIND(" ",IF(OR($AC308="",인턴현황!$K$2=""),"",INDEX(인턴근무계획!$M$3:$R$402,$AC308,인턴현황!$K$2)&amp;""))-1),$AE308))</f>
        <v/>
      </c>
      <c r="AH308" s="17">
        <f>IF($B308="","",IF(TRIM($J308&amp;"")="",0,SUMPRODUCT((파견수련계획!$Q$4:$Q$803=TRIM($J308&amp;""))*(파견수련계획!$S$4:$S$803="서울병원")*파견수련계획!$W$4:$W$803))+IF($AG308="서울병원",MAX(0,DAY(EOMONTH(요약!$B$3,0))-N($X308)),0))</f>
        <v/>
      </c>
      <c r="AI308" s="17">
        <f>IF($B308="","",IF(TRIM($J308&amp;"")="",0,SUMPRODUCT((파견수련계획!$Q$4:$Q$803=TRIM($J308&amp;""))*(파견수련계획!$S$4:$S$803="구리병원")*파견수련계획!$W$4:$W$803))+IF($AG308="구리병원",MAX(0,DAY(EOMONTH(요약!$B$3,0))-N($X308)),0))</f>
        <v/>
      </c>
      <c r="AJ308" s="10">
        <f>IF(OR($B308="",TRIM($J308&amp;"")=""),"",IFERROR(MATCH(TRIM($J308&amp;"")&amp;"|월",파견수련계획!$Z$4:$Z$803,0),""))</f>
        <v/>
      </c>
      <c r="AK308" s="10">
        <f>IF(OR($B308="",TRIM($J308&amp;"")=""),"",IFERROR(MATCH(TRIM($J308&amp;"")&amp;"|다기관",파견수련계획!$AE$4:$AE$803,0),""))</f>
        <v/>
      </c>
      <c r="AL308" s="10">
        <f>IF($AK308="","","다기관 "&amp;TEXT(INDEX(파견수련계획!$AB$4:$AB$803,$AK308),"yyyy-mm-dd")&amp;"~"&amp;IF(ISNUMBER(INDEX(파견수련계획!$AC$4:$AC$803,$AK308)),TEXT(INDEX(파견수련계획!$AC$4:$AC$803,$AK308),"yyyy-mm-dd"),""))</f>
        <v/>
      </c>
    </row>
    <row r="309">
      <c r="A309" s="10">
        <f>IF(B309="","",ROW()-1)</f>
        <v/>
      </c>
      <c r="B309" s="18" t="n"/>
      <c r="C309" s="10">
        <f>IF($AB309="","",IF(INDEX(기본자료!$C$2:$C$1001,$AB309)="","",INDEX(기본자료!$C$2:$C$1001,$AB309)))</f>
        <v/>
      </c>
      <c r="D309" s="10">
        <f>IF($AB309="","",IF(INDEX(기본자료!$J$2:$J$1001,$AB309)="","",INDEX(기본자료!$J$2:$J$1001,$AB309)))</f>
        <v/>
      </c>
      <c r="E309" s="11">
        <f>IF($AB309="","",IF(INDEX(기본자료!$K$2:$K$1001,$AB309)="","",IF(NOT(ISNUMBER(INDEX(기본자료!$K$2:$K$1001,$AB309))),INDEX(기본자료!$K$2:$K$1001,$AB309),IF(INDEX(기본자료!$K$2:$K$1001,$AB309)&lt;1000000,INDEX(기본자료!$K$2:$K$1001,$AB309),IF(AND(INDEX(기본자료!$K$2:$K$1001,$AB309)&gt;=10000101,INT(MOD(INDEX(기본자료!$K$2:$K$1001,$AB309),10000)/100)&gt;=1,INT(MOD(INDEX(기본자료!$K$2:$K$1001,$AB309),10000)/100)&lt;=12,MOD(INDEX(기본자료!$K$2:$K$1001,$AB309),100)&gt;=1,MOD(INDEX(기본자료!$K$2:$K$1001,$AB309),100)&lt;=31),DATE(INT(INDEX(기본자료!$K$2:$K$1001,$AB309)/10000),INT(MOD(INDEX(기본자료!$K$2:$K$1001,$AB309),10000)/100),MOD(INDEX(기본자료!$K$2:$K$1001,$AB309),100)),INDEX(기본자료!$K$2:$K$1001,$AB309)&amp;"")))))</f>
        <v/>
      </c>
      <c r="F309" s="10">
        <f>IF($AB309="","",IF(INDEX(기본자료!$D$2:$D$1001,$AB309)="","",INDEX(기본자료!$D$2:$D$1001,$AB309)))</f>
        <v/>
      </c>
      <c r="G309" s="10">
        <f>IF($AB309="","",IF(INDEX(기본자료!$E$2:$E$1001,$AB309)="","",INDEX(기본자료!$E$2:$E$1001,$AB309)))</f>
        <v/>
      </c>
      <c r="H309" s="10">
        <f>IF($AB309="","",IF(INDEX(기본자료!$F$2:$F$1001,$AB309)="","",INDEX(기본자료!$F$2:$F$1001,$AB309)))</f>
        <v/>
      </c>
      <c r="I309" s="11">
        <f>IF($AB309="","",IF(INDEX(기본자료!$G$2:$G$1001,$AB309)="","",IF(NOT(ISNUMBER(INDEX(기본자료!$G$2:$G$1001,$AB309))),INDEX(기본자료!$G$2:$G$1001,$AB309),IF(INDEX(기본자료!$G$2:$G$1001,$AB309)&lt;1000000,INDEX(기본자료!$G$2:$G$1001,$AB309),IF(AND(INDEX(기본자료!$G$2:$G$1001,$AB309)&gt;=10000101,INT(MOD(INDEX(기본자료!$G$2:$G$1001,$AB309),10000)/100)&gt;=1,INT(MOD(INDEX(기본자료!$G$2:$G$1001,$AB309),10000)/100)&lt;=12,MOD(INDEX(기본자료!$G$2:$G$1001,$AB309),100)&gt;=1,MOD(INDEX(기본자료!$G$2:$G$1001,$AB309),100)&lt;=31),DATE(INT(INDEX(기본자료!$G$2:$G$1001,$AB309)/10000),INT(MOD(INDEX(기본자료!$G$2:$G$1001,$AB309),10000)/100),MOD(INDEX(기본자료!$G$2:$G$1001,$AB309),100)),INDEX(기본자료!$G$2:$G$1001,$AB309)&amp;"")))))</f>
        <v/>
      </c>
      <c r="J309" s="10">
        <f>IF($AB309="","",IF(INDEX(기본자료!$H$2:$H$1001,$AB309)="","",INDEX(기본자료!$H$2:$H$1001,$AB309)))</f>
        <v/>
      </c>
      <c r="K309" s="10">
        <f>IF($AB309="","",IF(INDEX(기본자료!$I$2:$I$1001,$AB309)="","",INDEX(기본자료!$I$2:$I$1001,$AB309)))</f>
        <v/>
      </c>
      <c r="L309" s="10">
        <f>IF($AB309="","",IF(INDEX(기본자료!$A$2:$A$1001,$AB309)="","",INDEX(기본자료!$A$2:$A$1001,$AB309)))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파견수련계획!$AB$4:$AB$803,$AK309),OR(NOT(ISNUMBER(INDEX(파견수련계획!$AC$4:$AC$803,$AK309))),TODAY()&lt;=INDEX(파견수련계획!$AC$4:$AC$803,$AK309))),"다기관",IF($AF309="","",INDEX(파견수련계획!$T$4:$T$803,$AF309))),IF($AF309="","",INDEX(파견수련계획!$T$4:$T$803,$AF309))))</f>
        <v/>
      </c>
      <c r="Q309" s="10">
        <f>IF($AF309="","",INDEX(파견수련계획!$S$4:$S$803,$AF309))</f>
        <v/>
      </c>
      <c r="R309" s="10">
        <f>IF($AF309="","",INDEX(파견수련계획!$U$4:$U$803,$AF309))</f>
        <v/>
      </c>
      <c r="S309" s="11">
        <f>IF($AF309="","",IF(INDEX(파견수련계획!$H$4:$H$803,$AF309)="","",INDEX(파견수련계획!$H$4:$H$803,$AF309)))</f>
        <v/>
      </c>
      <c r="T309" s="11">
        <f>IF($AF309="","",IF(INDEX(파견수련계획!$I$4:$I$803,$AF309)="","",INDEX(파견수련계획!$I$4:$I$803,$AF309)))</f>
        <v/>
      </c>
      <c r="U309" s="10">
        <f>IF($AF309="","",INDEX(파견수련계획!$X$4:$X$803,$AF309))</f>
        <v/>
      </c>
      <c r="V309" s="17">
        <f>IF($AF309="","",INDEX(파견수련계획!$V$4:$V$803,$AF309))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IF(OR($B309="",TRIM($J309&amp;"")=""),"",SUMPRODUCT((파견수련계획!$Q$4:$Q$803=TRIM($J309&amp;""))*파견수련계획!$W$4:$W$803))</f>
        <v/>
      </c>
      <c r="Y309" s="10">
        <f>IF($B309="","",IF($AG309="","",IF(IF(TRIM($J309&amp;"")="",0,SUMPRODUCT((파견수련계획!$Q$4:$Q$803=TRIM($J309&amp;""))*파견수련계획!$AD$4:$AD$803))&gt;0,$AE309,IF(N($X309)&lt;=0,$AG309,IF($AH309+$AI309=DAY(EOMONTH(요약!$B$3,0)),IF(AND($AH309&gt;=요약!$E$3,$AI309&lt;요약!$E$3),"서울병원",IF(AND($AI309&gt;=요약!$E$3,$AH309&lt;요약!$E$3),"구리병원","⚠15일 판정불가(서울 "&amp;$AH309&amp;"일/구리 "&amp;$AI309&amp;"일)")),IF($AJ309="",$AE309,IF(INDEX(파견수련계획!$T$4:$T$803,$AJ309)="통합수련",INDEX(파견수련계획!$S$4:$S$803,$AJ309),$AE309)))))))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입력",IF(IF(TRIM($J309&amp;"")="",0,SUMPRODUCT((파견수련계획!$Q$4:$Q$803=TRIM($J309&amp;""))*(파견수련계획!$AA$4:$AA$803&lt;&gt;"")))&gt;0,"파견수련계획 입력오류 확인",IF(LEFT($Y309,1)="⚠","서울·구리 15일 판정 불가(양쪽 모두 이상/미만)",IF(IF($AC309="",0,N(INDEX(인턴근무계획!$T$3:$T$402,$AC309)))&gt;0,"인턴계획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IF($B309="","",IFERROR(MATCH($B309,기본자료!$B$2:$B$1001,0),IFERROR(MATCH($B309&amp;"",기본자료!$B$2:$B$1001,0),IFERROR(MATCH(VALUE($B309),기본자료!$B$2:$B$1001,0),""))))</f>
        <v/>
      </c>
      <c r="AC309" s="10">
        <f>IF($B309="","",IFERROR(MATCH($B309,인턴근무계획!$D$3:$D$402,0),IFERROR(MATCH($B309&amp;"",인턴근무계획!$D$3:$D$402,0),IFERROR(MATCH(VALUE($B309),인턴근무계획!$D$3:$D$402,0),""))))</f>
        <v/>
      </c>
      <c r="AD309" s="10">
        <f>IF(OR($AC309="",인턴현황!$G$3=""),"",INDEX(인턴근무계획!$M$3:$R$402,$AC309,인턴현황!$G$3)&amp;"")</f>
        <v/>
      </c>
      <c r="AE309" s="10">
        <f>IF($B309="","",IF($M309&lt;&gt;"",$M309,IF($AF309&lt;&gt;"",IF(LEFT(INDEX(파견수련계획!$R$4:$R$803,$AF309),1)&lt;&gt;"⚠",INDEX(파견수련계획!$R$4:$R$803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파견수련계획!$Y$4:$Y$803,0),IFERROR(MATCH(TRIM($J309&amp;"")&amp;"|파견예정",파견수련계획!$Y$4:$Y$803,0),IFERROR(MATCH(TRIM($J309&amp;"")&amp;"|파견종료",파견수련계획!$Y$4:$Y$803,0),""))))</f>
        <v/>
      </c>
      <c r="AG309" s="10">
        <f>IF($B309="","",IF(AND(IF(OR($AC309="",인턴현황!$K$2=""),"",INDEX(인턴근무계획!$M$3:$R$402,$AC309,인턴현황!$K$2)&amp;"")&lt;&gt;"",LEFT(IF(OR($AC309="",인턴현황!$K$2=""),"",INDEX(인턴근무계획!$M$3:$R$402,$AC309,인턴현황!$K$2)&amp;""),1)&lt;&gt;"⚠"),LEFT(IF(OR($AC309="",인턴현황!$K$2=""),"",INDEX(인턴근무계획!$M$3:$R$402,$AC309,인턴현황!$K$2)&amp;""),FIND(" ",IF(OR($AC309="",인턴현황!$K$2=""),"",INDEX(인턴근무계획!$M$3:$R$402,$AC309,인턴현황!$K$2)&amp;""))-1),$AE309))</f>
        <v/>
      </c>
      <c r="AH309" s="17">
        <f>IF($B309="","",IF(TRIM($J309&amp;"")="",0,SUMPRODUCT((파견수련계획!$Q$4:$Q$803=TRIM($J309&amp;""))*(파견수련계획!$S$4:$S$803="서울병원")*파견수련계획!$W$4:$W$803))+IF($AG309="서울병원",MAX(0,DAY(EOMONTH(요약!$B$3,0))-N($X309)),0))</f>
        <v/>
      </c>
      <c r="AI309" s="17">
        <f>IF($B309="","",IF(TRIM($J309&amp;"")="",0,SUMPRODUCT((파견수련계획!$Q$4:$Q$803=TRIM($J309&amp;""))*(파견수련계획!$S$4:$S$803="구리병원")*파견수련계획!$W$4:$W$803))+IF($AG309="구리병원",MAX(0,DAY(EOMONTH(요약!$B$3,0))-N($X309)),0))</f>
        <v/>
      </c>
      <c r="AJ309" s="10">
        <f>IF(OR($B309="",TRIM($J309&amp;"")=""),"",IFERROR(MATCH(TRIM($J309&amp;"")&amp;"|월",파견수련계획!$Z$4:$Z$803,0),""))</f>
        <v/>
      </c>
      <c r="AK309" s="10">
        <f>IF(OR($B309="",TRIM($J309&amp;"")=""),"",IFERROR(MATCH(TRIM($J309&amp;"")&amp;"|다기관",파견수련계획!$AE$4:$AE$803,0),""))</f>
        <v/>
      </c>
      <c r="AL309" s="10">
        <f>IF($AK309="","","다기관 "&amp;TEXT(INDEX(파견수련계획!$AB$4:$AB$803,$AK309),"yyyy-mm-dd")&amp;"~"&amp;IF(ISNUMBER(INDEX(파견수련계획!$AC$4:$AC$803,$AK309)),TEXT(INDEX(파견수련계획!$AC$4:$AC$803,$AK309),"yyyy-mm-dd"),""))</f>
        <v/>
      </c>
    </row>
    <row r="310">
      <c r="A310" s="10">
        <f>IF(B310="","",ROW()-1)</f>
        <v/>
      </c>
      <c r="B310" s="18" t="n"/>
      <c r="C310" s="10">
        <f>IF($AB310="","",IF(INDEX(기본자료!$C$2:$C$1001,$AB310)="","",INDEX(기본자료!$C$2:$C$1001,$AB310)))</f>
        <v/>
      </c>
      <c r="D310" s="10">
        <f>IF($AB310="","",IF(INDEX(기본자료!$J$2:$J$1001,$AB310)="","",INDEX(기본자료!$J$2:$J$1001,$AB310)))</f>
        <v/>
      </c>
      <c r="E310" s="11">
        <f>IF($AB310="","",IF(INDEX(기본자료!$K$2:$K$1001,$AB310)="","",IF(NOT(ISNUMBER(INDEX(기본자료!$K$2:$K$1001,$AB310))),INDEX(기본자료!$K$2:$K$1001,$AB310),IF(INDEX(기본자료!$K$2:$K$1001,$AB310)&lt;1000000,INDEX(기본자료!$K$2:$K$1001,$AB310),IF(AND(INDEX(기본자료!$K$2:$K$1001,$AB310)&gt;=10000101,INT(MOD(INDEX(기본자료!$K$2:$K$1001,$AB310),10000)/100)&gt;=1,INT(MOD(INDEX(기본자료!$K$2:$K$1001,$AB310),10000)/100)&lt;=12,MOD(INDEX(기본자료!$K$2:$K$1001,$AB310),100)&gt;=1,MOD(INDEX(기본자료!$K$2:$K$1001,$AB310),100)&lt;=31),DATE(INT(INDEX(기본자료!$K$2:$K$1001,$AB310)/10000),INT(MOD(INDEX(기본자료!$K$2:$K$1001,$AB310),10000)/100),MOD(INDEX(기본자료!$K$2:$K$1001,$AB310),100)),INDEX(기본자료!$K$2:$K$1001,$AB310)&amp;"")))))</f>
        <v/>
      </c>
      <c r="F310" s="10">
        <f>IF($AB310="","",IF(INDEX(기본자료!$D$2:$D$1001,$AB310)="","",INDEX(기본자료!$D$2:$D$1001,$AB310)))</f>
        <v/>
      </c>
      <c r="G310" s="10">
        <f>IF($AB310="","",IF(INDEX(기본자료!$E$2:$E$1001,$AB310)="","",INDEX(기본자료!$E$2:$E$1001,$AB310)))</f>
        <v/>
      </c>
      <c r="H310" s="10">
        <f>IF($AB310="","",IF(INDEX(기본자료!$F$2:$F$1001,$AB310)="","",INDEX(기본자료!$F$2:$F$1001,$AB310)))</f>
        <v/>
      </c>
      <c r="I310" s="11">
        <f>IF($AB310="","",IF(INDEX(기본자료!$G$2:$G$1001,$AB310)="","",IF(NOT(ISNUMBER(INDEX(기본자료!$G$2:$G$1001,$AB310))),INDEX(기본자료!$G$2:$G$1001,$AB310),IF(INDEX(기본자료!$G$2:$G$1001,$AB310)&lt;1000000,INDEX(기본자료!$G$2:$G$1001,$AB310),IF(AND(INDEX(기본자료!$G$2:$G$1001,$AB310)&gt;=10000101,INT(MOD(INDEX(기본자료!$G$2:$G$1001,$AB310),10000)/100)&gt;=1,INT(MOD(INDEX(기본자료!$G$2:$G$1001,$AB310),10000)/100)&lt;=12,MOD(INDEX(기본자료!$G$2:$G$1001,$AB310),100)&gt;=1,MOD(INDEX(기본자료!$G$2:$G$1001,$AB310),100)&lt;=31),DATE(INT(INDEX(기본자료!$G$2:$G$1001,$AB310)/10000),INT(MOD(INDEX(기본자료!$G$2:$G$1001,$AB310),10000)/100),MOD(INDEX(기본자료!$G$2:$G$1001,$AB310),100)),INDEX(기본자료!$G$2:$G$1001,$AB310)&amp;"")))))</f>
        <v/>
      </c>
      <c r="J310" s="10">
        <f>IF($AB310="","",IF(INDEX(기본자료!$H$2:$H$1001,$AB310)="","",INDEX(기본자료!$H$2:$H$1001,$AB310)))</f>
        <v/>
      </c>
      <c r="K310" s="10">
        <f>IF($AB310="","",IF(INDEX(기본자료!$I$2:$I$1001,$AB310)="","",INDEX(기본자료!$I$2:$I$1001,$AB310)))</f>
        <v/>
      </c>
      <c r="L310" s="10">
        <f>IF($AB310="","",IF(INDEX(기본자료!$A$2:$A$1001,$AB310)="","",INDEX(기본자료!$A$2:$A$1001,$AB310)))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파견수련계획!$AB$4:$AB$803,$AK310),OR(NOT(ISNUMBER(INDEX(파견수련계획!$AC$4:$AC$803,$AK310))),TODAY()&lt;=INDEX(파견수련계획!$AC$4:$AC$803,$AK310))),"다기관",IF($AF310="","",INDEX(파견수련계획!$T$4:$T$803,$AF310))),IF($AF310="","",INDEX(파견수련계획!$T$4:$T$803,$AF310))))</f>
        <v/>
      </c>
      <c r="Q310" s="10">
        <f>IF($AF310="","",INDEX(파견수련계획!$S$4:$S$803,$AF310))</f>
        <v/>
      </c>
      <c r="R310" s="10">
        <f>IF($AF310="","",INDEX(파견수련계획!$U$4:$U$803,$AF310))</f>
        <v/>
      </c>
      <c r="S310" s="11">
        <f>IF($AF310="","",IF(INDEX(파견수련계획!$H$4:$H$803,$AF310)="","",INDEX(파견수련계획!$H$4:$H$803,$AF310)))</f>
        <v/>
      </c>
      <c r="T310" s="11">
        <f>IF($AF310="","",IF(INDEX(파견수련계획!$I$4:$I$803,$AF310)="","",INDEX(파견수련계획!$I$4:$I$803,$AF310)))</f>
        <v/>
      </c>
      <c r="U310" s="10">
        <f>IF($AF310="","",INDEX(파견수련계획!$X$4:$X$803,$AF310))</f>
        <v/>
      </c>
      <c r="V310" s="17">
        <f>IF($AF310="","",INDEX(파견수련계획!$V$4:$V$803,$AF310))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IF(OR($B310="",TRIM($J310&amp;"")=""),"",SUMPRODUCT((파견수련계획!$Q$4:$Q$803=TRIM($J310&amp;""))*파견수련계획!$W$4:$W$803))</f>
        <v/>
      </c>
      <c r="Y310" s="10">
        <f>IF($B310="","",IF($AG310="","",IF(IF(TRIM($J310&amp;"")="",0,SUMPRODUCT((파견수련계획!$Q$4:$Q$803=TRIM($J310&amp;""))*파견수련계획!$AD$4:$AD$803))&gt;0,$AE310,IF(N($X310)&lt;=0,$AG310,IF($AH310+$AI310=DAY(EOMONTH(요약!$B$3,0)),IF(AND($AH310&gt;=요약!$E$3,$AI310&lt;요약!$E$3),"서울병원",IF(AND($AI310&gt;=요약!$E$3,$AH310&lt;요약!$E$3),"구리병원","⚠15일 판정불가(서울 "&amp;$AH310&amp;"일/구리 "&amp;$AI310&amp;"일)")),IF($AJ310="",$AE310,IF(INDEX(파견수련계획!$T$4:$T$803,$AJ310)="통합수련",INDEX(파견수련계획!$S$4:$S$803,$AJ310),$AE310)))))))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입력",IF(IF(TRIM($J310&amp;"")="",0,SUMPRODUCT((파견수련계획!$Q$4:$Q$803=TRIM($J310&amp;""))*(파견수련계획!$AA$4:$AA$803&lt;&gt;"")))&gt;0,"파견수련계획 입력오류 확인",IF(LEFT($Y310,1)="⚠","서울·구리 15일 판정 불가(양쪽 모두 이상/미만)",IF(IF($AC310="",0,N(INDEX(인턴근무계획!$T$3:$T$402,$AC310)))&gt;0,"인턴계획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IF($B310="","",IFERROR(MATCH($B310,기본자료!$B$2:$B$1001,0),IFERROR(MATCH($B310&amp;"",기본자료!$B$2:$B$1001,0),IFERROR(MATCH(VALUE($B310),기본자료!$B$2:$B$1001,0),""))))</f>
        <v/>
      </c>
      <c r="AC310" s="10">
        <f>IF($B310="","",IFERROR(MATCH($B310,인턴근무계획!$D$3:$D$402,0),IFERROR(MATCH($B310&amp;"",인턴근무계획!$D$3:$D$402,0),IFERROR(MATCH(VALUE($B310),인턴근무계획!$D$3:$D$402,0),""))))</f>
        <v/>
      </c>
      <c r="AD310" s="10">
        <f>IF(OR($AC310="",인턴현황!$G$3=""),"",INDEX(인턴근무계획!$M$3:$R$402,$AC310,인턴현황!$G$3)&amp;"")</f>
        <v/>
      </c>
      <c r="AE310" s="10">
        <f>IF($B310="","",IF($M310&lt;&gt;"",$M310,IF($AF310&lt;&gt;"",IF(LEFT(INDEX(파견수련계획!$R$4:$R$803,$AF310),1)&lt;&gt;"⚠",INDEX(파견수련계획!$R$4:$R$803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파견수련계획!$Y$4:$Y$803,0),IFERROR(MATCH(TRIM($J310&amp;"")&amp;"|파견예정",파견수련계획!$Y$4:$Y$803,0),IFERROR(MATCH(TRIM($J310&amp;"")&amp;"|파견종료",파견수련계획!$Y$4:$Y$803,0),""))))</f>
        <v/>
      </c>
      <c r="AG310" s="10">
        <f>IF($B310="","",IF(AND(IF(OR($AC310="",인턴현황!$K$2=""),"",INDEX(인턴근무계획!$M$3:$R$402,$AC310,인턴현황!$K$2)&amp;"")&lt;&gt;"",LEFT(IF(OR($AC310="",인턴현황!$K$2=""),"",INDEX(인턴근무계획!$M$3:$R$402,$AC310,인턴현황!$K$2)&amp;""),1)&lt;&gt;"⚠"),LEFT(IF(OR($AC310="",인턴현황!$K$2=""),"",INDEX(인턴근무계획!$M$3:$R$402,$AC310,인턴현황!$K$2)&amp;""),FIND(" ",IF(OR($AC310="",인턴현황!$K$2=""),"",INDEX(인턴근무계획!$M$3:$R$402,$AC310,인턴현황!$K$2)&amp;""))-1),$AE310))</f>
        <v/>
      </c>
      <c r="AH310" s="17">
        <f>IF($B310="","",IF(TRIM($J310&amp;"")="",0,SUMPRODUCT((파견수련계획!$Q$4:$Q$803=TRIM($J310&amp;""))*(파견수련계획!$S$4:$S$803="서울병원")*파견수련계획!$W$4:$W$803))+IF($AG310="서울병원",MAX(0,DAY(EOMONTH(요약!$B$3,0))-N($X310)),0))</f>
        <v/>
      </c>
      <c r="AI310" s="17">
        <f>IF($B310="","",IF(TRIM($J310&amp;"")="",0,SUMPRODUCT((파견수련계획!$Q$4:$Q$803=TRIM($J310&amp;""))*(파견수련계획!$S$4:$S$803="구리병원")*파견수련계획!$W$4:$W$803))+IF($AG310="구리병원",MAX(0,DAY(EOMONTH(요약!$B$3,0))-N($X310)),0))</f>
        <v/>
      </c>
      <c r="AJ310" s="10">
        <f>IF(OR($B310="",TRIM($J310&amp;"")=""),"",IFERROR(MATCH(TRIM($J310&amp;"")&amp;"|월",파견수련계획!$Z$4:$Z$803,0),""))</f>
        <v/>
      </c>
      <c r="AK310" s="10">
        <f>IF(OR($B310="",TRIM($J310&amp;"")=""),"",IFERROR(MATCH(TRIM($J310&amp;"")&amp;"|다기관",파견수련계획!$AE$4:$AE$803,0),""))</f>
        <v/>
      </c>
      <c r="AL310" s="10">
        <f>IF($AK310="","","다기관 "&amp;TEXT(INDEX(파견수련계획!$AB$4:$AB$803,$AK310),"yyyy-mm-dd")&amp;"~"&amp;IF(ISNUMBER(INDEX(파견수련계획!$AC$4:$AC$803,$AK310)),TEXT(INDEX(파견수련계획!$AC$4:$AC$803,$AK310),"yyyy-mm-dd"),""))</f>
        <v/>
      </c>
    </row>
    <row r="311">
      <c r="A311" s="10">
        <f>IF(B311="","",ROW()-1)</f>
        <v/>
      </c>
      <c r="B311" s="18" t="n"/>
      <c r="C311" s="10">
        <f>IF($AB311="","",IF(INDEX(기본자료!$C$2:$C$1001,$AB311)="","",INDEX(기본자료!$C$2:$C$1001,$AB311)))</f>
        <v/>
      </c>
      <c r="D311" s="10">
        <f>IF($AB311="","",IF(INDEX(기본자료!$J$2:$J$1001,$AB311)="","",INDEX(기본자료!$J$2:$J$1001,$AB311)))</f>
        <v/>
      </c>
      <c r="E311" s="11">
        <f>IF($AB311="","",IF(INDEX(기본자료!$K$2:$K$1001,$AB311)="","",IF(NOT(ISNUMBER(INDEX(기본자료!$K$2:$K$1001,$AB311))),INDEX(기본자료!$K$2:$K$1001,$AB311),IF(INDEX(기본자료!$K$2:$K$1001,$AB311)&lt;1000000,INDEX(기본자료!$K$2:$K$1001,$AB311),IF(AND(INDEX(기본자료!$K$2:$K$1001,$AB311)&gt;=10000101,INT(MOD(INDEX(기본자료!$K$2:$K$1001,$AB311),10000)/100)&gt;=1,INT(MOD(INDEX(기본자료!$K$2:$K$1001,$AB311),10000)/100)&lt;=12,MOD(INDEX(기본자료!$K$2:$K$1001,$AB311),100)&gt;=1,MOD(INDEX(기본자료!$K$2:$K$1001,$AB311),100)&lt;=31),DATE(INT(INDEX(기본자료!$K$2:$K$1001,$AB311)/10000),INT(MOD(INDEX(기본자료!$K$2:$K$1001,$AB311),10000)/100),MOD(INDEX(기본자료!$K$2:$K$1001,$AB311),100)),INDEX(기본자료!$K$2:$K$1001,$AB311)&amp;"")))))</f>
        <v/>
      </c>
      <c r="F311" s="10">
        <f>IF($AB311="","",IF(INDEX(기본자료!$D$2:$D$1001,$AB311)="","",INDEX(기본자료!$D$2:$D$1001,$AB311)))</f>
        <v/>
      </c>
      <c r="G311" s="10">
        <f>IF($AB311="","",IF(INDEX(기본자료!$E$2:$E$1001,$AB311)="","",INDEX(기본자료!$E$2:$E$1001,$AB311)))</f>
        <v/>
      </c>
      <c r="H311" s="10">
        <f>IF($AB311="","",IF(INDEX(기본자료!$F$2:$F$1001,$AB311)="","",INDEX(기본자료!$F$2:$F$1001,$AB311)))</f>
        <v/>
      </c>
      <c r="I311" s="11">
        <f>IF($AB311="","",IF(INDEX(기본자료!$G$2:$G$1001,$AB311)="","",IF(NOT(ISNUMBER(INDEX(기본자료!$G$2:$G$1001,$AB311))),INDEX(기본자료!$G$2:$G$1001,$AB311),IF(INDEX(기본자료!$G$2:$G$1001,$AB311)&lt;1000000,INDEX(기본자료!$G$2:$G$1001,$AB311),IF(AND(INDEX(기본자료!$G$2:$G$1001,$AB311)&gt;=10000101,INT(MOD(INDEX(기본자료!$G$2:$G$1001,$AB311),10000)/100)&gt;=1,INT(MOD(INDEX(기본자료!$G$2:$G$1001,$AB311),10000)/100)&lt;=12,MOD(INDEX(기본자료!$G$2:$G$1001,$AB311),100)&gt;=1,MOD(INDEX(기본자료!$G$2:$G$1001,$AB311),100)&lt;=31),DATE(INT(INDEX(기본자료!$G$2:$G$1001,$AB311)/10000),INT(MOD(INDEX(기본자료!$G$2:$G$1001,$AB311),10000)/100),MOD(INDEX(기본자료!$G$2:$G$1001,$AB311),100)),INDEX(기본자료!$G$2:$G$1001,$AB311)&amp;"")))))</f>
        <v/>
      </c>
      <c r="J311" s="10">
        <f>IF($AB311="","",IF(INDEX(기본자료!$H$2:$H$1001,$AB311)="","",INDEX(기본자료!$H$2:$H$1001,$AB311)))</f>
        <v/>
      </c>
      <c r="K311" s="10">
        <f>IF($AB311="","",IF(INDEX(기본자료!$I$2:$I$1001,$AB311)="","",INDEX(기본자료!$I$2:$I$1001,$AB311)))</f>
        <v/>
      </c>
      <c r="L311" s="10">
        <f>IF($AB311="","",IF(INDEX(기본자료!$A$2:$A$1001,$AB311)="","",INDEX(기본자료!$A$2:$A$1001,$AB311)))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파견수련계획!$AB$4:$AB$803,$AK311),OR(NOT(ISNUMBER(INDEX(파견수련계획!$AC$4:$AC$803,$AK311))),TODAY()&lt;=INDEX(파견수련계획!$AC$4:$AC$803,$AK311))),"다기관",IF($AF311="","",INDEX(파견수련계획!$T$4:$T$803,$AF311))),IF($AF311="","",INDEX(파견수련계획!$T$4:$T$803,$AF311))))</f>
        <v/>
      </c>
      <c r="Q311" s="10">
        <f>IF($AF311="","",INDEX(파견수련계획!$S$4:$S$803,$AF311))</f>
        <v/>
      </c>
      <c r="R311" s="10">
        <f>IF($AF311="","",INDEX(파견수련계획!$U$4:$U$803,$AF311))</f>
        <v/>
      </c>
      <c r="S311" s="11">
        <f>IF($AF311="","",IF(INDEX(파견수련계획!$H$4:$H$803,$AF311)="","",INDEX(파견수련계획!$H$4:$H$803,$AF311)))</f>
        <v/>
      </c>
      <c r="T311" s="11">
        <f>IF($AF311="","",IF(INDEX(파견수련계획!$I$4:$I$803,$AF311)="","",INDEX(파견수련계획!$I$4:$I$803,$AF311)))</f>
        <v/>
      </c>
      <c r="U311" s="10">
        <f>IF($AF311="","",INDEX(파견수련계획!$X$4:$X$803,$AF311))</f>
        <v/>
      </c>
      <c r="V311" s="17">
        <f>IF($AF311="","",INDEX(파견수련계획!$V$4:$V$803,$AF311))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IF(OR($B311="",TRIM($J311&amp;"")=""),"",SUMPRODUCT((파견수련계획!$Q$4:$Q$803=TRIM($J311&amp;""))*파견수련계획!$W$4:$W$803))</f>
        <v/>
      </c>
      <c r="Y311" s="10">
        <f>IF($B311="","",IF($AG311="","",IF(IF(TRIM($J311&amp;"")="",0,SUMPRODUCT((파견수련계획!$Q$4:$Q$803=TRIM($J311&amp;""))*파견수련계획!$AD$4:$AD$803))&gt;0,$AE311,IF(N($X311)&lt;=0,$AG311,IF($AH311+$AI311=DAY(EOMONTH(요약!$B$3,0)),IF(AND($AH311&gt;=요약!$E$3,$AI311&lt;요약!$E$3),"서울병원",IF(AND($AI311&gt;=요약!$E$3,$AH311&lt;요약!$E$3),"구리병원","⚠15일 판정불가(서울 "&amp;$AH311&amp;"일/구리 "&amp;$AI311&amp;"일)")),IF($AJ311="",$AE311,IF(INDEX(파견수련계획!$T$4:$T$803,$AJ311)="통합수련",INDEX(파견수련계획!$S$4:$S$803,$AJ311),$AE311)))))))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입력",IF(IF(TRIM($J311&amp;"")="",0,SUMPRODUCT((파견수련계획!$Q$4:$Q$803=TRIM($J311&amp;""))*(파견수련계획!$AA$4:$AA$803&lt;&gt;"")))&gt;0,"파견수련계획 입력오류 확인",IF(LEFT($Y311,1)="⚠","서울·구리 15일 판정 불가(양쪽 모두 이상/미만)",IF(IF($AC311="",0,N(INDEX(인턴근무계획!$T$3:$T$402,$AC311)))&gt;0,"인턴계획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IF($B311="","",IFERROR(MATCH($B311,기본자료!$B$2:$B$1001,0),IFERROR(MATCH($B311&amp;"",기본자료!$B$2:$B$1001,0),IFERROR(MATCH(VALUE($B311),기본자료!$B$2:$B$1001,0),""))))</f>
        <v/>
      </c>
      <c r="AC311" s="10">
        <f>IF($B311="","",IFERROR(MATCH($B311,인턴근무계획!$D$3:$D$402,0),IFERROR(MATCH($B311&amp;"",인턴근무계획!$D$3:$D$402,0),IFERROR(MATCH(VALUE($B311),인턴근무계획!$D$3:$D$402,0),""))))</f>
        <v/>
      </c>
      <c r="AD311" s="10">
        <f>IF(OR($AC311="",인턴현황!$G$3=""),"",INDEX(인턴근무계획!$M$3:$R$402,$AC311,인턴현황!$G$3)&amp;"")</f>
        <v/>
      </c>
      <c r="AE311" s="10">
        <f>IF($B311="","",IF($M311&lt;&gt;"",$M311,IF($AF311&lt;&gt;"",IF(LEFT(INDEX(파견수련계획!$R$4:$R$803,$AF311),1)&lt;&gt;"⚠",INDEX(파견수련계획!$R$4:$R$803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파견수련계획!$Y$4:$Y$803,0),IFERROR(MATCH(TRIM($J311&amp;"")&amp;"|파견예정",파견수련계획!$Y$4:$Y$803,0),IFERROR(MATCH(TRIM($J311&amp;"")&amp;"|파견종료",파견수련계획!$Y$4:$Y$803,0),""))))</f>
        <v/>
      </c>
      <c r="AG311" s="10">
        <f>IF($B311="","",IF(AND(IF(OR($AC311="",인턴현황!$K$2=""),"",INDEX(인턴근무계획!$M$3:$R$402,$AC311,인턴현황!$K$2)&amp;"")&lt;&gt;"",LEFT(IF(OR($AC311="",인턴현황!$K$2=""),"",INDEX(인턴근무계획!$M$3:$R$402,$AC311,인턴현황!$K$2)&amp;""),1)&lt;&gt;"⚠"),LEFT(IF(OR($AC311="",인턴현황!$K$2=""),"",INDEX(인턴근무계획!$M$3:$R$402,$AC311,인턴현황!$K$2)&amp;""),FIND(" ",IF(OR($AC311="",인턴현황!$K$2=""),"",INDEX(인턴근무계획!$M$3:$R$402,$AC311,인턴현황!$K$2)&amp;""))-1),$AE311))</f>
        <v/>
      </c>
      <c r="AH311" s="17">
        <f>IF($B311="","",IF(TRIM($J311&amp;"")="",0,SUMPRODUCT((파견수련계획!$Q$4:$Q$803=TRIM($J311&amp;""))*(파견수련계획!$S$4:$S$803="서울병원")*파견수련계획!$W$4:$W$803))+IF($AG311="서울병원",MAX(0,DAY(EOMONTH(요약!$B$3,0))-N($X311)),0))</f>
        <v/>
      </c>
      <c r="AI311" s="17">
        <f>IF($B311="","",IF(TRIM($J311&amp;"")="",0,SUMPRODUCT((파견수련계획!$Q$4:$Q$803=TRIM($J311&amp;""))*(파견수련계획!$S$4:$S$803="구리병원")*파견수련계획!$W$4:$W$803))+IF($AG311="구리병원",MAX(0,DAY(EOMONTH(요약!$B$3,0))-N($X311)),0))</f>
        <v/>
      </c>
      <c r="AJ311" s="10">
        <f>IF(OR($B311="",TRIM($J311&amp;"")=""),"",IFERROR(MATCH(TRIM($J311&amp;"")&amp;"|월",파견수련계획!$Z$4:$Z$803,0),""))</f>
        <v/>
      </c>
      <c r="AK311" s="10">
        <f>IF(OR($B311="",TRIM($J311&amp;"")=""),"",IFERROR(MATCH(TRIM($J311&amp;"")&amp;"|다기관",파견수련계획!$AE$4:$AE$803,0),""))</f>
        <v/>
      </c>
      <c r="AL311" s="10">
        <f>IF($AK311="","","다기관 "&amp;TEXT(INDEX(파견수련계획!$AB$4:$AB$803,$AK311),"yyyy-mm-dd")&amp;"~"&amp;IF(ISNUMBER(INDEX(파견수련계획!$AC$4:$AC$803,$AK311)),TEXT(INDEX(파견수련계획!$AC$4:$AC$803,$AK311),"yyyy-mm-dd"),""))</f>
        <v/>
      </c>
    </row>
    <row r="312">
      <c r="A312" s="10">
        <f>IF(B312="","",ROW()-1)</f>
        <v/>
      </c>
      <c r="B312" s="18" t="n"/>
      <c r="C312" s="10">
        <f>IF($AB312="","",IF(INDEX(기본자료!$C$2:$C$1001,$AB312)="","",INDEX(기본자료!$C$2:$C$1001,$AB312)))</f>
        <v/>
      </c>
      <c r="D312" s="10">
        <f>IF($AB312="","",IF(INDEX(기본자료!$J$2:$J$1001,$AB312)="","",INDEX(기본자료!$J$2:$J$1001,$AB312)))</f>
        <v/>
      </c>
      <c r="E312" s="11">
        <f>IF($AB312="","",IF(INDEX(기본자료!$K$2:$K$1001,$AB312)="","",IF(NOT(ISNUMBER(INDEX(기본자료!$K$2:$K$1001,$AB312))),INDEX(기본자료!$K$2:$K$1001,$AB312),IF(INDEX(기본자료!$K$2:$K$1001,$AB312)&lt;1000000,INDEX(기본자료!$K$2:$K$1001,$AB312),IF(AND(INDEX(기본자료!$K$2:$K$1001,$AB312)&gt;=10000101,INT(MOD(INDEX(기본자료!$K$2:$K$1001,$AB312),10000)/100)&gt;=1,INT(MOD(INDEX(기본자료!$K$2:$K$1001,$AB312),10000)/100)&lt;=12,MOD(INDEX(기본자료!$K$2:$K$1001,$AB312),100)&gt;=1,MOD(INDEX(기본자료!$K$2:$K$1001,$AB312),100)&lt;=31),DATE(INT(INDEX(기본자료!$K$2:$K$1001,$AB312)/10000),INT(MOD(INDEX(기본자료!$K$2:$K$1001,$AB312),10000)/100),MOD(INDEX(기본자료!$K$2:$K$1001,$AB312),100)),INDEX(기본자료!$K$2:$K$1001,$AB312)&amp;"")))))</f>
        <v/>
      </c>
      <c r="F312" s="10">
        <f>IF($AB312="","",IF(INDEX(기본자료!$D$2:$D$1001,$AB312)="","",INDEX(기본자료!$D$2:$D$1001,$AB312)))</f>
        <v/>
      </c>
      <c r="G312" s="10">
        <f>IF($AB312="","",IF(INDEX(기본자료!$E$2:$E$1001,$AB312)="","",INDEX(기본자료!$E$2:$E$1001,$AB312)))</f>
        <v/>
      </c>
      <c r="H312" s="10">
        <f>IF($AB312="","",IF(INDEX(기본자료!$F$2:$F$1001,$AB312)="","",INDEX(기본자료!$F$2:$F$1001,$AB312)))</f>
        <v/>
      </c>
      <c r="I312" s="11">
        <f>IF($AB312="","",IF(INDEX(기본자료!$G$2:$G$1001,$AB312)="","",IF(NOT(ISNUMBER(INDEX(기본자료!$G$2:$G$1001,$AB312))),INDEX(기본자료!$G$2:$G$1001,$AB312),IF(INDEX(기본자료!$G$2:$G$1001,$AB312)&lt;1000000,INDEX(기본자료!$G$2:$G$1001,$AB312),IF(AND(INDEX(기본자료!$G$2:$G$1001,$AB312)&gt;=10000101,INT(MOD(INDEX(기본자료!$G$2:$G$1001,$AB312),10000)/100)&gt;=1,INT(MOD(INDEX(기본자료!$G$2:$G$1001,$AB312),10000)/100)&lt;=12,MOD(INDEX(기본자료!$G$2:$G$1001,$AB312),100)&gt;=1,MOD(INDEX(기본자료!$G$2:$G$1001,$AB312),100)&lt;=31),DATE(INT(INDEX(기본자료!$G$2:$G$1001,$AB312)/10000),INT(MOD(INDEX(기본자료!$G$2:$G$1001,$AB312),10000)/100),MOD(INDEX(기본자료!$G$2:$G$1001,$AB312),100)),INDEX(기본자료!$G$2:$G$1001,$AB312)&amp;"")))))</f>
        <v/>
      </c>
      <c r="J312" s="10">
        <f>IF($AB312="","",IF(INDEX(기본자료!$H$2:$H$1001,$AB312)="","",INDEX(기본자료!$H$2:$H$1001,$AB312)))</f>
        <v/>
      </c>
      <c r="K312" s="10">
        <f>IF($AB312="","",IF(INDEX(기본자료!$I$2:$I$1001,$AB312)="","",INDEX(기본자료!$I$2:$I$1001,$AB312)))</f>
        <v/>
      </c>
      <c r="L312" s="10">
        <f>IF($AB312="","",IF(INDEX(기본자료!$A$2:$A$1001,$AB312)="","",INDEX(기본자료!$A$2:$A$1001,$AB312)))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파견수련계획!$AB$4:$AB$803,$AK312),OR(NOT(ISNUMBER(INDEX(파견수련계획!$AC$4:$AC$803,$AK312))),TODAY()&lt;=INDEX(파견수련계획!$AC$4:$AC$803,$AK312))),"다기관",IF($AF312="","",INDEX(파견수련계획!$T$4:$T$803,$AF312))),IF($AF312="","",INDEX(파견수련계획!$T$4:$T$803,$AF312))))</f>
        <v/>
      </c>
      <c r="Q312" s="10">
        <f>IF($AF312="","",INDEX(파견수련계획!$S$4:$S$803,$AF312))</f>
        <v/>
      </c>
      <c r="R312" s="10">
        <f>IF($AF312="","",INDEX(파견수련계획!$U$4:$U$803,$AF312))</f>
        <v/>
      </c>
      <c r="S312" s="11">
        <f>IF($AF312="","",IF(INDEX(파견수련계획!$H$4:$H$803,$AF312)="","",INDEX(파견수련계획!$H$4:$H$803,$AF312)))</f>
        <v/>
      </c>
      <c r="T312" s="11">
        <f>IF($AF312="","",IF(INDEX(파견수련계획!$I$4:$I$803,$AF312)="","",INDEX(파견수련계획!$I$4:$I$803,$AF312)))</f>
        <v/>
      </c>
      <c r="U312" s="10">
        <f>IF($AF312="","",INDEX(파견수련계획!$X$4:$X$803,$AF312))</f>
        <v/>
      </c>
      <c r="V312" s="17">
        <f>IF($AF312="","",INDEX(파견수련계획!$V$4:$V$803,$AF312))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IF(OR($B312="",TRIM($J312&amp;"")=""),"",SUMPRODUCT((파견수련계획!$Q$4:$Q$803=TRIM($J312&amp;""))*파견수련계획!$W$4:$W$803))</f>
        <v/>
      </c>
      <c r="Y312" s="10">
        <f>IF($B312="","",IF($AG312="","",IF(IF(TRIM($J312&amp;"")="",0,SUMPRODUCT((파견수련계획!$Q$4:$Q$803=TRIM($J312&amp;""))*파견수련계획!$AD$4:$AD$803))&gt;0,$AE312,IF(N($X312)&lt;=0,$AG312,IF($AH312+$AI312=DAY(EOMONTH(요약!$B$3,0)),IF(AND($AH312&gt;=요약!$E$3,$AI312&lt;요약!$E$3),"서울병원",IF(AND($AI312&gt;=요약!$E$3,$AH312&lt;요약!$E$3),"구리병원","⚠15일 판정불가(서울 "&amp;$AH312&amp;"일/구리 "&amp;$AI312&amp;"일)")),IF($AJ312="",$AE312,IF(INDEX(파견수련계획!$T$4:$T$803,$AJ312)="통합수련",INDEX(파견수련계획!$S$4:$S$803,$AJ312),$AE312)))))))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입력",IF(IF(TRIM($J312&amp;"")="",0,SUMPRODUCT((파견수련계획!$Q$4:$Q$803=TRIM($J312&amp;""))*(파견수련계획!$AA$4:$AA$803&lt;&gt;"")))&gt;0,"파견수련계획 입력오류 확인",IF(LEFT($Y312,1)="⚠","서울·구리 15일 판정 불가(양쪽 모두 이상/미만)",IF(IF($AC312="",0,N(INDEX(인턴근무계획!$T$3:$T$402,$AC312)))&gt;0,"인턴계획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IF($B312="","",IFERROR(MATCH($B312,기본자료!$B$2:$B$1001,0),IFERROR(MATCH($B312&amp;"",기본자료!$B$2:$B$1001,0),IFERROR(MATCH(VALUE($B312),기본자료!$B$2:$B$1001,0),""))))</f>
        <v/>
      </c>
      <c r="AC312" s="10">
        <f>IF($B312="","",IFERROR(MATCH($B312,인턴근무계획!$D$3:$D$402,0),IFERROR(MATCH($B312&amp;"",인턴근무계획!$D$3:$D$402,0),IFERROR(MATCH(VALUE($B312),인턴근무계획!$D$3:$D$402,0),""))))</f>
        <v/>
      </c>
      <c r="AD312" s="10">
        <f>IF(OR($AC312="",인턴현황!$G$3=""),"",INDEX(인턴근무계획!$M$3:$R$402,$AC312,인턴현황!$G$3)&amp;"")</f>
        <v/>
      </c>
      <c r="AE312" s="10">
        <f>IF($B312="","",IF($M312&lt;&gt;"",$M312,IF($AF312&lt;&gt;"",IF(LEFT(INDEX(파견수련계획!$R$4:$R$803,$AF312),1)&lt;&gt;"⚠",INDEX(파견수련계획!$R$4:$R$803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파견수련계획!$Y$4:$Y$803,0),IFERROR(MATCH(TRIM($J312&amp;"")&amp;"|파견예정",파견수련계획!$Y$4:$Y$803,0),IFERROR(MATCH(TRIM($J312&amp;"")&amp;"|파견종료",파견수련계획!$Y$4:$Y$803,0),""))))</f>
        <v/>
      </c>
      <c r="AG312" s="10">
        <f>IF($B312="","",IF(AND(IF(OR($AC312="",인턴현황!$K$2=""),"",INDEX(인턴근무계획!$M$3:$R$402,$AC312,인턴현황!$K$2)&amp;"")&lt;&gt;"",LEFT(IF(OR($AC312="",인턴현황!$K$2=""),"",INDEX(인턴근무계획!$M$3:$R$402,$AC312,인턴현황!$K$2)&amp;""),1)&lt;&gt;"⚠"),LEFT(IF(OR($AC312="",인턴현황!$K$2=""),"",INDEX(인턴근무계획!$M$3:$R$402,$AC312,인턴현황!$K$2)&amp;""),FIND(" ",IF(OR($AC312="",인턴현황!$K$2=""),"",INDEX(인턴근무계획!$M$3:$R$402,$AC312,인턴현황!$K$2)&amp;""))-1),$AE312))</f>
        <v/>
      </c>
      <c r="AH312" s="17">
        <f>IF($B312="","",IF(TRIM($J312&amp;"")="",0,SUMPRODUCT((파견수련계획!$Q$4:$Q$803=TRIM($J312&amp;""))*(파견수련계획!$S$4:$S$803="서울병원")*파견수련계획!$W$4:$W$803))+IF($AG312="서울병원",MAX(0,DAY(EOMONTH(요약!$B$3,0))-N($X312)),0))</f>
        <v/>
      </c>
      <c r="AI312" s="17">
        <f>IF($B312="","",IF(TRIM($J312&amp;"")="",0,SUMPRODUCT((파견수련계획!$Q$4:$Q$803=TRIM($J312&amp;""))*(파견수련계획!$S$4:$S$803="구리병원")*파견수련계획!$W$4:$W$803))+IF($AG312="구리병원",MAX(0,DAY(EOMONTH(요약!$B$3,0))-N($X312)),0))</f>
        <v/>
      </c>
      <c r="AJ312" s="10">
        <f>IF(OR($B312="",TRIM($J312&amp;"")=""),"",IFERROR(MATCH(TRIM($J312&amp;"")&amp;"|월",파견수련계획!$Z$4:$Z$803,0),""))</f>
        <v/>
      </c>
      <c r="AK312" s="10">
        <f>IF(OR($B312="",TRIM($J312&amp;"")=""),"",IFERROR(MATCH(TRIM($J312&amp;"")&amp;"|다기관",파견수련계획!$AE$4:$AE$803,0),""))</f>
        <v/>
      </c>
      <c r="AL312" s="10">
        <f>IF($AK312="","","다기관 "&amp;TEXT(INDEX(파견수련계획!$AB$4:$AB$803,$AK312),"yyyy-mm-dd")&amp;"~"&amp;IF(ISNUMBER(INDEX(파견수련계획!$AC$4:$AC$803,$AK312)),TEXT(INDEX(파견수련계획!$AC$4:$AC$803,$AK312),"yyyy-mm-dd"),""))</f>
        <v/>
      </c>
    </row>
    <row r="313">
      <c r="A313" s="10">
        <f>IF(B313="","",ROW()-1)</f>
        <v/>
      </c>
      <c r="B313" s="18" t="n"/>
      <c r="C313" s="10">
        <f>IF($AB313="","",IF(INDEX(기본자료!$C$2:$C$1001,$AB313)="","",INDEX(기본자료!$C$2:$C$1001,$AB313)))</f>
        <v/>
      </c>
      <c r="D313" s="10">
        <f>IF($AB313="","",IF(INDEX(기본자료!$J$2:$J$1001,$AB313)="","",INDEX(기본자료!$J$2:$J$1001,$AB313)))</f>
        <v/>
      </c>
      <c r="E313" s="11">
        <f>IF($AB313="","",IF(INDEX(기본자료!$K$2:$K$1001,$AB313)="","",IF(NOT(ISNUMBER(INDEX(기본자료!$K$2:$K$1001,$AB313))),INDEX(기본자료!$K$2:$K$1001,$AB313),IF(INDEX(기본자료!$K$2:$K$1001,$AB313)&lt;1000000,INDEX(기본자료!$K$2:$K$1001,$AB313),IF(AND(INDEX(기본자료!$K$2:$K$1001,$AB313)&gt;=10000101,INT(MOD(INDEX(기본자료!$K$2:$K$1001,$AB313),10000)/100)&gt;=1,INT(MOD(INDEX(기본자료!$K$2:$K$1001,$AB313),10000)/100)&lt;=12,MOD(INDEX(기본자료!$K$2:$K$1001,$AB313),100)&gt;=1,MOD(INDEX(기본자료!$K$2:$K$1001,$AB313),100)&lt;=31),DATE(INT(INDEX(기본자료!$K$2:$K$1001,$AB313)/10000),INT(MOD(INDEX(기본자료!$K$2:$K$1001,$AB313),10000)/100),MOD(INDEX(기본자료!$K$2:$K$1001,$AB313),100)),INDEX(기본자료!$K$2:$K$1001,$AB313)&amp;"")))))</f>
        <v/>
      </c>
      <c r="F313" s="10">
        <f>IF($AB313="","",IF(INDEX(기본자료!$D$2:$D$1001,$AB313)="","",INDEX(기본자료!$D$2:$D$1001,$AB313)))</f>
        <v/>
      </c>
      <c r="G313" s="10">
        <f>IF($AB313="","",IF(INDEX(기본자료!$E$2:$E$1001,$AB313)="","",INDEX(기본자료!$E$2:$E$1001,$AB313)))</f>
        <v/>
      </c>
      <c r="H313" s="10">
        <f>IF($AB313="","",IF(INDEX(기본자료!$F$2:$F$1001,$AB313)="","",INDEX(기본자료!$F$2:$F$1001,$AB313)))</f>
        <v/>
      </c>
      <c r="I313" s="11">
        <f>IF($AB313="","",IF(INDEX(기본자료!$G$2:$G$1001,$AB313)="","",IF(NOT(ISNUMBER(INDEX(기본자료!$G$2:$G$1001,$AB313))),INDEX(기본자료!$G$2:$G$1001,$AB313),IF(INDEX(기본자료!$G$2:$G$1001,$AB313)&lt;1000000,INDEX(기본자료!$G$2:$G$1001,$AB313),IF(AND(INDEX(기본자료!$G$2:$G$1001,$AB313)&gt;=10000101,INT(MOD(INDEX(기본자료!$G$2:$G$1001,$AB313),10000)/100)&gt;=1,INT(MOD(INDEX(기본자료!$G$2:$G$1001,$AB313),10000)/100)&lt;=12,MOD(INDEX(기본자료!$G$2:$G$1001,$AB313),100)&gt;=1,MOD(INDEX(기본자료!$G$2:$G$1001,$AB313),100)&lt;=31),DATE(INT(INDEX(기본자료!$G$2:$G$1001,$AB313)/10000),INT(MOD(INDEX(기본자료!$G$2:$G$1001,$AB313),10000)/100),MOD(INDEX(기본자료!$G$2:$G$1001,$AB313),100)),INDEX(기본자료!$G$2:$G$1001,$AB313)&amp;"")))))</f>
        <v/>
      </c>
      <c r="J313" s="10">
        <f>IF($AB313="","",IF(INDEX(기본자료!$H$2:$H$1001,$AB313)="","",INDEX(기본자료!$H$2:$H$1001,$AB313)))</f>
        <v/>
      </c>
      <c r="K313" s="10">
        <f>IF($AB313="","",IF(INDEX(기본자료!$I$2:$I$1001,$AB313)="","",INDEX(기본자료!$I$2:$I$1001,$AB313)))</f>
        <v/>
      </c>
      <c r="L313" s="10">
        <f>IF($AB313="","",IF(INDEX(기본자료!$A$2:$A$1001,$AB313)="","",INDEX(기본자료!$A$2:$A$1001,$AB313)))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파견수련계획!$AB$4:$AB$803,$AK313),OR(NOT(ISNUMBER(INDEX(파견수련계획!$AC$4:$AC$803,$AK313))),TODAY()&lt;=INDEX(파견수련계획!$AC$4:$AC$803,$AK313))),"다기관",IF($AF313="","",INDEX(파견수련계획!$T$4:$T$803,$AF313))),IF($AF313="","",INDEX(파견수련계획!$T$4:$T$803,$AF313))))</f>
        <v/>
      </c>
      <c r="Q313" s="10">
        <f>IF($AF313="","",INDEX(파견수련계획!$S$4:$S$803,$AF313))</f>
        <v/>
      </c>
      <c r="R313" s="10">
        <f>IF($AF313="","",INDEX(파견수련계획!$U$4:$U$803,$AF313))</f>
        <v/>
      </c>
      <c r="S313" s="11">
        <f>IF($AF313="","",IF(INDEX(파견수련계획!$H$4:$H$803,$AF313)="","",INDEX(파견수련계획!$H$4:$H$803,$AF313)))</f>
        <v/>
      </c>
      <c r="T313" s="11">
        <f>IF($AF313="","",IF(INDEX(파견수련계획!$I$4:$I$803,$AF313)="","",INDEX(파견수련계획!$I$4:$I$803,$AF313)))</f>
        <v/>
      </c>
      <c r="U313" s="10">
        <f>IF($AF313="","",INDEX(파견수련계획!$X$4:$X$803,$AF313))</f>
        <v/>
      </c>
      <c r="V313" s="17">
        <f>IF($AF313="","",INDEX(파견수련계획!$V$4:$V$803,$AF313))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IF(OR($B313="",TRIM($J313&amp;"")=""),"",SUMPRODUCT((파견수련계획!$Q$4:$Q$803=TRIM($J313&amp;""))*파견수련계획!$W$4:$W$803))</f>
        <v/>
      </c>
      <c r="Y313" s="10">
        <f>IF($B313="","",IF($AG313="","",IF(IF(TRIM($J313&amp;"")="",0,SUMPRODUCT((파견수련계획!$Q$4:$Q$803=TRIM($J313&amp;""))*파견수련계획!$AD$4:$AD$803))&gt;0,$AE313,IF(N($X313)&lt;=0,$AG313,IF($AH313+$AI313=DAY(EOMONTH(요약!$B$3,0)),IF(AND($AH313&gt;=요약!$E$3,$AI313&lt;요약!$E$3),"서울병원",IF(AND($AI313&gt;=요약!$E$3,$AH313&lt;요약!$E$3),"구리병원","⚠15일 판정불가(서울 "&amp;$AH313&amp;"일/구리 "&amp;$AI313&amp;"일)")),IF($AJ313="",$AE313,IF(INDEX(파견수련계획!$T$4:$T$803,$AJ313)="통합수련",INDEX(파견수련계획!$S$4:$S$803,$AJ313),$AE313)))))))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입력",IF(IF(TRIM($J313&amp;"")="",0,SUMPRODUCT((파견수련계획!$Q$4:$Q$803=TRIM($J313&amp;""))*(파견수련계획!$AA$4:$AA$803&lt;&gt;"")))&gt;0,"파견수련계획 입력오류 확인",IF(LEFT($Y313,1)="⚠","서울·구리 15일 판정 불가(양쪽 모두 이상/미만)",IF(IF($AC313="",0,N(INDEX(인턴근무계획!$T$3:$T$402,$AC313)))&gt;0,"인턴계획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IF($B313="","",IFERROR(MATCH($B313,기본자료!$B$2:$B$1001,0),IFERROR(MATCH($B313&amp;"",기본자료!$B$2:$B$1001,0),IFERROR(MATCH(VALUE($B313),기본자료!$B$2:$B$1001,0),""))))</f>
        <v/>
      </c>
      <c r="AC313" s="10">
        <f>IF($B313="","",IFERROR(MATCH($B313,인턴근무계획!$D$3:$D$402,0),IFERROR(MATCH($B313&amp;"",인턴근무계획!$D$3:$D$402,0),IFERROR(MATCH(VALUE($B313),인턴근무계획!$D$3:$D$402,0),""))))</f>
        <v/>
      </c>
      <c r="AD313" s="10">
        <f>IF(OR($AC313="",인턴현황!$G$3=""),"",INDEX(인턴근무계획!$M$3:$R$402,$AC313,인턴현황!$G$3)&amp;"")</f>
        <v/>
      </c>
      <c r="AE313" s="10">
        <f>IF($B313="","",IF($M313&lt;&gt;"",$M313,IF($AF313&lt;&gt;"",IF(LEFT(INDEX(파견수련계획!$R$4:$R$803,$AF313),1)&lt;&gt;"⚠",INDEX(파견수련계획!$R$4:$R$803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파견수련계획!$Y$4:$Y$803,0),IFERROR(MATCH(TRIM($J313&amp;"")&amp;"|파견예정",파견수련계획!$Y$4:$Y$803,0),IFERROR(MATCH(TRIM($J313&amp;"")&amp;"|파견종료",파견수련계획!$Y$4:$Y$803,0),""))))</f>
        <v/>
      </c>
      <c r="AG313" s="10">
        <f>IF($B313="","",IF(AND(IF(OR($AC313="",인턴현황!$K$2=""),"",INDEX(인턴근무계획!$M$3:$R$402,$AC313,인턴현황!$K$2)&amp;"")&lt;&gt;"",LEFT(IF(OR($AC313="",인턴현황!$K$2=""),"",INDEX(인턴근무계획!$M$3:$R$402,$AC313,인턴현황!$K$2)&amp;""),1)&lt;&gt;"⚠"),LEFT(IF(OR($AC313="",인턴현황!$K$2=""),"",INDEX(인턴근무계획!$M$3:$R$402,$AC313,인턴현황!$K$2)&amp;""),FIND(" ",IF(OR($AC313="",인턴현황!$K$2=""),"",INDEX(인턴근무계획!$M$3:$R$402,$AC313,인턴현황!$K$2)&amp;""))-1),$AE313))</f>
        <v/>
      </c>
      <c r="AH313" s="17">
        <f>IF($B313="","",IF(TRIM($J313&amp;"")="",0,SUMPRODUCT((파견수련계획!$Q$4:$Q$803=TRIM($J313&amp;""))*(파견수련계획!$S$4:$S$803="서울병원")*파견수련계획!$W$4:$W$803))+IF($AG313="서울병원",MAX(0,DAY(EOMONTH(요약!$B$3,0))-N($X313)),0))</f>
        <v/>
      </c>
      <c r="AI313" s="17">
        <f>IF($B313="","",IF(TRIM($J313&amp;"")="",0,SUMPRODUCT((파견수련계획!$Q$4:$Q$803=TRIM($J313&amp;""))*(파견수련계획!$S$4:$S$803="구리병원")*파견수련계획!$W$4:$W$803))+IF($AG313="구리병원",MAX(0,DAY(EOMONTH(요약!$B$3,0))-N($X313)),0))</f>
        <v/>
      </c>
      <c r="AJ313" s="10">
        <f>IF(OR($B313="",TRIM($J313&amp;"")=""),"",IFERROR(MATCH(TRIM($J313&amp;"")&amp;"|월",파견수련계획!$Z$4:$Z$803,0),""))</f>
        <v/>
      </c>
      <c r="AK313" s="10">
        <f>IF(OR($B313="",TRIM($J313&amp;"")=""),"",IFERROR(MATCH(TRIM($J313&amp;"")&amp;"|다기관",파견수련계획!$AE$4:$AE$803,0),""))</f>
        <v/>
      </c>
      <c r="AL313" s="10">
        <f>IF($AK313="","","다기관 "&amp;TEXT(INDEX(파견수련계획!$AB$4:$AB$803,$AK313),"yyyy-mm-dd")&amp;"~"&amp;IF(ISNUMBER(INDEX(파견수련계획!$AC$4:$AC$803,$AK313)),TEXT(INDEX(파견수련계획!$AC$4:$AC$803,$AK313),"yyyy-mm-dd"),""))</f>
        <v/>
      </c>
    </row>
    <row r="314">
      <c r="A314" s="10">
        <f>IF(B314="","",ROW()-1)</f>
        <v/>
      </c>
      <c r="B314" s="18" t="n"/>
      <c r="C314" s="10">
        <f>IF($AB314="","",IF(INDEX(기본자료!$C$2:$C$1001,$AB314)="","",INDEX(기본자료!$C$2:$C$1001,$AB314)))</f>
        <v/>
      </c>
      <c r="D314" s="10">
        <f>IF($AB314="","",IF(INDEX(기본자료!$J$2:$J$1001,$AB314)="","",INDEX(기본자료!$J$2:$J$1001,$AB314)))</f>
        <v/>
      </c>
      <c r="E314" s="11">
        <f>IF($AB314="","",IF(INDEX(기본자료!$K$2:$K$1001,$AB314)="","",IF(NOT(ISNUMBER(INDEX(기본자료!$K$2:$K$1001,$AB314))),INDEX(기본자료!$K$2:$K$1001,$AB314),IF(INDEX(기본자료!$K$2:$K$1001,$AB314)&lt;1000000,INDEX(기본자료!$K$2:$K$1001,$AB314),IF(AND(INDEX(기본자료!$K$2:$K$1001,$AB314)&gt;=10000101,INT(MOD(INDEX(기본자료!$K$2:$K$1001,$AB314),10000)/100)&gt;=1,INT(MOD(INDEX(기본자료!$K$2:$K$1001,$AB314),10000)/100)&lt;=12,MOD(INDEX(기본자료!$K$2:$K$1001,$AB314),100)&gt;=1,MOD(INDEX(기본자료!$K$2:$K$1001,$AB314),100)&lt;=31),DATE(INT(INDEX(기본자료!$K$2:$K$1001,$AB314)/10000),INT(MOD(INDEX(기본자료!$K$2:$K$1001,$AB314),10000)/100),MOD(INDEX(기본자료!$K$2:$K$1001,$AB314),100)),INDEX(기본자료!$K$2:$K$1001,$AB314)&amp;"")))))</f>
        <v/>
      </c>
      <c r="F314" s="10">
        <f>IF($AB314="","",IF(INDEX(기본자료!$D$2:$D$1001,$AB314)="","",INDEX(기본자료!$D$2:$D$1001,$AB314)))</f>
        <v/>
      </c>
      <c r="G314" s="10">
        <f>IF($AB314="","",IF(INDEX(기본자료!$E$2:$E$1001,$AB314)="","",INDEX(기본자료!$E$2:$E$1001,$AB314)))</f>
        <v/>
      </c>
      <c r="H314" s="10">
        <f>IF($AB314="","",IF(INDEX(기본자료!$F$2:$F$1001,$AB314)="","",INDEX(기본자료!$F$2:$F$1001,$AB314)))</f>
        <v/>
      </c>
      <c r="I314" s="11">
        <f>IF($AB314="","",IF(INDEX(기본자료!$G$2:$G$1001,$AB314)="","",IF(NOT(ISNUMBER(INDEX(기본자료!$G$2:$G$1001,$AB314))),INDEX(기본자료!$G$2:$G$1001,$AB314),IF(INDEX(기본자료!$G$2:$G$1001,$AB314)&lt;1000000,INDEX(기본자료!$G$2:$G$1001,$AB314),IF(AND(INDEX(기본자료!$G$2:$G$1001,$AB314)&gt;=10000101,INT(MOD(INDEX(기본자료!$G$2:$G$1001,$AB314),10000)/100)&gt;=1,INT(MOD(INDEX(기본자료!$G$2:$G$1001,$AB314),10000)/100)&lt;=12,MOD(INDEX(기본자료!$G$2:$G$1001,$AB314),100)&gt;=1,MOD(INDEX(기본자료!$G$2:$G$1001,$AB314),100)&lt;=31),DATE(INT(INDEX(기본자료!$G$2:$G$1001,$AB314)/10000),INT(MOD(INDEX(기본자료!$G$2:$G$1001,$AB314),10000)/100),MOD(INDEX(기본자료!$G$2:$G$1001,$AB314),100)),INDEX(기본자료!$G$2:$G$1001,$AB314)&amp;"")))))</f>
        <v/>
      </c>
      <c r="J314" s="10">
        <f>IF($AB314="","",IF(INDEX(기본자료!$H$2:$H$1001,$AB314)="","",INDEX(기본자료!$H$2:$H$1001,$AB314)))</f>
        <v/>
      </c>
      <c r="K314" s="10">
        <f>IF($AB314="","",IF(INDEX(기본자료!$I$2:$I$1001,$AB314)="","",INDEX(기본자료!$I$2:$I$1001,$AB314)))</f>
        <v/>
      </c>
      <c r="L314" s="10">
        <f>IF($AB314="","",IF(INDEX(기본자료!$A$2:$A$1001,$AB314)="","",INDEX(기본자료!$A$2:$A$1001,$AB314)))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파견수련계획!$AB$4:$AB$803,$AK314),OR(NOT(ISNUMBER(INDEX(파견수련계획!$AC$4:$AC$803,$AK314))),TODAY()&lt;=INDEX(파견수련계획!$AC$4:$AC$803,$AK314))),"다기관",IF($AF314="","",INDEX(파견수련계획!$T$4:$T$803,$AF314))),IF($AF314="","",INDEX(파견수련계획!$T$4:$T$803,$AF314))))</f>
        <v/>
      </c>
      <c r="Q314" s="10">
        <f>IF($AF314="","",INDEX(파견수련계획!$S$4:$S$803,$AF314))</f>
        <v/>
      </c>
      <c r="R314" s="10">
        <f>IF($AF314="","",INDEX(파견수련계획!$U$4:$U$803,$AF314))</f>
        <v/>
      </c>
      <c r="S314" s="11">
        <f>IF($AF314="","",IF(INDEX(파견수련계획!$H$4:$H$803,$AF314)="","",INDEX(파견수련계획!$H$4:$H$803,$AF314)))</f>
        <v/>
      </c>
      <c r="T314" s="11">
        <f>IF($AF314="","",IF(INDEX(파견수련계획!$I$4:$I$803,$AF314)="","",INDEX(파견수련계획!$I$4:$I$803,$AF314)))</f>
        <v/>
      </c>
      <c r="U314" s="10">
        <f>IF($AF314="","",INDEX(파견수련계획!$X$4:$X$803,$AF314))</f>
        <v/>
      </c>
      <c r="V314" s="17">
        <f>IF($AF314="","",INDEX(파견수련계획!$V$4:$V$803,$AF314))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IF(OR($B314="",TRIM($J314&amp;"")=""),"",SUMPRODUCT((파견수련계획!$Q$4:$Q$803=TRIM($J314&amp;""))*파견수련계획!$W$4:$W$803))</f>
        <v/>
      </c>
      <c r="Y314" s="10">
        <f>IF($B314="","",IF($AG314="","",IF(IF(TRIM($J314&amp;"")="",0,SUMPRODUCT((파견수련계획!$Q$4:$Q$803=TRIM($J314&amp;""))*파견수련계획!$AD$4:$AD$803))&gt;0,$AE314,IF(N($X314)&lt;=0,$AG314,IF($AH314+$AI314=DAY(EOMONTH(요약!$B$3,0)),IF(AND($AH314&gt;=요약!$E$3,$AI314&lt;요약!$E$3),"서울병원",IF(AND($AI314&gt;=요약!$E$3,$AH314&lt;요약!$E$3),"구리병원","⚠15일 판정불가(서울 "&amp;$AH314&amp;"일/구리 "&amp;$AI314&amp;"일)")),IF($AJ314="",$AE314,IF(INDEX(파견수련계획!$T$4:$T$803,$AJ314)="통합수련",INDEX(파견수련계획!$S$4:$S$803,$AJ314),$AE314)))))))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입력",IF(IF(TRIM($J314&amp;"")="",0,SUMPRODUCT((파견수련계획!$Q$4:$Q$803=TRIM($J314&amp;""))*(파견수련계획!$AA$4:$AA$803&lt;&gt;"")))&gt;0,"파견수련계획 입력오류 확인",IF(LEFT($Y314,1)="⚠","서울·구리 15일 판정 불가(양쪽 모두 이상/미만)",IF(IF($AC314="",0,N(INDEX(인턴근무계획!$T$3:$T$402,$AC314)))&gt;0,"인턴계획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IF($B314="","",IFERROR(MATCH($B314,기본자료!$B$2:$B$1001,0),IFERROR(MATCH($B314&amp;"",기본자료!$B$2:$B$1001,0),IFERROR(MATCH(VALUE($B314),기본자료!$B$2:$B$1001,0),""))))</f>
        <v/>
      </c>
      <c r="AC314" s="10">
        <f>IF($B314="","",IFERROR(MATCH($B314,인턴근무계획!$D$3:$D$402,0),IFERROR(MATCH($B314&amp;"",인턴근무계획!$D$3:$D$402,0),IFERROR(MATCH(VALUE($B314),인턴근무계획!$D$3:$D$402,0),""))))</f>
        <v/>
      </c>
      <c r="AD314" s="10">
        <f>IF(OR($AC314="",인턴현황!$G$3=""),"",INDEX(인턴근무계획!$M$3:$R$402,$AC314,인턴현황!$G$3)&amp;"")</f>
        <v/>
      </c>
      <c r="AE314" s="10">
        <f>IF($B314="","",IF($M314&lt;&gt;"",$M314,IF($AF314&lt;&gt;"",IF(LEFT(INDEX(파견수련계획!$R$4:$R$803,$AF314),1)&lt;&gt;"⚠",INDEX(파견수련계획!$R$4:$R$803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파견수련계획!$Y$4:$Y$803,0),IFERROR(MATCH(TRIM($J314&amp;"")&amp;"|파견예정",파견수련계획!$Y$4:$Y$803,0),IFERROR(MATCH(TRIM($J314&amp;"")&amp;"|파견종료",파견수련계획!$Y$4:$Y$803,0),""))))</f>
        <v/>
      </c>
      <c r="AG314" s="10">
        <f>IF($B314="","",IF(AND(IF(OR($AC314="",인턴현황!$K$2=""),"",INDEX(인턴근무계획!$M$3:$R$402,$AC314,인턴현황!$K$2)&amp;"")&lt;&gt;"",LEFT(IF(OR($AC314="",인턴현황!$K$2=""),"",INDEX(인턴근무계획!$M$3:$R$402,$AC314,인턴현황!$K$2)&amp;""),1)&lt;&gt;"⚠"),LEFT(IF(OR($AC314="",인턴현황!$K$2=""),"",INDEX(인턴근무계획!$M$3:$R$402,$AC314,인턴현황!$K$2)&amp;""),FIND(" ",IF(OR($AC314="",인턴현황!$K$2=""),"",INDEX(인턴근무계획!$M$3:$R$402,$AC314,인턴현황!$K$2)&amp;""))-1),$AE314))</f>
        <v/>
      </c>
      <c r="AH314" s="17">
        <f>IF($B314="","",IF(TRIM($J314&amp;"")="",0,SUMPRODUCT((파견수련계획!$Q$4:$Q$803=TRIM($J314&amp;""))*(파견수련계획!$S$4:$S$803="서울병원")*파견수련계획!$W$4:$W$803))+IF($AG314="서울병원",MAX(0,DAY(EOMONTH(요약!$B$3,0))-N($X314)),0))</f>
        <v/>
      </c>
      <c r="AI314" s="17">
        <f>IF($B314="","",IF(TRIM($J314&amp;"")="",0,SUMPRODUCT((파견수련계획!$Q$4:$Q$803=TRIM($J314&amp;""))*(파견수련계획!$S$4:$S$803="구리병원")*파견수련계획!$W$4:$W$803))+IF($AG314="구리병원",MAX(0,DAY(EOMONTH(요약!$B$3,0))-N($X314)),0))</f>
        <v/>
      </c>
      <c r="AJ314" s="10">
        <f>IF(OR($B314="",TRIM($J314&amp;"")=""),"",IFERROR(MATCH(TRIM($J314&amp;"")&amp;"|월",파견수련계획!$Z$4:$Z$803,0),""))</f>
        <v/>
      </c>
      <c r="AK314" s="10">
        <f>IF(OR($B314="",TRIM($J314&amp;"")=""),"",IFERROR(MATCH(TRIM($J314&amp;"")&amp;"|다기관",파견수련계획!$AE$4:$AE$803,0),""))</f>
        <v/>
      </c>
      <c r="AL314" s="10">
        <f>IF($AK314="","","다기관 "&amp;TEXT(INDEX(파견수련계획!$AB$4:$AB$803,$AK314),"yyyy-mm-dd")&amp;"~"&amp;IF(ISNUMBER(INDEX(파견수련계획!$AC$4:$AC$803,$AK314)),TEXT(INDEX(파견수련계획!$AC$4:$AC$803,$AK314),"yyyy-mm-dd"),""))</f>
        <v/>
      </c>
    </row>
    <row r="315">
      <c r="A315" s="10">
        <f>IF(B315="","",ROW()-1)</f>
        <v/>
      </c>
      <c r="B315" s="18" t="n"/>
      <c r="C315" s="10">
        <f>IF($AB315="","",IF(INDEX(기본자료!$C$2:$C$1001,$AB315)="","",INDEX(기본자료!$C$2:$C$1001,$AB315)))</f>
        <v/>
      </c>
      <c r="D315" s="10">
        <f>IF($AB315="","",IF(INDEX(기본자료!$J$2:$J$1001,$AB315)="","",INDEX(기본자료!$J$2:$J$1001,$AB315)))</f>
        <v/>
      </c>
      <c r="E315" s="11">
        <f>IF($AB315="","",IF(INDEX(기본자료!$K$2:$K$1001,$AB315)="","",IF(NOT(ISNUMBER(INDEX(기본자료!$K$2:$K$1001,$AB315))),INDEX(기본자료!$K$2:$K$1001,$AB315),IF(INDEX(기본자료!$K$2:$K$1001,$AB315)&lt;1000000,INDEX(기본자료!$K$2:$K$1001,$AB315),IF(AND(INDEX(기본자료!$K$2:$K$1001,$AB315)&gt;=10000101,INT(MOD(INDEX(기본자료!$K$2:$K$1001,$AB315),10000)/100)&gt;=1,INT(MOD(INDEX(기본자료!$K$2:$K$1001,$AB315),10000)/100)&lt;=12,MOD(INDEX(기본자료!$K$2:$K$1001,$AB315),100)&gt;=1,MOD(INDEX(기본자료!$K$2:$K$1001,$AB315),100)&lt;=31),DATE(INT(INDEX(기본자료!$K$2:$K$1001,$AB315)/10000),INT(MOD(INDEX(기본자료!$K$2:$K$1001,$AB315),10000)/100),MOD(INDEX(기본자료!$K$2:$K$1001,$AB315),100)),INDEX(기본자료!$K$2:$K$1001,$AB315)&amp;"")))))</f>
        <v/>
      </c>
      <c r="F315" s="10">
        <f>IF($AB315="","",IF(INDEX(기본자료!$D$2:$D$1001,$AB315)="","",INDEX(기본자료!$D$2:$D$1001,$AB315)))</f>
        <v/>
      </c>
      <c r="G315" s="10">
        <f>IF($AB315="","",IF(INDEX(기본자료!$E$2:$E$1001,$AB315)="","",INDEX(기본자료!$E$2:$E$1001,$AB315)))</f>
        <v/>
      </c>
      <c r="H315" s="10">
        <f>IF($AB315="","",IF(INDEX(기본자료!$F$2:$F$1001,$AB315)="","",INDEX(기본자료!$F$2:$F$1001,$AB315)))</f>
        <v/>
      </c>
      <c r="I315" s="11">
        <f>IF($AB315="","",IF(INDEX(기본자료!$G$2:$G$1001,$AB315)="","",IF(NOT(ISNUMBER(INDEX(기본자료!$G$2:$G$1001,$AB315))),INDEX(기본자료!$G$2:$G$1001,$AB315),IF(INDEX(기본자료!$G$2:$G$1001,$AB315)&lt;1000000,INDEX(기본자료!$G$2:$G$1001,$AB315),IF(AND(INDEX(기본자료!$G$2:$G$1001,$AB315)&gt;=10000101,INT(MOD(INDEX(기본자료!$G$2:$G$1001,$AB315),10000)/100)&gt;=1,INT(MOD(INDEX(기본자료!$G$2:$G$1001,$AB315),10000)/100)&lt;=12,MOD(INDEX(기본자료!$G$2:$G$1001,$AB315),100)&gt;=1,MOD(INDEX(기본자료!$G$2:$G$1001,$AB315),100)&lt;=31),DATE(INT(INDEX(기본자료!$G$2:$G$1001,$AB315)/10000),INT(MOD(INDEX(기본자료!$G$2:$G$1001,$AB315),10000)/100),MOD(INDEX(기본자료!$G$2:$G$1001,$AB315),100)),INDEX(기본자료!$G$2:$G$1001,$AB315)&amp;"")))))</f>
        <v/>
      </c>
      <c r="J315" s="10">
        <f>IF($AB315="","",IF(INDEX(기본자료!$H$2:$H$1001,$AB315)="","",INDEX(기본자료!$H$2:$H$1001,$AB315)))</f>
        <v/>
      </c>
      <c r="K315" s="10">
        <f>IF($AB315="","",IF(INDEX(기본자료!$I$2:$I$1001,$AB315)="","",INDEX(기본자료!$I$2:$I$1001,$AB315)))</f>
        <v/>
      </c>
      <c r="L315" s="10">
        <f>IF($AB315="","",IF(INDEX(기본자료!$A$2:$A$1001,$AB315)="","",INDEX(기본자료!$A$2:$A$1001,$AB315)))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파견수련계획!$AB$4:$AB$803,$AK315),OR(NOT(ISNUMBER(INDEX(파견수련계획!$AC$4:$AC$803,$AK315))),TODAY()&lt;=INDEX(파견수련계획!$AC$4:$AC$803,$AK315))),"다기관",IF($AF315="","",INDEX(파견수련계획!$T$4:$T$803,$AF315))),IF($AF315="","",INDEX(파견수련계획!$T$4:$T$803,$AF315))))</f>
        <v/>
      </c>
      <c r="Q315" s="10">
        <f>IF($AF315="","",INDEX(파견수련계획!$S$4:$S$803,$AF315))</f>
        <v/>
      </c>
      <c r="R315" s="10">
        <f>IF($AF315="","",INDEX(파견수련계획!$U$4:$U$803,$AF315))</f>
        <v/>
      </c>
      <c r="S315" s="11">
        <f>IF($AF315="","",IF(INDEX(파견수련계획!$H$4:$H$803,$AF315)="","",INDEX(파견수련계획!$H$4:$H$803,$AF315)))</f>
        <v/>
      </c>
      <c r="T315" s="11">
        <f>IF($AF315="","",IF(INDEX(파견수련계획!$I$4:$I$803,$AF315)="","",INDEX(파견수련계획!$I$4:$I$803,$AF315)))</f>
        <v/>
      </c>
      <c r="U315" s="10">
        <f>IF($AF315="","",INDEX(파견수련계획!$X$4:$X$803,$AF315))</f>
        <v/>
      </c>
      <c r="V315" s="17">
        <f>IF($AF315="","",INDEX(파견수련계획!$V$4:$V$803,$AF315))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IF(OR($B315="",TRIM($J315&amp;"")=""),"",SUMPRODUCT((파견수련계획!$Q$4:$Q$803=TRIM($J315&amp;""))*파견수련계획!$W$4:$W$803))</f>
        <v/>
      </c>
      <c r="Y315" s="10">
        <f>IF($B315="","",IF($AG315="","",IF(IF(TRIM($J315&amp;"")="",0,SUMPRODUCT((파견수련계획!$Q$4:$Q$803=TRIM($J315&amp;""))*파견수련계획!$AD$4:$AD$803))&gt;0,$AE315,IF(N($X315)&lt;=0,$AG315,IF($AH315+$AI315=DAY(EOMONTH(요약!$B$3,0)),IF(AND($AH315&gt;=요약!$E$3,$AI315&lt;요약!$E$3),"서울병원",IF(AND($AI315&gt;=요약!$E$3,$AH315&lt;요약!$E$3),"구리병원","⚠15일 판정불가(서울 "&amp;$AH315&amp;"일/구리 "&amp;$AI315&amp;"일)")),IF($AJ315="",$AE315,IF(INDEX(파견수련계획!$T$4:$T$803,$AJ315)="통합수련",INDEX(파견수련계획!$S$4:$S$803,$AJ315),$AE315)))))))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입력",IF(IF(TRIM($J315&amp;"")="",0,SUMPRODUCT((파견수련계획!$Q$4:$Q$803=TRIM($J315&amp;""))*(파견수련계획!$AA$4:$AA$803&lt;&gt;"")))&gt;0,"파견수련계획 입력오류 확인",IF(LEFT($Y315,1)="⚠","서울·구리 15일 판정 불가(양쪽 모두 이상/미만)",IF(IF($AC315="",0,N(INDEX(인턴근무계획!$T$3:$T$402,$AC315)))&gt;0,"인턴계획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IF($B315="","",IFERROR(MATCH($B315,기본자료!$B$2:$B$1001,0),IFERROR(MATCH($B315&amp;"",기본자료!$B$2:$B$1001,0),IFERROR(MATCH(VALUE($B315),기본자료!$B$2:$B$1001,0),""))))</f>
        <v/>
      </c>
      <c r="AC315" s="10">
        <f>IF($B315="","",IFERROR(MATCH($B315,인턴근무계획!$D$3:$D$402,0),IFERROR(MATCH($B315&amp;"",인턴근무계획!$D$3:$D$402,0),IFERROR(MATCH(VALUE($B315),인턴근무계획!$D$3:$D$402,0),""))))</f>
        <v/>
      </c>
      <c r="AD315" s="10">
        <f>IF(OR($AC315="",인턴현황!$G$3=""),"",INDEX(인턴근무계획!$M$3:$R$402,$AC315,인턴현황!$G$3)&amp;"")</f>
        <v/>
      </c>
      <c r="AE315" s="10">
        <f>IF($B315="","",IF($M315&lt;&gt;"",$M315,IF($AF315&lt;&gt;"",IF(LEFT(INDEX(파견수련계획!$R$4:$R$803,$AF315),1)&lt;&gt;"⚠",INDEX(파견수련계획!$R$4:$R$803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파견수련계획!$Y$4:$Y$803,0),IFERROR(MATCH(TRIM($J315&amp;"")&amp;"|파견예정",파견수련계획!$Y$4:$Y$803,0),IFERROR(MATCH(TRIM($J315&amp;"")&amp;"|파견종료",파견수련계획!$Y$4:$Y$803,0),""))))</f>
        <v/>
      </c>
      <c r="AG315" s="10">
        <f>IF($B315="","",IF(AND(IF(OR($AC315="",인턴현황!$K$2=""),"",INDEX(인턴근무계획!$M$3:$R$402,$AC315,인턴현황!$K$2)&amp;"")&lt;&gt;"",LEFT(IF(OR($AC315="",인턴현황!$K$2=""),"",INDEX(인턴근무계획!$M$3:$R$402,$AC315,인턴현황!$K$2)&amp;""),1)&lt;&gt;"⚠"),LEFT(IF(OR($AC315="",인턴현황!$K$2=""),"",INDEX(인턴근무계획!$M$3:$R$402,$AC315,인턴현황!$K$2)&amp;""),FIND(" ",IF(OR($AC315="",인턴현황!$K$2=""),"",INDEX(인턴근무계획!$M$3:$R$402,$AC315,인턴현황!$K$2)&amp;""))-1),$AE315))</f>
        <v/>
      </c>
      <c r="AH315" s="17">
        <f>IF($B315="","",IF(TRIM($J315&amp;"")="",0,SUMPRODUCT((파견수련계획!$Q$4:$Q$803=TRIM($J315&amp;""))*(파견수련계획!$S$4:$S$803="서울병원")*파견수련계획!$W$4:$W$803))+IF($AG315="서울병원",MAX(0,DAY(EOMONTH(요약!$B$3,0))-N($X315)),0))</f>
        <v/>
      </c>
      <c r="AI315" s="17">
        <f>IF($B315="","",IF(TRIM($J315&amp;"")="",0,SUMPRODUCT((파견수련계획!$Q$4:$Q$803=TRIM($J315&amp;""))*(파견수련계획!$S$4:$S$803="구리병원")*파견수련계획!$W$4:$W$803))+IF($AG315="구리병원",MAX(0,DAY(EOMONTH(요약!$B$3,0))-N($X315)),0))</f>
        <v/>
      </c>
      <c r="AJ315" s="10">
        <f>IF(OR($B315="",TRIM($J315&amp;"")=""),"",IFERROR(MATCH(TRIM($J315&amp;"")&amp;"|월",파견수련계획!$Z$4:$Z$803,0),""))</f>
        <v/>
      </c>
      <c r="AK315" s="10">
        <f>IF(OR($B315="",TRIM($J315&amp;"")=""),"",IFERROR(MATCH(TRIM($J315&amp;"")&amp;"|다기관",파견수련계획!$AE$4:$AE$803,0),""))</f>
        <v/>
      </c>
      <c r="AL315" s="10">
        <f>IF($AK315="","","다기관 "&amp;TEXT(INDEX(파견수련계획!$AB$4:$AB$803,$AK315),"yyyy-mm-dd")&amp;"~"&amp;IF(ISNUMBER(INDEX(파견수련계획!$AC$4:$AC$803,$AK315)),TEXT(INDEX(파견수련계획!$AC$4:$AC$803,$AK315),"yyyy-mm-dd"),""))</f>
        <v/>
      </c>
    </row>
    <row r="316">
      <c r="A316" s="10">
        <f>IF(B316="","",ROW()-1)</f>
        <v/>
      </c>
      <c r="B316" s="18" t="n"/>
      <c r="C316" s="10">
        <f>IF($AB316="","",IF(INDEX(기본자료!$C$2:$C$1001,$AB316)="","",INDEX(기본자료!$C$2:$C$1001,$AB316)))</f>
        <v/>
      </c>
      <c r="D316" s="10">
        <f>IF($AB316="","",IF(INDEX(기본자료!$J$2:$J$1001,$AB316)="","",INDEX(기본자료!$J$2:$J$1001,$AB316)))</f>
        <v/>
      </c>
      <c r="E316" s="11">
        <f>IF($AB316="","",IF(INDEX(기본자료!$K$2:$K$1001,$AB316)="","",IF(NOT(ISNUMBER(INDEX(기본자료!$K$2:$K$1001,$AB316))),INDEX(기본자료!$K$2:$K$1001,$AB316),IF(INDEX(기본자료!$K$2:$K$1001,$AB316)&lt;1000000,INDEX(기본자료!$K$2:$K$1001,$AB316),IF(AND(INDEX(기본자료!$K$2:$K$1001,$AB316)&gt;=10000101,INT(MOD(INDEX(기본자료!$K$2:$K$1001,$AB316),10000)/100)&gt;=1,INT(MOD(INDEX(기본자료!$K$2:$K$1001,$AB316),10000)/100)&lt;=12,MOD(INDEX(기본자료!$K$2:$K$1001,$AB316),100)&gt;=1,MOD(INDEX(기본자료!$K$2:$K$1001,$AB316),100)&lt;=31),DATE(INT(INDEX(기본자료!$K$2:$K$1001,$AB316)/10000),INT(MOD(INDEX(기본자료!$K$2:$K$1001,$AB316),10000)/100),MOD(INDEX(기본자료!$K$2:$K$1001,$AB316),100)),INDEX(기본자료!$K$2:$K$1001,$AB316)&amp;"")))))</f>
        <v/>
      </c>
      <c r="F316" s="10">
        <f>IF($AB316="","",IF(INDEX(기본자료!$D$2:$D$1001,$AB316)="","",INDEX(기본자료!$D$2:$D$1001,$AB316)))</f>
        <v/>
      </c>
      <c r="G316" s="10">
        <f>IF($AB316="","",IF(INDEX(기본자료!$E$2:$E$1001,$AB316)="","",INDEX(기본자료!$E$2:$E$1001,$AB316)))</f>
        <v/>
      </c>
      <c r="H316" s="10">
        <f>IF($AB316="","",IF(INDEX(기본자료!$F$2:$F$1001,$AB316)="","",INDEX(기본자료!$F$2:$F$1001,$AB316)))</f>
        <v/>
      </c>
      <c r="I316" s="11">
        <f>IF($AB316="","",IF(INDEX(기본자료!$G$2:$G$1001,$AB316)="","",IF(NOT(ISNUMBER(INDEX(기본자료!$G$2:$G$1001,$AB316))),INDEX(기본자료!$G$2:$G$1001,$AB316),IF(INDEX(기본자료!$G$2:$G$1001,$AB316)&lt;1000000,INDEX(기본자료!$G$2:$G$1001,$AB316),IF(AND(INDEX(기본자료!$G$2:$G$1001,$AB316)&gt;=10000101,INT(MOD(INDEX(기본자료!$G$2:$G$1001,$AB316),10000)/100)&gt;=1,INT(MOD(INDEX(기본자료!$G$2:$G$1001,$AB316),10000)/100)&lt;=12,MOD(INDEX(기본자료!$G$2:$G$1001,$AB316),100)&gt;=1,MOD(INDEX(기본자료!$G$2:$G$1001,$AB316),100)&lt;=31),DATE(INT(INDEX(기본자료!$G$2:$G$1001,$AB316)/10000),INT(MOD(INDEX(기본자료!$G$2:$G$1001,$AB316),10000)/100),MOD(INDEX(기본자료!$G$2:$G$1001,$AB316),100)),INDEX(기본자료!$G$2:$G$1001,$AB316)&amp;"")))))</f>
        <v/>
      </c>
      <c r="J316" s="10">
        <f>IF($AB316="","",IF(INDEX(기본자료!$H$2:$H$1001,$AB316)="","",INDEX(기본자료!$H$2:$H$1001,$AB316)))</f>
        <v/>
      </c>
      <c r="K316" s="10">
        <f>IF($AB316="","",IF(INDEX(기본자료!$I$2:$I$1001,$AB316)="","",INDEX(기본자료!$I$2:$I$1001,$AB316)))</f>
        <v/>
      </c>
      <c r="L316" s="10">
        <f>IF($AB316="","",IF(INDEX(기본자료!$A$2:$A$1001,$AB316)="","",INDEX(기본자료!$A$2:$A$1001,$AB316)))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파견수련계획!$AB$4:$AB$803,$AK316),OR(NOT(ISNUMBER(INDEX(파견수련계획!$AC$4:$AC$803,$AK316))),TODAY()&lt;=INDEX(파견수련계획!$AC$4:$AC$803,$AK316))),"다기관",IF($AF316="","",INDEX(파견수련계획!$T$4:$T$803,$AF316))),IF($AF316="","",INDEX(파견수련계획!$T$4:$T$803,$AF316))))</f>
        <v/>
      </c>
      <c r="Q316" s="10">
        <f>IF($AF316="","",INDEX(파견수련계획!$S$4:$S$803,$AF316))</f>
        <v/>
      </c>
      <c r="R316" s="10">
        <f>IF($AF316="","",INDEX(파견수련계획!$U$4:$U$803,$AF316))</f>
        <v/>
      </c>
      <c r="S316" s="11">
        <f>IF($AF316="","",IF(INDEX(파견수련계획!$H$4:$H$803,$AF316)="","",INDEX(파견수련계획!$H$4:$H$803,$AF316)))</f>
        <v/>
      </c>
      <c r="T316" s="11">
        <f>IF($AF316="","",IF(INDEX(파견수련계획!$I$4:$I$803,$AF316)="","",INDEX(파견수련계획!$I$4:$I$803,$AF316)))</f>
        <v/>
      </c>
      <c r="U316" s="10">
        <f>IF($AF316="","",INDEX(파견수련계획!$X$4:$X$803,$AF316))</f>
        <v/>
      </c>
      <c r="V316" s="17">
        <f>IF($AF316="","",INDEX(파견수련계획!$V$4:$V$803,$AF316))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IF(OR($B316="",TRIM($J316&amp;"")=""),"",SUMPRODUCT((파견수련계획!$Q$4:$Q$803=TRIM($J316&amp;""))*파견수련계획!$W$4:$W$803))</f>
        <v/>
      </c>
      <c r="Y316" s="10">
        <f>IF($B316="","",IF($AG316="","",IF(IF(TRIM($J316&amp;"")="",0,SUMPRODUCT((파견수련계획!$Q$4:$Q$803=TRIM($J316&amp;""))*파견수련계획!$AD$4:$AD$803))&gt;0,$AE316,IF(N($X316)&lt;=0,$AG316,IF($AH316+$AI316=DAY(EOMONTH(요약!$B$3,0)),IF(AND($AH316&gt;=요약!$E$3,$AI316&lt;요약!$E$3),"서울병원",IF(AND($AI316&gt;=요약!$E$3,$AH316&lt;요약!$E$3),"구리병원","⚠15일 판정불가(서울 "&amp;$AH316&amp;"일/구리 "&amp;$AI316&amp;"일)")),IF($AJ316="",$AE316,IF(INDEX(파견수련계획!$T$4:$T$803,$AJ316)="통합수련",INDEX(파견수련계획!$S$4:$S$803,$AJ316),$AE316)))))))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입력",IF(IF(TRIM($J316&amp;"")="",0,SUMPRODUCT((파견수련계획!$Q$4:$Q$803=TRIM($J316&amp;""))*(파견수련계획!$AA$4:$AA$803&lt;&gt;"")))&gt;0,"파견수련계획 입력오류 확인",IF(LEFT($Y316,1)="⚠","서울·구리 15일 판정 불가(양쪽 모두 이상/미만)",IF(IF($AC316="",0,N(INDEX(인턴근무계획!$T$3:$T$402,$AC316)))&gt;0,"인턴계획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IF($B316="","",IFERROR(MATCH($B316,기본자료!$B$2:$B$1001,0),IFERROR(MATCH($B316&amp;"",기본자료!$B$2:$B$1001,0),IFERROR(MATCH(VALUE($B316),기본자료!$B$2:$B$1001,0),""))))</f>
        <v/>
      </c>
      <c r="AC316" s="10">
        <f>IF($B316="","",IFERROR(MATCH($B316,인턴근무계획!$D$3:$D$402,0),IFERROR(MATCH($B316&amp;"",인턴근무계획!$D$3:$D$402,0),IFERROR(MATCH(VALUE($B316),인턴근무계획!$D$3:$D$402,0),""))))</f>
        <v/>
      </c>
      <c r="AD316" s="10">
        <f>IF(OR($AC316="",인턴현황!$G$3=""),"",INDEX(인턴근무계획!$M$3:$R$402,$AC316,인턴현황!$G$3)&amp;"")</f>
        <v/>
      </c>
      <c r="AE316" s="10">
        <f>IF($B316="","",IF($M316&lt;&gt;"",$M316,IF($AF316&lt;&gt;"",IF(LEFT(INDEX(파견수련계획!$R$4:$R$803,$AF316),1)&lt;&gt;"⚠",INDEX(파견수련계획!$R$4:$R$803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파견수련계획!$Y$4:$Y$803,0),IFERROR(MATCH(TRIM($J316&amp;"")&amp;"|파견예정",파견수련계획!$Y$4:$Y$803,0),IFERROR(MATCH(TRIM($J316&amp;"")&amp;"|파견종료",파견수련계획!$Y$4:$Y$803,0),""))))</f>
        <v/>
      </c>
      <c r="AG316" s="10">
        <f>IF($B316="","",IF(AND(IF(OR($AC316="",인턴현황!$K$2=""),"",INDEX(인턴근무계획!$M$3:$R$402,$AC316,인턴현황!$K$2)&amp;"")&lt;&gt;"",LEFT(IF(OR($AC316="",인턴현황!$K$2=""),"",INDEX(인턴근무계획!$M$3:$R$402,$AC316,인턴현황!$K$2)&amp;""),1)&lt;&gt;"⚠"),LEFT(IF(OR($AC316="",인턴현황!$K$2=""),"",INDEX(인턴근무계획!$M$3:$R$402,$AC316,인턴현황!$K$2)&amp;""),FIND(" ",IF(OR($AC316="",인턴현황!$K$2=""),"",INDEX(인턴근무계획!$M$3:$R$402,$AC316,인턴현황!$K$2)&amp;""))-1),$AE316))</f>
        <v/>
      </c>
      <c r="AH316" s="17">
        <f>IF($B316="","",IF(TRIM($J316&amp;"")="",0,SUMPRODUCT((파견수련계획!$Q$4:$Q$803=TRIM($J316&amp;""))*(파견수련계획!$S$4:$S$803="서울병원")*파견수련계획!$W$4:$W$803))+IF($AG316="서울병원",MAX(0,DAY(EOMONTH(요약!$B$3,0))-N($X316)),0))</f>
        <v/>
      </c>
      <c r="AI316" s="17">
        <f>IF($B316="","",IF(TRIM($J316&amp;"")="",0,SUMPRODUCT((파견수련계획!$Q$4:$Q$803=TRIM($J316&amp;""))*(파견수련계획!$S$4:$S$803="구리병원")*파견수련계획!$W$4:$W$803))+IF($AG316="구리병원",MAX(0,DAY(EOMONTH(요약!$B$3,0))-N($X316)),0))</f>
        <v/>
      </c>
      <c r="AJ316" s="10">
        <f>IF(OR($B316="",TRIM($J316&amp;"")=""),"",IFERROR(MATCH(TRIM($J316&amp;"")&amp;"|월",파견수련계획!$Z$4:$Z$803,0),""))</f>
        <v/>
      </c>
      <c r="AK316" s="10">
        <f>IF(OR($B316="",TRIM($J316&amp;"")=""),"",IFERROR(MATCH(TRIM($J316&amp;"")&amp;"|다기관",파견수련계획!$AE$4:$AE$803,0),""))</f>
        <v/>
      </c>
      <c r="AL316" s="10">
        <f>IF($AK316="","","다기관 "&amp;TEXT(INDEX(파견수련계획!$AB$4:$AB$803,$AK316),"yyyy-mm-dd")&amp;"~"&amp;IF(ISNUMBER(INDEX(파견수련계획!$AC$4:$AC$803,$AK316)),TEXT(INDEX(파견수련계획!$AC$4:$AC$803,$AK316),"yyyy-mm-dd"),""))</f>
        <v/>
      </c>
    </row>
    <row r="317">
      <c r="A317" s="10">
        <f>IF(B317="","",ROW()-1)</f>
        <v/>
      </c>
      <c r="B317" s="18" t="n"/>
      <c r="C317" s="10">
        <f>IF($AB317="","",IF(INDEX(기본자료!$C$2:$C$1001,$AB317)="","",INDEX(기본자료!$C$2:$C$1001,$AB317)))</f>
        <v/>
      </c>
      <c r="D317" s="10">
        <f>IF($AB317="","",IF(INDEX(기본자료!$J$2:$J$1001,$AB317)="","",INDEX(기본자료!$J$2:$J$1001,$AB317)))</f>
        <v/>
      </c>
      <c r="E317" s="11">
        <f>IF($AB317="","",IF(INDEX(기본자료!$K$2:$K$1001,$AB317)="","",IF(NOT(ISNUMBER(INDEX(기본자료!$K$2:$K$1001,$AB317))),INDEX(기본자료!$K$2:$K$1001,$AB317),IF(INDEX(기본자료!$K$2:$K$1001,$AB317)&lt;1000000,INDEX(기본자료!$K$2:$K$1001,$AB317),IF(AND(INDEX(기본자료!$K$2:$K$1001,$AB317)&gt;=10000101,INT(MOD(INDEX(기본자료!$K$2:$K$1001,$AB317),10000)/100)&gt;=1,INT(MOD(INDEX(기본자료!$K$2:$K$1001,$AB317),10000)/100)&lt;=12,MOD(INDEX(기본자료!$K$2:$K$1001,$AB317),100)&gt;=1,MOD(INDEX(기본자료!$K$2:$K$1001,$AB317),100)&lt;=31),DATE(INT(INDEX(기본자료!$K$2:$K$1001,$AB317)/10000),INT(MOD(INDEX(기본자료!$K$2:$K$1001,$AB317),10000)/100),MOD(INDEX(기본자료!$K$2:$K$1001,$AB317),100)),INDEX(기본자료!$K$2:$K$1001,$AB317)&amp;"")))))</f>
        <v/>
      </c>
      <c r="F317" s="10">
        <f>IF($AB317="","",IF(INDEX(기본자료!$D$2:$D$1001,$AB317)="","",INDEX(기본자료!$D$2:$D$1001,$AB317)))</f>
        <v/>
      </c>
      <c r="G317" s="10">
        <f>IF($AB317="","",IF(INDEX(기본자료!$E$2:$E$1001,$AB317)="","",INDEX(기본자료!$E$2:$E$1001,$AB317)))</f>
        <v/>
      </c>
      <c r="H317" s="10">
        <f>IF($AB317="","",IF(INDEX(기본자료!$F$2:$F$1001,$AB317)="","",INDEX(기본자료!$F$2:$F$1001,$AB317)))</f>
        <v/>
      </c>
      <c r="I317" s="11">
        <f>IF($AB317="","",IF(INDEX(기본자료!$G$2:$G$1001,$AB317)="","",IF(NOT(ISNUMBER(INDEX(기본자료!$G$2:$G$1001,$AB317))),INDEX(기본자료!$G$2:$G$1001,$AB317),IF(INDEX(기본자료!$G$2:$G$1001,$AB317)&lt;1000000,INDEX(기본자료!$G$2:$G$1001,$AB317),IF(AND(INDEX(기본자료!$G$2:$G$1001,$AB317)&gt;=10000101,INT(MOD(INDEX(기본자료!$G$2:$G$1001,$AB317),10000)/100)&gt;=1,INT(MOD(INDEX(기본자료!$G$2:$G$1001,$AB317),10000)/100)&lt;=12,MOD(INDEX(기본자료!$G$2:$G$1001,$AB317),100)&gt;=1,MOD(INDEX(기본자료!$G$2:$G$1001,$AB317),100)&lt;=31),DATE(INT(INDEX(기본자료!$G$2:$G$1001,$AB317)/10000),INT(MOD(INDEX(기본자료!$G$2:$G$1001,$AB317),10000)/100),MOD(INDEX(기본자료!$G$2:$G$1001,$AB317),100)),INDEX(기본자료!$G$2:$G$1001,$AB317)&amp;"")))))</f>
        <v/>
      </c>
      <c r="J317" s="10">
        <f>IF($AB317="","",IF(INDEX(기본자료!$H$2:$H$1001,$AB317)="","",INDEX(기본자료!$H$2:$H$1001,$AB317)))</f>
        <v/>
      </c>
      <c r="K317" s="10">
        <f>IF($AB317="","",IF(INDEX(기본자료!$I$2:$I$1001,$AB317)="","",INDEX(기본자료!$I$2:$I$1001,$AB317)))</f>
        <v/>
      </c>
      <c r="L317" s="10">
        <f>IF($AB317="","",IF(INDEX(기본자료!$A$2:$A$1001,$AB317)="","",INDEX(기본자료!$A$2:$A$1001,$AB317)))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파견수련계획!$AB$4:$AB$803,$AK317),OR(NOT(ISNUMBER(INDEX(파견수련계획!$AC$4:$AC$803,$AK317))),TODAY()&lt;=INDEX(파견수련계획!$AC$4:$AC$803,$AK317))),"다기관",IF($AF317="","",INDEX(파견수련계획!$T$4:$T$803,$AF317))),IF($AF317="","",INDEX(파견수련계획!$T$4:$T$803,$AF317))))</f>
        <v/>
      </c>
      <c r="Q317" s="10">
        <f>IF($AF317="","",INDEX(파견수련계획!$S$4:$S$803,$AF317))</f>
        <v/>
      </c>
      <c r="R317" s="10">
        <f>IF($AF317="","",INDEX(파견수련계획!$U$4:$U$803,$AF317))</f>
        <v/>
      </c>
      <c r="S317" s="11">
        <f>IF($AF317="","",IF(INDEX(파견수련계획!$H$4:$H$803,$AF317)="","",INDEX(파견수련계획!$H$4:$H$803,$AF317)))</f>
        <v/>
      </c>
      <c r="T317" s="11">
        <f>IF($AF317="","",IF(INDEX(파견수련계획!$I$4:$I$803,$AF317)="","",INDEX(파견수련계획!$I$4:$I$803,$AF317)))</f>
        <v/>
      </c>
      <c r="U317" s="10">
        <f>IF($AF317="","",INDEX(파견수련계획!$X$4:$X$803,$AF317))</f>
        <v/>
      </c>
      <c r="V317" s="17">
        <f>IF($AF317="","",INDEX(파견수련계획!$V$4:$V$803,$AF317))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IF(OR($B317="",TRIM($J317&amp;"")=""),"",SUMPRODUCT((파견수련계획!$Q$4:$Q$803=TRIM($J317&amp;""))*파견수련계획!$W$4:$W$803))</f>
        <v/>
      </c>
      <c r="Y317" s="10">
        <f>IF($B317="","",IF($AG317="","",IF(IF(TRIM($J317&amp;"")="",0,SUMPRODUCT((파견수련계획!$Q$4:$Q$803=TRIM($J317&amp;""))*파견수련계획!$AD$4:$AD$803))&gt;0,$AE317,IF(N($X317)&lt;=0,$AG317,IF($AH317+$AI317=DAY(EOMONTH(요약!$B$3,0)),IF(AND($AH317&gt;=요약!$E$3,$AI317&lt;요약!$E$3),"서울병원",IF(AND($AI317&gt;=요약!$E$3,$AH317&lt;요약!$E$3),"구리병원","⚠15일 판정불가(서울 "&amp;$AH317&amp;"일/구리 "&amp;$AI317&amp;"일)")),IF($AJ317="",$AE317,IF(INDEX(파견수련계획!$T$4:$T$803,$AJ317)="통합수련",INDEX(파견수련계획!$S$4:$S$803,$AJ317),$AE317)))))))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입력",IF(IF(TRIM($J317&amp;"")="",0,SUMPRODUCT((파견수련계획!$Q$4:$Q$803=TRIM($J317&amp;""))*(파견수련계획!$AA$4:$AA$803&lt;&gt;"")))&gt;0,"파견수련계획 입력오류 확인",IF(LEFT($Y317,1)="⚠","서울·구리 15일 판정 불가(양쪽 모두 이상/미만)",IF(IF($AC317="",0,N(INDEX(인턴근무계획!$T$3:$T$402,$AC317)))&gt;0,"인턴계획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IF($B317="","",IFERROR(MATCH($B317,기본자료!$B$2:$B$1001,0),IFERROR(MATCH($B317&amp;"",기본자료!$B$2:$B$1001,0),IFERROR(MATCH(VALUE($B317),기본자료!$B$2:$B$1001,0),""))))</f>
        <v/>
      </c>
      <c r="AC317" s="10">
        <f>IF($B317="","",IFERROR(MATCH($B317,인턴근무계획!$D$3:$D$402,0),IFERROR(MATCH($B317&amp;"",인턴근무계획!$D$3:$D$402,0),IFERROR(MATCH(VALUE($B317),인턴근무계획!$D$3:$D$402,0),""))))</f>
        <v/>
      </c>
      <c r="AD317" s="10">
        <f>IF(OR($AC317="",인턴현황!$G$3=""),"",INDEX(인턴근무계획!$M$3:$R$402,$AC317,인턴현황!$G$3)&amp;"")</f>
        <v/>
      </c>
      <c r="AE317" s="10">
        <f>IF($B317="","",IF($M317&lt;&gt;"",$M317,IF($AF317&lt;&gt;"",IF(LEFT(INDEX(파견수련계획!$R$4:$R$803,$AF317),1)&lt;&gt;"⚠",INDEX(파견수련계획!$R$4:$R$803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파견수련계획!$Y$4:$Y$803,0),IFERROR(MATCH(TRIM($J317&amp;"")&amp;"|파견예정",파견수련계획!$Y$4:$Y$803,0),IFERROR(MATCH(TRIM($J317&amp;"")&amp;"|파견종료",파견수련계획!$Y$4:$Y$803,0),""))))</f>
        <v/>
      </c>
      <c r="AG317" s="10">
        <f>IF($B317="","",IF(AND(IF(OR($AC317="",인턴현황!$K$2=""),"",INDEX(인턴근무계획!$M$3:$R$402,$AC317,인턴현황!$K$2)&amp;"")&lt;&gt;"",LEFT(IF(OR($AC317="",인턴현황!$K$2=""),"",INDEX(인턴근무계획!$M$3:$R$402,$AC317,인턴현황!$K$2)&amp;""),1)&lt;&gt;"⚠"),LEFT(IF(OR($AC317="",인턴현황!$K$2=""),"",INDEX(인턴근무계획!$M$3:$R$402,$AC317,인턴현황!$K$2)&amp;""),FIND(" ",IF(OR($AC317="",인턴현황!$K$2=""),"",INDEX(인턴근무계획!$M$3:$R$402,$AC317,인턴현황!$K$2)&amp;""))-1),$AE317))</f>
        <v/>
      </c>
      <c r="AH317" s="17">
        <f>IF($B317="","",IF(TRIM($J317&amp;"")="",0,SUMPRODUCT((파견수련계획!$Q$4:$Q$803=TRIM($J317&amp;""))*(파견수련계획!$S$4:$S$803="서울병원")*파견수련계획!$W$4:$W$803))+IF($AG317="서울병원",MAX(0,DAY(EOMONTH(요약!$B$3,0))-N($X317)),0))</f>
        <v/>
      </c>
      <c r="AI317" s="17">
        <f>IF($B317="","",IF(TRIM($J317&amp;"")="",0,SUMPRODUCT((파견수련계획!$Q$4:$Q$803=TRIM($J317&amp;""))*(파견수련계획!$S$4:$S$803="구리병원")*파견수련계획!$W$4:$W$803))+IF($AG317="구리병원",MAX(0,DAY(EOMONTH(요약!$B$3,0))-N($X317)),0))</f>
        <v/>
      </c>
      <c r="AJ317" s="10">
        <f>IF(OR($B317="",TRIM($J317&amp;"")=""),"",IFERROR(MATCH(TRIM($J317&amp;"")&amp;"|월",파견수련계획!$Z$4:$Z$803,0),""))</f>
        <v/>
      </c>
      <c r="AK317" s="10">
        <f>IF(OR($B317="",TRIM($J317&amp;"")=""),"",IFERROR(MATCH(TRIM($J317&amp;"")&amp;"|다기관",파견수련계획!$AE$4:$AE$803,0),""))</f>
        <v/>
      </c>
      <c r="AL317" s="10">
        <f>IF($AK317="","","다기관 "&amp;TEXT(INDEX(파견수련계획!$AB$4:$AB$803,$AK317),"yyyy-mm-dd")&amp;"~"&amp;IF(ISNUMBER(INDEX(파견수련계획!$AC$4:$AC$803,$AK317)),TEXT(INDEX(파견수련계획!$AC$4:$AC$803,$AK317),"yyyy-mm-dd"),""))</f>
        <v/>
      </c>
    </row>
    <row r="318">
      <c r="A318" s="10">
        <f>IF(B318="","",ROW()-1)</f>
        <v/>
      </c>
      <c r="B318" s="18" t="n"/>
      <c r="C318" s="10">
        <f>IF($AB318="","",IF(INDEX(기본자료!$C$2:$C$1001,$AB318)="","",INDEX(기본자료!$C$2:$C$1001,$AB318)))</f>
        <v/>
      </c>
      <c r="D318" s="10">
        <f>IF($AB318="","",IF(INDEX(기본자료!$J$2:$J$1001,$AB318)="","",INDEX(기본자료!$J$2:$J$1001,$AB318)))</f>
        <v/>
      </c>
      <c r="E318" s="11">
        <f>IF($AB318="","",IF(INDEX(기본자료!$K$2:$K$1001,$AB318)="","",IF(NOT(ISNUMBER(INDEX(기본자료!$K$2:$K$1001,$AB318))),INDEX(기본자료!$K$2:$K$1001,$AB318),IF(INDEX(기본자료!$K$2:$K$1001,$AB318)&lt;1000000,INDEX(기본자료!$K$2:$K$1001,$AB318),IF(AND(INDEX(기본자료!$K$2:$K$1001,$AB318)&gt;=10000101,INT(MOD(INDEX(기본자료!$K$2:$K$1001,$AB318),10000)/100)&gt;=1,INT(MOD(INDEX(기본자료!$K$2:$K$1001,$AB318),10000)/100)&lt;=12,MOD(INDEX(기본자료!$K$2:$K$1001,$AB318),100)&gt;=1,MOD(INDEX(기본자료!$K$2:$K$1001,$AB318),100)&lt;=31),DATE(INT(INDEX(기본자료!$K$2:$K$1001,$AB318)/10000),INT(MOD(INDEX(기본자료!$K$2:$K$1001,$AB318),10000)/100),MOD(INDEX(기본자료!$K$2:$K$1001,$AB318),100)),INDEX(기본자료!$K$2:$K$1001,$AB318)&amp;"")))))</f>
        <v/>
      </c>
      <c r="F318" s="10">
        <f>IF($AB318="","",IF(INDEX(기본자료!$D$2:$D$1001,$AB318)="","",INDEX(기본자료!$D$2:$D$1001,$AB318)))</f>
        <v/>
      </c>
      <c r="G318" s="10">
        <f>IF($AB318="","",IF(INDEX(기본자료!$E$2:$E$1001,$AB318)="","",INDEX(기본자료!$E$2:$E$1001,$AB318)))</f>
        <v/>
      </c>
      <c r="H318" s="10">
        <f>IF($AB318="","",IF(INDEX(기본자료!$F$2:$F$1001,$AB318)="","",INDEX(기본자료!$F$2:$F$1001,$AB318)))</f>
        <v/>
      </c>
      <c r="I318" s="11">
        <f>IF($AB318="","",IF(INDEX(기본자료!$G$2:$G$1001,$AB318)="","",IF(NOT(ISNUMBER(INDEX(기본자료!$G$2:$G$1001,$AB318))),INDEX(기본자료!$G$2:$G$1001,$AB318),IF(INDEX(기본자료!$G$2:$G$1001,$AB318)&lt;1000000,INDEX(기본자료!$G$2:$G$1001,$AB318),IF(AND(INDEX(기본자료!$G$2:$G$1001,$AB318)&gt;=10000101,INT(MOD(INDEX(기본자료!$G$2:$G$1001,$AB318),10000)/100)&gt;=1,INT(MOD(INDEX(기본자료!$G$2:$G$1001,$AB318),10000)/100)&lt;=12,MOD(INDEX(기본자료!$G$2:$G$1001,$AB318),100)&gt;=1,MOD(INDEX(기본자료!$G$2:$G$1001,$AB318),100)&lt;=31),DATE(INT(INDEX(기본자료!$G$2:$G$1001,$AB318)/10000),INT(MOD(INDEX(기본자료!$G$2:$G$1001,$AB318),10000)/100),MOD(INDEX(기본자료!$G$2:$G$1001,$AB318),100)),INDEX(기본자료!$G$2:$G$1001,$AB318)&amp;"")))))</f>
        <v/>
      </c>
      <c r="J318" s="10">
        <f>IF($AB318="","",IF(INDEX(기본자료!$H$2:$H$1001,$AB318)="","",INDEX(기본자료!$H$2:$H$1001,$AB318)))</f>
        <v/>
      </c>
      <c r="K318" s="10">
        <f>IF($AB318="","",IF(INDEX(기본자료!$I$2:$I$1001,$AB318)="","",INDEX(기본자료!$I$2:$I$1001,$AB318)))</f>
        <v/>
      </c>
      <c r="L318" s="10">
        <f>IF($AB318="","",IF(INDEX(기본자료!$A$2:$A$1001,$AB318)="","",INDEX(기본자료!$A$2:$A$1001,$AB318)))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파견수련계획!$AB$4:$AB$803,$AK318),OR(NOT(ISNUMBER(INDEX(파견수련계획!$AC$4:$AC$803,$AK318))),TODAY()&lt;=INDEX(파견수련계획!$AC$4:$AC$803,$AK318))),"다기관",IF($AF318="","",INDEX(파견수련계획!$T$4:$T$803,$AF318))),IF($AF318="","",INDEX(파견수련계획!$T$4:$T$803,$AF318))))</f>
        <v/>
      </c>
      <c r="Q318" s="10">
        <f>IF($AF318="","",INDEX(파견수련계획!$S$4:$S$803,$AF318))</f>
        <v/>
      </c>
      <c r="R318" s="10">
        <f>IF($AF318="","",INDEX(파견수련계획!$U$4:$U$803,$AF318))</f>
        <v/>
      </c>
      <c r="S318" s="11">
        <f>IF($AF318="","",IF(INDEX(파견수련계획!$H$4:$H$803,$AF318)="","",INDEX(파견수련계획!$H$4:$H$803,$AF318)))</f>
        <v/>
      </c>
      <c r="T318" s="11">
        <f>IF($AF318="","",IF(INDEX(파견수련계획!$I$4:$I$803,$AF318)="","",INDEX(파견수련계획!$I$4:$I$803,$AF318)))</f>
        <v/>
      </c>
      <c r="U318" s="10">
        <f>IF($AF318="","",INDEX(파견수련계획!$X$4:$X$803,$AF318))</f>
        <v/>
      </c>
      <c r="V318" s="17">
        <f>IF($AF318="","",INDEX(파견수련계획!$V$4:$V$803,$AF318))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IF(OR($B318="",TRIM($J318&amp;"")=""),"",SUMPRODUCT((파견수련계획!$Q$4:$Q$803=TRIM($J318&amp;""))*파견수련계획!$W$4:$W$803))</f>
        <v/>
      </c>
      <c r="Y318" s="10">
        <f>IF($B318="","",IF($AG318="","",IF(IF(TRIM($J318&amp;"")="",0,SUMPRODUCT((파견수련계획!$Q$4:$Q$803=TRIM($J318&amp;""))*파견수련계획!$AD$4:$AD$803))&gt;0,$AE318,IF(N($X318)&lt;=0,$AG318,IF($AH318+$AI318=DAY(EOMONTH(요약!$B$3,0)),IF(AND($AH318&gt;=요약!$E$3,$AI318&lt;요약!$E$3),"서울병원",IF(AND($AI318&gt;=요약!$E$3,$AH318&lt;요약!$E$3),"구리병원","⚠15일 판정불가(서울 "&amp;$AH318&amp;"일/구리 "&amp;$AI318&amp;"일)")),IF($AJ318="",$AE318,IF(INDEX(파견수련계획!$T$4:$T$803,$AJ318)="통합수련",INDEX(파견수련계획!$S$4:$S$803,$AJ318),$AE318)))))))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입력",IF(IF(TRIM($J318&amp;"")="",0,SUMPRODUCT((파견수련계획!$Q$4:$Q$803=TRIM($J318&amp;""))*(파견수련계획!$AA$4:$AA$803&lt;&gt;"")))&gt;0,"파견수련계획 입력오류 확인",IF(LEFT($Y318,1)="⚠","서울·구리 15일 판정 불가(양쪽 모두 이상/미만)",IF(IF($AC318="",0,N(INDEX(인턴근무계획!$T$3:$T$402,$AC318)))&gt;0,"인턴계획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IF($B318="","",IFERROR(MATCH($B318,기본자료!$B$2:$B$1001,0),IFERROR(MATCH($B318&amp;"",기본자료!$B$2:$B$1001,0),IFERROR(MATCH(VALUE($B318),기본자료!$B$2:$B$1001,0),""))))</f>
        <v/>
      </c>
      <c r="AC318" s="10">
        <f>IF($B318="","",IFERROR(MATCH($B318,인턴근무계획!$D$3:$D$402,0),IFERROR(MATCH($B318&amp;"",인턴근무계획!$D$3:$D$402,0),IFERROR(MATCH(VALUE($B318),인턴근무계획!$D$3:$D$402,0),""))))</f>
        <v/>
      </c>
      <c r="AD318" s="10">
        <f>IF(OR($AC318="",인턴현황!$G$3=""),"",INDEX(인턴근무계획!$M$3:$R$402,$AC318,인턴현황!$G$3)&amp;"")</f>
        <v/>
      </c>
      <c r="AE318" s="10">
        <f>IF($B318="","",IF($M318&lt;&gt;"",$M318,IF($AF318&lt;&gt;"",IF(LEFT(INDEX(파견수련계획!$R$4:$R$803,$AF318),1)&lt;&gt;"⚠",INDEX(파견수련계획!$R$4:$R$803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파견수련계획!$Y$4:$Y$803,0),IFERROR(MATCH(TRIM($J318&amp;"")&amp;"|파견예정",파견수련계획!$Y$4:$Y$803,0),IFERROR(MATCH(TRIM($J318&amp;"")&amp;"|파견종료",파견수련계획!$Y$4:$Y$803,0),""))))</f>
        <v/>
      </c>
      <c r="AG318" s="10">
        <f>IF($B318="","",IF(AND(IF(OR($AC318="",인턴현황!$K$2=""),"",INDEX(인턴근무계획!$M$3:$R$402,$AC318,인턴현황!$K$2)&amp;"")&lt;&gt;"",LEFT(IF(OR($AC318="",인턴현황!$K$2=""),"",INDEX(인턴근무계획!$M$3:$R$402,$AC318,인턴현황!$K$2)&amp;""),1)&lt;&gt;"⚠"),LEFT(IF(OR($AC318="",인턴현황!$K$2=""),"",INDEX(인턴근무계획!$M$3:$R$402,$AC318,인턴현황!$K$2)&amp;""),FIND(" ",IF(OR($AC318="",인턴현황!$K$2=""),"",INDEX(인턴근무계획!$M$3:$R$402,$AC318,인턴현황!$K$2)&amp;""))-1),$AE318))</f>
        <v/>
      </c>
      <c r="AH318" s="17">
        <f>IF($B318="","",IF(TRIM($J318&amp;"")="",0,SUMPRODUCT((파견수련계획!$Q$4:$Q$803=TRIM($J318&amp;""))*(파견수련계획!$S$4:$S$803="서울병원")*파견수련계획!$W$4:$W$803))+IF($AG318="서울병원",MAX(0,DAY(EOMONTH(요약!$B$3,0))-N($X318)),0))</f>
        <v/>
      </c>
      <c r="AI318" s="17">
        <f>IF($B318="","",IF(TRIM($J318&amp;"")="",0,SUMPRODUCT((파견수련계획!$Q$4:$Q$803=TRIM($J318&amp;""))*(파견수련계획!$S$4:$S$803="구리병원")*파견수련계획!$W$4:$W$803))+IF($AG318="구리병원",MAX(0,DAY(EOMONTH(요약!$B$3,0))-N($X318)),0))</f>
        <v/>
      </c>
      <c r="AJ318" s="10">
        <f>IF(OR($B318="",TRIM($J318&amp;"")=""),"",IFERROR(MATCH(TRIM($J318&amp;"")&amp;"|월",파견수련계획!$Z$4:$Z$803,0),""))</f>
        <v/>
      </c>
      <c r="AK318" s="10">
        <f>IF(OR($B318="",TRIM($J318&amp;"")=""),"",IFERROR(MATCH(TRIM($J318&amp;"")&amp;"|다기관",파견수련계획!$AE$4:$AE$803,0),""))</f>
        <v/>
      </c>
      <c r="AL318" s="10">
        <f>IF($AK318="","","다기관 "&amp;TEXT(INDEX(파견수련계획!$AB$4:$AB$803,$AK318),"yyyy-mm-dd")&amp;"~"&amp;IF(ISNUMBER(INDEX(파견수련계획!$AC$4:$AC$803,$AK318)),TEXT(INDEX(파견수련계획!$AC$4:$AC$803,$AK318),"yyyy-mm-dd"),""))</f>
        <v/>
      </c>
    </row>
    <row r="319">
      <c r="A319" s="10">
        <f>IF(B319="","",ROW()-1)</f>
        <v/>
      </c>
      <c r="B319" s="18" t="n"/>
      <c r="C319" s="10">
        <f>IF($AB319="","",IF(INDEX(기본자료!$C$2:$C$1001,$AB319)="","",INDEX(기본자료!$C$2:$C$1001,$AB319)))</f>
        <v/>
      </c>
      <c r="D319" s="10">
        <f>IF($AB319="","",IF(INDEX(기본자료!$J$2:$J$1001,$AB319)="","",INDEX(기본자료!$J$2:$J$1001,$AB319)))</f>
        <v/>
      </c>
      <c r="E319" s="11">
        <f>IF($AB319="","",IF(INDEX(기본자료!$K$2:$K$1001,$AB319)="","",IF(NOT(ISNUMBER(INDEX(기본자료!$K$2:$K$1001,$AB319))),INDEX(기본자료!$K$2:$K$1001,$AB319),IF(INDEX(기본자료!$K$2:$K$1001,$AB319)&lt;1000000,INDEX(기본자료!$K$2:$K$1001,$AB319),IF(AND(INDEX(기본자료!$K$2:$K$1001,$AB319)&gt;=10000101,INT(MOD(INDEX(기본자료!$K$2:$K$1001,$AB319),10000)/100)&gt;=1,INT(MOD(INDEX(기본자료!$K$2:$K$1001,$AB319),10000)/100)&lt;=12,MOD(INDEX(기본자료!$K$2:$K$1001,$AB319),100)&gt;=1,MOD(INDEX(기본자료!$K$2:$K$1001,$AB319),100)&lt;=31),DATE(INT(INDEX(기본자료!$K$2:$K$1001,$AB319)/10000),INT(MOD(INDEX(기본자료!$K$2:$K$1001,$AB319),10000)/100),MOD(INDEX(기본자료!$K$2:$K$1001,$AB319),100)),INDEX(기본자료!$K$2:$K$1001,$AB319)&amp;"")))))</f>
        <v/>
      </c>
      <c r="F319" s="10">
        <f>IF($AB319="","",IF(INDEX(기본자료!$D$2:$D$1001,$AB319)="","",INDEX(기본자료!$D$2:$D$1001,$AB319)))</f>
        <v/>
      </c>
      <c r="G319" s="10">
        <f>IF($AB319="","",IF(INDEX(기본자료!$E$2:$E$1001,$AB319)="","",INDEX(기본자료!$E$2:$E$1001,$AB319)))</f>
        <v/>
      </c>
      <c r="H319" s="10">
        <f>IF($AB319="","",IF(INDEX(기본자료!$F$2:$F$1001,$AB319)="","",INDEX(기본자료!$F$2:$F$1001,$AB319)))</f>
        <v/>
      </c>
      <c r="I319" s="11">
        <f>IF($AB319="","",IF(INDEX(기본자료!$G$2:$G$1001,$AB319)="","",IF(NOT(ISNUMBER(INDEX(기본자료!$G$2:$G$1001,$AB319))),INDEX(기본자료!$G$2:$G$1001,$AB319),IF(INDEX(기본자료!$G$2:$G$1001,$AB319)&lt;1000000,INDEX(기본자료!$G$2:$G$1001,$AB319),IF(AND(INDEX(기본자료!$G$2:$G$1001,$AB319)&gt;=10000101,INT(MOD(INDEX(기본자료!$G$2:$G$1001,$AB319),10000)/100)&gt;=1,INT(MOD(INDEX(기본자료!$G$2:$G$1001,$AB319),10000)/100)&lt;=12,MOD(INDEX(기본자료!$G$2:$G$1001,$AB319),100)&gt;=1,MOD(INDEX(기본자료!$G$2:$G$1001,$AB319),100)&lt;=31),DATE(INT(INDEX(기본자료!$G$2:$G$1001,$AB319)/10000),INT(MOD(INDEX(기본자료!$G$2:$G$1001,$AB319),10000)/100),MOD(INDEX(기본자료!$G$2:$G$1001,$AB319),100)),INDEX(기본자료!$G$2:$G$1001,$AB319)&amp;"")))))</f>
        <v/>
      </c>
      <c r="J319" s="10">
        <f>IF($AB319="","",IF(INDEX(기본자료!$H$2:$H$1001,$AB319)="","",INDEX(기본자료!$H$2:$H$1001,$AB319)))</f>
        <v/>
      </c>
      <c r="K319" s="10">
        <f>IF($AB319="","",IF(INDEX(기본자료!$I$2:$I$1001,$AB319)="","",INDEX(기본자료!$I$2:$I$1001,$AB319)))</f>
        <v/>
      </c>
      <c r="L319" s="10">
        <f>IF($AB319="","",IF(INDEX(기본자료!$A$2:$A$1001,$AB319)="","",INDEX(기본자료!$A$2:$A$1001,$AB319)))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파견수련계획!$AB$4:$AB$803,$AK319),OR(NOT(ISNUMBER(INDEX(파견수련계획!$AC$4:$AC$803,$AK319))),TODAY()&lt;=INDEX(파견수련계획!$AC$4:$AC$803,$AK319))),"다기관",IF($AF319="","",INDEX(파견수련계획!$T$4:$T$803,$AF319))),IF($AF319="","",INDEX(파견수련계획!$T$4:$T$803,$AF319))))</f>
        <v/>
      </c>
      <c r="Q319" s="10">
        <f>IF($AF319="","",INDEX(파견수련계획!$S$4:$S$803,$AF319))</f>
        <v/>
      </c>
      <c r="R319" s="10">
        <f>IF($AF319="","",INDEX(파견수련계획!$U$4:$U$803,$AF319))</f>
        <v/>
      </c>
      <c r="S319" s="11">
        <f>IF($AF319="","",IF(INDEX(파견수련계획!$H$4:$H$803,$AF319)="","",INDEX(파견수련계획!$H$4:$H$803,$AF319)))</f>
        <v/>
      </c>
      <c r="T319" s="11">
        <f>IF($AF319="","",IF(INDEX(파견수련계획!$I$4:$I$803,$AF319)="","",INDEX(파견수련계획!$I$4:$I$803,$AF319)))</f>
        <v/>
      </c>
      <c r="U319" s="10">
        <f>IF($AF319="","",INDEX(파견수련계획!$X$4:$X$803,$AF319))</f>
        <v/>
      </c>
      <c r="V319" s="17">
        <f>IF($AF319="","",INDEX(파견수련계획!$V$4:$V$803,$AF319))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IF(OR($B319="",TRIM($J319&amp;"")=""),"",SUMPRODUCT((파견수련계획!$Q$4:$Q$803=TRIM($J319&amp;""))*파견수련계획!$W$4:$W$803))</f>
        <v/>
      </c>
      <c r="Y319" s="10">
        <f>IF($B319="","",IF($AG319="","",IF(IF(TRIM($J319&amp;"")="",0,SUMPRODUCT((파견수련계획!$Q$4:$Q$803=TRIM($J319&amp;""))*파견수련계획!$AD$4:$AD$803))&gt;0,$AE319,IF(N($X319)&lt;=0,$AG319,IF($AH319+$AI319=DAY(EOMONTH(요약!$B$3,0)),IF(AND($AH319&gt;=요약!$E$3,$AI319&lt;요약!$E$3),"서울병원",IF(AND($AI319&gt;=요약!$E$3,$AH319&lt;요약!$E$3),"구리병원","⚠15일 판정불가(서울 "&amp;$AH319&amp;"일/구리 "&amp;$AI319&amp;"일)")),IF($AJ319="",$AE319,IF(INDEX(파견수련계획!$T$4:$T$803,$AJ319)="통합수련",INDEX(파견수련계획!$S$4:$S$803,$AJ319),$AE319)))))))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입력",IF(IF(TRIM($J319&amp;"")="",0,SUMPRODUCT((파견수련계획!$Q$4:$Q$803=TRIM($J319&amp;""))*(파견수련계획!$AA$4:$AA$803&lt;&gt;"")))&gt;0,"파견수련계획 입력오류 확인",IF(LEFT($Y319,1)="⚠","서울·구리 15일 판정 불가(양쪽 모두 이상/미만)",IF(IF($AC319="",0,N(INDEX(인턴근무계획!$T$3:$T$402,$AC319)))&gt;0,"인턴계획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IF($B319="","",IFERROR(MATCH($B319,기본자료!$B$2:$B$1001,0),IFERROR(MATCH($B319&amp;"",기본자료!$B$2:$B$1001,0),IFERROR(MATCH(VALUE($B319),기본자료!$B$2:$B$1001,0),""))))</f>
        <v/>
      </c>
      <c r="AC319" s="10">
        <f>IF($B319="","",IFERROR(MATCH($B319,인턴근무계획!$D$3:$D$402,0),IFERROR(MATCH($B319&amp;"",인턴근무계획!$D$3:$D$402,0),IFERROR(MATCH(VALUE($B319),인턴근무계획!$D$3:$D$402,0),""))))</f>
        <v/>
      </c>
      <c r="AD319" s="10">
        <f>IF(OR($AC319="",인턴현황!$G$3=""),"",INDEX(인턴근무계획!$M$3:$R$402,$AC319,인턴현황!$G$3)&amp;"")</f>
        <v/>
      </c>
      <c r="AE319" s="10">
        <f>IF($B319="","",IF($M319&lt;&gt;"",$M319,IF($AF319&lt;&gt;"",IF(LEFT(INDEX(파견수련계획!$R$4:$R$803,$AF319),1)&lt;&gt;"⚠",INDEX(파견수련계획!$R$4:$R$803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파견수련계획!$Y$4:$Y$803,0),IFERROR(MATCH(TRIM($J319&amp;"")&amp;"|파견예정",파견수련계획!$Y$4:$Y$803,0),IFERROR(MATCH(TRIM($J319&amp;"")&amp;"|파견종료",파견수련계획!$Y$4:$Y$803,0),""))))</f>
        <v/>
      </c>
      <c r="AG319" s="10">
        <f>IF($B319="","",IF(AND(IF(OR($AC319="",인턴현황!$K$2=""),"",INDEX(인턴근무계획!$M$3:$R$402,$AC319,인턴현황!$K$2)&amp;"")&lt;&gt;"",LEFT(IF(OR($AC319="",인턴현황!$K$2=""),"",INDEX(인턴근무계획!$M$3:$R$402,$AC319,인턴현황!$K$2)&amp;""),1)&lt;&gt;"⚠"),LEFT(IF(OR($AC319="",인턴현황!$K$2=""),"",INDEX(인턴근무계획!$M$3:$R$402,$AC319,인턴현황!$K$2)&amp;""),FIND(" ",IF(OR($AC319="",인턴현황!$K$2=""),"",INDEX(인턴근무계획!$M$3:$R$402,$AC319,인턴현황!$K$2)&amp;""))-1),$AE319))</f>
        <v/>
      </c>
      <c r="AH319" s="17">
        <f>IF($B319="","",IF(TRIM($J319&amp;"")="",0,SUMPRODUCT((파견수련계획!$Q$4:$Q$803=TRIM($J319&amp;""))*(파견수련계획!$S$4:$S$803="서울병원")*파견수련계획!$W$4:$W$803))+IF($AG319="서울병원",MAX(0,DAY(EOMONTH(요약!$B$3,0))-N($X319)),0))</f>
        <v/>
      </c>
      <c r="AI319" s="17">
        <f>IF($B319="","",IF(TRIM($J319&amp;"")="",0,SUMPRODUCT((파견수련계획!$Q$4:$Q$803=TRIM($J319&amp;""))*(파견수련계획!$S$4:$S$803="구리병원")*파견수련계획!$W$4:$W$803))+IF($AG319="구리병원",MAX(0,DAY(EOMONTH(요약!$B$3,0))-N($X319)),0))</f>
        <v/>
      </c>
      <c r="AJ319" s="10">
        <f>IF(OR($B319="",TRIM($J319&amp;"")=""),"",IFERROR(MATCH(TRIM($J319&amp;"")&amp;"|월",파견수련계획!$Z$4:$Z$803,0),""))</f>
        <v/>
      </c>
      <c r="AK319" s="10">
        <f>IF(OR($B319="",TRIM($J319&amp;"")=""),"",IFERROR(MATCH(TRIM($J319&amp;"")&amp;"|다기관",파견수련계획!$AE$4:$AE$803,0),""))</f>
        <v/>
      </c>
      <c r="AL319" s="10">
        <f>IF($AK319="","","다기관 "&amp;TEXT(INDEX(파견수련계획!$AB$4:$AB$803,$AK319),"yyyy-mm-dd")&amp;"~"&amp;IF(ISNUMBER(INDEX(파견수련계획!$AC$4:$AC$803,$AK319)),TEXT(INDEX(파견수련계획!$AC$4:$AC$803,$AK319),"yyyy-mm-dd"),""))</f>
        <v/>
      </c>
    </row>
    <row r="320">
      <c r="A320" s="10">
        <f>IF(B320="","",ROW()-1)</f>
        <v/>
      </c>
      <c r="B320" s="18" t="n"/>
      <c r="C320" s="10">
        <f>IF($AB320="","",IF(INDEX(기본자료!$C$2:$C$1001,$AB320)="","",INDEX(기본자료!$C$2:$C$1001,$AB320)))</f>
        <v/>
      </c>
      <c r="D320" s="10">
        <f>IF($AB320="","",IF(INDEX(기본자료!$J$2:$J$1001,$AB320)="","",INDEX(기본자료!$J$2:$J$1001,$AB320)))</f>
        <v/>
      </c>
      <c r="E320" s="11">
        <f>IF($AB320="","",IF(INDEX(기본자료!$K$2:$K$1001,$AB320)="","",IF(NOT(ISNUMBER(INDEX(기본자료!$K$2:$K$1001,$AB320))),INDEX(기본자료!$K$2:$K$1001,$AB320),IF(INDEX(기본자료!$K$2:$K$1001,$AB320)&lt;1000000,INDEX(기본자료!$K$2:$K$1001,$AB320),IF(AND(INDEX(기본자료!$K$2:$K$1001,$AB320)&gt;=10000101,INT(MOD(INDEX(기본자료!$K$2:$K$1001,$AB320),10000)/100)&gt;=1,INT(MOD(INDEX(기본자료!$K$2:$K$1001,$AB320),10000)/100)&lt;=12,MOD(INDEX(기본자료!$K$2:$K$1001,$AB320),100)&gt;=1,MOD(INDEX(기본자료!$K$2:$K$1001,$AB320),100)&lt;=31),DATE(INT(INDEX(기본자료!$K$2:$K$1001,$AB320)/10000),INT(MOD(INDEX(기본자료!$K$2:$K$1001,$AB320),10000)/100),MOD(INDEX(기본자료!$K$2:$K$1001,$AB320),100)),INDEX(기본자료!$K$2:$K$1001,$AB320)&amp;"")))))</f>
        <v/>
      </c>
      <c r="F320" s="10">
        <f>IF($AB320="","",IF(INDEX(기본자료!$D$2:$D$1001,$AB320)="","",INDEX(기본자료!$D$2:$D$1001,$AB320)))</f>
        <v/>
      </c>
      <c r="G320" s="10">
        <f>IF($AB320="","",IF(INDEX(기본자료!$E$2:$E$1001,$AB320)="","",INDEX(기본자료!$E$2:$E$1001,$AB320)))</f>
        <v/>
      </c>
      <c r="H320" s="10">
        <f>IF($AB320="","",IF(INDEX(기본자료!$F$2:$F$1001,$AB320)="","",INDEX(기본자료!$F$2:$F$1001,$AB320)))</f>
        <v/>
      </c>
      <c r="I320" s="11">
        <f>IF($AB320="","",IF(INDEX(기본자료!$G$2:$G$1001,$AB320)="","",IF(NOT(ISNUMBER(INDEX(기본자료!$G$2:$G$1001,$AB320))),INDEX(기본자료!$G$2:$G$1001,$AB320),IF(INDEX(기본자료!$G$2:$G$1001,$AB320)&lt;1000000,INDEX(기본자료!$G$2:$G$1001,$AB320),IF(AND(INDEX(기본자료!$G$2:$G$1001,$AB320)&gt;=10000101,INT(MOD(INDEX(기본자료!$G$2:$G$1001,$AB320),10000)/100)&gt;=1,INT(MOD(INDEX(기본자료!$G$2:$G$1001,$AB320),10000)/100)&lt;=12,MOD(INDEX(기본자료!$G$2:$G$1001,$AB320),100)&gt;=1,MOD(INDEX(기본자료!$G$2:$G$1001,$AB320),100)&lt;=31),DATE(INT(INDEX(기본자료!$G$2:$G$1001,$AB320)/10000),INT(MOD(INDEX(기본자료!$G$2:$G$1001,$AB320),10000)/100),MOD(INDEX(기본자료!$G$2:$G$1001,$AB320),100)),INDEX(기본자료!$G$2:$G$1001,$AB320)&amp;"")))))</f>
        <v/>
      </c>
      <c r="J320" s="10">
        <f>IF($AB320="","",IF(INDEX(기본자료!$H$2:$H$1001,$AB320)="","",INDEX(기본자료!$H$2:$H$1001,$AB320)))</f>
        <v/>
      </c>
      <c r="K320" s="10">
        <f>IF($AB320="","",IF(INDEX(기본자료!$I$2:$I$1001,$AB320)="","",INDEX(기본자료!$I$2:$I$1001,$AB320)))</f>
        <v/>
      </c>
      <c r="L320" s="10">
        <f>IF($AB320="","",IF(INDEX(기본자료!$A$2:$A$1001,$AB320)="","",INDEX(기본자료!$A$2:$A$1001,$AB320)))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파견수련계획!$AB$4:$AB$803,$AK320),OR(NOT(ISNUMBER(INDEX(파견수련계획!$AC$4:$AC$803,$AK320))),TODAY()&lt;=INDEX(파견수련계획!$AC$4:$AC$803,$AK320))),"다기관",IF($AF320="","",INDEX(파견수련계획!$T$4:$T$803,$AF320))),IF($AF320="","",INDEX(파견수련계획!$T$4:$T$803,$AF320))))</f>
        <v/>
      </c>
      <c r="Q320" s="10">
        <f>IF($AF320="","",INDEX(파견수련계획!$S$4:$S$803,$AF320))</f>
        <v/>
      </c>
      <c r="R320" s="10">
        <f>IF($AF320="","",INDEX(파견수련계획!$U$4:$U$803,$AF320))</f>
        <v/>
      </c>
      <c r="S320" s="11">
        <f>IF($AF320="","",IF(INDEX(파견수련계획!$H$4:$H$803,$AF320)="","",INDEX(파견수련계획!$H$4:$H$803,$AF320)))</f>
        <v/>
      </c>
      <c r="T320" s="11">
        <f>IF($AF320="","",IF(INDEX(파견수련계획!$I$4:$I$803,$AF320)="","",INDEX(파견수련계획!$I$4:$I$803,$AF320)))</f>
        <v/>
      </c>
      <c r="U320" s="10">
        <f>IF($AF320="","",INDEX(파견수련계획!$X$4:$X$803,$AF320))</f>
        <v/>
      </c>
      <c r="V320" s="17">
        <f>IF($AF320="","",INDEX(파견수련계획!$V$4:$V$803,$AF320))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IF(OR($B320="",TRIM($J320&amp;"")=""),"",SUMPRODUCT((파견수련계획!$Q$4:$Q$803=TRIM($J320&amp;""))*파견수련계획!$W$4:$W$803))</f>
        <v/>
      </c>
      <c r="Y320" s="10">
        <f>IF($B320="","",IF($AG320="","",IF(IF(TRIM($J320&amp;"")="",0,SUMPRODUCT((파견수련계획!$Q$4:$Q$803=TRIM($J320&amp;""))*파견수련계획!$AD$4:$AD$803))&gt;0,$AE320,IF(N($X320)&lt;=0,$AG320,IF($AH320+$AI320=DAY(EOMONTH(요약!$B$3,0)),IF(AND($AH320&gt;=요약!$E$3,$AI320&lt;요약!$E$3),"서울병원",IF(AND($AI320&gt;=요약!$E$3,$AH320&lt;요약!$E$3),"구리병원","⚠15일 판정불가(서울 "&amp;$AH320&amp;"일/구리 "&amp;$AI320&amp;"일)")),IF($AJ320="",$AE320,IF(INDEX(파견수련계획!$T$4:$T$803,$AJ320)="통합수련",INDEX(파견수련계획!$S$4:$S$803,$AJ320),$AE320)))))))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입력",IF(IF(TRIM($J320&amp;"")="",0,SUMPRODUCT((파견수련계획!$Q$4:$Q$803=TRIM($J320&amp;""))*(파견수련계획!$AA$4:$AA$803&lt;&gt;"")))&gt;0,"파견수련계획 입력오류 확인",IF(LEFT($Y320,1)="⚠","서울·구리 15일 판정 불가(양쪽 모두 이상/미만)",IF(IF($AC320="",0,N(INDEX(인턴근무계획!$T$3:$T$402,$AC320)))&gt;0,"인턴계획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IF($B320="","",IFERROR(MATCH($B320,기본자료!$B$2:$B$1001,0),IFERROR(MATCH($B320&amp;"",기본자료!$B$2:$B$1001,0),IFERROR(MATCH(VALUE($B320),기본자료!$B$2:$B$1001,0),""))))</f>
        <v/>
      </c>
      <c r="AC320" s="10">
        <f>IF($B320="","",IFERROR(MATCH($B320,인턴근무계획!$D$3:$D$402,0),IFERROR(MATCH($B320&amp;"",인턴근무계획!$D$3:$D$402,0),IFERROR(MATCH(VALUE($B320),인턴근무계획!$D$3:$D$402,0),""))))</f>
        <v/>
      </c>
      <c r="AD320" s="10">
        <f>IF(OR($AC320="",인턴현황!$G$3=""),"",INDEX(인턴근무계획!$M$3:$R$402,$AC320,인턴현황!$G$3)&amp;"")</f>
        <v/>
      </c>
      <c r="AE320" s="10">
        <f>IF($B320="","",IF($M320&lt;&gt;"",$M320,IF($AF320&lt;&gt;"",IF(LEFT(INDEX(파견수련계획!$R$4:$R$803,$AF320),1)&lt;&gt;"⚠",INDEX(파견수련계획!$R$4:$R$803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파견수련계획!$Y$4:$Y$803,0),IFERROR(MATCH(TRIM($J320&amp;"")&amp;"|파견예정",파견수련계획!$Y$4:$Y$803,0),IFERROR(MATCH(TRIM($J320&amp;"")&amp;"|파견종료",파견수련계획!$Y$4:$Y$803,0),""))))</f>
        <v/>
      </c>
      <c r="AG320" s="10">
        <f>IF($B320="","",IF(AND(IF(OR($AC320="",인턴현황!$K$2=""),"",INDEX(인턴근무계획!$M$3:$R$402,$AC320,인턴현황!$K$2)&amp;"")&lt;&gt;"",LEFT(IF(OR($AC320="",인턴현황!$K$2=""),"",INDEX(인턴근무계획!$M$3:$R$402,$AC320,인턴현황!$K$2)&amp;""),1)&lt;&gt;"⚠"),LEFT(IF(OR($AC320="",인턴현황!$K$2=""),"",INDEX(인턴근무계획!$M$3:$R$402,$AC320,인턴현황!$K$2)&amp;""),FIND(" ",IF(OR($AC320="",인턴현황!$K$2=""),"",INDEX(인턴근무계획!$M$3:$R$402,$AC320,인턴현황!$K$2)&amp;""))-1),$AE320))</f>
        <v/>
      </c>
      <c r="AH320" s="17">
        <f>IF($B320="","",IF(TRIM($J320&amp;"")="",0,SUMPRODUCT((파견수련계획!$Q$4:$Q$803=TRIM($J320&amp;""))*(파견수련계획!$S$4:$S$803="서울병원")*파견수련계획!$W$4:$W$803))+IF($AG320="서울병원",MAX(0,DAY(EOMONTH(요약!$B$3,0))-N($X320)),0))</f>
        <v/>
      </c>
      <c r="AI320" s="17">
        <f>IF($B320="","",IF(TRIM($J320&amp;"")="",0,SUMPRODUCT((파견수련계획!$Q$4:$Q$803=TRIM($J320&amp;""))*(파견수련계획!$S$4:$S$803="구리병원")*파견수련계획!$W$4:$W$803))+IF($AG320="구리병원",MAX(0,DAY(EOMONTH(요약!$B$3,0))-N($X320)),0))</f>
        <v/>
      </c>
      <c r="AJ320" s="10">
        <f>IF(OR($B320="",TRIM($J320&amp;"")=""),"",IFERROR(MATCH(TRIM($J320&amp;"")&amp;"|월",파견수련계획!$Z$4:$Z$803,0),""))</f>
        <v/>
      </c>
      <c r="AK320" s="10">
        <f>IF(OR($B320="",TRIM($J320&amp;"")=""),"",IFERROR(MATCH(TRIM($J320&amp;"")&amp;"|다기관",파견수련계획!$AE$4:$AE$803,0),""))</f>
        <v/>
      </c>
      <c r="AL320" s="10">
        <f>IF($AK320="","","다기관 "&amp;TEXT(INDEX(파견수련계획!$AB$4:$AB$803,$AK320),"yyyy-mm-dd")&amp;"~"&amp;IF(ISNUMBER(INDEX(파견수련계획!$AC$4:$AC$803,$AK320)),TEXT(INDEX(파견수련계획!$AC$4:$AC$803,$AK320),"yyyy-mm-dd"),""))</f>
        <v/>
      </c>
    </row>
    <row r="321">
      <c r="A321" s="10">
        <f>IF(B321="","",ROW()-1)</f>
        <v/>
      </c>
      <c r="B321" s="18" t="n"/>
      <c r="C321" s="10">
        <f>IF($AB321="","",IF(INDEX(기본자료!$C$2:$C$1001,$AB321)="","",INDEX(기본자료!$C$2:$C$1001,$AB321)))</f>
        <v/>
      </c>
      <c r="D321" s="10">
        <f>IF($AB321="","",IF(INDEX(기본자료!$J$2:$J$1001,$AB321)="","",INDEX(기본자료!$J$2:$J$1001,$AB321)))</f>
        <v/>
      </c>
      <c r="E321" s="11">
        <f>IF($AB321="","",IF(INDEX(기본자료!$K$2:$K$1001,$AB321)="","",IF(NOT(ISNUMBER(INDEX(기본자료!$K$2:$K$1001,$AB321))),INDEX(기본자료!$K$2:$K$1001,$AB321),IF(INDEX(기본자료!$K$2:$K$1001,$AB321)&lt;1000000,INDEX(기본자료!$K$2:$K$1001,$AB321),IF(AND(INDEX(기본자료!$K$2:$K$1001,$AB321)&gt;=10000101,INT(MOD(INDEX(기본자료!$K$2:$K$1001,$AB321),10000)/100)&gt;=1,INT(MOD(INDEX(기본자료!$K$2:$K$1001,$AB321),10000)/100)&lt;=12,MOD(INDEX(기본자료!$K$2:$K$1001,$AB321),100)&gt;=1,MOD(INDEX(기본자료!$K$2:$K$1001,$AB321),100)&lt;=31),DATE(INT(INDEX(기본자료!$K$2:$K$1001,$AB321)/10000),INT(MOD(INDEX(기본자료!$K$2:$K$1001,$AB321),10000)/100),MOD(INDEX(기본자료!$K$2:$K$1001,$AB321),100)),INDEX(기본자료!$K$2:$K$1001,$AB321)&amp;"")))))</f>
        <v/>
      </c>
      <c r="F321" s="10">
        <f>IF($AB321="","",IF(INDEX(기본자료!$D$2:$D$1001,$AB321)="","",INDEX(기본자료!$D$2:$D$1001,$AB321)))</f>
        <v/>
      </c>
      <c r="G321" s="10">
        <f>IF($AB321="","",IF(INDEX(기본자료!$E$2:$E$1001,$AB321)="","",INDEX(기본자료!$E$2:$E$1001,$AB321)))</f>
        <v/>
      </c>
      <c r="H321" s="10">
        <f>IF($AB321="","",IF(INDEX(기본자료!$F$2:$F$1001,$AB321)="","",INDEX(기본자료!$F$2:$F$1001,$AB321)))</f>
        <v/>
      </c>
      <c r="I321" s="11">
        <f>IF($AB321="","",IF(INDEX(기본자료!$G$2:$G$1001,$AB321)="","",IF(NOT(ISNUMBER(INDEX(기본자료!$G$2:$G$1001,$AB321))),INDEX(기본자료!$G$2:$G$1001,$AB321),IF(INDEX(기본자료!$G$2:$G$1001,$AB321)&lt;1000000,INDEX(기본자료!$G$2:$G$1001,$AB321),IF(AND(INDEX(기본자료!$G$2:$G$1001,$AB321)&gt;=10000101,INT(MOD(INDEX(기본자료!$G$2:$G$1001,$AB321),10000)/100)&gt;=1,INT(MOD(INDEX(기본자료!$G$2:$G$1001,$AB321),10000)/100)&lt;=12,MOD(INDEX(기본자료!$G$2:$G$1001,$AB321),100)&gt;=1,MOD(INDEX(기본자료!$G$2:$G$1001,$AB321),100)&lt;=31),DATE(INT(INDEX(기본자료!$G$2:$G$1001,$AB321)/10000),INT(MOD(INDEX(기본자료!$G$2:$G$1001,$AB321),10000)/100),MOD(INDEX(기본자료!$G$2:$G$1001,$AB321),100)),INDEX(기본자료!$G$2:$G$1001,$AB321)&amp;"")))))</f>
        <v/>
      </c>
      <c r="J321" s="10">
        <f>IF($AB321="","",IF(INDEX(기본자료!$H$2:$H$1001,$AB321)="","",INDEX(기본자료!$H$2:$H$1001,$AB321)))</f>
        <v/>
      </c>
      <c r="K321" s="10">
        <f>IF($AB321="","",IF(INDEX(기본자료!$I$2:$I$1001,$AB321)="","",INDEX(기본자료!$I$2:$I$1001,$AB321)))</f>
        <v/>
      </c>
      <c r="L321" s="10">
        <f>IF($AB321="","",IF(INDEX(기본자료!$A$2:$A$1001,$AB321)="","",INDEX(기본자료!$A$2:$A$1001,$AB321)))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파견수련계획!$AB$4:$AB$803,$AK321),OR(NOT(ISNUMBER(INDEX(파견수련계획!$AC$4:$AC$803,$AK321))),TODAY()&lt;=INDEX(파견수련계획!$AC$4:$AC$803,$AK321))),"다기관",IF($AF321="","",INDEX(파견수련계획!$T$4:$T$803,$AF321))),IF($AF321="","",INDEX(파견수련계획!$T$4:$T$803,$AF321))))</f>
        <v/>
      </c>
      <c r="Q321" s="10">
        <f>IF($AF321="","",INDEX(파견수련계획!$S$4:$S$803,$AF321))</f>
        <v/>
      </c>
      <c r="R321" s="10">
        <f>IF($AF321="","",INDEX(파견수련계획!$U$4:$U$803,$AF321))</f>
        <v/>
      </c>
      <c r="S321" s="11">
        <f>IF($AF321="","",IF(INDEX(파견수련계획!$H$4:$H$803,$AF321)="","",INDEX(파견수련계획!$H$4:$H$803,$AF321)))</f>
        <v/>
      </c>
      <c r="T321" s="11">
        <f>IF($AF321="","",IF(INDEX(파견수련계획!$I$4:$I$803,$AF321)="","",INDEX(파견수련계획!$I$4:$I$803,$AF321)))</f>
        <v/>
      </c>
      <c r="U321" s="10">
        <f>IF($AF321="","",INDEX(파견수련계획!$X$4:$X$803,$AF321))</f>
        <v/>
      </c>
      <c r="V321" s="17">
        <f>IF($AF321="","",INDEX(파견수련계획!$V$4:$V$803,$AF321))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IF(OR($B321="",TRIM($J321&amp;"")=""),"",SUMPRODUCT((파견수련계획!$Q$4:$Q$803=TRIM($J321&amp;""))*파견수련계획!$W$4:$W$803))</f>
        <v/>
      </c>
      <c r="Y321" s="10">
        <f>IF($B321="","",IF($AG321="","",IF(IF(TRIM($J321&amp;"")="",0,SUMPRODUCT((파견수련계획!$Q$4:$Q$803=TRIM($J321&amp;""))*파견수련계획!$AD$4:$AD$803))&gt;0,$AE321,IF(N($X321)&lt;=0,$AG321,IF($AH321+$AI321=DAY(EOMONTH(요약!$B$3,0)),IF(AND($AH321&gt;=요약!$E$3,$AI321&lt;요약!$E$3),"서울병원",IF(AND($AI321&gt;=요약!$E$3,$AH321&lt;요약!$E$3),"구리병원","⚠15일 판정불가(서울 "&amp;$AH321&amp;"일/구리 "&amp;$AI321&amp;"일)")),IF($AJ321="",$AE321,IF(INDEX(파견수련계획!$T$4:$T$803,$AJ321)="통합수련",INDEX(파견수련계획!$S$4:$S$803,$AJ321),$AE321)))))))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입력",IF(IF(TRIM($J321&amp;"")="",0,SUMPRODUCT((파견수련계획!$Q$4:$Q$803=TRIM($J321&amp;""))*(파견수련계획!$AA$4:$AA$803&lt;&gt;"")))&gt;0,"파견수련계획 입력오류 확인",IF(LEFT($Y321,1)="⚠","서울·구리 15일 판정 불가(양쪽 모두 이상/미만)",IF(IF($AC321="",0,N(INDEX(인턴근무계획!$T$3:$T$402,$AC321)))&gt;0,"인턴계획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IF($B321="","",IFERROR(MATCH($B321,기본자료!$B$2:$B$1001,0),IFERROR(MATCH($B321&amp;"",기본자료!$B$2:$B$1001,0),IFERROR(MATCH(VALUE($B321),기본자료!$B$2:$B$1001,0),""))))</f>
        <v/>
      </c>
      <c r="AC321" s="10">
        <f>IF($B321="","",IFERROR(MATCH($B321,인턴근무계획!$D$3:$D$402,0),IFERROR(MATCH($B321&amp;"",인턴근무계획!$D$3:$D$402,0),IFERROR(MATCH(VALUE($B321),인턴근무계획!$D$3:$D$402,0),""))))</f>
        <v/>
      </c>
      <c r="AD321" s="10">
        <f>IF(OR($AC321="",인턴현황!$G$3=""),"",INDEX(인턴근무계획!$M$3:$R$402,$AC321,인턴현황!$G$3)&amp;"")</f>
        <v/>
      </c>
      <c r="AE321" s="10">
        <f>IF($B321="","",IF($M321&lt;&gt;"",$M321,IF($AF321&lt;&gt;"",IF(LEFT(INDEX(파견수련계획!$R$4:$R$803,$AF321),1)&lt;&gt;"⚠",INDEX(파견수련계획!$R$4:$R$803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파견수련계획!$Y$4:$Y$803,0),IFERROR(MATCH(TRIM($J321&amp;"")&amp;"|파견예정",파견수련계획!$Y$4:$Y$803,0),IFERROR(MATCH(TRIM($J321&amp;"")&amp;"|파견종료",파견수련계획!$Y$4:$Y$803,0),""))))</f>
        <v/>
      </c>
      <c r="AG321" s="10">
        <f>IF($B321="","",IF(AND(IF(OR($AC321="",인턴현황!$K$2=""),"",INDEX(인턴근무계획!$M$3:$R$402,$AC321,인턴현황!$K$2)&amp;"")&lt;&gt;"",LEFT(IF(OR($AC321="",인턴현황!$K$2=""),"",INDEX(인턴근무계획!$M$3:$R$402,$AC321,인턴현황!$K$2)&amp;""),1)&lt;&gt;"⚠"),LEFT(IF(OR($AC321="",인턴현황!$K$2=""),"",INDEX(인턴근무계획!$M$3:$R$402,$AC321,인턴현황!$K$2)&amp;""),FIND(" ",IF(OR($AC321="",인턴현황!$K$2=""),"",INDEX(인턴근무계획!$M$3:$R$402,$AC321,인턴현황!$K$2)&amp;""))-1),$AE321))</f>
        <v/>
      </c>
      <c r="AH321" s="17">
        <f>IF($B321="","",IF(TRIM($J321&amp;"")="",0,SUMPRODUCT((파견수련계획!$Q$4:$Q$803=TRIM($J321&amp;""))*(파견수련계획!$S$4:$S$803="서울병원")*파견수련계획!$W$4:$W$803))+IF($AG321="서울병원",MAX(0,DAY(EOMONTH(요약!$B$3,0))-N($X321)),0))</f>
        <v/>
      </c>
      <c r="AI321" s="17">
        <f>IF($B321="","",IF(TRIM($J321&amp;"")="",0,SUMPRODUCT((파견수련계획!$Q$4:$Q$803=TRIM($J321&amp;""))*(파견수련계획!$S$4:$S$803="구리병원")*파견수련계획!$W$4:$W$803))+IF($AG321="구리병원",MAX(0,DAY(EOMONTH(요약!$B$3,0))-N($X321)),0))</f>
        <v/>
      </c>
      <c r="AJ321" s="10">
        <f>IF(OR($B321="",TRIM($J321&amp;"")=""),"",IFERROR(MATCH(TRIM($J321&amp;"")&amp;"|월",파견수련계획!$Z$4:$Z$803,0),""))</f>
        <v/>
      </c>
      <c r="AK321" s="10">
        <f>IF(OR($B321="",TRIM($J321&amp;"")=""),"",IFERROR(MATCH(TRIM($J321&amp;"")&amp;"|다기관",파견수련계획!$AE$4:$AE$803,0),""))</f>
        <v/>
      </c>
      <c r="AL321" s="10">
        <f>IF($AK321="","","다기관 "&amp;TEXT(INDEX(파견수련계획!$AB$4:$AB$803,$AK321),"yyyy-mm-dd")&amp;"~"&amp;IF(ISNUMBER(INDEX(파견수련계획!$AC$4:$AC$803,$AK321)),TEXT(INDEX(파견수련계획!$AC$4:$AC$803,$AK321),"yyyy-mm-dd"),""))</f>
        <v/>
      </c>
    </row>
    <row r="322">
      <c r="A322" s="10">
        <f>IF(B322="","",ROW()-1)</f>
        <v/>
      </c>
      <c r="B322" s="18" t="n"/>
      <c r="C322" s="10">
        <f>IF($AB322="","",IF(INDEX(기본자료!$C$2:$C$1001,$AB322)="","",INDEX(기본자료!$C$2:$C$1001,$AB322)))</f>
        <v/>
      </c>
      <c r="D322" s="10">
        <f>IF($AB322="","",IF(INDEX(기본자료!$J$2:$J$1001,$AB322)="","",INDEX(기본자료!$J$2:$J$1001,$AB322)))</f>
        <v/>
      </c>
      <c r="E322" s="11">
        <f>IF($AB322="","",IF(INDEX(기본자료!$K$2:$K$1001,$AB322)="","",IF(NOT(ISNUMBER(INDEX(기본자료!$K$2:$K$1001,$AB322))),INDEX(기본자료!$K$2:$K$1001,$AB322),IF(INDEX(기본자료!$K$2:$K$1001,$AB322)&lt;1000000,INDEX(기본자료!$K$2:$K$1001,$AB322),IF(AND(INDEX(기본자료!$K$2:$K$1001,$AB322)&gt;=10000101,INT(MOD(INDEX(기본자료!$K$2:$K$1001,$AB322),10000)/100)&gt;=1,INT(MOD(INDEX(기본자료!$K$2:$K$1001,$AB322),10000)/100)&lt;=12,MOD(INDEX(기본자료!$K$2:$K$1001,$AB322),100)&gt;=1,MOD(INDEX(기본자료!$K$2:$K$1001,$AB322),100)&lt;=31),DATE(INT(INDEX(기본자료!$K$2:$K$1001,$AB322)/10000),INT(MOD(INDEX(기본자료!$K$2:$K$1001,$AB322),10000)/100),MOD(INDEX(기본자료!$K$2:$K$1001,$AB322),100)),INDEX(기본자료!$K$2:$K$1001,$AB322)&amp;"")))))</f>
        <v/>
      </c>
      <c r="F322" s="10">
        <f>IF($AB322="","",IF(INDEX(기본자료!$D$2:$D$1001,$AB322)="","",INDEX(기본자료!$D$2:$D$1001,$AB322)))</f>
        <v/>
      </c>
      <c r="G322" s="10">
        <f>IF($AB322="","",IF(INDEX(기본자료!$E$2:$E$1001,$AB322)="","",INDEX(기본자료!$E$2:$E$1001,$AB322)))</f>
        <v/>
      </c>
      <c r="H322" s="10">
        <f>IF($AB322="","",IF(INDEX(기본자료!$F$2:$F$1001,$AB322)="","",INDEX(기본자료!$F$2:$F$1001,$AB322)))</f>
        <v/>
      </c>
      <c r="I322" s="11">
        <f>IF($AB322="","",IF(INDEX(기본자료!$G$2:$G$1001,$AB322)="","",IF(NOT(ISNUMBER(INDEX(기본자료!$G$2:$G$1001,$AB322))),INDEX(기본자료!$G$2:$G$1001,$AB322),IF(INDEX(기본자료!$G$2:$G$1001,$AB322)&lt;1000000,INDEX(기본자료!$G$2:$G$1001,$AB322),IF(AND(INDEX(기본자료!$G$2:$G$1001,$AB322)&gt;=10000101,INT(MOD(INDEX(기본자료!$G$2:$G$1001,$AB322),10000)/100)&gt;=1,INT(MOD(INDEX(기본자료!$G$2:$G$1001,$AB322),10000)/100)&lt;=12,MOD(INDEX(기본자료!$G$2:$G$1001,$AB322),100)&gt;=1,MOD(INDEX(기본자료!$G$2:$G$1001,$AB322),100)&lt;=31),DATE(INT(INDEX(기본자료!$G$2:$G$1001,$AB322)/10000),INT(MOD(INDEX(기본자료!$G$2:$G$1001,$AB322),10000)/100),MOD(INDEX(기본자료!$G$2:$G$1001,$AB322),100)),INDEX(기본자료!$G$2:$G$1001,$AB322)&amp;"")))))</f>
        <v/>
      </c>
      <c r="J322" s="10">
        <f>IF($AB322="","",IF(INDEX(기본자료!$H$2:$H$1001,$AB322)="","",INDEX(기본자료!$H$2:$H$1001,$AB322)))</f>
        <v/>
      </c>
      <c r="K322" s="10">
        <f>IF($AB322="","",IF(INDEX(기본자료!$I$2:$I$1001,$AB322)="","",INDEX(기본자료!$I$2:$I$1001,$AB322)))</f>
        <v/>
      </c>
      <c r="L322" s="10">
        <f>IF($AB322="","",IF(INDEX(기본자료!$A$2:$A$1001,$AB322)="","",INDEX(기본자료!$A$2:$A$1001,$AB322)))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파견수련계획!$AB$4:$AB$803,$AK322),OR(NOT(ISNUMBER(INDEX(파견수련계획!$AC$4:$AC$803,$AK322))),TODAY()&lt;=INDEX(파견수련계획!$AC$4:$AC$803,$AK322))),"다기관",IF($AF322="","",INDEX(파견수련계획!$T$4:$T$803,$AF322))),IF($AF322="","",INDEX(파견수련계획!$T$4:$T$803,$AF322))))</f>
        <v/>
      </c>
      <c r="Q322" s="10">
        <f>IF($AF322="","",INDEX(파견수련계획!$S$4:$S$803,$AF322))</f>
        <v/>
      </c>
      <c r="R322" s="10">
        <f>IF($AF322="","",INDEX(파견수련계획!$U$4:$U$803,$AF322))</f>
        <v/>
      </c>
      <c r="S322" s="11">
        <f>IF($AF322="","",IF(INDEX(파견수련계획!$H$4:$H$803,$AF322)="","",INDEX(파견수련계획!$H$4:$H$803,$AF322)))</f>
        <v/>
      </c>
      <c r="T322" s="11">
        <f>IF($AF322="","",IF(INDEX(파견수련계획!$I$4:$I$803,$AF322)="","",INDEX(파견수련계획!$I$4:$I$803,$AF322)))</f>
        <v/>
      </c>
      <c r="U322" s="10">
        <f>IF($AF322="","",INDEX(파견수련계획!$X$4:$X$803,$AF322))</f>
        <v/>
      </c>
      <c r="V322" s="17">
        <f>IF($AF322="","",INDEX(파견수련계획!$V$4:$V$803,$AF322))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IF(OR($B322="",TRIM($J322&amp;"")=""),"",SUMPRODUCT((파견수련계획!$Q$4:$Q$803=TRIM($J322&amp;""))*파견수련계획!$W$4:$W$803))</f>
        <v/>
      </c>
      <c r="Y322" s="10">
        <f>IF($B322="","",IF($AG322="","",IF(IF(TRIM($J322&amp;"")="",0,SUMPRODUCT((파견수련계획!$Q$4:$Q$803=TRIM($J322&amp;""))*파견수련계획!$AD$4:$AD$803))&gt;0,$AE322,IF(N($X322)&lt;=0,$AG322,IF($AH322+$AI322=DAY(EOMONTH(요약!$B$3,0)),IF(AND($AH322&gt;=요약!$E$3,$AI322&lt;요약!$E$3),"서울병원",IF(AND($AI322&gt;=요약!$E$3,$AH322&lt;요약!$E$3),"구리병원","⚠15일 판정불가(서울 "&amp;$AH322&amp;"일/구리 "&amp;$AI322&amp;"일)")),IF($AJ322="",$AE322,IF(INDEX(파견수련계획!$T$4:$T$803,$AJ322)="통합수련",INDEX(파견수련계획!$S$4:$S$803,$AJ322),$AE322)))))))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입력",IF(IF(TRIM($J322&amp;"")="",0,SUMPRODUCT((파견수련계획!$Q$4:$Q$803=TRIM($J322&amp;""))*(파견수련계획!$AA$4:$AA$803&lt;&gt;"")))&gt;0,"파견수련계획 입력오류 확인",IF(LEFT($Y322,1)="⚠","서울·구리 15일 판정 불가(양쪽 모두 이상/미만)",IF(IF($AC322="",0,N(INDEX(인턴근무계획!$T$3:$T$402,$AC322)))&gt;0,"인턴계획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IF($B322="","",IFERROR(MATCH($B322,기본자료!$B$2:$B$1001,0),IFERROR(MATCH($B322&amp;"",기본자료!$B$2:$B$1001,0),IFERROR(MATCH(VALUE($B322),기본자료!$B$2:$B$1001,0),""))))</f>
        <v/>
      </c>
      <c r="AC322" s="10">
        <f>IF($B322="","",IFERROR(MATCH($B322,인턴근무계획!$D$3:$D$402,0),IFERROR(MATCH($B322&amp;"",인턴근무계획!$D$3:$D$402,0),IFERROR(MATCH(VALUE($B322),인턴근무계획!$D$3:$D$402,0),""))))</f>
        <v/>
      </c>
      <c r="AD322" s="10">
        <f>IF(OR($AC322="",인턴현황!$G$3=""),"",INDEX(인턴근무계획!$M$3:$R$402,$AC322,인턴현황!$G$3)&amp;"")</f>
        <v/>
      </c>
      <c r="AE322" s="10">
        <f>IF($B322="","",IF($M322&lt;&gt;"",$M322,IF($AF322&lt;&gt;"",IF(LEFT(INDEX(파견수련계획!$R$4:$R$803,$AF322),1)&lt;&gt;"⚠",INDEX(파견수련계획!$R$4:$R$803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파견수련계획!$Y$4:$Y$803,0),IFERROR(MATCH(TRIM($J322&amp;"")&amp;"|파견예정",파견수련계획!$Y$4:$Y$803,0),IFERROR(MATCH(TRIM($J322&amp;"")&amp;"|파견종료",파견수련계획!$Y$4:$Y$803,0),""))))</f>
        <v/>
      </c>
      <c r="AG322" s="10">
        <f>IF($B322="","",IF(AND(IF(OR($AC322="",인턴현황!$K$2=""),"",INDEX(인턴근무계획!$M$3:$R$402,$AC322,인턴현황!$K$2)&amp;"")&lt;&gt;"",LEFT(IF(OR($AC322="",인턴현황!$K$2=""),"",INDEX(인턴근무계획!$M$3:$R$402,$AC322,인턴현황!$K$2)&amp;""),1)&lt;&gt;"⚠"),LEFT(IF(OR($AC322="",인턴현황!$K$2=""),"",INDEX(인턴근무계획!$M$3:$R$402,$AC322,인턴현황!$K$2)&amp;""),FIND(" ",IF(OR($AC322="",인턴현황!$K$2=""),"",INDEX(인턴근무계획!$M$3:$R$402,$AC322,인턴현황!$K$2)&amp;""))-1),$AE322))</f>
        <v/>
      </c>
      <c r="AH322" s="17">
        <f>IF($B322="","",IF(TRIM($J322&amp;"")="",0,SUMPRODUCT((파견수련계획!$Q$4:$Q$803=TRIM($J322&amp;""))*(파견수련계획!$S$4:$S$803="서울병원")*파견수련계획!$W$4:$W$803))+IF($AG322="서울병원",MAX(0,DAY(EOMONTH(요약!$B$3,0))-N($X322)),0))</f>
        <v/>
      </c>
      <c r="AI322" s="17">
        <f>IF($B322="","",IF(TRIM($J322&amp;"")="",0,SUMPRODUCT((파견수련계획!$Q$4:$Q$803=TRIM($J322&amp;""))*(파견수련계획!$S$4:$S$803="구리병원")*파견수련계획!$W$4:$W$803))+IF($AG322="구리병원",MAX(0,DAY(EOMONTH(요약!$B$3,0))-N($X322)),0))</f>
        <v/>
      </c>
      <c r="AJ322" s="10">
        <f>IF(OR($B322="",TRIM($J322&amp;"")=""),"",IFERROR(MATCH(TRIM($J322&amp;"")&amp;"|월",파견수련계획!$Z$4:$Z$803,0),""))</f>
        <v/>
      </c>
      <c r="AK322" s="10">
        <f>IF(OR($B322="",TRIM($J322&amp;"")=""),"",IFERROR(MATCH(TRIM($J322&amp;"")&amp;"|다기관",파견수련계획!$AE$4:$AE$803,0),""))</f>
        <v/>
      </c>
      <c r="AL322" s="10">
        <f>IF($AK322="","","다기관 "&amp;TEXT(INDEX(파견수련계획!$AB$4:$AB$803,$AK322),"yyyy-mm-dd")&amp;"~"&amp;IF(ISNUMBER(INDEX(파견수련계획!$AC$4:$AC$803,$AK322)),TEXT(INDEX(파견수련계획!$AC$4:$AC$803,$AK322),"yyyy-mm-dd"),""))</f>
        <v/>
      </c>
    </row>
    <row r="323">
      <c r="A323" s="10">
        <f>IF(B323="","",ROW()-1)</f>
        <v/>
      </c>
      <c r="B323" s="18" t="n"/>
      <c r="C323" s="10">
        <f>IF($AB323="","",IF(INDEX(기본자료!$C$2:$C$1001,$AB323)="","",INDEX(기본자료!$C$2:$C$1001,$AB323)))</f>
        <v/>
      </c>
      <c r="D323" s="10">
        <f>IF($AB323="","",IF(INDEX(기본자료!$J$2:$J$1001,$AB323)="","",INDEX(기본자료!$J$2:$J$1001,$AB323)))</f>
        <v/>
      </c>
      <c r="E323" s="11">
        <f>IF($AB323="","",IF(INDEX(기본자료!$K$2:$K$1001,$AB323)="","",IF(NOT(ISNUMBER(INDEX(기본자료!$K$2:$K$1001,$AB323))),INDEX(기본자료!$K$2:$K$1001,$AB323),IF(INDEX(기본자료!$K$2:$K$1001,$AB323)&lt;1000000,INDEX(기본자료!$K$2:$K$1001,$AB323),IF(AND(INDEX(기본자료!$K$2:$K$1001,$AB323)&gt;=10000101,INT(MOD(INDEX(기본자료!$K$2:$K$1001,$AB323),10000)/100)&gt;=1,INT(MOD(INDEX(기본자료!$K$2:$K$1001,$AB323),10000)/100)&lt;=12,MOD(INDEX(기본자료!$K$2:$K$1001,$AB323),100)&gt;=1,MOD(INDEX(기본자료!$K$2:$K$1001,$AB323),100)&lt;=31),DATE(INT(INDEX(기본자료!$K$2:$K$1001,$AB323)/10000),INT(MOD(INDEX(기본자료!$K$2:$K$1001,$AB323),10000)/100),MOD(INDEX(기본자료!$K$2:$K$1001,$AB323),100)),INDEX(기본자료!$K$2:$K$1001,$AB323)&amp;"")))))</f>
        <v/>
      </c>
      <c r="F323" s="10">
        <f>IF($AB323="","",IF(INDEX(기본자료!$D$2:$D$1001,$AB323)="","",INDEX(기본자료!$D$2:$D$1001,$AB323)))</f>
        <v/>
      </c>
      <c r="G323" s="10">
        <f>IF($AB323="","",IF(INDEX(기본자료!$E$2:$E$1001,$AB323)="","",INDEX(기본자료!$E$2:$E$1001,$AB323)))</f>
        <v/>
      </c>
      <c r="H323" s="10">
        <f>IF($AB323="","",IF(INDEX(기본자료!$F$2:$F$1001,$AB323)="","",INDEX(기본자료!$F$2:$F$1001,$AB323)))</f>
        <v/>
      </c>
      <c r="I323" s="11">
        <f>IF($AB323="","",IF(INDEX(기본자료!$G$2:$G$1001,$AB323)="","",IF(NOT(ISNUMBER(INDEX(기본자료!$G$2:$G$1001,$AB323))),INDEX(기본자료!$G$2:$G$1001,$AB323),IF(INDEX(기본자료!$G$2:$G$1001,$AB323)&lt;1000000,INDEX(기본자료!$G$2:$G$1001,$AB323),IF(AND(INDEX(기본자료!$G$2:$G$1001,$AB323)&gt;=10000101,INT(MOD(INDEX(기본자료!$G$2:$G$1001,$AB323),10000)/100)&gt;=1,INT(MOD(INDEX(기본자료!$G$2:$G$1001,$AB323),10000)/100)&lt;=12,MOD(INDEX(기본자료!$G$2:$G$1001,$AB323),100)&gt;=1,MOD(INDEX(기본자료!$G$2:$G$1001,$AB323),100)&lt;=31),DATE(INT(INDEX(기본자료!$G$2:$G$1001,$AB323)/10000),INT(MOD(INDEX(기본자료!$G$2:$G$1001,$AB323),10000)/100),MOD(INDEX(기본자료!$G$2:$G$1001,$AB323),100)),INDEX(기본자료!$G$2:$G$1001,$AB323)&amp;"")))))</f>
        <v/>
      </c>
      <c r="J323" s="10">
        <f>IF($AB323="","",IF(INDEX(기본자료!$H$2:$H$1001,$AB323)="","",INDEX(기본자료!$H$2:$H$1001,$AB323)))</f>
        <v/>
      </c>
      <c r="K323" s="10">
        <f>IF($AB323="","",IF(INDEX(기본자료!$I$2:$I$1001,$AB323)="","",INDEX(기본자료!$I$2:$I$1001,$AB323)))</f>
        <v/>
      </c>
      <c r="L323" s="10">
        <f>IF($AB323="","",IF(INDEX(기본자료!$A$2:$A$1001,$AB323)="","",INDEX(기본자료!$A$2:$A$1001,$AB323)))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파견수련계획!$AB$4:$AB$803,$AK323),OR(NOT(ISNUMBER(INDEX(파견수련계획!$AC$4:$AC$803,$AK323))),TODAY()&lt;=INDEX(파견수련계획!$AC$4:$AC$803,$AK323))),"다기관",IF($AF323="","",INDEX(파견수련계획!$T$4:$T$803,$AF323))),IF($AF323="","",INDEX(파견수련계획!$T$4:$T$803,$AF323))))</f>
        <v/>
      </c>
      <c r="Q323" s="10">
        <f>IF($AF323="","",INDEX(파견수련계획!$S$4:$S$803,$AF323))</f>
        <v/>
      </c>
      <c r="R323" s="10">
        <f>IF($AF323="","",INDEX(파견수련계획!$U$4:$U$803,$AF323))</f>
        <v/>
      </c>
      <c r="S323" s="11">
        <f>IF($AF323="","",IF(INDEX(파견수련계획!$H$4:$H$803,$AF323)="","",INDEX(파견수련계획!$H$4:$H$803,$AF323)))</f>
        <v/>
      </c>
      <c r="T323" s="11">
        <f>IF($AF323="","",IF(INDEX(파견수련계획!$I$4:$I$803,$AF323)="","",INDEX(파견수련계획!$I$4:$I$803,$AF323)))</f>
        <v/>
      </c>
      <c r="U323" s="10">
        <f>IF($AF323="","",INDEX(파견수련계획!$X$4:$X$803,$AF323))</f>
        <v/>
      </c>
      <c r="V323" s="17">
        <f>IF($AF323="","",INDEX(파견수련계획!$V$4:$V$803,$AF323))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IF(OR($B323="",TRIM($J323&amp;"")=""),"",SUMPRODUCT((파견수련계획!$Q$4:$Q$803=TRIM($J323&amp;""))*파견수련계획!$W$4:$W$803))</f>
        <v/>
      </c>
      <c r="Y323" s="10">
        <f>IF($B323="","",IF($AG323="","",IF(IF(TRIM($J323&amp;"")="",0,SUMPRODUCT((파견수련계획!$Q$4:$Q$803=TRIM($J323&amp;""))*파견수련계획!$AD$4:$AD$803))&gt;0,$AE323,IF(N($X323)&lt;=0,$AG323,IF($AH323+$AI323=DAY(EOMONTH(요약!$B$3,0)),IF(AND($AH323&gt;=요약!$E$3,$AI323&lt;요약!$E$3),"서울병원",IF(AND($AI323&gt;=요약!$E$3,$AH323&lt;요약!$E$3),"구리병원","⚠15일 판정불가(서울 "&amp;$AH323&amp;"일/구리 "&amp;$AI323&amp;"일)")),IF($AJ323="",$AE323,IF(INDEX(파견수련계획!$T$4:$T$803,$AJ323)="통합수련",INDEX(파견수련계획!$S$4:$S$803,$AJ323),$AE323)))))))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입력",IF(IF(TRIM($J323&amp;"")="",0,SUMPRODUCT((파견수련계획!$Q$4:$Q$803=TRIM($J323&amp;""))*(파견수련계획!$AA$4:$AA$803&lt;&gt;"")))&gt;0,"파견수련계획 입력오류 확인",IF(LEFT($Y323,1)="⚠","서울·구리 15일 판정 불가(양쪽 모두 이상/미만)",IF(IF($AC323="",0,N(INDEX(인턴근무계획!$T$3:$T$402,$AC323)))&gt;0,"인턴계획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IF($B323="","",IFERROR(MATCH($B323,기본자료!$B$2:$B$1001,0),IFERROR(MATCH($B323&amp;"",기본자료!$B$2:$B$1001,0),IFERROR(MATCH(VALUE($B323),기본자료!$B$2:$B$1001,0),""))))</f>
        <v/>
      </c>
      <c r="AC323" s="10">
        <f>IF($B323="","",IFERROR(MATCH($B323,인턴근무계획!$D$3:$D$402,0),IFERROR(MATCH($B323&amp;"",인턴근무계획!$D$3:$D$402,0),IFERROR(MATCH(VALUE($B323),인턴근무계획!$D$3:$D$402,0),""))))</f>
        <v/>
      </c>
      <c r="AD323" s="10">
        <f>IF(OR($AC323="",인턴현황!$G$3=""),"",INDEX(인턴근무계획!$M$3:$R$402,$AC323,인턴현황!$G$3)&amp;"")</f>
        <v/>
      </c>
      <c r="AE323" s="10">
        <f>IF($B323="","",IF($M323&lt;&gt;"",$M323,IF($AF323&lt;&gt;"",IF(LEFT(INDEX(파견수련계획!$R$4:$R$803,$AF323),1)&lt;&gt;"⚠",INDEX(파견수련계획!$R$4:$R$803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파견수련계획!$Y$4:$Y$803,0),IFERROR(MATCH(TRIM($J323&amp;"")&amp;"|파견예정",파견수련계획!$Y$4:$Y$803,0),IFERROR(MATCH(TRIM($J323&amp;"")&amp;"|파견종료",파견수련계획!$Y$4:$Y$803,0),""))))</f>
        <v/>
      </c>
      <c r="AG323" s="10">
        <f>IF($B323="","",IF(AND(IF(OR($AC323="",인턴현황!$K$2=""),"",INDEX(인턴근무계획!$M$3:$R$402,$AC323,인턴현황!$K$2)&amp;"")&lt;&gt;"",LEFT(IF(OR($AC323="",인턴현황!$K$2=""),"",INDEX(인턴근무계획!$M$3:$R$402,$AC323,인턴현황!$K$2)&amp;""),1)&lt;&gt;"⚠"),LEFT(IF(OR($AC323="",인턴현황!$K$2=""),"",INDEX(인턴근무계획!$M$3:$R$402,$AC323,인턴현황!$K$2)&amp;""),FIND(" ",IF(OR($AC323="",인턴현황!$K$2=""),"",INDEX(인턴근무계획!$M$3:$R$402,$AC323,인턴현황!$K$2)&amp;""))-1),$AE323))</f>
        <v/>
      </c>
      <c r="AH323" s="17">
        <f>IF($B323="","",IF(TRIM($J323&amp;"")="",0,SUMPRODUCT((파견수련계획!$Q$4:$Q$803=TRIM($J323&amp;""))*(파견수련계획!$S$4:$S$803="서울병원")*파견수련계획!$W$4:$W$803))+IF($AG323="서울병원",MAX(0,DAY(EOMONTH(요약!$B$3,0))-N($X323)),0))</f>
        <v/>
      </c>
      <c r="AI323" s="17">
        <f>IF($B323="","",IF(TRIM($J323&amp;"")="",0,SUMPRODUCT((파견수련계획!$Q$4:$Q$803=TRIM($J323&amp;""))*(파견수련계획!$S$4:$S$803="구리병원")*파견수련계획!$W$4:$W$803))+IF($AG323="구리병원",MAX(0,DAY(EOMONTH(요약!$B$3,0))-N($X323)),0))</f>
        <v/>
      </c>
      <c r="AJ323" s="10">
        <f>IF(OR($B323="",TRIM($J323&amp;"")=""),"",IFERROR(MATCH(TRIM($J323&amp;"")&amp;"|월",파견수련계획!$Z$4:$Z$803,0),""))</f>
        <v/>
      </c>
      <c r="AK323" s="10">
        <f>IF(OR($B323="",TRIM($J323&amp;"")=""),"",IFERROR(MATCH(TRIM($J323&amp;"")&amp;"|다기관",파견수련계획!$AE$4:$AE$803,0),""))</f>
        <v/>
      </c>
      <c r="AL323" s="10">
        <f>IF($AK323="","","다기관 "&amp;TEXT(INDEX(파견수련계획!$AB$4:$AB$803,$AK323),"yyyy-mm-dd")&amp;"~"&amp;IF(ISNUMBER(INDEX(파견수련계획!$AC$4:$AC$803,$AK323)),TEXT(INDEX(파견수련계획!$AC$4:$AC$803,$AK323),"yyyy-mm-dd"),""))</f>
        <v/>
      </c>
    </row>
    <row r="324">
      <c r="A324" s="10">
        <f>IF(B324="","",ROW()-1)</f>
        <v/>
      </c>
      <c r="B324" s="18" t="n"/>
      <c r="C324" s="10">
        <f>IF($AB324="","",IF(INDEX(기본자료!$C$2:$C$1001,$AB324)="","",INDEX(기본자료!$C$2:$C$1001,$AB324)))</f>
        <v/>
      </c>
      <c r="D324" s="10">
        <f>IF($AB324="","",IF(INDEX(기본자료!$J$2:$J$1001,$AB324)="","",INDEX(기본자료!$J$2:$J$1001,$AB324)))</f>
        <v/>
      </c>
      <c r="E324" s="11">
        <f>IF($AB324="","",IF(INDEX(기본자료!$K$2:$K$1001,$AB324)="","",IF(NOT(ISNUMBER(INDEX(기본자료!$K$2:$K$1001,$AB324))),INDEX(기본자료!$K$2:$K$1001,$AB324),IF(INDEX(기본자료!$K$2:$K$1001,$AB324)&lt;1000000,INDEX(기본자료!$K$2:$K$1001,$AB324),IF(AND(INDEX(기본자료!$K$2:$K$1001,$AB324)&gt;=10000101,INT(MOD(INDEX(기본자료!$K$2:$K$1001,$AB324),10000)/100)&gt;=1,INT(MOD(INDEX(기본자료!$K$2:$K$1001,$AB324),10000)/100)&lt;=12,MOD(INDEX(기본자료!$K$2:$K$1001,$AB324),100)&gt;=1,MOD(INDEX(기본자료!$K$2:$K$1001,$AB324),100)&lt;=31),DATE(INT(INDEX(기본자료!$K$2:$K$1001,$AB324)/10000),INT(MOD(INDEX(기본자료!$K$2:$K$1001,$AB324),10000)/100),MOD(INDEX(기본자료!$K$2:$K$1001,$AB324),100)),INDEX(기본자료!$K$2:$K$1001,$AB324)&amp;"")))))</f>
        <v/>
      </c>
      <c r="F324" s="10">
        <f>IF($AB324="","",IF(INDEX(기본자료!$D$2:$D$1001,$AB324)="","",INDEX(기본자료!$D$2:$D$1001,$AB324)))</f>
        <v/>
      </c>
      <c r="G324" s="10">
        <f>IF($AB324="","",IF(INDEX(기본자료!$E$2:$E$1001,$AB324)="","",INDEX(기본자료!$E$2:$E$1001,$AB324)))</f>
        <v/>
      </c>
      <c r="H324" s="10">
        <f>IF($AB324="","",IF(INDEX(기본자료!$F$2:$F$1001,$AB324)="","",INDEX(기본자료!$F$2:$F$1001,$AB324)))</f>
        <v/>
      </c>
      <c r="I324" s="11">
        <f>IF($AB324="","",IF(INDEX(기본자료!$G$2:$G$1001,$AB324)="","",IF(NOT(ISNUMBER(INDEX(기본자료!$G$2:$G$1001,$AB324))),INDEX(기본자료!$G$2:$G$1001,$AB324),IF(INDEX(기본자료!$G$2:$G$1001,$AB324)&lt;1000000,INDEX(기본자료!$G$2:$G$1001,$AB324),IF(AND(INDEX(기본자료!$G$2:$G$1001,$AB324)&gt;=10000101,INT(MOD(INDEX(기본자료!$G$2:$G$1001,$AB324),10000)/100)&gt;=1,INT(MOD(INDEX(기본자료!$G$2:$G$1001,$AB324),10000)/100)&lt;=12,MOD(INDEX(기본자료!$G$2:$G$1001,$AB324),100)&gt;=1,MOD(INDEX(기본자료!$G$2:$G$1001,$AB324),100)&lt;=31),DATE(INT(INDEX(기본자료!$G$2:$G$1001,$AB324)/10000),INT(MOD(INDEX(기본자료!$G$2:$G$1001,$AB324),10000)/100),MOD(INDEX(기본자료!$G$2:$G$1001,$AB324),100)),INDEX(기본자료!$G$2:$G$1001,$AB324)&amp;"")))))</f>
        <v/>
      </c>
      <c r="J324" s="10">
        <f>IF($AB324="","",IF(INDEX(기본자료!$H$2:$H$1001,$AB324)="","",INDEX(기본자료!$H$2:$H$1001,$AB324)))</f>
        <v/>
      </c>
      <c r="K324" s="10">
        <f>IF($AB324="","",IF(INDEX(기본자료!$I$2:$I$1001,$AB324)="","",INDEX(기본자료!$I$2:$I$1001,$AB324)))</f>
        <v/>
      </c>
      <c r="L324" s="10">
        <f>IF($AB324="","",IF(INDEX(기본자료!$A$2:$A$1001,$AB324)="","",INDEX(기본자료!$A$2:$A$1001,$AB324)))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파견수련계획!$AB$4:$AB$803,$AK324),OR(NOT(ISNUMBER(INDEX(파견수련계획!$AC$4:$AC$803,$AK324))),TODAY()&lt;=INDEX(파견수련계획!$AC$4:$AC$803,$AK324))),"다기관",IF($AF324="","",INDEX(파견수련계획!$T$4:$T$803,$AF324))),IF($AF324="","",INDEX(파견수련계획!$T$4:$T$803,$AF324))))</f>
        <v/>
      </c>
      <c r="Q324" s="10">
        <f>IF($AF324="","",INDEX(파견수련계획!$S$4:$S$803,$AF324))</f>
        <v/>
      </c>
      <c r="R324" s="10">
        <f>IF($AF324="","",INDEX(파견수련계획!$U$4:$U$803,$AF324))</f>
        <v/>
      </c>
      <c r="S324" s="11">
        <f>IF($AF324="","",IF(INDEX(파견수련계획!$H$4:$H$803,$AF324)="","",INDEX(파견수련계획!$H$4:$H$803,$AF324)))</f>
        <v/>
      </c>
      <c r="T324" s="11">
        <f>IF($AF324="","",IF(INDEX(파견수련계획!$I$4:$I$803,$AF324)="","",INDEX(파견수련계획!$I$4:$I$803,$AF324)))</f>
        <v/>
      </c>
      <c r="U324" s="10">
        <f>IF($AF324="","",INDEX(파견수련계획!$X$4:$X$803,$AF324))</f>
        <v/>
      </c>
      <c r="V324" s="17">
        <f>IF($AF324="","",INDEX(파견수련계획!$V$4:$V$803,$AF324))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IF(OR($B324="",TRIM($J324&amp;"")=""),"",SUMPRODUCT((파견수련계획!$Q$4:$Q$803=TRIM($J324&amp;""))*파견수련계획!$W$4:$W$803))</f>
        <v/>
      </c>
      <c r="Y324" s="10">
        <f>IF($B324="","",IF($AG324="","",IF(IF(TRIM($J324&amp;"")="",0,SUMPRODUCT((파견수련계획!$Q$4:$Q$803=TRIM($J324&amp;""))*파견수련계획!$AD$4:$AD$803))&gt;0,$AE324,IF(N($X324)&lt;=0,$AG324,IF($AH324+$AI324=DAY(EOMONTH(요약!$B$3,0)),IF(AND($AH324&gt;=요약!$E$3,$AI324&lt;요약!$E$3),"서울병원",IF(AND($AI324&gt;=요약!$E$3,$AH324&lt;요약!$E$3),"구리병원","⚠15일 판정불가(서울 "&amp;$AH324&amp;"일/구리 "&amp;$AI324&amp;"일)")),IF($AJ324="",$AE324,IF(INDEX(파견수련계획!$T$4:$T$803,$AJ324)="통합수련",INDEX(파견수련계획!$S$4:$S$803,$AJ324),$AE324)))))))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입력",IF(IF(TRIM($J324&amp;"")="",0,SUMPRODUCT((파견수련계획!$Q$4:$Q$803=TRIM($J324&amp;""))*(파견수련계획!$AA$4:$AA$803&lt;&gt;"")))&gt;0,"파견수련계획 입력오류 확인",IF(LEFT($Y324,1)="⚠","서울·구리 15일 판정 불가(양쪽 모두 이상/미만)",IF(IF($AC324="",0,N(INDEX(인턴근무계획!$T$3:$T$402,$AC324)))&gt;0,"인턴계획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IF($B324="","",IFERROR(MATCH($B324,기본자료!$B$2:$B$1001,0),IFERROR(MATCH($B324&amp;"",기본자료!$B$2:$B$1001,0),IFERROR(MATCH(VALUE($B324),기본자료!$B$2:$B$1001,0),""))))</f>
        <v/>
      </c>
      <c r="AC324" s="10">
        <f>IF($B324="","",IFERROR(MATCH($B324,인턴근무계획!$D$3:$D$402,0),IFERROR(MATCH($B324&amp;"",인턴근무계획!$D$3:$D$402,0),IFERROR(MATCH(VALUE($B324),인턴근무계획!$D$3:$D$402,0),""))))</f>
        <v/>
      </c>
      <c r="AD324" s="10">
        <f>IF(OR($AC324="",인턴현황!$G$3=""),"",INDEX(인턴근무계획!$M$3:$R$402,$AC324,인턴현황!$G$3)&amp;"")</f>
        <v/>
      </c>
      <c r="AE324" s="10">
        <f>IF($B324="","",IF($M324&lt;&gt;"",$M324,IF($AF324&lt;&gt;"",IF(LEFT(INDEX(파견수련계획!$R$4:$R$803,$AF324),1)&lt;&gt;"⚠",INDEX(파견수련계획!$R$4:$R$803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파견수련계획!$Y$4:$Y$803,0),IFERROR(MATCH(TRIM($J324&amp;"")&amp;"|파견예정",파견수련계획!$Y$4:$Y$803,0),IFERROR(MATCH(TRIM($J324&amp;"")&amp;"|파견종료",파견수련계획!$Y$4:$Y$803,0),""))))</f>
        <v/>
      </c>
      <c r="AG324" s="10">
        <f>IF($B324="","",IF(AND(IF(OR($AC324="",인턴현황!$K$2=""),"",INDEX(인턴근무계획!$M$3:$R$402,$AC324,인턴현황!$K$2)&amp;"")&lt;&gt;"",LEFT(IF(OR($AC324="",인턴현황!$K$2=""),"",INDEX(인턴근무계획!$M$3:$R$402,$AC324,인턴현황!$K$2)&amp;""),1)&lt;&gt;"⚠"),LEFT(IF(OR($AC324="",인턴현황!$K$2=""),"",INDEX(인턴근무계획!$M$3:$R$402,$AC324,인턴현황!$K$2)&amp;""),FIND(" ",IF(OR($AC324="",인턴현황!$K$2=""),"",INDEX(인턴근무계획!$M$3:$R$402,$AC324,인턴현황!$K$2)&amp;""))-1),$AE324))</f>
        <v/>
      </c>
      <c r="AH324" s="17">
        <f>IF($B324="","",IF(TRIM($J324&amp;"")="",0,SUMPRODUCT((파견수련계획!$Q$4:$Q$803=TRIM($J324&amp;""))*(파견수련계획!$S$4:$S$803="서울병원")*파견수련계획!$W$4:$W$803))+IF($AG324="서울병원",MAX(0,DAY(EOMONTH(요약!$B$3,0))-N($X324)),0))</f>
        <v/>
      </c>
      <c r="AI324" s="17">
        <f>IF($B324="","",IF(TRIM($J324&amp;"")="",0,SUMPRODUCT((파견수련계획!$Q$4:$Q$803=TRIM($J324&amp;""))*(파견수련계획!$S$4:$S$803="구리병원")*파견수련계획!$W$4:$W$803))+IF($AG324="구리병원",MAX(0,DAY(EOMONTH(요약!$B$3,0))-N($X324)),0))</f>
        <v/>
      </c>
      <c r="AJ324" s="10">
        <f>IF(OR($B324="",TRIM($J324&amp;"")=""),"",IFERROR(MATCH(TRIM($J324&amp;"")&amp;"|월",파견수련계획!$Z$4:$Z$803,0),""))</f>
        <v/>
      </c>
      <c r="AK324" s="10">
        <f>IF(OR($B324="",TRIM($J324&amp;"")=""),"",IFERROR(MATCH(TRIM($J324&amp;"")&amp;"|다기관",파견수련계획!$AE$4:$AE$803,0),""))</f>
        <v/>
      </c>
      <c r="AL324" s="10">
        <f>IF($AK324="","","다기관 "&amp;TEXT(INDEX(파견수련계획!$AB$4:$AB$803,$AK324),"yyyy-mm-dd")&amp;"~"&amp;IF(ISNUMBER(INDEX(파견수련계획!$AC$4:$AC$803,$AK324)),TEXT(INDEX(파견수련계획!$AC$4:$AC$803,$AK324),"yyyy-mm-dd"),""))</f>
        <v/>
      </c>
    </row>
    <row r="325">
      <c r="A325" s="10">
        <f>IF(B325="","",ROW()-1)</f>
        <v/>
      </c>
      <c r="B325" s="18" t="n"/>
      <c r="C325" s="10">
        <f>IF($AB325="","",IF(INDEX(기본자료!$C$2:$C$1001,$AB325)="","",INDEX(기본자료!$C$2:$C$1001,$AB325)))</f>
        <v/>
      </c>
      <c r="D325" s="10">
        <f>IF($AB325="","",IF(INDEX(기본자료!$J$2:$J$1001,$AB325)="","",INDEX(기본자료!$J$2:$J$1001,$AB325)))</f>
        <v/>
      </c>
      <c r="E325" s="11">
        <f>IF($AB325="","",IF(INDEX(기본자료!$K$2:$K$1001,$AB325)="","",IF(NOT(ISNUMBER(INDEX(기본자료!$K$2:$K$1001,$AB325))),INDEX(기본자료!$K$2:$K$1001,$AB325),IF(INDEX(기본자료!$K$2:$K$1001,$AB325)&lt;1000000,INDEX(기본자료!$K$2:$K$1001,$AB325),IF(AND(INDEX(기본자료!$K$2:$K$1001,$AB325)&gt;=10000101,INT(MOD(INDEX(기본자료!$K$2:$K$1001,$AB325),10000)/100)&gt;=1,INT(MOD(INDEX(기본자료!$K$2:$K$1001,$AB325),10000)/100)&lt;=12,MOD(INDEX(기본자료!$K$2:$K$1001,$AB325),100)&gt;=1,MOD(INDEX(기본자료!$K$2:$K$1001,$AB325),100)&lt;=31),DATE(INT(INDEX(기본자료!$K$2:$K$1001,$AB325)/10000),INT(MOD(INDEX(기본자료!$K$2:$K$1001,$AB325),10000)/100),MOD(INDEX(기본자료!$K$2:$K$1001,$AB325),100)),INDEX(기본자료!$K$2:$K$1001,$AB325)&amp;"")))))</f>
        <v/>
      </c>
      <c r="F325" s="10">
        <f>IF($AB325="","",IF(INDEX(기본자료!$D$2:$D$1001,$AB325)="","",INDEX(기본자료!$D$2:$D$1001,$AB325)))</f>
        <v/>
      </c>
      <c r="G325" s="10">
        <f>IF($AB325="","",IF(INDEX(기본자료!$E$2:$E$1001,$AB325)="","",INDEX(기본자료!$E$2:$E$1001,$AB325)))</f>
        <v/>
      </c>
      <c r="H325" s="10">
        <f>IF($AB325="","",IF(INDEX(기본자료!$F$2:$F$1001,$AB325)="","",INDEX(기본자료!$F$2:$F$1001,$AB325)))</f>
        <v/>
      </c>
      <c r="I325" s="11">
        <f>IF($AB325="","",IF(INDEX(기본자료!$G$2:$G$1001,$AB325)="","",IF(NOT(ISNUMBER(INDEX(기본자료!$G$2:$G$1001,$AB325))),INDEX(기본자료!$G$2:$G$1001,$AB325),IF(INDEX(기본자료!$G$2:$G$1001,$AB325)&lt;1000000,INDEX(기본자료!$G$2:$G$1001,$AB325),IF(AND(INDEX(기본자료!$G$2:$G$1001,$AB325)&gt;=10000101,INT(MOD(INDEX(기본자료!$G$2:$G$1001,$AB325),10000)/100)&gt;=1,INT(MOD(INDEX(기본자료!$G$2:$G$1001,$AB325),10000)/100)&lt;=12,MOD(INDEX(기본자료!$G$2:$G$1001,$AB325),100)&gt;=1,MOD(INDEX(기본자료!$G$2:$G$1001,$AB325),100)&lt;=31),DATE(INT(INDEX(기본자료!$G$2:$G$1001,$AB325)/10000),INT(MOD(INDEX(기본자료!$G$2:$G$1001,$AB325),10000)/100),MOD(INDEX(기본자료!$G$2:$G$1001,$AB325),100)),INDEX(기본자료!$G$2:$G$1001,$AB325)&amp;"")))))</f>
        <v/>
      </c>
      <c r="J325" s="10">
        <f>IF($AB325="","",IF(INDEX(기본자료!$H$2:$H$1001,$AB325)="","",INDEX(기본자료!$H$2:$H$1001,$AB325)))</f>
        <v/>
      </c>
      <c r="K325" s="10">
        <f>IF($AB325="","",IF(INDEX(기본자료!$I$2:$I$1001,$AB325)="","",INDEX(기본자료!$I$2:$I$1001,$AB325)))</f>
        <v/>
      </c>
      <c r="L325" s="10">
        <f>IF($AB325="","",IF(INDEX(기본자료!$A$2:$A$1001,$AB325)="","",INDEX(기본자료!$A$2:$A$1001,$AB325)))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파견수련계획!$AB$4:$AB$803,$AK325),OR(NOT(ISNUMBER(INDEX(파견수련계획!$AC$4:$AC$803,$AK325))),TODAY()&lt;=INDEX(파견수련계획!$AC$4:$AC$803,$AK325))),"다기관",IF($AF325="","",INDEX(파견수련계획!$T$4:$T$803,$AF325))),IF($AF325="","",INDEX(파견수련계획!$T$4:$T$803,$AF325))))</f>
        <v/>
      </c>
      <c r="Q325" s="10">
        <f>IF($AF325="","",INDEX(파견수련계획!$S$4:$S$803,$AF325))</f>
        <v/>
      </c>
      <c r="R325" s="10">
        <f>IF($AF325="","",INDEX(파견수련계획!$U$4:$U$803,$AF325))</f>
        <v/>
      </c>
      <c r="S325" s="11">
        <f>IF($AF325="","",IF(INDEX(파견수련계획!$H$4:$H$803,$AF325)="","",INDEX(파견수련계획!$H$4:$H$803,$AF325)))</f>
        <v/>
      </c>
      <c r="T325" s="11">
        <f>IF($AF325="","",IF(INDEX(파견수련계획!$I$4:$I$803,$AF325)="","",INDEX(파견수련계획!$I$4:$I$803,$AF325)))</f>
        <v/>
      </c>
      <c r="U325" s="10">
        <f>IF($AF325="","",INDEX(파견수련계획!$X$4:$X$803,$AF325))</f>
        <v/>
      </c>
      <c r="V325" s="17">
        <f>IF($AF325="","",INDEX(파견수련계획!$V$4:$V$803,$AF325))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IF(OR($B325="",TRIM($J325&amp;"")=""),"",SUMPRODUCT((파견수련계획!$Q$4:$Q$803=TRIM($J325&amp;""))*파견수련계획!$W$4:$W$803))</f>
        <v/>
      </c>
      <c r="Y325" s="10">
        <f>IF($B325="","",IF($AG325="","",IF(IF(TRIM($J325&amp;"")="",0,SUMPRODUCT((파견수련계획!$Q$4:$Q$803=TRIM($J325&amp;""))*파견수련계획!$AD$4:$AD$803))&gt;0,$AE325,IF(N($X325)&lt;=0,$AG325,IF($AH325+$AI325=DAY(EOMONTH(요약!$B$3,0)),IF(AND($AH325&gt;=요약!$E$3,$AI325&lt;요약!$E$3),"서울병원",IF(AND($AI325&gt;=요약!$E$3,$AH325&lt;요약!$E$3),"구리병원","⚠15일 판정불가(서울 "&amp;$AH325&amp;"일/구리 "&amp;$AI325&amp;"일)")),IF($AJ325="",$AE325,IF(INDEX(파견수련계획!$T$4:$T$803,$AJ325)="통합수련",INDEX(파견수련계획!$S$4:$S$803,$AJ325),$AE325)))))))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입력",IF(IF(TRIM($J325&amp;"")="",0,SUMPRODUCT((파견수련계획!$Q$4:$Q$803=TRIM($J325&amp;""))*(파견수련계획!$AA$4:$AA$803&lt;&gt;"")))&gt;0,"파견수련계획 입력오류 확인",IF(LEFT($Y325,1)="⚠","서울·구리 15일 판정 불가(양쪽 모두 이상/미만)",IF(IF($AC325="",0,N(INDEX(인턴근무계획!$T$3:$T$402,$AC325)))&gt;0,"인턴계획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IF($B325="","",IFERROR(MATCH($B325,기본자료!$B$2:$B$1001,0),IFERROR(MATCH($B325&amp;"",기본자료!$B$2:$B$1001,0),IFERROR(MATCH(VALUE($B325),기본자료!$B$2:$B$1001,0),""))))</f>
        <v/>
      </c>
      <c r="AC325" s="10">
        <f>IF($B325="","",IFERROR(MATCH($B325,인턴근무계획!$D$3:$D$402,0),IFERROR(MATCH($B325&amp;"",인턴근무계획!$D$3:$D$402,0),IFERROR(MATCH(VALUE($B325),인턴근무계획!$D$3:$D$402,0),""))))</f>
        <v/>
      </c>
      <c r="AD325" s="10">
        <f>IF(OR($AC325="",인턴현황!$G$3=""),"",INDEX(인턴근무계획!$M$3:$R$402,$AC325,인턴현황!$G$3)&amp;"")</f>
        <v/>
      </c>
      <c r="AE325" s="10">
        <f>IF($B325="","",IF($M325&lt;&gt;"",$M325,IF($AF325&lt;&gt;"",IF(LEFT(INDEX(파견수련계획!$R$4:$R$803,$AF325),1)&lt;&gt;"⚠",INDEX(파견수련계획!$R$4:$R$803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파견수련계획!$Y$4:$Y$803,0),IFERROR(MATCH(TRIM($J325&amp;"")&amp;"|파견예정",파견수련계획!$Y$4:$Y$803,0),IFERROR(MATCH(TRIM($J325&amp;"")&amp;"|파견종료",파견수련계획!$Y$4:$Y$803,0),""))))</f>
        <v/>
      </c>
      <c r="AG325" s="10">
        <f>IF($B325="","",IF(AND(IF(OR($AC325="",인턴현황!$K$2=""),"",INDEX(인턴근무계획!$M$3:$R$402,$AC325,인턴현황!$K$2)&amp;"")&lt;&gt;"",LEFT(IF(OR($AC325="",인턴현황!$K$2=""),"",INDEX(인턴근무계획!$M$3:$R$402,$AC325,인턴현황!$K$2)&amp;""),1)&lt;&gt;"⚠"),LEFT(IF(OR($AC325="",인턴현황!$K$2=""),"",INDEX(인턴근무계획!$M$3:$R$402,$AC325,인턴현황!$K$2)&amp;""),FIND(" ",IF(OR($AC325="",인턴현황!$K$2=""),"",INDEX(인턴근무계획!$M$3:$R$402,$AC325,인턴현황!$K$2)&amp;""))-1),$AE325))</f>
        <v/>
      </c>
      <c r="AH325" s="17">
        <f>IF($B325="","",IF(TRIM($J325&amp;"")="",0,SUMPRODUCT((파견수련계획!$Q$4:$Q$803=TRIM($J325&amp;""))*(파견수련계획!$S$4:$S$803="서울병원")*파견수련계획!$W$4:$W$803))+IF($AG325="서울병원",MAX(0,DAY(EOMONTH(요약!$B$3,0))-N($X325)),0))</f>
        <v/>
      </c>
      <c r="AI325" s="17">
        <f>IF($B325="","",IF(TRIM($J325&amp;"")="",0,SUMPRODUCT((파견수련계획!$Q$4:$Q$803=TRIM($J325&amp;""))*(파견수련계획!$S$4:$S$803="구리병원")*파견수련계획!$W$4:$W$803))+IF($AG325="구리병원",MAX(0,DAY(EOMONTH(요약!$B$3,0))-N($X325)),0))</f>
        <v/>
      </c>
      <c r="AJ325" s="10">
        <f>IF(OR($B325="",TRIM($J325&amp;"")=""),"",IFERROR(MATCH(TRIM($J325&amp;"")&amp;"|월",파견수련계획!$Z$4:$Z$803,0),""))</f>
        <v/>
      </c>
      <c r="AK325" s="10">
        <f>IF(OR($B325="",TRIM($J325&amp;"")=""),"",IFERROR(MATCH(TRIM($J325&amp;"")&amp;"|다기관",파견수련계획!$AE$4:$AE$803,0),""))</f>
        <v/>
      </c>
      <c r="AL325" s="10">
        <f>IF($AK325="","","다기관 "&amp;TEXT(INDEX(파견수련계획!$AB$4:$AB$803,$AK325),"yyyy-mm-dd")&amp;"~"&amp;IF(ISNUMBER(INDEX(파견수련계획!$AC$4:$AC$803,$AK325)),TEXT(INDEX(파견수련계획!$AC$4:$AC$803,$AK325),"yyyy-mm-dd"),""))</f>
        <v/>
      </c>
    </row>
    <row r="326">
      <c r="A326" s="10">
        <f>IF(B326="","",ROW()-1)</f>
        <v/>
      </c>
      <c r="B326" s="18" t="n"/>
      <c r="C326" s="10">
        <f>IF($AB326="","",IF(INDEX(기본자료!$C$2:$C$1001,$AB326)="","",INDEX(기본자료!$C$2:$C$1001,$AB326)))</f>
        <v/>
      </c>
      <c r="D326" s="10">
        <f>IF($AB326="","",IF(INDEX(기본자료!$J$2:$J$1001,$AB326)="","",INDEX(기본자료!$J$2:$J$1001,$AB326)))</f>
        <v/>
      </c>
      <c r="E326" s="11">
        <f>IF($AB326="","",IF(INDEX(기본자료!$K$2:$K$1001,$AB326)="","",IF(NOT(ISNUMBER(INDEX(기본자료!$K$2:$K$1001,$AB326))),INDEX(기본자료!$K$2:$K$1001,$AB326),IF(INDEX(기본자료!$K$2:$K$1001,$AB326)&lt;1000000,INDEX(기본자료!$K$2:$K$1001,$AB326),IF(AND(INDEX(기본자료!$K$2:$K$1001,$AB326)&gt;=10000101,INT(MOD(INDEX(기본자료!$K$2:$K$1001,$AB326),10000)/100)&gt;=1,INT(MOD(INDEX(기본자료!$K$2:$K$1001,$AB326),10000)/100)&lt;=12,MOD(INDEX(기본자료!$K$2:$K$1001,$AB326),100)&gt;=1,MOD(INDEX(기본자료!$K$2:$K$1001,$AB326),100)&lt;=31),DATE(INT(INDEX(기본자료!$K$2:$K$1001,$AB326)/10000),INT(MOD(INDEX(기본자료!$K$2:$K$1001,$AB326),10000)/100),MOD(INDEX(기본자료!$K$2:$K$1001,$AB326),100)),INDEX(기본자료!$K$2:$K$1001,$AB326)&amp;"")))))</f>
        <v/>
      </c>
      <c r="F326" s="10">
        <f>IF($AB326="","",IF(INDEX(기본자료!$D$2:$D$1001,$AB326)="","",INDEX(기본자료!$D$2:$D$1001,$AB326)))</f>
        <v/>
      </c>
      <c r="G326" s="10">
        <f>IF($AB326="","",IF(INDEX(기본자료!$E$2:$E$1001,$AB326)="","",INDEX(기본자료!$E$2:$E$1001,$AB326)))</f>
        <v/>
      </c>
      <c r="H326" s="10">
        <f>IF($AB326="","",IF(INDEX(기본자료!$F$2:$F$1001,$AB326)="","",INDEX(기본자료!$F$2:$F$1001,$AB326)))</f>
        <v/>
      </c>
      <c r="I326" s="11">
        <f>IF($AB326="","",IF(INDEX(기본자료!$G$2:$G$1001,$AB326)="","",IF(NOT(ISNUMBER(INDEX(기본자료!$G$2:$G$1001,$AB326))),INDEX(기본자료!$G$2:$G$1001,$AB326),IF(INDEX(기본자료!$G$2:$G$1001,$AB326)&lt;1000000,INDEX(기본자료!$G$2:$G$1001,$AB326),IF(AND(INDEX(기본자료!$G$2:$G$1001,$AB326)&gt;=10000101,INT(MOD(INDEX(기본자료!$G$2:$G$1001,$AB326),10000)/100)&gt;=1,INT(MOD(INDEX(기본자료!$G$2:$G$1001,$AB326),10000)/100)&lt;=12,MOD(INDEX(기본자료!$G$2:$G$1001,$AB326),100)&gt;=1,MOD(INDEX(기본자료!$G$2:$G$1001,$AB326),100)&lt;=31),DATE(INT(INDEX(기본자료!$G$2:$G$1001,$AB326)/10000),INT(MOD(INDEX(기본자료!$G$2:$G$1001,$AB326),10000)/100),MOD(INDEX(기본자료!$G$2:$G$1001,$AB326),100)),INDEX(기본자료!$G$2:$G$1001,$AB326)&amp;"")))))</f>
        <v/>
      </c>
      <c r="J326" s="10">
        <f>IF($AB326="","",IF(INDEX(기본자료!$H$2:$H$1001,$AB326)="","",INDEX(기본자료!$H$2:$H$1001,$AB326)))</f>
        <v/>
      </c>
      <c r="K326" s="10">
        <f>IF($AB326="","",IF(INDEX(기본자료!$I$2:$I$1001,$AB326)="","",INDEX(기본자료!$I$2:$I$1001,$AB326)))</f>
        <v/>
      </c>
      <c r="L326" s="10">
        <f>IF($AB326="","",IF(INDEX(기본자료!$A$2:$A$1001,$AB326)="","",INDEX(기본자료!$A$2:$A$1001,$AB326)))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파견수련계획!$AB$4:$AB$803,$AK326),OR(NOT(ISNUMBER(INDEX(파견수련계획!$AC$4:$AC$803,$AK326))),TODAY()&lt;=INDEX(파견수련계획!$AC$4:$AC$803,$AK326))),"다기관",IF($AF326="","",INDEX(파견수련계획!$T$4:$T$803,$AF326))),IF($AF326="","",INDEX(파견수련계획!$T$4:$T$803,$AF326))))</f>
        <v/>
      </c>
      <c r="Q326" s="10">
        <f>IF($AF326="","",INDEX(파견수련계획!$S$4:$S$803,$AF326))</f>
        <v/>
      </c>
      <c r="R326" s="10">
        <f>IF($AF326="","",INDEX(파견수련계획!$U$4:$U$803,$AF326))</f>
        <v/>
      </c>
      <c r="S326" s="11">
        <f>IF($AF326="","",IF(INDEX(파견수련계획!$H$4:$H$803,$AF326)="","",INDEX(파견수련계획!$H$4:$H$803,$AF326)))</f>
        <v/>
      </c>
      <c r="T326" s="11">
        <f>IF($AF326="","",IF(INDEX(파견수련계획!$I$4:$I$803,$AF326)="","",INDEX(파견수련계획!$I$4:$I$803,$AF326)))</f>
        <v/>
      </c>
      <c r="U326" s="10">
        <f>IF($AF326="","",INDEX(파견수련계획!$X$4:$X$803,$AF326))</f>
        <v/>
      </c>
      <c r="V326" s="17">
        <f>IF($AF326="","",INDEX(파견수련계획!$V$4:$V$803,$AF326))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IF(OR($B326="",TRIM($J326&amp;"")=""),"",SUMPRODUCT((파견수련계획!$Q$4:$Q$803=TRIM($J326&amp;""))*파견수련계획!$W$4:$W$803))</f>
        <v/>
      </c>
      <c r="Y326" s="10">
        <f>IF($B326="","",IF($AG326="","",IF(IF(TRIM($J326&amp;"")="",0,SUMPRODUCT((파견수련계획!$Q$4:$Q$803=TRIM($J326&amp;""))*파견수련계획!$AD$4:$AD$803))&gt;0,$AE326,IF(N($X326)&lt;=0,$AG326,IF($AH326+$AI326=DAY(EOMONTH(요약!$B$3,0)),IF(AND($AH326&gt;=요약!$E$3,$AI326&lt;요약!$E$3),"서울병원",IF(AND($AI326&gt;=요약!$E$3,$AH326&lt;요약!$E$3),"구리병원","⚠15일 판정불가(서울 "&amp;$AH326&amp;"일/구리 "&amp;$AI326&amp;"일)")),IF($AJ326="",$AE326,IF(INDEX(파견수련계획!$T$4:$T$803,$AJ326)="통합수련",INDEX(파견수련계획!$S$4:$S$803,$AJ326),$AE326)))))))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입력",IF(IF(TRIM($J326&amp;"")="",0,SUMPRODUCT((파견수련계획!$Q$4:$Q$803=TRIM($J326&amp;""))*(파견수련계획!$AA$4:$AA$803&lt;&gt;"")))&gt;0,"파견수련계획 입력오류 확인",IF(LEFT($Y326,1)="⚠","서울·구리 15일 판정 불가(양쪽 모두 이상/미만)",IF(IF($AC326="",0,N(INDEX(인턴근무계획!$T$3:$T$402,$AC326)))&gt;0,"인턴계획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IF($B326="","",IFERROR(MATCH($B326,기본자료!$B$2:$B$1001,0),IFERROR(MATCH($B326&amp;"",기본자료!$B$2:$B$1001,0),IFERROR(MATCH(VALUE($B326),기본자료!$B$2:$B$1001,0),""))))</f>
        <v/>
      </c>
      <c r="AC326" s="10">
        <f>IF($B326="","",IFERROR(MATCH($B326,인턴근무계획!$D$3:$D$402,0),IFERROR(MATCH($B326&amp;"",인턴근무계획!$D$3:$D$402,0),IFERROR(MATCH(VALUE($B326),인턴근무계획!$D$3:$D$402,0),""))))</f>
        <v/>
      </c>
      <c r="AD326" s="10">
        <f>IF(OR($AC326="",인턴현황!$G$3=""),"",INDEX(인턴근무계획!$M$3:$R$402,$AC326,인턴현황!$G$3)&amp;"")</f>
        <v/>
      </c>
      <c r="AE326" s="10">
        <f>IF($B326="","",IF($M326&lt;&gt;"",$M326,IF($AF326&lt;&gt;"",IF(LEFT(INDEX(파견수련계획!$R$4:$R$803,$AF326),1)&lt;&gt;"⚠",INDEX(파견수련계획!$R$4:$R$803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파견수련계획!$Y$4:$Y$803,0),IFERROR(MATCH(TRIM($J326&amp;"")&amp;"|파견예정",파견수련계획!$Y$4:$Y$803,0),IFERROR(MATCH(TRIM($J326&amp;"")&amp;"|파견종료",파견수련계획!$Y$4:$Y$803,0),""))))</f>
        <v/>
      </c>
      <c r="AG326" s="10">
        <f>IF($B326="","",IF(AND(IF(OR($AC326="",인턴현황!$K$2=""),"",INDEX(인턴근무계획!$M$3:$R$402,$AC326,인턴현황!$K$2)&amp;"")&lt;&gt;"",LEFT(IF(OR($AC326="",인턴현황!$K$2=""),"",INDEX(인턴근무계획!$M$3:$R$402,$AC326,인턴현황!$K$2)&amp;""),1)&lt;&gt;"⚠"),LEFT(IF(OR($AC326="",인턴현황!$K$2=""),"",INDEX(인턴근무계획!$M$3:$R$402,$AC326,인턴현황!$K$2)&amp;""),FIND(" ",IF(OR($AC326="",인턴현황!$K$2=""),"",INDEX(인턴근무계획!$M$3:$R$402,$AC326,인턴현황!$K$2)&amp;""))-1),$AE326))</f>
        <v/>
      </c>
      <c r="AH326" s="17">
        <f>IF($B326="","",IF(TRIM($J326&amp;"")="",0,SUMPRODUCT((파견수련계획!$Q$4:$Q$803=TRIM($J326&amp;""))*(파견수련계획!$S$4:$S$803="서울병원")*파견수련계획!$W$4:$W$803))+IF($AG326="서울병원",MAX(0,DAY(EOMONTH(요약!$B$3,0))-N($X326)),0))</f>
        <v/>
      </c>
      <c r="AI326" s="17">
        <f>IF($B326="","",IF(TRIM($J326&amp;"")="",0,SUMPRODUCT((파견수련계획!$Q$4:$Q$803=TRIM($J326&amp;""))*(파견수련계획!$S$4:$S$803="구리병원")*파견수련계획!$W$4:$W$803))+IF($AG326="구리병원",MAX(0,DAY(EOMONTH(요약!$B$3,0))-N($X326)),0))</f>
        <v/>
      </c>
      <c r="AJ326" s="10">
        <f>IF(OR($B326="",TRIM($J326&amp;"")=""),"",IFERROR(MATCH(TRIM($J326&amp;"")&amp;"|월",파견수련계획!$Z$4:$Z$803,0),""))</f>
        <v/>
      </c>
      <c r="AK326" s="10">
        <f>IF(OR($B326="",TRIM($J326&amp;"")=""),"",IFERROR(MATCH(TRIM($J326&amp;"")&amp;"|다기관",파견수련계획!$AE$4:$AE$803,0),""))</f>
        <v/>
      </c>
      <c r="AL326" s="10">
        <f>IF($AK326="","","다기관 "&amp;TEXT(INDEX(파견수련계획!$AB$4:$AB$803,$AK326),"yyyy-mm-dd")&amp;"~"&amp;IF(ISNUMBER(INDEX(파견수련계획!$AC$4:$AC$803,$AK326)),TEXT(INDEX(파견수련계획!$AC$4:$AC$803,$AK326),"yyyy-mm-dd"),""))</f>
        <v/>
      </c>
    </row>
    <row r="327">
      <c r="A327" s="10">
        <f>IF(B327="","",ROW()-1)</f>
        <v/>
      </c>
      <c r="B327" s="18" t="n"/>
      <c r="C327" s="10">
        <f>IF($AB327="","",IF(INDEX(기본자료!$C$2:$C$1001,$AB327)="","",INDEX(기본자료!$C$2:$C$1001,$AB327)))</f>
        <v/>
      </c>
      <c r="D327" s="10">
        <f>IF($AB327="","",IF(INDEX(기본자료!$J$2:$J$1001,$AB327)="","",INDEX(기본자료!$J$2:$J$1001,$AB327)))</f>
        <v/>
      </c>
      <c r="E327" s="11">
        <f>IF($AB327="","",IF(INDEX(기본자료!$K$2:$K$1001,$AB327)="","",IF(NOT(ISNUMBER(INDEX(기본자료!$K$2:$K$1001,$AB327))),INDEX(기본자료!$K$2:$K$1001,$AB327),IF(INDEX(기본자료!$K$2:$K$1001,$AB327)&lt;1000000,INDEX(기본자료!$K$2:$K$1001,$AB327),IF(AND(INDEX(기본자료!$K$2:$K$1001,$AB327)&gt;=10000101,INT(MOD(INDEX(기본자료!$K$2:$K$1001,$AB327),10000)/100)&gt;=1,INT(MOD(INDEX(기본자료!$K$2:$K$1001,$AB327),10000)/100)&lt;=12,MOD(INDEX(기본자료!$K$2:$K$1001,$AB327),100)&gt;=1,MOD(INDEX(기본자료!$K$2:$K$1001,$AB327),100)&lt;=31),DATE(INT(INDEX(기본자료!$K$2:$K$1001,$AB327)/10000),INT(MOD(INDEX(기본자료!$K$2:$K$1001,$AB327),10000)/100),MOD(INDEX(기본자료!$K$2:$K$1001,$AB327),100)),INDEX(기본자료!$K$2:$K$1001,$AB327)&amp;"")))))</f>
        <v/>
      </c>
      <c r="F327" s="10">
        <f>IF($AB327="","",IF(INDEX(기본자료!$D$2:$D$1001,$AB327)="","",INDEX(기본자료!$D$2:$D$1001,$AB327)))</f>
        <v/>
      </c>
      <c r="G327" s="10">
        <f>IF($AB327="","",IF(INDEX(기본자료!$E$2:$E$1001,$AB327)="","",INDEX(기본자료!$E$2:$E$1001,$AB327)))</f>
        <v/>
      </c>
      <c r="H327" s="10">
        <f>IF($AB327="","",IF(INDEX(기본자료!$F$2:$F$1001,$AB327)="","",INDEX(기본자료!$F$2:$F$1001,$AB327)))</f>
        <v/>
      </c>
      <c r="I327" s="11">
        <f>IF($AB327="","",IF(INDEX(기본자료!$G$2:$G$1001,$AB327)="","",IF(NOT(ISNUMBER(INDEX(기본자료!$G$2:$G$1001,$AB327))),INDEX(기본자료!$G$2:$G$1001,$AB327),IF(INDEX(기본자료!$G$2:$G$1001,$AB327)&lt;1000000,INDEX(기본자료!$G$2:$G$1001,$AB327),IF(AND(INDEX(기본자료!$G$2:$G$1001,$AB327)&gt;=10000101,INT(MOD(INDEX(기본자료!$G$2:$G$1001,$AB327),10000)/100)&gt;=1,INT(MOD(INDEX(기본자료!$G$2:$G$1001,$AB327),10000)/100)&lt;=12,MOD(INDEX(기본자료!$G$2:$G$1001,$AB327),100)&gt;=1,MOD(INDEX(기본자료!$G$2:$G$1001,$AB327),100)&lt;=31),DATE(INT(INDEX(기본자료!$G$2:$G$1001,$AB327)/10000),INT(MOD(INDEX(기본자료!$G$2:$G$1001,$AB327),10000)/100),MOD(INDEX(기본자료!$G$2:$G$1001,$AB327),100)),INDEX(기본자료!$G$2:$G$1001,$AB327)&amp;"")))))</f>
        <v/>
      </c>
      <c r="J327" s="10">
        <f>IF($AB327="","",IF(INDEX(기본자료!$H$2:$H$1001,$AB327)="","",INDEX(기본자료!$H$2:$H$1001,$AB327)))</f>
        <v/>
      </c>
      <c r="K327" s="10">
        <f>IF($AB327="","",IF(INDEX(기본자료!$I$2:$I$1001,$AB327)="","",INDEX(기본자료!$I$2:$I$1001,$AB327)))</f>
        <v/>
      </c>
      <c r="L327" s="10">
        <f>IF($AB327="","",IF(INDEX(기본자료!$A$2:$A$1001,$AB327)="","",INDEX(기본자료!$A$2:$A$1001,$AB327)))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파견수련계획!$AB$4:$AB$803,$AK327),OR(NOT(ISNUMBER(INDEX(파견수련계획!$AC$4:$AC$803,$AK327))),TODAY()&lt;=INDEX(파견수련계획!$AC$4:$AC$803,$AK327))),"다기관",IF($AF327="","",INDEX(파견수련계획!$T$4:$T$803,$AF327))),IF($AF327="","",INDEX(파견수련계획!$T$4:$T$803,$AF327))))</f>
        <v/>
      </c>
      <c r="Q327" s="10">
        <f>IF($AF327="","",INDEX(파견수련계획!$S$4:$S$803,$AF327))</f>
        <v/>
      </c>
      <c r="R327" s="10">
        <f>IF($AF327="","",INDEX(파견수련계획!$U$4:$U$803,$AF327))</f>
        <v/>
      </c>
      <c r="S327" s="11">
        <f>IF($AF327="","",IF(INDEX(파견수련계획!$H$4:$H$803,$AF327)="","",INDEX(파견수련계획!$H$4:$H$803,$AF327)))</f>
        <v/>
      </c>
      <c r="T327" s="11">
        <f>IF($AF327="","",IF(INDEX(파견수련계획!$I$4:$I$803,$AF327)="","",INDEX(파견수련계획!$I$4:$I$803,$AF327)))</f>
        <v/>
      </c>
      <c r="U327" s="10">
        <f>IF($AF327="","",INDEX(파견수련계획!$X$4:$X$803,$AF327))</f>
        <v/>
      </c>
      <c r="V327" s="17">
        <f>IF($AF327="","",INDEX(파견수련계획!$V$4:$V$803,$AF327))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IF(OR($B327="",TRIM($J327&amp;"")=""),"",SUMPRODUCT((파견수련계획!$Q$4:$Q$803=TRIM($J327&amp;""))*파견수련계획!$W$4:$W$803))</f>
        <v/>
      </c>
      <c r="Y327" s="10">
        <f>IF($B327="","",IF($AG327="","",IF(IF(TRIM($J327&amp;"")="",0,SUMPRODUCT((파견수련계획!$Q$4:$Q$803=TRIM($J327&amp;""))*파견수련계획!$AD$4:$AD$803))&gt;0,$AE327,IF(N($X327)&lt;=0,$AG327,IF($AH327+$AI327=DAY(EOMONTH(요약!$B$3,0)),IF(AND($AH327&gt;=요약!$E$3,$AI327&lt;요약!$E$3),"서울병원",IF(AND($AI327&gt;=요약!$E$3,$AH327&lt;요약!$E$3),"구리병원","⚠15일 판정불가(서울 "&amp;$AH327&amp;"일/구리 "&amp;$AI327&amp;"일)")),IF($AJ327="",$AE327,IF(INDEX(파견수련계획!$T$4:$T$803,$AJ327)="통합수련",INDEX(파견수련계획!$S$4:$S$803,$AJ327),$AE327)))))))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입력",IF(IF(TRIM($J327&amp;"")="",0,SUMPRODUCT((파견수련계획!$Q$4:$Q$803=TRIM($J327&amp;""))*(파견수련계획!$AA$4:$AA$803&lt;&gt;"")))&gt;0,"파견수련계획 입력오류 확인",IF(LEFT($Y327,1)="⚠","서울·구리 15일 판정 불가(양쪽 모두 이상/미만)",IF(IF($AC327="",0,N(INDEX(인턴근무계획!$T$3:$T$402,$AC327)))&gt;0,"인턴계획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IF($B327="","",IFERROR(MATCH($B327,기본자료!$B$2:$B$1001,0),IFERROR(MATCH($B327&amp;"",기본자료!$B$2:$B$1001,0),IFERROR(MATCH(VALUE($B327),기본자료!$B$2:$B$1001,0),""))))</f>
        <v/>
      </c>
      <c r="AC327" s="10">
        <f>IF($B327="","",IFERROR(MATCH($B327,인턴근무계획!$D$3:$D$402,0),IFERROR(MATCH($B327&amp;"",인턴근무계획!$D$3:$D$402,0),IFERROR(MATCH(VALUE($B327),인턴근무계획!$D$3:$D$402,0),""))))</f>
        <v/>
      </c>
      <c r="AD327" s="10">
        <f>IF(OR($AC327="",인턴현황!$G$3=""),"",INDEX(인턴근무계획!$M$3:$R$402,$AC327,인턴현황!$G$3)&amp;"")</f>
        <v/>
      </c>
      <c r="AE327" s="10">
        <f>IF($B327="","",IF($M327&lt;&gt;"",$M327,IF($AF327&lt;&gt;"",IF(LEFT(INDEX(파견수련계획!$R$4:$R$803,$AF327),1)&lt;&gt;"⚠",INDEX(파견수련계획!$R$4:$R$803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파견수련계획!$Y$4:$Y$803,0),IFERROR(MATCH(TRIM($J327&amp;"")&amp;"|파견예정",파견수련계획!$Y$4:$Y$803,0),IFERROR(MATCH(TRIM($J327&amp;"")&amp;"|파견종료",파견수련계획!$Y$4:$Y$803,0),""))))</f>
        <v/>
      </c>
      <c r="AG327" s="10">
        <f>IF($B327="","",IF(AND(IF(OR($AC327="",인턴현황!$K$2=""),"",INDEX(인턴근무계획!$M$3:$R$402,$AC327,인턴현황!$K$2)&amp;"")&lt;&gt;"",LEFT(IF(OR($AC327="",인턴현황!$K$2=""),"",INDEX(인턴근무계획!$M$3:$R$402,$AC327,인턴현황!$K$2)&amp;""),1)&lt;&gt;"⚠"),LEFT(IF(OR($AC327="",인턴현황!$K$2=""),"",INDEX(인턴근무계획!$M$3:$R$402,$AC327,인턴현황!$K$2)&amp;""),FIND(" ",IF(OR($AC327="",인턴현황!$K$2=""),"",INDEX(인턴근무계획!$M$3:$R$402,$AC327,인턴현황!$K$2)&amp;""))-1),$AE327))</f>
        <v/>
      </c>
      <c r="AH327" s="17">
        <f>IF($B327="","",IF(TRIM($J327&amp;"")="",0,SUMPRODUCT((파견수련계획!$Q$4:$Q$803=TRIM($J327&amp;""))*(파견수련계획!$S$4:$S$803="서울병원")*파견수련계획!$W$4:$W$803))+IF($AG327="서울병원",MAX(0,DAY(EOMONTH(요약!$B$3,0))-N($X327)),0))</f>
        <v/>
      </c>
      <c r="AI327" s="17">
        <f>IF($B327="","",IF(TRIM($J327&amp;"")="",0,SUMPRODUCT((파견수련계획!$Q$4:$Q$803=TRIM($J327&amp;""))*(파견수련계획!$S$4:$S$803="구리병원")*파견수련계획!$W$4:$W$803))+IF($AG327="구리병원",MAX(0,DAY(EOMONTH(요약!$B$3,0))-N($X327)),0))</f>
        <v/>
      </c>
      <c r="AJ327" s="10">
        <f>IF(OR($B327="",TRIM($J327&amp;"")=""),"",IFERROR(MATCH(TRIM($J327&amp;"")&amp;"|월",파견수련계획!$Z$4:$Z$803,0),""))</f>
        <v/>
      </c>
      <c r="AK327" s="10">
        <f>IF(OR($B327="",TRIM($J327&amp;"")=""),"",IFERROR(MATCH(TRIM($J327&amp;"")&amp;"|다기관",파견수련계획!$AE$4:$AE$803,0),""))</f>
        <v/>
      </c>
      <c r="AL327" s="10">
        <f>IF($AK327="","","다기관 "&amp;TEXT(INDEX(파견수련계획!$AB$4:$AB$803,$AK327),"yyyy-mm-dd")&amp;"~"&amp;IF(ISNUMBER(INDEX(파견수련계획!$AC$4:$AC$803,$AK327)),TEXT(INDEX(파견수련계획!$AC$4:$AC$803,$AK327),"yyyy-mm-dd"),""))</f>
        <v/>
      </c>
    </row>
    <row r="328">
      <c r="A328" s="10">
        <f>IF(B328="","",ROW()-1)</f>
        <v/>
      </c>
      <c r="B328" s="18" t="n"/>
      <c r="C328" s="10">
        <f>IF($AB328="","",IF(INDEX(기본자료!$C$2:$C$1001,$AB328)="","",INDEX(기본자료!$C$2:$C$1001,$AB328)))</f>
        <v/>
      </c>
      <c r="D328" s="10">
        <f>IF($AB328="","",IF(INDEX(기본자료!$J$2:$J$1001,$AB328)="","",INDEX(기본자료!$J$2:$J$1001,$AB328)))</f>
        <v/>
      </c>
      <c r="E328" s="11">
        <f>IF($AB328="","",IF(INDEX(기본자료!$K$2:$K$1001,$AB328)="","",IF(NOT(ISNUMBER(INDEX(기본자료!$K$2:$K$1001,$AB328))),INDEX(기본자료!$K$2:$K$1001,$AB328),IF(INDEX(기본자료!$K$2:$K$1001,$AB328)&lt;1000000,INDEX(기본자료!$K$2:$K$1001,$AB328),IF(AND(INDEX(기본자료!$K$2:$K$1001,$AB328)&gt;=10000101,INT(MOD(INDEX(기본자료!$K$2:$K$1001,$AB328),10000)/100)&gt;=1,INT(MOD(INDEX(기본자료!$K$2:$K$1001,$AB328),10000)/100)&lt;=12,MOD(INDEX(기본자료!$K$2:$K$1001,$AB328),100)&gt;=1,MOD(INDEX(기본자료!$K$2:$K$1001,$AB328),100)&lt;=31),DATE(INT(INDEX(기본자료!$K$2:$K$1001,$AB328)/10000),INT(MOD(INDEX(기본자료!$K$2:$K$1001,$AB328),10000)/100),MOD(INDEX(기본자료!$K$2:$K$1001,$AB328),100)),INDEX(기본자료!$K$2:$K$1001,$AB328)&amp;"")))))</f>
        <v/>
      </c>
      <c r="F328" s="10">
        <f>IF($AB328="","",IF(INDEX(기본자료!$D$2:$D$1001,$AB328)="","",INDEX(기본자료!$D$2:$D$1001,$AB328)))</f>
        <v/>
      </c>
      <c r="G328" s="10">
        <f>IF($AB328="","",IF(INDEX(기본자료!$E$2:$E$1001,$AB328)="","",INDEX(기본자료!$E$2:$E$1001,$AB328)))</f>
        <v/>
      </c>
      <c r="H328" s="10">
        <f>IF($AB328="","",IF(INDEX(기본자료!$F$2:$F$1001,$AB328)="","",INDEX(기본자료!$F$2:$F$1001,$AB328)))</f>
        <v/>
      </c>
      <c r="I328" s="11">
        <f>IF($AB328="","",IF(INDEX(기본자료!$G$2:$G$1001,$AB328)="","",IF(NOT(ISNUMBER(INDEX(기본자료!$G$2:$G$1001,$AB328))),INDEX(기본자료!$G$2:$G$1001,$AB328),IF(INDEX(기본자료!$G$2:$G$1001,$AB328)&lt;1000000,INDEX(기본자료!$G$2:$G$1001,$AB328),IF(AND(INDEX(기본자료!$G$2:$G$1001,$AB328)&gt;=10000101,INT(MOD(INDEX(기본자료!$G$2:$G$1001,$AB328),10000)/100)&gt;=1,INT(MOD(INDEX(기본자료!$G$2:$G$1001,$AB328),10000)/100)&lt;=12,MOD(INDEX(기본자료!$G$2:$G$1001,$AB328),100)&gt;=1,MOD(INDEX(기본자료!$G$2:$G$1001,$AB328),100)&lt;=31),DATE(INT(INDEX(기본자료!$G$2:$G$1001,$AB328)/10000),INT(MOD(INDEX(기본자료!$G$2:$G$1001,$AB328),10000)/100),MOD(INDEX(기본자료!$G$2:$G$1001,$AB328),100)),INDEX(기본자료!$G$2:$G$1001,$AB328)&amp;"")))))</f>
        <v/>
      </c>
      <c r="J328" s="10">
        <f>IF($AB328="","",IF(INDEX(기본자료!$H$2:$H$1001,$AB328)="","",INDEX(기본자료!$H$2:$H$1001,$AB328)))</f>
        <v/>
      </c>
      <c r="K328" s="10">
        <f>IF($AB328="","",IF(INDEX(기본자료!$I$2:$I$1001,$AB328)="","",INDEX(기본자료!$I$2:$I$1001,$AB328)))</f>
        <v/>
      </c>
      <c r="L328" s="10">
        <f>IF($AB328="","",IF(INDEX(기본자료!$A$2:$A$1001,$AB328)="","",INDEX(기본자료!$A$2:$A$1001,$AB328)))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파견수련계획!$AB$4:$AB$803,$AK328),OR(NOT(ISNUMBER(INDEX(파견수련계획!$AC$4:$AC$803,$AK328))),TODAY()&lt;=INDEX(파견수련계획!$AC$4:$AC$803,$AK328))),"다기관",IF($AF328="","",INDEX(파견수련계획!$T$4:$T$803,$AF328))),IF($AF328="","",INDEX(파견수련계획!$T$4:$T$803,$AF328))))</f>
        <v/>
      </c>
      <c r="Q328" s="10">
        <f>IF($AF328="","",INDEX(파견수련계획!$S$4:$S$803,$AF328))</f>
        <v/>
      </c>
      <c r="R328" s="10">
        <f>IF($AF328="","",INDEX(파견수련계획!$U$4:$U$803,$AF328))</f>
        <v/>
      </c>
      <c r="S328" s="11">
        <f>IF($AF328="","",IF(INDEX(파견수련계획!$H$4:$H$803,$AF328)="","",INDEX(파견수련계획!$H$4:$H$803,$AF328)))</f>
        <v/>
      </c>
      <c r="T328" s="11">
        <f>IF($AF328="","",IF(INDEX(파견수련계획!$I$4:$I$803,$AF328)="","",INDEX(파견수련계획!$I$4:$I$803,$AF328)))</f>
        <v/>
      </c>
      <c r="U328" s="10">
        <f>IF($AF328="","",INDEX(파견수련계획!$X$4:$X$803,$AF328))</f>
        <v/>
      </c>
      <c r="V328" s="17">
        <f>IF($AF328="","",INDEX(파견수련계획!$V$4:$V$803,$AF328))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IF(OR($B328="",TRIM($J328&amp;"")=""),"",SUMPRODUCT((파견수련계획!$Q$4:$Q$803=TRIM($J328&amp;""))*파견수련계획!$W$4:$W$803))</f>
        <v/>
      </c>
      <c r="Y328" s="10">
        <f>IF($B328="","",IF($AG328="","",IF(IF(TRIM($J328&amp;"")="",0,SUMPRODUCT((파견수련계획!$Q$4:$Q$803=TRIM($J328&amp;""))*파견수련계획!$AD$4:$AD$803))&gt;0,$AE328,IF(N($X328)&lt;=0,$AG328,IF($AH328+$AI328=DAY(EOMONTH(요약!$B$3,0)),IF(AND($AH328&gt;=요약!$E$3,$AI328&lt;요약!$E$3),"서울병원",IF(AND($AI328&gt;=요약!$E$3,$AH328&lt;요약!$E$3),"구리병원","⚠15일 판정불가(서울 "&amp;$AH328&amp;"일/구리 "&amp;$AI328&amp;"일)")),IF($AJ328="",$AE328,IF(INDEX(파견수련계획!$T$4:$T$803,$AJ328)="통합수련",INDEX(파견수련계획!$S$4:$S$803,$AJ328),$AE328)))))))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입력",IF(IF(TRIM($J328&amp;"")="",0,SUMPRODUCT((파견수련계획!$Q$4:$Q$803=TRIM($J328&amp;""))*(파견수련계획!$AA$4:$AA$803&lt;&gt;"")))&gt;0,"파견수련계획 입력오류 확인",IF(LEFT($Y328,1)="⚠","서울·구리 15일 판정 불가(양쪽 모두 이상/미만)",IF(IF($AC328="",0,N(INDEX(인턴근무계획!$T$3:$T$402,$AC328)))&gt;0,"인턴계획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IF($B328="","",IFERROR(MATCH($B328,기본자료!$B$2:$B$1001,0),IFERROR(MATCH($B328&amp;"",기본자료!$B$2:$B$1001,0),IFERROR(MATCH(VALUE($B328),기본자료!$B$2:$B$1001,0),""))))</f>
        <v/>
      </c>
      <c r="AC328" s="10">
        <f>IF($B328="","",IFERROR(MATCH($B328,인턴근무계획!$D$3:$D$402,0),IFERROR(MATCH($B328&amp;"",인턴근무계획!$D$3:$D$402,0),IFERROR(MATCH(VALUE($B328),인턴근무계획!$D$3:$D$402,0),""))))</f>
        <v/>
      </c>
      <c r="AD328" s="10">
        <f>IF(OR($AC328="",인턴현황!$G$3=""),"",INDEX(인턴근무계획!$M$3:$R$402,$AC328,인턴현황!$G$3)&amp;"")</f>
        <v/>
      </c>
      <c r="AE328" s="10">
        <f>IF($B328="","",IF($M328&lt;&gt;"",$M328,IF($AF328&lt;&gt;"",IF(LEFT(INDEX(파견수련계획!$R$4:$R$803,$AF328),1)&lt;&gt;"⚠",INDEX(파견수련계획!$R$4:$R$803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파견수련계획!$Y$4:$Y$803,0),IFERROR(MATCH(TRIM($J328&amp;"")&amp;"|파견예정",파견수련계획!$Y$4:$Y$803,0),IFERROR(MATCH(TRIM($J328&amp;"")&amp;"|파견종료",파견수련계획!$Y$4:$Y$803,0),""))))</f>
        <v/>
      </c>
      <c r="AG328" s="10">
        <f>IF($B328="","",IF(AND(IF(OR($AC328="",인턴현황!$K$2=""),"",INDEX(인턴근무계획!$M$3:$R$402,$AC328,인턴현황!$K$2)&amp;"")&lt;&gt;"",LEFT(IF(OR($AC328="",인턴현황!$K$2=""),"",INDEX(인턴근무계획!$M$3:$R$402,$AC328,인턴현황!$K$2)&amp;""),1)&lt;&gt;"⚠"),LEFT(IF(OR($AC328="",인턴현황!$K$2=""),"",INDEX(인턴근무계획!$M$3:$R$402,$AC328,인턴현황!$K$2)&amp;""),FIND(" ",IF(OR($AC328="",인턴현황!$K$2=""),"",INDEX(인턴근무계획!$M$3:$R$402,$AC328,인턴현황!$K$2)&amp;""))-1),$AE328))</f>
        <v/>
      </c>
      <c r="AH328" s="17">
        <f>IF($B328="","",IF(TRIM($J328&amp;"")="",0,SUMPRODUCT((파견수련계획!$Q$4:$Q$803=TRIM($J328&amp;""))*(파견수련계획!$S$4:$S$803="서울병원")*파견수련계획!$W$4:$W$803))+IF($AG328="서울병원",MAX(0,DAY(EOMONTH(요약!$B$3,0))-N($X328)),0))</f>
        <v/>
      </c>
      <c r="AI328" s="17">
        <f>IF($B328="","",IF(TRIM($J328&amp;"")="",0,SUMPRODUCT((파견수련계획!$Q$4:$Q$803=TRIM($J328&amp;""))*(파견수련계획!$S$4:$S$803="구리병원")*파견수련계획!$W$4:$W$803))+IF($AG328="구리병원",MAX(0,DAY(EOMONTH(요약!$B$3,0))-N($X328)),0))</f>
        <v/>
      </c>
      <c r="AJ328" s="10">
        <f>IF(OR($B328="",TRIM($J328&amp;"")=""),"",IFERROR(MATCH(TRIM($J328&amp;"")&amp;"|월",파견수련계획!$Z$4:$Z$803,0),""))</f>
        <v/>
      </c>
      <c r="AK328" s="10">
        <f>IF(OR($B328="",TRIM($J328&amp;"")=""),"",IFERROR(MATCH(TRIM($J328&amp;"")&amp;"|다기관",파견수련계획!$AE$4:$AE$803,0),""))</f>
        <v/>
      </c>
      <c r="AL328" s="10">
        <f>IF($AK328="","","다기관 "&amp;TEXT(INDEX(파견수련계획!$AB$4:$AB$803,$AK328),"yyyy-mm-dd")&amp;"~"&amp;IF(ISNUMBER(INDEX(파견수련계획!$AC$4:$AC$803,$AK328)),TEXT(INDEX(파견수련계획!$AC$4:$AC$803,$AK328),"yyyy-mm-dd"),""))</f>
        <v/>
      </c>
    </row>
    <row r="329">
      <c r="A329" s="10">
        <f>IF(B329="","",ROW()-1)</f>
        <v/>
      </c>
      <c r="B329" s="18" t="n"/>
      <c r="C329" s="10">
        <f>IF($AB329="","",IF(INDEX(기본자료!$C$2:$C$1001,$AB329)="","",INDEX(기본자료!$C$2:$C$1001,$AB329)))</f>
        <v/>
      </c>
      <c r="D329" s="10">
        <f>IF($AB329="","",IF(INDEX(기본자료!$J$2:$J$1001,$AB329)="","",INDEX(기본자료!$J$2:$J$1001,$AB329)))</f>
        <v/>
      </c>
      <c r="E329" s="11">
        <f>IF($AB329="","",IF(INDEX(기본자료!$K$2:$K$1001,$AB329)="","",IF(NOT(ISNUMBER(INDEX(기본자료!$K$2:$K$1001,$AB329))),INDEX(기본자료!$K$2:$K$1001,$AB329),IF(INDEX(기본자료!$K$2:$K$1001,$AB329)&lt;1000000,INDEX(기본자료!$K$2:$K$1001,$AB329),IF(AND(INDEX(기본자료!$K$2:$K$1001,$AB329)&gt;=10000101,INT(MOD(INDEX(기본자료!$K$2:$K$1001,$AB329),10000)/100)&gt;=1,INT(MOD(INDEX(기본자료!$K$2:$K$1001,$AB329),10000)/100)&lt;=12,MOD(INDEX(기본자료!$K$2:$K$1001,$AB329),100)&gt;=1,MOD(INDEX(기본자료!$K$2:$K$1001,$AB329),100)&lt;=31),DATE(INT(INDEX(기본자료!$K$2:$K$1001,$AB329)/10000),INT(MOD(INDEX(기본자료!$K$2:$K$1001,$AB329),10000)/100),MOD(INDEX(기본자료!$K$2:$K$1001,$AB329),100)),INDEX(기본자료!$K$2:$K$1001,$AB329)&amp;"")))))</f>
        <v/>
      </c>
      <c r="F329" s="10">
        <f>IF($AB329="","",IF(INDEX(기본자료!$D$2:$D$1001,$AB329)="","",INDEX(기본자료!$D$2:$D$1001,$AB329)))</f>
        <v/>
      </c>
      <c r="G329" s="10">
        <f>IF($AB329="","",IF(INDEX(기본자료!$E$2:$E$1001,$AB329)="","",INDEX(기본자료!$E$2:$E$1001,$AB329)))</f>
        <v/>
      </c>
      <c r="H329" s="10">
        <f>IF($AB329="","",IF(INDEX(기본자료!$F$2:$F$1001,$AB329)="","",INDEX(기본자료!$F$2:$F$1001,$AB329)))</f>
        <v/>
      </c>
      <c r="I329" s="11">
        <f>IF($AB329="","",IF(INDEX(기본자료!$G$2:$G$1001,$AB329)="","",IF(NOT(ISNUMBER(INDEX(기본자료!$G$2:$G$1001,$AB329))),INDEX(기본자료!$G$2:$G$1001,$AB329),IF(INDEX(기본자료!$G$2:$G$1001,$AB329)&lt;1000000,INDEX(기본자료!$G$2:$G$1001,$AB329),IF(AND(INDEX(기본자료!$G$2:$G$1001,$AB329)&gt;=10000101,INT(MOD(INDEX(기본자료!$G$2:$G$1001,$AB329),10000)/100)&gt;=1,INT(MOD(INDEX(기본자료!$G$2:$G$1001,$AB329),10000)/100)&lt;=12,MOD(INDEX(기본자료!$G$2:$G$1001,$AB329),100)&gt;=1,MOD(INDEX(기본자료!$G$2:$G$1001,$AB329),100)&lt;=31),DATE(INT(INDEX(기본자료!$G$2:$G$1001,$AB329)/10000),INT(MOD(INDEX(기본자료!$G$2:$G$1001,$AB329),10000)/100),MOD(INDEX(기본자료!$G$2:$G$1001,$AB329),100)),INDEX(기본자료!$G$2:$G$1001,$AB329)&amp;"")))))</f>
        <v/>
      </c>
      <c r="J329" s="10">
        <f>IF($AB329="","",IF(INDEX(기본자료!$H$2:$H$1001,$AB329)="","",INDEX(기본자료!$H$2:$H$1001,$AB329)))</f>
        <v/>
      </c>
      <c r="K329" s="10">
        <f>IF($AB329="","",IF(INDEX(기본자료!$I$2:$I$1001,$AB329)="","",INDEX(기본자료!$I$2:$I$1001,$AB329)))</f>
        <v/>
      </c>
      <c r="L329" s="10">
        <f>IF($AB329="","",IF(INDEX(기본자료!$A$2:$A$1001,$AB329)="","",INDEX(기본자료!$A$2:$A$1001,$AB329)))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파견수련계획!$AB$4:$AB$803,$AK329),OR(NOT(ISNUMBER(INDEX(파견수련계획!$AC$4:$AC$803,$AK329))),TODAY()&lt;=INDEX(파견수련계획!$AC$4:$AC$803,$AK329))),"다기관",IF($AF329="","",INDEX(파견수련계획!$T$4:$T$803,$AF329))),IF($AF329="","",INDEX(파견수련계획!$T$4:$T$803,$AF329))))</f>
        <v/>
      </c>
      <c r="Q329" s="10">
        <f>IF($AF329="","",INDEX(파견수련계획!$S$4:$S$803,$AF329))</f>
        <v/>
      </c>
      <c r="R329" s="10">
        <f>IF($AF329="","",INDEX(파견수련계획!$U$4:$U$803,$AF329))</f>
        <v/>
      </c>
      <c r="S329" s="11">
        <f>IF($AF329="","",IF(INDEX(파견수련계획!$H$4:$H$803,$AF329)="","",INDEX(파견수련계획!$H$4:$H$803,$AF329)))</f>
        <v/>
      </c>
      <c r="T329" s="11">
        <f>IF($AF329="","",IF(INDEX(파견수련계획!$I$4:$I$803,$AF329)="","",INDEX(파견수련계획!$I$4:$I$803,$AF329)))</f>
        <v/>
      </c>
      <c r="U329" s="10">
        <f>IF($AF329="","",INDEX(파견수련계획!$X$4:$X$803,$AF329))</f>
        <v/>
      </c>
      <c r="V329" s="17">
        <f>IF($AF329="","",INDEX(파견수련계획!$V$4:$V$803,$AF329))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IF(OR($B329="",TRIM($J329&amp;"")=""),"",SUMPRODUCT((파견수련계획!$Q$4:$Q$803=TRIM($J329&amp;""))*파견수련계획!$W$4:$W$803))</f>
        <v/>
      </c>
      <c r="Y329" s="10">
        <f>IF($B329="","",IF($AG329="","",IF(IF(TRIM($J329&amp;"")="",0,SUMPRODUCT((파견수련계획!$Q$4:$Q$803=TRIM($J329&amp;""))*파견수련계획!$AD$4:$AD$803))&gt;0,$AE329,IF(N($X329)&lt;=0,$AG329,IF($AH329+$AI329=DAY(EOMONTH(요약!$B$3,0)),IF(AND($AH329&gt;=요약!$E$3,$AI329&lt;요약!$E$3),"서울병원",IF(AND($AI329&gt;=요약!$E$3,$AH329&lt;요약!$E$3),"구리병원","⚠15일 판정불가(서울 "&amp;$AH329&amp;"일/구리 "&amp;$AI329&amp;"일)")),IF($AJ329="",$AE329,IF(INDEX(파견수련계획!$T$4:$T$803,$AJ329)="통합수련",INDEX(파견수련계획!$S$4:$S$803,$AJ329),$AE329)))))))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입력",IF(IF(TRIM($J329&amp;"")="",0,SUMPRODUCT((파견수련계획!$Q$4:$Q$803=TRIM($J329&amp;""))*(파견수련계획!$AA$4:$AA$803&lt;&gt;"")))&gt;0,"파견수련계획 입력오류 확인",IF(LEFT($Y329,1)="⚠","서울·구리 15일 판정 불가(양쪽 모두 이상/미만)",IF(IF($AC329="",0,N(INDEX(인턴근무계획!$T$3:$T$402,$AC329)))&gt;0,"인턴계획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IF($B329="","",IFERROR(MATCH($B329,기본자료!$B$2:$B$1001,0),IFERROR(MATCH($B329&amp;"",기본자료!$B$2:$B$1001,0),IFERROR(MATCH(VALUE($B329),기본자료!$B$2:$B$1001,0),""))))</f>
        <v/>
      </c>
      <c r="AC329" s="10">
        <f>IF($B329="","",IFERROR(MATCH($B329,인턴근무계획!$D$3:$D$402,0),IFERROR(MATCH($B329&amp;"",인턴근무계획!$D$3:$D$402,0),IFERROR(MATCH(VALUE($B329),인턴근무계획!$D$3:$D$402,0),""))))</f>
        <v/>
      </c>
      <c r="AD329" s="10">
        <f>IF(OR($AC329="",인턴현황!$G$3=""),"",INDEX(인턴근무계획!$M$3:$R$402,$AC329,인턴현황!$G$3)&amp;"")</f>
        <v/>
      </c>
      <c r="AE329" s="10">
        <f>IF($B329="","",IF($M329&lt;&gt;"",$M329,IF($AF329&lt;&gt;"",IF(LEFT(INDEX(파견수련계획!$R$4:$R$803,$AF329),1)&lt;&gt;"⚠",INDEX(파견수련계획!$R$4:$R$803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파견수련계획!$Y$4:$Y$803,0),IFERROR(MATCH(TRIM($J329&amp;"")&amp;"|파견예정",파견수련계획!$Y$4:$Y$803,0),IFERROR(MATCH(TRIM($J329&amp;"")&amp;"|파견종료",파견수련계획!$Y$4:$Y$803,0),""))))</f>
        <v/>
      </c>
      <c r="AG329" s="10">
        <f>IF($B329="","",IF(AND(IF(OR($AC329="",인턴현황!$K$2=""),"",INDEX(인턴근무계획!$M$3:$R$402,$AC329,인턴현황!$K$2)&amp;"")&lt;&gt;"",LEFT(IF(OR($AC329="",인턴현황!$K$2=""),"",INDEX(인턴근무계획!$M$3:$R$402,$AC329,인턴현황!$K$2)&amp;""),1)&lt;&gt;"⚠"),LEFT(IF(OR($AC329="",인턴현황!$K$2=""),"",INDEX(인턴근무계획!$M$3:$R$402,$AC329,인턴현황!$K$2)&amp;""),FIND(" ",IF(OR($AC329="",인턴현황!$K$2=""),"",INDEX(인턴근무계획!$M$3:$R$402,$AC329,인턴현황!$K$2)&amp;""))-1),$AE329))</f>
        <v/>
      </c>
      <c r="AH329" s="17">
        <f>IF($B329="","",IF(TRIM($J329&amp;"")="",0,SUMPRODUCT((파견수련계획!$Q$4:$Q$803=TRIM($J329&amp;""))*(파견수련계획!$S$4:$S$803="서울병원")*파견수련계획!$W$4:$W$803))+IF($AG329="서울병원",MAX(0,DAY(EOMONTH(요약!$B$3,0))-N($X329)),0))</f>
        <v/>
      </c>
      <c r="AI329" s="17">
        <f>IF($B329="","",IF(TRIM($J329&amp;"")="",0,SUMPRODUCT((파견수련계획!$Q$4:$Q$803=TRIM($J329&amp;""))*(파견수련계획!$S$4:$S$803="구리병원")*파견수련계획!$W$4:$W$803))+IF($AG329="구리병원",MAX(0,DAY(EOMONTH(요약!$B$3,0))-N($X329)),0))</f>
        <v/>
      </c>
      <c r="AJ329" s="10">
        <f>IF(OR($B329="",TRIM($J329&amp;"")=""),"",IFERROR(MATCH(TRIM($J329&amp;"")&amp;"|월",파견수련계획!$Z$4:$Z$803,0),""))</f>
        <v/>
      </c>
      <c r="AK329" s="10">
        <f>IF(OR($B329="",TRIM($J329&amp;"")=""),"",IFERROR(MATCH(TRIM($J329&amp;"")&amp;"|다기관",파견수련계획!$AE$4:$AE$803,0),""))</f>
        <v/>
      </c>
      <c r="AL329" s="10">
        <f>IF($AK329="","","다기관 "&amp;TEXT(INDEX(파견수련계획!$AB$4:$AB$803,$AK329),"yyyy-mm-dd")&amp;"~"&amp;IF(ISNUMBER(INDEX(파견수련계획!$AC$4:$AC$803,$AK329)),TEXT(INDEX(파견수련계획!$AC$4:$AC$803,$AK329),"yyyy-mm-dd"),""))</f>
        <v/>
      </c>
    </row>
    <row r="330">
      <c r="A330" s="10">
        <f>IF(B330="","",ROW()-1)</f>
        <v/>
      </c>
      <c r="B330" s="18" t="n"/>
      <c r="C330" s="10">
        <f>IF($AB330="","",IF(INDEX(기본자료!$C$2:$C$1001,$AB330)="","",INDEX(기본자료!$C$2:$C$1001,$AB330)))</f>
        <v/>
      </c>
      <c r="D330" s="10">
        <f>IF($AB330="","",IF(INDEX(기본자료!$J$2:$J$1001,$AB330)="","",INDEX(기본자료!$J$2:$J$1001,$AB330)))</f>
        <v/>
      </c>
      <c r="E330" s="11">
        <f>IF($AB330="","",IF(INDEX(기본자료!$K$2:$K$1001,$AB330)="","",IF(NOT(ISNUMBER(INDEX(기본자료!$K$2:$K$1001,$AB330))),INDEX(기본자료!$K$2:$K$1001,$AB330),IF(INDEX(기본자료!$K$2:$K$1001,$AB330)&lt;1000000,INDEX(기본자료!$K$2:$K$1001,$AB330),IF(AND(INDEX(기본자료!$K$2:$K$1001,$AB330)&gt;=10000101,INT(MOD(INDEX(기본자료!$K$2:$K$1001,$AB330),10000)/100)&gt;=1,INT(MOD(INDEX(기본자료!$K$2:$K$1001,$AB330),10000)/100)&lt;=12,MOD(INDEX(기본자료!$K$2:$K$1001,$AB330),100)&gt;=1,MOD(INDEX(기본자료!$K$2:$K$1001,$AB330),100)&lt;=31),DATE(INT(INDEX(기본자료!$K$2:$K$1001,$AB330)/10000),INT(MOD(INDEX(기본자료!$K$2:$K$1001,$AB330),10000)/100),MOD(INDEX(기본자료!$K$2:$K$1001,$AB330),100)),INDEX(기본자료!$K$2:$K$1001,$AB330)&amp;"")))))</f>
        <v/>
      </c>
      <c r="F330" s="10">
        <f>IF($AB330="","",IF(INDEX(기본자료!$D$2:$D$1001,$AB330)="","",INDEX(기본자료!$D$2:$D$1001,$AB330)))</f>
        <v/>
      </c>
      <c r="G330" s="10">
        <f>IF($AB330="","",IF(INDEX(기본자료!$E$2:$E$1001,$AB330)="","",INDEX(기본자료!$E$2:$E$1001,$AB330)))</f>
        <v/>
      </c>
      <c r="H330" s="10">
        <f>IF($AB330="","",IF(INDEX(기본자료!$F$2:$F$1001,$AB330)="","",INDEX(기본자료!$F$2:$F$1001,$AB330)))</f>
        <v/>
      </c>
      <c r="I330" s="11">
        <f>IF($AB330="","",IF(INDEX(기본자료!$G$2:$G$1001,$AB330)="","",IF(NOT(ISNUMBER(INDEX(기본자료!$G$2:$G$1001,$AB330))),INDEX(기본자료!$G$2:$G$1001,$AB330),IF(INDEX(기본자료!$G$2:$G$1001,$AB330)&lt;1000000,INDEX(기본자료!$G$2:$G$1001,$AB330),IF(AND(INDEX(기본자료!$G$2:$G$1001,$AB330)&gt;=10000101,INT(MOD(INDEX(기본자료!$G$2:$G$1001,$AB330),10000)/100)&gt;=1,INT(MOD(INDEX(기본자료!$G$2:$G$1001,$AB330),10000)/100)&lt;=12,MOD(INDEX(기본자료!$G$2:$G$1001,$AB330),100)&gt;=1,MOD(INDEX(기본자료!$G$2:$G$1001,$AB330),100)&lt;=31),DATE(INT(INDEX(기본자료!$G$2:$G$1001,$AB330)/10000),INT(MOD(INDEX(기본자료!$G$2:$G$1001,$AB330),10000)/100),MOD(INDEX(기본자료!$G$2:$G$1001,$AB330),100)),INDEX(기본자료!$G$2:$G$1001,$AB330)&amp;"")))))</f>
        <v/>
      </c>
      <c r="J330" s="10">
        <f>IF($AB330="","",IF(INDEX(기본자료!$H$2:$H$1001,$AB330)="","",INDEX(기본자료!$H$2:$H$1001,$AB330)))</f>
        <v/>
      </c>
      <c r="K330" s="10">
        <f>IF($AB330="","",IF(INDEX(기본자료!$I$2:$I$1001,$AB330)="","",INDEX(기본자료!$I$2:$I$1001,$AB330)))</f>
        <v/>
      </c>
      <c r="L330" s="10">
        <f>IF($AB330="","",IF(INDEX(기본자료!$A$2:$A$1001,$AB330)="","",INDEX(기본자료!$A$2:$A$1001,$AB330)))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파견수련계획!$AB$4:$AB$803,$AK330),OR(NOT(ISNUMBER(INDEX(파견수련계획!$AC$4:$AC$803,$AK330))),TODAY()&lt;=INDEX(파견수련계획!$AC$4:$AC$803,$AK330))),"다기관",IF($AF330="","",INDEX(파견수련계획!$T$4:$T$803,$AF330))),IF($AF330="","",INDEX(파견수련계획!$T$4:$T$803,$AF330))))</f>
        <v/>
      </c>
      <c r="Q330" s="10">
        <f>IF($AF330="","",INDEX(파견수련계획!$S$4:$S$803,$AF330))</f>
        <v/>
      </c>
      <c r="R330" s="10">
        <f>IF($AF330="","",INDEX(파견수련계획!$U$4:$U$803,$AF330))</f>
        <v/>
      </c>
      <c r="S330" s="11">
        <f>IF($AF330="","",IF(INDEX(파견수련계획!$H$4:$H$803,$AF330)="","",INDEX(파견수련계획!$H$4:$H$803,$AF330)))</f>
        <v/>
      </c>
      <c r="T330" s="11">
        <f>IF($AF330="","",IF(INDEX(파견수련계획!$I$4:$I$803,$AF330)="","",INDEX(파견수련계획!$I$4:$I$803,$AF330)))</f>
        <v/>
      </c>
      <c r="U330" s="10">
        <f>IF($AF330="","",INDEX(파견수련계획!$X$4:$X$803,$AF330))</f>
        <v/>
      </c>
      <c r="V330" s="17">
        <f>IF($AF330="","",INDEX(파견수련계획!$V$4:$V$803,$AF330))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IF(OR($B330="",TRIM($J330&amp;"")=""),"",SUMPRODUCT((파견수련계획!$Q$4:$Q$803=TRIM($J330&amp;""))*파견수련계획!$W$4:$W$803))</f>
        <v/>
      </c>
      <c r="Y330" s="10">
        <f>IF($B330="","",IF($AG330="","",IF(IF(TRIM($J330&amp;"")="",0,SUMPRODUCT((파견수련계획!$Q$4:$Q$803=TRIM($J330&amp;""))*파견수련계획!$AD$4:$AD$803))&gt;0,$AE330,IF(N($X330)&lt;=0,$AG330,IF($AH330+$AI330=DAY(EOMONTH(요약!$B$3,0)),IF(AND($AH330&gt;=요약!$E$3,$AI330&lt;요약!$E$3),"서울병원",IF(AND($AI330&gt;=요약!$E$3,$AH330&lt;요약!$E$3),"구리병원","⚠15일 판정불가(서울 "&amp;$AH330&amp;"일/구리 "&amp;$AI330&amp;"일)")),IF($AJ330="",$AE330,IF(INDEX(파견수련계획!$T$4:$T$803,$AJ330)="통합수련",INDEX(파견수련계획!$S$4:$S$803,$AJ330),$AE330)))))))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입력",IF(IF(TRIM($J330&amp;"")="",0,SUMPRODUCT((파견수련계획!$Q$4:$Q$803=TRIM($J330&amp;""))*(파견수련계획!$AA$4:$AA$803&lt;&gt;"")))&gt;0,"파견수련계획 입력오류 확인",IF(LEFT($Y330,1)="⚠","서울·구리 15일 판정 불가(양쪽 모두 이상/미만)",IF(IF($AC330="",0,N(INDEX(인턴근무계획!$T$3:$T$402,$AC330)))&gt;0,"인턴계획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IF($B330="","",IFERROR(MATCH($B330,기본자료!$B$2:$B$1001,0),IFERROR(MATCH($B330&amp;"",기본자료!$B$2:$B$1001,0),IFERROR(MATCH(VALUE($B330),기본자료!$B$2:$B$1001,0),""))))</f>
        <v/>
      </c>
      <c r="AC330" s="10">
        <f>IF($B330="","",IFERROR(MATCH($B330,인턴근무계획!$D$3:$D$402,0),IFERROR(MATCH($B330&amp;"",인턴근무계획!$D$3:$D$402,0),IFERROR(MATCH(VALUE($B330),인턴근무계획!$D$3:$D$402,0),""))))</f>
        <v/>
      </c>
      <c r="AD330" s="10">
        <f>IF(OR($AC330="",인턴현황!$G$3=""),"",INDEX(인턴근무계획!$M$3:$R$402,$AC330,인턴현황!$G$3)&amp;"")</f>
        <v/>
      </c>
      <c r="AE330" s="10">
        <f>IF($B330="","",IF($M330&lt;&gt;"",$M330,IF($AF330&lt;&gt;"",IF(LEFT(INDEX(파견수련계획!$R$4:$R$803,$AF330),1)&lt;&gt;"⚠",INDEX(파견수련계획!$R$4:$R$803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파견수련계획!$Y$4:$Y$803,0),IFERROR(MATCH(TRIM($J330&amp;"")&amp;"|파견예정",파견수련계획!$Y$4:$Y$803,0),IFERROR(MATCH(TRIM($J330&amp;"")&amp;"|파견종료",파견수련계획!$Y$4:$Y$803,0),""))))</f>
        <v/>
      </c>
      <c r="AG330" s="10">
        <f>IF($B330="","",IF(AND(IF(OR($AC330="",인턴현황!$K$2=""),"",INDEX(인턴근무계획!$M$3:$R$402,$AC330,인턴현황!$K$2)&amp;"")&lt;&gt;"",LEFT(IF(OR($AC330="",인턴현황!$K$2=""),"",INDEX(인턴근무계획!$M$3:$R$402,$AC330,인턴현황!$K$2)&amp;""),1)&lt;&gt;"⚠"),LEFT(IF(OR($AC330="",인턴현황!$K$2=""),"",INDEX(인턴근무계획!$M$3:$R$402,$AC330,인턴현황!$K$2)&amp;""),FIND(" ",IF(OR($AC330="",인턴현황!$K$2=""),"",INDEX(인턴근무계획!$M$3:$R$402,$AC330,인턴현황!$K$2)&amp;""))-1),$AE330))</f>
        <v/>
      </c>
      <c r="AH330" s="17">
        <f>IF($B330="","",IF(TRIM($J330&amp;"")="",0,SUMPRODUCT((파견수련계획!$Q$4:$Q$803=TRIM($J330&amp;""))*(파견수련계획!$S$4:$S$803="서울병원")*파견수련계획!$W$4:$W$803))+IF($AG330="서울병원",MAX(0,DAY(EOMONTH(요약!$B$3,0))-N($X330)),0))</f>
        <v/>
      </c>
      <c r="AI330" s="17">
        <f>IF($B330="","",IF(TRIM($J330&amp;"")="",0,SUMPRODUCT((파견수련계획!$Q$4:$Q$803=TRIM($J330&amp;""))*(파견수련계획!$S$4:$S$803="구리병원")*파견수련계획!$W$4:$W$803))+IF($AG330="구리병원",MAX(0,DAY(EOMONTH(요약!$B$3,0))-N($X330)),0))</f>
        <v/>
      </c>
      <c r="AJ330" s="10">
        <f>IF(OR($B330="",TRIM($J330&amp;"")=""),"",IFERROR(MATCH(TRIM($J330&amp;"")&amp;"|월",파견수련계획!$Z$4:$Z$803,0),""))</f>
        <v/>
      </c>
      <c r="AK330" s="10">
        <f>IF(OR($B330="",TRIM($J330&amp;"")=""),"",IFERROR(MATCH(TRIM($J330&amp;"")&amp;"|다기관",파견수련계획!$AE$4:$AE$803,0),""))</f>
        <v/>
      </c>
      <c r="AL330" s="10">
        <f>IF($AK330="","","다기관 "&amp;TEXT(INDEX(파견수련계획!$AB$4:$AB$803,$AK330),"yyyy-mm-dd")&amp;"~"&amp;IF(ISNUMBER(INDEX(파견수련계획!$AC$4:$AC$803,$AK330)),TEXT(INDEX(파견수련계획!$AC$4:$AC$803,$AK330),"yyyy-mm-dd"),""))</f>
        <v/>
      </c>
    </row>
    <row r="331">
      <c r="A331" s="10">
        <f>IF(B331="","",ROW()-1)</f>
        <v/>
      </c>
      <c r="B331" s="18" t="n"/>
      <c r="C331" s="10">
        <f>IF($AB331="","",IF(INDEX(기본자료!$C$2:$C$1001,$AB331)="","",INDEX(기본자료!$C$2:$C$1001,$AB331)))</f>
        <v/>
      </c>
      <c r="D331" s="10">
        <f>IF($AB331="","",IF(INDEX(기본자료!$J$2:$J$1001,$AB331)="","",INDEX(기본자료!$J$2:$J$1001,$AB331)))</f>
        <v/>
      </c>
      <c r="E331" s="11">
        <f>IF($AB331="","",IF(INDEX(기본자료!$K$2:$K$1001,$AB331)="","",IF(NOT(ISNUMBER(INDEX(기본자료!$K$2:$K$1001,$AB331))),INDEX(기본자료!$K$2:$K$1001,$AB331),IF(INDEX(기본자료!$K$2:$K$1001,$AB331)&lt;1000000,INDEX(기본자료!$K$2:$K$1001,$AB331),IF(AND(INDEX(기본자료!$K$2:$K$1001,$AB331)&gt;=10000101,INT(MOD(INDEX(기본자료!$K$2:$K$1001,$AB331),10000)/100)&gt;=1,INT(MOD(INDEX(기본자료!$K$2:$K$1001,$AB331),10000)/100)&lt;=12,MOD(INDEX(기본자료!$K$2:$K$1001,$AB331),100)&gt;=1,MOD(INDEX(기본자료!$K$2:$K$1001,$AB331),100)&lt;=31),DATE(INT(INDEX(기본자료!$K$2:$K$1001,$AB331)/10000),INT(MOD(INDEX(기본자료!$K$2:$K$1001,$AB331),10000)/100),MOD(INDEX(기본자료!$K$2:$K$1001,$AB331),100)),INDEX(기본자료!$K$2:$K$1001,$AB331)&amp;"")))))</f>
        <v/>
      </c>
      <c r="F331" s="10">
        <f>IF($AB331="","",IF(INDEX(기본자료!$D$2:$D$1001,$AB331)="","",INDEX(기본자료!$D$2:$D$1001,$AB331)))</f>
        <v/>
      </c>
      <c r="G331" s="10">
        <f>IF($AB331="","",IF(INDEX(기본자료!$E$2:$E$1001,$AB331)="","",INDEX(기본자료!$E$2:$E$1001,$AB331)))</f>
        <v/>
      </c>
      <c r="H331" s="10">
        <f>IF($AB331="","",IF(INDEX(기본자료!$F$2:$F$1001,$AB331)="","",INDEX(기본자료!$F$2:$F$1001,$AB331)))</f>
        <v/>
      </c>
      <c r="I331" s="11">
        <f>IF($AB331="","",IF(INDEX(기본자료!$G$2:$G$1001,$AB331)="","",IF(NOT(ISNUMBER(INDEX(기본자료!$G$2:$G$1001,$AB331))),INDEX(기본자료!$G$2:$G$1001,$AB331),IF(INDEX(기본자료!$G$2:$G$1001,$AB331)&lt;1000000,INDEX(기본자료!$G$2:$G$1001,$AB331),IF(AND(INDEX(기본자료!$G$2:$G$1001,$AB331)&gt;=10000101,INT(MOD(INDEX(기본자료!$G$2:$G$1001,$AB331),10000)/100)&gt;=1,INT(MOD(INDEX(기본자료!$G$2:$G$1001,$AB331),10000)/100)&lt;=12,MOD(INDEX(기본자료!$G$2:$G$1001,$AB331),100)&gt;=1,MOD(INDEX(기본자료!$G$2:$G$1001,$AB331),100)&lt;=31),DATE(INT(INDEX(기본자료!$G$2:$G$1001,$AB331)/10000),INT(MOD(INDEX(기본자료!$G$2:$G$1001,$AB331),10000)/100),MOD(INDEX(기본자료!$G$2:$G$1001,$AB331),100)),INDEX(기본자료!$G$2:$G$1001,$AB331)&amp;"")))))</f>
        <v/>
      </c>
      <c r="J331" s="10">
        <f>IF($AB331="","",IF(INDEX(기본자료!$H$2:$H$1001,$AB331)="","",INDEX(기본자료!$H$2:$H$1001,$AB331)))</f>
        <v/>
      </c>
      <c r="K331" s="10">
        <f>IF($AB331="","",IF(INDEX(기본자료!$I$2:$I$1001,$AB331)="","",INDEX(기본자료!$I$2:$I$1001,$AB331)))</f>
        <v/>
      </c>
      <c r="L331" s="10">
        <f>IF($AB331="","",IF(INDEX(기본자료!$A$2:$A$1001,$AB331)="","",INDEX(기본자료!$A$2:$A$1001,$AB331)))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파견수련계획!$AB$4:$AB$803,$AK331),OR(NOT(ISNUMBER(INDEX(파견수련계획!$AC$4:$AC$803,$AK331))),TODAY()&lt;=INDEX(파견수련계획!$AC$4:$AC$803,$AK331))),"다기관",IF($AF331="","",INDEX(파견수련계획!$T$4:$T$803,$AF331))),IF($AF331="","",INDEX(파견수련계획!$T$4:$T$803,$AF331))))</f>
        <v/>
      </c>
      <c r="Q331" s="10">
        <f>IF($AF331="","",INDEX(파견수련계획!$S$4:$S$803,$AF331))</f>
        <v/>
      </c>
      <c r="R331" s="10">
        <f>IF($AF331="","",INDEX(파견수련계획!$U$4:$U$803,$AF331))</f>
        <v/>
      </c>
      <c r="S331" s="11">
        <f>IF($AF331="","",IF(INDEX(파견수련계획!$H$4:$H$803,$AF331)="","",INDEX(파견수련계획!$H$4:$H$803,$AF331)))</f>
        <v/>
      </c>
      <c r="T331" s="11">
        <f>IF($AF331="","",IF(INDEX(파견수련계획!$I$4:$I$803,$AF331)="","",INDEX(파견수련계획!$I$4:$I$803,$AF331)))</f>
        <v/>
      </c>
      <c r="U331" s="10">
        <f>IF($AF331="","",INDEX(파견수련계획!$X$4:$X$803,$AF331))</f>
        <v/>
      </c>
      <c r="V331" s="17">
        <f>IF($AF331="","",INDEX(파견수련계획!$V$4:$V$803,$AF331))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IF(OR($B331="",TRIM($J331&amp;"")=""),"",SUMPRODUCT((파견수련계획!$Q$4:$Q$803=TRIM($J331&amp;""))*파견수련계획!$W$4:$W$803))</f>
        <v/>
      </c>
      <c r="Y331" s="10">
        <f>IF($B331="","",IF($AG331="","",IF(IF(TRIM($J331&amp;"")="",0,SUMPRODUCT((파견수련계획!$Q$4:$Q$803=TRIM($J331&amp;""))*파견수련계획!$AD$4:$AD$803))&gt;0,$AE331,IF(N($X331)&lt;=0,$AG331,IF($AH331+$AI331=DAY(EOMONTH(요약!$B$3,0)),IF(AND($AH331&gt;=요약!$E$3,$AI331&lt;요약!$E$3),"서울병원",IF(AND($AI331&gt;=요약!$E$3,$AH331&lt;요약!$E$3),"구리병원","⚠15일 판정불가(서울 "&amp;$AH331&amp;"일/구리 "&amp;$AI331&amp;"일)")),IF($AJ331="",$AE331,IF(INDEX(파견수련계획!$T$4:$T$803,$AJ331)="통합수련",INDEX(파견수련계획!$S$4:$S$803,$AJ331),$AE331)))))))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입력",IF(IF(TRIM($J331&amp;"")="",0,SUMPRODUCT((파견수련계획!$Q$4:$Q$803=TRIM($J331&amp;""))*(파견수련계획!$AA$4:$AA$803&lt;&gt;"")))&gt;0,"파견수련계획 입력오류 확인",IF(LEFT($Y331,1)="⚠","서울·구리 15일 판정 불가(양쪽 모두 이상/미만)",IF(IF($AC331="",0,N(INDEX(인턴근무계획!$T$3:$T$402,$AC331)))&gt;0,"인턴계획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IF($B331="","",IFERROR(MATCH($B331,기본자료!$B$2:$B$1001,0),IFERROR(MATCH($B331&amp;"",기본자료!$B$2:$B$1001,0),IFERROR(MATCH(VALUE($B331),기본자료!$B$2:$B$1001,0),""))))</f>
        <v/>
      </c>
      <c r="AC331" s="10">
        <f>IF($B331="","",IFERROR(MATCH($B331,인턴근무계획!$D$3:$D$402,0),IFERROR(MATCH($B331&amp;"",인턴근무계획!$D$3:$D$402,0),IFERROR(MATCH(VALUE($B331),인턴근무계획!$D$3:$D$402,0),""))))</f>
        <v/>
      </c>
      <c r="AD331" s="10">
        <f>IF(OR($AC331="",인턴현황!$G$3=""),"",INDEX(인턴근무계획!$M$3:$R$402,$AC331,인턴현황!$G$3)&amp;"")</f>
        <v/>
      </c>
      <c r="AE331" s="10">
        <f>IF($B331="","",IF($M331&lt;&gt;"",$M331,IF($AF331&lt;&gt;"",IF(LEFT(INDEX(파견수련계획!$R$4:$R$803,$AF331),1)&lt;&gt;"⚠",INDEX(파견수련계획!$R$4:$R$803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파견수련계획!$Y$4:$Y$803,0),IFERROR(MATCH(TRIM($J331&amp;"")&amp;"|파견예정",파견수련계획!$Y$4:$Y$803,0),IFERROR(MATCH(TRIM($J331&amp;"")&amp;"|파견종료",파견수련계획!$Y$4:$Y$803,0),""))))</f>
        <v/>
      </c>
      <c r="AG331" s="10">
        <f>IF($B331="","",IF(AND(IF(OR($AC331="",인턴현황!$K$2=""),"",INDEX(인턴근무계획!$M$3:$R$402,$AC331,인턴현황!$K$2)&amp;"")&lt;&gt;"",LEFT(IF(OR($AC331="",인턴현황!$K$2=""),"",INDEX(인턴근무계획!$M$3:$R$402,$AC331,인턴현황!$K$2)&amp;""),1)&lt;&gt;"⚠"),LEFT(IF(OR($AC331="",인턴현황!$K$2=""),"",INDEX(인턴근무계획!$M$3:$R$402,$AC331,인턴현황!$K$2)&amp;""),FIND(" ",IF(OR($AC331="",인턴현황!$K$2=""),"",INDEX(인턴근무계획!$M$3:$R$402,$AC331,인턴현황!$K$2)&amp;""))-1),$AE331))</f>
        <v/>
      </c>
      <c r="AH331" s="17">
        <f>IF($B331="","",IF(TRIM($J331&amp;"")="",0,SUMPRODUCT((파견수련계획!$Q$4:$Q$803=TRIM($J331&amp;""))*(파견수련계획!$S$4:$S$803="서울병원")*파견수련계획!$W$4:$W$803))+IF($AG331="서울병원",MAX(0,DAY(EOMONTH(요약!$B$3,0))-N($X331)),0))</f>
        <v/>
      </c>
      <c r="AI331" s="17">
        <f>IF($B331="","",IF(TRIM($J331&amp;"")="",0,SUMPRODUCT((파견수련계획!$Q$4:$Q$803=TRIM($J331&amp;""))*(파견수련계획!$S$4:$S$803="구리병원")*파견수련계획!$W$4:$W$803))+IF($AG331="구리병원",MAX(0,DAY(EOMONTH(요약!$B$3,0))-N($X331)),0))</f>
        <v/>
      </c>
      <c r="AJ331" s="10">
        <f>IF(OR($B331="",TRIM($J331&amp;"")=""),"",IFERROR(MATCH(TRIM($J331&amp;"")&amp;"|월",파견수련계획!$Z$4:$Z$803,0),""))</f>
        <v/>
      </c>
      <c r="AK331" s="10">
        <f>IF(OR($B331="",TRIM($J331&amp;"")=""),"",IFERROR(MATCH(TRIM($J331&amp;"")&amp;"|다기관",파견수련계획!$AE$4:$AE$803,0),""))</f>
        <v/>
      </c>
      <c r="AL331" s="10">
        <f>IF($AK331="","","다기관 "&amp;TEXT(INDEX(파견수련계획!$AB$4:$AB$803,$AK331),"yyyy-mm-dd")&amp;"~"&amp;IF(ISNUMBER(INDEX(파견수련계획!$AC$4:$AC$803,$AK331)),TEXT(INDEX(파견수련계획!$AC$4:$AC$803,$AK331),"yyyy-mm-dd"),""))</f>
        <v/>
      </c>
    </row>
    <row r="332">
      <c r="A332" s="10">
        <f>IF(B332="","",ROW()-1)</f>
        <v/>
      </c>
      <c r="B332" s="18" t="n"/>
      <c r="C332" s="10">
        <f>IF($AB332="","",IF(INDEX(기본자료!$C$2:$C$1001,$AB332)="","",INDEX(기본자료!$C$2:$C$1001,$AB332)))</f>
        <v/>
      </c>
      <c r="D332" s="10">
        <f>IF($AB332="","",IF(INDEX(기본자료!$J$2:$J$1001,$AB332)="","",INDEX(기본자료!$J$2:$J$1001,$AB332)))</f>
        <v/>
      </c>
      <c r="E332" s="11">
        <f>IF($AB332="","",IF(INDEX(기본자료!$K$2:$K$1001,$AB332)="","",IF(NOT(ISNUMBER(INDEX(기본자료!$K$2:$K$1001,$AB332))),INDEX(기본자료!$K$2:$K$1001,$AB332),IF(INDEX(기본자료!$K$2:$K$1001,$AB332)&lt;1000000,INDEX(기본자료!$K$2:$K$1001,$AB332),IF(AND(INDEX(기본자료!$K$2:$K$1001,$AB332)&gt;=10000101,INT(MOD(INDEX(기본자료!$K$2:$K$1001,$AB332),10000)/100)&gt;=1,INT(MOD(INDEX(기본자료!$K$2:$K$1001,$AB332),10000)/100)&lt;=12,MOD(INDEX(기본자료!$K$2:$K$1001,$AB332),100)&gt;=1,MOD(INDEX(기본자료!$K$2:$K$1001,$AB332),100)&lt;=31),DATE(INT(INDEX(기본자료!$K$2:$K$1001,$AB332)/10000),INT(MOD(INDEX(기본자료!$K$2:$K$1001,$AB332),10000)/100),MOD(INDEX(기본자료!$K$2:$K$1001,$AB332),100)),INDEX(기본자료!$K$2:$K$1001,$AB332)&amp;"")))))</f>
        <v/>
      </c>
      <c r="F332" s="10">
        <f>IF($AB332="","",IF(INDEX(기본자료!$D$2:$D$1001,$AB332)="","",INDEX(기본자료!$D$2:$D$1001,$AB332)))</f>
        <v/>
      </c>
      <c r="G332" s="10">
        <f>IF($AB332="","",IF(INDEX(기본자료!$E$2:$E$1001,$AB332)="","",INDEX(기본자료!$E$2:$E$1001,$AB332)))</f>
        <v/>
      </c>
      <c r="H332" s="10">
        <f>IF($AB332="","",IF(INDEX(기본자료!$F$2:$F$1001,$AB332)="","",INDEX(기본자료!$F$2:$F$1001,$AB332)))</f>
        <v/>
      </c>
      <c r="I332" s="11">
        <f>IF($AB332="","",IF(INDEX(기본자료!$G$2:$G$1001,$AB332)="","",IF(NOT(ISNUMBER(INDEX(기본자료!$G$2:$G$1001,$AB332))),INDEX(기본자료!$G$2:$G$1001,$AB332),IF(INDEX(기본자료!$G$2:$G$1001,$AB332)&lt;1000000,INDEX(기본자료!$G$2:$G$1001,$AB332),IF(AND(INDEX(기본자료!$G$2:$G$1001,$AB332)&gt;=10000101,INT(MOD(INDEX(기본자료!$G$2:$G$1001,$AB332),10000)/100)&gt;=1,INT(MOD(INDEX(기본자료!$G$2:$G$1001,$AB332),10000)/100)&lt;=12,MOD(INDEX(기본자료!$G$2:$G$1001,$AB332),100)&gt;=1,MOD(INDEX(기본자료!$G$2:$G$1001,$AB332),100)&lt;=31),DATE(INT(INDEX(기본자료!$G$2:$G$1001,$AB332)/10000),INT(MOD(INDEX(기본자료!$G$2:$G$1001,$AB332),10000)/100),MOD(INDEX(기본자료!$G$2:$G$1001,$AB332),100)),INDEX(기본자료!$G$2:$G$1001,$AB332)&amp;"")))))</f>
        <v/>
      </c>
      <c r="J332" s="10">
        <f>IF($AB332="","",IF(INDEX(기본자료!$H$2:$H$1001,$AB332)="","",INDEX(기본자료!$H$2:$H$1001,$AB332)))</f>
        <v/>
      </c>
      <c r="K332" s="10">
        <f>IF($AB332="","",IF(INDEX(기본자료!$I$2:$I$1001,$AB332)="","",INDEX(기본자료!$I$2:$I$1001,$AB332)))</f>
        <v/>
      </c>
      <c r="L332" s="10">
        <f>IF($AB332="","",IF(INDEX(기본자료!$A$2:$A$1001,$AB332)="","",INDEX(기본자료!$A$2:$A$1001,$AB332)))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파견수련계획!$AB$4:$AB$803,$AK332),OR(NOT(ISNUMBER(INDEX(파견수련계획!$AC$4:$AC$803,$AK332))),TODAY()&lt;=INDEX(파견수련계획!$AC$4:$AC$803,$AK332))),"다기관",IF($AF332="","",INDEX(파견수련계획!$T$4:$T$803,$AF332))),IF($AF332="","",INDEX(파견수련계획!$T$4:$T$803,$AF332))))</f>
        <v/>
      </c>
      <c r="Q332" s="10">
        <f>IF($AF332="","",INDEX(파견수련계획!$S$4:$S$803,$AF332))</f>
        <v/>
      </c>
      <c r="R332" s="10">
        <f>IF($AF332="","",INDEX(파견수련계획!$U$4:$U$803,$AF332))</f>
        <v/>
      </c>
      <c r="S332" s="11">
        <f>IF($AF332="","",IF(INDEX(파견수련계획!$H$4:$H$803,$AF332)="","",INDEX(파견수련계획!$H$4:$H$803,$AF332)))</f>
        <v/>
      </c>
      <c r="T332" s="11">
        <f>IF($AF332="","",IF(INDEX(파견수련계획!$I$4:$I$803,$AF332)="","",INDEX(파견수련계획!$I$4:$I$803,$AF332)))</f>
        <v/>
      </c>
      <c r="U332" s="10">
        <f>IF($AF332="","",INDEX(파견수련계획!$X$4:$X$803,$AF332))</f>
        <v/>
      </c>
      <c r="V332" s="17">
        <f>IF($AF332="","",INDEX(파견수련계획!$V$4:$V$803,$AF332))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IF(OR($B332="",TRIM($J332&amp;"")=""),"",SUMPRODUCT((파견수련계획!$Q$4:$Q$803=TRIM($J332&amp;""))*파견수련계획!$W$4:$W$803))</f>
        <v/>
      </c>
      <c r="Y332" s="10">
        <f>IF($B332="","",IF($AG332="","",IF(IF(TRIM($J332&amp;"")="",0,SUMPRODUCT((파견수련계획!$Q$4:$Q$803=TRIM($J332&amp;""))*파견수련계획!$AD$4:$AD$803))&gt;0,$AE332,IF(N($X332)&lt;=0,$AG332,IF($AH332+$AI332=DAY(EOMONTH(요약!$B$3,0)),IF(AND($AH332&gt;=요약!$E$3,$AI332&lt;요약!$E$3),"서울병원",IF(AND($AI332&gt;=요약!$E$3,$AH332&lt;요약!$E$3),"구리병원","⚠15일 판정불가(서울 "&amp;$AH332&amp;"일/구리 "&amp;$AI332&amp;"일)")),IF($AJ332="",$AE332,IF(INDEX(파견수련계획!$T$4:$T$803,$AJ332)="통합수련",INDEX(파견수련계획!$S$4:$S$803,$AJ332),$AE332)))))))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입력",IF(IF(TRIM($J332&amp;"")="",0,SUMPRODUCT((파견수련계획!$Q$4:$Q$803=TRIM($J332&amp;""))*(파견수련계획!$AA$4:$AA$803&lt;&gt;"")))&gt;0,"파견수련계획 입력오류 확인",IF(LEFT($Y332,1)="⚠","서울·구리 15일 판정 불가(양쪽 모두 이상/미만)",IF(IF($AC332="",0,N(INDEX(인턴근무계획!$T$3:$T$402,$AC332)))&gt;0,"인턴계획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IF($B332="","",IFERROR(MATCH($B332,기본자료!$B$2:$B$1001,0),IFERROR(MATCH($B332&amp;"",기본자료!$B$2:$B$1001,0),IFERROR(MATCH(VALUE($B332),기본자료!$B$2:$B$1001,0),""))))</f>
        <v/>
      </c>
      <c r="AC332" s="10">
        <f>IF($B332="","",IFERROR(MATCH($B332,인턴근무계획!$D$3:$D$402,0),IFERROR(MATCH($B332&amp;"",인턴근무계획!$D$3:$D$402,0),IFERROR(MATCH(VALUE($B332),인턴근무계획!$D$3:$D$402,0),""))))</f>
        <v/>
      </c>
      <c r="AD332" s="10">
        <f>IF(OR($AC332="",인턴현황!$G$3=""),"",INDEX(인턴근무계획!$M$3:$R$402,$AC332,인턴현황!$G$3)&amp;"")</f>
        <v/>
      </c>
      <c r="AE332" s="10">
        <f>IF($B332="","",IF($M332&lt;&gt;"",$M332,IF($AF332&lt;&gt;"",IF(LEFT(INDEX(파견수련계획!$R$4:$R$803,$AF332),1)&lt;&gt;"⚠",INDEX(파견수련계획!$R$4:$R$803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파견수련계획!$Y$4:$Y$803,0),IFERROR(MATCH(TRIM($J332&amp;"")&amp;"|파견예정",파견수련계획!$Y$4:$Y$803,0),IFERROR(MATCH(TRIM($J332&amp;"")&amp;"|파견종료",파견수련계획!$Y$4:$Y$803,0),""))))</f>
        <v/>
      </c>
      <c r="AG332" s="10">
        <f>IF($B332="","",IF(AND(IF(OR($AC332="",인턴현황!$K$2=""),"",INDEX(인턴근무계획!$M$3:$R$402,$AC332,인턴현황!$K$2)&amp;"")&lt;&gt;"",LEFT(IF(OR($AC332="",인턴현황!$K$2=""),"",INDEX(인턴근무계획!$M$3:$R$402,$AC332,인턴현황!$K$2)&amp;""),1)&lt;&gt;"⚠"),LEFT(IF(OR($AC332="",인턴현황!$K$2=""),"",INDEX(인턴근무계획!$M$3:$R$402,$AC332,인턴현황!$K$2)&amp;""),FIND(" ",IF(OR($AC332="",인턴현황!$K$2=""),"",INDEX(인턴근무계획!$M$3:$R$402,$AC332,인턴현황!$K$2)&amp;""))-1),$AE332))</f>
        <v/>
      </c>
      <c r="AH332" s="17">
        <f>IF($B332="","",IF(TRIM($J332&amp;"")="",0,SUMPRODUCT((파견수련계획!$Q$4:$Q$803=TRIM($J332&amp;""))*(파견수련계획!$S$4:$S$803="서울병원")*파견수련계획!$W$4:$W$803))+IF($AG332="서울병원",MAX(0,DAY(EOMONTH(요약!$B$3,0))-N($X332)),0))</f>
        <v/>
      </c>
      <c r="AI332" s="17">
        <f>IF($B332="","",IF(TRIM($J332&amp;"")="",0,SUMPRODUCT((파견수련계획!$Q$4:$Q$803=TRIM($J332&amp;""))*(파견수련계획!$S$4:$S$803="구리병원")*파견수련계획!$W$4:$W$803))+IF($AG332="구리병원",MAX(0,DAY(EOMONTH(요약!$B$3,0))-N($X332)),0))</f>
        <v/>
      </c>
      <c r="AJ332" s="10">
        <f>IF(OR($B332="",TRIM($J332&amp;"")=""),"",IFERROR(MATCH(TRIM($J332&amp;"")&amp;"|월",파견수련계획!$Z$4:$Z$803,0),""))</f>
        <v/>
      </c>
      <c r="AK332" s="10">
        <f>IF(OR($B332="",TRIM($J332&amp;"")=""),"",IFERROR(MATCH(TRIM($J332&amp;"")&amp;"|다기관",파견수련계획!$AE$4:$AE$803,0),""))</f>
        <v/>
      </c>
      <c r="AL332" s="10">
        <f>IF($AK332="","","다기관 "&amp;TEXT(INDEX(파견수련계획!$AB$4:$AB$803,$AK332),"yyyy-mm-dd")&amp;"~"&amp;IF(ISNUMBER(INDEX(파견수련계획!$AC$4:$AC$803,$AK332)),TEXT(INDEX(파견수련계획!$AC$4:$AC$803,$AK332),"yyyy-mm-dd"),""))</f>
        <v/>
      </c>
    </row>
    <row r="333">
      <c r="A333" s="10">
        <f>IF(B333="","",ROW()-1)</f>
        <v/>
      </c>
      <c r="B333" s="18" t="n"/>
      <c r="C333" s="10">
        <f>IF($AB333="","",IF(INDEX(기본자료!$C$2:$C$1001,$AB333)="","",INDEX(기본자료!$C$2:$C$1001,$AB333)))</f>
        <v/>
      </c>
      <c r="D333" s="10">
        <f>IF($AB333="","",IF(INDEX(기본자료!$J$2:$J$1001,$AB333)="","",INDEX(기본자료!$J$2:$J$1001,$AB333)))</f>
        <v/>
      </c>
      <c r="E333" s="11">
        <f>IF($AB333="","",IF(INDEX(기본자료!$K$2:$K$1001,$AB333)="","",IF(NOT(ISNUMBER(INDEX(기본자료!$K$2:$K$1001,$AB333))),INDEX(기본자료!$K$2:$K$1001,$AB333),IF(INDEX(기본자료!$K$2:$K$1001,$AB333)&lt;1000000,INDEX(기본자료!$K$2:$K$1001,$AB333),IF(AND(INDEX(기본자료!$K$2:$K$1001,$AB333)&gt;=10000101,INT(MOD(INDEX(기본자료!$K$2:$K$1001,$AB333),10000)/100)&gt;=1,INT(MOD(INDEX(기본자료!$K$2:$K$1001,$AB333),10000)/100)&lt;=12,MOD(INDEX(기본자료!$K$2:$K$1001,$AB333),100)&gt;=1,MOD(INDEX(기본자료!$K$2:$K$1001,$AB333),100)&lt;=31),DATE(INT(INDEX(기본자료!$K$2:$K$1001,$AB333)/10000),INT(MOD(INDEX(기본자료!$K$2:$K$1001,$AB333),10000)/100),MOD(INDEX(기본자료!$K$2:$K$1001,$AB333),100)),INDEX(기본자료!$K$2:$K$1001,$AB333)&amp;"")))))</f>
        <v/>
      </c>
      <c r="F333" s="10">
        <f>IF($AB333="","",IF(INDEX(기본자료!$D$2:$D$1001,$AB333)="","",INDEX(기본자료!$D$2:$D$1001,$AB333)))</f>
        <v/>
      </c>
      <c r="G333" s="10">
        <f>IF($AB333="","",IF(INDEX(기본자료!$E$2:$E$1001,$AB333)="","",INDEX(기본자료!$E$2:$E$1001,$AB333)))</f>
        <v/>
      </c>
      <c r="H333" s="10">
        <f>IF($AB333="","",IF(INDEX(기본자료!$F$2:$F$1001,$AB333)="","",INDEX(기본자료!$F$2:$F$1001,$AB333)))</f>
        <v/>
      </c>
      <c r="I333" s="11">
        <f>IF($AB333="","",IF(INDEX(기본자료!$G$2:$G$1001,$AB333)="","",IF(NOT(ISNUMBER(INDEX(기본자료!$G$2:$G$1001,$AB333))),INDEX(기본자료!$G$2:$G$1001,$AB333),IF(INDEX(기본자료!$G$2:$G$1001,$AB333)&lt;1000000,INDEX(기본자료!$G$2:$G$1001,$AB333),IF(AND(INDEX(기본자료!$G$2:$G$1001,$AB333)&gt;=10000101,INT(MOD(INDEX(기본자료!$G$2:$G$1001,$AB333),10000)/100)&gt;=1,INT(MOD(INDEX(기본자료!$G$2:$G$1001,$AB333),10000)/100)&lt;=12,MOD(INDEX(기본자료!$G$2:$G$1001,$AB333),100)&gt;=1,MOD(INDEX(기본자료!$G$2:$G$1001,$AB333),100)&lt;=31),DATE(INT(INDEX(기본자료!$G$2:$G$1001,$AB333)/10000),INT(MOD(INDEX(기본자료!$G$2:$G$1001,$AB333),10000)/100),MOD(INDEX(기본자료!$G$2:$G$1001,$AB333),100)),INDEX(기본자료!$G$2:$G$1001,$AB333)&amp;"")))))</f>
        <v/>
      </c>
      <c r="J333" s="10">
        <f>IF($AB333="","",IF(INDEX(기본자료!$H$2:$H$1001,$AB333)="","",INDEX(기본자료!$H$2:$H$1001,$AB333)))</f>
        <v/>
      </c>
      <c r="K333" s="10">
        <f>IF($AB333="","",IF(INDEX(기본자료!$I$2:$I$1001,$AB333)="","",INDEX(기본자료!$I$2:$I$1001,$AB333)))</f>
        <v/>
      </c>
      <c r="L333" s="10">
        <f>IF($AB333="","",IF(INDEX(기본자료!$A$2:$A$1001,$AB333)="","",INDEX(기본자료!$A$2:$A$1001,$AB333)))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파견수련계획!$AB$4:$AB$803,$AK333),OR(NOT(ISNUMBER(INDEX(파견수련계획!$AC$4:$AC$803,$AK333))),TODAY()&lt;=INDEX(파견수련계획!$AC$4:$AC$803,$AK333))),"다기관",IF($AF333="","",INDEX(파견수련계획!$T$4:$T$803,$AF333))),IF($AF333="","",INDEX(파견수련계획!$T$4:$T$803,$AF333))))</f>
        <v/>
      </c>
      <c r="Q333" s="10">
        <f>IF($AF333="","",INDEX(파견수련계획!$S$4:$S$803,$AF333))</f>
        <v/>
      </c>
      <c r="R333" s="10">
        <f>IF($AF333="","",INDEX(파견수련계획!$U$4:$U$803,$AF333))</f>
        <v/>
      </c>
      <c r="S333" s="11">
        <f>IF($AF333="","",IF(INDEX(파견수련계획!$H$4:$H$803,$AF333)="","",INDEX(파견수련계획!$H$4:$H$803,$AF333)))</f>
        <v/>
      </c>
      <c r="T333" s="11">
        <f>IF($AF333="","",IF(INDEX(파견수련계획!$I$4:$I$803,$AF333)="","",INDEX(파견수련계획!$I$4:$I$803,$AF333)))</f>
        <v/>
      </c>
      <c r="U333" s="10">
        <f>IF($AF333="","",INDEX(파견수련계획!$X$4:$X$803,$AF333))</f>
        <v/>
      </c>
      <c r="V333" s="17">
        <f>IF($AF333="","",INDEX(파견수련계획!$V$4:$V$803,$AF333))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IF(OR($B333="",TRIM($J333&amp;"")=""),"",SUMPRODUCT((파견수련계획!$Q$4:$Q$803=TRIM($J333&amp;""))*파견수련계획!$W$4:$W$803))</f>
        <v/>
      </c>
      <c r="Y333" s="10">
        <f>IF($B333="","",IF($AG333="","",IF(IF(TRIM($J333&amp;"")="",0,SUMPRODUCT((파견수련계획!$Q$4:$Q$803=TRIM($J333&amp;""))*파견수련계획!$AD$4:$AD$803))&gt;0,$AE333,IF(N($X333)&lt;=0,$AG333,IF($AH333+$AI333=DAY(EOMONTH(요약!$B$3,0)),IF(AND($AH333&gt;=요약!$E$3,$AI333&lt;요약!$E$3),"서울병원",IF(AND($AI333&gt;=요약!$E$3,$AH333&lt;요약!$E$3),"구리병원","⚠15일 판정불가(서울 "&amp;$AH333&amp;"일/구리 "&amp;$AI333&amp;"일)")),IF($AJ333="",$AE333,IF(INDEX(파견수련계획!$T$4:$T$803,$AJ333)="통합수련",INDEX(파견수련계획!$S$4:$S$803,$AJ333),$AE333)))))))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입력",IF(IF(TRIM($J333&amp;"")="",0,SUMPRODUCT((파견수련계획!$Q$4:$Q$803=TRIM($J333&amp;""))*(파견수련계획!$AA$4:$AA$803&lt;&gt;"")))&gt;0,"파견수련계획 입력오류 확인",IF(LEFT($Y333,1)="⚠","서울·구리 15일 판정 불가(양쪽 모두 이상/미만)",IF(IF($AC333="",0,N(INDEX(인턴근무계획!$T$3:$T$402,$AC333)))&gt;0,"인턴계획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IF($B333="","",IFERROR(MATCH($B333,기본자료!$B$2:$B$1001,0),IFERROR(MATCH($B333&amp;"",기본자료!$B$2:$B$1001,0),IFERROR(MATCH(VALUE($B333),기본자료!$B$2:$B$1001,0),""))))</f>
        <v/>
      </c>
      <c r="AC333" s="10">
        <f>IF($B333="","",IFERROR(MATCH($B333,인턴근무계획!$D$3:$D$402,0),IFERROR(MATCH($B333&amp;"",인턴근무계획!$D$3:$D$402,0),IFERROR(MATCH(VALUE($B333),인턴근무계획!$D$3:$D$402,0),""))))</f>
        <v/>
      </c>
      <c r="AD333" s="10">
        <f>IF(OR($AC333="",인턴현황!$G$3=""),"",INDEX(인턴근무계획!$M$3:$R$402,$AC333,인턴현황!$G$3)&amp;"")</f>
        <v/>
      </c>
      <c r="AE333" s="10">
        <f>IF($B333="","",IF($M333&lt;&gt;"",$M333,IF($AF333&lt;&gt;"",IF(LEFT(INDEX(파견수련계획!$R$4:$R$803,$AF333),1)&lt;&gt;"⚠",INDEX(파견수련계획!$R$4:$R$803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파견수련계획!$Y$4:$Y$803,0),IFERROR(MATCH(TRIM($J333&amp;"")&amp;"|파견예정",파견수련계획!$Y$4:$Y$803,0),IFERROR(MATCH(TRIM($J333&amp;"")&amp;"|파견종료",파견수련계획!$Y$4:$Y$803,0),""))))</f>
        <v/>
      </c>
      <c r="AG333" s="10">
        <f>IF($B333="","",IF(AND(IF(OR($AC333="",인턴현황!$K$2=""),"",INDEX(인턴근무계획!$M$3:$R$402,$AC333,인턴현황!$K$2)&amp;"")&lt;&gt;"",LEFT(IF(OR($AC333="",인턴현황!$K$2=""),"",INDEX(인턴근무계획!$M$3:$R$402,$AC333,인턴현황!$K$2)&amp;""),1)&lt;&gt;"⚠"),LEFT(IF(OR($AC333="",인턴현황!$K$2=""),"",INDEX(인턴근무계획!$M$3:$R$402,$AC333,인턴현황!$K$2)&amp;""),FIND(" ",IF(OR($AC333="",인턴현황!$K$2=""),"",INDEX(인턴근무계획!$M$3:$R$402,$AC333,인턴현황!$K$2)&amp;""))-1),$AE333))</f>
        <v/>
      </c>
      <c r="AH333" s="17">
        <f>IF($B333="","",IF(TRIM($J333&amp;"")="",0,SUMPRODUCT((파견수련계획!$Q$4:$Q$803=TRIM($J333&amp;""))*(파견수련계획!$S$4:$S$803="서울병원")*파견수련계획!$W$4:$W$803))+IF($AG333="서울병원",MAX(0,DAY(EOMONTH(요약!$B$3,0))-N($X333)),0))</f>
        <v/>
      </c>
      <c r="AI333" s="17">
        <f>IF($B333="","",IF(TRIM($J333&amp;"")="",0,SUMPRODUCT((파견수련계획!$Q$4:$Q$803=TRIM($J333&amp;""))*(파견수련계획!$S$4:$S$803="구리병원")*파견수련계획!$W$4:$W$803))+IF($AG333="구리병원",MAX(0,DAY(EOMONTH(요약!$B$3,0))-N($X333)),0))</f>
        <v/>
      </c>
      <c r="AJ333" s="10">
        <f>IF(OR($B333="",TRIM($J333&amp;"")=""),"",IFERROR(MATCH(TRIM($J333&amp;"")&amp;"|월",파견수련계획!$Z$4:$Z$803,0),""))</f>
        <v/>
      </c>
      <c r="AK333" s="10">
        <f>IF(OR($B333="",TRIM($J333&amp;"")=""),"",IFERROR(MATCH(TRIM($J333&amp;"")&amp;"|다기관",파견수련계획!$AE$4:$AE$803,0),""))</f>
        <v/>
      </c>
      <c r="AL333" s="10">
        <f>IF($AK333="","","다기관 "&amp;TEXT(INDEX(파견수련계획!$AB$4:$AB$803,$AK333),"yyyy-mm-dd")&amp;"~"&amp;IF(ISNUMBER(INDEX(파견수련계획!$AC$4:$AC$803,$AK333)),TEXT(INDEX(파견수련계획!$AC$4:$AC$803,$AK333),"yyyy-mm-dd"),""))</f>
        <v/>
      </c>
    </row>
    <row r="334">
      <c r="A334" s="10">
        <f>IF(B334="","",ROW()-1)</f>
        <v/>
      </c>
      <c r="B334" s="18" t="n"/>
      <c r="C334" s="10">
        <f>IF($AB334="","",IF(INDEX(기본자료!$C$2:$C$1001,$AB334)="","",INDEX(기본자료!$C$2:$C$1001,$AB334)))</f>
        <v/>
      </c>
      <c r="D334" s="10">
        <f>IF($AB334="","",IF(INDEX(기본자료!$J$2:$J$1001,$AB334)="","",INDEX(기본자료!$J$2:$J$1001,$AB334)))</f>
        <v/>
      </c>
      <c r="E334" s="11">
        <f>IF($AB334="","",IF(INDEX(기본자료!$K$2:$K$1001,$AB334)="","",IF(NOT(ISNUMBER(INDEX(기본자료!$K$2:$K$1001,$AB334))),INDEX(기본자료!$K$2:$K$1001,$AB334),IF(INDEX(기본자료!$K$2:$K$1001,$AB334)&lt;1000000,INDEX(기본자료!$K$2:$K$1001,$AB334),IF(AND(INDEX(기본자료!$K$2:$K$1001,$AB334)&gt;=10000101,INT(MOD(INDEX(기본자료!$K$2:$K$1001,$AB334),10000)/100)&gt;=1,INT(MOD(INDEX(기본자료!$K$2:$K$1001,$AB334),10000)/100)&lt;=12,MOD(INDEX(기본자료!$K$2:$K$1001,$AB334),100)&gt;=1,MOD(INDEX(기본자료!$K$2:$K$1001,$AB334),100)&lt;=31),DATE(INT(INDEX(기본자료!$K$2:$K$1001,$AB334)/10000),INT(MOD(INDEX(기본자료!$K$2:$K$1001,$AB334),10000)/100),MOD(INDEX(기본자료!$K$2:$K$1001,$AB334),100)),INDEX(기본자료!$K$2:$K$1001,$AB334)&amp;"")))))</f>
        <v/>
      </c>
      <c r="F334" s="10">
        <f>IF($AB334="","",IF(INDEX(기본자료!$D$2:$D$1001,$AB334)="","",INDEX(기본자료!$D$2:$D$1001,$AB334)))</f>
        <v/>
      </c>
      <c r="G334" s="10">
        <f>IF($AB334="","",IF(INDEX(기본자료!$E$2:$E$1001,$AB334)="","",INDEX(기본자료!$E$2:$E$1001,$AB334)))</f>
        <v/>
      </c>
      <c r="H334" s="10">
        <f>IF($AB334="","",IF(INDEX(기본자료!$F$2:$F$1001,$AB334)="","",INDEX(기본자료!$F$2:$F$1001,$AB334)))</f>
        <v/>
      </c>
      <c r="I334" s="11">
        <f>IF($AB334="","",IF(INDEX(기본자료!$G$2:$G$1001,$AB334)="","",IF(NOT(ISNUMBER(INDEX(기본자료!$G$2:$G$1001,$AB334))),INDEX(기본자료!$G$2:$G$1001,$AB334),IF(INDEX(기본자료!$G$2:$G$1001,$AB334)&lt;1000000,INDEX(기본자료!$G$2:$G$1001,$AB334),IF(AND(INDEX(기본자료!$G$2:$G$1001,$AB334)&gt;=10000101,INT(MOD(INDEX(기본자료!$G$2:$G$1001,$AB334),10000)/100)&gt;=1,INT(MOD(INDEX(기본자료!$G$2:$G$1001,$AB334),10000)/100)&lt;=12,MOD(INDEX(기본자료!$G$2:$G$1001,$AB334),100)&gt;=1,MOD(INDEX(기본자료!$G$2:$G$1001,$AB334),100)&lt;=31),DATE(INT(INDEX(기본자료!$G$2:$G$1001,$AB334)/10000),INT(MOD(INDEX(기본자료!$G$2:$G$1001,$AB334),10000)/100),MOD(INDEX(기본자료!$G$2:$G$1001,$AB334),100)),INDEX(기본자료!$G$2:$G$1001,$AB334)&amp;"")))))</f>
        <v/>
      </c>
      <c r="J334" s="10">
        <f>IF($AB334="","",IF(INDEX(기본자료!$H$2:$H$1001,$AB334)="","",INDEX(기본자료!$H$2:$H$1001,$AB334)))</f>
        <v/>
      </c>
      <c r="K334" s="10">
        <f>IF($AB334="","",IF(INDEX(기본자료!$I$2:$I$1001,$AB334)="","",INDEX(기본자료!$I$2:$I$1001,$AB334)))</f>
        <v/>
      </c>
      <c r="L334" s="10">
        <f>IF($AB334="","",IF(INDEX(기본자료!$A$2:$A$1001,$AB334)="","",INDEX(기본자료!$A$2:$A$1001,$AB334)))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파견수련계획!$AB$4:$AB$803,$AK334),OR(NOT(ISNUMBER(INDEX(파견수련계획!$AC$4:$AC$803,$AK334))),TODAY()&lt;=INDEX(파견수련계획!$AC$4:$AC$803,$AK334))),"다기관",IF($AF334="","",INDEX(파견수련계획!$T$4:$T$803,$AF334))),IF($AF334="","",INDEX(파견수련계획!$T$4:$T$803,$AF334))))</f>
        <v/>
      </c>
      <c r="Q334" s="10">
        <f>IF($AF334="","",INDEX(파견수련계획!$S$4:$S$803,$AF334))</f>
        <v/>
      </c>
      <c r="R334" s="10">
        <f>IF($AF334="","",INDEX(파견수련계획!$U$4:$U$803,$AF334))</f>
        <v/>
      </c>
      <c r="S334" s="11">
        <f>IF($AF334="","",IF(INDEX(파견수련계획!$H$4:$H$803,$AF334)="","",INDEX(파견수련계획!$H$4:$H$803,$AF334)))</f>
        <v/>
      </c>
      <c r="T334" s="11">
        <f>IF($AF334="","",IF(INDEX(파견수련계획!$I$4:$I$803,$AF334)="","",INDEX(파견수련계획!$I$4:$I$803,$AF334)))</f>
        <v/>
      </c>
      <c r="U334" s="10">
        <f>IF($AF334="","",INDEX(파견수련계획!$X$4:$X$803,$AF334))</f>
        <v/>
      </c>
      <c r="V334" s="17">
        <f>IF($AF334="","",INDEX(파견수련계획!$V$4:$V$803,$AF334))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IF(OR($B334="",TRIM($J334&amp;"")=""),"",SUMPRODUCT((파견수련계획!$Q$4:$Q$803=TRIM($J334&amp;""))*파견수련계획!$W$4:$W$803))</f>
        <v/>
      </c>
      <c r="Y334" s="10">
        <f>IF($B334="","",IF($AG334="","",IF(IF(TRIM($J334&amp;"")="",0,SUMPRODUCT((파견수련계획!$Q$4:$Q$803=TRIM($J334&amp;""))*파견수련계획!$AD$4:$AD$803))&gt;0,$AE334,IF(N($X334)&lt;=0,$AG334,IF($AH334+$AI334=DAY(EOMONTH(요약!$B$3,0)),IF(AND($AH334&gt;=요약!$E$3,$AI334&lt;요약!$E$3),"서울병원",IF(AND($AI334&gt;=요약!$E$3,$AH334&lt;요약!$E$3),"구리병원","⚠15일 판정불가(서울 "&amp;$AH334&amp;"일/구리 "&amp;$AI334&amp;"일)")),IF($AJ334="",$AE334,IF(INDEX(파견수련계획!$T$4:$T$803,$AJ334)="통합수련",INDEX(파견수련계획!$S$4:$S$803,$AJ334),$AE334)))))))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입력",IF(IF(TRIM($J334&amp;"")="",0,SUMPRODUCT((파견수련계획!$Q$4:$Q$803=TRIM($J334&amp;""))*(파견수련계획!$AA$4:$AA$803&lt;&gt;"")))&gt;0,"파견수련계획 입력오류 확인",IF(LEFT($Y334,1)="⚠","서울·구리 15일 판정 불가(양쪽 모두 이상/미만)",IF(IF($AC334="",0,N(INDEX(인턴근무계획!$T$3:$T$402,$AC334)))&gt;0,"인턴계획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IF($B334="","",IFERROR(MATCH($B334,기본자료!$B$2:$B$1001,0),IFERROR(MATCH($B334&amp;"",기본자료!$B$2:$B$1001,0),IFERROR(MATCH(VALUE($B334),기본자료!$B$2:$B$1001,0),""))))</f>
        <v/>
      </c>
      <c r="AC334" s="10">
        <f>IF($B334="","",IFERROR(MATCH($B334,인턴근무계획!$D$3:$D$402,0),IFERROR(MATCH($B334&amp;"",인턴근무계획!$D$3:$D$402,0),IFERROR(MATCH(VALUE($B334),인턴근무계획!$D$3:$D$402,0),""))))</f>
        <v/>
      </c>
      <c r="AD334" s="10">
        <f>IF(OR($AC334="",인턴현황!$G$3=""),"",INDEX(인턴근무계획!$M$3:$R$402,$AC334,인턴현황!$G$3)&amp;"")</f>
        <v/>
      </c>
      <c r="AE334" s="10">
        <f>IF($B334="","",IF($M334&lt;&gt;"",$M334,IF($AF334&lt;&gt;"",IF(LEFT(INDEX(파견수련계획!$R$4:$R$803,$AF334),1)&lt;&gt;"⚠",INDEX(파견수련계획!$R$4:$R$803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파견수련계획!$Y$4:$Y$803,0),IFERROR(MATCH(TRIM($J334&amp;"")&amp;"|파견예정",파견수련계획!$Y$4:$Y$803,0),IFERROR(MATCH(TRIM($J334&amp;"")&amp;"|파견종료",파견수련계획!$Y$4:$Y$803,0),""))))</f>
        <v/>
      </c>
      <c r="AG334" s="10">
        <f>IF($B334="","",IF(AND(IF(OR($AC334="",인턴현황!$K$2=""),"",INDEX(인턴근무계획!$M$3:$R$402,$AC334,인턴현황!$K$2)&amp;"")&lt;&gt;"",LEFT(IF(OR($AC334="",인턴현황!$K$2=""),"",INDEX(인턴근무계획!$M$3:$R$402,$AC334,인턴현황!$K$2)&amp;""),1)&lt;&gt;"⚠"),LEFT(IF(OR($AC334="",인턴현황!$K$2=""),"",INDEX(인턴근무계획!$M$3:$R$402,$AC334,인턴현황!$K$2)&amp;""),FIND(" ",IF(OR($AC334="",인턴현황!$K$2=""),"",INDEX(인턴근무계획!$M$3:$R$402,$AC334,인턴현황!$K$2)&amp;""))-1),$AE334))</f>
        <v/>
      </c>
      <c r="AH334" s="17">
        <f>IF($B334="","",IF(TRIM($J334&amp;"")="",0,SUMPRODUCT((파견수련계획!$Q$4:$Q$803=TRIM($J334&amp;""))*(파견수련계획!$S$4:$S$803="서울병원")*파견수련계획!$W$4:$W$803))+IF($AG334="서울병원",MAX(0,DAY(EOMONTH(요약!$B$3,0))-N($X334)),0))</f>
        <v/>
      </c>
      <c r="AI334" s="17">
        <f>IF($B334="","",IF(TRIM($J334&amp;"")="",0,SUMPRODUCT((파견수련계획!$Q$4:$Q$803=TRIM($J334&amp;""))*(파견수련계획!$S$4:$S$803="구리병원")*파견수련계획!$W$4:$W$803))+IF($AG334="구리병원",MAX(0,DAY(EOMONTH(요약!$B$3,0))-N($X334)),0))</f>
        <v/>
      </c>
      <c r="AJ334" s="10">
        <f>IF(OR($B334="",TRIM($J334&amp;"")=""),"",IFERROR(MATCH(TRIM($J334&amp;"")&amp;"|월",파견수련계획!$Z$4:$Z$803,0),""))</f>
        <v/>
      </c>
      <c r="AK334" s="10">
        <f>IF(OR($B334="",TRIM($J334&amp;"")=""),"",IFERROR(MATCH(TRIM($J334&amp;"")&amp;"|다기관",파견수련계획!$AE$4:$AE$803,0),""))</f>
        <v/>
      </c>
      <c r="AL334" s="10">
        <f>IF($AK334="","","다기관 "&amp;TEXT(INDEX(파견수련계획!$AB$4:$AB$803,$AK334),"yyyy-mm-dd")&amp;"~"&amp;IF(ISNUMBER(INDEX(파견수련계획!$AC$4:$AC$803,$AK334)),TEXT(INDEX(파견수련계획!$AC$4:$AC$803,$AK334),"yyyy-mm-dd"),""))</f>
        <v/>
      </c>
    </row>
    <row r="335">
      <c r="A335" s="10">
        <f>IF(B335="","",ROW()-1)</f>
        <v/>
      </c>
      <c r="B335" s="18" t="n"/>
      <c r="C335" s="10">
        <f>IF($AB335="","",IF(INDEX(기본자료!$C$2:$C$1001,$AB335)="","",INDEX(기본자료!$C$2:$C$1001,$AB335)))</f>
        <v/>
      </c>
      <c r="D335" s="10">
        <f>IF($AB335="","",IF(INDEX(기본자료!$J$2:$J$1001,$AB335)="","",INDEX(기본자료!$J$2:$J$1001,$AB335)))</f>
        <v/>
      </c>
      <c r="E335" s="11">
        <f>IF($AB335="","",IF(INDEX(기본자료!$K$2:$K$1001,$AB335)="","",IF(NOT(ISNUMBER(INDEX(기본자료!$K$2:$K$1001,$AB335))),INDEX(기본자료!$K$2:$K$1001,$AB335),IF(INDEX(기본자료!$K$2:$K$1001,$AB335)&lt;1000000,INDEX(기본자료!$K$2:$K$1001,$AB335),IF(AND(INDEX(기본자료!$K$2:$K$1001,$AB335)&gt;=10000101,INT(MOD(INDEX(기본자료!$K$2:$K$1001,$AB335),10000)/100)&gt;=1,INT(MOD(INDEX(기본자료!$K$2:$K$1001,$AB335),10000)/100)&lt;=12,MOD(INDEX(기본자료!$K$2:$K$1001,$AB335),100)&gt;=1,MOD(INDEX(기본자료!$K$2:$K$1001,$AB335),100)&lt;=31),DATE(INT(INDEX(기본자료!$K$2:$K$1001,$AB335)/10000),INT(MOD(INDEX(기본자료!$K$2:$K$1001,$AB335),10000)/100),MOD(INDEX(기본자료!$K$2:$K$1001,$AB335),100)),INDEX(기본자료!$K$2:$K$1001,$AB335)&amp;"")))))</f>
        <v/>
      </c>
      <c r="F335" s="10">
        <f>IF($AB335="","",IF(INDEX(기본자료!$D$2:$D$1001,$AB335)="","",INDEX(기본자료!$D$2:$D$1001,$AB335)))</f>
        <v/>
      </c>
      <c r="G335" s="10">
        <f>IF($AB335="","",IF(INDEX(기본자료!$E$2:$E$1001,$AB335)="","",INDEX(기본자료!$E$2:$E$1001,$AB335)))</f>
        <v/>
      </c>
      <c r="H335" s="10">
        <f>IF($AB335="","",IF(INDEX(기본자료!$F$2:$F$1001,$AB335)="","",INDEX(기본자료!$F$2:$F$1001,$AB335)))</f>
        <v/>
      </c>
      <c r="I335" s="11">
        <f>IF($AB335="","",IF(INDEX(기본자료!$G$2:$G$1001,$AB335)="","",IF(NOT(ISNUMBER(INDEX(기본자료!$G$2:$G$1001,$AB335))),INDEX(기본자료!$G$2:$G$1001,$AB335),IF(INDEX(기본자료!$G$2:$G$1001,$AB335)&lt;1000000,INDEX(기본자료!$G$2:$G$1001,$AB335),IF(AND(INDEX(기본자료!$G$2:$G$1001,$AB335)&gt;=10000101,INT(MOD(INDEX(기본자료!$G$2:$G$1001,$AB335),10000)/100)&gt;=1,INT(MOD(INDEX(기본자료!$G$2:$G$1001,$AB335),10000)/100)&lt;=12,MOD(INDEX(기본자료!$G$2:$G$1001,$AB335),100)&gt;=1,MOD(INDEX(기본자료!$G$2:$G$1001,$AB335),100)&lt;=31),DATE(INT(INDEX(기본자료!$G$2:$G$1001,$AB335)/10000),INT(MOD(INDEX(기본자료!$G$2:$G$1001,$AB335),10000)/100),MOD(INDEX(기본자료!$G$2:$G$1001,$AB335),100)),INDEX(기본자료!$G$2:$G$1001,$AB335)&amp;"")))))</f>
        <v/>
      </c>
      <c r="J335" s="10">
        <f>IF($AB335="","",IF(INDEX(기본자료!$H$2:$H$1001,$AB335)="","",INDEX(기본자료!$H$2:$H$1001,$AB335)))</f>
        <v/>
      </c>
      <c r="K335" s="10">
        <f>IF($AB335="","",IF(INDEX(기본자료!$I$2:$I$1001,$AB335)="","",INDEX(기본자료!$I$2:$I$1001,$AB335)))</f>
        <v/>
      </c>
      <c r="L335" s="10">
        <f>IF($AB335="","",IF(INDEX(기본자료!$A$2:$A$1001,$AB335)="","",INDEX(기본자료!$A$2:$A$1001,$AB335)))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파견수련계획!$AB$4:$AB$803,$AK335),OR(NOT(ISNUMBER(INDEX(파견수련계획!$AC$4:$AC$803,$AK335))),TODAY()&lt;=INDEX(파견수련계획!$AC$4:$AC$803,$AK335))),"다기관",IF($AF335="","",INDEX(파견수련계획!$T$4:$T$803,$AF335))),IF($AF335="","",INDEX(파견수련계획!$T$4:$T$803,$AF335))))</f>
        <v/>
      </c>
      <c r="Q335" s="10">
        <f>IF($AF335="","",INDEX(파견수련계획!$S$4:$S$803,$AF335))</f>
        <v/>
      </c>
      <c r="R335" s="10">
        <f>IF($AF335="","",INDEX(파견수련계획!$U$4:$U$803,$AF335))</f>
        <v/>
      </c>
      <c r="S335" s="11">
        <f>IF($AF335="","",IF(INDEX(파견수련계획!$H$4:$H$803,$AF335)="","",INDEX(파견수련계획!$H$4:$H$803,$AF335)))</f>
        <v/>
      </c>
      <c r="T335" s="11">
        <f>IF($AF335="","",IF(INDEX(파견수련계획!$I$4:$I$803,$AF335)="","",INDEX(파견수련계획!$I$4:$I$803,$AF335)))</f>
        <v/>
      </c>
      <c r="U335" s="10">
        <f>IF($AF335="","",INDEX(파견수련계획!$X$4:$X$803,$AF335))</f>
        <v/>
      </c>
      <c r="V335" s="17">
        <f>IF($AF335="","",INDEX(파견수련계획!$V$4:$V$803,$AF335))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IF(OR($B335="",TRIM($J335&amp;"")=""),"",SUMPRODUCT((파견수련계획!$Q$4:$Q$803=TRIM($J335&amp;""))*파견수련계획!$W$4:$W$803))</f>
        <v/>
      </c>
      <c r="Y335" s="10">
        <f>IF($B335="","",IF($AG335="","",IF(IF(TRIM($J335&amp;"")="",0,SUMPRODUCT((파견수련계획!$Q$4:$Q$803=TRIM($J335&amp;""))*파견수련계획!$AD$4:$AD$803))&gt;0,$AE335,IF(N($X335)&lt;=0,$AG335,IF($AH335+$AI335=DAY(EOMONTH(요약!$B$3,0)),IF(AND($AH335&gt;=요약!$E$3,$AI335&lt;요약!$E$3),"서울병원",IF(AND($AI335&gt;=요약!$E$3,$AH335&lt;요약!$E$3),"구리병원","⚠15일 판정불가(서울 "&amp;$AH335&amp;"일/구리 "&amp;$AI335&amp;"일)")),IF($AJ335="",$AE335,IF(INDEX(파견수련계획!$T$4:$T$803,$AJ335)="통합수련",INDEX(파견수련계획!$S$4:$S$803,$AJ335),$AE335)))))))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입력",IF(IF(TRIM($J335&amp;"")="",0,SUMPRODUCT((파견수련계획!$Q$4:$Q$803=TRIM($J335&amp;""))*(파견수련계획!$AA$4:$AA$803&lt;&gt;"")))&gt;0,"파견수련계획 입력오류 확인",IF(LEFT($Y335,1)="⚠","서울·구리 15일 판정 불가(양쪽 모두 이상/미만)",IF(IF($AC335="",0,N(INDEX(인턴근무계획!$T$3:$T$402,$AC335)))&gt;0,"인턴계획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IF($B335="","",IFERROR(MATCH($B335,기본자료!$B$2:$B$1001,0),IFERROR(MATCH($B335&amp;"",기본자료!$B$2:$B$1001,0),IFERROR(MATCH(VALUE($B335),기본자료!$B$2:$B$1001,0),""))))</f>
        <v/>
      </c>
      <c r="AC335" s="10">
        <f>IF($B335="","",IFERROR(MATCH($B335,인턴근무계획!$D$3:$D$402,0),IFERROR(MATCH($B335&amp;"",인턴근무계획!$D$3:$D$402,0),IFERROR(MATCH(VALUE($B335),인턴근무계획!$D$3:$D$402,0),""))))</f>
        <v/>
      </c>
      <c r="AD335" s="10">
        <f>IF(OR($AC335="",인턴현황!$G$3=""),"",INDEX(인턴근무계획!$M$3:$R$402,$AC335,인턴현황!$G$3)&amp;"")</f>
        <v/>
      </c>
      <c r="AE335" s="10">
        <f>IF($B335="","",IF($M335&lt;&gt;"",$M335,IF($AF335&lt;&gt;"",IF(LEFT(INDEX(파견수련계획!$R$4:$R$803,$AF335),1)&lt;&gt;"⚠",INDEX(파견수련계획!$R$4:$R$803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파견수련계획!$Y$4:$Y$803,0),IFERROR(MATCH(TRIM($J335&amp;"")&amp;"|파견예정",파견수련계획!$Y$4:$Y$803,0),IFERROR(MATCH(TRIM($J335&amp;"")&amp;"|파견종료",파견수련계획!$Y$4:$Y$803,0),""))))</f>
        <v/>
      </c>
      <c r="AG335" s="10">
        <f>IF($B335="","",IF(AND(IF(OR($AC335="",인턴현황!$K$2=""),"",INDEX(인턴근무계획!$M$3:$R$402,$AC335,인턴현황!$K$2)&amp;"")&lt;&gt;"",LEFT(IF(OR($AC335="",인턴현황!$K$2=""),"",INDEX(인턴근무계획!$M$3:$R$402,$AC335,인턴현황!$K$2)&amp;""),1)&lt;&gt;"⚠"),LEFT(IF(OR($AC335="",인턴현황!$K$2=""),"",INDEX(인턴근무계획!$M$3:$R$402,$AC335,인턴현황!$K$2)&amp;""),FIND(" ",IF(OR($AC335="",인턴현황!$K$2=""),"",INDEX(인턴근무계획!$M$3:$R$402,$AC335,인턴현황!$K$2)&amp;""))-1),$AE335))</f>
        <v/>
      </c>
      <c r="AH335" s="17">
        <f>IF($B335="","",IF(TRIM($J335&amp;"")="",0,SUMPRODUCT((파견수련계획!$Q$4:$Q$803=TRIM($J335&amp;""))*(파견수련계획!$S$4:$S$803="서울병원")*파견수련계획!$W$4:$W$803))+IF($AG335="서울병원",MAX(0,DAY(EOMONTH(요약!$B$3,0))-N($X335)),0))</f>
        <v/>
      </c>
      <c r="AI335" s="17">
        <f>IF($B335="","",IF(TRIM($J335&amp;"")="",0,SUMPRODUCT((파견수련계획!$Q$4:$Q$803=TRIM($J335&amp;""))*(파견수련계획!$S$4:$S$803="구리병원")*파견수련계획!$W$4:$W$803))+IF($AG335="구리병원",MAX(0,DAY(EOMONTH(요약!$B$3,0))-N($X335)),0))</f>
        <v/>
      </c>
      <c r="AJ335" s="10">
        <f>IF(OR($B335="",TRIM($J335&amp;"")=""),"",IFERROR(MATCH(TRIM($J335&amp;"")&amp;"|월",파견수련계획!$Z$4:$Z$803,0),""))</f>
        <v/>
      </c>
      <c r="AK335" s="10">
        <f>IF(OR($B335="",TRIM($J335&amp;"")=""),"",IFERROR(MATCH(TRIM($J335&amp;"")&amp;"|다기관",파견수련계획!$AE$4:$AE$803,0),""))</f>
        <v/>
      </c>
      <c r="AL335" s="10">
        <f>IF($AK335="","","다기관 "&amp;TEXT(INDEX(파견수련계획!$AB$4:$AB$803,$AK335),"yyyy-mm-dd")&amp;"~"&amp;IF(ISNUMBER(INDEX(파견수련계획!$AC$4:$AC$803,$AK335)),TEXT(INDEX(파견수련계획!$AC$4:$AC$803,$AK335),"yyyy-mm-dd"),""))</f>
        <v/>
      </c>
    </row>
    <row r="336">
      <c r="A336" s="10">
        <f>IF(B336="","",ROW()-1)</f>
        <v/>
      </c>
      <c r="B336" s="18" t="n"/>
      <c r="C336" s="10">
        <f>IF($AB336="","",IF(INDEX(기본자료!$C$2:$C$1001,$AB336)="","",INDEX(기본자료!$C$2:$C$1001,$AB336)))</f>
        <v/>
      </c>
      <c r="D336" s="10">
        <f>IF($AB336="","",IF(INDEX(기본자료!$J$2:$J$1001,$AB336)="","",INDEX(기본자료!$J$2:$J$1001,$AB336)))</f>
        <v/>
      </c>
      <c r="E336" s="11">
        <f>IF($AB336="","",IF(INDEX(기본자료!$K$2:$K$1001,$AB336)="","",IF(NOT(ISNUMBER(INDEX(기본자료!$K$2:$K$1001,$AB336))),INDEX(기본자료!$K$2:$K$1001,$AB336),IF(INDEX(기본자료!$K$2:$K$1001,$AB336)&lt;1000000,INDEX(기본자료!$K$2:$K$1001,$AB336),IF(AND(INDEX(기본자료!$K$2:$K$1001,$AB336)&gt;=10000101,INT(MOD(INDEX(기본자료!$K$2:$K$1001,$AB336),10000)/100)&gt;=1,INT(MOD(INDEX(기본자료!$K$2:$K$1001,$AB336),10000)/100)&lt;=12,MOD(INDEX(기본자료!$K$2:$K$1001,$AB336),100)&gt;=1,MOD(INDEX(기본자료!$K$2:$K$1001,$AB336),100)&lt;=31),DATE(INT(INDEX(기본자료!$K$2:$K$1001,$AB336)/10000),INT(MOD(INDEX(기본자료!$K$2:$K$1001,$AB336),10000)/100),MOD(INDEX(기본자료!$K$2:$K$1001,$AB336),100)),INDEX(기본자료!$K$2:$K$1001,$AB336)&amp;"")))))</f>
        <v/>
      </c>
      <c r="F336" s="10">
        <f>IF($AB336="","",IF(INDEX(기본자료!$D$2:$D$1001,$AB336)="","",INDEX(기본자료!$D$2:$D$1001,$AB336)))</f>
        <v/>
      </c>
      <c r="G336" s="10">
        <f>IF($AB336="","",IF(INDEX(기본자료!$E$2:$E$1001,$AB336)="","",INDEX(기본자료!$E$2:$E$1001,$AB336)))</f>
        <v/>
      </c>
      <c r="H336" s="10">
        <f>IF($AB336="","",IF(INDEX(기본자료!$F$2:$F$1001,$AB336)="","",INDEX(기본자료!$F$2:$F$1001,$AB336)))</f>
        <v/>
      </c>
      <c r="I336" s="11">
        <f>IF($AB336="","",IF(INDEX(기본자료!$G$2:$G$1001,$AB336)="","",IF(NOT(ISNUMBER(INDEX(기본자료!$G$2:$G$1001,$AB336))),INDEX(기본자료!$G$2:$G$1001,$AB336),IF(INDEX(기본자료!$G$2:$G$1001,$AB336)&lt;1000000,INDEX(기본자료!$G$2:$G$1001,$AB336),IF(AND(INDEX(기본자료!$G$2:$G$1001,$AB336)&gt;=10000101,INT(MOD(INDEX(기본자료!$G$2:$G$1001,$AB336),10000)/100)&gt;=1,INT(MOD(INDEX(기본자료!$G$2:$G$1001,$AB336),10000)/100)&lt;=12,MOD(INDEX(기본자료!$G$2:$G$1001,$AB336),100)&gt;=1,MOD(INDEX(기본자료!$G$2:$G$1001,$AB336),100)&lt;=31),DATE(INT(INDEX(기본자료!$G$2:$G$1001,$AB336)/10000),INT(MOD(INDEX(기본자료!$G$2:$G$1001,$AB336),10000)/100),MOD(INDEX(기본자료!$G$2:$G$1001,$AB336),100)),INDEX(기본자료!$G$2:$G$1001,$AB336)&amp;"")))))</f>
        <v/>
      </c>
      <c r="J336" s="10">
        <f>IF($AB336="","",IF(INDEX(기본자료!$H$2:$H$1001,$AB336)="","",INDEX(기본자료!$H$2:$H$1001,$AB336)))</f>
        <v/>
      </c>
      <c r="K336" s="10">
        <f>IF($AB336="","",IF(INDEX(기본자료!$I$2:$I$1001,$AB336)="","",INDEX(기본자료!$I$2:$I$1001,$AB336)))</f>
        <v/>
      </c>
      <c r="L336" s="10">
        <f>IF($AB336="","",IF(INDEX(기본자료!$A$2:$A$1001,$AB336)="","",INDEX(기본자료!$A$2:$A$1001,$AB336)))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파견수련계획!$AB$4:$AB$803,$AK336),OR(NOT(ISNUMBER(INDEX(파견수련계획!$AC$4:$AC$803,$AK336))),TODAY()&lt;=INDEX(파견수련계획!$AC$4:$AC$803,$AK336))),"다기관",IF($AF336="","",INDEX(파견수련계획!$T$4:$T$803,$AF336))),IF($AF336="","",INDEX(파견수련계획!$T$4:$T$803,$AF336))))</f>
        <v/>
      </c>
      <c r="Q336" s="10">
        <f>IF($AF336="","",INDEX(파견수련계획!$S$4:$S$803,$AF336))</f>
        <v/>
      </c>
      <c r="R336" s="10">
        <f>IF($AF336="","",INDEX(파견수련계획!$U$4:$U$803,$AF336))</f>
        <v/>
      </c>
      <c r="S336" s="11">
        <f>IF($AF336="","",IF(INDEX(파견수련계획!$H$4:$H$803,$AF336)="","",INDEX(파견수련계획!$H$4:$H$803,$AF336)))</f>
        <v/>
      </c>
      <c r="T336" s="11">
        <f>IF($AF336="","",IF(INDEX(파견수련계획!$I$4:$I$803,$AF336)="","",INDEX(파견수련계획!$I$4:$I$803,$AF336)))</f>
        <v/>
      </c>
      <c r="U336" s="10">
        <f>IF($AF336="","",INDEX(파견수련계획!$X$4:$X$803,$AF336))</f>
        <v/>
      </c>
      <c r="V336" s="17">
        <f>IF($AF336="","",INDEX(파견수련계획!$V$4:$V$803,$AF336))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IF(OR($B336="",TRIM($J336&amp;"")=""),"",SUMPRODUCT((파견수련계획!$Q$4:$Q$803=TRIM($J336&amp;""))*파견수련계획!$W$4:$W$803))</f>
        <v/>
      </c>
      <c r="Y336" s="10">
        <f>IF($B336="","",IF($AG336="","",IF(IF(TRIM($J336&amp;"")="",0,SUMPRODUCT((파견수련계획!$Q$4:$Q$803=TRIM($J336&amp;""))*파견수련계획!$AD$4:$AD$803))&gt;0,$AE336,IF(N($X336)&lt;=0,$AG336,IF($AH336+$AI336=DAY(EOMONTH(요약!$B$3,0)),IF(AND($AH336&gt;=요약!$E$3,$AI336&lt;요약!$E$3),"서울병원",IF(AND($AI336&gt;=요약!$E$3,$AH336&lt;요약!$E$3),"구리병원","⚠15일 판정불가(서울 "&amp;$AH336&amp;"일/구리 "&amp;$AI336&amp;"일)")),IF($AJ336="",$AE336,IF(INDEX(파견수련계획!$T$4:$T$803,$AJ336)="통합수련",INDEX(파견수련계획!$S$4:$S$803,$AJ336),$AE336)))))))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입력",IF(IF(TRIM($J336&amp;"")="",0,SUMPRODUCT((파견수련계획!$Q$4:$Q$803=TRIM($J336&amp;""))*(파견수련계획!$AA$4:$AA$803&lt;&gt;"")))&gt;0,"파견수련계획 입력오류 확인",IF(LEFT($Y336,1)="⚠","서울·구리 15일 판정 불가(양쪽 모두 이상/미만)",IF(IF($AC336="",0,N(INDEX(인턴근무계획!$T$3:$T$402,$AC336)))&gt;0,"인턴계획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IF($B336="","",IFERROR(MATCH($B336,기본자료!$B$2:$B$1001,0),IFERROR(MATCH($B336&amp;"",기본자료!$B$2:$B$1001,0),IFERROR(MATCH(VALUE($B336),기본자료!$B$2:$B$1001,0),""))))</f>
        <v/>
      </c>
      <c r="AC336" s="10">
        <f>IF($B336="","",IFERROR(MATCH($B336,인턴근무계획!$D$3:$D$402,0),IFERROR(MATCH($B336&amp;"",인턴근무계획!$D$3:$D$402,0),IFERROR(MATCH(VALUE($B336),인턴근무계획!$D$3:$D$402,0),""))))</f>
        <v/>
      </c>
      <c r="AD336" s="10">
        <f>IF(OR($AC336="",인턴현황!$G$3=""),"",INDEX(인턴근무계획!$M$3:$R$402,$AC336,인턴현황!$G$3)&amp;"")</f>
        <v/>
      </c>
      <c r="AE336" s="10">
        <f>IF($B336="","",IF($M336&lt;&gt;"",$M336,IF($AF336&lt;&gt;"",IF(LEFT(INDEX(파견수련계획!$R$4:$R$803,$AF336),1)&lt;&gt;"⚠",INDEX(파견수련계획!$R$4:$R$803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파견수련계획!$Y$4:$Y$803,0),IFERROR(MATCH(TRIM($J336&amp;"")&amp;"|파견예정",파견수련계획!$Y$4:$Y$803,0),IFERROR(MATCH(TRIM($J336&amp;"")&amp;"|파견종료",파견수련계획!$Y$4:$Y$803,0),""))))</f>
        <v/>
      </c>
      <c r="AG336" s="10">
        <f>IF($B336="","",IF(AND(IF(OR($AC336="",인턴현황!$K$2=""),"",INDEX(인턴근무계획!$M$3:$R$402,$AC336,인턴현황!$K$2)&amp;"")&lt;&gt;"",LEFT(IF(OR($AC336="",인턴현황!$K$2=""),"",INDEX(인턴근무계획!$M$3:$R$402,$AC336,인턴현황!$K$2)&amp;""),1)&lt;&gt;"⚠"),LEFT(IF(OR($AC336="",인턴현황!$K$2=""),"",INDEX(인턴근무계획!$M$3:$R$402,$AC336,인턴현황!$K$2)&amp;""),FIND(" ",IF(OR($AC336="",인턴현황!$K$2=""),"",INDEX(인턴근무계획!$M$3:$R$402,$AC336,인턴현황!$K$2)&amp;""))-1),$AE336))</f>
        <v/>
      </c>
      <c r="AH336" s="17">
        <f>IF($B336="","",IF(TRIM($J336&amp;"")="",0,SUMPRODUCT((파견수련계획!$Q$4:$Q$803=TRIM($J336&amp;""))*(파견수련계획!$S$4:$S$803="서울병원")*파견수련계획!$W$4:$W$803))+IF($AG336="서울병원",MAX(0,DAY(EOMONTH(요약!$B$3,0))-N($X336)),0))</f>
        <v/>
      </c>
      <c r="AI336" s="17">
        <f>IF($B336="","",IF(TRIM($J336&amp;"")="",0,SUMPRODUCT((파견수련계획!$Q$4:$Q$803=TRIM($J336&amp;""))*(파견수련계획!$S$4:$S$803="구리병원")*파견수련계획!$W$4:$W$803))+IF($AG336="구리병원",MAX(0,DAY(EOMONTH(요약!$B$3,0))-N($X336)),0))</f>
        <v/>
      </c>
      <c r="AJ336" s="10">
        <f>IF(OR($B336="",TRIM($J336&amp;"")=""),"",IFERROR(MATCH(TRIM($J336&amp;"")&amp;"|월",파견수련계획!$Z$4:$Z$803,0),""))</f>
        <v/>
      </c>
      <c r="AK336" s="10">
        <f>IF(OR($B336="",TRIM($J336&amp;"")=""),"",IFERROR(MATCH(TRIM($J336&amp;"")&amp;"|다기관",파견수련계획!$AE$4:$AE$803,0),""))</f>
        <v/>
      </c>
      <c r="AL336" s="10">
        <f>IF($AK336="","","다기관 "&amp;TEXT(INDEX(파견수련계획!$AB$4:$AB$803,$AK336),"yyyy-mm-dd")&amp;"~"&amp;IF(ISNUMBER(INDEX(파견수련계획!$AC$4:$AC$803,$AK336)),TEXT(INDEX(파견수련계획!$AC$4:$AC$803,$AK336),"yyyy-mm-dd"),""))</f>
        <v/>
      </c>
    </row>
    <row r="337">
      <c r="A337" s="10">
        <f>IF(B337="","",ROW()-1)</f>
        <v/>
      </c>
      <c r="B337" s="18" t="n"/>
      <c r="C337" s="10">
        <f>IF($AB337="","",IF(INDEX(기본자료!$C$2:$C$1001,$AB337)="","",INDEX(기본자료!$C$2:$C$1001,$AB337)))</f>
        <v/>
      </c>
      <c r="D337" s="10">
        <f>IF($AB337="","",IF(INDEX(기본자료!$J$2:$J$1001,$AB337)="","",INDEX(기본자료!$J$2:$J$1001,$AB337)))</f>
        <v/>
      </c>
      <c r="E337" s="11">
        <f>IF($AB337="","",IF(INDEX(기본자료!$K$2:$K$1001,$AB337)="","",IF(NOT(ISNUMBER(INDEX(기본자료!$K$2:$K$1001,$AB337))),INDEX(기본자료!$K$2:$K$1001,$AB337),IF(INDEX(기본자료!$K$2:$K$1001,$AB337)&lt;1000000,INDEX(기본자료!$K$2:$K$1001,$AB337),IF(AND(INDEX(기본자료!$K$2:$K$1001,$AB337)&gt;=10000101,INT(MOD(INDEX(기본자료!$K$2:$K$1001,$AB337),10000)/100)&gt;=1,INT(MOD(INDEX(기본자료!$K$2:$K$1001,$AB337),10000)/100)&lt;=12,MOD(INDEX(기본자료!$K$2:$K$1001,$AB337),100)&gt;=1,MOD(INDEX(기본자료!$K$2:$K$1001,$AB337),100)&lt;=31),DATE(INT(INDEX(기본자료!$K$2:$K$1001,$AB337)/10000),INT(MOD(INDEX(기본자료!$K$2:$K$1001,$AB337),10000)/100),MOD(INDEX(기본자료!$K$2:$K$1001,$AB337),100)),INDEX(기본자료!$K$2:$K$1001,$AB337)&amp;"")))))</f>
        <v/>
      </c>
      <c r="F337" s="10">
        <f>IF($AB337="","",IF(INDEX(기본자료!$D$2:$D$1001,$AB337)="","",INDEX(기본자료!$D$2:$D$1001,$AB337)))</f>
        <v/>
      </c>
      <c r="G337" s="10">
        <f>IF($AB337="","",IF(INDEX(기본자료!$E$2:$E$1001,$AB337)="","",INDEX(기본자료!$E$2:$E$1001,$AB337)))</f>
        <v/>
      </c>
      <c r="H337" s="10">
        <f>IF($AB337="","",IF(INDEX(기본자료!$F$2:$F$1001,$AB337)="","",INDEX(기본자료!$F$2:$F$1001,$AB337)))</f>
        <v/>
      </c>
      <c r="I337" s="11">
        <f>IF($AB337="","",IF(INDEX(기본자료!$G$2:$G$1001,$AB337)="","",IF(NOT(ISNUMBER(INDEX(기본자료!$G$2:$G$1001,$AB337))),INDEX(기본자료!$G$2:$G$1001,$AB337),IF(INDEX(기본자료!$G$2:$G$1001,$AB337)&lt;1000000,INDEX(기본자료!$G$2:$G$1001,$AB337),IF(AND(INDEX(기본자료!$G$2:$G$1001,$AB337)&gt;=10000101,INT(MOD(INDEX(기본자료!$G$2:$G$1001,$AB337),10000)/100)&gt;=1,INT(MOD(INDEX(기본자료!$G$2:$G$1001,$AB337),10000)/100)&lt;=12,MOD(INDEX(기본자료!$G$2:$G$1001,$AB337),100)&gt;=1,MOD(INDEX(기본자료!$G$2:$G$1001,$AB337),100)&lt;=31),DATE(INT(INDEX(기본자료!$G$2:$G$1001,$AB337)/10000),INT(MOD(INDEX(기본자료!$G$2:$G$1001,$AB337),10000)/100),MOD(INDEX(기본자료!$G$2:$G$1001,$AB337),100)),INDEX(기본자료!$G$2:$G$1001,$AB337)&amp;"")))))</f>
        <v/>
      </c>
      <c r="J337" s="10">
        <f>IF($AB337="","",IF(INDEX(기본자료!$H$2:$H$1001,$AB337)="","",INDEX(기본자료!$H$2:$H$1001,$AB337)))</f>
        <v/>
      </c>
      <c r="K337" s="10">
        <f>IF($AB337="","",IF(INDEX(기본자료!$I$2:$I$1001,$AB337)="","",INDEX(기본자료!$I$2:$I$1001,$AB337)))</f>
        <v/>
      </c>
      <c r="L337" s="10">
        <f>IF($AB337="","",IF(INDEX(기본자료!$A$2:$A$1001,$AB337)="","",INDEX(기본자료!$A$2:$A$1001,$AB337)))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파견수련계획!$AB$4:$AB$803,$AK337),OR(NOT(ISNUMBER(INDEX(파견수련계획!$AC$4:$AC$803,$AK337))),TODAY()&lt;=INDEX(파견수련계획!$AC$4:$AC$803,$AK337))),"다기관",IF($AF337="","",INDEX(파견수련계획!$T$4:$T$803,$AF337))),IF($AF337="","",INDEX(파견수련계획!$T$4:$T$803,$AF337))))</f>
        <v/>
      </c>
      <c r="Q337" s="10">
        <f>IF($AF337="","",INDEX(파견수련계획!$S$4:$S$803,$AF337))</f>
        <v/>
      </c>
      <c r="R337" s="10">
        <f>IF($AF337="","",INDEX(파견수련계획!$U$4:$U$803,$AF337))</f>
        <v/>
      </c>
      <c r="S337" s="11">
        <f>IF($AF337="","",IF(INDEX(파견수련계획!$H$4:$H$803,$AF337)="","",INDEX(파견수련계획!$H$4:$H$803,$AF337)))</f>
        <v/>
      </c>
      <c r="T337" s="11">
        <f>IF($AF337="","",IF(INDEX(파견수련계획!$I$4:$I$803,$AF337)="","",INDEX(파견수련계획!$I$4:$I$803,$AF337)))</f>
        <v/>
      </c>
      <c r="U337" s="10">
        <f>IF($AF337="","",INDEX(파견수련계획!$X$4:$X$803,$AF337))</f>
        <v/>
      </c>
      <c r="V337" s="17">
        <f>IF($AF337="","",INDEX(파견수련계획!$V$4:$V$803,$AF337))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IF(OR($B337="",TRIM($J337&amp;"")=""),"",SUMPRODUCT((파견수련계획!$Q$4:$Q$803=TRIM($J337&amp;""))*파견수련계획!$W$4:$W$803))</f>
        <v/>
      </c>
      <c r="Y337" s="10">
        <f>IF($B337="","",IF($AG337="","",IF(IF(TRIM($J337&amp;"")="",0,SUMPRODUCT((파견수련계획!$Q$4:$Q$803=TRIM($J337&amp;""))*파견수련계획!$AD$4:$AD$803))&gt;0,$AE337,IF(N($X337)&lt;=0,$AG337,IF($AH337+$AI337=DAY(EOMONTH(요약!$B$3,0)),IF(AND($AH337&gt;=요약!$E$3,$AI337&lt;요약!$E$3),"서울병원",IF(AND($AI337&gt;=요약!$E$3,$AH337&lt;요약!$E$3),"구리병원","⚠15일 판정불가(서울 "&amp;$AH337&amp;"일/구리 "&amp;$AI337&amp;"일)")),IF($AJ337="",$AE337,IF(INDEX(파견수련계획!$T$4:$T$803,$AJ337)="통합수련",INDEX(파견수련계획!$S$4:$S$803,$AJ337),$AE337)))))))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입력",IF(IF(TRIM($J337&amp;"")="",0,SUMPRODUCT((파견수련계획!$Q$4:$Q$803=TRIM($J337&amp;""))*(파견수련계획!$AA$4:$AA$803&lt;&gt;"")))&gt;0,"파견수련계획 입력오류 확인",IF(LEFT($Y337,1)="⚠","서울·구리 15일 판정 불가(양쪽 모두 이상/미만)",IF(IF($AC337="",0,N(INDEX(인턴근무계획!$T$3:$T$402,$AC337)))&gt;0,"인턴계획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IF($B337="","",IFERROR(MATCH($B337,기본자료!$B$2:$B$1001,0),IFERROR(MATCH($B337&amp;"",기본자료!$B$2:$B$1001,0),IFERROR(MATCH(VALUE($B337),기본자료!$B$2:$B$1001,0),""))))</f>
        <v/>
      </c>
      <c r="AC337" s="10">
        <f>IF($B337="","",IFERROR(MATCH($B337,인턴근무계획!$D$3:$D$402,0),IFERROR(MATCH($B337&amp;"",인턴근무계획!$D$3:$D$402,0),IFERROR(MATCH(VALUE($B337),인턴근무계획!$D$3:$D$402,0),""))))</f>
        <v/>
      </c>
      <c r="AD337" s="10">
        <f>IF(OR($AC337="",인턴현황!$G$3=""),"",INDEX(인턴근무계획!$M$3:$R$402,$AC337,인턴현황!$G$3)&amp;"")</f>
        <v/>
      </c>
      <c r="AE337" s="10">
        <f>IF($B337="","",IF($M337&lt;&gt;"",$M337,IF($AF337&lt;&gt;"",IF(LEFT(INDEX(파견수련계획!$R$4:$R$803,$AF337),1)&lt;&gt;"⚠",INDEX(파견수련계획!$R$4:$R$803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파견수련계획!$Y$4:$Y$803,0),IFERROR(MATCH(TRIM($J337&amp;"")&amp;"|파견예정",파견수련계획!$Y$4:$Y$803,0),IFERROR(MATCH(TRIM($J337&amp;"")&amp;"|파견종료",파견수련계획!$Y$4:$Y$803,0),""))))</f>
        <v/>
      </c>
      <c r="AG337" s="10">
        <f>IF($B337="","",IF(AND(IF(OR($AC337="",인턴현황!$K$2=""),"",INDEX(인턴근무계획!$M$3:$R$402,$AC337,인턴현황!$K$2)&amp;"")&lt;&gt;"",LEFT(IF(OR($AC337="",인턴현황!$K$2=""),"",INDEX(인턴근무계획!$M$3:$R$402,$AC337,인턴현황!$K$2)&amp;""),1)&lt;&gt;"⚠"),LEFT(IF(OR($AC337="",인턴현황!$K$2=""),"",INDEX(인턴근무계획!$M$3:$R$402,$AC337,인턴현황!$K$2)&amp;""),FIND(" ",IF(OR($AC337="",인턴현황!$K$2=""),"",INDEX(인턴근무계획!$M$3:$R$402,$AC337,인턴현황!$K$2)&amp;""))-1),$AE337))</f>
        <v/>
      </c>
      <c r="AH337" s="17">
        <f>IF($B337="","",IF(TRIM($J337&amp;"")="",0,SUMPRODUCT((파견수련계획!$Q$4:$Q$803=TRIM($J337&amp;""))*(파견수련계획!$S$4:$S$803="서울병원")*파견수련계획!$W$4:$W$803))+IF($AG337="서울병원",MAX(0,DAY(EOMONTH(요약!$B$3,0))-N($X337)),0))</f>
        <v/>
      </c>
      <c r="AI337" s="17">
        <f>IF($B337="","",IF(TRIM($J337&amp;"")="",0,SUMPRODUCT((파견수련계획!$Q$4:$Q$803=TRIM($J337&amp;""))*(파견수련계획!$S$4:$S$803="구리병원")*파견수련계획!$W$4:$W$803))+IF($AG337="구리병원",MAX(0,DAY(EOMONTH(요약!$B$3,0))-N($X337)),0))</f>
        <v/>
      </c>
      <c r="AJ337" s="10">
        <f>IF(OR($B337="",TRIM($J337&amp;"")=""),"",IFERROR(MATCH(TRIM($J337&amp;"")&amp;"|월",파견수련계획!$Z$4:$Z$803,0),""))</f>
        <v/>
      </c>
      <c r="AK337" s="10">
        <f>IF(OR($B337="",TRIM($J337&amp;"")=""),"",IFERROR(MATCH(TRIM($J337&amp;"")&amp;"|다기관",파견수련계획!$AE$4:$AE$803,0),""))</f>
        <v/>
      </c>
      <c r="AL337" s="10">
        <f>IF($AK337="","","다기관 "&amp;TEXT(INDEX(파견수련계획!$AB$4:$AB$803,$AK337),"yyyy-mm-dd")&amp;"~"&amp;IF(ISNUMBER(INDEX(파견수련계획!$AC$4:$AC$803,$AK337)),TEXT(INDEX(파견수련계획!$AC$4:$AC$803,$AK337),"yyyy-mm-dd"),""))</f>
        <v/>
      </c>
    </row>
    <row r="338">
      <c r="A338" s="10">
        <f>IF(B338="","",ROW()-1)</f>
        <v/>
      </c>
      <c r="B338" s="18" t="n"/>
      <c r="C338" s="10">
        <f>IF($AB338="","",IF(INDEX(기본자료!$C$2:$C$1001,$AB338)="","",INDEX(기본자료!$C$2:$C$1001,$AB338)))</f>
        <v/>
      </c>
      <c r="D338" s="10">
        <f>IF($AB338="","",IF(INDEX(기본자료!$J$2:$J$1001,$AB338)="","",INDEX(기본자료!$J$2:$J$1001,$AB338)))</f>
        <v/>
      </c>
      <c r="E338" s="11">
        <f>IF($AB338="","",IF(INDEX(기본자료!$K$2:$K$1001,$AB338)="","",IF(NOT(ISNUMBER(INDEX(기본자료!$K$2:$K$1001,$AB338))),INDEX(기본자료!$K$2:$K$1001,$AB338),IF(INDEX(기본자료!$K$2:$K$1001,$AB338)&lt;1000000,INDEX(기본자료!$K$2:$K$1001,$AB338),IF(AND(INDEX(기본자료!$K$2:$K$1001,$AB338)&gt;=10000101,INT(MOD(INDEX(기본자료!$K$2:$K$1001,$AB338),10000)/100)&gt;=1,INT(MOD(INDEX(기본자료!$K$2:$K$1001,$AB338),10000)/100)&lt;=12,MOD(INDEX(기본자료!$K$2:$K$1001,$AB338),100)&gt;=1,MOD(INDEX(기본자료!$K$2:$K$1001,$AB338),100)&lt;=31),DATE(INT(INDEX(기본자료!$K$2:$K$1001,$AB338)/10000),INT(MOD(INDEX(기본자료!$K$2:$K$1001,$AB338),10000)/100),MOD(INDEX(기본자료!$K$2:$K$1001,$AB338),100)),INDEX(기본자료!$K$2:$K$1001,$AB338)&amp;"")))))</f>
        <v/>
      </c>
      <c r="F338" s="10">
        <f>IF($AB338="","",IF(INDEX(기본자료!$D$2:$D$1001,$AB338)="","",INDEX(기본자료!$D$2:$D$1001,$AB338)))</f>
        <v/>
      </c>
      <c r="G338" s="10">
        <f>IF($AB338="","",IF(INDEX(기본자료!$E$2:$E$1001,$AB338)="","",INDEX(기본자료!$E$2:$E$1001,$AB338)))</f>
        <v/>
      </c>
      <c r="H338" s="10">
        <f>IF($AB338="","",IF(INDEX(기본자료!$F$2:$F$1001,$AB338)="","",INDEX(기본자료!$F$2:$F$1001,$AB338)))</f>
        <v/>
      </c>
      <c r="I338" s="11">
        <f>IF($AB338="","",IF(INDEX(기본자료!$G$2:$G$1001,$AB338)="","",IF(NOT(ISNUMBER(INDEX(기본자료!$G$2:$G$1001,$AB338))),INDEX(기본자료!$G$2:$G$1001,$AB338),IF(INDEX(기본자료!$G$2:$G$1001,$AB338)&lt;1000000,INDEX(기본자료!$G$2:$G$1001,$AB338),IF(AND(INDEX(기본자료!$G$2:$G$1001,$AB338)&gt;=10000101,INT(MOD(INDEX(기본자료!$G$2:$G$1001,$AB338),10000)/100)&gt;=1,INT(MOD(INDEX(기본자료!$G$2:$G$1001,$AB338),10000)/100)&lt;=12,MOD(INDEX(기본자료!$G$2:$G$1001,$AB338),100)&gt;=1,MOD(INDEX(기본자료!$G$2:$G$1001,$AB338),100)&lt;=31),DATE(INT(INDEX(기본자료!$G$2:$G$1001,$AB338)/10000),INT(MOD(INDEX(기본자료!$G$2:$G$1001,$AB338),10000)/100),MOD(INDEX(기본자료!$G$2:$G$1001,$AB338),100)),INDEX(기본자료!$G$2:$G$1001,$AB338)&amp;"")))))</f>
        <v/>
      </c>
      <c r="J338" s="10">
        <f>IF($AB338="","",IF(INDEX(기본자료!$H$2:$H$1001,$AB338)="","",INDEX(기본자료!$H$2:$H$1001,$AB338)))</f>
        <v/>
      </c>
      <c r="K338" s="10">
        <f>IF($AB338="","",IF(INDEX(기본자료!$I$2:$I$1001,$AB338)="","",INDEX(기본자료!$I$2:$I$1001,$AB338)))</f>
        <v/>
      </c>
      <c r="L338" s="10">
        <f>IF($AB338="","",IF(INDEX(기본자료!$A$2:$A$1001,$AB338)="","",INDEX(기본자료!$A$2:$A$1001,$AB338)))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파견수련계획!$AB$4:$AB$803,$AK338),OR(NOT(ISNUMBER(INDEX(파견수련계획!$AC$4:$AC$803,$AK338))),TODAY()&lt;=INDEX(파견수련계획!$AC$4:$AC$803,$AK338))),"다기관",IF($AF338="","",INDEX(파견수련계획!$T$4:$T$803,$AF338))),IF($AF338="","",INDEX(파견수련계획!$T$4:$T$803,$AF338))))</f>
        <v/>
      </c>
      <c r="Q338" s="10">
        <f>IF($AF338="","",INDEX(파견수련계획!$S$4:$S$803,$AF338))</f>
        <v/>
      </c>
      <c r="R338" s="10">
        <f>IF($AF338="","",INDEX(파견수련계획!$U$4:$U$803,$AF338))</f>
        <v/>
      </c>
      <c r="S338" s="11">
        <f>IF($AF338="","",IF(INDEX(파견수련계획!$H$4:$H$803,$AF338)="","",INDEX(파견수련계획!$H$4:$H$803,$AF338)))</f>
        <v/>
      </c>
      <c r="T338" s="11">
        <f>IF($AF338="","",IF(INDEX(파견수련계획!$I$4:$I$803,$AF338)="","",INDEX(파견수련계획!$I$4:$I$803,$AF338)))</f>
        <v/>
      </c>
      <c r="U338" s="10">
        <f>IF($AF338="","",INDEX(파견수련계획!$X$4:$X$803,$AF338))</f>
        <v/>
      </c>
      <c r="V338" s="17">
        <f>IF($AF338="","",INDEX(파견수련계획!$V$4:$V$803,$AF338))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IF(OR($B338="",TRIM($J338&amp;"")=""),"",SUMPRODUCT((파견수련계획!$Q$4:$Q$803=TRIM($J338&amp;""))*파견수련계획!$W$4:$W$803))</f>
        <v/>
      </c>
      <c r="Y338" s="10">
        <f>IF($B338="","",IF($AG338="","",IF(IF(TRIM($J338&amp;"")="",0,SUMPRODUCT((파견수련계획!$Q$4:$Q$803=TRIM($J338&amp;""))*파견수련계획!$AD$4:$AD$803))&gt;0,$AE338,IF(N($X338)&lt;=0,$AG338,IF($AH338+$AI338=DAY(EOMONTH(요약!$B$3,0)),IF(AND($AH338&gt;=요약!$E$3,$AI338&lt;요약!$E$3),"서울병원",IF(AND($AI338&gt;=요약!$E$3,$AH338&lt;요약!$E$3),"구리병원","⚠15일 판정불가(서울 "&amp;$AH338&amp;"일/구리 "&amp;$AI338&amp;"일)")),IF($AJ338="",$AE338,IF(INDEX(파견수련계획!$T$4:$T$803,$AJ338)="통합수련",INDEX(파견수련계획!$S$4:$S$803,$AJ338),$AE338)))))))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입력",IF(IF(TRIM($J338&amp;"")="",0,SUMPRODUCT((파견수련계획!$Q$4:$Q$803=TRIM($J338&amp;""))*(파견수련계획!$AA$4:$AA$803&lt;&gt;"")))&gt;0,"파견수련계획 입력오류 확인",IF(LEFT($Y338,1)="⚠","서울·구리 15일 판정 불가(양쪽 모두 이상/미만)",IF(IF($AC338="",0,N(INDEX(인턴근무계획!$T$3:$T$402,$AC338)))&gt;0,"인턴계획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IF($B338="","",IFERROR(MATCH($B338,기본자료!$B$2:$B$1001,0),IFERROR(MATCH($B338&amp;"",기본자료!$B$2:$B$1001,0),IFERROR(MATCH(VALUE($B338),기본자료!$B$2:$B$1001,0),""))))</f>
        <v/>
      </c>
      <c r="AC338" s="10">
        <f>IF($B338="","",IFERROR(MATCH($B338,인턴근무계획!$D$3:$D$402,0),IFERROR(MATCH($B338&amp;"",인턴근무계획!$D$3:$D$402,0),IFERROR(MATCH(VALUE($B338),인턴근무계획!$D$3:$D$402,0),""))))</f>
        <v/>
      </c>
      <c r="AD338" s="10">
        <f>IF(OR($AC338="",인턴현황!$G$3=""),"",INDEX(인턴근무계획!$M$3:$R$402,$AC338,인턴현황!$G$3)&amp;"")</f>
        <v/>
      </c>
      <c r="AE338" s="10">
        <f>IF($B338="","",IF($M338&lt;&gt;"",$M338,IF($AF338&lt;&gt;"",IF(LEFT(INDEX(파견수련계획!$R$4:$R$803,$AF338),1)&lt;&gt;"⚠",INDEX(파견수련계획!$R$4:$R$803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파견수련계획!$Y$4:$Y$803,0),IFERROR(MATCH(TRIM($J338&amp;"")&amp;"|파견예정",파견수련계획!$Y$4:$Y$803,0),IFERROR(MATCH(TRIM($J338&amp;"")&amp;"|파견종료",파견수련계획!$Y$4:$Y$803,0),""))))</f>
        <v/>
      </c>
      <c r="AG338" s="10">
        <f>IF($B338="","",IF(AND(IF(OR($AC338="",인턴현황!$K$2=""),"",INDEX(인턴근무계획!$M$3:$R$402,$AC338,인턴현황!$K$2)&amp;"")&lt;&gt;"",LEFT(IF(OR($AC338="",인턴현황!$K$2=""),"",INDEX(인턴근무계획!$M$3:$R$402,$AC338,인턴현황!$K$2)&amp;""),1)&lt;&gt;"⚠"),LEFT(IF(OR($AC338="",인턴현황!$K$2=""),"",INDEX(인턴근무계획!$M$3:$R$402,$AC338,인턴현황!$K$2)&amp;""),FIND(" ",IF(OR($AC338="",인턴현황!$K$2=""),"",INDEX(인턴근무계획!$M$3:$R$402,$AC338,인턴현황!$K$2)&amp;""))-1),$AE338))</f>
        <v/>
      </c>
      <c r="AH338" s="17">
        <f>IF($B338="","",IF(TRIM($J338&amp;"")="",0,SUMPRODUCT((파견수련계획!$Q$4:$Q$803=TRIM($J338&amp;""))*(파견수련계획!$S$4:$S$803="서울병원")*파견수련계획!$W$4:$W$803))+IF($AG338="서울병원",MAX(0,DAY(EOMONTH(요약!$B$3,0))-N($X338)),0))</f>
        <v/>
      </c>
      <c r="AI338" s="17">
        <f>IF($B338="","",IF(TRIM($J338&amp;"")="",0,SUMPRODUCT((파견수련계획!$Q$4:$Q$803=TRIM($J338&amp;""))*(파견수련계획!$S$4:$S$803="구리병원")*파견수련계획!$W$4:$W$803))+IF($AG338="구리병원",MAX(0,DAY(EOMONTH(요약!$B$3,0))-N($X338)),0))</f>
        <v/>
      </c>
      <c r="AJ338" s="10">
        <f>IF(OR($B338="",TRIM($J338&amp;"")=""),"",IFERROR(MATCH(TRIM($J338&amp;"")&amp;"|월",파견수련계획!$Z$4:$Z$803,0),""))</f>
        <v/>
      </c>
      <c r="AK338" s="10">
        <f>IF(OR($B338="",TRIM($J338&amp;"")=""),"",IFERROR(MATCH(TRIM($J338&amp;"")&amp;"|다기관",파견수련계획!$AE$4:$AE$803,0),""))</f>
        <v/>
      </c>
      <c r="AL338" s="10">
        <f>IF($AK338="","","다기관 "&amp;TEXT(INDEX(파견수련계획!$AB$4:$AB$803,$AK338),"yyyy-mm-dd")&amp;"~"&amp;IF(ISNUMBER(INDEX(파견수련계획!$AC$4:$AC$803,$AK338)),TEXT(INDEX(파견수련계획!$AC$4:$AC$803,$AK338),"yyyy-mm-dd"),""))</f>
        <v/>
      </c>
    </row>
    <row r="339">
      <c r="A339" s="10">
        <f>IF(B339="","",ROW()-1)</f>
        <v/>
      </c>
      <c r="B339" s="18" t="n"/>
      <c r="C339" s="10">
        <f>IF($AB339="","",IF(INDEX(기본자료!$C$2:$C$1001,$AB339)="","",INDEX(기본자료!$C$2:$C$1001,$AB339)))</f>
        <v/>
      </c>
      <c r="D339" s="10">
        <f>IF($AB339="","",IF(INDEX(기본자료!$J$2:$J$1001,$AB339)="","",INDEX(기본자료!$J$2:$J$1001,$AB339)))</f>
        <v/>
      </c>
      <c r="E339" s="11">
        <f>IF($AB339="","",IF(INDEX(기본자료!$K$2:$K$1001,$AB339)="","",IF(NOT(ISNUMBER(INDEX(기본자료!$K$2:$K$1001,$AB339))),INDEX(기본자료!$K$2:$K$1001,$AB339),IF(INDEX(기본자료!$K$2:$K$1001,$AB339)&lt;1000000,INDEX(기본자료!$K$2:$K$1001,$AB339),IF(AND(INDEX(기본자료!$K$2:$K$1001,$AB339)&gt;=10000101,INT(MOD(INDEX(기본자료!$K$2:$K$1001,$AB339),10000)/100)&gt;=1,INT(MOD(INDEX(기본자료!$K$2:$K$1001,$AB339),10000)/100)&lt;=12,MOD(INDEX(기본자료!$K$2:$K$1001,$AB339),100)&gt;=1,MOD(INDEX(기본자료!$K$2:$K$1001,$AB339),100)&lt;=31),DATE(INT(INDEX(기본자료!$K$2:$K$1001,$AB339)/10000),INT(MOD(INDEX(기본자료!$K$2:$K$1001,$AB339),10000)/100),MOD(INDEX(기본자료!$K$2:$K$1001,$AB339),100)),INDEX(기본자료!$K$2:$K$1001,$AB339)&amp;"")))))</f>
        <v/>
      </c>
      <c r="F339" s="10">
        <f>IF($AB339="","",IF(INDEX(기본자료!$D$2:$D$1001,$AB339)="","",INDEX(기본자료!$D$2:$D$1001,$AB339)))</f>
        <v/>
      </c>
      <c r="G339" s="10">
        <f>IF($AB339="","",IF(INDEX(기본자료!$E$2:$E$1001,$AB339)="","",INDEX(기본자료!$E$2:$E$1001,$AB339)))</f>
        <v/>
      </c>
      <c r="H339" s="10">
        <f>IF($AB339="","",IF(INDEX(기본자료!$F$2:$F$1001,$AB339)="","",INDEX(기본자료!$F$2:$F$1001,$AB339)))</f>
        <v/>
      </c>
      <c r="I339" s="11">
        <f>IF($AB339="","",IF(INDEX(기본자료!$G$2:$G$1001,$AB339)="","",IF(NOT(ISNUMBER(INDEX(기본자료!$G$2:$G$1001,$AB339))),INDEX(기본자료!$G$2:$G$1001,$AB339),IF(INDEX(기본자료!$G$2:$G$1001,$AB339)&lt;1000000,INDEX(기본자료!$G$2:$G$1001,$AB339),IF(AND(INDEX(기본자료!$G$2:$G$1001,$AB339)&gt;=10000101,INT(MOD(INDEX(기본자료!$G$2:$G$1001,$AB339),10000)/100)&gt;=1,INT(MOD(INDEX(기본자료!$G$2:$G$1001,$AB339),10000)/100)&lt;=12,MOD(INDEX(기본자료!$G$2:$G$1001,$AB339),100)&gt;=1,MOD(INDEX(기본자료!$G$2:$G$1001,$AB339),100)&lt;=31),DATE(INT(INDEX(기본자료!$G$2:$G$1001,$AB339)/10000),INT(MOD(INDEX(기본자료!$G$2:$G$1001,$AB339),10000)/100),MOD(INDEX(기본자료!$G$2:$G$1001,$AB339),100)),INDEX(기본자료!$G$2:$G$1001,$AB339)&amp;"")))))</f>
        <v/>
      </c>
      <c r="J339" s="10">
        <f>IF($AB339="","",IF(INDEX(기본자료!$H$2:$H$1001,$AB339)="","",INDEX(기본자료!$H$2:$H$1001,$AB339)))</f>
        <v/>
      </c>
      <c r="K339" s="10">
        <f>IF($AB339="","",IF(INDEX(기본자료!$I$2:$I$1001,$AB339)="","",INDEX(기본자료!$I$2:$I$1001,$AB339)))</f>
        <v/>
      </c>
      <c r="L339" s="10">
        <f>IF($AB339="","",IF(INDEX(기본자료!$A$2:$A$1001,$AB339)="","",INDEX(기본자료!$A$2:$A$1001,$AB339)))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파견수련계획!$AB$4:$AB$803,$AK339),OR(NOT(ISNUMBER(INDEX(파견수련계획!$AC$4:$AC$803,$AK339))),TODAY()&lt;=INDEX(파견수련계획!$AC$4:$AC$803,$AK339))),"다기관",IF($AF339="","",INDEX(파견수련계획!$T$4:$T$803,$AF339))),IF($AF339="","",INDEX(파견수련계획!$T$4:$T$803,$AF339))))</f>
        <v/>
      </c>
      <c r="Q339" s="10">
        <f>IF($AF339="","",INDEX(파견수련계획!$S$4:$S$803,$AF339))</f>
        <v/>
      </c>
      <c r="R339" s="10">
        <f>IF($AF339="","",INDEX(파견수련계획!$U$4:$U$803,$AF339))</f>
        <v/>
      </c>
      <c r="S339" s="11">
        <f>IF($AF339="","",IF(INDEX(파견수련계획!$H$4:$H$803,$AF339)="","",INDEX(파견수련계획!$H$4:$H$803,$AF339)))</f>
        <v/>
      </c>
      <c r="T339" s="11">
        <f>IF($AF339="","",IF(INDEX(파견수련계획!$I$4:$I$803,$AF339)="","",INDEX(파견수련계획!$I$4:$I$803,$AF339)))</f>
        <v/>
      </c>
      <c r="U339" s="10">
        <f>IF($AF339="","",INDEX(파견수련계획!$X$4:$X$803,$AF339))</f>
        <v/>
      </c>
      <c r="V339" s="17">
        <f>IF($AF339="","",INDEX(파견수련계획!$V$4:$V$803,$AF339))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IF(OR($B339="",TRIM($J339&amp;"")=""),"",SUMPRODUCT((파견수련계획!$Q$4:$Q$803=TRIM($J339&amp;""))*파견수련계획!$W$4:$W$803))</f>
        <v/>
      </c>
      <c r="Y339" s="10">
        <f>IF($B339="","",IF($AG339="","",IF(IF(TRIM($J339&amp;"")="",0,SUMPRODUCT((파견수련계획!$Q$4:$Q$803=TRIM($J339&amp;""))*파견수련계획!$AD$4:$AD$803))&gt;0,$AE339,IF(N($X339)&lt;=0,$AG339,IF($AH339+$AI339=DAY(EOMONTH(요약!$B$3,0)),IF(AND($AH339&gt;=요약!$E$3,$AI339&lt;요약!$E$3),"서울병원",IF(AND($AI339&gt;=요약!$E$3,$AH339&lt;요약!$E$3),"구리병원","⚠15일 판정불가(서울 "&amp;$AH339&amp;"일/구리 "&amp;$AI339&amp;"일)")),IF($AJ339="",$AE339,IF(INDEX(파견수련계획!$T$4:$T$803,$AJ339)="통합수련",INDEX(파견수련계획!$S$4:$S$803,$AJ339),$AE339)))))))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입력",IF(IF(TRIM($J339&amp;"")="",0,SUMPRODUCT((파견수련계획!$Q$4:$Q$803=TRIM($J339&amp;""))*(파견수련계획!$AA$4:$AA$803&lt;&gt;"")))&gt;0,"파견수련계획 입력오류 확인",IF(LEFT($Y339,1)="⚠","서울·구리 15일 판정 불가(양쪽 모두 이상/미만)",IF(IF($AC339="",0,N(INDEX(인턴근무계획!$T$3:$T$402,$AC339)))&gt;0,"인턴계획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IF($B339="","",IFERROR(MATCH($B339,기본자료!$B$2:$B$1001,0),IFERROR(MATCH($B339&amp;"",기본자료!$B$2:$B$1001,0),IFERROR(MATCH(VALUE($B339),기본자료!$B$2:$B$1001,0),""))))</f>
        <v/>
      </c>
      <c r="AC339" s="10">
        <f>IF($B339="","",IFERROR(MATCH($B339,인턴근무계획!$D$3:$D$402,0),IFERROR(MATCH($B339&amp;"",인턴근무계획!$D$3:$D$402,0),IFERROR(MATCH(VALUE($B339),인턴근무계획!$D$3:$D$402,0),""))))</f>
        <v/>
      </c>
      <c r="AD339" s="10">
        <f>IF(OR($AC339="",인턴현황!$G$3=""),"",INDEX(인턴근무계획!$M$3:$R$402,$AC339,인턴현황!$G$3)&amp;"")</f>
        <v/>
      </c>
      <c r="AE339" s="10">
        <f>IF($B339="","",IF($M339&lt;&gt;"",$M339,IF($AF339&lt;&gt;"",IF(LEFT(INDEX(파견수련계획!$R$4:$R$803,$AF339),1)&lt;&gt;"⚠",INDEX(파견수련계획!$R$4:$R$803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파견수련계획!$Y$4:$Y$803,0),IFERROR(MATCH(TRIM($J339&amp;"")&amp;"|파견예정",파견수련계획!$Y$4:$Y$803,0),IFERROR(MATCH(TRIM($J339&amp;"")&amp;"|파견종료",파견수련계획!$Y$4:$Y$803,0),""))))</f>
        <v/>
      </c>
      <c r="AG339" s="10">
        <f>IF($B339="","",IF(AND(IF(OR($AC339="",인턴현황!$K$2=""),"",INDEX(인턴근무계획!$M$3:$R$402,$AC339,인턴현황!$K$2)&amp;"")&lt;&gt;"",LEFT(IF(OR($AC339="",인턴현황!$K$2=""),"",INDEX(인턴근무계획!$M$3:$R$402,$AC339,인턴현황!$K$2)&amp;""),1)&lt;&gt;"⚠"),LEFT(IF(OR($AC339="",인턴현황!$K$2=""),"",INDEX(인턴근무계획!$M$3:$R$402,$AC339,인턴현황!$K$2)&amp;""),FIND(" ",IF(OR($AC339="",인턴현황!$K$2=""),"",INDEX(인턴근무계획!$M$3:$R$402,$AC339,인턴현황!$K$2)&amp;""))-1),$AE339))</f>
        <v/>
      </c>
      <c r="AH339" s="17">
        <f>IF($B339="","",IF(TRIM($J339&amp;"")="",0,SUMPRODUCT((파견수련계획!$Q$4:$Q$803=TRIM($J339&amp;""))*(파견수련계획!$S$4:$S$803="서울병원")*파견수련계획!$W$4:$W$803))+IF($AG339="서울병원",MAX(0,DAY(EOMONTH(요약!$B$3,0))-N($X339)),0))</f>
        <v/>
      </c>
      <c r="AI339" s="17">
        <f>IF($B339="","",IF(TRIM($J339&amp;"")="",0,SUMPRODUCT((파견수련계획!$Q$4:$Q$803=TRIM($J339&amp;""))*(파견수련계획!$S$4:$S$803="구리병원")*파견수련계획!$W$4:$W$803))+IF($AG339="구리병원",MAX(0,DAY(EOMONTH(요약!$B$3,0))-N($X339)),0))</f>
        <v/>
      </c>
      <c r="AJ339" s="10">
        <f>IF(OR($B339="",TRIM($J339&amp;"")=""),"",IFERROR(MATCH(TRIM($J339&amp;"")&amp;"|월",파견수련계획!$Z$4:$Z$803,0),""))</f>
        <v/>
      </c>
      <c r="AK339" s="10">
        <f>IF(OR($B339="",TRIM($J339&amp;"")=""),"",IFERROR(MATCH(TRIM($J339&amp;"")&amp;"|다기관",파견수련계획!$AE$4:$AE$803,0),""))</f>
        <v/>
      </c>
      <c r="AL339" s="10">
        <f>IF($AK339="","","다기관 "&amp;TEXT(INDEX(파견수련계획!$AB$4:$AB$803,$AK339),"yyyy-mm-dd")&amp;"~"&amp;IF(ISNUMBER(INDEX(파견수련계획!$AC$4:$AC$803,$AK339)),TEXT(INDEX(파견수련계획!$AC$4:$AC$803,$AK339),"yyyy-mm-dd"),""))</f>
        <v/>
      </c>
    </row>
    <row r="340">
      <c r="A340" s="10">
        <f>IF(B340="","",ROW()-1)</f>
        <v/>
      </c>
      <c r="B340" s="18" t="n"/>
      <c r="C340" s="10">
        <f>IF($AB340="","",IF(INDEX(기본자료!$C$2:$C$1001,$AB340)="","",INDEX(기본자료!$C$2:$C$1001,$AB340)))</f>
        <v/>
      </c>
      <c r="D340" s="10">
        <f>IF($AB340="","",IF(INDEX(기본자료!$J$2:$J$1001,$AB340)="","",INDEX(기본자료!$J$2:$J$1001,$AB340)))</f>
        <v/>
      </c>
      <c r="E340" s="11">
        <f>IF($AB340="","",IF(INDEX(기본자료!$K$2:$K$1001,$AB340)="","",IF(NOT(ISNUMBER(INDEX(기본자료!$K$2:$K$1001,$AB340))),INDEX(기본자료!$K$2:$K$1001,$AB340),IF(INDEX(기본자료!$K$2:$K$1001,$AB340)&lt;1000000,INDEX(기본자료!$K$2:$K$1001,$AB340),IF(AND(INDEX(기본자료!$K$2:$K$1001,$AB340)&gt;=10000101,INT(MOD(INDEX(기본자료!$K$2:$K$1001,$AB340),10000)/100)&gt;=1,INT(MOD(INDEX(기본자료!$K$2:$K$1001,$AB340),10000)/100)&lt;=12,MOD(INDEX(기본자료!$K$2:$K$1001,$AB340),100)&gt;=1,MOD(INDEX(기본자료!$K$2:$K$1001,$AB340),100)&lt;=31),DATE(INT(INDEX(기본자료!$K$2:$K$1001,$AB340)/10000),INT(MOD(INDEX(기본자료!$K$2:$K$1001,$AB340),10000)/100),MOD(INDEX(기본자료!$K$2:$K$1001,$AB340),100)),INDEX(기본자료!$K$2:$K$1001,$AB340)&amp;"")))))</f>
        <v/>
      </c>
      <c r="F340" s="10">
        <f>IF($AB340="","",IF(INDEX(기본자료!$D$2:$D$1001,$AB340)="","",INDEX(기본자료!$D$2:$D$1001,$AB340)))</f>
        <v/>
      </c>
      <c r="G340" s="10">
        <f>IF($AB340="","",IF(INDEX(기본자료!$E$2:$E$1001,$AB340)="","",INDEX(기본자료!$E$2:$E$1001,$AB340)))</f>
        <v/>
      </c>
      <c r="H340" s="10">
        <f>IF($AB340="","",IF(INDEX(기본자료!$F$2:$F$1001,$AB340)="","",INDEX(기본자료!$F$2:$F$1001,$AB340)))</f>
        <v/>
      </c>
      <c r="I340" s="11">
        <f>IF($AB340="","",IF(INDEX(기본자료!$G$2:$G$1001,$AB340)="","",IF(NOT(ISNUMBER(INDEX(기본자료!$G$2:$G$1001,$AB340))),INDEX(기본자료!$G$2:$G$1001,$AB340),IF(INDEX(기본자료!$G$2:$G$1001,$AB340)&lt;1000000,INDEX(기본자료!$G$2:$G$1001,$AB340),IF(AND(INDEX(기본자료!$G$2:$G$1001,$AB340)&gt;=10000101,INT(MOD(INDEX(기본자료!$G$2:$G$1001,$AB340),10000)/100)&gt;=1,INT(MOD(INDEX(기본자료!$G$2:$G$1001,$AB340),10000)/100)&lt;=12,MOD(INDEX(기본자료!$G$2:$G$1001,$AB340),100)&gt;=1,MOD(INDEX(기본자료!$G$2:$G$1001,$AB340),100)&lt;=31),DATE(INT(INDEX(기본자료!$G$2:$G$1001,$AB340)/10000),INT(MOD(INDEX(기본자료!$G$2:$G$1001,$AB340),10000)/100),MOD(INDEX(기본자료!$G$2:$G$1001,$AB340),100)),INDEX(기본자료!$G$2:$G$1001,$AB340)&amp;"")))))</f>
        <v/>
      </c>
      <c r="J340" s="10">
        <f>IF($AB340="","",IF(INDEX(기본자료!$H$2:$H$1001,$AB340)="","",INDEX(기본자료!$H$2:$H$1001,$AB340)))</f>
        <v/>
      </c>
      <c r="K340" s="10">
        <f>IF($AB340="","",IF(INDEX(기본자료!$I$2:$I$1001,$AB340)="","",INDEX(기본자료!$I$2:$I$1001,$AB340)))</f>
        <v/>
      </c>
      <c r="L340" s="10">
        <f>IF($AB340="","",IF(INDEX(기본자료!$A$2:$A$1001,$AB340)="","",INDEX(기본자료!$A$2:$A$1001,$AB340)))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파견수련계획!$AB$4:$AB$803,$AK340),OR(NOT(ISNUMBER(INDEX(파견수련계획!$AC$4:$AC$803,$AK340))),TODAY()&lt;=INDEX(파견수련계획!$AC$4:$AC$803,$AK340))),"다기관",IF($AF340="","",INDEX(파견수련계획!$T$4:$T$803,$AF340))),IF($AF340="","",INDEX(파견수련계획!$T$4:$T$803,$AF340))))</f>
        <v/>
      </c>
      <c r="Q340" s="10">
        <f>IF($AF340="","",INDEX(파견수련계획!$S$4:$S$803,$AF340))</f>
        <v/>
      </c>
      <c r="R340" s="10">
        <f>IF($AF340="","",INDEX(파견수련계획!$U$4:$U$803,$AF340))</f>
        <v/>
      </c>
      <c r="S340" s="11">
        <f>IF($AF340="","",IF(INDEX(파견수련계획!$H$4:$H$803,$AF340)="","",INDEX(파견수련계획!$H$4:$H$803,$AF340)))</f>
        <v/>
      </c>
      <c r="T340" s="11">
        <f>IF($AF340="","",IF(INDEX(파견수련계획!$I$4:$I$803,$AF340)="","",INDEX(파견수련계획!$I$4:$I$803,$AF340)))</f>
        <v/>
      </c>
      <c r="U340" s="10">
        <f>IF($AF340="","",INDEX(파견수련계획!$X$4:$X$803,$AF340))</f>
        <v/>
      </c>
      <c r="V340" s="17">
        <f>IF($AF340="","",INDEX(파견수련계획!$V$4:$V$803,$AF340))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IF(OR($B340="",TRIM($J340&amp;"")=""),"",SUMPRODUCT((파견수련계획!$Q$4:$Q$803=TRIM($J340&amp;""))*파견수련계획!$W$4:$W$803))</f>
        <v/>
      </c>
      <c r="Y340" s="10">
        <f>IF($B340="","",IF($AG340="","",IF(IF(TRIM($J340&amp;"")="",0,SUMPRODUCT((파견수련계획!$Q$4:$Q$803=TRIM($J340&amp;""))*파견수련계획!$AD$4:$AD$803))&gt;0,$AE340,IF(N($X340)&lt;=0,$AG340,IF($AH340+$AI340=DAY(EOMONTH(요약!$B$3,0)),IF(AND($AH340&gt;=요약!$E$3,$AI340&lt;요약!$E$3),"서울병원",IF(AND($AI340&gt;=요약!$E$3,$AH340&lt;요약!$E$3),"구리병원","⚠15일 판정불가(서울 "&amp;$AH340&amp;"일/구리 "&amp;$AI340&amp;"일)")),IF($AJ340="",$AE340,IF(INDEX(파견수련계획!$T$4:$T$803,$AJ340)="통합수련",INDEX(파견수련계획!$S$4:$S$803,$AJ340),$AE340)))))))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입력",IF(IF(TRIM($J340&amp;"")="",0,SUMPRODUCT((파견수련계획!$Q$4:$Q$803=TRIM($J340&amp;""))*(파견수련계획!$AA$4:$AA$803&lt;&gt;"")))&gt;0,"파견수련계획 입력오류 확인",IF(LEFT($Y340,1)="⚠","서울·구리 15일 판정 불가(양쪽 모두 이상/미만)",IF(IF($AC340="",0,N(INDEX(인턴근무계획!$T$3:$T$402,$AC340)))&gt;0,"인턴계획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IF($B340="","",IFERROR(MATCH($B340,기본자료!$B$2:$B$1001,0),IFERROR(MATCH($B340&amp;"",기본자료!$B$2:$B$1001,0),IFERROR(MATCH(VALUE($B340),기본자료!$B$2:$B$1001,0),""))))</f>
        <v/>
      </c>
      <c r="AC340" s="10">
        <f>IF($B340="","",IFERROR(MATCH($B340,인턴근무계획!$D$3:$D$402,0),IFERROR(MATCH($B340&amp;"",인턴근무계획!$D$3:$D$402,0),IFERROR(MATCH(VALUE($B340),인턴근무계획!$D$3:$D$402,0),""))))</f>
        <v/>
      </c>
      <c r="AD340" s="10">
        <f>IF(OR($AC340="",인턴현황!$G$3=""),"",INDEX(인턴근무계획!$M$3:$R$402,$AC340,인턴현황!$G$3)&amp;"")</f>
        <v/>
      </c>
      <c r="AE340" s="10">
        <f>IF($B340="","",IF($M340&lt;&gt;"",$M340,IF($AF340&lt;&gt;"",IF(LEFT(INDEX(파견수련계획!$R$4:$R$803,$AF340),1)&lt;&gt;"⚠",INDEX(파견수련계획!$R$4:$R$803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파견수련계획!$Y$4:$Y$803,0),IFERROR(MATCH(TRIM($J340&amp;"")&amp;"|파견예정",파견수련계획!$Y$4:$Y$803,0),IFERROR(MATCH(TRIM($J340&amp;"")&amp;"|파견종료",파견수련계획!$Y$4:$Y$803,0),""))))</f>
        <v/>
      </c>
      <c r="AG340" s="10">
        <f>IF($B340="","",IF(AND(IF(OR($AC340="",인턴현황!$K$2=""),"",INDEX(인턴근무계획!$M$3:$R$402,$AC340,인턴현황!$K$2)&amp;"")&lt;&gt;"",LEFT(IF(OR($AC340="",인턴현황!$K$2=""),"",INDEX(인턴근무계획!$M$3:$R$402,$AC340,인턴현황!$K$2)&amp;""),1)&lt;&gt;"⚠"),LEFT(IF(OR($AC340="",인턴현황!$K$2=""),"",INDEX(인턴근무계획!$M$3:$R$402,$AC340,인턴현황!$K$2)&amp;""),FIND(" ",IF(OR($AC340="",인턴현황!$K$2=""),"",INDEX(인턴근무계획!$M$3:$R$402,$AC340,인턴현황!$K$2)&amp;""))-1),$AE340))</f>
        <v/>
      </c>
      <c r="AH340" s="17">
        <f>IF($B340="","",IF(TRIM($J340&amp;"")="",0,SUMPRODUCT((파견수련계획!$Q$4:$Q$803=TRIM($J340&amp;""))*(파견수련계획!$S$4:$S$803="서울병원")*파견수련계획!$W$4:$W$803))+IF($AG340="서울병원",MAX(0,DAY(EOMONTH(요약!$B$3,0))-N($X340)),0))</f>
        <v/>
      </c>
      <c r="AI340" s="17">
        <f>IF($B340="","",IF(TRIM($J340&amp;"")="",0,SUMPRODUCT((파견수련계획!$Q$4:$Q$803=TRIM($J340&amp;""))*(파견수련계획!$S$4:$S$803="구리병원")*파견수련계획!$W$4:$W$803))+IF($AG340="구리병원",MAX(0,DAY(EOMONTH(요약!$B$3,0))-N($X340)),0))</f>
        <v/>
      </c>
      <c r="AJ340" s="10">
        <f>IF(OR($B340="",TRIM($J340&amp;"")=""),"",IFERROR(MATCH(TRIM($J340&amp;"")&amp;"|월",파견수련계획!$Z$4:$Z$803,0),""))</f>
        <v/>
      </c>
      <c r="AK340" s="10">
        <f>IF(OR($B340="",TRIM($J340&amp;"")=""),"",IFERROR(MATCH(TRIM($J340&amp;"")&amp;"|다기관",파견수련계획!$AE$4:$AE$803,0),""))</f>
        <v/>
      </c>
      <c r="AL340" s="10">
        <f>IF($AK340="","","다기관 "&amp;TEXT(INDEX(파견수련계획!$AB$4:$AB$803,$AK340),"yyyy-mm-dd")&amp;"~"&amp;IF(ISNUMBER(INDEX(파견수련계획!$AC$4:$AC$803,$AK340)),TEXT(INDEX(파견수련계획!$AC$4:$AC$803,$AK340),"yyyy-mm-dd"),""))</f>
        <v/>
      </c>
    </row>
    <row r="341">
      <c r="A341" s="10">
        <f>IF(B341="","",ROW()-1)</f>
        <v/>
      </c>
      <c r="B341" s="18" t="n"/>
      <c r="C341" s="10">
        <f>IF($AB341="","",IF(INDEX(기본자료!$C$2:$C$1001,$AB341)="","",INDEX(기본자료!$C$2:$C$1001,$AB341)))</f>
        <v/>
      </c>
      <c r="D341" s="10">
        <f>IF($AB341="","",IF(INDEX(기본자료!$J$2:$J$1001,$AB341)="","",INDEX(기본자료!$J$2:$J$1001,$AB341)))</f>
        <v/>
      </c>
      <c r="E341" s="11">
        <f>IF($AB341="","",IF(INDEX(기본자료!$K$2:$K$1001,$AB341)="","",IF(NOT(ISNUMBER(INDEX(기본자료!$K$2:$K$1001,$AB341))),INDEX(기본자료!$K$2:$K$1001,$AB341),IF(INDEX(기본자료!$K$2:$K$1001,$AB341)&lt;1000000,INDEX(기본자료!$K$2:$K$1001,$AB341),IF(AND(INDEX(기본자료!$K$2:$K$1001,$AB341)&gt;=10000101,INT(MOD(INDEX(기본자료!$K$2:$K$1001,$AB341),10000)/100)&gt;=1,INT(MOD(INDEX(기본자료!$K$2:$K$1001,$AB341),10000)/100)&lt;=12,MOD(INDEX(기본자료!$K$2:$K$1001,$AB341),100)&gt;=1,MOD(INDEX(기본자료!$K$2:$K$1001,$AB341),100)&lt;=31),DATE(INT(INDEX(기본자료!$K$2:$K$1001,$AB341)/10000),INT(MOD(INDEX(기본자료!$K$2:$K$1001,$AB341),10000)/100),MOD(INDEX(기본자료!$K$2:$K$1001,$AB341),100)),INDEX(기본자료!$K$2:$K$1001,$AB341)&amp;"")))))</f>
        <v/>
      </c>
      <c r="F341" s="10">
        <f>IF($AB341="","",IF(INDEX(기본자료!$D$2:$D$1001,$AB341)="","",INDEX(기본자료!$D$2:$D$1001,$AB341)))</f>
        <v/>
      </c>
      <c r="G341" s="10">
        <f>IF($AB341="","",IF(INDEX(기본자료!$E$2:$E$1001,$AB341)="","",INDEX(기본자료!$E$2:$E$1001,$AB341)))</f>
        <v/>
      </c>
      <c r="H341" s="10">
        <f>IF($AB341="","",IF(INDEX(기본자료!$F$2:$F$1001,$AB341)="","",INDEX(기본자료!$F$2:$F$1001,$AB341)))</f>
        <v/>
      </c>
      <c r="I341" s="11">
        <f>IF($AB341="","",IF(INDEX(기본자료!$G$2:$G$1001,$AB341)="","",IF(NOT(ISNUMBER(INDEX(기본자료!$G$2:$G$1001,$AB341))),INDEX(기본자료!$G$2:$G$1001,$AB341),IF(INDEX(기본자료!$G$2:$G$1001,$AB341)&lt;1000000,INDEX(기본자료!$G$2:$G$1001,$AB341),IF(AND(INDEX(기본자료!$G$2:$G$1001,$AB341)&gt;=10000101,INT(MOD(INDEX(기본자료!$G$2:$G$1001,$AB341),10000)/100)&gt;=1,INT(MOD(INDEX(기본자료!$G$2:$G$1001,$AB341),10000)/100)&lt;=12,MOD(INDEX(기본자료!$G$2:$G$1001,$AB341),100)&gt;=1,MOD(INDEX(기본자료!$G$2:$G$1001,$AB341),100)&lt;=31),DATE(INT(INDEX(기본자료!$G$2:$G$1001,$AB341)/10000),INT(MOD(INDEX(기본자료!$G$2:$G$1001,$AB341),10000)/100),MOD(INDEX(기본자료!$G$2:$G$1001,$AB341),100)),INDEX(기본자료!$G$2:$G$1001,$AB341)&amp;"")))))</f>
        <v/>
      </c>
      <c r="J341" s="10">
        <f>IF($AB341="","",IF(INDEX(기본자료!$H$2:$H$1001,$AB341)="","",INDEX(기본자료!$H$2:$H$1001,$AB341)))</f>
        <v/>
      </c>
      <c r="K341" s="10">
        <f>IF($AB341="","",IF(INDEX(기본자료!$I$2:$I$1001,$AB341)="","",INDEX(기본자료!$I$2:$I$1001,$AB341)))</f>
        <v/>
      </c>
      <c r="L341" s="10">
        <f>IF($AB341="","",IF(INDEX(기본자료!$A$2:$A$1001,$AB341)="","",INDEX(기본자료!$A$2:$A$1001,$AB341)))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파견수련계획!$AB$4:$AB$803,$AK341),OR(NOT(ISNUMBER(INDEX(파견수련계획!$AC$4:$AC$803,$AK341))),TODAY()&lt;=INDEX(파견수련계획!$AC$4:$AC$803,$AK341))),"다기관",IF($AF341="","",INDEX(파견수련계획!$T$4:$T$803,$AF341))),IF($AF341="","",INDEX(파견수련계획!$T$4:$T$803,$AF341))))</f>
        <v/>
      </c>
      <c r="Q341" s="10">
        <f>IF($AF341="","",INDEX(파견수련계획!$S$4:$S$803,$AF341))</f>
        <v/>
      </c>
      <c r="R341" s="10">
        <f>IF($AF341="","",INDEX(파견수련계획!$U$4:$U$803,$AF341))</f>
        <v/>
      </c>
      <c r="S341" s="11">
        <f>IF($AF341="","",IF(INDEX(파견수련계획!$H$4:$H$803,$AF341)="","",INDEX(파견수련계획!$H$4:$H$803,$AF341)))</f>
        <v/>
      </c>
      <c r="T341" s="11">
        <f>IF($AF341="","",IF(INDEX(파견수련계획!$I$4:$I$803,$AF341)="","",INDEX(파견수련계획!$I$4:$I$803,$AF341)))</f>
        <v/>
      </c>
      <c r="U341" s="10">
        <f>IF($AF341="","",INDEX(파견수련계획!$X$4:$X$803,$AF341))</f>
        <v/>
      </c>
      <c r="V341" s="17">
        <f>IF($AF341="","",INDEX(파견수련계획!$V$4:$V$803,$AF341))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IF(OR($B341="",TRIM($J341&amp;"")=""),"",SUMPRODUCT((파견수련계획!$Q$4:$Q$803=TRIM($J341&amp;""))*파견수련계획!$W$4:$W$803))</f>
        <v/>
      </c>
      <c r="Y341" s="10">
        <f>IF($B341="","",IF($AG341="","",IF(IF(TRIM($J341&amp;"")="",0,SUMPRODUCT((파견수련계획!$Q$4:$Q$803=TRIM($J341&amp;""))*파견수련계획!$AD$4:$AD$803))&gt;0,$AE341,IF(N($X341)&lt;=0,$AG341,IF($AH341+$AI341=DAY(EOMONTH(요약!$B$3,0)),IF(AND($AH341&gt;=요약!$E$3,$AI341&lt;요약!$E$3),"서울병원",IF(AND($AI341&gt;=요약!$E$3,$AH341&lt;요약!$E$3),"구리병원","⚠15일 판정불가(서울 "&amp;$AH341&amp;"일/구리 "&amp;$AI341&amp;"일)")),IF($AJ341="",$AE341,IF(INDEX(파견수련계획!$T$4:$T$803,$AJ341)="통합수련",INDEX(파견수련계획!$S$4:$S$803,$AJ341),$AE341)))))))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입력",IF(IF(TRIM($J341&amp;"")="",0,SUMPRODUCT((파견수련계획!$Q$4:$Q$803=TRIM($J341&amp;""))*(파견수련계획!$AA$4:$AA$803&lt;&gt;"")))&gt;0,"파견수련계획 입력오류 확인",IF(LEFT($Y341,1)="⚠","서울·구리 15일 판정 불가(양쪽 모두 이상/미만)",IF(IF($AC341="",0,N(INDEX(인턴근무계획!$T$3:$T$402,$AC341)))&gt;0,"인턴계획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IF($B341="","",IFERROR(MATCH($B341,기본자료!$B$2:$B$1001,0),IFERROR(MATCH($B341&amp;"",기본자료!$B$2:$B$1001,0),IFERROR(MATCH(VALUE($B341),기본자료!$B$2:$B$1001,0),""))))</f>
        <v/>
      </c>
      <c r="AC341" s="10">
        <f>IF($B341="","",IFERROR(MATCH($B341,인턴근무계획!$D$3:$D$402,0),IFERROR(MATCH($B341&amp;"",인턴근무계획!$D$3:$D$402,0),IFERROR(MATCH(VALUE($B341),인턴근무계획!$D$3:$D$402,0),""))))</f>
        <v/>
      </c>
      <c r="AD341" s="10">
        <f>IF(OR($AC341="",인턴현황!$G$3=""),"",INDEX(인턴근무계획!$M$3:$R$402,$AC341,인턴현황!$G$3)&amp;"")</f>
        <v/>
      </c>
      <c r="AE341" s="10">
        <f>IF($B341="","",IF($M341&lt;&gt;"",$M341,IF($AF341&lt;&gt;"",IF(LEFT(INDEX(파견수련계획!$R$4:$R$803,$AF341),1)&lt;&gt;"⚠",INDEX(파견수련계획!$R$4:$R$803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파견수련계획!$Y$4:$Y$803,0),IFERROR(MATCH(TRIM($J341&amp;"")&amp;"|파견예정",파견수련계획!$Y$4:$Y$803,0),IFERROR(MATCH(TRIM($J341&amp;"")&amp;"|파견종료",파견수련계획!$Y$4:$Y$803,0),""))))</f>
        <v/>
      </c>
      <c r="AG341" s="10">
        <f>IF($B341="","",IF(AND(IF(OR($AC341="",인턴현황!$K$2=""),"",INDEX(인턴근무계획!$M$3:$R$402,$AC341,인턴현황!$K$2)&amp;"")&lt;&gt;"",LEFT(IF(OR($AC341="",인턴현황!$K$2=""),"",INDEX(인턴근무계획!$M$3:$R$402,$AC341,인턴현황!$K$2)&amp;""),1)&lt;&gt;"⚠"),LEFT(IF(OR($AC341="",인턴현황!$K$2=""),"",INDEX(인턴근무계획!$M$3:$R$402,$AC341,인턴현황!$K$2)&amp;""),FIND(" ",IF(OR($AC341="",인턴현황!$K$2=""),"",INDEX(인턴근무계획!$M$3:$R$402,$AC341,인턴현황!$K$2)&amp;""))-1),$AE341))</f>
        <v/>
      </c>
      <c r="AH341" s="17">
        <f>IF($B341="","",IF(TRIM($J341&amp;"")="",0,SUMPRODUCT((파견수련계획!$Q$4:$Q$803=TRIM($J341&amp;""))*(파견수련계획!$S$4:$S$803="서울병원")*파견수련계획!$W$4:$W$803))+IF($AG341="서울병원",MAX(0,DAY(EOMONTH(요약!$B$3,0))-N($X341)),0))</f>
        <v/>
      </c>
      <c r="AI341" s="17">
        <f>IF($B341="","",IF(TRIM($J341&amp;"")="",0,SUMPRODUCT((파견수련계획!$Q$4:$Q$803=TRIM($J341&amp;""))*(파견수련계획!$S$4:$S$803="구리병원")*파견수련계획!$W$4:$W$803))+IF($AG341="구리병원",MAX(0,DAY(EOMONTH(요약!$B$3,0))-N($X341)),0))</f>
        <v/>
      </c>
      <c r="AJ341" s="10">
        <f>IF(OR($B341="",TRIM($J341&amp;"")=""),"",IFERROR(MATCH(TRIM($J341&amp;"")&amp;"|월",파견수련계획!$Z$4:$Z$803,0),""))</f>
        <v/>
      </c>
      <c r="AK341" s="10">
        <f>IF(OR($B341="",TRIM($J341&amp;"")=""),"",IFERROR(MATCH(TRIM($J341&amp;"")&amp;"|다기관",파견수련계획!$AE$4:$AE$803,0),""))</f>
        <v/>
      </c>
      <c r="AL341" s="10">
        <f>IF($AK341="","","다기관 "&amp;TEXT(INDEX(파견수련계획!$AB$4:$AB$803,$AK341),"yyyy-mm-dd")&amp;"~"&amp;IF(ISNUMBER(INDEX(파견수련계획!$AC$4:$AC$803,$AK341)),TEXT(INDEX(파견수련계획!$AC$4:$AC$803,$AK341),"yyyy-mm-dd"),""))</f>
        <v/>
      </c>
    </row>
    <row r="342">
      <c r="A342" s="10">
        <f>IF(B342="","",ROW()-1)</f>
        <v/>
      </c>
      <c r="B342" s="18" t="n"/>
      <c r="C342" s="10">
        <f>IF($AB342="","",IF(INDEX(기본자료!$C$2:$C$1001,$AB342)="","",INDEX(기본자료!$C$2:$C$1001,$AB342)))</f>
        <v/>
      </c>
      <c r="D342" s="10">
        <f>IF($AB342="","",IF(INDEX(기본자료!$J$2:$J$1001,$AB342)="","",INDEX(기본자료!$J$2:$J$1001,$AB342)))</f>
        <v/>
      </c>
      <c r="E342" s="11">
        <f>IF($AB342="","",IF(INDEX(기본자료!$K$2:$K$1001,$AB342)="","",IF(NOT(ISNUMBER(INDEX(기본자료!$K$2:$K$1001,$AB342))),INDEX(기본자료!$K$2:$K$1001,$AB342),IF(INDEX(기본자료!$K$2:$K$1001,$AB342)&lt;1000000,INDEX(기본자료!$K$2:$K$1001,$AB342),IF(AND(INDEX(기본자료!$K$2:$K$1001,$AB342)&gt;=10000101,INT(MOD(INDEX(기본자료!$K$2:$K$1001,$AB342),10000)/100)&gt;=1,INT(MOD(INDEX(기본자료!$K$2:$K$1001,$AB342),10000)/100)&lt;=12,MOD(INDEX(기본자료!$K$2:$K$1001,$AB342),100)&gt;=1,MOD(INDEX(기본자료!$K$2:$K$1001,$AB342),100)&lt;=31),DATE(INT(INDEX(기본자료!$K$2:$K$1001,$AB342)/10000),INT(MOD(INDEX(기본자료!$K$2:$K$1001,$AB342),10000)/100),MOD(INDEX(기본자료!$K$2:$K$1001,$AB342),100)),INDEX(기본자료!$K$2:$K$1001,$AB342)&amp;"")))))</f>
        <v/>
      </c>
      <c r="F342" s="10">
        <f>IF($AB342="","",IF(INDEX(기본자료!$D$2:$D$1001,$AB342)="","",INDEX(기본자료!$D$2:$D$1001,$AB342)))</f>
        <v/>
      </c>
      <c r="G342" s="10">
        <f>IF($AB342="","",IF(INDEX(기본자료!$E$2:$E$1001,$AB342)="","",INDEX(기본자료!$E$2:$E$1001,$AB342)))</f>
        <v/>
      </c>
      <c r="H342" s="10">
        <f>IF($AB342="","",IF(INDEX(기본자료!$F$2:$F$1001,$AB342)="","",INDEX(기본자료!$F$2:$F$1001,$AB342)))</f>
        <v/>
      </c>
      <c r="I342" s="11">
        <f>IF($AB342="","",IF(INDEX(기본자료!$G$2:$G$1001,$AB342)="","",IF(NOT(ISNUMBER(INDEX(기본자료!$G$2:$G$1001,$AB342))),INDEX(기본자료!$G$2:$G$1001,$AB342),IF(INDEX(기본자료!$G$2:$G$1001,$AB342)&lt;1000000,INDEX(기본자료!$G$2:$G$1001,$AB342),IF(AND(INDEX(기본자료!$G$2:$G$1001,$AB342)&gt;=10000101,INT(MOD(INDEX(기본자료!$G$2:$G$1001,$AB342),10000)/100)&gt;=1,INT(MOD(INDEX(기본자료!$G$2:$G$1001,$AB342),10000)/100)&lt;=12,MOD(INDEX(기본자료!$G$2:$G$1001,$AB342),100)&gt;=1,MOD(INDEX(기본자료!$G$2:$G$1001,$AB342),100)&lt;=31),DATE(INT(INDEX(기본자료!$G$2:$G$1001,$AB342)/10000),INT(MOD(INDEX(기본자료!$G$2:$G$1001,$AB342),10000)/100),MOD(INDEX(기본자료!$G$2:$G$1001,$AB342),100)),INDEX(기본자료!$G$2:$G$1001,$AB342)&amp;"")))))</f>
        <v/>
      </c>
      <c r="J342" s="10">
        <f>IF($AB342="","",IF(INDEX(기본자료!$H$2:$H$1001,$AB342)="","",INDEX(기본자료!$H$2:$H$1001,$AB342)))</f>
        <v/>
      </c>
      <c r="K342" s="10">
        <f>IF($AB342="","",IF(INDEX(기본자료!$I$2:$I$1001,$AB342)="","",INDEX(기본자료!$I$2:$I$1001,$AB342)))</f>
        <v/>
      </c>
      <c r="L342" s="10">
        <f>IF($AB342="","",IF(INDEX(기본자료!$A$2:$A$1001,$AB342)="","",INDEX(기본자료!$A$2:$A$1001,$AB342)))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파견수련계획!$AB$4:$AB$803,$AK342),OR(NOT(ISNUMBER(INDEX(파견수련계획!$AC$4:$AC$803,$AK342))),TODAY()&lt;=INDEX(파견수련계획!$AC$4:$AC$803,$AK342))),"다기관",IF($AF342="","",INDEX(파견수련계획!$T$4:$T$803,$AF342))),IF($AF342="","",INDEX(파견수련계획!$T$4:$T$803,$AF342))))</f>
        <v/>
      </c>
      <c r="Q342" s="10">
        <f>IF($AF342="","",INDEX(파견수련계획!$S$4:$S$803,$AF342))</f>
        <v/>
      </c>
      <c r="R342" s="10">
        <f>IF($AF342="","",INDEX(파견수련계획!$U$4:$U$803,$AF342))</f>
        <v/>
      </c>
      <c r="S342" s="11">
        <f>IF($AF342="","",IF(INDEX(파견수련계획!$H$4:$H$803,$AF342)="","",INDEX(파견수련계획!$H$4:$H$803,$AF342)))</f>
        <v/>
      </c>
      <c r="T342" s="11">
        <f>IF($AF342="","",IF(INDEX(파견수련계획!$I$4:$I$803,$AF342)="","",INDEX(파견수련계획!$I$4:$I$803,$AF342)))</f>
        <v/>
      </c>
      <c r="U342" s="10">
        <f>IF($AF342="","",INDEX(파견수련계획!$X$4:$X$803,$AF342))</f>
        <v/>
      </c>
      <c r="V342" s="17">
        <f>IF($AF342="","",INDEX(파견수련계획!$V$4:$V$803,$AF342))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IF(OR($B342="",TRIM($J342&amp;"")=""),"",SUMPRODUCT((파견수련계획!$Q$4:$Q$803=TRIM($J342&amp;""))*파견수련계획!$W$4:$W$803))</f>
        <v/>
      </c>
      <c r="Y342" s="10">
        <f>IF($B342="","",IF($AG342="","",IF(IF(TRIM($J342&amp;"")="",0,SUMPRODUCT((파견수련계획!$Q$4:$Q$803=TRIM($J342&amp;""))*파견수련계획!$AD$4:$AD$803))&gt;0,$AE342,IF(N($X342)&lt;=0,$AG342,IF($AH342+$AI342=DAY(EOMONTH(요약!$B$3,0)),IF(AND($AH342&gt;=요약!$E$3,$AI342&lt;요약!$E$3),"서울병원",IF(AND($AI342&gt;=요약!$E$3,$AH342&lt;요약!$E$3),"구리병원","⚠15일 판정불가(서울 "&amp;$AH342&amp;"일/구리 "&amp;$AI342&amp;"일)")),IF($AJ342="",$AE342,IF(INDEX(파견수련계획!$T$4:$T$803,$AJ342)="통합수련",INDEX(파견수련계획!$S$4:$S$803,$AJ342),$AE342)))))))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입력",IF(IF(TRIM($J342&amp;"")="",0,SUMPRODUCT((파견수련계획!$Q$4:$Q$803=TRIM($J342&amp;""))*(파견수련계획!$AA$4:$AA$803&lt;&gt;"")))&gt;0,"파견수련계획 입력오류 확인",IF(LEFT($Y342,1)="⚠","서울·구리 15일 판정 불가(양쪽 모두 이상/미만)",IF(IF($AC342="",0,N(INDEX(인턴근무계획!$T$3:$T$402,$AC342)))&gt;0,"인턴계획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IF($B342="","",IFERROR(MATCH($B342,기본자료!$B$2:$B$1001,0),IFERROR(MATCH($B342&amp;"",기본자료!$B$2:$B$1001,0),IFERROR(MATCH(VALUE($B342),기본자료!$B$2:$B$1001,0),""))))</f>
        <v/>
      </c>
      <c r="AC342" s="10">
        <f>IF($B342="","",IFERROR(MATCH($B342,인턴근무계획!$D$3:$D$402,0),IFERROR(MATCH($B342&amp;"",인턴근무계획!$D$3:$D$402,0),IFERROR(MATCH(VALUE($B342),인턴근무계획!$D$3:$D$402,0),""))))</f>
        <v/>
      </c>
      <c r="AD342" s="10">
        <f>IF(OR($AC342="",인턴현황!$G$3=""),"",INDEX(인턴근무계획!$M$3:$R$402,$AC342,인턴현황!$G$3)&amp;"")</f>
        <v/>
      </c>
      <c r="AE342" s="10">
        <f>IF($B342="","",IF($M342&lt;&gt;"",$M342,IF($AF342&lt;&gt;"",IF(LEFT(INDEX(파견수련계획!$R$4:$R$803,$AF342),1)&lt;&gt;"⚠",INDEX(파견수련계획!$R$4:$R$803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파견수련계획!$Y$4:$Y$803,0),IFERROR(MATCH(TRIM($J342&amp;"")&amp;"|파견예정",파견수련계획!$Y$4:$Y$803,0),IFERROR(MATCH(TRIM($J342&amp;"")&amp;"|파견종료",파견수련계획!$Y$4:$Y$803,0),""))))</f>
        <v/>
      </c>
      <c r="AG342" s="10">
        <f>IF($B342="","",IF(AND(IF(OR($AC342="",인턴현황!$K$2=""),"",INDEX(인턴근무계획!$M$3:$R$402,$AC342,인턴현황!$K$2)&amp;"")&lt;&gt;"",LEFT(IF(OR($AC342="",인턴현황!$K$2=""),"",INDEX(인턴근무계획!$M$3:$R$402,$AC342,인턴현황!$K$2)&amp;""),1)&lt;&gt;"⚠"),LEFT(IF(OR($AC342="",인턴현황!$K$2=""),"",INDEX(인턴근무계획!$M$3:$R$402,$AC342,인턴현황!$K$2)&amp;""),FIND(" ",IF(OR($AC342="",인턴현황!$K$2=""),"",INDEX(인턴근무계획!$M$3:$R$402,$AC342,인턴현황!$K$2)&amp;""))-1),$AE342))</f>
        <v/>
      </c>
      <c r="AH342" s="17">
        <f>IF($B342="","",IF(TRIM($J342&amp;"")="",0,SUMPRODUCT((파견수련계획!$Q$4:$Q$803=TRIM($J342&amp;""))*(파견수련계획!$S$4:$S$803="서울병원")*파견수련계획!$W$4:$W$803))+IF($AG342="서울병원",MAX(0,DAY(EOMONTH(요약!$B$3,0))-N($X342)),0))</f>
        <v/>
      </c>
      <c r="AI342" s="17">
        <f>IF($B342="","",IF(TRIM($J342&amp;"")="",0,SUMPRODUCT((파견수련계획!$Q$4:$Q$803=TRIM($J342&amp;""))*(파견수련계획!$S$4:$S$803="구리병원")*파견수련계획!$W$4:$W$803))+IF($AG342="구리병원",MAX(0,DAY(EOMONTH(요약!$B$3,0))-N($X342)),0))</f>
        <v/>
      </c>
      <c r="AJ342" s="10">
        <f>IF(OR($B342="",TRIM($J342&amp;"")=""),"",IFERROR(MATCH(TRIM($J342&amp;"")&amp;"|월",파견수련계획!$Z$4:$Z$803,0),""))</f>
        <v/>
      </c>
      <c r="AK342" s="10">
        <f>IF(OR($B342="",TRIM($J342&amp;"")=""),"",IFERROR(MATCH(TRIM($J342&amp;"")&amp;"|다기관",파견수련계획!$AE$4:$AE$803,0),""))</f>
        <v/>
      </c>
      <c r="AL342" s="10">
        <f>IF($AK342="","","다기관 "&amp;TEXT(INDEX(파견수련계획!$AB$4:$AB$803,$AK342),"yyyy-mm-dd")&amp;"~"&amp;IF(ISNUMBER(INDEX(파견수련계획!$AC$4:$AC$803,$AK342)),TEXT(INDEX(파견수련계획!$AC$4:$AC$803,$AK342),"yyyy-mm-dd"),""))</f>
        <v/>
      </c>
    </row>
    <row r="343">
      <c r="A343" s="10">
        <f>IF(B343="","",ROW()-1)</f>
        <v/>
      </c>
      <c r="B343" s="18" t="n"/>
      <c r="C343" s="10">
        <f>IF($AB343="","",IF(INDEX(기본자료!$C$2:$C$1001,$AB343)="","",INDEX(기본자료!$C$2:$C$1001,$AB343)))</f>
        <v/>
      </c>
      <c r="D343" s="10">
        <f>IF($AB343="","",IF(INDEX(기본자료!$J$2:$J$1001,$AB343)="","",INDEX(기본자료!$J$2:$J$1001,$AB343)))</f>
        <v/>
      </c>
      <c r="E343" s="11">
        <f>IF($AB343="","",IF(INDEX(기본자료!$K$2:$K$1001,$AB343)="","",IF(NOT(ISNUMBER(INDEX(기본자료!$K$2:$K$1001,$AB343))),INDEX(기본자료!$K$2:$K$1001,$AB343),IF(INDEX(기본자료!$K$2:$K$1001,$AB343)&lt;1000000,INDEX(기본자료!$K$2:$K$1001,$AB343),IF(AND(INDEX(기본자료!$K$2:$K$1001,$AB343)&gt;=10000101,INT(MOD(INDEX(기본자료!$K$2:$K$1001,$AB343),10000)/100)&gt;=1,INT(MOD(INDEX(기본자료!$K$2:$K$1001,$AB343),10000)/100)&lt;=12,MOD(INDEX(기본자료!$K$2:$K$1001,$AB343),100)&gt;=1,MOD(INDEX(기본자료!$K$2:$K$1001,$AB343),100)&lt;=31),DATE(INT(INDEX(기본자료!$K$2:$K$1001,$AB343)/10000),INT(MOD(INDEX(기본자료!$K$2:$K$1001,$AB343),10000)/100),MOD(INDEX(기본자료!$K$2:$K$1001,$AB343),100)),INDEX(기본자료!$K$2:$K$1001,$AB343)&amp;"")))))</f>
        <v/>
      </c>
      <c r="F343" s="10">
        <f>IF($AB343="","",IF(INDEX(기본자료!$D$2:$D$1001,$AB343)="","",INDEX(기본자료!$D$2:$D$1001,$AB343)))</f>
        <v/>
      </c>
      <c r="G343" s="10">
        <f>IF($AB343="","",IF(INDEX(기본자료!$E$2:$E$1001,$AB343)="","",INDEX(기본자료!$E$2:$E$1001,$AB343)))</f>
        <v/>
      </c>
      <c r="H343" s="10">
        <f>IF($AB343="","",IF(INDEX(기본자료!$F$2:$F$1001,$AB343)="","",INDEX(기본자료!$F$2:$F$1001,$AB343)))</f>
        <v/>
      </c>
      <c r="I343" s="11">
        <f>IF($AB343="","",IF(INDEX(기본자료!$G$2:$G$1001,$AB343)="","",IF(NOT(ISNUMBER(INDEX(기본자료!$G$2:$G$1001,$AB343))),INDEX(기본자료!$G$2:$G$1001,$AB343),IF(INDEX(기본자료!$G$2:$G$1001,$AB343)&lt;1000000,INDEX(기본자료!$G$2:$G$1001,$AB343),IF(AND(INDEX(기본자료!$G$2:$G$1001,$AB343)&gt;=10000101,INT(MOD(INDEX(기본자료!$G$2:$G$1001,$AB343),10000)/100)&gt;=1,INT(MOD(INDEX(기본자료!$G$2:$G$1001,$AB343),10000)/100)&lt;=12,MOD(INDEX(기본자료!$G$2:$G$1001,$AB343),100)&gt;=1,MOD(INDEX(기본자료!$G$2:$G$1001,$AB343),100)&lt;=31),DATE(INT(INDEX(기본자료!$G$2:$G$1001,$AB343)/10000),INT(MOD(INDEX(기본자료!$G$2:$G$1001,$AB343),10000)/100),MOD(INDEX(기본자료!$G$2:$G$1001,$AB343),100)),INDEX(기본자료!$G$2:$G$1001,$AB343)&amp;"")))))</f>
        <v/>
      </c>
      <c r="J343" s="10">
        <f>IF($AB343="","",IF(INDEX(기본자료!$H$2:$H$1001,$AB343)="","",INDEX(기본자료!$H$2:$H$1001,$AB343)))</f>
        <v/>
      </c>
      <c r="K343" s="10">
        <f>IF($AB343="","",IF(INDEX(기본자료!$I$2:$I$1001,$AB343)="","",INDEX(기본자료!$I$2:$I$1001,$AB343)))</f>
        <v/>
      </c>
      <c r="L343" s="10">
        <f>IF($AB343="","",IF(INDEX(기본자료!$A$2:$A$1001,$AB343)="","",INDEX(기본자료!$A$2:$A$1001,$AB343)))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파견수련계획!$AB$4:$AB$803,$AK343),OR(NOT(ISNUMBER(INDEX(파견수련계획!$AC$4:$AC$803,$AK343))),TODAY()&lt;=INDEX(파견수련계획!$AC$4:$AC$803,$AK343))),"다기관",IF($AF343="","",INDEX(파견수련계획!$T$4:$T$803,$AF343))),IF($AF343="","",INDEX(파견수련계획!$T$4:$T$803,$AF343))))</f>
        <v/>
      </c>
      <c r="Q343" s="10">
        <f>IF($AF343="","",INDEX(파견수련계획!$S$4:$S$803,$AF343))</f>
        <v/>
      </c>
      <c r="R343" s="10">
        <f>IF($AF343="","",INDEX(파견수련계획!$U$4:$U$803,$AF343))</f>
        <v/>
      </c>
      <c r="S343" s="11">
        <f>IF($AF343="","",IF(INDEX(파견수련계획!$H$4:$H$803,$AF343)="","",INDEX(파견수련계획!$H$4:$H$803,$AF343)))</f>
        <v/>
      </c>
      <c r="T343" s="11">
        <f>IF($AF343="","",IF(INDEX(파견수련계획!$I$4:$I$803,$AF343)="","",INDEX(파견수련계획!$I$4:$I$803,$AF343)))</f>
        <v/>
      </c>
      <c r="U343" s="10">
        <f>IF($AF343="","",INDEX(파견수련계획!$X$4:$X$803,$AF343))</f>
        <v/>
      </c>
      <c r="V343" s="17">
        <f>IF($AF343="","",INDEX(파견수련계획!$V$4:$V$803,$AF343))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IF(OR($B343="",TRIM($J343&amp;"")=""),"",SUMPRODUCT((파견수련계획!$Q$4:$Q$803=TRIM($J343&amp;""))*파견수련계획!$W$4:$W$803))</f>
        <v/>
      </c>
      <c r="Y343" s="10">
        <f>IF($B343="","",IF($AG343="","",IF(IF(TRIM($J343&amp;"")="",0,SUMPRODUCT((파견수련계획!$Q$4:$Q$803=TRIM($J343&amp;""))*파견수련계획!$AD$4:$AD$803))&gt;0,$AE343,IF(N($X343)&lt;=0,$AG343,IF($AH343+$AI343=DAY(EOMONTH(요약!$B$3,0)),IF(AND($AH343&gt;=요약!$E$3,$AI343&lt;요약!$E$3),"서울병원",IF(AND($AI343&gt;=요약!$E$3,$AH343&lt;요약!$E$3),"구리병원","⚠15일 판정불가(서울 "&amp;$AH343&amp;"일/구리 "&amp;$AI343&amp;"일)")),IF($AJ343="",$AE343,IF(INDEX(파견수련계획!$T$4:$T$803,$AJ343)="통합수련",INDEX(파견수련계획!$S$4:$S$803,$AJ343),$AE343)))))))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입력",IF(IF(TRIM($J343&amp;"")="",0,SUMPRODUCT((파견수련계획!$Q$4:$Q$803=TRIM($J343&amp;""))*(파견수련계획!$AA$4:$AA$803&lt;&gt;"")))&gt;0,"파견수련계획 입력오류 확인",IF(LEFT($Y343,1)="⚠","서울·구리 15일 판정 불가(양쪽 모두 이상/미만)",IF(IF($AC343="",0,N(INDEX(인턴근무계획!$T$3:$T$402,$AC343)))&gt;0,"인턴계획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IF($B343="","",IFERROR(MATCH($B343,기본자료!$B$2:$B$1001,0),IFERROR(MATCH($B343&amp;"",기본자료!$B$2:$B$1001,0),IFERROR(MATCH(VALUE($B343),기본자료!$B$2:$B$1001,0),""))))</f>
        <v/>
      </c>
      <c r="AC343" s="10">
        <f>IF($B343="","",IFERROR(MATCH($B343,인턴근무계획!$D$3:$D$402,0),IFERROR(MATCH($B343&amp;"",인턴근무계획!$D$3:$D$402,0),IFERROR(MATCH(VALUE($B343),인턴근무계획!$D$3:$D$402,0),""))))</f>
        <v/>
      </c>
      <c r="AD343" s="10">
        <f>IF(OR($AC343="",인턴현황!$G$3=""),"",INDEX(인턴근무계획!$M$3:$R$402,$AC343,인턴현황!$G$3)&amp;"")</f>
        <v/>
      </c>
      <c r="AE343" s="10">
        <f>IF($B343="","",IF($M343&lt;&gt;"",$M343,IF($AF343&lt;&gt;"",IF(LEFT(INDEX(파견수련계획!$R$4:$R$803,$AF343),1)&lt;&gt;"⚠",INDEX(파견수련계획!$R$4:$R$803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파견수련계획!$Y$4:$Y$803,0),IFERROR(MATCH(TRIM($J343&amp;"")&amp;"|파견예정",파견수련계획!$Y$4:$Y$803,0),IFERROR(MATCH(TRIM($J343&amp;"")&amp;"|파견종료",파견수련계획!$Y$4:$Y$803,0),""))))</f>
        <v/>
      </c>
      <c r="AG343" s="10">
        <f>IF($B343="","",IF(AND(IF(OR($AC343="",인턴현황!$K$2=""),"",INDEX(인턴근무계획!$M$3:$R$402,$AC343,인턴현황!$K$2)&amp;"")&lt;&gt;"",LEFT(IF(OR($AC343="",인턴현황!$K$2=""),"",INDEX(인턴근무계획!$M$3:$R$402,$AC343,인턴현황!$K$2)&amp;""),1)&lt;&gt;"⚠"),LEFT(IF(OR($AC343="",인턴현황!$K$2=""),"",INDEX(인턴근무계획!$M$3:$R$402,$AC343,인턴현황!$K$2)&amp;""),FIND(" ",IF(OR($AC343="",인턴현황!$K$2=""),"",INDEX(인턴근무계획!$M$3:$R$402,$AC343,인턴현황!$K$2)&amp;""))-1),$AE343))</f>
        <v/>
      </c>
      <c r="AH343" s="17">
        <f>IF($B343="","",IF(TRIM($J343&amp;"")="",0,SUMPRODUCT((파견수련계획!$Q$4:$Q$803=TRIM($J343&amp;""))*(파견수련계획!$S$4:$S$803="서울병원")*파견수련계획!$W$4:$W$803))+IF($AG343="서울병원",MAX(0,DAY(EOMONTH(요약!$B$3,0))-N($X343)),0))</f>
        <v/>
      </c>
      <c r="AI343" s="17">
        <f>IF($B343="","",IF(TRIM($J343&amp;"")="",0,SUMPRODUCT((파견수련계획!$Q$4:$Q$803=TRIM($J343&amp;""))*(파견수련계획!$S$4:$S$803="구리병원")*파견수련계획!$W$4:$W$803))+IF($AG343="구리병원",MAX(0,DAY(EOMONTH(요약!$B$3,0))-N($X343)),0))</f>
        <v/>
      </c>
      <c r="AJ343" s="10">
        <f>IF(OR($B343="",TRIM($J343&amp;"")=""),"",IFERROR(MATCH(TRIM($J343&amp;"")&amp;"|월",파견수련계획!$Z$4:$Z$803,0),""))</f>
        <v/>
      </c>
      <c r="AK343" s="10">
        <f>IF(OR($B343="",TRIM($J343&amp;"")=""),"",IFERROR(MATCH(TRIM($J343&amp;"")&amp;"|다기관",파견수련계획!$AE$4:$AE$803,0),""))</f>
        <v/>
      </c>
      <c r="AL343" s="10">
        <f>IF($AK343="","","다기관 "&amp;TEXT(INDEX(파견수련계획!$AB$4:$AB$803,$AK343),"yyyy-mm-dd")&amp;"~"&amp;IF(ISNUMBER(INDEX(파견수련계획!$AC$4:$AC$803,$AK343)),TEXT(INDEX(파견수련계획!$AC$4:$AC$803,$AK343),"yyyy-mm-dd"),""))</f>
        <v/>
      </c>
    </row>
    <row r="344">
      <c r="A344" s="10">
        <f>IF(B344="","",ROW()-1)</f>
        <v/>
      </c>
      <c r="B344" s="18" t="n"/>
      <c r="C344" s="10">
        <f>IF($AB344="","",IF(INDEX(기본자료!$C$2:$C$1001,$AB344)="","",INDEX(기본자료!$C$2:$C$1001,$AB344)))</f>
        <v/>
      </c>
      <c r="D344" s="10">
        <f>IF($AB344="","",IF(INDEX(기본자료!$J$2:$J$1001,$AB344)="","",INDEX(기본자료!$J$2:$J$1001,$AB344)))</f>
        <v/>
      </c>
      <c r="E344" s="11">
        <f>IF($AB344="","",IF(INDEX(기본자료!$K$2:$K$1001,$AB344)="","",IF(NOT(ISNUMBER(INDEX(기본자료!$K$2:$K$1001,$AB344))),INDEX(기본자료!$K$2:$K$1001,$AB344),IF(INDEX(기본자료!$K$2:$K$1001,$AB344)&lt;1000000,INDEX(기본자료!$K$2:$K$1001,$AB344),IF(AND(INDEX(기본자료!$K$2:$K$1001,$AB344)&gt;=10000101,INT(MOD(INDEX(기본자료!$K$2:$K$1001,$AB344),10000)/100)&gt;=1,INT(MOD(INDEX(기본자료!$K$2:$K$1001,$AB344),10000)/100)&lt;=12,MOD(INDEX(기본자료!$K$2:$K$1001,$AB344),100)&gt;=1,MOD(INDEX(기본자료!$K$2:$K$1001,$AB344),100)&lt;=31),DATE(INT(INDEX(기본자료!$K$2:$K$1001,$AB344)/10000),INT(MOD(INDEX(기본자료!$K$2:$K$1001,$AB344),10000)/100),MOD(INDEX(기본자료!$K$2:$K$1001,$AB344),100)),INDEX(기본자료!$K$2:$K$1001,$AB344)&amp;"")))))</f>
        <v/>
      </c>
      <c r="F344" s="10">
        <f>IF($AB344="","",IF(INDEX(기본자료!$D$2:$D$1001,$AB344)="","",INDEX(기본자료!$D$2:$D$1001,$AB344)))</f>
        <v/>
      </c>
      <c r="G344" s="10">
        <f>IF($AB344="","",IF(INDEX(기본자료!$E$2:$E$1001,$AB344)="","",INDEX(기본자료!$E$2:$E$1001,$AB344)))</f>
        <v/>
      </c>
      <c r="H344" s="10">
        <f>IF($AB344="","",IF(INDEX(기본자료!$F$2:$F$1001,$AB344)="","",INDEX(기본자료!$F$2:$F$1001,$AB344)))</f>
        <v/>
      </c>
      <c r="I344" s="11">
        <f>IF($AB344="","",IF(INDEX(기본자료!$G$2:$G$1001,$AB344)="","",IF(NOT(ISNUMBER(INDEX(기본자료!$G$2:$G$1001,$AB344))),INDEX(기본자료!$G$2:$G$1001,$AB344),IF(INDEX(기본자료!$G$2:$G$1001,$AB344)&lt;1000000,INDEX(기본자료!$G$2:$G$1001,$AB344),IF(AND(INDEX(기본자료!$G$2:$G$1001,$AB344)&gt;=10000101,INT(MOD(INDEX(기본자료!$G$2:$G$1001,$AB344),10000)/100)&gt;=1,INT(MOD(INDEX(기본자료!$G$2:$G$1001,$AB344),10000)/100)&lt;=12,MOD(INDEX(기본자료!$G$2:$G$1001,$AB344),100)&gt;=1,MOD(INDEX(기본자료!$G$2:$G$1001,$AB344),100)&lt;=31),DATE(INT(INDEX(기본자료!$G$2:$G$1001,$AB344)/10000),INT(MOD(INDEX(기본자료!$G$2:$G$1001,$AB344),10000)/100),MOD(INDEX(기본자료!$G$2:$G$1001,$AB344),100)),INDEX(기본자료!$G$2:$G$1001,$AB344)&amp;"")))))</f>
        <v/>
      </c>
      <c r="J344" s="10">
        <f>IF($AB344="","",IF(INDEX(기본자료!$H$2:$H$1001,$AB344)="","",INDEX(기본자료!$H$2:$H$1001,$AB344)))</f>
        <v/>
      </c>
      <c r="K344" s="10">
        <f>IF($AB344="","",IF(INDEX(기본자료!$I$2:$I$1001,$AB344)="","",INDEX(기본자료!$I$2:$I$1001,$AB344)))</f>
        <v/>
      </c>
      <c r="L344" s="10">
        <f>IF($AB344="","",IF(INDEX(기본자료!$A$2:$A$1001,$AB344)="","",INDEX(기본자료!$A$2:$A$1001,$AB344)))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파견수련계획!$AB$4:$AB$803,$AK344),OR(NOT(ISNUMBER(INDEX(파견수련계획!$AC$4:$AC$803,$AK344))),TODAY()&lt;=INDEX(파견수련계획!$AC$4:$AC$803,$AK344))),"다기관",IF($AF344="","",INDEX(파견수련계획!$T$4:$T$803,$AF344))),IF($AF344="","",INDEX(파견수련계획!$T$4:$T$803,$AF344))))</f>
        <v/>
      </c>
      <c r="Q344" s="10">
        <f>IF($AF344="","",INDEX(파견수련계획!$S$4:$S$803,$AF344))</f>
        <v/>
      </c>
      <c r="R344" s="10">
        <f>IF($AF344="","",INDEX(파견수련계획!$U$4:$U$803,$AF344))</f>
        <v/>
      </c>
      <c r="S344" s="11">
        <f>IF($AF344="","",IF(INDEX(파견수련계획!$H$4:$H$803,$AF344)="","",INDEX(파견수련계획!$H$4:$H$803,$AF344)))</f>
        <v/>
      </c>
      <c r="T344" s="11">
        <f>IF($AF344="","",IF(INDEX(파견수련계획!$I$4:$I$803,$AF344)="","",INDEX(파견수련계획!$I$4:$I$803,$AF344)))</f>
        <v/>
      </c>
      <c r="U344" s="10">
        <f>IF($AF344="","",INDEX(파견수련계획!$X$4:$X$803,$AF344))</f>
        <v/>
      </c>
      <c r="V344" s="17">
        <f>IF($AF344="","",INDEX(파견수련계획!$V$4:$V$803,$AF344))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IF(OR($B344="",TRIM($J344&amp;"")=""),"",SUMPRODUCT((파견수련계획!$Q$4:$Q$803=TRIM($J344&amp;""))*파견수련계획!$W$4:$W$803))</f>
        <v/>
      </c>
      <c r="Y344" s="10">
        <f>IF($B344="","",IF($AG344="","",IF(IF(TRIM($J344&amp;"")="",0,SUMPRODUCT((파견수련계획!$Q$4:$Q$803=TRIM($J344&amp;""))*파견수련계획!$AD$4:$AD$803))&gt;0,$AE344,IF(N($X344)&lt;=0,$AG344,IF($AH344+$AI344=DAY(EOMONTH(요약!$B$3,0)),IF(AND($AH344&gt;=요약!$E$3,$AI344&lt;요약!$E$3),"서울병원",IF(AND($AI344&gt;=요약!$E$3,$AH344&lt;요약!$E$3),"구리병원","⚠15일 판정불가(서울 "&amp;$AH344&amp;"일/구리 "&amp;$AI344&amp;"일)")),IF($AJ344="",$AE344,IF(INDEX(파견수련계획!$T$4:$T$803,$AJ344)="통합수련",INDEX(파견수련계획!$S$4:$S$803,$AJ344),$AE344)))))))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입력",IF(IF(TRIM($J344&amp;"")="",0,SUMPRODUCT((파견수련계획!$Q$4:$Q$803=TRIM($J344&amp;""))*(파견수련계획!$AA$4:$AA$803&lt;&gt;"")))&gt;0,"파견수련계획 입력오류 확인",IF(LEFT($Y344,1)="⚠","서울·구리 15일 판정 불가(양쪽 모두 이상/미만)",IF(IF($AC344="",0,N(INDEX(인턴근무계획!$T$3:$T$402,$AC344)))&gt;0,"인턴계획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IF($B344="","",IFERROR(MATCH($B344,기본자료!$B$2:$B$1001,0),IFERROR(MATCH($B344&amp;"",기본자료!$B$2:$B$1001,0),IFERROR(MATCH(VALUE($B344),기본자료!$B$2:$B$1001,0),""))))</f>
        <v/>
      </c>
      <c r="AC344" s="10">
        <f>IF($B344="","",IFERROR(MATCH($B344,인턴근무계획!$D$3:$D$402,0),IFERROR(MATCH($B344&amp;"",인턴근무계획!$D$3:$D$402,0),IFERROR(MATCH(VALUE($B344),인턴근무계획!$D$3:$D$402,0),""))))</f>
        <v/>
      </c>
      <c r="AD344" s="10">
        <f>IF(OR($AC344="",인턴현황!$G$3=""),"",INDEX(인턴근무계획!$M$3:$R$402,$AC344,인턴현황!$G$3)&amp;"")</f>
        <v/>
      </c>
      <c r="AE344" s="10">
        <f>IF($B344="","",IF($M344&lt;&gt;"",$M344,IF($AF344&lt;&gt;"",IF(LEFT(INDEX(파견수련계획!$R$4:$R$803,$AF344),1)&lt;&gt;"⚠",INDEX(파견수련계획!$R$4:$R$803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파견수련계획!$Y$4:$Y$803,0),IFERROR(MATCH(TRIM($J344&amp;"")&amp;"|파견예정",파견수련계획!$Y$4:$Y$803,0),IFERROR(MATCH(TRIM($J344&amp;"")&amp;"|파견종료",파견수련계획!$Y$4:$Y$803,0),""))))</f>
        <v/>
      </c>
      <c r="AG344" s="10">
        <f>IF($B344="","",IF(AND(IF(OR($AC344="",인턴현황!$K$2=""),"",INDEX(인턴근무계획!$M$3:$R$402,$AC344,인턴현황!$K$2)&amp;"")&lt;&gt;"",LEFT(IF(OR($AC344="",인턴현황!$K$2=""),"",INDEX(인턴근무계획!$M$3:$R$402,$AC344,인턴현황!$K$2)&amp;""),1)&lt;&gt;"⚠"),LEFT(IF(OR($AC344="",인턴현황!$K$2=""),"",INDEX(인턴근무계획!$M$3:$R$402,$AC344,인턴현황!$K$2)&amp;""),FIND(" ",IF(OR($AC344="",인턴현황!$K$2=""),"",INDEX(인턴근무계획!$M$3:$R$402,$AC344,인턴현황!$K$2)&amp;""))-1),$AE344))</f>
        <v/>
      </c>
      <c r="AH344" s="17">
        <f>IF($B344="","",IF(TRIM($J344&amp;"")="",0,SUMPRODUCT((파견수련계획!$Q$4:$Q$803=TRIM($J344&amp;""))*(파견수련계획!$S$4:$S$803="서울병원")*파견수련계획!$W$4:$W$803))+IF($AG344="서울병원",MAX(0,DAY(EOMONTH(요약!$B$3,0))-N($X344)),0))</f>
        <v/>
      </c>
      <c r="AI344" s="17">
        <f>IF($B344="","",IF(TRIM($J344&amp;"")="",0,SUMPRODUCT((파견수련계획!$Q$4:$Q$803=TRIM($J344&amp;""))*(파견수련계획!$S$4:$S$803="구리병원")*파견수련계획!$W$4:$W$803))+IF($AG344="구리병원",MAX(0,DAY(EOMONTH(요약!$B$3,0))-N($X344)),0))</f>
        <v/>
      </c>
      <c r="AJ344" s="10">
        <f>IF(OR($B344="",TRIM($J344&amp;"")=""),"",IFERROR(MATCH(TRIM($J344&amp;"")&amp;"|월",파견수련계획!$Z$4:$Z$803,0),""))</f>
        <v/>
      </c>
      <c r="AK344" s="10">
        <f>IF(OR($B344="",TRIM($J344&amp;"")=""),"",IFERROR(MATCH(TRIM($J344&amp;"")&amp;"|다기관",파견수련계획!$AE$4:$AE$803,0),""))</f>
        <v/>
      </c>
      <c r="AL344" s="10">
        <f>IF($AK344="","","다기관 "&amp;TEXT(INDEX(파견수련계획!$AB$4:$AB$803,$AK344),"yyyy-mm-dd")&amp;"~"&amp;IF(ISNUMBER(INDEX(파견수련계획!$AC$4:$AC$803,$AK344)),TEXT(INDEX(파견수련계획!$AC$4:$AC$803,$AK344),"yyyy-mm-dd"),""))</f>
        <v/>
      </c>
    </row>
    <row r="345">
      <c r="A345" s="10">
        <f>IF(B345="","",ROW()-1)</f>
        <v/>
      </c>
      <c r="B345" s="18" t="n"/>
      <c r="C345" s="10">
        <f>IF($AB345="","",IF(INDEX(기본자료!$C$2:$C$1001,$AB345)="","",INDEX(기본자료!$C$2:$C$1001,$AB345)))</f>
        <v/>
      </c>
      <c r="D345" s="10">
        <f>IF($AB345="","",IF(INDEX(기본자료!$J$2:$J$1001,$AB345)="","",INDEX(기본자료!$J$2:$J$1001,$AB345)))</f>
        <v/>
      </c>
      <c r="E345" s="11">
        <f>IF($AB345="","",IF(INDEX(기본자료!$K$2:$K$1001,$AB345)="","",IF(NOT(ISNUMBER(INDEX(기본자료!$K$2:$K$1001,$AB345))),INDEX(기본자료!$K$2:$K$1001,$AB345),IF(INDEX(기본자료!$K$2:$K$1001,$AB345)&lt;1000000,INDEX(기본자료!$K$2:$K$1001,$AB345),IF(AND(INDEX(기본자료!$K$2:$K$1001,$AB345)&gt;=10000101,INT(MOD(INDEX(기본자료!$K$2:$K$1001,$AB345),10000)/100)&gt;=1,INT(MOD(INDEX(기본자료!$K$2:$K$1001,$AB345),10000)/100)&lt;=12,MOD(INDEX(기본자료!$K$2:$K$1001,$AB345),100)&gt;=1,MOD(INDEX(기본자료!$K$2:$K$1001,$AB345),100)&lt;=31),DATE(INT(INDEX(기본자료!$K$2:$K$1001,$AB345)/10000),INT(MOD(INDEX(기본자료!$K$2:$K$1001,$AB345),10000)/100),MOD(INDEX(기본자료!$K$2:$K$1001,$AB345),100)),INDEX(기본자료!$K$2:$K$1001,$AB345)&amp;"")))))</f>
        <v/>
      </c>
      <c r="F345" s="10">
        <f>IF($AB345="","",IF(INDEX(기본자료!$D$2:$D$1001,$AB345)="","",INDEX(기본자료!$D$2:$D$1001,$AB345)))</f>
        <v/>
      </c>
      <c r="G345" s="10">
        <f>IF($AB345="","",IF(INDEX(기본자료!$E$2:$E$1001,$AB345)="","",INDEX(기본자료!$E$2:$E$1001,$AB345)))</f>
        <v/>
      </c>
      <c r="H345" s="10">
        <f>IF($AB345="","",IF(INDEX(기본자료!$F$2:$F$1001,$AB345)="","",INDEX(기본자료!$F$2:$F$1001,$AB345)))</f>
        <v/>
      </c>
      <c r="I345" s="11">
        <f>IF($AB345="","",IF(INDEX(기본자료!$G$2:$G$1001,$AB345)="","",IF(NOT(ISNUMBER(INDEX(기본자료!$G$2:$G$1001,$AB345))),INDEX(기본자료!$G$2:$G$1001,$AB345),IF(INDEX(기본자료!$G$2:$G$1001,$AB345)&lt;1000000,INDEX(기본자료!$G$2:$G$1001,$AB345),IF(AND(INDEX(기본자료!$G$2:$G$1001,$AB345)&gt;=10000101,INT(MOD(INDEX(기본자료!$G$2:$G$1001,$AB345),10000)/100)&gt;=1,INT(MOD(INDEX(기본자료!$G$2:$G$1001,$AB345),10000)/100)&lt;=12,MOD(INDEX(기본자료!$G$2:$G$1001,$AB345),100)&gt;=1,MOD(INDEX(기본자료!$G$2:$G$1001,$AB345),100)&lt;=31),DATE(INT(INDEX(기본자료!$G$2:$G$1001,$AB345)/10000),INT(MOD(INDEX(기본자료!$G$2:$G$1001,$AB345),10000)/100),MOD(INDEX(기본자료!$G$2:$G$1001,$AB345),100)),INDEX(기본자료!$G$2:$G$1001,$AB345)&amp;"")))))</f>
        <v/>
      </c>
      <c r="J345" s="10">
        <f>IF($AB345="","",IF(INDEX(기본자료!$H$2:$H$1001,$AB345)="","",INDEX(기본자료!$H$2:$H$1001,$AB345)))</f>
        <v/>
      </c>
      <c r="K345" s="10">
        <f>IF($AB345="","",IF(INDEX(기본자료!$I$2:$I$1001,$AB345)="","",INDEX(기본자료!$I$2:$I$1001,$AB345)))</f>
        <v/>
      </c>
      <c r="L345" s="10">
        <f>IF($AB345="","",IF(INDEX(기본자료!$A$2:$A$1001,$AB345)="","",INDEX(기본자료!$A$2:$A$1001,$AB345)))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파견수련계획!$AB$4:$AB$803,$AK345),OR(NOT(ISNUMBER(INDEX(파견수련계획!$AC$4:$AC$803,$AK345))),TODAY()&lt;=INDEX(파견수련계획!$AC$4:$AC$803,$AK345))),"다기관",IF($AF345="","",INDEX(파견수련계획!$T$4:$T$803,$AF345))),IF($AF345="","",INDEX(파견수련계획!$T$4:$T$803,$AF345))))</f>
        <v/>
      </c>
      <c r="Q345" s="10">
        <f>IF($AF345="","",INDEX(파견수련계획!$S$4:$S$803,$AF345))</f>
        <v/>
      </c>
      <c r="R345" s="10">
        <f>IF($AF345="","",INDEX(파견수련계획!$U$4:$U$803,$AF345))</f>
        <v/>
      </c>
      <c r="S345" s="11">
        <f>IF($AF345="","",IF(INDEX(파견수련계획!$H$4:$H$803,$AF345)="","",INDEX(파견수련계획!$H$4:$H$803,$AF345)))</f>
        <v/>
      </c>
      <c r="T345" s="11">
        <f>IF($AF345="","",IF(INDEX(파견수련계획!$I$4:$I$803,$AF345)="","",INDEX(파견수련계획!$I$4:$I$803,$AF345)))</f>
        <v/>
      </c>
      <c r="U345" s="10">
        <f>IF($AF345="","",INDEX(파견수련계획!$X$4:$X$803,$AF345))</f>
        <v/>
      </c>
      <c r="V345" s="17">
        <f>IF($AF345="","",INDEX(파견수련계획!$V$4:$V$803,$AF345))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IF(OR($B345="",TRIM($J345&amp;"")=""),"",SUMPRODUCT((파견수련계획!$Q$4:$Q$803=TRIM($J345&amp;""))*파견수련계획!$W$4:$W$803))</f>
        <v/>
      </c>
      <c r="Y345" s="10">
        <f>IF($B345="","",IF($AG345="","",IF(IF(TRIM($J345&amp;"")="",0,SUMPRODUCT((파견수련계획!$Q$4:$Q$803=TRIM($J345&amp;""))*파견수련계획!$AD$4:$AD$803))&gt;0,$AE345,IF(N($X345)&lt;=0,$AG345,IF($AH345+$AI345=DAY(EOMONTH(요약!$B$3,0)),IF(AND($AH345&gt;=요약!$E$3,$AI345&lt;요약!$E$3),"서울병원",IF(AND($AI345&gt;=요약!$E$3,$AH345&lt;요약!$E$3),"구리병원","⚠15일 판정불가(서울 "&amp;$AH345&amp;"일/구리 "&amp;$AI345&amp;"일)")),IF($AJ345="",$AE345,IF(INDEX(파견수련계획!$T$4:$T$803,$AJ345)="통합수련",INDEX(파견수련계획!$S$4:$S$803,$AJ345),$AE345)))))))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입력",IF(IF(TRIM($J345&amp;"")="",0,SUMPRODUCT((파견수련계획!$Q$4:$Q$803=TRIM($J345&amp;""))*(파견수련계획!$AA$4:$AA$803&lt;&gt;"")))&gt;0,"파견수련계획 입력오류 확인",IF(LEFT($Y345,1)="⚠","서울·구리 15일 판정 불가(양쪽 모두 이상/미만)",IF(IF($AC345="",0,N(INDEX(인턴근무계획!$T$3:$T$402,$AC345)))&gt;0,"인턴계획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IF($B345="","",IFERROR(MATCH($B345,기본자료!$B$2:$B$1001,0),IFERROR(MATCH($B345&amp;"",기본자료!$B$2:$B$1001,0),IFERROR(MATCH(VALUE($B345),기본자료!$B$2:$B$1001,0),""))))</f>
        <v/>
      </c>
      <c r="AC345" s="10">
        <f>IF($B345="","",IFERROR(MATCH($B345,인턴근무계획!$D$3:$D$402,0),IFERROR(MATCH($B345&amp;"",인턴근무계획!$D$3:$D$402,0),IFERROR(MATCH(VALUE($B345),인턴근무계획!$D$3:$D$402,0),""))))</f>
        <v/>
      </c>
      <c r="AD345" s="10">
        <f>IF(OR($AC345="",인턴현황!$G$3=""),"",INDEX(인턴근무계획!$M$3:$R$402,$AC345,인턴현황!$G$3)&amp;"")</f>
        <v/>
      </c>
      <c r="AE345" s="10">
        <f>IF($B345="","",IF($M345&lt;&gt;"",$M345,IF($AF345&lt;&gt;"",IF(LEFT(INDEX(파견수련계획!$R$4:$R$803,$AF345),1)&lt;&gt;"⚠",INDEX(파견수련계획!$R$4:$R$803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파견수련계획!$Y$4:$Y$803,0),IFERROR(MATCH(TRIM($J345&amp;"")&amp;"|파견예정",파견수련계획!$Y$4:$Y$803,0),IFERROR(MATCH(TRIM($J345&amp;"")&amp;"|파견종료",파견수련계획!$Y$4:$Y$803,0),""))))</f>
        <v/>
      </c>
      <c r="AG345" s="10">
        <f>IF($B345="","",IF(AND(IF(OR($AC345="",인턴현황!$K$2=""),"",INDEX(인턴근무계획!$M$3:$R$402,$AC345,인턴현황!$K$2)&amp;"")&lt;&gt;"",LEFT(IF(OR($AC345="",인턴현황!$K$2=""),"",INDEX(인턴근무계획!$M$3:$R$402,$AC345,인턴현황!$K$2)&amp;""),1)&lt;&gt;"⚠"),LEFT(IF(OR($AC345="",인턴현황!$K$2=""),"",INDEX(인턴근무계획!$M$3:$R$402,$AC345,인턴현황!$K$2)&amp;""),FIND(" ",IF(OR($AC345="",인턴현황!$K$2=""),"",INDEX(인턴근무계획!$M$3:$R$402,$AC345,인턴현황!$K$2)&amp;""))-1),$AE345))</f>
        <v/>
      </c>
      <c r="AH345" s="17">
        <f>IF($B345="","",IF(TRIM($J345&amp;"")="",0,SUMPRODUCT((파견수련계획!$Q$4:$Q$803=TRIM($J345&amp;""))*(파견수련계획!$S$4:$S$803="서울병원")*파견수련계획!$W$4:$W$803))+IF($AG345="서울병원",MAX(0,DAY(EOMONTH(요약!$B$3,0))-N($X345)),0))</f>
        <v/>
      </c>
      <c r="AI345" s="17">
        <f>IF($B345="","",IF(TRIM($J345&amp;"")="",0,SUMPRODUCT((파견수련계획!$Q$4:$Q$803=TRIM($J345&amp;""))*(파견수련계획!$S$4:$S$803="구리병원")*파견수련계획!$W$4:$W$803))+IF($AG345="구리병원",MAX(0,DAY(EOMONTH(요약!$B$3,0))-N($X345)),0))</f>
        <v/>
      </c>
      <c r="AJ345" s="10">
        <f>IF(OR($B345="",TRIM($J345&amp;"")=""),"",IFERROR(MATCH(TRIM($J345&amp;"")&amp;"|월",파견수련계획!$Z$4:$Z$803,0),""))</f>
        <v/>
      </c>
      <c r="AK345" s="10">
        <f>IF(OR($B345="",TRIM($J345&amp;"")=""),"",IFERROR(MATCH(TRIM($J345&amp;"")&amp;"|다기관",파견수련계획!$AE$4:$AE$803,0),""))</f>
        <v/>
      </c>
      <c r="AL345" s="10">
        <f>IF($AK345="","","다기관 "&amp;TEXT(INDEX(파견수련계획!$AB$4:$AB$803,$AK345),"yyyy-mm-dd")&amp;"~"&amp;IF(ISNUMBER(INDEX(파견수련계획!$AC$4:$AC$803,$AK345)),TEXT(INDEX(파견수련계획!$AC$4:$AC$803,$AK345),"yyyy-mm-dd"),""))</f>
        <v/>
      </c>
    </row>
    <row r="346">
      <c r="A346" s="10">
        <f>IF(B346="","",ROW()-1)</f>
        <v/>
      </c>
      <c r="B346" s="18" t="n"/>
      <c r="C346" s="10">
        <f>IF($AB346="","",IF(INDEX(기본자료!$C$2:$C$1001,$AB346)="","",INDEX(기본자료!$C$2:$C$1001,$AB346)))</f>
        <v/>
      </c>
      <c r="D346" s="10">
        <f>IF($AB346="","",IF(INDEX(기본자료!$J$2:$J$1001,$AB346)="","",INDEX(기본자료!$J$2:$J$1001,$AB346)))</f>
        <v/>
      </c>
      <c r="E346" s="11">
        <f>IF($AB346="","",IF(INDEX(기본자료!$K$2:$K$1001,$AB346)="","",IF(NOT(ISNUMBER(INDEX(기본자료!$K$2:$K$1001,$AB346))),INDEX(기본자료!$K$2:$K$1001,$AB346),IF(INDEX(기본자료!$K$2:$K$1001,$AB346)&lt;1000000,INDEX(기본자료!$K$2:$K$1001,$AB346),IF(AND(INDEX(기본자료!$K$2:$K$1001,$AB346)&gt;=10000101,INT(MOD(INDEX(기본자료!$K$2:$K$1001,$AB346),10000)/100)&gt;=1,INT(MOD(INDEX(기본자료!$K$2:$K$1001,$AB346),10000)/100)&lt;=12,MOD(INDEX(기본자료!$K$2:$K$1001,$AB346),100)&gt;=1,MOD(INDEX(기본자료!$K$2:$K$1001,$AB346),100)&lt;=31),DATE(INT(INDEX(기본자료!$K$2:$K$1001,$AB346)/10000),INT(MOD(INDEX(기본자료!$K$2:$K$1001,$AB346),10000)/100),MOD(INDEX(기본자료!$K$2:$K$1001,$AB346),100)),INDEX(기본자료!$K$2:$K$1001,$AB346)&amp;"")))))</f>
        <v/>
      </c>
      <c r="F346" s="10">
        <f>IF($AB346="","",IF(INDEX(기본자료!$D$2:$D$1001,$AB346)="","",INDEX(기본자료!$D$2:$D$1001,$AB346)))</f>
        <v/>
      </c>
      <c r="G346" s="10">
        <f>IF($AB346="","",IF(INDEX(기본자료!$E$2:$E$1001,$AB346)="","",INDEX(기본자료!$E$2:$E$1001,$AB346)))</f>
        <v/>
      </c>
      <c r="H346" s="10">
        <f>IF($AB346="","",IF(INDEX(기본자료!$F$2:$F$1001,$AB346)="","",INDEX(기본자료!$F$2:$F$1001,$AB346)))</f>
        <v/>
      </c>
      <c r="I346" s="11">
        <f>IF($AB346="","",IF(INDEX(기본자료!$G$2:$G$1001,$AB346)="","",IF(NOT(ISNUMBER(INDEX(기본자료!$G$2:$G$1001,$AB346))),INDEX(기본자료!$G$2:$G$1001,$AB346),IF(INDEX(기본자료!$G$2:$G$1001,$AB346)&lt;1000000,INDEX(기본자료!$G$2:$G$1001,$AB346),IF(AND(INDEX(기본자료!$G$2:$G$1001,$AB346)&gt;=10000101,INT(MOD(INDEX(기본자료!$G$2:$G$1001,$AB346),10000)/100)&gt;=1,INT(MOD(INDEX(기본자료!$G$2:$G$1001,$AB346),10000)/100)&lt;=12,MOD(INDEX(기본자료!$G$2:$G$1001,$AB346),100)&gt;=1,MOD(INDEX(기본자료!$G$2:$G$1001,$AB346),100)&lt;=31),DATE(INT(INDEX(기본자료!$G$2:$G$1001,$AB346)/10000),INT(MOD(INDEX(기본자료!$G$2:$G$1001,$AB346),10000)/100),MOD(INDEX(기본자료!$G$2:$G$1001,$AB346),100)),INDEX(기본자료!$G$2:$G$1001,$AB346)&amp;"")))))</f>
        <v/>
      </c>
      <c r="J346" s="10">
        <f>IF($AB346="","",IF(INDEX(기본자료!$H$2:$H$1001,$AB346)="","",INDEX(기본자료!$H$2:$H$1001,$AB346)))</f>
        <v/>
      </c>
      <c r="K346" s="10">
        <f>IF($AB346="","",IF(INDEX(기본자료!$I$2:$I$1001,$AB346)="","",INDEX(기본자료!$I$2:$I$1001,$AB346)))</f>
        <v/>
      </c>
      <c r="L346" s="10">
        <f>IF($AB346="","",IF(INDEX(기본자료!$A$2:$A$1001,$AB346)="","",INDEX(기본자료!$A$2:$A$1001,$AB346)))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파견수련계획!$AB$4:$AB$803,$AK346),OR(NOT(ISNUMBER(INDEX(파견수련계획!$AC$4:$AC$803,$AK346))),TODAY()&lt;=INDEX(파견수련계획!$AC$4:$AC$803,$AK346))),"다기관",IF($AF346="","",INDEX(파견수련계획!$T$4:$T$803,$AF346))),IF($AF346="","",INDEX(파견수련계획!$T$4:$T$803,$AF346))))</f>
        <v/>
      </c>
      <c r="Q346" s="10">
        <f>IF($AF346="","",INDEX(파견수련계획!$S$4:$S$803,$AF346))</f>
        <v/>
      </c>
      <c r="R346" s="10">
        <f>IF($AF346="","",INDEX(파견수련계획!$U$4:$U$803,$AF346))</f>
        <v/>
      </c>
      <c r="S346" s="11">
        <f>IF($AF346="","",IF(INDEX(파견수련계획!$H$4:$H$803,$AF346)="","",INDEX(파견수련계획!$H$4:$H$803,$AF346)))</f>
        <v/>
      </c>
      <c r="T346" s="11">
        <f>IF($AF346="","",IF(INDEX(파견수련계획!$I$4:$I$803,$AF346)="","",INDEX(파견수련계획!$I$4:$I$803,$AF346)))</f>
        <v/>
      </c>
      <c r="U346" s="10">
        <f>IF($AF346="","",INDEX(파견수련계획!$X$4:$X$803,$AF346))</f>
        <v/>
      </c>
      <c r="V346" s="17">
        <f>IF($AF346="","",INDEX(파견수련계획!$V$4:$V$803,$AF346))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IF(OR($B346="",TRIM($J346&amp;"")=""),"",SUMPRODUCT((파견수련계획!$Q$4:$Q$803=TRIM($J346&amp;""))*파견수련계획!$W$4:$W$803))</f>
        <v/>
      </c>
      <c r="Y346" s="10">
        <f>IF($B346="","",IF($AG346="","",IF(IF(TRIM($J346&amp;"")="",0,SUMPRODUCT((파견수련계획!$Q$4:$Q$803=TRIM($J346&amp;""))*파견수련계획!$AD$4:$AD$803))&gt;0,$AE346,IF(N($X346)&lt;=0,$AG346,IF($AH346+$AI346=DAY(EOMONTH(요약!$B$3,0)),IF(AND($AH346&gt;=요약!$E$3,$AI346&lt;요약!$E$3),"서울병원",IF(AND($AI346&gt;=요약!$E$3,$AH346&lt;요약!$E$3),"구리병원","⚠15일 판정불가(서울 "&amp;$AH346&amp;"일/구리 "&amp;$AI346&amp;"일)")),IF($AJ346="",$AE346,IF(INDEX(파견수련계획!$T$4:$T$803,$AJ346)="통합수련",INDEX(파견수련계획!$S$4:$S$803,$AJ346),$AE346)))))))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입력",IF(IF(TRIM($J346&amp;"")="",0,SUMPRODUCT((파견수련계획!$Q$4:$Q$803=TRIM($J346&amp;""))*(파견수련계획!$AA$4:$AA$803&lt;&gt;"")))&gt;0,"파견수련계획 입력오류 확인",IF(LEFT($Y346,1)="⚠","서울·구리 15일 판정 불가(양쪽 모두 이상/미만)",IF(IF($AC346="",0,N(INDEX(인턴근무계획!$T$3:$T$402,$AC346)))&gt;0,"인턴계획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IF($B346="","",IFERROR(MATCH($B346,기본자료!$B$2:$B$1001,0),IFERROR(MATCH($B346&amp;"",기본자료!$B$2:$B$1001,0),IFERROR(MATCH(VALUE($B346),기본자료!$B$2:$B$1001,0),""))))</f>
        <v/>
      </c>
      <c r="AC346" s="10">
        <f>IF($B346="","",IFERROR(MATCH($B346,인턴근무계획!$D$3:$D$402,0),IFERROR(MATCH($B346&amp;"",인턴근무계획!$D$3:$D$402,0),IFERROR(MATCH(VALUE($B346),인턴근무계획!$D$3:$D$402,0),""))))</f>
        <v/>
      </c>
      <c r="AD346" s="10">
        <f>IF(OR($AC346="",인턴현황!$G$3=""),"",INDEX(인턴근무계획!$M$3:$R$402,$AC346,인턴현황!$G$3)&amp;"")</f>
        <v/>
      </c>
      <c r="AE346" s="10">
        <f>IF($B346="","",IF($M346&lt;&gt;"",$M346,IF($AF346&lt;&gt;"",IF(LEFT(INDEX(파견수련계획!$R$4:$R$803,$AF346),1)&lt;&gt;"⚠",INDEX(파견수련계획!$R$4:$R$803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파견수련계획!$Y$4:$Y$803,0),IFERROR(MATCH(TRIM($J346&amp;"")&amp;"|파견예정",파견수련계획!$Y$4:$Y$803,0),IFERROR(MATCH(TRIM($J346&amp;"")&amp;"|파견종료",파견수련계획!$Y$4:$Y$803,0),""))))</f>
        <v/>
      </c>
      <c r="AG346" s="10">
        <f>IF($B346="","",IF(AND(IF(OR($AC346="",인턴현황!$K$2=""),"",INDEX(인턴근무계획!$M$3:$R$402,$AC346,인턴현황!$K$2)&amp;"")&lt;&gt;"",LEFT(IF(OR($AC346="",인턴현황!$K$2=""),"",INDEX(인턴근무계획!$M$3:$R$402,$AC346,인턴현황!$K$2)&amp;""),1)&lt;&gt;"⚠"),LEFT(IF(OR($AC346="",인턴현황!$K$2=""),"",INDEX(인턴근무계획!$M$3:$R$402,$AC346,인턴현황!$K$2)&amp;""),FIND(" ",IF(OR($AC346="",인턴현황!$K$2=""),"",INDEX(인턴근무계획!$M$3:$R$402,$AC346,인턴현황!$K$2)&amp;""))-1),$AE346))</f>
        <v/>
      </c>
      <c r="AH346" s="17">
        <f>IF($B346="","",IF(TRIM($J346&amp;"")="",0,SUMPRODUCT((파견수련계획!$Q$4:$Q$803=TRIM($J346&amp;""))*(파견수련계획!$S$4:$S$803="서울병원")*파견수련계획!$W$4:$W$803))+IF($AG346="서울병원",MAX(0,DAY(EOMONTH(요약!$B$3,0))-N($X346)),0))</f>
        <v/>
      </c>
      <c r="AI346" s="17">
        <f>IF($B346="","",IF(TRIM($J346&amp;"")="",0,SUMPRODUCT((파견수련계획!$Q$4:$Q$803=TRIM($J346&amp;""))*(파견수련계획!$S$4:$S$803="구리병원")*파견수련계획!$W$4:$W$803))+IF($AG346="구리병원",MAX(0,DAY(EOMONTH(요약!$B$3,0))-N($X346)),0))</f>
        <v/>
      </c>
      <c r="AJ346" s="10">
        <f>IF(OR($B346="",TRIM($J346&amp;"")=""),"",IFERROR(MATCH(TRIM($J346&amp;"")&amp;"|월",파견수련계획!$Z$4:$Z$803,0),""))</f>
        <v/>
      </c>
      <c r="AK346" s="10">
        <f>IF(OR($B346="",TRIM($J346&amp;"")=""),"",IFERROR(MATCH(TRIM($J346&amp;"")&amp;"|다기관",파견수련계획!$AE$4:$AE$803,0),""))</f>
        <v/>
      </c>
      <c r="AL346" s="10">
        <f>IF($AK346="","","다기관 "&amp;TEXT(INDEX(파견수련계획!$AB$4:$AB$803,$AK346),"yyyy-mm-dd")&amp;"~"&amp;IF(ISNUMBER(INDEX(파견수련계획!$AC$4:$AC$803,$AK346)),TEXT(INDEX(파견수련계획!$AC$4:$AC$803,$AK346),"yyyy-mm-dd"),""))</f>
        <v/>
      </c>
    </row>
    <row r="347">
      <c r="A347" s="10">
        <f>IF(B347="","",ROW()-1)</f>
        <v/>
      </c>
      <c r="B347" s="18" t="n"/>
      <c r="C347" s="10">
        <f>IF($AB347="","",IF(INDEX(기본자료!$C$2:$C$1001,$AB347)="","",INDEX(기본자료!$C$2:$C$1001,$AB347)))</f>
        <v/>
      </c>
      <c r="D347" s="10">
        <f>IF($AB347="","",IF(INDEX(기본자료!$J$2:$J$1001,$AB347)="","",INDEX(기본자료!$J$2:$J$1001,$AB347)))</f>
        <v/>
      </c>
      <c r="E347" s="11">
        <f>IF($AB347="","",IF(INDEX(기본자료!$K$2:$K$1001,$AB347)="","",IF(NOT(ISNUMBER(INDEX(기본자료!$K$2:$K$1001,$AB347))),INDEX(기본자료!$K$2:$K$1001,$AB347),IF(INDEX(기본자료!$K$2:$K$1001,$AB347)&lt;1000000,INDEX(기본자료!$K$2:$K$1001,$AB347),IF(AND(INDEX(기본자료!$K$2:$K$1001,$AB347)&gt;=10000101,INT(MOD(INDEX(기본자료!$K$2:$K$1001,$AB347),10000)/100)&gt;=1,INT(MOD(INDEX(기본자료!$K$2:$K$1001,$AB347),10000)/100)&lt;=12,MOD(INDEX(기본자료!$K$2:$K$1001,$AB347),100)&gt;=1,MOD(INDEX(기본자료!$K$2:$K$1001,$AB347),100)&lt;=31),DATE(INT(INDEX(기본자료!$K$2:$K$1001,$AB347)/10000),INT(MOD(INDEX(기본자료!$K$2:$K$1001,$AB347),10000)/100),MOD(INDEX(기본자료!$K$2:$K$1001,$AB347),100)),INDEX(기본자료!$K$2:$K$1001,$AB347)&amp;"")))))</f>
        <v/>
      </c>
      <c r="F347" s="10">
        <f>IF($AB347="","",IF(INDEX(기본자료!$D$2:$D$1001,$AB347)="","",INDEX(기본자료!$D$2:$D$1001,$AB347)))</f>
        <v/>
      </c>
      <c r="G347" s="10">
        <f>IF($AB347="","",IF(INDEX(기본자료!$E$2:$E$1001,$AB347)="","",INDEX(기본자료!$E$2:$E$1001,$AB347)))</f>
        <v/>
      </c>
      <c r="H347" s="10">
        <f>IF($AB347="","",IF(INDEX(기본자료!$F$2:$F$1001,$AB347)="","",INDEX(기본자료!$F$2:$F$1001,$AB347)))</f>
        <v/>
      </c>
      <c r="I347" s="11">
        <f>IF($AB347="","",IF(INDEX(기본자료!$G$2:$G$1001,$AB347)="","",IF(NOT(ISNUMBER(INDEX(기본자료!$G$2:$G$1001,$AB347))),INDEX(기본자료!$G$2:$G$1001,$AB347),IF(INDEX(기본자료!$G$2:$G$1001,$AB347)&lt;1000000,INDEX(기본자료!$G$2:$G$1001,$AB347),IF(AND(INDEX(기본자료!$G$2:$G$1001,$AB347)&gt;=10000101,INT(MOD(INDEX(기본자료!$G$2:$G$1001,$AB347),10000)/100)&gt;=1,INT(MOD(INDEX(기본자료!$G$2:$G$1001,$AB347),10000)/100)&lt;=12,MOD(INDEX(기본자료!$G$2:$G$1001,$AB347),100)&gt;=1,MOD(INDEX(기본자료!$G$2:$G$1001,$AB347),100)&lt;=31),DATE(INT(INDEX(기본자료!$G$2:$G$1001,$AB347)/10000),INT(MOD(INDEX(기본자료!$G$2:$G$1001,$AB347),10000)/100),MOD(INDEX(기본자료!$G$2:$G$1001,$AB347),100)),INDEX(기본자료!$G$2:$G$1001,$AB347)&amp;"")))))</f>
        <v/>
      </c>
      <c r="J347" s="10">
        <f>IF($AB347="","",IF(INDEX(기본자료!$H$2:$H$1001,$AB347)="","",INDEX(기본자료!$H$2:$H$1001,$AB347)))</f>
        <v/>
      </c>
      <c r="K347" s="10">
        <f>IF($AB347="","",IF(INDEX(기본자료!$I$2:$I$1001,$AB347)="","",INDEX(기본자료!$I$2:$I$1001,$AB347)))</f>
        <v/>
      </c>
      <c r="L347" s="10">
        <f>IF($AB347="","",IF(INDEX(기본자료!$A$2:$A$1001,$AB347)="","",INDEX(기본자료!$A$2:$A$1001,$AB347)))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파견수련계획!$AB$4:$AB$803,$AK347),OR(NOT(ISNUMBER(INDEX(파견수련계획!$AC$4:$AC$803,$AK347))),TODAY()&lt;=INDEX(파견수련계획!$AC$4:$AC$803,$AK347))),"다기관",IF($AF347="","",INDEX(파견수련계획!$T$4:$T$803,$AF347))),IF($AF347="","",INDEX(파견수련계획!$T$4:$T$803,$AF347))))</f>
        <v/>
      </c>
      <c r="Q347" s="10">
        <f>IF($AF347="","",INDEX(파견수련계획!$S$4:$S$803,$AF347))</f>
        <v/>
      </c>
      <c r="R347" s="10">
        <f>IF($AF347="","",INDEX(파견수련계획!$U$4:$U$803,$AF347))</f>
        <v/>
      </c>
      <c r="S347" s="11">
        <f>IF($AF347="","",IF(INDEX(파견수련계획!$H$4:$H$803,$AF347)="","",INDEX(파견수련계획!$H$4:$H$803,$AF347)))</f>
        <v/>
      </c>
      <c r="T347" s="11">
        <f>IF($AF347="","",IF(INDEX(파견수련계획!$I$4:$I$803,$AF347)="","",INDEX(파견수련계획!$I$4:$I$803,$AF347)))</f>
        <v/>
      </c>
      <c r="U347" s="10">
        <f>IF($AF347="","",INDEX(파견수련계획!$X$4:$X$803,$AF347))</f>
        <v/>
      </c>
      <c r="V347" s="17">
        <f>IF($AF347="","",INDEX(파견수련계획!$V$4:$V$803,$AF347))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IF(OR($B347="",TRIM($J347&amp;"")=""),"",SUMPRODUCT((파견수련계획!$Q$4:$Q$803=TRIM($J347&amp;""))*파견수련계획!$W$4:$W$803))</f>
        <v/>
      </c>
      <c r="Y347" s="10">
        <f>IF($B347="","",IF($AG347="","",IF(IF(TRIM($J347&amp;"")="",0,SUMPRODUCT((파견수련계획!$Q$4:$Q$803=TRIM($J347&amp;""))*파견수련계획!$AD$4:$AD$803))&gt;0,$AE347,IF(N($X347)&lt;=0,$AG347,IF($AH347+$AI347=DAY(EOMONTH(요약!$B$3,0)),IF(AND($AH347&gt;=요약!$E$3,$AI347&lt;요약!$E$3),"서울병원",IF(AND($AI347&gt;=요약!$E$3,$AH347&lt;요약!$E$3),"구리병원","⚠15일 판정불가(서울 "&amp;$AH347&amp;"일/구리 "&amp;$AI347&amp;"일)")),IF($AJ347="",$AE347,IF(INDEX(파견수련계획!$T$4:$T$803,$AJ347)="통합수련",INDEX(파견수련계획!$S$4:$S$803,$AJ347),$AE347)))))))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입력",IF(IF(TRIM($J347&amp;"")="",0,SUMPRODUCT((파견수련계획!$Q$4:$Q$803=TRIM($J347&amp;""))*(파견수련계획!$AA$4:$AA$803&lt;&gt;"")))&gt;0,"파견수련계획 입력오류 확인",IF(LEFT($Y347,1)="⚠","서울·구리 15일 판정 불가(양쪽 모두 이상/미만)",IF(IF($AC347="",0,N(INDEX(인턴근무계획!$T$3:$T$402,$AC347)))&gt;0,"인턴계획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IF($B347="","",IFERROR(MATCH($B347,기본자료!$B$2:$B$1001,0),IFERROR(MATCH($B347&amp;"",기본자료!$B$2:$B$1001,0),IFERROR(MATCH(VALUE($B347),기본자료!$B$2:$B$1001,0),""))))</f>
        <v/>
      </c>
      <c r="AC347" s="10">
        <f>IF($B347="","",IFERROR(MATCH($B347,인턴근무계획!$D$3:$D$402,0),IFERROR(MATCH($B347&amp;"",인턴근무계획!$D$3:$D$402,0),IFERROR(MATCH(VALUE($B347),인턴근무계획!$D$3:$D$402,0),""))))</f>
        <v/>
      </c>
      <c r="AD347" s="10">
        <f>IF(OR($AC347="",인턴현황!$G$3=""),"",INDEX(인턴근무계획!$M$3:$R$402,$AC347,인턴현황!$G$3)&amp;"")</f>
        <v/>
      </c>
      <c r="AE347" s="10">
        <f>IF($B347="","",IF($M347&lt;&gt;"",$M347,IF($AF347&lt;&gt;"",IF(LEFT(INDEX(파견수련계획!$R$4:$R$803,$AF347),1)&lt;&gt;"⚠",INDEX(파견수련계획!$R$4:$R$803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파견수련계획!$Y$4:$Y$803,0),IFERROR(MATCH(TRIM($J347&amp;"")&amp;"|파견예정",파견수련계획!$Y$4:$Y$803,0),IFERROR(MATCH(TRIM($J347&amp;"")&amp;"|파견종료",파견수련계획!$Y$4:$Y$803,0),""))))</f>
        <v/>
      </c>
      <c r="AG347" s="10">
        <f>IF($B347="","",IF(AND(IF(OR($AC347="",인턴현황!$K$2=""),"",INDEX(인턴근무계획!$M$3:$R$402,$AC347,인턴현황!$K$2)&amp;"")&lt;&gt;"",LEFT(IF(OR($AC347="",인턴현황!$K$2=""),"",INDEX(인턴근무계획!$M$3:$R$402,$AC347,인턴현황!$K$2)&amp;""),1)&lt;&gt;"⚠"),LEFT(IF(OR($AC347="",인턴현황!$K$2=""),"",INDEX(인턴근무계획!$M$3:$R$402,$AC347,인턴현황!$K$2)&amp;""),FIND(" ",IF(OR($AC347="",인턴현황!$K$2=""),"",INDEX(인턴근무계획!$M$3:$R$402,$AC347,인턴현황!$K$2)&amp;""))-1),$AE347))</f>
        <v/>
      </c>
      <c r="AH347" s="17">
        <f>IF($B347="","",IF(TRIM($J347&amp;"")="",0,SUMPRODUCT((파견수련계획!$Q$4:$Q$803=TRIM($J347&amp;""))*(파견수련계획!$S$4:$S$803="서울병원")*파견수련계획!$W$4:$W$803))+IF($AG347="서울병원",MAX(0,DAY(EOMONTH(요약!$B$3,0))-N($X347)),0))</f>
        <v/>
      </c>
      <c r="AI347" s="17">
        <f>IF($B347="","",IF(TRIM($J347&amp;"")="",0,SUMPRODUCT((파견수련계획!$Q$4:$Q$803=TRIM($J347&amp;""))*(파견수련계획!$S$4:$S$803="구리병원")*파견수련계획!$W$4:$W$803))+IF($AG347="구리병원",MAX(0,DAY(EOMONTH(요약!$B$3,0))-N($X347)),0))</f>
        <v/>
      </c>
      <c r="AJ347" s="10">
        <f>IF(OR($B347="",TRIM($J347&amp;"")=""),"",IFERROR(MATCH(TRIM($J347&amp;"")&amp;"|월",파견수련계획!$Z$4:$Z$803,0),""))</f>
        <v/>
      </c>
      <c r="AK347" s="10">
        <f>IF(OR($B347="",TRIM($J347&amp;"")=""),"",IFERROR(MATCH(TRIM($J347&amp;"")&amp;"|다기관",파견수련계획!$AE$4:$AE$803,0),""))</f>
        <v/>
      </c>
      <c r="AL347" s="10">
        <f>IF($AK347="","","다기관 "&amp;TEXT(INDEX(파견수련계획!$AB$4:$AB$803,$AK347),"yyyy-mm-dd")&amp;"~"&amp;IF(ISNUMBER(INDEX(파견수련계획!$AC$4:$AC$803,$AK347)),TEXT(INDEX(파견수련계획!$AC$4:$AC$803,$AK347),"yyyy-mm-dd"),""))</f>
        <v/>
      </c>
    </row>
    <row r="348">
      <c r="A348" s="10">
        <f>IF(B348="","",ROW()-1)</f>
        <v/>
      </c>
      <c r="B348" s="18" t="n"/>
      <c r="C348" s="10">
        <f>IF($AB348="","",IF(INDEX(기본자료!$C$2:$C$1001,$AB348)="","",INDEX(기본자료!$C$2:$C$1001,$AB348)))</f>
        <v/>
      </c>
      <c r="D348" s="10">
        <f>IF($AB348="","",IF(INDEX(기본자료!$J$2:$J$1001,$AB348)="","",INDEX(기본자료!$J$2:$J$1001,$AB348)))</f>
        <v/>
      </c>
      <c r="E348" s="11">
        <f>IF($AB348="","",IF(INDEX(기본자료!$K$2:$K$1001,$AB348)="","",IF(NOT(ISNUMBER(INDEX(기본자료!$K$2:$K$1001,$AB348))),INDEX(기본자료!$K$2:$K$1001,$AB348),IF(INDEX(기본자료!$K$2:$K$1001,$AB348)&lt;1000000,INDEX(기본자료!$K$2:$K$1001,$AB348),IF(AND(INDEX(기본자료!$K$2:$K$1001,$AB348)&gt;=10000101,INT(MOD(INDEX(기본자료!$K$2:$K$1001,$AB348),10000)/100)&gt;=1,INT(MOD(INDEX(기본자료!$K$2:$K$1001,$AB348),10000)/100)&lt;=12,MOD(INDEX(기본자료!$K$2:$K$1001,$AB348),100)&gt;=1,MOD(INDEX(기본자료!$K$2:$K$1001,$AB348),100)&lt;=31),DATE(INT(INDEX(기본자료!$K$2:$K$1001,$AB348)/10000),INT(MOD(INDEX(기본자료!$K$2:$K$1001,$AB348),10000)/100),MOD(INDEX(기본자료!$K$2:$K$1001,$AB348),100)),INDEX(기본자료!$K$2:$K$1001,$AB348)&amp;"")))))</f>
        <v/>
      </c>
      <c r="F348" s="10">
        <f>IF($AB348="","",IF(INDEX(기본자료!$D$2:$D$1001,$AB348)="","",INDEX(기본자료!$D$2:$D$1001,$AB348)))</f>
        <v/>
      </c>
      <c r="G348" s="10">
        <f>IF($AB348="","",IF(INDEX(기본자료!$E$2:$E$1001,$AB348)="","",INDEX(기본자료!$E$2:$E$1001,$AB348)))</f>
        <v/>
      </c>
      <c r="H348" s="10">
        <f>IF($AB348="","",IF(INDEX(기본자료!$F$2:$F$1001,$AB348)="","",INDEX(기본자료!$F$2:$F$1001,$AB348)))</f>
        <v/>
      </c>
      <c r="I348" s="11">
        <f>IF($AB348="","",IF(INDEX(기본자료!$G$2:$G$1001,$AB348)="","",IF(NOT(ISNUMBER(INDEX(기본자료!$G$2:$G$1001,$AB348))),INDEX(기본자료!$G$2:$G$1001,$AB348),IF(INDEX(기본자료!$G$2:$G$1001,$AB348)&lt;1000000,INDEX(기본자료!$G$2:$G$1001,$AB348),IF(AND(INDEX(기본자료!$G$2:$G$1001,$AB348)&gt;=10000101,INT(MOD(INDEX(기본자료!$G$2:$G$1001,$AB348),10000)/100)&gt;=1,INT(MOD(INDEX(기본자료!$G$2:$G$1001,$AB348),10000)/100)&lt;=12,MOD(INDEX(기본자료!$G$2:$G$1001,$AB348),100)&gt;=1,MOD(INDEX(기본자료!$G$2:$G$1001,$AB348),100)&lt;=31),DATE(INT(INDEX(기본자료!$G$2:$G$1001,$AB348)/10000),INT(MOD(INDEX(기본자료!$G$2:$G$1001,$AB348),10000)/100),MOD(INDEX(기본자료!$G$2:$G$1001,$AB348),100)),INDEX(기본자료!$G$2:$G$1001,$AB348)&amp;"")))))</f>
        <v/>
      </c>
      <c r="J348" s="10">
        <f>IF($AB348="","",IF(INDEX(기본자료!$H$2:$H$1001,$AB348)="","",INDEX(기본자료!$H$2:$H$1001,$AB348)))</f>
        <v/>
      </c>
      <c r="K348" s="10">
        <f>IF($AB348="","",IF(INDEX(기본자료!$I$2:$I$1001,$AB348)="","",INDEX(기본자료!$I$2:$I$1001,$AB348)))</f>
        <v/>
      </c>
      <c r="L348" s="10">
        <f>IF($AB348="","",IF(INDEX(기본자료!$A$2:$A$1001,$AB348)="","",INDEX(기본자료!$A$2:$A$1001,$AB348)))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파견수련계획!$AB$4:$AB$803,$AK348),OR(NOT(ISNUMBER(INDEX(파견수련계획!$AC$4:$AC$803,$AK348))),TODAY()&lt;=INDEX(파견수련계획!$AC$4:$AC$803,$AK348))),"다기관",IF($AF348="","",INDEX(파견수련계획!$T$4:$T$803,$AF348))),IF($AF348="","",INDEX(파견수련계획!$T$4:$T$803,$AF348))))</f>
        <v/>
      </c>
      <c r="Q348" s="10">
        <f>IF($AF348="","",INDEX(파견수련계획!$S$4:$S$803,$AF348))</f>
        <v/>
      </c>
      <c r="R348" s="10">
        <f>IF($AF348="","",INDEX(파견수련계획!$U$4:$U$803,$AF348))</f>
        <v/>
      </c>
      <c r="S348" s="11">
        <f>IF($AF348="","",IF(INDEX(파견수련계획!$H$4:$H$803,$AF348)="","",INDEX(파견수련계획!$H$4:$H$803,$AF348)))</f>
        <v/>
      </c>
      <c r="T348" s="11">
        <f>IF($AF348="","",IF(INDEX(파견수련계획!$I$4:$I$803,$AF348)="","",INDEX(파견수련계획!$I$4:$I$803,$AF348)))</f>
        <v/>
      </c>
      <c r="U348" s="10">
        <f>IF($AF348="","",INDEX(파견수련계획!$X$4:$X$803,$AF348))</f>
        <v/>
      </c>
      <c r="V348" s="17">
        <f>IF($AF348="","",INDEX(파견수련계획!$V$4:$V$803,$AF348))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IF(OR($B348="",TRIM($J348&amp;"")=""),"",SUMPRODUCT((파견수련계획!$Q$4:$Q$803=TRIM($J348&amp;""))*파견수련계획!$W$4:$W$803))</f>
        <v/>
      </c>
      <c r="Y348" s="10">
        <f>IF($B348="","",IF($AG348="","",IF(IF(TRIM($J348&amp;"")="",0,SUMPRODUCT((파견수련계획!$Q$4:$Q$803=TRIM($J348&amp;""))*파견수련계획!$AD$4:$AD$803))&gt;0,$AE348,IF(N($X348)&lt;=0,$AG348,IF($AH348+$AI348=DAY(EOMONTH(요약!$B$3,0)),IF(AND($AH348&gt;=요약!$E$3,$AI348&lt;요약!$E$3),"서울병원",IF(AND($AI348&gt;=요약!$E$3,$AH348&lt;요약!$E$3),"구리병원","⚠15일 판정불가(서울 "&amp;$AH348&amp;"일/구리 "&amp;$AI348&amp;"일)")),IF($AJ348="",$AE348,IF(INDEX(파견수련계획!$T$4:$T$803,$AJ348)="통합수련",INDEX(파견수련계획!$S$4:$S$803,$AJ348),$AE348)))))))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입력",IF(IF(TRIM($J348&amp;"")="",0,SUMPRODUCT((파견수련계획!$Q$4:$Q$803=TRIM($J348&amp;""))*(파견수련계획!$AA$4:$AA$803&lt;&gt;"")))&gt;0,"파견수련계획 입력오류 확인",IF(LEFT($Y348,1)="⚠","서울·구리 15일 판정 불가(양쪽 모두 이상/미만)",IF(IF($AC348="",0,N(INDEX(인턴근무계획!$T$3:$T$402,$AC348)))&gt;0,"인턴계획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IF($B348="","",IFERROR(MATCH($B348,기본자료!$B$2:$B$1001,0),IFERROR(MATCH($B348&amp;"",기본자료!$B$2:$B$1001,0),IFERROR(MATCH(VALUE($B348),기본자료!$B$2:$B$1001,0),""))))</f>
        <v/>
      </c>
      <c r="AC348" s="10">
        <f>IF($B348="","",IFERROR(MATCH($B348,인턴근무계획!$D$3:$D$402,0),IFERROR(MATCH($B348&amp;"",인턴근무계획!$D$3:$D$402,0),IFERROR(MATCH(VALUE($B348),인턴근무계획!$D$3:$D$402,0),""))))</f>
        <v/>
      </c>
      <c r="AD348" s="10">
        <f>IF(OR($AC348="",인턴현황!$G$3=""),"",INDEX(인턴근무계획!$M$3:$R$402,$AC348,인턴현황!$G$3)&amp;"")</f>
        <v/>
      </c>
      <c r="AE348" s="10">
        <f>IF($B348="","",IF($M348&lt;&gt;"",$M348,IF($AF348&lt;&gt;"",IF(LEFT(INDEX(파견수련계획!$R$4:$R$803,$AF348),1)&lt;&gt;"⚠",INDEX(파견수련계획!$R$4:$R$803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파견수련계획!$Y$4:$Y$803,0),IFERROR(MATCH(TRIM($J348&amp;"")&amp;"|파견예정",파견수련계획!$Y$4:$Y$803,0),IFERROR(MATCH(TRIM($J348&amp;"")&amp;"|파견종료",파견수련계획!$Y$4:$Y$803,0),""))))</f>
        <v/>
      </c>
      <c r="AG348" s="10">
        <f>IF($B348="","",IF(AND(IF(OR($AC348="",인턴현황!$K$2=""),"",INDEX(인턴근무계획!$M$3:$R$402,$AC348,인턴현황!$K$2)&amp;"")&lt;&gt;"",LEFT(IF(OR($AC348="",인턴현황!$K$2=""),"",INDEX(인턴근무계획!$M$3:$R$402,$AC348,인턴현황!$K$2)&amp;""),1)&lt;&gt;"⚠"),LEFT(IF(OR($AC348="",인턴현황!$K$2=""),"",INDEX(인턴근무계획!$M$3:$R$402,$AC348,인턴현황!$K$2)&amp;""),FIND(" ",IF(OR($AC348="",인턴현황!$K$2=""),"",INDEX(인턴근무계획!$M$3:$R$402,$AC348,인턴현황!$K$2)&amp;""))-1),$AE348))</f>
        <v/>
      </c>
      <c r="AH348" s="17">
        <f>IF($B348="","",IF(TRIM($J348&amp;"")="",0,SUMPRODUCT((파견수련계획!$Q$4:$Q$803=TRIM($J348&amp;""))*(파견수련계획!$S$4:$S$803="서울병원")*파견수련계획!$W$4:$W$803))+IF($AG348="서울병원",MAX(0,DAY(EOMONTH(요약!$B$3,0))-N($X348)),0))</f>
        <v/>
      </c>
      <c r="AI348" s="17">
        <f>IF($B348="","",IF(TRIM($J348&amp;"")="",0,SUMPRODUCT((파견수련계획!$Q$4:$Q$803=TRIM($J348&amp;""))*(파견수련계획!$S$4:$S$803="구리병원")*파견수련계획!$W$4:$W$803))+IF($AG348="구리병원",MAX(0,DAY(EOMONTH(요약!$B$3,0))-N($X348)),0))</f>
        <v/>
      </c>
      <c r="AJ348" s="10">
        <f>IF(OR($B348="",TRIM($J348&amp;"")=""),"",IFERROR(MATCH(TRIM($J348&amp;"")&amp;"|월",파견수련계획!$Z$4:$Z$803,0),""))</f>
        <v/>
      </c>
      <c r="AK348" s="10">
        <f>IF(OR($B348="",TRIM($J348&amp;"")=""),"",IFERROR(MATCH(TRIM($J348&amp;"")&amp;"|다기관",파견수련계획!$AE$4:$AE$803,0),""))</f>
        <v/>
      </c>
      <c r="AL348" s="10">
        <f>IF($AK348="","","다기관 "&amp;TEXT(INDEX(파견수련계획!$AB$4:$AB$803,$AK348),"yyyy-mm-dd")&amp;"~"&amp;IF(ISNUMBER(INDEX(파견수련계획!$AC$4:$AC$803,$AK348)),TEXT(INDEX(파견수련계획!$AC$4:$AC$803,$AK348),"yyyy-mm-dd"),""))</f>
        <v/>
      </c>
    </row>
    <row r="349">
      <c r="A349" s="10">
        <f>IF(B349="","",ROW()-1)</f>
        <v/>
      </c>
      <c r="B349" s="18" t="n"/>
      <c r="C349" s="10">
        <f>IF($AB349="","",IF(INDEX(기본자료!$C$2:$C$1001,$AB349)="","",INDEX(기본자료!$C$2:$C$1001,$AB349)))</f>
        <v/>
      </c>
      <c r="D349" s="10">
        <f>IF($AB349="","",IF(INDEX(기본자료!$J$2:$J$1001,$AB349)="","",INDEX(기본자료!$J$2:$J$1001,$AB349)))</f>
        <v/>
      </c>
      <c r="E349" s="11">
        <f>IF($AB349="","",IF(INDEX(기본자료!$K$2:$K$1001,$AB349)="","",IF(NOT(ISNUMBER(INDEX(기본자료!$K$2:$K$1001,$AB349))),INDEX(기본자료!$K$2:$K$1001,$AB349),IF(INDEX(기본자료!$K$2:$K$1001,$AB349)&lt;1000000,INDEX(기본자료!$K$2:$K$1001,$AB349),IF(AND(INDEX(기본자료!$K$2:$K$1001,$AB349)&gt;=10000101,INT(MOD(INDEX(기본자료!$K$2:$K$1001,$AB349),10000)/100)&gt;=1,INT(MOD(INDEX(기본자료!$K$2:$K$1001,$AB349),10000)/100)&lt;=12,MOD(INDEX(기본자료!$K$2:$K$1001,$AB349),100)&gt;=1,MOD(INDEX(기본자료!$K$2:$K$1001,$AB349),100)&lt;=31),DATE(INT(INDEX(기본자료!$K$2:$K$1001,$AB349)/10000),INT(MOD(INDEX(기본자료!$K$2:$K$1001,$AB349),10000)/100),MOD(INDEX(기본자료!$K$2:$K$1001,$AB349),100)),INDEX(기본자료!$K$2:$K$1001,$AB349)&amp;"")))))</f>
        <v/>
      </c>
      <c r="F349" s="10">
        <f>IF($AB349="","",IF(INDEX(기본자료!$D$2:$D$1001,$AB349)="","",INDEX(기본자료!$D$2:$D$1001,$AB349)))</f>
        <v/>
      </c>
      <c r="G349" s="10">
        <f>IF($AB349="","",IF(INDEX(기본자료!$E$2:$E$1001,$AB349)="","",INDEX(기본자료!$E$2:$E$1001,$AB349)))</f>
        <v/>
      </c>
      <c r="H349" s="10">
        <f>IF($AB349="","",IF(INDEX(기본자료!$F$2:$F$1001,$AB349)="","",INDEX(기본자료!$F$2:$F$1001,$AB349)))</f>
        <v/>
      </c>
      <c r="I349" s="11">
        <f>IF($AB349="","",IF(INDEX(기본자료!$G$2:$G$1001,$AB349)="","",IF(NOT(ISNUMBER(INDEX(기본자료!$G$2:$G$1001,$AB349))),INDEX(기본자료!$G$2:$G$1001,$AB349),IF(INDEX(기본자료!$G$2:$G$1001,$AB349)&lt;1000000,INDEX(기본자료!$G$2:$G$1001,$AB349),IF(AND(INDEX(기본자료!$G$2:$G$1001,$AB349)&gt;=10000101,INT(MOD(INDEX(기본자료!$G$2:$G$1001,$AB349),10000)/100)&gt;=1,INT(MOD(INDEX(기본자료!$G$2:$G$1001,$AB349),10000)/100)&lt;=12,MOD(INDEX(기본자료!$G$2:$G$1001,$AB349),100)&gt;=1,MOD(INDEX(기본자료!$G$2:$G$1001,$AB349),100)&lt;=31),DATE(INT(INDEX(기본자료!$G$2:$G$1001,$AB349)/10000),INT(MOD(INDEX(기본자료!$G$2:$G$1001,$AB349),10000)/100),MOD(INDEX(기본자료!$G$2:$G$1001,$AB349),100)),INDEX(기본자료!$G$2:$G$1001,$AB349)&amp;"")))))</f>
        <v/>
      </c>
      <c r="J349" s="10">
        <f>IF($AB349="","",IF(INDEX(기본자료!$H$2:$H$1001,$AB349)="","",INDEX(기본자료!$H$2:$H$1001,$AB349)))</f>
        <v/>
      </c>
      <c r="K349" s="10">
        <f>IF($AB349="","",IF(INDEX(기본자료!$I$2:$I$1001,$AB349)="","",INDEX(기본자료!$I$2:$I$1001,$AB349)))</f>
        <v/>
      </c>
      <c r="L349" s="10">
        <f>IF($AB349="","",IF(INDEX(기본자료!$A$2:$A$1001,$AB349)="","",INDEX(기본자료!$A$2:$A$1001,$AB349)))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파견수련계획!$AB$4:$AB$803,$AK349),OR(NOT(ISNUMBER(INDEX(파견수련계획!$AC$4:$AC$803,$AK349))),TODAY()&lt;=INDEX(파견수련계획!$AC$4:$AC$803,$AK349))),"다기관",IF($AF349="","",INDEX(파견수련계획!$T$4:$T$803,$AF349))),IF($AF349="","",INDEX(파견수련계획!$T$4:$T$803,$AF349))))</f>
        <v/>
      </c>
      <c r="Q349" s="10">
        <f>IF($AF349="","",INDEX(파견수련계획!$S$4:$S$803,$AF349))</f>
        <v/>
      </c>
      <c r="R349" s="10">
        <f>IF($AF349="","",INDEX(파견수련계획!$U$4:$U$803,$AF349))</f>
        <v/>
      </c>
      <c r="S349" s="11">
        <f>IF($AF349="","",IF(INDEX(파견수련계획!$H$4:$H$803,$AF349)="","",INDEX(파견수련계획!$H$4:$H$803,$AF349)))</f>
        <v/>
      </c>
      <c r="T349" s="11">
        <f>IF($AF349="","",IF(INDEX(파견수련계획!$I$4:$I$803,$AF349)="","",INDEX(파견수련계획!$I$4:$I$803,$AF349)))</f>
        <v/>
      </c>
      <c r="U349" s="10">
        <f>IF($AF349="","",INDEX(파견수련계획!$X$4:$X$803,$AF349))</f>
        <v/>
      </c>
      <c r="V349" s="17">
        <f>IF($AF349="","",INDEX(파견수련계획!$V$4:$V$803,$AF349))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IF(OR($B349="",TRIM($J349&amp;"")=""),"",SUMPRODUCT((파견수련계획!$Q$4:$Q$803=TRIM($J349&amp;""))*파견수련계획!$W$4:$W$803))</f>
        <v/>
      </c>
      <c r="Y349" s="10">
        <f>IF($B349="","",IF($AG349="","",IF(IF(TRIM($J349&amp;"")="",0,SUMPRODUCT((파견수련계획!$Q$4:$Q$803=TRIM($J349&amp;""))*파견수련계획!$AD$4:$AD$803))&gt;0,$AE349,IF(N($X349)&lt;=0,$AG349,IF($AH349+$AI349=DAY(EOMONTH(요약!$B$3,0)),IF(AND($AH349&gt;=요약!$E$3,$AI349&lt;요약!$E$3),"서울병원",IF(AND($AI349&gt;=요약!$E$3,$AH349&lt;요약!$E$3),"구리병원","⚠15일 판정불가(서울 "&amp;$AH349&amp;"일/구리 "&amp;$AI349&amp;"일)")),IF($AJ349="",$AE349,IF(INDEX(파견수련계획!$T$4:$T$803,$AJ349)="통합수련",INDEX(파견수련계획!$S$4:$S$803,$AJ349),$AE349)))))))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입력",IF(IF(TRIM($J349&amp;"")="",0,SUMPRODUCT((파견수련계획!$Q$4:$Q$803=TRIM($J349&amp;""))*(파견수련계획!$AA$4:$AA$803&lt;&gt;"")))&gt;0,"파견수련계획 입력오류 확인",IF(LEFT($Y349,1)="⚠","서울·구리 15일 판정 불가(양쪽 모두 이상/미만)",IF(IF($AC349="",0,N(INDEX(인턴근무계획!$T$3:$T$402,$AC349)))&gt;0,"인턴계획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IF($B349="","",IFERROR(MATCH($B349,기본자료!$B$2:$B$1001,0),IFERROR(MATCH($B349&amp;"",기본자료!$B$2:$B$1001,0),IFERROR(MATCH(VALUE($B349),기본자료!$B$2:$B$1001,0),""))))</f>
        <v/>
      </c>
      <c r="AC349" s="10">
        <f>IF($B349="","",IFERROR(MATCH($B349,인턴근무계획!$D$3:$D$402,0),IFERROR(MATCH($B349&amp;"",인턴근무계획!$D$3:$D$402,0),IFERROR(MATCH(VALUE($B349),인턴근무계획!$D$3:$D$402,0),""))))</f>
        <v/>
      </c>
      <c r="AD349" s="10">
        <f>IF(OR($AC349="",인턴현황!$G$3=""),"",INDEX(인턴근무계획!$M$3:$R$402,$AC349,인턴현황!$G$3)&amp;"")</f>
        <v/>
      </c>
      <c r="AE349" s="10">
        <f>IF($B349="","",IF($M349&lt;&gt;"",$M349,IF($AF349&lt;&gt;"",IF(LEFT(INDEX(파견수련계획!$R$4:$R$803,$AF349),1)&lt;&gt;"⚠",INDEX(파견수련계획!$R$4:$R$803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파견수련계획!$Y$4:$Y$803,0),IFERROR(MATCH(TRIM($J349&amp;"")&amp;"|파견예정",파견수련계획!$Y$4:$Y$803,0),IFERROR(MATCH(TRIM($J349&amp;"")&amp;"|파견종료",파견수련계획!$Y$4:$Y$803,0),""))))</f>
        <v/>
      </c>
      <c r="AG349" s="10">
        <f>IF($B349="","",IF(AND(IF(OR($AC349="",인턴현황!$K$2=""),"",INDEX(인턴근무계획!$M$3:$R$402,$AC349,인턴현황!$K$2)&amp;"")&lt;&gt;"",LEFT(IF(OR($AC349="",인턴현황!$K$2=""),"",INDEX(인턴근무계획!$M$3:$R$402,$AC349,인턴현황!$K$2)&amp;""),1)&lt;&gt;"⚠"),LEFT(IF(OR($AC349="",인턴현황!$K$2=""),"",INDEX(인턴근무계획!$M$3:$R$402,$AC349,인턴현황!$K$2)&amp;""),FIND(" ",IF(OR($AC349="",인턴현황!$K$2=""),"",INDEX(인턴근무계획!$M$3:$R$402,$AC349,인턴현황!$K$2)&amp;""))-1),$AE349))</f>
        <v/>
      </c>
      <c r="AH349" s="17">
        <f>IF($B349="","",IF(TRIM($J349&amp;"")="",0,SUMPRODUCT((파견수련계획!$Q$4:$Q$803=TRIM($J349&amp;""))*(파견수련계획!$S$4:$S$803="서울병원")*파견수련계획!$W$4:$W$803))+IF($AG349="서울병원",MAX(0,DAY(EOMONTH(요약!$B$3,0))-N($X349)),0))</f>
        <v/>
      </c>
      <c r="AI349" s="17">
        <f>IF($B349="","",IF(TRIM($J349&amp;"")="",0,SUMPRODUCT((파견수련계획!$Q$4:$Q$803=TRIM($J349&amp;""))*(파견수련계획!$S$4:$S$803="구리병원")*파견수련계획!$W$4:$W$803))+IF($AG349="구리병원",MAX(0,DAY(EOMONTH(요약!$B$3,0))-N($X349)),0))</f>
        <v/>
      </c>
      <c r="AJ349" s="10">
        <f>IF(OR($B349="",TRIM($J349&amp;"")=""),"",IFERROR(MATCH(TRIM($J349&amp;"")&amp;"|월",파견수련계획!$Z$4:$Z$803,0),""))</f>
        <v/>
      </c>
      <c r="AK349" s="10">
        <f>IF(OR($B349="",TRIM($J349&amp;"")=""),"",IFERROR(MATCH(TRIM($J349&amp;"")&amp;"|다기관",파견수련계획!$AE$4:$AE$803,0),""))</f>
        <v/>
      </c>
      <c r="AL349" s="10">
        <f>IF($AK349="","","다기관 "&amp;TEXT(INDEX(파견수련계획!$AB$4:$AB$803,$AK349),"yyyy-mm-dd")&amp;"~"&amp;IF(ISNUMBER(INDEX(파견수련계획!$AC$4:$AC$803,$AK349)),TEXT(INDEX(파견수련계획!$AC$4:$AC$803,$AK349),"yyyy-mm-dd"),""))</f>
        <v/>
      </c>
    </row>
    <row r="350">
      <c r="A350" s="10">
        <f>IF(B350="","",ROW()-1)</f>
        <v/>
      </c>
      <c r="B350" s="18" t="n"/>
      <c r="C350" s="10">
        <f>IF($AB350="","",IF(INDEX(기본자료!$C$2:$C$1001,$AB350)="","",INDEX(기본자료!$C$2:$C$1001,$AB350)))</f>
        <v/>
      </c>
      <c r="D350" s="10">
        <f>IF($AB350="","",IF(INDEX(기본자료!$J$2:$J$1001,$AB350)="","",INDEX(기본자료!$J$2:$J$1001,$AB350)))</f>
        <v/>
      </c>
      <c r="E350" s="11">
        <f>IF($AB350="","",IF(INDEX(기본자료!$K$2:$K$1001,$AB350)="","",IF(NOT(ISNUMBER(INDEX(기본자료!$K$2:$K$1001,$AB350))),INDEX(기본자료!$K$2:$K$1001,$AB350),IF(INDEX(기본자료!$K$2:$K$1001,$AB350)&lt;1000000,INDEX(기본자료!$K$2:$K$1001,$AB350),IF(AND(INDEX(기본자료!$K$2:$K$1001,$AB350)&gt;=10000101,INT(MOD(INDEX(기본자료!$K$2:$K$1001,$AB350),10000)/100)&gt;=1,INT(MOD(INDEX(기본자료!$K$2:$K$1001,$AB350),10000)/100)&lt;=12,MOD(INDEX(기본자료!$K$2:$K$1001,$AB350),100)&gt;=1,MOD(INDEX(기본자료!$K$2:$K$1001,$AB350),100)&lt;=31),DATE(INT(INDEX(기본자료!$K$2:$K$1001,$AB350)/10000),INT(MOD(INDEX(기본자료!$K$2:$K$1001,$AB350),10000)/100),MOD(INDEX(기본자료!$K$2:$K$1001,$AB350),100)),INDEX(기본자료!$K$2:$K$1001,$AB350)&amp;"")))))</f>
        <v/>
      </c>
      <c r="F350" s="10">
        <f>IF($AB350="","",IF(INDEX(기본자료!$D$2:$D$1001,$AB350)="","",INDEX(기본자료!$D$2:$D$1001,$AB350)))</f>
        <v/>
      </c>
      <c r="G350" s="10">
        <f>IF($AB350="","",IF(INDEX(기본자료!$E$2:$E$1001,$AB350)="","",INDEX(기본자료!$E$2:$E$1001,$AB350)))</f>
        <v/>
      </c>
      <c r="H350" s="10">
        <f>IF($AB350="","",IF(INDEX(기본자료!$F$2:$F$1001,$AB350)="","",INDEX(기본자료!$F$2:$F$1001,$AB350)))</f>
        <v/>
      </c>
      <c r="I350" s="11">
        <f>IF($AB350="","",IF(INDEX(기본자료!$G$2:$G$1001,$AB350)="","",IF(NOT(ISNUMBER(INDEX(기본자료!$G$2:$G$1001,$AB350))),INDEX(기본자료!$G$2:$G$1001,$AB350),IF(INDEX(기본자료!$G$2:$G$1001,$AB350)&lt;1000000,INDEX(기본자료!$G$2:$G$1001,$AB350),IF(AND(INDEX(기본자료!$G$2:$G$1001,$AB350)&gt;=10000101,INT(MOD(INDEX(기본자료!$G$2:$G$1001,$AB350),10000)/100)&gt;=1,INT(MOD(INDEX(기본자료!$G$2:$G$1001,$AB350),10000)/100)&lt;=12,MOD(INDEX(기본자료!$G$2:$G$1001,$AB350),100)&gt;=1,MOD(INDEX(기본자료!$G$2:$G$1001,$AB350),100)&lt;=31),DATE(INT(INDEX(기본자료!$G$2:$G$1001,$AB350)/10000),INT(MOD(INDEX(기본자료!$G$2:$G$1001,$AB350),10000)/100),MOD(INDEX(기본자료!$G$2:$G$1001,$AB350),100)),INDEX(기본자료!$G$2:$G$1001,$AB350)&amp;"")))))</f>
        <v/>
      </c>
      <c r="J350" s="10">
        <f>IF($AB350="","",IF(INDEX(기본자료!$H$2:$H$1001,$AB350)="","",INDEX(기본자료!$H$2:$H$1001,$AB350)))</f>
        <v/>
      </c>
      <c r="K350" s="10">
        <f>IF($AB350="","",IF(INDEX(기본자료!$I$2:$I$1001,$AB350)="","",INDEX(기본자료!$I$2:$I$1001,$AB350)))</f>
        <v/>
      </c>
      <c r="L350" s="10">
        <f>IF($AB350="","",IF(INDEX(기본자료!$A$2:$A$1001,$AB350)="","",INDEX(기본자료!$A$2:$A$1001,$AB350)))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파견수련계획!$AB$4:$AB$803,$AK350),OR(NOT(ISNUMBER(INDEX(파견수련계획!$AC$4:$AC$803,$AK350))),TODAY()&lt;=INDEX(파견수련계획!$AC$4:$AC$803,$AK350))),"다기관",IF($AF350="","",INDEX(파견수련계획!$T$4:$T$803,$AF350))),IF($AF350="","",INDEX(파견수련계획!$T$4:$T$803,$AF350))))</f>
        <v/>
      </c>
      <c r="Q350" s="10">
        <f>IF($AF350="","",INDEX(파견수련계획!$S$4:$S$803,$AF350))</f>
        <v/>
      </c>
      <c r="R350" s="10">
        <f>IF($AF350="","",INDEX(파견수련계획!$U$4:$U$803,$AF350))</f>
        <v/>
      </c>
      <c r="S350" s="11">
        <f>IF($AF350="","",IF(INDEX(파견수련계획!$H$4:$H$803,$AF350)="","",INDEX(파견수련계획!$H$4:$H$803,$AF350)))</f>
        <v/>
      </c>
      <c r="T350" s="11">
        <f>IF($AF350="","",IF(INDEX(파견수련계획!$I$4:$I$803,$AF350)="","",INDEX(파견수련계획!$I$4:$I$803,$AF350)))</f>
        <v/>
      </c>
      <c r="U350" s="10">
        <f>IF($AF350="","",INDEX(파견수련계획!$X$4:$X$803,$AF350))</f>
        <v/>
      </c>
      <c r="V350" s="17">
        <f>IF($AF350="","",INDEX(파견수련계획!$V$4:$V$803,$AF350))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IF(OR($B350="",TRIM($J350&amp;"")=""),"",SUMPRODUCT((파견수련계획!$Q$4:$Q$803=TRIM($J350&amp;""))*파견수련계획!$W$4:$W$803))</f>
        <v/>
      </c>
      <c r="Y350" s="10">
        <f>IF($B350="","",IF($AG350="","",IF(IF(TRIM($J350&amp;"")="",0,SUMPRODUCT((파견수련계획!$Q$4:$Q$803=TRIM($J350&amp;""))*파견수련계획!$AD$4:$AD$803))&gt;0,$AE350,IF(N($X350)&lt;=0,$AG350,IF($AH350+$AI350=DAY(EOMONTH(요약!$B$3,0)),IF(AND($AH350&gt;=요약!$E$3,$AI350&lt;요약!$E$3),"서울병원",IF(AND($AI350&gt;=요약!$E$3,$AH350&lt;요약!$E$3),"구리병원","⚠15일 판정불가(서울 "&amp;$AH350&amp;"일/구리 "&amp;$AI350&amp;"일)")),IF($AJ350="",$AE350,IF(INDEX(파견수련계획!$T$4:$T$803,$AJ350)="통합수련",INDEX(파견수련계획!$S$4:$S$803,$AJ350),$AE350)))))))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입력",IF(IF(TRIM($J350&amp;"")="",0,SUMPRODUCT((파견수련계획!$Q$4:$Q$803=TRIM($J350&amp;""))*(파견수련계획!$AA$4:$AA$803&lt;&gt;"")))&gt;0,"파견수련계획 입력오류 확인",IF(LEFT($Y350,1)="⚠","서울·구리 15일 판정 불가(양쪽 모두 이상/미만)",IF(IF($AC350="",0,N(INDEX(인턴근무계획!$T$3:$T$402,$AC350)))&gt;0,"인턴계획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IF($B350="","",IFERROR(MATCH($B350,기본자료!$B$2:$B$1001,0),IFERROR(MATCH($B350&amp;"",기본자료!$B$2:$B$1001,0),IFERROR(MATCH(VALUE($B350),기본자료!$B$2:$B$1001,0),""))))</f>
        <v/>
      </c>
      <c r="AC350" s="10">
        <f>IF($B350="","",IFERROR(MATCH($B350,인턴근무계획!$D$3:$D$402,0),IFERROR(MATCH($B350&amp;"",인턴근무계획!$D$3:$D$402,0),IFERROR(MATCH(VALUE($B350),인턴근무계획!$D$3:$D$402,0),""))))</f>
        <v/>
      </c>
      <c r="AD350" s="10">
        <f>IF(OR($AC350="",인턴현황!$G$3=""),"",INDEX(인턴근무계획!$M$3:$R$402,$AC350,인턴현황!$G$3)&amp;"")</f>
        <v/>
      </c>
      <c r="AE350" s="10">
        <f>IF($B350="","",IF($M350&lt;&gt;"",$M350,IF($AF350&lt;&gt;"",IF(LEFT(INDEX(파견수련계획!$R$4:$R$803,$AF350),1)&lt;&gt;"⚠",INDEX(파견수련계획!$R$4:$R$803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파견수련계획!$Y$4:$Y$803,0),IFERROR(MATCH(TRIM($J350&amp;"")&amp;"|파견예정",파견수련계획!$Y$4:$Y$803,0),IFERROR(MATCH(TRIM($J350&amp;"")&amp;"|파견종료",파견수련계획!$Y$4:$Y$803,0),""))))</f>
        <v/>
      </c>
      <c r="AG350" s="10">
        <f>IF($B350="","",IF(AND(IF(OR($AC350="",인턴현황!$K$2=""),"",INDEX(인턴근무계획!$M$3:$R$402,$AC350,인턴현황!$K$2)&amp;"")&lt;&gt;"",LEFT(IF(OR($AC350="",인턴현황!$K$2=""),"",INDEX(인턴근무계획!$M$3:$R$402,$AC350,인턴현황!$K$2)&amp;""),1)&lt;&gt;"⚠"),LEFT(IF(OR($AC350="",인턴현황!$K$2=""),"",INDEX(인턴근무계획!$M$3:$R$402,$AC350,인턴현황!$K$2)&amp;""),FIND(" ",IF(OR($AC350="",인턴현황!$K$2=""),"",INDEX(인턴근무계획!$M$3:$R$402,$AC350,인턴현황!$K$2)&amp;""))-1),$AE350))</f>
        <v/>
      </c>
      <c r="AH350" s="17">
        <f>IF($B350="","",IF(TRIM($J350&amp;"")="",0,SUMPRODUCT((파견수련계획!$Q$4:$Q$803=TRIM($J350&amp;""))*(파견수련계획!$S$4:$S$803="서울병원")*파견수련계획!$W$4:$W$803))+IF($AG350="서울병원",MAX(0,DAY(EOMONTH(요약!$B$3,0))-N($X350)),0))</f>
        <v/>
      </c>
      <c r="AI350" s="17">
        <f>IF($B350="","",IF(TRIM($J350&amp;"")="",0,SUMPRODUCT((파견수련계획!$Q$4:$Q$803=TRIM($J350&amp;""))*(파견수련계획!$S$4:$S$803="구리병원")*파견수련계획!$W$4:$W$803))+IF($AG350="구리병원",MAX(0,DAY(EOMONTH(요약!$B$3,0))-N($X350)),0))</f>
        <v/>
      </c>
      <c r="AJ350" s="10">
        <f>IF(OR($B350="",TRIM($J350&amp;"")=""),"",IFERROR(MATCH(TRIM($J350&amp;"")&amp;"|월",파견수련계획!$Z$4:$Z$803,0),""))</f>
        <v/>
      </c>
      <c r="AK350" s="10">
        <f>IF(OR($B350="",TRIM($J350&amp;"")=""),"",IFERROR(MATCH(TRIM($J350&amp;"")&amp;"|다기관",파견수련계획!$AE$4:$AE$803,0),""))</f>
        <v/>
      </c>
      <c r="AL350" s="10">
        <f>IF($AK350="","","다기관 "&amp;TEXT(INDEX(파견수련계획!$AB$4:$AB$803,$AK350),"yyyy-mm-dd")&amp;"~"&amp;IF(ISNUMBER(INDEX(파견수련계획!$AC$4:$AC$803,$AK350)),TEXT(INDEX(파견수련계획!$AC$4:$AC$803,$AK350),"yyyy-mm-dd"),""))</f>
        <v/>
      </c>
    </row>
    <row r="351">
      <c r="A351" s="10">
        <f>IF(B351="","",ROW()-1)</f>
        <v/>
      </c>
      <c r="B351" s="18" t="n"/>
      <c r="C351" s="10">
        <f>IF($AB351="","",IF(INDEX(기본자료!$C$2:$C$1001,$AB351)="","",INDEX(기본자료!$C$2:$C$1001,$AB351)))</f>
        <v/>
      </c>
      <c r="D351" s="10">
        <f>IF($AB351="","",IF(INDEX(기본자료!$J$2:$J$1001,$AB351)="","",INDEX(기본자료!$J$2:$J$1001,$AB351)))</f>
        <v/>
      </c>
      <c r="E351" s="11">
        <f>IF($AB351="","",IF(INDEX(기본자료!$K$2:$K$1001,$AB351)="","",IF(NOT(ISNUMBER(INDEX(기본자료!$K$2:$K$1001,$AB351))),INDEX(기본자료!$K$2:$K$1001,$AB351),IF(INDEX(기본자료!$K$2:$K$1001,$AB351)&lt;1000000,INDEX(기본자료!$K$2:$K$1001,$AB351),IF(AND(INDEX(기본자료!$K$2:$K$1001,$AB351)&gt;=10000101,INT(MOD(INDEX(기본자료!$K$2:$K$1001,$AB351),10000)/100)&gt;=1,INT(MOD(INDEX(기본자료!$K$2:$K$1001,$AB351),10000)/100)&lt;=12,MOD(INDEX(기본자료!$K$2:$K$1001,$AB351),100)&gt;=1,MOD(INDEX(기본자료!$K$2:$K$1001,$AB351),100)&lt;=31),DATE(INT(INDEX(기본자료!$K$2:$K$1001,$AB351)/10000),INT(MOD(INDEX(기본자료!$K$2:$K$1001,$AB351),10000)/100),MOD(INDEX(기본자료!$K$2:$K$1001,$AB351),100)),INDEX(기본자료!$K$2:$K$1001,$AB351)&amp;"")))))</f>
        <v/>
      </c>
      <c r="F351" s="10">
        <f>IF($AB351="","",IF(INDEX(기본자료!$D$2:$D$1001,$AB351)="","",INDEX(기본자료!$D$2:$D$1001,$AB351)))</f>
        <v/>
      </c>
      <c r="G351" s="10">
        <f>IF($AB351="","",IF(INDEX(기본자료!$E$2:$E$1001,$AB351)="","",INDEX(기본자료!$E$2:$E$1001,$AB351)))</f>
        <v/>
      </c>
      <c r="H351" s="10">
        <f>IF($AB351="","",IF(INDEX(기본자료!$F$2:$F$1001,$AB351)="","",INDEX(기본자료!$F$2:$F$1001,$AB351)))</f>
        <v/>
      </c>
      <c r="I351" s="11">
        <f>IF($AB351="","",IF(INDEX(기본자료!$G$2:$G$1001,$AB351)="","",IF(NOT(ISNUMBER(INDEX(기본자료!$G$2:$G$1001,$AB351))),INDEX(기본자료!$G$2:$G$1001,$AB351),IF(INDEX(기본자료!$G$2:$G$1001,$AB351)&lt;1000000,INDEX(기본자료!$G$2:$G$1001,$AB351),IF(AND(INDEX(기본자료!$G$2:$G$1001,$AB351)&gt;=10000101,INT(MOD(INDEX(기본자료!$G$2:$G$1001,$AB351),10000)/100)&gt;=1,INT(MOD(INDEX(기본자료!$G$2:$G$1001,$AB351),10000)/100)&lt;=12,MOD(INDEX(기본자료!$G$2:$G$1001,$AB351),100)&gt;=1,MOD(INDEX(기본자료!$G$2:$G$1001,$AB351),100)&lt;=31),DATE(INT(INDEX(기본자료!$G$2:$G$1001,$AB351)/10000),INT(MOD(INDEX(기본자료!$G$2:$G$1001,$AB351),10000)/100),MOD(INDEX(기본자료!$G$2:$G$1001,$AB351),100)),INDEX(기본자료!$G$2:$G$1001,$AB351)&amp;"")))))</f>
        <v/>
      </c>
      <c r="J351" s="10">
        <f>IF($AB351="","",IF(INDEX(기본자료!$H$2:$H$1001,$AB351)="","",INDEX(기본자료!$H$2:$H$1001,$AB351)))</f>
        <v/>
      </c>
      <c r="K351" s="10">
        <f>IF($AB351="","",IF(INDEX(기본자료!$I$2:$I$1001,$AB351)="","",INDEX(기본자료!$I$2:$I$1001,$AB351)))</f>
        <v/>
      </c>
      <c r="L351" s="10">
        <f>IF($AB351="","",IF(INDEX(기본자료!$A$2:$A$1001,$AB351)="","",INDEX(기본자료!$A$2:$A$1001,$AB351)))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파견수련계획!$AB$4:$AB$803,$AK351),OR(NOT(ISNUMBER(INDEX(파견수련계획!$AC$4:$AC$803,$AK351))),TODAY()&lt;=INDEX(파견수련계획!$AC$4:$AC$803,$AK351))),"다기관",IF($AF351="","",INDEX(파견수련계획!$T$4:$T$803,$AF351))),IF($AF351="","",INDEX(파견수련계획!$T$4:$T$803,$AF351))))</f>
        <v/>
      </c>
      <c r="Q351" s="10">
        <f>IF($AF351="","",INDEX(파견수련계획!$S$4:$S$803,$AF351))</f>
        <v/>
      </c>
      <c r="R351" s="10">
        <f>IF($AF351="","",INDEX(파견수련계획!$U$4:$U$803,$AF351))</f>
        <v/>
      </c>
      <c r="S351" s="11">
        <f>IF($AF351="","",IF(INDEX(파견수련계획!$H$4:$H$803,$AF351)="","",INDEX(파견수련계획!$H$4:$H$803,$AF351)))</f>
        <v/>
      </c>
      <c r="T351" s="11">
        <f>IF($AF351="","",IF(INDEX(파견수련계획!$I$4:$I$803,$AF351)="","",INDEX(파견수련계획!$I$4:$I$803,$AF351)))</f>
        <v/>
      </c>
      <c r="U351" s="10">
        <f>IF($AF351="","",INDEX(파견수련계획!$X$4:$X$803,$AF351))</f>
        <v/>
      </c>
      <c r="V351" s="17">
        <f>IF($AF351="","",INDEX(파견수련계획!$V$4:$V$803,$AF351))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IF(OR($B351="",TRIM($J351&amp;"")=""),"",SUMPRODUCT((파견수련계획!$Q$4:$Q$803=TRIM($J351&amp;""))*파견수련계획!$W$4:$W$803))</f>
        <v/>
      </c>
      <c r="Y351" s="10">
        <f>IF($B351="","",IF($AG351="","",IF(IF(TRIM($J351&amp;"")="",0,SUMPRODUCT((파견수련계획!$Q$4:$Q$803=TRIM($J351&amp;""))*파견수련계획!$AD$4:$AD$803))&gt;0,$AE351,IF(N($X351)&lt;=0,$AG351,IF($AH351+$AI351=DAY(EOMONTH(요약!$B$3,0)),IF(AND($AH351&gt;=요약!$E$3,$AI351&lt;요약!$E$3),"서울병원",IF(AND($AI351&gt;=요약!$E$3,$AH351&lt;요약!$E$3),"구리병원","⚠15일 판정불가(서울 "&amp;$AH351&amp;"일/구리 "&amp;$AI351&amp;"일)")),IF($AJ351="",$AE351,IF(INDEX(파견수련계획!$T$4:$T$803,$AJ351)="통합수련",INDEX(파견수련계획!$S$4:$S$803,$AJ351),$AE351)))))))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입력",IF(IF(TRIM($J351&amp;"")="",0,SUMPRODUCT((파견수련계획!$Q$4:$Q$803=TRIM($J351&amp;""))*(파견수련계획!$AA$4:$AA$803&lt;&gt;"")))&gt;0,"파견수련계획 입력오류 확인",IF(LEFT($Y351,1)="⚠","서울·구리 15일 판정 불가(양쪽 모두 이상/미만)",IF(IF($AC351="",0,N(INDEX(인턴근무계획!$T$3:$T$402,$AC351)))&gt;0,"인턴계획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IF($B351="","",IFERROR(MATCH($B351,기본자료!$B$2:$B$1001,0),IFERROR(MATCH($B351&amp;"",기본자료!$B$2:$B$1001,0),IFERROR(MATCH(VALUE($B351),기본자료!$B$2:$B$1001,0),""))))</f>
        <v/>
      </c>
      <c r="AC351" s="10">
        <f>IF($B351="","",IFERROR(MATCH($B351,인턴근무계획!$D$3:$D$402,0),IFERROR(MATCH($B351&amp;"",인턴근무계획!$D$3:$D$402,0),IFERROR(MATCH(VALUE($B351),인턴근무계획!$D$3:$D$402,0),""))))</f>
        <v/>
      </c>
      <c r="AD351" s="10">
        <f>IF(OR($AC351="",인턴현황!$G$3=""),"",INDEX(인턴근무계획!$M$3:$R$402,$AC351,인턴현황!$G$3)&amp;"")</f>
        <v/>
      </c>
      <c r="AE351" s="10">
        <f>IF($B351="","",IF($M351&lt;&gt;"",$M351,IF($AF351&lt;&gt;"",IF(LEFT(INDEX(파견수련계획!$R$4:$R$803,$AF351),1)&lt;&gt;"⚠",INDEX(파견수련계획!$R$4:$R$803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파견수련계획!$Y$4:$Y$803,0),IFERROR(MATCH(TRIM($J351&amp;"")&amp;"|파견예정",파견수련계획!$Y$4:$Y$803,0),IFERROR(MATCH(TRIM($J351&amp;"")&amp;"|파견종료",파견수련계획!$Y$4:$Y$803,0),""))))</f>
        <v/>
      </c>
      <c r="AG351" s="10">
        <f>IF($B351="","",IF(AND(IF(OR($AC351="",인턴현황!$K$2=""),"",INDEX(인턴근무계획!$M$3:$R$402,$AC351,인턴현황!$K$2)&amp;"")&lt;&gt;"",LEFT(IF(OR($AC351="",인턴현황!$K$2=""),"",INDEX(인턴근무계획!$M$3:$R$402,$AC351,인턴현황!$K$2)&amp;""),1)&lt;&gt;"⚠"),LEFT(IF(OR($AC351="",인턴현황!$K$2=""),"",INDEX(인턴근무계획!$M$3:$R$402,$AC351,인턴현황!$K$2)&amp;""),FIND(" ",IF(OR($AC351="",인턴현황!$K$2=""),"",INDEX(인턴근무계획!$M$3:$R$402,$AC351,인턴현황!$K$2)&amp;""))-1),$AE351))</f>
        <v/>
      </c>
      <c r="AH351" s="17">
        <f>IF($B351="","",IF(TRIM($J351&amp;"")="",0,SUMPRODUCT((파견수련계획!$Q$4:$Q$803=TRIM($J351&amp;""))*(파견수련계획!$S$4:$S$803="서울병원")*파견수련계획!$W$4:$W$803))+IF($AG351="서울병원",MAX(0,DAY(EOMONTH(요약!$B$3,0))-N($X351)),0))</f>
        <v/>
      </c>
      <c r="AI351" s="17">
        <f>IF($B351="","",IF(TRIM($J351&amp;"")="",0,SUMPRODUCT((파견수련계획!$Q$4:$Q$803=TRIM($J351&amp;""))*(파견수련계획!$S$4:$S$803="구리병원")*파견수련계획!$W$4:$W$803))+IF($AG351="구리병원",MAX(0,DAY(EOMONTH(요약!$B$3,0))-N($X351)),0))</f>
        <v/>
      </c>
      <c r="AJ351" s="10">
        <f>IF(OR($B351="",TRIM($J351&amp;"")=""),"",IFERROR(MATCH(TRIM($J351&amp;"")&amp;"|월",파견수련계획!$Z$4:$Z$803,0),""))</f>
        <v/>
      </c>
      <c r="AK351" s="10">
        <f>IF(OR($B351="",TRIM($J351&amp;"")=""),"",IFERROR(MATCH(TRIM($J351&amp;"")&amp;"|다기관",파견수련계획!$AE$4:$AE$803,0),""))</f>
        <v/>
      </c>
      <c r="AL351" s="10">
        <f>IF($AK351="","","다기관 "&amp;TEXT(INDEX(파견수련계획!$AB$4:$AB$803,$AK351),"yyyy-mm-dd")&amp;"~"&amp;IF(ISNUMBER(INDEX(파견수련계획!$AC$4:$AC$803,$AK351)),TEXT(INDEX(파견수련계획!$AC$4:$AC$803,$AK351),"yyyy-mm-dd"),""))</f>
        <v/>
      </c>
    </row>
    <row r="352">
      <c r="A352" s="10">
        <f>IF(B352="","",ROW()-1)</f>
        <v/>
      </c>
      <c r="B352" s="18" t="n"/>
      <c r="C352" s="10">
        <f>IF($AB352="","",IF(INDEX(기본자료!$C$2:$C$1001,$AB352)="","",INDEX(기본자료!$C$2:$C$1001,$AB352)))</f>
        <v/>
      </c>
      <c r="D352" s="10">
        <f>IF($AB352="","",IF(INDEX(기본자료!$J$2:$J$1001,$AB352)="","",INDEX(기본자료!$J$2:$J$1001,$AB352)))</f>
        <v/>
      </c>
      <c r="E352" s="11">
        <f>IF($AB352="","",IF(INDEX(기본자료!$K$2:$K$1001,$AB352)="","",IF(NOT(ISNUMBER(INDEX(기본자료!$K$2:$K$1001,$AB352))),INDEX(기본자료!$K$2:$K$1001,$AB352),IF(INDEX(기본자료!$K$2:$K$1001,$AB352)&lt;1000000,INDEX(기본자료!$K$2:$K$1001,$AB352),IF(AND(INDEX(기본자료!$K$2:$K$1001,$AB352)&gt;=10000101,INT(MOD(INDEX(기본자료!$K$2:$K$1001,$AB352),10000)/100)&gt;=1,INT(MOD(INDEX(기본자료!$K$2:$K$1001,$AB352),10000)/100)&lt;=12,MOD(INDEX(기본자료!$K$2:$K$1001,$AB352),100)&gt;=1,MOD(INDEX(기본자료!$K$2:$K$1001,$AB352),100)&lt;=31),DATE(INT(INDEX(기본자료!$K$2:$K$1001,$AB352)/10000),INT(MOD(INDEX(기본자료!$K$2:$K$1001,$AB352),10000)/100),MOD(INDEX(기본자료!$K$2:$K$1001,$AB352),100)),INDEX(기본자료!$K$2:$K$1001,$AB352)&amp;"")))))</f>
        <v/>
      </c>
      <c r="F352" s="10">
        <f>IF($AB352="","",IF(INDEX(기본자료!$D$2:$D$1001,$AB352)="","",INDEX(기본자료!$D$2:$D$1001,$AB352)))</f>
        <v/>
      </c>
      <c r="G352" s="10">
        <f>IF($AB352="","",IF(INDEX(기본자료!$E$2:$E$1001,$AB352)="","",INDEX(기본자료!$E$2:$E$1001,$AB352)))</f>
        <v/>
      </c>
      <c r="H352" s="10">
        <f>IF($AB352="","",IF(INDEX(기본자료!$F$2:$F$1001,$AB352)="","",INDEX(기본자료!$F$2:$F$1001,$AB352)))</f>
        <v/>
      </c>
      <c r="I352" s="11">
        <f>IF($AB352="","",IF(INDEX(기본자료!$G$2:$G$1001,$AB352)="","",IF(NOT(ISNUMBER(INDEX(기본자료!$G$2:$G$1001,$AB352))),INDEX(기본자료!$G$2:$G$1001,$AB352),IF(INDEX(기본자료!$G$2:$G$1001,$AB352)&lt;1000000,INDEX(기본자료!$G$2:$G$1001,$AB352),IF(AND(INDEX(기본자료!$G$2:$G$1001,$AB352)&gt;=10000101,INT(MOD(INDEX(기본자료!$G$2:$G$1001,$AB352),10000)/100)&gt;=1,INT(MOD(INDEX(기본자료!$G$2:$G$1001,$AB352),10000)/100)&lt;=12,MOD(INDEX(기본자료!$G$2:$G$1001,$AB352),100)&gt;=1,MOD(INDEX(기본자료!$G$2:$G$1001,$AB352),100)&lt;=31),DATE(INT(INDEX(기본자료!$G$2:$G$1001,$AB352)/10000),INT(MOD(INDEX(기본자료!$G$2:$G$1001,$AB352),10000)/100),MOD(INDEX(기본자료!$G$2:$G$1001,$AB352),100)),INDEX(기본자료!$G$2:$G$1001,$AB352)&amp;"")))))</f>
        <v/>
      </c>
      <c r="J352" s="10">
        <f>IF($AB352="","",IF(INDEX(기본자료!$H$2:$H$1001,$AB352)="","",INDEX(기본자료!$H$2:$H$1001,$AB352)))</f>
        <v/>
      </c>
      <c r="K352" s="10">
        <f>IF($AB352="","",IF(INDEX(기본자료!$I$2:$I$1001,$AB352)="","",INDEX(기본자료!$I$2:$I$1001,$AB352)))</f>
        <v/>
      </c>
      <c r="L352" s="10">
        <f>IF($AB352="","",IF(INDEX(기본자료!$A$2:$A$1001,$AB352)="","",INDEX(기본자료!$A$2:$A$1001,$AB352)))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파견수련계획!$AB$4:$AB$803,$AK352),OR(NOT(ISNUMBER(INDEX(파견수련계획!$AC$4:$AC$803,$AK352))),TODAY()&lt;=INDEX(파견수련계획!$AC$4:$AC$803,$AK352))),"다기관",IF($AF352="","",INDEX(파견수련계획!$T$4:$T$803,$AF352))),IF($AF352="","",INDEX(파견수련계획!$T$4:$T$803,$AF352))))</f>
        <v/>
      </c>
      <c r="Q352" s="10">
        <f>IF($AF352="","",INDEX(파견수련계획!$S$4:$S$803,$AF352))</f>
        <v/>
      </c>
      <c r="R352" s="10">
        <f>IF($AF352="","",INDEX(파견수련계획!$U$4:$U$803,$AF352))</f>
        <v/>
      </c>
      <c r="S352" s="11">
        <f>IF($AF352="","",IF(INDEX(파견수련계획!$H$4:$H$803,$AF352)="","",INDEX(파견수련계획!$H$4:$H$803,$AF352)))</f>
        <v/>
      </c>
      <c r="T352" s="11">
        <f>IF($AF352="","",IF(INDEX(파견수련계획!$I$4:$I$803,$AF352)="","",INDEX(파견수련계획!$I$4:$I$803,$AF352)))</f>
        <v/>
      </c>
      <c r="U352" s="10">
        <f>IF($AF352="","",INDEX(파견수련계획!$X$4:$X$803,$AF352))</f>
        <v/>
      </c>
      <c r="V352" s="17">
        <f>IF($AF352="","",INDEX(파견수련계획!$V$4:$V$803,$AF352))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IF(OR($B352="",TRIM($J352&amp;"")=""),"",SUMPRODUCT((파견수련계획!$Q$4:$Q$803=TRIM($J352&amp;""))*파견수련계획!$W$4:$W$803))</f>
        <v/>
      </c>
      <c r="Y352" s="10">
        <f>IF($B352="","",IF($AG352="","",IF(IF(TRIM($J352&amp;"")="",0,SUMPRODUCT((파견수련계획!$Q$4:$Q$803=TRIM($J352&amp;""))*파견수련계획!$AD$4:$AD$803))&gt;0,$AE352,IF(N($X352)&lt;=0,$AG352,IF($AH352+$AI352=DAY(EOMONTH(요약!$B$3,0)),IF(AND($AH352&gt;=요약!$E$3,$AI352&lt;요약!$E$3),"서울병원",IF(AND($AI352&gt;=요약!$E$3,$AH352&lt;요약!$E$3),"구리병원","⚠15일 판정불가(서울 "&amp;$AH352&amp;"일/구리 "&amp;$AI352&amp;"일)")),IF($AJ352="",$AE352,IF(INDEX(파견수련계획!$T$4:$T$803,$AJ352)="통합수련",INDEX(파견수련계획!$S$4:$S$803,$AJ352),$AE352)))))))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입력",IF(IF(TRIM($J352&amp;"")="",0,SUMPRODUCT((파견수련계획!$Q$4:$Q$803=TRIM($J352&amp;""))*(파견수련계획!$AA$4:$AA$803&lt;&gt;"")))&gt;0,"파견수련계획 입력오류 확인",IF(LEFT($Y352,1)="⚠","서울·구리 15일 판정 불가(양쪽 모두 이상/미만)",IF(IF($AC352="",0,N(INDEX(인턴근무계획!$T$3:$T$402,$AC352)))&gt;0,"인턴계획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IF($B352="","",IFERROR(MATCH($B352,기본자료!$B$2:$B$1001,0),IFERROR(MATCH($B352&amp;"",기본자료!$B$2:$B$1001,0),IFERROR(MATCH(VALUE($B352),기본자료!$B$2:$B$1001,0),""))))</f>
        <v/>
      </c>
      <c r="AC352" s="10">
        <f>IF($B352="","",IFERROR(MATCH($B352,인턴근무계획!$D$3:$D$402,0),IFERROR(MATCH($B352&amp;"",인턴근무계획!$D$3:$D$402,0),IFERROR(MATCH(VALUE($B352),인턴근무계획!$D$3:$D$402,0),""))))</f>
        <v/>
      </c>
      <c r="AD352" s="10">
        <f>IF(OR($AC352="",인턴현황!$G$3=""),"",INDEX(인턴근무계획!$M$3:$R$402,$AC352,인턴현황!$G$3)&amp;"")</f>
        <v/>
      </c>
      <c r="AE352" s="10">
        <f>IF($B352="","",IF($M352&lt;&gt;"",$M352,IF($AF352&lt;&gt;"",IF(LEFT(INDEX(파견수련계획!$R$4:$R$803,$AF352),1)&lt;&gt;"⚠",INDEX(파견수련계획!$R$4:$R$803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파견수련계획!$Y$4:$Y$803,0),IFERROR(MATCH(TRIM($J352&amp;"")&amp;"|파견예정",파견수련계획!$Y$4:$Y$803,0),IFERROR(MATCH(TRIM($J352&amp;"")&amp;"|파견종료",파견수련계획!$Y$4:$Y$803,0),""))))</f>
        <v/>
      </c>
      <c r="AG352" s="10">
        <f>IF($B352="","",IF(AND(IF(OR($AC352="",인턴현황!$K$2=""),"",INDEX(인턴근무계획!$M$3:$R$402,$AC352,인턴현황!$K$2)&amp;"")&lt;&gt;"",LEFT(IF(OR($AC352="",인턴현황!$K$2=""),"",INDEX(인턴근무계획!$M$3:$R$402,$AC352,인턴현황!$K$2)&amp;""),1)&lt;&gt;"⚠"),LEFT(IF(OR($AC352="",인턴현황!$K$2=""),"",INDEX(인턴근무계획!$M$3:$R$402,$AC352,인턴현황!$K$2)&amp;""),FIND(" ",IF(OR($AC352="",인턴현황!$K$2=""),"",INDEX(인턴근무계획!$M$3:$R$402,$AC352,인턴현황!$K$2)&amp;""))-1),$AE352))</f>
        <v/>
      </c>
      <c r="AH352" s="17">
        <f>IF($B352="","",IF(TRIM($J352&amp;"")="",0,SUMPRODUCT((파견수련계획!$Q$4:$Q$803=TRIM($J352&amp;""))*(파견수련계획!$S$4:$S$803="서울병원")*파견수련계획!$W$4:$W$803))+IF($AG352="서울병원",MAX(0,DAY(EOMONTH(요약!$B$3,0))-N($X352)),0))</f>
        <v/>
      </c>
      <c r="AI352" s="17">
        <f>IF($B352="","",IF(TRIM($J352&amp;"")="",0,SUMPRODUCT((파견수련계획!$Q$4:$Q$803=TRIM($J352&amp;""))*(파견수련계획!$S$4:$S$803="구리병원")*파견수련계획!$W$4:$W$803))+IF($AG352="구리병원",MAX(0,DAY(EOMONTH(요약!$B$3,0))-N($X352)),0))</f>
        <v/>
      </c>
      <c r="AJ352" s="10">
        <f>IF(OR($B352="",TRIM($J352&amp;"")=""),"",IFERROR(MATCH(TRIM($J352&amp;"")&amp;"|월",파견수련계획!$Z$4:$Z$803,0),""))</f>
        <v/>
      </c>
      <c r="AK352" s="10">
        <f>IF(OR($B352="",TRIM($J352&amp;"")=""),"",IFERROR(MATCH(TRIM($J352&amp;"")&amp;"|다기관",파견수련계획!$AE$4:$AE$803,0),""))</f>
        <v/>
      </c>
      <c r="AL352" s="10">
        <f>IF($AK352="","","다기관 "&amp;TEXT(INDEX(파견수련계획!$AB$4:$AB$803,$AK352),"yyyy-mm-dd")&amp;"~"&amp;IF(ISNUMBER(INDEX(파견수련계획!$AC$4:$AC$803,$AK352)),TEXT(INDEX(파견수련계획!$AC$4:$AC$803,$AK352),"yyyy-mm-dd"),""))</f>
        <v/>
      </c>
    </row>
    <row r="353">
      <c r="A353" s="10">
        <f>IF(B353="","",ROW()-1)</f>
        <v/>
      </c>
      <c r="B353" s="18" t="n"/>
      <c r="C353" s="10">
        <f>IF($AB353="","",IF(INDEX(기본자료!$C$2:$C$1001,$AB353)="","",INDEX(기본자료!$C$2:$C$1001,$AB353)))</f>
        <v/>
      </c>
      <c r="D353" s="10">
        <f>IF($AB353="","",IF(INDEX(기본자료!$J$2:$J$1001,$AB353)="","",INDEX(기본자료!$J$2:$J$1001,$AB353)))</f>
        <v/>
      </c>
      <c r="E353" s="11">
        <f>IF($AB353="","",IF(INDEX(기본자료!$K$2:$K$1001,$AB353)="","",IF(NOT(ISNUMBER(INDEX(기본자료!$K$2:$K$1001,$AB353))),INDEX(기본자료!$K$2:$K$1001,$AB353),IF(INDEX(기본자료!$K$2:$K$1001,$AB353)&lt;1000000,INDEX(기본자료!$K$2:$K$1001,$AB353),IF(AND(INDEX(기본자료!$K$2:$K$1001,$AB353)&gt;=10000101,INT(MOD(INDEX(기본자료!$K$2:$K$1001,$AB353),10000)/100)&gt;=1,INT(MOD(INDEX(기본자료!$K$2:$K$1001,$AB353),10000)/100)&lt;=12,MOD(INDEX(기본자료!$K$2:$K$1001,$AB353),100)&gt;=1,MOD(INDEX(기본자료!$K$2:$K$1001,$AB353),100)&lt;=31),DATE(INT(INDEX(기본자료!$K$2:$K$1001,$AB353)/10000),INT(MOD(INDEX(기본자료!$K$2:$K$1001,$AB353),10000)/100),MOD(INDEX(기본자료!$K$2:$K$1001,$AB353),100)),INDEX(기본자료!$K$2:$K$1001,$AB353)&amp;"")))))</f>
        <v/>
      </c>
      <c r="F353" s="10">
        <f>IF($AB353="","",IF(INDEX(기본자료!$D$2:$D$1001,$AB353)="","",INDEX(기본자료!$D$2:$D$1001,$AB353)))</f>
        <v/>
      </c>
      <c r="G353" s="10">
        <f>IF($AB353="","",IF(INDEX(기본자료!$E$2:$E$1001,$AB353)="","",INDEX(기본자료!$E$2:$E$1001,$AB353)))</f>
        <v/>
      </c>
      <c r="H353" s="10">
        <f>IF($AB353="","",IF(INDEX(기본자료!$F$2:$F$1001,$AB353)="","",INDEX(기본자료!$F$2:$F$1001,$AB353)))</f>
        <v/>
      </c>
      <c r="I353" s="11">
        <f>IF($AB353="","",IF(INDEX(기본자료!$G$2:$G$1001,$AB353)="","",IF(NOT(ISNUMBER(INDEX(기본자료!$G$2:$G$1001,$AB353))),INDEX(기본자료!$G$2:$G$1001,$AB353),IF(INDEX(기본자료!$G$2:$G$1001,$AB353)&lt;1000000,INDEX(기본자료!$G$2:$G$1001,$AB353),IF(AND(INDEX(기본자료!$G$2:$G$1001,$AB353)&gt;=10000101,INT(MOD(INDEX(기본자료!$G$2:$G$1001,$AB353),10000)/100)&gt;=1,INT(MOD(INDEX(기본자료!$G$2:$G$1001,$AB353),10000)/100)&lt;=12,MOD(INDEX(기본자료!$G$2:$G$1001,$AB353),100)&gt;=1,MOD(INDEX(기본자료!$G$2:$G$1001,$AB353),100)&lt;=31),DATE(INT(INDEX(기본자료!$G$2:$G$1001,$AB353)/10000),INT(MOD(INDEX(기본자료!$G$2:$G$1001,$AB353),10000)/100),MOD(INDEX(기본자료!$G$2:$G$1001,$AB353),100)),INDEX(기본자료!$G$2:$G$1001,$AB353)&amp;"")))))</f>
        <v/>
      </c>
      <c r="J353" s="10">
        <f>IF($AB353="","",IF(INDEX(기본자료!$H$2:$H$1001,$AB353)="","",INDEX(기본자료!$H$2:$H$1001,$AB353)))</f>
        <v/>
      </c>
      <c r="K353" s="10">
        <f>IF($AB353="","",IF(INDEX(기본자료!$I$2:$I$1001,$AB353)="","",INDEX(기본자료!$I$2:$I$1001,$AB353)))</f>
        <v/>
      </c>
      <c r="L353" s="10">
        <f>IF($AB353="","",IF(INDEX(기본자료!$A$2:$A$1001,$AB353)="","",INDEX(기본자료!$A$2:$A$1001,$AB353)))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파견수련계획!$AB$4:$AB$803,$AK353),OR(NOT(ISNUMBER(INDEX(파견수련계획!$AC$4:$AC$803,$AK353))),TODAY()&lt;=INDEX(파견수련계획!$AC$4:$AC$803,$AK353))),"다기관",IF($AF353="","",INDEX(파견수련계획!$T$4:$T$803,$AF353))),IF($AF353="","",INDEX(파견수련계획!$T$4:$T$803,$AF353))))</f>
        <v/>
      </c>
      <c r="Q353" s="10">
        <f>IF($AF353="","",INDEX(파견수련계획!$S$4:$S$803,$AF353))</f>
        <v/>
      </c>
      <c r="R353" s="10">
        <f>IF($AF353="","",INDEX(파견수련계획!$U$4:$U$803,$AF353))</f>
        <v/>
      </c>
      <c r="S353" s="11">
        <f>IF($AF353="","",IF(INDEX(파견수련계획!$H$4:$H$803,$AF353)="","",INDEX(파견수련계획!$H$4:$H$803,$AF353)))</f>
        <v/>
      </c>
      <c r="T353" s="11">
        <f>IF($AF353="","",IF(INDEX(파견수련계획!$I$4:$I$803,$AF353)="","",INDEX(파견수련계획!$I$4:$I$803,$AF353)))</f>
        <v/>
      </c>
      <c r="U353" s="10">
        <f>IF($AF353="","",INDEX(파견수련계획!$X$4:$X$803,$AF353))</f>
        <v/>
      </c>
      <c r="V353" s="17">
        <f>IF($AF353="","",INDEX(파견수련계획!$V$4:$V$803,$AF353))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IF(OR($B353="",TRIM($J353&amp;"")=""),"",SUMPRODUCT((파견수련계획!$Q$4:$Q$803=TRIM($J353&amp;""))*파견수련계획!$W$4:$W$803))</f>
        <v/>
      </c>
      <c r="Y353" s="10">
        <f>IF($B353="","",IF($AG353="","",IF(IF(TRIM($J353&amp;"")="",0,SUMPRODUCT((파견수련계획!$Q$4:$Q$803=TRIM($J353&amp;""))*파견수련계획!$AD$4:$AD$803))&gt;0,$AE353,IF(N($X353)&lt;=0,$AG353,IF($AH353+$AI353=DAY(EOMONTH(요약!$B$3,0)),IF(AND($AH353&gt;=요약!$E$3,$AI353&lt;요약!$E$3),"서울병원",IF(AND($AI353&gt;=요약!$E$3,$AH353&lt;요약!$E$3),"구리병원","⚠15일 판정불가(서울 "&amp;$AH353&amp;"일/구리 "&amp;$AI353&amp;"일)")),IF($AJ353="",$AE353,IF(INDEX(파견수련계획!$T$4:$T$803,$AJ353)="통합수련",INDEX(파견수련계획!$S$4:$S$803,$AJ353),$AE353)))))))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입력",IF(IF(TRIM($J353&amp;"")="",0,SUMPRODUCT((파견수련계획!$Q$4:$Q$803=TRIM($J353&amp;""))*(파견수련계획!$AA$4:$AA$803&lt;&gt;"")))&gt;0,"파견수련계획 입력오류 확인",IF(LEFT($Y353,1)="⚠","서울·구리 15일 판정 불가(양쪽 모두 이상/미만)",IF(IF($AC353="",0,N(INDEX(인턴근무계획!$T$3:$T$402,$AC353)))&gt;0,"인턴계획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IF($B353="","",IFERROR(MATCH($B353,기본자료!$B$2:$B$1001,0),IFERROR(MATCH($B353&amp;"",기본자료!$B$2:$B$1001,0),IFERROR(MATCH(VALUE($B353),기본자료!$B$2:$B$1001,0),""))))</f>
        <v/>
      </c>
      <c r="AC353" s="10">
        <f>IF($B353="","",IFERROR(MATCH($B353,인턴근무계획!$D$3:$D$402,0),IFERROR(MATCH($B353&amp;"",인턴근무계획!$D$3:$D$402,0),IFERROR(MATCH(VALUE($B353),인턴근무계획!$D$3:$D$402,0),""))))</f>
        <v/>
      </c>
      <c r="AD353" s="10">
        <f>IF(OR($AC353="",인턴현황!$G$3=""),"",INDEX(인턴근무계획!$M$3:$R$402,$AC353,인턴현황!$G$3)&amp;"")</f>
        <v/>
      </c>
      <c r="AE353" s="10">
        <f>IF($B353="","",IF($M353&lt;&gt;"",$M353,IF($AF353&lt;&gt;"",IF(LEFT(INDEX(파견수련계획!$R$4:$R$803,$AF353),1)&lt;&gt;"⚠",INDEX(파견수련계획!$R$4:$R$803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파견수련계획!$Y$4:$Y$803,0),IFERROR(MATCH(TRIM($J353&amp;"")&amp;"|파견예정",파견수련계획!$Y$4:$Y$803,0),IFERROR(MATCH(TRIM($J353&amp;"")&amp;"|파견종료",파견수련계획!$Y$4:$Y$803,0),""))))</f>
        <v/>
      </c>
      <c r="AG353" s="10">
        <f>IF($B353="","",IF(AND(IF(OR($AC353="",인턴현황!$K$2=""),"",INDEX(인턴근무계획!$M$3:$R$402,$AC353,인턴현황!$K$2)&amp;"")&lt;&gt;"",LEFT(IF(OR($AC353="",인턴현황!$K$2=""),"",INDEX(인턴근무계획!$M$3:$R$402,$AC353,인턴현황!$K$2)&amp;""),1)&lt;&gt;"⚠"),LEFT(IF(OR($AC353="",인턴현황!$K$2=""),"",INDEX(인턴근무계획!$M$3:$R$402,$AC353,인턴현황!$K$2)&amp;""),FIND(" ",IF(OR($AC353="",인턴현황!$K$2=""),"",INDEX(인턴근무계획!$M$3:$R$402,$AC353,인턴현황!$K$2)&amp;""))-1),$AE353))</f>
        <v/>
      </c>
      <c r="AH353" s="17">
        <f>IF($B353="","",IF(TRIM($J353&amp;"")="",0,SUMPRODUCT((파견수련계획!$Q$4:$Q$803=TRIM($J353&amp;""))*(파견수련계획!$S$4:$S$803="서울병원")*파견수련계획!$W$4:$W$803))+IF($AG353="서울병원",MAX(0,DAY(EOMONTH(요약!$B$3,0))-N($X353)),0))</f>
        <v/>
      </c>
      <c r="AI353" s="17">
        <f>IF($B353="","",IF(TRIM($J353&amp;"")="",0,SUMPRODUCT((파견수련계획!$Q$4:$Q$803=TRIM($J353&amp;""))*(파견수련계획!$S$4:$S$803="구리병원")*파견수련계획!$W$4:$W$803))+IF($AG353="구리병원",MAX(0,DAY(EOMONTH(요약!$B$3,0))-N($X353)),0))</f>
        <v/>
      </c>
      <c r="AJ353" s="10">
        <f>IF(OR($B353="",TRIM($J353&amp;"")=""),"",IFERROR(MATCH(TRIM($J353&amp;"")&amp;"|월",파견수련계획!$Z$4:$Z$803,0),""))</f>
        <v/>
      </c>
      <c r="AK353" s="10">
        <f>IF(OR($B353="",TRIM($J353&amp;"")=""),"",IFERROR(MATCH(TRIM($J353&amp;"")&amp;"|다기관",파견수련계획!$AE$4:$AE$803,0),""))</f>
        <v/>
      </c>
      <c r="AL353" s="10">
        <f>IF($AK353="","","다기관 "&amp;TEXT(INDEX(파견수련계획!$AB$4:$AB$803,$AK353),"yyyy-mm-dd")&amp;"~"&amp;IF(ISNUMBER(INDEX(파견수련계획!$AC$4:$AC$803,$AK353)),TEXT(INDEX(파견수련계획!$AC$4:$AC$803,$AK353),"yyyy-mm-dd"),""))</f>
        <v/>
      </c>
    </row>
    <row r="354">
      <c r="A354" s="10">
        <f>IF(B354="","",ROW()-1)</f>
        <v/>
      </c>
      <c r="B354" s="18" t="n"/>
      <c r="C354" s="10">
        <f>IF($AB354="","",IF(INDEX(기본자료!$C$2:$C$1001,$AB354)="","",INDEX(기본자료!$C$2:$C$1001,$AB354)))</f>
        <v/>
      </c>
      <c r="D354" s="10">
        <f>IF($AB354="","",IF(INDEX(기본자료!$J$2:$J$1001,$AB354)="","",INDEX(기본자료!$J$2:$J$1001,$AB354)))</f>
        <v/>
      </c>
      <c r="E354" s="11">
        <f>IF($AB354="","",IF(INDEX(기본자료!$K$2:$K$1001,$AB354)="","",IF(NOT(ISNUMBER(INDEX(기본자료!$K$2:$K$1001,$AB354))),INDEX(기본자료!$K$2:$K$1001,$AB354),IF(INDEX(기본자료!$K$2:$K$1001,$AB354)&lt;1000000,INDEX(기본자료!$K$2:$K$1001,$AB354),IF(AND(INDEX(기본자료!$K$2:$K$1001,$AB354)&gt;=10000101,INT(MOD(INDEX(기본자료!$K$2:$K$1001,$AB354),10000)/100)&gt;=1,INT(MOD(INDEX(기본자료!$K$2:$K$1001,$AB354),10000)/100)&lt;=12,MOD(INDEX(기본자료!$K$2:$K$1001,$AB354),100)&gt;=1,MOD(INDEX(기본자료!$K$2:$K$1001,$AB354),100)&lt;=31),DATE(INT(INDEX(기본자료!$K$2:$K$1001,$AB354)/10000),INT(MOD(INDEX(기본자료!$K$2:$K$1001,$AB354),10000)/100),MOD(INDEX(기본자료!$K$2:$K$1001,$AB354),100)),INDEX(기본자료!$K$2:$K$1001,$AB354)&amp;"")))))</f>
        <v/>
      </c>
      <c r="F354" s="10">
        <f>IF($AB354="","",IF(INDEX(기본자료!$D$2:$D$1001,$AB354)="","",INDEX(기본자료!$D$2:$D$1001,$AB354)))</f>
        <v/>
      </c>
      <c r="G354" s="10">
        <f>IF($AB354="","",IF(INDEX(기본자료!$E$2:$E$1001,$AB354)="","",INDEX(기본자료!$E$2:$E$1001,$AB354)))</f>
        <v/>
      </c>
      <c r="H354" s="10">
        <f>IF($AB354="","",IF(INDEX(기본자료!$F$2:$F$1001,$AB354)="","",INDEX(기본자료!$F$2:$F$1001,$AB354)))</f>
        <v/>
      </c>
      <c r="I354" s="11">
        <f>IF($AB354="","",IF(INDEX(기본자료!$G$2:$G$1001,$AB354)="","",IF(NOT(ISNUMBER(INDEX(기본자료!$G$2:$G$1001,$AB354))),INDEX(기본자료!$G$2:$G$1001,$AB354),IF(INDEX(기본자료!$G$2:$G$1001,$AB354)&lt;1000000,INDEX(기본자료!$G$2:$G$1001,$AB354),IF(AND(INDEX(기본자료!$G$2:$G$1001,$AB354)&gt;=10000101,INT(MOD(INDEX(기본자료!$G$2:$G$1001,$AB354),10000)/100)&gt;=1,INT(MOD(INDEX(기본자료!$G$2:$G$1001,$AB354),10000)/100)&lt;=12,MOD(INDEX(기본자료!$G$2:$G$1001,$AB354),100)&gt;=1,MOD(INDEX(기본자료!$G$2:$G$1001,$AB354),100)&lt;=31),DATE(INT(INDEX(기본자료!$G$2:$G$1001,$AB354)/10000),INT(MOD(INDEX(기본자료!$G$2:$G$1001,$AB354),10000)/100),MOD(INDEX(기본자료!$G$2:$G$1001,$AB354),100)),INDEX(기본자료!$G$2:$G$1001,$AB354)&amp;"")))))</f>
        <v/>
      </c>
      <c r="J354" s="10">
        <f>IF($AB354="","",IF(INDEX(기본자료!$H$2:$H$1001,$AB354)="","",INDEX(기본자료!$H$2:$H$1001,$AB354)))</f>
        <v/>
      </c>
      <c r="K354" s="10">
        <f>IF($AB354="","",IF(INDEX(기본자료!$I$2:$I$1001,$AB354)="","",INDEX(기본자료!$I$2:$I$1001,$AB354)))</f>
        <v/>
      </c>
      <c r="L354" s="10">
        <f>IF($AB354="","",IF(INDEX(기본자료!$A$2:$A$1001,$AB354)="","",INDEX(기본자료!$A$2:$A$1001,$AB354)))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파견수련계획!$AB$4:$AB$803,$AK354),OR(NOT(ISNUMBER(INDEX(파견수련계획!$AC$4:$AC$803,$AK354))),TODAY()&lt;=INDEX(파견수련계획!$AC$4:$AC$803,$AK354))),"다기관",IF($AF354="","",INDEX(파견수련계획!$T$4:$T$803,$AF354))),IF($AF354="","",INDEX(파견수련계획!$T$4:$T$803,$AF354))))</f>
        <v/>
      </c>
      <c r="Q354" s="10">
        <f>IF($AF354="","",INDEX(파견수련계획!$S$4:$S$803,$AF354))</f>
        <v/>
      </c>
      <c r="R354" s="10">
        <f>IF($AF354="","",INDEX(파견수련계획!$U$4:$U$803,$AF354))</f>
        <v/>
      </c>
      <c r="S354" s="11">
        <f>IF($AF354="","",IF(INDEX(파견수련계획!$H$4:$H$803,$AF354)="","",INDEX(파견수련계획!$H$4:$H$803,$AF354)))</f>
        <v/>
      </c>
      <c r="T354" s="11">
        <f>IF($AF354="","",IF(INDEX(파견수련계획!$I$4:$I$803,$AF354)="","",INDEX(파견수련계획!$I$4:$I$803,$AF354)))</f>
        <v/>
      </c>
      <c r="U354" s="10">
        <f>IF($AF354="","",INDEX(파견수련계획!$X$4:$X$803,$AF354))</f>
        <v/>
      </c>
      <c r="V354" s="17">
        <f>IF($AF354="","",INDEX(파견수련계획!$V$4:$V$803,$AF354))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IF(OR($B354="",TRIM($J354&amp;"")=""),"",SUMPRODUCT((파견수련계획!$Q$4:$Q$803=TRIM($J354&amp;""))*파견수련계획!$W$4:$W$803))</f>
        <v/>
      </c>
      <c r="Y354" s="10">
        <f>IF($B354="","",IF($AG354="","",IF(IF(TRIM($J354&amp;"")="",0,SUMPRODUCT((파견수련계획!$Q$4:$Q$803=TRIM($J354&amp;""))*파견수련계획!$AD$4:$AD$803))&gt;0,$AE354,IF(N($X354)&lt;=0,$AG354,IF($AH354+$AI354=DAY(EOMONTH(요약!$B$3,0)),IF(AND($AH354&gt;=요약!$E$3,$AI354&lt;요약!$E$3),"서울병원",IF(AND($AI354&gt;=요약!$E$3,$AH354&lt;요약!$E$3),"구리병원","⚠15일 판정불가(서울 "&amp;$AH354&amp;"일/구리 "&amp;$AI354&amp;"일)")),IF($AJ354="",$AE354,IF(INDEX(파견수련계획!$T$4:$T$803,$AJ354)="통합수련",INDEX(파견수련계획!$S$4:$S$803,$AJ354),$AE354)))))))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입력",IF(IF(TRIM($J354&amp;"")="",0,SUMPRODUCT((파견수련계획!$Q$4:$Q$803=TRIM($J354&amp;""))*(파견수련계획!$AA$4:$AA$803&lt;&gt;"")))&gt;0,"파견수련계획 입력오류 확인",IF(LEFT($Y354,1)="⚠","서울·구리 15일 판정 불가(양쪽 모두 이상/미만)",IF(IF($AC354="",0,N(INDEX(인턴근무계획!$T$3:$T$402,$AC354)))&gt;0,"인턴계획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IF($B354="","",IFERROR(MATCH($B354,기본자료!$B$2:$B$1001,0),IFERROR(MATCH($B354&amp;"",기본자료!$B$2:$B$1001,0),IFERROR(MATCH(VALUE($B354),기본자료!$B$2:$B$1001,0),""))))</f>
        <v/>
      </c>
      <c r="AC354" s="10">
        <f>IF($B354="","",IFERROR(MATCH($B354,인턴근무계획!$D$3:$D$402,0),IFERROR(MATCH($B354&amp;"",인턴근무계획!$D$3:$D$402,0),IFERROR(MATCH(VALUE($B354),인턴근무계획!$D$3:$D$402,0),""))))</f>
        <v/>
      </c>
      <c r="AD354" s="10">
        <f>IF(OR($AC354="",인턴현황!$G$3=""),"",INDEX(인턴근무계획!$M$3:$R$402,$AC354,인턴현황!$G$3)&amp;"")</f>
        <v/>
      </c>
      <c r="AE354" s="10">
        <f>IF($B354="","",IF($M354&lt;&gt;"",$M354,IF($AF354&lt;&gt;"",IF(LEFT(INDEX(파견수련계획!$R$4:$R$803,$AF354),1)&lt;&gt;"⚠",INDEX(파견수련계획!$R$4:$R$803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파견수련계획!$Y$4:$Y$803,0),IFERROR(MATCH(TRIM($J354&amp;"")&amp;"|파견예정",파견수련계획!$Y$4:$Y$803,0),IFERROR(MATCH(TRIM($J354&amp;"")&amp;"|파견종료",파견수련계획!$Y$4:$Y$803,0),""))))</f>
        <v/>
      </c>
      <c r="AG354" s="10">
        <f>IF($B354="","",IF(AND(IF(OR($AC354="",인턴현황!$K$2=""),"",INDEX(인턴근무계획!$M$3:$R$402,$AC354,인턴현황!$K$2)&amp;"")&lt;&gt;"",LEFT(IF(OR($AC354="",인턴현황!$K$2=""),"",INDEX(인턴근무계획!$M$3:$R$402,$AC354,인턴현황!$K$2)&amp;""),1)&lt;&gt;"⚠"),LEFT(IF(OR($AC354="",인턴현황!$K$2=""),"",INDEX(인턴근무계획!$M$3:$R$402,$AC354,인턴현황!$K$2)&amp;""),FIND(" ",IF(OR($AC354="",인턴현황!$K$2=""),"",INDEX(인턴근무계획!$M$3:$R$402,$AC354,인턴현황!$K$2)&amp;""))-1),$AE354))</f>
        <v/>
      </c>
      <c r="AH354" s="17">
        <f>IF($B354="","",IF(TRIM($J354&amp;"")="",0,SUMPRODUCT((파견수련계획!$Q$4:$Q$803=TRIM($J354&amp;""))*(파견수련계획!$S$4:$S$803="서울병원")*파견수련계획!$W$4:$W$803))+IF($AG354="서울병원",MAX(0,DAY(EOMONTH(요약!$B$3,0))-N($X354)),0))</f>
        <v/>
      </c>
      <c r="AI354" s="17">
        <f>IF($B354="","",IF(TRIM($J354&amp;"")="",0,SUMPRODUCT((파견수련계획!$Q$4:$Q$803=TRIM($J354&amp;""))*(파견수련계획!$S$4:$S$803="구리병원")*파견수련계획!$W$4:$W$803))+IF($AG354="구리병원",MAX(0,DAY(EOMONTH(요약!$B$3,0))-N($X354)),0))</f>
        <v/>
      </c>
      <c r="AJ354" s="10">
        <f>IF(OR($B354="",TRIM($J354&amp;"")=""),"",IFERROR(MATCH(TRIM($J354&amp;"")&amp;"|월",파견수련계획!$Z$4:$Z$803,0),""))</f>
        <v/>
      </c>
      <c r="AK354" s="10">
        <f>IF(OR($B354="",TRIM($J354&amp;"")=""),"",IFERROR(MATCH(TRIM($J354&amp;"")&amp;"|다기관",파견수련계획!$AE$4:$AE$803,0),""))</f>
        <v/>
      </c>
      <c r="AL354" s="10">
        <f>IF($AK354="","","다기관 "&amp;TEXT(INDEX(파견수련계획!$AB$4:$AB$803,$AK354),"yyyy-mm-dd")&amp;"~"&amp;IF(ISNUMBER(INDEX(파견수련계획!$AC$4:$AC$803,$AK354)),TEXT(INDEX(파견수련계획!$AC$4:$AC$803,$AK354),"yyyy-mm-dd"),""))</f>
        <v/>
      </c>
    </row>
    <row r="355">
      <c r="A355" s="10">
        <f>IF(B355="","",ROW()-1)</f>
        <v/>
      </c>
      <c r="B355" s="18" t="n"/>
      <c r="C355" s="10">
        <f>IF($AB355="","",IF(INDEX(기본자료!$C$2:$C$1001,$AB355)="","",INDEX(기본자료!$C$2:$C$1001,$AB355)))</f>
        <v/>
      </c>
      <c r="D355" s="10">
        <f>IF($AB355="","",IF(INDEX(기본자료!$J$2:$J$1001,$AB355)="","",INDEX(기본자료!$J$2:$J$1001,$AB355)))</f>
        <v/>
      </c>
      <c r="E355" s="11">
        <f>IF($AB355="","",IF(INDEX(기본자료!$K$2:$K$1001,$AB355)="","",IF(NOT(ISNUMBER(INDEX(기본자료!$K$2:$K$1001,$AB355))),INDEX(기본자료!$K$2:$K$1001,$AB355),IF(INDEX(기본자료!$K$2:$K$1001,$AB355)&lt;1000000,INDEX(기본자료!$K$2:$K$1001,$AB355),IF(AND(INDEX(기본자료!$K$2:$K$1001,$AB355)&gt;=10000101,INT(MOD(INDEX(기본자료!$K$2:$K$1001,$AB355),10000)/100)&gt;=1,INT(MOD(INDEX(기본자료!$K$2:$K$1001,$AB355),10000)/100)&lt;=12,MOD(INDEX(기본자료!$K$2:$K$1001,$AB355),100)&gt;=1,MOD(INDEX(기본자료!$K$2:$K$1001,$AB355),100)&lt;=31),DATE(INT(INDEX(기본자료!$K$2:$K$1001,$AB355)/10000),INT(MOD(INDEX(기본자료!$K$2:$K$1001,$AB355),10000)/100),MOD(INDEX(기본자료!$K$2:$K$1001,$AB355),100)),INDEX(기본자료!$K$2:$K$1001,$AB355)&amp;"")))))</f>
        <v/>
      </c>
      <c r="F355" s="10">
        <f>IF($AB355="","",IF(INDEX(기본자료!$D$2:$D$1001,$AB355)="","",INDEX(기본자료!$D$2:$D$1001,$AB355)))</f>
        <v/>
      </c>
      <c r="G355" s="10">
        <f>IF($AB355="","",IF(INDEX(기본자료!$E$2:$E$1001,$AB355)="","",INDEX(기본자료!$E$2:$E$1001,$AB355)))</f>
        <v/>
      </c>
      <c r="H355" s="10">
        <f>IF($AB355="","",IF(INDEX(기본자료!$F$2:$F$1001,$AB355)="","",INDEX(기본자료!$F$2:$F$1001,$AB355)))</f>
        <v/>
      </c>
      <c r="I355" s="11">
        <f>IF($AB355="","",IF(INDEX(기본자료!$G$2:$G$1001,$AB355)="","",IF(NOT(ISNUMBER(INDEX(기본자료!$G$2:$G$1001,$AB355))),INDEX(기본자료!$G$2:$G$1001,$AB355),IF(INDEX(기본자료!$G$2:$G$1001,$AB355)&lt;1000000,INDEX(기본자료!$G$2:$G$1001,$AB355),IF(AND(INDEX(기본자료!$G$2:$G$1001,$AB355)&gt;=10000101,INT(MOD(INDEX(기본자료!$G$2:$G$1001,$AB355),10000)/100)&gt;=1,INT(MOD(INDEX(기본자료!$G$2:$G$1001,$AB355),10000)/100)&lt;=12,MOD(INDEX(기본자료!$G$2:$G$1001,$AB355),100)&gt;=1,MOD(INDEX(기본자료!$G$2:$G$1001,$AB355),100)&lt;=31),DATE(INT(INDEX(기본자료!$G$2:$G$1001,$AB355)/10000),INT(MOD(INDEX(기본자료!$G$2:$G$1001,$AB355),10000)/100),MOD(INDEX(기본자료!$G$2:$G$1001,$AB355),100)),INDEX(기본자료!$G$2:$G$1001,$AB355)&amp;"")))))</f>
        <v/>
      </c>
      <c r="J355" s="10">
        <f>IF($AB355="","",IF(INDEX(기본자료!$H$2:$H$1001,$AB355)="","",INDEX(기본자료!$H$2:$H$1001,$AB355)))</f>
        <v/>
      </c>
      <c r="K355" s="10">
        <f>IF($AB355="","",IF(INDEX(기본자료!$I$2:$I$1001,$AB355)="","",INDEX(기본자료!$I$2:$I$1001,$AB355)))</f>
        <v/>
      </c>
      <c r="L355" s="10">
        <f>IF($AB355="","",IF(INDEX(기본자료!$A$2:$A$1001,$AB355)="","",INDEX(기본자료!$A$2:$A$1001,$AB355)))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파견수련계획!$AB$4:$AB$803,$AK355),OR(NOT(ISNUMBER(INDEX(파견수련계획!$AC$4:$AC$803,$AK355))),TODAY()&lt;=INDEX(파견수련계획!$AC$4:$AC$803,$AK355))),"다기관",IF($AF355="","",INDEX(파견수련계획!$T$4:$T$803,$AF355))),IF($AF355="","",INDEX(파견수련계획!$T$4:$T$803,$AF355))))</f>
        <v/>
      </c>
      <c r="Q355" s="10">
        <f>IF($AF355="","",INDEX(파견수련계획!$S$4:$S$803,$AF355))</f>
        <v/>
      </c>
      <c r="R355" s="10">
        <f>IF($AF355="","",INDEX(파견수련계획!$U$4:$U$803,$AF355))</f>
        <v/>
      </c>
      <c r="S355" s="11">
        <f>IF($AF355="","",IF(INDEX(파견수련계획!$H$4:$H$803,$AF355)="","",INDEX(파견수련계획!$H$4:$H$803,$AF355)))</f>
        <v/>
      </c>
      <c r="T355" s="11">
        <f>IF($AF355="","",IF(INDEX(파견수련계획!$I$4:$I$803,$AF355)="","",INDEX(파견수련계획!$I$4:$I$803,$AF355)))</f>
        <v/>
      </c>
      <c r="U355" s="10">
        <f>IF($AF355="","",INDEX(파견수련계획!$X$4:$X$803,$AF355))</f>
        <v/>
      </c>
      <c r="V355" s="17">
        <f>IF($AF355="","",INDEX(파견수련계획!$V$4:$V$803,$AF355))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IF(OR($B355="",TRIM($J355&amp;"")=""),"",SUMPRODUCT((파견수련계획!$Q$4:$Q$803=TRIM($J355&amp;""))*파견수련계획!$W$4:$W$803))</f>
        <v/>
      </c>
      <c r="Y355" s="10">
        <f>IF($B355="","",IF($AG355="","",IF(IF(TRIM($J355&amp;"")="",0,SUMPRODUCT((파견수련계획!$Q$4:$Q$803=TRIM($J355&amp;""))*파견수련계획!$AD$4:$AD$803))&gt;0,$AE355,IF(N($X355)&lt;=0,$AG355,IF($AH355+$AI355=DAY(EOMONTH(요약!$B$3,0)),IF(AND($AH355&gt;=요약!$E$3,$AI355&lt;요약!$E$3),"서울병원",IF(AND($AI355&gt;=요약!$E$3,$AH355&lt;요약!$E$3),"구리병원","⚠15일 판정불가(서울 "&amp;$AH355&amp;"일/구리 "&amp;$AI355&amp;"일)")),IF($AJ355="",$AE355,IF(INDEX(파견수련계획!$T$4:$T$803,$AJ355)="통합수련",INDEX(파견수련계획!$S$4:$S$803,$AJ355),$AE355)))))))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입력",IF(IF(TRIM($J355&amp;"")="",0,SUMPRODUCT((파견수련계획!$Q$4:$Q$803=TRIM($J355&amp;""))*(파견수련계획!$AA$4:$AA$803&lt;&gt;"")))&gt;0,"파견수련계획 입력오류 확인",IF(LEFT($Y355,1)="⚠","서울·구리 15일 판정 불가(양쪽 모두 이상/미만)",IF(IF($AC355="",0,N(INDEX(인턴근무계획!$T$3:$T$402,$AC355)))&gt;0,"인턴계획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IF($B355="","",IFERROR(MATCH($B355,기본자료!$B$2:$B$1001,0),IFERROR(MATCH($B355&amp;"",기본자료!$B$2:$B$1001,0),IFERROR(MATCH(VALUE($B355),기본자료!$B$2:$B$1001,0),""))))</f>
        <v/>
      </c>
      <c r="AC355" s="10">
        <f>IF($B355="","",IFERROR(MATCH($B355,인턴근무계획!$D$3:$D$402,0),IFERROR(MATCH($B355&amp;"",인턴근무계획!$D$3:$D$402,0),IFERROR(MATCH(VALUE($B355),인턴근무계획!$D$3:$D$402,0),""))))</f>
        <v/>
      </c>
      <c r="AD355" s="10">
        <f>IF(OR($AC355="",인턴현황!$G$3=""),"",INDEX(인턴근무계획!$M$3:$R$402,$AC355,인턴현황!$G$3)&amp;"")</f>
        <v/>
      </c>
      <c r="AE355" s="10">
        <f>IF($B355="","",IF($M355&lt;&gt;"",$M355,IF($AF355&lt;&gt;"",IF(LEFT(INDEX(파견수련계획!$R$4:$R$803,$AF355),1)&lt;&gt;"⚠",INDEX(파견수련계획!$R$4:$R$803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파견수련계획!$Y$4:$Y$803,0),IFERROR(MATCH(TRIM($J355&amp;"")&amp;"|파견예정",파견수련계획!$Y$4:$Y$803,0),IFERROR(MATCH(TRIM($J355&amp;"")&amp;"|파견종료",파견수련계획!$Y$4:$Y$803,0),""))))</f>
        <v/>
      </c>
      <c r="AG355" s="10">
        <f>IF($B355="","",IF(AND(IF(OR($AC355="",인턴현황!$K$2=""),"",INDEX(인턴근무계획!$M$3:$R$402,$AC355,인턴현황!$K$2)&amp;"")&lt;&gt;"",LEFT(IF(OR($AC355="",인턴현황!$K$2=""),"",INDEX(인턴근무계획!$M$3:$R$402,$AC355,인턴현황!$K$2)&amp;""),1)&lt;&gt;"⚠"),LEFT(IF(OR($AC355="",인턴현황!$K$2=""),"",INDEX(인턴근무계획!$M$3:$R$402,$AC355,인턴현황!$K$2)&amp;""),FIND(" ",IF(OR($AC355="",인턴현황!$K$2=""),"",INDEX(인턴근무계획!$M$3:$R$402,$AC355,인턴현황!$K$2)&amp;""))-1),$AE355))</f>
        <v/>
      </c>
      <c r="AH355" s="17">
        <f>IF($B355="","",IF(TRIM($J355&amp;"")="",0,SUMPRODUCT((파견수련계획!$Q$4:$Q$803=TRIM($J355&amp;""))*(파견수련계획!$S$4:$S$803="서울병원")*파견수련계획!$W$4:$W$803))+IF($AG355="서울병원",MAX(0,DAY(EOMONTH(요약!$B$3,0))-N($X355)),0))</f>
        <v/>
      </c>
      <c r="AI355" s="17">
        <f>IF($B355="","",IF(TRIM($J355&amp;"")="",0,SUMPRODUCT((파견수련계획!$Q$4:$Q$803=TRIM($J355&amp;""))*(파견수련계획!$S$4:$S$803="구리병원")*파견수련계획!$W$4:$W$803))+IF($AG355="구리병원",MAX(0,DAY(EOMONTH(요약!$B$3,0))-N($X355)),0))</f>
        <v/>
      </c>
      <c r="AJ355" s="10">
        <f>IF(OR($B355="",TRIM($J355&amp;"")=""),"",IFERROR(MATCH(TRIM($J355&amp;"")&amp;"|월",파견수련계획!$Z$4:$Z$803,0),""))</f>
        <v/>
      </c>
      <c r="AK355" s="10">
        <f>IF(OR($B355="",TRIM($J355&amp;"")=""),"",IFERROR(MATCH(TRIM($J355&amp;"")&amp;"|다기관",파견수련계획!$AE$4:$AE$803,0),""))</f>
        <v/>
      </c>
      <c r="AL355" s="10">
        <f>IF($AK355="","","다기관 "&amp;TEXT(INDEX(파견수련계획!$AB$4:$AB$803,$AK355),"yyyy-mm-dd")&amp;"~"&amp;IF(ISNUMBER(INDEX(파견수련계획!$AC$4:$AC$803,$AK355)),TEXT(INDEX(파견수련계획!$AC$4:$AC$803,$AK355),"yyyy-mm-dd"),""))</f>
        <v/>
      </c>
    </row>
    <row r="356">
      <c r="A356" s="10">
        <f>IF(B356="","",ROW()-1)</f>
        <v/>
      </c>
      <c r="B356" s="18" t="n"/>
      <c r="C356" s="10">
        <f>IF($AB356="","",IF(INDEX(기본자료!$C$2:$C$1001,$AB356)="","",INDEX(기본자료!$C$2:$C$1001,$AB356)))</f>
        <v/>
      </c>
      <c r="D356" s="10">
        <f>IF($AB356="","",IF(INDEX(기본자료!$J$2:$J$1001,$AB356)="","",INDEX(기본자료!$J$2:$J$1001,$AB356)))</f>
        <v/>
      </c>
      <c r="E356" s="11">
        <f>IF($AB356="","",IF(INDEX(기본자료!$K$2:$K$1001,$AB356)="","",IF(NOT(ISNUMBER(INDEX(기본자료!$K$2:$K$1001,$AB356))),INDEX(기본자료!$K$2:$K$1001,$AB356),IF(INDEX(기본자료!$K$2:$K$1001,$AB356)&lt;1000000,INDEX(기본자료!$K$2:$K$1001,$AB356),IF(AND(INDEX(기본자료!$K$2:$K$1001,$AB356)&gt;=10000101,INT(MOD(INDEX(기본자료!$K$2:$K$1001,$AB356),10000)/100)&gt;=1,INT(MOD(INDEX(기본자료!$K$2:$K$1001,$AB356),10000)/100)&lt;=12,MOD(INDEX(기본자료!$K$2:$K$1001,$AB356),100)&gt;=1,MOD(INDEX(기본자료!$K$2:$K$1001,$AB356),100)&lt;=31),DATE(INT(INDEX(기본자료!$K$2:$K$1001,$AB356)/10000),INT(MOD(INDEX(기본자료!$K$2:$K$1001,$AB356),10000)/100),MOD(INDEX(기본자료!$K$2:$K$1001,$AB356),100)),INDEX(기본자료!$K$2:$K$1001,$AB356)&amp;"")))))</f>
        <v/>
      </c>
      <c r="F356" s="10">
        <f>IF($AB356="","",IF(INDEX(기본자료!$D$2:$D$1001,$AB356)="","",INDEX(기본자료!$D$2:$D$1001,$AB356)))</f>
        <v/>
      </c>
      <c r="G356" s="10">
        <f>IF($AB356="","",IF(INDEX(기본자료!$E$2:$E$1001,$AB356)="","",INDEX(기본자료!$E$2:$E$1001,$AB356)))</f>
        <v/>
      </c>
      <c r="H356" s="10">
        <f>IF($AB356="","",IF(INDEX(기본자료!$F$2:$F$1001,$AB356)="","",INDEX(기본자료!$F$2:$F$1001,$AB356)))</f>
        <v/>
      </c>
      <c r="I356" s="11">
        <f>IF($AB356="","",IF(INDEX(기본자료!$G$2:$G$1001,$AB356)="","",IF(NOT(ISNUMBER(INDEX(기본자료!$G$2:$G$1001,$AB356))),INDEX(기본자료!$G$2:$G$1001,$AB356),IF(INDEX(기본자료!$G$2:$G$1001,$AB356)&lt;1000000,INDEX(기본자료!$G$2:$G$1001,$AB356),IF(AND(INDEX(기본자료!$G$2:$G$1001,$AB356)&gt;=10000101,INT(MOD(INDEX(기본자료!$G$2:$G$1001,$AB356),10000)/100)&gt;=1,INT(MOD(INDEX(기본자료!$G$2:$G$1001,$AB356),10000)/100)&lt;=12,MOD(INDEX(기본자료!$G$2:$G$1001,$AB356),100)&gt;=1,MOD(INDEX(기본자료!$G$2:$G$1001,$AB356),100)&lt;=31),DATE(INT(INDEX(기본자료!$G$2:$G$1001,$AB356)/10000),INT(MOD(INDEX(기본자료!$G$2:$G$1001,$AB356),10000)/100),MOD(INDEX(기본자료!$G$2:$G$1001,$AB356),100)),INDEX(기본자료!$G$2:$G$1001,$AB356)&amp;"")))))</f>
        <v/>
      </c>
      <c r="J356" s="10">
        <f>IF($AB356="","",IF(INDEX(기본자료!$H$2:$H$1001,$AB356)="","",INDEX(기본자료!$H$2:$H$1001,$AB356)))</f>
        <v/>
      </c>
      <c r="K356" s="10">
        <f>IF($AB356="","",IF(INDEX(기본자료!$I$2:$I$1001,$AB356)="","",INDEX(기본자료!$I$2:$I$1001,$AB356)))</f>
        <v/>
      </c>
      <c r="L356" s="10">
        <f>IF($AB356="","",IF(INDEX(기본자료!$A$2:$A$1001,$AB356)="","",INDEX(기본자료!$A$2:$A$1001,$AB356)))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파견수련계획!$AB$4:$AB$803,$AK356),OR(NOT(ISNUMBER(INDEX(파견수련계획!$AC$4:$AC$803,$AK356))),TODAY()&lt;=INDEX(파견수련계획!$AC$4:$AC$803,$AK356))),"다기관",IF($AF356="","",INDEX(파견수련계획!$T$4:$T$803,$AF356))),IF($AF356="","",INDEX(파견수련계획!$T$4:$T$803,$AF356))))</f>
        <v/>
      </c>
      <c r="Q356" s="10">
        <f>IF($AF356="","",INDEX(파견수련계획!$S$4:$S$803,$AF356))</f>
        <v/>
      </c>
      <c r="R356" s="10">
        <f>IF($AF356="","",INDEX(파견수련계획!$U$4:$U$803,$AF356))</f>
        <v/>
      </c>
      <c r="S356" s="11">
        <f>IF($AF356="","",IF(INDEX(파견수련계획!$H$4:$H$803,$AF356)="","",INDEX(파견수련계획!$H$4:$H$803,$AF356)))</f>
        <v/>
      </c>
      <c r="T356" s="11">
        <f>IF($AF356="","",IF(INDEX(파견수련계획!$I$4:$I$803,$AF356)="","",INDEX(파견수련계획!$I$4:$I$803,$AF356)))</f>
        <v/>
      </c>
      <c r="U356" s="10">
        <f>IF($AF356="","",INDEX(파견수련계획!$X$4:$X$803,$AF356))</f>
        <v/>
      </c>
      <c r="V356" s="17">
        <f>IF($AF356="","",INDEX(파견수련계획!$V$4:$V$803,$AF356))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IF(OR($B356="",TRIM($J356&amp;"")=""),"",SUMPRODUCT((파견수련계획!$Q$4:$Q$803=TRIM($J356&amp;""))*파견수련계획!$W$4:$W$803))</f>
        <v/>
      </c>
      <c r="Y356" s="10">
        <f>IF($B356="","",IF($AG356="","",IF(IF(TRIM($J356&amp;"")="",0,SUMPRODUCT((파견수련계획!$Q$4:$Q$803=TRIM($J356&amp;""))*파견수련계획!$AD$4:$AD$803))&gt;0,$AE356,IF(N($X356)&lt;=0,$AG356,IF($AH356+$AI356=DAY(EOMONTH(요약!$B$3,0)),IF(AND($AH356&gt;=요약!$E$3,$AI356&lt;요약!$E$3),"서울병원",IF(AND($AI356&gt;=요약!$E$3,$AH356&lt;요약!$E$3),"구리병원","⚠15일 판정불가(서울 "&amp;$AH356&amp;"일/구리 "&amp;$AI356&amp;"일)")),IF($AJ356="",$AE356,IF(INDEX(파견수련계획!$T$4:$T$803,$AJ356)="통합수련",INDEX(파견수련계획!$S$4:$S$803,$AJ356),$AE356)))))))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입력",IF(IF(TRIM($J356&amp;"")="",0,SUMPRODUCT((파견수련계획!$Q$4:$Q$803=TRIM($J356&amp;""))*(파견수련계획!$AA$4:$AA$803&lt;&gt;"")))&gt;0,"파견수련계획 입력오류 확인",IF(LEFT($Y356,1)="⚠","서울·구리 15일 판정 불가(양쪽 모두 이상/미만)",IF(IF($AC356="",0,N(INDEX(인턴근무계획!$T$3:$T$402,$AC356)))&gt;0,"인턴계획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IF($B356="","",IFERROR(MATCH($B356,기본자료!$B$2:$B$1001,0),IFERROR(MATCH($B356&amp;"",기본자료!$B$2:$B$1001,0),IFERROR(MATCH(VALUE($B356),기본자료!$B$2:$B$1001,0),""))))</f>
        <v/>
      </c>
      <c r="AC356" s="10">
        <f>IF($B356="","",IFERROR(MATCH($B356,인턴근무계획!$D$3:$D$402,0),IFERROR(MATCH($B356&amp;"",인턴근무계획!$D$3:$D$402,0),IFERROR(MATCH(VALUE($B356),인턴근무계획!$D$3:$D$402,0),""))))</f>
        <v/>
      </c>
      <c r="AD356" s="10">
        <f>IF(OR($AC356="",인턴현황!$G$3=""),"",INDEX(인턴근무계획!$M$3:$R$402,$AC356,인턴현황!$G$3)&amp;"")</f>
        <v/>
      </c>
      <c r="AE356" s="10">
        <f>IF($B356="","",IF($M356&lt;&gt;"",$M356,IF($AF356&lt;&gt;"",IF(LEFT(INDEX(파견수련계획!$R$4:$R$803,$AF356),1)&lt;&gt;"⚠",INDEX(파견수련계획!$R$4:$R$803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파견수련계획!$Y$4:$Y$803,0),IFERROR(MATCH(TRIM($J356&amp;"")&amp;"|파견예정",파견수련계획!$Y$4:$Y$803,0),IFERROR(MATCH(TRIM($J356&amp;"")&amp;"|파견종료",파견수련계획!$Y$4:$Y$803,0),""))))</f>
        <v/>
      </c>
      <c r="AG356" s="10">
        <f>IF($B356="","",IF(AND(IF(OR($AC356="",인턴현황!$K$2=""),"",INDEX(인턴근무계획!$M$3:$R$402,$AC356,인턴현황!$K$2)&amp;"")&lt;&gt;"",LEFT(IF(OR($AC356="",인턴현황!$K$2=""),"",INDEX(인턴근무계획!$M$3:$R$402,$AC356,인턴현황!$K$2)&amp;""),1)&lt;&gt;"⚠"),LEFT(IF(OR($AC356="",인턴현황!$K$2=""),"",INDEX(인턴근무계획!$M$3:$R$402,$AC356,인턴현황!$K$2)&amp;""),FIND(" ",IF(OR($AC356="",인턴현황!$K$2=""),"",INDEX(인턴근무계획!$M$3:$R$402,$AC356,인턴현황!$K$2)&amp;""))-1),$AE356))</f>
        <v/>
      </c>
      <c r="AH356" s="17">
        <f>IF($B356="","",IF(TRIM($J356&amp;"")="",0,SUMPRODUCT((파견수련계획!$Q$4:$Q$803=TRIM($J356&amp;""))*(파견수련계획!$S$4:$S$803="서울병원")*파견수련계획!$W$4:$W$803))+IF($AG356="서울병원",MAX(0,DAY(EOMONTH(요약!$B$3,0))-N($X356)),0))</f>
        <v/>
      </c>
      <c r="AI356" s="17">
        <f>IF($B356="","",IF(TRIM($J356&amp;"")="",0,SUMPRODUCT((파견수련계획!$Q$4:$Q$803=TRIM($J356&amp;""))*(파견수련계획!$S$4:$S$803="구리병원")*파견수련계획!$W$4:$W$803))+IF($AG356="구리병원",MAX(0,DAY(EOMONTH(요약!$B$3,0))-N($X356)),0))</f>
        <v/>
      </c>
      <c r="AJ356" s="10">
        <f>IF(OR($B356="",TRIM($J356&amp;"")=""),"",IFERROR(MATCH(TRIM($J356&amp;"")&amp;"|월",파견수련계획!$Z$4:$Z$803,0),""))</f>
        <v/>
      </c>
      <c r="AK356" s="10">
        <f>IF(OR($B356="",TRIM($J356&amp;"")=""),"",IFERROR(MATCH(TRIM($J356&amp;"")&amp;"|다기관",파견수련계획!$AE$4:$AE$803,0),""))</f>
        <v/>
      </c>
      <c r="AL356" s="10">
        <f>IF($AK356="","","다기관 "&amp;TEXT(INDEX(파견수련계획!$AB$4:$AB$803,$AK356),"yyyy-mm-dd")&amp;"~"&amp;IF(ISNUMBER(INDEX(파견수련계획!$AC$4:$AC$803,$AK356)),TEXT(INDEX(파견수련계획!$AC$4:$AC$803,$AK356),"yyyy-mm-dd"),""))</f>
        <v/>
      </c>
    </row>
    <row r="357">
      <c r="A357" s="10">
        <f>IF(B357="","",ROW()-1)</f>
        <v/>
      </c>
      <c r="B357" s="18" t="n"/>
      <c r="C357" s="10">
        <f>IF($AB357="","",IF(INDEX(기본자료!$C$2:$C$1001,$AB357)="","",INDEX(기본자료!$C$2:$C$1001,$AB357)))</f>
        <v/>
      </c>
      <c r="D357" s="10">
        <f>IF($AB357="","",IF(INDEX(기본자료!$J$2:$J$1001,$AB357)="","",INDEX(기본자료!$J$2:$J$1001,$AB357)))</f>
        <v/>
      </c>
      <c r="E357" s="11">
        <f>IF($AB357="","",IF(INDEX(기본자료!$K$2:$K$1001,$AB357)="","",IF(NOT(ISNUMBER(INDEX(기본자료!$K$2:$K$1001,$AB357))),INDEX(기본자료!$K$2:$K$1001,$AB357),IF(INDEX(기본자료!$K$2:$K$1001,$AB357)&lt;1000000,INDEX(기본자료!$K$2:$K$1001,$AB357),IF(AND(INDEX(기본자료!$K$2:$K$1001,$AB357)&gt;=10000101,INT(MOD(INDEX(기본자료!$K$2:$K$1001,$AB357),10000)/100)&gt;=1,INT(MOD(INDEX(기본자료!$K$2:$K$1001,$AB357),10000)/100)&lt;=12,MOD(INDEX(기본자료!$K$2:$K$1001,$AB357),100)&gt;=1,MOD(INDEX(기본자료!$K$2:$K$1001,$AB357),100)&lt;=31),DATE(INT(INDEX(기본자료!$K$2:$K$1001,$AB357)/10000),INT(MOD(INDEX(기본자료!$K$2:$K$1001,$AB357),10000)/100),MOD(INDEX(기본자료!$K$2:$K$1001,$AB357),100)),INDEX(기본자료!$K$2:$K$1001,$AB357)&amp;"")))))</f>
        <v/>
      </c>
      <c r="F357" s="10">
        <f>IF($AB357="","",IF(INDEX(기본자료!$D$2:$D$1001,$AB357)="","",INDEX(기본자료!$D$2:$D$1001,$AB357)))</f>
        <v/>
      </c>
      <c r="G357" s="10">
        <f>IF($AB357="","",IF(INDEX(기본자료!$E$2:$E$1001,$AB357)="","",INDEX(기본자료!$E$2:$E$1001,$AB357)))</f>
        <v/>
      </c>
      <c r="H357" s="10">
        <f>IF($AB357="","",IF(INDEX(기본자료!$F$2:$F$1001,$AB357)="","",INDEX(기본자료!$F$2:$F$1001,$AB357)))</f>
        <v/>
      </c>
      <c r="I357" s="11">
        <f>IF($AB357="","",IF(INDEX(기본자료!$G$2:$G$1001,$AB357)="","",IF(NOT(ISNUMBER(INDEX(기본자료!$G$2:$G$1001,$AB357))),INDEX(기본자료!$G$2:$G$1001,$AB357),IF(INDEX(기본자료!$G$2:$G$1001,$AB357)&lt;1000000,INDEX(기본자료!$G$2:$G$1001,$AB357),IF(AND(INDEX(기본자료!$G$2:$G$1001,$AB357)&gt;=10000101,INT(MOD(INDEX(기본자료!$G$2:$G$1001,$AB357),10000)/100)&gt;=1,INT(MOD(INDEX(기본자료!$G$2:$G$1001,$AB357),10000)/100)&lt;=12,MOD(INDEX(기본자료!$G$2:$G$1001,$AB357),100)&gt;=1,MOD(INDEX(기본자료!$G$2:$G$1001,$AB357),100)&lt;=31),DATE(INT(INDEX(기본자료!$G$2:$G$1001,$AB357)/10000),INT(MOD(INDEX(기본자료!$G$2:$G$1001,$AB357),10000)/100),MOD(INDEX(기본자료!$G$2:$G$1001,$AB357),100)),INDEX(기본자료!$G$2:$G$1001,$AB357)&amp;"")))))</f>
        <v/>
      </c>
      <c r="J357" s="10">
        <f>IF($AB357="","",IF(INDEX(기본자료!$H$2:$H$1001,$AB357)="","",INDEX(기본자료!$H$2:$H$1001,$AB357)))</f>
        <v/>
      </c>
      <c r="K357" s="10">
        <f>IF($AB357="","",IF(INDEX(기본자료!$I$2:$I$1001,$AB357)="","",INDEX(기본자료!$I$2:$I$1001,$AB357)))</f>
        <v/>
      </c>
      <c r="L357" s="10">
        <f>IF($AB357="","",IF(INDEX(기본자료!$A$2:$A$1001,$AB357)="","",INDEX(기본자료!$A$2:$A$1001,$AB357)))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파견수련계획!$AB$4:$AB$803,$AK357),OR(NOT(ISNUMBER(INDEX(파견수련계획!$AC$4:$AC$803,$AK357))),TODAY()&lt;=INDEX(파견수련계획!$AC$4:$AC$803,$AK357))),"다기관",IF($AF357="","",INDEX(파견수련계획!$T$4:$T$803,$AF357))),IF($AF357="","",INDEX(파견수련계획!$T$4:$T$803,$AF357))))</f>
        <v/>
      </c>
      <c r="Q357" s="10">
        <f>IF($AF357="","",INDEX(파견수련계획!$S$4:$S$803,$AF357))</f>
        <v/>
      </c>
      <c r="R357" s="10">
        <f>IF($AF357="","",INDEX(파견수련계획!$U$4:$U$803,$AF357))</f>
        <v/>
      </c>
      <c r="S357" s="11">
        <f>IF($AF357="","",IF(INDEX(파견수련계획!$H$4:$H$803,$AF357)="","",INDEX(파견수련계획!$H$4:$H$803,$AF357)))</f>
        <v/>
      </c>
      <c r="T357" s="11">
        <f>IF($AF357="","",IF(INDEX(파견수련계획!$I$4:$I$803,$AF357)="","",INDEX(파견수련계획!$I$4:$I$803,$AF357)))</f>
        <v/>
      </c>
      <c r="U357" s="10">
        <f>IF($AF357="","",INDEX(파견수련계획!$X$4:$X$803,$AF357))</f>
        <v/>
      </c>
      <c r="V357" s="17">
        <f>IF($AF357="","",INDEX(파견수련계획!$V$4:$V$803,$AF357))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IF(OR($B357="",TRIM($J357&amp;"")=""),"",SUMPRODUCT((파견수련계획!$Q$4:$Q$803=TRIM($J357&amp;""))*파견수련계획!$W$4:$W$803))</f>
        <v/>
      </c>
      <c r="Y357" s="10">
        <f>IF($B357="","",IF($AG357="","",IF(IF(TRIM($J357&amp;"")="",0,SUMPRODUCT((파견수련계획!$Q$4:$Q$803=TRIM($J357&amp;""))*파견수련계획!$AD$4:$AD$803))&gt;0,$AE357,IF(N($X357)&lt;=0,$AG357,IF($AH357+$AI357=DAY(EOMONTH(요약!$B$3,0)),IF(AND($AH357&gt;=요약!$E$3,$AI357&lt;요약!$E$3),"서울병원",IF(AND($AI357&gt;=요약!$E$3,$AH357&lt;요약!$E$3),"구리병원","⚠15일 판정불가(서울 "&amp;$AH357&amp;"일/구리 "&amp;$AI357&amp;"일)")),IF($AJ357="",$AE357,IF(INDEX(파견수련계획!$T$4:$T$803,$AJ357)="통합수련",INDEX(파견수련계획!$S$4:$S$803,$AJ357),$AE357)))))))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입력",IF(IF(TRIM($J357&amp;"")="",0,SUMPRODUCT((파견수련계획!$Q$4:$Q$803=TRIM($J357&amp;""))*(파견수련계획!$AA$4:$AA$803&lt;&gt;"")))&gt;0,"파견수련계획 입력오류 확인",IF(LEFT($Y357,1)="⚠","서울·구리 15일 판정 불가(양쪽 모두 이상/미만)",IF(IF($AC357="",0,N(INDEX(인턴근무계획!$T$3:$T$402,$AC357)))&gt;0,"인턴계획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IF($B357="","",IFERROR(MATCH($B357,기본자료!$B$2:$B$1001,0),IFERROR(MATCH($B357&amp;"",기본자료!$B$2:$B$1001,0),IFERROR(MATCH(VALUE($B357),기본자료!$B$2:$B$1001,0),""))))</f>
        <v/>
      </c>
      <c r="AC357" s="10">
        <f>IF($B357="","",IFERROR(MATCH($B357,인턴근무계획!$D$3:$D$402,0),IFERROR(MATCH($B357&amp;"",인턴근무계획!$D$3:$D$402,0),IFERROR(MATCH(VALUE($B357),인턴근무계획!$D$3:$D$402,0),""))))</f>
        <v/>
      </c>
      <c r="AD357" s="10">
        <f>IF(OR($AC357="",인턴현황!$G$3=""),"",INDEX(인턴근무계획!$M$3:$R$402,$AC357,인턴현황!$G$3)&amp;"")</f>
        <v/>
      </c>
      <c r="AE357" s="10">
        <f>IF($B357="","",IF($M357&lt;&gt;"",$M357,IF($AF357&lt;&gt;"",IF(LEFT(INDEX(파견수련계획!$R$4:$R$803,$AF357),1)&lt;&gt;"⚠",INDEX(파견수련계획!$R$4:$R$803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파견수련계획!$Y$4:$Y$803,0),IFERROR(MATCH(TRIM($J357&amp;"")&amp;"|파견예정",파견수련계획!$Y$4:$Y$803,0),IFERROR(MATCH(TRIM($J357&amp;"")&amp;"|파견종료",파견수련계획!$Y$4:$Y$803,0),""))))</f>
        <v/>
      </c>
      <c r="AG357" s="10">
        <f>IF($B357="","",IF(AND(IF(OR($AC357="",인턴현황!$K$2=""),"",INDEX(인턴근무계획!$M$3:$R$402,$AC357,인턴현황!$K$2)&amp;"")&lt;&gt;"",LEFT(IF(OR($AC357="",인턴현황!$K$2=""),"",INDEX(인턴근무계획!$M$3:$R$402,$AC357,인턴현황!$K$2)&amp;""),1)&lt;&gt;"⚠"),LEFT(IF(OR($AC357="",인턴현황!$K$2=""),"",INDEX(인턴근무계획!$M$3:$R$402,$AC357,인턴현황!$K$2)&amp;""),FIND(" ",IF(OR($AC357="",인턴현황!$K$2=""),"",INDEX(인턴근무계획!$M$3:$R$402,$AC357,인턴현황!$K$2)&amp;""))-1),$AE357))</f>
        <v/>
      </c>
      <c r="AH357" s="17">
        <f>IF($B357="","",IF(TRIM($J357&amp;"")="",0,SUMPRODUCT((파견수련계획!$Q$4:$Q$803=TRIM($J357&amp;""))*(파견수련계획!$S$4:$S$803="서울병원")*파견수련계획!$W$4:$W$803))+IF($AG357="서울병원",MAX(0,DAY(EOMONTH(요약!$B$3,0))-N($X357)),0))</f>
        <v/>
      </c>
      <c r="AI357" s="17">
        <f>IF($B357="","",IF(TRIM($J357&amp;"")="",0,SUMPRODUCT((파견수련계획!$Q$4:$Q$803=TRIM($J357&amp;""))*(파견수련계획!$S$4:$S$803="구리병원")*파견수련계획!$W$4:$W$803))+IF($AG357="구리병원",MAX(0,DAY(EOMONTH(요약!$B$3,0))-N($X357)),0))</f>
        <v/>
      </c>
      <c r="AJ357" s="10">
        <f>IF(OR($B357="",TRIM($J357&amp;"")=""),"",IFERROR(MATCH(TRIM($J357&amp;"")&amp;"|월",파견수련계획!$Z$4:$Z$803,0),""))</f>
        <v/>
      </c>
      <c r="AK357" s="10">
        <f>IF(OR($B357="",TRIM($J357&amp;"")=""),"",IFERROR(MATCH(TRIM($J357&amp;"")&amp;"|다기관",파견수련계획!$AE$4:$AE$803,0),""))</f>
        <v/>
      </c>
      <c r="AL357" s="10">
        <f>IF($AK357="","","다기관 "&amp;TEXT(INDEX(파견수련계획!$AB$4:$AB$803,$AK357),"yyyy-mm-dd")&amp;"~"&amp;IF(ISNUMBER(INDEX(파견수련계획!$AC$4:$AC$803,$AK357)),TEXT(INDEX(파견수련계획!$AC$4:$AC$803,$AK357),"yyyy-mm-dd"),""))</f>
        <v/>
      </c>
    </row>
    <row r="358">
      <c r="A358" s="10">
        <f>IF(B358="","",ROW()-1)</f>
        <v/>
      </c>
      <c r="B358" s="18" t="n"/>
      <c r="C358" s="10">
        <f>IF($AB358="","",IF(INDEX(기본자료!$C$2:$C$1001,$AB358)="","",INDEX(기본자료!$C$2:$C$1001,$AB358)))</f>
        <v/>
      </c>
      <c r="D358" s="10">
        <f>IF($AB358="","",IF(INDEX(기본자료!$J$2:$J$1001,$AB358)="","",INDEX(기본자료!$J$2:$J$1001,$AB358)))</f>
        <v/>
      </c>
      <c r="E358" s="11">
        <f>IF($AB358="","",IF(INDEX(기본자료!$K$2:$K$1001,$AB358)="","",IF(NOT(ISNUMBER(INDEX(기본자료!$K$2:$K$1001,$AB358))),INDEX(기본자료!$K$2:$K$1001,$AB358),IF(INDEX(기본자료!$K$2:$K$1001,$AB358)&lt;1000000,INDEX(기본자료!$K$2:$K$1001,$AB358),IF(AND(INDEX(기본자료!$K$2:$K$1001,$AB358)&gt;=10000101,INT(MOD(INDEX(기본자료!$K$2:$K$1001,$AB358),10000)/100)&gt;=1,INT(MOD(INDEX(기본자료!$K$2:$K$1001,$AB358),10000)/100)&lt;=12,MOD(INDEX(기본자료!$K$2:$K$1001,$AB358),100)&gt;=1,MOD(INDEX(기본자료!$K$2:$K$1001,$AB358),100)&lt;=31),DATE(INT(INDEX(기본자료!$K$2:$K$1001,$AB358)/10000),INT(MOD(INDEX(기본자료!$K$2:$K$1001,$AB358),10000)/100),MOD(INDEX(기본자료!$K$2:$K$1001,$AB358),100)),INDEX(기본자료!$K$2:$K$1001,$AB358)&amp;"")))))</f>
        <v/>
      </c>
      <c r="F358" s="10">
        <f>IF($AB358="","",IF(INDEX(기본자료!$D$2:$D$1001,$AB358)="","",INDEX(기본자료!$D$2:$D$1001,$AB358)))</f>
        <v/>
      </c>
      <c r="G358" s="10">
        <f>IF($AB358="","",IF(INDEX(기본자료!$E$2:$E$1001,$AB358)="","",INDEX(기본자료!$E$2:$E$1001,$AB358)))</f>
        <v/>
      </c>
      <c r="H358" s="10">
        <f>IF($AB358="","",IF(INDEX(기본자료!$F$2:$F$1001,$AB358)="","",INDEX(기본자료!$F$2:$F$1001,$AB358)))</f>
        <v/>
      </c>
      <c r="I358" s="11">
        <f>IF($AB358="","",IF(INDEX(기본자료!$G$2:$G$1001,$AB358)="","",IF(NOT(ISNUMBER(INDEX(기본자료!$G$2:$G$1001,$AB358))),INDEX(기본자료!$G$2:$G$1001,$AB358),IF(INDEX(기본자료!$G$2:$G$1001,$AB358)&lt;1000000,INDEX(기본자료!$G$2:$G$1001,$AB358),IF(AND(INDEX(기본자료!$G$2:$G$1001,$AB358)&gt;=10000101,INT(MOD(INDEX(기본자료!$G$2:$G$1001,$AB358),10000)/100)&gt;=1,INT(MOD(INDEX(기본자료!$G$2:$G$1001,$AB358),10000)/100)&lt;=12,MOD(INDEX(기본자료!$G$2:$G$1001,$AB358),100)&gt;=1,MOD(INDEX(기본자료!$G$2:$G$1001,$AB358),100)&lt;=31),DATE(INT(INDEX(기본자료!$G$2:$G$1001,$AB358)/10000),INT(MOD(INDEX(기본자료!$G$2:$G$1001,$AB358),10000)/100),MOD(INDEX(기본자료!$G$2:$G$1001,$AB358),100)),INDEX(기본자료!$G$2:$G$1001,$AB358)&amp;"")))))</f>
        <v/>
      </c>
      <c r="J358" s="10">
        <f>IF($AB358="","",IF(INDEX(기본자료!$H$2:$H$1001,$AB358)="","",INDEX(기본자료!$H$2:$H$1001,$AB358)))</f>
        <v/>
      </c>
      <c r="K358" s="10">
        <f>IF($AB358="","",IF(INDEX(기본자료!$I$2:$I$1001,$AB358)="","",INDEX(기본자료!$I$2:$I$1001,$AB358)))</f>
        <v/>
      </c>
      <c r="L358" s="10">
        <f>IF($AB358="","",IF(INDEX(기본자료!$A$2:$A$1001,$AB358)="","",INDEX(기본자료!$A$2:$A$1001,$AB358)))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파견수련계획!$AB$4:$AB$803,$AK358),OR(NOT(ISNUMBER(INDEX(파견수련계획!$AC$4:$AC$803,$AK358))),TODAY()&lt;=INDEX(파견수련계획!$AC$4:$AC$803,$AK358))),"다기관",IF($AF358="","",INDEX(파견수련계획!$T$4:$T$803,$AF358))),IF($AF358="","",INDEX(파견수련계획!$T$4:$T$803,$AF358))))</f>
        <v/>
      </c>
      <c r="Q358" s="10">
        <f>IF($AF358="","",INDEX(파견수련계획!$S$4:$S$803,$AF358))</f>
        <v/>
      </c>
      <c r="R358" s="10">
        <f>IF($AF358="","",INDEX(파견수련계획!$U$4:$U$803,$AF358))</f>
        <v/>
      </c>
      <c r="S358" s="11">
        <f>IF($AF358="","",IF(INDEX(파견수련계획!$H$4:$H$803,$AF358)="","",INDEX(파견수련계획!$H$4:$H$803,$AF358)))</f>
        <v/>
      </c>
      <c r="T358" s="11">
        <f>IF($AF358="","",IF(INDEX(파견수련계획!$I$4:$I$803,$AF358)="","",INDEX(파견수련계획!$I$4:$I$803,$AF358)))</f>
        <v/>
      </c>
      <c r="U358" s="10">
        <f>IF($AF358="","",INDEX(파견수련계획!$X$4:$X$803,$AF358))</f>
        <v/>
      </c>
      <c r="V358" s="17">
        <f>IF($AF358="","",INDEX(파견수련계획!$V$4:$V$803,$AF358))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IF(OR($B358="",TRIM($J358&amp;"")=""),"",SUMPRODUCT((파견수련계획!$Q$4:$Q$803=TRIM($J358&amp;""))*파견수련계획!$W$4:$W$803))</f>
        <v/>
      </c>
      <c r="Y358" s="10">
        <f>IF($B358="","",IF($AG358="","",IF(IF(TRIM($J358&amp;"")="",0,SUMPRODUCT((파견수련계획!$Q$4:$Q$803=TRIM($J358&amp;""))*파견수련계획!$AD$4:$AD$803))&gt;0,$AE358,IF(N($X358)&lt;=0,$AG358,IF($AH358+$AI358=DAY(EOMONTH(요약!$B$3,0)),IF(AND($AH358&gt;=요약!$E$3,$AI358&lt;요약!$E$3),"서울병원",IF(AND($AI358&gt;=요약!$E$3,$AH358&lt;요약!$E$3),"구리병원","⚠15일 판정불가(서울 "&amp;$AH358&amp;"일/구리 "&amp;$AI358&amp;"일)")),IF($AJ358="",$AE358,IF(INDEX(파견수련계획!$T$4:$T$803,$AJ358)="통합수련",INDEX(파견수련계획!$S$4:$S$803,$AJ358),$AE358)))))))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입력",IF(IF(TRIM($J358&amp;"")="",0,SUMPRODUCT((파견수련계획!$Q$4:$Q$803=TRIM($J358&amp;""))*(파견수련계획!$AA$4:$AA$803&lt;&gt;"")))&gt;0,"파견수련계획 입력오류 확인",IF(LEFT($Y358,1)="⚠","서울·구리 15일 판정 불가(양쪽 모두 이상/미만)",IF(IF($AC358="",0,N(INDEX(인턴근무계획!$T$3:$T$402,$AC358)))&gt;0,"인턴계획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IF($B358="","",IFERROR(MATCH($B358,기본자료!$B$2:$B$1001,0),IFERROR(MATCH($B358&amp;"",기본자료!$B$2:$B$1001,0),IFERROR(MATCH(VALUE($B358),기본자료!$B$2:$B$1001,0),""))))</f>
        <v/>
      </c>
      <c r="AC358" s="10">
        <f>IF($B358="","",IFERROR(MATCH($B358,인턴근무계획!$D$3:$D$402,0),IFERROR(MATCH($B358&amp;"",인턴근무계획!$D$3:$D$402,0),IFERROR(MATCH(VALUE($B358),인턴근무계획!$D$3:$D$402,0),""))))</f>
        <v/>
      </c>
      <c r="AD358" s="10">
        <f>IF(OR($AC358="",인턴현황!$G$3=""),"",INDEX(인턴근무계획!$M$3:$R$402,$AC358,인턴현황!$G$3)&amp;"")</f>
        <v/>
      </c>
      <c r="AE358" s="10">
        <f>IF($B358="","",IF($M358&lt;&gt;"",$M358,IF($AF358&lt;&gt;"",IF(LEFT(INDEX(파견수련계획!$R$4:$R$803,$AF358),1)&lt;&gt;"⚠",INDEX(파견수련계획!$R$4:$R$803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파견수련계획!$Y$4:$Y$803,0),IFERROR(MATCH(TRIM($J358&amp;"")&amp;"|파견예정",파견수련계획!$Y$4:$Y$803,0),IFERROR(MATCH(TRIM($J358&amp;"")&amp;"|파견종료",파견수련계획!$Y$4:$Y$803,0),""))))</f>
        <v/>
      </c>
      <c r="AG358" s="10">
        <f>IF($B358="","",IF(AND(IF(OR($AC358="",인턴현황!$K$2=""),"",INDEX(인턴근무계획!$M$3:$R$402,$AC358,인턴현황!$K$2)&amp;"")&lt;&gt;"",LEFT(IF(OR($AC358="",인턴현황!$K$2=""),"",INDEX(인턴근무계획!$M$3:$R$402,$AC358,인턴현황!$K$2)&amp;""),1)&lt;&gt;"⚠"),LEFT(IF(OR($AC358="",인턴현황!$K$2=""),"",INDEX(인턴근무계획!$M$3:$R$402,$AC358,인턴현황!$K$2)&amp;""),FIND(" ",IF(OR($AC358="",인턴현황!$K$2=""),"",INDEX(인턴근무계획!$M$3:$R$402,$AC358,인턴현황!$K$2)&amp;""))-1),$AE358))</f>
        <v/>
      </c>
      <c r="AH358" s="17">
        <f>IF($B358="","",IF(TRIM($J358&amp;"")="",0,SUMPRODUCT((파견수련계획!$Q$4:$Q$803=TRIM($J358&amp;""))*(파견수련계획!$S$4:$S$803="서울병원")*파견수련계획!$W$4:$W$803))+IF($AG358="서울병원",MAX(0,DAY(EOMONTH(요약!$B$3,0))-N($X358)),0))</f>
        <v/>
      </c>
      <c r="AI358" s="17">
        <f>IF($B358="","",IF(TRIM($J358&amp;"")="",0,SUMPRODUCT((파견수련계획!$Q$4:$Q$803=TRIM($J358&amp;""))*(파견수련계획!$S$4:$S$803="구리병원")*파견수련계획!$W$4:$W$803))+IF($AG358="구리병원",MAX(0,DAY(EOMONTH(요약!$B$3,0))-N($X358)),0))</f>
        <v/>
      </c>
      <c r="AJ358" s="10">
        <f>IF(OR($B358="",TRIM($J358&amp;"")=""),"",IFERROR(MATCH(TRIM($J358&amp;"")&amp;"|월",파견수련계획!$Z$4:$Z$803,0),""))</f>
        <v/>
      </c>
      <c r="AK358" s="10">
        <f>IF(OR($B358="",TRIM($J358&amp;"")=""),"",IFERROR(MATCH(TRIM($J358&amp;"")&amp;"|다기관",파견수련계획!$AE$4:$AE$803,0),""))</f>
        <v/>
      </c>
      <c r="AL358" s="10">
        <f>IF($AK358="","","다기관 "&amp;TEXT(INDEX(파견수련계획!$AB$4:$AB$803,$AK358),"yyyy-mm-dd")&amp;"~"&amp;IF(ISNUMBER(INDEX(파견수련계획!$AC$4:$AC$803,$AK358)),TEXT(INDEX(파견수련계획!$AC$4:$AC$803,$AK358),"yyyy-mm-dd"),""))</f>
        <v/>
      </c>
    </row>
    <row r="359">
      <c r="A359" s="10">
        <f>IF(B359="","",ROW()-1)</f>
        <v/>
      </c>
      <c r="B359" s="18" t="n"/>
      <c r="C359" s="10">
        <f>IF($AB359="","",IF(INDEX(기본자료!$C$2:$C$1001,$AB359)="","",INDEX(기본자료!$C$2:$C$1001,$AB359)))</f>
        <v/>
      </c>
      <c r="D359" s="10">
        <f>IF($AB359="","",IF(INDEX(기본자료!$J$2:$J$1001,$AB359)="","",INDEX(기본자료!$J$2:$J$1001,$AB359)))</f>
        <v/>
      </c>
      <c r="E359" s="11">
        <f>IF($AB359="","",IF(INDEX(기본자료!$K$2:$K$1001,$AB359)="","",IF(NOT(ISNUMBER(INDEX(기본자료!$K$2:$K$1001,$AB359))),INDEX(기본자료!$K$2:$K$1001,$AB359),IF(INDEX(기본자료!$K$2:$K$1001,$AB359)&lt;1000000,INDEX(기본자료!$K$2:$K$1001,$AB359),IF(AND(INDEX(기본자료!$K$2:$K$1001,$AB359)&gt;=10000101,INT(MOD(INDEX(기본자료!$K$2:$K$1001,$AB359),10000)/100)&gt;=1,INT(MOD(INDEX(기본자료!$K$2:$K$1001,$AB359),10000)/100)&lt;=12,MOD(INDEX(기본자료!$K$2:$K$1001,$AB359),100)&gt;=1,MOD(INDEX(기본자료!$K$2:$K$1001,$AB359),100)&lt;=31),DATE(INT(INDEX(기본자료!$K$2:$K$1001,$AB359)/10000),INT(MOD(INDEX(기본자료!$K$2:$K$1001,$AB359),10000)/100),MOD(INDEX(기본자료!$K$2:$K$1001,$AB359),100)),INDEX(기본자료!$K$2:$K$1001,$AB359)&amp;"")))))</f>
        <v/>
      </c>
      <c r="F359" s="10">
        <f>IF($AB359="","",IF(INDEX(기본자료!$D$2:$D$1001,$AB359)="","",INDEX(기본자료!$D$2:$D$1001,$AB359)))</f>
        <v/>
      </c>
      <c r="G359" s="10">
        <f>IF($AB359="","",IF(INDEX(기본자료!$E$2:$E$1001,$AB359)="","",INDEX(기본자료!$E$2:$E$1001,$AB359)))</f>
        <v/>
      </c>
      <c r="H359" s="10">
        <f>IF($AB359="","",IF(INDEX(기본자료!$F$2:$F$1001,$AB359)="","",INDEX(기본자료!$F$2:$F$1001,$AB359)))</f>
        <v/>
      </c>
      <c r="I359" s="11">
        <f>IF($AB359="","",IF(INDEX(기본자료!$G$2:$G$1001,$AB359)="","",IF(NOT(ISNUMBER(INDEX(기본자료!$G$2:$G$1001,$AB359))),INDEX(기본자료!$G$2:$G$1001,$AB359),IF(INDEX(기본자료!$G$2:$G$1001,$AB359)&lt;1000000,INDEX(기본자료!$G$2:$G$1001,$AB359),IF(AND(INDEX(기본자료!$G$2:$G$1001,$AB359)&gt;=10000101,INT(MOD(INDEX(기본자료!$G$2:$G$1001,$AB359),10000)/100)&gt;=1,INT(MOD(INDEX(기본자료!$G$2:$G$1001,$AB359),10000)/100)&lt;=12,MOD(INDEX(기본자료!$G$2:$G$1001,$AB359),100)&gt;=1,MOD(INDEX(기본자료!$G$2:$G$1001,$AB359),100)&lt;=31),DATE(INT(INDEX(기본자료!$G$2:$G$1001,$AB359)/10000),INT(MOD(INDEX(기본자료!$G$2:$G$1001,$AB359),10000)/100),MOD(INDEX(기본자료!$G$2:$G$1001,$AB359),100)),INDEX(기본자료!$G$2:$G$1001,$AB359)&amp;"")))))</f>
        <v/>
      </c>
      <c r="J359" s="10">
        <f>IF($AB359="","",IF(INDEX(기본자료!$H$2:$H$1001,$AB359)="","",INDEX(기본자료!$H$2:$H$1001,$AB359)))</f>
        <v/>
      </c>
      <c r="K359" s="10">
        <f>IF($AB359="","",IF(INDEX(기본자료!$I$2:$I$1001,$AB359)="","",INDEX(기본자료!$I$2:$I$1001,$AB359)))</f>
        <v/>
      </c>
      <c r="L359" s="10">
        <f>IF($AB359="","",IF(INDEX(기본자료!$A$2:$A$1001,$AB359)="","",INDEX(기본자료!$A$2:$A$1001,$AB359)))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파견수련계획!$AB$4:$AB$803,$AK359),OR(NOT(ISNUMBER(INDEX(파견수련계획!$AC$4:$AC$803,$AK359))),TODAY()&lt;=INDEX(파견수련계획!$AC$4:$AC$803,$AK359))),"다기관",IF($AF359="","",INDEX(파견수련계획!$T$4:$T$803,$AF359))),IF($AF359="","",INDEX(파견수련계획!$T$4:$T$803,$AF359))))</f>
        <v/>
      </c>
      <c r="Q359" s="10">
        <f>IF($AF359="","",INDEX(파견수련계획!$S$4:$S$803,$AF359))</f>
        <v/>
      </c>
      <c r="R359" s="10">
        <f>IF($AF359="","",INDEX(파견수련계획!$U$4:$U$803,$AF359))</f>
        <v/>
      </c>
      <c r="S359" s="11">
        <f>IF($AF359="","",IF(INDEX(파견수련계획!$H$4:$H$803,$AF359)="","",INDEX(파견수련계획!$H$4:$H$803,$AF359)))</f>
        <v/>
      </c>
      <c r="T359" s="11">
        <f>IF($AF359="","",IF(INDEX(파견수련계획!$I$4:$I$803,$AF359)="","",INDEX(파견수련계획!$I$4:$I$803,$AF359)))</f>
        <v/>
      </c>
      <c r="U359" s="10">
        <f>IF($AF359="","",INDEX(파견수련계획!$X$4:$X$803,$AF359))</f>
        <v/>
      </c>
      <c r="V359" s="17">
        <f>IF($AF359="","",INDEX(파견수련계획!$V$4:$V$803,$AF359))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IF(OR($B359="",TRIM($J359&amp;"")=""),"",SUMPRODUCT((파견수련계획!$Q$4:$Q$803=TRIM($J359&amp;""))*파견수련계획!$W$4:$W$803))</f>
        <v/>
      </c>
      <c r="Y359" s="10">
        <f>IF($B359="","",IF($AG359="","",IF(IF(TRIM($J359&amp;"")="",0,SUMPRODUCT((파견수련계획!$Q$4:$Q$803=TRIM($J359&amp;""))*파견수련계획!$AD$4:$AD$803))&gt;0,$AE359,IF(N($X359)&lt;=0,$AG359,IF($AH359+$AI359=DAY(EOMONTH(요약!$B$3,0)),IF(AND($AH359&gt;=요약!$E$3,$AI359&lt;요약!$E$3),"서울병원",IF(AND($AI359&gt;=요약!$E$3,$AH359&lt;요약!$E$3),"구리병원","⚠15일 판정불가(서울 "&amp;$AH359&amp;"일/구리 "&amp;$AI359&amp;"일)")),IF($AJ359="",$AE359,IF(INDEX(파견수련계획!$T$4:$T$803,$AJ359)="통합수련",INDEX(파견수련계획!$S$4:$S$803,$AJ359),$AE359)))))))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입력",IF(IF(TRIM($J359&amp;"")="",0,SUMPRODUCT((파견수련계획!$Q$4:$Q$803=TRIM($J359&amp;""))*(파견수련계획!$AA$4:$AA$803&lt;&gt;"")))&gt;0,"파견수련계획 입력오류 확인",IF(LEFT($Y359,1)="⚠","서울·구리 15일 판정 불가(양쪽 모두 이상/미만)",IF(IF($AC359="",0,N(INDEX(인턴근무계획!$T$3:$T$402,$AC359)))&gt;0,"인턴계획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IF($B359="","",IFERROR(MATCH($B359,기본자료!$B$2:$B$1001,0),IFERROR(MATCH($B359&amp;"",기본자료!$B$2:$B$1001,0),IFERROR(MATCH(VALUE($B359),기본자료!$B$2:$B$1001,0),""))))</f>
        <v/>
      </c>
      <c r="AC359" s="10">
        <f>IF($B359="","",IFERROR(MATCH($B359,인턴근무계획!$D$3:$D$402,0),IFERROR(MATCH($B359&amp;"",인턴근무계획!$D$3:$D$402,0),IFERROR(MATCH(VALUE($B359),인턴근무계획!$D$3:$D$402,0),""))))</f>
        <v/>
      </c>
      <c r="AD359" s="10">
        <f>IF(OR($AC359="",인턴현황!$G$3=""),"",INDEX(인턴근무계획!$M$3:$R$402,$AC359,인턴현황!$G$3)&amp;"")</f>
        <v/>
      </c>
      <c r="AE359" s="10">
        <f>IF($B359="","",IF($M359&lt;&gt;"",$M359,IF($AF359&lt;&gt;"",IF(LEFT(INDEX(파견수련계획!$R$4:$R$803,$AF359),1)&lt;&gt;"⚠",INDEX(파견수련계획!$R$4:$R$803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파견수련계획!$Y$4:$Y$803,0),IFERROR(MATCH(TRIM($J359&amp;"")&amp;"|파견예정",파견수련계획!$Y$4:$Y$803,0),IFERROR(MATCH(TRIM($J359&amp;"")&amp;"|파견종료",파견수련계획!$Y$4:$Y$803,0),""))))</f>
        <v/>
      </c>
      <c r="AG359" s="10">
        <f>IF($B359="","",IF(AND(IF(OR($AC359="",인턴현황!$K$2=""),"",INDEX(인턴근무계획!$M$3:$R$402,$AC359,인턴현황!$K$2)&amp;"")&lt;&gt;"",LEFT(IF(OR($AC359="",인턴현황!$K$2=""),"",INDEX(인턴근무계획!$M$3:$R$402,$AC359,인턴현황!$K$2)&amp;""),1)&lt;&gt;"⚠"),LEFT(IF(OR($AC359="",인턴현황!$K$2=""),"",INDEX(인턴근무계획!$M$3:$R$402,$AC359,인턴현황!$K$2)&amp;""),FIND(" ",IF(OR($AC359="",인턴현황!$K$2=""),"",INDEX(인턴근무계획!$M$3:$R$402,$AC359,인턴현황!$K$2)&amp;""))-1),$AE359))</f>
        <v/>
      </c>
      <c r="AH359" s="17">
        <f>IF($B359="","",IF(TRIM($J359&amp;"")="",0,SUMPRODUCT((파견수련계획!$Q$4:$Q$803=TRIM($J359&amp;""))*(파견수련계획!$S$4:$S$803="서울병원")*파견수련계획!$W$4:$W$803))+IF($AG359="서울병원",MAX(0,DAY(EOMONTH(요약!$B$3,0))-N($X359)),0))</f>
        <v/>
      </c>
      <c r="AI359" s="17">
        <f>IF($B359="","",IF(TRIM($J359&amp;"")="",0,SUMPRODUCT((파견수련계획!$Q$4:$Q$803=TRIM($J359&amp;""))*(파견수련계획!$S$4:$S$803="구리병원")*파견수련계획!$W$4:$W$803))+IF($AG359="구리병원",MAX(0,DAY(EOMONTH(요약!$B$3,0))-N($X359)),0))</f>
        <v/>
      </c>
      <c r="AJ359" s="10">
        <f>IF(OR($B359="",TRIM($J359&amp;"")=""),"",IFERROR(MATCH(TRIM($J359&amp;"")&amp;"|월",파견수련계획!$Z$4:$Z$803,0),""))</f>
        <v/>
      </c>
      <c r="AK359" s="10">
        <f>IF(OR($B359="",TRIM($J359&amp;"")=""),"",IFERROR(MATCH(TRIM($J359&amp;"")&amp;"|다기관",파견수련계획!$AE$4:$AE$803,0),""))</f>
        <v/>
      </c>
      <c r="AL359" s="10">
        <f>IF($AK359="","","다기관 "&amp;TEXT(INDEX(파견수련계획!$AB$4:$AB$803,$AK359),"yyyy-mm-dd")&amp;"~"&amp;IF(ISNUMBER(INDEX(파견수련계획!$AC$4:$AC$803,$AK359)),TEXT(INDEX(파견수련계획!$AC$4:$AC$803,$AK359),"yyyy-mm-dd"),""))</f>
        <v/>
      </c>
    </row>
    <row r="360">
      <c r="A360" s="10">
        <f>IF(B360="","",ROW()-1)</f>
        <v/>
      </c>
      <c r="B360" s="18" t="n"/>
      <c r="C360" s="10">
        <f>IF($AB360="","",IF(INDEX(기본자료!$C$2:$C$1001,$AB360)="","",INDEX(기본자료!$C$2:$C$1001,$AB360)))</f>
        <v/>
      </c>
      <c r="D360" s="10">
        <f>IF($AB360="","",IF(INDEX(기본자료!$J$2:$J$1001,$AB360)="","",INDEX(기본자료!$J$2:$J$1001,$AB360)))</f>
        <v/>
      </c>
      <c r="E360" s="11">
        <f>IF($AB360="","",IF(INDEX(기본자료!$K$2:$K$1001,$AB360)="","",IF(NOT(ISNUMBER(INDEX(기본자료!$K$2:$K$1001,$AB360))),INDEX(기본자료!$K$2:$K$1001,$AB360),IF(INDEX(기본자료!$K$2:$K$1001,$AB360)&lt;1000000,INDEX(기본자료!$K$2:$K$1001,$AB360),IF(AND(INDEX(기본자료!$K$2:$K$1001,$AB360)&gt;=10000101,INT(MOD(INDEX(기본자료!$K$2:$K$1001,$AB360),10000)/100)&gt;=1,INT(MOD(INDEX(기본자료!$K$2:$K$1001,$AB360),10000)/100)&lt;=12,MOD(INDEX(기본자료!$K$2:$K$1001,$AB360),100)&gt;=1,MOD(INDEX(기본자료!$K$2:$K$1001,$AB360),100)&lt;=31),DATE(INT(INDEX(기본자료!$K$2:$K$1001,$AB360)/10000),INT(MOD(INDEX(기본자료!$K$2:$K$1001,$AB360),10000)/100),MOD(INDEX(기본자료!$K$2:$K$1001,$AB360),100)),INDEX(기본자료!$K$2:$K$1001,$AB360)&amp;"")))))</f>
        <v/>
      </c>
      <c r="F360" s="10">
        <f>IF($AB360="","",IF(INDEX(기본자료!$D$2:$D$1001,$AB360)="","",INDEX(기본자료!$D$2:$D$1001,$AB360)))</f>
        <v/>
      </c>
      <c r="G360" s="10">
        <f>IF($AB360="","",IF(INDEX(기본자료!$E$2:$E$1001,$AB360)="","",INDEX(기본자료!$E$2:$E$1001,$AB360)))</f>
        <v/>
      </c>
      <c r="H360" s="10">
        <f>IF($AB360="","",IF(INDEX(기본자료!$F$2:$F$1001,$AB360)="","",INDEX(기본자료!$F$2:$F$1001,$AB360)))</f>
        <v/>
      </c>
      <c r="I360" s="11">
        <f>IF($AB360="","",IF(INDEX(기본자료!$G$2:$G$1001,$AB360)="","",IF(NOT(ISNUMBER(INDEX(기본자료!$G$2:$G$1001,$AB360))),INDEX(기본자료!$G$2:$G$1001,$AB360),IF(INDEX(기본자료!$G$2:$G$1001,$AB360)&lt;1000000,INDEX(기본자료!$G$2:$G$1001,$AB360),IF(AND(INDEX(기본자료!$G$2:$G$1001,$AB360)&gt;=10000101,INT(MOD(INDEX(기본자료!$G$2:$G$1001,$AB360),10000)/100)&gt;=1,INT(MOD(INDEX(기본자료!$G$2:$G$1001,$AB360),10000)/100)&lt;=12,MOD(INDEX(기본자료!$G$2:$G$1001,$AB360),100)&gt;=1,MOD(INDEX(기본자료!$G$2:$G$1001,$AB360),100)&lt;=31),DATE(INT(INDEX(기본자료!$G$2:$G$1001,$AB360)/10000),INT(MOD(INDEX(기본자료!$G$2:$G$1001,$AB360),10000)/100),MOD(INDEX(기본자료!$G$2:$G$1001,$AB360),100)),INDEX(기본자료!$G$2:$G$1001,$AB360)&amp;"")))))</f>
        <v/>
      </c>
      <c r="J360" s="10">
        <f>IF($AB360="","",IF(INDEX(기본자료!$H$2:$H$1001,$AB360)="","",INDEX(기본자료!$H$2:$H$1001,$AB360)))</f>
        <v/>
      </c>
      <c r="K360" s="10">
        <f>IF($AB360="","",IF(INDEX(기본자료!$I$2:$I$1001,$AB360)="","",INDEX(기본자료!$I$2:$I$1001,$AB360)))</f>
        <v/>
      </c>
      <c r="L360" s="10">
        <f>IF($AB360="","",IF(INDEX(기본자료!$A$2:$A$1001,$AB360)="","",INDEX(기본자료!$A$2:$A$1001,$AB360)))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파견수련계획!$AB$4:$AB$803,$AK360),OR(NOT(ISNUMBER(INDEX(파견수련계획!$AC$4:$AC$803,$AK360))),TODAY()&lt;=INDEX(파견수련계획!$AC$4:$AC$803,$AK360))),"다기관",IF($AF360="","",INDEX(파견수련계획!$T$4:$T$803,$AF360))),IF($AF360="","",INDEX(파견수련계획!$T$4:$T$803,$AF360))))</f>
        <v/>
      </c>
      <c r="Q360" s="10">
        <f>IF($AF360="","",INDEX(파견수련계획!$S$4:$S$803,$AF360))</f>
        <v/>
      </c>
      <c r="R360" s="10">
        <f>IF($AF360="","",INDEX(파견수련계획!$U$4:$U$803,$AF360))</f>
        <v/>
      </c>
      <c r="S360" s="11">
        <f>IF($AF360="","",IF(INDEX(파견수련계획!$H$4:$H$803,$AF360)="","",INDEX(파견수련계획!$H$4:$H$803,$AF360)))</f>
        <v/>
      </c>
      <c r="T360" s="11">
        <f>IF($AF360="","",IF(INDEX(파견수련계획!$I$4:$I$803,$AF360)="","",INDEX(파견수련계획!$I$4:$I$803,$AF360)))</f>
        <v/>
      </c>
      <c r="U360" s="10">
        <f>IF($AF360="","",INDEX(파견수련계획!$X$4:$X$803,$AF360))</f>
        <v/>
      </c>
      <c r="V360" s="17">
        <f>IF($AF360="","",INDEX(파견수련계획!$V$4:$V$803,$AF360))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IF(OR($B360="",TRIM($J360&amp;"")=""),"",SUMPRODUCT((파견수련계획!$Q$4:$Q$803=TRIM($J360&amp;""))*파견수련계획!$W$4:$W$803))</f>
        <v/>
      </c>
      <c r="Y360" s="10">
        <f>IF($B360="","",IF($AG360="","",IF(IF(TRIM($J360&amp;"")="",0,SUMPRODUCT((파견수련계획!$Q$4:$Q$803=TRIM($J360&amp;""))*파견수련계획!$AD$4:$AD$803))&gt;0,$AE360,IF(N($X360)&lt;=0,$AG360,IF($AH360+$AI360=DAY(EOMONTH(요약!$B$3,0)),IF(AND($AH360&gt;=요약!$E$3,$AI360&lt;요약!$E$3),"서울병원",IF(AND($AI360&gt;=요약!$E$3,$AH360&lt;요약!$E$3),"구리병원","⚠15일 판정불가(서울 "&amp;$AH360&amp;"일/구리 "&amp;$AI360&amp;"일)")),IF($AJ360="",$AE360,IF(INDEX(파견수련계획!$T$4:$T$803,$AJ360)="통합수련",INDEX(파견수련계획!$S$4:$S$803,$AJ360),$AE360)))))))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입력",IF(IF(TRIM($J360&amp;"")="",0,SUMPRODUCT((파견수련계획!$Q$4:$Q$803=TRIM($J360&amp;""))*(파견수련계획!$AA$4:$AA$803&lt;&gt;"")))&gt;0,"파견수련계획 입력오류 확인",IF(LEFT($Y360,1)="⚠","서울·구리 15일 판정 불가(양쪽 모두 이상/미만)",IF(IF($AC360="",0,N(INDEX(인턴근무계획!$T$3:$T$402,$AC360)))&gt;0,"인턴계획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IF($B360="","",IFERROR(MATCH($B360,기본자료!$B$2:$B$1001,0),IFERROR(MATCH($B360&amp;"",기본자료!$B$2:$B$1001,0),IFERROR(MATCH(VALUE($B360),기본자료!$B$2:$B$1001,0),""))))</f>
        <v/>
      </c>
      <c r="AC360" s="10">
        <f>IF($B360="","",IFERROR(MATCH($B360,인턴근무계획!$D$3:$D$402,0),IFERROR(MATCH($B360&amp;"",인턴근무계획!$D$3:$D$402,0),IFERROR(MATCH(VALUE($B360),인턴근무계획!$D$3:$D$402,0),""))))</f>
        <v/>
      </c>
      <c r="AD360" s="10">
        <f>IF(OR($AC360="",인턴현황!$G$3=""),"",INDEX(인턴근무계획!$M$3:$R$402,$AC360,인턴현황!$G$3)&amp;"")</f>
        <v/>
      </c>
      <c r="AE360" s="10">
        <f>IF($B360="","",IF($M360&lt;&gt;"",$M360,IF($AF360&lt;&gt;"",IF(LEFT(INDEX(파견수련계획!$R$4:$R$803,$AF360),1)&lt;&gt;"⚠",INDEX(파견수련계획!$R$4:$R$803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파견수련계획!$Y$4:$Y$803,0),IFERROR(MATCH(TRIM($J360&amp;"")&amp;"|파견예정",파견수련계획!$Y$4:$Y$803,0),IFERROR(MATCH(TRIM($J360&amp;"")&amp;"|파견종료",파견수련계획!$Y$4:$Y$803,0),""))))</f>
        <v/>
      </c>
      <c r="AG360" s="10">
        <f>IF($B360="","",IF(AND(IF(OR($AC360="",인턴현황!$K$2=""),"",INDEX(인턴근무계획!$M$3:$R$402,$AC360,인턴현황!$K$2)&amp;"")&lt;&gt;"",LEFT(IF(OR($AC360="",인턴현황!$K$2=""),"",INDEX(인턴근무계획!$M$3:$R$402,$AC360,인턴현황!$K$2)&amp;""),1)&lt;&gt;"⚠"),LEFT(IF(OR($AC360="",인턴현황!$K$2=""),"",INDEX(인턴근무계획!$M$3:$R$402,$AC360,인턴현황!$K$2)&amp;""),FIND(" ",IF(OR($AC360="",인턴현황!$K$2=""),"",INDEX(인턴근무계획!$M$3:$R$402,$AC360,인턴현황!$K$2)&amp;""))-1),$AE360))</f>
        <v/>
      </c>
      <c r="AH360" s="17">
        <f>IF($B360="","",IF(TRIM($J360&amp;"")="",0,SUMPRODUCT((파견수련계획!$Q$4:$Q$803=TRIM($J360&amp;""))*(파견수련계획!$S$4:$S$803="서울병원")*파견수련계획!$W$4:$W$803))+IF($AG360="서울병원",MAX(0,DAY(EOMONTH(요약!$B$3,0))-N($X360)),0))</f>
        <v/>
      </c>
      <c r="AI360" s="17">
        <f>IF($B360="","",IF(TRIM($J360&amp;"")="",0,SUMPRODUCT((파견수련계획!$Q$4:$Q$803=TRIM($J360&amp;""))*(파견수련계획!$S$4:$S$803="구리병원")*파견수련계획!$W$4:$W$803))+IF($AG360="구리병원",MAX(0,DAY(EOMONTH(요약!$B$3,0))-N($X360)),0))</f>
        <v/>
      </c>
      <c r="AJ360" s="10">
        <f>IF(OR($B360="",TRIM($J360&amp;"")=""),"",IFERROR(MATCH(TRIM($J360&amp;"")&amp;"|월",파견수련계획!$Z$4:$Z$803,0),""))</f>
        <v/>
      </c>
      <c r="AK360" s="10">
        <f>IF(OR($B360="",TRIM($J360&amp;"")=""),"",IFERROR(MATCH(TRIM($J360&amp;"")&amp;"|다기관",파견수련계획!$AE$4:$AE$803,0),""))</f>
        <v/>
      </c>
      <c r="AL360" s="10">
        <f>IF($AK360="","","다기관 "&amp;TEXT(INDEX(파견수련계획!$AB$4:$AB$803,$AK360),"yyyy-mm-dd")&amp;"~"&amp;IF(ISNUMBER(INDEX(파견수련계획!$AC$4:$AC$803,$AK360)),TEXT(INDEX(파견수련계획!$AC$4:$AC$803,$AK360),"yyyy-mm-dd"),""))</f>
        <v/>
      </c>
    </row>
    <row r="361">
      <c r="A361" s="10">
        <f>IF(B361="","",ROW()-1)</f>
        <v/>
      </c>
      <c r="B361" s="18" t="n"/>
      <c r="C361" s="10">
        <f>IF($AB361="","",IF(INDEX(기본자료!$C$2:$C$1001,$AB361)="","",INDEX(기본자료!$C$2:$C$1001,$AB361)))</f>
        <v/>
      </c>
      <c r="D361" s="10">
        <f>IF($AB361="","",IF(INDEX(기본자료!$J$2:$J$1001,$AB361)="","",INDEX(기본자료!$J$2:$J$1001,$AB361)))</f>
        <v/>
      </c>
      <c r="E361" s="11">
        <f>IF($AB361="","",IF(INDEX(기본자료!$K$2:$K$1001,$AB361)="","",IF(NOT(ISNUMBER(INDEX(기본자료!$K$2:$K$1001,$AB361))),INDEX(기본자료!$K$2:$K$1001,$AB361),IF(INDEX(기본자료!$K$2:$K$1001,$AB361)&lt;1000000,INDEX(기본자료!$K$2:$K$1001,$AB361),IF(AND(INDEX(기본자료!$K$2:$K$1001,$AB361)&gt;=10000101,INT(MOD(INDEX(기본자료!$K$2:$K$1001,$AB361),10000)/100)&gt;=1,INT(MOD(INDEX(기본자료!$K$2:$K$1001,$AB361),10000)/100)&lt;=12,MOD(INDEX(기본자료!$K$2:$K$1001,$AB361),100)&gt;=1,MOD(INDEX(기본자료!$K$2:$K$1001,$AB361),100)&lt;=31),DATE(INT(INDEX(기본자료!$K$2:$K$1001,$AB361)/10000),INT(MOD(INDEX(기본자료!$K$2:$K$1001,$AB361),10000)/100),MOD(INDEX(기본자료!$K$2:$K$1001,$AB361),100)),INDEX(기본자료!$K$2:$K$1001,$AB361)&amp;"")))))</f>
        <v/>
      </c>
      <c r="F361" s="10">
        <f>IF($AB361="","",IF(INDEX(기본자료!$D$2:$D$1001,$AB361)="","",INDEX(기본자료!$D$2:$D$1001,$AB361)))</f>
        <v/>
      </c>
      <c r="G361" s="10">
        <f>IF($AB361="","",IF(INDEX(기본자료!$E$2:$E$1001,$AB361)="","",INDEX(기본자료!$E$2:$E$1001,$AB361)))</f>
        <v/>
      </c>
      <c r="H361" s="10">
        <f>IF($AB361="","",IF(INDEX(기본자료!$F$2:$F$1001,$AB361)="","",INDEX(기본자료!$F$2:$F$1001,$AB361)))</f>
        <v/>
      </c>
      <c r="I361" s="11">
        <f>IF($AB361="","",IF(INDEX(기본자료!$G$2:$G$1001,$AB361)="","",IF(NOT(ISNUMBER(INDEX(기본자료!$G$2:$G$1001,$AB361))),INDEX(기본자료!$G$2:$G$1001,$AB361),IF(INDEX(기본자료!$G$2:$G$1001,$AB361)&lt;1000000,INDEX(기본자료!$G$2:$G$1001,$AB361),IF(AND(INDEX(기본자료!$G$2:$G$1001,$AB361)&gt;=10000101,INT(MOD(INDEX(기본자료!$G$2:$G$1001,$AB361),10000)/100)&gt;=1,INT(MOD(INDEX(기본자료!$G$2:$G$1001,$AB361),10000)/100)&lt;=12,MOD(INDEX(기본자료!$G$2:$G$1001,$AB361),100)&gt;=1,MOD(INDEX(기본자료!$G$2:$G$1001,$AB361),100)&lt;=31),DATE(INT(INDEX(기본자료!$G$2:$G$1001,$AB361)/10000),INT(MOD(INDEX(기본자료!$G$2:$G$1001,$AB361),10000)/100),MOD(INDEX(기본자료!$G$2:$G$1001,$AB361),100)),INDEX(기본자료!$G$2:$G$1001,$AB361)&amp;"")))))</f>
        <v/>
      </c>
      <c r="J361" s="10">
        <f>IF($AB361="","",IF(INDEX(기본자료!$H$2:$H$1001,$AB361)="","",INDEX(기본자료!$H$2:$H$1001,$AB361)))</f>
        <v/>
      </c>
      <c r="K361" s="10">
        <f>IF($AB361="","",IF(INDEX(기본자료!$I$2:$I$1001,$AB361)="","",INDEX(기본자료!$I$2:$I$1001,$AB361)))</f>
        <v/>
      </c>
      <c r="L361" s="10">
        <f>IF($AB361="","",IF(INDEX(기본자료!$A$2:$A$1001,$AB361)="","",INDEX(기본자료!$A$2:$A$1001,$AB361)))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파견수련계획!$AB$4:$AB$803,$AK361),OR(NOT(ISNUMBER(INDEX(파견수련계획!$AC$4:$AC$803,$AK361))),TODAY()&lt;=INDEX(파견수련계획!$AC$4:$AC$803,$AK361))),"다기관",IF($AF361="","",INDEX(파견수련계획!$T$4:$T$803,$AF361))),IF($AF361="","",INDEX(파견수련계획!$T$4:$T$803,$AF361))))</f>
        <v/>
      </c>
      <c r="Q361" s="10">
        <f>IF($AF361="","",INDEX(파견수련계획!$S$4:$S$803,$AF361))</f>
        <v/>
      </c>
      <c r="R361" s="10">
        <f>IF($AF361="","",INDEX(파견수련계획!$U$4:$U$803,$AF361))</f>
        <v/>
      </c>
      <c r="S361" s="11">
        <f>IF($AF361="","",IF(INDEX(파견수련계획!$H$4:$H$803,$AF361)="","",INDEX(파견수련계획!$H$4:$H$803,$AF361)))</f>
        <v/>
      </c>
      <c r="T361" s="11">
        <f>IF($AF361="","",IF(INDEX(파견수련계획!$I$4:$I$803,$AF361)="","",INDEX(파견수련계획!$I$4:$I$803,$AF361)))</f>
        <v/>
      </c>
      <c r="U361" s="10">
        <f>IF($AF361="","",INDEX(파견수련계획!$X$4:$X$803,$AF361))</f>
        <v/>
      </c>
      <c r="V361" s="17">
        <f>IF($AF361="","",INDEX(파견수련계획!$V$4:$V$803,$AF361))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IF(OR($B361="",TRIM($J361&amp;"")=""),"",SUMPRODUCT((파견수련계획!$Q$4:$Q$803=TRIM($J361&amp;""))*파견수련계획!$W$4:$W$803))</f>
        <v/>
      </c>
      <c r="Y361" s="10">
        <f>IF($B361="","",IF($AG361="","",IF(IF(TRIM($J361&amp;"")="",0,SUMPRODUCT((파견수련계획!$Q$4:$Q$803=TRIM($J361&amp;""))*파견수련계획!$AD$4:$AD$803))&gt;0,$AE361,IF(N($X361)&lt;=0,$AG361,IF($AH361+$AI361=DAY(EOMONTH(요약!$B$3,0)),IF(AND($AH361&gt;=요약!$E$3,$AI361&lt;요약!$E$3),"서울병원",IF(AND($AI361&gt;=요약!$E$3,$AH361&lt;요약!$E$3),"구리병원","⚠15일 판정불가(서울 "&amp;$AH361&amp;"일/구리 "&amp;$AI361&amp;"일)")),IF($AJ361="",$AE361,IF(INDEX(파견수련계획!$T$4:$T$803,$AJ361)="통합수련",INDEX(파견수련계획!$S$4:$S$803,$AJ361),$AE361)))))))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입력",IF(IF(TRIM($J361&amp;"")="",0,SUMPRODUCT((파견수련계획!$Q$4:$Q$803=TRIM($J361&amp;""))*(파견수련계획!$AA$4:$AA$803&lt;&gt;"")))&gt;0,"파견수련계획 입력오류 확인",IF(LEFT($Y361,1)="⚠","서울·구리 15일 판정 불가(양쪽 모두 이상/미만)",IF(IF($AC361="",0,N(INDEX(인턴근무계획!$T$3:$T$402,$AC361)))&gt;0,"인턴계획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IF($B361="","",IFERROR(MATCH($B361,기본자료!$B$2:$B$1001,0),IFERROR(MATCH($B361&amp;"",기본자료!$B$2:$B$1001,0),IFERROR(MATCH(VALUE($B361),기본자료!$B$2:$B$1001,0),""))))</f>
        <v/>
      </c>
      <c r="AC361" s="10">
        <f>IF($B361="","",IFERROR(MATCH($B361,인턴근무계획!$D$3:$D$402,0),IFERROR(MATCH($B361&amp;"",인턴근무계획!$D$3:$D$402,0),IFERROR(MATCH(VALUE($B361),인턴근무계획!$D$3:$D$402,0),""))))</f>
        <v/>
      </c>
      <c r="AD361" s="10">
        <f>IF(OR($AC361="",인턴현황!$G$3=""),"",INDEX(인턴근무계획!$M$3:$R$402,$AC361,인턴현황!$G$3)&amp;"")</f>
        <v/>
      </c>
      <c r="AE361" s="10">
        <f>IF($B361="","",IF($M361&lt;&gt;"",$M361,IF($AF361&lt;&gt;"",IF(LEFT(INDEX(파견수련계획!$R$4:$R$803,$AF361),1)&lt;&gt;"⚠",INDEX(파견수련계획!$R$4:$R$803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파견수련계획!$Y$4:$Y$803,0),IFERROR(MATCH(TRIM($J361&amp;"")&amp;"|파견예정",파견수련계획!$Y$4:$Y$803,0),IFERROR(MATCH(TRIM($J361&amp;"")&amp;"|파견종료",파견수련계획!$Y$4:$Y$803,0),""))))</f>
        <v/>
      </c>
      <c r="AG361" s="10">
        <f>IF($B361="","",IF(AND(IF(OR($AC361="",인턴현황!$K$2=""),"",INDEX(인턴근무계획!$M$3:$R$402,$AC361,인턴현황!$K$2)&amp;"")&lt;&gt;"",LEFT(IF(OR($AC361="",인턴현황!$K$2=""),"",INDEX(인턴근무계획!$M$3:$R$402,$AC361,인턴현황!$K$2)&amp;""),1)&lt;&gt;"⚠"),LEFT(IF(OR($AC361="",인턴현황!$K$2=""),"",INDEX(인턴근무계획!$M$3:$R$402,$AC361,인턴현황!$K$2)&amp;""),FIND(" ",IF(OR($AC361="",인턴현황!$K$2=""),"",INDEX(인턴근무계획!$M$3:$R$402,$AC361,인턴현황!$K$2)&amp;""))-1),$AE361))</f>
        <v/>
      </c>
      <c r="AH361" s="17">
        <f>IF($B361="","",IF(TRIM($J361&amp;"")="",0,SUMPRODUCT((파견수련계획!$Q$4:$Q$803=TRIM($J361&amp;""))*(파견수련계획!$S$4:$S$803="서울병원")*파견수련계획!$W$4:$W$803))+IF($AG361="서울병원",MAX(0,DAY(EOMONTH(요약!$B$3,0))-N($X361)),0))</f>
        <v/>
      </c>
      <c r="AI361" s="17">
        <f>IF($B361="","",IF(TRIM($J361&amp;"")="",0,SUMPRODUCT((파견수련계획!$Q$4:$Q$803=TRIM($J361&amp;""))*(파견수련계획!$S$4:$S$803="구리병원")*파견수련계획!$W$4:$W$803))+IF($AG361="구리병원",MAX(0,DAY(EOMONTH(요약!$B$3,0))-N($X361)),0))</f>
        <v/>
      </c>
      <c r="AJ361" s="10">
        <f>IF(OR($B361="",TRIM($J361&amp;"")=""),"",IFERROR(MATCH(TRIM($J361&amp;"")&amp;"|월",파견수련계획!$Z$4:$Z$803,0),""))</f>
        <v/>
      </c>
      <c r="AK361" s="10">
        <f>IF(OR($B361="",TRIM($J361&amp;"")=""),"",IFERROR(MATCH(TRIM($J361&amp;"")&amp;"|다기관",파견수련계획!$AE$4:$AE$803,0),""))</f>
        <v/>
      </c>
      <c r="AL361" s="10">
        <f>IF($AK361="","","다기관 "&amp;TEXT(INDEX(파견수련계획!$AB$4:$AB$803,$AK361),"yyyy-mm-dd")&amp;"~"&amp;IF(ISNUMBER(INDEX(파견수련계획!$AC$4:$AC$803,$AK361)),TEXT(INDEX(파견수련계획!$AC$4:$AC$803,$AK361),"yyyy-mm-dd"),""))</f>
        <v/>
      </c>
    </row>
    <row r="362">
      <c r="A362" s="10">
        <f>IF(B362="","",ROW()-1)</f>
        <v/>
      </c>
      <c r="B362" s="18" t="n"/>
      <c r="C362" s="10">
        <f>IF($AB362="","",IF(INDEX(기본자료!$C$2:$C$1001,$AB362)="","",INDEX(기본자료!$C$2:$C$1001,$AB362)))</f>
        <v/>
      </c>
      <c r="D362" s="10">
        <f>IF($AB362="","",IF(INDEX(기본자료!$J$2:$J$1001,$AB362)="","",INDEX(기본자료!$J$2:$J$1001,$AB362)))</f>
        <v/>
      </c>
      <c r="E362" s="11">
        <f>IF($AB362="","",IF(INDEX(기본자료!$K$2:$K$1001,$AB362)="","",IF(NOT(ISNUMBER(INDEX(기본자료!$K$2:$K$1001,$AB362))),INDEX(기본자료!$K$2:$K$1001,$AB362),IF(INDEX(기본자료!$K$2:$K$1001,$AB362)&lt;1000000,INDEX(기본자료!$K$2:$K$1001,$AB362),IF(AND(INDEX(기본자료!$K$2:$K$1001,$AB362)&gt;=10000101,INT(MOD(INDEX(기본자료!$K$2:$K$1001,$AB362),10000)/100)&gt;=1,INT(MOD(INDEX(기본자료!$K$2:$K$1001,$AB362),10000)/100)&lt;=12,MOD(INDEX(기본자료!$K$2:$K$1001,$AB362),100)&gt;=1,MOD(INDEX(기본자료!$K$2:$K$1001,$AB362),100)&lt;=31),DATE(INT(INDEX(기본자료!$K$2:$K$1001,$AB362)/10000),INT(MOD(INDEX(기본자료!$K$2:$K$1001,$AB362),10000)/100),MOD(INDEX(기본자료!$K$2:$K$1001,$AB362),100)),INDEX(기본자료!$K$2:$K$1001,$AB362)&amp;"")))))</f>
        <v/>
      </c>
      <c r="F362" s="10">
        <f>IF($AB362="","",IF(INDEX(기본자료!$D$2:$D$1001,$AB362)="","",INDEX(기본자료!$D$2:$D$1001,$AB362)))</f>
        <v/>
      </c>
      <c r="G362" s="10">
        <f>IF($AB362="","",IF(INDEX(기본자료!$E$2:$E$1001,$AB362)="","",INDEX(기본자료!$E$2:$E$1001,$AB362)))</f>
        <v/>
      </c>
      <c r="H362" s="10">
        <f>IF($AB362="","",IF(INDEX(기본자료!$F$2:$F$1001,$AB362)="","",INDEX(기본자료!$F$2:$F$1001,$AB362)))</f>
        <v/>
      </c>
      <c r="I362" s="11">
        <f>IF($AB362="","",IF(INDEX(기본자료!$G$2:$G$1001,$AB362)="","",IF(NOT(ISNUMBER(INDEX(기본자료!$G$2:$G$1001,$AB362))),INDEX(기본자료!$G$2:$G$1001,$AB362),IF(INDEX(기본자료!$G$2:$G$1001,$AB362)&lt;1000000,INDEX(기본자료!$G$2:$G$1001,$AB362),IF(AND(INDEX(기본자료!$G$2:$G$1001,$AB362)&gt;=10000101,INT(MOD(INDEX(기본자료!$G$2:$G$1001,$AB362),10000)/100)&gt;=1,INT(MOD(INDEX(기본자료!$G$2:$G$1001,$AB362),10000)/100)&lt;=12,MOD(INDEX(기본자료!$G$2:$G$1001,$AB362),100)&gt;=1,MOD(INDEX(기본자료!$G$2:$G$1001,$AB362),100)&lt;=31),DATE(INT(INDEX(기본자료!$G$2:$G$1001,$AB362)/10000),INT(MOD(INDEX(기본자료!$G$2:$G$1001,$AB362),10000)/100),MOD(INDEX(기본자료!$G$2:$G$1001,$AB362),100)),INDEX(기본자료!$G$2:$G$1001,$AB362)&amp;"")))))</f>
        <v/>
      </c>
      <c r="J362" s="10">
        <f>IF($AB362="","",IF(INDEX(기본자료!$H$2:$H$1001,$AB362)="","",INDEX(기본자료!$H$2:$H$1001,$AB362)))</f>
        <v/>
      </c>
      <c r="K362" s="10">
        <f>IF($AB362="","",IF(INDEX(기본자료!$I$2:$I$1001,$AB362)="","",INDEX(기본자료!$I$2:$I$1001,$AB362)))</f>
        <v/>
      </c>
      <c r="L362" s="10">
        <f>IF($AB362="","",IF(INDEX(기본자료!$A$2:$A$1001,$AB362)="","",INDEX(기본자료!$A$2:$A$1001,$AB362)))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파견수련계획!$AB$4:$AB$803,$AK362),OR(NOT(ISNUMBER(INDEX(파견수련계획!$AC$4:$AC$803,$AK362))),TODAY()&lt;=INDEX(파견수련계획!$AC$4:$AC$803,$AK362))),"다기관",IF($AF362="","",INDEX(파견수련계획!$T$4:$T$803,$AF362))),IF($AF362="","",INDEX(파견수련계획!$T$4:$T$803,$AF362))))</f>
        <v/>
      </c>
      <c r="Q362" s="10">
        <f>IF($AF362="","",INDEX(파견수련계획!$S$4:$S$803,$AF362))</f>
        <v/>
      </c>
      <c r="R362" s="10">
        <f>IF($AF362="","",INDEX(파견수련계획!$U$4:$U$803,$AF362))</f>
        <v/>
      </c>
      <c r="S362" s="11">
        <f>IF($AF362="","",IF(INDEX(파견수련계획!$H$4:$H$803,$AF362)="","",INDEX(파견수련계획!$H$4:$H$803,$AF362)))</f>
        <v/>
      </c>
      <c r="T362" s="11">
        <f>IF($AF362="","",IF(INDEX(파견수련계획!$I$4:$I$803,$AF362)="","",INDEX(파견수련계획!$I$4:$I$803,$AF362)))</f>
        <v/>
      </c>
      <c r="U362" s="10">
        <f>IF($AF362="","",INDEX(파견수련계획!$X$4:$X$803,$AF362))</f>
        <v/>
      </c>
      <c r="V362" s="17">
        <f>IF($AF362="","",INDEX(파견수련계획!$V$4:$V$803,$AF362))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IF(OR($B362="",TRIM($J362&amp;"")=""),"",SUMPRODUCT((파견수련계획!$Q$4:$Q$803=TRIM($J362&amp;""))*파견수련계획!$W$4:$W$803))</f>
        <v/>
      </c>
      <c r="Y362" s="10">
        <f>IF($B362="","",IF($AG362="","",IF(IF(TRIM($J362&amp;"")="",0,SUMPRODUCT((파견수련계획!$Q$4:$Q$803=TRIM($J362&amp;""))*파견수련계획!$AD$4:$AD$803))&gt;0,$AE362,IF(N($X362)&lt;=0,$AG362,IF($AH362+$AI362=DAY(EOMONTH(요약!$B$3,0)),IF(AND($AH362&gt;=요약!$E$3,$AI362&lt;요약!$E$3),"서울병원",IF(AND($AI362&gt;=요약!$E$3,$AH362&lt;요약!$E$3),"구리병원","⚠15일 판정불가(서울 "&amp;$AH362&amp;"일/구리 "&amp;$AI362&amp;"일)")),IF($AJ362="",$AE362,IF(INDEX(파견수련계획!$T$4:$T$803,$AJ362)="통합수련",INDEX(파견수련계획!$S$4:$S$803,$AJ362),$AE362)))))))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입력",IF(IF(TRIM($J362&amp;"")="",0,SUMPRODUCT((파견수련계획!$Q$4:$Q$803=TRIM($J362&amp;""))*(파견수련계획!$AA$4:$AA$803&lt;&gt;"")))&gt;0,"파견수련계획 입력오류 확인",IF(LEFT($Y362,1)="⚠","서울·구리 15일 판정 불가(양쪽 모두 이상/미만)",IF(IF($AC362="",0,N(INDEX(인턴근무계획!$T$3:$T$402,$AC362)))&gt;0,"인턴계획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IF($B362="","",IFERROR(MATCH($B362,기본자료!$B$2:$B$1001,0),IFERROR(MATCH($B362&amp;"",기본자료!$B$2:$B$1001,0),IFERROR(MATCH(VALUE($B362),기본자료!$B$2:$B$1001,0),""))))</f>
        <v/>
      </c>
      <c r="AC362" s="10">
        <f>IF($B362="","",IFERROR(MATCH($B362,인턴근무계획!$D$3:$D$402,0),IFERROR(MATCH($B362&amp;"",인턴근무계획!$D$3:$D$402,0),IFERROR(MATCH(VALUE($B362),인턴근무계획!$D$3:$D$402,0),""))))</f>
        <v/>
      </c>
      <c r="AD362" s="10">
        <f>IF(OR($AC362="",인턴현황!$G$3=""),"",INDEX(인턴근무계획!$M$3:$R$402,$AC362,인턴현황!$G$3)&amp;"")</f>
        <v/>
      </c>
      <c r="AE362" s="10">
        <f>IF($B362="","",IF($M362&lt;&gt;"",$M362,IF($AF362&lt;&gt;"",IF(LEFT(INDEX(파견수련계획!$R$4:$R$803,$AF362),1)&lt;&gt;"⚠",INDEX(파견수련계획!$R$4:$R$803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파견수련계획!$Y$4:$Y$803,0),IFERROR(MATCH(TRIM($J362&amp;"")&amp;"|파견예정",파견수련계획!$Y$4:$Y$803,0),IFERROR(MATCH(TRIM($J362&amp;"")&amp;"|파견종료",파견수련계획!$Y$4:$Y$803,0),""))))</f>
        <v/>
      </c>
      <c r="AG362" s="10">
        <f>IF($B362="","",IF(AND(IF(OR($AC362="",인턴현황!$K$2=""),"",INDEX(인턴근무계획!$M$3:$R$402,$AC362,인턴현황!$K$2)&amp;"")&lt;&gt;"",LEFT(IF(OR($AC362="",인턴현황!$K$2=""),"",INDEX(인턴근무계획!$M$3:$R$402,$AC362,인턴현황!$K$2)&amp;""),1)&lt;&gt;"⚠"),LEFT(IF(OR($AC362="",인턴현황!$K$2=""),"",INDEX(인턴근무계획!$M$3:$R$402,$AC362,인턴현황!$K$2)&amp;""),FIND(" ",IF(OR($AC362="",인턴현황!$K$2=""),"",INDEX(인턴근무계획!$M$3:$R$402,$AC362,인턴현황!$K$2)&amp;""))-1),$AE362))</f>
        <v/>
      </c>
      <c r="AH362" s="17">
        <f>IF($B362="","",IF(TRIM($J362&amp;"")="",0,SUMPRODUCT((파견수련계획!$Q$4:$Q$803=TRIM($J362&amp;""))*(파견수련계획!$S$4:$S$803="서울병원")*파견수련계획!$W$4:$W$803))+IF($AG362="서울병원",MAX(0,DAY(EOMONTH(요약!$B$3,0))-N($X362)),0))</f>
        <v/>
      </c>
      <c r="AI362" s="17">
        <f>IF($B362="","",IF(TRIM($J362&amp;"")="",0,SUMPRODUCT((파견수련계획!$Q$4:$Q$803=TRIM($J362&amp;""))*(파견수련계획!$S$4:$S$803="구리병원")*파견수련계획!$W$4:$W$803))+IF($AG362="구리병원",MAX(0,DAY(EOMONTH(요약!$B$3,0))-N($X362)),0))</f>
        <v/>
      </c>
      <c r="AJ362" s="10">
        <f>IF(OR($B362="",TRIM($J362&amp;"")=""),"",IFERROR(MATCH(TRIM($J362&amp;"")&amp;"|월",파견수련계획!$Z$4:$Z$803,0),""))</f>
        <v/>
      </c>
      <c r="AK362" s="10">
        <f>IF(OR($B362="",TRIM($J362&amp;"")=""),"",IFERROR(MATCH(TRIM($J362&amp;"")&amp;"|다기관",파견수련계획!$AE$4:$AE$803,0),""))</f>
        <v/>
      </c>
      <c r="AL362" s="10">
        <f>IF($AK362="","","다기관 "&amp;TEXT(INDEX(파견수련계획!$AB$4:$AB$803,$AK362),"yyyy-mm-dd")&amp;"~"&amp;IF(ISNUMBER(INDEX(파견수련계획!$AC$4:$AC$803,$AK362)),TEXT(INDEX(파견수련계획!$AC$4:$AC$803,$AK362),"yyyy-mm-dd"),""))</f>
        <v/>
      </c>
    </row>
    <row r="363">
      <c r="A363" s="10">
        <f>IF(B363="","",ROW()-1)</f>
        <v/>
      </c>
      <c r="B363" s="18" t="n"/>
      <c r="C363" s="10">
        <f>IF($AB363="","",IF(INDEX(기본자료!$C$2:$C$1001,$AB363)="","",INDEX(기본자료!$C$2:$C$1001,$AB363)))</f>
        <v/>
      </c>
      <c r="D363" s="10">
        <f>IF($AB363="","",IF(INDEX(기본자료!$J$2:$J$1001,$AB363)="","",INDEX(기본자료!$J$2:$J$1001,$AB363)))</f>
        <v/>
      </c>
      <c r="E363" s="11">
        <f>IF($AB363="","",IF(INDEX(기본자료!$K$2:$K$1001,$AB363)="","",IF(NOT(ISNUMBER(INDEX(기본자료!$K$2:$K$1001,$AB363))),INDEX(기본자료!$K$2:$K$1001,$AB363),IF(INDEX(기본자료!$K$2:$K$1001,$AB363)&lt;1000000,INDEX(기본자료!$K$2:$K$1001,$AB363),IF(AND(INDEX(기본자료!$K$2:$K$1001,$AB363)&gt;=10000101,INT(MOD(INDEX(기본자료!$K$2:$K$1001,$AB363),10000)/100)&gt;=1,INT(MOD(INDEX(기본자료!$K$2:$K$1001,$AB363),10000)/100)&lt;=12,MOD(INDEX(기본자료!$K$2:$K$1001,$AB363),100)&gt;=1,MOD(INDEX(기본자료!$K$2:$K$1001,$AB363),100)&lt;=31),DATE(INT(INDEX(기본자료!$K$2:$K$1001,$AB363)/10000),INT(MOD(INDEX(기본자료!$K$2:$K$1001,$AB363),10000)/100),MOD(INDEX(기본자료!$K$2:$K$1001,$AB363),100)),INDEX(기본자료!$K$2:$K$1001,$AB363)&amp;"")))))</f>
        <v/>
      </c>
      <c r="F363" s="10">
        <f>IF($AB363="","",IF(INDEX(기본자료!$D$2:$D$1001,$AB363)="","",INDEX(기본자료!$D$2:$D$1001,$AB363)))</f>
        <v/>
      </c>
      <c r="G363" s="10">
        <f>IF($AB363="","",IF(INDEX(기본자료!$E$2:$E$1001,$AB363)="","",INDEX(기본자료!$E$2:$E$1001,$AB363)))</f>
        <v/>
      </c>
      <c r="H363" s="10">
        <f>IF($AB363="","",IF(INDEX(기본자료!$F$2:$F$1001,$AB363)="","",INDEX(기본자료!$F$2:$F$1001,$AB363)))</f>
        <v/>
      </c>
      <c r="I363" s="11">
        <f>IF($AB363="","",IF(INDEX(기본자료!$G$2:$G$1001,$AB363)="","",IF(NOT(ISNUMBER(INDEX(기본자료!$G$2:$G$1001,$AB363))),INDEX(기본자료!$G$2:$G$1001,$AB363),IF(INDEX(기본자료!$G$2:$G$1001,$AB363)&lt;1000000,INDEX(기본자료!$G$2:$G$1001,$AB363),IF(AND(INDEX(기본자료!$G$2:$G$1001,$AB363)&gt;=10000101,INT(MOD(INDEX(기본자료!$G$2:$G$1001,$AB363),10000)/100)&gt;=1,INT(MOD(INDEX(기본자료!$G$2:$G$1001,$AB363),10000)/100)&lt;=12,MOD(INDEX(기본자료!$G$2:$G$1001,$AB363),100)&gt;=1,MOD(INDEX(기본자료!$G$2:$G$1001,$AB363),100)&lt;=31),DATE(INT(INDEX(기본자료!$G$2:$G$1001,$AB363)/10000),INT(MOD(INDEX(기본자료!$G$2:$G$1001,$AB363),10000)/100),MOD(INDEX(기본자료!$G$2:$G$1001,$AB363),100)),INDEX(기본자료!$G$2:$G$1001,$AB363)&amp;"")))))</f>
        <v/>
      </c>
      <c r="J363" s="10">
        <f>IF($AB363="","",IF(INDEX(기본자료!$H$2:$H$1001,$AB363)="","",INDEX(기본자료!$H$2:$H$1001,$AB363)))</f>
        <v/>
      </c>
      <c r="K363" s="10">
        <f>IF($AB363="","",IF(INDEX(기본자료!$I$2:$I$1001,$AB363)="","",INDEX(기본자료!$I$2:$I$1001,$AB363)))</f>
        <v/>
      </c>
      <c r="L363" s="10">
        <f>IF($AB363="","",IF(INDEX(기본자료!$A$2:$A$1001,$AB363)="","",INDEX(기본자료!$A$2:$A$1001,$AB363)))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파견수련계획!$AB$4:$AB$803,$AK363),OR(NOT(ISNUMBER(INDEX(파견수련계획!$AC$4:$AC$803,$AK363))),TODAY()&lt;=INDEX(파견수련계획!$AC$4:$AC$803,$AK363))),"다기관",IF($AF363="","",INDEX(파견수련계획!$T$4:$T$803,$AF363))),IF($AF363="","",INDEX(파견수련계획!$T$4:$T$803,$AF363))))</f>
        <v/>
      </c>
      <c r="Q363" s="10">
        <f>IF($AF363="","",INDEX(파견수련계획!$S$4:$S$803,$AF363))</f>
        <v/>
      </c>
      <c r="R363" s="10">
        <f>IF($AF363="","",INDEX(파견수련계획!$U$4:$U$803,$AF363))</f>
        <v/>
      </c>
      <c r="S363" s="11">
        <f>IF($AF363="","",IF(INDEX(파견수련계획!$H$4:$H$803,$AF363)="","",INDEX(파견수련계획!$H$4:$H$803,$AF363)))</f>
        <v/>
      </c>
      <c r="T363" s="11">
        <f>IF($AF363="","",IF(INDEX(파견수련계획!$I$4:$I$803,$AF363)="","",INDEX(파견수련계획!$I$4:$I$803,$AF363)))</f>
        <v/>
      </c>
      <c r="U363" s="10">
        <f>IF($AF363="","",INDEX(파견수련계획!$X$4:$X$803,$AF363))</f>
        <v/>
      </c>
      <c r="V363" s="17">
        <f>IF($AF363="","",INDEX(파견수련계획!$V$4:$V$803,$AF363))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IF(OR($B363="",TRIM($J363&amp;"")=""),"",SUMPRODUCT((파견수련계획!$Q$4:$Q$803=TRIM($J363&amp;""))*파견수련계획!$W$4:$W$803))</f>
        <v/>
      </c>
      <c r="Y363" s="10">
        <f>IF($B363="","",IF($AG363="","",IF(IF(TRIM($J363&amp;"")="",0,SUMPRODUCT((파견수련계획!$Q$4:$Q$803=TRIM($J363&amp;""))*파견수련계획!$AD$4:$AD$803))&gt;0,$AE363,IF(N($X363)&lt;=0,$AG363,IF($AH363+$AI363=DAY(EOMONTH(요약!$B$3,0)),IF(AND($AH363&gt;=요약!$E$3,$AI363&lt;요약!$E$3),"서울병원",IF(AND($AI363&gt;=요약!$E$3,$AH363&lt;요약!$E$3),"구리병원","⚠15일 판정불가(서울 "&amp;$AH363&amp;"일/구리 "&amp;$AI363&amp;"일)")),IF($AJ363="",$AE363,IF(INDEX(파견수련계획!$T$4:$T$803,$AJ363)="통합수련",INDEX(파견수련계획!$S$4:$S$803,$AJ363),$AE363)))))))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입력",IF(IF(TRIM($J363&amp;"")="",0,SUMPRODUCT((파견수련계획!$Q$4:$Q$803=TRIM($J363&amp;""))*(파견수련계획!$AA$4:$AA$803&lt;&gt;"")))&gt;0,"파견수련계획 입력오류 확인",IF(LEFT($Y363,1)="⚠","서울·구리 15일 판정 불가(양쪽 모두 이상/미만)",IF(IF($AC363="",0,N(INDEX(인턴근무계획!$T$3:$T$402,$AC363)))&gt;0,"인턴계획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IF($B363="","",IFERROR(MATCH($B363,기본자료!$B$2:$B$1001,0),IFERROR(MATCH($B363&amp;"",기본자료!$B$2:$B$1001,0),IFERROR(MATCH(VALUE($B363),기본자료!$B$2:$B$1001,0),""))))</f>
        <v/>
      </c>
      <c r="AC363" s="10">
        <f>IF($B363="","",IFERROR(MATCH($B363,인턴근무계획!$D$3:$D$402,0),IFERROR(MATCH($B363&amp;"",인턴근무계획!$D$3:$D$402,0),IFERROR(MATCH(VALUE($B363),인턴근무계획!$D$3:$D$402,0),""))))</f>
        <v/>
      </c>
      <c r="AD363" s="10">
        <f>IF(OR($AC363="",인턴현황!$G$3=""),"",INDEX(인턴근무계획!$M$3:$R$402,$AC363,인턴현황!$G$3)&amp;"")</f>
        <v/>
      </c>
      <c r="AE363" s="10">
        <f>IF($B363="","",IF($M363&lt;&gt;"",$M363,IF($AF363&lt;&gt;"",IF(LEFT(INDEX(파견수련계획!$R$4:$R$803,$AF363),1)&lt;&gt;"⚠",INDEX(파견수련계획!$R$4:$R$803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파견수련계획!$Y$4:$Y$803,0),IFERROR(MATCH(TRIM($J363&amp;"")&amp;"|파견예정",파견수련계획!$Y$4:$Y$803,0),IFERROR(MATCH(TRIM($J363&amp;"")&amp;"|파견종료",파견수련계획!$Y$4:$Y$803,0),""))))</f>
        <v/>
      </c>
      <c r="AG363" s="10">
        <f>IF($B363="","",IF(AND(IF(OR($AC363="",인턴현황!$K$2=""),"",INDEX(인턴근무계획!$M$3:$R$402,$AC363,인턴현황!$K$2)&amp;"")&lt;&gt;"",LEFT(IF(OR($AC363="",인턴현황!$K$2=""),"",INDEX(인턴근무계획!$M$3:$R$402,$AC363,인턴현황!$K$2)&amp;""),1)&lt;&gt;"⚠"),LEFT(IF(OR($AC363="",인턴현황!$K$2=""),"",INDEX(인턴근무계획!$M$3:$R$402,$AC363,인턴현황!$K$2)&amp;""),FIND(" ",IF(OR($AC363="",인턴현황!$K$2=""),"",INDEX(인턴근무계획!$M$3:$R$402,$AC363,인턴현황!$K$2)&amp;""))-1),$AE363))</f>
        <v/>
      </c>
      <c r="AH363" s="17">
        <f>IF($B363="","",IF(TRIM($J363&amp;"")="",0,SUMPRODUCT((파견수련계획!$Q$4:$Q$803=TRIM($J363&amp;""))*(파견수련계획!$S$4:$S$803="서울병원")*파견수련계획!$W$4:$W$803))+IF($AG363="서울병원",MAX(0,DAY(EOMONTH(요약!$B$3,0))-N($X363)),0))</f>
        <v/>
      </c>
      <c r="AI363" s="17">
        <f>IF($B363="","",IF(TRIM($J363&amp;"")="",0,SUMPRODUCT((파견수련계획!$Q$4:$Q$803=TRIM($J363&amp;""))*(파견수련계획!$S$4:$S$803="구리병원")*파견수련계획!$W$4:$W$803))+IF($AG363="구리병원",MAX(0,DAY(EOMONTH(요약!$B$3,0))-N($X363)),0))</f>
        <v/>
      </c>
      <c r="AJ363" s="10">
        <f>IF(OR($B363="",TRIM($J363&amp;"")=""),"",IFERROR(MATCH(TRIM($J363&amp;"")&amp;"|월",파견수련계획!$Z$4:$Z$803,0),""))</f>
        <v/>
      </c>
      <c r="AK363" s="10">
        <f>IF(OR($B363="",TRIM($J363&amp;"")=""),"",IFERROR(MATCH(TRIM($J363&amp;"")&amp;"|다기관",파견수련계획!$AE$4:$AE$803,0),""))</f>
        <v/>
      </c>
      <c r="AL363" s="10">
        <f>IF($AK363="","","다기관 "&amp;TEXT(INDEX(파견수련계획!$AB$4:$AB$803,$AK363),"yyyy-mm-dd")&amp;"~"&amp;IF(ISNUMBER(INDEX(파견수련계획!$AC$4:$AC$803,$AK363)),TEXT(INDEX(파견수련계획!$AC$4:$AC$803,$AK363),"yyyy-mm-dd"),""))</f>
        <v/>
      </c>
    </row>
    <row r="364">
      <c r="A364" s="10">
        <f>IF(B364="","",ROW()-1)</f>
        <v/>
      </c>
      <c r="B364" s="18" t="n"/>
      <c r="C364" s="10">
        <f>IF($AB364="","",IF(INDEX(기본자료!$C$2:$C$1001,$AB364)="","",INDEX(기본자료!$C$2:$C$1001,$AB364)))</f>
        <v/>
      </c>
      <c r="D364" s="10">
        <f>IF($AB364="","",IF(INDEX(기본자료!$J$2:$J$1001,$AB364)="","",INDEX(기본자료!$J$2:$J$1001,$AB364)))</f>
        <v/>
      </c>
      <c r="E364" s="11">
        <f>IF($AB364="","",IF(INDEX(기본자료!$K$2:$K$1001,$AB364)="","",IF(NOT(ISNUMBER(INDEX(기본자료!$K$2:$K$1001,$AB364))),INDEX(기본자료!$K$2:$K$1001,$AB364),IF(INDEX(기본자료!$K$2:$K$1001,$AB364)&lt;1000000,INDEX(기본자료!$K$2:$K$1001,$AB364),IF(AND(INDEX(기본자료!$K$2:$K$1001,$AB364)&gt;=10000101,INT(MOD(INDEX(기본자료!$K$2:$K$1001,$AB364),10000)/100)&gt;=1,INT(MOD(INDEX(기본자료!$K$2:$K$1001,$AB364),10000)/100)&lt;=12,MOD(INDEX(기본자료!$K$2:$K$1001,$AB364),100)&gt;=1,MOD(INDEX(기본자료!$K$2:$K$1001,$AB364),100)&lt;=31),DATE(INT(INDEX(기본자료!$K$2:$K$1001,$AB364)/10000),INT(MOD(INDEX(기본자료!$K$2:$K$1001,$AB364),10000)/100),MOD(INDEX(기본자료!$K$2:$K$1001,$AB364),100)),INDEX(기본자료!$K$2:$K$1001,$AB364)&amp;"")))))</f>
        <v/>
      </c>
      <c r="F364" s="10">
        <f>IF($AB364="","",IF(INDEX(기본자료!$D$2:$D$1001,$AB364)="","",INDEX(기본자료!$D$2:$D$1001,$AB364)))</f>
        <v/>
      </c>
      <c r="G364" s="10">
        <f>IF($AB364="","",IF(INDEX(기본자료!$E$2:$E$1001,$AB364)="","",INDEX(기본자료!$E$2:$E$1001,$AB364)))</f>
        <v/>
      </c>
      <c r="H364" s="10">
        <f>IF($AB364="","",IF(INDEX(기본자료!$F$2:$F$1001,$AB364)="","",INDEX(기본자료!$F$2:$F$1001,$AB364)))</f>
        <v/>
      </c>
      <c r="I364" s="11">
        <f>IF($AB364="","",IF(INDEX(기본자료!$G$2:$G$1001,$AB364)="","",IF(NOT(ISNUMBER(INDEX(기본자료!$G$2:$G$1001,$AB364))),INDEX(기본자료!$G$2:$G$1001,$AB364),IF(INDEX(기본자료!$G$2:$G$1001,$AB364)&lt;1000000,INDEX(기본자료!$G$2:$G$1001,$AB364),IF(AND(INDEX(기본자료!$G$2:$G$1001,$AB364)&gt;=10000101,INT(MOD(INDEX(기본자료!$G$2:$G$1001,$AB364),10000)/100)&gt;=1,INT(MOD(INDEX(기본자료!$G$2:$G$1001,$AB364),10000)/100)&lt;=12,MOD(INDEX(기본자료!$G$2:$G$1001,$AB364),100)&gt;=1,MOD(INDEX(기본자료!$G$2:$G$1001,$AB364),100)&lt;=31),DATE(INT(INDEX(기본자료!$G$2:$G$1001,$AB364)/10000),INT(MOD(INDEX(기본자료!$G$2:$G$1001,$AB364),10000)/100),MOD(INDEX(기본자료!$G$2:$G$1001,$AB364),100)),INDEX(기본자료!$G$2:$G$1001,$AB364)&amp;"")))))</f>
        <v/>
      </c>
      <c r="J364" s="10">
        <f>IF($AB364="","",IF(INDEX(기본자료!$H$2:$H$1001,$AB364)="","",INDEX(기본자료!$H$2:$H$1001,$AB364)))</f>
        <v/>
      </c>
      <c r="K364" s="10">
        <f>IF($AB364="","",IF(INDEX(기본자료!$I$2:$I$1001,$AB364)="","",INDEX(기본자료!$I$2:$I$1001,$AB364)))</f>
        <v/>
      </c>
      <c r="L364" s="10">
        <f>IF($AB364="","",IF(INDEX(기본자료!$A$2:$A$1001,$AB364)="","",INDEX(기본자료!$A$2:$A$1001,$AB364)))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파견수련계획!$AB$4:$AB$803,$AK364),OR(NOT(ISNUMBER(INDEX(파견수련계획!$AC$4:$AC$803,$AK364))),TODAY()&lt;=INDEX(파견수련계획!$AC$4:$AC$803,$AK364))),"다기관",IF($AF364="","",INDEX(파견수련계획!$T$4:$T$803,$AF364))),IF($AF364="","",INDEX(파견수련계획!$T$4:$T$803,$AF364))))</f>
        <v/>
      </c>
      <c r="Q364" s="10">
        <f>IF($AF364="","",INDEX(파견수련계획!$S$4:$S$803,$AF364))</f>
        <v/>
      </c>
      <c r="R364" s="10">
        <f>IF($AF364="","",INDEX(파견수련계획!$U$4:$U$803,$AF364))</f>
        <v/>
      </c>
      <c r="S364" s="11">
        <f>IF($AF364="","",IF(INDEX(파견수련계획!$H$4:$H$803,$AF364)="","",INDEX(파견수련계획!$H$4:$H$803,$AF364)))</f>
        <v/>
      </c>
      <c r="T364" s="11">
        <f>IF($AF364="","",IF(INDEX(파견수련계획!$I$4:$I$803,$AF364)="","",INDEX(파견수련계획!$I$4:$I$803,$AF364)))</f>
        <v/>
      </c>
      <c r="U364" s="10">
        <f>IF($AF364="","",INDEX(파견수련계획!$X$4:$X$803,$AF364))</f>
        <v/>
      </c>
      <c r="V364" s="17">
        <f>IF($AF364="","",INDEX(파견수련계획!$V$4:$V$803,$AF364))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IF(OR($B364="",TRIM($J364&amp;"")=""),"",SUMPRODUCT((파견수련계획!$Q$4:$Q$803=TRIM($J364&amp;""))*파견수련계획!$W$4:$W$803))</f>
        <v/>
      </c>
      <c r="Y364" s="10">
        <f>IF($B364="","",IF($AG364="","",IF(IF(TRIM($J364&amp;"")="",0,SUMPRODUCT((파견수련계획!$Q$4:$Q$803=TRIM($J364&amp;""))*파견수련계획!$AD$4:$AD$803))&gt;0,$AE364,IF(N($X364)&lt;=0,$AG364,IF($AH364+$AI364=DAY(EOMONTH(요약!$B$3,0)),IF(AND($AH364&gt;=요약!$E$3,$AI364&lt;요약!$E$3),"서울병원",IF(AND($AI364&gt;=요약!$E$3,$AH364&lt;요약!$E$3),"구리병원","⚠15일 판정불가(서울 "&amp;$AH364&amp;"일/구리 "&amp;$AI364&amp;"일)")),IF($AJ364="",$AE364,IF(INDEX(파견수련계획!$T$4:$T$803,$AJ364)="통합수련",INDEX(파견수련계획!$S$4:$S$803,$AJ364),$AE364)))))))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입력",IF(IF(TRIM($J364&amp;"")="",0,SUMPRODUCT((파견수련계획!$Q$4:$Q$803=TRIM($J364&amp;""))*(파견수련계획!$AA$4:$AA$803&lt;&gt;"")))&gt;0,"파견수련계획 입력오류 확인",IF(LEFT($Y364,1)="⚠","서울·구리 15일 판정 불가(양쪽 모두 이상/미만)",IF(IF($AC364="",0,N(INDEX(인턴근무계획!$T$3:$T$402,$AC364)))&gt;0,"인턴계획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IF($B364="","",IFERROR(MATCH($B364,기본자료!$B$2:$B$1001,0),IFERROR(MATCH($B364&amp;"",기본자료!$B$2:$B$1001,0),IFERROR(MATCH(VALUE($B364),기본자료!$B$2:$B$1001,0),""))))</f>
        <v/>
      </c>
      <c r="AC364" s="10">
        <f>IF($B364="","",IFERROR(MATCH($B364,인턴근무계획!$D$3:$D$402,0),IFERROR(MATCH($B364&amp;"",인턴근무계획!$D$3:$D$402,0),IFERROR(MATCH(VALUE($B364),인턴근무계획!$D$3:$D$402,0),""))))</f>
        <v/>
      </c>
      <c r="AD364" s="10">
        <f>IF(OR($AC364="",인턴현황!$G$3=""),"",INDEX(인턴근무계획!$M$3:$R$402,$AC364,인턴현황!$G$3)&amp;"")</f>
        <v/>
      </c>
      <c r="AE364" s="10">
        <f>IF($B364="","",IF($M364&lt;&gt;"",$M364,IF($AF364&lt;&gt;"",IF(LEFT(INDEX(파견수련계획!$R$4:$R$803,$AF364),1)&lt;&gt;"⚠",INDEX(파견수련계획!$R$4:$R$803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파견수련계획!$Y$4:$Y$803,0),IFERROR(MATCH(TRIM($J364&amp;"")&amp;"|파견예정",파견수련계획!$Y$4:$Y$803,0),IFERROR(MATCH(TRIM($J364&amp;"")&amp;"|파견종료",파견수련계획!$Y$4:$Y$803,0),""))))</f>
        <v/>
      </c>
      <c r="AG364" s="10">
        <f>IF($B364="","",IF(AND(IF(OR($AC364="",인턴현황!$K$2=""),"",INDEX(인턴근무계획!$M$3:$R$402,$AC364,인턴현황!$K$2)&amp;"")&lt;&gt;"",LEFT(IF(OR($AC364="",인턴현황!$K$2=""),"",INDEX(인턴근무계획!$M$3:$R$402,$AC364,인턴현황!$K$2)&amp;""),1)&lt;&gt;"⚠"),LEFT(IF(OR($AC364="",인턴현황!$K$2=""),"",INDEX(인턴근무계획!$M$3:$R$402,$AC364,인턴현황!$K$2)&amp;""),FIND(" ",IF(OR($AC364="",인턴현황!$K$2=""),"",INDEX(인턴근무계획!$M$3:$R$402,$AC364,인턴현황!$K$2)&amp;""))-1),$AE364))</f>
        <v/>
      </c>
      <c r="AH364" s="17">
        <f>IF($B364="","",IF(TRIM($J364&amp;"")="",0,SUMPRODUCT((파견수련계획!$Q$4:$Q$803=TRIM($J364&amp;""))*(파견수련계획!$S$4:$S$803="서울병원")*파견수련계획!$W$4:$W$803))+IF($AG364="서울병원",MAX(0,DAY(EOMONTH(요약!$B$3,0))-N($X364)),0))</f>
        <v/>
      </c>
      <c r="AI364" s="17">
        <f>IF($B364="","",IF(TRIM($J364&amp;"")="",0,SUMPRODUCT((파견수련계획!$Q$4:$Q$803=TRIM($J364&amp;""))*(파견수련계획!$S$4:$S$803="구리병원")*파견수련계획!$W$4:$W$803))+IF($AG364="구리병원",MAX(0,DAY(EOMONTH(요약!$B$3,0))-N($X364)),0))</f>
        <v/>
      </c>
      <c r="AJ364" s="10">
        <f>IF(OR($B364="",TRIM($J364&amp;"")=""),"",IFERROR(MATCH(TRIM($J364&amp;"")&amp;"|월",파견수련계획!$Z$4:$Z$803,0),""))</f>
        <v/>
      </c>
      <c r="AK364" s="10">
        <f>IF(OR($B364="",TRIM($J364&amp;"")=""),"",IFERROR(MATCH(TRIM($J364&amp;"")&amp;"|다기관",파견수련계획!$AE$4:$AE$803,0),""))</f>
        <v/>
      </c>
      <c r="AL364" s="10">
        <f>IF($AK364="","","다기관 "&amp;TEXT(INDEX(파견수련계획!$AB$4:$AB$803,$AK364),"yyyy-mm-dd")&amp;"~"&amp;IF(ISNUMBER(INDEX(파견수련계획!$AC$4:$AC$803,$AK364)),TEXT(INDEX(파견수련계획!$AC$4:$AC$803,$AK364),"yyyy-mm-dd"),""))</f>
        <v/>
      </c>
    </row>
    <row r="365">
      <c r="A365" s="10">
        <f>IF(B365="","",ROW()-1)</f>
        <v/>
      </c>
      <c r="B365" s="18" t="n"/>
      <c r="C365" s="10">
        <f>IF($AB365="","",IF(INDEX(기본자료!$C$2:$C$1001,$AB365)="","",INDEX(기본자료!$C$2:$C$1001,$AB365)))</f>
        <v/>
      </c>
      <c r="D365" s="10">
        <f>IF($AB365="","",IF(INDEX(기본자료!$J$2:$J$1001,$AB365)="","",INDEX(기본자료!$J$2:$J$1001,$AB365)))</f>
        <v/>
      </c>
      <c r="E365" s="11">
        <f>IF($AB365="","",IF(INDEX(기본자료!$K$2:$K$1001,$AB365)="","",IF(NOT(ISNUMBER(INDEX(기본자료!$K$2:$K$1001,$AB365))),INDEX(기본자료!$K$2:$K$1001,$AB365),IF(INDEX(기본자료!$K$2:$K$1001,$AB365)&lt;1000000,INDEX(기본자료!$K$2:$K$1001,$AB365),IF(AND(INDEX(기본자료!$K$2:$K$1001,$AB365)&gt;=10000101,INT(MOD(INDEX(기본자료!$K$2:$K$1001,$AB365),10000)/100)&gt;=1,INT(MOD(INDEX(기본자료!$K$2:$K$1001,$AB365),10000)/100)&lt;=12,MOD(INDEX(기본자료!$K$2:$K$1001,$AB365),100)&gt;=1,MOD(INDEX(기본자료!$K$2:$K$1001,$AB365),100)&lt;=31),DATE(INT(INDEX(기본자료!$K$2:$K$1001,$AB365)/10000),INT(MOD(INDEX(기본자료!$K$2:$K$1001,$AB365),10000)/100),MOD(INDEX(기본자료!$K$2:$K$1001,$AB365),100)),INDEX(기본자료!$K$2:$K$1001,$AB365)&amp;"")))))</f>
        <v/>
      </c>
      <c r="F365" s="10">
        <f>IF($AB365="","",IF(INDEX(기본자료!$D$2:$D$1001,$AB365)="","",INDEX(기본자료!$D$2:$D$1001,$AB365)))</f>
        <v/>
      </c>
      <c r="G365" s="10">
        <f>IF($AB365="","",IF(INDEX(기본자료!$E$2:$E$1001,$AB365)="","",INDEX(기본자료!$E$2:$E$1001,$AB365)))</f>
        <v/>
      </c>
      <c r="H365" s="10">
        <f>IF($AB365="","",IF(INDEX(기본자료!$F$2:$F$1001,$AB365)="","",INDEX(기본자료!$F$2:$F$1001,$AB365)))</f>
        <v/>
      </c>
      <c r="I365" s="11">
        <f>IF($AB365="","",IF(INDEX(기본자료!$G$2:$G$1001,$AB365)="","",IF(NOT(ISNUMBER(INDEX(기본자료!$G$2:$G$1001,$AB365))),INDEX(기본자료!$G$2:$G$1001,$AB365),IF(INDEX(기본자료!$G$2:$G$1001,$AB365)&lt;1000000,INDEX(기본자료!$G$2:$G$1001,$AB365),IF(AND(INDEX(기본자료!$G$2:$G$1001,$AB365)&gt;=10000101,INT(MOD(INDEX(기본자료!$G$2:$G$1001,$AB365),10000)/100)&gt;=1,INT(MOD(INDEX(기본자료!$G$2:$G$1001,$AB365),10000)/100)&lt;=12,MOD(INDEX(기본자료!$G$2:$G$1001,$AB365),100)&gt;=1,MOD(INDEX(기본자료!$G$2:$G$1001,$AB365),100)&lt;=31),DATE(INT(INDEX(기본자료!$G$2:$G$1001,$AB365)/10000),INT(MOD(INDEX(기본자료!$G$2:$G$1001,$AB365),10000)/100),MOD(INDEX(기본자료!$G$2:$G$1001,$AB365),100)),INDEX(기본자료!$G$2:$G$1001,$AB365)&amp;"")))))</f>
        <v/>
      </c>
      <c r="J365" s="10">
        <f>IF($AB365="","",IF(INDEX(기본자료!$H$2:$H$1001,$AB365)="","",INDEX(기본자료!$H$2:$H$1001,$AB365)))</f>
        <v/>
      </c>
      <c r="K365" s="10">
        <f>IF($AB365="","",IF(INDEX(기본자료!$I$2:$I$1001,$AB365)="","",INDEX(기본자료!$I$2:$I$1001,$AB365)))</f>
        <v/>
      </c>
      <c r="L365" s="10">
        <f>IF($AB365="","",IF(INDEX(기본자료!$A$2:$A$1001,$AB365)="","",INDEX(기본자료!$A$2:$A$1001,$AB365)))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파견수련계획!$AB$4:$AB$803,$AK365),OR(NOT(ISNUMBER(INDEX(파견수련계획!$AC$4:$AC$803,$AK365))),TODAY()&lt;=INDEX(파견수련계획!$AC$4:$AC$803,$AK365))),"다기관",IF($AF365="","",INDEX(파견수련계획!$T$4:$T$803,$AF365))),IF($AF365="","",INDEX(파견수련계획!$T$4:$T$803,$AF365))))</f>
        <v/>
      </c>
      <c r="Q365" s="10">
        <f>IF($AF365="","",INDEX(파견수련계획!$S$4:$S$803,$AF365))</f>
        <v/>
      </c>
      <c r="R365" s="10">
        <f>IF($AF365="","",INDEX(파견수련계획!$U$4:$U$803,$AF365))</f>
        <v/>
      </c>
      <c r="S365" s="11">
        <f>IF($AF365="","",IF(INDEX(파견수련계획!$H$4:$H$803,$AF365)="","",INDEX(파견수련계획!$H$4:$H$803,$AF365)))</f>
        <v/>
      </c>
      <c r="T365" s="11">
        <f>IF($AF365="","",IF(INDEX(파견수련계획!$I$4:$I$803,$AF365)="","",INDEX(파견수련계획!$I$4:$I$803,$AF365)))</f>
        <v/>
      </c>
      <c r="U365" s="10">
        <f>IF($AF365="","",INDEX(파견수련계획!$X$4:$X$803,$AF365))</f>
        <v/>
      </c>
      <c r="V365" s="17">
        <f>IF($AF365="","",INDEX(파견수련계획!$V$4:$V$803,$AF365))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IF(OR($B365="",TRIM($J365&amp;"")=""),"",SUMPRODUCT((파견수련계획!$Q$4:$Q$803=TRIM($J365&amp;""))*파견수련계획!$W$4:$W$803))</f>
        <v/>
      </c>
      <c r="Y365" s="10">
        <f>IF($B365="","",IF($AG365="","",IF(IF(TRIM($J365&amp;"")="",0,SUMPRODUCT((파견수련계획!$Q$4:$Q$803=TRIM($J365&amp;""))*파견수련계획!$AD$4:$AD$803))&gt;0,$AE365,IF(N($X365)&lt;=0,$AG365,IF($AH365+$AI365=DAY(EOMONTH(요약!$B$3,0)),IF(AND($AH365&gt;=요약!$E$3,$AI365&lt;요약!$E$3),"서울병원",IF(AND($AI365&gt;=요약!$E$3,$AH365&lt;요약!$E$3),"구리병원","⚠15일 판정불가(서울 "&amp;$AH365&amp;"일/구리 "&amp;$AI365&amp;"일)")),IF($AJ365="",$AE365,IF(INDEX(파견수련계획!$T$4:$T$803,$AJ365)="통합수련",INDEX(파견수련계획!$S$4:$S$803,$AJ365),$AE365)))))))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입력",IF(IF(TRIM($J365&amp;"")="",0,SUMPRODUCT((파견수련계획!$Q$4:$Q$803=TRIM($J365&amp;""))*(파견수련계획!$AA$4:$AA$803&lt;&gt;"")))&gt;0,"파견수련계획 입력오류 확인",IF(LEFT($Y365,1)="⚠","서울·구리 15일 판정 불가(양쪽 모두 이상/미만)",IF(IF($AC365="",0,N(INDEX(인턴근무계획!$T$3:$T$402,$AC365)))&gt;0,"인턴계획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IF($B365="","",IFERROR(MATCH($B365,기본자료!$B$2:$B$1001,0),IFERROR(MATCH($B365&amp;"",기본자료!$B$2:$B$1001,0),IFERROR(MATCH(VALUE($B365),기본자료!$B$2:$B$1001,0),""))))</f>
        <v/>
      </c>
      <c r="AC365" s="10">
        <f>IF($B365="","",IFERROR(MATCH($B365,인턴근무계획!$D$3:$D$402,0),IFERROR(MATCH($B365&amp;"",인턴근무계획!$D$3:$D$402,0),IFERROR(MATCH(VALUE($B365),인턴근무계획!$D$3:$D$402,0),""))))</f>
        <v/>
      </c>
      <c r="AD365" s="10">
        <f>IF(OR($AC365="",인턴현황!$G$3=""),"",INDEX(인턴근무계획!$M$3:$R$402,$AC365,인턴현황!$G$3)&amp;"")</f>
        <v/>
      </c>
      <c r="AE365" s="10">
        <f>IF($B365="","",IF($M365&lt;&gt;"",$M365,IF($AF365&lt;&gt;"",IF(LEFT(INDEX(파견수련계획!$R$4:$R$803,$AF365),1)&lt;&gt;"⚠",INDEX(파견수련계획!$R$4:$R$803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파견수련계획!$Y$4:$Y$803,0),IFERROR(MATCH(TRIM($J365&amp;"")&amp;"|파견예정",파견수련계획!$Y$4:$Y$803,0),IFERROR(MATCH(TRIM($J365&amp;"")&amp;"|파견종료",파견수련계획!$Y$4:$Y$803,0),""))))</f>
        <v/>
      </c>
      <c r="AG365" s="10">
        <f>IF($B365="","",IF(AND(IF(OR($AC365="",인턴현황!$K$2=""),"",INDEX(인턴근무계획!$M$3:$R$402,$AC365,인턴현황!$K$2)&amp;"")&lt;&gt;"",LEFT(IF(OR($AC365="",인턴현황!$K$2=""),"",INDEX(인턴근무계획!$M$3:$R$402,$AC365,인턴현황!$K$2)&amp;""),1)&lt;&gt;"⚠"),LEFT(IF(OR($AC365="",인턴현황!$K$2=""),"",INDEX(인턴근무계획!$M$3:$R$402,$AC365,인턴현황!$K$2)&amp;""),FIND(" ",IF(OR($AC365="",인턴현황!$K$2=""),"",INDEX(인턴근무계획!$M$3:$R$402,$AC365,인턴현황!$K$2)&amp;""))-1),$AE365))</f>
        <v/>
      </c>
      <c r="AH365" s="17">
        <f>IF($B365="","",IF(TRIM($J365&amp;"")="",0,SUMPRODUCT((파견수련계획!$Q$4:$Q$803=TRIM($J365&amp;""))*(파견수련계획!$S$4:$S$803="서울병원")*파견수련계획!$W$4:$W$803))+IF($AG365="서울병원",MAX(0,DAY(EOMONTH(요약!$B$3,0))-N($X365)),0))</f>
        <v/>
      </c>
      <c r="AI365" s="17">
        <f>IF($B365="","",IF(TRIM($J365&amp;"")="",0,SUMPRODUCT((파견수련계획!$Q$4:$Q$803=TRIM($J365&amp;""))*(파견수련계획!$S$4:$S$803="구리병원")*파견수련계획!$W$4:$W$803))+IF($AG365="구리병원",MAX(0,DAY(EOMONTH(요약!$B$3,0))-N($X365)),0))</f>
        <v/>
      </c>
      <c r="AJ365" s="10">
        <f>IF(OR($B365="",TRIM($J365&amp;"")=""),"",IFERROR(MATCH(TRIM($J365&amp;"")&amp;"|월",파견수련계획!$Z$4:$Z$803,0),""))</f>
        <v/>
      </c>
      <c r="AK365" s="10">
        <f>IF(OR($B365="",TRIM($J365&amp;"")=""),"",IFERROR(MATCH(TRIM($J365&amp;"")&amp;"|다기관",파견수련계획!$AE$4:$AE$803,0),""))</f>
        <v/>
      </c>
      <c r="AL365" s="10">
        <f>IF($AK365="","","다기관 "&amp;TEXT(INDEX(파견수련계획!$AB$4:$AB$803,$AK365),"yyyy-mm-dd")&amp;"~"&amp;IF(ISNUMBER(INDEX(파견수련계획!$AC$4:$AC$803,$AK365)),TEXT(INDEX(파견수련계획!$AC$4:$AC$803,$AK365),"yyyy-mm-dd"),""))</f>
        <v/>
      </c>
    </row>
    <row r="366">
      <c r="A366" s="10">
        <f>IF(B366="","",ROW()-1)</f>
        <v/>
      </c>
      <c r="B366" s="18" t="n"/>
      <c r="C366" s="10">
        <f>IF($AB366="","",IF(INDEX(기본자료!$C$2:$C$1001,$AB366)="","",INDEX(기본자료!$C$2:$C$1001,$AB366)))</f>
        <v/>
      </c>
      <c r="D366" s="10">
        <f>IF($AB366="","",IF(INDEX(기본자료!$J$2:$J$1001,$AB366)="","",INDEX(기본자료!$J$2:$J$1001,$AB366)))</f>
        <v/>
      </c>
      <c r="E366" s="11">
        <f>IF($AB366="","",IF(INDEX(기본자료!$K$2:$K$1001,$AB366)="","",IF(NOT(ISNUMBER(INDEX(기본자료!$K$2:$K$1001,$AB366))),INDEX(기본자료!$K$2:$K$1001,$AB366),IF(INDEX(기본자료!$K$2:$K$1001,$AB366)&lt;1000000,INDEX(기본자료!$K$2:$K$1001,$AB366),IF(AND(INDEX(기본자료!$K$2:$K$1001,$AB366)&gt;=10000101,INT(MOD(INDEX(기본자료!$K$2:$K$1001,$AB366),10000)/100)&gt;=1,INT(MOD(INDEX(기본자료!$K$2:$K$1001,$AB366),10000)/100)&lt;=12,MOD(INDEX(기본자료!$K$2:$K$1001,$AB366),100)&gt;=1,MOD(INDEX(기본자료!$K$2:$K$1001,$AB366),100)&lt;=31),DATE(INT(INDEX(기본자료!$K$2:$K$1001,$AB366)/10000),INT(MOD(INDEX(기본자료!$K$2:$K$1001,$AB366),10000)/100),MOD(INDEX(기본자료!$K$2:$K$1001,$AB366),100)),INDEX(기본자료!$K$2:$K$1001,$AB366)&amp;"")))))</f>
        <v/>
      </c>
      <c r="F366" s="10">
        <f>IF($AB366="","",IF(INDEX(기본자료!$D$2:$D$1001,$AB366)="","",INDEX(기본자료!$D$2:$D$1001,$AB366)))</f>
        <v/>
      </c>
      <c r="G366" s="10">
        <f>IF($AB366="","",IF(INDEX(기본자료!$E$2:$E$1001,$AB366)="","",INDEX(기본자료!$E$2:$E$1001,$AB366)))</f>
        <v/>
      </c>
      <c r="H366" s="10">
        <f>IF($AB366="","",IF(INDEX(기본자료!$F$2:$F$1001,$AB366)="","",INDEX(기본자료!$F$2:$F$1001,$AB366)))</f>
        <v/>
      </c>
      <c r="I366" s="11">
        <f>IF($AB366="","",IF(INDEX(기본자료!$G$2:$G$1001,$AB366)="","",IF(NOT(ISNUMBER(INDEX(기본자료!$G$2:$G$1001,$AB366))),INDEX(기본자료!$G$2:$G$1001,$AB366),IF(INDEX(기본자료!$G$2:$G$1001,$AB366)&lt;1000000,INDEX(기본자료!$G$2:$G$1001,$AB366),IF(AND(INDEX(기본자료!$G$2:$G$1001,$AB366)&gt;=10000101,INT(MOD(INDEX(기본자료!$G$2:$G$1001,$AB366),10000)/100)&gt;=1,INT(MOD(INDEX(기본자료!$G$2:$G$1001,$AB366),10000)/100)&lt;=12,MOD(INDEX(기본자료!$G$2:$G$1001,$AB366),100)&gt;=1,MOD(INDEX(기본자료!$G$2:$G$1001,$AB366),100)&lt;=31),DATE(INT(INDEX(기본자료!$G$2:$G$1001,$AB366)/10000),INT(MOD(INDEX(기본자료!$G$2:$G$1001,$AB366),10000)/100),MOD(INDEX(기본자료!$G$2:$G$1001,$AB366),100)),INDEX(기본자료!$G$2:$G$1001,$AB366)&amp;"")))))</f>
        <v/>
      </c>
      <c r="J366" s="10">
        <f>IF($AB366="","",IF(INDEX(기본자료!$H$2:$H$1001,$AB366)="","",INDEX(기본자료!$H$2:$H$1001,$AB366)))</f>
        <v/>
      </c>
      <c r="K366" s="10">
        <f>IF($AB366="","",IF(INDEX(기본자료!$I$2:$I$1001,$AB366)="","",INDEX(기본자료!$I$2:$I$1001,$AB366)))</f>
        <v/>
      </c>
      <c r="L366" s="10">
        <f>IF($AB366="","",IF(INDEX(기본자료!$A$2:$A$1001,$AB366)="","",INDEX(기본자료!$A$2:$A$1001,$AB366)))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파견수련계획!$AB$4:$AB$803,$AK366),OR(NOT(ISNUMBER(INDEX(파견수련계획!$AC$4:$AC$803,$AK366))),TODAY()&lt;=INDEX(파견수련계획!$AC$4:$AC$803,$AK366))),"다기관",IF($AF366="","",INDEX(파견수련계획!$T$4:$T$803,$AF366))),IF($AF366="","",INDEX(파견수련계획!$T$4:$T$803,$AF366))))</f>
        <v/>
      </c>
      <c r="Q366" s="10">
        <f>IF($AF366="","",INDEX(파견수련계획!$S$4:$S$803,$AF366))</f>
        <v/>
      </c>
      <c r="R366" s="10">
        <f>IF($AF366="","",INDEX(파견수련계획!$U$4:$U$803,$AF366))</f>
        <v/>
      </c>
      <c r="S366" s="11">
        <f>IF($AF366="","",IF(INDEX(파견수련계획!$H$4:$H$803,$AF366)="","",INDEX(파견수련계획!$H$4:$H$803,$AF366)))</f>
        <v/>
      </c>
      <c r="T366" s="11">
        <f>IF($AF366="","",IF(INDEX(파견수련계획!$I$4:$I$803,$AF366)="","",INDEX(파견수련계획!$I$4:$I$803,$AF366)))</f>
        <v/>
      </c>
      <c r="U366" s="10">
        <f>IF($AF366="","",INDEX(파견수련계획!$X$4:$X$803,$AF366))</f>
        <v/>
      </c>
      <c r="V366" s="17">
        <f>IF($AF366="","",INDEX(파견수련계획!$V$4:$V$803,$AF366))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IF(OR($B366="",TRIM($J366&amp;"")=""),"",SUMPRODUCT((파견수련계획!$Q$4:$Q$803=TRIM($J366&amp;""))*파견수련계획!$W$4:$W$803))</f>
        <v/>
      </c>
      <c r="Y366" s="10">
        <f>IF($B366="","",IF($AG366="","",IF(IF(TRIM($J366&amp;"")="",0,SUMPRODUCT((파견수련계획!$Q$4:$Q$803=TRIM($J366&amp;""))*파견수련계획!$AD$4:$AD$803))&gt;0,$AE366,IF(N($X366)&lt;=0,$AG366,IF($AH366+$AI366=DAY(EOMONTH(요약!$B$3,0)),IF(AND($AH366&gt;=요약!$E$3,$AI366&lt;요약!$E$3),"서울병원",IF(AND($AI366&gt;=요약!$E$3,$AH366&lt;요약!$E$3),"구리병원","⚠15일 판정불가(서울 "&amp;$AH366&amp;"일/구리 "&amp;$AI366&amp;"일)")),IF($AJ366="",$AE366,IF(INDEX(파견수련계획!$T$4:$T$803,$AJ366)="통합수련",INDEX(파견수련계획!$S$4:$S$803,$AJ366),$AE366)))))))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입력",IF(IF(TRIM($J366&amp;"")="",0,SUMPRODUCT((파견수련계획!$Q$4:$Q$803=TRIM($J366&amp;""))*(파견수련계획!$AA$4:$AA$803&lt;&gt;"")))&gt;0,"파견수련계획 입력오류 확인",IF(LEFT($Y366,1)="⚠","서울·구리 15일 판정 불가(양쪽 모두 이상/미만)",IF(IF($AC366="",0,N(INDEX(인턴근무계획!$T$3:$T$402,$AC366)))&gt;0,"인턴계획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IF($B366="","",IFERROR(MATCH($B366,기본자료!$B$2:$B$1001,0),IFERROR(MATCH($B366&amp;"",기본자료!$B$2:$B$1001,0),IFERROR(MATCH(VALUE($B366),기본자료!$B$2:$B$1001,0),""))))</f>
        <v/>
      </c>
      <c r="AC366" s="10">
        <f>IF($B366="","",IFERROR(MATCH($B366,인턴근무계획!$D$3:$D$402,0),IFERROR(MATCH($B366&amp;"",인턴근무계획!$D$3:$D$402,0),IFERROR(MATCH(VALUE($B366),인턴근무계획!$D$3:$D$402,0),""))))</f>
        <v/>
      </c>
      <c r="AD366" s="10">
        <f>IF(OR($AC366="",인턴현황!$G$3=""),"",INDEX(인턴근무계획!$M$3:$R$402,$AC366,인턴현황!$G$3)&amp;"")</f>
        <v/>
      </c>
      <c r="AE366" s="10">
        <f>IF($B366="","",IF($M366&lt;&gt;"",$M366,IF($AF366&lt;&gt;"",IF(LEFT(INDEX(파견수련계획!$R$4:$R$803,$AF366),1)&lt;&gt;"⚠",INDEX(파견수련계획!$R$4:$R$803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파견수련계획!$Y$4:$Y$803,0),IFERROR(MATCH(TRIM($J366&amp;"")&amp;"|파견예정",파견수련계획!$Y$4:$Y$803,0),IFERROR(MATCH(TRIM($J366&amp;"")&amp;"|파견종료",파견수련계획!$Y$4:$Y$803,0),""))))</f>
        <v/>
      </c>
      <c r="AG366" s="10">
        <f>IF($B366="","",IF(AND(IF(OR($AC366="",인턴현황!$K$2=""),"",INDEX(인턴근무계획!$M$3:$R$402,$AC366,인턴현황!$K$2)&amp;"")&lt;&gt;"",LEFT(IF(OR($AC366="",인턴현황!$K$2=""),"",INDEX(인턴근무계획!$M$3:$R$402,$AC366,인턴현황!$K$2)&amp;""),1)&lt;&gt;"⚠"),LEFT(IF(OR($AC366="",인턴현황!$K$2=""),"",INDEX(인턴근무계획!$M$3:$R$402,$AC366,인턴현황!$K$2)&amp;""),FIND(" ",IF(OR($AC366="",인턴현황!$K$2=""),"",INDEX(인턴근무계획!$M$3:$R$402,$AC366,인턴현황!$K$2)&amp;""))-1),$AE366))</f>
        <v/>
      </c>
      <c r="AH366" s="17">
        <f>IF($B366="","",IF(TRIM($J366&amp;"")="",0,SUMPRODUCT((파견수련계획!$Q$4:$Q$803=TRIM($J366&amp;""))*(파견수련계획!$S$4:$S$803="서울병원")*파견수련계획!$W$4:$W$803))+IF($AG366="서울병원",MAX(0,DAY(EOMONTH(요약!$B$3,0))-N($X366)),0))</f>
        <v/>
      </c>
      <c r="AI366" s="17">
        <f>IF($B366="","",IF(TRIM($J366&amp;"")="",0,SUMPRODUCT((파견수련계획!$Q$4:$Q$803=TRIM($J366&amp;""))*(파견수련계획!$S$4:$S$803="구리병원")*파견수련계획!$W$4:$W$803))+IF($AG366="구리병원",MAX(0,DAY(EOMONTH(요약!$B$3,0))-N($X366)),0))</f>
        <v/>
      </c>
      <c r="AJ366" s="10">
        <f>IF(OR($B366="",TRIM($J366&amp;"")=""),"",IFERROR(MATCH(TRIM($J366&amp;"")&amp;"|월",파견수련계획!$Z$4:$Z$803,0),""))</f>
        <v/>
      </c>
      <c r="AK366" s="10">
        <f>IF(OR($B366="",TRIM($J366&amp;"")=""),"",IFERROR(MATCH(TRIM($J366&amp;"")&amp;"|다기관",파견수련계획!$AE$4:$AE$803,0),""))</f>
        <v/>
      </c>
      <c r="AL366" s="10">
        <f>IF($AK366="","","다기관 "&amp;TEXT(INDEX(파견수련계획!$AB$4:$AB$803,$AK366),"yyyy-mm-dd")&amp;"~"&amp;IF(ISNUMBER(INDEX(파견수련계획!$AC$4:$AC$803,$AK366)),TEXT(INDEX(파견수련계획!$AC$4:$AC$803,$AK366),"yyyy-mm-dd"),""))</f>
        <v/>
      </c>
    </row>
    <row r="367">
      <c r="A367" s="10">
        <f>IF(B367="","",ROW()-1)</f>
        <v/>
      </c>
      <c r="B367" s="18" t="n"/>
      <c r="C367" s="10">
        <f>IF($AB367="","",IF(INDEX(기본자료!$C$2:$C$1001,$AB367)="","",INDEX(기본자료!$C$2:$C$1001,$AB367)))</f>
        <v/>
      </c>
      <c r="D367" s="10">
        <f>IF($AB367="","",IF(INDEX(기본자료!$J$2:$J$1001,$AB367)="","",INDEX(기본자료!$J$2:$J$1001,$AB367)))</f>
        <v/>
      </c>
      <c r="E367" s="11">
        <f>IF($AB367="","",IF(INDEX(기본자료!$K$2:$K$1001,$AB367)="","",IF(NOT(ISNUMBER(INDEX(기본자료!$K$2:$K$1001,$AB367))),INDEX(기본자료!$K$2:$K$1001,$AB367),IF(INDEX(기본자료!$K$2:$K$1001,$AB367)&lt;1000000,INDEX(기본자료!$K$2:$K$1001,$AB367),IF(AND(INDEX(기본자료!$K$2:$K$1001,$AB367)&gt;=10000101,INT(MOD(INDEX(기본자료!$K$2:$K$1001,$AB367),10000)/100)&gt;=1,INT(MOD(INDEX(기본자료!$K$2:$K$1001,$AB367),10000)/100)&lt;=12,MOD(INDEX(기본자료!$K$2:$K$1001,$AB367),100)&gt;=1,MOD(INDEX(기본자료!$K$2:$K$1001,$AB367),100)&lt;=31),DATE(INT(INDEX(기본자료!$K$2:$K$1001,$AB367)/10000),INT(MOD(INDEX(기본자료!$K$2:$K$1001,$AB367),10000)/100),MOD(INDEX(기본자료!$K$2:$K$1001,$AB367),100)),INDEX(기본자료!$K$2:$K$1001,$AB367)&amp;"")))))</f>
        <v/>
      </c>
      <c r="F367" s="10">
        <f>IF($AB367="","",IF(INDEX(기본자료!$D$2:$D$1001,$AB367)="","",INDEX(기본자료!$D$2:$D$1001,$AB367)))</f>
        <v/>
      </c>
      <c r="G367" s="10">
        <f>IF($AB367="","",IF(INDEX(기본자료!$E$2:$E$1001,$AB367)="","",INDEX(기본자료!$E$2:$E$1001,$AB367)))</f>
        <v/>
      </c>
      <c r="H367" s="10">
        <f>IF($AB367="","",IF(INDEX(기본자료!$F$2:$F$1001,$AB367)="","",INDEX(기본자료!$F$2:$F$1001,$AB367)))</f>
        <v/>
      </c>
      <c r="I367" s="11">
        <f>IF($AB367="","",IF(INDEX(기본자료!$G$2:$G$1001,$AB367)="","",IF(NOT(ISNUMBER(INDEX(기본자료!$G$2:$G$1001,$AB367))),INDEX(기본자료!$G$2:$G$1001,$AB367),IF(INDEX(기본자료!$G$2:$G$1001,$AB367)&lt;1000000,INDEX(기본자료!$G$2:$G$1001,$AB367),IF(AND(INDEX(기본자료!$G$2:$G$1001,$AB367)&gt;=10000101,INT(MOD(INDEX(기본자료!$G$2:$G$1001,$AB367),10000)/100)&gt;=1,INT(MOD(INDEX(기본자료!$G$2:$G$1001,$AB367),10000)/100)&lt;=12,MOD(INDEX(기본자료!$G$2:$G$1001,$AB367),100)&gt;=1,MOD(INDEX(기본자료!$G$2:$G$1001,$AB367),100)&lt;=31),DATE(INT(INDEX(기본자료!$G$2:$G$1001,$AB367)/10000),INT(MOD(INDEX(기본자료!$G$2:$G$1001,$AB367),10000)/100),MOD(INDEX(기본자료!$G$2:$G$1001,$AB367),100)),INDEX(기본자료!$G$2:$G$1001,$AB367)&amp;"")))))</f>
        <v/>
      </c>
      <c r="J367" s="10">
        <f>IF($AB367="","",IF(INDEX(기본자료!$H$2:$H$1001,$AB367)="","",INDEX(기본자료!$H$2:$H$1001,$AB367)))</f>
        <v/>
      </c>
      <c r="K367" s="10">
        <f>IF($AB367="","",IF(INDEX(기본자료!$I$2:$I$1001,$AB367)="","",INDEX(기본자료!$I$2:$I$1001,$AB367)))</f>
        <v/>
      </c>
      <c r="L367" s="10">
        <f>IF($AB367="","",IF(INDEX(기본자료!$A$2:$A$1001,$AB367)="","",INDEX(기본자료!$A$2:$A$1001,$AB367)))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파견수련계획!$AB$4:$AB$803,$AK367),OR(NOT(ISNUMBER(INDEX(파견수련계획!$AC$4:$AC$803,$AK367))),TODAY()&lt;=INDEX(파견수련계획!$AC$4:$AC$803,$AK367))),"다기관",IF($AF367="","",INDEX(파견수련계획!$T$4:$T$803,$AF367))),IF($AF367="","",INDEX(파견수련계획!$T$4:$T$803,$AF367))))</f>
        <v/>
      </c>
      <c r="Q367" s="10">
        <f>IF($AF367="","",INDEX(파견수련계획!$S$4:$S$803,$AF367))</f>
        <v/>
      </c>
      <c r="R367" s="10">
        <f>IF($AF367="","",INDEX(파견수련계획!$U$4:$U$803,$AF367))</f>
        <v/>
      </c>
      <c r="S367" s="11">
        <f>IF($AF367="","",IF(INDEX(파견수련계획!$H$4:$H$803,$AF367)="","",INDEX(파견수련계획!$H$4:$H$803,$AF367)))</f>
        <v/>
      </c>
      <c r="T367" s="11">
        <f>IF($AF367="","",IF(INDEX(파견수련계획!$I$4:$I$803,$AF367)="","",INDEX(파견수련계획!$I$4:$I$803,$AF367)))</f>
        <v/>
      </c>
      <c r="U367" s="10">
        <f>IF($AF367="","",INDEX(파견수련계획!$X$4:$X$803,$AF367))</f>
        <v/>
      </c>
      <c r="V367" s="17">
        <f>IF($AF367="","",INDEX(파견수련계획!$V$4:$V$803,$AF367))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IF(OR($B367="",TRIM($J367&amp;"")=""),"",SUMPRODUCT((파견수련계획!$Q$4:$Q$803=TRIM($J367&amp;""))*파견수련계획!$W$4:$W$803))</f>
        <v/>
      </c>
      <c r="Y367" s="10">
        <f>IF($B367="","",IF($AG367="","",IF(IF(TRIM($J367&amp;"")="",0,SUMPRODUCT((파견수련계획!$Q$4:$Q$803=TRIM($J367&amp;""))*파견수련계획!$AD$4:$AD$803))&gt;0,$AE367,IF(N($X367)&lt;=0,$AG367,IF($AH367+$AI367=DAY(EOMONTH(요약!$B$3,0)),IF(AND($AH367&gt;=요약!$E$3,$AI367&lt;요약!$E$3),"서울병원",IF(AND($AI367&gt;=요약!$E$3,$AH367&lt;요약!$E$3),"구리병원","⚠15일 판정불가(서울 "&amp;$AH367&amp;"일/구리 "&amp;$AI367&amp;"일)")),IF($AJ367="",$AE367,IF(INDEX(파견수련계획!$T$4:$T$803,$AJ367)="통합수련",INDEX(파견수련계획!$S$4:$S$803,$AJ367),$AE367)))))))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입력",IF(IF(TRIM($J367&amp;"")="",0,SUMPRODUCT((파견수련계획!$Q$4:$Q$803=TRIM($J367&amp;""))*(파견수련계획!$AA$4:$AA$803&lt;&gt;"")))&gt;0,"파견수련계획 입력오류 확인",IF(LEFT($Y367,1)="⚠","서울·구리 15일 판정 불가(양쪽 모두 이상/미만)",IF(IF($AC367="",0,N(INDEX(인턴근무계획!$T$3:$T$402,$AC367)))&gt;0,"인턴계획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IF($B367="","",IFERROR(MATCH($B367,기본자료!$B$2:$B$1001,0),IFERROR(MATCH($B367&amp;"",기본자료!$B$2:$B$1001,0),IFERROR(MATCH(VALUE($B367),기본자료!$B$2:$B$1001,0),""))))</f>
        <v/>
      </c>
      <c r="AC367" s="10">
        <f>IF($B367="","",IFERROR(MATCH($B367,인턴근무계획!$D$3:$D$402,0),IFERROR(MATCH($B367&amp;"",인턴근무계획!$D$3:$D$402,0),IFERROR(MATCH(VALUE($B367),인턴근무계획!$D$3:$D$402,0),""))))</f>
        <v/>
      </c>
      <c r="AD367" s="10">
        <f>IF(OR($AC367="",인턴현황!$G$3=""),"",INDEX(인턴근무계획!$M$3:$R$402,$AC367,인턴현황!$G$3)&amp;"")</f>
        <v/>
      </c>
      <c r="AE367" s="10">
        <f>IF($B367="","",IF($M367&lt;&gt;"",$M367,IF($AF367&lt;&gt;"",IF(LEFT(INDEX(파견수련계획!$R$4:$R$803,$AF367),1)&lt;&gt;"⚠",INDEX(파견수련계획!$R$4:$R$803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파견수련계획!$Y$4:$Y$803,0),IFERROR(MATCH(TRIM($J367&amp;"")&amp;"|파견예정",파견수련계획!$Y$4:$Y$803,0),IFERROR(MATCH(TRIM($J367&amp;"")&amp;"|파견종료",파견수련계획!$Y$4:$Y$803,0),""))))</f>
        <v/>
      </c>
      <c r="AG367" s="10">
        <f>IF($B367="","",IF(AND(IF(OR($AC367="",인턴현황!$K$2=""),"",INDEX(인턴근무계획!$M$3:$R$402,$AC367,인턴현황!$K$2)&amp;"")&lt;&gt;"",LEFT(IF(OR($AC367="",인턴현황!$K$2=""),"",INDEX(인턴근무계획!$M$3:$R$402,$AC367,인턴현황!$K$2)&amp;""),1)&lt;&gt;"⚠"),LEFT(IF(OR($AC367="",인턴현황!$K$2=""),"",INDEX(인턴근무계획!$M$3:$R$402,$AC367,인턴현황!$K$2)&amp;""),FIND(" ",IF(OR($AC367="",인턴현황!$K$2=""),"",INDEX(인턴근무계획!$M$3:$R$402,$AC367,인턴현황!$K$2)&amp;""))-1),$AE367))</f>
        <v/>
      </c>
      <c r="AH367" s="17">
        <f>IF($B367="","",IF(TRIM($J367&amp;"")="",0,SUMPRODUCT((파견수련계획!$Q$4:$Q$803=TRIM($J367&amp;""))*(파견수련계획!$S$4:$S$803="서울병원")*파견수련계획!$W$4:$W$803))+IF($AG367="서울병원",MAX(0,DAY(EOMONTH(요약!$B$3,0))-N($X367)),0))</f>
        <v/>
      </c>
      <c r="AI367" s="17">
        <f>IF($B367="","",IF(TRIM($J367&amp;"")="",0,SUMPRODUCT((파견수련계획!$Q$4:$Q$803=TRIM($J367&amp;""))*(파견수련계획!$S$4:$S$803="구리병원")*파견수련계획!$W$4:$W$803))+IF($AG367="구리병원",MAX(0,DAY(EOMONTH(요약!$B$3,0))-N($X367)),0))</f>
        <v/>
      </c>
      <c r="AJ367" s="10">
        <f>IF(OR($B367="",TRIM($J367&amp;"")=""),"",IFERROR(MATCH(TRIM($J367&amp;"")&amp;"|월",파견수련계획!$Z$4:$Z$803,0),""))</f>
        <v/>
      </c>
      <c r="AK367" s="10">
        <f>IF(OR($B367="",TRIM($J367&amp;"")=""),"",IFERROR(MATCH(TRIM($J367&amp;"")&amp;"|다기관",파견수련계획!$AE$4:$AE$803,0),""))</f>
        <v/>
      </c>
      <c r="AL367" s="10">
        <f>IF($AK367="","","다기관 "&amp;TEXT(INDEX(파견수련계획!$AB$4:$AB$803,$AK367),"yyyy-mm-dd")&amp;"~"&amp;IF(ISNUMBER(INDEX(파견수련계획!$AC$4:$AC$803,$AK367)),TEXT(INDEX(파견수련계획!$AC$4:$AC$803,$AK367),"yyyy-mm-dd"),""))</f>
        <v/>
      </c>
    </row>
    <row r="368">
      <c r="A368" s="10">
        <f>IF(B368="","",ROW()-1)</f>
        <v/>
      </c>
      <c r="B368" s="18" t="n"/>
      <c r="C368" s="10">
        <f>IF($AB368="","",IF(INDEX(기본자료!$C$2:$C$1001,$AB368)="","",INDEX(기본자료!$C$2:$C$1001,$AB368)))</f>
        <v/>
      </c>
      <c r="D368" s="10">
        <f>IF($AB368="","",IF(INDEX(기본자료!$J$2:$J$1001,$AB368)="","",INDEX(기본자료!$J$2:$J$1001,$AB368)))</f>
        <v/>
      </c>
      <c r="E368" s="11">
        <f>IF($AB368="","",IF(INDEX(기본자료!$K$2:$K$1001,$AB368)="","",IF(NOT(ISNUMBER(INDEX(기본자료!$K$2:$K$1001,$AB368))),INDEX(기본자료!$K$2:$K$1001,$AB368),IF(INDEX(기본자료!$K$2:$K$1001,$AB368)&lt;1000000,INDEX(기본자료!$K$2:$K$1001,$AB368),IF(AND(INDEX(기본자료!$K$2:$K$1001,$AB368)&gt;=10000101,INT(MOD(INDEX(기본자료!$K$2:$K$1001,$AB368),10000)/100)&gt;=1,INT(MOD(INDEX(기본자료!$K$2:$K$1001,$AB368),10000)/100)&lt;=12,MOD(INDEX(기본자료!$K$2:$K$1001,$AB368),100)&gt;=1,MOD(INDEX(기본자료!$K$2:$K$1001,$AB368),100)&lt;=31),DATE(INT(INDEX(기본자료!$K$2:$K$1001,$AB368)/10000),INT(MOD(INDEX(기본자료!$K$2:$K$1001,$AB368),10000)/100),MOD(INDEX(기본자료!$K$2:$K$1001,$AB368),100)),INDEX(기본자료!$K$2:$K$1001,$AB368)&amp;"")))))</f>
        <v/>
      </c>
      <c r="F368" s="10">
        <f>IF($AB368="","",IF(INDEX(기본자료!$D$2:$D$1001,$AB368)="","",INDEX(기본자료!$D$2:$D$1001,$AB368)))</f>
        <v/>
      </c>
      <c r="G368" s="10">
        <f>IF($AB368="","",IF(INDEX(기본자료!$E$2:$E$1001,$AB368)="","",INDEX(기본자료!$E$2:$E$1001,$AB368)))</f>
        <v/>
      </c>
      <c r="H368" s="10">
        <f>IF($AB368="","",IF(INDEX(기본자료!$F$2:$F$1001,$AB368)="","",INDEX(기본자료!$F$2:$F$1001,$AB368)))</f>
        <v/>
      </c>
      <c r="I368" s="11">
        <f>IF($AB368="","",IF(INDEX(기본자료!$G$2:$G$1001,$AB368)="","",IF(NOT(ISNUMBER(INDEX(기본자료!$G$2:$G$1001,$AB368))),INDEX(기본자료!$G$2:$G$1001,$AB368),IF(INDEX(기본자료!$G$2:$G$1001,$AB368)&lt;1000000,INDEX(기본자료!$G$2:$G$1001,$AB368),IF(AND(INDEX(기본자료!$G$2:$G$1001,$AB368)&gt;=10000101,INT(MOD(INDEX(기본자료!$G$2:$G$1001,$AB368),10000)/100)&gt;=1,INT(MOD(INDEX(기본자료!$G$2:$G$1001,$AB368),10000)/100)&lt;=12,MOD(INDEX(기본자료!$G$2:$G$1001,$AB368),100)&gt;=1,MOD(INDEX(기본자료!$G$2:$G$1001,$AB368),100)&lt;=31),DATE(INT(INDEX(기본자료!$G$2:$G$1001,$AB368)/10000),INT(MOD(INDEX(기본자료!$G$2:$G$1001,$AB368),10000)/100),MOD(INDEX(기본자료!$G$2:$G$1001,$AB368),100)),INDEX(기본자료!$G$2:$G$1001,$AB368)&amp;"")))))</f>
        <v/>
      </c>
      <c r="J368" s="10">
        <f>IF($AB368="","",IF(INDEX(기본자료!$H$2:$H$1001,$AB368)="","",INDEX(기본자료!$H$2:$H$1001,$AB368)))</f>
        <v/>
      </c>
      <c r="K368" s="10">
        <f>IF($AB368="","",IF(INDEX(기본자료!$I$2:$I$1001,$AB368)="","",INDEX(기본자료!$I$2:$I$1001,$AB368)))</f>
        <v/>
      </c>
      <c r="L368" s="10">
        <f>IF($AB368="","",IF(INDEX(기본자료!$A$2:$A$1001,$AB368)="","",INDEX(기본자료!$A$2:$A$1001,$AB368)))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파견수련계획!$AB$4:$AB$803,$AK368),OR(NOT(ISNUMBER(INDEX(파견수련계획!$AC$4:$AC$803,$AK368))),TODAY()&lt;=INDEX(파견수련계획!$AC$4:$AC$803,$AK368))),"다기관",IF($AF368="","",INDEX(파견수련계획!$T$4:$T$803,$AF368))),IF($AF368="","",INDEX(파견수련계획!$T$4:$T$803,$AF368))))</f>
        <v/>
      </c>
      <c r="Q368" s="10">
        <f>IF($AF368="","",INDEX(파견수련계획!$S$4:$S$803,$AF368))</f>
        <v/>
      </c>
      <c r="R368" s="10">
        <f>IF($AF368="","",INDEX(파견수련계획!$U$4:$U$803,$AF368))</f>
        <v/>
      </c>
      <c r="S368" s="11">
        <f>IF($AF368="","",IF(INDEX(파견수련계획!$H$4:$H$803,$AF368)="","",INDEX(파견수련계획!$H$4:$H$803,$AF368)))</f>
        <v/>
      </c>
      <c r="T368" s="11">
        <f>IF($AF368="","",IF(INDEX(파견수련계획!$I$4:$I$803,$AF368)="","",INDEX(파견수련계획!$I$4:$I$803,$AF368)))</f>
        <v/>
      </c>
      <c r="U368" s="10">
        <f>IF($AF368="","",INDEX(파견수련계획!$X$4:$X$803,$AF368))</f>
        <v/>
      </c>
      <c r="V368" s="17">
        <f>IF($AF368="","",INDEX(파견수련계획!$V$4:$V$803,$AF368))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IF(OR($B368="",TRIM($J368&amp;"")=""),"",SUMPRODUCT((파견수련계획!$Q$4:$Q$803=TRIM($J368&amp;""))*파견수련계획!$W$4:$W$803))</f>
        <v/>
      </c>
      <c r="Y368" s="10">
        <f>IF($B368="","",IF($AG368="","",IF(IF(TRIM($J368&amp;"")="",0,SUMPRODUCT((파견수련계획!$Q$4:$Q$803=TRIM($J368&amp;""))*파견수련계획!$AD$4:$AD$803))&gt;0,$AE368,IF(N($X368)&lt;=0,$AG368,IF($AH368+$AI368=DAY(EOMONTH(요약!$B$3,0)),IF(AND($AH368&gt;=요약!$E$3,$AI368&lt;요약!$E$3),"서울병원",IF(AND($AI368&gt;=요약!$E$3,$AH368&lt;요약!$E$3),"구리병원","⚠15일 판정불가(서울 "&amp;$AH368&amp;"일/구리 "&amp;$AI368&amp;"일)")),IF($AJ368="",$AE368,IF(INDEX(파견수련계획!$T$4:$T$803,$AJ368)="통합수련",INDEX(파견수련계획!$S$4:$S$803,$AJ368),$AE368)))))))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입력",IF(IF(TRIM($J368&amp;"")="",0,SUMPRODUCT((파견수련계획!$Q$4:$Q$803=TRIM($J368&amp;""))*(파견수련계획!$AA$4:$AA$803&lt;&gt;"")))&gt;0,"파견수련계획 입력오류 확인",IF(LEFT($Y368,1)="⚠","서울·구리 15일 판정 불가(양쪽 모두 이상/미만)",IF(IF($AC368="",0,N(INDEX(인턴근무계획!$T$3:$T$402,$AC368)))&gt;0,"인턴계획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IF($B368="","",IFERROR(MATCH($B368,기본자료!$B$2:$B$1001,0),IFERROR(MATCH($B368&amp;"",기본자료!$B$2:$B$1001,0),IFERROR(MATCH(VALUE($B368),기본자료!$B$2:$B$1001,0),""))))</f>
        <v/>
      </c>
      <c r="AC368" s="10">
        <f>IF($B368="","",IFERROR(MATCH($B368,인턴근무계획!$D$3:$D$402,0),IFERROR(MATCH($B368&amp;"",인턴근무계획!$D$3:$D$402,0),IFERROR(MATCH(VALUE($B368),인턴근무계획!$D$3:$D$402,0),""))))</f>
        <v/>
      </c>
      <c r="AD368" s="10">
        <f>IF(OR($AC368="",인턴현황!$G$3=""),"",INDEX(인턴근무계획!$M$3:$R$402,$AC368,인턴현황!$G$3)&amp;"")</f>
        <v/>
      </c>
      <c r="AE368" s="10">
        <f>IF($B368="","",IF($M368&lt;&gt;"",$M368,IF($AF368&lt;&gt;"",IF(LEFT(INDEX(파견수련계획!$R$4:$R$803,$AF368),1)&lt;&gt;"⚠",INDEX(파견수련계획!$R$4:$R$803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파견수련계획!$Y$4:$Y$803,0),IFERROR(MATCH(TRIM($J368&amp;"")&amp;"|파견예정",파견수련계획!$Y$4:$Y$803,0),IFERROR(MATCH(TRIM($J368&amp;"")&amp;"|파견종료",파견수련계획!$Y$4:$Y$803,0),""))))</f>
        <v/>
      </c>
      <c r="AG368" s="10">
        <f>IF($B368="","",IF(AND(IF(OR($AC368="",인턴현황!$K$2=""),"",INDEX(인턴근무계획!$M$3:$R$402,$AC368,인턴현황!$K$2)&amp;"")&lt;&gt;"",LEFT(IF(OR($AC368="",인턴현황!$K$2=""),"",INDEX(인턴근무계획!$M$3:$R$402,$AC368,인턴현황!$K$2)&amp;""),1)&lt;&gt;"⚠"),LEFT(IF(OR($AC368="",인턴현황!$K$2=""),"",INDEX(인턴근무계획!$M$3:$R$402,$AC368,인턴현황!$K$2)&amp;""),FIND(" ",IF(OR($AC368="",인턴현황!$K$2=""),"",INDEX(인턴근무계획!$M$3:$R$402,$AC368,인턴현황!$K$2)&amp;""))-1),$AE368))</f>
        <v/>
      </c>
      <c r="AH368" s="17">
        <f>IF($B368="","",IF(TRIM($J368&amp;"")="",0,SUMPRODUCT((파견수련계획!$Q$4:$Q$803=TRIM($J368&amp;""))*(파견수련계획!$S$4:$S$803="서울병원")*파견수련계획!$W$4:$W$803))+IF($AG368="서울병원",MAX(0,DAY(EOMONTH(요약!$B$3,0))-N($X368)),0))</f>
        <v/>
      </c>
      <c r="AI368" s="17">
        <f>IF($B368="","",IF(TRIM($J368&amp;"")="",0,SUMPRODUCT((파견수련계획!$Q$4:$Q$803=TRIM($J368&amp;""))*(파견수련계획!$S$4:$S$803="구리병원")*파견수련계획!$W$4:$W$803))+IF($AG368="구리병원",MAX(0,DAY(EOMONTH(요약!$B$3,0))-N($X368)),0))</f>
        <v/>
      </c>
      <c r="AJ368" s="10">
        <f>IF(OR($B368="",TRIM($J368&amp;"")=""),"",IFERROR(MATCH(TRIM($J368&amp;"")&amp;"|월",파견수련계획!$Z$4:$Z$803,0),""))</f>
        <v/>
      </c>
      <c r="AK368" s="10">
        <f>IF(OR($B368="",TRIM($J368&amp;"")=""),"",IFERROR(MATCH(TRIM($J368&amp;"")&amp;"|다기관",파견수련계획!$AE$4:$AE$803,0),""))</f>
        <v/>
      </c>
      <c r="AL368" s="10">
        <f>IF($AK368="","","다기관 "&amp;TEXT(INDEX(파견수련계획!$AB$4:$AB$803,$AK368),"yyyy-mm-dd")&amp;"~"&amp;IF(ISNUMBER(INDEX(파견수련계획!$AC$4:$AC$803,$AK368)),TEXT(INDEX(파견수련계획!$AC$4:$AC$803,$AK368),"yyyy-mm-dd"),""))</f>
        <v/>
      </c>
    </row>
    <row r="369">
      <c r="A369" s="10">
        <f>IF(B369="","",ROW()-1)</f>
        <v/>
      </c>
      <c r="B369" s="18" t="n"/>
      <c r="C369" s="10">
        <f>IF($AB369="","",IF(INDEX(기본자료!$C$2:$C$1001,$AB369)="","",INDEX(기본자료!$C$2:$C$1001,$AB369)))</f>
        <v/>
      </c>
      <c r="D369" s="10">
        <f>IF($AB369="","",IF(INDEX(기본자료!$J$2:$J$1001,$AB369)="","",INDEX(기본자료!$J$2:$J$1001,$AB369)))</f>
        <v/>
      </c>
      <c r="E369" s="11">
        <f>IF($AB369="","",IF(INDEX(기본자료!$K$2:$K$1001,$AB369)="","",IF(NOT(ISNUMBER(INDEX(기본자료!$K$2:$K$1001,$AB369))),INDEX(기본자료!$K$2:$K$1001,$AB369),IF(INDEX(기본자료!$K$2:$K$1001,$AB369)&lt;1000000,INDEX(기본자료!$K$2:$K$1001,$AB369),IF(AND(INDEX(기본자료!$K$2:$K$1001,$AB369)&gt;=10000101,INT(MOD(INDEX(기본자료!$K$2:$K$1001,$AB369),10000)/100)&gt;=1,INT(MOD(INDEX(기본자료!$K$2:$K$1001,$AB369),10000)/100)&lt;=12,MOD(INDEX(기본자료!$K$2:$K$1001,$AB369),100)&gt;=1,MOD(INDEX(기본자료!$K$2:$K$1001,$AB369),100)&lt;=31),DATE(INT(INDEX(기본자료!$K$2:$K$1001,$AB369)/10000),INT(MOD(INDEX(기본자료!$K$2:$K$1001,$AB369),10000)/100),MOD(INDEX(기본자료!$K$2:$K$1001,$AB369),100)),INDEX(기본자료!$K$2:$K$1001,$AB369)&amp;"")))))</f>
        <v/>
      </c>
      <c r="F369" s="10">
        <f>IF($AB369="","",IF(INDEX(기본자료!$D$2:$D$1001,$AB369)="","",INDEX(기본자료!$D$2:$D$1001,$AB369)))</f>
        <v/>
      </c>
      <c r="G369" s="10">
        <f>IF($AB369="","",IF(INDEX(기본자료!$E$2:$E$1001,$AB369)="","",INDEX(기본자료!$E$2:$E$1001,$AB369)))</f>
        <v/>
      </c>
      <c r="H369" s="10">
        <f>IF($AB369="","",IF(INDEX(기본자료!$F$2:$F$1001,$AB369)="","",INDEX(기본자료!$F$2:$F$1001,$AB369)))</f>
        <v/>
      </c>
      <c r="I369" s="11">
        <f>IF($AB369="","",IF(INDEX(기본자료!$G$2:$G$1001,$AB369)="","",IF(NOT(ISNUMBER(INDEX(기본자료!$G$2:$G$1001,$AB369))),INDEX(기본자료!$G$2:$G$1001,$AB369),IF(INDEX(기본자료!$G$2:$G$1001,$AB369)&lt;1000000,INDEX(기본자료!$G$2:$G$1001,$AB369),IF(AND(INDEX(기본자료!$G$2:$G$1001,$AB369)&gt;=10000101,INT(MOD(INDEX(기본자료!$G$2:$G$1001,$AB369),10000)/100)&gt;=1,INT(MOD(INDEX(기본자료!$G$2:$G$1001,$AB369),10000)/100)&lt;=12,MOD(INDEX(기본자료!$G$2:$G$1001,$AB369),100)&gt;=1,MOD(INDEX(기본자료!$G$2:$G$1001,$AB369),100)&lt;=31),DATE(INT(INDEX(기본자료!$G$2:$G$1001,$AB369)/10000),INT(MOD(INDEX(기본자료!$G$2:$G$1001,$AB369),10000)/100),MOD(INDEX(기본자료!$G$2:$G$1001,$AB369),100)),INDEX(기본자료!$G$2:$G$1001,$AB369)&amp;"")))))</f>
        <v/>
      </c>
      <c r="J369" s="10">
        <f>IF($AB369="","",IF(INDEX(기본자료!$H$2:$H$1001,$AB369)="","",INDEX(기본자료!$H$2:$H$1001,$AB369)))</f>
        <v/>
      </c>
      <c r="K369" s="10">
        <f>IF($AB369="","",IF(INDEX(기본자료!$I$2:$I$1001,$AB369)="","",INDEX(기본자료!$I$2:$I$1001,$AB369)))</f>
        <v/>
      </c>
      <c r="L369" s="10">
        <f>IF($AB369="","",IF(INDEX(기본자료!$A$2:$A$1001,$AB369)="","",INDEX(기본자료!$A$2:$A$1001,$AB369)))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파견수련계획!$AB$4:$AB$803,$AK369),OR(NOT(ISNUMBER(INDEX(파견수련계획!$AC$4:$AC$803,$AK369))),TODAY()&lt;=INDEX(파견수련계획!$AC$4:$AC$803,$AK369))),"다기관",IF($AF369="","",INDEX(파견수련계획!$T$4:$T$803,$AF369))),IF($AF369="","",INDEX(파견수련계획!$T$4:$T$803,$AF369))))</f>
        <v/>
      </c>
      <c r="Q369" s="10">
        <f>IF($AF369="","",INDEX(파견수련계획!$S$4:$S$803,$AF369))</f>
        <v/>
      </c>
      <c r="R369" s="10">
        <f>IF($AF369="","",INDEX(파견수련계획!$U$4:$U$803,$AF369))</f>
        <v/>
      </c>
      <c r="S369" s="11">
        <f>IF($AF369="","",IF(INDEX(파견수련계획!$H$4:$H$803,$AF369)="","",INDEX(파견수련계획!$H$4:$H$803,$AF369)))</f>
        <v/>
      </c>
      <c r="T369" s="11">
        <f>IF($AF369="","",IF(INDEX(파견수련계획!$I$4:$I$803,$AF369)="","",INDEX(파견수련계획!$I$4:$I$803,$AF369)))</f>
        <v/>
      </c>
      <c r="U369" s="10">
        <f>IF($AF369="","",INDEX(파견수련계획!$X$4:$X$803,$AF369))</f>
        <v/>
      </c>
      <c r="V369" s="17">
        <f>IF($AF369="","",INDEX(파견수련계획!$V$4:$V$803,$AF369))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IF(OR($B369="",TRIM($J369&amp;"")=""),"",SUMPRODUCT((파견수련계획!$Q$4:$Q$803=TRIM($J369&amp;""))*파견수련계획!$W$4:$W$803))</f>
        <v/>
      </c>
      <c r="Y369" s="10">
        <f>IF($B369="","",IF($AG369="","",IF(IF(TRIM($J369&amp;"")="",0,SUMPRODUCT((파견수련계획!$Q$4:$Q$803=TRIM($J369&amp;""))*파견수련계획!$AD$4:$AD$803))&gt;0,$AE369,IF(N($X369)&lt;=0,$AG369,IF($AH369+$AI369=DAY(EOMONTH(요약!$B$3,0)),IF(AND($AH369&gt;=요약!$E$3,$AI369&lt;요약!$E$3),"서울병원",IF(AND($AI369&gt;=요약!$E$3,$AH369&lt;요약!$E$3),"구리병원","⚠15일 판정불가(서울 "&amp;$AH369&amp;"일/구리 "&amp;$AI369&amp;"일)")),IF($AJ369="",$AE369,IF(INDEX(파견수련계획!$T$4:$T$803,$AJ369)="통합수련",INDEX(파견수련계획!$S$4:$S$803,$AJ369),$AE369)))))))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입력",IF(IF(TRIM($J369&amp;"")="",0,SUMPRODUCT((파견수련계획!$Q$4:$Q$803=TRIM($J369&amp;""))*(파견수련계획!$AA$4:$AA$803&lt;&gt;"")))&gt;0,"파견수련계획 입력오류 확인",IF(LEFT($Y369,1)="⚠","서울·구리 15일 판정 불가(양쪽 모두 이상/미만)",IF(IF($AC369="",0,N(INDEX(인턴근무계획!$T$3:$T$402,$AC369)))&gt;0,"인턴계획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IF($B369="","",IFERROR(MATCH($B369,기본자료!$B$2:$B$1001,0),IFERROR(MATCH($B369&amp;"",기본자료!$B$2:$B$1001,0),IFERROR(MATCH(VALUE($B369),기본자료!$B$2:$B$1001,0),""))))</f>
        <v/>
      </c>
      <c r="AC369" s="10">
        <f>IF($B369="","",IFERROR(MATCH($B369,인턴근무계획!$D$3:$D$402,0),IFERROR(MATCH($B369&amp;"",인턴근무계획!$D$3:$D$402,0),IFERROR(MATCH(VALUE($B369),인턴근무계획!$D$3:$D$402,0),""))))</f>
        <v/>
      </c>
      <c r="AD369" s="10">
        <f>IF(OR($AC369="",인턴현황!$G$3=""),"",INDEX(인턴근무계획!$M$3:$R$402,$AC369,인턴현황!$G$3)&amp;"")</f>
        <v/>
      </c>
      <c r="AE369" s="10">
        <f>IF($B369="","",IF($M369&lt;&gt;"",$M369,IF($AF369&lt;&gt;"",IF(LEFT(INDEX(파견수련계획!$R$4:$R$803,$AF369),1)&lt;&gt;"⚠",INDEX(파견수련계획!$R$4:$R$803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파견수련계획!$Y$4:$Y$803,0),IFERROR(MATCH(TRIM($J369&amp;"")&amp;"|파견예정",파견수련계획!$Y$4:$Y$803,0),IFERROR(MATCH(TRIM($J369&amp;"")&amp;"|파견종료",파견수련계획!$Y$4:$Y$803,0),""))))</f>
        <v/>
      </c>
      <c r="AG369" s="10">
        <f>IF($B369="","",IF(AND(IF(OR($AC369="",인턴현황!$K$2=""),"",INDEX(인턴근무계획!$M$3:$R$402,$AC369,인턴현황!$K$2)&amp;"")&lt;&gt;"",LEFT(IF(OR($AC369="",인턴현황!$K$2=""),"",INDEX(인턴근무계획!$M$3:$R$402,$AC369,인턴현황!$K$2)&amp;""),1)&lt;&gt;"⚠"),LEFT(IF(OR($AC369="",인턴현황!$K$2=""),"",INDEX(인턴근무계획!$M$3:$R$402,$AC369,인턴현황!$K$2)&amp;""),FIND(" ",IF(OR($AC369="",인턴현황!$K$2=""),"",INDEX(인턴근무계획!$M$3:$R$402,$AC369,인턴현황!$K$2)&amp;""))-1),$AE369))</f>
        <v/>
      </c>
      <c r="AH369" s="17">
        <f>IF($B369="","",IF(TRIM($J369&amp;"")="",0,SUMPRODUCT((파견수련계획!$Q$4:$Q$803=TRIM($J369&amp;""))*(파견수련계획!$S$4:$S$803="서울병원")*파견수련계획!$W$4:$W$803))+IF($AG369="서울병원",MAX(0,DAY(EOMONTH(요약!$B$3,0))-N($X369)),0))</f>
        <v/>
      </c>
      <c r="AI369" s="17">
        <f>IF($B369="","",IF(TRIM($J369&amp;"")="",0,SUMPRODUCT((파견수련계획!$Q$4:$Q$803=TRIM($J369&amp;""))*(파견수련계획!$S$4:$S$803="구리병원")*파견수련계획!$W$4:$W$803))+IF($AG369="구리병원",MAX(0,DAY(EOMONTH(요약!$B$3,0))-N($X369)),0))</f>
        <v/>
      </c>
      <c r="AJ369" s="10">
        <f>IF(OR($B369="",TRIM($J369&amp;"")=""),"",IFERROR(MATCH(TRIM($J369&amp;"")&amp;"|월",파견수련계획!$Z$4:$Z$803,0),""))</f>
        <v/>
      </c>
      <c r="AK369" s="10">
        <f>IF(OR($B369="",TRIM($J369&amp;"")=""),"",IFERROR(MATCH(TRIM($J369&amp;"")&amp;"|다기관",파견수련계획!$AE$4:$AE$803,0),""))</f>
        <v/>
      </c>
      <c r="AL369" s="10">
        <f>IF($AK369="","","다기관 "&amp;TEXT(INDEX(파견수련계획!$AB$4:$AB$803,$AK369),"yyyy-mm-dd")&amp;"~"&amp;IF(ISNUMBER(INDEX(파견수련계획!$AC$4:$AC$803,$AK369)),TEXT(INDEX(파견수련계획!$AC$4:$AC$803,$AK369),"yyyy-mm-dd"),""))</f>
        <v/>
      </c>
    </row>
    <row r="370">
      <c r="A370" s="10">
        <f>IF(B370="","",ROW()-1)</f>
        <v/>
      </c>
      <c r="B370" s="18" t="n"/>
      <c r="C370" s="10">
        <f>IF($AB370="","",IF(INDEX(기본자료!$C$2:$C$1001,$AB370)="","",INDEX(기본자료!$C$2:$C$1001,$AB370)))</f>
        <v/>
      </c>
      <c r="D370" s="10">
        <f>IF($AB370="","",IF(INDEX(기본자료!$J$2:$J$1001,$AB370)="","",INDEX(기본자료!$J$2:$J$1001,$AB370)))</f>
        <v/>
      </c>
      <c r="E370" s="11">
        <f>IF($AB370="","",IF(INDEX(기본자료!$K$2:$K$1001,$AB370)="","",IF(NOT(ISNUMBER(INDEX(기본자료!$K$2:$K$1001,$AB370))),INDEX(기본자료!$K$2:$K$1001,$AB370),IF(INDEX(기본자료!$K$2:$K$1001,$AB370)&lt;1000000,INDEX(기본자료!$K$2:$K$1001,$AB370),IF(AND(INDEX(기본자료!$K$2:$K$1001,$AB370)&gt;=10000101,INT(MOD(INDEX(기본자료!$K$2:$K$1001,$AB370),10000)/100)&gt;=1,INT(MOD(INDEX(기본자료!$K$2:$K$1001,$AB370),10000)/100)&lt;=12,MOD(INDEX(기본자료!$K$2:$K$1001,$AB370),100)&gt;=1,MOD(INDEX(기본자료!$K$2:$K$1001,$AB370),100)&lt;=31),DATE(INT(INDEX(기본자료!$K$2:$K$1001,$AB370)/10000),INT(MOD(INDEX(기본자료!$K$2:$K$1001,$AB370),10000)/100),MOD(INDEX(기본자료!$K$2:$K$1001,$AB370),100)),INDEX(기본자료!$K$2:$K$1001,$AB370)&amp;"")))))</f>
        <v/>
      </c>
      <c r="F370" s="10">
        <f>IF($AB370="","",IF(INDEX(기본자료!$D$2:$D$1001,$AB370)="","",INDEX(기본자료!$D$2:$D$1001,$AB370)))</f>
        <v/>
      </c>
      <c r="G370" s="10">
        <f>IF($AB370="","",IF(INDEX(기본자료!$E$2:$E$1001,$AB370)="","",INDEX(기본자료!$E$2:$E$1001,$AB370)))</f>
        <v/>
      </c>
      <c r="H370" s="10">
        <f>IF($AB370="","",IF(INDEX(기본자료!$F$2:$F$1001,$AB370)="","",INDEX(기본자료!$F$2:$F$1001,$AB370)))</f>
        <v/>
      </c>
      <c r="I370" s="11">
        <f>IF($AB370="","",IF(INDEX(기본자료!$G$2:$G$1001,$AB370)="","",IF(NOT(ISNUMBER(INDEX(기본자료!$G$2:$G$1001,$AB370))),INDEX(기본자료!$G$2:$G$1001,$AB370),IF(INDEX(기본자료!$G$2:$G$1001,$AB370)&lt;1000000,INDEX(기본자료!$G$2:$G$1001,$AB370),IF(AND(INDEX(기본자료!$G$2:$G$1001,$AB370)&gt;=10000101,INT(MOD(INDEX(기본자료!$G$2:$G$1001,$AB370),10000)/100)&gt;=1,INT(MOD(INDEX(기본자료!$G$2:$G$1001,$AB370),10000)/100)&lt;=12,MOD(INDEX(기본자료!$G$2:$G$1001,$AB370),100)&gt;=1,MOD(INDEX(기본자료!$G$2:$G$1001,$AB370),100)&lt;=31),DATE(INT(INDEX(기본자료!$G$2:$G$1001,$AB370)/10000),INT(MOD(INDEX(기본자료!$G$2:$G$1001,$AB370),10000)/100),MOD(INDEX(기본자료!$G$2:$G$1001,$AB370),100)),INDEX(기본자료!$G$2:$G$1001,$AB370)&amp;"")))))</f>
        <v/>
      </c>
      <c r="J370" s="10">
        <f>IF($AB370="","",IF(INDEX(기본자료!$H$2:$H$1001,$AB370)="","",INDEX(기본자료!$H$2:$H$1001,$AB370)))</f>
        <v/>
      </c>
      <c r="K370" s="10">
        <f>IF($AB370="","",IF(INDEX(기본자료!$I$2:$I$1001,$AB370)="","",INDEX(기본자료!$I$2:$I$1001,$AB370)))</f>
        <v/>
      </c>
      <c r="L370" s="10">
        <f>IF($AB370="","",IF(INDEX(기본자료!$A$2:$A$1001,$AB370)="","",INDEX(기본자료!$A$2:$A$1001,$AB370)))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파견수련계획!$AB$4:$AB$803,$AK370),OR(NOT(ISNUMBER(INDEX(파견수련계획!$AC$4:$AC$803,$AK370))),TODAY()&lt;=INDEX(파견수련계획!$AC$4:$AC$803,$AK370))),"다기관",IF($AF370="","",INDEX(파견수련계획!$T$4:$T$803,$AF370))),IF($AF370="","",INDEX(파견수련계획!$T$4:$T$803,$AF370))))</f>
        <v/>
      </c>
      <c r="Q370" s="10">
        <f>IF($AF370="","",INDEX(파견수련계획!$S$4:$S$803,$AF370))</f>
        <v/>
      </c>
      <c r="R370" s="10">
        <f>IF($AF370="","",INDEX(파견수련계획!$U$4:$U$803,$AF370))</f>
        <v/>
      </c>
      <c r="S370" s="11">
        <f>IF($AF370="","",IF(INDEX(파견수련계획!$H$4:$H$803,$AF370)="","",INDEX(파견수련계획!$H$4:$H$803,$AF370)))</f>
        <v/>
      </c>
      <c r="T370" s="11">
        <f>IF($AF370="","",IF(INDEX(파견수련계획!$I$4:$I$803,$AF370)="","",INDEX(파견수련계획!$I$4:$I$803,$AF370)))</f>
        <v/>
      </c>
      <c r="U370" s="10">
        <f>IF($AF370="","",INDEX(파견수련계획!$X$4:$X$803,$AF370))</f>
        <v/>
      </c>
      <c r="V370" s="17">
        <f>IF($AF370="","",INDEX(파견수련계획!$V$4:$V$803,$AF370))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IF(OR($B370="",TRIM($J370&amp;"")=""),"",SUMPRODUCT((파견수련계획!$Q$4:$Q$803=TRIM($J370&amp;""))*파견수련계획!$W$4:$W$803))</f>
        <v/>
      </c>
      <c r="Y370" s="10">
        <f>IF($B370="","",IF($AG370="","",IF(IF(TRIM($J370&amp;"")="",0,SUMPRODUCT((파견수련계획!$Q$4:$Q$803=TRIM($J370&amp;""))*파견수련계획!$AD$4:$AD$803))&gt;0,$AE370,IF(N($X370)&lt;=0,$AG370,IF($AH370+$AI370=DAY(EOMONTH(요약!$B$3,0)),IF(AND($AH370&gt;=요약!$E$3,$AI370&lt;요약!$E$3),"서울병원",IF(AND($AI370&gt;=요약!$E$3,$AH370&lt;요약!$E$3),"구리병원","⚠15일 판정불가(서울 "&amp;$AH370&amp;"일/구리 "&amp;$AI370&amp;"일)")),IF($AJ370="",$AE370,IF(INDEX(파견수련계획!$T$4:$T$803,$AJ370)="통합수련",INDEX(파견수련계획!$S$4:$S$803,$AJ370),$AE370)))))))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입력",IF(IF(TRIM($J370&amp;"")="",0,SUMPRODUCT((파견수련계획!$Q$4:$Q$803=TRIM($J370&amp;""))*(파견수련계획!$AA$4:$AA$803&lt;&gt;"")))&gt;0,"파견수련계획 입력오류 확인",IF(LEFT($Y370,1)="⚠","서울·구리 15일 판정 불가(양쪽 모두 이상/미만)",IF(IF($AC370="",0,N(INDEX(인턴근무계획!$T$3:$T$402,$AC370)))&gt;0,"인턴계획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IF($B370="","",IFERROR(MATCH($B370,기본자료!$B$2:$B$1001,0),IFERROR(MATCH($B370&amp;"",기본자료!$B$2:$B$1001,0),IFERROR(MATCH(VALUE($B370),기본자료!$B$2:$B$1001,0),""))))</f>
        <v/>
      </c>
      <c r="AC370" s="10">
        <f>IF($B370="","",IFERROR(MATCH($B370,인턴근무계획!$D$3:$D$402,0),IFERROR(MATCH($B370&amp;"",인턴근무계획!$D$3:$D$402,0),IFERROR(MATCH(VALUE($B370),인턴근무계획!$D$3:$D$402,0),""))))</f>
        <v/>
      </c>
      <c r="AD370" s="10">
        <f>IF(OR($AC370="",인턴현황!$G$3=""),"",INDEX(인턴근무계획!$M$3:$R$402,$AC370,인턴현황!$G$3)&amp;"")</f>
        <v/>
      </c>
      <c r="AE370" s="10">
        <f>IF($B370="","",IF($M370&lt;&gt;"",$M370,IF($AF370&lt;&gt;"",IF(LEFT(INDEX(파견수련계획!$R$4:$R$803,$AF370),1)&lt;&gt;"⚠",INDEX(파견수련계획!$R$4:$R$803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파견수련계획!$Y$4:$Y$803,0),IFERROR(MATCH(TRIM($J370&amp;"")&amp;"|파견예정",파견수련계획!$Y$4:$Y$803,0),IFERROR(MATCH(TRIM($J370&amp;"")&amp;"|파견종료",파견수련계획!$Y$4:$Y$803,0),""))))</f>
        <v/>
      </c>
      <c r="AG370" s="10">
        <f>IF($B370="","",IF(AND(IF(OR($AC370="",인턴현황!$K$2=""),"",INDEX(인턴근무계획!$M$3:$R$402,$AC370,인턴현황!$K$2)&amp;"")&lt;&gt;"",LEFT(IF(OR($AC370="",인턴현황!$K$2=""),"",INDEX(인턴근무계획!$M$3:$R$402,$AC370,인턴현황!$K$2)&amp;""),1)&lt;&gt;"⚠"),LEFT(IF(OR($AC370="",인턴현황!$K$2=""),"",INDEX(인턴근무계획!$M$3:$R$402,$AC370,인턴현황!$K$2)&amp;""),FIND(" ",IF(OR($AC370="",인턴현황!$K$2=""),"",INDEX(인턴근무계획!$M$3:$R$402,$AC370,인턴현황!$K$2)&amp;""))-1),$AE370))</f>
        <v/>
      </c>
      <c r="AH370" s="17">
        <f>IF($B370="","",IF(TRIM($J370&amp;"")="",0,SUMPRODUCT((파견수련계획!$Q$4:$Q$803=TRIM($J370&amp;""))*(파견수련계획!$S$4:$S$803="서울병원")*파견수련계획!$W$4:$W$803))+IF($AG370="서울병원",MAX(0,DAY(EOMONTH(요약!$B$3,0))-N($X370)),0))</f>
        <v/>
      </c>
      <c r="AI370" s="17">
        <f>IF($B370="","",IF(TRIM($J370&amp;"")="",0,SUMPRODUCT((파견수련계획!$Q$4:$Q$803=TRIM($J370&amp;""))*(파견수련계획!$S$4:$S$803="구리병원")*파견수련계획!$W$4:$W$803))+IF($AG370="구리병원",MAX(0,DAY(EOMONTH(요약!$B$3,0))-N($X370)),0))</f>
        <v/>
      </c>
      <c r="AJ370" s="10">
        <f>IF(OR($B370="",TRIM($J370&amp;"")=""),"",IFERROR(MATCH(TRIM($J370&amp;"")&amp;"|월",파견수련계획!$Z$4:$Z$803,0),""))</f>
        <v/>
      </c>
      <c r="AK370" s="10">
        <f>IF(OR($B370="",TRIM($J370&amp;"")=""),"",IFERROR(MATCH(TRIM($J370&amp;"")&amp;"|다기관",파견수련계획!$AE$4:$AE$803,0),""))</f>
        <v/>
      </c>
      <c r="AL370" s="10">
        <f>IF($AK370="","","다기관 "&amp;TEXT(INDEX(파견수련계획!$AB$4:$AB$803,$AK370),"yyyy-mm-dd")&amp;"~"&amp;IF(ISNUMBER(INDEX(파견수련계획!$AC$4:$AC$803,$AK370)),TEXT(INDEX(파견수련계획!$AC$4:$AC$803,$AK370),"yyyy-mm-dd"),""))</f>
        <v/>
      </c>
    </row>
    <row r="371">
      <c r="A371" s="10">
        <f>IF(B371="","",ROW()-1)</f>
        <v/>
      </c>
      <c r="B371" s="18" t="n"/>
      <c r="C371" s="10">
        <f>IF($AB371="","",IF(INDEX(기본자료!$C$2:$C$1001,$AB371)="","",INDEX(기본자료!$C$2:$C$1001,$AB371)))</f>
        <v/>
      </c>
      <c r="D371" s="10">
        <f>IF($AB371="","",IF(INDEX(기본자료!$J$2:$J$1001,$AB371)="","",INDEX(기본자료!$J$2:$J$1001,$AB371)))</f>
        <v/>
      </c>
      <c r="E371" s="11">
        <f>IF($AB371="","",IF(INDEX(기본자료!$K$2:$K$1001,$AB371)="","",IF(NOT(ISNUMBER(INDEX(기본자료!$K$2:$K$1001,$AB371))),INDEX(기본자료!$K$2:$K$1001,$AB371),IF(INDEX(기본자료!$K$2:$K$1001,$AB371)&lt;1000000,INDEX(기본자료!$K$2:$K$1001,$AB371),IF(AND(INDEX(기본자료!$K$2:$K$1001,$AB371)&gt;=10000101,INT(MOD(INDEX(기본자료!$K$2:$K$1001,$AB371),10000)/100)&gt;=1,INT(MOD(INDEX(기본자료!$K$2:$K$1001,$AB371),10000)/100)&lt;=12,MOD(INDEX(기본자료!$K$2:$K$1001,$AB371),100)&gt;=1,MOD(INDEX(기본자료!$K$2:$K$1001,$AB371),100)&lt;=31),DATE(INT(INDEX(기본자료!$K$2:$K$1001,$AB371)/10000),INT(MOD(INDEX(기본자료!$K$2:$K$1001,$AB371),10000)/100),MOD(INDEX(기본자료!$K$2:$K$1001,$AB371),100)),INDEX(기본자료!$K$2:$K$1001,$AB371)&amp;"")))))</f>
        <v/>
      </c>
      <c r="F371" s="10">
        <f>IF($AB371="","",IF(INDEX(기본자료!$D$2:$D$1001,$AB371)="","",INDEX(기본자료!$D$2:$D$1001,$AB371)))</f>
        <v/>
      </c>
      <c r="G371" s="10">
        <f>IF($AB371="","",IF(INDEX(기본자료!$E$2:$E$1001,$AB371)="","",INDEX(기본자료!$E$2:$E$1001,$AB371)))</f>
        <v/>
      </c>
      <c r="H371" s="10">
        <f>IF($AB371="","",IF(INDEX(기본자료!$F$2:$F$1001,$AB371)="","",INDEX(기본자료!$F$2:$F$1001,$AB371)))</f>
        <v/>
      </c>
      <c r="I371" s="11">
        <f>IF($AB371="","",IF(INDEX(기본자료!$G$2:$G$1001,$AB371)="","",IF(NOT(ISNUMBER(INDEX(기본자료!$G$2:$G$1001,$AB371))),INDEX(기본자료!$G$2:$G$1001,$AB371),IF(INDEX(기본자료!$G$2:$G$1001,$AB371)&lt;1000000,INDEX(기본자료!$G$2:$G$1001,$AB371),IF(AND(INDEX(기본자료!$G$2:$G$1001,$AB371)&gt;=10000101,INT(MOD(INDEX(기본자료!$G$2:$G$1001,$AB371),10000)/100)&gt;=1,INT(MOD(INDEX(기본자료!$G$2:$G$1001,$AB371),10000)/100)&lt;=12,MOD(INDEX(기본자료!$G$2:$G$1001,$AB371),100)&gt;=1,MOD(INDEX(기본자료!$G$2:$G$1001,$AB371),100)&lt;=31),DATE(INT(INDEX(기본자료!$G$2:$G$1001,$AB371)/10000),INT(MOD(INDEX(기본자료!$G$2:$G$1001,$AB371),10000)/100),MOD(INDEX(기본자료!$G$2:$G$1001,$AB371),100)),INDEX(기본자료!$G$2:$G$1001,$AB371)&amp;"")))))</f>
        <v/>
      </c>
      <c r="J371" s="10">
        <f>IF($AB371="","",IF(INDEX(기본자료!$H$2:$H$1001,$AB371)="","",INDEX(기본자료!$H$2:$H$1001,$AB371)))</f>
        <v/>
      </c>
      <c r="K371" s="10">
        <f>IF($AB371="","",IF(INDEX(기본자료!$I$2:$I$1001,$AB371)="","",INDEX(기본자료!$I$2:$I$1001,$AB371)))</f>
        <v/>
      </c>
      <c r="L371" s="10">
        <f>IF($AB371="","",IF(INDEX(기본자료!$A$2:$A$1001,$AB371)="","",INDEX(기본자료!$A$2:$A$1001,$AB371)))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파견수련계획!$AB$4:$AB$803,$AK371),OR(NOT(ISNUMBER(INDEX(파견수련계획!$AC$4:$AC$803,$AK371))),TODAY()&lt;=INDEX(파견수련계획!$AC$4:$AC$803,$AK371))),"다기관",IF($AF371="","",INDEX(파견수련계획!$T$4:$T$803,$AF371))),IF($AF371="","",INDEX(파견수련계획!$T$4:$T$803,$AF371))))</f>
        <v/>
      </c>
      <c r="Q371" s="10">
        <f>IF($AF371="","",INDEX(파견수련계획!$S$4:$S$803,$AF371))</f>
        <v/>
      </c>
      <c r="R371" s="10">
        <f>IF($AF371="","",INDEX(파견수련계획!$U$4:$U$803,$AF371))</f>
        <v/>
      </c>
      <c r="S371" s="11">
        <f>IF($AF371="","",IF(INDEX(파견수련계획!$H$4:$H$803,$AF371)="","",INDEX(파견수련계획!$H$4:$H$803,$AF371)))</f>
        <v/>
      </c>
      <c r="T371" s="11">
        <f>IF($AF371="","",IF(INDEX(파견수련계획!$I$4:$I$803,$AF371)="","",INDEX(파견수련계획!$I$4:$I$803,$AF371)))</f>
        <v/>
      </c>
      <c r="U371" s="10">
        <f>IF($AF371="","",INDEX(파견수련계획!$X$4:$X$803,$AF371))</f>
        <v/>
      </c>
      <c r="V371" s="17">
        <f>IF($AF371="","",INDEX(파견수련계획!$V$4:$V$803,$AF371))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IF(OR($B371="",TRIM($J371&amp;"")=""),"",SUMPRODUCT((파견수련계획!$Q$4:$Q$803=TRIM($J371&amp;""))*파견수련계획!$W$4:$W$803))</f>
        <v/>
      </c>
      <c r="Y371" s="10">
        <f>IF($B371="","",IF($AG371="","",IF(IF(TRIM($J371&amp;"")="",0,SUMPRODUCT((파견수련계획!$Q$4:$Q$803=TRIM($J371&amp;""))*파견수련계획!$AD$4:$AD$803))&gt;0,$AE371,IF(N($X371)&lt;=0,$AG371,IF($AH371+$AI371=DAY(EOMONTH(요약!$B$3,0)),IF(AND($AH371&gt;=요약!$E$3,$AI371&lt;요약!$E$3),"서울병원",IF(AND($AI371&gt;=요약!$E$3,$AH371&lt;요약!$E$3),"구리병원","⚠15일 판정불가(서울 "&amp;$AH371&amp;"일/구리 "&amp;$AI371&amp;"일)")),IF($AJ371="",$AE371,IF(INDEX(파견수련계획!$T$4:$T$803,$AJ371)="통합수련",INDEX(파견수련계획!$S$4:$S$803,$AJ371),$AE371)))))))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입력",IF(IF(TRIM($J371&amp;"")="",0,SUMPRODUCT((파견수련계획!$Q$4:$Q$803=TRIM($J371&amp;""))*(파견수련계획!$AA$4:$AA$803&lt;&gt;"")))&gt;0,"파견수련계획 입력오류 확인",IF(LEFT($Y371,1)="⚠","서울·구리 15일 판정 불가(양쪽 모두 이상/미만)",IF(IF($AC371="",0,N(INDEX(인턴근무계획!$T$3:$T$402,$AC371)))&gt;0,"인턴계획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IF($B371="","",IFERROR(MATCH($B371,기본자료!$B$2:$B$1001,0),IFERROR(MATCH($B371&amp;"",기본자료!$B$2:$B$1001,0),IFERROR(MATCH(VALUE($B371),기본자료!$B$2:$B$1001,0),""))))</f>
        <v/>
      </c>
      <c r="AC371" s="10">
        <f>IF($B371="","",IFERROR(MATCH($B371,인턴근무계획!$D$3:$D$402,0),IFERROR(MATCH($B371&amp;"",인턴근무계획!$D$3:$D$402,0),IFERROR(MATCH(VALUE($B371),인턴근무계획!$D$3:$D$402,0),""))))</f>
        <v/>
      </c>
      <c r="AD371" s="10">
        <f>IF(OR($AC371="",인턴현황!$G$3=""),"",INDEX(인턴근무계획!$M$3:$R$402,$AC371,인턴현황!$G$3)&amp;"")</f>
        <v/>
      </c>
      <c r="AE371" s="10">
        <f>IF($B371="","",IF($M371&lt;&gt;"",$M371,IF($AF371&lt;&gt;"",IF(LEFT(INDEX(파견수련계획!$R$4:$R$803,$AF371),1)&lt;&gt;"⚠",INDEX(파견수련계획!$R$4:$R$803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파견수련계획!$Y$4:$Y$803,0),IFERROR(MATCH(TRIM($J371&amp;"")&amp;"|파견예정",파견수련계획!$Y$4:$Y$803,0),IFERROR(MATCH(TRIM($J371&amp;"")&amp;"|파견종료",파견수련계획!$Y$4:$Y$803,0),""))))</f>
        <v/>
      </c>
      <c r="AG371" s="10">
        <f>IF($B371="","",IF(AND(IF(OR($AC371="",인턴현황!$K$2=""),"",INDEX(인턴근무계획!$M$3:$R$402,$AC371,인턴현황!$K$2)&amp;"")&lt;&gt;"",LEFT(IF(OR($AC371="",인턴현황!$K$2=""),"",INDEX(인턴근무계획!$M$3:$R$402,$AC371,인턴현황!$K$2)&amp;""),1)&lt;&gt;"⚠"),LEFT(IF(OR($AC371="",인턴현황!$K$2=""),"",INDEX(인턴근무계획!$M$3:$R$402,$AC371,인턴현황!$K$2)&amp;""),FIND(" ",IF(OR($AC371="",인턴현황!$K$2=""),"",INDEX(인턴근무계획!$M$3:$R$402,$AC371,인턴현황!$K$2)&amp;""))-1),$AE371))</f>
        <v/>
      </c>
      <c r="AH371" s="17">
        <f>IF($B371="","",IF(TRIM($J371&amp;"")="",0,SUMPRODUCT((파견수련계획!$Q$4:$Q$803=TRIM($J371&amp;""))*(파견수련계획!$S$4:$S$803="서울병원")*파견수련계획!$W$4:$W$803))+IF($AG371="서울병원",MAX(0,DAY(EOMONTH(요약!$B$3,0))-N($X371)),0))</f>
        <v/>
      </c>
      <c r="AI371" s="17">
        <f>IF($B371="","",IF(TRIM($J371&amp;"")="",0,SUMPRODUCT((파견수련계획!$Q$4:$Q$803=TRIM($J371&amp;""))*(파견수련계획!$S$4:$S$803="구리병원")*파견수련계획!$W$4:$W$803))+IF($AG371="구리병원",MAX(0,DAY(EOMONTH(요약!$B$3,0))-N($X371)),0))</f>
        <v/>
      </c>
      <c r="AJ371" s="10">
        <f>IF(OR($B371="",TRIM($J371&amp;"")=""),"",IFERROR(MATCH(TRIM($J371&amp;"")&amp;"|월",파견수련계획!$Z$4:$Z$803,0),""))</f>
        <v/>
      </c>
      <c r="AK371" s="10">
        <f>IF(OR($B371="",TRIM($J371&amp;"")=""),"",IFERROR(MATCH(TRIM($J371&amp;"")&amp;"|다기관",파견수련계획!$AE$4:$AE$803,0),""))</f>
        <v/>
      </c>
      <c r="AL371" s="10">
        <f>IF($AK371="","","다기관 "&amp;TEXT(INDEX(파견수련계획!$AB$4:$AB$803,$AK371),"yyyy-mm-dd")&amp;"~"&amp;IF(ISNUMBER(INDEX(파견수련계획!$AC$4:$AC$803,$AK371)),TEXT(INDEX(파견수련계획!$AC$4:$AC$803,$AK371),"yyyy-mm-dd"),""))</f>
        <v/>
      </c>
    </row>
    <row r="372">
      <c r="A372" s="10">
        <f>IF(B372="","",ROW()-1)</f>
        <v/>
      </c>
      <c r="B372" s="18" t="n"/>
      <c r="C372" s="10">
        <f>IF($AB372="","",IF(INDEX(기본자료!$C$2:$C$1001,$AB372)="","",INDEX(기본자료!$C$2:$C$1001,$AB372)))</f>
        <v/>
      </c>
      <c r="D372" s="10">
        <f>IF($AB372="","",IF(INDEX(기본자료!$J$2:$J$1001,$AB372)="","",INDEX(기본자료!$J$2:$J$1001,$AB372)))</f>
        <v/>
      </c>
      <c r="E372" s="11">
        <f>IF($AB372="","",IF(INDEX(기본자료!$K$2:$K$1001,$AB372)="","",IF(NOT(ISNUMBER(INDEX(기본자료!$K$2:$K$1001,$AB372))),INDEX(기본자료!$K$2:$K$1001,$AB372),IF(INDEX(기본자료!$K$2:$K$1001,$AB372)&lt;1000000,INDEX(기본자료!$K$2:$K$1001,$AB372),IF(AND(INDEX(기본자료!$K$2:$K$1001,$AB372)&gt;=10000101,INT(MOD(INDEX(기본자료!$K$2:$K$1001,$AB372),10000)/100)&gt;=1,INT(MOD(INDEX(기본자료!$K$2:$K$1001,$AB372),10000)/100)&lt;=12,MOD(INDEX(기본자료!$K$2:$K$1001,$AB372),100)&gt;=1,MOD(INDEX(기본자료!$K$2:$K$1001,$AB372),100)&lt;=31),DATE(INT(INDEX(기본자료!$K$2:$K$1001,$AB372)/10000),INT(MOD(INDEX(기본자료!$K$2:$K$1001,$AB372),10000)/100),MOD(INDEX(기본자료!$K$2:$K$1001,$AB372),100)),INDEX(기본자료!$K$2:$K$1001,$AB372)&amp;"")))))</f>
        <v/>
      </c>
      <c r="F372" s="10">
        <f>IF($AB372="","",IF(INDEX(기본자료!$D$2:$D$1001,$AB372)="","",INDEX(기본자료!$D$2:$D$1001,$AB372)))</f>
        <v/>
      </c>
      <c r="G372" s="10">
        <f>IF($AB372="","",IF(INDEX(기본자료!$E$2:$E$1001,$AB372)="","",INDEX(기본자료!$E$2:$E$1001,$AB372)))</f>
        <v/>
      </c>
      <c r="H372" s="10">
        <f>IF($AB372="","",IF(INDEX(기본자료!$F$2:$F$1001,$AB372)="","",INDEX(기본자료!$F$2:$F$1001,$AB372)))</f>
        <v/>
      </c>
      <c r="I372" s="11">
        <f>IF($AB372="","",IF(INDEX(기본자료!$G$2:$G$1001,$AB372)="","",IF(NOT(ISNUMBER(INDEX(기본자료!$G$2:$G$1001,$AB372))),INDEX(기본자료!$G$2:$G$1001,$AB372),IF(INDEX(기본자료!$G$2:$G$1001,$AB372)&lt;1000000,INDEX(기본자료!$G$2:$G$1001,$AB372),IF(AND(INDEX(기본자료!$G$2:$G$1001,$AB372)&gt;=10000101,INT(MOD(INDEX(기본자료!$G$2:$G$1001,$AB372),10000)/100)&gt;=1,INT(MOD(INDEX(기본자료!$G$2:$G$1001,$AB372),10000)/100)&lt;=12,MOD(INDEX(기본자료!$G$2:$G$1001,$AB372),100)&gt;=1,MOD(INDEX(기본자료!$G$2:$G$1001,$AB372),100)&lt;=31),DATE(INT(INDEX(기본자료!$G$2:$G$1001,$AB372)/10000),INT(MOD(INDEX(기본자료!$G$2:$G$1001,$AB372),10000)/100),MOD(INDEX(기본자료!$G$2:$G$1001,$AB372),100)),INDEX(기본자료!$G$2:$G$1001,$AB372)&amp;"")))))</f>
        <v/>
      </c>
      <c r="J372" s="10">
        <f>IF($AB372="","",IF(INDEX(기본자료!$H$2:$H$1001,$AB372)="","",INDEX(기본자료!$H$2:$H$1001,$AB372)))</f>
        <v/>
      </c>
      <c r="K372" s="10">
        <f>IF($AB372="","",IF(INDEX(기본자료!$I$2:$I$1001,$AB372)="","",INDEX(기본자료!$I$2:$I$1001,$AB372)))</f>
        <v/>
      </c>
      <c r="L372" s="10">
        <f>IF($AB372="","",IF(INDEX(기본자료!$A$2:$A$1001,$AB372)="","",INDEX(기본자료!$A$2:$A$1001,$AB372)))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파견수련계획!$AB$4:$AB$803,$AK372),OR(NOT(ISNUMBER(INDEX(파견수련계획!$AC$4:$AC$803,$AK372))),TODAY()&lt;=INDEX(파견수련계획!$AC$4:$AC$803,$AK372))),"다기관",IF($AF372="","",INDEX(파견수련계획!$T$4:$T$803,$AF372))),IF($AF372="","",INDEX(파견수련계획!$T$4:$T$803,$AF372))))</f>
        <v/>
      </c>
      <c r="Q372" s="10">
        <f>IF($AF372="","",INDEX(파견수련계획!$S$4:$S$803,$AF372))</f>
        <v/>
      </c>
      <c r="R372" s="10">
        <f>IF($AF372="","",INDEX(파견수련계획!$U$4:$U$803,$AF372))</f>
        <v/>
      </c>
      <c r="S372" s="11">
        <f>IF($AF372="","",IF(INDEX(파견수련계획!$H$4:$H$803,$AF372)="","",INDEX(파견수련계획!$H$4:$H$803,$AF372)))</f>
        <v/>
      </c>
      <c r="T372" s="11">
        <f>IF($AF372="","",IF(INDEX(파견수련계획!$I$4:$I$803,$AF372)="","",INDEX(파견수련계획!$I$4:$I$803,$AF372)))</f>
        <v/>
      </c>
      <c r="U372" s="10">
        <f>IF($AF372="","",INDEX(파견수련계획!$X$4:$X$803,$AF372))</f>
        <v/>
      </c>
      <c r="V372" s="17">
        <f>IF($AF372="","",INDEX(파견수련계획!$V$4:$V$803,$AF372))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IF(OR($B372="",TRIM($J372&amp;"")=""),"",SUMPRODUCT((파견수련계획!$Q$4:$Q$803=TRIM($J372&amp;""))*파견수련계획!$W$4:$W$803))</f>
        <v/>
      </c>
      <c r="Y372" s="10">
        <f>IF($B372="","",IF($AG372="","",IF(IF(TRIM($J372&amp;"")="",0,SUMPRODUCT((파견수련계획!$Q$4:$Q$803=TRIM($J372&amp;""))*파견수련계획!$AD$4:$AD$803))&gt;0,$AE372,IF(N($X372)&lt;=0,$AG372,IF($AH372+$AI372=DAY(EOMONTH(요약!$B$3,0)),IF(AND($AH372&gt;=요약!$E$3,$AI372&lt;요약!$E$3),"서울병원",IF(AND($AI372&gt;=요약!$E$3,$AH372&lt;요약!$E$3),"구리병원","⚠15일 판정불가(서울 "&amp;$AH372&amp;"일/구리 "&amp;$AI372&amp;"일)")),IF($AJ372="",$AE372,IF(INDEX(파견수련계획!$T$4:$T$803,$AJ372)="통합수련",INDEX(파견수련계획!$S$4:$S$803,$AJ372),$AE372)))))))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입력",IF(IF(TRIM($J372&amp;"")="",0,SUMPRODUCT((파견수련계획!$Q$4:$Q$803=TRIM($J372&amp;""))*(파견수련계획!$AA$4:$AA$803&lt;&gt;"")))&gt;0,"파견수련계획 입력오류 확인",IF(LEFT($Y372,1)="⚠","서울·구리 15일 판정 불가(양쪽 모두 이상/미만)",IF(IF($AC372="",0,N(INDEX(인턴근무계획!$T$3:$T$402,$AC372)))&gt;0,"인턴계획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IF($B372="","",IFERROR(MATCH($B372,기본자료!$B$2:$B$1001,0),IFERROR(MATCH($B372&amp;"",기본자료!$B$2:$B$1001,0),IFERROR(MATCH(VALUE($B372),기본자료!$B$2:$B$1001,0),""))))</f>
        <v/>
      </c>
      <c r="AC372" s="10">
        <f>IF($B372="","",IFERROR(MATCH($B372,인턴근무계획!$D$3:$D$402,0),IFERROR(MATCH($B372&amp;"",인턴근무계획!$D$3:$D$402,0),IFERROR(MATCH(VALUE($B372),인턴근무계획!$D$3:$D$402,0),""))))</f>
        <v/>
      </c>
      <c r="AD372" s="10">
        <f>IF(OR($AC372="",인턴현황!$G$3=""),"",INDEX(인턴근무계획!$M$3:$R$402,$AC372,인턴현황!$G$3)&amp;"")</f>
        <v/>
      </c>
      <c r="AE372" s="10">
        <f>IF($B372="","",IF($M372&lt;&gt;"",$M372,IF($AF372&lt;&gt;"",IF(LEFT(INDEX(파견수련계획!$R$4:$R$803,$AF372),1)&lt;&gt;"⚠",INDEX(파견수련계획!$R$4:$R$803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파견수련계획!$Y$4:$Y$803,0),IFERROR(MATCH(TRIM($J372&amp;"")&amp;"|파견예정",파견수련계획!$Y$4:$Y$803,0),IFERROR(MATCH(TRIM($J372&amp;"")&amp;"|파견종료",파견수련계획!$Y$4:$Y$803,0),""))))</f>
        <v/>
      </c>
      <c r="AG372" s="10">
        <f>IF($B372="","",IF(AND(IF(OR($AC372="",인턴현황!$K$2=""),"",INDEX(인턴근무계획!$M$3:$R$402,$AC372,인턴현황!$K$2)&amp;"")&lt;&gt;"",LEFT(IF(OR($AC372="",인턴현황!$K$2=""),"",INDEX(인턴근무계획!$M$3:$R$402,$AC372,인턴현황!$K$2)&amp;""),1)&lt;&gt;"⚠"),LEFT(IF(OR($AC372="",인턴현황!$K$2=""),"",INDEX(인턴근무계획!$M$3:$R$402,$AC372,인턴현황!$K$2)&amp;""),FIND(" ",IF(OR($AC372="",인턴현황!$K$2=""),"",INDEX(인턴근무계획!$M$3:$R$402,$AC372,인턴현황!$K$2)&amp;""))-1),$AE372))</f>
        <v/>
      </c>
      <c r="AH372" s="17">
        <f>IF($B372="","",IF(TRIM($J372&amp;"")="",0,SUMPRODUCT((파견수련계획!$Q$4:$Q$803=TRIM($J372&amp;""))*(파견수련계획!$S$4:$S$803="서울병원")*파견수련계획!$W$4:$W$803))+IF($AG372="서울병원",MAX(0,DAY(EOMONTH(요약!$B$3,0))-N($X372)),0))</f>
        <v/>
      </c>
      <c r="AI372" s="17">
        <f>IF($B372="","",IF(TRIM($J372&amp;"")="",0,SUMPRODUCT((파견수련계획!$Q$4:$Q$803=TRIM($J372&amp;""))*(파견수련계획!$S$4:$S$803="구리병원")*파견수련계획!$W$4:$W$803))+IF($AG372="구리병원",MAX(0,DAY(EOMONTH(요약!$B$3,0))-N($X372)),0))</f>
        <v/>
      </c>
      <c r="AJ372" s="10">
        <f>IF(OR($B372="",TRIM($J372&amp;"")=""),"",IFERROR(MATCH(TRIM($J372&amp;"")&amp;"|월",파견수련계획!$Z$4:$Z$803,0),""))</f>
        <v/>
      </c>
      <c r="AK372" s="10">
        <f>IF(OR($B372="",TRIM($J372&amp;"")=""),"",IFERROR(MATCH(TRIM($J372&amp;"")&amp;"|다기관",파견수련계획!$AE$4:$AE$803,0),""))</f>
        <v/>
      </c>
      <c r="AL372" s="10">
        <f>IF($AK372="","","다기관 "&amp;TEXT(INDEX(파견수련계획!$AB$4:$AB$803,$AK372),"yyyy-mm-dd")&amp;"~"&amp;IF(ISNUMBER(INDEX(파견수련계획!$AC$4:$AC$803,$AK372)),TEXT(INDEX(파견수련계획!$AC$4:$AC$803,$AK372),"yyyy-mm-dd"),""))</f>
        <v/>
      </c>
    </row>
    <row r="373">
      <c r="A373" s="10">
        <f>IF(B373="","",ROW()-1)</f>
        <v/>
      </c>
      <c r="B373" s="18" t="n"/>
      <c r="C373" s="10">
        <f>IF($AB373="","",IF(INDEX(기본자료!$C$2:$C$1001,$AB373)="","",INDEX(기본자료!$C$2:$C$1001,$AB373)))</f>
        <v/>
      </c>
      <c r="D373" s="10">
        <f>IF($AB373="","",IF(INDEX(기본자료!$J$2:$J$1001,$AB373)="","",INDEX(기본자료!$J$2:$J$1001,$AB373)))</f>
        <v/>
      </c>
      <c r="E373" s="11">
        <f>IF($AB373="","",IF(INDEX(기본자료!$K$2:$K$1001,$AB373)="","",IF(NOT(ISNUMBER(INDEX(기본자료!$K$2:$K$1001,$AB373))),INDEX(기본자료!$K$2:$K$1001,$AB373),IF(INDEX(기본자료!$K$2:$K$1001,$AB373)&lt;1000000,INDEX(기본자료!$K$2:$K$1001,$AB373),IF(AND(INDEX(기본자료!$K$2:$K$1001,$AB373)&gt;=10000101,INT(MOD(INDEX(기본자료!$K$2:$K$1001,$AB373),10000)/100)&gt;=1,INT(MOD(INDEX(기본자료!$K$2:$K$1001,$AB373),10000)/100)&lt;=12,MOD(INDEX(기본자료!$K$2:$K$1001,$AB373),100)&gt;=1,MOD(INDEX(기본자료!$K$2:$K$1001,$AB373),100)&lt;=31),DATE(INT(INDEX(기본자료!$K$2:$K$1001,$AB373)/10000),INT(MOD(INDEX(기본자료!$K$2:$K$1001,$AB373),10000)/100),MOD(INDEX(기본자료!$K$2:$K$1001,$AB373),100)),INDEX(기본자료!$K$2:$K$1001,$AB373)&amp;"")))))</f>
        <v/>
      </c>
      <c r="F373" s="10">
        <f>IF($AB373="","",IF(INDEX(기본자료!$D$2:$D$1001,$AB373)="","",INDEX(기본자료!$D$2:$D$1001,$AB373)))</f>
        <v/>
      </c>
      <c r="G373" s="10">
        <f>IF($AB373="","",IF(INDEX(기본자료!$E$2:$E$1001,$AB373)="","",INDEX(기본자료!$E$2:$E$1001,$AB373)))</f>
        <v/>
      </c>
      <c r="H373" s="10">
        <f>IF($AB373="","",IF(INDEX(기본자료!$F$2:$F$1001,$AB373)="","",INDEX(기본자료!$F$2:$F$1001,$AB373)))</f>
        <v/>
      </c>
      <c r="I373" s="11">
        <f>IF($AB373="","",IF(INDEX(기본자료!$G$2:$G$1001,$AB373)="","",IF(NOT(ISNUMBER(INDEX(기본자료!$G$2:$G$1001,$AB373))),INDEX(기본자료!$G$2:$G$1001,$AB373),IF(INDEX(기본자료!$G$2:$G$1001,$AB373)&lt;1000000,INDEX(기본자료!$G$2:$G$1001,$AB373),IF(AND(INDEX(기본자료!$G$2:$G$1001,$AB373)&gt;=10000101,INT(MOD(INDEX(기본자료!$G$2:$G$1001,$AB373),10000)/100)&gt;=1,INT(MOD(INDEX(기본자료!$G$2:$G$1001,$AB373),10000)/100)&lt;=12,MOD(INDEX(기본자료!$G$2:$G$1001,$AB373),100)&gt;=1,MOD(INDEX(기본자료!$G$2:$G$1001,$AB373),100)&lt;=31),DATE(INT(INDEX(기본자료!$G$2:$G$1001,$AB373)/10000),INT(MOD(INDEX(기본자료!$G$2:$G$1001,$AB373),10000)/100),MOD(INDEX(기본자료!$G$2:$G$1001,$AB373),100)),INDEX(기본자료!$G$2:$G$1001,$AB373)&amp;"")))))</f>
        <v/>
      </c>
      <c r="J373" s="10">
        <f>IF($AB373="","",IF(INDEX(기본자료!$H$2:$H$1001,$AB373)="","",INDEX(기본자료!$H$2:$H$1001,$AB373)))</f>
        <v/>
      </c>
      <c r="K373" s="10">
        <f>IF($AB373="","",IF(INDEX(기본자료!$I$2:$I$1001,$AB373)="","",INDEX(기본자료!$I$2:$I$1001,$AB373)))</f>
        <v/>
      </c>
      <c r="L373" s="10">
        <f>IF($AB373="","",IF(INDEX(기본자료!$A$2:$A$1001,$AB373)="","",INDEX(기본자료!$A$2:$A$1001,$AB373)))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파견수련계획!$AB$4:$AB$803,$AK373),OR(NOT(ISNUMBER(INDEX(파견수련계획!$AC$4:$AC$803,$AK373))),TODAY()&lt;=INDEX(파견수련계획!$AC$4:$AC$803,$AK373))),"다기관",IF($AF373="","",INDEX(파견수련계획!$T$4:$T$803,$AF373))),IF($AF373="","",INDEX(파견수련계획!$T$4:$T$803,$AF373))))</f>
        <v/>
      </c>
      <c r="Q373" s="10">
        <f>IF($AF373="","",INDEX(파견수련계획!$S$4:$S$803,$AF373))</f>
        <v/>
      </c>
      <c r="R373" s="10">
        <f>IF($AF373="","",INDEX(파견수련계획!$U$4:$U$803,$AF373))</f>
        <v/>
      </c>
      <c r="S373" s="11">
        <f>IF($AF373="","",IF(INDEX(파견수련계획!$H$4:$H$803,$AF373)="","",INDEX(파견수련계획!$H$4:$H$803,$AF373)))</f>
        <v/>
      </c>
      <c r="T373" s="11">
        <f>IF($AF373="","",IF(INDEX(파견수련계획!$I$4:$I$803,$AF373)="","",INDEX(파견수련계획!$I$4:$I$803,$AF373)))</f>
        <v/>
      </c>
      <c r="U373" s="10">
        <f>IF($AF373="","",INDEX(파견수련계획!$X$4:$X$803,$AF373))</f>
        <v/>
      </c>
      <c r="V373" s="17">
        <f>IF($AF373="","",INDEX(파견수련계획!$V$4:$V$803,$AF373))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IF(OR($B373="",TRIM($J373&amp;"")=""),"",SUMPRODUCT((파견수련계획!$Q$4:$Q$803=TRIM($J373&amp;""))*파견수련계획!$W$4:$W$803))</f>
        <v/>
      </c>
      <c r="Y373" s="10">
        <f>IF($B373="","",IF($AG373="","",IF(IF(TRIM($J373&amp;"")="",0,SUMPRODUCT((파견수련계획!$Q$4:$Q$803=TRIM($J373&amp;""))*파견수련계획!$AD$4:$AD$803))&gt;0,$AE373,IF(N($X373)&lt;=0,$AG373,IF($AH373+$AI373=DAY(EOMONTH(요약!$B$3,0)),IF(AND($AH373&gt;=요약!$E$3,$AI373&lt;요약!$E$3),"서울병원",IF(AND($AI373&gt;=요약!$E$3,$AH373&lt;요약!$E$3),"구리병원","⚠15일 판정불가(서울 "&amp;$AH373&amp;"일/구리 "&amp;$AI373&amp;"일)")),IF($AJ373="",$AE373,IF(INDEX(파견수련계획!$T$4:$T$803,$AJ373)="통합수련",INDEX(파견수련계획!$S$4:$S$803,$AJ373),$AE373)))))))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입력",IF(IF(TRIM($J373&amp;"")="",0,SUMPRODUCT((파견수련계획!$Q$4:$Q$803=TRIM($J373&amp;""))*(파견수련계획!$AA$4:$AA$803&lt;&gt;"")))&gt;0,"파견수련계획 입력오류 확인",IF(LEFT($Y373,1)="⚠","서울·구리 15일 판정 불가(양쪽 모두 이상/미만)",IF(IF($AC373="",0,N(INDEX(인턴근무계획!$T$3:$T$402,$AC373)))&gt;0,"인턴계획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IF($B373="","",IFERROR(MATCH($B373,기본자료!$B$2:$B$1001,0),IFERROR(MATCH($B373&amp;"",기본자료!$B$2:$B$1001,0),IFERROR(MATCH(VALUE($B373),기본자료!$B$2:$B$1001,0),""))))</f>
        <v/>
      </c>
      <c r="AC373" s="10">
        <f>IF($B373="","",IFERROR(MATCH($B373,인턴근무계획!$D$3:$D$402,0),IFERROR(MATCH($B373&amp;"",인턴근무계획!$D$3:$D$402,0),IFERROR(MATCH(VALUE($B373),인턴근무계획!$D$3:$D$402,0),""))))</f>
        <v/>
      </c>
      <c r="AD373" s="10">
        <f>IF(OR($AC373="",인턴현황!$G$3=""),"",INDEX(인턴근무계획!$M$3:$R$402,$AC373,인턴현황!$G$3)&amp;"")</f>
        <v/>
      </c>
      <c r="AE373" s="10">
        <f>IF($B373="","",IF($M373&lt;&gt;"",$M373,IF($AF373&lt;&gt;"",IF(LEFT(INDEX(파견수련계획!$R$4:$R$803,$AF373),1)&lt;&gt;"⚠",INDEX(파견수련계획!$R$4:$R$803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파견수련계획!$Y$4:$Y$803,0),IFERROR(MATCH(TRIM($J373&amp;"")&amp;"|파견예정",파견수련계획!$Y$4:$Y$803,0),IFERROR(MATCH(TRIM($J373&amp;"")&amp;"|파견종료",파견수련계획!$Y$4:$Y$803,0),""))))</f>
        <v/>
      </c>
      <c r="AG373" s="10">
        <f>IF($B373="","",IF(AND(IF(OR($AC373="",인턴현황!$K$2=""),"",INDEX(인턴근무계획!$M$3:$R$402,$AC373,인턴현황!$K$2)&amp;"")&lt;&gt;"",LEFT(IF(OR($AC373="",인턴현황!$K$2=""),"",INDEX(인턴근무계획!$M$3:$R$402,$AC373,인턴현황!$K$2)&amp;""),1)&lt;&gt;"⚠"),LEFT(IF(OR($AC373="",인턴현황!$K$2=""),"",INDEX(인턴근무계획!$M$3:$R$402,$AC373,인턴현황!$K$2)&amp;""),FIND(" ",IF(OR($AC373="",인턴현황!$K$2=""),"",INDEX(인턴근무계획!$M$3:$R$402,$AC373,인턴현황!$K$2)&amp;""))-1),$AE373))</f>
        <v/>
      </c>
      <c r="AH373" s="17">
        <f>IF($B373="","",IF(TRIM($J373&amp;"")="",0,SUMPRODUCT((파견수련계획!$Q$4:$Q$803=TRIM($J373&amp;""))*(파견수련계획!$S$4:$S$803="서울병원")*파견수련계획!$W$4:$W$803))+IF($AG373="서울병원",MAX(0,DAY(EOMONTH(요약!$B$3,0))-N($X373)),0))</f>
        <v/>
      </c>
      <c r="AI373" s="17">
        <f>IF($B373="","",IF(TRIM($J373&amp;"")="",0,SUMPRODUCT((파견수련계획!$Q$4:$Q$803=TRIM($J373&amp;""))*(파견수련계획!$S$4:$S$803="구리병원")*파견수련계획!$W$4:$W$803))+IF($AG373="구리병원",MAX(0,DAY(EOMONTH(요약!$B$3,0))-N($X373)),0))</f>
        <v/>
      </c>
      <c r="AJ373" s="10">
        <f>IF(OR($B373="",TRIM($J373&amp;"")=""),"",IFERROR(MATCH(TRIM($J373&amp;"")&amp;"|월",파견수련계획!$Z$4:$Z$803,0),""))</f>
        <v/>
      </c>
      <c r="AK373" s="10">
        <f>IF(OR($B373="",TRIM($J373&amp;"")=""),"",IFERROR(MATCH(TRIM($J373&amp;"")&amp;"|다기관",파견수련계획!$AE$4:$AE$803,0),""))</f>
        <v/>
      </c>
      <c r="AL373" s="10">
        <f>IF($AK373="","","다기관 "&amp;TEXT(INDEX(파견수련계획!$AB$4:$AB$803,$AK373),"yyyy-mm-dd")&amp;"~"&amp;IF(ISNUMBER(INDEX(파견수련계획!$AC$4:$AC$803,$AK373)),TEXT(INDEX(파견수련계획!$AC$4:$AC$803,$AK373),"yyyy-mm-dd"),""))</f>
        <v/>
      </c>
    </row>
    <row r="374">
      <c r="A374" s="10">
        <f>IF(B374="","",ROW()-1)</f>
        <v/>
      </c>
      <c r="B374" s="18" t="n"/>
      <c r="C374" s="10">
        <f>IF($AB374="","",IF(INDEX(기본자료!$C$2:$C$1001,$AB374)="","",INDEX(기본자료!$C$2:$C$1001,$AB374)))</f>
        <v/>
      </c>
      <c r="D374" s="10">
        <f>IF($AB374="","",IF(INDEX(기본자료!$J$2:$J$1001,$AB374)="","",INDEX(기본자료!$J$2:$J$1001,$AB374)))</f>
        <v/>
      </c>
      <c r="E374" s="11">
        <f>IF($AB374="","",IF(INDEX(기본자료!$K$2:$K$1001,$AB374)="","",IF(NOT(ISNUMBER(INDEX(기본자료!$K$2:$K$1001,$AB374))),INDEX(기본자료!$K$2:$K$1001,$AB374),IF(INDEX(기본자료!$K$2:$K$1001,$AB374)&lt;1000000,INDEX(기본자료!$K$2:$K$1001,$AB374),IF(AND(INDEX(기본자료!$K$2:$K$1001,$AB374)&gt;=10000101,INT(MOD(INDEX(기본자료!$K$2:$K$1001,$AB374),10000)/100)&gt;=1,INT(MOD(INDEX(기본자료!$K$2:$K$1001,$AB374),10000)/100)&lt;=12,MOD(INDEX(기본자료!$K$2:$K$1001,$AB374),100)&gt;=1,MOD(INDEX(기본자료!$K$2:$K$1001,$AB374),100)&lt;=31),DATE(INT(INDEX(기본자료!$K$2:$K$1001,$AB374)/10000),INT(MOD(INDEX(기본자료!$K$2:$K$1001,$AB374),10000)/100),MOD(INDEX(기본자료!$K$2:$K$1001,$AB374),100)),INDEX(기본자료!$K$2:$K$1001,$AB374)&amp;"")))))</f>
        <v/>
      </c>
      <c r="F374" s="10">
        <f>IF($AB374="","",IF(INDEX(기본자료!$D$2:$D$1001,$AB374)="","",INDEX(기본자료!$D$2:$D$1001,$AB374)))</f>
        <v/>
      </c>
      <c r="G374" s="10">
        <f>IF($AB374="","",IF(INDEX(기본자료!$E$2:$E$1001,$AB374)="","",INDEX(기본자료!$E$2:$E$1001,$AB374)))</f>
        <v/>
      </c>
      <c r="H374" s="10">
        <f>IF($AB374="","",IF(INDEX(기본자료!$F$2:$F$1001,$AB374)="","",INDEX(기본자료!$F$2:$F$1001,$AB374)))</f>
        <v/>
      </c>
      <c r="I374" s="11">
        <f>IF($AB374="","",IF(INDEX(기본자료!$G$2:$G$1001,$AB374)="","",IF(NOT(ISNUMBER(INDEX(기본자료!$G$2:$G$1001,$AB374))),INDEX(기본자료!$G$2:$G$1001,$AB374),IF(INDEX(기본자료!$G$2:$G$1001,$AB374)&lt;1000000,INDEX(기본자료!$G$2:$G$1001,$AB374),IF(AND(INDEX(기본자료!$G$2:$G$1001,$AB374)&gt;=10000101,INT(MOD(INDEX(기본자료!$G$2:$G$1001,$AB374),10000)/100)&gt;=1,INT(MOD(INDEX(기본자료!$G$2:$G$1001,$AB374),10000)/100)&lt;=12,MOD(INDEX(기본자료!$G$2:$G$1001,$AB374),100)&gt;=1,MOD(INDEX(기본자료!$G$2:$G$1001,$AB374),100)&lt;=31),DATE(INT(INDEX(기본자료!$G$2:$G$1001,$AB374)/10000),INT(MOD(INDEX(기본자료!$G$2:$G$1001,$AB374),10000)/100),MOD(INDEX(기본자료!$G$2:$G$1001,$AB374),100)),INDEX(기본자료!$G$2:$G$1001,$AB374)&amp;"")))))</f>
        <v/>
      </c>
      <c r="J374" s="10">
        <f>IF($AB374="","",IF(INDEX(기본자료!$H$2:$H$1001,$AB374)="","",INDEX(기본자료!$H$2:$H$1001,$AB374)))</f>
        <v/>
      </c>
      <c r="K374" s="10">
        <f>IF($AB374="","",IF(INDEX(기본자료!$I$2:$I$1001,$AB374)="","",INDEX(기본자료!$I$2:$I$1001,$AB374)))</f>
        <v/>
      </c>
      <c r="L374" s="10">
        <f>IF($AB374="","",IF(INDEX(기본자료!$A$2:$A$1001,$AB374)="","",INDEX(기본자료!$A$2:$A$1001,$AB374)))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파견수련계획!$AB$4:$AB$803,$AK374),OR(NOT(ISNUMBER(INDEX(파견수련계획!$AC$4:$AC$803,$AK374))),TODAY()&lt;=INDEX(파견수련계획!$AC$4:$AC$803,$AK374))),"다기관",IF($AF374="","",INDEX(파견수련계획!$T$4:$T$803,$AF374))),IF($AF374="","",INDEX(파견수련계획!$T$4:$T$803,$AF374))))</f>
        <v/>
      </c>
      <c r="Q374" s="10">
        <f>IF($AF374="","",INDEX(파견수련계획!$S$4:$S$803,$AF374))</f>
        <v/>
      </c>
      <c r="R374" s="10">
        <f>IF($AF374="","",INDEX(파견수련계획!$U$4:$U$803,$AF374))</f>
        <v/>
      </c>
      <c r="S374" s="11">
        <f>IF($AF374="","",IF(INDEX(파견수련계획!$H$4:$H$803,$AF374)="","",INDEX(파견수련계획!$H$4:$H$803,$AF374)))</f>
        <v/>
      </c>
      <c r="T374" s="11">
        <f>IF($AF374="","",IF(INDEX(파견수련계획!$I$4:$I$803,$AF374)="","",INDEX(파견수련계획!$I$4:$I$803,$AF374)))</f>
        <v/>
      </c>
      <c r="U374" s="10">
        <f>IF($AF374="","",INDEX(파견수련계획!$X$4:$X$803,$AF374))</f>
        <v/>
      </c>
      <c r="V374" s="17">
        <f>IF($AF374="","",INDEX(파견수련계획!$V$4:$V$803,$AF374))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IF(OR($B374="",TRIM($J374&amp;"")=""),"",SUMPRODUCT((파견수련계획!$Q$4:$Q$803=TRIM($J374&amp;""))*파견수련계획!$W$4:$W$803))</f>
        <v/>
      </c>
      <c r="Y374" s="10">
        <f>IF($B374="","",IF($AG374="","",IF(IF(TRIM($J374&amp;"")="",0,SUMPRODUCT((파견수련계획!$Q$4:$Q$803=TRIM($J374&amp;""))*파견수련계획!$AD$4:$AD$803))&gt;0,$AE374,IF(N($X374)&lt;=0,$AG374,IF($AH374+$AI374=DAY(EOMONTH(요약!$B$3,0)),IF(AND($AH374&gt;=요약!$E$3,$AI374&lt;요약!$E$3),"서울병원",IF(AND($AI374&gt;=요약!$E$3,$AH374&lt;요약!$E$3),"구리병원","⚠15일 판정불가(서울 "&amp;$AH374&amp;"일/구리 "&amp;$AI374&amp;"일)")),IF($AJ374="",$AE374,IF(INDEX(파견수련계획!$T$4:$T$803,$AJ374)="통합수련",INDEX(파견수련계획!$S$4:$S$803,$AJ374),$AE374)))))))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입력",IF(IF(TRIM($J374&amp;"")="",0,SUMPRODUCT((파견수련계획!$Q$4:$Q$803=TRIM($J374&amp;""))*(파견수련계획!$AA$4:$AA$803&lt;&gt;"")))&gt;0,"파견수련계획 입력오류 확인",IF(LEFT($Y374,1)="⚠","서울·구리 15일 판정 불가(양쪽 모두 이상/미만)",IF(IF($AC374="",0,N(INDEX(인턴근무계획!$T$3:$T$402,$AC374)))&gt;0,"인턴계획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IF($B374="","",IFERROR(MATCH($B374,기본자료!$B$2:$B$1001,0),IFERROR(MATCH($B374&amp;"",기본자료!$B$2:$B$1001,0),IFERROR(MATCH(VALUE($B374),기본자료!$B$2:$B$1001,0),""))))</f>
        <v/>
      </c>
      <c r="AC374" s="10">
        <f>IF($B374="","",IFERROR(MATCH($B374,인턴근무계획!$D$3:$D$402,0),IFERROR(MATCH($B374&amp;"",인턴근무계획!$D$3:$D$402,0),IFERROR(MATCH(VALUE($B374),인턴근무계획!$D$3:$D$402,0),""))))</f>
        <v/>
      </c>
      <c r="AD374" s="10">
        <f>IF(OR($AC374="",인턴현황!$G$3=""),"",INDEX(인턴근무계획!$M$3:$R$402,$AC374,인턴현황!$G$3)&amp;"")</f>
        <v/>
      </c>
      <c r="AE374" s="10">
        <f>IF($B374="","",IF($M374&lt;&gt;"",$M374,IF($AF374&lt;&gt;"",IF(LEFT(INDEX(파견수련계획!$R$4:$R$803,$AF374),1)&lt;&gt;"⚠",INDEX(파견수련계획!$R$4:$R$803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파견수련계획!$Y$4:$Y$803,0),IFERROR(MATCH(TRIM($J374&amp;"")&amp;"|파견예정",파견수련계획!$Y$4:$Y$803,0),IFERROR(MATCH(TRIM($J374&amp;"")&amp;"|파견종료",파견수련계획!$Y$4:$Y$803,0),""))))</f>
        <v/>
      </c>
      <c r="AG374" s="10">
        <f>IF($B374="","",IF(AND(IF(OR($AC374="",인턴현황!$K$2=""),"",INDEX(인턴근무계획!$M$3:$R$402,$AC374,인턴현황!$K$2)&amp;"")&lt;&gt;"",LEFT(IF(OR($AC374="",인턴현황!$K$2=""),"",INDEX(인턴근무계획!$M$3:$R$402,$AC374,인턴현황!$K$2)&amp;""),1)&lt;&gt;"⚠"),LEFT(IF(OR($AC374="",인턴현황!$K$2=""),"",INDEX(인턴근무계획!$M$3:$R$402,$AC374,인턴현황!$K$2)&amp;""),FIND(" ",IF(OR($AC374="",인턴현황!$K$2=""),"",INDEX(인턴근무계획!$M$3:$R$402,$AC374,인턴현황!$K$2)&amp;""))-1),$AE374))</f>
        <v/>
      </c>
      <c r="AH374" s="17">
        <f>IF($B374="","",IF(TRIM($J374&amp;"")="",0,SUMPRODUCT((파견수련계획!$Q$4:$Q$803=TRIM($J374&amp;""))*(파견수련계획!$S$4:$S$803="서울병원")*파견수련계획!$W$4:$W$803))+IF($AG374="서울병원",MAX(0,DAY(EOMONTH(요약!$B$3,0))-N($X374)),0))</f>
        <v/>
      </c>
      <c r="AI374" s="17">
        <f>IF($B374="","",IF(TRIM($J374&amp;"")="",0,SUMPRODUCT((파견수련계획!$Q$4:$Q$803=TRIM($J374&amp;""))*(파견수련계획!$S$4:$S$803="구리병원")*파견수련계획!$W$4:$W$803))+IF($AG374="구리병원",MAX(0,DAY(EOMONTH(요약!$B$3,0))-N($X374)),0))</f>
        <v/>
      </c>
      <c r="AJ374" s="10">
        <f>IF(OR($B374="",TRIM($J374&amp;"")=""),"",IFERROR(MATCH(TRIM($J374&amp;"")&amp;"|월",파견수련계획!$Z$4:$Z$803,0),""))</f>
        <v/>
      </c>
      <c r="AK374" s="10">
        <f>IF(OR($B374="",TRIM($J374&amp;"")=""),"",IFERROR(MATCH(TRIM($J374&amp;"")&amp;"|다기관",파견수련계획!$AE$4:$AE$803,0),""))</f>
        <v/>
      </c>
      <c r="AL374" s="10">
        <f>IF($AK374="","","다기관 "&amp;TEXT(INDEX(파견수련계획!$AB$4:$AB$803,$AK374),"yyyy-mm-dd")&amp;"~"&amp;IF(ISNUMBER(INDEX(파견수련계획!$AC$4:$AC$803,$AK374)),TEXT(INDEX(파견수련계획!$AC$4:$AC$803,$AK374),"yyyy-mm-dd"),""))</f>
        <v/>
      </c>
    </row>
    <row r="375">
      <c r="A375" s="10">
        <f>IF(B375="","",ROW()-1)</f>
        <v/>
      </c>
      <c r="B375" s="18" t="n"/>
      <c r="C375" s="10">
        <f>IF($AB375="","",IF(INDEX(기본자료!$C$2:$C$1001,$AB375)="","",INDEX(기본자료!$C$2:$C$1001,$AB375)))</f>
        <v/>
      </c>
      <c r="D375" s="10">
        <f>IF($AB375="","",IF(INDEX(기본자료!$J$2:$J$1001,$AB375)="","",INDEX(기본자료!$J$2:$J$1001,$AB375)))</f>
        <v/>
      </c>
      <c r="E375" s="11">
        <f>IF($AB375="","",IF(INDEX(기본자료!$K$2:$K$1001,$AB375)="","",IF(NOT(ISNUMBER(INDEX(기본자료!$K$2:$K$1001,$AB375))),INDEX(기본자료!$K$2:$K$1001,$AB375),IF(INDEX(기본자료!$K$2:$K$1001,$AB375)&lt;1000000,INDEX(기본자료!$K$2:$K$1001,$AB375),IF(AND(INDEX(기본자료!$K$2:$K$1001,$AB375)&gt;=10000101,INT(MOD(INDEX(기본자료!$K$2:$K$1001,$AB375),10000)/100)&gt;=1,INT(MOD(INDEX(기본자료!$K$2:$K$1001,$AB375),10000)/100)&lt;=12,MOD(INDEX(기본자료!$K$2:$K$1001,$AB375),100)&gt;=1,MOD(INDEX(기본자료!$K$2:$K$1001,$AB375),100)&lt;=31),DATE(INT(INDEX(기본자료!$K$2:$K$1001,$AB375)/10000),INT(MOD(INDEX(기본자료!$K$2:$K$1001,$AB375),10000)/100),MOD(INDEX(기본자료!$K$2:$K$1001,$AB375),100)),INDEX(기본자료!$K$2:$K$1001,$AB375)&amp;"")))))</f>
        <v/>
      </c>
      <c r="F375" s="10">
        <f>IF($AB375="","",IF(INDEX(기본자료!$D$2:$D$1001,$AB375)="","",INDEX(기본자료!$D$2:$D$1001,$AB375)))</f>
        <v/>
      </c>
      <c r="G375" s="10">
        <f>IF($AB375="","",IF(INDEX(기본자료!$E$2:$E$1001,$AB375)="","",INDEX(기본자료!$E$2:$E$1001,$AB375)))</f>
        <v/>
      </c>
      <c r="H375" s="10">
        <f>IF($AB375="","",IF(INDEX(기본자료!$F$2:$F$1001,$AB375)="","",INDEX(기본자료!$F$2:$F$1001,$AB375)))</f>
        <v/>
      </c>
      <c r="I375" s="11">
        <f>IF($AB375="","",IF(INDEX(기본자료!$G$2:$G$1001,$AB375)="","",IF(NOT(ISNUMBER(INDEX(기본자료!$G$2:$G$1001,$AB375))),INDEX(기본자료!$G$2:$G$1001,$AB375),IF(INDEX(기본자료!$G$2:$G$1001,$AB375)&lt;1000000,INDEX(기본자료!$G$2:$G$1001,$AB375),IF(AND(INDEX(기본자료!$G$2:$G$1001,$AB375)&gt;=10000101,INT(MOD(INDEX(기본자료!$G$2:$G$1001,$AB375),10000)/100)&gt;=1,INT(MOD(INDEX(기본자료!$G$2:$G$1001,$AB375),10000)/100)&lt;=12,MOD(INDEX(기본자료!$G$2:$G$1001,$AB375),100)&gt;=1,MOD(INDEX(기본자료!$G$2:$G$1001,$AB375),100)&lt;=31),DATE(INT(INDEX(기본자료!$G$2:$G$1001,$AB375)/10000),INT(MOD(INDEX(기본자료!$G$2:$G$1001,$AB375),10000)/100),MOD(INDEX(기본자료!$G$2:$G$1001,$AB375),100)),INDEX(기본자료!$G$2:$G$1001,$AB375)&amp;"")))))</f>
        <v/>
      </c>
      <c r="J375" s="10">
        <f>IF($AB375="","",IF(INDEX(기본자료!$H$2:$H$1001,$AB375)="","",INDEX(기본자료!$H$2:$H$1001,$AB375)))</f>
        <v/>
      </c>
      <c r="K375" s="10">
        <f>IF($AB375="","",IF(INDEX(기본자료!$I$2:$I$1001,$AB375)="","",INDEX(기본자료!$I$2:$I$1001,$AB375)))</f>
        <v/>
      </c>
      <c r="L375" s="10">
        <f>IF($AB375="","",IF(INDEX(기본자료!$A$2:$A$1001,$AB375)="","",INDEX(기본자료!$A$2:$A$1001,$AB375)))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파견수련계획!$AB$4:$AB$803,$AK375),OR(NOT(ISNUMBER(INDEX(파견수련계획!$AC$4:$AC$803,$AK375))),TODAY()&lt;=INDEX(파견수련계획!$AC$4:$AC$803,$AK375))),"다기관",IF($AF375="","",INDEX(파견수련계획!$T$4:$T$803,$AF375))),IF($AF375="","",INDEX(파견수련계획!$T$4:$T$803,$AF375))))</f>
        <v/>
      </c>
      <c r="Q375" s="10">
        <f>IF($AF375="","",INDEX(파견수련계획!$S$4:$S$803,$AF375))</f>
        <v/>
      </c>
      <c r="R375" s="10">
        <f>IF($AF375="","",INDEX(파견수련계획!$U$4:$U$803,$AF375))</f>
        <v/>
      </c>
      <c r="S375" s="11">
        <f>IF($AF375="","",IF(INDEX(파견수련계획!$H$4:$H$803,$AF375)="","",INDEX(파견수련계획!$H$4:$H$803,$AF375)))</f>
        <v/>
      </c>
      <c r="T375" s="11">
        <f>IF($AF375="","",IF(INDEX(파견수련계획!$I$4:$I$803,$AF375)="","",INDEX(파견수련계획!$I$4:$I$803,$AF375)))</f>
        <v/>
      </c>
      <c r="U375" s="10">
        <f>IF($AF375="","",INDEX(파견수련계획!$X$4:$X$803,$AF375))</f>
        <v/>
      </c>
      <c r="V375" s="17">
        <f>IF($AF375="","",INDEX(파견수련계획!$V$4:$V$803,$AF375))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IF(OR($B375="",TRIM($J375&amp;"")=""),"",SUMPRODUCT((파견수련계획!$Q$4:$Q$803=TRIM($J375&amp;""))*파견수련계획!$W$4:$W$803))</f>
        <v/>
      </c>
      <c r="Y375" s="10">
        <f>IF($B375="","",IF($AG375="","",IF(IF(TRIM($J375&amp;"")="",0,SUMPRODUCT((파견수련계획!$Q$4:$Q$803=TRIM($J375&amp;""))*파견수련계획!$AD$4:$AD$803))&gt;0,$AE375,IF(N($X375)&lt;=0,$AG375,IF($AH375+$AI375=DAY(EOMONTH(요약!$B$3,0)),IF(AND($AH375&gt;=요약!$E$3,$AI375&lt;요약!$E$3),"서울병원",IF(AND($AI375&gt;=요약!$E$3,$AH375&lt;요약!$E$3),"구리병원","⚠15일 판정불가(서울 "&amp;$AH375&amp;"일/구리 "&amp;$AI375&amp;"일)")),IF($AJ375="",$AE375,IF(INDEX(파견수련계획!$T$4:$T$803,$AJ375)="통합수련",INDEX(파견수련계획!$S$4:$S$803,$AJ375),$AE375)))))))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입력",IF(IF(TRIM($J375&amp;"")="",0,SUMPRODUCT((파견수련계획!$Q$4:$Q$803=TRIM($J375&amp;""))*(파견수련계획!$AA$4:$AA$803&lt;&gt;"")))&gt;0,"파견수련계획 입력오류 확인",IF(LEFT($Y375,1)="⚠","서울·구리 15일 판정 불가(양쪽 모두 이상/미만)",IF(IF($AC375="",0,N(INDEX(인턴근무계획!$T$3:$T$402,$AC375)))&gt;0,"인턴계획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IF($B375="","",IFERROR(MATCH($B375,기본자료!$B$2:$B$1001,0),IFERROR(MATCH($B375&amp;"",기본자료!$B$2:$B$1001,0),IFERROR(MATCH(VALUE($B375),기본자료!$B$2:$B$1001,0),""))))</f>
        <v/>
      </c>
      <c r="AC375" s="10">
        <f>IF($B375="","",IFERROR(MATCH($B375,인턴근무계획!$D$3:$D$402,0),IFERROR(MATCH($B375&amp;"",인턴근무계획!$D$3:$D$402,0),IFERROR(MATCH(VALUE($B375),인턴근무계획!$D$3:$D$402,0),""))))</f>
        <v/>
      </c>
      <c r="AD375" s="10">
        <f>IF(OR($AC375="",인턴현황!$G$3=""),"",INDEX(인턴근무계획!$M$3:$R$402,$AC375,인턴현황!$G$3)&amp;"")</f>
        <v/>
      </c>
      <c r="AE375" s="10">
        <f>IF($B375="","",IF($M375&lt;&gt;"",$M375,IF($AF375&lt;&gt;"",IF(LEFT(INDEX(파견수련계획!$R$4:$R$803,$AF375),1)&lt;&gt;"⚠",INDEX(파견수련계획!$R$4:$R$803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파견수련계획!$Y$4:$Y$803,0),IFERROR(MATCH(TRIM($J375&amp;"")&amp;"|파견예정",파견수련계획!$Y$4:$Y$803,0),IFERROR(MATCH(TRIM($J375&amp;"")&amp;"|파견종료",파견수련계획!$Y$4:$Y$803,0),""))))</f>
        <v/>
      </c>
      <c r="AG375" s="10">
        <f>IF($B375="","",IF(AND(IF(OR($AC375="",인턴현황!$K$2=""),"",INDEX(인턴근무계획!$M$3:$R$402,$AC375,인턴현황!$K$2)&amp;"")&lt;&gt;"",LEFT(IF(OR($AC375="",인턴현황!$K$2=""),"",INDEX(인턴근무계획!$M$3:$R$402,$AC375,인턴현황!$K$2)&amp;""),1)&lt;&gt;"⚠"),LEFT(IF(OR($AC375="",인턴현황!$K$2=""),"",INDEX(인턴근무계획!$M$3:$R$402,$AC375,인턴현황!$K$2)&amp;""),FIND(" ",IF(OR($AC375="",인턴현황!$K$2=""),"",INDEX(인턴근무계획!$M$3:$R$402,$AC375,인턴현황!$K$2)&amp;""))-1),$AE375))</f>
        <v/>
      </c>
      <c r="AH375" s="17">
        <f>IF($B375="","",IF(TRIM($J375&amp;"")="",0,SUMPRODUCT((파견수련계획!$Q$4:$Q$803=TRIM($J375&amp;""))*(파견수련계획!$S$4:$S$803="서울병원")*파견수련계획!$W$4:$W$803))+IF($AG375="서울병원",MAX(0,DAY(EOMONTH(요약!$B$3,0))-N($X375)),0))</f>
        <v/>
      </c>
      <c r="AI375" s="17">
        <f>IF($B375="","",IF(TRIM($J375&amp;"")="",0,SUMPRODUCT((파견수련계획!$Q$4:$Q$803=TRIM($J375&amp;""))*(파견수련계획!$S$4:$S$803="구리병원")*파견수련계획!$W$4:$W$803))+IF($AG375="구리병원",MAX(0,DAY(EOMONTH(요약!$B$3,0))-N($X375)),0))</f>
        <v/>
      </c>
      <c r="AJ375" s="10">
        <f>IF(OR($B375="",TRIM($J375&amp;"")=""),"",IFERROR(MATCH(TRIM($J375&amp;"")&amp;"|월",파견수련계획!$Z$4:$Z$803,0),""))</f>
        <v/>
      </c>
      <c r="AK375" s="10">
        <f>IF(OR($B375="",TRIM($J375&amp;"")=""),"",IFERROR(MATCH(TRIM($J375&amp;"")&amp;"|다기관",파견수련계획!$AE$4:$AE$803,0),""))</f>
        <v/>
      </c>
      <c r="AL375" s="10">
        <f>IF($AK375="","","다기관 "&amp;TEXT(INDEX(파견수련계획!$AB$4:$AB$803,$AK375),"yyyy-mm-dd")&amp;"~"&amp;IF(ISNUMBER(INDEX(파견수련계획!$AC$4:$AC$803,$AK375)),TEXT(INDEX(파견수련계획!$AC$4:$AC$803,$AK375),"yyyy-mm-dd"),""))</f>
        <v/>
      </c>
    </row>
    <row r="376">
      <c r="A376" s="10">
        <f>IF(B376="","",ROW()-1)</f>
        <v/>
      </c>
      <c r="B376" s="18" t="n"/>
      <c r="C376" s="10">
        <f>IF($AB376="","",IF(INDEX(기본자료!$C$2:$C$1001,$AB376)="","",INDEX(기본자료!$C$2:$C$1001,$AB376)))</f>
        <v/>
      </c>
      <c r="D376" s="10">
        <f>IF($AB376="","",IF(INDEX(기본자료!$J$2:$J$1001,$AB376)="","",INDEX(기본자료!$J$2:$J$1001,$AB376)))</f>
        <v/>
      </c>
      <c r="E376" s="11">
        <f>IF($AB376="","",IF(INDEX(기본자료!$K$2:$K$1001,$AB376)="","",IF(NOT(ISNUMBER(INDEX(기본자료!$K$2:$K$1001,$AB376))),INDEX(기본자료!$K$2:$K$1001,$AB376),IF(INDEX(기본자료!$K$2:$K$1001,$AB376)&lt;1000000,INDEX(기본자료!$K$2:$K$1001,$AB376),IF(AND(INDEX(기본자료!$K$2:$K$1001,$AB376)&gt;=10000101,INT(MOD(INDEX(기본자료!$K$2:$K$1001,$AB376),10000)/100)&gt;=1,INT(MOD(INDEX(기본자료!$K$2:$K$1001,$AB376),10000)/100)&lt;=12,MOD(INDEX(기본자료!$K$2:$K$1001,$AB376),100)&gt;=1,MOD(INDEX(기본자료!$K$2:$K$1001,$AB376),100)&lt;=31),DATE(INT(INDEX(기본자료!$K$2:$K$1001,$AB376)/10000),INT(MOD(INDEX(기본자료!$K$2:$K$1001,$AB376),10000)/100),MOD(INDEX(기본자료!$K$2:$K$1001,$AB376),100)),INDEX(기본자료!$K$2:$K$1001,$AB376)&amp;"")))))</f>
        <v/>
      </c>
      <c r="F376" s="10">
        <f>IF($AB376="","",IF(INDEX(기본자료!$D$2:$D$1001,$AB376)="","",INDEX(기본자료!$D$2:$D$1001,$AB376)))</f>
        <v/>
      </c>
      <c r="G376" s="10">
        <f>IF($AB376="","",IF(INDEX(기본자료!$E$2:$E$1001,$AB376)="","",INDEX(기본자료!$E$2:$E$1001,$AB376)))</f>
        <v/>
      </c>
      <c r="H376" s="10">
        <f>IF($AB376="","",IF(INDEX(기본자료!$F$2:$F$1001,$AB376)="","",INDEX(기본자료!$F$2:$F$1001,$AB376)))</f>
        <v/>
      </c>
      <c r="I376" s="11">
        <f>IF($AB376="","",IF(INDEX(기본자료!$G$2:$G$1001,$AB376)="","",IF(NOT(ISNUMBER(INDEX(기본자료!$G$2:$G$1001,$AB376))),INDEX(기본자료!$G$2:$G$1001,$AB376),IF(INDEX(기본자료!$G$2:$G$1001,$AB376)&lt;1000000,INDEX(기본자료!$G$2:$G$1001,$AB376),IF(AND(INDEX(기본자료!$G$2:$G$1001,$AB376)&gt;=10000101,INT(MOD(INDEX(기본자료!$G$2:$G$1001,$AB376),10000)/100)&gt;=1,INT(MOD(INDEX(기본자료!$G$2:$G$1001,$AB376),10000)/100)&lt;=12,MOD(INDEX(기본자료!$G$2:$G$1001,$AB376),100)&gt;=1,MOD(INDEX(기본자료!$G$2:$G$1001,$AB376),100)&lt;=31),DATE(INT(INDEX(기본자료!$G$2:$G$1001,$AB376)/10000),INT(MOD(INDEX(기본자료!$G$2:$G$1001,$AB376),10000)/100),MOD(INDEX(기본자료!$G$2:$G$1001,$AB376),100)),INDEX(기본자료!$G$2:$G$1001,$AB376)&amp;"")))))</f>
        <v/>
      </c>
      <c r="J376" s="10">
        <f>IF($AB376="","",IF(INDEX(기본자료!$H$2:$H$1001,$AB376)="","",INDEX(기본자료!$H$2:$H$1001,$AB376)))</f>
        <v/>
      </c>
      <c r="K376" s="10">
        <f>IF($AB376="","",IF(INDEX(기본자료!$I$2:$I$1001,$AB376)="","",INDEX(기본자료!$I$2:$I$1001,$AB376)))</f>
        <v/>
      </c>
      <c r="L376" s="10">
        <f>IF($AB376="","",IF(INDEX(기본자료!$A$2:$A$1001,$AB376)="","",INDEX(기본자료!$A$2:$A$1001,$AB376)))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파견수련계획!$AB$4:$AB$803,$AK376),OR(NOT(ISNUMBER(INDEX(파견수련계획!$AC$4:$AC$803,$AK376))),TODAY()&lt;=INDEX(파견수련계획!$AC$4:$AC$803,$AK376))),"다기관",IF($AF376="","",INDEX(파견수련계획!$T$4:$T$803,$AF376))),IF($AF376="","",INDEX(파견수련계획!$T$4:$T$803,$AF376))))</f>
        <v/>
      </c>
      <c r="Q376" s="10">
        <f>IF($AF376="","",INDEX(파견수련계획!$S$4:$S$803,$AF376))</f>
        <v/>
      </c>
      <c r="R376" s="10">
        <f>IF($AF376="","",INDEX(파견수련계획!$U$4:$U$803,$AF376))</f>
        <v/>
      </c>
      <c r="S376" s="11">
        <f>IF($AF376="","",IF(INDEX(파견수련계획!$H$4:$H$803,$AF376)="","",INDEX(파견수련계획!$H$4:$H$803,$AF376)))</f>
        <v/>
      </c>
      <c r="T376" s="11">
        <f>IF($AF376="","",IF(INDEX(파견수련계획!$I$4:$I$803,$AF376)="","",INDEX(파견수련계획!$I$4:$I$803,$AF376)))</f>
        <v/>
      </c>
      <c r="U376" s="10">
        <f>IF($AF376="","",INDEX(파견수련계획!$X$4:$X$803,$AF376))</f>
        <v/>
      </c>
      <c r="V376" s="17">
        <f>IF($AF376="","",INDEX(파견수련계획!$V$4:$V$803,$AF376))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IF(OR($B376="",TRIM($J376&amp;"")=""),"",SUMPRODUCT((파견수련계획!$Q$4:$Q$803=TRIM($J376&amp;""))*파견수련계획!$W$4:$W$803))</f>
        <v/>
      </c>
      <c r="Y376" s="10">
        <f>IF($B376="","",IF($AG376="","",IF(IF(TRIM($J376&amp;"")="",0,SUMPRODUCT((파견수련계획!$Q$4:$Q$803=TRIM($J376&amp;""))*파견수련계획!$AD$4:$AD$803))&gt;0,$AE376,IF(N($X376)&lt;=0,$AG376,IF($AH376+$AI376=DAY(EOMONTH(요약!$B$3,0)),IF(AND($AH376&gt;=요약!$E$3,$AI376&lt;요약!$E$3),"서울병원",IF(AND($AI376&gt;=요약!$E$3,$AH376&lt;요약!$E$3),"구리병원","⚠15일 판정불가(서울 "&amp;$AH376&amp;"일/구리 "&amp;$AI376&amp;"일)")),IF($AJ376="",$AE376,IF(INDEX(파견수련계획!$T$4:$T$803,$AJ376)="통합수련",INDEX(파견수련계획!$S$4:$S$803,$AJ376),$AE376)))))))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입력",IF(IF(TRIM($J376&amp;"")="",0,SUMPRODUCT((파견수련계획!$Q$4:$Q$803=TRIM($J376&amp;""))*(파견수련계획!$AA$4:$AA$803&lt;&gt;"")))&gt;0,"파견수련계획 입력오류 확인",IF(LEFT($Y376,1)="⚠","서울·구리 15일 판정 불가(양쪽 모두 이상/미만)",IF(IF($AC376="",0,N(INDEX(인턴근무계획!$T$3:$T$402,$AC376)))&gt;0,"인턴계획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IF($B376="","",IFERROR(MATCH($B376,기본자료!$B$2:$B$1001,0),IFERROR(MATCH($B376&amp;"",기본자료!$B$2:$B$1001,0),IFERROR(MATCH(VALUE($B376),기본자료!$B$2:$B$1001,0),""))))</f>
        <v/>
      </c>
      <c r="AC376" s="10">
        <f>IF($B376="","",IFERROR(MATCH($B376,인턴근무계획!$D$3:$D$402,0),IFERROR(MATCH($B376&amp;"",인턴근무계획!$D$3:$D$402,0),IFERROR(MATCH(VALUE($B376),인턴근무계획!$D$3:$D$402,0),""))))</f>
        <v/>
      </c>
      <c r="AD376" s="10">
        <f>IF(OR($AC376="",인턴현황!$G$3=""),"",INDEX(인턴근무계획!$M$3:$R$402,$AC376,인턴현황!$G$3)&amp;"")</f>
        <v/>
      </c>
      <c r="AE376" s="10">
        <f>IF($B376="","",IF($M376&lt;&gt;"",$M376,IF($AF376&lt;&gt;"",IF(LEFT(INDEX(파견수련계획!$R$4:$R$803,$AF376),1)&lt;&gt;"⚠",INDEX(파견수련계획!$R$4:$R$803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파견수련계획!$Y$4:$Y$803,0),IFERROR(MATCH(TRIM($J376&amp;"")&amp;"|파견예정",파견수련계획!$Y$4:$Y$803,0),IFERROR(MATCH(TRIM($J376&amp;"")&amp;"|파견종료",파견수련계획!$Y$4:$Y$803,0),""))))</f>
        <v/>
      </c>
      <c r="AG376" s="10">
        <f>IF($B376="","",IF(AND(IF(OR($AC376="",인턴현황!$K$2=""),"",INDEX(인턴근무계획!$M$3:$R$402,$AC376,인턴현황!$K$2)&amp;"")&lt;&gt;"",LEFT(IF(OR($AC376="",인턴현황!$K$2=""),"",INDEX(인턴근무계획!$M$3:$R$402,$AC376,인턴현황!$K$2)&amp;""),1)&lt;&gt;"⚠"),LEFT(IF(OR($AC376="",인턴현황!$K$2=""),"",INDEX(인턴근무계획!$M$3:$R$402,$AC376,인턴현황!$K$2)&amp;""),FIND(" ",IF(OR($AC376="",인턴현황!$K$2=""),"",INDEX(인턴근무계획!$M$3:$R$402,$AC376,인턴현황!$K$2)&amp;""))-1),$AE376))</f>
        <v/>
      </c>
      <c r="AH376" s="17">
        <f>IF($B376="","",IF(TRIM($J376&amp;"")="",0,SUMPRODUCT((파견수련계획!$Q$4:$Q$803=TRIM($J376&amp;""))*(파견수련계획!$S$4:$S$803="서울병원")*파견수련계획!$W$4:$W$803))+IF($AG376="서울병원",MAX(0,DAY(EOMONTH(요약!$B$3,0))-N($X376)),0))</f>
        <v/>
      </c>
      <c r="AI376" s="17">
        <f>IF($B376="","",IF(TRIM($J376&amp;"")="",0,SUMPRODUCT((파견수련계획!$Q$4:$Q$803=TRIM($J376&amp;""))*(파견수련계획!$S$4:$S$803="구리병원")*파견수련계획!$W$4:$W$803))+IF($AG376="구리병원",MAX(0,DAY(EOMONTH(요약!$B$3,0))-N($X376)),0))</f>
        <v/>
      </c>
      <c r="AJ376" s="10">
        <f>IF(OR($B376="",TRIM($J376&amp;"")=""),"",IFERROR(MATCH(TRIM($J376&amp;"")&amp;"|월",파견수련계획!$Z$4:$Z$803,0),""))</f>
        <v/>
      </c>
      <c r="AK376" s="10">
        <f>IF(OR($B376="",TRIM($J376&amp;"")=""),"",IFERROR(MATCH(TRIM($J376&amp;"")&amp;"|다기관",파견수련계획!$AE$4:$AE$803,0),""))</f>
        <v/>
      </c>
      <c r="AL376" s="10">
        <f>IF($AK376="","","다기관 "&amp;TEXT(INDEX(파견수련계획!$AB$4:$AB$803,$AK376),"yyyy-mm-dd")&amp;"~"&amp;IF(ISNUMBER(INDEX(파견수련계획!$AC$4:$AC$803,$AK376)),TEXT(INDEX(파견수련계획!$AC$4:$AC$803,$AK376),"yyyy-mm-dd"),""))</f>
        <v/>
      </c>
    </row>
    <row r="377">
      <c r="A377" s="10">
        <f>IF(B377="","",ROW()-1)</f>
        <v/>
      </c>
      <c r="B377" s="18" t="n"/>
      <c r="C377" s="10">
        <f>IF($AB377="","",IF(INDEX(기본자료!$C$2:$C$1001,$AB377)="","",INDEX(기본자료!$C$2:$C$1001,$AB377)))</f>
        <v/>
      </c>
      <c r="D377" s="10">
        <f>IF($AB377="","",IF(INDEX(기본자료!$J$2:$J$1001,$AB377)="","",INDEX(기본자료!$J$2:$J$1001,$AB377)))</f>
        <v/>
      </c>
      <c r="E377" s="11">
        <f>IF($AB377="","",IF(INDEX(기본자료!$K$2:$K$1001,$AB377)="","",IF(NOT(ISNUMBER(INDEX(기본자료!$K$2:$K$1001,$AB377))),INDEX(기본자료!$K$2:$K$1001,$AB377),IF(INDEX(기본자료!$K$2:$K$1001,$AB377)&lt;1000000,INDEX(기본자료!$K$2:$K$1001,$AB377),IF(AND(INDEX(기본자료!$K$2:$K$1001,$AB377)&gt;=10000101,INT(MOD(INDEX(기본자료!$K$2:$K$1001,$AB377),10000)/100)&gt;=1,INT(MOD(INDEX(기본자료!$K$2:$K$1001,$AB377),10000)/100)&lt;=12,MOD(INDEX(기본자료!$K$2:$K$1001,$AB377),100)&gt;=1,MOD(INDEX(기본자료!$K$2:$K$1001,$AB377),100)&lt;=31),DATE(INT(INDEX(기본자료!$K$2:$K$1001,$AB377)/10000),INT(MOD(INDEX(기본자료!$K$2:$K$1001,$AB377),10000)/100),MOD(INDEX(기본자료!$K$2:$K$1001,$AB377),100)),INDEX(기본자료!$K$2:$K$1001,$AB377)&amp;"")))))</f>
        <v/>
      </c>
      <c r="F377" s="10">
        <f>IF($AB377="","",IF(INDEX(기본자료!$D$2:$D$1001,$AB377)="","",INDEX(기본자료!$D$2:$D$1001,$AB377)))</f>
        <v/>
      </c>
      <c r="G377" s="10">
        <f>IF($AB377="","",IF(INDEX(기본자료!$E$2:$E$1001,$AB377)="","",INDEX(기본자료!$E$2:$E$1001,$AB377)))</f>
        <v/>
      </c>
      <c r="H377" s="10">
        <f>IF($AB377="","",IF(INDEX(기본자료!$F$2:$F$1001,$AB377)="","",INDEX(기본자료!$F$2:$F$1001,$AB377)))</f>
        <v/>
      </c>
      <c r="I377" s="11">
        <f>IF($AB377="","",IF(INDEX(기본자료!$G$2:$G$1001,$AB377)="","",IF(NOT(ISNUMBER(INDEX(기본자료!$G$2:$G$1001,$AB377))),INDEX(기본자료!$G$2:$G$1001,$AB377),IF(INDEX(기본자료!$G$2:$G$1001,$AB377)&lt;1000000,INDEX(기본자료!$G$2:$G$1001,$AB377),IF(AND(INDEX(기본자료!$G$2:$G$1001,$AB377)&gt;=10000101,INT(MOD(INDEX(기본자료!$G$2:$G$1001,$AB377),10000)/100)&gt;=1,INT(MOD(INDEX(기본자료!$G$2:$G$1001,$AB377),10000)/100)&lt;=12,MOD(INDEX(기본자료!$G$2:$G$1001,$AB377),100)&gt;=1,MOD(INDEX(기본자료!$G$2:$G$1001,$AB377),100)&lt;=31),DATE(INT(INDEX(기본자료!$G$2:$G$1001,$AB377)/10000),INT(MOD(INDEX(기본자료!$G$2:$G$1001,$AB377),10000)/100),MOD(INDEX(기본자료!$G$2:$G$1001,$AB377),100)),INDEX(기본자료!$G$2:$G$1001,$AB377)&amp;"")))))</f>
        <v/>
      </c>
      <c r="J377" s="10">
        <f>IF($AB377="","",IF(INDEX(기본자료!$H$2:$H$1001,$AB377)="","",INDEX(기본자료!$H$2:$H$1001,$AB377)))</f>
        <v/>
      </c>
      <c r="K377" s="10">
        <f>IF($AB377="","",IF(INDEX(기본자료!$I$2:$I$1001,$AB377)="","",INDEX(기본자료!$I$2:$I$1001,$AB377)))</f>
        <v/>
      </c>
      <c r="L377" s="10">
        <f>IF($AB377="","",IF(INDEX(기본자료!$A$2:$A$1001,$AB377)="","",INDEX(기본자료!$A$2:$A$1001,$AB377)))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파견수련계획!$AB$4:$AB$803,$AK377),OR(NOT(ISNUMBER(INDEX(파견수련계획!$AC$4:$AC$803,$AK377))),TODAY()&lt;=INDEX(파견수련계획!$AC$4:$AC$803,$AK377))),"다기관",IF($AF377="","",INDEX(파견수련계획!$T$4:$T$803,$AF377))),IF($AF377="","",INDEX(파견수련계획!$T$4:$T$803,$AF377))))</f>
        <v/>
      </c>
      <c r="Q377" s="10">
        <f>IF($AF377="","",INDEX(파견수련계획!$S$4:$S$803,$AF377))</f>
        <v/>
      </c>
      <c r="R377" s="10">
        <f>IF($AF377="","",INDEX(파견수련계획!$U$4:$U$803,$AF377))</f>
        <v/>
      </c>
      <c r="S377" s="11">
        <f>IF($AF377="","",IF(INDEX(파견수련계획!$H$4:$H$803,$AF377)="","",INDEX(파견수련계획!$H$4:$H$803,$AF377)))</f>
        <v/>
      </c>
      <c r="T377" s="11">
        <f>IF($AF377="","",IF(INDEX(파견수련계획!$I$4:$I$803,$AF377)="","",INDEX(파견수련계획!$I$4:$I$803,$AF377)))</f>
        <v/>
      </c>
      <c r="U377" s="10">
        <f>IF($AF377="","",INDEX(파견수련계획!$X$4:$X$803,$AF377))</f>
        <v/>
      </c>
      <c r="V377" s="17">
        <f>IF($AF377="","",INDEX(파견수련계획!$V$4:$V$803,$AF377))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IF(OR($B377="",TRIM($J377&amp;"")=""),"",SUMPRODUCT((파견수련계획!$Q$4:$Q$803=TRIM($J377&amp;""))*파견수련계획!$W$4:$W$803))</f>
        <v/>
      </c>
      <c r="Y377" s="10">
        <f>IF($B377="","",IF($AG377="","",IF(IF(TRIM($J377&amp;"")="",0,SUMPRODUCT((파견수련계획!$Q$4:$Q$803=TRIM($J377&amp;""))*파견수련계획!$AD$4:$AD$803))&gt;0,$AE377,IF(N($X377)&lt;=0,$AG377,IF($AH377+$AI377=DAY(EOMONTH(요약!$B$3,0)),IF(AND($AH377&gt;=요약!$E$3,$AI377&lt;요약!$E$3),"서울병원",IF(AND($AI377&gt;=요약!$E$3,$AH377&lt;요약!$E$3),"구리병원","⚠15일 판정불가(서울 "&amp;$AH377&amp;"일/구리 "&amp;$AI377&amp;"일)")),IF($AJ377="",$AE377,IF(INDEX(파견수련계획!$T$4:$T$803,$AJ377)="통합수련",INDEX(파견수련계획!$S$4:$S$803,$AJ377),$AE377)))))))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입력",IF(IF(TRIM($J377&amp;"")="",0,SUMPRODUCT((파견수련계획!$Q$4:$Q$803=TRIM($J377&amp;""))*(파견수련계획!$AA$4:$AA$803&lt;&gt;"")))&gt;0,"파견수련계획 입력오류 확인",IF(LEFT($Y377,1)="⚠","서울·구리 15일 판정 불가(양쪽 모두 이상/미만)",IF(IF($AC377="",0,N(INDEX(인턴근무계획!$T$3:$T$402,$AC377)))&gt;0,"인턴계획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IF($B377="","",IFERROR(MATCH($B377,기본자료!$B$2:$B$1001,0),IFERROR(MATCH($B377&amp;"",기본자료!$B$2:$B$1001,0),IFERROR(MATCH(VALUE($B377),기본자료!$B$2:$B$1001,0),""))))</f>
        <v/>
      </c>
      <c r="AC377" s="10">
        <f>IF($B377="","",IFERROR(MATCH($B377,인턴근무계획!$D$3:$D$402,0),IFERROR(MATCH($B377&amp;"",인턴근무계획!$D$3:$D$402,0),IFERROR(MATCH(VALUE($B377),인턴근무계획!$D$3:$D$402,0),""))))</f>
        <v/>
      </c>
      <c r="AD377" s="10">
        <f>IF(OR($AC377="",인턴현황!$G$3=""),"",INDEX(인턴근무계획!$M$3:$R$402,$AC377,인턴현황!$G$3)&amp;"")</f>
        <v/>
      </c>
      <c r="AE377" s="10">
        <f>IF($B377="","",IF($M377&lt;&gt;"",$M377,IF($AF377&lt;&gt;"",IF(LEFT(INDEX(파견수련계획!$R$4:$R$803,$AF377),1)&lt;&gt;"⚠",INDEX(파견수련계획!$R$4:$R$803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파견수련계획!$Y$4:$Y$803,0),IFERROR(MATCH(TRIM($J377&amp;"")&amp;"|파견예정",파견수련계획!$Y$4:$Y$803,0),IFERROR(MATCH(TRIM($J377&amp;"")&amp;"|파견종료",파견수련계획!$Y$4:$Y$803,0),""))))</f>
        <v/>
      </c>
      <c r="AG377" s="10">
        <f>IF($B377="","",IF(AND(IF(OR($AC377="",인턴현황!$K$2=""),"",INDEX(인턴근무계획!$M$3:$R$402,$AC377,인턴현황!$K$2)&amp;"")&lt;&gt;"",LEFT(IF(OR($AC377="",인턴현황!$K$2=""),"",INDEX(인턴근무계획!$M$3:$R$402,$AC377,인턴현황!$K$2)&amp;""),1)&lt;&gt;"⚠"),LEFT(IF(OR($AC377="",인턴현황!$K$2=""),"",INDEX(인턴근무계획!$M$3:$R$402,$AC377,인턴현황!$K$2)&amp;""),FIND(" ",IF(OR($AC377="",인턴현황!$K$2=""),"",INDEX(인턴근무계획!$M$3:$R$402,$AC377,인턴현황!$K$2)&amp;""))-1),$AE377))</f>
        <v/>
      </c>
      <c r="AH377" s="17">
        <f>IF($B377="","",IF(TRIM($J377&amp;"")="",0,SUMPRODUCT((파견수련계획!$Q$4:$Q$803=TRIM($J377&amp;""))*(파견수련계획!$S$4:$S$803="서울병원")*파견수련계획!$W$4:$W$803))+IF($AG377="서울병원",MAX(0,DAY(EOMONTH(요약!$B$3,0))-N($X377)),0))</f>
        <v/>
      </c>
      <c r="AI377" s="17">
        <f>IF($B377="","",IF(TRIM($J377&amp;"")="",0,SUMPRODUCT((파견수련계획!$Q$4:$Q$803=TRIM($J377&amp;""))*(파견수련계획!$S$4:$S$803="구리병원")*파견수련계획!$W$4:$W$803))+IF($AG377="구리병원",MAX(0,DAY(EOMONTH(요약!$B$3,0))-N($X377)),0))</f>
        <v/>
      </c>
      <c r="AJ377" s="10">
        <f>IF(OR($B377="",TRIM($J377&amp;"")=""),"",IFERROR(MATCH(TRIM($J377&amp;"")&amp;"|월",파견수련계획!$Z$4:$Z$803,0),""))</f>
        <v/>
      </c>
      <c r="AK377" s="10">
        <f>IF(OR($B377="",TRIM($J377&amp;"")=""),"",IFERROR(MATCH(TRIM($J377&amp;"")&amp;"|다기관",파견수련계획!$AE$4:$AE$803,0),""))</f>
        <v/>
      </c>
      <c r="AL377" s="10">
        <f>IF($AK377="","","다기관 "&amp;TEXT(INDEX(파견수련계획!$AB$4:$AB$803,$AK377),"yyyy-mm-dd")&amp;"~"&amp;IF(ISNUMBER(INDEX(파견수련계획!$AC$4:$AC$803,$AK377)),TEXT(INDEX(파견수련계획!$AC$4:$AC$803,$AK377),"yyyy-mm-dd"),""))</f>
        <v/>
      </c>
    </row>
    <row r="378">
      <c r="A378" s="10">
        <f>IF(B378="","",ROW()-1)</f>
        <v/>
      </c>
      <c r="B378" s="18" t="n"/>
      <c r="C378" s="10">
        <f>IF($AB378="","",IF(INDEX(기본자료!$C$2:$C$1001,$AB378)="","",INDEX(기본자료!$C$2:$C$1001,$AB378)))</f>
        <v/>
      </c>
      <c r="D378" s="10">
        <f>IF($AB378="","",IF(INDEX(기본자료!$J$2:$J$1001,$AB378)="","",INDEX(기본자료!$J$2:$J$1001,$AB378)))</f>
        <v/>
      </c>
      <c r="E378" s="11">
        <f>IF($AB378="","",IF(INDEX(기본자료!$K$2:$K$1001,$AB378)="","",IF(NOT(ISNUMBER(INDEX(기본자료!$K$2:$K$1001,$AB378))),INDEX(기본자료!$K$2:$K$1001,$AB378),IF(INDEX(기본자료!$K$2:$K$1001,$AB378)&lt;1000000,INDEX(기본자료!$K$2:$K$1001,$AB378),IF(AND(INDEX(기본자료!$K$2:$K$1001,$AB378)&gt;=10000101,INT(MOD(INDEX(기본자료!$K$2:$K$1001,$AB378),10000)/100)&gt;=1,INT(MOD(INDEX(기본자료!$K$2:$K$1001,$AB378),10000)/100)&lt;=12,MOD(INDEX(기본자료!$K$2:$K$1001,$AB378),100)&gt;=1,MOD(INDEX(기본자료!$K$2:$K$1001,$AB378),100)&lt;=31),DATE(INT(INDEX(기본자료!$K$2:$K$1001,$AB378)/10000),INT(MOD(INDEX(기본자료!$K$2:$K$1001,$AB378),10000)/100),MOD(INDEX(기본자료!$K$2:$K$1001,$AB378),100)),INDEX(기본자료!$K$2:$K$1001,$AB378)&amp;"")))))</f>
        <v/>
      </c>
      <c r="F378" s="10">
        <f>IF($AB378="","",IF(INDEX(기본자료!$D$2:$D$1001,$AB378)="","",INDEX(기본자료!$D$2:$D$1001,$AB378)))</f>
        <v/>
      </c>
      <c r="G378" s="10">
        <f>IF($AB378="","",IF(INDEX(기본자료!$E$2:$E$1001,$AB378)="","",INDEX(기본자료!$E$2:$E$1001,$AB378)))</f>
        <v/>
      </c>
      <c r="H378" s="10">
        <f>IF($AB378="","",IF(INDEX(기본자료!$F$2:$F$1001,$AB378)="","",INDEX(기본자료!$F$2:$F$1001,$AB378)))</f>
        <v/>
      </c>
      <c r="I378" s="11">
        <f>IF($AB378="","",IF(INDEX(기본자료!$G$2:$G$1001,$AB378)="","",IF(NOT(ISNUMBER(INDEX(기본자료!$G$2:$G$1001,$AB378))),INDEX(기본자료!$G$2:$G$1001,$AB378),IF(INDEX(기본자료!$G$2:$G$1001,$AB378)&lt;1000000,INDEX(기본자료!$G$2:$G$1001,$AB378),IF(AND(INDEX(기본자료!$G$2:$G$1001,$AB378)&gt;=10000101,INT(MOD(INDEX(기본자료!$G$2:$G$1001,$AB378),10000)/100)&gt;=1,INT(MOD(INDEX(기본자료!$G$2:$G$1001,$AB378),10000)/100)&lt;=12,MOD(INDEX(기본자료!$G$2:$G$1001,$AB378),100)&gt;=1,MOD(INDEX(기본자료!$G$2:$G$1001,$AB378),100)&lt;=31),DATE(INT(INDEX(기본자료!$G$2:$G$1001,$AB378)/10000),INT(MOD(INDEX(기본자료!$G$2:$G$1001,$AB378),10000)/100),MOD(INDEX(기본자료!$G$2:$G$1001,$AB378),100)),INDEX(기본자료!$G$2:$G$1001,$AB378)&amp;"")))))</f>
        <v/>
      </c>
      <c r="J378" s="10">
        <f>IF($AB378="","",IF(INDEX(기본자료!$H$2:$H$1001,$AB378)="","",INDEX(기본자료!$H$2:$H$1001,$AB378)))</f>
        <v/>
      </c>
      <c r="K378" s="10">
        <f>IF($AB378="","",IF(INDEX(기본자료!$I$2:$I$1001,$AB378)="","",INDEX(기본자료!$I$2:$I$1001,$AB378)))</f>
        <v/>
      </c>
      <c r="L378" s="10">
        <f>IF($AB378="","",IF(INDEX(기본자료!$A$2:$A$1001,$AB378)="","",INDEX(기본자료!$A$2:$A$1001,$AB378)))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파견수련계획!$AB$4:$AB$803,$AK378),OR(NOT(ISNUMBER(INDEX(파견수련계획!$AC$4:$AC$803,$AK378))),TODAY()&lt;=INDEX(파견수련계획!$AC$4:$AC$803,$AK378))),"다기관",IF($AF378="","",INDEX(파견수련계획!$T$4:$T$803,$AF378))),IF($AF378="","",INDEX(파견수련계획!$T$4:$T$803,$AF378))))</f>
        <v/>
      </c>
      <c r="Q378" s="10">
        <f>IF($AF378="","",INDEX(파견수련계획!$S$4:$S$803,$AF378))</f>
        <v/>
      </c>
      <c r="R378" s="10">
        <f>IF($AF378="","",INDEX(파견수련계획!$U$4:$U$803,$AF378))</f>
        <v/>
      </c>
      <c r="S378" s="11">
        <f>IF($AF378="","",IF(INDEX(파견수련계획!$H$4:$H$803,$AF378)="","",INDEX(파견수련계획!$H$4:$H$803,$AF378)))</f>
        <v/>
      </c>
      <c r="T378" s="11">
        <f>IF($AF378="","",IF(INDEX(파견수련계획!$I$4:$I$803,$AF378)="","",INDEX(파견수련계획!$I$4:$I$803,$AF378)))</f>
        <v/>
      </c>
      <c r="U378" s="10">
        <f>IF($AF378="","",INDEX(파견수련계획!$X$4:$X$803,$AF378))</f>
        <v/>
      </c>
      <c r="V378" s="17">
        <f>IF($AF378="","",INDEX(파견수련계획!$V$4:$V$803,$AF378))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IF(OR($B378="",TRIM($J378&amp;"")=""),"",SUMPRODUCT((파견수련계획!$Q$4:$Q$803=TRIM($J378&amp;""))*파견수련계획!$W$4:$W$803))</f>
        <v/>
      </c>
      <c r="Y378" s="10">
        <f>IF($B378="","",IF($AG378="","",IF(IF(TRIM($J378&amp;"")="",0,SUMPRODUCT((파견수련계획!$Q$4:$Q$803=TRIM($J378&amp;""))*파견수련계획!$AD$4:$AD$803))&gt;0,$AE378,IF(N($X378)&lt;=0,$AG378,IF($AH378+$AI378=DAY(EOMONTH(요약!$B$3,0)),IF(AND($AH378&gt;=요약!$E$3,$AI378&lt;요약!$E$3),"서울병원",IF(AND($AI378&gt;=요약!$E$3,$AH378&lt;요약!$E$3),"구리병원","⚠15일 판정불가(서울 "&amp;$AH378&amp;"일/구리 "&amp;$AI378&amp;"일)")),IF($AJ378="",$AE378,IF(INDEX(파견수련계획!$T$4:$T$803,$AJ378)="통합수련",INDEX(파견수련계획!$S$4:$S$803,$AJ378),$AE378)))))))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입력",IF(IF(TRIM($J378&amp;"")="",0,SUMPRODUCT((파견수련계획!$Q$4:$Q$803=TRIM($J378&amp;""))*(파견수련계획!$AA$4:$AA$803&lt;&gt;"")))&gt;0,"파견수련계획 입력오류 확인",IF(LEFT($Y378,1)="⚠","서울·구리 15일 판정 불가(양쪽 모두 이상/미만)",IF(IF($AC378="",0,N(INDEX(인턴근무계획!$T$3:$T$402,$AC378)))&gt;0,"인턴계획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IF($B378="","",IFERROR(MATCH($B378,기본자료!$B$2:$B$1001,0),IFERROR(MATCH($B378&amp;"",기본자료!$B$2:$B$1001,0),IFERROR(MATCH(VALUE($B378),기본자료!$B$2:$B$1001,0),""))))</f>
        <v/>
      </c>
      <c r="AC378" s="10">
        <f>IF($B378="","",IFERROR(MATCH($B378,인턴근무계획!$D$3:$D$402,0),IFERROR(MATCH($B378&amp;"",인턴근무계획!$D$3:$D$402,0),IFERROR(MATCH(VALUE($B378),인턴근무계획!$D$3:$D$402,0),""))))</f>
        <v/>
      </c>
      <c r="AD378" s="10">
        <f>IF(OR($AC378="",인턴현황!$G$3=""),"",INDEX(인턴근무계획!$M$3:$R$402,$AC378,인턴현황!$G$3)&amp;"")</f>
        <v/>
      </c>
      <c r="AE378" s="10">
        <f>IF($B378="","",IF($M378&lt;&gt;"",$M378,IF($AF378&lt;&gt;"",IF(LEFT(INDEX(파견수련계획!$R$4:$R$803,$AF378),1)&lt;&gt;"⚠",INDEX(파견수련계획!$R$4:$R$803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파견수련계획!$Y$4:$Y$803,0),IFERROR(MATCH(TRIM($J378&amp;"")&amp;"|파견예정",파견수련계획!$Y$4:$Y$803,0),IFERROR(MATCH(TRIM($J378&amp;"")&amp;"|파견종료",파견수련계획!$Y$4:$Y$803,0),""))))</f>
        <v/>
      </c>
      <c r="AG378" s="10">
        <f>IF($B378="","",IF(AND(IF(OR($AC378="",인턴현황!$K$2=""),"",INDEX(인턴근무계획!$M$3:$R$402,$AC378,인턴현황!$K$2)&amp;"")&lt;&gt;"",LEFT(IF(OR($AC378="",인턴현황!$K$2=""),"",INDEX(인턴근무계획!$M$3:$R$402,$AC378,인턴현황!$K$2)&amp;""),1)&lt;&gt;"⚠"),LEFT(IF(OR($AC378="",인턴현황!$K$2=""),"",INDEX(인턴근무계획!$M$3:$R$402,$AC378,인턴현황!$K$2)&amp;""),FIND(" ",IF(OR($AC378="",인턴현황!$K$2=""),"",INDEX(인턴근무계획!$M$3:$R$402,$AC378,인턴현황!$K$2)&amp;""))-1),$AE378))</f>
        <v/>
      </c>
      <c r="AH378" s="17">
        <f>IF($B378="","",IF(TRIM($J378&amp;"")="",0,SUMPRODUCT((파견수련계획!$Q$4:$Q$803=TRIM($J378&amp;""))*(파견수련계획!$S$4:$S$803="서울병원")*파견수련계획!$W$4:$W$803))+IF($AG378="서울병원",MAX(0,DAY(EOMONTH(요약!$B$3,0))-N($X378)),0))</f>
        <v/>
      </c>
      <c r="AI378" s="17">
        <f>IF($B378="","",IF(TRIM($J378&amp;"")="",0,SUMPRODUCT((파견수련계획!$Q$4:$Q$803=TRIM($J378&amp;""))*(파견수련계획!$S$4:$S$803="구리병원")*파견수련계획!$W$4:$W$803))+IF($AG378="구리병원",MAX(0,DAY(EOMONTH(요약!$B$3,0))-N($X378)),0))</f>
        <v/>
      </c>
      <c r="AJ378" s="10">
        <f>IF(OR($B378="",TRIM($J378&amp;"")=""),"",IFERROR(MATCH(TRIM($J378&amp;"")&amp;"|월",파견수련계획!$Z$4:$Z$803,0),""))</f>
        <v/>
      </c>
      <c r="AK378" s="10">
        <f>IF(OR($B378="",TRIM($J378&amp;"")=""),"",IFERROR(MATCH(TRIM($J378&amp;"")&amp;"|다기관",파견수련계획!$AE$4:$AE$803,0),""))</f>
        <v/>
      </c>
      <c r="AL378" s="10">
        <f>IF($AK378="","","다기관 "&amp;TEXT(INDEX(파견수련계획!$AB$4:$AB$803,$AK378),"yyyy-mm-dd")&amp;"~"&amp;IF(ISNUMBER(INDEX(파견수련계획!$AC$4:$AC$803,$AK378)),TEXT(INDEX(파견수련계획!$AC$4:$AC$803,$AK378),"yyyy-mm-dd"),""))</f>
        <v/>
      </c>
    </row>
    <row r="379">
      <c r="A379" s="10">
        <f>IF(B379="","",ROW()-1)</f>
        <v/>
      </c>
      <c r="B379" s="18" t="n"/>
      <c r="C379" s="10">
        <f>IF($AB379="","",IF(INDEX(기본자료!$C$2:$C$1001,$AB379)="","",INDEX(기본자료!$C$2:$C$1001,$AB379)))</f>
        <v/>
      </c>
      <c r="D379" s="10">
        <f>IF($AB379="","",IF(INDEX(기본자료!$J$2:$J$1001,$AB379)="","",INDEX(기본자료!$J$2:$J$1001,$AB379)))</f>
        <v/>
      </c>
      <c r="E379" s="11">
        <f>IF($AB379="","",IF(INDEX(기본자료!$K$2:$K$1001,$AB379)="","",IF(NOT(ISNUMBER(INDEX(기본자료!$K$2:$K$1001,$AB379))),INDEX(기본자료!$K$2:$K$1001,$AB379),IF(INDEX(기본자료!$K$2:$K$1001,$AB379)&lt;1000000,INDEX(기본자료!$K$2:$K$1001,$AB379),IF(AND(INDEX(기본자료!$K$2:$K$1001,$AB379)&gt;=10000101,INT(MOD(INDEX(기본자료!$K$2:$K$1001,$AB379),10000)/100)&gt;=1,INT(MOD(INDEX(기본자료!$K$2:$K$1001,$AB379),10000)/100)&lt;=12,MOD(INDEX(기본자료!$K$2:$K$1001,$AB379),100)&gt;=1,MOD(INDEX(기본자료!$K$2:$K$1001,$AB379),100)&lt;=31),DATE(INT(INDEX(기본자료!$K$2:$K$1001,$AB379)/10000),INT(MOD(INDEX(기본자료!$K$2:$K$1001,$AB379),10000)/100),MOD(INDEX(기본자료!$K$2:$K$1001,$AB379),100)),INDEX(기본자료!$K$2:$K$1001,$AB379)&amp;"")))))</f>
        <v/>
      </c>
      <c r="F379" s="10">
        <f>IF($AB379="","",IF(INDEX(기본자료!$D$2:$D$1001,$AB379)="","",INDEX(기본자료!$D$2:$D$1001,$AB379)))</f>
        <v/>
      </c>
      <c r="G379" s="10">
        <f>IF($AB379="","",IF(INDEX(기본자료!$E$2:$E$1001,$AB379)="","",INDEX(기본자료!$E$2:$E$1001,$AB379)))</f>
        <v/>
      </c>
      <c r="H379" s="10">
        <f>IF($AB379="","",IF(INDEX(기본자료!$F$2:$F$1001,$AB379)="","",INDEX(기본자료!$F$2:$F$1001,$AB379)))</f>
        <v/>
      </c>
      <c r="I379" s="11">
        <f>IF($AB379="","",IF(INDEX(기본자료!$G$2:$G$1001,$AB379)="","",IF(NOT(ISNUMBER(INDEX(기본자료!$G$2:$G$1001,$AB379))),INDEX(기본자료!$G$2:$G$1001,$AB379),IF(INDEX(기본자료!$G$2:$G$1001,$AB379)&lt;1000000,INDEX(기본자료!$G$2:$G$1001,$AB379),IF(AND(INDEX(기본자료!$G$2:$G$1001,$AB379)&gt;=10000101,INT(MOD(INDEX(기본자료!$G$2:$G$1001,$AB379),10000)/100)&gt;=1,INT(MOD(INDEX(기본자료!$G$2:$G$1001,$AB379),10000)/100)&lt;=12,MOD(INDEX(기본자료!$G$2:$G$1001,$AB379),100)&gt;=1,MOD(INDEX(기본자료!$G$2:$G$1001,$AB379),100)&lt;=31),DATE(INT(INDEX(기본자료!$G$2:$G$1001,$AB379)/10000),INT(MOD(INDEX(기본자료!$G$2:$G$1001,$AB379),10000)/100),MOD(INDEX(기본자료!$G$2:$G$1001,$AB379),100)),INDEX(기본자료!$G$2:$G$1001,$AB379)&amp;"")))))</f>
        <v/>
      </c>
      <c r="J379" s="10">
        <f>IF($AB379="","",IF(INDEX(기본자료!$H$2:$H$1001,$AB379)="","",INDEX(기본자료!$H$2:$H$1001,$AB379)))</f>
        <v/>
      </c>
      <c r="K379" s="10">
        <f>IF($AB379="","",IF(INDEX(기본자료!$I$2:$I$1001,$AB379)="","",INDEX(기본자료!$I$2:$I$1001,$AB379)))</f>
        <v/>
      </c>
      <c r="L379" s="10">
        <f>IF($AB379="","",IF(INDEX(기본자료!$A$2:$A$1001,$AB379)="","",INDEX(기본자료!$A$2:$A$1001,$AB379)))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파견수련계획!$AB$4:$AB$803,$AK379),OR(NOT(ISNUMBER(INDEX(파견수련계획!$AC$4:$AC$803,$AK379))),TODAY()&lt;=INDEX(파견수련계획!$AC$4:$AC$803,$AK379))),"다기관",IF($AF379="","",INDEX(파견수련계획!$T$4:$T$803,$AF379))),IF($AF379="","",INDEX(파견수련계획!$T$4:$T$803,$AF379))))</f>
        <v/>
      </c>
      <c r="Q379" s="10">
        <f>IF($AF379="","",INDEX(파견수련계획!$S$4:$S$803,$AF379))</f>
        <v/>
      </c>
      <c r="R379" s="10">
        <f>IF($AF379="","",INDEX(파견수련계획!$U$4:$U$803,$AF379))</f>
        <v/>
      </c>
      <c r="S379" s="11">
        <f>IF($AF379="","",IF(INDEX(파견수련계획!$H$4:$H$803,$AF379)="","",INDEX(파견수련계획!$H$4:$H$803,$AF379)))</f>
        <v/>
      </c>
      <c r="T379" s="11">
        <f>IF($AF379="","",IF(INDEX(파견수련계획!$I$4:$I$803,$AF379)="","",INDEX(파견수련계획!$I$4:$I$803,$AF379)))</f>
        <v/>
      </c>
      <c r="U379" s="10">
        <f>IF($AF379="","",INDEX(파견수련계획!$X$4:$X$803,$AF379))</f>
        <v/>
      </c>
      <c r="V379" s="17">
        <f>IF($AF379="","",INDEX(파견수련계획!$V$4:$V$803,$AF379))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IF(OR($B379="",TRIM($J379&amp;"")=""),"",SUMPRODUCT((파견수련계획!$Q$4:$Q$803=TRIM($J379&amp;""))*파견수련계획!$W$4:$W$803))</f>
        <v/>
      </c>
      <c r="Y379" s="10">
        <f>IF($B379="","",IF($AG379="","",IF(IF(TRIM($J379&amp;"")="",0,SUMPRODUCT((파견수련계획!$Q$4:$Q$803=TRIM($J379&amp;""))*파견수련계획!$AD$4:$AD$803))&gt;0,$AE379,IF(N($X379)&lt;=0,$AG379,IF($AH379+$AI379=DAY(EOMONTH(요약!$B$3,0)),IF(AND($AH379&gt;=요약!$E$3,$AI379&lt;요약!$E$3),"서울병원",IF(AND($AI379&gt;=요약!$E$3,$AH379&lt;요약!$E$3),"구리병원","⚠15일 판정불가(서울 "&amp;$AH379&amp;"일/구리 "&amp;$AI379&amp;"일)")),IF($AJ379="",$AE379,IF(INDEX(파견수련계획!$T$4:$T$803,$AJ379)="통합수련",INDEX(파견수련계획!$S$4:$S$803,$AJ379),$AE379)))))))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입력",IF(IF(TRIM($J379&amp;"")="",0,SUMPRODUCT((파견수련계획!$Q$4:$Q$803=TRIM($J379&amp;""))*(파견수련계획!$AA$4:$AA$803&lt;&gt;"")))&gt;0,"파견수련계획 입력오류 확인",IF(LEFT($Y379,1)="⚠","서울·구리 15일 판정 불가(양쪽 모두 이상/미만)",IF(IF($AC379="",0,N(INDEX(인턴근무계획!$T$3:$T$402,$AC379)))&gt;0,"인턴계획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IF($B379="","",IFERROR(MATCH($B379,기본자료!$B$2:$B$1001,0),IFERROR(MATCH($B379&amp;"",기본자료!$B$2:$B$1001,0),IFERROR(MATCH(VALUE($B379),기본자료!$B$2:$B$1001,0),""))))</f>
        <v/>
      </c>
      <c r="AC379" s="10">
        <f>IF($B379="","",IFERROR(MATCH($B379,인턴근무계획!$D$3:$D$402,0),IFERROR(MATCH($B379&amp;"",인턴근무계획!$D$3:$D$402,0),IFERROR(MATCH(VALUE($B379),인턴근무계획!$D$3:$D$402,0),""))))</f>
        <v/>
      </c>
      <c r="AD379" s="10">
        <f>IF(OR($AC379="",인턴현황!$G$3=""),"",INDEX(인턴근무계획!$M$3:$R$402,$AC379,인턴현황!$G$3)&amp;"")</f>
        <v/>
      </c>
      <c r="AE379" s="10">
        <f>IF($B379="","",IF($M379&lt;&gt;"",$M379,IF($AF379&lt;&gt;"",IF(LEFT(INDEX(파견수련계획!$R$4:$R$803,$AF379),1)&lt;&gt;"⚠",INDEX(파견수련계획!$R$4:$R$803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파견수련계획!$Y$4:$Y$803,0),IFERROR(MATCH(TRIM($J379&amp;"")&amp;"|파견예정",파견수련계획!$Y$4:$Y$803,0),IFERROR(MATCH(TRIM($J379&amp;"")&amp;"|파견종료",파견수련계획!$Y$4:$Y$803,0),""))))</f>
        <v/>
      </c>
      <c r="AG379" s="10">
        <f>IF($B379="","",IF(AND(IF(OR($AC379="",인턴현황!$K$2=""),"",INDEX(인턴근무계획!$M$3:$R$402,$AC379,인턴현황!$K$2)&amp;"")&lt;&gt;"",LEFT(IF(OR($AC379="",인턴현황!$K$2=""),"",INDEX(인턴근무계획!$M$3:$R$402,$AC379,인턴현황!$K$2)&amp;""),1)&lt;&gt;"⚠"),LEFT(IF(OR($AC379="",인턴현황!$K$2=""),"",INDEX(인턴근무계획!$M$3:$R$402,$AC379,인턴현황!$K$2)&amp;""),FIND(" ",IF(OR($AC379="",인턴현황!$K$2=""),"",INDEX(인턴근무계획!$M$3:$R$402,$AC379,인턴현황!$K$2)&amp;""))-1),$AE379))</f>
        <v/>
      </c>
      <c r="AH379" s="17">
        <f>IF($B379="","",IF(TRIM($J379&amp;"")="",0,SUMPRODUCT((파견수련계획!$Q$4:$Q$803=TRIM($J379&amp;""))*(파견수련계획!$S$4:$S$803="서울병원")*파견수련계획!$W$4:$W$803))+IF($AG379="서울병원",MAX(0,DAY(EOMONTH(요약!$B$3,0))-N($X379)),0))</f>
        <v/>
      </c>
      <c r="AI379" s="17">
        <f>IF($B379="","",IF(TRIM($J379&amp;"")="",0,SUMPRODUCT((파견수련계획!$Q$4:$Q$803=TRIM($J379&amp;""))*(파견수련계획!$S$4:$S$803="구리병원")*파견수련계획!$W$4:$W$803))+IF($AG379="구리병원",MAX(0,DAY(EOMONTH(요약!$B$3,0))-N($X379)),0))</f>
        <v/>
      </c>
      <c r="AJ379" s="10">
        <f>IF(OR($B379="",TRIM($J379&amp;"")=""),"",IFERROR(MATCH(TRIM($J379&amp;"")&amp;"|월",파견수련계획!$Z$4:$Z$803,0),""))</f>
        <v/>
      </c>
      <c r="AK379" s="10">
        <f>IF(OR($B379="",TRIM($J379&amp;"")=""),"",IFERROR(MATCH(TRIM($J379&amp;"")&amp;"|다기관",파견수련계획!$AE$4:$AE$803,0),""))</f>
        <v/>
      </c>
      <c r="AL379" s="10">
        <f>IF($AK379="","","다기관 "&amp;TEXT(INDEX(파견수련계획!$AB$4:$AB$803,$AK379),"yyyy-mm-dd")&amp;"~"&amp;IF(ISNUMBER(INDEX(파견수련계획!$AC$4:$AC$803,$AK379)),TEXT(INDEX(파견수련계획!$AC$4:$AC$803,$AK379),"yyyy-mm-dd"),""))</f>
        <v/>
      </c>
    </row>
    <row r="380">
      <c r="A380" s="10">
        <f>IF(B380="","",ROW()-1)</f>
        <v/>
      </c>
      <c r="B380" s="18" t="n"/>
      <c r="C380" s="10">
        <f>IF($AB380="","",IF(INDEX(기본자료!$C$2:$C$1001,$AB380)="","",INDEX(기본자료!$C$2:$C$1001,$AB380)))</f>
        <v/>
      </c>
      <c r="D380" s="10">
        <f>IF($AB380="","",IF(INDEX(기본자료!$J$2:$J$1001,$AB380)="","",INDEX(기본자료!$J$2:$J$1001,$AB380)))</f>
        <v/>
      </c>
      <c r="E380" s="11">
        <f>IF($AB380="","",IF(INDEX(기본자료!$K$2:$K$1001,$AB380)="","",IF(NOT(ISNUMBER(INDEX(기본자료!$K$2:$K$1001,$AB380))),INDEX(기본자료!$K$2:$K$1001,$AB380),IF(INDEX(기본자료!$K$2:$K$1001,$AB380)&lt;1000000,INDEX(기본자료!$K$2:$K$1001,$AB380),IF(AND(INDEX(기본자료!$K$2:$K$1001,$AB380)&gt;=10000101,INT(MOD(INDEX(기본자료!$K$2:$K$1001,$AB380),10000)/100)&gt;=1,INT(MOD(INDEX(기본자료!$K$2:$K$1001,$AB380),10000)/100)&lt;=12,MOD(INDEX(기본자료!$K$2:$K$1001,$AB380),100)&gt;=1,MOD(INDEX(기본자료!$K$2:$K$1001,$AB380),100)&lt;=31),DATE(INT(INDEX(기본자료!$K$2:$K$1001,$AB380)/10000),INT(MOD(INDEX(기본자료!$K$2:$K$1001,$AB380),10000)/100),MOD(INDEX(기본자료!$K$2:$K$1001,$AB380),100)),INDEX(기본자료!$K$2:$K$1001,$AB380)&amp;"")))))</f>
        <v/>
      </c>
      <c r="F380" s="10">
        <f>IF($AB380="","",IF(INDEX(기본자료!$D$2:$D$1001,$AB380)="","",INDEX(기본자료!$D$2:$D$1001,$AB380)))</f>
        <v/>
      </c>
      <c r="G380" s="10">
        <f>IF($AB380="","",IF(INDEX(기본자료!$E$2:$E$1001,$AB380)="","",INDEX(기본자료!$E$2:$E$1001,$AB380)))</f>
        <v/>
      </c>
      <c r="H380" s="10">
        <f>IF($AB380="","",IF(INDEX(기본자료!$F$2:$F$1001,$AB380)="","",INDEX(기본자료!$F$2:$F$1001,$AB380)))</f>
        <v/>
      </c>
      <c r="I380" s="11">
        <f>IF($AB380="","",IF(INDEX(기본자료!$G$2:$G$1001,$AB380)="","",IF(NOT(ISNUMBER(INDEX(기본자료!$G$2:$G$1001,$AB380))),INDEX(기본자료!$G$2:$G$1001,$AB380),IF(INDEX(기본자료!$G$2:$G$1001,$AB380)&lt;1000000,INDEX(기본자료!$G$2:$G$1001,$AB380),IF(AND(INDEX(기본자료!$G$2:$G$1001,$AB380)&gt;=10000101,INT(MOD(INDEX(기본자료!$G$2:$G$1001,$AB380),10000)/100)&gt;=1,INT(MOD(INDEX(기본자료!$G$2:$G$1001,$AB380),10000)/100)&lt;=12,MOD(INDEX(기본자료!$G$2:$G$1001,$AB380),100)&gt;=1,MOD(INDEX(기본자료!$G$2:$G$1001,$AB380),100)&lt;=31),DATE(INT(INDEX(기본자료!$G$2:$G$1001,$AB380)/10000),INT(MOD(INDEX(기본자료!$G$2:$G$1001,$AB380),10000)/100),MOD(INDEX(기본자료!$G$2:$G$1001,$AB380),100)),INDEX(기본자료!$G$2:$G$1001,$AB380)&amp;"")))))</f>
        <v/>
      </c>
      <c r="J380" s="10">
        <f>IF($AB380="","",IF(INDEX(기본자료!$H$2:$H$1001,$AB380)="","",INDEX(기본자료!$H$2:$H$1001,$AB380)))</f>
        <v/>
      </c>
      <c r="K380" s="10">
        <f>IF($AB380="","",IF(INDEX(기본자료!$I$2:$I$1001,$AB380)="","",INDEX(기본자료!$I$2:$I$1001,$AB380)))</f>
        <v/>
      </c>
      <c r="L380" s="10">
        <f>IF($AB380="","",IF(INDEX(기본자료!$A$2:$A$1001,$AB380)="","",INDEX(기본자료!$A$2:$A$1001,$AB380)))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파견수련계획!$AB$4:$AB$803,$AK380),OR(NOT(ISNUMBER(INDEX(파견수련계획!$AC$4:$AC$803,$AK380))),TODAY()&lt;=INDEX(파견수련계획!$AC$4:$AC$803,$AK380))),"다기관",IF($AF380="","",INDEX(파견수련계획!$T$4:$T$803,$AF380))),IF($AF380="","",INDEX(파견수련계획!$T$4:$T$803,$AF380))))</f>
        <v/>
      </c>
      <c r="Q380" s="10">
        <f>IF($AF380="","",INDEX(파견수련계획!$S$4:$S$803,$AF380))</f>
        <v/>
      </c>
      <c r="R380" s="10">
        <f>IF($AF380="","",INDEX(파견수련계획!$U$4:$U$803,$AF380))</f>
        <v/>
      </c>
      <c r="S380" s="11">
        <f>IF($AF380="","",IF(INDEX(파견수련계획!$H$4:$H$803,$AF380)="","",INDEX(파견수련계획!$H$4:$H$803,$AF380)))</f>
        <v/>
      </c>
      <c r="T380" s="11">
        <f>IF($AF380="","",IF(INDEX(파견수련계획!$I$4:$I$803,$AF380)="","",INDEX(파견수련계획!$I$4:$I$803,$AF380)))</f>
        <v/>
      </c>
      <c r="U380" s="10">
        <f>IF($AF380="","",INDEX(파견수련계획!$X$4:$X$803,$AF380))</f>
        <v/>
      </c>
      <c r="V380" s="17">
        <f>IF($AF380="","",INDEX(파견수련계획!$V$4:$V$803,$AF380))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IF(OR($B380="",TRIM($J380&amp;"")=""),"",SUMPRODUCT((파견수련계획!$Q$4:$Q$803=TRIM($J380&amp;""))*파견수련계획!$W$4:$W$803))</f>
        <v/>
      </c>
      <c r="Y380" s="10">
        <f>IF($B380="","",IF($AG380="","",IF(IF(TRIM($J380&amp;"")="",0,SUMPRODUCT((파견수련계획!$Q$4:$Q$803=TRIM($J380&amp;""))*파견수련계획!$AD$4:$AD$803))&gt;0,$AE380,IF(N($X380)&lt;=0,$AG380,IF($AH380+$AI380=DAY(EOMONTH(요약!$B$3,0)),IF(AND($AH380&gt;=요약!$E$3,$AI380&lt;요약!$E$3),"서울병원",IF(AND($AI380&gt;=요약!$E$3,$AH380&lt;요약!$E$3),"구리병원","⚠15일 판정불가(서울 "&amp;$AH380&amp;"일/구리 "&amp;$AI380&amp;"일)")),IF($AJ380="",$AE380,IF(INDEX(파견수련계획!$T$4:$T$803,$AJ380)="통합수련",INDEX(파견수련계획!$S$4:$S$803,$AJ380),$AE380)))))))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입력",IF(IF(TRIM($J380&amp;"")="",0,SUMPRODUCT((파견수련계획!$Q$4:$Q$803=TRIM($J380&amp;""))*(파견수련계획!$AA$4:$AA$803&lt;&gt;"")))&gt;0,"파견수련계획 입력오류 확인",IF(LEFT($Y380,1)="⚠","서울·구리 15일 판정 불가(양쪽 모두 이상/미만)",IF(IF($AC380="",0,N(INDEX(인턴근무계획!$T$3:$T$402,$AC380)))&gt;0,"인턴계획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IF($B380="","",IFERROR(MATCH($B380,기본자료!$B$2:$B$1001,0),IFERROR(MATCH($B380&amp;"",기본자료!$B$2:$B$1001,0),IFERROR(MATCH(VALUE($B380),기본자료!$B$2:$B$1001,0),""))))</f>
        <v/>
      </c>
      <c r="AC380" s="10">
        <f>IF($B380="","",IFERROR(MATCH($B380,인턴근무계획!$D$3:$D$402,0),IFERROR(MATCH($B380&amp;"",인턴근무계획!$D$3:$D$402,0),IFERROR(MATCH(VALUE($B380),인턴근무계획!$D$3:$D$402,0),""))))</f>
        <v/>
      </c>
      <c r="AD380" s="10">
        <f>IF(OR($AC380="",인턴현황!$G$3=""),"",INDEX(인턴근무계획!$M$3:$R$402,$AC380,인턴현황!$G$3)&amp;"")</f>
        <v/>
      </c>
      <c r="AE380" s="10">
        <f>IF($B380="","",IF($M380&lt;&gt;"",$M380,IF($AF380&lt;&gt;"",IF(LEFT(INDEX(파견수련계획!$R$4:$R$803,$AF380),1)&lt;&gt;"⚠",INDEX(파견수련계획!$R$4:$R$803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파견수련계획!$Y$4:$Y$803,0),IFERROR(MATCH(TRIM($J380&amp;"")&amp;"|파견예정",파견수련계획!$Y$4:$Y$803,0),IFERROR(MATCH(TRIM($J380&amp;"")&amp;"|파견종료",파견수련계획!$Y$4:$Y$803,0),""))))</f>
        <v/>
      </c>
      <c r="AG380" s="10">
        <f>IF($B380="","",IF(AND(IF(OR($AC380="",인턴현황!$K$2=""),"",INDEX(인턴근무계획!$M$3:$R$402,$AC380,인턴현황!$K$2)&amp;"")&lt;&gt;"",LEFT(IF(OR($AC380="",인턴현황!$K$2=""),"",INDEX(인턴근무계획!$M$3:$R$402,$AC380,인턴현황!$K$2)&amp;""),1)&lt;&gt;"⚠"),LEFT(IF(OR($AC380="",인턴현황!$K$2=""),"",INDEX(인턴근무계획!$M$3:$R$402,$AC380,인턴현황!$K$2)&amp;""),FIND(" ",IF(OR($AC380="",인턴현황!$K$2=""),"",INDEX(인턴근무계획!$M$3:$R$402,$AC380,인턴현황!$K$2)&amp;""))-1),$AE380))</f>
        <v/>
      </c>
      <c r="AH380" s="17">
        <f>IF($B380="","",IF(TRIM($J380&amp;"")="",0,SUMPRODUCT((파견수련계획!$Q$4:$Q$803=TRIM($J380&amp;""))*(파견수련계획!$S$4:$S$803="서울병원")*파견수련계획!$W$4:$W$803))+IF($AG380="서울병원",MAX(0,DAY(EOMONTH(요약!$B$3,0))-N($X380)),0))</f>
        <v/>
      </c>
      <c r="AI380" s="17">
        <f>IF($B380="","",IF(TRIM($J380&amp;"")="",0,SUMPRODUCT((파견수련계획!$Q$4:$Q$803=TRIM($J380&amp;""))*(파견수련계획!$S$4:$S$803="구리병원")*파견수련계획!$W$4:$W$803))+IF($AG380="구리병원",MAX(0,DAY(EOMONTH(요약!$B$3,0))-N($X380)),0))</f>
        <v/>
      </c>
      <c r="AJ380" s="10">
        <f>IF(OR($B380="",TRIM($J380&amp;"")=""),"",IFERROR(MATCH(TRIM($J380&amp;"")&amp;"|월",파견수련계획!$Z$4:$Z$803,0),""))</f>
        <v/>
      </c>
      <c r="AK380" s="10">
        <f>IF(OR($B380="",TRIM($J380&amp;"")=""),"",IFERROR(MATCH(TRIM($J380&amp;"")&amp;"|다기관",파견수련계획!$AE$4:$AE$803,0),""))</f>
        <v/>
      </c>
      <c r="AL380" s="10">
        <f>IF($AK380="","","다기관 "&amp;TEXT(INDEX(파견수련계획!$AB$4:$AB$803,$AK380),"yyyy-mm-dd")&amp;"~"&amp;IF(ISNUMBER(INDEX(파견수련계획!$AC$4:$AC$803,$AK380)),TEXT(INDEX(파견수련계획!$AC$4:$AC$803,$AK380),"yyyy-mm-dd"),""))</f>
        <v/>
      </c>
    </row>
    <row r="381">
      <c r="A381" s="10">
        <f>IF(B381="","",ROW()-1)</f>
        <v/>
      </c>
      <c r="B381" s="18" t="n"/>
      <c r="C381" s="10">
        <f>IF($AB381="","",IF(INDEX(기본자료!$C$2:$C$1001,$AB381)="","",INDEX(기본자료!$C$2:$C$1001,$AB381)))</f>
        <v/>
      </c>
      <c r="D381" s="10">
        <f>IF($AB381="","",IF(INDEX(기본자료!$J$2:$J$1001,$AB381)="","",INDEX(기본자료!$J$2:$J$1001,$AB381)))</f>
        <v/>
      </c>
      <c r="E381" s="11">
        <f>IF($AB381="","",IF(INDEX(기본자료!$K$2:$K$1001,$AB381)="","",IF(NOT(ISNUMBER(INDEX(기본자료!$K$2:$K$1001,$AB381))),INDEX(기본자료!$K$2:$K$1001,$AB381),IF(INDEX(기본자료!$K$2:$K$1001,$AB381)&lt;1000000,INDEX(기본자료!$K$2:$K$1001,$AB381),IF(AND(INDEX(기본자료!$K$2:$K$1001,$AB381)&gt;=10000101,INT(MOD(INDEX(기본자료!$K$2:$K$1001,$AB381),10000)/100)&gt;=1,INT(MOD(INDEX(기본자료!$K$2:$K$1001,$AB381),10000)/100)&lt;=12,MOD(INDEX(기본자료!$K$2:$K$1001,$AB381),100)&gt;=1,MOD(INDEX(기본자료!$K$2:$K$1001,$AB381),100)&lt;=31),DATE(INT(INDEX(기본자료!$K$2:$K$1001,$AB381)/10000),INT(MOD(INDEX(기본자료!$K$2:$K$1001,$AB381),10000)/100),MOD(INDEX(기본자료!$K$2:$K$1001,$AB381),100)),INDEX(기본자료!$K$2:$K$1001,$AB381)&amp;"")))))</f>
        <v/>
      </c>
      <c r="F381" s="10">
        <f>IF($AB381="","",IF(INDEX(기본자료!$D$2:$D$1001,$AB381)="","",INDEX(기본자료!$D$2:$D$1001,$AB381)))</f>
        <v/>
      </c>
      <c r="G381" s="10">
        <f>IF($AB381="","",IF(INDEX(기본자료!$E$2:$E$1001,$AB381)="","",INDEX(기본자료!$E$2:$E$1001,$AB381)))</f>
        <v/>
      </c>
      <c r="H381" s="10">
        <f>IF($AB381="","",IF(INDEX(기본자료!$F$2:$F$1001,$AB381)="","",INDEX(기본자료!$F$2:$F$1001,$AB381)))</f>
        <v/>
      </c>
      <c r="I381" s="11">
        <f>IF($AB381="","",IF(INDEX(기본자료!$G$2:$G$1001,$AB381)="","",IF(NOT(ISNUMBER(INDEX(기본자료!$G$2:$G$1001,$AB381))),INDEX(기본자료!$G$2:$G$1001,$AB381),IF(INDEX(기본자료!$G$2:$G$1001,$AB381)&lt;1000000,INDEX(기본자료!$G$2:$G$1001,$AB381),IF(AND(INDEX(기본자료!$G$2:$G$1001,$AB381)&gt;=10000101,INT(MOD(INDEX(기본자료!$G$2:$G$1001,$AB381),10000)/100)&gt;=1,INT(MOD(INDEX(기본자료!$G$2:$G$1001,$AB381),10000)/100)&lt;=12,MOD(INDEX(기본자료!$G$2:$G$1001,$AB381),100)&gt;=1,MOD(INDEX(기본자료!$G$2:$G$1001,$AB381),100)&lt;=31),DATE(INT(INDEX(기본자료!$G$2:$G$1001,$AB381)/10000),INT(MOD(INDEX(기본자료!$G$2:$G$1001,$AB381),10000)/100),MOD(INDEX(기본자료!$G$2:$G$1001,$AB381),100)),INDEX(기본자료!$G$2:$G$1001,$AB381)&amp;"")))))</f>
        <v/>
      </c>
      <c r="J381" s="10">
        <f>IF($AB381="","",IF(INDEX(기본자료!$H$2:$H$1001,$AB381)="","",INDEX(기본자료!$H$2:$H$1001,$AB381)))</f>
        <v/>
      </c>
      <c r="K381" s="10">
        <f>IF($AB381="","",IF(INDEX(기본자료!$I$2:$I$1001,$AB381)="","",INDEX(기본자료!$I$2:$I$1001,$AB381)))</f>
        <v/>
      </c>
      <c r="L381" s="10">
        <f>IF($AB381="","",IF(INDEX(기본자료!$A$2:$A$1001,$AB381)="","",INDEX(기본자료!$A$2:$A$1001,$AB381)))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파견수련계획!$AB$4:$AB$803,$AK381),OR(NOT(ISNUMBER(INDEX(파견수련계획!$AC$4:$AC$803,$AK381))),TODAY()&lt;=INDEX(파견수련계획!$AC$4:$AC$803,$AK381))),"다기관",IF($AF381="","",INDEX(파견수련계획!$T$4:$T$803,$AF381))),IF($AF381="","",INDEX(파견수련계획!$T$4:$T$803,$AF381))))</f>
        <v/>
      </c>
      <c r="Q381" s="10">
        <f>IF($AF381="","",INDEX(파견수련계획!$S$4:$S$803,$AF381))</f>
        <v/>
      </c>
      <c r="R381" s="10">
        <f>IF($AF381="","",INDEX(파견수련계획!$U$4:$U$803,$AF381))</f>
        <v/>
      </c>
      <c r="S381" s="11">
        <f>IF($AF381="","",IF(INDEX(파견수련계획!$H$4:$H$803,$AF381)="","",INDEX(파견수련계획!$H$4:$H$803,$AF381)))</f>
        <v/>
      </c>
      <c r="T381" s="11">
        <f>IF($AF381="","",IF(INDEX(파견수련계획!$I$4:$I$803,$AF381)="","",INDEX(파견수련계획!$I$4:$I$803,$AF381)))</f>
        <v/>
      </c>
      <c r="U381" s="10">
        <f>IF($AF381="","",INDEX(파견수련계획!$X$4:$X$803,$AF381))</f>
        <v/>
      </c>
      <c r="V381" s="17">
        <f>IF($AF381="","",INDEX(파견수련계획!$V$4:$V$803,$AF381))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IF(OR($B381="",TRIM($J381&amp;"")=""),"",SUMPRODUCT((파견수련계획!$Q$4:$Q$803=TRIM($J381&amp;""))*파견수련계획!$W$4:$W$803))</f>
        <v/>
      </c>
      <c r="Y381" s="10">
        <f>IF($B381="","",IF($AG381="","",IF(IF(TRIM($J381&amp;"")="",0,SUMPRODUCT((파견수련계획!$Q$4:$Q$803=TRIM($J381&amp;""))*파견수련계획!$AD$4:$AD$803))&gt;0,$AE381,IF(N($X381)&lt;=0,$AG381,IF($AH381+$AI381=DAY(EOMONTH(요약!$B$3,0)),IF(AND($AH381&gt;=요약!$E$3,$AI381&lt;요약!$E$3),"서울병원",IF(AND($AI381&gt;=요약!$E$3,$AH381&lt;요약!$E$3),"구리병원","⚠15일 판정불가(서울 "&amp;$AH381&amp;"일/구리 "&amp;$AI381&amp;"일)")),IF($AJ381="",$AE381,IF(INDEX(파견수련계획!$T$4:$T$803,$AJ381)="통합수련",INDEX(파견수련계획!$S$4:$S$803,$AJ381),$AE381)))))))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입력",IF(IF(TRIM($J381&amp;"")="",0,SUMPRODUCT((파견수련계획!$Q$4:$Q$803=TRIM($J381&amp;""))*(파견수련계획!$AA$4:$AA$803&lt;&gt;"")))&gt;0,"파견수련계획 입력오류 확인",IF(LEFT($Y381,1)="⚠","서울·구리 15일 판정 불가(양쪽 모두 이상/미만)",IF(IF($AC381="",0,N(INDEX(인턴근무계획!$T$3:$T$402,$AC381)))&gt;0,"인턴계획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IF($B381="","",IFERROR(MATCH($B381,기본자료!$B$2:$B$1001,0),IFERROR(MATCH($B381&amp;"",기본자료!$B$2:$B$1001,0),IFERROR(MATCH(VALUE($B381),기본자료!$B$2:$B$1001,0),""))))</f>
        <v/>
      </c>
      <c r="AC381" s="10">
        <f>IF($B381="","",IFERROR(MATCH($B381,인턴근무계획!$D$3:$D$402,0),IFERROR(MATCH($B381&amp;"",인턴근무계획!$D$3:$D$402,0),IFERROR(MATCH(VALUE($B381),인턴근무계획!$D$3:$D$402,0),""))))</f>
        <v/>
      </c>
      <c r="AD381" s="10">
        <f>IF(OR($AC381="",인턴현황!$G$3=""),"",INDEX(인턴근무계획!$M$3:$R$402,$AC381,인턴현황!$G$3)&amp;"")</f>
        <v/>
      </c>
      <c r="AE381" s="10">
        <f>IF($B381="","",IF($M381&lt;&gt;"",$M381,IF($AF381&lt;&gt;"",IF(LEFT(INDEX(파견수련계획!$R$4:$R$803,$AF381),1)&lt;&gt;"⚠",INDEX(파견수련계획!$R$4:$R$803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파견수련계획!$Y$4:$Y$803,0),IFERROR(MATCH(TRIM($J381&amp;"")&amp;"|파견예정",파견수련계획!$Y$4:$Y$803,0),IFERROR(MATCH(TRIM($J381&amp;"")&amp;"|파견종료",파견수련계획!$Y$4:$Y$803,0),""))))</f>
        <v/>
      </c>
      <c r="AG381" s="10">
        <f>IF($B381="","",IF(AND(IF(OR($AC381="",인턴현황!$K$2=""),"",INDEX(인턴근무계획!$M$3:$R$402,$AC381,인턴현황!$K$2)&amp;"")&lt;&gt;"",LEFT(IF(OR($AC381="",인턴현황!$K$2=""),"",INDEX(인턴근무계획!$M$3:$R$402,$AC381,인턴현황!$K$2)&amp;""),1)&lt;&gt;"⚠"),LEFT(IF(OR($AC381="",인턴현황!$K$2=""),"",INDEX(인턴근무계획!$M$3:$R$402,$AC381,인턴현황!$K$2)&amp;""),FIND(" ",IF(OR($AC381="",인턴현황!$K$2=""),"",INDEX(인턴근무계획!$M$3:$R$402,$AC381,인턴현황!$K$2)&amp;""))-1),$AE381))</f>
        <v/>
      </c>
      <c r="AH381" s="17">
        <f>IF($B381="","",IF(TRIM($J381&amp;"")="",0,SUMPRODUCT((파견수련계획!$Q$4:$Q$803=TRIM($J381&amp;""))*(파견수련계획!$S$4:$S$803="서울병원")*파견수련계획!$W$4:$W$803))+IF($AG381="서울병원",MAX(0,DAY(EOMONTH(요약!$B$3,0))-N($X381)),0))</f>
        <v/>
      </c>
      <c r="AI381" s="17">
        <f>IF($B381="","",IF(TRIM($J381&amp;"")="",0,SUMPRODUCT((파견수련계획!$Q$4:$Q$803=TRIM($J381&amp;""))*(파견수련계획!$S$4:$S$803="구리병원")*파견수련계획!$W$4:$W$803))+IF($AG381="구리병원",MAX(0,DAY(EOMONTH(요약!$B$3,0))-N($X381)),0))</f>
        <v/>
      </c>
      <c r="AJ381" s="10">
        <f>IF(OR($B381="",TRIM($J381&amp;"")=""),"",IFERROR(MATCH(TRIM($J381&amp;"")&amp;"|월",파견수련계획!$Z$4:$Z$803,0),""))</f>
        <v/>
      </c>
      <c r="AK381" s="10">
        <f>IF(OR($B381="",TRIM($J381&amp;"")=""),"",IFERROR(MATCH(TRIM($J381&amp;"")&amp;"|다기관",파견수련계획!$AE$4:$AE$803,0),""))</f>
        <v/>
      </c>
      <c r="AL381" s="10">
        <f>IF($AK381="","","다기관 "&amp;TEXT(INDEX(파견수련계획!$AB$4:$AB$803,$AK381),"yyyy-mm-dd")&amp;"~"&amp;IF(ISNUMBER(INDEX(파견수련계획!$AC$4:$AC$803,$AK381)),TEXT(INDEX(파견수련계획!$AC$4:$AC$803,$AK381),"yyyy-mm-dd"),""))</f>
        <v/>
      </c>
    </row>
    <row r="382">
      <c r="A382" s="10">
        <f>IF(B382="","",ROW()-1)</f>
        <v/>
      </c>
      <c r="B382" s="18" t="n"/>
      <c r="C382" s="10">
        <f>IF($AB382="","",IF(INDEX(기본자료!$C$2:$C$1001,$AB382)="","",INDEX(기본자료!$C$2:$C$1001,$AB382)))</f>
        <v/>
      </c>
      <c r="D382" s="10">
        <f>IF($AB382="","",IF(INDEX(기본자료!$J$2:$J$1001,$AB382)="","",INDEX(기본자료!$J$2:$J$1001,$AB382)))</f>
        <v/>
      </c>
      <c r="E382" s="11">
        <f>IF($AB382="","",IF(INDEX(기본자료!$K$2:$K$1001,$AB382)="","",IF(NOT(ISNUMBER(INDEX(기본자료!$K$2:$K$1001,$AB382))),INDEX(기본자료!$K$2:$K$1001,$AB382),IF(INDEX(기본자료!$K$2:$K$1001,$AB382)&lt;1000000,INDEX(기본자료!$K$2:$K$1001,$AB382),IF(AND(INDEX(기본자료!$K$2:$K$1001,$AB382)&gt;=10000101,INT(MOD(INDEX(기본자료!$K$2:$K$1001,$AB382),10000)/100)&gt;=1,INT(MOD(INDEX(기본자료!$K$2:$K$1001,$AB382),10000)/100)&lt;=12,MOD(INDEX(기본자료!$K$2:$K$1001,$AB382),100)&gt;=1,MOD(INDEX(기본자료!$K$2:$K$1001,$AB382),100)&lt;=31),DATE(INT(INDEX(기본자료!$K$2:$K$1001,$AB382)/10000),INT(MOD(INDEX(기본자료!$K$2:$K$1001,$AB382),10000)/100),MOD(INDEX(기본자료!$K$2:$K$1001,$AB382),100)),INDEX(기본자료!$K$2:$K$1001,$AB382)&amp;"")))))</f>
        <v/>
      </c>
      <c r="F382" s="10">
        <f>IF($AB382="","",IF(INDEX(기본자료!$D$2:$D$1001,$AB382)="","",INDEX(기본자료!$D$2:$D$1001,$AB382)))</f>
        <v/>
      </c>
      <c r="G382" s="10">
        <f>IF($AB382="","",IF(INDEX(기본자료!$E$2:$E$1001,$AB382)="","",INDEX(기본자료!$E$2:$E$1001,$AB382)))</f>
        <v/>
      </c>
      <c r="H382" s="10">
        <f>IF($AB382="","",IF(INDEX(기본자료!$F$2:$F$1001,$AB382)="","",INDEX(기본자료!$F$2:$F$1001,$AB382)))</f>
        <v/>
      </c>
      <c r="I382" s="11">
        <f>IF($AB382="","",IF(INDEX(기본자료!$G$2:$G$1001,$AB382)="","",IF(NOT(ISNUMBER(INDEX(기본자료!$G$2:$G$1001,$AB382))),INDEX(기본자료!$G$2:$G$1001,$AB382),IF(INDEX(기본자료!$G$2:$G$1001,$AB382)&lt;1000000,INDEX(기본자료!$G$2:$G$1001,$AB382),IF(AND(INDEX(기본자료!$G$2:$G$1001,$AB382)&gt;=10000101,INT(MOD(INDEX(기본자료!$G$2:$G$1001,$AB382),10000)/100)&gt;=1,INT(MOD(INDEX(기본자료!$G$2:$G$1001,$AB382),10000)/100)&lt;=12,MOD(INDEX(기본자료!$G$2:$G$1001,$AB382),100)&gt;=1,MOD(INDEX(기본자료!$G$2:$G$1001,$AB382),100)&lt;=31),DATE(INT(INDEX(기본자료!$G$2:$G$1001,$AB382)/10000),INT(MOD(INDEX(기본자료!$G$2:$G$1001,$AB382),10000)/100),MOD(INDEX(기본자료!$G$2:$G$1001,$AB382),100)),INDEX(기본자료!$G$2:$G$1001,$AB382)&amp;"")))))</f>
        <v/>
      </c>
      <c r="J382" s="10">
        <f>IF($AB382="","",IF(INDEX(기본자료!$H$2:$H$1001,$AB382)="","",INDEX(기본자료!$H$2:$H$1001,$AB382)))</f>
        <v/>
      </c>
      <c r="K382" s="10">
        <f>IF($AB382="","",IF(INDEX(기본자료!$I$2:$I$1001,$AB382)="","",INDEX(기본자료!$I$2:$I$1001,$AB382)))</f>
        <v/>
      </c>
      <c r="L382" s="10">
        <f>IF($AB382="","",IF(INDEX(기본자료!$A$2:$A$1001,$AB382)="","",INDEX(기본자료!$A$2:$A$1001,$AB382)))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파견수련계획!$AB$4:$AB$803,$AK382),OR(NOT(ISNUMBER(INDEX(파견수련계획!$AC$4:$AC$803,$AK382))),TODAY()&lt;=INDEX(파견수련계획!$AC$4:$AC$803,$AK382))),"다기관",IF($AF382="","",INDEX(파견수련계획!$T$4:$T$803,$AF382))),IF($AF382="","",INDEX(파견수련계획!$T$4:$T$803,$AF382))))</f>
        <v/>
      </c>
      <c r="Q382" s="10">
        <f>IF($AF382="","",INDEX(파견수련계획!$S$4:$S$803,$AF382))</f>
        <v/>
      </c>
      <c r="R382" s="10">
        <f>IF($AF382="","",INDEX(파견수련계획!$U$4:$U$803,$AF382))</f>
        <v/>
      </c>
      <c r="S382" s="11">
        <f>IF($AF382="","",IF(INDEX(파견수련계획!$H$4:$H$803,$AF382)="","",INDEX(파견수련계획!$H$4:$H$803,$AF382)))</f>
        <v/>
      </c>
      <c r="T382" s="11">
        <f>IF($AF382="","",IF(INDEX(파견수련계획!$I$4:$I$803,$AF382)="","",INDEX(파견수련계획!$I$4:$I$803,$AF382)))</f>
        <v/>
      </c>
      <c r="U382" s="10">
        <f>IF($AF382="","",INDEX(파견수련계획!$X$4:$X$803,$AF382))</f>
        <v/>
      </c>
      <c r="V382" s="17">
        <f>IF($AF382="","",INDEX(파견수련계획!$V$4:$V$803,$AF382))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IF(OR($B382="",TRIM($J382&amp;"")=""),"",SUMPRODUCT((파견수련계획!$Q$4:$Q$803=TRIM($J382&amp;""))*파견수련계획!$W$4:$W$803))</f>
        <v/>
      </c>
      <c r="Y382" s="10">
        <f>IF($B382="","",IF($AG382="","",IF(IF(TRIM($J382&amp;"")="",0,SUMPRODUCT((파견수련계획!$Q$4:$Q$803=TRIM($J382&amp;""))*파견수련계획!$AD$4:$AD$803))&gt;0,$AE382,IF(N($X382)&lt;=0,$AG382,IF($AH382+$AI382=DAY(EOMONTH(요약!$B$3,0)),IF(AND($AH382&gt;=요약!$E$3,$AI382&lt;요약!$E$3),"서울병원",IF(AND($AI382&gt;=요약!$E$3,$AH382&lt;요약!$E$3),"구리병원","⚠15일 판정불가(서울 "&amp;$AH382&amp;"일/구리 "&amp;$AI382&amp;"일)")),IF($AJ382="",$AE382,IF(INDEX(파견수련계획!$T$4:$T$803,$AJ382)="통합수련",INDEX(파견수련계획!$S$4:$S$803,$AJ382),$AE382)))))))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입력",IF(IF(TRIM($J382&amp;"")="",0,SUMPRODUCT((파견수련계획!$Q$4:$Q$803=TRIM($J382&amp;""))*(파견수련계획!$AA$4:$AA$803&lt;&gt;"")))&gt;0,"파견수련계획 입력오류 확인",IF(LEFT($Y382,1)="⚠","서울·구리 15일 판정 불가(양쪽 모두 이상/미만)",IF(IF($AC382="",0,N(INDEX(인턴근무계획!$T$3:$T$402,$AC382)))&gt;0,"인턴계획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IF($B382="","",IFERROR(MATCH($B382,기본자료!$B$2:$B$1001,0),IFERROR(MATCH($B382&amp;"",기본자료!$B$2:$B$1001,0),IFERROR(MATCH(VALUE($B382),기본자료!$B$2:$B$1001,0),""))))</f>
        <v/>
      </c>
      <c r="AC382" s="10">
        <f>IF($B382="","",IFERROR(MATCH($B382,인턴근무계획!$D$3:$D$402,0),IFERROR(MATCH($B382&amp;"",인턴근무계획!$D$3:$D$402,0),IFERROR(MATCH(VALUE($B382),인턴근무계획!$D$3:$D$402,0),""))))</f>
        <v/>
      </c>
      <c r="AD382" s="10">
        <f>IF(OR($AC382="",인턴현황!$G$3=""),"",INDEX(인턴근무계획!$M$3:$R$402,$AC382,인턴현황!$G$3)&amp;"")</f>
        <v/>
      </c>
      <c r="AE382" s="10">
        <f>IF($B382="","",IF($M382&lt;&gt;"",$M382,IF($AF382&lt;&gt;"",IF(LEFT(INDEX(파견수련계획!$R$4:$R$803,$AF382),1)&lt;&gt;"⚠",INDEX(파견수련계획!$R$4:$R$803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파견수련계획!$Y$4:$Y$803,0),IFERROR(MATCH(TRIM($J382&amp;"")&amp;"|파견예정",파견수련계획!$Y$4:$Y$803,0),IFERROR(MATCH(TRIM($J382&amp;"")&amp;"|파견종료",파견수련계획!$Y$4:$Y$803,0),""))))</f>
        <v/>
      </c>
      <c r="AG382" s="10">
        <f>IF($B382="","",IF(AND(IF(OR($AC382="",인턴현황!$K$2=""),"",INDEX(인턴근무계획!$M$3:$R$402,$AC382,인턴현황!$K$2)&amp;"")&lt;&gt;"",LEFT(IF(OR($AC382="",인턴현황!$K$2=""),"",INDEX(인턴근무계획!$M$3:$R$402,$AC382,인턴현황!$K$2)&amp;""),1)&lt;&gt;"⚠"),LEFT(IF(OR($AC382="",인턴현황!$K$2=""),"",INDEX(인턴근무계획!$M$3:$R$402,$AC382,인턴현황!$K$2)&amp;""),FIND(" ",IF(OR($AC382="",인턴현황!$K$2=""),"",INDEX(인턴근무계획!$M$3:$R$402,$AC382,인턴현황!$K$2)&amp;""))-1),$AE382))</f>
        <v/>
      </c>
      <c r="AH382" s="17">
        <f>IF($B382="","",IF(TRIM($J382&amp;"")="",0,SUMPRODUCT((파견수련계획!$Q$4:$Q$803=TRIM($J382&amp;""))*(파견수련계획!$S$4:$S$803="서울병원")*파견수련계획!$W$4:$W$803))+IF($AG382="서울병원",MAX(0,DAY(EOMONTH(요약!$B$3,0))-N($X382)),0))</f>
        <v/>
      </c>
      <c r="AI382" s="17">
        <f>IF($B382="","",IF(TRIM($J382&amp;"")="",0,SUMPRODUCT((파견수련계획!$Q$4:$Q$803=TRIM($J382&amp;""))*(파견수련계획!$S$4:$S$803="구리병원")*파견수련계획!$W$4:$W$803))+IF($AG382="구리병원",MAX(0,DAY(EOMONTH(요약!$B$3,0))-N($X382)),0))</f>
        <v/>
      </c>
      <c r="AJ382" s="10">
        <f>IF(OR($B382="",TRIM($J382&amp;"")=""),"",IFERROR(MATCH(TRIM($J382&amp;"")&amp;"|월",파견수련계획!$Z$4:$Z$803,0),""))</f>
        <v/>
      </c>
      <c r="AK382" s="10">
        <f>IF(OR($B382="",TRIM($J382&amp;"")=""),"",IFERROR(MATCH(TRIM($J382&amp;"")&amp;"|다기관",파견수련계획!$AE$4:$AE$803,0),""))</f>
        <v/>
      </c>
      <c r="AL382" s="10">
        <f>IF($AK382="","","다기관 "&amp;TEXT(INDEX(파견수련계획!$AB$4:$AB$803,$AK382),"yyyy-mm-dd")&amp;"~"&amp;IF(ISNUMBER(INDEX(파견수련계획!$AC$4:$AC$803,$AK382)),TEXT(INDEX(파견수련계획!$AC$4:$AC$803,$AK382),"yyyy-mm-dd"),""))</f>
        <v/>
      </c>
    </row>
    <row r="383">
      <c r="A383" s="10">
        <f>IF(B383="","",ROW()-1)</f>
        <v/>
      </c>
      <c r="B383" s="18" t="n"/>
      <c r="C383" s="10">
        <f>IF($AB383="","",IF(INDEX(기본자료!$C$2:$C$1001,$AB383)="","",INDEX(기본자료!$C$2:$C$1001,$AB383)))</f>
        <v/>
      </c>
      <c r="D383" s="10">
        <f>IF($AB383="","",IF(INDEX(기본자료!$J$2:$J$1001,$AB383)="","",INDEX(기본자료!$J$2:$J$1001,$AB383)))</f>
        <v/>
      </c>
      <c r="E383" s="11">
        <f>IF($AB383="","",IF(INDEX(기본자료!$K$2:$K$1001,$AB383)="","",IF(NOT(ISNUMBER(INDEX(기본자료!$K$2:$K$1001,$AB383))),INDEX(기본자료!$K$2:$K$1001,$AB383),IF(INDEX(기본자료!$K$2:$K$1001,$AB383)&lt;1000000,INDEX(기본자료!$K$2:$K$1001,$AB383),IF(AND(INDEX(기본자료!$K$2:$K$1001,$AB383)&gt;=10000101,INT(MOD(INDEX(기본자료!$K$2:$K$1001,$AB383),10000)/100)&gt;=1,INT(MOD(INDEX(기본자료!$K$2:$K$1001,$AB383),10000)/100)&lt;=12,MOD(INDEX(기본자료!$K$2:$K$1001,$AB383),100)&gt;=1,MOD(INDEX(기본자료!$K$2:$K$1001,$AB383),100)&lt;=31),DATE(INT(INDEX(기본자료!$K$2:$K$1001,$AB383)/10000),INT(MOD(INDEX(기본자료!$K$2:$K$1001,$AB383),10000)/100),MOD(INDEX(기본자료!$K$2:$K$1001,$AB383),100)),INDEX(기본자료!$K$2:$K$1001,$AB383)&amp;"")))))</f>
        <v/>
      </c>
      <c r="F383" s="10">
        <f>IF($AB383="","",IF(INDEX(기본자료!$D$2:$D$1001,$AB383)="","",INDEX(기본자료!$D$2:$D$1001,$AB383)))</f>
        <v/>
      </c>
      <c r="G383" s="10">
        <f>IF($AB383="","",IF(INDEX(기본자료!$E$2:$E$1001,$AB383)="","",INDEX(기본자료!$E$2:$E$1001,$AB383)))</f>
        <v/>
      </c>
      <c r="H383" s="10">
        <f>IF($AB383="","",IF(INDEX(기본자료!$F$2:$F$1001,$AB383)="","",INDEX(기본자료!$F$2:$F$1001,$AB383)))</f>
        <v/>
      </c>
      <c r="I383" s="11">
        <f>IF($AB383="","",IF(INDEX(기본자료!$G$2:$G$1001,$AB383)="","",IF(NOT(ISNUMBER(INDEX(기본자료!$G$2:$G$1001,$AB383))),INDEX(기본자료!$G$2:$G$1001,$AB383),IF(INDEX(기본자료!$G$2:$G$1001,$AB383)&lt;1000000,INDEX(기본자료!$G$2:$G$1001,$AB383),IF(AND(INDEX(기본자료!$G$2:$G$1001,$AB383)&gt;=10000101,INT(MOD(INDEX(기본자료!$G$2:$G$1001,$AB383),10000)/100)&gt;=1,INT(MOD(INDEX(기본자료!$G$2:$G$1001,$AB383),10000)/100)&lt;=12,MOD(INDEX(기본자료!$G$2:$G$1001,$AB383),100)&gt;=1,MOD(INDEX(기본자료!$G$2:$G$1001,$AB383),100)&lt;=31),DATE(INT(INDEX(기본자료!$G$2:$G$1001,$AB383)/10000),INT(MOD(INDEX(기본자료!$G$2:$G$1001,$AB383),10000)/100),MOD(INDEX(기본자료!$G$2:$G$1001,$AB383),100)),INDEX(기본자료!$G$2:$G$1001,$AB383)&amp;"")))))</f>
        <v/>
      </c>
      <c r="J383" s="10">
        <f>IF($AB383="","",IF(INDEX(기본자료!$H$2:$H$1001,$AB383)="","",INDEX(기본자료!$H$2:$H$1001,$AB383)))</f>
        <v/>
      </c>
      <c r="K383" s="10">
        <f>IF($AB383="","",IF(INDEX(기본자료!$I$2:$I$1001,$AB383)="","",INDEX(기본자료!$I$2:$I$1001,$AB383)))</f>
        <v/>
      </c>
      <c r="L383" s="10">
        <f>IF($AB383="","",IF(INDEX(기본자료!$A$2:$A$1001,$AB383)="","",INDEX(기본자료!$A$2:$A$1001,$AB383)))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파견수련계획!$AB$4:$AB$803,$AK383),OR(NOT(ISNUMBER(INDEX(파견수련계획!$AC$4:$AC$803,$AK383))),TODAY()&lt;=INDEX(파견수련계획!$AC$4:$AC$803,$AK383))),"다기관",IF($AF383="","",INDEX(파견수련계획!$T$4:$T$803,$AF383))),IF($AF383="","",INDEX(파견수련계획!$T$4:$T$803,$AF383))))</f>
        <v/>
      </c>
      <c r="Q383" s="10">
        <f>IF($AF383="","",INDEX(파견수련계획!$S$4:$S$803,$AF383))</f>
        <v/>
      </c>
      <c r="R383" s="10">
        <f>IF($AF383="","",INDEX(파견수련계획!$U$4:$U$803,$AF383))</f>
        <v/>
      </c>
      <c r="S383" s="11">
        <f>IF($AF383="","",IF(INDEX(파견수련계획!$H$4:$H$803,$AF383)="","",INDEX(파견수련계획!$H$4:$H$803,$AF383)))</f>
        <v/>
      </c>
      <c r="T383" s="11">
        <f>IF($AF383="","",IF(INDEX(파견수련계획!$I$4:$I$803,$AF383)="","",INDEX(파견수련계획!$I$4:$I$803,$AF383)))</f>
        <v/>
      </c>
      <c r="U383" s="10">
        <f>IF($AF383="","",INDEX(파견수련계획!$X$4:$X$803,$AF383))</f>
        <v/>
      </c>
      <c r="V383" s="17">
        <f>IF($AF383="","",INDEX(파견수련계획!$V$4:$V$803,$AF383))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IF(OR($B383="",TRIM($J383&amp;"")=""),"",SUMPRODUCT((파견수련계획!$Q$4:$Q$803=TRIM($J383&amp;""))*파견수련계획!$W$4:$W$803))</f>
        <v/>
      </c>
      <c r="Y383" s="10">
        <f>IF($B383="","",IF($AG383="","",IF(IF(TRIM($J383&amp;"")="",0,SUMPRODUCT((파견수련계획!$Q$4:$Q$803=TRIM($J383&amp;""))*파견수련계획!$AD$4:$AD$803))&gt;0,$AE383,IF(N($X383)&lt;=0,$AG383,IF($AH383+$AI383=DAY(EOMONTH(요약!$B$3,0)),IF(AND($AH383&gt;=요약!$E$3,$AI383&lt;요약!$E$3),"서울병원",IF(AND($AI383&gt;=요약!$E$3,$AH383&lt;요약!$E$3),"구리병원","⚠15일 판정불가(서울 "&amp;$AH383&amp;"일/구리 "&amp;$AI383&amp;"일)")),IF($AJ383="",$AE383,IF(INDEX(파견수련계획!$T$4:$T$803,$AJ383)="통합수련",INDEX(파견수련계획!$S$4:$S$803,$AJ383),$AE383)))))))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입력",IF(IF(TRIM($J383&amp;"")="",0,SUMPRODUCT((파견수련계획!$Q$4:$Q$803=TRIM($J383&amp;""))*(파견수련계획!$AA$4:$AA$803&lt;&gt;"")))&gt;0,"파견수련계획 입력오류 확인",IF(LEFT($Y383,1)="⚠","서울·구리 15일 판정 불가(양쪽 모두 이상/미만)",IF(IF($AC383="",0,N(INDEX(인턴근무계획!$T$3:$T$402,$AC383)))&gt;0,"인턴계획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IF($B383="","",IFERROR(MATCH($B383,기본자료!$B$2:$B$1001,0),IFERROR(MATCH($B383&amp;"",기본자료!$B$2:$B$1001,0),IFERROR(MATCH(VALUE($B383),기본자료!$B$2:$B$1001,0),""))))</f>
        <v/>
      </c>
      <c r="AC383" s="10">
        <f>IF($B383="","",IFERROR(MATCH($B383,인턴근무계획!$D$3:$D$402,0),IFERROR(MATCH($B383&amp;"",인턴근무계획!$D$3:$D$402,0),IFERROR(MATCH(VALUE($B383),인턴근무계획!$D$3:$D$402,0),""))))</f>
        <v/>
      </c>
      <c r="AD383" s="10">
        <f>IF(OR($AC383="",인턴현황!$G$3=""),"",INDEX(인턴근무계획!$M$3:$R$402,$AC383,인턴현황!$G$3)&amp;"")</f>
        <v/>
      </c>
      <c r="AE383" s="10">
        <f>IF($B383="","",IF($M383&lt;&gt;"",$M383,IF($AF383&lt;&gt;"",IF(LEFT(INDEX(파견수련계획!$R$4:$R$803,$AF383),1)&lt;&gt;"⚠",INDEX(파견수련계획!$R$4:$R$803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파견수련계획!$Y$4:$Y$803,0),IFERROR(MATCH(TRIM($J383&amp;"")&amp;"|파견예정",파견수련계획!$Y$4:$Y$803,0),IFERROR(MATCH(TRIM($J383&amp;"")&amp;"|파견종료",파견수련계획!$Y$4:$Y$803,0),""))))</f>
        <v/>
      </c>
      <c r="AG383" s="10">
        <f>IF($B383="","",IF(AND(IF(OR($AC383="",인턴현황!$K$2=""),"",INDEX(인턴근무계획!$M$3:$R$402,$AC383,인턴현황!$K$2)&amp;"")&lt;&gt;"",LEFT(IF(OR($AC383="",인턴현황!$K$2=""),"",INDEX(인턴근무계획!$M$3:$R$402,$AC383,인턴현황!$K$2)&amp;""),1)&lt;&gt;"⚠"),LEFT(IF(OR($AC383="",인턴현황!$K$2=""),"",INDEX(인턴근무계획!$M$3:$R$402,$AC383,인턴현황!$K$2)&amp;""),FIND(" ",IF(OR($AC383="",인턴현황!$K$2=""),"",INDEX(인턴근무계획!$M$3:$R$402,$AC383,인턴현황!$K$2)&amp;""))-1),$AE383))</f>
        <v/>
      </c>
      <c r="AH383" s="17">
        <f>IF($B383="","",IF(TRIM($J383&amp;"")="",0,SUMPRODUCT((파견수련계획!$Q$4:$Q$803=TRIM($J383&amp;""))*(파견수련계획!$S$4:$S$803="서울병원")*파견수련계획!$W$4:$W$803))+IF($AG383="서울병원",MAX(0,DAY(EOMONTH(요약!$B$3,0))-N($X383)),0))</f>
        <v/>
      </c>
      <c r="AI383" s="17">
        <f>IF($B383="","",IF(TRIM($J383&amp;"")="",0,SUMPRODUCT((파견수련계획!$Q$4:$Q$803=TRIM($J383&amp;""))*(파견수련계획!$S$4:$S$803="구리병원")*파견수련계획!$W$4:$W$803))+IF($AG383="구리병원",MAX(0,DAY(EOMONTH(요약!$B$3,0))-N($X383)),0))</f>
        <v/>
      </c>
      <c r="AJ383" s="10">
        <f>IF(OR($B383="",TRIM($J383&amp;"")=""),"",IFERROR(MATCH(TRIM($J383&amp;"")&amp;"|월",파견수련계획!$Z$4:$Z$803,0),""))</f>
        <v/>
      </c>
      <c r="AK383" s="10">
        <f>IF(OR($B383="",TRIM($J383&amp;"")=""),"",IFERROR(MATCH(TRIM($J383&amp;"")&amp;"|다기관",파견수련계획!$AE$4:$AE$803,0),""))</f>
        <v/>
      </c>
      <c r="AL383" s="10">
        <f>IF($AK383="","","다기관 "&amp;TEXT(INDEX(파견수련계획!$AB$4:$AB$803,$AK383),"yyyy-mm-dd")&amp;"~"&amp;IF(ISNUMBER(INDEX(파견수련계획!$AC$4:$AC$803,$AK383)),TEXT(INDEX(파견수련계획!$AC$4:$AC$803,$AK383),"yyyy-mm-dd"),""))</f>
        <v/>
      </c>
    </row>
    <row r="384">
      <c r="A384" s="10">
        <f>IF(B384="","",ROW()-1)</f>
        <v/>
      </c>
      <c r="B384" s="18" t="n"/>
      <c r="C384" s="10">
        <f>IF($AB384="","",IF(INDEX(기본자료!$C$2:$C$1001,$AB384)="","",INDEX(기본자료!$C$2:$C$1001,$AB384)))</f>
        <v/>
      </c>
      <c r="D384" s="10">
        <f>IF($AB384="","",IF(INDEX(기본자료!$J$2:$J$1001,$AB384)="","",INDEX(기본자료!$J$2:$J$1001,$AB384)))</f>
        <v/>
      </c>
      <c r="E384" s="11">
        <f>IF($AB384="","",IF(INDEX(기본자료!$K$2:$K$1001,$AB384)="","",IF(NOT(ISNUMBER(INDEX(기본자료!$K$2:$K$1001,$AB384))),INDEX(기본자료!$K$2:$K$1001,$AB384),IF(INDEX(기본자료!$K$2:$K$1001,$AB384)&lt;1000000,INDEX(기본자료!$K$2:$K$1001,$AB384),IF(AND(INDEX(기본자료!$K$2:$K$1001,$AB384)&gt;=10000101,INT(MOD(INDEX(기본자료!$K$2:$K$1001,$AB384),10000)/100)&gt;=1,INT(MOD(INDEX(기본자료!$K$2:$K$1001,$AB384),10000)/100)&lt;=12,MOD(INDEX(기본자료!$K$2:$K$1001,$AB384),100)&gt;=1,MOD(INDEX(기본자료!$K$2:$K$1001,$AB384),100)&lt;=31),DATE(INT(INDEX(기본자료!$K$2:$K$1001,$AB384)/10000),INT(MOD(INDEX(기본자료!$K$2:$K$1001,$AB384),10000)/100),MOD(INDEX(기본자료!$K$2:$K$1001,$AB384),100)),INDEX(기본자료!$K$2:$K$1001,$AB384)&amp;"")))))</f>
        <v/>
      </c>
      <c r="F384" s="10">
        <f>IF($AB384="","",IF(INDEX(기본자료!$D$2:$D$1001,$AB384)="","",INDEX(기본자료!$D$2:$D$1001,$AB384)))</f>
        <v/>
      </c>
      <c r="G384" s="10">
        <f>IF($AB384="","",IF(INDEX(기본자료!$E$2:$E$1001,$AB384)="","",INDEX(기본자료!$E$2:$E$1001,$AB384)))</f>
        <v/>
      </c>
      <c r="H384" s="10">
        <f>IF($AB384="","",IF(INDEX(기본자료!$F$2:$F$1001,$AB384)="","",INDEX(기본자료!$F$2:$F$1001,$AB384)))</f>
        <v/>
      </c>
      <c r="I384" s="11">
        <f>IF($AB384="","",IF(INDEX(기본자료!$G$2:$G$1001,$AB384)="","",IF(NOT(ISNUMBER(INDEX(기본자료!$G$2:$G$1001,$AB384))),INDEX(기본자료!$G$2:$G$1001,$AB384),IF(INDEX(기본자료!$G$2:$G$1001,$AB384)&lt;1000000,INDEX(기본자료!$G$2:$G$1001,$AB384),IF(AND(INDEX(기본자료!$G$2:$G$1001,$AB384)&gt;=10000101,INT(MOD(INDEX(기본자료!$G$2:$G$1001,$AB384),10000)/100)&gt;=1,INT(MOD(INDEX(기본자료!$G$2:$G$1001,$AB384),10000)/100)&lt;=12,MOD(INDEX(기본자료!$G$2:$G$1001,$AB384),100)&gt;=1,MOD(INDEX(기본자료!$G$2:$G$1001,$AB384),100)&lt;=31),DATE(INT(INDEX(기본자료!$G$2:$G$1001,$AB384)/10000),INT(MOD(INDEX(기본자료!$G$2:$G$1001,$AB384),10000)/100),MOD(INDEX(기본자료!$G$2:$G$1001,$AB384),100)),INDEX(기본자료!$G$2:$G$1001,$AB384)&amp;"")))))</f>
        <v/>
      </c>
      <c r="J384" s="10">
        <f>IF($AB384="","",IF(INDEX(기본자료!$H$2:$H$1001,$AB384)="","",INDEX(기본자료!$H$2:$H$1001,$AB384)))</f>
        <v/>
      </c>
      <c r="K384" s="10">
        <f>IF($AB384="","",IF(INDEX(기본자료!$I$2:$I$1001,$AB384)="","",INDEX(기본자료!$I$2:$I$1001,$AB384)))</f>
        <v/>
      </c>
      <c r="L384" s="10">
        <f>IF($AB384="","",IF(INDEX(기본자료!$A$2:$A$1001,$AB384)="","",INDEX(기본자료!$A$2:$A$1001,$AB384)))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파견수련계획!$AB$4:$AB$803,$AK384),OR(NOT(ISNUMBER(INDEX(파견수련계획!$AC$4:$AC$803,$AK384))),TODAY()&lt;=INDEX(파견수련계획!$AC$4:$AC$803,$AK384))),"다기관",IF($AF384="","",INDEX(파견수련계획!$T$4:$T$803,$AF384))),IF($AF384="","",INDEX(파견수련계획!$T$4:$T$803,$AF384))))</f>
        <v/>
      </c>
      <c r="Q384" s="10">
        <f>IF($AF384="","",INDEX(파견수련계획!$S$4:$S$803,$AF384))</f>
        <v/>
      </c>
      <c r="R384" s="10">
        <f>IF($AF384="","",INDEX(파견수련계획!$U$4:$U$803,$AF384))</f>
        <v/>
      </c>
      <c r="S384" s="11">
        <f>IF($AF384="","",IF(INDEX(파견수련계획!$H$4:$H$803,$AF384)="","",INDEX(파견수련계획!$H$4:$H$803,$AF384)))</f>
        <v/>
      </c>
      <c r="T384" s="11">
        <f>IF($AF384="","",IF(INDEX(파견수련계획!$I$4:$I$803,$AF384)="","",INDEX(파견수련계획!$I$4:$I$803,$AF384)))</f>
        <v/>
      </c>
      <c r="U384" s="10">
        <f>IF($AF384="","",INDEX(파견수련계획!$X$4:$X$803,$AF384))</f>
        <v/>
      </c>
      <c r="V384" s="17">
        <f>IF($AF384="","",INDEX(파견수련계획!$V$4:$V$803,$AF384))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IF(OR($B384="",TRIM($J384&amp;"")=""),"",SUMPRODUCT((파견수련계획!$Q$4:$Q$803=TRIM($J384&amp;""))*파견수련계획!$W$4:$W$803))</f>
        <v/>
      </c>
      <c r="Y384" s="10">
        <f>IF($B384="","",IF($AG384="","",IF(IF(TRIM($J384&amp;"")="",0,SUMPRODUCT((파견수련계획!$Q$4:$Q$803=TRIM($J384&amp;""))*파견수련계획!$AD$4:$AD$803))&gt;0,$AE384,IF(N($X384)&lt;=0,$AG384,IF($AH384+$AI384=DAY(EOMONTH(요약!$B$3,0)),IF(AND($AH384&gt;=요약!$E$3,$AI384&lt;요약!$E$3),"서울병원",IF(AND($AI384&gt;=요약!$E$3,$AH384&lt;요약!$E$3),"구리병원","⚠15일 판정불가(서울 "&amp;$AH384&amp;"일/구리 "&amp;$AI384&amp;"일)")),IF($AJ384="",$AE384,IF(INDEX(파견수련계획!$T$4:$T$803,$AJ384)="통합수련",INDEX(파견수련계획!$S$4:$S$803,$AJ384),$AE384)))))))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입력",IF(IF(TRIM($J384&amp;"")="",0,SUMPRODUCT((파견수련계획!$Q$4:$Q$803=TRIM($J384&amp;""))*(파견수련계획!$AA$4:$AA$803&lt;&gt;"")))&gt;0,"파견수련계획 입력오류 확인",IF(LEFT($Y384,1)="⚠","서울·구리 15일 판정 불가(양쪽 모두 이상/미만)",IF(IF($AC384="",0,N(INDEX(인턴근무계획!$T$3:$T$402,$AC384)))&gt;0,"인턴계획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IF($B384="","",IFERROR(MATCH($B384,기본자료!$B$2:$B$1001,0),IFERROR(MATCH($B384&amp;"",기본자료!$B$2:$B$1001,0),IFERROR(MATCH(VALUE($B384),기본자료!$B$2:$B$1001,0),""))))</f>
        <v/>
      </c>
      <c r="AC384" s="10">
        <f>IF($B384="","",IFERROR(MATCH($B384,인턴근무계획!$D$3:$D$402,0),IFERROR(MATCH($B384&amp;"",인턴근무계획!$D$3:$D$402,0),IFERROR(MATCH(VALUE($B384),인턴근무계획!$D$3:$D$402,0),""))))</f>
        <v/>
      </c>
      <c r="AD384" s="10">
        <f>IF(OR($AC384="",인턴현황!$G$3=""),"",INDEX(인턴근무계획!$M$3:$R$402,$AC384,인턴현황!$G$3)&amp;"")</f>
        <v/>
      </c>
      <c r="AE384" s="10">
        <f>IF($B384="","",IF($M384&lt;&gt;"",$M384,IF($AF384&lt;&gt;"",IF(LEFT(INDEX(파견수련계획!$R$4:$R$803,$AF384),1)&lt;&gt;"⚠",INDEX(파견수련계획!$R$4:$R$803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파견수련계획!$Y$4:$Y$803,0),IFERROR(MATCH(TRIM($J384&amp;"")&amp;"|파견예정",파견수련계획!$Y$4:$Y$803,0),IFERROR(MATCH(TRIM($J384&amp;"")&amp;"|파견종료",파견수련계획!$Y$4:$Y$803,0),""))))</f>
        <v/>
      </c>
      <c r="AG384" s="10">
        <f>IF($B384="","",IF(AND(IF(OR($AC384="",인턴현황!$K$2=""),"",INDEX(인턴근무계획!$M$3:$R$402,$AC384,인턴현황!$K$2)&amp;"")&lt;&gt;"",LEFT(IF(OR($AC384="",인턴현황!$K$2=""),"",INDEX(인턴근무계획!$M$3:$R$402,$AC384,인턴현황!$K$2)&amp;""),1)&lt;&gt;"⚠"),LEFT(IF(OR($AC384="",인턴현황!$K$2=""),"",INDEX(인턴근무계획!$M$3:$R$402,$AC384,인턴현황!$K$2)&amp;""),FIND(" ",IF(OR($AC384="",인턴현황!$K$2=""),"",INDEX(인턴근무계획!$M$3:$R$402,$AC384,인턴현황!$K$2)&amp;""))-1),$AE384))</f>
        <v/>
      </c>
      <c r="AH384" s="17">
        <f>IF($B384="","",IF(TRIM($J384&amp;"")="",0,SUMPRODUCT((파견수련계획!$Q$4:$Q$803=TRIM($J384&amp;""))*(파견수련계획!$S$4:$S$803="서울병원")*파견수련계획!$W$4:$W$803))+IF($AG384="서울병원",MAX(0,DAY(EOMONTH(요약!$B$3,0))-N($X384)),0))</f>
        <v/>
      </c>
      <c r="AI384" s="17">
        <f>IF($B384="","",IF(TRIM($J384&amp;"")="",0,SUMPRODUCT((파견수련계획!$Q$4:$Q$803=TRIM($J384&amp;""))*(파견수련계획!$S$4:$S$803="구리병원")*파견수련계획!$W$4:$W$803))+IF($AG384="구리병원",MAX(0,DAY(EOMONTH(요약!$B$3,0))-N($X384)),0))</f>
        <v/>
      </c>
      <c r="AJ384" s="10">
        <f>IF(OR($B384="",TRIM($J384&amp;"")=""),"",IFERROR(MATCH(TRIM($J384&amp;"")&amp;"|월",파견수련계획!$Z$4:$Z$803,0),""))</f>
        <v/>
      </c>
      <c r="AK384" s="10">
        <f>IF(OR($B384="",TRIM($J384&amp;"")=""),"",IFERROR(MATCH(TRIM($J384&amp;"")&amp;"|다기관",파견수련계획!$AE$4:$AE$803,0),""))</f>
        <v/>
      </c>
      <c r="AL384" s="10">
        <f>IF($AK384="","","다기관 "&amp;TEXT(INDEX(파견수련계획!$AB$4:$AB$803,$AK384),"yyyy-mm-dd")&amp;"~"&amp;IF(ISNUMBER(INDEX(파견수련계획!$AC$4:$AC$803,$AK384)),TEXT(INDEX(파견수련계획!$AC$4:$AC$803,$AK384),"yyyy-mm-dd"),""))</f>
        <v/>
      </c>
    </row>
    <row r="385">
      <c r="A385" s="10">
        <f>IF(B385="","",ROW()-1)</f>
        <v/>
      </c>
      <c r="B385" s="18" t="n"/>
      <c r="C385" s="10">
        <f>IF($AB385="","",IF(INDEX(기본자료!$C$2:$C$1001,$AB385)="","",INDEX(기본자료!$C$2:$C$1001,$AB385)))</f>
        <v/>
      </c>
      <c r="D385" s="10">
        <f>IF($AB385="","",IF(INDEX(기본자료!$J$2:$J$1001,$AB385)="","",INDEX(기본자료!$J$2:$J$1001,$AB385)))</f>
        <v/>
      </c>
      <c r="E385" s="11">
        <f>IF($AB385="","",IF(INDEX(기본자료!$K$2:$K$1001,$AB385)="","",IF(NOT(ISNUMBER(INDEX(기본자료!$K$2:$K$1001,$AB385))),INDEX(기본자료!$K$2:$K$1001,$AB385),IF(INDEX(기본자료!$K$2:$K$1001,$AB385)&lt;1000000,INDEX(기본자료!$K$2:$K$1001,$AB385),IF(AND(INDEX(기본자료!$K$2:$K$1001,$AB385)&gt;=10000101,INT(MOD(INDEX(기본자료!$K$2:$K$1001,$AB385),10000)/100)&gt;=1,INT(MOD(INDEX(기본자료!$K$2:$K$1001,$AB385),10000)/100)&lt;=12,MOD(INDEX(기본자료!$K$2:$K$1001,$AB385),100)&gt;=1,MOD(INDEX(기본자료!$K$2:$K$1001,$AB385),100)&lt;=31),DATE(INT(INDEX(기본자료!$K$2:$K$1001,$AB385)/10000),INT(MOD(INDEX(기본자료!$K$2:$K$1001,$AB385),10000)/100),MOD(INDEX(기본자료!$K$2:$K$1001,$AB385),100)),INDEX(기본자료!$K$2:$K$1001,$AB385)&amp;"")))))</f>
        <v/>
      </c>
      <c r="F385" s="10">
        <f>IF($AB385="","",IF(INDEX(기본자료!$D$2:$D$1001,$AB385)="","",INDEX(기본자료!$D$2:$D$1001,$AB385)))</f>
        <v/>
      </c>
      <c r="G385" s="10">
        <f>IF($AB385="","",IF(INDEX(기본자료!$E$2:$E$1001,$AB385)="","",INDEX(기본자료!$E$2:$E$1001,$AB385)))</f>
        <v/>
      </c>
      <c r="H385" s="10">
        <f>IF($AB385="","",IF(INDEX(기본자료!$F$2:$F$1001,$AB385)="","",INDEX(기본자료!$F$2:$F$1001,$AB385)))</f>
        <v/>
      </c>
      <c r="I385" s="11">
        <f>IF($AB385="","",IF(INDEX(기본자료!$G$2:$G$1001,$AB385)="","",IF(NOT(ISNUMBER(INDEX(기본자료!$G$2:$G$1001,$AB385))),INDEX(기본자료!$G$2:$G$1001,$AB385),IF(INDEX(기본자료!$G$2:$G$1001,$AB385)&lt;1000000,INDEX(기본자료!$G$2:$G$1001,$AB385),IF(AND(INDEX(기본자료!$G$2:$G$1001,$AB385)&gt;=10000101,INT(MOD(INDEX(기본자료!$G$2:$G$1001,$AB385),10000)/100)&gt;=1,INT(MOD(INDEX(기본자료!$G$2:$G$1001,$AB385),10000)/100)&lt;=12,MOD(INDEX(기본자료!$G$2:$G$1001,$AB385),100)&gt;=1,MOD(INDEX(기본자료!$G$2:$G$1001,$AB385),100)&lt;=31),DATE(INT(INDEX(기본자료!$G$2:$G$1001,$AB385)/10000),INT(MOD(INDEX(기본자료!$G$2:$G$1001,$AB385),10000)/100),MOD(INDEX(기본자료!$G$2:$G$1001,$AB385),100)),INDEX(기본자료!$G$2:$G$1001,$AB385)&amp;"")))))</f>
        <v/>
      </c>
      <c r="J385" s="10">
        <f>IF($AB385="","",IF(INDEX(기본자료!$H$2:$H$1001,$AB385)="","",INDEX(기본자료!$H$2:$H$1001,$AB385)))</f>
        <v/>
      </c>
      <c r="K385" s="10">
        <f>IF($AB385="","",IF(INDEX(기본자료!$I$2:$I$1001,$AB385)="","",INDEX(기본자료!$I$2:$I$1001,$AB385)))</f>
        <v/>
      </c>
      <c r="L385" s="10">
        <f>IF($AB385="","",IF(INDEX(기본자료!$A$2:$A$1001,$AB385)="","",INDEX(기본자료!$A$2:$A$1001,$AB385)))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파견수련계획!$AB$4:$AB$803,$AK385),OR(NOT(ISNUMBER(INDEX(파견수련계획!$AC$4:$AC$803,$AK385))),TODAY()&lt;=INDEX(파견수련계획!$AC$4:$AC$803,$AK385))),"다기관",IF($AF385="","",INDEX(파견수련계획!$T$4:$T$803,$AF385))),IF($AF385="","",INDEX(파견수련계획!$T$4:$T$803,$AF385))))</f>
        <v/>
      </c>
      <c r="Q385" s="10">
        <f>IF($AF385="","",INDEX(파견수련계획!$S$4:$S$803,$AF385))</f>
        <v/>
      </c>
      <c r="R385" s="10">
        <f>IF($AF385="","",INDEX(파견수련계획!$U$4:$U$803,$AF385))</f>
        <v/>
      </c>
      <c r="S385" s="11">
        <f>IF($AF385="","",IF(INDEX(파견수련계획!$H$4:$H$803,$AF385)="","",INDEX(파견수련계획!$H$4:$H$803,$AF385)))</f>
        <v/>
      </c>
      <c r="T385" s="11">
        <f>IF($AF385="","",IF(INDEX(파견수련계획!$I$4:$I$803,$AF385)="","",INDEX(파견수련계획!$I$4:$I$803,$AF385)))</f>
        <v/>
      </c>
      <c r="U385" s="10">
        <f>IF($AF385="","",INDEX(파견수련계획!$X$4:$X$803,$AF385))</f>
        <v/>
      </c>
      <c r="V385" s="17">
        <f>IF($AF385="","",INDEX(파견수련계획!$V$4:$V$803,$AF385))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IF(OR($B385="",TRIM($J385&amp;"")=""),"",SUMPRODUCT((파견수련계획!$Q$4:$Q$803=TRIM($J385&amp;""))*파견수련계획!$W$4:$W$803))</f>
        <v/>
      </c>
      <c r="Y385" s="10">
        <f>IF($B385="","",IF($AG385="","",IF(IF(TRIM($J385&amp;"")="",0,SUMPRODUCT((파견수련계획!$Q$4:$Q$803=TRIM($J385&amp;""))*파견수련계획!$AD$4:$AD$803))&gt;0,$AE385,IF(N($X385)&lt;=0,$AG385,IF($AH385+$AI385=DAY(EOMONTH(요약!$B$3,0)),IF(AND($AH385&gt;=요약!$E$3,$AI385&lt;요약!$E$3),"서울병원",IF(AND($AI385&gt;=요약!$E$3,$AH385&lt;요약!$E$3),"구리병원","⚠15일 판정불가(서울 "&amp;$AH385&amp;"일/구리 "&amp;$AI385&amp;"일)")),IF($AJ385="",$AE385,IF(INDEX(파견수련계획!$T$4:$T$803,$AJ385)="통합수련",INDEX(파견수련계획!$S$4:$S$803,$AJ385),$AE385)))))))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입력",IF(IF(TRIM($J385&amp;"")="",0,SUMPRODUCT((파견수련계획!$Q$4:$Q$803=TRIM($J385&amp;""))*(파견수련계획!$AA$4:$AA$803&lt;&gt;"")))&gt;0,"파견수련계획 입력오류 확인",IF(LEFT($Y385,1)="⚠","서울·구리 15일 판정 불가(양쪽 모두 이상/미만)",IF(IF($AC385="",0,N(INDEX(인턴근무계획!$T$3:$T$402,$AC385)))&gt;0,"인턴계획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IF($B385="","",IFERROR(MATCH($B385,기본자료!$B$2:$B$1001,0),IFERROR(MATCH($B385&amp;"",기본자료!$B$2:$B$1001,0),IFERROR(MATCH(VALUE($B385),기본자료!$B$2:$B$1001,0),""))))</f>
        <v/>
      </c>
      <c r="AC385" s="10">
        <f>IF($B385="","",IFERROR(MATCH($B385,인턴근무계획!$D$3:$D$402,0),IFERROR(MATCH($B385&amp;"",인턴근무계획!$D$3:$D$402,0),IFERROR(MATCH(VALUE($B385),인턴근무계획!$D$3:$D$402,0),""))))</f>
        <v/>
      </c>
      <c r="AD385" s="10">
        <f>IF(OR($AC385="",인턴현황!$G$3=""),"",INDEX(인턴근무계획!$M$3:$R$402,$AC385,인턴현황!$G$3)&amp;"")</f>
        <v/>
      </c>
      <c r="AE385" s="10">
        <f>IF($B385="","",IF($M385&lt;&gt;"",$M385,IF($AF385&lt;&gt;"",IF(LEFT(INDEX(파견수련계획!$R$4:$R$803,$AF385),1)&lt;&gt;"⚠",INDEX(파견수련계획!$R$4:$R$803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파견수련계획!$Y$4:$Y$803,0),IFERROR(MATCH(TRIM($J385&amp;"")&amp;"|파견예정",파견수련계획!$Y$4:$Y$803,0),IFERROR(MATCH(TRIM($J385&amp;"")&amp;"|파견종료",파견수련계획!$Y$4:$Y$803,0),""))))</f>
        <v/>
      </c>
      <c r="AG385" s="10">
        <f>IF($B385="","",IF(AND(IF(OR($AC385="",인턴현황!$K$2=""),"",INDEX(인턴근무계획!$M$3:$R$402,$AC385,인턴현황!$K$2)&amp;"")&lt;&gt;"",LEFT(IF(OR($AC385="",인턴현황!$K$2=""),"",INDEX(인턴근무계획!$M$3:$R$402,$AC385,인턴현황!$K$2)&amp;""),1)&lt;&gt;"⚠"),LEFT(IF(OR($AC385="",인턴현황!$K$2=""),"",INDEX(인턴근무계획!$M$3:$R$402,$AC385,인턴현황!$K$2)&amp;""),FIND(" ",IF(OR($AC385="",인턴현황!$K$2=""),"",INDEX(인턴근무계획!$M$3:$R$402,$AC385,인턴현황!$K$2)&amp;""))-1),$AE385))</f>
        <v/>
      </c>
      <c r="AH385" s="17">
        <f>IF($B385="","",IF(TRIM($J385&amp;"")="",0,SUMPRODUCT((파견수련계획!$Q$4:$Q$803=TRIM($J385&amp;""))*(파견수련계획!$S$4:$S$803="서울병원")*파견수련계획!$W$4:$W$803))+IF($AG385="서울병원",MAX(0,DAY(EOMONTH(요약!$B$3,0))-N($X385)),0))</f>
        <v/>
      </c>
      <c r="AI385" s="17">
        <f>IF($B385="","",IF(TRIM($J385&amp;"")="",0,SUMPRODUCT((파견수련계획!$Q$4:$Q$803=TRIM($J385&amp;""))*(파견수련계획!$S$4:$S$803="구리병원")*파견수련계획!$W$4:$W$803))+IF($AG385="구리병원",MAX(0,DAY(EOMONTH(요약!$B$3,0))-N($X385)),0))</f>
        <v/>
      </c>
      <c r="AJ385" s="10">
        <f>IF(OR($B385="",TRIM($J385&amp;"")=""),"",IFERROR(MATCH(TRIM($J385&amp;"")&amp;"|월",파견수련계획!$Z$4:$Z$803,0),""))</f>
        <v/>
      </c>
      <c r="AK385" s="10">
        <f>IF(OR($B385="",TRIM($J385&amp;"")=""),"",IFERROR(MATCH(TRIM($J385&amp;"")&amp;"|다기관",파견수련계획!$AE$4:$AE$803,0),""))</f>
        <v/>
      </c>
      <c r="AL385" s="10">
        <f>IF($AK385="","","다기관 "&amp;TEXT(INDEX(파견수련계획!$AB$4:$AB$803,$AK385),"yyyy-mm-dd")&amp;"~"&amp;IF(ISNUMBER(INDEX(파견수련계획!$AC$4:$AC$803,$AK385)),TEXT(INDEX(파견수련계획!$AC$4:$AC$803,$AK385),"yyyy-mm-dd"),""))</f>
        <v/>
      </c>
    </row>
    <row r="386">
      <c r="A386" s="10">
        <f>IF(B386="","",ROW()-1)</f>
        <v/>
      </c>
      <c r="B386" s="18" t="n"/>
      <c r="C386" s="10">
        <f>IF($AB386="","",IF(INDEX(기본자료!$C$2:$C$1001,$AB386)="","",INDEX(기본자료!$C$2:$C$1001,$AB386)))</f>
        <v/>
      </c>
      <c r="D386" s="10">
        <f>IF($AB386="","",IF(INDEX(기본자료!$J$2:$J$1001,$AB386)="","",INDEX(기본자료!$J$2:$J$1001,$AB386)))</f>
        <v/>
      </c>
      <c r="E386" s="11">
        <f>IF($AB386="","",IF(INDEX(기본자료!$K$2:$K$1001,$AB386)="","",IF(NOT(ISNUMBER(INDEX(기본자료!$K$2:$K$1001,$AB386))),INDEX(기본자료!$K$2:$K$1001,$AB386),IF(INDEX(기본자료!$K$2:$K$1001,$AB386)&lt;1000000,INDEX(기본자료!$K$2:$K$1001,$AB386),IF(AND(INDEX(기본자료!$K$2:$K$1001,$AB386)&gt;=10000101,INT(MOD(INDEX(기본자료!$K$2:$K$1001,$AB386),10000)/100)&gt;=1,INT(MOD(INDEX(기본자료!$K$2:$K$1001,$AB386),10000)/100)&lt;=12,MOD(INDEX(기본자료!$K$2:$K$1001,$AB386),100)&gt;=1,MOD(INDEX(기본자료!$K$2:$K$1001,$AB386),100)&lt;=31),DATE(INT(INDEX(기본자료!$K$2:$K$1001,$AB386)/10000),INT(MOD(INDEX(기본자료!$K$2:$K$1001,$AB386),10000)/100),MOD(INDEX(기본자료!$K$2:$K$1001,$AB386),100)),INDEX(기본자료!$K$2:$K$1001,$AB386)&amp;"")))))</f>
        <v/>
      </c>
      <c r="F386" s="10">
        <f>IF($AB386="","",IF(INDEX(기본자료!$D$2:$D$1001,$AB386)="","",INDEX(기본자료!$D$2:$D$1001,$AB386)))</f>
        <v/>
      </c>
      <c r="G386" s="10">
        <f>IF($AB386="","",IF(INDEX(기본자료!$E$2:$E$1001,$AB386)="","",INDEX(기본자료!$E$2:$E$1001,$AB386)))</f>
        <v/>
      </c>
      <c r="H386" s="10">
        <f>IF($AB386="","",IF(INDEX(기본자료!$F$2:$F$1001,$AB386)="","",INDEX(기본자료!$F$2:$F$1001,$AB386)))</f>
        <v/>
      </c>
      <c r="I386" s="11">
        <f>IF($AB386="","",IF(INDEX(기본자료!$G$2:$G$1001,$AB386)="","",IF(NOT(ISNUMBER(INDEX(기본자료!$G$2:$G$1001,$AB386))),INDEX(기본자료!$G$2:$G$1001,$AB386),IF(INDEX(기본자료!$G$2:$G$1001,$AB386)&lt;1000000,INDEX(기본자료!$G$2:$G$1001,$AB386),IF(AND(INDEX(기본자료!$G$2:$G$1001,$AB386)&gt;=10000101,INT(MOD(INDEX(기본자료!$G$2:$G$1001,$AB386),10000)/100)&gt;=1,INT(MOD(INDEX(기본자료!$G$2:$G$1001,$AB386),10000)/100)&lt;=12,MOD(INDEX(기본자료!$G$2:$G$1001,$AB386),100)&gt;=1,MOD(INDEX(기본자료!$G$2:$G$1001,$AB386),100)&lt;=31),DATE(INT(INDEX(기본자료!$G$2:$G$1001,$AB386)/10000),INT(MOD(INDEX(기본자료!$G$2:$G$1001,$AB386),10000)/100),MOD(INDEX(기본자료!$G$2:$G$1001,$AB386),100)),INDEX(기본자료!$G$2:$G$1001,$AB386)&amp;"")))))</f>
        <v/>
      </c>
      <c r="J386" s="10">
        <f>IF($AB386="","",IF(INDEX(기본자료!$H$2:$H$1001,$AB386)="","",INDEX(기본자료!$H$2:$H$1001,$AB386)))</f>
        <v/>
      </c>
      <c r="K386" s="10">
        <f>IF($AB386="","",IF(INDEX(기본자료!$I$2:$I$1001,$AB386)="","",INDEX(기본자료!$I$2:$I$1001,$AB386)))</f>
        <v/>
      </c>
      <c r="L386" s="10">
        <f>IF($AB386="","",IF(INDEX(기본자료!$A$2:$A$1001,$AB386)="","",INDEX(기본자료!$A$2:$A$1001,$AB386)))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파견수련계획!$AB$4:$AB$803,$AK386),OR(NOT(ISNUMBER(INDEX(파견수련계획!$AC$4:$AC$803,$AK386))),TODAY()&lt;=INDEX(파견수련계획!$AC$4:$AC$803,$AK386))),"다기관",IF($AF386="","",INDEX(파견수련계획!$T$4:$T$803,$AF386))),IF($AF386="","",INDEX(파견수련계획!$T$4:$T$803,$AF386))))</f>
        <v/>
      </c>
      <c r="Q386" s="10">
        <f>IF($AF386="","",INDEX(파견수련계획!$S$4:$S$803,$AF386))</f>
        <v/>
      </c>
      <c r="R386" s="10">
        <f>IF($AF386="","",INDEX(파견수련계획!$U$4:$U$803,$AF386))</f>
        <v/>
      </c>
      <c r="S386" s="11">
        <f>IF($AF386="","",IF(INDEX(파견수련계획!$H$4:$H$803,$AF386)="","",INDEX(파견수련계획!$H$4:$H$803,$AF386)))</f>
        <v/>
      </c>
      <c r="T386" s="11">
        <f>IF($AF386="","",IF(INDEX(파견수련계획!$I$4:$I$803,$AF386)="","",INDEX(파견수련계획!$I$4:$I$803,$AF386)))</f>
        <v/>
      </c>
      <c r="U386" s="10">
        <f>IF($AF386="","",INDEX(파견수련계획!$X$4:$X$803,$AF386))</f>
        <v/>
      </c>
      <c r="V386" s="17">
        <f>IF($AF386="","",INDEX(파견수련계획!$V$4:$V$803,$AF386))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IF(OR($B386="",TRIM($J386&amp;"")=""),"",SUMPRODUCT((파견수련계획!$Q$4:$Q$803=TRIM($J386&amp;""))*파견수련계획!$W$4:$W$803))</f>
        <v/>
      </c>
      <c r="Y386" s="10">
        <f>IF($B386="","",IF($AG386="","",IF(IF(TRIM($J386&amp;"")="",0,SUMPRODUCT((파견수련계획!$Q$4:$Q$803=TRIM($J386&amp;""))*파견수련계획!$AD$4:$AD$803))&gt;0,$AE386,IF(N($X386)&lt;=0,$AG386,IF($AH386+$AI386=DAY(EOMONTH(요약!$B$3,0)),IF(AND($AH386&gt;=요약!$E$3,$AI386&lt;요약!$E$3),"서울병원",IF(AND($AI386&gt;=요약!$E$3,$AH386&lt;요약!$E$3),"구리병원","⚠15일 판정불가(서울 "&amp;$AH386&amp;"일/구리 "&amp;$AI386&amp;"일)")),IF($AJ386="",$AE386,IF(INDEX(파견수련계획!$T$4:$T$803,$AJ386)="통합수련",INDEX(파견수련계획!$S$4:$S$803,$AJ386),$AE386)))))))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입력",IF(IF(TRIM($J386&amp;"")="",0,SUMPRODUCT((파견수련계획!$Q$4:$Q$803=TRIM($J386&amp;""))*(파견수련계획!$AA$4:$AA$803&lt;&gt;"")))&gt;0,"파견수련계획 입력오류 확인",IF(LEFT($Y386,1)="⚠","서울·구리 15일 판정 불가(양쪽 모두 이상/미만)",IF(IF($AC386="",0,N(INDEX(인턴근무계획!$T$3:$T$402,$AC386)))&gt;0,"인턴계획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IF($B386="","",IFERROR(MATCH($B386,기본자료!$B$2:$B$1001,0),IFERROR(MATCH($B386&amp;"",기본자료!$B$2:$B$1001,0),IFERROR(MATCH(VALUE($B386),기본자료!$B$2:$B$1001,0),""))))</f>
        <v/>
      </c>
      <c r="AC386" s="10">
        <f>IF($B386="","",IFERROR(MATCH($B386,인턴근무계획!$D$3:$D$402,0),IFERROR(MATCH($B386&amp;"",인턴근무계획!$D$3:$D$402,0),IFERROR(MATCH(VALUE($B386),인턴근무계획!$D$3:$D$402,0),""))))</f>
        <v/>
      </c>
      <c r="AD386" s="10">
        <f>IF(OR($AC386="",인턴현황!$G$3=""),"",INDEX(인턴근무계획!$M$3:$R$402,$AC386,인턴현황!$G$3)&amp;"")</f>
        <v/>
      </c>
      <c r="AE386" s="10">
        <f>IF($B386="","",IF($M386&lt;&gt;"",$M386,IF($AF386&lt;&gt;"",IF(LEFT(INDEX(파견수련계획!$R$4:$R$803,$AF386),1)&lt;&gt;"⚠",INDEX(파견수련계획!$R$4:$R$803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파견수련계획!$Y$4:$Y$803,0),IFERROR(MATCH(TRIM($J386&amp;"")&amp;"|파견예정",파견수련계획!$Y$4:$Y$803,0),IFERROR(MATCH(TRIM($J386&amp;"")&amp;"|파견종료",파견수련계획!$Y$4:$Y$803,0),""))))</f>
        <v/>
      </c>
      <c r="AG386" s="10">
        <f>IF($B386="","",IF(AND(IF(OR($AC386="",인턴현황!$K$2=""),"",INDEX(인턴근무계획!$M$3:$R$402,$AC386,인턴현황!$K$2)&amp;"")&lt;&gt;"",LEFT(IF(OR($AC386="",인턴현황!$K$2=""),"",INDEX(인턴근무계획!$M$3:$R$402,$AC386,인턴현황!$K$2)&amp;""),1)&lt;&gt;"⚠"),LEFT(IF(OR($AC386="",인턴현황!$K$2=""),"",INDEX(인턴근무계획!$M$3:$R$402,$AC386,인턴현황!$K$2)&amp;""),FIND(" ",IF(OR($AC386="",인턴현황!$K$2=""),"",INDEX(인턴근무계획!$M$3:$R$402,$AC386,인턴현황!$K$2)&amp;""))-1),$AE386))</f>
        <v/>
      </c>
      <c r="AH386" s="17">
        <f>IF($B386="","",IF(TRIM($J386&amp;"")="",0,SUMPRODUCT((파견수련계획!$Q$4:$Q$803=TRIM($J386&amp;""))*(파견수련계획!$S$4:$S$803="서울병원")*파견수련계획!$W$4:$W$803))+IF($AG386="서울병원",MAX(0,DAY(EOMONTH(요약!$B$3,0))-N($X386)),0))</f>
        <v/>
      </c>
      <c r="AI386" s="17">
        <f>IF($B386="","",IF(TRIM($J386&amp;"")="",0,SUMPRODUCT((파견수련계획!$Q$4:$Q$803=TRIM($J386&amp;""))*(파견수련계획!$S$4:$S$803="구리병원")*파견수련계획!$W$4:$W$803))+IF($AG386="구리병원",MAX(0,DAY(EOMONTH(요약!$B$3,0))-N($X386)),0))</f>
        <v/>
      </c>
      <c r="AJ386" s="10">
        <f>IF(OR($B386="",TRIM($J386&amp;"")=""),"",IFERROR(MATCH(TRIM($J386&amp;"")&amp;"|월",파견수련계획!$Z$4:$Z$803,0),""))</f>
        <v/>
      </c>
      <c r="AK386" s="10">
        <f>IF(OR($B386="",TRIM($J386&amp;"")=""),"",IFERROR(MATCH(TRIM($J386&amp;"")&amp;"|다기관",파견수련계획!$AE$4:$AE$803,0),""))</f>
        <v/>
      </c>
      <c r="AL386" s="10">
        <f>IF($AK386="","","다기관 "&amp;TEXT(INDEX(파견수련계획!$AB$4:$AB$803,$AK386),"yyyy-mm-dd")&amp;"~"&amp;IF(ISNUMBER(INDEX(파견수련계획!$AC$4:$AC$803,$AK386)),TEXT(INDEX(파견수련계획!$AC$4:$AC$803,$AK386),"yyyy-mm-dd"),""))</f>
        <v/>
      </c>
    </row>
    <row r="387">
      <c r="A387" s="10">
        <f>IF(B387="","",ROW()-1)</f>
        <v/>
      </c>
      <c r="B387" s="18" t="n"/>
      <c r="C387" s="10">
        <f>IF($AB387="","",IF(INDEX(기본자료!$C$2:$C$1001,$AB387)="","",INDEX(기본자료!$C$2:$C$1001,$AB387)))</f>
        <v/>
      </c>
      <c r="D387" s="10">
        <f>IF($AB387="","",IF(INDEX(기본자료!$J$2:$J$1001,$AB387)="","",INDEX(기본자료!$J$2:$J$1001,$AB387)))</f>
        <v/>
      </c>
      <c r="E387" s="11">
        <f>IF($AB387="","",IF(INDEX(기본자료!$K$2:$K$1001,$AB387)="","",IF(NOT(ISNUMBER(INDEX(기본자료!$K$2:$K$1001,$AB387))),INDEX(기본자료!$K$2:$K$1001,$AB387),IF(INDEX(기본자료!$K$2:$K$1001,$AB387)&lt;1000000,INDEX(기본자료!$K$2:$K$1001,$AB387),IF(AND(INDEX(기본자료!$K$2:$K$1001,$AB387)&gt;=10000101,INT(MOD(INDEX(기본자료!$K$2:$K$1001,$AB387),10000)/100)&gt;=1,INT(MOD(INDEX(기본자료!$K$2:$K$1001,$AB387),10000)/100)&lt;=12,MOD(INDEX(기본자료!$K$2:$K$1001,$AB387),100)&gt;=1,MOD(INDEX(기본자료!$K$2:$K$1001,$AB387),100)&lt;=31),DATE(INT(INDEX(기본자료!$K$2:$K$1001,$AB387)/10000),INT(MOD(INDEX(기본자료!$K$2:$K$1001,$AB387),10000)/100),MOD(INDEX(기본자료!$K$2:$K$1001,$AB387),100)),INDEX(기본자료!$K$2:$K$1001,$AB387)&amp;"")))))</f>
        <v/>
      </c>
      <c r="F387" s="10">
        <f>IF($AB387="","",IF(INDEX(기본자료!$D$2:$D$1001,$AB387)="","",INDEX(기본자료!$D$2:$D$1001,$AB387)))</f>
        <v/>
      </c>
      <c r="G387" s="10">
        <f>IF($AB387="","",IF(INDEX(기본자료!$E$2:$E$1001,$AB387)="","",INDEX(기본자료!$E$2:$E$1001,$AB387)))</f>
        <v/>
      </c>
      <c r="H387" s="10">
        <f>IF($AB387="","",IF(INDEX(기본자료!$F$2:$F$1001,$AB387)="","",INDEX(기본자료!$F$2:$F$1001,$AB387)))</f>
        <v/>
      </c>
      <c r="I387" s="11">
        <f>IF($AB387="","",IF(INDEX(기본자료!$G$2:$G$1001,$AB387)="","",IF(NOT(ISNUMBER(INDEX(기본자료!$G$2:$G$1001,$AB387))),INDEX(기본자료!$G$2:$G$1001,$AB387),IF(INDEX(기본자료!$G$2:$G$1001,$AB387)&lt;1000000,INDEX(기본자료!$G$2:$G$1001,$AB387),IF(AND(INDEX(기본자료!$G$2:$G$1001,$AB387)&gt;=10000101,INT(MOD(INDEX(기본자료!$G$2:$G$1001,$AB387),10000)/100)&gt;=1,INT(MOD(INDEX(기본자료!$G$2:$G$1001,$AB387),10000)/100)&lt;=12,MOD(INDEX(기본자료!$G$2:$G$1001,$AB387),100)&gt;=1,MOD(INDEX(기본자료!$G$2:$G$1001,$AB387),100)&lt;=31),DATE(INT(INDEX(기본자료!$G$2:$G$1001,$AB387)/10000),INT(MOD(INDEX(기본자료!$G$2:$G$1001,$AB387),10000)/100),MOD(INDEX(기본자료!$G$2:$G$1001,$AB387),100)),INDEX(기본자료!$G$2:$G$1001,$AB387)&amp;"")))))</f>
        <v/>
      </c>
      <c r="J387" s="10">
        <f>IF($AB387="","",IF(INDEX(기본자료!$H$2:$H$1001,$AB387)="","",INDEX(기본자료!$H$2:$H$1001,$AB387)))</f>
        <v/>
      </c>
      <c r="K387" s="10">
        <f>IF($AB387="","",IF(INDEX(기본자료!$I$2:$I$1001,$AB387)="","",INDEX(기본자료!$I$2:$I$1001,$AB387)))</f>
        <v/>
      </c>
      <c r="L387" s="10">
        <f>IF($AB387="","",IF(INDEX(기본자료!$A$2:$A$1001,$AB387)="","",INDEX(기본자료!$A$2:$A$1001,$AB387)))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파견수련계획!$AB$4:$AB$803,$AK387),OR(NOT(ISNUMBER(INDEX(파견수련계획!$AC$4:$AC$803,$AK387))),TODAY()&lt;=INDEX(파견수련계획!$AC$4:$AC$803,$AK387))),"다기관",IF($AF387="","",INDEX(파견수련계획!$T$4:$T$803,$AF387))),IF($AF387="","",INDEX(파견수련계획!$T$4:$T$803,$AF387))))</f>
        <v/>
      </c>
      <c r="Q387" s="10">
        <f>IF($AF387="","",INDEX(파견수련계획!$S$4:$S$803,$AF387))</f>
        <v/>
      </c>
      <c r="R387" s="10">
        <f>IF($AF387="","",INDEX(파견수련계획!$U$4:$U$803,$AF387))</f>
        <v/>
      </c>
      <c r="S387" s="11">
        <f>IF($AF387="","",IF(INDEX(파견수련계획!$H$4:$H$803,$AF387)="","",INDEX(파견수련계획!$H$4:$H$803,$AF387)))</f>
        <v/>
      </c>
      <c r="T387" s="11">
        <f>IF($AF387="","",IF(INDEX(파견수련계획!$I$4:$I$803,$AF387)="","",INDEX(파견수련계획!$I$4:$I$803,$AF387)))</f>
        <v/>
      </c>
      <c r="U387" s="10">
        <f>IF($AF387="","",INDEX(파견수련계획!$X$4:$X$803,$AF387))</f>
        <v/>
      </c>
      <c r="V387" s="17">
        <f>IF($AF387="","",INDEX(파견수련계획!$V$4:$V$803,$AF387))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IF(OR($B387="",TRIM($J387&amp;"")=""),"",SUMPRODUCT((파견수련계획!$Q$4:$Q$803=TRIM($J387&amp;""))*파견수련계획!$W$4:$W$803))</f>
        <v/>
      </c>
      <c r="Y387" s="10">
        <f>IF($B387="","",IF($AG387="","",IF(IF(TRIM($J387&amp;"")="",0,SUMPRODUCT((파견수련계획!$Q$4:$Q$803=TRIM($J387&amp;""))*파견수련계획!$AD$4:$AD$803))&gt;0,$AE387,IF(N($X387)&lt;=0,$AG387,IF($AH387+$AI387=DAY(EOMONTH(요약!$B$3,0)),IF(AND($AH387&gt;=요약!$E$3,$AI387&lt;요약!$E$3),"서울병원",IF(AND($AI387&gt;=요약!$E$3,$AH387&lt;요약!$E$3),"구리병원","⚠15일 판정불가(서울 "&amp;$AH387&amp;"일/구리 "&amp;$AI387&amp;"일)")),IF($AJ387="",$AE387,IF(INDEX(파견수련계획!$T$4:$T$803,$AJ387)="통합수련",INDEX(파견수련계획!$S$4:$S$803,$AJ387),$AE387)))))))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입력",IF(IF(TRIM($J387&amp;"")="",0,SUMPRODUCT((파견수련계획!$Q$4:$Q$803=TRIM($J387&amp;""))*(파견수련계획!$AA$4:$AA$803&lt;&gt;"")))&gt;0,"파견수련계획 입력오류 확인",IF(LEFT($Y387,1)="⚠","서울·구리 15일 판정 불가(양쪽 모두 이상/미만)",IF(IF($AC387="",0,N(INDEX(인턴근무계획!$T$3:$T$402,$AC387)))&gt;0,"인턴계획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IF($B387="","",IFERROR(MATCH($B387,기본자료!$B$2:$B$1001,0),IFERROR(MATCH($B387&amp;"",기본자료!$B$2:$B$1001,0),IFERROR(MATCH(VALUE($B387),기본자료!$B$2:$B$1001,0),""))))</f>
        <v/>
      </c>
      <c r="AC387" s="10">
        <f>IF($B387="","",IFERROR(MATCH($B387,인턴근무계획!$D$3:$D$402,0),IFERROR(MATCH($B387&amp;"",인턴근무계획!$D$3:$D$402,0),IFERROR(MATCH(VALUE($B387),인턴근무계획!$D$3:$D$402,0),""))))</f>
        <v/>
      </c>
      <c r="AD387" s="10">
        <f>IF(OR($AC387="",인턴현황!$G$3=""),"",INDEX(인턴근무계획!$M$3:$R$402,$AC387,인턴현황!$G$3)&amp;"")</f>
        <v/>
      </c>
      <c r="AE387" s="10">
        <f>IF($B387="","",IF($M387&lt;&gt;"",$M387,IF($AF387&lt;&gt;"",IF(LEFT(INDEX(파견수련계획!$R$4:$R$803,$AF387),1)&lt;&gt;"⚠",INDEX(파견수련계획!$R$4:$R$803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파견수련계획!$Y$4:$Y$803,0),IFERROR(MATCH(TRIM($J387&amp;"")&amp;"|파견예정",파견수련계획!$Y$4:$Y$803,0),IFERROR(MATCH(TRIM($J387&amp;"")&amp;"|파견종료",파견수련계획!$Y$4:$Y$803,0),""))))</f>
        <v/>
      </c>
      <c r="AG387" s="10">
        <f>IF($B387="","",IF(AND(IF(OR($AC387="",인턴현황!$K$2=""),"",INDEX(인턴근무계획!$M$3:$R$402,$AC387,인턴현황!$K$2)&amp;"")&lt;&gt;"",LEFT(IF(OR($AC387="",인턴현황!$K$2=""),"",INDEX(인턴근무계획!$M$3:$R$402,$AC387,인턴현황!$K$2)&amp;""),1)&lt;&gt;"⚠"),LEFT(IF(OR($AC387="",인턴현황!$K$2=""),"",INDEX(인턴근무계획!$M$3:$R$402,$AC387,인턴현황!$K$2)&amp;""),FIND(" ",IF(OR($AC387="",인턴현황!$K$2=""),"",INDEX(인턴근무계획!$M$3:$R$402,$AC387,인턴현황!$K$2)&amp;""))-1),$AE387))</f>
        <v/>
      </c>
      <c r="AH387" s="17">
        <f>IF($B387="","",IF(TRIM($J387&amp;"")="",0,SUMPRODUCT((파견수련계획!$Q$4:$Q$803=TRIM($J387&amp;""))*(파견수련계획!$S$4:$S$803="서울병원")*파견수련계획!$W$4:$W$803))+IF($AG387="서울병원",MAX(0,DAY(EOMONTH(요약!$B$3,0))-N($X387)),0))</f>
        <v/>
      </c>
      <c r="AI387" s="17">
        <f>IF($B387="","",IF(TRIM($J387&amp;"")="",0,SUMPRODUCT((파견수련계획!$Q$4:$Q$803=TRIM($J387&amp;""))*(파견수련계획!$S$4:$S$803="구리병원")*파견수련계획!$W$4:$W$803))+IF($AG387="구리병원",MAX(0,DAY(EOMONTH(요약!$B$3,0))-N($X387)),0))</f>
        <v/>
      </c>
      <c r="AJ387" s="10">
        <f>IF(OR($B387="",TRIM($J387&amp;"")=""),"",IFERROR(MATCH(TRIM($J387&amp;"")&amp;"|월",파견수련계획!$Z$4:$Z$803,0),""))</f>
        <v/>
      </c>
      <c r="AK387" s="10">
        <f>IF(OR($B387="",TRIM($J387&amp;"")=""),"",IFERROR(MATCH(TRIM($J387&amp;"")&amp;"|다기관",파견수련계획!$AE$4:$AE$803,0),""))</f>
        <v/>
      </c>
      <c r="AL387" s="10">
        <f>IF($AK387="","","다기관 "&amp;TEXT(INDEX(파견수련계획!$AB$4:$AB$803,$AK387),"yyyy-mm-dd")&amp;"~"&amp;IF(ISNUMBER(INDEX(파견수련계획!$AC$4:$AC$803,$AK387)),TEXT(INDEX(파견수련계획!$AC$4:$AC$803,$AK387),"yyyy-mm-dd"),""))</f>
        <v/>
      </c>
    </row>
    <row r="388">
      <c r="A388" s="10">
        <f>IF(B388="","",ROW()-1)</f>
        <v/>
      </c>
      <c r="B388" s="18" t="n"/>
      <c r="C388" s="10">
        <f>IF($AB388="","",IF(INDEX(기본자료!$C$2:$C$1001,$AB388)="","",INDEX(기본자료!$C$2:$C$1001,$AB388)))</f>
        <v/>
      </c>
      <c r="D388" s="10">
        <f>IF($AB388="","",IF(INDEX(기본자료!$J$2:$J$1001,$AB388)="","",INDEX(기본자료!$J$2:$J$1001,$AB388)))</f>
        <v/>
      </c>
      <c r="E388" s="11">
        <f>IF($AB388="","",IF(INDEX(기본자료!$K$2:$K$1001,$AB388)="","",IF(NOT(ISNUMBER(INDEX(기본자료!$K$2:$K$1001,$AB388))),INDEX(기본자료!$K$2:$K$1001,$AB388),IF(INDEX(기본자료!$K$2:$K$1001,$AB388)&lt;1000000,INDEX(기본자료!$K$2:$K$1001,$AB388),IF(AND(INDEX(기본자료!$K$2:$K$1001,$AB388)&gt;=10000101,INT(MOD(INDEX(기본자료!$K$2:$K$1001,$AB388),10000)/100)&gt;=1,INT(MOD(INDEX(기본자료!$K$2:$K$1001,$AB388),10000)/100)&lt;=12,MOD(INDEX(기본자료!$K$2:$K$1001,$AB388),100)&gt;=1,MOD(INDEX(기본자료!$K$2:$K$1001,$AB388),100)&lt;=31),DATE(INT(INDEX(기본자료!$K$2:$K$1001,$AB388)/10000),INT(MOD(INDEX(기본자료!$K$2:$K$1001,$AB388),10000)/100),MOD(INDEX(기본자료!$K$2:$K$1001,$AB388),100)),INDEX(기본자료!$K$2:$K$1001,$AB388)&amp;"")))))</f>
        <v/>
      </c>
      <c r="F388" s="10">
        <f>IF($AB388="","",IF(INDEX(기본자료!$D$2:$D$1001,$AB388)="","",INDEX(기본자료!$D$2:$D$1001,$AB388)))</f>
        <v/>
      </c>
      <c r="G388" s="10">
        <f>IF($AB388="","",IF(INDEX(기본자료!$E$2:$E$1001,$AB388)="","",INDEX(기본자료!$E$2:$E$1001,$AB388)))</f>
        <v/>
      </c>
      <c r="H388" s="10">
        <f>IF($AB388="","",IF(INDEX(기본자료!$F$2:$F$1001,$AB388)="","",INDEX(기본자료!$F$2:$F$1001,$AB388)))</f>
        <v/>
      </c>
      <c r="I388" s="11">
        <f>IF($AB388="","",IF(INDEX(기본자료!$G$2:$G$1001,$AB388)="","",IF(NOT(ISNUMBER(INDEX(기본자료!$G$2:$G$1001,$AB388))),INDEX(기본자료!$G$2:$G$1001,$AB388),IF(INDEX(기본자료!$G$2:$G$1001,$AB388)&lt;1000000,INDEX(기본자료!$G$2:$G$1001,$AB388),IF(AND(INDEX(기본자료!$G$2:$G$1001,$AB388)&gt;=10000101,INT(MOD(INDEX(기본자료!$G$2:$G$1001,$AB388),10000)/100)&gt;=1,INT(MOD(INDEX(기본자료!$G$2:$G$1001,$AB388),10000)/100)&lt;=12,MOD(INDEX(기본자료!$G$2:$G$1001,$AB388),100)&gt;=1,MOD(INDEX(기본자료!$G$2:$G$1001,$AB388),100)&lt;=31),DATE(INT(INDEX(기본자료!$G$2:$G$1001,$AB388)/10000),INT(MOD(INDEX(기본자료!$G$2:$G$1001,$AB388),10000)/100),MOD(INDEX(기본자료!$G$2:$G$1001,$AB388),100)),INDEX(기본자료!$G$2:$G$1001,$AB388)&amp;"")))))</f>
        <v/>
      </c>
      <c r="J388" s="10">
        <f>IF($AB388="","",IF(INDEX(기본자료!$H$2:$H$1001,$AB388)="","",INDEX(기본자료!$H$2:$H$1001,$AB388)))</f>
        <v/>
      </c>
      <c r="K388" s="10">
        <f>IF($AB388="","",IF(INDEX(기본자료!$I$2:$I$1001,$AB388)="","",INDEX(기본자료!$I$2:$I$1001,$AB388)))</f>
        <v/>
      </c>
      <c r="L388" s="10">
        <f>IF($AB388="","",IF(INDEX(기본자료!$A$2:$A$1001,$AB388)="","",INDEX(기본자료!$A$2:$A$1001,$AB388)))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파견수련계획!$AB$4:$AB$803,$AK388),OR(NOT(ISNUMBER(INDEX(파견수련계획!$AC$4:$AC$803,$AK388))),TODAY()&lt;=INDEX(파견수련계획!$AC$4:$AC$803,$AK388))),"다기관",IF($AF388="","",INDEX(파견수련계획!$T$4:$T$803,$AF388))),IF($AF388="","",INDEX(파견수련계획!$T$4:$T$803,$AF388))))</f>
        <v/>
      </c>
      <c r="Q388" s="10">
        <f>IF($AF388="","",INDEX(파견수련계획!$S$4:$S$803,$AF388))</f>
        <v/>
      </c>
      <c r="R388" s="10">
        <f>IF($AF388="","",INDEX(파견수련계획!$U$4:$U$803,$AF388))</f>
        <v/>
      </c>
      <c r="S388" s="11">
        <f>IF($AF388="","",IF(INDEX(파견수련계획!$H$4:$H$803,$AF388)="","",INDEX(파견수련계획!$H$4:$H$803,$AF388)))</f>
        <v/>
      </c>
      <c r="T388" s="11">
        <f>IF($AF388="","",IF(INDEX(파견수련계획!$I$4:$I$803,$AF388)="","",INDEX(파견수련계획!$I$4:$I$803,$AF388)))</f>
        <v/>
      </c>
      <c r="U388" s="10">
        <f>IF($AF388="","",INDEX(파견수련계획!$X$4:$X$803,$AF388))</f>
        <v/>
      </c>
      <c r="V388" s="17">
        <f>IF($AF388="","",INDEX(파견수련계획!$V$4:$V$803,$AF388))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IF(OR($B388="",TRIM($J388&amp;"")=""),"",SUMPRODUCT((파견수련계획!$Q$4:$Q$803=TRIM($J388&amp;""))*파견수련계획!$W$4:$W$803))</f>
        <v/>
      </c>
      <c r="Y388" s="10">
        <f>IF($B388="","",IF($AG388="","",IF(IF(TRIM($J388&amp;"")="",0,SUMPRODUCT((파견수련계획!$Q$4:$Q$803=TRIM($J388&amp;""))*파견수련계획!$AD$4:$AD$803))&gt;0,$AE388,IF(N($X388)&lt;=0,$AG388,IF($AH388+$AI388=DAY(EOMONTH(요약!$B$3,0)),IF(AND($AH388&gt;=요약!$E$3,$AI388&lt;요약!$E$3),"서울병원",IF(AND($AI388&gt;=요약!$E$3,$AH388&lt;요약!$E$3),"구리병원","⚠15일 판정불가(서울 "&amp;$AH388&amp;"일/구리 "&amp;$AI388&amp;"일)")),IF($AJ388="",$AE388,IF(INDEX(파견수련계획!$T$4:$T$803,$AJ388)="통합수련",INDEX(파견수련계획!$S$4:$S$803,$AJ388),$AE388)))))))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입력",IF(IF(TRIM($J388&amp;"")="",0,SUMPRODUCT((파견수련계획!$Q$4:$Q$803=TRIM($J388&amp;""))*(파견수련계획!$AA$4:$AA$803&lt;&gt;"")))&gt;0,"파견수련계획 입력오류 확인",IF(LEFT($Y388,1)="⚠","서울·구리 15일 판정 불가(양쪽 모두 이상/미만)",IF(IF($AC388="",0,N(INDEX(인턴근무계획!$T$3:$T$402,$AC388)))&gt;0,"인턴계획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IF($B388="","",IFERROR(MATCH($B388,기본자료!$B$2:$B$1001,0),IFERROR(MATCH($B388&amp;"",기본자료!$B$2:$B$1001,0),IFERROR(MATCH(VALUE($B388),기본자료!$B$2:$B$1001,0),""))))</f>
        <v/>
      </c>
      <c r="AC388" s="10">
        <f>IF($B388="","",IFERROR(MATCH($B388,인턴근무계획!$D$3:$D$402,0),IFERROR(MATCH($B388&amp;"",인턴근무계획!$D$3:$D$402,0),IFERROR(MATCH(VALUE($B388),인턴근무계획!$D$3:$D$402,0),""))))</f>
        <v/>
      </c>
      <c r="AD388" s="10">
        <f>IF(OR($AC388="",인턴현황!$G$3=""),"",INDEX(인턴근무계획!$M$3:$R$402,$AC388,인턴현황!$G$3)&amp;"")</f>
        <v/>
      </c>
      <c r="AE388" s="10">
        <f>IF($B388="","",IF($M388&lt;&gt;"",$M388,IF($AF388&lt;&gt;"",IF(LEFT(INDEX(파견수련계획!$R$4:$R$803,$AF388),1)&lt;&gt;"⚠",INDEX(파견수련계획!$R$4:$R$803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파견수련계획!$Y$4:$Y$803,0),IFERROR(MATCH(TRIM($J388&amp;"")&amp;"|파견예정",파견수련계획!$Y$4:$Y$803,0),IFERROR(MATCH(TRIM($J388&amp;"")&amp;"|파견종료",파견수련계획!$Y$4:$Y$803,0),""))))</f>
        <v/>
      </c>
      <c r="AG388" s="10">
        <f>IF($B388="","",IF(AND(IF(OR($AC388="",인턴현황!$K$2=""),"",INDEX(인턴근무계획!$M$3:$R$402,$AC388,인턴현황!$K$2)&amp;"")&lt;&gt;"",LEFT(IF(OR($AC388="",인턴현황!$K$2=""),"",INDEX(인턴근무계획!$M$3:$R$402,$AC388,인턴현황!$K$2)&amp;""),1)&lt;&gt;"⚠"),LEFT(IF(OR($AC388="",인턴현황!$K$2=""),"",INDEX(인턴근무계획!$M$3:$R$402,$AC388,인턴현황!$K$2)&amp;""),FIND(" ",IF(OR($AC388="",인턴현황!$K$2=""),"",INDEX(인턴근무계획!$M$3:$R$402,$AC388,인턴현황!$K$2)&amp;""))-1),$AE388))</f>
        <v/>
      </c>
      <c r="AH388" s="17">
        <f>IF($B388="","",IF(TRIM($J388&amp;"")="",0,SUMPRODUCT((파견수련계획!$Q$4:$Q$803=TRIM($J388&amp;""))*(파견수련계획!$S$4:$S$803="서울병원")*파견수련계획!$W$4:$W$803))+IF($AG388="서울병원",MAX(0,DAY(EOMONTH(요약!$B$3,0))-N($X388)),0))</f>
        <v/>
      </c>
      <c r="AI388" s="17">
        <f>IF($B388="","",IF(TRIM($J388&amp;"")="",0,SUMPRODUCT((파견수련계획!$Q$4:$Q$803=TRIM($J388&amp;""))*(파견수련계획!$S$4:$S$803="구리병원")*파견수련계획!$W$4:$W$803))+IF($AG388="구리병원",MAX(0,DAY(EOMONTH(요약!$B$3,0))-N($X388)),0))</f>
        <v/>
      </c>
      <c r="AJ388" s="10">
        <f>IF(OR($B388="",TRIM($J388&amp;"")=""),"",IFERROR(MATCH(TRIM($J388&amp;"")&amp;"|월",파견수련계획!$Z$4:$Z$803,0),""))</f>
        <v/>
      </c>
      <c r="AK388" s="10">
        <f>IF(OR($B388="",TRIM($J388&amp;"")=""),"",IFERROR(MATCH(TRIM($J388&amp;"")&amp;"|다기관",파견수련계획!$AE$4:$AE$803,0),""))</f>
        <v/>
      </c>
      <c r="AL388" s="10">
        <f>IF($AK388="","","다기관 "&amp;TEXT(INDEX(파견수련계획!$AB$4:$AB$803,$AK388),"yyyy-mm-dd")&amp;"~"&amp;IF(ISNUMBER(INDEX(파견수련계획!$AC$4:$AC$803,$AK388)),TEXT(INDEX(파견수련계획!$AC$4:$AC$803,$AK388),"yyyy-mm-dd"),""))</f>
        <v/>
      </c>
    </row>
    <row r="389">
      <c r="A389" s="10">
        <f>IF(B389="","",ROW()-1)</f>
        <v/>
      </c>
      <c r="B389" s="18" t="n"/>
      <c r="C389" s="10">
        <f>IF($AB389="","",IF(INDEX(기본자료!$C$2:$C$1001,$AB389)="","",INDEX(기본자료!$C$2:$C$1001,$AB389)))</f>
        <v/>
      </c>
      <c r="D389" s="10">
        <f>IF($AB389="","",IF(INDEX(기본자료!$J$2:$J$1001,$AB389)="","",INDEX(기본자료!$J$2:$J$1001,$AB389)))</f>
        <v/>
      </c>
      <c r="E389" s="11">
        <f>IF($AB389="","",IF(INDEX(기본자료!$K$2:$K$1001,$AB389)="","",IF(NOT(ISNUMBER(INDEX(기본자료!$K$2:$K$1001,$AB389))),INDEX(기본자료!$K$2:$K$1001,$AB389),IF(INDEX(기본자료!$K$2:$K$1001,$AB389)&lt;1000000,INDEX(기본자료!$K$2:$K$1001,$AB389),IF(AND(INDEX(기본자료!$K$2:$K$1001,$AB389)&gt;=10000101,INT(MOD(INDEX(기본자료!$K$2:$K$1001,$AB389),10000)/100)&gt;=1,INT(MOD(INDEX(기본자료!$K$2:$K$1001,$AB389),10000)/100)&lt;=12,MOD(INDEX(기본자료!$K$2:$K$1001,$AB389),100)&gt;=1,MOD(INDEX(기본자료!$K$2:$K$1001,$AB389),100)&lt;=31),DATE(INT(INDEX(기본자료!$K$2:$K$1001,$AB389)/10000),INT(MOD(INDEX(기본자료!$K$2:$K$1001,$AB389),10000)/100),MOD(INDEX(기본자료!$K$2:$K$1001,$AB389),100)),INDEX(기본자료!$K$2:$K$1001,$AB389)&amp;"")))))</f>
        <v/>
      </c>
      <c r="F389" s="10">
        <f>IF($AB389="","",IF(INDEX(기본자료!$D$2:$D$1001,$AB389)="","",INDEX(기본자료!$D$2:$D$1001,$AB389)))</f>
        <v/>
      </c>
      <c r="G389" s="10">
        <f>IF($AB389="","",IF(INDEX(기본자료!$E$2:$E$1001,$AB389)="","",INDEX(기본자료!$E$2:$E$1001,$AB389)))</f>
        <v/>
      </c>
      <c r="H389" s="10">
        <f>IF($AB389="","",IF(INDEX(기본자료!$F$2:$F$1001,$AB389)="","",INDEX(기본자료!$F$2:$F$1001,$AB389)))</f>
        <v/>
      </c>
      <c r="I389" s="11">
        <f>IF($AB389="","",IF(INDEX(기본자료!$G$2:$G$1001,$AB389)="","",IF(NOT(ISNUMBER(INDEX(기본자료!$G$2:$G$1001,$AB389))),INDEX(기본자료!$G$2:$G$1001,$AB389),IF(INDEX(기본자료!$G$2:$G$1001,$AB389)&lt;1000000,INDEX(기본자료!$G$2:$G$1001,$AB389),IF(AND(INDEX(기본자료!$G$2:$G$1001,$AB389)&gt;=10000101,INT(MOD(INDEX(기본자료!$G$2:$G$1001,$AB389),10000)/100)&gt;=1,INT(MOD(INDEX(기본자료!$G$2:$G$1001,$AB389),10000)/100)&lt;=12,MOD(INDEX(기본자료!$G$2:$G$1001,$AB389),100)&gt;=1,MOD(INDEX(기본자료!$G$2:$G$1001,$AB389),100)&lt;=31),DATE(INT(INDEX(기본자료!$G$2:$G$1001,$AB389)/10000),INT(MOD(INDEX(기본자료!$G$2:$G$1001,$AB389),10000)/100),MOD(INDEX(기본자료!$G$2:$G$1001,$AB389),100)),INDEX(기본자료!$G$2:$G$1001,$AB389)&amp;"")))))</f>
        <v/>
      </c>
      <c r="J389" s="10">
        <f>IF($AB389="","",IF(INDEX(기본자료!$H$2:$H$1001,$AB389)="","",INDEX(기본자료!$H$2:$H$1001,$AB389)))</f>
        <v/>
      </c>
      <c r="K389" s="10">
        <f>IF($AB389="","",IF(INDEX(기본자료!$I$2:$I$1001,$AB389)="","",INDEX(기본자료!$I$2:$I$1001,$AB389)))</f>
        <v/>
      </c>
      <c r="L389" s="10">
        <f>IF($AB389="","",IF(INDEX(기본자료!$A$2:$A$1001,$AB389)="","",INDEX(기본자료!$A$2:$A$1001,$AB389)))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파견수련계획!$AB$4:$AB$803,$AK389),OR(NOT(ISNUMBER(INDEX(파견수련계획!$AC$4:$AC$803,$AK389))),TODAY()&lt;=INDEX(파견수련계획!$AC$4:$AC$803,$AK389))),"다기관",IF($AF389="","",INDEX(파견수련계획!$T$4:$T$803,$AF389))),IF($AF389="","",INDEX(파견수련계획!$T$4:$T$803,$AF389))))</f>
        <v/>
      </c>
      <c r="Q389" s="10">
        <f>IF($AF389="","",INDEX(파견수련계획!$S$4:$S$803,$AF389))</f>
        <v/>
      </c>
      <c r="R389" s="10">
        <f>IF($AF389="","",INDEX(파견수련계획!$U$4:$U$803,$AF389))</f>
        <v/>
      </c>
      <c r="S389" s="11">
        <f>IF($AF389="","",IF(INDEX(파견수련계획!$H$4:$H$803,$AF389)="","",INDEX(파견수련계획!$H$4:$H$803,$AF389)))</f>
        <v/>
      </c>
      <c r="T389" s="11">
        <f>IF($AF389="","",IF(INDEX(파견수련계획!$I$4:$I$803,$AF389)="","",INDEX(파견수련계획!$I$4:$I$803,$AF389)))</f>
        <v/>
      </c>
      <c r="U389" s="10">
        <f>IF($AF389="","",INDEX(파견수련계획!$X$4:$X$803,$AF389))</f>
        <v/>
      </c>
      <c r="V389" s="17">
        <f>IF($AF389="","",INDEX(파견수련계획!$V$4:$V$803,$AF389))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IF(OR($B389="",TRIM($J389&amp;"")=""),"",SUMPRODUCT((파견수련계획!$Q$4:$Q$803=TRIM($J389&amp;""))*파견수련계획!$W$4:$W$803))</f>
        <v/>
      </c>
      <c r="Y389" s="10">
        <f>IF($B389="","",IF($AG389="","",IF(IF(TRIM($J389&amp;"")="",0,SUMPRODUCT((파견수련계획!$Q$4:$Q$803=TRIM($J389&amp;""))*파견수련계획!$AD$4:$AD$803))&gt;0,$AE389,IF(N($X389)&lt;=0,$AG389,IF($AH389+$AI389=DAY(EOMONTH(요약!$B$3,0)),IF(AND($AH389&gt;=요약!$E$3,$AI389&lt;요약!$E$3),"서울병원",IF(AND($AI389&gt;=요약!$E$3,$AH389&lt;요약!$E$3),"구리병원","⚠15일 판정불가(서울 "&amp;$AH389&amp;"일/구리 "&amp;$AI389&amp;"일)")),IF($AJ389="",$AE389,IF(INDEX(파견수련계획!$T$4:$T$803,$AJ389)="통합수련",INDEX(파견수련계획!$S$4:$S$803,$AJ389),$AE389)))))))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입력",IF(IF(TRIM($J389&amp;"")="",0,SUMPRODUCT((파견수련계획!$Q$4:$Q$803=TRIM($J389&amp;""))*(파견수련계획!$AA$4:$AA$803&lt;&gt;"")))&gt;0,"파견수련계획 입력오류 확인",IF(LEFT($Y389,1)="⚠","서울·구리 15일 판정 불가(양쪽 모두 이상/미만)",IF(IF($AC389="",0,N(INDEX(인턴근무계획!$T$3:$T$402,$AC389)))&gt;0,"인턴계획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IF($B389="","",IFERROR(MATCH($B389,기본자료!$B$2:$B$1001,0),IFERROR(MATCH($B389&amp;"",기본자료!$B$2:$B$1001,0),IFERROR(MATCH(VALUE($B389),기본자료!$B$2:$B$1001,0),""))))</f>
        <v/>
      </c>
      <c r="AC389" s="10">
        <f>IF($B389="","",IFERROR(MATCH($B389,인턴근무계획!$D$3:$D$402,0),IFERROR(MATCH($B389&amp;"",인턴근무계획!$D$3:$D$402,0),IFERROR(MATCH(VALUE($B389),인턴근무계획!$D$3:$D$402,0),""))))</f>
        <v/>
      </c>
      <c r="AD389" s="10">
        <f>IF(OR($AC389="",인턴현황!$G$3=""),"",INDEX(인턴근무계획!$M$3:$R$402,$AC389,인턴현황!$G$3)&amp;"")</f>
        <v/>
      </c>
      <c r="AE389" s="10">
        <f>IF($B389="","",IF($M389&lt;&gt;"",$M389,IF($AF389&lt;&gt;"",IF(LEFT(INDEX(파견수련계획!$R$4:$R$803,$AF389),1)&lt;&gt;"⚠",INDEX(파견수련계획!$R$4:$R$803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파견수련계획!$Y$4:$Y$803,0),IFERROR(MATCH(TRIM($J389&amp;"")&amp;"|파견예정",파견수련계획!$Y$4:$Y$803,0),IFERROR(MATCH(TRIM($J389&amp;"")&amp;"|파견종료",파견수련계획!$Y$4:$Y$803,0),""))))</f>
        <v/>
      </c>
      <c r="AG389" s="10">
        <f>IF($B389="","",IF(AND(IF(OR($AC389="",인턴현황!$K$2=""),"",INDEX(인턴근무계획!$M$3:$R$402,$AC389,인턴현황!$K$2)&amp;"")&lt;&gt;"",LEFT(IF(OR($AC389="",인턴현황!$K$2=""),"",INDEX(인턴근무계획!$M$3:$R$402,$AC389,인턴현황!$K$2)&amp;""),1)&lt;&gt;"⚠"),LEFT(IF(OR($AC389="",인턴현황!$K$2=""),"",INDEX(인턴근무계획!$M$3:$R$402,$AC389,인턴현황!$K$2)&amp;""),FIND(" ",IF(OR($AC389="",인턴현황!$K$2=""),"",INDEX(인턴근무계획!$M$3:$R$402,$AC389,인턴현황!$K$2)&amp;""))-1),$AE389))</f>
        <v/>
      </c>
      <c r="AH389" s="17">
        <f>IF($B389="","",IF(TRIM($J389&amp;"")="",0,SUMPRODUCT((파견수련계획!$Q$4:$Q$803=TRIM($J389&amp;""))*(파견수련계획!$S$4:$S$803="서울병원")*파견수련계획!$W$4:$W$803))+IF($AG389="서울병원",MAX(0,DAY(EOMONTH(요약!$B$3,0))-N($X389)),0))</f>
        <v/>
      </c>
      <c r="AI389" s="17">
        <f>IF($B389="","",IF(TRIM($J389&amp;"")="",0,SUMPRODUCT((파견수련계획!$Q$4:$Q$803=TRIM($J389&amp;""))*(파견수련계획!$S$4:$S$803="구리병원")*파견수련계획!$W$4:$W$803))+IF($AG389="구리병원",MAX(0,DAY(EOMONTH(요약!$B$3,0))-N($X389)),0))</f>
        <v/>
      </c>
      <c r="AJ389" s="10">
        <f>IF(OR($B389="",TRIM($J389&amp;"")=""),"",IFERROR(MATCH(TRIM($J389&amp;"")&amp;"|월",파견수련계획!$Z$4:$Z$803,0),""))</f>
        <v/>
      </c>
      <c r="AK389" s="10">
        <f>IF(OR($B389="",TRIM($J389&amp;"")=""),"",IFERROR(MATCH(TRIM($J389&amp;"")&amp;"|다기관",파견수련계획!$AE$4:$AE$803,0),""))</f>
        <v/>
      </c>
      <c r="AL389" s="10">
        <f>IF($AK389="","","다기관 "&amp;TEXT(INDEX(파견수련계획!$AB$4:$AB$803,$AK389),"yyyy-mm-dd")&amp;"~"&amp;IF(ISNUMBER(INDEX(파견수련계획!$AC$4:$AC$803,$AK389)),TEXT(INDEX(파견수련계획!$AC$4:$AC$803,$AK389),"yyyy-mm-dd"),""))</f>
        <v/>
      </c>
    </row>
    <row r="390">
      <c r="A390" s="10">
        <f>IF(B390="","",ROW()-1)</f>
        <v/>
      </c>
      <c r="B390" s="18" t="n"/>
      <c r="C390" s="10">
        <f>IF($AB390="","",IF(INDEX(기본자료!$C$2:$C$1001,$AB390)="","",INDEX(기본자료!$C$2:$C$1001,$AB390)))</f>
        <v/>
      </c>
      <c r="D390" s="10">
        <f>IF($AB390="","",IF(INDEX(기본자료!$J$2:$J$1001,$AB390)="","",INDEX(기본자료!$J$2:$J$1001,$AB390)))</f>
        <v/>
      </c>
      <c r="E390" s="11">
        <f>IF($AB390="","",IF(INDEX(기본자료!$K$2:$K$1001,$AB390)="","",IF(NOT(ISNUMBER(INDEX(기본자료!$K$2:$K$1001,$AB390))),INDEX(기본자료!$K$2:$K$1001,$AB390),IF(INDEX(기본자료!$K$2:$K$1001,$AB390)&lt;1000000,INDEX(기본자료!$K$2:$K$1001,$AB390),IF(AND(INDEX(기본자료!$K$2:$K$1001,$AB390)&gt;=10000101,INT(MOD(INDEX(기본자료!$K$2:$K$1001,$AB390),10000)/100)&gt;=1,INT(MOD(INDEX(기본자료!$K$2:$K$1001,$AB390),10000)/100)&lt;=12,MOD(INDEX(기본자료!$K$2:$K$1001,$AB390),100)&gt;=1,MOD(INDEX(기본자료!$K$2:$K$1001,$AB390),100)&lt;=31),DATE(INT(INDEX(기본자료!$K$2:$K$1001,$AB390)/10000),INT(MOD(INDEX(기본자료!$K$2:$K$1001,$AB390),10000)/100),MOD(INDEX(기본자료!$K$2:$K$1001,$AB390),100)),INDEX(기본자료!$K$2:$K$1001,$AB390)&amp;"")))))</f>
        <v/>
      </c>
      <c r="F390" s="10">
        <f>IF($AB390="","",IF(INDEX(기본자료!$D$2:$D$1001,$AB390)="","",INDEX(기본자료!$D$2:$D$1001,$AB390)))</f>
        <v/>
      </c>
      <c r="G390" s="10">
        <f>IF($AB390="","",IF(INDEX(기본자료!$E$2:$E$1001,$AB390)="","",INDEX(기본자료!$E$2:$E$1001,$AB390)))</f>
        <v/>
      </c>
      <c r="H390" s="10">
        <f>IF($AB390="","",IF(INDEX(기본자료!$F$2:$F$1001,$AB390)="","",INDEX(기본자료!$F$2:$F$1001,$AB390)))</f>
        <v/>
      </c>
      <c r="I390" s="11">
        <f>IF($AB390="","",IF(INDEX(기본자료!$G$2:$G$1001,$AB390)="","",IF(NOT(ISNUMBER(INDEX(기본자료!$G$2:$G$1001,$AB390))),INDEX(기본자료!$G$2:$G$1001,$AB390),IF(INDEX(기본자료!$G$2:$G$1001,$AB390)&lt;1000000,INDEX(기본자료!$G$2:$G$1001,$AB390),IF(AND(INDEX(기본자료!$G$2:$G$1001,$AB390)&gt;=10000101,INT(MOD(INDEX(기본자료!$G$2:$G$1001,$AB390),10000)/100)&gt;=1,INT(MOD(INDEX(기본자료!$G$2:$G$1001,$AB390),10000)/100)&lt;=12,MOD(INDEX(기본자료!$G$2:$G$1001,$AB390),100)&gt;=1,MOD(INDEX(기본자료!$G$2:$G$1001,$AB390),100)&lt;=31),DATE(INT(INDEX(기본자료!$G$2:$G$1001,$AB390)/10000),INT(MOD(INDEX(기본자료!$G$2:$G$1001,$AB390),10000)/100),MOD(INDEX(기본자료!$G$2:$G$1001,$AB390),100)),INDEX(기본자료!$G$2:$G$1001,$AB390)&amp;"")))))</f>
        <v/>
      </c>
      <c r="J390" s="10">
        <f>IF($AB390="","",IF(INDEX(기본자료!$H$2:$H$1001,$AB390)="","",INDEX(기본자료!$H$2:$H$1001,$AB390)))</f>
        <v/>
      </c>
      <c r="K390" s="10">
        <f>IF($AB390="","",IF(INDEX(기본자료!$I$2:$I$1001,$AB390)="","",INDEX(기본자료!$I$2:$I$1001,$AB390)))</f>
        <v/>
      </c>
      <c r="L390" s="10">
        <f>IF($AB390="","",IF(INDEX(기본자료!$A$2:$A$1001,$AB390)="","",INDEX(기본자료!$A$2:$A$1001,$AB390)))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파견수련계획!$AB$4:$AB$803,$AK390),OR(NOT(ISNUMBER(INDEX(파견수련계획!$AC$4:$AC$803,$AK390))),TODAY()&lt;=INDEX(파견수련계획!$AC$4:$AC$803,$AK390))),"다기관",IF($AF390="","",INDEX(파견수련계획!$T$4:$T$803,$AF390))),IF($AF390="","",INDEX(파견수련계획!$T$4:$T$803,$AF390))))</f>
        <v/>
      </c>
      <c r="Q390" s="10">
        <f>IF($AF390="","",INDEX(파견수련계획!$S$4:$S$803,$AF390))</f>
        <v/>
      </c>
      <c r="R390" s="10">
        <f>IF($AF390="","",INDEX(파견수련계획!$U$4:$U$803,$AF390))</f>
        <v/>
      </c>
      <c r="S390" s="11">
        <f>IF($AF390="","",IF(INDEX(파견수련계획!$H$4:$H$803,$AF390)="","",INDEX(파견수련계획!$H$4:$H$803,$AF390)))</f>
        <v/>
      </c>
      <c r="T390" s="11">
        <f>IF($AF390="","",IF(INDEX(파견수련계획!$I$4:$I$803,$AF390)="","",INDEX(파견수련계획!$I$4:$I$803,$AF390)))</f>
        <v/>
      </c>
      <c r="U390" s="10">
        <f>IF($AF390="","",INDEX(파견수련계획!$X$4:$X$803,$AF390))</f>
        <v/>
      </c>
      <c r="V390" s="17">
        <f>IF($AF390="","",INDEX(파견수련계획!$V$4:$V$803,$AF390))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IF(OR($B390="",TRIM($J390&amp;"")=""),"",SUMPRODUCT((파견수련계획!$Q$4:$Q$803=TRIM($J390&amp;""))*파견수련계획!$W$4:$W$803))</f>
        <v/>
      </c>
      <c r="Y390" s="10">
        <f>IF($B390="","",IF($AG390="","",IF(IF(TRIM($J390&amp;"")="",0,SUMPRODUCT((파견수련계획!$Q$4:$Q$803=TRIM($J390&amp;""))*파견수련계획!$AD$4:$AD$803))&gt;0,$AE390,IF(N($X390)&lt;=0,$AG390,IF($AH390+$AI390=DAY(EOMONTH(요약!$B$3,0)),IF(AND($AH390&gt;=요약!$E$3,$AI390&lt;요약!$E$3),"서울병원",IF(AND($AI390&gt;=요약!$E$3,$AH390&lt;요약!$E$3),"구리병원","⚠15일 판정불가(서울 "&amp;$AH390&amp;"일/구리 "&amp;$AI390&amp;"일)")),IF($AJ390="",$AE390,IF(INDEX(파견수련계획!$T$4:$T$803,$AJ390)="통합수련",INDEX(파견수련계획!$S$4:$S$803,$AJ390),$AE390)))))))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입력",IF(IF(TRIM($J390&amp;"")="",0,SUMPRODUCT((파견수련계획!$Q$4:$Q$803=TRIM($J390&amp;""))*(파견수련계획!$AA$4:$AA$803&lt;&gt;"")))&gt;0,"파견수련계획 입력오류 확인",IF(LEFT($Y390,1)="⚠","서울·구리 15일 판정 불가(양쪽 모두 이상/미만)",IF(IF($AC390="",0,N(INDEX(인턴근무계획!$T$3:$T$402,$AC390)))&gt;0,"인턴계획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IF($B390="","",IFERROR(MATCH($B390,기본자료!$B$2:$B$1001,0),IFERROR(MATCH($B390&amp;"",기본자료!$B$2:$B$1001,0),IFERROR(MATCH(VALUE($B390),기본자료!$B$2:$B$1001,0),""))))</f>
        <v/>
      </c>
      <c r="AC390" s="10">
        <f>IF($B390="","",IFERROR(MATCH($B390,인턴근무계획!$D$3:$D$402,0),IFERROR(MATCH($B390&amp;"",인턴근무계획!$D$3:$D$402,0),IFERROR(MATCH(VALUE($B390),인턴근무계획!$D$3:$D$402,0),""))))</f>
        <v/>
      </c>
      <c r="AD390" s="10">
        <f>IF(OR($AC390="",인턴현황!$G$3=""),"",INDEX(인턴근무계획!$M$3:$R$402,$AC390,인턴현황!$G$3)&amp;"")</f>
        <v/>
      </c>
      <c r="AE390" s="10">
        <f>IF($B390="","",IF($M390&lt;&gt;"",$M390,IF($AF390&lt;&gt;"",IF(LEFT(INDEX(파견수련계획!$R$4:$R$803,$AF390),1)&lt;&gt;"⚠",INDEX(파견수련계획!$R$4:$R$803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파견수련계획!$Y$4:$Y$803,0),IFERROR(MATCH(TRIM($J390&amp;"")&amp;"|파견예정",파견수련계획!$Y$4:$Y$803,0),IFERROR(MATCH(TRIM($J390&amp;"")&amp;"|파견종료",파견수련계획!$Y$4:$Y$803,0),""))))</f>
        <v/>
      </c>
      <c r="AG390" s="10">
        <f>IF($B390="","",IF(AND(IF(OR($AC390="",인턴현황!$K$2=""),"",INDEX(인턴근무계획!$M$3:$R$402,$AC390,인턴현황!$K$2)&amp;"")&lt;&gt;"",LEFT(IF(OR($AC390="",인턴현황!$K$2=""),"",INDEX(인턴근무계획!$M$3:$R$402,$AC390,인턴현황!$K$2)&amp;""),1)&lt;&gt;"⚠"),LEFT(IF(OR($AC390="",인턴현황!$K$2=""),"",INDEX(인턴근무계획!$M$3:$R$402,$AC390,인턴현황!$K$2)&amp;""),FIND(" ",IF(OR($AC390="",인턴현황!$K$2=""),"",INDEX(인턴근무계획!$M$3:$R$402,$AC390,인턴현황!$K$2)&amp;""))-1),$AE390))</f>
        <v/>
      </c>
      <c r="AH390" s="17">
        <f>IF($B390="","",IF(TRIM($J390&amp;"")="",0,SUMPRODUCT((파견수련계획!$Q$4:$Q$803=TRIM($J390&amp;""))*(파견수련계획!$S$4:$S$803="서울병원")*파견수련계획!$W$4:$W$803))+IF($AG390="서울병원",MAX(0,DAY(EOMONTH(요약!$B$3,0))-N($X390)),0))</f>
        <v/>
      </c>
      <c r="AI390" s="17">
        <f>IF($B390="","",IF(TRIM($J390&amp;"")="",0,SUMPRODUCT((파견수련계획!$Q$4:$Q$803=TRIM($J390&amp;""))*(파견수련계획!$S$4:$S$803="구리병원")*파견수련계획!$W$4:$W$803))+IF($AG390="구리병원",MAX(0,DAY(EOMONTH(요약!$B$3,0))-N($X390)),0))</f>
        <v/>
      </c>
      <c r="AJ390" s="10">
        <f>IF(OR($B390="",TRIM($J390&amp;"")=""),"",IFERROR(MATCH(TRIM($J390&amp;"")&amp;"|월",파견수련계획!$Z$4:$Z$803,0),""))</f>
        <v/>
      </c>
      <c r="AK390" s="10">
        <f>IF(OR($B390="",TRIM($J390&amp;"")=""),"",IFERROR(MATCH(TRIM($J390&amp;"")&amp;"|다기관",파견수련계획!$AE$4:$AE$803,0),""))</f>
        <v/>
      </c>
      <c r="AL390" s="10">
        <f>IF($AK390="","","다기관 "&amp;TEXT(INDEX(파견수련계획!$AB$4:$AB$803,$AK390),"yyyy-mm-dd")&amp;"~"&amp;IF(ISNUMBER(INDEX(파견수련계획!$AC$4:$AC$803,$AK390)),TEXT(INDEX(파견수련계획!$AC$4:$AC$803,$AK390),"yyyy-mm-dd"),""))</f>
        <v/>
      </c>
    </row>
    <row r="391">
      <c r="A391" s="10">
        <f>IF(B391="","",ROW()-1)</f>
        <v/>
      </c>
      <c r="B391" s="18" t="n"/>
      <c r="C391" s="10">
        <f>IF($AB391="","",IF(INDEX(기본자료!$C$2:$C$1001,$AB391)="","",INDEX(기본자료!$C$2:$C$1001,$AB391)))</f>
        <v/>
      </c>
      <c r="D391" s="10">
        <f>IF($AB391="","",IF(INDEX(기본자료!$J$2:$J$1001,$AB391)="","",INDEX(기본자료!$J$2:$J$1001,$AB391)))</f>
        <v/>
      </c>
      <c r="E391" s="11">
        <f>IF($AB391="","",IF(INDEX(기본자료!$K$2:$K$1001,$AB391)="","",IF(NOT(ISNUMBER(INDEX(기본자료!$K$2:$K$1001,$AB391))),INDEX(기본자료!$K$2:$K$1001,$AB391),IF(INDEX(기본자료!$K$2:$K$1001,$AB391)&lt;1000000,INDEX(기본자료!$K$2:$K$1001,$AB391),IF(AND(INDEX(기본자료!$K$2:$K$1001,$AB391)&gt;=10000101,INT(MOD(INDEX(기본자료!$K$2:$K$1001,$AB391),10000)/100)&gt;=1,INT(MOD(INDEX(기본자료!$K$2:$K$1001,$AB391),10000)/100)&lt;=12,MOD(INDEX(기본자료!$K$2:$K$1001,$AB391),100)&gt;=1,MOD(INDEX(기본자료!$K$2:$K$1001,$AB391),100)&lt;=31),DATE(INT(INDEX(기본자료!$K$2:$K$1001,$AB391)/10000),INT(MOD(INDEX(기본자료!$K$2:$K$1001,$AB391),10000)/100),MOD(INDEX(기본자료!$K$2:$K$1001,$AB391),100)),INDEX(기본자료!$K$2:$K$1001,$AB391)&amp;"")))))</f>
        <v/>
      </c>
      <c r="F391" s="10">
        <f>IF($AB391="","",IF(INDEX(기본자료!$D$2:$D$1001,$AB391)="","",INDEX(기본자료!$D$2:$D$1001,$AB391)))</f>
        <v/>
      </c>
      <c r="G391" s="10">
        <f>IF($AB391="","",IF(INDEX(기본자료!$E$2:$E$1001,$AB391)="","",INDEX(기본자료!$E$2:$E$1001,$AB391)))</f>
        <v/>
      </c>
      <c r="H391" s="10">
        <f>IF($AB391="","",IF(INDEX(기본자료!$F$2:$F$1001,$AB391)="","",INDEX(기본자료!$F$2:$F$1001,$AB391)))</f>
        <v/>
      </c>
      <c r="I391" s="11">
        <f>IF($AB391="","",IF(INDEX(기본자료!$G$2:$G$1001,$AB391)="","",IF(NOT(ISNUMBER(INDEX(기본자료!$G$2:$G$1001,$AB391))),INDEX(기본자료!$G$2:$G$1001,$AB391),IF(INDEX(기본자료!$G$2:$G$1001,$AB391)&lt;1000000,INDEX(기본자료!$G$2:$G$1001,$AB391),IF(AND(INDEX(기본자료!$G$2:$G$1001,$AB391)&gt;=10000101,INT(MOD(INDEX(기본자료!$G$2:$G$1001,$AB391),10000)/100)&gt;=1,INT(MOD(INDEX(기본자료!$G$2:$G$1001,$AB391),10000)/100)&lt;=12,MOD(INDEX(기본자료!$G$2:$G$1001,$AB391),100)&gt;=1,MOD(INDEX(기본자료!$G$2:$G$1001,$AB391),100)&lt;=31),DATE(INT(INDEX(기본자료!$G$2:$G$1001,$AB391)/10000),INT(MOD(INDEX(기본자료!$G$2:$G$1001,$AB391),10000)/100),MOD(INDEX(기본자료!$G$2:$G$1001,$AB391),100)),INDEX(기본자료!$G$2:$G$1001,$AB391)&amp;"")))))</f>
        <v/>
      </c>
      <c r="J391" s="10">
        <f>IF($AB391="","",IF(INDEX(기본자료!$H$2:$H$1001,$AB391)="","",INDEX(기본자료!$H$2:$H$1001,$AB391)))</f>
        <v/>
      </c>
      <c r="K391" s="10">
        <f>IF($AB391="","",IF(INDEX(기본자료!$I$2:$I$1001,$AB391)="","",INDEX(기본자료!$I$2:$I$1001,$AB391)))</f>
        <v/>
      </c>
      <c r="L391" s="10">
        <f>IF($AB391="","",IF(INDEX(기본자료!$A$2:$A$1001,$AB391)="","",INDEX(기본자료!$A$2:$A$1001,$AB391)))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파견수련계획!$AB$4:$AB$803,$AK391),OR(NOT(ISNUMBER(INDEX(파견수련계획!$AC$4:$AC$803,$AK391))),TODAY()&lt;=INDEX(파견수련계획!$AC$4:$AC$803,$AK391))),"다기관",IF($AF391="","",INDEX(파견수련계획!$T$4:$T$803,$AF391))),IF($AF391="","",INDEX(파견수련계획!$T$4:$T$803,$AF391))))</f>
        <v/>
      </c>
      <c r="Q391" s="10">
        <f>IF($AF391="","",INDEX(파견수련계획!$S$4:$S$803,$AF391))</f>
        <v/>
      </c>
      <c r="R391" s="10">
        <f>IF($AF391="","",INDEX(파견수련계획!$U$4:$U$803,$AF391))</f>
        <v/>
      </c>
      <c r="S391" s="11">
        <f>IF($AF391="","",IF(INDEX(파견수련계획!$H$4:$H$803,$AF391)="","",INDEX(파견수련계획!$H$4:$H$803,$AF391)))</f>
        <v/>
      </c>
      <c r="T391" s="11">
        <f>IF($AF391="","",IF(INDEX(파견수련계획!$I$4:$I$803,$AF391)="","",INDEX(파견수련계획!$I$4:$I$803,$AF391)))</f>
        <v/>
      </c>
      <c r="U391" s="10">
        <f>IF($AF391="","",INDEX(파견수련계획!$X$4:$X$803,$AF391))</f>
        <v/>
      </c>
      <c r="V391" s="17">
        <f>IF($AF391="","",INDEX(파견수련계획!$V$4:$V$803,$AF391))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IF(OR($B391="",TRIM($J391&amp;"")=""),"",SUMPRODUCT((파견수련계획!$Q$4:$Q$803=TRIM($J391&amp;""))*파견수련계획!$W$4:$W$803))</f>
        <v/>
      </c>
      <c r="Y391" s="10">
        <f>IF($B391="","",IF($AG391="","",IF(IF(TRIM($J391&amp;"")="",0,SUMPRODUCT((파견수련계획!$Q$4:$Q$803=TRIM($J391&amp;""))*파견수련계획!$AD$4:$AD$803))&gt;0,$AE391,IF(N($X391)&lt;=0,$AG391,IF($AH391+$AI391=DAY(EOMONTH(요약!$B$3,0)),IF(AND($AH391&gt;=요약!$E$3,$AI391&lt;요약!$E$3),"서울병원",IF(AND($AI391&gt;=요약!$E$3,$AH391&lt;요약!$E$3),"구리병원","⚠15일 판정불가(서울 "&amp;$AH391&amp;"일/구리 "&amp;$AI391&amp;"일)")),IF($AJ391="",$AE391,IF(INDEX(파견수련계획!$T$4:$T$803,$AJ391)="통합수련",INDEX(파견수련계획!$S$4:$S$803,$AJ391),$AE391)))))))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입력",IF(IF(TRIM($J391&amp;"")="",0,SUMPRODUCT((파견수련계획!$Q$4:$Q$803=TRIM($J391&amp;""))*(파견수련계획!$AA$4:$AA$803&lt;&gt;"")))&gt;0,"파견수련계획 입력오류 확인",IF(LEFT($Y391,1)="⚠","서울·구리 15일 판정 불가(양쪽 모두 이상/미만)",IF(IF($AC391="",0,N(INDEX(인턴근무계획!$T$3:$T$402,$AC391)))&gt;0,"인턴계획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IF($B391="","",IFERROR(MATCH($B391,기본자료!$B$2:$B$1001,0),IFERROR(MATCH($B391&amp;"",기본자료!$B$2:$B$1001,0),IFERROR(MATCH(VALUE($B391),기본자료!$B$2:$B$1001,0),""))))</f>
        <v/>
      </c>
      <c r="AC391" s="10">
        <f>IF($B391="","",IFERROR(MATCH($B391,인턴근무계획!$D$3:$D$402,0),IFERROR(MATCH($B391&amp;"",인턴근무계획!$D$3:$D$402,0),IFERROR(MATCH(VALUE($B391),인턴근무계획!$D$3:$D$402,0),""))))</f>
        <v/>
      </c>
      <c r="AD391" s="10">
        <f>IF(OR($AC391="",인턴현황!$G$3=""),"",INDEX(인턴근무계획!$M$3:$R$402,$AC391,인턴현황!$G$3)&amp;"")</f>
        <v/>
      </c>
      <c r="AE391" s="10">
        <f>IF($B391="","",IF($M391&lt;&gt;"",$M391,IF($AF391&lt;&gt;"",IF(LEFT(INDEX(파견수련계획!$R$4:$R$803,$AF391),1)&lt;&gt;"⚠",INDEX(파견수련계획!$R$4:$R$803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파견수련계획!$Y$4:$Y$803,0),IFERROR(MATCH(TRIM($J391&amp;"")&amp;"|파견예정",파견수련계획!$Y$4:$Y$803,0),IFERROR(MATCH(TRIM($J391&amp;"")&amp;"|파견종료",파견수련계획!$Y$4:$Y$803,0),""))))</f>
        <v/>
      </c>
      <c r="AG391" s="10">
        <f>IF($B391="","",IF(AND(IF(OR($AC391="",인턴현황!$K$2=""),"",INDEX(인턴근무계획!$M$3:$R$402,$AC391,인턴현황!$K$2)&amp;"")&lt;&gt;"",LEFT(IF(OR($AC391="",인턴현황!$K$2=""),"",INDEX(인턴근무계획!$M$3:$R$402,$AC391,인턴현황!$K$2)&amp;""),1)&lt;&gt;"⚠"),LEFT(IF(OR($AC391="",인턴현황!$K$2=""),"",INDEX(인턴근무계획!$M$3:$R$402,$AC391,인턴현황!$K$2)&amp;""),FIND(" ",IF(OR($AC391="",인턴현황!$K$2=""),"",INDEX(인턴근무계획!$M$3:$R$402,$AC391,인턴현황!$K$2)&amp;""))-1),$AE391))</f>
        <v/>
      </c>
      <c r="AH391" s="17">
        <f>IF($B391="","",IF(TRIM($J391&amp;"")="",0,SUMPRODUCT((파견수련계획!$Q$4:$Q$803=TRIM($J391&amp;""))*(파견수련계획!$S$4:$S$803="서울병원")*파견수련계획!$W$4:$W$803))+IF($AG391="서울병원",MAX(0,DAY(EOMONTH(요약!$B$3,0))-N($X391)),0))</f>
        <v/>
      </c>
      <c r="AI391" s="17">
        <f>IF($B391="","",IF(TRIM($J391&amp;"")="",0,SUMPRODUCT((파견수련계획!$Q$4:$Q$803=TRIM($J391&amp;""))*(파견수련계획!$S$4:$S$803="구리병원")*파견수련계획!$W$4:$W$803))+IF($AG391="구리병원",MAX(0,DAY(EOMONTH(요약!$B$3,0))-N($X391)),0))</f>
        <v/>
      </c>
      <c r="AJ391" s="10">
        <f>IF(OR($B391="",TRIM($J391&amp;"")=""),"",IFERROR(MATCH(TRIM($J391&amp;"")&amp;"|월",파견수련계획!$Z$4:$Z$803,0),""))</f>
        <v/>
      </c>
      <c r="AK391" s="10">
        <f>IF(OR($B391="",TRIM($J391&amp;"")=""),"",IFERROR(MATCH(TRIM($J391&amp;"")&amp;"|다기관",파견수련계획!$AE$4:$AE$803,0),""))</f>
        <v/>
      </c>
      <c r="AL391" s="10">
        <f>IF($AK391="","","다기관 "&amp;TEXT(INDEX(파견수련계획!$AB$4:$AB$803,$AK391),"yyyy-mm-dd")&amp;"~"&amp;IF(ISNUMBER(INDEX(파견수련계획!$AC$4:$AC$803,$AK391)),TEXT(INDEX(파견수련계획!$AC$4:$AC$803,$AK391),"yyyy-mm-dd"),""))</f>
        <v/>
      </c>
    </row>
    <row r="392">
      <c r="A392" s="10">
        <f>IF(B392="","",ROW()-1)</f>
        <v/>
      </c>
      <c r="B392" s="18" t="n"/>
      <c r="C392" s="10">
        <f>IF($AB392="","",IF(INDEX(기본자료!$C$2:$C$1001,$AB392)="","",INDEX(기본자료!$C$2:$C$1001,$AB392)))</f>
        <v/>
      </c>
      <c r="D392" s="10">
        <f>IF($AB392="","",IF(INDEX(기본자료!$J$2:$J$1001,$AB392)="","",INDEX(기본자료!$J$2:$J$1001,$AB392)))</f>
        <v/>
      </c>
      <c r="E392" s="11">
        <f>IF($AB392="","",IF(INDEX(기본자료!$K$2:$K$1001,$AB392)="","",IF(NOT(ISNUMBER(INDEX(기본자료!$K$2:$K$1001,$AB392))),INDEX(기본자료!$K$2:$K$1001,$AB392),IF(INDEX(기본자료!$K$2:$K$1001,$AB392)&lt;1000000,INDEX(기본자료!$K$2:$K$1001,$AB392),IF(AND(INDEX(기본자료!$K$2:$K$1001,$AB392)&gt;=10000101,INT(MOD(INDEX(기본자료!$K$2:$K$1001,$AB392),10000)/100)&gt;=1,INT(MOD(INDEX(기본자료!$K$2:$K$1001,$AB392),10000)/100)&lt;=12,MOD(INDEX(기본자료!$K$2:$K$1001,$AB392),100)&gt;=1,MOD(INDEX(기본자료!$K$2:$K$1001,$AB392),100)&lt;=31),DATE(INT(INDEX(기본자료!$K$2:$K$1001,$AB392)/10000),INT(MOD(INDEX(기본자료!$K$2:$K$1001,$AB392),10000)/100),MOD(INDEX(기본자료!$K$2:$K$1001,$AB392),100)),INDEX(기본자료!$K$2:$K$1001,$AB392)&amp;"")))))</f>
        <v/>
      </c>
      <c r="F392" s="10">
        <f>IF($AB392="","",IF(INDEX(기본자료!$D$2:$D$1001,$AB392)="","",INDEX(기본자료!$D$2:$D$1001,$AB392)))</f>
        <v/>
      </c>
      <c r="G392" s="10">
        <f>IF($AB392="","",IF(INDEX(기본자료!$E$2:$E$1001,$AB392)="","",INDEX(기본자료!$E$2:$E$1001,$AB392)))</f>
        <v/>
      </c>
      <c r="H392" s="10">
        <f>IF($AB392="","",IF(INDEX(기본자료!$F$2:$F$1001,$AB392)="","",INDEX(기본자료!$F$2:$F$1001,$AB392)))</f>
        <v/>
      </c>
      <c r="I392" s="11">
        <f>IF($AB392="","",IF(INDEX(기본자료!$G$2:$G$1001,$AB392)="","",IF(NOT(ISNUMBER(INDEX(기본자료!$G$2:$G$1001,$AB392))),INDEX(기본자료!$G$2:$G$1001,$AB392),IF(INDEX(기본자료!$G$2:$G$1001,$AB392)&lt;1000000,INDEX(기본자료!$G$2:$G$1001,$AB392),IF(AND(INDEX(기본자료!$G$2:$G$1001,$AB392)&gt;=10000101,INT(MOD(INDEX(기본자료!$G$2:$G$1001,$AB392),10000)/100)&gt;=1,INT(MOD(INDEX(기본자료!$G$2:$G$1001,$AB392),10000)/100)&lt;=12,MOD(INDEX(기본자료!$G$2:$G$1001,$AB392),100)&gt;=1,MOD(INDEX(기본자료!$G$2:$G$1001,$AB392),100)&lt;=31),DATE(INT(INDEX(기본자료!$G$2:$G$1001,$AB392)/10000),INT(MOD(INDEX(기본자료!$G$2:$G$1001,$AB392),10000)/100),MOD(INDEX(기본자료!$G$2:$G$1001,$AB392),100)),INDEX(기본자료!$G$2:$G$1001,$AB392)&amp;"")))))</f>
        <v/>
      </c>
      <c r="J392" s="10">
        <f>IF($AB392="","",IF(INDEX(기본자료!$H$2:$H$1001,$AB392)="","",INDEX(기본자료!$H$2:$H$1001,$AB392)))</f>
        <v/>
      </c>
      <c r="K392" s="10">
        <f>IF($AB392="","",IF(INDEX(기본자료!$I$2:$I$1001,$AB392)="","",INDEX(기본자료!$I$2:$I$1001,$AB392)))</f>
        <v/>
      </c>
      <c r="L392" s="10">
        <f>IF($AB392="","",IF(INDEX(기본자료!$A$2:$A$1001,$AB392)="","",INDEX(기본자료!$A$2:$A$1001,$AB392)))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파견수련계획!$AB$4:$AB$803,$AK392),OR(NOT(ISNUMBER(INDEX(파견수련계획!$AC$4:$AC$803,$AK392))),TODAY()&lt;=INDEX(파견수련계획!$AC$4:$AC$803,$AK392))),"다기관",IF($AF392="","",INDEX(파견수련계획!$T$4:$T$803,$AF392))),IF($AF392="","",INDEX(파견수련계획!$T$4:$T$803,$AF392))))</f>
        <v/>
      </c>
      <c r="Q392" s="10">
        <f>IF($AF392="","",INDEX(파견수련계획!$S$4:$S$803,$AF392))</f>
        <v/>
      </c>
      <c r="R392" s="10">
        <f>IF($AF392="","",INDEX(파견수련계획!$U$4:$U$803,$AF392))</f>
        <v/>
      </c>
      <c r="S392" s="11">
        <f>IF($AF392="","",IF(INDEX(파견수련계획!$H$4:$H$803,$AF392)="","",INDEX(파견수련계획!$H$4:$H$803,$AF392)))</f>
        <v/>
      </c>
      <c r="T392" s="11">
        <f>IF($AF392="","",IF(INDEX(파견수련계획!$I$4:$I$803,$AF392)="","",INDEX(파견수련계획!$I$4:$I$803,$AF392)))</f>
        <v/>
      </c>
      <c r="U392" s="10">
        <f>IF($AF392="","",INDEX(파견수련계획!$X$4:$X$803,$AF392))</f>
        <v/>
      </c>
      <c r="V392" s="17">
        <f>IF($AF392="","",INDEX(파견수련계획!$V$4:$V$803,$AF392))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IF(OR($B392="",TRIM($J392&amp;"")=""),"",SUMPRODUCT((파견수련계획!$Q$4:$Q$803=TRIM($J392&amp;""))*파견수련계획!$W$4:$W$803))</f>
        <v/>
      </c>
      <c r="Y392" s="10">
        <f>IF($B392="","",IF($AG392="","",IF(IF(TRIM($J392&amp;"")="",0,SUMPRODUCT((파견수련계획!$Q$4:$Q$803=TRIM($J392&amp;""))*파견수련계획!$AD$4:$AD$803))&gt;0,$AE392,IF(N($X392)&lt;=0,$AG392,IF($AH392+$AI392=DAY(EOMONTH(요약!$B$3,0)),IF(AND($AH392&gt;=요약!$E$3,$AI392&lt;요약!$E$3),"서울병원",IF(AND($AI392&gt;=요약!$E$3,$AH392&lt;요약!$E$3),"구리병원","⚠15일 판정불가(서울 "&amp;$AH392&amp;"일/구리 "&amp;$AI392&amp;"일)")),IF($AJ392="",$AE392,IF(INDEX(파견수련계획!$T$4:$T$803,$AJ392)="통합수련",INDEX(파견수련계획!$S$4:$S$803,$AJ392),$AE392)))))))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입력",IF(IF(TRIM($J392&amp;"")="",0,SUMPRODUCT((파견수련계획!$Q$4:$Q$803=TRIM($J392&amp;""))*(파견수련계획!$AA$4:$AA$803&lt;&gt;"")))&gt;0,"파견수련계획 입력오류 확인",IF(LEFT($Y392,1)="⚠","서울·구리 15일 판정 불가(양쪽 모두 이상/미만)",IF(IF($AC392="",0,N(INDEX(인턴근무계획!$T$3:$T$402,$AC392)))&gt;0,"인턴계획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IF($B392="","",IFERROR(MATCH($B392,기본자료!$B$2:$B$1001,0),IFERROR(MATCH($B392&amp;"",기본자료!$B$2:$B$1001,0),IFERROR(MATCH(VALUE($B392),기본자료!$B$2:$B$1001,0),""))))</f>
        <v/>
      </c>
      <c r="AC392" s="10">
        <f>IF($B392="","",IFERROR(MATCH($B392,인턴근무계획!$D$3:$D$402,0),IFERROR(MATCH($B392&amp;"",인턴근무계획!$D$3:$D$402,0),IFERROR(MATCH(VALUE($B392),인턴근무계획!$D$3:$D$402,0),""))))</f>
        <v/>
      </c>
      <c r="AD392" s="10">
        <f>IF(OR($AC392="",인턴현황!$G$3=""),"",INDEX(인턴근무계획!$M$3:$R$402,$AC392,인턴현황!$G$3)&amp;"")</f>
        <v/>
      </c>
      <c r="AE392" s="10">
        <f>IF($B392="","",IF($M392&lt;&gt;"",$M392,IF($AF392&lt;&gt;"",IF(LEFT(INDEX(파견수련계획!$R$4:$R$803,$AF392),1)&lt;&gt;"⚠",INDEX(파견수련계획!$R$4:$R$803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파견수련계획!$Y$4:$Y$803,0),IFERROR(MATCH(TRIM($J392&amp;"")&amp;"|파견예정",파견수련계획!$Y$4:$Y$803,0),IFERROR(MATCH(TRIM($J392&amp;"")&amp;"|파견종료",파견수련계획!$Y$4:$Y$803,0),""))))</f>
        <v/>
      </c>
      <c r="AG392" s="10">
        <f>IF($B392="","",IF(AND(IF(OR($AC392="",인턴현황!$K$2=""),"",INDEX(인턴근무계획!$M$3:$R$402,$AC392,인턴현황!$K$2)&amp;"")&lt;&gt;"",LEFT(IF(OR($AC392="",인턴현황!$K$2=""),"",INDEX(인턴근무계획!$M$3:$R$402,$AC392,인턴현황!$K$2)&amp;""),1)&lt;&gt;"⚠"),LEFT(IF(OR($AC392="",인턴현황!$K$2=""),"",INDEX(인턴근무계획!$M$3:$R$402,$AC392,인턴현황!$K$2)&amp;""),FIND(" ",IF(OR($AC392="",인턴현황!$K$2=""),"",INDEX(인턴근무계획!$M$3:$R$402,$AC392,인턴현황!$K$2)&amp;""))-1),$AE392))</f>
        <v/>
      </c>
      <c r="AH392" s="17">
        <f>IF($B392="","",IF(TRIM($J392&amp;"")="",0,SUMPRODUCT((파견수련계획!$Q$4:$Q$803=TRIM($J392&amp;""))*(파견수련계획!$S$4:$S$803="서울병원")*파견수련계획!$W$4:$W$803))+IF($AG392="서울병원",MAX(0,DAY(EOMONTH(요약!$B$3,0))-N($X392)),0))</f>
        <v/>
      </c>
      <c r="AI392" s="17">
        <f>IF($B392="","",IF(TRIM($J392&amp;"")="",0,SUMPRODUCT((파견수련계획!$Q$4:$Q$803=TRIM($J392&amp;""))*(파견수련계획!$S$4:$S$803="구리병원")*파견수련계획!$W$4:$W$803))+IF($AG392="구리병원",MAX(0,DAY(EOMONTH(요약!$B$3,0))-N($X392)),0))</f>
        <v/>
      </c>
      <c r="AJ392" s="10">
        <f>IF(OR($B392="",TRIM($J392&amp;"")=""),"",IFERROR(MATCH(TRIM($J392&amp;"")&amp;"|월",파견수련계획!$Z$4:$Z$803,0),""))</f>
        <v/>
      </c>
      <c r="AK392" s="10">
        <f>IF(OR($B392="",TRIM($J392&amp;"")=""),"",IFERROR(MATCH(TRIM($J392&amp;"")&amp;"|다기관",파견수련계획!$AE$4:$AE$803,0),""))</f>
        <v/>
      </c>
      <c r="AL392" s="10">
        <f>IF($AK392="","","다기관 "&amp;TEXT(INDEX(파견수련계획!$AB$4:$AB$803,$AK392),"yyyy-mm-dd")&amp;"~"&amp;IF(ISNUMBER(INDEX(파견수련계획!$AC$4:$AC$803,$AK392)),TEXT(INDEX(파견수련계획!$AC$4:$AC$803,$AK392),"yyyy-mm-dd"),""))</f>
        <v/>
      </c>
    </row>
    <row r="393">
      <c r="A393" s="10">
        <f>IF(B393="","",ROW()-1)</f>
        <v/>
      </c>
      <c r="B393" s="18" t="n"/>
      <c r="C393" s="10">
        <f>IF($AB393="","",IF(INDEX(기본자료!$C$2:$C$1001,$AB393)="","",INDEX(기본자료!$C$2:$C$1001,$AB393)))</f>
        <v/>
      </c>
      <c r="D393" s="10">
        <f>IF($AB393="","",IF(INDEX(기본자료!$J$2:$J$1001,$AB393)="","",INDEX(기본자료!$J$2:$J$1001,$AB393)))</f>
        <v/>
      </c>
      <c r="E393" s="11">
        <f>IF($AB393="","",IF(INDEX(기본자료!$K$2:$K$1001,$AB393)="","",IF(NOT(ISNUMBER(INDEX(기본자료!$K$2:$K$1001,$AB393))),INDEX(기본자료!$K$2:$K$1001,$AB393),IF(INDEX(기본자료!$K$2:$K$1001,$AB393)&lt;1000000,INDEX(기본자료!$K$2:$K$1001,$AB393),IF(AND(INDEX(기본자료!$K$2:$K$1001,$AB393)&gt;=10000101,INT(MOD(INDEX(기본자료!$K$2:$K$1001,$AB393),10000)/100)&gt;=1,INT(MOD(INDEX(기본자료!$K$2:$K$1001,$AB393),10000)/100)&lt;=12,MOD(INDEX(기본자료!$K$2:$K$1001,$AB393),100)&gt;=1,MOD(INDEX(기본자료!$K$2:$K$1001,$AB393),100)&lt;=31),DATE(INT(INDEX(기본자료!$K$2:$K$1001,$AB393)/10000),INT(MOD(INDEX(기본자료!$K$2:$K$1001,$AB393),10000)/100),MOD(INDEX(기본자료!$K$2:$K$1001,$AB393),100)),INDEX(기본자료!$K$2:$K$1001,$AB393)&amp;"")))))</f>
        <v/>
      </c>
      <c r="F393" s="10">
        <f>IF($AB393="","",IF(INDEX(기본자료!$D$2:$D$1001,$AB393)="","",INDEX(기본자료!$D$2:$D$1001,$AB393)))</f>
        <v/>
      </c>
      <c r="G393" s="10">
        <f>IF($AB393="","",IF(INDEX(기본자료!$E$2:$E$1001,$AB393)="","",INDEX(기본자료!$E$2:$E$1001,$AB393)))</f>
        <v/>
      </c>
      <c r="H393" s="10">
        <f>IF($AB393="","",IF(INDEX(기본자료!$F$2:$F$1001,$AB393)="","",INDEX(기본자료!$F$2:$F$1001,$AB393)))</f>
        <v/>
      </c>
      <c r="I393" s="11">
        <f>IF($AB393="","",IF(INDEX(기본자료!$G$2:$G$1001,$AB393)="","",IF(NOT(ISNUMBER(INDEX(기본자료!$G$2:$G$1001,$AB393))),INDEX(기본자료!$G$2:$G$1001,$AB393),IF(INDEX(기본자료!$G$2:$G$1001,$AB393)&lt;1000000,INDEX(기본자료!$G$2:$G$1001,$AB393),IF(AND(INDEX(기본자료!$G$2:$G$1001,$AB393)&gt;=10000101,INT(MOD(INDEX(기본자료!$G$2:$G$1001,$AB393),10000)/100)&gt;=1,INT(MOD(INDEX(기본자료!$G$2:$G$1001,$AB393),10000)/100)&lt;=12,MOD(INDEX(기본자료!$G$2:$G$1001,$AB393),100)&gt;=1,MOD(INDEX(기본자료!$G$2:$G$1001,$AB393),100)&lt;=31),DATE(INT(INDEX(기본자료!$G$2:$G$1001,$AB393)/10000),INT(MOD(INDEX(기본자료!$G$2:$G$1001,$AB393),10000)/100),MOD(INDEX(기본자료!$G$2:$G$1001,$AB393),100)),INDEX(기본자료!$G$2:$G$1001,$AB393)&amp;"")))))</f>
        <v/>
      </c>
      <c r="J393" s="10">
        <f>IF($AB393="","",IF(INDEX(기본자료!$H$2:$H$1001,$AB393)="","",INDEX(기본자료!$H$2:$H$1001,$AB393)))</f>
        <v/>
      </c>
      <c r="K393" s="10">
        <f>IF($AB393="","",IF(INDEX(기본자료!$I$2:$I$1001,$AB393)="","",INDEX(기본자료!$I$2:$I$1001,$AB393)))</f>
        <v/>
      </c>
      <c r="L393" s="10">
        <f>IF($AB393="","",IF(INDEX(기본자료!$A$2:$A$1001,$AB393)="","",INDEX(기본자료!$A$2:$A$1001,$AB393)))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파견수련계획!$AB$4:$AB$803,$AK393),OR(NOT(ISNUMBER(INDEX(파견수련계획!$AC$4:$AC$803,$AK393))),TODAY()&lt;=INDEX(파견수련계획!$AC$4:$AC$803,$AK393))),"다기관",IF($AF393="","",INDEX(파견수련계획!$T$4:$T$803,$AF393))),IF($AF393="","",INDEX(파견수련계획!$T$4:$T$803,$AF393))))</f>
        <v/>
      </c>
      <c r="Q393" s="10">
        <f>IF($AF393="","",INDEX(파견수련계획!$S$4:$S$803,$AF393))</f>
        <v/>
      </c>
      <c r="R393" s="10">
        <f>IF($AF393="","",INDEX(파견수련계획!$U$4:$U$803,$AF393))</f>
        <v/>
      </c>
      <c r="S393" s="11">
        <f>IF($AF393="","",IF(INDEX(파견수련계획!$H$4:$H$803,$AF393)="","",INDEX(파견수련계획!$H$4:$H$803,$AF393)))</f>
        <v/>
      </c>
      <c r="T393" s="11">
        <f>IF($AF393="","",IF(INDEX(파견수련계획!$I$4:$I$803,$AF393)="","",INDEX(파견수련계획!$I$4:$I$803,$AF393)))</f>
        <v/>
      </c>
      <c r="U393" s="10">
        <f>IF($AF393="","",INDEX(파견수련계획!$X$4:$X$803,$AF393))</f>
        <v/>
      </c>
      <c r="V393" s="17">
        <f>IF($AF393="","",INDEX(파견수련계획!$V$4:$V$803,$AF393))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IF(OR($B393="",TRIM($J393&amp;"")=""),"",SUMPRODUCT((파견수련계획!$Q$4:$Q$803=TRIM($J393&amp;""))*파견수련계획!$W$4:$W$803))</f>
        <v/>
      </c>
      <c r="Y393" s="10">
        <f>IF($B393="","",IF($AG393="","",IF(IF(TRIM($J393&amp;"")="",0,SUMPRODUCT((파견수련계획!$Q$4:$Q$803=TRIM($J393&amp;""))*파견수련계획!$AD$4:$AD$803))&gt;0,$AE393,IF(N($X393)&lt;=0,$AG393,IF($AH393+$AI393=DAY(EOMONTH(요약!$B$3,0)),IF(AND($AH393&gt;=요약!$E$3,$AI393&lt;요약!$E$3),"서울병원",IF(AND($AI393&gt;=요약!$E$3,$AH393&lt;요약!$E$3),"구리병원","⚠15일 판정불가(서울 "&amp;$AH393&amp;"일/구리 "&amp;$AI393&amp;"일)")),IF($AJ393="",$AE393,IF(INDEX(파견수련계획!$T$4:$T$803,$AJ393)="통합수련",INDEX(파견수련계획!$S$4:$S$803,$AJ393),$AE393)))))))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입력",IF(IF(TRIM($J393&amp;"")="",0,SUMPRODUCT((파견수련계획!$Q$4:$Q$803=TRIM($J393&amp;""))*(파견수련계획!$AA$4:$AA$803&lt;&gt;"")))&gt;0,"파견수련계획 입력오류 확인",IF(LEFT($Y393,1)="⚠","서울·구리 15일 판정 불가(양쪽 모두 이상/미만)",IF(IF($AC393="",0,N(INDEX(인턴근무계획!$T$3:$T$402,$AC393)))&gt;0,"인턴계획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IF($B393="","",IFERROR(MATCH($B393,기본자료!$B$2:$B$1001,0),IFERROR(MATCH($B393&amp;"",기본자료!$B$2:$B$1001,0),IFERROR(MATCH(VALUE($B393),기본자료!$B$2:$B$1001,0),""))))</f>
        <v/>
      </c>
      <c r="AC393" s="10">
        <f>IF($B393="","",IFERROR(MATCH($B393,인턴근무계획!$D$3:$D$402,0),IFERROR(MATCH($B393&amp;"",인턴근무계획!$D$3:$D$402,0),IFERROR(MATCH(VALUE($B393),인턴근무계획!$D$3:$D$402,0),""))))</f>
        <v/>
      </c>
      <c r="AD393" s="10">
        <f>IF(OR($AC393="",인턴현황!$G$3=""),"",INDEX(인턴근무계획!$M$3:$R$402,$AC393,인턴현황!$G$3)&amp;"")</f>
        <v/>
      </c>
      <c r="AE393" s="10">
        <f>IF($B393="","",IF($M393&lt;&gt;"",$M393,IF($AF393&lt;&gt;"",IF(LEFT(INDEX(파견수련계획!$R$4:$R$803,$AF393),1)&lt;&gt;"⚠",INDEX(파견수련계획!$R$4:$R$803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파견수련계획!$Y$4:$Y$803,0),IFERROR(MATCH(TRIM($J393&amp;"")&amp;"|파견예정",파견수련계획!$Y$4:$Y$803,0),IFERROR(MATCH(TRIM($J393&amp;"")&amp;"|파견종료",파견수련계획!$Y$4:$Y$803,0),""))))</f>
        <v/>
      </c>
      <c r="AG393" s="10">
        <f>IF($B393="","",IF(AND(IF(OR($AC393="",인턴현황!$K$2=""),"",INDEX(인턴근무계획!$M$3:$R$402,$AC393,인턴현황!$K$2)&amp;"")&lt;&gt;"",LEFT(IF(OR($AC393="",인턴현황!$K$2=""),"",INDEX(인턴근무계획!$M$3:$R$402,$AC393,인턴현황!$K$2)&amp;""),1)&lt;&gt;"⚠"),LEFT(IF(OR($AC393="",인턴현황!$K$2=""),"",INDEX(인턴근무계획!$M$3:$R$402,$AC393,인턴현황!$K$2)&amp;""),FIND(" ",IF(OR($AC393="",인턴현황!$K$2=""),"",INDEX(인턴근무계획!$M$3:$R$402,$AC393,인턴현황!$K$2)&amp;""))-1),$AE393))</f>
        <v/>
      </c>
      <c r="AH393" s="17">
        <f>IF($B393="","",IF(TRIM($J393&amp;"")="",0,SUMPRODUCT((파견수련계획!$Q$4:$Q$803=TRIM($J393&amp;""))*(파견수련계획!$S$4:$S$803="서울병원")*파견수련계획!$W$4:$W$803))+IF($AG393="서울병원",MAX(0,DAY(EOMONTH(요약!$B$3,0))-N($X393)),0))</f>
        <v/>
      </c>
      <c r="AI393" s="17">
        <f>IF($B393="","",IF(TRIM($J393&amp;"")="",0,SUMPRODUCT((파견수련계획!$Q$4:$Q$803=TRIM($J393&amp;""))*(파견수련계획!$S$4:$S$803="구리병원")*파견수련계획!$W$4:$W$803))+IF($AG393="구리병원",MAX(0,DAY(EOMONTH(요약!$B$3,0))-N($X393)),0))</f>
        <v/>
      </c>
      <c r="AJ393" s="10">
        <f>IF(OR($B393="",TRIM($J393&amp;"")=""),"",IFERROR(MATCH(TRIM($J393&amp;"")&amp;"|월",파견수련계획!$Z$4:$Z$803,0),""))</f>
        <v/>
      </c>
      <c r="AK393" s="10">
        <f>IF(OR($B393="",TRIM($J393&amp;"")=""),"",IFERROR(MATCH(TRIM($J393&amp;"")&amp;"|다기관",파견수련계획!$AE$4:$AE$803,0),""))</f>
        <v/>
      </c>
      <c r="AL393" s="10">
        <f>IF($AK393="","","다기관 "&amp;TEXT(INDEX(파견수련계획!$AB$4:$AB$803,$AK393),"yyyy-mm-dd")&amp;"~"&amp;IF(ISNUMBER(INDEX(파견수련계획!$AC$4:$AC$803,$AK393)),TEXT(INDEX(파견수련계획!$AC$4:$AC$803,$AK393),"yyyy-mm-dd"),""))</f>
        <v/>
      </c>
    </row>
    <row r="394">
      <c r="A394" s="10">
        <f>IF(B394="","",ROW()-1)</f>
        <v/>
      </c>
      <c r="B394" s="18" t="n"/>
      <c r="C394" s="10">
        <f>IF($AB394="","",IF(INDEX(기본자료!$C$2:$C$1001,$AB394)="","",INDEX(기본자료!$C$2:$C$1001,$AB394)))</f>
        <v/>
      </c>
      <c r="D394" s="10">
        <f>IF($AB394="","",IF(INDEX(기본자료!$J$2:$J$1001,$AB394)="","",INDEX(기본자료!$J$2:$J$1001,$AB394)))</f>
        <v/>
      </c>
      <c r="E394" s="11">
        <f>IF($AB394="","",IF(INDEX(기본자료!$K$2:$K$1001,$AB394)="","",IF(NOT(ISNUMBER(INDEX(기본자료!$K$2:$K$1001,$AB394))),INDEX(기본자료!$K$2:$K$1001,$AB394),IF(INDEX(기본자료!$K$2:$K$1001,$AB394)&lt;1000000,INDEX(기본자료!$K$2:$K$1001,$AB394),IF(AND(INDEX(기본자료!$K$2:$K$1001,$AB394)&gt;=10000101,INT(MOD(INDEX(기본자료!$K$2:$K$1001,$AB394),10000)/100)&gt;=1,INT(MOD(INDEX(기본자료!$K$2:$K$1001,$AB394),10000)/100)&lt;=12,MOD(INDEX(기본자료!$K$2:$K$1001,$AB394),100)&gt;=1,MOD(INDEX(기본자료!$K$2:$K$1001,$AB394),100)&lt;=31),DATE(INT(INDEX(기본자료!$K$2:$K$1001,$AB394)/10000),INT(MOD(INDEX(기본자료!$K$2:$K$1001,$AB394),10000)/100),MOD(INDEX(기본자료!$K$2:$K$1001,$AB394),100)),INDEX(기본자료!$K$2:$K$1001,$AB394)&amp;"")))))</f>
        <v/>
      </c>
      <c r="F394" s="10">
        <f>IF($AB394="","",IF(INDEX(기본자료!$D$2:$D$1001,$AB394)="","",INDEX(기본자료!$D$2:$D$1001,$AB394)))</f>
        <v/>
      </c>
      <c r="G394" s="10">
        <f>IF($AB394="","",IF(INDEX(기본자료!$E$2:$E$1001,$AB394)="","",INDEX(기본자료!$E$2:$E$1001,$AB394)))</f>
        <v/>
      </c>
      <c r="H394" s="10">
        <f>IF($AB394="","",IF(INDEX(기본자료!$F$2:$F$1001,$AB394)="","",INDEX(기본자료!$F$2:$F$1001,$AB394)))</f>
        <v/>
      </c>
      <c r="I394" s="11">
        <f>IF($AB394="","",IF(INDEX(기본자료!$G$2:$G$1001,$AB394)="","",IF(NOT(ISNUMBER(INDEX(기본자료!$G$2:$G$1001,$AB394))),INDEX(기본자료!$G$2:$G$1001,$AB394),IF(INDEX(기본자료!$G$2:$G$1001,$AB394)&lt;1000000,INDEX(기본자료!$G$2:$G$1001,$AB394),IF(AND(INDEX(기본자료!$G$2:$G$1001,$AB394)&gt;=10000101,INT(MOD(INDEX(기본자료!$G$2:$G$1001,$AB394),10000)/100)&gt;=1,INT(MOD(INDEX(기본자료!$G$2:$G$1001,$AB394),10000)/100)&lt;=12,MOD(INDEX(기본자료!$G$2:$G$1001,$AB394),100)&gt;=1,MOD(INDEX(기본자료!$G$2:$G$1001,$AB394),100)&lt;=31),DATE(INT(INDEX(기본자료!$G$2:$G$1001,$AB394)/10000),INT(MOD(INDEX(기본자료!$G$2:$G$1001,$AB394),10000)/100),MOD(INDEX(기본자료!$G$2:$G$1001,$AB394),100)),INDEX(기본자료!$G$2:$G$1001,$AB394)&amp;"")))))</f>
        <v/>
      </c>
      <c r="J394" s="10">
        <f>IF($AB394="","",IF(INDEX(기본자료!$H$2:$H$1001,$AB394)="","",INDEX(기본자료!$H$2:$H$1001,$AB394)))</f>
        <v/>
      </c>
      <c r="K394" s="10">
        <f>IF($AB394="","",IF(INDEX(기본자료!$I$2:$I$1001,$AB394)="","",INDEX(기본자료!$I$2:$I$1001,$AB394)))</f>
        <v/>
      </c>
      <c r="L394" s="10">
        <f>IF($AB394="","",IF(INDEX(기본자료!$A$2:$A$1001,$AB394)="","",INDEX(기본자료!$A$2:$A$1001,$AB394)))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파견수련계획!$AB$4:$AB$803,$AK394),OR(NOT(ISNUMBER(INDEX(파견수련계획!$AC$4:$AC$803,$AK394))),TODAY()&lt;=INDEX(파견수련계획!$AC$4:$AC$803,$AK394))),"다기관",IF($AF394="","",INDEX(파견수련계획!$T$4:$T$803,$AF394))),IF($AF394="","",INDEX(파견수련계획!$T$4:$T$803,$AF394))))</f>
        <v/>
      </c>
      <c r="Q394" s="10">
        <f>IF($AF394="","",INDEX(파견수련계획!$S$4:$S$803,$AF394))</f>
        <v/>
      </c>
      <c r="R394" s="10">
        <f>IF($AF394="","",INDEX(파견수련계획!$U$4:$U$803,$AF394))</f>
        <v/>
      </c>
      <c r="S394" s="11">
        <f>IF($AF394="","",IF(INDEX(파견수련계획!$H$4:$H$803,$AF394)="","",INDEX(파견수련계획!$H$4:$H$803,$AF394)))</f>
        <v/>
      </c>
      <c r="T394" s="11">
        <f>IF($AF394="","",IF(INDEX(파견수련계획!$I$4:$I$803,$AF394)="","",INDEX(파견수련계획!$I$4:$I$803,$AF394)))</f>
        <v/>
      </c>
      <c r="U394" s="10">
        <f>IF($AF394="","",INDEX(파견수련계획!$X$4:$X$803,$AF394))</f>
        <v/>
      </c>
      <c r="V394" s="17">
        <f>IF($AF394="","",INDEX(파견수련계획!$V$4:$V$803,$AF394))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IF(OR($B394="",TRIM($J394&amp;"")=""),"",SUMPRODUCT((파견수련계획!$Q$4:$Q$803=TRIM($J394&amp;""))*파견수련계획!$W$4:$W$803))</f>
        <v/>
      </c>
      <c r="Y394" s="10">
        <f>IF($B394="","",IF($AG394="","",IF(IF(TRIM($J394&amp;"")="",0,SUMPRODUCT((파견수련계획!$Q$4:$Q$803=TRIM($J394&amp;""))*파견수련계획!$AD$4:$AD$803))&gt;0,$AE394,IF(N($X394)&lt;=0,$AG394,IF($AH394+$AI394=DAY(EOMONTH(요약!$B$3,0)),IF(AND($AH394&gt;=요약!$E$3,$AI394&lt;요약!$E$3),"서울병원",IF(AND($AI394&gt;=요약!$E$3,$AH394&lt;요약!$E$3),"구리병원","⚠15일 판정불가(서울 "&amp;$AH394&amp;"일/구리 "&amp;$AI394&amp;"일)")),IF($AJ394="",$AE394,IF(INDEX(파견수련계획!$T$4:$T$803,$AJ394)="통합수련",INDEX(파견수련계획!$S$4:$S$803,$AJ394),$AE394)))))))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입력",IF(IF(TRIM($J394&amp;"")="",0,SUMPRODUCT((파견수련계획!$Q$4:$Q$803=TRIM($J394&amp;""))*(파견수련계획!$AA$4:$AA$803&lt;&gt;"")))&gt;0,"파견수련계획 입력오류 확인",IF(LEFT($Y394,1)="⚠","서울·구리 15일 판정 불가(양쪽 모두 이상/미만)",IF(IF($AC394="",0,N(INDEX(인턴근무계획!$T$3:$T$402,$AC394)))&gt;0,"인턴계획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IF($B394="","",IFERROR(MATCH($B394,기본자료!$B$2:$B$1001,0),IFERROR(MATCH($B394&amp;"",기본자료!$B$2:$B$1001,0),IFERROR(MATCH(VALUE($B394),기본자료!$B$2:$B$1001,0),""))))</f>
        <v/>
      </c>
      <c r="AC394" s="10">
        <f>IF($B394="","",IFERROR(MATCH($B394,인턴근무계획!$D$3:$D$402,0),IFERROR(MATCH($B394&amp;"",인턴근무계획!$D$3:$D$402,0),IFERROR(MATCH(VALUE($B394),인턴근무계획!$D$3:$D$402,0),""))))</f>
        <v/>
      </c>
      <c r="AD394" s="10">
        <f>IF(OR($AC394="",인턴현황!$G$3=""),"",INDEX(인턴근무계획!$M$3:$R$402,$AC394,인턴현황!$G$3)&amp;"")</f>
        <v/>
      </c>
      <c r="AE394" s="10">
        <f>IF($B394="","",IF($M394&lt;&gt;"",$M394,IF($AF394&lt;&gt;"",IF(LEFT(INDEX(파견수련계획!$R$4:$R$803,$AF394),1)&lt;&gt;"⚠",INDEX(파견수련계획!$R$4:$R$803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파견수련계획!$Y$4:$Y$803,0),IFERROR(MATCH(TRIM($J394&amp;"")&amp;"|파견예정",파견수련계획!$Y$4:$Y$803,0),IFERROR(MATCH(TRIM($J394&amp;"")&amp;"|파견종료",파견수련계획!$Y$4:$Y$803,0),""))))</f>
        <v/>
      </c>
      <c r="AG394" s="10">
        <f>IF($B394="","",IF(AND(IF(OR($AC394="",인턴현황!$K$2=""),"",INDEX(인턴근무계획!$M$3:$R$402,$AC394,인턴현황!$K$2)&amp;"")&lt;&gt;"",LEFT(IF(OR($AC394="",인턴현황!$K$2=""),"",INDEX(인턴근무계획!$M$3:$R$402,$AC394,인턴현황!$K$2)&amp;""),1)&lt;&gt;"⚠"),LEFT(IF(OR($AC394="",인턴현황!$K$2=""),"",INDEX(인턴근무계획!$M$3:$R$402,$AC394,인턴현황!$K$2)&amp;""),FIND(" ",IF(OR($AC394="",인턴현황!$K$2=""),"",INDEX(인턴근무계획!$M$3:$R$402,$AC394,인턴현황!$K$2)&amp;""))-1),$AE394))</f>
        <v/>
      </c>
      <c r="AH394" s="17">
        <f>IF($B394="","",IF(TRIM($J394&amp;"")="",0,SUMPRODUCT((파견수련계획!$Q$4:$Q$803=TRIM($J394&amp;""))*(파견수련계획!$S$4:$S$803="서울병원")*파견수련계획!$W$4:$W$803))+IF($AG394="서울병원",MAX(0,DAY(EOMONTH(요약!$B$3,0))-N($X394)),0))</f>
        <v/>
      </c>
      <c r="AI394" s="17">
        <f>IF($B394="","",IF(TRIM($J394&amp;"")="",0,SUMPRODUCT((파견수련계획!$Q$4:$Q$803=TRIM($J394&amp;""))*(파견수련계획!$S$4:$S$803="구리병원")*파견수련계획!$W$4:$W$803))+IF($AG394="구리병원",MAX(0,DAY(EOMONTH(요약!$B$3,0))-N($X394)),0))</f>
        <v/>
      </c>
      <c r="AJ394" s="10">
        <f>IF(OR($B394="",TRIM($J394&amp;"")=""),"",IFERROR(MATCH(TRIM($J394&amp;"")&amp;"|월",파견수련계획!$Z$4:$Z$803,0),""))</f>
        <v/>
      </c>
      <c r="AK394" s="10">
        <f>IF(OR($B394="",TRIM($J394&amp;"")=""),"",IFERROR(MATCH(TRIM($J394&amp;"")&amp;"|다기관",파견수련계획!$AE$4:$AE$803,0),""))</f>
        <v/>
      </c>
      <c r="AL394" s="10">
        <f>IF($AK394="","","다기관 "&amp;TEXT(INDEX(파견수련계획!$AB$4:$AB$803,$AK394),"yyyy-mm-dd")&amp;"~"&amp;IF(ISNUMBER(INDEX(파견수련계획!$AC$4:$AC$803,$AK394)),TEXT(INDEX(파견수련계획!$AC$4:$AC$803,$AK394),"yyyy-mm-dd"),""))</f>
        <v/>
      </c>
    </row>
    <row r="395">
      <c r="A395" s="10">
        <f>IF(B395="","",ROW()-1)</f>
        <v/>
      </c>
      <c r="B395" s="18" t="n"/>
      <c r="C395" s="10">
        <f>IF($AB395="","",IF(INDEX(기본자료!$C$2:$C$1001,$AB395)="","",INDEX(기본자료!$C$2:$C$1001,$AB395)))</f>
        <v/>
      </c>
      <c r="D395" s="10">
        <f>IF($AB395="","",IF(INDEX(기본자료!$J$2:$J$1001,$AB395)="","",INDEX(기본자료!$J$2:$J$1001,$AB395)))</f>
        <v/>
      </c>
      <c r="E395" s="11">
        <f>IF($AB395="","",IF(INDEX(기본자료!$K$2:$K$1001,$AB395)="","",IF(NOT(ISNUMBER(INDEX(기본자료!$K$2:$K$1001,$AB395))),INDEX(기본자료!$K$2:$K$1001,$AB395),IF(INDEX(기본자료!$K$2:$K$1001,$AB395)&lt;1000000,INDEX(기본자료!$K$2:$K$1001,$AB395),IF(AND(INDEX(기본자료!$K$2:$K$1001,$AB395)&gt;=10000101,INT(MOD(INDEX(기본자료!$K$2:$K$1001,$AB395),10000)/100)&gt;=1,INT(MOD(INDEX(기본자료!$K$2:$K$1001,$AB395),10000)/100)&lt;=12,MOD(INDEX(기본자료!$K$2:$K$1001,$AB395),100)&gt;=1,MOD(INDEX(기본자료!$K$2:$K$1001,$AB395),100)&lt;=31),DATE(INT(INDEX(기본자료!$K$2:$K$1001,$AB395)/10000),INT(MOD(INDEX(기본자료!$K$2:$K$1001,$AB395),10000)/100),MOD(INDEX(기본자료!$K$2:$K$1001,$AB395),100)),INDEX(기본자료!$K$2:$K$1001,$AB395)&amp;"")))))</f>
        <v/>
      </c>
      <c r="F395" s="10">
        <f>IF($AB395="","",IF(INDEX(기본자료!$D$2:$D$1001,$AB395)="","",INDEX(기본자료!$D$2:$D$1001,$AB395)))</f>
        <v/>
      </c>
      <c r="G395" s="10">
        <f>IF($AB395="","",IF(INDEX(기본자료!$E$2:$E$1001,$AB395)="","",INDEX(기본자료!$E$2:$E$1001,$AB395)))</f>
        <v/>
      </c>
      <c r="H395" s="10">
        <f>IF($AB395="","",IF(INDEX(기본자료!$F$2:$F$1001,$AB395)="","",INDEX(기본자료!$F$2:$F$1001,$AB395)))</f>
        <v/>
      </c>
      <c r="I395" s="11">
        <f>IF($AB395="","",IF(INDEX(기본자료!$G$2:$G$1001,$AB395)="","",IF(NOT(ISNUMBER(INDEX(기본자료!$G$2:$G$1001,$AB395))),INDEX(기본자료!$G$2:$G$1001,$AB395),IF(INDEX(기본자료!$G$2:$G$1001,$AB395)&lt;1000000,INDEX(기본자료!$G$2:$G$1001,$AB395),IF(AND(INDEX(기본자료!$G$2:$G$1001,$AB395)&gt;=10000101,INT(MOD(INDEX(기본자료!$G$2:$G$1001,$AB395),10000)/100)&gt;=1,INT(MOD(INDEX(기본자료!$G$2:$G$1001,$AB395),10000)/100)&lt;=12,MOD(INDEX(기본자료!$G$2:$G$1001,$AB395),100)&gt;=1,MOD(INDEX(기본자료!$G$2:$G$1001,$AB395),100)&lt;=31),DATE(INT(INDEX(기본자료!$G$2:$G$1001,$AB395)/10000),INT(MOD(INDEX(기본자료!$G$2:$G$1001,$AB395),10000)/100),MOD(INDEX(기본자료!$G$2:$G$1001,$AB395),100)),INDEX(기본자료!$G$2:$G$1001,$AB395)&amp;"")))))</f>
        <v/>
      </c>
      <c r="J395" s="10">
        <f>IF($AB395="","",IF(INDEX(기본자료!$H$2:$H$1001,$AB395)="","",INDEX(기본자료!$H$2:$H$1001,$AB395)))</f>
        <v/>
      </c>
      <c r="K395" s="10">
        <f>IF($AB395="","",IF(INDEX(기본자료!$I$2:$I$1001,$AB395)="","",INDEX(기본자료!$I$2:$I$1001,$AB395)))</f>
        <v/>
      </c>
      <c r="L395" s="10">
        <f>IF($AB395="","",IF(INDEX(기본자료!$A$2:$A$1001,$AB395)="","",INDEX(기본자료!$A$2:$A$1001,$AB395)))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파견수련계획!$AB$4:$AB$803,$AK395),OR(NOT(ISNUMBER(INDEX(파견수련계획!$AC$4:$AC$803,$AK395))),TODAY()&lt;=INDEX(파견수련계획!$AC$4:$AC$803,$AK395))),"다기관",IF($AF395="","",INDEX(파견수련계획!$T$4:$T$803,$AF395))),IF($AF395="","",INDEX(파견수련계획!$T$4:$T$803,$AF395))))</f>
        <v/>
      </c>
      <c r="Q395" s="10">
        <f>IF($AF395="","",INDEX(파견수련계획!$S$4:$S$803,$AF395))</f>
        <v/>
      </c>
      <c r="R395" s="10">
        <f>IF($AF395="","",INDEX(파견수련계획!$U$4:$U$803,$AF395))</f>
        <v/>
      </c>
      <c r="S395" s="11">
        <f>IF($AF395="","",IF(INDEX(파견수련계획!$H$4:$H$803,$AF395)="","",INDEX(파견수련계획!$H$4:$H$803,$AF395)))</f>
        <v/>
      </c>
      <c r="T395" s="11">
        <f>IF($AF395="","",IF(INDEX(파견수련계획!$I$4:$I$803,$AF395)="","",INDEX(파견수련계획!$I$4:$I$803,$AF395)))</f>
        <v/>
      </c>
      <c r="U395" s="10">
        <f>IF($AF395="","",INDEX(파견수련계획!$X$4:$X$803,$AF395))</f>
        <v/>
      </c>
      <c r="V395" s="17">
        <f>IF($AF395="","",INDEX(파견수련계획!$V$4:$V$803,$AF395))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IF(OR($B395="",TRIM($J395&amp;"")=""),"",SUMPRODUCT((파견수련계획!$Q$4:$Q$803=TRIM($J395&amp;""))*파견수련계획!$W$4:$W$803))</f>
        <v/>
      </c>
      <c r="Y395" s="10">
        <f>IF($B395="","",IF($AG395="","",IF(IF(TRIM($J395&amp;"")="",0,SUMPRODUCT((파견수련계획!$Q$4:$Q$803=TRIM($J395&amp;""))*파견수련계획!$AD$4:$AD$803))&gt;0,$AE395,IF(N($X395)&lt;=0,$AG395,IF($AH395+$AI395=DAY(EOMONTH(요약!$B$3,0)),IF(AND($AH395&gt;=요약!$E$3,$AI395&lt;요약!$E$3),"서울병원",IF(AND($AI395&gt;=요약!$E$3,$AH395&lt;요약!$E$3),"구리병원","⚠15일 판정불가(서울 "&amp;$AH395&amp;"일/구리 "&amp;$AI395&amp;"일)")),IF($AJ395="",$AE395,IF(INDEX(파견수련계획!$T$4:$T$803,$AJ395)="통합수련",INDEX(파견수련계획!$S$4:$S$803,$AJ395),$AE395)))))))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입력",IF(IF(TRIM($J395&amp;"")="",0,SUMPRODUCT((파견수련계획!$Q$4:$Q$803=TRIM($J395&amp;""))*(파견수련계획!$AA$4:$AA$803&lt;&gt;"")))&gt;0,"파견수련계획 입력오류 확인",IF(LEFT($Y395,1)="⚠","서울·구리 15일 판정 불가(양쪽 모두 이상/미만)",IF(IF($AC395="",0,N(INDEX(인턴근무계획!$T$3:$T$402,$AC395)))&gt;0,"인턴계획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IF($B395="","",IFERROR(MATCH($B395,기본자료!$B$2:$B$1001,0),IFERROR(MATCH($B395&amp;"",기본자료!$B$2:$B$1001,0),IFERROR(MATCH(VALUE($B395),기본자료!$B$2:$B$1001,0),""))))</f>
        <v/>
      </c>
      <c r="AC395" s="10">
        <f>IF($B395="","",IFERROR(MATCH($B395,인턴근무계획!$D$3:$D$402,0),IFERROR(MATCH($B395&amp;"",인턴근무계획!$D$3:$D$402,0),IFERROR(MATCH(VALUE($B395),인턴근무계획!$D$3:$D$402,0),""))))</f>
        <v/>
      </c>
      <c r="AD395" s="10">
        <f>IF(OR($AC395="",인턴현황!$G$3=""),"",INDEX(인턴근무계획!$M$3:$R$402,$AC395,인턴현황!$G$3)&amp;"")</f>
        <v/>
      </c>
      <c r="AE395" s="10">
        <f>IF($B395="","",IF($M395&lt;&gt;"",$M395,IF($AF395&lt;&gt;"",IF(LEFT(INDEX(파견수련계획!$R$4:$R$803,$AF395),1)&lt;&gt;"⚠",INDEX(파견수련계획!$R$4:$R$803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파견수련계획!$Y$4:$Y$803,0),IFERROR(MATCH(TRIM($J395&amp;"")&amp;"|파견예정",파견수련계획!$Y$4:$Y$803,0),IFERROR(MATCH(TRIM($J395&amp;"")&amp;"|파견종료",파견수련계획!$Y$4:$Y$803,0),""))))</f>
        <v/>
      </c>
      <c r="AG395" s="10">
        <f>IF($B395="","",IF(AND(IF(OR($AC395="",인턴현황!$K$2=""),"",INDEX(인턴근무계획!$M$3:$R$402,$AC395,인턴현황!$K$2)&amp;"")&lt;&gt;"",LEFT(IF(OR($AC395="",인턴현황!$K$2=""),"",INDEX(인턴근무계획!$M$3:$R$402,$AC395,인턴현황!$K$2)&amp;""),1)&lt;&gt;"⚠"),LEFT(IF(OR($AC395="",인턴현황!$K$2=""),"",INDEX(인턴근무계획!$M$3:$R$402,$AC395,인턴현황!$K$2)&amp;""),FIND(" ",IF(OR($AC395="",인턴현황!$K$2=""),"",INDEX(인턴근무계획!$M$3:$R$402,$AC395,인턴현황!$K$2)&amp;""))-1),$AE395))</f>
        <v/>
      </c>
      <c r="AH395" s="17">
        <f>IF($B395="","",IF(TRIM($J395&amp;"")="",0,SUMPRODUCT((파견수련계획!$Q$4:$Q$803=TRIM($J395&amp;""))*(파견수련계획!$S$4:$S$803="서울병원")*파견수련계획!$W$4:$W$803))+IF($AG395="서울병원",MAX(0,DAY(EOMONTH(요약!$B$3,0))-N($X395)),0))</f>
        <v/>
      </c>
      <c r="AI395" s="17">
        <f>IF($B395="","",IF(TRIM($J395&amp;"")="",0,SUMPRODUCT((파견수련계획!$Q$4:$Q$803=TRIM($J395&amp;""))*(파견수련계획!$S$4:$S$803="구리병원")*파견수련계획!$W$4:$W$803))+IF($AG395="구리병원",MAX(0,DAY(EOMONTH(요약!$B$3,0))-N($X395)),0))</f>
        <v/>
      </c>
      <c r="AJ395" s="10">
        <f>IF(OR($B395="",TRIM($J395&amp;"")=""),"",IFERROR(MATCH(TRIM($J395&amp;"")&amp;"|월",파견수련계획!$Z$4:$Z$803,0),""))</f>
        <v/>
      </c>
      <c r="AK395" s="10">
        <f>IF(OR($B395="",TRIM($J395&amp;"")=""),"",IFERROR(MATCH(TRIM($J395&amp;"")&amp;"|다기관",파견수련계획!$AE$4:$AE$803,0),""))</f>
        <v/>
      </c>
      <c r="AL395" s="10">
        <f>IF($AK395="","","다기관 "&amp;TEXT(INDEX(파견수련계획!$AB$4:$AB$803,$AK395),"yyyy-mm-dd")&amp;"~"&amp;IF(ISNUMBER(INDEX(파견수련계획!$AC$4:$AC$803,$AK395)),TEXT(INDEX(파견수련계획!$AC$4:$AC$803,$AK395),"yyyy-mm-dd"),""))</f>
        <v/>
      </c>
    </row>
    <row r="396">
      <c r="A396" s="10">
        <f>IF(B396="","",ROW()-1)</f>
        <v/>
      </c>
      <c r="B396" s="18" t="n"/>
      <c r="C396" s="10">
        <f>IF($AB396="","",IF(INDEX(기본자료!$C$2:$C$1001,$AB396)="","",INDEX(기본자료!$C$2:$C$1001,$AB396)))</f>
        <v/>
      </c>
      <c r="D396" s="10">
        <f>IF($AB396="","",IF(INDEX(기본자료!$J$2:$J$1001,$AB396)="","",INDEX(기본자료!$J$2:$J$1001,$AB396)))</f>
        <v/>
      </c>
      <c r="E396" s="11">
        <f>IF($AB396="","",IF(INDEX(기본자료!$K$2:$K$1001,$AB396)="","",IF(NOT(ISNUMBER(INDEX(기본자료!$K$2:$K$1001,$AB396))),INDEX(기본자료!$K$2:$K$1001,$AB396),IF(INDEX(기본자료!$K$2:$K$1001,$AB396)&lt;1000000,INDEX(기본자료!$K$2:$K$1001,$AB396),IF(AND(INDEX(기본자료!$K$2:$K$1001,$AB396)&gt;=10000101,INT(MOD(INDEX(기본자료!$K$2:$K$1001,$AB396),10000)/100)&gt;=1,INT(MOD(INDEX(기본자료!$K$2:$K$1001,$AB396),10000)/100)&lt;=12,MOD(INDEX(기본자료!$K$2:$K$1001,$AB396),100)&gt;=1,MOD(INDEX(기본자료!$K$2:$K$1001,$AB396),100)&lt;=31),DATE(INT(INDEX(기본자료!$K$2:$K$1001,$AB396)/10000),INT(MOD(INDEX(기본자료!$K$2:$K$1001,$AB396),10000)/100),MOD(INDEX(기본자료!$K$2:$K$1001,$AB396),100)),INDEX(기본자료!$K$2:$K$1001,$AB396)&amp;"")))))</f>
        <v/>
      </c>
      <c r="F396" s="10">
        <f>IF($AB396="","",IF(INDEX(기본자료!$D$2:$D$1001,$AB396)="","",INDEX(기본자료!$D$2:$D$1001,$AB396)))</f>
        <v/>
      </c>
      <c r="G396" s="10">
        <f>IF($AB396="","",IF(INDEX(기본자료!$E$2:$E$1001,$AB396)="","",INDEX(기본자료!$E$2:$E$1001,$AB396)))</f>
        <v/>
      </c>
      <c r="H396" s="10">
        <f>IF($AB396="","",IF(INDEX(기본자료!$F$2:$F$1001,$AB396)="","",INDEX(기본자료!$F$2:$F$1001,$AB396)))</f>
        <v/>
      </c>
      <c r="I396" s="11">
        <f>IF($AB396="","",IF(INDEX(기본자료!$G$2:$G$1001,$AB396)="","",IF(NOT(ISNUMBER(INDEX(기본자료!$G$2:$G$1001,$AB396))),INDEX(기본자료!$G$2:$G$1001,$AB396),IF(INDEX(기본자료!$G$2:$G$1001,$AB396)&lt;1000000,INDEX(기본자료!$G$2:$G$1001,$AB396),IF(AND(INDEX(기본자료!$G$2:$G$1001,$AB396)&gt;=10000101,INT(MOD(INDEX(기본자료!$G$2:$G$1001,$AB396),10000)/100)&gt;=1,INT(MOD(INDEX(기본자료!$G$2:$G$1001,$AB396),10000)/100)&lt;=12,MOD(INDEX(기본자료!$G$2:$G$1001,$AB396),100)&gt;=1,MOD(INDEX(기본자료!$G$2:$G$1001,$AB396),100)&lt;=31),DATE(INT(INDEX(기본자료!$G$2:$G$1001,$AB396)/10000),INT(MOD(INDEX(기본자료!$G$2:$G$1001,$AB396),10000)/100),MOD(INDEX(기본자료!$G$2:$G$1001,$AB396),100)),INDEX(기본자료!$G$2:$G$1001,$AB396)&amp;"")))))</f>
        <v/>
      </c>
      <c r="J396" s="10">
        <f>IF($AB396="","",IF(INDEX(기본자료!$H$2:$H$1001,$AB396)="","",INDEX(기본자료!$H$2:$H$1001,$AB396)))</f>
        <v/>
      </c>
      <c r="K396" s="10">
        <f>IF($AB396="","",IF(INDEX(기본자료!$I$2:$I$1001,$AB396)="","",INDEX(기본자료!$I$2:$I$1001,$AB396)))</f>
        <v/>
      </c>
      <c r="L396" s="10">
        <f>IF($AB396="","",IF(INDEX(기본자료!$A$2:$A$1001,$AB396)="","",INDEX(기본자료!$A$2:$A$1001,$AB396)))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파견수련계획!$AB$4:$AB$803,$AK396),OR(NOT(ISNUMBER(INDEX(파견수련계획!$AC$4:$AC$803,$AK396))),TODAY()&lt;=INDEX(파견수련계획!$AC$4:$AC$803,$AK396))),"다기관",IF($AF396="","",INDEX(파견수련계획!$T$4:$T$803,$AF396))),IF($AF396="","",INDEX(파견수련계획!$T$4:$T$803,$AF396))))</f>
        <v/>
      </c>
      <c r="Q396" s="10">
        <f>IF($AF396="","",INDEX(파견수련계획!$S$4:$S$803,$AF396))</f>
        <v/>
      </c>
      <c r="R396" s="10">
        <f>IF($AF396="","",INDEX(파견수련계획!$U$4:$U$803,$AF396))</f>
        <v/>
      </c>
      <c r="S396" s="11">
        <f>IF($AF396="","",IF(INDEX(파견수련계획!$H$4:$H$803,$AF396)="","",INDEX(파견수련계획!$H$4:$H$803,$AF396)))</f>
        <v/>
      </c>
      <c r="T396" s="11">
        <f>IF($AF396="","",IF(INDEX(파견수련계획!$I$4:$I$803,$AF396)="","",INDEX(파견수련계획!$I$4:$I$803,$AF396)))</f>
        <v/>
      </c>
      <c r="U396" s="10">
        <f>IF($AF396="","",INDEX(파견수련계획!$X$4:$X$803,$AF396))</f>
        <v/>
      </c>
      <c r="V396" s="17">
        <f>IF($AF396="","",INDEX(파견수련계획!$V$4:$V$803,$AF396))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IF(OR($B396="",TRIM($J396&amp;"")=""),"",SUMPRODUCT((파견수련계획!$Q$4:$Q$803=TRIM($J396&amp;""))*파견수련계획!$W$4:$W$803))</f>
        <v/>
      </c>
      <c r="Y396" s="10">
        <f>IF($B396="","",IF($AG396="","",IF(IF(TRIM($J396&amp;"")="",0,SUMPRODUCT((파견수련계획!$Q$4:$Q$803=TRIM($J396&amp;""))*파견수련계획!$AD$4:$AD$803))&gt;0,$AE396,IF(N($X396)&lt;=0,$AG396,IF($AH396+$AI396=DAY(EOMONTH(요약!$B$3,0)),IF(AND($AH396&gt;=요약!$E$3,$AI396&lt;요약!$E$3),"서울병원",IF(AND($AI396&gt;=요약!$E$3,$AH396&lt;요약!$E$3),"구리병원","⚠15일 판정불가(서울 "&amp;$AH396&amp;"일/구리 "&amp;$AI396&amp;"일)")),IF($AJ396="",$AE396,IF(INDEX(파견수련계획!$T$4:$T$803,$AJ396)="통합수련",INDEX(파견수련계획!$S$4:$S$803,$AJ396),$AE396)))))))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입력",IF(IF(TRIM($J396&amp;"")="",0,SUMPRODUCT((파견수련계획!$Q$4:$Q$803=TRIM($J396&amp;""))*(파견수련계획!$AA$4:$AA$803&lt;&gt;"")))&gt;0,"파견수련계획 입력오류 확인",IF(LEFT($Y396,1)="⚠","서울·구리 15일 판정 불가(양쪽 모두 이상/미만)",IF(IF($AC396="",0,N(INDEX(인턴근무계획!$T$3:$T$402,$AC396)))&gt;0,"인턴계획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IF($B396="","",IFERROR(MATCH($B396,기본자료!$B$2:$B$1001,0),IFERROR(MATCH($B396&amp;"",기본자료!$B$2:$B$1001,0),IFERROR(MATCH(VALUE($B396),기본자료!$B$2:$B$1001,0),""))))</f>
        <v/>
      </c>
      <c r="AC396" s="10">
        <f>IF($B396="","",IFERROR(MATCH($B396,인턴근무계획!$D$3:$D$402,0),IFERROR(MATCH($B396&amp;"",인턴근무계획!$D$3:$D$402,0),IFERROR(MATCH(VALUE($B396),인턴근무계획!$D$3:$D$402,0),""))))</f>
        <v/>
      </c>
      <c r="AD396" s="10">
        <f>IF(OR($AC396="",인턴현황!$G$3=""),"",INDEX(인턴근무계획!$M$3:$R$402,$AC396,인턴현황!$G$3)&amp;"")</f>
        <v/>
      </c>
      <c r="AE396" s="10">
        <f>IF($B396="","",IF($M396&lt;&gt;"",$M396,IF($AF396&lt;&gt;"",IF(LEFT(INDEX(파견수련계획!$R$4:$R$803,$AF396),1)&lt;&gt;"⚠",INDEX(파견수련계획!$R$4:$R$803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파견수련계획!$Y$4:$Y$803,0),IFERROR(MATCH(TRIM($J396&amp;"")&amp;"|파견예정",파견수련계획!$Y$4:$Y$803,0),IFERROR(MATCH(TRIM($J396&amp;"")&amp;"|파견종료",파견수련계획!$Y$4:$Y$803,0),""))))</f>
        <v/>
      </c>
      <c r="AG396" s="10">
        <f>IF($B396="","",IF(AND(IF(OR($AC396="",인턴현황!$K$2=""),"",INDEX(인턴근무계획!$M$3:$R$402,$AC396,인턴현황!$K$2)&amp;"")&lt;&gt;"",LEFT(IF(OR($AC396="",인턴현황!$K$2=""),"",INDEX(인턴근무계획!$M$3:$R$402,$AC396,인턴현황!$K$2)&amp;""),1)&lt;&gt;"⚠"),LEFT(IF(OR($AC396="",인턴현황!$K$2=""),"",INDEX(인턴근무계획!$M$3:$R$402,$AC396,인턴현황!$K$2)&amp;""),FIND(" ",IF(OR($AC396="",인턴현황!$K$2=""),"",INDEX(인턴근무계획!$M$3:$R$402,$AC396,인턴현황!$K$2)&amp;""))-1),$AE396))</f>
        <v/>
      </c>
      <c r="AH396" s="17">
        <f>IF($B396="","",IF(TRIM($J396&amp;"")="",0,SUMPRODUCT((파견수련계획!$Q$4:$Q$803=TRIM($J396&amp;""))*(파견수련계획!$S$4:$S$803="서울병원")*파견수련계획!$W$4:$W$803))+IF($AG396="서울병원",MAX(0,DAY(EOMONTH(요약!$B$3,0))-N($X396)),0))</f>
        <v/>
      </c>
      <c r="AI396" s="17">
        <f>IF($B396="","",IF(TRIM($J396&amp;"")="",0,SUMPRODUCT((파견수련계획!$Q$4:$Q$803=TRIM($J396&amp;""))*(파견수련계획!$S$4:$S$803="구리병원")*파견수련계획!$W$4:$W$803))+IF($AG396="구리병원",MAX(0,DAY(EOMONTH(요약!$B$3,0))-N($X396)),0))</f>
        <v/>
      </c>
      <c r="AJ396" s="10">
        <f>IF(OR($B396="",TRIM($J396&amp;"")=""),"",IFERROR(MATCH(TRIM($J396&amp;"")&amp;"|월",파견수련계획!$Z$4:$Z$803,0),""))</f>
        <v/>
      </c>
      <c r="AK396" s="10">
        <f>IF(OR($B396="",TRIM($J396&amp;"")=""),"",IFERROR(MATCH(TRIM($J396&amp;"")&amp;"|다기관",파견수련계획!$AE$4:$AE$803,0),""))</f>
        <v/>
      </c>
      <c r="AL396" s="10">
        <f>IF($AK396="","","다기관 "&amp;TEXT(INDEX(파견수련계획!$AB$4:$AB$803,$AK396),"yyyy-mm-dd")&amp;"~"&amp;IF(ISNUMBER(INDEX(파견수련계획!$AC$4:$AC$803,$AK396)),TEXT(INDEX(파견수련계획!$AC$4:$AC$803,$AK396),"yyyy-mm-dd"),""))</f>
        <v/>
      </c>
    </row>
    <row r="397">
      <c r="A397" s="10">
        <f>IF(B397="","",ROW()-1)</f>
        <v/>
      </c>
      <c r="B397" s="18" t="n"/>
      <c r="C397" s="10">
        <f>IF($AB397="","",IF(INDEX(기본자료!$C$2:$C$1001,$AB397)="","",INDEX(기본자료!$C$2:$C$1001,$AB397)))</f>
        <v/>
      </c>
      <c r="D397" s="10">
        <f>IF($AB397="","",IF(INDEX(기본자료!$J$2:$J$1001,$AB397)="","",INDEX(기본자료!$J$2:$J$1001,$AB397)))</f>
        <v/>
      </c>
      <c r="E397" s="11">
        <f>IF($AB397="","",IF(INDEX(기본자료!$K$2:$K$1001,$AB397)="","",IF(NOT(ISNUMBER(INDEX(기본자료!$K$2:$K$1001,$AB397))),INDEX(기본자료!$K$2:$K$1001,$AB397),IF(INDEX(기본자료!$K$2:$K$1001,$AB397)&lt;1000000,INDEX(기본자료!$K$2:$K$1001,$AB397),IF(AND(INDEX(기본자료!$K$2:$K$1001,$AB397)&gt;=10000101,INT(MOD(INDEX(기본자료!$K$2:$K$1001,$AB397),10000)/100)&gt;=1,INT(MOD(INDEX(기본자료!$K$2:$K$1001,$AB397),10000)/100)&lt;=12,MOD(INDEX(기본자료!$K$2:$K$1001,$AB397),100)&gt;=1,MOD(INDEX(기본자료!$K$2:$K$1001,$AB397),100)&lt;=31),DATE(INT(INDEX(기본자료!$K$2:$K$1001,$AB397)/10000),INT(MOD(INDEX(기본자료!$K$2:$K$1001,$AB397),10000)/100),MOD(INDEX(기본자료!$K$2:$K$1001,$AB397),100)),INDEX(기본자료!$K$2:$K$1001,$AB397)&amp;"")))))</f>
        <v/>
      </c>
      <c r="F397" s="10">
        <f>IF($AB397="","",IF(INDEX(기본자료!$D$2:$D$1001,$AB397)="","",INDEX(기본자료!$D$2:$D$1001,$AB397)))</f>
        <v/>
      </c>
      <c r="G397" s="10">
        <f>IF($AB397="","",IF(INDEX(기본자료!$E$2:$E$1001,$AB397)="","",INDEX(기본자료!$E$2:$E$1001,$AB397)))</f>
        <v/>
      </c>
      <c r="H397" s="10">
        <f>IF($AB397="","",IF(INDEX(기본자료!$F$2:$F$1001,$AB397)="","",INDEX(기본자료!$F$2:$F$1001,$AB397)))</f>
        <v/>
      </c>
      <c r="I397" s="11">
        <f>IF($AB397="","",IF(INDEX(기본자료!$G$2:$G$1001,$AB397)="","",IF(NOT(ISNUMBER(INDEX(기본자료!$G$2:$G$1001,$AB397))),INDEX(기본자료!$G$2:$G$1001,$AB397),IF(INDEX(기본자료!$G$2:$G$1001,$AB397)&lt;1000000,INDEX(기본자료!$G$2:$G$1001,$AB397),IF(AND(INDEX(기본자료!$G$2:$G$1001,$AB397)&gt;=10000101,INT(MOD(INDEX(기본자료!$G$2:$G$1001,$AB397),10000)/100)&gt;=1,INT(MOD(INDEX(기본자료!$G$2:$G$1001,$AB397),10000)/100)&lt;=12,MOD(INDEX(기본자료!$G$2:$G$1001,$AB397),100)&gt;=1,MOD(INDEX(기본자료!$G$2:$G$1001,$AB397),100)&lt;=31),DATE(INT(INDEX(기본자료!$G$2:$G$1001,$AB397)/10000),INT(MOD(INDEX(기본자료!$G$2:$G$1001,$AB397),10000)/100),MOD(INDEX(기본자료!$G$2:$G$1001,$AB397),100)),INDEX(기본자료!$G$2:$G$1001,$AB397)&amp;"")))))</f>
        <v/>
      </c>
      <c r="J397" s="10">
        <f>IF($AB397="","",IF(INDEX(기본자료!$H$2:$H$1001,$AB397)="","",INDEX(기본자료!$H$2:$H$1001,$AB397)))</f>
        <v/>
      </c>
      <c r="K397" s="10">
        <f>IF($AB397="","",IF(INDEX(기본자료!$I$2:$I$1001,$AB397)="","",INDEX(기본자료!$I$2:$I$1001,$AB397)))</f>
        <v/>
      </c>
      <c r="L397" s="10">
        <f>IF($AB397="","",IF(INDEX(기본자료!$A$2:$A$1001,$AB397)="","",INDEX(기본자료!$A$2:$A$1001,$AB397)))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파견수련계획!$AB$4:$AB$803,$AK397),OR(NOT(ISNUMBER(INDEX(파견수련계획!$AC$4:$AC$803,$AK397))),TODAY()&lt;=INDEX(파견수련계획!$AC$4:$AC$803,$AK397))),"다기관",IF($AF397="","",INDEX(파견수련계획!$T$4:$T$803,$AF397))),IF($AF397="","",INDEX(파견수련계획!$T$4:$T$803,$AF397))))</f>
        <v/>
      </c>
      <c r="Q397" s="10">
        <f>IF($AF397="","",INDEX(파견수련계획!$S$4:$S$803,$AF397))</f>
        <v/>
      </c>
      <c r="R397" s="10">
        <f>IF($AF397="","",INDEX(파견수련계획!$U$4:$U$803,$AF397))</f>
        <v/>
      </c>
      <c r="S397" s="11">
        <f>IF($AF397="","",IF(INDEX(파견수련계획!$H$4:$H$803,$AF397)="","",INDEX(파견수련계획!$H$4:$H$803,$AF397)))</f>
        <v/>
      </c>
      <c r="T397" s="11">
        <f>IF($AF397="","",IF(INDEX(파견수련계획!$I$4:$I$803,$AF397)="","",INDEX(파견수련계획!$I$4:$I$803,$AF397)))</f>
        <v/>
      </c>
      <c r="U397" s="10">
        <f>IF($AF397="","",INDEX(파견수련계획!$X$4:$X$803,$AF397))</f>
        <v/>
      </c>
      <c r="V397" s="17">
        <f>IF($AF397="","",INDEX(파견수련계획!$V$4:$V$803,$AF397))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IF(OR($B397="",TRIM($J397&amp;"")=""),"",SUMPRODUCT((파견수련계획!$Q$4:$Q$803=TRIM($J397&amp;""))*파견수련계획!$W$4:$W$803))</f>
        <v/>
      </c>
      <c r="Y397" s="10">
        <f>IF($B397="","",IF($AG397="","",IF(IF(TRIM($J397&amp;"")="",0,SUMPRODUCT((파견수련계획!$Q$4:$Q$803=TRIM($J397&amp;""))*파견수련계획!$AD$4:$AD$803))&gt;0,$AE397,IF(N($X397)&lt;=0,$AG397,IF($AH397+$AI397=DAY(EOMONTH(요약!$B$3,0)),IF(AND($AH397&gt;=요약!$E$3,$AI397&lt;요약!$E$3),"서울병원",IF(AND($AI397&gt;=요약!$E$3,$AH397&lt;요약!$E$3),"구리병원","⚠15일 판정불가(서울 "&amp;$AH397&amp;"일/구리 "&amp;$AI397&amp;"일)")),IF($AJ397="",$AE397,IF(INDEX(파견수련계획!$T$4:$T$803,$AJ397)="통합수련",INDEX(파견수련계획!$S$4:$S$803,$AJ397),$AE397)))))))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입력",IF(IF(TRIM($J397&amp;"")="",0,SUMPRODUCT((파견수련계획!$Q$4:$Q$803=TRIM($J397&amp;""))*(파견수련계획!$AA$4:$AA$803&lt;&gt;"")))&gt;0,"파견수련계획 입력오류 확인",IF(LEFT($Y397,1)="⚠","서울·구리 15일 판정 불가(양쪽 모두 이상/미만)",IF(IF($AC397="",0,N(INDEX(인턴근무계획!$T$3:$T$402,$AC397)))&gt;0,"인턴계획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IF($B397="","",IFERROR(MATCH($B397,기본자료!$B$2:$B$1001,0),IFERROR(MATCH($B397&amp;"",기본자료!$B$2:$B$1001,0),IFERROR(MATCH(VALUE($B397),기본자료!$B$2:$B$1001,0),""))))</f>
        <v/>
      </c>
      <c r="AC397" s="10">
        <f>IF($B397="","",IFERROR(MATCH($B397,인턴근무계획!$D$3:$D$402,0),IFERROR(MATCH($B397&amp;"",인턴근무계획!$D$3:$D$402,0),IFERROR(MATCH(VALUE($B397),인턴근무계획!$D$3:$D$402,0),""))))</f>
        <v/>
      </c>
      <c r="AD397" s="10">
        <f>IF(OR($AC397="",인턴현황!$G$3=""),"",INDEX(인턴근무계획!$M$3:$R$402,$AC397,인턴현황!$G$3)&amp;"")</f>
        <v/>
      </c>
      <c r="AE397" s="10">
        <f>IF($B397="","",IF($M397&lt;&gt;"",$M397,IF($AF397&lt;&gt;"",IF(LEFT(INDEX(파견수련계획!$R$4:$R$803,$AF397),1)&lt;&gt;"⚠",INDEX(파견수련계획!$R$4:$R$803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파견수련계획!$Y$4:$Y$803,0),IFERROR(MATCH(TRIM($J397&amp;"")&amp;"|파견예정",파견수련계획!$Y$4:$Y$803,0),IFERROR(MATCH(TRIM($J397&amp;"")&amp;"|파견종료",파견수련계획!$Y$4:$Y$803,0),""))))</f>
        <v/>
      </c>
      <c r="AG397" s="10">
        <f>IF($B397="","",IF(AND(IF(OR($AC397="",인턴현황!$K$2=""),"",INDEX(인턴근무계획!$M$3:$R$402,$AC397,인턴현황!$K$2)&amp;"")&lt;&gt;"",LEFT(IF(OR($AC397="",인턴현황!$K$2=""),"",INDEX(인턴근무계획!$M$3:$R$402,$AC397,인턴현황!$K$2)&amp;""),1)&lt;&gt;"⚠"),LEFT(IF(OR($AC397="",인턴현황!$K$2=""),"",INDEX(인턴근무계획!$M$3:$R$402,$AC397,인턴현황!$K$2)&amp;""),FIND(" ",IF(OR($AC397="",인턴현황!$K$2=""),"",INDEX(인턴근무계획!$M$3:$R$402,$AC397,인턴현황!$K$2)&amp;""))-1),$AE397))</f>
        <v/>
      </c>
      <c r="AH397" s="17">
        <f>IF($B397="","",IF(TRIM($J397&amp;"")="",0,SUMPRODUCT((파견수련계획!$Q$4:$Q$803=TRIM($J397&amp;""))*(파견수련계획!$S$4:$S$803="서울병원")*파견수련계획!$W$4:$W$803))+IF($AG397="서울병원",MAX(0,DAY(EOMONTH(요약!$B$3,0))-N($X397)),0))</f>
        <v/>
      </c>
      <c r="AI397" s="17">
        <f>IF($B397="","",IF(TRIM($J397&amp;"")="",0,SUMPRODUCT((파견수련계획!$Q$4:$Q$803=TRIM($J397&amp;""))*(파견수련계획!$S$4:$S$803="구리병원")*파견수련계획!$W$4:$W$803))+IF($AG397="구리병원",MAX(0,DAY(EOMONTH(요약!$B$3,0))-N($X397)),0))</f>
        <v/>
      </c>
      <c r="AJ397" s="10">
        <f>IF(OR($B397="",TRIM($J397&amp;"")=""),"",IFERROR(MATCH(TRIM($J397&amp;"")&amp;"|월",파견수련계획!$Z$4:$Z$803,0),""))</f>
        <v/>
      </c>
      <c r="AK397" s="10">
        <f>IF(OR($B397="",TRIM($J397&amp;"")=""),"",IFERROR(MATCH(TRIM($J397&amp;"")&amp;"|다기관",파견수련계획!$AE$4:$AE$803,0),""))</f>
        <v/>
      </c>
      <c r="AL397" s="10">
        <f>IF($AK397="","","다기관 "&amp;TEXT(INDEX(파견수련계획!$AB$4:$AB$803,$AK397),"yyyy-mm-dd")&amp;"~"&amp;IF(ISNUMBER(INDEX(파견수련계획!$AC$4:$AC$803,$AK397)),TEXT(INDEX(파견수련계획!$AC$4:$AC$803,$AK397),"yyyy-mm-dd"),""))</f>
        <v/>
      </c>
    </row>
    <row r="398">
      <c r="A398" s="10">
        <f>IF(B398="","",ROW()-1)</f>
        <v/>
      </c>
      <c r="B398" s="18" t="n"/>
      <c r="C398" s="10">
        <f>IF($AB398="","",IF(INDEX(기본자료!$C$2:$C$1001,$AB398)="","",INDEX(기본자료!$C$2:$C$1001,$AB398)))</f>
        <v/>
      </c>
      <c r="D398" s="10">
        <f>IF($AB398="","",IF(INDEX(기본자료!$J$2:$J$1001,$AB398)="","",INDEX(기본자료!$J$2:$J$1001,$AB398)))</f>
        <v/>
      </c>
      <c r="E398" s="11">
        <f>IF($AB398="","",IF(INDEX(기본자료!$K$2:$K$1001,$AB398)="","",IF(NOT(ISNUMBER(INDEX(기본자료!$K$2:$K$1001,$AB398))),INDEX(기본자료!$K$2:$K$1001,$AB398),IF(INDEX(기본자료!$K$2:$K$1001,$AB398)&lt;1000000,INDEX(기본자료!$K$2:$K$1001,$AB398),IF(AND(INDEX(기본자료!$K$2:$K$1001,$AB398)&gt;=10000101,INT(MOD(INDEX(기본자료!$K$2:$K$1001,$AB398),10000)/100)&gt;=1,INT(MOD(INDEX(기본자료!$K$2:$K$1001,$AB398),10000)/100)&lt;=12,MOD(INDEX(기본자료!$K$2:$K$1001,$AB398),100)&gt;=1,MOD(INDEX(기본자료!$K$2:$K$1001,$AB398),100)&lt;=31),DATE(INT(INDEX(기본자료!$K$2:$K$1001,$AB398)/10000),INT(MOD(INDEX(기본자료!$K$2:$K$1001,$AB398),10000)/100),MOD(INDEX(기본자료!$K$2:$K$1001,$AB398),100)),INDEX(기본자료!$K$2:$K$1001,$AB398)&amp;"")))))</f>
        <v/>
      </c>
      <c r="F398" s="10">
        <f>IF($AB398="","",IF(INDEX(기본자료!$D$2:$D$1001,$AB398)="","",INDEX(기본자료!$D$2:$D$1001,$AB398)))</f>
        <v/>
      </c>
      <c r="G398" s="10">
        <f>IF($AB398="","",IF(INDEX(기본자료!$E$2:$E$1001,$AB398)="","",INDEX(기본자료!$E$2:$E$1001,$AB398)))</f>
        <v/>
      </c>
      <c r="H398" s="10">
        <f>IF($AB398="","",IF(INDEX(기본자료!$F$2:$F$1001,$AB398)="","",INDEX(기본자료!$F$2:$F$1001,$AB398)))</f>
        <v/>
      </c>
      <c r="I398" s="11">
        <f>IF($AB398="","",IF(INDEX(기본자료!$G$2:$G$1001,$AB398)="","",IF(NOT(ISNUMBER(INDEX(기본자료!$G$2:$G$1001,$AB398))),INDEX(기본자료!$G$2:$G$1001,$AB398),IF(INDEX(기본자료!$G$2:$G$1001,$AB398)&lt;1000000,INDEX(기본자료!$G$2:$G$1001,$AB398),IF(AND(INDEX(기본자료!$G$2:$G$1001,$AB398)&gt;=10000101,INT(MOD(INDEX(기본자료!$G$2:$G$1001,$AB398),10000)/100)&gt;=1,INT(MOD(INDEX(기본자료!$G$2:$G$1001,$AB398),10000)/100)&lt;=12,MOD(INDEX(기본자료!$G$2:$G$1001,$AB398),100)&gt;=1,MOD(INDEX(기본자료!$G$2:$G$1001,$AB398),100)&lt;=31),DATE(INT(INDEX(기본자료!$G$2:$G$1001,$AB398)/10000),INT(MOD(INDEX(기본자료!$G$2:$G$1001,$AB398),10000)/100),MOD(INDEX(기본자료!$G$2:$G$1001,$AB398),100)),INDEX(기본자료!$G$2:$G$1001,$AB398)&amp;"")))))</f>
        <v/>
      </c>
      <c r="J398" s="10">
        <f>IF($AB398="","",IF(INDEX(기본자료!$H$2:$H$1001,$AB398)="","",INDEX(기본자료!$H$2:$H$1001,$AB398)))</f>
        <v/>
      </c>
      <c r="K398" s="10">
        <f>IF($AB398="","",IF(INDEX(기본자료!$I$2:$I$1001,$AB398)="","",INDEX(기본자료!$I$2:$I$1001,$AB398)))</f>
        <v/>
      </c>
      <c r="L398" s="10">
        <f>IF($AB398="","",IF(INDEX(기본자료!$A$2:$A$1001,$AB398)="","",INDEX(기본자료!$A$2:$A$1001,$AB398)))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파견수련계획!$AB$4:$AB$803,$AK398),OR(NOT(ISNUMBER(INDEX(파견수련계획!$AC$4:$AC$803,$AK398))),TODAY()&lt;=INDEX(파견수련계획!$AC$4:$AC$803,$AK398))),"다기관",IF($AF398="","",INDEX(파견수련계획!$T$4:$T$803,$AF398))),IF($AF398="","",INDEX(파견수련계획!$T$4:$T$803,$AF398))))</f>
        <v/>
      </c>
      <c r="Q398" s="10">
        <f>IF($AF398="","",INDEX(파견수련계획!$S$4:$S$803,$AF398))</f>
        <v/>
      </c>
      <c r="R398" s="10">
        <f>IF($AF398="","",INDEX(파견수련계획!$U$4:$U$803,$AF398))</f>
        <v/>
      </c>
      <c r="S398" s="11">
        <f>IF($AF398="","",IF(INDEX(파견수련계획!$H$4:$H$803,$AF398)="","",INDEX(파견수련계획!$H$4:$H$803,$AF398)))</f>
        <v/>
      </c>
      <c r="T398" s="11">
        <f>IF($AF398="","",IF(INDEX(파견수련계획!$I$4:$I$803,$AF398)="","",INDEX(파견수련계획!$I$4:$I$803,$AF398)))</f>
        <v/>
      </c>
      <c r="U398" s="10">
        <f>IF($AF398="","",INDEX(파견수련계획!$X$4:$X$803,$AF398))</f>
        <v/>
      </c>
      <c r="V398" s="17">
        <f>IF($AF398="","",INDEX(파견수련계획!$V$4:$V$803,$AF398))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IF(OR($B398="",TRIM($J398&amp;"")=""),"",SUMPRODUCT((파견수련계획!$Q$4:$Q$803=TRIM($J398&amp;""))*파견수련계획!$W$4:$W$803))</f>
        <v/>
      </c>
      <c r="Y398" s="10">
        <f>IF($B398="","",IF($AG398="","",IF(IF(TRIM($J398&amp;"")="",0,SUMPRODUCT((파견수련계획!$Q$4:$Q$803=TRIM($J398&amp;""))*파견수련계획!$AD$4:$AD$803))&gt;0,$AE398,IF(N($X398)&lt;=0,$AG398,IF($AH398+$AI398=DAY(EOMONTH(요약!$B$3,0)),IF(AND($AH398&gt;=요약!$E$3,$AI398&lt;요약!$E$3),"서울병원",IF(AND($AI398&gt;=요약!$E$3,$AH398&lt;요약!$E$3),"구리병원","⚠15일 판정불가(서울 "&amp;$AH398&amp;"일/구리 "&amp;$AI398&amp;"일)")),IF($AJ398="",$AE398,IF(INDEX(파견수련계획!$T$4:$T$803,$AJ398)="통합수련",INDEX(파견수련계획!$S$4:$S$803,$AJ398),$AE398)))))))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입력",IF(IF(TRIM($J398&amp;"")="",0,SUMPRODUCT((파견수련계획!$Q$4:$Q$803=TRIM($J398&amp;""))*(파견수련계획!$AA$4:$AA$803&lt;&gt;"")))&gt;0,"파견수련계획 입력오류 확인",IF(LEFT($Y398,1)="⚠","서울·구리 15일 판정 불가(양쪽 모두 이상/미만)",IF(IF($AC398="",0,N(INDEX(인턴근무계획!$T$3:$T$402,$AC398)))&gt;0,"인턴계획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IF($B398="","",IFERROR(MATCH($B398,기본자료!$B$2:$B$1001,0),IFERROR(MATCH($B398&amp;"",기본자료!$B$2:$B$1001,0),IFERROR(MATCH(VALUE($B398),기본자료!$B$2:$B$1001,0),""))))</f>
        <v/>
      </c>
      <c r="AC398" s="10">
        <f>IF($B398="","",IFERROR(MATCH($B398,인턴근무계획!$D$3:$D$402,0),IFERROR(MATCH($B398&amp;"",인턴근무계획!$D$3:$D$402,0),IFERROR(MATCH(VALUE($B398),인턴근무계획!$D$3:$D$402,0),""))))</f>
        <v/>
      </c>
      <c r="AD398" s="10">
        <f>IF(OR($AC398="",인턴현황!$G$3=""),"",INDEX(인턴근무계획!$M$3:$R$402,$AC398,인턴현황!$G$3)&amp;"")</f>
        <v/>
      </c>
      <c r="AE398" s="10">
        <f>IF($B398="","",IF($M398&lt;&gt;"",$M398,IF($AF398&lt;&gt;"",IF(LEFT(INDEX(파견수련계획!$R$4:$R$803,$AF398),1)&lt;&gt;"⚠",INDEX(파견수련계획!$R$4:$R$803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파견수련계획!$Y$4:$Y$803,0),IFERROR(MATCH(TRIM($J398&amp;"")&amp;"|파견예정",파견수련계획!$Y$4:$Y$803,0),IFERROR(MATCH(TRIM($J398&amp;"")&amp;"|파견종료",파견수련계획!$Y$4:$Y$803,0),""))))</f>
        <v/>
      </c>
      <c r="AG398" s="10">
        <f>IF($B398="","",IF(AND(IF(OR($AC398="",인턴현황!$K$2=""),"",INDEX(인턴근무계획!$M$3:$R$402,$AC398,인턴현황!$K$2)&amp;"")&lt;&gt;"",LEFT(IF(OR($AC398="",인턴현황!$K$2=""),"",INDEX(인턴근무계획!$M$3:$R$402,$AC398,인턴현황!$K$2)&amp;""),1)&lt;&gt;"⚠"),LEFT(IF(OR($AC398="",인턴현황!$K$2=""),"",INDEX(인턴근무계획!$M$3:$R$402,$AC398,인턴현황!$K$2)&amp;""),FIND(" ",IF(OR($AC398="",인턴현황!$K$2=""),"",INDEX(인턴근무계획!$M$3:$R$402,$AC398,인턴현황!$K$2)&amp;""))-1),$AE398))</f>
        <v/>
      </c>
      <c r="AH398" s="17">
        <f>IF($B398="","",IF(TRIM($J398&amp;"")="",0,SUMPRODUCT((파견수련계획!$Q$4:$Q$803=TRIM($J398&amp;""))*(파견수련계획!$S$4:$S$803="서울병원")*파견수련계획!$W$4:$W$803))+IF($AG398="서울병원",MAX(0,DAY(EOMONTH(요약!$B$3,0))-N($X398)),0))</f>
        <v/>
      </c>
      <c r="AI398" s="17">
        <f>IF($B398="","",IF(TRIM($J398&amp;"")="",0,SUMPRODUCT((파견수련계획!$Q$4:$Q$803=TRIM($J398&amp;""))*(파견수련계획!$S$4:$S$803="구리병원")*파견수련계획!$W$4:$W$803))+IF($AG398="구리병원",MAX(0,DAY(EOMONTH(요약!$B$3,0))-N($X398)),0))</f>
        <v/>
      </c>
      <c r="AJ398" s="10">
        <f>IF(OR($B398="",TRIM($J398&amp;"")=""),"",IFERROR(MATCH(TRIM($J398&amp;"")&amp;"|월",파견수련계획!$Z$4:$Z$803,0),""))</f>
        <v/>
      </c>
      <c r="AK398" s="10">
        <f>IF(OR($B398="",TRIM($J398&amp;"")=""),"",IFERROR(MATCH(TRIM($J398&amp;"")&amp;"|다기관",파견수련계획!$AE$4:$AE$803,0),""))</f>
        <v/>
      </c>
      <c r="AL398" s="10">
        <f>IF($AK398="","","다기관 "&amp;TEXT(INDEX(파견수련계획!$AB$4:$AB$803,$AK398),"yyyy-mm-dd")&amp;"~"&amp;IF(ISNUMBER(INDEX(파견수련계획!$AC$4:$AC$803,$AK398)),TEXT(INDEX(파견수련계획!$AC$4:$AC$803,$AK398),"yyyy-mm-dd"),""))</f>
        <v/>
      </c>
    </row>
    <row r="399">
      <c r="A399" s="10">
        <f>IF(B399="","",ROW()-1)</f>
        <v/>
      </c>
      <c r="B399" s="18" t="n"/>
      <c r="C399" s="10">
        <f>IF($AB399="","",IF(INDEX(기본자료!$C$2:$C$1001,$AB399)="","",INDEX(기본자료!$C$2:$C$1001,$AB399)))</f>
        <v/>
      </c>
      <c r="D399" s="10">
        <f>IF($AB399="","",IF(INDEX(기본자료!$J$2:$J$1001,$AB399)="","",INDEX(기본자료!$J$2:$J$1001,$AB399)))</f>
        <v/>
      </c>
      <c r="E399" s="11">
        <f>IF($AB399="","",IF(INDEX(기본자료!$K$2:$K$1001,$AB399)="","",IF(NOT(ISNUMBER(INDEX(기본자료!$K$2:$K$1001,$AB399))),INDEX(기본자료!$K$2:$K$1001,$AB399),IF(INDEX(기본자료!$K$2:$K$1001,$AB399)&lt;1000000,INDEX(기본자료!$K$2:$K$1001,$AB399),IF(AND(INDEX(기본자료!$K$2:$K$1001,$AB399)&gt;=10000101,INT(MOD(INDEX(기본자료!$K$2:$K$1001,$AB399),10000)/100)&gt;=1,INT(MOD(INDEX(기본자료!$K$2:$K$1001,$AB399),10000)/100)&lt;=12,MOD(INDEX(기본자료!$K$2:$K$1001,$AB399),100)&gt;=1,MOD(INDEX(기본자료!$K$2:$K$1001,$AB399),100)&lt;=31),DATE(INT(INDEX(기본자료!$K$2:$K$1001,$AB399)/10000),INT(MOD(INDEX(기본자료!$K$2:$K$1001,$AB399),10000)/100),MOD(INDEX(기본자료!$K$2:$K$1001,$AB399),100)),INDEX(기본자료!$K$2:$K$1001,$AB399)&amp;"")))))</f>
        <v/>
      </c>
      <c r="F399" s="10">
        <f>IF($AB399="","",IF(INDEX(기본자료!$D$2:$D$1001,$AB399)="","",INDEX(기본자료!$D$2:$D$1001,$AB399)))</f>
        <v/>
      </c>
      <c r="G399" s="10">
        <f>IF($AB399="","",IF(INDEX(기본자료!$E$2:$E$1001,$AB399)="","",INDEX(기본자료!$E$2:$E$1001,$AB399)))</f>
        <v/>
      </c>
      <c r="H399" s="10">
        <f>IF($AB399="","",IF(INDEX(기본자료!$F$2:$F$1001,$AB399)="","",INDEX(기본자료!$F$2:$F$1001,$AB399)))</f>
        <v/>
      </c>
      <c r="I399" s="11">
        <f>IF($AB399="","",IF(INDEX(기본자료!$G$2:$G$1001,$AB399)="","",IF(NOT(ISNUMBER(INDEX(기본자료!$G$2:$G$1001,$AB399))),INDEX(기본자료!$G$2:$G$1001,$AB399),IF(INDEX(기본자료!$G$2:$G$1001,$AB399)&lt;1000000,INDEX(기본자료!$G$2:$G$1001,$AB399),IF(AND(INDEX(기본자료!$G$2:$G$1001,$AB399)&gt;=10000101,INT(MOD(INDEX(기본자료!$G$2:$G$1001,$AB399),10000)/100)&gt;=1,INT(MOD(INDEX(기본자료!$G$2:$G$1001,$AB399),10000)/100)&lt;=12,MOD(INDEX(기본자료!$G$2:$G$1001,$AB399),100)&gt;=1,MOD(INDEX(기본자료!$G$2:$G$1001,$AB399),100)&lt;=31),DATE(INT(INDEX(기본자료!$G$2:$G$1001,$AB399)/10000),INT(MOD(INDEX(기본자료!$G$2:$G$1001,$AB399),10000)/100),MOD(INDEX(기본자료!$G$2:$G$1001,$AB399),100)),INDEX(기본자료!$G$2:$G$1001,$AB399)&amp;"")))))</f>
        <v/>
      </c>
      <c r="J399" s="10">
        <f>IF($AB399="","",IF(INDEX(기본자료!$H$2:$H$1001,$AB399)="","",INDEX(기본자료!$H$2:$H$1001,$AB399)))</f>
        <v/>
      </c>
      <c r="K399" s="10">
        <f>IF($AB399="","",IF(INDEX(기본자료!$I$2:$I$1001,$AB399)="","",INDEX(기본자료!$I$2:$I$1001,$AB399)))</f>
        <v/>
      </c>
      <c r="L399" s="10">
        <f>IF($AB399="","",IF(INDEX(기본자료!$A$2:$A$1001,$AB399)="","",INDEX(기본자료!$A$2:$A$1001,$AB399)))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파견수련계획!$AB$4:$AB$803,$AK399),OR(NOT(ISNUMBER(INDEX(파견수련계획!$AC$4:$AC$803,$AK399))),TODAY()&lt;=INDEX(파견수련계획!$AC$4:$AC$803,$AK399))),"다기관",IF($AF399="","",INDEX(파견수련계획!$T$4:$T$803,$AF399))),IF($AF399="","",INDEX(파견수련계획!$T$4:$T$803,$AF399))))</f>
        <v/>
      </c>
      <c r="Q399" s="10">
        <f>IF($AF399="","",INDEX(파견수련계획!$S$4:$S$803,$AF399))</f>
        <v/>
      </c>
      <c r="R399" s="10">
        <f>IF($AF399="","",INDEX(파견수련계획!$U$4:$U$803,$AF399))</f>
        <v/>
      </c>
      <c r="S399" s="11">
        <f>IF($AF399="","",IF(INDEX(파견수련계획!$H$4:$H$803,$AF399)="","",INDEX(파견수련계획!$H$4:$H$803,$AF399)))</f>
        <v/>
      </c>
      <c r="T399" s="11">
        <f>IF($AF399="","",IF(INDEX(파견수련계획!$I$4:$I$803,$AF399)="","",INDEX(파견수련계획!$I$4:$I$803,$AF399)))</f>
        <v/>
      </c>
      <c r="U399" s="10">
        <f>IF($AF399="","",INDEX(파견수련계획!$X$4:$X$803,$AF399))</f>
        <v/>
      </c>
      <c r="V399" s="17">
        <f>IF($AF399="","",INDEX(파견수련계획!$V$4:$V$803,$AF399))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IF(OR($B399="",TRIM($J399&amp;"")=""),"",SUMPRODUCT((파견수련계획!$Q$4:$Q$803=TRIM($J399&amp;""))*파견수련계획!$W$4:$W$803))</f>
        <v/>
      </c>
      <c r="Y399" s="10">
        <f>IF($B399="","",IF($AG399="","",IF(IF(TRIM($J399&amp;"")="",0,SUMPRODUCT((파견수련계획!$Q$4:$Q$803=TRIM($J399&amp;""))*파견수련계획!$AD$4:$AD$803))&gt;0,$AE399,IF(N($X399)&lt;=0,$AG399,IF($AH399+$AI399=DAY(EOMONTH(요약!$B$3,0)),IF(AND($AH399&gt;=요약!$E$3,$AI399&lt;요약!$E$3),"서울병원",IF(AND($AI399&gt;=요약!$E$3,$AH399&lt;요약!$E$3),"구리병원","⚠15일 판정불가(서울 "&amp;$AH399&amp;"일/구리 "&amp;$AI399&amp;"일)")),IF($AJ399="",$AE399,IF(INDEX(파견수련계획!$T$4:$T$803,$AJ399)="통합수련",INDEX(파견수련계획!$S$4:$S$803,$AJ399),$AE399)))))))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입력",IF(IF(TRIM($J399&amp;"")="",0,SUMPRODUCT((파견수련계획!$Q$4:$Q$803=TRIM($J399&amp;""))*(파견수련계획!$AA$4:$AA$803&lt;&gt;"")))&gt;0,"파견수련계획 입력오류 확인",IF(LEFT($Y399,1)="⚠","서울·구리 15일 판정 불가(양쪽 모두 이상/미만)",IF(IF($AC399="",0,N(INDEX(인턴근무계획!$T$3:$T$402,$AC399)))&gt;0,"인턴계획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IF($B399="","",IFERROR(MATCH($B399,기본자료!$B$2:$B$1001,0),IFERROR(MATCH($B399&amp;"",기본자료!$B$2:$B$1001,0),IFERROR(MATCH(VALUE($B399),기본자료!$B$2:$B$1001,0),""))))</f>
        <v/>
      </c>
      <c r="AC399" s="10">
        <f>IF($B399="","",IFERROR(MATCH($B399,인턴근무계획!$D$3:$D$402,0),IFERROR(MATCH($B399&amp;"",인턴근무계획!$D$3:$D$402,0),IFERROR(MATCH(VALUE($B399),인턴근무계획!$D$3:$D$402,0),""))))</f>
        <v/>
      </c>
      <c r="AD399" s="10">
        <f>IF(OR($AC399="",인턴현황!$G$3=""),"",INDEX(인턴근무계획!$M$3:$R$402,$AC399,인턴현황!$G$3)&amp;"")</f>
        <v/>
      </c>
      <c r="AE399" s="10">
        <f>IF($B399="","",IF($M399&lt;&gt;"",$M399,IF($AF399&lt;&gt;"",IF(LEFT(INDEX(파견수련계획!$R$4:$R$803,$AF399),1)&lt;&gt;"⚠",INDEX(파견수련계획!$R$4:$R$803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파견수련계획!$Y$4:$Y$803,0),IFERROR(MATCH(TRIM($J399&amp;"")&amp;"|파견예정",파견수련계획!$Y$4:$Y$803,0),IFERROR(MATCH(TRIM($J399&amp;"")&amp;"|파견종료",파견수련계획!$Y$4:$Y$803,0),""))))</f>
        <v/>
      </c>
      <c r="AG399" s="10">
        <f>IF($B399="","",IF(AND(IF(OR($AC399="",인턴현황!$K$2=""),"",INDEX(인턴근무계획!$M$3:$R$402,$AC399,인턴현황!$K$2)&amp;"")&lt;&gt;"",LEFT(IF(OR($AC399="",인턴현황!$K$2=""),"",INDEX(인턴근무계획!$M$3:$R$402,$AC399,인턴현황!$K$2)&amp;""),1)&lt;&gt;"⚠"),LEFT(IF(OR($AC399="",인턴현황!$K$2=""),"",INDEX(인턴근무계획!$M$3:$R$402,$AC399,인턴현황!$K$2)&amp;""),FIND(" ",IF(OR($AC399="",인턴현황!$K$2=""),"",INDEX(인턴근무계획!$M$3:$R$402,$AC399,인턴현황!$K$2)&amp;""))-1),$AE399))</f>
        <v/>
      </c>
      <c r="AH399" s="17">
        <f>IF($B399="","",IF(TRIM($J399&amp;"")="",0,SUMPRODUCT((파견수련계획!$Q$4:$Q$803=TRIM($J399&amp;""))*(파견수련계획!$S$4:$S$803="서울병원")*파견수련계획!$W$4:$W$803))+IF($AG399="서울병원",MAX(0,DAY(EOMONTH(요약!$B$3,0))-N($X399)),0))</f>
        <v/>
      </c>
      <c r="AI399" s="17">
        <f>IF($B399="","",IF(TRIM($J399&amp;"")="",0,SUMPRODUCT((파견수련계획!$Q$4:$Q$803=TRIM($J399&amp;""))*(파견수련계획!$S$4:$S$803="구리병원")*파견수련계획!$W$4:$W$803))+IF($AG399="구리병원",MAX(0,DAY(EOMONTH(요약!$B$3,0))-N($X399)),0))</f>
        <v/>
      </c>
      <c r="AJ399" s="10">
        <f>IF(OR($B399="",TRIM($J399&amp;"")=""),"",IFERROR(MATCH(TRIM($J399&amp;"")&amp;"|월",파견수련계획!$Z$4:$Z$803,0),""))</f>
        <v/>
      </c>
      <c r="AK399" s="10">
        <f>IF(OR($B399="",TRIM($J399&amp;"")=""),"",IFERROR(MATCH(TRIM($J399&amp;"")&amp;"|다기관",파견수련계획!$AE$4:$AE$803,0),""))</f>
        <v/>
      </c>
      <c r="AL399" s="10">
        <f>IF($AK399="","","다기관 "&amp;TEXT(INDEX(파견수련계획!$AB$4:$AB$803,$AK399),"yyyy-mm-dd")&amp;"~"&amp;IF(ISNUMBER(INDEX(파견수련계획!$AC$4:$AC$803,$AK399)),TEXT(INDEX(파견수련계획!$AC$4:$AC$803,$AK399),"yyyy-mm-dd"),""))</f>
        <v/>
      </c>
    </row>
    <row r="400">
      <c r="A400" s="10">
        <f>IF(B400="","",ROW()-1)</f>
        <v/>
      </c>
      <c r="B400" s="18" t="n"/>
      <c r="C400" s="10">
        <f>IF($AB400="","",IF(INDEX(기본자료!$C$2:$C$1001,$AB400)="","",INDEX(기본자료!$C$2:$C$1001,$AB400)))</f>
        <v/>
      </c>
      <c r="D400" s="10">
        <f>IF($AB400="","",IF(INDEX(기본자료!$J$2:$J$1001,$AB400)="","",INDEX(기본자료!$J$2:$J$1001,$AB400)))</f>
        <v/>
      </c>
      <c r="E400" s="11">
        <f>IF($AB400="","",IF(INDEX(기본자료!$K$2:$K$1001,$AB400)="","",IF(NOT(ISNUMBER(INDEX(기본자료!$K$2:$K$1001,$AB400))),INDEX(기본자료!$K$2:$K$1001,$AB400),IF(INDEX(기본자료!$K$2:$K$1001,$AB400)&lt;1000000,INDEX(기본자료!$K$2:$K$1001,$AB400),IF(AND(INDEX(기본자료!$K$2:$K$1001,$AB400)&gt;=10000101,INT(MOD(INDEX(기본자료!$K$2:$K$1001,$AB400),10000)/100)&gt;=1,INT(MOD(INDEX(기본자료!$K$2:$K$1001,$AB400),10000)/100)&lt;=12,MOD(INDEX(기본자료!$K$2:$K$1001,$AB400),100)&gt;=1,MOD(INDEX(기본자료!$K$2:$K$1001,$AB400),100)&lt;=31),DATE(INT(INDEX(기본자료!$K$2:$K$1001,$AB400)/10000),INT(MOD(INDEX(기본자료!$K$2:$K$1001,$AB400),10000)/100),MOD(INDEX(기본자료!$K$2:$K$1001,$AB400),100)),INDEX(기본자료!$K$2:$K$1001,$AB400)&amp;"")))))</f>
        <v/>
      </c>
      <c r="F400" s="10">
        <f>IF($AB400="","",IF(INDEX(기본자료!$D$2:$D$1001,$AB400)="","",INDEX(기본자료!$D$2:$D$1001,$AB400)))</f>
        <v/>
      </c>
      <c r="G400" s="10">
        <f>IF($AB400="","",IF(INDEX(기본자료!$E$2:$E$1001,$AB400)="","",INDEX(기본자료!$E$2:$E$1001,$AB400)))</f>
        <v/>
      </c>
      <c r="H400" s="10">
        <f>IF($AB400="","",IF(INDEX(기본자료!$F$2:$F$1001,$AB400)="","",INDEX(기본자료!$F$2:$F$1001,$AB400)))</f>
        <v/>
      </c>
      <c r="I400" s="11">
        <f>IF($AB400="","",IF(INDEX(기본자료!$G$2:$G$1001,$AB400)="","",IF(NOT(ISNUMBER(INDEX(기본자료!$G$2:$G$1001,$AB400))),INDEX(기본자료!$G$2:$G$1001,$AB400),IF(INDEX(기본자료!$G$2:$G$1001,$AB400)&lt;1000000,INDEX(기본자료!$G$2:$G$1001,$AB400),IF(AND(INDEX(기본자료!$G$2:$G$1001,$AB400)&gt;=10000101,INT(MOD(INDEX(기본자료!$G$2:$G$1001,$AB400),10000)/100)&gt;=1,INT(MOD(INDEX(기본자료!$G$2:$G$1001,$AB400),10000)/100)&lt;=12,MOD(INDEX(기본자료!$G$2:$G$1001,$AB400),100)&gt;=1,MOD(INDEX(기본자료!$G$2:$G$1001,$AB400),100)&lt;=31),DATE(INT(INDEX(기본자료!$G$2:$G$1001,$AB400)/10000),INT(MOD(INDEX(기본자료!$G$2:$G$1001,$AB400),10000)/100),MOD(INDEX(기본자료!$G$2:$G$1001,$AB400),100)),INDEX(기본자료!$G$2:$G$1001,$AB400)&amp;"")))))</f>
        <v/>
      </c>
      <c r="J400" s="10">
        <f>IF($AB400="","",IF(INDEX(기본자료!$H$2:$H$1001,$AB400)="","",INDEX(기본자료!$H$2:$H$1001,$AB400)))</f>
        <v/>
      </c>
      <c r="K400" s="10">
        <f>IF($AB400="","",IF(INDEX(기본자료!$I$2:$I$1001,$AB400)="","",INDEX(기본자료!$I$2:$I$1001,$AB400)))</f>
        <v/>
      </c>
      <c r="L400" s="10">
        <f>IF($AB400="","",IF(INDEX(기본자료!$A$2:$A$1001,$AB400)="","",INDEX(기본자료!$A$2:$A$1001,$AB400)))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파견수련계획!$AB$4:$AB$803,$AK400),OR(NOT(ISNUMBER(INDEX(파견수련계획!$AC$4:$AC$803,$AK400))),TODAY()&lt;=INDEX(파견수련계획!$AC$4:$AC$803,$AK400))),"다기관",IF($AF400="","",INDEX(파견수련계획!$T$4:$T$803,$AF400))),IF($AF400="","",INDEX(파견수련계획!$T$4:$T$803,$AF400))))</f>
        <v/>
      </c>
      <c r="Q400" s="10">
        <f>IF($AF400="","",INDEX(파견수련계획!$S$4:$S$803,$AF400))</f>
        <v/>
      </c>
      <c r="R400" s="10">
        <f>IF($AF400="","",INDEX(파견수련계획!$U$4:$U$803,$AF400))</f>
        <v/>
      </c>
      <c r="S400" s="11">
        <f>IF($AF400="","",IF(INDEX(파견수련계획!$H$4:$H$803,$AF400)="","",INDEX(파견수련계획!$H$4:$H$803,$AF400)))</f>
        <v/>
      </c>
      <c r="T400" s="11">
        <f>IF($AF400="","",IF(INDEX(파견수련계획!$I$4:$I$803,$AF400)="","",INDEX(파견수련계획!$I$4:$I$803,$AF400)))</f>
        <v/>
      </c>
      <c r="U400" s="10">
        <f>IF($AF400="","",INDEX(파견수련계획!$X$4:$X$803,$AF400))</f>
        <v/>
      </c>
      <c r="V400" s="17">
        <f>IF($AF400="","",INDEX(파견수련계획!$V$4:$V$803,$AF400))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IF(OR($B400="",TRIM($J400&amp;"")=""),"",SUMPRODUCT((파견수련계획!$Q$4:$Q$803=TRIM($J400&amp;""))*파견수련계획!$W$4:$W$803))</f>
        <v/>
      </c>
      <c r="Y400" s="10">
        <f>IF($B400="","",IF($AG400="","",IF(IF(TRIM($J400&amp;"")="",0,SUMPRODUCT((파견수련계획!$Q$4:$Q$803=TRIM($J400&amp;""))*파견수련계획!$AD$4:$AD$803))&gt;0,$AE400,IF(N($X400)&lt;=0,$AG400,IF($AH400+$AI400=DAY(EOMONTH(요약!$B$3,0)),IF(AND($AH400&gt;=요약!$E$3,$AI400&lt;요약!$E$3),"서울병원",IF(AND($AI400&gt;=요약!$E$3,$AH400&lt;요약!$E$3),"구리병원","⚠15일 판정불가(서울 "&amp;$AH400&amp;"일/구리 "&amp;$AI400&amp;"일)")),IF($AJ400="",$AE400,IF(INDEX(파견수련계획!$T$4:$T$803,$AJ400)="통합수련",INDEX(파견수련계획!$S$4:$S$803,$AJ400),$AE400)))))))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입력",IF(IF(TRIM($J400&amp;"")="",0,SUMPRODUCT((파견수련계획!$Q$4:$Q$803=TRIM($J400&amp;""))*(파견수련계획!$AA$4:$AA$803&lt;&gt;"")))&gt;0,"파견수련계획 입력오류 확인",IF(LEFT($Y400,1)="⚠","서울·구리 15일 판정 불가(양쪽 모두 이상/미만)",IF(IF($AC400="",0,N(INDEX(인턴근무계획!$T$3:$T$402,$AC400)))&gt;0,"인턴계획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IF($B400="","",IFERROR(MATCH($B400,기본자료!$B$2:$B$1001,0),IFERROR(MATCH($B400&amp;"",기본자료!$B$2:$B$1001,0),IFERROR(MATCH(VALUE($B400),기본자료!$B$2:$B$1001,0),""))))</f>
        <v/>
      </c>
      <c r="AC400" s="10">
        <f>IF($B400="","",IFERROR(MATCH($B400,인턴근무계획!$D$3:$D$402,0),IFERROR(MATCH($B400&amp;"",인턴근무계획!$D$3:$D$402,0),IFERROR(MATCH(VALUE($B400),인턴근무계획!$D$3:$D$402,0),""))))</f>
        <v/>
      </c>
      <c r="AD400" s="10">
        <f>IF(OR($AC400="",인턴현황!$G$3=""),"",INDEX(인턴근무계획!$M$3:$R$402,$AC400,인턴현황!$G$3)&amp;"")</f>
        <v/>
      </c>
      <c r="AE400" s="10">
        <f>IF($B400="","",IF($M400&lt;&gt;"",$M400,IF($AF400&lt;&gt;"",IF(LEFT(INDEX(파견수련계획!$R$4:$R$803,$AF400),1)&lt;&gt;"⚠",INDEX(파견수련계획!$R$4:$R$803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파견수련계획!$Y$4:$Y$803,0),IFERROR(MATCH(TRIM($J400&amp;"")&amp;"|파견예정",파견수련계획!$Y$4:$Y$803,0),IFERROR(MATCH(TRIM($J400&amp;"")&amp;"|파견종료",파견수련계획!$Y$4:$Y$803,0),""))))</f>
        <v/>
      </c>
      <c r="AG400" s="10">
        <f>IF($B400="","",IF(AND(IF(OR($AC400="",인턴현황!$K$2=""),"",INDEX(인턴근무계획!$M$3:$R$402,$AC400,인턴현황!$K$2)&amp;"")&lt;&gt;"",LEFT(IF(OR($AC400="",인턴현황!$K$2=""),"",INDEX(인턴근무계획!$M$3:$R$402,$AC400,인턴현황!$K$2)&amp;""),1)&lt;&gt;"⚠"),LEFT(IF(OR($AC400="",인턴현황!$K$2=""),"",INDEX(인턴근무계획!$M$3:$R$402,$AC400,인턴현황!$K$2)&amp;""),FIND(" ",IF(OR($AC400="",인턴현황!$K$2=""),"",INDEX(인턴근무계획!$M$3:$R$402,$AC400,인턴현황!$K$2)&amp;""))-1),$AE400))</f>
        <v/>
      </c>
      <c r="AH400" s="17">
        <f>IF($B400="","",IF(TRIM($J400&amp;"")="",0,SUMPRODUCT((파견수련계획!$Q$4:$Q$803=TRIM($J400&amp;""))*(파견수련계획!$S$4:$S$803="서울병원")*파견수련계획!$W$4:$W$803))+IF($AG400="서울병원",MAX(0,DAY(EOMONTH(요약!$B$3,0))-N($X400)),0))</f>
        <v/>
      </c>
      <c r="AI400" s="17">
        <f>IF($B400="","",IF(TRIM($J400&amp;"")="",0,SUMPRODUCT((파견수련계획!$Q$4:$Q$803=TRIM($J400&amp;""))*(파견수련계획!$S$4:$S$803="구리병원")*파견수련계획!$W$4:$W$803))+IF($AG400="구리병원",MAX(0,DAY(EOMONTH(요약!$B$3,0))-N($X400)),0))</f>
        <v/>
      </c>
      <c r="AJ400" s="10">
        <f>IF(OR($B400="",TRIM($J400&amp;"")=""),"",IFERROR(MATCH(TRIM($J400&amp;"")&amp;"|월",파견수련계획!$Z$4:$Z$803,0),""))</f>
        <v/>
      </c>
      <c r="AK400" s="10">
        <f>IF(OR($B400="",TRIM($J400&amp;"")=""),"",IFERROR(MATCH(TRIM($J400&amp;"")&amp;"|다기관",파견수련계획!$AE$4:$AE$803,0),""))</f>
        <v/>
      </c>
      <c r="AL400" s="10">
        <f>IF($AK400="","","다기관 "&amp;TEXT(INDEX(파견수련계획!$AB$4:$AB$803,$AK400),"yyyy-mm-dd")&amp;"~"&amp;IF(ISNUMBER(INDEX(파견수련계획!$AC$4:$AC$803,$AK400)),TEXT(INDEX(파견수련계획!$AC$4:$AC$803,$AK400),"yyyy-mm-dd"),""))</f>
        <v/>
      </c>
    </row>
    <row r="401">
      <c r="A401" s="10">
        <f>IF(B401="","",ROW()-1)</f>
        <v/>
      </c>
      <c r="B401" s="18" t="n"/>
      <c r="C401" s="10">
        <f>IF($AB401="","",IF(INDEX(기본자료!$C$2:$C$1001,$AB401)="","",INDEX(기본자료!$C$2:$C$1001,$AB401)))</f>
        <v/>
      </c>
      <c r="D401" s="10">
        <f>IF($AB401="","",IF(INDEX(기본자료!$J$2:$J$1001,$AB401)="","",INDEX(기본자료!$J$2:$J$1001,$AB401)))</f>
        <v/>
      </c>
      <c r="E401" s="11">
        <f>IF($AB401="","",IF(INDEX(기본자료!$K$2:$K$1001,$AB401)="","",IF(NOT(ISNUMBER(INDEX(기본자료!$K$2:$K$1001,$AB401))),INDEX(기본자료!$K$2:$K$1001,$AB401),IF(INDEX(기본자료!$K$2:$K$1001,$AB401)&lt;1000000,INDEX(기본자료!$K$2:$K$1001,$AB401),IF(AND(INDEX(기본자료!$K$2:$K$1001,$AB401)&gt;=10000101,INT(MOD(INDEX(기본자료!$K$2:$K$1001,$AB401),10000)/100)&gt;=1,INT(MOD(INDEX(기본자료!$K$2:$K$1001,$AB401),10000)/100)&lt;=12,MOD(INDEX(기본자료!$K$2:$K$1001,$AB401),100)&gt;=1,MOD(INDEX(기본자료!$K$2:$K$1001,$AB401),100)&lt;=31),DATE(INT(INDEX(기본자료!$K$2:$K$1001,$AB401)/10000),INT(MOD(INDEX(기본자료!$K$2:$K$1001,$AB401),10000)/100),MOD(INDEX(기본자료!$K$2:$K$1001,$AB401),100)),INDEX(기본자료!$K$2:$K$1001,$AB401)&amp;"")))))</f>
        <v/>
      </c>
      <c r="F401" s="10">
        <f>IF($AB401="","",IF(INDEX(기본자료!$D$2:$D$1001,$AB401)="","",INDEX(기본자료!$D$2:$D$1001,$AB401)))</f>
        <v/>
      </c>
      <c r="G401" s="10">
        <f>IF($AB401="","",IF(INDEX(기본자료!$E$2:$E$1001,$AB401)="","",INDEX(기본자료!$E$2:$E$1001,$AB401)))</f>
        <v/>
      </c>
      <c r="H401" s="10">
        <f>IF($AB401="","",IF(INDEX(기본자료!$F$2:$F$1001,$AB401)="","",INDEX(기본자료!$F$2:$F$1001,$AB401)))</f>
        <v/>
      </c>
      <c r="I401" s="11">
        <f>IF($AB401="","",IF(INDEX(기본자료!$G$2:$G$1001,$AB401)="","",IF(NOT(ISNUMBER(INDEX(기본자료!$G$2:$G$1001,$AB401))),INDEX(기본자료!$G$2:$G$1001,$AB401),IF(INDEX(기본자료!$G$2:$G$1001,$AB401)&lt;1000000,INDEX(기본자료!$G$2:$G$1001,$AB401),IF(AND(INDEX(기본자료!$G$2:$G$1001,$AB401)&gt;=10000101,INT(MOD(INDEX(기본자료!$G$2:$G$1001,$AB401),10000)/100)&gt;=1,INT(MOD(INDEX(기본자료!$G$2:$G$1001,$AB401),10000)/100)&lt;=12,MOD(INDEX(기본자료!$G$2:$G$1001,$AB401),100)&gt;=1,MOD(INDEX(기본자료!$G$2:$G$1001,$AB401),100)&lt;=31),DATE(INT(INDEX(기본자료!$G$2:$G$1001,$AB401)/10000),INT(MOD(INDEX(기본자료!$G$2:$G$1001,$AB401),10000)/100),MOD(INDEX(기본자료!$G$2:$G$1001,$AB401),100)),INDEX(기본자료!$G$2:$G$1001,$AB401)&amp;"")))))</f>
        <v/>
      </c>
      <c r="J401" s="10">
        <f>IF($AB401="","",IF(INDEX(기본자료!$H$2:$H$1001,$AB401)="","",INDEX(기본자료!$H$2:$H$1001,$AB401)))</f>
        <v/>
      </c>
      <c r="K401" s="10">
        <f>IF($AB401="","",IF(INDEX(기본자료!$I$2:$I$1001,$AB401)="","",INDEX(기본자료!$I$2:$I$1001,$AB401)))</f>
        <v/>
      </c>
      <c r="L401" s="10">
        <f>IF($AB401="","",IF(INDEX(기본자료!$A$2:$A$1001,$AB401)="","",INDEX(기본자료!$A$2:$A$1001,$AB401)))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파견수련계획!$AB$4:$AB$803,$AK401),OR(NOT(ISNUMBER(INDEX(파견수련계획!$AC$4:$AC$803,$AK401))),TODAY()&lt;=INDEX(파견수련계획!$AC$4:$AC$803,$AK401))),"다기관",IF($AF401="","",INDEX(파견수련계획!$T$4:$T$803,$AF401))),IF($AF401="","",INDEX(파견수련계획!$T$4:$T$803,$AF401))))</f>
        <v/>
      </c>
      <c r="Q401" s="10">
        <f>IF($AF401="","",INDEX(파견수련계획!$S$4:$S$803,$AF401))</f>
        <v/>
      </c>
      <c r="R401" s="10">
        <f>IF($AF401="","",INDEX(파견수련계획!$U$4:$U$803,$AF401))</f>
        <v/>
      </c>
      <c r="S401" s="11">
        <f>IF($AF401="","",IF(INDEX(파견수련계획!$H$4:$H$803,$AF401)="","",INDEX(파견수련계획!$H$4:$H$803,$AF401)))</f>
        <v/>
      </c>
      <c r="T401" s="11">
        <f>IF($AF401="","",IF(INDEX(파견수련계획!$I$4:$I$803,$AF401)="","",INDEX(파견수련계획!$I$4:$I$803,$AF401)))</f>
        <v/>
      </c>
      <c r="U401" s="10">
        <f>IF($AF401="","",INDEX(파견수련계획!$X$4:$X$803,$AF401))</f>
        <v/>
      </c>
      <c r="V401" s="17">
        <f>IF($AF401="","",INDEX(파견수련계획!$V$4:$V$803,$AF401))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IF(OR($B401="",TRIM($J401&amp;"")=""),"",SUMPRODUCT((파견수련계획!$Q$4:$Q$803=TRIM($J401&amp;""))*파견수련계획!$W$4:$W$803))</f>
        <v/>
      </c>
      <c r="Y401" s="10">
        <f>IF($B401="","",IF($AG401="","",IF(IF(TRIM($J401&amp;"")="",0,SUMPRODUCT((파견수련계획!$Q$4:$Q$803=TRIM($J401&amp;""))*파견수련계획!$AD$4:$AD$803))&gt;0,$AE401,IF(N($X401)&lt;=0,$AG401,IF($AH401+$AI401=DAY(EOMONTH(요약!$B$3,0)),IF(AND($AH401&gt;=요약!$E$3,$AI401&lt;요약!$E$3),"서울병원",IF(AND($AI401&gt;=요약!$E$3,$AH401&lt;요약!$E$3),"구리병원","⚠15일 판정불가(서울 "&amp;$AH401&amp;"일/구리 "&amp;$AI401&amp;"일)")),IF($AJ401="",$AE401,IF(INDEX(파견수련계획!$T$4:$T$803,$AJ401)="통합수련",INDEX(파견수련계획!$S$4:$S$803,$AJ401),$AE401)))))))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입력",IF(IF(TRIM($J401&amp;"")="",0,SUMPRODUCT((파견수련계획!$Q$4:$Q$803=TRIM($J401&amp;""))*(파견수련계획!$AA$4:$AA$803&lt;&gt;"")))&gt;0,"파견수련계획 입력오류 확인",IF(LEFT($Y401,1)="⚠","서울·구리 15일 판정 불가(양쪽 모두 이상/미만)",IF(IF($AC401="",0,N(INDEX(인턴근무계획!$T$3:$T$402,$AC401)))&gt;0,"인턴계획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IF($B401="","",IFERROR(MATCH($B401,기본자료!$B$2:$B$1001,0),IFERROR(MATCH($B401&amp;"",기본자료!$B$2:$B$1001,0),IFERROR(MATCH(VALUE($B401),기본자료!$B$2:$B$1001,0),""))))</f>
        <v/>
      </c>
      <c r="AC401" s="10">
        <f>IF($B401="","",IFERROR(MATCH($B401,인턴근무계획!$D$3:$D$402,0),IFERROR(MATCH($B401&amp;"",인턴근무계획!$D$3:$D$402,0),IFERROR(MATCH(VALUE($B401),인턴근무계획!$D$3:$D$402,0),""))))</f>
        <v/>
      </c>
      <c r="AD401" s="10">
        <f>IF(OR($AC401="",인턴현황!$G$3=""),"",INDEX(인턴근무계획!$M$3:$R$402,$AC401,인턴현황!$G$3)&amp;"")</f>
        <v/>
      </c>
      <c r="AE401" s="10">
        <f>IF($B401="","",IF($M401&lt;&gt;"",$M401,IF($AF401&lt;&gt;"",IF(LEFT(INDEX(파견수련계획!$R$4:$R$803,$AF401),1)&lt;&gt;"⚠",INDEX(파견수련계획!$R$4:$R$803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파견수련계획!$Y$4:$Y$803,0),IFERROR(MATCH(TRIM($J401&amp;"")&amp;"|파견예정",파견수련계획!$Y$4:$Y$803,0),IFERROR(MATCH(TRIM($J401&amp;"")&amp;"|파견종료",파견수련계획!$Y$4:$Y$803,0),""))))</f>
        <v/>
      </c>
      <c r="AG401" s="10">
        <f>IF($B401="","",IF(AND(IF(OR($AC401="",인턴현황!$K$2=""),"",INDEX(인턴근무계획!$M$3:$R$402,$AC401,인턴현황!$K$2)&amp;"")&lt;&gt;"",LEFT(IF(OR($AC401="",인턴현황!$K$2=""),"",INDEX(인턴근무계획!$M$3:$R$402,$AC401,인턴현황!$K$2)&amp;""),1)&lt;&gt;"⚠"),LEFT(IF(OR($AC401="",인턴현황!$K$2=""),"",INDEX(인턴근무계획!$M$3:$R$402,$AC401,인턴현황!$K$2)&amp;""),FIND(" ",IF(OR($AC401="",인턴현황!$K$2=""),"",INDEX(인턴근무계획!$M$3:$R$402,$AC401,인턴현황!$K$2)&amp;""))-1),$AE401))</f>
        <v/>
      </c>
      <c r="AH401" s="17">
        <f>IF($B401="","",IF(TRIM($J401&amp;"")="",0,SUMPRODUCT((파견수련계획!$Q$4:$Q$803=TRIM($J401&amp;""))*(파견수련계획!$S$4:$S$803="서울병원")*파견수련계획!$W$4:$W$803))+IF($AG401="서울병원",MAX(0,DAY(EOMONTH(요약!$B$3,0))-N($X401)),0))</f>
        <v/>
      </c>
      <c r="AI401" s="17">
        <f>IF($B401="","",IF(TRIM($J401&amp;"")="",0,SUMPRODUCT((파견수련계획!$Q$4:$Q$803=TRIM($J401&amp;""))*(파견수련계획!$S$4:$S$803="구리병원")*파견수련계획!$W$4:$W$803))+IF($AG401="구리병원",MAX(0,DAY(EOMONTH(요약!$B$3,0))-N($X401)),0))</f>
        <v/>
      </c>
      <c r="AJ401" s="10">
        <f>IF(OR($B401="",TRIM($J401&amp;"")=""),"",IFERROR(MATCH(TRIM($J401&amp;"")&amp;"|월",파견수련계획!$Z$4:$Z$803,0),""))</f>
        <v/>
      </c>
      <c r="AK401" s="10">
        <f>IF(OR($B401="",TRIM($J401&amp;"")=""),"",IFERROR(MATCH(TRIM($J401&amp;"")&amp;"|다기관",파견수련계획!$AE$4:$AE$803,0),""))</f>
        <v/>
      </c>
      <c r="AL401" s="10">
        <f>IF($AK401="","","다기관 "&amp;TEXT(INDEX(파견수련계획!$AB$4:$AB$803,$AK401),"yyyy-mm-dd")&amp;"~"&amp;IF(ISNUMBER(INDEX(파견수련계획!$AC$4:$AC$803,$AK401)),TEXT(INDEX(파견수련계획!$AC$4:$AC$803,$AK401),"yyyy-mm-dd"),""))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AND($U2="파견중",$W2&lt;&gt;"",$W2&lt;=INDIRECT("요약!$E$2"))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COUNTIF(전공의명단!$U$2:$U$401,A5)</f>
        <v/>
      </c>
      <c r="D5" s="23">
        <f>IF(코드표!A2="","",코드표!A2)</f>
        <v/>
      </c>
      <c r="E5" s="23">
        <f>IF(D5="","",COUNTIF(전공의명단!$N$2:$N$401,D5))</f>
        <v/>
      </c>
      <c r="F5" s="23">
        <f>IF(D5="","",COUNTIF(전공의명단!$Y$2:$Y$401,D5))</f>
        <v/>
      </c>
      <c r="G5" s="23">
        <f>IF(D5="","",COUNTIFS(전공의명단!$Q$2:$Q$401,D5,전공의명단!$U$2:$U$401,"파견중"))</f>
        <v/>
      </c>
      <c r="I5" s="23">
        <f>IF(코드표!B2="","",코드표!B2)</f>
        <v/>
      </c>
      <c r="J5" s="23">
        <f>IF(I5="","",COUNTIF(전공의명단!$O$2:$O$401,I5))</f>
        <v/>
      </c>
    </row>
    <row r="6">
      <c r="A6" s="23" t="inlineStr">
        <is>
          <t>파견예정</t>
        </is>
      </c>
      <c r="B6" s="23">
        <f>COUNTIF(전공의명단!$U$2:$U$401,A6)</f>
        <v/>
      </c>
      <c r="D6" s="23">
        <f>IF(코드표!A3="","",코드표!A3)</f>
        <v/>
      </c>
      <c r="E6" s="23">
        <f>IF(D6="","",COUNTIF(전공의명단!$N$2:$N$401,D6))</f>
        <v/>
      </c>
      <c r="F6" s="23">
        <f>IF(D6="","",COUNTIF(전공의명단!$Y$2:$Y$401,D6))</f>
        <v/>
      </c>
      <c r="G6" s="23">
        <f>IF(D6="","",COUNTIFS(전공의명단!$Q$2:$Q$401,D6,전공의명단!$U$2:$U$401,"파견중"))</f>
        <v/>
      </c>
      <c r="I6" s="23">
        <f>IF(코드표!B3="","",코드표!B3)</f>
        <v/>
      </c>
      <c r="J6" s="23">
        <f>IF(I6="","",COUNTIF(전공의명단!$O$2:$O$401,I6))</f>
        <v/>
      </c>
    </row>
    <row r="7">
      <c r="A7" s="23" t="inlineStr">
        <is>
          <t>파견종료</t>
        </is>
      </c>
      <c r="B7" s="23">
        <f>COUNTIF(전공의명단!$U$2:$U$401,A7)</f>
        <v/>
      </c>
      <c r="D7" s="23">
        <f>IF(코드표!A4="","",코드표!A4)</f>
        <v/>
      </c>
      <c r="E7" s="23">
        <f>IF(D7="","",COUNTIF(전공의명단!$N$2:$N$401,D7))</f>
        <v/>
      </c>
      <c r="F7" s="23">
        <f>IF(D7="","",COUNTIF(전공의명단!$Y$2:$Y$401,D7))</f>
        <v/>
      </c>
      <c r="G7" s="23">
        <f>IF(D7="","",COUNTIFS(전공의명단!$Q$2:$Q$401,D7,전공의명단!$U$2:$U$401,"파견중"))</f>
        <v/>
      </c>
      <c r="I7" s="23">
        <f>IF(코드표!B4="","",코드표!B4)</f>
        <v/>
      </c>
      <c r="J7" s="23">
        <f>IF(I7="","",COUNTIF(전공의명단!$O$2:$O$401,I7))</f>
        <v/>
      </c>
    </row>
    <row r="8">
      <c r="A8" s="24" t="inlineStr">
        <is>
          <t>명단 등록 인원</t>
        </is>
      </c>
      <c r="B8" s="24">
        <f>COUNTA(전공의명단!$B$2:$B$401)</f>
        <v/>
      </c>
      <c r="D8" s="23">
        <f>IF(코드표!A5="","",코드표!A5)</f>
        <v/>
      </c>
      <c r="E8" s="23">
        <f>IF(D8="","",COUNTIF(전공의명단!$N$2:$N$401,D8))</f>
        <v/>
      </c>
      <c r="F8" s="23">
        <f>IF(D8="","",COUNTIF(전공의명단!$Y$2:$Y$401,D8))</f>
        <v/>
      </c>
      <c r="G8" s="23">
        <f>IF(D8="","",COUNTIFS(전공의명단!$Q$2:$Q$401,D8,전공의명단!$U$2:$U$401,"파견중"))</f>
        <v/>
      </c>
      <c r="I8" s="23">
        <f>IF(코드표!B5="","",코드표!B5)</f>
        <v/>
      </c>
      <c r="J8" s="23">
        <f>IF(I8="","",COUNTIF(전공의명단!$O$2:$O$401,I8))</f>
        <v/>
      </c>
    </row>
    <row r="9">
      <c r="A9" s="23" t="inlineStr">
        <is>
          <t>종료 임박(파견중)</t>
        </is>
      </c>
      <c r="B9" s="23">
        <f>COUNTIFS(전공의명단!$U$2:$U$401,"파견중",전공의명단!$W$2:$W$401,"&lt;="&amp;$E$2)</f>
        <v/>
      </c>
      <c r="D9" s="23">
        <f>IF(코드표!A6="","",코드표!A6)</f>
        <v/>
      </c>
      <c r="E9" s="23">
        <f>IF(D9="","",COUNTIF(전공의명단!$N$2:$N$401,D9))</f>
        <v/>
      </c>
      <c r="F9" s="23">
        <f>IF(D9="","",COUNTIF(전공의명단!$Y$2:$Y$401,D9))</f>
        <v/>
      </c>
      <c r="G9" s="23">
        <f>IF(D9="","",COUNTIFS(전공의명단!$Q$2:$Q$401,D9,전공의명단!$U$2:$U$401,"파견중"))</f>
        <v/>
      </c>
      <c r="I9" s="23">
        <f>IF(코드표!B6="","",코드표!B6)</f>
        <v/>
      </c>
      <c r="J9" s="23">
        <f>IF(I9="","",COUNTIF(전공의명단!$O$2:$O$401,I9))</f>
        <v/>
      </c>
    </row>
    <row r="10">
      <c r="D10" s="23">
        <f>IF(코드표!A7="","",코드표!A7)</f>
        <v/>
      </c>
      <c r="E10" s="23">
        <f>IF(D10="","",COUNTIF(전공의명단!$N$2:$N$401,D10))</f>
        <v/>
      </c>
      <c r="F10" s="23">
        <f>IF(D10="","",COUNTIF(전공의명단!$Y$2:$Y$401,D10))</f>
        <v/>
      </c>
      <c r="G10" s="23">
        <f>IF(D10="","",COUNTIFS(전공의명단!$Q$2:$Q$401,D10,전공의명단!$U$2:$U$401,"파견중"))</f>
        <v/>
      </c>
      <c r="I10" s="23">
        <f>IF(코드표!B7="","",코드표!B7)</f>
        <v/>
      </c>
      <c r="J10" s="23">
        <f>IF(I10="","",COUNTIF(전공의명단!$O$2:$O$401,I10))</f>
        <v/>
      </c>
    </row>
    <row r="11">
      <c r="D11" s="23">
        <f>IF(코드표!A8="","",코드표!A8)</f>
        <v/>
      </c>
      <c r="E11" s="23">
        <f>IF(D11="","",COUNTIF(전공의명단!$N$2:$N$401,D11))</f>
        <v/>
      </c>
      <c r="F11" s="23">
        <f>IF(D11="","",COUNTIF(전공의명단!$Y$2:$Y$401,D11))</f>
        <v/>
      </c>
      <c r="G11" s="23">
        <f>IF(D11="","",COUNTIFS(전공의명단!$Q$2:$Q$401,D11,전공의명단!$U$2:$U$401,"파견중"))</f>
        <v/>
      </c>
      <c r="I11" s="23">
        <f>IF(코드표!B8="","",코드표!B8)</f>
        <v/>
      </c>
      <c r="J11" s="23">
        <f>IF(I11="","",COUNTIF(전공의명단!$O$2:$O$401,I11))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IF(D12="","",COUNTIF(전공의명단!$N$2:$N$401,D12))</f>
        <v/>
      </c>
      <c r="F12" s="23">
        <f>IF(D12="","",COUNTIF(전공의명단!$Y$2:$Y$401,D12))</f>
        <v/>
      </c>
      <c r="G12" s="23">
        <f>IF(D12="","",COUNTIFS(전공의명단!$Q$2:$Q$401,D12,전공의명단!$U$2:$U$401,"파견중"))</f>
        <v/>
      </c>
      <c r="I12" s="23">
        <f>IF(코드표!B9="","",코드표!B9)</f>
        <v/>
      </c>
      <c r="J12" s="23">
        <f>IF(I12="","",COUNTIF(전공의명단!$O$2:$O$401,I12))</f>
        <v/>
      </c>
    </row>
    <row r="13">
      <c r="A13" s="23">
        <f>IF(코드표!C2="","",코드표!C2)</f>
        <v/>
      </c>
      <c r="B13" s="23">
        <f>IF(A13="","",COUNTIF(전공의명단!$P$2:$P$401,A13))</f>
        <v/>
      </c>
      <c r="D13" s="23">
        <f>IF(코드표!A10="","",코드표!A10)</f>
        <v/>
      </c>
      <c r="E13" s="23">
        <f>IF(D13="","",COUNTIF(전공의명단!$N$2:$N$401,D13))</f>
        <v/>
      </c>
      <c r="F13" s="23">
        <f>IF(D13="","",COUNTIF(전공의명단!$Y$2:$Y$401,D13))</f>
        <v/>
      </c>
      <c r="G13" s="23">
        <f>IF(D13="","",COUNTIFS(전공의명단!$Q$2:$Q$401,D13,전공의명단!$U$2:$U$401,"파견중"))</f>
        <v/>
      </c>
      <c r="I13" s="23">
        <f>IF(코드표!B10="","",코드표!B10)</f>
        <v/>
      </c>
      <c r="J13" s="23">
        <f>IF(I13="","",COUNTIF(전공의명단!$O$2:$O$401,I13))</f>
        <v/>
      </c>
    </row>
    <row r="14">
      <c r="A14" s="23">
        <f>IF(코드표!C3="","",코드표!C3)</f>
        <v/>
      </c>
      <c r="B14" s="23">
        <f>IF(A14="","",COUNTIF(전공의명단!$P$2:$P$401,A14))</f>
        <v/>
      </c>
      <c r="D14" s="23">
        <f>IF(코드표!A11="","",코드표!A11)</f>
        <v/>
      </c>
      <c r="E14" s="23">
        <f>IF(D14="","",COUNTIF(전공의명단!$N$2:$N$401,D14))</f>
        <v/>
      </c>
      <c r="F14" s="23">
        <f>IF(D14="","",COUNTIF(전공의명단!$Y$2:$Y$401,D14))</f>
        <v/>
      </c>
      <c r="G14" s="23">
        <f>IF(D14="","",COUNTIFS(전공의명단!$Q$2:$Q$401,D14,전공의명단!$U$2:$U$401,"파견중"))</f>
        <v/>
      </c>
      <c r="I14" s="23">
        <f>IF(코드표!B11="","",코드표!B11)</f>
        <v/>
      </c>
      <c r="J14" s="23">
        <f>IF(I14="","",COUNTIF(전공의명단!$O$2:$O$401,I14))</f>
        <v/>
      </c>
    </row>
    <row r="15">
      <c r="A15" s="23">
        <f>IF(코드표!C4="","",코드표!C4)</f>
        <v/>
      </c>
      <c r="B15" s="23">
        <f>IF(A15="","",COUNTIF(전공의명단!$P$2:$P$401,A15))</f>
        <v/>
      </c>
      <c r="D15" s="23">
        <f>IF(코드표!A12="","",코드표!A12)</f>
        <v/>
      </c>
      <c r="E15" s="23">
        <f>IF(D15="","",COUNTIF(전공의명단!$N$2:$N$401,D15))</f>
        <v/>
      </c>
      <c r="F15" s="23">
        <f>IF(D15="","",COUNTIF(전공의명단!$Y$2:$Y$401,D15))</f>
        <v/>
      </c>
      <c r="G15" s="23">
        <f>IF(D15="","",COUNTIFS(전공의명단!$Q$2:$Q$401,D15,전공의명단!$U$2:$U$401,"파견중"))</f>
        <v/>
      </c>
      <c r="I15" s="23">
        <f>IF(코드표!B12="","",코드표!B12)</f>
        <v/>
      </c>
      <c r="J15" s="23">
        <f>IF(I15="","",COUNTIF(전공의명단!$O$2:$O$401,I15))</f>
        <v/>
      </c>
    </row>
    <row r="16">
      <c r="A16" s="23">
        <f>IF(코드표!C5="","",코드표!C5)</f>
        <v/>
      </c>
      <c r="B16" s="23">
        <f>IF(A16="","",COUNTIF(전공의명단!$P$2:$P$401,A16))</f>
        <v/>
      </c>
      <c r="D16" s="23">
        <f>IF(코드표!A13="","",코드표!A13)</f>
        <v/>
      </c>
      <c r="E16" s="23">
        <f>IF(D16="","",COUNTIF(전공의명단!$N$2:$N$401,D16))</f>
        <v/>
      </c>
      <c r="F16" s="23">
        <f>IF(D16="","",COUNTIF(전공의명단!$Y$2:$Y$401,D16))</f>
        <v/>
      </c>
      <c r="G16" s="23">
        <f>IF(D16="","",COUNTIFS(전공의명단!$Q$2:$Q$401,D16,전공의명단!$U$2:$U$401,"파견중"))</f>
        <v/>
      </c>
      <c r="I16" s="23">
        <f>IF(코드표!B13="","",코드표!B13)</f>
        <v/>
      </c>
      <c r="J16" s="23">
        <f>IF(I16="","",COUNTIF(전공의명단!$O$2:$O$401,I16))</f>
        <v/>
      </c>
    </row>
    <row r="17">
      <c r="A17" s="23">
        <f>IF(코드표!C6="","",코드표!C6)</f>
        <v/>
      </c>
      <c r="B17" s="23">
        <f>IF(A17="","",COUNTIF(전공의명단!$P$2:$P$401,A17))</f>
        <v/>
      </c>
      <c r="D17" s="23">
        <f>IF(코드표!A14="","",코드표!A14)</f>
        <v/>
      </c>
      <c r="E17" s="23">
        <f>IF(D17="","",COUNTIF(전공의명단!$N$2:$N$401,D17))</f>
        <v/>
      </c>
      <c r="F17" s="23">
        <f>IF(D17="","",COUNTIF(전공의명단!$Y$2:$Y$401,D17))</f>
        <v/>
      </c>
      <c r="G17" s="23">
        <f>IF(D17="","",COUNTIFS(전공의명단!$Q$2:$Q$401,D17,전공의명단!$U$2:$U$401,"파견중"))</f>
        <v/>
      </c>
      <c r="I17" s="23">
        <f>IF(코드표!B14="","",코드표!B14)</f>
        <v/>
      </c>
      <c r="J17" s="23">
        <f>IF(I17="","",COUNTIF(전공의명단!$O$2:$O$401,I17))</f>
        <v/>
      </c>
    </row>
    <row r="18">
      <c r="A18" s="23">
        <f>IF(코드표!C7="","",코드표!C7)</f>
        <v/>
      </c>
      <c r="B18" s="23">
        <f>IF(A18="","",COUNTIF(전공의명단!$P$2:$P$401,A18))</f>
        <v/>
      </c>
      <c r="D18" s="23">
        <f>IF(코드표!A15="","",코드표!A15)</f>
        <v/>
      </c>
      <c r="E18" s="23">
        <f>IF(D18="","",COUNTIF(전공의명단!$N$2:$N$401,D18))</f>
        <v/>
      </c>
      <c r="F18" s="23">
        <f>IF(D18="","",COUNTIF(전공의명단!$Y$2:$Y$401,D18))</f>
        <v/>
      </c>
      <c r="G18" s="23">
        <f>IF(D18="","",COUNTIFS(전공의명단!$Q$2:$Q$401,D18,전공의명단!$U$2:$U$401,"파견중"))</f>
        <v/>
      </c>
      <c r="I18" s="23">
        <f>IF(코드표!B15="","",코드표!B15)</f>
        <v/>
      </c>
      <c r="J18" s="23">
        <f>IF(I18="","",COUNTIF(전공의명단!$O$2:$O$401,I18))</f>
        <v/>
      </c>
    </row>
    <row r="19">
      <c r="A19" s="23">
        <f>IF(코드표!C8="","",코드표!C8)</f>
        <v/>
      </c>
      <c r="B19" s="23">
        <f>IF(A19="","",COUNTIF(전공의명단!$P$2:$P$401,A19))</f>
        <v/>
      </c>
      <c r="D19" s="23">
        <f>IF(코드표!A16="","",코드표!A16)</f>
        <v/>
      </c>
      <c r="E19" s="23">
        <f>IF(D19="","",COUNTIF(전공의명단!$N$2:$N$401,D19))</f>
        <v/>
      </c>
      <c r="F19" s="23">
        <f>IF(D19="","",COUNTIF(전공의명단!$Y$2:$Y$401,D19))</f>
        <v/>
      </c>
      <c r="G19" s="23">
        <f>IF(D19="","",COUNTIFS(전공의명단!$Q$2:$Q$401,D19,전공의명단!$U$2:$U$401,"파견중"))</f>
        <v/>
      </c>
      <c r="I19" s="23">
        <f>IF(코드표!B16="","",코드표!B16)</f>
        <v/>
      </c>
      <c r="J19" s="23">
        <f>IF(I19="","",COUNTIF(전공의명단!$O$2:$O$401,I19))</f>
        <v/>
      </c>
    </row>
    <row r="20">
      <c r="A20" s="23">
        <f>IF(코드표!C9="","",코드표!C9)</f>
        <v/>
      </c>
      <c r="B20" s="23">
        <f>IF(A20="","",COUNTIF(전공의명단!$P$2:$P$401,A20))</f>
        <v/>
      </c>
      <c r="D20" s="23">
        <f>IF(코드표!A17="","",코드표!A17)</f>
        <v/>
      </c>
      <c r="E20" s="23">
        <f>IF(D20="","",COUNTIF(전공의명단!$N$2:$N$401,D20))</f>
        <v/>
      </c>
      <c r="F20" s="23">
        <f>IF(D20="","",COUNTIF(전공의명단!$Y$2:$Y$401,D20))</f>
        <v/>
      </c>
      <c r="G20" s="23">
        <f>IF(D20="","",COUNTIFS(전공의명단!$Q$2:$Q$401,D20,전공의명단!$U$2:$U$401,"파견중"))</f>
        <v/>
      </c>
      <c r="I20" s="23">
        <f>IF(코드표!B17="","",코드표!B17)</f>
        <v/>
      </c>
      <c r="J20" s="23">
        <f>IF(I20="","",COUNTIF(전공의명단!$O$2:$O$401,I20))</f>
        <v/>
      </c>
    </row>
    <row r="21">
      <c r="D21" s="23">
        <f>IF(코드표!A18="","",코드표!A18)</f>
        <v/>
      </c>
      <c r="E21" s="23">
        <f>IF(D21="","",COUNTIF(전공의명단!$N$2:$N$401,D21))</f>
        <v/>
      </c>
      <c r="F21" s="23">
        <f>IF(D21="","",COUNTIF(전공의명단!$Y$2:$Y$401,D21))</f>
        <v/>
      </c>
      <c r="G21" s="23">
        <f>IF(D21="","",COUNTIFS(전공의명단!$Q$2:$Q$401,D21,전공의명단!$U$2:$U$401,"파견중"))</f>
        <v/>
      </c>
      <c r="I21" s="23">
        <f>IF(코드표!B18="","",코드표!B18)</f>
        <v/>
      </c>
      <c r="J21" s="23">
        <f>IF(I21="","",COUNTIF(전공의명단!$O$2:$O$401,I21))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IF(D22="","",COUNTIF(전공의명단!$N$2:$N$401,D22))</f>
        <v/>
      </c>
      <c r="F22" s="23">
        <f>IF(D22="","",COUNTIF(전공의명단!$Y$2:$Y$401,D22))</f>
        <v/>
      </c>
      <c r="G22" s="23">
        <f>IF(D22="","",COUNTIFS(전공의명단!$Q$2:$Q$401,D22,전공의명단!$U$2:$U$401,"파견중"))</f>
        <v/>
      </c>
      <c r="I22" s="23">
        <f>IF(코드표!B19="","",코드표!B19)</f>
        <v/>
      </c>
      <c r="J22" s="23">
        <f>IF(I22="","",COUNTIF(전공의명단!$O$2:$O$401,I22))</f>
        <v/>
      </c>
    </row>
    <row r="23">
      <c r="A23" s="23" t="inlineStr">
        <is>
          <t>기본자료 인원</t>
        </is>
      </c>
      <c r="B23" s="23">
        <f>COUNTA(기본자료!$B$2:$B$1001)</f>
        <v/>
      </c>
      <c r="D23" s="23">
        <f>IF(코드표!A20="","",코드표!A20)</f>
        <v/>
      </c>
      <c r="E23" s="23">
        <f>IF(D23="","",COUNTIF(전공의명단!$N$2:$N$401,D23))</f>
        <v/>
      </c>
      <c r="F23" s="23">
        <f>IF(D23="","",COUNTIF(전공의명단!$Y$2:$Y$401,D23))</f>
        <v/>
      </c>
      <c r="G23" s="23">
        <f>IF(D23="","",COUNTIFS(전공의명단!$Q$2:$Q$401,D23,전공의명단!$U$2:$U$401,"파견중"))</f>
        <v/>
      </c>
      <c r="I23" s="23">
        <f>IF(코드표!B20="","",코드표!B20)</f>
        <v/>
      </c>
      <c r="J23" s="23">
        <f>IF(I23="","",COUNTIF(전공의명단!$O$2:$O$401,I23))</f>
        <v/>
      </c>
    </row>
    <row r="24">
      <c r="A24" s="23" t="inlineStr">
        <is>
          <t>기본자료 재직 인원</t>
        </is>
      </c>
      <c r="B24" s="23">
        <f>COUNTIF(기본자료!$A$2:$A$1001,"재직")</f>
        <v/>
      </c>
      <c r="D24" s="23">
        <f>IF(코드표!A21="","",코드표!A21)</f>
        <v/>
      </c>
      <c r="E24" s="23">
        <f>IF(D24="","",COUNTIF(전공의명단!$N$2:$N$401,D24))</f>
        <v/>
      </c>
      <c r="F24" s="23">
        <f>IF(D24="","",COUNTIF(전공의명단!$Y$2:$Y$401,D24))</f>
        <v/>
      </c>
      <c r="G24" s="23">
        <f>IF(D24="","",COUNTIFS(전공의명단!$Q$2:$Q$401,D24,전공의명단!$U$2:$U$401,"파견중"))</f>
        <v/>
      </c>
      <c r="I24" s="23">
        <f>IF(코드표!B21="","",코드표!B21)</f>
        <v/>
      </c>
      <c r="J24" s="23">
        <f>IF(I24="","",COUNTIF(전공의명단!$O$2:$O$401,I24))</f>
        <v/>
      </c>
    </row>
    <row r="25">
      <c r="A25" s="23" t="inlineStr">
        <is>
          <t>기본자료에 없는 사번</t>
        </is>
      </c>
      <c r="B25" s="23">
        <f>SUMPRODUCT((전공의명단!$B$2:$B$401&lt;&gt;"")*(전공의명단!$AB$2:$AB$401=""))</f>
        <v/>
      </c>
      <c r="I25" s="23">
        <f>IF(코드표!B22="","",코드표!B22)</f>
        <v/>
      </c>
      <c r="J25" s="23">
        <f>IF(I25="","",COUNTIF(전공의명단!$O$2:$O$401,I25))</f>
        <v/>
      </c>
    </row>
    <row r="26">
      <c r="A26" s="23" t="inlineStr">
        <is>
          <t>명단 중복 사번</t>
        </is>
      </c>
      <c r="B26" s="23">
        <f>SUMPRODUCT((전공의명단!$B$2:$B$401&lt;&gt;"")*(COUNTIF(전공의명단!$B$2:$B$401,전공의명단!$B$2:$B$401)&gt;1))</f>
        <v/>
      </c>
      <c r="I26" s="23">
        <f>IF(코드표!B23="","",코드표!B23)</f>
        <v/>
      </c>
      <c r="J26" s="23">
        <f>IF(I26="","",COUNTIF(전공의명단!$O$2:$O$401,I26))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SUMPRODUCT((전공의명단!$E$2:$E$401&lt;&gt;"")*1)-COUNT(전공의명단!$E$2:$E$401)+SUMPRODUCT((전공의명단!$I$2:$I$401&lt;&gt;"")*1)-COUNT(전공의명단!$I$2:$I$401)</f>
        <v/>
      </c>
      <c r="I27" s="23">
        <f>IF(코드표!B24="","",코드표!B24)</f>
        <v/>
      </c>
      <c r="J27" s="23">
        <f>IF(I27="","",COUNTIF(전공의명단!$O$2:$O$401,I27))</f>
        <v/>
      </c>
    </row>
    <row r="28">
      <c r="A28" s="23" t="inlineStr">
        <is>
          <t>인턴계획 입력 오류(병원/진료과)</t>
        </is>
      </c>
      <c r="B28" s="23">
        <f>SUM(인턴근무계획!$T$3:$T$402)</f>
        <v/>
      </c>
      <c r="I28" s="23">
        <f>IF(코드표!B25="","",코드표!B25)</f>
        <v/>
      </c>
      <c r="J28" s="23">
        <f>IF(I28="","",COUNTIF(전공의명단!$O$2:$O$401,I28))</f>
        <v/>
      </c>
    </row>
    <row r="29">
      <c r="A29" s="23" t="inlineStr">
        <is>
          <t>파견수련계획 입력 오류</t>
        </is>
      </c>
      <c r="B29" s="23">
        <f>SUMPRODUCT(--(LEN(파견수련계획!$AA$4:$AA$803)&gt;0))</f>
        <v/>
      </c>
      <c r="I29" s="23">
        <f>IF(코드표!B26="","",코드표!B26)</f>
        <v/>
      </c>
      <c r="J29" s="23">
        <f>IF(I29="","",COUNTIF(전공의명단!$O$2:$O$401,I29))</f>
        <v/>
      </c>
    </row>
    <row r="30">
      <c r="A30" s="23" t="inlineStr">
        <is>
          <t>명단에 없는 파견 기록(등록번호)</t>
        </is>
      </c>
      <c r="B30" s="23">
        <f>SUMPRODUCT((파견수련계획!$Q$4:$Q$803&lt;&gt;"")*ISNA(MATCH(파견수련계획!$Q$4:$Q$803,전공의명단!$J$2:$J$401,0)))</f>
        <v/>
      </c>
      <c r="I30" s="23">
        <f>IF(코드표!B27="","",코드표!B27)</f>
        <v/>
      </c>
      <c r="J30" s="23">
        <f>IF(I30="","",COUNTIF(전공의명단!$O$2:$O$401,I30))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COUNTIF(전공의명단!$Y$2:$Y$401,"⚠*")</f>
        <v/>
      </c>
      <c r="I31" s="23">
        <f>IF(코드표!B28="","",코드표!B28)</f>
        <v/>
      </c>
      <c r="J31" s="23">
        <f>IF(I31="","",COUNTIF(전공의명단!$O$2:$O$401,I31))</f>
        <v/>
      </c>
    </row>
    <row r="32">
      <c r="A32" s="23" t="inlineStr">
        <is>
          <t>점검 필요 행(전공의명단 '점검' 열)</t>
        </is>
      </c>
      <c r="B32" s="23">
        <f>SUMPRODUCT((전공의명단!$B$2:$B$401&lt;&gt;"")*(전공의명단!$Z$2:$Z$401&lt;&gt;"정상"))</f>
        <v/>
      </c>
      <c r="I32" s="23">
        <f>IF(코드표!B29="","",코드표!B29)</f>
        <v/>
      </c>
      <c r="J32" s="23">
        <f>IF(I32="","",COUNTIF(전공의명단!$O$2:$O$401,I32))</f>
        <v/>
      </c>
    </row>
    <row r="33">
      <c r="I33" s="23">
        <f>IF(코드표!B30="","",코드표!B30)</f>
        <v/>
      </c>
      <c r="J33" s="23">
        <f>IF(I33="","",COUNTIF(전공의명단!$O$2:$O$401,I33))</f>
        <v/>
      </c>
    </row>
    <row r="34">
      <c r="I34" s="23">
        <f>IF(코드표!B31="","",코드표!B31)</f>
        <v/>
      </c>
      <c r="J34" s="23">
        <f>IF(I34="","",COUNTIF(전공의명단!$O$2:$O$401,I34))</f>
        <v/>
      </c>
    </row>
    <row r="35">
      <c r="I35" s="23">
        <f>IF(코드표!B32="","",코드표!B32)</f>
        <v/>
      </c>
      <c r="J35" s="23">
        <f>IF(I35="","",COUNTIF(전공의명단!$O$2:$O$401,I35))</f>
        <v/>
      </c>
    </row>
    <row r="36">
      <c r="I36" s="23">
        <f>IF(코드표!B33="","",코드표!B33)</f>
        <v/>
      </c>
      <c r="J36" s="23">
        <f>IF(I36="","",COUNTIF(전공의명단!$O$2:$O$401,I36))</f>
        <v/>
      </c>
    </row>
    <row r="37">
      <c r="I37" s="23">
        <f>IF(코드표!B34="","",코드표!B34)</f>
        <v/>
      </c>
      <c r="J37" s="23">
        <f>IF(I37="","",COUNTIF(전공의명단!$O$2:$O$401,I37))</f>
        <v/>
      </c>
    </row>
    <row r="38">
      <c r="I38" s="23">
        <f>IF(코드표!B35="","",코드표!B35)</f>
        <v/>
      </c>
      <c r="J38" s="23">
        <f>IF(I38="","",COUNTIF(전공의명단!$O$2:$O$401,I38))</f>
        <v/>
      </c>
    </row>
    <row r="39">
      <c r="I39" s="23">
        <f>IF(코드표!B36="","",코드표!B36)</f>
        <v/>
      </c>
      <c r="J39" s="23">
        <f>IF(I39="","",COUNTIF(전공의명단!$O$2:$O$401,I39))</f>
        <v/>
      </c>
    </row>
    <row r="40">
      <c r="I40" s="23">
        <f>IF(코드표!B37="","",코드표!B37)</f>
        <v/>
      </c>
      <c r="J40" s="23">
        <f>IF(I40="","",COUNTIF(전공의명단!$O$2:$O$401,I40))</f>
        <v/>
      </c>
    </row>
    <row r="41">
      <c r="I41" s="23">
        <f>IF(코드표!B38="","",코드표!B38)</f>
        <v/>
      </c>
      <c r="J41" s="23">
        <f>IF(I41="","",COUNTIF(전공의명단!$O$2:$O$401,I41))</f>
        <v/>
      </c>
    </row>
    <row r="42">
      <c r="I42" s="23">
        <f>IF(코드표!B39="","",코드표!B39)</f>
        <v/>
      </c>
      <c r="J42" s="23">
        <f>IF(I42="","",COUNTIF(전공의명단!$O$2:$O$401,I42))</f>
        <v/>
      </c>
    </row>
    <row r="43">
      <c r="I43" s="23">
        <f>IF(코드표!B40="","",코드표!B40)</f>
        <v/>
      </c>
      <c r="J43" s="23">
        <f>IF(I43="","",COUNTIF(전공의명단!$O$2:$O$401,I43))</f>
        <v/>
      </c>
    </row>
    <row r="44">
      <c r="I44" s="23">
        <f>IF(코드표!B41="","",코드표!B41)</f>
        <v/>
      </c>
      <c r="J44" s="23">
        <f>IF(I44="","",COUNTIF(전공의명단!$O$2:$O$401,I44))</f>
        <v/>
      </c>
    </row>
    <row r="45">
      <c r="I45" s="23">
        <f>IF(코드표!D2="","",코드표!D2&amp;" (인턴)")</f>
        <v/>
      </c>
      <c r="J45" s="23">
        <f>IF(코드표!D2="","",COUNTIF(전공의명단!$O$2:$O$401,코드표!D2))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IF(코드표!D3="","",COUNTIF(전공의명단!$O$2:$O$401,코드표!D3))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IF($C6="","",INDEX(인턴근무계획!$B$3:$B$402,$A6))</f>
        <v/>
      </c>
      <c r="C6" s="23">
        <f>IFERROR(TRIM(INDEX(인턴근무계획!$C$3:$C$402,$A6)&amp;""),"")</f>
        <v/>
      </c>
      <c r="D6" s="23">
        <f>IF($C6="","",INDEX(인턴근무계획!$D$3:$D$402,$A6))</f>
        <v/>
      </c>
      <c r="E6" s="23">
        <f>IF($C6="","",IF(IFERROR(MATCH($D6,기본자료!$B$2:$B$1001,0),IFERROR(MATCH($D6&amp;"",기본자료!$B$2:$B$1001,0),IFERROR(MATCH(VALUE($D6),기본자료!$B$2:$B$1001,0),0)))&gt;0,"확인","미등록"))</f>
        <v/>
      </c>
      <c r="F6" s="27">
        <f>IF($C6="","",INDEX(인턴근무계획!$S$3:$S$402,$A6))</f>
        <v/>
      </c>
      <c r="G6" s="23">
        <f>IF(OR($C6="",$G$3=""),"",IF(INDEX(인턴근무계획!$M$3:$R$402,$A6,$G$3)&amp;""="","",IF(LEFT(INDEX(인턴근무계획!$M$3:$R$402,$A6,$G$3)&amp;"",1)="⚠",INDEX(인턴근무계획!$M$3:$R$402,$A6,$G$3)&amp;"",LEFT(INDEX(인턴근무계획!$M$3:$R$402,$A6,$G$3)&amp;"",FIND(" ",INDEX(인턴근무계획!$M$3:$R$402,$A6,$G$3)&amp;"")-1))))</f>
        <v/>
      </c>
      <c r="H6" s="23">
        <f>IF(OR($C6="",$G$3=""),"",IF(INDEX(인턴근무계획!$M$3:$R$402,$A6,$G$3)&amp;""="","",IF(LEFT(INDEX(인턴근무계획!$M$3:$R$402,$A6,$G$3)&amp;"",1)="⚠","",MID(INDEX(인턴근무계획!$M$3:$R$402,$A6,$G$3)&amp;"",FIND(" ",INDEX(인턴근무계획!$M$3:$R$402,$A6,$G$3)&amp;"")+1,60))))</f>
        <v/>
      </c>
      <c r="I6" s="23">
        <f>IF(OR($C6="",$I$3=""),"",IF(INDEX(인턴근무계획!$M$3:$R$402,$A6,$I$3)&amp;""="","",IF(LEFT(INDEX(인턴근무계획!$M$3:$R$402,$A6,$I$3)&amp;"",1)="⚠",INDEX(인턴근무계획!$M$3:$R$402,$A6,$I$3)&amp;"",LEFT(INDEX(인턴근무계획!$M$3:$R$402,$A6,$I$3)&amp;"",FIND(" ",INDEX(인턴근무계획!$M$3:$R$402,$A6,$I$3)&amp;"")-1))))</f>
        <v/>
      </c>
      <c r="J6" s="23">
        <f>IF(OR($C6="",$I$3=""),"",IF(INDEX(인턴근무계획!$M$3:$R$402,$A6,$I$3)&amp;""="","",IF(LEFT(INDEX(인턴근무계획!$M$3:$R$402,$A6,$I$3)&amp;"",1)="⚠","",MID(INDEX(인턴근무계획!$M$3:$R$402,$A6,$I$3)&amp;"",FIND(" ",INDEX(인턴근무계획!$M$3:$R$402,$A6,$I$3)&amp;"")+1,60))))</f>
        <v/>
      </c>
      <c r="K6" s="23">
        <f>IF($C6="","",INDEX(인턴근무계획!$M$3:$M$402,$A6)&amp;"")</f>
        <v/>
      </c>
      <c r="L6" s="23">
        <f>IF($C6="","",INDEX(인턴근무계획!$N$3:$N$402,$A6)&amp;"")</f>
        <v/>
      </c>
      <c r="M6" s="23">
        <f>IF($C6="","",INDEX(인턴근무계획!$O$3:$O$402,$A6)&amp;"")</f>
        <v/>
      </c>
      <c r="N6" s="23">
        <f>IF($C6="","",INDEX(인턴근무계획!$P$3:$P$402,$A6)&amp;"")</f>
        <v/>
      </c>
      <c r="O6" s="23">
        <f>IF($C6="","",INDEX(인턴근무계획!$Q$3:$Q$402,$A6)&amp;"")</f>
        <v/>
      </c>
      <c r="P6" s="23">
        <f>IF($C6="","",INDEX(인턴근무계획!$R$3:$R$402,$A6)&amp;"")</f>
        <v/>
      </c>
      <c r="Q6" s="23">
        <f>IF($C6="","",INDEX(인턴근무계획!$T$3:$T$402,$A6))</f>
        <v/>
      </c>
      <c r="S6" s="23">
        <f>IF(코드표!A2="","",코드표!A2)</f>
        <v/>
      </c>
      <c r="T6" s="23">
        <f>IF($S6="","",COUNTIF(K$6:K$405,$S6&amp;" *"))</f>
        <v/>
      </c>
      <c r="U6" s="23">
        <f>IF($S6="","",COUNTIF(L$6:L$405,$S6&amp;" *"))</f>
        <v/>
      </c>
      <c r="V6" s="23">
        <f>IF($S6="","",COUNTIF(M$6:M$405,$S6&amp;" *"))</f>
        <v/>
      </c>
      <c r="W6" s="23">
        <f>IF($S6="","",COUNTIF(N$6:N$405,$S6&amp;" *"))</f>
        <v/>
      </c>
      <c r="X6" s="23">
        <f>IF($S6="","",COUNTIF(O$6:O$405,$S6&amp;" *"))</f>
        <v/>
      </c>
      <c r="Y6" s="23">
        <f>IF($S6="","",COUNTIF(P$6:P$405,$S6&amp;" *"))</f>
        <v/>
      </c>
    </row>
    <row r="7">
      <c r="A7" s="26" t="n">
        <v>2</v>
      </c>
      <c r="B7" s="23">
        <f>IF($C7="","",INDEX(인턴근무계획!$B$3:$B$402,$A7))</f>
        <v/>
      </c>
      <c r="C7" s="23">
        <f>IFERROR(TRIM(INDEX(인턴근무계획!$C$3:$C$402,$A7)&amp;""),"")</f>
        <v/>
      </c>
      <c r="D7" s="23">
        <f>IF($C7="","",INDEX(인턴근무계획!$D$3:$D$402,$A7))</f>
        <v/>
      </c>
      <c r="E7" s="23">
        <f>IF($C7="","",IF(IFERROR(MATCH($D7,기본자료!$B$2:$B$1001,0),IFERROR(MATCH($D7&amp;"",기본자료!$B$2:$B$1001,0),IFERROR(MATCH(VALUE($D7),기본자료!$B$2:$B$1001,0),0)))&gt;0,"확인","미등록"))</f>
        <v/>
      </c>
      <c r="F7" s="27">
        <f>IF($C7="","",INDEX(인턴근무계획!$S$3:$S$402,$A7))</f>
        <v/>
      </c>
      <c r="G7" s="23">
        <f>IF(OR($C7="",$G$3=""),"",IF(INDEX(인턴근무계획!$M$3:$R$402,$A7,$G$3)&amp;""="","",IF(LEFT(INDEX(인턴근무계획!$M$3:$R$402,$A7,$G$3)&amp;"",1)="⚠",INDEX(인턴근무계획!$M$3:$R$402,$A7,$G$3)&amp;"",LEFT(INDEX(인턴근무계획!$M$3:$R$402,$A7,$G$3)&amp;"",FIND(" ",INDEX(인턴근무계획!$M$3:$R$402,$A7,$G$3)&amp;"")-1))))</f>
        <v/>
      </c>
      <c r="H7" s="23">
        <f>IF(OR($C7="",$G$3=""),"",IF(INDEX(인턴근무계획!$M$3:$R$402,$A7,$G$3)&amp;""="","",IF(LEFT(INDEX(인턴근무계획!$M$3:$R$402,$A7,$G$3)&amp;"",1)="⚠","",MID(INDEX(인턴근무계획!$M$3:$R$402,$A7,$G$3)&amp;"",FIND(" ",INDEX(인턴근무계획!$M$3:$R$402,$A7,$G$3)&amp;"")+1,60))))</f>
        <v/>
      </c>
      <c r="I7" s="23">
        <f>IF(OR($C7="",$I$3=""),"",IF(INDEX(인턴근무계획!$M$3:$R$402,$A7,$I$3)&amp;""="","",IF(LEFT(INDEX(인턴근무계획!$M$3:$R$402,$A7,$I$3)&amp;"",1)="⚠",INDEX(인턴근무계획!$M$3:$R$402,$A7,$I$3)&amp;"",LEFT(INDEX(인턴근무계획!$M$3:$R$402,$A7,$I$3)&amp;"",FIND(" ",INDEX(인턴근무계획!$M$3:$R$402,$A7,$I$3)&amp;"")-1))))</f>
        <v/>
      </c>
      <c r="J7" s="23">
        <f>IF(OR($C7="",$I$3=""),"",IF(INDEX(인턴근무계획!$M$3:$R$402,$A7,$I$3)&amp;""="","",IF(LEFT(INDEX(인턴근무계획!$M$3:$R$402,$A7,$I$3)&amp;"",1)="⚠","",MID(INDEX(인턴근무계획!$M$3:$R$402,$A7,$I$3)&amp;"",FIND(" ",INDEX(인턴근무계획!$M$3:$R$402,$A7,$I$3)&amp;"")+1,60))))</f>
        <v/>
      </c>
      <c r="K7" s="23">
        <f>IF($C7="","",INDEX(인턴근무계획!$M$3:$M$402,$A7)&amp;"")</f>
        <v/>
      </c>
      <c r="L7" s="23">
        <f>IF($C7="","",INDEX(인턴근무계획!$N$3:$N$402,$A7)&amp;"")</f>
        <v/>
      </c>
      <c r="M7" s="23">
        <f>IF($C7="","",INDEX(인턴근무계획!$O$3:$O$402,$A7)&amp;"")</f>
        <v/>
      </c>
      <c r="N7" s="23">
        <f>IF($C7="","",INDEX(인턴근무계획!$P$3:$P$402,$A7)&amp;"")</f>
        <v/>
      </c>
      <c r="O7" s="23">
        <f>IF($C7="","",INDEX(인턴근무계획!$Q$3:$Q$402,$A7)&amp;"")</f>
        <v/>
      </c>
      <c r="P7" s="23">
        <f>IF($C7="","",INDEX(인턴근무계획!$R$3:$R$402,$A7)&amp;"")</f>
        <v/>
      </c>
      <c r="Q7" s="23">
        <f>IF($C7="","",INDEX(인턴근무계획!$T$3:$T$402,$A7))</f>
        <v/>
      </c>
      <c r="S7" s="23">
        <f>IF(코드표!A3="","",코드표!A3)</f>
        <v/>
      </c>
      <c r="T7" s="23">
        <f>IF($S7="","",COUNTIF(K$6:K$405,$S7&amp;" *"))</f>
        <v/>
      </c>
      <c r="U7" s="23">
        <f>IF($S7="","",COUNTIF(L$6:L$405,$S7&amp;" *"))</f>
        <v/>
      </c>
      <c r="V7" s="23">
        <f>IF($S7="","",COUNTIF(M$6:M$405,$S7&amp;" *"))</f>
        <v/>
      </c>
      <c r="W7" s="23">
        <f>IF($S7="","",COUNTIF(N$6:N$405,$S7&amp;" *"))</f>
        <v/>
      </c>
      <c r="X7" s="23">
        <f>IF($S7="","",COUNTIF(O$6:O$405,$S7&amp;" *"))</f>
        <v/>
      </c>
      <c r="Y7" s="23">
        <f>IF($S7="","",COUNTIF(P$6:P$405,$S7&amp;" *"))</f>
        <v/>
      </c>
    </row>
    <row r="8">
      <c r="A8" s="26" t="n">
        <v>3</v>
      </c>
      <c r="B8" s="23">
        <f>IF($C8="","",INDEX(인턴근무계획!$B$3:$B$402,$A8))</f>
        <v/>
      </c>
      <c r="C8" s="23">
        <f>IFERROR(TRIM(INDEX(인턴근무계획!$C$3:$C$402,$A8)&amp;""),"")</f>
        <v/>
      </c>
      <c r="D8" s="23">
        <f>IF($C8="","",INDEX(인턴근무계획!$D$3:$D$402,$A8))</f>
        <v/>
      </c>
      <c r="E8" s="23">
        <f>IF($C8="","",IF(IFERROR(MATCH($D8,기본자료!$B$2:$B$1001,0),IFERROR(MATCH($D8&amp;"",기본자료!$B$2:$B$1001,0),IFERROR(MATCH(VALUE($D8),기본자료!$B$2:$B$1001,0),0)))&gt;0,"확인","미등록"))</f>
        <v/>
      </c>
      <c r="F8" s="27">
        <f>IF($C8="","",INDEX(인턴근무계획!$S$3:$S$402,$A8))</f>
        <v/>
      </c>
      <c r="G8" s="23">
        <f>IF(OR($C8="",$G$3=""),"",IF(INDEX(인턴근무계획!$M$3:$R$402,$A8,$G$3)&amp;""="","",IF(LEFT(INDEX(인턴근무계획!$M$3:$R$402,$A8,$G$3)&amp;"",1)="⚠",INDEX(인턴근무계획!$M$3:$R$402,$A8,$G$3)&amp;"",LEFT(INDEX(인턴근무계획!$M$3:$R$402,$A8,$G$3)&amp;"",FIND(" ",INDEX(인턴근무계획!$M$3:$R$402,$A8,$G$3)&amp;"")-1))))</f>
        <v/>
      </c>
      <c r="H8" s="23">
        <f>IF(OR($C8="",$G$3=""),"",IF(INDEX(인턴근무계획!$M$3:$R$402,$A8,$G$3)&amp;""="","",IF(LEFT(INDEX(인턴근무계획!$M$3:$R$402,$A8,$G$3)&amp;"",1)="⚠","",MID(INDEX(인턴근무계획!$M$3:$R$402,$A8,$G$3)&amp;"",FIND(" ",INDEX(인턴근무계획!$M$3:$R$402,$A8,$G$3)&amp;"")+1,60))))</f>
        <v/>
      </c>
      <c r="I8" s="23">
        <f>IF(OR($C8="",$I$3=""),"",IF(INDEX(인턴근무계획!$M$3:$R$402,$A8,$I$3)&amp;""="","",IF(LEFT(INDEX(인턴근무계획!$M$3:$R$402,$A8,$I$3)&amp;"",1)="⚠",INDEX(인턴근무계획!$M$3:$R$402,$A8,$I$3)&amp;"",LEFT(INDEX(인턴근무계획!$M$3:$R$402,$A8,$I$3)&amp;"",FIND(" ",INDEX(인턴근무계획!$M$3:$R$402,$A8,$I$3)&amp;"")-1))))</f>
        <v/>
      </c>
      <c r="J8" s="23">
        <f>IF(OR($C8="",$I$3=""),"",IF(INDEX(인턴근무계획!$M$3:$R$402,$A8,$I$3)&amp;""="","",IF(LEFT(INDEX(인턴근무계획!$M$3:$R$402,$A8,$I$3)&amp;"",1)="⚠","",MID(INDEX(인턴근무계획!$M$3:$R$402,$A8,$I$3)&amp;"",FIND(" ",INDEX(인턴근무계획!$M$3:$R$402,$A8,$I$3)&amp;"")+1,60))))</f>
        <v/>
      </c>
      <c r="K8" s="23">
        <f>IF($C8="","",INDEX(인턴근무계획!$M$3:$M$402,$A8)&amp;"")</f>
        <v/>
      </c>
      <c r="L8" s="23">
        <f>IF($C8="","",INDEX(인턴근무계획!$N$3:$N$402,$A8)&amp;"")</f>
        <v/>
      </c>
      <c r="M8" s="23">
        <f>IF($C8="","",INDEX(인턴근무계획!$O$3:$O$402,$A8)&amp;"")</f>
        <v/>
      </c>
      <c r="N8" s="23">
        <f>IF($C8="","",INDEX(인턴근무계획!$P$3:$P$402,$A8)&amp;"")</f>
        <v/>
      </c>
      <c r="O8" s="23">
        <f>IF($C8="","",INDEX(인턴근무계획!$Q$3:$Q$402,$A8)&amp;"")</f>
        <v/>
      </c>
      <c r="P8" s="23">
        <f>IF($C8="","",INDEX(인턴근무계획!$R$3:$R$402,$A8)&amp;"")</f>
        <v/>
      </c>
      <c r="Q8" s="23">
        <f>IF($C8="","",INDEX(인턴근무계획!$T$3:$T$402,$A8))</f>
        <v/>
      </c>
      <c r="S8" s="23">
        <f>IF(코드표!A4="","",코드표!A4)</f>
        <v/>
      </c>
      <c r="T8" s="23">
        <f>IF($S8="","",COUNTIF(K$6:K$405,$S8&amp;" *"))</f>
        <v/>
      </c>
      <c r="U8" s="23">
        <f>IF($S8="","",COUNTIF(L$6:L$405,$S8&amp;" *"))</f>
        <v/>
      </c>
      <c r="V8" s="23">
        <f>IF($S8="","",COUNTIF(M$6:M$405,$S8&amp;" *"))</f>
        <v/>
      </c>
      <c r="W8" s="23">
        <f>IF($S8="","",COUNTIF(N$6:N$405,$S8&amp;" *"))</f>
        <v/>
      </c>
      <c r="X8" s="23">
        <f>IF($S8="","",COUNTIF(O$6:O$405,$S8&amp;" *"))</f>
        <v/>
      </c>
      <c r="Y8" s="23">
        <f>IF($S8="","",COUNTIF(P$6:P$405,$S8&amp;" *"))</f>
        <v/>
      </c>
    </row>
    <row r="9">
      <c r="A9" s="26" t="n">
        <v>4</v>
      </c>
      <c r="B9" s="23">
        <f>IF($C9="","",INDEX(인턴근무계획!$B$3:$B$402,$A9))</f>
        <v/>
      </c>
      <c r="C9" s="23">
        <f>IFERROR(TRIM(INDEX(인턴근무계획!$C$3:$C$402,$A9)&amp;""),"")</f>
        <v/>
      </c>
      <c r="D9" s="23">
        <f>IF($C9="","",INDEX(인턴근무계획!$D$3:$D$402,$A9))</f>
        <v/>
      </c>
      <c r="E9" s="23">
        <f>IF($C9="","",IF(IFERROR(MATCH($D9,기본자료!$B$2:$B$1001,0),IFERROR(MATCH($D9&amp;"",기본자료!$B$2:$B$1001,0),IFERROR(MATCH(VALUE($D9),기본자료!$B$2:$B$1001,0),0)))&gt;0,"확인","미등록"))</f>
        <v/>
      </c>
      <c r="F9" s="27">
        <f>IF($C9="","",INDEX(인턴근무계획!$S$3:$S$402,$A9))</f>
        <v/>
      </c>
      <c r="G9" s="23">
        <f>IF(OR($C9="",$G$3=""),"",IF(INDEX(인턴근무계획!$M$3:$R$402,$A9,$G$3)&amp;""="","",IF(LEFT(INDEX(인턴근무계획!$M$3:$R$402,$A9,$G$3)&amp;"",1)="⚠",INDEX(인턴근무계획!$M$3:$R$402,$A9,$G$3)&amp;"",LEFT(INDEX(인턴근무계획!$M$3:$R$402,$A9,$G$3)&amp;"",FIND(" ",INDEX(인턴근무계획!$M$3:$R$402,$A9,$G$3)&amp;"")-1))))</f>
        <v/>
      </c>
      <c r="H9" s="23">
        <f>IF(OR($C9="",$G$3=""),"",IF(INDEX(인턴근무계획!$M$3:$R$402,$A9,$G$3)&amp;""="","",IF(LEFT(INDEX(인턴근무계획!$M$3:$R$402,$A9,$G$3)&amp;"",1)="⚠","",MID(INDEX(인턴근무계획!$M$3:$R$402,$A9,$G$3)&amp;"",FIND(" ",INDEX(인턴근무계획!$M$3:$R$402,$A9,$G$3)&amp;"")+1,60))))</f>
        <v/>
      </c>
      <c r="I9" s="23">
        <f>IF(OR($C9="",$I$3=""),"",IF(INDEX(인턴근무계획!$M$3:$R$402,$A9,$I$3)&amp;""="","",IF(LEFT(INDEX(인턴근무계획!$M$3:$R$402,$A9,$I$3)&amp;"",1)="⚠",INDEX(인턴근무계획!$M$3:$R$402,$A9,$I$3)&amp;"",LEFT(INDEX(인턴근무계획!$M$3:$R$402,$A9,$I$3)&amp;"",FIND(" ",INDEX(인턴근무계획!$M$3:$R$402,$A9,$I$3)&amp;"")-1))))</f>
        <v/>
      </c>
      <c r="J9" s="23">
        <f>IF(OR($C9="",$I$3=""),"",IF(INDEX(인턴근무계획!$M$3:$R$402,$A9,$I$3)&amp;""="","",IF(LEFT(INDEX(인턴근무계획!$M$3:$R$402,$A9,$I$3)&amp;"",1)="⚠","",MID(INDEX(인턴근무계획!$M$3:$R$402,$A9,$I$3)&amp;"",FIND(" ",INDEX(인턴근무계획!$M$3:$R$402,$A9,$I$3)&amp;"")+1,60))))</f>
        <v/>
      </c>
      <c r="K9" s="23">
        <f>IF($C9="","",INDEX(인턴근무계획!$M$3:$M$402,$A9)&amp;"")</f>
        <v/>
      </c>
      <c r="L9" s="23">
        <f>IF($C9="","",INDEX(인턴근무계획!$N$3:$N$402,$A9)&amp;"")</f>
        <v/>
      </c>
      <c r="M9" s="23">
        <f>IF($C9="","",INDEX(인턴근무계획!$O$3:$O$402,$A9)&amp;"")</f>
        <v/>
      </c>
      <c r="N9" s="23">
        <f>IF($C9="","",INDEX(인턴근무계획!$P$3:$P$402,$A9)&amp;"")</f>
        <v/>
      </c>
      <c r="O9" s="23">
        <f>IF($C9="","",INDEX(인턴근무계획!$Q$3:$Q$402,$A9)&amp;"")</f>
        <v/>
      </c>
      <c r="P9" s="23">
        <f>IF($C9="","",INDEX(인턴근무계획!$R$3:$R$402,$A9)&amp;"")</f>
        <v/>
      </c>
      <c r="Q9" s="23">
        <f>IF($C9="","",INDEX(인턴근무계획!$T$3:$T$402,$A9))</f>
        <v/>
      </c>
      <c r="S9" s="23">
        <f>IF(코드표!A5="","",코드표!A5)</f>
        <v/>
      </c>
      <c r="T9" s="23">
        <f>IF($S9="","",COUNTIF(K$6:K$405,$S9&amp;" *"))</f>
        <v/>
      </c>
      <c r="U9" s="23">
        <f>IF($S9="","",COUNTIF(L$6:L$405,$S9&amp;" *"))</f>
        <v/>
      </c>
      <c r="V9" s="23">
        <f>IF($S9="","",COUNTIF(M$6:M$405,$S9&amp;" *"))</f>
        <v/>
      </c>
      <c r="W9" s="23">
        <f>IF($S9="","",COUNTIF(N$6:N$405,$S9&amp;" *"))</f>
        <v/>
      </c>
      <c r="X9" s="23">
        <f>IF($S9="","",COUNTIF(O$6:O$405,$S9&amp;" *"))</f>
        <v/>
      </c>
      <c r="Y9" s="23">
        <f>IF($S9="","",COUNTIF(P$6:P$405,$S9&amp;" *"))</f>
        <v/>
      </c>
    </row>
    <row r="10">
      <c r="A10" s="26" t="n">
        <v>5</v>
      </c>
      <c r="B10" s="23">
        <f>IF($C10="","",INDEX(인턴근무계획!$B$3:$B$402,$A10))</f>
        <v/>
      </c>
      <c r="C10" s="23">
        <f>IFERROR(TRIM(INDEX(인턴근무계획!$C$3:$C$402,$A10)&amp;""),"")</f>
        <v/>
      </c>
      <c r="D10" s="23">
        <f>IF($C10="","",INDEX(인턴근무계획!$D$3:$D$402,$A10))</f>
        <v/>
      </c>
      <c r="E10" s="23">
        <f>IF($C10="","",IF(IFERROR(MATCH($D10,기본자료!$B$2:$B$1001,0),IFERROR(MATCH($D10&amp;"",기본자료!$B$2:$B$1001,0),IFERROR(MATCH(VALUE($D10),기본자료!$B$2:$B$1001,0),0)))&gt;0,"확인","미등록"))</f>
        <v/>
      </c>
      <c r="F10" s="27">
        <f>IF($C10="","",INDEX(인턴근무계획!$S$3:$S$402,$A10))</f>
        <v/>
      </c>
      <c r="G10" s="23">
        <f>IF(OR($C10="",$G$3=""),"",IF(INDEX(인턴근무계획!$M$3:$R$402,$A10,$G$3)&amp;""="","",IF(LEFT(INDEX(인턴근무계획!$M$3:$R$402,$A10,$G$3)&amp;"",1)="⚠",INDEX(인턴근무계획!$M$3:$R$402,$A10,$G$3)&amp;"",LEFT(INDEX(인턴근무계획!$M$3:$R$402,$A10,$G$3)&amp;"",FIND(" ",INDEX(인턴근무계획!$M$3:$R$402,$A10,$G$3)&amp;"")-1))))</f>
        <v/>
      </c>
      <c r="H10" s="23">
        <f>IF(OR($C10="",$G$3=""),"",IF(INDEX(인턴근무계획!$M$3:$R$402,$A10,$G$3)&amp;""="","",IF(LEFT(INDEX(인턴근무계획!$M$3:$R$402,$A10,$G$3)&amp;"",1)="⚠","",MID(INDEX(인턴근무계획!$M$3:$R$402,$A10,$G$3)&amp;"",FIND(" ",INDEX(인턴근무계획!$M$3:$R$402,$A10,$G$3)&amp;"")+1,60))))</f>
        <v/>
      </c>
      <c r="I10" s="23">
        <f>IF(OR($C10="",$I$3=""),"",IF(INDEX(인턴근무계획!$M$3:$R$402,$A10,$I$3)&amp;""="","",IF(LEFT(INDEX(인턴근무계획!$M$3:$R$402,$A10,$I$3)&amp;"",1)="⚠",INDEX(인턴근무계획!$M$3:$R$402,$A10,$I$3)&amp;"",LEFT(INDEX(인턴근무계획!$M$3:$R$402,$A10,$I$3)&amp;"",FIND(" ",INDEX(인턴근무계획!$M$3:$R$402,$A10,$I$3)&amp;"")-1))))</f>
        <v/>
      </c>
      <c r="J10" s="23">
        <f>IF(OR($C10="",$I$3=""),"",IF(INDEX(인턴근무계획!$M$3:$R$402,$A10,$I$3)&amp;""="","",IF(LEFT(INDEX(인턴근무계획!$M$3:$R$402,$A10,$I$3)&amp;"",1)="⚠","",MID(INDEX(인턴근무계획!$M$3:$R$402,$A10,$I$3)&amp;"",FIND(" ",INDEX(인턴근무계획!$M$3:$R$402,$A10,$I$3)&amp;"")+1,60))))</f>
        <v/>
      </c>
      <c r="K10" s="23">
        <f>IF($C10="","",INDEX(인턴근무계획!$M$3:$M$402,$A10)&amp;"")</f>
        <v/>
      </c>
      <c r="L10" s="23">
        <f>IF($C10="","",INDEX(인턴근무계획!$N$3:$N$402,$A10)&amp;"")</f>
        <v/>
      </c>
      <c r="M10" s="23">
        <f>IF($C10="","",INDEX(인턴근무계획!$O$3:$O$402,$A10)&amp;"")</f>
        <v/>
      </c>
      <c r="N10" s="23">
        <f>IF($C10="","",INDEX(인턴근무계획!$P$3:$P$402,$A10)&amp;"")</f>
        <v/>
      </c>
      <c r="O10" s="23">
        <f>IF($C10="","",INDEX(인턴근무계획!$Q$3:$Q$402,$A10)&amp;"")</f>
        <v/>
      </c>
      <c r="P10" s="23">
        <f>IF($C10="","",INDEX(인턴근무계획!$R$3:$R$402,$A10)&amp;"")</f>
        <v/>
      </c>
      <c r="Q10" s="23">
        <f>IF($C10="","",INDEX(인턴근무계획!$T$3:$T$402,$A10))</f>
        <v/>
      </c>
      <c r="S10" s="23">
        <f>IF(코드표!A6="","",코드표!A6)</f>
        <v/>
      </c>
      <c r="T10" s="23">
        <f>IF($S10="","",COUNTIF(K$6:K$405,$S10&amp;" *"))</f>
        <v/>
      </c>
      <c r="U10" s="23">
        <f>IF($S10="","",COUNTIF(L$6:L$405,$S10&amp;" *"))</f>
        <v/>
      </c>
      <c r="V10" s="23">
        <f>IF($S10="","",COUNTIF(M$6:M$405,$S10&amp;" *"))</f>
        <v/>
      </c>
      <c r="W10" s="23">
        <f>IF($S10="","",COUNTIF(N$6:N$405,$S10&amp;" *"))</f>
        <v/>
      </c>
      <c r="X10" s="23">
        <f>IF($S10="","",COUNTIF(O$6:O$405,$S10&amp;" *"))</f>
        <v/>
      </c>
      <c r="Y10" s="23">
        <f>IF($S10="","",COUNTIF(P$6:P$405,$S10&amp;" *"))</f>
        <v/>
      </c>
    </row>
    <row r="11">
      <c r="A11" s="26" t="n">
        <v>6</v>
      </c>
      <c r="B11" s="23">
        <f>IF($C11="","",INDEX(인턴근무계획!$B$3:$B$402,$A11))</f>
        <v/>
      </c>
      <c r="C11" s="23">
        <f>IFERROR(TRIM(INDEX(인턴근무계획!$C$3:$C$402,$A11)&amp;""),"")</f>
        <v/>
      </c>
      <c r="D11" s="23">
        <f>IF($C11="","",INDEX(인턴근무계획!$D$3:$D$402,$A11))</f>
        <v/>
      </c>
      <c r="E11" s="23">
        <f>IF($C11="","",IF(IFERROR(MATCH($D11,기본자료!$B$2:$B$1001,0),IFERROR(MATCH($D11&amp;"",기본자료!$B$2:$B$1001,0),IFERROR(MATCH(VALUE($D11),기본자료!$B$2:$B$1001,0),0)))&gt;0,"확인","미등록"))</f>
        <v/>
      </c>
      <c r="F11" s="27">
        <f>IF($C11="","",INDEX(인턴근무계획!$S$3:$S$402,$A11))</f>
        <v/>
      </c>
      <c r="G11" s="23">
        <f>IF(OR($C11="",$G$3=""),"",IF(INDEX(인턴근무계획!$M$3:$R$402,$A11,$G$3)&amp;""="","",IF(LEFT(INDEX(인턴근무계획!$M$3:$R$402,$A11,$G$3)&amp;"",1)="⚠",INDEX(인턴근무계획!$M$3:$R$402,$A11,$G$3)&amp;"",LEFT(INDEX(인턴근무계획!$M$3:$R$402,$A11,$G$3)&amp;"",FIND(" ",INDEX(인턴근무계획!$M$3:$R$402,$A11,$G$3)&amp;"")-1))))</f>
        <v/>
      </c>
      <c r="H11" s="23">
        <f>IF(OR($C11="",$G$3=""),"",IF(INDEX(인턴근무계획!$M$3:$R$402,$A11,$G$3)&amp;""="","",IF(LEFT(INDEX(인턴근무계획!$M$3:$R$402,$A11,$G$3)&amp;"",1)="⚠","",MID(INDEX(인턴근무계획!$M$3:$R$402,$A11,$G$3)&amp;"",FIND(" ",INDEX(인턴근무계획!$M$3:$R$402,$A11,$G$3)&amp;"")+1,60))))</f>
        <v/>
      </c>
      <c r="I11" s="23">
        <f>IF(OR($C11="",$I$3=""),"",IF(INDEX(인턴근무계획!$M$3:$R$402,$A11,$I$3)&amp;""="","",IF(LEFT(INDEX(인턴근무계획!$M$3:$R$402,$A11,$I$3)&amp;"",1)="⚠",INDEX(인턴근무계획!$M$3:$R$402,$A11,$I$3)&amp;"",LEFT(INDEX(인턴근무계획!$M$3:$R$402,$A11,$I$3)&amp;"",FIND(" ",INDEX(인턴근무계획!$M$3:$R$402,$A11,$I$3)&amp;"")-1))))</f>
        <v/>
      </c>
      <c r="J11" s="23">
        <f>IF(OR($C11="",$I$3=""),"",IF(INDEX(인턴근무계획!$M$3:$R$402,$A11,$I$3)&amp;""="","",IF(LEFT(INDEX(인턴근무계획!$M$3:$R$402,$A11,$I$3)&amp;"",1)="⚠","",MID(INDEX(인턴근무계획!$M$3:$R$402,$A11,$I$3)&amp;"",FIND(" ",INDEX(인턴근무계획!$M$3:$R$402,$A11,$I$3)&amp;"")+1,60))))</f>
        <v/>
      </c>
      <c r="K11" s="23">
        <f>IF($C11="","",INDEX(인턴근무계획!$M$3:$M$402,$A11)&amp;"")</f>
        <v/>
      </c>
      <c r="L11" s="23">
        <f>IF($C11="","",INDEX(인턴근무계획!$N$3:$N$402,$A11)&amp;"")</f>
        <v/>
      </c>
      <c r="M11" s="23">
        <f>IF($C11="","",INDEX(인턴근무계획!$O$3:$O$402,$A11)&amp;"")</f>
        <v/>
      </c>
      <c r="N11" s="23">
        <f>IF($C11="","",INDEX(인턴근무계획!$P$3:$P$402,$A11)&amp;"")</f>
        <v/>
      </c>
      <c r="O11" s="23">
        <f>IF($C11="","",INDEX(인턴근무계획!$Q$3:$Q$402,$A11)&amp;"")</f>
        <v/>
      </c>
      <c r="P11" s="23">
        <f>IF($C11="","",INDEX(인턴근무계획!$R$3:$R$402,$A11)&amp;"")</f>
        <v/>
      </c>
      <c r="Q11" s="23">
        <f>IF($C11="","",INDEX(인턴근무계획!$T$3:$T$402,$A11))</f>
        <v/>
      </c>
      <c r="S11" s="23">
        <f>IF(코드표!A7="","",코드표!A7)</f>
        <v/>
      </c>
      <c r="T11" s="23">
        <f>IF($S11="","",COUNTIF(K$6:K$405,$S11&amp;" *"))</f>
        <v/>
      </c>
      <c r="U11" s="23">
        <f>IF($S11="","",COUNTIF(L$6:L$405,$S11&amp;" *"))</f>
        <v/>
      </c>
      <c r="V11" s="23">
        <f>IF($S11="","",COUNTIF(M$6:M$405,$S11&amp;" *"))</f>
        <v/>
      </c>
      <c r="W11" s="23">
        <f>IF($S11="","",COUNTIF(N$6:N$405,$S11&amp;" *"))</f>
        <v/>
      </c>
      <c r="X11" s="23">
        <f>IF($S11="","",COUNTIF(O$6:O$405,$S11&amp;" *"))</f>
        <v/>
      </c>
      <c r="Y11" s="23">
        <f>IF($S11="","",COUNTIF(P$6:P$405,$S11&amp;" *"))</f>
        <v/>
      </c>
    </row>
    <row r="12">
      <c r="A12" s="26" t="n">
        <v>7</v>
      </c>
      <c r="B12" s="23">
        <f>IF($C12="","",INDEX(인턴근무계획!$B$3:$B$402,$A12))</f>
        <v/>
      </c>
      <c r="C12" s="23">
        <f>IFERROR(TRIM(INDEX(인턴근무계획!$C$3:$C$402,$A12)&amp;""),"")</f>
        <v/>
      </c>
      <c r="D12" s="23">
        <f>IF($C12="","",INDEX(인턴근무계획!$D$3:$D$402,$A12))</f>
        <v/>
      </c>
      <c r="E12" s="23">
        <f>IF($C12="","",IF(IFERROR(MATCH($D12,기본자료!$B$2:$B$1001,0),IFERROR(MATCH($D12&amp;"",기본자료!$B$2:$B$1001,0),IFERROR(MATCH(VALUE($D12),기본자료!$B$2:$B$1001,0),0)))&gt;0,"확인","미등록"))</f>
        <v/>
      </c>
      <c r="F12" s="27">
        <f>IF($C12="","",INDEX(인턴근무계획!$S$3:$S$402,$A12))</f>
        <v/>
      </c>
      <c r="G12" s="23">
        <f>IF(OR($C12="",$G$3=""),"",IF(INDEX(인턴근무계획!$M$3:$R$402,$A12,$G$3)&amp;""="","",IF(LEFT(INDEX(인턴근무계획!$M$3:$R$402,$A12,$G$3)&amp;"",1)="⚠",INDEX(인턴근무계획!$M$3:$R$402,$A12,$G$3)&amp;"",LEFT(INDEX(인턴근무계획!$M$3:$R$402,$A12,$G$3)&amp;"",FIND(" ",INDEX(인턴근무계획!$M$3:$R$402,$A12,$G$3)&amp;"")-1))))</f>
        <v/>
      </c>
      <c r="H12" s="23">
        <f>IF(OR($C12="",$G$3=""),"",IF(INDEX(인턴근무계획!$M$3:$R$402,$A12,$G$3)&amp;""="","",IF(LEFT(INDEX(인턴근무계획!$M$3:$R$402,$A12,$G$3)&amp;"",1)="⚠","",MID(INDEX(인턴근무계획!$M$3:$R$402,$A12,$G$3)&amp;"",FIND(" ",INDEX(인턴근무계획!$M$3:$R$402,$A12,$G$3)&amp;"")+1,60))))</f>
        <v/>
      </c>
      <c r="I12" s="23">
        <f>IF(OR($C12="",$I$3=""),"",IF(INDEX(인턴근무계획!$M$3:$R$402,$A12,$I$3)&amp;""="","",IF(LEFT(INDEX(인턴근무계획!$M$3:$R$402,$A12,$I$3)&amp;"",1)="⚠",INDEX(인턴근무계획!$M$3:$R$402,$A12,$I$3)&amp;"",LEFT(INDEX(인턴근무계획!$M$3:$R$402,$A12,$I$3)&amp;"",FIND(" ",INDEX(인턴근무계획!$M$3:$R$402,$A12,$I$3)&amp;"")-1))))</f>
        <v/>
      </c>
      <c r="J12" s="23">
        <f>IF(OR($C12="",$I$3=""),"",IF(INDEX(인턴근무계획!$M$3:$R$402,$A12,$I$3)&amp;""="","",IF(LEFT(INDEX(인턴근무계획!$M$3:$R$402,$A12,$I$3)&amp;"",1)="⚠","",MID(INDEX(인턴근무계획!$M$3:$R$402,$A12,$I$3)&amp;"",FIND(" ",INDEX(인턴근무계획!$M$3:$R$402,$A12,$I$3)&amp;"")+1,60))))</f>
        <v/>
      </c>
      <c r="K12" s="23">
        <f>IF($C12="","",INDEX(인턴근무계획!$M$3:$M$402,$A12)&amp;"")</f>
        <v/>
      </c>
      <c r="L12" s="23">
        <f>IF($C12="","",INDEX(인턴근무계획!$N$3:$N$402,$A12)&amp;"")</f>
        <v/>
      </c>
      <c r="M12" s="23">
        <f>IF($C12="","",INDEX(인턴근무계획!$O$3:$O$402,$A12)&amp;"")</f>
        <v/>
      </c>
      <c r="N12" s="23">
        <f>IF($C12="","",INDEX(인턴근무계획!$P$3:$P$402,$A12)&amp;"")</f>
        <v/>
      </c>
      <c r="O12" s="23">
        <f>IF($C12="","",INDEX(인턴근무계획!$Q$3:$Q$402,$A12)&amp;"")</f>
        <v/>
      </c>
      <c r="P12" s="23">
        <f>IF($C12="","",INDEX(인턴근무계획!$R$3:$R$402,$A12)&amp;"")</f>
        <v/>
      </c>
      <c r="Q12" s="23">
        <f>IF($C12="","",INDEX(인턴근무계획!$T$3:$T$402,$A12))</f>
        <v/>
      </c>
      <c r="S12" s="23">
        <f>IF(코드표!A8="","",코드표!A8)</f>
        <v/>
      </c>
      <c r="T12" s="23">
        <f>IF($S12="","",COUNTIF(K$6:K$405,$S12&amp;" *"))</f>
        <v/>
      </c>
      <c r="U12" s="23">
        <f>IF($S12="","",COUNTIF(L$6:L$405,$S12&amp;" *"))</f>
        <v/>
      </c>
      <c r="V12" s="23">
        <f>IF($S12="","",COUNTIF(M$6:M$405,$S12&amp;" *"))</f>
        <v/>
      </c>
      <c r="W12" s="23">
        <f>IF($S12="","",COUNTIF(N$6:N$405,$S12&amp;" *"))</f>
        <v/>
      </c>
      <c r="X12" s="23">
        <f>IF($S12="","",COUNTIF(O$6:O$405,$S12&amp;" *"))</f>
        <v/>
      </c>
      <c r="Y12" s="23">
        <f>IF($S12="","",COUNTIF(P$6:P$405,$S12&amp;" *"))</f>
        <v/>
      </c>
    </row>
    <row r="13">
      <c r="A13" s="26" t="n">
        <v>8</v>
      </c>
      <c r="B13" s="23">
        <f>IF($C13="","",INDEX(인턴근무계획!$B$3:$B$402,$A13))</f>
        <v/>
      </c>
      <c r="C13" s="23">
        <f>IFERROR(TRIM(INDEX(인턴근무계획!$C$3:$C$402,$A13)&amp;""),"")</f>
        <v/>
      </c>
      <c r="D13" s="23">
        <f>IF($C13="","",INDEX(인턴근무계획!$D$3:$D$402,$A13))</f>
        <v/>
      </c>
      <c r="E13" s="23">
        <f>IF($C13="","",IF(IFERROR(MATCH($D13,기본자료!$B$2:$B$1001,0),IFERROR(MATCH($D13&amp;"",기본자료!$B$2:$B$1001,0),IFERROR(MATCH(VALUE($D13),기본자료!$B$2:$B$1001,0),0)))&gt;0,"확인","미등록"))</f>
        <v/>
      </c>
      <c r="F13" s="27">
        <f>IF($C13="","",INDEX(인턴근무계획!$S$3:$S$402,$A13))</f>
        <v/>
      </c>
      <c r="G13" s="23">
        <f>IF(OR($C13="",$G$3=""),"",IF(INDEX(인턴근무계획!$M$3:$R$402,$A13,$G$3)&amp;""="","",IF(LEFT(INDEX(인턴근무계획!$M$3:$R$402,$A13,$G$3)&amp;"",1)="⚠",INDEX(인턴근무계획!$M$3:$R$402,$A13,$G$3)&amp;"",LEFT(INDEX(인턴근무계획!$M$3:$R$402,$A13,$G$3)&amp;"",FIND(" ",INDEX(인턴근무계획!$M$3:$R$402,$A13,$G$3)&amp;"")-1))))</f>
        <v/>
      </c>
      <c r="H13" s="23">
        <f>IF(OR($C13="",$G$3=""),"",IF(INDEX(인턴근무계획!$M$3:$R$402,$A13,$G$3)&amp;""="","",IF(LEFT(INDEX(인턴근무계획!$M$3:$R$402,$A13,$G$3)&amp;"",1)="⚠","",MID(INDEX(인턴근무계획!$M$3:$R$402,$A13,$G$3)&amp;"",FIND(" ",INDEX(인턴근무계획!$M$3:$R$402,$A13,$G$3)&amp;"")+1,60))))</f>
        <v/>
      </c>
      <c r="I13" s="23">
        <f>IF(OR($C13="",$I$3=""),"",IF(INDEX(인턴근무계획!$M$3:$R$402,$A13,$I$3)&amp;""="","",IF(LEFT(INDEX(인턴근무계획!$M$3:$R$402,$A13,$I$3)&amp;"",1)="⚠",INDEX(인턴근무계획!$M$3:$R$402,$A13,$I$3)&amp;"",LEFT(INDEX(인턴근무계획!$M$3:$R$402,$A13,$I$3)&amp;"",FIND(" ",INDEX(인턴근무계획!$M$3:$R$402,$A13,$I$3)&amp;"")-1))))</f>
        <v/>
      </c>
      <c r="J13" s="23">
        <f>IF(OR($C13="",$I$3=""),"",IF(INDEX(인턴근무계획!$M$3:$R$402,$A13,$I$3)&amp;""="","",IF(LEFT(INDEX(인턴근무계획!$M$3:$R$402,$A13,$I$3)&amp;"",1)="⚠","",MID(INDEX(인턴근무계획!$M$3:$R$402,$A13,$I$3)&amp;"",FIND(" ",INDEX(인턴근무계획!$M$3:$R$402,$A13,$I$3)&amp;"")+1,60))))</f>
        <v/>
      </c>
      <c r="K13" s="23">
        <f>IF($C13="","",INDEX(인턴근무계획!$M$3:$M$402,$A13)&amp;"")</f>
        <v/>
      </c>
      <c r="L13" s="23">
        <f>IF($C13="","",INDEX(인턴근무계획!$N$3:$N$402,$A13)&amp;"")</f>
        <v/>
      </c>
      <c r="M13" s="23">
        <f>IF($C13="","",INDEX(인턴근무계획!$O$3:$O$402,$A13)&amp;"")</f>
        <v/>
      </c>
      <c r="N13" s="23">
        <f>IF($C13="","",INDEX(인턴근무계획!$P$3:$P$402,$A13)&amp;"")</f>
        <v/>
      </c>
      <c r="O13" s="23">
        <f>IF($C13="","",INDEX(인턴근무계획!$Q$3:$Q$402,$A13)&amp;"")</f>
        <v/>
      </c>
      <c r="P13" s="23">
        <f>IF($C13="","",INDEX(인턴근무계획!$R$3:$R$402,$A13)&amp;"")</f>
        <v/>
      </c>
      <c r="Q13" s="23">
        <f>IF($C13="","",INDEX(인턴근무계획!$T$3:$T$402,$A13))</f>
        <v/>
      </c>
      <c r="S13" s="23">
        <f>IF(코드표!A9="","",코드표!A9)</f>
        <v/>
      </c>
      <c r="T13" s="23">
        <f>IF($S13="","",COUNTIF(K$6:K$405,$S13&amp;" *"))</f>
        <v/>
      </c>
      <c r="U13" s="23">
        <f>IF($S13="","",COUNTIF(L$6:L$405,$S13&amp;" *"))</f>
        <v/>
      </c>
      <c r="V13" s="23">
        <f>IF($S13="","",COUNTIF(M$6:M$405,$S13&amp;" *"))</f>
        <v/>
      </c>
      <c r="W13" s="23">
        <f>IF($S13="","",COUNTIF(N$6:N$405,$S13&amp;" *"))</f>
        <v/>
      </c>
      <c r="X13" s="23">
        <f>IF($S13="","",COUNTIF(O$6:O$405,$S13&amp;" *"))</f>
        <v/>
      </c>
      <c r="Y13" s="23">
        <f>IF($S13="","",COUNTIF(P$6:P$405,$S13&amp;" *"))</f>
        <v/>
      </c>
    </row>
    <row r="14">
      <c r="A14" s="26" t="n">
        <v>9</v>
      </c>
      <c r="B14" s="23">
        <f>IF($C14="","",INDEX(인턴근무계획!$B$3:$B$402,$A14))</f>
        <v/>
      </c>
      <c r="C14" s="23">
        <f>IFERROR(TRIM(INDEX(인턴근무계획!$C$3:$C$402,$A14)&amp;""),"")</f>
        <v/>
      </c>
      <c r="D14" s="23">
        <f>IF($C14="","",INDEX(인턴근무계획!$D$3:$D$402,$A14))</f>
        <v/>
      </c>
      <c r="E14" s="23">
        <f>IF($C14="","",IF(IFERROR(MATCH($D14,기본자료!$B$2:$B$1001,0),IFERROR(MATCH($D14&amp;"",기본자료!$B$2:$B$1001,0),IFERROR(MATCH(VALUE($D14),기본자료!$B$2:$B$1001,0),0)))&gt;0,"확인","미등록"))</f>
        <v/>
      </c>
      <c r="F14" s="27">
        <f>IF($C14="","",INDEX(인턴근무계획!$S$3:$S$402,$A14))</f>
        <v/>
      </c>
      <c r="G14" s="23">
        <f>IF(OR($C14="",$G$3=""),"",IF(INDEX(인턴근무계획!$M$3:$R$402,$A14,$G$3)&amp;""="","",IF(LEFT(INDEX(인턴근무계획!$M$3:$R$402,$A14,$G$3)&amp;"",1)="⚠",INDEX(인턴근무계획!$M$3:$R$402,$A14,$G$3)&amp;"",LEFT(INDEX(인턴근무계획!$M$3:$R$402,$A14,$G$3)&amp;"",FIND(" ",INDEX(인턴근무계획!$M$3:$R$402,$A14,$G$3)&amp;"")-1))))</f>
        <v/>
      </c>
      <c r="H14" s="23">
        <f>IF(OR($C14="",$G$3=""),"",IF(INDEX(인턴근무계획!$M$3:$R$402,$A14,$G$3)&amp;""="","",IF(LEFT(INDEX(인턴근무계획!$M$3:$R$402,$A14,$G$3)&amp;"",1)="⚠","",MID(INDEX(인턴근무계획!$M$3:$R$402,$A14,$G$3)&amp;"",FIND(" ",INDEX(인턴근무계획!$M$3:$R$402,$A14,$G$3)&amp;"")+1,60))))</f>
        <v/>
      </c>
      <c r="I14" s="23">
        <f>IF(OR($C14="",$I$3=""),"",IF(INDEX(인턴근무계획!$M$3:$R$402,$A14,$I$3)&amp;""="","",IF(LEFT(INDEX(인턴근무계획!$M$3:$R$402,$A14,$I$3)&amp;"",1)="⚠",INDEX(인턴근무계획!$M$3:$R$402,$A14,$I$3)&amp;"",LEFT(INDEX(인턴근무계획!$M$3:$R$402,$A14,$I$3)&amp;"",FIND(" ",INDEX(인턴근무계획!$M$3:$R$402,$A14,$I$3)&amp;"")-1))))</f>
        <v/>
      </c>
      <c r="J14" s="23">
        <f>IF(OR($C14="",$I$3=""),"",IF(INDEX(인턴근무계획!$M$3:$R$402,$A14,$I$3)&amp;""="","",IF(LEFT(INDEX(인턴근무계획!$M$3:$R$402,$A14,$I$3)&amp;"",1)="⚠","",MID(INDEX(인턴근무계획!$M$3:$R$402,$A14,$I$3)&amp;"",FIND(" ",INDEX(인턴근무계획!$M$3:$R$402,$A14,$I$3)&amp;"")+1,60))))</f>
        <v/>
      </c>
      <c r="K14" s="23">
        <f>IF($C14="","",INDEX(인턴근무계획!$M$3:$M$402,$A14)&amp;"")</f>
        <v/>
      </c>
      <c r="L14" s="23">
        <f>IF($C14="","",INDEX(인턴근무계획!$N$3:$N$402,$A14)&amp;"")</f>
        <v/>
      </c>
      <c r="M14" s="23">
        <f>IF($C14="","",INDEX(인턴근무계획!$O$3:$O$402,$A14)&amp;"")</f>
        <v/>
      </c>
      <c r="N14" s="23">
        <f>IF($C14="","",INDEX(인턴근무계획!$P$3:$P$402,$A14)&amp;"")</f>
        <v/>
      </c>
      <c r="O14" s="23">
        <f>IF($C14="","",INDEX(인턴근무계획!$Q$3:$Q$402,$A14)&amp;"")</f>
        <v/>
      </c>
      <c r="P14" s="23">
        <f>IF($C14="","",INDEX(인턴근무계획!$R$3:$R$402,$A14)&amp;"")</f>
        <v/>
      </c>
      <c r="Q14" s="23">
        <f>IF($C14="","",INDEX(인턴근무계획!$T$3:$T$402,$A14))</f>
        <v/>
      </c>
      <c r="S14" s="23">
        <f>IF(코드표!A10="","",코드표!A10)</f>
        <v/>
      </c>
      <c r="T14" s="23">
        <f>IF($S14="","",COUNTIF(K$6:K$405,$S14&amp;" *"))</f>
        <v/>
      </c>
      <c r="U14" s="23">
        <f>IF($S14="","",COUNTIF(L$6:L$405,$S14&amp;" *"))</f>
        <v/>
      </c>
      <c r="V14" s="23">
        <f>IF($S14="","",COUNTIF(M$6:M$405,$S14&amp;" *"))</f>
        <v/>
      </c>
      <c r="W14" s="23">
        <f>IF($S14="","",COUNTIF(N$6:N$405,$S14&amp;" *"))</f>
        <v/>
      </c>
      <c r="X14" s="23">
        <f>IF($S14="","",COUNTIF(O$6:O$405,$S14&amp;" *"))</f>
        <v/>
      </c>
      <c r="Y14" s="23">
        <f>IF($S14="","",COUNTIF(P$6:P$405,$S14&amp;" *"))</f>
        <v/>
      </c>
    </row>
    <row r="15">
      <c r="A15" s="26" t="n">
        <v>10</v>
      </c>
      <c r="B15" s="23">
        <f>IF($C15="","",INDEX(인턴근무계획!$B$3:$B$402,$A15))</f>
        <v/>
      </c>
      <c r="C15" s="23">
        <f>IFERROR(TRIM(INDEX(인턴근무계획!$C$3:$C$402,$A15)&amp;""),"")</f>
        <v/>
      </c>
      <c r="D15" s="23">
        <f>IF($C15="","",INDEX(인턴근무계획!$D$3:$D$402,$A15))</f>
        <v/>
      </c>
      <c r="E15" s="23">
        <f>IF($C15="","",IF(IFERROR(MATCH($D15,기본자료!$B$2:$B$1001,0),IFERROR(MATCH($D15&amp;"",기본자료!$B$2:$B$1001,0),IFERROR(MATCH(VALUE($D15),기본자료!$B$2:$B$1001,0),0)))&gt;0,"확인","미등록"))</f>
        <v/>
      </c>
      <c r="F15" s="27">
        <f>IF($C15="","",INDEX(인턴근무계획!$S$3:$S$402,$A15))</f>
        <v/>
      </c>
      <c r="G15" s="23">
        <f>IF(OR($C15="",$G$3=""),"",IF(INDEX(인턴근무계획!$M$3:$R$402,$A15,$G$3)&amp;""="","",IF(LEFT(INDEX(인턴근무계획!$M$3:$R$402,$A15,$G$3)&amp;"",1)="⚠",INDEX(인턴근무계획!$M$3:$R$402,$A15,$G$3)&amp;"",LEFT(INDEX(인턴근무계획!$M$3:$R$402,$A15,$G$3)&amp;"",FIND(" ",INDEX(인턴근무계획!$M$3:$R$402,$A15,$G$3)&amp;"")-1))))</f>
        <v/>
      </c>
      <c r="H15" s="23">
        <f>IF(OR($C15="",$G$3=""),"",IF(INDEX(인턴근무계획!$M$3:$R$402,$A15,$G$3)&amp;""="","",IF(LEFT(INDEX(인턴근무계획!$M$3:$R$402,$A15,$G$3)&amp;"",1)="⚠","",MID(INDEX(인턴근무계획!$M$3:$R$402,$A15,$G$3)&amp;"",FIND(" ",INDEX(인턴근무계획!$M$3:$R$402,$A15,$G$3)&amp;"")+1,60))))</f>
        <v/>
      </c>
      <c r="I15" s="23">
        <f>IF(OR($C15="",$I$3=""),"",IF(INDEX(인턴근무계획!$M$3:$R$402,$A15,$I$3)&amp;""="","",IF(LEFT(INDEX(인턴근무계획!$M$3:$R$402,$A15,$I$3)&amp;"",1)="⚠",INDEX(인턴근무계획!$M$3:$R$402,$A15,$I$3)&amp;"",LEFT(INDEX(인턴근무계획!$M$3:$R$402,$A15,$I$3)&amp;"",FIND(" ",INDEX(인턴근무계획!$M$3:$R$402,$A15,$I$3)&amp;"")-1))))</f>
        <v/>
      </c>
      <c r="J15" s="23">
        <f>IF(OR($C15="",$I$3=""),"",IF(INDEX(인턴근무계획!$M$3:$R$402,$A15,$I$3)&amp;""="","",IF(LEFT(INDEX(인턴근무계획!$M$3:$R$402,$A15,$I$3)&amp;"",1)="⚠","",MID(INDEX(인턴근무계획!$M$3:$R$402,$A15,$I$3)&amp;"",FIND(" ",INDEX(인턴근무계획!$M$3:$R$402,$A15,$I$3)&amp;"")+1,60))))</f>
        <v/>
      </c>
      <c r="K15" s="23">
        <f>IF($C15="","",INDEX(인턴근무계획!$M$3:$M$402,$A15)&amp;"")</f>
        <v/>
      </c>
      <c r="L15" s="23">
        <f>IF($C15="","",INDEX(인턴근무계획!$N$3:$N$402,$A15)&amp;"")</f>
        <v/>
      </c>
      <c r="M15" s="23">
        <f>IF($C15="","",INDEX(인턴근무계획!$O$3:$O$402,$A15)&amp;"")</f>
        <v/>
      </c>
      <c r="N15" s="23">
        <f>IF($C15="","",INDEX(인턴근무계획!$P$3:$P$402,$A15)&amp;"")</f>
        <v/>
      </c>
      <c r="O15" s="23">
        <f>IF($C15="","",INDEX(인턴근무계획!$Q$3:$Q$402,$A15)&amp;"")</f>
        <v/>
      </c>
      <c r="P15" s="23">
        <f>IF($C15="","",INDEX(인턴근무계획!$R$3:$R$402,$A15)&amp;"")</f>
        <v/>
      </c>
      <c r="Q15" s="23">
        <f>IF($C15="","",INDEX(인턴근무계획!$T$3:$T$402,$A15))</f>
        <v/>
      </c>
      <c r="S15" s="23">
        <f>IF(코드표!A11="","",코드표!A11)</f>
        <v/>
      </c>
      <c r="T15" s="23">
        <f>IF($S15="","",COUNTIF(K$6:K$405,$S15&amp;" *"))</f>
        <v/>
      </c>
      <c r="U15" s="23">
        <f>IF($S15="","",COUNTIF(L$6:L$405,$S15&amp;" *"))</f>
        <v/>
      </c>
      <c r="V15" s="23">
        <f>IF($S15="","",COUNTIF(M$6:M$405,$S15&amp;" *"))</f>
        <v/>
      </c>
      <c r="W15" s="23">
        <f>IF($S15="","",COUNTIF(N$6:N$405,$S15&amp;" *"))</f>
        <v/>
      </c>
      <c r="X15" s="23">
        <f>IF($S15="","",COUNTIF(O$6:O$405,$S15&amp;" *"))</f>
        <v/>
      </c>
      <c r="Y15" s="23">
        <f>IF($S15="","",COUNTIF(P$6:P$405,$S15&amp;" *"))</f>
        <v/>
      </c>
    </row>
    <row r="16">
      <c r="A16" s="26" t="n">
        <v>11</v>
      </c>
      <c r="B16" s="23">
        <f>IF($C16="","",INDEX(인턴근무계획!$B$3:$B$402,$A16))</f>
        <v/>
      </c>
      <c r="C16" s="23">
        <f>IFERROR(TRIM(INDEX(인턴근무계획!$C$3:$C$402,$A16)&amp;""),"")</f>
        <v/>
      </c>
      <c r="D16" s="23">
        <f>IF($C16="","",INDEX(인턴근무계획!$D$3:$D$402,$A16))</f>
        <v/>
      </c>
      <c r="E16" s="23">
        <f>IF($C16="","",IF(IFERROR(MATCH($D16,기본자료!$B$2:$B$1001,0),IFERROR(MATCH($D16&amp;"",기본자료!$B$2:$B$1001,0),IFERROR(MATCH(VALUE($D16),기본자료!$B$2:$B$1001,0),0)))&gt;0,"확인","미등록"))</f>
        <v/>
      </c>
      <c r="F16" s="27">
        <f>IF($C16="","",INDEX(인턴근무계획!$S$3:$S$402,$A16))</f>
        <v/>
      </c>
      <c r="G16" s="23">
        <f>IF(OR($C16="",$G$3=""),"",IF(INDEX(인턴근무계획!$M$3:$R$402,$A16,$G$3)&amp;""="","",IF(LEFT(INDEX(인턴근무계획!$M$3:$R$402,$A16,$G$3)&amp;"",1)="⚠",INDEX(인턴근무계획!$M$3:$R$402,$A16,$G$3)&amp;"",LEFT(INDEX(인턴근무계획!$M$3:$R$402,$A16,$G$3)&amp;"",FIND(" ",INDEX(인턴근무계획!$M$3:$R$402,$A16,$G$3)&amp;"")-1))))</f>
        <v/>
      </c>
      <c r="H16" s="23">
        <f>IF(OR($C16="",$G$3=""),"",IF(INDEX(인턴근무계획!$M$3:$R$402,$A16,$G$3)&amp;""="","",IF(LEFT(INDEX(인턴근무계획!$M$3:$R$402,$A16,$G$3)&amp;"",1)="⚠","",MID(INDEX(인턴근무계획!$M$3:$R$402,$A16,$G$3)&amp;"",FIND(" ",INDEX(인턴근무계획!$M$3:$R$402,$A16,$G$3)&amp;"")+1,60))))</f>
        <v/>
      </c>
      <c r="I16" s="23">
        <f>IF(OR($C16="",$I$3=""),"",IF(INDEX(인턴근무계획!$M$3:$R$402,$A16,$I$3)&amp;""="","",IF(LEFT(INDEX(인턴근무계획!$M$3:$R$402,$A16,$I$3)&amp;"",1)="⚠",INDEX(인턴근무계획!$M$3:$R$402,$A16,$I$3)&amp;"",LEFT(INDEX(인턴근무계획!$M$3:$R$402,$A16,$I$3)&amp;"",FIND(" ",INDEX(인턴근무계획!$M$3:$R$402,$A16,$I$3)&amp;"")-1))))</f>
        <v/>
      </c>
      <c r="J16" s="23">
        <f>IF(OR($C16="",$I$3=""),"",IF(INDEX(인턴근무계획!$M$3:$R$402,$A16,$I$3)&amp;""="","",IF(LEFT(INDEX(인턴근무계획!$M$3:$R$402,$A16,$I$3)&amp;"",1)="⚠","",MID(INDEX(인턴근무계획!$M$3:$R$402,$A16,$I$3)&amp;"",FIND(" ",INDEX(인턴근무계획!$M$3:$R$402,$A16,$I$3)&amp;"")+1,60))))</f>
        <v/>
      </c>
      <c r="K16" s="23">
        <f>IF($C16="","",INDEX(인턴근무계획!$M$3:$M$402,$A16)&amp;"")</f>
        <v/>
      </c>
      <c r="L16" s="23">
        <f>IF($C16="","",INDEX(인턴근무계획!$N$3:$N$402,$A16)&amp;"")</f>
        <v/>
      </c>
      <c r="M16" s="23">
        <f>IF($C16="","",INDEX(인턴근무계획!$O$3:$O$402,$A16)&amp;"")</f>
        <v/>
      </c>
      <c r="N16" s="23">
        <f>IF($C16="","",INDEX(인턴근무계획!$P$3:$P$402,$A16)&amp;"")</f>
        <v/>
      </c>
      <c r="O16" s="23">
        <f>IF($C16="","",INDEX(인턴근무계획!$Q$3:$Q$402,$A16)&amp;"")</f>
        <v/>
      </c>
      <c r="P16" s="23">
        <f>IF($C16="","",INDEX(인턴근무계획!$R$3:$R$402,$A16)&amp;"")</f>
        <v/>
      </c>
      <c r="Q16" s="23">
        <f>IF($C16="","",INDEX(인턴근무계획!$T$3:$T$402,$A16))</f>
        <v/>
      </c>
      <c r="S16" s="23">
        <f>IF(코드표!A12="","",코드표!A12)</f>
        <v/>
      </c>
      <c r="T16" s="23">
        <f>IF($S16="","",COUNTIF(K$6:K$405,$S16&amp;" *"))</f>
        <v/>
      </c>
      <c r="U16" s="23">
        <f>IF($S16="","",COUNTIF(L$6:L$405,$S16&amp;" *"))</f>
        <v/>
      </c>
      <c r="V16" s="23">
        <f>IF($S16="","",COUNTIF(M$6:M$405,$S16&amp;" *"))</f>
        <v/>
      </c>
      <c r="W16" s="23">
        <f>IF($S16="","",COUNTIF(N$6:N$405,$S16&amp;" *"))</f>
        <v/>
      </c>
      <c r="X16" s="23">
        <f>IF($S16="","",COUNTIF(O$6:O$405,$S16&amp;" *"))</f>
        <v/>
      </c>
      <c r="Y16" s="23">
        <f>IF($S16="","",COUNTIF(P$6:P$405,$S16&amp;" *"))</f>
        <v/>
      </c>
    </row>
    <row r="17">
      <c r="A17" s="26" t="n">
        <v>12</v>
      </c>
      <c r="B17" s="23">
        <f>IF($C17="","",INDEX(인턴근무계획!$B$3:$B$402,$A17))</f>
        <v/>
      </c>
      <c r="C17" s="23">
        <f>IFERROR(TRIM(INDEX(인턴근무계획!$C$3:$C$402,$A17)&amp;""),"")</f>
        <v/>
      </c>
      <c r="D17" s="23">
        <f>IF($C17="","",INDEX(인턴근무계획!$D$3:$D$402,$A17))</f>
        <v/>
      </c>
      <c r="E17" s="23">
        <f>IF($C17="","",IF(IFERROR(MATCH($D17,기본자료!$B$2:$B$1001,0),IFERROR(MATCH($D17&amp;"",기본자료!$B$2:$B$1001,0),IFERROR(MATCH(VALUE($D17),기본자료!$B$2:$B$1001,0),0)))&gt;0,"확인","미등록"))</f>
        <v/>
      </c>
      <c r="F17" s="27">
        <f>IF($C17="","",INDEX(인턴근무계획!$S$3:$S$402,$A17))</f>
        <v/>
      </c>
      <c r="G17" s="23">
        <f>IF(OR($C17="",$G$3=""),"",IF(INDEX(인턴근무계획!$M$3:$R$402,$A17,$G$3)&amp;""="","",IF(LEFT(INDEX(인턴근무계획!$M$3:$R$402,$A17,$G$3)&amp;"",1)="⚠",INDEX(인턴근무계획!$M$3:$R$402,$A17,$G$3)&amp;"",LEFT(INDEX(인턴근무계획!$M$3:$R$402,$A17,$G$3)&amp;"",FIND(" ",INDEX(인턴근무계획!$M$3:$R$402,$A17,$G$3)&amp;"")-1))))</f>
        <v/>
      </c>
      <c r="H17" s="23">
        <f>IF(OR($C17="",$G$3=""),"",IF(INDEX(인턴근무계획!$M$3:$R$402,$A17,$G$3)&amp;""="","",IF(LEFT(INDEX(인턴근무계획!$M$3:$R$402,$A17,$G$3)&amp;"",1)="⚠","",MID(INDEX(인턴근무계획!$M$3:$R$402,$A17,$G$3)&amp;"",FIND(" ",INDEX(인턴근무계획!$M$3:$R$402,$A17,$G$3)&amp;"")+1,60))))</f>
        <v/>
      </c>
      <c r="I17" s="23">
        <f>IF(OR($C17="",$I$3=""),"",IF(INDEX(인턴근무계획!$M$3:$R$402,$A17,$I$3)&amp;""="","",IF(LEFT(INDEX(인턴근무계획!$M$3:$R$402,$A17,$I$3)&amp;"",1)="⚠",INDEX(인턴근무계획!$M$3:$R$402,$A17,$I$3)&amp;"",LEFT(INDEX(인턴근무계획!$M$3:$R$402,$A17,$I$3)&amp;"",FIND(" ",INDEX(인턴근무계획!$M$3:$R$402,$A17,$I$3)&amp;"")-1))))</f>
        <v/>
      </c>
      <c r="J17" s="23">
        <f>IF(OR($C17="",$I$3=""),"",IF(INDEX(인턴근무계획!$M$3:$R$402,$A17,$I$3)&amp;""="","",IF(LEFT(INDEX(인턴근무계획!$M$3:$R$402,$A17,$I$3)&amp;"",1)="⚠","",MID(INDEX(인턴근무계획!$M$3:$R$402,$A17,$I$3)&amp;"",FIND(" ",INDEX(인턴근무계획!$M$3:$R$402,$A17,$I$3)&amp;"")+1,60))))</f>
        <v/>
      </c>
      <c r="K17" s="23">
        <f>IF($C17="","",INDEX(인턴근무계획!$M$3:$M$402,$A17)&amp;"")</f>
        <v/>
      </c>
      <c r="L17" s="23">
        <f>IF($C17="","",INDEX(인턴근무계획!$N$3:$N$402,$A17)&amp;"")</f>
        <v/>
      </c>
      <c r="M17" s="23">
        <f>IF($C17="","",INDEX(인턴근무계획!$O$3:$O$402,$A17)&amp;"")</f>
        <v/>
      </c>
      <c r="N17" s="23">
        <f>IF($C17="","",INDEX(인턴근무계획!$P$3:$P$402,$A17)&amp;"")</f>
        <v/>
      </c>
      <c r="O17" s="23">
        <f>IF($C17="","",INDEX(인턴근무계획!$Q$3:$Q$402,$A17)&amp;"")</f>
        <v/>
      </c>
      <c r="P17" s="23">
        <f>IF($C17="","",INDEX(인턴근무계획!$R$3:$R$402,$A17)&amp;"")</f>
        <v/>
      </c>
      <c r="Q17" s="23">
        <f>IF($C17="","",INDEX(인턴근무계획!$T$3:$T$402,$A17))</f>
        <v/>
      </c>
      <c r="S17" s="23">
        <f>IF(코드표!A13="","",코드표!A13)</f>
        <v/>
      </c>
      <c r="T17" s="23">
        <f>IF($S17="","",COUNTIF(K$6:K$405,$S17&amp;" *"))</f>
        <v/>
      </c>
      <c r="U17" s="23">
        <f>IF($S17="","",COUNTIF(L$6:L$405,$S17&amp;" *"))</f>
        <v/>
      </c>
      <c r="V17" s="23">
        <f>IF($S17="","",COUNTIF(M$6:M$405,$S17&amp;" *"))</f>
        <v/>
      </c>
      <c r="W17" s="23">
        <f>IF($S17="","",COUNTIF(N$6:N$405,$S17&amp;" *"))</f>
        <v/>
      </c>
      <c r="X17" s="23">
        <f>IF($S17="","",COUNTIF(O$6:O$405,$S17&amp;" *"))</f>
        <v/>
      </c>
      <c r="Y17" s="23">
        <f>IF($S17="","",COUNTIF(P$6:P$405,$S17&amp;" *"))</f>
        <v/>
      </c>
    </row>
    <row r="18">
      <c r="A18" s="26" t="n">
        <v>13</v>
      </c>
      <c r="B18" s="23">
        <f>IF($C18="","",INDEX(인턴근무계획!$B$3:$B$402,$A18))</f>
        <v/>
      </c>
      <c r="C18" s="23">
        <f>IFERROR(TRIM(INDEX(인턴근무계획!$C$3:$C$402,$A18)&amp;""),"")</f>
        <v/>
      </c>
      <c r="D18" s="23">
        <f>IF($C18="","",INDEX(인턴근무계획!$D$3:$D$402,$A18))</f>
        <v/>
      </c>
      <c r="E18" s="23">
        <f>IF($C18="","",IF(IFERROR(MATCH($D18,기본자료!$B$2:$B$1001,0),IFERROR(MATCH($D18&amp;"",기본자료!$B$2:$B$1001,0),IFERROR(MATCH(VALUE($D18),기본자료!$B$2:$B$1001,0),0)))&gt;0,"확인","미등록"))</f>
        <v/>
      </c>
      <c r="F18" s="27">
        <f>IF($C18="","",INDEX(인턴근무계획!$S$3:$S$402,$A18))</f>
        <v/>
      </c>
      <c r="G18" s="23">
        <f>IF(OR($C18="",$G$3=""),"",IF(INDEX(인턴근무계획!$M$3:$R$402,$A18,$G$3)&amp;""="","",IF(LEFT(INDEX(인턴근무계획!$M$3:$R$402,$A18,$G$3)&amp;"",1)="⚠",INDEX(인턴근무계획!$M$3:$R$402,$A18,$G$3)&amp;"",LEFT(INDEX(인턴근무계획!$M$3:$R$402,$A18,$G$3)&amp;"",FIND(" ",INDEX(인턴근무계획!$M$3:$R$402,$A18,$G$3)&amp;"")-1))))</f>
        <v/>
      </c>
      <c r="H18" s="23">
        <f>IF(OR($C18="",$G$3=""),"",IF(INDEX(인턴근무계획!$M$3:$R$402,$A18,$G$3)&amp;""="","",IF(LEFT(INDEX(인턴근무계획!$M$3:$R$402,$A18,$G$3)&amp;"",1)="⚠","",MID(INDEX(인턴근무계획!$M$3:$R$402,$A18,$G$3)&amp;"",FIND(" ",INDEX(인턴근무계획!$M$3:$R$402,$A18,$G$3)&amp;"")+1,60))))</f>
        <v/>
      </c>
      <c r="I18" s="23">
        <f>IF(OR($C18="",$I$3=""),"",IF(INDEX(인턴근무계획!$M$3:$R$402,$A18,$I$3)&amp;""="","",IF(LEFT(INDEX(인턴근무계획!$M$3:$R$402,$A18,$I$3)&amp;"",1)="⚠",INDEX(인턴근무계획!$M$3:$R$402,$A18,$I$3)&amp;"",LEFT(INDEX(인턴근무계획!$M$3:$R$402,$A18,$I$3)&amp;"",FIND(" ",INDEX(인턴근무계획!$M$3:$R$402,$A18,$I$3)&amp;"")-1))))</f>
        <v/>
      </c>
      <c r="J18" s="23">
        <f>IF(OR($C18="",$I$3=""),"",IF(INDEX(인턴근무계획!$M$3:$R$402,$A18,$I$3)&amp;""="","",IF(LEFT(INDEX(인턴근무계획!$M$3:$R$402,$A18,$I$3)&amp;"",1)="⚠","",MID(INDEX(인턴근무계획!$M$3:$R$402,$A18,$I$3)&amp;"",FIND(" ",INDEX(인턴근무계획!$M$3:$R$402,$A18,$I$3)&amp;"")+1,60))))</f>
        <v/>
      </c>
      <c r="K18" s="23">
        <f>IF($C18="","",INDEX(인턴근무계획!$M$3:$M$402,$A18)&amp;"")</f>
        <v/>
      </c>
      <c r="L18" s="23">
        <f>IF($C18="","",INDEX(인턴근무계획!$N$3:$N$402,$A18)&amp;"")</f>
        <v/>
      </c>
      <c r="M18" s="23">
        <f>IF($C18="","",INDEX(인턴근무계획!$O$3:$O$402,$A18)&amp;"")</f>
        <v/>
      </c>
      <c r="N18" s="23">
        <f>IF($C18="","",INDEX(인턴근무계획!$P$3:$P$402,$A18)&amp;"")</f>
        <v/>
      </c>
      <c r="O18" s="23">
        <f>IF($C18="","",INDEX(인턴근무계획!$Q$3:$Q$402,$A18)&amp;"")</f>
        <v/>
      </c>
      <c r="P18" s="23">
        <f>IF($C18="","",INDEX(인턴근무계획!$R$3:$R$402,$A18)&amp;"")</f>
        <v/>
      </c>
      <c r="Q18" s="23">
        <f>IF($C18="","",INDEX(인턴근무계획!$T$3:$T$402,$A18))</f>
        <v/>
      </c>
      <c r="S18" s="23">
        <f>IF(코드표!A14="","",코드표!A14)</f>
        <v/>
      </c>
      <c r="T18" s="23">
        <f>IF($S18="","",COUNTIF(K$6:K$405,$S18&amp;" *"))</f>
        <v/>
      </c>
      <c r="U18" s="23">
        <f>IF($S18="","",COUNTIF(L$6:L$405,$S18&amp;" *"))</f>
        <v/>
      </c>
      <c r="V18" s="23">
        <f>IF($S18="","",COUNTIF(M$6:M$405,$S18&amp;" *"))</f>
        <v/>
      </c>
      <c r="W18" s="23">
        <f>IF($S18="","",COUNTIF(N$6:N$405,$S18&amp;" *"))</f>
        <v/>
      </c>
      <c r="X18" s="23">
        <f>IF($S18="","",COUNTIF(O$6:O$405,$S18&amp;" *"))</f>
        <v/>
      </c>
      <c r="Y18" s="23">
        <f>IF($S18="","",COUNTIF(P$6:P$405,$S18&amp;" *"))</f>
        <v/>
      </c>
    </row>
    <row r="19">
      <c r="A19" s="26" t="n">
        <v>14</v>
      </c>
      <c r="B19" s="23">
        <f>IF($C19="","",INDEX(인턴근무계획!$B$3:$B$402,$A19))</f>
        <v/>
      </c>
      <c r="C19" s="23">
        <f>IFERROR(TRIM(INDEX(인턴근무계획!$C$3:$C$402,$A19)&amp;""),"")</f>
        <v/>
      </c>
      <c r="D19" s="23">
        <f>IF($C19="","",INDEX(인턴근무계획!$D$3:$D$402,$A19))</f>
        <v/>
      </c>
      <c r="E19" s="23">
        <f>IF($C19="","",IF(IFERROR(MATCH($D19,기본자료!$B$2:$B$1001,0),IFERROR(MATCH($D19&amp;"",기본자료!$B$2:$B$1001,0),IFERROR(MATCH(VALUE($D19),기본자료!$B$2:$B$1001,0),0)))&gt;0,"확인","미등록"))</f>
        <v/>
      </c>
      <c r="F19" s="27">
        <f>IF($C19="","",INDEX(인턴근무계획!$S$3:$S$402,$A19))</f>
        <v/>
      </c>
      <c r="G19" s="23">
        <f>IF(OR($C19="",$G$3=""),"",IF(INDEX(인턴근무계획!$M$3:$R$402,$A19,$G$3)&amp;""="","",IF(LEFT(INDEX(인턴근무계획!$M$3:$R$402,$A19,$G$3)&amp;"",1)="⚠",INDEX(인턴근무계획!$M$3:$R$402,$A19,$G$3)&amp;"",LEFT(INDEX(인턴근무계획!$M$3:$R$402,$A19,$G$3)&amp;"",FIND(" ",INDEX(인턴근무계획!$M$3:$R$402,$A19,$G$3)&amp;"")-1))))</f>
        <v/>
      </c>
      <c r="H19" s="23">
        <f>IF(OR($C19="",$G$3=""),"",IF(INDEX(인턴근무계획!$M$3:$R$402,$A19,$G$3)&amp;""="","",IF(LEFT(INDEX(인턴근무계획!$M$3:$R$402,$A19,$G$3)&amp;"",1)="⚠","",MID(INDEX(인턴근무계획!$M$3:$R$402,$A19,$G$3)&amp;"",FIND(" ",INDEX(인턴근무계획!$M$3:$R$402,$A19,$G$3)&amp;"")+1,60))))</f>
        <v/>
      </c>
      <c r="I19" s="23">
        <f>IF(OR($C19="",$I$3=""),"",IF(INDEX(인턴근무계획!$M$3:$R$402,$A19,$I$3)&amp;""="","",IF(LEFT(INDEX(인턴근무계획!$M$3:$R$402,$A19,$I$3)&amp;"",1)="⚠",INDEX(인턴근무계획!$M$3:$R$402,$A19,$I$3)&amp;"",LEFT(INDEX(인턴근무계획!$M$3:$R$402,$A19,$I$3)&amp;"",FIND(" ",INDEX(인턴근무계획!$M$3:$R$402,$A19,$I$3)&amp;"")-1))))</f>
        <v/>
      </c>
      <c r="J19" s="23">
        <f>IF(OR($C19="",$I$3=""),"",IF(INDEX(인턴근무계획!$M$3:$R$402,$A19,$I$3)&amp;""="","",IF(LEFT(INDEX(인턴근무계획!$M$3:$R$402,$A19,$I$3)&amp;"",1)="⚠","",MID(INDEX(인턴근무계획!$M$3:$R$402,$A19,$I$3)&amp;"",FIND(" ",INDEX(인턴근무계획!$M$3:$R$402,$A19,$I$3)&amp;"")+1,60))))</f>
        <v/>
      </c>
      <c r="K19" s="23">
        <f>IF($C19="","",INDEX(인턴근무계획!$M$3:$M$402,$A19)&amp;"")</f>
        <v/>
      </c>
      <c r="L19" s="23">
        <f>IF($C19="","",INDEX(인턴근무계획!$N$3:$N$402,$A19)&amp;"")</f>
        <v/>
      </c>
      <c r="M19" s="23">
        <f>IF($C19="","",INDEX(인턴근무계획!$O$3:$O$402,$A19)&amp;"")</f>
        <v/>
      </c>
      <c r="N19" s="23">
        <f>IF($C19="","",INDEX(인턴근무계획!$P$3:$P$402,$A19)&amp;"")</f>
        <v/>
      </c>
      <c r="O19" s="23">
        <f>IF($C19="","",INDEX(인턴근무계획!$Q$3:$Q$402,$A19)&amp;"")</f>
        <v/>
      </c>
      <c r="P19" s="23">
        <f>IF($C19="","",INDEX(인턴근무계획!$R$3:$R$402,$A19)&amp;"")</f>
        <v/>
      </c>
      <c r="Q19" s="23">
        <f>IF($C19="","",INDEX(인턴근무계획!$T$3:$T$402,$A19))</f>
        <v/>
      </c>
      <c r="S19" s="23">
        <f>IF(코드표!A15="","",코드표!A15)</f>
        <v/>
      </c>
      <c r="T19" s="23">
        <f>IF($S19="","",COUNTIF(K$6:K$405,$S19&amp;" *"))</f>
        <v/>
      </c>
      <c r="U19" s="23">
        <f>IF($S19="","",COUNTIF(L$6:L$405,$S19&amp;" *"))</f>
        <v/>
      </c>
      <c r="V19" s="23">
        <f>IF($S19="","",COUNTIF(M$6:M$405,$S19&amp;" *"))</f>
        <v/>
      </c>
      <c r="W19" s="23">
        <f>IF($S19="","",COUNTIF(N$6:N$405,$S19&amp;" *"))</f>
        <v/>
      </c>
      <c r="X19" s="23">
        <f>IF($S19="","",COUNTIF(O$6:O$405,$S19&amp;" *"))</f>
        <v/>
      </c>
      <c r="Y19" s="23">
        <f>IF($S19="","",COUNTIF(P$6:P$405,$S19&amp;" *"))</f>
        <v/>
      </c>
    </row>
    <row r="20">
      <c r="A20" s="26" t="n">
        <v>15</v>
      </c>
      <c r="B20" s="23">
        <f>IF($C20="","",INDEX(인턴근무계획!$B$3:$B$402,$A20))</f>
        <v/>
      </c>
      <c r="C20" s="23">
        <f>IFERROR(TRIM(INDEX(인턴근무계획!$C$3:$C$402,$A20)&amp;""),"")</f>
        <v/>
      </c>
      <c r="D20" s="23">
        <f>IF($C20="","",INDEX(인턴근무계획!$D$3:$D$402,$A20))</f>
        <v/>
      </c>
      <c r="E20" s="23">
        <f>IF($C20="","",IF(IFERROR(MATCH($D20,기본자료!$B$2:$B$1001,0),IFERROR(MATCH($D20&amp;"",기본자료!$B$2:$B$1001,0),IFERROR(MATCH(VALUE($D20),기본자료!$B$2:$B$1001,0),0)))&gt;0,"확인","미등록"))</f>
        <v/>
      </c>
      <c r="F20" s="27">
        <f>IF($C20="","",INDEX(인턴근무계획!$S$3:$S$402,$A20))</f>
        <v/>
      </c>
      <c r="G20" s="23">
        <f>IF(OR($C20="",$G$3=""),"",IF(INDEX(인턴근무계획!$M$3:$R$402,$A20,$G$3)&amp;""="","",IF(LEFT(INDEX(인턴근무계획!$M$3:$R$402,$A20,$G$3)&amp;"",1)="⚠",INDEX(인턴근무계획!$M$3:$R$402,$A20,$G$3)&amp;"",LEFT(INDEX(인턴근무계획!$M$3:$R$402,$A20,$G$3)&amp;"",FIND(" ",INDEX(인턴근무계획!$M$3:$R$402,$A20,$G$3)&amp;"")-1))))</f>
        <v/>
      </c>
      <c r="H20" s="23">
        <f>IF(OR($C20="",$G$3=""),"",IF(INDEX(인턴근무계획!$M$3:$R$402,$A20,$G$3)&amp;""="","",IF(LEFT(INDEX(인턴근무계획!$M$3:$R$402,$A20,$G$3)&amp;"",1)="⚠","",MID(INDEX(인턴근무계획!$M$3:$R$402,$A20,$G$3)&amp;"",FIND(" ",INDEX(인턴근무계획!$M$3:$R$402,$A20,$G$3)&amp;"")+1,60))))</f>
        <v/>
      </c>
      <c r="I20" s="23">
        <f>IF(OR($C20="",$I$3=""),"",IF(INDEX(인턴근무계획!$M$3:$R$402,$A20,$I$3)&amp;""="","",IF(LEFT(INDEX(인턴근무계획!$M$3:$R$402,$A20,$I$3)&amp;"",1)="⚠",INDEX(인턴근무계획!$M$3:$R$402,$A20,$I$3)&amp;"",LEFT(INDEX(인턴근무계획!$M$3:$R$402,$A20,$I$3)&amp;"",FIND(" ",INDEX(인턴근무계획!$M$3:$R$402,$A20,$I$3)&amp;"")-1))))</f>
        <v/>
      </c>
      <c r="J20" s="23">
        <f>IF(OR($C20="",$I$3=""),"",IF(INDEX(인턴근무계획!$M$3:$R$402,$A20,$I$3)&amp;""="","",IF(LEFT(INDEX(인턴근무계획!$M$3:$R$402,$A20,$I$3)&amp;"",1)="⚠","",MID(INDEX(인턴근무계획!$M$3:$R$402,$A20,$I$3)&amp;"",FIND(" ",INDEX(인턴근무계획!$M$3:$R$402,$A20,$I$3)&amp;"")+1,60))))</f>
        <v/>
      </c>
      <c r="K20" s="23">
        <f>IF($C20="","",INDEX(인턴근무계획!$M$3:$M$402,$A20)&amp;"")</f>
        <v/>
      </c>
      <c r="L20" s="23">
        <f>IF($C20="","",INDEX(인턴근무계획!$N$3:$N$402,$A20)&amp;"")</f>
        <v/>
      </c>
      <c r="M20" s="23">
        <f>IF($C20="","",INDEX(인턴근무계획!$O$3:$O$402,$A20)&amp;"")</f>
        <v/>
      </c>
      <c r="N20" s="23">
        <f>IF($C20="","",INDEX(인턴근무계획!$P$3:$P$402,$A20)&amp;"")</f>
        <v/>
      </c>
      <c r="O20" s="23">
        <f>IF($C20="","",INDEX(인턴근무계획!$Q$3:$Q$402,$A20)&amp;"")</f>
        <v/>
      </c>
      <c r="P20" s="23">
        <f>IF($C20="","",INDEX(인턴근무계획!$R$3:$R$402,$A20)&amp;"")</f>
        <v/>
      </c>
      <c r="Q20" s="23">
        <f>IF($C20="","",INDEX(인턴근무계획!$T$3:$T$402,$A20))</f>
        <v/>
      </c>
      <c r="S20" s="23">
        <f>IF(코드표!A16="","",코드표!A16)</f>
        <v/>
      </c>
      <c r="T20" s="23">
        <f>IF($S20="","",COUNTIF(K$6:K$405,$S20&amp;" *"))</f>
        <v/>
      </c>
      <c r="U20" s="23">
        <f>IF($S20="","",COUNTIF(L$6:L$405,$S20&amp;" *"))</f>
        <v/>
      </c>
      <c r="V20" s="23">
        <f>IF($S20="","",COUNTIF(M$6:M$405,$S20&amp;" *"))</f>
        <v/>
      </c>
      <c r="W20" s="23">
        <f>IF($S20="","",COUNTIF(N$6:N$405,$S20&amp;" *"))</f>
        <v/>
      </c>
      <c r="X20" s="23">
        <f>IF($S20="","",COUNTIF(O$6:O$405,$S20&amp;" *"))</f>
        <v/>
      </c>
      <c r="Y20" s="23">
        <f>IF($S20="","",COUNTIF(P$6:P$405,$S20&amp;" *"))</f>
        <v/>
      </c>
    </row>
    <row r="21">
      <c r="A21" s="26" t="n">
        <v>16</v>
      </c>
      <c r="B21" s="23">
        <f>IF($C21="","",INDEX(인턴근무계획!$B$3:$B$402,$A21))</f>
        <v/>
      </c>
      <c r="C21" s="23">
        <f>IFERROR(TRIM(INDEX(인턴근무계획!$C$3:$C$402,$A21)&amp;""),"")</f>
        <v/>
      </c>
      <c r="D21" s="23">
        <f>IF($C21="","",INDEX(인턴근무계획!$D$3:$D$402,$A21))</f>
        <v/>
      </c>
      <c r="E21" s="23">
        <f>IF($C21="","",IF(IFERROR(MATCH($D21,기본자료!$B$2:$B$1001,0),IFERROR(MATCH($D21&amp;"",기본자료!$B$2:$B$1001,0),IFERROR(MATCH(VALUE($D21),기본자료!$B$2:$B$1001,0),0)))&gt;0,"확인","미등록"))</f>
        <v/>
      </c>
      <c r="F21" s="27">
        <f>IF($C21="","",INDEX(인턴근무계획!$S$3:$S$402,$A21))</f>
        <v/>
      </c>
      <c r="G21" s="23">
        <f>IF(OR($C21="",$G$3=""),"",IF(INDEX(인턴근무계획!$M$3:$R$402,$A21,$G$3)&amp;""="","",IF(LEFT(INDEX(인턴근무계획!$M$3:$R$402,$A21,$G$3)&amp;"",1)="⚠",INDEX(인턴근무계획!$M$3:$R$402,$A21,$G$3)&amp;"",LEFT(INDEX(인턴근무계획!$M$3:$R$402,$A21,$G$3)&amp;"",FIND(" ",INDEX(인턴근무계획!$M$3:$R$402,$A21,$G$3)&amp;"")-1))))</f>
        <v/>
      </c>
      <c r="H21" s="23">
        <f>IF(OR($C21="",$G$3=""),"",IF(INDEX(인턴근무계획!$M$3:$R$402,$A21,$G$3)&amp;""="","",IF(LEFT(INDEX(인턴근무계획!$M$3:$R$402,$A21,$G$3)&amp;"",1)="⚠","",MID(INDEX(인턴근무계획!$M$3:$R$402,$A21,$G$3)&amp;"",FIND(" ",INDEX(인턴근무계획!$M$3:$R$402,$A21,$G$3)&amp;"")+1,60))))</f>
        <v/>
      </c>
      <c r="I21" s="23">
        <f>IF(OR($C21="",$I$3=""),"",IF(INDEX(인턴근무계획!$M$3:$R$402,$A21,$I$3)&amp;""="","",IF(LEFT(INDEX(인턴근무계획!$M$3:$R$402,$A21,$I$3)&amp;"",1)="⚠",INDEX(인턴근무계획!$M$3:$R$402,$A21,$I$3)&amp;"",LEFT(INDEX(인턴근무계획!$M$3:$R$402,$A21,$I$3)&amp;"",FIND(" ",INDEX(인턴근무계획!$M$3:$R$402,$A21,$I$3)&amp;"")-1))))</f>
        <v/>
      </c>
      <c r="J21" s="23">
        <f>IF(OR($C21="",$I$3=""),"",IF(INDEX(인턴근무계획!$M$3:$R$402,$A21,$I$3)&amp;""="","",IF(LEFT(INDEX(인턴근무계획!$M$3:$R$402,$A21,$I$3)&amp;"",1)="⚠","",MID(INDEX(인턴근무계획!$M$3:$R$402,$A21,$I$3)&amp;"",FIND(" ",INDEX(인턴근무계획!$M$3:$R$402,$A21,$I$3)&amp;"")+1,60))))</f>
        <v/>
      </c>
      <c r="K21" s="23">
        <f>IF($C21="","",INDEX(인턴근무계획!$M$3:$M$402,$A21)&amp;"")</f>
        <v/>
      </c>
      <c r="L21" s="23">
        <f>IF($C21="","",INDEX(인턴근무계획!$N$3:$N$402,$A21)&amp;"")</f>
        <v/>
      </c>
      <c r="M21" s="23">
        <f>IF($C21="","",INDEX(인턴근무계획!$O$3:$O$402,$A21)&amp;"")</f>
        <v/>
      </c>
      <c r="N21" s="23">
        <f>IF($C21="","",INDEX(인턴근무계획!$P$3:$P$402,$A21)&amp;"")</f>
        <v/>
      </c>
      <c r="O21" s="23">
        <f>IF($C21="","",INDEX(인턴근무계획!$Q$3:$Q$402,$A21)&amp;"")</f>
        <v/>
      </c>
      <c r="P21" s="23">
        <f>IF($C21="","",INDEX(인턴근무계획!$R$3:$R$402,$A21)&amp;"")</f>
        <v/>
      </c>
      <c r="Q21" s="23">
        <f>IF($C21="","",INDEX(인턴근무계획!$T$3:$T$402,$A21))</f>
        <v/>
      </c>
      <c r="S21" s="23">
        <f>IF(코드표!A17="","",코드표!A17)</f>
        <v/>
      </c>
      <c r="T21" s="23">
        <f>IF($S21="","",COUNTIF(K$6:K$405,$S21&amp;" *"))</f>
        <v/>
      </c>
      <c r="U21" s="23">
        <f>IF($S21="","",COUNTIF(L$6:L$405,$S21&amp;" *"))</f>
        <v/>
      </c>
      <c r="V21" s="23">
        <f>IF($S21="","",COUNTIF(M$6:M$405,$S21&amp;" *"))</f>
        <v/>
      </c>
      <c r="W21" s="23">
        <f>IF($S21="","",COUNTIF(N$6:N$405,$S21&amp;" *"))</f>
        <v/>
      </c>
      <c r="X21" s="23">
        <f>IF($S21="","",COUNTIF(O$6:O$405,$S21&amp;" *"))</f>
        <v/>
      </c>
      <c r="Y21" s="23">
        <f>IF($S21="","",COUNTIF(P$6:P$405,$S21&amp;" *"))</f>
        <v/>
      </c>
    </row>
    <row r="22">
      <c r="A22" s="26" t="n">
        <v>17</v>
      </c>
      <c r="B22" s="23">
        <f>IF($C22="","",INDEX(인턴근무계획!$B$3:$B$402,$A22))</f>
        <v/>
      </c>
      <c r="C22" s="23">
        <f>IFERROR(TRIM(INDEX(인턴근무계획!$C$3:$C$402,$A22)&amp;""),"")</f>
        <v/>
      </c>
      <c r="D22" s="23">
        <f>IF($C22="","",INDEX(인턴근무계획!$D$3:$D$402,$A22))</f>
        <v/>
      </c>
      <c r="E22" s="23">
        <f>IF($C22="","",IF(IFERROR(MATCH($D22,기본자료!$B$2:$B$1001,0),IFERROR(MATCH($D22&amp;"",기본자료!$B$2:$B$1001,0),IFERROR(MATCH(VALUE($D22),기본자료!$B$2:$B$1001,0),0)))&gt;0,"확인","미등록"))</f>
        <v/>
      </c>
      <c r="F22" s="27">
        <f>IF($C22="","",INDEX(인턴근무계획!$S$3:$S$402,$A22))</f>
        <v/>
      </c>
      <c r="G22" s="23">
        <f>IF(OR($C22="",$G$3=""),"",IF(INDEX(인턴근무계획!$M$3:$R$402,$A22,$G$3)&amp;""="","",IF(LEFT(INDEX(인턴근무계획!$M$3:$R$402,$A22,$G$3)&amp;"",1)="⚠",INDEX(인턴근무계획!$M$3:$R$402,$A22,$G$3)&amp;"",LEFT(INDEX(인턴근무계획!$M$3:$R$402,$A22,$G$3)&amp;"",FIND(" ",INDEX(인턴근무계획!$M$3:$R$402,$A22,$G$3)&amp;"")-1))))</f>
        <v/>
      </c>
      <c r="H22" s="23">
        <f>IF(OR($C22="",$G$3=""),"",IF(INDEX(인턴근무계획!$M$3:$R$402,$A22,$G$3)&amp;""="","",IF(LEFT(INDEX(인턴근무계획!$M$3:$R$402,$A22,$G$3)&amp;"",1)="⚠","",MID(INDEX(인턴근무계획!$M$3:$R$402,$A22,$G$3)&amp;"",FIND(" ",INDEX(인턴근무계획!$M$3:$R$402,$A22,$G$3)&amp;"")+1,60))))</f>
        <v/>
      </c>
      <c r="I22" s="23">
        <f>IF(OR($C22="",$I$3=""),"",IF(INDEX(인턴근무계획!$M$3:$R$402,$A22,$I$3)&amp;""="","",IF(LEFT(INDEX(인턴근무계획!$M$3:$R$402,$A22,$I$3)&amp;"",1)="⚠",INDEX(인턴근무계획!$M$3:$R$402,$A22,$I$3)&amp;"",LEFT(INDEX(인턴근무계획!$M$3:$R$402,$A22,$I$3)&amp;"",FIND(" ",INDEX(인턴근무계획!$M$3:$R$402,$A22,$I$3)&amp;"")-1))))</f>
        <v/>
      </c>
      <c r="J22" s="23">
        <f>IF(OR($C22="",$I$3=""),"",IF(INDEX(인턴근무계획!$M$3:$R$402,$A22,$I$3)&amp;""="","",IF(LEFT(INDEX(인턴근무계획!$M$3:$R$402,$A22,$I$3)&amp;"",1)="⚠","",MID(INDEX(인턴근무계획!$M$3:$R$402,$A22,$I$3)&amp;"",FIND(" ",INDEX(인턴근무계획!$M$3:$R$402,$A22,$I$3)&amp;"")+1,60))))</f>
        <v/>
      </c>
      <c r="K22" s="23">
        <f>IF($C22="","",INDEX(인턴근무계획!$M$3:$M$402,$A22)&amp;"")</f>
        <v/>
      </c>
      <c r="L22" s="23">
        <f>IF($C22="","",INDEX(인턴근무계획!$N$3:$N$402,$A22)&amp;"")</f>
        <v/>
      </c>
      <c r="M22" s="23">
        <f>IF($C22="","",INDEX(인턴근무계획!$O$3:$O$402,$A22)&amp;"")</f>
        <v/>
      </c>
      <c r="N22" s="23">
        <f>IF($C22="","",INDEX(인턴근무계획!$P$3:$P$402,$A22)&amp;"")</f>
        <v/>
      </c>
      <c r="O22" s="23">
        <f>IF($C22="","",INDEX(인턴근무계획!$Q$3:$Q$402,$A22)&amp;"")</f>
        <v/>
      </c>
      <c r="P22" s="23">
        <f>IF($C22="","",INDEX(인턴근무계획!$R$3:$R$402,$A22)&amp;"")</f>
        <v/>
      </c>
      <c r="Q22" s="23">
        <f>IF($C22="","",INDEX(인턴근무계획!$T$3:$T$402,$A22))</f>
        <v/>
      </c>
      <c r="S22" s="23">
        <f>IF(코드표!A18="","",코드표!A18)</f>
        <v/>
      </c>
      <c r="T22" s="23">
        <f>IF($S22="","",COUNTIF(K$6:K$405,$S22&amp;" *"))</f>
        <v/>
      </c>
      <c r="U22" s="23">
        <f>IF($S22="","",COUNTIF(L$6:L$405,$S22&amp;" *"))</f>
        <v/>
      </c>
      <c r="V22" s="23">
        <f>IF($S22="","",COUNTIF(M$6:M$405,$S22&amp;" *"))</f>
        <v/>
      </c>
      <c r="W22" s="23">
        <f>IF($S22="","",COUNTIF(N$6:N$405,$S22&amp;" *"))</f>
        <v/>
      </c>
      <c r="X22" s="23">
        <f>IF($S22="","",COUNTIF(O$6:O$405,$S22&amp;" *"))</f>
        <v/>
      </c>
      <c r="Y22" s="23">
        <f>IF($S22="","",COUNTIF(P$6:P$405,$S22&amp;" *"))</f>
        <v/>
      </c>
    </row>
    <row r="23">
      <c r="A23" s="26" t="n">
        <v>18</v>
      </c>
      <c r="B23" s="23">
        <f>IF($C23="","",INDEX(인턴근무계획!$B$3:$B$402,$A23))</f>
        <v/>
      </c>
      <c r="C23" s="23">
        <f>IFERROR(TRIM(INDEX(인턴근무계획!$C$3:$C$402,$A23)&amp;""),"")</f>
        <v/>
      </c>
      <c r="D23" s="23">
        <f>IF($C23="","",INDEX(인턴근무계획!$D$3:$D$402,$A23))</f>
        <v/>
      </c>
      <c r="E23" s="23">
        <f>IF($C23="","",IF(IFERROR(MATCH($D23,기본자료!$B$2:$B$1001,0),IFERROR(MATCH($D23&amp;"",기본자료!$B$2:$B$1001,0),IFERROR(MATCH(VALUE($D23),기본자료!$B$2:$B$1001,0),0)))&gt;0,"확인","미등록"))</f>
        <v/>
      </c>
      <c r="F23" s="27">
        <f>IF($C23="","",INDEX(인턴근무계획!$S$3:$S$402,$A23))</f>
        <v/>
      </c>
      <c r="G23" s="23">
        <f>IF(OR($C23="",$G$3=""),"",IF(INDEX(인턴근무계획!$M$3:$R$402,$A23,$G$3)&amp;""="","",IF(LEFT(INDEX(인턴근무계획!$M$3:$R$402,$A23,$G$3)&amp;"",1)="⚠",INDEX(인턴근무계획!$M$3:$R$402,$A23,$G$3)&amp;"",LEFT(INDEX(인턴근무계획!$M$3:$R$402,$A23,$G$3)&amp;"",FIND(" ",INDEX(인턴근무계획!$M$3:$R$402,$A23,$G$3)&amp;"")-1))))</f>
        <v/>
      </c>
      <c r="H23" s="23">
        <f>IF(OR($C23="",$G$3=""),"",IF(INDEX(인턴근무계획!$M$3:$R$402,$A23,$G$3)&amp;""="","",IF(LEFT(INDEX(인턴근무계획!$M$3:$R$402,$A23,$G$3)&amp;"",1)="⚠","",MID(INDEX(인턴근무계획!$M$3:$R$402,$A23,$G$3)&amp;"",FIND(" ",INDEX(인턴근무계획!$M$3:$R$402,$A23,$G$3)&amp;"")+1,60))))</f>
        <v/>
      </c>
      <c r="I23" s="23">
        <f>IF(OR($C23="",$I$3=""),"",IF(INDEX(인턴근무계획!$M$3:$R$402,$A23,$I$3)&amp;""="","",IF(LEFT(INDEX(인턴근무계획!$M$3:$R$402,$A23,$I$3)&amp;"",1)="⚠",INDEX(인턴근무계획!$M$3:$R$402,$A23,$I$3)&amp;"",LEFT(INDEX(인턴근무계획!$M$3:$R$402,$A23,$I$3)&amp;"",FIND(" ",INDEX(인턴근무계획!$M$3:$R$402,$A23,$I$3)&amp;"")-1))))</f>
        <v/>
      </c>
      <c r="J23" s="23">
        <f>IF(OR($C23="",$I$3=""),"",IF(INDEX(인턴근무계획!$M$3:$R$402,$A23,$I$3)&amp;""="","",IF(LEFT(INDEX(인턴근무계획!$M$3:$R$402,$A23,$I$3)&amp;"",1)="⚠","",MID(INDEX(인턴근무계획!$M$3:$R$402,$A23,$I$3)&amp;"",FIND(" ",INDEX(인턴근무계획!$M$3:$R$402,$A23,$I$3)&amp;"")+1,60))))</f>
        <v/>
      </c>
      <c r="K23" s="23">
        <f>IF($C23="","",INDEX(인턴근무계획!$M$3:$M$402,$A23)&amp;"")</f>
        <v/>
      </c>
      <c r="L23" s="23">
        <f>IF($C23="","",INDEX(인턴근무계획!$N$3:$N$402,$A23)&amp;"")</f>
        <v/>
      </c>
      <c r="M23" s="23">
        <f>IF($C23="","",INDEX(인턴근무계획!$O$3:$O$402,$A23)&amp;"")</f>
        <v/>
      </c>
      <c r="N23" s="23">
        <f>IF($C23="","",INDEX(인턴근무계획!$P$3:$P$402,$A23)&amp;"")</f>
        <v/>
      </c>
      <c r="O23" s="23">
        <f>IF($C23="","",INDEX(인턴근무계획!$Q$3:$Q$402,$A23)&amp;"")</f>
        <v/>
      </c>
      <c r="P23" s="23">
        <f>IF($C23="","",INDEX(인턴근무계획!$R$3:$R$402,$A23)&amp;"")</f>
        <v/>
      </c>
      <c r="Q23" s="23">
        <f>IF($C23="","",INDEX(인턴근무계획!$T$3:$T$402,$A23))</f>
        <v/>
      </c>
      <c r="S23" s="23">
        <f>IF(코드표!A19="","",코드표!A19)</f>
        <v/>
      </c>
      <c r="T23" s="23">
        <f>IF($S23="","",COUNTIF(K$6:K$405,$S23&amp;" *"))</f>
        <v/>
      </c>
      <c r="U23" s="23">
        <f>IF($S23="","",COUNTIF(L$6:L$405,$S23&amp;" *"))</f>
        <v/>
      </c>
      <c r="V23" s="23">
        <f>IF($S23="","",COUNTIF(M$6:M$405,$S23&amp;" *"))</f>
        <v/>
      </c>
      <c r="W23" s="23">
        <f>IF($S23="","",COUNTIF(N$6:N$405,$S23&amp;" *"))</f>
        <v/>
      </c>
      <c r="X23" s="23">
        <f>IF($S23="","",COUNTIF(O$6:O$405,$S23&amp;" *"))</f>
        <v/>
      </c>
      <c r="Y23" s="23">
        <f>IF($S23="","",COUNTIF(P$6:P$405,$S23&amp;" *"))</f>
        <v/>
      </c>
    </row>
    <row r="24">
      <c r="A24" s="26" t="n">
        <v>19</v>
      </c>
      <c r="B24" s="23">
        <f>IF($C24="","",INDEX(인턴근무계획!$B$3:$B$402,$A24))</f>
        <v/>
      </c>
      <c r="C24" s="23">
        <f>IFERROR(TRIM(INDEX(인턴근무계획!$C$3:$C$402,$A24)&amp;""),"")</f>
        <v/>
      </c>
      <c r="D24" s="23">
        <f>IF($C24="","",INDEX(인턴근무계획!$D$3:$D$402,$A24))</f>
        <v/>
      </c>
      <c r="E24" s="23">
        <f>IF($C24="","",IF(IFERROR(MATCH($D24,기본자료!$B$2:$B$1001,0),IFERROR(MATCH($D24&amp;"",기본자료!$B$2:$B$1001,0),IFERROR(MATCH(VALUE($D24),기본자료!$B$2:$B$1001,0),0)))&gt;0,"확인","미등록"))</f>
        <v/>
      </c>
      <c r="F24" s="27">
        <f>IF($C24="","",INDEX(인턴근무계획!$S$3:$S$402,$A24))</f>
        <v/>
      </c>
      <c r="G24" s="23">
        <f>IF(OR($C24="",$G$3=""),"",IF(INDEX(인턴근무계획!$M$3:$R$402,$A24,$G$3)&amp;""="","",IF(LEFT(INDEX(인턴근무계획!$M$3:$R$402,$A24,$G$3)&amp;"",1)="⚠",INDEX(인턴근무계획!$M$3:$R$402,$A24,$G$3)&amp;"",LEFT(INDEX(인턴근무계획!$M$3:$R$402,$A24,$G$3)&amp;"",FIND(" ",INDEX(인턴근무계획!$M$3:$R$402,$A24,$G$3)&amp;"")-1))))</f>
        <v/>
      </c>
      <c r="H24" s="23">
        <f>IF(OR($C24="",$G$3=""),"",IF(INDEX(인턴근무계획!$M$3:$R$402,$A24,$G$3)&amp;""="","",IF(LEFT(INDEX(인턴근무계획!$M$3:$R$402,$A24,$G$3)&amp;"",1)="⚠","",MID(INDEX(인턴근무계획!$M$3:$R$402,$A24,$G$3)&amp;"",FIND(" ",INDEX(인턴근무계획!$M$3:$R$402,$A24,$G$3)&amp;"")+1,60))))</f>
        <v/>
      </c>
      <c r="I24" s="23">
        <f>IF(OR($C24="",$I$3=""),"",IF(INDEX(인턴근무계획!$M$3:$R$402,$A24,$I$3)&amp;""="","",IF(LEFT(INDEX(인턴근무계획!$M$3:$R$402,$A24,$I$3)&amp;"",1)="⚠",INDEX(인턴근무계획!$M$3:$R$402,$A24,$I$3)&amp;"",LEFT(INDEX(인턴근무계획!$M$3:$R$402,$A24,$I$3)&amp;"",FIND(" ",INDEX(인턴근무계획!$M$3:$R$402,$A24,$I$3)&amp;"")-1))))</f>
        <v/>
      </c>
      <c r="J24" s="23">
        <f>IF(OR($C24="",$I$3=""),"",IF(INDEX(인턴근무계획!$M$3:$R$402,$A24,$I$3)&amp;""="","",IF(LEFT(INDEX(인턴근무계획!$M$3:$R$402,$A24,$I$3)&amp;"",1)="⚠","",MID(INDEX(인턴근무계획!$M$3:$R$402,$A24,$I$3)&amp;"",FIND(" ",INDEX(인턴근무계획!$M$3:$R$402,$A24,$I$3)&amp;"")+1,60))))</f>
        <v/>
      </c>
      <c r="K24" s="23">
        <f>IF($C24="","",INDEX(인턴근무계획!$M$3:$M$402,$A24)&amp;"")</f>
        <v/>
      </c>
      <c r="L24" s="23">
        <f>IF($C24="","",INDEX(인턴근무계획!$N$3:$N$402,$A24)&amp;"")</f>
        <v/>
      </c>
      <c r="M24" s="23">
        <f>IF($C24="","",INDEX(인턴근무계획!$O$3:$O$402,$A24)&amp;"")</f>
        <v/>
      </c>
      <c r="N24" s="23">
        <f>IF($C24="","",INDEX(인턴근무계획!$P$3:$P$402,$A24)&amp;"")</f>
        <v/>
      </c>
      <c r="O24" s="23">
        <f>IF($C24="","",INDEX(인턴근무계획!$Q$3:$Q$402,$A24)&amp;"")</f>
        <v/>
      </c>
      <c r="P24" s="23">
        <f>IF($C24="","",INDEX(인턴근무계획!$R$3:$R$402,$A24)&amp;"")</f>
        <v/>
      </c>
      <c r="Q24" s="23">
        <f>IF($C24="","",INDEX(인턴근무계획!$T$3:$T$402,$A24))</f>
        <v/>
      </c>
      <c r="S24" s="23">
        <f>IF(코드표!A20="","",코드표!A20)</f>
        <v/>
      </c>
      <c r="T24" s="23">
        <f>IF($S24="","",COUNTIF(K$6:K$405,$S24&amp;" *"))</f>
        <v/>
      </c>
      <c r="U24" s="23">
        <f>IF($S24="","",COUNTIF(L$6:L$405,$S24&amp;" *"))</f>
        <v/>
      </c>
      <c r="V24" s="23">
        <f>IF($S24="","",COUNTIF(M$6:M$405,$S24&amp;" *"))</f>
        <v/>
      </c>
      <c r="W24" s="23">
        <f>IF($S24="","",COUNTIF(N$6:N$405,$S24&amp;" *"))</f>
        <v/>
      </c>
      <c r="X24" s="23">
        <f>IF($S24="","",COUNTIF(O$6:O$405,$S24&amp;" *"))</f>
        <v/>
      </c>
      <c r="Y24" s="23">
        <f>IF($S24="","",COUNTIF(P$6:P$405,$S24&amp;" *"))</f>
        <v/>
      </c>
    </row>
    <row r="25">
      <c r="A25" s="26" t="n">
        <v>20</v>
      </c>
      <c r="B25" s="23">
        <f>IF($C25="","",INDEX(인턴근무계획!$B$3:$B$402,$A25))</f>
        <v/>
      </c>
      <c r="C25" s="23">
        <f>IFERROR(TRIM(INDEX(인턴근무계획!$C$3:$C$402,$A25)&amp;""),"")</f>
        <v/>
      </c>
      <c r="D25" s="23">
        <f>IF($C25="","",INDEX(인턴근무계획!$D$3:$D$402,$A25))</f>
        <v/>
      </c>
      <c r="E25" s="23">
        <f>IF($C25="","",IF(IFERROR(MATCH($D25,기본자료!$B$2:$B$1001,0),IFERROR(MATCH($D25&amp;"",기본자료!$B$2:$B$1001,0),IFERROR(MATCH(VALUE($D25),기본자료!$B$2:$B$1001,0),0)))&gt;0,"확인","미등록"))</f>
        <v/>
      </c>
      <c r="F25" s="27">
        <f>IF($C25="","",INDEX(인턴근무계획!$S$3:$S$402,$A25))</f>
        <v/>
      </c>
      <c r="G25" s="23">
        <f>IF(OR($C25="",$G$3=""),"",IF(INDEX(인턴근무계획!$M$3:$R$402,$A25,$G$3)&amp;""="","",IF(LEFT(INDEX(인턴근무계획!$M$3:$R$402,$A25,$G$3)&amp;"",1)="⚠",INDEX(인턴근무계획!$M$3:$R$402,$A25,$G$3)&amp;"",LEFT(INDEX(인턴근무계획!$M$3:$R$402,$A25,$G$3)&amp;"",FIND(" ",INDEX(인턴근무계획!$M$3:$R$402,$A25,$G$3)&amp;"")-1))))</f>
        <v/>
      </c>
      <c r="H25" s="23">
        <f>IF(OR($C25="",$G$3=""),"",IF(INDEX(인턴근무계획!$M$3:$R$402,$A25,$G$3)&amp;""="","",IF(LEFT(INDEX(인턴근무계획!$M$3:$R$402,$A25,$G$3)&amp;"",1)="⚠","",MID(INDEX(인턴근무계획!$M$3:$R$402,$A25,$G$3)&amp;"",FIND(" ",INDEX(인턴근무계획!$M$3:$R$402,$A25,$G$3)&amp;"")+1,60))))</f>
        <v/>
      </c>
      <c r="I25" s="23">
        <f>IF(OR($C25="",$I$3=""),"",IF(INDEX(인턴근무계획!$M$3:$R$402,$A25,$I$3)&amp;""="","",IF(LEFT(INDEX(인턴근무계획!$M$3:$R$402,$A25,$I$3)&amp;"",1)="⚠",INDEX(인턴근무계획!$M$3:$R$402,$A25,$I$3)&amp;"",LEFT(INDEX(인턴근무계획!$M$3:$R$402,$A25,$I$3)&amp;"",FIND(" ",INDEX(인턴근무계획!$M$3:$R$402,$A25,$I$3)&amp;"")-1))))</f>
        <v/>
      </c>
      <c r="J25" s="23">
        <f>IF(OR($C25="",$I$3=""),"",IF(INDEX(인턴근무계획!$M$3:$R$402,$A25,$I$3)&amp;""="","",IF(LEFT(INDEX(인턴근무계획!$M$3:$R$402,$A25,$I$3)&amp;"",1)="⚠","",MID(INDEX(인턴근무계획!$M$3:$R$402,$A25,$I$3)&amp;"",FIND(" ",INDEX(인턴근무계획!$M$3:$R$402,$A25,$I$3)&amp;"")+1,60))))</f>
        <v/>
      </c>
      <c r="K25" s="23">
        <f>IF($C25="","",INDEX(인턴근무계획!$M$3:$M$402,$A25)&amp;"")</f>
        <v/>
      </c>
      <c r="L25" s="23">
        <f>IF($C25="","",INDEX(인턴근무계획!$N$3:$N$402,$A25)&amp;"")</f>
        <v/>
      </c>
      <c r="M25" s="23">
        <f>IF($C25="","",INDEX(인턴근무계획!$O$3:$O$402,$A25)&amp;"")</f>
        <v/>
      </c>
      <c r="N25" s="23">
        <f>IF($C25="","",INDEX(인턴근무계획!$P$3:$P$402,$A25)&amp;"")</f>
        <v/>
      </c>
      <c r="O25" s="23">
        <f>IF($C25="","",INDEX(인턴근무계획!$Q$3:$Q$402,$A25)&amp;"")</f>
        <v/>
      </c>
      <c r="P25" s="23">
        <f>IF($C25="","",INDEX(인턴근무계획!$R$3:$R$402,$A25)&amp;"")</f>
        <v/>
      </c>
      <c r="Q25" s="23">
        <f>IF($C25="","",INDEX(인턴근무계획!$T$3:$T$402,$A25))</f>
        <v/>
      </c>
      <c r="S25" s="23">
        <f>IF(코드표!A21="","",코드표!A21)</f>
        <v/>
      </c>
      <c r="T25" s="23">
        <f>IF($S25="","",COUNTIF(K$6:K$405,$S25&amp;" *"))</f>
        <v/>
      </c>
      <c r="U25" s="23">
        <f>IF($S25="","",COUNTIF(L$6:L$405,$S25&amp;" *"))</f>
        <v/>
      </c>
      <c r="V25" s="23">
        <f>IF($S25="","",COUNTIF(M$6:M$405,$S25&amp;" *"))</f>
        <v/>
      </c>
      <c r="W25" s="23">
        <f>IF($S25="","",COUNTIF(N$6:N$405,$S25&amp;" *"))</f>
        <v/>
      </c>
      <c r="X25" s="23">
        <f>IF($S25="","",COUNTIF(O$6:O$405,$S25&amp;" *"))</f>
        <v/>
      </c>
      <c r="Y25" s="23">
        <f>IF($S25="","",COUNTIF(P$6:P$405,$S25&amp;" *"))</f>
        <v/>
      </c>
    </row>
    <row r="26">
      <c r="A26" s="26" t="n">
        <v>21</v>
      </c>
      <c r="B26" s="23">
        <f>IF($C26="","",INDEX(인턴근무계획!$B$3:$B$402,$A26))</f>
        <v/>
      </c>
      <c r="C26" s="23">
        <f>IFERROR(TRIM(INDEX(인턴근무계획!$C$3:$C$402,$A26)&amp;""),"")</f>
        <v/>
      </c>
      <c r="D26" s="23">
        <f>IF($C26="","",INDEX(인턴근무계획!$D$3:$D$402,$A26))</f>
        <v/>
      </c>
      <c r="E26" s="23">
        <f>IF($C26="","",IF(IFERROR(MATCH($D26,기본자료!$B$2:$B$1001,0),IFERROR(MATCH($D26&amp;"",기본자료!$B$2:$B$1001,0),IFERROR(MATCH(VALUE($D26),기본자료!$B$2:$B$1001,0),0)))&gt;0,"확인","미등록"))</f>
        <v/>
      </c>
      <c r="F26" s="27">
        <f>IF($C26="","",INDEX(인턴근무계획!$S$3:$S$402,$A26))</f>
        <v/>
      </c>
      <c r="G26" s="23">
        <f>IF(OR($C26="",$G$3=""),"",IF(INDEX(인턴근무계획!$M$3:$R$402,$A26,$G$3)&amp;""="","",IF(LEFT(INDEX(인턴근무계획!$M$3:$R$402,$A26,$G$3)&amp;"",1)="⚠",INDEX(인턴근무계획!$M$3:$R$402,$A26,$G$3)&amp;"",LEFT(INDEX(인턴근무계획!$M$3:$R$402,$A26,$G$3)&amp;"",FIND(" ",INDEX(인턴근무계획!$M$3:$R$402,$A26,$G$3)&amp;"")-1))))</f>
        <v/>
      </c>
      <c r="H26" s="23">
        <f>IF(OR($C26="",$G$3=""),"",IF(INDEX(인턴근무계획!$M$3:$R$402,$A26,$G$3)&amp;""="","",IF(LEFT(INDEX(인턴근무계획!$M$3:$R$402,$A26,$G$3)&amp;"",1)="⚠","",MID(INDEX(인턴근무계획!$M$3:$R$402,$A26,$G$3)&amp;"",FIND(" ",INDEX(인턴근무계획!$M$3:$R$402,$A26,$G$3)&amp;"")+1,60))))</f>
        <v/>
      </c>
      <c r="I26" s="23">
        <f>IF(OR($C26="",$I$3=""),"",IF(INDEX(인턴근무계획!$M$3:$R$402,$A26,$I$3)&amp;""="","",IF(LEFT(INDEX(인턴근무계획!$M$3:$R$402,$A26,$I$3)&amp;"",1)="⚠",INDEX(인턴근무계획!$M$3:$R$402,$A26,$I$3)&amp;"",LEFT(INDEX(인턴근무계획!$M$3:$R$402,$A26,$I$3)&amp;"",FIND(" ",INDEX(인턴근무계획!$M$3:$R$402,$A26,$I$3)&amp;"")-1))))</f>
        <v/>
      </c>
      <c r="J26" s="23">
        <f>IF(OR($C26="",$I$3=""),"",IF(INDEX(인턴근무계획!$M$3:$R$402,$A26,$I$3)&amp;""="","",IF(LEFT(INDEX(인턴근무계획!$M$3:$R$402,$A26,$I$3)&amp;"",1)="⚠","",MID(INDEX(인턴근무계획!$M$3:$R$402,$A26,$I$3)&amp;"",FIND(" ",INDEX(인턴근무계획!$M$3:$R$402,$A26,$I$3)&amp;"")+1,60))))</f>
        <v/>
      </c>
      <c r="K26" s="23">
        <f>IF($C26="","",INDEX(인턴근무계획!$M$3:$M$402,$A26)&amp;"")</f>
        <v/>
      </c>
      <c r="L26" s="23">
        <f>IF($C26="","",INDEX(인턴근무계획!$N$3:$N$402,$A26)&amp;"")</f>
        <v/>
      </c>
      <c r="M26" s="23">
        <f>IF($C26="","",INDEX(인턴근무계획!$O$3:$O$402,$A26)&amp;"")</f>
        <v/>
      </c>
      <c r="N26" s="23">
        <f>IF($C26="","",INDEX(인턴근무계획!$P$3:$P$402,$A26)&amp;"")</f>
        <v/>
      </c>
      <c r="O26" s="23">
        <f>IF($C26="","",INDEX(인턴근무계획!$Q$3:$Q$402,$A26)&amp;"")</f>
        <v/>
      </c>
      <c r="P26" s="23">
        <f>IF($C26="","",INDEX(인턴근무계획!$R$3:$R$402,$A26)&amp;"")</f>
        <v/>
      </c>
      <c r="Q26" s="23">
        <f>IF($C26="","",INDEX(인턴근무계획!$T$3:$T$402,$A26))</f>
        <v/>
      </c>
      <c r="S26" s="24" t="inlineStr">
        <is>
          <t>⚠ 오류(인식 불가)</t>
        </is>
      </c>
      <c r="T26" s="24">
        <f>COUNTIF(K$6:K$405,"⚠*")</f>
        <v/>
      </c>
      <c r="U26" s="24">
        <f>COUNTIF(L$6:L$405,"⚠*")</f>
        <v/>
      </c>
      <c r="V26" s="24">
        <f>COUNTIF(M$6:M$405,"⚠*")</f>
        <v/>
      </c>
      <c r="W26" s="24">
        <f>COUNTIF(N$6:N$405,"⚠*")</f>
        <v/>
      </c>
      <c r="X26" s="24">
        <f>COUNTIF(O$6:O$405,"⚠*")</f>
        <v/>
      </c>
      <c r="Y26" s="24">
        <f>COUNTIF(P$6:P$405,"⚠*")</f>
        <v/>
      </c>
    </row>
    <row r="27">
      <c r="A27" s="26" t="n">
        <v>22</v>
      </c>
      <c r="B27" s="23">
        <f>IF($C27="","",INDEX(인턴근무계획!$B$3:$B$402,$A27))</f>
        <v/>
      </c>
      <c r="C27" s="23">
        <f>IFERROR(TRIM(INDEX(인턴근무계획!$C$3:$C$402,$A27)&amp;""),"")</f>
        <v/>
      </c>
      <c r="D27" s="23">
        <f>IF($C27="","",INDEX(인턴근무계획!$D$3:$D$402,$A27))</f>
        <v/>
      </c>
      <c r="E27" s="23">
        <f>IF($C27="","",IF(IFERROR(MATCH($D27,기본자료!$B$2:$B$1001,0),IFERROR(MATCH($D27&amp;"",기본자료!$B$2:$B$1001,0),IFERROR(MATCH(VALUE($D27),기본자료!$B$2:$B$1001,0),0)))&gt;0,"확인","미등록"))</f>
        <v/>
      </c>
      <c r="F27" s="27">
        <f>IF($C27="","",INDEX(인턴근무계획!$S$3:$S$402,$A27))</f>
        <v/>
      </c>
      <c r="G27" s="23">
        <f>IF(OR($C27="",$G$3=""),"",IF(INDEX(인턴근무계획!$M$3:$R$402,$A27,$G$3)&amp;""="","",IF(LEFT(INDEX(인턴근무계획!$M$3:$R$402,$A27,$G$3)&amp;"",1)="⚠",INDEX(인턴근무계획!$M$3:$R$402,$A27,$G$3)&amp;"",LEFT(INDEX(인턴근무계획!$M$3:$R$402,$A27,$G$3)&amp;"",FIND(" ",INDEX(인턴근무계획!$M$3:$R$402,$A27,$G$3)&amp;"")-1))))</f>
        <v/>
      </c>
      <c r="H27" s="23">
        <f>IF(OR($C27="",$G$3=""),"",IF(INDEX(인턴근무계획!$M$3:$R$402,$A27,$G$3)&amp;""="","",IF(LEFT(INDEX(인턴근무계획!$M$3:$R$402,$A27,$G$3)&amp;"",1)="⚠","",MID(INDEX(인턴근무계획!$M$3:$R$402,$A27,$G$3)&amp;"",FIND(" ",INDEX(인턴근무계획!$M$3:$R$402,$A27,$G$3)&amp;"")+1,60))))</f>
        <v/>
      </c>
      <c r="I27" s="23">
        <f>IF(OR($C27="",$I$3=""),"",IF(INDEX(인턴근무계획!$M$3:$R$402,$A27,$I$3)&amp;""="","",IF(LEFT(INDEX(인턴근무계획!$M$3:$R$402,$A27,$I$3)&amp;"",1)="⚠",INDEX(인턴근무계획!$M$3:$R$402,$A27,$I$3)&amp;"",LEFT(INDEX(인턴근무계획!$M$3:$R$402,$A27,$I$3)&amp;"",FIND(" ",INDEX(인턴근무계획!$M$3:$R$402,$A27,$I$3)&amp;"")-1))))</f>
        <v/>
      </c>
      <c r="J27" s="23">
        <f>IF(OR($C27="",$I$3=""),"",IF(INDEX(인턴근무계획!$M$3:$R$402,$A27,$I$3)&amp;""="","",IF(LEFT(INDEX(인턴근무계획!$M$3:$R$402,$A27,$I$3)&amp;"",1)="⚠","",MID(INDEX(인턴근무계획!$M$3:$R$402,$A27,$I$3)&amp;"",FIND(" ",INDEX(인턴근무계획!$M$3:$R$402,$A27,$I$3)&amp;"")+1,60))))</f>
        <v/>
      </c>
      <c r="K27" s="23">
        <f>IF($C27="","",INDEX(인턴근무계획!$M$3:$M$402,$A27)&amp;"")</f>
        <v/>
      </c>
      <c r="L27" s="23">
        <f>IF($C27="","",INDEX(인턴근무계획!$N$3:$N$402,$A27)&amp;"")</f>
        <v/>
      </c>
      <c r="M27" s="23">
        <f>IF($C27="","",INDEX(인턴근무계획!$O$3:$O$402,$A27)&amp;"")</f>
        <v/>
      </c>
      <c r="N27" s="23">
        <f>IF($C27="","",INDEX(인턴근무계획!$P$3:$P$402,$A27)&amp;"")</f>
        <v/>
      </c>
      <c r="O27" s="23">
        <f>IF($C27="","",INDEX(인턴근무계획!$Q$3:$Q$402,$A27)&amp;"")</f>
        <v/>
      </c>
      <c r="P27" s="23">
        <f>IF($C27="","",INDEX(인턴근무계획!$R$3:$R$402,$A27)&amp;"")</f>
        <v/>
      </c>
      <c r="Q27" s="23">
        <f>IF($C27="","",INDEX(인턴근무계획!$T$3:$T$402,$A27))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IF($C28="","",INDEX(인턴근무계획!$B$3:$B$402,$A28))</f>
        <v/>
      </c>
      <c r="C28" s="23">
        <f>IFERROR(TRIM(INDEX(인턴근무계획!$C$3:$C$402,$A28)&amp;""),"")</f>
        <v/>
      </c>
      <c r="D28" s="23">
        <f>IF($C28="","",INDEX(인턴근무계획!$D$3:$D$402,$A28))</f>
        <v/>
      </c>
      <c r="E28" s="23">
        <f>IF($C28="","",IF(IFERROR(MATCH($D28,기본자료!$B$2:$B$1001,0),IFERROR(MATCH($D28&amp;"",기본자료!$B$2:$B$1001,0),IFERROR(MATCH(VALUE($D28),기본자료!$B$2:$B$1001,0),0)))&gt;0,"확인","미등록"))</f>
        <v/>
      </c>
      <c r="F28" s="27">
        <f>IF($C28="","",INDEX(인턴근무계획!$S$3:$S$402,$A28))</f>
        <v/>
      </c>
      <c r="G28" s="23">
        <f>IF(OR($C28="",$G$3=""),"",IF(INDEX(인턴근무계획!$M$3:$R$402,$A28,$G$3)&amp;""="","",IF(LEFT(INDEX(인턴근무계획!$M$3:$R$402,$A28,$G$3)&amp;"",1)="⚠",INDEX(인턴근무계획!$M$3:$R$402,$A28,$G$3)&amp;"",LEFT(INDEX(인턴근무계획!$M$3:$R$402,$A28,$G$3)&amp;"",FIND(" ",INDEX(인턴근무계획!$M$3:$R$402,$A28,$G$3)&amp;"")-1))))</f>
        <v/>
      </c>
      <c r="H28" s="23">
        <f>IF(OR($C28="",$G$3=""),"",IF(INDEX(인턴근무계획!$M$3:$R$402,$A28,$G$3)&amp;""="","",IF(LEFT(INDEX(인턴근무계획!$M$3:$R$402,$A28,$G$3)&amp;"",1)="⚠","",MID(INDEX(인턴근무계획!$M$3:$R$402,$A28,$G$3)&amp;"",FIND(" ",INDEX(인턴근무계획!$M$3:$R$402,$A28,$G$3)&amp;"")+1,60))))</f>
        <v/>
      </c>
      <c r="I28" s="23">
        <f>IF(OR($C28="",$I$3=""),"",IF(INDEX(인턴근무계획!$M$3:$R$402,$A28,$I$3)&amp;""="","",IF(LEFT(INDEX(인턴근무계획!$M$3:$R$402,$A28,$I$3)&amp;"",1)="⚠",INDEX(인턴근무계획!$M$3:$R$402,$A28,$I$3)&amp;"",LEFT(INDEX(인턴근무계획!$M$3:$R$402,$A28,$I$3)&amp;"",FIND(" ",INDEX(인턴근무계획!$M$3:$R$402,$A28,$I$3)&amp;"")-1))))</f>
        <v/>
      </c>
      <c r="J28" s="23">
        <f>IF(OR($C28="",$I$3=""),"",IF(INDEX(인턴근무계획!$M$3:$R$402,$A28,$I$3)&amp;""="","",IF(LEFT(INDEX(인턴근무계획!$M$3:$R$402,$A28,$I$3)&amp;"",1)="⚠","",MID(INDEX(인턴근무계획!$M$3:$R$402,$A28,$I$3)&amp;"",FIND(" ",INDEX(인턴근무계획!$M$3:$R$402,$A28,$I$3)&amp;"")+1,60))))</f>
        <v/>
      </c>
      <c r="K28" s="23">
        <f>IF($C28="","",INDEX(인턴근무계획!$M$3:$M$402,$A28)&amp;"")</f>
        <v/>
      </c>
      <c r="L28" s="23">
        <f>IF($C28="","",INDEX(인턴근무계획!$N$3:$N$402,$A28)&amp;"")</f>
        <v/>
      </c>
      <c r="M28" s="23">
        <f>IF($C28="","",INDEX(인턴근무계획!$O$3:$O$402,$A28)&amp;"")</f>
        <v/>
      </c>
      <c r="N28" s="23">
        <f>IF($C28="","",INDEX(인턴근무계획!$P$3:$P$402,$A28)&amp;"")</f>
        <v/>
      </c>
      <c r="O28" s="23">
        <f>IF($C28="","",INDEX(인턴근무계획!$Q$3:$Q$402,$A28)&amp;"")</f>
        <v/>
      </c>
      <c r="P28" s="23">
        <f>IF($C28="","",INDEX(인턴근무계획!$R$3:$R$402,$A28)&amp;"")</f>
        <v/>
      </c>
      <c r="Q28" s="23">
        <f>IF($C28="","",INDEX(인턴근무계획!$T$3:$T$402,$A28))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IF($C29="","",INDEX(인턴근무계획!$B$3:$B$402,$A29))</f>
        <v/>
      </c>
      <c r="C29" s="23">
        <f>IFERROR(TRIM(INDEX(인턴근무계획!$C$3:$C$402,$A29)&amp;""),"")</f>
        <v/>
      </c>
      <c r="D29" s="23">
        <f>IF($C29="","",INDEX(인턴근무계획!$D$3:$D$402,$A29))</f>
        <v/>
      </c>
      <c r="E29" s="23">
        <f>IF($C29="","",IF(IFERROR(MATCH($D29,기본자료!$B$2:$B$1001,0),IFERROR(MATCH($D29&amp;"",기본자료!$B$2:$B$1001,0),IFERROR(MATCH(VALUE($D29),기본자료!$B$2:$B$1001,0),0)))&gt;0,"확인","미등록"))</f>
        <v/>
      </c>
      <c r="F29" s="27">
        <f>IF($C29="","",INDEX(인턴근무계획!$S$3:$S$402,$A29))</f>
        <v/>
      </c>
      <c r="G29" s="23">
        <f>IF(OR($C29="",$G$3=""),"",IF(INDEX(인턴근무계획!$M$3:$R$402,$A29,$G$3)&amp;""="","",IF(LEFT(INDEX(인턴근무계획!$M$3:$R$402,$A29,$G$3)&amp;"",1)="⚠",INDEX(인턴근무계획!$M$3:$R$402,$A29,$G$3)&amp;"",LEFT(INDEX(인턴근무계획!$M$3:$R$402,$A29,$G$3)&amp;"",FIND(" ",INDEX(인턴근무계획!$M$3:$R$402,$A29,$G$3)&amp;"")-1))))</f>
        <v/>
      </c>
      <c r="H29" s="23">
        <f>IF(OR($C29="",$G$3=""),"",IF(INDEX(인턴근무계획!$M$3:$R$402,$A29,$G$3)&amp;""="","",IF(LEFT(INDEX(인턴근무계획!$M$3:$R$402,$A29,$G$3)&amp;"",1)="⚠","",MID(INDEX(인턴근무계획!$M$3:$R$402,$A29,$G$3)&amp;"",FIND(" ",INDEX(인턴근무계획!$M$3:$R$402,$A29,$G$3)&amp;"")+1,60))))</f>
        <v/>
      </c>
      <c r="I29" s="23">
        <f>IF(OR($C29="",$I$3=""),"",IF(INDEX(인턴근무계획!$M$3:$R$402,$A29,$I$3)&amp;""="","",IF(LEFT(INDEX(인턴근무계획!$M$3:$R$402,$A29,$I$3)&amp;"",1)="⚠",INDEX(인턴근무계획!$M$3:$R$402,$A29,$I$3)&amp;"",LEFT(INDEX(인턴근무계획!$M$3:$R$402,$A29,$I$3)&amp;"",FIND(" ",INDEX(인턴근무계획!$M$3:$R$402,$A29,$I$3)&amp;"")-1))))</f>
        <v/>
      </c>
      <c r="J29" s="23">
        <f>IF(OR($C29="",$I$3=""),"",IF(INDEX(인턴근무계획!$M$3:$R$402,$A29,$I$3)&amp;""="","",IF(LEFT(INDEX(인턴근무계획!$M$3:$R$402,$A29,$I$3)&amp;"",1)="⚠","",MID(INDEX(인턴근무계획!$M$3:$R$402,$A29,$I$3)&amp;"",FIND(" ",INDEX(인턴근무계획!$M$3:$R$402,$A29,$I$3)&amp;"")+1,60))))</f>
        <v/>
      </c>
      <c r="K29" s="23">
        <f>IF($C29="","",INDEX(인턴근무계획!$M$3:$M$402,$A29)&amp;"")</f>
        <v/>
      </c>
      <c r="L29" s="23">
        <f>IF($C29="","",INDEX(인턴근무계획!$N$3:$N$402,$A29)&amp;"")</f>
        <v/>
      </c>
      <c r="M29" s="23">
        <f>IF($C29="","",INDEX(인턴근무계획!$O$3:$O$402,$A29)&amp;"")</f>
        <v/>
      </c>
      <c r="N29" s="23">
        <f>IF($C29="","",INDEX(인턴근무계획!$P$3:$P$402,$A29)&amp;"")</f>
        <v/>
      </c>
      <c r="O29" s="23">
        <f>IF($C29="","",INDEX(인턴근무계획!$Q$3:$Q$402,$A29)&amp;"")</f>
        <v/>
      </c>
      <c r="P29" s="23">
        <f>IF($C29="","",INDEX(인턴근무계획!$R$3:$R$402,$A29)&amp;"")</f>
        <v/>
      </c>
      <c r="Q29" s="23">
        <f>IF($C29="","",INDEX(인턴근무계획!$T$3:$T$402,$A29))</f>
        <v/>
      </c>
    </row>
    <row r="30">
      <c r="A30" s="26" t="n">
        <v>25</v>
      </c>
      <c r="B30" s="23">
        <f>IF($C30="","",INDEX(인턴근무계획!$B$3:$B$402,$A30))</f>
        <v/>
      </c>
      <c r="C30" s="23">
        <f>IFERROR(TRIM(INDEX(인턴근무계획!$C$3:$C$402,$A30)&amp;""),"")</f>
        <v/>
      </c>
      <c r="D30" s="23">
        <f>IF($C30="","",INDEX(인턴근무계획!$D$3:$D$402,$A30))</f>
        <v/>
      </c>
      <c r="E30" s="23">
        <f>IF($C30="","",IF(IFERROR(MATCH($D30,기본자료!$B$2:$B$1001,0),IFERROR(MATCH($D30&amp;"",기본자료!$B$2:$B$1001,0),IFERROR(MATCH(VALUE($D30),기본자료!$B$2:$B$1001,0),0)))&gt;0,"확인","미등록"))</f>
        <v/>
      </c>
      <c r="F30" s="27">
        <f>IF($C30="","",INDEX(인턴근무계획!$S$3:$S$402,$A30))</f>
        <v/>
      </c>
      <c r="G30" s="23">
        <f>IF(OR($C30="",$G$3=""),"",IF(INDEX(인턴근무계획!$M$3:$R$402,$A30,$G$3)&amp;""="","",IF(LEFT(INDEX(인턴근무계획!$M$3:$R$402,$A30,$G$3)&amp;"",1)="⚠",INDEX(인턴근무계획!$M$3:$R$402,$A30,$G$3)&amp;"",LEFT(INDEX(인턴근무계획!$M$3:$R$402,$A30,$G$3)&amp;"",FIND(" ",INDEX(인턴근무계획!$M$3:$R$402,$A30,$G$3)&amp;"")-1))))</f>
        <v/>
      </c>
      <c r="H30" s="23">
        <f>IF(OR($C30="",$G$3=""),"",IF(INDEX(인턴근무계획!$M$3:$R$402,$A30,$G$3)&amp;""="","",IF(LEFT(INDEX(인턴근무계획!$M$3:$R$402,$A30,$G$3)&amp;"",1)="⚠","",MID(INDEX(인턴근무계획!$M$3:$R$402,$A30,$G$3)&amp;"",FIND(" ",INDEX(인턴근무계획!$M$3:$R$402,$A30,$G$3)&amp;"")+1,60))))</f>
        <v/>
      </c>
      <c r="I30" s="23">
        <f>IF(OR($C30="",$I$3=""),"",IF(INDEX(인턴근무계획!$M$3:$R$402,$A30,$I$3)&amp;""="","",IF(LEFT(INDEX(인턴근무계획!$M$3:$R$402,$A30,$I$3)&amp;"",1)="⚠",INDEX(인턴근무계획!$M$3:$R$402,$A30,$I$3)&amp;"",LEFT(INDEX(인턴근무계획!$M$3:$R$402,$A30,$I$3)&amp;"",FIND(" ",INDEX(인턴근무계획!$M$3:$R$402,$A30,$I$3)&amp;"")-1))))</f>
        <v/>
      </c>
      <c r="J30" s="23">
        <f>IF(OR($C30="",$I$3=""),"",IF(INDEX(인턴근무계획!$M$3:$R$402,$A30,$I$3)&amp;""="","",IF(LEFT(INDEX(인턴근무계획!$M$3:$R$402,$A30,$I$3)&amp;"",1)="⚠","",MID(INDEX(인턴근무계획!$M$3:$R$402,$A30,$I$3)&amp;"",FIND(" ",INDEX(인턴근무계획!$M$3:$R$402,$A30,$I$3)&amp;"")+1,60))))</f>
        <v/>
      </c>
      <c r="K30" s="23">
        <f>IF($C30="","",INDEX(인턴근무계획!$M$3:$M$402,$A30)&amp;"")</f>
        <v/>
      </c>
      <c r="L30" s="23">
        <f>IF($C30="","",INDEX(인턴근무계획!$N$3:$N$402,$A30)&amp;"")</f>
        <v/>
      </c>
      <c r="M30" s="23">
        <f>IF($C30="","",INDEX(인턴근무계획!$O$3:$O$402,$A30)&amp;"")</f>
        <v/>
      </c>
      <c r="N30" s="23">
        <f>IF($C30="","",INDEX(인턴근무계획!$P$3:$P$402,$A30)&amp;"")</f>
        <v/>
      </c>
      <c r="O30" s="23">
        <f>IF($C30="","",INDEX(인턴근무계획!$Q$3:$Q$402,$A30)&amp;"")</f>
        <v/>
      </c>
      <c r="P30" s="23">
        <f>IF($C30="","",INDEX(인턴근무계획!$R$3:$R$402,$A30)&amp;"")</f>
        <v/>
      </c>
      <c r="Q30" s="23">
        <f>IF($C30="","",INDEX(인턴근무계획!$T$3:$T$402,$A30))</f>
        <v/>
      </c>
    </row>
    <row r="31">
      <c r="A31" s="26" t="n">
        <v>26</v>
      </c>
      <c r="B31" s="23">
        <f>IF($C31="","",INDEX(인턴근무계획!$B$3:$B$402,$A31))</f>
        <v/>
      </c>
      <c r="C31" s="23">
        <f>IFERROR(TRIM(INDEX(인턴근무계획!$C$3:$C$402,$A31)&amp;""),"")</f>
        <v/>
      </c>
      <c r="D31" s="23">
        <f>IF($C31="","",INDEX(인턴근무계획!$D$3:$D$402,$A31))</f>
        <v/>
      </c>
      <c r="E31" s="23">
        <f>IF($C31="","",IF(IFERROR(MATCH($D31,기본자료!$B$2:$B$1001,0),IFERROR(MATCH($D31&amp;"",기본자료!$B$2:$B$1001,0),IFERROR(MATCH(VALUE($D31),기본자료!$B$2:$B$1001,0),0)))&gt;0,"확인","미등록"))</f>
        <v/>
      </c>
      <c r="F31" s="27">
        <f>IF($C31="","",INDEX(인턴근무계획!$S$3:$S$402,$A31))</f>
        <v/>
      </c>
      <c r="G31" s="23">
        <f>IF(OR($C31="",$G$3=""),"",IF(INDEX(인턴근무계획!$M$3:$R$402,$A31,$G$3)&amp;""="","",IF(LEFT(INDEX(인턴근무계획!$M$3:$R$402,$A31,$G$3)&amp;"",1)="⚠",INDEX(인턴근무계획!$M$3:$R$402,$A31,$G$3)&amp;"",LEFT(INDEX(인턴근무계획!$M$3:$R$402,$A31,$G$3)&amp;"",FIND(" ",INDEX(인턴근무계획!$M$3:$R$402,$A31,$G$3)&amp;"")-1))))</f>
        <v/>
      </c>
      <c r="H31" s="23">
        <f>IF(OR($C31="",$G$3=""),"",IF(INDEX(인턴근무계획!$M$3:$R$402,$A31,$G$3)&amp;""="","",IF(LEFT(INDEX(인턴근무계획!$M$3:$R$402,$A31,$G$3)&amp;"",1)="⚠","",MID(INDEX(인턴근무계획!$M$3:$R$402,$A31,$G$3)&amp;"",FIND(" ",INDEX(인턴근무계획!$M$3:$R$402,$A31,$G$3)&amp;"")+1,60))))</f>
        <v/>
      </c>
      <c r="I31" s="23">
        <f>IF(OR($C31="",$I$3=""),"",IF(INDEX(인턴근무계획!$M$3:$R$402,$A31,$I$3)&amp;""="","",IF(LEFT(INDEX(인턴근무계획!$M$3:$R$402,$A31,$I$3)&amp;"",1)="⚠",INDEX(인턴근무계획!$M$3:$R$402,$A31,$I$3)&amp;"",LEFT(INDEX(인턴근무계획!$M$3:$R$402,$A31,$I$3)&amp;"",FIND(" ",INDEX(인턴근무계획!$M$3:$R$402,$A31,$I$3)&amp;"")-1))))</f>
        <v/>
      </c>
      <c r="J31" s="23">
        <f>IF(OR($C31="",$I$3=""),"",IF(INDEX(인턴근무계획!$M$3:$R$402,$A31,$I$3)&amp;""="","",IF(LEFT(INDEX(인턴근무계획!$M$3:$R$402,$A31,$I$3)&amp;"",1)="⚠","",MID(INDEX(인턴근무계획!$M$3:$R$402,$A31,$I$3)&amp;"",FIND(" ",INDEX(인턴근무계획!$M$3:$R$402,$A31,$I$3)&amp;"")+1,60))))</f>
        <v/>
      </c>
      <c r="K31" s="23">
        <f>IF($C31="","",INDEX(인턴근무계획!$M$3:$M$402,$A31)&amp;"")</f>
        <v/>
      </c>
      <c r="L31" s="23">
        <f>IF($C31="","",INDEX(인턴근무계획!$N$3:$N$402,$A31)&amp;"")</f>
        <v/>
      </c>
      <c r="M31" s="23">
        <f>IF($C31="","",INDEX(인턴근무계획!$O$3:$O$402,$A31)&amp;"")</f>
        <v/>
      </c>
      <c r="N31" s="23">
        <f>IF($C31="","",INDEX(인턴근무계획!$P$3:$P$402,$A31)&amp;"")</f>
        <v/>
      </c>
      <c r="O31" s="23">
        <f>IF($C31="","",INDEX(인턴근무계획!$Q$3:$Q$402,$A31)&amp;"")</f>
        <v/>
      </c>
      <c r="P31" s="23">
        <f>IF($C31="","",INDEX(인턴근무계획!$R$3:$R$402,$A31)&amp;"")</f>
        <v/>
      </c>
      <c r="Q31" s="23">
        <f>IF($C31="","",INDEX(인턴근무계획!$T$3:$T$402,$A31))</f>
        <v/>
      </c>
    </row>
    <row r="32">
      <c r="A32" s="26" t="n">
        <v>27</v>
      </c>
      <c r="B32" s="23">
        <f>IF($C32="","",INDEX(인턴근무계획!$B$3:$B$402,$A32))</f>
        <v/>
      </c>
      <c r="C32" s="23">
        <f>IFERROR(TRIM(INDEX(인턴근무계획!$C$3:$C$402,$A32)&amp;""),"")</f>
        <v/>
      </c>
      <c r="D32" s="23">
        <f>IF($C32="","",INDEX(인턴근무계획!$D$3:$D$402,$A32))</f>
        <v/>
      </c>
      <c r="E32" s="23">
        <f>IF($C32="","",IF(IFERROR(MATCH($D32,기본자료!$B$2:$B$1001,0),IFERROR(MATCH($D32&amp;"",기본자료!$B$2:$B$1001,0),IFERROR(MATCH(VALUE($D32),기본자료!$B$2:$B$1001,0),0)))&gt;0,"확인","미등록"))</f>
        <v/>
      </c>
      <c r="F32" s="27">
        <f>IF($C32="","",INDEX(인턴근무계획!$S$3:$S$402,$A32))</f>
        <v/>
      </c>
      <c r="G32" s="23">
        <f>IF(OR($C32="",$G$3=""),"",IF(INDEX(인턴근무계획!$M$3:$R$402,$A32,$G$3)&amp;""="","",IF(LEFT(INDEX(인턴근무계획!$M$3:$R$402,$A32,$G$3)&amp;"",1)="⚠",INDEX(인턴근무계획!$M$3:$R$402,$A32,$G$3)&amp;"",LEFT(INDEX(인턴근무계획!$M$3:$R$402,$A32,$G$3)&amp;"",FIND(" ",INDEX(인턴근무계획!$M$3:$R$402,$A32,$G$3)&amp;"")-1))))</f>
        <v/>
      </c>
      <c r="H32" s="23">
        <f>IF(OR($C32="",$G$3=""),"",IF(INDEX(인턴근무계획!$M$3:$R$402,$A32,$G$3)&amp;""="","",IF(LEFT(INDEX(인턴근무계획!$M$3:$R$402,$A32,$G$3)&amp;"",1)="⚠","",MID(INDEX(인턴근무계획!$M$3:$R$402,$A32,$G$3)&amp;"",FIND(" ",INDEX(인턴근무계획!$M$3:$R$402,$A32,$G$3)&amp;"")+1,60))))</f>
        <v/>
      </c>
      <c r="I32" s="23">
        <f>IF(OR($C32="",$I$3=""),"",IF(INDEX(인턴근무계획!$M$3:$R$402,$A32,$I$3)&amp;""="","",IF(LEFT(INDEX(인턴근무계획!$M$3:$R$402,$A32,$I$3)&amp;"",1)="⚠",INDEX(인턴근무계획!$M$3:$R$402,$A32,$I$3)&amp;"",LEFT(INDEX(인턴근무계획!$M$3:$R$402,$A32,$I$3)&amp;"",FIND(" ",INDEX(인턴근무계획!$M$3:$R$402,$A32,$I$3)&amp;"")-1))))</f>
        <v/>
      </c>
      <c r="J32" s="23">
        <f>IF(OR($C32="",$I$3=""),"",IF(INDEX(인턴근무계획!$M$3:$R$402,$A32,$I$3)&amp;""="","",IF(LEFT(INDEX(인턴근무계획!$M$3:$R$402,$A32,$I$3)&amp;"",1)="⚠","",MID(INDEX(인턴근무계획!$M$3:$R$402,$A32,$I$3)&amp;"",FIND(" ",INDEX(인턴근무계획!$M$3:$R$402,$A32,$I$3)&amp;"")+1,60))))</f>
        <v/>
      </c>
      <c r="K32" s="23">
        <f>IF($C32="","",INDEX(인턴근무계획!$M$3:$M$402,$A32)&amp;"")</f>
        <v/>
      </c>
      <c r="L32" s="23">
        <f>IF($C32="","",INDEX(인턴근무계획!$N$3:$N$402,$A32)&amp;"")</f>
        <v/>
      </c>
      <c r="M32" s="23">
        <f>IF($C32="","",INDEX(인턴근무계획!$O$3:$O$402,$A32)&amp;"")</f>
        <v/>
      </c>
      <c r="N32" s="23">
        <f>IF($C32="","",INDEX(인턴근무계획!$P$3:$P$402,$A32)&amp;"")</f>
        <v/>
      </c>
      <c r="O32" s="23">
        <f>IF($C32="","",INDEX(인턴근무계획!$Q$3:$Q$402,$A32)&amp;"")</f>
        <v/>
      </c>
      <c r="P32" s="23">
        <f>IF($C32="","",INDEX(인턴근무계획!$R$3:$R$402,$A32)&amp;"")</f>
        <v/>
      </c>
      <c r="Q32" s="23">
        <f>IF($C32="","",INDEX(인턴근무계획!$T$3:$T$402,$A32))</f>
        <v/>
      </c>
    </row>
    <row r="33">
      <c r="A33" s="26" t="n">
        <v>28</v>
      </c>
      <c r="B33" s="23">
        <f>IF($C33="","",INDEX(인턴근무계획!$B$3:$B$402,$A33))</f>
        <v/>
      </c>
      <c r="C33" s="23">
        <f>IFERROR(TRIM(INDEX(인턴근무계획!$C$3:$C$402,$A33)&amp;""),"")</f>
        <v/>
      </c>
      <c r="D33" s="23">
        <f>IF($C33="","",INDEX(인턴근무계획!$D$3:$D$402,$A33))</f>
        <v/>
      </c>
      <c r="E33" s="23">
        <f>IF($C33="","",IF(IFERROR(MATCH($D33,기본자료!$B$2:$B$1001,0),IFERROR(MATCH($D33&amp;"",기본자료!$B$2:$B$1001,0),IFERROR(MATCH(VALUE($D33),기본자료!$B$2:$B$1001,0),0)))&gt;0,"확인","미등록"))</f>
        <v/>
      </c>
      <c r="F33" s="27">
        <f>IF($C33="","",INDEX(인턴근무계획!$S$3:$S$402,$A33))</f>
        <v/>
      </c>
      <c r="G33" s="23">
        <f>IF(OR($C33="",$G$3=""),"",IF(INDEX(인턴근무계획!$M$3:$R$402,$A33,$G$3)&amp;""="","",IF(LEFT(INDEX(인턴근무계획!$M$3:$R$402,$A33,$G$3)&amp;"",1)="⚠",INDEX(인턴근무계획!$M$3:$R$402,$A33,$G$3)&amp;"",LEFT(INDEX(인턴근무계획!$M$3:$R$402,$A33,$G$3)&amp;"",FIND(" ",INDEX(인턴근무계획!$M$3:$R$402,$A33,$G$3)&amp;"")-1))))</f>
        <v/>
      </c>
      <c r="H33" s="23">
        <f>IF(OR($C33="",$G$3=""),"",IF(INDEX(인턴근무계획!$M$3:$R$402,$A33,$G$3)&amp;""="","",IF(LEFT(INDEX(인턴근무계획!$M$3:$R$402,$A33,$G$3)&amp;"",1)="⚠","",MID(INDEX(인턴근무계획!$M$3:$R$402,$A33,$G$3)&amp;"",FIND(" ",INDEX(인턴근무계획!$M$3:$R$402,$A33,$G$3)&amp;"")+1,60))))</f>
        <v/>
      </c>
      <c r="I33" s="23">
        <f>IF(OR($C33="",$I$3=""),"",IF(INDEX(인턴근무계획!$M$3:$R$402,$A33,$I$3)&amp;""="","",IF(LEFT(INDEX(인턴근무계획!$M$3:$R$402,$A33,$I$3)&amp;"",1)="⚠",INDEX(인턴근무계획!$M$3:$R$402,$A33,$I$3)&amp;"",LEFT(INDEX(인턴근무계획!$M$3:$R$402,$A33,$I$3)&amp;"",FIND(" ",INDEX(인턴근무계획!$M$3:$R$402,$A33,$I$3)&amp;"")-1))))</f>
        <v/>
      </c>
      <c r="J33" s="23">
        <f>IF(OR($C33="",$I$3=""),"",IF(INDEX(인턴근무계획!$M$3:$R$402,$A33,$I$3)&amp;""="","",IF(LEFT(INDEX(인턴근무계획!$M$3:$R$402,$A33,$I$3)&amp;"",1)="⚠","",MID(INDEX(인턴근무계획!$M$3:$R$402,$A33,$I$3)&amp;"",FIND(" ",INDEX(인턴근무계획!$M$3:$R$402,$A33,$I$3)&amp;"")+1,60))))</f>
        <v/>
      </c>
      <c r="K33" s="23">
        <f>IF($C33="","",INDEX(인턴근무계획!$M$3:$M$402,$A33)&amp;"")</f>
        <v/>
      </c>
      <c r="L33" s="23">
        <f>IF($C33="","",INDEX(인턴근무계획!$N$3:$N$402,$A33)&amp;"")</f>
        <v/>
      </c>
      <c r="M33" s="23">
        <f>IF($C33="","",INDEX(인턴근무계획!$O$3:$O$402,$A33)&amp;"")</f>
        <v/>
      </c>
      <c r="N33" s="23">
        <f>IF($C33="","",INDEX(인턴근무계획!$P$3:$P$402,$A33)&amp;"")</f>
        <v/>
      </c>
      <c r="O33" s="23">
        <f>IF($C33="","",INDEX(인턴근무계획!$Q$3:$Q$402,$A33)&amp;"")</f>
        <v/>
      </c>
      <c r="P33" s="23">
        <f>IF($C33="","",INDEX(인턴근무계획!$R$3:$R$402,$A33)&amp;"")</f>
        <v/>
      </c>
      <c r="Q33" s="23">
        <f>IF($C33="","",INDEX(인턴근무계획!$T$3:$T$402,$A33))</f>
        <v/>
      </c>
    </row>
    <row r="34">
      <c r="A34" s="26" t="n">
        <v>29</v>
      </c>
      <c r="B34" s="23">
        <f>IF($C34="","",INDEX(인턴근무계획!$B$3:$B$402,$A34))</f>
        <v/>
      </c>
      <c r="C34" s="23">
        <f>IFERROR(TRIM(INDEX(인턴근무계획!$C$3:$C$402,$A34)&amp;""),"")</f>
        <v/>
      </c>
      <c r="D34" s="23">
        <f>IF($C34="","",INDEX(인턴근무계획!$D$3:$D$402,$A34))</f>
        <v/>
      </c>
      <c r="E34" s="23">
        <f>IF($C34="","",IF(IFERROR(MATCH($D34,기본자료!$B$2:$B$1001,0),IFERROR(MATCH($D34&amp;"",기본자료!$B$2:$B$1001,0),IFERROR(MATCH(VALUE($D34),기본자료!$B$2:$B$1001,0),0)))&gt;0,"확인","미등록"))</f>
        <v/>
      </c>
      <c r="F34" s="27">
        <f>IF($C34="","",INDEX(인턴근무계획!$S$3:$S$402,$A34))</f>
        <v/>
      </c>
      <c r="G34" s="23">
        <f>IF(OR($C34="",$G$3=""),"",IF(INDEX(인턴근무계획!$M$3:$R$402,$A34,$G$3)&amp;""="","",IF(LEFT(INDEX(인턴근무계획!$M$3:$R$402,$A34,$G$3)&amp;"",1)="⚠",INDEX(인턴근무계획!$M$3:$R$402,$A34,$G$3)&amp;"",LEFT(INDEX(인턴근무계획!$M$3:$R$402,$A34,$G$3)&amp;"",FIND(" ",INDEX(인턴근무계획!$M$3:$R$402,$A34,$G$3)&amp;"")-1))))</f>
        <v/>
      </c>
      <c r="H34" s="23">
        <f>IF(OR($C34="",$G$3=""),"",IF(INDEX(인턴근무계획!$M$3:$R$402,$A34,$G$3)&amp;""="","",IF(LEFT(INDEX(인턴근무계획!$M$3:$R$402,$A34,$G$3)&amp;"",1)="⚠","",MID(INDEX(인턴근무계획!$M$3:$R$402,$A34,$G$3)&amp;"",FIND(" ",INDEX(인턴근무계획!$M$3:$R$402,$A34,$G$3)&amp;"")+1,60))))</f>
        <v/>
      </c>
      <c r="I34" s="23">
        <f>IF(OR($C34="",$I$3=""),"",IF(INDEX(인턴근무계획!$M$3:$R$402,$A34,$I$3)&amp;""="","",IF(LEFT(INDEX(인턴근무계획!$M$3:$R$402,$A34,$I$3)&amp;"",1)="⚠",INDEX(인턴근무계획!$M$3:$R$402,$A34,$I$3)&amp;"",LEFT(INDEX(인턴근무계획!$M$3:$R$402,$A34,$I$3)&amp;"",FIND(" ",INDEX(인턴근무계획!$M$3:$R$402,$A34,$I$3)&amp;"")-1))))</f>
        <v/>
      </c>
      <c r="J34" s="23">
        <f>IF(OR($C34="",$I$3=""),"",IF(INDEX(인턴근무계획!$M$3:$R$402,$A34,$I$3)&amp;""="","",IF(LEFT(INDEX(인턴근무계획!$M$3:$R$402,$A34,$I$3)&amp;"",1)="⚠","",MID(INDEX(인턴근무계획!$M$3:$R$402,$A34,$I$3)&amp;"",FIND(" ",INDEX(인턴근무계획!$M$3:$R$402,$A34,$I$3)&amp;"")+1,60))))</f>
        <v/>
      </c>
      <c r="K34" s="23">
        <f>IF($C34="","",INDEX(인턴근무계획!$M$3:$M$402,$A34)&amp;"")</f>
        <v/>
      </c>
      <c r="L34" s="23">
        <f>IF($C34="","",INDEX(인턴근무계획!$N$3:$N$402,$A34)&amp;"")</f>
        <v/>
      </c>
      <c r="M34" s="23">
        <f>IF($C34="","",INDEX(인턴근무계획!$O$3:$O$402,$A34)&amp;"")</f>
        <v/>
      </c>
      <c r="N34" s="23">
        <f>IF($C34="","",INDEX(인턴근무계획!$P$3:$P$402,$A34)&amp;"")</f>
        <v/>
      </c>
      <c r="O34" s="23">
        <f>IF($C34="","",INDEX(인턴근무계획!$Q$3:$Q$402,$A34)&amp;"")</f>
        <v/>
      </c>
      <c r="P34" s="23">
        <f>IF($C34="","",INDEX(인턴근무계획!$R$3:$R$402,$A34)&amp;"")</f>
        <v/>
      </c>
      <c r="Q34" s="23">
        <f>IF($C34="","",INDEX(인턴근무계획!$T$3:$T$402,$A34))</f>
        <v/>
      </c>
    </row>
    <row r="35">
      <c r="A35" s="26" t="n">
        <v>30</v>
      </c>
      <c r="B35" s="23">
        <f>IF($C35="","",INDEX(인턴근무계획!$B$3:$B$402,$A35))</f>
        <v/>
      </c>
      <c r="C35" s="23">
        <f>IFERROR(TRIM(INDEX(인턴근무계획!$C$3:$C$402,$A35)&amp;""),"")</f>
        <v/>
      </c>
      <c r="D35" s="23">
        <f>IF($C35="","",INDEX(인턴근무계획!$D$3:$D$402,$A35))</f>
        <v/>
      </c>
      <c r="E35" s="23">
        <f>IF($C35="","",IF(IFERROR(MATCH($D35,기본자료!$B$2:$B$1001,0),IFERROR(MATCH($D35&amp;"",기본자료!$B$2:$B$1001,0),IFERROR(MATCH(VALUE($D35),기본자료!$B$2:$B$1001,0),0)))&gt;0,"확인","미등록"))</f>
        <v/>
      </c>
      <c r="F35" s="27">
        <f>IF($C35="","",INDEX(인턴근무계획!$S$3:$S$402,$A35))</f>
        <v/>
      </c>
      <c r="G35" s="23">
        <f>IF(OR($C35="",$G$3=""),"",IF(INDEX(인턴근무계획!$M$3:$R$402,$A35,$G$3)&amp;""="","",IF(LEFT(INDEX(인턴근무계획!$M$3:$R$402,$A35,$G$3)&amp;"",1)="⚠",INDEX(인턴근무계획!$M$3:$R$402,$A35,$G$3)&amp;"",LEFT(INDEX(인턴근무계획!$M$3:$R$402,$A35,$G$3)&amp;"",FIND(" ",INDEX(인턴근무계획!$M$3:$R$402,$A35,$G$3)&amp;"")-1))))</f>
        <v/>
      </c>
      <c r="H35" s="23">
        <f>IF(OR($C35="",$G$3=""),"",IF(INDEX(인턴근무계획!$M$3:$R$402,$A35,$G$3)&amp;""="","",IF(LEFT(INDEX(인턴근무계획!$M$3:$R$402,$A35,$G$3)&amp;"",1)="⚠","",MID(INDEX(인턴근무계획!$M$3:$R$402,$A35,$G$3)&amp;"",FIND(" ",INDEX(인턴근무계획!$M$3:$R$402,$A35,$G$3)&amp;"")+1,60))))</f>
        <v/>
      </c>
      <c r="I35" s="23">
        <f>IF(OR($C35="",$I$3=""),"",IF(INDEX(인턴근무계획!$M$3:$R$402,$A35,$I$3)&amp;""="","",IF(LEFT(INDEX(인턴근무계획!$M$3:$R$402,$A35,$I$3)&amp;"",1)="⚠",INDEX(인턴근무계획!$M$3:$R$402,$A35,$I$3)&amp;"",LEFT(INDEX(인턴근무계획!$M$3:$R$402,$A35,$I$3)&amp;"",FIND(" ",INDEX(인턴근무계획!$M$3:$R$402,$A35,$I$3)&amp;"")-1))))</f>
        <v/>
      </c>
      <c r="J35" s="23">
        <f>IF(OR($C35="",$I$3=""),"",IF(INDEX(인턴근무계획!$M$3:$R$402,$A35,$I$3)&amp;""="","",IF(LEFT(INDEX(인턴근무계획!$M$3:$R$402,$A35,$I$3)&amp;"",1)="⚠","",MID(INDEX(인턴근무계획!$M$3:$R$402,$A35,$I$3)&amp;"",FIND(" ",INDEX(인턴근무계획!$M$3:$R$402,$A35,$I$3)&amp;"")+1,60))))</f>
        <v/>
      </c>
      <c r="K35" s="23">
        <f>IF($C35="","",INDEX(인턴근무계획!$M$3:$M$402,$A35)&amp;"")</f>
        <v/>
      </c>
      <c r="L35" s="23">
        <f>IF($C35="","",INDEX(인턴근무계획!$N$3:$N$402,$A35)&amp;"")</f>
        <v/>
      </c>
      <c r="M35" s="23">
        <f>IF($C35="","",INDEX(인턴근무계획!$O$3:$O$402,$A35)&amp;"")</f>
        <v/>
      </c>
      <c r="N35" s="23">
        <f>IF($C35="","",INDEX(인턴근무계획!$P$3:$P$402,$A35)&amp;"")</f>
        <v/>
      </c>
      <c r="O35" s="23">
        <f>IF($C35="","",INDEX(인턴근무계획!$Q$3:$Q$402,$A35)&amp;"")</f>
        <v/>
      </c>
      <c r="P35" s="23">
        <f>IF($C35="","",INDEX(인턴근무계획!$R$3:$R$402,$A35)&amp;"")</f>
        <v/>
      </c>
      <c r="Q35" s="23">
        <f>IF($C35="","",INDEX(인턴근무계획!$T$3:$T$402,$A35))</f>
        <v/>
      </c>
    </row>
    <row r="36">
      <c r="A36" s="26" t="n">
        <v>31</v>
      </c>
      <c r="B36" s="23">
        <f>IF($C36="","",INDEX(인턴근무계획!$B$3:$B$402,$A36))</f>
        <v/>
      </c>
      <c r="C36" s="23">
        <f>IFERROR(TRIM(INDEX(인턴근무계획!$C$3:$C$402,$A36)&amp;""),"")</f>
        <v/>
      </c>
      <c r="D36" s="23">
        <f>IF($C36="","",INDEX(인턴근무계획!$D$3:$D$402,$A36))</f>
        <v/>
      </c>
      <c r="E36" s="23">
        <f>IF($C36="","",IF(IFERROR(MATCH($D36,기본자료!$B$2:$B$1001,0),IFERROR(MATCH($D36&amp;"",기본자료!$B$2:$B$1001,0),IFERROR(MATCH(VALUE($D36),기본자료!$B$2:$B$1001,0),0)))&gt;0,"확인","미등록"))</f>
        <v/>
      </c>
      <c r="F36" s="27">
        <f>IF($C36="","",INDEX(인턴근무계획!$S$3:$S$402,$A36))</f>
        <v/>
      </c>
      <c r="G36" s="23">
        <f>IF(OR($C36="",$G$3=""),"",IF(INDEX(인턴근무계획!$M$3:$R$402,$A36,$G$3)&amp;""="","",IF(LEFT(INDEX(인턴근무계획!$M$3:$R$402,$A36,$G$3)&amp;"",1)="⚠",INDEX(인턴근무계획!$M$3:$R$402,$A36,$G$3)&amp;"",LEFT(INDEX(인턴근무계획!$M$3:$R$402,$A36,$G$3)&amp;"",FIND(" ",INDEX(인턴근무계획!$M$3:$R$402,$A36,$G$3)&amp;"")-1))))</f>
        <v/>
      </c>
      <c r="H36" s="23">
        <f>IF(OR($C36="",$G$3=""),"",IF(INDEX(인턴근무계획!$M$3:$R$402,$A36,$G$3)&amp;""="","",IF(LEFT(INDEX(인턴근무계획!$M$3:$R$402,$A36,$G$3)&amp;"",1)="⚠","",MID(INDEX(인턴근무계획!$M$3:$R$402,$A36,$G$3)&amp;"",FIND(" ",INDEX(인턴근무계획!$M$3:$R$402,$A36,$G$3)&amp;"")+1,60))))</f>
        <v/>
      </c>
      <c r="I36" s="23">
        <f>IF(OR($C36="",$I$3=""),"",IF(INDEX(인턴근무계획!$M$3:$R$402,$A36,$I$3)&amp;""="","",IF(LEFT(INDEX(인턴근무계획!$M$3:$R$402,$A36,$I$3)&amp;"",1)="⚠",INDEX(인턴근무계획!$M$3:$R$402,$A36,$I$3)&amp;"",LEFT(INDEX(인턴근무계획!$M$3:$R$402,$A36,$I$3)&amp;"",FIND(" ",INDEX(인턴근무계획!$M$3:$R$402,$A36,$I$3)&amp;"")-1))))</f>
        <v/>
      </c>
      <c r="J36" s="23">
        <f>IF(OR($C36="",$I$3=""),"",IF(INDEX(인턴근무계획!$M$3:$R$402,$A36,$I$3)&amp;""="","",IF(LEFT(INDEX(인턴근무계획!$M$3:$R$402,$A36,$I$3)&amp;"",1)="⚠","",MID(INDEX(인턴근무계획!$M$3:$R$402,$A36,$I$3)&amp;"",FIND(" ",INDEX(인턴근무계획!$M$3:$R$402,$A36,$I$3)&amp;"")+1,60))))</f>
        <v/>
      </c>
      <c r="K36" s="23">
        <f>IF($C36="","",INDEX(인턴근무계획!$M$3:$M$402,$A36)&amp;"")</f>
        <v/>
      </c>
      <c r="L36" s="23">
        <f>IF($C36="","",INDEX(인턴근무계획!$N$3:$N$402,$A36)&amp;"")</f>
        <v/>
      </c>
      <c r="M36" s="23">
        <f>IF($C36="","",INDEX(인턴근무계획!$O$3:$O$402,$A36)&amp;"")</f>
        <v/>
      </c>
      <c r="N36" s="23">
        <f>IF($C36="","",INDEX(인턴근무계획!$P$3:$P$402,$A36)&amp;"")</f>
        <v/>
      </c>
      <c r="O36" s="23">
        <f>IF($C36="","",INDEX(인턴근무계획!$Q$3:$Q$402,$A36)&amp;"")</f>
        <v/>
      </c>
      <c r="P36" s="23">
        <f>IF($C36="","",INDEX(인턴근무계획!$R$3:$R$402,$A36)&amp;"")</f>
        <v/>
      </c>
      <c r="Q36" s="23">
        <f>IF($C36="","",INDEX(인턴근무계획!$T$3:$T$402,$A36))</f>
        <v/>
      </c>
    </row>
    <row r="37">
      <c r="A37" s="26" t="n">
        <v>32</v>
      </c>
      <c r="B37" s="23">
        <f>IF($C37="","",INDEX(인턴근무계획!$B$3:$B$402,$A37))</f>
        <v/>
      </c>
      <c r="C37" s="23">
        <f>IFERROR(TRIM(INDEX(인턴근무계획!$C$3:$C$402,$A37)&amp;""),"")</f>
        <v/>
      </c>
      <c r="D37" s="23">
        <f>IF($C37="","",INDEX(인턴근무계획!$D$3:$D$402,$A37))</f>
        <v/>
      </c>
      <c r="E37" s="23">
        <f>IF($C37="","",IF(IFERROR(MATCH($D37,기본자료!$B$2:$B$1001,0),IFERROR(MATCH($D37&amp;"",기본자료!$B$2:$B$1001,0),IFERROR(MATCH(VALUE($D37),기본자료!$B$2:$B$1001,0),0)))&gt;0,"확인","미등록"))</f>
        <v/>
      </c>
      <c r="F37" s="27">
        <f>IF($C37="","",INDEX(인턴근무계획!$S$3:$S$402,$A37))</f>
        <v/>
      </c>
      <c r="G37" s="23">
        <f>IF(OR($C37="",$G$3=""),"",IF(INDEX(인턴근무계획!$M$3:$R$402,$A37,$G$3)&amp;""="","",IF(LEFT(INDEX(인턴근무계획!$M$3:$R$402,$A37,$G$3)&amp;"",1)="⚠",INDEX(인턴근무계획!$M$3:$R$402,$A37,$G$3)&amp;"",LEFT(INDEX(인턴근무계획!$M$3:$R$402,$A37,$G$3)&amp;"",FIND(" ",INDEX(인턴근무계획!$M$3:$R$402,$A37,$G$3)&amp;"")-1))))</f>
        <v/>
      </c>
      <c r="H37" s="23">
        <f>IF(OR($C37="",$G$3=""),"",IF(INDEX(인턴근무계획!$M$3:$R$402,$A37,$G$3)&amp;""="","",IF(LEFT(INDEX(인턴근무계획!$M$3:$R$402,$A37,$G$3)&amp;"",1)="⚠","",MID(INDEX(인턴근무계획!$M$3:$R$402,$A37,$G$3)&amp;"",FIND(" ",INDEX(인턴근무계획!$M$3:$R$402,$A37,$G$3)&amp;"")+1,60))))</f>
        <v/>
      </c>
      <c r="I37" s="23">
        <f>IF(OR($C37="",$I$3=""),"",IF(INDEX(인턴근무계획!$M$3:$R$402,$A37,$I$3)&amp;""="","",IF(LEFT(INDEX(인턴근무계획!$M$3:$R$402,$A37,$I$3)&amp;"",1)="⚠",INDEX(인턴근무계획!$M$3:$R$402,$A37,$I$3)&amp;"",LEFT(INDEX(인턴근무계획!$M$3:$R$402,$A37,$I$3)&amp;"",FIND(" ",INDEX(인턴근무계획!$M$3:$R$402,$A37,$I$3)&amp;"")-1))))</f>
        <v/>
      </c>
      <c r="J37" s="23">
        <f>IF(OR($C37="",$I$3=""),"",IF(INDEX(인턴근무계획!$M$3:$R$402,$A37,$I$3)&amp;""="","",IF(LEFT(INDEX(인턴근무계획!$M$3:$R$402,$A37,$I$3)&amp;"",1)="⚠","",MID(INDEX(인턴근무계획!$M$3:$R$402,$A37,$I$3)&amp;"",FIND(" ",INDEX(인턴근무계획!$M$3:$R$402,$A37,$I$3)&amp;"")+1,60))))</f>
        <v/>
      </c>
      <c r="K37" s="23">
        <f>IF($C37="","",INDEX(인턴근무계획!$M$3:$M$402,$A37)&amp;"")</f>
        <v/>
      </c>
      <c r="L37" s="23">
        <f>IF($C37="","",INDEX(인턴근무계획!$N$3:$N$402,$A37)&amp;"")</f>
        <v/>
      </c>
      <c r="M37" s="23">
        <f>IF($C37="","",INDEX(인턴근무계획!$O$3:$O$402,$A37)&amp;"")</f>
        <v/>
      </c>
      <c r="N37" s="23">
        <f>IF($C37="","",INDEX(인턴근무계획!$P$3:$P$402,$A37)&amp;"")</f>
        <v/>
      </c>
      <c r="O37" s="23">
        <f>IF($C37="","",INDEX(인턴근무계획!$Q$3:$Q$402,$A37)&amp;"")</f>
        <v/>
      </c>
      <c r="P37" s="23">
        <f>IF($C37="","",INDEX(인턴근무계획!$R$3:$R$402,$A37)&amp;"")</f>
        <v/>
      </c>
      <c r="Q37" s="23">
        <f>IF($C37="","",INDEX(인턴근무계획!$T$3:$T$402,$A37))</f>
        <v/>
      </c>
    </row>
    <row r="38">
      <c r="A38" s="26" t="n">
        <v>33</v>
      </c>
      <c r="B38" s="23">
        <f>IF($C38="","",INDEX(인턴근무계획!$B$3:$B$402,$A38))</f>
        <v/>
      </c>
      <c r="C38" s="23">
        <f>IFERROR(TRIM(INDEX(인턴근무계획!$C$3:$C$402,$A38)&amp;""),"")</f>
        <v/>
      </c>
      <c r="D38" s="23">
        <f>IF($C38="","",INDEX(인턴근무계획!$D$3:$D$402,$A38))</f>
        <v/>
      </c>
      <c r="E38" s="23">
        <f>IF($C38="","",IF(IFERROR(MATCH($D38,기본자료!$B$2:$B$1001,0),IFERROR(MATCH($D38&amp;"",기본자료!$B$2:$B$1001,0),IFERROR(MATCH(VALUE($D38),기본자료!$B$2:$B$1001,0),0)))&gt;0,"확인","미등록"))</f>
        <v/>
      </c>
      <c r="F38" s="27">
        <f>IF($C38="","",INDEX(인턴근무계획!$S$3:$S$402,$A38))</f>
        <v/>
      </c>
      <c r="G38" s="23">
        <f>IF(OR($C38="",$G$3=""),"",IF(INDEX(인턴근무계획!$M$3:$R$402,$A38,$G$3)&amp;""="","",IF(LEFT(INDEX(인턴근무계획!$M$3:$R$402,$A38,$G$3)&amp;"",1)="⚠",INDEX(인턴근무계획!$M$3:$R$402,$A38,$G$3)&amp;"",LEFT(INDEX(인턴근무계획!$M$3:$R$402,$A38,$G$3)&amp;"",FIND(" ",INDEX(인턴근무계획!$M$3:$R$402,$A38,$G$3)&amp;"")-1))))</f>
        <v/>
      </c>
      <c r="H38" s="23">
        <f>IF(OR($C38="",$G$3=""),"",IF(INDEX(인턴근무계획!$M$3:$R$402,$A38,$G$3)&amp;""="","",IF(LEFT(INDEX(인턴근무계획!$M$3:$R$402,$A38,$G$3)&amp;"",1)="⚠","",MID(INDEX(인턴근무계획!$M$3:$R$402,$A38,$G$3)&amp;"",FIND(" ",INDEX(인턴근무계획!$M$3:$R$402,$A38,$G$3)&amp;"")+1,60))))</f>
        <v/>
      </c>
      <c r="I38" s="23">
        <f>IF(OR($C38="",$I$3=""),"",IF(INDEX(인턴근무계획!$M$3:$R$402,$A38,$I$3)&amp;""="","",IF(LEFT(INDEX(인턴근무계획!$M$3:$R$402,$A38,$I$3)&amp;"",1)="⚠",INDEX(인턴근무계획!$M$3:$R$402,$A38,$I$3)&amp;"",LEFT(INDEX(인턴근무계획!$M$3:$R$402,$A38,$I$3)&amp;"",FIND(" ",INDEX(인턴근무계획!$M$3:$R$402,$A38,$I$3)&amp;"")-1))))</f>
        <v/>
      </c>
      <c r="J38" s="23">
        <f>IF(OR($C38="",$I$3=""),"",IF(INDEX(인턴근무계획!$M$3:$R$402,$A38,$I$3)&amp;""="","",IF(LEFT(INDEX(인턴근무계획!$M$3:$R$402,$A38,$I$3)&amp;"",1)="⚠","",MID(INDEX(인턴근무계획!$M$3:$R$402,$A38,$I$3)&amp;"",FIND(" ",INDEX(인턴근무계획!$M$3:$R$402,$A38,$I$3)&amp;"")+1,60))))</f>
        <v/>
      </c>
      <c r="K38" s="23">
        <f>IF($C38="","",INDEX(인턴근무계획!$M$3:$M$402,$A38)&amp;"")</f>
        <v/>
      </c>
      <c r="L38" s="23">
        <f>IF($C38="","",INDEX(인턴근무계획!$N$3:$N$402,$A38)&amp;"")</f>
        <v/>
      </c>
      <c r="M38" s="23">
        <f>IF($C38="","",INDEX(인턴근무계획!$O$3:$O$402,$A38)&amp;"")</f>
        <v/>
      </c>
      <c r="N38" s="23">
        <f>IF($C38="","",INDEX(인턴근무계획!$P$3:$P$402,$A38)&amp;"")</f>
        <v/>
      </c>
      <c r="O38" s="23">
        <f>IF($C38="","",INDEX(인턴근무계획!$Q$3:$Q$402,$A38)&amp;"")</f>
        <v/>
      </c>
      <c r="P38" s="23">
        <f>IF($C38="","",INDEX(인턴근무계획!$R$3:$R$402,$A38)&amp;"")</f>
        <v/>
      </c>
      <c r="Q38" s="23">
        <f>IF($C38="","",INDEX(인턴근무계획!$T$3:$T$402,$A38))</f>
        <v/>
      </c>
    </row>
    <row r="39">
      <c r="A39" s="26" t="n">
        <v>34</v>
      </c>
      <c r="B39" s="23">
        <f>IF($C39="","",INDEX(인턴근무계획!$B$3:$B$402,$A39))</f>
        <v/>
      </c>
      <c r="C39" s="23">
        <f>IFERROR(TRIM(INDEX(인턴근무계획!$C$3:$C$402,$A39)&amp;""),"")</f>
        <v/>
      </c>
      <c r="D39" s="23">
        <f>IF($C39="","",INDEX(인턴근무계획!$D$3:$D$402,$A39))</f>
        <v/>
      </c>
      <c r="E39" s="23">
        <f>IF($C39="","",IF(IFERROR(MATCH($D39,기본자료!$B$2:$B$1001,0),IFERROR(MATCH($D39&amp;"",기본자료!$B$2:$B$1001,0),IFERROR(MATCH(VALUE($D39),기본자료!$B$2:$B$1001,0),0)))&gt;0,"확인","미등록"))</f>
        <v/>
      </c>
      <c r="F39" s="27">
        <f>IF($C39="","",INDEX(인턴근무계획!$S$3:$S$402,$A39))</f>
        <v/>
      </c>
      <c r="G39" s="23">
        <f>IF(OR($C39="",$G$3=""),"",IF(INDEX(인턴근무계획!$M$3:$R$402,$A39,$G$3)&amp;""="","",IF(LEFT(INDEX(인턴근무계획!$M$3:$R$402,$A39,$G$3)&amp;"",1)="⚠",INDEX(인턴근무계획!$M$3:$R$402,$A39,$G$3)&amp;"",LEFT(INDEX(인턴근무계획!$M$3:$R$402,$A39,$G$3)&amp;"",FIND(" ",INDEX(인턴근무계획!$M$3:$R$402,$A39,$G$3)&amp;"")-1))))</f>
        <v/>
      </c>
      <c r="H39" s="23">
        <f>IF(OR($C39="",$G$3=""),"",IF(INDEX(인턴근무계획!$M$3:$R$402,$A39,$G$3)&amp;""="","",IF(LEFT(INDEX(인턴근무계획!$M$3:$R$402,$A39,$G$3)&amp;"",1)="⚠","",MID(INDEX(인턴근무계획!$M$3:$R$402,$A39,$G$3)&amp;"",FIND(" ",INDEX(인턴근무계획!$M$3:$R$402,$A39,$G$3)&amp;"")+1,60))))</f>
        <v/>
      </c>
      <c r="I39" s="23">
        <f>IF(OR($C39="",$I$3=""),"",IF(INDEX(인턴근무계획!$M$3:$R$402,$A39,$I$3)&amp;""="","",IF(LEFT(INDEX(인턴근무계획!$M$3:$R$402,$A39,$I$3)&amp;"",1)="⚠",INDEX(인턴근무계획!$M$3:$R$402,$A39,$I$3)&amp;"",LEFT(INDEX(인턴근무계획!$M$3:$R$402,$A39,$I$3)&amp;"",FIND(" ",INDEX(인턴근무계획!$M$3:$R$402,$A39,$I$3)&amp;"")-1))))</f>
        <v/>
      </c>
      <c r="J39" s="23">
        <f>IF(OR($C39="",$I$3=""),"",IF(INDEX(인턴근무계획!$M$3:$R$402,$A39,$I$3)&amp;""="","",IF(LEFT(INDEX(인턴근무계획!$M$3:$R$402,$A39,$I$3)&amp;"",1)="⚠","",MID(INDEX(인턴근무계획!$M$3:$R$402,$A39,$I$3)&amp;"",FIND(" ",INDEX(인턴근무계획!$M$3:$R$402,$A39,$I$3)&amp;"")+1,60))))</f>
        <v/>
      </c>
      <c r="K39" s="23">
        <f>IF($C39="","",INDEX(인턴근무계획!$M$3:$M$402,$A39)&amp;"")</f>
        <v/>
      </c>
      <c r="L39" s="23">
        <f>IF($C39="","",INDEX(인턴근무계획!$N$3:$N$402,$A39)&amp;"")</f>
        <v/>
      </c>
      <c r="M39" s="23">
        <f>IF($C39="","",INDEX(인턴근무계획!$O$3:$O$402,$A39)&amp;"")</f>
        <v/>
      </c>
      <c r="N39" s="23">
        <f>IF($C39="","",INDEX(인턴근무계획!$P$3:$P$402,$A39)&amp;"")</f>
        <v/>
      </c>
      <c r="O39" s="23">
        <f>IF($C39="","",INDEX(인턴근무계획!$Q$3:$Q$402,$A39)&amp;"")</f>
        <v/>
      </c>
      <c r="P39" s="23">
        <f>IF($C39="","",INDEX(인턴근무계획!$R$3:$R$402,$A39)&amp;"")</f>
        <v/>
      </c>
      <c r="Q39" s="23">
        <f>IF($C39="","",INDEX(인턴근무계획!$T$3:$T$402,$A39))</f>
        <v/>
      </c>
    </row>
    <row r="40">
      <c r="A40" s="26" t="n">
        <v>35</v>
      </c>
      <c r="B40" s="23">
        <f>IF($C40="","",INDEX(인턴근무계획!$B$3:$B$402,$A40))</f>
        <v/>
      </c>
      <c r="C40" s="23">
        <f>IFERROR(TRIM(INDEX(인턴근무계획!$C$3:$C$402,$A40)&amp;""),"")</f>
        <v/>
      </c>
      <c r="D40" s="23">
        <f>IF($C40="","",INDEX(인턴근무계획!$D$3:$D$402,$A40))</f>
        <v/>
      </c>
      <c r="E40" s="23">
        <f>IF($C40="","",IF(IFERROR(MATCH($D40,기본자료!$B$2:$B$1001,0),IFERROR(MATCH($D40&amp;"",기본자료!$B$2:$B$1001,0),IFERROR(MATCH(VALUE($D40),기본자료!$B$2:$B$1001,0),0)))&gt;0,"확인","미등록"))</f>
        <v/>
      </c>
      <c r="F40" s="27">
        <f>IF($C40="","",INDEX(인턴근무계획!$S$3:$S$402,$A40))</f>
        <v/>
      </c>
      <c r="G40" s="23">
        <f>IF(OR($C40="",$G$3=""),"",IF(INDEX(인턴근무계획!$M$3:$R$402,$A40,$G$3)&amp;""="","",IF(LEFT(INDEX(인턴근무계획!$M$3:$R$402,$A40,$G$3)&amp;"",1)="⚠",INDEX(인턴근무계획!$M$3:$R$402,$A40,$G$3)&amp;"",LEFT(INDEX(인턴근무계획!$M$3:$R$402,$A40,$G$3)&amp;"",FIND(" ",INDEX(인턴근무계획!$M$3:$R$402,$A40,$G$3)&amp;"")-1))))</f>
        <v/>
      </c>
      <c r="H40" s="23">
        <f>IF(OR($C40="",$G$3=""),"",IF(INDEX(인턴근무계획!$M$3:$R$402,$A40,$G$3)&amp;""="","",IF(LEFT(INDEX(인턴근무계획!$M$3:$R$402,$A40,$G$3)&amp;"",1)="⚠","",MID(INDEX(인턴근무계획!$M$3:$R$402,$A40,$G$3)&amp;"",FIND(" ",INDEX(인턴근무계획!$M$3:$R$402,$A40,$G$3)&amp;"")+1,60))))</f>
        <v/>
      </c>
      <c r="I40" s="23">
        <f>IF(OR($C40="",$I$3=""),"",IF(INDEX(인턴근무계획!$M$3:$R$402,$A40,$I$3)&amp;""="","",IF(LEFT(INDEX(인턴근무계획!$M$3:$R$402,$A40,$I$3)&amp;"",1)="⚠",INDEX(인턴근무계획!$M$3:$R$402,$A40,$I$3)&amp;"",LEFT(INDEX(인턴근무계획!$M$3:$R$402,$A40,$I$3)&amp;"",FIND(" ",INDEX(인턴근무계획!$M$3:$R$402,$A40,$I$3)&amp;"")-1))))</f>
        <v/>
      </c>
      <c r="J40" s="23">
        <f>IF(OR($C40="",$I$3=""),"",IF(INDEX(인턴근무계획!$M$3:$R$402,$A40,$I$3)&amp;""="","",IF(LEFT(INDEX(인턴근무계획!$M$3:$R$402,$A40,$I$3)&amp;"",1)="⚠","",MID(INDEX(인턴근무계획!$M$3:$R$402,$A40,$I$3)&amp;"",FIND(" ",INDEX(인턴근무계획!$M$3:$R$402,$A40,$I$3)&amp;"")+1,60))))</f>
        <v/>
      </c>
      <c r="K40" s="23">
        <f>IF($C40="","",INDEX(인턴근무계획!$M$3:$M$402,$A40)&amp;"")</f>
        <v/>
      </c>
      <c r="L40" s="23">
        <f>IF($C40="","",INDEX(인턴근무계획!$N$3:$N$402,$A40)&amp;"")</f>
        <v/>
      </c>
      <c r="M40" s="23">
        <f>IF($C40="","",INDEX(인턴근무계획!$O$3:$O$402,$A40)&amp;"")</f>
        <v/>
      </c>
      <c r="N40" s="23">
        <f>IF($C40="","",INDEX(인턴근무계획!$P$3:$P$402,$A40)&amp;"")</f>
        <v/>
      </c>
      <c r="O40" s="23">
        <f>IF($C40="","",INDEX(인턴근무계획!$Q$3:$Q$402,$A40)&amp;"")</f>
        <v/>
      </c>
      <c r="P40" s="23">
        <f>IF($C40="","",INDEX(인턴근무계획!$R$3:$R$402,$A40)&amp;"")</f>
        <v/>
      </c>
      <c r="Q40" s="23">
        <f>IF($C40="","",INDEX(인턴근무계획!$T$3:$T$402,$A40))</f>
        <v/>
      </c>
    </row>
    <row r="41">
      <c r="A41" s="26" t="n">
        <v>36</v>
      </c>
      <c r="B41" s="23">
        <f>IF($C41="","",INDEX(인턴근무계획!$B$3:$B$402,$A41))</f>
        <v/>
      </c>
      <c r="C41" s="23">
        <f>IFERROR(TRIM(INDEX(인턴근무계획!$C$3:$C$402,$A41)&amp;""),"")</f>
        <v/>
      </c>
      <c r="D41" s="23">
        <f>IF($C41="","",INDEX(인턴근무계획!$D$3:$D$402,$A41))</f>
        <v/>
      </c>
      <c r="E41" s="23">
        <f>IF($C41="","",IF(IFERROR(MATCH($D41,기본자료!$B$2:$B$1001,0),IFERROR(MATCH($D41&amp;"",기본자료!$B$2:$B$1001,0),IFERROR(MATCH(VALUE($D41),기본자료!$B$2:$B$1001,0),0)))&gt;0,"확인","미등록"))</f>
        <v/>
      </c>
      <c r="F41" s="27">
        <f>IF($C41="","",INDEX(인턴근무계획!$S$3:$S$402,$A41))</f>
        <v/>
      </c>
      <c r="G41" s="23">
        <f>IF(OR($C41="",$G$3=""),"",IF(INDEX(인턴근무계획!$M$3:$R$402,$A41,$G$3)&amp;""="","",IF(LEFT(INDEX(인턴근무계획!$M$3:$R$402,$A41,$G$3)&amp;"",1)="⚠",INDEX(인턴근무계획!$M$3:$R$402,$A41,$G$3)&amp;"",LEFT(INDEX(인턴근무계획!$M$3:$R$402,$A41,$G$3)&amp;"",FIND(" ",INDEX(인턴근무계획!$M$3:$R$402,$A41,$G$3)&amp;"")-1))))</f>
        <v/>
      </c>
      <c r="H41" s="23">
        <f>IF(OR($C41="",$G$3=""),"",IF(INDEX(인턴근무계획!$M$3:$R$402,$A41,$G$3)&amp;""="","",IF(LEFT(INDEX(인턴근무계획!$M$3:$R$402,$A41,$G$3)&amp;"",1)="⚠","",MID(INDEX(인턴근무계획!$M$3:$R$402,$A41,$G$3)&amp;"",FIND(" ",INDEX(인턴근무계획!$M$3:$R$402,$A41,$G$3)&amp;"")+1,60))))</f>
        <v/>
      </c>
      <c r="I41" s="23">
        <f>IF(OR($C41="",$I$3=""),"",IF(INDEX(인턴근무계획!$M$3:$R$402,$A41,$I$3)&amp;""="","",IF(LEFT(INDEX(인턴근무계획!$M$3:$R$402,$A41,$I$3)&amp;"",1)="⚠",INDEX(인턴근무계획!$M$3:$R$402,$A41,$I$3)&amp;"",LEFT(INDEX(인턴근무계획!$M$3:$R$402,$A41,$I$3)&amp;"",FIND(" ",INDEX(인턴근무계획!$M$3:$R$402,$A41,$I$3)&amp;"")-1))))</f>
        <v/>
      </c>
      <c r="J41" s="23">
        <f>IF(OR($C41="",$I$3=""),"",IF(INDEX(인턴근무계획!$M$3:$R$402,$A41,$I$3)&amp;""="","",IF(LEFT(INDEX(인턴근무계획!$M$3:$R$402,$A41,$I$3)&amp;"",1)="⚠","",MID(INDEX(인턴근무계획!$M$3:$R$402,$A41,$I$3)&amp;"",FIND(" ",INDEX(인턴근무계획!$M$3:$R$402,$A41,$I$3)&amp;"")+1,60))))</f>
        <v/>
      </c>
      <c r="K41" s="23">
        <f>IF($C41="","",INDEX(인턴근무계획!$M$3:$M$402,$A41)&amp;"")</f>
        <v/>
      </c>
      <c r="L41" s="23">
        <f>IF($C41="","",INDEX(인턴근무계획!$N$3:$N$402,$A41)&amp;"")</f>
        <v/>
      </c>
      <c r="M41" s="23">
        <f>IF($C41="","",INDEX(인턴근무계획!$O$3:$O$402,$A41)&amp;"")</f>
        <v/>
      </c>
      <c r="N41" s="23">
        <f>IF($C41="","",INDEX(인턴근무계획!$P$3:$P$402,$A41)&amp;"")</f>
        <v/>
      </c>
      <c r="O41" s="23">
        <f>IF($C41="","",INDEX(인턴근무계획!$Q$3:$Q$402,$A41)&amp;"")</f>
        <v/>
      </c>
      <c r="P41" s="23">
        <f>IF($C41="","",INDEX(인턴근무계획!$R$3:$R$402,$A41)&amp;"")</f>
        <v/>
      </c>
      <c r="Q41" s="23">
        <f>IF($C41="","",INDEX(인턴근무계획!$T$3:$T$402,$A41))</f>
        <v/>
      </c>
    </row>
    <row r="42">
      <c r="A42" s="26" t="n">
        <v>37</v>
      </c>
      <c r="B42" s="23">
        <f>IF($C42="","",INDEX(인턴근무계획!$B$3:$B$402,$A42))</f>
        <v/>
      </c>
      <c r="C42" s="23">
        <f>IFERROR(TRIM(INDEX(인턴근무계획!$C$3:$C$402,$A42)&amp;""),"")</f>
        <v/>
      </c>
      <c r="D42" s="23">
        <f>IF($C42="","",INDEX(인턴근무계획!$D$3:$D$402,$A42))</f>
        <v/>
      </c>
      <c r="E42" s="23">
        <f>IF($C42="","",IF(IFERROR(MATCH($D42,기본자료!$B$2:$B$1001,0),IFERROR(MATCH($D42&amp;"",기본자료!$B$2:$B$1001,0),IFERROR(MATCH(VALUE($D42),기본자료!$B$2:$B$1001,0),0)))&gt;0,"확인","미등록"))</f>
        <v/>
      </c>
      <c r="F42" s="27">
        <f>IF($C42="","",INDEX(인턴근무계획!$S$3:$S$402,$A42))</f>
        <v/>
      </c>
      <c r="G42" s="23">
        <f>IF(OR($C42="",$G$3=""),"",IF(INDEX(인턴근무계획!$M$3:$R$402,$A42,$G$3)&amp;""="","",IF(LEFT(INDEX(인턴근무계획!$M$3:$R$402,$A42,$G$3)&amp;"",1)="⚠",INDEX(인턴근무계획!$M$3:$R$402,$A42,$G$3)&amp;"",LEFT(INDEX(인턴근무계획!$M$3:$R$402,$A42,$G$3)&amp;"",FIND(" ",INDEX(인턴근무계획!$M$3:$R$402,$A42,$G$3)&amp;"")-1))))</f>
        <v/>
      </c>
      <c r="H42" s="23">
        <f>IF(OR($C42="",$G$3=""),"",IF(INDEX(인턴근무계획!$M$3:$R$402,$A42,$G$3)&amp;""="","",IF(LEFT(INDEX(인턴근무계획!$M$3:$R$402,$A42,$G$3)&amp;"",1)="⚠","",MID(INDEX(인턴근무계획!$M$3:$R$402,$A42,$G$3)&amp;"",FIND(" ",INDEX(인턴근무계획!$M$3:$R$402,$A42,$G$3)&amp;"")+1,60))))</f>
        <v/>
      </c>
      <c r="I42" s="23">
        <f>IF(OR($C42="",$I$3=""),"",IF(INDEX(인턴근무계획!$M$3:$R$402,$A42,$I$3)&amp;""="","",IF(LEFT(INDEX(인턴근무계획!$M$3:$R$402,$A42,$I$3)&amp;"",1)="⚠",INDEX(인턴근무계획!$M$3:$R$402,$A42,$I$3)&amp;"",LEFT(INDEX(인턴근무계획!$M$3:$R$402,$A42,$I$3)&amp;"",FIND(" ",INDEX(인턴근무계획!$M$3:$R$402,$A42,$I$3)&amp;"")-1))))</f>
        <v/>
      </c>
      <c r="J42" s="23">
        <f>IF(OR($C42="",$I$3=""),"",IF(INDEX(인턴근무계획!$M$3:$R$402,$A42,$I$3)&amp;""="","",IF(LEFT(INDEX(인턴근무계획!$M$3:$R$402,$A42,$I$3)&amp;"",1)="⚠","",MID(INDEX(인턴근무계획!$M$3:$R$402,$A42,$I$3)&amp;"",FIND(" ",INDEX(인턴근무계획!$M$3:$R$402,$A42,$I$3)&amp;"")+1,60))))</f>
        <v/>
      </c>
      <c r="K42" s="23">
        <f>IF($C42="","",INDEX(인턴근무계획!$M$3:$M$402,$A42)&amp;"")</f>
        <v/>
      </c>
      <c r="L42" s="23">
        <f>IF($C42="","",INDEX(인턴근무계획!$N$3:$N$402,$A42)&amp;"")</f>
        <v/>
      </c>
      <c r="M42" s="23">
        <f>IF($C42="","",INDEX(인턴근무계획!$O$3:$O$402,$A42)&amp;"")</f>
        <v/>
      </c>
      <c r="N42" s="23">
        <f>IF($C42="","",INDEX(인턴근무계획!$P$3:$P$402,$A42)&amp;"")</f>
        <v/>
      </c>
      <c r="O42" s="23">
        <f>IF($C42="","",INDEX(인턴근무계획!$Q$3:$Q$402,$A42)&amp;"")</f>
        <v/>
      </c>
      <c r="P42" s="23">
        <f>IF($C42="","",INDEX(인턴근무계획!$R$3:$R$402,$A42)&amp;"")</f>
        <v/>
      </c>
      <c r="Q42" s="23">
        <f>IF($C42="","",INDEX(인턴근무계획!$T$3:$T$402,$A42))</f>
        <v/>
      </c>
    </row>
    <row r="43">
      <c r="A43" s="26" t="n">
        <v>38</v>
      </c>
      <c r="B43" s="23">
        <f>IF($C43="","",INDEX(인턴근무계획!$B$3:$B$402,$A43))</f>
        <v/>
      </c>
      <c r="C43" s="23">
        <f>IFERROR(TRIM(INDEX(인턴근무계획!$C$3:$C$402,$A43)&amp;""),"")</f>
        <v/>
      </c>
      <c r="D43" s="23">
        <f>IF($C43="","",INDEX(인턴근무계획!$D$3:$D$402,$A43))</f>
        <v/>
      </c>
      <c r="E43" s="23">
        <f>IF($C43="","",IF(IFERROR(MATCH($D43,기본자료!$B$2:$B$1001,0),IFERROR(MATCH($D43&amp;"",기본자료!$B$2:$B$1001,0),IFERROR(MATCH(VALUE($D43),기본자료!$B$2:$B$1001,0),0)))&gt;0,"확인","미등록"))</f>
        <v/>
      </c>
      <c r="F43" s="27">
        <f>IF($C43="","",INDEX(인턴근무계획!$S$3:$S$402,$A43))</f>
        <v/>
      </c>
      <c r="G43" s="23">
        <f>IF(OR($C43="",$G$3=""),"",IF(INDEX(인턴근무계획!$M$3:$R$402,$A43,$G$3)&amp;""="","",IF(LEFT(INDEX(인턴근무계획!$M$3:$R$402,$A43,$G$3)&amp;"",1)="⚠",INDEX(인턴근무계획!$M$3:$R$402,$A43,$G$3)&amp;"",LEFT(INDEX(인턴근무계획!$M$3:$R$402,$A43,$G$3)&amp;"",FIND(" ",INDEX(인턴근무계획!$M$3:$R$402,$A43,$G$3)&amp;"")-1))))</f>
        <v/>
      </c>
      <c r="H43" s="23">
        <f>IF(OR($C43="",$G$3=""),"",IF(INDEX(인턴근무계획!$M$3:$R$402,$A43,$G$3)&amp;""="","",IF(LEFT(INDEX(인턴근무계획!$M$3:$R$402,$A43,$G$3)&amp;"",1)="⚠","",MID(INDEX(인턴근무계획!$M$3:$R$402,$A43,$G$3)&amp;"",FIND(" ",INDEX(인턴근무계획!$M$3:$R$402,$A43,$G$3)&amp;"")+1,60))))</f>
        <v/>
      </c>
      <c r="I43" s="23">
        <f>IF(OR($C43="",$I$3=""),"",IF(INDEX(인턴근무계획!$M$3:$R$402,$A43,$I$3)&amp;""="","",IF(LEFT(INDEX(인턴근무계획!$M$3:$R$402,$A43,$I$3)&amp;"",1)="⚠",INDEX(인턴근무계획!$M$3:$R$402,$A43,$I$3)&amp;"",LEFT(INDEX(인턴근무계획!$M$3:$R$402,$A43,$I$3)&amp;"",FIND(" ",INDEX(인턴근무계획!$M$3:$R$402,$A43,$I$3)&amp;"")-1))))</f>
        <v/>
      </c>
      <c r="J43" s="23">
        <f>IF(OR($C43="",$I$3=""),"",IF(INDEX(인턴근무계획!$M$3:$R$402,$A43,$I$3)&amp;""="","",IF(LEFT(INDEX(인턴근무계획!$M$3:$R$402,$A43,$I$3)&amp;"",1)="⚠","",MID(INDEX(인턴근무계획!$M$3:$R$402,$A43,$I$3)&amp;"",FIND(" ",INDEX(인턴근무계획!$M$3:$R$402,$A43,$I$3)&amp;"")+1,60))))</f>
        <v/>
      </c>
      <c r="K43" s="23">
        <f>IF($C43="","",INDEX(인턴근무계획!$M$3:$M$402,$A43)&amp;"")</f>
        <v/>
      </c>
      <c r="L43" s="23">
        <f>IF($C43="","",INDEX(인턴근무계획!$N$3:$N$402,$A43)&amp;"")</f>
        <v/>
      </c>
      <c r="M43" s="23">
        <f>IF($C43="","",INDEX(인턴근무계획!$O$3:$O$402,$A43)&amp;"")</f>
        <v/>
      </c>
      <c r="N43" s="23">
        <f>IF($C43="","",INDEX(인턴근무계획!$P$3:$P$402,$A43)&amp;"")</f>
        <v/>
      </c>
      <c r="O43" s="23">
        <f>IF($C43="","",INDEX(인턴근무계획!$Q$3:$Q$402,$A43)&amp;"")</f>
        <v/>
      </c>
      <c r="P43" s="23">
        <f>IF($C43="","",INDEX(인턴근무계획!$R$3:$R$402,$A43)&amp;"")</f>
        <v/>
      </c>
      <c r="Q43" s="23">
        <f>IF($C43="","",INDEX(인턴근무계획!$T$3:$T$402,$A43))</f>
        <v/>
      </c>
    </row>
    <row r="44">
      <c r="A44" s="26" t="n">
        <v>39</v>
      </c>
      <c r="B44" s="23">
        <f>IF($C44="","",INDEX(인턴근무계획!$B$3:$B$402,$A44))</f>
        <v/>
      </c>
      <c r="C44" s="23">
        <f>IFERROR(TRIM(INDEX(인턴근무계획!$C$3:$C$402,$A44)&amp;""),"")</f>
        <v/>
      </c>
      <c r="D44" s="23">
        <f>IF($C44="","",INDEX(인턴근무계획!$D$3:$D$402,$A44))</f>
        <v/>
      </c>
      <c r="E44" s="23">
        <f>IF($C44="","",IF(IFERROR(MATCH($D44,기본자료!$B$2:$B$1001,0),IFERROR(MATCH($D44&amp;"",기본자료!$B$2:$B$1001,0),IFERROR(MATCH(VALUE($D44),기본자료!$B$2:$B$1001,0),0)))&gt;0,"확인","미등록"))</f>
        <v/>
      </c>
      <c r="F44" s="27">
        <f>IF($C44="","",INDEX(인턴근무계획!$S$3:$S$402,$A44))</f>
        <v/>
      </c>
      <c r="G44" s="23">
        <f>IF(OR($C44="",$G$3=""),"",IF(INDEX(인턴근무계획!$M$3:$R$402,$A44,$G$3)&amp;""="","",IF(LEFT(INDEX(인턴근무계획!$M$3:$R$402,$A44,$G$3)&amp;"",1)="⚠",INDEX(인턴근무계획!$M$3:$R$402,$A44,$G$3)&amp;"",LEFT(INDEX(인턴근무계획!$M$3:$R$402,$A44,$G$3)&amp;"",FIND(" ",INDEX(인턴근무계획!$M$3:$R$402,$A44,$G$3)&amp;"")-1))))</f>
        <v/>
      </c>
      <c r="H44" s="23">
        <f>IF(OR($C44="",$G$3=""),"",IF(INDEX(인턴근무계획!$M$3:$R$402,$A44,$G$3)&amp;""="","",IF(LEFT(INDEX(인턴근무계획!$M$3:$R$402,$A44,$G$3)&amp;"",1)="⚠","",MID(INDEX(인턴근무계획!$M$3:$R$402,$A44,$G$3)&amp;"",FIND(" ",INDEX(인턴근무계획!$M$3:$R$402,$A44,$G$3)&amp;"")+1,60))))</f>
        <v/>
      </c>
      <c r="I44" s="23">
        <f>IF(OR($C44="",$I$3=""),"",IF(INDEX(인턴근무계획!$M$3:$R$402,$A44,$I$3)&amp;""="","",IF(LEFT(INDEX(인턴근무계획!$M$3:$R$402,$A44,$I$3)&amp;"",1)="⚠",INDEX(인턴근무계획!$M$3:$R$402,$A44,$I$3)&amp;"",LEFT(INDEX(인턴근무계획!$M$3:$R$402,$A44,$I$3)&amp;"",FIND(" ",INDEX(인턴근무계획!$M$3:$R$402,$A44,$I$3)&amp;"")-1))))</f>
        <v/>
      </c>
      <c r="J44" s="23">
        <f>IF(OR($C44="",$I$3=""),"",IF(INDEX(인턴근무계획!$M$3:$R$402,$A44,$I$3)&amp;""="","",IF(LEFT(INDEX(인턴근무계획!$M$3:$R$402,$A44,$I$3)&amp;"",1)="⚠","",MID(INDEX(인턴근무계획!$M$3:$R$402,$A44,$I$3)&amp;"",FIND(" ",INDEX(인턴근무계획!$M$3:$R$402,$A44,$I$3)&amp;"")+1,60))))</f>
        <v/>
      </c>
      <c r="K44" s="23">
        <f>IF($C44="","",INDEX(인턴근무계획!$M$3:$M$402,$A44)&amp;"")</f>
        <v/>
      </c>
      <c r="L44" s="23">
        <f>IF($C44="","",INDEX(인턴근무계획!$N$3:$N$402,$A44)&amp;"")</f>
        <v/>
      </c>
      <c r="M44" s="23">
        <f>IF($C44="","",INDEX(인턴근무계획!$O$3:$O$402,$A44)&amp;"")</f>
        <v/>
      </c>
      <c r="N44" s="23">
        <f>IF($C44="","",INDEX(인턴근무계획!$P$3:$P$402,$A44)&amp;"")</f>
        <v/>
      </c>
      <c r="O44" s="23">
        <f>IF($C44="","",INDEX(인턴근무계획!$Q$3:$Q$402,$A44)&amp;"")</f>
        <v/>
      </c>
      <c r="P44" s="23">
        <f>IF($C44="","",INDEX(인턴근무계획!$R$3:$R$402,$A44)&amp;"")</f>
        <v/>
      </c>
      <c r="Q44" s="23">
        <f>IF($C44="","",INDEX(인턴근무계획!$T$3:$T$402,$A44))</f>
        <v/>
      </c>
    </row>
    <row r="45">
      <c r="A45" s="26" t="n">
        <v>40</v>
      </c>
      <c r="B45" s="23">
        <f>IF($C45="","",INDEX(인턴근무계획!$B$3:$B$402,$A45))</f>
        <v/>
      </c>
      <c r="C45" s="23">
        <f>IFERROR(TRIM(INDEX(인턴근무계획!$C$3:$C$402,$A45)&amp;""),"")</f>
        <v/>
      </c>
      <c r="D45" s="23">
        <f>IF($C45="","",INDEX(인턴근무계획!$D$3:$D$402,$A45))</f>
        <v/>
      </c>
      <c r="E45" s="23">
        <f>IF($C45="","",IF(IFERROR(MATCH($D45,기본자료!$B$2:$B$1001,0),IFERROR(MATCH($D45&amp;"",기본자료!$B$2:$B$1001,0),IFERROR(MATCH(VALUE($D45),기본자료!$B$2:$B$1001,0),0)))&gt;0,"확인","미등록"))</f>
        <v/>
      </c>
      <c r="F45" s="27">
        <f>IF($C45="","",INDEX(인턴근무계획!$S$3:$S$402,$A45))</f>
        <v/>
      </c>
      <c r="G45" s="23">
        <f>IF(OR($C45="",$G$3=""),"",IF(INDEX(인턴근무계획!$M$3:$R$402,$A45,$G$3)&amp;""="","",IF(LEFT(INDEX(인턴근무계획!$M$3:$R$402,$A45,$G$3)&amp;"",1)="⚠",INDEX(인턴근무계획!$M$3:$R$402,$A45,$G$3)&amp;"",LEFT(INDEX(인턴근무계획!$M$3:$R$402,$A45,$G$3)&amp;"",FIND(" ",INDEX(인턴근무계획!$M$3:$R$402,$A45,$G$3)&amp;"")-1))))</f>
        <v/>
      </c>
      <c r="H45" s="23">
        <f>IF(OR($C45="",$G$3=""),"",IF(INDEX(인턴근무계획!$M$3:$R$402,$A45,$G$3)&amp;""="","",IF(LEFT(INDEX(인턴근무계획!$M$3:$R$402,$A45,$G$3)&amp;"",1)="⚠","",MID(INDEX(인턴근무계획!$M$3:$R$402,$A45,$G$3)&amp;"",FIND(" ",INDEX(인턴근무계획!$M$3:$R$402,$A45,$G$3)&amp;"")+1,60))))</f>
        <v/>
      </c>
      <c r="I45" s="23">
        <f>IF(OR($C45="",$I$3=""),"",IF(INDEX(인턴근무계획!$M$3:$R$402,$A45,$I$3)&amp;""="","",IF(LEFT(INDEX(인턴근무계획!$M$3:$R$402,$A45,$I$3)&amp;"",1)="⚠",INDEX(인턴근무계획!$M$3:$R$402,$A45,$I$3)&amp;"",LEFT(INDEX(인턴근무계획!$M$3:$R$402,$A45,$I$3)&amp;"",FIND(" ",INDEX(인턴근무계획!$M$3:$R$402,$A45,$I$3)&amp;"")-1))))</f>
        <v/>
      </c>
      <c r="J45" s="23">
        <f>IF(OR($C45="",$I$3=""),"",IF(INDEX(인턴근무계획!$M$3:$R$402,$A45,$I$3)&amp;""="","",IF(LEFT(INDEX(인턴근무계획!$M$3:$R$402,$A45,$I$3)&amp;"",1)="⚠","",MID(INDEX(인턴근무계획!$M$3:$R$402,$A45,$I$3)&amp;"",FIND(" ",INDEX(인턴근무계획!$M$3:$R$402,$A45,$I$3)&amp;"")+1,60))))</f>
        <v/>
      </c>
      <c r="K45" s="23">
        <f>IF($C45="","",INDEX(인턴근무계획!$M$3:$M$402,$A45)&amp;"")</f>
        <v/>
      </c>
      <c r="L45" s="23">
        <f>IF($C45="","",INDEX(인턴근무계획!$N$3:$N$402,$A45)&amp;"")</f>
        <v/>
      </c>
      <c r="M45" s="23">
        <f>IF($C45="","",INDEX(인턴근무계획!$O$3:$O$402,$A45)&amp;"")</f>
        <v/>
      </c>
      <c r="N45" s="23">
        <f>IF($C45="","",INDEX(인턴근무계획!$P$3:$P$402,$A45)&amp;"")</f>
        <v/>
      </c>
      <c r="O45" s="23">
        <f>IF($C45="","",INDEX(인턴근무계획!$Q$3:$Q$402,$A45)&amp;"")</f>
        <v/>
      </c>
      <c r="P45" s="23">
        <f>IF($C45="","",INDEX(인턴근무계획!$R$3:$R$402,$A45)&amp;"")</f>
        <v/>
      </c>
      <c r="Q45" s="23">
        <f>IF($C45="","",INDEX(인턴근무계획!$T$3:$T$402,$A45))</f>
        <v/>
      </c>
    </row>
    <row r="46">
      <c r="A46" s="26" t="n">
        <v>41</v>
      </c>
      <c r="B46" s="23">
        <f>IF($C46="","",INDEX(인턴근무계획!$B$3:$B$402,$A46))</f>
        <v/>
      </c>
      <c r="C46" s="23">
        <f>IFERROR(TRIM(INDEX(인턴근무계획!$C$3:$C$402,$A46)&amp;""),"")</f>
        <v/>
      </c>
      <c r="D46" s="23">
        <f>IF($C46="","",INDEX(인턴근무계획!$D$3:$D$402,$A46))</f>
        <v/>
      </c>
      <c r="E46" s="23">
        <f>IF($C46="","",IF(IFERROR(MATCH($D46,기본자료!$B$2:$B$1001,0),IFERROR(MATCH($D46&amp;"",기본자료!$B$2:$B$1001,0),IFERROR(MATCH(VALUE($D46),기본자료!$B$2:$B$1001,0),0)))&gt;0,"확인","미등록"))</f>
        <v/>
      </c>
      <c r="F46" s="27">
        <f>IF($C46="","",INDEX(인턴근무계획!$S$3:$S$402,$A46))</f>
        <v/>
      </c>
      <c r="G46" s="23">
        <f>IF(OR($C46="",$G$3=""),"",IF(INDEX(인턴근무계획!$M$3:$R$402,$A46,$G$3)&amp;""="","",IF(LEFT(INDEX(인턴근무계획!$M$3:$R$402,$A46,$G$3)&amp;"",1)="⚠",INDEX(인턴근무계획!$M$3:$R$402,$A46,$G$3)&amp;"",LEFT(INDEX(인턴근무계획!$M$3:$R$402,$A46,$G$3)&amp;"",FIND(" ",INDEX(인턴근무계획!$M$3:$R$402,$A46,$G$3)&amp;"")-1))))</f>
        <v/>
      </c>
      <c r="H46" s="23">
        <f>IF(OR($C46="",$G$3=""),"",IF(INDEX(인턴근무계획!$M$3:$R$402,$A46,$G$3)&amp;""="","",IF(LEFT(INDEX(인턴근무계획!$M$3:$R$402,$A46,$G$3)&amp;"",1)="⚠","",MID(INDEX(인턴근무계획!$M$3:$R$402,$A46,$G$3)&amp;"",FIND(" ",INDEX(인턴근무계획!$M$3:$R$402,$A46,$G$3)&amp;"")+1,60))))</f>
        <v/>
      </c>
      <c r="I46" s="23">
        <f>IF(OR($C46="",$I$3=""),"",IF(INDEX(인턴근무계획!$M$3:$R$402,$A46,$I$3)&amp;""="","",IF(LEFT(INDEX(인턴근무계획!$M$3:$R$402,$A46,$I$3)&amp;"",1)="⚠",INDEX(인턴근무계획!$M$3:$R$402,$A46,$I$3)&amp;"",LEFT(INDEX(인턴근무계획!$M$3:$R$402,$A46,$I$3)&amp;"",FIND(" ",INDEX(인턴근무계획!$M$3:$R$402,$A46,$I$3)&amp;"")-1))))</f>
        <v/>
      </c>
      <c r="J46" s="23">
        <f>IF(OR($C46="",$I$3=""),"",IF(INDEX(인턴근무계획!$M$3:$R$402,$A46,$I$3)&amp;""="","",IF(LEFT(INDEX(인턴근무계획!$M$3:$R$402,$A46,$I$3)&amp;"",1)="⚠","",MID(INDEX(인턴근무계획!$M$3:$R$402,$A46,$I$3)&amp;"",FIND(" ",INDEX(인턴근무계획!$M$3:$R$402,$A46,$I$3)&amp;"")+1,60))))</f>
        <v/>
      </c>
      <c r="K46" s="23">
        <f>IF($C46="","",INDEX(인턴근무계획!$M$3:$M$402,$A46)&amp;"")</f>
        <v/>
      </c>
      <c r="L46" s="23">
        <f>IF($C46="","",INDEX(인턴근무계획!$N$3:$N$402,$A46)&amp;"")</f>
        <v/>
      </c>
      <c r="M46" s="23">
        <f>IF($C46="","",INDEX(인턴근무계획!$O$3:$O$402,$A46)&amp;"")</f>
        <v/>
      </c>
      <c r="N46" s="23">
        <f>IF($C46="","",INDEX(인턴근무계획!$P$3:$P$402,$A46)&amp;"")</f>
        <v/>
      </c>
      <c r="O46" s="23">
        <f>IF($C46="","",INDEX(인턴근무계획!$Q$3:$Q$402,$A46)&amp;"")</f>
        <v/>
      </c>
      <c r="P46" s="23">
        <f>IF($C46="","",INDEX(인턴근무계획!$R$3:$R$402,$A46)&amp;"")</f>
        <v/>
      </c>
      <c r="Q46" s="23">
        <f>IF($C46="","",INDEX(인턴근무계획!$T$3:$T$402,$A46))</f>
        <v/>
      </c>
    </row>
    <row r="47">
      <c r="A47" s="26" t="n">
        <v>42</v>
      </c>
      <c r="B47" s="23">
        <f>IF($C47="","",INDEX(인턴근무계획!$B$3:$B$402,$A47))</f>
        <v/>
      </c>
      <c r="C47" s="23">
        <f>IFERROR(TRIM(INDEX(인턴근무계획!$C$3:$C$402,$A47)&amp;""),"")</f>
        <v/>
      </c>
      <c r="D47" s="23">
        <f>IF($C47="","",INDEX(인턴근무계획!$D$3:$D$402,$A47))</f>
        <v/>
      </c>
      <c r="E47" s="23">
        <f>IF($C47="","",IF(IFERROR(MATCH($D47,기본자료!$B$2:$B$1001,0),IFERROR(MATCH($D47&amp;"",기본자료!$B$2:$B$1001,0),IFERROR(MATCH(VALUE($D47),기본자료!$B$2:$B$1001,0),0)))&gt;0,"확인","미등록"))</f>
        <v/>
      </c>
      <c r="F47" s="27">
        <f>IF($C47="","",INDEX(인턴근무계획!$S$3:$S$402,$A47))</f>
        <v/>
      </c>
      <c r="G47" s="23">
        <f>IF(OR($C47="",$G$3=""),"",IF(INDEX(인턴근무계획!$M$3:$R$402,$A47,$G$3)&amp;""="","",IF(LEFT(INDEX(인턴근무계획!$M$3:$R$402,$A47,$G$3)&amp;"",1)="⚠",INDEX(인턴근무계획!$M$3:$R$402,$A47,$G$3)&amp;"",LEFT(INDEX(인턴근무계획!$M$3:$R$402,$A47,$G$3)&amp;"",FIND(" ",INDEX(인턴근무계획!$M$3:$R$402,$A47,$G$3)&amp;"")-1))))</f>
        <v/>
      </c>
      <c r="H47" s="23">
        <f>IF(OR($C47="",$G$3=""),"",IF(INDEX(인턴근무계획!$M$3:$R$402,$A47,$G$3)&amp;""="","",IF(LEFT(INDEX(인턴근무계획!$M$3:$R$402,$A47,$G$3)&amp;"",1)="⚠","",MID(INDEX(인턴근무계획!$M$3:$R$402,$A47,$G$3)&amp;"",FIND(" ",INDEX(인턴근무계획!$M$3:$R$402,$A47,$G$3)&amp;"")+1,60))))</f>
        <v/>
      </c>
      <c r="I47" s="23">
        <f>IF(OR($C47="",$I$3=""),"",IF(INDEX(인턴근무계획!$M$3:$R$402,$A47,$I$3)&amp;""="","",IF(LEFT(INDEX(인턴근무계획!$M$3:$R$402,$A47,$I$3)&amp;"",1)="⚠",INDEX(인턴근무계획!$M$3:$R$402,$A47,$I$3)&amp;"",LEFT(INDEX(인턴근무계획!$M$3:$R$402,$A47,$I$3)&amp;"",FIND(" ",INDEX(인턴근무계획!$M$3:$R$402,$A47,$I$3)&amp;"")-1))))</f>
        <v/>
      </c>
      <c r="J47" s="23">
        <f>IF(OR($C47="",$I$3=""),"",IF(INDEX(인턴근무계획!$M$3:$R$402,$A47,$I$3)&amp;""="","",IF(LEFT(INDEX(인턴근무계획!$M$3:$R$402,$A47,$I$3)&amp;"",1)="⚠","",MID(INDEX(인턴근무계획!$M$3:$R$402,$A47,$I$3)&amp;"",FIND(" ",INDEX(인턴근무계획!$M$3:$R$402,$A47,$I$3)&amp;"")+1,60))))</f>
        <v/>
      </c>
      <c r="K47" s="23">
        <f>IF($C47="","",INDEX(인턴근무계획!$M$3:$M$402,$A47)&amp;"")</f>
        <v/>
      </c>
      <c r="L47" s="23">
        <f>IF($C47="","",INDEX(인턴근무계획!$N$3:$N$402,$A47)&amp;"")</f>
        <v/>
      </c>
      <c r="M47" s="23">
        <f>IF($C47="","",INDEX(인턴근무계획!$O$3:$O$402,$A47)&amp;"")</f>
        <v/>
      </c>
      <c r="N47" s="23">
        <f>IF($C47="","",INDEX(인턴근무계획!$P$3:$P$402,$A47)&amp;"")</f>
        <v/>
      </c>
      <c r="O47" s="23">
        <f>IF($C47="","",INDEX(인턴근무계획!$Q$3:$Q$402,$A47)&amp;"")</f>
        <v/>
      </c>
      <c r="P47" s="23">
        <f>IF($C47="","",INDEX(인턴근무계획!$R$3:$R$402,$A47)&amp;"")</f>
        <v/>
      </c>
      <c r="Q47" s="23">
        <f>IF($C47="","",INDEX(인턴근무계획!$T$3:$T$402,$A47))</f>
        <v/>
      </c>
    </row>
    <row r="48">
      <c r="A48" s="26" t="n">
        <v>43</v>
      </c>
      <c r="B48" s="23">
        <f>IF($C48="","",INDEX(인턴근무계획!$B$3:$B$402,$A48))</f>
        <v/>
      </c>
      <c r="C48" s="23">
        <f>IFERROR(TRIM(INDEX(인턴근무계획!$C$3:$C$402,$A48)&amp;""),"")</f>
        <v/>
      </c>
      <c r="D48" s="23">
        <f>IF($C48="","",INDEX(인턴근무계획!$D$3:$D$402,$A48))</f>
        <v/>
      </c>
      <c r="E48" s="23">
        <f>IF($C48="","",IF(IFERROR(MATCH($D48,기본자료!$B$2:$B$1001,0),IFERROR(MATCH($D48&amp;"",기본자료!$B$2:$B$1001,0),IFERROR(MATCH(VALUE($D48),기본자료!$B$2:$B$1001,0),0)))&gt;0,"확인","미등록"))</f>
        <v/>
      </c>
      <c r="F48" s="27">
        <f>IF($C48="","",INDEX(인턴근무계획!$S$3:$S$402,$A48))</f>
        <v/>
      </c>
      <c r="G48" s="23">
        <f>IF(OR($C48="",$G$3=""),"",IF(INDEX(인턴근무계획!$M$3:$R$402,$A48,$G$3)&amp;""="","",IF(LEFT(INDEX(인턴근무계획!$M$3:$R$402,$A48,$G$3)&amp;"",1)="⚠",INDEX(인턴근무계획!$M$3:$R$402,$A48,$G$3)&amp;"",LEFT(INDEX(인턴근무계획!$M$3:$R$402,$A48,$G$3)&amp;"",FIND(" ",INDEX(인턴근무계획!$M$3:$R$402,$A48,$G$3)&amp;"")-1))))</f>
        <v/>
      </c>
      <c r="H48" s="23">
        <f>IF(OR($C48="",$G$3=""),"",IF(INDEX(인턴근무계획!$M$3:$R$402,$A48,$G$3)&amp;""="","",IF(LEFT(INDEX(인턴근무계획!$M$3:$R$402,$A48,$G$3)&amp;"",1)="⚠","",MID(INDEX(인턴근무계획!$M$3:$R$402,$A48,$G$3)&amp;"",FIND(" ",INDEX(인턴근무계획!$M$3:$R$402,$A48,$G$3)&amp;"")+1,60))))</f>
        <v/>
      </c>
      <c r="I48" s="23">
        <f>IF(OR($C48="",$I$3=""),"",IF(INDEX(인턴근무계획!$M$3:$R$402,$A48,$I$3)&amp;""="","",IF(LEFT(INDEX(인턴근무계획!$M$3:$R$402,$A48,$I$3)&amp;"",1)="⚠",INDEX(인턴근무계획!$M$3:$R$402,$A48,$I$3)&amp;"",LEFT(INDEX(인턴근무계획!$M$3:$R$402,$A48,$I$3)&amp;"",FIND(" ",INDEX(인턴근무계획!$M$3:$R$402,$A48,$I$3)&amp;"")-1))))</f>
        <v/>
      </c>
      <c r="J48" s="23">
        <f>IF(OR($C48="",$I$3=""),"",IF(INDEX(인턴근무계획!$M$3:$R$402,$A48,$I$3)&amp;""="","",IF(LEFT(INDEX(인턴근무계획!$M$3:$R$402,$A48,$I$3)&amp;"",1)="⚠","",MID(INDEX(인턴근무계획!$M$3:$R$402,$A48,$I$3)&amp;"",FIND(" ",INDEX(인턴근무계획!$M$3:$R$402,$A48,$I$3)&amp;"")+1,60))))</f>
        <v/>
      </c>
      <c r="K48" s="23">
        <f>IF($C48="","",INDEX(인턴근무계획!$M$3:$M$402,$A48)&amp;"")</f>
        <v/>
      </c>
      <c r="L48" s="23">
        <f>IF($C48="","",INDEX(인턴근무계획!$N$3:$N$402,$A48)&amp;"")</f>
        <v/>
      </c>
      <c r="M48" s="23">
        <f>IF($C48="","",INDEX(인턴근무계획!$O$3:$O$402,$A48)&amp;"")</f>
        <v/>
      </c>
      <c r="N48" s="23">
        <f>IF($C48="","",INDEX(인턴근무계획!$P$3:$P$402,$A48)&amp;"")</f>
        <v/>
      </c>
      <c r="O48" s="23">
        <f>IF($C48="","",INDEX(인턴근무계획!$Q$3:$Q$402,$A48)&amp;"")</f>
        <v/>
      </c>
      <c r="P48" s="23">
        <f>IF($C48="","",INDEX(인턴근무계획!$R$3:$R$402,$A48)&amp;"")</f>
        <v/>
      </c>
      <c r="Q48" s="23">
        <f>IF($C48="","",INDEX(인턴근무계획!$T$3:$T$402,$A48))</f>
        <v/>
      </c>
    </row>
    <row r="49">
      <c r="A49" s="26" t="n">
        <v>44</v>
      </c>
      <c r="B49" s="23">
        <f>IF($C49="","",INDEX(인턴근무계획!$B$3:$B$402,$A49))</f>
        <v/>
      </c>
      <c r="C49" s="23">
        <f>IFERROR(TRIM(INDEX(인턴근무계획!$C$3:$C$402,$A49)&amp;""),"")</f>
        <v/>
      </c>
      <c r="D49" s="23">
        <f>IF($C49="","",INDEX(인턴근무계획!$D$3:$D$402,$A49))</f>
        <v/>
      </c>
      <c r="E49" s="23">
        <f>IF($C49="","",IF(IFERROR(MATCH($D49,기본자료!$B$2:$B$1001,0),IFERROR(MATCH($D49&amp;"",기본자료!$B$2:$B$1001,0),IFERROR(MATCH(VALUE($D49),기본자료!$B$2:$B$1001,0),0)))&gt;0,"확인","미등록"))</f>
        <v/>
      </c>
      <c r="F49" s="27">
        <f>IF($C49="","",INDEX(인턴근무계획!$S$3:$S$402,$A49))</f>
        <v/>
      </c>
      <c r="G49" s="23">
        <f>IF(OR($C49="",$G$3=""),"",IF(INDEX(인턴근무계획!$M$3:$R$402,$A49,$G$3)&amp;""="","",IF(LEFT(INDEX(인턴근무계획!$M$3:$R$402,$A49,$G$3)&amp;"",1)="⚠",INDEX(인턴근무계획!$M$3:$R$402,$A49,$G$3)&amp;"",LEFT(INDEX(인턴근무계획!$M$3:$R$402,$A49,$G$3)&amp;"",FIND(" ",INDEX(인턴근무계획!$M$3:$R$402,$A49,$G$3)&amp;"")-1))))</f>
        <v/>
      </c>
      <c r="H49" s="23">
        <f>IF(OR($C49="",$G$3=""),"",IF(INDEX(인턴근무계획!$M$3:$R$402,$A49,$G$3)&amp;""="","",IF(LEFT(INDEX(인턴근무계획!$M$3:$R$402,$A49,$G$3)&amp;"",1)="⚠","",MID(INDEX(인턴근무계획!$M$3:$R$402,$A49,$G$3)&amp;"",FIND(" ",INDEX(인턴근무계획!$M$3:$R$402,$A49,$G$3)&amp;"")+1,60))))</f>
        <v/>
      </c>
      <c r="I49" s="23">
        <f>IF(OR($C49="",$I$3=""),"",IF(INDEX(인턴근무계획!$M$3:$R$402,$A49,$I$3)&amp;""="","",IF(LEFT(INDEX(인턴근무계획!$M$3:$R$402,$A49,$I$3)&amp;"",1)="⚠",INDEX(인턴근무계획!$M$3:$R$402,$A49,$I$3)&amp;"",LEFT(INDEX(인턴근무계획!$M$3:$R$402,$A49,$I$3)&amp;"",FIND(" ",INDEX(인턴근무계획!$M$3:$R$402,$A49,$I$3)&amp;"")-1))))</f>
        <v/>
      </c>
      <c r="J49" s="23">
        <f>IF(OR($C49="",$I$3=""),"",IF(INDEX(인턴근무계획!$M$3:$R$402,$A49,$I$3)&amp;""="","",IF(LEFT(INDEX(인턴근무계획!$M$3:$R$402,$A49,$I$3)&amp;"",1)="⚠","",MID(INDEX(인턴근무계획!$M$3:$R$402,$A49,$I$3)&amp;"",FIND(" ",INDEX(인턴근무계획!$M$3:$R$402,$A49,$I$3)&amp;"")+1,60))))</f>
        <v/>
      </c>
      <c r="K49" s="23">
        <f>IF($C49="","",INDEX(인턴근무계획!$M$3:$M$402,$A49)&amp;"")</f>
        <v/>
      </c>
      <c r="L49" s="23">
        <f>IF($C49="","",INDEX(인턴근무계획!$N$3:$N$402,$A49)&amp;"")</f>
        <v/>
      </c>
      <c r="M49" s="23">
        <f>IF($C49="","",INDEX(인턴근무계획!$O$3:$O$402,$A49)&amp;"")</f>
        <v/>
      </c>
      <c r="N49" s="23">
        <f>IF($C49="","",INDEX(인턴근무계획!$P$3:$P$402,$A49)&amp;"")</f>
        <v/>
      </c>
      <c r="O49" s="23">
        <f>IF($C49="","",INDEX(인턴근무계획!$Q$3:$Q$402,$A49)&amp;"")</f>
        <v/>
      </c>
      <c r="P49" s="23">
        <f>IF($C49="","",INDEX(인턴근무계획!$R$3:$R$402,$A49)&amp;"")</f>
        <v/>
      </c>
      <c r="Q49" s="23">
        <f>IF($C49="","",INDEX(인턴근무계획!$T$3:$T$402,$A49))</f>
        <v/>
      </c>
    </row>
    <row r="50">
      <c r="A50" s="26" t="n">
        <v>45</v>
      </c>
      <c r="B50" s="23">
        <f>IF($C50="","",INDEX(인턴근무계획!$B$3:$B$402,$A50))</f>
        <v/>
      </c>
      <c r="C50" s="23">
        <f>IFERROR(TRIM(INDEX(인턴근무계획!$C$3:$C$402,$A50)&amp;""),"")</f>
        <v/>
      </c>
      <c r="D50" s="23">
        <f>IF($C50="","",INDEX(인턴근무계획!$D$3:$D$402,$A50))</f>
        <v/>
      </c>
      <c r="E50" s="23">
        <f>IF($C50="","",IF(IFERROR(MATCH($D50,기본자료!$B$2:$B$1001,0),IFERROR(MATCH($D50&amp;"",기본자료!$B$2:$B$1001,0),IFERROR(MATCH(VALUE($D50),기본자료!$B$2:$B$1001,0),0)))&gt;0,"확인","미등록"))</f>
        <v/>
      </c>
      <c r="F50" s="27">
        <f>IF($C50="","",INDEX(인턴근무계획!$S$3:$S$402,$A50))</f>
        <v/>
      </c>
      <c r="G50" s="23">
        <f>IF(OR($C50="",$G$3=""),"",IF(INDEX(인턴근무계획!$M$3:$R$402,$A50,$G$3)&amp;""="","",IF(LEFT(INDEX(인턴근무계획!$M$3:$R$402,$A50,$G$3)&amp;"",1)="⚠",INDEX(인턴근무계획!$M$3:$R$402,$A50,$G$3)&amp;"",LEFT(INDEX(인턴근무계획!$M$3:$R$402,$A50,$G$3)&amp;"",FIND(" ",INDEX(인턴근무계획!$M$3:$R$402,$A50,$G$3)&amp;"")-1))))</f>
        <v/>
      </c>
      <c r="H50" s="23">
        <f>IF(OR($C50="",$G$3=""),"",IF(INDEX(인턴근무계획!$M$3:$R$402,$A50,$G$3)&amp;""="","",IF(LEFT(INDEX(인턴근무계획!$M$3:$R$402,$A50,$G$3)&amp;"",1)="⚠","",MID(INDEX(인턴근무계획!$M$3:$R$402,$A50,$G$3)&amp;"",FIND(" ",INDEX(인턴근무계획!$M$3:$R$402,$A50,$G$3)&amp;"")+1,60))))</f>
        <v/>
      </c>
      <c r="I50" s="23">
        <f>IF(OR($C50="",$I$3=""),"",IF(INDEX(인턴근무계획!$M$3:$R$402,$A50,$I$3)&amp;""="","",IF(LEFT(INDEX(인턴근무계획!$M$3:$R$402,$A50,$I$3)&amp;"",1)="⚠",INDEX(인턴근무계획!$M$3:$R$402,$A50,$I$3)&amp;"",LEFT(INDEX(인턴근무계획!$M$3:$R$402,$A50,$I$3)&amp;"",FIND(" ",INDEX(인턴근무계획!$M$3:$R$402,$A50,$I$3)&amp;"")-1))))</f>
        <v/>
      </c>
      <c r="J50" s="23">
        <f>IF(OR($C50="",$I$3=""),"",IF(INDEX(인턴근무계획!$M$3:$R$402,$A50,$I$3)&amp;""="","",IF(LEFT(INDEX(인턴근무계획!$M$3:$R$402,$A50,$I$3)&amp;"",1)="⚠","",MID(INDEX(인턴근무계획!$M$3:$R$402,$A50,$I$3)&amp;"",FIND(" ",INDEX(인턴근무계획!$M$3:$R$402,$A50,$I$3)&amp;"")+1,60))))</f>
        <v/>
      </c>
      <c r="K50" s="23">
        <f>IF($C50="","",INDEX(인턴근무계획!$M$3:$M$402,$A50)&amp;"")</f>
        <v/>
      </c>
      <c r="L50" s="23">
        <f>IF($C50="","",INDEX(인턴근무계획!$N$3:$N$402,$A50)&amp;"")</f>
        <v/>
      </c>
      <c r="M50" s="23">
        <f>IF($C50="","",INDEX(인턴근무계획!$O$3:$O$402,$A50)&amp;"")</f>
        <v/>
      </c>
      <c r="N50" s="23">
        <f>IF($C50="","",INDEX(인턴근무계획!$P$3:$P$402,$A50)&amp;"")</f>
        <v/>
      </c>
      <c r="O50" s="23">
        <f>IF($C50="","",INDEX(인턴근무계획!$Q$3:$Q$402,$A50)&amp;"")</f>
        <v/>
      </c>
      <c r="P50" s="23">
        <f>IF($C50="","",INDEX(인턴근무계획!$R$3:$R$402,$A50)&amp;"")</f>
        <v/>
      </c>
      <c r="Q50" s="23">
        <f>IF($C50="","",INDEX(인턴근무계획!$T$3:$T$402,$A50))</f>
        <v/>
      </c>
    </row>
    <row r="51">
      <c r="A51" s="26" t="n">
        <v>46</v>
      </c>
      <c r="B51" s="23">
        <f>IF($C51="","",INDEX(인턴근무계획!$B$3:$B$402,$A51))</f>
        <v/>
      </c>
      <c r="C51" s="23">
        <f>IFERROR(TRIM(INDEX(인턴근무계획!$C$3:$C$402,$A51)&amp;""),"")</f>
        <v/>
      </c>
      <c r="D51" s="23">
        <f>IF($C51="","",INDEX(인턴근무계획!$D$3:$D$402,$A51))</f>
        <v/>
      </c>
      <c r="E51" s="23">
        <f>IF($C51="","",IF(IFERROR(MATCH($D51,기본자료!$B$2:$B$1001,0),IFERROR(MATCH($D51&amp;"",기본자료!$B$2:$B$1001,0),IFERROR(MATCH(VALUE($D51),기본자료!$B$2:$B$1001,0),0)))&gt;0,"확인","미등록"))</f>
        <v/>
      </c>
      <c r="F51" s="27">
        <f>IF($C51="","",INDEX(인턴근무계획!$S$3:$S$402,$A51))</f>
        <v/>
      </c>
      <c r="G51" s="23">
        <f>IF(OR($C51="",$G$3=""),"",IF(INDEX(인턴근무계획!$M$3:$R$402,$A51,$G$3)&amp;""="","",IF(LEFT(INDEX(인턴근무계획!$M$3:$R$402,$A51,$G$3)&amp;"",1)="⚠",INDEX(인턴근무계획!$M$3:$R$402,$A51,$G$3)&amp;"",LEFT(INDEX(인턴근무계획!$M$3:$R$402,$A51,$G$3)&amp;"",FIND(" ",INDEX(인턴근무계획!$M$3:$R$402,$A51,$G$3)&amp;"")-1))))</f>
        <v/>
      </c>
      <c r="H51" s="23">
        <f>IF(OR($C51="",$G$3=""),"",IF(INDEX(인턴근무계획!$M$3:$R$402,$A51,$G$3)&amp;""="","",IF(LEFT(INDEX(인턴근무계획!$M$3:$R$402,$A51,$G$3)&amp;"",1)="⚠","",MID(INDEX(인턴근무계획!$M$3:$R$402,$A51,$G$3)&amp;"",FIND(" ",INDEX(인턴근무계획!$M$3:$R$402,$A51,$G$3)&amp;"")+1,60))))</f>
        <v/>
      </c>
      <c r="I51" s="23">
        <f>IF(OR($C51="",$I$3=""),"",IF(INDEX(인턴근무계획!$M$3:$R$402,$A51,$I$3)&amp;""="","",IF(LEFT(INDEX(인턴근무계획!$M$3:$R$402,$A51,$I$3)&amp;"",1)="⚠",INDEX(인턴근무계획!$M$3:$R$402,$A51,$I$3)&amp;"",LEFT(INDEX(인턴근무계획!$M$3:$R$402,$A51,$I$3)&amp;"",FIND(" ",INDEX(인턴근무계획!$M$3:$R$402,$A51,$I$3)&amp;"")-1))))</f>
        <v/>
      </c>
      <c r="J51" s="23">
        <f>IF(OR($C51="",$I$3=""),"",IF(INDEX(인턴근무계획!$M$3:$R$402,$A51,$I$3)&amp;""="","",IF(LEFT(INDEX(인턴근무계획!$M$3:$R$402,$A51,$I$3)&amp;"",1)="⚠","",MID(INDEX(인턴근무계획!$M$3:$R$402,$A51,$I$3)&amp;"",FIND(" ",INDEX(인턴근무계획!$M$3:$R$402,$A51,$I$3)&amp;"")+1,60))))</f>
        <v/>
      </c>
      <c r="K51" s="23">
        <f>IF($C51="","",INDEX(인턴근무계획!$M$3:$M$402,$A51)&amp;"")</f>
        <v/>
      </c>
      <c r="L51" s="23">
        <f>IF($C51="","",INDEX(인턴근무계획!$N$3:$N$402,$A51)&amp;"")</f>
        <v/>
      </c>
      <c r="M51" s="23">
        <f>IF($C51="","",INDEX(인턴근무계획!$O$3:$O$402,$A51)&amp;"")</f>
        <v/>
      </c>
      <c r="N51" s="23">
        <f>IF($C51="","",INDEX(인턴근무계획!$P$3:$P$402,$A51)&amp;"")</f>
        <v/>
      </c>
      <c r="O51" s="23">
        <f>IF($C51="","",INDEX(인턴근무계획!$Q$3:$Q$402,$A51)&amp;"")</f>
        <v/>
      </c>
      <c r="P51" s="23">
        <f>IF($C51="","",INDEX(인턴근무계획!$R$3:$R$402,$A51)&amp;"")</f>
        <v/>
      </c>
      <c r="Q51" s="23">
        <f>IF($C51="","",INDEX(인턴근무계획!$T$3:$T$402,$A51))</f>
        <v/>
      </c>
    </row>
    <row r="52">
      <c r="A52" s="26" t="n">
        <v>47</v>
      </c>
      <c r="B52" s="23">
        <f>IF($C52="","",INDEX(인턴근무계획!$B$3:$B$402,$A52))</f>
        <v/>
      </c>
      <c r="C52" s="23">
        <f>IFERROR(TRIM(INDEX(인턴근무계획!$C$3:$C$402,$A52)&amp;""),"")</f>
        <v/>
      </c>
      <c r="D52" s="23">
        <f>IF($C52="","",INDEX(인턴근무계획!$D$3:$D$402,$A52))</f>
        <v/>
      </c>
      <c r="E52" s="23">
        <f>IF($C52="","",IF(IFERROR(MATCH($D52,기본자료!$B$2:$B$1001,0),IFERROR(MATCH($D52&amp;"",기본자료!$B$2:$B$1001,0),IFERROR(MATCH(VALUE($D52),기본자료!$B$2:$B$1001,0),0)))&gt;0,"확인","미등록"))</f>
        <v/>
      </c>
      <c r="F52" s="27">
        <f>IF($C52="","",INDEX(인턴근무계획!$S$3:$S$402,$A52))</f>
        <v/>
      </c>
      <c r="G52" s="23">
        <f>IF(OR($C52="",$G$3=""),"",IF(INDEX(인턴근무계획!$M$3:$R$402,$A52,$G$3)&amp;""="","",IF(LEFT(INDEX(인턴근무계획!$M$3:$R$402,$A52,$G$3)&amp;"",1)="⚠",INDEX(인턴근무계획!$M$3:$R$402,$A52,$G$3)&amp;"",LEFT(INDEX(인턴근무계획!$M$3:$R$402,$A52,$G$3)&amp;"",FIND(" ",INDEX(인턴근무계획!$M$3:$R$402,$A52,$G$3)&amp;"")-1))))</f>
        <v/>
      </c>
      <c r="H52" s="23">
        <f>IF(OR($C52="",$G$3=""),"",IF(INDEX(인턴근무계획!$M$3:$R$402,$A52,$G$3)&amp;""="","",IF(LEFT(INDEX(인턴근무계획!$M$3:$R$402,$A52,$G$3)&amp;"",1)="⚠","",MID(INDEX(인턴근무계획!$M$3:$R$402,$A52,$G$3)&amp;"",FIND(" ",INDEX(인턴근무계획!$M$3:$R$402,$A52,$G$3)&amp;"")+1,60))))</f>
        <v/>
      </c>
      <c r="I52" s="23">
        <f>IF(OR($C52="",$I$3=""),"",IF(INDEX(인턴근무계획!$M$3:$R$402,$A52,$I$3)&amp;""="","",IF(LEFT(INDEX(인턴근무계획!$M$3:$R$402,$A52,$I$3)&amp;"",1)="⚠",INDEX(인턴근무계획!$M$3:$R$402,$A52,$I$3)&amp;"",LEFT(INDEX(인턴근무계획!$M$3:$R$402,$A52,$I$3)&amp;"",FIND(" ",INDEX(인턴근무계획!$M$3:$R$402,$A52,$I$3)&amp;"")-1))))</f>
        <v/>
      </c>
      <c r="J52" s="23">
        <f>IF(OR($C52="",$I$3=""),"",IF(INDEX(인턴근무계획!$M$3:$R$402,$A52,$I$3)&amp;""="","",IF(LEFT(INDEX(인턴근무계획!$M$3:$R$402,$A52,$I$3)&amp;"",1)="⚠","",MID(INDEX(인턴근무계획!$M$3:$R$402,$A52,$I$3)&amp;"",FIND(" ",INDEX(인턴근무계획!$M$3:$R$402,$A52,$I$3)&amp;"")+1,60))))</f>
        <v/>
      </c>
      <c r="K52" s="23">
        <f>IF($C52="","",INDEX(인턴근무계획!$M$3:$M$402,$A52)&amp;"")</f>
        <v/>
      </c>
      <c r="L52" s="23">
        <f>IF($C52="","",INDEX(인턴근무계획!$N$3:$N$402,$A52)&amp;"")</f>
        <v/>
      </c>
      <c r="M52" s="23">
        <f>IF($C52="","",INDEX(인턴근무계획!$O$3:$O$402,$A52)&amp;"")</f>
        <v/>
      </c>
      <c r="N52" s="23">
        <f>IF($C52="","",INDEX(인턴근무계획!$P$3:$P$402,$A52)&amp;"")</f>
        <v/>
      </c>
      <c r="O52" s="23">
        <f>IF($C52="","",INDEX(인턴근무계획!$Q$3:$Q$402,$A52)&amp;"")</f>
        <v/>
      </c>
      <c r="P52" s="23">
        <f>IF($C52="","",INDEX(인턴근무계획!$R$3:$R$402,$A52)&amp;"")</f>
        <v/>
      </c>
      <c r="Q52" s="23">
        <f>IF($C52="","",INDEX(인턴근무계획!$T$3:$T$402,$A52))</f>
        <v/>
      </c>
    </row>
    <row r="53">
      <c r="A53" s="26" t="n">
        <v>48</v>
      </c>
      <c r="B53" s="23">
        <f>IF($C53="","",INDEX(인턴근무계획!$B$3:$B$402,$A53))</f>
        <v/>
      </c>
      <c r="C53" s="23">
        <f>IFERROR(TRIM(INDEX(인턴근무계획!$C$3:$C$402,$A53)&amp;""),"")</f>
        <v/>
      </c>
      <c r="D53" s="23">
        <f>IF($C53="","",INDEX(인턴근무계획!$D$3:$D$402,$A53))</f>
        <v/>
      </c>
      <c r="E53" s="23">
        <f>IF($C53="","",IF(IFERROR(MATCH($D53,기본자료!$B$2:$B$1001,0),IFERROR(MATCH($D53&amp;"",기본자료!$B$2:$B$1001,0),IFERROR(MATCH(VALUE($D53),기본자료!$B$2:$B$1001,0),0)))&gt;0,"확인","미등록"))</f>
        <v/>
      </c>
      <c r="F53" s="27">
        <f>IF($C53="","",INDEX(인턴근무계획!$S$3:$S$402,$A53))</f>
        <v/>
      </c>
      <c r="G53" s="23">
        <f>IF(OR($C53="",$G$3=""),"",IF(INDEX(인턴근무계획!$M$3:$R$402,$A53,$G$3)&amp;""="","",IF(LEFT(INDEX(인턴근무계획!$M$3:$R$402,$A53,$G$3)&amp;"",1)="⚠",INDEX(인턴근무계획!$M$3:$R$402,$A53,$G$3)&amp;"",LEFT(INDEX(인턴근무계획!$M$3:$R$402,$A53,$G$3)&amp;"",FIND(" ",INDEX(인턴근무계획!$M$3:$R$402,$A53,$G$3)&amp;"")-1))))</f>
        <v/>
      </c>
      <c r="H53" s="23">
        <f>IF(OR($C53="",$G$3=""),"",IF(INDEX(인턴근무계획!$M$3:$R$402,$A53,$G$3)&amp;""="","",IF(LEFT(INDEX(인턴근무계획!$M$3:$R$402,$A53,$G$3)&amp;"",1)="⚠","",MID(INDEX(인턴근무계획!$M$3:$R$402,$A53,$G$3)&amp;"",FIND(" ",INDEX(인턴근무계획!$M$3:$R$402,$A53,$G$3)&amp;"")+1,60))))</f>
        <v/>
      </c>
      <c r="I53" s="23">
        <f>IF(OR($C53="",$I$3=""),"",IF(INDEX(인턴근무계획!$M$3:$R$402,$A53,$I$3)&amp;""="","",IF(LEFT(INDEX(인턴근무계획!$M$3:$R$402,$A53,$I$3)&amp;"",1)="⚠",INDEX(인턴근무계획!$M$3:$R$402,$A53,$I$3)&amp;"",LEFT(INDEX(인턴근무계획!$M$3:$R$402,$A53,$I$3)&amp;"",FIND(" ",INDEX(인턴근무계획!$M$3:$R$402,$A53,$I$3)&amp;"")-1))))</f>
        <v/>
      </c>
      <c r="J53" s="23">
        <f>IF(OR($C53="",$I$3=""),"",IF(INDEX(인턴근무계획!$M$3:$R$402,$A53,$I$3)&amp;""="","",IF(LEFT(INDEX(인턴근무계획!$M$3:$R$402,$A53,$I$3)&amp;"",1)="⚠","",MID(INDEX(인턴근무계획!$M$3:$R$402,$A53,$I$3)&amp;"",FIND(" ",INDEX(인턴근무계획!$M$3:$R$402,$A53,$I$3)&amp;"")+1,60))))</f>
        <v/>
      </c>
      <c r="K53" s="23">
        <f>IF($C53="","",INDEX(인턴근무계획!$M$3:$M$402,$A53)&amp;"")</f>
        <v/>
      </c>
      <c r="L53" s="23">
        <f>IF($C53="","",INDEX(인턴근무계획!$N$3:$N$402,$A53)&amp;"")</f>
        <v/>
      </c>
      <c r="M53" s="23">
        <f>IF($C53="","",INDEX(인턴근무계획!$O$3:$O$402,$A53)&amp;"")</f>
        <v/>
      </c>
      <c r="N53" s="23">
        <f>IF($C53="","",INDEX(인턴근무계획!$P$3:$P$402,$A53)&amp;"")</f>
        <v/>
      </c>
      <c r="O53" s="23">
        <f>IF($C53="","",INDEX(인턴근무계획!$Q$3:$Q$402,$A53)&amp;"")</f>
        <v/>
      </c>
      <c r="P53" s="23">
        <f>IF($C53="","",INDEX(인턴근무계획!$R$3:$R$402,$A53)&amp;"")</f>
        <v/>
      </c>
      <c r="Q53" s="23">
        <f>IF($C53="","",INDEX(인턴근무계획!$T$3:$T$402,$A53))</f>
        <v/>
      </c>
    </row>
    <row r="54">
      <c r="A54" s="26" t="n">
        <v>49</v>
      </c>
      <c r="B54" s="23">
        <f>IF($C54="","",INDEX(인턴근무계획!$B$3:$B$402,$A54))</f>
        <v/>
      </c>
      <c r="C54" s="23">
        <f>IFERROR(TRIM(INDEX(인턴근무계획!$C$3:$C$402,$A54)&amp;""),"")</f>
        <v/>
      </c>
      <c r="D54" s="23">
        <f>IF($C54="","",INDEX(인턴근무계획!$D$3:$D$402,$A54))</f>
        <v/>
      </c>
      <c r="E54" s="23">
        <f>IF($C54="","",IF(IFERROR(MATCH($D54,기본자료!$B$2:$B$1001,0),IFERROR(MATCH($D54&amp;"",기본자료!$B$2:$B$1001,0),IFERROR(MATCH(VALUE($D54),기본자료!$B$2:$B$1001,0),0)))&gt;0,"확인","미등록"))</f>
        <v/>
      </c>
      <c r="F54" s="27">
        <f>IF($C54="","",INDEX(인턴근무계획!$S$3:$S$402,$A54))</f>
        <v/>
      </c>
      <c r="G54" s="23">
        <f>IF(OR($C54="",$G$3=""),"",IF(INDEX(인턴근무계획!$M$3:$R$402,$A54,$G$3)&amp;""="","",IF(LEFT(INDEX(인턴근무계획!$M$3:$R$402,$A54,$G$3)&amp;"",1)="⚠",INDEX(인턴근무계획!$M$3:$R$402,$A54,$G$3)&amp;"",LEFT(INDEX(인턴근무계획!$M$3:$R$402,$A54,$G$3)&amp;"",FIND(" ",INDEX(인턴근무계획!$M$3:$R$402,$A54,$G$3)&amp;"")-1))))</f>
        <v/>
      </c>
      <c r="H54" s="23">
        <f>IF(OR($C54="",$G$3=""),"",IF(INDEX(인턴근무계획!$M$3:$R$402,$A54,$G$3)&amp;""="","",IF(LEFT(INDEX(인턴근무계획!$M$3:$R$402,$A54,$G$3)&amp;"",1)="⚠","",MID(INDEX(인턴근무계획!$M$3:$R$402,$A54,$G$3)&amp;"",FIND(" ",INDEX(인턴근무계획!$M$3:$R$402,$A54,$G$3)&amp;"")+1,60))))</f>
        <v/>
      </c>
      <c r="I54" s="23">
        <f>IF(OR($C54="",$I$3=""),"",IF(INDEX(인턴근무계획!$M$3:$R$402,$A54,$I$3)&amp;""="","",IF(LEFT(INDEX(인턴근무계획!$M$3:$R$402,$A54,$I$3)&amp;"",1)="⚠",INDEX(인턴근무계획!$M$3:$R$402,$A54,$I$3)&amp;"",LEFT(INDEX(인턴근무계획!$M$3:$R$402,$A54,$I$3)&amp;"",FIND(" ",INDEX(인턴근무계획!$M$3:$R$402,$A54,$I$3)&amp;"")-1))))</f>
        <v/>
      </c>
      <c r="J54" s="23">
        <f>IF(OR($C54="",$I$3=""),"",IF(INDEX(인턴근무계획!$M$3:$R$402,$A54,$I$3)&amp;""="","",IF(LEFT(INDEX(인턴근무계획!$M$3:$R$402,$A54,$I$3)&amp;"",1)="⚠","",MID(INDEX(인턴근무계획!$M$3:$R$402,$A54,$I$3)&amp;"",FIND(" ",INDEX(인턴근무계획!$M$3:$R$402,$A54,$I$3)&amp;"")+1,60))))</f>
        <v/>
      </c>
      <c r="K54" s="23">
        <f>IF($C54="","",INDEX(인턴근무계획!$M$3:$M$402,$A54)&amp;"")</f>
        <v/>
      </c>
      <c r="L54" s="23">
        <f>IF($C54="","",INDEX(인턴근무계획!$N$3:$N$402,$A54)&amp;"")</f>
        <v/>
      </c>
      <c r="M54" s="23">
        <f>IF($C54="","",INDEX(인턴근무계획!$O$3:$O$402,$A54)&amp;"")</f>
        <v/>
      </c>
      <c r="N54" s="23">
        <f>IF($C54="","",INDEX(인턴근무계획!$P$3:$P$402,$A54)&amp;"")</f>
        <v/>
      </c>
      <c r="O54" s="23">
        <f>IF($C54="","",INDEX(인턴근무계획!$Q$3:$Q$402,$A54)&amp;"")</f>
        <v/>
      </c>
      <c r="P54" s="23">
        <f>IF($C54="","",INDEX(인턴근무계획!$R$3:$R$402,$A54)&amp;"")</f>
        <v/>
      </c>
      <c r="Q54" s="23">
        <f>IF($C54="","",INDEX(인턴근무계획!$T$3:$T$402,$A54))</f>
        <v/>
      </c>
    </row>
    <row r="55">
      <c r="A55" s="26" t="n">
        <v>50</v>
      </c>
      <c r="B55" s="23">
        <f>IF($C55="","",INDEX(인턴근무계획!$B$3:$B$402,$A55))</f>
        <v/>
      </c>
      <c r="C55" s="23">
        <f>IFERROR(TRIM(INDEX(인턴근무계획!$C$3:$C$402,$A55)&amp;""),"")</f>
        <v/>
      </c>
      <c r="D55" s="23">
        <f>IF($C55="","",INDEX(인턴근무계획!$D$3:$D$402,$A55))</f>
        <v/>
      </c>
      <c r="E55" s="23">
        <f>IF($C55="","",IF(IFERROR(MATCH($D55,기본자료!$B$2:$B$1001,0),IFERROR(MATCH($D55&amp;"",기본자료!$B$2:$B$1001,0),IFERROR(MATCH(VALUE($D55),기본자료!$B$2:$B$1001,0),0)))&gt;0,"확인","미등록"))</f>
        <v/>
      </c>
      <c r="F55" s="27">
        <f>IF($C55="","",INDEX(인턴근무계획!$S$3:$S$402,$A55))</f>
        <v/>
      </c>
      <c r="G55" s="23">
        <f>IF(OR($C55="",$G$3=""),"",IF(INDEX(인턴근무계획!$M$3:$R$402,$A55,$G$3)&amp;""="","",IF(LEFT(INDEX(인턴근무계획!$M$3:$R$402,$A55,$G$3)&amp;"",1)="⚠",INDEX(인턴근무계획!$M$3:$R$402,$A55,$G$3)&amp;"",LEFT(INDEX(인턴근무계획!$M$3:$R$402,$A55,$G$3)&amp;"",FIND(" ",INDEX(인턴근무계획!$M$3:$R$402,$A55,$G$3)&amp;"")-1))))</f>
        <v/>
      </c>
      <c r="H55" s="23">
        <f>IF(OR($C55="",$G$3=""),"",IF(INDEX(인턴근무계획!$M$3:$R$402,$A55,$G$3)&amp;""="","",IF(LEFT(INDEX(인턴근무계획!$M$3:$R$402,$A55,$G$3)&amp;"",1)="⚠","",MID(INDEX(인턴근무계획!$M$3:$R$402,$A55,$G$3)&amp;"",FIND(" ",INDEX(인턴근무계획!$M$3:$R$402,$A55,$G$3)&amp;"")+1,60))))</f>
        <v/>
      </c>
      <c r="I55" s="23">
        <f>IF(OR($C55="",$I$3=""),"",IF(INDEX(인턴근무계획!$M$3:$R$402,$A55,$I$3)&amp;""="","",IF(LEFT(INDEX(인턴근무계획!$M$3:$R$402,$A55,$I$3)&amp;"",1)="⚠",INDEX(인턴근무계획!$M$3:$R$402,$A55,$I$3)&amp;"",LEFT(INDEX(인턴근무계획!$M$3:$R$402,$A55,$I$3)&amp;"",FIND(" ",INDEX(인턴근무계획!$M$3:$R$402,$A55,$I$3)&amp;"")-1))))</f>
        <v/>
      </c>
      <c r="J55" s="23">
        <f>IF(OR($C55="",$I$3=""),"",IF(INDEX(인턴근무계획!$M$3:$R$402,$A55,$I$3)&amp;""="","",IF(LEFT(INDEX(인턴근무계획!$M$3:$R$402,$A55,$I$3)&amp;"",1)="⚠","",MID(INDEX(인턴근무계획!$M$3:$R$402,$A55,$I$3)&amp;"",FIND(" ",INDEX(인턴근무계획!$M$3:$R$402,$A55,$I$3)&amp;"")+1,60))))</f>
        <v/>
      </c>
      <c r="K55" s="23">
        <f>IF($C55="","",INDEX(인턴근무계획!$M$3:$M$402,$A55)&amp;"")</f>
        <v/>
      </c>
      <c r="L55" s="23">
        <f>IF($C55="","",INDEX(인턴근무계획!$N$3:$N$402,$A55)&amp;"")</f>
        <v/>
      </c>
      <c r="M55" s="23">
        <f>IF($C55="","",INDEX(인턴근무계획!$O$3:$O$402,$A55)&amp;"")</f>
        <v/>
      </c>
      <c r="N55" s="23">
        <f>IF($C55="","",INDEX(인턴근무계획!$P$3:$P$402,$A55)&amp;"")</f>
        <v/>
      </c>
      <c r="O55" s="23">
        <f>IF($C55="","",INDEX(인턴근무계획!$Q$3:$Q$402,$A55)&amp;"")</f>
        <v/>
      </c>
      <c r="P55" s="23">
        <f>IF($C55="","",INDEX(인턴근무계획!$R$3:$R$402,$A55)&amp;"")</f>
        <v/>
      </c>
      <c r="Q55" s="23">
        <f>IF($C55="","",INDEX(인턴근무계획!$T$3:$T$402,$A55))</f>
        <v/>
      </c>
    </row>
    <row r="56">
      <c r="A56" s="26" t="n">
        <v>51</v>
      </c>
      <c r="B56" s="23">
        <f>IF($C56="","",INDEX(인턴근무계획!$B$3:$B$402,$A56))</f>
        <v/>
      </c>
      <c r="C56" s="23">
        <f>IFERROR(TRIM(INDEX(인턴근무계획!$C$3:$C$402,$A56)&amp;""),"")</f>
        <v/>
      </c>
      <c r="D56" s="23">
        <f>IF($C56="","",INDEX(인턴근무계획!$D$3:$D$402,$A56))</f>
        <v/>
      </c>
      <c r="E56" s="23">
        <f>IF($C56="","",IF(IFERROR(MATCH($D56,기본자료!$B$2:$B$1001,0),IFERROR(MATCH($D56&amp;"",기본자료!$B$2:$B$1001,0),IFERROR(MATCH(VALUE($D56),기본자료!$B$2:$B$1001,0),0)))&gt;0,"확인","미등록"))</f>
        <v/>
      </c>
      <c r="F56" s="27">
        <f>IF($C56="","",INDEX(인턴근무계획!$S$3:$S$402,$A56))</f>
        <v/>
      </c>
      <c r="G56" s="23">
        <f>IF(OR($C56="",$G$3=""),"",IF(INDEX(인턴근무계획!$M$3:$R$402,$A56,$G$3)&amp;""="","",IF(LEFT(INDEX(인턴근무계획!$M$3:$R$402,$A56,$G$3)&amp;"",1)="⚠",INDEX(인턴근무계획!$M$3:$R$402,$A56,$G$3)&amp;"",LEFT(INDEX(인턴근무계획!$M$3:$R$402,$A56,$G$3)&amp;"",FIND(" ",INDEX(인턴근무계획!$M$3:$R$402,$A56,$G$3)&amp;"")-1))))</f>
        <v/>
      </c>
      <c r="H56" s="23">
        <f>IF(OR($C56="",$G$3=""),"",IF(INDEX(인턴근무계획!$M$3:$R$402,$A56,$G$3)&amp;""="","",IF(LEFT(INDEX(인턴근무계획!$M$3:$R$402,$A56,$G$3)&amp;"",1)="⚠","",MID(INDEX(인턴근무계획!$M$3:$R$402,$A56,$G$3)&amp;"",FIND(" ",INDEX(인턴근무계획!$M$3:$R$402,$A56,$G$3)&amp;"")+1,60))))</f>
        <v/>
      </c>
      <c r="I56" s="23">
        <f>IF(OR($C56="",$I$3=""),"",IF(INDEX(인턴근무계획!$M$3:$R$402,$A56,$I$3)&amp;""="","",IF(LEFT(INDEX(인턴근무계획!$M$3:$R$402,$A56,$I$3)&amp;"",1)="⚠",INDEX(인턴근무계획!$M$3:$R$402,$A56,$I$3)&amp;"",LEFT(INDEX(인턴근무계획!$M$3:$R$402,$A56,$I$3)&amp;"",FIND(" ",INDEX(인턴근무계획!$M$3:$R$402,$A56,$I$3)&amp;"")-1))))</f>
        <v/>
      </c>
      <c r="J56" s="23">
        <f>IF(OR($C56="",$I$3=""),"",IF(INDEX(인턴근무계획!$M$3:$R$402,$A56,$I$3)&amp;""="","",IF(LEFT(INDEX(인턴근무계획!$M$3:$R$402,$A56,$I$3)&amp;"",1)="⚠","",MID(INDEX(인턴근무계획!$M$3:$R$402,$A56,$I$3)&amp;"",FIND(" ",INDEX(인턴근무계획!$M$3:$R$402,$A56,$I$3)&amp;"")+1,60))))</f>
        <v/>
      </c>
      <c r="K56" s="23">
        <f>IF($C56="","",INDEX(인턴근무계획!$M$3:$M$402,$A56)&amp;"")</f>
        <v/>
      </c>
      <c r="L56" s="23">
        <f>IF($C56="","",INDEX(인턴근무계획!$N$3:$N$402,$A56)&amp;"")</f>
        <v/>
      </c>
      <c r="M56" s="23">
        <f>IF($C56="","",INDEX(인턴근무계획!$O$3:$O$402,$A56)&amp;"")</f>
        <v/>
      </c>
      <c r="N56" s="23">
        <f>IF($C56="","",INDEX(인턴근무계획!$P$3:$P$402,$A56)&amp;"")</f>
        <v/>
      </c>
      <c r="O56" s="23">
        <f>IF($C56="","",INDEX(인턴근무계획!$Q$3:$Q$402,$A56)&amp;"")</f>
        <v/>
      </c>
      <c r="P56" s="23">
        <f>IF($C56="","",INDEX(인턴근무계획!$R$3:$R$402,$A56)&amp;"")</f>
        <v/>
      </c>
      <c r="Q56" s="23">
        <f>IF($C56="","",INDEX(인턴근무계획!$T$3:$T$402,$A56))</f>
        <v/>
      </c>
    </row>
    <row r="57">
      <c r="A57" s="26" t="n">
        <v>52</v>
      </c>
      <c r="B57" s="23">
        <f>IF($C57="","",INDEX(인턴근무계획!$B$3:$B$402,$A57))</f>
        <v/>
      </c>
      <c r="C57" s="23">
        <f>IFERROR(TRIM(INDEX(인턴근무계획!$C$3:$C$402,$A57)&amp;""),"")</f>
        <v/>
      </c>
      <c r="D57" s="23">
        <f>IF($C57="","",INDEX(인턴근무계획!$D$3:$D$402,$A57))</f>
        <v/>
      </c>
      <c r="E57" s="23">
        <f>IF($C57="","",IF(IFERROR(MATCH($D57,기본자료!$B$2:$B$1001,0),IFERROR(MATCH($D57&amp;"",기본자료!$B$2:$B$1001,0),IFERROR(MATCH(VALUE($D57),기본자료!$B$2:$B$1001,0),0)))&gt;0,"확인","미등록"))</f>
        <v/>
      </c>
      <c r="F57" s="27">
        <f>IF($C57="","",INDEX(인턴근무계획!$S$3:$S$402,$A57))</f>
        <v/>
      </c>
      <c r="G57" s="23">
        <f>IF(OR($C57="",$G$3=""),"",IF(INDEX(인턴근무계획!$M$3:$R$402,$A57,$G$3)&amp;""="","",IF(LEFT(INDEX(인턴근무계획!$M$3:$R$402,$A57,$G$3)&amp;"",1)="⚠",INDEX(인턴근무계획!$M$3:$R$402,$A57,$G$3)&amp;"",LEFT(INDEX(인턴근무계획!$M$3:$R$402,$A57,$G$3)&amp;"",FIND(" ",INDEX(인턴근무계획!$M$3:$R$402,$A57,$G$3)&amp;"")-1))))</f>
        <v/>
      </c>
      <c r="H57" s="23">
        <f>IF(OR($C57="",$G$3=""),"",IF(INDEX(인턴근무계획!$M$3:$R$402,$A57,$G$3)&amp;""="","",IF(LEFT(INDEX(인턴근무계획!$M$3:$R$402,$A57,$G$3)&amp;"",1)="⚠","",MID(INDEX(인턴근무계획!$M$3:$R$402,$A57,$G$3)&amp;"",FIND(" ",INDEX(인턴근무계획!$M$3:$R$402,$A57,$G$3)&amp;"")+1,60))))</f>
        <v/>
      </c>
      <c r="I57" s="23">
        <f>IF(OR($C57="",$I$3=""),"",IF(INDEX(인턴근무계획!$M$3:$R$402,$A57,$I$3)&amp;""="","",IF(LEFT(INDEX(인턴근무계획!$M$3:$R$402,$A57,$I$3)&amp;"",1)="⚠",INDEX(인턴근무계획!$M$3:$R$402,$A57,$I$3)&amp;"",LEFT(INDEX(인턴근무계획!$M$3:$R$402,$A57,$I$3)&amp;"",FIND(" ",INDEX(인턴근무계획!$M$3:$R$402,$A57,$I$3)&amp;"")-1))))</f>
        <v/>
      </c>
      <c r="J57" s="23">
        <f>IF(OR($C57="",$I$3=""),"",IF(INDEX(인턴근무계획!$M$3:$R$402,$A57,$I$3)&amp;""="","",IF(LEFT(INDEX(인턴근무계획!$M$3:$R$402,$A57,$I$3)&amp;"",1)="⚠","",MID(INDEX(인턴근무계획!$M$3:$R$402,$A57,$I$3)&amp;"",FIND(" ",INDEX(인턴근무계획!$M$3:$R$402,$A57,$I$3)&amp;"")+1,60))))</f>
        <v/>
      </c>
      <c r="K57" s="23">
        <f>IF($C57="","",INDEX(인턴근무계획!$M$3:$M$402,$A57)&amp;"")</f>
        <v/>
      </c>
      <c r="L57" s="23">
        <f>IF($C57="","",INDEX(인턴근무계획!$N$3:$N$402,$A57)&amp;"")</f>
        <v/>
      </c>
      <c r="M57" s="23">
        <f>IF($C57="","",INDEX(인턴근무계획!$O$3:$O$402,$A57)&amp;"")</f>
        <v/>
      </c>
      <c r="N57" s="23">
        <f>IF($C57="","",INDEX(인턴근무계획!$P$3:$P$402,$A57)&amp;"")</f>
        <v/>
      </c>
      <c r="O57" s="23">
        <f>IF($C57="","",INDEX(인턴근무계획!$Q$3:$Q$402,$A57)&amp;"")</f>
        <v/>
      </c>
      <c r="P57" s="23">
        <f>IF($C57="","",INDEX(인턴근무계획!$R$3:$R$402,$A57)&amp;"")</f>
        <v/>
      </c>
      <c r="Q57" s="23">
        <f>IF($C57="","",INDEX(인턴근무계획!$T$3:$T$402,$A57))</f>
        <v/>
      </c>
    </row>
    <row r="58">
      <c r="A58" s="26" t="n">
        <v>53</v>
      </c>
      <c r="B58" s="23">
        <f>IF($C58="","",INDEX(인턴근무계획!$B$3:$B$402,$A58))</f>
        <v/>
      </c>
      <c r="C58" s="23">
        <f>IFERROR(TRIM(INDEX(인턴근무계획!$C$3:$C$402,$A58)&amp;""),"")</f>
        <v/>
      </c>
      <c r="D58" s="23">
        <f>IF($C58="","",INDEX(인턴근무계획!$D$3:$D$402,$A58))</f>
        <v/>
      </c>
      <c r="E58" s="23">
        <f>IF($C58="","",IF(IFERROR(MATCH($D58,기본자료!$B$2:$B$1001,0),IFERROR(MATCH($D58&amp;"",기본자료!$B$2:$B$1001,0),IFERROR(MATCH(VALUE($D58),기본자료!$B$2:$B$1001,0),0)))&gt;0,"확인","미등록"))</f>
        <v/>
      </c>
      <c r="F58" s="27">
        <f>IF($C58="","",INDEX(인턴근무계획!$S$3:$S$402,$A58))</f>
        <v/>
      </c>
      <c r="G58" s="23">
        <f>IF(OR($C58="",$G$3=""),"",IF(INDEX(인턴근무계획!$M$3:$R$402,$A58,$G$3)&amp;""="","",IF(LEFT(INDEX(인턴근무계획!$M$3:$R$402,$A58,$G$3)&amp;"",1)="⚠",INDEX(인턴근무계획!$M$3:$R$402,$A58,$G$3)&amp;"",LEFT(INDEX(인턴근무계획!$M$3:$R$402,$A58,$G$3)&amp;"",FIND(" ",INDEX(인턴근무계획!$M$3:$R$402,$A58,$G$3)&amp;"")-1))))</f>
        <v/>
      </c>
      <c r="H58" s="23">
        <f>IF(OR($C58="",$G$3=""),"",IF(INDEX(인턴근무계획!$M$3:$R$402,$A58,$G$3)&amp;""="","",IF(LEFT(INDEX(인턴근무계획!$M$3:$R$402,$A58,$G$3)&amp;"",1)="⚠","",MID(INDEX(인턴근무계획!$M$3:$R$402,$A58,$G$3)&amp;"",FIND(" ",INDEX(인턴근무계획!$M$3:$R$402,$A58,$G$3)&amp;"")+1,60))))</f>
        <v/>
      </c>
      <c r="I58" s="23">
        <f>IF(OR($C58="",$I$3=""),"",IF(INDEX(인턴근무계획!$M$3:$R$402,$A58,$I$3)&amp;""="","",IF(LEFT(INDEX(인턴근무계획!$M$3:$R$402,$A58,$I$3)&amp;"",1)="⚠",INDEX(인턴근무계획!$M$3:$R$402,$A58,$I$3)&amp;"",LEFT(INDEX(인턴근무계획!$M$3:$R$402,$A58,$I$3)&amp;"",FIND(" ",INDEX(인턴근무계획!$M$3:$R$402,$A58,$I$3)&amp;"")-1))))</f>
        <v/>
      </c>
      <c r="J58" s="23">
        <f>IF(OR($C58="",$I$3=""),"",IF(INDEX(인턴근무계획!$M$3:$R$402,$A58,$I$3)&amp;""="","",IF(LEFT(INDEX(인턴근무계획!$M$3:$R$402,$A58,$I$3)&amp;"",1)="⚠","",MID(INDEX(인턴근무계획!$M$3:$R$402,$A58,$I$3)&amp;"",FIND(" ",INDEX(인턴근무계획!$M$3:$R$402,$A58,$I$3)&amp;"")+1,60))))</f>
        <v/>
      </c>
      <c r="K58" s="23">
        <f>IF($C58="","",INDEX(인턴근무계획!$M$3:$M$402,$A58)&amp;"")</f>
        <v/>
      </c>
      <c r="L58" s="23">
        <f>IF($C58="","",INDEX(인턴근무계획!$N$3:$N$402,$A58)&amp;"")</f>
        <v/>
      </c>
      <c r="M58" s="23">
        <f>IF($C58="","",INDEX(인턴근무계획!$O$3:$O$402,$A58)&amp;"")</f>
        <v/>
      </c>
      <c r="N58" s="23">
        <f>IF($C58="","",INDEX(인턴근무계획!$P$3:$P$402,$A58)&amp;"")</f>
        <v/>
      </c>
      <c r="O58" s="23">
        <f>IF($C58="","",INDEX(인턴근무계획!$Q$3:$Q$402,$A58)&amp;"")</f>
        <v/>
      </c>
      <c r="P58" s="23">
        <f>IF($C58="","",INDEX(인턴근무계획!$R$3:$R$402,$A58)&amp;"")</f>
        <v/>
      </c>
      <c r="Q58" s="23">
        <f>IF($C58="","",INDEX(인턴근무계획!$T$3:$T$402,$A58))</f>
        <v/>
      </c>
    </row>
    <row r="59">
      <c r="A59" s="26" t="n">
        <v>54</v>
      </c>
      <c r="B59" s="23">
        <f>IF($C59="","",INDEX(인턴근무계획!$B$3:$B$402,$A59))</f>
        <v/>
      </c>
      <c r="C59" s="23">
        <f>IFERROR(TRIM(INDEX(인턴근무계획!$C$3:$C$402,$A59)&amp;""),"")</f>
        <v/>
      </c>
      <c r="D59" s="23">
        <f>IF($C59="","",INDEX(인턴근무계획!$D$3:$D$402,$A59))</f>
        <v/>
      </c>
      <c r="E59" s="23">
        <f>IF($C59="","",IF(IFERROR(MATCH($D59,기본자료!$B$2:$B$1001,0),IFERROR(MATCH($D59&amp;"",기본자료!$B$2:$B$1001,0),IFERROR(MATCH(VALUE($D59),기본자료!$B$2:$B$1001,0),0)))&gt;0,"확인","미등록"))</f>
        <v/>
      </c>
      <c r="F59" s="27">
        <f>IF($C59="","",INDEX(인턴근무계획!$S$3:$S$402,$A59))</f>
        <v/>
      </c>
      <c r="G59" s="23">
        <f>IF(OR($C59="",$G$3=""),"",IF(INDEX(인턴근무계획!$M$3:$R$402,$A59,$G$3)&amp;""="","",IF(LEFT(INDEX(인턴근무계획!$M$3:$R$402,$A59,$G$3)&amp;"",1)="⚠",INDEX(인턴근무계획!$M$3:$R$402,$A59,$G$3)&amp;"",LEFT(INDEX(인턴근무계획!$M$3:$R$402,$A59,$G$3)&amp;"",FIND(" ",INDEX(인턴근무계획!$M$3:$R$402,$A59,$G$3)&amp;"")-1))))</f>
        <v/>
      </c>
      <c r="H59" s="23">
        <f>IF(OR($C59="",$G$3=""),"",IF(INDEX(인턴근무계획!$M$3:$R$402,$A59,$G$3)&amp;""="","",IF(LEFT(INDEX(인턴근무계획!$M$3:$R$402,$A59,$G$3)&amp;"",1)="⚠","",MID(INDEX(인턴근무계획!$M$3:$R$402,$A59,$G$3)&amp;"",FIND(" ",INDEX(인턴근무계획!$M$3:$R$402,$A59,$G$3)&amp;"")+1,60))))</f>
        <v/>
      </c>
      <c r="I59" s="23">
        <f>IF(OR($C59="",$I$3=""),"",IF(INDEX(인턴근무계획!$M$3:$R$402,$A59,$I$3)&amp;""="","",IF(LEFT(INDEX(인턴근무계획!$M$3:$R$402,$A59,$I$3)&amp;"",1)="⚠",INDEX(인턴근무계획!$M$3:$R$402,$A59,$I$3)&amp;"",LEFT(INDEX(인턴근무계획!$M$3:$R$402,$A59,$I$3)&amp;"",FIND(" ",INDEX(인턴근무계획!$M$3:$R$402,$A59,$I$3)&amp;"")-1))))</f>
        <v/>
      </c>
      <c r="J59" s="23">
        <f>IF(OR($C59="",$I$3=""),"",IF(INDEX(인턴근무계획!$M$3:$R$402,$A59,$I$3)&amp;""="","",IF(LEFT(INDEX(인턴근무계획!$M$3:$R$402,$A59,$I$3)&amp;"",1)="⚠","",MID(INDEX(인턴근무계획!$M$3:$R$402,$A59,$I$3)&amp;"",FIND(" ",INDEX(인턴근무계획!$M$3:$R$402,$A59,$I$3)&amp;"")+1,60))))</f>
        <v/>
      </c>
      <c r="K59" s="23">
        <f>IF($C59="","",INDEX(인턴근무계획!$M$3:$M$402,$A59)&amp;"")</f>
        <v/>
      </c>
      <c r="L59" s="23">
        <f>IF($C59="","",INDEX(인턴근무계획!$N$3:$N$402,$A59)&amp;"")</f>
        <v/>
      </c>
      <c r="M59" s="23">
        <f>IF($C59="","",INDEX(인턴근무계획!$O$3:$O$402,$A59)&amp;"")</f>
        <v/>
      </c>
      <c r="N59" s="23">
        <f>IF($C59="","",INDEX(인턴근무계획!$P$3:$P$402,$A59)&amp;"")</f>
        <v/>
      </c>
      <c r="O59" s="23">
        <f>IF($C59="","",INDEX(인턴근무계획!$Q$3:$Q$402,$A59)&amp;"")</f>
        <v/>
      </c>
      <c r="P59" s="23">
        <f>IF($C59="","",INDEX(인턴근무계획!$R$3:$R$402,$A59)&amp;"")</f>
        <v/>
      </c>
      <c r="Q59" s="23">
        <f>IF($C59="","",INDEX(인턴근무계획!$T$3:$T$402,$A59))</f>
        <v/>
      </c>
    </row>
    <row r="60">
      <c r="A60" s="26" t="n">
        <v>55</v>
      </c>
      <c r="B60" s="23">
        <f>IF($C60="","",INDEX(인턴근무계획!$B$3:$B$402,$A60))</f>
        <v/>
      </c>
      <c r="C60" s="23">
        <f>IFERROR(TRIM(INDEX(인턴근무계획!$C$3:$C$402,$A60)&amp;""),"")</f>
        <v/>
      </c>
      <c r="D60" s="23">
        <f>IF($C60="","",INDEX(인턴근무계획!$D$3:$D$402,$A60))</f>
        <v/>
      </c>
      <c r="E60" s="23">
        <f>IF($C60="","",IF(IFERROR(MATCH($D60,기본자료!$B$2:$B$1001,0),IFERROR(MATCH($D60&amp;"",기본자료!$B$2:$B$1001,0),IFERROR(MATCH(VALUE($D60),기본자료!$B$2:$B$1001,0),0)))&gt;0,"확인","미등록"))</f>
        <v/>
      </c>
      <c r="F60" s="27">
        <f>IF($C60="","",INDEX(인턴근무계획!$S$3:$S$402,$A60))</f>
        <v/>
      </c>
      <c r="G60" s="23">
        <f>IF(OR($C60="",$G$3=""),"",IF(INDEX(인턴근무계획!$M$3:$R$402,$A60,$G$3)&amp;""="","",IF(LEFT(INDEX(인턴근무계획!$M$3:$R$402,$A60,$G$3)&amp;"",1)="⚠",INDEX(인턴근무계획!$M$3:$R$402,$A60,$G$3)&amp;"",LEFT(INDEX(인턴근무계획!$M$3:$R$402,$A60,$G$3)&amp;"",FIND(" ",INDEX(인턴근무계획!$M$3:$R$402,$A60,$G$3)&amp;"")-1))))</f>
        <v/>
      </c>
      <c r="H60" s="23">
        <f>IF(OR($C60="",$G$3=""),"",IF(INDEX(인턴근무계획!$M$3:$R$402,$A60,$G$3)&amp;""="","",IF(LEFT(INDEX(인턴근무계획!$M$3:$R$402,$A60,$G$3)&amp;"",1)="⚠","",MID(INDEX(인턴근무계획!$M$3:$R$402,$A60,$G$3)&amp;"",FIND(" ",INDEX(인턴근무계획!$M$3:$R$402,$A60,$G$3)&amp;"")+1,60))))</f>
        <v/>
      </c>
      <c r="I60" s="23">
        <f>IF(OR($C60="",$I$3=""),"",IF(INDEX(인턴근무계획!$M$3:$R$402,$A60,$I$3)&amp;""="","",IF(LEFT(INDEX(인턴근무계획!$M$3:$R$402,$A60,$I$3)&amp;"",1)="⚠",INDEX(인턴근무계획!$M$3:$R$402,$A60,$I$3)&amp;"",LEFT(INDEX(인턴근무계획!$M$3:$R$402,$A60,$I$3)&amp;"",FIND(" ",INDEX(인턴근무계획!$M$3:$R$402,$A60,$I$3)&amp;"")-1))))</f>
        <v/>
      </c>
      <c r="J60" s="23">
        <f>IF(OR($C60="",$I$3=""),"",IF(INDEX(인턴근무계획!$M$3:$R$402,$A60,$I$3)&amp;""="","",IF(LEFT(INDEX(인턴근무계획!$M$3:$R$402,$A60,$I$3)&amp;"",1)="⚠","",MID(INDEX(인턴근무계획!$M$3:$R$402,$A60,$I$3)&amp;"",FIND(" ",INDEX(인턴근무계획!$M$3:$R$402,$A60,$I$3)&amp;"")+1,60))))</f>
        <v/>
      </c>
      <c r="K60" s="23">
        <f>IF($C60="","",INDEX(인턴근무계획!$M$3:$M$402,$A60)&amp;"")</f>
        <v/>
      </c>
      <c r="L60" s="23">
        <f>IF($C60="","",INDEX(인턴근무계획!$N$3:$N$402,$A60)&amp;"")</f>
        <v/>
      </c>
      <c r="M60" s="23">
        <f>IF($C60="","",INDEX(인턴근무계획!$O$3:$O$402,$A60)&amp;"")</f>
        <v/>
      </c>
      <c r="N60" s="23">
        <f>IF($C60="","",INDEX(인턴근무계획!$P$3:$P$402,$A60)&amp;"")</f>
        <v/>
      </c>
      <c r="O60" s="23">
        <f>IF($C60="","",INDEX(인턴근무계획!$Q$3:$Q$402,$A60)&amp;"")</f>
        <v/>
      </c>
      <c r="P60" s="23">
        <f>IF($C60="","",INDEX(인턴근무계획!$R$3:$R$402,$A60)&amp;"")</f>
        <v/>
      </c>
      <c r="Q60" s="23">
        <f>IF($C60="","",INDEX(인턴근무계획!$T$3:$T$402,$A60))</f>
        <v/>
      </c>
    </row>
    <row r="61">
      <c r="A61" s="26" t="n">
        <v>56</v>
      </c>
      <c r="B61" s="23">
        <f>IF($C61="","",INDEX(인턴근무계획!$B$3:$B$402,$A61))</f>
        <v/>
      </c>
      <c r="C61" s="23">
        <f>IFERROR(TRIM(INDEX(인턴근무계획!$C$3:$C$402,$A61)&amp;""),"")</f>
        <v/>
      </c>
      <c r="D61" s="23">
        <f>IF($C61="","",INDEX(인턴근무계획!$D$3:$D$402,$A61))</f>
        <v/>
      </c>
      <c r="E61" s="23">
        <f>IF($C61="","",IF(IFERROR(MATCH($D61,기본자료!$B$2:$B$1001,0),IFERROR(MATCH($D61&amp;"",기본자료!$B$2:$B$1001,0),IFERROR(MATCH(VALUE($D61),기본자료!$B$2:$B$1001,0),0)))&gt;0,"확인","미등록"))</f>
        <v/>
      </c>
      <c r="F61" s="27">
        <f>IF($C61="","",INDEX(인턴근무계획!$S$3:$S$402,$A61))</f>
        <v/>
      </c>
      <c r="G61" s="23">
        <f>IF(OR($C61="",$G$3=""),"",IF(INDEX(인턴근무계획!$M$3:$R$402,$A61,$G$3)&amp;""="","",IF(LEFT(INDEX(인턴근무계획!$M$3:$R$402,$A61,$G$3)&amp;"",1)="⚠",INDEX(인턴근무계획!$M$3:$R$402,$A61,$G$3)&amp;"",LEFT(INDEX(인턴근무계획!$M$3:$R$402,$A61,$G$3)&amp;"",FIND(" ",INDEX(인턴근무계획!$M$3:$R$402,$A61,$G$3)&amp;"")-1))))</f>
        <v/>
      </c>
      <c r="H61" s="23">
        <f>IF(OR($C61="",$G$3=""),"",IF(INDEX(인턴근무계획!$M$3:$R$402,$A61,$G$3)&amp;""="","",IF(LEFT(INDEX(인턴근무계획!$M$3:$R$402,$A61,$G$3)&amp;"",1)="⚠","",MID(INDEX(인턴근무계획!$M$3:$R$402,$A61,$G$3)&amp;"",FIND(" ",INDEX(인턴근무계획!$M$3:$R$402,$A61,$G$3)&amp;"")+1,60))))</f>
        <v/>
      </c>
      <c r="I61" s="23">
        <f>IF(OR($C61="",$I$3=""),"",IF(INDEX(인턴근무계획!$M$3:$R$402,$A61,$I$3)&amp;""="","",IF(LEFT(INDEX(인턴근무계획!$M$3:$R$402,$A61,$I$3)&amp;"",1)="⚠",INDEX(인턴근무계획!$M$3:$R$402,$A61,$I$3)&amp;"",LEFT(INDEX(인턴근무계획!$M$3:$R$402,$A61,$I$3)&amp;"",FIND(" ",INDEX(인턴근무계획!$M$3:$R$402,$A61,$I$3)&amp;"")-1))))</f>
        <v/>
      </c>
      <c r="J61" s="23">
        <f>IF(OR($C61="",$I$3=""),"",IF(INDEX(인턴근무계획!$M$3:$R$402,$A61,$I$3)&amp;""="","",IF(LEFT(INDEX(인턴근무계획!$M$3:$R$402,$A61,$I$3)&amp;"",1)="⚠","",MID(INDEX(인턴근무계획!$M$3:$R$402,$A61,$I$3)&amp;"",FIND(" ",INDEX(인턴근무계획!$M$3:$R$402,$A61,$I$3)&amp;"")+1,60))))</f>
        <v/>
      </c>
      <c r="K61" s="23">
        <f>IF($C61="","",INDEX(인턴근무계획!$M$3:$M$402,$A61)&amp;"")</f>
        <v/>
      </c>
      <c r="L61" s="23">
        <f>IF($C61="","",INDEX(인턴근무계획!$N$3:$N$402,$A61)&amp;"")</f>
        <v/>
      </c>
      <c r="M61" s="23">
        <f>IF($C61="","",INDEX(인턴근무계획!$O$3:$O$402,$A61)&amp;"")</f>
        <v/>
      </c>
      <c r="N61" s="23">
        <f>IF($C61="","",INDEX(인턴근무계획!$P$3:$P$402,$A61)&amp;"")</f>
        <v/>
      </c>
      <c r="O61" s="23">
        <f>IF($C61="","",INDEX(인턴근무계획!$Q$3:$Q$402,$A61)&amp;"")</f>
        <v/>
      </c>
      <c r="P61" s="23">
        <f>IF($C61="","",INDEX(인턴근무계획!$R$3:$R$402,$A61)&amp;"")</f>
        <v/>
      </c>
      <c r="Q61" s="23">
        <f>IF($C61="","",INDEX(인턴근무계획!$T$3:$T$402,$A61))</f>
        <v/>
      </c>
    </row>
    <row r="62">
      <c r="A62" s="26" t="n">
        <v>57</v>
      </c>
      <c r="B62" s="23">
        <f>IF($C62="","",INDEX(인턴근무계획!$B$3:$B$402,$A62))</f>
        <v/>
      </c>
      <c r="C62" s="23">
        <f>IFERROR(TRIM(INDEX(인턴근무계획!$C$3:$C$402,$A62)&amp;""),"")</f>
        <v/>
      </c>
      <c r="D62" s="23">
        <f>IF($C62="","",INDEX(인턴근무계획!$D$3:$D$402,$A62))</f>
        <v/>
      </c>
      <c r="E62" s="23">
        <f>IF($C62="","",IF(IFERROR(MATCH($D62,기본자료!$B$2:$B$1001,0),IFERROR(MATCH($D62&amp;"",기본자료!$B$2:$B$1001,0),IFERROR(MATCH(VALUE($D62),기본자료!$B$2:$B$1001,0),0)))&gt;0,"확인","미등록"))</f>
        <v/>
      </c>
      <c r="F62" s="27">
        <f>IF($C62="","",INDEX(인턴근무계획!$S$3:$S$402,$A62))</f>
        <v/>
      </c>
      <c r="G62" s="23">
        <f>IF(OR($C62="",$G$3=""),"",IF(INDEX(인턴근무계획!$M$3:$R$402,$A62,$G$3)&amp;""="","",IF(LEFT(INDEX(인턴근무계획!$M$3:$R$402,$A62,$G$3)&amp;"",1)="⚠",INDEX(인턴근무계획!$M$3:$R$402,$A62,$G$3)&amp;"",LEFT(INDEX(인턴근무계획!$M$3:$R$402,$A62,$G$3)&amp;"",FIND(" ",INDEX(인턴근무계획!$M$3:$R$402,$A62,$G$3)&amp;"")-1))))</f>
        <v/>
      </c>
      <c r="H62" s="23">
        <f>IF(OR($C62="",$G$3=""),"",IF(INDEX(인턴근무계획!$M$3:$R$402,$A62,$G$3)&amp;""="","",IF(LEFT(INDEX(인턴근무계획!$M$3:$R$402,$A62,$G$3)&amp;"",1)="⚠","",MID(INDEX(인턴근무계획!$M$3:$R$402,$A62,$G$3)&amp;"",FIND(" ",INDEX(인턴근무계획!$M$3:$R$402,$A62,$G$3)&amp;"")+1,60))))</f>
        <v/>
      </c>
      <c r="I62" s="23">
        <f>IF(OR($C62="",$I$3=""),"",IF(INDEX(인턴근무계획!$M$3:$R$402,$A62,$I$3)&amp;""="","",IF(LEFT(INDEX(인턴근무계획!$M$3:$R$402,$A62,$I$3)&amp;"",1)="⚠",INDEX(인턴근무계획!$M$3:$R$402,$A62,$I$3)&amp;"",LEFT(INDEX(인턴근무계획!$M$3:$R$402,$A62,$I$3)&amp;"",FIND(" ",INDEX(인턴근무계획!$M$3:$R$402,$A62,$I$3)&amp;"")-1))))</f>
        <v/>
      </c>
      <c r="J62" s="23">
        <f>IF(OR($C62="",$I$3=""),"",IF(INDEX(인턴근무계획!$M$3:$R$402,$A62,$I$3)&amp;""="","",IF(LEFT(INDEX(인턴근무계획!$M$3:$R$402,$A62,$I$3)&amp;"",1)="⚠","",MID(INDEX(인턴근무계획!$M$3:$R$402,$A62,$I$3)&amp;"",FIND(" ",INDEX(인턴근무계획!$M$3:$R$402,$A62,$I$3)&amp;"")+1,60))))</f>
        <v/>
      </c>
      <c r="K62" s="23">
        <f>IF($C62="","",INDEX(인턴근무계획!$M$3:$M$402,$A62)&amp;"")</f>
        <v/>
      </c>
      <c r="L62" s="23">
        <f>IF($C62="","",INDEX(인턴근무계획!$N$3:$N$402,$A62)&amp;"")</f>
        <v/>
      </c>
      <c r="M62" s="23">
        <f>IF($C62="","",INDEX(인턴근무계획!$O$3:$O$402,$A62)&amp;"")</f>
        <v/>
      </c>
      <c r="N62" s="23">
        <f>IF($C62="","",INDEX(인턴근무계획!$P$3:$P$402,$A62)&amp;"")</f>
        <v/>
      </c>
      <c r="O62" s="23">
        <f>IF($C62="","",INDEX(인턴근무계획!$Q$3:$Q$402,$A62)&amp;"")</f>
        <v/>
      </c>
      <c r="P62" s="23">
        <f>IF($C62="","",INDEX(인턴근무계획!$R$3:$R$402,$A62)&amp;"")</f>
        <v/>
      </c>
      <c r="Q62" s="23">
        <f>IF($C62="","",INDEX(인턴근무계획!$T$3:$T$402,$A62))</f>
        <v/>
      </c>
    </row>
    <row r="63">
      <c r="A63" s="26" t="n">
        <v>58</v>
      </c>
      <c r="B63" s="23">
        <f>IF($C63="","",INDEX(인턴근무계획!$B$3:$B$402,$A63))</f>
        <v/>
      </c>
      <c r="C63" s="23">
        <f>IFERROR(TRIM(INDEX(인턴근무계획!$C$3:$C$402,$A63)&amp;""),"")</f>
        <v/>
      </c>
      <c r="D63" s="23">
        <f>IF($C63="","",INDEX(인턴근무계획!$D$3:$D$402,$A63))</f>
        <v/>
      </c>
      <c r="E63" s="23">
        <f>IF($C63="","",IF(IFERROR(MATCH($D63,기본자료!$B$2:$B$1001,0),IFERROR(MATCH($D63&amp;"",기본자료!$B$2:$B$1001,0),IFERROR(MATCH(VALUE($D63),기본자료!$B$2:$B$1001,0),0)))&gt;0,"확인","미등록"))</f>
        <v/>
      </c>
      <c r="F63" s="27">
        <f>IF($C63="","",INDEX(인턴근무계획!$S$3:$S$402,$A63))</f>
        <v/>
      </c>
      <c r="G63" s="23">
        <f>IF(OR($C63="",$G$3=""),"",IF(INDEX(인턴근무계획!$M$3:$R$402,$A63,$G$3)&amp;""="","",IF(LEFT(INDEX(인턴근무계획!$M$3:$R$402,$A63,$G$3)&amp;"",1)="⚠",INDEX(인턴근무계획!$M$3:$R$402,$A63,$G$3)&amp;"",LEFT(INDEX(인턴근무계획!$M$3:$R$402,$A63,$G$3)&amp;"",FIND(" ",INDEX(인턴근무계획!$M$3:$R$402,$A63,$G$3)&amp;"")-1))))</f>
        <v/>
      </c>
      <c r="H63" s="23">
        <f>IF(OR($C63="",$G$3=""),"",IF(INDEX(인턴근무계획!$M$3:$R$402,$A63,$G$3)&amp;""="","",IF(LEFT(INDEX(인턴근무계획!$M$3:$R$402,$A63,$G$3)&amp;"",1)="⚠","",MID(INDEX(인턴근무계획!$M$3:$R$402,$A63,$G$3)&amp;"",FIND(" ",INDEX(인턴근무계획!$M$3:$R$402,$A63,$G$3)&amp;"")+1,60))))</f>
        <v/>
      </c>
      <c r="I63" s="23">
        <f>IF(OR($C63="",$I$3=""),"",IF(INDEX(인턴근무계획!$M$3:$R$402,$A63,$I$3)&amp;""="","",IF(LEFT(INDEX(인턴근무계획!$M$3:$R$402,$A63,$I$3)&amp;"",1)="⚠",INDEX(인턴근무계획!$M$3:$R$402,$A63,$I$3)&amp;"",LEFT(INDEX(인턴근무계획!$M$3:$R$402,$A63,$I$3)&amp;"",FIND(" ",INDEX(인턴근무계획!$M$3:$R$402,$A63,$I$3)&amp;"")-1))))</f>
        <v/>
      </c>
      <c r="J63" s="23">
        <f>IF(OR($C63="",$I$3=""),"",IF(INDEX(인턴근무계획!$M$3:$R$402,$A63,$I$3)&amp;""="","",IF(LEFT(INDEX(인턴근무계획!$M$3:$R$402,$A63,$I$3)&amp;"",1)="⚠","",MID(INDEX(인턴근무계획!$M$3:$R$402,$A63,$I$3)&amp;"",FIND(" ",INDEX(인턴근무계획!$M$3:$R$402,$A63,$I$3)&amp;"")+1,60))))</f>
        <v/>
      </c>
      <c r="K63" s="23">
        <f>IF($C63="","",INDEX(인턴근무계획!$M$3:$M$402,$A63)&amp;"")</f>
        <v/>
      </c>
      <c r="L63" s="23">
        <f>IF($C63="","",INDEX(인턴근무계획!$N$3:$N$402,$A63)&amp;"")</f>
        <v/>
      </c>
      <c r="M63" s="23">
        <f>IF($C63="","",INDEX(인턴근무계획!$O$3:$O$402,$A63)&amp;"")</f>
        <v/>
      </c>
      <c r="N63" s="23">
        <f>IF($C63="","",INDEX(인턴근무계획!$P$3:$P$402,$A63)&amp;"")</f>
        <v/>
      </c>
      <c r="O63" s="23">
        <f>IF($C63="","",INDEX(인턴근무계획!$Q$3:$Q$402,$A63)&amp;"")</f>
        <v/>
      </c>
      <c r="P63" s="23">
        <f>IF($C63="","",INDEX(인턴근무계획!$R$3:$R$402,$A63)&amp;"")</f>
        <v/>
      </c>
      <c r="Q63" s="23">
        <f>IF($C63="","",INDEX(인턴근무계획!$T$3:$T$402,$A63))</f>
        <v/>
      </c>
    </row>
    <row r="64">
      <c r="A64" s="26" t="n">
        <v>59</v>
      </c>
      <c r="B64" s="23">
        <f>IF($C64="","",INDEX(인턴근무계획!$B$3:$B$402,$A64))</f>
        <v/>
      </c>
      <c r="C64" s="23">
        <f>IFERROR(TRIM(INDEX(인턴근무계획!$C$3:$C$402,$A64)&amp;""),"")</f>
        <v/>
      </c>
      <c r="D64" s="23">
        <f>IF($C64="","",INDEX(인턴근무계획!$D$3:$D$402,$A64))</f>
        <v/>
      </c>
      <c r="E64" s="23">
        <f>IF($C64="","",IF(IFERROR(MATCH($D64,기본자료!$B$2:$B$1001,0),IFERROR(MATCH($D64&amp;"",기본자료!$B$2:$B$1001,0),IFERROR(MATCH(VALUE($D64),기본자료!$B$2:$B$1001,0),0)))&gt;0,"확인","미등록"))</f>
        <v/>
      </c>
      <c r="F64" s="27">
        <f>IF($C64="","",INDEX(인턴근무계획!$S$3:$S$402,$A64))</f>
        <v/>
      </c>
      <c r="G64" s="23">
        <f>IF(OR($C64="",$G$3=""),"",IF(INDEX(인턴근무계획!$M$3:$R$402,$A64,$G$3)&amp;""="","",IF(LEFT(INDEX(인턴근무계획!$M$3:$R$402,$A64,$G$3)&amp;"",1)="⚠",INDEX(인턴근무계획!$M$3:$R$402,$A64,$G$3)&amp;"",LEFT(INDEX(인턴근무계획!$M$3:$R$402,$A64,$G$3)&amp;"",FIND(" ",INDEX(인턴근무계획!$M$3:$R$402,$A64,$G$3)&amp;"")-1))))</f>
        <v/>
      </c>
      <c r="H64" s="23">
        <f>IF(OR($C64="",$G$3=""),"",IF(INDEX(인턴근무계획!$M$3:$R$402,$A64,$G$3)&amp;""="","",IF(LEFT(INDEX(인턴근무계획!$M$3:$R$402,$A64,$G$3)&amp;"",1)="⚠","",MID(INDEX(인턴근무계획!$M$3:$R$402,$A64,$G$3)&amp;"",FIND(" ",INDEX(인턴근무계획!$M$3:$R$402,$A64,$G$3)&amp;"")+1,60))))</f>
        <v/>
      </c>
      <c r="I64" s="23">
        <f>IF(OR($C64="",$I$3=""),"",IF(INDEX(인턴근무계획!$M$3:$R$402,$A64,$I$3)&amp;""="","",IF(LEFT(INDEX(인턴근무계획!$M$3:$R$402,$A64,$I$3)&amp;"",1)="⚠",INDEX(인턴근무계획!$M$3:$R$402,$A64,$I$3)&amp;"",LEFT(INDEX(인턴근무계획!$M$3:$R$402,$A64,$I$3)&amp;"",FIND(" ",INDEX(인턴근무계획!$M$3:$R$402,$A64,$I$3)&amp;"")-1))))</f>
        <v/>
      </c>
      <c r="J64" s="23">
        <f>IF(OR($C64="",$I$3=""),"",IF(INDEX(인턴근무계획!$M$3:$R$402,$A64,$I$3)&amp;""="","",IF(LEFT(INDEX(인턴근무계획!$M$3:$R$402,$A64,$I$3)&amp;"",1)="⚠","",MID(INDEX(인턴근무계획!$M$3:$R$402,$A64,$I$3)&amp;"",FIND(" ",INDEX(인턴근무계획!$M$3:$R$402,$A64,$I$3)&amp;"")+1,60))))</f>
        <v/>
      </c>
      <c r="K64" s="23">
        <f>IF($C64="","",INDEX(인턴근무계획!$M$3:$M$402,$A64)&amp;"")</f>
        <v/>
      </c>
      <c r="L64" s="23">
        <f>IF($C64="","",INDEX(인턴근무계획!$N$3:$N$402,$A64)&amp;"")</f>
        <v/>
      </c>
      <c r="M64" s="23">
        <f>IF($C64="","",INDEX(인턴근무계획!$O$3:$O$402,$A64)&amp;"")</f>
        <v/>
      </c>
      <c r="N64" s="23">
        <f>IF($C64="","",INDEX(인턴근무계획!$P$3:$P$402,$A64)&amp;"")</f>
        <v/>
      </c>
      <c r="O64" s="23">
        <f>IF($C64="","",INDEX(인턴근무계획!$Q$3:$Q$402,$A64)&amp;"")</f>
        <v/>
      </c>
      <c r="P64" s="23">
        <f>IF($C64="","",INDEX(인턴근무계획!$R$3:$R$402,$A64)&amp;"")</f>
        <v/>
      </c>
      <c r="Q64" s="23">
        <f>IF($C64="","",INDEX(인턴근무계획!$T$3:$T$402,$A64))</f>
        <v/>
      </c>
    </row>
    <row r="65">
      <c r="A65" s="26" t="n">
        <v>60</v>
      </c>
      <c r="B65" s="23">
        <f>IF($C65="","",INDEX(인턴근무계획!$B$3:$B$402,$A65))</f>
        <v/>
      </c>
      <c r="C65" s="23">
        <f>IFERROR(TRIM(INDEX(인턴근무계획!$C$3:$C$402,$A65)&amp;""),"")</f>
        <v/>
      </c>
      <c r="D65" s="23">
        <f>IF($C65="","",INDEX(인턴근무계획!$D$3:$D$402,$A65))</f>
        <v/>
      </c>
      <c r="E65" s="23">
        <f>IF($C65="","",IF(IFERROR(MATCH($D65,기본자료!$B$2:$B$1001,0),IFERROR(MATCH($D65&amp;"",기본자료!$B$2:$B$1001,0),IFERROR(MATCH(VALUE($D65),기본자료!$B$2:$B$1001,0),0)))&gt;0,"확인","미등록"))</f>
        <v/>
      </c>
      <c r="F65" s="27">
        <f>IF($C65="","",INDEX(인턴근무계획!$S$3:$S$402,$A65))</f>
        <v/>
      </c>
      <c r="G65" s="23">
        <f>IF(OR($C65="",$G$3=""),"",IF(INDEX(인턴근무계획!$M$3:$R$402,$A65,$G$3)&amp;""="","",IF(LEFT(INDEX(인턴근무계획!$M$3:$R$402,$A65,$G$3)&amp;"",1)="⚠",INDEX(인턴근무계획!$M$3:$R$402,$A65,$G$3)&amp;"",LEFT(INDEX(인턴근무계획!$M$3:$R$402,$A65,$G$3)&amp;"",FIND(" ",INDEX(인턴근무계획!$M$3:$R$402,$A65,$G$3)&amp;"")-1))))</f>
        <v/>
      </c>
      <c r="H65" s="23">
        <f>IF(OR($C65="",$G$3=""),"",IF(INDEX(인턴근무계획!$M$3:$R$402,$A65,$G$3)&amp;""="","",IF(LEFT(INDEX(인턴근무계획!$M$3:$R$402,$A65,$G$3)&amp;"",1)="⚠","",MID(INDEX(인턴근무계획!$M$3:$R$402,$A65,$G$3)&amp;"",FIND(" ",INDEX(인턴근무계획!$M$3:$R$402,$A65,$G$3)&amp;"")+1,60))))</f>
        <v/>
      </c>
      <c r="I65" s="23">
        <f>IF(OR($C65="",$I$3=""),"",IF(INDEX(인턴근무계획!$M$3:$R$402,$A65,$I$3)&amp;""="","",IF(LEFT(INDEX(인턴근무계획!$M$3:$R$402,$A65,$I$3)&amp;"",1)="⚠",INDEX(인턴근무계획!$M$3:$R$402,$A65,$I$3)&amp;"",LEFT(INDEX(인턴근무계획!$M$3:$R$402,$A65,$I$3)&amp;"",FIND(" ",INDEX(인턴근무계획!$M$3:$R$402,$A65,$I$3)&amp;"")-1))))</f>
        <v/>
      </c>
      <c r="J65" s="23">
        <f>IF(OR($C65="",$I$3=""),"",IF(INDEX(인턴근무계획!$M$3:$R$402,$A65,$I$3)&amp;""="","",IF(LEFT(INDEX(인턴근무계획!$M$3:$R$402,$A65,$I$3)&amp;"",1)="⚠","",MID(INDEX(인턴근무계획!$M$3:$R$402,$A65,$I$3)&amp;"",FIND(" ",INDEX(인턴근무계획!$M$3:$R$402,$A65,$I$3)&amp;"")+1,60))))</f>
        <v/>
      </c>
      <c r="K65" s="23">
        <f>IF($C65="","",INDEX(인턴근무계획!$M$3:$M$402,$A65)&amp;"")</f>
        <v/>
      </c>
      <c r="L65" s="23">
        <f>IF($C65="","",INDEX(인턴근무계획!$N$3:$N$402,$A65)&amp;"")</f>
        <v/>
      </c>
      <c r="M65" s="23">
        <f>IF($C65="","",INDEX(인턴근무계획!$O$3:$O$402,$A65)&amp;"")</f>
        <v/>
      </c>
      <c r="N65" s="23">
        <f>IF($C65="","",INDEX(인턴근무계획!$P$3:$P$402,$A65)&amp;"")</f>
        <v/>
      </c>
      <c r="O65" s="23">
        <f>IF($C65="","",INDEX(인턴근무계획!$Q$3:$Q$402,$A65)&amp;"")</f>
        <v/>
      </c>
      <c r="P65" s="23">
        <f>IF($C65="","",INDEX(인턴근무계획!$R$3:$R$402,$A65)&amp;"")</f>
        <v/>
      </c>
      <c r="Q65" s="23">
        <f>IF($C65="","",INDEX(인턴근무계획!$T$3:$T$402,$A65))</f>
        <v/>
      </c>
    </row>
    <row r="66">
      <c r="A66" s="26" t="n">
        <v>61</v>
      </c>
      <c r="B66" s="23">
        <f>IF($C66="","",INDEX(인턴근무계획!$B$3:$B$402,$A66))</f>
        <v/>
      </c>
      <c r="C66" s="23">
        <f>IFERROR(TRIM(INDEX(인턴근무계획!$C$3:$C$402,$A66)&amp;""),"")</f>
        <v/>
      </c>
      <c r="D66" s="23">
        <f>IF($C66="","",INDEX(인턴근무계획!$D$3:$D$402,$A66))</f>
        <v/>
      </c>
      <c r="E66" s="23">
        <f>IF($C66="","",IF(IFERROR(MATCH($D66,기본자료!$B$2:$B$1001,0),IFERROR(MATCH($D66&amp;"",기본자료!$B$2:$B$1001,0),IFERROR(MATCH(VALUE($D66),기본자료!$B$2:$B$1001,0),0)))&gt;0,"확인","미등록"))</f>
        <v/>
      </c>
      <c r="F66" s="27">
        <f>IF($C66="","",INDEX(인턴근무계획!$S$3:$S$402,$A66))</f>
        <v/>
      </c>
      <c r="G66" s="23">
        <f>IF(OR($C66="",$G$3=""),"",IF(INDEX(인턴근무계획!$M$3:$R$402,$A66,$G$3)&amp;""="","",IF(LEFT(INDEX(인턴근무계획!$M$3:$R$402,$A66,$G$3)&amp;"",1)="⚠",INDEX(인턴근무계획!$M$3:$R$402,$A66,$G$3)&amp;"",LEFT(INDEX(인턴근무계획!$M$3:$R$402,$A66,$G$3)&amp;"",FIND(" ",INDEX(인턴근무계획!$M$3:$R$402,$A66,$G$3)&amp;"")-1))))</f>
        <v/>
      </c>
      <c r="H66" s="23">
        <f>IF(OR($C66="",$G$3=""),"",IF(INDEX(인턴근무계획!$M$3:$R$402,$A66,$G$3)&amp;""="","",IF(LEFT(INDEX(인턴근무계획!$M$3:$R$402,$A66,$G$3)&amp;"",1)="⚠","",MID(INDEX(인턴근무계획!$M$3:$R$402,$A66,$G$3)&amp;"",FIND(" ",INDEX(인턴근무계획!$M$3:$R$402,$A66,$G$3)&amp;"")+1,60))))</f>
        <v/>
      </c>
      <c r="I66" s="23">
        <f>IF(OR($C66="",$I$3=""),"",IF(INDEX(인턴근무계획!$M$3:$R$402,$A66,$I$3)&amp;""="","",IF(LEFT(INDEX(인턴근무계획!$M$3:$R$402,$A66,$I$3)&amp;"",1)="⚠",INDEX(인턴근무계획!$M$3:$R$402,$A66,$I$3)&amp;"",LEFT(INDEX(인턴근무계획!$M$3:$R$402,$A66,$I$3)&amp;"",FIND(" ",INDEX(인턴근무계획!$M$3:$R$402,$A66,$I$3)&amp;"")-1))))</f>
        <v/>
      </c>
      <c r="J66" s="23">
        <f>IF(OR($C66="",$I$3=""),"",IF(INDEX(인턴근무계획!$M$3:$R$402,$A66,$I$3)&amp;""="","",IF(LEFT(INDEX(인턴근무계획!$M$3:$R$402,$A66,$I$3)&amp;"",1)="⚠","",MID(INDEX(인턴근무계획!$M$3:$R$402,$A66,$I$3)&amp;"",FIND(" ",INDEX(인턴근무계획!$M$3:$R$402,$A66,$I$3)&amp;"")+1,60))))</f>
        <v/>
      </c>
      <c r="K66" s="23">
        <f>IF($C66="","",INDEX(인턴근무계획!$M$3:$M$402,$A66)&amp;"")</f>
        <v/>
      </c>
      <c r="L66" s="23">
        <f>IF($C66="","",INDEX(인턴근무계획!$N$3:$N$402,$A66)&amp;"")</f>
        <v/>
      </c>
      <c r="M66" s="23">
        <f>IF($C66="","",INDEX(인턴근무계획!$O$3:$O$402,$A66)&amp;"")</f>
        <v/>
      </c>
      <c r="N66" s="23">
        <f>IF($C66="","",INDEX(인턴근무계획!$P$3:$P$402,$A66)&amp;"")</f>
        <v/>
      </c>
      <c r="O66" s="23">
        <f>IF($C66="","",INDEX(인턴근무계획!$Q$3:$Q$402,$A66)&amp;"")</f>
        <v/>
      </c>
      <c r="P66" s="23">
        <f>IF($C66="","",INDEX(인턴근무계획!$R$3:$R$402,$A66)&amp;"")</f>
        <v/>
      </c>
      <c r="Q66" s="23">
        <f>IF($C66="","",INDEX(인턴근무계획!$T$3:$T$402,$A66))</f>
        <v/>
      </c>
    </row>
    <row r="67">
      <c r="A67" s="26" t="n">
        <v>62</v>
      </c>
      <c r="B67" s="23">
        <f>IF($C67="","",INDEX(인턴근무계획!$B$3:$B$402,$A67))</f>
        <v/>
      </c>
      <c r="C67" s="23">
        <f>IFERROR(TRIM(INDEX(인턴근무계획!$C$3:$C$402,$A67)&amp;""),"")</f>
        <v/>
      </c>
      <c r="D67" s="23">
        <f>IF($C67="","",INDEX(인턴근무계획!$D$3:$D$402,$A67))</f>
        <v/>
      </c>
      <c r="E67" s="23">
        <f>IF($C67="","",IF(IFERROR(MATCH($D67,기본자료!$B$2:$B$1001,0),IFERROR(MATCH($D67&amp;"",기본자료!$B$2:$B$1001,0),IFERROR(MATCH(VALUE($D67),기본자료!$B$2:$B$1001,0),0)))&gt;0,"확인","미등록"))</f>
        <v/>
      </c>
      <c r="F67" s="27">
        <f>IF($C67="","",INDEX(인턴근무계획!$S$3:$S$402,$A67))</f>
        <v/>
      </c>
      <c r="G67" s="23">
        <f>IF(OR($C67="",$G$3=""),"",IF(INDEX(인턴근무계획!$M$3:$R$402,$A67,$G$3)&amp;""="","",IF(LEFT(INDEX(인턴근무계획!$M$3:$R$402,$A67,$G$3)&amp;"",1)="⚠",INDEX(인턴근무계획!$M$3:$R$402,$A67,$G$3)&amp;"",LEFT(INDEX(인턴근무계획!$M$3:$R$402,$A67,$G$3)&amp;"",FIND(" ",INDEX(인턴근무계획!$M$3:$R$402,$A67,$G$3)&amp;"")-1))))</f>
        <v/>
      </c>
      <c r="H67" s="23">
        <f>IF(OR($C67="",$G$3=""),"",IF(INDEX(인턴근무계획!$M$3:$R$402,$A67,$G$3)&amp;""="","",IF(LEFT(INDEX(인턴근무계획!$M$3:$R$402,$A67,$G$3)&amp;"",1)="⚠","",MID(INDEX(인턴근무계획!$M$3:$R$402,$A67,$G$3)&amp;"",FIND(" ",INDEX(인턴근무계획!$M$3:$R$402,$A67,$G$3)&amp;"")+1,60))))</f>
        <v/>
      </c>
      <c r="I67" s="23">
        <f>IF(OR($C67="",$I$3=""),"",IF(INDEX(인턴근무계획!$M$3:$R$402,$A67,$I$3)&amp;""="","",IF(LEFT(INDEX(인턴근무계획!$M$3:$R$402,$A67,$I$3)&amp;"",1)="⚠",INDEX(인턴근무계획!$M$3:$R$402,$A67,$I$3)&amp;"",LEFT(INDEX(인턴근무계획!$M$3:$R$402,$A67,$I$3)&amp;"",FIND(" ",INDEX(인턴근무계획!$M$3:$R$402,$A67,$I$3)&amp;"")-1))))</f>
        <v/>
      </c>
      <c r="J67" s="23">
        <f>IF(OR($C67="",$I$3=""),"",IF(INDEX(인턴근무계획!$M$3:$R$402,$A67,$I$3)&amp;""="","",IF(LEFT(INDEX(인턴근무계획!$M$3:$R$402,$A67,$I$3)&amp;"",1)="⚠","",MID(INDEX(인턴근무계획!$M$3:$R$402,$A67,$I$3)&amp;"",FIND(" ",INDEX(인턴근무계획!$M$3:$R$402,$A67,$I$3)&amp;"")+1,60))))</f>
        <v/>
      </c>
      <c r="K67" s="23">
        <f>IF($C67="","",INDEX(인턴근무계획!$M$3:$M$402,$A67)&amp;"")</f>
        <v/>
      </c>
      <c r="L67" s="23">
        <f>IF($C67="","",INDEX(인턴근무계획!$N$3:$N$402,$A67)&amp;"")</f>
        <v/>
      </c>
      <c r="M67" s="23">
        <f>IF($C67="","",INDEX(인턴근무계획!$O$3:$O$402,$A67)&amp;"")</f>
        <v/>
      </c>
      <c r="N67" s="23">
        <f>IF($C67="","",INDEX(인턴근무계획!$P$3:$P$402,$A67)&amp;"")</f>
        <v/>
      </c>
      <c r="O67" s="23">
        <f>IF($C67="","",INDEX(인턴근무계획!$Q$3:$Q$402,$A67)&amp;"")</f>
        <v/>
      </c>
      <c r="P67" s="23">
        <f>IF($C67="","",INDEX(인턴근무계획!$R$3:$R$402,$A67)&amp;"")</f>
        <v/>
      </c>
      <c r="Q67" s="23">
        <f>IF($C67="","",INDEX(인턴근무계획!$T$3:$T$402,$A67))</f>
        <v/>
      </c>
    </row>
    <row r="68">
      <c r="A68" s="26" t="n">
        <v>63</v>
      </c>
      <c r="B68" s="23">
        <f>IF($C68="","",INDEX(인턴근무계획!$B$3:$B$402,$A68))</f>
        <v/>
      </c>
      <c r="C68" s="23">
        <f>IFERROR(TRIM(INDEX(인턴근무계획!$C$3:$C$402,$A68)&amp;""),"")</f>
        <v/>
      </c>
      <c r="D68" s="23">
        <f>IF($C68="","",INDEX(인턴근무계획!$D$3:$D$402,$A68))</f>
        <v/>
      </c>
      <c r="E68" s="23">
        <f>IF($C68="","",IF(IFERROR(MATCH($D68,기본자료!$B$2:$B$1001,0),IFERROR(MATCH($D68&amp;"",기본자료!$B$2:$B$1001,0),IFERROR(MATCH(VALUE($D68),기본자료!$B$2:$B$1001,0),0)))&gt;0,"확인","미등록"))</f>
        <v/>
      </c>
      <c r="F68" s="27">
        <f>IF($C68="","",INDEX(인턴근무계획!$S$3:$S$402,$A68))</f>
        <v/>
      </c>
      <c r="G68" s="23">
        <f>IF(OR($C68="",$G$3=""),"",IF(INDEX(인턴근무계획!$M$3:$R$402,$A68,$G$3)&amp;""="","",IF(LEFT(INDEX(인턴근무계획!$M$3:$R$402,$A68,$G$3)&amp;"",1)="⚠",INDEX(인턴근무계획!$M$3:$R$402,$A68,$G$3)&amp;"",LEFT(INDEX(인턴근무계획!$M$3:$R$402,$A68,$G$3)&amp;"",FIND(" ",INDEX(인턴근무계획!$M$3:$R$402,$A68,$G$3)&amp;"")-1))))</f>
        <v/>
      </c>
      <c r="H68" s="23">
        <f>IF(OR($C68="",$G$3=""),"",IF(INDEX(인턴근무계획!$M$3:$R$402,$A68,$G$3)&amp;""="","",IF(LEFT(INDEX(인턴근무계획!$M$3:$R$402,$A68,$G$3)&amp;"",1)="⚠","",MID(INDEX(인턴근무계획!$M$3:$R$402,$A68,$G$3)&amp;"",FIND(" ",INDEX(인턴근무계획!$M$3:$R$402,$A68,$G$3)&amp;"")+1,60))))</f>
        <v/>
      </c>
      <c r="I68" s="23">
        <f>IF(OR($C68="",$I$3=""),"",IF(INDEX(인턴근무계획!$M$3:$R$402,$A68,$I$3)&amp;""="","",IF(LEFT(INDEX(인턴근무계획!$M$3:$R$402,$A68,$I$3)&amp;"",1)="⚠",INDEX(인턴근무계획!$M$3:$R$402,$A68,$I$3)&amp;"",LEFT(INDEX(인턴근무계획!$M$3:$R$402,$A68,$I$3)&amp;"",FIND(" ",INDEX(인턴근무계획!$M$3:$R$402,$A68,$I$3)&amp;"")-1))))</f>
        <v/>
      </c>
      <c r="J68" s="23">
        <f>IF(OR($C68="",$I$3=""),"",IF(INDEX(인턴근무계획!$M$3:$R$402,$A68,$I$3)&amp;""="","",IF(LEFT(INDEX(인턴근무계획!$M$3:$R$402,$A68,$I$3)&amp;"",1)="⚠","",MID(INDEX(인턴근무계획!$M$3:$R$402,$A68,$I$3)&amp;"",FIND(" ",INDEX(인턴근무계획!$M$3:$R$402,$A68,$I$3)&amp;"")+1,60))))</f>
        <v/>
      </c>
      <c r="K68" s="23">
        <f>IF($C68="","",INDEX(인턴근무계획!$M$3:$M$402,$A68)&amp;"")</f>
        <v/>
      </c>
      <c r="L68" s="23">
        <f>IF($C68="","",INDEX(인턴근무계획!$N$3:$N$402,$A68)&amp;"")</f>
        <v/>
      </c>
      <c r="M68" s="23">
        <f>IF($C68="","",INDEX(인턴근무계획!$O$3:$O$402,$A68)&amp;"")</f>
        <v/>
      </c>
      <c r="N68" s="23">
        <f>IF($C68="","",INDEX(인턴근무계획!$P$3:$P$402,$A68)&amp;"")</f>
        <v/>
      </c>
      <c r="O68" s="23">
        <f>IF($C68="","",INDEX(인턴근무계획!$Q$3:$Q$402,$A68)&amp;"")</f>
        <v/>
      </c>
      <c r="P68" s="23">
        <f>IF($C68="","",INDEX(인턴근무계획!$R$3:$R$402,$A68)&amp;"")</f>
        <v/>
      </c>
      <c r="Q68" s="23">
        <f>IF($C68="","",INDEX(인턴근무계획!$T$3:$T$402,$A68))</f>
        <v/>
      </c>
    </row>
    <row r="69">
      <c r="A69" s="26" t="n">
        <v>64</v>
      </c>
      <c r="B69" s="23">
        <f>IF($C69="","",INDEX(인턴근무계획!$B$3:$B$402,$A69))</f>
        <v/>
      </c>
      <c r="C69" s="23">
        <f>IFERROR(TRIM(INDEX(인턴근무계획!$C$3:$C$402,$A69)&amp;""),"")</f>
        <v/>
      </c>
      <c r="D69" s="23">
        <f>IF($C69="","",INDEX(인턴근무계획!$D$3:$D$402,$A69))</f>
        <v/>
      </c>
      <c r="E69" s="23">
        <f>IF($C69="","",IF(IFERROR(MATCH($D69,기본자료!$B$2:$B$1001,0),IFERROR(MATCH($D69&amp;"",기본자료!$B$2:$B$1001,0),IFERROR(MATCH(VALUE($D69),기본자료!$B$2:$B$1001,0),0)))&gt;0,"확인","미등록"))</f>
        <v/>
      </c>
      <c r="F69" s="27">
        <f>IF($C69="","",INDEX(인턴근무계획!$S$3:$S$402,$A69))</f>
        <v/>
      </c>
      <c r="G69" s="23">
        <f>IF(OR($C69="",$G$3=""),"",IF(INDEX(인턴근무계획!$M$3:$R$402,$A69,$G$3)&amp;""="","",IF(LEFT(INDEX(인턴근무계획!$M$3:$R$402,$A69,$G$3)&amp;"",1)="⚠",INDEX(인턴근무계획!$M$3:$R$402,$A69,$G$3)&amp;"",LEFT(INDEX(인턴근무계획!$M$3:$R$402,$A69,$G$3)&amp;"",FIND(" ",INDEX(인턴근무계획!$M$3:$R$402,$A69,$G$3)&amp;"")-1))))</f>
        <v/>
      </c>
      <c r="H69" s="23">
        <f>IF(OR($C69="",$G$3=""),"",IF(INDEX(인턴근무계획!$M$3:$R$402,$A69,$G$3)&amp;""="","",IF(LEFT(INDEX(인턴근무계획!$M$3:$R$402,$A69,$G$3)&amp;"",1)="⚠","",MID(INDEX(인턴근무계획!$M$3:$R$402,$A69,$G$3)&amp;"",FIND(" ",INDEX(인턴근무계획!$M$3:$R$402,$A69,$G$3)&amp;"")+1,60))))</f>
        <v/>
      </c>
      <c r="I69" s="23">
        <f>IF(OR($C69="",$I$3=""),"",IF(INDEX(인턴근무계획!$M$3:$R$402,$A69,$I$3)&amp;""="","",IF(LEFT(INDEX(인턴근무계획!$M$3:$R$402,$A69,$I$3)&amp;"",1)="⚠",INDEX(인턴근무계획!$M$3:$R$402,$A69,$I$3)&amp;"",LEFT(INDEX(인턴근무계획!$M$3:$R$402,$A69,$I$3)&amp;"",FIND(" ",INDEX(인턴근무계획!$M$3:$R$402,$A69,$I$3)&amp;"")-1))))</f>
        <v/>
      </c>
      <c r="J69" s="23">
        <f>IF(OR($C69="",$I$3=""),"",IF(INDEX(인턴근무계획!$M$3:$R$402,$A69,$I$3)&amp;""="","",IF(LEFT(INDEX(인턴근무계획!$M$3:$R$402,$A69,$I$3)&amp;"",1)="⚠","",MID(INDEX(인턴근무계획!$M$3:$R$402,$A69,$I$3)&amp;"",FIND(" ",INDEX(인턴근무계획!$M$3:$R$402,$A69,$I$3)&amp;"")+1,60))))</f>
        <v/>
      </c>
      <c r="K69" s="23">
        <f>IF($C69="","",INDEX(인턴근무계획!$M$3:$M$402,$A69)&amp;"")</f>
        <v/>
      </c>
      <c r="L69" s="23">
        <f>IF($C69="","",INDEX(인턴근무계획!$N$3:$N$402,$A69)&amp;"")</f>
        <v/>
      </c>
      <c r="M69" s="23">
        <f>IF($C69="","",INDEX(인턴근무계획!$O$3:$O$402,$A69)&amp;"")</f>
        <v/>
      </c>
      <c r="N69" s="23">
        <f>IF($C69="","",INDEX(인턴근무계획!$P$3:$P$402,$A69)&amp;"")</f>
        <v/>
      </c>
      <c r="O69" s="23">
        <f>IF($C69="","",INDEX(인턴근무계획!$Q$3:$Q$402,$A69)&amp;"")</f>
        <v/>
      </c>
      <c r="P69" s="23">
        <f>IF($C69="","",INDEX(인턴근무계획!$R$3:$R$402,$A69)&amp;"")</f>
        <v/>
      </c>
      <c r="Q69" s="23">
        <f>IF($C69="","",INDEX(인턴근무계획!$T$3:$T$402,$A69))</f>
        <v/>
      </c>
    </row>
    <row r="70">
      <c r="A70" s="26" t="n">
        <v>65</v>
      </c>
      <c r="B70" s="23">
        <f>IF($C70="","",INDEX(인턴근무계획!$B$3:$B$402,$A70))</f>
        <v/>
      </c>
      <c r="C70" s="23">
        <f>IFERROR(TRIM(INDEX(인턴근무계획!$C$3:$C$402,$A70)&amp;""),"")</f>
        <v/>
      </c>
      <c r="D70" s="23">
        <f>IF($C70="","",INDEX(인턴근무계획!$D$3:$D$402,$A70))</f>
        <v/>
      </c>
      <c r="E70" s="23">
        <f>IF($C70="","",IF(IFERROR(MATCH($D70,기본자료!$B$2:$B$1001,0),IFERROR(MATCH($D70&amp;"",기본자료!$B$2:$B$1001,0),IFERROR(MATCH(VALUE($D70),기본자료!$B$2:$B$1001,0),0)))&gt;0,"확인","미등록"))</f>
        <v/>
      </c>
      <c r="F70" s="27">
        <f>IF($C70="","",INDEX(인턴근무계획!$S$3:$S$402,$A70))</f>
        <v/>
      </c>
      <c r="G70" s="23">
        <f>IF(OR($C70="",$G$3=""),"",IF(INDEX(인턴근무계획!$M$3:$R$402,$A70,$G$3)&amp;""="","",IF(LEFT(INDEX(인턴근무계획!$M$3:$R$402,$A70,$G$3)&amp;"",1)="⚠",INDEX(인턴근무계획!$M$3:$R$402,$A70,$G$3)&amp;"",LEFT(INDEX(인턴근무계획!$M$3:$R$402,$A70,$G$3)&amp;"",FIND(" ",INDEX(인턴근무계획!$M$3:$R$402,$A70,$G$3)&amp;"")-1))))</f>
        <v/>
      </c>
      <c r="H70" s="23">
        <f>IF(OR($C70="",$G$3=""),"",IF(INDEX(인턴근무계획!$M$3:$R$402,$A70,$G$3)&amp;""="","",IF(LEFT(INDEX(인턴근무계획!$M$3:$R$402,$A70,$G$3)&amp;"",1)="⚠","",MID(INDEX(인턴근무계획!$M$3:$R$402,$A70,$G$3)&amp;"",FIND(" ",INDEX(인턴근무계획!$M$3:$R$402,$A70,$G$3)&amp;"")+1,60))))</f>
        <v/>
      </c>
      <c r="I70" s="23">
        <f>IF(OR($C70="",$I$3=""),"",IF(INDEX(인턴근무계획!$M$3:$R$402,$A70,$I$3)&amp;""="","",IF(LEFT(INDEX(인턴근무계획!$M$3:$R$402,$A70,$I$3)&amp;"",1)="⚠",INDEX(인턴근무계획!$M$3:$R$402,$A70,$I$3)&amp;"",LEFT(INDEX(인턴근무계획!$M$3:$R$402,$A70,$I$3)&amp;"",FIND(" ",INDEX(인턴근무계획!$M$3:$R$402,$A70,$I$3)&amp;"")-1))))</f>
        <v/>
      </c>
      <c r="J70" s="23">
        <f>IF(OR($C70="",$I$3=""),"",IF(INDEX(인턴근무계획!$M$3:$R$402,$A70,$I$3)&amp;""="","",IF(LEFT(INDEX(인턴근무계획!$M$3:$R$402,$A70,$I$3)&amp;"",1)="⚠","",MID(INDEX(인턴근무계획!$M$3:$R$402,$A70,$I$3)&amp;"",FIND(" ",INDEX(인턴근무계획!$M$3:$R$402,$A70,$I$3)&amp;"")+1,60))))</f>
        <v/>
      </c>
      <c r="K70" s="23">
        <f>IF($C70="","",INDEX(인턴근무계획!$M$3:$M$402,$A70)&amp;"")</f>
        <v/>
      </c>
      <c r="L70" s="23">
        <f>IF($C70="","",INDEX(인턴근무계획!$N$3:$N$402,$A70)&amp;"")</f>
        <v/>
      </c>
      <c r="M70" s="23">
        <f>IF($C70="","",INDEX(인턴근무계획!$O$3:$O$402,$A70)&amp;"")</f>
        <v/>
      </c>
      <c r="N70" s="23">
        <f>IF($C70="","",INDEX(인턴근무계획!$P$3:$P$402,$A70)&amp;"")</f>
        <v/>
      </c>
      <c r="O70" s="23">
        <f>IF($C70="","",INDEX(인턴근무계획!$Q$3:$Q$402,$A70)&amp;"")</f>
        <v/>
      </c>
      <c r="P70" s="23">
        <f>IF($C70="","",INDEX(인턴근무계획!$R$3:$R$402,$A70)&amp;"")</f>
        <v/>
      </c>
      <c r="Q70" s="23">
        <f>IF($C70="","",INDEX(인턴근무계획!$T$3:$T$402,$A70))</f>
        <v/>
      </c>
    </row>
    <row r="71">
      <c r="A71" s="26" t="n">
        <v>66</v>
      </c>
      <c r="B71" s="23">
        <f>IF($C71="","",INDEX(인턴근무계획!$B$3:$B$402,$A71))</f>
        <v/>
      </c>
      <c r="C71" s="23">
        <f>IFERROR(TRIM(INDEX(인턴근무계획!$C$3:$C$402,$A71)&amp;""),"")</f>
        <v/>
      </c>
      <c r="D71" s="23">
        <f>IF($C71="","",INDEX(인턴근무계획!$D$3:$D$402,$A71))</f>
        <v/>
      </c>
      <c r="E71" s="23">
        <f>IF($C71="","",IF(IFERROR(MATCH($D71,기본자료!$B$2:$B$1001,0),IFERROR(MATCH($D71&amp;"",기본자료!$B$2:$B$1001,0),IFERROR(MATCH(VALUE($D71),기본자료!$B$2:$B$1001,0),0)))&gt;0,"확인","미등록"))</f>
        <v/>
      </c>
      <c r="F71" s="27">
        <f>IF($C71="","",INDEX(인턴근무계획!$S$3:$S$402,$A71))</f>
        <v/>
      </c>
      <c r="G71" s="23">
        <f>IF(OR($C71="",$G$3=""),"",IF(INDEX(인턴근무계획!$M$3:$R$402,$A71,$G$3)&amp;""="","",IF(LEFT(INDEX(인턴근무계획!$M$3:$R$402,$A71,$G$3)&amp;"",1)="⚠",INDEX(인턴근무계획!$M$3:$R$402,$A71,$G$3)&amp;"",LEFT(INDEX(인턴근무계획!$M$3:$R$402,$A71,$G$3)&amp;"",FIND(" ",INDEX(인턴근무계획!$M$3:$R$402,$A71,$G$3)&amp;"")-1))))</f>
        <v/>
      </c>
      <c r="H71" s="23">
        <f>IF(OR($C71="",$G$3=""),"",IF(INDEX(인턴근무계획!$M$3:$R$402,$A71,$G$3)&amp;""="","",IF(LEFT(INDEX(인턴근무계획!$M$3:$R$402,$A71,$G$3)&amp;"",1)="⚠","",MID(INDEX(인턴근무계획!$M$3:$R$402,$A71,$G$3)&amp;"",FIND(" ",INDEX(인턴근무계획!$M$3:$R$402,$A71,$G$3)&amp;"")+1,60))))</f>
        <v/>
      </c>
      <c r="I71" s="23">
        <f>IF(OR($C71="",$I$3=""),"",IF(INDEX(인턴근무계획!$M$3:$R$402,$A71,$I$3)&amp;""="","",IF(LEFT(INDEX(인턴근무계획!$M$3:$R$402,$A71,$I$3)&amp;"",1)="⚠",INDEX(인턴근무계획!$M$3:$R$402,$A71,$I$3)&amp;"",LEFT(INDEX(인턴근무계획!$M$3:$R$402,$A71,$I$3)&amp;"",FIND(" ",INDEX(인턴근무계획!$M$3:$R$402,$A71,$I$3)&amp;"")-1))))</f>
        <v/>
      </c>
      <c r="J71" s="23">
        <f>IF(OR($C71="",$I$3=""),"",IF(INDEX(인턴근무계획!$M$3:$R$402,$A71,$I$3)&amp;""="","",IF(LEFT(INDEX(인턴근무계획!$M$3:$R$402,$A71,$I$3)&amp;"",1)="⚠","",MID(INDEX(인턴근무계획!$M$3:$R$402,$A71,$I$3)&amp;"",FIND(" ",INDEX(인턴근무계획!$M$3:$R$402,$A71,$I$3)&amp;"")+1,60))))</f>
        <v/>
      </c>
      <c r="K71" s="23">
        <f>IF($C71="","",INDEX(인턴근무계획!$M$3:$M$402,$A71)&amp;"")</f>
        <v/>
      </c>
      <c r="L71" s="23">
        <f>IF($C71="","",INDEX(인턴근무계획!$N$3:$N$402,$A71)&amp;"")</f>
        <v/>
      </c>
      <c r="M71" s="23">
        <f>IF($C71="","",INDEX(인턴근무계획!$O$3:$O$402,$A71)&amp;"")</f>
        <v/>
      </c>
      <c r="N71" s="23">
        <f>IF($C71="","",INDEX(인턴근무계획!$P$3:$P$402,$A71)&amp;"")</f>
        <v/>
      </c>
      <c r="O71" s="23">
        <f>IF($C71="","",INDEX(인턴근무계획!$Q$3:$Q$402,$A71)&amp;"")</f>
        <v/>
      </c>
      <c r="P71" s="23">
        <f>IF($C71="","",INDEX(인턴근무계획!$R$3:$R$402,$A71)&amp;"")</f>
        <v/>
      </c>
      <c r="Q71" s="23">
        <f>IF($C71="","",INDEX(인턴근무계획!$T$3:$T$402,$A71))</f>
        <v/>
      </c>
    </row>
    <row r="72">
      <c r="A72" s="26" t="n">
        <v>67</v>
      </c>
      <c r="B72" s="23">
        <f>IF($C72="","",INDEX(인턴근무계획!$B$3:$B$402,$A72))</f>
        <v/>
      </c>
      <c r="C72" s="23">
        <f>IFERROR(TRIM(INDEX(인턴근무계획!$C$3:$C$402,$A72)&amp;""),"")</f>
        <v/>
      </c>
      <c r="D72" s="23">
        <f>IF($C72="","",INDEX(인턴근무계획!$D$3:$D$402,$A72))</f>
        <v/>
      </c>
      <c r="E72" s="23">
        <f>IF($C72="","",IF(IFERROR(MATCH($D72,기본자료!$B$2:$B$1001,0),IFERROR(MATCH($D72&amp;"",기본자료!$B$2:$B$1001,0),IFERROR(MATCH(VALUE($D72),기본자료!$B$2:$B$1001,0),0)))&gt;0,"확인","미등록"))</f>
        <v/>
      </c>
      <c r="F72" s="27">
        <f>IF($C72="","",INDEX(인턴근무계획!$S$3:$S$402,$A72))</f>
        <v/>
      </c>
      <c r="G72" s="23">
        <f>IF(OR($C72="",$G$3=""),"",IF(INDEX(인턴근무계획!$M$3:$R$402,$A72,$G$3)&amp;""="","",IF(LEFT(INDEX(인턴근무계획!$M$3:$R$402,$A72,$G$3)&amp;"",1)="⚠",INDEX(인턴근무계획!$M$3:$R$402,$A72,$G$3)&amp;"",LEFT(INDEX(인턴근무계획!$M$3:$R$402,$A72,$G$3)&amp;"",FIND(" ",INDEX(인턴근무계획!$M$3:$R$402,$A72,$G$3)&amp;"")-1))))</f>
        <v/>
      </c>
      <c r="H72" s="23">
        <f>IF(OR($C72="",$G$3=""),"",IF(INDEX(인턴근무계획!$M$3:$R$402,$A72,$G$3)&amp;""="","",IF(LEFT(INDEX(인턴근무계획!$M$3:$R$402,$A72,$G$3)&amp;"",1)="⚠","",MID(INDEX(인턴근무계획!$M$3:$R$402,$A72,$G$3)&amp;"",FIND(" ",INDEX(인턴근무계획!$M$3:$R$402,$A72,$G$3)&amp;"")+1,60))))</f>
        <v/>
      </c>
      <c r="I72" s="23">
        <f>IF(OR($C72="",$I$3=""),"",IF(INDEX(인턴근무계획!$M$3:$R$402,$A72,$I$3)&amp;""="","",IF(LEFT(INDEX(인턴근무계획!$M$3:$R$402,$A72,$I$3)&amp;"",1)="⚠",INDEX(인턴근무계획!$M$3:$R$402,$A72,$I$3)&amp;"",LEFT(INDEX(인턴근무계획!$M$3:$R$402,$A72,$I$3)&amp;"",FIND(" ",INDEX(인턴근무계획!$M$3:$R$402,$A72,$I$3)&amp;"")-1))))</f>
        <v/>
      </c>
      <c r="J72" s="23">
        <f>IF(OR($C72="",$I$3=""),"",IF(INDEX(인턴근무계획!$M$3:$R$402,$A72,$I$3)&amp;""="","",IF(LEFT(INDEX(인턴근무계획!$M$3:$R$402,$A72,$I$3)&amp;"",1)="⚠","",MID(INDEX(인턴근무계획!$M$3:$R$402,$A72,$I$3)&amp;"",FIND(" ",INDEX(인턴근무계획!$M$3:$R$402,$A72,$I$3)&amp;"")+1,60))))</f>
        <v/>
      </c>
      <c r="K72" s="23">
        <f>IF($C72="","",INDEX(인턴근무계획!$M$3:$M$402,$A72)&amp;"")</f>
        <v/>
      </c>
      <c r="L72" s="23">
        <f>IF($C72="","",INDEX(인턴근무계획!$N$3:$N$402,$A72)&amp;"")</f>
        <v/>
      </c>
      <c r="M72" s="23">
        <f>IF($C72="","",INDEX(인턴근무계획!$O$3:$O$402,$A72)&amp;"")</f>
        <v/>
      </c>
      <c r="N72" s="23">
        <f>IF($C72="","",INDEX(인턴근무계획!$P$3:$P$402,$A72)&amp;"")</f>
        <v/>
      </c>
      <c r="O72" s="23">
        <f>IF($C72="","",INDEX(인턴근무계획!$Q$3:$Q$402,$A72)&amp;"")</f>
        <v/>
      </c>
      <c r="P72" s="23">
        <f>IF($C72="","",INDEX(인턴근무계획!$R$3:$R$402,$A72)&amp;"")</f>
        <v/>
      </c>
      <c r="Q72" s="23">
        <f>IF($C72="","",INDEX(인턴근무계획!$T$3:$T$402,$A72))</f>
        <v/>
      </c>
    </row>
    <row r="73">
      <c r="A73" s="26" t="n">
        <v>68</v>
      </c>
      <c r="B73" s="23">
        <f>IF($C73="","",INDEX(인턴근무계획!$B$3:$B$402,$A73))</f>
        <v/>
      </c>
      <c r="C73" s="23">
        <f>IFERROR(TRIM(INDEX(인턴근무계획!$C$3:$C$402,$A73)&amp;""),"")</f>
        <v/>
      </c>
      <c r="D73" s="23">
        <f>IF($C73="","",INDEX(인턴근무계획!$D$3:$D$402,$A73))</f>
        <v/>
      </c>
      <c r="E73" s="23">
        <f>IF($C73="","",IF(IFERROR(MATCH($D73,기본자료!$B$2:$B$1001,0),IFERROR(MATCH($D73&amp;"",기본자료!$B$2:$B$1001,0),IFERROR(MATCH(VALUE($D73),기본자료!$B$2:$B$1001,0),0)))&gt;0,"확인","미등록"))</f>
        <v/>
      </c>
      <c r="F73" s="27">
        <f>IF($C73="","",INDEX(인턴근무계획!$S$3:$S$402,$A73))</f>
        <v/>
      </c>
      <c r="G73" s="23">
        <f>IF(OR($C73="",$G$3=""),"",IF(INDEX(인턴근무계획!$M$3:$R$402,$A73,$G$3)&amp;""="","",IF(LEFT(INDEX(인턴근무계획!$M$3:$R$402,$A73,$G$3)&amp;"",1)="⚠",INDEX(인턴근무계획!$M$3:$R$402,$A73,$G$3)&amp;"",LEFT(INDEX(인턴근무계획!$M$3:$R$402,$A73,$G$3)&amp;"",FIND(" ",INDEX(인턴근무계획!$M$3:$R$402,$A73,$G$3)&amp;"")-1))))</f>
        <v/>
      </c>
      <c r="H73" s="23">
        <f>IF(OR($C73="",$G$3=""),"",IF(INDEX(인턴근무계획!$M$3:$R$402,$A73,$G$3)&amp;""="","",IF(LEFT(INDEX(인턴근무계획!$M$3:$R$402,$A73,$G$3)&amp;"",1)="⚠","",MID(INDEX(인턴근무계획!$M$3:$R$402,$A73,$G$3)&amp;"",FIND(" ",INDEX(인턴근무계획!$M$3:$R$402,$A73,$G$3)&amp;"")+1,60))))</f>
        <v/>
      </c>
      <c r="I73" s="23">
        <f>IF(OR($C73="",$I$3=""),"",IF(INDEX(인턴근무계획!$M$3:$R$402,$A73,$I$3)&amp;""="","",IF(LEFT(INDEX(인턴근무계획!$M$3:$R$402,$A73,$I$3)&amp;"",1)="⚠",INDEX(인턴근무계획!$M$3:$R$402,$A73,$I$3)&amp;"",LEFT(INDEX(인턴근무계획!$M$3:$R$402,$A73,$I$3)&amp;"",FIND(" ",INDEX(인턴근무계획!$M$3:$R$402,$A73,$I$3)&amp;"")-1))))</f>
        <v/>
      </c>
      <c r="J73" s="23">
        <f>IF(OR($C73="",$I$3=""),"",IF(INDEX(인턴근무계획!$M$3:$R$402,$A73,$I$3)&amp;""="","",IF(LEFT(INDEX(인턴근무계획!$M$3:$R$402,$A73,$I$3)&amp;"",1)="⚠","",MID(INDEX(인턴근무계획!$M$3:$R$402,$A73,$I$3)&amp;"",FIND(" ",INDEX(인턴근무계획!$M$3:$R$402,$A73,$I$3)&amp;"")+1,60))))</f>
        <v/>
      </c>
      <c r="K73" s="23">
        <f>IF($C73="","",INDEX(인턴근무계획!$M$3:$M$402,$A73)&amp;"")</f>
        <v/>
      </c>
      <c r="L73" s="23">
        <f>IF($C73="","",INDEX(인턴근무계획!$N$3:$N$402,$A73)&amp;"")</f>
        <v/>
      </c>
      <c r="M73" s="23">
        <f>IF($C73="","",INDEX(인턴근무계획!$O$3:$O$402,$A73)&amp;"")</f>
        <v/>
      </c>
      <c r="N73" s="23">
        <f>IF($C73="","",INDEX(인턴근무계획!$P$3:$P$402,$A73)&amp;"")</f>
        <v/>
      </c>
      <c r="O73" s="23">
        <f>IF($C73="","",INDEX(인턴근무계획!$Q$3:$Q$402,$A73)&amp;"")</f>
        <v/>
      </c>
      <c r="P73" s="23">
        <f>IF($C73="","",INDEX(인턴근무계획!$R$3:$R$402,$A73)&amp;"")</f>
        <v/>
      </c>
      <c r="Q73" s="23">
        <f>IF($C73="","",INDEX(인턴근무계획!$T$3:$T$402,$A73))</f>
        <v/>
      </c>
    </row>
    <row r="74">
      <c r="A74" s="26" t="n">
        <v>69</v>
      </c>
      <c r="B74" s="23">
        <f>IF($C74="","",INDEX(인턴근무계획!$B$3:$B$402,$A74))</f>
        <v/>
      </c>
      <c r="C74" s="23">
        <f>IFERROR(TRIM(INDEX(인턴근무계획!$C$3:$C$402,$A74)&amp;""),"")</f>
        <v/>
      </c>
      <c r="D74" s="23">
        <f>IF($C74="","",INDEX(인턴근무계획!$D$3:$D$402,$A74))</f>
        <v/>
      </c>
      <c r="E74" s="23">
        <f>IF($C74="","",IF(IFERROR(MATCH($D74,기본자료!$B$2:$B$1001,0),IFERROR(MATCH($D74&amp;"",기본자료!$B$2:$B$1001,0),IFERROR(MATCH(VALUE($D74),기본자료!$B$2:$B$1001,0),0)))&gt;0,"확인","미등록"))</f>
        <v/>
      </c>
      <c r="F74" s="27">
        <f>IF($C74="","",INDEX(인턴근무계획!$S$3:$S$402,$A74))</f>
        <v/>
      </c>
      <c r="G74" s="23">
        <f>IF(OR($C74="",$G$3=""),"",IF(INDEX(인턴근무계획!$M$3:$R$402,$A74,$G$3)&amp;""="","",IF(LEFT(INDEX(인턴근무계획!$M$3:$R$402,$A74,$G$3)&amp;"",1)="⚠",INDEX(인턴근무계획!$M$3:$R$402,$A74,$G$3)&amp;"",LEFT(INDEX(인턴근무계획!$M$3:$R$402,$A74,$G$3)&amp;"",FIND(" ",INDEX(인턴근무계획!$M$3:$R$402,$A74,$G$3)&amp;"")-1))))</f>
        <v/>
      </c>
      <c r="H74" s="23">
        <f>IF(OR($C74="",$G$3=""),"",IF(INDEX(인턴근무계획!$M$3:$R$402,$A74,$G$3)&amp;""="","",IF(LEFT(INDEX(인턴근무계획!$M$3:$R$402,$A74,$G$3)&amp;"",1)="⚠","",MID(INDEX(인턴근무계획!$M$3:$R$402,$A74,$G$3)&amp;"",FIND(" ",INDEX(인턴근무계획!$M$3:$R$402,$A74,$G$3)&amp;"")+1,60))))</f>
        <v/>
      </c>
      <c r="I74" s="23">
        <f>IF(OR($C74="",$I$3=""),"",IF(INDEX(인턴근무계획!$M$3:$R$402,$A74,$I$3)&amp;""="","",IF(LEFT(INDEX(인턴근무계획!$M$3:$R$402,$A74,$I$3)&amp;"",1)="⚠",INDEX(인턴근무계획!$M$3:$R$402,$A74,$I$3)&amp;"",LEFT(INDEX(인턴근무계획!$M$3:$R$402,$A74,$I$3)&amp;"",FIND(" ",INDEX(인턴근무계획!$M$3:$R$402,$A74,$I$3)&amp;"")-1))))</f>
        <v/>
      </c>
      <c r="J74" s="23">
        <f>IF(OR($C74="",$I$3=""),"",IF(INDEX(인턴근무계획!$M$3:$R$402,$A74,$I$3)&amp;""="","",IF(LEFT(INDEX(인턴근무계획!$M$3:$R$402,$A74,$I$3)&amp;"",1)="⚠","",MID(INDEX(인턴근무계획!$M$3:$R$402,$A74,$I$3)&amp;"",FIND(" ",INDEX(인턴근무계획!$M$3:$R$402,$A74,$I$3)&amp;"")+1,60))))</f>
        <v/>
      </c>
      <c r="K74" s="23">
        <f>IF($C74="","",INDEX(인턴근무계획!$M$3:$M$402,$A74)&amp;"")</f>
        <v/>
      </c>
      <c r="L74" s="23">
        <f>IF($C74="","",INDEX(인턴근무계획!$N$3:$N$402,$A74)&amp;"")</f>
        <v/>
      </c>
      <c r="M74" s="23">
        <f>IF($C74="","",INDEX(인턴근무계획!$O$3:$O$402,$A74)&amp;"")</f>
        <v/>
      </c>
      <c r="N74" s="23">
        <f>IF($C74="","",INDEX(인턴근무계획!$P$3:$P$402,$A74)&amp;"")</f>
        <v/>
      </c>
      <c r="O74" s="23">
        <f>IF($C74="","",INDEX(인턴근무계획!$Q$3:$Q$402,$A74)&amp;"")</f>
        <v/>
      </c>
      <c r="P74" s="23">
        <f>IF($C74="","",INDEX(인턴근무계획!$R$3:$R$402,$A74)&amp;"")</f>
        <v/>
      </c>
      <c r="Q74" s="23">
        <f>IF($C74="","",INDEX(인턴근무계획!$T$3:$T$402,$A74))</f>
        <v/>
      </c>
    </row>
    <row r="75">
      <c r="A75" s="26" t="n">
        <v>70</v>
      </c>
      <c r="B75" s="23">
        <f>IF($C75="","",INDEX(인턴근무계획!$B$3:$B$402,$A75))</f>
        <v/>
      </c>
      <c r="C75" s="23">
        <f>IFERROR(TRIM(INDEX(인턴근무계획!$C$3:$C$402,$A75)&amp;""),"")</f>
        <v/>
      </c>
      <c r="D75" s="23">
        <f>IF($C75="","",INDEX(인턴근무계획!$D$3:$D$402,$A75))</f>
        <v/>
      </c>
      <c r="E75" s="23">
        <f>IF($C75="","",IF(IFERROR(MATCH($D75,기본자료!$B$2:$B$1001,0),IFERROR(MATCH($D75&amp;"",기본자료!$B$2:$B$1001,0),IFERROR(MATCH(VALUE($D75),기본자료!$B$2:$B$1001,0),0)))&gt;0,"확인","미등록"))</f>
        <v/>
      </c>
      <c r="F75" s="27">
        <f>IF($C75="","",INDEX(인턴근무계획!$S$3:$S$402,$A75))</f>
        <v/>
      </c>
      <c r="G75" s="23">
        <f>IF(OR($C75="",$G$3=""),"",IF(INDEX(인턴근무계획!$M$3:$R$402,$A75,$G$3)&amp;""="","",IF(LEFT(INDEX(인턴근무계획!$M$3:$R$402,$A75,$G$3)&amp;"",1)="⚠",INDEX(인턴근무계획!$M$3:$R$402,$A75,$G$3)&amp;"",LEFT(INDEX(인턴근무계획!$M$3:$R$402,$A75,$G$3)&amp;"",FIND(" ",INDEX(인턴근무계획!$M$3:$R$402,$A75,$G$3)&amp;"")-1))))</f>
        <v/>
      </c>
      <c r="H75" s="23">
        <f>IF(OR($C75="",$G$3=""),"",IF(INDEX(인턴근무계획!$M$3:$R$402,$A75,$G$3)&amp;""="","",IF(LEFT(INDEX(인턴근무계획!$M$3:$R$402,$A75,$G$3)&amp;"",1)="⚠","",MID(INDEX(인턴근무계획!$M$3:$R$402,$A75,$G$3)&amp;"",FIND(" ",INDEX(인턴근무계획!$M$3:$R$402,$A75,$G$3)&amp;"")+1,60))))</f>
        <v/>
      </c>
      <c r="I75" s="23">
        <f>IF(OR($C75="",$I$3=""),"",IF(INDEX(인턴근무계획!$M$3:$R$402,$A75,$I$3)&amp;""="","",IF(LEFT(INDEX(인턴근무계획!$M$3:$R$402,$A75,$I$3)&amp;"",1)="⚠",INDEX(인턴근무계획!$M$3:$R$402,$A75,$I$3)&amp;"",LEFT(INDEX(인턴근무계획!$M$3:$R$402,$A75,$I$3)&amp;"",FIND(" ",INDEX(인턴근무계획!$M$3:$R$402,$A75,$I$3)&amp;"")-1))))</f>
        <v/>
      </c>
      <c r="J75" s="23">
        <f>IF(OR($C75="",$I$3=""),"",IF(INDEX(인턴근무계획!$M$3:$R$402,$A75,$I$3)&amp;""="","",IF(LEFT(INDEX(인턴근무계획!$M$3:$R$402,$A75,$I$3)&amp;"",1)="⚠","",MID(INDEX(인턴근무계획!$M$3:$R$402,$A75,$I$3)&amp;"",FIND(" ",INDEX(인턴근무계획!$M$3:$R$402,$A75,$I$3)&amp;"")+1,60))))</f>
        <v/>
      </c>
      <c r="K75" s="23">
        <f>IF($C75="","",INDEX(인턴근무계획!$M$3:$M$402,$A75)&amp;"")</f>
        <v/>
      </c>
      <c r="L75" s="23">
        <f>IF($C75="","",INDEX(인턴근무계획!$N$3:$N$402,$A75)&amp;"")</f>
        <v/>
      </c>
      <c r="M75" s="23">
        <f>IF($C75="","",INDEX(인턴근무계획!$O$3:$O$402,$A75)&amp;"")</f>
        <v/>
      </c>
      <c r="N75" s="23">
        <f>IF($C75="","",INDEX(인턴근무계획!$P$3:$P$402,$A75)&amp;"")</f>
        <v/>
      </c>
      <c r="O75" s="23">
        <f>IF($C75="","",INDEX(인턴근무계획!$Q$3:$Q$402,$A75)&amp;"")</f>
        <v/>
      </c>
      <c r="P75" s="23">
        <f>IF($C75="","",INDEX(인턴근무계획!$R$3:$R$402,$A75)&amp;"")</f>
        <v/>
      </c>
      <c r="Q75" s="23">
        <f>IF($C75="","",INDEX(인턴근무계획!$T$3:$T$402,$A75))</f>
        <v/>
      </c>
    </row>
    <row r="76">
      <c r="A76" s="26" t="n">
        <v>71</v>
      </c>
      <c r="B76" s="23">
        <f>IF($C76="","",INDEX(인턴근무계획!$B$3:$B$402,$A76))</f>
        <v/>
      </c>
      <c r="C76" s="23">
        <f>IFERROR(TRIM(INDEX(인턴근무계획!$C$3:$C$402,$A76)&amp;""),"")</f>
        <v/>
      </c>
      <c r="D76" s="23">
        <f>IF($C76="","",INDEX(인턴근무계획!$D$3:$D$402,$A76))</f>
        <v/>
      </c>
      <c r="E76" s="23">
        <f>IF($C76="","",IF(IFERROR(MATCH($D76,기본자료!$B$2:$B$1001,0),IFERROR(MATCH($D76&amp;"",기본자료!$B$2:$B$1001,0),IFERROR(MATCH(VALUE($D76),기본자료!$B$2:$B$1001,0),0)))&gt;0,"확인","미등록"))</f>
        <v/>
      </c>
      <c r="F76" s="27">
        <f>IF($C76="","",INDEX(인턴근무계획!$S$3:$S$402,$A76))</f>
        <v/>
      </c>
      <c r="G76" s="23">
        <f>IF(OR($C76="",$G$3=""),"",IF(INDEX(인턴근무계획!$M$3:$R$402,$A76,$G$3)&amp;""="","",IF(LEFT(INDEX(인턴근무계획!$M$3:$R$402,$A76,$G$3)&amp;"",1)="⚠",INDEX(인턴근무계획!$M$3:$R$402,$A76,$G$3)&amp;"",LEFT(INDEX(인턴근무계획!$M$3:$R$402,$A76,$G$3)&amp;"",FIND(" ",INDEX(인턴근무계획!$M$3:$R$402,$A76,$G$3)&amp;"")-1))))</f>
        <v/>
      </c>
      <c r="H76" s="23">
        <f>IF(OR($C76="",$G$3=""),"",IF(INDEX(인턴근무계획!$M$3:$R$402,$A76,$G$3)&amp;""="","",IF(LEFT(INDEX(인턴근무계획!$M$3:$R$402,$A76,$G$3)&amp;"",1)="⚠","",MID(INDEX(인턴근무계획!$M$3:$R$402,$A76,$G$3)&amp;"",FIND(" ",INDEX(인턴근무계획!$M$3:$R$402,$A76,$G$3)&amp;"")+1,60))))</f>
        <v/>
      </c>
      <c r="I76" s="23">
        <f>IF(OR($C76="",$I$3=""),"",IF(INDEX(인턴근무계획!$M$3:$R$402,$A76,$I$3)&amp;""="","",IF(LEFT(INDEX(인턴근무계획!$M$3:$R$402,$A76,$I$3)&amp;"",1)="⚠",INDEX(인턴근무계획!$M$3:$R$402,$A76,$I$3)&amp;"",LEFT(INDEX(인턴근무계획!$M$3:$R$402,$A76,$I$3)&amp;"",FIND(" ",INDEX(인턴근무계획!$M$3:$R$402,$A76,$I$3)&amp;"")-1))))</f>
        <v/>
      </c>
      <c r="J76" s="23">
        <f>IF(OR($C76="",$I$3=""),"",IF(INDEX(인턴근무계획!$M$3:$R$402,$A76,$I$3)&amp;""="","",IF(LEFT(INDEX(인턴근무계획!$M$3:$R$402,$A76,$I$3)&amp;"",1)="⚠","",MID(INDEX(인턴근무계획!$M$3:$R$402,$A76,$I$3)&amp;"",FIND(" ",INDEX(인턴근무계획!$M$3:$R$402,$A76,$I$3)&amp;"")+1,60))))</f>
        <v/>
      </c>
      <c r="K76" s="23">
        <f>IF($C76="","",INDEX(인턴근무계획!$M$3:$M$402,$A76)&amp;"")</f>
        <v/>
      </c>
      <c r="L76" s="23">
        <f>IF($C76="","",INDEX(인턴근무계획!$N$3:$N$402,$A76)&amp;"")</f>
        <v/>
      </c>
      <c r="M76" s="23">
        <f>IF($C76="","",INDEX(인턴근무계획!$O$3:$O$402,$A76)&amp;"")</f>
        <v/>
      </c>
      <c r="N76" s="23">
        <f>IF($C76="","",INDEX(인턴근무계획!$P$3:$P$402,$A76)&amp;"")</f>
        <v/>
      </c>
      <c r="O76" s="23">
        <f>IF($C76="","",INDEX(인턴근무계획!$Q$3:$Q$402,$A76)&amp;"")</f>
        <v/>
      </c>
      <c r="P76" s="23">
        <f>IF($C76="","",INDEX(인턴근무계획!$R$3:$R$402,$A76)&amp;"")</f>
        <v/>
      </c>
      <c r="Q76" s="23">
        <f>IF($C76="","",INDEX(인턴근무계획!$T$3:$T$402,$A76))</f>
        <v/>
      </c>
    </row>
    <row r="77">
      <c r="A77" s="26" t="n">
        <v>72</v>
      </c>
      <c r="B77" s="23">
        <f>IF($C77="","",INDEX(인턴근무계획!$B$3:$B$402,$A77))</f>
        <v/>
      </c>
      <c r="C77" s="23">
        <f>IFERROR(TRIM(INDEX(인턴근무계획!$C$3:$C$402,$A77)&amp;""),"")</f>
        <v/>
      </c>
      <c r="D77" s="23">
        <f>IF($C77="","",INDEX(인턴근무계획!$D$3:$D$402,$A77))</f>
        <v/>
      </c>
      <c r="E77" s="23">
        <f>IF($C77="","",IF(IFERROR(MATCH($D77,기본자료!$B$2:$B$1001,0),IFERROR(MATCH($D77&amp;"",기본자료!$B$2:$B$1001,0),IFERROR(MATCH(VALUE($D77),기본자료!$B$2:$B$1001,0),0)))&gt;0,"확인","미등록"))</f>
        <v/>
      </c>
      <c r="F77" s="27">
        <f>IF($C77="","",INDEX(인턴근무계획!$S$3:$S$402,$A77))</f>
        <v/>
      </c>
      <c r="G77" s="23">
        <f>IF(OR($C77="",$G$3=""),"",IF(INDEX(인턴근무계획!$M$3:$R$402,$A77,$G$3)&amp;""="","",IF(LEFT(INDEX(인턴근무계획!$M$3:$R$402,$A77,$G$3)&amp;"",1)="⚠",INDEX(인턴근무계획!$M$3:$R$402,$A77,$G$3)&amp;"",LEFT(INDEX(인턴근무계획!$M$3:$R$402,$A77,$G$3)&amp;"",FIND(" ",INDEX(인턴근무계획!$M$3:$R$402,$A77,$G$3)&amp;"")-1))))</f>
        <v/>
      </c>
      <c r="H77" s="23">
        <f>IF(OR($C77="",$G$3=""),"",IF(INDEX(인턴근무계획!$M$3:$R$402,$A77,$G$3)&amp;""="","",IF(LEFT(INDEX(인턴근무계획!$M$3:$R$402,$A77,$G$3)&amp;"",1)="⚠","",MID(INDEX(인턴근무계획!$M$3:$R$402,$A77,$G$3)&amp;"",FIND(" ",INDEX(인턴근무계획!$M$3:$R$402,$A77,$G$3)&amp;"")+1,60))))</f>
        <v/>
      </c>
      <c r="I77" s="23">
        <f>IF(OR($C77="",$I$3=""),"",IF(INDEX(인턴근무계획!$M$3:$R$402,$A77,$I$3)&amp;""="","",IF(LEFT(INDEX(인턴근무계획!$M$3:$R$402,$A77,$I$3)&amp;"",1)="⚠",INDEX(인턴근무계획!$M$3:$R$402,$A77,$I$3)&amp;"",LEFT(INDEX(인턴근무계획!$M$3:$R$402,$A77,$I$3)&amp;"",FIND(" ",INDEX(인턴근무계획!$M$3:$R$402,$A77,$I$3)&amp;"")-1))))</f>
        <v/>
      </c>
      <c r="J77" s="23">
        <f>IF(OR($C77="",$I$3=""),"",IF(INDEX(인턴근무계획!$M$3:$R$402,$A77,$I$3)&amp;""="","",IF(LEFT(INDEX(인턴근무계획!$M$3:$R$402,$A77,$I$3)&amp;"",1)="⚠","",MID(INDEX(인턴근무계획!$M$3:$R$402,$A77,$I$3)&amp;"",FIND(" ",INDEX(인턴근무계획!$M$3:$R$402,$A77,$I$3)&amp;"")+1,60))))</f>
        <v/>
      </c>
      <c r="K77" s="23">
        <f>IF($C77="","",INDEX(인턴근무계획!$M$3:$M$402,$A77)&amp;"")</f>
        <v/>
      </c>
      <c r="L77" s="23">
        <f>IF($C77="","",INDEX(인턴근무계획!$N$3:$N$402,$A77)&amp;"")</f>
        <v/>
      </c>
      <c r="M77" s="23">
        <f>IF($C77="","",INDEX(인턴근무계획!$O$3:$O$402,$A77)&amp;"")</f>
        <v/>
      </c>
      <c r="N77" s="23">
        <f>IF($C77="","",INDEX(인턴근무계획!$P$3:$P$402,$A77)&amp;"")</f>
        <v/>
      </c>
      <c r="O77" s="23">
        <f>IF($C77="","",INDEX(인턴근무계획!$Q$3:$Q$402,$A77)&amp;"")</f>
        <v/>
      </c>
      <c r="P77" s="23">
        <f>IF($C77="","",INDEX(인턴근무계획!$R$3:$R$402,$A77)&amp;"")</f>
        <v/>
      </c>
      <c r="Q77" s="23">
        <f>IF($C77="","",INDEX(인턴근무계획!$T$3:$T$402,$A77))</f>
        <v/>
      </c>
    </row>
    <row r="78">
      <c r="A78" s="26" t="n">
        <v>73</v>
      </c>
      <c r="B78" s="23">
        <f>IF($C78="","",INDEX(인턴근무계획!$B$3:$B$402,$A78))</f>
        <v/>
      </c>
      <c r="C78" s="23">
        <f>IFERROR(TRIM(INDEX(인턴근무계획!$C$3:$C$402,$A78)&amp;""),"")</f>
        <v/>
      </c>
      <c r="D78" s="23">
        <f>IF($C78="","",INDEX(인턴근무계획!$D$3:$D$402,$A78))</f>
        <v/>
      </c>
      <c r="E78" s="23">
        <f>IF($C78="","",IF(IFERROR(MATCH($D78,기본자료!$B$2:$B$1001,0),IFERROR(MATCH($D78&amp;"",기본자료!$B$2:$B$1001,0),IFERROR(MATCH(VALUE($D78),기본자료!$B$2:$B$1001,0),0)))&gt;0,"확인","미등록"))</f>
        <v/>
      </c>
      <c r="F78" s="27">
        <f>IF($C78="","",INDEX(인턴근무계획!$S$3:$S$402,$A78))</f>
        <v/>
      </c>
      <c r="G78" s="23">
        <f>IF(OR($C78="",$G$3=""),"",IF(INDEX(인턴근무계획!$M$3:$R$402,$A78,$G$3)&amp;""="","",IF(LEFT(INDEX(인턴근무계획!$M$3:$R$402,$A78,$G$3)&amp;"",1)="⚠",INDEX(인턴근무계획!$M$3:$R$402,$A78,$G$3)&amp;"",LEFT(INDEX(인턴근무계획!$M$3:$R$402,$A78,$G$3)&amp;"",FIND(" ",INDEX(인턴근무계획!$M$3:$R$402,$A78,$G$3)&amp;"")-1))))</f>
        <v/>
      </c>
      <c r="H78" s="23">
        <f>IF(OR($C78="",$G$3=""),"",IF(INDEX(인턴근무계획!$M$3:$R$402,$A78,$G$3)&amp;""="","",IF(LEFT(INDEX(인턴근무계획!$M$3:$R$402,$A78,$G$3)&amp;"",1)="⚠","",MID(INDEX(인턴근무계획!$M$3:$R$402,$A78,$G$3)&amp;"",FIND(" ",INDEX(인턴근무계획!$M$3:$R$402,$A78,$G$3)&amp;"")+1,60))))</f>
        <v/>
      </c>
      <c r="I78" s="23">
        <f>IF(OR($C78="",$I$3=""),"",IF(INDEX(인턴근무계획!$M$3:$R$402,$A78,$I$3)&amp;""="","",IF(LEFT(INDEX(인턴근무계획!$M$3:$R$402,$A78,$I$3)&amp;"",1)="⚠",INDEX(인턴근무계획!$M$3:$R$402,$A78,$I$3)&amp;"",LEFT(INDEX(인턴근무계획!$M$3:$R$402,$A78,$I$3)&amp;"",FIND(" ",INDEX(인턴근무계획!$M$3:$R$402,$A78,$I$3)&amp;"")-1))))</f>
        <v/>
      </c>
      <c r="J78" s="23">
        <f>IF(OR($C78="",$I$3=""),"",IF(INDEX(인턴근무계획!$M$3:$R$402,$A78,$I$3)&amp;""="","",IF(LEFT(INDEX(인턴근무계획!$M$3:$R$402,$A78,$I$3)&amp;"",1)="⚠","",MID(INDEX(인턴근무계획!$M$3:$R$402,$A78,$I$3)&amp;"",FIND(" ",INDEX(인턴근무계획!$M$3:$R$402,$A78,$I$3)&amp;"")+1,60))))</f>
        <v/>
      </c>
      <c r="K78" s="23">
        <f>IF($C78="","",INDEX(인턴근무계획!$M$3:$M$402,$A78)&amp;"")</f>
        <v/>
      </c>
      <c r="L78" s="23">
        <f>IF($C78="","",INDEX(인턴근무계획!$N$3:$N$402,$A78)&amp;"")</f>
        <v/>
      </c>
      <c r="M78" s="23">
        <f>IF($C78="","",INDEX(인턴근무계획!$O$3:$O$402,$A78)&amp;"")</f>
        <v/>
      </c>
      <c r="N78" s="23">
        <f>IF($C78="","",INDEX(인턴근무계획!$P$3:$P$402,$A78)&amp;"")</f>
        <v/>
      </c>
      <c r="O78" s="23">
        <f>IF($C78="","",INDEX(인턴근무계획!$Q$3:$Q$402,$A78)&amp;"")</f>
        <v/>
      </c>
      <c r="P78" s="23">
        <f>IF($C78="","",INDEX(인턴근무계획!$R$3:$R$402,$A78)&amp;"")</f>
        <v/>
      </c>
      <c r="Q78" s="23">
        <f>IF($C78="","",INDEX(인턴근무계획!$T$3:$T$402,$A78))</f>
        <v/>
      </c>
    </row>
    <row r="79">
      <c r="A79" s="26" t="n">
        <v>74</v>
      </c>
      <c r="B79" s="23">
        <f>IF($C79="","",INDEX(인턴근무계획!$B$3:$B$402,$A79))</f>
        <v/>
      </c>
      <c r="C79" s="23">
        <f>IFERROR(TRIM(INDEX(인턴근무계획!$C$3:$C$402,$A79)&amp;""),"")</f>
        <v/>
      </c>
      <c r="D79" s="23">
        <f>IF($C79="","",INDEX(인턴근무계획!$D$3:$D$402,$A79))</f>
        <v/>
      </c>
      <c r="E79" s="23">
        <f>IF($C79="","",IF(IFERROR(MATCH($D79,기본자료!$B$2:$B$1001,0),IFERROR(MATCH($D79&amp;"",기본자료!$B$2:$B$1001,0),IFERROR(MATCH(VALUE($D79),기본자료!$B$2:$B$1001,0),0)))&gt;0,"확인","미등록"))</f>
        <v/>
      </c>
      <c r="F79" s="27">
        <f>IF($C79="","",INDEX(인턴근무계획!$S$3:$S$402,$A79))</f>
        <v/>
      </c>
      <c r="G79" s="23">
        <f>IF(OR($C79="",$G$3=""),"",IF(INDEX(인턴근무계획!$M$3:$R$402,$A79,$G$3)&amp;""="","",IF(LEFT(INDEX(인턴근무계획!$M$3:$R$402,$A79,$G$3)&amp;"",1)="⚠",INDEX(인턴근무계획!$M$3:$R$402,$A79,$G$3)&amp;"",LEFT(INDEX(인턴근무계획!$M$3:$R$402,$A79,$G$3)&amp;"",FIND(" ",INDEX(인턴근무계획!$M$3:$R$402,$A79,$G$3)&amp;"")-1))))</f>
        <v/>
      </c>
      <c r="H79" s="23">
        <f>IF(OR($C79="",$G$3=""),"",IF(INDEX(인턴근무계획!$M$3:$R$402,$A79,$G$3)&amp;""="","",IF(LEFT(INDEX(인턴근무계획!$M$3:$R$402,$A79,$G$3)&amp;"",1)="⚠","",MID(INDEX(인턴근무계획!$M$3:$R$402,$A79,$G$3)&amp;"",FIND(" ",INDEX(인턴근무계획!$M$3:$R$402,$A79,$G$3)&amp;"")+1,60))))</f>
        <v/>
      </c>
      <c r="I79" s="23">
        <f>IF(OR($C79="",$I$3=""),"",IF(INDEX(인턴근무계획!$M$3:$R$402,$A79,$I$3)&amp;""="","",IF(LEFT(INDEX(인턴근무계획!$M$3:$R$402,$A79,$I$3)&amp;"",1)="⚠",INDEX(인턴근무계획!$M$3:$R$402,$A79,$I$3)&amp;"",LEFT(INDEX(인턴근무계획!$M$3:$R$402,$A79,$I$3)&amp;"",FIND(" ",INDEX(인턴근무계획!$M$3:$R$402,$A79,$I$3)&amp;"")-1))))</f>
        <v/>
      </c>
      <c r="J79" s="23">
        <f>IF(OR($C79="",$I$3=""),"",IF(INDEX(인턴근무계획!$M$3:$R$402,$A79,$I$3)&amp;""="","",IF(LEFT(INDEX(인턴근무계획!$M$3:$R$402,$A79,$I$3)&amp;"",1)="⚠","",MID(INDEX(인턴근무계획!$M$3:$R$402,$A79,$I$3)&amp;"",FIND(" ",INDEX(인턴근무계획!$M$3:$R$402,$A79,$I$3)&amp;"")+1,60))))</f>
        <v/>
      </c>
      <c r="K79" s="23">
        <f>IF($C79="","",INDEX(인턴근무계획!$M$3:$M$402,$A79)&amp;"")</f>
        <v/>
      </c>
      <c r="L79" s="23">
        <f>IF($C79="","",INDEX(인턴근무계획!$N$3:$N$402,$A79)&amp;"")</f>
        <v/>
      </c>
      <c r="M79" s="23">
        <f>IF($C79="","",INDEX(인턴근무계획!$O$3:$O$402,$A79)&amp;"")</f>
        <v/>
      </c>
      <c r="N79" s="23">
        <f>IF($C79="","",INDEX(인턴근무계획!$P$3:$P$402,$A79)&amp;"")</f>
        <v/>
      </c>
      <c r="O79" s="23">
        <f>IF($C79="","",INDEX(인턴근무계획!$Q$3:$Q$402,$A79)&amp;"")</f>
        <v/>
      </c>
      <c r="P79" s="23">
        <f>IF($C79="","",INDEX(인턴근무계획!$R$3:$R$402,$A79)&amp;"")</f>
        <v/>
      </c>
      <c r="Q79" s="23">
        <f>IF($C79="","",INDEX(인턴근무계획!$T$3:$T$402,$A79))</f>
        <v/>
      </c>
    </row>
    <row r="80">
      <c r="A80" s="26" t="n">
        <v>75</v>
      </c>
      <c r="B80" s="23">
        <f>IF($C80="","",INDEX(인턴근무계획!$B$3:$B$402,$A80))</f>
        <v/>
      </c>
      <c r="C80" s="23">
        <f>IFERROR(TRIM(INDEX(인턴근무계획!$C$3:$C$402,$A80)&amp;""),"")</f>
        <v/>
      </c>
      <c r="D80" s="23">
        <f>IF($C80="","",INDEX(인턴근무계획!$D$3:$D$402,$A80))</f>
        <v/>
      </c>
      <c r="E80" s="23">
        <f>IF($C80="","",IF(IFERROR(MATCH($D80,기본자료!$B$2:$B$1001,0),IFERROR(MATCH($D80&amp;"",기본자료!$B$2:$B$1001,0),IFERROR(MATCH(VALUE($D80),기본자료!$B$2:$B$1001,0),0)))&gt;0,"확인","미등록"))</f>
        <v/>
      </c>
      <c r="F80" s="27">
        <f>IF($C80="","",INDEX(인턴근무계획!$S$3:$S$402,$A80))</f>
        <v/>
      </c>
      <c r="G80" s="23">
        <f>IF(OR($C80="",$G$3=""),"",IF(INDEX(인턴근무계획!$M$3:$R$402,$A80,$G$3)&amp;""="","",IF(LEFT(INDEX(인턴근무계획!$M$3:$R$402,$A80,$G$3)&amp;"",1)="⚠",INDEX(인턴근무계획!$M$3:$R$402,$A80,$G$3)&amp;"",LEFT(INDEX(인턴근무계획!$M$3:$R$402,$A80,$G$3)&amp;"",FIND(" ",INDEX(인턴근무계획!$M$3:$R$402,$A80,$G$3)&amp;"")-1))))</f>
        <v/>
      </c>
      <c r="H80" s="23">
        <f>IF(OR($C80="",$G$3=""),"",IF(INDEX(인턴근무계획!$M$3:$R$402,$A80,$G$3)&amp;""="","",IF(LEFT(INDEX(인턴근무계획!$M$3:$R$402,$A80,$G$3)&amp;"",1)="⚠","",MID(INDEX(인턴근무계획!$M$3:$R$402,$A80,$G$3)&amp;"",FIND(" ",INDEX(인턴근무계획!$M$3:$R$402,$A80,$G$3)&amp;"")+1,60))))</f>
        <v/>
      </c>
      <c r="I80" s="23">
        <f>IF(OR($C80="",$I$3=""),"",IF(INDEX(인턴근무계획!$M$3:$R$402,$A80,$I$3)&amp;""="","",IF(LEFT(INDEX(인턴근무계획!$M$3:$R$402,$A80,$I$3)&amp;"",1)="⚠",INDEX(인턴근무계획!$M$3:$R$402,$A80,$I$3)&amp;"",LEFT(INDEX(인턴근무계획!$M$3:$R$402,$A80,$I$3)&amp;"",FIND(" ",INDEX(인턴근무계획!$M$3:$R$402,$A80,$I$3)&amp;"")-1))))</f>
        <v/>
      </c>
      <c r="J80" s="23">
        <f>IF(OR($C80="",$I$3=""),"",IF(INDEX(인턴근무계획!$M$3:$R$402,$A80,$I$3)&amp;""="","",IF(LEFT(INDEX(인턴근무계획!$M$3:$R$402,$A80,$I$3)&amp;"",1)="⚠","",MID(INDEX(인턴근무계획!$M$3:$R$402,$A80,$I$3)&amp;"",FIND(" ",INDEX(인턴근무계획!$M$3:$R$402,$A80,$I$3)&amp;"")+1,60))))</f>
        <v/>
      </c>
      <c r="K80" s="23">
        <f>IF($C80="","",INDEX(인턴근무계획!$M$3:$M$402,$A80)&amp;"")</f>
        <v/>
      </c>
      <c r="L80" s="23">
        <f>IF($C80="","",INDEX(인턴근무계획!$N$3:$N$402,$A80)&amp;"")</f>
        <v/>
      </c>
      <c r="M80" s="23">
        <f>IF($C80="","",INDEX(인턴근무계획!$O$3:$O$402,$A80)&amp;"")</f>
        <v/>
      </c>
      <c r="N80" s="23">
        <f>IF($C80="","",INDEX(인턴근무계획!$P$3:$P$402,$A80)&amp;"")</f>
        <v/>
      </c>
      <c r="O80" s="23">
        <f>IF($C80="","",INDEX(인턴근무계획!$Q$3:$Q$402,$A80)&amp;"")</f>
        <v/>
      </c>
      <c r="P80" s="23">
        <f>IF($C80="","",INDEX(인턴근무계획!$R$3:$R$402,$A80)&amp;"")</f>
        <v/>
      </c>
      <c r="Q80" s="23">
        <f>IF($C80="","",INDEX(인턴근무계획!$T$3:$T$402,$A80))</f>
        <v/>
      </c>
    </row>
    <row r="81">
      <c r="A81" s="26" t="n">
        <v>76</v>
      </c>
      <c r="B81" s="23">
        <f>IF($C81="","",INDEX(인턴근무계획!$B$3:$B$402,$A81))</f>
        <v/>
      </c>
      <c r="C81" s="23">
        <f>IFERROR(TRIM(INDEX(인턴근무계획!$C$3:$C$402,$A81)&amp;""),"")</f>
        <v/>
      </c>
      <c r="D81" s="23">
        <f>IF($C81="","",INDEX(인턴근무계획!$D$3:$D$402,$A81))</f>
        <v/>
      </c>
      <c r="E81" s="23">
        <f>IF($C81="","",IF(IFERROR(MATCH($D81,기본자료!$B$2:$B$1001,0),IFERROR(MATCH($D81&amp;"",기본자료!$B$2:$B$1001,0),IFERROR(MATCH(VALUE($D81),기본자료!$B$2:$B$1001,0),0)))&gt;0,"확인","미등록"))</f>
        <v/>
      </c>
      <c r="F81" s="27">
        <f>IF($C81="","",INDEX(인턴근무계획!$S$3:$S$402,$A81))</f>
        <v/>
      </c>
      <c r="G81" s="23">
        <f>IF(OR($C81="",$G$3=""),"",IF(INDEX(인턴근무계획!$M$3:$R$402,$A81,$G$3)&amp;""="","",IF(LEFT(INDEX(인턴근무계획!$M$3:$R$402,$A81,$G$3)&amp;"",1)="⚠",INDEX(인턴근무계획!$M$3:$R$402,$A81,$G$3)&amp;"",LEFT(INDEX(인턴근무계획!$M$3:$R$402,$A81,$G$3)&amp;"",FIND(" ",INDEX(인턴근무계획!$M$3:$R$402,$A81,$G$3)&amp;"")-1))))</f>
        <v/>
      </c>
      <c r="H81" s="23">
        <f>IF(OR($C81="",$G$3=""),"",IF(INDEX(인턴근무계획!$M$3:$R$402,$A81,$G$3)&amp;""="","",IF(LEFT(INDEX(인턴근무계획!$M$3:$R$402,$A81,$G$3)&amp;"",1)="⚠","",MID(INDEX(인턴근무계획!$M$3:$R$402,$A81,$G$3)&amp;"",FIND(" ",INDEX(인턴근무계획!$M$3:$R$402,$A81,$G$3)&amp;"")+1,60))))</f>
        <v/>
      </c>
      <c r="I81" s="23">
        <f>IF(OR($C81="",$I$3=""),"",IF(INDEX(인턴근무계획!$M$3:$R$402,$A81,$I$3)&amp;""="","",IF(LEFT(INDEX(인턴근무계획!$M$3:$R$402,$A81,$I$3)&amp;"",1)="⚠",INDEX(인턴근무계획!$M$3:$R$402,$A81,$I$3)&amp;"",LEFT(INDEX(인턴근무계획!$M$3:$R$402,$A81,$I$3)&amp;"",FIND(" ",INDEX(인턴근무계획!$M$3:$R$402,$A81,$I$3)&amp;"")-1))))</f>
        <v/>
      </c>
      <c r="J81" s="23">
        <f>IF(OR($C81="",$I$3=""),"",IF(INDEX(인턴근무계획!$M$3:$R$402,$A81,$I$3)&amp;""="","",IF(LEFT(INDEX(인턴근무계획!$M$3:$R$402,$A81,$I$3)&amp;"",1)="⚠","",MID(INDEX(인턴근무계획!$M$3:$R$402,$A81,$I$3)&amp;"",FIND(" ",INDEX(인턴근무계획!$M$3:$R$402,$A81,$I$3)&amp;"")+1,60))))</f>
        <v/>
      </c>
      <c r="K81" s="23">
        <f>IF($C81="","",INDEX(인턴근무계획!$M$3:$M$402,$A81)&amp;"")</f>
        <v/>
      </c>
      <c r="L81" s="23">
        <f>IF($C81="","",INDEX(인턴근무계획!$N$3:$N$402,$A81)&amp;"")</f>
        <v/>
      </c>
      <c r="M81" s="23">
        <f>IF($C81="","",INDEX(인턴근무계획!$O$3:$O$402,$A81)&amp;"")</f>
        <v/>
      </c>
      <c r="N81" s="23">
        <f>IF($C81="","",INDEX(인턴근무계획!$P$3:$P$402,$A81)&amp;"")</f>
        <v/>
      </c>
      <c r="O81" s="23">
        <f>IF($C81="","",INDEX(인턴근무계획!$Q$3:$Q$402,$A81)&amp;"")</f>
        <v/>
      </c>
      <c r="P81" s="23">
        <f>IF($C81="","",INDEX(인턴근무계획!$R$3:$R$402,$A81)&amp;"")</f>
        <v/>
      </c>
      <c r="Q81" s="23">
        <f>IF($C81="","",INDEX(인턴근무계획!$T$3:$T$402,$A81))</f>
        <v/>
      </c>
    </row>
    <row r="82">
      <c r="A82" s="26" t="n">
        <v>77</v>
      </c>
      <c r="B82" s="23">
        <f>IF($C82="","",INDEX(인턴근무계획!$B$3:$B$402,$A82))</f>
        <v/>
      </c>
      <c r="C82" s="23">
        <f>IFERROR(TRIM(INDEX(인턴근무계획!$C$3:$C$402,$A82)&amp;""),"")</f>
        <v/>
      </c>
      <c r="D82" s="23">
        <f>IF($C82="","",INDEX(인턴근무계획!$D$3:$D$402,$A82))</f>
        <v/>
      </c>
      <c r="E82" s="23">
        <f>IF($C82="","",IF(IFERROR(MATCH($D82,기본자료!$B$2:$B$1001,0),IFERROR(MATCH($D82&amp;"",기본자료!$B$2:$B$1001,0),IFERROR(MATCH(VALUE($D82),기본자료!$B$2:$B$1001,0),0)))&gt;0,"확인","미등록"))</f>
        <v/>
      </c>
      <c r="F82" s="27">
        <f>IF($C82="","",INDEX(인턴근무계획!$S$3:$S$402,$A82))</f>
        <v/>
      </c>
      <c r="G82" s="23">
        <f>IF(OR($C82="",$G$3=""),"",IF(INDEX(인턴근무계획!$M$3:$R$402,$A82,$G$3)&amp;""="","",IF(LEFT(INDEX(인턴근무계획!$M$3:$R$402,$A82,$G$3)&amp;"",1)="⚠",INDEX(인턴근무계획!$M$3:$R$402,$A82,$G$3)&amp;"",LEFT(INDEX(인턴근무계획!$M$3:$R$402,$A82,$G$3)&amp;"",FIND(" ",INDEX(인턴근무계획!$M$3:$R$402,$A82,$G$3)&amp;"")-1))))</f>
        <v/>
      </c>
      <c r="H82" s="23">
        <f>IF(OR($C82="",$G$3=""),"",IF(INDEX(인턴근무계획!$M$3:$R$402,$A82,$G$3)&amp;""="","",IF(LEFT(INDEX(인턴근무계획!$M$3:$R$402,$A82,$G$3)&amp;"",1)="⚠","",MID(INDEX(인턴근무계획!$M$3:$R$402,$A82,$G$3)&amp;"",FIND(" ",INDEX(인턴근무계획!$M$3:$R$402,$A82,$G$3)&amp;"")+1,60))))</f>
        <v/>
      </c>
      <c r="I82" s="23">
        <f>IF(OR($C82="",$I$3=""),"",IF(INDEX(인턴근무계획!$M$3:$R$402,$A82,$I$3)&amp;""="","",IF(LEFT(INDEX(인턴근무계획!$M$3:$R$402,$A82,$I$3)&amp;"",1)="⚠",INDEX(인턴근무계획!$M$3:$R$402,$A82,$I$3)&amp;"",LEFT(INDEX(인턴근무계획!$M$3:$R$402,$A82,$I$3)&amp;"",FIND(" ",INDEX(인턴근무계획!$M$3:$R$402,$A82,$I$3)&amp;"")-1))))</f>
        <v/>
      </c>
      <c r="J82" s="23">
        <f>IF(OR($C82="",$I$3=""),"",IF(INDEX(인턴근무계획!$M$3:$R$402,$A82,$I$3)&amp;""="","",IF(LEFT(INDEX(인턴근무계획!$M$3:$R$402,$A82,$I$3)&amp;"",1)="⚠","",MID(INDEX(인턴근무계획!$M$3:$R$402,$A82,$I$3)&amp;"",FIND(" ",INDEX(인턴근무계획!$M$3:$R$402,$A82,$I$3)&amp;"")+1,60))))</f>
        <v/>
      </c>
      <c r="K82" s="23">
        <f>IF($C82="","",INDEX(인턴근무계획!$M$3:$M$402,$A82)&amp;"")</f>
        <v/>
      </c>
      <c r="L82" s="23">
        <f>IF($C82="","",INDEX(인턴근무계획!$N$3:$N$402,$A82)&amp;"")</f>
        <v/>
      </c>
      <c r="M82" s="23">
        <f>IF($C82="","",INDEX(인턴근무계획!$O$3:$O$402,$A82)&amp;"")</f>
        <v/>
      </c>
      <c r="N82" s="23">
        <f>IF($C82="","",INDEX(인턴근무계획!$P$3:$P$402,$A82)&amp;"")</f>
        <v/>
      </c>
      <c r="O82" s="23">
        <f>IF($C82="","",INDEX(인턴근무계획!$Q$3:$Q$402,$A82)&amp;"")</f>
        <v/>
      </c>
      <c r="P82" s="23">
        <f>IF($C82="","",INDEX(인턴근무계획!$R$3:$R$402,$A82)&amp;"")</f>
        <v/>
      </c>
      <c r="Q82" s="23">
        <f>IF($C82="","",INDEX(인턴근무계획!$T$3:$T$402,$A82))</f>
        <v/>
      </c>
    </row>
    <row r="83">
      <c r="A83" s="26" t="n">
        <v>78</v>
      </c>
      <c r="B83" s="23">
        <f>IF($C83="","",INDEX(인턴근무계획!$B$3:$B$402,$A83))</f>
        <v/>
      </c>
      <c r="C83" s="23">
        <f>IFERROR(TRIM(INDEX(인턴근무계획!$C$3:$C$402,$A83)&amp;""),"")</f>
        <v/>
      </c>
      <c r="D83" s="23">
        <f>IF($C83="","",INDEX(인턴근무계획!$D$3:$D$402,$A83))</f>
        <v/>
      </c>
      <c r="E83" s="23">
        <f>IF($C83="","",IF(IFERROR(MATCH($D83,기본자료!$B$2:$B$1001,0),IFERROR(MATCH($D83&amp;"",기본자료!$B$2:$B$1001,0),IFERROR(MATCH(VALUE($D83),기본자료!$B$2:$B$1001,0),0)))&gt;0,"확인","미등록"))</f>
        <v/>
      </c>
      <c r="F83" s="27">
        <f>IF($C83="","",INDEX(인턴근무계획!$S$3:$S$402,$A83))</f>
        <v/>
      </c>
      <c r="G83" s="23">
        <f>IF(OR($C83="",$G$3=""),"",IF(INDEX(인턴근무계획!$M$3:$R$402,$A83,$G$3)&amp;""="","",IF(LEFT(INDEX(인턴근무계획!$M$3:$R$402,$A83,$G$3)&amp;"",1)="⚠",INDEX(인턴근무계획!$M$3:$R$402,$A83,$G$3)&amp;"",LEFT(INDEX(인턴근무계획!$M$3:$R$402,$A83,$G$3)&amp;"",FIND(" ",INDEX(인턴근무계획!$M$3:$R$402,$A83,$G$3)&amp;"")-1))))</f>
        <v/>
      </c>
      <c r="H83" s="23">
        <f>IF(OR($C83="",$G$3=""),"",IF(INDEX(인턴근무계획!$M$3:$R$402,$A83,$G$3)&amp;""="","",IF(LEFT(INDEX(인턴근무계획!$M$3:$R$402,$A83,$G$3)&amp;"",1)="⚠","",MID(INDEX(인턴근무계획!$M$3:$R$402,$A83,$G$3)&amp;"",FIND(" ",INDEX(인턴근무계획!$M$3:$R$402,$A83,$G$3)&amp;"")+1,60))))</f>
        <v/>
      </c>
      <c r="I83" s="23">
        <f>IF(OR($C83="",$I$3=""),"",IF(INDEX(인턴근무계획!$M$3:$R$402,$A83,$I$3)&amp;""="","",IF(LEFT(INDEX(인턴근무계획!$M$3:$R$402,$A83,$I$3)&amp;"",1)="⚠",INDEX(인턴근무계획!$M$3:$R$402,$A83,$I$3)&amp;"",LEFT(INDEX(인턴근무계획!$M$3:$R$402,$A83,$I$3)&amp;"",FIND(" ",INDEX(인턴근무계획!$M$3:$R$402,$A83,$I$3)&amp;"")-1))))</f>
        <v/>
      </c>
      <c r="J83" s="23">
        <f>IF(OR($C83="",$I$3=""),"",IF(INDEX(인턴근무계획!$M$3:$R$402,$A83,$I$3)&amp;""="","",IF(LEFT(INDEX(인턴근무계획!$M$3:$R$402,$A83,$I$3)&amp;"",1)="⚠","",MID(INDEX(인턴근무계획!$M$3:$R$402,$A83,$I$3)&amp;"",FIND(" ",INDEX(인턴근무계획!$M$3:$R$402,$A83,$I$3)&amp;"")+1,60))))</f>
        <v/>
      </c>
      <c r="K83" s="23">
        <f>IF($C83="","",INDEX(인턴근무계획!$M$3:$M$402,$A83)&amp;"")</f>
        <v/>
      </c>
      <c r="L83" s="23">
        <f>IF($C83="","",INDEX(인턴근무계획!$N$3:$N$402,$A83)&amp;"")</f>
        <v/>
      </c>
      <c r="M83" s="23">
        <f>IF($C83="","",INDEX(인턴근무계획!$O$3:$O$402,$A83)&amp;"")</f>
        <v/>
      </c>
      <c r="N83" s="23">
        <f>IF($C83="","",INDEX(인턴근무계획!$P$3:$P$402,$A83)&amp;"")</f>
        <v/>
      </c>
      <c r="O83" s="23">
        <f>IF($C83="","",INDEX(인턴근무계획!$Q$3:$Q$402,$A83)&amp;"")</f>
        <v/>
      </c>
      <c r="P83" s="23">
        <f>IF($C83="","",INDEX(인턴근무계획!$R$3:$R$402,$A83)&amp;"")</f>
        <v/>
      </c>
      <c r="Q83" s="23">
        <f>IF($C83="","",INDEX(인턴근무계획!$T$3:$T$402,$A83))</f>
        <v/>
      </c>
    </row>
    <row r="84">
      <c r="A84" s="26" t="n">
        <v>79</v>
      </c>
      <c r="B84" s="23">
        <f>IF($C84="","",INDEX(인턴근무계획!$B$3:$B$402,$A84))</f>
        <v/>
      </c>
      <c r="C84" s="23">
        <f>IFERROR(TRIM(INDEX(인턴근무계획!$C$3:$C$402,$A84)&amp;""),"")</f>
        <v/>
      </c>
      <c r="D84" s="23">
        <f>IF($C84="","",INDEX(인턴근무계획!$D$3:$D$402,$A84))</f>
        <v/>
      </c>
      <c r="E84" s="23">
        <f>IF($C84="","",IF(IFERROR(MATCH($D84,기본자료!$B$2:$B$1001,0),IFERROR(MATCH($D84&amp;"",기본자료!$B$2:$B$1001,0),IFERROR(MATCH(VALUE($D84),기본자료!$B$2:$B$1001,0),0)))&gt;0,"확인","미등록"))</f>
        <v/>
      </c>
      <c r="F84" s="27">
        <f>IF($C84="","",INDEX(인턴근무계획!$S$3:$S$402,$A84))</f>
        <v/>
      </c>
      <c r="G84" s="23">
        <f>IF(OR($C84="",$G$3=""),"",IF(INDEX(인턴근무계획!$M$3:$R$402,$A84,$G$3)&amp;""="","",IF(LEFT(INDEX(인턴근무계획!$M$3:$R$402,$A84,$G$3)&amp;"",1)="⚠",INDEX(인턴근무계획!$M$3:$R$402,$A84,$G$3)&amp;"",LEFT(INDEX(인턴근무계획!$M$3:$R$402,$A84,$G$3)&amp;"",FIND(" ",INDEX(인턴근무계획!$M$3:$R$402,$A84,$G$3)&amp;"")-1))))</f>
        <v/>
      </c>
      <c r="H84" s="23">
        <f>IF(OR($C84="",$G$3=""),"",IF(INDEX(인턴근무계획!$M$3:$R$402,$A84,$G$3)&amp;""="","",IF(LEFT(INDEX(인턴근무계획!$M$3:$R$402,$A84,$G$3)&amp;"",1)="⚠","",MID(INDEX(인턴근무계획!$M$3:$R$402,$A84,$G$3)&amp;"",FIND(" ",INDEX(인턴근무계획!$M$3:$R$402,$A84,$G$3)&amp;"")+1,60))))</f>
        <v/>
      </c>
      <c r="I84" s="23">
        <f>IF(OR($C84="",$I$3=""),"",IF(INDEX(인턴근무계획!$M$3:$R$402,$A84,$I$3)&amp;""="","",IF(LEFT(INDEX(인턴근무계획!$M$3:$R$402,$A84,$I$3)&amp;"",1)="⚠",INDEX(인턴근무계획!$M$3:$R$402,$A84,$I$3)&amp;"",LEFT(INDEX(인턴근무계획!$M$3:$R$402,$A84,$I$3)&amp;"",FIND(" ",INDEX(인턴근무계획!$M$3:$R$402,$A84,$I$3)&amp;"")-1))))</f>
        <v/>
      </c>
      <c r="J84" s="23">
        <f>IF(OR($C84="",$I$3=""),"",IF(INDEX(인턴근무계획!$M$3:$R$402,$A84,$I$3)&amp;""="","",IF(LEFT(INDEX(인턴근무계획!$M$3:$R$402,$A84,$I$3)&amp;"",1)="⚠","",MID(INDEX(인턴근무계획!$M$3:$R$402,$A84,$I$3)&amp;"",FIND(" ",INDEX(인턴근무계획!$M$3:$R$402,$A84,$I$3)&amp;"")+1,60))))</f>
        <v/>
      </c>
      <c r="K84" s="23">
        <f>IF($C84="","",INDEX(인턴근무계획!$M$3:$M$402,$A84)&amp;"")</f>
        <v/>
      </c>
      <c r="L84" s="23">
        <f>IF($C84="","",INDEX(인턴근무계획!$N$3:$N$402,$A84)&amp;"")</f>
        <v/>
      </c>
      <c r="M84" s="23">
        <f>IF($C84="","",INDEX(인턴근무계획!$O$3:$O$402,$A84)&amp;"")</f>
        <v/>
      </c>
      <c r="N84" s="23">
        <f>IF($C84="","",INDEX(인턴근무계획!$P$3:$P$402,$A84)&amp;"")</f>
        <v/>
      </c>
      <c r="O84" s="23">
        <f>IF($C84="","",INDEX(인턴근무계획!$Q$3:$Q$402,$A84)&amp;"")</f>
        <v/>
      </c>
      <c r="P84" s="23">
        <f>IF($C84="","",INDEX(인턴근무계획!$R$3:$R$402,$A84)&amp;"")</f>
        <v/>
      </c>
      <c r="Q84" s="23">
        <f>IF($C84="","",INDEX(인턴근무계획!$T$3:$T$402,$A84))</f>
        <v/>
      </c>
    </row>
    <row r="85">
      <c r="A85" s="26" t="n">
        <v>80</v>
      </c>
      <c r="B85" s="23">
        <f>IF($C85="","",INDEX(인턴근무계획!$B$3:$B$402,$A85))</f>
        <v/>
      </c>
      <c r="C85" s="23">
        <f>IFERROR(TRIM(INDEX(인턴근무계획!$C$3:$C$402,$A85)&amp;""),"")</f>
        <v/>
      </c>
      <c r="D85" s="23">
        <f>IF($C85="","",INDEX(인턴근무계획!$D$3:$D$402,$A85))</f>
        <v/>
      </c>
      <c r="E85" s="23">
        <f>IF($C85="","",IF(IFERROR(MATCH($D85,기본자료!$B$2:$B$1001,0),IFERROR(MATCH($D85&amp;"",기본자료!$B$2:$B$1001,0),IFERROR(MATCH(VALUE($D85),기본자료!$B$2:$B$1001,0),0)))&gt;0,"확인","미등록"))</f>
        <v/>
      </c>
      <c r="F85" s="27">
        <f>IF($C85="","",INDEX(인턴근무계획!$S$3:$S$402,$A85))</f>
        <v/>
      </c>
      <c r="G85" s="23">
        <f>IF(OR($C85="",$G$3=""),"",IF(INDEX(인턴근무계획!$M$3:$R$402,$A85,$G$3)&amp;""="","",IF(LEFT(INDEX(인턴근무계획!$M$3:$R$402,$A85,$G$3)&amp;"",1)="⚠",INDEX(인턴근무계획!$M$3:$R$402,$A85,$G$3)&amp;"",LEFT(INDEX(인턴근무계획!$M$3:$R$402,$A85,$G$3)&amp;"",FIND(" ",INDEX(인턴근무계획!$M$3:$R$402,$A85,$G$3)&amp;"")-1))))</f>
        <v/>
      </c>
      <c r="H85" s="23">
        <f>IF(OR($C85="",$G$3=""),"",IF(INDEX(인턴근무계획!$M$3:$R$402,$A85,$G$3)&amp;""="","",IF(LEFT(INDEX(인턴근무계획!$M$3:$R$402,$A85,$G$3)&amp;"",1)="⚠","",MID(INDEX(인턴근무계획!$M$3:$R$402,$A85,$G$3)&amp;"",FIND(" ",INDEX(인턴근무계획!$M$3:$R$402,$A85,$G$3)&amp;"")+1,60))))</f>
        <v/>
      </c>
      <c r="I85" s="23">
        <f>IF(OR($C85="",$I$3=""),"",IF(INDEX(인턴근무계획!$M$3:$R$402,$A85,$I$3)&amp;""="","",IF(LEFT(INDEX(인턴근무계획!$M$3:$R$402,$A85,$I$3)&amp;"",1)="⚠",INDEX(인턴근무계획!$M$3:$R$402,$A85,$I$3)&amp;"",LEFT(INDEX(인턴근무계획!$M$3:$R$402,$A85,$I$3)&amp;"",FIND(" ",INDEX(인턴근무계획!$M$3:$R$402,$A85,$I$3)&amp;"")-1))))</f>
        <v/>
      </c>
      <c r="J85" s="23">
        <f>IF(OR($C85="",$I$3=""),"",IF(INDEX(인턴근무계획!$M$3:$R$402,$A85,$I$3)&amp;""="","",IF(LEFT(INDEX(인턴근무계획!$M$3:$R$402,$A85,$I$3)&amp;"",1)="⚠","",MID(INDEX(인턴근무계획!$M$3:$R$402,$A85,$I$3)&amp;"",FIND(" ",INDEX(인턴근무계획!$M$3:$R$402,$A85,$I$3)&amp;"")+1,60))))</f>
        <v/>
      </c>
      <c r="K85" s="23">
        <f>IF($C85="","",INDEX(인턴근무계획!$M$3:$M$402,$A85)&amp;"")</f>
        <v/>
      </c>
      <c r="L85" s="23">
        <f>IF($C85="","",INDEX(인턴근무계획!$N$3:$N$402,$A85)&amp;"")</f>
        <v/>
      </c>
      <c r="M85" s="23">
        <f>IF($C85="","",INDEX(인턴근무계획!$O$3:$O$402,$A85)&amp;"")</f>
        <v/>
      </c>
      <c r="N85" s="23">
        <f>IF($C85="","",INDEX(인턴근무계획!$P$3:$P$402,$A85)&amp;"")</f>
        <v/>
      </c>
      <c r="O85" s="23">
        <f>IF($C85="","",INDEX(인턴근무계획!$Q$3:$Q$402,$A85)&amp;"")</f>
        <v/>
      </c>
      <c r="P85" s="23">
        <f>IF($C85="","",INDEX(인턴근무계획!$R$3:$R$402,$A85)&amp;"")</f>
        <v/>
      </c>
      <c r="Q85" s="23">
        <f>IF($C85="","",INDEX(인턴근무계획!$T$3:$T$402,$A85))</f>
        <v/>
      </c>
    </row>
    <row r="86">
      <c r="A86" s="26" t="n">
        <v>81</v>
      </c>
      <c r="B86" s="23">
        <f>IF($C86="","",INDEX(인턴근무계획!$B$3:$B$402,$A86))</f>
        <v/>
      </c>
      <c r="C86" s="23">
        <f>IFERROR(TRIM(INDEX(인턴근무계획!$C$3:$C$402,$A86)&amp;""),"")</f>
        <v/>
      </c>
      <c r="D86" s="23">
        <f>IF($C86="","",INDEX(인턴근무계획!$D$3:$D$402,$A86))</f>
        <v/>
      </c>
      <c r="E86" s="23">
        <f>IF($C86="","",IF(IFERROR(MATCH($D86,기본자료!$B$2:$B$1001,0),IFERROR(MATCH($D86&amp;"",기본자료!$B$2:$B$1001,0),IFERROR(MATCH(VALUE($D86),기본자료!$B$2:$B$1001,0),0)))&gt;0,"확인","미등록"))</f>
        <v/>
      </c>
      <c r="F86" s="27">
        <f>IF($C86="","",INDEX(인턴근무계획!$S$3:$S$402,$A86))</f>
        <v/>
      </c>
      <c r="G86" s="23">
        <f>IF(OR($C86="",$G$3=""),"",IF(INDEX(인턴근무계획!$M$3:$R$402,$A86,$G$3)&amp;""="","",IF(LEFT(INDEX(인턴근무계획!$M$3:$R$402,$A86,$G$3)&amp;"",1)="⚠",INDEX(인턴근무계획!$M$3:$R$402,$A86,$G$3)&amp;"",LEFT(INDEX(인턴근무계획!$M$3:$R$402,$A86,$G$3)&amp;"",FIND(" ",INDEX(인턴근무계획!$M$3:$R$402,$A86,$G$3)&amp;"")-1))))</f>
        <v/>
      </c>
      <c r="H86" s="23">
        <f>IF(OR($C86="",$G$3=""),"",IF(INDEX(인턴근무계획!$M$3:$R$402,$A86,$G$3)&amp;""="","",IF(LEFT(INDEX(인턴근무계획!$M$3:$R$402,$A86,$G$3)&amp;"",1)="⚠","",MID(INDEX(인턴근무계획!$M$3:$R$402,$A86,$G$3)&amp;"",FIND(" ",INDEX(인턴근무계획!$M$3:$R$402,$A86,$G$3)&amp;"")+1,60))))</f>
        <v/>
      </c>
      <c r="I86" s="23">
        <f>IF(OR($C86="",$I$3=""),"",IF(INDEX(인턴근무계획!$M$3:$R$402,$A86,$I$3)&amp;""="","",IF(LEFT(INDEX(인턴근무계획!$M$3:$R$402,$A86,$I$3)&amp;"",1)="⚠",INDEX(인턴근무계획!$M$3:$R$402,$A86,$I$3)&amp;"",LEFT(INDEX(인턴근무계획!$M$3:$R$402,$A86,$I$3)&amp;"",FIND(" ",INDEX(인턴근무계획!$M$3:$R$402,$A86,$I$3)&amp;"")-1))))</f>
        <v/>
      </c>
      <c r="J86" s="23">
        <f>IF(OR($C86="",$I$3=""),"",IF(INDEX(인턴근무계획!$M$3:$R$402,$A86,$I$3)&amp;""="","",IF(LEFT(INDEX(인턴근무계획!$M$3:$R$402,$A86,$I$3)&amp;"",1)="⚠","",MID(INDEX(인턴근무계획!$M$3:$R$402,$A86,$I$3)&amp;"",FIND(" ",INDEX(인턴근무계획!$M$3:$R$402,$A86,$I$3)&amp;"")+1,60))))</f>
        <v/>
      </c>
      <c r="K86" s="23">
        <f>IF($C86="","",INDEX(인턴근무계획!$M$3:$M$402,$A86)&amp;"")</f>
        <v/>
      </c>
      <c r="L86" s="23">
        <f>IF($C86="","",INDEX(인턴근무계획!$N$3:$N$402,$A86)&amp;"")</f>
        <v/>
      </c>
      <c r="M86" s="23">
        <f>IF($C86="","",INDEX(인턴근무계획!$O$3:$O$402,$A86)&amp;"")</f>
        <v/>
      </c>
      <c r="N86" s="23">
        <f>IF($C86="","",INDEX(인턴근무계획!$P$3:$P$402,$A86)&amp;"")</f>
        <v/>
      </c>
      <c r="O86" s="23">
        <f>IF($C86="","",INDEX(인턴근무계획!$Q$3:$Q$402,$A86)&amp;"")</f>
        <v/>
      </c>
      <c r="P86" s="23">
        <f>IF($C86="","",INDEX(인턴근무계획!$R$3:$R$402,$A86)&amp;"")</f>
        <v/>
      </c>
      <c r="Q86" s="23">
        <f>IF($C86="","",INDEX(인턴근무계획!$T$3:$T$402,$A86))</f>
        <v/>
      </c>
    </row>
    <row r="87">
      <c r="A87" s="26" t="n">
        <v>82</v>
      </c>
      <c r="B87" s="23">
        <f>IF($C87="","",INDEX(인턴근무계획!$B$3:$B$402,$A87))</f>
        <v/>
      </c>
      <c r="C87" s="23">
        <f>IFERROR(TRIM(INDEX(인턴근무계획!$C$3:$C$402,$A87)&amp;""),"")</f>
        <v/>
      </c>
      <c r="D87" s="23">
        <f>IF($C87="","",INDEX(인턴근무계획!$D$3:$D$402,$A87))</f>
        <v/>
      </c>
      <c r="E87" s="23">
        <f>IF($C87="","",IF(IFERROR(MATCH($D87,기본자료!$B$2:$B$1001,0),IFERROR(MATCH($D87&amp;"",기본자료!$B$2:$B$1001,0),IFERROR(MATCH(VALUE($D87),기본자료!$B$2:$B$1001,0),0)))&gt;0,"확인","미등록"))</f>
        <v/>
      </c>
      <c r="F87" s="27">
        <f>IF($C87="","",INDEX(인턴근무계획!$S$3:$S$402,$A87))</f>
        <v/>
      </c>
      <c r="G87" s="23">
        <f>IF(OR($C87="",$G$3=""),"",IF(INDEX(인턴근무계획!$M$3:$R$402,$A87,$G$3)&amp;""="","",IF(LEFT(INDEX(인턴근무계획!$M$3:$R$402,$A87,$G$3)&amp;"",1)="⚠",INDEX(인턴근무계획!$M$3:$R$402,$A87,$G$3)&amp;"",LEFT(INDEX(인턴근무계획!$M$3:$R$402,$A87,$G$3)&amp;"",FIND(" ",INDEX(인턴근무계획!$M$3:$R$402,$A87,$G$3)&amp;"")-1))))</f>
        <v/>
      </c>
      <c r="H87" s="23">
        <f>IF(OR($C87="",$G$3=""),"",IF(INDEX(인턴근무계획!$M$3:$R$402,$A87,$G$3)&amp;""="","",IF(LEFT(INDEX(인턴근무계획!$M$3:$R$402,$A87,$G$3)&amp;"",1)="⚠","",MID(INDEX(인턴근무계획!$M$3:$R$402,$A87,$G$3)&amp;"",FIND(" ",INDEX(인턴근무계획!$M$3:$R$402,$A87,$G$3)&amp;"")+1,60))))</f>
        <v/>
      </c>
      <c r="I87" s="23">
        <f>IF(OR($C87="",$I$3=""),"",IF(INDEX(인턴근무계획!$M$3:$R$402,$A87,$I$3)&amp;""="","",IF(LEFT(INDEX(인턴근무계획!$M$3:$R$402,$A87,$I$3)&amp;"",1)="⚠",INDEX(인턴근무계획!$M$3:$R$402,$A87,$I$3)&amp;"",LEFT(INDEX(인턴근무계획!$M$3:$R$402,$A87,$I$3)&amp;"",FIND(" ",INDEX(인턴근무계획!$M$3:$R$402,$A87,$I$3)&amp;"")-1))))</f>
        <v/>
      </c>
      <c r="J87" s="23">
        <f>IF(OR($C87="",$I$3=""),"",IF(INDEX(인턴근무계획!$M$3:$R$402,$A87,$I$3)&amp;""="","",IF(LEFT(INDEX(인턴근무계획!$M$3:$R$402,$A87,$I$3)&amp;"",1)="⚠","",MID(INDEX(인턴근무계획!$M$3:$R$402,$A87,$I$3)&amp;"",FIND(" ",INDEX(인턴근무계획!$M$3:$R$402,$A87,$I$3)&amp;"")+1,60))))</f>
        <v/>
      </c>
      <c r="K87" s="23">
        <f>IF($C87="","",INDEX(인턴근무계획!$M$3:$M$402,$A87)&amp;"")</f>
        <v/>
      </c>
      <c r="L87" s="23">
        <f>IF($C87="","",INDEX(인턴근무계획!$N$3:$N$402,$A87)&amp;"")</f>
        <v/>
      </c>
      <c r="M87" s="23">
        <f>IF($C87="","",INDEX(인턴근무계획!$O$3:$O$402,$A87)&amp;"")</f>
        <v/>
      </c>
      <c r="N87" s="23">
        <f>IF($C87="","",INDEX(인턴근무계획!$P$3:$P$402,$A87)&amp;"")</f>
        <v/>
      </c>
      <c r="O87" s="23">
        <f>IF($C87="","",INDEX(인턴근무계획!$Q$3:$Q$402,$A87)&amp;"")</f>
        <v/>
      </c>
      <c r="P87" s="23">
        <f>IF($C87="","",INDEX(인턴근무계획!$R$3:$R$402,$A87)&amp;"")</f>
        <v/>
      </c>
      <c r="Q87" s="23">
        <f>IF($C87="","",INDEX(인턴근무계획!$T$3:$T$402,$A87))</f>
        <v/>
      </c>
    </row>
    <row r="88">
      <c r="A88" s="26" t="n">
        <v>83</v>
      </c>
      <c r="B88" s="23">
        <f>IF($C88="","",INDEX(인턴근무계획!$B$3:$B$402,$A88))</f>
        <v/>
      </c>
      <c r="C88" s="23">
        <f>IFERROR(TRIM(INDEX(인턴근무계획!$C$3:$C$402,$A88)&amp;""),"")</f>
        <v/>
      </c>
      <c r="D88" s="23">
        <f>IF($C88="","",INDEX(인턴근무계획!$D$3:$D$402,$A88))</f>
        <v/>
      </c>
      <c r="E88" s="23">
        <f>IF($C88="","",IF(IFERROR(MATCH($D88,기본자료!$B$2:$B$1001,0),IFERROR(MATCH($D88&amp;"",기본자료!$B$2:$B$1001,0),IFERROR(MATCH(VALUE($D88),기본자료!$B$2:$B$1001,0),0)))&gt;0,"확인","미등록"))</f>
        <v/>
      </c>
      <c r="F88" s="27">
        <f>IF($C88="","",INDEX(인턴근무계획!$S$3:$S$402,$A88))</f>
        <v/>
      </c>
      <c r="G88" s="23">
        <f>IF(OR($C88="",$G$3=""),"",IF(INDEX(인턴근무계획!$M$3:$R$402,$A88,$G$3)&amp;""="","",IF(LEFT(INDEX(인턴근무계획!$M$3:$R$402,$A88,$G$3)&amp;"",1)="⚠",INDEX(인턴근무계획!$M$3:$R$402,$A88,$G$3)&amp;"",LEFT(INDEX(인턴근무계획!$M$3:$R$402,$A88,$G$3)&amp;"",FIND(" ",INDEX(인턴근무계획!$M$3:$R$402,$A88,$G$3)&amp;"")-1))))</f>
        <v/>
      </c>
      <c r="H88" s="23">
        <f>IF(OR($C88="",$G$3=""),"",IF(INDEX(인턴근무계획!$M$3:$R$402,$A88,$G$3)&amp;""="","",IF(LEFT(INDEX(인턴근무계획!$M$3:$R$402,$A88,$G$3)&amp;"",1)="⚠","",MID(INDEX(인턴근무계획!$M$3:$R$402,$A88,$G$3)&amp;"",FIND(" ",INDEX(인턴근무계획!$M$3:$R$402,$A88,$G$3)&amp;"")+1,60))))</f>
        <v/>
      </c>
      <c r="I88" s="23">
        <f>IF(OR($C88="",$I$3=""),"",IF(INDEX(인턴근무계획!$M$3:$R$402,$A88,$I$3)&amp;""="","",IF(LEFT(INDEX(인턴근무계획!$M$3:$R$402,$A88,$I$3)&amp;"",1)="⚠",INDEX(인턴근무계획!$M$3:$R$402,$A88,$I$3)&amp;"",LEFT(INDEX(인턴근무계획!$M$3:$R$402,$A88,$I$3)&amp;"",FIND(" ",INDEX(인턴근무계획!$M$3:$R$402,$A88,$I$3)&amp;"")-1))))</f>
        <v/>
      </c>
      <c r="J88" s="23">
        <f>IF(OR($C88="",$I$3=""),"",IF(INDEX(인턴근무계획!$M$3:$R$402,$A88,$I$3)&amp;""="","",IF(LEFT(INDEX(인턴근무계획!$M$3:$R$402,$A88,$I$3)&amp;"",1)="⚠","",MID(INDEX(인턴근무계획!$M$3:$R$402,$A88,$I$3)&amp;"",FIND(" ",INDEX(인턴근무계획!$M$3:$R$402,$A88,$I$3)&amp;"")+1,60))))</f>
        <v/>
      </c>
      <c r="K88" s="23">
        <f>IF($C88="","",INDEX(인턴근무계획!$M$3:$M$402,$A88)&amp;"")</f>
        <v/>
      </c>
      <c r="L88" s="23">
        <f>IF($C88="","",INDEX(인턴근무계획!$N$3:$N$402,$A88)&amp;"")</f>
        <v/>
      </c>
      <c r="M88" s="23">
        <f>IF($C88="","",INDEX(인턴근무계획!$O$3:$O$402,$A88)&amp;"")</f>
        <v/>
      </c>
      <c r="N88" s="23">
        <f>IF($C88="","",INDEX(인턴근무계획!$P$3:$P$402,$A88)&amp;"")</f>
        <v/>
      </c>
      <c r="O88" s="23">
        <f>IF($C88="","",INDEX(인턴근무계획!$Q$3:$Q$402,$A88)&amp;"")</f>
        <v/>
      </c>
      <c r="P88" s="23">
        <f>IF($C88="","",INDEX(인턴근무계획!$R$3:$R$402,$A88)&amp;"")</f>
        <v/>
      </c>
      <c r="Q88" s="23">
        <f>IF($C88="","",INDEX(인턴근무계획!$T$3:$T$402,$A88))</f>
        <v/>
      </c>
    </row>
    <row r="89">
      <c r="A89" s="26" t="n">
        <v>84</v>
      </c>
      <c r="B89" s="23">
        <f>IF($C89="","",INDEX(인턴근무계획!$B$3:$B$402,$A89))</f>
        <v/>
      </c>
      <c r="C89" s="23">
        <f>IFERROR(TRIM(INDEX(인턴근무계획!$C$3:$C$402,$A89)&amp;""),"")</f>
        <v/>
      </c>
      <c r="D89" s="23">
        <f>IF($C89="","",INDEX(인턴근무계획!$D$3:$D$402,$A89))</f>
        <v/>
      </c>
      <c r="E89" s="23">
        <f>IF($C89="","",IF(IFERROR(MATCH($D89,기본자료!$B$2:$B$1001,0),IFERROR(MATCH($D89&amp;"",기본자료!$B$2:$B$1001,0),IFERROR(MATCH(VALUE($D89),기본자료!$B$2:$B$1001,0),0)))&gt;0,"확인","미등록"))</f>
        <v/>
      </c>
      <c r="F89" s="27">
        <f>IF($C89="","",INDEX(인턴근무계획!$S$3:$S$402,$A89))</f>
        <v/>
      </c>
      <c r="G89" s="23">
        <f>IF(OR($C89="",$G$3=""),"",IF(INDEX(인턴근무계획!$M$3:$R$402,$A89,$G$3)&amp;""="","",IF(LEFT(INDEX(인턴근무계획!$M$3:$R$402,$A89,$G$3)&amp;"",1)="⚠",INDEX(인턴근무계획!$M$3:$R$402,$A89,$G$3)&amp;"",LEFT(INDEX(인턴근무계획!$M$3:$R$402,$A89,$G$3)&amp;"",FIND(" ",INDEX(인턴근무계획!$M$3:$R$402,$A89,$G$3)&amp;"")-1))))</f>
        <v/>
      </c>
      <c r="H89" s="23">
        <f>IF(OR($C89="",$G$3=""),"",IF(INDEX(인턴근무계획!$M$3:$R$402,$A89,$G$3)&amp;""="","",IF(LEFT(INDEX(인턴근무계획!$M$3:$R$402,$A89,$G$3)&amp;"",1)="⚠","",MID(INDEX(인턴근무계획!$M$3:$R$402,$A89,$G$3)&amp;"",FIND(" ",INDEX(인턴근무계획!$M$3:$R$402,$A89,$G$3)&amp;"")+1,60))))</f>
        <v/>
      </c>
      <c r="I89" s="23">
        <f>IF(OR($C89="",$I$3=""),"",IF(INDEX(인턴근무계획!$M$3:$R$402,$A89,$I$3)&amp;""="","",IF(LEFT(INDEX(인턴근무계획!$M$3:$R$402,$A89,$I$3)&amp;"",1)="⚠",INDEX(인턴근무계획!$M$3:$R$402,$A89,$I$3)&amp;"",LEFT(INDEX(인턴근무계획!$M$3:$R$402,$A89,$I$3)&amp;"",FIND(" ",INDEX(인턴근무계획!$M$3:$R$402,$A89,$I$3)&amp;"")-1))))</f>
        <v/>
      </c>
      <c r="J89" s="23">
        <f>IF(OR($C89="",$I$3=""),"",IF(INDEX(인턴근무계획!$M$3:$R$402,$A89,$I$3)&amp;""="","",IF(LEFT(INDEX(인턴근무계획!$M$3:$R$402,$A89,$I$3)&amp;"",1)="⚠","",MID(INDEX(인턴근무계획!$M$3:$R$402,$A89,$I$3)&amp;"",FIND(" ",INDEX(인턴근무계획!$M$3:$R$402,$A89,$I$3)&amp;"")+1,60))))</f>
        <v/>
      </c>
      <c r="K89" s="23">
        <f>IF($C89="","",INDEX(인턴근무계획!$M$3:$M$402,$A89)&amp;"")</f>
        <v/>
      </c>
      <c r="L89" s="23">
        <f>IF($C89="","",INDEX(인턴근무계획!$N$3:$N$402,$A89)&amp;"")</f>
        <v/>
      </c>
      <c r="M89" s="23">
        <f>IF($C89="","",INDEX(인턴근무계획!$O$3:$O$402,$A89)&amp;"")</f>
        <v/>
      </c>
      <c r="N89" s="23">
        <f>IF($C89="","",INDEX(인턴근무계획!$P$3:$P$402,$A89)&amp;"")</f>
        <v/>
      </c>
      <c r="O89" s="23">
        <f>IF($C89="","",INDEX(인턴근무계획!$Q$3:$Q$402,$A89)&amp;"")</f>
        <v/>
      </c>
      <c r="P89" s="23">
        <f>IF($C89="","",INDEX(인턴근무계획!$R$3:$R$402,$A89)&amp;"")</f>
        <v/>
      </c>
      <c r="Q89" s="23">
        <f>IF($C89="","",INDEX(인턴근무계획!$T$3:$T$402,$A89))</f>
        <v/>
      </c>
    </row>
    <row r="90">
      <c r="A90" s="26" t="n">
        <v>85</v>
      </c>
      <c r="B90" s="23">
        <f>IF($C90="","",INDEX(인턴근무계획!$B$3:$B$402,$A90))</f>
        <v/>
      </c>
      <c r="C90" s="23">
        <f>IFERROR(TRIM(INDEX(인턴근무계획!$C$3:$C$402,$A90)&amp;""),"")</f>
        <v/>
      </c>
      <c r="D90" s="23">
        <f>IF($C90="","",INDEX(인턴근무계획!$D$3:$D$402,$A90))</f>
        <v/>
      </c>
      <c r="E90" s="23">
        <f>IF($C90="","",IF(IFERROR(MATCH($D90,기본자료!$B$2:$B$1001,0),IFERROR(MATCH($D90&amp;"",기본자료!$B$2:$B$1001,0),IFERROR(MATCH(VALUE($D90),기본자료!$B$2:$B$1001,0),0)))&gt;0,"확인","미등록"))</f>
        <v/>
      </c>
      <c r="F90" s="27">
        <f>IF($C90="","",INDEX(인턴근무계획!$S$3:$S$402,$A90))</f>
        <v/>
      </c>
      <c r="G90" s="23">
        <f>IF(OR($C90="",$G$3=""),"",IF(INDEX(인턴근무계획!$M$3:$R$402,$A90,$G$3)&amp;""="","",IF(LEFT(INDEX(인턴근무계획!$M$3:$R$402,$A90,$G$3)&amp;"",1)="⚠",INDEX(인턴근무계획!$M$3:$R$402,$A90,$G$3)&amp;"",LEFT(INDEX(인턴근무계획!$M$3:$R$402,$A90,$G$3)&amp;"",FIND(" ",INDEX(인턴근무계획!$M$3:$R$402,$A90,$G$3)&amp;"")-1))))</f>
        <v/>
      </c>
      <c r="H90" s="23">
        <f>IF(OR($C90="",$G$3=""),"",IF(INDEX(인턴근무계획!$M$3:$R$402,$A90,$G$3)&amp;""="","",IF(LEFT(INDEX(인턴근무계획!$M$3:$R$402,$A90,$G$3)&amp;"",1)="⚠","",MID(INDEX(인턴근무계획!$M$3:$R$402,$A90,$G$3)&amp;"",FIND(" ",INDEX(인턴근무계획!$M$3:$R$402,$A90,$G$3)&amp;"")+1,60))))</f>
        <v/>
      </c>
      <c r="I90" s="23">
        <f>IF(OR($C90="",$I$3=""),"",IF(INDEX(인턴근무계획!$M$3:$R$402,$A90,$I$3)&amp;""="","",IF(LEFT(INDEX(인턴근무계획!$M$3:$R$402,$A90,$I$3)&amp;"",1)="⚠",INDEX(인턴근무계획!$M$3:$R$402,$A90,$I$3)&amp;"",LEFT(INDEX(인턴근무계획!$M$3:$R$402,$A90,$I$3)&amp;"",FIND(" ",INDEX(인턴근무계획!$M$3:$R$402,$A90,$I$3)&amp;"")-1))))</f>
        <v/>
      </c>
      <c r="J90" s="23">
        <f>IF(OR($C90="",$I$3=""),"",IF(INDEX(인턴근무계획!$M$3:$R$402,$A90,$I$3)&amp;""="","",IF(LEFT(INDEX(인턴근무계획!$M$3:$R$402,$A90,$I$3)&amp;"",1)="⚠","",MID(INDEX(인턴근무계획!$M$3:$R$402,$A90,$I$3)&amp;"",FIND(" ",INDEX(인턴근무계획!$M$3:$R$402,$A90,$I$3)&amp;"")+1,60))))</f>
        <v/>
      </c>
      <c r="K90" s="23">
        <f>IF($C90="","",INDEX(인턴근무계획!$M$3:$M$402,$A90)&amp;"")</f>
        <v/>
      </c>
      <c r="L90" s="23">
        <f>IF($C90="","",INDEX(인턴근무계획!$N$3:$N$402,$A90)&amp;"")</f>
        <v/>
      </c>
      <c r="M90" s="23">
        <f>IF($C90="","",INDEX(인턴근무계획!$O$3:$O$402,$A90)&amp;"")</f>
        <v/>
      </c>
      <c r="N90" s="23">
        <f>IF($C90="","",INDEX(인턴근무계획!$P$3:$P$402,$A90)&amp;"")</f>
        <v/>
      </c>
      <c r="O90" s="23">
        <f>IF($C90="","",INDEX(인턴근무계획!$Q$3:$Q$402,$A90)&amp;"")</f>
        <v/>
      </c>
      <c r="P90" s="23">
        <f>IF($C90="","",INDEX(인턴근무계획!$R$3:$R$402,$A90)&amp;"")</f>
        <v/>
      </c>
      <c r="Q90" s="23">
        <f>IF($C90="","",INDEX(인턴근무계획!$T$3:$T$402,$A90))</f>
        <v/>
      </c>
    </row>
    <row r="91">
      <c r="A91" s="26" t="n">
        <v>86</v>
      </c>
      <c r="B91" s="23">
        <f>IF($C91="","",INDEX(인턴근무계획!$B$3:$B$402,$A91))</f>
        <v/>
      </c>
      <c r="C91" s="23">
        <f>IFERROR(TRIM(INDEX(인턴근무계획!$C$3:$C$402,$A91)&amp;""),"")</f>
        <v/>
      </c>
      <c r="D91" s="23">
        <f>IF($C91="","",INDEX(인턴근무계획!$D$3:$D$402,$A91))</f>
        <v/>
      </c>
      <c r="E91" s="23">
        <f>IF($C91="","",IF(IFERROR(MATCH($D91,기본자료!$B$2:$B$1001,0),IFERROR(MATCH($D91&amp;"",기본자료!$B$2:$B$1001,0),IFERROR(MATCH(VALUE($D91),기본자료!$B$2:$B$1001,0),0)))&gt;0,"확인","미등록"))</f>
        <v/>
      </c>
      <c r="F91" s="27">
        <f>IF($C91="","",INDEX(인턴근무계획!$S$3:$S$402,$A91))</f>
        <v/>
      </c>
      <c r="G91" s="23">
        <f>IF(OR($C91="",$G$3=""),"",IF(INDEX(인턴근무계획!$M$3:$R$402,$A91,$G$3)&amp;""="","",IF(LEFT(INDEX(인턴근무계획!$M$3:$R$402,$A91,$G$3)&amp;"",1)="⚠",INDEX(인턴근무계획!$M$3:$R$402,$A91,$G$3)&amp;"",LEFT(INDEX(인턴근무계획!$M$3:$R$402,$A91,$G$3)&amp;"",FIND(" ",INDEX(인턴근무계획!$M$3:$R$402,$A91,$G$3)&amp;"")-1))))</f>
        <v/>
      </c>
      <c r="H91" s="23">
        <f>IF(OR($C91="",$G$3=""),"",IF(INDEX(인턴근무계획!$M$3:$R$402,$A91,$G$3)&amp;""="","",IF(LEFT(INDEX(인턴근무계획!$M$3:$R$402,$A91,$G$3)&amp;"",1)="⚠","",MID(INDEX(인턴근무계획!$M$3:$R$402,$A91,$G$3)&amp;"",FIND(" ",INDEX(인턴근무계획!$M$3:$R$402,$A91,$G$3)&amp;"")+1,60))))</f>
        <v/>
      </c>
      <c r="I91" s="23">
        <f>IF(OR($C91="",$I$3=""),"",IF(INDEX(인턴근무계획!$M$3:$R$402,$A91,$I$3)&amp;""="","",IF(LEFT(INDEX(인턴근무계획!$M$3:$R$402,$A91,$I$3)&amp;"",1)="⚠",INDEX(인턴근무계획!$M$3:$R$402,$A91,$I$3)&amp;"",LEFT(INDEX(인턴근무계획!$M$3:$R$402,$A91,$I$3)&amp;"",FIND(" ",INDEX(인턴근무계획!$M$3:$R$402,$A91,$I$3)&amp;"")-1))))</f>
        <v/>
      </c>
      <c r="J91" s="23">
        <f>IF(OR($C91="",$I$3=""),"",IF(INDEX(인턴근무계획!$M$3:$R$402,$A91,$I$3)&amp;""="","",IF(LEFT(INDEX(인턴근무계획!$M$3:$R$402,$A91,$I$3)&amp;"",1)="⚠","",MID(INDEX(인턴근무계획!$M$3:$R$402,$A91,$I$3)&amp;"",FIND(" ",INDEX(인턴근무계획!$M$3:$R$402,$A91,$I$3)&amp;"")+1,60))))</f>
        <v/>
      </c>
      <c r="K91" s="23">
        <f>IF($C91="","",INDEX(인턴근무계획!$M$3:$M$402,$A91)&amp;"")</f>
        <v/>
      </c>
      <c r="L91" s="23">
        <f>IF($C91="","",INDEX(인턴근무계획!$N$3:$N$402,$A91)&amp;"")</f>
        <v/>
      </c>
      <c r="M91" s="23">
        <f>IF($C91="","",INDEX(인턴근무계획!$O$3:$O$402,$A91)&amp;"")</f>
        <v/>
      </c>
      <c r="N91" s="23">
        <f>IF($C91="","",INDEX(인턴근무계획!$P$3:$P$402,$A91)&amp;"")</f>
        <v/>
      </c>
      <c r="O91" s="23">
        <f>IF($C91="","",INDEX(인턴근무계획!$Q$3:$Q$402,$A91)&amp;"")</f>
        <v/>
      </c>
      <c r="P91" s="23">
        <f>IF($C91="","",INDEX(인턴근무계획!$R$3:$R$402,$A91)&amp;"")</f>
        <v/>
      </c>
      <c r="Q91" s="23">
        <f>IF($C91="","",INDEX(인턴근무계획!$T$3:$T$402,$A91))</f>
        <v/>
      </c>
    </row>
    <row r="92">
      <c r="A92" s="26" t="n">
        <v>87</v>
      </c>
      <c r="B92" s="23">
        <f>IF($C92="","",INDEX(인턴근무계획!$B$3:$B$402,$A92))</f>
        <v/>
      </c>
      <c r="C92" s="23">
        <f>IFERROR(TRIM(INDEX(인턴근무계획!$C$3:$C$402,$A92)&amp;""),"")</f>
        <v/>
      </c>
      <c r="D92" s="23">
        <f>IF($C92="","",INDEX(인턴근무계획!$D$3:$D$402,$A92))</f>
        <v/>
      </c>
      <c r="E92" s="23">
        <f>IF($C92="","",IF(IFERROR(MATCH($D92,기본자료!$B$2:$B$1001,0),IFERROR(MATCH($D92&amp;"",기본자료!$B$2:$B$1001,0),IFERROR(MATCH(VALUE($D92),기본자료!$B$2:$B$1001,0),0)))&gt;0,"확인","미등록"))</f>
        <v/>
      </c>
      <c r="F92" s="27">
        <f>IF($C92="","",INDEX(인턴근무계획!$S$3:$S$402,$A92))</f>
        <v/>
      </c>
      <c r="G92" s="23">
        <f>IF(OR($C92="",$G$3=""),"",IF(INDEX(인턴근무계획!$M$3:$R$402,$A92,$G$3)&amp;""="","",IF(LEFT(INDEX(인턴근무계획!$M$3:$R$402,$A92,$G$3)&amp;"",1)="⚠",INDEX(인턴근무계획!$M$3:$R$402,$A92,$G$3)&amp;"",LEFT(INDEX(인턴근무계획!$M$3:$R$402,$A92,$G$3)&amp;"",FIND(" ",INDEX(인턴근무계획!$M$3:$R$402,$A92,$G$3)&amp;"")-1))))</f>
        <v/>
      </c>
      <c r="H92" s="23">
        <f>IF(OR($C92="",$G$3=""),"",IF(INDEX(인턴근무계획!$M$3:$R$402,$A92,$G$3)&amp;""="","",IF(LEFT(INDEX(인턴근무계획!$M$3:$R$402,$A92,$G$3)&amp;"",1)="⚠","",MID(INDEX(인턴근무계획!$M$3:$R$402,$A92,$G$3)&amp;"",FIND(" ",INDEX(인턴근무계획!$M$3:$R$402,$A92,$G$3)&amp;"")+1,60))))</f>
        <v/>
      </c>
      <c r="I92" s="23">
        <f>IF(OR($C92="",$I$3=""),"",IF(INDEX(인턴근무계획!$M$3:$R$402,$A92,$I$3)&amp;""="","",IF(LEFT(INDEX(인턴근무계획!$M$3:$R$402,$A92,$I$3)&amp;"",1)="⚠",INDEX(인턴근무계획!$M$3:$R$402,$A92,$I$3)&amp;"",LEFT(INDEX(인턴근무계획!$M$3:$R$402,$A92,$I$3)&amp;"",FIND(" ",INDEX(인턴근무계획!$M$3:$R$402,$A92,$I$3)&amp;"")-1))))</f>
        <v/>
      </c>
      <c r="J92" s="23">
        <f>IF(OR($C92="",$I$3=""),"",IF(INDEX(인턴근무계획!$M$3:$R$402,$A92,$I$3)&amp;""="","",IF(LEFT(INDEX(인턴근무계획!$M$3:$R$402,$A92,$I$3)&amp;"",1)="⚠","",MID(INDEX(인턴근무계획!$M$3:$R$402,$A92,$I$3)&amp;"",FIND(" ",INDEX(인턴근무계획!$M$3:$R$402,$A92,$I$3)&amp;"")+1,60))))</f>
        <v/>
      </c>
      <c r="K92" s="23">
        <f>IF($C92="","",INDEX(인턴근무계획!$M$3:$M$402,$A92)&amp;"")</f>
        <v/>
      </c>
      <c r="L92" s="23">
        <f>IF($C92="","",INDEX(인턴근무계획!$N$3:$N$402,$A92)&amp;"")</f>
        <v/>
      </c>
      <c r="M92" s="23">
        <f>IF($C92="","",INDEX(인턴근무계획!$O$3:$O$402,$A92)&amp;"")</f>
        <v/>
      </c>
      <c r="N92" s="23">
        <f>IF($C92="","",INDEX(인턴근무계획!$P$3:$P$402,$A92)&amp;"")</f>
        <v/>
      </c>
      <c r="O92" s="23">
        <f>IF($C92="","",INDEX(인턴근무계획!$Q$3:$Q$402,$A92)&amp;"")</f>
        <v/>
      </c>
      <c r="P92" s="23">
        <f>IF($C92="","",INDEX(인턴근무계획!$R$3:$R$402,$A92)&amp;"")</f>
        <v/>
      </c>
      <c r="Q92" s="23">
        <f>IF($C92="","",INDEX(인턴근무계획!$T$3:$T$402,$A92))</f>
        <v/>
      </c>
    </row>
    <row r="93">
      <c r="A93" s="26" t="n">
        <v>88</v>
      </c>
      <c r="B93" s="23">
        <f>IF($C93="","",INDEX(인턴근무계획!$B$3:$B$402,$A93))</f>
        <v/>
      </c>
      <c r="C93" s="23">
        <f>IFERROR(TRIM(INDEX(인턴근무계획!$C$3:$C$402,$A93)&amp;""),"")</f>
        <v/>
      </c>
      <c r="D93" s="23">
        <f>IF($C93="","",INDEX(인턴근무계획!$D$3:$D$402,$A93))</f>
        <v/>
      </c>
      <c r="E93" s="23">
        <f>IF($C93="","",IF(IFERROR(MATCH($D93,기본자료!$B$2:$B$1001,0),IFERROR(MATCH($D93&amp;"",기본자료!$B$2:$B$1001,0),IFERROR(MATCH(VALUE($D93),기본자료!$B$2:$B$1001,0),0)))&gt;0,"확인","미등록"))</f>
        <v/>
      </c>
      <c r="F93" s="27">
        <f>IF($C93="","",INDEX(인턴근무계획!$S$3:$S$402,$A93))</f>
        <v/>
      </c>
      <c r="G93" s="23">
        <f>IF(OR($C93="",$G$3=""),"",IF(INDEX(인턴근무계획!$M$3:$R$402,$A93,$G$3)&amp;""="","",IF(LEFT(INDEX(인턴근무계획!$M$3:$R$402,$A93,$G$3)&amp;"",1)="⚠",INDEX(인턴근무계획!$M$3:$R$402,$A93,$G$3)&amp;"",LEFT(INDEX(인턴근무계획!$M$3:$R$402,$A93,$G$3)&amp;"",FIND(" ",INDEX(인턴근무계획!$M$3:$R$402,$A93,$G$3)&amp;"")-1))))</f>
        <v/>
      </c>
      <c r="H93" s="23">
        <f>IF(OR($C93="",$G$3=""),"",IF(INDEX(인턴근무계획!$M$3:$R$402,$A93,$G$3)&amp;""="","",IF(LEFT(INDEX(인턴근무계획!$M$3:$R$402,$A93,$G$3)&amp;"",1)="⚠","",MID(INDEX(인턴근무계획!$M$3:$R$402,$A93,$G$3)&amp;"",FIND(" ",INDEX(인턴근무계획!$M$3:$R$402,$A93,$G$3)&amp;"")+1,60))))</f>
        <v/>
      </c>
      <c r="I93" s="23">
        <f>IF(OR($C93="",$I$3=""),"",IF(INDEX(인턴근무계획!$M$3:$R$402,$A93,$I$3)&amp;""="","",IF(LEFT(INDEX(인턴근무계획!$M$3:$R$402,$A93,$I$3)&amp;"",1)="⚠",INDEX(인턴근무계획!$M$3:$R$402,$A93,$I$3)&amp;"",LEFT(INDEX(인턴근무계획!$M$3:$R$402,$A93,$I$3)&amp;"",FIND(" ",INDEX(인턴근무계획!$M$3:$R$402,$A93,$I$3)&amp;"")-1))))</f>
        <v/>
      </c>
      <c r="J93" s="23">
        <f>IF(OR($C93="",$I$3=""),"",IF(INDEX(인턴근무계획!$M$3:$R$402,$A93,$I$3)&amp;""="","",IF(LEFT(INDEX(인턴근무계획!$M$3:$R$402,$A93,$I$3)&amp;"",1)="⚠","",MID(INDEX(인턴근무계획!$M$3:$R$402,$A93,$I$3)&amp;"",FIND(" ",INDEX(인턴근무계획!$M$3:$R$402,$A93,$I$3)&amp;"")+1,60))))</f>
        <v/>
      </c>
      <c r="K93" s="23">
        <f>IF($C93="","",INDEX(인턴근무계획!$M$3:$M$402,$A93)&amp;"")</f>
        <v/>
      </c>
      <c r="L93" s="23">
        <f>IF($C93="","",INDEX(인턴근무계획!$N$3:$N$402,$A93)&amp;"")</f>
        <v/>
      </c>
      <c r="M93" s="23">
        <f>IF($C93="","",INDEX(인턴근무계획!$O$3:$O$402,$A93)&amp;"")</f>
        <v/>
      </c>
      <c r="N93" s="23">
        <f>IF($C93="","",INDEX(인턴근무계획!$P$3:$P$402,$A93)&amp;"")</f>
        <v/>
      </c>
      <c r="O93" s="23">
        <f>IF($C93="","",INDEX(인턴근무계획!$Q$3:$Q$402,$A93)&amp;"")</f>
        <v/>
      </c>
      <c r="P93" s="23">
        <f>IF($C93="","",INDEX(인턴근무계획!$R$3:$R$402,$A93)&amp;"")</f>
        <v/>
      </c>
      <c r="Q93" s="23">
        <f>IF($C93="","",INDEX(인턴근무계획!$T$3:$T$402,$A93))</f>
        <v/>
      </c>
    </row>
    <row r="94">
      <c r="A94" s="26" t="n">
        <v>89</v>
      </c>
      <c r="B94" s="23">
        <f>IF($C94="","",INDEX(인턴근무계획!$B$3:$B$402,$A94))</f>
        <v/>
      </c>
      <c r="C94" s="23">
        <f>IFERROR(TRIM(INDEX(인턴근무계획!$C$3:$C$402,$A94)&amp;""),"")</f>
        <v/>
      </c>
      <c r="D94" s="23">
        <f>IF($C94="","",INDEX(인턴근무계획!$D$3:$D$402,$A94))</f>
        <v/>
      </c>
      <c r="E94" s="23">
        <f>IF($C94="","",IF(IFERROR(MATCH($D94,기본자료!$B$2:$B$1001,0),IFERROR(MATCH($D94&amp;"",기본자료!$B$2:$B$1001,0),IFERROR(MATCH(VALUE($D94),기본자료!$B$2:$B$1001,0),0)))&gt;0,"확인","미등록"))</f>
        <v/>
      </c>
      <c r="F94" s="27">
        <f>IF($C94="","",INDEX(인턴근무계획!$S$3:$S$402,$A94))</f>
        <v/>
      </c>
      <c r="G94" s="23">
        <f>IF(OR($C94="",$G$3=""),"",IF(INDEX(인턴근무계획!$M$3:$R$402,$A94,$G$3)&amp;""="","",IF(LEFT(INDEX(인턴근무계획!$M$3:$R$402,$A94,$G$3)&amp;"",1)="⚠",INDEX(인턴근무계획!$M$3:$R$402,$A94,$G$3)&amp;"",LEFT(INDEX(인턴근무계획!$M$3:$R$402,$A94,$G$3)&amp;"",FIND(" ",INDEX(인턴근무계획!$M$3:$R$402,$A94,$G$3)&amp;"")-1))))</f>
        <v/>
      </c>
      <c r="H94" s="23">
        <f>IF(OR($C94="",$G$3=""),"",IF(INDEX(인턴근무계획!$M$3:$R$402,$A94,$G$3)&amp;""="","",IF(LEFT(INDEX(인턴근무계획!$M$3:$R$402,$A94,$G$3)&amp;"",1)="⚠","",MID(INDEX(인턴근무계획!$M$3:$R$402,$A94,$G$3)&amp;"",FIND(" ",INDEX(인턴근무계획!$M$3:$R$402,$A94,$G$3)&amp;"")+1,60))))</f>
        <v/>
      </c>
      <c r="I94" s="23">
        <f>IF(OR($C94="",$I$3=""),"",IF(INDEX(인턴근무계획!$M$3:$R$402,$A94,$I$3)&amp;""="","",IF(LEFT(INDEX(인턴근무계획!$M$3:$R$402,$A94,$I$3)&amp;"",1)="⚠",INDEX(인턴근무계획!$M$3:$R$402,$A94,$I$3)&amp;"",LEFT(INDEX(인턴근무계획!$M$3:$R$402,$A94,$I$3)&amp;"",FIND(" ",INDEX(인턴근무계획!$M$3:$R$402,$A94,$I$3)&amp;"")-1))))</f>
        <v/>
      </c>
      <c r="J94" s="23">
        <f>IF(OR($C94="",$I$3=""),"",IF(INDEX(인턴근무계획!$M$3:$R$402,$A94,$I$3)&amp;""="","",IF(LEFT(INDEX(인턴근무계획!$M$3:$R$402,$A94,$I$3)&amp;"",1)="⚠","",MID(INDEX(인턴근무계획!$M$3:$R$402,$A94,$I$3)&amp;"",FIND(" ",INDEX(인턴근무계획!$M$3:$R$402,$A94,$I$3)&amp;"")+1,60))))</f>
        <v/>
      </c>
      <c r="K94" s="23">
        <f>IF($C94="","",INDEX(인턴근무계획!$M$3:$M$402,$A94)&amp;"")</f>
        <v/>
      </c>
      <c r="L94" s="23">
        <f>IF($C94="","",INDEX(인턴근무계획!$N$3:$N$402,$A94)&amp;"")</f>
        <v/>
      </c>
      <c r="M94" s="23">
        <f>IF($C94="","",INDEX(인턴근무계획!$O$3:$O$402,$A94)&amp;"")</f>
        <v/>
      </c>
      <c r="N94" s="23">
        <f>IF($C94="","",INDEX(인턴근무계획!$P$3:$P$402,$A94)&amp;"")</f>
        <v/>
      </c>
      <c r="O94" s="23">
        <f>IF($C94="","",INDEX(인턴근무계획!$Q$3:$Q$402,$A94)&amp;"")</f>
        <v/>
      </c>
      <c r="P94" s="23">
        <f>IF($C94="","",INDEX(인턴근무계획!$R$3:$R$402,$A94)&amp;"")</f>
        <v/>
      </c>
      <c r="Q94" s="23">
        <f>IF($C94="","",INDEX(인턴근무계획!$T$3:$T$402,$A94))</f>
        <v/>
      </c>
    </row>
    <row r="95">
      <c r="A95" s="26" t="n">
        <v>90</v>
      </c>
      <c r="B95" s="23">
        <f>IF($C95="","",INDEX(인턴근무계획!$B$3:$B$402,$A95))</f>
        <v/>
      </c>
      <c r="C95" s="23">
        <f>IFERROR(TRIM(INDEX(인턴근무계획!$C$3:$C$402,$A95)&amp;""),"")</f>
        <v/>
      </c>
      <c r="D95" s="23">
        <f>IF($C95="","",INDEX(인턴근무계획!$D$3:$D$402,$A95))</f>
        <v/>
      </c>
      <c r="E95" s="23">
        <f>IF($C95="","",IF(IFERROR(MATCH($D95,기본자료!$B$2:$B$1001,0),IFERROR(MATCH($D95&amp;"",기본자료!$B$2:$B$1001,0),IFERROR(MATCH(VALUE($D95),기본자료!$B$2:$B$1001,0),0)))&gt;0,"확인","미등록"))</f>
        <v/>
      </c>
      <c r="F95" s="27">
        <f>IF($C95="","",INDEX(인턴근무계획!$S$3:$S$402,$A95))</f>
        <v/>
      </c>
      <c r="G95" s="23">
        <f>IF(OR($C95="",$G$3=""),"",IF(INDEX(인턴근무계획!$M$3:$R$402,$A95,$G$3)&amp;""="","",IF(LEFT(INDEX(인턴근무계획!$M$3:$R$402,$A95,$G$3)&amp;"",1)="⚠",INDEX(인턴근무계획!$M$3:$R$402,$A95,$G$3)&amp;"",LEFT(INDEX(인턴근무계획!$M$3:$R$402,$A95,$G$3)&amp;"",FIND(" ",INDEX(인턴근무계획!$M$3:$R$402,$A95,$G$3)&amp;"")-1))))</f>
        <v/>
      </c>
      <c r="H95" s="23">
        <f>IF(OR($C95="",$G$3=""),"",IF(INDEX(인턴근무계획!$M$3:$R$402,$A95,$G$3)&amp;""="","",IF(LEFT(INDEX(인턴근무계획!$M$3:$R$402,$A95,$G$3)&amp;"",1)="⚠","",MID(INDEX(인턴근무계획!$M$3:$R$402,$A95,$G$3)&amp;"",FIND(" ",INDEX(인턴근무계획!$M$3:$R$402,$A95,$G$3)&amp;"")+1,60))))</f>
        <v/>
      </c>
      <c r="I95" s="23">
        <f>IF(OR($C95="",$I$3=""),"",IF(INDEX(인턴근무계획!$M$3:$R$402,$A95,$I$3)&amp;""="","",IF(LEFT(INDEX(인턴근무계획!$M$3:$R$402,$A95,$I$3)&amp;"",1)="⚠",INDEX(인턴근무계획!$M$3:$R$402,$A95,$I$3)&amp;"",LEFT(INDEX(인턴근무계획!$M$3:$R$402,$A95,$I$3)&amp;"",FIND(" ",INDEX(인턴근무계획!$M$3:$R$402,$A95,$I$3)&amp;"")-1))))</f>
        <v/>
      </c>
      <c r="J95" s="23">
        <f>IF(OR($C95="",$I$3=""),"",IF(INDEX(인턴근무계획!$M$3:$R$402,$A95,$I$3)&amp;""="","",IF(LEFT(INDEX(인턴근무계획!$M$3:$R$402,$A95,$I$3)&amp;"",1)="⚠","",MID(INDEX(인턴근무계획!$M$3:$R$402,$A95,$I$3)&amp;"",FIND(" ",INDEX(인턴근무계획!$M$3:$R$402,$A95,$I$3)&amp;"")+1,60))))</f>
        <v/>
      </c>
      <c r="K95" s="23">
        <f>IF($C95="","",INDEX(인턴근무계획!$M$3:$M$402,$A95)&amp;"")</f>
        <v/>
      </c>
      <c r="L95" s="23">
        <f>IF($C95="","",INDEX(인턴근무계획!$N$3:$N$402,$A95)&amp;"")</f>
        <v/>
      </c>
      <c r="M95" s="23">
        <f>IF($C95="","",INDEX(인턴근무계획!$O$3:$O$402,$A95)&amp;"")</f>
        <v/>
      </c>
      <c r="N95" s="23">
        <f>IF($C95="","",INDEX(인턴근무계획!$P$3:$P$402,$A95)&amp;"")</f>
        <v/>
      </c>
      <c r="O95" s="23">
        <f>IF($C95="","",INDEX(인턴근무계획!$Q$3:$Q$402,$A95)&amp;"")</f>
        <v/>
      </c>
      <c r="P95" s="23">
        <f>IF($C95="","",INDEX(인턴근무계획!$R$3:$R$402,$A95)&amp;"")</f>
        <v/>
      </c>
      <c r="Q95" s="23">
        <f>IF($C95="","",INDEX(인턴근무계획!$T$3:$T$402,$A95))</f>
        <v/>
      </c>
    </row>
    <row r="96">
      <c r="A96" s="26" t="n">
        <v>91</v>
      </c>
      <c r="B96" s="23">
        <f>IF($C96="","",INDEX(인턴근무계획!$B$3:$B$402,$A96))</f>
        <v/>
      </c>
      <c r="C96" s="23">
        <f>IFERROR(TRIM(INDEX(인턴근무계획!$C$3:$C$402,$A96)&amp;""),"")</f>
        <v/>
      </c>
      <c r="D96" s="23">
        <f>IF($C96="","",INDEX(인턴근무계획!$D$3:$D$402,$A96))</f>
        <v/>
      </c>
      <c r="E96" s="23">
        <f>IF($C96="","",IF(IFERROR(MATCH($D96,기본자료!$B$2:$B$1001,0),IFERROR(MATCH($D96&amp;"",기본자료!$B$2:$B$1001,0),IFERROR(MATCH(VALUE($D96),기본자료!$B$2:$B$1001,0),0)))&gt;0,"확인","미등록"))</f>
        <v/>
      </c>
      <c r="F96" s="27">
        <f>IF($C96="","",INDEX(인턴근무계획!$S$3:$S$402,$A96))</f>
        <v/>
      </c>
      <c r="G96" s="23">
        <f>IF(OR($C96="",$G$3=""),"",IF(INDEX(인턴근무계획!$M$3:$R$402,$A96,$G$3)&amp;""="","",IF(LEFT(INDEX(인턴근무계획!$M$3:$R$402,$A96,$G$3)&amp;"",1)="⚠",INDEX(인턴근무계획!$M$3:$R$402,$A96,$G$3)&amp;"",LEFT(INDEX(인턴근무계획!$M$3:$R$402,$A96,$G$3)&amp;"",FIND(" ",INDEX(인턴근무계획!$M$3:$R$402,$A96,$G$3)&amp;"")-1))))</f>
        <v/>
      </c>
      <c r="H96" s="23">
        <f>IF(OR($C96="",$G$3=""),"",IF(INDEX(인턴근무계획!$M$3:$R$402,$A96,$G$3)&amp;""="","",IF(LEFT(INDEX(인턴근무계획!$M$3:$R$402,$A96,$G$3)&amp;"",1)="⚠","",MID(INDEX(인턴근무계획!$M$3:$R$402,$A96,$G$3)&amp;"",FIND(" ",INDEX(인턴근무계획!$M$3:$R$402,$A96,$G$3)&amp;"")+1,60))))</f>
        <v/>
      </c>
      <c r="I96" s="23">
        <f>IF(OR($C96="",$I$3=""),"",IF(INDEX(인턴근무계획!$M$3:$R$402,$A96,$I$3)&amp;""="","",IF(LEFT(INDEX(인턴근무계획!$M$3:$R$402,$A96,$I$3)&amp;"",1)="⚠",INDEX(인턴근무계획!$M$3:$R$402,$A96,$I$3)&amp;"",LEFT(INDEX(인턴근무계획!$M$3:$R$402,$A96,$I$3)&amp;"",FIND(" ",INDEX(인턴근무계획!$M$3:$R$402,$A96,$I$3)&amp;"")-1))))</f>
        <v/>
      </c>
      <c r="J96" s="23">
        <f>IF(OR($C96="",$I$3=""),"",IF(INDEX(인턴근무계획!$M$3:$R$402,$A96,$I$3)&amp;""="","",IF(LEFT(INDEX(인턴근무계획!$M$3:$R$402,$A96,$I$3)&amp;"",1)="⚠","",MID(INDEX(인턴근무계획!$M$3:$R$402,$A96,$I$3)&amp;"",FIND(" ",INDEX(인턴근무계획!$M$3:$R$402,$A96,$I$3)&amp;"")+1,60))))</f>
        <v/>
      </c>
      <c r="K96" s="23">
        <f>IF($C96="","",INDEX(인턴근무계획!$M$3:$M$402,$A96)&amp;"")</f>
        <v/>
      </c>
      <c r="L96" s="23">
        <f>IF($C96="","",INDEX(인턴근무계획!$N$3:$N$402,$A96)&amp;"")</f>
        <v/>
      </c>
      <c r="M96" s="23">
        <f>IF($C96="","",INDEX(인턴근무계획!$O$3:$O$402,$A96)&amp;"")</f>
        <v/>
      </c>
      <c r="N96" s="23">
        <f>IF($C96="","",INDEX(인턴근무계획!$P$3:$P$402,$A96)&amp;"")</f>
        <v/>
      </c>
      <c r="O96" s="23">
        <f>IF($C96="","",INDEX(인턴근무계획!$Q$3:$Q$402,$A96)&amp;"")</f>
        <v/>
      </c>
      <c r="P96" s="23">
        <f>IF($C96="","",INDEX(인턴근무계획!$R$3:$R$402,$A96)&amp;"")</f>
        <v/>
      </c>
      <c r="Q96" s="23">
        <f>IF($C96="","",INDEX(인턴근무계획!$T$3:$T$402,$A96))</f>
        <v/>
      </c>
    </row>
    <row r="97">
      <c r="A97" s="26" t="n">
        <v>92</v>
      </c>
      <c r="B97" s="23">
        <f>IF($C97="","",INDEX(인턴근무계획!$B$3:$B$402,$A97))</f>
        <v/>
      </c>
      <c r="C97" s="23">
        <f>IFERROR(TRIM(INDEX(인턴근무계획!$C$3:$C$402,$A97)&amp;""),"")</f>
        <v/>
      </c>
      <c r="D97" s="23">
        <f>IF($C97="","",INDEX(인턴근무계획!$D$3:$D$402,$A97))</f>
        <v/>
      </c>
      <c r="E97" s="23">
        <f>IF($C97="","",IF(IFERROR(MATCH($D97,기본자료!$B$2:$B$1001,0),IFERROR(MATCH($D97&amp;"",기본자료!$B$2:$B$1001,0),IFERROR(MATCH(VALUE($D97),기본자료!$B$2:$B$1001,0),0)))&gt;0,"확인","미등록"))</f>
        <v/>
      </c>
      <c r="F97" s="27">
        <f>IF($C97="","",INDEX(인턴근무계획!$S$3:$S$402,$A97))</f>
        <v/>
      </c>
      <c r="G97" s="23">
        <f>IF(OR($C97="",$G$3=""),"",IF(INDEX(인턴근무계획!$M$3:$R$402,$A97,$G$3)&amp;""="","",IF(LEFT(INDEX(인턴근무계획!$M$3:$R$402,$A97,$G$3)&amp;"",1)="⚠",INDEX(인턴근무계획!$M$3:$R$402,$A97,$G$3)&amp;"",LEFT(INDEX(인턴근무계획!$M$3:$R$402,$A97,$G$3)&amp;"",FIND(" ",INDEX(인턴근무계획!$M$3:$R$402,$A97,$G$3)&amp;"")-1))))</f>
        <v/>
      </c>
      <c r="H97" s="23">
        <f>IF(OR($C97="",$G$3=""),"",IF(INDEX(인턴근무계획!$M$3:$R$402,$A97,$G$3)&amp;""="","",IF(LEFT(INDEX(인턴근무계획!$M$3:$R$402,$A97,$G$3)&amp;"",1)="⚠","",MID(INDEX(인턴근무계획!$M$3:$R$402,$A97,$G$3)&amp;"",FIND(" ",INDEX(인턴근무계획!$M$3:$R$402,$A97,$G$3)&amp;"")+1,60))))</f>
        <v/>
      </c>
      <c r="I97" s="23">
        <f>IF(OR($C97="",$I$3=""),"",IF(INDEX(인턴근무계획!$M$3:$R$402,$A97,$I$3)&amp;""="","",IF(LEFT(INDEX(인턴근무계획!$M$3:$R$402,$A97,$I$3)&amp;"",1)="⚠",INDEX(인턴근무계획!$M$3:$R$402,$A97,$I$3)&amp;"",LEFT(INDEX(인턴근무계획!$M$3:$R$402,$A97,$I$3)&amp;"",FIND(" ",INDEX(인턴근무계획!$M$3:$R$402,$A97,$I$3)&amp;"")-1))))</f>
        <v/>
      </c>
      <c r="J97" s="23">
        <f>IF(OR($C97="",$I$3=""),"",IF(INDEX(인턴근무계획!$M$3:$R$402,$A97,$I$3)&amp;""="","",IF(LEFT(INDEX(인턴근무계획!$M$3:$R$402,$A97,$I$3)&amp;"",1)="⚠","",MID(INDEX(인턴근무계획!$M$3:$R$402,$A97,$I$3)&amp;"",FIND(" ",INDEX(인턴근무계획!$M$3:$R$402,$A97,$I$3)&amp;"")+1,60))))</f>
        <v/>
      </c>
      <c r="K97" s="23">
        <f>IF($C97="","",INDEX(인턴근무계획!$M$3:$M$402,$A97)&amp;"")</f>
        <v/>
      </c>
      <c r="L97" s="23">
        <f>IF($C97="","",INDEX(인턴근무계획!$N$3:$N$402,$A97)&amp;"")</f>
        <v/>
      </c>
      <c r="M97" s="23">
        <f>IF($C97="","",INDEX(인턴근무계획!$O$3:$O$402,$A97)&amp;"")</f>
        <v/>
      </c>
      <c r="N97" s="23">
        <f>IF($C97="","",INDEX(인턴근무계획!$P$3:$P$402,$A97)&amp;"")</f>
        <v/>
      </c>
      <c r="O97" s="23">
        <f>IF($C97="","",INDEX(인턴근무계획!$Q$3:$Q$402,$A97)&amp;"")</f>
        <v/>
      </c>
      <c r="P97" s="23">
        <f>IF($C97="","",INDEX(인턴근무계획!$R$3:$R$402,$A97)&amp;"")</f>
        <v/>
      </c>
      <c r="Q97" s="23">
        <f>IF($C97="","",INDEX(인턴근무계획!$T$3:$T$402,$A97))</f>
        <v/>
      </c>
    </row>
    <row r="98">
      <c r="A98" s="26" t="n">
        <v>93</v>
      </c>
      <c r="B98" s="23">
        <f>IF($C98="","",INDEX(인턴근무계획!$B$3:$B$402,$A98))</f>
        <v/>
      </c>
      <c r="C98" s="23">
        <f>IFERROR(TRIM(INDEX(인턴근무계획!$C$3:$C$402,$A98)&amp;""),"")</f>
        <v/>
      </c>
      <c r="D98" s="23">
        <f>IF($C98="","",INDEX(인턴근무계획!$D$3:$D$402,$A98))</f>
        <v/>
      </c>
      <c r="E98" s="23">
        <f>IF($C98="","",IF(IFERROR(MATCH($D98,기본자료!$B$2:$B$1001,0),IFERROR(MATCH($D98&amp;"",기본자료!$B$2:$B$1001,0),IFERROR(MATCH(VALUE($D98),기본자료!$B$2:$B$1001,0),0)))&gt;0,"확인","미등록"))</f>
        <v/>
      </c>
      <c r="F98" s="27">
        <f>IF($C98="","",INDEX(인턴근무계획!$S$3:$S$402,$A98))</f>
        <v/>
      </c>
      <c r="G98" s="23">
        <f>IF(OR($C98="",$G$3=""),"",IF(INDEX(인턴근무계획!$M$3:$R$402,$A98,$G$3)&amp;""="","",IF(LEFT(INDEX(인턴근무계획!$M$3:$R$402,$A98,$G$3)&amp;"",1)="⚠",INDEX(인턴근무계획!$M$3:$R$402,$A98,$G$3)&amp;"",LEFT(INDEX(인턴근무계획!$M$3:$R$402,$A98,$G$3)&amp;"",FIND(" ",INDEX(인턴근무계획!$M$3:$R$402,$A98,$G$3)&amp;"")-1))))</f>
        <v/>
      </c>
      <c r="H98" s="23">
        <f>IF(OR($C98="",$G$3=""),"",IF(INDEX(인턴근무계획!$M$3:$R$402,$A98,$G$3)&amp;""="","",IF(LEFT(INDEX(인턴근무계획!$M$3:$R$402,$A98,$G$3)&amp;"",1)="⚠","",MID(INDEX(인턴근무계획!$M$3:$R$402,$A98,$G$3)&amp;"",FIND(" ",INDEX(인턴근무계획!$M$3:$R$402,$A98,$G$3)&amp;"")+1,60))))</f>
        <v/>
      </c>
      <c r="I98" s="23">
        <f>IF(OR($C98="",$I$3=""),"",IF(INDEX(인턴근무계획!$M$3:$R$402,$A98,$I$3)&amp;""="","",IF(LEFT(INDEX(인턴근무계획!$M$3:$R$402,$A98,$I$3)&amp;"",1)="⚠",INDEX(인턴근무계획!$M$3:$R$402,$A98,$I$3)&amp;"",LEFT(INDEX(인턴근무계획!$M$3:$R$402,$A98,$I$3)&amp;"",FIND(" ",INDEX(인턴근무계획!$M$3:$R$402,$A98,$I$3)&amp;"")-1))))</f>
        <v/>
      </c>
      <c r="J98" s="23">
        <f>IF(OR($C98="",$I$3=""),"",IF(INDEX(인턴근무계획!$M$3:$R$402,$A98,$I$3)&amp;""="","",IF(LEFT(INDEX(인턴근무계획!$M$3:$R$402,$A98,$I$3)&amp;"",1)="⚠","",MID(INDEX(인턴근무계획!$M$3:$R$402,$A98,$I$3)&amp;"",FIND(" ",INDEX(인턴근무계획!$M$3:$R$402,$A98,$I$3)&amp;"")+1,60))))</f>
        <v/>
      </c>
      <c r="K98" s="23">
        <f>IF($C98="","",INDEX(인턴근무계획!$M$3:$M$402,$A98)&amp;"")</f>
        <v/>
      </c>
      <c r="L98" s="23">
        <f>IF($C98="","",INDEX(인턴근무계획!$N$3:$N$402,$A98)&amp;"")</f>
        <v/>
      </c>
      <c r="M98" s="23">
        <f>IF($C98="","",INDEX(인턴근무계획!$O$3:$O$402,$A98)&amp;"")</f>
        <v/>
      </c>
      <c r="N98" s="23">
        <f>IF($C98="","",INDEX(인턴근무계획!$P$3:$P$402,$A98)&amp;"")</f>
        <v/>
      </c>
      <c r="O98" s="23">
        <f>IF($C98="","",INDEX(인턴근무계획!$Q$3:$Q$402,$A98)&amp;"")</f>
        <v/>
      </c>
      <c r="P98" s="23">
        <f>IF($C98="","",INDEX(인턴근무계획!$R$3:$R$402,$A98)&amp;"")</f>
        <v/>
      </c>
      <c r="Q98" s="23">
        <f>IF($C98="","",INDEX(인턴근무계획!$T$3:$T$402,$A98))</f>
        <v/>
      </c>
    </row>
    <row r="99">
      <c r="A99" s="26" t="n">
        <v>94</v>
      </c>
      <c r="B99" s="23">
        <f>IF($C99="","",INDEX(인턴근무계획!$B$3:$B$402,$A99))</f>
        <v/>
      </c>
      <c r="C99" s="23">
        <f>IFERROR(TRIM(INDEX(인턴근무계획!$C$3:$C$402,$A99)&amp;""),"")</f>
        <v/>
      </c>
      <c r="D99" s="23">
        <f>IF($C99="","",INDEX(인턴근무계획!$D$3:$D$402,$A99))</f>
        <v/>
      </c>
      <c r="E99" s="23">
        <f>IF($C99="","",IF(IFERROR(MATCH($D99,기본자료!$B$2:$B$1001,0),IFERROR(MATCH($D99&amp;"",기본자료!$B$2:$B$1001,0),IFERROR(MATCH(VALUE($D99),기본자료!$B$2:$B$1001,0),0)))&gt;0,"확인","미등록"))</f>
        <v/>
      </c>
      <c r="F99" s="27">
        <f>IF($C99="","",INDEX(인턴근무계획!$S$3:$S$402,$A99))</f>
        <v/>
      </c>
      <c r="G99" s="23">
        <f>IF(OR($C99="",$G$3=""),"",IF(INDEX(인턴근무계획!$M$3:$R$402,$A99,$G$3)&amp;""="","",IF(LEFT(INDEX(인턴근무계획!$M$3:$R$402,$A99,$G$3)&amp;"",1)="⚠",INDEX(인턴근무계획!$M$3:$R$402,$A99,$G$3)&amp;"",LEFT(INDEX(인턴근무계획!$M$3:$R$402,$A99,$G$3)&amp;"",FIND(" ",INDEX(인턴근무계획!$M$3:$R$402,$A99,$G$3)&amp;"")-1))))</f>
        <v/>
      </c>
      <c r="H99" s="23">
        <f>IF(OR($C99="",$G$3=""),"",IF(INDEX(인턴근무계획!$M$3:$R$402,$A99,$G$3)&amp;""="","",IF(LEFT(INDEX(인턴근무계획!$M$3:$R$402,$A99,$G$3)&amp;"",1)="⚠","",MID(INDEX(인턴근무계획!$M$3:$R$402,$A99,$G$3)&amp;"",FIND(" ",INDEX(인턴근무계획!$M$3:$R$402,$A99,$G$3)&amp;"")+1,60))))</f>
        <v/>
      </c>
      <c r="I99" s="23">
        <f>IF(OR($C99="",$I$3=""),"",IF(INDEX(인턴근무계획!$M$3:$R$402,$A99,$I$3)&amp;""="","",IF(LEFT(INDEX(인턴근무계획!$M$3:$R$402,$A99,$I$3)&amp;"",1)="⚠",INDEX(인턴근무계획!$M$3:$R$402,$A99,$I$3)&amp;"",LEFT(INDEX(인턴근무계획!$M$3:$R$402,$A99,$I$3)&amp;"",FIND(" ",INDEX(인턴근무계획!$M$3:$R$402,$A99,$I$3)&amp;"")-1))))</f>
        <v/>
      </c>
      <c r="J99" s="23">
        <f>IF(OR($C99="",$I$3=""),"",IF(INDEX(인턴근무계획!$M$3:$R$402,$A99,$I$3)&amp;""="","",IF(LEFT(INDEX(인턴근무계획!$M$3:$R$402,$A99,$I$3)&amp;"",1)="⚠","",MID(INDEX(인턴근무계획!$M$3:$R$402,$A99,$I$3)&amp;"",FIND(" ",INDEX(인턴근무계획!$M$3:$R$402,$A99,$I$3)&amp;"")+1,60))))</f>
        <v/>
      </c>
      <c r="K99" s="23">
        <f>IF($C99="","",INDEX(인턴근무계획!$M$3:$M$402,$A99)&amp;"")</f>
        <v/>
      </c>
      <c r="L99" s="23">
        <f>IF($C99="","",INDEX(인턴근무계획!$N$3:$N$402,$A99)&amp;"")</f>
        <v/>
      </c>
      <c r="M99" s="23">
        <f>IF($C99="","",INDEX(인턴근무계획!$O$3:$O$402,$A99)&amp;"")</f>
        <v/>
      </c>
      <c r="N99" s="23">
        <f>IF($C99="","",INDEX(인턴근무계획!$P$3:$P$402,$A99)&amp;"")</f>
        <v/>
      </c>
      <c r="O99" s="23">
        <f>IF($C99="","",INDEX(인턴근무계획!$Q$3:$Q$402,$A99)&amp;"")</f>
        <v/>
      </c>
      <c r="P99" s="23">
        <f>IF($C99="","",INDEX(인턴근무계획!$R$3:$R$402,$A99)&amp;"")</f>
        <v/>
      </c>
      <c r="Q99" s="23">
        <f>IF($C99="","",INDEX(인턴근무계획!$T$3:$T$402,$A99))</f>
        <v/>
      </c>
    </row>
    <row r="100">
      <c r="A100" s="26" t="n">
        <v>95</v>
      </c>
      <c r="B100" s="23">
        <f>IF($C100="","",INDEX(인턴근무계획!$B$3:$B$402,$A100))</f>
        <v/>
      </c>
      <c r="C100" s="23">
        <f>IFERROR(TRIM(INDEX(인턴근무계획!$C$3:$C$402,$A100)&amp;""),"")</f>
        <v/>
      </c>
      <c r="D100" s="23">
        <f>IF($C100="","",INDEX(인턴근무계획!$D$3:$D$402,$A100))</f>
        <v/>
      </c>
      <c r="E100" s="23">
        <f>IF($C100="","",IF(IFERROR(MATCH($D100,기본자료!$B$2:$B$1001,0),IFERROR(MATCH($D100&amp;"",기본자료!$B$2:$B$1001,0),IFERROR(MATCH(VALUE($D100),기본자료!$B$2:$B$1001,0),0)))&gt;0,"확인","미등록"))</f>
        <v/>
      </c>
      <c r="F100" s="27">
        <f>IF($C100="","",INDEX(인턴근무계획!$S$3:$S$402,$A100))</f>
        <v/>
      </c>
      <c r="G100" s="23">
        <f>IF(OR($C100="",$G$3=""),"",IF(INDEX(인턴근무계획!$M$3:$R$402,$A100,$G$3)&amp;""="","",IF(LEFT(INDEX(인턴근무계획!$M$3:$R$402,$A100,$G$3)&amp;"",1)="⚠",INDEX(인턴근무계획!$M$3:$R$402,$A100,$G$3)&amp;"",LEFT(INDEX(인턴근무계획!$M$3:$R$402,$A100,$G$3)&amp;"",FIND(" ",INDEX(인턴근무계획!$M$3:$R$402,$A100,$G$3)&amp;"")-1))))</f>
        <v/>
      </c>
      <c r="H100" s="23">
        <f>IF(OR($C100="",$G$3=""),"",IF(INDEX(인턴근무계획!$M$3:$R$402,$A100,$G$3)&amp;""="","",IF(LEFT(INDEX(인턴근무계획!$M$3:$R$402,$A100,$G$3)&amp;"",1)="⚠","",MID(INDEX(인턴근무계획!$M$3:$R$402,$A100,$G$3)&amp;"",FIND(" ",INDEX(인턴근무계획!$M$3:$R$402,$A100,$G$3)&amp;"")+1,60))))</f>
        <v/>
      </c>
      <c r="I100" s="23">
        <f>IF(OR($C100="",$I$3=""),"",IF(INDEX(인턴근무계획!$M$3:$R$402,$A100,$I$3)&amp;""="","",IF(LEFT(INDEX(인턴근무계획!$M$3:$R$402,$A100,$I$3)&amp;"",1)="⚠",INDEX(인턴근무계획!$M$3:$R$402,$A100,$I$3)&amp;"",LEFT(INDEX(인턴근무계획!$M$3:$R$402,$A100,$I$3)&amp;"",FIND(" ",INDEX(인턴근무계획!$M$3:$R$402,$A100,$I$3)&amp;"")-1))))</f>
        <v/>
      </c>
      <c r="J100" s="23">
        <f>IF(OR($C100="",$I$3=""),"",IF(INDEX(인턴근무계획!$M$3:$R$402,$A100,$I$3)&amp;""="","",IF(LEFT(INDEX(인턴근무계획!$M$3:$R$402,$A100,$I$3)&amp;"",1)="⚠","",MID(INDEX(인턴근무계획!$M$3:$R$402,$A100,$I$3)&amp;"",FIND(" ",INDEX(인턴근무계획!$M$3:$R$402,$A100,$I$3)&amp;"")+1,60))))</f>
        <v/>
      </c>
      <c r="K100" s="23">
        <f>IF($C100="","",INDEX(인턴근무계획!$M$3:$M$402,$A100)&amp;"")</f>
        <v/>
      </c>
      <c r="L100" s="23">
        <f>IF($C100="","",INDEX(인턴근무계획!$N$3:$N$402,$A100)&amp;"")</f>
        <v/>
      </c>
      <c r="M100" s="23">
        <f>IF($C100="","",INDEX(인턴근무계획!$O$3:$O$402,$A100)&amp;"")</f>
        <v/>
      </c>
      <c r="N100" s="23">
        <f>IF($C100="","",INDEX(인턴근무계획!$P$3:$P$402,$A100)&amp;"")</f>
        <v/>
      </c>
      <c r="O100" s="23">
        <f>IF($C100="","",INDEX(인턴근무계획!$Q$3:$Q$402,$A100)&amp;"")</f>
        <v/>
      </c>
      <c r="P100" s="23">
        <f>IF($C100="","",INDEX(인턴근무계획!$R$3:$R$402,$A100)&amp;"")</f>
        <v/>
      </c>
      <c r="Q100" s="23">
        <f>IF($C100="","",INDEX(인턴근무계획!$T$3:$T$402,$A100))</f>
        <v/>
      </c>
    </row>
    <row r="101">
      <c r="A101" s="26" t="n">
        <v>96</v>
      </c>
      <c r="B101" s="23">
        <f>IF($C101="","",INDEX(인턴근무계획!$B$3:$B$402,$A101))</f>
        <v/>
      </c>
      <c r="C101" s="23">
        <f>IFERROR(TRIM(INDEX(인턴근무계획!$C$3:$C$402,$A101)&amp;""),"")</f>
        <v/>
      </c>
      <c r="D101" s="23">
        <f>IF($C101="","",INDEX(인턴근무계획!$D$3:$D$402,$A101))</f>
        <v/>
      </c>
      <c r="E101" s="23">
        <f>IF($C101="","",IF(IFERROR(MATCH($D101,기본자료!$B$2:$B$1001,0),IFERROR(MATCH($D101&amp;"",기본자료!$B$2:$B$1001,0),IFERROR(MATCH(VALUE($D101),기본자료!$B$2:$B$1001,0),0)))&gt;0,"확인","미등록"))</f>
        <v/>
      </c>
      <c r="F101" s="27">
        <f>IF($C101="","",INDEX(인턴근무계획!$S$3:$S$402,$A101))</f>
        <v/>
      </c>
      <c r="G101" s="23">
        <f>IF(OR($C101="",$G$3=""),"",IF(INDEX(인턴근무계획!$M$3:$R$402,$A101,$G$3)&amp;""="","",IF(LEFT(INDEX(인턴근무계획!$M$3:$R$402,$A101,$G$3)&amp;"",1)="⚠",INDEX(인턴근무계획!$M$3:$R$402,$A101,$G$3)&amp;"",LEFT(INDEX(인턴근무계획!$M$3:$R$402,$A101,$G$3)&amp;"",FIND(" ",INDEX(인턴근무계획!$M$3:$R$402,$A101,$G$3)&amp;"")-1))))</f>
        <v/>
      </c>
      <c r="H101" s="23">
        <f>IF(OR($C101="",$G$3=""),"",IF(INDEX(인턴근무계획!$M$3:$R$402,$A101,$G$3)&amp;""="","",IF(LEFT(INDEX(인턴근무계획!$M$3:$R$402,$A101,$G$3)&amp;"",1)="⚠","",MID(INDEX(인턴근무계획!$M$3:$R$402,$A101,$G$3)&amp;"",FIND(" ",INDEX(인턴근무계획!$M$3:$R$402,$A101,$G$3)&amp;"")+1,60))))</f>
        <v/>
      </c>
      <c r="I101" s="23">
        <f>IF(OR($C101="",$I$3=""),"",IF(INDEX(인턴근무계획!$M$3:$R$402,$A101,$I$3)&amp;""="","",IF(LEFT(INDEX(인턴근무계획!$M$3:$R$402,$A101,$I$3)&amp;"",1)="⚠",INDEX(인턴근무계획!$M$3:$R$402,$A101,$I$3)&amp;"",LEFT(INDEX(인턴근무계획!$M$3:$R$402,$A101,$I$3)&amp;"",FIND(" ",INDEX(인턴근무계획!$M$3:$R$402,$A101,$I$3)&amp;"")-1))))</f>
        <v/>
      </c>
      <c r="J101" s="23">
        <f>IF(OR($C101="",$I$3=""),"",IF(INDEX(인턴근무계획!$M$3:$R$402,$A101,$I$3)&amp;""="","",IF(LEFT(INDEX(인턴근무계획!$M$3:$R$402,$A101,$I$3)&amp;"",1)="⚠","",MID(INDEX(인턴근무계획!$M$3:$R$402,$A101,$I$3)&amp;"",FIND(" ",INDEX(인턴근무계획!$M$3:$R$402,$A101,$I$3)&amp;"")+1,60))))</f>
        <v/>
      </c>
      <c r="K101" s="23">
        <f>IF($C101="","",INDEX(인턴근무계획!$M$3:$M$402,$A101)&amp;"")</f>
        <v/>
      </c>
      <c r="L101" s="23">
        <f>IF($C101="","",INDEX(인턴근무계획!$N$3:$N$402,$A101)&amp;"")</f>
        <v/>
      </c>
      <c r="M101" s="23">
        <f>IF($C101="","",INDEX(인턴근무계획!$O$3:$O$402,$A101)&amp;"")</f>
        <v/>
      </c>
      <c r="N101" s="23">
        <f>IF($C101="","",INDEX(인턴근무계획!$P$3:$P$402,$A101)&amp;"")</f>
        <v/>
      </c>
      <c r="O101" s="23">
        <f>IF($C101="","",INDEX(인턴근무계획!$Q$3:$Q$402,$A101)&amp;"")</f>
        <v/>
      </c>
      <c r="P101" s="23">
        <f>IF($C101="","",INDEX(인턴근무계획!$R$3:$R$402,$A101)&amp;"")</f>
        <v/>
      </c>
      <c r="Q101" s="23">
        <f>IF($C101="","",INDEX(인턴근무계획!$T$3:$T$402,$A101))</f>
        <v/>
      </c>
    </row>
    <row r="102">
      <c r="A102" s="26" t="n">
        <v>97</v>
      </c>
      <c r="B102" s="23">
        <f>IF($C102="","",INDEX(인턴근무계획!$B$3:$B$402,$A102))</f>
        <v/>
      </c>
      <c r="C102" s="23">
        <f>IFERROR(TRIM(INDEX(인턴근무계획!$C$3:$C$402,$A102)&amp;""),"")</f>
        <v/>
      </c>
      <c r="D102" s="23">
        <f>IF($C102="","",INDEX(인턴근무계획!$D$3:$D$402,$A102))</f>
        <v/>
      </c>
      <c r="E102" s="23">
        <f>IF($C102="","",IF(IFERROR(MATCH($D102,기본자료!$B$2:$B$1001,0),IFERROR(MATCH($D102&amp;"",기본자료!$B$2:$B$1001,0),IFERROR(MATCH(VALUE($D102),기본자료!$B$2:$B$1001,0),0)))&gt;0,"확인","미등록"))</f>
        <v/>
      </c>
      <c r="F102" s="27">
        <f>IF($C102="","",INDEX(인턴근무계획!$S$3:$S$402,$A102))</f>
        <v/>
      </c>
      <c r="G102" s="23">
        <f>IF(OR($C102="",$G$3=""),"",IF(INDEX(인턴근무계획!$M$3:$R$402,$A102,$G$3)&amp;""="","",IF(LEFT(INDEX(인턴근무계획!$M$3:$R$402,$A102,$G$3)&amp;"",1)="⚠",INDEX(인턴근무계획!$M$3:$R$402,$A102,$G$3)&amp;"",LEFT(INDEX(인턴근무계획!$M$3:$R$402,$A102,$G$3)&amp;"",FIND(" ",INDEX(인턴근무계획!$M$3:$R$402,$A102,$G$3)&amp;"")-1))))</f>
        <v/>
      </c>
      <c r="H102" s="23">
        <f>IF(OR($C102="",$G$3=""),"",IF(INDEX(인턴근무계획!$M$3:$R$402,$A102,$G$3)&amp;""="","",IF(LEFT(INDEX(인턴근무계획!$M$3:$R$402,$A102,$G$3)&amp;"",1)="⚠","",MID(INDEX(인턴근무계획!$M$3:$R$402,$A102,$G$3)&amp;"",FIND(" ",INDEX(인턴근무계획!$M$3:$R$402,$A102,$G$3)&amp;"")+1,60))))</f>
        <v/>
      </c>
      <c r="I102" s="23">
        <f>IF(OR($C102="",$I$3=""),"",IF(INDEX(인턴근무계획!$M$3:$R$402,$A102,$I$3)&amp;""="","",IF(LEFT(INDEX(인턴근무계획!$M$3:$R$402,$A102,$I$3)&amp;"",1)="⚠",INDEX(인턴근무계획!$M$3:$R$402,$A102,$I$3)&amp;"",LEFT(INDEX(인턴근무계획!$M$3:$R$402,$A102,$I$3)&amp;"",FIND(" ",INDEX(인턴근무계획!$M$3:$R$402,$A102,$I$3)&amp;"")-1))))</f>
        <v/>
      </c>
      <c r="J102" s="23">
        <f>IF(OR($C102="",$I$3=""),"",IF(INDEX(인턴근무계획!$M$3:$R$402,$A102,$I$3)&amp;""="","",IF(LEFT(INDEX(인턴근무계획!$M$3:$R$402,$A102,$I$3)&amp;"",1)="⚠","",MID(INDEX(인턴근무계획!$M$3:$R$402,$A102,$I$3)&amp;"",FIND(" ",INDEX(인턴근무계획!$M$3:$R$402,$A102,$I$3)&amp;"")+1,60))))</f>
        <v/>
      </c>
      <c r="K102" s="23">
        <f>IF($C102="","",INDEX(인턴근무계획!$M$3:$M$402,$A102)&amp;"")</f>
        <v/>
      </c>
      <c r="L102" s="23">
        <f>IF($C102="","",INDEX(인턴근무계획!$N$3:$N$402,$A102)&amp;"")</f>
        <v/>
      </c>
      <c r="M102" s="23">
        <f>IF($C102="","",INDEX(인턴근무계획!$O$3:$O$402,$A102)&amp;"")</f>
        <v/>
      </c>
      <c r="N102" s="23">
        <f>IF($C102="","",INDEX(인턴근무계획!$P$3:$P$402,$A102)&amp;"")</f>
        <v/>
      </c>
      <c r="O102" s="23">
        <f>IF($C102="","",INDEX(인턴근무계획!$Q$3:$Q$402,$A102)&amp;"")</f>
        <v/>
      </c>
      <c r="P102" s="23">
        <f>IF($C102="","",INDEX(인턴근무계획!$R$3:$R$402,$A102)&amp;"")</f>
        <v/>
      </c>
      <c r="Q102" s="23">
        <f>IF($C102="","",INDEX(인턴근무계획!$T$3:$T$402,$A102))</f>
        <v/>
      </c>
    </row>
    <row r="103">
      <c r="A103" s="26" t="n">
        <v>98</v>
      </c>
      <c r="B103" s="23">
        <f>IF($C103="","",INDEX(인턴근무계획!$B$3:$B$402,$A103))</f>
        <v/>
      </c>
      <c r="C103" s="23">
        <f>IFERROR(TRIM(INDEX(인턴근무계획!$C$3:$C$402,$A103)&amp;""),"")</f>
        <v/>
      </c>
      <c r="D103" s="23">
        <f>IF($C103="","",INDEX(인턴근무계획!$D$3:$D$402,$A103))</f>
        <v/>
      </c>
      <c r="E103" s="23">
        <f>IF($C103="","",IF(IFERROR(MATCH($D103,기본자료!$B$2:$B$1001,0),IFERROR(MATCH($D103&amp;"",기본자료!$B$2:$B$1001,0),IFERROR(MATCH(VALUE($D103),기본자료!$B$2:$B$1001,0),0)))&gt;0,"확인","미등록"))</f>
        <v/>
      </c>
      <c r="F103" s="27">
        <f>IF($C103="","",INDEX(인턴근무계획!$S$3:$S$402,$A103))</f>
        <v/>
      </c>
      <c r="G103" s="23">
        <f>IF(OR($C103="",$G$3=""),"",IF(INDEX(인턴근무계획!$M$3:$R$402,$A103,$G$3)&amp;""="","",IF(LEFT(INDEX(인턴근무계획!$M$3:$R$402,$A103,$G$3)&amp;"",1)="⚠",INDEX(인턴근무계획!$M$3:$R$402,$A103,$G$3)&amp;"",LEFT(INDEX(인턴근무계획!$M$3:$R$402,$A103,$G$3)&amp;"",FIND(" ",INDEX(인턴근무계획!$M$3:$R$402,$A103,$G$3)&amp;"")-1))))</f>
        <v/>
      </c>
      <c r="H103" s="23">
        <f>IF(OR($C103="",$G$3=""),"",IF(INDEX(인턴근무계획!$M$3:$R$402,$A103,$G$3)&amp;""="","",IF(LEFT(INDEX(인턴근무계획!$M$3:$R$402,$A103,$G$3)&amp;"",1)="⚠","",MID(INDEX(인턴근무계획!$M$3:$R$402,$A103,$G$3)&amp;"",FIND(" ",INDEX(인턴근무계획!$M$3:$R$402,$A103,$G$3)&amp;"")+1,60))))</f>
        <v/>
      </c>
      <c r="I103" s="23">
        <f>IF(OR($C103="",$I$3=""),"",IF(INDEX(인턴근무계획!$M$3:$R$402,$A103,$I$3)&amp;""="","",IF(LEFT(INDEX(인턴근무계획!$M$3:$R$402,$A103,$I$3)&amp;"",1)="⚠",INDEX(인턴근무계획!$M$3:$R$402,$A103,$I$3)&amp;"",LEFT(INDEX(인턴근무계획!$M$3:$R$402,$A103,$I$3)&amp;"",FIND(" ",INDEX(인턴근무계획!$M$3:$R$402,$A103,$I$3)&amp;"")-1))))</f>
        <v/>
      </c>
      <c r="J103" s="23">
        <f>IF(OR($C103="",$I$3=""),"",IF(INDEX(인턴근무계획!$M$3:$R$402,$A103,$I$3)&amp;""="","",IF(LEFT(INDEX(인턴근무계획!$M$3:$R$402,$A103,$I$3)&amp;"",1)="⚠","",MID(INDEX(인턴근무계획!$M$3:$R$402,$A103,$I$3)&amp;"",FIND(" ",INDEX(인턴근무계획!$M$3:$R$402,$A103,$I$3)&amp;"")+1,60))))</f>
        <v/>
      </c>
      <c r="K103" s="23">
        <f>IF($C103="","",INDEX(인턴근무계획!$M$3:$M$402,$A103)&amp;"")</f>
        <v/>
      </c>
      <c r="L103" s="23">
        <f>IF($C103="","",INDEX(인턴근무계획!$N$3:$N$402,$A103)&amp;"")</f>
        <v/>
      </c>
      <c r="M103" s="23">
        <f>IF($C103="","",INDEX(인턴근무계획!$O$3:$O$402,$A103)&amp;"")</f>
        <v/>
      </c>
      <c r="N103" s="23">
        <f>IF($C103="","",INDEX(인턴근무계획!$P$3:$P$402,$A103)&amp;"")</f>
        <v/>
      </c>
      <c r="O103" s="23">
        <f>IF($C103="","",INDEX(인턴근무계획!$Q$3:$Q$402,$A103)&amp;"")</f>
        <v/>
      </c>
      <c r="P103" s="23">
        <f>IF($C103="","",INDEX(인턴근무계획!$R$3:$R$402,$A103)&amp;"")</f>
        <v/>
      </c>
      <c r="Q103" s="23">
        <f>IF($C103="","",INDEX(인턴근무계획!$T$3:$T$402,$A103))</f>
        <v/>
      </c>
    </row>
    <row r="104">
      <c r="A104" s="26" t="n">
        <v>99</v>
      </c>
      <c r="B104" s="23">
        <f>IF($C104="","",INDEX(인턴근무계획!$B$3:$B$402,$A104))</f>
        <v/>
      </c>
      <c r="C104" s="23">
        <f>IFERROR(TRIM(INDEX(인턴근무계획!$C$3:$C$402,$A104)&amp;""),"")</f>
        <v/>
      </c>
      <c r="D104" s="23">
        <f>IF($C104="","",INDEX(인턴근무계획!$D$3:$D$402,$A104))</f>
        <v/>
      </c>
      <c r="E104" s="23">
        <f>IF($C104="","",IF(IFERROR(MATCH($D104,기본자료!$B$2:$B$1001,0),IFERROR(MATCH($D104&amp;"",기본자료!$B$2:$B$1001,0),IFERROR(MATCH(VALUE($D104),기본자료!$B$2:$B$1001,0),0)))&gt;0,"확인","미등록"))</f>
        <v/>
      </c>
      <c r="F104" s="27">
        <f>IF($C104="","",INDEX(인턴근무계획!$S$3:$S$402,$A104))</f>
        <v/>
      </c>
      <c r="G104" s="23">
        <f>IF(OR($C104="",$G$3=""),"",IF(INDEX(인턴근무계획!$M$3:$R$402,$A104,$G$3)&amp;""="","",IF(LEFT(INDEX(인턴근무계획!$M$3:$R$402,$A104,$G$3)&amp;"",1)="⚠",INDEX(인턴근무계획!$M$3:$R$402,$A104,$G$3)&amp;"",LEFT(INDEX(인턴근무계획!$M$3:$R$402,$A104,$G$3)&amp;"",FIND(" ",INDEX(인턴근무계획!$M$3:$R$402,$A104,$G$3)&amp;"")-1))))</f>
        <v/>
      </c>
      <c r="H104" s="23">
        <f>IF(OR($C104="",$G$3=""),"",IF(INDEX(인턴근무계획!$M$3:$R$402,$A104,$G$3)&amp;""="","",IF(LEFT(INDEX(인턴근무계획!$M$3:$R$402,$A104,$G$3)&amp;"",1)="⚠","",MID(INDEX(인턴근무계획!$M$3:$R$402,$A104,$G$3)&amp;"",FIND(" ",INDEX(인턴근무계획!$M$3:$R$402,$A104,$G$3)&amp;"")+1,60))))</f>
        <v/>
      </c>
      <c r="I104" s="23">
        <f>IF(OR($C104="",$I$3=""),"",IF(INDEX(인턴근무계획!$M$3:$R$402,$A104,$I$3)&amp;""="","",IF(LEFT(INDEX(인턴근무계획!$M$3:$R$402,$A104,$I$3)&amp;"",1)="⚠",INDEX(인턴근무계획!$M$3:$R$402,$A104,$I$3)&amp;"",LEFT(INDEX(인턴근무계획!$M$3:$R$402,$A104,$I$3)&amp;"",FIND(" ",INDEX(인턴근무계획!$M$3:$R$402,$A104,$I$3)&amp;"")-1))))</f>
        <v/>
      </c>
      <c r="J104" s="23">
        <f>IF(OR($C104="",$I$3=""),"",IF(INDEX(인턴근무계획!$M$3:$R$402,$A104,$I$3)&amp;""="","",IF(LEFT(INDEX(인턴근무계획!$M$3:$R$402,$A104,$I$3)&amp;"",1)="⚠","",MID(INDEX(인턴근무계획!$M$3:$R$402,$A104,$I$3)&amp;"",FIND(" ",INDEX(인턴근무계획!$M$3:$R$402,$A104,$I$3)&amp;"")+1,60))))</f>
        <v/>
      </c>
      <c r="K104" s="23">
        <f>IF($C104="","",INDEX(인턴근무계획!$M$3:$M$402,$A104)&amp;"")</f>
        <v/>
      </c>
      <c r="L104" s="23">
        <f>IF($C104="","",INDEX(인턴근무계획!$N$3:$N$402,$A104)&amp;"")</f>
        <v/>
      </c>
      <c r="M104" s="23">
        <f>IF($C104="","",INDEX(인턴근무계획!$O$3:$O$402,$A104)&amp;"")</f>
        <v/>
      </c>
      <c r="N104" s="23">
        <f>IF($C104="","",INDEX(인턴근무계획!$P$3:$P$402,$A104)&amp;"")</f>
        <v/>
      </c>
      <c r="O104" s="23">
        <f>IF($C104="","",INDEX(인턴근무계획!$Q$3:$Q$402,$A104)&amp;"")</f>
        <v/>
      </c>
      <c r="P104" s="23">
        <f>IF($C104="","",INDEX(인턴근무계획!$R$3:$R$402,$A104)&amp;"")</f>
        <v/>
      </c>
      <c r="Q104" s="23">
        <f>IF($C104="","",INDEX(인턴근무계획!$T$3:$T$402,$A104))</f>
        <v/>
      </c>
    </row>
    <row r="105">
      <c r="A105" s="26" t="n">
        <v>100</v>
      </c>
      <c r="B105" s="23">
        <f>IF($C105="","",INDEX(인턴근무계획!$B$3:$B$402,$A105))</f>
        <v/>
      </c>
      <c r="C105" s="23">
        <f>IFERROR(TRIM(INDEX(인턴근무계획!$C$3:$C$402,$A105)&amp;""),"")</f>
        <v/>
      </c>
      <c r="D105" s="23">
        <f>IF($C105="","",INDEX(인턴근무계획!$D$3:$D$402,$A105))</f>
        <v/>
      </c>
      <c r="E105" s="23">
        <f>IF($C105="","",IF(IFERROR(MATCH($D105,기본자료!$B$2:$B$1001,0),IFERROR(MATCH($D105&amp;"",기본자료!$B$2:$B$1001,0),IFERROR(MATCH(VALUE($D105),기본자료!$B$2:$B$1001,0),0)))&gt;0,"확인","미등록"))</f>
        <v/>
      </c>
      <c r="F105" s="27">
        <f>IF($C105="","",INDEX(인턴근무계획!$S$3:$S$402,$A105))</f>
        <v/>
      </c>
      <c r="G105" s="23">
        <f>IF(OR($C105="",$G$3=""),"",IF(INDEX(인턴근무계획!$M$3:$R$402,$A105,$G$3)&amp;""="","",IF(LEFT(INDEX(인턴근무계획!$M$3:$R$402,$A105,$G$3)&amp;"",1)="⚠",INDEX(인턴근무계획!$M$3:$R$402,$A105,$G$3)&amp;"",LEFT(INDEX(인턴근무계획!$M$3:$R$402,$A105,$G$3)&amp;"",FIND(" ",INDEX(인턴근무계획!$M$3:$R$402,$A105,$G$3)&amp;"")-1))))</f>
        <v/>
      </c>
      <c r="H105" s="23">
        <f>IF(OR($C105="",$G$3=""),"",IF(INDEX(인턴근무계획!$M$3:$R$402,$A105,$G$3)&amp;""="","",IF(LEFT(INDEX(인턴근무계획!$M$3:$R$402,$A105,$G$3)&amp;"",1)="⚠","",MID(INDEX(인턴근무계획!$M$3:$R$402,$A105,$G$3)&amp;"",FIND(" ",INDEX(인턴근무계획!$M$3:$R$402,$A105,$G$3)&amp;"")+1,60))))</f>
        <v/>
      </c>
      <c r="I105" s="23">
        <f>IF(OR($C105="",$I$3=""),"",IF(INDEX(인턴근무계획!$M$3:$R$402,$A105,$I$3)&amp;""="","",IF(LEFT(INDEX(인턴근무계획!$M$3:$R$402,$A105,$I$3)&amp;"",1)="⚠",INDEX(인턴근무계획!$M$3:$R$402,$A105,$I$3)&amp;"",LEFT(INDEX(인턴근무계획!$M$3:$R$402,$A105,$I$3)&amp;"",FIND(" ",INDEX(인턴근무계획!$M$3:$R$402,$A105,$I$3)&amp;"")-1))))</f>
        <v/>
      </c>
      <c r="J105" s="23">
        <f>IF(OR($C105="",$I$3=""),"",IF(INDEX(인턴근무계획!$M$3:$R$402,$A105,$I$3)&amp;""="","",IF(LEFT(INDEX(인턴근무계획!$M$3:$R$402,$A105,$I$3)&amp;"",1)="⚠","",MID(INDEX(인턴근무계획!$M$3:$R$402,$A105,$I$3)&amp;"",FIND(" ",INDEX(인턴근무계획!$M$3:$R$402,$A105,$I$3)&amp;"")+1,60))))</f>
        <v/>
      </c>
      <c r="K105" s="23">
        <f>IF($C105="","",INDEX(인턴근무계획!$M$3:$M$402,$A105)&amp;"")</f>
        <v/>
      </c>
      <c r="L105" s="23">
        <f>IF($C105="","",INDEX(인턴근무계획!$N$3:$N$402,$A105)&amp;"")</f>
        <v/>
      </c>
      <c r="M105" s="23">
        <f>IF($C105="","",INDEX(인턴근무계획!$O$3:$O$402,$A105)&amp;"")</f>
        <v/>
      </c>
      <c r="N105" s="23">
        <f>IF($C105="","",INDEX(인턴근무계획!$P$3:$P$402,$A105)&amp;"")</f>
        <v/>
      </c>
      <c r="O105" s="23">
        <f>IF($C105="","",INDEX(인턴근무계획!$Q$3:$Q$402,$A105)&amp;"")</f>
        <v/>
      </c>
      <c r="P105" s="23">
        <f>IF($C105="","",INDEX(인턴근무계획!$R$3:$R$402,$A105)&amp;"")</f>
        <v/>
      </c>
      <c r="Q105" s="23">
        <f>IF($C105="","",INDEX(인턴근무계획!$T$3:$T$402,$A105))</f>
        <v/>
      </c>
    </row>
    <row r="106">
      <c r="A106" s="26" t="n">
        <v>101</v>
      </c>
      <c r="B106" s="23">
        <f>IF($C106="","",INDEX(인턴근무계획!$B$3:$B$402,$A106))</f>
        <v/>
      </c>
      <c r="C106" s="23">
        <f>IFERROR(TRIM(INDEX(인턴근무계획!$C$3:$C$402,$A106)&amp;""),"")</f>
        <v/>
      </c>
      <c r="D106" s="23">
        <f>IF($C106="","",INDEX(인턴근무계획!$D$3:$D$402,$A106))</f>
        <v/>
      </c>
      <c r="E106" s="23">
        <f>IF($C106="","",IF(IFERROR(MATCH($D106,기본자료!$B$2:$B$1001,0),IFERROR(MATCH($D106&amp;"",기본자료!$B$2:$B$1001,0),IFERROR(MATCH(VALUE($D106),기본자료!$B$2:$B$1001,0),0)))&gt;0,"확인","미등록"))</f>
        <v/>
      </c>
      <c r="F106" s="27">
        <f>IF($C106="","",INDEX(인턴근무계획!$S$3:$S$402,$A106))</f>
        <v/>
      </c>
      <c r="G106" s="23">
        <f>IF(OR($C106="",$G$3=""),"",IF(INDEX(인턴근무계획!$M$3:$R$402,$A106,$G$3)&amp;""="","",IF(LEFT(INDEX(인턴근무계획!$M$3:$R$402,$A106,$G$3)&amp;"",1)="⚠",INDEX(인턴근무계획!$M$3:$R$402,$A106,$G$3)&amp;"",LEFT(INDEX(인턴근무계획!$M$3:$R$402,$A106,$G$3)&amp;"",FIND(" ",INDEX(인턴근무계획!$M$3:$R$402,$A106,$G$3)&amp;"")-1))))</f>
        <v/>
      </c>
      <c r="H106" s="23">
        <f>IF(OR($C106="",$G$3=""),"",IF(INDEX(인턴근무계획!$M$3:$R$402,$A106,$G$3)&amp;""="","",IF(LEFT(INDEX(인턴근무계획!$M$3:$R$402,$A106,$G$3)&amp;"",1)="⚠","",MID(INDEX(인턴근무계획!$M$3:$R$402,$A106,$G$3)&amp;"",FIND(" ",INDEX(인턴근무계획!$M$3:$R$402,$A106,$G$3)&amp;"")+1,60))))</f>
        <v/>
      </c>
      <c r="I106" s="23">
        <f>IF(OR($C106="",$I$3=""),"",IF(INDEX(인턴근무계획!$M$3:$R$402,$A106,$I$3)&amp;""="","",IF(LEFT(INDEX(인턴근무계획!$M$3:$R$402,$A106,$I$3)&amp;"",1)="⚠",INDEX(인턴근무계획!$M$3:$R$402,$A106,$I$3)&amp;"",LEFT(INDEX(인턴근무계획!$M$3:$R$402,$A106,$I$3)&amp;"",FIND(" ",INDEX(인턴근무계획!$M$3:$R$402,$A106,$I$3)&amp;"")-1))))</f>
        <v/>
      </c>
      <c r="J106" s="23">
        <f>IF(OR($C106="",$I$3=""),"",IF(INDEX(인턴근무계획!$M$3:$R$402,$A106,$I$3)&amp;""="","",IF(LEFT(INDEX(인턴근무계획!$M$3:$R$402,$A106,$I$3)&amp;"",1)="⚠","",MID(INDEX(인턴근무계획!$M$3:$R$402,$A106,$I$3)&amp;"",FIND(" ",INDEX(인턴근무계획!$M$3:$R$402,$A106,$I$3)&amp;"")+1,60))))</f>
        <v/>
      </c>
      <c r="K106" s="23">
        <f>IF($C106="","",INDEX(인턴근무계획!$M$3:$M$402,$A106)&amp;"")</f>
        <v/>
      </c>
      <c r="L106" s="23">
        <f>IF($C106="","",INDEX(인턴근무계획!$N$3:$N$402,$A106)&amp;"")</f>
        <v/>
      </c>
      <c r="M106" s="23">
        <f>IF($C106="","",INDEX(인턴근무계획!$O$3:$O$402,$A106)&amp;"")</f>
        <v/>
      </c>
      <c r="N106" s="23">
        <f>IF($C106="","",INDEX(인턴근무계획!$P$3:$P$402,$A106)&amp;"")</f>
        <v/>
      </c>
      <c r="O106" s="23">
        <f>IF($C106="","",INDEX(인턴근무계획!$Q$3:$Q$402,$A106)&amp;"")</f>
        <v/>
      </c>
      <c r="P106" s="23">
        <f>IF($C106="","",INDEX(인턴근무계획!$R$3:$R$402,$A106)&amp;"")</f>
        <v/>
      </c>
      <c r="Q106" s="23">
        <f>IF($C106="","",INDEX(인턴근무계획!$T$3:$T$402,$A106))</f>
        <v/>
      </c>
    </row>
    <row r="107">
      <c r="A107" s="26" t="n">
        <v>102</v>
      </c>
      <c r="B107" s="23">
        <f>IF($C107="","",INDEX(인턴근무계획!$B$3:$B$402,$A107))</f>
        <v/>
      </c>
      <c r="C107" s="23">
        <f>IFERROR(TRIM(INDEX(인턴근무계획!$C$3:$C$402,$A107)&amp;""),"")</f>
        <v/>
      </c>
      <c r="D107" s="23">
        <f>IF($C107="","",INDEX(인턴근무계획!$D$3:$D$402,$A107))</f>
        <v/>
      </c>
      <c r="E107" s="23">
        <f>IF($C107="","",IF(IFERROR(MATCH($D107,기본자료!$B$2:$B$1001,0),IFERROR(MATCH($D107&amp;"",기본자료!$B$2:$B$1001,0),IFERROR(MATCH(VALUE($D107),기본자료!$B$2:$B$1001,0),0)))&gt;0,"확인","미등록"))</f>
        <v/>
      </c>
      <c r="F107" s="27">
        <f>IF($C107="","",INDEX(인턴근무계획!$S$3:$S$402,$A107))</f>
        <v/>
      </c>
      <c r="G107" s="23">
        <f>IF(OR($C107="",$G$3=""),"",IF(INDEX(인턴근무계획!$M$3:$R$402,$A107,$G$3)&amp;""="","",IF(LEFT(INDEX(인턴근무계획!$M$3:$R$402,$A107,$G$3)&amp;"",1)="⚠",INDEX(인턴근무계획!$M$3:$R$402,$A107,$G$3)&amp;"",LEFT(INDEX(인턴근무계획!$M$3:$R$402,$A107,$G$3)&amp;"",FIND(" ",INDEX(인턴근무계획!$M$3:$R$402,$A107,$G$3)&amp;"")-1))))</f>
        <v/>
      </c>
      <c r="H107" s="23">
        <f>IF(OR($C107="",$G$3=""),"",IF(INDEX(인턴근무계획!$M$3:$R$402,$A107,$G$3)&amp;""="","",IF(LEFT(INDEX(인턴근무계획!$M$3:$R$402,$A107,$G$3)&amp;"",1)="⚠","",MID(INDEX(인턴근무계획!$M$3:$R$402,$A107,$G$3)&amp;"",FIND(" ",INDEX(인턴근무계획!$M$3:$R$402,$A107,$G$3)&amp;"")+1,60))))</f>
        <v/>
      </c>
      <c r="I107" s="23">
        <f>IF(OR($C107="",$I$3=""),"",IF(INDEX(인턴근무계획!$M$3:$R$402,$A107,$I$3)&amp;""="","",IF(LEFT(INDEX(인턴근무계획!$M$3:$R$402,$A107,$I$3)&amp;"",1)="⚠",INDEX(인턴근무계획!$M$3:$R$402,$A107,$I$3)&amp;"",LEFT(INDEX(인턴근무계획!$M$3:$R$402,$A107,$I$3)&amp;"",FIND(" ",INDEX(인턴근무계획!$M$3:$R$402,$A107,$I$3)&amp;"")-1))))</f>
        <v/>
      </c>
      <c r="J107" s="23">
        <f>IF(OR($C107="",$I$3=""),"",IF(INDEX(인턴근무계획!$M$3:$R$402,$A107,$I$3)&amp;""="","",IF(LEFT(INDEX(인턴근무계획!$M$3:$R$402,$A107,$I$3)&amp;"",1)="⚠","",MID(INDEX(인턴근무계획!$M$3:$R$402,$A107,$I$3)&amp;"",FIND(" ",INDEX(인턴근무계획!$M$3:$R$402,$A107,$I$3)&amp;"")+1,60))))</f>
        <v/>
      </c>
      <c r="K107" s="23">
        <f>IF($C107="","",INDEX(인턴근무계획!$M$3:$M$402,$A107)&amp;"")</f>
        <v/>
      </c>
      <c r="L107" s="23">
        <f>IF($C107="","",INDEX(인턴근무계획!$N$3:$N$402,$A107)&amp;"")</f>
        <v/>
      </c>
      <c r="M107" s="23">
        <f>IF($C107="","",INDEX(인턴근무계획!$O$3:$O$402,$A107)&amp;"")</f>
        <v/>
      </c>
      <c r="N107" s="23">
        <f>IF($C107="","",INDEX(인턴근무계획!$P$3:$P$402,$A107)&amp;"")</f>
        <v/>
      </c>
      <c r="O107" s="23">
        <f>IF($C107="","",INDEX(인턴근무계획!$Q$3:$Q$402,$A107)&amp;"")</f>
        <v/>
      </c>
      <c r="P107" s="23">
        <f>IF($C107="","",INDEX(인턴근무계획!$R$3:$R$402,$A107)&amp;"")</f>
        <v/>
      </c>
      <c r="Q107" s="23">
        <f>IF($C107="","",INDEX(인턴근무계획!$T$3:$T$402,$A107))</f>
        <v/>
      </c>
    </row>
    <row r="108">
      <c r="A108" s="26" t="n">
        <v>103</v>
      </c>
      <c r="B108" s="23">
        <f>IF($C108="","",INDEX(인턴근무계획!$B$3:$B$402,$A108))</f>
        <v/>
      </c>
      <c r="C108" s="23">
        <f>IFERROR(TRIM(INDEX(인턴근무계획!$C$3:$C$402,$A108)&amp;""),"")</f>
        <v/>
      </c>
      <c r="D108" s="23">
        <f>IF($C108="","",INDEX(인턴근무계획!$D$3:$D$402,$A108))</f>
        <v/>
      </c>
      <c r="E108" s="23">
        <f>IF($C108="","",IF(IFERROR(MATCH($D108,기본자료!$B$2:$B$1001,0),IFERROR(MATCH($D108&amp;"",기본자료!$B$2:$B$1001,0),IFERROR(MATCH(VALUE($D108),기본자료!$B$2:$B$1001,0),0)))&gt;0,"확인","미등록"))</f>
        <v/>
      </c>
      <c r="F108" s="27">
        <f>IF($C108="","",INDEX(인턴근무계획!$S$3:$S$402,$A108))</f>
        <v/>
      </c>
      <c r="G108" s="23">
        <f>IF(OR($C108="",$G$3=""),"",IF(INDEX(인턴근무계획!$M$3:$R$402,$A108,$G$3)&amp;""="","",IF(LEFT(INDEX(인턴근무계획!$M$3:$R$402,$A108,$G$3)&amp;"",1)="⚠",INDEX(인턴근무계획!$M$3:$R$402,$A108,$G$3)&amp;"",LEFT(INDEX(인턴근무계획!$M$3:$R$402,$A108,$G$3)&amp;"",FIND(" ",INDEX(인턴근무계획!$M$3:$R$402,$A108,$G$3)&amp;"")-1))))</f>
        <v/>
      </c>
      <c r="H108" s="23">
        <f>IF(OR($C108="",$G$3=""),"",IF(INDEX(인턴근무계획!$M$3:$R$402,$A108,$G$3)&amp;""="","",IF(LEFT(INDEX(인턴근무계획!$M$3:$R$402,$A108,$G$3)&amp;"",1)="⚠","",MID(INDEX(인턴근무계획!$M$3:$R$402,$A108,$G$3)&amp;"",FIND(" ",INDEX(인턴근무계획!$M$3:$R$402,$A108,$G$3)&amp;"")+1,60))))</f>
        <v/>
      </c>
      <c r="I108" s="23">
        <f>IF(OR($C108="",$I$3=""),"",IF(INDEX(인턴근무계획!$M$3:$R$402,$A108,$I$3)&amp;""="","",IF(LEFT(INDEX(인턴근무계획!$M$3:$R$402,$A108,$I$3)&amp;"",1)="⚠",INDEX(인턴근무계획!$M$3:$R$402,$A108,$I$3)&amp;"",LEFT(INDEX(인턴근무계획!$M$3:$R$402,$A108,$I$3)&amp;"",FIND(" ",INDEX(인턴근무계획!$M$3:$R$402,$A108,$I$3)&amp;"")-1))))</f>
        <v/>
      </c>
      <c r="J108" s="23">
        <f>IF(OR($C108="",$I$3=""),"",IF(INDEX(인턴근무계획!$M$3:$R$402,$A108,$I$3)&amp;""="","",IF(LEFT(INDEX(인턴근무계획!$M$3:$R$402,$A108,$I$3)&amp;"",1)="⚠","",MID(INDEX(인턴근무계획!$M$3:$R$402,$A108,$I$3)&amp;"",FIND(" ",INDEX(인턴근무계획!$M$3:$R$402,$A108,$I$3)&amp;"")+1,60))))</f>
        <v/>
      </c>
      <c r="K108" s="23">
        <f>IF($C108="","",INDEX(인턴근무계획!$M$3:$M$402,$A108)&amp;"")</f>
        <v/>
      </c>
      <c r="L108" s="23">
        <f>IF($C108="","",INDEX(인턴근무계획!$N$3:$N$402,$A108)&amp;"")</f>
        <v/>
      </c>
      <c r="M108" s="23">
        <f>IF($C108="","",INDEX(인턴근무계획!$O$3:$O$402,$A108)&amp;"")</f>
        <v/>
      </c>
      <c r="N108" s="23">
        <f>IF($C108="","",INDEX(인턴근무계획!$P$3:$P$402,$A108)&amp;"")</f>
        <v/>
      </c>
      <c r="O108" s="23">
        <f>IF($C108="","",INDEX(인턴근무계획!$Q$3:$Q$402,$A108)&amp;"")</f>
        <v/>
      </c>
      <c r="P108" s="23">
        <f>IF($C108="","",INDEX(인턴근무계획!$R$3:$R$402,$A108)&amp;"")</f>
        <v/>
      </c>
      <c r="Q108" s="23">
        <f>IF($C108="","",INDEX(인턴근무계획!$T$3:$T$402,$A108))</f>
        <v/>
      </c>
    </row>
    <row r="109">
      <c r="A109" s="26" t="n">
        <v>104</v>
      </c>
      <c r="B109" s="23">
        <f>IF($C109="","",INDEX(인턴근무계획!$B$3:$B$402,$A109))</f>
        <v/>
      </c>
      <c r="C109" s="23">
        <f>IFERROR(TRIM(INDEX(인턴근무계획!$C$3:$C$402,$A109)&amp;""),"")</f>
        <v/>
      </c>
      <c r="D109" s="23">
        <f>IF($C109="","",INDEX(인턴근무계획!$D$3:$D$402,$A109))</f>
        <v/>
      </c>
      <c r="E109" s="23">
        <f>IF($C109="","",IF(IFERROR(MATCH($D109,기본자료!$B$2:$B$1001,0),IFERROR(MATCH($D109&amp;"",기본자료!$B$2:$B$1001,0),IFERROR(MATCH(VALUE($D109),기본자료!$B$2:$B$1001,0),0)))&gt;0,"확인","미등록"))</f>
        <v/>
      </c>
      <c r="F109" s="27">
        <f>IF($C109="","",INDEX(인턴근무계획!$S$3:$S$402,$A109))</f>
        <v/>
      </c>
      <c r="G109" s="23">
        <f>IF(OR($C109="",$G$3=""),"",IF(INDEX(인턴근무계획!$M$3:$R$402,$A109,$G$3)&amp;""="","",IF(LEFT(INDEX(인턴근무계획!$M$3:$R$402,$A109,$G$3)&amp;"",1)="⚠",INDEX(인턴근무계획!$M$3:$R$402,$A109,$G$3)&amp;"",LEFT(INDEX(인턴근무계획!$M$3:$R$402,$A109,$G$3)&amp;"",FIND(" ",INDEX(인턴근무계획!$M$3:$R$402,$A109,$G$3)&amp;"")-1))))</f>
        <v/>
      </c>
      <c r="H109" s="23">
        <f>IF(OR($C109="",$G$3=""),"",IF(INDEX(인턴근무계획!$M$3:$R$402,$A109,$G$3)&amp;""="","",IF(LEFT(INDEX(인턴근무계획!$M$3:$R$402,$A109,$G$3)&amp;"",1)="⚠","",MID(INDEX(인턴근무계획!$M$3:$R$402,$A109,$G$3)&amp;"",FIND(" ",INDEX(인턴근무계획!$M$3:$R$402,$A109,$G$3)&amp;"")+1,60))))</f>
        <v/>
      </c>
      <c r="I109" s="23">
        <f>IF(OR($C109="",$I$3=""),"",IF(INDEX(인턴근무계획!$M$3:$R$402,$A109,$I$3)&amp;""="","",IF(LEFT(INDEX(인턴근무계획!$M$3:$R$402,$A109,$I$3)&amp;"",1)="⚠",INDEX(인턴근무계획!$M$3:$R$402,$A109,$I$3)&amp;"",LEFT(INDEX(인턴근무계획!$M$3:$R$402,$A109,$I$3)&amp;"",FIND(" ",INDEX(인턴근무계획!$M$3:$R$402,$A109,$I$3)&amp;"")-1))))</f>
        <v/>
      </c>
      <c r="J109" s="23">
        <f>IF(OR($C109="",$I$3=""),"",IF(INDEX(인턴근무계획!$M$3:$R$402,$A109,$I$3)&amp;""="","",IF(LEFT(INDEX(인턴근무계획!$M$3:$R$402,$A109,$I$3)&amp;"",1)="⚠","",MID(INDEX(인턴근무계획!$M$3:$R$402,$A109,$I$3)&amp;"",FIND(" ",INDEX(인턴근무계획!$M$3:$R$402,$A109,$I$3)&amp;"")+1,60))))</f>
        <v/>
      </c>
      <c r="K109" s="23">
        <f>IF($C109="","",INDEX(인턴근무계획!$M$3:$M$402,$A109)&amp;"")</f>
        <v/>
      </c>
      <c r="L109" s="23">
        <f>IF($C109="","",INDEX(인턴근무계획!$N$3:$N$402,$A109)&amp;"")</f>
        <v/>
      </c>
      <c r="M109" s="23">
        <f>IF($C109="","",INDEX(인턴근무계획!$O$3:$O$402,$A109)&amp;"")</f>
        <v/>
      </c>
      <c r="N109" s="23">
        <f>IF($C109="","",INDEX(인턴근무계획!$P$3:$P$402,$A109)&amp;"")</f>
        <v/>
      </c>
      <c r="O109" s="23">
        <f>IF($C109="","",INDEX(인턴근무계획!$Q$3:$Q$402,$A109)&amp;"")</f>
        <v/>
      </c>
      <c r="P109" s="23">
        <f>IF($C109="","",INDEX(인턴근무계획!$R$3:$R$402,$A109)&amp;"")</f>
        <v/>
      </c>
      <c r="Q109" s="23">
        <f>IF($C109="","",INDEX(인턴근무계획!$T$3:$T$402,$A109))</f>
        <v/>
      </c>
    </row>
    <row r="110">
      <c r="A110" s="26" t="n">
        <v>105</v>
      </c>
      <c r="B110" s="23">
        <f>IF($C110="","",INDEX(인턴근무계획!$B$3:$B$402,$A110))</f>
        <v/>
      </c>
      <c r="C110" s="23">
        <f>IFERROR(TRIM(INDEX(인턴근무계획!$C$3:$C$402,$A110)&amp;""),"")</f>
        <v/>
      </c>
      <c r="D110" s="23">
        <f>IF($C110="","",INDEX(인턴근무계획!$D$3:$D$402,$A110))</f>
        <v/>
      </c>
      <c r="E110" s="23">
        <f>IF($C110="","",IF(IFERROR(MATCH($D110,기본자료!$B$2:$B$1001,0),IFERROR(MATCH($D110&amp;"",기본자료!$B$2:$B$1001,0),IFERROR(MATCH(VALUE($D110),기본자료!$B$2:$B$1001,0),0)))&gt;0,"확인","미등록"))</f>
        <v/>
      </c>
      <c r="F110" s="27">
        <f>IF($C110="","",INDEX(인턴근무계획!$S$3:$S$402,$A110))</f>
        <v/>
      </c>
      <c r="G110" s="23">
        <f>IF(OR($C110="",$G$3=""),"",IF(INDEX(인턴근무계획!$M$3:$R$402,$A110,$G$3)&amp;""="","",IF(LEFT(INDEX(인턴근무계획!$M$3:$R$402,$A110,$G$3)&amp;"",1)="⚠",INDEX(인턴근무계획!$M$3:$R$402,$A110,$G$3)&amp;"",LEFT(INDEX(인턴근무계획!$M$3:$R$402,$A110,$G$3)&amp;"",FIND(" ",INDEX(인턴근무계획!$M$3:$R$402,$A110,$G$3)&amp;"")-1))))</f>
        <v/>
      </c>
      <c r="H110" s="23">
        <f>IF(OR($C110="",$G$3=""),"",IF(INDEX(인턴근무계획!$M$3:$R$402,$A110,$G$3)&amp;""="","",IF(LEFT(INDEX(인턴근무계획!$M$3:$R$402,$A110,$G$3)&amp;"",1)="⚠","",MID(INDEX(인턴근무계획!$M$3:$R$402,$A110,$G$3)&amp;"",FIND(" ",INDEX(인턴근무계획!$M$3:$R$402,$A110,$G$3)&amp;"")+1,60))))</f>
        <v/>
      </c>
      <c r="I110" s="23">
        <f>IF(OR($C110="",$I$3=""),"",IF(INDEX(인턴근무계획!$M$3:$R$402,$A110,$I$3)&amp;""="","",IF(LEFT(INDEX(인턴근무계획!$M$3:$R$402,$A110,$I$3)&amp;"",1)="⚠",INDEX(인턴근무계획!$M$3:$R$402,$A110,$I$3)&amp;"",LEFT(INDEX(인턴근무계획!$M$3:$R$402,$A110,$I$3)&amp;"",FIND(" ",INDEX(인턴근무계획!$M$3:$R$402,$A110,$I$3)&amp;"")-1))))</f>
        <v/>
      </c>
      <c r="J110" s="23">
        <f>IF(OR($C110="",$I$3=""),"",IF(INDEX(인턴근무계획!$M$3:$R$402,$A110,$I$3)&amp;""="","",IF(LEFT(INDEX(인턴근무계획!$M$3:$R$402,$A110,$I$3)&amp;"",1)="⚠","",MID(INDEX(인턴근무계획!$M$3:$R$402,$A110,$I$3)&amp;"",FIND(" ",INDEX(인턴근무계획!$M$3:$R$402,$A110,$I$3)&amp;"")+1,60))))</f>
        <v/>
      </c>
      <c r="K110" s="23">
        <f>IF($C110="","",INDEX(인턴근무계획!$M$3:$M$402,$A110)&amp;"")</f>
        <v/>
      </c>
      <c r="L110" s="23">
        <f>IF($C110="","",INDEX(인턴근무계획!$N$3:$N$402,$A110)&amp;"")</f>
        <v/>
      </c>
      <c r="M110" s="23">
        <f>IF($C110="","",INDEX(인턴근무계획!$O$3:$O$402,$A110)&amp;"")</f>
        <v/>
      </c>
      <c r="N110" s="23">
        <f>IF($C110="","",INDEX(인턴근무계획!$P$3:$P$402,$A110)&amp;"")</f>
        <v/>
      </c>
      <c r="O110" s="23">
        <f>IF($C110="","",INDEX(인턴근무계획!$Q$3:$Q$402,$A110)&amp;"")</f>
        <v/>
      </c>
      <c r="P110" s="23">
        <f>IF($C110="","",INDEX(인턴근무계획!$R$3:$R$402,$A110)&amp;"")</f>
        <v/>
      </c>
      <c r="Q110" s="23">
        <f>IF($C110="","",INDEX(인턴근무계획!$T$3:$T$402,$A110))</f>
        <v/>
      </c>
    </row>
    <row r="111">
      <c r="A111" s="26" t="n">
        <v>106</v>
      </c>
      <c r="B111" s="23">
        <f>IF($C111="","",INDEX(인턴근무계획!$B$3:$B$402,$A111))</f>
        <v/>
      </c>
      <c r="C111" s="23">
        <f>IFERROR(TRIM(INDEX(인턴근무계획!$C$3:$C$402,$A111)&amp;""),"")</f>
        <v/>
      </c>
      <c r="D111" s="23">
        <f>IF($C111="","",INDEX(인턴근무계획!$D$3:$D$402,$A111))</f>
        <v/>
      </c>
      <c r="E111" s="23">
        <f>IF($C111="","",IF(IFERROR(MATCH($D111,기본자료!$B$2:$B$1001,0),IFERROR(MATCH($D111&amp;"",기본자료!$B$2:$B$1001,0),IFERROR(MATCH(VALUE($D111),기본자료!$B$2:$B$1001,0),0)))&gt;0,"확인","미등록"))</f>
        <v/>
      </c>
      <c r="F111" s="27">
        <f>IF($C111="","",INDEX(인턴근무계획!$S$3:$S$402,$A111))</f>
        <v/>
      </c>
      <c r="G111" s="23">
        <f>IF(OR($C111="",$G$3=""),"",IF(INDEX(인턴근무계획!$M$3:$R$402,$A111,$G$3)&amp;""="","",IF(LEFT(INDEX(인턴근무계획!$M$3:$R$402,$A111,$G$3)&amp;"",1)="⚠",INDEX(인턴근무계획!$M$3:$R$402,$A111,$G$3)&amp;"",LEFT(INDEX(인턴근무계획!$M$3:$R$402,$A111,$G$3)&amp;"",FIND(" ",INDEX(인턴근무계획!$M$3:$R$402,$A111,$G$3)&amp;"")-1))))</f>
        <v/>
      </c>
      <c r="H111" s="23">
        <f>IF(OR($C111="",$G$3=""),"",IF(INDEX(인턴근무계획!$M$3:$R$402,$A111,$G$3)&amp;""="","",IF(LEFT(INDEX(인턴근무계획!$M$3:$R$402,$A111,$G$3)&amp;"",1)="⚠","",MID(INDEX(인턴근무계획!$M$3:$R$402,$A111,$G$3)&amp;"",FIND(" ",INDEX(인턴근무계획!$M$3:$R$402,$A111,$G$3)&amp;"")+1,60))))</f>
        <v/>
      </c>
      <c r="I111" s="23">
        <f>IF(OR($C111="",$I$3=""),"",IF(INDEX(인턴근무계획!$M$3:$R$402,$A111,$I$3)&amp;""="","",IF(LEFT(INDEX(인턴근무계획!$M$3:$R$402,$A111,$I$3)&amp;"",1)="⚠",INDEX(인턴근무계획!$M$3:$R$402,$A111,$I$3)&amp;"",LEFT(INDEX(인턴근무계획!$M$3:$R$402,$A111,$I$3)&amp;"",FIND(" ",INDEX(인턴근무계획!$M$3:$R$402,$A111,$I$3)&amp;"")-1))))</f>
        <v/>
      </c>
      <c r="J111" s="23">
        <f>IF(OR($C111="",$I$3=""),"",IF(INDEX(인턴근무계획!$M$3:$R$402,$A111,$I$3)&amp;""="","",IF(LEFT(INDEX(인턴근무계획!$M$3:$R$402,$A111,$I$3)&amp;"",1)="⚠","",MID(INDEX(인턴근무계획!$M$3:$R$402,$A111,$I$3)&amp;"",FIND(" ",INDEX(인턴근무계획!$M$3:$R$402,$A111,$I$3)&amp;"")+1,60))))</f>
        <v/>
      </c>
      <c r="K111" s="23">
        <f>IF($C111="","",INDEX(인턴근무계획!$M$3:$M$402,$A111)&amp;"")</f>
        <v/>
      </c>
      <c r="L111" s="23">
        <f>IF($C111="","",INDEX(인턴근무계획!$N$3:$N$402,$A111)&amp;"")</f>
        <v/>
      </c>
      <c r="M111" s="23">
        <f>IF($C111="","",INDEX(인턴근무계획!$O$3:$O$402,$A111)&amp;"")</f>
        <v/>
      </c>
      <c r="N111" s="23">
        <f>IF($C111="","",INDEX(인턴근무계획!$P$3:$P$402,$A111)&amp;"")</f>
        <v/>
      </c>
      <c r="O111" s="23">
        <f>IF($C111="","",INDEX(인턴근무계획!$Q$3:$Q$402,$A111)&amp;"")</f>
        <v/>
      </c>
      <c r="P111" s="23">
        <f>IF($C111="","",INDEX(인턴근무계획!$R$3:$R$402,$A111)&amp;"")</f>
        <v/>
      </c>
      <c r="Q111" s="23">
        <f>IF($C111="","",INDEX(인턴근무계획!$T$3:$T$402,$A111))</f>
        <v/>
      </c>
    </row>
    <row r="112">
      <c r="A112" s="26" t="n">
        <v>107</v>
      </c>
      <c r="B112" s="23">
        <f>IF($C112="","",INDEX(인턴근무계획!$B$3:$B$402,$A112))</f>
        <v/>
      </c>
      <c r="C112" s="23">
        <f>IFERROR(TRIM(INDEX(인턴근무계획!$C$3:$C$402,$A112)&amp;""),"")</f>
        <v/>
      </c>
      <c r="D112" s="23">
        <f>IF($C112="","",INDEX(인턴근무계획!$D$3:$D$402,$A112))</f>
        <v/>
      </c>
      <c r="E112" s="23">
        <f>IF($C112="","",IF(IFERROR(MATCH($D112,기본자료!$B$2:$B$1001,0),IFERROR(MATCH($D112&amp;"",기본자료!$B$2:$B$1001,0),IFERROR(MATCH(VALUE($D112),기본자료!$B$2:$B$1001,0),0)))&gt;0,"확인","미등록"))</f>
        <v/>
      </c>
      <c r="F112" s="27">
        <f>IF($C112="","",INDEX(인턴근무계획!$S$3:$S$402,$A112))</f>
        <v/>
      </c>
      <c r="G112" s="23">
        <f>IF(OR($C112="",$G$3=""),"",IF(INDEX(인턴근무계획!$M$3:$R$402,$A112,$G$3)&amp;""="","",IF(LEFT(INDEX(인턴근무계획!$M$3:$R$402,$A112,$G$3)&amp;"",1)="⚠",INDEX(인턴근무계획!$M$3:$R$402,$A112,$G$3)&amp;"",LEFT(INDEX(인턴근무계획!$M$3:$R$402,$A112,$G$3)&amp;"",FIND(" ",INDEX(인턴근무계획!$M$3:$R$402,$A112,$G$3)&amp;"")-1))))</f>
        <v/>
      </c>
      <c r="H112" s="23">
        <f>IF(OR($C112="",$G$3=""),"",IF(INDEX(인턴근무계획!$M$3:$R$402,$A112,$G$3)&amp;""="","",IF(LEFT(INDEX(인턴근무계획!$M$3:$R$402,$A112,$G$3)&amp;"",1)="⚠","",MID(INDEX(인턴근무계획!$M$3:$R$402,$A112,$G$3)&amp;"",FIND(" ",INDEX(인턴근무계획!$M$3:$R$402,$A112,$G$3)&amp;"")+1,60))))</f>
        <v/>
      </c>
      <c r="I112" s="23">
        <f>IF(OR($C112="",$I$3=""),"",IF(INDEX(인턴근무계획!$M$3:$R$402,$A112,$I$3)&amp;""="","",IF(LEFT(INDEX(인턴근무계획!$M$3:$R$402,$A112,$I$3)&amp;"",1)="⚠",INDEX(인턴근무계획!$M$3:$R$402,$A112,$I$3)&amp;"",LEFT(INDEX(인턴근무계획!$M$3:$R$402,$A112,$I$3)&amp;"",FIND(" ",INDEX(인턴근무계획!$M$3:$R$402,$A112,$I$3)&amp;"")-1))))</f>
        <v/>
      </c>
      <c r="J112" s="23">
        <f>IF(OR($C112="",$I$3=""),"",IF(INDEX(인턴근무계획!$M$3:$R$402,$A112,$I$3)&amp;""="","",IF(LEFT(INDEX(인턴근무계획!$M$3:$R$402,$A112,$I$3)&amp;"",1)="⚠","",MID(INDEX(인턴근무계획!$M$3:$R$402,$A112,$I$3)&amp;"",FIND(" ",INDEX(인턴근무계획!$M$3:$R$402,$A112,$I$3)&amp;"")+1,60))))</f>
        <v/>
      </c>
      <c r="K112" s="23">
        <f>IF($C112="","",INDEX(인턴근무계획!$M$3:$M$402,$A112)&amp;"")</f>
        <v/>
      </c>
      <c r="L112" s="23">
        <f>IF($C112="","",INDEX(인턴근무계획!$N$3:$N$402,$A112)&amp;"")</f>
        <v/>
      </c>
      <c r="M112" s="23">
        <f>IF($C112="","",INDEX(인턴근무계획!$O$3:$O$402,$A112)&amp;"")</f>
        <v/>
      </c>
      <c r="N112" s="23">
        <f>IF($C112="","",INDEX(인턴근무계획!$P$3:$P$402,$A112)&amp;"")</f>
        <v/>
      </c>
      <c r="O112" s="23">
        <f>IF($C112="","",INDEX(인턴근무계획!$Q$3:$Q$402,$A112)&amp;"")</f>
        <v/>
      </c>
      <c r="P112" s="23">
        <f>IF($C112="","",INDEX(인턴근무계획!$R$3:$R$402,$A112)&amp;"")</f>
        <v/>
      </c>
      <c r="Q112" s="23">
        <f>IF($C112="","",INDEX(인턴근무계획!$T$3:$T$402,$A112))</f>
        <v/>
      </c>
    </row>
    <row r="113">
      <c r="A113" s="26" t="n">
        <v>108</v>
      </c>
      <c r="B113" s="23">
        <f>IF($C113="","",INDEX(인턴근무계획!$B$3:$B$402,$A113))</f>
        <v/>
      </c>
      <c r="C113" s="23">
        <f>IFERROR(TRIM(INDEX(인턴근무계획!$C$3:$C$402,$A113)&amp;""),"")</f>
        <v/>
      </c>
      <c r="D113" s="23">
        <f>IF($C113="","",INDEX(인턴근무계획!$D$3:$D$402,$A113))</f>
        <v/>
      </c>
      <c r="E113" s="23">
        <f>IF($C113="","",IF(IFERROR(MATCH($D113,기본자료!$B$2:$B$1001,0),IFERROR(MATCH($D113&amp;"",기본자료!$B$2:$B$1001,0),IFERROR(MATCH(VALUE($D113),기본자료!$B$2:$B$1001,0),0)))&gt;0,"확인","미등록"))</f>
        <v/>
      </c>
      <c r="F113" s="27">
        <f>IF($C113="","",INDEX(인턴근무계획!$S$3:$S$402,$A113))</f>
        <v/>
      </c>
      <c r="G113" s="23">
        <f>IF(OR($C113="",$G$3=""),"",IF(INDEX(인턴근무계획!$M$3:$R$402,$A113,$G$3)&amp;""="","",IF(LEFT(INDEX(인턴근무계획!$M$3:$R$402,$A113,$G$3)&amp;"",1)="⚠",INDEX(인턴근무계획!$M$3:$R$402,$A113,$G$3)&amp;"",LEFT(INDEX(인턴근무계획!$M$3:$R$402,$A113,$G$3)&amp;"",FIND(" ",INDEX(인턴근무계획!$M$3:$R$402,$A113,$G$3)&amp;"")-1))))</f>
        <v/>
      </c>
      <c r="H113" s="23">
        <f>IF(OR($C113="",$G$3=""),"",IF(INDEX(인턴근무계획!$M$3:$R$402,$A113,$G$3)&amp;""="","",IF(LEFT(INDEX(인턴근무계획!$M$3:$R$402,$A113,$G$3)&amp;"",1)="⚠","",MID(INDEX(인턴근무계획!$M$3:$R$402,$A113,$G$3)&amp;"",FIND(" ",INDEX(인턴근무계획!$M$3:$R$402,$A113,$G$3)&amp;"")+1,60))))</f>
        <v/>
      </c>
      <c r="I113" s="23">
        <f>IF(OR($C113="",$I$3=""),"",IF(INDEX(인턴근무계획!$M$3:$R$402,$A113,$I$3)&amp;""="","",IF(LEFT(INDEX(인턴근무계획!$M$3:$R$402,$A113,$I$3)&amp;"",1)="⚠",INDEX(인턴근무계획!$M$3:$R$402,$A113,$I$3)&amp;"",LEFT(INDEX(인턴근무계획!$M$3:$R$402,$A113,$I$3)&amp;"",FIND(" ",INDEX(인턴근무계획!$M$3:$R$402,$A113,$I$3)&amp;"")-1))))</f>
        <v/>
      </c>
      <c r="J113" s="23">
        <f>IF(OR($C113="",$I$3=""),"",IF(INDEX(인턴근무계획!$M$3:$R$402,$A113,$I$3)&amp;""="","",IF(LEFT(INDEX(인턴근무계획!$M$3:$R$402,$A113,$I$3)&amp;"",1)="⚠","",MID(INDEX(인턴근무계획!$M$3:$R$402,$A113,$I$3)&amp;"",FIND(" ",INDEX(인턴근무계획!$M$3:$R$402,$A113,$I$3)&amp;"")+1,60))))</f>
        <v/>
      </c>
      <c r="K113" s="23">
        <f>IF($C113="","",INDEX(인턴근무계획!$M$3:$M$402,$A113)&amp;"")</f>
        <v/>
      </c>
      <c r="L113" s="23">
        <f>IF($C113="","",INDEX(인턴근무계획!$N$3:$N$402,$A113)&amp;"")</f>
        <v/>
      </c>
      <c r="M113" s="23">
        <f>IF($C113="","",INDEX(인턴근무계획!$O$3:$O$402,$A113)&amp;"")</f>
        <v/>
      </c>
      <c r="N113" s="23">
        <f>IF($C113="","",INDEX(인턴근무계획!$P$3:$P$402,$A113)&amp;"")</f>
        <v/>
      </c>
      <c r="O113" s="23">
        <f>IF($C113="","",INDEX(인턴근무계획!$Q$3:$Q$402,$A113)&amp;"")</f>
        <v/>
      </c>
      <c r="P113" s="23">
        <f>IF($C113="","",INDEX(인턴근무계획!$R$3:$R$402,$A113)&amp;"")</f>
        <v/>
      </c>
      <c r="Q113" s="23">
        <f>IF($C113="","",INDEX(인턴근무계획!$T$3:$T$402,$A113))</f>
        <v/>
      </c>
    </row>
    <row r="114">
      <c r="A114" s="26" t="n">
        <v>109</v>
      </c>
      <c r="B114" s="23">
        <f>IF($C114="","",INDEX(인턴근무계획!$B$3:$B$402,$A114))</f>
        <v/>
      </c>
      <c r="C114" s="23">
        <f>IFERROR(TRIM(INDEX(인턴근무계획!$C$3:$C$402,$A114)&amp;""),"")</f>
        <v/>
      </c>
      <c r="D114" s="23">
        <f>IF($C114="","",INDEX(인턴근무계획!$D$3:$D$402,$A114))</f>
        <v/>
      </c>
      <c r="E114" s="23">
        <f>IF($C114="","",IF(IFERROR(MATCH($D114,기본자료!$B$2:$B$1001,0),IFERROR(MATCH($D114&amp;"",기본자료!$B$2:$B$1001,0),IFERROR(MATCH(VALUE($D114),기본자료!$B$2:$B$1001,0),0)))&gt;0,"확인","미등록"))</f>
        <v/>
      </c>
      <c r="F114" s="27">
        <f>IF($C114="","",INDEX(인턴근무계획!$S$3:$S$402,$A114))</f>
        <v/>
      </c>
      <c r="G114" s="23">
        <f>IF(OR($C114="",$G$3=""),"",IF(INDEX(인턴근무계획!$M$3:$R$402,$A114,$G$3)&amp;""="","",IF(LEFT(INDEX(인턴근무계획!$M$3:$R$402,$A114,$G$3)&amp;"",1)="⚠",INDEX(인턴근무계획!$M$3:$R$402,$A114,$G$3)&amp;"",LEFT(INDEX(인턴근무계획!$M$3:$R$402,$A114,$G$3)&amp;"",FIND(" ",INDEX(인턴근무계획!$M$3:$R$402,$A114,$G$3)&amp;"")-1))))</f>
        <v/>
      </c>
      <c r="H114" s="23">
        <f>IF(OR($C114="",$G$3=""),"",IF(INDEX(인턴근무계획!$M$3:$R$402,$A114,$G$3)&amp;""="","",IF(LEFT(INDEX(인턴근무계획!$M$3:$R$402,$A114,$G$3)&amp;"",1)="⚠","",MID(INDEX(인턴근무계획!$M$3:$R$402,$A114,$G$3)&amp;"",FIND(" ",INDEX(인턴근무계획!$M$3:$R$402,$A114,$G$3)&amp;"")+1,60))))</f>
        <v/>
      </c>
      <c r="I114" s="23">
        <f>IF(OR($C114="",$I$3=""),"",IF(INDEX(인턴근무계획!$M$3:$R$402,$A114,$I$3)&amp;""="","",IF(LEFT(INDEX(인턴근무계획!$M$3:$R$402,$A114,$I$3)&amp;"",1)="⚠",INDEX(인턴근무계획!$M$3:$R$402,$A114,$I$3)&amp;"",LEFT(INDEX(인턴근무계획!$M$3:$R$402,$A114,$I$3)&amp;"",FIND(" ",INDEX(인턴근무계획!$M$3:$R$402,$A114,$I$3)&amp;"")-1))))</f>
        <v/>
      </c>
      <c r="J114" s="23">
        <f>IF(OR($C114="",$I$3=""),"",IF(INDEX(인턴근무계획!$M$3:$R$402,$A114,$I$3)&amp;""="","",IF(LEFT(INDEX(인턴근무계획!$M$3:$R$402,$A114,$I$3)&amp;"",1)="⚠","",MID(INDEX(인턴근무계획!$M$3:$R$402,$A114,$I$3)&amp;"",FIND(" ",INDEX(인턴근무계획!$M$3:$R$402,$A114,$I$3)&amp;"")+1,60))))</f>
        <v/>
      </c>
      <c r="K114" s="23">
        <f>IF($C114="","",INDEX(인턴근무계획!$M$3:$M$402,$A114)&amp;"")</f>
        <v/>
      </c>
      <c r="L114" s="23">
        <f>IF($C114="","",INDEX(인턴근무계획!$N$3:$N$402,$A114)&amp;"")</f>
        <v/>
      </c>
      <c r="M114" s="23">
        <f>IF($C114="","",INDEX(인턴근무계획!$O$3:$O$402,$A114)&amp;"")</f>
        <v/>
      </c>
      <c r="N114" s="23">
        <f>IF($C114="","",INDEX(인턴근무계획!$P$3:$P$402,$A114)&amp;"")</f>
        <v/>
      </c>
      <c r="O114" s="23">
        <f>IF($C114="","",INDEX(인턴근무계획!$Q$3:$Q$402,$A114)&amp;"")</f>
        <v/>
      </c>
      <c r="P114" s="23">
        <f>IF($C114="","",INDEX(인턴근무계획!$R$3:$R$402,$A114)&amp;"")</f>
        <v/>
      </c>
      <c r="Q114" s="23">
        <f>IF($C114="","",INDEX(인턴근무계획!$T$3:$T$402,$A114))</f>
        <v/>
      </c>
    </row>
    <row r="115">
      <c r="A115" s="26" t="n">
        <v>110</v>
      </c>
      <c r="B115" s="23">
        <f>IF($C115="","",INDEX(인턴근무계획!$B$3:$B$402,$A115))</f>
        <v/>
      </c>
      <c r="C115" s="23">
        <f>IFERROR(TRIM(INDEX(인턴근무계획!$C$3:$C$402,$A115)&amp;""),"")</f>
        <v/>
      </c>
      <c r="D115" s="23">
        <f>IF($C115="","",INDEX(인턴근무계획!$D$3:$D$402,$A115))</f>
        <v/>
      </c>
      <c r="E115" s="23">
        <f>IF($C115="","",IF(IFERROR(MATCH($D115,기본자료!$B$2:$B$1001,0),IFERROR(MATCH($D115&amp;"",기본자료!$B$2:$B$1001,0),IFERROR(MATCH(VALUE($D115),기본자료!$B$2:$B$1001,0),0)))&gt;0,"확인","미등록"))</f>
        <v/>
      </c>
      <c r="F115" s="27">
        <f>IF($C115="","",INDEX(인턴근무계획!$S$3:$S$402,$A115))</f>
        <v/>
      </c>
      <c r="G115" s="23">
        <f>IF(OR($C115="",$G$3=""),"",IF(INDEX(인턴근무계획!$M$3:$R$402,$A115,$G$3)&amp;""="","",IF(LEFT(INDEX(인턴근무계획!$M$3:$R$402,$A115,$G$3)&amp;"",1)="⚠",INDEX(인턴근무계획!$M$3:$R$402,$A115,$G$3)&amp;"",LEFT(INDEX(인턴근무계획!$M$3:$R$402,$A115,$G$3)&amp;"",FIND(" ",INDEX(인턴근무계획!$M$3:$R$402,$A115,$G$3)&amp;"")-1))))</f>
        <v/>
      </c>
      <c r="H115" s="23">
        <f>IF(OR($C115="",$G$3=""),"",IF(INDEX(인턴근무계획!$M$3:$R$402,$A115,$G$3)&amp;""="","",IF(LEFT(INDEX(인턴근무계획!$M$3:$R$402,$A115,$G$3)&amp;"",1)="⚠","",MID(INDEX(인턴근무계획!$M$3:$R$402,$A115,$G$3)&amp;"",FIND(" ",INDEX(인턴근무계획!$M$3:$R$402,$A115,$G$3)&amp;"")+1,60))))</f>
        <v/>
      </c>
      <c r="I115" s="23">
        <f>IF(OR($C115="",$I$3=""),"",IF(INDEX(인턴근무계획!$M$3:$R$402,$A115,$I$3)&amp;""="","",IF(LEFT(INDEX(인턴근무계획!$M$3:$R$402,$A115,$I$3)&amp;"",1)="⚠",INDEX(인턴근무계획!$M$3:$R$402,$A115,$I$3)&amp;"",LEFT(INDEX(인턴근무계획!$M$3:$R$402,$A115,$I$3)&amp;"",FIND(" ",INDEX(인턴근무계획!$M$3:$R$402,$A115,$I$3)&amp;"")-1))))</f>
        <v/>
      </c>
      <c r="J115" s="23">
        <f>IF(OR($C115="",$I$3=""),"",IF(INDEX(인턴근무계획!$M$3:$R$402,$A115,$I$3)&amp;""="","",IF(LEFT(INDEX(인턴근무계획!$M$3:$R$402,$A115,$I$3)&amp;"",1)="⚠","",MID(INDEX(인턴근무계획!$M$3:$R$402,$A115,$I$3)&amp;"",FIND(" ",INDEX(인턴근무계획!$M$3:$R$402,$A115,$I$3)&amp;"")+1,60))))</f>
        <v/>
      </c>
      <c r="K115" s="23">
        <f>IF($C115="","",INDEX(인턴근무계획!$M$3:$M$402,$A115)&amp;"")</f>
        <v/>
      </c>
      <c r="L115" s="23">
        <f>IF($C115="","",INDEX(인턴근무계획!$N$3:$N$402,$A115)&amp;"")</f>
        <v/>
      </c>
      <c r="M115" s="23">
        <f>IF($C115="","",INDEX(인턴근무계획!$O$3:$O$402,$A115)&amp;"")</f>
        <v/>
      </c>
      <c r="N115" s="23">
        <f>IF($C115="","",INDEX(인턴근무계획!$P$3:$P$402,$A115)&amp;"")</f>
        <v/>
      </c>
      <c r="O115" s="23">
        <f>IF($C115="","",INDEX(인턴근무계획!$Q$3:$Q$402,$A115)&amp;"")</f>
        <v/>
      </c>
      <c r="P115" s="23">
        <f>IF($C115="","",INDEX(인턴근무계획!$R$3:$R$402,$A115)&amp;"")</f>
        <v/>
      </c>
      <c r="Q115" s="23">
        <f>IF($C115="","",INDEX(인턴근무계획!$T$3:$T$402,$A115))</f>
        <v/>
      </c>
    </row>
    <row r="116">
      <c r="A116" s="26" t="n">
        <v>111</v>
      </c>
      <c r="B116" s="23">
        <f>IF($C116="","",INDEX(인턴근무계획!$B$3:$B$402,$A116))</f>
        <v/>
      </c>
      <c r="C116" s="23">
        <f>IFERROR(TRIM(INDEX(인턴근무계획!$C$3:$C$402,$A116)&amp;""),"")</f>
        <v/>
      </c>
      <c r="D116" s="23">
        <f>IF($C116="","",INDEX(인턴근무계획!$D$3:$D$402,$A116))</f>
        <v/>
      </c>
      <c r="E116" s="23">
        <f>IF($C116="","",IF(IFERROR(MATCH($D116,기본자료!$B$2:$B$1001,0),IFERROR(MATCH($D116&amp;"",기본자료!$B$2:$B$1001,0),IFERROR(MATCH(VALUE($D116),기본자료!$B$2:$B$1001,0),0)))&gt;0,"확인","미등록"))</f>
        <v/>
      </c>
      <c r="F116" s="27">
        <f>IF($C116="","",INDEX(인턴근무계획!$S$3:$S$402,$A116))</f>
        <v/>
      </c>
      <c r="G116" s="23">
        <f>IF(OR($C116="",$G$3=""),"",IF(INDEX(인턴근무계획!$M$3:$R$402,$A116,$G$3)&amp;""="","",IF(LEFT(INDEX(인턴근무계획!$M$3:$R$402,$A116,$G$3)&amp;"",1)="⚠",INDEX(인턴근무계획!$M$3:$R$402,$A116,$G$3)&amp;"",LEFT(INDEX(인턴근무계획!$M$3:$R$402,$A116,$G$3)&amp;"",FIND(" ",INDEX(인턴근무계획!$M$3:$R$402,$A116,$G$3)&amp;"")-1))))</f>
        <v/>
      </c>
      <c r="H116" s="23">
        <f>IF(OR($C116="",$G$3=""),"",IF(INDEX(인턴근무계획!$M$3:$R$402,$A116,$G$3)&amp;""="","",IF(LEFT(INDEX(인턴근무계획!$M$3:$R$402,$A116,$G$3)&amp;"",1)="⚠","",MID(INDEX(인턴근무계획!$M$3:$R$402,$A116,$G$3)&amp;"",FIND(" ",INDEX(인턴근무계획!$M$3:$R$402,$A116,$G$3)&amp;"")+1,60))))</f>
        <v/>
      </c>
      <c r="I116" s="23">
        <f>IF(OR($C116="",$I$3=""),"",IF(INDEX(인턴근무계획!$M$3:$R$402,$A116,$I$3)&amp;""="","",IF(LEFT(INDEX(인턴근무계획!$M$3:$R$402,$A116,$I$3)&amp;"",1)="⚠",INDEX(인턴근무계획!$M$3:$R$402,$A116,$I$3)&amp;"",LEFT(INDEX(인턴근무계획!$M$3:$R$402,$A116,$I$3)&amp;"",FIND(" ",INDEX(인턴근무계획!$M$3:$R$402,$A116,$I$3)&amp;"")-1))))</f>
        <v/>
      </c>
      <c r="J116" s="23">
        <f>IF(OR($C116="",$I$3=""),"",IF(INDEX(인턴근무계획!$M$3:$R$402,$A116,$I$3)&amp;""="","",IF(LEFT(INDEX(인턴근무계획!$M$3:$R$402,$A116,$I$3)&amp;"",1)="⚠","",MID(INDEX(인턴근무계획!$M$3:$R$402,$A116,$I$3)&amp;"",FIND(" ",INDEX(인턴근무계획!$M$3:$R$402,$A116,$I$3)&amp;"")+1,60))))</f>
        <v/>
      </c>
      <c r="K116" s="23">
        <f>IF($C116="","",INDEX(인턴근무계획!$M$3:$M$402,$A116)&amp;"")</f>
        <v/>
      </c>
      <c r="L116" s="23">
        <f>IF($C116="","",INDEX(인턴근무계획!$N$3:$N$402,$A116)&amp;"")</f>
        <v/>
      </c>
      <c r="M116" s="23">
        <f>IF($C116="","",INDEX(인턴근무계획!$O$3:$O$402,$A116)&amp;"")</f>
        <v/>
      </c>
      <c r="N116" s="23">
        <f>IF($C116="","",INDEX(인턴근무계획!$P$3:$P$402,$A116)&amp;"")</f>
        <v/>
      </c>
      <c r="O116" s="23">
        <f>IF($C116="","",INDEX(인턴근무계획!$Q$3:$Q$402,$A116)&amp;"")</f>
        <v/>
      </c>
      <c r="P116" s="23">
        <f>IF($C116="","",INDEX(인턴근무계획!$R$3:$R$402,$A116)&amp;"")</f>
        <v/>
      </c>
      <c r="Q116" s="23">
        <f>IF($C116="","",INDEX(인턴근무계획!$T$3:$T$402,$A116))</f>
        <v/>
      </c>
    </row>
    <row r="117">
      <c r="A117" s="26" t="n">
        <v>112</v>
      </c>
      <c r="B117" s="23">
        <f>IF($C117="","",INDEX(인턴근무계획!$B$3:$B$402,$A117))</f>
        <v/>
      </c>
      <c r="C117" s="23">
        <f>IFERROR(TRIM(INDEX(인턴근무계획!$C$3:$C$402,$A117)&amp;""),"")</f>
        <v/>
      </c>
      <c r="D117" s="23">
        <f>IF($C117="","",INDEX(인턴근무계획!$D$3:$D$402,$A117))</f>
        <v/>
      </c>
      <c r="E117" s="23">
        <f>IF($C117="","",IF(IFERROR(MATCH($D117,기본자료!$B$2:$B$1001,0),IFERROR(MATCH($D117&amp;"",기본자료!$B$2:$B$1001,0),IFERROR(MATCH(VALUE($D117),기본자료!$B$2:$B$1001,0),0)))&gt;0,"확인","미등록"))</f>
        <v/>
      </c>
      <c r="F117" s="27">
        <f>IF($C117="","",INDEX(인턴근무계획!$S$3:$S$402,$A117))</f>
        <v/>
      </c>
      <c r="G117" s="23">
        <f>IF(OR($C117="",$G$3=""),"",IF(INDEX(인턴근무계획!$M$3:$R$402,$A117,$G$3)&amp;""="","",IF(LEFT(INDEX(인턴근무계획!$M$3:$R$402,$A117,$G$3)&amp;"",1)="⚠",INDEX(인턴근무계획!$M$3:$R$402,$A117,$G$3)&amp;"",LEFT(INDEX(인턴근무계획!$M$3:$R$402,$A117,$G$3)&amp;"",FIND(" ",INDEX(인턴근무계획!$M$3:$R$402,$A117,$G$3)&amp;"")-1))))</f>
        <v/>
      </c>
      <c r="H117" s="23">
        <f>IF(OR($C117="",$G$3=""),"",IF(INDEX(인턴근무계획!$M$3:$R$402,$A117,$G$3)&amp;""="","",IF(LEFT(INDEX(인턴근무계획!$M$3:$R$402,$A117,$G$3)&amp;"",1)="⚠","",MID(INDEX(인턴근무계획!$M$3:$R$402,$A117,$G$3)&amp;"",FIND(" ",INDEX(인턴근무계획!$M$3:$R$402,$A117,$G$3)&amp;"")+1,60))))</f>
        <v/>
      </c>
      <c r="I117" s="23">
        <f>IF(OR($C117="",$I$3=""),"",IF(INDEX(인턴근무계획!$M$3:$R$402,$A117,$I$3)&amp;""="","",IF(LEFT(INDEX(인턴근무계획!$M$3:$R$402,$A117,$I$3)&amp;"",1)="⚠",INDEX(인턴근무계획!$M$3:$R$402,$A117,$I$3)&amp;"",LEFT(INDEX(인턴근무계획!$M$3:$R$402,$A117,$I$3)&amp;"",FIND(" ",INDEX(인턴근무계획!$M$3:$R$402,$A117,$I$3)&amp;"")-1))))</f>
        <v/>
      </c>
      <c r="J117" s="23">
        <f>IF(OR($C117="",$I$3=""),"",IF(INDEX(인턴근무계획!$M$3:$R$402,$A117,$I$3)&amp;""="","",IF(LEFT(INDEX(인턴근무계획!$M$3:$R$402,$A117,$I$3)&amp;"",1)="⚠","",MID(INDEX(인턴근무계획!$M$3:$R$402,$A117,$I$3)&amp;"",FIND(" ",INDEX(인턴근무계획!$M$3:$R$402,$A117,$I$3)&amp;"")+1,60))))</f>
        <v/>
      </c>
      <c r="K117" s="23">
        <f>IF($C117="","",INDEX(인턴근무계획!$M$3:$M$402,$A117)&amp;"")</f>
        <v/>
      </c>
      <c r="L117" s="23">
        <f>IF($C117="","",INDEX(인턴근무계획!$N$3:$N$402,$A117)&amp;"")</f>
        <v/>
      </c>
      <c r="M117" s="23">
        <f>IF($C117="","",INDEX(인턴근무계획!$O$3:$O$402,$A117)&amp;"")</f>
        <v/>
      </c>
      <c r="N117" s="23">
        <f>IF($C117="","",INDEX(인턴근무계획!$P$3:$P$402,$A117)&amp;"")</f>
        <v/>
      </c>
      <c r="O117" s="23">
        <f>IF($C117="","",INDEX(인턴근무계획!$Q$3:$Q$402,$A117)&amp;"")</f>
        <v/>
      </c>
      <c r="P117" s="23">
        <f>IF($C117="","",INDEX(인턴근무계획!$R$3:$R$402,$A117)&amp;"")</f>
        <v/>
      </c>
      <c r="Q117" s="23">
        <f>IF($C117="","",INDEX(인턴근무계획!$T$3:$T$402,$A117))</f>
        <v/>
      </c>
    </row>
    <row r="118">
      <c r="A118" s="26" t="n">
        <v>113</v>
      </c>
      <c r="B118" s="23">
        <f>IF($C118="","",INDEX(인턴근무계획!$B$3:$B$402,$A118))</f>
        <v/>
      </c>
      <c r="C118" s="23">
        <f>IFERROR(TRIM(INDEX(인턴근무계획!$C$3:$C$402,$A118)&amp;""),"")</f>
        <v/>
      </c>
      <c r="D118" s="23">
        <f>IF($C118="","",INDEX(인턴근무계획!$D$3:$D$402,$A118))</f>
        <v/>
      </c>
      <c r="E118" s="23">
        <f>IF($C118="","",IF(IFERROR(MATCH($D118,기본자료!$B$2:$B$1001,0),IFERROR(MATCH($D118&amp;"",기본자료!$B$2:$B$1001,0),IFERROR(MATCH(VALUE($D118),기본자료!$B$2:$B$1001,0),0)))&gt;0,"확인","미등록"))</f>
        <v/>
      </c>
      <c r="F118" s="27">
        <f>IF($C118="","",INDEX(인턴근무계획!$S$3:$S$402,$A118))</f>
        <v/>
      </c>
      <c r="G118" s="23">
        <f>IF(OR($C118="",$G$3=""),"",IF(INDEX(인턴근무계획!$M$3:$R$402,$A118,$G$3)&amp;""="","",IF(LEFT(INDEX(인턴근무계획!$M$3:$R$402,$A118,$G$3)&amp;"",1)="⚠",INDEX(인턴근무계획!$M$3:$R$402,$A118,$G$3)&amp;"",LEFT(INDEX(인턴근무계획!$M$3:$R$402,$A118,$G$3)&amp;"",FIND(" ",INDEX(인턴근무계획!$M$3:$R$402,$A118,$G$3)&amp;"")-1))))</f>
        <v/>
      </c>
      <c r="H118" s="23">
        <f>IF(OR($C118="",$G$3=""),"",IF(INDEX(인턴근무계획!$M$3:$R$402,$A118,$G$3)&amp;""="","",IF(LEFT(INDEX(인턴근무계획!$M$3:$R$402,$A118,$G$3)&amp;"",1)="⚠","",MID(INDEX(인턴근무계획!$M$3:$R$402,$A118,$G$3)&amp;"",FIND(" ",INDEX(인턴근무계획!$M$3:$R$402,$A118,$G$3)&amp;"")+1,60))))</f>
        <v/>
      </c>
      <c r="I118" s="23">
        <f>IF(OR($C118="",$I$3=""),"",IF(INDEX(인턴근무계획!$M$3:$R$402,$A118,$I$3)&amp;""="","",IF(LEFT(INDEX(인턴근무계획!$M$3:$R$402,$A118,$I$3)&amp;"",1)="⚠",INDEX(인턴근무계획!$M$3:$R$402,$A118,$I$3)&amp;"",LEFT(INDEX(인턴근무계획!$M$3:$R$402,$A118,$I$3)&amp;"",FIND(" ",INDEX(인턴근무계획!$M$3:$R$402,$A118,$I$3)&amp;"")-1))))</f>
        <v/>
      </c>
      <c r="J118" s="23">
        <f>IF(OR($C118="",$I$3=""),"",IF(INDEX(인턴근무계획!$M$3:$R$402,$A118,$I$3)&amp;""="","",IF(LEFT(INDEX(인턴근무계획!$M$3:$R$402,$A118,$I$3)&amp;"",1)="⚠","",MID(INDEX(인턴근무계획!$M$3:$R$402,$A118,$I$3)&amp;"",FIND(" ",INDEX(인턴근무계획!$M$3:$R$402,$A118,$I$3)&amp;"")+1,60))))</f>
        <v/>
      </c>
      <c r="K118" s="23">
        <f>IF($C118="","",INDEX(인턴근무계획!$M$3:$M$402,$A118)&amp;"")</f>
        <v/>
      </c>
      <c r="L118" s="23">
        <f>IF($C118="","",INDEX(인턴근무계획!$N$3:$N$402,$A118)&amp;"")</f>
        <v/>
      </c>
      <c r="M118" s="23">
        <f>IF($C118="","",INDEX(인턴근무계획!$O$3:$O$402,$A118)&amp;"")</f>
        <v/>
      </c>
      <c r="N118" s="23">
        <f>IF($C118="","",INDEX(인턴근무계획!$P$3:$P$402,$A118)&amp;"")</f>
        <v/>
      </c>
      <c r="O118" s="23">
        <f>IF($C118="","",INDEX(인턴근무계획!$Q$3:$Q$402,$A118)&amp;"")</f>
        <v/>
      </c>
      <c r="P118" s="23">
        <f>IF($C118="","",INDEX(인턴근무계획!$R$3:$R$402,$A118)&amp;"")</f>
        <v/>
      </c>
      <c r="Q118" s="23">
        <f>IF($C118="","",INDEX(인턴근무계획!$T$3:$T$402,$A118))</f>
        <v/>
      </c>
    </row>
    <row r="119">
      <c r="A119" s="26" t="n">
        <v>114</v>
      </c>
      <c r="B119" s="23">
        <f>IF($C119="","",INDEX(인턴근무계획!$B$3:$B$402,$A119))</f>
        <v/>
      </c>
      <c r="C119" s="23">
        <f>IFERROR(TRIM(INDEX(인턴근무계획!$C$3:$C$402,$A119)&amp;""),"")</f>
        <v/>
      </c>
      <c r="D119" s="23">
        <f>IF($C119="","",INDEX(인턴근무계획!$D$3:$D$402,$A119))</f>
        <v/>
      </c>
      <c r="E119" s="23">
        <f>IF($C119="","",IF(IFERROR(MATCH($D119,기본자료!$B$2:$B$1001,0),IFERROR(MATCH($D119&amp;"",기본자료!$B$2:$B$1001,0),IFERROR(MATCH(VALUE($D119),기본자료!$B$2:$B$1001,0),0)))&gt;0,"확인","미등록"))</f>
        <v/>
      </c>
      <c r="F119" s="27">
        <f>IF($C119="","",INDEX(인턴근무계획!$S$3:$S$402,$A119))</f>
        <v/>
      </c>
      <c r="G119" s="23">
        <f>IF(OR($C119="",$G$3=""),"",IF(INDEX(인턴근무계획!$M$3:$R$402,$A119,$G$3)&amp;""="","",IF(LEFT(INDEX(인턴근무계획!$M$3:$R$402,$A119,$G$3)&amp;"",1)="⚠",INDEX(인턴근무계획!$M$3:$R$402,$A119,$G$3)&amp;"",LEFT(INDEX(인턴근무계획!$M$3:$R$402,$A119,$G$3)&amp;"",FIND(" ",INDEX(인턴근무계획!$M$3:$R$402,$A119,$G$3)&amp;"")-1))))</f>
        <v/>
      </c>
      <c r="H119" s="23">
        <f>IF(OR($C119="",$G$3=""),"",IF(INDEX(인턴근무계획!$M$3:$R$402,$A119,$G$3)&amp;""="","",IF(LEFT(INDEX(인턴근무계획!$M$3:$R$402,$A119,$G$3)&amp;"",1)="⚠","",MID(INDEX(인턴근무계획!$M$3:$R$402,$A119,$G$3)&amp;"",FIND(" ",INDEX(인턴근무계획!$M$3:$R$402,$A119,$G$3)&amp;"")+1,60))))</f>
        <v/>
      </c>
      <c r="I119" s="23">
        <f>IF(OR($C119="",$I$3=""),"",IF(INDEX(인턴근무계획!$M$3:$R$402,$A119,$I$3)&amp;""="","",IF(LEFT(INDEX(인턴근무계획!$M$3:$R$402,$A119,$I$3)&amp;"",1)="⚠",INDEX(인턴근무계획!$M$3:$R$402,$A119,$I$3)&amp;"",LEFT(INDEX(인턴근무계획!$M$3:$R$402,$A119,$I$3)&amp;"",FIND(" ",INDEX(인턴근무계획!$M$3:$R$402,$A119,$I$3)&amp;"")-1))))</f>
        <v/>
      </c>
      <c r="J119" s="23">
        <f>IF(OR($C119="",$I$3=""),"",IF(INDEX(인턴근무계획!$M$3:$R$402,$A119,$I$3)&amp;""="","",IF(LEFT(INDEX(인턴근무계획!$M$3:$R$402,$A119,$I$3)&amp;"",1)="⚠","",MID(INDEX(인턴근무계획!$M$3:$R$402,$A119,$I$3)&amp;"",FIND(" ",INDEX(인턴근무계획!$M$3:$R$402,$A119,$I$3)&amp;"")+1,60))))</f>
        <v/>
      </c>
      <c r="K119" s="23">
        <f>IF($C119="","",INDEX(인턴근무계획!$M$3:$M$402,$A119)&amp;"")</f>
        <v/>
      </c>
      <c r="L119" s="23">
        <f>IF($C119="","",INDEX(인턴근무계획!$N$3:$N$402,$A119)&amp;"")</f>
        <v/>
      </c>
      <c r="M119" s="23">
        <f>IF($C119="","",INDEX(인턴근무계획!$O$3:$O$402,$A119)&amp;"")</f>
        <v/>
      </c>
      <c r="N119" s="23">
        <f>IF($C119="","",INDEX(인턴근무계획!$P$3:$P$402,$A119)&amp;"")</f>
        <v/>
      </c>
      <c r="O119" s="23">
        <f>IF($C119="","",INDEX(인턴근무계획!$Q$3:$Q$402,$A119)&amp;"")</f>
        <v/>
      </c>
      <c r="P119" s="23">
        <f>IF($C119="","",INDEX(인턴근무계획!$R$3:$R$402,$A119)&amp;"")</f>
        <v/>
      </c>
      <c r="Q119" s="23">
        <f>IF($C119="","",INDEX(인턴근무계획!$T$3:$T$402,$A119))</f>
        <v/>
      </c>
    </row>
    <row r="120">
      <c r="A120" s="26" t="n">
        <v>115</v>
      </c>
      <c r="B120" s="23">
        <f>IF($C120="","",INDEX(인턴근무계획!$B$3:$B$402,$A120))</f>
        <v/>
      </c>
      <c r="C120" s="23">
        <f>IFERROR(TRIM(INDEX(인턴근무계획!$C$3:$C$402,$A120)&amp;""),"")</f>
        <v/>
      </c>
      <c r="D120" s="23">
        <f>IF($C120="","",INDEX(인턴근무계획!$D$3:$D$402,$A120))</f>
        <v/>
      </c>
      <c r="E120" s="23">
        <f>IF($C120="","",IF(IFERROR(MATCH($D120,기본자료!$B$2:$B$1001,0),IFERROR(MATCH($D120&amp;"",기본자료!$B$2:$B$1001,0),IFERROR(MATCH(VALUE($D120),기본자료!$B$2:$B$1001,0),0)))&gt;0,"확인","미등록"))</f>
        <v/>
      </c>
      <c r="F120" s="27">
        <f>IF($C120="","",INDEX(인턴근무계획!$S$3:$S$402,$A120))</f>
        <v/>
      </c>
      <c r="G120" s="23">
        <f>IF(OR($C120="",$G$3=""),"",IF(INDEX(인턴근무계획!$M$3:$R$402,$A120,$G$3)&amp;""="","",IF(LEFT(INDEX(인턴근무계획!$M$3:$R$402,$A120,$G$3)&amp;"",1)="⚠",INDEX(인턴근무계획!$M$3:$R$402,$A120,$G$3)&amp;"",LEFT(INDEX(인턴근무계획!$M$3:$R$402,$A120,$G$3)&amp;"",FIND(" ",INDEX(인턴근무계획!$M$3:$R$402,$A120,$G$3)&amp;"")-1))))</f>
        <v/>
      </c>
      <c r="H120" s="23">
        <f>IF(OR($C120="",$G$3=""),"",IF(INDEX(인턴근무계획!$M$3:$R$402,$A120,$G$3)&amp;""="","",IF(LEFT(INDEX(인턴근무계획!$M$3:$R$402,$A120,$G$3)&amp;"",1)="⚠","",MID(INDEX(인턴근무계획!$M$3:$R$402,$A120,$G$3)&amp;"",FIND(" ",INDEX(인턴근무계획!$M$3:$R$402,$A120,$G$3)&amp;"")+1,60))))</f>
        <v/>
      </c>
      <c r="I120" s="23">
        <f>IF(OR($C120="",$I$3=""),"",IF(INDEX(인턴근무계획!$M$3:$R$402,$A120,$I$3)&amp;""="","",IF(LEFT(INDEX(인턴근무계획!$M$3:$R$402,$A120,$I$3)&amp;"",1)="⚠",INDEX(인턴근무계획!$M$3:$R$402,$A120,$I$3)&amp;"",LEFT(INDEX(인턴근무계획!$M$3:$R$402,$A120,$I$3)&amp;"",FIND(" ",INDEX(인턴근무계획!$M$3:$R$402,$A120,$I$3)&amp;"")-1))))</f>
        <v/>
      </c>
      <c r="J120" s="23">
        <f>IF(OR($C120="",$I$3=""),"",IF(INDEX(인턴근무계획!$M$3:$R$402,$A120,$I$3)&amp;""="","",IF(LEFT(INDEX(인턴근무계획!$M$3:$R$402,$A120,$I$3)&amp;"",1)="⚠","",MID(INDEX(인턴근무계획!$M$3:$R$402,$A120,$I$3)&amp;"",FIND(" ",INDEX(인턴근무계획!$M$3:$R$402,$A120,$I$3)&amp;"")+1,60))))</f>
        <v/>
      </c>
      <c r="K120" s="23">
        <f>IF($C120="","",INDEX(인턴근무계획!$M$3:$M$402,$A120)&amp;"")</f>
        <v/>
      </c>
      <c r="L120" s="23">
        <f>IF($C120="","",INDEX(인턴근무계획!$N$3:$N$402,$A120)&amp;"")</f>
        <v/>
      </c>
      <c r="M120" s="23">
        <f>IF($C120="","",INDEX(인턴근무계획!$O$3:$O$402,$A120)&amp;"")</f>
        <v/>
      </c>
      <c r="N120" s="23">
        <f>IF($C120="","",INDEX(인턴근무계획!$P$3:$P$402,$A120)&amp;"")</f>
        <v/>
      </c>
      <c r="O120" s="23">
        <f>IF($C120="","",INDEX(인턴근무계획!$Q$3:$Q$402,$A120)&amp;"")</f>
        <v/>
      </c>
      <c r="P120" s="23">
        <f>IF($C120="","",INDEX(인턴근무계획!$R$3:$R$402,$A120)&amp;"")</f>
        <v/>
      </c>
      <c r="Q120" s="23">
        <f>IF($C120="","",INDEX(인턴근무계획!$T$3:$T$402,$A120))</f>
        <v/>
      </c>
    </row>
    <row r="121">
      <c r="A121" s="26" t="n">
        <v>116</v>
      </c>
      <c r="B121" s="23">
        <f>IF($C121="","",INDEX(인턴근무계획!$B$3:$B$402,$A121))</f>
        <v/>
      </c>
      <c r="C121" s="23">
        <f>IFERROR(TRIM(INDEX(인턴근무계획!$C$3:$C$402,$A121)&amp;""),"")</f>
        <v/>
      </c>
      <c r="D121" s="23">
        <f>IF($C121="","",INDEX(인턴근무계획!$D$3:$D$402,$A121))</f>
        <v/>
      </c>
      <c r="E121" s="23">
        <f>IF($C121="","",IF(IFERROR(MATCH($D121,기본자료!$B$2:$B$1001,0),IFERROR(MATCH($D121&amp;"",기본자료!$B$2:$B$1001,0),IFERROR(MATCH(VALUE($D121),기본자료!$B$2:$B$1001,0),0)))&gt;0,"확인","미등록"))</f>
        <v/>
      </c>
      <c r="F121" s="27">
        <f>IF($C121="","",INDEX(인턴근무계획!$S$3:$S$402,$A121))</f>
        <v/>
      </c>
      <c r="G121" s="23">
        <f>IF(OR($C121="",$G$3=""),"",IF(INDEX(인턴근무계획!$M$3:$R$402,$A121,$G$3)&amp;""="","",IF(LEFT(INDEX(인턴근무계획!$M$3:$R$402,$A121,$G$3)&amp;"",1)="⚠",INDEX(인턴근무계획!$M$3:$R$402,$A121,$G$3)&amp;"",LEFT(INDEX(인턴근무계획!$M$3:$R$402,$A121,$G$3)&amp;"",FIND(" ",INDEX(인턴근무계획!$M$3:$R$402,$A121,$G$3)&amp;"")-1))))</f>
        <v/>
      </c>
      <c r="H121" s="23">
        <f>IF(OR($C121="",$G$3=""),"",IF(INDEX(인턴근무계획!$M$3:$R$402,$A121,$G$3)&amp;""="","",IF(LEFT(INDEX(인턴근무계획!$M$3:$R$402,$A121,$G$3)&amp;"",1)="⚠","",MID(INDEX(인턴근무계획!$M$3:$R$402,$A121,$G$3)&amp;"",FIND(" ",INDEX(인턴근무계획!$M$3:$R$402,$A121,$G$3)&amp;"")+1,60))))</f>
        <v/>
      </c>
      <c r="I121" s="23">
        <f>IF(OR($C121="",$I$3=""),"",IF(INDEX(인턴근무계획!$M$3:$R$402,$A121,$I$3)&amp;""="","",IF(LEFT(INDEX(인턴근무계획!$M$3:$R$402,$A121,$I$3)&amp;"",1)="⚠",INDEX(인턴근무계획!$M$3:$R$402,$A121,$I$3)&amp;"",LEFT(INDEX(인턴근무계획!$M$3:$R$402,$A121,$I$3)&amp;"",FIND(" ",INDEX(인턴근무계획!$M$3:$R$402,$A121,$I$3)&amp;"")-1))))</f>
        <v/>
      </c>
      <c r="J121" s="23">
        <f>IF(OR($C121="",$I$3=""),"",IF(INDEX(인턴근무계획!$M$3:$R$402,$A121,$I$3)&amp;""="","",IF(LEFT(INDEX(인턴근무계획!$M$3:$R$402,$A121,$I$3)&amp;"",1)="⚠","",MID(INDEX(인턴근무계획!$M$3:$R$402,$A121,$I$3)&amp;"",FIND(" ",INDEX(인턴근무계획!$M$3:$R$402,$A121,$I$3)&amp;"")+1,60))))</f>
        <v/>
      </c>
      <c r="K121" s="23">
        <f>IF($C121="","",INDEX(인턴근무계획!$M$3:$M$402,$A121)&amp;"")</f>
        <v/>
      </c>
      <c r="L121" s="23">
        <f>IF($C121="","",INDEX(인턴근무계획!$N$3:$N$402,$A121)&amp;"")</f>
        <v/>
      </c>
      <c r="M121" s="23">
        <f>IF($C121="","",INDEX(인턴근무계획!$O$3:$O$402,$A121)&amp;"")</f>
        <v/>
      </c>
      <c r="N121" s="23">
        <f>IF($C121="","",INDEX(인턴근무계획!$P$3:$P$402,$A121)&amp;"")</f>
        <v/>
      </c>
      <c r="O121" s="23">
        <f>IF($C121="","",INDEX(인턴근무계획!$Q$3:$Q$402,$A121)&amp;"")</f>
        <v/>
      </c>
      <c r="P121" s="23">
        <f>IF($C121="","",INDEX(인턴근무계획!$R$3:$R$402,$A121)&amp;"")</f>
        <v/>
      </c>
      <c r="Q121" s="23">
        <f>IF($C121="","",INDEX(인턴근무계획!$T$3:$T$402,$A121))</f>
        <v/>
      </c>
    </row>
    <row r="122">
      <c r="A122" s="26" t="n">
        <v>117</v>
      </c>
      <c r="B122" s="23">
        <f>IF($C122="","",INDEX(인턴근무계획!$B$3:$B$402,$A122))</f>
        <v/>
      </c>
      <c r="C122" s="23">
        <f>IFERROR(TRIM(INDEX(인턴근무계획!$C$3:$C$402,$A122)&amp;""),"")</f>
        <v/>
      </c>
      <c r="D122" s="23">
        <f>IF($C122="","",INDEX(인턴근무계획!$D$3:$D$402,$A122))</f>
        <v/>
      </c>
      <c r="E122" s="23">
        <f>IF($C122="","",IF(IFERROR(MATCH($D122,기본자료!$B$2:$B$1001,0),IFERROR(MATCH($D122&amp;"",기본자료!$B$2:$B$1001,0),IFERROR(MATCH(VALUE($D122),기본자료!$B$2:$B$1001,0),0)))&gt;0,"확인","미등록"))</f>
        <v/>
      </c>
      <c r="F122" s="27">
        <f>IF($C122="","",INDEX(인턴근무계획!$S$3:$S$402,$A122))</f>
        <v/>
      </c>
      <c r="G122" s="23">
        <f>IF(OR($C122="",$G$3=""),"",IF(INDEX(인턴근무계획!$M$3:$R$402,$A122,$G$3)&amp;""="","",IF(LEFT(INDEX(인턴근무계획!$M$3:$R$402,$A122,$G$3)&amp;"",1)="⚠",INDEX(인턴근무계획!$M$3:$R$402,$A122,$G$3)&amp;"",LEFT(INDEX(인턴근무계획!$M$3:$R$402,$A122,$G$3)&amp;"",FIND(" ",INDEX(인턴근무계획!$M$3:$R$402,$A122,$G$3)&amp;"")-1))))</f>
        <v/>
      </c>
      <c r="H122" s="23">
        <f>IF(OR($C122="",$G$3=""),"",IF(INDEX(인턴근무계획!$M$3:$R$402,$A122,$G$3)&amp;""="","",IF(LEFT(INDEX(인턴근무계획!$M$3:$R$402,$A122,$G$3)&amp;"",1)="⚠","",MID(INDEX(인턴근무계획!$M$3:$R$402,$A122,$G$3)&amp;"",FIND(" ",INDEX(인턴근무계획!$M$3:$R$402,$A122,$G$3)&amp;"")+1,60))))</f>
        <v/>
      </c>
      <c r="I122" s="23">
        <f>IF(OR($C122="",$I$3=""),"",IF(INDEX(인턴근무계획!$M$3:$R$402,$A122,$I$3)&amp;""="","",IF(LEFT(INDEX(인턴근무계획!$M$3:$R$402,$A122,$I$3)&amp;"",1)="⚠",INDEX(인턴근무계획!$M$3:$R$402,$A122,$I$3)&amp;"",LEFT(INDEX(인턴근무계획!$M$3:$R$402,$A122,$I$3)&amp;"",FIND(" ",INDEX(인턴근무계획!$M$3:$R$402,$A122,$I$3)&amp;"")-1))))</f>
        <v/>
      </c>
      <c r="J122" s="23">
        <f>IF(OR($C122="",$I$3=""),"",IF(INDEX(인턴근무계획!$M$3:$R$402,$A122,$I$3)&amp;""="","",IF(LEFT(INDEX(인턴근무계획!$M$3:$R$402,$A122,$I$3)&amp;"",1)="⚠","",MID(INDEX(인턴근무계획!$M$3:$R$402,$A122,$I$3)&amp;"",FIND(" ",INDEX(인턴근무계획!$M$3:$R$402,$A122,$I$3)&amp;"")+1,60))))</f>
        <v/>
      </c>
      <c r="K122" s="23">
        <f>IF($C122="","",INDEX(인턴근무계획!$M$3:$M$402,$A122)&amp;"")</f>
        <v/>
      </c>
      <c r="L122" s="23">
        <f>IF($C122="","",INDEX(인턴근무계획!$N$3:$N$402,$A122)&amp;"")</f>
        <v/>
      </c>
      <c r="M122" s="23">
        <f>IF($C122="","",INDEX(인턴근무계획!$O$3:$O$402,$A122)&amp;"")</f>
        <v/>
      </c>
      <c r="N122" s="23">
        <f>IF($C122="","",INDEX(인턴근무계획!$P$3:$P$402,$A122)&amp;"")</f>
        <v/>
      </c>
      <c r="O122" s="23">
        <f>IF($C122="","",INDEX(인턴근무계획!$Q$3:$Q$402,$A122)&amp;"")</f>
        <v/>
      </c>
      <c r="P122" s="23">
        <f>IF($C122="","",INDEX(인턴근무계획!$R$3:$R$402,$A122)&amp;"")</f>
        <v/>
      </c>
      <c r="Q122" s="23">
        <f>IF($C122="","",INDEX(인턴근무계획!$T$3:$T$402,$A122))</f>
        <v/>
      </c>
    </row>
    <row r="123">
      <c r="A123" s="26" t="n">
        <v>118</v>
      </c>
      <c r="B123" s="23">
        <f>IF($C123="","",INDEX(인턴근무계획!$B$3:$B$402,$A123))</f>
        <v/>
      </c>
      <c r="C123" s="23">
        <f>IFERROR(TRIM(INDEX(인턴근무계획!$C$3:$C$402,$A123)&amp;""),"")</f>
        <v/>
      </c>
      <c r="D123" s="23">
        <f>IF($C123="","",INDEX(인턴근무계획!$D$3:$D$402,$A123))</f>
        <v/>
      </c>
      <c r="E123" s="23">
        <f>IF($C123="","",IF(IFERROR(MATCH($D123,기본자료!$B$2:$B$1001,0),IFERROR(MATCH($D123&amp;"",기본자료!$B$2:$B$1001,0),IFERROR(MATCH(VALUE($D123),기본자료!$B$2:$B$1001,0),0)))&gt;0,"확인","미등록"))</f>
        <v/>
      </c>
      <c r="F123" s="27">
        <f>IF($C123="","",INDEX(인턴근무계획!$S$3:$S$402,$A123))</f>
        <v/>
      </c>
      <c r="G123" s="23">
        <f>IF(OR($C123="",$G$3=""),"",IF(INDEX(인턴근무계획!$M$3:$R$402,$A123,$G$3)&amp;""="","",IF(LEFT(INDEX(인턴근무계획!$M$3:$R$402,$A123,$G$3)&amp;"",1)="⚠",INDEX(인턴근무계획!$M$3:$R$402,$A123,$G$3)&amp;"",LEFT(INDEX(인턴근무계획!$M$3:$R$402,$A123,$G$3)&amp;"",FIND(" ",INDEX(인턴근무계획!$M$3:$R$402,$A123,$G$3)&amp;"")-1))))</f>
        <v/>
      </c>
      <c r="H123" s="23">
        <f>IF(OR($C123="",$G$3=""),"",IF(INDEX(인턴근무계획!$M$3:$R$402,$A123,$G$3)&amp;""="","",IF(LEFT(INDEX(인턴근무계획!$M$3:$R$402,$A123,$G$3)&amp;"",1)="⚠","",MID(INDEX(인턴근무계획!$M$3:$R$402,$A123,$G$3)&amp;"",FIND(" ",INDEX(인턴근무계획!$M$3:$R$402,$A123,$G$3)&amp;"")+1,60))))</f>
        <v/>
      </c>
      <c r="I123" s="23">
        <f>IF(OR($C123="",$I$3=""),"",IF(INDEX(인턴근무계획!$M$3:$R$402,$A123,$I$3)&amp;""="","",IF(LEFT(INDEX(인턴근무계획!$M$3:$R$402,$A123,$I$3)&amp;"",1)="⚠",INDEX(인턴근무계획!$M$3:$R$402,$A123,$I$3)&amp;"",LEFT(INDEX(인턴근무계획!$M$3:$R$402,$A123,$I$3)&amp;"",FIND(" ",INDEX(인턴근무계획!$M$3:$R$402,$A123,$I$3)&amp;"")-1))))</f>
        <v/>
      </c>
      <c r="J123" s="23">
        <f>IF(OR($C123="",$I$3=""),"",IF(INDEX(인턴근무계획!$M$3:$R$402,$A123,$I$3)&amp;""="","",IF(LEFT(INDEX(인턴근무계획!$M$3:$R$402,$A123,$I$3)&amp;"",1)="⚠","",MID(INDEX(인턴근무계획!$M$3:$R$402,$A123,$I$3)&amp;"",FIND(" ",INDEX(인턴근무계획!$M$3:$R$402,$A123,$I$3)&amp;"")+1,60))))</f>
        <v/>
      </c>
      <c r="K123" s="23">
        <f>IF($C123="","",INDEX(인턴근무계획!$M$3:$M$402,$A123)&amp;"")</f>
        <v/>
      </c>
      <c r="L123" s="23">
        <f>IF($C123="","",INDEX(인턴근무계획!$N$3:$N$402,$A123)&amp;"")</f>
        <v/>
      </c>
      <c r="M123" s="23">
        <f>IF($C123="","",INDEX(인턴근무계획!$O$3:$O$402,$A123)&amp;"")</f>
        <v/>
      </c>
      <c r="N123" s="23">
        <f>IF($C123="","",INDEX(인턴근무계획!$P$3:$P$402,$A123)&amp;"")</f>
        <v/>
      </c>
      <c r="O123" s="23">
        <f>IF($C123="","",INDEX(인턴근무계획!$Q$3:$Q$402,$A123)&amp;"")</f>
        <v/>
      </c>
      <c r="P123" s="23">
        <f>IF($C123="","",INDEX(인턴근무계획!$R$3:$R$402,$A123)&amp;"")</f>
        <v/>
      </c>
      <c r="Q123" s="23">
        <f>IF($C123="","",INDEX(인턴근무계획!$T$3:$T$402,$A123))</f>
        <v/>
      </c>
    </row>
    <row r="124">
      <c r="A124" s="26" t="n">
        <v>119</v>
      </c>
      <c r="B124" s="23">
        <f>IF($C124="","",INDEX(인턴근무계획!$B$3:$B$402,$A124))</f>
        <v/>
      </c>
      <c r="C124" s="23">
        <f>IFERROR(TRIM(INDEX(인턴근무계획!$C$3:$C$402,$A124)&amp;""),"")</f>
        <v/>
      </c>
      <c r="D124" s="23">
        <f>IF($C124="","",INDEX(인턴근무계획!$D$3:$D$402,$A124))</f>
        <v/>
      </c>
      <c r="E124" s="23">
        <f>IF($C124="","",IF(IFERROR(MATCH($D124,기본자료!$B$2:$B$1001,0),IFERROR(MATCH($D124&amp;"",기본자료!$B$2:$B$1001,0),IFERROR(MATCH(VALUE($D124),기본자료!$B$2:$B$1001,0),0)))&gt;0,"확인","미등록"))</f>
        <v/>
      </c>
      <c r="F124" s="27">
        <f>IF($C124="","",INDEX(인턴근무계획!$S$3:$S$402,$A124))</f>
        <v/>
      </c>
      <c r="G124" s="23">
        <f>IF(OR($C124="",$G$3=""),"",IF(INDEX(인턴근무계획!$M$3:$R$402,$A124,$G$3)&amp;""="","",IF(LEFT(INDEX(인턴근무계획!$M$3:$R$402,$A124,$G$3)&amp;"",1)="⚠",INDEX(인턴근무계획!$M$3:$R$402,$A124,$G$3)&amp;"",LEFT(INDEX(인턴근무계획!$M$3:$R$402,$A124,$G$3)&amp;"",FIND(" ",INDEX(인턴근무계획!$M$3:$R$402,$A124,$G$3)&amp;"")-1))))</f>
        <v/>
      </c>
      <c r="H124" s="23">
        <f>IF(OR($C124="",$G$3=""),"",IF(INDEX(인턴근무계획!$M$3:$R$402,$A124,$G$3)&amp;""="","",IF(LEFT(INDEX(인턴근무계획!$M$3:$R$402,$A124,$G$3)&amp;"",1)="⚠","",MID(INDEX(인턴근무계획!$M$3:$R$402,$A124,$G$3)&amp;"",FIND(" ",INDEX(인턴근무계획!$M$3:$R$402,$A124,$G$3)&amp;"")+1,60))))</f>
        <v/>
      </c>
      <c r="I124" s="23">
        <f>IF(OR($C124="",$I$3=""),"",IF(INDEX(인턴근무계획!$M$3:$R$402,$A124,$I$3)&amp;""="","",IF(LEFT(INDEX(인턴근무계획!$M$3:$R$402,$A124,$I$3)&amp;"",1)="⚠",INDEX(인턴근무계획!$M$3:$R$402,$A124,$I$3)&amp;"",LEFT(INDEX(인턴근무계획!$M$3:$R$402,$A124,$I$3)&amp;"",FIND(" ",INDEX(인턴근무계획!$M$3:$R$402,$A124,$I$3)&amp;"")-1))))</f>
        <v/>
      </c>
      <c r="J124" s="23">
        <f>IF(OR($C124="",$I$3=""),"",IF(INDEX(인턴근무계획!$M$3:$R$402,$A124,$I$3)&amp;""="","",IF(LEFT(INDEX(인턴근무계획!$M$3:$R$402,$A124,$I$3)&amp;"",1)="⚠","",MID(INDEX(인턴근무계획!$M$3:$R$402,$A124,$I$3)&amp;"",FIND(" ",INDEX(인턴근무계획!$M$3:$R$402,$A124,$I$3)&amp;"")+1,60))))</f>
        <v/>
      </c>
      <c r="K124" s="23">
        <f>IF($C124="","",INDEX(인턴근무계획!$M$3:$M$402,$A124)&amp;"")</f>
        <v/>
      </c>
      <c r="L124" s="23">
        <f>IF($C124="","",INDEX(인턴근무계획!$N$3:$N$402,$A124)&amp;"")</f>
        <v/>
      </c>
      <c r="M124" s="23">
        <f>IF($C124="","",INDEX(인턴근무계획!$O$3:$O$402,$A124)&amp;"")</f>
        <v/>
      </c>
      <c r="N124" s="23">
        <f>IF($C124="","",INDEX(인턴근무계획!$P$3:$P$402,$A124)&amp;"")</f>
        <v/>
      </c>
      <c r="O124" s="23">
        <f>IF($C124="","",INDEX(인턴근무계획!$Q$3:$Q$402,$A124)&amp;"")</f>
        <v/>
      </c>
      <c r="P124" s="23">
        <f>IF($C124="","",INDEX(인턴근무계획!$R$3:$R$402,$A124)&amp;"")</f>
        <v/>
      </c>
      <c r="Q124" s="23">
        <f>IF($C124="","",INDEX(인턴근무계획!$T$3:$T$402,$A124))</f>
        <v/>
      </c>
    </row>
    <row r="125">
      <c r="A125" s="26" t="n">
        <v>120</v>
      </c>
      <c r="B125" s="23">
        <f>IF($C125="","",INDEX(인턴근무계획!$B$3:$B$402,$A125))</f>
        <v/>
      </c>
      <c r="C125" s="23">
        <f>IFERROR(TRIM(INDEX(인턴근무계획!$C$3:$C$402,$A125)&amp;""),"")</f>
        <v/>
      </c>
      <c r="D125" s="23">
        <f>IF($C125="","",INDEX(인턴근무계획!$D$3:$D$402,$A125))</f>
        <v/>
      </c>
      <c r="E125" s="23">
        <f>IF($C125="","",IF(IFERROR(MATCH($D125,기본자료!$B$2:$B$1001,0),IFERROR(MATCH($D125&amp;"",기본자료!$B$2:$B$1001,0),IFERROR(MATCH(VALUE($D125),기본자료!$B$2:$B$1001,0),0)))&gt;0,"확인","미등록"))</f>
        <v/>
      </c>
      <c r="F125" s="27">
        <f>IF($C125="","",INDEX(인턴근무계획!$S$3:$S$402,$A125))</f>
        <v/>
      </c>
      <c r="G125" s="23">
        <f>IF(OR($C125="",$G$3=""),"",IF(INDEX(인턴근무계획!$M$3:$R$402,$A125,$G$3)&amp;""="","",IF(LEFT(INDEX(인턴근무계획!$M$3:$R$402,$A125,$G$3)&amp;"",1)="⚠",INDEX(인턴근무계획!$M$3:$R$402,$A125,$G$3)&amp;"",LEFT(INDEX(인턴근무계획!$M$3:$R$402,$A125,$G$3)&amp;"",FIND(" ",INDEX(인턴근무계획!$M$3:$R$402,$A125,$G$3)&amp;"")-1))))</f>
        <v/>
      </c>
      <c r="H125" s="23">
        <f>IF(OR($C125="",$G$3=""),"",IF(INDEX(인턴근무계획!$M$3:$R$402,$A125,$G$3)&amp;""="","",IF(LEFT(INDEX(인턴근무계획!$M$3:$R$402,$A125,$G$3)&amp;"",1)="⚠","",MID(INDEX(인턴근무계획!$M$3:$R$402,$A125,$G$3)&amp;"",FIND(" ",INDEX(인턴근무계획!$M$3:$R$402,$A125,$G$3)&amp;"")+1,60))))</f>
        <v/>
      </c>
      <c r="I125" s="23">
        <f>IF(OR($C125="",$I$3=""),"",IF(INDEX(인턴근무계획!$M$3:$R$402,$A125,$I$3)&amp;""="","",IF(LEFT(INDEX(인턴근무계획!$M$3:$R$402,$A125,$I$3)&amp;"",1)="⚠",INDEX(인턴근무계획!$M$3:$R$402,$A125,$I$3)&amp;"",LEFT(INDEX(인턴근무계획!$M$3:$R$402,$A125,$I$3)&amp;"",FIND(" ",INDEX(인턴근무계획!$M$3:$R$402,$A125,$I$3)&amp;"")-1))))</f>
        <v/>
      </c>
      <c r="J125" s="23">
        <f>IF(OR($C125="",$I$3=""),"",IF(INDEX(인턴근무계획!$M$3:$R$402,$A125,$I$3)&amp;""="","",IF(LEFT(INDEX(인턴근무계획!$M$3:$R$402,$A125,$I$3)&amp;"",1)="⚠","",MID(INDEX(인턴근무계획!$M$3:$R$402,$A125,$I$3)&amp;"",FIND(" ",INDEX(인턴근무계획!$M$3:$R$402,$A125,$I$3)&amp;"")+1,60))))</f>
        <v/>
      </c>
      <c r="K125" s="23">
        <f>IF($C125="","",INDEX(인턴근무계획!$M$3:$M$402,$A125)&amp;"")</f>
        <v/>
      </c>
      <c r="L125" s="23">
        <f>IF($C125="","",INDEX(인턴근무계획!$N$3:$N$402,$A125)&amp;"")</f>
        <v/>
      </c>
      <c r="M125" s="23">
        <f>IF($C125="","",INDEX(인턴근무계획!$O$3:$O$402,$A125)&amp;"")</f>
        <v/>
      </c>
      <c r="N125" s="23">
        <f>IF($C125="","",INDEX(인턴근무계획!$P$3:$P$402,$A125)&amp;"")</f>
        <v/>
      </c>
      <c r="O125" s="23">
        <f>IF($C125="","",INDEX(인턴근무계획!$Q$3:$Q$402,$A125)&amp;"")</f>
        <v/>
      </c>
      <c r="P125" s="23">
        <f>IF($C125="","",INDEX(인턴근무계획!$R$3:$R$402,$A125)&amp;"")</f>
        <v/>
      </c>
      <c r="Q125" s="23">
        <f>IF($C125="","",INDEX(인턴근무계획!$T$3:$T$402,$A125))</f>
        <v/>
      </c>
    </row>
    <row r="126">
      <c r="A126" s="26" t="n">
        <v>121</v>
      </c>
      <c r="B126" s="23">
        <f>IF($C126="","",INDEX(인턴근무계획!$B$3:$B$402,$A126))</f>
        <v/>
      </c>
      <c r="C126" s="23">
        <f>IFERROR(TRIM(INDEX(인턴근무계획!$C$3:$C$402,$A126)&amp;""),"")</f>
        <v/>
      </c>
      <c r="D126" s="23">
        <f>IF($C126="","",INDEX(인턴근무계획!$D$3:$D$402,$A126))</f>
        <v/>
      </c>
      <c r="E126" s="23">
        <f>IF($C126="","",IF(IFERROR(MATCH($D126,기본자료!$B$2:$B$1001,0),IFERROR(MATCH($D126&amp;"",기본자료!$B$2:$B$1001,0),IFERROR(MATCH(VALUE($D126),기본자료!$B$2:$B$1001,0),0)))&gt;0,"확인","미등록"))</f>
        <v/>
      </c>
      <c r="F126" s="27">
        <f>IF($C126="","",INDEX(인턴근무계획!$S$3:$S$402,$A126))</f>
        <v/>
      </c>
      <c r="G126" s="23">
        <f>IF(OR($C126="",$G$3=""),"",IF(INDEX(인턴근무계획!$M$3:$R$402,$A126,$G$3)&amp;""="","",IF(LEFT(INDEX(인턴근무계획!$M$3:$R$402,$A126,$G$3)&amp;"",1)="⚠",INDEX(인턴근무계획!$M$3:$R$402,$A126,$G$3)&amp;"",LEFT(INDEX(인턴근무계획!$M$3:$R$402,$A126,$G$3)&amp;"",FIND(" ",INDEX(인턴근무계획!$M$3:$R$402,$A126,$G$3)&amp;"")-1))))</f>
        <v/>
      </c>
      <c r="H126" s="23">
        <f>IF(OR($C126="",$G$3=""),"",IF(INDEX(인턴근무계획!$M$3:$R$402,$A126,$G$3)&amp;""="","",IF(LEFT(INDEX(인턴근무계획!$M$3:$R$402,$A126,$G$3)&amp;"",1)="⚠","",MID(INDEX(인턴근무계획!$M$3:$R$402,$A126,$G$3)&amp;"",FIND(" ",INDEX(인턴근무계획!$M$3:$R$402,$A126,$G$3)&amp;"")+1,60))))</f>
        <v/>
      </c>
      <c r="I126" s="23">
        <f>IF(OR($C126="",$I$3=""),"",IF(INDEX(인턴근무계획!$M$3:$R$402,$A126,$I$3)&amp;""="","",IF(LEFT(INDEX(인턴근무계획!$M$3:$R$402,$A126,$I$3)&amp;"",1)="⚠",INDEX(인턴근무계획!$M$3:$R$402,$A126,$I$3)&amp;"",LEFT(INDEX(인턴근무계획!$M$3:$R$402,$A126,$I$3)&amp;"",FIND(" ",INDEX(인턴근무계획!$M$3:$R$402,$A126,$I$3)&amp;"")-1))))</f>
        <v/>
      </c>
      <c r="J126" s="23">
        <f>IF(OR($C126="",$I$3=""),"",IF(INDEX(인턴근무계획!$M$3:$R$402,$A126,$I$3)&amp;""="","",IF(LEFT(INDEX(인턴근무계획!$M$3:$R$402,$A126,$I$3)&amp;"",1)="⚠","",MID(INDEX(인턴근무계획!$M$3:$R$402,$A126,$I$3)&amp;"",FIND(" ",INDEX(인턴근무계획!$M$3:$R$402,$A126,$I$3)&amp;"")+1,60))))</f>
        <v/>
      </c>
      <c r="K126" s="23">
        <f>IF($C126="","",INDEX(인턴근무계획!$M$3:$M$402,$A126)&amp;"")</f>
        <v/>
      </c>
      <c r="L126" s="23">
        <f>IF($C126="","",INDEX(인턴근무계획!$N$3:$N$402,$A126)&amp;"")</f>
        <v/>
      </c>
      <c r="M126" s="23">
        <f>IF($C126="","",INDEX(인턴근무계획!$O$3:$O$402,$A126)&amp;"")</f>
        <v/>
      </c>
      <c r="N126" s="23">
        <f>IF($C126="","",INDEX(인턴근무계획!$P$3:$P$402,$A126)&amp;"")</f>
        <v/>
      </c>
      <c r="O126" s="23">
        <f>IF($C126="","",INDEX(인턴근무계획!$Q$3:$Q$402,$A126)&amp;"")</f>
        <v/>
      </c>
      <c r="P126" s="23">
        <f>IF($C126="","",INDEX(인턴근무계획!$R$3:$R$402,$A126)&amp;"")</f>
        <v/>
      </c>
      <c r="Q126" s="23">
        <f>IF($C126="","",INDEX(인턴근무계획!$T$3:$T$402,$A126))</f>
        <v/>
      </c>
    </row>
    <row r="127">
      <c r="A127" s="26" t="n">
        <v>122</v>
      </c>
      <c r="B127" s="23">
        <f>IF($C127="","",INDEX(인턴근무계획!$B$3:$B$402,$A127))</f>
        <v/>
      </c>
      <c r="C127" s="23">
        <f>IFERROR(TRIM(INDEX(인턴근무계획!$C$3:$C$402,$A127)&amp;""),"")</f>
        <v/>
      </c>
      <c r="D127" s="23">
        <f>IF($C127="","",INDEX(인턴근무계획!$D$3:$D$402,$A127))</f>
        <v/>
      </c>
      <c r="E127" s="23">
        <f>IF($C127="","",IF(IFERROR(MATCH($D127,기본자료!$B$2:$B$1001,0),IFERROR(MATCH($D127&amp;"",기본자료!$B$2:$B$1001,0),IFERROR(MATCH(VALUE($D127),기본자료!$B$2:$B$1001,0),0)))&gt;0,"확인","미등록"))</f>
        <v/>
      </c>
      <c r="F127" s="27">
        <f>IF($C127="","",INDEX(인턴근무계획!$S$3:$S$402,$A127))</f>
        <v/>
      </c>
      <c r="G127" s="23">
        <f>IF(OR($C127="",$G$3=""),"",IF(INDEX(인턴근무계획!$M$3:$R$402,$A127,$G$3)&amp;""="","",IF(LEFT(INDEX(인턴근무계획!$M$3:$R$402,$A127,$G$3)&amp;"",1)="⚠",INDEX(인턴근무계획!$M$3:$R$402,$A127,$G$3)&amp;"",LEFT(INDEX(인턴근무계획!$M$3:$R$402,$A127,$G$3)&amp;"",FIND(" ",INDEX(인턴근무계획!$M$3:$R$402,$A127,$G$3)&amp;"")-1))))</f>
        <v/>
      </c>
      <c r="H127" s="23">
        <f>IF(OR($C127="",$G$3=""),"",IF(INDEX(인턴근무계획!$M$3:$R$402,$A127,$G$3)&amp;""="","",IF(LEFT(INDEX(인턴근무계획!$M$3:$R$402,$A127,$G$3)&amp;"",1)="⚠","",MID(INDEX(인턴근무계획!$M$3:$R$402,$A127,$G$3)&amp;"",FIND(" ",INDEX(인턴근무계획!$M$3:$R$402,$A127,$G$3)&amp;"")+1,60))))</f>
        <v/>
      </c>
      <c r="I127" s="23">
        <f>IF(OR($C127="",$I$3=""),"",IF(INDEX(인턴근무계획!$M$3:$R$402,$A127,$I$3)&amp;""="","",IF(LEFT(INDEX(인턴근무계획!$M$3:$R$402,$A127,$I$3)&amp;"",1)="⚠",INDEX(인턴근무계획!$M$3:$R$402,$A127,$I$3)&amp;"",LEFT(INDEX(인턴근무계획!$M$3:$R$402,$A127,$I$3)&amp;"",FIND(" ",INDEX(인턴근무계획!$M$3:$R$402,$A127,$I$3)&amp;"")-1))))</f>
        <v/>
      </c>
      <c r="J127" s="23">
        <f>IF(OR($C127="",$I$3=""),"",IF(INDEX(인턴근무계획!$M$3:$R$402,$A127,$I$3)&amp;""="","",IF(LEFT(INDEX(인턴근무계획!$M$3:$R$402,$A127,$I$3)&amp;"",1)="⚠","",MID(INDEX(인턴근무계획!$M$3:$R$402,$A127,$I$3)&amp;"",FIND(" ",INDEX(인턴근무계획!$M$3:$R$402,$A127,$I$3)&amp;"")+1,60))))</f>
        <v/>
      </c>
      <c r="K127" s="23">
        <f>IF($C127="","",INDEX(인턴근무계획!$M$3:$M$402,$A127)&amp;"")</f>
        <v/>
      </c>
      <c r="L127" s="23">
        <f>IF($C127="","",INDEX(인턴근무계획!$N$3:$N$402,$A127)&amp;"")</f>
        <v/>
      </c>
      <c r="M127" s="23">
        <f>IF($C127="","",INDEX(인턴근무계획!$O$3:$O$402,$A127)&amp;"")</f>
        <v/>
      </c>
      <c r="N127" s="23">
        <f>IF($C127="","",INDEX(인턴근무계획!$P$3:$P$402,$A127)&amp;"")</f>
        <v/>
      </c>
      <c r="O127" s="23">
        <f>IF($C127="","",INDEX(인턴근무계획!$Q$3:$Q$402,$A127)&amp;"")</f>
        <v/>
      </c>
      <c r="P127" s="23">
        <f>IF($C127="","",INDEX(인턴근무계획!$R$3:$R$402,$A127)&amp;"")</f>
        <v/>
      </c>
      <c r="Q127" s="23">
        <f>IF($C127="","",INDEX(인턴근무계획!$T$3:$T$402,$A127))</f>
        <v/>
      </c>
    </row>
    <row r="128">
      <c r="A128" s="26" t="n">
        <v>123</v>
      </c>
      <c r="B128" s="23">
        <f>IF($C128="","",INDEX(인턴근무계획!$B$3:$B$402,$A128))</f>
        <v/>
      </c>
      <c r="C128" s="23">
        <f>IFERROR(TRIM(INDEX(인턴근무계획!$C$3:$C$402,$A128)&amp;""),"")</f>
        <v/>
      </c>
      <c r="D128" s="23">
        <f>IF($C128="","",INDEX(인턴근무계획!$D$3:$D$402,$A128))</f>
        <v/>
      </c>
      <c r="E128" s="23">
        <f>IF($C128="","",IF(IFERROR(MATCH($D128,기본자료!$B$2:$B$1001,0),IFERROR(MATCH($D128&amp;"",기본자료!$B$2:$B$1001,0),IFERROR(MATCH(VALUE($D128),기본자료!$B$2:$B$1001,0),0)))&gt;0,"확인","미등록"))</f>
        <v/>
      </c>
      <c r="F128" s="27">
        <f>IF($C128="","",INDEX(인턴근무계획!$S$3:$S$402,$A128))</f>
        <v/>
      </c>
      <c r="G128" s="23">
        <f>IF(OR($C128="",$G$3=""),"",IF(INDEX(인턴근무계획!$M$3:$R$402,$A128,$G$3)&amp;""="","",IF(LEFT(INDEX(인턴근무계획!$M$3:$R$402,$A128,$G$3)&amp;"",1)="⚠",INDEX(인턴근무계획!$M$3:$R$402,$A128,$G$3)&amp;"",LEFT(INDEX(인턴근무계획!$M$3:$R$402,$A128,$G$3)&amp;"",FIND(" ",INDEX(인턴근무계획!$M$3:$R$402,$A128,$G$3)&amp;"")-1))))</f>
        <v/>
      </c>
      <c r="H128" s="23">
        <f>IF(OR($C128="",$G$3=""),"",IF(INDEX(인턴근무계획!$M$3:$R$402,$A128,$G$3)&amp;""="","",IF(LEFT(INDEX(인턴근무계획!$M$3:$R$402,$A128,$G$3)&amp;"",1)="⚠","",MID(INDEX(인턴근무계획!$M$3:$R$402,$A128,$G$3)&amp;"",FIND(" ",INDEX(인턴근무계획!$M$3:$R$402,$A128,$G$3)&amp;"")+1,60))))</f>
        <v/>
      </c>
      <c r="I128" s="23">
        <f>IF(OR($C128="",$I$3=""),"",IF(INDEX(인턴근무계획!$M$3:$R$402,$A128,$I$3)&amp;""="","",IF(LEFT(INDEX(인턴근무계획!$M$3:$R$402,$A128,$I$3)&amp;"",1)="⚠",INDEX(인턴근무계획!$M$3:$R$402,$A128,$I$3)&amp;"",LEFT(INDEX(인턴근무계획!$M$3:$R$402,$A128,$I$3)&amp;"",FIND(" ",INDEX(인턴근무계획!$M$3:$R$402,$A128,$I$3)&amp;"")-1))))</f>
        <v/>
      </c>
      <c r="J128" s="23">
        <f>IF(OR($C128="",$I$3=""),"",IF(INDEX(인턴근무계획!$M$3:$R$402,$A128,$I$3)&amp;""="","",IF(LEFT(INDEX(인턴근무계획!$M$3:$R$402,$A128,$I$3)&amp;"",1)="⚠","",MID(INDEX(인턴근무계획!$M$3:$R$402,$A128,$I$3)&amp;"",FIND(" ",INDEX(인턴근무계획!$M$3:$R$402,$A128,$I$3)&amp;"")+1,60))))</f>
        <v/>
      </c>
      <c r="K128" s="23">
        <f>IF($C128="","",INDEX(인턴근무계획!$M$3:$M$402,$A128)&amp;"")</f>
        <v/>
      </c>
      <c r="L128" s="23">
        <f>IF($C128="","",INDEX(인턴근무계획!$N$3:$N$402,$A128)&amp;"")</f>
        <v/>
      </c>
      <c r="M128" s="23">
        <f>IF($C128="","",INDEX(인턴근무계획!$O$3:$O$402,$A128)&amp;"")</f>
        <v/>
      </c>
      <c r="N128" s="23">
        <f>IF($C128="","",INDEX(인턴근무계획!$P$3:$P$402,$A128)&amp;"")</f>
        <v/>
      </c>
      <c r="O128" s="23">
        <f>IF($C128="","",INDEX(인턴근무계획!$Q$3:$Q$402,$A128)&amp;"")</f>
        <v/>
      </c>
      <c r="P128" s="23">
        <f>IF($C128="","",INDEX(인턴근무계획!$R$3:$R$402,$A128)&amp;"")</f>
        <v/>
      </c>
      <c r="Q128" s="23">
        <f>IF($C128="","",INDEX(인턴근무계획!$T$3:$T$402,$A128))</f>
        <v/>
      </c>
    </row>
    <row r="129">
      <c r="A129" s="26" t="n">
        <v>124</v>
      </c>
      <c r="B129" s="23">
        <f>IF($C129="","",INDEX(인턴근무계획!$B$3:$B$402,$A129))</f>
        <v/>
      </c>
      <c r="C129" s="23">
        <f>IFERROR(TRIM(INDEX(인턴근무계획!$C$3:$C$402,$A129)&amp;""),"")</f>
        <v/>
      </c>
      <c r="D129" s="23">
        <f>IF($C129="","",INDEX(인턴근무계획!$D$3:$D$402,$A129))</f>
        <v/>
      </c>
      <c r="E129" s="23">
        <f>IF($C129="","",IF(IFERROR(MATCH($D129,기본자료!$B$2:$B$1001,0),IFERROR(MATCH($D129&amp;"",기본자료!$B$2:$B$1001,0),IFERROR(MATCH(VALUE($D129),기본자료!$B$2:$B$1001,0),0)))&gt;0,"확인","미등록"))</f>
        <v/>
      </c>
      <c r="F129" s="27">
        <f>IF($C129="","",INDEX(인턴근무계획!$S$3:$S$402,$A129))</f>
        <v/>
      </c>
      <c r="G129" s="23">
        <f>IF(OR($C129="",$G$3=""),"",IF(INDEX(인턴근무계획!$M$3:$R$402,$A129,$G$3)&amp;""="","",IF(LEFT(INDEX(인턴근무계획!$M$3:$R$402,$A129,$G$3)&amp;"",1)="⚠",INDEX(인턴근무계획!$M$3:$R$402,$A129,$G$3)&amp;"",LEFT(INDEX(인턴근무계획!$M$3:$R$402,$A129,$G$3)&amp;"",FIND(" ",INDEX(인턴근무계획!$M$3:$R$402,$A129,$G$3)&amp;"")-1))))</f>
        <v/>
      </c>
      <c r="H129" s="23">
        <f>IF(OR($C129="",$G$3=""),"",IF(INDEX(인턴근무계획!$M$3:$R$402,$A129,$G$3)&amp;""="","",IF(LEFT(INDEX(인턴근무계획!$M$3:$R$402,$A129,$G$3)&amp;"",1)="⚠","",MID(INDEX(인턴근무계획!$M$3:$R$402,$A129,$G$3)&amp;"",FIND(" ",INDEX(인턴근무계획!$M$3:$R$402,$A129,$G$3)&amp;"")+1,60))))</f>
        <v/>
      </c>
      <c r="I129" s="23">
        <f>IF(OR($C129="",$I$3=""),"",IF(INDEX(인턴근무계획!$M$3:$R$402,$A129,$I$3)&amp;""="","",IF(LEFT(INDEX(인턴근무계획!$M$3:$R$402,$A129,$I$3)&amp;"",1)="⚠",INDEX(인턴근무계획!$M$3:$R$402,$A129,$I$3)&amp;"",LEFT(INDEX(인턴근무계획!$M$3:$R$402,$A129,$I$3)&amp;"",FIND(" ",INDEX(인턴근무계획!$M$3:$R$402,$A129,$I$3)&amp;"")-1))))</f>
        <v/>
      </c>
      <c r="J129" s="23">
        <f>IF(OR($C129="",$I$3=""),"",IF(INDEX(인턴근무계획!$M$3:$R$402,$A129,$I$3)&amp;""="","",IF(LEFT(INDEX(인턴근무계획!$M$3:$R$402,$A129,$I$3)&amp;"",1)="⚠","",MID(INDEX(인턴근무계획!$M$3:$R$402,$A129,$I$3)&amp;"",FIND(" ",INDEX(인턴근무계획!$M$3:$R$402,$A129,$I$3)&amp;"")+1,60))))</f>
        <v/>
      </c>
      <c r="K129" s="23">
        <f>IF($C129="","",INDEX(인턴근무계획!$M$3:$M$402,$A129)&amp;"")</f>
        <v/>
      </c>
      <c r="L129" s="23">
        <f>IF($C129="","",INDEX(인턴근무계획!$N$3:$N$402,$A129)&amp;"")</f>
        <v/>
      </c>
      <c r="M129" s="23">
        <f>IF($C129="","",INDEX(인턴근무계획!$O$3:$O$402,$A129)&amp;"")</f>
        <v/>
      </c>
      <c r="N129" s="23">
        <f>IF($C129="","",INDEX(인턴근무계획!$P$3:$P$402,$A129)&amp;"")</f>
        <v/>
      </c>
      <c r="O129" s="23">
        <f>IF($C129="","",INDEX(인턴근무계획!$Q$3:$Q$402,$A129)&amp;"")</f>
        <v/>
      </c>
      <c r="P129" s="23">
        <f>IF($C129="","",INDEX(인턴근무계획!$R$3:$R$402,$A129)&amp;"")</f>
        <v/>
      </c>
      <c r="Q129" s="23">
        <f>IF($C129="","",INDEX(인턴근무계획!$T$3:$T$402,$A129))</f>
        <v/>
      </c>
    </row>
    <row r="130">
      <c r="A130" s="26" t="n">
        <v>125</v>
      </c>
      <c r="B130" s="23">
        <f>IF($C130="","",INDEX(인턴근무계획!$B$3:$B$402,$A130))</f>
        <v/>
      </c>
      <c r="C130" s="23">
        <f>IFERROR(TRIM(INDEX(인턴근무계획!$C$3:$C$402,$A130)&amp;""),"")</f>
        <v/>
      </c>
      <c r="D130" s="23">
        <f>IF($C130="","",INDEX(인턴근무계획!$D$3:$D$402,$A130))</f>
        <v/>
      </c>
      <c r="E130" s="23">
        <f>IF($C130="","",IF(IFERROR(MATCH($D130,기본자료!$B$2:$B$1001,0),IFERROR(MATCH($D130&amp;"",기본자료!$B$2:$B$1001,0),IFERROR(MATCH(VALUE($D130),기본자료!$B$2:$B$1001,0),0)))&gt;0,"확인","미등록"))</f>
        <v/>
      </c>
      <c r="F130" s="27">
        <f>IF($C130="","",INDEX(인턴근무계획!$S$3:$S$402,$A130))</f>
        <v/>
      </c>
      <c r="G130" s="23">
        <f>IF(OR($C130="",$G$3=""),"",IF(INDEX(인턴근무계획!$M$3:$R$402,$A130,$G$3)&amp;""="","",IF(LEFT(INDEX(인턴근무계획!$M$3:$R$402,$A130,$G$3)&amp;"",1)="⚠",INDEX(인턴근무계획!$M$3:$R$402,$A130,$G$3)&amp;"",LEFT(INDEX(인턴근무계획!$M$3:$R$402,$A130,$G$3)&amp;"",FIND(" ",INDEX(인턴근무계획!$M$3:$R$402,$A130,$G$3)&amp;"")-1))))</f>
        <v/>
      </c>
      <c r="H130" s="23">
        <f>IF(OR($C130="",$G$3=""),"",IF(INDEX(인턴근무계획!$M$3:$R$402,$A130,$G$3)&amp;""="","",IF(LEFT(INDEX(인턴근무계획!$M$3:$R$402,$A130,$G$3)&amp;"",1)="⚠","",MID(INDEX(인턴근무계획!$M$3:$R$402,$A130,$G$3)&amp;"",FIND(" ",INDEX(인턴근무계획!$M$3:$R$402,$A130,$G$3)&amp;"")+1,60))))</f>
        <v/>
      </c>
      <c r="I130" s="23">
        <f>IF(OR($C130="",$I$3=""),"",IF(INDEX(인턴근무계획!$M$3:$R$402,$A130,$I$3)&amp;""="","",IF(LEFT(INDEX(인턴근무계획!$M$3:$R$402,$A130,$I$3)&amp;"",1)="⚠",INDEX(인턴근무계획!$M$3:$R$402,$A130,$I$3)&amp;"",LEFT(INDEX(인턴근무계획!$M$3:$R$402,$A130,$I$3)&amp;"",FIND(" ",INDEX(인턴근무계획!$M$3:$R$402,$A130,$I$3)&amp;"")-1))))</f>
        <v/>
      </c>
      <c r="J130" s="23">
        <f>IF(OR($C130="",$I$3=""),"",IF(INDEX(인턴근무계획!$M$3:$R$402,$A130,$I$3)&amp;""="","",IF(LEFT(INDEX(인턴근무계획!$M$3:$R$402,$A130,$I$3)&amp;"",1)="⚠","",MID(INDEX(인턴근무계획!$M$3:$R$402,$A130,$I$3)&amp;"",FIND(" ",INDEX(인턴근무계획!$M$3:$R$402,$A130,$I$3)&amp;"")+1,60))))</f>
        <v/>
      </c>
      <c r="K130" s="23">
        <f>IF($C130="","",INDEX(인턴근무계획!$M$3:$M$402,$A130)&amp;"")</f>
        <v/>
      </c>
      <c r="L130" s="23">
        <f>IF($C130="","",INDEX(인턴근무계획!$N$3:$N$402,$A130)&amp;"")</f>
        <v/>
      </c>
      <c r="M130" s="23">
        <f>IF($C130="","",INDEX(인턴근무계획!$O$3:$O$402,$A130)&amp;"")</f>
        <v/>
      </c>
      <c r="N130" s="23">
        <f>IF($C130="","",INDEX(인턴근무계획!$P$3:$P$402,$A130)&amp;"")</f>
        <v/>
      </c>
      <c r="O130" s="23">
        <f>IF($C130="","",INDEX(인턴근무계획!$Q$3:$Q$402,$A130)&amp;"")</f>
        <v/>
      </c>
      <c r="P130" s="23">
        <f>IF($C130="","",INDEX(인턴근무계획!$R$3:$R$402,$A130)&amp;"")</f>
        <v/>
      </c>
      <c r="Q130" s="23">
        <f>IF($C130="","",INDEX(인턴근무계획!$T$3:$T$402,$A130))</f>
        <v/>
      </c>
    </row>
    <row r="131">
      <c r="A131" s="26" t="n">
        <v>126</v>
      </c>
      <c r="B131" s="23">
        <f>IF($C131="","",INDEX(인턴근무계획!$B$3:$B$402,$A131))</f>
        <v/>
      </c>
      <c r="C131" s="23">
        <f>IFERROR(TRIM(INDEX(인턴근무계획!$C$3:$C$402,$A131)&amp;""),"")</f>
        <v/>
      </c>
      <c r="D131" s="23">
        <f>IF($C131="","",INDEX(인턴근무계획!$D$3:$D$402,$A131))</f>
        <v/>
      </c>
      <c r="E131" s="23">
        <f>IF($C131="","",IF(IFERROR(MATCH($D131,기본자료!$B$2:$B$1001,0),IFERROR(MATCH($D131&amp;"",기본자료!$B$2:$B$1001,0),IFERROR(MATCH(VALUE($D131),기본자료!$B$2:$B$1001,0),0)))&gt;0,"확인","미등록"))</f>
        <v/>
      </c>
      <c r="F131" s="27">
        <f>IF($C131="","",INDEX(인턴근무계획!$S$3:$S$402,$A131))</f>
        <v/>
      </c>
      <c r="G131" s="23">
        <f>IF(OR($C131="",$G$3=""),"",IF(INDEX(인턴근무계획!$M$3:$R$402,$A131,$G$3)&amp;""="","",IF(LEFT(INDEX(인턴근무계획!$M$3:$R$402,$A131,$G$3)&amp;"",1)="⚠",INDEX(인턴근무계획!$M$3:$R$402,$A131,$G$3)&amp;"",LEFT(INDEX(인턴근무계획!$M$3:$R$402,$A131,$G$3)&amp;"",FIND(" ",INDEX(인턴근무계획!$M$3:$R$402,$A131,$G$3)&amp;"")-1))))</f>
        <v/>
      </c>
      <c r="H131" s="23">
        <f>IF(OR($C131="",$G$3=""),"",IF(INDEX(인턴근무계획!$M$3:$R$402,$A131,$G$3)&amp;""="","",IF(LEFT(INDEX(인턴근무계획!$M$3:$R$402,$A131,$G$3)&amp;"",1)="⚠","",MID(INDEX(인턴근무계획!$M$3:$R$402,$A131,$G$3)&amp;"",FIND(" ",INDEX(인턴근무계획!$M$3:$R$402,$A131,$G$3)&amp;"")+1,60))))</f>
        <v/>
      </c>
      <c r="I131" s="23">
        <f>IF(OR($C131="",$I$3=""),"",IF(INDEX(인턴근무계획!$M$3:$R$402,$A131,$I$3)&amp;""="","",IF(LEFT(INDEX(인턴근무계획!$M$3:$R$402,$A131,$I$3)&amp;"",1)="⚠",INDEX(인턴근무계획!$M$3:$R$402,$A131,$I$3)&amp;"",LEFT(INDEX(인턴근무계획!$M$3:$R$402,$A131,$I$3)&amp;"",FIND(" ",INDEX(인턴근무계획!$M$3:$R$402,$A131,$I$3)&amp;"")-1))))</f>
        <v/>
      </c>
      <c r="J131" s="23">
        <f>IF(OR($C131="",$I$3=""),"",IF(INDEX(인턴근무계획!$M$3:$R$402,$A131,$I$3)&amp;""="","",IF(LEFT(INDEX(인턴근무계획!$M$3:$R$402,$A131,$I$3)&amp;"",1)="⚠","",MID(INDEX(인턴근무계획!$M$3:$R$402,$A131,$I$3)&amp;"",FIND(" ",INDEX(인턴근무계획!$M$3:$R$402,$A131,$I$3)&amp;"")+1,60))))</f>
        <v/>
      </c>
      <c r="K131" s="23">
        <f>IF($C131="","",INDEX(인턴근무계획!$M$3:$M$402,$A131)&amp;"")</f>
        <v/>
      </c>
      <c r="L131" s="23">
        <f>IF($C131="","",INDEX(인턴근무계획!$N$3:$N$402,$A131)&amp;"")</f>
        <v/>
      </c>
      <c r="M131" s="23">
        <f>IF($C131="","",INDEX(인턴근무계획!$O$3:$O$402,$A131)&amp;"")</f>
        <v/>
      </c>
      <c r="N131" s="23">
        <f>IF($C131="","",INDEX(인턴근무계획!$P$3:$P$402,$A131)&amp;"")</f>
        <v/>
      </c>
      <c r="O131" s="23">
        <f>IF($C131="","",INDEX(인턴근무계획!$Q$3:$Q$402,$A131)&amp;"")</f>
        <v/>
      </c>
      <c r="P131" s="23">
        <f>IF($C131="","",INDEX(인턴근무계획!$R$3:$R$402,$A131)&amp;"")</f>
        <v/>
      </c>
      <c r="Q131" s="23">
        <f>IF($C131="","",INDEX(인턴근무계획!$T$3:$T$402,$A131))</f>
        <v/>
      </c>
    </row>
    <row r="132">
      <c r="A132" s="26" t="n">
        <v>127</v>
      </c>
      <c r="B132" s="23">
        <f>IF($C132="","",INDEX(인턴근무계획!$B$3:$B$402,$A132))</f>
        <v/>
      </c>
      <c r="C132" s="23">
        <f>IFERROR(TRIM(INDEX(인턴근무계획!$C$3:$C$402,$A132)&amp;""),"")</f>
        <v/>
      </c>
      <c r="D132" s="23">
        <f>IF($C132="","",INDEX(인턴근무계획!$D$3:$D$402,$A132))</f>
        <v/>
      </c>
      <c r="E132" s="23">
        <f>IF($C132="","",IF(IFERROR(MATCH($D132,기본자료!$B$2:$B$1001,0),IFERROR(MATCH($D132&amp;"",기본자료!$B$2:$B$1001,0),IFERROR(MATCH(VALUE($D132),기본자료!$B$2:$B$1001,0),0)))&gt;0,"확인","미등록"))</f>
        <v/>
      </c>
      <c r="F132" s="27">
        <f>IF($C132="","",INDEX(인턴근무계획!$S$3:$S$402,$A132))</f>
        <v/>
      </c>
      <c r="G132" s="23">
        <f>IF(OR($C132="",$G$3=""),"",IF(INDEX(인턴근무계획!$M$3:$R$402,$A132,$G$3)&amp;""="","",IF(LEFT(INDEX(인턴근무계획!$M$3:$R$402,$A132,$G$3)&amp;"",1)="⚠",INDEX(인턴근무계획!$M$3:$R$402,$A132,$G$3)&amp;"",LEFT(INDEX(인턴근무계획!$M$3:$R$402,$A132,$G$3)&amp;"",FIND(" ",INDEX(인턴근무계획!$M$3:$R$402,$A132,$G$3)&amp;"")-1))))</f>
        <v/>
      </c>
      <c r="H132" s="23">
        <f>IF(OR($C132="",$G$3=""),"",IF(INDEX(인턴근무계획!$M$3:$R$402,$A132,$G$3)&amp;""="","",IF(LEFT(INDEX(인턴근무계획!$M$3:$R$402,$A132,$G$3)&amp;"",1)="⚠","",MID(INDEX(인턴근무계획!$M$3:$R$402,$A132,$G$3)&amp;"",FIND(" ",INDEX(인턴근무계획!$M$3:$R$402,$A132,$G$3)&amp;"")+1,60))))</f>
        <v/>
      </c>
      <c r="I132" s="23">
        <f>IF(OR($C132="",$I$3=""),"",IF(INDEX(인턴근무계획!$M$3:$R$402,$A132,$I$3)&amp;""="","",IF(LEFT(INDEX(인턴근무계획!$M$3:$R$402,$A132,$I$3)&amp;"",1)="⚠",INDEX(인턴근무계획!$M$3:$R$402,$A132,$I$3)&amp;"",LEFT(INDEX(인턴근무계획!$M$3:$R$402,$A132,$I$3)&amp;"",FIND(" ",INDEX(인턴근무계획!$M$3:$R$402,$A132,$I$3)&amp;"")-1))))</f>
        <v/>
      </c>
      <c r="J132" s="23">
        <f>IF(OR($C132="",$I$3=""),"",IF(INDEX(인턴근무계획!$M$3:$R$402,$A132,$I$3)&amp;""="","",IF(LEFT(INDEX(인턴근무계획!$M$3:$R$402,$A132,$I$3)&amp;"",1)="⚠","",MID(INDEX(인턴근무계획!$M$3:$R$402,$A132,$I$3)&amp;"",FIND(" ",INDEX(인턴근무계획!$M$3:$R$402,$A132,$I$3)&amp;"")+1,60))))</f>
        <v/>
      </c>
      <c r="K132" s="23">
        <f>IF($C132="","",INDEX(인턴근무계획!$M$3:$M$402,$A132)&amp;"")</f>
        <v/>
      </c>
      <c r="L132" s="23">
        <f>IF($C132="","",INDEX(인턴근무계획!$N$3:$N$402,$A132)&amp;"")</f>
        <v/>
      </c>
      <c r="M132" s="23">
        <f>IF($C132="","",INDEX(인턴근무계획!$O$3:$O$402,$A132)&amp;"")</f>
        <v/>
      </c>
      <c r="N132" s="23">
        <f>IF($C132="","",INDEX(인턴근무계획!$P$3:$P$402,$A132)&amp;"")</f>
        <v/>
      </c>
      <c r="O132" s="23">
        <f>IF($C132="","",INDEX(인턴근무계획!$Q$3:$Q$402,$A132)&amp;"")</f>
        <v/>
      </c>
      <c r="P132" s="23">
        <f>IF($C132="","",INDEX(인턴근무계획!$R$3:$R$402,$A132)&amp;"")</f>
        <v/>
      </c>
      <c r="Q132" s="23">
        <f>IF($C132="","",INDEX(인턴근무계획!$T$3:$T$402,$A132))</f>
        <v/>
      </c>
    </row>
    <row r="133">
      <c r="A133" s="26" t="n">
        <v>128</v>
      </c>
      <c r="B133" s="23">
        <f>IF($C133="","",INDEX(인턴근무계획!$B$3:$B$402,$A133))</f>
        <v/>
      </c>
      <c r="C133" s="23">
        <f>IFERROR(TRIM(INDEX(인턴근무계획!$C$3:$C$402,$A133)&amp;""),"")</f>
        <v/>
      </c>
      <c r="D133" s="23">
        <f>IF($C133="","",INDEX(인턴근무계획!$D$3:$D$402,$A133))</f>
        <v/>
      </c>
      <c r="E133" s="23">
        <f>IF($C133="","",IF(IFERROR(MATCH($D133,기본자료!$B$2:$B$1001,0),IFERROR(MATCH($D133&amp;"",기본자료!$B$2:$B$1001,0),IFERROR(MATCH(VALUE($D133),기본자료!$B$2:$B$1001,0),0)))&gt;0,"확인","미등록"))</f>
        <v/>
      </c>
      <c r="F133" s="27">
        <f>IF($C133="","",INDEX(인턴근무계획!$S$3:$S$402,$A133))</f>
        <v/>
      </c>
      <c r="G133" s="23">
        <f>IF(OR($C133="",$G$3=""),"",IF(INDEX(인턴근무계획!$M$3:$R$402,$A133,$G$3)&amp;""="","",IF(LEFT(INDEX(인턴근무계획!$M$3:$R$402,$A133,$G$3)&amp;"",1)="⚠",INDEX(인턴근무계획!$M$3:$R$402,$A133,$G$3)&amp;"",LEFT(INDEX(인턴근무계획!$M$3:$R$402,$A133,$G$3)&amp;"",FIND(" ",INDEX(인턴근무계획!$M$3:$R$402,$A133,$G$3)&amp;"")-1))))</f>
        <v/>
      </c>
      <c r="H133" s="23">
        <f>IF(OR($C133="",$G$3=""),"",IF(INDEX(인턴근무계획!$M$3:$R$402,$A133,$G$3)&amp;""="","",IF(LEFT(INDEX(인턴근무계획!$M$3:$R$402,$A133,$G$3)&amp;"",1)="⚠","",MID(INDEX(인턴근무계획!$M$3:$R$402,$A133,$G$3)&amp;"",FIND(" ",INDEX(인턴근무계획!$M$3:$R$402,$A133,$G$3)&amp;"")+1,60))))</f>
        <v/>
      </c>
      <c r="I133" s="23">
        <f>IF(OR($C133="",$I$3=""),"",IF(INDEX(인턴근무계획!$M$3:$R$402,$A133,$I$3)&amp;""="","",IF(LEFT(INDEX(인턴근무계획!$M$3:$R$402,$A133,$I$3)&amp;"",1)="⚠",INDEX(인턴근무계획!$M$3:$R$402,$A133,$I$3)&amp;"",LEFT(INDEX(인턴근무계획!$M$3:$R$402,$A133,$I$3)&amp;"",FIND(" ",INDEX(인턴근무계획!$M$3:$R$402,$A133,$I$3)&amp;"")-1))))</f>
        <v/>
      </c>
      <c r="J133" s="23">
        <f>IF(OR($C133="",$I$3=""),"",IF(INDEX(인턴근무계획!$M$3:$R$402,$A133,$I$3)&amp;""="","",IF(LEFT(INDEX(인턴근무계획!$M$3:$R$402,$A133,$I$3)&amp;"",1)="⚠","",MID(INDEX(인턴근무계획!$M$3:$R$402,$A133,$I$3)&amp;"",FIND(" ",INDEX(인턴근무계획!$M$3:$R$402,$A133,$I$3)&amp;"")+1,60))))</f>
        <v/>
      </c>
      <c r="K133" s="23">
        <f>IF($C133="","",INDEX(인턴근무계획!$M$3:$M$402,$A133)&amp;"")</f>
        <v/>
      </c>
      <c r="L133" s="23">
        <f>IF($C133="","",INDEX(인턴근무계획!$N$3:$N$402,$A133)&amp;"")</f>
        <v/>
      </c>
      <c r="M133" s="23">
        <f>IF($C133="","",INDEX(인턴근무계획!$O$3:$O$402,$A133)&amp;"")</f>
        <v/>
      </c>
      <c r="N133" s="23">
        <f>IF($C133="","",INDEX(인턴근무계획!$P$3:$P$402,$A133)&amp;"")</f>
        <v/>
      </c>
      <c r="O133" s="23">
        <f>IF($C133="","",INDEX(인턴근무계획!$Q$3:$Q$402,$A133)&amp;"")</f>
        <v/>
      </c>
      <c r="P133" s="23">
        <f>IF($C133="","",INDEX(인턴근무계획!$R$3:$R$402,$A133)&amp;"")</f>
        <v/>
      </c>
      <c r="Q133" s="23">
        <f>IF($C133="","",INDEX(인턴근무계획!$T$3:$T$402,$A133))</f>
        <v/>
      </c>
    </row>
    <row r="134">
      <c r="A134" s="26" t="n">
        <v>129</v>
      </c>
      <c r="B134" s="23">
        <f>IF($C134="","",INDEX(인턴근무계획!$B$3:$B$402,$A134))</f>
        <v/>
      </c>
      <c r="C134" s="23">
        <f>IFERROR(TRIM(INDEX(인턴근무계획!$C$3:$C$402,$A134)&amp;""),"")</f>
        <v/>
      </c>
      <c r="D134" s="23">
        <f>IF($C134="","",INDEX(인턴근무계획!$D$3:$D$402,$A134))</f>
        <v/>
      </c>
      <c r="E134" s="23">
        <f>IF($C134="","",IF(IFERROR(MATCH($D134,기본자료!$B$2:$B$1001,0),IFERROR(MATCH($D134&amp;"",기본자료!$B$2:$B$1001,0),IFERROR(MATCH(VALUE($D134),기본자료!$B$2:$B$1001,0),0)))&gt;0,"확인","미등록"))</f>
        <v/>
      </c>
      <c r="F134" s="27">
        <f>IF($C134="","",INDEX(인턴근무계획!$S$3:$S$402,$A134))</f>
        <v/>
      </c>
      <c r="G134" s="23">
        <f>IF(OR($C134="",$G$3=""),"",IF(INDEX(인턴근무계획!$M$3:$R$402,$A134,$G$3)&amp;""="","",IF(LEFT(INDEX(인턴근무계획!$M$3:$R$402,$A134,$G$3)&amp;"",1)="⚠",INDEX(인턴근무계획!$M$3:$R$402,$A134,$G$3)&amp;"",LEFT(INDEX(인턴근무계획!$M$3:$R$402,$A134,$G$3)&amp;"",FIND(" ",INDEX(인턴근무계획!$M$3:$R$402,$A134,$G$3)&amp;"")-1))))</f>
        <v/>
      </c>
      <c r="H134" s="23">
        <f>IF(OR($C134="",$G$3=""),"",IF(INDEX(인턴근무계획!$M$3:$R$402,$A134,$G$3)&amp;""="","",IF(LEFT(INDEX(인턴근무계획!$M$3:$R$402,$A134,$G$3)&amp;"",1)="⚠","",MID(INDEX(인턴근무계획!$M$3:$R$402,$A134,$G$3)&amp;"",FIND(" ",INDEX(인턴근무계획!$M$3:$R$402,$A134,$G$3)&amp;"")+1,60))))</f>
        <v/>
      </c>
      <c r="I134" s="23">
        <f>IF(OR($C134="",$I$3=""),"",IF(INDEX(인턴근무계획!$M$3:$R$402,$A134,$I$3)&amp;""="","",IF(LEFT(INDEX(인턴근무계획!$M$3:$R$402,$A134,$I$3)&amp;"",1)="⚠",INDEX(인턴근무계획!$M$3:$R$402,$A134,$I$3)&amp;"",LEFT(INDEX(인턴근무계획!$M$3:$R$402,$A134,$I$3)&amp;"",FIND(" ",INDEX(인턴근무계획!$M$3:$R$402,$A134,$I$3)&amp;"")-1))))</f>
        <v/>
      </c>
      <c r="J134" s="23">
        <f>IF(OR($C134="",$I$3=""),"",IF(INDEX(인턴근무계획!$M$3:$R$402,$A134,$I$3)&amp;""="","",IF(LEFT(INDEX(인턴근무계획!$M$3:$R$402,$A134,$I$3)&amp;"",1)="⚠","",MID(INDEX(인턴근무계획!$M$3:$R$402,$A134,$I$3)&amp;"",FIND(" ",INDEX(인턴근무계획!$M$3:$R$402,$A134,$I$3)&amp;"")+1,60))))</f>
        <v/>
      </c>
      <c r="K134" s="23">
        <f>IF($C134="","",INDEX(인턴근무계획!$M$3:$M$402,$A134)&amp;"")</f>
        <v/>
      </c>
      <c r="L134" s="23">
        <f>IF($C134="","",INDEX(인턴근무계획!$N$3:$N$402,$A134)&amp;"")</f>
        <v/>
      </c>
      <c r="M134" s="23">
        <f>IF($C134="","",INDEX(인턴근무계획!$O$3:$O$402,$A134)&amp;"")</f>
        <v/>
      </c>
      <c r="N134" s="23">
        <f>IF($C134="","",INDEX(인턴근무계획!$P$3:$P$402,$A134)&amp;"")</f>
        <v/>
      </c>
      <c r="O134" s="23">
        <f>IF($C134="","",INDEX(인턴근무계획!$Q$3:$Q$402,$A134)&amp;"")</f>
        <v/>
      </c>
      <c r="P134" s="23">
        <f>IF($C134="","",INDEX(인턴근무계획!$R$3:$R$402,$A134)&amp;"")</f>
        <v/>
      </c>
      <c r="Q134" s="23">
        <f>IF($C134="","",INDEX(인턴근무계획!$T$3:$T$402,$A134))</f>
        <v/>
      </c>
    </row>
    <row r="135">
      <c r="A135" s="26" t="n">
        <v>130</v>
      </c>
      <c r="B135" s="23">
        <f>IF($C135="","",INDEX(인턴근무계획!$B$3:$B$402,$A135))</f>
        <v/>
      </c>
      <c r="C135" s="23">
        <f>IFERROR(TRIM(INDEX(인턴근무계획!$C$3:$C$402,$A135)&amp;""),"")</f>
        <v/>
      </c>
      <c r="D135" s="23">
        <f>IF($C135="","",INDEX(인턴근무계획!$D$3:$D$402,$A135))</f>
        <v/>
      </c>
      <c r="E135" s="23">
        <f>IF($C135="","",IF(IFERROR(MATCH($D135,기본자료!$B$2:$B$1001,0),IFERROR(MATCH($D135&amp;"",기본자료!$B$2:$B$1001,0),IFERROR(MATCH(VALUE($D135),기본자료!$B$2:$B$1001,0),0)))&gt;0,"확인","미등록"))</f>
        <v/>
      </c>
      <c r="F135" s="27">
        <f>IF($C135="","",INDEX(인턴근무계획!$S$3:$S$402,$A135))</f>
        <v/>
      </c>
      <c r="G135" s="23">
        <f>IF(OR($C135="",$G$3=""),"",IF(INDEX(인턴근무계획!$M$3:$R$402,$A135,$G$3)&amp;""="","",IF(LEFT(INDEX(인턴근무계획!$M$3:$R$402,$A135,$G$3)&amp;"",1)="⚠",INDEX(인턴근무계획!$M$3:$R$402,$A135,$G$3)&amp;"",LEFT(INDEX(인턴근무계획!$M$3:$R$402,$A135,$G$3)&amp;"",FIND(" ",INDEX(인턴근무계획!$M$3:$R$402,$A135,$G$3)&amp;"")-1))))</f>
        <v/>
      </c>
      <c r="H135" s="23">
        <f>IF(OR($C135="",$G$3=""),"",IF(INDEX(인턴근무계획!$M$3:$R$402,$A135,$G$3)&amp;""="","",IF(LEFT(INDEX(인턴근무계획!$M$3:$R$402,$A135,$G$3)&amp;"",1)="⚠","",MID(INDEX(인턴근무계획!$M$3:$R$402,$A135,$G$3)&amp;"",FIND(" ",INDEX(인턴근무계획!$M$3:$R$402,$A135,$G$3)&amp;"")+1,60))))</f>
        <v/>
      </c>
      <c r="I135" s="23">
        <f>IF(OR($C135="",$I$3=""),"",IF(INDEX(인턴근무계획!$M$3:$R$402,$A135,$I$3)&amp;""="","",IF(LEFT(INDEX(인턴근무계획!$M$3:$R$402,$A135,$I$3)&amp;"",1)="⚠",INDEX(인턴근무계획!$M$3:$R$402,$A135,$I$3)&amp;"",LEFT(INDEX(인턴근무계획!$M$3:$R$402,$A135,$I$3)&amp;"",FIND(" ",INDEX(인턴근무계획!$M$3:$R$402,$A135,$I$3)&amp;"")-1))))</f>
        <v/>
      </c>
      <c r="J135" s="23">
        <f>IF(OR($C135="",$I$3=""),"",IF(INDEX(인턴근무계획!$M$3:$R$402,$A135,$I$3)&amp;""="","",IF(LEFT(INDEX(인턴근무계획!$M$3:$R$402,$A135,$I$3)&amp;"",1)="⚠","",MID(INDEX(인턴근무계획!$M$3:$R$402,$A135,$I$3)&amp;"",FIND(" ",INDEX(인턴근무계획!$M$3:$R$402,$A135,$I$3)&amp;"")+1,60))))</f>
        <v/>
      </c>
      <c r="K135" s="23">
        <f>IF($C135="","",INDEX(인턴근무계획!$M$3:$M$402,$A135)&amp;"")</f>
        <v/>
      </c>
      <c r="L135" s="23">
        <f>IF($C135="","",INDEX(인턴근무계획!$N$3:$N$402,$A135)&amp;"")</f>
        <v/>
      </c>
      <c r="M135" s="23">
        <f>IF($C135="","",INDEX(인턴근무계획!$O$3:$O$402,$A135)&amp;"")</f>
        <v/>
      </c>
      <c r="N135" s="23">
        <f>IF($C135="","",INDEX(인턴근무계획!$P$3:$P$402,$A135)&amp;"")</f>
        <v/>
      </c>
      <c r="O135" s="23">
        <f>IF($C135="","",INDEX(인턴근무계획!$Q$3:$Q$402,$A135)&amp;"")</f>
        <v/>
      </c>
      <c r="P135" s="23">
        <f>IF($C135="","",INDEX(인턴근무계획!$R$3:$R$402,$A135)&amp;"")</f>
        <v/>
      </c>
      <c r="Q135" s="23">
        <f>IF($C135="","",INDEX(인턴근무계획!$T$3:$T$402,$A135))</f>
        <v/>
      </c>
    </row>
    <row r="136">
      <c r="A136" s="26" t="n">
        <v>131</v>
      </c>
      <c r="B136" s="23">
        <f>IF($C136="","",INDEX(인턴근무계획!$B$3:$B$402,$A136))</f>
        <v/>
      </c>
      <c r="C136" s="23">
        <f>IFERROR(TRIM(INDEX(인턴근무계획!$C$3:$C$402,$A136)&amp;""),"")</f>
        <v/>
      </c>
      <c r="D136" s="23">
        <f>IF($C136="","",INDEX(인턴근무계획!$D$3:$D$402,$A136))</f>
        <v/>
      </c>
      <c r="E136" s="23">
        <f>IF($C136="","",IF(IFERROR(MATCH($D136,기본자료!$B$2:$B$1001,0),IFERROR(MATCH($D136&amp;"",기본자료!$B$2:$B$1001,0),IFERROR(MATCH(VALUE($D136),기본자료!$B$2:$B$1001,0),0)))&gt;0,"확인","미등록"))</f>
        <v/>
      </c>
      <c r="F136" s="27">
        <f>IF($C136="","",INDEX(인턴근무계획!$S$3:$S$402,$A136))</f>
        <v/>
      </c>
      <c r="G136" s="23">
        <f>IF(OR($C136="",$G$3=""),"",IF(INDEX(인턴근무계획!$M$3:$R$402,$A136,$G$3)&amp;""="","",IF(LEFT(INDEX(인턴근무계획!$M$3:$R$402,$A136,$G$3)&amp;"",1)="⚠",INDEX(인턴근무계획!$M$3:$R$402,$A136,$G$3)&amp;"",LEFT(INDEX(인턴근무계획!$M$3:$R$402,$A136,$G$3)&amp;"",FIND(" ",INDEX(인턴근무계획!$M$3:$R$402,$A136,$G$3)&amp;"")-1))))</f>
        <v/>
      </c>
      <c r="H136" s="23">
        <f>IF(OR($C136="",$G$3=""),"",IF(INDEX(인턴근무계획!$M$3:$R$402,$A136,$G$3)&amp;""="","",IF(LEFT(INDEX(인턴근무계획!$M$3:$R$402,$A136,$G$3)&amp;"",1)="⚠","",MID(INDEX(인턴근무계획!$M$3:$R$402,$A136,$G$3)&amp;"",FIND(" ",INDEX(인턴근무계획!$M$3:$R$402,$A136,$G$3)&amp;"")+1,60))))</f>
        <v/>
      </c>
      <c r="I136" s="23">
        <f>IF(OR($C136="",$I$3=""),"",IF(INDEX(인턴근무계획!$M$3:$R$402,$A136,$I$3)&amp;""="","",IF(LEFT(INDEX(인턴근무계획!$M$3:$R$402,$A136,$I$3)&amp;"",1)="⚠",INDEX(인턴근무계획!$M$3:$R$402,$A136,$I$3)&amp;"",LEFT(INDEX(인턴근무계획!$M$3:$R$402,$A136,$I$3)&amp;"",FIND(" ",INDEX(인턴근무계획!$M$3:$R$402,$A136,$I$3)&amp;"")-1))))</f>
        <v/>
      </c>
      <c r="J136" s="23">
        <f>IF(OR($C136="",$I$3=""),"",IF(INDEX(인턴근무계획!$M$3:$R$402,$A136,$I$3)&amp;""="","",IF(LEFT(INDEX(인턴근무계획!$M$3:$R$402,$A136,$I$3)&amp;"",1)="⚠","",MID(INDEX(인턴근무계획!$M$3:$R$402,$A136,$I$3)&amp;"",FIND(" ",INDEX(인턴근무계획!$M$3:$R$402,$A136,$I$3)&amp;"")+1,60))))</f>
        <v/>
      </c>
      <c r="K136" s="23">
        <f>IF($C136="","",INDEX(인턴근무계획!$M$3:$M$402,$A136)&amp;"")</f>
        <v/>
      </c>
      <c r="L136" s="23">
        <f>IF($C136="","",INDEX(인턴근무계획!$N$3:$N$402,$A136)&amp;"")</f>
        <v/>
      </c>
      <c r="M136" s="23">
        <f>IF($C136="","",INDEX(인턴근무계획!$O$3:$O$402,$A136)&amp;"")</f>
        <v/>
      </c>
      <c r="N136" s="23">
        <f>IF($C136="","",INDEX(인턴근무계획!$P$3:$P$402,$A136)&amp;"")</f>
        <v/>
      </c>
      <c r="O136" s="23">
        <f>IF($C136="","",INDEX(인턴근무계획!$Q$3:$Q$402,$A136)&amp;"")</f>
        <v/>
      </c>
      <c r="P136" s="23">
        <f>IF($C136="","",INDEX(인턴근무계획!$R$3:$R$402,$A136)&amp;"")</f>
        <v/>
      </c>
      <c r="Q136" s="23">
        <f>IF($C136="","",INDEX(인턴근무계획!$T$3:$T$402,$A136))</f>
        <v/>
      </c>
    </row>
    <row r="137">
      <c r="A137" s="26" t="n">
        <v>132</v>
      </c>
      <c r="B137" s="23">
        <f>IF($C137="","",INDEX(인턴근무계획!$B$3:$B$402,$A137))</f>
        <v/>
      </c>
      <c r="C137" s="23">
        <f>IFERROR(TRIM(INDEX(인턴근무계획!$C$3:$C$402,$A137)&amp;""),"")</f>
        <v/>
      </c>
      <c r="D137" s="23">
        <f>IF($C137="","",INDEX(인턴근무계획!$D$3:$D$402,$A137))</f>
        <v/>
      </c>
      <c r="E137" s="23">
        <f>IF($C137="","",IF(IFERROR(MATCH($D137,기본자료!$B$2:$B$1001,0),IFERROR(MATCH($D137&amp;"",기본자료!$B$2:$B$1001,0),IFERROR(MATCH(VALUE($D137),기본자료!$B$2:$B$1001,0),0)))&gt;0,"확인","미등록"))</f>
        <v/>
      </c>
      <c r="F137" s="27">
        <f>IF($C137="","",INDEX(인턴근무계획!$S$3:$S$402,$A137))</f>
        <v/>
      </c>
      <c r="G137" s="23">
        <f>IF(OR($C137="",$G$3=""),"",IF(INDEX(인턴근무계획!$M$3:$R$402,$A137,$G$3)&amp;""="","",IF(LEFT(INDEX(인턴근무계획!$M$3:$R$402,$A137,$G$3)&amp;"",1)="⚠",INDEX(인턴근무계획!$M$3:$R$402,$A137,$G$3)&amp;"",LEFT(INDEX(인턴근무계획!$M$3:$R$402,$A137,$G$3)&amp;"",FIND(" ",INDEX(인턴근무계획!$M$3:$R$402,$A137,$G$3)&amp;"")-1))))</f>
        <v/>
      </c>
      <c r="H137" s="23">
        <f>IF(OR($C137="",$G$3=""),"",IF(INDEX(인턴근무계획!$M$3:$R$402,$A137,$G$3)&amp;""="","",IF(LEFT(INDEX(인턴근무계획!$M$3:$R$402,$A137,$G$3)&amp;"",1)="⚠","",MID(INDEX(인턴근무계획!$M$3:$R$402,$A137,$G$3)&amp;"",FIND(" ",INDEX(인턴근무계획!$M$3:$R$402,$A137,$G$3)&amp;"")+1,60))))</f>
        <v/>
      </c>
      <c r="I137" s="23">
        <f>IF(OR($C137="",$I$3=""),"",IF(INDEX(인턴근무계획!$M$3:$R$402,$A137,$I$3)&amp;""="","",IF(LEFT(INDEX(인턴근무계획!$M$3:$R$402,$A137,$I$3)&amp;"",1)="⚠",INDEX(인턴근무계획!$M$3:$R$402,$A137,$I$3)&amp;"",LEFT(INDEX(인턴근무계획!$M$3:$R$402,$A137,$I$3)&amp;"",FIND(" ",INDEX(인턴근무계획!$M$3:$R$402,$A137,$I$3)&amp;"")-1))))</f>
        <v/>
      </c>
      <c r="J137" s="23">
        <f>IF(OR($C137="",$I$3=""),"",IF(INDEX(인턴근무계획!$M$3:$R$402,$A137,$I$3)&amp;""="","",IF(LEFT(INDEX(인턴근무계획!$M$3:$R$402,$A137,$I$3)&amp;"",1)="⚠","",MID(INDEX(인턴근무계획!$M$3:$R$402,$A137,$I$3)&amp;"",FIND(" ",INDEX(인턴근무계획!$M$3:$R$402,$A137,$I$3)&amp;"")+1,60))))</f>
        <v/>
      </c>
      <c r="K137" s="23">
        <f>IF($C137="","",INDEX(인턴근무계획!$M$3:$M$402,$A137)&amp;"")</f>
        <v/>
      </c>
      <c r="L137" s="23">
        <f>IF($C137="","",INDEX(인턴근무계획!$N$3:$N$402,$A137)&amp;"")</f>
        <v/>
      </c>
      <c r="M137" s="23">
        <f>IF($C137="","",INDEX(인턴근무계획!$O$3:$O$402,$A137)&amp;"")</f>
        <v/>
      </c>
      <c r="N137" s="23">
        <f>IF($C137="","",INDEX(인턴근무계획!$P$3:$P$402,$A137)&amp;"")</f>
        <v/>
      </c>
      <c r="O137" s="23">
        <f>IF($C137="","",INDEX(인턴근무계획!$Q$3:$Q$402,$A137)&amp;"")</f>
        <v/>
      </c>
      <c r="P137" s="23">
        <f>IF($C137="","",INDEX(인턴근무계획!$R$3:$R$402,$A137)&amp;"")</f>
        <v/>
      </c>
      <c r="Q137" s="23">
        <f>IF($C137="","",INDEX(인턴근무계획!$T$3:$T$402,$A137))</f>
        <v/>
      </c>
    </row>
    <row r="138">
      <c r="A138" s="26" t="n">
        <v>133</v>
      </c>
      <c r="B138" s="23">
        <f>IF($C138="","",INDEX(인턴근무계획!$B$3:$B$402,$A138))</f>
        <v/>
      </c>
      <c r="C138" s="23">
        <f>IFERROR(TRIM(INDEX(인턴근무계획!$C$3:$C$402,$A138)&amp;""),"")</f>
        <v/>
      </c>
      <c r="D138" s="23">
        <f>IF($C138="","",INDEX(인턴근무계획!$D$3:$D$402,$A138))</f>
        <v/>
      </c>
      <c r="E138" s="23">
        <f>IF($C138="","",IF(IFERROR(MATCH($D138,기본자료!$B$2:$B$1001,0),IFERROR(MATCH($D138&amp;"",기본자료!$B$2:$B$1001,0),IFERROR(MATCH(VALUE($D138),기본자료!$B$2:$B$1001,0),0)))&gt;0,"확인","미등록"))</f>
        <v/>
      </c>
      <c r="F138" s="27">
        <f>IF($C138="","",INDEX(인턴근무계획!$S$3:$S$402,$A138))</f>
        <v/>
      </c>
      <c r="G138" s="23">
        <f>IF(OR($C138="",$G$3=""),"",IF(INDEX(인턴근무계획!$M$3:$R$402,$A138,$G$3)&amp;""="","",IF(LEFT(INDEX(인턴근무계획!$M$3:$R$402,$A138,$G$3)&amp;"",1)="⚠",INDEX(인턴근무계획!$M$3:$R$402,$A138,$G$3)&amp;"",LEFT(INDEX(인턴근무계획!$M$3:$R$402,$A138,$G$3)&amp;"",FIND(" ",INDEX(인턴근무계획!$M$3:$R$402,$A138,$G$3)&amp;"")-1))))</f>
        <v/>
      </c>
      <c r="H138" s="23">
        <f>IF(OR($C138="",$G$3=""),"",IF(INDEX(인턴근무계획!$M$3:$R$402,$A138,$G$3)&amp;""="","",IF(LEFT(INDEX(인턴근무계획!$M$3:$R$402,$A138,$G$3)&amp;"",1)="⚠","",MID(INDEX(인턴근무계획!$M$3:$R$402,$A138,$G$3)&amp;"",FIND(" ",INDEX(인턴근무계획!$M$3:$R$402,$A138,$G$3)&amp;"")+1,60))))</f>
        <v/>
      </c>
      <c r="I138" s="23">
        <f>IF(OR($C138="",$I$3=""),"",IF(INDEX(인턴근무계획!$M$3:$R$402,$A138,$I$3)&amp;""="","",IF(LEFT(INDEX(인턴근무계획!$M$3:$R$402,$A138,$I$3)&amp;"",1)="⚠",INDEX(인턴근무계획!$M$3:$R$402,$A138,$I$3)&amp;"",LEFT(INDEX(인턴근무계획!$M$3:$R$402,$A138,$I$3)&amp;"",FIND(" ",INDEX(인턴근무계획!$M$3:$R$402,$A138,$I$3)&amp;"")-1))))</f>
        <v/>
      </c>
      <c r="J138" s="23">
        <f>IF(OR($C138="",$I$3=""),"",IF(INDEX(인턴근무계획!$M$3:$R$402,$A138,$I$3)&amp;""="","",IF(LEFT(INDEX(인턴근무계획!$M$3:$R$402,$A138,$I$3)&amp;"",1)="⚠","",MID(INDEX(인턴근무계획!$M$3:$R$402,$A138,$I$3)&amp;"",FIND(" ",INDEX(인턴근무계획!$M$3:$R$402,$A138,$I$3)&amp;"")+1,60))))</f>
        <v/>
      </c>
      <c r="K138" s="23">
        <f>IF($C138="","",INDEX(인턴근무계획!$M$3:$M$402,$A138)&amp;"")</f>
        <v/>
      </c>
      <c r="L138" s="23">
        <f>IF($C138="","",INDEX(인턴근무계획!$N$3:$N$402,$A138)&amp;"")</f>
        <v/>
      </c>
      <c r="M138" s="23">
        <f>IF($C138="","",INDEX(인턴근무계획!$O$3:$O$402,$A138)&amp;"")</f>
        <v/>
      </c>
      <c r="N138" s="23">
        <f>IF($C138="","",INDEX(인턴근무계획!$P$3:$P$402,$A138)&amp;"")</f>
        <v/>
      </c>
      <c r="O138" s="23">
        <f>IF($C138="","",INDEX(인턴근무계획!$Q$3:$Q$402,$A138)&amp;"")</f>
        <v/>
      </c>
      <c r="P138" s="23">
        <f>IF($C138="","",INDEX(인턴근무계획!$R$3:$R$402,$A138)&amp;"")</f>
        <v/>
      </c>
      <c r="Q138" s="23">
        <f>IF($C138="","",INDEX(인턴근무계획!$T$3:$T$402,$A138))</f>
        <v/>
      </c>
    </row>
    <row r="139">
      <c r="A139" s="26" t="n">
        <v>134</v>
      </c>
      <c r="B139" s="23">
        <f>IF($C139="","",INDEX(인턴근무계획!$B$3:$B$402,$A139))</f>
        <v/>
      </c>
      <c r="C139" s="23">
        <f>IFERROR(TRIM(INDEX(인턴근무계획!$C$3:$C$402,$A139)&amp;""),"")</f>
        <v/>
      </c>
      <c r="D139" s="23">
        <f>IF($C139="","",INDEX(인턴근무계획!$D$3:$D$402,$A139))</f>
        <v/>
      </c>
      <c r="E139" s="23">
        <f>IF($C139="","",IF(IFERROR(MATCH($D139,기본자료!$B$2:$B$1001,0),IFERROR(MATCH($D139&amp;"",기본자료!$B$2:$B$1001,0),IFERROR(MATCH(VALUE($D139),기본자료!$B$2:$B$1001,0),0)))&gt;0,"확인","미등록"))</f>
        <v/>
      </c>
      <c r="F139" s="27">
        <f>IF($C139="","",INDEX(인턴근무계획!$S$3:$S$402,$A139))</f>
        <v/>
      </c>
      <c r="G139" s="23">
        <f>IF(OR($C139="",$G$3=""),"",IF(INDEX(인턴근무계획!$M$3:$R$402,$A139,$G$3)&amp;""="","",IF(LEFT(INDEX(인턴근무계획!$M$3:$R$402,$A139,$G$3)&amp;"",1)="⚠",INDEX(인턴근무계획!$M$3:$R$402,$A139,$G$3)&amp;"",LEFT(INDEX(인턴근무계획!$M$3:$R$402,$A139,$G$3)&amp;"",FIND(" ",INDEX(인턴근무계획!$M$3:$R$402,$A139,$G$3)&amp;"")-1))))</f>
        <v/>
      </c>
      <c r="H139" s="23">
        <f>IF(OR($C139="",$G$3=""),"",IF(INDEX(인턴근무계획!$M$3:$R$402,$A139,$G$3)&amp;""="","",IF(LEFT(INDEX(인턴근무계획!$M$3:$R$402,$A139,$G$3)&amp;"",1)="⚠","",MID(INDEX(인턴근무계획!$M$3:$R$402,$A139,$G$3)&amp;"",FIND(" ",INDEX(인턴근무계획!$M$3:$R$402,$A139,$G$3)&amp;"")+1,60))))</f>
        <v/>
      </c>
      <c r="I139" s="23">
        <f>IF(OR($C139="",$I$3=""),"",IF(INDEX(인턴근무계획!$M$3:$R$402,$A139,$I$3)&amp;""="","",IF(LEFT(INDEX(인턴근무계획!$M$3:$R$402,$A139,$I$3)&amp;"",1)="⚠",INDEX(인턴근무계획!$M$3:$R$402,$A139,$I$3)&amp;"",LEFT(INDEX(인턴근무계획!$M$3:$R$402,$A139,$I$3)&amp;"",FIND(" ",INDEX(인턴근무계획!$M$3:$R$402,$A139,$I$3)&amp;"")-1))))</f>
        <v/>
      </c>
      <c r="J139" s="23">
        <f>IF(OR($C139="",$I$3=""),"",IF(INDEX(인턴근무계획!$M$3:$R$402,$A139,$I$3)&amp;""="","",IF(LEFT(INDEX(인턴근무계획!$M$3:$R$402,$A139,$I$3)&amp;"",1)="⚠","",MID(INDEX(인턴근무계획!$M$3:$R$402,$A139,$I$3)&amp;"",FIND(" ",INDEX(인턴근무계획!$M$3:$R$402,$A139,$I$3)&amp;"")+1,60))))</f>
        <v/>
      </c>
      <c r="K139" s="23">
        <f>IF($C139="","",INDEX(인턴근무계획!$M$3:$M$402,$A139)&amp;"")</f>
        <v/>
      </c>
      <c r="L139" s="23">
        <f>IF($C139="","",INDEX(인턴근무계획!$N$3:$N$402,$A139)&amp;"")</f>
        <v/>
      </c>
      <c r="M139" s="23">
        <f>IF($C139="","",INDEX(인턴근무계획!$O$3:$O$402,$A139)&amp;"")</f>
        <v/>
      </c>
      <c r="N139" s="23">
        <f>IF($C139="","",INDEX(인턴근무계획!$P$3:$P$402,$A139)&amp;"")</f>
        <v/>
      </c>
      <c r="O139" s="23">
        <f>IF($C139="","",INDEX(인턴근무계획!$Q$3:$Q$402,$A139)&amp;"")</f>
        <v/>
      </c>
      <c r="P139" s="23">
        <f>IF($C139="","",INDEX(인턴근무계획!$R$3:$R$402,$A139)&amp;"")</f>
        <v/>
      </c>
      <c r="Q139" s="23">
        <f>IF($C139="","",INDEX(인턴근무계획!$T$3:$T$402,$A139))</f>
        <v/>
      </c>
    </row>
    <row r="140">
      <c r="A140" s="26" t="n">
        <v>135</v>
      </c>
      <c r="B140" s="23">
        <f>IF($C140="","",INDEX(인턴근무계획!$B$3:$B$402,$A140))</f>
        <v/>
      </c>
      <c r="C140" s="23">
        <f>IFERROR(TRIM(INDEX(인턴근무계획!$C$3:$C$402,$A140)&amp;""),"")</f>
        <v/>
      </c>
      <c r="D140" s="23">
        <f>IF($C140="","",INDEX(인턴근무계획!$D$3:$D$402,$A140))</f>
        <v/>
      </c>
      <c r="E140" s="23">
        <f>IF($C140="","",IF(IFERROR(MATCH($D140,기본자료!$B$2:$B$1001,0),IFERROR(MATCH($D140&amp;"",기본자료!$B$2:$B$1001,0),IFERROR(MATCH(VALUE($D140),기본자료!$B$2:$B$1001,0),0)))&gt;0,"확인","미등록"))</f>
        <v/>
      </c>
      <c r="F140" s="27">
        <f>IF($C140="","",INDEX(인턴근무계획!$S$3:$S$402,$A140))</f>
        <v/>
      </c>
      <c r="G140" s="23">
        <f>IF(OR($C140="",$G$3=""),"",IF(INDEX(인턴근무계획!$M$3:$R$402,$A140,$G$3)&amp;""="","",IF(LEFT(INDEX(인턴근무계획!$M$3:$R$402,$A140,$G$3)&amp;"",1)="⚠",INDEX(인턴근무계획!$M$3:$R$402,$A140,$G$3)&amp;"",LEFT(INDEX(인턴근무계획!$M$3:$R$402,$A140,$G$3)&amp;"",FIND(" ",INDEX(인턴근무계획!$M$3:$R$402,$A140,$G$3)&amp;"")-1))))</f>
        <v/>
      </c>
      <c r="H140" s="23">
        <f>IF(OR($C140="",$G$3=""),"",IF(INDEX(인턴근무계획!$M$3:$R$402,$A140,$G$3)&amp;""="","",IF(LEFT(INDEX(인턴근무계획!$M$3:$R$402,$A140,$G$3)&amp;"",1)="⚠","",MID(INDEX(인턴근무계획!$M$3:$R$402,$A140,$G$3)&amp;"",FIND(" ",INDEX(인턴근무계획!$M$3:$R$402,$A140,$G$3)&amp;"")+1,60))))</f>
        <v/>
      </c>
      <c r="I140" s="23">
        <f>IF(OR($C140="",$I$3=""),"",IF(INDEX(인턴근무계획!$M$3:$R$402,$A140,$I$3)&amp;""="","",IF(LEFT(INDEX(인턴근무계획!$M$3:$R$402,$A140,$I$3)&amp;"",1)="⚠",INDEX(인턴근무계획!$M$3:$R$402,$A140,$I$3)&amp;"",LEFT(INDEX(인턴근무계획!$M$3:$R$402,$A140,$I$3)&amp;"",FIND(" ",INDEX(인턴근무계획!$M$3:$R$402,$A140,$I$3)&amp;"")-1))))</f>
        <v/>
      </c>
      <c r="J140" s="23">
        <f>IF(OR($C140="",$I$3=""),"",IF(INDEX(인턴근무계획!$M$3:$R$402,$A140,$I$3)&amp;""="","",IF(LEFT(INDEX(인턴근무계획!$M$3:$R$402,$A140,$I$3)&amp;"",1)="⚠","",MID(INDEX(인턴근무계획!$M$3:$R$402,$A140,$I$3)&amp;"",FIND(" ",INDEX(인턴근무계획!$M$3:$R$402,$A140,$I$3)&amp;"")+1,60))))</f>
        <v/>
      </c>
      <c r="K140" s="23">
        <f>IF($C140="","",INDEX(인턴근무계획!$M$3:$M$402,$A140)&amp;"")</f>
        <v/>
      </c>
      <c r="L140" s="23">
        <f>IF($C140="","",INDEX(인턴근무계획!$N$3:$N$402,$A140)&amp;"")</f>
        <v/>
      </c>
      <c r="M140" s="23">
        <f>IF($C140="","",INDEX(인턴근무계획!$O$3:$O$402,$A140)&amp;"")</f>
        <v/>
      </c>
      <c r="N140" s="23">
        <f>IF($C140="","",INDEX(인턴근무계획!$P$3:$P$402,$A140)&amp;"")</f>
        <v/>
      </c>
      <c r="O140" s="23">
        <f>IF($C140="","",INDEX(인턴근무계획!$Q$3:$Q$402,$A140)&amp;"")</f>
        <v/>
      </c>
      <c r="P140" s="23">
        <f>IF($C140="","",INDEX(인턴근무계획!$R$3:$R$402,$A140)&amp;"")</f>
        <v/>
      </c>
      <c r="Q140" s="23">
        <f>IF($C140="","",INDEX(인턴근무계획!$T$3:$T$402,$A140))</f>
        <v/>
      </c>
    </row>
    <row r="141">
      <c r="A141" s="26" t="n">
        <v>136</v>
      </c>
      <c r="B141" s="23">
        <f>IF($C141="","",INDEX(인턴근무계획!$B$3:$B$402,$A141))</f>
        <v/>
      </c>
      <c r="C141" s="23">
        <f>IFERROR(TRIM(INDEX(인턴근무계획!$C$3:$C$402,$A141)&amp;""),"")</f>
        <v/>
      </c>
      <c r="D141" s="23">
        <f>IF($C141="","",INDEX(인턴근무계획!$D$3:$D$402,$A141))</f>
        <v/>
      </c>
      <c r="E141" s="23">
        <f>IF($C141="","",IF(IFERROR(MATCH($D141,기본자료!$B$2:$B$1001,0),IFERROR(MATCH($D141&amp;"",기본자료!$B$2:$B$1001,0),IFERROR(MATCH(VALUE($D141),기본자료!$B$2:$B$1001,0),0)))&gt;0,"확인","미등록"))</f>
        <v/>
      </c>
      <c r="F141" s="27">
        <f>IF($C141="","",INDEX(인턴근무계획!$S$3:$S$402,$A141))</f>
        <v/>
      </c>
      <c r="G141" s="23">
        <f>IF(OR($C141="",$G$3=""),"",IF(INDEX(인턴근무계획!$M$3:$R$402,$A141,$G$3)&amp;""="","",IF(LEFT(INDEX(인턴근무계획!$M$3:$R$402,$A141,$G$3)&amp;"",1)="⚠",INDEX(인턴근무계획!$M$3:$R$402,$A141,$G$3)&amp;"",LEFT(INDEX(인턴근무계획!$M$3:$R$402,$A141,$G$3)&amp;"",FIND(" ",INDEX(인턴근무계획!$M$3:$R$402,$A141,$G$3)&amp;"")-1))))</f>
        <v/>
      </c>
      <c r="H141" s="23">
        <f>IF(OR($C141="",$G$3=""),"",IF(INDEX(인턴근무계획!$M$3:$R$402,$A141,$G$3)&amp;""="","",IF(LEFT(INDEX(인턴근무계획!$M$3:$R$402,$A141,$G$3)&amp;"",1)="⚠","",MID(INDEX(인턴근무계획!$M$3:$R$402,$A141,$G$3)&amp;"",FIND(" ",INDEX(인턴근무계획!$M$3:$R$402,$A141,$G$3)&amp;"")+1,60))))</f>
        <v/>
      </c>
      <c r="I141" s="23">
        <f>IF(OR($C141="",$I$3=""),"",IF(INDEX(인턴근무계획!$M$3:$R$402,$A141,$I$3)&amp;""="","",IF(LEFT(INDEX(인턴근무계획!$M$3:$R$402,$A141,$I$3)&amp;"",1)="⚠",INDEX(인턴근무계획!$M$3:$R$402,$A141,$I$3)&amp;"",LEFT(INDEX(인턴근무계획!$M$3:$R$402,$A141,$I$3)&amp;"",FIND(" ",INDEX(인턴근무계획!$M$3:$R$402,$A141,$I$3)&amp;"")-1))))</f>
        <v/>
      </c>
      <c r="J141" s="23">
        <f>IF(OR($C141="",$I$3=""),"",IF(INDEX(인턴근무계획!$M$3:$R$402,$A141,$I$3)&amp;""="","",IF(LEFT(INDEX(인턴근무계획!$M$3:$R$402,$A141,$I$3)&amp;"",1)="⚠","",MID(INDEX(인턴근무계획!$M$3:$R$402,$A141,$I$3)&amp;"",FIND(" ",INDEX(인턴근무계획!$M$3:$R$402,$A141,$I$3)&amp;"")+1,60))))</f>
        <v/>
      </c>
      <c r="K141" s="23">
        <f>IF($C141="","",INDEX(인턴근무계획!$M$3:$M$402,$A141)&amp;"")</f>
        <v/>
      </c>
      <c r="L141" s="23">
        <f>IF($C141="","",INDEX(인턴근무계획!$N$3:$N$402,$A141)&amp;"")</f>
        <v/>
      </c>
      <c r="M141" s="23">
        <f>IF($C141="","",INDEX(인턴근무계획!$O$3:$O$402,$A141)&amp;"")</f>
        <v/>
      </c>
      <c r="N141" s="23">
        <f>IF($C141="","",INDEX(인턴근무계획!$P$3:$P$402,$A141)&amp;"")</f>
        <v/>
      </c>
      <c r="O141" s="23">
        <f>IF($C141="","",INDEX(인턴근무계획!$Q$3:$Q$402,$A141)&amp;"")</f>
        <v/>
      </c>
      <c r="P141" s="23">
        <f>IF($C141="","",INDEX(인턴근무계획!$R$3:$R$402,$A141)&amp;"")</f>
        <v/>
      </c>
      <c r="Q141" s="23">
        <f>IF($C141="","",INDEX(인턴근무계획!$T$3:$T$402,$A141))</f>
        <v/>
      </c>
    </row>
    <row r="142">
      <c r="A142" s="26" t="n">
        <v>137</v>
      </c>
      <c r="B142" s="23">
        <f>IF($C142="","",INDEX(인턴근무계획!$B$3:$B$402,$A142))</f>
        <v/>
      </c>
      <c r="C142" s="23">
        <f>IFERROR(TRIM(INDEX(인턴근무계획!$C$3:$C$402,$A142)&amp;""),"")</f>
        <v/>
      </c>
      <c r="D142" s="23">
        <f>IF($C142="","",INDEX(인턴근무계획!$D$3:$D$402,$A142))</f>
        <v/>
      </c>
      <c r="E142" s="23">
        <f>IF($C142="","",IF(IFERROR(MATCH($D142,기본자료!$B$2:$B$1001,0),IFERROR(MATCH($D142&amp;"",기본자료!$B$2:$B$1001,0),IFERROR(MATCH(VALUE($D142),기본자료!$B$2:$B$1001,0),0)))&gt;0,"확인","미등록"))</f>
        <v/>
      </c>
      <c r="F142" s="27">
        <f>IF($C142="","",INDEX(인턴근무계획!$S$3:$S$402,$A142))</f>
        <v/>
      </c>
      <c r="G142" s="23">
        <f>IF(OR($C142="",$G$3=""),"",IF(INDEX(인턴근무계획!$M$3:$R$402,$A142,$G$3)&amp;""="","",IF(LEFT(INDEX(인턴근무계획!$M$3:$R$402,$A142,$G$3)&amp;"",1)="⚠",INDEX(인턴근무계획!$M$3:$R$402,$A142,$G$3)&amp;"",LEFT(INDEX(인턴근무계획!$M$3:$R$402,$A142,$G$3)&amp;"",FIND(" ",INDEX(인턴근무계획!$M$3:$R$402,$A142,$G$3)&amp;"")-1))))</f>
        <v/>
      </c>
      <c r="H142" s="23">
        <f>IF(OR($C142="",$G$3=""),"",IF(INDEX(인턴근무계획!$M$3:$R$402,$A142,$G$3)&amp;""="","",IF(LEFT(INDEX(인턴근무계획!$M$3:$R$402,$A142,$G$3)&amp;"",1)="⚠","",MID(INDEX(인턴근무계획!$M$3:$R$402,$A142,$G$3)&amp;"",FIND(" ",INDEX(인턴근무계획!$M$3:$R$402,$A142,$G$3)&amp;"")+1,60))))</f>
        <v/>
      </c>
      <c r="I142" s="23">
        <f>IF(OR($C142="",$I$3=""),"",IF(INDEX(인턴근무계획!$M$3:$R$402,$A142,$I$3)&amp;""="","",IF(LEFT(INDEX(인턴근무계획!$M$3:$R$402,$A142,$I$3)&amp;"",1)="⚠",INDEX(인턴근무계획!$M$3:$R$402,$A142,$I$3)&amp;"",LEFT(INDEX(인턴근무계획!$M$3:$R$402,$A142,$I$3)&amp;"",FIND(" ",INDEX(인턴근무계획!$M$3:$R$402,$A142,$I$3)&amp;"")-1))))</f>
        <v/>
      </c>
      <c r="J142" s="23">
        <f>IF(OR($C142="",$I$3=""),"",IF(INDEX(인턴근무계획!$M$3:$R$402,$A142,$I$3)&amp;""="","",IF(LEFT(INDEX(인턴근무계획!$M$3:$R$402,$A142,$I$3)&amp;"",1)="⚠","",MID(INDEX(인턴근무계획!$M$3:$R$402,$A142,$I$3)&amp;"",FIND(" ",INDEX(인턴근무계획!$M$3:$R$402,$A142,$I$3)&amp;"")+1,60))))</f>
        <v/>
      </c>
      <c r="K142" s="23">
        <f>IF($C142="","",INDEX(인턴근무계획!$M$3:$M$402,$A142)&amp;"")</f>
        <v/>
      </c>
      <c r="L142" s="23">
        <f>IF($C142="","",INDEX(인턴근무계획!$N$3:$N$402,$A142)&amp;"")</f>
        <v/>
      </c>
      <c r="M142" s="23">
        <f>IF($C142="","",INDEX(인턴근무계획!$O$3:$O$402,$A142)&amp;"")</f>
        <v/>
      </c>
      <c r="N142" s="23">
        <f>IF($C142="","",INDEX(인턴근무계획!$P$3:$P$402,$A142)&amp;"")</f>
        <v/>
      </c>
      <c r="O142" s="23">
        <f>IF($C142="","",INDEX(인턴근무계획!$Q$3:$Q$402,$A142)&amp;"")</f>
        <v/>
      </c>
      <c r="P142" s="23">
        <f>IF($C142="","",INDEX(인턴근무계획!$R$3:$R$402,$A142)&amp;"")</f>
        <v/>
      </c>
      <c r="Q142" s="23">
        <f>IF($C142="","",INDEX(인턴근무계획!$T$3:$T$402,$A142))</f>
        <v/>
      </c>
    </row>
    <row r="143">
      <c r="A143" s="26" t="n">
        <v>138</v>
      </c>
      <c r="B143" s="23">
        <f>IF($C143="","",INDEX(인턴근무계획!$B$3:$B$402,$A143))</f>
        <v/>
      </c>
      <c r="C143" s="23">
        <f>IFERROR(TRIM(INDEX(인턴근무계획!$C$3:$C$402,$A143)&amp;""),"")</f>
        <v/>
      </c>
      <c r="D143" s="23">
        <f>IF($C143="","",INDEX(인턴근무계획!$D$3:$D$402,$A143))</f>
        <v/>
      </c>
      <c r="E143" s="23">
        <f>IF($C143="","",IF(IFERROR(MATCH($D143,기본자료!$B$2:$B$1001,0),IFERROR(MATCH($D143&amp;"",기본자료!$B$2:$B$1001,0),IFERROR(MATCH(VALUE($D143),기본자료!$B$2:$B$1001,0),0)))&gt;0,"확인","미등록"))</f>
        <v/>
      </c>
      <c r="F143" s="27">
        <f>IF($C143="","",INDEX(인턴근무계획!$S$3:$S$402,$A143))</f>
        <v/>
      </c>
      <c r="G143" s="23">
        <f>IF(OR($C143="",$G$3=""),"",IF(INDEX(인턴근무계획!$M$3:$R$402,$A143,$G$3)&amp;""="","",IF(LEFT(INDEX(인턴근무계획!$M$3:$R$402,$A143,$G$3)&amp;"",1)="⚠",INDEX(인턴근무계획!$M$3:$R$402,$A143,$G$3)&amp;"",LEFT(INDEX(인턴근무계획!$M$3:$R$402,$A143,$G$3)&amp;"",FIND(" ",INDEX(인턴근무계획!$M$3:$R$402,$A143,$G$3)&amp;"")-1))))</f>
        <v/>
      </c>
      <c r="H143" s="23">
        <f>IF(OR($C143="",$G$3=""),"",IF(INDEX(인턴근무계획!$M$3:$R$402,$A143,$G$3)&amp;""="","",IF(LEFT(INDEX(인턴근무계획!$M$3:$R$402,$A143,$G$3)&amp;"",1)="⚠","",MID(INDEX(인턴근무계획!$M$3:$R$402,$A143,$G$3)&amp;"",FIND(" ",INDEX(인턴근무계획!$M$3:$R$402,$A143,$G$3)&amp;"")+1,60))))</f>
        <v/>
      </c>
      <c r="I143" s="23">
        <f>IF(OR($C143="",$I$3=""),"",IF(INDEX(인턴근무계획!$M$3:$R$402,$A143,$I$3)&amp;""="","",IF(LEFT(INDEX(인턴근무계획!$M$3:$R$402,$A143,$I$3)&amp;"",1)="⚠",INDEX(인턴근무계획!$M$3:$R$402,$A143,$I$3)&amp;"",LEFT(INDEX(인턴근무계획!$M$3:$R$402,$A143,$I$3)&amp;"",FIND(" ",INDEX(인턴근무계획!$M$3:$R$402,$A143,$I$3)&amp;"")-1))))</f>
        <v/>
      </c>
      <c r="J143" s="23">
        <f>IF(OR($C143="",$I$3=""),"",IF(INDEX(인턴근무계획!$M$3:$R$402,$A143,$I$3)&amp;""="","",IF(LEFT(INDEX(인턴근무계획!$M$3:$R$402,$A143,$I$3)&amp;"",1)="⚠","",MID(INDEX(인턴근무계획!$M$3:$R$402,$A143,$I$3)&amp;"",FIND(" ",INDEX(인턴근무계획!$M$3:$R$402,$A143,$I$3)&amp;"")+1,60))))</f>
        <v/>
      </c>
      <c r="K143" s="23">
        <f>IF($C143="","",INDEX(인턴근무계획!$M$3:$M$402,$A143)&amp;"")</f>
        <v/>
      </c>
      <c r="L143" s="23">
        <f>IF($C143="","",INDEX(인턴근무계획!$N$3:$N$402,$A143)&amp;"")</f>
        <v/>
      </c>
      <c r="M143" s="23">
        <f>IF($C143="","",INDEX(인턴근무계획!$O$3:$O$402,$A143)&amp;"")</f>
        <v/>
      </c>
      <c r="N143" s="23">
        <f>IF($C143="","",INDEX(인턴근무계획!$P$3:$P$402,$A143)&amp;"")</f>
        <v/>
      </c>
      <c r="O143" s="23">
        <f>IF($C143="","",INDEX(인턴근무계획!$Q$3:$Q$402,$A143)&amp;"")</f>
        <v/>
      </c>
      <c r="P143" s="23">
        <f>IF($C143="","",INDEX(인턴근무계획!$R$3:$R$402,$A143)&amp;"")</f>
        <v/>
      </c>
      <c r="Q143" s="23">
        <f>IF($C143="","",INDEX(인턴근무계획!$T$3:$T$402,$A143))</f>
        <v/>
      </c>
    </row>
    <row r="144">
      <c r="A144" s="26" t="n">
        <v>139</v>
      </c>
      <c r="B144" s="23">
        <f>IF($C144="","",INDEX(인턴근무계획!$B$3:$B$402,$A144))</f>
        <v/>
      </c>
      <c r="C144" s="23">
        <f>IFERROR(TRIM(INDEX(인턴근무계획!$C$3:$C$402,$A144)&amp;""),"")</f>
        <v/>
      </c>
      <c r="D144" s="23">
        <f>IF($C144="","",INDEX(인턴근무계획!$D$3:$D$402,$A144))</f>
        <v/>
      </c>
      <c r="E144" s="23">
        <f>IF($C144="","",IF(IFERROR(MATCH($D144,기본자료!$B$2:$B$1001,0),IFERROR(MATCH($D144&amp;"",기본자료!$B$2:$B$1001,0),IFERROR(MATCH(VALUE($D144),기본자료!$B$2:$B$1001,0),0)))&gt;0,"확인","미등록"))</f>
        <v/>
      </c>
      <c r="F144" s="27">
        <f>IF($C144="","",INDEX(인턴근무계획!$S$3:$S$402,$A144))</f>
        <v/>
      </c>
      <c r="G144" s="23">
        <f>IF(OR($C144="",$G$3=""),"",IF(INDEX(인턴근무계획!$M$3:$R$402,$A144,$G$3)&amp;""="","",IF(LEFT(INDEX(인턴근무계획!$M$3:$R$402,$A144,$G$3)&amp;"",1)="⚠",INDEX(인턴근무계획!$M$3:$R$402,$A144,$G$3)&amp;"",LEFT(INDEX(인턴근무계획!$M$3:$R$402,$A144,$G$3)&amp;"",FIND(" ",INDEX(인턴근무계획!$M$3:$R$402,$A144,$G$3)&amp;"")-1))))</f>
        <v/>
      </c>
      <c r="H144" s="23">
        <f>IF(OR($C144="",$G$3=""),"",IF(INDEX(인턴근무계획!$M$3:$R$402,$A144,$G$3)&amp;""="","",IF(LEFT(INDEX(인턴근무계획!$M$3:$R$402,$A144,$G$3)&amp;"",1)="⚠","",MID(INDEX(인턴근무계획!$M$3:$R$402,$A144,$G$3)&amp;"",FIND(" ",INDEX(인턴근무계획!$M$3:$R$402,$A144,$G$3)&amp;"")+1,60))))</f>
        <v/>
      </c>
      <c r="I144" s="23">
        <f>IF(OR($C144="",$I$3=""),"",IF(INDEX(인턴근무계획!$M$3:$R$402,$A144,$I$3)&amp;""="","",IF(LEFT(INDEX(인턴근무계획!$M$3:$R$402,$A144,$I$3)&amp;"",1)="⚠",INDEX(인턴근무계획!$M$3:$R$402,$A144,$I$3)&amp;"",LEFT(INDEX(인턴근무계획!$M$3:$R$402,$A144,$I$3)&amp;"",FIND(" ",INDEX(인턴근무계획!$M$3:$R$402,$A144,$I$3)&amp;"")-1))))</f>
        <v/>
      </c>
      <c r="J144" s="23">
        <f>IF(OR($C144="",$I$3=""),"",IF(INDEX(인턴근무계획!$M$3:$R$402,$A144,$I$3)&amp;""="","",IF(LEFT(INDEX(인턴근무계획!$M$3:$R$402,$A144,$I$3)&amp;"",1)="⚠","",MID(INDEX(인턴근무계획!$M$3:$R$402,$A144,$I$3)&amp;"",FIND(" ",INDEX(인턴근무계획!$M$3:$R$402,$A144,$I$3)&amp;"")+1,60))))</f>
        <v/>
      </c>
      <c r="K144" s="23">
        <f>IF($C144="","",INDEX(인턴근무계획!$M$3:$M$402,$A144)&amp;"")</f>
        <v/>
      </c>
      <c r="L144" s="23">
        <f>IF($C144="","",INDEX(인턴근무계획!$N$3:$N$402,$A144)&amp;"")</f>
        <v/>
      </c>
      <c r="M144" s="23">
        <f>IF($C144="","",INDEX(인턴근무계획!$O$3:$O$402,$A144)&amp;"")</f>
        <v/>
      </c>
      <c r="N144" s="23">
        <f>IF($C144="","",INDEX(인턴근무계획!$P$3:$P$402,$A144)&amp;"")</f>
        <v/>
      </c>
      <c r="O144" s="23">
        <f>IF($C144="","",INDEX(인턴근무계획!$Q$3:$Q$402,$A144)&amp;"")</f>
        <v/>
      </c>
      <c r="P144" s="23">
        <f>IF($C144="","",INDEX(인턴근무계획!$R$3:$R$402,$A144)&amp;"")</f>
        <v/>
      </c>
      <c r="Q144" s="23">
        <f>IF($C144="","",INDEX(인턴근무계획!$T$3:$T$402,$A144))</f>
        <v/>
      </c>
    </row>
    <row r="145">
      <c r="A145" s="26" t="n">
        <v>140</v>
      </c>
      <c r="B145" s="23">
        <f>IF($C145="","",INDEX(인턴근무계획!$B$3:$B$402,$A145))</f>
        <v/>
      </c>
      <c r="C145" s="23">
        <f>IFERROR(TRIM(INDEX(인턴근무계획!$C$3:$C$402,$A145)&amp;""),"")</f>
        <v/>
      </c>
      <c r="D145" s="23">
        <f>IF($C145="","",INDEX(인턴근무계획!$D$3:$D$402,$A145))</f>
        <v/>
      </c>
      <c r="E145" s="23">
        <f>IF($C145="","",IF(IFERROR(MATCH($D145,기본자료!$B$2:$B$1001,0),IFERROR(MATCH($D145&amp;"",기본자료!$B$2:$B$1001,0),IFERROR(MATCH(VALUE($D145),기본자료!$B$2:$B$1001,0),0)))&gt;0,"확인","미등록"))</f>
        <v/>
      </c>
      <c r="F145" s="27">
        <f>IF($C145="","",INDEX(인턴근무계획!$S$3:$S$402,$A145))</f>
        <v/>
      </c>
      <c r="G145" s="23">
        <f>IF(OR($C145="",$G$3=""),"",IF(INDEX(인턴근무계획!$M$3:$R$402,$A145,$G$3)&amp;""="","",IF(LEFT(INDEX(인턴근무계획!$M$3:$R$402,$A145,$G$3)&amp;"",1)="⚠",INDEX(인턴근무계획!$M$3:$R$402,$A145,$G$3)&amp;"",LEFT(INDEX(인턴근무계획!$M$3:$R$402,$A145,$G$3)&amp;"",FIND(" ",INDEX(인턴근무계획!$M$3:$R$402,$A145,$G$3)&amp;"")-1))))</f>
        <v/>
      </c>
      <c r="H145" s="23">
        <f>IF(OR($C145="",$G$3=""),"",IF(INDEX(인턴근무계획!$M$3:$R$402,$A145,$G$3)&amp;""="","",IF(LEFT(INDEX(인턴근무계획!$M$3:$R$402,$A145,$G$3)&amp;"",1)="⚠","",MID(INDEX(인턴근무계획!$M$3:$R$402,$A145,$G$3)&amp;"",FIND(" ",INDEX(인턴근무계획!$M$3:$R$402,$A145,$G$3)&amp;"")+1,60))))</f>
        <v/>
      </c>
      <c r="I145" s="23">
        <f>IF(OR($C145="",$I$3=""),"",IF(INDEX(인턴근무계획!$M$3:$R$402,$A145,$I$3)&amp;""="","",IF(LEFT(INDEX(인턴근무계획!$M$3:$R$402,$A145,$I$3)&amp;"",1)="⚠",INDEX(인턴근무계획!$M$3:$R$402,$A145,$I$3)&amp;"",LEFT(INDEX(인턴근무계획!$M$3:$R$402,$A145,$I$3)&amp;"",FIND(" ",INDEX(인턴근무계획!$M$3:$R$402,$A145,$I$3)&amp;"")-1))))</f>
        <v/>
      </c>
      <c r="J145" s="23">
        <f>IF(OR($C145="",$I$3=""),"",IF(INDEX(인턴근무계획!$M$3:$R$402,$A145,$I$3)&amp;""="","",IF(LEFT(INDEX(인턴근무계획!$M$3:$R$402,$A145,$I$3)&amp;"",1)="⚠","",MID(INDEX(인턴근무계획!$M$3:$R$402,$A145,$I$3)&amp;"",FIND(" ",INDEX(인턴근무계획!$M$3:$R$402,$A145,$I$3)&amp;"")+1,60))))</f>
        <v/>
      </c>
      <c r="K145" s="23">
        <f>IF($C145="","",INDEX(인턴근무계획!$M$3:$M$402,$A145)&amp;"")</f>
        <v/>
      </c>
      <c r="L145" s="23">
        <f>IF($C145="","",INDEX(인턴근무계획!$N$3:$N$402,$A145)&amp;"")</f>
        <v/>
      </c>
      <c r="M145" s="23">
        <f>IF($C145="","",INDEX(인턴근무계획!$O$3:$O$402,$A145)&amp;"")</f>
        <v/>
      </c>
      <c r="N145" s="23">
        <f>IF($C145="","",INDEX(인턴근무계획!$P$3:$P$402,$A145)&amp;"")</f>
        <v/>
      </c>
      <c r="O145" s="23">
        <f>IF($C145="","",INDEX(인턴근무계획!$Q$3:$Q$402,$A145)&amp;"")</f>
        <v/>
      </c>
      <c r="P145" s="23">
        <f>IF($C145="","",INDEX(인턴근무계획!$R$3:$R$402,$A145)&amp;"")</f>
        <v/>
      </c>
      <c r="Q145" s="23">
        <f>IF($C145="","",INDEX(인턴근무계획!$T$3:$T$402,$A145))</f>
        <v/>
      </c>
    </row>
    <row r="146">
      <c r="A146" s="26" t="n">
        <v>141</v>
      </c>
      <c r="B146" s="23">
        <f>IF($C146="","",INDEX(인턴근무계획!$B$3:$B$402,$A146))</f>
        <v/>
      </c>
      <c r="C146" s="23">
        <f>IFERROR(TRIM(INDEX(인턴근무계획!$C$3:$C$402,$A146)&amp;""),"")</f>
        <v/>
      </c>
      <c r="D146" s="23">
        <f>IF($C146="","",INDEX(인턴근무계획!$D$3:$D$402,$A146))</f>
        <v/>
      </c>
      <c r="E146" s="23">
        <f>IF($C146="","",IF(IFERROR(MATCH($D146,기본자료!$B$2:$B$1001,0),IFERROR(MATCH($D146&amp;"",기본자료!$B$2:$B$1001,0),IFERROR(MATCH(VALUE($D146),기본자료!$B$2:$B$1001,0),0)))&gt;0,"확인","미등록"))</f>
        <v/>
      </c>
      <c r="F146" s="27">
        <f>IF($C146="","",INDEX(인턴근무계획!$S$3:$S$402,$A146))</f>
        <v/>
      </c>
      <c r="G146" s="23">
        <f>IF(OR($C146="",$G$3=""),"",IF(INDEX(인턴근무계획!$M$3:$R$402,$A146,$G$3)&amp;""="","",IF(LEFT(INDEX(인턴근무계획!$M$3:$R$402,$A146,$G$3)&amp;"",1)="⚠",INDEX(인턴근무계획!$M$3:$R$402,$A146,$G$3)&amp;"",LEFT(INDEX(인턴근무계획!$M$3:$R$402,$A146,$G$3)&amp;"",FIND(" ",INDEX(인턴근무계획!$M$3:$R$402,$A146,$G$3)&amp;"")-1))))</f>
        <v/>
      </c>
      <c r="H146" s="23">
        <f>IF(OR($C146="",$G$3=""),"",IF(INDEX(인턴근무계획!$M$3:$R$402,$A146,$G$3)&amp;""="","",IF(LEFT(INDEX(인턴근무계획!$M$3:$R$402,$A146,$G$3)&amp;"",1)="⚠","",MID(INDEX(인턴근무계획!$M$3:$R$402,$A146,$G$3)&amp;"",FIND(" ",INDEX(인턴근무계획!$M$3:$R$402,$A146,$G$3)&amp;"")+1,60))))</f>
        <v/>
      </c>
      <c r="I146" s="23">
        <f>IF(OR($C146="",$I$3=""),"",IF(INDEX(인턴근무계획!$M$3:$R$402,$A146,$I$3)&amp;""="","",IF(LEFT(INDEX(인턴근무계획!$M$3:$R$402,$A146,$I$3)&amp;"",1)="⚠",INDEX(인턴근무계획!$M$3:$R$402,$A146,$I$3)&amp;"",LEFT(INDEX(인턴근무계획!$M$3:$R$402,$A146,$I$3)&amp;"",FIND(" ",INDEX(인턴근무계획!$M$3:$R$402,$A146,$I$3)&amp;"")-1))))</f>
        <v/>
      </c>
      <c r="J146" s="23">
        <f>IF(OR($C146="",$I$3=""),"",IF(INDEX(인턴근무계획!$M$3:$R$402,$A146,$I$3)&amp;""="","",IF(LEFT(INDEX(인턴근무계획!$M$3:$R$402,$A146,$I$3)&amp;"",1)="⚠","",MID(INDEX(인턴근무계획!$M$3:$R$402,$A146,$I$3)&amp;"",FIND(" ",INDEX(인턴근무계획!$M$3:$R$402,$A146,$I$3)&amp;"")+1,60))))</f>
        <v/>
      </c>
      <c r="K146" s="23">
        <f>IF($C146="","",INDEX(인턴근무계획!$M$3:$M$402,$A146)&amp;"")</f>
        <v/>
      </c>
      <c r="L146" s="23">
        <f>IF($C146="","",INDEX(인턴근무계획!$N$3:$N$402,$A146)&amp;"")</f>
        <v/>
      </c>
      <c r="M146" s="23">
        <f>IF($C146="","",INDEX(인턴근무계획!$O$3:$O$402,$A146)&amp;"")</f>
        <v/>
      </c>
      <c r="N146" s="23">
        <f>IF($C146="","",INDEX(인턴근무계획!$P$3:$P$402,$A146)&amp;"")</f>
        <v/>
      </c>
      <c r="O146" s="23">
        <f>IF($C146="","",INDEX(인턴근무계획!$Q$3:$Q$402,$A146)&amp;"")</f>
        <v/>
      </c>
      <c r="P146" s="23">
        <f>IF($C146="","",INDEX(인턴근무계획!$R$3:$R$402,$A146)&amp;"")</f>
        <v/>
      </c>
      <c r="Q146" s="23">
        <f>IF($C146="","",INDEX(인턴근무계획!$T$3:$T$402,$A146))</f>
        <v/>
      </c>
    </row>
    <row r="147">
      <c r="A147" s="26" t="n">
        <v>142</v>
      </c>
      <c r="B147" s="23">
        <f>IF($C147="","",INDEX(인턴근무계획!$B$3:$B$402,$A147))</f>
        <v/>
      </c>
      <c r="C147" s="23">
        <f>IFERROR(TRIM(INDEX(인턴근무계획!$C$3:$C$402,$A147)&amp;""),"")</f>
        <v/>
      </c>
      <c r="D147" s="23">
        <f>IF($C147="","",INDEX(인턴근무계획!$D$3:$D$402,$A147))</f>
        <v/>
      </c>
      <c r="E147" s="23">
        <f>IF($C147="","",IF(IFERROR(MATCH($D147,기본자료!$B$2:$B$1001,0),IFERROR(MATCH($D147&amp;"",기본자료!$B$2:$B$1001,0),IFERROR(MATCH(VALUE($D147),기본자료!$B$2:$B$1001,0),0)))&gt;0,"확인","미등록"))</f>
        <v/>
      </c>
      <c r="F147" s="27">
        <f>IF($C147="","",INDEX(인턴근무계획!$S$3:$S$402,$A147))</f>
        <v/>
      </c>
      <c r="G147" s="23">
        <f>IF(OR($C147="",$G$3=""),"",IF(INDEX(인턴근무계획!$M$3:$R$402,$A147,$G$3)&amp;""="","",IF(LEFT(INDEX(인턴근무계획!$M$3:$R$402,$A147,$G$3)&amp;"",1)="⚠",INDEX(인턴근무계획!$M$3:$R$402,$A147,$G$3)&amp;"",LEFT(INDEX(인턴근무계획!$M$3:$R$402,$A147,$G$3)&amp;"",FIND(" ",INDEX(인턴근무계획!$M$3:$R$402,$A147,$G$3)&amp;"")-1))))</f>
        <v/>
      </c>
      <c r="H147" s="23">
        <f>IF(OR($C147="",$G$3=""),"",IF(INDEX(인턴근무계획!$M$3:$R$402,$A147,$G$3)&amp;""="","",IF(LEFT(INDEX(인턴근무계획!$M$3:$R$402,$A147,$G$3)&amp;"",1)="⚠","",MID(INDEX(인턴근무계획!$M$3:$R$402,$A147,$G$3)&amp;"",FIND(" ",INDEX(인턴근무계획!$M$3:$R$402,$A147,$G$3)&amp;"")+1,60))))</f>
        <v/>
      </c>
      <c r="I147" s="23">
        <f>IF(OR($C147="",$I$3=""),"",IF(INDEX(인턴근무계획!$M$3:$R$402,$A147,$I$3)&amp;""="","",IF(LEFT(INDEX(인턴근무계획!$M$3:$R$402,$A147,$I$3)&amp;"",1)="⚠",INDEX(인턴근무계획!$M$3:$R$402,$A147,$I$3)&amp;"",LEFT(INDEX(인턴근무계획!$M$3:$R$402,$A147,$I$3)&amp;"",FIND(" ",INDEX(인턴근무계획!$M$3:$R$402,$A147,$I$3)&amp;"")-1))))</f>
        <v/>
      </c>
      <c r="J147" s="23">
        <f>IF(OR($C147="",$I$3=""),"",IF(INDEX(인턴근무계획!$M$3:$R$402,$A147,$I$3)&amp;""="","",IF(LEFT(INDEX(인턴근무계획!$M$3:$R$402,$A147,$I$3)&amp;"",1)="⚠","",MID(INDEX(인턴근무계획!$M$3:$R$402,$A147,$I$3)&amp;"",FIND(" ",INDEX(인턴근무계획!$M$3:$R$402,$A147,$I$3)&amp;"")+1,60))))</f>
        <v/>
      </c>
      <c r="K147" s="23">
        <f>IF($C147="","",INDEX(인턴근무계획!$M$3:$M$402,$A147)&amp;"")</f>
        <v/>
      </c>
      <c r="L147" s="23">
        <f>IF($C147="","",INDEX(인턴근무계획!$N$3:$N$402,$A147)&amp;"")</f>
        <v/>
      </c>
      <c r="M147" s="23">
        <f>IF($C147="","",INDEX(인턴근무계획!$O$3:$O$402,$A147)&amp;"")</f>
        <v/>
      </c>
      <c r="N147" s="23">
        <f>IF($C147="","",INDEX(인턴근무계획!$P$3:$P$402,$A147)&amp;"")</f>
        <v/>
      </c>
      <c r="O147" s="23">
        <f>IF($C147="","",INDEX(인턴근무계획!$Q$3:$Q$402,$A147)&amp;"")</f>
        <v/>
      </c>
      <c r="P147" s="23">
        <f>IF($C147="","",INDEX(인턴근무계획!$R$3:$R$402,$A147)&amp;"")</f>
        <v/>
      </c>
      <c r="Q147" s="23">
        <f>IF($C147="","",INDEX(인턴근무계획!$T$3:$T$402,$A147))</f>
        <v/>
      </c>
    </row>
    <row r="148">
      <c r="A148" s="26" t="n">
        <v>143</v>
      </c>
      <c r="B148" s="23">
        <f>IF($C148="","",INDEX(인턴근무계획!$B$3:$B$402,$A148))</f>
        <v/>
      </c>
      <c r="C148" s="23">
        <f>IFERROR(TRIM(INDEX(인턴근무계획!$C$3:$C$402,$A148)&amp;""),"")</f>
        <v/>
      </c>
      <c r="D148" s="23">
        <f>IF($C148="","",INDEX(인턴근무계획!$D$3:$D$402,$A148))</f>
        <v/>
      </c>
      <c r="E148" s="23">
        <f>IF($C148="","",IF(IFERROR(MATCH($D148,기본자료!$B$2:$B$1001,0),IFERROR(MATCH($D148&amp;"",기본자료!$B$2:$B$1001,0),IFERROR(MATCH(VALUE($D148),기본자료!$B$2:$B$1001,0),0)))&gt;0,"확인","미등록"))</f>
        <v/>
      </c>
      <c r="F148" s="27">
        <f>IF($C148="","",INDEX(인턴근무계획!$S$3:$S$402,$A148))</f>
        <v/>
      </c>
      <c r="G148" s="23">
        <f>IF(OR($C148="",$G$3=""),"",IF(INDEX(인턴근무계획!$M$3:$R$402,$A148,$G$3)&amp;""="","",IF(LEFT(INDEX(인턴근무계획!$M$3:$R$402,$A148,$G$3)&amp;"",1)="⚠",INDEX(인턴근무계획!$M$3:$R$402,$A148,$G$3)&amp;"",LEFT(INDEX(인턴근무계획!$M$3:$R$402,$A148,$G$3)&amp;"",FIND(" ",INDEX(인턴근무계획!$M$3:$R$402,$A148,$G$3)&amp;"")-1))))</f>
        <v/>
      </c>
      <c r="H148" s="23">
        <f>IF(OR($C148="",$G$3=""),"",IF(INDEX(인턴근무계획!$M$3:$R$402,$A148,$G$3)&amp;""="","",IF(LEFT(INDEX(인턴근무계획!$M$3:$R$402,$A148,$G$3)&amp;"",1)="⚠","",MID(INDEX(인턴근무계획!$M$3:$R$402,$A148,$G$3)&amp;"",FIND(" ",INDEX(인턴근무계획!$M$3:$R$402,$A148,$G$3)&amp;"")+1,60))))</f>
        <v/>
      </c>
      <c r="I148" s="23">
        <f>IF(OR($C148="",$I$3=""),"",IF(INDEX(인턴근무계획!$M$3:$R$402,$A148,$I$3)&amp;""="","",IF(LEFT(INDEX(인턴근무계획!$M$3:$R$402,$A148,$I$3)&amp;"",1)="⚠",INDEX(인턴근무계획!$M$3:$R$402,$A148,$I$3)&amp;"",LEFT(INDEX(인턴근무계획!$M$3:$R$402,$A148,$I$3)&amp;"",FIND(" ",INDEX(인턴근무계획!$M$3:$R$402,$A148,$I$3)&amp;"")-1))))</f>
        <v/>
      </c>
      <c r="J148" s="23">
        <f>IF(OR($C148="",$I$3=""),"",IF(INDEX(인턴근무계획!$M$3:$R$402,$A148,$I$3)&amp;""="","",IF(LEFT(INDEX(인턴근무계획!$M$3:$R$402,$A148,$I$3)&amp;"",1)="⚠","",MID(INDEX(인턴근무계획!$M$3:$R$402,$A148,$I$3)&amp;"",FIND(" ",INDEX(인턴근무계획!$M$3:$R$402,$A148,$I$3)&amp;"")+1,60))))</f>
        <v/>
      </c>
      <c r="K148" s="23">
        <f>IF($C148="","",INDEX(인턴근무계획!$M$3:$M$402,$A148)&amp;"")</f>
        <v/>
      </c>
      <c r="L148" s="23">
        <f>IF($C148="","",INDEX(인턴근무계획!$N$3:$N$402,$A148)&amp;"")</f>
        <v/>
      </c>
      <c r="M148" s="23">
        <f>IF($C148="","",INDEX(인턴근무계획!$O$3:$O$402,$A148)&amp;"")</f>
        <v/>
      </c>
      <c r="N148" s="23">
        <f>IF($C148="","",INDEX(인턴근무계획!$P$3:$P$402,$A148)&amp;"")</f>
        <v/>
      </c>
      <c r="O148" s="23">
        <f>IF($C148="","",INDEX(인턴근무계획!$Q$3:$Q$402,$A148)&amp;"")</f>
        <v/>
      </c>
      <c r="P148" s="23">
        <f>IF($C148="","",INDEX(인턴근무계획!$R$3:$R$402,$A148)&amp;"")</f>
        <v/>
      </c>
      <c r="Q148" s="23">
        <f>IF($C148="","",INDEX(인턴근무계획!$T$3:$T$402,$A148))</f>
        <v/>
      </c>
    </row>
    <row r="149">
      <c r="A149" s="26" t="n">
        <v>144</v>
      </c>
      <c r="B149" s="23">
        <f>IF($C149="","",INDEX(인턴근무계획!$B$3:$B$402,$A149))</f>
        <v/>
      </c>
      <c r="C149" s="23">
        <f>IFERROR(TRIM(INDEX(인턴근무계획!$C$3:$C$402,$A149)&amp;""),"")</f>
        <v/>
      </c>
      <c r="D149" s="23">
        <f>IF($C149="","",INDEX(인턴근무계획!$D$3:$D$402,$A149))</f>
        <v/>
      </c>
      <c r="E149" s="23">
        <f>IF($C149="","",IF(IFERROR(MATCH($D149,기본자료!$B$2:$B$1001,0),IFERROR(MATCH($D149&amp;"",기본자료!$B$2:$B$1001,0),IFERROR(MATCH(VALUE($D149),기본자료!$B$2:$B$1001,0),0)))&gt;0,"확인","미등록"))</f>
        <v/>
      </c>
      <c r="F149" s="27">
        <f>IF($C149="","",INDEX(인턴근무계획!$S$3:$S$402,$A149))</f>
        <v/>
      </c>
      <c r="G149" s="23">
        <f>IF(OR($C149="",$G$3=""),"",IF(INDEX(인턴근무계획!$M$3:$R$402,$A149,$G$3)&amp;""="","",IF(LEFT(INDEX(인턴근무계획!$M$3:$R$402,$A149,$G$3)&amp;"",1)="⚠",INDEX(인턴근무계획!$M$3:$R$402,$A149,$G$3)&amp;"",LEFT(INDEX(인턴근무계획!$M$3:$R$402,$A149,$G$3)&amp;"",FIND(" ",INDEX(인턴근무계획!$M$3:$R$402,$A149,$G$3)&amp;"")-1))))</f>
        <v/>
      </c>
      <c r="H149" s="23">
        <f>IF(OR($C149="",$G$3=""),"",IF(INDEX(인턴근무계획!$M$3:$R$402,$A149,$G$3)&amp;""="","",IF(LEFT(INDEX(인턴근무계획!$M$3:$R$402,$A149,$G$3)&amp;"",1)="⚠","",MID(INDEX(인턴근무계획!$M$3:$R$402,$A149,$G$3)&amp;"",FIND(" ",INDEX(인턴근무계획!$M$3:$R$402,$A149,$G$3)&amp;"")+1,60))))</f>
        <v/>
      </c>
      <c r="I149" s="23">
        <f>IF(OR($C149="",$I$3=""),"",IF(INDEX(인턴근무계획!$M$3:$R$402,$A149,$I$3)&amp;""="","",IF(LEFT(INDEX(인턴근무계획!$M$3:$R$402,$A149,$I$3)&amp;"",1)="⚠",INDEX(인턴근무계획!$M$3:$R$402,$A149,$I$3)&amp;"",LEFT(INDEX(인턴근무계획!$M$3:$R$402,$A149,$I$3)&amp;"",FIND(" ",INDEX(인턴근무계획!$M$3:$R$402,$A149,$I$3)&amp;"")-1))))</f>
        <v/>
      </c>
      <c r="J149" s="23">
        <f>IF(OR($C149="",$I$3=""),"",IF(INDEX(인턴근무계획!$M$3:$R$402,$A149,$I$3)&amp;""="","",IF(LEFT(INDEX(인턴근무계획!$M$3:$R$402,$A149,$I$3)&amp;"",1)="⚠","",MID(INDEX(인턴근무계획!$M$3:$R$402,$A149,$I$3)&amp;"",FIND(" ",INDEX(인턴근무계획!$M$3:$R$402,$A149,$I$3)&amp;"")+1,60))))</f>
        <v/>
      </c>
      <c r="K149" s="23">
        <f>IF($C149="","",INDEX(인턴근무계획!$M$3:$M$402,$A149)&amp;"")</f>
        <v/>
      </c>
      <c r="L149" s="23">
        <f>IF($C149="","",INDEX(인턴근무계획!$N$3:$N$402,$A149)&amp;"")</f>
        <v/>
      </c>
      <c r="M149" s="23">
        <f>IF($C149="","",INDEX(인턴근무계획!$O$3:$O$402,$A149)&amp;"")</f>
        <v/>
      </c>
      <c r="N149" s="23">
        <f>IF($C149="","",INDEX(인턴근무계획!$P$3:$P$402,$A149)&amp;"")</f>
        <v/>
      </c>
      <c r="O149" s="23">
        <f>IF($C149="","",INDEX(인턴근무계획!$Q$3:$Q$402,$A149)&amp;"")</f>
        <v/>
      </c>
      <c r="P149" s="23">
        <f>IF($C149="","",INDEX(인턴근무계획!$R$3:$R$402,$A149)&amp;"")</f>
        <v/>
      </c>
      <c r="Q149" s="23">
        <f>IF($C149="","",INDEX(인턴근무계획!$T$3:$T$402,$A149))</f>
        <v/>
      </c>
    </row>
    <row r="150">
      <c r="A150" s="26" t="n">
        <v>145</v>
      </c>
      <c r="B150" s="23">
        <f>IF($C150="","",INDEX(인턴근무계획!$B$3:$B$402,$A150))</f>
        <v/>
      </c>
      <c r="C150" s="23">
        <f>IFERROR(TRIM(INDEX(인턴근무계획!$C$3:$C$402,$A150)&amp;""),"")</f>
        <v/>
      </c>
      <c r="D150" s="23">
        <f>IF($C150="","",INDEX(인턴근무계획!$D$3:$D$402,$A150))</f>
        <v/>
      </c>
      <c r="E150" s="23">
        <f>IF($C150="","",IF(IFERROR(MATCH($D150,기본자료!$B$2:$B$1001,0),IFERROR(MATCH($D150&amp;"",기본자료!$B$2:$B$1001,0),IFERROR(MATCH(VALUE($D150),기본자료!$B$2:$B$1001,0),0)))&gt;0,"확인","미등록"))</f>
        <v/>
      </c>
      <c r="F150" s="27">
        <f>IF($C150="","",INDEX(인턴근무계획!$S$3:$S$402,$A150))</f>
        <v/>
      </c>
      <c r="G150" s="23">
        <f>IF(OR($C150="",$G$3=""),"",IF(INDEX(인턴근무계획!$M$3:$R$402,$A150,$G$3)&amp;""="","",IF(LEFT(INDEX(인턴근무계획!$M$3:$R$402,$A150,$G$3)&amp;"",1)="⚠",INDEX(인턴근무계획!$M$3:$R$402,$A150,$G$3)&amp;"",LEFT(INDEX(인턴근무계획!$M$3:$R$402,$A150,$G$3)&amp;"",FIND(" ",INDEX(인턴근무계획!$M$3:$R$402,$A150,$G$3)&amp;"")-1))))</f>
        <v/>
      </c>
      <c r="H150" s="23">
        <f>IF(OR($C150="",$G$3=""),"",IF(INDEX(인턴근무계획!$M$3:$R$402,$A150,$G$3)&amp;""="","",IF(LEFT(INDEX(인턴근무계획!$M$3:$R$402,$A150,$G$3)&amp;"",1)="⚠","",MID(INDEX(인턴근무계획!$M$3:$R$402,$A150,$G$3)&amp;"",FIND(" ",INDEX(인턴근무계획!$M$3:$R$402,$A150,$G$3)&amp;"")+1,60))))</f>
        <v/>
      </c>
      <c r="I150" s="23">
        <f>IF(OR($C150="",$I$3=""),"",IF(INDEX(인턴근무계획!$M$3:$R$402,$A150,$I$3)&amp;""="","",IF(LEFT(INDEX(인턴근무계획!$M$3:$R$402,$A150,$I$3)&amp;"",1)="⚠",INDEX(인턴근무계획!$M$3:$R$402,$A150,$I$3)&amp;"",LEFT(INDEX(인턴근무계획!$M$3:$R$402,$A150,$I$3)&amp;"",FIND(" ",INDEX(인턴근무계획!$M$3:$R$402,$A150,$I$3)&amp;"")-1))))</f>
        <v/>
      </c>
      <c r="J150" s="23">
        <f>IF(OR($C150="",$I$3=""),"",IF(INDEX(인턴근무계획!$M$3:$R$402,$A150,$I$3)&amp;""="","",IF(LEFT(INDEX(인턴근무계획!$M$3:$R$402,$A150,$I$3)&amp;"",1)="⚠","",MID(INDEX(인턴근무계획!$M$3:$R$402,$A150,$I$3)&amp;"",FIND(" ",INDEX(인턴근무계획!$M$3:$R$402,$A150,$I$3)&amp;"")+1,60))))</f>
        <v/>
      </c>
      <c r="K150" s="23">
        <f>IF($C150="","",INDEX(인턴근무계획!$M$3:$M$402,$A150)&amp;"")</f>
        <v/>
      </c>
      <c r="L150" s="23">
        <f>IF($C150="","",INDEX(인턴근무계획!$N$3:$N$402,$A150)&amp;"")</f>
        <v/>
      </c>
      <c r="M150" s="23">
        <f>IF($C150="","",INDEX(인턴근무계획!$O$3:$O$402,$A150)&amp;"")</f>
        <v/>
      </c>
      <c r="N150" s="23">
        <f>IF($C150="","",INDEX(인턴근무계획!$P$3:$P$402,$A150)&amp;"")</f>
        <v/>
      </c>
      <c r="O150" s="23">
        <f>IF($C150="","",INDEX(인턴근무계획!$Q$3:$Q$402,$A150)&amp;"")</f>
        <v/>
      </c>
      <c r="P150" s="23">
        <f>IF($C150="","",INDEX(인턴근무계획!$R$3:$R$402,$A150)&amp;"")</f>
        <v/>
      </c>
      <c r="Q150" s="23">
        <f>IF($C150="","",INDEX(인턴근무계획!$T$3:$T$402,$A150))</f>
        <v/>
      </c>
    </row>
    <row r="151">
      <c r="A151" s="26" t="n">
        <v>146</v>
      </c>
      <c r="B151" s="23">
        <f>IF($C151="","",INDEX(인턴근무계획!$B$3:$B$402,$A151))</f>
        <v/>
      </c>
      <c r="C151" s="23">
        <f>IFERROR(TRIM(INDEX(인턴근무계획!$C$3:$C$402,$A151)&amp;""),"")</f>
        <v/>
      </c>
      <c r="D151" s="23">
        <f>IF($C151="","",INDEX(인턴근무계획!$D$3:$D$402,$A151))</f>
        <v/>
      </c>
      <c r="E151" s="23">
        <f>IF($C151="","",IF(IFERROR(MATCH($D151,기본자료!$B$2:$B$1001,0),IFERROR(MATCH($D151&amp;"",기본자료!$B$2:$B$1001,0),IFERROR(MATCH(VALUE($D151),기본자료!$B$2:$B$1001,0),0)))&gt;0,"확인","미등록"))</f>
        <v/>
      </c>
      <c r="F151" s="27">
        <f>IF($C151="","",INDEX(인턴근무계획!$S$3:$S$402,$A151))</f>
        <v/>
      </c>
      <c r="G151" s="23">
        <f>IF(OR($C151="",$G$3=""),"",IF(INDEX(인턴근무계획!$M$3:$R$402,$A151,$G$3)&amp;""="","",IF(LEFT(INDEX(인턴근무계획!$M$3:$R$402,$A151,$G$3)&amp;"",1)="⚠",INDEX(인턴근무계획!$M$3:$R$402,$A151,$G$3)&amp;"",LEFT(INDEX(인턴근무계획!$M$3:$R$402,$A151,$G$3)&amp;"",FIND(" ",INDEX(인턴근무계획!$M$3:$R$402,$A151,$G$3)&amp;"")-1))))</f>
        <v/>
      </c>
      <c r="H151" s="23">
        <f>IF(OR($C151="",$G$3=""),"",IF(INDEX(인턴근무계획!$M$3:$R$402,$A151,$G$3)&amp;""="","",IF(LEFT(INDEX(인턴근무계획!$M$3:$R$402,$A151,$G$3)&amp;"",1)="⚠","",MID(INDEX(인턴근무계획!$M$3:$R$402,$A151,$G$3)&amp;"",FIND(" ",INDEX(인턴근무계획!$M$3:$R$402,$A151,$G$3)&amp;"")+1,60))))</f>
        <v/>
      </c>
      <c r="I151" s="23">
        <f>IF(OR($C151="",$I$3=""),"",IF(INDEX(인턴근무계획!$M$3:$R$402,$A151,$I$3)&amp;""="","",IF(LEFT(INDEX(인턴근무계획!$M$3:$R$402,$A151,$I$3)&amp;"",1)="⚠",INDEX(인턴근무계획!$M$3:$R$402,$A151,$I$3)&amp;"",LEFT(INDEX(인턴근무계획!$M$3:$R$402,$A151,$I$3)&amp;"",FIND(" ",INDEX(인턴근무계획!$M$3:$R$402,$A151,$I$3)&amp;"")-1))))</f>
        <v/>
      </c>
      <c r="J151" s="23">
        <f>IF(OR($C151="",$I$3=""),"",IF(INDEX(인턴근무계획!$M$3:$R$402,$A151,$I$3)&amp;""="","",IF(LEFT(INDEX(인턴근무계획!$M$3:$R$402,$A151,$I$3)&amp;"",1)="⚠","",MID(INDEX(인턴근무계획!$M$3:$R$402,$A151,$I$3)&amp;"",FIND(" ",INDEX(인턴근무계획!$M$3:$R$402,$A151,$I$3)&amp;"")+1,60))))</f>
        <v/>
      </c>
      <c r="K151" s="23">
        <f>IF($C151="","",INDEX(인턴근무계획!$M$3:$M$402,$A151)&amp;"")</f>
        <v/>
      </c>
      <c r="L151" s="23">
        <f>IF($C151="","",INDEX(인턴근무계획!$N$3:$N$402,$A151)&amp;"")</f>
        <v/>
      </c>
      <c r="M151" s="23">
        <f>IF($C151="","",INDEX(인턴근무계획!$O$3:$O$402,$A151)&amp;"")</f>
        <v/>
      </c>
      <c r="N151" s="23">
        <f>IF($C151="","",INDEX(인턴근무계획!$P$3:$P$402,$A151)&amp;"")</f>
        <v/>
      </c>
      <c r="O151" s="23">
        <f>IF($C151="","",INDEX(인턴근무계획!$Q$3:$Q$402,$A151)&amp;"")</f>
        <v/>
      </c>
      <c r="P151" s="23">
        <f>IF($C151="","",INDEX(인턴근무계획!$R$3:$R$402,$A151)&amp;"")</f>
        <v/>
      </c>
      <c r="Q151" s="23">
        <f>IF($C151="","",INDEX(인턴근무계획!$T$3:$T$402,$A151))</f>
        <v/>
      </c>
    </row>
    <row r="152">
      <c r="A152" s="26" t="n">
        <v>147</v>
      </c>
      <c r="B152" s="23">
        <f>IF($C152="","",INDEX(인턴근무계획!$B$3:$B$402,$A152))</f>
        <v/>
      </c>
      <c r="C152" s="23">
        <f>IFERROR(TRIM(INDEX(인턴근무계획!$C$3:$C$402,$A152)&amp;""),"")</f>
        <v/>
      </c>
      <c r="D152" s="23">
        <f>IF($C152="","",INDEX(인턴근무계획!$D$3:$D$402,$A152))</f>
        <v/>
      </c>
      <c r="E152" s="23">
        <f>IF($C152="","",IF(IFERROR(MATCH($D152,기본자료!$B$2:$B$1001,0),IFERROR(MATCH($D152&amp;"",기본자료!$B$2:$B$1001,0),IFERROR(MATCH(VALUE($D152),기본자료!$B$2:$B$1001,0),0)))&gt;0,"확인","미등록"))</f>
        <v/>
      </c>
      <c r="F152" s="27">
        <f>IF($C152="","",INDEX(인턴근무계획!$S$3:$S$402,$A152))</f>
        <v/>
      </c>
      <c r="G152" s="23">
        <f>IF(OR($C152="",$G$3=""),"",IF(INDEX(인턴근무계획!$M$3:$R$402,$A152,$G$3)&amp;""="","",IF(LEFT(INDEX(인턴근무계획!$M$3:$R$402,$A152,$G$3)&amp;"",1)="⚠",INDEX(인턴근무계획!$M$3:$R$402,$A152,$G$3)&amp;"",LEFT(INDEX(인턴근무계획!$M$3:$R$402,$A152,$G$3)&amp;"",FIND(" ",INDEX(인턴근무계획!$M$3:$R$402,$A152,$G$3)&amp;"")-1))))</f>
        <v/>
      </c>
      <c r="H152" s="23">
        <f>IF(OR($C152="",$G$3=""),"",IF(INDEX(인턴근무계획!$M$3:$R$402,$A152,$G$3)&amp;""="","",IF(LEFT(INDEX(인턴근무계획!$M$3:$R$402,$A152,$G$3)&amp;"",1)="⚠","",MID(INDEX(인턴근무계획!$M$3:$R$402,$A152,$G$3)&amp;"",FIND(" ",INDEX(인턴근무계획!$M$3:$R$402,$A152,$G$3)&amp;"")+1,60))))</f>
        <v/>
      </c>
      <c r="I152" s="23">
        <f>IF(OR($C152="",$I$3=""),"",IF(INDEX(인턴근무계획!$M$3:$R$402,$A152,$I$3)&amp;""="","",IF(LEFT(INDEX(인턴근무계획!$M$3:$R$402,$A152,$I$3)&amp;"",1)="⚠",INDEX(인턴근무계획!$M$3:$R$402,$A152,$I$3)&amp;"",LEFT(INDEX(인턴근무계획!$M$3:$R$402,$A152,$I$3)&amp;"",FIND(" ",INDEX(인턴근무계획!$M$3:$R$402,$A152,$I$3)&amp;"")-1))))</f>
        <v/>
      </c>
      <c r="J152" s="23">
        <f>IF(OR($C152="",$I$3=""),"",IF(INDEX(인턴근무계획!$M$3:$R$402,$A152,$I$3)&amp;""="","",IF(LEFT(INDEX(인턴근무계획!$M$3:$R$402,$A152,$I$3)&amp;"",1)="⚠","",MID(INDEX(인턴근무계획!$M$3:$R$402,$A152,$I$3)&amp;"",FIND(" ",INDEX(인턴근무계획!$M$3:$R$402,$A152,$I$3)&amp;"")+1,60))))</f>
        <v/>
      </c>
      <c r="K152" s="23">
        <f>IF($C152="","",INDEX(인턴근무계획!$M$3:$M$402,$A152)&amp;"")</f>
        <v/>
      </c>
      <c r="L152" s="23">
        <f>IF($C152="","",INDEX(인턴근무계획!$N$3:$N$402,$A152)&amp;"")</f>
        <v/>
      </c>
      <c r="M152" s="23">
        <f>IF($C152="","",INDEX(인턴근무계획!$O$3:$O$402,$A152)&amp;"")</f>
        <v/>
      </c>
      <c r="N152" s="23">
        <f>IF($C152="","",INDEX(인턴근무계획!$P$3:$P$402,$A152)&amp;"")</f>
        <v/>
      </c>
      <c r="O152" s="23">
        <f>IF($C152="","",INDEX(인턴근무계획!$Q$3:$Q$402,$A152)&amp;"")</f>
        <v/>
      </c>
      <c r="P152" s="23">
        <f>IF($C152="","",INDEX(인턴근무계획!$R$3:$R$402,$A152)&amp;"")</f>
        <v/>
      </c>
      <c r="Q152" s="23">
        <f>IF($C152="","",INDEX(인턴근무계획!$T$3:$T$402,$A152))</f>
        <v/>
      </c>
    </row>
    <row r="153">
      <c r="A153" s="26" t="n">
        <v>148</v>
      </c>
      <c r="B153" s="23">
        <f>IF($C153="","",INDEX(인턴근무계획!$B$3:$B$402,$A153))</f>
        <v/>
      </c>
      <c r="C153" s="23">
        <f>IFERROR(TRIM(INDEX(인턴근무계획!$C$3:$C$402,$A153)&amp;""),"")</f>
        <v/>
      </c>
      <c r="D153" s="23">
        <f>IF($C153="","",INDEX(인턴근무계획!$D$3:$D$402,$A153))</f>
        <v/>
      </c>
      <c r="E153" s="23">
        <f>IF($C153="","",IF(IFERROR(MATCH($D153,기본자료!$B$2:$B$1001,0),IFERROR(MATCH($D153&amp;"",기본자료!$B$2:$B$1001,0),IFERROR(MATCH(VALUE($D153),기본자료!$B$2:$B$1001,0),0)))&gt;0,"확인","미등록"))</f>
        <v/>
      </c>
      <c r="F153" s="27">
        <f>IF($C153="","",INDEX(인턴근무계획!$S$3:$S$402,$A153))</f>
        <v/>
      </c>
      <c r="G153" s="23">
        <f>IF(OR($C153="",$G$3=""),"",IF(INDEX(인턴근무계획!$M$3:$R$402,$A153,$G$3)&amp;""="","",IF(LEFT(INDEX(인턴근무계획!$M$3:$R$402,$A153,$G$3)&amp;"",1)="⚠",INDEX(인턴근무계획!$M$3:$R$402,$A153,$G$3)&amp;"",LEFT(INDEX(인턴근무계획!$M$3:$R$402,$A153,$G$3)&amp;"",FIND(" ",INDEX(인턴근무계획!$M$3:$R$402,$A153,$G$3)&amp;"")-1))))</f>
        <v/>
      </c>
      <c r="H153" s="23">
        <f>IF(OR($C153="",$G$3=""),"",IF(INDEX(인턴근무계획!$M$3:$R$402,$A153,$G$3)&amp;""="","",IF(LEFT(INDEX(인턴근무계획!$M$3:$R$402,$A153,$G$3)&amp;"",1)="⚠","",MID(INDEX(인턴근무계획!$M$3:$R$402,$A153,$G$3)&amp;"",FIND(" ",INDEX(인턴근무계획!$M$3:$R$402,$A153,$G$3)&amp;"")+1,60))))</f>
        <v/>
      </c>
      <c r="I153" s="23">
        <f>IF(OR($C153="",$I$3=""),"",IF(INDEX(인턴근무계획!$M$3:$R$402,$A153,$I$3)&amp;""="","",IF(LEFT(INDEX(인턴근무계획!$M$3:$R$402,$A153,$I$3)&amp;"",1)="⚠",INDEX(인턴근무계획!$M$3:$R$402,$A153,$I$3)&amp;"",LEFT(INDEX(인턴근무계획!$M$3:$R$402,$A153,$I$3)&amp;"",FIND(" ",INDEX(인턴근무계획!$M$3:$R$402,$A153,$I$3)&amp;"")-1))))</f>
        <v/>
      </c>
      <c r="J153" s="23">
        <f>IF(OR($C153="",$I$3=""),"",IF(INDEX(인턴근무계획!$M$3:$R$402,$A153,$I$3)&amp;""="","",IF(LEFT(INDEX(인턴근무계획!$M$3:$R$402,$A153,$I$3)&amp;"",1)="⚠","",MID(INDEX(인턴근무계획!$M$3:$R$402,$A153,$I$3)&amp;"",FIND(" ",INDEX(인턴근무계획!$M$3:$R$402,$A153,$I$3)&amp;"")+1,60))))</f>
        <v/>
      </c>
      <c r="K153" s="23">
        <f>IF($C153="","",INDEX(인턴근무계획!$M$3:$M$402,$A153)&amp;"")</f>
        <v/>
      </c>
      <c r="L153" s="23">
        <f>IF($C153="","",INDEX(인턴근무계획!$N$3:$N$402,$A153)&amp;"")</f>
        <v/>
      </c>
      <c r="M153" s="23">
        <f>IF($C153="","",INDEX(인턴근무계획!$O$3:$O$402,$A153)&amp;"")</f>
        <v/>
      </c>
      <c r="N153" s="23">
        <f>IF($C153="","",INDEX(인턴근무계획!$P$3:$P$402,$A153)&amp;"")</f>
        <v/>
      </c>
      <c r="O153" s="23">
        <f>IF($C153="","",INDEX(인턴근무계획!$Q$3:$Q$402,$A153)&amp;"")</f>
        <v/>
      </c>
      <c r="P153" s="23">
        <f>IF($C153="","",INDEX(인턴근무계획!$R$3:$R$402,$A153)&amp;"")</f>
        <v/>
      </c>
      <c r="Q153" s="23">
        <f>IF($C153="","",INDEX(인턴근무계획!$T$3:$T$402,$A153))</f>
        <v/>
      </c>
    </row>
    <row r="154">
      <c r="A154" s="26" t="n">
        <v>149</v>
      </c>
      <c r="B154" s="23">
        <f>IF($C154="","",INDEX(인턴근무계획!$B$3:$B$402,$A154))</f>
        <v/>
      </c>
      <c r="C154" s="23">
        <f>IFERROR(TRIM(INDEX(인턴근무계획!$C$3:$C$402,$A154)&amp;""),"")</f>
        <v/>
      </c>
      <c r="D154" s="23">
        <f>IF($C154="","",INDEX(인턴근무계획!$D$3:$D$402,$A154))</f>
        <v/>
      </c>
      <c r="E154" s="23">
        <f>IF($C154="","",IF(IFERROR(MATCH($D154,기본자료!$B$2:$B$1001,0),IFERROR(MATCH($D154&amp;"",기본자료!$B$2:$B$1001,0),IFERROR(MATCH(VALUE($D154),기본자료!$B$2:$B$1001,0),0)))&gt;0,"확인","미등록"))</f>
        <v/>
      </c>
      <c r="F154" s="27">
        <f>IF($C154="","",INDEX(인턴근무계획!$S$3:$S$402,$A154))</f>
        <v/>
      </c>
      <c r="G154" s="23">
        <f>IF(OR($C154="",$G$3=""),"",IF(INDEX(인턴근무계획!$M$3:$R$402,$A154,$G$3)&amp;""="","",IF(LEFT(INDEX(인턴근무계획!$M$3:$R$402,$A154,$G$3)&amp;"",1)="⚠",INDEX(인턴근무계획!$M$3:$R$402,$A154,$G$3)&amp;"",LEFT(INDEX(인턴근무계획!$M$3:$R$402,$A154,$G$3)&amp;"",FIND(" ",INDEX(인턴근무계획!$M$3:$R$402,$A154,$G$3)&amp;"")-1))))</f>
        <v/>
      </c>
      <c r="H154" s="23">
        <f>IF(OR($C154="",$G$3=""),"",IF(INDEX(인턴근무계획!$M$3:$R$402,$A154,$G$3)&amp;""="","",IF(LEFT(INDEX(인턴근무계획!$M$3:$R$402,$A154,$G$3)&amp;"",1)="⚠","",MID(INDEX(인턴근무계획!$M$3:$R$402,$A154,$G$3)&amp;"",FIND(" ",INDEX(인턴근무계획!$M$3:$R$402,$A154,$G$3)&amp;"")+1,60))))</f>
        <v/>
      </c>
      <c r="I154" s="23">
        <f>IF(OR($C154="",$I$3=""),"",IF(INDEX(인턴근무계획!$M$3:$R$402,$A154,$I$3)&amp;""="","",IF(LEFT(INDEX(인턴근무계획!$M$3:$R$402,$A154,$I$3)&amp;"",1)="⚠",INDEX(인턴근무계획!$M$3:$R$402,$A154,$I$3)&amp;"",LEFT(INDEX(인턴근무계획!$M$3:$R$402,$A154,$I$3)&amp;"",FIND(" ",INDEX(인턴근무계획!$M$3:$R$402,$A154,$I$3)&amp;"")-1))))</f>
        <v/>
      </c>
      <c r="J154" s="23">
        <f>IF(OR($C154="",$I$3=""),"",IF(INDEX(인턴근무계획!$M$3:$R$402,$A154,$I$3)&amp;""="","",IF(LEFT(INDEX(인턴근무계획!$M$3:$R$402,$A154,$I$3)&amp;"",1)="⚠","",MID(INDEX(인턴근무계획!$M$3:$R$402,$A154,$I$3)&amp;"",FIND(" ",INDEX(인턴근무계획!$M$3:$R$402,$A154,$I$3)&amp;"")+1,60))))</f>
        <v/>
      </c>
      <c r="K154" s="23">
        <f>IF($C154="","",INDEX(인턴근무계획!$M$3:$M$402,$A154)&amp;"")</f>
        <v/>
      </c>
      <c r="L154" s="23">
        <f>IF($C154="","",INDEX(인턴근무계획!$N$3:$N$402,$A154)&amp;"")</f>
        <v/>
      </c>
      <c r="M154" s="23">
        <f>IF($C154="","",INDEX(인턴근무계획!$O$3:$O$402,$A154)&amp;"")</f>
        <v/>
      </c>
      <c r="N154" s="23">
        <f>IF($C154="","",INDEX(인턴근무계획!$P$3:$P$402,$A154)&amp;"")</f>
        <v/>
      </c>
      <c r="O154" s="23">
        <f>IF($C154="","",INDEX(인턴근무계획!$Q$3:$Q$402,$A154)&amp;"")</f>
        <v/>
      </c>
      <c r="P154" s="23">
        <f>IF($C154="","",INDEX(인턴근무계획!$R$3:$R$402,$A154)&amp;"")</f>
        <v/>
      </c>
      <c r="Q154" s="23">
        <f>IF($C154="","",INDEX(인턴근무계획!$T$3:$T$402,$A154))</f>
        <v/>
      </c>
    </row>
    <row r="155">
      <c r="A155" s="26" t="n">
        <v>150</v>
      </c>
      <c r="B155" s="23">
        <f>IF($C155="","",INDEX(인턴근무계획!$B$3:$B$402,$A155))</f>
        <v/>
      </c>
      <c r="C155" s="23">
        <f>IFERROR(TRIM(INDEX(인턴근무계획!$C$3:$C$402,$A155)&amp;""),"")</f>
        <v/>
      </c>
      <c r="D155" s="23">
        <f>IF($C155="","",INDEX(인턴근무계획!$D$3:$D$402,$A155))</f>
        <v/>
      </c>
      <c r="E155" s="23">
        <f>IF($C155="","",IF(IFERROR(MATCH($D155,기본자료!$B$2:$B$1001,0),IFERROR(MATCH($D155&amp;"",기본자료!$B$2:$B$1001,0),IFERROR(MATCH(VALUE($D155),기본자료!$B$2:$B$1001,0),0)))&gt;0,"확인","미등록"))</f>
        <v/>
      </c>
      <c r="F155" s="27">
        <f>IF($C155="","",INDEX(인턴근무계획!$S$3:$S$402,$A155))</f>
        <v/>
      </c>
      <c r="G155" s="23">
        <f>IF(OR($C155="",$G$3=""),"",IF(INDEX(인턴근무계획!$M$3:$R$402,$A155,$G$3)&amp;""="","",IF(LEFT(INDEX(인턴근무계획!$M$3:$R$402,$A155,$G$3)&amp;"",1)="⚠",INDEX(인턴근무계획!$M$3:$R$402,$A155,$G$3)&amp;"",LEFT(INDEX(인턴근무계획!$M$3:$R$402,$A155,$G$3)&amp;"",FIND(" ",INDEX(인턴근무계획!$M$3:$R$402,$A155,$G$3)&amp;"")-1))))</f>
        <v/>
      </c>
      <c r="H155" s="23">
        <f>IF(OR($C155="",$G$3=""),"",IF(INDEX(인턴근무계획!$M$3:$R$402,$A155,$G$3)&amp;""="","",IF(LEFT(INDEX(인턴근무계획!$M$3:$R$402,$A155,$G$3)&amp;"",1)="⚠","",MID(INDEX(인턴근무계획!$M$3:$R$402,$A155,$G$3)&amp;"",FIND(" ",INDEX(인턴근무계획!$M$3:$R$402,$A155,$G$3)&amp;"")+1,60))))</f>
        <v/>
      </c>
      <c r="I155" s="23">
        <f>IF(OR($C155="",$I$3=""),"",IF(INDEX(인턴근무계획!$M$3:$R$402,$A155,$I$3)&amp;""="","",IF(LEFT(INDEX(인턴근무계획!$M$3:$R$402,$A155,$I$3)&amp;"",1)="⚠",INDEX(인턴근무계획!$M$3:$R$402,$A155,$I$3)&amp;"",LEFT(INDEX(인턴근무계획!$M$3:$R$402,$A155,$I$3)&amp;"",FIND(" ",INDEX(인턴근무계획!$M$3:$R$402,$A155,$I$3)&amp;"")-1))))</f>
        <v/>
      </c>
      <c r="J155" s="23">
        <f>IF(OR($C155="",$I$3=""),"",IF(INDEX(인턴근무계획!$M$3:$R$402,$A155,$I$3)&amp;""="","",IF(LEFT(INDEX(인턴근무계획!$M$3:$R$402,$A155,$I$3)&amp;"",1)="⚠","",MID(INDEX(인턴근무계획!$M$3:$R$402,$A155,$I$3)&amp;"",FIND(" ",INDEX(인턴근무계획!$M$3:$R$402,$A155,$I$3)&amp;"")+1,60))))</f>
        <v/>
      </c>
      <c r="K155" s="23">
        <f>IF($C155="","",INDEX(인턴근무계획!$M$3:$M$402,$A155)&amp;"")</f>
        <v/>
      </c>
      <c r="L155" s="23">
        <f>IF($C155="","",INDEX(인턴근무계획!$N$3:$N$402,$A155)&amp;"")</f>
        <v/>
      </c>
      <c r="M155" s="23">
        <f>IF($C155="","",INDEX(인턴근무계획!$O$3:$O$402,$A155)&amp;"")</f>
        <v/>
      </c>
      <c r="N155" s="23">
        <f>IF($C155="","",INDEX(인턴근무계획!$P$3:$P$402,$A155)&amp;"")</f>
        <v/>
      </c>
      <c r="O155" s="23">
        <f>IF($C155="","",INDEX(인턴근무계획!$Q$3:$Q$402,$A155)&amp;"")</f>
        <v/>
      </c>
      <c r="P155" s="23">
        <f>IF($C155="","",INDEX(인턴근무계획!$R$3:$R$402,$A155)&amp;"")</f>
        <v/>
      </c>
      <c r="Q155" s="23">
        <f>IF($C155="","",INDEX(인턴근무계획!$T$3:$T$402,$A155))</f>
        <v/>
      </c>
    </row>
    <row r="156">
      <c r="A156" s="26" t="n">
        <v>151</v>
      </c>
      <c r="B156" s="23">
        <f>IF($C156="","",INDEX(인턴근무계획!$B$3:$B$402,$A156))</f>
        <v/>
      </c>
      <c r="C156" s="23">
        <f>IFERROR(TRIM(INDEX(인턴근무계획!$C$3:$C$402,$A156)&amp;""),"")</f>
        <v/>
      </c>
      <c r="D156" s="23">
        <f>IF($C156="","",INDEX(인턴근무계획!$D$3:$D$402,$A156))</f>
        <v/>
      </c>
      <c r="E156" s="23">
        <f>IF($C156="","",IF(IFERROR(MATCH($D156,기본자료!$B$2:$B$1001,0),IFERROR(MATCH($D156&amp;"",기본자료!$B$2:$B$1001,0),IFERROR(MATCH(VALUE($D156),기본자료!$B$2:$B$1001,0),0)))&gt;0,"확인","미등록"))</f>
        <v/>
      </c>
      <c r="F156" s="27">
        <f>IF($C156="","",INDEX(인턴근무계획!$S$3:$S$402,$A156))</f>
        <v/>
      </c>
      <c r="G156" s="23">
        <f>IF(OR($C156="",$G$3=""),"",IF(INDEX(인턴근무계획!$M$3:$R$402,$A156,$G$3)&amp;""="","",IF(LEFT(INDEX(인턴근무계획!$M$3:$R$402,$A156,$G$3)&amp;"",1)="⚠",INDEX(인턴근무계획!$M$3:$R$402,$A156,$G$3)&amp;"",LEFT(INDEX(인턴근무계획!$M$3:$R$402,$A156,$G$3)&amp;"",FIND(" ",INDEX(인턴근무계획!$M$3:$R$402,$A156,$G$3)&amp;"")-1))))</f>
        <v/>
      </c>
      <c r="H156" s="23">
        <f>IF(OR($C156="",$G$3=""),"",IF(INDEX(인턴근무계획!$M$3:$R$402,$A156,$G$3)&amp;""="","",IF(LEFT(INDEX(인턴근무계획!$M$3:$R$402,$A156,$G$3)&amp;"",1)="⚠","",MID(INDEX(인턴근무계획!$M$3:$R$402,$A156,$G$3)&amp;"",FIND(" ",INDEX(인턴근무계획!$M$3:$R$402,$A156,$G$3)&amp;"")+1,60))))</f>
        <v/>
      </c>
      <c r="I156" s="23">
        <f>IF(OR($C156="",$I$3=""),"",IF(INDEX(인턴근무계획!$M$3:$R$402,$A156,$I$3)&amp;""="","",IF(LEFT(INDEX(인턴근무계획!$M$3:$R$402,$A156,$I$3)&amp;"",1)="⚠",INDEX(인턴근무계획!$M$3:$R$402,$A156,$I$3)&amp;"",LEFT(INDEX(인턴근무계획!$M$3:$R$402,$A156,$I$3)&amp;"",FIND(" ",INDEX(인턴근무계획!$M$3:$R$402,$A156,$I$3)&amp;"")-1))))</f>
        <v/>
      </c>
      <c r="J156" s="23">
        <f>IF(OR($C156="",$I$3=""),"",IF(INDEX(인턴근무계획!$M$3:$R$402,$A156,$I$3)&amp;""="","",IF(LEFT(INDEX(인턴근무계획!$M$3:$R$402,$A156,$I$3)&amp;"",1)="⚠","",MID(INDEX(인턴근무계획!$M$3:$R$402,$A156,$I$3)&amp;"",FIND(" ",INDEX(인턴근무계획!$M$3:$R$402,$A156,$I$3)&amp;"")+1,60))))</f>
        <v/>
      </c>
      <c r="K156" s="23">
        <f>IF($C156="","",INDEX(인턴근무계획!$M$3:$M$402,$A156)&amp;"")</f>
        <v/>
      </c>
      <c r="L156" s="23">
        <f>IF($C156="","",INDEX(인턴근무계획!$N$3:$N$402,$A156)&amp;"")</f>
        <v/>
      </c>
      <c r="M156" s="23">
        <f>IF($C156="","",INDEX(인턴근무계획!$O$3:$O$402,$A156)&amp;"")</f>
        <v/>
      </c>
      <c r="N156" s="23">
        <f>IF($C156="","",INDEX(인턴근무계획!$P$3:$P$402,$A156)&amp;"")</f>
        <v/>
      </c>
      <c r="O156" s="23">
        <f>IF($C156="","",INDEX(인턴근무계획!$Q$3:$Q$402,$A156)&amp;"")</f>
        <v/>
      </c>
      <c r="P156" s="23">
        <f>IF($C156="","",INDEX(인턴근무계획!$R$3:$R$402,$A156)&amp;"")</f>
        <v/>
      </c>
      <c r="Q156" s="23">
        <f>IF($C156="","",INDEX(인턴근무계획!$T$3:$T$402,$A156))</f>
        <v/>
      </c>
    </row>
    <row r="157">
      <c r="A157" s="26" t="n">
        <v>152</v>
      </c>
      <c r="B157" s="23">
        <f>IF($C157="","",INDEX(인턴근무계획!$B$3:$B$402,$A157))</f>
        <v/>
      </c>
      <c r="C157" s="23">
        <f>IFERROR(TRIM(INDEX(인턴근무계획!$C$3:$C$402,$A157)&amp;""),"")</f>
        <v/>
      </c>
      <c r="D157" s="23">
        <f>IF($C157="","",INDEX(인턴근무계획!$D$3:$D$402,$A157))</f>
        <v/>
      </c>
      <c r="E157" s="23">
        <f>IF($C157="","",IF(IFERROR(MATCH($D157,기본자료!$B$2:$B$1001,0),IFERROR(MATCH($D157&amp;"",기본자료!$B$2:$B$1001,0),IFERROR(MATCH(VALUE($D157),기본자료!$B$2:$B$1001,0),0)))&gt;0,"확인","미등록"))</f>
        <v/>
      </c>
      <c r="F157" s="27">
        <f>IF($C157="","",INDEX(인턴근무계획!$S$3:$S$402,$A157))</f>
        <v/>
      </c>
      <c r="G157" s="23">
        <f>IF(OR($C157="",$G$3=""),"",IF(INDEX(인턴근무계획!$M$3:$R$402,$A157,$G$3)&amp;""="","",IF(LEFT(INDEX(인턴근무계획!$M$3:$R$402,$A157,$G$3)&amp;"",1)="⚠",INDEX(인턴근무계획!$M$3:$R$402,$A157,$G$3)&amp;"",LEFT(INDEX(인턴근무계획!$M$3:$R$402,$A157,$G$3)&amp;"",FIND(" ",INDEX(인턴근무계획!$M$3:$R$402,$A157,$G$3)&amp;"")-1))))</f>
        <v/>
      </c>
      <c r="H157" s="23">
        <f>IF(OR($C157="",$G$3=""),"",IF(INDEX(인턴근무계획!$M$3:$R$402,$A157,$G$3)&amp;""="","",IF(LEFT(INDEX(인턴근무계획!$M$3:$R$402,$A157,$G$3)&amp;"",1)="⚠","",MID(INDEX(인턴근무계획!$M$3:$R$402,$A157,$G$3)&amp;"",FIND(" ",INDEX(인턴근무계획!$M$3:$R$402,$A157,$G$3)&amp;"")+1,60))))</f>
        <v/>
      </c>
      <c r="I157" s="23">
        <f>IF(OR($C157="",$I$3=""),"",IF(INDEX(인턴근무계획!$M$3:$R$402,$A157,$I$3)&amp;""="","",IF(LEFT(INDEX(인턴근무계획!$M$3:$R$402,$A157,$I$3)&amp;"",1)="⚠",INDEX(인턴근무계획!$M$3:$R$402,$A157,$I$3)&amp;"",LEFT(INDEX(인턴근무계획!$M$3:$R$402,$A157,$I$3)&amp;"",FIND(" ",INDEX(인턴근무계획!$M$3:$R$402,$A157,$I$3)&amp;"")-1))))</f>
        <v/>
      </c>
      <c r="J157" s="23">
        <f>IF(OR($C157="",$I$3=""),"",IF(INDEX(인턴근무계획!$M$3:$R$402,$A157,$I$3)&amp;""="","",IF(LEFT(INDEX(인턴근무계획!$M$3:$R$402,$A157,$I$3)&amp;"",1)="⚠","",MID(INDEX(인턴근무계획!$M$3:$R$402,$A157,$I$3)&amp;"",FIND(" ",INDEX(인턴근무계획!$M$3:$R$402,$A157,$I$3)&amp;"")+1,60))))</f>
        <v/>
      </c>
      <c r="K157" s="23">
        <f>IF($C157="","",INDEX(인턴근무계획!$M$3:$M$402,$A157)&amp;"")</f>
        <v/>
      </c>
      <c r="L157" s="23">
        <f>IF($C157="","",INDEX(인턴근무계획!$N$3:$N$402,$A157)&amp;"")</f>
        <v/>
      </c>
      <c r="M157" s="23">
        <f>IF($C157="","",INDEX(인턴근무계획!$O$3:$O$402,$A157)&amp;"")</f>
        <v/>
      </c>
      <c r="N157" s="23">
        <f>IF($C157="","",INDEX(인턴근무계획!$P$3:$P$402,$A157)&amp;"")</f>
        <v/>
      </c>
      <c r="O157" s="23">
        <f>IF($C157="","",INDEX(인턴근무계획!$Q$3:$Q$402,$A157)&amp;"")</f>
        <v/>
      </c>
      <c r="P157" s="23">
        <f>IF($C157="","",INDEX(인턴근무계획!$R$3:$R$402,$A157)&amp;"")</f>
        <v/>
      </c>
      <c r="Q157" s="23">
        <f>IF($C157="","",INDEX(인턴근무계획!$T$3:$T$402,$A157))</f>
        <v/>
      </c>
    </row>
    <row r="158">
      <c r="A158" s="26" t="n">
        <v>153</v>
      </c>
      <c r="B158" s="23">
        <f>IF($C158="","",INDEX(인턴근무계획!$B$3:$B$402,$A158))</f>
        <v/>
      </c>
      <c r="C158" s="23">
        <f>IFERROR(TRIM(INDEX(인턴근무계획!$C$3:$C$402,$A158)&amp;""),"")</f>
        <v/>
      </c>
      <c r="D158" s="23">
        <f>IF($C158="","",INDEX(인턴근무계획!$D$3:$D$402,$A158))</f>
        <v/>
      </c>
      <c r="E158" s="23">
        <f>IF($C158="","",IF(IFERROR(MATCH($D158,기본자료!$B$2:$B$1001,0),IFERROR(MATCH($D158&amp;"",기본자료!$B$2:$B$1001,0),IFERROR(MATCH(VALUE($D158),기본자료!$B$2:$B$1001,0),0)))&gt;0,"확인","미등록"))</f>
        <v/>
      </c>
      <c r="F158" s="27">
        <f>IF($C158="","",INDEX(인턴근무계획!$S$3:$S$402,$A158))</f>
        <v/>
      </c>
      <c r="G158" s="23">
        <f>IF(OR($C158="",$G$3=""),"",IF(INDEX(인턴근무계획!$M$3:$R$402,$A158,$G$3)&amp;""="","",IF(LEFT(INDEX(인턴근무계획!$M$3:$R$402,$A158,$G$3)&amp;"",1)="⚠",INDEX(인턴근무계획!$M$3:$R$402,$A158,$G$3)&amp;"",LEFT(INDEX(인턴근무계획!$M$3:$R$402,$A158,$G$3)&amp;"",FIND(" ",INDEX(인턴근무계획!$M$3:$R$402,$A158,$G$3)&amp;"")-1))))</f>
        <v/>
      </c>
      <c r="H158" s="23">
        <f>IF(OR($C158="",$G$3=""),"",IF(INDEX(인턴근무계획!$M$3:$R$402,$A158,$G$3)&amp;""="","",IF(LEFT(INDEX(인턴근무계획!$M$3:$R$402,$A158,$G$3)&amp;"",1)="⚠","",MID(INDEX(인턴근무계획!$M$3:$R$402,$A158,$G$3)&amp;"",FIND(" ",INDEX(인턴근무계획!$M$3:$R$402,$A158,$G$3)&amp;"")+1,60))))</f>
        <v/>
      </c>
      <c r="I158" s="23">
        <f>IF(OR($C158="",$I$3=""),"",IF(INDEX(인턴근무계획!$M$3:$R$402,$A158,$I$3)&amp;""="","",IF(LEFT(INDEX(인턴근무계획!$M$3:$R$402,$A158,$I$3)&amp;"",1)="⚠",INDEX(인턴근무계획!$M$3:$R$402,$A158,$I$3)&amp;"",LEFT(INDEX(인턴근무계획!$M$3:$R$402,$A158,$I$3)&amp;"",FIND(" ",INDEX(인턴근무계획!$M$3:$R$402,$A158,$I$3)&amp;"")-1))))</f>
        <v/>
      </c>
      <c r="J158" s="23">
        <f>IF(OR($C158="",$I$3=""),"",IF(INDEX(인턴근무계획!$M$3:$R$402,$A158,$I$3)&amp;""="","",IF(LEFT(INDEX(인턴근무계획!$M$3:$R$402,$A158,$I$3)&amp;"",1)="⚠","",MID(INDEX(인턴근무계획!$M$3:$R$402,$A158,$I$3)&amp;"",FIND(" ",INDEX(인턴근무계획!$M$3:$R$402,$A158,$I$3)&amp;"")+1,60))))</f>
        <v/>
      </c>
      <c r="K158" s="23">
        <f>IF($C158="","",INDEX(인턴근무계획!$M$3:$M$402,$A158)&amp;"")</f>
        <v/>
      </c>
      <c r="L158" s="23">
        <f>IF($C158="","",INDEX(인턴근무계획!$N$3:$N$402,$A158)&amp;"")</f>
        <v/>
      </c>
      <c r="M158" s="23">
        <f>IF($C158="","",INDEX(인턴근무계획!$O$3:$O$402,$A158)&amp;"")</f>
        <v/>
      </c>
      <c r="N158" s="23">
        <f>IF($C158="","",INDEX(인턴근무계획!$P$3:$P$402,$A158)&amp;"")</f>
        <v/>
      </c>
      <c r="O158" s="23">
        <f>IF($C158="","",INDEX(인턴근무계획!$Q$3:$Q$402,$A158)&amp;"")</f>
        <v/>
      </c>
      <c r="P158" s="23">
        <f>IF($C158="","",INDEX(인턴근무계획!$R$3:$R$402,$A158)&amp;"")</f>
        <v/>
      </c>
      <c r="Q158" s="23">
        <f>IF($C158="","",INDEX(인턴근무계획!$T$3:$T$402,$A158))</f>
        <v/>
      </c>
    </row>
    <row r="159">
      <c r="A159" s="26" t="n">
        <v>154</v>
      </c>
      <c r="B159" s="23">
        <f>IF($C159="","",INDEX(인턴근무계획!$B$3:$B$402,$A159))</f>
        <v/>
      </c>
      <c r="C159" s="23">
        <f>IFERROR(TRIM(INDEX(인턴근무계획!$C$3:$C$402,$A159)&amp;""),"")</f>
        <v/>
      </c>
      <c r="D159" s="23">
        <f>IF($C159="","",INDEX(인턴근무계획!$D$3:$D$402,$A159))</f>
        <v/>
      </c>
      <c r="E159" s="23">
        <f>IF($C159="","",IF(IFERROR(MATCH($D159,기본자료!$B$2:$B$1001,0),IFERROR(MATCH($D159&amp;"",기본자료!$B$2:$B$1001,0),IFERROR(MATCH(VALUE($D159),기본자료!$B$2:$B$1001,0),0)))&gt;0,"확인","미등록"))</f>
        <v/>
      </c>
      <c r="F159" s="27">
        <f>IF($C159="","",INDEX(인턴근무계획!$S$3:$S$402,$A159))</f>
        <v/>
      </c>
      <c r="G159" s="23">
        <f>IF(OR($C159="",$G$3=""),"",IF(INDEX(인턴근무계획!$M$3:$R$402,$A159,$G$3)&amp;""="","",IF(LEFT(INDEX(인턴근무계획!$M$3:$R$402,$A159,$G$3)&amp;"",1)="⚠",INDEX(인턴근무계획!$M$3:$R$402,$A159,$G$3)&amp;"",LEFT(INDEX(인턴근무계획!$M$3:$R$402,$A159,$G$3)&amp;"",FIND(" ",INDEX(인턴근무계획!$M$3:$R$402,$A159,$G$3)&amp;"")-1))))</f>
        <v/>
      </c>
      <c r="H159" s="23">
        <f>IF(OR($C159="",$G$3=""),"",IF(INDEX(인턴근무계획!$M$3:$R$402,$A159,$G$3)&amp;""="","",IF(LEFT(INDEX(인턴근무계획!$M$3:$R$402,$A159,$G$3)&amp;"",1)="⚠","",MID(INDEX(인턴근무계획!$M$3:$R$402,$A159,$G$3)&amp;"",FIND(" ",INDEX(인턴근무계획!$M$3:$R$402,$A159,$G$3)&amp;"")+1,60))))</f>
        <v/>
      </c>
      <c r="I159" s="23">
        <f>IF(OR($C159="",$I$3=""),"",IF(INDEX(인턴근무계획!$M$3:$R$402,$A159,$I$3)&amp;""="","",IF(LEFT(INDEX(인턴근무계획!$M$3:$R$402,$A159,$I$3)&amp;"",1)="⚠",INDEX(인턴근무계획!$M$3:$R$402,$A159,$I$3)&amp;"",LEFT(INDEX(인턴근무계획!$M$3:$R$402,$A159,$I$3)&amp;"",FIND(" ",INDEX(인턴근무계획!$M$3:$R$402,$A159,$I$3)&amp;"")-1))))</f>
        <v/>
      </c>
      <c r="J159" s="23">
        <f>IF(OR($C159="",$I$3=""),"",IF(INDEX(인턴근무계획!$M$3:$R$402,$A159,$I$3)&amp;""="","",IF(LEFT(INDEX(인턴근무계획!$M$3:$R$402,$A159,$I$3)&amp;"",1)="⚠","",MID(INDEX(인턴근무계획!$M$3:$R$402,$A159,$I$3)&amp;"",FIND(" ",INDEX(인턴근무계획!$M$3:$R$402,$A159,$I$3)&amp;"")+1,60))))</f>
        <v/>
      </c>
      <c r="K159" s="23">
        <f>IF($C159="","",INDEX(인턴근무계획!$M$3:$M$402,$A159)&amp;"")</f>
        <v/>
      </c>
      <c r="L159" s="23">
        <f>IF($C159="","",INDEX(인턴근무계획!$N$3:$N$402,$A159)&amp;"")</f>
        <v/>
      </c>
      <c r="M159" s="23">
        <f>IF($C159="","",INDEX(인턴근무계획!$O$3:$O$402,$A159)&amp;"")</f>
        <v/>
      </c>
      <c r="N159" s="23">
        <f>IF($C159="","",INDEX(인턴근무계획!$P$3:$P$402,$A159)&amp;"")</f>
        <v/>
      </c>
      <c r="O159" s="23">
        <f>IF($C159="","",INDEX(인턴근무계획!$Q$3:$Q$402,$A159)&amp;"")</f>
        <v/>
      </c>
      <c r="P159" s="23">
        <f>IF($C159="","",INDEX(인턴근무계획!$R$3:$R$402,$A159)&amp;"")</f>
        <v/>
      </c>
      <c r="Q159" s="23">
        <f>IF($C159="","",INDEX(인턴근무계획!$T$3:$T$402,$A159))</f>
        <v/>
      </c>
    </row>
    <row r="160">
      <c r="A160" s="26" t="n">
        <v>155</v>
      </c>
      <c r="B160" s="23">
        <f>IF($C160="","",INDEX(인턴근무계획!$B$3:$B$402,$A160))</f>
        <v/>
      </c>
      <c r="C160" s="23">
        <f>IFERROR(TRIM(INDEX(인턴근무계획!$C$3:$C$402,$A160)&amp;""),"")</f>
        <v/>
      </c>
      <c r="D160" s="23">
        <f>IF($C160="","",INDEX(인턴근무계획!$D$3:$D$402,$A160))</f>
        <v/>
      </c>
      <c r="E160" s="23">
        <f>IF($C160="","",IF(IFERROR(MATCH($D160,기본자료!$B$2:$B$1001,0),IFERROR(MATCH($D160&amp;"",기본자료!$B$2:$B$1001,0),IFERROR(MATCH(VALUE($D160),기본자료!$B$2:$B$1001,0),0)))&gt;0,"확인","미등록"))</f>
        <v/>
      </c>
      <c r="F160" s="27">
        <f>IF($C160="","",INDEX(인턴근무계획!$S$3:$S$402,$A160))</f>
        <v/>
      </c>
      <c r="G160" s="23">
        <f>IF(OR($C160="",$G$3=""),"",IF(INDEX(인턴근무계획!$M$3:$R$402,$A160,$G$3)&amp;""="","",IF(LEFT(INDEX(인턴근무계획!$M$3:$R$402,$A160,$G$3)&amp;"",1)="⚠",INDEX(인턴근무계획!$M$3:$R$402,$A160,$G$3)&amp;"",LEFT(INDEX(인턴근무계획!$M$3:$R$402,$A160,$G$3)&amp;"",FIND(" ",INDEX(인턴근무계획!$M$3:$R$402,$A160,$G$3)&amp;"")-1))))</f>
        <v/>
      </c>
      <c r="H160" s="23">
        <f>IF(OR($C160="",$G$3=""),"",IF(INDEX(인턴근무계획!$M$3:$R$402,$A160,$G$3)&amp;""="","",IF(LEFT(INDEX(인턴근무계획!$M$3:$R$402,$A160,$G$3)&amp;"",1)="⚠","",MID(INDEX(인턴근무계획!$M$3:$R$402,$A160,$G$3)&amp;"",FIND(" ",INDEX(인턴근무계획!$M$3:$R$402,$A160,$G$3)&amp;"")+1,60))))</f>
        <v/>
      </c>
      <c r="I160" s="23">
        <f>IF(OR($C160="",$I$3=""),"",IF(INDEX(인턴근무계획!$M$3:$R$402,$A160,$I$3)&amp;""="","",IF(LEFT(INDEX(인턴근무계획!$M$3:$R$402,$A160,$I$3)&amp;"",1)="⚠",INDEX(인턴근무계획!$M$3:$R$402,$A160,$I$3)&amp;"",LEFT(INDEX(인턴근무계획!$M$3:$R$402,$A160,$I$3)&amp;"",FIND(" ",INDEX(인턴근무계획!$M$3:$R$402,$A160,$I$3)&amp;"")-1))))</f>
        <v/>
      </c>
      <c r="J160" s="23">
        <f>IF(OR($C160="",$I$3=""),"",IF(INDEX(인턴근무계획!$M$3:$R$402,$A160,$I$3)&amp;""="","",IF(LEFT(INDEX(인턴근무계획!$M$3:$R$402,$A160,$I$3)&amp;"",1)="⚠","",MID(INDEX(인턴근무계획!$M$3:$R$402,$A160,$I$3)&amp;"",FIND(" ",INDEX(인턴근무계획!$M$3:$R$402,$A160,$I$3)&amp;"")+1,60))))</f>
        <v/>
      </c>
      <c r="K160" s="23">
        <f>IF($C160="","",INDEX(인턴근무계획!$M$3:$M$402,$A160)&amp;"")</f>
        <v/>
      </c>
      <c r="L160" s="23">
        <f>IF($C160="","",INDEX(인턴근무계획!$N$3:$N$402,$A160)&amp;"")</f>
        <v/>
      </c>
      <c r="M160" s="23">
        <f>IF($C160="","",INDEX(인턴근무계획!$O$3:$O$402,$A160)&amp;"")</f>
        <v/>
      </c>
      <c r="N160" s="23">
        <f>IF($C160="","",INDEX(인턴근무계획!$P$3:$P$402,$A160)&amp;"")</f>
        <v/>
      </c>
      <c r="O160" s="23">
        <f>IF($C160="","",INDEX(인턴근무계획!$Q$3:$Q$402,$A160)&amp;"")</f>
        <v/>
      </c>
      <c r="P160" s="23">
        <f>IF($C160="","",INDEX(인턴근무계획!$R$3:$R$402,$A160)&amp;"")</f>
        <v/>
      </c>
      <c r="Q160" s="23">
        <f>IF($C160="","",INDEX(인턴근무계획!$T$3:$T$402,$A160))</f>
        <v/>
      </c>
    </row>
    <row r="161">
      <c r="A161" s="26" t="n">
        <v>156</v>
      </c>
      <c r="B161" s="23">
        <f>IF($C161="","",INDEX(인턴근무계획!$B$3:$B$402,$A161))</f>
        <v/>
      </c>
      <c r="C161" s="23">
        <f>IFERROR(TRIM(INDEX(인턴근무계획!$C$3:$C$402,$A161)&amp;""),"")</f>
        <v/>
      </c>
      <c r="D161" s="23">
        <f>IF($C161="","",INDEX(인턴근무계획!$D$3:$D$402,$A161))</f>
        <v/>
      </c>
      <c r="E161" s="23">
        <f>IF($C161="","",IF(IFERROR(MATCH($D161,기본자료!$B$2:$B$1001,0),IFERROR(MATCH($D161&amp;"",기본자료!$B$2:$B$1001,0),IFERROR(MATCH(VALUE($D161),기본자료!$B$2:$B$1001,0),0)))&gt;0,"확인","미등록"))</f>
        <v/>
      </c>
      <c r="F161" s="27">
        <f>IF($C161="","",INDEX(인턴근무계획!$S$3:$S$402,$A161))</f>
        <v/>
      </c>
      <c r="G161" s="23">
        <f>IF(OR($C161="",$G$3=""),"",IF(INDEX(인턴근무계획!$M$3:$R$402,$A161,$G$3)&amp;""="","",IF(LEFT(INDEX(인턴근무계획!$M$3:$R$402,$A161,$G$3)&amp;"",1)="⚠",INDEX(인턴근무계획!$M$3:$R$402,$A161,$G$3)&amp;"",LEFT(INDEX(인턴근무계획!$M$3:$R$402,$A161,$G$3)&amp;"",FIND(" ",INDEX(인턴근무계획!$M$3:$R$402,$A161,$G$3)&amp;"")-1))))</f>
        <v/>
      </c>
      <c r="H161" s="23">
        <f>IF(OR($C161="",$G$3=""),"",IF(INDEX(인턴근무계획!$M$3:$R$402,$A161,$G$3)&amp;""="","",IF(LEFT(INDEX(인턴근무계획!$M$3:$R$402,$A161,$G$3)&amp;"",1)="⚠","",MID(INDEX(인턴근무계획!$M$3:$R$402,$A161,$G$3)&amp;"",FIND(" ",INDEX(인턴근무계획!$M$3:$R$402,$A161,$G$3)&amp;"")+1,60))))</f>
        <v/>
      </c>
      <c r="I161" s="23">
        <f>IF(OR($C161="",$I$3=""),"",IF(INDEX(인턴근무계획!$M$3:$R$402,$A161,$I$3)&amp;""="","",IF(LEFT(INDEX(인턴근무계획!$M$3:$R$402,$A161,$I$3)&amp;"",1)="⚠",INDEX(인턴근무계획!$M$3:$R$402,$A161,$I$3)&amp;"",LEFT(INDEX(인턴근무계획!$M$3:$R$402,$A161,$I$3)&amp;"",FIND(" ",INDEX(인턴근무계획!$M$3:$R$402,$A161,$I$3)&amp;"")-1))))</f>
        <v/>
      </c>
      <c r="J161" s="23">
        <f>IF(OR($C161="",$I$3=""),"",IF(INDEX(인턴근무계획!$M$3:$R$402,$A161,$I$3)&amp;""="","",IF(LEFT(INDEX(인턴근무계획!$M$3:$R$402,$A161,$I$3)&amp;"",1)="⚠","",MID(INDEX(인턴근무계획!$M$3:$R$402,$A161,$I$3)&amp;"",FIND(" ",INDEX(인턴근무계획!$M$3:$R$402,$A161,$I$3)&amp;"")+1,60))))</f>
        <v/>
      </c>
      <c r="K161" s="23">
        <f>IF($C161="","",INDEX(인턴근무계획!$M$3:$M$402,$A161)&amp;"")</f>
        <v/>
      </c>
      <c r="L161" s="23">
        <f>IF($C161="","",INDEX(인턴근무계획!$N$3:$N$402,$A161)&amp;"")</f>
        <v/>
      </c>
      <c r="M161" s="23">
        <f>IF($C161="","",INDEX(인턴근무계획!$O$3:$O$402,$A161)&amp;"")</f>
        <v/>
      </c>
      <c r="N161" s="23">
        <f>IF($C161="","",INDEX(인턴근무계획!$P$3:$P$402,$A161)&amp;"")</f>
        <v/>
      </c>
      <c r="O161" s="23">
        <f>IF($C161="","",INDEX(인턴근무계획!$Q$3:$Q$402,$A161)&amp;"")</f>
        <v/>
      </c>
      <c r="P161" s="23">
        <f>IF($C161="","",INDEX(인턴근무계획!$R$3:$R$402,$A161)&amp;"")</f>
        <v/>
      </c>
      <c r="Q161" s="23">
        <f>IF($C161="","",INDEX(인턴근무계획!$T$3:$T$402,$A161))</f>
        <v/>
      </c>
    </row>
    <row r="162">
      <c r="A162" s="26" t="n">
        <v>157</v>
      </c>
      <c r="B162" s="23">
        <f>IF($C162="","",INDEX(인턴근무계획!$B$3:$B$402,$A162))</f>
        <v/>
      </c>
      <c r="C162" s="23">
        <f>IFERROR(TRIM(INDEX(인턴근무계획!$C$3:$C$402,$A162)&amp;""),"")</f>
        <v/>
      </c>
      <c r="D162" s="23">
        <f>IF($C162="","",INDEX(인턴근무계획!$D$3:$D$402,$A162))</f>
        <v/>
      </c>
      <c r="E162" s="23">
        <f>IF($C162="","",IF(IFERROR(MATCH($D162,기본자료!$B$2:$B$1001,0),IFERROR(MATCH($D162&amp;"",기본자료!$B$2:$B$1001,0),IFERROR(MATCH(VALUE($D162),기본자료!$B$2:$B$1001,0),0)))&gt;0,"확인","미등록"))</f>
        <v/>
      </c>
      <c r="F162" s="27">
        <f>IF($C162="","",INDEX(인턴근무계획!$S$3:$S$402,$A162))</f>
        <v/>
      </c>
      <c r="G162" s="23">
        <f>IF(OR($C162="",$G$3=""),"",IF(INDEX(인턴근무계획!$M$3:$R$402,$A162,$G$3)&amp;""="","",IF(LEFT(INDEX(인턴근무계획!$M$3:$R$402,$A162,$G$3)&amp;"",1)="⚠",INDEX(인턴근무계획!$M$3:$R$402,$A162,$G$3)&amp;"",LEFT(INDEX(인턴근무계획!$M$3:$R$402,$A162,$G$3)&amp;"",FIND(" ",INDEX(인턴근무계획!$M$3:$R$402,$A162,$G$3)&amp;"")-1))))</f>
        <v/>
      </c>
      <c r="H162" s="23">
        <f>IF(OR($C162="",$G$3=""),"",IF(INDEX(인턴근무계획!$M$3:$R$402,$A162,$G$3)&amp;""="","",IF(LEFT(INDEX(인턴근무계획!$M$3:$R$402,$A162,$G$3)&amp;"",1)="⚠","",MID(INDEX(인턴근무계획!$M$3:$R$402,$A162,$G$3)&amp;"",FIND(" ",INDEX(인턴근무계획!$M$3:$R$402,$A162,$G$3)&amp;"")+1,60))))</f>
        <v/>
      </c>
      <c r="I162" s="23">
        <f>IF(OR($C162="",$I$3=""),"",IF(INDEX(인턴근무계획!$M$3:$R$402,$A162,$I$3)&amp;""="","",IF(LEFT(INDEX(인턴근무계획!$M$3:$R$402,$A162,$I$3)&amp;"",1)="⚠",INDEX(인턴근무계획!$M$3:$R$402,$A162,$I$3)&amp;"",LEFT(INDEX(인턴근무계획!$M$3:$R$402,$A162,$I$3)&amp;"",FIND(" ",INDEX(인턴근무계획!$M$3:$R$402,$A162,$I$3)&amp;"")-1))))</f>
        <v/>
      </c>
      <c r="J162" s="23">
        <f>IF(OR($C162="",$I$3=""),"",IF(INDEX(인턴근무계획!$M$3:$R$402,$A162,$I$3)&amp;""="","",IF(LEFT(INDEX(인턴근무계획!$M$3:$R$402,$A162,$I$3)&amp;"",1)="⚠","",MID(INDEX(인턴근무계획!$M$3:$R$402,$A162,$I$3)&amp;"",FIND(" ",INDEX(인턴근무계획!$M$3:$R$402,$A162,$I$3)&amp;"")+1,60))))</f>
        <v/>
      </c>
      <c r="K162" s="23">
        <f>IF($C162="","",INDEX(인턴근무계획!$M$3:$M$402,$A162)&amp;"")</f>
        <v/>
      </c>
      <c r="L162" s="23">
        <f>IF($C162="","",INDEX(인턴근무계획!$N$3:$N$402,$A162)&amp;"")</f>
        <v/>
      </c>
      <c r="M162" s="23">
        <f>IF($C162="","",INDEX(인턴근무계획!$O$3:$O$402,$A162)&amp;"")</f>
        <v/>
      </c>
      <c r="N162" s="23">
        <f>IF($C162="","",INDEX(인턴근무계획!$P$3:$P$402,$A162)&amp;"")</f>
        <v/>
      </c>
      <c r="O162" s="23">
        <f>IF($C162="","",INDEX(인턴근무계획!$Q$3:$Q$402,$A162)&amp;"")</f>
        <v/>
      </c>
      <c r="P162" s="23">
        <f>IF($C162="","",INDEX(인턴근무계획!$R$3:$R$402,$A162)&amp;"")</f>
        <v/>
      </c>
      <c r="Q162" s="23">
        <f>IF($C162="","",INDEX(인턴근무계획!$T$3:$T$402,$A162))</f>
        <v/>
      </c>
    </row>
    <row r="163">
      <c r="A163" s="26" t="n">
        <v>158</v>
      </c>
      <c r="B163" s="23">
        <f>IF($C163="","",INDEX(인턴근무계획!$B$3:$B$402,$A163))</f>
        <v/>
      </c>
      <c r="C163" s="23">
        <f>IFERROR(TRIM(INDEX(인턴근무계획!$C$3:$C$402,$A163)&amp;""),"")</f>
        <v/>
      </c>
      <c r="D163" s="23">
        <f>IF($C163="","",INDEX(인턴근무계획!$D$3:$D$402,$A163))</f>
        <v/>
      </c>
      <c r="E163" s="23">
        <f>IF($C163="","",IF(IFERROR(MATCH($D163,기본자료!$B$2:$B$1001,0),IFERROR(MATCH($D163&amp;"",기본자료!$B$2:$B$1001,0),IFERROR(MATCH(VALUE($D163),기본자료!$B$2:$B$1001,0),0)))&gt;0,"확인","미등록"))</f>
        <v/>
      </c>
      <c r="F163" s="27">
        <f>IF($C163="","",INDEX(인턴근무계획!$S$3:$S$402,$A163))</f>
        <v/>
      </c>
      <c r="G163" s="23">
        <f>IF(OR($C163="",$G$3=""),"",IF(INDEX(인턴근무계획!$M$3:$R$402,$A163,$G$3)&amp;""="","",IF(LEFT(INDEX(인턴근무계획!$M$3:$R$402,$A163,$G$3)&amp;"",1)="⚠",INDEX(인턴근무계획!$M$3:$R$402,$A163,$G$3)&amp;"",LEFT(INDEX(인턴근무계획!$M$3:$R$402,$A163,$G$3)&amp;"",FIND(" ",INDEX(인턴근무계획!$M$3:$R$402,$A163,$G$3)&amp;"")-1))))</f>
        <v/>
      </c>
      <c r="H163" s="23">
        <f>IF(OR($C163="",$G$3=""),"",IF(INDEX(인턴근무계획!$M$3:$R$402,$A163,$G$3)&amp;""="","",IF(LEFT(INDEX(인턴근무계획!$M$3:$R$402,$A163,$G$3)&amp;"",1)="⚠","",MID(INDEX(인턴근무계획!$M$3:$R$402,$A163,$G$3)&amp;"",FIND(" ",INDEX(인턴근무계획!$M$3:$R$402,$A163,$G$3)&amp;"")+1,60))))</f>
        <v/>
      </c>
      <c r="I163" s="23">
        <f>IF(OR($C163="",$I$3=""),"",IF(INDEX(인턴근무계획!$M$3:$R$402,$A163,$I$3)&amp;""="","",IF(LEFT(INDEX(인턴근무계획!$M$3:$R$402,$A163,$I$3)&amp;"",1)="⚠",INDEX(인턴근무계획!$M$3:$R$402,$A163,$I$3)&amp;"",LEFT(INDEX(인턴근무계획!$M$3:$R$402,$A163,$I$3)&amp;"",FIND(" ",INDEX(인턴근무계획!$M$3:$R$402,$A163,$I$3)&amp;"")-1))))</f>
        <v/>
      </c>
      <c r="J163" s="23">
        <f>IF(OR($C163="",$I$3=""),"",IF(INDEX(인턴근무계획!$M$3:$R$402,$A163,$I$3)&amp;""="","",IF(LEFT(INDEX(인턴근무계획!$M$3:$R$402,$A163,$I$3)&amp;"",1)="⚠","",MID(INDEX(인턴근무계획!$M$3:$R$402,$A163,$I$3)&amp;"",FIND(" ",INDEX(인턴근무계획!$M$3:$R$402,$A163,$I$3)&amp;"")+1,60))))</f>
        <v/>
      </c>
      <c r="K163" s="23">
        <f>IF($C163="","",INDEX(인턴근무계획!$M$3:$M$402,$A163)&amp;"")</f>
        <v/>
      </c>
      <c r="L163" s="23">
        <f>IF($C163="","",INDEX(인턴근무계획!$N$3:$N$402,$A163)&amp;"")</f>
        <v/>
      </c>
      <c r="M163" s="23">
        <f>IF($C163="","",INDEX(인턴근무계획!$O$3:$O$402,$A163)&amp;"")</f>
        <v/>
      </c>
      <c r="N163" s="23">
        <f>IF($C163="","",INDEX(인턴근무계획!$P$3:$P$402,$A163)&amp;"")</f>
        <v/>
      </c>
      <c r="O163" s="23">
        <f>IF($C163="","",INDEX(인턴근무계획!$Q$3:$Q$402,$A163)&amp;"")</f>
        <v/>
      </c>
      <c r="P163" s="23">
        <f>IF($C163="","",INDEX(인턴근무계획!$R$3:$R$402,$A163)&amp;"")</f>
        <v/>
      </c>
      <c r="Q163" s="23">
        <f>IF($C163="","",INDEX(인턴근무계획!$T$3:$T$402,$A163))</f>
        <v/>
      </c>
    </row>
    <row r="164">
      <c r="A164" s="26" t="n">
        <v>159</v>
      </c>
      <c r="B164" s="23">
        <f>IF($C164="","",INDEX(인턴근무계획!$B$3:$B$402,$A164))</f>
        <v/>
      </c>
      <c r="C164" s="23">
        <f>IFERROR(TRIM(INDEX(인턴근무계획!$C$3:$C$402,$A164)&amp;""),"")</f>
        <v/>
      </c>
      <c r="D164" s="23">
        <f>IF($C164="","",INDEX(인턴근무계획!$D$3:$D$402,$A164))</f>
        <v/>
      </c>
      <c r="E164" s="23">
        <f>IF($C164="","",IF(IFERROR(MATCH($D164,기본자료!$B$2:$B$1001,0),IFERROR(MATCH($D164&amp;"",기본자료!$B$2:$B$1001,0),IFERROR(MATCH(VALUE($D164),기본자료!$B$2:$B$1001,0),0)))&gt;0,"확인","미등록"))</f>
        <v/>
      </c>
      <c r="F164" s="27">
        <f>IF($C164="","",INDEX(인턴근무계획!$S$3:$S$402,$A164))</f>
        <v/>
      </c>
      <c r="G164" s="23">
        <f>IF(OR($C164="",$G$3=""),"",IF(INDEX(인턴근무계획!$M$3:$R$402,$A164,$G$3)&amp;""="","",IF(LEFT(INDEX(인턴근무계획!$M$3:$R$402,$A164,$G$3)&amp;"",1)="⚠",INDEX(인턴근무계획!$M$3:$R$402,$A164,$G$3)&amp;"",LEFT(INDEX(인턴근무계획!$M$3:$R$402,$A164,$G$3)&amp;"",FIND(" ",INDEX(인턴근무계획!$M$3:$R$402,$A164,$G$3)&amp;"")-1))))</f>
        <v/>
      </c>
      <c r="H164" s="23">
        <f>IF(OR($C164="",$G$3=""),"",IF(INDEX(인턴근무계획!$M$3:$R$402,$A164,$G$3)&amp;""="","",IF(LEFT(INDEX(인턴근무계획!$M$3:$R$402,$A164,$G$3)&amp;"",1)="⚠","",MID(INDEX(인턴근무계획!$M$3:$R$402,$A164,$G$3)&amp;"",FIND(" ",INDEX(인턴근무계획!$M$3:$R$402,$A164,$G$3)&amp;"")+1,60))))</f>
        <v/>
      </c>
      <c r="I164" s="23">
        <f>IF(OR($C164="",$I$3=""),"",IF(INDEX(인턴근무계획!$M$3:$R$402,$A164,$I$3)&amp;""="","",IF(LEFT(INDEX(인턴근무계획!$M$3:$R$402,$A164,$I$3)&amp;"",1)="⚠",INDEX(인턴근무계획!$M$3:$R$402,$A164,$I$3)&amp;"",LEFT(INDEX(인턴근무계획!$M$3:$R$402,$A164,$I$3)&amp;"",FIND(" ",INDEX(인턴근무계획!$M$3:$R$402,$A164,$I$3)&amp;"")-1))))</f>
        <v/>
      </c>
      <c r="J164" s="23">
        <f>IF(OR($C164="",$I$3=""),"",IF(INDEX(인턴근무계획!$M$3:$R$402,$A164,$I$3)&amp;""="","",IF(LEFT(INDEX(인턴근무계획!$M$3:$R$402,$A164,$I$3)&amp;"",1)="⚠","",MID(INDEX(인턴근무계획!$M$3:$R$402,$A164,$I$3)&amp;"",FIND(" ",INDEX(인턴근무계획!$M$3:$R$402,$A164,$I$3)&amp;"")+1,60))))</f>
        <v/>
      </c>
      <c r="K164" s="23">
        <f>IF($C164="","",INDEX(인턴근무계획!$M$3:$M$402,$A164)&amp;"")</f>
        <v/>
      </c>
      <c r="L164" s="23">
        <f>IF($C164="","",INDEX(인턴근무계획!$N$3:$N$402,$A164)&amp;"")</f>
        <v/>
      </c>
      <c r="M164" s="23">
        <f>IF($C164="","",INDEX(인턴근무계획!$O$3:$O$402,$A164)&amp;"")</f>
        <v/>
      </c>
      <c r="N164" s="23">
        <f>IF($C164="","",INDEX(인턴근무계획!$P$3:$P$402,$A164)&amp;"")</f>
        <v/>
      </c>
      <c r="O164" s="23">
        <f>IF($C164="","",INDEX(인턴근무계획!$Q$3:$Q$402,$A164)&amp;"")</f>
        <v/>
      </c>
      <c r="P164" s="23">
        <f>IF($C164="","",INDEX(인턴근무계획!$R$3:$R$402,$A164)&amp;"")</f>
        <v/>
      </c>
      <c r="Q164" s="23">
        <f>IF($C164="","",INDEX(인턴근무계획!$T$3:$T$402,$A164))</f>
        <v/>
      </c>
    </row>
    <row r="165">
      <c r="A165" s="26" t="n">
        <v>160</v>
      </c>
      <c r="B165" s="23">
        <f>IF($C165="","",INDEX(인턴근무계획!$B$3:$B$402,$A165))</f>
        <v/>
      </c>
      <c r="C165" s="23">
        <f>IFERROR(TRIM(INDEX(인턴근무계획!$C$3:$C$402,$A165)&amp;""),"")</f>
        <v/>
      </c>
      <c r="D165" s="23">
        <f>IF($C165="","",INDEX(인턴근무계획!$D$3:$D$402,$A165))</f>
        <v/>
      </c>
      <c r="E165" s="23">
        <f>IF($C165="","",IF(IFERROR(MATCH($D165,기본자료!$B$2:$B$1001,0),IFERROR(MATCH($D165&amp;"",기본자료!$B$2:$B$1001,0),IFERROR(MATCH(VALUE($D165),기본자료!$B$2:$B$1001,0),0)))&gt;0,"확인","미등록"))</f>
        <v/>
      </c>
      <c r="F165" s="27">
        <f>IF($C165="","",INDEX(인턴근무계획!$S$3:$S$402,$A165))</f>
        <v/>
      </c>
      <c r="G165" s="23">
        <f>IF(OR($C165="",$G$3=""),"",IF(INDEX(인턴근무계획!$M$3:$R$402,$A165,$G$3)&amp;""="","",IF(LEFT(INDEX(인턴근무계획!$M$3:$R$402,$A165,$G$3)&amp;"",1)="⚠",INDEX(인턴근무계획!$M$3:$R$402,$A165,$G$3)&amp;"",LEFT(INDEX(인턴근무계획!$M$3:$R$402,$A165,$G$3)&amp;"",FIND(" ",INDEX(인턴근무계획!$M$3:$R$402,$A165,$G$3)&amp;"")-1))))</f>
        <v/>
      </c>
      <c r="H165" s="23">
        <f>IF(OR($C165="",$G$3=""),"",IF(INDEX(인턴근무계획!$M$3:$R$402,$A165,$G$3)&amp;""="","",IF(LEFT(INDEX(인턴근무계획!$M$3:$R$402,$A165,$G$3)&amp;"",1)="⚠","",MID(INDEX(인턴근무계획!$M$3:$R$402,$A165,$G$3)&amp;"",FIND(" ",INDEX(인턴근무계획!$M$3:$R$402,$A165,$G$3)&amp;"")+1,60))))</f>
        <v/>
      </c>
      <c r="I165" s="23">
        <f>IF(OR($C165="",$I$3=""),"",IF(INDEX(인턴근무계획!$M$3:$R$402,$A165,$I$3)&amp;""="","",IF(LEFT(INDEX(인턴근무계획!$M$3:$R$402,$A165,$I$3)&amp;"",1)="⚠",INDEX(인턴근무계획!$M$3:$R$402,$A165,$I$3)&amp;"",LEFT(INDEX(인턴근무계획!$M$3:$R$402,$A165,$I$3)&amp;"",FIND(" ",INDEX(인턴근무계획!$M$3:$R$402,$A165,$I$3)&amp;"")-1))))</f>
        <v/>
      </c>
      <c r="J165" s="23">
        <f>IF(OR($C165="",$I$3=""),"",IF(INDEX(인턴근무계획!$M$3:$R$402,$A165,$I$3)&amp;""="","",IF(LEFT(INDEX(인턴근무계획!$M$3:$R$402,$A165,$I$3)&amp;"",1)="⚠","",MID(INDEX(인턴근무계획!$M$3:$R$402,$A165,$I$3)&amp;"",FIND(" ",INDEX(인턴근무계획!$M$3:$R$402,$A165,$I$3)&amp;"")+1,60))))</f>
        <v/>
      </c>
      <c r="K165" s="23">
        <f>IF($C165="","",INDEX(인턴근무계획!$M$3:$M$402,$A165)&amp;"")</f>
        <v/>
      </c>
      <c r="L165" s="23">
        <f>IF($C165="","",INDEX(인턴근무계획!$N$3:$N$402,$A165)&amp;"")</f>
        <v/>
      </c>
      <c r="M165" s="23">
        <f>IF($C165="","",INDEX(인턴근무계획!$O$3:$O$402,$A165)&amp;"")</f>
        <v/>
      </c>
      <c r="N165" s="23">
        <f>IF($C165="","",INDEX(인턴근무계획!$P$3:$P$402,$A165)&amp;"")</f>
        <v/>
      </c>
      <c r="O165" s="23">
        <f>IF($C165="","",INDEX(인턴근무계획!$Q$3:$Q$402,$A165)&amp;"")</f>
        <v/>
      </c>
      <c r="P165" s="23">
        <f>IF($C165="","",INDEX(인턴근무계획!$R$3:$R$402,$A165)&amp;"")</f>
        <v/>
      </c>
      <c r="Q165" s="23">
        <f>IF($C165="","",INDEX(인턴근무계획!$T$3:$T$402,$A165))</f>
        <v/>
      </c>
    </row>
    <row r="166">
      <c r="A166" s="26" t="n">
        <v>161</v>
      </c>
      <c r="B166" s="23">
        <f>IF($C166="","",INDEX(인턴근무계획!$B$3:$B$402,$A166))</f>
        <v/>
      </c>
      <c r="C166" s="23">
        <f>IFERROR(TRIM(INDEX(인턴근무계획!$C$3:$C$402,$A166)&amp;""),"")</f>
        <v/>
      </c>
      <c r="D166" s="23">
        <f>IF($C166="","",INDEX(인턴근무계획!$D$3:$D$402,$A166))</f>
        <v/>
      </c>
      <c r="E166" s="23">
        <f>IF($C166="","",IF(IFERROR(MATCH($D166,기본자료!$B$2:$B$1001,0),IFERROR(MATCH($D166&amp;"",기본자료!$B$2:$B$1001,0),IFERROR(MATCH(VALUE($D166),기본자료!$B$2:$B$1001,0),0)))&gt;0,"확인","미등록"))</f>
        <v/>
      </c>
      <c r="F166" s="27">
        <f>IF($C166="","",INDEX(인턴근무계획!$S$3:$S$402,$A166))</f>
        <v/>
      </c>
      <c r="G166" s="23">
        <f>IF(OR($C166="",$G$3=""),"",IF(INDEX(인턴근무계획!$M$3:$R$402,$A166,$G$3)&amp;""="","",IF(LEFT(INDEX(인턴근무계획!$M$3:$R$402,$A166,$G$3)&amp;"",1)="⚠",INDEX(인턴근무계획!$M$3:$R$402,$A166,$G$3)&amp;"",LEFT(INDEX(인턴근무계획!$M$3:$R$402,$A166,$G$3)&amp;"",FIND(" ",INDEX(인턴근무계획!$M$3:$R$402,$A166,$G$3)&amp;"")-1))))</f>
        <v/>
      </c>
      <c r="H166" s="23">
        <f>IF(OR($C166="",$G$3=""),"",IF(INDEX(인턴근무계획!$M$3:$R$402,$A166,$G$3)&amp;""="","",IF(LEFT(INDEX(인턴근무계획!$M$3:$R$402,$A166,$G$3)&amp;"",1)="⚠","",MID(INDEX(인턴근무계획!$M$3:$R$402,$A166,$G$3)&amp;"",FIND(" ",INDEX(인턴근무계획!$M$3:$R$402,$A166,$G$3)&amp;"")+1,60))))</f>
        <v/>
      </c>
      <c r="I166" s="23">
        <f>IF(OR($C166="",$I$3=""),"",IF(INDEX(인턴근무계획!$M$3:$R$402,$A166,$I$3)&amp;""="","",IF(LEFT(INDEX(인턴근무계획!$M$3:$R$402,$A166,$I$3)&amp;"",1)="⚠",INDEX(인턴근무계획!$M$3:$R$402,$A166,$I$3)&amp;"",LEFT(INDEX(인턴근무계획!$M$3:$R$402,$A166,$I$3)&amp;"",FIND(" ",INDEX(인턴근무계획!$M$3:$R$402,$A166,$I$3)&amp;"")-1))))</f>
        <v/>
      </c>
      <c r="J166" s="23">
        <f>IF(OR($C166="",$I$3=""),"",IF(INDEX(인턴근무계획!$M$3:$R$402,$A166,$I$3)&amp;""="","",IF(LEFT(INDEX(인턴근무계획!$M$3:$R$402,$A166,$I$3)&amp;"",1)="⚠","",MID(INDEX(인턴근무계획!$M$3:$R$402,$A166,$I$3)&amp;"",FIND(" ",INDEX(인턴근무계획!$M$3:$R$402,$A166,$I$3)&amp;"")+1,60))))</f>
        <v/>
      </c>
      <c r="K166" s="23">
        <f>IF($C166="","",INDEX(인턴근무계획!$M$3:$M$402,$A166)&amp;"")</f>
        <v/>
      </c>
      <c r="L166" s="23">
        <f>IF($C166="","",INDEX(인턴근무계획!$N$3:$N$402,$A166)&amp;"")</f>
        <v/>
      </c>
      <c r="M166" s="23">
        <f>IF($C166="","",INDEX(인턴근무계획!$O$3:$O$402,$A166)&amp;"")</f>
        <v/>
      </c>
      <c r="N166" s="23">
        <f>IF($C166="","",INDEX(인턴근무계획!$P$3:$P$402,$A166)&amp;"")</f>
        <v/>
      </c>
      <c r="O166" s="23">
        <f>IF($C166="","",INDEX(인턴근무계획!$Q$3:$Q$402,$A166)&amp;"")</f>
        <v/>
      </c>
      <c r="P166" s="23">
        <f>IF($C166="","",INDEX(인턴근무계획!$R$3:$R$402,$A166)&amp;"")</f>
        <v/>
      </c>
      <c r="Q166" s="23">
        <f>IF($C166="","",INDEX(인턴근무계획!$T$3:$T$402,$A166))</f>
        <v/>
      </c>
    </row>
    <row r="167">
      <c r="A167" s="26" t="n">
        <v>162</v>
      </c>
      <c r="B167" s="23">
        <f>IF($C167="","",INDEX(인턴근무계획!$B$3:$B$402,$A167))</f>
        <v/>
      </c>
      <c r="C167" s="23">
        <f>IFERROR(TRIM(INDEX(인턴근무계획!$C$3:$C$402,$A167)&amp;""),"")</f>
        <v/>
      </c>
      <c r="D167" s="23">
        <f>IF($C167="","",INDEX(인턴근무계획!$D$3:$D$402,$A167))</f>
        <v/>
      </c>
      <c r="E167" s="23">
        <f>IF($C167="","",IF(IFERROR(MATCH($D167,기본자료!$B$2:$B$1001,0),IFERROR(MATCH($D167&amp;"",기본자료!$B$2:$B$1001,0),IFERROR(MATCH(VALUE($D167),기본자료!$B$2:$B$1001,0),0)))&gt;0,"확인","미등록"))</f>
        <v/>
      </c>
      <c r="F167" s="27">
        <f>IF($C167="","",INDEX(인턴근무계획!$S$3:$S$402,$A167))</f>
        <v/>
      </c>
      <c r="G167" s="23">
        <f>IF(OR($C167="",$G$3=""),"",IF(INDEX(인턴근무계획!$M$3:$R$402,$A167,$G$3)&amp;""="","",IF(LEFT(INDEX(인턴근무계획!$M$3:$R$402,$A167,$G$3)&amp;"",1)="⚠",INDEX(인턴근무계획!$M$3:$R$402,$A167,$G$3)&amp;"",LEFT(INDEX(인턴근무계획!$M$3:$R$402,$A167,$G$3)&amp;"",FIND(" ",INDEX(인턴근무계획!$M$3:$R$402,$A167,$G$3)&amp;"")-1))))</f>
        <v/>
      </c>
      <c r="H167" s="23">
        <f>IF(OR($C167="",$G$3=""),"",IF(INDEX(인턴근무계획!$M$3:$R$402,$A167,$G$3)&amp;""="","",IF(LEFT(INDEX(인턴근무계획!$M$3:$R$402,$A167,$G$3)&amp;"",1)="⚠","",MID(INDEX(인턴근무계획!$M$3:$R$402,$A167,$G$3)&amp;"",FIND(" ",INDEX(인턴근무계획!$M$3:$R$402,$A167,$G$3)&amp;"")+1,60))))</f>
        <v/>
      </c>
      <c r="I167" s="23">
        <f>IF(OR($C167="",$I$3=""),"",IF(INDEX(인턴근무계획!$M$3:$R$402,$A167,$I$3)&amp;""="","",IF(LEFT(INDEX(인턴근무계획!$M$3:$R$402,$A167,$I$3)&amp;"",1)="⚠",INDEX(인턴근무계획!$M$3:$R$402,$A167,$I$3)&amp;"",LEFT(INDEX(인턴근무계획!$M$3:$R$402,$A167,$I$3)&amp;"",FIND(" ",INDEX(인턴근무계획!$M$3:$R$402,$A167,$I$3)&amp;"")-1))))</f>
        <v/>
      </c>
      <c r="J167" s="23">
        <f>IF(OR($C167="",$I$3=""),"",IF(INDEX(인턴근무계획!$M$3:$R$402,$A167,$I$3)&amp;""="","",IF(LEFT(INDEX(인턴근무계획!$M$3:$R$402,$A167,$I$3)&amp;"",1)="⚠","",MID(INDEX(인턴근무계획!$M$3:$R$402,$A167,$I$3)&amp;"",FIND(" ",INDEX(인턴근무계획!$M$3:$R$402,$A167,$I$3)&amp;"")+1,60))))</f>
        <v/>
      </c>
      <c r="K167" s="23">
        <f>IF($C167="","",INDEX(인턴근무계획!$M$3:$M$402,$A167)&amp;"")</f>
        <v/>
      </c>
      <c r="L167" s="23">
        <f>IF($C167="","",INDEX(인턴근무계획!$N$3:$N$402,$A167)&amp;"")</f>
        <v/>
      </c>
      <c r="M167" s="23">
        <f>IF($C167="","",INDEX(인턴근무계획!$O$3:$O$402,$A167)&amp;"")</f>
        <v/>
      </c>
      <c r="N167" s="23">
        <f>IF($C167="","",INDEX(인턴근무계획!$P$3:$P$402,$A167)&amp;"")</f>
        <v/>
      </c>
      <c r="O167" s="23">
        <f>IF($C167="","",INDEX(인턴근무계획!$Q$3:$Q$402,$A167)&amp;"")</f>
        <v/>
      </c>
      <c r="P167" s="23">
        <f>IF($C167="","",INDEX(인턴근무계획!$R$3:$R$402,$A167)&amp;"")</f>
        <v/>
      </c>
      <c r="Q167" s="23">
        <f>IF($C167="","",INDEX(인턴근무계획!$T$3:$T$402,$A167))</f>
        <v/>
      </c>
    </row>
    <row r="168">
      <c r="A168" s="26" t="n">
        <v>163</v>
      </c>
      <c r="B168" s="23">
        <f>IF($C168="","",INDEX(인턴근무계획!$B$3:$B$402,$A168))</f>
        <v/>
      </c>
      <c r="C168" s="23">
        <f>IFERROR(TRIM(INDEX(인턴근무계획!$C$3:$C$402,$A168)&amp;""),"")</f>
        <v/>
      </c>
      <c r="D168" s="23">
        <f>IF($C168="","",INDEX(인턴근무계획!$D$3:$D$402,$A168))</f>
        <v/>
      </c>
      <c r="E168" s="23">
        <f>IF($C168="","",IF(IFERROR(MATCH($D168,기본자료!$B$2:$B$1001,0),IFERROR(MATCH($D168&amp;"",기본자료!$B$2:$B$1001,0),IFERROR(MATCH(VALUE($D168),기본자료!$B$2:$B$1001,0),0)))&gt;0,"확인","미등록"))</f>
        <v/>
      </c>
      <c r="F168" s="27">
        <f>IF($C168="","",INDEX(인턴근무계획!$S$3:$S$402,$A168))</f>
        <v/>
      </c>
      <c r="G168" s="23">
        <f>IF(OR($C168="",$G$3=""),"",IF(INDEX(인턴근무계획!$M$3:$R$402,$A168,$G$3)&amp;""="","",IF(LEFT(INDEX(인턴근무계획!$M$3:$R$402,$A168,$G$3)&amp;"",1)="⚠",INDEX(인턴근무계획!$M$3:$R$402,$A168,$G$3)&amp;"",LEFT(INDEX(인턴근무계획!$M$3:$R$402,$A168,$G$3)&amp;"",FIND(" ",INDEX(인턴근무계획!$M$3:$R$402,$A168,$G$3)&amp;"")-1))))</f>
        <v/>
      </c>
      <c r="H168" s="23">
        <f>IF(OR($C168="",$G$3=""),"",IF(INDEX(인턴근무계획!$M$3:$R$402,$A168,$G$3)&amp;""="","",IF(LEFT(INDEX(인턴근무계획!$M$3:$R$402,$A168,$G$3)&amp;"",1)="⚠","",MID(INDEX(인턴근무계획!$M$3:$R$402,$A168,$G$3)&amp;"",FIND(" ",INDEX(인턴근무계획!$M$3:$R$402,$A168,$G$3)&amp;"")+1,60))))</f>
        <v/>
      </c>
      <c r="I168" s="23">
        <f>IF(OR($C168="",$I$3=""),"",IF(INDEX(인턴근무계획!$M$3:$R$402,$A168,$I$3)&amp;""="","",IF(LEFT(INDEX(인턴근무계획!$M$3:$R$402,$A168,$I$3)&amp;"",1)="⚠",INDEX(인턴근무계획!$M$3:$R$402,$A168,$I$3)&amp;"",LEFT(INDEX(인턴근무계획!$M$3:$R$402,$A168,$I$3)&amp;"",FIND(" ",INDEX(인턴근무계획!$M$3:$R$402,$A168,$I$3)&amp;"")-1))))</f>
        <v/>
      </c>
      <c r="J168" s="23">
        <f>IF(OR($C168="",$I$3=""),"",IF(INDEX(인턴근무계획!$M$3:$R$402,$A168,$I$3)&amp;""="","",IF(LEFT(INDEX(인턴근무계획!$M$3:$R$402,$A168,$I$3)&amp;"",1)="⚠","",MID(INDEX(인턴근무계획!$M$3:$R$402,$A168,$I$3)&amp;"",FIND(" ",INDEX(인턴근무계획!$M$3:$R$402,$A168,$I$3)&amp;"")+1,60))))</f>
        <v/>
      </c>
      <c r="K168" s="23">
        <f>IF($C168="","",INDEX(인턴근무계획!$M$3:$M$402,$A168)&amp;"")</f>
        <v/>
      </c>
      <c r="L168" s="23">
        <f>IF($C168="","",INDEX(인턴근무계획!$N$3:$N$402,$A168)&amp;"")</f>
        <v/>
      </c>
      <c r="M168" s="23">
        <f>IF($C168="","",INDEX(인턴근무계획!$O$3:$O$402,$A168)&amp;"")</f>
        <v/>
      </c>
      <c r="N168" s="23">
        <f>IF($C168="","",INDEX(인턴근무계획!$P$3:$P$402,$A168)&amp;"")</f>
        <v/>
      </c>
      <c r="O168" s="23">
        <f>IF($C168="","",INDEX(인턴근무계획!$Q$3:$Q$402,$A168)&amp;"")</f>
        <v/>
      </c>
      <c r="P168" s="23">
        <f>IF($C168="","",INDEX(인턴근무계획!$R$3:$R$402,$A168)&amp;"")</f>
        <v/>
      </c>
      <c r="Q168" s="23">
        <f>IF($C168="","",INDEX(인턴근무계획!$T$3:$T$402,$A168))</f>
        <v/>
      </c>
    </row>
    <row r="169">
      <c r="A169" s="26" t="n">
        <v>164</v>
      </c>
      <c r="B169" s="23">
        <f>IF($C169="","",INDEX(인턴근무계획!$B$3:$B$402,$A169))</f>
        <v/>
      </c>
      <c r="C169" s="23">
        <f>IFERROR(TRIM(INDEX(인턴근무계획!$C$3:$C$402,$A169)&amp;""),"")</f>
        <v/>
      </c>
      <c r="D169" s="23">
        <f>IF($C169="","",INDEX(인턴근무계획!$D$3:$D$402,$A169))</f>
        <v/>
      </c>
      <c r="E169" s="23">
        <f>IF($C169="","",IF(IFERROR(MATCH($D169,기본자료!$B$2:$B$1001,0),IFERROR(MATCH($D169&amp;"",기본자료!$B$2:$B$1001,0),IFERROR(MATCH(VALUE($D169),기본자료!$B$2:$B$1001,0),0)))&gt;0,"확인","미등록"))</f>
        <v/>
      </c>
      <c r="F169" s="27">
        <f>IF($C169="","",INDEX(인턴근무계획!$S$3:$S$402,$A169))</f>
        <v/>
      </c>
      <c r="G169" s="23">
        <f>IF(OR($C169="",$G$3=""),"",IF(INDEX(인턴근무계획!$M$3:$R$402,$A169,$G$3)&amp;""="","",IF(LEFT(INDEX(인턴근무계획!$M$3:$R$402,$A169,$G$3)&amp;"",1)="⚠",INDEX(인턴근무계획!$M$3:$R$402,$A169,$G$3)&amp;"",LEFT(INDEX(인턴근무계획!$M$3:$R$402,$A169,$G$3)&amp;"",FIND(" ",INDEX(인턴근무계획!$M$3:$R$402,$A169,$G$3)&amp;"")-1))))</f>
        <v/>
      </c>
      <c r="H169" s="23">
        <f>IF(OR($C169="",$G$3=""),"",IF(INDEX(인턴근무계획!$M$3:$R$402,$A169,$G$3)&amp;""="","",IF(LEFT(INDEX(인턴근무계획!$M$3:$R$402,$A169,$G$3)&amp;"",1)="⚠","",MID(INDEX(인턴근무계획!$M$3:$R$402,$A169,$G$3)&amp;"",FIND(" ",INDEX(인턴근무계획!$M$3:$R$402,$A169,$G$3)&amp;"")+1,60))))</f>
        <v/>
      </c>
      <c r="I169" s="23">
        <f>IF(OR($C169="",$I$3=""),"",IF(INDEX(인턴근무계획!$M$3:$R$402,$A169,$I$3)&amp;""="","",IF(LEFT(INDEX(인턴근무계획!$M$3:$R$402,$A169,$I$3)&amp;"",1)="⚠",INDEX(인턴근무계획!$M$3:$R$402,$A169,$I$3)&amp;"",LEFT(INDEX(인턴근무계획!$M$3:$R$402,$A169,$I$3)&amp;"",FIND(" ",INDEX(인턴근무계획!$M$3:$R$402,$A169,$I$3)&amp;"")-1))))</f>
        <v/>
      </c>
      <c r="J169" s="23">
        <f>IF(OR($C169="",$I$3=""),"",IF(INDEX(인턴근무계획!$M$3:$R$402,$A169,$I$3)&amp;""="","",IF(LEFT(INDEX(인턴근무계획!$M$3:$R$402,$A169,$I$3)&amp;"",1)="⚠","",MID(INDEX(인턴근무계획!$M$3:$R$402,$A169,$I$3)&amp;"",FIND(" ",INDEX(인턴근무계획!$M$3:$R$402,$A169,$I$3)&amp;"")+1,60))))</f>
        <v/>
      </c>
      <c r="K169" s="23">
        <f>IF($C169="","",INDEX(인턴근무계획!$M$3:$M$402,$A169)&amp;"")</f>
        <v/>
      </c>
      <c r="L169" s="23">
        <f>IF($C169="","",INDEX(인턴근무계획!$N$3:$N$402,$A169)&amp;"")</f>
        <v/>
      </c>
      <c r="M169" s="23">
        <f>IF($C169="","",INDEX(인턴근무계획!$O$3:$O$402,$A169)&amp;"")</f>
        <v/>
      </c>
      <c r="N169" s="23">
        <f>IF($C169="","",INDEX(인턴근무계획!$P$3:$P$402,$A169)&amp;"")</f>
        <v/>
      </c>
      <c r="O169" s="23">
        <f>IF($C169="","",INDEX(인턴근무계획!$Q$3:$Q$402,$A169)&amp;"")</f>
        <v/>
      </c>
      <c r="P169" s="23">
        <f>IF($C169="","",INDEX(인턴근무계획!$R$3:$R$402,$A169)&amp;"")</f>
        <v/>
      </c>
      <c r="Q169" s="23">
        <f>IF($C169="","",INDEX(인턴근무계획!$T$3:$T$402,$A169))</f>
        <v/>
      </c>
    </row>
    <row r="170">
      <c r="A170" s="26" t="n">
        <v>165</v>
      </c>
      <c r="B170" s="23">
        <f>IF($C170="","",INDEX(인턴근무계획!$B$3:$B$402,$A170))</f>
        <v/>
      </c>
      <c r="C170" s="23">
        <f>IFERROR(TRIM(INDEX(인턴근무계획!$C$3:$C$402,$A170)&amp;""),"")</f>
        <v/>
      </c>
      <c r="D170" s="23">
        <f>IF($C170="","",INDEX(인턴근무계획!$D$3:$D$402,$A170))</f>
        <v/>
      </c>
      <c r="E170" s="23">
        <f>IF($C170="","",IF(IFERROR(MATCH($D170,기본자료!$B$2:$B$1001,0),IFERROR(MATCH($D170&amp;"",기본자료!$B$2:$B$1001,0),IFERROR(MATCH(VALUE($D170),기본자료!$B$2:$B$1001,0),0)))&gt;0,"확인","미등록"))</f>
        <v/>
      </c>
      <c r="F170" s="27">
        <f>IF($C170="","",INDEX(인턴근무계획!$S$3:$S$402,$A170))</f>
        <v/>
      </c>
      <c r="G170" s="23">
        <f>IF(OR($C170="",$G$3=""),"",IF(INDEX(인턴근무계획!$M$3:$R$402,$A170,$G$3)&amp;""="","",IF(LEFT(INDEX(인턴근무계획!$M$3:$R$402,$A170,$G$3)&amp;"",1)="⚠",INDEX(인턴근무계획!$M$3:$R$402,$A170,$G$3)&amp;"",LEFT(INDEX(인턴근무계획!$M$3:$R$402,$A170,$G$3)&amp;"",FIND(" ",INDEX(인턴근무계획!$M$3:$R$402,$A170,$G$3)&amp;"")-1))))</f>
        <v/>
      </c>
      <c r="H170" s="23">
        <f>IF(OR($C170="",$G$3=""),"",IF(INDEX(인턴근무계획!$M$3:$R$402,$A170,$G$3)&amp;""="","",IF(LEFT(INDEX(인턴근무계획!$M$3:$R$402,$A170,$G$3)&amp;"",1)="⚠","",MID(INDEX(인턴근무계획!$M$3:$R$402,$A170,$G$3)&amp;"",FIND(" ",INDEX(인턴근무계획!$M$3:$R$402,$A170,$G$3)&amp;"")+1,60))))</f>
        <v/>
      </c>
      <c r="I170" s="23">
        <f>IF(OR($C170="",$I$3=""),"",IF(INDEX(인턴근무계획!$M$3:$R$402,$A170,$I$3)&amp;""="","",IF(LEFT(INDEX(인턴근무계획!$M$3:$R$402,$A170,$I$3)&amp;"",1)="⚠",INDEX(인턴근무계획!$M$3:$R$402,$A170,$I$3)&amp;"",LEFT(INDEX(인턴근무계획!$M$3:$R$402,$A170,$I$3)&amp;"",FIND(" ",INDEX(인턴근무계획!$M$3:$R$402,$A170,$I$3)&amp;"")-1))))</f>
        <v/>
      </c>
      <c r="J170" s="23">
        <f>IF(OR($C170="",$I$3=""),"",IF(INDEX(인턴근무계획!$M$3:$R$402,$A170,$I$3)&amp;""="","",IF(LEFT(INDEX(인턴근무계획!$M$3:$R$402,$A170,$I$3)&amp;"",1)="⚠","",MID(INDEX(인턴근무계획!$M$3:$R$402,$A170,$I$3)&amp;"",FIND(" ",INDEX(인턴근무계획!$M$3:$R$402,$A170,$I$3)&amp;"")+1,60))))</f>
        <v/>
      </c>
      <c r="K170" s="23">
        <f>IF($C170="","",INDEX(인턴근무계획!$M$3:$M$402,$A170)&amp;"")</f>
        <v/>
      </c>
      <c r="L170" s="23">
        <f>IF($C170="","",INDEX(인턴근무계획!$N$3:$N$402,$A170)&amp;"")</f>
        <v/>
      </c>
      <c r="M170" s="23">
        <f>IF($C170="","",INDEX(인턴근무계획!$O$3:$O$402,$A170)&amp;"")</f>
        <v/>
      </c>
      <c r="N170" s="23">
        <f>IF($C170="","",INDEX(인턴근무계획!$P$3:$P$402,$A170)&amp;"")</f>
        <v/>
      </c>
      <c r="O170" s="23">
        <f>IF($C170="","",INDEX(인턴근무계획!$Q$3:$Q$402,$A170)&amp;"")</f>
        <v/>
      </c>
      <c r="P170" s="23">
        <f>IF($C170="","",INDEX(인턴근무계획!$R$3:$R$402,$A170)&amp;"")</f>
        <v/>
      </c>
      <c r="Q170" s="23">
        <f>IF($C170="","",INDEX(인턴근무계획!$T$3:$T$402,$A170))</f>
        <v/>
      </c>
    </row>
    <row r="171">
      <c r="A171" s="26" t="n">
        <v>166</v>
      </c>
      <c r="B171" s="23">
        <f>IF($C171="","",INDEX(인턴근무계획!$B$3:$B$402,$A171))</f>
        <v/>
      </c>
      <c r="C171" s="23">
        <f>IFERROR(TRIM(INDEX(인턴근무계획!$C$3:$C$402,$A171)&amp;""),"")</f>
        <v/>
      </c>
      <c r="D171" s="23">
        <f>IF($C171="","",INDEX(인턴근무계획!$D$3:$D$402,$A171))</f>
        <v/>
      </c>
      <c r="E171" s="23">
        <f>IF($C171="","",IF(IFERROR(MATCH($D171,기본자료!$B$2:$B$1001,0),IFERROR(MATCH($D171&amp;"",기본자료!$B$2:$B$1001,0),IFERROR(MATCH(VALUE($D171),기본자료!$B$2:$B$1001,0),0)))&gt;0,"확인","미등록"))</f>
        <v/>
      </c>
      <c r="F171" s="27">
        <f>IF($C171="","",INDEX(인턴근무계획!$S$3:$S$402,$A171))</f>
        <v/>
      </c>
      <c r="G171" s="23">
        <f>IF(OR($C171="",$G$3=""),"",IF(INDEX(인턴근무계획!$M$3:$R$402,$A171,$G$3)&amp;""="","",IF(LEFT(INDEX(인턴근무계획!$M$3:$R$402,$A171,$G$3)&amp;"",1)="⚠",INDEX(인턴근무계획!$M$3:$R$402,$A171,$G$3)&amp;"",LEFT(INDEX(인턴근무계획!$M$3:$R$402,$A171,$G$3)&amp;"",FIND(" ",INDEX(인턴근무계획!$M$3:$R$402,$A171,$G$3)&amp;"")-1))))</f>
        <v/>
      </c>
      <c r="H171" s="23">
        <f>IF(OR($C171="",$G$3=""),"",IF(INDEX(인턴근무계획!$M$3:$R$402,$A171,$G$3)&amp;""="","",IF(LEFT(INDEX(인턴근무계획!$M$3:$R$402,$A171,$G$3)&amp;"",1)="⚠","",MID(INDEX(인턴근무계획!$M$3:$R$402,$A171,$G$3)&amp;"",FIND(" ",INDEX(인턴근무계획!$M$3:$R$402,$A171,$G$3)&amp;"")+1,60))))</f>
        <v/>
      </c>
      <c r="I171" s="23">
        <f>IF(OR($C171="",$I$3=""),"",IF(INDEX(인턴근무계획!$M$3:$R$402,$A171,$I$3)&amp;""="","",IF(LEFT(INDEX(인턴근무계획!$M$3:$R$402,$A171,$I$3)&amp;"",1)="⚠",INDEX(인턴근무계획!$M$3:$R$402,$A171,$I$3)&amp;"",LEFT(INDEX(인턴근무계획!$M$3:$R$402,$A171,$I$3)&amp;"",FIND(" ",INDEX(인턴근무계획!$M$3:$R$402,$A171,$I$3)&amp;"")-1))))</f>
        <v/>
      </c>
      <c r="J171" s="23">
        <f>IF(OR($C171="",$I$3=""),"",IF(INDEX(인턴근무계획!$M$3:$R$402,$A171,$I$3)&amp;""="","",IF(LEFT(INDEX(인턴근무계획!$M$3:$R$402,$A171,$I$3)&amp;"",1)="⚠","",MID(INDEX(인턴근무계획!$M$3:$R$402,$A171,$I$3)&amp;"",FIND(" ",INDEX(인턴근무계획!$M$3:$R$402,$A171,$I$3)&amp;"")+1,60))))</f>
        <v/>
      </c>
      <c r="K171" s="23">
        <f>IF($C171="","",INDEX(인턴근무계획!$M$3:$M$402,$A171)&amp;"")</f>
        <v/>
      </c>
      <c r="L171" s="23">
        <f>IF($C171="","",INDEX(인턴근무계획!$N$3:$N$402,$A171)&amp;"")</f>
        <v/>
      </c>
      <c r="M171" s="23">
        <f>IF($C171="","",INDEX(인턴근무계획!$O$3:$O$402,$A171)&amp;"")</f>
        <v/>
      </c>
      <c r="N171" s="23">
        <f>IF($C171="","",INDEX(인턴근무계획!$P$3:$P$402,$A171)&amp;"")</f>
        <v/>
      </c>
      <c r="O171" s="23">
        <f>IF($C171="","",INDEX(인턴근무계획!$Q$3:$Q$402,$A171)&amp;"")</f>
        <v/>
      </c>
      <c r="P171" s="23">
        <f>IF($C171="","",INDEX(인턴근무계획!$R$3:$R$402,$A171)&amp;"")</f>
        <v/>
      </c>
      <c r="Q171" s="23">
        <f>IF($C171="","",INDEX(인턴근무계획!$T$3:$T$402,$A171))</f>
        <v/>
      </c>
    </row>
    <row r="172">
      <c r="A172" s="26" t="n">
        <v>167</v>
      </c>
      <c r="B172" s="23">
        <f>IF($C172="","",INDEX(인턴근무계획!$B$3:$B$402,$A172))</f>
        <v/>
      </c>
      <c r="C172" s="23">
        <f>IFERROR(TRIM(INDEX(인턴근무계획!$C$3:$C$402,$A172)&amp;""),"")</f>
        <v/>
      </c>
      <c r="D172" s="23">
        <f>IF($C172="","",INDEX(인턴근무계획!$D$3:$D$402,$A172))</f>
        <v/>
      </c>
      <c r="E172" s="23">
        <f>IF($C172="","",IF(IFERROR(MATCH($D172,기본자료!$B$2:$B$1001,0),IFERROR(MATCH($D172&amp;"",기본자료!$B$2:$B$1001,0),IFERROR(MATCH(VALUE($D172),기본자료!$B$2:$B$1001,0),0)))&gt;0,"확인","미등록"))</f>
        <v/>
      </c>
      <c r="F172" s="27">
        <f>IF($C172="","",INDEX(인턴근무계획!$S$3:$S$402,$A172))</f>
        <v/>
      </c>
      <c r="G172" s="23">
        <f>IF(OR($C172="",$G$3=""),"",IF(INDEX(인턴근무계획!$M$3:$R$402,$A172,$G$3)&amp;""="","",IF(LEFT(INDEX(인턴근무계획!$M$3:$R$402,$A172,$G$3)&amp;"",1)="⚠",INDEX(인턴근무계획!$M$3:$R$402,$A172,$G$3)&amp;"",LEFT(INDEX(인턴근무계획!$M$3:$R$402,$A172,$G$3)&amp;"",FIND(" ",INDEX(인턴근무계획!$M$3:$R$402,$A172,$G$3)&amp;"")-1))))</f>
        <v/>
      </c>
      <c r="H172" s="23">
        <f>IF(OR($C172="",$G$3=""),"",IF(INDEX(인턴근무계획!$M$3:$R$402,$A172,$G$3)&amp;""="","",IF(LEFT(INDEX(인턴근무계획!$M$3:$R$402,$A172,$G$3)&amp;"",1)="⚠","",MID(INDEX(인턴근무계획!$M$3:$R$402,$A172,$G$3)&amp;"",FIND(" ",INDEX(인턴근무계획!$M$3:$R$402,$A172,$G$3)&amp;"")+1,60))))</f>
        <v/>
      </c>
      <c r="I172" s="23">
        <f>IF(OR($C172="",$I$3=""),"",IF(INDEX(인턴근무계획!$M$3:$R$402,$A172,$I$3)&amp;""="","",IF(LEFT(INDEX(인턴근무계획!$M$3:$R$402,$A172,$I$3)&amp;"",1)="⚠",INDEX(인턴근무계획!$M$3:$R$402,$A172,$I$3)&amp;"",LEFT(INDEX(인턴근무계획!$M$3:$R$402,$A172,$I$3)&amp;"",FIND(" ",INDEX(인턴근무계획!$M$3:$R$402,$A172,$I$3)&amp;"")-1))))</f>
        <v/>
      </c>
      <c r="J172" s="23">
        <f>IF(OR($C172="",$I$3=""),"",IF(INDEX(인턴근무계획!$M$3:$R$402,$A172,$I$3)&amp;""="","",IF(LEFT(INDEX(인턴근무계획!$M$3:$R$402,$A172,$I$3)&amp;"",1)="⚠","",MID(INDEX(인턴근무계획!$M$3:$R$402,$A172,$I$3)&amp;"",FIND(" ",INDEX(인턴근무계획!$M$3:$R$402,$A172,$I$3)&amp;"")+1,60))))</f>
        <v/>
      </c>
      <c r="K172" s="23">
        <f>IF($C172="","",INDEX(인턴근무계획!$M$3:$M$402,$A172)&amp;"")</f>
        <v/>
      </c>
      <c r="L172" s="23">
        <f>IF($C172="","",INDEX(인턴근무계획!$N$3:$N$402,$A172)&amp;"")</f>
        <v/>
      </c>
      <c r="M172" s="23">
        <f>IF($C172="","",INDEX(인턴근무계획!$O$3:$O$402,$A172)&amp;"")</f>
        <v/>
      </c>
      <c r="N172" s="23">
        <f>IF($C172="","",INDEX(인턴근무계획!$P$3:$P$402,$A172)&amp;"")</f>
        <v/>
      </c>
      <c r="O172" s="23">
        <f>IF($C172="","",INDEX(인턴근무계획!$Q$3:$Q$402,$A172)&amp;"")</f>
        <v/>
      </c>
      <c r="P172" s="23">
        <f>IF($C172="","",INDEX(인턴근무계획!$R$3:$R$402,$A172)&amp;"")</f>
        <v/>
      </c>
      <c r="Q172" s="23">
        <f>IF($C172="","",INDEX(인턴근무계획!$T$3:$T$402,$A172))</f>
        <v/>
      </c>
    </row>
    <row r="173">
      <c r="A173" s="26" t="n">
        <v>168</v>
      </c>
      <c r="B173" s="23">
        <f>IF($C173="","",INDEX(인턴근무계획!$B$3:$B$402,$A173))</f>
        <v/>
      </c>
      <c r="C173" s="23">
        <f>IFERROR(TRIM(INDEX(인턴근무계획!$C$3:$C$402,$A173)&amp;""),"")</f>
        <v/>
      </c>
      <c r="D173" s="23">
        <f>IF($C173="","",INDEX(인턴근무계획!$D$3:$D$402,$A173))</f>
        <v/>
      </c>
      <c r="E173" s="23">
        <f>IF($C173="","",IF(IFERROR(MATCH($D173,기본자료!$B$2:$B$1001,0),IFERROR(MATCH($D173&amp;"",기본자료!$B$2:$B$1001,0),IFERROR(MATCH(VALUE($D173),기본자료!$B$2:$B$1001,0),0)))&gt;0,"확인","미등록"))</f>
        <v/>
      </c>
      <c r="F173" s="27">
        <f>IF($C173="","",INDEX(인턴근무계획!$S$3:$S$402,$A173))</f>
        <v/>
      </c>
      <c r="G173" s="23">
        <f>IF(OR($C173="",$G$3=""),"",IF(INDEX(인턴근무계획!$M$3:$R$402,$A173,$G$3)&amp;""="","",IF(LEFT(INDEX(인턴근무계획!$M$3:$R$402,$A173,$G$3)&amp;"",1)="⚠",INDEX(인턴근무계획!$M$3:$R$402,$A173,$G$3)&amp;"",LEFT(INDEX(인턴근무계획!$M$3:$R$402,$A173,$G$3)&amp;"",FIND(" ",INDEX(인턴근무계획!$M$3:$R$402,$A173,$G$3)&amp;"")-1))))</f>
        <v/>
      </c>
      <c r="H173" s="23">
        <f>IF(OR($C173="",$G$3=""),"",IF(INDEX(인턴근무계획!$M$3:$R$402,$A173,$G$3)&amp;""="","",IF(LEFT(INDEX(인턴근무계획!$M$3:$R$402,$A173,$G$3)&amp;"",1)="⚠","",MID(INDEX(인턴근무계획!$M$3:$R$402,$A173,$G$3)&amp;"",FIND(" ",INDEX(인턴근무계획!$M$3:$R$402,$A173,$G$3)&amp;"")+1,60))))</f>
        <v/>
      </c>
      <c r="I173" s="23">
        <f>IF(OR($C173="",$I$3=""),"",IF(INDEX(인턴근무계획!$M$3:$R$402,$A173,$I$3)&amp;""="","",IF(LEFT(INDEX(인턴근무계획!$M$3:$R$402,$A173,$I$3)&amp;"",1)="⚠",INDEX(인턴근무계획!$M$3:$R$402,$A173,$I$3)&amp;"",LEFT(INDEX(인턴근무계획!$M$3:$R$402,$A173,$I$3)&amp;"",FIND(" ",INDEX(인턴근무계획!$M$3:$R$402,$A173,$I$3)&amp;"")-1))))</f>
        <v/>
      </c>
      <c r="J173" s="23">
        <f>IF(OR($C173="",$I$3=""),"",IF(INDEX(인턴근무계획!$M$3:$R$402,$A173,$I$3)&amp;""="","",IF(LEFT(INDEX(인턴근무계획!$M$3:$R$402,$A173,$I$3)&amp;"",1)="⚠","",MID(INDEX(인턴근무계획!$M$3:$R$402,$A173,$I$3)&amp;"",FIND(" ",INDEX(인턴근무계획!$M$3:$R$402,$A173,$I$3)&amp;"")+1,60))))</f>
        <v/>
      </c>
      <c r="K173" s="23">
        <f>IF($C173="","",INDEX(인턴근무계획!$M$3:$M$402,$A173)&amp;"")</f>
        <v/>
      </c>
      <c r="L173" s="23">
        <f>IF($C173="","",INDEX(인턴근무계획!$N$3:$N$402,$A173)&amp;"")</f>
        <v/>
      </c>
      <c r="M173" s="23">
        <f>IF($C173="","",INDEX(인턴근무계획!$O$3:$O$402,$A173)&amp;"")</f>
        <v/>
      </c>
      <c r="N173" s="23">
        <f>IF($C173="","",INDEX(인턴근무계획!$P$3:$P$402,$A173)&amp;"")</f>
        <v/>
      </c>
      <c r="O173" s="23">
        <f>IF($C173="","",INDEX(인턴근무계획!$Q$3:$Q$402,$A173)&amp;"")</f>
        <v/>
      </c>
      <c r="P173" s="23">
        <f>IF($C173="","",INDEX(인턴근무계획!$R$3:$R$402,$A173)&amp;"")</f>
        <v/>
      </c>
      <c r="Q173" s="23">
        <f>IF($C173="","",INDEX(인턴근무계획!$T$3:$T$402,$A173))</f>
        <v/>
      </c>
    </row>
    <row r="174">
      <c r="A174" s="26" t="n">
        <v>169</v>
      </c>
      <c r="B174" s="23">
        <f>IF($C174="","",INDEX(인턴근무계획!$B$3:$B$402,$A174))</f>
        <v/>
      </c>
      <c r="C174" s="23">
        <f>IFERROR(TRIM(INDEX(인턴근무계획!$C$3:$C$402,$A174)&amp;""),"")</f>
        <v/>
      </c>
      <c r="D174" s="23">
        <f>IF($C174="","",INDEX(인턴근무계획!$D$3:$D$402,$A174))</f>
        <v/>
      </c>
      <c r="E174" s="23">
        <f>IF($C174="","",IF(IFERROR(MATCH($D174,기본자료!$B$2:$B$1001,0),IFERROR(MATCH($D174&amp;"",기본자료!$B$2:$B$1001,0),IFERROR(MATCH(VALUE($D174),기본자료!$B$2:$B$1001,0),0)))&gt;0,"확인","미등록"))</f>
        <v/>
      </c>
      <c r="F174" s="27">
        <f>IF($C174="","",INDEX(인턴근무계획!$S$3:$S$402,$A174))</f>
        <v/>
      </c>
      <c r="G174" s="23">
        <f>IF(OR($C174="",$G$3=""),"",IF(INDEX(인턴근무계획!$M$3:$R$402,$A174,$G$3)&amp;""="","",IF(LEFT(INDEX(인턴근무계획!$M$3:$R$402,$A174,$G$3)&amp;"",1)="⚠",INDEX(인턴근무계획!$M$3:$R$402,$A174,$G$3)&amp;"",LEFT(INDEX(인턴근무계획!$M$3:$R$402,$A174,$G$3)&amp;"",FIND(" ",INDEX(인턴근무계획!$M$3:$R$402,$A174,$G$3)&amp;"")-1))))</f>
        <v/>
      </c>
      <c r="H174" s="23">
        <f>IF(OR($C174="",$G$3=""),"",IF(INDEX(인턴근무계획!$M$3:$R$402,$A174,$G$3)&amp;""="","",IF(LEFT(INDEX(인턴근무계획!$M$3:$R$402,$A174,$G$3)&amp;"",1)="⚠","",MID(INDEX(인턴근무계획!$M$3:$R$402,$A174,$G$3)&amp;"",FIND(" ",INDEX(인턴근무계획!$M$3:$R$402,$A174,$G$3)&amp;"")+1,60))))</f>
        <v/>
      </c>
      <c r="I174" s="23">
        <f>IF(OR($C174="",$I$3=""),"",IF(INDEX(인턴근무계획!$M$3:$R$402,$A174,$I$3)&amp;""="","",IF(LEFT(INDEX(인턴근무계획!$M$3:$R$402,$A174,$I$3)&amp;"",1)="⚠",INDEX(인턴근무계획!$M$3:$R$402,$A174,$I$3)&amp;"",LEFT(INDEX(인턴근무계획!$M$3:$R$402,$A174,$I$3)&amp;"",FIND(" ",INDEX(인턴근무계획!$M$3:$R$402,$A174,$I$3)&amp;"")-1))))</f>
        <v/>
      </c>
      <c r="J174" s="23">
        <f>IF(OR($C174="",$I$3=""),"",IF(INDEX(인턴근무계획!$M$3:$R$402,$A174,$I$3)&amp;""="","",IF(LEFT(INDEX(인턴근무계획!$M$3:$R$402,$A174,$I$3)&amp;"",1)="⚠","",MID(INDEX(인턴근무계획!$M$3:$R$402,$A174,$I$3)&amp;"",FIND(" ",INDEX(인턴근무계획!$M$3:$R$402,$A174,$I$3)&amp;"")+1,60))))</f>
        <v/>
      </c>
      <c r="K174" s="23">
        <f>IF($C174="","",INDEX(인턴근무계획!$M$3:$M$402,$A174)&amp;"")</f>
        <v/>
      </c>
      <c r="L174" s="23">
        <f>IF($C174="","",INDEX(인턴근무계획!$N$3:$N$402,$A174)&amp;"")</f>
        <v/>
      </c>
      <c r="M174" s="23">
        <f>IF($C174="","",INDEX(인턴근무계획!$O$3:$O$402,$A174)&amp;"")</f>
        <v/>
      </c>
      <c r="N174" s="23">
        <f>IF($C174="","",INDEX(인턴근무계획!$P$3:$P$402,$A174)&amp;"")</f>
        <v/>
      </c>
      <c r="O174" s="23">
        <f>IF($C174="","",INDEX(인턴근무계획!$Q$3:$Q$402,$A174)&amp;"")</f>
        <v/>
      </c>
      <c r="P174" s="23">
        <f>IF($C174="","",INDEX(인턴근무계획!$R$3:$R$402,$A174)&amp;"")</f>
        <v/>
      </c>
      <c r="Q174" s="23">
        <f>IF($C174="","",INDEX(인턴근무계획!$T$3:$T$402,$A174))</f>
        <v/>
      </c>
    </row>
    <row r="175">
      <c r="A175" s="26" t="n">
        <v>170</v>
      </c>
      <c r="B175" s="23">
        <f>IF($C175="","",INDEX(인턴근무계획!$B$3:$B$402,$A175))</f>
        <v/>
      </c>
      <c r="C175" s="23">
        <f>IFERROR(TRIM(INDEX(인턴근무계획!$C$3:$C$402,$A175)&amp;""),"")</f>
        <v/>
      </c>
      <c r="D175" s="23">
        <f>IF($C175="","",INDEX(인턴근무계획!$D$3:$D$402,$A175))</f>
        <v/>
      </c>
      <c r="E175" s="23">
        <f>IF($C175="","",IF(IFERROR(MATCH($D175,기본자료!$B$2:$B$1001,0),IFERROR(MATCH($D175&amp;"",기본자료!$B$2:$B$1001,0),IFERROR(MATCH(VALUE($D175),기본자료!$B$2:$B$1001,0),0)))&gt;0,"확인","미등록"))</f>
        <v/>
      </c>
      <c r="F175" s="27">
        <f>IF($C175="","",INDEX(인턴근무계획!$S$3:$S$402,$A175))</f>
        <v/>
      </c>
      <c r="G175" s="23">
        <f>IF(OR($C175="",$G$3=""),"",IF(INDEX(인턴근무계획!$M$3:$R$402,$A175,$G$3)&amp;""="","",IF(LEFT(INDEX(인턴근무계획!$M$3:$R$402,$A175,$G$3)&amp;"",1)="⚠",INDEX(인턴근무계획!$M$3:$R$402,$A175,$G$3)&amp;"",LEFT(INDEX(인턴근무계획!$M$3:$R$402,$A175,$G$3)&amp;"",FIND(" ",INDEX(인턴근무계획!$M$3:$R$402,$A175,$G$3)&amp;"")-1))))</f>
        <v/>
      </c>
      <c r="H175" s="23">
        <f>IF(OR($C175="",$G$3=""),"",IF(INDEX(인턴근무계획!$M$3:$R$402,$A175,$G$3)&amp;""="","",IF(LEFT(INDEX(인턴근무계획!$M$3:$R$402,$A175,$G$3)&amp;"",1)="⚠","",MID(INDEX(인턴근무계획!$M$3:$R$402,$A175,$G$3)&amp;"",FIND(" ",INDEX(인턴근무계획!$M$3:$R$402,$A175,$G$3)&amp;"")+1,60))))</f>
        <v/>
      </c>
      <c r="I175" s="23">
        <f>IF(OR($C175="",$I$3=""),"",IF(INDEX(인턴근무계획!$M$3:$R$402,$A175,$I$3)&amp;""="","",IF(LEFT(INDEX(인턴근무계획!$M$3:$R$402,$A175,$I$3)&amp;"",1)="⚠",INDEX(인턴근무계획!$M$3:$R$402,$A175,$I$3)&amp;"",LEFT(INDEX(인턴근무계획!$M$3:$R$402,$A175,$I$3)&amp;"",FIND(" ",INDEX(인턴근무계획!$M$3:$R$402,$A175,$I$3)&amp;"")-1))))</f>
        <v/>
      </c>
      <c r="J175" s="23">
        <f>IF(OR($C175="",$I$3=""),"",IF(INDEX(인턴근무계획!$M$3:$R$402,$A175,$I$3)&amp;""="","",IF(LEFT(INDEX(인턴근무계획!$M$3:$R$402,$A175,$I$3)&amp;"",1)="⚠","",MID(INDEX(인턴근무계획!$M$3:$R$402,$A175,$I$3)&amp;"",FIND(" ",INDEX(인턴근무계획!$M$3:$R$402,$A175,$I$3)&amp;"")+1,60))))</f>
        <v/>
      </c>
      <c r="K175" s="23">
        <f>IF($C175="","",INDEX(인턴근무계획!$M$3:$M$402,$A175)&amp;"")</f>
        <v/>
      </c>
      <c r="L175" s="23">
        <f>IF($C175="","",INDEX(인턴근무계획!$N$3:$N$402,$A175)&amp;"")</f>
        <v/>
      </c>
      <c r="M175" s="23">
        <f>IF($C175="","",INDEX(인턴근무계획!$O$3:$O$402,$A175)&amp;"")</f>
        <v/>
      </c>
      <c r="N175" s="23">
        <f>IF($C175="","",INDEX(인턴근무계획!$P$3:$P$402,$A175)&amp;"")</f>
        <v/>
      </c>
      <c r="O175" s="23">
        <f>IF($C175="","",INDEX(인턴근무계획!$Q$3:$Q$402,$A175)&amp;"")</f>
        <v/>
      </c>
      <c r="P175" s="23">
        <f>IF($C175="","",INDEX(인턴근무계획!$R$3:$R$402,$A175)&amp;"")</f>
        <v/>
      </c>
      <c r="Q175" s="23">
        <f>IF($C175="","",INDEX(인턴근무계획!$T$3:$T$402,$A175))</f>
        <v/>
      </c>
    </row>
    <row r="176">
      <c r="A176" s="26" t="n">
        <v>171</v>
      </c>
      <c r="B176" s="23">
        <f>IF($C176="","",INDEX(인턴근무계획!$B$3:$B$402,$A176))</f>
        <v/>
      </c>
      <c r="C176" s="23">
        <f>IFERROR(TRIM(INDEX(인턴근무계획!$C$3:$C$402,$A176)&amp;""),"")</f>
        <v/>
      </c>
      <c r="D176" s="23">
        <f>IF($C176="","",INDEX(인턴근무계획!$D$3:$D$402,$A176))</f>
        <v/>
      </c>
      <c r="E176" s="23">
        <f>IF($C176="","",IF(IFERROR(MATCH($D176,기본자료!$B$2:$B$1001,0),IFERROR(MATCH($D176&amp;"",기본자료!$B$2:$B$1001,0),IFERROR(MATCH(VALUE($D176),기본자료!$B$2:$B$1001,0),0)))&gt;0,"확인","미등록"))</f>
        <v/>
      </c>
      <c r="F176" s="27">
        <f>IF($C176="","",INDEX(인턴근무계획!$S$3:$S$402,$A176))</f>
        <v/>
      </c>
      <c r="G176" s="23">
        <f>IF(OR($C176="",$G$3=""),"",IF(INDEX(인턴근무계획!$M$3:$R$402,$A176,$G$3)&amp;""="","",IF(LEFT(INDEX(인턴근무계획!$M$3:$R$402,$A176,$G$3)&amp;"",1)="⚠",INDEX(인턴근무계획!$M$3:$R$402,$A176,$G$3)&amp;"",LEFT(INDEX(인턴근무계획!$M$3:$R$402,$A176,$G$3)&amp;"",FIND(" ",INDEX(인턴근무계획!$M$3:$R$402,$A176,$G$3)&amp;"")-1))))</f>
        <v/>
      </c>
      <c r="H176" s="23">
        <f>IF(OR($C176="",$G$3=""),"",IF(INDEX(인턴근무계획!$M$3:$R$402,$A176,$G$3)&amp;""="","",IF(LEFT(INDEX(인턴근무계획!$M$3:$R$402,$A176,$G$3)&amp;"",1)="⚠","",MID(INDEX(인턴근무계획!$M$3:$R$402,$A176,$G$3)&amp;"",FIND(" ",INDEX(인턴근무계획!$M$3:$R$402,$A176,$G$3)&amp;"")+1,60))))</f>
        <v/>
      </c>
      <c r="I176" s="23">
        <f>IF(OR($C176="",$I$3=""),"",IF(INDEX(인턴근무계획!$M$3:$R$402,$A176,$I$3)&amp;""="","",IF(LEFT(INDEX(인턴근무계획!$M$3:$R$402,$A176,$I$3)&amp;"",1)="⚠",INDEX(인턴근무계획!$M$3:$R$402,$A176,$I$3)&amp;"",LEFT(INDEX(인턴근무계획!$M$3:$R$402,$A176,$I$3)&amp;"",FIND(" ",INDEX(인턴근무계획!$M$3:$R$402,$A176,$I$3)&amp;"")-1))))</f>
        <v/>
      </c>
      <c r="J176" s="23">
        <f>IF(OR($C176="",$I$3=""),"",IF(INDEX(인턴근무계획!$M$3:$R$402,$A176,$I$3)&amp;""="","",IF(LEFT(INDEX(인턴근무계획!$M$3:$R$402,$A176,$I$3)&amp;"",1)="⚠","",MID(INDEX(인턴근무계획!$M$3:$R$402,$A176,$I$3)&amp;"",FIND(" ",INDEX(인턴근무계획!$M$3:$R$402,$A176,$I$3)&amp;"")+1,60))))</f>
        <v/>
      </c>
      <c r="K176" s="23">
        <f>IF($C176="","",INDEX(인턴근무계획!$M$3:$M$402,$A176)&amp;"")</f>
        <v/>
      </c>
      <c r="L176" s="23">
        <f>IF($C176="","",INDEX(인턴근무계획!$N$3:$N$402,$A176)&amp;"")</f>
        <v/>
      </c>
      <c r="M176" s="23">
        <f>IF($C176="","",INDEX(인턴근무계획!$O$3:$O$402,$A176)&amp;"")</f>
        <v/>
      </c>
      <c r="N176" s="23">
        <f>IF($C176="","",INDEX(인턴근무계획!$P$3:$P$402,$A176)&amp;"")</f>
        <v/>
      </c>
      <c r="O176" s="23">
        <f>IF($C176="","",INDEX(인턴근무계획!$Q$3:$Q$402,$A176)&amp;"")</f>
        <v/>
      </c>
      <c r="P176" s="23">
        <f>IF($C176="","",INDEX(인턴근무계획!$R$3:$R$402,$A176)&amp;"")</f>
        <v/>
      </c>
      <c r="Q176" s="23">
        <f>IF($C176="","",INDEX(인턴근무계획!$T$3:$T$402,$A176))</f>
        <v/>
      </c>
    </row>
    <row r="177">
      <c r="A177" s="26" t="n">
        <v>172</v>
      </c>
      <c r="B177" s="23">
        <f>IF($C177="","",INDEX(인턴근무계획!$B$3:$B$402,$A177))</f>
        <v/>
      </c>
      <c r="C177" s="23">
        <f>IFERROR(TRIM(INDEX(인턴근무계획!$C$3:$C$402,$A177)&amp;""),"")</f>
        <v/>
      </c>
      <c r="D177" s="23">
        <f>IF($C177="","",INDEX(인턴근무계획!$D$3:$D$402,$A177))</f>
        <v/>
      </c>
      <c r="E177" s="23">
        <f>IF($C177="","",IF(IFERROR(MATCH($D177,기본자료!$B$2:$B$1001,0),IFERROR(MATCH($D177&amp;"",기본자료!$B$2:$B$1001,0),IFERROR(MATCH(VALUE($D177),기본자료!$B$2:$B$1001,0),0)))&gt;0,"확인","미등록"))</f>
        <v/>
      </c>
      <c r="F177" s="27">
        <f>IF($C177="","",INDEX(인턴근무계획!$S$3:$S$402,$A177))</f>
        <v/>
      </c>
      <c r="G177" s="23">
        <f>IF(OR($C177="",$G$3=""),"",IF(INDEX(인턴근무계획!$M$3:$R$402,$A177,$G$3)&amp;""="","",IF(LEFT(INDEX(인턴근무계획!$M$3:$R$402,$A177,$G$3)&amp;"",1)="⚠",INDEX(인턴근무계획!$M$3:$R$402,$A177,$G$3)&amp;"",LEFT(INDEX(인턴근무계획!$M$3:$R$402,$A177,$G$3)&amp;"",FIND(" ",INDEX(인턴근무계획!$M$3:$R$402,$A177,$G$3)&amp;"")-1))))</f>
        <v/>
      </c>
      <c r="H177" s="23">
        <f>IF(OR($C177="",$G$3=""),"",IF(INDEX(인턴근무계획!$M$3:$R$402,$A177,$G$3)&amp;""="","",IF(LEFT(INDEX(인턴근무계획!$M$3:$R$402,$A177,$G$3)&amp;"",1)="⚠","",MID(INDEX(인턴근무계획!$M$3:$R$402,$A177,$G$3)&amp;"",FIND(" ",INDEX(인턴근무계획!$M$3:$R$402,$A177,$G$3)&amp;"")+1,60))))</f>
        <v/>
      </c>
      <c r="I177" s="23">
        <f>IF(OR($C177="",$I$3=""),"",IF(INDEX(인턴근무계획!$M$3:$R$402,$A177,$I$3)&amp;""="","",IF(LEFT(INDEX(인턴근무계획!$M$3:$R$402,$A177,$I$3)&amp;"",1)="⚠",INDEX(인턴근무계획!$M$3:$R$402,$A177,$I$3)&amp;"",LEFT(INDEX(인턴근무계획!$M$3:$R$402,$A177,$I$3)&amp;"",FIND(" ",INDEX(인턴근무계획!$M$3:$R$402,$A177,$I$3)&amp;"")-1))))</f>
        <v/>
      </c>
      <c r="J177" s="23">
        <f>IF(OR($C177="",$I$3=""),"",IF(INDEX(인턴근무계획!$M$3:$R$402,$A177,$I$3)&amp;""="","",IF(LEFT(INDEX(인턴근무계획!$M$3:$R$402,$A177,$I$3)&amp;"",1)="⚠","",MID(INDEX(인턴근무계획!$M$3:$R$402,$A177,$I$3)&amp;"",FIND(" ",INDEX(인턴근무계획!$M$3:$R$402,$A177,$I$3)&amp;"")+1,60))))</f>
        <v/>
      </c>
      <c r="K177" s="23">
        <f>IF($C177="","",INDEX(인턴근무계획!$M$3:$M$402,$A177)&amp;"")</f>
        <v/>
      </c>
      <c r="L177" s="23">
        <f>IF($C177="","",INDEX(인턴근무계획!$N$3:$N$402,$A177)&amp;"")</f>
        <v/>
      </c>
      <c r="M177" s="23">
        <f>IF($C177="","",INDEX(인턴근무계획!$O$3:$O$402,$A177)&amp;"")</f>
        <v/>
      </c>
      <c r="N177" s="23">
        <f>IF($C177="","",INDEX(인턴근무계획!$P$3:$P$402,$A177)&amp;"")</f>
        <v/>
      </c>
      <c r="O177" s="23">
        <f>IF($C177="","",INDEX(인턴근무계획!$Q$3:$Q$402,$A177)&amp;"")</f>
        <v/>
      </c>
      <c r="P177" s="23">
        <f>IF($C177="","",INDEX(인턴근무계획!$R$3:$R$402,$A177)&amp;"")</f>
        <v/>
      </c>
      <c r="Q177" s="23">
        <f>IF($C177="","",INDEX(인턴근무계획!$T$3:$T$402,$A177))</f>
        <v/>
      </c>
    </row>
    <row r="178">
      <c r="A178" s="26" t="n">
        <v>173</v>
      </c>
      <c r="B178" s="23">
        <f>IF($C178="","",INDEX(인턴근무계획!$B$3:$B$402,$A178))</f>
        <v/>
      </c>
      <c r="C178" s="23">
        <f>IFERROR(TRIM(INDEX(인턴근무계획!$C$3:$C$402,$A178)&amp;""),"")</f>
        <v/>
      </c>
      <c r="D178" s="23">
        <f>IF($C178="","",INDEX(인턴근무계획!$D$3:$D$402,$A178))</f>
        <v/>
      </c>
      <c r="E178" s="23">
        <f>IF($C178="","",IF(IFERROR(MATCH($D178,기본자료!$B$2:$B$1001,0),IFERROR(MATCH($D178&amp;"",기본자료!$B$2:$B$1001,0),IFERROR(MATCH(VALUE($D178),기본자료!$B$2:$B$1001,0),0)))&gt;0,"확인","미등록"))</f>
        <v/>
      </c>
      <c r="F178" s="27">
        <f>IF($C178="","",INDEX(인턴근무계획!$S$3:$S$402,$A178))</f>
        <v/>
      </c>
      <c r="G178" s="23">
        <f>IF(OR($C178="",$G$3=""),"",IF(INDEX(인턴근무계획!$M$3:$R$402,$A178,$G$3)&amp;""="","",IF(LEFT(INDEX(인턴근무계획!$M$3:$R$402,$A178,$G$3)&amp;"",1)="⚠",INDEX(인턴근무계획!$M$3:$R$402,$A178,$G$3)&amp;"",LEFT(INDEX(인턴근무계획!$M$3:$R$402,$A178,$G$3)&amp;"",FIND(" ",INDEX(인턴근무계획!$M$3:$R$402,$A178,$G$3)&amp;"")-1))))</f>
        <v/>
      </c>
      <c r="H178" s="23">
        <f>IF(OR($C178="",$G$3=""),"",IF(INDEX(인턴근무계획!$M$3:$R$402,$A178,$G$3)&amp;""="","",IF(LEFT(INDEX(인턴근무계획!$M$3:$R$402,$A178,$G$3)&amp;"",1)="⚠","",MID(INDEX(인턴근무계획!$M$3:$R$402,$A178,$G$3)&amp;"",FIND(" ",INDEX(인턴근무계획!$M$3:$R$402,$A178,$G$3)&amp;"")+1,60))))</f>
        <v/>
      </c>
      <c r="I178" s="23">
        <f>IF(OR($C178="",$I$3=""),"",IF(INDEX(인턴근무계획!$M$3:$R$402,$A178,$I$3)&amp;""="","",IF(LEFT(INDEX(인턴근무계획!$M$3:$R$402,$A178,$I$3)&amp;"",1)="⚠",INDEX(인턴근무계획!$M$3:$R$402,$A178,$I$3)&amp;"",LEFT(INDEX(인턴근무계획!$M$3:$R$402,$A178,$I$3)&amp;"",FIND(" ",INDEX(인턴근무계획!$M$3:$R$402,$A178,$I$3)&amp;"")-1))))</f>
        <v/>
      </c>
      <c r="J178" s="23">
        <f>IF(OR($C178="",$I$3=""),"",IF(INDEX(인턴근무계획!$M$3:$R$402,$A178,$I$3)&amp;""="","",IF(LEFT(INDEX(인턴근무계획!$M$3:$R$402,$A178,$I$3)&amp;"",1)="⚠","",MID(INDEX(인턴근무계획!$M$3:$R$402,$A178,$I$3)&amp;"",FIND(" ",INDEX(인턴근무계획!$M$3:$R$402,$A178,$I$3)&amp;"")+1,60))))</f>
        <v/>
      </c>
      <c r="K178" s="23">
        <f>IF($C178="","",INDEX(인턴근무계획!$M$3:$M$402,$A178)&amp;"")</f>
        <v/>
      </c>
      <c r="L178" s="23">
        <f>IF($C178="","",INDEX(인턴근무계획!$N$3:$N$402,$A178)&amp;"")</f>
        <v/>
      </c>
      <c r="M178" s="23">
        <f>IF($C178="","",INDEX(인턴근무계획!$O$3:$O$402,$A178)&amp;"")</f>
        <v/>
      </c>
      <c r="N178" s="23">
        <f>IF($C178="","",INDEX(인턴근무계획!$P$3:$P$402,$A178)&amp;"")</f>
        <v/>
      </c>
      <c r="O178" s="23">
        <f>IF($C178="","",INDEX(인턴근무계획!$Q$3:$Q$402,$A178)&amp;"")</f>
        <v/>
      </c>
      <c r="P178" s="23">
        <f>IF($C178="","",INDEX(인턴근무계획!$R$3:$R$402,$A178)&amp;"")</f>
        <v/>
      </c>
      <c r="Q178" s="23">
        <f>IF($C178="","",INDEX(인턴근무계획!$T$3:$T$402,$A178))</f>
        <v/>
      </c>
    </row>
    <row r="179">
      <c r="A179" s="26" t="n">
        <v>174</v>
      </c>
      <c r="B179" s="23">
        <f>IF($C179="","",INDEX(인턴근무계획!$B$3:$B$402,$A179))</f>
        <v/>
      </c>
      <c r="C179" s="23">
        <f>IFERROR(TRIM(INDEX(인턴근무계획!$C$3:$C$402,$A179)&amp;""),"")</f>
        <v/>
      </c>
      <c r="D179" s="23">
        <f>IF($C179="","",INDEX(인턴근무계획!$D$3:$D$402,$A179))</f>
        <v/>
      </c>
      <c r="E179" s="23">
        <f>IF($C179="","",IF(IFERROR(MATCH($D179,기본자료!$B$2:$B$1001,0),IFERROR(MATCH($D179&amp;"",기본자료!$B$2:$B$1001,0),IFERROR(MATCH(VALUE($D179),기본자료!$B$2:$B$1001,0),0)))&gt;0,"확인","미등록"))</f>
        <v/>
      </c>
      <c r="F179" s="27">
        <f>IF($C179="","",INDEX(인턴근무계획!$S$3:$S$402,$A179))</f>
        <v/>
      </c>
      <c r="G179" s="23">
        <f>IF(OR($C179="",$G$3=""),"",IF(INDEX(인턴근무계획!$M$3:$R$402,$A179,$G$3)&amp;""="","",IF(LEFT(INDEX(인턴근무계획!$M$3:$R$402,$A179,$G$3)&amp;"",1)="⚠",INDEX(인턴근무계획!$M$3:$R$402,$A179,$G$3)&amp;"",LEFT(INDEX(인턴근무계획!$M$3:$R$402,$A179,$G$3)&amp;"",FIND(" ",INDEX(인턴근무계획!$M$3:$R$402,$A179,$G$3)&amp;"")-1))))</f>
        <v/>
      </c>
      <c r="H179" s="23">
        <f>IF(OR($C179="",$G$3=""),"",IF(INDEX(인턴근무계획!$M$3:$R$402,$A179,$G$3)&amp;""="","",IF(LEFT(INDEX(인턴근무계획!$M$3:$R$402,$A179,$G$3)&amp;"",1)="⚠","",MID(INDEX(인턴근무계획!$M$3:$R$402,$A179,$G$3)&amp;"",FIND(" ",INDEX(인턴근무계획!$M$3:$R$402,$A179,$G$3)&amp;"")+1,60))))</f>
        <v/>
      </c>
      <c r="I179" s="23">
        <f>IF(OR($C179="",$I$3=""),"",IF(INDEX(인턴근무계획!$M$3:$R$402,$A179,$I$3)&amp;""="","",IF(LEFT(INDEX(인턴근무계획!$M$3:$R$402,$A179,$I$3)&amp;"",1)="⚠",INDEX(인턴근무계획!$M$3:$R$402,$A179,$I$3)&amp;"",LEFT(INDEX(인턴근무계획!$M$3:$R$402,$A179,$I$3)&amp;"",FIND(" ",INDEX(인턴근무계획!$M$3:$R$402,$A179,$I$3)&amp;"")-1))))</f>
        <v/>
      </c>
      <c r="J179" s="23">
        <f>IF(OR($C179="",$I$3=""),"",IF(INDEX(인턴근무계획!$M$3:$R$402,$A179,$I$3)&amp;""="","",IF(LEFT(INDEX(인턴근무계획!$M$3:$R$402,$A179,$I$3)&amp;"",1)="⚠","",MID(INDEX(인턴근무계획!$M$3:$R$402,$A179,$I$3)&amp;"",FIND(" ",INDEX(인턴근무계획!$M$3:$R$402,$A179,$I$3)&amp;"")+1,60))))</f>
        <v/>
      </c>
      <c r="K179" s="23">
        <f>IF($C179="","",INDEX(인턴근무계획!$M$3:$M$402,$A179)&amp;"")</f>
        <v/>
      </c>
      <c r="L179" s="23">
        <f>IF($C179="","",INDEX(인턴근무계획!$N$3:$N$402,$A179)&amp;"")</f>
        <v/>
      </c>
      <c r="M179" s="23">
        <f>IF($C179="","",INDEX(인턴근무계획!$O$3:$O$402,$A179)&amp;"")</f>
        <v/>
      </c>
      <c r="N179" s="23">
        <f>IF($C179="","",INDEX(인턴근무계획!$P$3:$P$402,$A179)&amp;"")</f>
        <v/>
      </c>
      <c r="O179" s="23">
        <f>IF($C179="","",INDEX(인턴근무계획!$Q$3:$Q$402,$A179)&amp;"")</f>
        <v/>
      </c>
      <c r="P179" s="23">
        <f>IF($C179="","",INDEX(인턴근무계획!$R$3:$R$402,$A179)&amp;"")</f>
        <v/>
      </c>
      <c r="Q179" s="23">
        <f>IF($C179="","",INDEX(인턴근무계획!$T$3:$T$402,$A179))</f>
        <v/>
      </c>
    </row>
    <row r="180">
      <c r="A180" s="26" t="n">
        <v>175</v>
      </c>
      <c r="B180" s="23">
        <f>IF($C180="","",INDEX(인턴근무계획!$B$3:$B$402,$A180))</f>
        <v/>
      </c>
      <c r="C180" s="23">
        <f>IFERROR(TRIM(INDEX(인턴근무계획!$C$3:$C$402,$A180)&amp;""),"")</f>
        <v/>
      </c>
      <c r="D180" s="23">
        <f>IF($C180="","",INDEX(인턴근무계획!$D$3:$D$402,$A180))</f>
        <v/>
      </c>
      <c r="E180" s="23">
        <f>IF($C180="","",IF(IFERROR(MATCH($D180,기본자료!$B$2:$B$1001,0),IFERROR(MATCH($D180&amp;"",기본자료!$B$2:$B$1001,0),IFERROR(MATCH(VALUE($D180),기본자료!$B$2:$B$1001,0),0)))&gt;0,"확인","미등록"))</f>
        <v/>
      </c>
      <c r="F180" s="27">
        <f>IF($C180="","",INDEX(인턴근무계획!$S$3:$S$402,$A180))</f>
        <v/>
      </c>
      <c r="G180" s="23">
        <f>IF(OR($C180="",$G$3=""),"",IF(INDEX(인턴근무계획!$M$3:$R$402,$A180,$G$3)&amp;""="","",IF(LEFT(INDEX(인턴근무계획!$M$3:$R$402,$A180,$G$3)&amp;"",1)="⚠",INDEX(인턴근무계획!$M$3:$R$402,$A180,$G$3)&amp;"",LEFT(INDEX(인턴근무계획!$M$3:$R$402,$A180,$G$3)&amp;"",FIND(" ",INDEX(인턴근무계획!$M$3:$R$402,$A180,$G$3)&amp;"")-1))))</f>
        <v/>
      </c>
      <c r="H180" s="23">
        <f>IF(OR($C180="",$G$3=""),"",IF(INDEX(인턴근무계획!$M$3:$R$402,$A180,$G$3)&amp;""="","",IF(LEFT(INDEX(인턴근무계획!$M$3:$R$402,$A180,$G$3)&amp;"",1)="⚠","",MID(INDEX(인턴근무계획!$M$3:$R$402,$A180,$G$3)&amp;"",FIND(" ",INDEX(인턴근무계획!$M$3:$R$402,$A180,$G$3)&amp;"")+1,60))))</f>
        <v/>
      </c>
      <c r="I180" s="23">
        <f>IF(OR($C180="",$I$3=""),"",IF(INDEX(인턴근무계획!$M$3:$R$402,$A180,$I$3)&amp;""="","",IF(LEFT(INDEX(인턴근무계획!$M$3:$R$402,$A180,$I$3)&amp;"",1)="⚠",INDEX(인턴근무계획!$M$3:$R$402,$A180,$I$3)&amp;"",LEFT(INDEX(인턴근무계획!$M$3:$R$402,$A180,$I$3)&amp;"",FIND(" ",INDEX(인턴근무계획!$M$3:$R$402,$A180,$I$3)&amp;"")-1))))</f>
        <v/>
      </c>
      <c r="J180" s="23">
        <f>IF(OR($C180="",$I$3=""),"",IF(INDEX(인턴근무계획!$M$3:$R$402,$A180,$I$3)&amp;""="","",IF(LEFT(INDEX(인턴근무계획!$M$3:$R$402,$A180,$I$3)&amp;"",1)="⚠","",MID(INDEX(인턴근무계획!$M$3:$R$402,$A180,$I$3)&amp;"",FIND(" ",INDEX(인턴근무계획!$M$3:$R$402,$A180,$I$3)&amp;"")+1,60))))</f>
        <v/>
      </c>
      <c r="K180" s="23">
        <f>IF($C180="","",INDEX(인턴근무계획!$M$3:$M$402,$A180)&amp;"")</f>
        <v/>
      </c>
      <c r="L180" s="23">
        <f>IF($C180="","",INDEX(인턴근무계획!$N$3:$N$402,$A180)&amp;"")</f>
        <v/>
      </c>
      <c r="M180" s="23">
        <f>IF($C180="","",INDEX(인턴근무계획!$O$3:$O$402,$A180)&amp;"")</f>
        <v/>
      </c>
      <c r="N180" s="23">
        <f>IF($C180="","",INDEX(인턴근무계획!$P$3:$P$402,$A180)&amp;"")</f>
        <v/>
      </c>
      <c r="O180" s="23">
        <f>IF($C180="","",INDEX(인턴근무계획!$Q$3:$Q$402,$A180)&amp;"")</f>
        <v/>
      </c>
      <c r="P180" s="23">
        <f>IF($C180="","",INDEX(인턴근무계획!$R$3:$R$402,$A180)&amp;"")</f>
        <v/>
      </c>
      <c r="Q180" s="23">
        <f>IF($C180="","",INDEX(인턴근무계획!$T$3:$T$402,$A180))</f>
        <v/>
      </c>
    </row>
    <row r="181">
      <c r="A181" s="26" t="n">
        <v>176</v>
      </c>
      <c r="B181" s="23">
        <f>IF($C181="","",INDEX(인턴근무계획!$B$3:$B$402,$A181))</f>
        <v/>
      </c>
      <c r="C181" s="23">
        <f>IFERROR(TRIM(INDEX(인턴근무계획!$C$3:$C$402,$A181)&amp;""),"")</f>
        <v/>
      </c>
      <c r="D181" s="23">
        <f>IF($C181="","",INDEX(인턴근무계획!$D$3:$D$402,$A181))</f>
        <v/>
      </c>
      <c r="E181" s="23">
        <f>IF($C181="","",IF(IFERROR(MATCH($D181,기본자료!$B$2:$B$1001,0),IFERROR(MATCH($D181&amp;"",기본자료!$B$2:$B$1001,0),IFERROR(MATCH(VALUE($D181),기본자료!$B$2:$B$1001,0),0)))&gt;0,"확인","미등록"))</f>
        <v/>
      </c>
      <c r="F181" s="27">
        <f>IF($C181="","",INDEX(인턴근무계획!$S$3:$S$402,$A181))</f>
        <v/>
      </c>
      <c r="G181" s="23">
        <f>IF(OR($C181="",$G$3=""),"",IF(INDEX(인턴근무계획!$M$3:$R$402,$A181,$G$3)&amp;""="","",IF(LEFT(INDEX(인턴근무계획!$M$3:$R$402,$A181,$G$3)&amp;"",1)="⚠",INDEX(인턴근무계획!$M$3:$R$402,$A181,$G$3)&amp;"",LEFT(INDEX(인턴근무계획!$M$3:$R$402,$A181,$G$3)&amp;"",FIND(" ",INDEX(인턴근무계획!$M$3:$R$402,$A181,$G$3)&amp;"")-1))))</f>
        <v/>
      </c>
      <c r="H181" s="23">
        <f>IF(OR($C181="",$G$3=""),"",IF(INDEX(인턴근무계획!$M$3:$R$402,$A181,$G$3)&amp;""="","",IF(LEFT(INDEX(인턴근무계획!$M$3:$R$402,$A181,$G$3)&amp;"",1)="⚠","",MID(INDEX(인턴근무계획!$M$3:$R$402,$A181,$G$3)&amp;"",FIND(" ",INDEX(인턴근무계획!$M$3:$R$402,$A181,$G$3)&amp;"")+1,60))))</f>
        <v/>
      </c>
      <c r="I181" s="23">
        <f>IF(OR($C181="",$I$3=""),"",IF(INDEX(인턴근무계획!$M$3:$R$402,$A181,$I$3)&amp;""="","",IF(LEFT(INDEX(인턴근무계획!$M$3:$R$402,$A181,$I$3)&amp;"",1)="⚠",INDEX(인턴근무계획!$M$3:$R$402,$A181,$I$3)&amp;"",LEFT(INDEX(인턴근무계획!$M$3:$R$402,$A181,$I$3)&amp;"",FIND(" ",INDEX(인턴근무계획!$M$3:$R$402,$A181,$I$3)&amp;"")-1))))</f>
        <v/>
      </c>
      <c r="J181" s="23">
        <f>IF(OR($C181="",$I$3=""),"",IF(INDEX(인턴근무계획!$M$3:$R$402,$A181,$I$3)&amp;""="","",IF(LEFT(INDEX(인턴근무계획!$M$3:$R$402,$A181,$I$3)&amp;"",1)="⚠","",MID(INDEX(인턴근무계획!$M$3:$R$402,$A181,$I$3)&amp;"",FIND(" ",INDEX(인턴근무계획!$M$3:$R$402,$A181,$I$3)&amp;"")+1,60))))</f>
        <v/>
      </c>
      <c r="K181" s="23">
        <f>IF($C181="","",INDEX(인턴근무계획!$M$3:$M$402,$A181)&amp;"")</f>
        <v/>
      </c>
      <c r="L181" s="23">
        <f>IF($C181="","",INDEX(인턴근무계획!$N$3:$N$402,$A181)&amp;"")</f>
        <v/>
      </c>
      <c r="M181" s="23">
        <f>IF($C181="","",INDEX(인턴근무계획!$O$3:$O$402,$A181)&amp;"")</f>
        <v/>
      </c>
      <c r="N181" s="23">
        <f>IF($C181="","",INDEX(인턴근무계획!$P$3:$P$402,$A181)&amp;"")</f>
        <v/>
      </c>
      <c r="O181" s="23">
        <f>IF($C181="","",INDEX(인턴근무계획!$Q$3:$Q$402,$A181)&amp;"")</f>
        <v/>
      </c>
      <c r="P181" s="23">
        <f>IF($C181="","",INDEX(인턴근무계획!$R$3:$R$402,$A181)&amp;"")</f>
        <v/>
      </c>
      <c r="Q181" s="23">
        <f>IF($C181="","",INDEX(인턴근무계획!$T$3:$T$402,$A181))</f>
        <v/>
      </c>
    </row>
    <row r="182">
      <c r="A182" s="26" t="n">
        <v>177</v>
      </c>
      <c r="B182" s="23">
        <f>IF($C182="","",INDEX(인턴근무계획!$B$3:$B$402,$A182))</f>
        <v/>
      </c>
      <c r="C182" s="23">
        <f>IFERROR(TRIM(INDEX(인턴근무계획!$C$3:$C$402,$A182)&amp;""),"")</f>
        <v/>
      </c>
      <c r="D182" s="23">
        <f>IF($C182="","",INDEX(인턴근무계획!$D$3:$D$402,$A182))</f>
        <v/>
      </c>
      <c r="E182" s="23">
        <f>IF($C182="","",IF(IFERROR(MATCH($D182,기본자료!$B$2:$B$1001,0),IFERROR(MATCH($D182&amp;"",기본자료!$B$2:$B$1001,0),IFERROR(MATCH(VALUE($D182),기본자료!$B$2:$B$1001,0),0)))&gt;0,"확인","미등록"))</f>
        <v/>
      </c>
      <c r="F182" s="27">
        <f>IF($C182="","",INDEX(인턴근무계획!$S$3:$S$402,$A182))</f>
        <v/>
      </c>
      <c r="G182" s="23">
        <f>IF(OR($C182="",$G$3=""),"",IF(INDEX(인턴근무계획!$M$3:$R$402,$A182,$G$3)&amp;""="","",IF(LEFT(INDEX(인턴근무계획!$M$3:$R$402,$A182,$G$3)&amp;"",1)="⚠",INDEX(인턴근무계획!$M$3:$R$402,$A182,$G$3)&amp;"",LEFT(INDEX(인턴근무계획!$M$3:$R$402,$A182,$G$3)&amp;"",FIND(" ",INDEX(인턴근무계획!$M$3:$R$402,$A182,$G$3)&amp;"")-1))))</f>
        <v/>
      </c>
      <c r="H182" s="23">
        <f>IF(OR($C182="",$G$3=""),"",IF(INDEX(인턴근무계획!$M$3:$R$402,$A182,$G$3)&amp;""="","",IF(LEFT(INDEX(인턴근무계획!$M$3:$R$402,$A182,$G$3)&amp;"",1)="⚠","",MID(INDEX(인턴근무계획!$M$3:$R$402,$A182,$G$3)&amp;"",FIND(" ",INDEX(인턴근무계획!$M$3:$R$402,$A182,$G$3)&amp;"")+1,60))))</f>
        <v/>
      </c>
      <c r="I182" s="23">
        <f>IF(OR($C182="",$I$3=""),"",IF(INDEX(인턴근무계획!$M$3:$R$402,$A182,$I$3)&amp;""="","",IF(LEFT(INDEX(인턴근무계획!$M$3:$R$402,$A182,$I$3)&amp;"",1)="⚠",INDEX(인턴근무계획!$M$3:$R$402,$A182,$I$3)&amp;"",LEFT(INDEX(인턴근무계획!$M$3:$R$402,$A182,$I$3)&amp;"",FIND(" ",INDEX(인턴근무계획!$M$3:$R$402,$A182,$I$3)&amp;"")-1))))</f>
        <v/>
      </c>
      <c r="J182" s="23">
        <f>IF(OR($C182="",$I$3=""),"",IF(INDEX(인턴근무계획!$M$3:$R$402,$A182,$I$3)&amp;""="","",IF(LEFT(INDEX(인턴근무계획!$M$3:$R$402,$A182,$I$3)&amp;"",1)="⚠","",MID(INDEX(인턴근무계획!$M$3:$R$402,$A182,$I$3)&amp;"",FIND(" ",INDEX(인턴근무계획!$M$3:$R$402,$A182,$I$3)&amp;"")+1,60))))</f>
        <v/>
      </c>
      <c r="K182" s="23">
        <f>IF($C182="","",INDEX(인턴근무계획!$M$3:$M$402,$A182)&amp;"")</f>
        <v/>
      </c>
      <c r="L182" s="23">
        <f>IF($C182="","",INDEX(인턴근무계획!$N$3:$N$402,$A182)&amp;"")</f>
        <v/>
      </c>
      <c r="M182" s="23">
        <f>IF($C182="","",INDEX(인턴근무계획!$O$3:$O$402,$A182)&amp;"")</f>
        <v/>
      </c>
      <c r="N182" s="23">
        <f>IF($C182="","",INDEX(인턴근무계획!$P$3:$P$402,$A182)&amp;"")</f>
        <v/>
      </c>
      <c r="O182" s="23">
        <f>IF($C182="","",INDEX(인턴근무계획!$Q$3:$Q$402,$A182)&amp;"")</f>
        <v/>
      </c>
      <c r="P182" s="23">
        <f>IF($C182="","",INDEX(인턴근무계획!$R$3:$R$402,$A182)&amp;"")</f>
        <v/>
      </c>
      <c r="Q182" s="23">
        <f>IF($C182="","",INDEX(인턴근무계획!$T$3:$T$402,$A182))</f>
        <v/>
      </c>
    </row>
    <row r="183">
      <c r="A183" s="26" t="n">
        <v>178</v>
      </c>
      <c r="B183" s="23">
        <f>IF($C183="","",INDEX(인턴근무계획!$B$3:$B$402,$A183))</f>
        <v/>
      </c>
      <c r="C183" s="23">
        <f>IFERROR(TRIM(INDEX(인턴근무계획!$C$3:$C$402,$A183)&amp;""),"")</f>
        <v/>
      </c>
      <c r="D183" s="23">
        <f>IF($C183="","",INDEX(인턴근무계획!$D$3:$D$402,$A183))</f>
        <v/>
      </c>
      <c r="E183" s="23">
        <f>IF($C183="","",IF(IFERROR(MATCH($D183,기본자료!$B$2:$B$1001,0),IFERROR(MATCH($D183&amp;"",기본자료!$B$2:$B$1001,0),IFERROR(MATCH(VALUE($D183),기본자료!$B$2:$B$1001,0),0)))&gt;0,"확인","미등록"))</f>
        <v/>
      </c>
      <c r="F183" s="27">
        <f>IF($C183="","",INDEX(인턴근무계획!$S$3:$S$402,$A183))</f>
        <v/>
      </c>
      <c r="G183" s="23">
        <f>IF(OR($C183="",$G$3=""),"",IF(INDEX(인턴근무계획!$M$3:$R$402,$A183,$G$3)&amp;""="","",IF(LEFT(INDEX(인턴근무계획!$M$3:$R$402,$A183,$G$3)&amp;"",1)="⚠",INDEX(인턴근무계획!$M$3:$R$402,$A183,$G$3)&amp;"",LEFT(INDEX(인턴근무계획!$M$3:$R$402,$A183,$G$3)&amp;"",FIND(" ",INDEX(인턴근무계획!$M$3:$R$402,$A183,$G$3)&amp;"")-1))))</f>
        <v/>
      </c>
      <c r="H183" s="23">
        <f>IF(OR($C183="",$G$3=""),"",IF(INDEX(인턴근무계획!$M$3:$R$402,$A183,$G$3)&amp;""="","",IF(LEFT(INDEX(인턴근무계획!$M$3:$R$402,$A183,$G$3)&amp;"",1)="⚠","",MID(INDEX(인턴근무계획!$M$3:$R$402,$A183,$G$3)&amp;"",FIND(" ",INDEX(인턴근무계획!$M$3:$R$402,$A183,$G$3)&amp;"")+1,60))))</f>
        <v/>
      </c>
      <c r="I183" s="23">
        <f>IF(OR($C183="",$I$3=""),"",IF(INDEX(인턴근무계획!$M$3:$R$402,$A183,$I$3)&amp;""="","",IF(LEFT(INDEX(인턴근무계획!$M$3:$R$402,$A183,$I$3)&amp;"",1)="⚠",INDEX(인턴근무계획!$M$3:$R$402,$A183,$I$3)&amp;"",LEFT(INDEX(인턴근무계획!$M$3:$R$402,$A183,$I$3)&amp;"",FIND(" ",INDEX(인턴근무계획!$M$3:$R$402,$A183,$I$3)&amp;"")-1))))</f>
        <v/>
      </c>
      <c r="J183" s="23">
        <f>IF(OR($C183="",$I$3=""),"",IF(INDEX(인턴근무계획!$M$3:$R$402,$A183,$I$3)&amp;""="","",IF(LEFT(INDEX(인턴근무계획!$M$3:$R$402,$A183,$I$3)&amp;"",1)="⚠","",MID(INDEX(인턴근무계획!$M$3:$R$402,$A183,$I$3)&amp;"",FIND(" ",INDEX(인턴근무계획!$M$3:$R$402,$A183,$I$3)&amp;"")+1,60))))</f>
        <v/>
      </c>
      <c r="K183" s="23">
        <f>IF($C183="","",INDEX(인턴근무계획!$M$3:$M$402,$A183)&amp;"")</f>
        <v/>
      </c>
      <c r="L183" s="23">
        <f>IF($C183="","",INDEX(인턴근무계획!$N$3:$N$402,$A183)&amp;"")</f>
        <v/>
      </c>
      <c r="M183" s="23">
        <f>IF($C183="","",INDEX(인턴근무계획!$O$3:$O$402,$A183)&amp;"")</f>
        <v/>
      </c>
      <c r="N183" s="23">
        <f>IF($C183="","",INDEX(인턴근무계획!$P$3:$P$402,$A183)&amp;"")</f>
        <v/>
      </c>
      <c r="O183" s="23">
        <f>IF($C183="","",INDEX(인턴근무계획!$Q$3:$Q$402,$A183)&amp;"")</f>
        <v/>
      </c>
      <c r="P183" s="23">
        <f>IF($C183="","",INDEX(인턴근무계획!$R$3:$R$402,$A183)&amp;"")</f>
        <v/>
      </c>
      <c r="Q183" s="23">
        <f>IF($C183="","",INDEX(인턴근무계획!$T$3:$T$402,$A183))</f>
        <v/>
      </c>
    </row>
    <row r="184">
      <c r="A184" s="26" t="n">
        <v>179</v>
      </c>
      <c r="B184" s="23">
        <f>IF($C184="","",INDEX(인턴근무계획!$B$3:$B$402,$A184))</f>
        <v/>
      </c>
      <c r="C184" s="23">
        <f>IFERROR(TRIM(INDEX(인턴근무계획!$C$3:$C$402,$A184)&amp;""),"")</f>
        <v/>
      </c>
      <c r="D184" s="23">
        <f>IF($C184="","",INDEX(인턴근무계획!$D$3:$D$402,$A184))</f>
        <v/>
      </c>
      <c r="E184" s="23">
        <f>IF($C184="","",IF(IFERROR(MATCH($D184,기본자료!$B$2:$B$1001,0),IFERROR(MATCH($D184&amp;"",기본자료!$B$2:$B$1001,0),IFERROR(MATCH(VALUE($D184),기본자료!$B$2:$B$1001,0),0)))&gt;0,"확인","미등록"))</f>
        <v/>
      </c>
      <c r="F184" s="27">
        <f>IF($C184="","",INDEX(인턴근무계획!$S$3:$S$402,$A184))</f>
        <v/>
      </c>
      <c r="G184" s="23">
        <f>IF(OR($C184="",$G$3=""),"",IF(INDEX(인턴근무계획!$M$3:$R$402,$A184,$G$3)&amp;""="","",IF(LEFT(INDEX(인턴근무계획!$M$3:$R$402,$A184,$G$3)&amp;"",1)="⚠",INDEX(인턴근무계획!$M$3:$R$402,$A184,$G$3)&amp;"",LEFT(INDEX(인턴근무계획!$M$3:$R$402,$A184,$G$3)&amp;"",FIND(" ",INDEX(인턴근무계획!$M$3:$R$402,$A184,$G$3)&amp;"")-1))))</f>
        <v/>
      </c>
      <c r="H184" s="23">
        <f>IF(OR($C184="",$G$3=""),"",IF(INDEX(인턴근무계획!$M$3:$R$402,$A184,$G$3)&amp;""="","",IF(LEFT(INDEX(인턴근무계획!$M$3:$R$402,$A184,$G$3)&amp;"",1)="⚠","",MID(INDEX(인턴근무계획!$M$3:$R$402,$A184,$G$3)&amp;"",FIND(" ",INDEX(인턴근무계획!$M$3:$R$402,$A184,$G$3)&amp;"")+1,60))))</f>
        <v/>
      </c>
      <c r="I184" s="23">
        <f>IF(OR($C184="",$I$3=""),"",IF(INDEX(인턴근무계획!$M$3:$R$402,$A184,$I$3)&amp;""="","",IF(LEFT(INDEX(인턴근무계획!$M$3:$R$402,$A184,$I$3)&amp;"",1)="⚠",INDEX(인턴근무계획!$M$3:$R$402,$A184,$I$3)&amp;"",LEFT(INDEX(인턴근무계획!$M$3:$R$402,$A184,$I$3)&amp;"",FIND(" ",INDEX(인턴근무계획!$M$3:$R$402,$A184,$I$3)&amp;"")-1))))</f>
        <v/>
      </c>
      <c r="J184" s="23">
        <f>IF(OR($C184="",$I$3=""),"",IF(INDEX(인턴근무계획!$M$3:$R$402,$A184,$I$3)&amp;""="","",IF(LEFT(INDEX(인턴근무계획!$M$3:$R$402,$A184,$I$3)&amp;"",1)="⚠","",MID(INDEX(인턴근무계획!$M$3:$R$402,$A184,$I$3)&amp;"",FIND(" ",INDEX(인턴근무계획!$M$3:$R$402,$A184,$I$3)&amp;"")+1,60))))</f>
        <v/>
      </c>
      <c r="K184" s="23">
        <f>IF($C184="","",INDEX(인턴근무계획!$M$3:$M$402,$A184)&amp;"")</f>
        <v/>
      </c>
      <c r="L184" s="23">
        <f>IF($C184="","",INDEX(인턴근무계획!$N$3:$N$402,$A184)&amp;"")</f>
        <v/>
      </c>
      <c r="M184" s="23">
        <f>IF($C184="","",INDEX(인턴근무계획!$O$3:$O$402,$A184)&amp;"")</f>
        <v/>
      </c>
      <c r="N184" s="23">
        <f>IF($C184="","",INDEX(인턴근무계획!$P$3:$P$402,$A184)&amp;"")</f>
        <v/>
      </c>
      <c r="O184" s="23">
        <f>IF($C184="","",INDEX(인턴근무계획!$Q$3:$Q$402,$A184)&amp;"")</f>
        <v/>
      </c>
      <c r="P184" s="23">
        <f>IF($C184="","",INDEX(인턴근무계획!$R$3:$R$402,$A184)&amp;"")</f>
        <v/>
      </c>
      <c r="Q184" s="23">
        <f>IF($C184="","",INDEX(인턴근무계획!$T$3:$T$402,$A184))</f>
        <v/>
      </c>
    </row>
    <row r="185">
      <c r="A185" s="26" t="n">
        <v>180</v>
      </c>
      <c r="B185" s="23">
        <f>IF($C185="","",INDEX(인턴근무계획!$B$3:$B$402,$A185))</f>
        <v/>
      </c>
      <c r="C185" s="23">
        <f>IFERROR(TRIM(INDEX(인턴근무계획!$C$3:$C$402,$A185)&amp;""),"")</f>
        <v/>
      </c>
      <c r="D185" s="23">
        <f>IF($C185="","",INDEX(인턴근무계획!$D$3:$D$402,$A185))</f>
        <v/>
      </c>
      <c r="E185" s="23">
        <f>IF($C185="","",IF(IFERROR(MATCH($D185,기본자료!$B$2:$B$1001,0),IFERROR(MATCH($D185&amp;"",기본자료!$B$2:$B$1001,0),IFERROR(MATCH(VALUE($D185),기본자료!$B$2:$B$1001,0),0)))&gt;0,"확인","미등록"))</f>
        <v/>
      </c>
      <c r="F185" s="27">
        <f>IF($C185="","",INDEX(인턴근무계획!$S$3:$S$402,$A185))</f>
        <v/>
      </c>
      <c r="G185" s="23">
        <f>IF(OR($C185="",$G$3=""),"",IF(INDEX(인턴근무계획!$M$3:$R$402,$A185,$G$3)&amp;""="","",IF(LEFT(INDEX(인턴근무계획!$M$3:$R$402,$A185,$G$3)&amp;"",1)="⚠",INDEX(인턴근무계획!$M$3:$R$402,$A185,$G$3)&amp;"",LEFT(INDEX(인턴근무계획!$M$3:$R$402,$A185,$G$3)&amp;"",FIND(" ",INDEX(인턴근무계획!$M$3:$R$402,$A185,$G$3)&amp;"")-1))))</f>
        <v/>
      </c>
      <c r="H185" s="23">
        <f>IF(OR($C185="",$G$3=""),"",IF(INDEX(인턴근무계획!$M$3:$R$402,$A185,$G$3)&amp;""="","",IF(LEFT(INDEX(인턴근무계획!$M$3:$R$402,$A185,$G$3)&amp;"",1)="⚠","",MID(INDEX(인턴근무계획!$M$3:$R$402,$A185,$G$3)&amp;"",FIND(" ",INDEX(인턴근무계획!$M$3:$R$402,$A185,$G$3)&amp;"")+1,60))))</f>
        <v/>
      </c>
      <c r="I185" s="23">
        <f>IF(OR($C185="",$I$3=""),"",IF(INDEX(인턴근무계획!$M$3:$R$402,$A185,$I$3)&amp;""="","",IF(LEFT(INDEX(인턴근무계획!$M$3:$R$402,$A185,$I$3)&amp;"",1)="⚠",INDEX(인턴근무계획!$M$3:$R$402,$A185,$I$3)&amp;"",LEFT(INDEX(인턴근무계획!$M$3:$R$402,$A185,$I$3)&amp;"",FIND(" ",INDEX(인턴근무계획!$M$3:$R$402,$A185,$I$3)&amp;"")-1))))</f>
        <v/>
      </c>
      <c r="J185" s="23">
        <f>IF(OR($C185="",$I$3=""),"",IF(INDEX(인턴근무계획!$M$3:$R$402,$A185,$I$3)&amp;""="","",IF(LEFT(INDEX(인턴근무계획!$M$3:$R$402,$A185,$I$3)&amp;"",1)="⚠","",MID(INDEX(인턴근무계획!$M$3:$R$402,$A185,$I$3)&amp;"",FIND(" ",INDEX(인턴근무계획!$M$3:$R$402,$A185,$I$3)&amp;"")+1,60))))</f>
        <v/>
      </c>
      <c r="K185" s="23">
        <f>IF($C185="","",INDEX(인턴근무계획!$M$3:$M$402,$A185)&amp;"")</f>
        <v/>
      </c>
      <c r="L185" s="23">
        <f>IF($C185="","",INDEX(인턴근무계획!$N$3:$N$402,$A185)&amp;"")</f>
        <v/>
      </c>
      <c r="M185" s="23">
        <f>IF($C185="","",INDEX(인턴근무계획!$O$3:$O$402,$A185)&amp;"")</f>
        <v/>
      </c>
      <c r="N185" s="23">
        <f>IF($C185="","",INDEX(인턴근무계획!$P$3:$P$402,$A185)&amp;"")</f>
        <v/>
      </c>
      <c r="O185" s="23">
        <f>IF($C185="","",INDEX(인턴근무계획!$Q$3:$Q$402,$A185)&amp;"")</f>
        <v/>
      </c>
      <c r="P185" s="23">
        <f>IF($C185="","",INDEX(인턴근무계획!$R$3:$R$402,$A185)&amp;"")</f>
        <v/>
      </c>
      <c r="Q185" s="23">
        <f>IF($C185="","",INDEX(인턴근무계획!$T$3:$T$402,$A185))</f>
        <v/>
      </c>
    </row>
    <row r="186">
      <c r="A186" s="26" t="n">
        <v>181</v>
      </c>
      <c r="B186" s="23">
        <f>IF($C186="","",INDEX(인턴근무계획!$B$3:$B$402,$A186))</f>
        <v/>
      </c>
      <c r="C186" s="23">
        <f>IFERROR(TRIM(INDEX(인턴근무계획!$C$3:$C$402,$A186)&amp;""),"")</f>
        <v/>
      </c>
      <c r="D186" s="23">
        <f>IF($C186="","",INDEX(인턴근무계획!$D$3:$D$402,$A186))</f>
        <v/>
      </c>
      <c r="E186" s="23">
        <f>IF($C186="","",IF(IFERROR(MATCH($D186,기본자료!$B$2:$B$1001,0),IFERROR(MATCH($D186&amp;"",기본자료!$B$2:$B$1001,0),IFERROR(MATCH(VALUE($D186),기본자료!$B$2:$B$1001,0),0)))&gt;0,"확인","미등록"))</f>
        <v/>
      </c>
      <c r="F186" s="27">
        <f>IF($C186="","",INDEX(인턴근무계획!$S$3:$S$402,$A186))</f>
        <v/>
      </c>
      <c r="G186" s="23">
        <f>IF(OR($C186="",$G$3=""),"",IF(INDEX(인턴근무계획!$M$3:$R$402,$A186,$G$3)&amp;""="","",IF(LEFT(INDEX(인턴근무계획!$M$3:$R$402,$A186,$G$3)&amp;"",1)="⚠",INDEX(인턴근무계획!$M$3:$R$402,$A186,$G$3)&amp;"",LEFT(INDEX(인턴근무계획!$M$3:$R$402,$A186,$G$3)&amp;"",FIND(" ",INDEX(인턴근무계획!$M$3:$R$402,$A186,$G$3)&amp;"")-1))))</f>
        <v/>
      </c>
      <c r="H186" s="23">
        <f>IF(OR($C186="",$G$3=""),"",IF(INDEX(인턴근무계획!$M$3:$R$402,$A186,$G$3)&amp;""="","",IF(LEFT(INDEX(인턴근무계획!$M$3:$R$402,$A186,$G$3)&amp;"",1)="⚠","",MID(INDEX(인턴근무계획!$M$3:$R$402,$A186,$G$3)&amp;"",FIND(" ",INDEX(인턴근무계획!$M$3:$R$402,$A186,$G$3)&amp;"")+1,60))))</f>
        <v/>
      </c>
      <c r="I186" s="23">
        <f>IF(OR($C186="",$I$3=""),"",IF(INDEX(인턴근무계획!$M$3:$R$402,$A186,$I$3)&amp;""="","",IF(LEFT(INDEX(인턴근무계획!$M$3:$R$402,$A186,$I$3)&amp;"",1)="⚠",INDEX(인턴근무계획!$M$3:$R$402,$A186,$I$3)&amp;"",LEFT(INDEX(인턴근무계획!$M$3:$R$402,$A186,$I$3)&amp;"",FIND(" ",INDEX(인턴근무계획!$M$3:$R$402,$A186,$I$3)&amp;"")-1))))</f>
        <v/>
      </c>
      <c r="J186" s="23">
        <f>IF(OR($C186="",$I$3=""),"",IF(INDEX(인턴근무계획!$M$3:$R$402,$A186,$I$3)&amp;""="","",IF(LEFT(INDEX(인턴근무계획!$M$3:$R$402,$A186,$I$3)&amp;"",1)="⚠","",MID(INDEX(인턴근무계획!$M$3:$R$402,$A186,$I$3)&amp;"",FIND(" ",INDEX(인턴근무계획!$M$3:$R$402,$A186,$I$3)&amp;"")+1,60))))</f>
        <v/>
      </c>
      <c r="K186" s="23">
        <f>IF($C186="","",INDEX(인턴근무계획!$M$3:$M$402,$A186)&amp;"")</f>
        <v/>
      </c>
      <c r="L186" s="23">
        <f>IF($C186="","",INDEX(인턴근무계획!$N$3:$N$402,$A186)&amp;"")</f>
        <v/>
      </c>
      <c r="M186" s="23">
        <f>IF($C186="","",INDEX(인턴근무계획!$O$3:$O$402,$A186)&amp;"")</f>
        <v/>
      </c>
      <c r="N186" s="23">
        <f>IF($C186="","",INDEX(인턴근무계획!$P$3:$P$402,$A186)&amp;"")</f>
        <v/>
      </c>
      <c r="O186" s="23">
        <f>IF($C186="","",INDEX(인턴근무계획!$Q$3:$Q$402,$A186)&amp;"")</f>
        <v/>
      </c>
      <c r="P186" s="23">
        <f>IF($C186="","",INDEX(인턴근무계획!$R$3:$R$402,$A186)&amp;"")</f>
        <v/>
      </c>
      <c r="Q186" s="23">
        <f>IF($C186="","",INDEX(인턴근무계획!$T$3:$T$402,$A186))</f>
        <v/>
      </c>
    </row>
    <row r="187">
      <c r="A187" s="26" t="n">
        <v>182</v>
      </c>
      <c r="B187" s="23">
        <f>IF($C187="","",INDEX(인턴근무계획!$B$3:$B$402,$A187))</f>
        <v/>
      </c>
      <c r="C187" s="23">
        <f>IFERROR(TRIM(INDEX(인턴근무계획!$C$3:$C$402,$A187)&amp;""),"")</f>
        <v/>
      </c>
      <c r="D187" s="23">
        <f>IF($C187="","",INDEX(인턴근무계획!$D$3:$D$402,$A187))</f>
        <v/>
      </c>
      <c r="E187" s="23">
        <f>IF($C187="","",IF(IFERROR(MATCH($D187,기본자료!$B$2:$B$1001,0),IFERROR(MATCH($D187&amp;"",기본자료!$B$2:$B$1001,0),IFERROR(MATCH(VALUE($D187),기본자료!$B$2:$B$1001,0),0)))&gt;0,"확인","미등록"))</f>
        <v/>
      </c>
      <c r="F187" s="27">
        <f>IF($C187="","",INDEX(인턴근무계획!$S$3:$S$402,$A187))</f>
        <v/>
      </c>
      <c r="G187" s="23">
        <f>IF(OR($C187="",$G$3=""),"",IF(INDEX(인턴근무계획!$M$3:$R$402,$A187,$G$3)&amp;""="","",IF(LEFT(INDEX(인턴근무계획!$M$3:$R$402,$A187,$G$3)&amp;"",1)="⚠",INDEX(인턴근무계획!$M$3:$R$402,$A187,$G$3)&amp;"",LEFT(INDEX(인턴근무계획!$M$3:$R$402,$A187,$G$3)&amp;"",FIND(" ",INDEX(인턴근무계획!$M$3:$R$402,$A187,$G$3)&amp;"")-1))))</f>
        <v/>
      </c>
      <c r="H187" s="23">
        <f>IF(OR($C187="",$G$3=""),"",IF(INDEX(인턴근무계획!$M$3:$R$402,$A187,$G$3)&amp;""="","",IF(LEFT(INDEX(인턴근무계획!$M$3:$R$402,$A187,$G$3)&amp;"",1)="⚠","",MID(INDEX(인턴근무계획!$M$3:$R$402,$A187,$G$3)&amp;"",FIND(" ",INDEX(인턴근무계획!$M$3:$R$402,$A187,$G$3)&amp;"")+1,60))))</f>
        <v/>
      </c>
      <c r="I187" s="23">
        <f>IF(OR($C187="",$I$3=""),"",IF(INDEX(인턴근무계획!$M$3:$R$402,$A187,$I$3)&amp;""="","",IF(LEFT(INDEX(인턴근무계획!$M$3:$R$402,$A187,$I$3)&amp;"",1)="⚠",INDEX(인턴근무계획!$M$3:$R$402,$A187,$I$3)&amp;"",LEFT(INDEX(인턴근무계획!$M$3:$R$402,$A187,$I$3)&amp;"",FIND(" ",INDEX(인턴근무계획!$M$3:$R$402,$A187,$I$3)&amp;"")-1))))</f>
        <v/>
      </c>
      <c r="J187" s="23">
        <f>IF(OR($C187="",$I$3=""),"",IF(INDEX(인턴근무계획!$M$3:$R$402,$A187,$I$3)&amp;""="","",IF(LEFT(INDEX(인턴근무계획!$M$3:$R$402,$A187,$I$3)&amp;"",1)="⚠","",MID(INDEX(인턴근무계획!$M$3:$R$402,$A187,$I$3)&amp;"",FIND(" ",INDEX(인턴근무계획!$M$3:$R$402,$A187,$I$3)&amp;"")+1,60))))</f>
        <v/>
      </c>
      <c r="K187" s="23">
        <f>IF($C187="","",INDEX(인턴근무계획!$M$3:$M$402,$A187)&amp;"")</f>
        <v/>
      </c>
      <c r="L187" s="23">
        <f>IF($C187="","",INDEX(인턴근무계획!$N$3:$N$402,$A187)&amp;"")</f>
        <v/>
      </c>
      <c r="M187" s="23">
        <f>IF($C187="","",INDEX(인턴근무계획!$O$3:$O$402,$A187)&amp;"")</f>
        <v/>
      </c>
      <c r="N187" s="23">
        <f>IF($C187="","",INDEX(인턴근무계획!$P$3:$P$402,$A187)&amp;"")</f>
        <v/>
      </c>
      <c r="O187" s="23">
        <f>IF($C187="","",INDEX(인턴근무계획!$Q$3:$Q$402,$A187)&amp;"")</f>
        <v/>
      </c>
      <c r="P187" s="23">
        <f>IF($C187="","",INDEX(인턴근무계획!$R$3:$R$402,$A187)&amp;"")</f>
        <v/>
      </c>
      <c r="Q187" s="23">
        <f>IF($C187="","",INDEX(인턴근무계획!$T$3:$T$402,$A187))</f>
        <v/>
      </c>
    </row>
    <row r="188">
      <c r="A188" s="26" t="n">
        <v>183</v>
      </c>
      <c r="B188" s="23">
        <f>IF($C188="","",INDEX(인턴근무계획!$B$3:$B$402,$A188))</f>
        <v/>
      </c>
      <c r="C188" s="23">
        <f>IFERROR(TRIM(INDEX(인턴근무계획!$C$3:$C$402,$A188)&amp;""),"")</f>
        <v/>
      </c>
      <c r="D188" s="23">
        <f>IF($C188="","",INDEX(인턴근무계획!$D$3:$D$402,$A188))</f>
        <v/>
      </c>
      <c r="E188" s="23">
        <f>IF($C188="","",IF(IFERROR(MATCH($D188,기본자료!$B$2:$B$1001,0),IFERROR(MATCH($D188&amp;"",기본자료!$B$2:$B$1001,0),IFERROR(MATCH(VALUE($D188),기본자료!$B$2:$B$1001,0),0)))&gt;0,"확인","미등록"))</f>
        <v/>
      </c>
      <c r="F188" s="27">
        <f>IF($C188="","",INDEX(인턴근무계획!$S$3:$S$402,$A188))</f>
        <v/>
      </c>
      <c r="G188" s="23">
        <f>IF(OR($C188="",$G$3=""),"",IF(INDEX(인턴근무계획!$M$3:$R$402,$A188,$G$3)&amp;""="","",IF(LEFT(INDEX(인턴근무계획!$M$3:$R$402,$A188,$G$3)&amp;"",1)="⚠",INDEX(인턴근무계획!$M$3:$R$402,$A188,$G$3)&amp;"",LEFT(INDEX(인턴근무계획!$M$3:$R$402,$A188,$G$3)&amp;"",FIND(" ",INDEX(인턴근무계획!$M$3:$R$402,$A188,$G$3)&amp;"")-1))))</f>
        <v/>
      </c>
      <c r="H188" s="23">
        <f>IF(OR($C188="",$G$3=""),"",IF(INDEX(인턴근무계획!$M$3:$R$402,$A188,$G$3)&amp;""="","",IF(LEFT(INDEX(인턴근무계획!$M$3:$R$402,$A188,$G$3)&amp;"",1)="⚠","",MID(INDEX(인턴근무계획!$M$3:$R$402,$A188,$G$3)&amp;"",FIND(" ",INDEX(인턴근무계획!$M$3:$R$402,$A188,$G$3)&amp;"")+1,60))))</f>
        <v/>
      </c>
      <c r="I188" s="23">
        <f>IF(OR($C188="",$I$3=""),"",IF(INDEX(인턴근무계획!$M$3:$R$402,$A188,$I$3)&amp;""="","",IF(LEFT(INDEX(인턴근무계획!$M$3:$R$402,$A188,$I$3)&amp;"",1)="⚠",INDEX(인턴근무계획!$M$3:$R$402,$A188,$I$3)&amp;"",LEFT(INDEX(인턴근무계획!$M$3:$R$402,$A188,$I$3)&amp;"",FIND(" ",INDEX(인턴근무계획!$M$3:$R$402,$A188,$I$3)&amp;"")-1))))</f>
        <v/>
      </c>
      <c r="J188" s="23">
        <f>IF(OR($C188="",$I$3=""),"",IF(INDEX(인턴근무계획!$M$3:$R$402,$A188,$I$3)&amp;""="","",IF(LEFT(INDEX(인턴근무계획!$M$3:$R$402,$A188,$I$3)&amp;"",1)="⚠","",MID(INDEX(인턴근무계획!$M$3:$R$402,$A188,$I$3)&amp;"",FIND(" ",INDEX(인턴근무계획!$M$3:$R$402,$A188,$I$3)&amp;"")+1,60))))</f>
        <v/>
      </c>
      <c r="K188" s="23">
        <f>IF($C188="","",INDEX(인턴근무계획!$M$3:$M$402,$A188)&amp;"")</f>
        <v/>
      </c>
      <c r="L188" s="23">
        <f>IF($C188="","",INDEX(인턴근무계획!$N$3:$N$402,$A188)&amp;"")</f>
        <v/>
      </c>
      <c r="M188" s="23">
        <f>IF($C188="","",INDEX(인턴근무계획!$O$3:$O$402,$A188)&amp;"")</f>
        <v/>
      </c>
      <c r="N188" s="23">
        <f>IF($C188="","",INDEX(인턴근무계획!$P$3:$P$402,$A188)&amp;"")</f>
        <v/>
      </c>
      <c r="O188" s="23">
        <f>IF($C188="","",INDEX(인턴근무계획!$Q$3:$Q$402,$A188)&amp;"")</f>
        <v/>
      </c>
      <c r="P188" s="23">
        <f>IF($C188="","",INDEX(인턴근무계획!$R$3:$R$402,$A188)&amp;"")</f>
        <v/>
      </c>
      <c r="Q188" s="23">
        <f>IF($C188="","",INDEX(인턴근무계획!$T$3:$T$402,$A188))</f>
        <v/>
      </c>
    </row>
    <row r="189">
      <c r="A189" s="26" t="n">
        <v>184</v>
      </c>
      <c r="B189" s="23">
        <f>IF($C189="","",INDEX(인턴근무계획!$B$3:$B$402,$A189))</f>
        <v/>
      </c>
      <c r="C189" s="23">
        <f>IFERROR(TRIM(INDEX(인턴근무계획!$C$3:$C$402,$A189)&amp;""),"")</f>
        <v/>
      </c>
      <c r="D189" s="23">
        <f>IF($C189="","",INDEX(인턴근무계획!$D$3:$D$402,$A189))</f>
        <v/>
      </c>
      <c r="E189" s="23">
        <f>IF($C189="","",IF(IFERROR(MATCH($D189,기본자료!$B$2:$B$1001,0),IFERROR(MATCH($D189&amp;"",기본자료!$B$2:$B$1001,0),IFERROR(MATCH(VALUE($D189),기본자료!$B$2:$B$1001,0),0)))&gt;0,"확인","미등록"))</f>
        <v/>
      </c>
      <c r="F189" s="27">
        <f>IF($C189="","",INDEX(인턴근무계획!$S$3:$S$402,$A189))</f>
        <v/>
      </c>
      <c r="G189" s="23">
        <f>IF(OR($C189="",$G$3=""),"",IF(INDEX(인턴근무계획!$M$3:$R$402,$A189,$G$3)&amp;""="","",IF(LEFT(INDEX(인턴근무계획!$M$3:$R$402,$A189,$G$3)&amp;"",1)="⚠",INDEX(인턴근무계획!$M$3:$R$402,$A189,$G$3)&amp;"",LEFT(INDEX(인턴근무계획!$M$3:$R$402,$A189,$G$3)&amp;"",FIND(" ",INDEX(인턴근무계획!$M$3:$R$402,$A189,$G$3)&amp;"")-1))))</f>
        <v/>
      </c>
      <c r="H189" s="23">
        <f>IF(OR($C189="",$G$3=""),"",IF(INDEX(인턴근무계획!$M$3:$R$402,$A189,$G$3)&amp;""="","",IF(LEFT(INDEX(인턴근무계획!$M$3:$R$402,$A189,$G$3)&amp;"",1)="⚠","",MID(INDEX(인턴근무계획!$M$3:$R$402,$A189,$G$3)&amp;"",FIND(" ",INDEX(인턴근무계획!$M$3:$R$402,$A189,$G$3)&amp;"")+1,60))))</f>
        <v/>
      </c>
      <c r="I189" s="23">
        <f>IF(OR($C189="",$I$3=""),"",IF(INDEX(인턴근무계획!$M$3:$R$402,$A189,$I$3)&amp;""="","",IF(LEFT(INDEX(인턴근무계획!$M$3:$R$402,$A189,$I$3)&amp;"",1)="⚠",INDEX(인턴근무계획!$M$3:$R$402,$A189,$I$3)&amp;"",LEFT(INDEX(인턴근무계획!$M$3:$R$402,$A189,$I$3)&amp;"",FIND(" ",INDEX(인턴근무계획!$M$3:$R$402,$A189,$I$3)&amp;"")-1))))</f>
        <v/>
      </c>
      <c r="J189" s="23">
        <f>IF(OR($C189="",$I$3=""),"",IF(INDEX(인턴근무계획!$M$3:$R$402,$A189,$I$3)&amp;""="","",IF(LEFT(INDEX(인턴근무계획!$M$3:$R$402,$A189,$I$3)&amp;"",1)="⚠","",MID(INDEX(인턴근무계획!$M$3:$R$402,$A189,$I$3)&amp;"",FIND(" ",INDEX(인턴근무계획!$M$3:$R$402,$A189,$I$3)&amp;"")+1,60))))</f>
        <v/>
      </c>
      <c r="K189" s="23">
        <f>IF($C189="","",INDEX(인턴근무계획!$M$3:$M$402,$A189)&amp;"")</f>
        <v/>
      </c>
      <c r="L189" s="23">
        <f>IF($C189="","",INDEX(인턴근무계획!$N$3:$N$402,$A189)&amp;"")</f>
        <v/>
      </c>
      <c r="M189" s="23">
        <f>IF($C189="","",INDEX(인턴근무계획!$O$3:$O$402,$A189)&amp;"")</f>
        <v/>
      </c>
      <c r="N189" s="23">
        <f>IF($C189="","",INDEX(인턴근무계획!$P$3:$P$402,$A189)&amp;"")</f>
        <v/>
      </c>
      <c r="O189" s="23">
        <f>IF($C189="","",INDEX(인턴근무계획!$Q$3:$Q$402,$A189)&amp;"")</f>
        <v/>
      </c>
      <c r="P189" s="23">
        <f>IF($C189="","",INDEX(인턴근무계획!$R$3:$R$402,$A189)&amp;"")</f>
        <v/>
      </c>
      <c r="Q189" s="23">
        <f>IF($C189="","",INDEX(인턴근무계획!$T$3:$T$402,$A189))</f>
        <v/>
      </c>
    </row>
    <row r="190">
      <c r="A190" s="26" t="n">
        <v>185</v>
      </c>
      <c r="B190" s="23">
        <f>IF($C190="","",INDEX(인턴근무계획!$B$3:$B$402,$A190))</f>
        <v/>
      </c>
      <c r="C190" s="23">
        <f>IFERROR(TRIM(INDEX(인턴근무계획!$C$3:$C$402,$A190)&amp;""),"")</f>
        <v/>
      </c>
      <c r="D190" s="23">
        <f>IF($C190="","",INDEX(인턴근무계획!$D$3:$D$402,$A190))</f>
        <v/>
      </c>
      <c r="E190" s="23">
        <f>IF($C190="","",IF(IFERROR(MATCH($D190,기본자료!$B$2:$B$1001,0),IFERROR(MATCH($D190&amp;"",기본자료!$B$2:$B$1001,0),IFERROR(MATCH(VALUE($D190),기본자료!$B$2:$B$1001,0),0)))&gt;0,"확인","미등록"))</f>
        <v/>
      </c>
      <c r="F190" s="27">
        <f>IF($C190="","",INDEX(인턴근무계획!$S$3:$S$402,$A190))</f>
        <v/>
      </c>
      <c r="G190" s="23">
        <f>IF(OR($C190="",$G$3=""),"",IF(INDEX(인턴근무계획!$M$3:$R$402,$A190,$G$3)&amp;""="","",IF(LEFT(INDEX(인턴근무계획!$M$3:$R$402,$A190,$G$3)&amp;"",1)="⚠",INDEX(인턴근무계획!$M$3:$R$402,$A190,$G$3)&amp;"",LEFT(INDEX(인턴근무계획!$M$3:$R$402,$A190,$G$3)&amp;"",FIND(" ",INDEX(인턴근무계획!$M$3:$R$402,$A190,$G$3)&amp;"")-1))))</f>
        <v/>
      </c>
      <c r="H190" s="23">
        <f>IF(OR($C190="",$G$3=""),"",IF(INDEX(인턴근무계획!$M$3:$R$402,$A190,$G$3)&amp;""="","",IF(LEFT(INDEX(인턴근무계획!$M$3:$R$402,$A190,$G$3)&amp;"",1)="⚠","",MID(INDEX(인턴근무계획!$M$3:$R$402,$A190,$G$3)&amp;"",FIND(" ",INDEX(인턴근무계획!$M$3:$R$402,$A190,$G$3)&amp;"")+1,60))))</f>
        <v/>
      </c>
      <c r="I190" s="23">
        <f>IF(OR($C190="",$I$3=""),"",IF(INDEX(인턴근무계획!$M$3:$R$402,$A190,$I$3)&amp;""="","",IF(LEFT(INDEX(인턴근무계획!$M$3:$R$402,$A190,$I$3)&amp;"",1)="⚠",INDEX(인턴근무계획!$M$3:$R$402,$A190,$I$3)&amp;"",LEFT(INDEX(인턴근무계획!$M$3:$R$402,$A190,$I$3)&amp;"",FIND(" ",INDEX(인턴근무계획!$M$3:$R$402,$A190,$I$3)&amp;"")-1))))</f>
        <v/>
      </c>
      <c r="J190" s="23">
        <f>IF(OR($C190="",$I$3=""),"",IF(INDEX(인턴근무계획!$M$3:$R$402,$A190,$I$3)&amp;""="","",IF(LEFT(INDEX(인턴근무계획!$M$3:$R$402,$A190,$I$3)&amp;"",1)="⚠","",MID(INDEX(인턴근무계획!$M$3:$R$402,$A190,$I$3)&amp;"",FIND(" ",INDEX(인턴근무계획!$M$3:$R$402,$A190,$I$3)&amp;"")+1,60))))</f>
        <v/>
      </c>
      <c r="K190" s="23">
        <f>IF($C190="","",INDEX(인턴근무계획!$M$3:$M$402,$A190)&amp;"")</f>
        <v/>
      </c>
      <c r="L190" s="23">
        <f>IF($C190="","",INDEX(인턴근무계획!$N$3:$N$402,$A190)&amp;"")</f>
        <v/>
      </c>
      <c r="M190" s="23">
        <f>IF($C190="","",INDEX(인턴근무계획!$O$3:$O$402,$A190)&amp;"")</f>
        <v/>
      </c>
      <c r="N190" s="23">
        <f>IF($C190="","",INDEX(인턴근무계획!$P$3:$P$402,$A190)&amp;"")</f>
        <v/>
      </c>
      <c r="O190" s="23">
        <f>IF($C190="","",INDEX(인턴근무계획!$Q$3:$Q$402,$A190)&amp;"")</f>
        <v/>
      </c>
      <c r="P190" s="23">
        <f>IF($C190="","",INDEX(인턴근무계획!$R$3:$R$402,$A190)&amp;"")</f>
        <v/>
      </c>
      <c r="Q190" s="23">
        <f>IF($C190="","",INDEX(인턴근무계획!$T$3:$T$402,$A190))</f>
        <v/>
      </c>
    </row>
    <row r="191">
      <c r="A191" s="26" t="n">
        <v>186</v>
      </c>
      <c r="B191" s="23">
        <f>IF($C191="","",INDEX(인턴근무계획!$B$3:$B$402,$A191))</f>
        <v/>
      </c>
      <c r="C191" s="23">
        <f>IFERROR(TRIM(INDEX(인턴근무계획!$C$3:$C$402,$A191)&amp;""),"")</f>
        <v/>
      </c>
      <c r="D191" s="23">
        <f>IF($C191="","",INDEX(인턴근무계획!$D$3:$D$402,$A191))</f>
        <v/>
      </c>
      <c r="E191" s="23">
        <f>IF($C191="","",IF(IFERROR(MATCH($D191,기본자료!$B$2:$B$1001,0),IFERROR(MATCH($D191&amp;"",기본자료!$B$2:$B$1001,0),IFERROR(MATCH(VALUE($D191),기본자료!$B$2:$B$1001,0),0)))&gt;0,"확인","미등록"))</f>
        <v/>
      </c>
      <c r="F191" s="27">
        <f>IF($C191="","",INDEX(인턴근무계획!$S$3:$S$402,$A191))</f>
        <v/>
      </c>
      <c r="G191" s="23">
        <f>IF(OR($C191="",$G$3=""),"",IF(INDEX(인턴근무계획!$M$3:$R$402,$A191,$G$3)&amp;""="","",IF(LEFT(INDEX(인턴근무계획!$M$3:$R$402,$A191,$G$3)&amp;"",1)="⚠",INDEX(인턴근무계획!$M$3:$R$402,$A191,$G$3)&amp;"",LEFT(INDEX(인턴근무계획!$M$3:$R$402,$A191,$G$3)&amp;"",FIND(" ",INDEX(인턴근무계획!$M$3:$R$402,$A191,$G$3)&amp;"")-1))))</f>
        <v/>
      </c>
      <c r="H191" s="23">
        <f>IF(OR($C191="",$G$3=""),"",IF(INDEX(인턴근무계획!$M$3:$R$402,$A191,$G$3)&amp;""="","",IF(LEFT(INDEX(인턴근무계획!$M$3:$R$402,$A191,$G$3)&amp;"",1)="⚠","",MID(INDEX(인턴근무계획!$M$3:$R$402,$A191,$G$3)&amp;"",FIND(" ",INDEX(인턴근무계획!$M$3:$R$402,$A191,$G$3)&amp;"")+1,60))))</f>
        <v/>
      </c>
      <c r="I191" s="23">
        <f>IF(OR($C191="",$I$3=""),"",IF(INDEX(인턴근무계획!$M$3:$R$402,$A191,$I$3)&amp;""="","",IF(LEFT(INDEX(인턴근무계획!$M$3:$R$402,$A191,$I$3)&amp;"",1)="⚠",INDEX(인턴근무계획!$M$3:$R$402,$A191,$I$3)&amp;"",LEFT(INDEX(인턴근무계획!$M$3:$R$402,$A191,$I$3)&amp;"",FIND(" ",INDEX(인턴근무계획!$M$3:$R$402,$A191,$I$3)&amp;"")-1))))</f>
        <v/>
      </c>
      <c r="J191" s="23">
        <f>IF(OR($C191="",$I$3=""),"",IF(INDEX(인턴근무계획!$M$3:$R$402,$A191,$I$3)&amp;""="","",IF(LEFT(INDEX(인턴근무계획!$M$3:$R$402,$A191,$I$3)&amp;"",1)="⚠","",MID(INDEX(인턴근무계획!$M$3:$R$402,$A191,$I$3)&amp;"",FIND(" ",INDEX(인턴근무계획!$M$3:$R$402,$A191,$I$3)&amp;"")+1,60))))</f>
        <v/>
      </c>
      <c r="K191" s="23">
        <f>IF($C191="","",INDEX(인턴근무계획!$M$3:$M$402,$A191)&amp;"")</f>
        <v/>
      </c>
      <c r="L191" s="23">
        <f>IF($C191="","",INDEX(인턴근무계획!$N$3:$N$402,$A191)&amp;"")</f>
        <v/>
      </c>
      <c r="M191" s="23">
        <f>IF($C191="","",INDEX(인턴근무계획!$O$3:$O$402,$A191)&amp;"")</f>
        <v/>
      </c>
      <c r="N191" s="23">
        <f>IF($C191="","",INDEX(인턴근무계획!$P$3:$P$402,$A191)&amp;"")</f>
        <v/>
      </c>
      <c r="O191" s="23">
        <f>IF($C191="","",INDEX(인턴근무계획!$Q$3:$Q$402,$A191)&amp;"")</f>
        <v/>
      </c>
      <c r="P191" s="23">
        <f>IF($C191="","",INDEX(인턴근무계획!$R$3:$R$402,$A191)&amp;"")</f>
        <v/>
      </c>
      <c r="Q191" s="23">
        <f>IF($C191="","",INDEX(인턴근무계획!$T$3:$T$402,$A191))</f>
        <v/>
      </c>
    </row>
    <row r="192">
      <c r="A192" s="26" t="n">
        <v>187</v>
      </c>
      <c r="B192" s="23">
        <f>IF($C192="","",INDEX(인턴근무계획!$B$3:$B$402,$A192))</f>
        <v/>
      </c>
      <c r="C192" s="23">
        <f>IFERROR(TRIM(INDEX(인턴근무계획!$C$3:$C$402,$A192)&amp;""),"")</f>
        <v/>
      </c>
      <c r="D192" s="23">
        <f>IF($C192="","",INDEX(인턴근무계획!$D$3:$D$402,$A192))</f>
        <v/>
      </c>
      <c r="E192" s="23">
        <f>IF($C192="","",IF(IFERROR(MATCH($D192,기본자료!$B$2:$B$1001,0),IFERROR(MATCH($D192&amp;"",기본자료!$B$2:$B$1001,0),IFERROR(MATCH(VALUE($D192),기본자료!$B$2:$B$1001,0),0)))&gt;0,"확인","미등록"))</f>
        <v/>
      </c>
      <c r="F192" s="27">
        <f>IF($C192="","",INDEX(인턴근무계획!$S$3:$S$402,$A192))</f>
        <v/>
      </c>
      <c r="G192" s="23">
        <f>IF(OR($C192="",$G$3=""),"",IF(INDEX(인턴근무계획!$M$3:$R$402,$A192,$G$3)&amp;""="","",IF(LEFT(INDEX(인턴근무계획!$M$3:$R$402,$A192,$G$3)&amp;"",1)="⚠",INDEX(인턴근무계획!$M$3:$R$402,$A192,$G$3)&amp;"",LEFT(INDEX(인턴근무계획!$M$3:$R$402,$A192,$G$3)&amp;"",FIND(" ",INDEX(인턴근무계획!$M$3:$R$402,$A192,$G$3)&amp;"")-1))))</f>
        <v/>
      </c>
      <c r="H192" s="23">
        <f>IF(OR($C192="",$G$3=""),"",IF(INDEX(인턴근무계획!$M$3:$R$402,$A192,$G$3)&amp;""="","",IF(LEFT(INDEX(인턴근무계획!$M$3:$R$402,$A192,$G$3)&amp;"",1)="⚠","",MID(INDEX(인턴근무계획!$M$3:$R$402,$A192,$G$3)&amp;"",FIND(" ",INDEX(인턴근무계획!$M$3:$R$402,$A192,$G$3)&amp;"")+1,60))))</f>
        <v/>
      </c>
      <c r="I192" s="23">
        <f>IF(OR($C192="",$I$3=""),"",IF(INDEX(인턴근무계획!$M$3:$R$402,$A192,$I$3)&amp;""="","",IF(LEFT(INDEX(인턴근무계획!$M$3:$R$402,$A192,$I$3)&amp;"",1)="⚠",INDEX(인턴근무계획!$M$3:$R$402,$A192,$I$3)&amp;"",LEFT(INDEX(인턴근무계획!$M$3:$R$402,$A192,$I$3)&amp;"",FIND(" ",INDEX(인턴근무계획!$M$3:$R$402,$A192,$I$3)&amp;"")-1))))</f>
        <v/>
      </c>
      <c r="J192" s="23">
        <f>IF(OR($C192="",$I$3=""),"",IF(INDEX(인턴근무계획!$M$3:$R$402,$A192,$I$3)&amp;""="","",IF(LEFT(INDEX(인턴근무계획!$M$3:$R$402,$A192,$I$3)&amp;"",1)="⚠","",MID(INDEX(인턴근무계획!$M$3:$R$402,$A192,$I$3)&amp;"",FIND(" ",INDEX(인턴근무계획!$M$3:$R$402,$A192,$I$3)&amp;"")+1,60))))</f>
        <v/>
      </c>
      <c r="K192" s="23">
        <f>IF($C192="","",INDEX(인턴근무계획!$M$3:$M$402,$A192)&amp;"")</f>
        <v/>
      </c>
      <c r="L192" s="23">
        <f>IF($C192="","",INDEX(인턴근무계획!$N$3:$N$402,$A192)&amp;"")</f>
        <v/>
      </c>
      <c r="M192" s="23">
        <f>IF($C192="","",INDEX(인턴근무계획!$O$3:$O$402,$A192)&amp;"")</f>
        <v/>
      </c>
      <c r="N192" s="23">
        <f>IF($C192="","",INDEX(인턴근무계획!$P$3:$P$402,$A192)&amp;"")</f>
        <v/>
      </c>
      <c r="O192" s="23">
        <f>IF($C192="","",INDEX(인턴근무계획!$Q$3:$Q$402,$A192)&amp;"")</f>
        <v/>
      </c>
      <c r="P192" s="23">
        <f>IF($C192="","",INDEX(인턴근무계획!$R$3:$R$402,$A192)&amp;"")</f>
        <v/>
      </c>
      <c r="Q192" s="23">
        <f>IF($C192="","",INDEX(인턴근무계획!$T$3:$T$402,$A192))</f>
        <v/>
      </c>
    </row>
    <row r="193">
      <c r="A193" s="26" t="n">
        <v>188</v>
      </c>
      <c r="B193" s="23">
        <f>IF($C193="","",INDEX(인턴근무계획!$B$3:$B$402,$A193))</f>
        <v/>
      </c>
      <c r="C193" s="23">
        <f>IFERROR(TRIM(INDEX(인턴근무계획!$C$3:$C$402,$A193)&amp;""),"")</f>
        <v/>
      </c>
      <c r="D193" s="23">
        <f>IF($C193="","",INDEX(인턴근무계획!$D$3:$D$402,$A193))</f>
        <v/>
      </c>
      <c r="E193" s="23">
        <f>IF($C193="","",IF(IFERROR(MATCH($D193,기본자료!$B$2:$B$1001,0),IFERROR(MATCH($D193&amp;"",기본자료!$B$2:$B$1001,0),IFERROR(MATCH(VALUE($D193),기본자료!$B$2:$B$1001,0),0)))&gt;0,"확인","미등록"))</f>
        <v/>
      </c>
      <c r="F193" s="27">
        <f>IF($C193="","",INDEX(인턴근무계획!$S$3:$S$402,$A193))</f>
        <v/>
      </c>
      <c r="G193" s="23">
        <f>IF(OR($C193="",$G$3=""),"",IF(INDEX(인턴근무계획!$M$3:$R$402,$A193,$G$3)&amp;""="","",IF(LEFT(INDEX(인턴근무계획!$M$3:$R$402,$A193,$G$3)&amp;"",1)="⚠",INDEX(인턴근무계획!$M$3:$R$402,$A193,$G$3)&amp;"",LEFT(INDEX(인턴근무계획!$M$3:$R$402,$A193,$G$3)&amp;"",FIND(" ",INDEX(인턴근무계획!$M$3:$R$402,$A193,$G$3)&amp;"")-1))))</f>
        <v/>
      </c>
      <c r="H193" s="23">
        <f>IF(OR($C193="",$G$3=""),"",IF(INDEX(인턴근무계획!$M$3:$R$402,$A193,$G$3)&amp;""="","",IF(LEFT(INDEX(인턴근무계획!$M$3:$R$402,$A193,$G$3)&amp;"",1)="⚠","",MID(INDEX(인턴근무계획!$M$3:$R$402,$A193,$G$3)&amp;"",FIND(" ",INDEX(인턴근무계획!$M$3:$R$402,$A193,$G$3)&amp;"")+1,60))))</f>
        <v/>
      </c>
      <c r="I193" s="23">
        <f>IF(OR($C193="",$I$3=""),"",IF(INDEX(인턴근무계획!$M$3:$R$402,$A193,$I$3)&amp;""="","",IF(LEFT(INDEX(인턴근무계획!$M$3:$R$402,$A193,$I$3)&amp;"",1)="⚠",INDEX(인턴근무계획!$M$3:$R$402,$A193,$I$3)&amp;"",LEFT(INDEX(인턴근무계획!$M$3:$R$402,$A193,$I$3)&amp;"",FIND(" ",INDEX(인턴근무계획!$M$3:$R$402,$A193,$I$3)&amp;"")-1))))</f>
        <v/>
      </c>
      <c r="J193" s="23">
        <f>IF(OR($C193="",$I$3=""),"",IF(INDEX(인턴근무계획!$M$3:$R$402,$A193,$I$3)&amp;""="","",IF(LEFT(INDEX(인턴근무계획!$M$3:$R$402,$A193,$I$3)&amp;"",1)="⚠","",MID(INDEX(인턴근무계획!$M$3:$R$402,$A193,$I$3)&amp;"",FIND(" ",INDEX(인턴근무계획!$M$3:$R$402,$A193,$I$3)&amp;"")+1,60))))</f>
        <v/>
      </c>
      <c r="K193" s="23">
        <f>IF($C193="","",INDEX(인턴근무계획!$M$3:$M$402,$A193)&amp;"")</f>
        <v/>
      </c>
      <c r="L193" s="23">
        <f>IF($C193="","",INDEX(인턴근무계획!$N$3:$N$402,$A193)&amp;"")</f>
        <v/>
      </c>
      <c r="M193" s="23">
        <f>IF($C193="","",INDEX(인턴근무계획!$O$3:$O$402,$A193)&amp;"")</f>
        <v/>
      </c>
      <c r="N193" s="23">
        <f>IF($C193="","",INDEX(인턴근무계획!$P$3:$P$402,$A193)&amp;"")</f>
        <v/>
      </c>
      <c r="O193" s="23">
        <f>IF($C193="","",INDEX(인턴근무계획!$Q$3:$Q$402,$A193)&amp;"")</f>
        <v/>
      </c>
      <c r="P193" s="23">
        <f>IF($C193="","",INDEX(인턴근무계획!$R$3:$R$402,$A193)&amp;"")</f>
        <v/>
      </c>
      <c r="Q193" s="23">
        <f>IF($C193="","",INDEX(인턴근무계획!$T$3:$T$402,$A193))</f>
        <v/>
      </c>
    </row>
    <row r="194">
      <c r="A194" s="26" t="n">
        <v>189</v>
      </c>
      <c r="B194" s="23">
        <f>IF($C194="","",INDEX(인턴근무계획!$B$3:$B$402,$A194))</f>
        <v/>
      </c>
      <c r="C194" s="23">
        <f>IFERROR(TRIM(INDEX(인턴근무계획!$C$3:$C$402,$A194)&amp;""),"")</f>
        <v/>
      </c>
      <c r="D194" s="23">
        <f>IF($C194="","",INDEX(인턴근무계획!$D$3:$D$402,$A194))</f>
        <v/>
      </c>
      <c r="E194" s="23">
        <f>IF($C194="","",IF(IFERROR(MATCH($D194,기본자료!$B$2:$B$1001,0),IFERROR(MATCH($D194&amp;"",기본자료!$B$2:$B$1001,0),IFERROR(MATCH(VALUE($D194),기본자료!$B$2:$B$1001,0),0)))&gt;0,"확인","미등록"))</f>
        <v/>
      </c>
      <c r="F194" s="27">
        <f>IF($C194="","",INDEX(인턴근무계획!$S$3:$S$402,$A194))</f>
        <v/>
      </c>
      <c r="G194" s="23">
        <f>IF(OR($C194="",$G$3=""),"",IF(INDEX(인턴근무계획!$M$3:$R$402,$A194,$G$3)&amp;""="","",IF(LEFT(INDEX(인턴근무계획!$M$3:$R$402,$A194,$G$3)&amp;"",1)="⚠",INDEX(인턴근무계획!$M$3:$R$402,$A194,$G$3)&amp;"",LEFT(INDEX(인턴근무계획!$M$3:$R$402,$A194,$G$3)&amp;"",FIND(" ",INDEX(인턴근무계획!$M$3:$R$402,$A194,$G$3)&amp;"")-1))))</f>
        <v/>
      </c>
      <c r="H194" s="23">
        <f>IF(OR($C194="",$G$3=""),"",IF(INDEX(인턴근무계획!$M$3:$R$402,$A194,$G$3)&amp;""="","",IF(LEFT(INDEX(인턴근무계획!$M$3:$R$402,$A194,$G$3)&amp;"",1)="⚠","",MID(INDEX(인턴근무계획!$M$3:$R$402,$A194,$G$3)&amp;"",FIND(" ",INDEX(인턴근무계획!$M$3:$R$402,$A194,$G$3)&amp;"")+1,60))))</f>
        <v/>
      </c>
      <c r="I194" s="23">
        <f>IF(OR($C194="",$I$3=""),"",IF(INDEX(인턴근무계획!$M$3:$R$402,$A194,$I$3)&amp;""="","",IF(LEFT(INDEX(인턴근무계획!$M$3:$R$402,$A194,$I$3)&amp;"",1)="⚠",INDEX(인턴근무계획!$M$3:$R$402,$A194,$I$3)&amp;"",LEFT(INDEX(인턴근무계획!$M$3:$R$402,$A194,$I$3)&amp;"",FIND(" ",INDEX(인턴근무계획!$M$3:$R$402,$A194,$I$3)&amp;"")-1))))</f>
        <v/>
      </c>
      <c r="J194" s="23">
        <f>IF(OR($C194="",$I$3=""),"",IF(INDEX(인턴근무계획!$M$3:$R$402,$A194,$I$3)&amp;""="","",IF(LEFT(INDEX(인턴근무계획!$M$3:$R$402,$A194,$I$3)&amp;"",1)="⚠","",MID(INDEX(인턴근무계획!$M$3:$R$402,$A194,$I$3)&amp;"",FIND(" ",INDEX(인턴근무계획!$M$3:$R$402,$A194,$I$3)&amp;"")+1,60))))</f>
        <v/>
      </c>
      <c r="K194" s="23">
        <f>IF($C194="","",INDEX(인턴근무계획!$M$3:$M$402,$A194)&amp;"")</f>
        <v/>
      </c>
      <c r="L194" s="23">
        <f>IF($C194="","",INDEX(인턴근무계획!$N$3:$N$402,$A194)&amp;"")</f>
        <v/>
      </c>
      <c r="M194" s="23">
        <f>IF($C194="","",INDEX(인턴근무계획!$O$3:$O$402,$A194)&amp;"")</f>
        <v/>
      </c>
      <c r="N194" s="23">
        <f>IF($C194="","",INDEX(인턴근무계획!$P$3:$P$402,$A194)&amp;"")</f>
        <v/>
      </c>
      <c r="O194" s="23">
        <f>IF($C194="","",INDEX(인턴근무계획!$Q$3:$Q$402,$A194)&amp;"")</f>
        <v/>
      </c>
      <c r="P194" s="23">
        <f>IF($C194="","",INDEX(인턴근무계획!$R$3:$R$402,$A194)&amp;"")</f>
        <v/>
      </c>
      <c r="Q194" s="23">
        <f>IF($C194="","",INDEX(인턴근무계획!$T$3:$T$402,$A194))</f>
        <v/>
      </c>
    </row>
    <row r="195">
      <c r="A195" s="26" t="n">
        <v>190</v>
      </c>
      <c r="B195" s="23">
        <f>IF($C195="","",INDEX(인턴근무계획!$B$3:$B$402,$A195))</f>
        <v/>
      </c>
      <c r="C195" s="23">
        <f>IFERROR(TRIM(INDEX(인턴근무계획!$C$3:$C$402,$A195)&amp;""),"")</f>
        <v/>
      </c>
      <c r="D195" s="23">
        <f>IF($C195="","",INDEX(인턴근무계획!$D$3:$D$402,$A195))</f>
        <v/>
      </c>
      <c r="E195" s="23">
        <f>IF($C195="","",IF(IFERROR(MATCH($D195,기본자료!$B$2:$B$1001,0),IFERROR(MATCH($D195&amp;"",기본자료!$B$2:$B$1001,0),IFERROR(MATCH(VALUE($D195),기본자료!$B$2:$B$1001,0),0)))&gt;0,"확인","미등록"))</f>
        <v/>
      </c>
      <c r="F195" s="27">
        <f>IF($C195="","",INDEX(인턴근무계획!$S$3:$S$402,$A195))</f>
        <v/>
      </c>
      <c r="G195" s="23">
        <f>IF(OR($C195="",$G$3=""),"",IF(INDEX(인턴근무계획!$M$3:$R$402,$A195,$G$3)&amp;""="","",IF(LEFT(INDEX(인턴근무계획!$M$3:$R$402,$A195,$G$3)&amp;"",1)="⚠",INDEX(인턴근무계획!$M$3:$R$402,$A195,$G$3)&amp;"",LEFT(INDEX(인턴근무계획!$M$3:$R$402,$A195,$G$3)&amp;"",FIND(" ",INDEX(인턴근무계획!$M$3:$R$402,$A195,$G$3)&amp;"")-1))))</f>
        <v/>
      </c>
      <c r="H195" s="23">
        <f>IF(OR($C195="",$G$3=""),"",IF(INDEX(인턴근무계획!$M$3:$R$402,$A195,$G$3)&amp;""="","",IF(LEFT(INDEX(인턴근무계획!$M$3:$R$402,$A195,$G$3)&amp;"",1)="⚠","",MID(INDEX(인턴근무계획!$M$3:$R$402,$A195,$G$3)&amp;"",FIND(" ",INDEX(인턴근무계획!$M$3:$R$402,$A195,$G$3)&amp;"")+1,60))))</f>
        <v/>
      </c>
      <c r="I195" s="23">
        <f>IF(OR($C195="",$I$3=""),"",IF(INDEX(인턴근무계획!$M$3:$R$402,$A195,$I$3)&amp;""="","",IF(LEFT(INDEX(인턴근무계획!$M$3:$R$402,$A195,$I$3)&amp;"",1)="⚠",INDEX(인턴근무계획!$M$3:$R$402,$A195,$I$3)&amp;"",LEFT(INDEX(인턴근무계획!$M$3:$R$402,$A195,$I$3)&amp;"",FIND(" ",INDEX(인턴근무계획!$M$3:$R$402,$A195,$I$3)&amp;"")-1))))</f>
        <v/>
      </c>
      <c r="J195" s="23">
        <f>IF(OR($C195="",$I$3=""),"",IF(INDEX(인턴근무계획!$M$3:$R$402,$A195,$I$3)&amp;""="","",IF(LEFT(INDEX(인턴근무계획!$M$3:$R$402,$A195,$I$3)&amp;"",1)="⚠","",MID(INDEX(인턴근무계획!$M$3:$R$402,$A195,$I$3)&amp;"",FIND(" ",INDEX(인턴근무계획!$M$3:$R$402,$A195,$I$3)&amp;"")+1,60))))</f>
        <v/>
      </c>
      <c r="K195" s="23">
        <f>IF($C195="","",INDEX(인턴근무계획!$M$3:$M$402,$A195)&amp;"")</f>
        <v/>
      </c>
      <c r="L195" s="23">
        <f>IF($C195="","",INDEX(인턴근무계획!$N$3:$N$402,$A195)&amp;"")</f>
        <v/>
      </c>
      <c r="M195" s="23">
        <f>IF($C195="","",INDEX(인턴근무계획!$O$3:$O$402,$A195)&amp;"")</f>
        <v/>
      </c>
      <c r="N195" s="23">
        <f>IF($C195="","",INDEX(인턴근무계획!$P$3:$P$402,$A195)&amp;"")</f>
        <v/>
      </c>
      <c r="O195" s="23">
        <f>IF($C195="","",INDEX(인턴근무계획!$Q$3:$Q$402,$A195)&amp;"")</f>
        <v/>
      </c>
      <c r="P195" s="23">
        <f>IF($C195="","",INDEX(인턴근무계획!$R$3:$R$402,$A195)&amp;"")</f>
        <v/>
      </c>
      <c r="Q195" s="23">
        <f>IF($C195="","",INDEX(인턴근무계획!$T$3:$T$402,$A195))</f>
        <v/>
      </c>
    </row>
    <row r="196">
      <c r="A196" s="26" t="n">
        <v>191</v>
      </c>
      <c r="B196" s="23">
        <f>IF($C196="","",INDEX(인턴근무계획!$B$3:$B$402,$A196))</f>
        <v/>
      </c>
      <c r="C196" s="23">
        <f>IFERROR(TRIM(INDEX(인턴근무계획!$C$3:$C$402,$A196)&amp;""),"")</f>
        <v/>
      </c>
      <c r="D196" s="23">
        <f>IF($C196="","",INDEX(인턴근무계획!$D$3:$D$402,$A196))</f>
        <v/>
      </c>
      <c r="E196" s="23">
        <f>IF($C196="","",IF(IFERROR(MATCH($D196,기본자료!$B$2:$B$1001,0),IFERROR(MATCH($D196&amp;"",기본자료!$B$2:$B$1001,0),IFERROR(MATCH(VALUE($D196),기본자료!$B$2:$B$1001,0),0)))&gt;0,"확인","미등록"))</f>
        <v/>
      </c>
      <c r="F196" s="27">
        <f>IF($C196="","",INDEX(인턴근무계획!$S$3:$S$402,$A196))</f>
        <v/>
      </c>
      <c r="G196" s="23">
        <f>IF(OR($C196="",$G$3=""),"",IF(INDEX(인턴근무계획!$M$3:$R$402,$A196,$G$3)&amp;""="","",IF(LEFT(INDEX(인턴근무계획!$M$3:$R$402,$A196,$G$3)&amp;"",1)="⚠",INDEX(인턴근무계획!$M$3:$R$402,$A196,$G$3)&amp;"",LEFT(INDEX(인턴근무계획!$M$3:$R$402,$A196,$G$3)&amp;"",FIND(" ",INDEX(인턴근무계획!$M$3:$R$402,$A196,$G$3)&amp;"")-1))))</f>
        <v/>
      </c>
      <c r="H196" s="23">
        <f>IF(OR($C196="",$G$3=""),"",IF(INDEX(인턴근무계획!$M$3:$R$402,$A196,$G$3)&amp;""="","",IF(LEFT(INDEX(인턴근무계획!$M$3:$R$402,$A196,$G$3)&amp;"",1)="⚠","",MID(INDEX(인턴근무계획!$M$3:$R$402,$A196,$G$3)&amp;"",FIND(" ",INDEX(인턴근무계획!$M$3:$R$402,$A196,$G$3)&amp;"")+1,60))))</f>
        <v/>
      </c>
      <c r="I196" s="23">
        <f>IF(OR($C196="",$I$3=""),"",IF(INDEX(인턴근무계획!$M$3:$R$402,$A196,$I$3)&amp;""="","",IF(LEFT(INDEX(인턴근무계획!$M$3:$R$402,$A196,$I$3)&amp;"",1)="⚠",INDEX(인턴근무계획!$M$3:$R$402,$A196,$I$3)&amp;"",LEFT(INDEX(인턴근무계획!$M$3:$R$402,$A196,$I$3)&amp;"",FIND(" ",INDEX(인턴근무계획!$M$3:$R$402,$A196,$I$3)&amp;"")-1))))</f>
        <v/>
      </c>
      <c r="J196" s="23">
        <f>IF(OR($C196="",$I$3=""),"",IF(INDEX(인턴근무계획!$M$3:$R$402,$A196,$I$3)&amp;""="","",IF(LEFT(INDEX(인턴근무계획!$M$3:$R$402,$A196,$I$3)&amp;"",1)="⚠","",MID(INDEX(인턴근무계획!$M$3:$R$402,$A196,$I$3)&amp;"",FIND(" ",INDEX(인턴근무계획!$M$3:$R$402,$A196,$I$3)&amp;"")+1,60))))</f>
        <v/>
      </c>
      <c r="K196" s="23">
        <f>IF($C196="","",INDEX(인턴근무계획!$M$3:$M$402,$A196)&amp;"")</f>
        <v/>
      </c>
      <c r="L196" s="23">
        <f>IF($C196="","",INDEX(인턴근무계획!$N$3:$N$402,$A196)&amp;"")</f>
        <v/>
      </c>
      <c r="M196" s="23">
        <f>IF($C196="","",INDEX(인턴근무계획!$O$3:$O$402,$A196)&amp;"")</f>
        <v/>
      </c>
      <c r="N196" s="23">
        <f>IF($C196="","",INDEX(인턴근무계획!$P$3:$P$402,$A196)&amp;"")</f>
        <v/>
      </c>
      <c r="O196" s="23">
        <f>IF($C196="","",INDEX(인턴근무계획!$Q$3:$Q$402,$A196)&amp;"")</f>
        <v/>
      </c>
      <c r="P196" s="23">
        <f>IF($C196="","",INDEX(인턴근무계획!$R$3:$R$402,$A196)&amp;"")</f>
        <v/>
      </c>
      <c r="Q196" s="23">
        <f>IF($C196="","",INDEX(인턴근무계획!$T$3:$T$402,$A196))</f>
        <v/>
      </c>
    </row>
    <row r="197">
      <c r="A197" s="26" t="n">
        <v>192</v>
      </c>
      <c r="B197" s="23">
        <f>IF($C197="","",INDEX(인턴근무계획!$B$3:$B$402,$A197))</f>
        <v/>
      </c>
      <c r="C197" s="23">
        <f>IFERROR(TRIM(INDEX(인턴근무계획!$C$3:$C$402,$A197)&amp;""),"")</f>
        <v/>
      </c>
      <c r="D197" s="23">
        <f>IF($C197="","",INDEX(인턴근무계획!$D$3:$D$402,$A197))</f>
        <v/>
      </c>
      <c r="E197" s="23">
        <f>IF($C197="","",IF(IFERROR(MATCH($D197,기본자료!$B$2:$B$1001,0),IFERROR(MATCH($D197&amp;"",기본자료!$B$2:$B$1001,0),IFERROR(MATCH(VALUE($D197),기본자료!$B$2:$B$1001,0),0)))&gt;0,"확인","미등록"))</f>
        <v/>
      </c>
      <c r="F197" s="27">
        <f>IF($C197="","",INDEX(인턴근무계획!$S$3:$S$402,$A197))</f>
        <v/>
      </c>
      <c r="G197" s="23">
        <f>IF(OR($C197="",$G$3=""),"",IF(INDEX(인턴근무계획!$M$3:$R$402,$A197,$G$3)&amp;""="","",IF(LEFT(INDEX(인턴근무계획!$M$3:$R$402,$A197,$G$3)&amp;"",1)="⚠",INDEX(인턴근무계획!$M$3:$R$402,$A197,$G$3)&amp;"",LEFT(INDEX(인턴근무계획!$M$3:$R$402,$A197,$G$3)&amp;"",FIND(" ",INDEX(인턴근무계획!$M$3:$R$402,$A197,$G$3)&amp;"")-1))))</f>
        <v/>
      </c>
      <c r="H197" s="23">
        <f>IF(OR($C197="",$G$3=""),"",IF(INDEX(인턴근무계획!$M$3:$R$402,$A197,$G$3)&amp;""="","",IF(LEFT(INDEX(인턴근무계획!$M$3:$R$402,$A197,$G$3)&amp;"",1)="⚠","",MID(INDEX(인턴근무계획!$M$3:$R$402,$A197,$G$3)&amp;"",FIND(" ",INDEX(인턴근무계획!$M$3:$R$402,$A197,$G$3)&amp;"")+1,60))))</f>
        <v/>
      </c>
      <c r="I197" s="23">
        <f>IF(OR($C197="",$I$3=""),"",IF(INDEX(인턴근무계획!$M$3:$R$402,$A197,$I$3)&amp;""="","",IF(LEFT(INDEX(인턴근무계획!$M$3:$R$402,$A197,$I$3)&amp;"",1)="⚠",INDEX(인턴근무계획!$M$3:$R$402,$A197,$I$3)&amp;"",LEFT(INDEX(인턴근무계획!$M$3:$R$402,$A197,$I$3)&amp;"",FIND(" ",INDEX(인턴근무계획!$M$3:$R$402,$A197,$I$3)&amp;"")-1))))</f>
        <v/>
      </c>
      <c r="J197" s="23">
        <f>IF(OR($C197="",$I$3=""),"",IF(INDEX(인턴근무계획!$M$3:$R$402,$A197,$I$3)&amp;""="","",IF(LEFT(INDEX(인턴근무계획!$M$3:$R$402,$A197,$I$3)&amp;"",1)="⚠","",MID(INDEX(인턴근무계획!$M$3:$R$402,$A197,$I$3)&amp;"",FIND(" ",INDEX(인턴근무계획!$M$3:$R$402,$A197,$I$3)&amp;"")+1,60))))</f>
        <v/>
      </c>
      <c r="K197" s="23">
        <f>IF($C197="","",INDEX(인턴근무계획!$M$3:$M$402,$A197)&amp;"")</f>
        <v/>
      </c>
      <c r="L197" s="23">
        <f>IF($C197="","",INDEX(인턴근무계획!$N$3:$N$402,$A197)&amp;"")</f>
        <v/>
      </c>
      <c r="M197" s="23">
        <f>IF($C197="","",INDEX(인턴근무계획!$O$3:$O$402,$A197)&amp;"")</f>
        <v/>
      </c>
      <c r="N197" s="23">
        <f>IF($C197="","",INDEX(인턴근무계획!$P$3:$P$402,$A197)&amp;"")</f>
        <v/>
      </c>
      <c r="O197" s="23">
        <f>IF($C197="","",INDEX(인턴근무계획!$Q$3:$Q$402,$A197)&amp;"")</f>
        <v/>
      </c>
      <c r="P197" s="23">
        <f>IF($C197="","",INDEX(인턴근무계획!$R$3:$R$402,$A197)&amp;"")</f>
        <v/>
      </c>
      <c r="Q197" s="23">
        <f>IF($C197="","",INDEX(인턴근무계획!$T$3:$T$402,$A197))</f>
        <v/>
      </c>
    </row>
    <row r="198">
      <c r="A198" s="26" t="n">
        <v>193</v>
      </c>
      <c r="B198" s="23">
        <f>IF($C198="","",INDEX(인턴근무계획!$B$3:$B$402,$A198))</f>
        <v/>
      </c>
      <c r="C198" s="23">
        <f>IFERROR(TRIM(INDEX(인턴근무계획!$C$3:$C$402,$A198)&amp;""),"")</f>
        <v/>
      </c>
      <c r="D198" s="23">
        <f>IF($C198="","",INDEX(인턴근무계획!$D$3:$D$402,$A198))</f>
        <v/>
      </c>
      <c r="E198" s="23">
        <f>IF($C198="","",IF(IFERROR(MATCH($D198,기본자료!$B$2:$B$1001,0),IFERROR(MATCH($D198&amp;"",기본자료!$B$2:$B$1001,0),IFERROR(MATCH(VALUE($D198),기본자료!$B$2:$B$1001,0),0)))&gt;0,"확인","미등록"))</f>
        <v/>
      </c>
      <c r="F198" s="27">
        <f>IF($C198="","",INDEX(인턴근무계획!$S$3:$S$402,$A198))</f>
        <v/>
      </c>
      <c r="G198" s="23">
        <f>IF(OR($C198="",$G$3=""),"",IF(INDEX(인턴근무계획!$M$3:$R$402,$A198,$G$3)&amp;""="","",IF(LEFT(INDEX(인턴근무계획!$M$3:$R$402,$A198,$G$3)&amp;"",1)="⚠",INDEX(인턴근무계획!$M$3:$R$402,$A198,$G$3)&amp;"",LEFT(INDEX(인턴근무계획!$M$3:$R$402,$A198,$G$3)&amp;"",FIND(" ",INDEX(인턴근무계획!$M$3:$R$402,$A198,$G$3)&amp;"")-1))))</f>
        <v/>
      </c>
      <c r="H198" s="23">
        <f>IF(OR($C198="",$G$3=""),"",IF(INDEX(인턴근무계획!$M$3:$R$402,$A198,$G$3)&amp;""="","",IF(LEFT(INDEX(인턴근무계획!$M$3:$R$402,$A198,$G$3)&amp;"",1)="⚠","",MID(INDEX(인턴근무계획!$M$3:$R$402,$A198,$G$3)&amp;"",FIND(" ",INDEX(인턴근무계획!$M$3:$R$402,$A198,$G$3)&amp;"")+1,60))))</f>
        <v/>
      </c>
      <c r="I198" s="23">
        <f>IF(OR($C198="",$I$3=""),"",IF(INDEX(인턴근무계획!$M$3:$R$402,$A198,$I$3)&amp;""="","",IF(LEFT(INDEX(인턴근무계획!$M$3:$R$402,$A198,$I$3)&amp;"",1)="⚠",INDEX(인턴근무계획!$M$3:$R$402,$A198,$I$3)&amp;"",LEFT(INDEX(인턴근무계획!$M$3:$R$402,$A198,$I$3)&amp;"",FIND(" ",INDEX(인턴근무계획!$M$3:$R$402,$A198,$I$3)&amp;"")-1))))</f>
        <v/>
      </c>
      <c r="J198" s="23">
        <f>IF(OR($C198="",$I$3=""),"",IF(INDEX(인턴근무계획!$M$3:$R$402,$A198,$I$3)&amp;""="","",IF(LEFT(INDEX(인턴근무계획!$M$3:$R$402,$A198,$I$3)&amp;"",1)="⚠","",MID(INDEX(인턴근무계획!$M$3:$R$402,$A198,$I$3)&amp;"",FIND(" ",INDEX(인턴근무계획!$M$3:$R$402,$A198,$I$3)&amp;"")+1,60))))</f>
        <v/>
      </c>
      <c r="K198" s="23">
        <f>IF($C198="","",INDEX(인턴근무계획!$M$3:$M$402,$A198)&amp;"")</f>
        <v/>
      </c>
      <c r="L198" s="23">
        <f>IF($C198="","",INDEX(인턴근무계획!$N$3:$N$402,$A198)&amp;"")</f>
        <v/>
      </c>
      <c r="M198" s="23">
        <f>IF($C198="","",INDEX(인턴근무계획!$O$3:$O$402,$A198)&amp;"")</f>
        <v/>
      </c>
      <c r="N198" s="23">
        <f>IF($C198="","",INDEX(인턴근무계획!$P$3:$P$402,$A198)&amp;"")</f>
        <v/>
      </c>
      <c r="O198" s="23">
        <f>IF($C198="","",INDEX(인턴근무계획!$Q$3:$Q$402,$A198)&amp;"")</f>
        <v/>
      </c>
      <c r="P198" s="23">
        <f>IF($C198="","",INDEX(인턴근무계획!$R$3:$R$402,$A198)&amp;"")</f>
        <v/>
      </c>
      <c r="Q198" s="23">
        <f>IF($C198="","",INDEX(인턴근무계획!$T$3:$T$402,$A198))</f>
        <v/>
      </c>
    </row>
    <row r="199">
      <c r="A199" s="26" t="n">
        <v>194</v>
      </c>
      <c r="B199" s="23">
        <f>IF($C199="","",INDEX(인턴근무계획!$B$3:$B$402,$A199))</f>
        <v/>
      </c>
      <c r="C199" s="23">
        <f>IFERROR(TRIM(INDEX(인턴근무계획!$C$3:$C$402,$A199)&amp;""),"")</f>
        <v/>
      </c>
      <c r="D199" s="23">
        <f>IF($C199="","",INDEX(인턴근무계획!$D$3:$D$402,$A199))</f>
        <v/>
      </c>
      <c r="E199" s="23">
        <f>IF($C199="","",IF(IFERROR(MATCH($D199,기본자료!$B$2:$B$1001,0),IFERROR(MATCH($D199&amp;"",기본자료!$B$2:$B$1001,0),IFERROR(MATCH(VALUE($D199),기본자료!$B$2:$B$1001,0),0)))&gt;0,"확인","미등록"))</f>
        <v/>
      </c>
      <c r="F199" s="27">
        <f>IF($C199="","",INDEX(인턴근무계획!$S$3:$S$402,$A199))</f>
        <v/>
      </c>
      <c r="G199" s="23">
        <f>IF(OR($C199="",$G$3=""),"",IF(INDEX(인턴근무계획!$M$3:$R$402,$A199,$G$3)&amp;""="","",IF(LEFT(INDEX(인턴근무계획!$M$3:$R$402,$A199,$G$3)&amp;"",1)="⚠",INDEX(인턴근무계획!$M$3:$R$402,$A199,$G$3)&amp;"",LEFT(INDEX(인턴근무계획!$M$3:$R$402,$A199,$G$3)&amp;"",FIND(" ",INDEX(인턴근무계획!$M$3:$R$402,$A199,$G$3)&amp;"")-1))))</f>
        <v/>
      </c>
      <c r="H199" s="23">
        <f>IF(OR($C199="",$G$3=""),"",IF(INDEX(인턴근무계획!$M$3:$R$402,$A199,$G$3)&amp;""="","",IF(LEFT(INDEX(인턴근무계획!$M$3:$R$402,$A199,$G$3)&amp;"",1)="⚠","",MID(INDEX(인턴근무계획!$M$3:$R$402,$A199,$G$3)&amp;"",FIND(" ",INDEX(인턴근무계획!$M$3:$R$402,$A199,$G$3)&amp;"")+1,60))))</f>
        <v/>
      </c>
      <c r="I199" s="23">
        <f>IF(OR($C199="",$I$3=""),"",IF(INDEX(인턴근무계획!$M$3:$R$402,$A199,$I$3)&amp;""="","",IF(LEFT(INDEX(인턴근무계획!$M$3:$R$402,$A199,$I$3)&amp;"",1)="⚠",INDEX(인턴근무계획!$M$3:$R$402,$A199,$I$3)&amp;"",LEFT(INDEX(인턴근무계획!$M$3:$R$402,$A199,$I$3)&amp;"",FIND(" ",INDEX(인턴근무계획!$M$3:$R$402,$A199,$I$3)&amp;"")-1))))</f>
        <v/>
      </c>
      <c r="J199" s="23">
        <f>IF(OR($C199="",$I$3=""),"",IF(INDEX(인턴근무계획!$M$3:$R$402,$A199,$I$3)&amp;""="","",IF(LEFT(INDEX(인턴근무계획!$M$3:$R$402,$A199,$I$3)&amp;"",1)="⚠","",MID(INDEX(인턴근무계획!$M$3:$R$402,$A199,$I$3)&amp;"",FIND(" ",INDEX(인턴근무계획!$M$3:$R$402,$A199,$I$3)&amp;"")+1,60))))</f>
        <v/>
      </c>
      <c r="K199" s="23">
        <f>IF($C199="","",INDEX(인턴근무계획!$M$3:$M$402,$A199)&amp;"")</f>
        <v/>
      </c>
      <c r="L199" s="23">
        <f>IF($C199="","",INDEX(인턴근무계획!$N$3:$N$402,$A199)&amp;"")</f>
        <v/>
      </c>
      <c r="M199" s="23">
        <f>IF($C199="","",INDEX(인턴근무계획!$O$3:$O$402,$A199)&amp;"")</f>
        <v/>
      </c>
      <c r="N199" s="23">
        <f>IF($C199="","",INDEX(인턴근무계획!$P$3:$P$402,$A199)&amp;"")</f>
        <v/>
      </c>
      <c r="O199" s="23">
        <f>IF($C199="","",INDEX(인턴근무계획!$Q$3:$Q$402,$A199)&amp;"")</f>
        <v/>
      </c>
      <c r="P199" s="23">
        <f>IF($C199="","",INDEX(인턴근무계획!$R$3:$R$402,$A199)&amp;"")</f>
        <v/>
      </c>
      <c r="Q199" s="23">
        <f>IF($C199="","",INDEX(인턴근무계획!$T$3:$T$402,$A199))</f>
        <v/>
      </c>
    </row>
    <row r="200">
      <c r="A200" s="26" t="n">
        <v>195</v>
      </c>
      <c r="B200" s="23">
        <f>IF($C200="","",INDEX(인턴근무계획!$B$3:$B$402,$A200))</f>
        <v/>
      </c>
      <c r="C200" s="23">
        <f>IFERROR(TRIM(INDEX(인턴근무계획!$C$3:$C$402,$A200)&amp;""),"")</f>
        <v/>
      </c>
      <c r="D200" s="23">
        <f>IF($C200="","",INDEX(인턴근무계획!$D$3:$D$402,$A200))</f>
        <v/>
      </c>
      <c r="E200" s="23">
        <f>IF($C200="","",IF(IFERROR(MATCH($D200,기본자료!$B$2:$B$1001,0),IFERROR(MATCH($D200&amp;"",기본자료!$B$2:$B$1001,0),IFERROR(MATCH(VALUE($D200),기본자료!$B$2:$B$1001,0),0)))&gt;0,"확인","미등록"))</f>
        <v/>
      </c>
      <c r="F200" s="27">
        <f>IF($C200="","",INDEX(인턴근무계획!$S$3:$S$402,$A200))</f>
        <v/>
      </c>
      <c r="G200" s="23">
        <f>IF(OR($C200="",$G$3=""),"",IF(INDEX(인턴근무계획!$M$3:$R$402,$A200,$G$3)&amp;""="","",IF(LEFT(INDEX(인턴근무계획!$M$3:$R$402,$A200,$G$3)&amp;"",1)="⚠",INDEX(인턴근무계획!$M$3:$R$402,$A200,$G$3)&amp;"",LEFT(INDEX(인턴근무계획!$M$3:$R$402,$A200,$G$3)&amp;"",FIND(" ",INDEX(인턴근무계획!$M$3:$R$402,$A200,$G$3)&amp;"")-1))))</f>
        <v/>
      </c>
      <c r="H200" s="23">
        <f>IF(OR($C200="",$G$3=""),"",IF(INDEX(인턴근무계획!$M$3:$R$402,$A200,$G$3)&amp;""="","",IF(LEFT(INDEX(인턴근무계획!$M$3:$R$402,$A200,$G$3)&amp;"",1)="⚠","",MID(INDEX(인턴근무계획!$M$3:$R$402,$A200,$G$3)&amp;"",FIND(" ",INDEX(인턴근무계획!$M$3:$R$402,$A200,$G$3)&amp;"")+1,60))))</f>
        <v/>
      </c>
      <c r="I200" s="23">
        <f>IF(OR($C200="",$I$3=""),"",IF(INDEX(인턴근무계획!$M$3:$R$402,$A200,$I$3)&amp;""="","",IF(LEFT(INDEX(인턴근무계획!$M$3:$R$402,$A200,$I$3)&amp;"",1)="⚠",INDEX(인턴근무계획!$M$3:$R$402,$A200,$I$3)&amp;"",LEFT(INDEX(인턴근무계획!$M$3:$R$402,$A200,$I$3)&amp;"",FIND(" ",INDEX(인턴근무계획!$M$3:$R$402,$A200,$I$3)&amp;"")-1))))</f>
        <v/>
      </c>
      <c r="J200" s="23">
        <f>IF(OR($C200="",$I$3=""),"",IF(INDEX(인턴근무계획!$M$3:$R$402,$A200,$I$3)&amp;""="","",IF(LEFT(INDEX(인턴근무계획!$M$3:$R$402,$A200,$I$3)&amp;"",1)="⚠","",MID(INDEX(인턴근무계획!$M$3:$R$402,$A200,$I$3)&amp;"",FIND(" ",INDEX(인턴근무계획!$M$3:$R$402,$A200,$I$3)&amp;"")+1,60))))</f>
        <v/>
      </c>
      <c r="K200" s="23">
        <f>IF($C200="","",INDEX(인턴근무계획!$M$3:$M$402,$A200)&amp;"")</f>
        <v/>
      </c>
      <c r="L200" s="23">
        <f>IF($C200="","",INDEX(인턴근무계획!$N$3:$N$402,$A200)&amp;"")</f>
        <v/>
      </c>
      <c r="M200" s="23">
        <f>IF($C200="","",INDEX(인턴근무계획!$O$3:$O$402,$A200)&amp;"")</f>
        <v/>
      </c>
      <c r="N200" s="23">
        <f>IF($C200="","",INDEX(인턴근무계획!$P$3:$P$402,$A200)&amp;"")</f>
        <v/>
      </c>
      <c r="O200" s="23">
        <f>IF($C200="","",INDEX(인턴근무계획!$Q$3:$Q$402,$A200)&amp;"")</f>
        <v/>
      </c>
      <c r="P200" s="23">
        <f>IF($C200="","",INDEX(인턴근무계획!$R$3:$R$402,$A200)&amp;"")</f>
        <v/>
      </c>
      <c r="Q200" s="23">
        <f>IF($C200="","",INDEX(인턴근무계획!$T$3:$T$402,$A200))</f>
        <v/>
      </c>
    </row>
    <row r="201">
      <c r="A201" s="26" t="n">
        <v>196</v>
      </c>
      <c r="B201" s="23">
        <f>IF($C201="","",INDEX(인턴근무계획!$B$3:$B$402,$A201))</f>
        <v/>
      </c>
      <c r="C201" s="23">
        <f>IFERROR(TRIM(INDEX(인턴근무계획!$C$3:$C$402,$A201)&amp;""),"")</f>
        <v/>
      </c>
      <c r="D201" s="23">
        <f>IF($C201="","",INDEX(인턴근무계획!$D$3:$D$402,$A201))</f>
        <v/>
      </c>
      <c r="E201" s="23">
        <f>IF($C201="","",IF(IFERROR(MATCH($D201,기본자료!$B$2:$B$1001,0),IFERROR(MATCH($D201&amp;"",기본자료!$B$2:$B$1001,0),IFERROR(MATCH(VALUE($D201),기본자료!$B$2:$B$1001,0),0)))&gt;0,"확인","미등록"))</f>
        <v/>
      </c>
      <c r="F201" s="27">
        <f>IF($C201="","",INDEX(인턴근무계획!$S$3:$S$402,$A201))</f>
        <v/>
      </c>
      <c r="G201" s="23">
        <f>IF(OR($C201="",$G$3=""),"",IF(INDEX(인턴근무계획!$M$3:$R$402,$A201,$G$3)&amp;""="","",IF(LEFT(INDEX(인턴근무계획!$M$3:$R$402,$A201,$G$3)&amp;"",1)="⚠",INDEX(인턴근무계획!$M$3:$R$402,$A201,$G$3)&amp;"",LEFT(INDEX(인턴근무계획!$M$3:$R$402,$A201,$G$3)&amp;"",FIND(" ",INDEX(인턴근무계획!$M$3:$R$402,$A201,$G$3)&amp;"")-1))))</f>
        <v/>
      </c>
      <c r="H201" s="23">
        <f>IF(OR($C201="",$G$3=""),"",IF(INDEX(인턴근무계획!$M$3:$R$402,$A201,$G$3)&amp;""="","",IF(LEFT(INDEX(인턴근무계획!$M$3:$R$402,$A201,$G$3)&amp;"",1)="⚠","",MID(INDEX(인턴근무계획!$M$3:$R$402,$A201,$G$3)&amp;"",FIND(" ",INDEX(인턴근무계획!$M$3:$R$402,$A201,$G$3)&amp;"")+1,60))))</f>
        <v/>
      </c>
      <c r="I201" s="23">
        <f>IF(OR($C201="",$I$3=""),"",IF(INDEX(인턴근무계획!$M$3:$R$402,$A201,$I$3)&amp;""="","",IF(LEFT(INDEX(인턴근무계획!$M$3:$R$402,$A201,$I$3)&amp;"",1)="⚠",INDEX(인턴근무계획!$M$3:$R$402,$A201,$I$3)&amp;"",LEFT(INDEX(인턴근무계획!$M$3:$R$402,$A201,$I$3)&amp;"",FIND(" ",INDEX(인턴근무계획!$M$3:$R$402,$A201,$I$3)&amp;"")-1))))</f>
        <v/>
      </c>
      <c r="J201" s="23">
        <f>IF(OR($C201="",$I$3=""),"",IF(INDEX(인턴근무계획!$M$3:$R$402,$A201,$I$3)&amp;""="","",IF(LEFT(INDEX(인턴근무계획!$M$3:$R$402,$A201,$I$3)&amp;"",1)="⚠","",MID(INDEX(인턴근무계획!$M$3:$R$402,$A201,$I$3)&amp;"",FIND(" ",INDEX(인턴근무계획!$M$3:$R$402,$A201,$I$3)&amp;"")+1,60))))</f>
        <v/>
      </c>
      <c r="K201" s="23">
        <f>IF($C201="","",INDEX(인턴근무계획!$M$3:$M$402,$A201)&amp;"")</f>
        <v/>
      </c>
      <c r="L201" s="23">
        <f>IF($C201="","",INDEX(인턴근무계획!$N$3:$N$402,$A201)&amp;"")</f>
        <v/>
      </c>
      <c r="M201" s="23">
        <f>IF($C201="","",INDEX(인턴근무계획!$O$3:$O$402,$A201)&amp;"")</f>
        <v/>
      </c>
      <c r="N201" s="23">
        <f>IF($C201="","",INDEX(인턴근무계획!$P$3:$P$402,$A201)&amp;"")</f>
        <v/>
      </c>
      <c r="O201" s="23">
        <f>IF($C201="","",INDEX(인턴근무계획!$Q$3:$Q$402,$A201)&amp;"")</f>
        <v/>
      </c>
      <c r="P201" s="23">
        <f>IF($C201="","",INDEX(인턴근무계획!$R$3:$R$402,$A201)&amp;"")</f>
        <v/>
      </c>
      <c r="Q201" s="23">
        <f>IF($C201="","",INDEX(인턴근무계획!$T$3:$T$402,$A201))</f>
        <v/>
      </c>
    </row>
    <row r="202">
      <c r="A202" s="26" t="n">
        <v>197</v>
      </c>
      <c r="B202" s="23">
        <f>IF($C202="","",INDEX(인턴근무계획!$B$3:$B$402,$A202))</f>
        <v/>
      </c>
      <c r="C202" s="23">
        <f>IFERROR(TRIM(INDEX(인턴근무계획!$C$3:$C$402,$A202)&amp;""),"")</f>
        <v/>
      </c>
      <c r="D202" s="23">
        <f>IF($C202="","",INDEX(인턴근무계획!$D$3:$D$402,$A202))</f>
        <v/>
      </c>
      <c r="E202" s="23">
        <f>IF($C202="","",IF(IFERROR(MATCH($D202,기본자료!$B$2:$B$1001,0),IFERROR(MATCH($D202&amp;"",기본자료!$B$2:$B$1001,0),IFERROR(MATCH(VALUE($D202),기본자료!$B$2:$B$1001,0),0)))&gt;0,"확인","미등록"))</f>
        <v/>
      </c>
      <c r="F202" s="27">
        <f>IF($C202="","",INDEX(인턴근무계획!$S$3:$S$402,$A202))</f>
        <v/>
      </c>
      <c r="G202" s="23">
        <f>IF(OR($C202="",$G$3=""),"",IF(INDEX(인턴근무계획!$M$3:$R$402,$A202,$G$3)&amp;""="","",IF(LEFT(INDEX(인턴근무계획!$M$3:$R$402,$A202,$G$3)&amp;"",1)="⚠",INDEX(인턴근무계획!$M$3:$R$402,$A202,$G$3)&amp;"",LEFT(INDEX(인턴근무계획!$M$3:$R$402,$A202,$G$3)&amp;"",FIND(" ",INDEX(인턴근무계획!$M$3:$R$402,$A202,$G$3)&amp;"")-1))))</f>
        <v/>
      </c>
      <c r="H202" s="23">
        <f>IF(OR($C202="",$G$3=""),"",IF(INDEX(인턴근무계획!$M$3:$R$402,$A202,$G$3)&amp;""="","",IF(LEFT(INDEX(인턴근무계획!$M$3:$R$402,$A202,$G$3)&amp;"",1)="⚠","",MID(INDEX(인턴근무계획!$M$3:$R$402,$A202,$G$3)&amp;"",FIND(" ",INDEX(인턴근무계획!$M$3:$R$402,$A202,$G$3)&amp;"")+1,60))))</f>
        <v/>
      </c>
      <c r="I202" s="23">
        <f>IF(OR($C202="",$I$3=""),"",IF(INDEX(인턴근무계획!$M$3:$R$402,$A202,$I$3)&amp;""="","",IF(LEFT(INDEX(인턴근무계획!$M$3:$R$402,$A202,$I$3)&amp;"",1)="⚠",INDEX(인턴근무계획!$M$3:$R$402,$A202,$I$3)&amp;"",LEFT(INDEX(인턴근무계획!$M$3:$R$402,$A202,$I$3)&amp;"",FIND(" ",INDEX(인턴근무계획!$M$3:$R$402,$A202,$I$3)&amp;"")-1))))</f>
        <v/>
      </c>
      <c r="J202" s="23">
        <f>IF(OR($C202="",$I$3=""),"",IF(INDEX(인턴근무계획!$M$3:$R$402,$A202,$I$3)&amp;""="","",IF(LEFT(INDEX(인턴근무계획!$M$3:$R$402,$A202,$I$3)&amp;"",1)="⚠","",MID(INDEX(인턴근무계획!$M$3:$R$402,$A202,$I$3)&amp;"",FIND(" ",INDEX(인턴근무계획!$M$3:$R$402,$A202,$I$3)&amp;"")+1,60))))</f>
        <v/>
      </c>
      <c r="K202" s="23">
        <f>IF($C202="","",INDEX(인턴근무계획!$M$3:$M$402,$A202)&amp;"")</f>
        <v/>
      </c>
      <c r="L202" s="23">
        <f>IF($C202="","",INDEX(인턴근무계획!$N$3:$N$402,$A202)&amp;"")</f>
        <v/>
      </c>
      <c r="M202" s="23">
        <f>IF($C202="","",INDEX(인턴근무계획!$O$3:$O$402,$A202)&amp;"")</f>
        <v/>
      </c>
      <c r="N202" s="23">
        <f>IF($C202="","",INDEX(인턴근무계획!$P$3:$P$402,$A202)&amp;"")</f>
        <v/>
      </c>
      <c r="O202" s="23">
        <f>IF($C202="","",INDEX(인턴근무계획!$Q$3:$Q$402,$A202)&amp;"")</f>
        <v/>
      </c>
      <c r="P202" s="23">
        <f>IF($C202="","",INDEX(인턴근무계획!$R$3:$R$402,$A202)&amp;"")</f>
        <v/>
      </c>
      <c r="Q202" s="23">
        <f>IF($C202="","",INDEX(인턴근무계획!$T$3:$T$402,$A202))</f>
        <v/>
      </c>
    </row>
    <row r="203">
      <c r="A203" s="26" t="n">
        <v>198</v>
      </c>
      <c r="B203" s="23">
        <f>IF($C203="","",INDEX(인턴근무계획!$B$3:$B$402,$A203))</f>
        <v/>
      </c>
      <c r="C203" s="23">
        <f>IFERROR(TRIM(INDEX(인턴근무계획!$C$3:$C$402,$A203)&amp;""),"")</f>
        <v/>
      </c>
      <c r="D203" s="23">
        <f>IF($C203="","",INDEX(인턴근무계획!$D$3:$D$402,$A203))</f>
        <v/>
      </c>
      <c r="E203" s="23">
        <f>IF($C203="","",IF(IFERROR(MATCH($D203,기본자료!$B$2:$B$1001,0),IFERROR(MATCH($D203&amp;"",기본자료!$B$2:$B$1001,0),IFERROR(MATCH(VALUE($D203),기본자료!$B$2:$B$1001,0),0)))&gt;0,"확인","미등록"))</f>
        <v/>
      </c>
      <c r="F203" s="27">
        <f>IF($C203="","",INDEX(인턴근무계획!$S$3:$S$402,$A203))</f>
        <v/>
      </c>
      <c r="G203" s="23">
        <f>IF(OR($C203="",$G$3=""),"",IF(INDEX(인턴근무계획!$M$3:$R$402,$A203,$G$3)&amp;""="","",IF(LEFT(INDEX(인턴근무계획!$M$3:$R$402,$A203,$G$3)&amp;"",1)="⚠",INDEX(인턴근무계획!$M$3:$R$402,$A203,$G$3)&amp;"",LEFT(INDEX(인턴근무계획!$M$3:$R$402,$A203,$G$3)&amp;"",FIND(" ",INDEX(인턴근무계획!$M$3:$R$402,$A203,$G$3)&amp;"")-1))))</f>
        <v/>
      </c>
      <c r="H203" s="23">
        <f>IF(OR($C203="",$G$3=""),"",IF(INDEX(인턴근무계획!$M$3:$R$402,$A203,$G$3)&amp;""="","",IF(LEFT(INDEX(인턴근무계획!$M$3:$R$402,$A203,$G$3)&amp;"",1)="⚠","",MID(INDEX(인턴근무계획!$M$3:$R$402,$A203,$G$3)&amp;"",FIND(" ",INDEX(인턴근무계획!$M$3:$R$402,$A203,$G$3)&amp;"")+1,60))))</f>
        <v/>
      </c>
      <c r="I203" s="23">
        <f>IF(OR($C203="",$I$3=""),"",IF(INDEX(인턴근무계획!$M$3:$R$402,$A203,$I$3)&amp;""="","",IF(LEFT(INDEX(인턴근무계획!$M$3:$R$402,$A203,$I$3)&amp;"",1)="⚠",INDEX(인턴근무계획!$M$3:$R$402,$A203,$I$3)&amp;"",LEFT(INDEX(인턴근무계획!$M$3:$R$402,$A203,$I$3)&amp;"",FIND(" ",INDEX(인턴근무계획!$M$3:$R$402,$A203,$I$3)&amp;"")-1))))</f>
        <v/>
      </c>
      <c r="J203" s="23">
        <f>IF(OR($C203="",$I$3=""),"",IF(INDEX(인턴근무계획!$M$3:$R$402,$A203,$I$3)&amp;""="","",IF(LEFT(INDEX(인턴근무계획!$M$3:$R$402,$A203,$I$3)&amp;"",1)="⚠","",MID(INDEX(인턴근무계획!$M$3:$R$402,$A203,$I$3)&amp;"",FIND(" ",INDEX(인턴근무계획!$M$3:$R$402,$A203,$I$3)&amp;"")+1,60))))</f>
        <v/>
      </c>
      <c r="K203" s="23">
        <f>IF($C203="","",INDEX(인턴근무계획!$M$3:$M$402,$A203)&amp;"")</f>
        <v/>
      </c>
      <c r="L203" s="23">
        <f>IF($C203="","",INDEX(인턴근무계획!$N$3:$N$402,$A203)&amp;"")</f>
        <v/>
      </c>
      <c r="M203" s="23">
        <f>IF($C203="","",INDEX(인턴근무계획!$O$3:$O$402,$A203)&amp;"")</f>
        <v/>
      </c>
      <c r="N203" s="23">
        <f>IF($C203="","",INDEX(인턴근무계획!$P$3:$P$402,$A203)&amp;"")</f>
        <v/>
      </c>
      <c r="O203" s="23">
        <f>IF($C203="","",INDEX(인턴근무계획!$Q$3:$Q$402,$A203)&amp;"")</f>
        <v/>
      </c>
      <c r="P203" s="23">
        <f>IF($C203="","",INDEX(인턴근무계획!$R$3:$R$402,$A203)&amp;"")</f>
        <v/>
      </c>
      <c r="Q203" s="23">
        <f>IF($C203="","",INDEX(인턴근무계획!$T$3:$T$402,$A203))</f>
        <v/>
      </c>
    </row>
    <row r="204">
      <c r="A204" s="26" t="n">
        <v>199</v>
      </c>
      <c r="B204" s="23">
        <f>IF($C204="","",INDEX(인턴근무계획!$B$3:$B$402,$A204))</f>
        <v/>
      </c>
      <c r="C204" s="23">
        <f>IFERROR(TRIM(INDEX(인턴근무계획!$C$3:$C$402,$A204)&amp;""),"")</f>
        <v/>
      </c>
      <c r="D204" s="23">
        <f>IF($C204="","",INDEX(인턴근무계획!$D$3:$D$402,$A204))</f>
        <v/>
      </c>
      <c r="E204" s="23">
        <f>IF($C204="","",IF(IFERROR(MATCH($D204,기본자료!$B$2:$B$1001,0),IFERROR(MATCH($D204&amp;"",기본자료!$B$2:$B$1001,0),IFERROR(MATCH(VALUE($D204),기본자료!$B$2:$B$1001,0),0)))&gt;0,"확인","미등록"))</f>
        <v/>
      </c>
      <c r="F204" s="27">
        <f>IF($C204="","",INDEX(인턴근무계획!$S$3:$S$402,$A204))</f>
        <v/>
      </c>
      <c r="G204" s="23">
        <f>IF(OR($C204="",$G$3=""),"",IF(INDEX(인턴근무계획!$M$3:$R$402,$A204,$G$3)&amp;""="","",IF(LEFT(INDEX(인턴근무계획!$M$3:$R$402,$A204,$G$3)&amp;"",1)="⚠",INDEX(인턴근무계획!$M$3:$R$402,$A204,$G$3)&amp;"",LEFT(INDEX(인턴근무계획!$M$3:$R$402,$A204,$G$3)&amp;"",FIND(" ",INDEX(인턴근무계획!$M$3:$R$402,$A204,$G$3)&amp;"")-1))))</f>
        <v/>
      </c>
      <c r="H204" s="23">
        <f>IF(OR($C204="",$G$3=""),"",IF(INDEX(인턴근무계획!$M$3:$R$402,$A204,$G$3)&amp;""="","",IF(LEFT(INDEX(인턴근무계획!$M$3:$R$402,$A204,$G$3)&amp;"",1)="⚠","",MID(INDEX(인턴근무계획!$M$3:$R$402,$A204,$G$3)&amp;"",FIND(" ",INDEX(인턴근무계획!$M$3:$R$402,$A204,$G$3)&amp;"")+1,60))))</f>
        <v/>
      </c>
      <c r="I204" s="23">
        <f>IF(OR($C204="",$I$3=""),"",IF(INDEX(인턴근무계획!$M$3:$R$402,$A204,$I$3)&amp;""="","",IF(LEFT(INDEX(인턴근무계획!$M$3:$R$402,$A204,$I$3)&amp;"",1)="⚠",INDEX(인턴근무계획!$M$3:$R$402,$A204,$I$3)&amp;"",LEFT(INDEX(인턴근무계획!$M$3:$R$402,$A204,$I$3)&amp;"",FIND(" ",INDEX(인턴근무계획!$M$3:$R$402,$A204,$I$3)&amp;"")-1))))</f>
        <v/>
      </c>
      <c r="J204" s="23">
        <f>IF(OR($C204="",$I$3=""),"",IF(INDEX(인턴근무계획!$M$3:$R$402,$A204,$I$3)&amp;""="","",IF(LEFT(INDEX(인턴근무계획!$M$3:$R$402,$A204,$I$3)&amp;"",1)="⚠","",MID(INDEX(인턴근무계획!$M$3:$R$402,$A204,$I$3)&amp;"",FIND(" ",INDEX(인턴근무계획!$M$3:$R$402,$A204,$I$3)&amp;"")+1,60))))</f>
        <v/>
      </c>
      <c r="K204" s="23">
        <f>IF($C204="","",INDEX(인턴근무계획!$M$3:$M$402,$A204)&amp;"")</f>
        <v/>
      </c>
      <c r="L204" s="23">
        <f>IF($C204="","",INDEX(인턴근무계획!$N$3:$N$402,$A204)&amp;"")</f>
        <v/>
      </c>
      <c r="M204" s="23">
        <f>IF($C204="","",INDEX(인턴근무계획!$O$3:$O$402,$A204)&amp;"")</f>
        <v/>
      </c>
      <c r="N204" s="23">
        <f>IF($C204="","",INDEX(인턴근무계획!$P$3:$P$402,$A204)&amp;"")</f>
        <v/>
      </c>
      <c r="O204" s="23">
        <f>IF($C204="","",INDEX(인턴근무계획!$Q$3:$Q$402,$A204)&amp;"")</f>
        <v/>
      </c>
      <c r="P204" s="23">
        <f>IF($C204="","",INDEX(인턴근무계획!$R$3:$R$402,$A204)&amp;"")</f>
        <v/>
      </c>
      <c r="Q204" s="23">
        <f>IF($C204="","",INDEX(인턴근무계획!$T$3:$T$402,$A204))</f>
        <v/>
      </c>
    </row>
    <row r="205">
      <c r="A205" s="26" t="n">
        <v>200</v>
      </c>
      <c r="B205" s="23">
        <f>IF($C205="","",INDEX(인턴근무계획!$B$3:$B$402,$A205))</f>
        <v/>
      </c>
      <c r="C205" s="23">
        <f>IFERROR(TRIM(INDEX(인턴근무계획!$C$3:$C$402,$A205)&amp;""),"")</f>
        <v/>
      </c>
      <c r="D205" s="23">
        <f>IF($C205="","",INDEX(인턴근무계획!$D$3:$D$402,$A205))</f>
        <v/>
      </c>
      <c r="E205" s="23">
        <f>IF($C205="","",IF(IFERROR(MATCH($D205,기본자료!$B$2:$B$1001,0),IFERROR(MATCH($D205&amp;"",기본자료!$B$2:$B$1001,0),IFERROR(MATCH(VALUE($D205),기본자료!$B$2:$B$1001,0),0)))&gt;0,"확인","미등록"))</f>
        <v/>
      </c>
      <c r="F205" s="27">
        <f>IF($C205="","",INDEX(인턴근무계획!$S$3:$S$402,$A205))</f>
        <v/>
      </c>
      <c r="G205" s="23">
        <f>IF(OR($C205="",$G$3=""),"",IF(INDEX(인턴근무계획!$M$3:$R$402,$A205,$G$3)&amp;""="","",IF(LEFT(INDEX(인턴근무계획!$M$3:$R$402,$A205,$G$3)&amp;"",1)="⚠",INDEX(인턴근무계획!$M$3:$R$402,$A205,$G$3)&amp;"",LEFT(INDEX(인턴근무계획!$M$3:$R$402,$A205,$G$3)&amp;"",FIND(" ",INDEX(인턴근무계획!$M$3:$R$402,$A205,$G$3)&amp;"")-1))))</f>
        <v/>
      </c>
      <c r="H205" s="23">
        <f>IF(OR($C205="",$G$3=""),"",IF(INDEX(인턴근무계획!$M$3:$R$402,$A205,$G$3)&amp;""="","",IF(LEFT(INDEX(인턴근무계획!$M$3:$R$402,$A205,$G$3)&amp;"",1)="⚠","",MID(INDEX(인턴근무계획!$M$3:$R$402,$A205,$G$3)&amp;"",FIND(" ",INDEX(인턴근무계획!$M$3:$R$402,$A205,$G$3)&amp;"")+1,60))))</f>
        <v/>
      </c>
      <c r="I205" s="23">
        <f>IF(OR($C205="",$I$3=""),"",IF(INDEX(인턴근무계획!$M$3:$R$402,$A205,$I$3)&amp;""="","",IF(LEFT(INDEX(인턴근무계획!$M$3:$R$402,$A205,$I$3)&amp;"",1)="⚠",INDEX(인턴근무계획!$M$3:$R$402,$A205,$I$3)&amp;"",LEFT(INDEX(인턴근무계획!$M$3:$R$402,$A205,$I$3)&amp;"",FIND(" ",INDEX(인턴근무계획!$M$3:$R$402,$A205,$I$3)&amp;"")-1))))</f>
        <v/>
      </c>
      <c r="J205" s="23">
        <f>IF(OR($C205="",$I$3=""),"",IF(INDEX(인턴근무계획!$M$3:$R$402,$A205,$I$3)&amp;""="","",IF(LEFT(INDEX(인턴근무계획!$M$3:$R$402,$A205,$I$3)&amp;"",1)="⚠","",MID(INDEX(인턴근무계획!$M$3:$R$402,$A205,$I$3)&amp;"",FIND(" ",INDEX(인턴근무계획!$M$3:$R$402,$A205,$I$3)&amp;"")+1,60))))</f>
        <v/>
      </c>
      <c r="K205" s="23">
        <f>IF($C205="","",INDEX(인턴근무계획!$M$3:$M$402,$A205)&amp;"")</f>
        <v/>
      </c>
      <c r="L205" s="23">
        <f>IF($C205="","",INDEX(인턴근무계획!$N$3:$N$402,$A205)&amp;"")</f>
        <v/>
      </c>
      <c r="M205" s="23">
        <f>IF($C205="","",INDEX(인턴근무계획!$O$3:$O$402,$A205)&amp;"")</f>
        <v/>
      </c>
      <c r="N205" s="23">
        <f>IF($C205="","",INDEX(인턴근무계획!$P$3:$P$402,$A205)&amp;"")</f>
        <v/>
      </c>
      <c r="O205" s="23">
        <f>IF($C205="","",INDEX(인턴근무계획!$Q$3:$Q$402,$A205)&amp;"")</f>
        <v/>
      </c>
      <c r="P205" s="23">
        <f>IF($C205="","",INDEX(인턴근무계획!$R$3:$R$402,$A205)&amp;"")</f>
        <v/>
      </c>
      <c r="Q205" s="23">
        <f>IF($C205="","",INDEX(인턴근무계획!$T$3:$T$402,$A205))</f>
        <v/>
      </c>
    </row>
    <row r="206">
      <c r="A206" s="26" t="n">
        <v>201</v>
      </c>
      <c r="B206" s="23">
        <f>IF($C206="","",INDEX(인턴근무계획!$B$3:$B$402,$A206))</f>
        <v/>
      </c>
      <c r="C206" s="23">
        <f>IFERROR(TRIM(INDEX(인턴근무계획!$C$3:$C$402,$A206)&amp;""),"")</f>
        <v/>
      </c>
      <c r="D206" s="23">
        <f>IF($C206="","",INDEX(인턴근무계획!$D$3:$D$402,$A206))</f>
        <v/>
      </c>
      <c r="E206" s="23">
        <f>IF($C206="","",IF(IFERROR(MATCH($D206,기본자료!$B$2:$B$1001,0),IFERROR(MATCH($D206&amp;"",기본자료!$B$2:$B$1001,0),IFERROR(MATCH(VALUE($D206),기본자료!$B$2:$B$1001,0),0)))&gt;0,"확인","미등록"))</f>
        <v/>
      </c>
      <c r="F206" s="27">
        <f>IF($C206="","",INDEX(인턴근무계획!$S$3:$S$402,$A206))</f>
        <v/>
      </c>
      <c r="G206" s="23">
        <f>IF(OR($C206="",$G$3=""),"",IF(INDEX(인턴근무계획!$M$3:$R$402,$A206,$G$3)&amp;""="","",IF(LEFT(INDEX(인턴근무계획!$M$3:$R$402,$A206,$G$3)&amp;"",1)="⚠",INDEX(인턴근무계획!$M$3:$R$402,$A206,$G$3)&amp;"",LEFT(INDEX(인턴근무계획!$M$3:$R$402,$A206,$G$3)&amp;"",FIND(" ",INDEX(인턴근무계획!$M$3:$R$402,$A206,$G$3)&amp;"")-1))))</f>
        <v/>
      </c>
      <c r="H206" s="23">
        <f>IF(OR($C206="",$G$3=""),"",IF(INDEX(인턴근무계획!$M$3:$R$402,$A206,$G$3)&amp;""="","",IF(LEFT(INDEX(인턴근무계획!$M$3:$R$402,$A206,$G$3)&amp;"",1)="⚠","",MID(INDEX(인턴근무계획!$M$3:$R$402,$A206,$G$3)&amp;"",FIND(" ",INDEX(인턴근무계획!$M$3:$R$402,$A206,$G$3)&amp;"")+1,60))))</f>
        <v/>
      </c>
      <c r="I206" s="23">
        <f>IF(OR($C206="",$I$3=""),"",IF(INDEX(인턴근무계획!$M$3:$R$402,$A206,$I$3)&amp;""="","",IF(LEFT(INDEX(인턴근무계획!$M$3:$R$402,$A206,$I$3)&amp;"",1)="⚠",INDEX(인턴근무계획!$M$3:$R$402,$A206,$I$3)&amp;"",LEFT(INDEX(인턴근무계획!$M$3:$R$402,$A206,$I$3)&amp;"",FIND(" ",INDEX(인턴근무계획!$M$3:$R$402,$A206,$I$3)&amp;"")-1))))</f>
        <v/>
      </c>
      <c r="J206" s="23">
        <f>IF(OR($C206="",$I$3=""),"",IF(INDEX(인턴근무계획!$M$3:$R$402,$A206,$I$3)&amp;""="","",IF(LEFT(INDEX(인턴근무계획!$M$3:$R$402,$A206,$I$3)&amp;"",1)="⚠","",MID(INDEX(인턴근무계획!$M$3:$R$402,$A206,$I$3)&amp;"",FIND(" ",INDEX(인턴근무계획!$M$3:$R$402,$A206,$I$3)&amp;"")+1,60))))</f>
        <v/>
      </c>
      <c r="K206" s="23">
        <f>IF($C206="","",INDEX(인턴근무계획!$M$3:$M$402,$A206)&amp;"")</f>
        <v/>
      </c>
      <c r="L206" s="23">
        <f>IF($C206="","",INDEX(인턴근무계획!$N$3:$N$402,$A206)&amp;"")</f>
        <v/>
      </c>
      <c r="M206" s="23">
        <f>IF($C206="","",INDEX(인턴근무계획!$O$3:$O$402,$A206)&amp;"")</f>
        <v/>
      </c>
      <c r="N206" s="23">
        <f>IF($C206="","",INDEX(인턴근무계획!$P$3:$P$402,$A206)&amp;"")</f>
        <v/>
      </c>
      <c r="O206" s="23">
        <f>IF($C206="","",INDEX(인턴근무계획!$Q$3:$Q$402,$A206)&amp;"")</f>
        <v/>
      </c>
      <c r="P206" s="23">
        <f>IF($C206="","",INDEX(인턴근무계획!$R$3:$R$402,$A206)&amp;"")</f>
        <v/>
      </c>
      <c r="Q206" s="23">
        <f>IF($C206="","",INDEX(인턴근무계획!$T$3:$T$402,$A206))</f>
        <v/>
      </c>
    </row>
    <row r="207">
      <c r="A207" s="26" t="n">
        <v>202</v>
      </c>
      <c r="B207" s="23">
        <f>IF($C207="","",INDEX(인턴근무계획!$B$3:$B$402,$A207))</f>
        <v/>
      </c>
      <c r="C207" s="23">
        <f>IFERROR(TRIM(INDEX(인턴근무계획!$C$3:$C$402,$A207)&amp;""),"")</f>
        <v/>
      </c>
      <c r="D207" s="23">
        <f>IF($C207="","",INDEX(인턴근무계획!$D$3:$D$402,$A207))</f>
        <v/>
      </c>
      <c r="E207" s="23">
        <f>IF($C207="","",IF(IFERROR(MATCH($D207,기본자료!$B$2:$B$1001,0),IFERROR(MATCH($D207&amp;"",기본자료!$B$2:$B$1001,0),IFERROR(MATCH(VALUE($D207),기본자료!$B$2:$B$1001,0),0)))&gt;0,"확인","미등록"))</f>
        <v/>
      </c>
      <c r="F207" s="27">
        <f>IF($C207="","",INDEX(인턴근무계획!$S$3:$S$402,$A207))</f>
        <v/>
      </c>
      <c r="G207" s="23">
        <f>IF(OR($C207="",$G$3=""),"",IF(INDEX(인턴근무계획!$M$3:$R$402,$A207,$G$3)&amp;""="","",IF(LEFT(INDEX(인턴근무계획!$M$3:$R$402,$A207,$G$3)&amp;"",1)="⚠",INDEX(인턴근무계획!$M$3:$R$402,$A207,$G$3)&amp;"",LEFT(INDEX(인턴근무계획!$M$3:$R$402,$A207,$G$3)&amp;"",FIND(" ",INDEX(인턴근무계획!$M$3:$R$402,$A207,$G$3)&amp;"")-1))))</f>
        <v/>
      </c>
      <c r="H207" s="23">
        <f>IF(OR($C207="",$G$3=""),"",IF(INDEX(인턴근무계획!$M$3:$R$402,$A207,$G$3)&amp;""="","",IF(LEFT(INDEX(인턴근무계획!$M$3:$R$402,$A207,$G$3)&amp;"",1)="⚠","",MID(INDEX(인턴근무계획!$M$3:$R$402,$A207,$G$3)&amp;"",FIND(" ",INDEX(인턴근무계획!$M$3:$R$402,$A207,$G$3)&amp;"")+1,60))))</f>
        <v/>
      </c>
      <c r="I207" s="23">
        <f>IF(OR($C207="",$I$3=""),"",IF(INDEX(인턴근무계획!$M$3:$R$402,$A207,$I$3)&amp;""="","",IF(LEFT(INDEX(인턴근무계획!$M$3:$R$402,$A207,$I$3)&amp;"",1)="⚠",INDEX(인턴근무계획!$M$3:$R$402,$A207,$I$3)&amp;"",LEFT(INDEX(인턴근무계획!$M$3:$R$402,$A207,$I$3)&amp;"",FIND(" ",INDEX(인턴근무계획!$M$3:$R$402,$A207,$I$3)&amp;"")-1))))</f>
        <v/>
      </c>
      <c r="J207" s="23">
        <f>IF(OR($C207="",$I$3=""),"",IF(INDEX(인턴근무계획!$M$3:$R$402,$A207,$I$3)&amp;""="","",IF(LEFT(INDEX(인턴근무계획!$M$3:$R$402,$A207,$I$3)&amp;"",1)="⚠","",MID(INDEX(인턴근무계획!$M$3:$R$402,$A207,$I$3)&amp;"",FIND(" ",INDEX(인턴근무계획!$M$3:$R$402,$A207,$I$3)&amp;"")+1,60))))</f>
        <v/>
      </c>
      <c r="K207" s="23">
        <f>IF($C207="","",INDEX(인턴근무계획!$M$3:$M$402,$A207)&amp;"")</f>
        <v/>
      </c>
      <c r="L207" s="23">
        <f>IF($C207="","",INDEX(인턴근무계획!$N$3:$N$402,$A207)&amp;"")</f>
        <v/>
      </c>
      <c r="M207" s="23">
        <f>IF($C207="","",INDEX(인턴근무계획!$O$3:$O$402,$A207)&amp;"")</f>
        <v/>
      </c>
      <c r="N207" s="23">
        <f>IF($C207="","",INDEX(인턴근무계획!$P$3:$P$402,$A207)&amp;"")</f>
        <v/>
      </c>
      <c r="O207" s="23">
        <f>IF($C207="","",INDEX(인턴근무계획!$Q$3:$Q$402,$A207)&amp;"")</f>
        <v/>
      </c>
      <c r="P207" s="23">
        <f>IF($C207="","",INDEX(인턴근무계획!$R$3:$R$402,$A207)&amp;"")</f>
        <v/>
      </c>
      <c r="Q207" s="23">
        <f>IF($C207="","",INDEX(인턴근무계획!$T$3:$T$402,$A207))</f>
        <v/>
      </c>
    </row>
    <row r="208">
      <c r="A208" s="26" t="n">
        <v>203</v>
      </c>
      <c r="B208" s="23">
        <f>IF($C208="","",INDEX(인턴근무계획!$B$3:$B$402,$A208))</f>
        <v/>
      </c>
      <c r="C208" s="23">
        <f>IFERROR(TRIM(INDEX(인턴근무계획!$C$3:$C$402,$A208)&amp;""),"")</f>
        <v/>
      </c>
      <c r="D208" s="23">
        <f>IF($C208="","",INDEX(인턴근무계획!$D$3:$D$402,$A208))</f>
        <v/>
      </c>
      <c r="E208" s="23">
        <f>IF($C208="","",IF(IFERROR(MATCH($D208,기본자료!$B$2:$B$1001,0),IFERROR(MATCH($D208&amp;"",기본자료!$B$2:$B$1001,0),IFERROR(MATCH(VALUE($D208),기본자료!$B$2:$B$1001,0),0)))&gt;0,"확인","미등록"))</f>
        <v/>
      </c>
      <c r="F208" s="27">
        <f>IF($C208="","",INDEX(인턴근무계획!$S$3:$S$402,$A208))</f>
        <v/>
      </c>
      <c r="G208" s="23">
        <f>IF(OR($C208="",$G$3=""),"",IF(INDEX(인턴근무계획!$M$3:$R$402,$A208,$G$3)&amp;""="","",IF(LEFT(INDEX(인턴근무계획!$M$3:$R$402,$A208,$G$3)&amp;"",1)="⚠",INDEX(인턴근무계획!$M$3:$R$402,$A208,$G$3)&amp;"",LEFT(INDEX(인턴근무계획!$M$3:$R$402,$A208,$G$3)&amp;"",FIND(" ",INDEX(인턴근무계획!$M$3:$R$402,$A208,$G$3)&amp;"")-1))))</f>
        <v/>
      </c>
      <c r="H208" s="23">
        <f>IF(OR($C208="",$G$3=""),"",IF(INDEX(인턴근무계획!$M$3:$R$402,$A208,$G$3)&amp;""="","",IF(LEFT(INDEX(인턴근무계획!$M$3:$R$402,$A208,$G$3)&amp;"",1)="⚠","",MID(INDEX(인턴근무계획!$M$3:$R$402,$A208,$G$3)&amp;"",FIND(" ",INDEX(인턴근무계획!$M$3:$R$402,$A208,$G$3)&amp;"")+1,60))))</f>
        <v/>
      </c>
      <c r="I208" s="23">
        <f>IF(OR($C208="",$I$3=""),"",IF(INDEX(인턴근무계획!$M$3:$R$402,$A208,$I$3)&amp;""="","",IF(LEFT(INDEX(인턴근무계획!$M$3:$R$402,$A208,$I$3)&amp;"",1)="⚠",INDEX(인턴근무계획!$M$3:$R$402,$A208,$I$3)&amp;"",LEFT(INDEX(인턴근무계획!$M$3:$R$402,$A208,$I$3)&amp;"",FIND(" ",INDEX(인턴근무계획!$M$3:$R$402,$A208,$I$3)&amp;"")-1))))</f>
        <v/>
      </c>
      <c r="J208" s="23">
        <f>IF(OR($C208="",$I$3=""),"",IF(INDEX(인턴근무계획!$M$3:$R$402,$A208,$I$3)&amp;""="","",IF(LEFT(INDEX(인턴근무계획!$M$3:$R$402,$A208,$I$3)&amp;"",1)="⚠","",MID(INDEX(인턴근무계획!$M$3:$R$402,$A208,$I$3)&amp;"",FIND(" ",INDEX(인턴근무계획!$M$3:$R$402,$A208,$I$3)&amp;"")+1,60))))</f>
        <v/>
      </c>
      <c r="K208" s="23">
        <f>IF($C208="","",INDEX(인턴근무계획!$M$3:$M$402,$A208)&amp;"")</f>
        <v/>
      </c>
      <c r="L208" s="23">
        <f>IF($C208="","",INDEX(인턴근무계획!$N$3:$N$402,$A208)&amp;"")</f>
        <v/>
      </c>
      <c r="M208" s="23">
        <f>IF($C208="","",INDEX(인턴근무계획!$O$3:$O$402,$A208)&amp;"")</f>
        <v/>
      </c>
      <c r="N208" s="23">
        <f>IF($C208="","",INDEX(인턴근무계획!$P$3:$P$402,$A208)&amp;"")</f>
        <v/>
      </c>
      <c r="O208" s="23">
        <f>IF($C208="","",INDEX(인턴근무계획!$Q$3:$Q$402,$A208)&amp;"")</f>
        <v/>
      </c>
      <c r="P208" s="23">
        <f>IF($C208="","",INDEX(인턴근무계획!$R$3:$R$402,$A208)&amp;"")</f>
        <v/>
      </c>
      <c r="Q208" s="23">
        <f>IF($C208="","",INDEX(인턴근무계획!$T$3:$T$402,$A208))</f>
        <v/>
      </c>
    </row>
    <row r="209">
      <c r="A209" s="26" t="n">
        <v>204</v>
      </c>
      <c r="B209" s="23">
        <f>IF($C209="","",INDEX(인턴근무계획!$B$3:$B$402,$A209))</f>
        <v/>
      </c>
      <c r="C209" s="23">
        <f>IFERROR(TRIM(INDEX(인턴근무계획!$C$3:$C$402,$A209)&amp;""),"")</f>
        <v/>
      </c>
      <c r="D209" s="23">
        <f>IF($C209="","",INDEX(인턴근무계획!$D$3:$D$402,$A209))</f>
        <v/>
      </c>
      <c r="E209" s="23">
        <f>IF($C209="","",IF(IFERROR(MATCH($D209,기본자료!$B$2:$B$1001,0),IFERROR(MATCH($D209&amp;"",기본자료!$B$2:$B$1001,0),IFERROR(MATCH(VALUE($D209),기본자료!$B$2:$B$1001,0),0)))&gt;0,"확인","미등록"))</f>
        <v/>
      </c>
      <c r="F209" s="27">
        <f>IF($C209="","",INDEX(인턴근무계획!$S$3:$S$402,$A209))</f>
        <v/>
      </c>
      <c r="G209" s="23">
        <f>IF(OR($C209="",$G$3=""),"",IF(INDEX(인턴근무계획!$M$3:$R$402,$A209,$G$3)&amp;""="","",IF(LEFT(INDEX(인턴근무계획!$M$3:$R$402,$A209,$G$3)&amp;"",1)="⚠",INDEX(인턴근무계획!$M$3:$R$402,$A209,$G$3)&amp;"",LEFT(INDEX(인턴근무계획!$M$3:$R$402,$A209,$G$3)&amp;"",FIND(" ",INDEX(인턴근무계획!$M$3:$R$402,$A209,$G$3)&amp;"")-1))))</f>
        <v/>
      </c>
      <c r="H209" s="23">
        <f>IF(OR($C209="",$G$3=""),"",IF(INDEX(인턴근무계획!$M$3:$R$402,$A209,$G$3)&amp;""="","",IF(LEFT(INDEX(인턴근무계획!$M$3:$R$402,$A209,$G$3)&amp;"",1)="⚠","",MID(INDEX(인턴근무계획!$M$3:$R$402,$A209,$G$3)&amp;"",FIND(" ",INDEX(인턴근무계획!$M$3:$R$402,$A209,$G$3)&amp;"")+1,60))))</f>
        <v/>
      </c>
      <c r="I209" s="23">
        <f>IF(OR($C209="",$I$3=""),"",IF(INDEX(인턴근무계획!$M$3:$R$402,$A209,$I$3)&amp;""="","",IF(LEFT(INDEX(인턴근무계획!$M$3:$R$402,$A209,$I$3)&amp;"",1)="⚠",INDEX(인턴근무계획!$M$3:$R$402,$A209,$I$3)&amp;"",LEFT(INDEX(인턴근무계획!$M$3:$R$402,$A209,$I$3)&amp;"",FIND(" ",INDEX(인턴근무계획!$M$3:$R$402,$A209,$I$3)&amp;"")-1))))</f>
        <v/>
      </c>
      <c r="J209" s="23">
        <f>IF(OR($C209="",$I$3=""),"",IF(INDEX(인턴근무계획!$M$3:$R$402,$A209,$I$3)&amp;""="","",IF(LEFT(INDEX(인턴근무계획!$M$3:$R$402,$A209,$I$3)&amp;"",1)="⚠","",MID(INDEX(인턴근무계획!$M$3:$R$402,$A209,$I$3)&amp;"",FIND(" ",INDEX(인턴근무계획!$M$3:$R$402,$A209,$I$3)&amp;"")+1,60))))</f>
        <v/>
      </c>
      <c r="K209" s="23">
        <f>IF($C209="","",INDEX(인턴근무계획!$M$3:$M$402,$A209)&amp;"")</f>
        <v/>
      </c>
      <c r="L209" s="23">
        <f>IF($C209="","",INDEX(인턴근무계획!$N$3:$N$402,$A209)&amp;"")</f>
        <v/>
      </c>
      <c r="M209" s="23">
        <f>IF($C209="","",INDEX(인턴근무계획!$O$3:$O$402,$A209)&amp;"")</f>
        <v/>
      </c>
      <c r="N209" s="23">
        <f>IF($C209="","",INDEX(인턴근무계획!$P$3:$P$402,$A209)&amp;"")</f>
        <v/>
      </c>
      <c r="O209" s="23">
        <f>IF($C209="","",INDEX(인턴근무계획!$Q$3:$Q$402,$A209)&amp;"")</f>
        <v/>
      </c>
      <c r="P209" s="23">
        <f>IF($C209="","",INDEX(인턴근무계획!$R$3:$R$402,$A209)&amp;"")</f>
        <v/>
      </c>
      <c r="Q209" s="23">
        <f>IF($C209="","",INDEX(인턴근무계획!$T$3:$T$402,$A209))</f>
        <v/>
      </c>
    </row>
    <row r="210">
      <c r="A210" s="26" t="n">
        <v>205</v>
      </c>
      <c r="B210" s="23">
        <f>IF($C210="","",INDEX(인턴근무계획!$B$3:$B$402,$A210))</f>
        <v/>
      </c>
      <c r="C210" s="23">
        <f>IFERROR(TRIM(INDEX(인턴근무계획!$C$3:$C$402,$A210)&amp;""),"")</f>
        <v/>
      </c>
      <c r="D210" s="23">
        <f>IF($C210="","",INDEX(인턴근무계획!$D$3:$D$402,$A210))</f>
        <v/>
      </c>
      <c r="E210" s="23">
        <f>IF($C210="","",IF(IFERROR(MATCH($D210,기본자료!$B$2:$B$1001,0),IFERROR(MATCH($D210&amp;"",기본자료!$B$2:$B$1001,0),IFERROR(MATCH(VALUE($D210),기본자료!$B$2:$B$1001,0),0)))&gt;0,"확인","미등록"))</f>
        <v/>
      </c>
      <c r="F210" s="27">
        <f>IF($C210="","",INDEX(인턴근무계획!$S$3:$S$402,$A210))</f>
        <v/>
      </c>
      <c r="G210" s="23">
        <f>IF(OR($C210="",$G$3=""),"",IF(INDEX(인턴근무계획!$M$3:$R$402,$A210,$G$3)&amp;""="","",IF(LEFT(INDEX(인턴근무계획!$M$3:$R$402,$A210,$G$3)&amp;"",1)="⚠",INDEX(인턴근무계획!$M$3:$R$402,$A210,$G$3)&amp;"",LEFT(INDEX(인턴근무계획!$M$3:$R$402,$A210,$G$3)&amp;"",FIND(" ",INDEX(인턴근무계획!$M$3:$R$402,$A210,$G$3)&amp;"")-1))))</f>
        <v/>
      </c>
      <c r="H210" s="23">
        <f>IF(OR($C210="",$G$3=""),"",IF(INDEX(인턴근무계획!$M$3:$R$402,$A210,$G$3)&amp;""="","",IF(LEFT(INDEX(인턴근무계획!$M$3:$R$402,$A210,$G$3)&amp;"",1)="⚠","",MID(INDEX(인턴근무계획!$M$3:$R$402,$A210,$G$3)&amp;"",FIND(" ",INDEX(인턴근무계획!$M$3:$R$402,$A210,$G$3)&amp;"")+1,60))))</f>
        <v/>
      </c>
      <c r="I210" s="23">
        <f>IF(OR($C210="",$I$3=""),"",IF(INDEX(인턴근무계획!$M$3:$R$402,$A210,$I$3)&amp;""="","",IF(LEFT(INDEX(인턴근무계획!$M$3:$R$402,$A210,$I$3)&amp;"",1)="⚠",INDEX(인턴근무계획!$M$3:$R$402,$A210,$I$3)&amp;"",LEFT(INDEX(인턴근무계획!$M$3:$R$402,$A210,$I$3)&amp;"",FIND(" ",INDEX(인턴근무계획!$M$3:$R$402,$A210,$I$3)&amp;"")-1))))</f>
        <v/>
      </c>
      <c r="J210" s="23">
        <f>IF(OR($C210="",$I$3=""),"",IF(INDEX(인턴근무계획!$M$3:$R$402,$A210,$I$3)&amp;""="","",IF(LEFT(INDEX(인턴근무계획!$M$3:$R$402,$A210,$I$3)&amp;"",1)="⚠","",MID(INDEX(인턴근무계획!$M$3:$R$402,$A210,$I$3)&amp;"",FIND(" ",INDEX(인턴근무계획!$M$3:$R$402,$A210,$I$3)&amp;"")+1,60))))</f>
        <v/>
      </c>
      <c r="K210" s="23">
        <f>IF($C210="","",INDEX(인턴근무계획!$M$3:$M$402,$A210)&amp;"")</f>
        <v/>
      </c>
      <c r="L210" s="23">
        <f>IF($C210="","",INDEX(인턴근무계획!$N$3:$N$402,$A210)&amp;"")</f>
        <v/>
      </c>
      <c r="M210" s="23">
        <f>IF($C210="","",INDEX(인턴근무계획!$O$3:$O$402,$A210)&amp;"")</f>
        <v/>
      </c>
      <c r="N210" s="23">
        <f>IF($C210="","",INDEX(인턴근무계획!$P$3:$P$402,$A210)&amp;"")</f>
        <v/>
      </c>
      <c r="O210" s="23">
        <f>IF($C210="","",INDEX(인턴근무계획!$Q$3:$Q$402,$A210)&amp;"")</f>
        <v/>
      </c>
      <c r="P210" s="23">
        <f>IF($C210="","",INDEX(인턴근무계획!$R$3:$R$402,$A210)&amp;"")</f>
        <v/>
      </c>
      <c r="Q210" s="23">
        <f>IF($C210="","",INDEX(인턴근무계획!$T$3:$T$402,$A210))</f>
        <v/>
      </c>
    </row>
    <row r="211">
      <c r="A211" s="26" t="n">
        <v>206</v>
      </c>
      <c r="B211" s="23">
        <f>IF($C211="","",INDEX(인턴근무계획!$B$3:$B$402,$A211))</f>
        <v/>
      </c>
      <c r="C211" s="23">
        <f>IFERROR(TRIM(INDEX(인턴근무계획!$C$3:$C$402,$A211)&amp;""),"")</f>
        <v/>
      </c>
      <c r="D211" s="23">
        <f>IF($C211="","",INDEX(인턴근무계획!$D$3:$D$402,$A211))</f>
        <v/>
      </c>
      <c r="E211" s="23">
        <f>IF($C211="","",IF(IFERROR(MATCH($D211,기본자료!$B$2:$B$1001,0),IFERROR(MATCH($D211&amp;"",기본자료!$B$2:$B$1001,0),IFERROR(MATCH(VALUE($D211),기본자료!$B$2:$B$1001,0),0)))&gt;0,"확인","미등록"))</f>
        <v/>
      </c>
      <c r="F211" s="27">
        <f>IF($C211="","",INDEX(인턴근무계획!$S$3:$S$402,$A211))</f>
        <v/>
      </c>
      <c r="G211" s="23">
        <f>IF(OR($C211="",$G$3=""),"",IF(INDEX(인턴근무계획!$M$3:$R$402,$A211,$G$3)&amp;""="","",IF(LEFT(INDEX(인턴근무계획!$M$3:$R$402,$A211,$G$3)&amp;"",1)="⚠",INDEX(인턴근무계획!$M$3:$R$402,$A211,$G$3)&amp;"",LEFT(INDEX(인턴근무계획!$M$3:$R$402,$A211,$G$3)&amp;"",FIND(" ",INDEX(인턴근무계획!$M$3:$R$402,$A211,$G$3)&amp;"")-1))))</f>
        <v/>
      </c>
      <c r="H211" s="23">
        <f>IF(OR($C211="",$G$3=""),"",IF(INDEX(인턴근무계획!$M$3:$R$402,$A211,$G$3)&amp;""="","",IF(LEFT(INDEX(인턴근무계획!$M$3:$R$402,$A211,$G$3)&amp;"",1)="⚠","",MID(INDEX(인턴근무계획!$M$3:$R$402,$A211,$G$3)&amp;"",FIND(" ",INDEX(인턴근무계획!$M$3:$R$402,$A211,$G$3)&amp;"")+1,60))))</f>
        <v/>
      </c>
      <c r="I211" s="23">
        <f>IF(OR($C211="",$I$3=""),"",IF(INDEX(인턴근무계획!$M$3:$R$402,$A211,$I$3)&amp;""="","",IF(LEFT(INDEX(인턴근무계획!$M$3:$R$402,$A211,$I$3)&amp;"",1)="⚠",INDEX(인턴근무계획!$M$3:$R$402,$A211,$I$3)&amp;"",LEFT(INDEX(인턴근무계획!$M$3:$R$402,$A211,$I$3)&amp;"",FIND(" ",INDEX(인턴근무계획!$M$3:$R$402,$A211,$I$3)&amp;"")-1))))</f>
        <v/>
      </c>
      <c r="J211" s="23">
        <f>IF(OR($C211="",$I$3=""),"",IF(INDEX(인턴근무계획!$M$3:$R$402,$A211,$I$3)&amp;""="","",IF(LEFT(INDEX(인턴근무계획!$M$3:$R$402,$A211,$I$3)&amp;"",1)="⚠","",MID(INDEX(인턴근무계획!$M$3:$R$402,$A211,$I$3)&amp;"",FIND(" ",INDEX(인턴근무계획!$M$3:$R$402,$A211,$I$3)&amp;"")+1,60))))</f>
        <v/>
      </c>
      <c r="K211" s="23">
        <f>IF($C211="","",INDEX(인턴근무계획!$M$3:$M$402,$A211)&amp;"")</f>
        <v/>
      </c>
      <c r="L211" s="23">
        <f>IF($C211="","",INDEX(인턴근무계획!$N$3:$N$402,$A211)&amp;"")</f>
        <v/>
      </c>
      <c r="M211" s="23">
        <f>IF($C211="","",INDEX(인턴근무계획!$O$3:$O$402,$A211)&amp;"")</f>
        <v/>
      </c>
      <c r="N211" s="23">
        <f>IF($C211="","",INDEX(인턴근무계획!$P$3:$P$402,$A211)&amp;"")</f>
        <v/>
      </c>
      <c r="O211" s="23">
        <f>IF($C211="","",INDEX(인턴근무계획!$Q$3:$Q$402,$A211)&amp;"")</f>
        <v/>
      </c>
      <c r="P211" s="23">
        <f>IF($C211="","",INDEX(인턴근무계획!$R$3:$R$402,$A211)&amp;"")</f>
        <v/>
      </c>
      <c r="Q211" s="23">
        <f>IF($C211="","",INDEX(인턴근무계획!$T$3:$T$402,$A211))</f>
        <v/>
      </c>
    </row>
    <row r="212">
      <c r="A212" s="26" t="n">
        <v>207</v>
      </c>
      <c r="B212" s="23">
        <f>IF($C212="","",INDEX(인턴근무계획!$B$3:$B$402,$A212))</f>
        <v/>
      </c>
      <c r="C212" s="23">
        <f>IFERROR(TRIM(INDEX(인턴근무계획!$C$3:$C$402,$A212)&amp;""),"")</f>
        <v/>
      </c>
      <c r="D212" s="23">
        <f>IF($C212="","",INDEX(인턴근무계획!$D$3:$D$402,$A212))</f>
        <v/>
      </c>
      <c r="E212" s="23">
        <f>IF($C212="","",IF(IFERROR(MATCH($D212,기본자료!$B$2:$B$1001,0),IFERROR(MATCH($D212&amp;"",기본자료!$B$2:$B$1001,0),IFERROR(MATCH(VALUE($D212),기본자료!$B$2:$B$1001,0),0)))&gt;0,"확인","미등록"))</f>
        <v/>
      </c>
      <c r="F212" s="27">
        <f>IF($C212="","",INDEX(인턴근무계획!$S$3:$S$402,$A212))</f>
        <v/>
      </c>
      <c r="G212" s="23">
        <f>IF(OR($C212="",$G$3=""),"",IF(INDEX(인턴근무계획!$M$3:$R$402,$A212,$G$3)&amp;""="","",IF(LEFT(INDEX(인턴근무계획!$M$3:$R$402,$A212,$G$3)&amp;"",1)="⚠",INDEX(인턴근무계획!$M$3:$R$402,$A212,$G$3)&amp;"",LEFT(INDEX(인턴근무계획!$M$3:$R$402,$A212,$G$3)&amp;"",FIND(" ",INDEX(인턴근무계획!$M$3:$R$402,$A212,$G$3)&amp;"")-1))))</f>
        <v/>
      </c>
      <c r="H212" s="23">
        <f>IF(OR($C212="",$G$3=""),"",IF(INDEX(인턴근무계획!$M$3:$R$402,$A212,$G$3)&amp;""="","",IF(LEFT(INDEX(인턴근무계획!$M$3:$R$402,$A212,$G$3)&amp;"",1)="⚠","",MID(INDEX(인턴근무계획!$M$3:$R$402,$A212,$G$3)&amp;"",FIND(" ",INDEX(인턴근무계획!$M$3:$R$402,$A212,$G$3)&amp;"")+1,60))))</f>
        <v/>
      </c>
      <c r="I212" s="23">
        <f>IF(OR($C212="",$I$3=""),"",IF(INDEX(인턴근무계획!$M$3:$R$402,$A212,$I$3)&amp;""="","",IF(LEFT(INDEX(인턴근무계획!$M$3:$R$402,$A212,$I$3)&amp;"",1)="⚠",INDEX(인턴근무계획!$M$3:$R$402,$A212,$I$3)&amp;"",LEFT(INDEX(인턴근무계획!$M$3:$R$402,$A212,$I$3)&amp;"",FIND(" ",INDEX(인턴근무계획!$M$3:$R$402,$A212,$I$3)&amp;"")-1))))</f>
        <v/>
      </c>
      <c r="J212" s="23">
        <f>IF(OR($C212="",$I$3=""),"",IF(INDEX(인턴근무계획!$M$3:$R$402,$A212,$I$3)&amp;""="","",IF(LEFT(INDEX(인턴근무계획!$M$3:$R$402,$A212,$I$3)&amp;"",1)="⚠","",MID(INDEX(인턴근무계획!$M$3:$R$402,$A212,$I$3)&amp;"",FIND(" ",INDEX(인턴근무계획!$M$3:$R$402,$A212,$I$3)&amp;"")+1,60))))</f>
        <v/>
      </c>
      <c r="K212" s="23">
        <f>IF($C212="","",INDEX(인턴근무계획!$M$3:$M$402,$A212)&amp;"")</f>
        <v/>
      </c>
      <c r="L212" s="23">
        <f>IF($C212="","",INDEX(인턴근무계획!$N$3:$N$402,$A212)&amp;"")</f>
        <v/>
      </c>
      <c r="M212" s="23">
        <f>IF($C212="","",INDEX(인턴근무계획!$O$3:$O$402,$A212)&amp;"")</f>
        <v/>
      </c>
      <c r="N212" s="23">
        <f>IF($C212="","",INDEX(인턴근무계획!$P$3:$P$402,$A212)&amp;"")</f>
        <v/>
      </c>
      <c r="O212" s="23">
        <f>IF($C212="","",INDEX(인턴근무계획!$Q$3:$Q$402,$A212)&amp;"")</f>
        <v/>
      </c>
      <c r="P212" s="23">
        <f>IF($C212="","",INDEX(인턴근무계획!$R$3:$R$402,$A212)&amp;"")</f>
        <v/>
      </c>
      <c r="Q212" s="23">
        <f>IF($C212="","",INDEX(인턴근무계획!$T$3:$T$402,$A212))</f>
        <v/>
      </c>
    </row>
    <row r="213">
      <c r="A213" s="26" t="n">
        <v>208</v>
      </c>
      <c r="B213" s="23">
        <f>IF($C213="","",INDEX(인턴근무계획!$B$3:$B$402,$A213))</f>
        <v/>
      </c>
      <c r="C213" s="23">
        <f>IFERROR(TRIM(INDEX(인턴근무계획!$C$3:$C$402,$A213)&amp;""),"")</f>
        <v/>
      </c>
      <c r="D213" s="23">
        <f>IF($C213="","",INDEX(인턴근무계획!$D$3:$D$402,$A213))</f>
        <v/>
      </c>
      <c r="E213" s="23">
        <f>IF($C213="","",IF(IFERROR(MATCH($D213,기본자료!$B$2:$B$1001,0),IFERROR(MATCH($D213&amp;"",기본자료!$B$2:$B$1001,0),IFERROR(MATCH(VALUE($D213),기본자료!$B$2:$B$1001,0),0)))&gt;0,"확인","미등록"))</f>
        <v/>
      </c>
      <c r="F213" s="27">
        <f>IF($C213="","",INDEX(인턴근무계획!$S$3:$S$402,$A213))</f>
        <v/>
      </c>
      <c r="G213" s="23">
        <f>IF(OR($C213="",$G$3=""),"",IF(INDEX(인턴근무계획!$M$3:$R$402,$A213,$G$3)&amp;""="","",IF(LEFT(INDEX(인턴근무계획!$M$3:$R$402,$A213,$G$3)&amp;"",1)="⚠",INDEX(인턴근무계획!$M$3:$R$402,$A213,$G$3)&amp;"",LEFT(INDEX(인턴근무계획!$M$3:$R$402,$A213,$G$3)&amp;"",FIND(" ",INDEX(인턴근무계획!$M$3:$R$402,$A213,$G$3)&amp;"")-1))))</f>
        <v/>
      </c>
      <c r="H213" s="23">
        <f>IF(OR($C213="",$G$3=""),"",IF(INDEX(인턴근무계획!$M$3:$R$402,$A213,$G$3)&amp;""="","",IF(LEFT(INDEX(인턴근무계획!$M$3:$R$402,$A213,$G$3)&amp;"",1)="⚠","",MID(INDEX(인턴근무계획!$M$3:$R$402,$A213,$G$3)&amp;"",FIND(" ",INDEX(인턴근무계획!$M$3:$R$402,$A213,$G$3)&amp;"")+1,60))))</f>
        <v/>
      </c>
      <c r="I213" s="23">
        <f>IF(OR($C213="",$I$3=""),"",IF(INDEX(인턴근무계획!$M$3:$R$402,$A213,$I$3)&amp;""="","",IF(LEFT(INDEX(인턴근무계획!$M$3:$R$402,$A213,$I$3)&amp;"",1)="⚠",INDEX(인턴근무계획!$M$3:$R$402,$A213,$I$3)&amp;"",LEFT(INDEX(인턴근무계획!$M$3:$R$402,$A213,$I$3)&amp;"",FIND(" ",INDEX(인턴근무계획!$M$3:$R$402,$A213,$I$3)&amp;"")-1))))</f>
        <v/>
      </c>
      <c r="J213" s="23">
        <f>IF(OR($C213="",$I$3=""),"",IF(INDEX(인턴근무계획!$M$3:$R$402,$A213,$I$3)&amp;""="","",IF(LEFT(INDEX(인턴근무계획!$M$3:$R$402,$A213,$I$3)&amp;"",1)="⚠","",MID(INDEX(인턴근무계획!$M$3:$R$402,$A213,$I$3)&amp;"",FIND(" ",INDEX(인턴근무계획!$M$3:$R$402,$A213,$I$3)&amp;"")+1,60))))</f>
        <v/>
      </c>
      <c r="K213" s="23">
        <f>IF($C213="","",INDEX(인턴근무계획!$M$3:$M$402,$A213)&amp;"")</f>
        <v/>
      </c>
      <c r="L213" s="23">
        <f>IF($C213="","",INDEX(인턴근무계획!$N$3:$N$402,$A213)&amp;"")</f>
        <v/>
      </c>
      <c r="M213" s="23">
        <f>IF($C213="","",INDEX(인턴근무계획!$O$3:$O$402,$A213)&amp;"")</f>
        <v/>
      </c>
      <c r="N213" s="23">
        <f>IF($C213="","",INDEX(인턴근무계획!$P$3:$P$402,$A213)&amp;"")</f>
        <v/>
      </c>
      <c r="O213" s="23">
        <f>IF($C213="","",INDEX(인턴근무계획!$Q$3:$Q$402,$A213)&amp;"")</f>
        <v/>
      </c>
      <c r="P213" s="23">
        <f>IF($C213="","",INDEX(인턴근무계획!$R$3:$R$402,$A213)&amp;"")</f>
        <v/>
      </c>
      <c r="Q213" s="23">
        <f>IF($C213="","",INDEX(인턴근무계획!$T$3:$T$402,$A213))</f>
        <v/>
      </c>
    </row>
    <row r="214">
      <c r="A214" s="26" t="n">
        <v>209</v>
      </c>
      <c r="B214" s="23">
        <f>IF($C214="","",INDEX(인턴근무계획!$B$3:$B$402,$A214))</f>
        <v/>
      </c>
      <c r="C214" s="23">
        <f>IFERROR(TRIM(INDEX(인턴근무계획!$C$3:$C$402,$A214)&amp;""),"")</f>
        <v/>
      </c>
      <c r="D214" s="23">
        <f>IF($C214="","",INDEX(인턴근무계획!$D$3:$D$402,$A214))</f>
        <v/>
      </c>
      <c r="E214" s="23">
        <f>IF($C214="","",IF(IFERROR(MATCH($D214,기본자료!$B$2:$B$1001,0),IFERROR(MATCH($D214&amp;"",기본자료!$B$2:$B$1001,0),IFERROR(MATCH(VALUE($D214),기본자료!$B$2:$B$1001,0),0)))&gt;0,"확인","미등록"))</f>
        <v/>
      </c>
      <c r="F214" s="27">
        <f>IF($C214="","",INDEX(인턴근무계획!$S$3:$S$402,$A214))</f>
        <v/>
      </c>
      <c r="G214" s="23">
        <f>IF(OR($C214="",$G$3=""),"",IF(INDEX(인턴근무계획!$M$3:$R$402,$A214,$G$3)&amp;""="","",IF(LEFT(INDEX(인턴근무계획!$M$3:$R$402,$A214,$G$3)&amp;"",1)="⚠",INDEX(인턴근무계획!$M$3:$R$402,$A214,$G$3)&amp;"",LEFT(INDEX(인턴근무계획!$M$3:$R$402,$A214,$G$3)&amp;"",FIND(" ",INDEX(인턴근무계획!$M$3:$R$402,$A214,$G$3)&amp;"")-1))))</f>
        <v/>
      </c>
      <c r="H214" s="23">
        <f>IF(OR($C214="",$G$3=""),"",IF(INDEX(인턴근무계획!$M$3:$R$402,$A214,$G$3)&amp;""="","",IF(LEFT(INDEX(인턴근무계획!$M$3:$R$402,$A214,$G$3)&amp;"",1)="⚠","",MID(INDEX(인턴근무계획!$M$3:$R$402,$A214,$G$3)&amp;"",FIND(" ",INDEX(인턴근무계획!$M$3:$R$402,$A214,$G$3)&amp;"")+1,60))))</f>
        <v/>
      </c>
      <c r="I214" s="23">
        <f>IF(OR($C214="",$I$3=""),"",IF(INDEX(인턴근무계획!$M$3:$R$402,$A214,$I$3)&amp;""="","",IF(LEFT(INDEX(인턴근무계획!$M$3:$R$402,$A214,$I$3)&amp;"",1)="⚠",INDEX(인턴근무계획!$M$3:$R$402,$A214,$I$3)&amp;"",LEFT(INDEX(인턴근무계획!$M$3:$R$402,$A214,$I$3)&amp;"",FIND(" ",INDEX(인턴근무계획!$M$3:$R$402,$A214,$I$3)&amp;"")-1))))</f>
        <v/>
      </c>
      <c r="J214" s="23">
        <f>IF(OR($C214="",$I$3=""),"",IF(INDEX(인턴근무계획!$M$3:$R$402,$A214,$I$3)&amp;""="","",IF(LEFT(INDEX(인턴근무계획!$M$3:$R$402,$A214,$I$3)&amp;"",1)="⚠","",MID(INDEX(인턴근무계획!$M$3:$R$402,$A214,$I$3)&amp;"",FIND(" ",INDEX(인턴근무계획!$M$3:$R$402,$A214,$I$3)&amp;"")+1,60))))</f>
        <v/>
      </c>
      <c r="K214" s="23">
        <f>IF($C214="","",INDEX(인턴근무계획!$M$3:$M$402,$A214)&amp;"")</f>
        <v/>
      </c>
      <c r="L214" s="23">
        <f>IF($C214="","",INDEX(인턴근무계획!$N$3:$N$402,$A214)&amp;"")</f>
        <v/>
      </c>
      <c r="M214" s="23">
        <f>IF($C214="","",INDEX(인턴근무계획!$O$3:$O$402,$A214)&amp;"")</f>
        <v/>
      </c>
      <c r="N214" s="23">
        <f>IF($C214="","",INDEX(인턴근무계획!$P$3:$P$402,$A214)&amp;"")</f>
        <v/>
      </c>
      <c r="O214" s="23">
        <f>IF($C214="","",INDEX(인턴근무계획!$Q$3:$Q$402,$A214)&amp;"")</f>
        <v/>
      </c>
      <c r="P214" s="23">
        <f>IF($C214="","",INDEX(인턴근무계획!$R$3:$R$402,$A214)&amp;"")</f>
        <v/>
      </c>
      <c r="Q214" s="23">
        <f>IF($C214="","",INDEX(인턴근무계획!$T$3:$T$402,$A214))</f>
        <v/>
      </c>
    </row>
    <row r="215">
      <c r="A215" s="26" t="n">
        <v>210</v>
      </c>
      <c r="B215" s="23">
        <f>IF($C215="","",INDEX(인턴근무계획!$B$3:$B$402,$A215))</f>
        <v/>
      </c>
      <c r="C215" s="23">
        <f>IFERROR(TRIM(INDEX(인턴근무계획!$C$3:$C$402,$A215)&amp;""),"")</f>
        <v/>
      </c>
      <c r="D215" s="23">
        <f>IF($C215="","",INDEX(인턴근무계획!$D$3:$D$402,$A215))</f>
        <v/>
      </c>
      <c r="E215" s="23">
        <f>IF($C215="","",IF(IFERROR(MATCH($D215,기본자료!$B$2:$B$1001,0),IFERROR(MATCH($D215&amp;"",기본자료!$B$2:$B$1001,0),IFERROR(MATCH(VALUE($D215),기본자료!$B$2:$B$1001,0),0)))&gt;0,"확인","미등록"))</f>
        <v/>
      </c>
      <c r="F215" s="27">
        <f>IF($C215="","",INDEX(인턴근무계획!$S$3:$S$402,$A215))</f>
        <v/>
      </c>
      <c r="G215" s="23">
        <f>IF(OR($C215="",$G$3=""),"",IF(INDEX(인턴근무계획!$M$3:$R$402,$A215,$G$3)&amp;""="","",IF(LEFT(INDEX(인턴근무계획!$M$3:$R$402,$A215,$G$3)&amp;"",1)="⚠",INDEX(인턴근무계획!$M$3:$R$402,$A215,$G$3)&amp;"",LEFT(INDEX(인턴근무계획!$M$3:$R$402,$A215,$G$3)&amp;"",FIND(" ",INDEX(인턴근무계획!$M$3:$R$402,$A215,$G$3)&amp;"")-1))))</f>
        <v/>
      </c>
      <c r="H215" s="23">
        <f>IF(OR($C215="",$G$3=""),"",IF(INDEX(인턴근무계획!$M$3:$R$402,$A215,$G$3)&amp;""="","",IF(LEFT(INDEX(인턴근무계획!$M$3:$R$402,$A215,$G$3)&amp;"",1)="⚠","",MID(INDEX(인턴근무계획!$M$3:$R$402,$A215,$G$3)&amp;"",FIND(" ",INDEX(인턴근무계획!$M$3:$R$402,$A215,$G$3)&amp;"")+1,60))))</f>
        <v/>
      </c>
      <c r="I215" s="23">
        <f>IF(OR($C215="",$I$3=""),"",IF(INDEX(인턴근무계획!$M$3:$R$402,$A215,$I$3)&amp;""="","",IF(LEFT(INDEX(인턴근무계획!$M$3:$R$402,$A215,$I$3)&amp;"",1)="⚠",INDEX(인턴근무계획!$M$3:$R$402,$A215,$I$3)&amp;"",LEFT(INDEX(인턴근무계획!$M$3:$R$402,$A215,$I$3)&amp;"",FIND(" ",INDEX(인턴근무계획!$M$3:$R$402,$A215,$I$3)&amp;"")-1))))</f>
        <v/>
      </c>
      <c r="J215" s="23">
        <f>IF(OR($C215="",$I$3=""),"",IF(INDEX(인턴근무계획!$M$3:$R$402,$A215,$I$3)&amp;""="","",IF(LEFT(INDEX(인턴근무계획!$M$3:$R$402,$A215,$I$3)&amp;"",1)="⚠","",MID(INDEX(인턴근무계획!$M$3:$R$402,$A215,$I$3)&amp;"",FIND(" ",INDEX(인턴근무계획!$M$3:$R$402,$A215,$I$3)&amp;"")+1,60))))</f>
        <v/>
      </c>
      <c r="K215" s="23">
        <f>IF($C215="","",INDEX(인턴근무계획!$M$3:$M$402,$A215)&amp;"")</f>
        <v/>
      </c>
      <c r="L215" s="23">
        <f>IF($C215="","",INDEX(인턴근무계획!$N$3:$N$402,$A215)&amp;"")</f>
        <v/>
      </c>
      <c r="M215" s="23">
        <f>IF($C215="","",INDEX(인턴근무계획!$O$3:$O$402,$A215)&amp;"")</f>
        <v/>
      </c>
      <c r="N215" s="23">
        <f>IF($C215="","",INDEX(인턴근무계획!$P$3:$P$402,$A215)&amp;"")</f>
        <v/>
      </c>
      <c r="O215" s="23">
        <f>IF($C215="","",INDEX(인턴근무계획!$Q$3:$Q$402,$A215)&amp;"")</f>
        <v/>
      </c>
      <c r="P215" s="23">
        <f>IF($C215="","",INDEX(인턴근무계획!$R$3:$R$402,$A215)&amp;"")</f>
        <v/>
      </c>
      <c r="Q215" s="23">
        <f>IF($C215="","",INDEX(인턴근무계획!$T$3:$T$402,$A215))</f>
        <v/>
      </c>
    </row>
    <row r="216">
      <c r="A216" s="26" t="n">
        <v>211</v>
      </c>
      <c r="B216" s="23">
        <f>IF($C216="","",INDEX(인턴근무계획!$B$3:$B$402,$A216))</f>
        <v/>
      </c>
      <c r="C216" s="23">
        <f>IFERROR(TRIM(INDEX(인턴근무계획!$C$3:$C$402,$A216)&amp;""),"")</f>
        <v/>
      </c>
      <c r="D216" s="23">
        <f>IF($C216="","",INDEX(인턴근무계획!$D$3:$D$402,$A216))</f>
        <v/>
      </c>
      <c r="E216" s="23">
        <f>IF($C216="","",IF(IFERROR(MATCH($D216,기본자료!$B$2:$B$1001,0),IFERROR(MATCH($D216&amp;"",기본자료!$B$2:$B$1001,0),IFERROR(MATCH(VALUE($D216),기본자료!$B$2:$B$1001,0),0)))&gt;0,"확인","미등록"))</f>
        <v/>
      </c>
      <c r="F216" s="27">
        <f>IF($C216="","",INDEX(인턴근무계획!$S$3:$S$402,$A216))</f>
        <v/>
      </c>
      <c r="G216" s="23">
        <f>IF(OR($C216="",$G$3=""),"",IF(INDEX(인턴근무계획!$M$3:$R$402,$A216,$G$3)&amp;""="","",IF(LEFT(INDEX(인턴근무계획!$M$3:$R$402,$A216,$G$3)&amp;"",1)="⚠",INDEX(인턴근무계획!$M$3:$R$402,$A216,$G$3)&amp;"",LEFT(INDEX(인턴근무계획!$M$3:$R$402,$A216,$G$3)&amp;"",FIND(" ",INDEX(인턴근무계획!$M$3:$R$402,$A216,$G$3)&amp;"")-1))))</f>
        <v/>
      </c>
      <c r="H216" s="23">
        <f>IF(OR($C216="",$G$3=""),"",IF(INDEX(인턴근무계획!$M$3:$R$402,$A216,$G$3)&amp;""="","",IF(LEFT(INDEX(인턴근무계획!$M$3:$R$402,$A216,$G$3)&amp;"",1)="⚠","",MID(INDEX(인턴근무계획!$M$3:$R$402,$A216,$G$3)&amp;"",FIND(" ",INDEX(인턴근무계획!$M$3:$R$402,$A216,$G$3)&amp;"")+1,60))))</f>
        <v/>
      </c>
      <c r="I216" s="23">
        <f>IF(OR($C216="",$I$3=""),"",IF(INDEX(인턴근무계획!$M$3:$R$402,$A216,$I$3)&amp;""="","",IF(LEFT(INDEX(인턴근무계획!$M$3:$R$402,$A216,$I$3)&amp;"",1)="⚠",INDEX(인턴근무계획!$M$3:$R$402,$A216,$I$3)&amp;"",LEFT(INDEX(인턴근무계획!$M$3:$R$402,$A216,$I$3)&amp;"",FIND(" ",INDEX(인턴근무계획!$M$3:$R$402,$A216,$I$3)&amp;"")-1))))</f>
        <v/>
      </c>
      <c r="J216" s="23">
        <f>IF(OR($C216="",$I$3=""),"",IF(INDEX(인턴근무계획!$M$3:$R$402,$A216,$I$3)&amp;""="","",IF(LEFT(INDEX(인턴근무계획!$M$3:$R$402,$A216,$I$3)&amp;"",1)="⚠","",MID(INDEX(인턴근무계획!$M$3:$R$402,$A216,$I$3)&amp;"",FIND(" ",INDEX(인턴근무계획!$M$3:$R$402,$A216,$I$3)&amp;"")+1,60))))</f>
        <v/>
      </c>
      <c r="K216" s="23">
        <f>IF($C216="","",INDEX(인턴근무계획!$M$3:$M$402,$A216)&amp;"")</f>
        <v/>
      </c>
      <c r="L216" s="23">
        <f>IF($C216="","",INDEX(인턴근무계획!$N$3:$N$402,$A216)&amp;"")</f>
        <v/>
      </c>
      <c r="M216" s="23">
        <f>IF($C216="","",INDEX(인턴근무계획!$O$3:$O$402,$A216)&amp;"")</f>
        <v/>
      </c>
      <c r="N216" s="23">
        <f>IF($C216="","",INDEX(인턴근무계획!$P$3:$P$402,$A216)&amp;"")</f>
        <v/>
      </c>
      <c r="O216" s="23">
        <f>IF($C216="","",INDEX(인턴근무계획!$Q$3:$Q$402,$A216)&amp;"")</f>
        <v/>
      </c>
      <c r="P216" s="23">
        <f>IF($C216="","",INDEX(인턴근무계획!$R$3:$R$402,$A216)&amp;"")</f>
        <v/>
      </c>
      <c r="Q216" s="23">
        <f>IF($C216="","",INDEX(인턴근무계획!$T$3:$T$402,$A216))</f>
        <v/>
      </c>
    </row>
    <row r="217">
      <c r="A217" s="26" t="n">
        <v>212</v>
      </c>
      <c r="B217" s="23">
        <f>IF($C217="","",INDEX(인턴근무계획!$B$3:$B$402,$A217))</f>
        <v/>
      </c>
      <c r="C217" s="23">
        <f>IFERROR(TRIM(INDEX(인턴근무계획!$C$3:$C$402,$A217)&amp;""),"")</f>
        <v/>
      </c>
      <c r="D217" s="23">
        <f>IF($C217="","",INDEX(인턴근무계획!$D$3:$D$402,$A217))</f>
        <v/>
      </c>
      <c r="E217" s="23">
        <f>IF($C217="","",IF(IFERROR(MATCH($D217,기본자료!$B$2:$B$1001,0),IFERROR(MATCH($D217&amp;"",기본자료!$B$2:$B$1001,0),IFERROR(MATCH(VALUE($D217),기본자료!$B$2:$B$1001,0),0)))&gt;0,"확인","미등록"))</f>
        <v/>
      </c>
      <c r="F217" s="27">
        <f>IF($C217="","",INDEX(인턴근무계획!$S$3:$S$402,$A217))</f>
        <v/>
      </c>
      <c r="G217" s="23">
        <f>IF(OR($C217="",$G$3=""),"",IF(INDEX(인턴근무계획!$M$3:$R$402,$A217,$G$3)&amp;""="","",IF(LEFT(INDEX(인턴근무계획!$M$3:$R$402,$A217,$G$3)&amp;"",1)="⚠",INDEX(인턴근무계획!$M$3:$R$402,$A217,$G$3)&amp;"",LEFT(INDEX(인턴근무계획!$M$3:$R$402,$A217,$G$3)&amp;"",FIND(" ",INDEX(인턴근무계획!$M$3:$R$402,$A217,$G$3)&amp;"")-1))))</f>
        <v/>
      </c>
      <c r="H217" s="23">
        <f>IF(OR($C217="",$G$3=""),"",IF(INDEX(인턴근무계획!$M$3:$R$402,$A217,$G$3)&amp;""="","",IF(LEFT(INDEX(인턴근무계획!$M$3:$R$402,$A217,$G$3)&amp;"",1)="⚠","",MID(INDEX(인턴근무계획!$M$3:$R$402,$A217,$G$3)&amp;"",FIND(" ",INDEX(인턴근무계획!$M$3:$R$402,$A217,$G$3)&amp;"")+1,60))))</f>
        <v/>
      </c>
      <c r="I217" s="23">
        <f>IF(OR($C217="",$I$3=""),"",IF(INDEX(인턴근무계획!$M$3:$R$402,$A217,$I$3)&amp;""="","",IF(LEFT(INDEX(인턴근무계획!$M$3:$R$402,$A217,$I$3)&amp;"",1)="⚠",INDEX(인턴근무계획!$M$3:$R$402,$A217,$I$3)&amp;"",LEFT(INDEX(인턴근무계획!$M$3:$R$402,$A217,$I$3)&amp;"",FIND(" ",INDEX(인턴근무계획!$M$3:$R$402,$A217,$I$3)&amp;"")-1))))</f>
        <v/>
      </c>
      <c r="J217" s="23">
        <f>IF(OR($C217="",$I$3=""),"",IF(INDEX(인턴근무계획!$M$3:$R$402,$A217,$I$3)&amp;""="","",IF(LEFT(INDEX(인턴근무계획!$M$3:$R$402,$A217,$I$3)&amp;"",1)="⚠","",MID(INDEX(인턴근무계획!$M$3:$R$402,$A217,$I$3)&amp;"",FIND(" ",INDEX(인턴근무계획!$M$3:$R$402,$A217,$I$3)&amp;"")+1,60))))</f>
        <v/>
      </c>
      <c r="K217" s="23">
        <f>IF($C217="","",INDEX(인턴근무계획!$M$3:$M$402,$A217)&amp;"")</f>
        <v/>
      </c>
      <c r="L217" s="23">
        <f>IF($C217="","",INDEX(인턴근무계획!$N$3:$N$402,$A217)&amp;"")</f>
        <v/>
      </c>
      <c r="M217" s="23">
        <f>IF($C217="","",INDEX(인턴근무계획!$O$3:$O$402,$A217)&amp;"")</f>
        <v/>
      </c>
      <c r="N217" s="23">
        <f>IF($C217="","",INDEX(인턴근무계획!$P$3:$P$402,$A217)&amp;"")</f>
        <v/>
      </c>
      <c r="O217" s="23">
        <f>IF($C217="","",INDEX(인턴근무계획!$Q$3:$Q$402,$A217)&amp;"")</f>
        <v/>
      </c>
      <c r="P217" s="23">
        <f>IF($C217="","",INDEX(인턴근무계획!$R$3:$R$402,$A217)&amp;"")</f>
        <v/>
      </c>
      <c r="Q217" s="23">
        <f>IF($C217="","",INDEX(인턴근무계획!$T$3:$T$402,$A217))</f>
        <v/>
      </c>
    </row>
    <row r="218">
      <c r="A218" s="26" t="n">
        <v>213</v>
      </c>
      <c r="B218" s="23">
        <f>IF($C218="","",INDEX(인턴근무계획!$B$3:$B$402,$A218))</f>
        <v/>
      </c>
      <c r="C218" s="23">
        <f>IFERROR(TRIM(INDEX(인턴근무계획!$C$3:$C$402,$A218)&amp;""),"")</f>
        <v/>
      </c>
      <c r="D218" s="23">
        <f>IF($C218="","",INDEX(인턴근무계획!$D$3:$D$402,$A218))</f>
        <v/>
      </c>
      <c r="E218" s="23">
        <f>IF($C218="","",IF(IFERROR(MATCH($D218,기본자료!$B$2:$B$1001,0),IFERROR(MATCH($D218&amp;"",기본자료!$B$2:$B$1001,0),IFERROR(MATCH(VALUE($D218),기본자료!$B$2:$B$1001,0),0)))&gt;0,"확인","미등록"))</f>
        <v/>
      </c>
      <c r="F218" s="27">
        <f>IF($C218="","",INDEX(인턴근무계획!$S$3:$S$402,$A218))</f>
        <v/>
      </c>
      <c r="G218" s="23">
        <f>IF(OR($C218="",$G$3=""),"",IF(INDEX(인턴근무계획!$M$3:$R$402,$A218,$G$3)&amp;""="","",IF(LEFT(INDEX(인턴근무계획!$M$3:$R$402,$A218,$G$3)&amp;"",1)="⚠",INDEX(인턴근무계획!$M$3:$R$402,$A218,$G$3)&amp;"",LEFT(INDEX(인턴근무계획!$M$3:$R$402,$A218,$G$3)&amp;"",FIND(" ",INDEX(인턴근무계획!$M$3:$R$402,$A218,$G$3)&amp;"")-1))))</f>
        <v/>
      </c>
      <c r="H218" s="23">
        <f>IF(OR($C218="",$G$3=""),"",IF(INDEX(인턴근무계획!$M$3:$R$402,$A218,$G$3)&amp;""="","",IF(LEFT(INDEX(인턴근무계획!$M$3:$R$402,$A218,$G$3)&amp;"",1)="⚠","",MID(INDEX(인턴근무계획!$M$3:$R$402,$A218,$G$3)&amp;"",FIND(" ",INDEX(인턴근무계획!$M$3:$R$402,$A218,$G$3)&amp;"")+1,60))))</f>
        <v/>
      </c>
      <c r="I218" s="23">
        <f>IF(OR($C218="",$I$3=""),"",IF(INDEX(인턴근무계획!$M$3:$R$402,$A218,$I$3)&amp;""="","",IF(LEFT(INDEX(인턴근무계획!$M$3:$R$402,$A218,$I$3)&amp;"",1)="⚠",INDEX(인턴근무계획!$M$3:$R$402,$A218,$I$3)&amp;"",LEFT(INDEX(인턴근무계획!$M$3:$R$402,$A218,$I$3)&amp;"",FIND(" ",INDEX(인턴근무계획!$M$3:$R$402,$A218,$I$3)&amp;"")-1))))</f>
        <v/>
      </c>
      <c r="J218" s="23">
        <f>IF(OR($C218="",$I$3=""),"",IF(INDEX(인턴근무계획!$M$3:$R$402,$A218,$I$3)&amp;""="","",IF(LEFT(INDEX(인턴근무계획!$M$3:$R$402,$A218,$I$3)&amp;"",1)="⚠","",MID(INDEX(인턴근무계획!$M$3:$R$402,$A218,$I$3)&amp;"",FIND(" ",INDEX(인턴근무계획!$M$3:$R$402,$A218,$I$3)&amp;"")+1,60))))</f>
        <v/>
      </c>
      <c r="K218" s="23">
        <f>IF($C218="","",INDEX(인턴근무계획!$M$3:$M$402,$A218)&amp;"")</f>
        <v/>
      </c>
      <c r="L218" s="23">
        <f>IF($C218="","",INDEX(인턴근무계획!$N$3:$N$402,$A218)&amp;"")</f>
        <v/>
      </c>
      <c r="M218" s="23">
        <f>IF($C218="","",INDEX(인턴근무계획!$O$3:$O$402,$A218)&amp;"")</f>
        <v/>
      </c>
      <c r="N218" s="23">
        <f>IF($C218="","",INDEX(인턴근무계획!$P$3:$P$402,$A218)&amp;"")</f>
        <v/>
      </c>
      <c r="O218" s="23">
        <f>IF($C218="","",INDEX(인턴근무계획!$Q$3:$Q$402,$A218)&amp;"")</f>
        <v/>
      </c>
      <c r="P218" s="23">
        <f>IF($C218="","",INDEX(인턴근무계획!$R$3:$R$402,$A218)&amp;"")</f>
        <v/>
      </c>
      <c r="Q218" s="23">
        <f>IF($C218="","",INDEX(인턴근무계획!$T$3:$T$402,$A218))</f>
        <v/>
      </c>
    </row>
    <row r="219">
      <c r="A219" s="26" t="n">
        <v>214</v>
      </c>
      <c r="B219" s="23">
        <f>IF($C219="","",INDEX(인턴근무계획!$B$3:$B$402,$A219))</f>
        <v/>
      </c>
      <c r="C219" s="23">
        <f>IFERROR(TRIM(INDEX(인턴근무계획!$C$3:$C$402,$A219)&amp;""),"")</f>
        <v/>
      </c>
      <c r="D219" s="23">
        <f>IF($C219="","",INDEX(인턴근무계획!$D$3:$D$402,$A219))</f>
        <v/>
      </c>
      <c r="E219" s="23">
        <f>IF($C219="","",IF(IFERROR(MATCH($D219,기본자료!$B$2:$B$1001,0),IFERROR(MATCH($D219&amp;"",기본자료!$B$2:$B$1001,0),IFERROR(MATCH(VALUE($D219),기본자료!$B$2:$B$1001,0),0)))&gt;0,"확인","미등록"))</f>
        <v/>
      </c>
      <c r="F219" s="27">
        <f>IF($C219="","",INDEX(인턴근무계획!$S$3:$S$402,$A219))</f>
        <v/>
      </c>
      <c r="G219" s="23">
        <f>IF(OR($C219="",$G$3=""),"",IF(INDEX(인턴근무계획!$M$3:$R$402,$A219,$G$3)&amp;""="","",IF(LEFT(INDEX(인턴근무계획!$M$3:$R$402,$A219,$G$3)&amp;"",1)="⚠",INDEX(인턴근무계획!$M$3:$R$402,$A219,$G$3)&amp;"",LEFT(INDEX(인턴근무계획!$M$3:$R$402,$A219,$G$3)&amp;"",FIND(" ",INDEX(인턴근무계획!$M$3:$R$402,$A219,$G$3)&amp;"")-1))))</f>
        <v/>
      </c>
      <c r="H219" s="23">
        <f>IF(OR($C219="",$G$3=""),"",IF(INDEX(인턴근무계획!$M$3:$R$402,$A219,$G$3)&amp;""="","",IF(LEFT(INDEX(인턴근무계획!$M$3:$R$402,$A219,$G$3)&amp;"",1)="⚠","",MID(INDEX(인턴근무계획!$M$3:$R$402,$A219,$G$3)&amp;"",FIND(" ",INDEX(인턴근무계획!$M$3:$R$402,$A219,$G$3)&amp;"")+1,60))))</f>
        <v/>
      </c>
      <c r="I219" s="23">
        <f>IF(OR($C219="",$I$3=""),"",IF(INDEX(인턴근무계획!$M$3:$R$402,$A219,$I$3)&amp;""="","",IF(LEFT(INDEX(인턴근무계획!$M$3:$R$402,$A219,$I$3)&amp;"",1)="⚠",INDEX(인턴근무계획!$M$3:$R$402,$A219,$I$3)&amp;"",LEFT(INDEX(인턴근무계획!$M$3:$R$402,$A219,$I$3)&amp;"",FIND(" ",INDEX(인턴근무계획!$M$3:$R$402,$A219,$I$3)&amp;"")-1))))</f>
        <v/>
      </c>
      <c r="J219" s="23">
        <f>IF(OR($C219="",$I$3=""),"",IF(INDEX(인턴근무계획!$M$3:$R$402,$A219,$I$3)&amp;""="","",IF(LEFT(INDEX(인턴근무계획!$M$3:$R$402,$A219,$I$3)&amp;"",1)="⚠","",MID(INDEX(인턴근무계획!$M$3:$R$402,$A219,$I$3)&amp;"",FIND(" ",INDEX(인턴근무계획!$M$3:$R$402,$A219,$I$3)&amp;"")+1,60))))</f>
        <v/>
      </c>
      <c r="K219" s="23">
        <f>IF($C219="","",INDEX(인턴근무계획!$M$3:$M$402,$A219)&amp;"")</f>
        <v/>
      </c>
      <c r="L219" s="23">
        <f>IF($C219="","",INDEX(인턴근무계획!$N$3:$N$402,$A219)&amp;"")</f>
        <v/>
      </c>
      <c r="M219" s="23">
        <f>IF($C219="","",INDEX(인턴근무계획!$O$3:$O$402,$A219)&amp;"")</f>
        <v/>
      </c>
      <c r="N219" s="23">
        <f>IF($C219="","",INDEX(인턴근무계획!$P$3:$P$402,$A219)&amp;"")</f>
        <v/>
      </c>
      <c r="O219" s="23">
        <f>IF($C219="","",INDEX(인턴근무계획!$Q$3:$Q$402,$A219)&amp;"")</f>
        <v/>
      </c>
      <c r="P219" s="23">
        <f>IF($C219="","",INDEX(인턴근무계획!$R$3:$R$402,$A219)&amp;"")</f>
        <v/>
      </c>
      <c r="Q219" s="23">
        <f>IF($C219="","",INDEX(인턴근무계획!$T$3:$T$402,$A219))</f>
        <v/>
      </c>
    </row>
    <row r="220">
      <c r="A220" s="26" t="n">
        <v>215</v>
      </c>
      <c r="B220" s="23">
        <f>IF($C220="","",INDEX(인턴근무계획!$B$3:$B$402,$A220))</f>
        <v/>
      </c>
      <c r="C220" s="23">
        <f>IFERROR(TRIM(INDEX(인턴근무계획!$C$3:$C$402,$A220)&amp;""),"")</f>
        <v/>
      </c>
      <c r="D220" s="23">
        <f>IF($C220="","",INDEX(인턴근무계획!$D$3:$D$402,$A220))</f>
        <v/>
      </c>
      <c r="E220" s="23">
        <f>IF($C220="","",IF(IFERROR(MATCH($D220,기본자료!$B$2:$B$1001,0),IFERROR(MATCH($D220&amp;"",기본자료!$B$2:$B$1001,0),IFERROR(MATCH(VALUE($D220),기본자료!$B$2:$B$1001,0),0)))&gt;0,"확인","미등록"))</f>
        <v/>
      </c>
      <c r="F220" s="27">
        <f>IF($C220="","",INDEX(인턴근무계획!$S$3:$S$402,$A220))</f>
        <v/>
      </c>
      <c r="G220" s="23">
        <f>IF(OR($C220="",$G$3=""),"",IF(INDEX(인턴근무계획!$M$3:$R$402,$A220,$G$3)&amp;""="","",IF(LEFT(INDEX(인턴근무계획!$M$3:$R$402,$A220,$G$3)&amp;"",1)="⚠",INDEX(인턴근무계획!$M$3:$R$402,$A220,$G$3)&amp;"",LEFT(INDEX(인턴근무계획!$M$3:$R$402,$A220,$G$3)&amp;"",FIND(" ",INDEX(인턴근무계획!$M$3:$R$402,$A220,$G$3)&amp;"")-1))))</f>
        <v/>
      </c>
      <c r="H220" s="23">
        <f>IF(OR($C220="",$G$3=""),"",IF(INDEX(인턴근무계획!$M$3:$R$402,$A220,$G$3)&amp;""="","",IF(LEFT(INDEX(인턴근무계획!$M$3:$R$402,$A220,$G$3)&amp;"",1)="⚠","",MID(INDEX(인턴근무계획!$M$3:$R$402,$A220,$G$3)&amp;"",FIND(" ",INDEX(인턴근무계획!$M$3:$R$402,$A220,$G$3)&amp;"")+1,60))))</f>
        <v/>
      </c>
      <c r="I220" s="23">
        <f>IF(OR($C220="",$I$3=""),"",IF(INDEX(인턴근무계획!$M$3:$R$402,$A220,$I$3)&amp;""="","",IF(LEFT(INDEX(인턴근무계획!$M$3:$R$402,$A220,$I$3)&amp;"",1)="⚠",INDEX(인턴근무계획!$M$3:$R$402,$A220,$I$3)&amp;"",LEFT(INDEX(인턴근무계획!$M$3:$R$402,$A220,$I$3)&amp;"",FIND(" ",INDEX(인턴근무계획!$M$3:$R$402,$A220,$I$3)&amp;"")-1))))</f>
        <v/>
      </c>
      <c r="J220" s="23">
        <f>IF(OR($C220="",$I$3=""),"",IF(INDEX(인턴근무계획!$M$3:$R$402,$A220,$I$3)&amp;""="","",IF(LEFT(INDEX(인턴근무계획!$M$3:$R$402,$A220,$I$3)&amp;"",1)="⚠","",MID(INDEX(인턴근무계획!$M$3:$R$402,$A220,$I$3)&amp;"",FIND(" ",INDEX(인턴근무계획!$M$3:$R$402,$A220,$I$3)&amp;"")+1,60))))</f>
        <v/>
      </c>
      <c r="K220" s="23">
        <f>IF($C220="","",INDEX(인턴근무계획!$M$3:$M$402,$A220)&amp;"")</f>
        <v/>
      </c>
      <c r="L220" s="23">
        <f>IF($C220="","",INDEX(인턴근무계획!$N$3:$N$402,$A220)&amp;"")</f>
        <v/>
      </c>
      <c r="M220" s="23">
        <f>IF($C220="","",INDEX(인턴근무계획!$O$3:$O$402,$A220)&amp;"")</f>
        <v/>
      </c>
      <c r="N220" s="23">
        <f>IF($C220="","",INDEX(인턴근무계획!$P$3:$P$402,$A220)&amp;"")</f>
        <v/>
      </c>
      <c r="O220" s="23">
        <f>IF($C220="","",INDEX(인턴근무계획!$Q$3:$Q$402,$A220)&amp;"")</f>
        <v/>
      </c>
      <c r="P220" s="23">
        <f>IF($C220="","",INDEX(인턴근무계획!$R$3:$R$402,$A220)&amp;"")</f>
        <v/>
      </c>
      <c r="Q220" s="23">
        <f>IF($C220="","",INDEX(인턴근무계획!$T$3:$T$402,$A220))</f>
        <v/>
      </c>
    </row>
    <row r="221">
      <c r="A221" s="26" t="n">
        <v>216</v>
      </c>
      <c r="B221" s="23">
        <f>IF($C221="","",INDEX(인턴근무계획!$B$3:$B$402,$A221))</f>
        <v/>
      </c>
      <c r="C221" s="23">
        <f>IFERROR(TRIM(INDEX(인턴근무계획!$C$3:$C$402,$A221)&amp;""),"")</f>
        <v/>
      </c>
      <c r="D221" s="23">
        <f>IF($C221="","",INDEX(인턴근무계획!$D$3:$D$402,$A221))</f>
        <v/>
      </c>
      <c r="E221" s="23">
        <f>IF($C221="","",IF(IFERROR(MATCH($D221,기본자료!$B$2:$B$1001,0),IFERROR(MATCH($D221&amp;"",기본자료!$B$2:$B$1001,0),IFERROR(MATCH(VALUE($D221),기본자료!$B$2:$B$1001,0),0)))&gt;0,"확인","미등록"))</f>
        <v/>
      </c>
      <c r="F221" s="27">
        <f>IF($C221="","",INDEX(인턴근무계획!$S$3:$S$402,$A221))</f>
        <v/>
      </c>
      <c r="G221" s="23">
        <f>IF(OR($C221="",$G$3=""),"",IF(INDEX(인턴근무계획!$M$3:$R$402,$A221,$G$3)&amp;""="","",IF(LEFT(INDEX(인턴근무계획!$M$3:$R$402,$A221,$G$3)&amp;"",1)="⚠",INDEX(인턴근무계획!$M$3:$R$402,$A221,$G$3)&amp;"",LEFT(INDEX(인턴근무계획!$M$3:$R$402,$A221,$G$3)&amp;"",FIND(" ",INDEX(인턴근무계획!$M$3:$R$402,$A221,$G$3)&amp;"")-1))))</f>
        <v/>
      </c>
      <c r="H221" s="23">
        <f>IF(OR($C221="",$G$3=""),"",IF(INDEX(인턴근무계획!$M$3:$R$402,$A221,$G$3)&amp;""="","",IF(LEFT(INDEX(인턴근무계획!$M$3:$R$402,$A221,$G$3)&amp;"",1)="⚠","",MID(INDEX(인턴근무계획!$M$3:$R$402,$A221,$G$3)&amp;"",FIND(" ",INDEX(인턴근무계획!$M$3:$R$402,$A221,$G$3)&amp;"")+1,60))))</f>
        <v/>
      </c>
      <c r="I221" s="23">
        <f>IF(OR($C221="",$I$3=""),"",IF(INDEX(인턴근무계획!$M$3:$R$402,$A221,$I$3)&amp;""="","",IF(LEFT(INDEX(인턴근무계획!$M$3:$R$402,$A221,$I$3)&amp;"",1)="⚠",INDEX(인턴근무계획!$M$3:$R$402,$A221,$I$3)&amp;"",LEFT(INDEX(인턴근무계획!$M$3:$R$402,$A221,$I$3)&amp;"",FIND(" ",INDEX(인턴근무계획!$M$3:$R$402,$A221,$I$3)&amp;"")-1))))</f>
        <v/>
      </c>
      <c r="J221" s="23">
        <f>IF(OR($C221="",$I$3=""),"",IF(INDEX(인턴근무계획!$M$3:$R$402,$A221,$I$3)&amp;""="","",IF(LEFT(INDEX(인턴근무계획!$M$3:$R$402,$A221,$I$3)&amp;"",1)="⚠","",MID(INDEX(인턴근무계획!$M$3:$R$402,$A221,$I$3)&amp;"",FIND(" ",INDEX(인턴근무계획!$M$3:$R$402,$A221,$I$3)&amp;"")+1,60))))</f>
        <v/>
      </c>
      <c r="K221" s="23">
        <f>IF($C221="","",INDEX(인턴근무계획!$M$3:$M$402,$A221)&amp;"")</f>
        <v/>
      </c>
      <c r="L221" s="23">
        <f>IF($C221="","",INDEX(인턴근무계획!$N$3:$N$402,$A221)&amp;"")</f>
        <v/>
      </c>
      <c r="M221" s="23">
        <f>IF($C221="","",INDEX(인턴근무계획!$O$3:$O$402,$A221)&amp;"")</f>
        <v/>
      </c>
      <c r="N221" s="23">
        <f>IF($C221="","",INDEX(인턴근무계획!$P$3:$P$402,$A221)&amp;"")</f>
        <v/>
      </c>
      <c r="O221" s="23">
        <f>IF($C221="","",INDEX(인턴근무계획!$Q$3:$Q$402,$A221)&amp;"")</f>
        <v/>
      </c>
      <c r="P221" s="23">
        <f>IF($C221="","",INDEX(인턴근무계획!$R$3:$R$402,$A221)&amp;"")</f>
        <v/>
      </c>
      <c r="Q221" s="23">
        <f>IF($C221="","",INDEX(인턴근무계획!$T$3:$T$402,$A221))</f>
        <v/>
      </c>
    </row>
    <row r="222">
      <c r="A222" s="26" t="n">
        <v>217</v>
      </c>
      <c r="B222" s="23">
        <f>IF($C222="","",INDEX(인턴근무계획!$B$3:$B$402,$A222))</f>
        <v/>
      </c>
      <c r="C222" s="23">
        <f>IFERROR(TRIM(INDEX(인턴근무계획!$C$3:$C$402,$A222)&amp;""),"")</f>
        <v/>
      </c>
      <c r="D222" s="23">
        <f>IF($C222="","",INDEX(인턴근무계획!$D$3:$D$402,$A222))</f>
        <v/>
      </c>
      <c r="E222" s="23">
        <f>IF($C222="","",IF(IFERROR(MATCH($D222,기본자료!$B$2:$B$1001,0),IFERROR(MATCH($D222&amp;"",기본자료!$B$2:$B$1001,0),IFERROR(MATCH(VALUE($D222),기본자료!$B$2:$B$1001,0),0)))&gt;0,"확인","미등록"))</f>
        <v/>
      </c>
      <c r="F222" s="27">
        <f>IF($C222="","",INDEX(인턴근무계획!$S$3:$S$402,$A222))</f>
        <v/>
      </c>
      <c r="G222" s="23">
        <f>IF(OR($C222="",$G$3=""),"",IF(INDEX(인턴근무계획!$M$3:$R$402,$A222,$G$3)&amp;""="","",IF(LEFT(INDEX(인턴근무계획!$M$3:$R$402,$A222,$G$3)&amp;"",1)="⚠",INDEX(인턴근무계획!$M$3:$R$402,$A222,$G$3)&amp;"",LEFT(INDEX(인턴근무계획!$M$3:$R$402,$A222,$G$3)&amp;"",FIND(" ",INDEX(인턴근무계획!$M$3:$R$402,$A222,$G$3)&amp;"")-1))))</f>
        <v/>
      </c>
      <c r="H222" s="23">
        <f>IF(OR($C222="",$G$3=""),"",IF(INDEX(인턴근무계획!$M$3:$R$402,$A222,$G$3)&amp;""="","",IF(LEFT(INDEX(인턴근무계획!$M$3:$R$402,$A222,$G$3)&amp;"",1)="⚠","",MID(INDEX(인턴근무계획!$M$3:$R$402,$A222,$G$3)&amp;"",FIND(" ",INDEX(인턴근무계획!$M$3:$R$402,$A222,$G$3)&amp;"")+1,60))))</f>
        <v/>
      </c>
      <c r="I222" s="23">
        <f>IF(OR($C222="",$I$3=""),"",IF(INDEX(인턴근무계획!$M$3:$R$402,$A222,$I$3)&amp;""="","",IF(LEFT(INDEX(인턴근무계획!$M$3:$R$402,$A222,$I$3)&amp;"",1)="⚠",INDEX(인턴근무계획!$M$3:$R$402,$A222,$I$3)&amp;"",LEFT(INDEX(인턴근무계획!$M$3:$R$402,$A222,$I$3)&amp;"",FIND(" ",INDEX(인턴근무계획!$M$3:$R$402,$A222,$I$3)&amp;"")-1))))</f>
        <v/>
      </c>
      <c r="J222" s="23">
        <f>IF(OR($C222="",$I$3=""),"",IF(INDEX(인턴근무계획!$M$3:$R$402,$A222,$I$3)&amp;""="","",IF(LEFT(INDEX(인턴근무계획!$M$3:$R$402,$A222,$I$3)&amp;"",1)="⚠","",MID(INDEX(인턴근무계획!$M$3:$R$402,$A222,$I$3)&amp;"",FIND(" ",INDEX(인턴근무계획!$M$3:$R$402,$A222,$I$3)&amp;"")+1,60))))</f>
        <v/>
      </c>
      <c r="K222" s="23">
        <f>IF($C222="","",INDEX(인턴근무계획!$M$3:$M$402,$A222)&amp;"")</f>
        <v/>
      </c>
      <c r="L222" s="23">
        <f>IF($C222="","",INDEX(인턴근무계획!$N$3:$N$402,$A222)&amp;"")</f>
        <v/>
      </c>
      <c r="M222" s="23">
        <f>IF($C222="","",INDEX(인턴근무계획!$O$3:$O$402,$A222)&amp;"")</f>
        <v/>
      </c>
      <c r="N222" s="23">
        <f>IF($C222="","",INDEX(인턴근무계획!$P$3:$P$402,$A222)&amp;"")</f>
        <v/>
      </c>
      <c r="O222" s="23">
        <f>IF($C222="","",INDEX(인턴근무계획!$Q$3:$Q$402,$A222)&amp;"")</f>
        <v/>
      </c>
      <c r="P222" s="23">
        <f>IF($C222="","",INDEX(인턴근무계획!$R$3:$R$402,$A222)&amp;"")</f>
        <v/>
      </c>
      <c r="Q222" s="23">
        <f>IF($C222="","",INDEX(인턴근무계획!$T$3:$T$402,$A222))</f>
        <v/>
      </c>
    </row>
    <row r="223">
      <c r="A223" s="26" t="n">
        <v>218</v>
      </c>
      <c r="B223" s="23">
        <f>IF($C223="","",INDEX(인턴근무계획!$B$3:$B$402,$A223))</f>
        <v/>
      </c>
      <c r="C223" s="23">
        <f>IFERROR(TRIM(INDEX(인턴근무계획!$C$3:$C$402,$A223)&amp;""),"")</f>
        <v/>
      </c>
      <c r="D223" s="23">
        <f>IF($C223="","",INDEX(인턴근무계획!$D$3:$D$402,$A223))</f>
        <v/>
      </c>
      <c r="E223" s="23">
        <f>IF($C223="","",IF(IFERROR(MATCH($D223,기본자료!$B$2:$B$1001,0),IFERROR(MATCH($D223&amp;"",기본자료!$B$2:$B$1001,0),IFERROR(MATCH(VALUE($D223),기본자료!$B$2:$B$1001,0),0)))&gt;0,"확인","미등록"))</f>
        <v/>
      </c>
      <c r="F223" s="27">
        <f>IF($C223="","",INDEX(인턴근무계획!$S$3:$S$402,$A223))</f>
        <v/>
      </c>
      <c r="G223" s="23">
        <f>IF(OR($C223="",$G$3=""),"",IF(INDEX(인턴근무계획!$M$3:$R$402,$A223,$G$3)&amp;""="","",IF(LEFT(INDEX(인턴근무계획!$M$3:$R$402,$A223,$G$3)&amp;"",1)="⚠",INDEX(인턴근무계획!$M$3:$R$402,$A223,$G$3)&amp;"",LEFT(INDEX(인턴근무계획!$M$3:$R$402,$A223,$G$3)&amp;"",FIND(" ",INDEX(인턴근무계획!$M$3:$R$402,$A223,$G$3)&amp;"")-1))))</f>
        <v/>
      </c>
      <c r="H223" s="23">
        <f>IF(OR($C223="",$G$3=""),"",IF(INDEX(인턴근무계획!$M$3:$R$402,$A223,$G$3)&amp;""="","",IF(LEFT(INDEX(인턴근무계획!$M$3:$R$402,$A223,$G$3)&amp;"",1)="⚠","",MID(INDEX(인턴근무계획!$M$3:$R$402,$A223,$G$3)&amp;"",FIND(" ",INDEX(인턴근무계획!$M$3:$R$402,$A223,$G$3)&amp;"")+1,60))))</f>
        <v/>
      </c>
      <c r="I223" s="23">
        <f>IF(OR($C223="",$I$3=""),"",IF(INDEX(인턴근무계획!$M$3:$R$402,$A223,$I$3)&amp;""="","",IF(LEFT(INDEX(인턴근무계획!$M$3:$R$402,$A223,$I$3)&amp;"",1)="⚠",INDEX(인턴근무계획!$M$3:$R$402,$A223,$I$3)&amp;"",LEFT(INDEX(인턴근무계획!$M$3:$R$402,$A223,$I$3)&amp;"",FIND(" ",INDEX(인턴근무계획!$M$3:$R$402,$A223,$I$3)&amp;"")-1))))</f>
        <v/>
      </c>
      <c r="J223" s="23">
        <f>IF(OR($C223="",$I$3=""),"",IF(INDEX(인턴근무계획!$M$3:$R$402,$A223,$I$3)&amp;""="","",IF(LEFT(INDEX(인턴근무계획!$M$3:$R$402,$A223,$I$3)&amp;"",1)="⚠","",MID(INDEX(인턴근무계획!$M$3:$R$402,$A223,$I$3)&amp;"",FIND(" ",INDEX(인턴근무계획!$M$3:$R$402,$A223,$I$3)&amp;"")+1,60))))</f>
        <v/>
      </c>
      <c r="K223" s="23">
        <f>IF($C223="","",INDEX(인턴근무계획!$M$3:$M$402,$A223)&amp;"")</f>
        <v/>
      </c>
      <c r="L223" s="23">
        <f>IF($C223="","",INDEX(인턴근무계획!$N$3:$N$402,$A223)&amp;"")</f>
        <v/>
      </c>
      <c r="M223" s="23">
        <f>IF($C223="","",INDEX(인턴근무계획!$O$3:$O$402,$A223)&amp;"")</f>
        <v/>
      </c>
      <c r="N223" s="23">
        <f>IF($C223="","",INDEX(인턴근무계획!$P$3:$P$402,$A223)&amp;"")</f>
        <v/>
      </c>
      <c r="O223" s="23">
        <f>IF($C223="","",INDEX(인턴근무계획!$Q$3:$Q$402,$A223)&amp;"")</f>
        <v/>
      </c>
      <c r="P223" s="23">
        <f>IF($C223="","",INDEX(인턴근무계획!$R$3:$R$402,$A223)&amp;"")</f>
        <v/>
      </c>
      <c r="Q223" s="23">
        <f>IF($C223="","",INDEX(인턴근무계획!$T$3:$T$402,$A223))</f>
        <v/>
      </c>
    </row>
    <row r="224">
      <c r="A224" s="26" t="n">
        <v>219</v>
      </c>
      <c r="B224" s="23">
        <f>IF($C224="","",INDEX(인턴근무계획!$B$3:$B$402,$A224))</f>
        <v/>
      </c>
      <c r="C224" s="23">
        <f>IFERROR(TRIM(INDEX(인턴근무계획!$C$3:$C$402,$A224)&amp;""),"")</f>
        <v/>
      </c>
      <c r="D224" s="23">
        <f>IF($C224="","",INDEX(인턴근무계획!$D$3:$D$402,$A224))</f>
        <v/>
      </c>
      <c r="E224" s="23">
        <f>IF($C224="","",IF(IFERROR(MATCH($D224,기본자료!$B$2:$B$1001,0),IFERROR(MATCH($D224&amp;"",기본자료!$B$2:$B$1001,0),IFERROR(MATCH(VALUE($D224),기본자료!$B$2:$B$1001,0),0)))&gt;0,"확인","미등록"))</f>
        <v/>
      </c>
      <c r="F224" s="27">
        <f>IF($C224="","",INDEX(인턴근무계획!$S$3:$S$402,$A224))</f>
        <v/>
      </c>
      <c r="G224" s="23">
        <f>IF(OR($C224="",$G$3=""),"",IF(INDEX(인턴근무계획!$M$3:$R$402,$A224,$G$3)&amp;""="","",IF(LEFT(INDEX(인턴근무계획!$M$3:$R$402,$A224,$G$3)&amp;"",1)="⚠",INDEX(인턴근무계획!$M$3:$R$402,$A224,$G$3)&amp;"",LEFT(INDEX(인턴근무계획!$M$3:$R$402,$A224,$G$3)&amp;"",FIND(" ",INDEX(인턴근무계획!$M$3:$R$402,$A224,$G$3)&amp;"")-1))))</f>
        <v/>
      </c>
      <c r="H224" s="23">
        <f>IF(OR($C224="",$G$3=""),"",IF(INDEX(인턴근무계획!$M$3:$R$402,$A224,$G$3)&amp;""="","",IF(LEFT(INDEX(인턴근무계획!$M$3:$R$402,$A224,$G$3)&amp;"",1)="⚠","",MID(INDEX(인턴근무계획!$M$3:$R$402,$A224,$G$3)&amp;"",FIND(" ",INDEX(인턴근무계획!$M$3:$R$402,$A224,$G$3)&amp;"")+1,60))))</f>
        <v/>
      </c>
      <c r="I224" s="23">
        <f>IF(OR($C224="",$I$3=""),"",IF(INDEX(인턴근무계획!$M$3:$R$402,$A224,$I$3)&amp;""="","",IF(LEFT(INDEX(인턴근무계획!$M$3:$R$402,$A224,$I$3)&amp;"",1)="⚠",INDEX(인턴근무계획!$M$3:$R$402,$A224,$I$3)&amp;"",LEFT(INDEX(인턴근무계획!$M$3:$R$402,$A224,$I$3)&amp;"",FIND(" ",INDEX(인턴근무계획!$M$3:$R$402,$A224,$I$3)&amp;"")-1))))</f>
        <v/>
      </c>
      <c r="J224" s="23">
        <f>IF(OR($C224="",$I$3=""),"",IF(INDEX(인턴근무계획!$M$3:$R$402,$A224,$I$3)&amp;""="","",IF(LEFT(INDEX(인턴근무계획!$M$3:$R$402,$A224,$I$3)&amp;"",1)="⚠","",MID(INDEX(인턴근무계획!$M$3:$R$402,$A224,$I$3)&amp;"",FIND(" ",INDEX(인턴근무계획!$M$3:$R$402,$A224,$I$3)&amp;"")+1,60))))</f>
        <v/>
      </c>
      <c r="K224" s="23">
        <f>IF($C224="","",INDEX(인턴근무계획!$M$3:$M$402,$A224)&amp;"")</f>
        <v/>
      </c>
      <c r="L224" s="23">
        <f>IF($C224="","",INDEX(인턴근무계획!$N$3:$N$402,$A224)&amp;"")</f>
        <v/>
      </c>
      <c r="M224" s="23">
        <f>IF($C224="","",INDEX(인턴근무계획!$O$3:$O$402,$A224)&amp;"")</f>
        <v/>
      </c>
      <c r="N224" s="23">
        <f>IF($C224="","",INDEX(인턴근무계획!$P$3:$P$402,$A224)&amp;"")</f>
        <v/>
      </c>
      <c r="O224" s="23">
        <f>IF($C224="","",INDEX(인턴근무계획!$Q$3:$Q$402,$A224)&amp;"")</f>
        <v/>
      </c>
      <c r="P224" s="23">
        <f>IF($C224="","",INDEX(인턴근무계획!$R$3:$R$402,$A224)&amp;"")</f>
        <v/>
      </c>
      <c r="Q224" s="23">
        <f>IF($C224="","",INDEX(인턴근무계획!$T$3:$T$402,$A224))</f>
        <v/>
      </c>
    </row>
    <row r="225">
      <c r="A225" s="26" t="n">
        <v>220</v>
      </c>
      <c r="B225" s="23">
        <f>IF($C225="","",INDEX(인턴근무계획!$B$3:$B$402,$A225))</f>
        <v/>
      </c>
      <c r="C225" s="23">
        <f>IFERROR(TRIM(INDEX(인턴근무계획!$C$3:$C$402,$A225)&amp;""),"")</f>
        <v/>
      </c>
      <c r="D225" s="23">
        <f>IF($C225="","",INDEX(인턴근무계획!$D$3:$D$402,$A225))</f>
        <v/>
      </c>
      <c r="E225" s="23">
        <f>IF($C225="","",IF(IFERROR(MATCH($D225,기본자료!$B$2:$B$1001,0),IFERROR(MATCH($D225&amp;"",기본자료!$B$2:$B$1001,0),IFERROR(MATCH(VALUE($D225),기본자료!$B$2:$B$1001,0),0)))&gt;0,"확인","미등록"))</f>
        <v/>
      </c>
      <c r="F225" s="27">
        <f>IF($C225="","",INDEX(인턴근무계획!$S$3:$S$402,$A225))</f>
        <v/>
      </c>
      <c r="G225" s="23">
        <f>IF(OR($C225="",$G$3=""),"",IF(INDEX(인턴근무계획!$M$3:$R$402,$A225,$G$3)&amp;""="","",IF(LEFT(INDEX(인턴근무계획!$M$3:$R$402,$A225,$G$3)&amp;"",1)="⚠",INDEX(인턴근무계획!$M$3:$R$402,$A225,$G$3)&amp;"",LEFT(INDEX(인턴근무계획!$M$3:$R$402,$A225,$G$3)&amp;"",FIND(" ",INDEX(인턴근무계획!$M$3:$R$402,$A225,$G$3)&amp;"")-1))))</f>
        <v/>
      </c>
      <c r="H225" s="23">
        <f>IF(OR($C225="",$G$3=""),"",IF(INDEX(인턴근무계획!$M$3:$R$402,$A225,$G$3)&amp;""="","",IF(LEFT(INDEX(인턴근무계획!$M$3:$R$402,$A225,$G$3)&amp;"",1)="⚠","",MID(INDEX(인턴근무계획!$M$3:$R$402,$A225,$G$3)&amp;"",FIND(" ",INDEX(인턴근무계획!$M$3:$R$402,$A225,$G$3)&amp;"")+1,60))))</f>
        <v/>
      </c>
      <c r="I225" s="23">
        <f>IF(OR($C225="",$I$3=""),"",IF(INDEX(인턴근무계획!$M$3:$R$402,$A225,$I$3)&amp;""="","",IF(LEFT(INDEX(인턴근무계획!$M$3:$R$402,$A225,$I$3)&amp;"",1)="⚠",INDEX(인턴근무계획!$M$3:$R$402,$A225,$I$3)&amp;"",LEFT(INDEX(인턴근무계획!$M$3:$R$402,$A225,$I$3)&amp;"",FIND(" ",INDEX(인턴근무계획!$M$3:$R$402,$A225,$I$3)&amp;"")-1))))</f>
        <v/>
      </c>
      <c r="J225" s="23">
        <f>IF(OR($C225="",$I$3=""),"",IF(INDEX(인턴근무계획!$M$3:$R$402,$A225,$I$3)&amp;""="","",IF(LEFT(INDEX(인턴근무계획!$M$3:$R$402,$A225,$I$3)&amp;"",1)="⚠","",MID(INDEX(인턴근무계획!$M$3:$R$402,$A225,$I$3)&amp;"",FIND(" ",INDEX(인턴근무계획!$M$3:$R$402,$A225,$I$3)&amp;"")+1,60))))</f>
        <v/>
      </c>
      <c r="K225" s="23">
        <f>IF($C225="","",INDEX(인턴근무계획!$M$3:$M$402,$A225)&amp;"")</f>
        <v/>
      </c>
      <c r="L225" s="23">
        <f>IF($C225="","",INDEX(인턴근무계획!$N$3:$N$402,$A225)&amp;"")</f>
        <v/>
      </c>
      <c r="M225" s="23">
        <f>IF($C225="","",INDEX(인턴근무계획!$O$3:$O$402,$A225)&amp;"")</f>
        <v/>
      </c>
      <c r="N225" s="23">
        <f>IF($C225="","",INDEX(인턴근무계획!$P$3:$P$402,$A225)&amp;"")</f>
        <v/>
      </c>
      <c r="O225" s="23">
        <f>IF($C225="","",INDEX(인턴근무계획!$Q$3:$Q$402,$A225)&amp;"")</f>
        <v/>
      </c>
      <c r="P225" s="23">
        <f>IF($C225="","",INDEX(인턴근무계획!$R$3:$R$402,$A225)&amp;"")</f>
        <v/>
      </c>
      <c r="Q225" s="23">
        <f>IF($C225="","",INDEX(인턴근무계획!$T$3:$T$402,$A225))</f>
        <v/>
      </c>
    </row>
    <row r="226">
      <c r="A226" s="26" t="n">
        <v>221</v>
      </c>
      <c r="B226" s="23">
        <f>IF($C226="","",INDEX(인턴근무계획!$B$3:$B$402,$A226))</f>
        <v/>
      </c>
      <c r="C226" s="23">
        <f>IFERROR(TRIM(INDEX(인턴근무계획!$C$3:$C$402,$A226)&amp;""),"")</f>
        <v/>
      </c>
      <c r="D226" s="23">
        <f>IF($C226="","",INDEX(인턴근무계획!$D$3:$D$402,$A226))</f>
        <v/>
      </c>
      <c r="E226" s="23">
        <f>IF($C226="","",IF(IFERROR(MATCH($D226,기본자료!$B$2:$B$1001,0),IFERROR(MATCH($D226&amp;"",기본자료!$B$2:$B$1001,0),IFERROR(MATCH(VALUE($D226),기본자료!$B$2:$B$1001,0),0)))&gt;0,"확인","미등록"))</f>
        <v/>
      </c>
      <c r="F226" s="27">
        <f>IF($C226="","",INDEX(인턴근무계획!$S$3:$S$402,$A226))</f>
        <v/>
      </c>
      <c r="G226" s="23">
        <f>IF(OR($C226="",$G$3=""),"",IF(INDEX(인턴근무계획!$M$3:$R$402,$A226,$G$3)&amp;""="","",IF(LEFT(INDEX(인턴근무계획!$M$3:$R$402,$A226,$G$3)&amp;"",1)="⚠",INDEX(인턴근무계획!$M$3:$R$402,$A226,$G$3)&amp;"",LEFT(INDEX(인턴근무계획!$M$3:$R$402,$A226,$G$3)&amp;"",FIND(" ",INDEX(인턴근무계획!$M$3:$R$402,$A226,$G$3)&amp;"")-1))))</f>
        <v/>
      </c>
      <c r="H226" s="23">
        <f>IF(OR($C226="",$G$3=""),"",IF(INDEX(인턴근무계획!$M$3:$R$402,$A226,$G$3)&amp;""="","",IF(LEFT(INDEX(인턴근무계획!$M$3:$R$402,$A226,$G$3)&amp;"",1)="⚠","",MID(INDEX(인턴근무계획!$M$3:$R$402,$A226,$G$3)&amp;"",FIND(" ",INDEX(인턴근무계획!$M$3:$R$402,$A226,$G$3)&amp;"")+1,60))))</f>
        <v/>
      </c>
      <c r="I226" s="23">
        <f>IF(OR($C226="",$I$3=""),"",IF(INDEX(인턴근무계획!$M$3:$R$402,$A226,$I$3)&amp;""="","",IF(LEFT(INDEX(인턴근무계획!$M$3:$R$402,$A226,$I$3)&amp;"",1)="⚠",INDEX(인턴근무계획!$M$3:$R$402,$A226,$I$3)&amp;"",LEFT(INDEX(인턴근무계획!$M$3:$R$402,$A226,$I$3)&amp;"",FIND(" ",INDEX(인턴근무계획!$M$3:$R$402,$A226,$I$3)&amp;"")-1))))</f>
        <v/>
      </c>
      <c r="J226" s="23">
        <f>IF(OR($C226="",$I$3=""),"",IF(INDEX(인턴근무계획!$M$3:$R$402,$A226,$I$3)&amp;""="","",IF(LEFT(INDEX(인턴근무계획!$M$3:$R$402,$A226,$I$3)&amp;"",1)="⚠","",MID(INDEX(인턴근무계획!$M$3:$R$402,$A226,$I$3)&amp;"",FIND(" ",INDEX(인턴근무계획!$M$3:$R$402,$A226,$I$3)&amp;"")+1,60))))</f>
        <v/>
      </c>
      <c r="K226" s="23">
        <f>IF($C226="","",INDEX(인턴근무계획!$M$3:$M$402,$A226)&amp;"")</f>
        <v/>
      </c>
      <c r="L226" s="23">
        <f>IF($C226="","",INDEX(인턴근무계획!$N$3:$N$402,$A226)&amp;"")</f>
        <v/>
      </c>
      <c r="M226" s="23">
        <f>IF($C226="","",INDEX(인턴근무계획!$O$3:$O$402,$A226)&amp;"")</f>
        <v/>
      </c>
      <c r="N226" s="23">
        <f>IF($C226="","",INDEX(인턴근무계획!$P$3:$P$402,$A226)&amp;"")</f>
        <v/>
      </c>
      <c r="O226" s="23">
        <f>IF($C226="","",INDEX(인턴근무계획!$Q$3:$Q$402,$A226)&amp;"")</f>
        <v/>
      </c>
      <c r="P226" s="23">
        <f>IF($C226="","",INDEX(인턴근무계획!$R$3:$R$402,$A226)&amp;"")</f>
        <v/>
      </c>
      <c r="Q226" s="23">
        <f>IF($C226="","",INDEX(인턴근무계획!$T$3:$T$402,$A226))</f>
        <v/>
      </c>
    </row>
    <row r="227">
      <c r="A227" s="26" t="n">
        <v>222</v>
      </c>
      <c r="B227" s="23">
        <f>IF($C227="","",INDEX(인턴근무계획!$B$3:$B$402,$A227))</f>
        <v/>
      </c>
      <c r="C227" s="23">
        <f>IFERROR(TRIM(INDEX(인턴근무계획!$C$3:$C$402,$A227)&amp;""),"")</f>
        <v/>
      </c>
      <c r="D227" s="23">
        <f>IF($C227="","",INDEX(인턴근무계획!$D$3:$D$402,$A227))</f>
        <v/>
      </c>
      <c r="E227" s="23">
        <f>IF($C227="","",IF(IFERROR(MATCH($D227,기본자료!$B$2:$B$1001,0),IFERROR(MATCH($D227&amp;"",기본자료!$B$2:$B$1001,0),IFERROR(MATCH(VALUE($D227),기본자료!$B$2:$B$1001,0),0)))&gt;0,"확인","미등록"))</f>
        <v/>
      </c>
      <c r="F227" s="27">
        <f>IF($C227="","",INDEX(인턴근무계획!$S$3:$S$402,$A227))</f>
        <v/>
      </c>
      <c r="G227" s="23">
        <f>IF(OR($C227="",$G$3=""),"",IF(INDEX(인턴근무계획!$M$3:$R$402,$A227,$G$3)&amp;""="","",IF(LEFT(INDEX(인턴근무계획!$M$3:$R$402,$A227,$G$3)&amp;"",1)="⚠",INDEX(인턴근무계획!$M$3:$R$402,$A227,$G$3)&amp;"",LEFT(INDEX(인턴근무계획!$M$3:$R$402,$A227,$G$3)&amp;"",FIND(" ",INDEX(인턴근무계획!$M$3:$R$402,$A227,$G$3)&amp;"")-1))))</f>
        <v/>
      </c>
      <c r="H227" s="23">
        <f>IF(OR($C227="",$G$3=""),"",IF(INDEX(인턴근무계획!$M$3:$R$402,$A227,$G$3)&amp;""="","",IF(LEFT(INDEX(인턴근무계획!$M$3:$R$402,$A227,$G$3)&amp;"",1)="⚠","",MID(INDEX(인턴근무계획!$M$3:$R$402,$A227,$G$3)&amp;"",FIND(" ",INDEX(인턴근무계획!$M$3:$R$402,$A227,$G$3)&amp;"")+1,60))))</f>
        <v/>
      </c>
      <c r="I227" s="23">
        <f>IF(OR($C227="",$I$3=""),"",IF(INDEX(인턴근무계획!$M$3:$R$402,$A227,$I$3)&amp;""="","",IF(LEFT(INDEX(인턴근무계획!$M$3:$R$402,$A227,$I$3)&amp;"",1)="⚠",INDEX(인턴근무계획!$M$3:$R$402,$A227,$I$3)&amp;"",LEFT(INDEX(인턴근무계획!$M$3:$R$402,$A227,$I$3)&amp;"",FIND(" ",INDEX(인턴근무계획!$M$3:$R$402,$A227,$I$3)&amp;"")-1))))</f>
        <v/>
      </c>
      <c r="J227" s="23">
        <f>IF(OR($C227="",$I$3=""),"",IF(INDEX(인턴근무계획!$M$3:$R$402,$A227,$I$3)&amp;""="","",IF(LEFT(INDEX(인턴근무계획!$M$3:$R$402,$A227,$I$3)&amp;"",1)="⚠","",MID(INDEX(인턴근무계획!$M$3:$R$402,$A227,$I$3)&amp;"",FIND(" ",INDEX(인턴근무계획!$M$3:$R$402,$A227,$I$3)&amp;"")+1,60))))</f>
        <v/>
      </c>
      <c r="K227" s="23">
        <f>IF($C227="","",INDEX(인턴근무계획!$M$3:$M$402,$A227)&amp;"")</f>
        <v/>
      </c>
      <c r="L227" s="23">
        <f>IF($C227="","",INDEX(인턴근무계획!$N$3:$N$402,$A227)&amp;"")</f>
        <v/>
      </c>
      <c r="M227" s="23">
        <f>IF($C227="","",INDEX(인턴근무계획!$O$3:$O$402,$A227)&amp;"")</f>
        <v/>
      </c>
      <c r="N227" s="23">
        <f>IF($C227="","",INDEX(인턴근무계획!$P$3:$P$402,$A227)&amp;"")</f>
        <v/>
      </c>
      <c r="O227" s="23">
        <f>IF($C227="","",INDEX(인턴근무계획!$Q$3:$Q$402,$A227)&amp;"")</f>
        <v/>
      </c>
      <c r="P227" s="23">
        <f>IF($C227="","",INDEX(인턴근무계획!$R$3:$R$402,$A227)&amp;"")</f>
        <v/>
      </c>
      <c r="Q227" s="23">
        <f>IF($C227="","",INDEX(인턴근무계획!$T$3:$T$402,$A227))</f>
        <v/>
      </c>
    </row>
    <row r="228">
      <c r="A228" s="26" t="n">
        <v>223</v>
      </c>
      <c r="B228" s="23">
        <f>IF($C228="","",INDEX(인턴근무계획!$B$3:$B$402,$A228))</f>
        <v/>
      </c>
      <c r="C228" s="23">
        <f>IFERROR(TRIM(INDEX(인턴근무계획!$C$3:$C$402,$A228)&amp;""),"")</f>
        <v/>
      </c>
      <c r="D228" s="23">
        <f>IF($C228="","",INDEX(인턴근무계획!$D$3:$D$402,$A228))</f>
        <v/>
      </c>
      <c r="E228" s="23">
        <f>IF($C228="","",IF(IFERROR(MATCH($D228,기본자료!$B$2:$B$1001,0),IFERROR(MATCH($D228&amp;"",기본자료!$B$2:$B$1001,0),IFERROR(MATCH(VALUE($D228),기본자료!$B$2:$B$1001,0),0)))&gt;0,"확인","미등록"))</f>
        <v/>
      </c>
      <c r="F228" s="27">
        <f>IF($C228="","",INDEX(인턴근무계획!$S$3:$S$402,$A228))</f>
        <v/>
      </c>
      <c r="G228" s="23">
        <f>IF(OR($C228="",$G$3=""),"",IF(INDEX(인턴근무계획!$M$3:$R$402,$A228,$G$3)&amp;""="","",IF(LEFT(INDEX(인턴근무계획!$M$3:$R$402,$A228,$G$3)&amp;"",1)="⚠",INDEX(인턴근무계획!$M$3:$R$402,$A228,$G$3)&amp;"",LEFT(INDEX(인턴근무계획!$M$3:$R$402,$A228,$G$3)&amp;"",FIND(" ",INDEX(인턴근무계획!$M$3:$R$402,$A228,$G$3)&amp;"")-1))))</f>
        <v/>
      </c>
      <c r="H228" s="23">
        <f>IF(OR($C228="",$G$3=""),"",IF(INDEX(인턴근무계획!$M$3:$R$402,$A228,$G$3)&amp;""="","",IF(LEFT(INDEX(인턴근무계획!$M$3:$R$402,$A228,$G$3)&amp;"",1)="⚠","",MID(INDEX(인턴근무계획!$M$3:$R$402,$A228,$G$3)&amp;"",FIND(" ",INDEX(인턴근무계획!$M$3:$R$402,$A228,$G$3)&amp;"")+1,60))))</f>
        <v/>
      </c>
      <c r="I228" s="23">
        <f>IF(OR($C228="",$I$3=""),"",IF(INDEX(인턴근무계획!$M$3:$R$402,$A228,$I$3)&amp;""="","",IF(LEFT(INDEX(인턴근무계획!$M$3:$R$402,$A228,$I$3)&amp;"",1)="⚠",INDEX(인턴근무계획!$M$3:$R$402,$A228,$I$3)&amp;"",LEFT(INDEX(인턴근무계획!$M$3:$R$402,$A228,$I$3)&amp;"",FIND(" ",INDEX(인턴근무계획!$M$3:$R$402,$A228,$I$3)&amp;"")-1))))</f>
        <v/>
      </c>
      <c r="J228" s="23">
        <f>IF(OR($C228="",$I$3=""),"",IF(INDEX(인턴근무계획!$M$3:$R$402,$A228,$I$3)&amp;""="","",IF(LEFT(INDEX(인턴근무계획!$M$3:$R$402,$A228,$I$3)&amp;"",1)="⚠","",MID(INDEX(인턴근무계획!$M$3:$R$402,$A228,$I$3)&amp;"",FIND(" ",INDEX(인턴근무계획!$M$3:$R$402,$A228,$I$3)&amp;"")+1,60))))</f>
        <v/>
      </c>
      <c r="K228" s="23">
        <f>IF($C228="","",INDEX(인턴근무계획!$M$3:$M$402,$A228)&amp;"")</f>
        <v/>
      </c>
      <c r="L228" s="23">
        <f>IF($C228="","",INDEX(인턴근무계획!$N$3:$N$402,$A228)&amp;"")</f>
        <v/>
      </c>
      <c r="M228" s="23">
        <f>IF($C228="","",INDEX(인턴근무계획!$O$3:$O$402,$A228)&amp;"")</f>
        <v/>
      </c>
      <c r="N228" s="23">
        <f>IF($C228="","",INDEX(인턴근무계획!$P$3:$P$402,$A228)&amp;"")</f>
        <v/>
      </c>
      <c r="O228" s="23">
        <f>IF($C228="","",INDEX(인턴근무계획!$Q$3:$Q$402,$A228)&amp;"")</f>
        <v/>
      </c>
      <c r="P228" s="23">
        <f>IF($C228="","",INDEX(인턴근무계획!$R$3:$R$402,$A228)&amp;"")</f>
        <v/>
      </c>
      <c r="Q228" s="23">
        <f>IF($C228="","",INDEX(인턴근무계획!$T$3:$T$402,$A228))</f>
        <v/>
      </c>
    </row>
    <row r="229">
      <c r="A229" s="26" t="n">
        <v>224</v>
      </c>
      <c r="B229" s="23">
        <f>IF($C229="","",INDEX(인턴근무계획!$B$3:$B$402,$A229))</f>
        <v/>
      </c>
      <c r="C229" s="23">
        <f>IFERROR(TRIM(INDEX(인턴근무계획!$C$3:$C$402,$A229)&amp;""),"")</f>
        <v/>
      </c>
      <c r="D229" s="23">
        <f>IF($C229="","",INDEX(인턴근무계획!$D$3:$D$402,$A229))</f>
        <v/>
      </c>
      <c r="E229" s="23">
        <f>IF($C229="","",IF(IFERROR(MATCH($D229,기본자료!$B$2:$B$1001,0),IFERROR(MATCH($D229&amp;"",기본자료!$B$2:$B$1001,0),IFERROR(MATCH(VALUE($D229),기본자료!$B$2:$B$1001,0),0)))&gt;0,"확인","미등록"))</f>
        <v/>
      </c>
      <c r="F229" s="27">
        <f>IF($C229="","",INDEX(인턴근무계획!$S$3:$S$402,$A229))</f>
        <v/>
      </c>
      <c r="G229" s="23">
        <f>IF(OR($C229="",$G$3=""),"",IF(INDEX(인턴근무계획!$M$3:$R$402,$A229,$G$3)&amp;""="","",IF(LEFT(INDEX(인턴근무계획!$M$3:$R$402,$A229,$G$3)&amp;"",1)="⚠",INDEX(인턴근무계획!$M$3:$R$402,$A229,$G$3)&amp;"",LEFT(INDEX(인턴근무계획!$M$3:$R$402,$A229,$G$3)&amp;"",FIND(" ",INDEX(인턴근무계획!$M$3:$R$402,$A229,$G$3)&amp;"")-1))))</f>
        <v/>
      </c>
      <c r="H229" s="23">
        <f>IF(OR($C229="",$G$3=""),"",IF(INDEX(인턴근무계획!$M$3:$R$402,$A229,$G$3)&amp;""="","",IF(LEFT(INDEX(인턴근무계획!$M$3:$R$402,$A229,$G$3)&amp;"",1)="⚠","",MID(INDEX(인턴근무계획!$M$3:$R$402,$A229,$G$3)&amp;"",FIND(" ",INDEX(인턴근무계획!$M$3:$R$402,$A229,$G$3)&amp;"")+1,60))))</f>
        <v/>
      </c>
      <c r="I229" s="23">
        <f>IF(OR($C229="",$I$3=""),"",IF(INDEX(인턴근무계획!$M$3:$R$402,$A229,$I$3)&amp;""="","",IF(LEFT(INDEX(인턴근무계획!$M$3:$R$402,$A229,$I$3)&amp;"",1)="⚠",INDEX(인턴근무계획!$M$3:$R$402,$A229,$I$3)&amp;"",LEFT(INDEX(인턴근무계획!$M$3:$R$402,$A229,$I$3)&amp;"",FIND(" ",INDEX(인턴근무계획!$M$3:$R$402,$A229,$I$3)&amp;"")-1))))</f>
        <v/>
      </c>
      <c r="J229" s="23">
        <f>IF(OR($C229="",$I$3=""),"",IF(INDEX(인턴근무계획!$M$3:$R$402,$A229,$I$3)&amp;""="","",IF(LEFT(INDEX(인턴근무계획!$M$3:$R$402,$A229,$I$3)&amp;"",1)="⚠","",MID(INDEX(인턴근무계획!$M$3:$R$402,$A229,$I$3)&amp;"",FIND(" ",INDEX(인턴근무계획!$M$3:$R$402,$A229,$I$3)&amp;"")+1,60))))</f>
        <v/>
      </c>
      <c r="K229" s="23">
        <f>IF($C229="","",INDEX(인턴근무계획!$M$3:$M$402,$A229)&amp;"")</f>
        <v/>
      </c>
      <c r="L229" s="23">
        <f>IF($C229="","",INDEX(인턴근무계획!$N$3:$N$402,$A229)&amp;"")</f>
        <v/>
      </c>
      <c r="M229" s="23">
        <f>IF($C229="","",INDEX(인턴근무계획!$O$3:$O$402,$A229)&amp;"")</f>
        <v/>
      </c>
      <c r="N229" s="23">
        <f>IF($C229="","",INDEX(인턴근무계획!$P$3:$P$402,$A229)&amp;"")</f>
        <v/>
      </c>
      <c r="O229" s="23">
        <f>IF($C229="","",INDEX(인턴근무계획!$Q$3:$Q$402,$A229)&amp;"")</f>
        <v/>
      </c>
      <c r="P229" s="23">
        <f>IF($C229="","",INDEX(인턴근무계획!$R$3:$R$402,$A229)&amp;"")</f>
        <v/>
      </c>
      <c r="Q229" s="23">
        <f>IF($C229="","",INDEX(인턴근무계획!$T$3:$T$402,$A229))</f>
        <v/>
      </c>
    </row>
    <row r="230">
      <c r="A230" s="26" t="n">
        <v>225</v>
      </c>
      <c r="B230" s="23">
        <f>IF($C230="","",INDEX(인턴근무계획!$B$3:$B$402,$A230))</f>
        <v/>
      </c>
      <c r="C230" s="23">
        <f>IFERROR(TRIM(INDEX(인턴근무계획!$C$3:$C$402,$A230)&amp;""),"")</f>
        <v/>
      </c>
      <c r="D230" s="23">
        <f>IF($C230="","",INDEX(인턴근무계획!$D$3:$D$402,$A230))</f>
        <v/>
      </c>
      <c r="E230" s="23">
        <f>IF($C230="","",IF(IFERROR(MATCH($D230,기본자료!$B$2:$B$1001,0),IFERROR(MATCH($D230&amp;"",기본자료!$B$2:$B$1001,0),IFERROR(MATCH(VALUE($D230),기본자료!$B$2:$B$1001,0),0)))&gt;0,"확인","미등록"))</f>
        <v/>
      </c>
      <c r="F230" s="27">
        <f>IF($C230="","",INDEX(인턴근무계획!$S$3:$S$402,$A230))</f>
        <v/>
      </c>
      <c r="G230" s="23">
        <f>IF(OR($C230="",$G$3=""),"",IF(INDEX(인턴근무계획!$M$3:$R$402,$A230,$G$3)&amp;""="","",IF(LEFT(INDEX(인턴근무계획!$M$3:$R$402,$A230,$G$3)&amp;"",1)="⚠",INDEX(인턴근무계획!$M$3:$R$402,$A230,$G$3)&amp;"",LEFT(INDEX(인턴근무계획!$M$3:$R$402,$A230,$G$3)&amp;"",FIND(" ",INDEX(인턴근무계획!$M$3:$R$402,$A230,$G$3)&amp;"")-1))))</f>
        <v/>
      </c>
      <c r="H230" s="23">
        <f>IF(OR($C230="",$G$3=""),"",IF(INDEX(인턴근무계획!$M$3:$R$402,$A230,$G$3)&amp;""="","",IF(LEFT(INDEX(인턴근무계획!$M$3:$R$402,$A230,$G$3)&amp;"",1)="⚠","",MID(INDEX(인턴근무계획!$M$3:$R$402,$A230,$G$3)&amp;"",FIND(" ",INDEX(인턴근무계획!$M$3:$R$402,$A230,$G$3)&amp;"")+1,60))))</f>
        <v/>
      </c>
      <c r="I230" s="23">
        <f>IF(OR($C230="",$I$3=""),"",IF(INDEX(인턴근무계획!$M$3:$R$402,$A230,$I$3)&amp;""="","",IF(LEFT(INDEX(인턴근무계획!$M$3:$R$402,$A230,$I$3)&amp;"",1)="⚠",INDEX(인턴근무계획!$M$3:$R$402,$A230,$I$3)&amp;"",LEFT(INDEX(인턴근무계획!$M$3:$R$402,$A230,$I$3)&amp;"",FIND(" ",INDEX(인턴근무계획!$M$3:$R$402,$A230,$I$3)&amp;"")-1))))</f>
        <v/>
      </c>
      <c r="J230" s="23">
        <f>IF(OR($C230="",$I$3=""),"",IF(INDEX(인턴근무계획!$M$3:$R$402,$A230,$I$3)&amp;""="","",IF(LEFT(INDEX(인턴근무계획!$M$3:$R$402,$A230,$I$3)&amp;"",1)="⚠","",MID(INDEX(인턴근무계획!$M$3:$R$402,$A230,$I$3)&amp;"",FIND(" ",INDEX(인턴근무계획!$M$3:$R$402,$A230,$I$3)&amp;"")+1,60))))</f>
        <v/>
      </c>
      <c r="K230" s="23">
        <f>IF($C230="","",INDEX(인턴근무계획!$M$3:$M$402,$A230)&amp;"")</f>
        <v/>
      </c>
      <c r="L230" s="23">
        <f>IF($C230="","",INDEX(인턴근무계획!$N$3:$N$402,$A230)&amp;"")</f>
        <v/>
      </c>
      <c r="M230" s="23">
        <f>IF($C230="","",INDEX(인턴근무계획!$O$3:$O$402,$A230)&amp;"")</f>
        <v/>
      </c>
      <c r="N230" s="23">
        <f>IF($C230="","",INDEX(인턴근무계획!$P$3:$P$402,$A230)&amp;"")</f>
        <v/>
      </c>
      <c r="O230" s="23">
        <f>IF($C230="","",INDEX(인턴근무계획!$Q$3:$Q$402,$A230)&amp;"")</f>
        <v/>
      </c>
      <c r="P230" s="23">
        <f>IF($C230="","",INDEX(인턴근무계획!$R$3:$R$402,$A230)&amp;"")</f>
        <v/>
      </c>
      <c r="Q230" s="23">
        <f>IF($C230="","",INDEX(인턴근무계획!$T$3:$T$402,$A230))</f>
        <v/>
      </c>
    </row>
    <row r="231">
      <c r="A231" s="26" t="n">
        <v>226</v>
      </c>
      <c r="B231" s="23">
        <f>IF($C231="","",INDEX(인턴근무계획!$B$3:$B$402,$A231))</f>
        <v/>
      </c>
      <c r="C231" s="23">
        <f>IFERROR(TRIM(INDEX(인턴근무계획!$C$3:$C$402,$A231)&amp;""),"")</f>
        <v/>
      </c>
      <c r="D231" s="23">
        <f>IF($C231="","",INDEX(인턴근무계획!$D$3:$D$402,$A231))</f>
        <v/>
      </c>
      <c r="E231" s="23">
        <f>IF($C231="","",IF(IFERROR(MATCH($D231,기본자료!$B$2:$B$1001,0),IFERROR(MATCH($D231&amp;"",기본자료!$B$2:$B$1001,0),IFERROR(MATCH(VALUE($D231),기본자료!$B$2:$B$1001,0),0)))&gt;0,"확인","미등록"))</f>
        <v/>
      </c>
      <c r="F231" s="27">
        <f>IF($C231="","",INDEX(인턴근무계획!$S$3:$S$402,$A231))</f>
        <v/>
      </c>
      <c r="G231" s="23">
        <f>IF(OR($C231="",$G$3=""),"",IF(INDEX(인턴근무계획!$M$3:$R$402,$A231,$G$3)&amp;""="","",IF(LEFT(INDEX(인턴근무계획!$M$3:$R$402,$A231,$G$3)&amp;"",1)="⚠",INDEX(인턴근무계획!$M$3:$R$402,$A231,$G$3)&amp;"",LEFT(INDEX(인턴근무계획!$M$3:$R$402,$A231,$G$3)&amp;"",FIND(" ",INDEX(인턴근무계획!$M$3:$R$402,$A231,$G$3)&amp;"")-1))))</f>
        <v/>
      </c>
      <c r="H231" s="23">
        <f>IF(OR($C231="",$G$3=""),"",IF(INDEX(인턴근무계획!$M$3:$R$402,$A231,$G$3)&amp;""="","",IF(LEFT(INDEX(인턴근무계획!$M$3:$R$402,$A231,$G$3)&amp;"",1)="⚠","",MID(INDEX(인턴근무계획!$M$3:$R$402,$A231,$G$3)&amp;"",FIND(" ",INDEX(인턴근무계획!$M$3:$R$402,$A231,$G$3)&amp;"")+1,60))))</f>
        <v/>
      </c>
      <c r="I231" s="23">
        <f>IF(OR($C231="",$I$3=""),"",IF(INDEX(인턴근무계획!$M$3:$R$402,$A231,$I$3)&amp;""="","",IF(LEFT(INDEX(인턴근무계획!$M$3:$R$402,$A231,$I$3)&amp;"",1)="⚠",INDEX(인턴근무계획!$M$3:$R$402,$A231,$I$3)&amp;"",LEFT(INDEX(인턴근무계획!$M$3:$R$402,$A231,$I$3)&amp;"",FIND(" ",INDEX(인턴근무계획!$M$3:$R$402,$A231,$I$3)&amp;"")-1))))</f>
        <v/>
      </c>
      <c r="J231" s="23">
        <f>IF(OR($C231="",$I$3=""),"",IF(INDEX(인턴근무계획!$M$3:$R$402,$A231,$I$3)&amp;""="","",IF(LEFT(INDEX(인턴근무계획!$M$3:$R$402,$A231,$I$3)&amp;"",1)="⚠","",MID(INDEX(인턴근무계획!$M$3:$R$402,$A231,$I$3)&amp;"",FIND(" ",INDEX(인턴근무계획!$M$3:$R$402,$A231,$I$3)&amp;"")+1,60))))</f>
        <v/>
      </c>
      <c r="K231" s="23">
        <f>IF($C231="","",INDEX(인턴근무계획!$M$3:$M$402,$A231)&amp;"")</f>
        <v/>
      </c>
      <c r="L231" s="23">
        <f>IF($C231="","",INDEX(인턴근무계획!$N$3:$N$402,$A231)&amp;"")</f>
        <v/>
      </c>
      <c r="M231" s="23">
        <f>IF($C231="","",INDEX(인턴근무계획!$O$3:$O$402,$A231)&amp;"")</f>
        <v/>
      </c>
      <c r="N231" s="23">
        <f>IF($C231="","",INDEX(인턴근무계획!$P$3:$P$402,$A231)&amp;"")</f>
        <v/>
      </c>
      <c r="O231" s="23">
        <f>IF($C231="","",INDEX(인턴근무계획!$Q$3:$Q$402,$A231)&amp;"")</f>
        <v/>
      </c>
      <c r="P231" s="23">
        <f>IF($C231="","",INDEX(인턴근무계획!$R$3:$R$402,$A231)&amp;"")</f>
        <v/>
      </c>
      <c r="Q231" s="23">
        <f>IF($C231="","",INDEX(인턴근무계획!$T$3:$T$402,$A231))</f>
        <v/>
      </c>
    </row>
    <row r="232">
      <c r="A232" s="26" t="n">
        <v>227</v>
      </c>
      <c r="B232" s="23">
        <f>IF($C232="","",INDEX(인턴근무계획!$B$3:$B$402,$A232))</f>
        <v/>
      </c>
      <c r="C232" s="23">
        <f>IFERROR(TRIM(INDEX(인턴근무계획!$C$3:$C$402,$A232)&amp;""),"")</f>
        <v/>
      </c>
      <c r="D232" s="23">
        <f>IF($C232="","",INDEX(인턴근무계획!$D$3:$D$402,$A232))</f>
        <v/>
      </c>
      <c r="E232" s="23">
        <f>IF($C232="","",IF(IFERROR(MATCH($D232,기본자료!$B$2:$B$1001,0),IFERROR(MATCH($D232&amp;"",기본자료!$B$2:$B$1001,0),IFERROR(MATCH(VALUE($D232),기본자료!$B$2:$B$1001,0),0)))&gt;0,"확인","미등록"))</f>
        <v/>
      </c>
      <c r="F232" s="27">
        <f>IF($C232="","",INDEX(인턴근무계획!$S$3:$S$402,$A232))</f>
        <v/>
      </c>
      <c r="G232" s="23">
        <f>IF(OR($C232="",$G$3=""),"",IF(INDEX(인턴근무계획!$M$3:$R$402,$A232,$G$3)&amp;""="","",IF(LEFT(INDEX(인턴근무계획!$M$3:$R$402,$A232,$G$3)&amp;"",1)="⚠",INDEX(인턴근무계획!$M$3:$R$402,$A232,$G$3)&amp;"",LEFT(INDEX(인턴근무계획!$M$3:$R$402,$A232,$G$3)&amp;"",FIND(" ",INDEX(인턴근무계획!$M$3:$R$402,$A232,$G$3)&amp;"")-1))))</f>
        <v/>
      </c>
      <c r="H232" s="23">
        <f>IF(OR($C232="",$G$3=""),"",IF(INDEX(인턴근무계획!$M$3:$R$402,$A232,$G$3)&amp;""="","",IF(LEFT(INDEX(인턴근무계획!$M$3:$R$402,$A232,$G$3)&amp;"",1)="⚠","",MID(INDEX(인턴근무계획!$M$3:$R$402,$A232,$G$3)&amp;"",FIND(" ",INDEX(인턴근무계획!$M$3:$R$402,$A232,$G$3)&amp;"")+1,60))))</f>
        <v/>
      </c>
      <c r="I232" s="23">
        <f>IF(OR($C232="",$I$3=""),"",IF(INDEX(인턴근무계획!$M$3:$R$402,$A232,$I$3)&amp;""="","",IF(LEFT(INDEX(인턴근무계획!$M$3:$R$402,$A232,$I$3)&amp;"",1)="⚠",INDEX(인턴근무계획!$M$3:$R$402,$A232,$I$3)&amp;"",LEFT(INDEX(인턴근무계획!$M$3:$R$402,$A232,$I$3)&amp;"",FIND(" ",INDEX(인턴근무계획!$M$3:$R$402,$A232,$I$3)&amp;"")-1))))</f>
        <v/>
      </c>
      <c r="J232" s="23">
        <f>IF(OR($C232="",$I$3=""),"",IF(INDEX(인턴근무계획!$M$3:$R$402,$A232,$I$3)&amp;""="","",IF(LEFT(INDEX(인턴근무계획!$M$3:$R$402,$A232,$I$3)&amp;"",1)="⚠","",MID(INDEX(인턴근무계획!$M$3:$R$402,$A232,$I$3)&amp;"",FIND(" ",INDEX(인턴근무계획!$M$3:$R$402,$A232,$I$3)&amp;"")+1,60))))</f>
        <v/>
      </c>
      <c r="K232" s="23">
        <f>IF($C232="","",INDEX(인턴근무계획!$M$3:$M$402,$A232)&amp;"")</f>
        <v/>
      </c>
      <c r="L232" s="23">
        <f>IF($C232="","",INDEX(인턴근무계획!$N$3:$N$402,$A232)&amp;"")</f>
        <v/>
      </c>
      <c r="M232" s="23">
        <f>IF($C232="","",INDEX(인턴근무계획!$O$3:$O$402,$A232)&amp;"")</f>
        <v/>
      </c>
      <c r="N232" s="23">
        <f>IF($C232="","",INDEX(인턴근무계획!$P$3:$P$402,$A232)&amp;"")</f>
        <v/>
      </c>
      <c r="O232" s="23">
        <f>IF($C232="","",INDEX(인턴근무계획!$Q$3:$Q$402,$A232)&amp;"")</f>
        <v/>
      </c>
      <c r="P232" s="23">
        <f>IF($C232="","",INDEX(인턴근무계획!$R$3:$R$402,$A232)&amp;"")</f>
        <v/>
      </c>
      <c r="Q232" s="23">
        <f>IF($C232="","",INDEX(인턴근무계획!$T$3:$T$402,$A232))</f>
        <v/>
      </c>
    </row>
    <row r="233">
      <c r="A233" s="26" t="n">
        <v>228</v>
      </c>
      <c r="B233" s="23">
        <f>IF($C233="","",INDEX(인턴근무계획!$B$3:$B$402,$A233))</f>
        <v/>
      </c>
      <c r="C233" s="23">
        <f>IFERROR(TRIM(INDEX(인턴근무계획!$C$3:$C$402,$A233)&amp;""),"")</f>
        <v/>
      </c>
      <c r="D233" s="23">
        <f>IF($C233="","",INDEX(인턴근무계획!$D$3:$D$402,$A233))</f>
        <v/>
      </c>
      <c r="E233" s="23">
        <f>IF($C233="","",IF(IFERROR(MATCH($D233,기본자료!$B$2:$B$1001,0),IFERROR(MATCH($D233&amp;"",기본자료!$B$2:$B$1001,0),IFERROR(MATCH(VALUE($D233),기본자료!$B$2:$B$1001,0),0)))&gt;0,"확인","미등록"))</f>
        <v/>
      </c>
      <c r="F233" s="27">
        <f>IF($C233="","",INDEX(인턴근무계획!$S$3:$S$402,$A233))</f>
        <v/>
      </c>
      <c r="G233" s="23">
        <f>IF(OR($C233="",$G$3=""),"",IF(INDEX(인턴근무계획!$M$3:$R$402,$A233,$G$3)&amp;""="","",IF(LEFT(INDEX(인턴근무계획!$M$3:$R$402,$A233,$G$3)&amp;"",1)="⚠",INDEX(인턴근무계획!$M$3:$R$402,$A233,$G$3)&amp;"",LEFT(INDEX(인턴근무계획!$M$3:$R$402,$A233,$G$3)&amp;"",FIND(" ",INDEX(인턴근무계획!$M$3:$R$402,$A233,$G$3)&amp;"")-1))))</f>
        <v/>
      </c>
      <c r="H233" s="23">
        <f>IF(OR($C233="",$G$3=""),"",IF(INDEX(인턴근무계획!$M$3:$R$402,$A233,$G$3)&amp;""="","",IF(LEFT(INDEX(인턴근무계획!$M$3:$R$402,$A233,$G$3)&amp;"",1)="⚠","",MID(INDEX(인턴근무계획!$M$3:$R$402,$A233,$G$3)&amp;"",FIND(" ",INDEX(인턴근무계획!$M$3:$R$402,$A233,$G$3)&amp;"")+1,60))))</f>
        <v/>
      </c>
      <c r="I233" s="23">
        <f>IF(OR($C233="",$I$3=""),"",IF(INDEX(인턴근무계획!$M$3:$R$402,$A233,$I$3)&amp;""="","",IF(LEFT(INDEX(인턴근무계획!$M$3:$R$402,$A233,$I$3)&amp;"",1)="⚠",INDEX(인턴근무계획!$M$3:$R$402,$A233,$I$3)&amp;"",LEFT(INDEX(인턴근무계획!$M$3:$R$402,$A233,$I$3)&amp;"",FIND(" ",INDEX(인턴근무계획!$M$3:$R$402,$A233,$I$3)&amp;"")-1))))</f>
        <v/>
      </c>
      <c r="J233" s="23">
        <f>IF(OR($C233="",$I$3=""),"",IF(INDEX(인턴근무계획!$M$3:$R$402,$A233,$I$3)&amp;""="","",IF(LEFT(INDEX(인턴근무계획!$M$3:$R$402,$A233,$I$3)&amp;"",1)="⚠","",MID(INDEX(인턴근무계획!$M$3:$R$402,$A233,$I$3)&amp;"",FIND(" ",INDEX(인턴근무계획!$M$3:$R$402,$A233,$I$3)&amp;"")+1,60))))</f>
        <v/>
      </c>
      <c r="K233" s="23">
        <f>IF($C233="","",INDEX(인턴근무계획!$M$3:$M$402,$A233)&amp;"")</f>
        <v/>
      </c>
      <c r="L233" s="23">
        <f>IF($C233="","",INDEX(인턴근무계획!$N$3:$N$402,$A233)&amp;"")</f>
        <v/>
      </c>
      <c r="M233" s="23">
        <f>IF($C233="","",INDEX(인턴근무계획!$O$3:$O$402,$A233)&amp;"")</f>
        <v/>
      </c>
      <c r="N233" s="23">
        <f>IF($C233="","",INDEX(인턴근무계획!$P$3:$P$402,$A233)&amp;"")</f>
        <v/>
      </c>
      <c r="O233" s="23">
        <f>IF($C233="","",INDEX(인턴근무계획!$Q$3:$Q$402,$A233)&amp;"")</f>
        <v/>
      </c>
      <c r="P233" s="23">
        <f>IF($C233="","",INDEX(인턴근무계획!$R$3:$R$402,$A233)&amp;"")</f>
        <v/>
      </c>
      <c r="Q233" s="23">
        <f>IF($C233="","",INDEX(인턴근무계획!$T$3:$T$402,$A233))</f>
        <v/>
      </c>
    </row>
    <row r="234">
      <c r="A234" s="26" t="n">
        <v>229</v>
      </c>
      <c r="B234" s="23">
        <f>IF($C234="","",INDEX(인턴근무계획!$B$3:$B$402,$A234))</f>
        <v/>
      </c>
      <c r="C234" s="23">
        <f>IFERROR(TRIM(INDEX(인턴근무계획!$C$3:$C$402,$A234)&amp;""),"")</f>
        <v/>
      </c>
      <c r="D234" s="23">
        <f>IF($C234="","",INDEX(인턴근무계획!$D$3:$D$402,$A234))</f>
        <v/>
      </c>
      <c r="E234" s="23">
        <f>IF($C234="","",IF(IFERROR(MATCH($D234,기본자료!$B$2:$B$1001,0),IFERROR(MATCH($D234&amp;"",기본자료!$B$2:$B$1001,0),IFERROR(MATCH(VALUE($D234),기본자료!$B$2:$B$1001,0),0)))&gt;0,"확인","미등록"))</f>
        <v/>
      </c>
      <c r="F234" s="27">
        <f>IF($C234="","",INDEX(인턴근무계획!$S$3:$S$402,$A234))</f>
        <v/>
      </c>
      <c r="G234" s="23">
        <f>IF(OR($C234="",$G$3=""),"",IF(INDEX(인턴근무계획!$M$3:$R$402,$A234,$G$3)&amp;""="","",IF(LEFT(INDEX(인턴근무계획!$M$3:$R$402,$A234,$G$3)&amp;"",1)="⚠",INDEX(인턴근무계획!$M$3:$R$402,$A234,$G$3)&amp;"",LEFT(INDEX(인턴근무계획!$M$3:$R$402,$A234,$G$3)&amp;"",FIND(" ",INDEX(인턴근무계획!$M$3:$R$402,$A234,$G$3)&amp;"")-1))))</f>
        <v/>
      </c>
      <c r="H234" s="23">
        <f>IF(OR($C234="",$G$3=""),"",IF(INDEX(인턴근무계획!$M$3:$R$402,$A234,$G$3)&amp;""="","",IF(LEFT(INDEX(인턴근무계획!$M$3:$R$402,$A234,$G$3)&amp;"",1)="⚠","",MID(INDEX(인턴근무계획!$M$3:$R$402,$A234,$G$3)&amp;"",FIND(" ",INDEX(인턴근무계획!$M$3:$R$402,$A234,$G$3)&amp;"")+1,60))))</f>
        <v/>
      </c>
      <c r="I234" s="23">
        <f>IF(OR($C234="",$I$3=""),"",IF(INDEX(인턴근무계획!$M$3:$R$402,$A234,$I$3)&amp;""="","",IF(LEFT(INDEX(인턴근무계획!$M$3:$R$402,$A234,$I$3)&amp;"",1)="⚠",INDEX(인턴근무계획!$M$3:$R$402,$A234,$I$3)&amp;"",LEFT(INDEX(인턴근무계획!$M$3:$R$402,$A234,$I$3)&amp;"",FIND(" ",INDEX(인턴근무계획!$M$3:$R$402,$A234,$I$3)&amp;"")-1))))</f>
        <v/>
      </c>
      <c r="J234" s="23">
        <f>IF(OR($C234="",$I$3=""),"",IF(INDEX(인턴근무계획!$M$3:$R$402,$A234,$I$3)&amp;""="","",IF(LEFT(INDEX(인턴근무계획!$M$3:$R$402,$A234,$I$3)&amp;"",1)="⚠","",MID(INDEX(인턴근무계획!$M$3:$R$402,$A234,$I$3)&amp;"",FIND(" ",INDEX(인턴근무계획!$M$3:$R$402,$A234,$I$3)&amp;"")+1,60))))</f>
        <v/>
      </c>
      <c r="K234" s="23">
        <f>IF($C234="","",INDEX(인턴근무계획!$M$3:$M$402,$A234)&amp;"")</f>
        <v/>
      </c>
      <c r="L234" s="23">
        <f>IF($C234="","",INDEX(인턴근무계획!$N$3:$N$402,$A234)&amp;"")</f>
        <v/>
      </c>
      <c r="M234" s="23">
        <f>IF($C234="","",INDEX(인턴근무계획!$O$3:$O$402,$A234)&amp;"")</f>
        <v/>
      </c>
      <c r="N234" s="23">
        <f>IF($C234="","",INDEX(인턴근무계획!$P$3:$P$402,$A234)&amp;"")</f>
        <v/>
      </c>
      <c r="O234" s="23">
        <f>IF($C234="","",INDEX(인턴근무계획!$Q$3:$Q$402,$A234)&amp;"")</f>
        <v/>
      </c>
      <c r="P234" s="23">
        <f>IF($C234="","",INDEX(인턴근무계획!$R$3:$R$402,$A234)&amp;"")</f>
        <v/>
      </c>
      <c r="Q234" s="23">
        <f>IF($C234="","",INDEX(인턴근무계획!$T$3:$T$402,$A234))</f>
        <v/>
      </c>
    </row>
    <row r="235">
      <c r="A235" s="26" t="n">
        <v>230</v>
      </c>
      <c r="B235" s="23">
        <f>IF($C235="","",INDEX(인턴근무계획!$B$3:$B$402,$A235))</f>
        <v/>
      </c>
      <c r="C235" s="23">
        <f>IFERROR(TRIM(INDEX(인턴근무계획!$C$3:$C$402,$A235)&amp;""),"")</f>
        <v/>
      </c>
      <c r="D235" s="23">
        <f>IF($C235="","",INDEX(인턴근무계획!$D$3:$D$402,$A235))</f>
        <v/>
      </c>
      <c r="E235" s="23">
        <f>IF($C235="","",IF(IFERROR(MATCH($D235,기본자료!$B$2:$B$1001,0),IFERROR(MATCH($D235&amp;"",기본자료!$B$2:$B$1001,0),IFERROR(MATCH(VALUE($D235),기본자료!$B$2:$B$1001,0),0)))&gt;0,"확인","미등록"))</f>
        <v/>
      </c>
      <c r="F235" s="27">
        <f>IF($C235="","",INDEX(인턴근무계획!$S$3:$S$402,$A235))</f>
        <v/>
      </c>
      <c r="G235" s="23">
        <f>IF(OR($C235="",$G$3=""),"",IF(INDEX(인턴근무계획!$M$3:$R$402,$A235,$G$3)&amp;""="","",IF(LEFT(INDEX(인턴근무계획!$M$3:$R$402,$A235,$G$3)&amp;"",1)="⚠",INDEX(인턴근무계획!$M$3:$R$402,$A235,$G$3)&amp;"",LEFT(INDEX(인턴근무계획!$M$3:$R$402,$A235,$G$3)&amp;"",FIND(" ",INDEX(인턴근무계획!$M$3:$R$402,$A235,$G$3)&amp;"")-1))))</f>
        <v/>
      </c>
      <c r="H235" s="23">
        <f>IF(OR($C235="",$G$3=""),"",IF(INDEX(인턴근무계획!$M$3:$R$402,$A235,$G$3)&amp;""="","",IF(LEFT(INDEX(인턴근무계획!$M$3:$R$402,$A235,$G$3)&amp;"",1)="⚠","",MID(INDEX(인턴근무계획!$M$3:$R$402,$A235,$G$3)&amp;"",FIND(" ",INDEX(인턴근무계획!$M$3:$R$402,$A235,$G$3)&amp;"")+1,60))))</f>
        <v/>
      </c>
      <c r="I235" s="23">
        <f>IF(OR($C235="",$I$3=""),"",IF(INDEX(인턴근무계획!$M$3:$R$402,$A235,$I$3)&amp;""="","",IF(LEFT(INDEX(인턴근무계획!$M$3:$R$402,$A235,$I$3)&amp;"",1)="⚠",INDEX(인턴근무계획!$M$3:$R$402,$A235,$I$3)&amp;"",LEFT(INDEX(인턴근무계획!$M$3:$R$402,$A235,$I$3)&amp;"",FIND(" ",INDEX(인턴근무계획!$M$3:$R$402,$A235,$I$3)&amp;"")-1))))</f>
        <v/>
      </c>
      <c r="J235" s="23">
        <f>IF(OR($C235="",$I$3=""),"",IF(INDEX(인턴근무계획!$M$3:$R$402,$A235,$I$3)&amp;""="","",IF(LEFT(INDEX(인턴근무계획!$M$3:$R$402,$A235,$I$3)&amp;"",1)="⚠","",MID(INDEX(인턴근무계획!$M$3:$R$402,$A235,$I$3)&amp;"",FIND(" ",INDEX(인턴근무계획!$M$3:$R$402,$A235,$I$3)&amp;"")+1,60))))</f>
        <v/>
      </c>
      <c r="K235" s="23">
        <f>IF($C235="","",INDEX(인턴근무계획!$M$3:$M$402,$A235)&amp;"")</f>
        <v/>
      </c>
      <c r="L235" s="23">
        <f>IF($C235="","",INDEX(인턴근무계획!$N$3:$N$402,$A235)&amp;"")</f>
        <v/>
      </c>
      <c r="M235" s="23">
        <f>IF($C235="","",INDEX(인턴근무계획!$O$3:$O$402,$A235)&amp;"")</f>
        <v/>
      </c>
      <c r="N235" s="23">
        <f>IF($C235="","",INDEX(인턴근무계획!$P$3:$P$402,$A235)&amp;"")</f>
        <v/>
      </c>
      <c r="O235" s="23">
        <f>IF($C235="","",INDEX(인턴근무계획!$Q$3:$Q$402,$A235)&amp;"")</f>
        <v/>
      </c>
      <c r="P235" s="23">
        <f>IF($C235="","",INDEX(인턴근무계획!$R$3:$R$402,$A235)&amp;"")</f>
        <v/>
      </c>
      <c r="Q235" s="23">
        <f>IF($C235="","",INDEX(인턴근무계획!$T$3:$T$402,$A235))</f>
        <v/>
      </c>
    </row>
    <row r="236">
      <c r="A236" s="26" t="n">
        <v>231</v>
      </c>
      <c r="B236" s="23">
        <f>IF($C236="","",INDEX(인턴근무계획!$B$3:$B$402,$A236))</f>
        <v/>
      </c>
      <c r="C236" s="23">
        <f>IFERROR(TRIM(INDEX(인턴근무계획!$C$3:$C$402,$A236)&amp;""),"")</f>
        <v/>
      </c>
      <c r="D236" s="23">
        <f>IF($C236="","",INDEX(인턴근무계획!$D$3:$D$402,$A236))</f>
        <v/>
      </c>
      <c r="E236" s="23">
        <f>IF($C236="","",IF(IFERROR(MATCH($D236,기본자료!$B$2:$B$1001,0),IFERROR(MATCH($D236&amp;"",기본자료!$B$2:$B$1001,0),IFERROR(MATCH(VALUE($D236),기본자료!$B$2:$B$1001,0),0)))&gt;0,"확인","미등록"))</f>
        <v/>
      </c>
      <c r="F236" s="27">
        <f>IF($C236="","",INDEX(인턴근무계획!$S$3:$S$402,$A236))</f>
        <v/>
      </c>
      <c r="G236" s="23">
        <f>IF(OR($C236="",$G$3=""),"",IF(INDEX(인턴근무계획!$M$3:$R$402,$A236,$G$3)&amp;""="","",IF(LEFT(INDEX(인턴근무계획!$M$3:$R$402,$A236,$G$3)&amp;"",1)="⚠",INDEX(인턴근무계획!$M$3:$R$402,$A236,$G$3)&amp;"",LEFT(INDEX(인턴근무계획!$M$3:$R$402,$A236,$G$3)&amp;"",FIND(" ",INDEX(인턴근무계획!$M$3:$R$402,$A236,$G$3)&amp;"")-1))))</f>
        <v/>
      </c>
      <c r="H236" s="23">
        <f>IF(OR($C236="",$G$3=""),"",IF(INDEX(인턴근무계획!$M$3:$R$402,$A236,$G$3)&amp;""="","",IF(LEFT(INDEX(인턴근무계획!$M$3:$R$402,$A236,$G$3)&amp;"",1)="⚠","",MID(INDEX(인턴근무계획!$M$3:$R$402,$A236,$G$3)&amp;"",FIND(" ",INDEX(인턴근무계획!$M$3:$R$402,$A236,$G$3)&amp;"")+1,60))))</f>
        <v/>
      </c>
      <c r="I236" s="23">
        <f>IF(OR($C236="",$I$3=""),"",IF(INDEX(인턴근무계획!$M$3:$R$402,$A236,$I$3)&amp;""="","",IF(LEFT(INDEX(인턴근무계획!$M$3:$R$402,$A236,$I$3)&amp;"",1)="⚠",INDEX(인턴근무계획!$M$3:$R$402,$A236,$I$3)&amp;"",LEFT(INDEX(인턴근무계획!$M$3:$R$402,$A236,$I$3)&amp;"",FIND(" ",INDEX(인턴근무계획!$M$3:$R$402,$A236,$I$3)&amp;"")-1))))</f>
        <v/>
      </c>
      <c r="J236" s="23">
        <f>IF(OR($C236="",$I$3=""),"",IF(INDEX(인턴근무계획!$M$3:$R$402,$A236,$I$3)&amp;""="","",IF(LEFT(INDEX(인턴근무계획!$M$3:$R$402,$A236,$I$3)&amp;"",1)="⚠","",MID(INDEX(인턴근무계획!$M$3:$R$402,$A236,$I$3)&amp;"",FIND(" ",INDEX(인턴근무계획!$M$3:$R$402,$A236,$I$3)&amp;"")+1,60))))</f>
        <v/>
      </c>
      <c r="K236" s="23">
        <f>IF($C236="","",INDEX(인턴근무계획!$M$3:$M$402,$A236)&amp;"")</f>
        <v/>
      </c>
      <c r="L236" s="23">
        <f>IF($C236="","",INDEX(인턴근무계획!$N$3:$N$402,$A236)&amp;"")</f>
        <v/>
      </c>
      <c r="M236" s="23">
        <f>IF($C236="","",INDEX(인턴근무계획!$O$3:$O$402,$A236)&amp;"")</f>
        <v/>
      </c>
      <c r="N236" s="23">
        <f>IF($C236="","",INDEX(인턴근무계획!$P$3:$P$402,$A236)&amp;"")</f>
        <v/>
      </c>
      <c r="O236" s="23">
        <f>IF($C236="","",INDEX(인턴근무계획!$Q$3:$Q$402,$A236)&amp;"")</f>
        <v/>
      </c>
      <c r="P236" s="23">
        <f>IF($C236="","",INDEX(인턴근무계획!$R$3:$R$402,$A236)&amp;"")</f>
        <v/>
      </c>
      <c r="Q236" s="23">
        <f>IF($C236="","",INDEX(인턴근무계획!$T$3:$T$402,$A236))</f>
        <v/>
      </c>
    </row>
    <row r="237">
      <c r="A237" s="26" t="n">
        <v>232</v>
      </c>
      <c r="B237" s="23">
        <f>IF($C237="","",INDEX(인턴근무계획!$B$3:$B$402,$A237))</f>
        <v/>
      </c>
      <c r="C237" s="23">
        <f>IFERROR(TRIM(INDEX(인턴근무계획!$C$3:$C$402,$A237)&amp;""),"")</f>
        <v/>
      </c>
      <c r="D237" s="23">
        <f>IF($C237="","",INDEX(인턴근무계획!$D$3:$D$402,$A237))</f>
        <v/>
      </c>
      <c r="E237" s="23">
        <f>IF($C237="","",IF(IFERROR(MATCH($D237,기본자료!$B$2:$B$1001,0),IFERROR(MATCH($D237&amp;"",기본자료!$B$2:$B$1001,0),IFERROR(MATCH(VALUE($D237),기본자료!$B$2:$B$1001,0),0)))&gt;0,"확인","미등록"))</f>
        <v/>
      </c>
      <c r="F237" s="27">
        <f>IF($C237="","",INDEX(인턴근무계획!$S$3:$S$402,$A237))</f>
        <v/>
      </c>
      <c r="G237" s="23">
        <f>IF(OR($C237="",$G$3=""),"",IF(INDEX(인턴근무계획!$M$3:$R$402,$A237,$G$3)&amp;""="","",IF(LEFT(INDEX(인턴근무계획!$M$3:$R$402,$A237,$G$3)&amp;"",1)="⚠",INDEX(인턴근무계획!$M$3:$R$402,$A237,$G$3)&amp;"",LEFT(INDEX(인턴근무계획!$M$3:$R$402,$A237,$G$3)&amp;"",FIND(" ",INDEX(인턴근무계획!$M$3:$R$402,$A237,$G$3)&amp;"")-1))))</f>
        <v/>
      </c>
      <c r="H237" s="23">
        <f>IF(OR($C237="",$G$3=""),"",IF(INDEX(인턴근무계획!$M$3:$R$402,$A237,$G$3)&amp;""="","",IF(LEFT(INDEX(인턴근무계획!$M$3:$R$402,$A237,$G$3)&amp;"",1)="⚠","",MID(INDEX(인턴근무계획!$M$3:$R$402,$A237,$G$3)&amp;"",FIND(" ",INDEX(인턴근무계획!$M$3:$R$402,$A237,$G$3)&amp;"")+1,60))))</f>
        <v/>
      </c>
      <c r="I237" s="23">
        <f>IF(OR($C237="",$I$3=""),"",IF(INDEX(인턴근무계획!$M$3:$R$402,$A237,$I$3)&amp;""="","",IF(LEFT(INDEX(인턴근무계획!$M$3:$R$402,$A237,$I$3)&amp;"",1)="⚠",INDEX(인턴근무계획!$M$3:$R$402,$A237,$I$3)&amp;"",LEFT(INDEX(인턴근무계획!$M$3:$R$402,$A237,$I$3)&amp;"",FIND(" ",INDEX(인턴근무계획!$M$3:$R$402,$A237,$I$3)&amp;"")-1))))</f>
        <v/>
      </c>
      <c r="J237" s="23">
        <f>IF(OR($C237="",$I$3=""),"",IF(INDEX(인턴근무계획!$M$3:$R$402,$A237,$I$3)&amp;""="","",IF(LEFT(INDEX(인턴근무계획!$M$3:$R$402,$A237,$I$3)&amp;"",1)="⚠","",MID(INDEX(인턴근무계획!$M$3:$R$402,$A237,$I$3)&amp;"",FIND(" ",INDEX(인턴근무계획!$M$3:$R$402,$A237,$I$3)&amp;"")+1,60))))</f>
        <v/>
      </c>
      <c r="K237" s="23">
        <f>IF($C237="","",INDEX(인턴근무계획!$M$3:$M$402,$A237)&amp;"")</f>
        <v/>
      </c>
      <c r="L237" s="23">
        <f>IF($C237="","",INDEX(인턴근무계획!$N$3:$N$402,$A237)&amp;"")</f>
        <v/>
      </c>
      <c r="M237" s="23">
        <f>IF($C237="","",INDEX(인턴근무계획!$O$3:$O$402,$A237)&amp;"")</f>
        <v/>
      </c>
      <c r="N237" s="23">
        <f>IF($C237="","",INDEX(인턴근무계획!$P$3:$P$402,$A237)&amp;"")</f>
        <v/>
      </c>
      <c r="O237" s="23">
        <f>IF($C237="","",INDEX(인턴근무계획!$Q$3:$Q$402,$A237)&amp;"")</f>
        <v/>
      </c>
      <c r="P237" s="23">
        <f>IF($C237="","",INDEX(인턴근무계획!$R$3:$R$402,$A237)&amp;"")</f>
        <v/>
      </c>
      <c r="Q237" s="23">
        <f>IF($C237="","",INDEX(인턴근무계획!$T$3:$T$402,$A237))</f>
        <v/>
      </c>
    </row>
    <row r="238">
      <c r="A238" s="26" t="n">
        <v>233</v>
      </c>
      <c r="B238" s="23">
        <f>IF($C238="","",INDEX(인턴근무계획!$B$3:$B$402,$A238))</f>
        <v/>
      </c>
      <c r="C238" s="23">
        <f>IFERROR(TRIM(INDEX(인턴근무계획!$C$3:$C$402,$A238)&amp;""),"")</f>
        <v/>
      </c>
      <c r="D238" s="23">
        <f>IF($C238="","",INDEX(인턴근무계획!$D$3:$D$402,$A238))</f>
        <v/>
      </c>
      <c r="E238" s="23">
        <f>IF($C238="","",IF(IFERROR(MATCH($D238,기본자료!$B$2:$B$1001,0),IFERROR(MATCH($D238&amp;"",기본자료!$B$2:$B$1001,0),IFERROR(MATCH(VALUE($D238),기본자료!$B$2:$B$1001,0),0)))&gt;0,"확인","미등록"))</f>
        <v/>
      </c>
      <c r="F238" s="27">
        <f>IF($C238="","",INDEX(인턴근무계획!$S$3:$S$402,$A238))</f>
        <v/>
      </c>
      <c r="G238" s="23">
        <f>IF(OR($C238="",$G$3=""),"",IF(INDEX(인턴근무계획!$M$3:$R$402,$A238,$G$3)&amp;""="","",IF(LEFT(INDEX(인턴근무계획!$M$3:$R$402,$A238,$G$3)&amp;"",1)="⚠",INDEX(인턴근무계획!$M$3:$R$402,$A238,$G$3)&amp;"",LEFT(INDEX(인턴근무계획!$M$3:$R$402,$A238,$G$3)&amp;"",FIND(" ",INDEX(인턴근무계획!$M$3:$R$402,$A238,$G$3)&amp;"")-1))))</f>
        <v/>
      </c>
      <c r="H238" s="23">
        <f>IF(OR($C238="",$G$3=""),"",IF(INDEX(인턴근무계획!$M$3:$R$402,$A238,$G$3)&amp;""="","",IF(LEFT(INDEX(인턴근무계획!$M$3:$R$402,$A238,$G$3)&amp;"",1)="⚠","",MID(INDEX(인턴근무계획!$M$3:$R$402,$A238,$G$3)&amp;"",FIND(" ",INDEX(인턴근무계획!$M$3:$R$402,$A238,$G$3)&amp;"")+1,60))))</f>
        <v/>
      </c>
      <c r="I238" s="23">
        <f>IF(OR($C238="",$I$3=""),"",IF(INDEX(인턴근무계획!$M$3:$R$402,$A238,$I$3)&amp;""="","",IF(LEFT(INDEX(인턴근무계획!$M$3:$R$402,$A238,$I$3)&amp;"",1)="⚠",INDEX(인턴근무계획!$M$3:$R$402,$A238,$I$3)&amp;"",LEFT(INDEX(인턴근무계획!$M$3:$R$402,$A238,$I$3)&amp;"",FIND(" ",INDEX(인턴근무계획!$M$3:$R$402,$A238,$I$3)&amp;"")-1))))</f>
        <v/>
      </c>
      <c r="J238" s="23">
        <f>IF(OR($C238="",$I$3=""),"",IF(INDEX(인턴근무계획!$M$3:$R$402,$A238,$I$3)&amp;""="","",IF(LEFT(INDEX(인턴근무계획!$M$3:$R$402,$A238,$I$3)&amp;"",1)="⚠","",MID(INDEX(인턴근무계획!$M$3:$R$402,$A238,$I$3)&amp;"",FIND(" ",INDEX(인턴근무계획!$M$3:$R$402,$A238,$I$3)&amp;"")+1,60))))</f>
        <v/>
      </c>
      <c r="K238" s="23">
        <f>IF($C238="","",INDEX(인턴근무계획!$M$3:$M$402,$A238)&amp;"")</f>
        <v/>
      </c>
      <c r="L238" s="23">
        <f>IF($C238="","",INDEX(인턴근무계획!$N$3:$N$402,$A238)&amp;"")</f>
        <v/>
      </c>
      <c r="M238" s="23">
        <f>IF($C238="","",INDEX(인턴근무계획!$O$3:$O$402,$A238)&amp;"")</f>
        <v/>
      </c>
      <c r="N238" s="23">
        <f>IF($C238="","",INDEX(인턴근무계획!$P$3:$P$402,$A238)&amp;"")</f>
        <v/>
      </c>
      <c r="O238" s="23">
        <f>IF($C238="","",INDEX(인턴근무계획!$Q$3:$Q$402,$A238)&amp;"")</f>
        <v/>
      </c>
      <c r="P238" s="23">
        <f>IF($C238="","",INDEX(인턴근무계획!$R$3:$R$402,$A238)&amp;"")</f>
        <v/>
      </c>
      <c r="Q238" s="23">
        <f>IF($C238="","",INDEX(인턴근무계획!$T$3:$T$402,$A238))</f>
        <v/>
      </c>
    </row>
    <row r="239">
      <c r="A239" s="26" t="n">
        <v>234</v>
      </c>
      <c r="B239" s="23">
        <f>IF($C239="","",INDEX(인턴근무계획!$B$3:$B$402,$A239))</f>
        <v/>
      </c>
      <c r="C239" s="23">
        <f>IFERROR(TRIM(INDEX(인턴근무계획!$C$3:$C$402,$A239)&amp;""),"")</f>
        <v/>
      </c>
      <c r="D239" s="23">
        <f>IF($C239="","",INDEX(인턴근무계획!$D$3:$D$402,$A239))</f>
        <v/>
      </c>
      <c r="E239" s="23">
        <f>IF($C239="","",IF(IFERROR(MATCH($D239,기본자료!$B$2:$B$1001,0),IFERROR(MATCH($D239&amp;"",기본자료!$B$2:$B$1001,0),IFERROR(MATCH(VALUE($D239),기본자료!$B$2:$B$1001,0),0)))&gt;0,"확인","미등록"))</f>
        <v/>
      </c>
      <c r="F239" s="27">
        <f>IF($C239="","",INDEX(인턴근무계획!$S$3:$S$402,$A239))</f>
        <v/>
      </c>
      <c r="G239" s="23">
        <f>IF(OR($C239="",$G$3=""),"",IF(INDEX(인턴근무계획!$M$3:$R$402,$A239,$G$3)&amp;""="","",IF(LEFT(INDEX(인턴근무계획!$M$3:$R$402,$A239,$G$3)&amp;"",1)="⚠",INDEX(인턴근무계획!$M$3:$R$402,$A239,$G$3)&amp;"",LEFT(INDEX(인턴근무계획!$M$3:$R$402,$A239,$G$3)&amp;"",FIND(" ",INDEX(인턴근무계획!$M$3:$R$402,$A239,$G$3)&amp;"")-1))))</f>
        <v/>
      </c>
      <c r="H239" s="23">
        <f>IF(OR($C239="",$G$3=""),"",IF(INDEX(인턴근무계획!$M$3:$R$402,$A239,$G$3)&amp;""="","",IF(LEFT(INDEX(인턴근무계획!$M$3:$R$402,$A239,$G$3)&amp;"",1)="⚠","",MID(INDEX(인턴근무계획!$M$3:$R$402,$A239,$G$3)&amp;"",FIND(" ",INDEX(인턴근무계획!$M$3:$R$402,$A239,$G$3)&amp;"")+1,60))))</f>
        <v/>
      </c>
      <c r="I239" s="23">
        <f>IF(OR($C239="",$I$3=""),"",IF(INDEX(인턴근무계획!$M$3:$R$402,$A239,$I$3)&amp;""="","",IF(LEFT(INDEX(인턴근무계획!$M$3:$R$402,$A239,$I$3)&amp;"",1)="⚠",INDEX(인턴근무계획!$M$3:$R$402,$A239,$I$3)&amp;"",LEFT(INDEX(인턴근무계획!$M$3:$R$402,$A239,$I$3)&amp;"",FIND(" ",INDEX(인턴근무계획!$M$3:$R$402,$A239,$I$3)&amp;"")-1))))</f>
        <v/>
      </c>
      <c r="J239" s="23">
        <f>IF(OR($C239="",$I$3=""),"",IF(INDEX(인턴근무계획!$M$3:$R$402,$A239,$I$3)&amp;""="","",IF(LEFT(INDEX(인턴근무계획!$M$3:$R$402,$A239,$I$3)&amp;"",1)="⚠","",MID(INDEX(인턴근무계획!$M$3:$R$402,$A239,$I$3)&amp;"",FIND(" ",INDEX(인턴근무계획!$M$3:$R$402,$A239,$I$3)&amp;"")+1,60))))</f>
        <v/>
      </c>
      <c r="K239" s="23">
        <f>IF($C239="","",INDEX(인턴근무계획!$M$3:$M$402,$A239)&amp;"")</f>
        <v/>
      </c>
      <c r="L239" s="23">
        <f>IF($C239="","",INDEX(인턴근무계획!$N$3:$N$402,$A239)&amp;"")</f>
        <v/>
      </c>
      <c r="M239" s="23">
        <f>IF($C239="","",INDEX(인턴근무계획!$O$3:$O$402,$A239)&amp;"")</f>
        <v/>
      </c>
      <c r="N239" s="23">
        <f>IF($C239="","",INDEX(인턴근무계획!$P$3:$P$402,$A239)&amp;"")</f>
        <v/>
      </c>
      <c r="O239" s="23">
        <f>IF($C239="","",INDEX(인턴근무계획!$Q$3:$Q$402,$A239)&amp;"")</f>
        <v/>
      </c>
      <c r="P239" s="23">
        <f>IF($C239="","",INDEX(인턴근무계획!$R$3:$R$402,$A239)&amp;"")</f>
        <v/>
      </c>
      <c r="Q239" s="23">
        <f>IF($C239="","",INDEX(인턴근무계획!$T$3:$T$402,$A239))</f>
        <v/>
      </c>
    </row>
    <row r="240">
      <c r="A240" s="26" t="n">
        <v>235</v>
      </c>
      <c r="B240" s="23">
        <f>IF($C240="","",INDEX(인턴근무계획!$B$3:$B$402,$A240))</f>
        <v/>
      </c>
      <c r="C240" s="23">
        <f>IFERROR(TRIM(INDEX(인턴근무계획!$C$3:$C$402,$A240)&amp;""),"")</f>
        <v/>
      </c>
      <c r="D240" s="23">
        <f>IF($C240="","",INDEX(인턴근무계획!$D$3:$D$402,$A240))</f>
        <v/>
      </c>
      <c r="E240" s="23">
        <f>IF($C240="","",IF(IFERROR(MATCH($D240,기본자료!$B$2:$B$1001,0),IFERROR(MATCH($D240&amp;"",기본자료!$B$2:$B$1001,0),IFERROR(MATCH(VALUE($D240),기본자료!$B$2:$B$1001,0),0)))&gt;0,"확인","미등록"))</f>
        <v/>
      </c>
      <c r="F240" s="27">
        <f>IF($C240="","",INDEX(인턴근무계획!$S$3:$S$402,$A240))</f>
        <v/>
      </c>
      <c r="G240" s="23">
        <f>IF(OR($C240="",$G$3=""),"",IF(INDEX(인턴근무계획!$M$3:$R$402,$A240,$G$3)&amp;""="","",IF(LEFT(INDEX(인턴근무계획!$M$3:$R$402,$A240,$G$3)&amp;"",1)="⚠",INDEX(인턴근무계획!$M$3:$R$402,$A240,$G$3)&amp;"",LEFT(INDEX(인턴근무계획!$M$3:$R$402,$A240,$G$3)&amp;"",FIND(" ",INDEX(인턴근무계획!$M$3:$R$402,$A240,$G$3)&amp;"")-1))))</f>
        <v/>
      </c>
      <c r="H240" s="23">
        <f>IF(OR($C240="",$G$3=""),"",IF(INDEX(인턴근무계획!$M$3:$R$402,$A240,$G$3)&amp;""="","",IF(LEFT(INDEX(인턴근무계획!$M$3:$R$402,$A240,$G$3)&amp;"",1)="⚠","",MID(INDEX(인턴근무계획!$M$3:$R$402,$A240,$G$3)&amp;"",FIND(" ",INDEX(인턴근무계획!$M$3:$R$402,$A240,$G$3)&amp;"")+1,60))))</f>
        <v/>
      </c>
      <c r="I240" s="23">
        <f>IF(OR($C240="",$I$3=""),"",IF(INDEX(인턴근무계획!$M$3:$R$402,$A240,$I$3)&amp;""="","",IF(LEFT(INDEX(인턴근무계획!$M$3:$R$402,$A240,$I$3)&amp;"",1)="⚠",INDEX(인턴근무계획!$M$3:$R$402,$A240,$I$3)&amp;"",LEFT(INDEX(인턴근무계획!$M$3:$R$402,$A240,$I$3)&amp;"",FIND(" ",INDEX(인턴근무계획!$M$3:$R$402,$A240,$I$3)&amp;"")-1))))</f>
        <v/>
      </c>
      <c r="J240" s="23">
        <f>IF(OR($C240="",$I$3=""),"",IF(INDEX(인턴근무계획!$M$3:$R$402,$A240,$I$3)&amp;""="","",IF(LEFT(INDEX(인턴근무계획!$M$3:$R$402,$A240,$I$3)&amp;"",1)="⚠","",MID(INDEX(인턴근무계획!$M$3:$R$402,$A240,$I$3)&amp;"",FIND(" ",INDEX(인턴근무계획!$M$3:$R$402,$A240,$I$3)&amp;"")+1,60))))</f>
        <v/>
      </c>
      <c r="K240" s="23">
        <f>IF($C240="","",INDEX(인턴근무계획!$M$3:$M$402,$A240)&amp;"")</f>
        <v/>
      </c>
      <c r="L240" s="23">
        <f>IF($C240="","",INDEX(인턴근무계획!$N$3:$N$402,$A240)&amp;"")</f>
        <v/>
      </c>
      <c r="M240" s="23">
        <f>IF($C240="","",INDEX(인턴근무계획!$O$3:$O$402,$A240)&amp;"")</f>
        <v/>
      </c>
      <c r="N240" s="23">
        <f>IF($C240="","",INDEX(인턴근무계획!$P$3:$P$402,$A240)&amp;"")</f>
        <v/>
      </c>
      <c r="O240" s="23">
        <f>IF($C240="","",INDEX(인턴근무계획!$Q$3:$Q$402,$A240)&amp;"")</f>
        <v/>
      </c>
      <c r="P240" s="23">
        <f>IF($C240="","",INDEX(인턴근무계획!$R$3:$R$402,$A240)&amp;"")</f>
        <v/>
      </c>
      <c r="Q240" s="23">
        <f>IF($C240="","",INDEX(인턴근무계획!$T$3:$T$402,$A240))</f>
        <v/>
      </c>
    </row>
    <row r="241">
      <c r="A241" s="26" t="n">
        <v>236</v>
      </c>
      <c r="B241" s="23">
        <f>IF($C241="","",INDEX(인턴근무계획!$B$3:$B$402,$A241))</f>
        <v/>
      </c>
      <c r="C241" s="23">
        <f>IFERROR(TRIM(INDEX(인턴근무계획!$C$3:$C$402,$A241)&amp;""),"")</f>
        <v/>
      </c>
      <c r="D241" s="23">
        <f>IF($C241="","",INDEX(인턴근무계획!$D$3:$D$402,$A241))</f>
        <v/>
      </c>
      <c r="E241" s="23">
        <f>IF($C241="","",IF(IFERROR(MATCH($D241,기본자료!$B$2:$B$1001,0),IFERROR(MATCH($D241&amp;"",기본자료!$B$2:$B$1001,0),IFERROR(MATCH(VALUE($D241),기본자료!$B$2:$B$1001,0),0)))&gt;0,"확인","미등록"))</f>
        <v/>
      </c>
      <c r="F241" s="27">
        <f>IF($C241="","",INDEX(인턴근무계획!$S$3:$S$402,$A241))</f>
        <v/>
      </c>
      <c r="G241" s="23">
        <f>IF(OR($C241="",$G$3=""),"",IF(INDEX(인턴근무계획!$M$3:$R$402,$A241,$G$3)&amp;""="","",IF(LEFT(INDEX(인턴근무계획!$M$3:$R$402,$A241,$G$3)&amp;"",1)="⚠",INDEX(인턴근무계획!$M$3:$R$402,$A241,$G$3)&amp;"",LEFT(INDEX(인턴근무계획!$M$3:$R$402,$A241,$G$3)&amp;"",FIND(" ",INDEX(인턴근무계획!$M$3:$R$402,$A241,$G$3)&amp;"")-1))))</f>
        <v/>
      </c>
      <c r="H241" s="23">
        <f>IF(OR($C241="",$G$3=""),"",IF(INDEX(인턴근무계획!$M$3:$R$402,$A241,$G$3)&amp;""="","",IF(LEFT(INDEX(인턴근무계획!$M$3:$R$402,$A241,$G$3)&amp;"",1)="⚠","",MID(INDEX(인턴근무계획!$M$3:$R$402,$A241,$G$3)&amp;"",FIND(" ",INDEX(인턴근무계획!$M$3:$R$402,$A241,$G$3)&amp;"")+1,60))))</f>
        <v/>
      </c>
      <c r="I241" s="23">
        <f>IF(OR($C241="",$I$3=""),"",IF(INDEX(인턴근무계획!$M$3:$R$402,$A241,$I$3)&amp;""="","",IF(LEFT(INDEX(인턴근무계획!$M$3:$R$402,$A241,$I$3)&amp;"",1)="⚠",INDEX(인턴근무계획!$M$3:$R$402,$A241,$I$3)&amp;"",LEFT(INDEX(인턴근무계획!$M$3:$R$402,$A241,$I$3)&amp;"",FIND(" ",INDEX(인턴근무계획!$M$3:$R$402,$A241,$I$3)&amp;"")-1))))</f>
        <v/>
      </c>
      <c r="J241" s="23">
        <f>IF(OR($C241="",$I$3=""),"",IF(INDEX(인턴근무계획!$M$3:$R$402,$A241,$I$3)&amp;""="","",IF(LEFT(INDEX(인턴근무계획!$M$3:$R$402,$A241,$I$3)&amp;"",1)="⚠","",MID(INDEX(인턴근무계획!$M$3:$R$402,$A241,$I$3)&amp;"",FIND(" ",INDEX(인턴근무계획!$M$3:$R$402,$A241,$I$3)&amp;"")+1,60))))</f>
        <v/>
      </c>
      <c r="K241" s="23">
        <f>IF($C241="","",INDEX(인턴근무계획!$M$3:$M$402,$A241)&amp;"")</f>
        <v/>
      </c>
      <c r="L241" s="23">
        <f>IF($C241="","",INDEX(인턴근무계획!$N$3:$N$402,$A241)&amp;"")</f>
        <v/>
      </c>
      <c r="M241" s="23">
        <f>IF($C241="","",INDEX(인턴근무계획!$O$3:$O$402,$A241)&amp;"")</f>
        <v/>
      </c>
      <c r="N241" s="23">
        <f>IF($C241="","",INDEX(인턴근무계획!$P$3:$P$402,$A241)&amp;"")</f>
        <v/>
      </c>
      <c r="O241" s="23">
        <f>IF($C241="","",INDEX(인턴근무계획!$Q$3:$Q$402,$A241)&amp;"")</f>
        <v/>
      </c>
      <c r="P241" s="23">
        <f>IF($C241="","",INDEX(인턴근무계획!$R$3:$R$402,$A241)&amp;"")</f>
        <v/>
      </c>
      <c r="Q241" s="23">
        <f>IF($C241="","",INDEX(인턴근무계획!$T$3:$T$402,$A241))</f>
        <v/>
      </c>
    </row>
    <row r="242">
      <c r="A242" s="26" t="n">
        <v>237</v>
      </c>
      <c r="B242" s="23">
        <f>IF($C242="","",INDEX(인턴근무계획!$B$3:$B$402,$A242))</f>
        <v/>
      </c>
      <c r="C242" s="23">
        <f>IFERROR(TRIM(INDEX(인턴근무계획!$C$3:$C$402,$A242)&amp;""),"")</f>
        <v/>
      </c>
      <c r="D242" s="23">
        <f>IF($C242="","",INDEX(인턴근무계획!$D$3:$D$402,$A242))</f>
        <v/>
      </c>
      <c r="E242" s="23">
        <f>IF($C242="","",IF(IFERROR(MATCH($D242,기본자료!$B$2:$B$1001,0),IFERROR(MATCH($D242&amp;"",기본자료!$B$2:$B$1001,0),IFERROR(MATCH(VALUE($D242),기본자료!$B$2:$B$1001,0),0)))&gt;0,"확인","미등록"))</f>
        <v/>
      </c>
      <c r="F242" s="27">
        <f>IF($C242="","",INDEX(인턴근무계획!$S$3:$S$402,$A242))</f>
        <v/>
      </c>
      <c r="G242" s="23">
        <f>IF(OR($C242="",$G$3=""),"",IF(INDEX(인턴근무계획!$M$3:$R$402,$A242,$G$3)&amp;""="","",IF(LEFT(INDEX(인턴근무계획!$M$3:$R$402,$A242,$G$3)&amp;"",1)="⚠",INDEX(인턴근무계획!$M$3:$R$402,$A242,$G$3)&amp;"",LEFT(INDEX(인턴근무계획!$M$3:$R$402,$A242,$G$3)&amp;"",FIND(" ",INDEX(인턴근무계획!$M$3:$R$402,$A242,$G$3)&amp;"")-1))))</f>
        <v/>
      </c>
      <c r="H242" s="23">
        <f>IF(OR($C242="",$G$3=""),"",IF(INDEX(인턴근무계획!$M$3:$R$402,$A242,$G$3)&amp;""="","",IF(LEFT(INDEX(인턴근무계획!$M$3:$R$402,$A242,$G$3)&amp;"",1)="⚠","",MID(INDEX(인턴근무계획!$M$3:$R$402,$A242,$G$3)&amp;"",FIND(" ",INDEX(인턴근무계획!$M$3:$R$402,$A242,$G$3)&amp;"")+1,60))))</f>
        <v/>
      </c>
      <c r="I242" s="23">
        <f>IF(OR($C242="",$I$3=""),"",IF(INDEX(인턴근무계획!$M$3:$R$402,$A242,$I$3)&amp;""="","",IF(LEFT(INDEX(인턴근무계획!$M$3:$R$402,$A242,$I$3)&amp;"",1)="⚠",INDEX(인턴근무계획!$M$3:$R$402,$A242,$I$3)&amp;"",LEFT(INDEX(인턴근무계획!$M$3:$R$402,$A242,$I$3)&amp;"",FIND(" ",INDEX(인턴근무계획!$M$3:$R$402,$A242,$I$3)&amp;"")-1))))</f>
        <v/>
      </c>
      <c r="J242" s="23">
        <f>IF(OR($C242="",$I$3=""),"",IF(INDEX(인턴근무계획!$M$3:$R$402,$A242,$I$3)&amp;""="","",IF(LEFT(INDEX(인턴근무계획!$M$3:$R$402,$A242,$I$3)&amp;"",1)="⚠","",MID(INDEX(인턴근무계획!$M$3:$R$402,$A242,$I$3)&amp;"",FIND(" ",INDEX(인턴근무계획!$M$3:$R$402,$A242,$I$3)&amp;"")+1,60))))</f>
        <v/>
      </c>
      <c r="K242" s="23">
        <f>IF($C242="","",INDEX(인턴근무계획!$M$3:$M$402,$A242)&amp;"")</f>
        <v/>
      </c>
      <c r="L242" s="23">
        <f>IF($C242="","",INDEX(인턴근무계획!$N$3:$N$402,$A242)&amp;"")</f>
        <v/>
      </c>
      <c r="M242" s="23">
        <f>IF($C242="","",INDEX(인턴근무계획!$O$3:$O$402,$A242)&amp;"")</f>
        <v/>
      </c>
      <c r="N242" s="23">
        <f>IF($C242="","",INDEX(인턴근무계획!$P$3:$P$402,$A242)&amp;"")</f>
        <v/>
      </c>
      <c r="O242" s="23">
        <f>IF($C242="","",INDEX(인턴근무계획!$Q$3:$Q$402,$A242)&amp;"")</f>
        <v/>
      </c>
      <c r="P242" s="23">
        <f>IF($C242="","",INDEX(인턴근무계획!$R$3:$R$402,$A242)&amp;"")</f>
        <v/>
      </c>
      <c r="Q242" s="23">
        <f>IF($C242="","",INDEX(인턴근무계획!$T$3:$T$402,$A242))</f>
        <v/>
      </c>
    </row>
    <row r="243">
      <c r="A243" s="26" t="n">
        <v>238</v>
      </c>
      <c r="B243" s="23">
        <f>IF($C243="","",INDEX(인턴근무계획!$B$3:$B$402,$A243))</f>
        <v/>
      </c>
      <c r="C243" s="23">
        <f>IFERROR(TRIM(INDEX(인턴근무계획!$C$3:$C$402,$A243)&amp;""),"")</f>
        <v/>
      </c>
      <c r="D243" s="23">
        <f>IF($C243="","",INDEX(인턴근무계획!$D$3:$D$402,$A243))</f>
        <v/>
      </c>
      <c r="E243" s="23">
        <f>IF($C243="","",IF(IFERROR(MATCH($D243,기본자료!$B$2:$B$1001,0),IFERROR(MATCH($D243&amp;"",기본자료!$B$2:$B$1001,0),IFERROR(MATCH(VALUE($D243),기본자료!$B$2:$B$1001,0),0)))&gt;0,"확인","미등록"))</f>
        <v/>
      </c>
      <c r="F243" s="27">
        <f>IF($C243="","",INDEX(인턴근무계획!$S$3:$S$402,$A243))</f>
        <v/>
      </c>
      <c r="G243" s="23">
        <f>IF(OR($C243="",$G$3=""),"",IF(INDEX(인턴근무계획!$M$3:$R$402,$A243,$G$3)&amp;""="","",IF(LEFT(INDEX(인턴근무계획!$M$3:$R$402,$A243,$G$3)&amp;"",1)="⚠",INDEX(인턴근무계획!$M$3:$R$402,$A243,$G$3)&amp;"",LEFT(INDEX(인턴근무계획!$M$3:$R$402,$A243,$G$3)&amp;"",FIND(" ",INDEX(인턴근무계획!$M$3:$R$402,$A243,$G$3)&amp;"")-1))))</f>
        <v/>
      </c>
      <c r="H243" s="23">
        <f>IF(OR($C243="",$G$3=""),"",IF(INDEX(인턴근무계획!$M$3:$R$402,$A243,$G$3)&amp;""="","",IF(LEFT(INDEX(인턴근무계획!$M$3:$R$402,$A243,$G$3)&amp;"",1)="⚠","",MID(INDEX(인턴근무계획!$M$3:$R$402,$A243,$G$3)&amp;"",FIND(" ",INDEX(인턴근무계획!$M$3:$R$402,$A243,$G$3)&amp;"")+1,60))))</f>
        <v/>
      </c>
      <c r="I243" s="23">
        <f>IF(OR($C243="",$I$3=""),"",IF(INDEX(인턴근무계획!$M$3:$R$402,$A243,$I$3)&amp;""="","",IF(LEFT(INDEX(인턴근무계획!$M$3:$R$402,$A243,$I$3)&amp;"",1)="⚠",INDEX(인턴근무계획!$M$3:$R$402,$A243,$I$3)&amp;"",LEFT(INDEX(인턴근무계획!$M$3:$R$402,$A243,$I$3)&amp;"",FIND(" ",INDEX(인턴근무계획!$M$3:$R$402,$A243,$I$3)&amp;"")-1))))</f>
        <v/>
      </c>
      <c r="J243" s="23">
        <f>IF(OR($C243="",$I$3=""),"",IF(INDEX(인턴근무계획!$M$3:$R$402,$A243,$I$3)&amp;""="","",IF(LEFT(INDEX(인턴근무계획!$M$3:$R$402,$A243,$I$3)&amp;"",1)="⚠","",MID(INDEX(인턴근무계획!$M$3:$R$402,$A243,$I$3)&amp;"",FIND(" ",INDEX(인턴근무계획!$M$3:$R$402,$A243,$I$3)&amp;"")+1,60))))</f>
        <v/>
      </c>
      <c r="K243" s="23">
        <f>IF($C243="","",INDEX(인턴근무계획!$M$3:$M$402,$A243)&amp;"")</f>
        <v/>
      </c>
      <c r="L243" s="23">
        <f>IF($C243="","",INDEX(인턴근무계획!$N$3:$N$402,$A243)&amp;"")</f>
        <v/>
      </c>
      <c r="M243" s="23">
        <f>IF($C243="","",INDEX(인턴근무계획!$O$3:$O$402,$A243)&amp;"")</f>
        <v/>
      </c>
      <c r="N243" s="23">
        <f>IF($C243="","",INDEX(인턴근무계획!$P$3:$P$402,$A243)&amp;"")</f>
        <v/>
      </c>
      <c r="O243" s="23">
        <f>IF($C243="","",INDEX(인턴근무계획!$Q$3:$Q$402,$A243)&amp;"")</f>
        <v/>
      </c>
      <c r="P243" s="23">
        <f>IF($C243="","",INDEX(인턴근무계획!$R$3:$R$402,$A243)&amp;"")</f>
        <v/>
      </c>
      <c r="Q243" s="23">
        <f>IF($C243="","",INDEX(인턴근무계획!$T$3:$T$402,$A243))</f>
        <v/>
      </c>
    </row>
    <row r="244">
      <c r="A244" s="26" t="n">
        <v>239</v>
      </c>
      <c r="B244" s="23">
        <f>IF($C244="","",INDEX(인턴근무계획!$B$3:$B$402,$A244))</f>
        <v/>
      </c>
      <c r="C244" s="23">
        <f>IFERROR(TRIM(INDEX(인턴근무계획!$C$3:$C$402,$A244)&amp;""),"")</f>
        <v/>
      </c>
      <c r="D244" s="23">
        <f>IF($C244="","",INDEX(인턴근무계획!$D$3:$D$402,$A244))</f>
        <v/>
      </c>
      <c r="E244" s="23">
        <f>IF($C244="","",IF(IFERROR(MATCH($D244,기본자료!$B$2:$B$1001,0),IFERROR(MATCH($D244&amp;"",기본자료!$B$2:$B$1001,0),IFERROR(MATCH(VALUE($D244),기본자료!$B$2:$B$1001,0),0)))&gt;0,"확인","미등록"))</f>
        <v/>
      </c>
      <c r="F244" s="27">
        <f>IF($C244="","",INDEX(인턴근무계획!$S$3:$S$402,$A244))</f>
        <v/>
      </c>
      <c r="G244" s="23">
        <f>IF(OR($C244="",$G$3=""),"",IF(INDEX(인턴근무계획!$M$3:$R$402,$A244,$G$3)&amp;""="","",IF(LEFT(INDEX(인턴근무계획!$M$3:$R$402,$A244,$G$3)&amp;"",1)="⚠",INDEX(인턴근무계획!$M$3:$R$402,$A244,$G$3)&amp;"",LEFT(INDEX(인턴근무계획!$M$3:$R$402,$A244,$G$3)&amp;"",FIND(" ",INDEX(인턴근무계획!$M$3:$R$402,$A244,$G$3)&amp;"")-1))))</f>
        <v/>
      </c>
      <c r="H244" s="23">
        <f>IF(OR($C244="",$G$3=""),"",IF(INDEX(인턴근무계획!$M$3:$R$402,$A244,$G$3)&amp;""="","",IF(LEFT(INDEX(인턴근무계획!$M$3:$R$402,$A244,$G$3)&amp;"",1)="⚠","",MID(INDEX(인턴근무계획!$M$3:$R$402,$A244,$G$3)&amp;"",FIND(" ",INDEX(인턴근무계획!$M$3:$R$402,$A244,$G$3)&amp;"")+1,60))))</f>
        <v/>
      </c>
      <c r="I244" s="23">
        <f>IF(OR($C244="",$I$3=""),"",IF(INDEX(인턴근무계획!$M$3:$R$402,$A244,$I$3)&amp;""="","",IF(LEFT(INDEX(인턴근무계획!$M$3:$R$402,$A244,$I$3)&amp;"",1)="⚠",INDEX(인턴근무계획!$M$3:$R$402,$A244,$I$3)&amp;"",LEFT(INDEX(인턴근무계획!$M$3:$R$402,$A244,$I$3)&amp;"",FIND(" ",INDEX(인턴근무계획!$M$3:$R$402,$A244,$I$3)&amp;"")-1))))</f>
        <v/>
      </c>
      <c r="J244" s="23">
        <f>IF(OR($C244="",$I$3=""),"",IF(INDEX(인턴근무계획!$M$3:$R$402,$A244,$I$3)&amp;""="","",IF(LEFT(INDEX(인턴근무계획!$M$3:$R$402,$A244,$I$3)&amp;"",1)="⚠","",MID(INDEX(인턴근무계획!$M$3:$R$402,$A244,$I$3)&amp;"",FIND(" ",INDEX(인턴근무계획!$M$3:$R$402,$A244,$I$3)&amp;"")+1,60))))</f>
        <v/>
      </c>
      <c r="K244" s="23">
        <f>IF($C244="","",INDEX(인턴근무계획!$M$3:$M$402,$A244)&amp;"")</f>
        <v/>
      </c>
      <c r="L244" s="23">
        <f>IF($C244="","",INDEX(인턴근무계획!$N$3:$N$402,$A244)&amp;"")</f>
        <v/>
      </c>
      <c r="M244" s="23">
        <f>IF($C244="","",INDEX(인턴근무계획!$O$3:$O$402,$A244)&amp;"")</f>
        <v/>
      </c>
      <c r="N244" s="23">
        <f>IF($C244="","",INDEX(인턴근무계획!$P$3:$P$402,$A244)&amp;"")</f>
        <v/>
      </c>
      <c r="O244" s="23">
        <f>IF($C244="","",INDEX(인턴근무계획!$Q$3:$Q$402,$A244)&amp;"")</f>
        <v/>
      </c>
      <c r="P244" s="23">
        <f>IF($C244="","",INDEX(인턴근무계획!$R$3:$R$402,$A244)&amp;"")</f>
        <v/>
      </c>
      <c r="Q244" s="23">
        <f>IF($C244="","",INDEX(인턴근무계획!$T$3:$T$402,$A244))</f>
        <v/>
      </c>
    </row>
    <row r="245">
      <c r="A245" s="26" t="n">
        <v>240</v>
      </c>
      <c r="B245" s="23">
        <f>IF($C245="","",INDEX(인턴근무계획!$B$3:$B$402,$A245))</f>
        <v/>
      </c>
      <c r="C245" s="23">
        <f>IFERROR(TRIM(INDEX(인턴근무계획!$C$3:$C$402,$A245)&amp;""),"")</f>
        <v/>
      </c>
      <c r="D245" s="23">
        <f>IF($C245="","",INDEX(인턴근무계획!$D$3:$D$402,$A245))</f>
        <v/>
      </c>
      <c r="E245" s="23">
        <f>IF($C245="","",IF(IFERROR(MATCH($D245,기본자료!$B$2:$B$1001,0),IFERROR(MATCH($D245&amp;"",기본자료!$B$2:$B$1001,0),IFERROR(MATCH(VALUE($D245),기본자료!$B$2:$B$1001,0),0)))&gt;0,"확인","미등록"))</f>
        <v/>
      </c>
      <c r="F245" s="27">
        <f>IF($C245="","",INDEX(인턴근무계획!$S$3:$S$402,$A245))</f>
        <v/>
      </c>
      <c r="G245" s="23">
        <f>IF(OR($C245="",$G$3=""),"",IF(INDEX(인턴근무계획!$M$3:$R$402,$A245,$G$3)&amp;""="","",IF(LEFT(INDEX(인턴근무계획!$M$3:$R$402,$A245,$G$3)&amp;"",1)="⚠",INDEX(인턴근무계획!$M$3:$R$402,$A245,$G$3)&amp;"",LEFT(INDEX(인턴근무계획!$M$3:$R$402,$A245,$G$3)&amp;"",FIND(" ",INDEX(인턴근무계획!$M$3:$R$402,$A245,$G$3)&amp;"")-1))))</f>
        <v/>
      </c>
      <c r="H245" s="23">
        <f>IF(OR($C245="",$G$3=""),"",IF(INDEX(인턴근무계획!$M$3:$R$402,$A245,$G$3)&amp;""="","",IF(LEFT(INDEX(인턴근무계획!$M$3:$R$402,$A245,$G$3)&amp;"",1)="⚠","",MID(INDEX(인턴근무계획!$M$3:$R$402,$A245,$G$3)&amp;"",FIND(" ",INDEX(인턴근무계획!$M$3:$R$402,$A245,$G$3)&amp;"")+1,60))))</f>
        <v/>
      </c>
      <c r="I245" s="23">
        <f>IF(OR($C245="",$I$3=""),"",IF(INDEX(인턴근무계획!$M$3:$R$402,$A245,$I$3)&amp;""="","",IF(LEFT(INDEX(인턴근무계획!$M$3:$R$402,$A245,$I$3)&amp;"",1)="⚠",INDEX(인턴근무계획!$M$3:$R$402,$A245,$I$3)&amp;"",LEFT(INDEX(인턴근무계획!$M$3:$R$402,$A245,$I$3)&amp;"",FIND(" ",INDEX(인턴근무계획!$M$3:$R$402,$A245,$I$3)&amp;"")-1))))</f>
        <v/>
      </c>
      <c r="J245" s="23">
        <f>IF(OR($C245="",$I$3=""),"",IF(INDEX(인턴근무계획!$M$3:$R$402,$A245,$I$3)&amp;""="","",IF(LEFT(INDEX(인턴근무계획!$M$3:$R$402,$A245,$I$3)&amp;"",1)="⚠","",MID(INDEX(인턴근무계획!$M$3:$R$402,$A245,$I$3)&amp;"",FIND(" ",INDEX(인턴근무계획!$M$3:$R$402,$A245,$I$3)&amp;"")+1,60))))</f>
        <v/>
      </c>
      <c r="K245" s="23">
        <f>IF($C245="","",INDEX(인턴근무계획!$M$3:$M$402,$A245)&amp;"")</f>
        <v/>
      </c>
      <c r="L245" s="23">
        <f>IF($C245="","",INDEX(인턴근무계획!$N$3:$N$402,$A245)&amp;"")</f>
        <v/>
      </c>
      <c r="M245" s="23">
        <f>IF($C245="","",INDEX(인턴근무계획!$O$3:$O$402,$A245)&amp;"")</f>
        <v/>
      </c>
      <c r="N245" s="23">
        <f>IF($C245="","",INDEX(인턴근무계획!$P$3:$P$402,$A245)&amp;"")</f>
        <v/>
      </c>
      <c r="O245" s="23">
        <f>IF($C245="","",INDEX(인턴근무계획!$Q$3:$Q$402,$A245)&amp;"")</f>
        <v/>
      </c>
      <c r="P245" s="23">
        <f>IF($C245="","",INDEX(인턴근무계획!$R$3:$R$402,$A245)&amp;"")</f>
        <v/>
      </c>
      <c r="Q245" s="23">
        <f>IF($C245="","",INDEX(인턴근무계획!$T$3:$T$402,$A245))</f>
        <v/>
      </c>
    </row>
    <row r="246">
      <c r="A246" s="26" t="n">
        <v>241</v>
      </c>
      <c r="B246" s="23">
        <f>IF($C246="","",INDEX(인턴근무계획!$B$3:$B$402,$A246))</f>
        <v/>
      </c>
      <c r="C246" s="23">
        <f>IFERROR(TRIM(INDEX(인턴근무계획!$C$3:$C$402,$A246)&amp;""),"")</f>
        <v/>
      </c>
      <c r="D246" s="23">
        <f>IF($C246="","",INDEX(인턴근무계획!$D$3:$D$402,$A246))</f>
        <v/>
      </c>
      <c r="E246" s="23">
        <f>IF($C246="","",IF(IFERROR(MATCH($D246,기본자료!$B$2:$B$1001,0),IFERROR(MATCH($D246&amp;"",기본자료!$B$2:$B$1001,0),IFERROR(MATCH(VALUE($D246),기본자료!$B$2:$B$1001,0),0)))&gt;0,"확인","미등록"))</f>
        <v/>
      </c>
      <c r="F246" s="27">
        <f>IF($C246="","",INDEX(인턴근무계획!$S$3:$S$402,$A246))</f>
        <v/>
      </c>
      <c r="G246" s="23">
        <f>IF(OR($C246="",$G$3=""),"",IF(INDEX(인턴근무계획!$M$3:$R$402,$A246,$G$3)&amp;""="","",IF(LEFT(INDEX(인턴근무계획!$M$3:$R$402,$A246,$G$3)&amp;"",1)="⚠",INDEX(인턴근무계획!$M$3:$R$402,$A246,$G$3)&amp;"",LEFT(INDEX(인턴근무계획!$M$3:$R$402,$A246,$G$3)&amp;"",FIND(" ",INDEX(인턴근무계획!$M$3:$R$402,$A246,$G$3)&amp;"")-1))))</f>
        <v/>
      </c>
      <c r="H246" s="23">
        <f>IF(OR($C246="",$G$3=""),"",IF(INDEX(인턴근무계획!$M$3:$R$402,$A246,$G$3)&amp;""="","",IF(LEFT(INDEX(인턴근무계획!$M$3:$R$402,$A246,$G$3)&amp;"",1)="⚠","",MID(INDEX(인턴근무계획!$M$3:$R$402,$A246,$G$3)&amp;"",FIND(" ",INDEX(인턴근무계획!$M$3:$R$402,$A246,$G$3)&amp;"")+1,60))))</f>
        <v/>
      </c>
      <c r="I246" s="23">
        <f>IF(OR($C246="",$I$3=""),"",IF(INDEX(인턴근무계획!$M$3:$R$402,$A246,$I$3)&amp;""="","",IF(LEFT(INDEX(인턴근무계획!$M$3:$R$402,$A246,$I$3)&amp;"",1)="⚠",INDEX(인턴근무계획!$M$3:$R$402,$A246,$I$3)&amp;"",LEFT(INDEX(인턴근무계획!$M$3:$R$402,$A246,$I$3)&amp;"",FIND(" ",INDEX(인턴근무계획!$M$3:$R$402,$A246,$I$3)&amp;"")-1))))</f>
        <v/>
      </c>
      <c r="J246" s="23">
        <f>IF(OR($C246="",$I$3=""),"",IF(INDEX(인턴근무계획!$M$3:$R$402,$A246,$I$3)&amp;""="","",IF(LEFT(INDEX(인턴근무계획!$M$3:$R$402,$A246,$I$3)&amp;"",1)="⚠","",MID(INDEX(인턴근무계획!$M$3:$R$402,$A246,$I$3)&amp;"",FIND(" ",INDEX(인턴근무계획!$M$3:$R$402,$A246,$I$3)&amp;"")+1,60))))</f>
        <v/>
      </c>
      <c r="K246" s="23">
        <f>IF($C246="","",INDEX(인턴근무계획!$M$3:$M$402,$A246)&amp;"")</f>
        <v/>
      </c>
      <c r="L246" s="23">
        <f>IF($C246="","",INDEX(인턴근무계획!$N$3:$N$402,$A246)&amp;"")</f>
        <v/>
      </c>
      <c r="M246" s="23">
        <f>IF($C246="","",INDEX(인턴근무계획!$O$3:$O$402,$A246)&amp;"")</f>
        <v/>
      </c>
      <c r="N246" s="23">
        <f>IF($C246="","",INDEX(인턴근무계획!$P$3:$P$402,$A246)&amp;"")</f>
        <v/>
      </c>
      <c r="O246" s="23">
        <f>IF($C246="","",INDEX(인턴근무계획!$Q$3:$Q$402,$A246)&amp;"")</f>
        <v/>
      </c>
      <c r="P246" s="23">
        <f>IF($C246="","",INDEX(인턴근무계획!$R$3:$R$402,$A246)&amp;"")</f>
        <v/>
      </c>
      <c r="Q246" s="23">
        <f>IF($C246="","",INDEX(인턴근무계획!$T$3:$T$402,$A246))</f>
        <v/>
      </c>
    </row>
    <row r="247">
      <c r="A247" s="26" t="n">
        <v>242</v>
      </c>
      <c r="B247" s="23">
        <f>IF($C247="","",INDEX(인턴근무계획!$B$3:$B$402,$A247))</f>
        <v/>
      </c>
      <c r="C247" s="23">
        <f>IFERROR(TRIM(INDEX(인턴근무계획!$C$3:$C$402,$A247)&amp;""),"")</f>
        <v/>
      </c>
      <c r="D247" s="23">
        <f>IF($C247="","",INDEX(인턴근무계획!$D$3:$D$402,$A247))</f>
        <v/>
      </c>
      <c r="E247" s="23">
        <f>IF($C247="","",IF(IFERROR(MATCH($D247,기본자료!$B$2:$B$1001,0),IFERROR(MATCH($D247&amp;"",기본자료!$B$2:$B$1001,0),IFERROR(MATCH(VALUE($D247),기본자료!$B$2:$B$1001,0),0)))&gt;0,"확인","미등록"))</f>
        <v/>
      </c>
      <c r="F247" s="27">
        <f>IF($C247="","",INDEX(인턴근무계획!$S$3:$S$402,$A247))</f>
        <v/>
      </c>
      <c r="G247" s="23">
        <f>IF(OR($C247="",$G$3=""),"",IF(INDEX(인턴근무계획!$M$3:$R$402,$A247,$G$3)&amp;""="","",IF(LEFT(INDEX(인턴근무계획!$M$3:$R$402,$A247,$G$3)&amp;"",1)="⚠",INDEX(인턴근무계획!$M$3:$R$402,$A247,$G$3)&amp;"",LEFT(INDEX(인턴근무계획!$M$3:$R$402,$A247,$G$3)&amp;"",FIND(" ",INDEX(인턴근무계획!$M$3:$R$402,$A247,$G$3)&amp;"")-1))))</f>
        <v/>
      </c>
      <c r="H247" s="23">
        <f>IF(OR($C247="",$G$3=""),"",IF(INDEX(인턴근무계획!$M$3:$R$402,$A247,$G$3)&amp;""="","",IF(LEFT(INDEX(인턴근무계획!$M$3:$R$402,$A247,$G$3)&amp;"",1)="⚠","",MID(INDEX(인턴근무계획!$M$3:$R$402,$A247,$G$3)&amp;"",FIND(" ",INDEX(인턴근무계획!$M$3:$R$402,$A247,$G$3)&amp;"")+1,60))))</f>
        <v/>
      </c>
      <c r="I247" s="23">
        <f>IF(OR($C247="",$I$3=""),"",IF(INDEX(인턴근무계획!$M$3:$R$402,$A247,$I$3)&amp;""="","",IF(LEFT(INDEX(인턴근무계획!$M$3:$R$402,$A247,$I$3)&amp;"",1)="⚠",INDEX(인턴근무계획!$M$3:$R$402,$A247,$I$3)&amp;"",LEFT(INDEX(인턴근무계획!$M$3:$R$402,$A247,$I$3)&amp;"",FIND(" ",INDEX(인턴근무계획!$M$3:$R$402,$A247,$I$3)&amp;"")-1))))</f>
        <v/>
      </c>
      <c r="J247" s="23">
        <f>IF(OR($C247="",$I$3=""),"",IF(INDEX(인턴근무계획!$M$3:$R$402,$A247,$I$3)&amp;""="","",IF(LEFT(INDEX(인턴근무계획!$M$3:$R$402,$A247,$I$3)&amp;"",1)="⚠","",MID(INDEX(인턴근무계획!$M$3:$R$402,$A247,$I$3)&amp;"",FIND(" ",INDEX(인턴근무계획!$M$3:$R$402,$A247,$I$3)&amp;"")+1,60))))</f>
        <v/>
      </c>
      <c r="K247" s="23">
        <f>IF($C247="","",INDEX(인턴근무계획!$M$3:$M$402,$A247)&amp;"")</f>
        <v/>
      </c>
      <c r="L247" s="23">
        <f>IF($C247="","",INDEX(인턴근무계획!$N$3:$N$402,$A247)&amp;"")</f>
        <v/>
      </c>
      <c r="M247" s="23">
        <f>IF($C247="","",INDEX(인턴근무계획!$O$3:$O$402,$A247)&amp;"")</f>
        <v/>
      </c>
      <c r="N247" s="23">
        <f>IF($C247="","",INDEX(인턴근무계획!$P$3:$P$402,$A247)&amp;"")</f>
        <v/>
      </c>
      <c r="O247" s="23">
        <f>IF($C247="","",INDEX(인턴근무계획!$Q$3:$Q$402,$A247)&amp;"")</f>
        <v/>
      </c>
      <c r="P247" s="23">
        <f>IF($C247="","",INDEX(인턴근무계획!$R$3:$R$402,$A247)&amp;"")</f>
        <v/>
      </c>
      <c r="Q247" s="23">
        <f>IF($C247="","",INDEX(인턴근무계획!$T$3:$T$402,$A247))</f>
        <v/>
      </c>
    </row>
    <row r="248">
      <c r="A248" s="26" t="n">
        <v>243</v>
      </c>
      <c r="B248" s="23">
        <f>IF($C248="","",INDEX(인턴근무계획!$B$3:$B$402,$A248))</f>
        <v/>
      </c>
      <c r="C248" s="23">
        <f>IFERROR(TRIM(INDEX(인턴근무계획!$C$3:$C$402,$A248)&amp;""),"")</f>
        <v/>
      </c>
      <c r="D248" s="23">
        <f>IF($C248="","",INDEX(인턴근무계획!$D$3:$D$402,$A248))</f>
        <v/>
      </c>
      <c r="E248" s="23">
        <f>IF($C248="","",IF(IFERROR(MATCH($D248,기본자료!$B$2:$B$1001,0),IFERROR(MATCH($D248&amp;"",기본자료!$B$2:$B$1001,0),IFERROR(MATCH(VALUE($D248),기본자료!$B$2:$B$1001,0),0)))&gt;0,"확인","미등록"))</f>
        <v/>
      </c>
      <c r="F248" s="27">
        <f>IF($C248="","",INDEX(인턴근무계획!$S$3:$S$402,$A248))</f>
        <v/>
      </c>
      <c r="G248" s="23">
        <f>IF(OR($C248="",$G$3=""),"",IF(INDEX(인턴근무계획!$M$3:$R$402,$A248,$G$3)&amp;""="","",IF(LEFT(INDEX(인턴근무계획!$M$3:$R$402,$A248,$G$3)&amp;"",1)="⚠",INDEX(인턴근무계획!$M$3:$R$402,$A248,$G$3)&amp;"",LEFT(INDEX(인턴근무계획!$M$3:$R$402,$A248,$G$3)&amp;"",FIND(" ",INDEX(인턴근무계획!$M$3:$R$402,$A248,$G$3)&amp;"")-1))))</f>
        <v/>
      </c>
      <c r="H248" s="23">
        <f>IF(OR($C248="",$G$3=""),"",IF(INDEX(인턴근무계획!$M$3:$R$402,$A248,$G$3)&amp;""="","",IF(LEFT(INDEX(인턴근무계획!$M$3:$R$402,$A248,$G$3)&amp;"",1)="⚠","",MID(INDEX(인턴근무계획!$M$3:$R$402,$A248,$G$3)&amp;"",FIND(" ",INDEX(인턴근무계획!$M$3:$R$402,$A248,$G$3)&amp;"")+1,60))))</f>
        <v/>
      </c>
      <c r="I248" s="23">
        <f>IF(OR($C248="",$I$3=""),"",IF(INDEX(인턴근무계획!$M$3:$R$402,$A248,$I$3)&amp;""="","",IF(LEFT(INDEX(인턴근무계획!$M$3:$R$402,$A248,$I$3)&amp;"",1)="⚠",INDEX(인턴근무계획!$M$3:$R$402,$A248,$I$3)&amp;"",LEFT(INDEX(인턴근무계획!$M$3:$R$402,$A248,$I$3)&amp;"",FIND(" ",INDEX(인턴근무계획!$M$3:$R$402,$A248,$I$3)&amp;"")-1))))</f>
        <v/>
      </c>
      <c r="J248" s="23">
        <f>IF(OR($C248="",$I$3=""),"",IF(INDEX(인턴근무계획!$M$3:$R$402,$A248,$I$3)&amp;""="","",IF(LEFT(INDEX(인턴근무계획!$M$3:$R$402,$A248,$I$3)&amp;"",1)="⚠","",MID(INDEX(인턴근무계획!$M$3:$R$402,$A248,$I$3)&amp;"",FIND(" ",INDEX(인턴근무계획!$M$3:$R$402,$A248,$I$3)&amp;"")+1,60))))</f>
        <v/>
      </c>
      <c r="K248" s="23">
        <f>IF($C248="","",INDEX(인턴근무계획!$M$3:$M$402,$A248)&amp;"")</f>
        <v/>
      </c>
      <c r="L248" s="23">
        <f>IF($C248="","",INDEX(인턴근무계획!$N$3:$N$402,$A248)&amp;"")</f>
        <v/>
      </c>
      <c r="M248" s="23">
        <f>IF($C248="","",INDEX(인턴근무계획!$O$3:$O$402,$A248)&amp;"")</f>
        <v/>
      </c>
      <c r="N248" s="23">
        <f>IF($C248="","",INDEX(인턴근무계획!$P$3:$P$402,$A248)&amp;"")</f>
        <v/>
      </c>
      <c r="O248" s="23">
        <f>IF($C248="","",INDEX(인턴근무계획!$Q$3:$Q$402,$A248)&amp;"")</f>
        <v/>
      </c>
      <c r="P248" s="23">
        <f>IF($C248="","",INDEX(인턴근무계획!$R$3:$R$402,$A248)&amp;"")</f>
        <v/>
      </c>
      <c r="Q248" s="23">
        <f>IF($C248="","",INDEX(인턴근무계획!$T$3:$T$402,$A248))</f>
        <v/>
      </c>
    </row>
    <row r="249">
      <c r="A249" s="26" t="n">
        <v>244</v>
      </c>
      <c r="B249" s="23">
        <f>IF($C249="","",INDEX(인턴근무계획!$B$3:$B$402,$A249))</f>
        <v/>
      </c>
      <c r="C249" s="23">
        <f>IFERROR(TRIM(INDEX(인턴근무계획!$C$3:$C$402,$A249)&amp;""),"")</f>
        <v/>
      </c>
      <c r="D249" s="23">
        <f>IF($C249="","",INDEX(인턴근무계획!$D$3:$D$402,$A249))</f>
        <v/>
      </c>
      <c r="E249" s="23">
        <f>IF($C249="","",IF(IFERROR(MATCH($D249,기본자료!$B$2:$B$1001,0),IFERROR(MATCH($D249&amp;"",기본자료!$B$2:$B$1001,0),IFERROR(MATCH(VALUE($D249),기본자료!$B$2:$B$1001,0),0)))&gt;0,"확인","미등록"))</f>
        <v/>
      </c>
      <c r="F249" s="27">
        <f>IF($C249="","",INDEX(인턴근무계획!$S$3:$S$402,$A249))</f>
        <v/>
      </c>
      <c r="G249" s="23">
        <f>IF(OR($C249="",$G$3=""),"",IF(INDEX(인턴근무계획!$M$3:$R$402,$A249,$G$3)&amp;""="","",IF(LEFT(INDEX(인턴근무계획!$M$3:$R$402,$A249,$G$3)&amp;"",1)="⚠",INDEX(인턴근무계획!$M$3:$R$402,$A249,$G$3)&amp;"",LEFT(INDEX(인턴근무계획!$M$3:$R$402,$A249,$G$3)&amp;"",FIND(" ",INDEX(인턴근무계획!$M$3:$R$402,$A249,$G$3)&amp;"")-1))))</f>
        <v/>
      </c>
      <c r="H249" s="23">
        <f>IF(OR($C249="",$G$3=""),"",IF(INDEX(인턴근무계획!$M$3:$R$402,$A249,$G$3)&amp;""="","",IF(LEFT(INDEX(인턴근무계획!$M$3:$R$402,$A249,$G$3)&amp;"",1)="⚠","",MID(INDEX(인턴근무계획!$M$3:$R$402,$A249,$G$3)&amp;"",FIND(" ",INDEX(인턴근무계획!$M$3:$R$402,$A249,$G$3)&amp;"")+1,60))))</f>
        <v/>
      </c>
      <c r="I249" s="23">
        <f>IF(OR($C249="",$I$3=""),"",IF(INDEX(인턴근무계획!$M$3:$R$402,$A249,$I$3)&amp;""="","",IF(LEFT(INDEX(인턴근무계획!$M$3:$R$402,$A249,$I$3)&amp;"",1)="⚠",INDEX(인턴근무계획!$M$3:$R$402,$A249,$I$3)&amp;"",LEFT(INDEX(인턴근무계획!$M$3:$R$402,$A249,$I$3)&amp;"",FIND(" ",INDEX(인턴근무계획!$M$3:$R$402,$A249,$I$3)&amp;"")-1))))</f>
        <v/>
      </c>
      <c r="J249" s="23">
        <f>IF(OR($C249="",$I$3=""),"",IF(INDEX(인턴근무계획!$M$3:$R$402,$A249,$I$3)&amp;""="","",IF(LEFT(INDEX(인턴근무계획!$M$3:$R$402,$A249,$I$3)&amp;"",1)="⚠","",MID(INDEX(인턴근무계획!$M$3:$R$402,$A249,$I$3)&amp;"",FIND(" ",INDEX(인턴근무계획!$M$3:$R$402,$A249,$I$3)&amp;"")+1,60))))</f>
        <v/>
      </c>
      <c r="K249" s="23">
        <f>IF($C249="","",INDEX(인턴근무계획!$M$3:$M$402,$A249)&amp;"")</f>
        <v/>
      </c>
      <c r="L249" s="23">
        <f>IF($C249="","",INDEX(인턴근무계획!$N$3:$N$402,$A249)&amp;"")</f>
        <v/>
      </c>
      <c r="M249" s="23">
        <f>IF($C249="","",INDEX(인턴근무계획!$O$3:$O$402,$A249)&amp;"")</f>
        <v/>
      </c>
      <c r="N249" s="23">
        <f>IF($C249="","",INDEX(인턴근무계획!$P$3:$P$402,$A249)&amp;"")</f>
        <v/>
      </c>
      <c r="O249" s="23">
        <f>IF($C249="","",INDEX(인턴근무계획!$Q$3:$Q$402,$A249)&amp;"")</f>
        <v/>
      </c>
      <c r="P249" s="23">
        <f>IF($C249="","",INDEX(인턴근무계획!$R$3:$R$402,$A249)&amp;"")</f>
        <v/>
      </c>
      <c r="Q249" s="23">
        <f>IF($C249="","",INDEX(인턴근무계획!$T$3:$T$402,$A249))</f>
        <v/>
      </c>
    </row>
    <row r="250">
      <c r="A250" s="26" t="n">
        <v>245</v>
      </c>
      <c r="B250" s="23">
        <f>IF($C250="","",INDEX(인턴근무계획!$B$3:$B$402,$A250))</f>
        <v/>
      </c>
      <c r="C250" s="23">
        <f>IFERROR(TRIM(INDEX(인턴근무계획!$C$3:$C$402,$A250)&amp;""),"")</f>
        <v/>
      </c>
      <c r="D250" s="23">
        <f>IF($C250="","",INDEX(인턴근무계획!$D$3:$D$402,$A250))</f>
        <v/>
      </c>
      <c r="E250" s="23">
        <f>IF($C250="","",IF(IFERROR(MATCH($D250,기본자료!$B$2:$B$1001,0),IFERROR(MATCH($D250&amp;"",기본자료!$B$2:$B$1001,0),IFERROR(MATCH(VALUE($D250),기본자료!$B$2:$B$1001,0),0)))&gt;0,"확인","미등록"))</f>
        <v/>
      </c>
      <c r="F250" s="27">
        <f>IF($C250="","",INDEX(인턴근무계획!$S$3:$S$402,$A250))</f>
        <v/>
      </c>
      <c r="G250" s="23">
        <f>IF(OR($C250="",$G$3=""),"",IF(INDEX(인턴근무계획!$M$3:$R$402,$A250,$G$3)&amp;""="","",IF(LEFT(INDEX(인턴근무계획!$M$3:$R$402,$A250,$G$3)&amp;"",1)="⚠",INDEX(인턴근무계획!$M$3:$R$402,$A250,$G$3)&amp;"",LEFT(INDEX(인턴근무계획!$M$3:$R$402,$A250,$G$3)&amp;"",FIND(" ",INDEX(인턴근무계획!$M$3:$R$402,$A250,$G$3)&amp;"")-1))))</f>
        <v/>
      </c>
      <c r="H250" s="23">
        <f>IF(OR($C250="",$G$3=""),"",IF(INDEX(인턴근무계획!$M$3:$R$402,$A250,$G$3)&amp;""="","",IF(LEFT(INDEX(인턴근무계획!$M$3:$R$402,$A250,$G$3)&amp;"",1)="⚠","",MID(INDEX(인턴근무계획!$M$3:$R$402,$A250,$G$3)&amp;"",FIND(" ",INDEX(인턴근무계획!$M$3:$R$402,$A250,$G$3)&amp;"")+1,60))))</f>
        <v/>
      </c>
      <c r="I250" s="23">
        <f>IF(OR($C250="",$I$3=""),"",IF(INDEX(인턴근무계획!$M$3:$R$402,$A250,$I$3)&amp;""="","",IF(LEFT(INDEX(인턴근무계획!$M$3:$R$402,$A250,$I$3)&amp;"",1)="⚠",INDEX(인턴근무계획!$M$3:$R$402,$A250,$I$3)&amp;"",LEFT(INDEX(인턴근무계획!$M$3:$R$402,$A250,$I$3)&amp;"",FIND(" ",INDEX(인턴근무계획!$M$3:$R$402,$A250,$I$3)&amp;"")-1))))</f>
        <v/>
      </c>
      <c r="J250" s="23">
        <f>IF(OR($C250="",$I$3=""),"",IF(INDEX(인턴근무계획!$M$3:$R$402,$A250,$I$3)&amp;""="","",IF(LEFT(INDEX(인턴근무계획!$M$3:$R$402,$A250,$I$3)&amp;"",1)="⚠","",MID(INDEX(인턴근무계획!$M$3:$R$402,$A250,$I$3)&amp;"",FIND(" ",INDEX(인턴근무계획!$M$3:$R$402,$A250,$I$3)&amp;"")+1,60))))</f>
        <v/>
      </c>
      <c r="K250" s="23">
        <f>IF($C250="","",INDEX(인턴근무계획!$M$3:$M$402,$A250)&amp;"")</f>
        <v/>
      </c>
      <c r="L250" s="23">
        <f>IF($C250="","",INDEX(인턴근무계획!$N$3:$N$402,$A250)&amp;"")</f>
        <v/>
      </c>
      <c r="M250" s="23">
        <f>IF($C250="","",INDEX(인턴근무계획!$O$3:$O$402,$A250)&amp;"")</f>
        <v/>
      </c>
      <c r="N250" s="23">
        <f>IF($C250="","",INDEX(인턴근무계획!$P$3:$P$402,$A250)&amp;"")</f>
        <v/>
      </c>
      <c r="O250" s="23">
        <f>IF($C250="","",INDEX(인턴근무계획!$Q$3:$Q$402,$A250)&amp;"")</f>
        <v/>
      </c>
      <c r="P250" s="23">
        <f>IF($C250="","",INDEX(인턴근무계획!$R$3:$R$402,$A250)&amp;"")</f>
        <v/>
      </c>
      <c r="Q250" s="23">
        <f>IF($C250="","",INDEX(인턴근무계획!$T$3:$T$402,$A250))</f>
        <v/>
      </c>
    </row>
    <row r="251">
      <c r="A251" s="26" t="n">
        <v>246</v>
      </c>
      <c r="B251" s="23">
        <f>IF($C251="","",INDEX(인턴근무계획!$B$3:$B$402,$A251))</f>
        <v/>
      </c>
      <c r="C251" s="23">
        <f>IFERROR(TRIM(INDEX(인턴근무계획!$C$3:$C$402,$A251)&amp;""),"")</f>
        <v/>
      </c>
      <c r="D251" s="23">
        <f>IF($C251="","",INDEX(인턴근무계획!$D$3:$D$402,$A251))</f>
        <v/>
      </c>
      <c r="E251" s="23">
        <f>IF($C251="","",IF(IFERROR(MATCH($D251,기본자료!$B$2:$B$1001,0),IFERROR(MATCH($D251&amp;"",기본자료!$B$2:$B$1001,0),IFERROR(MATCH(VALUE($D251),기본자료!$B$2:$B$1001,0),0)))&gt;0,"확인","미등록"))</f>
        <v/>
      </c>
      <c r="F251" s="27">
        <f>IF($C251="","",INDEX(인턴근무계획!$S$3:$S$402,$A251))</f>
        <v/>
      </c>
      <c r="G251" s="23">
        <f>IF(OR($C251="",$G$3=""),"",IF(INDEX(인턴근무계획!$M$3:$R$402,$A251,$G$3)&amp;""="","",IF(LEFT(INDEX(인턴근무계획!$M$3:$R$402,$A251,$G$3)&amp;"",1)="⚠",INDEX(인턴근무계획!$M$3:$R$402,$A251,$G$3)&amp;"",LEFT(INDEX(인턴근무계획!$M$3:$R$402,$A251,$G$3)&amp;"",FIND(" ",INDEX(인턴근무계획!$M$3:$R$402,$A251,$G$3)&amp;"")-1))))</f>
        <v/>
      </c>
      <c r="H251" s="23">
        <f>IF(OR($C251="",$G$3=""),"",IF(INDEX(인턴근무계획!$M$3:$R$402,$A251,$G$3)&amp;""="","",IF(LEFT(INDEX(인턴근무계획!$M$3:$R$402,$A251,$G$3)&amp;"",1)="⚠","",MID(INDEX(인턴근무계획!$M$3:$R$402,$A251,$G$3)&amp;"",FIND(" ",INDEX(인턴근무계획!$M$3:$R$402,$A251,$G$3)&amp;"")+1,60))))</f>
        <v/>
      </c>
      <c r="I251" s="23">
        <f>IF(OR($C251="",$I$3=""),"",IF(INDEX(인턴근무계획!$M$3:$R$402,$A251,$I$3)&amp;""="","",IF(LEFT(INDEX(인턴근무계획!$M$3:$R$402,$A251,$I$3)&amp;"",1)="⚠",INDEX(인턴근무계획!$M$3:$R$402,$A251,$I$3)&amp;"",LEFT(INDEX(인턴근무계획!$M$3:$R$402,$A251,$I$3)&amp;"",FIND(" ",INDEX(인턴근무계획!$M$3:$R$402,$A251,$I$3)&amp;"")-1))))</f>
        <v/>
      </c>
      <c r="J251" s="23">
        <f>IF(OR($C251="",$I$3=""),"",IF(INDEX(인턴근무계획!$M$3:$R$402,$A251,$I$3)&amp;""="","",IF(LEFT(INDEX(인턴근무계획!$M$3:$R$402,$A251,$I$3)&amp;"",1)="⚠","",MID(INDEX(인턴근무계획!$M$3:$R$402,$A251,$I$3)&amp;"",FIND(" ",INDEX(인턴근무계획!$M$3:$R$402,$A251,$I$3)&amp;"")+1,60))))</f>
        <v/>
      </c>
      <c r="K251" s="23">
        <f>IF($C251="","",INDEX(인턴근무계획!$M$3:$M$402,$A251)&amp;"")</f>
        <v/>
      </c>
      <c r="L251" s="23">
        <f>IF($C251="","",INDEX(인턴근무계획!$N$3:$N$402,$A251)&amp;"")</f>
        <v/>
      </c>
      <c r="M251" s="23">
        <f>IF($C251="","",INDEX(인턴근무계획!$O$3:$O$402,$A251)&amp;"")</f>
        <v/>
      </c>
      <c r="N251" s="23">
        <f>IF($C251="","",INDEX(인턴근무계획!$P$3:$P$402,$A251)&amp;"")</f>
        <v/>
      </c>
      <c r="O251" s="23">
        <f>IF($C251="","",INDEX(인턴근무계획!$Q$3:$Q$402,$A251)&amp;"")</f>
        <v/>
      </c>
      <c r="P251" s="23">
        <f>IF($C251="","",INDEX(인턴근무계획!$R$3:$R$402,$A251)&amp;"")</f>
        <v/>
      </c>
      <c r="Q251" s="23">
        <f>IF($C251="","",INDEX(인턴근무계획!$T$3:$T$402,$A251))</f>
        <v/>
      </c>
    </row>
    <row r="252">
      <c r="A252" s="26" t="n">
        <v>247</v>
      </c>
      <c r="B252" s="23">
        <f>IF($C252="","",INDEX(인턴근무계획!$B$3:$B$402,$A252))</f>
        <v/>
      </c>
      <c r="C252" s="23">
        <f>IFERROR(TRIM(INDEX(인턴근무계획!$C$3:$C$402,$A252)&amp;""),"")</f>
        <v/>
      </c>
      <c r="D252" s="23">
        <f>IF($C252="","",INDEX(인턴근무계획!$D$3:$D$402,$A252))</f>
        <v/>
      </c>
      <c r="E252" s="23">
        <f>IF($C252="","",IF(IFERROR(MATCH($D252,기본자료!$B$2:$B$1001,0),IFERROR(MATCH($D252&amp;"",기본자료!$B$2:$B$1001,0),IFERROR(MATCH(VALUE($D252),기본자료!$B$2:$B$1001,0),0)))&gt;0,"확인","미등록"))</f>
        <v/>
      </c>
      <c r="F252" s="27">
        <f>IF($C252="","",INDEX(인턴근무계획!$S$3:$S$402,$A252))</f>
        <v/>
      </c>
      <c r="G252" s="23">
        <f>IF(OR($C252="",$G$3=""),"",IF(INDEX(인턴근무계획!$M$3:$R$402,$A252,$G$3)&amp;""="","",IF(LEFT(INDEX(인턴근무계획!$M$3:$R$402,$A252,$G$3)&amp;"",1)="⚠",INDEX(인턴근무계획!$M$3:$R$402,$A252,$G$3)&amp;"",LEFT(INDEX(인턴근무계획!$M$3:$R$402,$A252,$G$3)&amp;"",FIND(" ",INDEX(인턴근무계획!$M$3:$R$402,$A252,$G$3)&amp;"")-1))))</f>
        <v/>
      </c>
      <c r="H252" s="23">
        <f>IF(OR($C252="",$G$3=""),"",IF(INDEX(인턴근무계획!$M$3:$R$402,$A252,$G$3)&amp;""="","",IF(LEFT(INDEX(인턴근무계획!$M$3:$R$402,$A252,$G$3)&amp;"",1)="⚠","",MID(INDEX(인턴근무계획!$M$3:$R$402,$A252,$G$3)&amp;"",FIND(" ",INDEX(인턴근무계획!$M$3:$R$402,$A252,$G$3)&amp;"")+1,60))))</f>
        <v/>
      </c>
      <c r="I252" s="23">
        <f>IF(OR($C252="",$I$3=""),"",IF(INDEX(인턴근무계획!$M$3:$R$402,$A252,$I$3)&amp;""="","",IF(LEFT(INDEX(인턴근무계획!$M$3:$R$402,$A252,$I$3)&amp;"",1)="⚠",INDEX(인턴근무계획!$M$3:$R$402,$A252,$I$3)&amp;"",LEFT(INDEX(인턴근무계획!$M$3:$R$402,$A252,$I$3)&amp;"",FIND(" ",INDEX(인턴근무계획!$M$3:$R$402,$A252,$I$3)&amp;"")-1))))</f>
        <v/>
      </c>
      <c r="J252" s="23">
        <f>IF(OR($C252="",$I$3=""),"",IF(INDEX(인턴근무계획!$M$3:$R$402,$A252,$I$3)&amp;""="","",IF(LEFT(INDEX(인턴근무계획!$M$3:$R$402,$A252,$I$3)&amp;"",1)="⚠","",MID(INDEX(인턴근무계획!$M$3:$R$402,$A252,$I$3)&amp;"",FIND(" ",INDEX(인턴근무계획!$M$3:$R$402,$A252,$I$3)&amp;"")+1,60))))</f>
        <v/>
      </c>
      <c r="K252" s="23">
        <f>IF($C252="","",INDEX(인턴근무계획!$M$3:$M$402,$A252)&amp;"")</f>
        <v/>
      </c>
      <c r="L252" s="23">
        <f>IF($C252="","",INDEX(인턴근무계획!$N$3:$N$402,$A252)&amp;"")</f>
        <v/>
      </c>
      <c r="M252" s="23">
        <f>IF($C252="","",INDEX(인턴근무계획!$O$3:$O$402,$A252)&amp;"")</f>
        <v/>
      </c>
      <c r="N252" s="23">
        <f>IF($C252="","",INDEX(인턴근무계획!$P$3:$P$402,$A252)&amp;"")</f>
        <v/>
      </c>
      <c r="O252" s="23">
        <f>IF($C252="","",INDEX(인턴근무계획!$Q$3:$Q$402,$A252)&amp;"")</f>
        <v/>
      </c>
      <c r="P252" s="23">
        <f>IF($C252="","",INDEX(인턴근무계획!$R$3:$R$402,$A252)&amp;"")</f>
        <v/>
      </c>
      <c r="Q252" s="23">
        <f>IF($C252="","",INDEX(인턴근무계획!$T$3:$T$402,$A252))</f>
        <v/>
      </c>
    </row>
    <row r="253">
      <c r="A253" s="26" t="n">
        <v>248</v>
      </c>
      <c r="B253" s="23">
        <f>IF($C253="","",INDEX(인턴근무계획!$B$3:$B$402,$A253))</f>
        <v/>
      </c>
      <c r="C253" s="23">
        <f>IFERROR(TRIM(INDEX(인턴근무계획!$C$3:$C$402,$A253)&amp;""),"")</f>
        <v/>
      </c>
      <c r="D253" s="23">
        <f>IF($C253="","",INDEX(인턴근무계획!$D$3:$D$402,$A253))</f>
        <v/>
      </c>
      <c r="E253" s="23">
        <f>IF($C253="","",IF(IFERROR(MATCH($D253,기본자료!$B$2:$B$1001,0),IFERROR(MATCH($D253&amp;"",기본자료!$B$2:$B$1001,0),IFERROR(MATCH(VALUE($D253),기본자료!$B$2:$B$1001,0),0)))&gt;0,"확인","미등록"))</f>
        <v/>
      </c>
      <c r="F253" s="27">
        <f>IF($C253="","",INDEX(인턴근무계획!$S$3:$S$402,$A253))</f>
        <v/>
      </c>
      <c r="G253" s="23">
        <f>IF(OR($C253="",$G$3=""),"",IF(INDEX(인턴근무계획!$M$3:$R$402,$A253,$G$3)&amp;""="","",IF(LEFT(INDEX(인턴근무계획!$M$3:$R$402,$A253,$G$3)&amp;"",1)="⚠",INDEX(인턴근무계획!$M$3:$R$402,$A253,$G$3)&amp;"",LEFT(INDEX(인턴근무계획!$M$3:$R$402,$A253,$G$3)&amp;"",FIND(" ",INDEX(인턴근무계획!$M$3:$R$402,$A253,$G$3)&amp;"")-1))))</f>
        <v/>
      </c>
      <c r="H253" s="23">
        <f>IF(OR($C253="",$G$3=""),"",IF(INDEX(인턴근무계획!$M$3:$R$402,$A253,$G$3)&amp;""="","",IF(LEFT(INDEX(인턴근무계획!$M$3:$R$402,$A253,$G$3)&amp;"",1)="⚠","",MID(INDEX(인턴근무계획!$M$3:$R$402,$A253,$G$3)&amp;"",FIND(" ",INDEX(인턴근무계획!$M$3:$R$402,$A253,$G$3)&amp;"")+1,60))))</f>
        <v/>
      </c>
      <c r="I253" s="23">
        <f>IF(OR($C253="",$I$3=""),"",IF(INDEX(인턴근무계획!$M$3:$R$402,$A253,$I$3)&amp;""="","",IF(LEFT(INDEX(인턴근무계획!$M$3:$R$402,$A253,$I$3)&amp;"",1)="⚠",INDEX(인턴근무계획!$M$3:$R$402,$A253,$I$3)&amp;"",LEFT(INDEX(인턴근무계획!$M$3:$R$402,$A253,$I$3)&amp;"",FIND(" ",INDEX(인턴근무계획!$M$3:$R$402,$A253,$I$3)&amp;"")-1))))</f>
        <v/>
      </c>
      <c r="J253" s="23">
        <f>IF(OR($C253="",$I$3=""),"",IF(INDEX(인턴근무계획!$M$3:$R$402,$A253,$I$3)&amp;""="","",IF(LEFT(INDEX(인턴근무계획!$M$3:$R$402,$A253,$I$3)&amp;"",1)="⚠","",MID(INDEX(인턴근무계획!$M$3:$R$402,$A253,$I$3)&amp;"",FIND(" ",INDEX(인턴근무계획!$M$3:$R$402,$A253,$I$3)&amp;"")+1,60))))</f>
        <v/>
      </c>
      <c r="K253" s="23">
        <f>IF($C253="","",INDEX(인턴근무계획!$M$3:$M$402,$A253)&amp;"")</f>
        <v/>
      </c>
      <c r="L253" s="23">
        <f>IF($C253="","",INDEX(인턴근무계획!$N$3:$N$402,$A253)&amp;"")</f>
        <v/>
      </c>
      <c r="M253" s="23">
        <f>IF($C253="","",INDEX(인턴근무계획!$O$3:$O$402,$A253)&amp;"")</f>
        <v/>
      </c>
      <c r="N253" s="23">
        <f>IF($C253="","",INDEX(인턴근무계획!$P$3:$P$402,$A253)&amp;"")</f>
        <v/>
      </c>
      <c r="O253" s="23">
        <f>IF($C253="","",INDEX(인턴근무계획!$Q$3:$Q$402,$A253)&amp;"")</f>
        <v/>
      </c>
      <c r="P253" s="23">
        <f>IF($C253="","",INDEX(인턴근무계획!$R$3:$R$402,$A253)&amp;"")</f>
        <v/>
      </c>
      <c r="Q253" s="23">
        <f>IF($C253="","",INDEX(인턴근무계획!$T$3:$T$402,$A253))</f>
        <v/>
      </c>
    </row>
    <row r="254">
      <c r="A254" s="26" t="n">
        <v>249</v>
      </c>
      <c r="B254" s="23">
        <f>IF($C254="","",INDEX(인턴근무계획!$B$3:$B$402,$A254))</f>
        <v/>
      </c>
      <c r="C254" s="23">
        <f>IFERROR(TRIM(INDEX(인턴근무계획!$C$3:$C$402,$A254)&amp;""),"")</f>
        <v/>
      </c>
      <c r="D254" s="23">
        <f>IF($C254="","",INDEX(인턴근무계획!$D$3:$D$402,$A254))</f>
        <v/>
      </c>
      <c r="E254" s="23">
        <f>IF($C254="","",IF(IFERROR(MATCH($D254,기본자료!$B$2:$B$1001,0),IFERROR(MATCH($D254&amp;"",기본자료!$B$2:$B$1001,0),IFERROR(MATCH(VALUE($D254),기본자료!$B$2:$B$1001,0),0)))&gt;0,"확인","미등록"))</f>
        <v/>
      </c>
      <c r="F254" s="27">
        <f>IF($C254="","",INDEX(인턴근무계획!$S$3:$S$402,$A254))</f>
        <v/>
      </c>
      <c r="G254" s="23">
        <f>IF(OR($C254="",$G$3=""),"",IF(INDEX(인턴근무계획!$M$3:$R$402,$A254,$G$3)&amp;""="","",IF(LEFT(INDEX(인턴근무계획!$M$3:$R$402,$A254,$G$3)&amp;"",1)="⚠",INDEX(인턴근무계획!$M$3:$R$402,$A254,$G$3)&amp;"",LEFT(INDEX(인턴근무계획!$M$3:$R$402,$A254,$G$3)&amp;"",FIND(" ",INDEX(인턴근무계획!$M$3:$R$402,$A254,$G$3)&amp;"")-1))))</f>
        <v/>
      </c>
      <c r="H254" s="23">
        <f>IF(OR($C254="",$G$3=""),"",IF(INDEX(인턴근무계획!$M$3:$R$402,$A254,$G$3)&amp;""="","",IF(LEFT(INDEX(인턴근무계획!$M$3:$R$402,$A254,$G$3)&amp;"",1)="⚠","",MID(INDEX(인턴근무계획!$M$3:$R$402,$A254,$G$3)&amp;"",FIND(" ",INDEX(인턴근무계획!$M$3:$R$402,$A254,$G$3)&amp;"")+1,60))))</f>
        <v/>
      </c>
      <c r="I254" s="23">
        <f>IF(OR($C254="",$I$3=""),"",IF(INDEX(인턴근무계획!$M$3:$R$402,$A254,$I$3)&amp;""="","",IF(LEFT(INDEX(인턴근무계획!$M$3:$R$402,$A254,$I$3)&amp;"",1)="⚠",INDEX(인턴근무계획!$M$3:$R$402,$A254,$I$3)&amp;"",LEFT(INDEX(인턴근무계획!$M$3:$R$402,$A254,$I$3)&amp;"",FIND(" ",INDEX(인턴근무계획!$M$3:$R$402,$A254,$I$3)&amp;"")-1))))</f>
        <v/>
      </c>
      <c r="J254" s="23">
        <f>IF(OR($C254="",$I$3=""),"",IF(INDEX(인턴근무계획!$M$3:$R$402,$A254,$I$3)&amp;""="","",IF(LEFT(INDEX(인턴근무계획!$M$3:$R$402,$A254,$I$3)&amp;"",1)="⚠","",MID(INDEX(인턴근무계획!$M$3:$R$402,$A254,$I$3)&amp;"",FIND(" ",INDEX(인턴근무계획!$M$3:$R$402,$A254,$I$3)&amp;"")+1,60))))</f>
        <v/>
      </c>
      <c r="K254" s="23">
        <f>IF($C254="","",INDEX(인턴근무계획!$M$3:$M$402,$A254)&amp;"")</f>
        <v/>
      </c>
      <c r="L254" s="23">
        <f>IF($C254="","",INDEX(인턴근무계획!$N$3:$N$402,$A254)&amp;"")</f>
        <v/>
      </c>
      <c r="M254" s="23">
        <f>IF($C254="","",INDEX(인턴근무계획!$O$3:$O$402,$A254)&amp;"")</f>
        <v/>
      </c>
      <c r="N254" s="23">
        <f>IF($C254="","",INDEX(인턴근무계획!$P$3:$P$402,$A254)&amp;"")</f>
        <v/>
      </c>
      <c r="O254" s="23">
        <f>IF($C254="","",INDEX(인턴근무계획!$Q$3:$Q$402,$A254)&amp;"")</f>
        <v/>
      </c>
      <c r="P254" s="23">
        <f>IF($C254="","",INDEX(인턴근무계획!$R$3:$R$402,$A254)&amp;"")</f>
        <v/>
      </c>
      <c r="Q254" s="23">
        <f>IF($C254="","",INDEX(인턴근무계획!$T$3:$T$402,$A254))</f>
        <v/>
      </c>
    </row>
    <row r="255">
      <c r="A255" s="26" t="n">
        <v>250</v>
      </c>
      <c r="B255" s="23">
        <f>IF($C255="","",INDEX(인턴근무계획!$B$3:$B$402,$A255))</f>
        <v/>
      </c>
      <c r="C255" s="23">
        <f>IFERROR(TRIM(INDEX(인턴근무계획!$C$3:$C$402,$A255)&amp;""),"")</f>
        <v/>
      </c>
      <c r="D255" s="23">
        <f>IF($C255="","",INDEX(인턴근무계획!$D$3:$D$402,$A255))</f>
        <v/>
      </c>
      <c r="E255" s="23">
        <f>IF($C255="","",IF(IFERROR(MATCH($D255,기본자료!$B$2:$B$1001,0),IFERROR(MATCH($D255&amp;"",기본자료!$B$2:$B$1001,0),IFERROR(MATCH(VALUE($D255),기본자료!$B$2:$B$1001,0),0)))&gt;0,"확인","미등록"))</f>
        <v/>
      </c>
      <c r="F255" s="27">
        <f>IF($C255="","",INDEX(인턴근무계획!$S$3:$S$402,$A255))</f>
        <v/>
      </c>
      <c r="G255" s="23">
        <f>IF(OR($C255="",$G$3=""),"",IF(INDEX(인턴근무계획!$M$3:$R$402,$A255,$G$3)&amp;""="","",IF(LEFT(INDEX(인턴근무계획!$M$3:$R$402,$A255,$G$3)&amp;"",1)="⚠",INDEX(인턴근무계획!$M$3:$R$402,$A255,$G$3)&amp;"",LEFT(INDEX(인턴근무계획!$M$3:$R$402,$A255,$G$3)&amp;"",FIND(" ",INDEX(인턴근무계획!$M$3:$R$402,$A255,$G$3)&amp;"")-1))))</f>
        <v/>
      </c>
      <c r="H255" s="23">
        <f>IF(OR($C255="",$G$3=""),"",IF(INDEX(인턴근무계획!$M$3:$R$402,$A255,$G$3)&amp;""="","",IF(LEFT(INDEX(인턴근무계획!$M$3:$R$402,$A255,$G$3)&amp;"",1)="⚠","",MID(INDEX(인턴근무계획!$M$3:$R$402,$A255,$G$3)&amp;"",FIND(" ",INDEX(인턴근무계획!$M$3:$R$402,$A255,$G$3)&amp;"")+1,60))))</f>
        <v/>
      </c>
      <c r="I255" s="23">
        <f>IF(OR($C255="",$I$3=""),"",IF(INDEX(인턴근무계획!$M$3:$R$402,$A255,$I$3)&amp;""="","",IF(LEFT(INDEX(인턴근무계획!$M$3:$R$402,$A255,$I$3)&amp;"",1)="⚠",INDEX(인턴근무계획!$M$3:$R$402,$A255,$I$3)&amp;"",LEFT(INDEX(인턴근무계획!$M$3:$R$402,$A255,$I$3)&amp;"",FIND(" ",INDEX(인턴근무계획!$M$3:$R$402,$A255,$I$3)&amp;"")-1))))</f>
        <v/>
      </c>
      <c r="J255" s="23">
        <f>IF(OR($C255="",$I$3=""),"",IF(INDEX(인턴근무계획!$M$3:$R$402,$A255,$I$3)&amp;""="","",IF(LEFT(INDEX(인턴근무계획!$M$3:$R$402,$A255,$I$3)&amp;"",1)="⚠","",MID(INDEX(인턴근무계획!$M$3:$R$402,$A255,$I$3)&amp;"",FIND(" ",INDEX(인턴근무계획!$M$3:$R$402,$A255,$I$3)&amp;"")+1,60))))</f>
        <v/>
      </c>
      <c r="K255" s="23">
        <f>IF($C255="","",INDEX(인턴근무계획!$M$3:$M$402,$A255)&amp;"")</f>
        <v/>
      </c>
      <c r="L255" s="23">
        <f>IF($C255="","",INDEX(인턴근무계획!$N$3:$N$402,$A255)&amp;"")</f>
        <v/>
      </c>
      <c r="M255" s="23">
        <f>IF($C255="","",INDEX(인턴근무계획!$O$3:$O$402,$A255)&amp;"")</f>
        <v/>
      </c>
      <c r="N255" s="23">
        <f>IF($C255="","",INDEX(인턴근무계획!$P$3:$P$402,$A255)&amp;"")</f>
        <v/>
      </c>
      <c r="O255" s="23">
        <f>IF($C255="","",INDEX(인턴근무계획!$Q$3:$Q$402,$A255)&amp;"")</f>
        <v/>
      </c>
      <c r="P255" s="23">
        <f>IF($C255="","",INDEX(인턴근무계획!$R$3:$R$402,$A255)&amp;"")</f>
        <v/>
      </c>
      <c r="Q255" s="23">
        <f>IF($C255="","",INDEX(인턴근무계획!$T$3:$T$402,$A255))</f>
        <v/>
      </c>
    </row>
    <row r="256">
      <c r="A256" s="26" t="n">
        <v>251</v>
      </c>
      <c r="B256" s="23">
        <f>IF($C256="","",INDEX(인턴근무계획!$B$3:$B$402,$A256))</f>
        <v/>
      </c>
      <c r="C256" s="23">
        <f>IFERROR(TRIM(INDEX(인턴근무계획!$C$3:$C$402,$A256)&amp;""),"")</f>
        <v/>
      </c>
      <c r="D256" s="23">
        <f>IF($C256="","",INDEX(인턴근무계획!$D$3:$D$402,$A256))</f>
        <v/>
      </c>
      <c r="E256" s="23">
        <f>IF($C256="","",IF(IFERROR(MATCH($D256,기본자료!$B$2:$B$1001,0),IFERROR(MATCH($D256&amp;"",기본자료!$B$2:$B$1001,0),IFERROR(MATCH(VALUE($D256),기본자료!$B$2:$B$1001,0),0)))&gt;0,"확인","미등록"))</f>
        <v/>
      </c>
      <c r="F256" s="27">
        <f>IF($C256="","",INDEX(인턴근무계획!$S$3:$S$402,$A256))</f>
        <v/>
      </c>
      <c r="G256" s="23">
        <f>IF(OR($C256="",$G$3=""),"",IF(INDEX(인턴근무계획!$M$3:$R$402,$A256,$G$3)&amp;""="","",IF(LEFT(INDEX(인턴근무계획!$M$3:$R$402,$A256,$G$3)&amp;"",1)="⚠",INDEX(인턴근무계획!$M$3:$R$402,$A256,$G$3)&amp;"",LEFT(INDEX(인턴근무계획!$M$3:$R$402,$A256,$G$3)&amp;"",FIND(" ",INDEX(인턴근무계획!$M$3:$R$402,$A256,$G$3)&amp;"")-1))))</f>
        <v/>
      </c>
      <c r="H256" s="23">
        <f>IF(OR($C256="",$G$3=""),"",IF(INDEX(인턴근무계획!$M$3:$R$402,$A256,$G$3)&amp;""="","",IF(LEFT(INDEX(인턴근무계획!$M$3:$R$402,$A256,$G$3)&amp;"",1)="⚠","",MID(INDEX(인턴근무계획!$M$3:$R$402,$A256,$G$3)&amp;"",FIND(" ",INDEX(인턴근무계획!$M$3:$R$402,$A256,$G$3)&amp;"")+1,60))))</f>
        <v/>
      </c>
      <c r="I256" s="23">
        <f>IF(OR($C256="",$I$3=""),"",IF(INDEX(인턴근무계획!$M$3:$R$402,$A256,$I$3)&amp;""="","",IF(LEFT(INDEX(인턴근무계획!$M$3:$R$402,$A256,$I$3)&amp;"",1)="⚠",INDEX(인턴근무계획!$M$3:$R$402,$A256,$I$3)&amp;"",LEFT(INDEX(인턴근무계획!$M$3:$R$402,$A256,$I$3)&amp;"",FIND(" ",INDEX(인턴근무계획!$M$3:$R$402,$A256,$I$3)&amp;"")-1))))</f>
        <v/>
      </c>
      <c r="J256" s="23">
        <f>IF(OR($C256="",$I$3=""),"",IF(INDEX(인턴근무계획!$M$3:$R$402,$A256,$I$3)&amp;""="","",IF(LEFT(INDEX(인턴근무계획!$M$3:$R$402,$A256,$I$3)&amp;"",1)="⚠","",MID(INDEX(인턴근무계획!$M$3:$R$402,$A256,$I$3)&amp;"",FIND(" ",INDEX(인턴근무계획!$M$3:$R$402,$A256,$I$3)&amp;"")+1,60))))</f>
        <v/>
      </c>
      <c r="K256" s="23">
        <f>IF($C256="","",INDEX(인턴근무계획!$M$3:$M$402,$A256)&amp;"")</f>
        <v/>
      </c>
      <c r="L256" s="23">
        <f>IF($C256="","",INDEX(인턴근무계획!$N$3:$N$402,$A256)&amp;"")</f>
        <v/>
      </c>
      <c r="M256" s="23">
        <f>IF($C256="","",INDEX(인턴근무계획!$O$3:$O$402,$A256)&amp;"")</f>
        <v/>
      </c>
      <c r="N256" s="23">
        <f>IF($C256="","",INDEX(인턴근무계획!$P$3:$P$402,$A256)&amp;"")</f>
        <v/>
      </c>
      <c r="O256" s="23">
        <f>IF($C256="","",INDEX(인턴근무계획!$Q$3:$Q$402,$A256)&amp;"")</f>
        <v/>
      </c>
      <c r="P256" s="23">
        <f>IF($C256="","",INDEX(인턴근무계획!$R$3:$R$402,$A256)&amp;"")</f>
        <v/>
      </c>
      <c r="Q256" s="23">
        <f>IF($C256="","",INDEX(인턴근무계획!$T$3:$T$402,$A256))</f>
        <v/>
      </c>
    </row>
    <row r="257">
      <c r="A257" s="26" t="n">
        <v>252</v>
      </c>
      <c r="B257" s="23">
        <f>IF($C257="","",INDEX(인턴근무계획!$B$3:$B$402,$A257))</f>
        <v/>
      </c>
      <c r="C257" s="23">
        <f>IFERROR(TRIM(INDEX(인턴근무계획!$C$3:$C$402,$A257)&amp;""),"")</f>
        <v/>
      </c>
      <c r="D257" s="23">
        <f>IF($C257="","",INDEX(인턴근무계획!$D$3:$D$402,$A257))</f>
        <v/>
      </c>
      <c r="E257" s="23">
        <f>IF($C257="","",IF(IFERROR(MATCH($D257,기본자료!$B$2:$B$1001,0),IFERROR(MATCH($D257&amp;"",기본자료!$B$2:$B$1001,0),IFERROR(MATCH(VALUE($D257),기본자료!$B$2:$B$1001,0),0)))&gt;0,"확인","미등록"))</f>
        <v/>
      </c>
      <c r="F257" s="27">
        <f>IF($C257="","",INDEX(인턴근무계획!$S$3:$S$402,$A257))</f>
        <v/>
      </c>
      <c r="G257" s="23">
        <f>IF(OR($C257="",$G$3=""),"",IF(INDEX(인턴근무계획!$M$3:$R$402,$A257,$G$3)&amp;""="","",IF(LEFT(INDEX(인턴근무계획!$M$3:$R$402,$A257,$G$3)&amp;"",1)="⚠",INDEX(인턴근무계획!$M$3:$R$402,$A257,$G$3)&amp;"",LEFT(INDEX(인턴근무계획!$M$3:$R$402,$A257,$G$3)&amp;"",FIND(" ",INDEX(인턴근무계획!$M$3:$R$402,$A257,$G$3)&amp;"")-1))))</f>
        <v/>
      </c>
      <c r="H257" s="23">
        <f>IF(OR($C257="",$G$3=""),"",IF(INDEX(인턴근무계획!$M$3:$R$402,$A257,$G$3)&amp;""="","",IF(LEFT(INDEX(인턴근무계획!$M$3:$R$402,$A257,$G$3)&amp;"",1)="⚠","",MID(INDEX(인턴근무계획!$M$3:$R$402,$A257,$G$3)&amp;"",FIND(" ",INDEX(인턴근무계획!$M$3:$R$402,$A257,$G$3)&amp;"")+1,60))))</f>
        <v/>
      </c>
      <c r="I257" s="23">
        <f>IF(OR($C257="",$I$3=""),"",IF(INDEX(인턴근무계획!$M$3:$R$402,$A257,$I$3)&amp;""="","",IF(LEFT(INDEX(인턴근무계획!$M$3:$R$402,$A257,$I$3)&amp;"",1)="⚠",INDEX(인턴근무계획!$M$3:$R$402,$A257,$I$3)&amp;"",LEFT(INDEX(인턴근무계획!$M$3:$R$402,$A257,$I$3)&amp;"",FIND(" ",INDEX(인턴근무계획!$M$3:$R$402,$A257,$I$3)&amp;"")-1))))</f>
        <v/>
      </c>
      <c r="J257" s="23">
        <f>IF(OR($C257="",$I$3=""),"",IF(INDEX(인턴근무계획!$M$3:$R$402,$A257,$I$3)&amp;""="","",IF(LEFT(INDEX(인턴근무계획!$M$3:$R$402,$A257,$I$3)&amp;"",1)="⚠","",MID(INDEX(인턴근무계획!$M$3:$R$402,$A257,$I$3)&amp;"",FIND(" ",INDEX(인턴근무계획!$M$3:$R$402,$A257,$I$3)&amp;"")+1,60))))</f>
        <v/>
      </c>
      <c r="K257" s="23">
        <f>IF($C257="","",INDEX(인턴근무계획!$M$3:$M$402,$A257)&amp;"")</f>
        <v/>
      </c>
      <c r="L257" s="23">
        <f>IF($C257="","",INDEX(인턴근무계획!$N$3:$N$402,$A257)&amp;"")</f>
        <v/>
      </c>
      <c r="M257" s="23">
        <f>IF($C257="","",INDEX(인턴근무계획!$O$3:$O$402,$A257)&amp;"")</f>
        <v/>
      </c>
      <c r="N257" s="23">
        <f>IF($C257="","",INDEX(인턴근무계획!$P$3:$P$402,$A257)&amp;"")</f>
        <v/>
      </c>
      <c r="O257" s="23">
        <f>IF($C257="","",INDEX(인턴근무계획!$Q$3:$Q$402,$A257)&amp;"")</f>
        <v/>
      </c>
      <c r="P257" s="23">
        <f>IF($C257="","",INDEX(인턴근무계획!$R$3:$R$402,$A257)&amp;"")</f>
        <v/>
      </c>
      <c r="Q257" s="23">
        <f>IF($C257="","",INDEX(인턴근무계획!$T$3:$T$402,$A257))</f>
        <v/>
      </c>
    </row>
    <row r="258">
      <c r="A258" s="26" t="n">
        <v>253</v>
      </c>
      <c r="B258" s="23">
        <f>IF($C258="","",INDEX(인턴근무계획!$B$3:$B$402,$A258))</f>
        <v/>
      </c>
      <c r="C258" s="23">
        <f>IFERROR(TRIM(INDEX(인턴근무계획!$C$3:$C$402,$A258)&amp;""),"")</f>
        <v/>
      </c>
      <c r="D258" s="23">
        <f>IF($C258="","",INDEX(인턴근무계획!$D$3:$D$402,$A258))</f>
        <v/>
      </c>
      <c r="E258" s="23">
        <f>IF($C258="","",IF(IFERROR(MATCH($D258,기본자료!$B$2:$B$1001,0),IFERROR(MATCH($D258&amp;"",기본자료!$B$2:$B$1001,0),IFERROR(MATCH(VALUE($D258),기본자료!$B$2:$B$1001,0),0)))&gt;0,"확인","미등록"))</f>
        <v/>
      </c>
      <c r="F258" s="27">
        <f>IF($C258="","",INDEX(인턴근무계획!$S$3:$S$402,$A258))</f>
        <v/>
      </c>
      <c r="G258" s="23">
        <f>IF(OR($C258="",$G$3=""),"",IF(INDEX(인턴근무계획!$M$3:$R$402,$A258,$G$3)&amp;""="","",IF(LEFT(INDEX(인턴근무계획!$M$3:$R$402,$A258,$G$3)&amp;"",1)="⚠",INDEX(인턴근무계획!$M$3:$R$402,$A258,$G$3)&amp;"",LEFT(INDEX(인턴근무계획!$M$3:$R$402,$A258,$G$3)&amp;"",FIND(" ",INDEX(인턴근무계획!$M$3:$R$402,$A258,$G$3)&amp;"")-1))))</f>
        <v/>
      </c>
      <c r="H258" s="23">
        <f>IF(OR($C258="",$G$3=""),"",IF(INDEX(인턴근무계획!$M$3:$R$402,$A258,$G$3)&amp;""="","",IF(LEFT(INDEX(인턴근무계획!$M$3:$R$402,$A258,$G$3)&amp;"",1)="⚠","",MID(INDEX(인턴근무계획!$M$3:$R$402,$A258,$G$3)&amp;"",FIND(" ",INDEX(인턴근무계획!$M$3:$R$402,$A258,$G$3)&amp;"")+1,60))))</f>
        <v/>
      </c>
      <c r="I258" s="23">
        <f>IF(OR($C258="",$I$3=""),"",IF(INDEX(인턴근무계획!$M$3:$R$402,$A258,$I$3)&amp;""="","",IF(LEFT(INDEX(인턴근무계획!$M$3:$R$402,$A258,$I$3)&amp;"",1)="⚠",INDEX(인턴근무계획!$M$3:$R$402,$A258,$I$3)&amp;"",LEFT(INDEX(인턴근무계획!$M$3:$R$402,$A258,$I$3)&amp;"",FIND(" ",INDEX(인턴근무계획!$M$3:$R$402,$A258,$I$3)&amp;"")-1))))</f>
        <v/>
      </c>
      <c r="J258" s="23">
        <f>IF(OR($C258="",$I$3=""),"",IF(INDEX(인턴근무계획!$M$3:$R$402,$A258,$I$3)&amp;""="","",IF(LEFT(INDEX(인턴근무계획!$M$3:$R$402,$A258,$I$3)&amp;"",1)="⚠","",MID(INDEX(인턴근무계획!$M$3:$R$402,$A258,$I$3)&amp;"",FIND(" ",INDEX(인턴근무계획!$M$3:$R$402,$A258,$I$3)&amp;"")+1,60))))</f>
        <v/>
      </c>
      <c r="K258" s="23">
        <f>IF($C258="","",INDEX(인턴근무계획!$M$3:$M$402,$A258)&amp;"")</f>
        <v/>
      </c>
      <c r="L258" s="23">
        <f>IF($C258="","",INDEX(인턴근무계획!$N$3:$N$402,$A258)&amp;"")</f>
        <v/>
      </c>
      <c r="M258" s="23">
        <f>IF($C258="","",INDEX(인턴근무계획!$O$3:$O$402,$A258)&amp;"")</f>
        <v/>
      </c>
      <c r="N258" s="23">
        <f>IF($C258="","",INDEX(인턴근무계획!$P$3:$P$402,$A258)&amp;"")</f>
        <v/>
      </c>
      <c r="O258" s="23">
        <f>IF($C258="","",INDEX(인턴근무계획!$Q$3:$Q$402,$A258)&amp;"")</f>
        <v/>
      </c>
      <c r="P258" s="23">
        <f>IF($C258="","",INDEX(인턴근무계획!$R$3:$R$402,$A258)&amp;"")</f>
        <v/>
      </c>
      <c r="Q258" s="23">
        <f>IF($C258="","",INDEX(인턴근무계획!$T$3:$T$402,$A258))</f>
        <v/>
      </c>
    </row>
    <row r="259">
      <c r="A259" s="26" t="n">
        <v>254</v>
      </c>
      <c r="B259" s="23">
        <f>IF($C259="","",INDEX(인턴근무계획!$B$3:$B$402,$A259))</f>
        <v/>
      </c>
      <c r="C259" s="23">
        <f>IFERROR(TRIM(INDEX(인턴근무계획!$C$3:$C$402,$A259)&amp;""),"")</f>
        <v/>
      </c>
      <c r="D259" s="23">
        <f>IF($C259="","",INDEX(인턴근무계획!$D$3:$D$402,$A259))</f>
        <v/>
      </c>
      <c r="E259" s="23">
        <f>IF($C259="","",IF(IFERROR(MATCH($D259,기본자료!$B$2:$B$1001,0),IFERROR(MATCH($D259&amp;"",기본자료!$B$2:$B$1001,0),IFERROR(MATCH(VALUE($D259),기본자료!$B$2:$B$1001,0),0)))&gt;0,"확인","미등록"))</f>
        <v/>
      </c>
      <c r="F259" s="27">
        <f>IF($C259="","",INDEX(인턴근무계획!$S$3:$S$402,$A259))</f>
        <v/>
      </c>
      <c r="G259" s="23">
        <f>IF(OR($C259="",$G$3=""),"",IF(INDEX(인턴근무계획!$M$3:$R$402,$A259,$G$3)&amp;""="","",IF(LEFT(INDEX(인턴근무계획!$M$3:$R$402,$A259,$G$3)&amp;"",1)="⚠",INDEX(인턴근무계획!$M$3:$R$402,$A259,$G$3)&amp;"",LEFT(INDEX(인턴근무계획!$M$3:$R$402,$A259,$G$3)&amp;"",FIND(" ",INDEX(인턴근무계획!$M$3:$R$402,$A259,$G$3)&amp;"")-1))))</f>
        <v/>
      </c>
      <c r="H259" s="23">
        <f>IF(OR($C259="",$G$3=""),"",IF(INDEX(인턴근무계획!$M$3:$R$402,$A259,$G$3)&amp;""="","",IF(LEFT(INDEX(인턴근무계획!$M$3:$R$402,$A259,$G$3)&amp;"",1)="⚠","",MID(INDEX(인턴근무계획!$M$3:$R$402,$A259,$G$3)&amp;"",FIND(" ",INDEX(인턴근무계획!$M$3:$R$402,$A259,$G$3)&amp;"")+1,60))))</f>
        <v/>
      </c>
      <c r="I259" s="23">
        <f>IF(OR($C259="",$I$3=""),"",IF(INDEX(인턴근무계획!$M$3:$R$402,$A259,$I$3)&amp;""="","",IF(LEFT(INDEX(인턴근무계획!$M$3:$R$402,$A259,$I$3)&amp;"",1)="⚠",INDEX(인턴근무계획!$M$3:$R$402,$A259,$I$3)&amp;"",LEFT(INDEX(인턴근무계획!$M$3:$R$402,$A259,$I$3)&amp;"",FIND(" ",INDEX(인턴근무계획!$M$3:$R$402,$A259,$I$3)&amp;"")-1))))</f>
        <v/>
      </c>
      <c r="J259" s="23">
        <f>IF(OR($C259="",$I$3=""),"",IF(INDEX(인턴근무계획!$M$3:$R$402,$A259,$I$3)&amp;""="","",IF(LEFT(INDEX(인턴근무계획!$M$3:$R$402,$A259,$I$3)&amp;"",1)="⚠","",MID(INDEX(인턴근무계획!$M$3:$R$402,$A259,$I$3)&amp;"",FIND(" ",INDEX(인턴근무계획!$M$3:$R$402,$A259,$I$3)&amp;"")+1,60))))</f>
        <v/>
      </c>
      <c r="K259" s="23">
        <f>IF($C259="","",INDEX(인턴근무계획!$M$3:$M$402,$A259)&amp;"")</f>
        <v/>
      </c>
      <c r="L259" s="23">
        <f>IF($C259="","",INDEX(인턴근무계획!$N$3:$N$402,$A259)&amp;"")</f>
        <v/>
      </c>
      <c r="M259" s="23">
        <f>IF($C259="","",INDEX(인턴근무계획!$O$3:$O$402,$A259)&amp;"")</f>
        <v/>
      </c>
      <c r="N259" s="23">
        <f>IF($C259="","",INDEX(인턴근무계획!$P$3:$P$402,$A259)&amp;"")</f>
        <v/>
      </c>
      <c r="O259" s="23">
        <f>IF($C259="","",INDEX(인턴근무계획!$Q$3:$Q$402,$A259)&amp;"")</f>
        <v/>
      </c>
      <c r="P259" s="23">
        <f>IF($C259="","",INDEX(인턴근무계획!$R$3:$R$402,$A259)&amp;"")</f>
        <v/>
      </c>
      <c r="Q259" s="23">
        <f>IF($C259="","",INDEX(인턴근무계획!$T$3:$T$402,$A259))</f>
        <v/>
      </c>
    </row>
    <row r="260">
      <c r="A260" s="26" t="n">
        <v>255</v>
      </c>
      <c r="B260" s="23">
        <f>IF($C260="","",INDEX(인턴근무계획!$B$3:$B$402,$A260))</f>
        <v/>
      </c>
      <c r="C260" s="23">
        <f>IFERROR(TRIM(INDEX(인턴근무계획!$C$3:$C$402,$A260)&amp;""),"")</f>
        <v/>
      </c>
      <c r="D260" s="23">
        <f>IF($C260="","",INDEX(인턴근무계획!$D$3:$D$402,$A260))</f>
        <v/>
      </c>
      <c r="E260" s="23">
        <f>IF($C260="","",IF(IFERROR(MATCH($D260,기본자료!$B$2:$B$1001,0),IFERROR(MATCH($D260&amp;"",기본자료!$B$2:$B$1001,0),IFERROR(MATCH(VALUE($D260),기본자료!$B$2:$B$1001,0),0)))&gt;0,"확인","미등록"))</f>
        <v/>
      </c>
      <c r="F260" s="27">
        <f>IF($C260="","",INDEX(인턴근무계획!$S$3:$S$402,$A260))</f>
        <v/>
      </c>
      <c r="G260" s="23">
        <f>IF(OR($C260="",$G$3=""),"",IF(INDEX(인턴근무계획!$M$3:$R$402,$A260,$G$3)&amp;""="","",IF(LEFT(INDEX(인턴근무계획!$M$3:$R$402,$A260,$G$3)&amp;"",1)="⚠",INDEX(인턴근무계획!$M$3:$R$402,$A260,$G$3)&amp;"",LEFT(INDEX(인턴근무계획!$M$3:$R$402,$A260,$G$3)&amp;"",FIND(" ",INDEX(인턴근무계획!$M$3:$R$402,$A260,$G$3)&amp;"")-1))))</f>
        <v/>
      </c>
      <c r="H260" s="23">
        <f>IF(OR($C260="",$G$3=""),"",IF(INDEX(인턴근무계획!$M$3:$R$402,$A260,$G$3)&amp;""="","",IF(LEFT(INDEX(인턴근무계획!$M$3:$R$402,$A260,$G$3)&amp;"",1)="⚠","",MID(INDEX(인턴근무계획!$M$3:$R$402,$A260,$G$3)&amp;"",FIND(" ",INDEX(인턴근무계획!$M$3:$R$402,$A260,$G$3)&amp;"")+1,60))))</f>
        <v/>
      </c>
      <c r="I260" s="23">
        <f>IF(OR($C260="",$I$3=""),"",IF(INDEX(인턴근무계획!$M$3:$R$402,$A260,$I$3)&amp;""="","",IF(LEFT(INDEX(인턴근무계획!$M$3:$R$402,$A260,$I$3)&amp;"",1)="⚠",INDEX(인턴근무계획!$M$3:$R$402,$A260,$I$3)&amp;"",LEFT(INDEX(인턴근무계획!$M$3:$R$402,$A260,$I$3)&amp;"",FIND(" ",INDEX(인턴근무계획!$M$3:$R$402,$A260,$I$3)&amp;"")-1))))</f>
        <v/>
      </c>
      <c r="J260" s="23">
        <f>IF(OR($C260="",$I$3=""),"",IF(INDEX(인턴근무계획!$M$3:$R$402,$A260,$I$3)&amp;""="","",IF(LEFT(INDEX(인턴근무계획!$M$3:$R$402,$A260,$I$3)&amp;"",1)="⚠","",MID(INDEX(인턴근무계획!$M$3:$R$402,$A260,$I$3)&amp;"",FIND(" ",INDEX(인턴근무계획!$M$3:$R$402,$A260,$I$3)&amp;"")+1,60))))</f>
        <v/>
      </c>
      <c r="K260" s="23">
        <f>IF($C260="","",INDEX(인턴근무계획!$M$3:$M$402,$A260)&amp;"")</f>
        <v/>
      </c>
      <c r="L260" s="23">
        <f>IF($C260="","",INDEX(인턴근무계획!$N$3:$N$402,$A260)&amp;"")</f>
        <v/>
      </c>
      <c r="M260" s="23">
        <f>IF($C260="","",INDEX(인턴근무계획!$O$3:$O$402,$A260)&amp;"")</f>
        <v/>
      </c>
      <c r="N260" s="23">
        <f>IF($C260="","",INDEX(인턴근무계획!$P$3:$P$402,$A260)&amp;"")</f>
        <v/>
      </c>
      <c r="O260" s="23">
        <f>IF($C260="","",INDEX(인턴근무계획!$Q$3:$Q$402,$A260)&amp;"")</f>
        <v/>
      </c>
      <c r="P260" s="23">
        <f>IF($C260="","",INDEX(인턴근무계획!$R$3:$R$402,$A260)&amp;"")</f>
        <v/>
      </c>
      <c r="Q260" s="23">
        <f>IF($C260="","",INDEX(인턴근무계획!$T$3:$T$402,$A260))</f>
        <v/>
      </c>
    </row>
    <row r="261">
      <c r="A261" s="26" t="n">
        <v>256</v>
      </c>
      <c r="B261" s="23">
        <f>IF($C261="","",INDEX(인턴근무계획!$B$3:$B$402,$A261))</f>
        <v/>
      </c>
      <c r="C261" s="23">
        <f>IFERROR(TRIM(INDEX(인턴근무계획!$C$3:$C$402,$A261)&amp;""),"")</f>
        <v/>
      </c>
      <c r="D261" s="23">
        <f>IF($C261="","",INDEX(인턴근무계획!$D$3:$D$402,$A261))</f>
        <v/>
      </c>
      <c r="E261" s="23">
        <f>IF($C261="","",IF(IFERROR(MATCH($D261,기본자료!$B$2:$B$1001,0),IFERROR(MATCH($D261&amp;"",기본자료!$B$2:$B$1001,0),IFERROR(MATCH(VALUE($D261),기본자료!$B$2:$B$1001,0),0)))&gt;0,"확인","미등록"))</f>
        <v/>
      </c>
      <c r="F261" s="27">
        <f>IF($C261="","",INDEX(인턴근무계획!$S$3:$S$402,$A261))</f>
        <v/>
      </c>
      <c r="G261" s="23">
        <f>IF(OR($C261="",$G$3=""),"",IF(INDEX(인턴근무계획!$M$3:$R$402,$A261,$G$3)&amp;""="","",IF(LEFT(INDEX(인턴근무계획!$M$3:$R$402,$A261,$G$3)&amp;"",1)="⚠",INDEX(인턴근무계획!$M$3:$R$402,$A261,$G$3)&amp;"",LEFT(INDEX(인턴근무계획!$M$3:$R$402,$A261,$G$3)&amp;"",FIND(" ",INDEX(인턴근무계획!$M$3:$R$402,$A261,$G$3)&amp;"")-1))))</f>
        <v/>
      </c>
      <c r="H261" s="23">
        <f>IF(OR($C261="",$G$3=""),"",IF(INDEX(인턴근무계획!$M$3:$R$402,$A261,$G$3)&amp;""="","",IF(LEFT(INDEX(인턴근무계획!$M$3:$R$402,$A261,$G$3)&amp;"",1)="⚠","",MID(INDEX(인턴근무계획!$M$3:$R$402,$A261,$G$3)&amp;"",FIND(" ",INDEX(인턴근무계획!$M$3:$R$402,$A261,$G$3)&amp;"")+1,60))))</f>
        <v/>
      </c>
      <c r="I261" s="23">
        <f>IF(OR($C261="",$I$3=""),"",IF(INDEX(인턴근무계획!$M$3:$R$402,$A261,$I$3)&amp;""="","",IF(LEFT(INDEX(인턴근무계획!$M$3:$R$402,$A261,$I$3)&amp;"",1)="⚠",INDEX(인턴근무계획!$M$3:$R$402,$A261,$I$3)&amp;"",LEFT(INDEX(인턴근무계획!$M$3:$R$402,$A261,$I$3)&amp;"",FIND(" ",INDEX(인턴근무계획!$M$3:$R$402,$A261,$I$3)&amp;"")-1))))</f>
        <v/>
      </c>
      <c r="J261" s="23">
        <f>IF(OR($C261="",$I$3=""),"",IF(INDEX(인턴근무계획!$M$3:$R$402,$A261,$I$3)&amp;""="","",IF(LEFT(INDEX(인턴근무계획!$M$3:$R$402,$A261,$I$3)&amp;"",1)="⚠","",MID(INDEX(인턴근무계획!$M$3:$R$402,$A261,$I$3)&amp;"",FIND(" ",INDEX(인턴근무계획!$M$3:$R$402,$A261,$I$3)&amp;"")+1,60))))</f>
        <v/>
      </c>
      <c r="K261" s="23">
        <f>IF($C261="","",INDEX(인턴근무계획!$M$3:$M$402,$A261)&amp;"")</f>
        <v/>
      </c>
      <c r="L261" s="23">
        <f>IF($C261="","",INDEX(인턴근무계획!$N$3:$N$402,$A261)&amp;"")</f>
        <v/>
      </c>
      <c r="M261" s="23">
        <f>IF($C261="","",INDEX(인턴근무계획!$O$3:$O$402,$A261)&amp;"")</f>
        <v/>
      </c>
      <c r="N261" s="23">
        <f>IF($C261="","",INDEX(인턴근무계획!$P$3:$P$402,$A261)&amp;"")</f>
        <v/>
      </c>
      <c r="O261" s="23">
        <f>IF($C261="","",INDEX(인턴근무계획!$Q$3:$Q$402,$A261)&amp;"")</f>
        <v/>
      </c>
      <c r="P261" s="23">
        <f>IF($C261="","",INDEX(인턴근무계획!$R$3:$R$402,$A261)&amp;"")</f>
        <v/>
      </c>
      <c r="Q261" s="23">
        <f>IF($C261="","",INDEX(인턴근무계획!$T$3:$T$402,$A261))</f>
        <v/>
      </c>
    </row>
    <row r="262">
      <c r="A262" s="26" t="n">
        <v>257</v>
      </c>
      <c r="B262" s="23">
        <f>IF($C262="","",INDEX(인턴근무계획!$B$3:$B$402,$A262))</f>
        <v/>
      </c>
      <c r="C262" s="23">
        <f>IFERROR(TRIM(INDEX(인턴근무계획!$C$3:$C$402,$A262)&amp;""),"")</f>
        <v/>
      </c>
      <c r="D262" s="23">
        <f>IF($C262="","",INDEX(인턴근무계획!$D$3:$D$402,$A262))</f>
        <v/>
      </c>
      <c r="E262" s="23">
        <f>IF($C262="","",IF(IFERROR(MATCH($D262,기본자료!$B$2:$B$1001,0),IFERROR(MATCH($D262&amp;"",기본자료!$B$2:$B$1001,0),IFERROR(MATCH(VALUE($D262),기본자료!$B$2:$B$1001,0),0)))&gt;0,"확인","미등록"))</f>
        <v/>
      </c>
      <c r="F262" s="27">
        <f>IF($C262="","",INDEX(인턴근무계획!$S$3:$S$402,$A262))</f>
        <v/>
      </c>
      <c r="G262" s="23">
        <f>IF(OR($C262="",$G$3=""),"",IF(INDEX(인턴근무계획!$M$3:$R$402,$A262,$G$3)&amp;""="","",IF(LEFT(INDEX(인턴근무계획!$M$3:$R$402,$A262,$G$3)&amp;"",1)="⚠",INDEX(인턴근무계획!$M$3:$R$402,$A262,$G$3)&amp;"",LEFT(INDEX(인턴근무계획!$M$3:$R$402,$A262,$G$3)&amp;"",FIND(" ",INDEX(인턴근무계획!$M$3:$R$402,$A262,$G$3)&amp;"")-1))))</f>
        <v/>
      </c>
      <c r="H262" s="23">
        <f>IF(OR($C262="",$G$3=""),"",IF(INDEX(인턴근무계획!$M$3:$R$402,$A262,$G$3)&amp;""="","",IF(LEFT(INDEX(인턴근무계획!$M$3:$R$402,$A262,$G$3)&amp;"",1)="⚠","",MID(INDEX(인턴근무계획!$M$3:$R$402,$A262,$G$3)&amp;"",FIND(" ",INDEX(인턴근무계획!$M$3:$R$402,$A262,$G$3)&amp;"")+1,60))))</f>
        <v/>
      </c>
      <c r="I262" s="23">
        <f>IF(OR($C262="",$I$3=""),"",IF(INDEX(인턴근무계획!$M$3:$R$402,$A262,$I$3)&amp;""="","",IF(LEFT(INDEX(인턴근무계획!$M$3:$R$402,$A262,$I$3)&amp;"",1)="⚠",INDEX(인턴근무계획!$M$3:$R$402,$A262,$I$3)&amp;"",LEFT(INDEX(인턴근무계획!$M$3:$R$402,$A262,$I$3)&amp;"",FIND(" ",INDEX(인턴근무계획!$M$3:$R$402,$A262,$I$3)&amp;"")-1))))</f>
        <v/>
      </c>
      <c r="J262" s="23">
        <f>IF(OR($C262="",$I$3=""),"",IF(INDEX(인턴근무계획!$M$3:$R$402,$A262,$I$3)&amp;""="","",IF(LEFT(INDEX(인턴근무계획!$M$3:$R$402,$A262,$I$3)&amp;"",1)="⚠","",MID(INDEX(인턴근무계획!$M$3:$R$402,$A262,$I$3)&amp;"",FIND(" ",INDEX(인턴근무계획!$M$3:$R$402,$A262,$I$3)&amp;"")+1,60))))</f>
        <v/>
      </c>
      <c r="K262" s="23">
        <f>IF($C262="","",INDEX(인턴근무계획!$M$3:$M$402,$A262)&amp;"")</f>
        <v/>
      </c>
      <c r="L262" s="23">
        <f>IF($C262="","",INDEX(인턴근무계획!$N$3:$N$402,$A262)&amp;"")</f>
        <v/>
      </c>
      <c r="M262" s="23">
        <f>IF($C262="","",INDEX(인턴근무계획!$O$3:$O$402,$A262)&amp;"")</f>
        <v/>
      </c>
      <c r="N262" s="23">
        <f>IF($C262="","",INDEX(인턴근무계획!$P$3:$P$402,$A262)&amp;"")</f>
        <v/>
      </c>
      <c r="O262" s="23">
        <f>IF($C262="","",INDEX(인턴근무계획!$Q$3:$Q$402,$A262)&amp;"")</f>
        <v/>
      </c>
      <c r="P262" s="23">
        <f>IF($C262="","",INDEX(인턴근무계획!$R$3:$R$402,$A262)&amp;"")</f>
        <v/>
      </c>
      <c r="Q262" s="23">
        <f>IF($C262="","",INDEX(인턴근무계획!$T$3:$T$402,$A262))</f>
        <v/>
      </c>
    </row>
    <row r="263">
      <c r="A263" s="26" t="n">
        <v>258</v>
      </c>
      <c r="B263" s="23">
        <f>IF($C263="","",INDEX(인턴근무계획!$B$3:$B$402,$A263))</f>
        <v/>
      </c>
      <c r="C263" s="23">
        <f>IFERROR(TRIM(INDEX(인턴근무계획!$C$3:$C$402,$A263)&amp;""),"")</f>
        <v/>
      </c>
      <c r="D263" s="23">
        <f>IF($C263="","",INDEX(인턴근무계획!$D$3:$D$402,$A263))</f>
        <v/>
      </c>
      <c r="E263" s="23">
        <f>IF($C263="","",IF(IFERROR(MATCH($D263,기본자료!$B$2:$B$1001,0),IFERROR(MATCH($D263&amp;"",기본자료!$B$2:$B$1001,0),IFERROR(MATCH(VALUE($D263),기본자료!$B$2:$B$1001,0),0)))&gt;0,"확인","미등록"))</f>
        <v/>
      </c>
      <c r="F263" s="27">
        <f>IF($C263="","",INDEX(인턴근무계획!$S$3:$S$402,$A263))</f>
        <v/>
      </c>
      <c r="G263" s="23">
        <f>IF(OR($C263="",$G$3=""),"",IF(INDEX(인턴근무계획!$M$3:$R$402,$A263,$G$3)&amp;""="","",IF(LEFT(INDEX(인턴근무계획!$M$3:$R$402,$A263,$G$3)&amp;"",1)="⚠",INDEX(인턴근무계획!$M$3:$R$402,$A263,$G$3)&amp;"",LEFT(INDEX(인턴근무계획!$M$3:$R$402,$A263,$G$3)&amp;"",FIND(" ",INDEX(인턴근무계획!$M$3:$R$402,$A263,$G$3)&amp;"")-1))))</f>
        <v/>
      </c>
      <c r="H263" s="23">
        <f>IF(OR($C263="",$G$3=""),"",IF(INDEX(인턴근무계획!$M$3:$R$402,$A263,$G$3)&amp;""="","",IF(LEFT(INDEX(인턴근무계획!$M$3:$R$402,$A263,$G$3)&amp;"",1)="⚠","",MID(INDEX(인턴근무계획!$M$3:$R$402,$A263,$G$3)&amp;"",FIND(" ",INDEX(인턴근무계획!$M$3:$R$402,$A263,$G$3)&amp;"")+1,60))))</f>
        <v/>
      </c>
      <c r="I263" s="23">
        <f>IF(OR($C263="",$I$3=""),"",IF(INDEX(인턴근무계획!$M$3:$R$402,$A263,$I$3)&amp;""="","",IF(LEFT(INDEX(인턴근무계획!$M$3:$R$402,$A263,$I$3)&amp;"",1)="⚠",INDEX(인턴근무계획!$M$3:$R$402,$A263,$I$3)&amp;"",LEFT(INDEX(인턴근무계획!$M$3:$R$402,$A263,$I$3)&amp;"",FIND(" ",INDEX(인턴근무계획!$M$3:$R$402,$A263,$I$3)&amp;"")-1))))</f>
        <v/>
      </c>
      <c r="J263" s="23">
        <f>IF(OR($C263="",$I$3=""),"",IF(INDEX(인턴근무계획!$M$3:$R$402,$A263,$I$3)&amp;""="","",IF(LEFT(INDEX(인턴근무계획!$M$3:$R$402,$A263,$I$3)&amp;"",1)="⚠","",MID(INDEX(인턴근무계획!$M$3:$R$402,$A263,$I$3)&amp;"",FIND(" ",INDEX(인턴근무계획!$M$3:$R$402,$A263,$I$3)&amp;"")+1,60))))</f>
        <v/>
      </c>
      <c r="K263" s="23">
        <f>IF($C263="","",INDEX(인턴근무계획!$M$3:$M$402,$A263)&amp;"")</f>
        <v/>
      </c>
      <c r="L263" s="23">
        <f>IF($C263="","",INDEX(인턴근무계획!$N$3:$N$402,$A263)&amp;"")</f>
        <v/>
      </c>
      <c r="M263" s="23">
        <f>IF($C263="","",INDEX(인턴근무계획!$O$3:$O$402,$A263)&amp;"")</f>
        <v/>
      </c>
      <c r="N263" s="23">
        <f>IF($C263="","",INDEX(인턴근무계획!$P$3:$P$402,$A263)&amp;"")</f>
        <v/>
      </c>
      <c r="O263" s="23">
        <f>IF($C263="","",INDEX(인턴근무계획!$Q$3:$Q$402,$A263)&amp;"")</f>
        <v/>
      </c>
      <c r="P263" s="23">
        <f>IF($C263="","",INDEX(인턴근무계획!$R$3:$R$402,$A263)&amp;"")</f>
        <v/>
      </c>
      <c r="Q263" s="23">
        <f>IF($C263="","",INDEX(인턴근무계획!$T$3:$T$402,$A263))</f>
        <v/>
      </c>
    </row>
    <row r="264">
      <c r="A264" s="26" t="n">
        <v>259</v>
      </c>
      <c r="B264" s="23">
        <f>IF($C264="","",INDEX(인턴근무계획!$B$3:$B$402,$A264))</f>
        <v/>
      </c>
      <c r="C264" s="23">
        <f>IFERROR(TRIM(INDEX(인턴근무계획!$C$3:$C$402,$A264)&amp;""),"")</f>
        <v/>
      </c>
      <c r="D264" s="23">
        <f>IF($C264="","",INDEX(인턴근무계획!$D$3:$D$402,$A264))</f>
        <v/>
      </c>
      <c r="E264" s="23">
        <f>IF($C264="","",IF(IFERROR(MATCH($D264,기본자료!$B$2:$B$1001,0),IFERROR(MATCH($D264&amp;"",기본자료!$B$2:$B$1001,0),IFERROR(MATCH(VALUE($D264),기본자료!$B$2:$B$1001,0),0)))&gt;0,"확인","미등록"))</f>
        <v/>
      </c>
      <c r="F264" s="27">
        <f>IF($C264="","",INDEX(인턴근무계획!$S$3:$S$402,$A264))</f>
        <v/>
      </c>
      <c r="G264" s="23">
        <f>IF(OR($C264="",$G$3=""),"",IF(INDEX(인턴근무계획!$M$3:$R$402,$A264,$G$3)&amp;""="","",IF(LEFT(INDEX(인턴근무계획!$M$3:$R$402,$A264,$G$3)&amp;"",1)="⚠",INDEX(인턴근무계획!$M$3:$R$402,$A264,$G$3)&amp;"",LEFT(INDEX(인턴근무계획!$M$3:$R$402,$A264,$G$3)&amp;"",FIND(" ",INDEX(인턴근무계획!$M$3:$R$402,$A264,$G$3)&amp;"")-1))))</f>
        <v/>
      </c>
      <c r="H264" s="23">
        <f>IF(OR($C264="",$G$3=""),"",IF(INDEX(인턴근무계획!$M$3:$R$402,$A264,$G$3)&amp;""="","",IF(LEFT(INDEX(인턴근무계획!$M$3:$R$402,$A264,$G$3)&amp;"",1)="⚠","",MID(INDEX(인턴근무계획!$M$3:$R$402,$A264,$G$3)&amp;"",FIND(" ",INDEX(인턴근무계획!$M$3:$R$402,$A264,$G$3)&amp;"")+1,60))))</f>
        <v/>
      </c>
      <c r="I264" s="23">
        <f>IF(OR($C264="",$I$3=""),"",IF(INDEX(인턴근무계획!$M$3:$R$402,$A264,$I$3)&amp;""="","",IF(LEFT(INDEX(인턴근무계획!$M$3:$R$402,$A264,$I$3)&amp;"",1)="⚠",INDEX(인턴근무계획!$M$3:$R$402,$A264,$I$3)&amp;"",LEFT(INDEX(인턴근무계획!$M$3:$R$402,$A264,$I$3)&amp;"",FIND(" ",INDEX(인턴근무계획!$M$3:$R$402,$A264,$I$3)&amp;"")-1))))</f>
        <v/>
      </c>
      <c r="J264" s="23">
        <f>IF(OR($C264="",$I$3=""),"",IF(INDEX(인턴근무계획!$M$3:$R$402,$A264,$I$3)&amp;""="","",IF(LEFT(INDEX(인턴근무계획!$M$3:$R$402,$A264,$I$3)&amp;"",1)="⚠","",MID(INDEX(인턴근무계획!$M$3:$R$402,$A264,$I$3)&amp;"",FIND(" ",INDEX(인턴근무계획!$M$3:$R$402,$A264,$I$3)&amp;"")+1,60))))</f>
        <v/>
      </c>
      <c r="K264" s="23">
        <f>IF($C264="","",INDEX(인턴근무계획!$M$3:$M$402,$A264)&amp;"")</f>
        <v/>
      </c>
      <c r="L264" s="23">
        <f>IF($C264="","",INDEX(인턴근무계획!$N$3:$N$402,$A264)&amp;"")</f>
        <v/>
      </c>
      <c r="M264" s="23">
        <f>IF($C264="","",INDEX(인턴근무계획!$O$3:$O$402,$A264)&amp;"")</f>
        <v/>
      </c>
      <c r="N264" s="23">
        <f>IF($C264="","",INDEX(인턴근무계획!$P$3:$P$402,$A264)&amp;"")</f>
        <v/>
      </c>
      <c r="O264" s="23">
        <f>IF($C264="","",INDEX(인턴근무계획!$Q$3:$Q$402,$A264)&amp;"")</f>
        <v/>
      </c>
      <c r="P264" s="23">
        <f>IF($C264="","",INDEX(인턴근무계획!$R$3:$R$402,$A264)&amp;"")</f>
        <v/>
      </c>
      <c r="Q264" s="23">
        <f>IF($C264="","",INDEX(인턴근무계획!$T$3:$T$402,$A264))</f>
        <v/>
      </c>
    </row>
    <row r="265">
      <c r="A265" s="26" t="n">
        <v>260</v>
      </c>
      <c r="B265" s="23">
        <f>IF($C265="","",INDEX(인턴근무계획!$B$3:$B$402,$A265))</f>
        <v/>
      </c>
      <c r="C265" s="23">
        <f>IFERROR(TRIM(INDEX(인턴근무계획!$C$3:$C$402,$A265)&amp;""),"")</f>
        <v/>
      </c>
      <c r="D265" s="23">
        <f>IF($C265="","",INDEX(인턴근무계획!$D$3:$D$402,$A265))</f>
        <v/>
      </c>
      <c r="E265" s="23">
        <f>IF($C265="","",IF(IFERROR(MATCH($D265,기본자료!$B$2:$B$1001,0),IFERROR(MATCH($D265&amp;"",기본자료!$B$2:$B$1001,0),IFERROR(MATCH(VALUE($D265),기본자료!$B$2:$B$1001,0),0)))&gt;0,"확인","미등록"))</f>
        <v/>
      </c>
      <c r="F265" s="27">
        <f>IF($C265="","",INDEX(인턴근무계획!$S$3:$S$402,$A265))</f>
        <v/>
      </c>
      <c r="G265" s="23">
        <f>IF(OR($C265="",$G$3=""),"",IF(INDEX(인턴근무계획!$M$3:$R$402,$A265,$G$3)&amp;""="","",IF(LEFT(INDEX(인턴근무계획!$M$3:$R$402,$A265,$G$3)&amp;"",1)="⚠",INDEX(인턴근무계획!$M$3:$R$402,$A265,$G$3)&amp;"",LEFT(INDEX(인턴근무계획!$M$3:$R$402,$A265,$G$3)&amp;"",FIND(" ",INDEX(인턴근무계획!$M$3:$R$402,$A265,$G$3)&amp;"")-1))))</f>
        <v/>
      </c>
      <c r="H265" s="23">
        <f>IF(OR($C265="",$G$3=""),"",IF(INDEX(인턴근무계획!$M$3:$R$402,$A265,$G$3)&amp;""="","",IF(LEFT(INDEX(인턴근무계획!$M$3:$R$402,$A265,$G$3)&amp;"",1)="⚠","",MID(INDEX(인턴근무계획!$M$3:$R$402,$A265,$G$3)&amp;"",FIND(" ",INDEX(인턴근무계획!$M$3:$R$402,$A265,$G$3)&amp;"")+1,60))))</f>
        <v/>
      </c>
      <c r="I265" s="23">
        <f>IF(OR($C265="",$I$3=""),"",IF(INDEX(인턴근무계획!$M$3:$R$402,$A265,$I$3)&amp;""="","",IF(LEFT(INDEX(인턴근무계획!$M$3:$R$402,$A265,$I$3)&amp;"",1)="⚠",INDEX(인턴근무계획!$M$3:$R$402,$A265,$I$3)&amp;"",LEFT(INDEX(인턴근무계획!$M$3:$R$402,$A265,$I$3)&amp;"",FIND(" ",INDEX(인턴근무계획!$M$3:$R$402,$A265,$I$3)&amp;"")-1))))</f>
        <v/>
      </c>
      <c r="J265" s="23">
        <f>IF(OR($C265="",$I$3=""),"",IF(INDEX(인턴근무계획!$M$3:$R$402,$A265,$I$3)&amp;""="","",IF(LEFT(INDEX(인턴근무계획!$M$3:$R$402,$A265,$I$3)&amp;"",1)="⚠","",MID(INDEX(인턴근무계획!$M$3:$R$402,$A265,$I$3)&amp;"",FIND(" ",INDEX(인턴근무계획!$M$3:$R$402,$A265,$I$3)&amp;"")+1,60))))</f>
        <v/>
      </c>
      <c r="K265" s="23">
        <f>IF($C265="","",INDEX(인턴근무계획!$M$3:$M$402,$A265)&amp;"")</f>
        <v/>
      </c>
      <c r="L265" s="23">
        <f>IF($C265="","",INDEX(인턴근무계획!$N$3:$N$402,$A265)&amp;"")</f>
        <v/>
      </c>
      <c r="M265" s="23">
        <f>IF($C265="","",INDEX(인턴근무계획!$O$3:$O$402,$A265)&amp;"")</f>
        <v/>
      </c>
      <c r="N265" s="23">
        <f>IF($C265="","",INDEX(인턴근무계획!$P$3:$P$402,$A265)&amp;"")</f>
        <v/>
      </c>
      <c r="O265" s="23">
        <f>IF($C265="","",INDEX(인턴근무계획!$Q$3:$Q$402,$A265)&amp;"")</f>
        <v/>
      </c>
      <c r="P265" s="23">
        <f>IF($C265="","",INDEX(인턴근무계획!$R$3:$R$402,$A265)&amp;"")</f>
        <v/>
      </c>
      <c r="Q265" s="23">
        <f>IF($C265="","",INDEX(인턴근무계획!$T$3:$T$402,$A265))</f>
        <v/>
      </c>
    </row>
    <row r="266">
      <c r="A266" s="26" t="n">
        <v>261</v>
      </c>
      <c r="B266" s="23">
        <f>IF($C266="","",INDEX(인턴근무계획!$B$3:$B$402,$A266))</f>
        <v/>
      </c>
      <c r="C266" s="23">
        <f>IFERROR(TRIM(INDEX(인턴근무계획!$C$3:$C$402,$A266)&amp;""),"")</f>
        <v/>
      </c>
      <c r="D266" s="23">
        <f>IF($C266="","",INDEX(인턴근무계획!$D$3:$D$402,$A266))</f>
        <v/>
      </c>
      <c r="E266" s="23">
        <f>IF($C266="","",IF(IFERROR(MATCH($D266,기본자료!$B$2:$B$1001,0),IFERROR(MATCH($D266&amp;"",기본자료!$B$2:$B$1001,0),IFERROR(MATCH(VALUE($D266),기본자료!$B$2:$B$1001,0),0)))&gt;0,"확인","미등록"))</f>
        <v/>
      </c>
      <c r="F266" s="27">
        <f>IF($C266="","",INDEX(인턴근무계획!$S$3:$S$402,$A266))</f>
        <v/>
      </c>
      <c r="G266" s="23">
        <f>IF(OR($C266="",$G$3=""),"",IF(INDEX(인턴근무계획!$M$3:$R$402,$A266,$G$3)&amp;""="","",IF(LEFT(INDEX(인턴근무계획!$M$3:$R$402,$A266,$G$3)&amp;"",1)="⚠",INDEX(인턴근무계획!$M$3:$R$402,$A266,$G$3)&amp;"",LEFT(INDEX(인턴근무계획!$M$3:$R$402,$A266,$G$3)&amp;"",FIND(" ",INDEX(인턴근무계획!$M$3:$R$402,$A266,$G$3)&amp;"")-1))))</f>
        <v/>
      </c>
      <c r="H266" s="23">
        <f>IF(OR($C266="",$G$3=""),"",IF(INDEX(인턴근무계획!$M$3:$R$402,$A266,$G$3)&amp;""="","",IF(LEFT(INDEX(인턴근무계획!$M$3:$R$402,$A266,$G$3)&amp;"",1)="⚠","",MID(INDEX(인턴근무계획!$M$3:$R$402,$A266,$G$3)&amp;"",FIND(" ",INDEX(인턴근무계획!$M$3:$R$402,$A266,$G$3)&amp;"")+1,60))))</f>
        <v/>
      </c>
      <c r="I266" s="23">
        <f>IF(OR($C266="",$I$3=""),"",IF(INDEX(인턴근무계획!$M$3:$R$402,$A266,$I$3)&amp;""="","",IF(LEFT(INDEX(인턴근무계획!$M$3:$R$402,$A266,$I$3)&amp;"",1)="⚠",INDEX(인턴근무계획!$M$3:$R$402,$A266,$I$3)&amp;"",LEFT(INDEX(인턴근무계획!$M$3:$R$402,$A266,$I$3)&amp;"",FIND(" ",INDEX(인턴근무계획!$M$3:$R$402,$A266,$I$3)&amp;"")-1))))</f>
        <v/>
      </c>
      <c r="J266" s="23">
        <f>IF(OR($C266="",$I$3=""),"",IF(INDEX(인턴근무계획!$M$3:$R$402,$A266,$I$3)&amp;""="","",IF(LEFT(INDEX(인턴근무계획!$M$3:$R$402,$A266,$I$3)&amp;"",1)="⚠","",MID(INDEX(인턴근무계획!$M$3:$R$402,$A266,$I$3)&amp;"",FIND(" ",INDEX(인턴근무계획!$M$3:$R$402,$A266,$I$3)&amp;"")+1,60))))</f>
        <v/>
      </c>
      <c r="K266" s="23">
        <f>IF($C266="","",INDEX(인턴근무계획!$M$3:$M$402,$A266)&amp;"")</f>
        <v/>
      </c>
      <c r="L266" s="23">
        <f>IF($C266="","",INDEX(인턴근무계획!$N$3:$N$402,$A266)&amp;"")</f>
        <v/>
      </c>
      <c r="M266" s="23">
        <f>IF($C266="","",INDEX(인턴근무계획!$O$3:$O$402,$A266)&amp;"")</f>
        <v/>
      </c>
      <c r="N266" s="23">
        <f>IF($C266="","",INDEX(인턴근무계획!$P$3:$P$402,$A266)&amp;"")</f>
        <v/>
      </c>
      <c r="O266" s="23">
        <f>IF($C266="","",INDEX(인턴근무계획!$Q$3:$Q$402,$A266)&amp;"")</f>
        <v/>
      </c>
      <c r="P266" s="23">
        <f>IF($C266="","",INDEX(인턴근무계획!$R$3:$R$402,$A266)&amp;"")</f>
        <v/>
      </c>
      <c r="Q266" s="23">
        <f>IF($C266="","",INDEX(인턴근무계획!$T$3:$T$402,$A266))</f>
        <v/>
      </c>
    </row>
    <row r="267">
      <c r="A267" s="26" t="n">
        <v>262</v>
      </c>
      <c r="B267" s="23">
        <f>IF($C267="","",INDEX(인턴근무계획!$B$3:$B$402,$A267))</f>
        <v/>
      </c>
      <c r="C267" s="23">
        <f>IFERROR(TRIM(INDEX(인턴근무계획!$C$3:$C$402,$A267)&amp;""),"")</f>
        <v/>
      </c>
      <c r="D267" s="23">
        <f>IF($C267="","",INDEX(인턴근무계획!$D$3:$D$402,$A267))</f>
        <v/>
      </c>
      <c r="E267" s="23">
        <f>IF($C267="","",IF(IFERROR(MATCH($D267,기본자료!$B$2:$B$1001,0),IFERROR(MATCH($D267&amp;"",기본자료!$B$2:$B$1001,0),IFERROR(MATCH(VALUE($D267),기본자료!$B$2:$B$1001,0),0)))&gt;0,"확인","미등록"))</f>
        <v/>
      </c>
      <c r="F267" s="27">
        <f>IF($C267="","",INDEX(인턴근무계획!$S$3:$S$402,$A267))</f>
        <v/>
      </c>
      <c r="G267" s="23">
        <f>IF(OR($C267="",$G$3=""),"",IF(INDEX(인턴근무계획!$M$3:$R$402,$A267,$G$3)&amp;""="","",IF(LEFT(INDEX(인턴근무계획!$M$3:$R$402,$A267,$G$3)&amp;"",1)="⚠",INDEX(인턴근무계획!$M$3:$R$402,$A267,$G$3)&amp;"",LEFT(INDEX(인턴근무계획!$M$3:$R$402,$A267,$G$3)&amp;"",FIND(" ",INDEX(인턴근무계획!$M$3:$R$402,$A267,$G$3)&amp;"")-1))))</f>
        <v/>
      </c>
      <c r="H267" s="23">
        <f>IF(OR($C267="",$G$3=""),"",IF(INDEX(인턴근무계획!$M$3:$R$402,$A267,$G$3)&amp;""="","",IF(LEFT(INDEX(인턴근무계획!$M$3:$R$402,$A267,$G$3)&amp;"",1)="⚠","",MID(INDEX(인턴근무계획!$M$3:$R$402,$A267,$G$3)&amp;"",FIND(" ",INDEX(인턴근무계획!$M$3:$R$402,$A267,$G$3)&amp;"")+1,60))))</f>
        <v/>
      </c>
      <c r="I267" s="23">
        <f>IF(OR($C267="",$I$3=""),"",IF(INDEX(인턴근무계획!$M$3:$R$402,$A267,$I$3)&amp;""="","",IF(LEFT(INDEX(인턴근무계획!$M$3:$R$402,$A267,$I$3)&amp;"",1)="⚠",INDEX(인턴근무계획!$M$3:$R$402,$A267,$I$3)&amp;"",LEFT(INDEX(인턴근무계획!$M$3:$R$402,$A267,$I$3)&amp;"",FIND(" ",INDEX(인턴근무계획!$M$3:$R$402,$A267,$I$3)&amp;"")-1))))</f>
        <v/>
      </c>
      <c r="J267" s="23">
        <f>IF(OR($C267="",$I$3=""),"",IF(INDEX(인턴근무계획!$M$3:$R$402,$A267,$I$3)&amp;""="","",IF(LEFT(INDEX(인턴근무계획!$M$3:$R$402,$A267,$I$3)&amp;"",1)="⚠","",MID(INDEX(인턴근무계획!$M$3:$R$402,$A267,$I$3)&amp;"",FIND(" ",INDEX(인턴근무계획!$M$3:$R$402,$A267,$I$3)&amp;"")+1,60))))</f>
        <v/>
      </c>
      <c r="K267" s="23">
        <f>IF($C267="","",INDEX(인턴근무계획!$M$3:$M$402,$A267)&amp;"")</f>
        <v/>
      </c>
      <c r="L267" s="23">
        <f>IF($C267="","",INDEX(인턴근무계획!$N$3:$N$402,$A267)&amp;"")</f>
        <v/>
      </c>
      <c r="M267" s="23">
        <f>IF($C267="","",INDEX(인턴근무계획!$O$3:$O$402,$A267)&amp;"")</f>
        <v/>
      </c>
      <c r="N267" s="23">
        <f>IF($C267="","",INDEX(인턴근무계획!$P$3:$P$402,$A267)&amp;"")</f>
        <v/>
      </c>
      <c r="O267" s="23">
        <f>IF($C267="","",INDEX(인턴근무계획!$Q$3:$Q$402,$A267)&amp;"")</f>
        <v/>
      </c>
      <c r="P267" s="23">
        <f>IF($C267="","",INDEX(인턴근무계획!$R$3:$R$402,$A267)&amp;"")</f>
        <v/>
      </c>
      <c r="Q267" s="23">
        <f>IF($C267="","",INDEX(인턴근무계획!$T$3:$T$402,$A267))</f>
        <v/>
      </c>
    </row>
    <row r="268">
      <c r="A268" s="26" t="n">
        <v>263</v>
      </c>
      <c r="B268" s="23">
        <f>IF($C268="","",INDEX(인턴근무계획!$B$3:$B$402,$A268))</f>
        <v/>
      </c>
      <c r="C268" s="23">
        <f>IFERROR(TRIM(INDEX(인턴근무계획!$C$3:$C$402,$A268)&amp;""),"")</f>
        <v/>
      </c>
      <c r="D268" s="23">
        <f>IF($C268="","",INDEX(인턴근무계획!$D$3:$D$402,$A268))</f>
        <v/>
      </c>
      <c r="E268" s="23">
        <f>IF($C268="","",IF(IFERROR(MATCH($D268,기본자료!$B$2:$B$1001,0),IFERROR(MATCH($D268&amp;"",기본자료!$B$2:$B$1001,0),IFERROR(MATCH(VALUE($D268),기본자료!$B$2:$B$1001,0),0)))&gt;0,"확인","미등록"))</f>
        <v/>
      </c>
      <c r="F268" s="27">
        <f>IF($C268="","",INDEX(인턴근무계획!$S$3:$S$402,$A268))</f>
        <v/>
      </c>
      <c r="G268" s="23">
        <f>IF(OR($C268="",$G$3=""),"",IF(INDEX(인턴근무계획!$M$3:$R$402,$A268,$G$3)&amp;""="","",IF(LEFT(INDEX(인턴근무계획!$M$3:$R$402,$A268,$G$3)&amp;"",1)="⚠",INDEX(인턴근무계획!$M$3:$R$402,$A268,$G$3)&amp;"",LEFT(INDEX(인턴근무계획!$M$3:$R$402,$A268,$G$3)&amp;"",FIND(" ",INDEX(인턴근무계획!$M$3:$R$402,$A268,$G$3)&amp;"")-1))))</f>
        <v/>
      </c>
      <c r="H268" s="23">
        <f>IF(OR($C268="",$G$3=""),"",IF(INDEX(인턴근무계획!$M$3:$R$402,$A268,$G$3)&amp;""="","",IF(LEFT(INDEX(인턴근무계획!$M$3:$R$402,$A268,$G$3)&amp;"",1)="⚠","",MID(INDEX(인턴근무계획!$M$3:$R$402,$A268,$G$3)&amp;"",FIND(" ",INDEX(인턴근무계획!$M$3:$R$402,$A268,$G$3)&amp;"")+1,60))))</f>
        <v/>
      </c>
      <c r="I268" s="23">
        <f>IF(OR($C268="",$I$3=""),"",IF(INDEX(인턴근무계획!$M$3:$R$402,$A268,$I$3)&amp;""="","",IF(LEFT(INDEX(인턴근무계획!$M$3:$R$402,$A268,$I$3)&amp;"",1)="⚠",INDEX(인턴근무계획!$M$3:$R$402,$A268,$I$3)&amp;"",LEFT(INDEX(인턴근무계획!$M$3:$R$402,$A268,$I$3)&amp;"",FIND(" ",INDEX(인턴근무계획!$M$3:$R$402,$A268,$I$3)&amp;"")-1))))</f>
        <v/>
      </c>
      <c r="J268" s="23">
        <f>IF(OR($C268="",$I$3=""),"",IF(INDEX(인턴근무계획!$M$3:$R$402,$A268,$I$3)&amp;""="","",IF(LEFT(INDEX(인턴근무계획!$M$3:$R$402,$A268,$I$3)&amp;"",1)="⚠","",MID(INDEX(인턴근무계획!$M$3:$R$402,$A268,$I$3)&amp;"",FIND(" ",INDEX(인턴근무계획!$M$3:$R$402,$A268,$I$3)&amp;"")+1,60))))</f>
        <v/>
      </c>
      <c r="K268" s="23">
        <f>IF($C268="","",INDEX(인턴근무계획!$M$3:$M$402,$A268)&amp;"")</f>
        <v/>
      </c>
      <c r="L268" s="23">
        <f>IF($C268="","",INDEX(인턴근무계획!$N$3:$N$402,$A268)&amp;"")</f>
        <v/>
      </c>
      <c r="M268" s="23">
        <f>IF($C268="","",INDEX(인턴근무계획!$O$3:$O$402,$A268)&amp;"")</f>
        <v/>
      </c>
      <c r="N268" s="23">
        <f>IF($C268="","",INDEX(인턴근무계획!$P$3:$P$402,$A268)&amp;"")</f>
        <v/>
      </c>
      <c r="O268" s="23">
        <f>IF($C268="","",INDEX(인턴근무계획!$Q$3:$Q$402,$A268)&amp;"")</f>
        <v/>
      </c>
      <c r="P268" s="23">
        <f>IF($C268="","",INDEX(인턴근무계획!$R$3:$R$402,$A268)&amp;"")</f>
        <v/>
      </c>
      <c r="Q268" s="23">
        <f>IF($C268="","",INDEX(인턴근무계획!$T$3:$T$402,$A268))</f>
        <v/>
      </c>
    </row>
    <row r="269">
      <c r="A269" s="26" t="n">
        <v>264</v>
      </c>
      <c r="B269" s="23">
        <f>IF($C269="","",INDEX(인턴근무계획!$B$3:$B$402,$A269))</f>
        <v/>
      </c>
      <c r="C269" s="23">
        <f>IFERROR(TRIM(INDEX(인턴근무계획!$C$3:$C$402,$A269)&amp;""),"")</f>
        <v/>
      </c>
      <c r="D269" s="23">
        <f>IF($C269="","",INDEX(인턴근무계획!$D$3:$D$402,$A269))</f>
        <v/>
      </c>
      <c r="E269" s="23">
        <f>IF($C269="","",IF(IFERROR(MATCH($D269,기본자료!$B$2:$B$1001,0),IFERROR(MATCH($D269&amp;"",기본자료!$B$2:$B$1001,0),IFERROR(MATCH(VALUE($D269),기본자료!$B$2:$B$1001,0),0)))&gt;0,"확인","미등록"))</f>
        <v/>
      </c>
      <c r="F269" s="27">
        <f>IF($C269="","",INDEX(인턴근무계획!$S$3:$S$402,$A269))</f>
        <v/>
      </c>
      <c r="G269" s="23">
        <f>IF(OR($C269="",$G$3=""),"",IF(INDEX(인턴근무계획!$M$3:$R$402,$A269,$G$3)&amp;""="","",IF(LEFT(INDEX(인턴근무계획!$M$3:$R$402,$A269,$G$3)&amp;"",1)="⚠",INDEX(인턴근무계획!$M$3:$R$402,$A269,$G$3)&amp;"",LEFT(INDEX(인턴근무계획!$M$3:$R$402,$A269,$G$3)&amp;"",FIND(" ",INDEX(인턴근무계획!$M$3:$R$402,$A269,$G$3)&amp;"")-1))))</f>
        <v/>
      </c>
      <c r="H269" s="23">
        <f>IF(OR($C269="",$G$3=""),"",IF(INDEX(인턴근무계획!$M$3:$R$402,$A269,$G$3)&amp;""="","",IF(LEFT(INDEX(인턴근무계획!$M$3:$R$402,$A269,$G$3)&amp;"",1)="⚠","",MID(INDEX(인턴근무계획!$M$3:$R$402,$A269,$G$3)&amp;"",FIND(" ",INDEX(인턴근무계획!$M$3:$R$402,$A269,$G$3)&amp;"")+1,60))))</f>
        <v/>
      </c>
      <c r="I269" s="23">
        <f>IF(OR($C269="",$I$3=""),"",IF(INDEX(인턴근무계획!$M$3:$R$402,$A269,$I$3)&amp;""="","",IF(LEFT(INDEX(인턴근무계획!$M$3:$R$402,$A269,$I$3)&amp;"",1)="⚠",INDEX(인턴근무계획!$M$3:$R$402,$A269,$I$3)&amp;"",LEFT(INDEX(인턴근무계획!$M$3:$R$402,$A269,$I$3)&amp;"",FIND(" ",INDEX(인턴근무계획!$M$3:$R$402,$A269,$I$3)&amp;"")-1))))</f>
        <v/>
      </c>
      <c r="J269" s="23">
        <f>IF(OR($C269="",$I$3=""),"",IF(INDEX(인턴근무계획!$M$3:$R$402,$A269,$I$3)&amp;""="","",IF(LEFT(INDEX(인턴근무계획!$M$3:$R$402,$A269,$I$3)&amp;"",1)="⚠","",MID(INDEX(인턴근무계획!$M$3:$R$402,$A269,$I$3)&amp;"",FIND(" ",INDEX(인턴근무계획!$M$3:$R$402,$A269,$I$3)&amp;"")+1,60))))</f>
        <v/>
      </c>
      <c r="K269" s="23">
        <f>IF($C269="","",INDEX(인턴근무계획!$M$3:$M$402,$A269)&amp;"")</f>
        <v/>
      </c>
      <c r="L269" s="23">
        <f>IF($C269="","",INDEX(인턴근무계획!$N$3:$N$402,$A269)&amp;"")</f>
        <v/>
      </c>
      <c r="M269" s="23">
        <f>IF($C269="","",INDEX(인턴근무계획!$O$3:$O$402,$A269)&amp;"")</f>
        <v/>
      </c>
      <c r="N269" s="23">
        <f>IF($C269="","",INDEX(인턴근무계획!$P$3:$P$402,$A269)&amp;"")</f>
        <v/>
      </c>
      <c r="O269" s="23">
        <f>IF($C269="","",INDEX(인턴근무계획!$Q$3:$Q$402,$A269)&amp;"")</f>
        <v/>
      </c>
      <c r="P269" s="23">
        <f>IF($C269="","",INDEX(인턴근무계획!$R$3:$R$402,$A269)&amp;"")</f>
        <v/>
      </c>
      <c r="Q269" s="23">
        <f>IF($C269="","",INDEX(인턴근무계획!$T$3:$T$402,$A269))</f>
        <v/>
      </c>
    </row>
    <row r="270">
      <c r="A270" s="26" t="n">
        <v>265</v>
      </c>
      <c r="B270" s="23">
        <f>IF($C270="","",INDEX(인턴근무계획!$B$3:$B$402,$A270))</f>
        <v/>
      </c>
      <c r="C270" s="23">
        <f>IFERROR(TRIM(INDEX(인턴근무계획!$C$3:$C$402,$A270)&amp;""),"")</f>
        <v/>
      </c>
      <c r="D270" s="23">
        <f>IF($C270="","",INDEX(인턴근무계획!$D$3:$D$402,$A270))</f>
        <v/>
      </c>
      <c r="E270" s="23">
        <f>IF($C270="","",IF(IFERROR(MATCH($D270,기본자료!$B$2:$B$1001,0),IFERROR(MATCH($D270&amp;"",기본자료!$B$2:$B$1001,0),IFERROR(MATCH(VALUE($D270),기본자료!$B$2:$B$1001,0),0)))&gt;0,"확인","미등록"))</f>
        <v/>
      </c>
      <c r="F270" s="27">
        <f>IF($C270="","",INDEX(인턴근무계획!$S$3:$S$402,$A270))</f>
        <v/>
      </c>
      <c r="G270" s="23">
        <f>IF(OR($C270="",$G$3=""),"",IF(INDEX(인턴근무계획!$M$3:$R$402,$A270,$G$3)&amp;""="","",IF(LEFT(INDEX(인턴근무계획!$M$3:$R$402,$A270,$G$3)&amp;"",1)="⚠",INDEX(인턴근무계획!$M$3:$R$402,$A270,$G$3)&amp;"",LEFT(INDEX(인턴근무계획!$M$3:$R$402,$A270,$G$3)&amp;"",FIND(" ",INDEX(인턴근무계획!$M$3:$R$402,$A270,$G$3)&amp;"")-1))))</f>
        <v/>
      </c>
      <c r="H270" s="23">
        <f>IF(OR($C270="",$G$3=""),"",IF(INDEX(인턴근무계획!$M$3:$R$402,$A270,$G$3)&amp;""="","",IF(LEFT(INDEX(인턴근무계획!$M$3:$R$402,$A270,$G$3)&amp;"",1)="⚠","",MID(INDEX(인턴근무계획!$M$3:$R$402,$A270,$G$3)&amp;"",FIND(" ",INDEX(인턴근무계획!$M$3:$R$402,$A270,$G$3)&amp;"")+1,60))))</f>
        <v/>
      </c>
      <c r="I270" s="23">
        <f>IF(OR($C270="",$I$3=""),"",IF(INDEX(인턴근무계획!$M$3:$R$402,$A270,$I$3)&amp;""="","",IF(LEFT(INDEX(인턴근무계획!$M$3:$R$402,$A270,$I$3)&amp;"",1)="⚠",INDEX(인턴근무계획!$M$3:$R$402,$A270,$I$3)&amp;"",LEFT(INDEX(인턴근무계획!$M$3:$R$402,$A270,$I$3)&amp;"",FIND(" ",INDEX(인턴근무계획!$M$3:$R$402,$A270,$I$3)&amp;"")-1))))</f>
        <v/>
      </c>
      <c r="J270" s="23">
        <f>IF(OR($C270="",$I$3=""),"",IF(INDEX(인턴근무계획!$M$3:$R$402,$A270,$I$3)&amp;""="","",IF(LEFT(INDEX(인턴근무계획!$M$3:$R$402,$A270,$I$3)&amp;"",1)="⚠","",MID(INDEX(인턴근무계획!$M$3:$R$402,$A270,$I$3)&amp;"",FIND(" ",INDEX(인턴근무계획!$M$3:$R$402,$A270,$I$3)&amp;"")+1,60))))</f>
        <v/>
      </c>
      <c r="K270" s="23">
        <f>IF($C270="","",INDEX(인턴근무계획!$M$3:$M$402,$A270)&amp;"")</f>
        <v/>
      </c>
      <c r="L270" s="23">
        <f>IF($C270="","",INDEX(인턴근무계획!$N$3:$N$402,$A270)&amp;"")</f>
        <v/>
      </c>
      <c r="M270" s="23">
        <f>IF($C270="","",INDEX(인턴근무계획!$O$3:$O$402,$A270)&amp;"")</f>
        <v/>
      </c>
      <c r="N270" s="23">
        <f>IF($C270="","",INDEX(인턴근무계획!$P$3:$P$402,$A270)&amp;"")</f>
        <v/>
      </c>
      <c r="O270" s="23">
        <f>IF($C270="","",INDEX(인턴근무계획!$Q$3:$Q$402,$A270)&amp;"")</f>
        <v/>
      </c>
      <c r="P270" s="23">
        <f>IF($C270="","",INDEX(인턴근무계획!$R$3:$R$402,$A270)&amp;"")</f>
        <v/>
      </c>
      <c r="Q270" s="23">
        <f>IF($C270="","",INDEX(인턴근무계획!$T$3:$T$402,$A270))</f>
        <v/>
      </c>
    </row>
    <row r="271">
      <c r="A271" s="26" t="n">
        <v>266</v>
      </c>
      <c r="B271" s="23">
        <f>IF($C271="","",INDEX(인턴근무계획!$B$3:$B$402,$A271))</f>
        <v/>
      </c>
      <c r="C271" s="23">
        <f>IFERROR(TRIM(INDEX(인턴근무계획!$C$3:$C$402,$A271)&amp;""),"")</f>
        <v/>
      </c>
      <c r="D271" s="23">
        <f>IF($C271="","",INDEX(인턴근무계획!$D$3:$D$402,$A271))</f>
        <v/>
      </c>
      <c r="E271" s="23">
        <f>IF($C271="","",IF(IFERROR(MATCH($D271,기본자료!$B$2:$B$1001,0),IFERROR(MATCH($D271&amp;"",기본자료!$B$2:$B$1001,0),IFERROR(MATCH(VALUE($D271),기본자료!$B$2:$B$1001,0),0)))&gt;0,"확인","미등록"))</f>
        <v/>
      </c>
      <c r="F271" s="27">
        <f>IF($C271="","",INDEX(인턴근무계획!$S$3:$S$402,$A271))</f>
        <v/>
      </c>
      <c r="G271" s="23">
        <f>IF(OR($C271="",$G$3=""),"",IF(INDEX(인턴근무계획!$M$3:$R$402,$A271,$G$3)&amp;""="","",IF(LEFT(INDEX(인턴근무계획!$M$3:$R$402,$A271,$G$3)&amp;"",1)="⚠",INDEX(인턴근무계획!$M$3:$R$402,$A271,$G$3)&amp;"",LEFT(INDEX(인턴근무계획!$M$3:$R$402,$A271,$G$3)&amp;"",FIND(" ",INDEX(인턴근무계획!$M$3:$R$402,$A271,$G$3)&amp;"")-1))))</f>
        <v/>
      </c>
      <c r="H271" s="23">
        <f>IF(OR($C271="",$G$3=""),"",IF(INDEX(인턴근무계획!$M$3:$R$402,$A271,$G$3)&amp;""="","",IF(LEFT(INDEX(인턴근무계획!$M$3:$R$402,$A271,$G$3)&amp;"",1)="⚠","",MID(INDEX(인턴근무계획!$M$3:$R$402,$A271,$G$3)&amp;"",FIND(" ",INDEX(인턴근무계획!$M$3:$R$402,$A271,$G$3)&amp;"")+1,60))))</f>
        <v/>
      </c>
      <c r="I271" s="23">
        <f>IF(OR($C271="",$I$3=""),"",IF(INDEX(인턴근무계획!$M$3:$R$402,$A271,$I$3)&amp;""="","",IF(LEFT(INDEX(인턴근무계획!$M$3:$R$402,$A271,$I$3)&amp;"",1)="⚠",INDEX(인턴근무계획!$M$3:$R$402,$A271,$I$3)&amp;"",LEFT(INDEX(인턴근무계획!$M$3:$R$402,$A271,$I$3)&amp;"",FIND(" ",INDEX(인턴근무계획!$M$3:$R$402,$A271,$I$3)&amp;"")-1))))</f>
        <v/>
      </c>
      <c r="J271" s="23">
        <f>IF(OR($C271="",$I$3=""),"",IF(INDEX(인턴근무계획!$M$3:$R$402,$A271,$I$3)&amp;""="","",IF(LEFT(INDEX(인턴근무계획!$M$3:$R$402,$A271,$I$3)&amp;"",1)="⚠","",MID(INDEX(인턴근무계획!$M$3:$R$402,$A271,$I$3)&amp;"",FIND(" ",INDEX(인턴근무계획!$M$3:$R$402,$A271,$I$3)&amp;"")+1,60))))</f>
        <v/>
      </c>
      <c r="K271" s="23">
        <f>IF($C271="","",INDEX(인턴근무계획!$M$3:$M$402,$A271)&amp;"")</f>
        <v/>
      </c>
      <c r="L271" s="23">
        <f>IF($C271="","",INDEX(인턴근무계획!$N$3:$N$402,$A271)&amp;"")</f>
        <v/>
      </c>
      <c r="M271" s="23">
        <f>IF($C271="","",INDEX(인턴근무계획!$O$3:$O$402,$A271)&amp;"")</f>
        <v/>
      </c>
      <c r="N271" s="23">
        <f>IF($C271="","",INDEX(인턴근무계획!$P$3:$P$402,$A271)&amp;"")</f>
        <v/>
      </c>
      <c r="O271" s="23">
        <f>IF($C271="","",INDEX(인턴근무계획!$Q$3:$Q$402,$A271)&amp;"")</f>
        <v/>
      </c>
      <c r="P271" s="23">
        <f>IF($C271="","",INDEX(인턴근무계획!$R$3:$R$402,$A271)&amp;"")</f>
        <v/>
      </c>
      <c r="Q271" s="23">
        <f>IF($C271="","",INDEX(인턴근무계획!$T$3:$T$402,$A271))</f>
        <v/>
      </c>
    </row>
    <row r="272">
      <c r="A272" s="26" t="n">
        <v>267</v>
      </c>
      <c r="B272" s="23">
        <f>IF($C272="","",INDEX(인턴근무계획!$B$3:$B$402,$A272))</f>
        <v/>
      </c>
      <c r="C272" s="23">
        <f>IFERROR(TRIM(INDEX(인턴근무계획!$C$3:$C$402,$A272)&amp;""),"")</f>
        <v/>
      </c>
      <c r="D272" s="23">
        <f>IF($C272="","",INDEX(인턴근무계획!$D$3:$D$402,$A272))</f>
        <v/>
      </c>
      <c r="E272" s="23">
        <f>IF($C272="","",IF(IFERROR(MATCH($D272,기본자료!$B$2:$B$1001,0),IFERROR(MATCH($D272&amp;"",기본자료!$B$2:$B$1001,0),IFERROR(MATCH(VALUE($D272),기본자료!$B$2:$B$1001,0),0)))&gt;0,"확인","미등록"))</f>
        <v/>
      </c>
      <c r="F272" s="27">
        <f>IF($C272="","",INDEX(인턴근무계획!$S$3:$S$402,$A272))</f>
        <v/>
      </c>
      <c r="G272" s="23">
        <f>IF(OR($C272="",$G$3=""),"",IF(INDEX(인턴근무계획!$M$3:$R$402,$A272,$G$3)&amp;""="","",IF(LEFT(INDEX(인턴근무계획!$M$3:$R$402,$A272,$G$3)&amp;"",1)="⚠",INDEX(인턴근무계획!$M$3:$R$402,$A272,$G$3)&amp;"",LEFT(INDEX(인턴근무계획!$M$3:$R$402,$A272,$G$3)&amp;"",FIND(" ",INDEX(인턴근무계획!$M$3:$R$402,$A272,$G$3)&amp;"")-1))))</f>
        <v/>
      </c>
      <c r="H272" s="23">
        <f>IF(OR($C272="",$G$3=""),"",IF(INDEX(인턴근무계획!$M$3:$R$402,$A272,$G$3)&amp;""="","",IF(LEFT(INDEX(인턴근무계획!$M$3:$R$402,$A272,$G$3)&amp;"",1)="⚠","",MID(INDEX(인턴근무계획!$M$3:$R$402,$A272,$G$3)&amp;"",FIND(" ",INDEX(인턴근무계획!$M$3:$R$402,$A272,$G$3)&amp;"")+1,60))))</f>
        <v/>
      </c>
      <c r="I272" s="23">
        <f>IF(OR($C272="",$I$3=""),"",IF(INDEX(인턴근무계획!$M$3:$R$402,$A272,$I$3)&amp;""="","",IF(LEFT(INDEX(인턴근무계획!$M$3:$R$402,$A272,$I$3)&amp;"",1)="⚠",INDEX(인턴근무계획!$M$3:$R$402,$A272,$I$3)&amp;"",LEFT(INDEX(인턴근무계획!$M$3:$R$402,$A272,$I$3)&amp;"",FIND(" ",INDEX(인턴근무계획!$M$3:$R$402,$A272,$I$3)&amp;"")-1))))</f>
        <v/>
      </c>
      <c r="J272" s="23">
        <f>IF(OR($C272="",$I$3=""),"",IF(INDEX(인턴근무계획!$M$3:$R$402,$A272,$I$3)&amp;""="","",IF(LEFT(INDEX(인턴근무계획!$M$3:$R$402,$A272,$I$3)&amp;"",1)="⚠","",MID(INDEX(인턴근무계획!$M$3:$R$402,$A272,$I$3)&amp;"",FIND(" ",INDEX(인턴근무계획!$M$3:$R$402,$A272,$I$3)&amp;"")+1,60))))</f>
        <v/>
      </c>
      <c r="K272" s="23">
        <f>IF($C272="","",INDEX(인턴근무계획!$M$3:$M$402,$A272)&amp;"")</f>
        <v/>
      </c>
      <c r="L272" s="23">
        <f>IF($C272="","",INDEX(인턴근무계획!$N$3:$N$402,$A272)&amp;"")</f>
        <v/>
      </c>
      <c r="M272" s="23">
        <f>IF($C272="","",INDEX(인턴근무계획!$O$3:$O$402,$A272)&amp;"")</f>
        <v/>
      </c>
      <c r="N272" s="23">
        <f>IF($C272="","",INDEX(인턴근무계획!$P$3:$P$402,$A272)&amp;"")</f>
        <v/>
      </c>
      <c r="O272" s="23">
        <f>IF($C272="","",INDEX(인턴근무계획!$Q$3:$Q$402,$A272)&amp;"")</f>
        <v/>
      </c>
      <c r="P272" s="23">
        <f>IF($C272="","",INDEX(인턴근무계획!$R$3:$R$402,$A272)&amp;"")</f>
        <v/>
      </c>
      <c r="Q272" s="23">
        <f>IF($C272="","",INDEX(인턴근무계획!$T$3:$T$402,$A272))</f>
        <v/>
      </c>
    </row>
    <row r="273">
      <c r="A273" s="26" t="n">
        <v>268</v>
      </c>
      <c r="B273" s="23">
        <f>IF($C273="","",INDEX(인턴근무계획!$B$3:$B$402,$A273))</f>
        <v/>
      </c>
      <c r="C273" s="23">
        <f>IFERROR(TRIM(INDEX(인턴근무계획!$C$3:$C$402,$A273)&amp;""),"")</f>
        <v/>
      </c>
      <c r="D273" s="23">
        <f>IF($C273="","",INDEX(인턴근무계획!$D$3:$D$402,$A273))</f>
        <v/>
      </c>
      <c r="E273" s="23">
        <f>IF($C273="","",IF(IFERROR(MATCH($D273,기본자료!$B$2:$B$1001,0),IFERROR(MATCH($D273&amp;"",기본자료!$B$2:$B$1001,0),IFERROR(MATCH(VALUE($D273),기본자료!$B$2:$B$1001,0),0)))&gt;0,"확인","미등록"))</f>
        <v/>
      </c>
      <c r="F273" s="27">
        <f>IF($C273="","",INDEX(인턴근무계획!$S$3:$S$402,$A273))</f>
        <v/>
      </c>
      <c r="G273" s="23">
        <f>IF(OR($C273="",$G$3=""),"",IF(INDEX(인턴근무계획!$M$3:$R$402,$A273,$G$3)&amp;""="","",IF(LEFT(INDEX(인턴근무계획!$M$3:$R$402,$A273,$G$3)&amp;"",1)="⚠",INDEX(인턴근무계획!$M$3:$R$402,$A273,$G$3)&amp;"",LEFT(INDEX(인턴근무계획!$M$3:$R$402,$A273,$G$3)&amp;"",FIND(" ",INDEX(인턴근무계획!$M$3:$R$402,$A273,$G$3)&amp;"")-1))))</f>
        <v/>
      </c>
      <c r="H273" s="23">
        <f>IF(OR($C273="",$G$3=""),"",IF(INDEX(인턴근무계획!$M$3:$R$402,$A273,$G$3)&amp;""="","",IF(LEFT(INDEX(인턴근무계획!$M$3:$R$402,$A273,$G$3)&amp;"",1)="⚠","",MID(INDEX(인턴근무계획!$M$3:$R$402,$A273,$G$3)&amp;"",FIND(" ",INDEX(인턴근무계획!$M$3:$R$402,$A273,$G$3)&amp;"")+1,60))))</f>
        <v/>
      </c>
      <c r="I273" s="23">
        <f>IF(OR($C273="",$I$3=""),"",IF(INDEX(인턴근무계획!$M$3:$R$402,$A273,$I$3)&amp;""="","",IF(LEFT(INDEX(인턴근무계획!$M$3:$R$402,$A273,$I$3)&amp;"",1)="⚠",INDEX(인턴근무계획!$M$3:$R$402,$A273,$I$3)&amp;"",LEFT(INDEX(인턴근무계획!$M$3:$R$402,$A273,$I$3)&amp;"",FIND(" ",INDEX(인턴근무계획!$M$3:$R$402,$A273,$I$3)&amp;"")-1))))</f>
        <v/>
      </c>
      <c r="J273" s="23">
        <f>IF(OR($C273="",$I$3=""),"",IF(INDEX(인턴근무계획!$M$3:$R$402,$A273,$I$3)&amp;""="","",IF(LEFT(INDEX(인턴근무계획!$M$3:$R$402,$A273,$I$3)&amp;"",1)="⚠","",MID(INDEX(인턴근무계획!$M$3:$R$402,$A273,$I$3)&amp;"",FIND(" ",INDEX(인턴근무계획!$M$3:$R$402,$A273,$I$3)&amp;"")+1,60))))</f>
        <v/>
      </c>
      <c r="K273" s="23">
        <f>IF($C273="","",INDEX(인턴근무계획!$M$3:$M$402,$A273)&amp;"")</f>
        <v/>
      </c>
      <c r="L273" s="23">
        <f>IF($C273="","",INDEX(인턴근무계획!$N$3:$N$402,$A273)&amp;"")</f>
        <v/>
      </c>
      <c r="M273" s="23">
        <f>IF($C273="","",INDEX(인턴근무계획!$O$3:$O$402,$A273)&amp;"")</f>
        <v/>
      </c>
      <c r="N273" s="23">
        <f>IF($C273="","",INDEX(인턴근무계획!$P$3:$P$402,$A273)&amp;"")</f>
        <v/>
      </c>
      <c r="O273" s="23">
        <f>IF($C273="","",INDEX(인턴근무계획!$Q$3:$Q$402,$A273)&amp;"")</f>
        <v/>
      </c>
      <c r="P273" s="23">
        <f>IF($C273="","",INDEX(인턴근무계획!$R$3:$R$402,$A273)&amp;"")</f>
        <v/>
      </c>
      <c r="Q273" s="23">
        <f>IF($C273="","",INDEX(인턴근무계획!$T$3:$T$402,$A273))</f>
        <v/>
      </c>
    </row>
    <row r="274">
      <c r="A274" s="26" t="n">
        <v>269</v>
      </c>
      <c r="B274" s="23">
        <f>IF($C274="","",INDEX(인턴근무계획!$B$3:$B$402,$A274))</f>
        <v/>
      </c>
      <c r="C274" s="23">
        <f>IFERROR(TRIM(INDEX(인턴근무계획!$C$3:$C$402,$A274)&amp;""),"")</f>
        <v/>
      </c>
      <c r="D274" s="23">
        <f>IF($C274="","",INDEX(인턴근무계획!$D$3:$D$402,$A274))</f>
        <v/>
      </c>
      <c r="E274" s="23">
        <f>IF($C274="","",IF(IFERROR(MATCH($D274,기본자료!$B$2:$B$1001,0),IFERROR(MATCH($D274&amp;"",기본자료!$B$2:$B$1001,0),IFERROR(MATCH(VALUE($D274),기본자료!$B$2:$B$1001,0),0)))&gt;0,"확인","미등록"))</f>
        <v/>
      </c>
      <c r="F274" s="27">
        <f>IF($C274="","",INDEX(인턴근무계획!$S$3:$S$402,$A274))</f>
        <v/>
      </c>
      <c r="G274" s="23">
        <f>IF(OR($C274="",$G$3=""),"",IF(INDEX(인턴근무계획!$M$3:$R$402,$A274,$G$3)&amp;""="","",IF(LEFT(INDEX(인턴근무계획!$M$3:$R$402,$A274,$G$3)&amp;"",1)="⚠",INDEX(인턴근무계획!$M$3:$R$402,$A274,$G$3)&amp;"",LEFT(INDEX(인턴근무계획!$M$3:$R$402,$A274,$G$3)&amp;"",FIND(" ",INDEX(인턴근무계획!$M$3:$R$402,$A274,$G$3)&amp;"")-1))))</f>
        <v/>
      </c>
      <c r="H274" s="23">
        <f>IF(OR($C274="",$G$3=""),"",IF(INDEX(인턴근무계획!$M$3:$R$402,$A274,$G$3)&amp;""="","",IF(LEFT(INDEX(인턴근무계획!$M$3:$R$402,$A274,$G$3)&amp;"",1)="⚠","",MID(INDEX(인턴근무계획!$M$3:$R$402,$A274,$G$3)&amp;"",FIND(" ",INDEX(인턴근무계획!$M$3:$R$402,$A274,$G$3)&amp;"")+1,60))))</f>
        <v/>
      </c>
      <c r="I274" s="23">
        <f>IF(OR($C274="",$I$3=""),"",IF(INDEX(인턴근무계획!$M$3:$R$402,$A274,$I$3)&amp;""="","",IF(LEFT(INDEX(인턴근무계획!$M$3:$R$402,$A274,$I$3)&amp;"",1)="⚠",INDEX(인턴근무계획!$M$3:$R$402,$A274,$I$3)&amp;"",LEFT(INDEX(인턴근무계획!$M$3:$R$402,$A274,$I$3)&amp;"",FIND(" ",INDEX(인턴근무계획!$M$3:$R$402,$A274,$I$3)&amp;"")-1))))</f>
        <v/>
      </c>
      <c r="J274" s="23">
        <f>IF(OR($C274="",$I$3=""),"",IF(INDEX(인턴근무계획!$M$3:$R$402,$A274,$I$3)&amp;""="","",IF(LEFT(INDEX(인턴근무계획!$M$3:$R$402,$A274,$I$3)&amp;"",1)="⚠","",MID(INDEX(인턴근무계획!$M$3:$R$402,$A274,$I$3)&amp;"",FIND(" ",INDEX(인턴근무계획!$M$3:$R$402,$A274,$I$3)&amp;"")+1,60))))</f>
        <v/>
      </c>
      <c r="K274" s="23">
        <f>IF($C274="","",INDEX(인턴근무계획!$M$3:$M$402,$A274)&amp;"")</f>
        <v/>
      </c>
      <c r="L274" s="23">
        <f>IF($C274="","",INDEX(인턴근무계획!$N$3:$N$402,$A274)&amp;"")</f>
        <v/>
      </c>
      <c r="M274" s="23">
        <f>IF($C274="","",INDEX(인턴근무계획!$O$3:$O$402,$A274)&amp;"")</f>
        <v/>
      </c>
      <c r="N274" s="23">
        <f>IF($C274="","",INDEX(인턴근무계획!$P$3:$P$402,$A274)&amp;"")</f>
        <v/>
      </c>
      <c r="O274" s="23">
        <f>IF($C274="","",INDEX(인턴근무계획!$Q$3:$Q$402,$A274)&amp;"")</f>
        <v/>
      </c>
      <c r="P274" s="23">
        <f>IF($C274="","",INDEX(인턴근무계획!$R$3:$R$402,$A274)&amp;"")</f>
        <v/>
      </c>
      <c r="Q274" s="23">
        <f>IF($C274="","",INDEX(인턴근무계획!$T$3:$T$402,$A274))</f>
        <v/>
      </c>
    </row>
    <row r="275">
      <c r="A275" s="26" t="n">
        <v>270</v>
      </c>
      <c r="B275" s="23">
        <f>IF($C275="","",INDEX(인턴근무계획!$B$3:$B$402,$A275))</f>
        <v/>
      </c>
      <c r="C275" s="23">
        <f>IFERROR(TRIM(INDEX(인턴근무계획!$C$3:$C$402,$A275)&amp;""),"")</f>
        <v/>
      </c>
      <c r="D275" s="23">
        <f>IF($C275="","",INDEX(인턴근무계획!$D$3:$D$402,$A275))</f>
        <v/>
      </c>
      <c r="E275" s="23">
        <f>IF($C275="","",IF(IFERROR(MATCH($D275,기본자료!$B$2:$B$1001,0),IFERROR(MATCH($D275&amp;"",기본자료!$B$2:$B$1001,0),IFERROR(MATCH(VALUE($D275),기본자료!$B$2:$B$1001,0),0)))&gt;0,"확인","미등록"))</f>
        <v/>
      </c>
      <c r="F275" s="27">
        <f>IF($C275="","",INDEX(인턴근무계획!$S$3:$S$402,$A275))</f>
        <v/>
      </c>
      <c r="G275" s="23">
        <f>IF(OR($C275="",$G$3=""),"",IF(INDEX(인턴근무계획!$M$3:$R$402,$A275,$G$3)&amp;""="","",IF(LEFT(INDEX(인턴근무계획!$M$3:$R$402,$A275,$G$3)&amp;"",1)="⚠",INDEX(인턴근무계획!$M$3:$R$402,$A275,$G$3)&amp;"",LEFT(INDEX(인턴근무계획!$M$3:$R$402,$A275,$G$3)&amp;"",FIND(" ",INDEX(인턴근무계획!$M$3:$R$402,$A275,$G$3)&amp;"")-1))))</f>
        <v/>
      </c>
      <c r="H275" s="23">
        <f>IF(OR($C275="",$G$3=""),"",IF(INDEX(인턴근무계획!$M$3:$R$402,$A275,$G$3)&amp;""="","",IF(LEFT(INDEX(인턴근무계획!$M$3:$R$402,$A275,$G$3)&amp;"",1)="⚠","",MID(INDEX(인턴근무계획!$M$3:$R$402,$A275,$G$3)&amp;"",FIND(" ",INDEX(인턴근무계획!$M$3:$R$402,$A275,$G$3)&amp;"")+1,60))))</f>
        <v/>
      </c>
      <c r="I275" s="23">
        <f>IF(OR($C275="",$I$3=""),"",IF(INDEX(인턴근무계획!$M$3:$R$402,$A275,$I$3)&amp;""="","",IF(LEFT(INDEX(인턴근무계획!$M$3:$R$402,$A275,$I$3)&amp;"",1)="⚠",INDEX(인턴근무계획!$M$3:$R$402,$A275,$I$3)&amp;"",LEFT(INDEX(인턴근무계획!$M$3:$R$402,$A275,$I$3)&amp;"",FIND(" ",INDEX(인턴근무계획!$M$3:$R$402,$A275,$I$3)&amp;"")-1))))</f>
        <v/>
      </c>
      <c r="J275" s="23">
        <f>IF(OR($C275="",$I$3=""),"",IF(INDEX(인턴근무계획!$M$3:$R$402,$A275,$I$3)&amp;""="","",IF(LEFT(INDEX(인턴근무계획!$M$3:$R$402,$A275,$I$3)&amp;"",1)="⚠","",MID(INDEX(인턴근무계획!$M$3:$R$402,$A275,$I$3)&amp;"",FIND(" ",INDEX(인턴근무계획!$M$3:$R$402,$A275,$I$3)&amp;"")+1,60))))</f>
        <v/>
      </c>
      <c r="K275" s="23">
        <f>IF($C275="","",INDEX(인턴근무계획!$M$3:$M$402,$A275)&amp;"")</f>
        <v/>
      </c>
      <c r="L275" s="23">
        <f>IF($C275="","",INDEX(인턴근무계획!$N$3:$N$402,$A275)&amp;"")</f>
        <v/>
      </c>
      <c r="M275" s="23">
        <f>IF($C275="","",INDEX(인턴근무계획!$O$3:$O$402,$A275)&amp;"")</f>
        <v/>
      </c>
      <c r="N275" s="23">
        <f>IF($C275="","",INDEX(인턴근무계획!$P$3:$P$402,$A275)&amp;"")</f>
        <v/>
      </c>
      <c r="O275" s="23">
        <f>IF($C275="","",INDEX(인턴근무계획!$Q$3:$Q$402,$A275)&amp;"")</f>
        <v/>
      </c>
      <c r="P275" s="23">
        <f>IF($C275="","",INDEX(인턴근무계획!$R$3:$R$402,$A275)&amp;"")</f>
        <v/>
      </c>
      <c r="Q275" s="23">
        <f>IF($C275="","",INDEX(인턴근무계획!$T$3:$T$402,$A275))</f>
        <v/>
      </c>
    </row>
    <row r="276">
      <c r="A276" s="26" t="n">
        <v>271</v>
      </c>
      <c r="B276" s="23">
        <f>IF($C276="","",INDEX(인턴근무계획!$B$3:$B$402,$A276))</f>
        <v/>
      </c>
      <c r="C276" s="23">
        <f>IFERROR(TRIM(INDEX(인턴근무계획!$C$3:$C$402,$A276)&amp;""),"")</f>
        <v/>
      </c>
      <c r="D276" s="23">
        <f>IF($C276="","",INDEX(인턴근무계획!$D$3:$D$402,$A276))</f>
        <v/>
      </c>
      <c r="E276" s="23">
        <f>IF($C276="","",IF(IFERROR(MATCH($D276,기본자료!$B$2:$B$1001,0),IFERROR(MATCH($D276&amp;"",기본자료!$B$2:$B$1001,0),IFERROR(MATCH(VALUE($D276),기본자료!$B$2:$B$1001,0),0)))&gt;0,"확인","미등록"))</f>
        <v/>
      </c>
      <c r="F276" s="27">
        <f>IF($C276="","",INDEX(인턴근무계획!$S$3:$S$402,$A276))</f>
        <v/>
      </c>
      <c r="G276" s="23">
        <f>IF(OR($C276="",$G$3=""),"",IF(INDEX(인턴근무계획!$M$3:$R$402,$A276,$G$3)&amp;""="","",IF(LEFT(INDEX(인턴근무계획!$M$3:$R$402,$A276,$G$3)&amp;"",1)="⚠",INDEX(인턴근무계획!$M$3:$R$402,$A276,$G$3)&amp;"",LEFT(INDEX(인턴근무계획!$M$3:$R$402,$A276,$G$3)&amp;"",FIND(" ",INDEX(인턴근무계획!$M$3:$R$402,$A276,$G$3)&amp;"")-1))))</f>
        <v/>
      </c>
      <c r="H276" s="23">
        <f>IF(OR($C276="",$G$3=""),"",IF(INDEX(인턴근무계획!$M$3:$R$402,$A276,$G$3)&amp;""="","",IF(LEFT(INDEX(인턴근무계획!$M$3:$R$402,$A276,$G$3)&amp;"",1)="⚠","",MID(INDEX(인턴근무계획!$M$3:$R$402,$A276,$G$3)&amp;"",FIND(" ",INDEX(인턴근무계획!$M$3:$R$402,$A276,$G$3)&amp;"")+1,60))))</f>
        <v/>
      </c>
      <c r="I276" s="23">
        <f>IF(OR($C276="",$I$3=""),"",IF(INDEX(인턴근무계획!$M$3:$R$402,$A276,$I$3)&amp;""="","",IF(LEFT(INDEX(인턴근무계획!$M$3:$R$402,$A276,$I$3)&amp;"",1)="⚠",INDEX(인턴근무계획!$M$3:$R$402,$A276,$I$3)&amp;"",LEFT(INDEX(인턴근무계획!$M$3:$R$402,$A276,$I$3)&amp;"",FIND(" ",INDEX(인턴근무계획!$M$3:$R$402,$A276,$I$3)&amp;"")-1))))</f>
        <v/>
      </c>
      <c r="J276" s="23">
        <f>IF(OR($C276="",$I$3=""),"",IF(INDEX(인턴근무계획!$M$3:$R$402,$A276,$I$3)&amp;""="","",IF(LEFT(INDEX(인턴근무계획!$M$3:$R$402,$A276,$I$3)&amp;"",1)="⚠","",MID(INDEX(인턴근무계획!$M$3:$R$402,$A276,$I$3)&amp;"",FIND(" ",INDEX(인턴근무계획!$M$3:$R$402,$A276,$I$3)&amp;"")+1,60))))</f>
        <v/>
      </c>
      <c r="K276" s="23">
        <f>IF($C276="","",INDEX(인턴근무계획!$M$3:$M$402,$A276)&amp;"")</f>
        <v/>
      </c>
      <c r="L276" s="23">
        <f>IF($C276="","",INDEX(인턴근무계획!$N$3:$N$402,$A276)&amp;"")</f>
        <v/>
      </c>
      <c r="M276" s="23">
        <f>IF($C276="","",INDEX(인턴근무계획!$O$3:$O$402,$A276)&amp;"")</f>
        <v/>
      </c>
      <c r="N276" s="23">
        <f>IF($C276="","",INDEX(인턴근무계획!$P$3:$P$402,$A276)&amp;"")</f>
        <v/>
      </c>
      <c r="O276" s="23">
        <f>IF($C276="","",INDEX(인턴근무계획!$Q$3:$Q$402,$A276)&amp;"")</f>
        <v/>
      </c>
      <c r="P276" s="23">
        <f>IF($C276="","",INDEX(인턴근무계획!$R$3:$R$402,$A276)&amp;"")</f>
        <v/>
      </c>
      <c r="Q276" s="23">
        <f>IF($C276="","",INDEX(인턴근무계획!$T$3:$T$402,$A276))</f>
        <v/>
      </c>
    </row>
    <row r="277">
      <c r="A277" s="26" t="n">
        <v>272</v>
      </c>
      <c r="B277" s="23">
        <f>IF($C277="","",INDEX(인턴근무계획!$B$3:$B$402,$A277))</f>
        <v/>
      </c>
      <c r="C277" s="23">
        <f>IFERROR(TRIM(INDEX(인턴근무계획!$C$3:$C$402,$A277)&amp;""),"")</f>
        <v/>
      </c>
      <c r="D277" s="23">
        <f>IF($C277="","",INDEX(인턴근무계획!$D$3:$D$402,$A277))</f>
        <v/>
      </c>
      <c r="E277" s="23">
        <f>IF($C277="","",IF(IFERROR(MATCH($D277,기본자료!$B$2:$B$1001,0),IFERROR(MATCH($D277&amp;"",기본자료!$B$2:$B$1001,0),IFERROR(MATCH(VALUE($D277),기본자료!$B$2:$B$1001,0),0)))&gt;0,"확인","미등록"))</f>
        <v/>
      </c>
      <c r="F277" s="27">
        <f>IF($C277="","",INDEX(인턴근무계획!$S$3:$S$402,$A277))</f>
        <v/>
      </c>
      <c r="G277" s="23">
        <f>IF(OR($C277="",$G$3=""),"",IF(INDEX(인턴근무계획!$M$3:$R$402,$A277,$G$3)&amp;""="","",IF(LEFT(INDEX(인턴근무계획!$M$3:$R$402,$A277,$G$3)&amp;"",1)="⚠",INDEX(인턴근무계획!$M$3:$R$402,$A277,$G$3)&amp;"",LEFT(INDEX(인턴근무계획!$M$3:$R$402,$A277,$G$3)&amp;"",FIND(" ",INDEX(인턴근무계획!$M$3:$R$402,$A277,$G$3)&amp;"")-1))))</f>
        <v/>
      </c>
      <c r="H277" s="23">
        <f>IF(OR($C277="",$G$3=""),"",IF(INDEX(인턴근무계획!$M$3:$R$402,$A277,$G$3)&amp;""="","",IF(LEFT(INDEX(인턴근무계획!$M$3:$R$402,$A277,$G$3)&amp;"",1)="⚠","",MID(INDEX(인턴근무계획!$M$3:$R$402,$A277,$G$3)&amp;"",FIND(" ",INDEX(인턴근무계획!$M$3:$R$402,$A277,$G$3)&amp;"")+1,60))))</f>
        <v/>
      </c>
      <c r="I277" s="23">
        <f>IF(OR($C277="",$I$3=""),"",IF(INDEX(인턴근무계획!$M$3:$R$402,$A277,$I$3)&amp;""="","",IF(LEFT(INDEX(인턴근무계획!$M$3:$R$402,$A277,$I$3)&amp;"",1)="⚠",INDEX(인턴근무계획!$M$3:$R$402,$A277,$I$3)&amp;"",LEFT(INDEX(인턴근무계획!$M$3:$R$402,$A277,$I$3)&amp;"",FIND(" ",INDEX(인턴근무계획!$M$3:$R$402,$A277,$I$3)&amp;"")-1))))</f>
        <v/>
      </c>
      <c r="J277" s="23">
        <f>IF(OR($C277="",$I$3=""),"",IF(INDEX(인턴근무계획!$M$3:$R$402,$A277,$I$3)&amp;""="","",IF(LEFT(INDEX(인턴근무계획!$M$3:$R$402,$A277,$I$3)&amp;"",1)="⚠","",MID(INDEX(인턴근무계획!$M$3:$R$402,$A277,$I$3)&amp;"",FIND(" ",INDEX(인턴근무계획!$M$3:$R$402,$A277,$I$3)&amp;"")+1,60))))</f>
        <v/>
      </c>
      <c r="K277" s="23">
        <f>IF($C277="","",INDEX(인턴근무계획!$M$3:$M$402,$A277)&amp;"")</f>
        <v/>
      </c>
      <c r="L277" s="23">
        <f>IF($C277="","",INDEX(인턴근무계획!$N$3:$N$402,$A277)&amp;"")</f>
        <v/>
      </c>
      <c r="M277" s="23">
        <f>IF($C277="","",INDEX(인턴근무계획!$O$3:$O$402,$A277)&amp;"")</f>
        <v/>
      </c>
      <c r="N277" s="23">
        <f>IF($C277="","",INDEX(인턴근무계획!$P$3:$P$402,$A277)&amp;"")</f>
        <v/>
      </c>
      <c r="O277" s="23">
        <f>IF($C277="","",INDEX(인턴근무계획!$Q$3:$Q$402,$A277)&amp;"")</f>
        <v/>
      </c>
      <c r="P277" s="23">
        <f>IF($C277="","",INDEX(인턴근무계획!$R$3:$R$402,$A277)&amp;"")</f>
        <v/>
      </c>
      <c r="Q277" s="23">
        <f>IF($C277="","",INDEX(인턴근무계획!$T$3:$T$402,$A277))</f>
        <v/>
      </c>
    </row>
    <row r="278">
      <c r="A278" s="26" t="n">
        <v>273</v>
      </c>
      <c r="B278" s="23">
        <f>IF($C278="","",INDEX(인턴근무계획!$B$3:$B$402,$A278))</f>
        <v/>
      </c>
      <c r="C278" s="23">
        <f>IFERROR(TRIM(INDEX(인턴근무계획!$C$3:$C$402,$A278)&amp;""),"")</f>
        <v/>
      </c>
      <c r="D278" s="23">
        <f>IF($C278="","",INDEX(인턴근무계획!$D$3:$D$402,$A278))</f>
        <v/>
      </c>
      <c r="E278" s="23">
        <f>IF($C278="","",IF(IFERROR(MATCH($D278,기본자료!$B$2:$B$1001,0),IFERROR(MATCH($D278&amp;"",기본자료!$B$2:$B$1001,0),IFERROR(MATCH(VALUE($D278),기본자료!$B$2:$B$1001,0),0)))&gt;0,"확인","미등록"))</f>
        <v/>
      </c>
      <c r="F278" s="27">
        <f>IF($C278="","",INDEX(인턴근무계획!$S$3:$S$402,$A278))</f>
        <v/>
      </c>
      <c r="G278" s="23">
        <f>IF(OR($C278="",$G$3=""),"",IF(INDEX(인턴근무계획!$M$3:$R$402,$A278,$G$3)&amp;""="","",IF(LEFT(INDEX(인턴근무계획!$M$3:$R$402,$A278,$G$3)&amp;"",1)="⚠",INDEX(인턴근무계획!$M$3:$R$402,$A278,$G$3)&amp;"",LEFT(INDEX(인턴근무계획!$M$3:$R$402,$A278,$G$3)&amp;"",FIND(" ",INDEX(인턴근무계획!$M$3:$R$402,$A278,$G$3)&amp;"")-1))))</f>
        <v/>
      </c>
      <c r="H278" s="23">
        <f>IF(OR($C278="",$G$3=""),"",IF(INDEX(인턴근무계획!$M$3:$R$402,$A278,$G$3)&amp;""="","",IF(LEFT(INDEX(인턴근무계획!$M$3:$R$402,$A278,$G$3)&amp;"",1)="⚠","",MID(INDEX(인턴근무계획!$M$3:$R$402,$A278,$G$3)&amp;"",FIND(" ",INDEX(인턴근무계획!$M$3:$R$402,$A278,$G$3)&amp;"")+1,60))))</f>
        <v/>
      </c>
      <c r="I278" s="23">
        <f>IF(OR($C278="",$I$3=""),"",IF(INDEX(인턴근무계획!$M$3:$R$402,$A278,$I$3)&amp;""="","",IF(LEFT(INDEX(인턴근무계획!$M$3:$R$402,$A278,$I$3)&amp;"",1)="⚠",INDEX(인턴근무계획!$M$3:$R$402,$A278,$I$3)&amp;"",LEFT(INDEX(인턴근무계획!$M$3:$R$402,$A278,$I$3)&amp;"",FIND(" ",INDEX(인턴근무계획!$M$3:$R$402,$A278,$I$3)&amp;"")-1))))</f>
        <v/>
      </c>
      <c r="J278" s="23">
        <f>IF(OR($C278="",$I$3=""),"",IF(INDEX(인턴근무계획!$M$3:$R$402,$A278,$I$3)&amp;""="","",IF(LEFT(INDEX(인턴근무계획!$M$3:$R$402,$A278,$I$3)&amp;"",1)="⚠","",MID(INDEX(인턴근무계획!$M$3:$R$402,$A278,$I$3)&amp;"",FIND(" ",INDEX(인턴근무계획!$M$3:$R$402,$A278,$I$3)&amp;"")+1,60))))</f>
        <v/>
      </c>
      <c r="K278" s="23">
        <f>IF($C278="","",INDEX(인턴근무계획!$M$3:$M$402,$A278)&amp;"")</f>
        <v/>
      </c>
      <c r="L278" s="23">
        <f>IF($C278="","",INDEX(인턴근무계획!$N$3:$N$402,$A278)&amp;"")</f>
        <v/>
      </c>
      <c r="M278" s="23">
        <f>IF($C278="","",INDEX(인턴근무계획!$O$3:$O$402,$A278)&amp;"")</f>
        <v/>
      </c>
      <c r="N278" s="23">
        <f>IF($C278="","",INDEX(인턴근무계획!$P$3:$P$402,$A278)&amp;"")</f>
        <v/>
      </c>
      <c r="O278" s="23">
        <f>IF($C278="","",INDEX(인턴근무계획!$Q$3:$Q$402,$A278)&amp;"")</f>
        <v/>
      </c>
      <c r="P278" s="23">
        <f>IF($C278="","",INDEX(인턴근무계획!$R$3:$R$402,$A278)&amp;"")</f>
        <v/>
      </c>
      <c r="Q278" s="23">
        <f>IF($C278="","",INDEX(인턴근무계획!$T$3:$T$402,$A278))</f>
        <v/>
      </c>
    </row>
    <row r="279">
      <c r="A279" s="26" t="n">
        <v>274</v>
      </c>
      <c r="B279" s="23">
        <f>IF($C279="","",INDEX(인턴근무계획!$B$3:$B$402,$A279))</f>
        <v/>
      </c>
      <c r="C279" s="23">
        <f>IFERROR(TRIM(INDEX(인턴근무계획!$C$3:$C$402,$A279)&amp;""),"")</f>
        <v/>
      </c>
      <c r="D279" s="23">
        <f>IF($C279="","",INDEX(인턴근무계획!$D$3:$D$402,$A279))</f>
        <v/>
      </c>
      <c r="E279" s="23">
        <f>IF($C279="","",IF(IFERROR(MATCH($D279,기본자료!$B$2:$B$1001,0),IFERROR(MATCH($D279&amp;"",기본자료!$B$2:$B$1001,0),IFERROR(MATCH(VALUE($D279),기본자료!$B$2:$B$1001,0),0)))&gt;0,"확인","미등록"))</f>
        <v/>
      </c>
      <c r="F279" s="27">
        <f>IF($C279="","",INDEX(인턴근무계획!$S$3:$S$402,$A279))</f>
        <v/>
      </c>
      <c r="G279" s="23">
        <f>IF(OR($C279="",$G$3=""),"",IF(INDEX(인턴근무계획!$M$3:$R$402,$A279,$G$3)&amp;""="","",IF(LEFT(INDEX(인턴근무계획!$M$3:$R$402,$A279,$G$3)&amp;"",1)="⚠",INDEX(인턴근무계획!$M$3:$R$402,$A279,$G$3)&amp;"",LEFT(INDEX(인턴근무계획!$M$3:$R$402,$A279,$G$3)&amp;"",FIND(" ",INDEX(인턴근무계획!$M$3:$R$402,$A279,$G$3)&amp;"")-1))))</f>
        <v/>
      </c>
      <c r="H279" s="23">
        <f>IF(OR($C279="",$G$3=""),"",IF(INDEX(인턴근무계획!$M$3:$R$402,$A279,$G$3)&amp;""="","",IF(LEFT(INDEX(인턴근무계획!$M$3:$R$402,$A279,$G$3)&amp;"",1)="⚠","",MID(INDEX(인턴근무계획!$M$3:$R$402,$A279,$G$3)&amp;"",FIND(" ",INDEX(인턴근무계획!$M$3:$R$402,$A279,$G$3)&amp;"")+1,60))))</f>
        <v/>
      </c>
      <c r="I279" s="23">
        <f>IF(OR($C279="",$I$3=""),"",IF(INDEX(인턴근무계획!$M$3:$R$402,$A279,$I$3)&amp;""="","",IF(LEFT(INDEX(인턴근무계획!$M$3:$R$402,$A279,$I$3)&amp;"",1)="⚠",INDEX(인턴근무계획!$M$3:$R$402,$A279,$I$3)&amp;"",LEFT(INDEX(인턴근무계획!$M$3:$R$402,$A279,$I$3)&amp;"",FIND(" ",INDEX(인턴근무계획!$M$3:$R$402,$A279,$I$3)&amp;"")-1))))</f>
        <v/>
      </c>
      <c r="J279" s="23">
        <f>IF(OR($C279="",$I$3=""),"",IF(INDEX(인턴근무계획!$M$3:$R$402,$A279,$I$3)&amp;""="","",IF(LEFT(INDEX(인턴근무계획!$M$3:$R$402,$A279,$I$3)&amp;"",1)="⚠","",MID(INDEX(인턴근무계획!$M$3:$R$402,$A279,$I$3)&amp;"",FIND(" ",INDEX(인턴근무계획!$M$3:$R$402,$A279,$I$3)&amp;"")+1,60))))</f>
        <v/>
      </c>
      <c r="K279" s="23">
        <f>IF($C279="","",INDEX(인턴근무계획!$M$3:$M$402,$A279)&amp;"")</f>
        <v/>
      </c>
      <c r="L279" s="23">
        <f>IF($C279="","",INDEX(인턴근무계획!$N$3:$N$402,$A279)&amp;"")</f>
        <v/>
      </c>
      <c r="M279" s="23">
        <f>IF($C279="","",INDEX(인턴근무계획!$O$3:$O$402,$A279)&amp;"")</f>
        <v/>
      </c>
      <c r="N279" s="23">
        <f>IF($C279="","",INDEX(인턴근무계획!$P$3:$P$402,$A279)&amp;"")</f>
        <v/>
      </c>
      <c r="O279" s="23">
        <f>IF($C279="","",INDEX(인턴근무계획!$Q$3:$Q$402,$A279)&amp;"")</f>
        <v/>
      </c>
      <c r="P279" s="23">
        <f>IF($C279="","",INDEX(인턴근무계획!$R$3:$R$402,$A279)&amp;"")</f>
        <v/>
      </c>
      <c r="Q279" s="23">
        <f>IF($C279="","",INDEX(인턴근무계획!$T$3:$T$402,$A279))</f>
        <v/>
      </c>
    </row>
    <row r="280">
      <c r="A280" s="26" t="n">
        <v>275</v>
      </c>
      <c r="B280" s="23">
        <f>IF($C280="","",INDEX(인턴근무계획!$B$3:$B$402,$A280))</f>
        <v/>
      </c>
      <c r="C280" s="23">
        <f>IFERROR(TRIM(INDEX(인턴근무계획!$C$3:$C$402,$A280)&amp;""),"")</f>
        <v/>
      </c>
      <c r="D280" s="23">
        <f>IF($C280="","",INDEX(인턴근무계획!$D$3:$D$402,$A280))</f>
        <v/>
      </c>
      <c r="E280" s="23">
        <f>IF($C280="","",IF(IFERROR(MATCH($D280,기본자료!$B$2:$B$1001,0),IFERROR(MATCH($D280&amp;"",기본자료!$B$2:$B$1001,0),IFERROR(MATCH(VALUE($D280),기본자료!$B$2:$B$1001,0),0)))&gt;0,"확인","미등록"))</f>
        <v/>
      </c>
      <c r="F280" s="27">
        <f>IF($C280="","",INDEX(인턴근무계획!$S$3:$S$402,$A280))</f>
        <v/>
      </c>
      <c r="G280" s="23">
        <f>IF(OR($C280="",$G$3=""),"",IF(INDEX(인턴근무계획!$M$3:$R$402,$A280,$G$3)&amp;""="","",IF(LEFT(INDEX(인턴근무계획!$M$3:$R$402,$A280,$G$3)&amp;"",1)="⚠",INDEX(인턴근무계획!$M$3:$R$402,$A280,$G$3)&amp;"",LEFT(INDEX(인턴근무계획!$M$3:$R$402,$A280,$G$3)&amp;"",FIND(" ",INDEX(인턴근무계획!$M$3:$R$402,$A280,$G$3)&amp;"")-1))))</f>
        <v/>
      </c>
      <c r="H280" s="23">
        <f>IF(OR($C280="",$G$3=""),"",IF(INDEX(인턴근무계획!$M$3:$R$402,$A280,$G$3)&amp;""="","",IF(LEFT(INDEX(인턴근무계획!$M$3:$R$402,$A280,$G$3)&amp;"",1)="⚠","",MID(INDEX(인턴근무계획!$M$3:$R$402,$A280,$G$3)&amp;"",FIND(" ",INDEX(인턴근무계획!$M$3:$R$402,$A280,$G$3)&amp;"")+1,60))))</f>
        <v/>
      </c>
      <c r="I280" s="23">
        <f>IF(OR($C280="",$I$3=""),"",IF(INDEX(인턴근무계획!$M$3:$R$402,$A280,$I$3)&amp;""="","",IF(LEFT(INDEX(인턴근무계획!$M$3:$R$402,$A280,$I$3)&amp;"",1)="⚠",INDEX(인턴근무계획!$M$3:$R$402,$A280,$I$3)&amp;"",LEFT(INDEX(인턴근무계획!$M$3:$R$402,$A280,$I$3)&amp;"",FIND(" ",INDEX(인턴근무계획!$M$3:$R$402,$A280,$I$3)&amp;"")-1))))</f>
        <v/>
      </c>
      <c r="J280" s="23">
        <f>IF(OR($C280="",$I$3=""),"",IF(INDEX(인턴근무계획!$M$3:$R$402,$A280,$I$3)&amp;""="","",IF(LEFT(INDEX(인턴근무계획!$M$3:$R$402,$A280,$I$3)&amp;"",1)="⚠","",MID(INDEX(인턴근무계획!$M$3:$R$402,$A280,$I$3)&amp;"",FIND(" ",INDEX(인턴근무계획!$M$3:$R$402,$A280,$I$3)&amp;"")+1,60))))</f>
        <v/>
      </c>
      <c r="K280" s="23">
        <f>IF($C280="","",INDEX(인턴근무계획!$M$3:$M$402,$A280)&amp;"")</f>
        <v/>
      </c>
      <c r="L280" s="23">
        <f>IF($C280="","",INDEX(인턴근무계획!$N$3:$N$402,$A280)&amp;"")</f>
        <v/>
      </c>
      <c r="M280" s="23">
        <f>IF($C280="","",INDEX(인턴근무계획!$O$3:$O$402,$A280)&amp;"")</f>
        <v/>
      </c>
      <c r="N280" s="23">
        <f>IF($C280="","",INDEX(인턴근무계획!$P$3:$P$402,$A280)&amp;"")</f>
        <v/>
      </c>
      <c r="O280" s="23">
        <f>IF($C280="","",INDEX(인턴근무계획!$Q$3:$Q$402,$A280)&amp;"")</f>
        <v/>
      </c>
      <c r="P280" s="23">
        <f>IF($C280="","",INDEX(인턴근무계획!$R$3:$R$402,$A280)&amp;"")</f>
        <v/>
      </c>
      <c r="Q280" s="23">
        <f>IF($C280="","",INDEX(인턴근무계획!$T$3:$T$402,$A280))</f>
        <v/>
      </c>
    </row>
    <row r="281">
      <c r="A281" s="26" t="n">
        <v>276</v>
      </c>
      <c r="B281" s="23">
        <f>IF($C281="","",INDEX(인턴근무계획!$B$3:$B$402,$A281))</f>
        <v/>
      </c>
      <c r="C281" s="23">
        <f>IFERROR(TRIM(INDEX(인턴근무계획!$C$3:$C$402,$A281)&amp;""),"")</f>
        <v/>
      </c>
      <c r="D281" s="23">
        <f>IF($C281="","",INDEX(인턴근무계획!$D$3:$D$402,$A281))</f>
        <v/>
      </c>
      <c r="E281" s="23">
        <f>IF($C281="","",IF(IFERROR(MATCH($D281,기본자료!$B$2:$B$1001,0),IFERROR(MATCH($D281&amp;"",기본자료!$B$2:$B$1001,0),IFERROR(MATCH(VALUE($D281),기본자료!$B$2:$B$1001,0),0)))&gt;0,"확인","미등록"))</f>
        <v/>
      </c>
      <c r="F281" s="27">
        <f>IF($C281="","",INDEX(인턴근무계획!$S$3:$S$402,$A281))</f>
        <v/>
      </c>
      <c r="G281" s="23">
        <f>IF(OR($C281="",$G$3=""),"",IF(INDEX(인턴근무계획!$M$3:$R$402,$A281,$G$3)&amp;""="","",IF(LEFT(INDEX(인턴근무계획!$M$3:$R$402,$A281,$G$3)&amp;"",1)="⚠",INDEX(인턴근무계획!$M$3:$R$402,$A281,$G$3)&amp;"",LEFT(INDEX(인턴근무계획!$M$3:$R$402,$A281,$G$3)&amp;"",FIND(" ",INDEX(인턴근무계획!$M$3:$R$402,$A281,$G$3)&amp;"")-1))))</f>
        <v/>
      </c>
      <c r="H281" s="23">
        <f>IF(OR($C281="",$G$3=""),"",IF(INDEX(인턴근무계획!$M$3:$R$402,$A281,$G$3)&amp;""="","",IF(LEFT(INDEX(인턴근무계획!$M$3:$R$402,$A281,$G$3)&amp;"",1)="⚠","",MID(INDEX(인턴근무계획!$M$3:$R$402,$A281,$G$3)&amp;"",FIND(" ",INDEX(인턴근무계획!$M$3:$R$402,$A281,$G$3)&amp;"")+1,60))))</f>
        <v/>
      </c>
      <c r="I281" s="23">
        <f>IF(OR($C281="",$I$3=""),"",IF(INDEX(인턴근무계획!$M$3:$R$402,$A281,$I$3)&amp;""="","",IF(LEFT(INDEX(인턴근무계획!$M$3:$R$402,$A281,$I$3)&amp;"",1)="⚠",INDEX(인턴근무계획!$M$3:$R$402,$A281,$I$3)&amp;"",LEFT(INDEX(인턴근무계획!$M$3:$R$402,$A281,$I$3)&amp;"",FIND(" ",INDEX(인턴근무계획!$M$3:$R$402,$A281,$I$3)&amp;"")-1))))</f>
        <v/>
      </c>
      <c r="J281" s="23">
        <f>IF(OR($C281="",$I$3=""),"",IF(INDEX(인턴근무계획!$M$3:$R$402,$A281,$I$3)&amp;""="","",IF(LEFT(INDEX(인턴근무계획!$M$3:$R$402,$A281,$I$3)&amp;"",1)="⚠","",MID(INDEX(인턴근무계획!$M$3:$R$402,$A281,$I$3)&amp;"",FIND(" ",INDEX(인턴근무계획!$M$3:$R$402,$A281,$I$3)&amp;"")+1,60))))</f>
        <v/>
      </c>
      <c r="K281" s="23">
        <f>IF($C281="","",INDEX(인턴근무계획!$M$3:$M$402,$A281)&amp;"")</f>
        <v/>
      </c>
      <c r="L281" s="23">
        <f>IF($C281="","",INDEX(인턴근무계획!$N$3:$N$402,$A281)&amp;"")</f>
        <v/>
      </c>
      <c r="M281" s="23">
        <f>IF($C281="","",INDEX(인턴근무계획!$O$3:$O$402,$A281)&amp;"")</f>
        <v/>
      </c>
      <c r="N281" s="23">
        <f>IF($C281="","",INDEX(인턴근무계획!$P$3:$P$402,$A281)&amp;"")</f>
        <v/>
      </c>
      <c r="O281" s="23">
        <f>IF($C281="","",INDEX(인턴근무계획!$Q$3:$Q$402,$A281)&amp;"")</f>
        <v/>
      </c>
      <c r="P281" s="23">
        <f>IF($C281="","",INDEX(인턴근무계획!$R$3:$R$402,$A281)&amp;"")</f>
        <v/>
      </c>
      <c r="Q281" s="23">
        <f>IF($C281="","",INDEX(인턴근무계획!$T$3:$T$402,$A281))</f>
        <v/>
      </c>
    </row>
    <row r="282">
      <c r="A282" s="26" t="n">
        <v>277</v>
      </c>
      <c r="B282" s="23">
        <f>IF($C282="","",INDEX(인턴근무계획!$B$3:$B$402,$A282))</f>
        <v/>
      </c>
      <c r="C282" s="23">
        <f>IFERROR(TRIM(INDEX(인턴근무계획!$C$3:$C$402,$A282)&amp;""),"")</f>
        <v/>
      </c>
      <c r="D282" s="23">
        <f>IF($C282="","",INDEX(인턴근무계획!$D$3:$D$402,$A282))</f>
        <v/>
      </c>
      <c r="E282" s="23">
        <f>IF($C282="","",IF(IFERROR(MATCH($D282,기본자료!$B$2:$B$1001,0),IFERROR(MATCH($D282&amp;"",기본자료!$B$2:$B$1001,0),IFERROR(MATCH(VALUE($D282),기본자료!$B$2:$B$1001,0),0)))&gt;0,"확인","미등록"))</f>
        <v/>
      </c>
      <c r="F282" s="27">
        <f>IF($C282="","",INDEX(인턴근무계획!$S$3:$S$402,$A282))</f>
        <v/>
      </c>
      <c r="G282" s="23">
        <f>IF(OR($C282="",$G$3=""),"",IF(INDEX(인턴근무계획!$M$3:$R$402,$A282,$G$3)&amp;""="","",IF(LEFT(INDEX(인턴근무계획!$M$3:$R$402,$A282,$G$3)&amp;"",1)="⚠",INDEX(인턴근무계획!$M$3:$R$402,$A282,$G$3)&amp;"",LEFT(INDEX(인턴근무계획!$M$3:$R$402,$A282,$G$3)&amp;"",FIND(" ",INDEX(인턴근무계획!$M$3:$R$402,$A282,$G$3)&amp;"")-1))))</f>
        <v/>
      </c>
      <c r="H282" s="23">
        <f>IF(OR($C282="",$G$3=""),"",IF(INDEX(인턴근무계획!$M$3:$R$402,$A282,$G$3)&amp;""="","",IF(LEFT(INDEX(인턴근무계획!$M$3:$R$402,$A282,$G$3)&amp;"",1)="⚠","",MID(INDEX(인턴근무계획!$M$3:$R$402,$A282,$G$3)&amp;"",FIND(" ",INDEX(인턴근무계획!$M$3:$R$402,$A282,$G$3)&amp;"")+1,60))))</f>
        <v/>
      </c>
      <c r="I282" s="23">
        <f>IF(OR($C282="",$I$3=""),"",IF(INDEX(인턴근무계획!$M$3:$R$402,$A282,$I$3)&amp;""="","",IF(LEFT(INDEX(인턴근무계획!$M$3:$R$402,$A282,$I$3)&amp;"",1)="⚠",INDEX(인턴근무계획!$M$3:$R$402,$A282,$I$3)&amp;"",LEFT(INDEX(인턴근무계획!$M$3:$R$402,$A282,$I$3)&amp;"",FIND(" ",INDEX(인턴근무계획!$M$3:$R$402,$A282,$I$3)&amp;"")-1))))</f>
        <v/>
      </c>
      <c r="J282" s="23">
        <f>IF(OR($C282="",$I$3=""),"",IF(INDEX(인턴근무계획!$M$3:$R$402,$A282,$I$3)&amp;""="","",IF(LEFT(INDEX(인턴근무계획!$M$3:$R$402,$A282,$I$3)&amp;"",1)="⚠","",MID(INDEX(인턴근무계획!$M$3:$R$402,$A282,$I$3)&amp;"",FIND(" ",INDEX(인턴근무계획!$M$3:$R$402,$A282,$I$3)&amp;"")+1,60))))</f>
        <v/>
      </c>
      <c r="K282" s="23">
        <f>IF($C282="","",INDEX(인턴근무계획!$M$3:$M$402,$A282)&amp;"")</f>
        <v/>
      </c>
      <c r="L282" s="23">
        <f>IF($C282="","",INDEX(인턴근무계획!$N$3:$N$402,$A282)&amp;"")</f>
        <v/>
      </c>
      <c r="M282" s="23">
        <f>IF($C282="","",INDEX(인턴근무계획!$O$3:$O$402,$A282)&amp;"")</f>
        <v/>
      </c>
      <c r="N282" s="23">
        <f>IF($C282="","",INDEX(인턴근무계획!$P$3:$P$402,$A282)&amp;"")</f>
        <v/>
      </c>
      <c r="O282" s="23">
        <f>IF($C282="","",INDEX(인턴근무계획!$Q$3:$Q$402,$A282)&amp;"")</f>
        <v/>
      </c>
      <c r="P282" s="23">
        <f>IF($C282="","",INDEX(인턴근무계획!$R$3:$R$402,$A282)&amp;"")</f>
        <v/>
      </c>
      <c r="Q282" s="23">
        <f>IF($C282="","",INDEX(인턴근무계획!$T$3:$T$402,$A282))</f>
        <v/>
      </c>
    </row>
    <row r="283">
      <c r="A283" s="26" t="n">
        <v>278</v>
      </c>
      <c r="B283" s="23">
        <f>IF($C283="","",INDEX(인턴근무계획!$B$3:$B$402,$A283))</f>
        <v/>
      </c>
      <c r="C283" s="23">
        <f>IFERROR(TRIM(INDEX(인턴근무계획!$C$3:$C$402,$A283)&amp;""),"")</f>
        <v/>
      </c>
      <c r="D283" s="23">
        <f>IF($C283="","",INDEX(인턴근무계획!$D$3:$D$402,$A283))</f>
        <v/>
      </c>
      <c r="E283" s="23">
        <f>IF($C283="","",IF(IFERROR(MATCH($D283,기본자료!$B$2:$B$1001,0),IFERROR(MATCH($D283&amp;"",기본자료!$B$2:$B$1001,0),IFERROR(MATCH(VALUE($D283),기본자료!$B$2:$B$1001,0),0)))&gt;0,"확인","미등록"))</f>
        <v/>
      </c>
      <c r="F283" s="27">
        <f>IF($C283="","",INDEX(인턴근무계획!$S$3:$S$402,$A283))</f>
        <v/>
      </c>
      <c r="G283" s="23">
        <f>IF(OR($C283="",$G$3=""),"",IF(INDEX(인턴근무계획!$M$3:$R$402,$A283,$G$3)&amp;""="","",IF(LEFT(INDEX(인턴근무계획!$M$3:$R$402,$A283,$G$3)&amp;"",1)="⚠",INDEX(인턴근무계획!$M$3:$R$402,$A283,$G$3)&amp;"",LEFT(INDEX(인턴근무계획!$M$3:$R$402,$A283,$G$3)&amp;"",FIND(" ",INDEX(인턴근무계획!$M$3:$R$402,$A283,$G$3)&amp;"")-1))))</f>
        <v/>
      </c>
      <c r="H283" s="23">
        <f>IF(OR($C283="",$G$3=""),"",IF(INDEX(인턴근무계획!$M$3:$R$402,$A283,$G$3)&amp;""="","",IF(LEFT(INDEX(인턴근무계획!$M$3:$R$402,$A283,$G$3)&amp;"",1)="⚠","",MID(INDEX(인턴근무계획!$M$3:$R$402,$A283,$G$3)&amp;"",FIND(" ",INDEX(인턴근무계획!$M$3:$R$402,$A283,$G$3)&amp;"")+1,60))))</f>
        <v/>
      </c>
      <c r="I283" s="23">
        <f>IF(OR($C283="",$I$3=""),"",IF(INDEX(인턴근무계획!$M$3:$R$402,$A283,$I$3)&amp;""="","",IF(LEFT(INDEX(인턴근무계획!$M$3:$R$402,$A283,$I$3)&amp;"",1)="⚠",INDEX(인턴근무계획!$M$3:$R$402,$A283,$I$3)&amp;"",LEFT(INDEX(인턴근무계획!$M$3:$R$402,$A283,$I$3)&amp;"",FIND(" ",INDEX(인턴근무계획!$M$3:$R$402,$A283,$I$3)&amp;"")-1))))</f>
        <v/>
      </c>
      <c r="J283" s="23">
        <f>IF(OR($C283="",$I$3=""),"",IF(INDEX(인턴근무계획!$M$3:$R$402,$A283,$I$3)&amp;""="","",IF(LEFT(INDEX(인턴근무계획!$M$3:$R$402,$A283,$I$3)&amp;"",1)="⚠","",MID(INDEX(인턴근무계획!$M$3:$R$402,$A283,$I$3)&amp;"",FIND(" ",INDEX(인턴근무계획!$M$3:$R$402,$A283,$I$3)&amp;"")+1,60))))</f>
        <v/>
      </c>
      <c r="K283" s="23">
        <f>IF($C283="","",INDEX(인턴근무계획!$M$3:$M$402,$A283)&amp;"")</f>
        <v/>
      </c>
      <c r="L283" s="23">
        <f>IF($C283="","",INDEX(인턴근무계획!$N$3:$N$402,$A283)&amp;"")</f>
        <v/>
      </c>
      <c r="M283" s="23">
        <f>IF($C283="","",INDEX(인턴근무계획!$O$3:$O$402,$A283)&amp;"")</f>
        <v/>
      </c>
      <c r="N283" s="23">
        <f>IF($C283="","",INDEX(인턴근무계획!$P$3:$P$402,$A283)&amp;"")</f>
        <v/>
      </c>
      <c r="O283" s="23">
        <f>IF($C283="","",INDEX(인턴근무계획!$Q$3:$Q$402,$A283)&amp;"")</f>
        <v/>
      </c>
      <c r="P283" s="23">
        <f>IF($C283="","",INDEX(인턴근무계획!$R$3:$R$402,$A283)&amp;"")</f>
        <v/>
      </c>
      <c r="Q283" s="23">
        <f>IF($C283="","",INDEX(인턴근무계획!$T$3:$T$402,$A283))</f>
        <v/>
      </c>
    </row>
    <row r="284">
      <c r="A284" s="26" t="n">
        <v>279</v>
      </c>
      <c r="B284" s="23">
        <f>IF($C284="","",INDEX(인턴근무계획!$B$3:$B$402,$A284))</f>
        <v/>
      </c>
      <c r="C284" s="23">
        <f>IFERROR(TRIM(INDEX(인턴근무계획!$C$3:$C$402,$A284)&amp;""),"")</f>
        <v/>
      </c>
      <c r="D284" s="23">
        <f>IF($C284="","",INDEX(인턴근무계획!$D$3:$D$402,$A284))</f>
        <v/>
      </c>
      <c r="E284" s="23">
        <f>IF($C284="","",IF(IFERROR(MATCH($D284,기본자료!$B$2:$B$1001,0),IFERROR(MATCH($D284&amp;"",기본자료!$B$2:$B$1001,0),IFERROR(MATCH(VALUE($D284),기본자료!$B$2:$B$1001,0),0)))&gt;0,"확인","미등록"))</f>
        <v/>
      </c>
      <c r="F284" s="27">
        <f>IF($C284="","",INDEX(인턴근무계획!$S$3:$S$402,$A284))</f>
        <v/>
      </c>
      <c r="G284" s="23">
        <f>IF(OR($C284="",$G$3=""),"",IF(INDEX(인턴근무계획!$M$3:$R$402,$A284,$G$3)&amp;""="","",IF(LEFT(INDEX(인턴근무계획!$M$3:$R$402,$A284,$G$3)&amp;"",1)="⚠",INDEX(인턴근무계획!$M$3:$R$402,$A284,$G$3)&amp;"",LEFT(INDEX(인턴근무계획!$M$3:$R$402,$A284,$G$3)&amp;"",FIND(" ",INDEX(인턴근무계획!$M$3:$R$402,$A284,$G$3)&amp;"")-1))))</f>
        <v/>
      </c>
      <c r="H284" s="23">
        <f>IF(OR($C284="",$G$3=""),"",IF(INDEX(인턴근무계획!$M$3:$R$402,$A284,$G$3)&amp;""="","",IF(LEFT(INDEX(인턴근무계획!$M$3:$R$402,$A284,$G$3)&amp;"",1)="⚠","",MID(INDEX(인턴근무계획!$M$3:$R$402,$A284,$G$3)&amp;"",FIND(" ",INDEX(인턴근무계획!$M$3:$R$402,$A284,$G$3)&amp;"")+1,60))))</f>
        <v/>
      </c>
      <c r="I284" s="23">
        <f>IF(OR($C284="",$I$3=""),"",IF(INDEX(인턴근무계획!$M$3:$R$402,$A284,$I$3)&amp;""="","",IF(LEFT(INDEX(인턴근무계획!$M$3:$R$402,$A284,$I$3)&amp;"",1)="⚠",INDEX(인턴근무계획!$M$3:$R$402,$A284,$I$3)&amp;"",LEFT(INDEX(인턴근무계획!$M$3:$R$402,$A284,$I$3)&amp;"",FIND(" ",INDEX(인턴근무계획!$M$3:$R$402,$A284,$I$3)&amp;"")-1))))</f>
        <v/>
      </c>
      <c r="J284" s="23">
        <f>IF(OR($C284="",$I$3=""),"",IF(INDEX(인턴근무계획!$M$3:$R$402,$A284,$I$3)&amp;""="","",IF(LEFT(INDEX(인턴근무계획!$M$3:$R$402,$A284,$I$3)&amp;"",1)="⚠","",MID(INDEX(인턴근무계획!$M$3:$R$402,$A284,$I$3)&amp;"",FIND(" ",INDEX(인턴근무계획!$M$3:$R$402,$A284,$I$3)&amp;"")+1,60))))</f>
        <v/>
      </c>
      <c r="K284" s="23">
        <f>IF($C284="","",INDEX(인턴근무계획!$M$3:$M$402,$A284)&amp;"")</f>
        <v/>
      </c>
      <c r="L284" s="23">
        <f>IF($C284="","",INDEX(인턴근무계획!$N$3:$N$402,$A284)&amp;"")</f>
        <v/>
      </c>
      <c r="M284" s="23">
        <f>IF($C284="","",INDEX(인턴근무계획!$O$3:$O$402,$A284)&amp;"")</f>
        <v/>
      </c>
      <c r="N284" s="23">
        <f>IF($C284="","",INDEX(인턴근무계획!$P$3:$P$402,$A284)&amp;"")</f>
        <v/>
      </c>
      <c r="O284" s="23">
        <f>IF($C284="","",INDEX(인턴근무계획!$Q$3:$Q$402,$A284)&amp;"")</f>
        <v/>
      </c>
      <c r="P284" s="23">
        <f>IF($C284="","",INDEX(인턴근무계획!$R$3:$R$402,$A284)&amp;"")</f>
        <v/>
      </c>
      <c r="Q284" s="23">
        <f>IF($C284="","",INDEX(인턴근무계획!$T$3:$T$402,$A284))</f>
        <v/>
      </c>
    </row>
    <row r="285">
      <c r="A285" s="26" t="n">
        <v>280</v>
      </c>
      <c r="B285" s="23">
        <f>IF($C285="","",INDEX(인턴근무계획!$B$3:$B$402,$A285))</f>
        <v/>
      </c>
      <c r="C285" s="23">
        <f>IFERROR(TRIM(INDEX(인턴근무계획!$C$3:$C$402,$A285)&amp;""),"")</f>
        <v/>
      </c>
      <c r="D285" s="23">
        <f>IF($C285="","",INDEX(인턴근무계획!$D$3:$D$402,$A285))</f>
        <v/>
      </c>
      <c r="E285" s="23">
        <f>IF($C285="","",IF(IFERROR(MATCH($D285,기본자료!$B$2:$B$1001,0),IFERROR(MATCH($D285&amp;"",기본자료!$B$2:$B$1001,0),IFERROR(MATCH(VALUE($D285),기본자료!$B$2:$B$1001,0),0)))&gt;0,"확인","미등록"))</f>
        <v/>
      </c>
      <c r="F285" s="27">
        <f>IF($C285="","",INDEX(인턴근무계획!$S$3:$S$402,$A285))</f>
        <v/>
      </c>
      <c r="G285" s="23">
        <f>IF(OR($C285="",$G$3=""),"",IF(INDEX(인턴근무계획!$M$3:$R$402,$A285,$G$3)&amp;""="","",IF(LEFT(INDEX(인턴근무계획!$M$3:$R$402,$A285,$G$3)&amp;"",1)="⚠",INDEX(인턴근무계획!$M$3:$R$402,$A285,$G$3)&amp;"",LEFT(INDEX(인턴근무계획!$M$3:$R$402,$A285,$G$3)&amp;"",FIND(" ",INDEX(인턴근무계획!$M$3:$R$402,$A285,$G$3)&amp;"")-1))))</f>
        <v/>
      </c>
      <c r="H285" s="23">
        <f>IF(OR($C285="",$G$3=""),"",IF(INDEX(인턴근무계획!$M$3:$R$402,$A285,$G$3)&amp;""="","",IF(LEFT(INDEX(인턴근무계획!$M$3:$R$402,$A285,$G$3)&amp;"",1)="⚠","",MID(INDEX(인턴근무계획!$M$3:$R$402,$A285,$G$3)&amp;"",FIND(" ",INDEX(인턴근무계획!$M$3:$R$402,$A285,$G$3)&amp;"")+1,60))))</f>
        <v/>
      </c>
      <c r="I285" s="23">
        <f>IF(OR($C285="",$I$3=""),"",IF(INDEX(인턴근무계획!$M$3:$R$402,$A285,$I$3)&amp;""="","",IF(LEFT(INDEX(인턴근무계획!$M$3:$R$402,$A285,$I$3)&amp;"",1)="⚠",INDEX(인턴근무계획!$M$3:$R$402,$A285,$I$3)&amp;"",LEFT(INDEX(인턴근무계획!$M$3:$R$402,$A285,$I$3)&amp;"",FIND(" ",INDEX(인턴근무계획!$M$3:$R$402,$A285,$I$3)&amp;"")-1))))</f>
        <v/>
      </c>
      <c r="J285" s="23">
        <f>IF(OR($C285="",$I$3=""),"",IF(INDEX(인턴근무계획!$M$3:$R$402,$A285,$I$3)&amp;""="","",IF(LEFT(INDEX(인턴근무계획!$M$3:$R$402,$A285,$I$3)&amp;"",1)="⚠","",MID(INDEX(인턴근무계획!$M$3:$R$402,$A285,$I$3)&amp;"",FIND(" ",INDEX(인턴근무계획!$M$3:$R$402,$A285,$I$3)&amp;"")+1,60))))</f>
        <v/>
      </c>
      <c r="K285" s="23">
        <f>IF($C285="","",INDEX(인턴근무계획!$M$3:$M$402,$A285)&amp;"")</f>
        <v/>
      </c>
      <c r="L285" s="23">
        <f>IF($C285="","",INDEX(인턴근무계획!$N$3:$N$402,$A285)&amp;"")</f>
        <v/>
      </c>
      <c r="M285" s="23">
        <f>IF($C285="","",INDEX(인턴근무계획!$O$3:$O$402,$A285)&amp;"")</f>
        <v/>
      </c>
      <c r="N285" s="23">
        <f>IF($C285="","",INDEX(인턴근무계획!$P$3:$P$402,$A285)&amp;"")</f>
        <v/>
      </c>
      <c r="O285" s="23">
        <f>IF($C285="","",INDEX(인턴근무계획!$Q$3:$Q$402,$A285)&amp;"")</f>
        <v/>
      </c>
      <c r="P285" s="23">
        <f>IF($C285="","",INDEX(인턴근무계획!$R$3:$R$402,$A285)&amp;"")</f>
        <v/>
      </c>
      <c r="Q285" s="23">
        <f>IF($C285="","",INDEX(인턴근무계획!$T$3:$T$402,$A285))</f>
        <v/>
      </c>
    </row>
    <row r="286">
      <c r="A286" s="26" t="n">
        <v>281</v>
      </c>
      <c r="B286" s="23">
        <f>IF($C286="","",INDEX(인턴근무계획!$B$3:$B$402,$A286))</f>
        <v/>
      </c>
      <c r="C286" s="23">
        <f>IFERROR(TRIM(INDEX(인턴근무계획!$C$3:$C$402,$A286)&amp;""),"")</f>
        <v/>
      </c>
      <c r="D286" s="23">
        <f>IF($C286="","",INDEX(인턴근무계획!$D$3:$D$402,$A286))</f>
        <v/>
      </c>
      <c r="E286" s="23">
        <f>IF($C286="","",IF(IFERROR(MATCH($D286,기본자료!$B$2:$B$1001,0),IFERROR(MATCH($D286&amp;"",기본자료!$B$2:$B$1001,0),IFERROR(MATCH(VALUE($D286),기본자료!$B$2:$B$1001,0),0)))&gt;0,"확인","미등록"))</f>
        <v/>
      </c>
      <c r="F286" s="27">
        <f>IF($C286="","",INDEX(인턴근무계획!$S$3:$S$402,$A286))</f>
        <v/>
      </c>
      <c r="G286" s="23">
        <f>IF(OR($C286="",$G$3=""),"",IF(INDEX(인턴근무계획!$M$3:$R$402,$A286,$G$3)&amp;""="","",IF(LEFT(INDEX(인턴근무계획!$M$3:$R$402,$A286,$G$3)&amp;"",1)="⚠",INDEX(인턴근무계획!$M$3:$R$402,$A286,$G$3)&amp;"",LEFT(INDEX(인턴근무계획!$M$3:$R$402,$A286,$G$3)&amp;"",FIND(" ",INDEX(인턴근무계획!$M$3:$R$402,$A286,$G$3)&amp;"")-1))))</f>
        <v/>
      </c>
      <c r="H286" s="23">
        <f>IF(OR($C286="",$G$3=""),"",IF(INDEX(인턴근무계획!$M$3:$R$402,$A286,$G$3)&amp;""="","",IF(LEFT(INDEX(인턴근무계획!$M$3:$R$402,$A286,$G$3)&amp;"",1)="⚠","",MID(INDEX(인턴근무계획!$M$3:$R$402,$A286,$G$3)&amp;"",FIND(" ",INDEX(인턴근무계획!$M$3:$R$402,$A286,$G$3)&amp;"")+1,60))))</f>
        <v/>
      </c>
      <c r="I286" s="23">
        <f>IF(OR($C286="",$I$3=""),"",IF(INDEX(인턴근무계획!$M$3:$R$402,$A286,$I$3)&amp;""="","",IF(LEFT(INDEX(인턴근무계획!$M$3:$R$402,$A286,$I$3)&amp;"",1)="⚠",INDEX(인턴근무계획!$M$3:$R$402,$A286,$I$3)&amp;"",LEFT(INDEX(인턴근무계획!$M$3:$R$402,$A286,$I$3)&amp;"",FIND(" ",INDEX(인턴근무계획!$M$3:$R$402,$A286,$I$3)&amp;"")-1))))</f>
        <v/>
      </c>
      <c r="J286" s="23">
        <f>IF(OR($C286="",$I$3=""),"",IF(INDEX(인턴근무계획!$M$3:$R$402,$A286,$I$3)&amp;""="","",IF(LEFT(INDEX(인턴근무계획!$M$3:$R$402,$A286,$I$3)&amp;"",1)="⚠","",MID(INDEX(인턴근무계획!$M$3:$R$402,$A286,$I$3)&amp;"",FIND(" ",INDEX(인턴근무계획!$M$3:$R$402,$A286,$I$3)&amp;"")+1,60))))</f>
        <v/>
      </c>
      <c r="K286" s="23">
        <f>IF($C286="","",INDEX(인턴근무계획!$M$3:$M$402,$A286)&amp;"")</f>
        <v/>
      </c>
      <c r="L286" s="23">
        <f>IF($C286="","",INDEX(인턴근무계획!$N$3:$N$402,$A286)&amp;"")</f>
        <v/>
      </c>
      <c r="M286" s="23">
        <f>IF($C286="","",INDEX(인턴근무계획!$O$3:$O$402,$A286)&amp;"")</f>
        <v/>
      </c>
      <c r="N286" s="23">
        <f>IF($C286="","",INDEX(인턴근무계획!$P$3:$P$402,$A286)&amp;"")</f>
        <v/>
      </c>
      <c r="O286" s="23">
        <f>IF($C286="","",INDEX(인턴근무계획!$Q$3:$Q$402,$A286)&amp;"")</f>
        <v/>
      </c>
      <c r="P286" s="23">
        <f>IF($C286="","",INDEX(인턴근무계획!$R$3:$R$402,$A286)&amp;"")</f>
        <v/>
      </c>
      <c r="Q286" s="23">
        <f>IF($C286="","",INDEX(인턴근무계획!$T$3:$T$402,$A286))</f>
        <v/>
      </c>
    </row>
    <row r="287">
      <c r="A287" s="26" t="n">
        <v>282</v>
      </c>
      <c r="B287" s="23">
        <f>IF($C287="","",INDEX(인턴근무계획!$B$3:$B$402,$A287))</f>
        <v/>
      </c>
      <c r="C287" s="23">
        <f>IFERROR(TRIM(INDEX(인턴근무계획!$C$3:$C$402,$A287)&amp;""),"")</f>
        <v/>
      </c>
      <c r="D287" s="23">
        <f>IF($C287="","",INDEX(인턴근무계획!$D$3:$D$402,$A287))</f>
        <v/>
      </c>
      <c r="E287" s="23">
        <f>IF($C287="","",IF(IFERROR(MATCH($D287,기본자료!$B$2:$B$1001,0),IFERROR(MATCH($D287&amp;"",기본자료!$B$2:$B$1001,0),IFERROR(MATCH(VALUE($D287),기본자료!$B$2:$B$1001,0),0)))&gt;0,"확인","미등록"))</f>
        <v/>
      </c>
      <c r="F287" s="27">
        <f>IF($C287="","",INDEX(인턴근무계획!$S$3:$S$402,$A287))</f>
        <v/>
      </c>
      <c r="G287" s="23">
        <f>IF(OR($C287="",$G$3=""),"",IF(INDEX(인턴근무계획!$M$3:$R$402,$A287,$G$3)&amp;""="","",IF(LEFT(INDEX(인턴근무계획!$M$3:$R$402,$A287,$G$3)&amp;"",1)="⚠",INDEX(인턴근무계획!$M$3:$R$402,$A287,$G$3)&amp;"",LEFT(INDEX(인턴근무계획!$M$3:$R$402,$A287,$G$3)&amp;"",FIND(" ",INDEX(인턴근무계획!$M$3:$R$402,$A287,$G$3)&amp;"")-1))))</f>
        <v/>
      </c>
      <c r="H287" s="23">
        <f>IF(OR($C287="",$G$3=""),"",IF(INDEX(인턴근무계획!$M$3:$R$402,$A287,$G$3)&amp;""="","",IF(LEFT(INDEX(인턴근무계획!$M$3:$R$402,$A287,$G$3)&amp;"",1)="⚠","",MID(INDEX(인턴근무계획!$M$3:$R$402,$A287,$G$3)&amp;"",FIND(" ",INDEX(인턴근무계획!$M$3:$R$402,$A287,$G$3)&amp;"")+1,60))))</f>
        <v/>
      </c>
      <c r="I287" s="23">
        <f>IF(OR($C287="",$I$3=""),"",IF(INDEX(인턴근무계획!$M$3:$R$402,$A287,$I$3)&amp;""="","",IF(LEFT(INDEX(인턴근무계획!$M$3:$R$402,$A287,$I$3)&amp;"",1)="⚠",INDEX(인턴근무계획!$M$3:$R$402,$A287,$I$3)&amp;"",LEFT(INDEX(인턴근무계획!$M$3:$R$402,$A287,$I$3)&amp;"",FIND(" ",INDEX(인턴근무계획!$M$3:$R$402,$A287,$I$3)&amp;"")-1))))</f>
        <v/>
      </c>
      <c r="J287" s="23">
        <f>IF(OR($C287="",$I$3=""),"",IF(INDEX(인턴근무계획!$M$3:$R$402,$A287,$I$3)&amp;""="","",IF(LEFT(INDEX(인턴근무계획!$M$3:$R$402,$A287,$I$3)&amp;"",1)="⚠","",MID(INDEX(인턴근무계획!$M$3:$R$402,$A287,$I$3)&amp;"",FIND(" ",INDEX(인턴근무계획!$M$3:$R$402,$A287,$I$3)&amp;"")+1,60))))</f>
        <v/>
      </c>
      <c r="K287" s="23">
        <f>IF($C287="","",INDEX(인턴근무계획!$M$3:$M$402,$A287)&amp;"")</f>
        <v/>
      </c>
      <c r="L287" s="23">
        <f>IF($C287="","",INDEX(인턴근무계획!$N$3:$N$402,$A287)&amp;"")</f>
        <v/>
      </c>
      <c r="M287" s="23">
        <f>IF($C287="","",INDEX(인턴근무계획!$O$3:$O$402,$A287)&amp;"")</f>
        <v/>
      </c>
      <c r="N287" s="23">
        <f>IF($C287="","",INDEX(인턴근무계획!$P$3:$P$402,$A287)&amp;"")</f>
        <v/>
      </c>
      <c r="O287" s="23">
        <f>IF($C287="","",INDEX(인턴근무계획!$Q$3:$Q$402,$A287)&amp;"")</f>
        <v/>
      </c>
      <c r="P287" s="23">
        <f>IF($C287="","",INDEX(인턴근무계획!$R$3:$R$402,$A287)&amp;"")</f>
        <v/>
      </c>
      <c r="Q287" s="23">
        <f>IF($C287="","",INDEX(인턴근무계획!$T$3:$T$402,$A287))</f>
        <v/>
      </c>
    </row>
    <row r="288">
      <c r="A288" s="26" t="n">
        <v>283</v>
      </c>
      <c r="B288" s="23">
        <f>IF($C288="","",INDEX(인턴근무계획!$B$3:$B$402,$A288))</f>
        <v/>
      </c>
      <c r="C288" s="23">
        <f>IFERROR(TRIM(INDEX(인턴근무계획!$C$3:$C$402,$A288)&amp;""),"")</f>
        <v/>
      </c>
      <c r="D288" s="23">
        <f>IF($C288="","",INDEX(인턴근무계획!$D$3:$D$402,$A288))</f>
        <v/>
      </c>
      <c r="E288" s="23">
        <f>IF($C288="","",IF(IFERROR(MATCH($D288,기본자료!$B$2:$B$1001,0),IFERROR(MATCH($D288&amp;"",기본자료!$B$2:$B$1001,0),IFERROR(MATCH(VALUE($D288),기본자료!$B$2:$B$1001,0),0)))&gt;0,"확인","미등록"))</f>
        <v/>
      </c>
      <c r="F288" s="27">
        <f>IF($C288="","",INDEX(인턴근무계획!$S$3:$S$402,$A288))</f>
        <v/>
      </c>
      <c r="G288" s="23">
        <f>IF(OR($C288="",$G$3=""),"",IF(INDEX(인턴근무계획!$M$3:$R$402,$A288,$G$3)&amp;""="","",IF(LEFT(INDEX(인턴근무계획!$M$3:$R$402,$A288,$G$3)&amp;"",1)="⚠",INDEX(인턴근무계획!$M$3:$R$402,$A288,$G$3)&amp;"",LEFT(INDEX(인턴근무계획!$M$3:$R$402,$A288,$G$3)&amp;"",FIND(" ",INDEX(인턴근무계획!$M$3:$R$402,$A288,$G$3)&amp;"")-1))))</f>
        <v/>
      </c>
      <c r="H288" s="23">
        <f>IF(OR($C288="",$G$3=""),"",IF(INDEX(인턴근무계획!$M$3:$R$402,$A288,$G$3)&amp;""="","",IF(LEFT(INDEX(인턴근무계획!$M$3:$R$402,$A288,$G$3)&amp;"",1)="⚠","",MID(INDEX(인턴근무계획!$M$3:$R$402,$A288,$G$3)&amp;"",FIND(" ",INDEX(인턴근무계획!$M$3:$R$402,$A288,$G$3)&amp;"")+1,60))))</f>
        <v/>
      </c>
      <c r="I288" s="23">
        <f>IF(OR($C288="",$I$3=""),"",IF(INDEX(인턴근무계획!$M$3:$R$402,$A288,$I$3)&amp;""="","",IF(LEFT(INDEX(인턴근무계획!$M$3:$R$402,$A288,$I$3)&amp;"",1)="⚠",INDEX(인턴근무계획!$M$3:$R$402,$A288,$I$3)&amp;"",LEFT(INDEX(인턴근무계획!$M$3:$R$402,$A288,$I$3)&amp;"",FIND(" ",INDEX(인턴근무계획!$M$3:$R$402,$A288,$I$3)&amp;"")-1))))</f>
        <v/>
      </c>
      <c r="J288" s="23">
        <f>IF(OR($C288="",$I$3=""),"",IF(INDEX(인턴근무계획!$M$3:$R$402,$A288,$I$3)&amp;""="","",IF(LEFT(INDEX(인턴근무계획!$M$3:$R$402,$A288,$I$3)&amp;"",1)="⚠","",MID(INDEX(인턴근무계획!$M$3:$R$402,$A288,$I$3)&amp;"",FIND(" ",INDEX(인턴근무계획!$M$3:$R$402,$A288,$I$3)&amp;"")+1,60))))</f>
        <v/>
      </c>
      <c r="K288" s="23">
        <f>IF($C288="","",INDEX(인턴근무계획!$M$3:$M$402,$A288)&amp;"")</f>
        <v/>
      </c>
      <c r="L288" s="23">
        <f>IF($C288="","",INDEX(인턴근무계획!$N$3:$N$402,$A288)&amp;"")</f>
        <v/>
      </c>
      <c r="M288" s="23">
        <f>IF($C288="","",INDEX(인턴근무계획!$O$3:$O$402,$A288)&amp;"")</f>
        <v/>
      </c>
      <c r="N288" s="23">
        <f>IF($C288="","",INDEX(인턴근무계획!$P$3:$P$402,$A288)&amp;"")</f>
        <v/>
      </c>
      <c r="O288" s="23">
        <f>IF($C288="","",INDEX(인턴근무계획!$Q$3:$Q$402,$A288)&amp;"")</f>
        <v/>
      </c>
      <c r="P288" s="23">
        <f>IF($C288="","",INDEX(인턴근무계획!$R$3:$R$402,$A288)&amp;"")</f>
        <v/>
      </c>
      <c r="Q288" s="23">
        <f>IF($C288="","",INDEX(인턴근무계획!$T$3:$T$402,$A288))</f>
        <v/>
      </c>
    </row>
    <row r="289">
      <c r="A289" s="26" t="n">
        <v>284</v>
      </c>
      <c r="B289" s="23">
        <f>IF($C289="","",INDEX(인턴근무계획!$B$3:$B$402,$A289))</f>
        <v/>
      </c>
      <c r="C289" s="23">
        <f>IFERROR(TRIM(INDEX(인턴근무계획!$C$3:$C$402,$A289)&amp;""),"")</f>
        <v/>
      </c>
      <c r="D289" s="23">
        <f>IF($C289="","",INDEX(인턴근무계획!$D$3:$D$402,$A289))</f>
        <v/>
      </c>
      <c r="E289" s="23">
        <f>IF($C289="","",IF(IFERROR(MATCH($D289,기본자료!$B$2:$B$1001,0),IFERROR(MATCH($D289&amp;"",기본자료!$B$2:$B$1001,0),IFERROR(MATCH(VALUE($D289),기본자료!$B$2:$B$1001,0),0)))&gt;0,"확인","미등록"))</f>
        <v/>
      </c>
      <c r="F289" s="27">
        <f>IF($C289="","",INDEX(인턴근무계획!$S$3:$S$402,$A289))</f>
        <v/>
      </c>
      <c r="G289" s="23">
        <f>IF(OR($C289="",$G$3=""),"",IF(INDEX(인턴근무계획!$M$3:$R$402,$A289,$G$3)&amp;""="","",IF(LEFT(INDEX(인턴근무계획!$M$3:$R$402,$A289,$G$3)&amp;"",1)="⚠",INDEX(인턴근무계획!$M$3:$R$402,$A289,$G$3)&amp;"",LEFT(INDEX(인턴근무계획!$M$3:$R$402,$A289,$G$3)&amp;"",FIND(" ",INDEX(인턴근무계획!$M$3:$R$402,$A289,$G$3)&amp;"")-1))))</f>
        <v/>
      </c>
      <c r="H289" s="23">
        <f>IF(OR($C289="",$G$3=""),"",IF(INDEX(인턴근무계획!$M$3:$R$402,$A289,$G$3)&amp;""="","",IF(LEFT(INDEX(인턴근무계획!$M$3:$R$402,$A289,$G$3)&amp;"",1)="⚠","",MID(INDEX(인턴근무계획!$M$3:$R$402,$A289,$G$3)&amp;"",FIND(" ",INDEX(인턴근무계획!$M$3:$R$402,$A289,$G$3)&amp;"")+1,60))))</f>
        <v/>
      </c>
      <c r="I289" s="23">
        <f>IF(OR($C289="",$I$3=""),"",IF(INDEX(인턴근무계획!$M$3:$R$402,$A289,$I$3)&amp;""="","",IF(LEFT(INDEX(인턴근무계획!$M$3:$R$402,$A289,$I$3)&amp;"",1)="⚠",INDEX(인턴근무계획!$M$3:$R$402,$A289,$I$3)&amp;"",LEFT(INDEX(인턴근무계획!$M$3:$R$402,$A289,$I$3)&amp;"",FIND(" ",INDEX(인턴근무계획!$M$3:$R$402,$A289,$I$3)&amp;"")-1))))</f>
        <v/>
      </c>
      <c r="J289" s="23">
        <f>IF(OR($C289="",$I$3=""),"",IF(INDEX(인턴근무계획!$M$3:$R$402,$A289,$I$3)&amp;""="","",IF(LEFT(INDEX(인턴근무계획!$M$3:$R$402,$A289,$I$3)&amp;"",1)="⚠","",MID(INDEX(인턴근무계획!$M$3:$R$402,$A289,$I$3)&amp;"",FIND(" ",INDEX(인턴근무계획!$M$3:$R$402,$A289,$I$3)&amp;"")+1,60))))</f>
        <v/>
      </c>
      <c r="K289" s="23">
        <f>IF($C289="","",INDEX(인턴근무계획!$M$3:$M$402,$A289)&amp;"")</f>
        <v/>
      </c>
      <c r="L289" s="23">
        <f>IF($C289="","",INDEX(인턴근무계획!$N$3:$N$402,$A289)&amp;"")</f>
        <v/>
      </c>
      <c r="M289" s="23">
        <f>IF($C289="","",INDEX(인턴근무계획!$O$3:$O$402,$A289)&amp;"")</f>
        <v/>
      </c>
      <c r="N289" s="23">
        <f>IF($C289="","",INDEX(인턴근무계획!$P$3:$P$402,$A289)&amp;"")</f>
        <v/>
      </c>
      <c r="O289" s="23">
        <f>IF($C289="","",INDEX(인턴근무계획!$Q$3:$Q$402,$A289)&amp;"")</f>
        <v/>
      </c>
      <c r="P289" s="23">
        <f>IF($C289="","",INDEX(인턴근무계획!$R$3:$R$402,$A289)&amp;"")</f>
        <v/>
      </c>
      <c r="Q289" s="23">
        <f>IF($C289="","",INDEX(인턴근무계획!$T$3:$T$402,$A289))</f>
        <v/>
      </c>
    </row>
    <row r="290">
      <c r="A290" s="26" t="n">
        <v>285</v>
      </c>
      <c r="B290" s="23">
        <f>IF($C290="","",INDEX(인턴근무계획!$B$3:$B$402,$A290))</f>
        <v/>
      </c>
      <c r="C290" s="23">
        <f>IFERROR(TRIM(INDEX(인턴근무계획!$C$3:$C$402,$A290)&amp;""),"")</f>
        <v/>
      </c>
      <c r="D290" s="23">
        <f>IF($C290="","",INDEX(인턴근무계획!$D$3:$D$402,$A290))</f>
        <v/>
      </c>
      <c r="E290" s="23">
        <f>IF($C290="","",IF(IFERROR(MATCH($D290,기본자료!$B$2:$B$1001,0),IFERROR(MATCH($D290&amp;"",기본자료!$B$2:$B$1001,0),IFERROR(MATCH(VALUE($D290),기본자료!$B$2:$B$1001,0),0)))&gt;0,"확인","미등록"))</f>
        <v/>
      </c>
      <c r="F290" s="27">
        <f>IF($C290="","",INDEX(인턴근무계획!$S$3:$S$402,$A290))</f>
        <v/>
      </c>
      <c r="G290" s="23">
        <f>IF(OR($C290="",$G$3=""),"",IF(INDEX(인턴근무계획!$M$3:$R$402,$A290,$G$3)&amp;""="","",IF(LEFT(INDEX(인턴근무계획!$M$3:$R$402,$A290,$G$3)&amp;"",1)="⚠",INDEX(인턴근무계획!$M$3:$R$402,$A290,$G$3)&amp;"",LEFT(INDEX(인턴근무계획!$M$3:$R$402,$A290,$G$3)&amp;"",FIND(" ",INDEX(인턴근무계획!$M$3:$R$402,$A290,$G$3)&amp;"")-1))))</f>
        <v/>
      </c>
      <c r="H290" s="23">
        <f>IF(OR($C290="",$G$3=""),"",IF(INDEX(인턴근무계획!$M$3:$R$402,$A290,$G$3)&amp;""="","",IF(LEFT(INDEX(인턴근무계획!$M$3:$R$402,$A290,$G$3)&amp;"",1)="⚠","",MID(INDEX(인턴근무계획!$M$3:$R$402,$A290,$G$3)&amp;"",FIND(" ",INDEX(인턴근무계획!$M$3:$R$402,$A290,$G$3)&amp;"")+1,60))))</f>
        <v/>
      </c>
      <c r="I290" s="23">
        <f>IF(OR($C290="",$I$3=""),"",IF(INDEX(인턴근무계획!$M$3:$R$402,$A290,$I$3)&amp;""="","",IF(LEFT(INDEX(인턴근무계획!$M$3:$R$402,$A290,$I$3)&amp;"",1)="⚠",INDEX(인턴근무계획!$M$3:$R$402,$A290,$I$3)&amp;"",LEFT(INDEX(인턴근무계획!$M$3:$R$402,$A290,$I$3)&amp;"",FIND(" ",INDEX(인턴근무계획!$M$3:$R$402,$A290,$I$3)&amp;"")-1))))</f>
        <v/>
      </c>
      <c r="J290" s="23">
        <f>IF(OR($C290="",$I$3=""),"",IF(INDEX(인턴근무계획!$M$3:$R$402,$A290,$I$3)&amp;""="","",IF(LEFT(INDEX(인턴근무계획!$M$3:$R$402,$A290,$I$3)&amp;"",1)="⚠","",MID(INDEX(인턴근무계획!$M$3:$R$402,$A290,$I$3)&amp;"",FIND(" ",INDEX(인턴근무계획!$M$3:$R$402,$A290,$I$3)&amp;"")+1,60))))</f>
        <v/>
      </c>
      <c r="K290" s="23">
        <f>IF($C290="","",INDEX(인턴근무계획!$M$3:$M$402,$A290)&amp;"")</f>
        <v/>
      </c>
      <c r="L290" s="23">
        <f>IF($C290="","",INDEX(인턴근무계획!$N$3:$N$402,$A290)&amp;"")</f>
        <v/>
      </c>
      <c r="M290" s="23">
        <f>IF($C290="","",INDEX(인턴근무계획!$O$3:$O$402,$A290)&amp;"")</f>
        <v/>
      </c>
      <c r="N290" s="23">
        <f>IF($C290="","",INDEX(인턴근무계획!$P$3:$P$402,$A290)&amp;"")</f>
        <v/>
      </c>
      <c r="O290" s="23">
        <f>IF($C290="","",INDEX(인턴근무계획!$Q$3:$Q$402,$A290)&amp;"")</f>
        <v/>
      </c>
      <c r="P290" s="23">
        <f>IF($C290="","",INDEX(인턴근무계획!$R$3:$R$402,$A290)&amp;"")</f>
        <v/>
      </c>
      <c r="Q290" s="23">
        <f>IF($C290="","",INDEX(인턴근무계획!$T$3:$T$402,$A290))</f>
        <v/>
      </c>
    </row>
    <row r="291">
      <c r="A291" s="26" t="n">
        <v>286</v>
      </c>
      <c r="B291" s="23">
        <f>IF($C291="","",INDEX(인턴근무계획!$B$3:$B$402,$A291))</f>
        <v/>
      </c>
      <c r="C291" s="23">
        <f>IFERROR(TRIM(INDEX(인턴근무계획!$C$3:$C$402,$A291)&amp;""),"")</f>
        <v/>
      </c>
      <c r="D291" s="23">
        <f>IF($C291="","",INDEX(인턴근무계획!$D$3:$D$402,$A291))</f>
        <v/>
      </c>
      <c r="E291" s="23">
        <f>IF($C291="","",IF(IFERROR(MATCH($D291,기본자료!$B$2:$B$1001,0),IFERROR(MATCH($D291&amp;"",기본자료!$B$2:$B$1001,0),IFERROR(MATCH(VALUE($D291),기본자료!$B$2:$B$1001,0),0)))&gt;0,"확인","미등록"))</f>
        <v/>
      </c>
      <c r="F291" s="27">
        <f>IF($C291="","",INDEX(인턴근무계획!$S$3:$S$402,$A291))</f>
        <v/>
      </c>
      <c r="G291" s="23">
        <f>IF(OR($C291="",$G$3=""),"",IF(INDEX(인턴근무계획!$M$3:$R$402,$A291,$G$3)&amp;""="","",IF(LEFT(INDEX(인턴근무계획!$M$3:$R$402,$A291,$G$3)&amp;"",1)="⚠",INDEX(인턴근무계획!$M$3:$R$402,$A291,$G$3)&amp;"",LEFT(INDEX(인턴근무계획!$M$3:$R$402,$A291,$G$3)&amp;"",FIND(" ",INDEX(인턴근무계획!$M$3:$R$402,$A291,$G$3)&amp;"")-1))))</f>
        <v/>
      </c>
      <c r="H291" s="23">
        <f>IF(OR($C291="",$G$3=""),"",IF(INDEX(인턴근무계획!$M$3:$R$402,$A291,$G$3)&amp;""="","",IF(LEFT(INDEX(인턴근무계획!$M$3:$R$402,$A291,$G$3)&amp;"",1)="⚠","",MID(INDEX(인턴근무계획!$M$3:$R$402,$A291,$G$3)&amp;"",FIND(" ",INDEX(인턴근무계획!$M$3:$R$402,$A291,$G$3)&amp;"")+1,60))))</f>
        <v/>
      </c>
      <c r="I291" s="23">
        <f>IF(OR($C291="",$I$3=""),"",IF(INDEX(인턴근무계획!$M$3:$R$402,$A291,$I$3)&amp;""="","",IF(LEFT(INDEX(인턴근무계획!$M$3:$R$402,$A291,$I$3)&amp;"",1)="⚠",INDEX(인턴근무계획!$M$3:$R$402,$A291,$I$3)&amp;"",LEFT(INDEX(인턴근무계획!$M$3:$R$402,$A291,$I$3)&amp;"",FIND(" ",INDEX(인턴근무계획!$M$3:$R$402,$A291,$I$3)&amp;"")-1))))</f>
        <v/>
      </c>
      <c r="J291" s="23">
        <f>IF(OR($C291="",$I$3=""),"",IF(INDEX(인턴근무계획!$M$3:$R$402,$A291,$I$3)&amp;""="","",IF(LEFT(INDEX(인턴근무계획!$M$3:$R$402,$A291,$I$3)&amp;"",1)="⚠","",MID(INDEX(인턴근무계획!$M$3:$R$402,$A291,$I$3)&amp;"",FIND(" ",INDEX(인턴근무계획!$M$3:$R$402,$A291,$I$3)&amp;"")+1,60))))</f>
        <v/>
      </c>
      <c r="K291" s="23">
        <f>IF($C291="","",INDEX(인턴근무계획!$M$3:$M$402,$A291)&amp;"")</f>
        <v/>
      </c>
      <c r="L291" s="23">
        <f>IF($C291="","",INDEX(인턴근무계획!$N$3:$N$402,$A291)&amp;"")</f>
        <v/>
      </c>
      <c r="M291" s="23">
        <f>IF($C291="","",INDEX(인턴근무계획!$O$3:$O$402,$A291)&amp;"")</f>
        <v/>
      </c>
      <c r="N291" s="23">
        <f>IF($C291="","",INDEX(인턴근무계획!$P$3:$P$402,$A291)&amp;"")</f>
        <v/>
      </c>
      <c r="O291" s="23">
        <f>IF($C291="","",INDEX(인턴근무계획!$Q$3:$Q$402,$A291)&amp;"")</f>
        <v/>
      </c>
      <c r="P291" s="23">
        <f>IF($C291="","",INDEX(인턴근무계획!$R$3:$R$402,$A291)&amp;"")</f>
        <v/>
      </c>
      <c r="Q291" s="23">
        <f>IF($C291="","",INDEX(인턴근무계획!$T$3:$T$402,$A291))</f>
        <v/>
      </c>
    </row>
    <row r="292">
      <c r="A292" s="26" t="n">
        <v>287</v>
      </c>
      <c r="B292" s="23">
        <f>IF($C292="","",INDEX(인턴근무계획!$B$3:$B$402,$A292))</f>
        <v/>
      </c>
      <c r="C292" s="23">
        <f>IFERROR(TRIM(INDEX(인턴근무계획!$C$3:$C$402,$A292)&amp;""),"")</f>
        <v/>
      </c>
      <c r="D292" s="23">
        <f>IF($C292="","",INDEX(인턴근무계획!$D$3:$D$402,$A292))</f>
        <v/>
      </c>
      <c r="E292" s="23">
        <f>IF($C292="","",IF(IFERROR(MATCH($D292,기본자료!$B$2:$B$1001,0),IFERROR(MATCH($D292&amp;"",기본자료!$B$2:$B$1001,0),IFERROR(MATCH(VALUE($D292),기본자료!$B$2:$B$1001,0),0)))&gt;0,"확인","미등록"))</f>
        <v/>
      </c>
      <c r="F292" s="27">
        <f>IF($C292="","",INDEX(인턴근무계획!$S$3:$S$402,$A292))</f>
        <v/>
      </c>
      <c r="G292" s="23">
        <f>IF(OR($C292="",$G$3=""),"",IF(INDEX(인턴근무계획!$M$3:$R$402,$A292,$G$3)&amp;""="","",IF(LEFT(INDEX(인턴근무계획!$M$3:$R$402,$A292,$G$3)&amp;"",1)="⚠",INDEX(인턴근무계획!$M$3:$R$402,$A292,$G$3)&amp;"",LEFT(INDEX(인턴근무계획!$M$3:$R$402,$A292,$G$3)&amp;"",FIND(" ",INDEX(인턴근무계획!$M$3:$R$402,$A292,$G$3)&amp;"")-1))))</f>
        <v/>
      </c>
      <c r="H292" s="23">
        <f>IF(OR($C292="",$G$3=""),"",IF(INDEX(인턴근무계획!$M$3:$R$402,$A292,$G$3)&amp;""="","",IF(LEFT(INDEX(인턴근무계획!$M$3:$R$402,$A292,$G$3)&amp;"",1)="⚠","",MID(INDEX(인턴근무계획!$M$3:$R$402,$A292,$G$3)&amp;"",FIND(" ",INDEX(인턴근무계획!$M$3:$R$402,$A292,$G$3)&amp;"")+1,60))))</f>
        <v/>
      </c>
      <c r="I292" s="23">
        <f>IF(OR($C292="",$I$3=""),"",IF(INDEX(인턴근무계획!$M$3:$R$402,$A292,$I$3)&amp;""="","",IF(LEFT(INDEX(인턴근무계획!$M$3:$R$402,$A292,$I$3)&amp;"",1)="⚠",INDEX(인턴근무계획!$M$3:$R$402,$A292,$I$3)&amp;"",LEFT(INDEX(인턴근무계획!$M$3:$R$402,$A292,$I$3)&amp;"",FIND(" ",INDEX(인턴근무계획!$M$3:$R$402,$A292,$I$3)&amp;"")-1))))</f>
        <v/>
      </c>
      <c r="J292" s="23">
        <f>IF(OR($C292="",$I$3=""),"",IF(INDEX(인턴근무계획!$M$3:$R$402,$A292,$I$3)&amp;""="","",IF(LEFT(INDEX(인턴근무계획!$M$3:$R$402,$A292,$I$3)&amp;"",1)="⚠","",MID(INDEX(인턴근무계획!$M$3:$R$402,$A292,$I$3)&amp;"",FIND(" ",INDEX(인턴근무계획!$M$3:$R$402,$A292,$I$3)&amp;"")+1,60))))</f>
        <v/>
      </c>
      <c r="K292" s="23">
        <f>IF($C292="","",INDEX(인턴근무계획!$M$3:$M$402,$A292)&amp;"")</f>
        <v/>
      </c>
      <c r="L292" s="23">
        <f>IF($C292="","",INDEX(인턴근무계획!$N$3:$N$402,$A292)&amp;"")</f>
        <v/>
      </c>
      <c r="M292" s="23">
        <f>IF($C292="","",INDEX(인턴근무계획!$O$3:$O$402,$A292)&amp;"")</f>
        <v/>
      </c>
      <c r="N292" s="23">
        <f>IF($C292="","",INDEX(인턴근무계획!$P$3:$P$402,$A292)&amp;"")</f>
        <v/>
      </c>
      <c r="O292" s="23">
        <f>IF($C292="","",INDEX(인턴근무계획!$Q$3:$Q$402,$A292)&amp;"")</f>
        <v/>
      </c>
      <c r="P292" s="23">
        <f>IF($C292="","",INDEX(인턴근무계획!$R$3:$R$402,$A292)&amp;"")</f>
        <v/>
      </c>
      <c r="Q292" s="23">
        <f>IF($C292="","",INDEX(인턴근무계획!$T$3:$T$402,$A292))</f>
        <v/>
      </c>
    </row>
    <row r="293">
      <c r="A293" s="26" t="n">
        <v>288</v>
      </c>
      <c r="B293" s="23">
        <f>IF($C293="","",INDEX(인턴근무계획!$B$3:$B$402,$A293))</f>
        <v/>
      </c>
      <c r="C293" s="23">
        <f>IFERROR(TRIM(INDEX(인턴근무계획!$C$3:$C$402,$A293)&amp;""),"")</f>
        <v/>
      </c>
      <c r="D293" s="23">
        <f>IF($C293="","",INDEX(인턴근무계획!$D$3:$D$402,$A293))</f>
        <v/>
      </c>
      <c r="E293" s="23">
        <f>IF($C293="","",IF(IFERROR(MATCH($D293,기본자료!$B$2:$B$1001,0),IFERROR(MATCH($D293&amp;"",기본자료!$B$2:$B$1001,0),IFERROR(MATCH(VALUE($D293),기본자료!$B$2:$B$1001,0),0)))&gt;0,"확인","미등록"))</f>
        <v/>
      </c>
      <c r="F293" s="27">
        <f>IF($C293="","",INDEX(인턴근무계획!$S$3:$S$402,$A293))</f>
        <v/>
      </c>
      <c r="G293" s="23">
        <f>IF(OR($C293="",$G$3=""),"",IF(INDEX(인턴근무계획!$M$3:$R$402,$A293,$G$3)&amp;""="","",IF(LEFT(INDEX(인턴근무계획!$M$3:$R$402,$A293,$G$3)&amp;"",1)="⚠",INDEX(인턴근무계획!$M$3:$R$402,$A293,$G$3)&amp;"",LEFT(INDEX(인턴근무계획!$M$3:$R$402,$A293,$G$3)&amp;"",FIND(" ",INDEX(인턴근무계획!$M$3:$R$402,$A293,$G$3)&amp;"")-1))))</f>
        <v/>
      </c>
      <c r="H293" s="23">
        <f>IF(OR($C293="",$G$3=""),"",IF(INDEX(인턴근무계획!$M$3:$R$402,$A293,$G$3)&amp;""="","",IF(LEFT(INDEX(인턴근무계획!$M$3:$R$402,$A293,$G$3)&amp;"",1)="⚠","",MID(INDEX(인턴근무계획!$M$3:$R$402,$A293,$G$3)&amp;"",FIND(" ",INDEX(인턴근무계획!$M$3:$R$402,$A293,$G$3)&amp;"")+1,60))))</f>
        <v/>
      </c>
      <c r="I293" s="23">
        <f>IF(OR($C293="",$I$3=""),"",IF(INDEX(인턴근무계획!$M$3:$R$402,$A293,$I$3)&amp;""="","",IF(LEFT(INDEX(인턴근무계획!$M$3:$R$402,$A293,$I$3)&amp;"",1)="⚠",INDEX(인턴근무계획!$M$3:$R$402,$A293,$I$3)&amp;"",LEFT(INDEX(인턴근무계획!$M$3:$R$402,$A293,$I$3)&amp;"",FIND(" ",INDEX(인턴근무계획!$M$3:$R$402,$A293,$I$3)&amp;"")-1))))</f>
        <v/>
      </c>
      <c r="J293" s="23">
        <f>IF(OR($C293="",$I$3=""),"",IF(INDEX(인턴근무계획!$M$3:$R$402,$A293,$I$3)&amp;""="","",IF(LEFT(INDEX(인턴근무계획!$M$3:$R$402,$A293,$I$3)&amp;"",1)="⚠","",MID(INDEX(인턴근무계획!$M$3:$R$402,$A293,$I$3)&amp;"",FIND(" ",INDEX(인턴근무계획!$M$3:$R$402,$A293,$I$3)&amp;"")+1,60))))</f>
        <v/>
      </c>
      <c r="K293" s="23">
        <f>IF($C293="","",INDEX(인턴근무계획!$M$3:$M$402,$A293)&amp;"")</f>
        <v/>
      </c>
      <c r="L293" s="23">
        <f>IF($C293="","",INDEX(인턴근무계획!$N$3:$N$402,$A293)&amp;"")</f>
        <v/>
      </c>
      <c r="M293" s="23">
        <f>IF($C293="","",INDEX(인턴근무계획!$O$3:$O$402,$A293)&amp;"")</f>
        <v/>
      </c>
      <c r="N293" s="23">
        <f>IF($C293="","",INDEX(인턴근무계획!$P$3:$P$402,$A293)&amp;"")</f>
        <v/>
      </c>
      <c r="O293" s="23">
        <f>IF($C293="","",INDEX(인턴근무계획!$Q$3:$Q$402,$A293)&amp;"")</f>
        <v/>
      </c>
      <c r="P293" s="23">
        <f>IF($C293="","",INDEX(인턴근무계획!$R$3:$R$402,$A293)&amp;"")</f>
        <v/>
      </c>
      <c r="Q293" s="23">
        <f>IF($C293="","",INDEX(인턴근무계획!$T$3:$T$402,$A293))</f>
        <v/>
      </c>
    </row>
    <row r="294">
      <c r="A294" s="26" t="n">
        <v>289</v>
      </c>
      <c r="B294" s="23">
        <f>IF($C294="","",INDEX(인턴근무계획!$B$3:$B$402,$A294))</f>
        <v/>
      </c>
      <c r="C294" s="23">
        <f>IFERROR(TRIM(INDEX(인턴근무계획!$C$3:$C$402,$A294)&amp;""),"")</f>
        <v/>
      </c>
      <c r="D294" s="23">
        <f>IF($C294="","",INDEX(인턴근무계획!$D$3:$D$402,$A294))</f>
        <v/>
      </c>
      <c r="E294" s="23">
        <f>IF($C294="","",IF(IFERROR(MATCH($D294,기본자료!$B$2:$B$1001,0),IFERROR(MATCH($D294&amp;"",기본자료!$B$2:$B$1001,0),IFERROR(MATCH(VALUE($D294),기본자료!$B$2:$B$1001,0),0)))&gt;0,"확인","미등록"))</f>
        <v/>
      </c>
      <c r="F294" s="27">
        <f>IF($C294="","",INDEX(인턴근무계획!$S$3:$S$402,$A294))</f>
        <v/>
      </c>
      <c r="G294" s="23">
        <f>IF(OR($C294="",$G$3=""),"",IF(INDEX(인턴근무계획!$M$3:$R$402,$A294,$G$3)&amp;""="","",IF(LEFT(INDEX(인턴근무계획!$M$3:$R$402,$A294,$G$3)&amp;"",1)="⚠",INDEX(인턴근무계획!$M$3:$R$402,$A294,$G$3)&amp;"",LEFT(INDEX(인턴근무계획!$M$3:$R$402,$A294,$G$3)&amp;"",FIND(" ",INDEX(인턴근무계획!$M$3:$R$402,$A294,$G$3)&amp;"")-1))))</f>
        <v/>
      </c>
      <c r="H294" s="23">
        <f>IF(OR($C294="",$G$3=""),"",IF(INDEX(인턴근무계획!$M$3:$R$402,$A294,$G$3)&amp;""="","",IF(LEFT(INDEX(인턴근무계획!$M$3:$R$402,$A294,$G$3)&amp;"",1)="⚠","",MID(INDEX(인턴근무계획!$M$3:$R$402,$A294,$G$3)&amp;"",FIND(" ",INDEX(인턴근무계획!$M$3:$R$402,$A294,$G$3)&amp;"")+1,60))))</f>
        <v/>
      </c>
      <c r="I294" s="23">
        <f>IF(OR($C294="",$I$3=""),"",IF(INDEX(인턴근무계획!$M$3:$R$402,$A294,$I$3)&amp;""="","",IF(LEFT(INDEX(인턴근무계획!$M$3:$R$402,$A294,$I$3)&amp;"",1)="⚠",INDEX(인턴근무계획!$M$3:$R$402,$A294,$I$3)&amp;"",LEFT(INDEX(인턴근무계획!$M$3:$R$402,$A294,$I$3)&amp;"",FIND(" ",INDEX(인턴근무계획!$M$3:$R$402,$A294,$I$3)&amp;"")-1))))</f>
        <v/>
      </c>
      <c r="J294" s="23">
        <f>IF(OR($C294="",$I$3=""),"",IF(INDEX(인턴근무계획!$M$3:$R$402,$A294,$I$3)&amp;""="","",IF(LEFT(INDEX(인턴근무계획!$M$3:$R$402,$A294,$I$3)&amp;"",1)="⚠","",MID(INDEX(인턴근무계획!$M$3:$R$402,$A294,$I$3)&amp;"",FIND(" ",INDEX(인턴근무계획!$M$3:$R$402,$A294,$I$3)&amp;"")+1,60))))</f>
        <v/>
      </c>
      <c r="K294" s="23">
        <f>IF($C294="","",INDEX(인턴근무계획!$M$3:$M$402,$A294)&amp;"")</f>
        <v/>
      </c>
      <c r="L294" s="23">
        <f>IF($C294="","",INDEX(인턴근무계획!$N$3:$N$402,$A294)&amp;"")</f>
        <v/>
      </c>
      <c r="M294" s="23">
        <f>IF($C294="","",INDEX(인턴근무계획!$O$3:$O$402,$A294)&amp;"")</f>
        <v/>
      </c>
      <c r="N294" s="23">
        <f>IF($C294="","",INDEX(인턴근무계획!$P$3:$P$402,$A294)&amp;"")</f>
        <v/>
      </c>
      <c r="O294" s="23">
        <f>IF($C294="","",INDEX(인턴근무계획!$Q$3:$Q$402,$A294)&amp;"")</f>
        <v/>
      </c>
      <c r="P294" s="23">
        <f>IF($C294="","",INDEX(인턴근무계획!$R$3:$R$402,$A294)&amp;"")</f>
        <v/>
      </c>
      <c r="Q294" s="23">
        <f>IF($C294="","",INDEX(인턴근무계획!$T$3:$T$402,$A294))</f>
        <v/>
      </c>
    </row>
    <row r="295">
      <c r="A295" s="26" t="n">
        <v>290</v>
      </c>
      <c r="B295" s="23">
        <f>IF($C295="","",INDEX(인턴근무계획!$B$3:$B$402,$A295))</f>
        <v/>
      </c>
      <c r="C295" s="23">
        <f>IFERROR(TRIM(INDEX(인턴근무계획!$C$3:$C$402,$A295)&amp;""),"")</f>
        <v/>
      </c>
      <c r="D295" s="23">
        <f>IF($C295="","",INDEX(인턴근무계획!$D$3:$D$402,$A295))</f>
        <v/>
      </c>
      <c r="E295" s="23">
        <f>IF($C295="","",IF(IFERROR(MATCH($D295,기본자료!$B$2:$B$1001,0),IFERROR(MATCH($D295&amp;"",기본자료!$B$2:$B$1001,0),IFERROR(MATCH(VALUE($D295),기본자료!$B$2:$B$1001,0),0)))&gt;0,"확인","미등록"))</f>
        <v/>
      </c>
      <c r="F295" s="27">
        <f>IF($C295="","",INDEX(인턴근무계획!$S$3:$S$402,$A295))</f>
        <v/>
      </c>
      <c r="G295" s="23">
        <f>IF(OR($C295="",$G$3=""),"",IF(INDEX(인턴근무계획!$M$3:$R$402,$A295,$G$3)&amp;""="","",IF(LEFT(INDEX(인턴근무계획!$M$3:$R$402,$A295,$G$3)&amp;"",1)="⚠",INDEX(인턴근무계획!$M$3:$R$402,$A295,$G$3)&amp;"",LEFT(INDEX(인턴근무계획!$M$3:$R$402,$A295,$G$3)&amp;"",FIND(" ",INDEX(인턴근무계획!$M$3:$R$402,$A295,$G$3)&amp;"")-1))))</f>
        <v/>
      </c>
      <c r="H295" s="23">
        <f>IF(OR($C295="",$G$3=""),"",IF(INDEX(인턴근무계획!$M$3:$R$402,$A295,$G$3)&amp;""="","",IF(LEFT(INDEX(인턴근무계획!$M$3:$R$402,$A295,$G$3)&amp;"",1)="⚠","",MID(INDEX(인턴근무계획!$M$3:$R$402,$A295,$G$3)&amp;"",FIND(" ",INDEX(인턴근무계획!$M$3:$R$402,$A295,$G$3)&amp;"")+1,60))))</f>
        <v/>
      </c>
      <c r="I295" s="23">
        <f>IF(OR($C295="",$I$3=""),"",IF(INDEX(인턴근무계획!$M$3:$R$402,$A295,$I$3)&amp;""="","",IF(LEFT(INDEX(인턴근무계획!$M$3:$R$402,$A295,$I$3)&amp;"",1)="⚠",INDEX(인턴근무계획!$M$3:$R$402,$A295,$I$3)&amp;"",LEFT(INDEX(인턴근무계획!$M$3:$R$402,$A295,$I$3)&amp;"",FIND(" ",INDEX(인턴근무계획!$M$3:$R$402,$A295,$I$3)&amp;"")-1))))</f>
        <v/>
      </c>
      <c r="J295" s="23">
        <f>IF(OR($C295="",$I$3=""),"",IF(INDEX(인턴근무계획!$M$3:$R$402,$A295,$I$3)&amp;""="","",IF(LEFT(INDEX(인턴근무계획!$M$3:$R$402,$A295,$I$3)&amp;"",1)="⚠","",MID(INDEX(인턴근무계획!$M$3:$R$402,$A295,$I$3)&amp;"",FIND(" ",INDEX(인턴근무계획!$M$3:$R$402,$A295,$I$3)&amp;"")+1,60))))</f>
        <v/>
      </c>
      <c r="K295" s="23">
        <f>IF($C295="","",INDEX(인턴근무계획!$M$3:$M$402,$A295)&amp;"")</f>
        <v/>
      </c>
      <c r="L295" s="23">
        <f>IF($C295="","",INDEX(인턴근무계획!$N$3:$N$402,$A295)&amp;"")</f>
        <v/>
      </c>
      <c r="M295" s="23">
        <f>IF($C295="","",INDEX(인턴근무계획!$O$3:$O$402,$A295)&amp;"")</f>
        <v/>
      </c>
      <c r="N295" s="23">
        <f>IF($C295="","",INDEX(인턴근무계획!$P$3:$P$402,$A295)&amp;"")</f>
        <v/>
      </c>
      <c r="O295" s="23">
        <f>IF($C295="","",INDEX(인턴근무계획!$Q$3:$Q$402,$A295)&amp;"")</f>
        <v/>
      </c>
      <c r="P295" s="23">
        <f>IF($C295="","",INDEX(인턴근무계획!$R$3:$R$402,$A295)&amp;"")</f>
        <v/>
      </c>
      <c r="Q295" s="23">
        <f>IF($C295="","",INDEX(인턴근무계획!$T$3:$T$402,$A295))</f>
        <v/>
      </c>
    </row>
    <row r="296">
      <c r="A296" s="26" t="n">
        <v>291</v>
      </c>
      <c r="B296" s="23">
        <f>IF($C296="","",INDEX(인턴근무계획!$B$3:$B$402,$A296))</f>
        <v/>
      </c>
      <c r="C296" s="23">
        <f>IFERROR(TRIM(INDEX(인턴근무계획!$C$3:$C$402,$A296)&amp;""),"")</f>
        <v/>
      </c>
      <c r="D296" s="23">
        <f>IF($C296="","",INDEX(인턴근무계획!$D$3:$D$402,$A296))</f>
        <v/>
      </c>
      <c r="E296" s="23">
        <f>IF($C296="","",IF(IFERROR(MATCH($D296,기본자료!$B$2:$B$1001,0),IFERROR(MATCH($D296&amp;"",기본자료!$B$2:$B$1001,0),IFERROR(MATCH(VALUE($D296),기본자료!$B$2:$B$1001,0),0)))&gt;0,"확인","미등록"))</f>
        <v/>
      </c>
      <c r="F296" s="27">
        <f>IF($C296="","",INDEX(인턴근무계획!$S$3:$S$402,$A296))</f>
        <v/>
      </c>
      <c r="G296" s="23">
        <f>IF(OR($C296="",$G$3=""),"",IF(INDEX(인턴근무계획!$M$3:$R$402,$A296,$G$3)&amp;""="","",IF(LEFT(INDEX(인턴근무계획!$M$3:$R$402,$A296,$G$3)&amp;"",1)="⚠",INDEX(인턴근무계획!$M$3:$R$402,$A296,$G$3)&amp;"",LEFT(INDEX(인턴근무계획!$M$3:$R$402,$A296,$G$3)&amp;"",FIND(" ",INDEX(인턴근무계획!$M$3:$R$402,$A296,$G$3)&amp;"")-1))))</f>
        <v/>
      </c>
      <c r="H296" s="23">
        <f>IF(OR($C296="",$G$3=""),"",IF(INDEX(인턴근무계획!$M$3:$R$402,$A296,$G$3)&amp;""="","",IF(LEFT(INDEX(인턴근무계획!$M$3:$R$402,$A296,$G$3)&amp;"",1)="⚠","",MID(INDEX(인턴근무계획!$M$3:$R$402,$A296,$G$3)&amp;"",FIND(" ",INDEX(인턴근무계획!$M$3:$R$402,$A296,$G$3)&amp;"")+1,60))))</f>
        <v/>
      </c>
      <c r="I296" s="23">
        <f>IF(OR($C296="",$I$3=""),"",IF(INDEX(인턴근무계획!$M$3:$R$402,$A296,$I$3)&amp;""="","",IF(LEFT(INDEX(인턴근무계획!$M$3:$R$402,$A296,$I$3)&amp;"",1)="⚠",INDEX(인턴근무계획!$M$3:$R$402,$A296,$I$3)&amp;"",LEFT(INDEX(인턴근무계획!$M$3:$R$402,$A296,$I$3)&amp;"",FIND(" ",INDEX(인턴근무계획!$M$3:$R$402,$A296,$I$3)&amp;"")-1))))</f>
        <v/>
      </c>
      <c r="J296" s="23">
        <f>IF(OR($C296="",$I$3=""),"",IF(INDEX(인턴근무계획!$M$3:$R$402,$A296,$I$3)&amp;""="","",IF(LEFT(INDEX(인턴근무계획!$M$3:$R$402,$A296,$I$3)&amp;"",1)="⚠","",MID(INDEX(인턴근무계획!$M$3:$R$402,$A296,$I$3)&amp;"",FIND(" ",INDEX(인턴근무계획!$M$3:$R$402,$A296,$I$3)&amp;"")+1,60))))</f>
        <v/>
      </c>
      <c r="K296" s="23">
        <f>IF($C296="","",INDEX(인턴근무계획!$M$3:$M$402,$A296)&amp;"")</f>
        <v/>
      </c>
      <c r="L296" s="23">
        <f>IF($C296="","",INDEX(인턴근무계획!$N$3:$N$402,$A296)&amp;"")</f>
        <v/>
      </c>
      <c r="M296" s="23">
        <f>IF($C296="","",INDEX(인턴근무계획!$O$3:$O$402,$A296)&amp;"")</f>
        <v/>
      </c>
      <c r="N296" s="23">
        <f>IF($C296="","",INDEX(인턴근무계획!$P$3:$P$402,$A296)&amp;"")</f>
        <v/>
      </c>
      <c r="O296" s="23">
        <f>IF($C296="","",INDEX(인턴근무계획!$Q$3:$Q$402,$A296)&amp;"")</f>
        <v/>
      </c>
      <c r="P296" s="23">
        <f>IF($C296="","",INDEX(인턴근무계획!$R$3:$R$402,$A296)&amp;"")</f>
        <v/>
      </c>
      <c r="Q296" s="23">
        <f>IF($C296="","",INDEX(인턴근무계획!$T$3:$T$402,$A296))</f>
        <v/>
      </c>
    </row>
    <row r="297">
      <c r="A297" s="26" t="n">
        <v>292</v>
      </c>
      <c r="B297" s="23">
        <f>IF($C297="","",INDEX(인턴근무계획!$B$3:$B$402,$A297))</f>
        <v/>
      </c>
      <c r="C297" s="23">
        <f>IFERROR(TRIM(INDEX(인턴근무계획!$C$3:$C$402,$A297)&amp;""),"")</f>
        <v/>
      </c>
      <c r="D297" s="23">
        <f>IF($C297="","",INDEX(인턴근무계획!$D$3:$D$402,$A297))</f>
        <v/>
      </c>
      <c r="E297" s="23">
        <f>IF($C297="","",IF(IFERROR(MATCH($D297,기본자료!$B$2:$B$1001,0),IFERROR(MATCH($D297&amp;"",기본자료!$B$2:$B$1001,0),IFERROR(MATCH(VALUE($D297),기본자료!$B$2:$B$1001,0),0)))&gt;0,"확인","미등록"))</f>
        <v/>
      </c>
      <c r="F297" s="27">
        <f>IF($C297="","",INDEX(인턴근무계획!$S$3:$S$402,$A297))</f>
        <v/>
      </c>
      <c r="G297" s="23">
        <f>IF(OR($C297="",$G$3=""),"",IF(INDEX(인턴근무계획!$M$3:$R$402,$A297,$G$3)&amp;""="","",IF(LEFT(INDEX(인턴근무계획!$M$3:$R$402,$A297,$G$3)&amp;"",1)="⚠",INDEX(인턴근무계획!$M$3:$R$402,$A297,$G$3)&amp;"",LEFT(INDEX(인턴근무계획!$M$3:$R$402,$A297,$G$3)&amp;"",FIND(" ",INDEX(인턴근무계획!$M$3:$R$402,$A297,$G$3)&amp;"")-1))))</f>
        <v/>
      </c>
      <c r="H297" s="23">
        <f>IF(OR($C297="",$G$3=""),"",IF(INDEX(인턴근무계획!$M$3:$R$402,$A297,$G$3)&amp;""="","",IF(LEFT(INDEX(인턴근무계획!$M$3:$R$402,$A297,$G$3)&amp;"",1)="⚠","",MID(INDEX(인턴근무계획!$M$3:$R$402,$A297,$G$3)&amp;"",FIND(" ",INDEX(인턴근무계획!$M$3:$R$402,$A297,$G$3)&amp;"")+1,60))))</f>
        <v/>
      </c>
      <c r="I297" s="23">
        <f>IF(OR($C297="",$I$3=""),"",IF(INDEX(인턴근무계획!$M$3:$R$402,$A297,$I$3)&amp;""="","",IF(LEFT(INDEX(인턴근무계획!$M$3:$R$402,$A297,$I$3)&amp;"",1)="⚠",INDEX(인턴근무계획!$M$3:$R$402,$A297,$I$3)&amp;"",LEFT(INDEX(인턴근무계획!$M$3:$R$402,$A297,$I$3)&amp;"",FIND(" ",INDEX(인턴근무계획!$M$3:$R$402,$A297,$I$3)&amp;"")-1))))</f>
        <v/>
      </c>
      <c r="J297" s="23">
        <f>IF(OR($C297="",$I$3=""),"",IF(INDEX(인턴근무계획!$M$3:$R$402,$A297,$I$3)&amp;""="","",IF(LEFT(INDEX(인턴근무계획!$M$3:$R$402,$A297,$I$3)&amp;"",1)="⚠","",MID(INDEX(인턴근무계획!$M$3:$R$402,$A297,$I$3)&amp;"",FIND(" ",INDEX(인턴근무계획!$M$3:$R$402,$A297,$I$3)&amp;"")+1,60))))</f>
        <v/>
      </c>
      <c r="K297" s="23">
        <f>IF($C297="","",INDEX(인턴근무계획!$M$3:$M$402,$A297)&amp;"")</f>
        <v/>
      </c>
      <c r="L297" s="23">
        <f>IF($C297="","",INDEX(인턴근무계획!$N$3:$N$402,$A297)&amp;"")</f>
        <v/>
      </c>
      <c r="M297" s="23">
        <f>IF($C297="","",INDEX(인턴근무계획!$O$3:$O$402,$A297)&amp;"")</f>
        <v/>
      </c>
      <c r="N297" s="23">
        <f>IF($C297="","",INDEX(인턴근무계획!$P$3:$P$402,$A297)&amp;"")</f>
        <v/>
      </c>
      <c r="O297" s="23">
        <f>IF($C297="","",INDEX(인턴근무계획!$Q$3:$Q$402,$A297)&amp;"")</f>
        <v/>
      </c>
      <c r="P297" s="23">
        <f>IF($C297="","",INDEX(인턴근무계획!$R$3:$R$402,$A297)&amp;"")</f>
        <v/>
      </c>
      <c r="Q297" s="23">
        <f>IF($C297="","",INDEX(인턴근무계획!$T$3:$T$402,$A297))</f>
        <v/>
      </c>
    </row>
    <row r="298">
      <c r="A298" s="26" t="n">
        <v>293</v>
      </c>
      <c r="B298" s="23">
        <f>IF($C298="","",INDEX(인턴근무계획!$B$3:$B$402,$A298))</f>
        <v/>
      </c>
      <c r="C298" s="23">
        <f>IFERROR(TRIM(INDEX(인턴근무계획!$C$3:$C$402,$A298)&amp;""),"")</f>
        <v/>
      </c>
      <c r="D298" s="23">
        <f>IF($C298="","",INDEX(인턴근무계획!$D$3:$D$402,$A298))</f>
        <v/>
      </c>
      <c r="E298" s="23">
        <f>IF($C298="","",IF(IFERROR(MATCH($D298,기본자료!$B$2:$B$1001,0),IFERROR(MATCH($D298&amp;"",기본자료!$B$2:$B$1001,0),IFERROR(MATCH(VALUE($D298),기본자료!$B$2:$B$1001,0),0)))&gt;0,"확인","미등록"))</f>
        <v/>
      </c>
      <c r="F298" s="27">
        <f>IF($C298="","",INDEX(인턴근무계획!$S$3:$S$402,$A298))</f>
        <v/>
      </c>
      <c r="G298" s="23">
        <f>IF(OR($C298="",$G$3=""),"",IF(INDEX(인턴근무계획!$M$3:$R$402,$A298,$G$3)&amp;""="","",IF(LEFT(INDEX(인턴근무계획!$M$3:$R$402,$A298,$G$3)&amp;"",1)="⚠",INDEX(인턴근무계획!$M$3:$R$402,$A298,$G$3)&amp;"",LEFT(INDEX(인턴근무계획!$M$3:$R$402,$A298,$G$3)&amp;"",FIND(" ",INDEX(인턴근무계획!$M$3:$R$402,$A298,$G$3)&amp;"")-1))))</f>
        <v/>
      </c>
      <c r="H298" s="23">
        <f>IF(OR($C298="",$G$3=""),"",IF(INDEX(인턴근무계획!$M$3:$R$402,$A298,$G$3)&amp;""="","",IF(LEFT(INDEX(인턴근무계획!$M$3:$R$402,$A298,$G$3)&amp;"",1)="⚠","",MID(INDEX(인턴근무계획!$M$3:$R$402,$A298,$G$3)&amp;"",FIND(" ",INDEX(인턴근무계획!$M$3:$R$402,$A298,$G$3)&amp;"")+1,60))))</f>
        <v/>
      </c>
      <c r="I298" s="23">
        <f>IF(OR($C298="",$I$3=""),"",IF(INDEX(인턴근무계획!$M$3:$R$402,$A298,$I$3)&amp;""="","",IF(LEFT(INDEX(인턴근무계획!$M$3:$R$402,$A298,$I$3)&amp;"",1)="⚠",INDEX(인턴근무계획!$M$3:$R$402,$A298,$I$3)&amp;"",LEFT(INDEX(인턴근무계획!$M$3:$R$402,$A298,$I$3)&amp;"",FIND(" ",INDEX(인턴근무계획!$M$3:$R$402,$A298,$I$3)&amp;"")-1))))</f>
        <v/>
      </c>
      <c r="J298" s="23">
        <f>IF(OR($C298="",$I$3=""),"",IF(INDEX(인턴근무계획!$M$3:$R$402,$A298,$I$3)&amp;""="","",IF(LEFT(INDEX(인턴근무계획!$M$3:$R$402,$A298,$I$3)&amp;"",1)="⚠","",MID(INDEX(인턴근무계획!$M$3:$R$402,$A298,$I$3)&amp;"",FIND(" ",INDEX(인턴근무계획!$M$3:$R$402,$A298,$I$3)&amp;"")+1,60))))</f>
        <v/>
      </c>
      <c r="K298" s="23">
        <f>IF($C298="","",INDEX(인턴근무계획!$M$3:$M$402,$A298)&amp;"")</f>
        <v/>
      </c>
      <c r="L298" s="23">
        <f>IF($C298="","",INDEX(인턴근무계획!$N$3:$N$402,$A298)&amp;"")</f>
        <v/>
      </c>
      <c r="M298" s="23">
        <f>IF($C298="","",INDEX(인턴근무계획!$O$3:$O$402,$A298)&amp;"")</f>
        <v/>
      </c>
      <c r="N298" s="23">
        <f>IF($C298="","",INDEX(인턴근무계획!$P$3:$P$402,$A298)&amp;"")</f>
        <v/>
      </c>
      <c r="O298" s="23">
        <f>IF($C298="","",INDEX(인턴근무계획!$Q$3:$Q$402,$A298)&amp;"")</f>
        <v/>
      </c>
      <c r="P298" s="23">
        <f>IF($C298="","",INDEX(인턴근무계획!$R$3:$R$402,$A298)&amp;"")</f>
        <v/>
      </c>
      <c r="Q298" s="23">
        <f>IF($C298="","",INDEX(인턴근무계획!$T$3:$T$402,$A298))</f>
        <v/>
      </c>
    </row>
    <row r="299">
      <c r="A299" s="26" t="n">
        <v>294</v>
      </c>
      <c r="B299" s="23">
        <f>IF($C299="","",INDEX(인턴근무계획!$B$3:$B$402,$A299))</f>
        <v/>
      </c>
      <c r="C299" s="23">
        <f>IFERROR(TRIM(INDEX(인턴근무계획!$C$3:$C$402,$A299)&amp;""),"")</f>
        <v/>
      </c>
      <c r="D299" s="23">
        <f>IF($C299="","",INDEX(인턴근무계획!$D$3:$D$402,$A299))</f>
        <v/>
      </c>
      <c r="E299" s="23">
        <f>IF($C299="","",IF(IFERROR(MATCH($D299,기본자료!$B$2:$B$1001,0),IFERROR(MATCH($D299&amp;"",기본자료!$B$2:$B$1001,0),IFERROR(MATCH(VALUE($D299),기본자료!$B$2:$B$1001,0),0)))&gt;0,"확인","미등록"))</f>
        <v/>
      </c>
      <c r="F299" s="27">
        <f>IF($C299="","",INDEX(인턴근무계획!$S$3:$S$402,$A299))</f>
        <v/>
      </c>
      <c r="G299" s="23">
        <f>IF(OR($C299="",$G$3=""),"",IF(INDEX(인턴근무계획!$M$3:$R$402,$A299,$G$3)&amp;""="","",IF(LEFT(INDEX(인턴근무계획!$M$3:$R$402,$A299,$G$3)&amp;"",1)="⚠",INDEX(인턴근무계획!$M$3:$R$402,$A299,$G$3)&amp;"",LEFT(INDEX(인턴근무계획!$M$3:$R$402,$A299,$G$3)&amp;"",FIND(" ",INDEX(인턴근무계획!$M$3:$R$402,$A299,$G$3)&amp;"")-1))))</f>
        <v/>
      </c>
      <c r="H299" s="23">
        <f>IF(OR($C299="",$G$3=""),"",IF(INDEX(인턴근무계획!$M$3:$R$402,$A299,$G$3)&amp;""="","",IF(LEFT(INDEX(인턴근무계획!$M$3:$R$402,$A299,$G$3)&amp;"",1)="⚠","",MID(INDEX(인턴근무계획!$M$3:$R$402,$A299,$G$3)&amp;"",FIND(" ",INDEX(인턴근무계획!$M$3:$R$402,$A299,$G$3)&amp;"")+1,60))))</f>
        <v/>
      </c>
      <c r="I299" s="23">
        <f>IF(OR($C299="",$I$3=""),"",IF(INDEX(인턴근무계획!$M$3:$R$402,$A299,$I$3)&amp;""="","",IF(LEFT(INDEX(인턴근무계획!$M$3:$R$402,$A299,$I$3)&amp;"",1)="⚠",INDEX(인턴근무계획!$M$3:$R$402,$A299,$I$3)&amp;"",LEFT(INDEX(인턴근무계획!$M$3:$R$402,$A299,$I$3)&amp;"",FIND(" ",INDEX(인턴근무계획!$M$3:$R$402,$A299,$I$3)&amp;"")-1))))</f>
        <v/>
      </c>
      <c r="J299" s="23">
        <f>IF(OR($C299="",$I$3=""),"",IF(INDEX(인턴근무계획!$M$3:$R$402,$A299,$I$3)&amp;""="","",IF(LEFT(INDEX(인턴근무계획!$M$3:$R$402,$A299,$I$3)&amp;"",1)="⚠","",MID(INDEX(인턴근무계획!$M$3:$R$402,$A299,$I$3)&amp;"",FIND(" ",INDEX(인턴근무계획!$M$3:$R$402,$A299,$I$3)&amp;"")+1,60))))</f>
        <v/>
      </c>
      <c r="K299" s="23">
        <f>IF($C299="","",INDEX(인턴근무계획!$M$3:$M$402,$A299)&amp;"")</f>
        <v/>
      </c>
      <c r="L299" s="23">
        <f>IF($C299="","",INDEX(인턴근무계획!$N$3:$N$402,$A299)&amp;"")</f>
        <v/>
      </c>
      <c r="M299" s="23">
        <f>IF($C299="","",INDEX(인턴근무계획!$O$3:$O$402,$A299)&amp;"")</f>
        <v/>
      </c>
      <c r="N299" s="23">
        <f>IF($C299="","",INDEX(인턴근무계획!$P$3:$P$402,$A299)&amp;"")</f>
        <v/>
      </c>
      <c r="O299" s="23">
        <f>IF($C299="","",INDEX(인턴근무계획!$Q$3:$Q$402,$A299)&amp;"")</f>
        <v/>
      </c>
      <c r="P299" s="23">
        <f>IF($C299="","",INDEX(인턴근무계획!$R$3:$R$402,$A299)&amp;"")</f>
        <v/>
      </c>
      <c r="Q299" s="23">
        <f>IF($C299="","",INDEX(인턴근무계획!$T$3:$T$402,$A299))</f>
        <v/>
      </c>
    </row>
    <row r="300">
      <c r="A300" s="26" t="n">
        <v>295</v>
      </c>
      <c r="B300" s="23">
        <f>IF($C300="","",INDEX(인턴근무계획!$B$3:$B$402,$A300))</f>
        <v/>
      </c>
      <c r="C300" s="23">
        <f>IFERROR(TRIM(INDEX(인턴근무계획!$C$3:$C$402,$A300)&amp;""),"")</f>
        <v/>
      </c>
      <c r="D300" s="23">
        <f>IF($C300="","",INDEX(인턴근무계획!$D$3:$D$402,$A300))</f>
        <v/>
      </c>
      <c r="E300" s="23">
        <f>IF($C300="","",IF(IFERROR(MATCH($D300,기본자료!$B$2:$B$1001,0),IFERROR(MATCH($D300&amp;"",기본자료!$B$2:$B$1001,0),IFERROR(MATCH(VALUE($D300),기본자료!$B$2:$B$1001,0),0)))&gt;0,"확인","미등록"))</f>
        <v/>
      </c>
      <c r="F300" s="27">
        <f>IF($C300="","",INDEX(인턴근무계획!$S$3:$S$402,$A300))</f>
        <v/>
      </c>
      <c r="G300" s="23">
        <f>IF(OR($C300="",$G$3=""),"",IF(INDEX(인턴근무계획!$M$3:$R$402,$A300,$G$3)&amp;""="","",IF(LEFT(INDEX(인턴근무계획!$M$3:$R$402,$A300,$G$3)&amp;"",1)="⚠",INDEX(인턴근무계획!$M$3:$R$402,$A300,$G$3)&amp;"",LEFT(INDEX(인턴근무계획!$M$3:$R$402,$A300,$G$3)&amp;"",FIND(" ",INDEX(인턴근무계획!$M$3:$R$402,$A300,$G$3)&amp;"")-1))))</f>
        <v/>
      </c>
      <c r="H300" s="23">
        <f>IF(OR($C300="",$G$3=""),"",IF(INDEX(인턴근무계획!$M$3:$R$402,$A300,$G$3)&amp;""="","",IF(LEFT(INDEX(인턴근무계획!$M$3:$R$402,$A300,$G$3)&amp;"",1)="⚠","",MID(INDEX(인턴근무계획!$M$3:$R$402,$A300,$G$3)&amp;"",FIND(" ",INDEX(인턴근무계획!$M$3:$R$402,$A300,$G$3)&amp;"")+1,60))))</f>
        <v/>
      </c>
      <c r="I300" s="23">
        <f>IF(OR($C300="",$I$3=""),"",IF(INDEX(인턴근무계획!$M$3:$R$402,$A300,$I$3)&amp;""="","",IF(LEFT(INDEX(인턴근무계획!$M$3:$R$402,$A300,$I$3)&amp;"",1)="⚠",INDEX(인턴근무계획!$M$3:$R$402,$A300,$I$3)&amp;"",LEFT(INDEX(인턴근무계획!$M$3:$R$402,$A300,$I$3)&amp;"",FIND(" ",INDEX(인턴근무계획!$M$3:$R$402,$A300,$I$3)&amp;"")-1))))</f>
        <v/>
      </c>
      <c r="J300" s="23">
        <f>IF(OR($C300="",$I$3=""),"",IF(INDEX(인턴근무계획!$M$3:$R$402,$A300,$I$3)&amp;""="","",IF(LEFT(INDEX(인턴근무계획!$M$3:$R$402,$A300,$I$3)&amp;"",1)="⚠","",MID(INDEX(인턴근무계획!$M$3:$R$402,$A300,$I$3)&amp;"",FIND(" ",INDEX(인턴근무계획!$M$3:$R$402,$A300,$I$3)&amp;"")+1,60))))</f>
        <v/>
      </c>
      <c r="K300" s="23">
        <f>IF($C300="","",INDEX(인턴근무계획!$M$3:$M$402,$A300)&amp;"")</f>
        <v/>
      </c>
      <c r="L300" s="23">
        <f>IF($C300="","",INDEX(인턴근무계획!$N$3:$N$402,$A300)&amp;"")</f>
        <v/>
      </c>
      <c r="M300" s="23">
        <f>IF($C300="","",INDEX(인턴근무계획!$O$3:$O$402,$A300)&amp;"")</f>
        <v/>
      </c>
      <c r="N300" s="23">
        <f>IF($C300="","",INDEX(인턴근무계획!$P$3:$P$402,$A300)&amp;"")</f>
        <v/>
      </c>
      <c r="O300" s="23">
        <f>IF($C300="","",INDEX(인턴근무계획!$Q$3:$Q$402,$A300)&amp;"")</f>
        <v/>
      </c>
      <c r="P300" s="23">
        <f>IF($C300="","",INDEX(인턴근무계획!$R$3:$R$402,$A300)&amp;"")</f>
        <v/>
      </c>
      <c r="Q300" s="23">
        <f>IF($C300="","",INDEX(인턴근무계획!$T$3:$T$402,$A300))</f>
        <v/>
      </c>
    </row>
    <row r="301">
      <c r="A301" s="26" t="n">
        <v>296</v>
      </c>
      <c r="B301" s="23">
        <f>IF($C301="","",INDEX(인턴근무계획!$B$3:$B$402,$A301))</f>
        <v/>
      </c>
      <c r="C301" s="23">
        <f>IFERROR(TRIM(INDEX(인턴근무계획!$C$3:$C$402,$A301)&amp;""),"")</f>
        <v/>
      </c>
      <c r="D301" s="23">
        <f>IF($C301="","",INDEX(인턴근무계획!$D$3:$D$402,$A301))</f>
        <v/>
      </c>
      <c r="E301" s="23">
        <f>IF($C301="","",IF(IFERROR(MATCH($D301,기본자료!$B$2:$B$1001,0),IFERROR(MATCH($D301&amp;"",기본자료!$B$2:$B$1001,0),IFERROR(MATCH(VALUE($D301),기본자료!$B$2:$B$1001,0),0)))&gt;0,"확인","미등록"))</f>
        <v/>
      </c>
      <c r="F301" s="27">
        <f>IF($C301="","",INDEX(인턴근무계획!$S$3:$S$402,$A301))</f>
        <v/>
      </c>
      <c r="G301" s="23">
        <f>IF(OR($C301="",$G$3=""),"",IF(INDEX(인턴근무계획!$M$3:$R$402,$A301,$G$3)&amp;""="","",IF(LEFT(INDEX(인턴근무계획!$M$3:$R$402,$A301,$G$3)&amp;"",1)="⚠",INDEX(인턴근무계획!$M$3:$R$402,$A301,$G$3)&amp;"",LEFT(INDEX(인턴근무계획!$M$3:$R$402,$A301,$G$3)&amp;"",FIND(" ",INDEX(인턴근무계획!$M$3:$R$402,$A301,$G$3)&amp;"")-1))))</f>
        <v/>
      </c>
      <c r="H301" s="23">
        <f>IF(OR($C301="",$G$3=""),"",IF(INDEX(인턴근무계획!$M$3:$R$402,$A301,$G$3)&amp;""="","",IF(LEFT(INDEX(인턴근무계획!$M$3:$R$402,$A301,$G$3)&amp;"",1)="⚠","",MID(INDEX(인턴근무계획!$M$3:$R$402,$A301,$G$3)&amp;"",FIND(" ",INDEX(인턴근무계획!$M$3:$R$402,$A301,$G$3)&amp;"")+1,60))))</f>
        <v/>
      </c>
      <c r="I301" s="23">
        <f>IF(OR($C301="",$I$3=""),"",IF(INDEX(인턴근무계획!$M$3:$R$402,$A301,$I$3)&amp;""="","",IF(LEFT(INDEX(인턴근무계획!$M$3:$R$402,$A301,$I$3)&amp;"",1)="⚠",INDEX(인턴근무계획!$M$3:$R$402,$A301,$I$3)&amp;"",LEFT(INDEX(인턴근무계획!$M$3:$R$402,$A301,$I$3)&amp;"",FIND(" ",INDEX(인턴근무계획!$M$3:$R$402,$A301,$I$3)&amp;"")-1))))</f>
        <v/>
      </c>
      <c r="J301" s="23">
        <f>IF(OR($C301="",$I$3=""),"",IF(INDEX(인턴근무계획!$M$3:$R$402,$A301,$I$3)&amp;""="","",IF(LEFT(INDEX(인턴근무계획!$M$3:$R$402,$A301,$I$3)&amp;"",1)="⚠","",MID(INDEX(인턴근무계획!$M$3:$R$402,$A301,$I$3)&amp;"",FIND(" ",INDEX(인턴근무계획!$M$3:$R$402,$A301,$I$3)&amp;"")+1,60))))</f>
        <v/>
      </c>
      <c r="K301" s="23">
        <f>IF($C301="","",INDEX(인턴근무계획!$M$3:$M$402,$A301)&amp;"")</f>
        <v/>
      </c>
      <c r="L301" s="23">
        <f>IF($C301="","",INDEX(인턴근무계획!$N$3:$N$402,$A301)&amp;"")</f>
        <v/>
      </c>
      <c r="M301" s="23">
        <f>IF($C301="","",INDEX(인턴근무계획!$O$3:$O$402,$A301)&amp;"")</f>
        <v/>
      </c>
      <c r="N301" s="23">
        <f>IF($C301="","",INDEX(인턴근무계획!$P$3:$P$402,$A301)&amp;"")</f>
        <v/>
      </c>
      <c r="O301" s="23">
        <f>IF($C301="","",INDEX(인턴근무계획!$Q$3:$Q$402,$A301)&amp;"")</f>
        <v/>
      </c>
      <c r="P301" s="23">
        <f>IF($C301="","",INDEX(인턴근무계획!$R$3:$R$402,$A301)&amp;"")</f>
        <v/>
      </c>
      <c r="Q301" s="23">
        <f>IF($C301="","",INDEX(인턴근무계획!$T$3:$T$402,$A301))</f>
        <v/>
      </c>
    </row>
    <row r="302">
      <c r="A302" s="26" t="n">
        <v>297</v>
      </c>
      <c r="B302" s="23">
        <f>IF($C302="","",INDEX(인턴근무계획!$B$3:$B$402,$A302))</f>
        <v/>
      </c>
      <c r="C302" s="23">
        <f>IFERROR(TRIM(INDEX(인턴근무계획!$C$3:$C$402,$A302)&amp;""),"")</f>
        <v/>
      </c>
      <c r="D302" s="23">
        <f>IF($C302="","",INDEX(인턴근무계획!$D$3:$D$402,$A302))</f>
        <v/>
      </c>
      <c r="E302" s="23">
        <f>IF($C302="","",IF(IFERROR(MATCH($D302,기본자료!$B$2:$B$1001,0),IFERROR(MATCH($D302&amp;"",기본자료!$B$2:$B$1001,0),IFERROR(MATCH(VALUE($D302),기본자료!$B$2:$B$1001,0),0)))&gt;0,"확인","미등록"))</f>
        <v/>
      </c>
      <c r="F302" s="27">
        <f>IF($C302="","",INDEX(인턴근무계획!$S$3:$S$402,$A302))</f>
        <v/>
      </c>
      <c r="G302" s="23">
        <f>IF(OR($C302="",$G$3=""),"",IF(INDEX(인턴근무계획!$M$3:$R$402,$A302,$G$3)&amp;""="","",IF(LEFT(INDEX(인턴근무계획!$M$3:$R$402,$A302,$G$3)&amp;"",1)="⚠",INDEX(인턴근무계획!$M$3:$R$402,$A302,$G$3)&amp;"",LEFT(INDEX(인턴근무계획!$M$3:$R$402,$A302,$G$3)&amp;"",FIND(" ",INDEX(인턴근무계획!$M$3:$R$402,$A302,$G$3)&amp;"")-1))))</f>
        <v/>
      </c>
      <c r="H302" s="23">
        <f>IF(OR($C302="",$G$3=""),"",IF(INDEX(인턴근무계획!$M$3:$R$402,$A302,$G$3)&amp;""="","",IF(LEFT(INDEX(인턴근무계획!$M$3:$R$402,$A302,$G$3)&amp;"",1)="⚠","",MID(INDEX(인턴근무계획!$M$3:$R$402,$A302,$G$3)&amp;"",FIND(" ",INDEX(인턴근무계획!$M$3:$R$402,$A302,$G$3)&amp;"")+1,60))))</f>
        <v/>
      </c>
      <c r="I302" s="23">
        <f>IF(OR($C302="",$I$3=""),"",IF(INDEX(인턴근무계획!$M$3:$R$402,$A302,$I$3)&amp;""="","",IF(LEFT(INDEX(인턴근무계획!$M$3:$R$402,$A302,$I$3)&amp;"",1)="⚠",INDEX(인턴근무계획!$M$3:$R$402,$A302,$I$3)&amp;"",LEFT(INDEX(인턴근무계획!$M$3:$R$402,$A302,$I$3)&amp;"",FIND(" ",INDEX(인턴근무계획!$M$3:$R$402,$A302,$I$3)&amp;"")-1))))</f>
        <v/>
      </c>
      <c r="J302" s="23">
        <f>IF(OR($C302="",$I$3=""),"",IF(INDEX(인턴근무계획!$M$3:$R$402,$A302,$I$3)&amp;""="","",IF(LEFT(INDEX(인턴근무계획!$M$3:$R$402,$A302,$I$3)&amp;"",1)="⚠","",MID(INDEX(인턴근무계획!$M$3:$R$402,$A302,$I$3)&amp;"",FIND(" ",INDEX(인턴근무계획!$M$3:$R$402,$A302,$I$3)&amp;"")+1,60))))</f>
        <v/>
      </c>
      <c r="K302" s="23">
        <f>IF($C302="","",INDEX(인턴근무계획!$M$3:$M$402,$A302)&amp;"")</f>
        <v/>
      </c>
      <c r="L302" s="23">
        <f>IF($C302="","",INDEX(인턴근무계획!$N$3:$N$402,$A302)&amp;"")</f>
        <v/>
      </c>
      <c r="M302" s="23">
        <f>IF($C302="","",INDEX(인턴근무계획!$O$3:$O$402,$A302)&amp;"")</f>
        <v/>
      </c>
      <c r="N302" s="23">
        <f>IF($C302="","",INDEX(인턴근무계획!$P$3:$P$402,$A302)&amp;"")</f>
        <v/>
      </c>
      <c r="O302" s="23">
        <f>IF($C302="","",INDEX(인턴근무계획!$Q$3:$Q$402,$A302)&amp;"")</f>
        <v/>
      </c>
      <c r="P302" s="23">
        <f>IF($C302="","",INDEX(인턴근무계획!$R$3:$R$402,$A302)&amp;"")</f>
        <v/>
      </c>
      <c r="Q302" s="23">
        <f>IF($C302="","",INDEX(인턴근무계획!$T$3:$T$402,$A302))</f>
        <v/>
      </c>
    </row>
    <row r="303">
      <c r="A303" s="26" t="n">
        <v>298</v>
      </c>
      <c r="B303" s="23">
        <f>IF($C303="","",INDEX(인턴근무계획!$B$3:$B$402,$A303))</f>
        <v/>
      </c>
      <c r="C303" s="23">
        <f>IFERROR(TRIM(INDEX(인턴근무계획!$C$3:$C$402,$A303)&amp;""),"")</f>
        <v/>
      </c>
      <c r="D303" s="23">
        <f>IF($C303="","",INDEX(인턴근무계획!$D$3:$D$402,$A303))</f>
        <v/>
      </c>
      <c r="E303" s="23">
        <f>IF($C303="","",IF(IFERROR(MATCH($D303,기본자료!$B$2:$B$1001,0),IFERROR(MATCH($D303&amp;"",기본자료!$B$2:$B$1001,0),IFERROR(MATCH(VALUE($D303),기본자료!$B$2:$B$1001,0),0)))&gt;0,"확인","미등록"))</f>
        <v/>
      </c>
      <c r="F303" s="27">
        <f>IF($C303="","",INDEX(인턴근무계획!$S$3:$S$402,$A303))</f>
        <v/>
      </c>
      <c r="G303" s="23">
        <f>IF(OR($C303="",$G$3=""),"",IF(INDEX(인턴근무계획!$M$3:$R$402,$A303,$G$3)&amp;""="","",IF(LEFT(INDEX(인턴근무계획!$M$3:$R$402,$A303,$G$3)&amp;"",1)="⚠",INDEX(인턴근무계획!$M$3:$R$402,$A303,$G$3)&amp;"",LEFT(INDEX(인턴근무계획!$M$3:$R$402,$A303,$G$3)&amp;"",FIND(" ",INDEX(인턴근무계획!$M$3:$R$402,$A303,$G$3)&amp;"")-1))))</f>
        <v/>
      </c>
      <c r="H303" s="23">
        <f>IF(OR($C303="",$G$3=""),"",IF(INDEX(인턴근무계획!$M$3:$R$402,$A303,$G$3)&amp;""="","",IF(LEFT(INDEX(인턴근무계획!$M$3:$R$402,$A303,$G$3)&amp;"",1)="⚠","",MID(INDEX(인턴근무계획!$M$3:$R$402,$A303,$G$3)&amp;"",FIND(" ",INDEX(인턴근무계획!$M$3:$R$402,$A303,$G$3)&amp;"")+1,60))))</f>
        <v/>
      </c>
      <c r="I303" s="23">
        <f>IF(OR($C303="",$I$3=""),"",IF(INDEX(인턴근무계획!$M$3:$R$402,$A303,$I$3)&amp;""="","",IF(LEFT(INDEX(인턴근무계획!$M$3:$R$402,$A303,$I$3)&amp;"",1)="⚠",INDEX(인턴근무계획!$M$3:$R$402,$A303,$I$3)&amp;"",LEFT(INDEX(인턴근무계획!$M$3:$R$402,$A303,$I$3)&amp;"",FIND(" ",INDEX(인턴근무계획!$M$3:$R$402,$A303,$I$3)&amp;"")-1))))</f>
        <v/>
      </c>
      <c r="J303" s="23">
        <f>IF(OR($C303="",$I$3=""),"",IF(INDEX(인턴근무계획!$M$3:$R$402,$A303,$I$3)&amp;""="","",IF(LEFT(INDEX(인턴근무계획!$M$3:$R$402,$A303,$I$3)&amp;"",1)="⚠","",MID(INDEX(인턴근무계획!$M$3:$R$402,$A303,$I$3)&amp;"",FIND(" ",INDEX(인턴근무계획!$M$3:$R$402,$A303,$I$3)&amp;"")+1,60))))</f>
        <v/>
      </c>
      <c r="K303" s="23">
        <f>IF($C303="","",INDEX(인턴근무계획!$M$3:$M$402,$A303)&amp;"")</f>
        <v/>
      </c>
      <c r="L303" s="23">
        <f>IF($C303="","",INDEX(인턴근무계획!$N$3:$N$402,$A303)&amp;"")</f>
        <v/>
      </c>
      <c r="M303" s="23">
        <f>IF($C303="","",INDEX(인턴근무계획!$O$3:$O$402,$A303)&amp;"")</f>
        <v/>
      </c>
      <c r="N303" s="23">
        <f>IF($C303="","",INDEX(인턴근무계획!$P$3:$P$402,$A303)&amp;"")</f>
        <v/>
      </c>
      <c r="O303" s="23">
        <f>IF($C303="","",INDEX(인턴근무계획!$Q$3:$Q$402,$A303)&amp;"")</f>
        <v/>
      </c>
      <c r="P303" s="23">
        <f>IF($C303="","",INDEX(인턴근무계획!$R$3:$R$402,$A303)&amp;"")</f>
        <v/>
      </c>
      <c r="Q303" s="23">
        <f>IF($C303="","",INDEX(인턴근무계획!$T$3:$T$402,$A303))</f>
        <v/>
      </c>
    </row>
    <row r="304">
      <c r="A304" s="26" t="n">
        <v>299</v>
      </c>
      <c r="B304" s="23">
        <f>IF($C304="","",INDEX(인턴근무계획!$B$3:$B$402,$A304))</f>
        <v/>
      </c>
      <c r="C304" s="23">
        <f>IFERROR(TRIM(INDEX(인턴근무계획!$C$3:$C$402,$A304)&amp;""),"")</f>
        <v/>
      </c>
      <c r="D304" s="23">
        <f>IF($C304="","",INDEX(인턴근무계획!$D$3:$D$402,$A304))</f>
        <v/>
      </c>
      <c r="E304" s="23">
        <f>IF($C304="","",IF(IFERROR(MATCH($D304,기본자료!$B$2:$B$1001,0),IFERROR(MATCH($D304&amp;"",기본자료!$B$2:$B$1001,0),IFERROR(MATCH(VALUE($D304),기본자료!$B$2:$B$1001,0),0)))&gt;0,"확인","미등록"))</f>
        <v/>
      </c>
      <c r="F304" s="27">
        <f>IF($C304="","",INDEX(인턴근무계획!$S$3:$S$402,$A304))</f>
        <v/>
      </c>
      <c r="G304" s="23">
        <f>IF(OR($C304="",$G$3=""),"",IF(INDEX(인턴근무계획!$M$3:$R$402,$A304,$G$3)&amp;""="","",IF(LEFT(INDEX(인턴근무계획!$M$3:$R$402,$A304,$G$3)&amp;"",1)="⚠",INDEX(인턴근무계획!$M$3:$R$402,$A304,$G$3)&amp;"",LEFT(INDEX(인턴근무계획!$M$3:$R$402,$A304,$G$3)&amp;"",FIND(" ",INDEX(인턴근무계획!$M$3:$R$402,$A304,$G$3)&amp;"")-1))))</f>
        <v/>
      </c>
      <c r="H304" s="23">
        <f>IF(OR($C304="",$G$3=""),"",IF(INDEX(인턴근무계획!$M$3:$R$402,$A304,$G$3)&amp;""="","",IF(LEFT(INDEX(인턴근무계획!$M$3:$R$402,$A304,$G$3)&amp;"",1)="⚠","",MID(INDEX(인턴근무계획!$M$3:$R$402,$A304,$G$3)&amp;"",FIND(" ",INDEX(인턴근무계획!$M$3:$R$402,$A304,$G$3)&amp;"")+1,60))))</f>
        <v/>
      </c>
      <c r="I304" s="23">
        <f>IF(OR($C304="",$I$3=""),"",IF(INDEX(인턴근무계획!$M$3:$R$402,$A304,$I$3)&amp;""="","",IF(LEFT(INDEX(인턴근무계획!$M$3:$R$402,$A304,$I$3)&amp;"",1)="⚠",INDEX(인턴근무계획!$M$3:$R$402,$A304,$I$3)&amp;"",LEFT(INDEX(인턴근무계획!$M$3:$R$402,$A304,$I$3)&amp;"",FIND(" ",INDEX(인턴근무계획!$M$3:$R$402,$A304,$I$3)&amp;"")-1))))</f>
        <v/>
      </c>
      <c r="J304" s="23">
        <f>IF(OR($C304="",$I$3=""),"",IF(INDEX(인턴근무계획!$M$3:$R$402,$A304,$I$3)&amp;""="","",IF(LEFT(INDEX(인턴근무계획!$M$3:$R$402,$A304,$I$3)&amp;"",1)="⚠","",MID(INDEX(인턴근무계획!$M$3:$R$402,$A304,$I$3)&amp;"",FIND(" ",INDEX(인턴근무계획!$M$3:$R$402,$A304,$I$3)&amp;"")+1,60))))</f>
        <v/>
      </c>
      <c r="K304" s="23">
        <f>IF($C304="","",INDEX(인턴근무계획!$M$3:$M$402,$A304)&amp;"")</f>
        <v/>
      </c>
      <c r="L304" s="23">
        <f>IF($C304="","",INDEX(인턴근무계획!$N$3:$N$402,$A304)&amp;"")</f>
        <v/>
      </c>
      <c r="M304" s="23">
        <f>IF($C304="","",INDEX(인턴근무계획!$O$3:$O$402,$A304)&amp;"")</f>
        <v/>
      </c>
      <c r="N304" s="23">
        <f>IF($C304="","",INDEX(인턴근무계획!$P$3:$P$402,$A304)&amp;"")</f>
        <v/>
      </c>
      <c r="O304" s="23">
        <f>IF($C304="","",INDEX(인턴근무계획!$Q$3:$Q$402,$A304)&amp;"")</f>
        <v/>
      </c>
      <c r="P304" s="23">
        <f>IF($C304="","",INDEX(인턴근무계획!$R$3:$R$402,$A304)&amp;"")</f>
        <v/>
      </c>
      <c r="Q304" s="23">
        <f>IF($C304="","",INDEX(인턴근무계획!$T$3:$T$402,$A304))</f>
        <v/>
      </c>
    </row>
    <row r="305">
      <c r="A305" s="26" t="n">
        <v>300</v>
      </c>
      <c r="B305" s="23">
        <f>IF($C305="","",INDEX(인턴근무계획!$B$3:$B$402,$A305))</f>
        <v/>
      </c>
      <c r="C305" s="23">
        <f>IFERROR(TRIM(INDEX(인턴근무계획!$C$3:$C$402,$A305)&amp;""),"")</f>
        <v/>
      </c>
      <c r="D305" s="23">
        <f>IF($C305="","",INDEX(인턴근무계획!$D$3:$D$402,$A305))</f>
        <v/>
      </c>
      <c r="E305" s="23">
        <f>IF($C305="","",IF(IFERROR(MATCH($D305,기본자료!$B$2:$B$1001,0),IFERROR(MATCH($D305&amp;"",기본자료!$B$2:$B$1001,0),IFERROR(MATCH(VALUE($D305),기본자료!$B$2:$B$1001,0),0)))&gt;0,"확인","미등록"))</f>
        <v/>
      </c>
      <c r="F305" s="27">
        <f>IF($C305="","",INDEX(인턴근무계획!$S$3:$S$402,$A305))</f>
        <v/>
      </c>
      <c r="G305" s="23">
        <f>IF(OR($C305="",$G$3=""),"",IF(INDEX(인턴근무계획!$M$3:$R$402,$A305,$G$3)&amp;""="","",IF(LEFT(INDEX(인턴근무계획!$M$3:$R$402,$A305,$G$3)&amp;"",1)="⚠",INDEX(인턴근무계획!$M$3:$R$402,$A305,$G$3)&amp;"",LEFT(INDEX(인턴근무계획!$M$3:$R$402,$A305,$G$3)&amp;"",FIND(" ",INDEX(인턴근무계획!$M$3:$R$402,$A305,$G$3)&amp;"")-1))))</f>
        <v/>
      </c>
      <c r="H305" s="23">
        <f>IF(OR($C305="",$G$3=""),"",IF(INDEX(인턴근무계획!$M$3:$R$402,$A305,$G$3)&amp;""="","",IF(LEFT(INDEX(인턴근무계획!$M$3:$R$402,$A305,$G$3)&amp;"",1)="⚠","",MID(INDEX(인턴근무계획!$M$3:$R$402,$A305,$G$3)&amp;"",FIND(" ",INDEX(인턴근무계획!$M$3:$R$402,$A305,$G$3)&amp;"")+1,60))))</f>
        <v/>
      </c>
      <c r="I305" s="23">
        <f>IF(OR($C305="",$I$3=""),"",IF(INDEX(인턴근무계획!$M$3:$R$402,$A305,$I$3)&amp;""="","",IF(LEFT(INDEX(인턴근무계획!$M$3:$R$402,$A305,$I$3)&amp;"",1)="⚠",INDEX(인턴근무계획!$M$3:$R$402,$A305,$I$3)&amp;"",LEFT(INDEX(인턴근무계획!$M$3:$R$402,$A305,$I$3)&amp;"",FIND(" ",INDEX(인턴근무계획!$M$3:$R$402,$A305,$I$3)&amp;"")-1))))</f>
        <v/>
      </c>
      <c r="J305" s="23">
        <f>IF(OR($C305="",$I$3=""),"",IF(INDEX(인턴근무계획!$M$3:$R$402,$A305,$I$3)&amp;""="","",IF(LEFT(INDEX(인턴근무계획!$M$3:$R$402,$A305,$I$3)&amp;"",1)="⚠","",MID(INDEX(인턴근무계획!$M$3:$R$402,$A305,$I$3)&amp;"",FIND(" ",INDEX(인턴근무계획!$M$3:$R$402,$A305,$I$3)&amp;"")+1,60))))</f>
        <v/>
      </c>
      <c r="K305" s="23">
        <f>IF($C305="","",INDEX(인턴근무계획!$M$3:$M$402,$A305)&amp;"")</f>
        <v/>
      </c>
      <c r="L305" s="23">
        <f>IF($C305="","",INDEX(인턴근무계획!$N$3:$N$402,$A305)&amp;"")</f>
        <v/>
      </c>
      <c r="M305" s="23">
        <f>IF($C305="","",INDEX(인턴근무계획!$O$3:$O$402,$A305)&amp;"")</f>
        <v/>
      </c>
      <c r="N305" s="23">
        <f>IF($C305="","",INDEX(인턴근무계획!$P$3:$P$402,$A305)&amp;"")</f>
        <v/>
      </c>
      <c r="O305" s="23">
        <f>IF($C305="","",INDEX(인턴근무계획!$Q$3:$Q$402,$A305)&amp;"")</f>
        <v/>
      </c>
      <c r="P305" s="23">
        <f>IF($C305="","",INDEX(인턴근무계획!$R$3:$R$402,$A305)&amp;"")</f>
        <v/>
      </c>
      <c r="Q305" s="23">
        <f>IF($C305="","",INDEX(인턴근무계획!$T$3:$T$402,$A305))</f>
        <v/>
      </c>
    </row>
    <row r="306">
      <c r="A306" s="26" t="n">
        <v>301</v>
      </c>
      <c r="B306" s="23">
        <f>IF($C306="","",INDEX(인턴근무계획!$B$3:$B$402,$A306))</f>
        <v/>
      </c>
      <c r="C306" s="23">
        <f>IFERROR(TRIM(INDEX(인턴근무계획!$C$3:$C$402,$A306)&amp;""),"")</f>
        <v/>
      </c>
      <c r="D306" s="23">
        <f>IF($C306="","",INDEX(인턴근무계획!$D$3:$D$402,$A306))</f>
        <v/>
      </c>
      <c r="E306" s="23">
        <f>IF($C306="","",IF(IFERROR(MATCH($D306,기본자료!$B$2:$B$1001,0),IFERROR(MATCH($D306&amp;"",기본자료!$B$2:$B$1001,0),IFERROR(MATCH(VALUE($D306),기본자료!$B$2:$B$1001,0),0)))&gt;0,"확인","미등록"))</f>
        <v/>
      </c>
      <c r="F306" s="27">
        <f>IF($C306="","",INDEX(인턴근무계획!$S$3:$S$402,$A306))</f>
        <v/>
      </c>
      <c r="G306" s="23">
        <f>IF(OR($C306="",$G$3=""),"",IF(INDEX(인턴근무계획!$M$3:$R$402,$A306,$G$3)&amp;""="","",IF(LEFT(INDEX(인턴근무계획!$M$3:$R$402,$A306,$G$3)&amp;"",1)="⚠",INDEX(인턴근무계획!$M$3:$R$402,$A306,$G$3)&amp;"",LEFT(INDEX(인턴근무계획!$M$3:$R$402,$A306,$G$3)&amp;"",FIND(" ",INDEX(인턴근무계획!$M$3:$R$402,$A306,$G$3)&amp;"")-1))))</f>
        <v/>
      </c>
      <c r="H306" s="23">
        <f>IF(OR($C306="",$G$3=""),"",IF(INDEX(인턴근무계획!$M$3:$R$402,$A306,$G$3)&amp;""="","",IF(LEFT(INDEX(인턴근무계획!$M$3:$R$402,$A306,$G$3)&amp;"",1)="⚠","",MID(INDEX(인턴근무계획!$M$3:$R$402,$A306,$G$3)&amp;"",FIND(" ",INDEX(인턴근무계획!$M$3:$R$402,$A306,$G$3)&amp;"")+1,60))))</f>
        <v/>
      </c>
      <c r="I306" s="23">
        <f>IF(OR($C306="",$I$3=""),"",IF(INDEX(인턴근무계획!$M$3:$R$402,$A306,$I$3)&amp;""="","",IF(LEFT(INDEX(인턴근무계획!$M$3:$R$402,$A306,$I$3)&amp;"",1)="⚠",INDEX(인턴근무계획!$M$3:$R$402,$A306,$I$3)&amp;"",LEFT(INDEX(인턴근무계획!$M$3:$R$402,$A306,$I$3)&amp;"",FIND(" ",INDEX(인턴근무계획!$M$3:$R$402,$A306,$I$3)&amp;"")-1))))</f>
        <v/>
      </c>
      <c r="J306" s="23">
        <f>IF(OR($C306="",$I$3=""),"",IF(INDEX(인턴근무계획!$M$3:$R$402,$A306,$I$3)&amp;""="","",IF(LEFT(INDEX(인턴근무계획!$M$3:$R$402,$A306,$I$3)&amp;"",1)="⚠","",MID(INDEX(인턴근무계획!$M$3:$R$402,$A306,$I$3)&amp;"",FIND(" ",INDEX(인턴근무계획!$M$3:$R$402,$A306,$I$3)&amp;"")+1,60))))</f>
        <v/>
      </c>
      <c r="K306" s="23">
        <f>IF($C306="","",INDEX(인턴근무계획!$M$3:$M$402,$A306)&amp;"")</f>
        <v/>
      </c>
      <c r="L306" s="23">
        <f>IF($C306="","",INDEX(인턴근무계획!$N$3:$N$402,$A306)&amp;"")</f>
        <v/>
      </c>
      <c r="M306" s="23">
        <f>IF($C306="","",INDEX(인턴근무계획!$O$3:$O$402,$A306)&amp;"")</f>
        <v/>
      </c>
      <c r="N306" s="23">
        <f>IF($C306="","",INDEX(인턴근무계획!$P$3:$P$402,$A306)&amp;"")</f>
        <v/>
      </c>
      <c r="O306" s="23">
        <f>IF($C306="","",INDEX(인턴근무계획!$Q$3:$Q$402,$A306)&amp;"")</f>
        <v/>
      </c>
      <c r="P306" s="23">
        <f>IF($C306="","",INDEX(인턴근무계획!$R$3:$R$402,$A306)&amp;"")</f>
        <v/>
      </c>
      <c r="Q306" s="23">
        <f>IF($C306="","",INDEX(인턴근무계획!$T$3:$T$402,$A306))</f>
        <v/>
      </c>
    </row>
    <row r="307">
      <c r="A307" s="26" t="n">
        <v>302</v>
      </c>
      <c r="B307" s="23">
        <f>IF($C307="","",INDEX(인턴근무계획!$B$3:$B$402,$A307))</f>
        <v/>
      </c>
      <c r="C307" s="23">
        <f>IFERROR(TRIM(INDEX(인턴근무계획!$C$3:$C$402,$A307)&amp;""),"")</f>
        <v/>
      </c>
      <c r="D307" s="23">
        <f>IF($C307="","",INDEX(인턴근무계획!$D$3:$D$402,$A307))</f>
        <v/>
      </c>
      <c r="E307" s="23">
        <f>IF($C307="","",IF(IFERROR(MATCH($D307,기본자료!$B$2:$B$1001,0),IFERROR(MATCH($D307&amp;"",기본자료!$B$2:$B$1001,0),IFERROR(MATCH(VALUE($D307),기본자료!$B$2:$B$1001,0),0)))&gt;0,"확인","미등록"))</f>
        <v/>
      </c>
      <c r="F307" s="27">
        <f>IF($C307="","",INDEX(인턴근무계획!$S$3:$S$402,$A307))</f>
        <v/>
      </c>
      <c r="G307" s="23">
        <f>IF(OR($C307="",$G$3=""),"",IF(INDEX(인턴근무계획!$M$3:$R$402,$A307,$G$3)&amp;""="","",IF(LEFT(INDEX(인턴근무계획!$M$3:$R$402,$A307,$G$3)&amp;"",1)="⚠",INDEX(인턴근무계획!$M$3:$R$402,$A307,$G$3)&amp;"",LEFT(INDEX(인턴근무계획!$M$3:$R$402,$A307,$G$3)&amp;"",FIND(" ",INDEX(인턴근무계획!$M$3:$R$402,$A307,$G$3)&amp;"")-1))))</f>
        <v/>
      </c>
      <c r="H307" s="23">
        <f>IF(OR($C307="",$G$3=""),"",IF(INDEX(인턴근무계획!$M$3:$R$402,$A307,$G$3)&amp;""="","",IF(LEFT(INDEX(인턴근무계획!$M$3:$R$402,$A307,$G$3)&amp;"",1)="⚠","",MID(INDEX(인턴근무계획!$M$3:$R$402,$A307,$G$3)&amp;"",FIND(" ",INDEX(인턴근무계획!$M$3:$R$402,$A307,$G$3)&amp;"")+1,60))))</f>
        <v/>
      </c>
      <c r="I307" s="23">
        <f>IF(OR($C307="",$I$3=""),"",IF(INDEX(인턴근무계획!$M$3:$R$402,$A307,$I$3)&amp;""="","",IF(LEFT(INDEX(인턴근무계획!$M$3:$R$402,$A307,$I$3)&amp;"",1)="⚠",INDEX(인턴근무계획!$M$3:$R$402,$A307,$I$3)&amp;"",LEFT(INDEX(인턴근무계획!$M$3:$R$402,$A307,$I$3)&amp;"",FIND(" ",INDEX(인턴근무계획!$M$3:$R$402,$A307,$I$3)&amp;"")-1))))</f>
        <v/>
      </c>
      <c r="J307" s="23">
        <f>IF(OR($C307="",$I$3=""),"",IF(INDEX(인턴근무계획!$M$3:$R$402,$A307,$I$3)&amp;""="","",IF(LEFT(INDEX(인턴근무계획!$M$3:$R$402,$A307,$I$3)&amp;"",1)="⚠","",MID(INDEX(인턴근무계획!$M$3:$R$402,$A307,$I$3)&amp;"",FIND(" ",INDEX(인턴근무계획!$M$3:$R$402,$A307,$I$3)&amp;"")+1,60))))</f>
        <v/>
      </c>
      <c r="K307" s="23">
        <f>IF($C307="","",INDEX(인턴근무계획!$M$3:$M$402,$A307)&amp;"")</f>
        <v/>
      </c>
      <c r="L307" s="23">
        <f>IF($C307="","",INDEX(인턴근무계획!$N$3:$N$402,$A307)&amp;"")</f>
        <v/>
      </c>
      <c r="M307" s="23">
        <f>IF($C307="","",INDEX(인턴근무계획!$O$3:$O$402,$A307)&amp;"")</f>
        <v/>
      </c>
      <c r="N307" s="23">
        <f>IF($C307="","",INDEX(인턴근무계획!$P$3:$P$402,$A307)&amp;"")</f>
        <v/>
      </c>
      <c r="O307" s="23">
        <f>IF($C307="","",INDEX(인턴근무계획!$Q$3:$Q$402,$A307)&amp;"")</f>
        <v/>
      </c>
      <c r="P307" s="23">
        <f>IF($C307="","",INDEX(인턴근무계획!$R$3:$R$402,$A307)&amp;"")</f>
        <v/>
      </c>
      <c r="Q307" s="23">
        <f>IF($C307="","",INDEX(인턴근무계획!$T$3:$T$402,$A307))</f>
        <v/>
      </c>
    </row>
    <row r="308">
      <c r="A308" s="26" t="n">
        <v>303</v>
      </c>
      <c r="B308" s="23">
        <f>IF($C308="","",INDEX(인턴근무계획!$B$3:$B$402,$A308))</f>
        <v/>
      </c>
      <c r="C308" s="23">
        <f>IFERROR(TRIM(INDEX(인턴근무계획!$C$3:$C$402,$A308)&amp;""),"")</f>
        <v/>
      </c>
      <c r="D308" s="23">
        <f>IF($C308="","",INDEX(인턴근무계획!$D$3:$D$402,$A308))</f>
        <v/>
      </c>
      <c r="E308" s="23">
        <f>IF($C308="","",IF(IFERROR(MATCH($D308,기본자료!$B$2:$B$1001,0),IFERROR(MATCH($D308&amp;"",기본자료!$B$2:$B$1001,0),IFERROR(MATCH(VALUE($D308),기본자료!$B$2:$B$1001,0),0)))&gt;0,"확인","미등록"))</f>
        <v/>
      </c>
      <c r="F308" s="27">
        <f>IF($C308="","",INDEX(인턴근무계획!$S$3:$S$402,$A308))</f>
        <v/>
      </c>
      <c r="G308" s="23">
        <f>IF(OR($C308="",$G$3=""),"",IF(INDEX(인턴근무계획!$M$3:$R$402,$A308,$G$3)&amp;""="","",IF(LEFT(INDEX(인턴근무계획!$M$3:$R$402,$A308,$G$3)&amp;"",1)="⚠",INDEX(인턴근무계획!$M$3:$R$402,$A308,$G$3)&amp;"",LEFT(INDEX(인턴근무계획!$M$3:$R$402,$A308,$G$3)&amp;"",FIND(" ",INDEX(인턴근무계획!$M$3:$R$402,$A308,$G$3)&amp;"")-1))))</f>
        <v/>
      </c>
      <c r="H308" s="23">
        <f>IF(OR($C308="",$G$3=""),"",IF(INDEX(인턴근무계획!$M$3:$R$402,$A308,$G$3)&amp;""="","",IF(LEFT(INDEX(인턴근무계획!$M$3:$R$402,$A308,$G$3)&amp;"",1)="⚠","",MID(INDEX(인턴근무계획!$M$3:$R$402,$A308,$G$3)&amp;"",FIND(" ",INDEX(인턴근무계획!$M$3:$R$402,$A308,$G$3)&amp;"")+1,60))))</f>
        <v/>
      </c>
      <c r="I308" s="23">
        <f>IF(OR($C308="",$I$3=""),"",IF(INDEX(인턴근무계획!$M$3:$R$402,$A308,$I$3)&amp;""="","",IF(LEFT(INDEX(인턴근무계획!$M$3:$R$402,$A308,$I$3)&amp;"",1)="⚠",INDEX(인턴근무계획!$M$3:$R$402,$A308,$I$3)&amp;"",LEFT(INDEX(인턴근무계획!$M$3:$R$402,$A308,$I$3)&amp;"",FIND(" ",INDEX(인턴근무계획!$M$3:$R$402,$A308,$I$3)&amp;"")-1))))</f>
        <v/>
      </c>
      <c r="J308" s="23">
        <f>IF(OR($C308="",$I$3=""),"",IF(INDEX(인턴근무계획!$M$3:$R$402,$A308,$I$3)&amp;""="","",IF(LEFT(INDEX(인턴근무계획!$M$3:$R$402,$A308,$I$3)&amp;"",1)="⚠","",MID(INDEX(인턴근무계획!$M$3:$R$402,$A308,$I$3)&amp;"",FIND(" ",INDEX(인턴근무계획!$M$3:$R$402,$A308,$I$3)&amp;"")+1,60))))</f>
        <v/>
      </c>
      <c r="K308" s="23">
        <f>IF($C308="","",INDEX(인턴근무계획!$M$3:$M$402,$A308)&amp;"")</f>
        <v/>
      </c>
      <c r="L308" s="23">
        <f>IF($C308="","",INDEX(인턴근무계획!$N$3:$N$402,$A308)&amp;"")</f>
        <v/>
      </c>
      <c r="M308" s="23">
        <f>IF($C308="","",INDEX(인턴근무계획!$O$3:$O$402,$A308)&amp;"")</f>
        <v/>
      </c>
      <c r="N308" s="23">
        <f>IF($C308="","",INDEX(인턴근무계획!$P$3:$P$402,$A308)&amp;"")</f>
        <v/>
      </c>
      <c r="O308" s="23">
        <f>IF($C308="","",INDEX(인턴근무계획!$Q$3:$Q$402,$A308)&amp;"")</f>
        <v/>
      </c>
      <c r="P308" s="23">
        <f>IF($C308="","",INDEX(인턴근무계획!$R$3:$R$402,$A308)&amp;"")</f>
        <v/>
      </c>
      <c r="Q308" s="23">
        <f>IF($C308="","",INDEX(인턴근무계획!$T$3:$T$402,$A308))</f>
        <v/>
      </c>
    </row>
    <row r="309">
      <c r="A309" s="26" t="n">
        <v>304</v>
      </c>
      <c r="B309" s="23">
        <f>IF($C309="","",INDEX(인턴근무계획!$B$3:$B$402,$A309))</f>
        <v/>
      </c>
      <c r="C309" s="23">
        <f>IFERROR(TRIM(INDEX(인턴근무계획!$C$3:$C$402,$A309)&amp;""),"")</f>
        <v/>
      </c>
      <c r="D309" s="23">
        <f>IF($C309="","",INDEX(인턴근무계획!$D$3:$D$402,$A309))</f>
        <v/>
      </c>
      <c r="E309" s="23">
        <f>IF($C309="","",IF(IFERROR(MATCH($D309,기본자료!$B$2:$B$1001,0),IFERROR(MATCH($D309&amp;"",기본자료!$B$2:$B$1001,0),IFERROR(MATCH(VALUE($D309),기본자료!$B$2:$B$1001,0),0)))&gt;0,"확인","미등록"))</f>
        <v/>
      </c>
      <c r="F309" s="27">
        <f>IF($C309="","",INDEX(인턴근무계획!$S$3:$S$402,$A309))</f>
        <v/>
      </c>
      <c r="G309" s="23">
        <f>IF(OR($C309="",$G$3=""),"",IF(INDEX(인턴근무계획!$M$3:$R$402,$A309,$G$3)&amp;""="","",IF(LEFT(INDEX(인턴근무계획!$M$3:$R$402,$A309,$G$3)&amp;"",1)="⚠",INDEX(인턴근무계획!$M$3:$R$402,$A309,$G$3)&amp;"",LEFT(INDEX(인턴근무계획!$M$3:$R$402,$A309,$G$3)&amp;"",FIND(" ",INDEX(인턴근무계획!$M$3:$R$402,$A309,$G$3)&amp;"")-1))))</f>
        <v/>
      </c>
      <c r="H309" s="23">
        <f>IF(OR($C309="",$G$3=""),"",IF(INDEX(인턴근무계획!$M$3:$R$402,$A309,$G$3)&amp;""="","",IF(LEFT(INDEX(인턴근무계획!$M$3:$R$402,$A309,$G$3)&amp;"",1)="⚠","",MID(INDEX(인턴근무계획!$M$3:$R$402,$A309,$G$3)&amp;"",FIND(" ",INDEX(인턴근무계획!$M$3:$R$402,$A309,$G$3)&amp;"")+1,60))))</f>
        <v/>
      </c>
      <c r="I309" s="23">
        <f>IF(OR($C309="",$I$3=""),"",IF(INDEX(인턴근무계획!$M$3:$R$402,$A309,$I$3)&amp;""="","",IF(LEFT(INDEX(인턴근무계획!$M$3:$R$402,$A309,$I$3)&amp;"",1)="⚠",INDEX(인턴근무계획!$M$3:$R$402,$A309,$I$3)&amp;"",LEFT(INDEX(인턴근무계획!$M$3:$R$402,$A309,$I$3)&amp;"",FIND(" ",INDEX(인턴근무계획!$M$3:$R$402,$A309,$I$3)&amp;"")-1))))</f>
        <v/>
      </c>
      <c r="J309" s="23">
        <f>IF(OR($C309="",$I$3=""),"",IF(INDEX(인턴근무계획!$M$3:$R$402,$A309,$I$3)&amp;""="","",IF(LEFT(INDEX(인턴근무계획!$M$3:$R$402,$A309,$I$3)&amp;"",1)="⚠","",MID(INDEX(인턴근무계획!$M$3:$R$402,$A309,$I$3)&amp;"",FIND(" ",INDEX(인턴근무계획!$M$3:$R$402,$A309,$I$3)&amp;"")+1,60))))</f>
        <v/>
      </c>
      <c r="K309" s="23">
        <f>IF($C309="","",INDEX(인턴근무계획!$M$3:$M$402,$A309)&amp;"")</f>
        <v/>
      </c>
      <c r="L309" s="23">
        <f>IF($C309="","",INDEX(인턴근무계획!$N$3:$N$402,$A309)&amp;"")</f>
        <v/>
      </c>
      <c r="M309" s="23">
        <f>IF($C309="","",INDEX(인턴근무계획!$O$3:$O$402,$A309)&amp;"")</f>
        <v/>
      </c>
      <c r="N309" s="23">
        <f>IF($C309="","",INDEX(인턴근무계획!$P$3:$P$402,$A309)&amp;"")</f>
        <v/>
      </c>
      <c r="O309" s="23">
        <f>IF($C309="","",INDEX(인턴근무계획!$Q$3:$Q$402,$A309)&amp;"")</f>
        <v/>
      </c>
      <c r="P309" s="23">
        <f>IF($C309="","",INDEX(인턴근무계획!$R$3:$R$402,$A309)&amp;"")</f>
        <v/>
      </c>
      <c r="Q309" s="23">
        <f>IF($C309="","",INDEX(인턴근무계획!$T$3:$T$402,$A309))</f>
        <v/>
      </c>
    </row>
    <row r="310">
      <c r="A310" s="26" t="n">
        <v>305</v>
      </c>
      <c r="B310" s="23">
        <f>IF($C310="","",INDEX(인턴근무계획!$B$3:$B$402,$A310))</f>
        <v/>
      </c>
      <c r="C310" s="23">
        <f>IFERROR(TRIM(INDEX(인턴근무계획!$C$3:$C$402,$A310)&amp;""),"")</f>
        <v/>
      </c>
      <c r="D310" s="23">
        <f>IF($C310="","",INDEX(인턴근무계획!$D$3:$D$402,$A310))</f>
        <v/>
      </c>
      <c r="E310" s="23">
        <f>IF($C310="","",IF(IFERROR(MATCH($D310,기본자료!$B$2:$B$1001,0),IFERROR(MATCH($D310&amp;"",기본자료!$B$2:$B$1001,0),IFERROR(MATCH(VALUE($D310),기본자료!$B$2:$B$1001,0),0)))&gt;0,"확인","미등록"))</f>
        <v/>
      </c>
      <c r="F310" s="27">
        <f>IF($C310="","",INDEX(인턴근무계획!$S$3:$S$402,$A310))</f>
        <v/>
      </c>
      <c r="G310" s="23">
        <f>IF(OR($C310="",$G$3=""),"",IF(INDEX(인턴근무계획!$M$3:$R$402,$A310,$G$3)&amp;""="","",IF(LEFT(INDEX(인턴근무계획!$M$3:$R$402,$A310,$G$3)&amp;"",1)="⚠",INDEX(인턴근무계획!$M$3:$R$402,$A310,$G$3)&amp;"",LEFT(INDEX(인턴근무계획!$M$3:$R$402,$A310,$G$3)&amp;"",FIND(" ",INDEX(인턴근무계획!$M$3:$R$402,$A310,$G$3)&amp;"")-1))))</f>
        <v/>
      </c>
      <c r="H310" s="23">
        <f>IF(OR($C310="",$G$3=""),"",IF(INDEX(인턴근무계획!$M$3:$R$402,$A310,$G$3)&amp;""="","",IF(LEFT(INDEX(인턴근무계획!$M$3:$R$402,$A310,$G$3)&amp;"",1)="⚠","",MID(INDEX(인턴근무계획!$M$3:$R$402,$A310,$G$3)&amp;"",FIND(" ",INDEX(인턴근무계획!$M$3:$R$402,$A310,$G$3)&amp;"")+1,60))))</f>
        <v/>
      </c>
      <c r="I310" s="23">
        <f>IF(OR($C310="",$I$3=""),"",IF(INDEX(인턴근무계획!$M$3:$R$402,$A310,$I$3)&amp;""="","",IF(LEFT(INDEX(인턴근무계획!$M$3:$R$402,$A310,$I$3)&amp;"",1)="⚠",INDEX(인턴근무계획!$M$3:$R$402,$A310,$I$3)&amp;"",LEFT(INDEX(인턴근무계획!$M$3:$R$402,$A310,$I$3)&amp;"",FIND(" ",INDEX(인턴근무계획!$M$3:$R$402,$A310,$I$3)&amp;"")-1))))</f>
        <v/>
      </c>
      <c r="J310" s="23">
        <f>IF(OR($C310="",$I$3=""),"",IF(INDEX(인턴근무계획!$M$3:$R$402,$A310,$I$3)&amp;""="","",IF(LEFT(INDEX(인턴근무계획!$M$3:$R$402,$A310,$I$3)&amp;"",1)="⚠","",MID(INDEX(인턴근무계획!$M$3:$R$402,$A310,$I$3)&amp;"",FIND(" ",INDEX(인턴근무계획!$M$3:$R$402,$A310,$I$3)&amp;"")+1,60))))</f>
        <v/>
      </c>
      <c r="K310" s="23">
        <f>IF($C310="","",INDEX(인턴근무계획!$M$3:$M$402,$A310)&amp;"")</f>
        <v/>
      </c>
      <c r="L310" s="23">
        <f>IF($C310="","",INDEX(인턴근무계획!$N$3:$N$402,$A310)&amp;"")</f>
        <v/>
      </c>
      <c r="M310" s="23">
        <f>IF($C310="","",INDEX(인턴근무계획!$O$3:$O$402,$A310)&amp;"")</f>
        <v/>
      </c>
      <c r="N310" s="23">
        <f>IF($C310="","",INDEX(인턴근무계획!$P$3:$P$402,$A310)&amp;"")</f>
        <v/>
      </c>
      <c r="O310" s="23">
        <f>IF($C310="","",INDEX(인턴근무계획!$Q$3:$Q$402,$A310)&amp;"")</f>
        <v/>
      </c>
      <c r="P310" s="23">
        <f>IF($C310="","",INDEX(인턴근무계획!$R$3:$R$402,$A310)&amp;"")</f>
        <v/>
      </c>
      <c r="Q310" s="23">
        <f>IF($C310="","",INDEX(인턴근무계획!$T$3:$T$402,$A310))</f>
        <v/>
      </c>
    </row>
    <row r="311">
      <c r="A311" s="26" t="n">
        <v>306</v>
      </c>
      <c r="B311" s="23">
        <f>IF($C311="","",INDEX(인턴근무계획!$B$3:$B$402,$A311))</f>
        <v/>
      </c>
      <c r="C311" s="23">
        <f>IFERROR(TRIM(INDEX(인턴근무계획!$C$3:$C$402,$A311)&amp;""),"")</f>
        <v/>
      </c>
      <c r="D311" s="23">
        <f>IF($C311="","",INDEX(인턴근무계획!$D$3:$D$402,$A311))</f>
        <v/>
      </c>
      <c r="E311" s="23">
        <f>IF($C311="","",IF(IFERROR(MATCH($D311,기본자료!$B$2:$B$1001,0),IFERROR(MATCH($D311&amp;"",기본자료!$B$2:$B$1001,0),IFERROR(MATCH(VALUE($D311),기본자료!$B$2:$B$1001,0),0)))&gt;0,"확인","미등록"))</f>
        <v/>
      </c>
      <c r="F311" s="27">
        <f>IF($C311="","",INDEX(인턴근무계획!$S$3:$S$402,$A311))</f>
        <v/>
      </c>
      <c r="G311" s="23">
        <f>IF(OR($C311="",$G$3=""),"",IF(INDEX(인턴근무계획!$M$3:$R$402,$A311,$G$3)&amp;""="","",IF(LEFT(INDEX(인턴근무계획!$M$3:$R$402,$A311,$G$3)&amp;"",1)="⚠",INDEX(인턴근무계획!$M$3:$R$402,$A311,$G$3)&amp;"",LEFT(INDEX(인턴근무계획!$M$3:$R$402,$A311,$G$3)&amp;"",FIND(" ",INDEX(인턴근무계획!$M$3:$R$402,$A311,$G$3)&amp;"")-1))))</f>
        <v/>
      </c>
      <c r="H311" s="23">
        <f>IF(OR($C311="",$G$3=""),"",IF(INDEX(인턴근무계획!$M$3:$R$402,$A311,$G$3)&amp;""="","",IF(LEFT(INDEX(인턴근무계획!$M$3:$R$402,$A311,$G$3)&amp;"",1)="⚠","",MID(INDEX(인턴근무계획!$M$3:$R$402,$A311,$G$3)&amp;"",FIND(" ",INDEX(인턴근무계획!$M$3:$R$402,$A311,$G$3)&amp;"")+1,60))))</f>
        <v/>
      </c>
      <c r="I311" s="23">
        <f>IF(OR($C311="",$I$3=""),"",IF(INDEX(인턴근무계획!$M$3:$R$402,$A311,$I$3)&amp;""="","",IF(LEFT(INDEX(인턴근무계획!$M$3:$R$402,$A311,$I$3)&amp;"",1)="⚠",INDEX(인턴근무계획!$M$3:$R$402,$A311,$I$3)&amp;"",LEFT(INDEX(인턴근무계획!$M$3:$R$402,$A311,$I$3)&amp;"",FIND(" ",INDEX(인턴근무계획!$M$3:$R$402,$A311,$I$3)&amp;"")-1))))</f>
        <v/>
      </c>
      <c r="J311" s="23">
        <f>IF(OR($C311="",$I$3=""),"",IF(INDEX(인턴근무계획!$M$3:$R$402,$A311,$I$3)&amp;""="","",IF(LEFT(INDEX(인턴근무계획!$M$3:$R$402,$A311,$I$3)&amp;"",1)="⚠","",MID(INDEX(인턴근무계획!$M$3:$R$402,$A311,$I$3)&amp;"",FIND(" ",INDEX(인턴근무계획!$M$3:$R$402,$A311,$I$3)&amp;"")+1,60))))</f>
        <v/>
      </c>
      <c r="K311" s="23">
        <f>IF($C311="","",INDEX(인턴근무계획!$M$3:$M$402,$A311)&amp;"")</f>
        <v/>
      </c>
      <c r="L311" s="23">
        <f>IF($C311="","",INDEX(인턴근무계획!$N$3:$N$402,$A311)&amp;"")</f>
        <v/>
      </c>
      <c r="M311" s="23">
        <f>IF($C311="","",INDEX(인턴근무계획!$O$3:$O$402,$A311)&amp;"")</f>
        <v/>
      </c>
      <c r="N311" s="23">
        <f>IF($C311="","",INDEX(인턴근무계획!$P$3:$P$402,$A311)&amp;"")</f>
        <v/>
      </c>
      <c r="O311" s="23">
        <f>IF($C311="","",INDEX(인턴근무계획!$Q$3:$Q$402,$A311)&amp;"")</f>
        <v/>
      </c>
      <c r="P311" s="23">
        <f>IF($C311="","",INDEX(인턴근무계획!$R$3:$R$402,$A311)&amp;"")</f>
        <v/>
      </c>
      <c r="Q311" s="23">
        <f>IF($C311="","",INDEX(인턴근무계획!$T$3:$T$402,$A311))</f>
        <v/>
      </c>
    </row>
    <row r="312">
      <c r="A312" s="26" t="n">
        <v>307</v>
      </c>
      <c r="B312" s="23">
        <f>IF($C312="","",INDEX(인턴근무계획!$B$3:$B$402,$A312))</f>
        <v/>
      </c>
      <c r="C312" s="23">
        <f>IFERROR(TRIM(INDEX(인턴근무계획!$C$3:$C$402,$A312)&amp;""),"")</f>
        <v/>
      </c>
      <c r="D312" s="23">
        <f>IF($C312="","",INDEX(인턴근무계획!$D$3:$D$402,$A312))</f>
        <v/>
      </c>
      <c r="E312" s="23">
        <f>IF($C312="","",IF(IFERROR(MATCH($D312,기본자료!$B$2:$B$1001,0),IFERROR(MATCH($D312&amp;"",기본자료!$B$2:$B$1001,0),IFERROR(MATCH(VALUE($D312),기본자료!$B$2:$B$1001,0),0)))&gt;0,"확인","미등록"))</f>
        <v/>
      </c>
      <c r="F312" s="27">
        <f>IF($C312="","",INDEX(인턴근무계획!$S$3:$S$402,$A312))</f>
        <v/>
      </c>
      <c r="G312" s="23">
        <f>IF(OR($C312="",$G$3=""),"",IF(INDEX(인턴근무계획!$M$3:$R$402,$A312,$G$3)&amp;""="","",IF(LEFT(INDEX(인턴근무계획!$M$3:$R$402,$A312,$G$3)&amp;"",1)="⚠",INDEX(인턴근무계획!$M$3:$R$402,$A312,$G$3)&amp;"",LEFT(INDEX(인턴근무계획!$M$3:$R$402,$A312,$G$3)&amp;"",FIND(" ",INDEX(인턴근무계획!$M$3:$R$402,$A312,$G$3)&amp;"")-1))))</f>
        <v/>
      </c>
      <c r="H312" s="23">
        <f>IF(OR($C312="",$G$3=""),"",IF(INDEX(인턴근무계획!$M$3:$R$402,$A312,$G$3)&amp;""="","",IF(LEFT(INDEX(인턴근무계획!$M$3:$R$402,$A312,$G$3)&amp;"",1)="⚠","",MID(INDEX(인턴근무계획!$M$3:$R$402,$A312,$G$3)&amp;"",FIND(" ",INDEX(인턴근무계획!$M$3:$R$402,$A312,$G$3)&amp;"")+1,60))))</f>
        <v/>
      </c>
      <c r="I312" s="23">
        <f>IF(OR($C312="",$I$3=""),"",IF(INDEX(인턴근무계획!$M$3:$R$402,$A312,$I$3)&amp;""="","",IF(LEFT(INDEX(인턴근무계획!$M$3:$R$402,$A312,$I$3)&amp;"",1)="⚠",INDEX(인턴근무계획!$M$3:$R$402,$A312,$I$3)&amp;"",LEFT(INDEX(인턴근무계획!$M$3:$R$402,$A312,$I$3)&amp;"",FIND(" ",INDEX(인턴근무계획!$M$3:$R$402,$A312,$I$3)&amp;"")-1))))</f>
        <v/>
      </c>
      <c r="J312" s="23">
        <f>IF(OR($C312="",$I$3=""),"",IF(INDEX(인턴근무계획!$M$3:$R$402,$A312,$I$3)&amp;""="","",IF(LEFT(INDEX(인턴근무계획!$M$3:$R$402,$A312,$I$3)&amp;"",1)="⚠","",MID(INDEX(인턴근무계획!$M$3:$R$402,$A312,$I$3)&amp;"",FIND(" ",INDEX(인턴근무계획!$M$3:$R$402,$A312,$I$3)&amp;"")+1,60))))</f>
        <v/>
      </c>
      <c r="K312" s="23">
        <f>IF($C312="","",INDEX(인턴근무계획!$M$3:$M$402,$A312)&amp;"")</f>
        <v/>
      </c>
      <c r="L312" s="23">
        <f>IF($C312="","",INDEX(인턴근무계획!$N$3:$N$402,$A312)&amp;"")</f>
        <v/>
      </c>
      <c r="M312" s="23">
        <f>IF($C312="","",INDEX(인턴근무계획!$O$3:$O$402,$A312)&amp;"")</f>
        <v/>
      </c>
      <c r="N312" s="23">
        <f>IF($C312="","",INDEX(인턴근무계획!$P$3:$P$402,$A312)&amp;"")</f>
        <v/>
      </c>
      <c r="O312" s="23">
        <f>IF($C312="","",INDEX(인턴근무계획!$Q$3:$Q$402,$A312)&amp;"")</f>
        <v/>
      </c>
      <c r="P312" s="23">
        <f>IF($C312="","",INDEX(인턴근무계획!$R$3:$R$402,$A312)&amp;"")</f>
        <v/>
      </c>
      <c r="Q312" s="23">
        <f>IF($C312="","",INDEX(인턴근무계획!$T$3:$T$402,$A312))</f>
        <v/>
      </c>
    </row>
    <row r="313">
      <c r="A313" s="26" t="n">
        <v>308</v>
      </c>
      <c r="B313" s="23">
        <f>IF($C313="","",INDEX(인턴근무계획!$B$3:$B$402,$A313))</f>
        <v/>
      </c>
      <c r="C313" s="23">
        <f>IFERROR(TRIM(INDEX(인턴근무계획!$C$3:$C$402,$A313)&amp;""),"")</f>
        <v/>
      </c>
      <c r="D313" s="23">
        <f>IF($C313="","",INDEX(인턴근무계획!$D$3:$D$402,$A313))</f>
        <v/>
      </c>
      <c r="E313" s="23">
        <f>IF($C313="","",IF(IFERROR(MATCH($D313,기본자료!$B$2:$B$1001,0),IFERROR(MATCH($D313&amp;"",기본자료!$B$2:$B$1001,0),IFERROR(MATCH(VALUE($D313),기본자료!$B$2:$B$1001,0),0)))&gt;0,"확인","미등록"))</f>
        <v/>
      </c>
      <c r="F313" s="27">
        <f>IF($C313="","",INDEX(인턴근무계획!$S$3:$S$402,$A313))</f>
        <v/>
      </c>
      <c r="G313" s="23">
        <f>IF(OR($C313="",$G$3=""),"",IF(INDEX(인턴근무계획!$M$3:$R$402,$A313,$G$3)&amp;""="","",IF(LEFT(INDEX(인턴근무계획!$M$3:$R$402,$A313,$G$3)&amp;"",1)="⚠",INDEX(인턴근무계획!$M$3:$R$402,$A313,$G$3)&amp;"",LEFT(INDEX(인턴근무계획!$M$3:$R$402,$A313,$G$3)&amp;"",FIND(" ",INDEX(인턴근무계획!$M$3:$R$402,$A313,$G$3)&amp;"")-1))))</f>
        <v/>
      </c>
      <c r="H313" s="23">
        <f>IF(OR($C313="",$G$3=""),"",IF(INDEX(인턴근무계획!$M$3:$R$402,$A313,$G$3)&amp;""="","",IF(LEFT(INDEX(인턴근무계획!$M$3:$R$402,$A313,$G$3)&amp;"",1)="⚠","",MID(INDEX(인턴근무계획!$M$3:$R$402,$A313,$G$3)&amp;"",FIND(" ",INDEX(인턴근무계획!$M$3:$R$402,$A313,$G$3)&amp;"")+1,60))))</f>
        <v/>
      </c>
      <c r="I313" s="23">
        <f>IF(OR($C313="",$I$3=""),"",IF(INDEX(인턴근무계획!$M$3:$R$402,$A313,$I$3)&amp;""="","",IF(LEFT(INDEX(인턴근무계획!$M$3:$R$402,$A313,$I$3)&amp;"",1)="⚠",INDEX(인턴근무계획!$M$3:$R$402,$A313,$I$3)&amp;"",LEFT(INDEX(인턴근무계획!$M$3:$R$402,$A313,$I$3)&amp;"",FIND(" ",INDEX(인턴근무계획!$M$3:$R$402,$A313,$I$3)&amp;"")-1))))</f>
        <v/>
      </c>
      <c r="J313" s="23">
        <f>IF(OR($C313="",$I$3=""),"",IF(INDEX(인턴근무계획!$M$3:$R$402,$A313,$I$3)&amp;""="","",IF(LEFT(INDEX(인턴근무계획!$M$3:$R$402,$A313,$I$3)&amp;"",1)="⚠","",MID(INDEX(인턴근무계획!$M$3:$R$402,$A313,$I$3)&amp;"",FIND(" ",INDEX(인턴근무계획!$M$3:$R$402,$A313,$I$3)&amp;"")+1,60))))</f>
        <v/>
      </c>
      <c r="K313" s="23">
        <f>IF($C313="","",INDEX(인턴근무계획!$M$3:$M$402,$A313)&amp;"")</f>
        <v/>
      </c>
      <c r="L313" s="23">
        <f>IF($C313="","",INDEX(인턴근무계획!$N$3:$N$402,$A313)&amp;"")</f>
        <v/>
      </c>
      <c r="M313" s="23">
        <f>IF($C313="","",INDEX(인턴근무계획!$O$3:$O$402,$A313)&amp;"")</f>
        <v/>
      </c>
      <c r="N313" s="23">
        <f>IF($C313="","",INDEX(인턴근무계획!$P$3:$P$402,$A313)&amp;"")</f>
        <v/>
      </c>
      <c r="O313" s="23">
        <f>IF($C313="","",INDEX(인턴근무계획!$Q$3:$Q$402,$A313)&amp;"")</f>
        <v/>
      </c>
      <c r="P313" s="23">
        <f>IF($C313="","",INDEX(인턴근무계획!$R$3:$R$402,$A313)&amp;"")</f>
        <v/>
      </c>
      <c r="Q313" s="23">
        <f>IF($C313="","",INDEX(인턴근무계획!$T$3:$T$402,$A313))</f>
        <v/>
      </c>
    </row>
    <row r="314">
      <c r="A314" s="26" t="n">
        <v>309</v>
      </c>
      <c r="B314" s="23">
        <f>IF($C314="","",INDEX(인턴근무계획!$B$3:$B$402,$A314))</f>
        <v/>
      </c>
      <c r="C314" s="23">
        <f>IFERROR(TRIM(INDEX(인턴근무계획!$C$3:$C$402,$A314)&amp;""),"")</f>
        <v/>
      </c>
      <c r="D314" s="23">
        <f>IF($C314="","",INDEX(인턴근무계획!$D$3:$D$402,$A314))</f>
        <v/>
      </c>
      <c r="E314" s="23">
        <f>IF($C314="","",IF(IFERROR(MATCH($D314,기본자료!$B$2:$B$1001,0),IFERROR(MATCH($D314&amp;"",기본자료!$B$2:$B$1001,0),IFERROR(MATCH(VALUE($D314),기본자료!$B$2:$B$1001,0),0)))&gt;0,"확인","미등록"))</f>
        <v/>
      </c>
      <c r="F314" s="27">
        <f>IF($C314="","",INDEX(인턴근무계획!$S$3:$S$402,$A314))</f>
        <v/>
      </c>
      <c r="G314" s="23">
        <f>IF(OR($C314="",$G$3=""),"",IF(INDEX(인턴근무계획!$M$3:$R$402,$A314,$G$3)&amp;""="","",IF(LEFT(INDEX(인턴근무계획!$M$3:$R$402,$A314,$G$3)&amp;"",1)="⚠",INDEX(인턴근무계획!$M$3:$R$402,$A314,$G$3)&amp;"",LEFT(INDEX(인턴근무계획!$M$3:$R$402,$A314,$G$3)&amp;"",FIND(" ",INDEX(인턴근무계획!$M$3:$R$402,$A314,$G$3)&amp;"")-1))))</f>
        <v/>
      </c>
      <c r="H314" s="23">
        <f>IF(OR($C314="",$G$3=""),"",IF(INDEX(인턴근무계획!$M$3:$R$402,$A314,$G$3)&amp;""="","",IF(LEFT(INDEX(인턴근무계획!$M$3:$R$402,$A314,$G$3)&amp;"",1)="⚠","",MID(INDEX(인턴근무계획!$M$3:$R$402,$A314,$G$3)&amp;"",FIND(" ",INDEX(인턴근무계획!$M$3:$R$402,$A314,$G$3)&amp;"")+1,60))))</f>
        <v/>
      </c>
      <c r="I314" s="23">
        <f>IF(OR($C314="",$I$3=""),"",IF(INDEX(인턴근무계획!$M$3:$R$402,$A314,$I$3)&amp;""="","",IF(LEFT(INDEX(인턴근무계획!$M$3:$R$402,$A314,$I$3)&amp;"",1)="⚠",INDEX(인턴근무계획!$M$3:$R$402,$A314,$I$3)&amp;"",LEFT(INDEX(인턴근무계획!$M$3:$R$402,$A314,$I$3)&amp;"",FIND(" ",INDEX(인턴근무계획!$M$3:$R$402,$A314,$I$3)&amp;"")-1))))</f>
        <v/>
      </c>
      <c r="J314" s="23">
        <f>IF(OR($C314="",$I$3=""),"",IF(INDEX(인턴근무계획!$M$3:$R$402,$A314,$I$3)&amp;""="","",IF(LEFT(INDEX(인턴근무계획!$M$3:$R$402,$A314,$I$3)&amp;"",1)="⚠","",MID(INDEX(인턴근무계획!$M$3:$R$402,$A314,$I$3)&amp;"",FIND(" ",INDEX(인턴근무계획!$M$3:$R$402,$A314,$I$3)&amp;"")+1,60))))</f>
        <v/>
      </c>
      <c r="K314" s="23">
        <f>IF($C314="","",INDEX(인턴근무계획!$M$3:$M$402,$A314)&amp;"")</f>
        <v/>
      </c>
      <c r="L314" s="23">
        <f>IF($C314="","",INDEX(인턴근무계획!$N$3:$N$402,$A314)&amp;"")</f>
        <v/>
      </c>
      <c r="M314" s="23">
        <f>IF($C314="","",INDEX(인턴근무계획!$O$3:$O$402,$A314)&amp;"")</f>
        <v/>
      </c>
      <c r="N314" s="23">
        <f>IF($C314="","",INDEX(인턴근무계획!$P$3:$P$402,$A314)&amp;"")</f>
        <v/>
      </c>
      <c r="O314" s="23">
        <f>IF($C314="","",INDEX(인턴근무계획!$Q$3:$Q$402,$A314)&amp;"")</f>
        <v/>
      </c>
      <c r="P314" s="23">
        <f>IF($C314="","",INDEX(인턴근무계획!$R$3:$R$402,$A314)&amp;"")</f>
        <v/>
      </c>
      <c r="Q314" s="23">
        <f>IF($C314="","",INDEX(인턴근무계획!$T$3:$T$402,$A314))</f>
        <v/>
      </c>
    </row>
    <row r="315">
      <c r="A315" s="26" t="n">
        <v>310</v>
      </c>
      <c r="B315" s="23">
        <f>IF($C315="","",INDEX(인턴근무계획!$B$3:$B$402,$A315))</f>
        <v/>
      </c>
      <c r="C315" s="23">
        <f>IFERROR(TRIM(INDEX(인턴근무계획!$C$3:$C$402,$A315)&amp;""),"")</f>
        <v/>
      </c>
      <c r="D315" s="23">
        <f>IF($C315="","",INDEX(인턴근무계획!$D$3:$D$402,$A315))</f>
        <v/>
      </c>
      <c r="E315" s="23">
        <f>IF($C315="","",IF(IFERROR(MATCH($D315,기본자료!$B$2:$B$1001,0),IFERROR(MATCH($D315&amp;"",기본자료!$B$2:$B$1001,0),IFERROR(MATCH(VALUE($D315),기본자료!$B$2:$B$1001,0),0)))&gt;0,"확인","미등록"))</f>
        <v/>
      </c>
      <c r="F315" s="27">
        <f>IF($C315="","",INDEX(인턴근무계획!$S$3:$S$402,$A315))</f>
        <v/>
      </c>
      <c r="G315" s="23">
        <f>IF(OR($C315="",$G$3=""),"",IF(INDEX(인턴근무계획!$M$3:$R$402,$A315,$G$3)&amp;""="","",IF(LEFT(INDEX(인턴근무계획!$M$3:$R$402,$A315,$G$3)&amp;"",1)="⚠",INDEX(인턴근무계획!$M$3:$R$402,$A315,$G$3)&amp;"",LEFT(INDEX(인턴근무계획!$M$3:$R$402,$A315,$G$3)&amp;"",FIND(" ",INDEX(인턴근무계획!$M$3:$R$402,$A315,$G$3)&amp;"")-1))))</f>
        <v/>
      </c>
      <c r="H315" s="23">
        <f>IF(OR($C315="",$G$3=""),"",IF(INDEX(인턴근무계획!$M$3:$R$402,$A315,$G$3)&amp;""="","",IF(LEFT(INDEX(인턴근무계획!$M$3:$R$402,$A315,$G$3)&amp;"",1)="⚠","",MID(INDEX(인턴근무계획!$M$3:$R$402,$A315,$G$3)&amp;"",FIND(" ",INDEX(인턴근무계획!$M$3:$R$402,$A315,$G$3)&amp;"")+1,60))))</f>
        <v/>
      </c>
      <c r="I315" s="23">
        <f>IF(OR($C315="",$I$3=""),"",IF(INDEX(인턴근무계획!$M$3:$R$402,$A315,$I$3)&amp;""="","",IF(LEFT(INDEX(인턴근무계획!$M$3:$R$402,$A315,$I$3)&amp;"",1)="⚠",INDEX(인턴근무계획!$M$3:$R$402,$A315,$I$3)&amp;"",LEFT(INDEX(인턴근무계획!$M$3:$R$402,$A315,$I$3)&amp;"",FIND(" ",INDEX(인턴근무계획!$M$3:$R$402,$A315,$I$3)&amp;"")-1))))</f>
        <v/>
      </c>
      <c r="J315" s="23">
        <f>IF(OR($C315="",$I$3=""),"",IF(INDEX(인턴근무계획!$M$3:$R$402,$A315,$I$3)&amp;""="","",IF(LEFT(INDEX(인턴근무계획!$M$3:$R$402,$A315,$I$3)&amp;"",1)="⚠","",MID(INDEX(인턴근무계획!$M$3:$R$402,$A315,$I$3)&amp;"",FIND(" ",INDEX(인턴근무계획!$M$3:$R$402,$A315,$I$3)&amp;"")+1,60))))</f>
        <v/>
      </c>
      <c r="K315" s="23">
        <f>IF($C315="","",INDEX(인턴근무계획!$M$3:$M$402,$A315)&amp;"")</f>
        <v/>
      </c>
      <c r="L315" s="23">
        <f>IF($C315="","",INDEX(인턴근무계획!$N$3:$N$402,$A315)&amp;"")</f>
        <v/>
      </c>
      <c r="M315" s="23">
        <f>IF($C315="","",INDEX(인턴근무계획!$O$3:$O$402,$A315)&amp;"")</f>
        <v/>
      </c>
      <c r="N315" s="23">
        <f>IF($C315="","",INDEX(인턴근무계획!$P$3:$P$402,$A315)&amp;"")</f>
        <v/>
      </c>
      <c r="O315" s="23">
        <f>IF($C315="","",INDEX(인턴근무계획!$Q$3:$Q$402,$A315)&amp;"")</f>
        <v/>
      </c>
      <c r="P315" s="23">
        <f>IF($C315="","",INDEX(인턴근무계획!$R$3:$R$402,$A315)&amp;"")</f>
        <v/>
      </c>
      <c r="Q315" s="23">
        <f>IF($C315="","",INDEX(인턴근무계획!$T$3:$T$402,$A315))</f>
        <v/>
      </c>
    </row>
    <row r="316">
      <c r="A316" s="26" t="n">
        <v>311</v>
      </c>
      <c r="B316" s="23">
        <f>IF($C316="","",INDEX(인턴근무계획!$B$3:$B$402,$A316))</f>
        <v/>
      </c>
      <c r="C316" s="23">
        <f>IFERROR(TRIM(INDEX(인턴근무계획!$C$3:$C$402,$A316)&amp;""),"")</f>
        <v/>
      </c>
      <c r="D316" s="23">
        <f>IF($C316="","",INDEX(인턴근무계획!$D$3:$D$402,$A316))</f>
        <v/>
      </c>
      <c r="E316" s="23">
        <f>IF($C316="","",IF(IFERROR(MATCH($D316,기본자료!$B$2:$B$1001,0),IFERROR(MATCH($D316&amp;"",기본자료!$B$2:$B$1001,0),IFERROR(MATCH(VALUE($D316),기본자료!$B$2:$B$1001,0),0)))&gt;0,"확인","미등록"))</f>
        <v/>
      </c>
      <c r="F316" s="27">
        <f>IF($C316="","",INDEX(인턴근무계획!$S$3:$S$402,$A316))</f>
        <v/>
      </c>
      <c r="G316" s="23">
        <f>IF(OR($C316="",$G$3=""),"",IF(INDEX(인턴근무계획!$M$3:$R$402,$A316,$G$3)&amp;""="","",IF(LEFT(INDEX(인턴근무계획!$M$3:$R$402,$A316,$G$3)&amp;"",1)="⚠",INDEX(인턴근무계획!$M$3:$R$402,$A316,$G$3)&amp;"",LEFT(INDEX(인턴근무계획!$M$3:$R$402,$A316,$G$3)&amp;"",FIND(" ",INDEX(인턴근무계획!$M$3:$R$402,$A316,$G$3)&amp;"")-1))))</f>
        <v/>
      </c>
      <c r="H316" s="23">
        <f>IF(OR($C316="",$G$3=""),"",IF(INDEX(인턴근무계획!$M$3:$R$402,$A316,$G$3)&amp;""="","",IF(LEFT(INDEX(인턴근무계획!$M$3:$R$402,$A316,$G$3)&amp;"",1)="⚠","",MID(INDEX(인턴근무계획!$M$3:$R$402,$A316,$G$3)&amp;"",FIND(" ",INDEX(인턴근무계획!$M$3:$R$402,$A316,$G$3)&amp;"")+1,60))))</f>
        <v/>
      </c>
      <c r="I316" s="23">
        <f>IF(OR($C316="",$I$3=""),"",IF(INDEX(인턴근무계획!$M$3:$R$402,$A316,$I$3)&amp;""="","",IF(LEFT(INDEX(인턴근무계획!$M$3:$R$402,$A316,$I$3)&amp;"",1)="⚠",INDEX(인턴근무계획!$M$3:$R$402,$A316,$I$3)&amp;"",LEFT(INDEX(인턴근무계획!$M$3:$R$402,$A316,$I$3)&amp;"",FIND(" ",INDEX(인턴근무계획!$M$3:$R$402,$A316,$I$3)&amp;"")-1))))</f>
        <v/>
      </c>
      <c r="J316" s="23">
        <f>IF(OR($C316="",$I$3=""),"",IF(INDEX(인턴근무계획!$M$3:$R$402,$A316,$I$3)&amp;""="","",IF(LEFT(INDEX(인턴근무계획!$M$3:$R$402,$A316,$I$3)&amp;"",1)="⚠","",MID(INDEX(인턴근무계획!$M$3:$R$402,$A316,$I$3)&amp;"",FIND(" ",INDEX(인턴근무계획!$M$3:$R$402,$A316,$I$3)&amp;"")+1,60))))</f>
        <v/>
      </c>
      <c r="K316" s="23">
        <f>IF($C316="","",INDEX(인턴근무계획!$M$3:$M$402,$A316)&amp;"")</f>
        <v/>
      </c>
      <c r="L316" s="23">
        <f>IF($C316="","",INDEX(인턴근무계획!$N$3:$N$402,$A316)&amp;"")</f>
        <v/>
      </c>
      <c r="M316" s="23">
        <f>IF($C316="","",INDEX(인턴근무계획!$O$3:$O$402,$A316)&amp;"")</f>
        <v/>
      </c>
      <c r="N316" s="23">
        <f>IF($C316="","",INDEX(인턴근무계획!$P$3:$P$402,$A316)&amp;"")</f>
        <v/>
      </c>
      <c r="O316" s="23">
        <f>IF($C316="","",INDEX(인턴근무계획!$Q$3:$Q$402,$A316)&amp;"")</f>
        <v/>
      </c>
      <c r="P316" s="23">
        <f>IF($C316="","",INDEX(인턴근무계획!$R$3:$R$402,$A316)&amp;"")</f>
        <v/>
      </c>
      <c r="Q316" s="23">
        <f>IF($C316="","",INDEX(인턴근무계획!$T$3:$T$402,$A316))</f>
        <v/>
      </c>
    </row>
    <row r="317">
      <c r="A317" s="26" t="n">
        <v>312</v>
      </c>
      <c r="B317" s="23">
        <f>IF($C317="","",INDEX(인턴근무계획!$B$3:$B$402,$A317))</f>
        <v/>
      </c>
      <c r="C317" s="23">
        <f>IFERROR(TRIM(INDEX(인턴근무계획!$C$3:$C$402,$A317)&amp;""),"")</f>
        <v/>
      </c>
      <c r="D317" s="23">
        <f>IF($C317="","",INDEX(인턴근무계획!$D$3:$D$402,$A317))</f>
        <v/>
      </c>
      <c r="E317" s="23">
        <f>IF($C317="","",IF(IFERROR(MATCH($D317,기본자료!$B$2:$B$1001,0),IFERROR(MATCH($D317&amp;"",기본자료!$B$2:$B$1001,0),IFERROR(MATCH(VALUE($D317),기본자료!$B$2:$B$1001,0),0)))&gt;0,"확인","미등록"))</f>
        <v/>
      </c>
      <c r="F317" s="27">
        <f>IF($C317="","",INDEX(인턴근무계획!$S$3:$S$402,$A317))</f>
        <v/>
      </c>
      <c r="G317" s="23">
        <f>IF(OR($C317="",$G$3=""),"",IF(INDEX(인턴근무계획!$M$3:$R$402,$A317,$G$3)&amp;""="","",IF(LEFT(INDEX(인턴근무계획!$M$3:$R$402,$A317,$G$3)&amp;"",1)="⚠",INDEX(인턴근무계획!$M$3:$R$402,$A317,$G$3)&amp;"",LEFT(INDEX(인턴근무계획!$M$3:$R$402,$A317,$G$3)&amp;"",FIND(" ",INDEX(인턴근무계획!$M$3:$R$402,$A317,$G$3)&amp;"")-1))))</f>
        <v/>
      </c>
      <c r="H317" s="23">
        <f>IF(OR($C317="",$G$3=""),"",IF(INDEX(인턴근무계획!$M$3:$R$402,$A317,$G$3)&amp;""="","",IF(LEFT(INDEX(인턴근무계획!$M$3:$R$402,$A317,$G$3)&amp;"",1)="⚠","",MID(INDEX(인턴근무계획!$M$3:$R$402,$A317,$G$3)&amp;"",FIND(" ",INDEX(인턴근무계획!$M$3:$R$402,$A317,$G$3)&amp;"")+1,60))))</f>
        <v/>
      </c>
      <c r="I317" s="23">
        <f>IF(OR($C317="",$I$3=""),"",IF(INDEX(인턴근무계획!$M$3:$R$402,$A317,$I$3)&amp;""="","",IF(LEFT(INDEX(인턴근무계획!$M$3:$R$402,$A317,$I$3)&amp;"",1)="⚠",INDEX(인턴근무계획!$M$3:$R$402,$A317,$I$3)&amp;"",LEFT(INDEX(인턴근무계획!$M$3:$R$402,$A317,$I$3)&amp;"",FIND(" ",INDEX(인턴근무계획!$M$3:$R$402,$A317,$I$3)&amp;"")-1))))</f>
        <v/>
      </c>
      <c r="J317" s="23">
        <f>IF(OR($C317="",$I$3=""),"",IF(INDEX(인턴근무계획!$M$3:$R$402,$A317,$I$3)&amp;""="","",IF(LEFT(INDEX(인턴근무계획!$M$3:$R$402,$A317,$I$3)&amp;"",1)="⚠","",MID(INDEX(인턴근무계획!$M$3:$R$402,$A317,$I$3)&amp;"",FIND(" ",INDEX(인턴근무계획!$M$3:$R$402,$A317,$I$3)&amp;"")+1,60))))</f>
        <v/>
      </c>
      <c r="K317" s="23">
        <f>IF($C317="","",INDEX(인턴근무계획!$M$3:$M$402,$A317)&amp;"")</f>
        <v/>
      </c>
      <c r="L317" s="23">
        <f>IF($C317="","",INDEX(인턴근무계획!$N$3:$N$402,$A317)&amp;"")</f>
        <v/>
      </c>
      <c r="M317" s="23">
        <f>IF($C317="","",INDEX(인턴근무계획!$O$3:$O$402,$A317)&amp;"")</f>
        <v/>
      </c>
      <c r="N317" s="23">
        <f>IF($C317="","",INDEX(인턴근무계획!$P$3:$P$402,$A317)&amp;"")</f>
        <v/>
      </c>
      <c r="O317" s="23">
        <f>IF($C317="","",INDEX(인턴근무계획!$Q$3:$Q$402,$A317)&amp;"")</f>
        <v/>
      </c>
      <c r="P317" s="23">
        <f>IF($C317="","",INDEX(인턴근무계획!$R$3:$R$402,$A317)&amp;"")</f>
        <v/>
      </c>
      <c r="Q317" s="23">
        <f>IF($C317="","",INDEX(인턴근무계획!$T$3:$T$402,$A317))</f>
        <v/>
      </c>
    </row>
    <row r="318">
      <c r="A318" s="26" t="n">
        <v>313</v>
      </c>
      <c r="B318" s="23">
        <f>IF($C318="","",INDEX(인턴근무계획!$B$3:$B$402,$A318))</f>
        <v/>
      </c>
      <c r="C318" s="23">
        <f>IFERROR(TRIM(INDEX(인턴근무계획!$C$3:$C$402,$A318)&amp;""),"")</f>
        <v/>
      </c>
      <c r="D318" s="23">
        <f>IF($C318="","",INDEX(인턴근무계획!$D$3:$D$402,$A318))</f>
        <v/>
      </c>
      <c r="E318" s="23">
        <f>IF($C318="","",IF(IFERROR(MATCH($D318,기본자료!$B$2:$B$1001,0),IFERROR(MATCH($D318&amp;"",기본자료!$B$2:$B$1001,0),IFERROR(MATCH(VALUE($D318),기본자료!$B$2:$B$1001,0),0)))&gt;0,"확인","미등록"))</f>
        <v/>
      </c>
      <c r="F318" s="27">
        <f>IF($C318="","",INDEX(인턴근무계획!$S$3:$S$402,$A318))</f>
        <v/>
      </c>
      <c r="G318" s="23">
        <f>IF(OR($C318="",$G$3=""),"",IF(INDEX(인턴근무계획!$M$3:$R$402,$A318,$G$3)&amp;""="","",IF(LEFT(INDEX(인턴근무계획!$M$3:$R$402,$A318,$G$3)&amp;"",1)="⚠",INDEX(인턴근무계획!$M$3:$R$402,$A318,$G$3)&amp;"",LEFT(INDEX(인턴근무계획!$M$3:$R$402,$A318,$G$3)&amp;"",FIND(" ",INDEX(인턴근무계획!$M$3:$R$402,$A318,$G$3)&amp;"")-1))))</f>
        <v/>
      </c>
      <c r="H318" s="23">
        <f>IF(OR($C318="",$G$3=""),"",IF(INDEX(인턴근무계획!$M$3:$R$402,$A318,$G$3)&amp;""="","",IF(LEFT(INDEX(인턴근무계획!$M$3:$R$402,$A318,$G$3)&amp;"",1)="⚠","",MID(INDEX(인턴근무계획!$M$3:$R$402,$A318,$G$3)&amp;"",FIND(" ",INDEX(인턴근무계획!$M$3:$R$402,$A318,$G$3)&amp;"")+1,60))))</f>
        <v/>
      </c>
      <c r="I318" s="23">
        <f>IF(OR($C318="",$I$3=""),"",IF(INDEX(인턴근무계획!$M$3:$R$402,$A318,$I$3)&amp;""="","",IF(LEFT(INDEX(인턴근무계획!$M$3:$R$402,$A318,$I$3)&amp;"",1)="⚠",INDEX(인턴근무계획!$M$3:$R$402,$A318,$I$3)&amp;"",LEFT(INDEX(인턴근무계획!$M$3:$R$402,$A318,$I$3)&amp;"",FIND(" ",INDEX(인턴근무계획!$M$3:$R$402,$A318,$I$3)&amp;"")-1))))</f>
        <v/>
      </c>
      <c r="J318" s="23">
        <f>IF(OR($C318="",$I$3=""),"",IF(INDEX(인턴근무계획!$M$3:$R$402,$A318,$I$3)&amp;""="","",IF(LEFT(INDEX(인턴근무계획!$M$3:$R$402,$A318,$I$3)&amp;"",1)="⚠","",MID(INDEX(인턴근무계획!$M$3:$R$402,$A318,$I$3)&amp;"",FIND(" ",INDEX(인턴근무계획!$M$3:$R$402,$A318,$I$3)&amp;"")+1,60))))</f>
        <v/>
      </c>
      <c r="K318" s="23">
        <f>IF($C318="","",INDEX(인턴근무계획!$M$3:$M$402,$A318)&amp;"")</f>
        <v/>
      </c>
      <c r="L318" s="23">
        <f>IF($C318="","",INDEX(인턴근무계획!$N$3:$N$402,$A318)&amp;"")</f>
        <v/>
      </c>
      <c r="M318" s="23">
        <f>IF($C318="","",INDEX(인턴근무계획!$O$3:$O$402,$A318)&amp;"")</f>
        <v/>
      </c>
      <c r="N318" s="23">
        <f>IF($C318="","",INDEX(인턴근무계획!$P$3:$P$402,$A318)&amp;"")</f>
        <v/>
      </c>
      <c r="O318" s="23">
        <f>IF($C318="","",INDEX(인턴근무계획!$Q$3:$Q$402,$A318)&amp;"")</f>
        <v/>
      </c>
      <c r="P318" s="23">
        <f>IF($C318="","",INDEX(인턴근무계획!$R$3:$R$402,$A318)&amp;"")</f>
        <v/>
      </c>
      <c r="Q318" s="23">
        <f>IF($C318="","",INDEX(인턴근무계획!$T$3:$T$402,$A318))</f>
        <v/>
      </c>
    </row>
    <row r="319">
      <c r="A319" s="26" t="n">
        <v>314</v>
      </c>
      <c r="B319" s="23">
        <f>IF($C319="","",INDEX(인턴근무계획!$B$3:$B$402,$A319))</f>
        <v/>
      </c>
      <c r="C319" s="23">
        <f>IFERROR(TRIM(INDEX(인턴근무계획!$C$3:$C$402,$A319)&amp;""),"")</f>
        <v/>
      </c>
      <c r="D319" s="23">
        <f>IF($C319="","",INDEX(인턴근무계획!$D$3:$D$402,$A319))</f>
        <v/>
      </c>
      <c r="E319" s="23">
        <f>IF($C319="","",IF(IFERROR(MATCH($D319,기본자료!$B$2:$B$1001,0),IFERROR(MATCH($D319&amp;"",기본자료!$B$2:$B$1001,0),IFERROR(MATCH(VALUE($D319),기본자료!$B$2:$B$1001,0),0)))&gt;0,"확인","미등록"))</f>
        <v/>
      </c>
      <c r="F319" s="27">
        <f>IF($C319="","",INDEX(인턴근무계획!$S$3:$S$402,$A319))</f>
        <v/>
      </c>
      <c r="G319" s="23">
        <f>IF(OR($C319="",$G$3=""),"",IF(INDEX(인턴근무계획!$M$3:$R$402,$A319,$G$3)&amp;""="","",IF(LEFT(INDEX(인턴근무계획!$M$3:$R$402,$A319,$G$3)&amp;"",1)="⚠",INDEX(인턴근무계획!$M$3:$R$402,$A319,$G$3)&amp;"",LEFT(INDEX(인턴근무계획!$M$3:$R$402,$A319,$G$3)&amp;"",FIND(" ",INDEX(인턴근무계획!$M$3:$R$402,$A319,$G$3)&amp;"")-1))))</f>
        <v/>
      </c>
      <c r="H319" s="23">
        <f>IF(OR($C319="",$G$3=""),"",IF(INDEX(인턴근무계획!$M$3:$R$402,$A319,$G$3)&amp;""="","",IF(LEFT(INDEX(인턴근무계획!$M$3:$R$402,$A319,$G$3)&amp;"",1)="⚠","",MID(INDEX(인턴근무계획!$M$3:$R$402,$A319,$G$3)&amp;"",FIND(" ",INDEX(인턴근무계획!$M$3:$R$402,$A319,$G$3)&amp;"")+1,60))))</f>
        <v/>
      </c>
      <c r="I319" s="23">
        <f>IF(OR($C319="",$I$3=""),"",IF(INDEX(인턴근무계획!$M$3:$R$402,$A319,$I$3)&amp;""="","",IF(LEFT(INDEX(인턴근무계획!$M$3:$R$402,$A319,$I$3)&amp;"",1)="⚠",INDEX(인턴근무계획!$M$3:$R$402,$A319,$I$3)&amp;"",LEFT(INDEX(인턴근무계획!$M$3:$R$402,$A319,$I$3)&amp;"",FIND(" ",INDEX(인턴근무계획!$M$3:$R$402,$A319,$I$3)&amp;"")-1))))</f>
        <v/>
      </c>
      <c r="J319" s="23">
        <f>IF(OR($C319="",$I$3=""),"",IF(INDEX(인턴근무계획!$M$3:$R$402,$A319,$I$3)&amp;""="","",IF(LEFT(INDEX(인턴근무계획!$M$3:$R$402,$A319,$I$3)&amp;"",1)="⚠","",MID(INDEX(인턴근무계획!$M$3:$R$402,$A319,$I$3)&amp;"",FIND(" ",INDEX(인턴근무계획!$M$3:$R$402,$A319,$I$3)&amp;"")+1,60))))</f>
        <v/>
      </c>
      <c r="K319" s="23">
        <f>IF($C319="","",INDEX(인턴근무계획!$M$3:$M$402,$A319)&amp;"")</f>
        <v/>
      </c>
      <c r="L319" s="23">
        <f>IF($C319="","",INDEX(인턴근무계획!$N$3:$N$402,$A319)&amp;"")</f>
        <v/>
      </c>
      <c r="M319" s="23">
        <f>IF($C319="","",INDEX(인턴근무계획!$O$3:$O$402,$A319)&amp;"")</f>
        <v/>
      </c>
      <c r="N319" s="23">
        <f>IF($C319="","",INDEX(인턴근무계획!$P$3:$P$402,$A319)&amp;"")</f>
        <v/>
      </c>
      <c r="O319" s="23">
        <f>IF($C319="","",INDEX(인턴근무계획!$Q$3:$Q$402,$A319)&amp;"")</f>
        <v/>
      </c>
      <c r="P319" s="23">
        <f>IF($C319="","",INDEX(인턴근무계획!$R$3:$R$402,$A319)&amp;"")</f>
        <v/>
      </c>
      <c r="Q319" s="23">
        <f>IF($C319="","",INDEX(인턴근무계획!$T$3:$T$402,$A319))</f>
        <v/>
      </c>
    </row>
    <row r="320">
      <c r="A320" s="26" t="n">
        <v>315</v>
      </c>
      <c r="B320" s="23">
        <f>IF($C320="","",INDEX(인턴근무계획!$B$3:$B$402,$A320))</f>
        <v/>
      </c>
      <c r="C320" s="23">
        <f>IFERROR(TRIM(INDEX(인턴근무계획!$C$3:$C$402,$A320)&amp;""),"")</f>
        <v/>
      </c>
      <c r="D320" s="23">
        <f>IF($C320="","",INDEX(인턴근무계획!$D$3:$D$402,$A320))</f>
        <v/>
      </c>
      <c r="E320" s="23">
        <f>IF($C320="","",IF(IFERROR(MATCH($D320,기본자료!$B$2:$B$1001,0),IFERROR(MATCH($D320&amp;"",기본자료!$B$2:$B$1001,0),IFERROR(MATCH(VALUE($D320),기본자료!$B$2:$B$1001,0),0)))&gt;0,"확인","미등록"))</f>
        <v/>
      </c>
      <c r="F320" s="27">
        <f>IF($C320="","",INDEX(인턴근무계획!$S$3:$S$402,$A320))</f>
        <v/>
      </c>
      <c r="G320" s="23">
        <f>IF(OR($C320="",$G$3=""),"",IF(INDEX(인턴근무계획!$M$3:$R$402,$A320,$G$3)&amp;""="","",IF(LEFT(INDEX(인턴근무계획!$M$3:$R$402,$A320,$G$3)&amp;"",1)="⚠",INDEX(인턴근무계획!$M$3:$R$402,$A320,$G$3)&amp;"",LEFT(INDEX(인턴근무계획!$M$3:$R$402,$A320,$G$3)&amp;"",FIND(" ",INDEX(인턴근무계획!$M$3:$R$402,$A320,$G$3)&amp;"")-1))))</f>
        <v/>
      </c>
      <c r="H320" s="23">
        <f>IF(OR($C320="",$G$3=""),"",IF(INDEX(인턴근무계획!$M$3:$R$402,$A320,$G$3)&amp;""="","",IF(LEFT(INDEX(인턴근무계획!$M$3:$R$402,$A320,$G$3)&amp;"",1)="⚠","",MID(INDEX(인턴근무계획!$M$3:$R$402,$A320,$G$3)&amp;"",FIND(" ",INDEX(인턴근무계획!$M$3:$R$402,$A320,$G$3)&amp;"")+1,60))))</f>
        <v/>
      </c>
      <c r="I320" s="23">
        <f>IF(OR($C320="",$I$3=""),"",IF(INDEX(인턴근무계획!$M$3:$R$402,$A320,$I$3)&amp;""="","",IF(LEFT(INDEX(인턴근무계획!$M$3:$R$402,$A320,$I$3)&amp;"",1)="⚠",INDEX(인턴근무계획!$M$3:$R$402,$A320,$I$3)&amp;"",LEFT(INDEX(인턴근무계획!$M$3:$R$402,$A320,$I$3)&amp;"",FIND(" ",INDEX(인턴근무계획!$M$3:$R$402,$A320,$I$3)&amp;"")-1))))</f>
        <v/>
      </c>
      <c r="J320" s="23">
        <f>IF(OR($C320="",$I$3=""),"",IF(INDEX(인턴근무계획!$M$3:$R$402,$A320,$I$3)&amp;""="","",IF(LEFT(INDEX(인턴근무계획!$M$3:$R$402,$A320,$I$3)&amp;"",1)="⚠","",MID(INDEX(인턴근무계획!$M$3:$R$402,$A320,$I$3)&amp;"",FIND(" ",INDEX(인턴근무계획!$M$3:$R$402,$A320,$I$3)&amp;"")+1,60))))</f>
        <v/>
      </c>
      <c r="K320" s="23">
        <f>IF($C320="","",INDEX(인턴근무계획!$M$3:$M$402,$A320)&amp;"")</f>
        <v/>
      </c>
      <c r="L320" s="23">
        <f>IF($C320="","",INDEX(인턴근무계획!$N$3:$N$402,$A320)&amp;"")</f>
        <v/>
      </c>
      <c r="M320" s="23">
        <f>IF($C320="","",INDEX(인턴근무계획!$O$3:$O$402,$A320)&amp;"")</f>
        <v/>
      </c>
      <c r="N320" s="23">
        <f>IF($C320="","",INDEX(인턴근무계획!$P$3:$P$402,$A320)&amp;"")</f>
        <v/>
      </c>
      <c r="O320" s="23">
        <f>IF($C320="","",INDEX(인턴근무계획!$Q$3:$Q$402,$A320)&amp;"")</f>
        <v/>
      </c>
      <c r="P320" s="23">
        <f>IF($C320="","",INDEX(인턴근무계획!$R$3:$R$402,$A320)&amp;"")</f>
        <v/>
      </c>
      <c r="Q320" s="23">
        <f>IF($C320="","",INDEX(인턴근무계획!$T$3:$T$402,$A320))</f>
        <v/>
      </c>
    </row>
    <row r="321">
      <c r="A321" s="26" t="n">
        <v>316</v>
      </c>
      <c r="B321" s="23">
        <f>IF($C321="","",INDEX(인턴근무계획!$B$3:$B$402,$A321))</f>
        <v/>
      </c>
      <c r="C321" s="23">
        <f>IFERROR(TRIM(INDEX(인턴근무계획!$C$3:$C$402,$A321)&amp;""),"")</f>
        <v/>
      </c>
      <c r="D321" s="23">
        <f>IF($C321="","",INDEX(인턴근무계획!$D$3:$D$402,$A321))</f>
        <v/>
      </c>
      <c r="E321" s="23">
        <f>IF($C321="","",IF(IFERROR(MATCH($D321,기본자료!$B$2:$B$1001,0),IFERROR(MATCH($D321&amp;"",기본자료!$B$2:$B$1001,0),IFERROR(MATCH(VALUE($D321),기본자료!$B$2:$B$1001,0),0)))&gt;0,"확인","미등록"))</f>
        <v/>
      </c>
      <c r="F321" s="27">
        <f>IF($C321="","",INDEX(인턴근무계획!$S$3:$S$402,$A321))</f>
        <v/>
      </c>
      <c r="G321" s="23">
        <f>IF(OR($C321="",$G$3=""),"",IF(INDEX(인턴근무계획!$M$3:$R$402,$A321,$G$3)&amp;""="","",IF(LEFT(INDEX(인턴근무계획!$M$3:$R$402,$A321,$G$3)&amp;"",1)="⚠",INDEX(인턴근무계획!$M$3:$R$402,$A321,$G$3)&amp;"",LEFT(INDEX(인턴근무계획!$M$3:$R$402,$A321,$G$3)&amp;"",FIND(" ",INDEX(인턴근무계획!$M$3:$R$402,$A321,$G$3)&amp;"")-1))))</f>
        <v/>
      </c>
      <c r="H321" s="23">
        <f>IF(OR($C321="",$G$3=""),"",IF(INDEX(인턴근무계획!$M$3:$R$402,$A321,$G$3)&amp;""="","",IF(LEFT(INDEX(인턴근무계획!$M$3:$R$402,$A321,$G$3)&amp;"",1)="⚠","",MID(INDEX(인턴근무계획!$M$3:$R$402,$A321,$G$3)&amp;"",FIND(" ",INDEX(인턴근무계획!$M$3:$R$402,$A321,$G$3)&amp;"")+1,60))))</f>
        <v/>
      </c>
      <c r="I321" s="23">
        <f>IF(OR($C321="",$I$3=""),"",IF(INDEX(인턴근무계획!$M$3:$R$402,$A321,$I$3)&amp;""="","",IF(LEFT(INDEX(인턴근무계획!$M$3:$R$402,$A321,$I$3)&amp;"",1)="⚠",INDEX(인턴근무계획!$M$3:$R$402,$A321,$I$3)&amp;"",LEFT(INDEX(인턴근무계획!$M$3:$R$402,$A321,$I$3)&amp;"",FIND(" ",INDEX(인턴근무계획!$M$3:$R$402,$A321,$I$3)&amp;"")-1))))</f>
        <v/>
      </c>
      <c r="J321" s="23">
        <f>IF(OR($C321="",$I$3=""),"",IF(INDEX(인턴근무계획!$M$3:$R$402,$A321,$I$3)&amp;""="","",IF(LEFT(INDEX(인턴근무계획!$M$3:$R$402,$A321,$I$3)&amp;"",1)="⚠","",MID(INDEX(인턴근무계획!$M$3:$R$402,$A321,$I$3)&amp;"",FIND(" ",INDEX(인턴근무계획!$M$3:$R$402,$A321,$I$3)&amp;"")+1,60))))</f>
        <v/>
      </c>
      <c r="K321" s="23">
        <f>IF($C321="","",INDEX(인턴근무계획!$M$3:$M$402,$A321)&amp;"")</f>
        <v/>
      </c>
      <c r="L321" s="23">
        <f>IF($C321="","",INDEX(인턴근무계획!$N$3:$N$402,$A321)&amp;"")</f>
        <v/>
      </c>
      <c r="M321" s="23">
        <f>IF($C321="","",INDEX(인턴근무계획!$O$3:$O$402,$A321)&amp;"")</f>
        <v/>
      </c>
      <c r="N321" s="23">
        <f>IF($C321="","",INDEX(인턴근무계획!$P$3:$P$402,$A321)&amp;"")</f>
        <v/>
      </c>
      <c r="O321" s="23">
        <f>IF($C321="","",INDEX(인턴근무계획!$Q$3:$Q$402,$A321)&amp;"")</f>
        <v/>
      </c>
      <c r="P321" s="23">
        <f>IF($C321="","",INDEX(인턴근무계획!$R$3:$R$402,$A321)&amp;"")</f>
        <v/>
      </c>
      <c r="Q321" s="23">
        <f>IF($C321="","",INDEX(인턴근무계획!$T$3:$T$402,$A321))</f>
        <v/>
      </c>
    </row>
    <row r="322">
      <c r="A322" s="26" t="n">
        <v>317</v>
      </c>
      <c r="B322" s="23">
        <f>IF($C322="","",INDEX(인턴근무계획!$B$3:$B$402,$A322))</f>
        <v/>
      </c>
      <c r="C322" s="23">
        <f>IFERROR(TRIM(INDEX(인턴근무계획!$C$3:$C$402,$A322)&amp;""),"")</f>
        <v/>
      </c>
      <c r="D322" s="23">
        <f>IF($C322="","",INDEX(인턴근무계획!$D$3:$D$402,$A322))</f>
        <v/>
      </c>
      <c r="E322" s="23">
        <f>IF($C322="","",IF(IFERROR(MATCH($D322,기본자료!$B$2:$B$1001,0),IFERROR(MATCH($D322&amp;"",기본자료!$B$2:$B$1001,0),IFERROR(MATCH(VALUE($D322),기본자료!$B$2:$B$1001,0),0)))&gt;0,"확인","미등록"))</f>
        <v/>
      </c>
      <c r="F322" s="27">
        <f>IF($C322="","",INDEX(인턴근무계획!$S$3:$S$402,$A322))</f>
        <v/>
      </c>
      <c r="G322" s="23">
        <f>IF(OR($C322="",$G$3=""),"",IF(INDEX(인턴근무계획!$M$3:$R$402,$A322,$G$3)&amp;""="","",IF(LEFT(INDEX(인턴근무계획!$M$3:$R$402,$A322,$G$3)&amp;"",1)="⚠",INDEX(인턴근무계획!$M$3:$R$402,$A322,$G$3)&amp;"",LEFT(INDEX(인턴근무계획!$M$3:$R$402,$A322,$G$3)&amp;"",FIND(" ",INDEX(인턴근무계획!$M$3:$R$402,$A322,$G$3)&amp;"")-1))))</f>
        <v/>
      </c>
      <c r="H322" s="23">
        <f>IF(OR($C322="",$G$3=""),"",IF(INDEX(인턴근무계획!$M$3:$R$402,$A322,$G$3)&amp;""="","",IF(LEFT(INDEX(인턴근무계획!$M$3:$R$402,$A322,$G$3)&amp;"",1)="⚠","",MID(INDEX(인턴근무계획!$M$3:$R$402,$A322,$G$3)&amp;"",FIND(" ",INDEX(인턴근무계획!$M$3:$R$402,$A322,$G$3)&amp;"")+1,60))))</f>
        <v/>
      </c>
      <c r="I322" s="23">
        <f>IF(OR($C322="",$I$3=""),"",IF(INDEX(인턴근무계획!$M$3:$R$402,$A322,$I$3)&amp;""="","",IF(LEFT(INDEX(인턴근무계획!$M$3:$R$402,$A322,$I$3)&amp;"",1)="⚠",INDEX(인턴근무계획!$M$3:$R$402,$A322,$I$3)&amp;"",LEFT(INDEX(인턴근무계획!$M$3:$R$402,$A322,$I$3)&amp;"",FIND(" ",INDEX(인턴근무계획!$M$3:$R$402,$A322,$I$3)&amp;"")-1))))</f>
        <v/>
      </c>
      <c r="J322" s="23">
        <f>IF(OR($C322="",$I$3=""),"",IF(INDEX(인턴근무계획!$M$3:$R$402,$A322,$I$3)&amp;""="","",IF(LEFT(INDEX(인턴근무계획!$M$3:$R$402,$A322,$I$3)&amp;"",1)="⚠","",MID(INDEX(인턴근무계획!$M$3:$R$402,$A322,$I$3)&amp;"",FIND(" ",INDEX(인턴근무계획!$M$3:$R$402,$A322,$I$3)&amp;"")+1,60))))</f>
        <v/>
      </c>
      <c r="K322" s="23">
        <f>IF($C322="","",INDEX(인턴근무계획!$M$3:$M$402,$A322)&amp;"")</f>
        <v/>
      </c>
      <c r="L322" s="23">
        <f>IF($C322="","",INDEX(인턴근무계획!$N$3:$N$402,$A322)&amp;"")</f>
        <v/>
      </c>
      <c r="M322" s="23">
        <f>IF($C322="","",INDEX(인턴근무계획!$O$3:$O$402,$A322)&amp;"")</f>
        <v/>
      </c>
      <c r="N322" s="23">
        <f>IF($C322="","",INDEX(인턴근무계획!$P$3:$P$402,$A322)&amp;"")</f>
        <v/>
      </c>
      <c r="O322" s="23">
        <f>IF($C322="","",INDEX(인턴근무계획!$Q$3:$Q$402,$A322)&amp;"")</f>
        <v/>
      </c>
      <c r="P322" s="23">
        <f>IF($C322="","",INDEX(인턴근무계획!$R$3:$R$402,$A322)&amp;"")</f>
        <v/>
      </c>
      <c r="Q322" s="23">
        <f>IF($C322="","",INDEX(인턴근무계획!$T$3:$T$402,$A322))</f>
        <v/>
      </c>
    </row>
    <row r="323">
      <c r="A323" s="26" t="n">
        <v>318</v>
      </c>
      <c r="B323" s="23">
        <f>IF($C323="","",INDEX(인턴근무계획!$B$3:$B$402,$A323))</f>
        <v/>
      </c>
      <c r="C323" s="23">
        <f>IFERROR(TRIM(INDEX(인턴근무계획!$C$3:$C$402,$A323)&amp;""),"")</f>
        <v/>
      </c>
      <c r="D323" s="23">
        <f>IF($C323="","",INDEX(인턴근무계획!$D$3:$D$402,$A323))</f>
        <v/>
      </c>
      <c r="E323" s="23">
        <f>IF($C323="","",IF(IFERROR(MATCH($D323,기본자료!$B$2:$B$1001,0),IFERROR(MATCH($D323&amp;"",기본자료!$B$2:$B$1001,0),IFERROR(MATCH(VALUE($D323),기본자료!$B$2:$B$1001,0),0)))&gt;0,"확인","미등록"))</f>
        <v/>
      </c>
      <c r="F323" s="27">
        <f>IF($C323="","",INDEX(인턴근무계획!$S$3:$S$402,$A323))</f>
        <v/>
      </c>
      <c r="G323" s="23">
        <f>IF(OR($C323="",$G$3=""),"",IF(INDEX(인턴근무계획!$M$3:$R$402,$A323,$G$3)&amp;""="","",IF(LEFT(INDEX(인턴근무계획!$M$3:$R$402,$A323,$G$3)&amp;"",1)="⚠",INDEX(인턴근무계획!$M$3:$R$402,$A323,$G$3)&amp;"",LEFT(INDEX(인턴근무계획!$M$3:$R$402,$A323,$G$3)&amp;"",FIND(" ",INDEX(인턴근무계획!$M$3:$R$402,$A323,$G$3)&amp;"")-1))))</f>
        <v/>
      </c>
      <c r="H323" s="23">
        <f>IF(OR($C323="",$G$3=""),"",IF(INDEX(인턴근무계획!$M$3:$R$402,$A323,$G$3)&amp;""="","",IF(LEFT(INDEX(인턴근무계획!$M$3:$R$402,$A323,$G$3)&amp;"",1)="⚠","",MID(INDEX(인턴근무계획!$M$3:$R$402,$A323,$G$3)&amp;"",FIND(" ",INDEX(인턴근무계획!$M$3:$R$402,$A323,$G$3)&amp;"")+1,60))))</f>
        <v/>
      </c>
      <c r="I323" s="23">
        <f>IF(OR($C323="",$I$3=""),"",IF(INDEX(인턴근무계획!$M$3:$R$402,$A323,$I$3)&amp;""="","",IF(LEFT(INDEX(인턴근무계획!$M$3:$R$402,$A323,$I$3)&amp;"",1)="⚠",INDEX(인턴근무계획!$M$3:$R$402,$A323,$I$3)&amp;"",LEFT(INDEX(인턴근무계획!$M$3:$R$402,$A323,$I$3)&amp;"",FIND(" ",INDEX(인턴근무계획!$M$3:$R$402,$A323,$I$3)&amp;"")-1))))</f>
        <v/>
      </c>
      <c r="J323" s="23">
        <f>IF(OR($C323="",$I$3=""),"",IF(INDEX(인턴근무계획!$M$3:$R$402,$A323,$I$3)&amp;""="","",IF(LEFT(INDEX(인턴근무계획!$M$3:$R$402,$A323,$I$3)&amp;"",1)="⚠","",MID(INDEX(인턴근무계획!$M$3:$R$402,$A323,$I$3)&amp;"",FIND(" ",INDEX(인턴근무계획!$M$3:$R$402,$A323,$I$3)&amp;"")+1,60))))</f>
        <v/>
      </c>
      <c r="K323" s="23">
        <f>IF($C323="","",INDEX(인턴근무계획!$M$3:$M$402,$A323)&amp;"")</f>
        <v/>
      </c>
      <c r="L323" s="23">
        <f>IF($C323="","",INDEX(인턴근무계획!$N$3:$N$402,$A323)&amp;"")</f>
        <v/>
      </c>
      <c r="M323" s="23">
        <f>IF($C323="","",INDEX(인턴근무계획!$O$3:$O$402,$A323)&amp;"")</f>
        <v/>
      </c>
      <c r="N323" s="23">
        <f>IF($C323="","",INDEX(인턴근무계획!$P$3:$P$402,$A323)&amp;"")</f>
        <v/>
      </c>
      <c r="O323" s="23">
        <f>IF($C323="","",INDEX(인턴근무계획!$Q$3:$Q$402,$A323)&amp;"")</f>
        <v/>
      </c>
      <c r="P323" s="23">
        <f>IF($C323="","",INDEX(인턴근무계획!$R$3:$R$402,$A323)&amp;"")</f>
        <v/>
      </c>
      <c r="Q323" s="23">
        <f>IF($C323="","",INDEX(인턴근무계획!$T$3:$T$402,$A323))</f>
        <v/>
      </c>
    </row>
    <row r="324">
      <c r="A324" s="26" t="n">
        <v>319</v>
      </c>
      <c r="B324" s="23">
        <f>IF($C324="","",INDEX(인턴근무계획!$B$3:$B$402,$A324))</f>
        <v/>
      </c>
      <c r="C324" s="23">
        <f>IFERROR(TRIM(INDEX(인턴근무계획!$C$3:$C$402,$A324)&amp;""),"")</f>
        <v/>
      </c>
      <c r="D324" s="23">
        <f>IF($C324="","",INDEX(인턴근무계획!$D$3:$D$402,$A324))</f>
        <v/>
      </c>
      <c r="E324" s="23">
        <f>IF($C324="","",IF(IFERROR(MATCH($D324,기본자료!$B$2:$B$1001,0),IFERROR(MATCH($D324&amp;"",기본자료!$B$2:$B$1001,0),IFERROR(MATCH(VALUE($D324),기본자료!$B$2:$B$1001,0),0)))&gt;0,"확인","미등록"))</f>
        <v/>
      </c>
      <c r="F324" s="27">
        <f>IF($C324="","",INDEX(인턴근무계획!$S$3:$S$402,$A324))</f>
        <v/>
      </c>
      <c r="G324" s="23">
        <f>IF(OR($C324="",$G$3=""),"",IF(INDEX(인턴근무계획!$M$3:$R$402,$A324,$G$3)&amp;""="","",IF(LEFT(INDEX(인턴근무계획!$M$3:$R$402,$A324,$G$3)&amp;"",1)="⚠",INDEX(인턴근무계획!$M$3:$R$402,$A324,$G$3)&amp;"",LEFT(INDEX(인턴근무계획!$M$3:$R$402,$A324,$G$3)&amp;"",FIND(" ",INDEX(인턴근무계획!$M$3:$R$402,$A324,$G$3)&amp;"")-1))))</f>
        <v/>
      </c>
      <c r="H324" s="23">
        <f>IF(OR($C324="",$G$3=""),"",IF(INDEX(인턴근무계획!$M$3:$R$402,$A324,$G$3)&amp;""="","",IF(LEFT(INDEX(인턴근무계획!$M$3:$R$402,$A324,$G$3)&amp;"",1)="⚠","",MID(INDEX(인턴근무계획!$M$3:$R$402,$A324,$G$3)&amp;"",FIND(" ",INDEX(인턴근무계획!$M$3:$R$402,$A324,$G$3)&amp;"")+1,60))))</f>
        <v/>
      </c>
      <c r="I324" s="23">
        <f>IF(OR($C324="",$I$3=""),"",IF(INDEX(인턴근무계획!$M$3:$R$402,$A324,$I$3)&amp;""="","",IF(LEFT(INDEX(인턴근무계획!$M$3:$R$402,$A324,$I$3)&amp;"",1)="⚠",INDEX(인턴근무계획!$M$3:$R$402,$A324,$I$3)&amp;"",LEFT(INDEX(인턴근무계획!$M$3:$R$402,$A324,$I$3)&amp;"",FIND(" ",INDEX(인턴근무계획!$M$3:$R$402,$A324,$I$3)&amp;"")-1))))</f>
        <v/>
      </c>
      <c r="J324" s="23">
        <f>IF(OR($C324="",$I$3=""),"",IF(INDEX(인턴근무계획!$M$3:$R$402,$A324,$I$3)&amp;""="","",IF(LEFT(INDEX(인턴근무계획!$M$3:$R$402,$A324,$I$3)&amp;"",1)="⚠","",MID(INDEX(인턴근무계획!$M$3:$R$402,$A324,$I$3)&amp;"",FIND(" ",INDEX(인턴근무계획!$M$3:$R$402,$A324,$I$3)&amp;"")+1,60))))</f>
        <v/>
      </c>
      <c r="K324" s="23">
        <f>IF($C324="","",INDEX(인턴근무계획!$M$3:$M$402,$A324)&amp;"")</f>
        <v/>
      </c>
      <c r="L324" s="23">
        <f>IF($C324="","",INDEX(인턴근무계획!$N$3:$N$402,$A324)&amp;"")</f>
        <v/>
      </c>
      <c r="M324" s="23">
        <f>IF($C324="","",INDEX(인턴근무계획!$O$3:$O$402,$A324)&amp;"")</f>
        <v/>
      </c>
      <c r="N324" s="23">
        <f>IF($C324="","",INDEX(인턴근무계획!$P$3:$P$402,$A324)&amp;"")</f>
        <v/>
      </c>
      <c r="O324" s="23">
        <f>IF($C324="","",INDEX(인턴근무계획!$Q$3:$Q$402,$A324)&amp;"")</f>
        <v/>
      </c>
      <c r="P324" s="23">
        <f>IF($C324="","",INDEX(인턴근무계획!$R$3:$R$402,$A324)&amp;"")</f>
        <v/>
      </c>
      <c r="Q324" s="23">
        <f>IF($C324="","",INDEX(인턴근무계획!$T$3:$T$402,$A324))</f>
        <v/>
      </c>
    </row>
    <row r="325">
      <c r="A325" s="26" t="n">
        <v>320</v>
      </c>
      <c r="B325" s="23">
        <f>IF($C325="","",INDEX(인턴근무계획!$B$3:$B$402,$A325))</f>
        <v/>
      </c>
      <c r="C325" s="23">
        <f>IFERROR(TRIM(INDEX(인턴근무계획!$C$3:$C$402,$A325)&amp;""),"")</f>
        <v/>
      </c>
      <c r="D325" s="23">
        <f>IF($C325="","",INDEX(인턴근무계획!$D$3:$D$402,$A325))</f>
        <v/>
      </c>
      <c r="E325" s="23">
        <f>IF($C325="","",IF(IFERROR(MATCH($D325,기본자료!$B$2:$B$1001,0),IFERROR(MATCH($D325&amp;"",기본자료!$B$2:$B$1001,0),IFERROR(MATCH(VALUE($D325),기본자료!$B$2:$B$1001,0),0)))&gt;0,"확인","미등록"))</f>
        <v/>
      </c>
      <c r="F325" s="27">
        <f>IF($C325="","",INDEX(인턴근무계획!$S$3:$S$402,$A325))</f>
        <v/>
      </c>
      <c r="G325" s="23">
        <f>IF(OR($C325="",$G$3=""),"",IF(INDEX(인턴근무계획!$M$3:$R$402,$A325,$G$3)&amp;""="","",IF(LEFT(INDEX(인턴근무계획!$M$3:$R$402,$A325,$G$3)&amp;"",1)="⚠",INDEX(인턴근무계획!$M$3:$R$402,$A325,$G$3)&amp;"",LEFT(INDEX(인턴근무계획!$M$3:$R$402,$A325,$G$3)&amp;"",FIND(" ",INDEX(인턴근무계획!$M$3:$R$402,$A325,$G$3)&amp;"")-1))))</f>
        <v/>
      </c>
      <c r="H325" s="23">
        <f>IF(OR($C325="",$G$3=""),"",IF(INDEX(인턴근무계획!$M$3:$R$402,$A325,$G$3)&amp;""="","",IF(LEFT(INDEX(인턴근무계획!$M$3:$R$402,$A325,$G$3)&amp;"",1)="⚠","",MID(INDEX(인턴근무계획!$M$3:$R$402,$A325,$G$3)&amp;"",FIND(" ",INDEX(인턴근무계획!$M$3:$R$402,$A325,$G$3)&amp;"")+1,60))))</f>
        <v/>
      </c>
      <c r="I325" s="23">
        <f>IF(OR($C325="",$I$3=""),"",IF(INDEX(인턴근무계획!$M$3:$R$402,$A325,$I$3)&amp;""="","",IF(LEFT(INDEX(인턴근무계획!$M$3:$R$402,$A325,$I$3)&amp;"",1)="⚠",INDEX(인턴근무계획!$M$3:$R$402,$A325,$I$3)&amp;"",LEFT(INDEX(인턴근무계획!$M$3:$R$402,$A325,$I$3)&amp;"",FIND(" ",INDEX(인턴근무계획!$M$3:$R$402,$A325,$I$3)&amp;"")-1))))</f>
        <v/>
      </c>
      <c r="J325" s="23">
        <f>IF(OR($C325="",$I$3=""),"",IF(INDEX(인턴근무계획!$M$3:$R$402,$A325,$I$3)&amp;""="","",IF(LEFT(INDEX(인턴근무계획!$M$3:$R$402,$A325,$I$3)&amp;"",1)="⚠","",MID(INDEX(인턴근무계획!$M$3:$R$402,$A325,$I$3)&amp;"",FIND(" ",INDEX(인턴근무계획!$M$3:$R$402,$A325,$I$3)&amp;"")+1,60))))</f>
        <v/>
      </c>
      <c r="K325" s="23">
        <f>IF($C325="","",INDEX(인턴근무계획!$M$3:$M$402,$A325)&amp;"")</f>
        <v/>
      </c>
      <c r="L325" s="23">
        <f>IF($C325="","",INDEX(인턴근무계획!$N$3:$N$402,$A325)&amp;"")</f>
        <v/>
      </c>
      <c r="M325" s="23">
        <f>IF($C325="","",INDEX(인턴근무계획!$O$3:$O$402,$A325)&amp;"")</f>
        <v/>
      </c>
      <c r="N325" s="23">
        <f>IF($C325="","",INDEX(인턴근무계획!$P$3:$P$402,$A325)&amp;"")</f>
        <v/>
      </c>
      <c r="O325" s="23">
        <f>IF($C325="","",INDEX(인턴근무계획!$Q$3:$Q$402,$A325)&amp;"")</f>
        <v/>
      </c>
      <c r="P325" s="23">
        <f>IF($C325="","",INDEX(인턴근무계획!$R$3:$R$402,$A325)&amp;"")</f>
        <v/>
      </c>
      <c r="Q325" s="23">
        <f>IF($C325="","",INDEX(인턴근무계획!$T$3:$T$402,$A325))</f>
        <v/>
      </c>
    </row>
    <row r="326">
      <c r="A326" s="26" t="n">
        <v>321</v>
      </c>
      <c r="B326" s="23">
        <f>IF($C326="","",INDEX(인턴근무계획!$B$3:$B$402,$A326))</f>
        <v/>
      </c>
      <c r="C326" s="23">
        <f>IFERROR(TRIM(INDEX(인턴근무계획!$C$3:$C$402,$A326)&amp;""),"")</f>
        <v/>
      </c>
      <c r="D326" s="23">
        <f>IF($C326="","",INDEX(인턴근무계획!$D$3:$D$402,$A326))</f>
        <v/>
      </c>
      <c r="E326" s="23">
        <f>IF($C326="","",IF(IFERROR(MATCH($D326,기본자료!$B$2:$B$1001,0),IFERROR(MATCH($D326&amp;"",기본자료!$B$2:$B$1001,0),IFERROR(MATCH(VALUE($D326),기본자료!$B$2:$B$1001,0),0)))&gt;0,"확인","미등록"))</f>
        <v/>
      </c>
      <c r="F326" s="27">
        <f>IF($C326="","",INDEX(인턴근무계획!$S$3:$S$402,$A326))</f>
        <v/>
      </c>
      <c r="G326" s="23">
        <f>IF(OR($C326="",$G$3=""),"",IF(INDEX(인턴근무계획!$M$3:$R$402,$A326,$G$3)&amp;""="","",IF(LEFT(INDEX(인턴근무계획!$M$3:$R$402,$A326,$G$3)&amp;"",1)="⚠",INDEX(인턴근무계획!$M$3:$R$402,$A326,$G$3)&amp;"",LEFT(INDEX(인턴근무계획!$M$3:$R$402,$A326,$G$3)&amp;"",FIND(" ",INDEX(인턴근무계획!$M$3:$R$402,$A326,$G$3)&amp;"")-1))))</f>
        <v/>
      </c>
      <c r="H326" s="23">
        <f>IF(OR($C326="",$G$3=""),"",IF(INDEX(인턴근무계획!$M$3:$R$402,$A326,$G$3)&amp;""="","",IF(LEFT(INDEX(인턴근무계획!$M$3:$R$402,$A326,$G$3)&amp;"",1)="⚠","",MID(INDEX(인턴근무계획!$M$3:$R$402,$A326,$G$3)&amp;"",FIND(" ",INDEX(인턴근무계획!$M$3:$R$402,$A326,$G$3)&amp;"")+1,60))))</f>
        <v/>
      </c>
      <c r="I326" s="23">
        <f>IF(OR($C326="",$I$3=""),"",IF(INDEX(인턴근무계획!$M$3:$R$402,$A326,$I$3)&amp;""="","",IF(LEFT(INDEX(인턴근무계획!$M$3:$R$402,$A326,$I$3)&amp;"",1)="⚠",INDEX(인턴근무계획!$M$3:$R$402,$A326,$I$3)&amp;"",LEFT(INDEX(인턴근무계획!$M$3:$R$402,$A326,$I$3)&amp;"",FIND(" ",INDEX(인턴근무계획!$M$3:$R$402,$A326,$I$3)&amp;"")-1))))</f>
        <v/>
      </c>
      <c r="J326" s="23">
        <f>IF(OR($C326="",$I$3=""),"",IF(INDEX(인턴근무계획!$M$3:$R$402,$A326,$I$3)&amp;""="","",IF(LEFT(INDEX(인턴근무계획!$M$3:$R$402,$A326,$I$3)&amp;"",1)="⚠","",MID(INDEX(인턴근무계획!$M$3:$R$402,$A326,$I$3)&amp;"",FIND(" ",INDEX(인턴근무계획!$M$3:$R$402,$A326,$I$3)&amp;"")+1,60))))</f>
        <v/>
      </c>
      <c r="K326" s="23">
        <f>IF($C326="","",INDEX(인턴근무계획!$M$3:$M$402,$A326)&amp;"")</f>
        <v/>
      </c>
      <c r="L326" s="23">
        <f>IF($C326="","",INDEX(인턴근무계획!$N$3:$N$402,$A326)&amp;"")</f>
        <v/>
      </c>
      <c r="M326" s="23">
        <f>IF($C326="","",INDEX(인턴근무계획!$O$3:$O$402,$A326)&amp;"")</f>
        <v/>
      </c>
      <c r="N326" s="23">
        <f>IF($C326="","",INDEX(인턴근무계획!$P$3:$P$402,$A326)&amp;"")</f>
        <v/>
      </c>
      <c r="O326" s="23">
        <f>IF($C326="","",INDEX(인턴근무계획!$Q$3:$Q$402,$A326)&amp;"")</f>
        <v/>
      </c>
      <c r="P326" s="23">
        <f>IF($C326="","",INDEX(인턴근무계획!$R$3:$R$402,$A326)&amp;"")</f>
        <v/>
      </c>
      <c r="Q326" s="23">
        <f>IF($C326="","",INDEX(인턴근무계획!$T$3:$T$402,$A326))</f>
        <v/>
      </c>
    </row>
    <row r="327">
      <c r="A327" s="26" t="n">
        <v>322</v>
      </c>
      <c r="B327" s="23">
        <f>IF($C327="","",INDEX(인턴근무계획!$B$3:$B$402,$A327))</f>
        <v/>
      </c>
      <c r="C327" s="23">
        <f>IFERROR(TRIM(INDEX(인턴근무계획!$C$3:$C$402,$A327)&amp;""),"")</f>
        <v/>
      </c>
      <c r="D327" s="23">
        <f>IF($C327="","",INDEX(인턴근무계획!$D$3:$D$402,$A327))</f>
        <v/>
      </c>
      <c r="E327" s="23">
        <f>IF($C327="","",IF(IFERROR(MATCH($D327,기본자료!$B$2:$B$1001,0),IFERROR(MATCH($D327&amp;"",기본자료!$B$2:$B$1001,0),IFERROR(MATCH(VALUE($D327),기본자료!$B$2:$B$1001,0),0)))&gt;0,"확인","미등록"))</f>
        <v/>
      </c>
      <c r="F327" s="27">
        <f>IF($C327="","",INDEX(인턴근무계획!$S$3:$S$402,$A327))</f>
        <v/>
      </c>
      <c r="G327" s="23">
        <f>IF(OR($C327="",$G$3=""),"",IF(INDEX(인턴근무계획!$M$3:$R$402,$A327,$G$3)&amp;""="","",IF(LEFT(INDEX(인턴근무계획!$M$3:$R$402,$A327,$G$3)&amp;"",1)="⚠",INDEX(인턴근무계획!$M$3:$R$402,$A327,$G$3)&amp;"",LEFT(INDEX(인턴근무계획!$M$3:$R$402,$A327,$G$3)&amp;"",FIND(" ",INDEX(인턴근무계획!$M$3:$R$402,$A327,$G$3)&amp;"")-1))))</f>
        <v/>
      </c>
      <c r="H327" s="23">
        <f>IF(OR($C327="",$G$3=""),"",IF(INDEX(인턴근무계획!$M$3:$R$402,$A327,$G$3)&amp;""="","",IF(LEFT(INDEX(인턴근무계획!$M$3:$R$402,$A327,$G$3)&amp;"",1)="⚠","",MID(INDEX(인턴근무계획!$M$3:$R$402,$A327,$G$3)&amp;"",FIND(" ",INDEX(인턴근무계획!$M$3:$R$402,$A327,$G$3)&amp;"")+1,60))))</f>
        <v/>
      </c>
      <c r="I327" s="23">
        <f>IF(OR($C327="",$I$3=""),"",IF(INDEX(인턴근무계획!$M$3:$R$402,$A327,$I$3)&amp;""="","",IF(LEFT(INDEX(인턴근무계획!$M$3:$R$402,$A327,$I$3)&amp;"",1)="⚠",INDEX(인턴근무계획!$M$3:$R$402,$A327,$I$3)&amp;"",LEFT(INDEX(인턴근무계획!$M$3:$R$402,$A327,$I$3)&amp;"",FIND(" ",INDEX(인턴근무계획!$M$3:$R$402,$A327,$I$3)&amp;"")-1))))</f>
        <v/>
      </c>
      <c r="J327" s="23">
        <f>IF(OR($C327="",$I$3=""),"",IF(INDEX(인턴근무계획!$M$3:$R$402,$A327,$I$3)&amp;""="","",IF(LEFT(INDEX(인턴근무계획!$M$3:$R$402,$A327,$I$3)&amp;"",1)="⚠","",MID(INDEX(인턴근무계획!$M$3:$R$402,$A327,$I$3)&amp;"",FIND(" ",INDEX(인턴근무계획!$M$3:$R$402,$A327,$I$3)&amp;"")+1,60))))</f>
        <v/>
      </c>
      <c r="K327" s="23">
        <f>IF($C327="","",INDEX(인턴근무계획!$M$3:$M$402,$A327)&amp;"")</f>
        <v/>
      </c>
      <c r="L327" s="23">
        <f>IF($C327="","",INDEX(인턴근무계획!$N$3:$N$402,$A327)&amp;"")</f>
        <v/>
      </c>
      <c r="M327" s="23">
        <f>IF($C327="","",INDEX(인턴근무계획!$O$3:$O$402,$A327)&amp;"")</f>
        <v/>
      </c>
      <c r="N327" s="23">
        <f>IF($C327="","",INDEX(인턴근무계획!$P$3:$P$402,$A327)&amp;"")</f>
        <v/>
      </c>
      <c r="O327" s="23">
        <f>IF($C327="","",INDEX(인턴근무계획!$Q$3:$Q$402,$A327)&amp;"")</f>
        <v/>
      </c>
      <c r="P327" s="23">
        <f>IF($C327="","",INDEX(인턴근무계획!$R$3:$R$402,$A327)&amp;"")</f>
        <v/>
      </c>
      <c r="Q327" s="23">
        <f>IF($C327="","",INDEX(인턴근무계획!$T$3:$T$402,$A327))</f>
        <v/>
      </c>
    </row>
    <row r="328">
      <c r="A328" s="26" t="n">
        <v>323</v>
      </c>
      <c r="B328" s="23">
        <f>IF($C328="","",INDEX(인턴근무계획!$B$3:$B$402,$A328))</f>
        <v/>
      </c>
      <c r="C328" s="23">
        <f>IFERROR(TRIM(INDEX(인턴근무계획!$C$3:$C$402,$A328)&amp;""),"")</f>
        <v/>
      </c>
      <c r="D328" s="23">
        <f>IF($C328="","",INDEX(인턴근무계획!$D$3:$D$402,$A328))</f>
        <v/>
      </c>
      <c r="E328" s="23">
        <f>IF($C328="","",IF(IFERROR(MATCH($D328,기본자료!$B$2:$B$1001,0),IFERROR(MATCH($D328&amp;"",기본자료!$B$2:$B$1001,0),IFERROR(MATCH(VALUE($D328),기본자료!$B$2:$B$1001,0),0)))&gt;0,"확인","미등록"))</f>
        <v/>
      </c>
      <c r="F328" s="27">
        <f>IF($C328="","",INDEX(인턴근무계획!$S$3:$S$402,$A328))</f>
        <v/>
      </c>
      <c r="G328" s="23">
        <f>IF(OR($C328="",$G$3=""),"",IF(INDEX(인턴근무계획!$M$3:$R$402,$A328,$G$3)&amp;""="","",IF(LEFT(INDEX(인턴근무계획!$M$3:$R$402,$A328,$G$3)&amp;"",1)="⚠",INDEX(인턴근무계획!$M$3:$R$402,$A328,$G$3)&amp;"",LEFT(INDEX(인턴근무계획!$M$3:$R$402,$A328,$G$3)&amp;"",FIND(" ",INDEX(인턴근무계획!$M$3:$R$402,$A328,$G$3)&amp;"")-1))))</f>
        <v/>
      </c>
      <c r="H328" s="23">
        <f>IF(OR($C328="",$G$3=""),"",IF(INDEX(인턴근무계획!$M$3:$R$402,$A328,$G$3)&amp;""="","",IF(LEFT(INDEX(인턴근무계획!$M$3:$R$402,$A328,$G$3)&amp;"",1)="⚠","",MID(INDEX(인턴근무계획!$M$3:$R$402,$A328,$G$3)&amp;"",FIND(" ",INDEX(인턴근무계획!$M$3:$R$402,$A328,$G$3)&amp;"")+1,60))))</f>
        <v/>
      </c>
      <c r="I328" s="23">
        <f>IF(OR($C328="",$I$3=""),"",IF(INDEX(인턴근무계획!$M$3:$R$402,$A328,$I$3)&amp;""="","",IF(LEFT(INDEX(인턴근무계획!$M$3:$R$402,$A328,$I$3)&amp;"",1)="⚠",INDEX(인턴근무계획!$M$3:$R$402,$A328,$I$3)&amp;"",LEFT(INDEX(인턴근무계획!$M$3:$R$402,$A328,$I$3)&amp;"",FIND(" ",INDEX(인턴근무계획!$M$3:$R$402,$A328,$I$3)&amp;"")-1))))</f>
        <v/>
      </c>
      <c r="J328" s="23">
        <f>IF(OR($C328="",$I$3=""),"",IF(INDEX(인턴근무계획!$M$3:$R$402,$A328,$I$3)&amp;""="","",IF(LEFT(INDEX(인턴근무계획!$M$3:$R$402,$A328,$I$3)&amp;"",1)="⚠","",MID(INDEX(인턴근무계획!$M$3:$R$402,$A328,$I$3)&amp;"",FIND(" ",INDEX(인턴근무계획!$M$3:$R$402,$A328,$I$3)&amp;"")+1,60))))</f>
        <v/>
      </c>
      <c r="K328" s="23">
        <f>IF($C328="","",INDEX(인턴근무계획!$M$3:$M$402,$A328)&amp;"")</f>
        <v/>
      </c>
      <c r="L328" s="23">
        <f>IF($C328="","",INDEX(인턴근무계획!$N$3:$N$402,$A328)&amp;"")</f>
        <v/>
      </c>
      <c r="M328" s="23">
        <f>IF($C328="","",INDEX(인턴근무계획!$O$3:$O$402,$A328)&amp;"")</f>
        <v/>
      </c>
      <c r="N328" s="23">
        <f>IF($C328="","",INDEX(인턴근무계획!$P$3:$P$402,$A328)&amp;"")</f>
        <v/>
      </c>
      <c r="O328" s="23">
        <f>IF($C328="","",INDEX(인턴근무계획!$Q$3:$Q$402,$A328)&amp;"")</f>
        <v/>
      </c>
      <c r="P328" s="23">
        <f>IF($C328="","",INDEX(인턴근무계획!$R$3:$R$402,$A328)&amp;"")</f>
        <v/>
      </c>
      <c r="Q328" s="23">
        <f>IF($C328="","",INDEX(인턴근무계획!$T$3:$T$402,$A328))</f>
        <v/>
      </c>
    </row>
    <row r="329">
      <c r="A329" s="26" t="n">
        <v>324</v>
      </c>
      <c r="B329" s="23">
        <f>IF($C329="","",INDEX(인턴근무계획!$B$3:$B$402,$A329))</f>
        <v/>
      </c>
      <c r="C329" s="23">
        <f>IFERROR(TRIM(INDEX(인턴근무계획!$C$3:$C$402,$A329)&amp;""),"")</f>
        <v/>
      </c>
      <c r="D329" s="23">
        <f>IF($C329="","",INDEX(인턴근무계획!$D$3:$D$402,$A329))</f>
        <v/>
      </c>
      <c r="E329" s="23">
        <f>IF($C329="","",IF(IFERROR(MATCH($D329,기본자료!$B$2:$B$1001,0),IFERROR(MATCH($D329&amp;"",기본자료!$B$2:$B$1001,0),IFERROR(MATCH(VALUE($D329),기본자료!$B$2:$B$1001,0),0)))&gt;0,"확인","미등록"))</f>
        <v/>
      </c>
      <c r="F329" s="27">
        <f>IF($C329="","",INDEX(인턴근무계획!$S$3:$S$402,$A329))</f>
        <v/>
      </c>
      <c r="G329" s="23">
        <f>IF(OR($C329="",$G$3=""),"",IF(INDEX(인턴근무계획!$M$3:$R$402,$A329,$G$3)&amp;""="","",IF(LEFT(INDEX(인턴근무계획!$M$3:$R$402,$A329,$G$3)&amp;"",1)="⚠",INDEX(인턴근무계획!$M$3:$R$402,$A329,$G$3)&amp;"",LEFT(INDEX(인턴근무계획!$M$3:$R$402,$A329,$G$3)&amp;"",FIND(" ",INDEX(인턴근무계획!$M$3:$R$402,$A329,$G$3)&amp;"")-1))))</f>
        <v/>
      </c>
      <c r="H329" s="23">
        <f>IF(OR($C329="",$G$3=""),"",IF(INDEX(인턴근무계획!$M$3:$R$402,$A329,$G$3)&amp;""="","",IF(LEFT(INDEX(인턴근무계획!$M$3:$R$402,$A329,$G$3)&amp;"",1)="⚠","",MID(INDEX(인턴근무계획!$M$3:$R$402,$A329,$G$3)&amp;"",FIND(" ",INDEX(인턴근무계획!$M$3:$R$402,$A329,$G$3)&amp;"")+1,60))))</f>
        <v/>
      </c>
      <c r="I329" s="23">
        <f>IF(OR($C329="",$I$3=""),"",IF(INDEX(인턴근무계획!$M$3:$R$402,$A329,$I$3)&amp;""="","",IF(LEFT(INDEX(인턴근무계획!$M$3:$R$402,$A329,$I$3)&amp;"",1)="⚠",INDEX(인턴근무계획!$M$3:$R$402,$A329,$I$3)&amp;"",LEFT(INDEX(인턴근무계획!$M$3:$R$402,$A329,$I$3)&amp;"",FIND(" ",INDEX(인턴근무계획!$M$3:$R$402,$A329,$I$3)&amp;"")-1))))</f>
        <v/>
      </c>
      <c r="J329" s="23">
        <f>IF(OR($C329="",$I$3=""),"",IF(INDEX(인턴근무계획!$M$3:$R$402,$A329,$I$3)&amp;""="","",IF(LEFT(INDEX(인턴근무계획!$M$3:$R$402,$A329,$I$3)&amp;"",1)="⚠","",MID(INDEX(인턴근무계획!$M$3:$R$402,$A329,$I$3)&amp;"",FIND(" ",INDEX(인턴근무계획!$M$3:$R$402,$A329,$I$3)&amp;"")+1,60))))</f>
        <v/>
      </c>
      <c r="K329" s="23">
        <f>IF($C329="","",INDEX(인턴근무계획!$M$3:$M$402,$A329)&amp;"")</f>
        <v/>
      </c>
      <c r="L329" s="23">
        <f>IF($C329="","",INDEX(인턴근무계획!$N$3:$N$402,$A329)&amp;"")</f>
        <v/>
      </c>
      <c r="M329" s="23">
        <f>IF($C329="","",INDEX(인턴근무계획!$O$3:$O$402,$A329)&amp;"")</f>
        <v/>
      </c>
      <c r="N329" s="23">
        <f>IF($C329="","",INDEX(인턴근무계획!$P$3:$P$402,$A329)&amp;"")</f>
        <v/>
      </c>
      <c r="O329" s="23">
        <f>IF($C329="","",INDEX(인턴근무계획!$Q$3:$Q$402,$A329)&amp;"")</f>
        <v/>
      </c>
      <c r="P329" s="23">
        <f>IF($C329="","",INDEX(인턴근무계획!$R$3:$R$402,$A329)&amp;"")</f>
        <v/>
      </c>
      <c r="Q329" s="23">
        <f>IF($C329="","",INDEX(인턴근무계획!$T$3:$T$402,$A329))</f>
        <v/>
      </c>
    </row>
    <row r="330">
      <c r="A330" s="26" t="n">
        <v>325</v>
      </c>
      <c r="B330" s="23">
        <f>IF($C330="","",INDEX(인턴근무계획!$B$3:$B$402,$A330))</f>
        <v/>
      </c>
      <c r="C330" s="23">
        <f>IFERROR(TRIM(INDEX(인턴근무계획!$C$3:$C$402,$A330)&amp;""),"")</f>
        <v/>
      </c>
      <c r="D330" s="23">
        <f>IF($C330="","",INDEX(인턴근무계획!$D$3:$D$402,$A330))</f>
        <v/>
      </c>
      <c r="E330" s="23">
        <f>IF($C330="","",IF(IFERROR(MATCH($D330,기본자료!$B$2:$B$1001,0),IFERROR(MATCH($D330&amp;"",기본자료!$B$2:$B$1001,0),IFERROR(MATCH(VALUE($D330),기본자료!$B$2:$B$1001,0),0)))&gt;0,"확인","미등록"))</f>
        <v/>
      </c>
      <c r="F330" s="27">
        <f>IF($C330="","",INDEX(인턴근무계획!$S$3:$S$402,$A330))</f>
        <v/>
      </c>
      <c r="G330" s="23">
        <f>IF(OR($C330="",$G$3=""),"",IF(INDEX(인턴근무계획!$M$3:$R$402,$A330,$G$3)&amp;""="","",IF(LEFT(INDEX(인턴근무계획!$M$3:$R$402,$A330,$G$3)&amp;"",1)="⚠",INDEX(인턴근무계획!$M$3:$R$402,$A330,$G$3)&amp;"",LEFT(INDEX(인턴근무계획!$M$3:$R$402,$A330,$G$3)&amp;"",FIND(" ",INDEX(인턴근무계획!$M$3:$R$402,$A330,$G$3)&amp;"")-1))))</f>
        <v/>
      </c>
      <c r="H330" s="23">
        <f>IF(OR($C330="",$G$3=""),"",IF(INDEX(인턴근무계획!$M$3:$R$402,$A330,$G$3)&amp;""="","",IF(LEFT(INDEX(인턴근무계획!$M$3:$R$402,$A330,$G$3)&amp;"",1)="⚠","",MID(INDEX(인턴근무계획!$M$3:$R$402,$A330,$G$3)&amp;"",FIND(" ",INDEX(인턴근무계획!$M$3:$R$402,$A330,$G$3)&amp;"")+1,60))))</f>
        <v/>
      </c>
      <c r="I330" s="23">
        <f>IF(OR($C330="",$I$3=""),"",IF(INDEX(인턴근무계획!$M$3:$R$402,$A330,$I$3)&amp;""="","",IF(LEFT(INDEX(인턴근무계획!$M$3:$R$402,$A330,$I$3)&amp;"",1)="⚠",INDEX(인턴근무계획!$M$3:$R$402,$A330,$I$3)&amp;"",LEFT(INDEX(인턴근무계획!$M$3:$R$402,$A330,$I$3)&amp;"",FIND(" ",INDEX(인턴근무계획!$M$3:$R$402,$A330,$I$3)&amp;"")-1))))</f>
        <v/>
      </c>
      <c r="J330" s="23">
        <f>IF(OR($C330="",$I$3=""),"",IF(INDEX(인턴근무계획!$M$3:$R$402,$A330,$I$3)&amp;""="","",IF(LEFT(INDEX(인턴근무계획!$M$3:$R$402,$A330,$I$3)&amp;"",1)="⚠","",MID(INDEX(인턴근무계획!$M$3:$R$402,$A330,$I$3)&amp;"",FIND(" ",INDEX(인턴근무계획!$M$3:$R$402,$A330,$I$3)&amp;"")+1,60))))</f>
        <v/>
      </c>
      <c r="K330" s="23">
        <f>IF($C330="","",INDEX(인턴근무계획!$M$3:$M$402,$A330)&amp;"")</f>
        <v/>
      </c>
      <c r="L330" s="23">
        <f>IF($C330="","",INDEX(인턴근무계획!$N$3:$N$402,$A330)&amp;"")</f>
        <v/>
      </c>
      <c r="M330" s="23">
        <f>IF($C330="","",INDEX(인턴근무계획!$O$3:$O$402,$A330)&amp;"")</f>
        <v/>
      </c>
      <c r="N330" s="23">
        <f>IF($C330="","",INDEX(인턴근무계획!$P$3:$P$402,$A330)&amp;"")</f>
        <v/>
      </c>
      <c r="O330" s="23">
        <f>IF($C330="","",INDEX(인턴근무계획!$Q$3:$Q$402,$A330)&amp;"")</f>
        <v/>
      </c>
      <c r="P330" s="23">
        <f>IF($C330="","",INDEX(인턴근무계획!$R$3:$R$402,$A330)&amp;"")</f>
        <v/>
      </c>
      <c r="Q330" s="23">
        <f>IF($C330="","",INDEX(인턴근무계획!$T$3:$T$402,$A330))</f>
        <v/>
      </c>
    </row>
    <row r="331">
      <c r="A331" s="26" t="n">
        <v>326</v>
      </c>
      <c r="B331" s="23">
        <f>IF($C331="","",INDEX(인턴근무계획!$B$3:$B$402,$A331))</f>
        <v/>
      </c>
      <c r="C331" s="23">
        <f>IFERROR(TRIM(INDEX(인턴근무계획!$C$3:$C$402,$A331)&amp;""),"")</f>
        <v/>
      </c>
      <c r="D331" s="23">
        <f>IF($C331="","",INDEX(인턴근무계획!$D$3:$D$402,$A331))</f>
        <v/>
      </c>
      <c r="E331" s="23">
        <f>IF($C331="","",IF(IFERROR(MATCH($D331,기본자료!$B$2:$B$1001,0),IFERROR(MATCH($D331&amp;"",기본자료!$B$2:$B$1001,0),IFERROR(MATCH(VALUE($D331),기본자료!$B$2:$B$1001,0),0)))&gt;0,"확인","미등록"))</f>
        <v/>
      </c>
      <c r="F331" s="27">
        <f>IF($C331="","",INDEX(인턴근무계획!$S$3:$S$402,$A331))</f>
        <v/>
      </c>
      <c r="G331" s="23">
        <f>IF(OR($C331="",$G$3=""),"",IF(INDEX(인턴근무계획!$M$3:$R$402,$A331,$G$3)&amp;""="","",IF(LEFT(INDEX(인턴근무계획!$M$3:$R$402,$A331,$G$3)&amp;"",1)="⚠",INDEX(인턴근무계획!$M$3:$R$402,$A331,$G$3)&amp;"",LEFT(INDEX(인턴근무계획!$M$3:$R$402,$A331,$G$3)&amp;"",FIND(" ",INDEX(인턴근무계획!$M$3:$R$402,$A331,$G$3)&amp;"")-1))))</f>
        <v/>
      </c>
      <c r="H331" s="23">
        <f>IF(OR($C331="",$G$3=""),"",IF(INDEX(인턴근무계획!$M$3:$R$402,$A331,$G$3)&amp;""="","",IF(LEFT(INDEX(인턴근무계획!$M$3:$R$402,$A331,$G$3)&amp;"",1)="⚠","",MID(INDEX(인턴근무계획!$M$3:$R$402,$A331,$G$3)&amp;"",FIND(" ",INDEX(인턴근무계획!$M$3:$R$402,$A331,$G$3)&amp;"")+1,60))))</f>
        <v/>
      </c>
      <c r="I331" s="23">
        <f>IF(OR($C331="",$I$3=""),"",IF(INDEX(인턴근무계획!$M$3:$R$402,$A331,$I$3)&amp;""="","",IF(LEFT(INDEX(인턴근무계획!$M$3:$R$402,$A331,$I$3)&amp;"",1)="⚠",INDEX(인턴근무계획!$M$3:$R$402,$A331,$I$3)&amp;"",LEFT(INDEX(인턴근무계획!$M$3:$R$402,$A331,$I$3)&amp;"",FIND(" ",INDEX(인턴근무계획!$M$3:$R$402,$A331,$I$3)&amp;"")-1))))</f>
        <v/>
      </c>
      <c r="J331" s="23">
        <f>IF(OR($C331="",$I$3=""),"",IF(INDEX(인턴근무계획!$M$3:$R$402,$A331,$I$3)&amp;""="","",IF(LEFT(INDEX(인턴근무계획!$M$3:$R$402,$A331,$I$3)&amp;"",1)="⚠","",MID(INDEX(인턴근무계획!$M$3:$R$402,$A331,$I$3)&amp;"",FIND(" ",INDEX(인턴근무계획!$M$3:$R$402,$A331,$I$3)&amp;"")+1,60))))</f>
        <v/>
      </c>
      <c r="K331" s="23">
        <f>IF($C331="","",INDEX(인턴근무계획!$M$3:$M$402,$A331)&amp;"")</f>
        <v/>
      </c>
      <c r="L331" s="23">
        <f>IF($C331="","",INDEX(인턴근무계획!$N$3:$N$402,$A331)&amp;"")</f>
        <v/>
      </c>
      <c r="M331" s="23">
        <f>IF($C331="","",INDEX(인턴근무계획!$O$3:$O$402,$A331)&amp;"")</f>
        <v/>
      </c>
      <c r="N331" s="23">
        <f>IF($C331="","",INDEX(인턴근무계획!$P$3:$P$402,$A331)&amp;"")</f>
        <v/>
      </c>
      <c r="O331" s="23">
        <f>IF($C331="","",INDEX(인턴근무계획!$Q$3:$Q$402,$A331)&amp;"")</f>
        <v/>
      </c>
      <c r="P331" s="23">
        <f>IF($C331="","",INDEX(인턴근무계획!$R$3:$R$402,$A331)&amp;"")</f>
        <v/>
      </c>
      <c r="Q331" s="23">
        <f>IF($C331="","",INDEX(인턴근무계획!$T$3:$T$402,$A331))</f>
        <v/>
      </c>
    </row>
    <row r="332">
      <c r="A332" s="26" t="n">
        <v>327</v>
      </c>
      <c r="B332" s="23">
        <f>IF($C332="","",INDEX(인턴근무계획!$B$3:$B$402,$A332))</f>
        <v/>
      </c>
      <c r="C332" s="23">
        <f>IFERROR(TRIM(INDEX(인턴근무계획!$C$3:$C$402,$A332)&amp;""),"")</f>
        <v/>
      </c>
      <c r="D332" s="23">
        <f>IF($C332="","",INDEX(인턴근무계획!$D$3:$D$402,$A332))</f>
        <v/>
      </c>
      <c r="E332" s="23">
        <f>IF($C332="","",IF(IFERROR(MATCH($D332,기본자료!$B$2:$B$1001,0),IFERROR(MATCH($D332&amp;"",기본자료!$B$2:$B$1001,0),IFERROR(MATCH(VALUE($D332),기본자료!$B$2:$B$1001,0),0)))&gt;0,"확인","미등록"))</f>
        <v/>
      </c>
      <c r="F332" s="27">
        <f>IF($C332="","",INDEX(인턴근무계획!$S$3:$S$402,$A332))</f>
        <v/>
      </c>
      <c r="G332" s="23">
        <f>IF(OR($C332="",$G$3=""),"",IF(INDEX(인턴근무계획!$M$3:$R$402,$A332,$G$3)&amp;""="","",IF(LEFT(INDEX(인턴근무계획!$M$3:$R$402,$A332,$G$3)&amp;"",1)="⚠",INDEX(인턴근무계획!$M$3:$R$402,$A332,$G$3)&amp;"",LEFT(INDEX(인턴근무계획!$M$3:$R$402,$A332,$G$3)&amp;"",FIND(" ",INDEX(인턴근무계획!$M$3:$R$402,$A332,$G$3)&amp;"")-1))))</f>
        <v/>
      </c>
      <c r="H332" s="23">
        <f>IF(OR($C332="",$G$3=""),"",IF(INDEX(인턴근무계획!$M$3:$R$402,$A332,$G$3)&amp;""="","",IF(LEFT(INDEX(인턴근무계획!$M$3:$R$402,$A332,$G$3)&amp;"",1)="⚠","",MID(INDEX(인턴근무계획!$M$3:$R$402,$A332,$G$3)&amp;"",FIND(" ",INDEX(인턴근무계획!$M$3:$R$402,$A332,$G$3)&amp;"")+1,60))))</f>
        <v/>
      </c>
      <c r="I332" s="23">
        <f>IF(OR($C332="",$I$3=""),"",IF(INDEX(인턴근무계획!$M$3:$R$402,$A332,$I$3)&amp;""="","",IF(LEFT(INDEX(인턴근무계획!$M$3:$R$402,$A332,$I$3)&amp;"",1)="⚠",INDEX(인턴근무계획!$M$3:$R$402,$A332,$I$3)&amp;"",LEFT(INDEX(인턴근무계획!$M$3:$R$402,$A332,$I$3)&amp;"",FIND(" ",INDEX(인턴근무계획!$M$3:$R$402,$A332,$I$3)&amp;"")-1))))</f>
        <v/>
      </c>
      <c r="J332" s="23">
        <f>IF(OR($C332="",$I$3=""),"",IF(INDEX(인턴근무계획!$M$3:$R$402,$A332,$I$3)&amp;""="","",IF(LEFT(INDEX(인턴근무계획!$M$3:$R$402,$A332,$I$3)&amp;"",1)="⚠","",MID(INDEX(인턴근무계획!$M$3:$R$402,$A332,$I$3)&amp;"",FIND(" ",INDEX(인턴근무계획!$M$3:$R$402,$A332,$I$3)&amp;"")+1,60))))</f>
        <v/>
      </c>
      <c r="K332" s="23">
        <f>IF($C332="","",INDEX(인턴근무계획!$M$3:$M$402,$A332)&amp;"")</f>
        <v/>
      </c>
      <c r="L332" s="23">
        <f>IF($C332="","",INDEX(인턴근무계획!$N$3:$N$402,$A332)&amp;"")</f>
        <v/>
      </c>
      <c r="M332" s="23">
        <f>IF($C332="","",INDEX(인턴근무계획!$O$3:$O$402,$A332)&amp;"")</f>
        <v/>
      </c>
      <c r="N332" s="23">
        <f>IF($C332="","",INDEX(인턴근무계획!$P$3:$P$402,$A332)&amp;"")</f>
        <v/>
      </c>
      <c r="O332" s="23">
        <f>IF($C332="","",INDEX(인턴근무계획!$Q$3:$Q$402,$A332)&amp;"")</f>
        <v/>
      </c>
      <c r="P332" s="23">
        <f>IF($C332="","",INDEX(인턴근무계획!$R$3:$R$402,$A332)&amp;"")</f>
        <v/>
      </c>
      <c r="Q332" s="23">
        <f>IF($C332="","",INDEX(인턴근무계획!$T$3:$T$402,$A332))</f>
        <v/>
      </c>
    </row>
    <row r="333">
      <c r="A333" s="26" t="n">
        <v>328</v>
      </c>
      <c r="B333" s="23">
        <f>IF($C333="","",INDEX(인턴근무계획!$B$3:$B$402,$A333))</f>
        <v/>
      </c>
      <c r="C333" s="23">
        <f>IFERROR(TRIM(INDEX(인턴근무계획!$C$3:$C$402,$A333)&amp;""),"")</f>
        <v/>
      </c>
      <c r="D333" s="23">
        <f>IF($C333="","",INDEX(인턴근무계획!$D$3:$D$402,$A333))</f>
        <v/>
      </c>
      <c r="E333" s="23">
        <f>IF($C333="","",IF(IFERROR(MATCH($D333,기본자료!$B$2:$B$1001,0),IFERROR(MATCH($D333&amp;"",기본자료!$B$2:$B$1001,0),IFERROR(MATCH(VALUE($D333),기본자료!$B$2:$B$1001,0),0)))&gt;0,"확인","미등록"))</f>
        <v/>
      </c>
      <c r="F333" s="27">
        <f>IF($C333="","",INDEX(인턴근무계획!$S$3:$S$402,$A333))</f>
        <v/>
      </c>
      <c r="G333" s="23">
        <f>IF(OR($C333="",$G$3=""),"",IF(INDEX(인턴근무계획!$M$3:$R$402,$A333,$G$3)&amp;""="","",IF(LEFT(INDEX(인턴근무계획!$M$3:$R$402,$A333,$G$3)&amp;"",1)="⚠",INDEX(인턴근무계획!$M$3:$R$402,$A333,$G$3)&amp;"",LEFT(INDEX(인턴근무계획!$M$3:$R$402,$A333,$G$3)&amp;"",FIND(" ",INDEX(인턴근무계획!$M$3:$R$402,$A333,$G$3)&amp;"")-1))))</f>
        <v/>
      </c>
      <c r="H333" s="23">
        <f>IF(OR($C333="",$G$3=""),"",IF(INDEX(인턴근무계획!$M$3:$R$402,$A333,$G$3)&amp;""="","",IF(LEFT(INDEX(인턴근무계획!$M$3:$R$402,$A333,$G$3)&amp;"",1)="⚠","",MID(INDEX(인턴근무계획!$M$3:$R$402,$A333,$G$3)&amp;"",FIND(" ",INDEX(인턴근무계획!$M$3:$R$402,$A333,$G$3)&amp;"")+1,60))))</f>
        <v/>
      </c>
      <c r="I333" s="23">
        <f>IF(OR($C333="",$I$3=""),"",IF(INDEX(인턴근무계획!$M$3:$R$402,$A333,$I$3)&amp;""="","",IF(LEFT(INDEX(인턴근무계획!$M$3:$R$402,$A333,$I$3)&amp;"",1)="⚠",INDEX(인턴근무계획!$M$3:$R$402,$A333,$I$3)&amp;"",LEFT(INDEX(인턴근무계획!$M$3:$R$402,$A333,$I$3)&amp;"",FIND(" ",INDEX(인턴근무계획!$M$3:$R$402,$A333,$I$3)&amp;"")-1))))</f>
        <v/>
      </c>
      <c r="J333" s="23">
        <f>IF(OR($C333="",$I$3=""),"",IF(INDEX(인턴근무계획!$M$3:$R$402,$A333,$I$3)&amp;""="","",IF(LEFT(INDEX(인턴근무계획!$M$3:$R$402,$A333,$I$3)&amp;"",1)="⚠","",MID(INDEX(인턴근무계획!$M$3:$R$402,$A333,$I$3)&amp;"",FIND(" ",INDEX(인턴근무계획!$M$3:$R$402,$A333,$I$3)&amp;"")+1,60))))</f>
        <v/>
      </c>
      <c r="K333" s="23">
        <f>IF($C333="","",INDEX(인턴근무계획!$M$3:$M$402,$A333)&amp;"")</f>
        <v/>
      </c>
      <c r="L333" s="23">
        <f>IF($C333="","",INDEX(인턴근무계획!$N$3:$N$402,$A333)&amp;"")</f>
        <v/>
      </c>
      <c r="M333" s="23">
        <f>IF($C333="","",INDEX(인턴근무계획!$O$3:$O$402,$A333)&amp;"")</f>
        <v/>
      </c>
      <c r="N333" s="23">
        <f>IF($C333="","",INDEX(인턴근무계획!$P$3:$P$402,$A333)&amp;"")</f>
        <v/>
      </c>
      <c r="O333" s="23">
        <f>IF($C333="","",INDEX(인턴근무계획!$Q$3:$Q$402,$A333)&amp;"")</f>
        <v/>
      </c>
      <c r="P333" s="23">
        <f>IF($C333="","",INDEX(인턴근무계획!$R$3:$R$402,$A333)&amp;"")</f>
        <v/>
      </c>
      <c r="Q333" s="23">
        <f>IF($C333="","",INDEX(인턴근무계획!$T$3:$T$402,$A333))</f>
        <v/>
      </c>
    </row>
    <row r="334">
      <c r="A334" s="26" t="n">
        <v>329</v>
      </c>
      <c r="B334" s="23">
        <f>IF($C334="","",INDEX(인턴근무계획!$B$3:$B$402,$A334))</f>
        <v/>
      </c>
      <c r="C334" s="23">
        <f>IFERROR(TRIM(INDEX(인턴근무계획!$C$3:$C$402,$A334)&amp;""),"")</f>
        <v/>
      </c>
      <c r="D334" s="23">
        <f>IF($C334="","",INDEX(인턴근무계획!$D$3:$D$402,$A334))</f>
        <v/>
      </c>
      <c r="E334" s="23">
        <f>IF($C334="","",IF(IFERROR(MATCH($D334,기본자료!$B$2:$B$1001,0),IFERROR(MATCH($D334&amp;"",기본자료!$B$2:$B$1001,0),IFERROR(MATCH(VALUE($D334),기본자료!$B$2:$B$1001,0),0)))&gt;0,"확인","미등록"))</f>
        <v/>
      </c>
      <c r="F334" s="27">
        <f>IF($C334="","",INDEX(인턴근무계획!$S$3:$S$402,$A334))</f>
        <v/>
      </c>
      <c r="G334" s="23">
        <f>IF(OR($C334="",$G$3=""),"",IF(INDEX(인턴근무계획!$M$3:$R$402,$A334,$G$3)&amp;""="","",IF(LEFT(INDEX(인턴근무계획!$M$3:$R$402,$A334,$G$3)&amp;"",1)="⚠",INDEX(인턴근무계획!$M$3:$R$402,$A334,$G$3)&amp;"",LEFT(INDEX(인턴근무계획!$M$3:$R$402,$A334,$G$3)&amp;"",FIND(" ",INDEX(인턴근무계획!$M$3:$R$402,$A334,$G$3)&amp;"")-1))))</f>
        <v/>
      </c>
      <c r="H334" s="23">
        <f>IF(OR($C334="",$G$3=""),"",IF(INDEX(인턴근무계획!$M$3:$R$402,$A334,$G$3)&amp;""="","",IF(LEFT(INDEX(인턴근무계획!$M$3:$R$402,$A334,$G$3)&amp;"",1)="⚠","",MID(INDEX(인턴근무계획!$M$3:$R$402,$A334,$G$3)&amp;"",FIND(" ",INDEX(인턴근무계획!$M$3:$R$402,$A334,$G$3)&amp;"")+1,60))))</f>
        <v/>
      </c>
      <c r="I334" s="23">
        <f>IF(OR($C334="",$I$3=""),"",IF(INDEX(인턴근무계획!$M$3:$R$402,$A334,$I$3)&amp;""="","",IF(LEFT(INDEX(인턴근무계획!$M$3:$R$402,$A334,$I$3)&amp;"",1)="⚠",INDEX(인턴근무계획!$M$3:$R$402,$A334,$I$3)&amp;"",LEFT(INDEX(인턴근무계획!$M$3:$R$402,$A334,$I$3)&amp;"",FIND(" ",INDEX(인턴근무계획!$M$3:$R$402,$A334,$I$3)&amp;"")-1))))</f>
        <v/>
      </c>
      <c r="J334" s="23">
        <f>IF(OR($C334="",$I$3=""),"",IF(INDEX(인턴근무계획!$M$3:$R$402,$A334,$I$3)&amp;""="","",IF(LEFT(INDEX(인턴근무계획!$M$3:$R$402,$A334,$I$3)&amp;"",1)="⚠","",MID(INDEX(인턴근무계획!$M$3:$R$402,$A334,$I$3)&amp;"",FIND(" ",INDEX(인턴근무계획!$M$3:$R$402,$A334,$I$3)&amp;"")+1,60))))</f>
        <v/>
      </c>
      <c r="K334" s="23">
        <f>IF($C334="","",INDEX(인턴근무계획!$M$3:$M$402,$A334)&amp;"")</f>
        <v/>
      </c>
      <c r="L334" s="23">
        <f>IF($C334="","",INDEX(인턴근무계획!$N$3:$N$402,$A334)&amp;"")</f>
        <v/>
      </c>
      <c r="M334" s="23">
        <f>IF($C334="","",INDEX(인턴근무계획!$O$3:$O$402,$A334)&amp;"")</f>
        <v/>
      </c>
      <c r="N334" s="23">
        <f>IF($C334="","",INDEX(인턴근무계획!$P$3:$P$402,$A334)&amp;"")</f>
        <v/>
      </c>
      <c r="O334" s="23">
        <f>IF($C334="","",INDEX(인턴근무계획!$Q$3:$Q$402,$A334)&amp;"")</f>
        <v/>
      </c>
      <c r="P334" s="23">
        <f>IF($C334="","",INDEX(인턴근무계획!$R$3:$R$402,$A334)&amp;"")</f>
        <v/>
      </c>
      <c r="Q334" s="23">
        <f>IF($C334="","",INDEX(인턴근무계획!$T$3:$T$402,$A334))</f>
        <v/>
      </c>
    </row>
    <row r="335">
      <c r="A335" s="26" t="n">
        <v>330</v>
      </c>
      <c r="B335" s="23">
        <f>IF($C335="","",INDEX(인턴근무계획!$B$3:$B$402,$A335))</f>
        <v/>
      </c>
      <c r="C335" s="23">
        <f>IFERROR(TRIM(INDEX(인턴근무계획!$C$3:$C$402,$A335)&amp;""),"")</f>
        <v/>
      </c>
      <c r="D335" s="23">
        <f>IF($C335="","",INDEX(인턴근무계획!$D$3:$D$402,$A335))</f>
        <v/>
      </c>
      <c r="E335" s="23">
        <f>IF($C335="","",IF(IFERROR(MATCH($D335,기본자료!$B$2:$B$1001,0),IFERROR(MATCH($D335&amp;"",기본자료!$B$2:$B$1001,0),IFERROR(MATCH(VALUE($D335),기본자료!$B$2:$B$1001,0),0)))&gt;0,"확인","미등록"))</f>
        <v/>
      </c>
      <c r="F335" s="27">
        <f>IF($C335="","",INDEX(인턴근무계획!$S$3:$S$402,$A335))</f>
        <v/>
      </c>
      <c r="G335" s="23">
        <f>IF(OR($C335="",$G$3=""),"",IF(INDEX(인턴근무계획!$M$3:$R$402,$A335,$G$3)&amp;""="","",IF(LEFT(INDEX(인턴근무계획!$M$3:$R$402,$A335,$G$3)&amp;"",1)="⚠",INDEX(인턴근무계획!$M$3:$R$402,$A335,$G$3)&amp;"",LEFT(INDEX(인턴근무계획!$M$3:$R$402,$A335,$G$3)&amp;"",FIND(" ",INDEX(인턴근무계획!$M$3:$R$402,$A335,$G$3)&amp;"")-1))))</f>
        <v/>
      </c>
      <c r="H335" s="23">
        <f>IF(OR($C335="",$G$3=""),"",IF(INDEX(인턴근무계획!$M$3:$R$402,$A335,$G$3)&amp;""="","",IF(LEFT(INDEX(인턴근무계획!$M$3:$R$402,$A335,$G$3)&amp;"",1)="⚠","",MID(INDEX(인턴근무계획!$M$3:$R$402,$A335,$G$3)&amp;"",FIND(" ",INDEX(인턴근무계획!$M$3:$R$402,$A335,$G$3)&amp;"")+1,60))))</f>
        <v/>
      </c>
      <c r="I335" s="23">
        <f>IF(OR($C335="",$I$3=""),"",IF(INDEX(인턴근무계획!$M$3:$R$402,$A335,$I$3)&amp;""="","",IF(LEFT(INDEX(인턴근무계획!$M$3:$R$402,$A335,$I$3)&amp;"",1)="⚠",INDEX(인턴근무계획!$M$3:$R$402,$A335,$I$3)&amp;"",LEFT(INDEX(인턴근무계획!$M$3:$R$402,$A335,$I$3)&amp;"",FIND(" ",INDEX(인턴근무계획!$M$3:$R$402,$A335,$I$3)&amp;"")-1))))</f>
        <v/>
      </c>
      <c r="J335" s="23">
        <f>IF(OR($C335="",$I$3=""),"",IF(INDEX(인턴근무계획!$M$3:$R$402,$A335,$I$3)&amp;""="","",IF(LEFT(INDEX(인턴근무계획!$M$3:$R$402,$A335,$I$3)&amp;"",1)="⚠","",MID(INDEX(인턴근무계획!$M$3:$R$402,$A335,$I$3)&amp;"",FIND(" ",INDEX(인턴근무계획!$M$3:$R$402,$A335,$I$3)&amp;"")+1,60))))</f>
        <v/>
      </c>
      <c r="K335" s="23">
        <f>IF($C335="","",INDEX(인턴근무계획!$M$3:$M$402,$A335)&amp;"")</f>
        <v/>
      </c>
      <c r="L335" s="23">
        <f>IF($C335="","",INDEX(인턴근무계획!$N$3:$N$402,$A335)&amp;"")</f>
        <v/>
      </c>
      <c r="M335" s="23">
        <f>IF($C335="","",INDEX(인턴근무계획!$O$3:$O$402,$A335)&amp;"")</f>
        <v/>
      </c>
      <c r="N335" s="23">
        <f>IF($C335="","",INDEX(인턴근무계획!$P$3:$P$402,$A335)&amp;"")</f>
        <v/>
      </c>
      <c r="O335" s="23">
        <f>IF($C335="","",INDEX(인턴근무계획!$Q$3:$Q$402,$A335)&amp;"")</f>
        <v/>
      </c>
      <c r="P335" s="23">
        <f>IF($C335="","",INDEX(인턴근무계획!$R$3:$R$402,$A335)&amp;"")</f>
        <v/>
      </c>
      <c r="Q335" s="23">
        <f>IF($C335="","",INDEX(인턴근무계획!$T$3:$T$402,$A335))</f>
        <v/>
      </c>
    </row>
    <row r="336">
      <c r="A336" s="26" t="n">
        <v>331</v>
      </c>
      <c r="B336" s="23">
        <f>IF($C336="","",INDEX(인턴근무계획!$B$3:$B$402,$A336))</f>
        <v/>
      </c>
      <c r="C336" s="23">
        <f>IFERROR(TRIM(INDEX(인턴근무계획!$C$3:$C$402,$A336)&amp;""),"")</f>
        <v/>
      </c>
      <c r="D336" s="23">
        <f>IF($C336="","",INDEX(인턴근무계획!$D$3:$D$402,$A336))</f>
        <v/>
      </c>
      <c r="E336" s="23">
        <f>IF($C336="","",IF(IFERROR(MATCH($D336,기본자료!$B$2:$B$1001,0),IFERROR(MATCH($D336&amp;"",기본자료!$B$2:$B$1001,0),IFERROR(MATCH(VALUE($D336),기본자료!$B$2:$B$1001,0),0)))&gt;0,"확인","미등록"))</f>
        <v/>
      </c>
      <c r="F336" s="27">
        <f>IF($C336="","",INDEX(인턴근무계획!$S$3:$S$402,$A336))</f>
        <v/>
      </c>
      <c r="G336" s="23">
        <f>IF(OR($C336="",$G$3=""),"",IF(INDEX(인턴근무계획!$M$3:$R$402,$A336,$G$3)&amp;""="","",IF(LEFT(INDEX(인턴근무계획!$M$3:$R$402,$A336,$G$3)&amp;"",1)="⚠",INDEX(인턴근무계획!$M$3:$R$402,$A336,$G$3)&amp;"",LEFT(INDEX(인턴근무계획!$M$3:$R$402,$A336,$G$3)&amp;"",FIND(" ",INDEX(인턴근무계획!$M$3:$R$402,$A336,$G$3)&amp;"")-1))))</f>
        <v/>
      </c>
      <c r="H336" s="23">
        <f>IF(OR($C336="",$G$3=""),"",IF(INDEX(인턴근무계획!$M$3:$R$402,$A336,$G$3)&amp;""="","",IF(LEFT(INDEX(인턴근무계획!$M$3:$R$402,$A336,$G$3)&amp;"",1)="⚠","",MID(INDEX(인턴근무계획!$M$3:$R$402,$A336,$G$3)&amp;"",FIND(" ",INDEX(인턴근무계획!$M$3:$R$402,$A336,$G$3)&amp;"")+1,60))))</f>
        <v/>
      </c>
      <c r="I336" s="23">
        <f>IF(OR($C336="",$I$3=""),"",IF(INDEX(인턴근무계획!$M$3:$R$402,$A336,$I$3)&amp;""="","",IF(LEFT(INDEX(인턴근무계획!$M$3:$R$402,$A336,$I$3)&amp;"",1)="⚠",INDEX(인턴근무계획!$M$3:$R$402,$A336,$I$3)&amp;"",LEFT(INDEX(인턴근무계획!$M$3:$R$402,$A336,$I$3)&amp;"",FIND(" ",INDEX(인턴근무계획!$M$3:$R$402,$A336,$I$3)&amp;"")-1))))</f>
        <v/>
      </c>
      <c r="J336" s="23">
        <f>IF(OR($C336="",$I$3=""),"",IF(INDEX(인턴근무계획!$M$3:$R$402,$A336,$I$3)&amp;""="","",IF(LEFT(INDEX(인턴근무계획!$M$3:$R$402,$A336,$I$3)&amp;"",1)="⚠","",MID(INDEX(인턴근무계획!$M$3:$R$402,$A336,$I$3)&amp;"",FIND(" ",INDEX(인턴근무계획!$M$3:$R$402,$A336,$I$3)&amp;"")+1,60))))</f>
        <v/>
      </c>
      <c r="K336" s="23">
        <f>IF($C336="","",INDEX(인턴근무계획!$M$3:$M$402,$A336)&amp;"")</f>
        <v/>
      </c>
      <c r="L336" s="23">
        <f>IF($C336="","",INDEX(인턴근무계획!$N$3:$N$402,$A336)&amp;"")</f>
        <v/>
      </c>
      <c r="M336" s="23">
        <f>IF($C336="","",INDEX(인턴근무계획!$O$3:$O$402,$A336)&amp;"")</f>
        <v/>
      </c>
      <c r="N336" s="23">
        <f>IF($C336="","",INDEX(인턴근무계획!$P$3:$P$402,$A336)&amp;"")</f>
        <v/>
      </c>
      <c r="O336" s="23">
        <f>IF($C336="","",INDEX(인턴근무계획!$Q$3:$Q$402,$A336)&amp;"")</f>
        <v/>
      </c>
      <c r="P336" s="23">
        <f>IF($C336="","",INDEX(인턴근무계획!$R$3:$R$402,$A336)&amp;"")</f>
        <v/>
      </c>
      <c r="Q336" s="23">
        <f>IF($C336="","",INDEX(인턴근무계획!$T$3:$T$402,$A336))</f>
        <v/>
      </c>
    </row>
    <row r="337">
      <c r="A337" s="26" t="n">
        <v>332</v>
      </c>
      <c r="B337" s="23">
        <f>IF($C337="","",INDEX(인턴근무계획!$B$3:$B$402,$A337))</f>
        <v/>
      </c>
      <c r="C337" s="23">
        <f>IFERROR(TRIM(INDEX(인턴근무계획!$C$3:$C$402,$A337)&amp;""),"")</f>
        <v/>
      </c>
      <c r="D337" s="23">
        <f>IF($C337="","",INDEX(인턴근무계획!$D$3:$D$402,$A337))</f>
        <v/>
      </c>
      <c r="E337" s="23">
        <f>IF($C337="","",IF(IFERROR(MATCH($D337,기본자료!$B$2:$B$1001,0),IFERROR(MATCH($D337&amp;"",기본자료!$B$2:$B$1001,0),IFERROR(MATCH(VALUE($D337),기본자료!$B$2:$B$1001,0),0)))&gt;0,"확인","미등록"))</f>
        <v/>
      </c>
      <c r="F337" s="27">
        <f>IF($C337="","",INDEX(인턴근무계획!$S$3:$S$402,$A337))</f>
        <v/>
      </c>
      <c r="G337" s="23">
        <f>IF(OR($C337="",$G$3=""),"",IF(INDEX(인턴근무계획!$M$3:$R$402,$A337,$G$3)&amp;""="","",IF(LEFT(INDEX(인턴근무계획!$M$3:$R$402,$A337,$G$3)&amp;"",1)="⚠",INDEX(인턴근무계획!$M$3:$R$402,$A337,$G$3)&amp;"",LEFT(INDEX(인턴근무계획!$M$3:$R$402,$A337,$G$3)&amp;"",FIND(" ",INDEX(인턴근무계획!$M$3:$R$402,$A337,$G$3)&amp;"")-1))))</f>
        <v/>
      </c>
      <c r="H337" s="23">
        <f>IF(OR($C337="",$G$3=""),"",IF(INDEX(인턴근무계획!$M$3:$R$402,$A337,$G$3)&amp;""="","",IF(LEFT(INDEX(인턴근무계획!$M$3:$R$402,$A337,$G$3)&amp;"",1)="⚠","",MID(INDEX(인턴근무계획!$M$3:$R$402,$A337,$G$3)&amp;"",FIND(" ",INDEX(인턴근무계획!$M$3:$R$402,$A337,$G$3)&amp;"")+1,60))))</f>
        <v/>
      </c>
      <c r="I337" s="23">
        <f>IF(OR($C337="",$I$3=""),"",IF(INDEX(인턴근무계획!$M$3:$R$402,$A337,$I$3)&amp;""="","",IF(LEFT(INDEX(인턴근무계획!$M$3:$R$402,$A337,$I$3)&amp;"",1)="⚠",INDEX(인턴근무계획!$M$3:$R$402,$A337,$I$3)&amp;"",LEFT(INDEX(인턴근무계획!$M$3:$R$402,$A337,$I$3)&amp;"",FIND(" ",INDEX(인턴근무계획!$M$3:$R$402,$A337,$I$3)&amp;"")-1))))</f>
        <v/>
      </c>
      <c r="J337" s="23">
        <f>IF(OR($C337="",$I$3=""),"",IF(INDEX(인턴근무계획!$M$3:$R$402,$A337,$I$3)&amp;""="","",IF(LEFT(INDEX(인턴근무계획!$M$3:$R$402,$A337,$I$3)&amp;"",1)="⚠","",MID(INDEX(인턴근무계획!$M$3:$R$402,$A337,$I$3)&amp;"",FIND(" ",INDEX(인턴근무계획!$M$3:$R$402,$A337,$I$3)&amp;"")+1,60))))</f>
        <v/>
      </c>
      <c r="K337" s="23">
        <f>IF($C337="","",INDEX(인턴근무계획!$M$3:$M$402,$A337)&amp;"")</f>
        <v/>
      </c>
      <c r="L337" s="23">
        <f>IF($C337="","",INDEX(인턴근무계획!$N$3:$N$402,$A337)&amp;"")</f>
        <v/>
      </c>
      <c r="M337" s="23">
        <f>IF($C337="","",INDEX(인턴근무계획!$O$3:$O$402,$A337)&amp;"")</f>
        <v/>
      </c>
      <c r="N337" s="23">
        <f>IF($C337="","",INDEX(인턴근무계획!$P$3:$P$402,$A337)&amp;"")</f>
        <v/>
      </c>
      <c r="O337" s="23">
        <f>IF($C337="","",INDEX(인턴근무계획!$Q$3:$Q$402,$A337)&amp;"")</f>
        <v/>
      </c>
      <c r="P337" s="23">
        <f>IF($C337="","",INDEX(인턴근무계획!$R$3:$R$402,$A337)&amp;"")</f>
        <v/>
      </c>
      <c r="Q337" s="23">
        <f>IF($C337="","",INDEX(인턴근무계획!$T$3:$T$402,$A337))</f>
        <v/>
      </c>
    </row>
    <row r="338">
      <c r="A338" s="26" t="n">
        <v>333</v>
      </c>
      <c r="B338" s="23">
        <f>IF($C338="","",INDEX(인턴근무계획!$B$3:$B$402,$A338))</f>
        <v/>
      </c>
      <c r="C338" s="23">
        <f>IFERROR(TRIM(INDEX(인턴근무계획!$C$3:$C$402,$A338)&amp;""),"")</f>
        <v/>
      </c>
      <c r="D338" s="23">
        <f>IF($C338="","",INDEX(인턴근무계획!$D$3:$D$402,$A338))</f>
        <v/>
      </c>
      <c r="E338" s="23">
        <f>IF($C338="","",IF(IFERROR(MATCH($D338,기본자료!$B$2:$B$1001,0),IFERROR(MATCH($D338&amp;"",기본자료!$B$2:$B$1001,0),IFERROR(MATCH(VALUE($D338),기본자료!$B$2:$B$1001,0),0)))&gt;0,"확인","미등록"))</f>
        <v/>
      </c>
      <c r="F338" s="27">
        <f>IF($C338="","",INDEX(인턴근무계획!$S$3:$S$402,$A338))</f>
        <v/>
      </c>
      <c r="G338" s="23">
        <f>IF(OR($C338="",$G$3=""),"",IF(INDEX(인턴근무계획!$M$3:$R$402,$A338,$G$3)&amp;""="","",IF(LEFT(INDEX(인턴근무계획!$M$3:$R$402,$A338,$G$3)&amp;"",1)="⚠",INDEX(인턴근무계획!$M$3:$R$402,$A338,$G$3)&amp;"",LEFT(INDEX(인턴근무계획!$M$3:$R$402,$A338,$G$3)&amp;"",FIND(" ",INDEX(인턴근무계획!$M$3:$R$402,$A338,$G$3)&amp;"")-1))))</f>
        <v/>
      </c>
      <c r="H338" s="23">
        <f>IF(OR($C338="",$G$3=""),"",IF(INDEX(인턴근무계획!$M$3:$R$402,$A338,$G$3)&amp;""="","",IF(LEFT(INDEX(인턴근무계획!$M$3:$R$402,$A338,$G$3)&amp;"",1)="⚠","",MID(INDEX(인턴근무계획!$M$3:$R$402,$A338,$G$3)&amp;"",FIND(" ",INDEX(인턴근무계획!$M$3:$R$402,$A338,$G$3)&amp;"")+1,60))))</f>
        <v/>
      </c>
      <c r="I338" s="23">
        <f>IF(OR($C338="",$I$3=""),"",IF(INDEX(인턴근무계획!$M$3:$R$402,$A338,$I$3)&amp;""="","",IF(LEFT(INDEX(인턴근무계획!$M$3:$R$402,$A338,$I$3)&amp;"",1)="⚠",INDEX(인턴근무계획!$M$3:$R$402,$A338,$I$3)&amp;"",LEFT(INDEX(인턴근무계획!$M$3:$R$402,$A338,$I$3)&amp;"",FIND(" ",INDEX(인턴근무계획!$M$3:$R$402,$A338,$I$3)&amp;"")-1))))</f>
        <v/>
      </c>
      <c r="J338" s="23">
        <f>IF(OR($C338="",$I$3=""),"",IF(INDEX(인턴근무계획!$M$3:$R$402,$A338,$I$3)&amp;""="","",IF(LEFT(INDEX(인턴근무계획!$M$3:$R$402,$A338,$I$3)&amp;"",1)="⚠","",MID(INDEX(인턴근무계획!$M$3:$R$402,$A338,$I$3)&amp;"",FIND(" ",INDEX(인턴근무계획!$M$3:$R$402,$A338,$I$3)&amp;"")+1,60))))</f>
        <v/>
      </c>
      <c r="K338" s="23">
        <f>IF($C338="","",INDEX(인턴근무계획!$M$3:$M$402,$A338)&amp;"")</f>
        <v/>
      </c>
      <c r="L338" s="23">
        <f>IF($C338="","",INDEX(인턴근무계획!$N$3:$N$402,$A338)&amp;"")</f>
        <v/>
      </c>
      <c r="M338" s="23">
        <f>IF($C338="","",INDEX(인턴근무계획!$O$3:$O$402,$A338)&amp;"")</f>
        <v/>
      </c>
      <c r="N338" s="23">
        <f>IF($C338="","",INDEX(인턴근무계획!$P$3:$P$402,$A338)&amp;"")</f>
        <v/>
      </c>
      <c r="O338" s="23">
        <f>IF($C338="","",INDEX(인턴근무계획!$Q$3:$Q$402,$A338)&amp;"")</f>
        <v/>
      </c>
      <c r="P338" s="23">
        <f>IF($C338="","",INDEX(인턴근무계획!$R$3:$R$402,$A338)&amp;"")</f>
        <v/>
      </c>
      <c r="Q338" s="23">
        <f>IF($C338="","",INDEX(인턴근무계획!$T$3:$T$402,$A338))</f>
        <v/>
      </c>
    </row>
    <row r="339">
      <c r="A339" s="26" t="n">
        <v>334</v>
      </c>
      <c r="B339" s="23">
        <f>IF($C339="","",INDEX(인턴근무계획!$B$3:$B$402,$A339))</f>
        <v/>
      </c>
      <c r="C339" s="23">
        <f>IFERROR(TRIM(INDEX(인턴근무계획!$C$3:$C$402,$A339)&amp;""),"")</f>
        <v/>
      </c>
      <c r="D339" s="23">
        <f>IF($C339="","",INDEX(인턴근무계획!$D$3:$D$402,$A339))</f>
        <v/>
      </c>
      <c r="E339" s="23">
        <f>IF($C339="","",IF(IFERROR(MATCH($D339,기본자료!$B$2:$B$1001,0),IFERROR(MATCH($D339&amp;"",기본자료!$B$2:$B$1001,0),IFERROR(MATCH(VALUE($D339),기본자료!$B$2:$B$1001,0),0)))&gt;0,"확인","미등록"))</f>
        <v/>
      </c>
      <c r="F339" s="27">
        <f>IF($C339="","",INDEX(인턴근무계획!$S$3:$S$402,$A339))</f>
        <v/>
      </c>
      <c r="G339" s="23">
        <f>IF(OR($C339="",$G$3=""),"",IF(INDEX(인턴근무계획!$M$3:$R$402,$A339,$G$3)&amp;""="","",IF(LEFT(INDEX(인턴근무계획!$M$3:$R$402,$A339,$G$3)&amp;"",1)="⚠",INDEX(인턴근무계획!$M$3:$R$402,$A339,$G$3)&amp;"",LEFT(INDEX(인턴근무계획!$M$3:$R$402,$A339,$G$3)&amp;"",FIND(" ",INDEX(인턴근무계획!$M$3:$R$402,$A339,$G$3)&amp;"")-1))))</f>
        <v/>
      </c>
      <c r="H339" s="23">
        <f>IF(OR($C339="",$G$3=""),"",IF(INDEX(인턴근무계획!$M$3:$R$402,$A339,$G$3)&amp;""="","",IF(LEFT(INDEX(인턴근무계획!$M$3:$R$402,$A339,$G$3)&amp;"",1)="⚠","",MID(INDEX(인턴근무계획!$M$3:$R$402,$A339,$G$3)&amp;"",FIND(" ",INDEX(인턴근무계획!$M$3:$R$402,$A339,$G$3)&amp;"")+1,60))))</f>
        <v/>
      </c>
      <c r="I339" s="23">
        <f>IF(OR($C339="",$I$3=""),"",IF(INDEX(인턴근무계획!$M$3:$R$402,$A339,$I$3)&amp;""="","",IF(LEFT(INDEX(인턴근무계획!$M$3:$R$402,$A339,$I$3)&amp;"",1)="⚠",INDEX(인턴근무계획!$M$3:$R$402,$A339,$I$3)&amp;"",LEFT(INDEX(인턴근무계획!$M$3:$R$402,$A339,$I$3)&amp;"",FIND(" ",INDEX(인턴근무계획!$M$3:$R$402,$A339,$I$3)&amp;"")-1))))</f>
        <v/>
      </c>
      <c r="J339" s="23">
        <f>IF(OR($C339="",$I$3=""),"",IF(INDEX(인턴근무계획!$M$3:$R$402,$A339,$I$3)&amp;""="","",IF(LEFT(INDEX(인턴근무계획!$M$3:$R$402,$A339,$I$3)&amp;"",1)="⚠","",MID(INDEX(인턴근무계획!$M$3:$R$402,$A339,$I$3)&amp;"",FIND(" ",INDEX(인턴근무계획!$M$3:$R$402,$A339,$I$3)&amp;"")+1,60))))</f>
        <v/>
      </c>
      <c r="K339" s="23">
        <f>IF($C339="","",INDEX(인턴근무계획!$M$3:$M$402,$A339)&amp;"")</f>
        <v/>
      </c>
      <c r="L339" s="23">
        <f>IF($C339="","",INDEX(인턴근무계획!$N$3:$N$402,$A339)&amp;"")</f>
        <v/>
      </c>
      <c r="M339" s="23">
        <f>IF($C339="","",INDEX(인턴근무계획!$O$3:$O$402,$A339)&amp;"")</f>
        <v/>
      </c>
      <c r="N339" s="23">
        <f>IF($C339="","",INDEX(인턴근무계획!$P$3:$P$402,$A339)&amp;"")</f>
        <v/>
      </c>
      <c r="O339" s="23">
        <f>IF($C339="","",INDEX(인턴근무계획!$Q$3:$Q$402,$A339)&amp;"")</f>
        <v/>
      </c>
      <c r="P339" s="23">
        <f>IF($C339="","",INDEX(인턴근무계획!$R$3:$R$402,$A339)&amp;"")</f>
        <v/>
      </c>
      <c r="Q339" s="23">
        <f>IF($C339="","",INDEX(인턴근무계획!$T$3:$T$402,$A339))</f>
        <v/>
      </c>
    </row>
    <row r="340">
      <c r="A340" s="26" t="n">
        <v>335</v>
      </c>
      <c r="B340" s="23">
        <f>IF($C340="","",INDEX(인턴근무계획!$B$3:$B$402,$A340))</f>
        <v/>
      </c>
      <c r="C340" s="23">
        <f>IFERROR(TRIM(INDEX(인턴근무계획!$C$3:$C$402,$A340)&amp;""),"")</f>
        <v/>
      </c>
      <c r="D340" s="23">
        <f>IF($C340="","",INDEX(인턴근무계획!$D$3:$D$402,$A340))</f>
        <v/>
      </c>
      <c r="E340" s="23">
        <f>IF($C340="","",IF(IFERROR(MATCH($D340,기본자료!$B$2:$B$1001,0),IFERROR(MATCH($D340&amp;"",기본자료!$B$2:$B$1001,0),IFERROR(MATCH(VALUE($D340),기본자료!$B$2:$B$1001,0),0)))&gt;0,"확인","미등록"))</f>
        <v/>
      </c>
      <c r="F340" s="27">
        <f>IF($C340="","",INDEX(인턴근무계획!$S$3:$S$402,$A340))</f>
        <v/>
      </c>
      <c r="G340" s="23">
        <f>IF(OR($C340="",$G$3=""),"",IF(INDEX(인턴근무계획!$M$3:$R$402,$A340,$G$3)&amp;""="","",IF(LEFT(INDEX(인턴근무계획!$M$3:$R$402,$A340,$G$3)&amp;"",1)="⚠",INDEX(인턴근무계획!$M$3:$R$402,$A340,$G$3)&amp;"",LEFT(INDEX(인턴근무계획!$M$3:$R$402,$A340,$G$3)&amp;"",FIND(" ",INDEX(인턴근무계획!$M$3:$R$402,$A340,$G$3)&amp;"")-1))))</f>
        <v/>
      </c>
      <c r="H340" s="23">
        <f>IF(OR($C340="",$G$3=""),"",IF(INDEX(인턴근무계획!$M$3:$R$402,$A340,$G$3)&amp;""="","",IF(LEFT(INDEX(인턴근무계획!$M$3:$R$402,$A340,$G$3)&amp;"",1)="⚠","",MID(INDEX(인턴근무계획!$M$3:$R$402,$A340,$G$3)&amp;"",FIND(" ",INDEX(인턴근무계획!$M$3:$R$402,$A340,$G$3)&amp;"")+1,60))))</f>
        <v/>
      </c>
      <c r="I340" s="23">
        <f>IF(OR($C340="",$I$3=""),"",IF(INDEX(인턴근무계획!$M$3:$R$402,$A340,$I$3)&amp;""="","",IF(LEFT(INDEX(인턴근무계획!$M$3:$R$402,$A340,$I$3)&amp;"",1)="⚠",INDEX(인턴근무계획!$M$3:$R$402,$A340,$I$3)&amp;"",LEFT(INDEX(인턴근무계획!$M$3:$R$402,$A340,$I$3)&amp;"",FIND(" ",INDEX(인턴근무계획!$M$3:$R$402,$A340,$I$3)&amp;"")-1))))</f>
        <v/>
      </c>
      <c r="J340" s="23">
        <f>IF(OR($C340="",$I$3=""),"",IF(INDEX(인턴근무계획!$M$3:$R$402,$A340,$I$3)&amp;""="","",IF(LEFT(INDEX(인턴근무계획!$M$3:$R$402,$A340,$I$3)&amp;"",1)="⚠","",MID(INDEX(인턴근무계획!$M$3:$R$402,$A340,$I$3)&amp;"",FIND(" ",INDEX(인턴근무계획!$M$3:$R$402,$A340,$I$3)&amp;"")+1,60))))</f>
        <v/>
      </c>
      <c r="K340" s="23">
        <f>IF($C340="","",INDEX(인턴근무계획!$M$3:$M$402,$A340)&amp;"")</f>
        <v/>
      </c>
      <c r="L340" s="23">
        <f>IF($C340="","",INDEX(인턴근무계획!$N$3:$N$402,$A340)&amp;"")</f>
        <v/>
      </c>
      <c r="M340" s="23">
        <f>IF($C340="","",INDEX(인턴근무계획!$O$3:$O$402,$A340)&amp;"")</f>
        <v/>
      </c>
      <c r="N340" s="23">
        <f>IF($C340="","",INDEX(인턴근무계획!$P$3:$P$402,$A340)&amp;"")</f>
        <v/>
      </c>
      <c r="O340" s="23">
        <f>IF($C340="","",INDEX(인턴근무계획!$Q$3:$Q$402,$A340)&amp;"")</f>
        <v/>
      </c>
      <c r="P340" s="23">
        <f>IF($C340="","",INDEX(인턴근무계획!$R$3:$R$402,$A340)&amp;"")</f>
        <v/>
      </c>
      <c r="Q340" s="23">
        <f>IF($C340="","",INDEX(인턴근무계획!$T$3:$T$402,$A340))</f>
        <v/>
      </c>
    </row>
    <row r="341">
      <c r="A341" s="26" t="n">
        <v>336</v>
      </c>
      <c r="B341" s="23">
        <f>IF($C341="","",INDEX(인턴근무계획!$B$3:$B$402,$A341))</f>
        <v/>
      </c>
      <c r="C341" s="23">
        <f>IFERROR(TRIM(INDEX(인턴근무계획!$C$3:$C$402,$A341)&amp;""),"")</f>
        <v/>
      </c>
      <c r="D341" s="23">
        <f>IF($C341="","",INDEX(인턴근무계획!$D$3:$D$402,$A341))</f>
        <v/>
      </c>
      <c r="E341" s="23">
        <f>IF($C341="","",IF(IFERROR(MATCH($D341,기본자료!$B$2:$B$1001,0),IFERROR(MATCH($D341&amp;"",기본자료!$B$2:$B$1001,0),IFERROR(MATCH(VALUE($D341),기본자료!$B$2:$B$1001,0),0)))&gt;0,"확인","미등록"))</f>
        <v/>
      </c>
      <c r="F341" s="27">
        <f>IF($C341="","",INDEX(인턴근무계획!$S$3:$S$402,$A341))</f>
        <v/>
      </c>
      <c r="G341" s="23">
        <f>IF(OR($C341="",$G$3=""),"",IF(INDEX(인턴근무계획!$M$3:$R$402,$A341,$G$3)&amp;""="","",IF(LEFT(INDEX(인턴근무계획!$M$3:$R$402,$A341,$G$3)&amp;"",1)="⚠",INDEX(인턴근무계획!$M$3:$R$402,$A341,$G$3)&amp;"",LEFT(INDEX(인턴근무계획!$M$3:$R$402,$A341,$G$3)&amp;"",FIND(" ",INDEX(인턴근무계획!$M$3:$R$402,$A341,$G$3)&amp;"")-1))))</f>
        <v/>
      </c>
      <c r="H341" s="23">
        <f>IF(OR($C341="",$G$3=""),"",IF(INDEX(인턴근무계획!$M$3:$R$402,$A341,$G$3)&amp;""="","",IF(LEFT(INDEX(인턴근무계획!$M$3:$R$402,$A341,$G$3)&amp;"",1)="⚠","",MID(INDEX(인턴근무계획!$M$3:$R$402,$A341,$G$3)&amp;"",FIND(" ",INDEX(인턴근무계획!$M$3:$R$402,$A341,$G$3)&amp;"")+1,60))))</f>
        <v/>
      </c>
      <c r="I341" s="23">
        <f>IF(OR($C341="",$I$3=""),"",IF(INDEX(인턴근무계획!$M$3:$R$402,$A341,$I$3)&amp;""="","",IF(LEFT(INDEX(인턴근무계획!$M$3:$R$402,$A341,$I$3)&amp;"",1)="⚠",INDEX(인턴근무계획!$M$3:$R$402,$A341,$I$3)&amp;"",LEFT(INDEX(인턴근무계획!$M$3:$R$402,$A341,$I$3)&amp;"",FIND(" ",INDEX(인턴근무계획!$M$3:$R$402,$A341,$I$3)&amp;"")-1))))</f>
        <v/>
      </c>
      <c r="J341" s="23">
        <f>IF(OR($C341="",$I$3=""),"",IF(INDEX(인턴근무계획!$M$3:$R$402,$A341,$I$3)&amp;""="","",IF(LEFT(INDEX(인턴근무계획!$M$3:$R$402,$A341,$I$3)&amp;"",1)="⚠","",MID(INDEX(인턴근무계획!$M$3:$R$402,$A341,$I$3)&amp;"",FIND(" ",INDEX(인턴근무계획!$M$3:$R$402,$A341,$I$3)&amp;"")+1,60))))</f>
        <v/>
      </c>
      <c r="K341" s="23">
        <f>IF($C341="","",INDEX(인턴근무계획!$M$3:$M$402,$A341)&amp;"")</f>
        <v/>
      </c>
      <c r="L341" s="23">
        <f>IF($C341="","",INDEX(인턴근무계획!$N$3:$N$402,$A341)&amp;"")</f>
        <v/>
      </c>
      <c r="M341" s="23">
        <f>IF($C341="","",INDEX(인턴근무계획!$O$3:$O$402,$A341)&amp;"")</f>
        <v/>
      </c>
      <c r="N341" s="23">
        <f>IF($C341="","",INDEX(인턴근무계획!$P$3:$P$402,$A341)&amp;"")</f>
        <v/>
      </c>
      <c r="O341" s="23">
        <f>IF($C341="","",INDEX(인턴근무계획!$Q$3:$Q$402,$A341)&amp;"")</f>
        <v/>
      </c>
      <c r="P341" s="23">
        <f>IF($C341="","",INDEX(인턴근무계획!$R$3:$R$402,$A341)&amp;"")</f>
        <v/>
      </c>
      <c r="Q341" s="23">
        <f>IF($C341="","",INDEX(인턴근무계획!$T$3:$T$402,$A341))</f>
        <v/>
      </c>
    </row>
    <row r="342">
      <c r="A342" s="26" t="n">
        <v>337</v>
      </c>
      <c r="B342" s="23">
        <f>IF($C342="","",INDEX(인턴근무계획!$B$3:$B$402,$A342))</f>
        <v/>
      </c>
      <c r="C342" s="23">
        <f>IFERROR(TRIM(INDEX(인턴근무계획!$C$3:$C$402,$A342)&amp;""),"")</f>
        <v/>
      </c>
      <c r="D342" s="23">
        <f>IF($C342="","",INDEX(인턴근무계획!$D$3:$D$402,$A342))</f>
        <v/>
      </c>
      <c r="E342" s="23">
        <f>IF($C342="","",IF(IFERROR(MATCH($D342,기본자료!$B$2:$B$1001,0),IFERROR(MATCH($D342&amp;"",기본자료!$B$2:$B$1001,0),IFERROR(MATCH(VALUE($D342),기본자료!$B$2:$B$1001,0),0)))&gt;0,"확인","미등록"))</f>
        <v/>
      </c>
      <c r="F342" s="27">
        <f>IF($C342="","",INDEX(인턴근무계획!$S$3:$S$402,$A342))</f>
        <v/>
      </c>
      <c r="G342" s="23">
        <f>IF(OR($C342="",$G$3=""),"",IF(INDEX(인턴근무계획!$M$3:$R$402,$A342,$G$3)&amp;""="","",IF(LEFT(INDEX(인턴근무계획!$M$3:$R$402,$A342,$G$3)&amp;"",1)="⚠",INDEX(인턴근무계획!$M$3:$R$402,$A342,$G$3)&amp;"",LEFT(INDEX(인턴근무계획!$M$3:$R$402,$A342,$G$3)&amp;"",FIND(" ",INDEX(인턴근무계획!$M$3:$R$402,$A342,$G$3)&amp;"")-1))))</f>
        <v/>
      </c>
      <c r="H342" s="23">
        <f>IF(OR($C342="",$G$3=""),"",IF(INDEX(인턴근무계획!$M$3:$R$402,$A342,$G$3)&amp;""="","",IF(LEFT(INDEX(인턴근무계획!$M$3:$R$402,$A342,$G$3)&amp;"",1)="⚠","",MID(INDEX(인턴근무계획!$M$3:$R$402,$A342,$G$3)&amp;"",FIND(" ",INDEX(인턴근무계획!$M$3:$R$402,$A342,$G$3)&amp;"")+1,60))))</f>
        <v/>
      </c>
      <c r="I342" s="23">
        <f>IF(OR($C342="",$I$3=""),"",IF(INDEX(인턴근무계획!$M$3:$R$402,$A342,$I$3)&amp;""="","",IF(LEFT(INDEX(인턴근무계획!$M$3:$R$402,$A342,$I$3)&amp;"",1)="⚠",INDEX(인턴근무계획!$M$3:$R$402,$A342,$I$3)&amp;"",LEFT(INDEX(인턴근무계획!$M$3:$R$402,$A342,$I$3)&amp;"",FIND(" ",INDEX(인턴근무계획!$M$3:$R$402,$A342,$I$3)&amp;"")-1))))</f>
        <v/>
      </c>
      <c r="J342" s="23">
        <f>IF(OR($C342="",$I$3=""),"",IF(INDEX(인턴근무계획!$M$3:$R$402,$A342,$I$3)&amp;""="","",IF(LEFT(INDEX(인턴근무계획!$M$3:$R$402,$A342,$I$3)&amp;"",1)="⚠","",MID(INDEX(인턴근무계획!$M$3:$R$402,$A342,$I$3)&amp;"",FIND(" ",INDEX(인턴근무계획!$M$3:$R$402,$A342,$I$3)&amp;"")+1,60))))</f>
        <v/>
      </c>
      <c r="K342" s="23">
        <f>IF($C342="","",INDEX(인턴근무계획!$M$3:$M$402,$A342)&amp;"")</f>
        <v/>
      </c>
      <c r="L342" s="23">
        <f>IF($C342="","",INDEX(인턴근무계획!$N$3:$N$402,$A342)&amp;"")</f>
        <v/>
      </c>
      <c r="M342" s="23">
        <f>IF($C342="","",INDEX(인턴근무계획!$O$3:$O$402,$A342)&amp;"")</f>
        <v/>
      </c>
      <c r="N342" s="23">
        <f>IF($C342="","",INDEX(인턴근무계획!$P$3:$P$402,$A342)&amp;"")</f>
        <v/>
      </c>
      <c r="O342" s="23">
        <f>IF($C342="","",INDEX(인턴근무계획!$Q$3:$Q$402,$A342)&amp;"")</f>
        <v/>
      </c>
      <c r="P342" s="23">
        <f>IF($C342="","",INDEX(인턴근무계획!$R$3:$R$402,$A342)&amp;"")</f>
        <v/>
      </c>
      <c r="Q342" s="23">
        <f>IF($C342="","",INDEX(인턴근무계획!$T$3:$T$402,$A342))</f>
        <v/>
      </c>
    </row>
    <row r="343">
      <c r="A343" s="26" t="n">
        <v>338</v>
      </c>
      <c r="B343" s="23">
        <f>IF($C343="","",INDEX(인턴근무계획!$B$3:$B$402,$A343))</f>
        <v/>
      </c>
      <c r="C343" s="23">
        <f>IFERROR(TRIM(INDEX(인턴근무계획!$C$3:$C$402,$A343)&amp;""),"")</f>
        <v/>
      </c>
      <c r="D343" s="23">
        <f>IF($C343="","",INDEX(인턴근무계획!$D$3:$D$402,$A343))</f>
        <v/>
      </c>
      <c r="E343" s="23">
        <f>IF($C343="","",IF(IFERROR(MATCH($D343,기본자료!$B$2:$B$1001,0),IFERROR(MATCH($D343&amp;"",기본자료!$B$2:$B$1001,0),IFERROR(MATCH(VALUE($D343),기본자료!$B$2:$B$1001,0),0)))&gt;0,"확인","미등록"))</f>
        <v/>
      </c>
      <c r="F343" s="27">
        <f>IF($C343="","",INDEX(인턴근무계획!$S$3:$S$402,$A343))</f>
        <v/>
      </c>
      <c r="G343" s="23">
        <f>IF(OR($C343="",$G$3=""),"",IF(INDEX(인턴근무계획!$M$3:$R$402,$A343,$G$3)&amp;""="","",IF(LEFT(INDEX(인턴근무계획!$M$3:$R$402,$A343,$G$3)&amp;"",1)="⚠",INDEX(인턴근무계획!$M$3:$R$402,$A343,$G$3)&amp;"",LEFT(INDEX(인턴근무계획!$M$3:$R$402,$A343,$G$3)&amp;"",FIND(" ",INDEX(인턴근무계획!$M$3:$R$402,$A343,$G$3)&amp;"")-1))))</f>
        <v/>
      </c>
      <c r="H343" s="23">
        <f>IF(OR($C343="",$G$3=""),"",IF(INDEX(인턴근무계획!$M$3:$R$402,$A343,$G$3)&amp;""="","",IF(LEFT(INDEX(인턴근무계획!$M$3:$R$402,$A343,$G$3)&amp;"",1)="⚠","",MID(INDEX(인턴근무계획!$M$3:$R$402,$A343,$G$3)&amp;"",FIND(" ",INDEX(인턴근무계획!$M$3:$R$402,$A343,$G$3)&amp;"")+1,60))))</f>
        <v/>
      </c>
      <c r="I343" s="23">
        <f>IF(OR($C343="",$I$3=""),"",IF(INDEX(인턴근무계획!$M$3:$R$402,$A343,$I$3)&amp;""="","",IF(LEFT(INDEX(인턴근무계획!$M$3:$R$402,$A343,$I$3)&amp;"",1)="⚠",INDEX(인턴근무계획!$M$3:$R$402,$A343,$I$3)&amp;"",LEFT(INDEX(인턴근무계획!$M$3:$R$402,$A343,$I$3)&amp;"",FIND(" ",INDEX(인턴근무계획!$M$3:$R$402,$A343,$I$3)&amp;"")-1))))</f>
        <v/>
      </c>
      <c r="J343" s="23">
        <f>IF(OR($C343="",$I$3=""),"",IF(INDEX(인턴근무계획!$M$3:$R$402,$A343,$I$3)&amp;""="","",IF(LEFT(INDEX(인턴근무계획!$M$3:$R$402,$A343,$I$3)&amp;"",1)="⚠","",MID(INDEX(인턴근무계획!$M$3:$R$402,$A343,$I$3)&amp;"",FIND(" ",INDEX(인턴근무계획!$M$3:$R$402,$A343,$I$3)&amp;"")+1,60))))</f>
        <v/>
      </c>
      <c r="K343" s="23">
        <f>IF($C343="","",INDEX(인턴근무계획!$M$3:$M$402,$A343)&amp;"")</f>
        <v/>
      </c>
      <c r="L343" s="23">
        <f>IF($C343="","",INDEX(인턴근무계획!$N$3:$N$402,$A343)&amp;"")</f>
        <v/>
      </c>
      <c r="M343" s="23">
        <f>IF($C343="","",INDEX(인턴근무계획!$O$3:$O$402,$A343)&amp;"")</f>
        <v/>
      </c>
      <c r="N343" s="23">
        <f>IF($C343="","",INDEX(인턴근무계획!$P$3:$P$402,$A343)&amp;"")</f>
        <v/>
      </c>
      <c r="O343" s="23">
        <f>IF($C343="","",INDEX(인턴근무계획!$Q$3:$Q$402,$A343)&amp;"")</f>
        <v/>
      </c>
      <c r="P343" s="23">
        <f>IF($C343="","",INDEX(인턴근무계획!$R$3:$R$402,$A343)&amp;"")</f>
        <v/>
      </c>
      <c r="Q343" s="23">
        <f>IF($C343="","",INDEX(인턴근무계획!$T$3:$T$402,$A343))</f>
        <v/>
      </c>
    </row>
    <row r="344">
      <c r="A344" s="26" t="n">
        <v>339</v>
      </c>
      <c r="B344" s="23">
        <f>IF($C344="","",INDEX(인턴근무계획!$B$3:$B$402,$A344))</f>
        <v/>
      </c>
      <c r="C344" s="23">
        <f>IFERROR(TRIM(INDEX(인턴근무계획!$C$3:$C$402,$A344)&amp;""),"")</f>
        <v/>
      </c>
      <c r="D344" s="23">
        <f>IF($C344="","",INDEX(인턴근무계획!$D$3:$D$402,$A344))</f>
        <v/>
      </c>
      <c r="E344" s="23">
        <f>IF($C344="","",IF(IFERROR(MATCH($D344,기본자료!$B$2:$B$1001,0),IFERROR(MATCH($D344&amp;"",기본자료!$B$2:$B$1001,0),IFERROR(MATCH(VALUE($D344),기본자료!$B$2:$B$1001,0),0)))&gt;0,"확인","미등록"))</f>
        <v/>
      </c>
      <c r="F344" s="27">
        <f>IF($C344="","",INDEX(인턴근무계획!$S$3:$S$402,$A344))</f>
        <v/>
      </c>
      <c r="G344" s="23">
        <f>IF(OR($C344="",$G$3=""),"",IF(INDEX(인턴근무계획!$M$3:$R$402,$A344,$G$3)&amp;""="","",IF(LEFT(INDEX(인턴근무계획!$M$3:$R$402,$A344,$G$3)&amp;"",1)="⚠",INDEX(인턴근무계획!$M$3:$R$402,$A344,$G$3)&amp;"",LEFT(INDEX(인턴근무계획!$M$3:$R$402,$A344,$G$3)&amp;"",FIND(" ",INDEX(인턴근무계획!$M$3:$R$402,$A344,$G$3)&amp;"")-1))))</f>
        <v/>
      </c>
      <c r="H344" s="23">
        <f>IF(OR($C344="",$G$3=""),"",IF(INDEX(인턴근무계획!$M$3:$R$402,$A344,$G$3)&amp;""="","",IF(LEFT(INDEX(인턴근무계획!$M$3:$R$402,$A344,$G$3)&amp;"",1)="⚠","",MID(INDEX(인턴근무계획!$M$3:$R$402,$A344,$G$3)&amp;"",FIND(" ",INDEX(인턴근무계획!$M$3:$R$402,$A344,$G$3)&amp;"")+1,60))))</f>
        <v/>
      </c>
      <c r="I344" s="23">
        <f>IF(OR($C344="",$I$3=""),"",IF(INDEX(인턴근무계획!$M$3:$R$402,$A344,$I$3)&amp;""="","",IF(LEFT(INDEX(인턴근무계획!$M$3:$R$402,$A344,$I$3)&amp;"",1)="⚠",INDEX(인턴근무계획!$M$3:$R$402,$A344,$I$3)&amp;"",LEFT(INDEX(인턴근무계획!$M$3:$R$402,$A344,$I$3)&amp;"",FIND(" ",INDEX(인턴근무계획!$M$3:$R$402,$A344,$I$3)&amp;"")-1))))</f>
        <v/>
      </c>
      <c r="J344" s="23">
        <f>IF(OR($C344="",$I$3=""),"",IF(INDEX(인턴근무계획!$M$3:$R$402,$A344,$I$3)&amp;""="","",IF(LEFT(INDEX(인턴근무계획!$M$3:$R$402,$A344,$I$3)&amp;"",1)="⚠","",MID(INDEX(인턴근무계획!$M$3:$R$402,$A344,$I$3)&amp;"",FIND(" ",INDEX(인턴근무계획!$M$3:$R$402,$A344,$I$3)&amp;"")+1,60))))</f>
        <v/>
      </c>
      <c r="K344" s="23">
        <f>IF($C344="","",INDEX(인턴근무계획!$M$3:$M$402,$A344)&amp;"")</f>
        <v/>
      </c>
      <c r="L344" s="23">
        <f>IF($C344="","",INDEX(인턴근무계획!$N$3:$N$402,$A344)&amp;"")</f>
        <v/>
      </c>
      <c r="M344" s="23">
        <f>IF($C344="","",INDEX(인턴근무계획!$O$3:$O$402,$A344)&amp;"")</f>
        <v/>
      </c>
      <c r="N344" s="23">
        <f>IF($C344="","",INDEX(인턴근무계획!$P$3:$P$402,$A344)&amp;"")</f>
        <v/>
      </c>
      <c r="O344" s="23">
        <f>IF($C344="","",INDEX(인턴근무계획!$Q$3:$Q$402,$A344)&amp;"")</f>
        <v/>
      </c>
      <c r="P344" s="23">
        <f>IF($C344="","",INDEX(인턴근무계획!$R$3:$R$402,$A344)&amp;"")</f>
        <v/>
      </c>
      <c r="Q344" s="23">
        <f>IF($C344="","",INDEX(인턴근무계획!$T$3:$T$402,$A344))</f>
        <v/>
      </c>
    </row>
    <row r="345">
      <c r="A345" s="26" t="n">
        <v>340</v>
      </c>
      <c r="B345" s="23">
        <f>IF($C345="","",INDEX(인턴근무계획!$B$3:$B$402,$A345))</f>
        <v/>
      </c>
      <c r="C345" s="23">
        <f>IFERROR(TRIM(INDEX(인턴근무계획!$C$3:$C$402,$A345)&amp;""),"")</f>
        <v/>
      </c>
      <c r="D345" s="23">
        <f>IF($C345="","",INDEX(인턴근무계획!$D$3:$D$402,$A345))</f>
        <v/>
      </c>
      <c r="E345" s="23">
        <f>IF($C345="","",IF(IFERROR(MATCH($D345,기본자료!$B$2:$B$1001,0),IFERROR(MATCH($D345&amp;"",기본자료!$B$2:$B$1001,0),IFERROR(MATCH(VALUE($D345),기본자료!$B$2:$B$1001,0),0)))&gt;0,"확인","미등록"))</f>
        <v/>
      </c>
      <c r="F345" s="27">
        <f>IF($C345="","",INDEX(인턴근무계획!$S$3:$S$402,$A345))</f>
        <v/>
      </c>
      <c r="G345" s="23">
        <f>IF(OR($C345="",$G$3=""),"",IF(INDEX(인턴근무계획!$M$3:$R$402,$A345,$G$3)&amp;""="","",IF(LEFT(INDEX(인턴근무계획!$M$3:$R$402,$A345,$G$3)&amp;"",1)="⚠",INDEX(인턴근무계획!$M$3:$R$402,$A345,$G$3)&amp;"",LEFT(INDEX(인턴근무계획!$M$3:$R$402,$A345,$G$3)&amp;"",FIND(" ",INDEX(인턴근무계획!$M$3:$R$402,$A345,$G$3)&amp;"")-1))))</f>
        <v/>
      </c>
      <c r="H345" s="23">
        <f>IF(OR($C345="",$G$3=""),"",IF(INDEX(인턴근무계획!$M$3:$R$402,$A345,$G$3)&amp;""="","",IF(LEFT(INDEX(인턴근무계획!$M$3:$R$402,$A345,$G$3)&amp;"",1)="⚠","",MID(INDEX(인턴근무계획!$M$3:$R$402,$A345,$G$3)&amp;"",FIND(" ",INDEX(인턴근무계획!$M$3:$R$402,$A345,$G$3)&amp;"")+1,60))))</f>
        <v/>
      </c>
      <c r="I345" s="23">
        <f>IF(OR($C345="",$I$3=""),"",IF(INDEX(인턴근무계획!$M$3:$R$402,$A345,$I$3)&amp;""="","",IF(LEFT(INDEX(인턴근무계획!$M$3:$R$402,$A345,$I$3)&amp;"",1)="⚠",INDEX(인턴근무계획!$M$3:$R$402,$A345,$I$3)&amp;"",LEFT(INDEX(인턴근무계획!$M$3:$R$402,$A345,$I$3)&amp;"",FIND(" ",INDEX(인턴근무계획!$M$3:$R$402,$A345,$I$3)&amp;"")-1))))</f>
        <v/>
      </c>
      <c r="J345" s="23">
        <f>IF(OR($C345="",$I$3=""),"",IF(INDEX(인턴근무계획!$M$3:$R$402,$A345,$I$3)&amp;""="","",IF(LEFT(INDEX(인턴근무계획!$M$3:$R$402,$A345,$I$3)&amp;"",1)="⚠","",MID(INDEX(인턴근무계획!$M$3:$R$402,$A345,$I$3)&amp;"",FIND(" ",INDEX(인턴근무계획!$M$3:$R$402,$A345,$I$3)&amp;"")+1,60))))</f>
        <v/>
      </c>
      <c r="K345" s="23">
        <f>IF($C345="","",INDEX(인턴근무계획!$M$3:$M$402,$A345)&amp;"")</f>
        <v/>
      </c>
      <c r="L345" s="23">
        <f>IF($C345="","",INDEX(인턴근무계획!$N$3:$N$402,$A345)&amp;"")</f>
        <v/>
      </c>
      <c r="M345" s="23">
        <f>IF($C345="","",INDEX(인턴근무계획!$O$3:$O$402,$A345)&amp;"")</f>
        <v/>
      </c>
      <c r="N345" s="23">
        <f>IF($C345="","",INDEX(인턴근무계획!$P$3:$P$402,$A345)&amp;"")</f>
        <v/>
      </c>
      <c r="O345" s="23">
        <f>IF($C345="","",INDEX(인턴근무계획!$Q$3:$Q$402,$A345)&amp;"")</f>
        <v/>
      </c>
      <c r="P345" s="23">
        <f>IF($C345="","",INDEX(인턴근무계획!$R$3:$R$402,$A345)&amp;"")</f>
        <v/>
      </c>
      <c r="Q345" s="23">
        <f>IF($C345="","",INDEX(인턴근무계획!$T$3:$T$402,$A345))</f>
        <v/>
      </c>
    </row>
    <row r="346">
      <c r="A346" s="26" t="n">
        <v>341</v>
      </c>
      <c r="B346" s="23">
        <f>IF($C346="","",INDEX(인턴근무계획!$B$3:$B$402,$A346))</f>
        <v/>
      </c>
      <c r="C346" s="23">
        <f>IFERROR(TRIM(INDEX(인턴근무계획!$C$3:$C$402,$A346)&amp;""),"")</f>
        <v/>
      </c>
      <c r="D346" s="23">
        <f>IF($C346="","",INDEX(인턴근무계획!$D$3:$D$402,$A346))</f>
        <v/>
      </c>
      <c r="E346" s="23">
        <f>IF($C346="","",IF(IFERROR(MATCH($D346,기본자료!$B$2:$B$1001,0),IFERROR(MATCH($D346&amp;"",기본자료!$B$2:$B$1001,0),IFERROR(MATCH(VALUE($D346),기본자료!$B$2:$B$1001,0),0)))&gt;0,"확인","미등록"))</f>
        <v/>
      </c>
      <c r="F346" s="27">
        <f>IF($C346="","",INDEX(인턴근무계획!$S$3:$S$402,$A346))</f>
        <v/>
      </c>
      <c r="G346" s="23">
        <f>IF(OR($C346="",$G$3=""),"",IF(INDEX(인턴근무계획!$M$3:$R$402,$A346,$G$3)&amp;""="","",IF(LEFT(INDEX(인턴근무계획!$M$3:$R$402,$A346,$G$3)&amp;"",1)="⚠",INDEX(인턴근무계획!$M$3:$R$402,$A346,$G$3)&amp;"",LEFT(INDEX(인턴근무계획!$M$3:$R$402,$A346,$G$3)&amp;"",FIND(" ",INDEX(인턴근무계획!$M$3:$R$402,$A346,$G$3)&amp;"")-1))))</f>
        <v/>
      </c>
      <c r="H346" s="23">
        <f>IF(OR($C346="",$G$3=""),"",IF(INDEX(인턴근무계획!$M$3:$R$402,$A346,$G$3)&amp;""="","",IF(LEFT(INDEX(인턴근무계획!$M$3:$R$402,$A346,$G$3)&amp;"",1)="⚠","",MID(INDEX(인턴근무계획!$M$3:$R$402,$A346,$G$3)&amp;"",FIND(" ",INDEX(인턴근무계획!$M$3:$R$402,$A346,$G$3)&amp;"")+1,60))))</f>
        <v/>
      </c>
      <c r="I346" s="23">
        <f>IF(OR($C346="",$I$3=""),"",IF(INDEX(인턴근무계획!$M$3:$R$402,$A346,$I$3)&amp;""="","",IF(LEFT(INDEX(인턴근무계획!$M$3:$R$402,$A346,$I$3)&amp;"",1)="⚠",INDEX(인턴근무계획!$M$3:$R$402,$A346,$I$3)&amp;"",LEFT(INDEX(인턴근무계획!$M$3:$R$402,$A346,$I$3)&amp;"",FIND(" ",INDEX(인턴근무계획!$M$3:$R$402,$A346,$I$3)&amp;"")-1))))</f>
        <v/>
      </c>
      <c r="J346" s="23">
        <f>IF(OR($C346="",$I$3=""),"",IF(INDEX(인턴근무계획!$M$3:$R$402,$A346,$I$3)&amp;""="","",IF(LEFT(INDEX(인턴근무계획!$M$3:$R$402,$A346,$I$3)&amp;"",1)="⚠","",MID(INDEX(인턴근무계획!$M$3:$R$402,$A346,$I$3)&amp;"",FIND(" ",INDEX(인턴근무계획!$M$3:$R$402,$A346,$I$3)&amp;"")+1,60))))</f>
        <v/>
      </c>
      <c r="K346" s="23">
        <f>IF($C346="","",INDEX(인턴근무계획!$M$3:$M$402,$A346)&amp;"")</f>
        <v/>
      </c>
      <c r="L346" s="23">
        <f>IF($C346="","",INDEX(인턴근무계획!$N$3:$N$402,$A346)&amp;"")</f>
        <v/>
      </c>
      <c r="M346" s="23">
        <f>IF($C346="","",INDEX(인턴근무계획!$O$3:$O$402,$A346)&amp;"")</f>
        <v/>
      </c>
      <c r="N346" s="23">
        <f>IF($C346="","",INDEX(인턴근무계획!$P$3:$P$402,$A346)&amp;"")</f>
        <v/>
      </c>
      <c r="O346" s="23">
        <f>IF($C346="","",INDEX(인턴근무계획!$Q$3:$Q$402,$A346)&amp;"")</f>
        <v/>
      </c>
      <c r="P346" s="23">
        <f>IF($C346="","",INDEX(인턴근무계획!$R$3:$R$402,$A346)&amp;"")</f>
        <v/>
      </c>
      <c r="Q346" s="23">
        <f>IF($C346="","",INDEX(인턴근무계획!$T$3:$T$402,$A346))</f>
        <v/>
      </c>
    </row>
    <row r="347">
      <c r="A347" s="26" t="n">
        <v>342</v>
      </c>
      <c r="B347" s="23">
        <f>IF($C347="","",INDEX(인턴근무계획!$B$3:$B$402,$A347))</f>
        <v/>
      </c>
      <c r="C347" s="23">
        <f>IFERROR(TRIM(INDEX(인턴근무계획!$C$3:$C$402,$A347)&amp;""),"")</f>
        <v/>
      </c>
      <c r="D347" s="23">
        <f>IF($C347="","",INDEX(인턴근무계획!$D$3:$D$402,$A347))</f>
        <v/>
      </c>
      <c r="E347" s="23">
        <f>IF($C347="","",IF(IFERROR(MATCH($D347,기본자료!$B$2:$B$1001,0),IFERROR(MATCH($D347&amp;"",기본자료!$B$2:$B$1001,0),IFERROR(MATCH(VALUE($D347),기본자료!$B$2:$B$1001,0),0)))&gt;0,"확인","미등록"))</f>
        <v/>
      </c>
      <c r="F347" s="27">
        <f>IF($C347="","",INDEX(인턴근무계획!$S$3:$S$402,$A347))</f>
        <v/>
      </c>
      <c r="G347" s="23">
        <f>IF(OR($C347="",$G$3=""),"",IF(INDEX(인턴근무계획!$M$3:$R$402,$A347,$G$3)&amp;""="","",IF(LEFT(INDEX(인턴근무계획!$M$3:$R$402,$A347,$G$3)&amp;"",1)="⚠",INDEX(인턴근무계획!$M$3:$R$402,$A347,$G$3)&amp;"",LEFT(INDEX(인턴근무계획!$M$3:$R$402,$A347,$G$3)&amp;"",FIND(" ",INDEX(인턴근무계획!$M$3:$R$402,$A347,$G$3)&amp;"")-1))))</f>
        <v/>
      </c>
      <c r="H347" s="23">
        <f>IF(OR($C347="",$G$3=""),"",IF(INDEX(인턴근무계획!$M$3:$R$402,$A347,$G$3)&amp;""="","",IF(LEFT(INDEX(인턴근무계획!$M$3:$R$402,$A347,$G$3)&amp;"",1)="⚠","",MID(INDEX(인턴근무계획!$M$3:$R$402,$A347,$G$3)&amp;"",FIND(" ",INDEX(인턴근무계획!$M$3:$R$402,$A347,$G$3)&amp;"")+1,60))))</f>
        <v/>
      </c>
      <c r="I347" s="23">
        <f>IF(OR($C347="",$I$3=""),"",IF(INDEX(인턴근무계획!$M$3:$R$402,$A347,$I$3)&amp;""="","",IF(LEFT(INDEX(인턴근무계획!$M$3:$R$402,$A347,$I$3)&amp;"",1)="⚠",INDEX(인턴근무계획!$M$3:$R$402,$A347,$I$3)&amp;"",LEFT(INDEX(인턴근무계획!$M$3:$R$402,$A347,$I$3)&amp;"",FIND(" ",INDEX(인턴근무계획!$M$3:$R$402,$A347,$I$3)&amp;"")-1))))</f>
        <v/>
      </c>
      <c r="J347" s="23">
        <f>IF(OR($C347="",$I$3=""),"",IF(INDEX(인턴근무계획!$M$3:$R$402,$A347,$I$3)&amp;""="","",IF(LEFT(INDEX(인턴근무계획!$M$3:$R$402,$A347,$I$3)&amp;"",1)="⚠","",MID(INDEX(인턴근무계획!$M$3:$R$402,$A347,$I$3)&amp;"",FIND(" ",INDEX(인턴근무계획!$M$3:$R$402,$A347,$I$3)&amp;"")+1,60))))</f>
        <v/>
      </c>
      <c r="K347" s="23">
        <f>IF($C347="","",INDEX(인턴근무계획!$M$3:$M$402,$A347)&amp;"")</f>
        <v/>
      </c>
      <c r="L347" s="23">
        <f>IF($C347="","",INDEX(인턴근무계획!$N$3:$N$402,$A347)&amp;"")</f>
        <v/>
      </c>
      <c r="M347" s="23">
        <f>IF($C347="","",INDEX(인턴근무계획!$O$3:$O$402,$A347)&amp;"")</f>
        <v/>
      </c>
      <c r="N347" s="23">
        <f>IF($C347="","",INDEX(인턴근무계획!$P$3:$P$402,$A347)&amp;"")</f>
        <v/>
      </c>
      <c r="O347" s="23">
        <f>IF($C347="","",INDEX(인턴근무계획!$Q$3:$Q$402,$A347)&amp;"")</f>
        <v/>
      </c>
      <c r="P347" s="23">
        <f>IF($C347="","",INDEX(인턴근무계획!$R$3:$R$402,$A347)&amp;"")</f>
        <v/>
      </c>
      <c r="Q347" s="23">
        <f>IF($C347="","",INDEX(인턴근무계획!$T$3:$T$402,$A347))</f>
        <v/>
      </c>
    </row>
    <row r="348">
      <c r="A348" s="26" t="n">
        <v>343</v>
      </c>
      <c r="B348" s="23">
        <f>IF($C348="","",INDEX(인턴근무계획!$B$3:$B$402,$A348))</f>
        <v/>
      </c>
      <c r="C348" s="23">
        <f>IFERROR(TRIM(INDEX(인턴근무계획!$C$3:$C$402,$A348)&amp;""),"")</f>
        <v/>
      </c>
      <c r="D348" s="23">
        <f>IF($C348="","",INDEX(인턴근무계획!$D$3:$D$402,$A348))</f>
        <v/>
      </c>
      <c r="E348" s="23">
        <f>IF($C348="","",IF(IFERROR(MATCH($D348,기본자료!$B$2:$B$1001,0),IFERROR(MATCH($D348&amp;"",기본자료!$B$2:$B$1001,0),IFERROR(MATCH(VALUE($D348),기본자료!$B$2:$B$1001,0),0)))&gt;0,"확인","미등록"))</f>
        <v/>
      </c>
      <c r="F348" s="27">
        <f>IF($C348="","",INDEX(인턴근무계획!$S$3:$S$402,$A348))</f>
        <v/>
      </c>
      <c r="G348" s="23">
        <f>IF(OR($C348="",$G$3=""),"",IF(INDEX(인턴근무계획!$M$3:$R$402,$A348,$G$3)&amp;""="","",IF(LEFT(INDEX(인턴근무계획!$M$3:$R$402,$A348,$G$3)&amp;"",1)="⚠",INDEX(인턴근무계획!$M$3:$R$402,$A348,$G$3)&amp;"",LEFT(INDEX(인턴근무계획!$M$3:$R$402,$A348,$G$3)&amp;"",FIND(" ",INDEX(인턴근무계획!$M$3:$R$402,$A348,$G$3)&amp;"")-1))))</f>
        <v/>
      </c>
      <c r="H348" s="23">
        <f>IF(OR($C348="",$G$3=""),"",IF(INDEX(인턴근무계획!$M$3:$R$402,$A348,$G$3)&amp;""="","",IF(LEFT(INDEX(인턴근무계획!$M$3:$R$402,$A348,$G$3)&amp;"",1)="⚠","",MID(INDEX(인턴근무계획!$M$3:$R$402,$A348,$G$3)&amp;"",FIND(" ",INDEX(인턴근무계획!$M$3:$R$402,$A348,$G$3)&amp;"")+1,60))))</f>
        <v/>
      </c>
      <c r="I348" s="23">
        <f>IF(OR($C348="",$I$3=""),"",IF(INDEX(인턴근무계획!$M$3:$R$402,$A348,$I$3)&amp;""="","",IF(LEFT(INDEX(인턴근무계획!$M$3:$R$402,$A348,$I$3)&amp;"",1)="⚠",INDEX(인턴근무계획!$M$3:$R$402,$A348,$I$3)&amp;"",LEFT(INDEX(인턴근무계획!$M$3:$R$402,$A348,$I$3)&amp;"",FIND(" ",INDEX(인턴근무계획!$M$3:$R$402,$A348,$I$3)&amp;"")-1))))</f>
        <v/>
      </c>
      <c r="J348" s="23">
        <f>IF(OR($C348="",$I$3=""),"",IF(INDEX(인턴근무계획!$M$3:$R$402,$A348,$I$3)&amp;""="","",IF(LEFT(INDEX(인턴근무계획!$M$3:$R$402,$A348,$I$3)&amp;"",1)="⚠","",MID(INDEX(인턴근무계획!$M$3:$R$402,$A348,$I$3)&amp;"",FIND(" ",INDEX(인턴근무계획!$M$3:$R$402,$A348,$I$3)&amp;"")+1,60))))</f>
        <v/>
      </c>
      <c r="K348" s="23">
        <f>IF($C348="","",INDEX(인턴근무계획!$M$3:$M$402,$A348)&amp;"")</f>
        <v/>
      </c>
      <c r="L348" s="23">
        <f>IF($C348="","",INDEX(인턴근무계획!$N$3:$N$402,$A348)&amp;"")</f>
        <v/>
      </c>
      <c r="M348" s="23">
        <f>IF($C348="","",INDEX(인턴근무계획!$O$3:$O$402,$A348)&amp;"")</f>
        <v/>
      </c>
      <c r="N348" s="23">
        <f>IF($C348="","",INDEX(인턴근무계획!$P$3:$P$402,$A348)&amp;"")</f>
        <v/>
      </c>
      <c r="O348" s="23">
        <f>IF($C348="","",INDEX(인턴근무계획!$Q$3:$Q$402,$A348)&amp;"")</f>
        <v/>
      </c>
      <c r="P348" s="23">
        <f>IF($C348="","",INDEX(인턴근무계획!$R$3:$R$402,$A348)&amp;"")</f>
        <v/>
      </c>
      <c r="Q348" s="23">
        <f>IF($C348="","",INDEX(인턴근무계획!$T$3:$T$402,$A348))</f>
        <v/>
      </c>
    </row>
    <row r="349">
      <c r="A349" s="26" t="n">
        <v>344</v>
      </c>
      <c r="B349" s="23">
        <f>IF($C349="","",INDEX(인턴근무계획!$B$3:$B$402,$A349))</f>
        <v/>
      </c>
      <c r="C349" s="23">
        <f>IFERROR(TRIM(INDEX(인턴근무계획!$C$3:$C$402,$A349)&amp;""),"")</f>
        <v/>
      </c>
      <c r="D349" s="23">
        <f>IF($C349="","",INDEX(인턴근무계획!$D$3:$D$402,$A349))</f>
        <v/>
      </c>
      <c r="E349" s="23">
        <f>IF($C349="","",IF(IFERROR(MATCH($D349,기본자료!$B$2:$B$1001,0),IFERROR(MATCH($D349&amp;"",기본자료!$B$2:$B$1001,0),IFERROR(MATCH(VALUE($D349),기본자료!$B$2:$B$1001,0),0)))&gt;0,"확인","미등록"))</f>
        <v/>
      </c>
      <c r="F349" s="27">
        <f>IF($C349="","",INDEX(인턴근무계획!$S$3:$S$402,$A349))</f>
        <v/>
      </c>
      <c r="G349" s="23">
        <f>IF(OR($C349="",$G$3=""),"",IF(INDEX(인턴근무계획!$M$3:$R$402,$A349,$G$3)&amp;""="","",IF(LEFT(INDEX(인턴근무계획!$M$3:$R$402,$A349,$G$3)&amp;"",1)="⚠",INDEX(인턴근무계획!$M$3:$R$402,$A349,$G$3)&amp;"",LEFT(INDEX(인턴근무계획!$M$3:$R$402,$A349,$G$3)&amp;"",FIND(" ",INDEX(인턴근무계획!$M$3:$R$402,$A349,$G$3)&amp;"")-1))))</f>
        <v/>
      </c>
      <c r="H349" s="23">
        <f>IF(OR($C349="",$G$3=""),"",IF(INDEX(인턴근무계획!$M$3:$R$402,$A349,$G$3)&amp;""="","",IF(LEFT(INDEX(인턴근무계획!$M$3:$R$402,$A349,$G$3)&amp;"",1)="⚠","",MID(INDEX(인턴근무계획!$M$3:$R$402,$A349,$G$3)&amp;"",FIND(" ",INDEX(인턴근무계획!$M$3:$R$402,$A349,$G$3)&amp;"")+1,60))))</f>
        <v/>
      </c>
      <c r="I349" s="23">
        <f>IF(OR($C349="",$I$3=""),"",IF(INDEX(인턴근무계획!$M$3:$R$402,$A349,$I$3)&amp;""="","",IF(LEFT(INDEX(인턴근무계획!$M$3:$R$402,$A349,$I$3)&amp;"",1)="⚠",INDEX(인턴근무계획!$M$3:$R$402,$A349,$I$3)&amp;"",LEFT(INDEX(인턴근무계획!$M$3:$R$402,$A349,$I$3)&amp;"",FIND(" ",INDEX(인턴근무계획!$M$3:$R$402,$A349,$I$3)&amp;"")-1))))</f>
        <v/>
      </c>
      <c r="J349" s="23">
        <f>IF(OR($C349="",$I$3=""),"",IF(INDEX(인턴근무계획!$M$3:$R$402,$A349,$I$3)&amp;""="","",IF(LEFT(INDEX(인턴근무계획!$M$3:$R$402,$A349,$I$3)&amp;"",1)="⚠","",MID(INDEX(인턴근무계획!$M$3:$R$402,$A349,$I$3)&amp;"",FIND(" ",INDEX(인턴근무계획!$M$3:$R$402,$A349,$I$3)&amp;"")+1,60))))</f>
        <v/>
      </c>
      <c r="K349" s="23">
        <f>IF($C349="","",INDEX(인턴근무계획!$M$3:$M$402,$A349)&amp;"")</f>
        <v/>
      </c>
      <c r="L349" s="23">
        <f>IF($C349="","",INDEX(인턴근무계획!$N$3:$N$402,$A349)&amp;"")</f>
        <v/>
      </c>
      <c r="M349" s="23">
        <f>IF($C349="","",INDEX(인턴근무계획!$O$3:$O$402,$A349)&amp;"")</f>
        <v/>
      </c>
      <c r="N349" s="23">
        <f>IF($C349="","",INDEX(인턴근무계획!$P$3:$P$402,$A349)&amp;"")</f>
        <v/>
      </c>
      <c r="O349" s="23">
        <f>IF($C349="","",INDEX(인턴근무계획!$Q$3:$Q$402,$A349)&amp;"")</f>
        <v/>
      </c>
      <c r="P349" s="23">
        <f>IF($C349="","",INDEX(인턴근무계획!$R$3:$R$402,$A349)&amp;"")</f>
        <v/>
      </c>
      <c r="Q349" s="23">
        <f>IF($C349="","",INDEX(인턴근무계획!$T$3:$T$402,$A349))</f>
        <v/>
      </c>
    </row>
    <row r="350">
      <c r="A350" s="26" t="n">
        <v>345</v>
      </c>
      <c r="B350" s="23">
        <f>IF($C350="","",INDEX(인턴근무계획!$B$3:$B$402,$A350))</f>
        <v/>
      </c>
      <c r="C350" s="23">
        <f>IFERROR(TRIM(INDEX(인턴근무계획!$C$3:$C$402,$A350)&amp;""),"")</f>
        <v/>
      </c>
      <c r="D350" s="23">
        <f>IF($C350="","",INDEX(인턴근무계획!$D$3:$D$402,$A350))</f>
        <v/>
      </c>
      <c r="E350" s="23">
        <f>IF($C350="","",IF(IFERROR(MATCH($D350,기본자료!$B$2:$B$1001,0),IFERROR(MATCH($D350&amp;"",기본자료!$B$2:$B$1001,0),IFERROR(MATCH(VALUE($D350),기본자료!$B$2:$B$1001,0),0)))&gt;0,"확인","미등록"))</f>
        <v/>
      </c>
      <c r="F350" s="27">
        <f>IF($C350="","",INDEX(인턴근무계획!$S$3:$S$402,$A350))</f>
        <v/>
      </c>
      <c r="G350" s="23">
        <f>IF(OR($C350="",$G$3=""),"",IF(INDEX(인턴근무계획!$M$3:$R$402,$A350,$G$3)&amp;""="","",IF(LEFT(INDEX(인턴근무계획!$M$3:$R$402,$A350,$G$3)&amp;"",1)="⚠",INDEX(인턴근무계획!$M$3:$R$402,$A350,$G$3)&amp;"",LEFT(INDEX(인턴근무계획!$M$3:$R$402,$A350,$G$3)&amp;"",FIND(" ",INDEX(인턴근무계획!$M$3:$R$402,$A350,$G$3)&amp;"")-1))))</f>
        <v/>
      </c>
      <c r="H350" s="23">
        <f>IF(OR($C350="",$G$3=""),"",IF(INDEX(인턴근무계획!$M$3:$R$402,$A350,$G$3)&amp;""="","",IF(LEFT(INDEX(인턴근무계획!$M$3:$R$402,$A350,$G$3)&amp;"",1)="⚠","",MID(INDEX(인턴근무계획!$M$3:$R$402,$A350,$G$3)&amp;"",FIND(" ",INDEX(인턴근무계획!$M$3:$R$402,$A350,$G$3)&amp;"")+1,60))))</f>
        <v/>
      </c>
      <c r="I350" s="23">
        <f>IF(OR($C350="",$I$3=""),"",IF(INDEX(인턴근무계획!$M$3:$R$402,$A350,$I$3)&amp;""="","",IF(LEFT(INDEX(인턴근무계획!$M$3:$R$402,$A350,$I$3)&amp;"",1)="⚠",INDEX(인턴근무계획!$M$3:$R$402,$A350,$I$3)&amp;"",LEFT(INDEX(인턴근무계획!$M$3:$R$402,$A350,$I$3)&amp;"",FIND(" ",INDEX(인턴근무계획!$M$3:$R$402,$A350,$I$3)&amp;"")-1))))</f>
        <v/>
      </c>
      <c r="J350" s="23">
        <f>IF(OR($C350="",$I$3=""),"",IF(INDEX(인턴근무계획!$M$3:$R$402,$A350,$I$3)&amp;""="","",IF(LEFT(INDEX(인턴근무계획!$M$3:$R$402,$A350,$I$3)&amp;"",1)="⚠","",MID(INDEX(인턴근무계획!$M$3:$R$402,$A350,$I$3)&amp;"",FIND(" ",INDEX(인턴근무계획!$M$3:$R$402,$A350,$I$3)&amp;"")+1,60))))</f>
        <v/>
      </c>
      <c r="K350" s="23">
        <f>IF($C350="","",INDEX(인턴근무계획!$M$3:$M$402,$A350)&amp;"")</f>
        <v/>
      </c>
      <c r="L350" s="23">
        <f>IF($C350="","",INDEX(인턴근무계획!$N$3:$N$402,$A350)&amp;"")</f>
        <v/>
      </c>
      <c r="M350" s="23">
        <f>IF($C350="","",INDEX(인턴근무계획!$O$3:$O$402,$A350)&amp;"")</f>
        <v/>
      </c>
      <c r="N350" s="23">
        <f>IF($C350="","",INDEX(인턴근무계획!$P$3:$P$402,$A350)&amp;"")</f>
        <v/>
      </c>
      <c r="O350" s="23">
        <f>IF($C350="","",INDEX(인턴근무계획!$Q$3:$Q$402,$A350)&amp;"")</f>
        <v/>
      </c>
      <c r="P350" s="23">
        <f>IF($C350="","",INDEX(인턴근무계획!$R$3:$R$402,$A350)&amp;"")</f>
        <v/>
      </c>
      <c r="Q350" s="23">
        <f>IF($C350="","",INDEX(인턴근무계획!$T$3:$T$402,$A350))</f>
        <v/>
      </c>
    </row>
    <row r="351">
      <c r="A351" s="26" t="n">
        <v>346</v>
      </c>
      <c r="B351" s="23">
        <f>IF($C351="","",INDEX(인턴근무계획!$B$3:$B$402,$A351))</f>
        <v/>
      </c>
      <c r="C351" s="23">
        <f>IFERROR(TRIM(INDEX(인턴근무계획!$C$3:$C$402,$A351)&amp;""),"")</f>
        <v/>
      </c>
      <c r="D351" s="23">
        <f>IF($C351="","",INDEX(인턴근무계획!$D$3:$D$402,$A351))</f>
        <v/>
      </c>
      <c r="E351" s="23">
        <f>IF($C351="","",IF(IFERROR(MATCH($D351,기본자료!$B$2:$B$1001,0),IFERROR(MATCH($D351&amp;"",기본자료!$B$2:$B$1001,0),IFERROR(MATCH(VALUE($D351),기본자료!$B$2:$B$1001,0),0)))&gt;0,"확인","미등록"))</f>
        <v/>
      </c>
      <c r="F351" s="27">
        <f>IF($C351="","",INDEX(인턴근무계획!$S$3:$S$402,$A351))</f>
        <v/>
      </c>
      <c r="G351" s="23">
        <f>IF(OR($C351="",$G$3=""),"",IF(INDEX(인턴근무계획!$M$3:$R$402,$A351,$G$3)&amp;""="","",IF(LEFT(INDEX(인턴근무계획!$M$3:$R$402,$A351,$G$3)&amp;"",1)="⚠",INDEX(인턴근무계획!$M$3:$R$402,$A351,$G$3)&amp;"",LEFT(INDEX(인턴근무계획!$M$3:$R$402,$A351,$G$3)&amp;"",FIND(" ",INDEX(인턴근무계획!$M$3:$R$402,$A351,$G$3)&amp;"")-1))))</f>
        <v/>
      </c>
      <c r="H351" s="23">
        <f>IF(OR($C351="",$G$3=""),"",IF(INDEX(인턴근무계획!$M$3:$R$402,$A351,$G$3)&amp;""="","",IF(LEFT(INDEX(인턴근무계획!$M$3:$R$402,$A351,$G$3)&amp;"",1)="⚠","",MID(INDEX(인턴근무계획!$M$3:$R$402,$A351,$G$3)&amp;"",FIND(" ",INDEX(인턴근무계획!$M$3:$R$402,$A351,$G$3)&amp;"")+1,60))))</f>
        <v/>
      </c>
      <c r="I351" s="23">
        <f>IF(OR($C351="",$I$3=""),"",IF(INDEX(인턴근무계획!$M$3:$R$402,$A351,$I$3)&amp;""="","",IF(LEFT(INDEX(인턴근무계획!$M$3:$R$402,$A351,$I$3)&amp;"",1)="⚠",INDEX(인턴근무계획!$M$3:$R$402,$A351,$I$3)&amp;"",LEFT(INDEX(인턴근무계획!$M$3:$R$402,$A351,$I$3)&amp;"",FIND(" ",INDEX(인턴근무계획!$M$3:$R$402,$A351,$I$3)&amp;"")-1))))</f>
        <v/>
      </c>
      <c r="J351" s="23">
        <f>IF(OR($C351="",$I$3=""),"",IF(INDEX(인턴근무계획!$M$3:$R$402,$A351,$I$3)&amp;""="","",IF(LEFT(INDEX(인턴근무계획!$M$3:$R$402,$A351,$I$3)&amp;"",1)="⚠","",MID(INDEX(인턴근무계획!$M$3:$R$402,$A351,$I$3)&amp;"",FIND(" ",INDEX(인턴근무계획!$M$3:$R$402,$A351,$I$3)&amp;"")+1,60))))</f>
        <v/>
      </c>
      <c r="K351" s="23">
        <f>IF($C351="","",INDEX(인턴근무계획!$M$3:$M$402,$A351)&amp;"")</f>
        <v/>
      </c>
      <c r="L351" s="23">
        <f>IF($C351="","",INDEX(인턴근무계획!$N$3:$N$402,$A351)&amp;"")</f>
        <v/>
      </c>
      <c r="M351" s="23">
        <f>IF($C351="","",INDEX(인턴근무계획!$O$3:$O$402,$A351)&amp;"")</f>
        <v/>
      </c>
      <c r="N351" s="23">
        <f>IF($C351="","",INDEX(인턴근무계획!$P$3:$P$402,$A351)&amp;"")</f>
        <v/>
      </c>
      <c r="O351" s="23">
        <f>IF($C351="","",INDEX(인턴근무계획!$Q$3:$Q$402,$A351)&amp;"")</f>
        <v/>
      </c>
      <c r="P351" s="23">
        <f>IF($C351="","",INDEX(인턴근무계획!$R$3:$R$402,$A351)&amp;"")</f>
        <v/>
      </c>
      <c r="Q351" s="23">
        <f>IF($C351="","",INDEX(인턴근무계획!$T$3:$T$402,$A351))</f>
        <v/>
      </c>
    </row>
    <row r="352">
      <c r="A352" s="26" t="n">
        <v>347</v>
      </c>
      <c r="B352" s="23">
        <f>IF($C352="","",INDEX(인턴근무계획!$B$3:$B$402,$A352))</f>
        <v/>
      </c>
      <c r="C352" s="23">
        <f>IFERROR(TRIM(INDEX(인턴근무계획!$C$3:$C$402,$A352)&amp;""),"")</f>
        <v/>
      </c>
      <c r="D352" s="23">
        <f>IF($C352="","",INDEX(인턴근무계획!$D$3:$D$402,$A352))</f>
        <v/>
      </c>
      <c r="E352" s="23">
        <f>IF($C352="","",IF(IFERROR(MATCH($D352,기본자료!$B$2:$B$1001,0),IFERROR(MATCH($D352&amp;"",기본자료!$B$2:$B$1001,0),IFERROR(MATCH(VALUE($D352),기본자료!$B$2:$B$1001,0),0)))&gt;0,"확인","미등록"))</f>
        <v/>
      </c>
      <c r="F352" s="27">
        <f>IF($C352="","",INDEX(인턴근무계획!$S$3:$S$402,$A352))</f>
        <v/>
      </c>
      <c r="G352" s="23">
        <f>IF(OR($C352="",$G$3=""),"",IF(INDEX(인턴근무계획!$M$3:$R$402,$A352,$G$3)&amp;""="","",IF(LEFT(INDEX(인턴근무계획!$M$3:$R$402,$A352,$G$3)&amp;"",1)="⚠",INDEX(인턴근무계획!$M$3:$R$402,$A352,$G$3)&amp;"",LEFT(INDEX(인턴근무계획!$M$3:$R$402,$A352,$G$3)&amp;"",FIND(" ",INDEX(인턴근무계획!$M$3:$R$402,$A352,$G$3)&amp;"")-1))))</f>
        <v/>
      </c>
      <c r="H352" s="23">
        <f>IF(OR($C352="",$G$3=""),"",IF(INDEX(인턴근무계획!$M$3:$R$402,$A352,$G$3)&amp;""="","",IF(LEFT(INDEX(인턴근무계획!$M$3:$R$402,$A352,$G$3)&amp;"",1)="⚠","",MID(INDEX(인턴근무계획!$M$3:$R$402,$A352,$G$3)&amp;"",FIND(" ",INDEX(인턴근무계획!$M$3:$R$402,$A352,$G$3)&amp;"")+1,60))))</f>
        <v/>
      </c>
      <c r="I352" s="23">
        <f>IF(OR($C352="",$I$3=""),"",IF(INDEX(인턴근무계획!$M$3:$R$402,$A352,$I$3)&amp;""="","",IF(LEFT(INDEX(인턴근무계획!$M$3:$R$402,$A352,$I$3)&amp;"",1)="⚠",INDEX(인턴근무계획!$M$3:$R$402,$A352,$I$3)&amp;"",LEFT(INDEX(인턴근무계획!$M$3:$R$402,$A352,$I$3)&amp;"",FIND(" ",INDEX(인턴근무계획!$M$3:$R$402,$A352,$I$3)&amp;"")-1))))</f>
        <v/>
      </c>
      <c r="J352" s="23">
        <f>IF(OR($C352="",$I$3=""),"",IF(INDEX(인턴근무계획!$M$3:$R$402,$A352,$I$3)&amp;""="","",IF(LEFT(INDEX(인턴근무계획!$M$3:$R$402,$A352,$I$3)&amp;"",1)="⚠","",MID(INDEX(인턴근무계획!$M$3:$R$402,$A352,$I$3)&amp;"",FIND(" ",INDEX(인턴근무계획!$M$3:$R$402,$A352,$I$3)&amp;"")+1,60))))</f>
        <v/>
      </c>
      <c r="K352" s="23">
        <f>IF($C352="","",INDEX(인턴근무계획!$M$3:$M$402,$A352)&amp;"")</f>
        <v/>
      </c>
      <c r="L352" s="23">
        <f>IF($C352="","",INDEX(인턴근무계획!$N$3:$N$402,$A352)&amp;"")</f>
        <v/>
      </c>
      <c r="M352" s="23">
        <f>IF($C352="","",INDEX(인턴근무계획!$O$3:$O$402,$A352)&amp;"")</f>
        <v/>
      </c>
      <c r="N352" s="23">
        <f>IF($C352="","",INDEX(인턴근무계획!$P$3:$P$402,$A352)&amp;"")</f>
        <v/>
      </c>
      <c r="O352" s="23">
        <f>IF($C352="","",INDEX(인턴근무계획!$Q$3:$Q$402,$A352)&amp;"")</f>
        <v/>
      </c>
      <c r="P352" s="23">
        <f>IF($C352="","",INDEX(인턴근무계획!$R$3:$R$402,$A352)&amp;"")</f>
        <v/>
      </c>
      <c r="Q352" s="23">
        <f>IF($C352="","",INDEX(인턴근무계획!$T$3:$T$402,$A352))</f>
        <v/>
      </c>
    </row>
    <row r="353">
      <c r="A353" s="26" t="n">
        <v>348</v>
      </c>
      <c r="B353" s="23">
        <f>IF($C353="","",INDEX(인턴근무계획!$B$3:$B$402,$A353))</f>
        <v/>
      </c>
      <c r="C353" s="23">
        <f>IFERROR(TRIM(INDEX(인턴근무계획!$C$3:$C$402,$A353)&amp;""),"")</f>
        <v/>
      </c>
      <c r="D353" s="23">
        <f>IF($C353="","",INDEX(인턴근무계획!$D$3:$D$402,$A353))</f>
        <v/>
      </c>
      <c r="E353" s="23">
        <f>IF($C353="","",IF(IFERROR(MATCH($D353,기본자료!$B$2:$B$1001,0),IFERROR(MATCH($D353&amp;"",기본자료!$B$2:$B$1001,0),IFERROR(MATCH(VALUE($D353),기본자료!$B$2:$B$1001,0),0)))&gt;0,"확인","미등록"))</f>
        <v/>
      </c>
      <c r="F353" s="27">
        <f>IF($C353="","",INDEX(인턴근무계획!$S$3:$S$402,$A353))</f>
        <v/>
      </c>
      <c r="G353" s="23">
        <f>IF(OR($C353="",$G$3=""),"",IF(INDEX(인턴근무계획!$M$3:$R$402,$A353,$G$3)&amp;""="","",IF(LEFT(INDEX(인턴근무계획!$M$3:$R$402,$A353,$G$3)&amp;"",1)="⚠",INDEX(인턴근무계획!$M$3:$R$402,$A353,$G$3)&amp;"",LEFT(INDEX(인턴근무계획!$M$3:$R$402,$A353,$G$3)&amp;"",FIND(" ",INDEX(인턴근무계획!$M$3:$R$402,$A353,$G$3)&amp;"")-1))))</f>
        <v/>
      </c>
      <c r="H353" s="23">
        <f>IF(OR($C353="",$G$3=""),"",IF(INDEX(인턴근무계획!$M$3:$R$402,$A353,$G$3)&amp;""="","",IF(LEFT(INDEX(인턴근무계획!$M$3:$R$402,$A353,$G$3)&amp;"",1)="⚠","",MID(INDEX(인턴근무계획!$M$3:$R$402,$A353,$G$3)&amp;"",FIND(" ",INDEX(인턴근무계획!$M$3:$R$402,$A353,$G$3)&amp;"")+1,60))))</f>
        <v/>
      </c>
      <c r="I353" s="23">
        <f>IF(OR($C353="",$I$3=""),"",IF(INDEX(인턴근무계획!$M$3:$R$402,$A353,$I$3)&amp;""="","",IF(LEFT(INDEX(인턴근무계획!$M$3:$R$402,$A353,$I$3)&amp;"",1)="⚠",INDEX(인턴근무계획!$M$3:$R$402,$A353,$I$3)&amp;"",LEFT(INDEX(인턴근무계획!$M$3:$R$402,$A353,$I$3)&amp;"",FIND(" ",INDEX(인턴근무계획!$M$3:$R$402,$A353,$I$3)&amp;"")-1))))</f>
        <v/>
      </c>
      <c r="J353" s="23">
        <f>IF(OR($C353="",$I$3=""),"",IF(INDEX(인턴근무계획!$M$3:$R$402,$A353,$I$3)&amp;""="","",IF(LEFT(INDEX(인턴근무계획!$M$3:$R$402,$A353,$I$3)&amp;"",1)="⚠","",MID(INDEX(인턴근무계획!$M$3:$R$402,$A353,$I$3)&amp;"",FIND(" ",INDEX(인턴근무계획!$M$3:$R$402,$A353,$I$3)&amp;"")+1,60))))</f>
        <v/>
      </c>
      <c r="K353" s="23">
        <f>IF($C353="","",INDEX(인턴근무계획!$M$3:$M$402,$A353)&amp;"")</f>
        <v/>
      </c>
      <c r="L353" s="23">
        <f>IF($C353="","",INDEX(인턴근무계획!$N$3:$N$402,$A353)&amp;"")</f>
        <v/>
      </c>
      <c r="M353" s="23">
        <f>IF($C353="","",INDEX(인턴근무계획!$O$3:$O$402,$A353)&amp;"")</f>
        <v/>
      </c>
      <c r="N353" s="23">
        <f>IF($C353="","",INDEX(인턴근무계획!$P$3:$P$402,$A353)&amp;"")</f>
        <v/>
      </c>
      <c r="O353" s="23">
        <f>IF($C353="","",INDEX(인턴근무계획!$Q$3:$Q$402,$A353)&amp;"")</f>
        <v/>
      </c>
      <c r="P353" s="23">
        <f>IF($C353="","",INDEX(인턴근무계획!$R$3:$R$402,$A353)&amp;"")</f>
        <v/>
      </c>
      <c r="Q353" s="23">
        <f>IF($C353="","",INDEX(인턴근무계획!$T$3:$T$402,$A353))</f>
        <v/>
      </c>
    </row>
    <row r="354">
      <c r="A354" s="26" t="n">
        <v>349</v>
      </c>
      <c r="B354" s="23">
        <f>IF($C354="","",INDEX(인턴근무계획!$B$3:$B$402,$A354))</f>
        <v/>
      </c>
      <c r="C354" s="23">
        <f>IFERROR(TRIM(INDEX(인턴근무계획!$C$3:$C$402,$A354)&amp;""),"")</f>
        <v/>
      </c>
      <c r="D354" s="23">
        <f>IF($C354="","",INDEX(인턴근무계획!$D$3:$D$402,$A354))</f>
        <v/>
      </c>
      <c r="E354" s="23">
        <f>IF($C354="","",IF(IFERROR(MATCH($D354,기본자료!$B$2:$B$1001,0),IFERROR(MATCH($D354&amp;"",기본자료!$B$2:$B$1001,0),IFERROR(MATCH(VALUE($D354),기본자료!$B$2:$B$1001,0),0)))&gt;0,"확인","미등록"))</f>
        <v/>
      </c>
      <c r="F354" s="27">
        <f>IF($C354="","",INDEX(인턴근무계획!$S$3:$S$402,$A354))</f>
        <v/>
      </c>
      <c r="G354" s="23">
        <f>IF(OR($C354="",$G$3=""),"",IF(INDEX(인턴근무계획!$M$3:$R$402,$A354,$G$3)&amp;""="","",IF(LEFT(INDEX(인턴근무계획!$M$3:$R$402,$A354,$G$3)&amp;"",1)="⚠",INDEX(인턴근무계획!$M$3:$R$402,$A354,$G$3)&amp;"",LEFT(INDEX(인턴근무계획!$M$3:$R$402,$A354,$G$3)&amp;"",FIND(" ",INDEX(인턴근무계획!$M$3:$R$402,$A354,$G$3)&amp;"")-1))))</f>
        <v/>
      </c>
      <c r="H354" s="23">
        <f>IF(OR($C354="",$G$3=""),"",IF(INDEX(인턴근무계획!$M$3:$R$402,$A354,$G$3)&amp;""="","",IF(LEFT(INDEX(인턴근무계획!$M$3:$R$402,$A354,$G$3)&amp;"",1)="⚠","",MID(INDEX(인턴근무계획!$M$3:$R$402,$A354,$G$3)&amp;"",FIND(" ",INDEX(인턴근무계획!$M$3:$R$402,$A354,$G$3)&amp;"")+1,60))))</f>
        <v/>
      </c>
      <c r="I354" s="23">
        <f>IF(OR($C354="",$I$3=""),"",IF(INDEX(인턴근무계획!$M$3:$R$402,$A354,$I$3)&amp;""="","",IF(LEFT(INDEX(인턴근무계획!$M$3:$R$402,$A354,$I$3)&amp;"",1)="⚠",INDEX(인턴근무계획!$M$3:$R$402,$A354,$I$3)&amp;"",LEFT(INDEX(인턴근무계획!$M$3:$R$402,$A354,$I$3)&amp;"",FIND(" ",INDEX(인턴근무계획!$M$3:$R$402,$A354,$I$3)&amp;"")-1))))</f>
        <v/>
      </c>
      <c r="J354" s="23">
        <f>IF(OR($C354="",$I$3=""),"",IF(INDEX(인턴근무계획!$M$3:$R$402,$A354,$I$3)&amp;""="","",IF(LEFT(INDEX(인턴근무계획!$M$3:$R$402,$A354,$I$3)&amp;"",1)="⚠","",MID(INDEX(인턴근무계획!$M$3:$R$402,$A354,$I$3)&amp;"",FIND(" ",INDEX(인턴근무계획!$M$3:$R$402,$A354,$I$3)&amp;"")+1,60))))</f>
        <v/>
      </c>
      <c r="K354" s="23">
        <f>IF($C354="","",INDEX(인턴근무계획!$M$3:$M$402,$A354)&amp;"")</f>
        <v/>
      </c>
      <c r="L354" s="23">
        <f>IF($C354="","",INDEX(인턴근무계획!$N$3:$N$402,$A354)&amp;"")</f>
        <v/>
      </c>
      <c r="M354" s="23">
        <f>IF($C354="","",INDEX(인턴근무계획!$O$3:$O$402,$A354)&amp;"")</f>
        <v/>
      </c>
      <c r="N354" s="23">
        <f>IF($C354="","",INDEX(인턴근무계획!$P$3:$P$402,$A354)&amp;"")</f>
        <v/>
      </c>
      <c r="O354" s="23">
        <f>IF($C354="","",INDEX(인턴근무계획!$Q$3:$Q$402,$A354)&amp;"")</f>
        <v/>
      </c>
      <c r="P354" s="23">
        <f>IF($C354="","",INDEX(인턴근무계획!$R$3:$R$402,$A354)&amp;"")</f>
        <v/>
      </c>
      <c r="Q354" s="23">
        <f>IF($C354="","",INDEX(인턴근무계획!$T$3:$T$402,$A354))</f>
        <v/>
      </c>
    </row>
    <row r="355">
      <c r="A355" s="26" t="n">
        <v>350</v>
      </c>
      <c r="B355" s="23">
        <f>IF($C355="","",INDEX(인턴근무계획!$B$3:$B$402,$A355))</f>
        <v/>
      </c>
      <c r="C355" s="23">
        <f>IFERROR(TRIM(INDEX(인턴근무계획!$C$3:$C$402,$A355)&amp;""),"")</f>
        <v/>
      </c>
      <c r="D355" s="23">
        <f>IF($C355="","",INDEX(인턴근무계획!$D$3:$D$402,$A355))</f>
        <v/>
      </c>
      <c r="E355" s="23">
        <f>IF($C355="","",IF(IFERROR(MATCH($D355,기본자료!$B$2:$B$1001,0),IFERROR(MATCH($D355&amp;"",기본자료!$B$2:$B$1001,0),IFERROR(MATCH(VALUE($D355),기본자료!$B$2:$B$1001,0),0)))&gt;0,"확인","미등록"))</f>
        <v/>
      </c>
      <c r="F355" s="27">
        <f>IF($C355="","",INDEX(인턴근무계획!$S$3:$S$402,$A355))</f>
        <v/>
      </c>
      <c r="G355" s="23">
        <f>IF(OR($C355="",$G$3=""),"",IF(INDEX(인턴근무계획!$M$3:$R$402,$A355,$G$3)&amp;""="","",IF(LEFT(INDEX(인턴근무계획!$M$3:$R$402,$A355,$G$3)&amp;"",1)="⚠",INDEX(인턴근무계획!$M$3:$R$402,$A355,$G$3)&amp;"",LEFT(INDEX(인턴근무계획!$M$3:$R$402,$A355,$G$3)&amp;"",FIND(" ",INDEX(인턴근무계획!$M$3:$R$402,$A355,$G$3)&amp;"")-1))))</f>
        <v/>
      </c>
      <c r="H355" s="23">
        <f>IF(OR($C355="",$G$3=""),"",IF(INDEX(인턴근무계획!$M$3:$R$402,$A355,$G$3)&amp;""="","",IF(LEFT(INDEX(인턴근무계획!$M$3:$R$402,$A355,$G$3)&amp;"",1)="⚠","",MID(INDEX(인턴근무계획!$M$3:$R$402,$A355,$G$3)&amp;"",FIND(" ",INDEX(인턴근무계획!$M$3:$R$402,$A355,$G$3)&amp;"")+1,60))))</f>
        <v/>
      </c>
      <c r="I355" s="23">
        <f>IF(OR($C355="",$I$3=""),"",IF(INDEX(인턴근무계획!$M$3:$R$402,$A355,$I$3)&amp;""="","",IF(LEFT(INDEX(인턴근무계획!$M$3:$R$402,$A355,$I$3)&amp;"",1)="⚠",INDEX(인턴근무계획!$M$3:$R$402,$A355,$I$3)&amp;"",LEFT(INDEX(인턴근무계획!$M$3:$R$402,$A355,$I$3)&amp;"",FIND(" ",INDEX(인턴근무계획!$M$3:$R$402,$A355,$I$3)&amp;"")-1))))</f>
        <v/>
      </c>
      <c r="J355" s="23">
        <f>IF(OR($C355="",$I$3=""),"",IF(INDEX(인턴근무계획!$M$3:$R$402,$A355,$I$3)&amp;""="","",IF(LEFT(INDEX(인턴근무계획!$M$3:$R$402,$A355,$I$3)&amp;"",1)="⚠","",MID(INDEX(인턴근무계획!$M$3:$R$402,$A355,$I$3)&amp;"",FIND(" ",INDEX(인턴근무계획!$M$3:$R$402,$A355,$I$3)&amp;"")+1,60))))</f>
        <v/>
      </c>
      <c r="K355" s="23">
        <f>IF($C355="","",INDEX(인턴근무계획!$M$3:$M$402,$A355)&amp;"")</f>
        <v/>
      </c>
      <c r="L355" s="23">
        <f>IF($C355="","",INDEX(인턴근무계획!$N$3:$N$402,$A355)&amp;"")</f>
        <v/>
      </c>
      <c r="M355" s="23">
        <f>IF($C355="","",INDEX(인턴근무계획!$O$3:$O$402,$A355)&amp;"")</f>
        <v/>
      </c>
      <c r="N355" s="23">
        <f>IF($C355="","",INDEX(인턴근무계획!$P$3:$P$402,$A355)&amp;"")</f>
        <v/>
      </c>
      <c r="O355" s="23">
        <f>IF($C355="","",INDEX(인턴근무계획!$Q$3:$Q$402,$A355)&amp;"")</f>
        <v/>
      </c>
      <c r="P355" s="23">
        <f>IF($C355="","",INDEX(인턴근무계획!$R$3:$R$402,$A355)&amp;"")</f>
        <v/>
      </c>
      <c r="Q355" s="23">
        <f>IF($C355="","",INDEX(인턴근무계획!$T$3:$T$402,$A355))</f>
        <v/>
      </c>
    </row>
    <row r="356">
      <c r="A356" s="26" t="n">
        <v>351</v>
      </c>
      <c r="B356" s="23">
        <f>IF($C356="","",INDEX(인턴근무계획!$B$3:$B$402,$A356))</f>
        <v/>
      </c>
      <c r="C356" s="23">
        <f>IFERROR(TRIM(INDEX(인턴근무계획!$C$3:$C$402,$A356)&amp;""),"")</f>
        <v/>
      </c>
      <c r="D356" s="23">
        <f>IF($C356="","",INDEX(인턴근무계획!$D$3:$D$402,$A356))</f>
        <v/>
      </c>
      <c r="E356" s="23">
        <f>IF($C356="","",IF(IFERROR(MATCH($D356,기본자료!$B$2:$B$1001,0),IFERROR(MATCH($D356&amp;"",기본자료!$B$2:$B$1001,0),IFERROR(MATCH(VALUE($D356),기본자료!$B$2:$B$1001,0),0)))&gt;0,"확인","미등록"))</f>
        <v/>
      </c>
      <c r="F356" s="27">
        <f>IF($C356="","",INDEX(인턴근무계획!$S$3:$S$402,$A356))</f>
        <v/>
      </c>
      <c r="G356" s="23">
        <f>IF(OR($C356="",$G$3=""),"",IF(INDEX(인턴근무계획!$M$3:$R$402,$A356,$G$3)&amp;""="","",IF(LEFT(INDEX(인턴근무계획!$M$3:$R$402,$A356,$G$3)&amp;"",1)="⚠",INDEX(인턴근무계획!$M$3:$R$402,$A356,$G$3)&amp;"",LEFT(INDEX(인턴근무계획!$M$3:$R$402,$A356,$G$3)&amp;"",FIND(" ",INDEX(인턴근무계획!$M$3:$R$402,$A356,$G$3)&amp;"")-1))))</f>
        <v/>
      </c>
      <c r="H356" s="23">
        <f>IF(OR($C356="",$G$3=""),"",IF(INDEX(인턴근무계획!$M$3:$R$402,$A356,$G$3)&amp;""="","",IF(LEFT(INDEX(인턴근무계획!$M$3:$R$402,$A356,$G$3)&amp;"",1)="⚠","",MID(INDEX(인턴근무계획!$M$3:$R$402,$A356,$G$3)&amp;"",FIND(" ",INDEX(인턴근무계획!$M$3:$R$402,$A356,$G$3)&amp;"")+1,60))))</f>
        <v/>
      </c>
      <c r="I356" s="23">
        <f>IF(OR($C356="",$I$3=""),"",IF(INDEX(인턴근무계획!$M$3:$R$402,$A356,$I$3)&amp;""="","",IF(LEFT(INDEX(인턴근무계획!$M$3:$R$402,$A356,$I$3)&amp;"",1)="⚠",INDEX(인턴근무계획!$M$3:$R$402,$A356,$I$3)&amp;"",LEFT(INDEX(인턴근무계획!$M$3:$R$402,$A356,$I$3)&amp;"",FIND(" ",INDEX(인턴근무계획!$M$3:$R$402,$A356,$I$3)&amp;"")-1))))</f>
        <v/>
      </c>
      <c r="J356" s="23">
        <f>IF(OR($C356="",$I$3=""),"",IF(INDEX(인턴근무계획!$M$3:$R$402,$A356,$I$3)&amp;""="","",IF(LEFT(INDEX(인턴근무계획!$M$3:$R$402,$A356,$I$3)&amp;"",1)="⚠","",MID(INDEX(인턴근무계획!$M$3:$R$402,$A356,$I$3)&amp;"",FIND(" ",INDEX(인턴근무계획!$M$3:$R$402,$A356,$I$3)&amp;"")+1,60))))</f>
        <v/>
      </c>
      <c r="K356" s="23">
        <f>IF($C356="","",INDEX(인턴근무계획!$M$3:$M$402,$A356)&amp;"")</f>
        <v/>
      </c>
      <c r="L356" s="23">
        <f>IF($C356="","",INDEX(인턴근무계획!$N$3:$N$402,$A356)&amp;"")</f>
        <v/>
      </c>
      <c r="M356" s="23">
        <f>IF($C356="","",INDEX(인턴근무계획!$O$3:$O$402,$A356)&amp;"")</f>
        <v/>
      </c>
      <c r="N356" s="23">
        <f>IF($C356="","",INDEX(인턴근무계획!$P$3:$P$402,$A356)&amp;"")</f>
        <v/>
      </c>
      <c r="O356" s="23">
        <f>IF($C356="","",INDEX(인턴근무계획!$Q$3:$Q$402,$A356)&amp;"")</f>
        <v/>
      </c>
      <c r="P356" s="23">
        <f>IF($C356="","",INDEX(인턴근무계획!$R$3:$R$402,$A356)&amp;"")</f>
        <v/>
      </c>
      <c r="Q356" s="23">
        <f>IF($C356="","",INDEX(인턴근무계획!$T$3:$T$402,$A356))</f>
        <v/>
      </c>
    </row>
    <row r="357">
      <c r="A357" s="26" t="n">
        <v>352</v>
      </c>
      <c r="B357" s="23">
        <f>IF($C357="","",INDEX(인턴근무계획!$B$3:$B$402,$A357))</f>
        <v/>
      </c>
      <c r="C357" s="23">
        <f>IFERROR(TRIM(INDEX(인턴근무계획!$C$3:$C$402,$A357)&amp;""),"")</f>
        <v/>
      </c>
      <c r="D357" s="23">
        <f>IF($C357="","",INDEX(인턴근무계획!$D$3:$D$402,$A357))</f>
        <v/>
      </c>
      <c r="E357" s="23">
        <f>IF($C357="","",IF(IFERROR(MATCH($D357,기본자료!$B$2:$B$1001,0),IFERROR(MATCH($D357&amp;"",기본자료!$B$2:$B$1001,0),IFERROR(MATCH(VALUE($D357),기본자료!$B$2:$B$1001,0),0)))&gt;0,"확인","미등록"))</f>
        <v/>
      </c>
      <c r="F357" s="27">
        <f>IF($C357="","",INDEX(인턴근무계획!$S$3:$S$402,$A357))</f>
        <v/>
      </c>
      <c r="G357" s="23">
        <f>IF(OR($C357="",$G$3=""),"",IF(INDEX(인턴근무계획!$M$3:$R$402,$A357,$G$3)&amp;""="","",IF(LEFT(INDEX(인턴근무계획!$M$3:$R$402,$A357,$G$3)&amp;"",1)="⚠",INDEX(인턴근무계획!$M$3:$R$402,$A357,$G$3)&amp;"",LEFT(INDEX(인턴근무계획!$M$3:$R$402,$A357,$G$3)&amp;"",FIND(" ",INDEX(인턴근무계획!$M$3:$R$402,$A357,$G$3)&amp;"")-1))))</f>
        <v/>
      </c>
      <c r="H357" s="23">
        <f>IF(OR($C357="",$G$3=""),"",IF(INDEX(인턴근무계획!$M$3:$R$402,$A357,$G$3)&amp;""="","",IF(LEFT(INDEX(인턴근무계획!$M$3:$R$402,$A357,$G$3)&amp;"",1)="⚠","",MID(INDEX(인턴근무계획!$M$3:$R$402,$A357,$G$3)&amp;"",FIND(" ",INDEX(인턴근무계획!$M$3:$R$402,$A357,$G$3)&amp;"")+1,60))))</f>
        <v/>
      </c>
      <c r="I357" s="23">
        <f>IF(OR($C357="",$I$3=""),"",IF(INDEX(인턴근무계획!$M$3:$R$402,$A357,$I$3)&amp;""="","",IF(LEFT(INDEX(인턴근무계획!$M$3:$R$402,$A357,$I$3)&amp;"",1)="⚠",INDEX(인턴근무계획!$M$3:$R$402,$A357,$I$3)&amp;"",LEFT(INDEX(인턴근무계획!$M$3:$R$402,$A357,$I$3)&amp;"",FIND(" ",INDEX(인턴근무계획!$M$3:$R$402,$A357,$I$3)&amp;"")-1))))</f>
        <v/>
      </c>
      <c r="J357" s="23">
        <f>IF(OR($C357="",$I$3=""),"",IF(INDEX(인턴근무계획!$M$3:$R$402,$A357,$I$3)&amp;""="","",IF(LEFT(INDEX(인턴근무계획!$M$3:$R$402,$A357,$I$3)&amp;"",1)="⚠","",MID(INDEX(인턴근무계획!$M$3:$R$402,$A357,$I$3)&amp;"",FIND(" ",INDEX(인턴근무계획!$M$3:$R$402,$A357,$I$3)&amp;"")+1,60))))</f>
        <v/>
      </c>
      <c r="K357" s="23">
        <f>IF($C357="","",INDEX(인턴근무계획!$M$3:$M$402,$A357)&amp;"")</f>
        <v/>
      </c>
      <c r="L357" s="23">
        <f>IF($C357="","",INDEX(인턴근무계획!$N$3:$N$402,$A357)&amp;"")</f>
        <v/>
      </c>
      <c r="M357" s="23">
        <f>IF($C357="","",INDEX(인턴근무계획!$O$3:$O$402,$A357)&amp;"")</f>
        <v/>
      </c>
      <c r="N357" s="23">
        <f>IF($C357="","",INDEX(인턴근무계획!$P$3:$P$402,$A357)&amp;"")</f>
        <v/>
      </c>
      <c r="O357" s="23">
        <f>IF($C357="","",INDEX(인턴근무계획!$Q$3:$Q$402,$A357)&amp;"")</f>
        <v/>
      </c>
      <c r="P357" s="23">
        <f>IF($C357="","",INDEX(인턴근무계획!$R$3:$R$402,$A357)&amp;"")</f>
        <v/>
      </c>
      <c r="Q357" s="23">
        <f>IF($C357="","",INDEX(인턴근무계획!$T$3:$T$402,$A357))</f>
        <v/>
      </c>
    </row>
    <row r="358">
      <c r="A358" s="26" t="n">
        <v>353</v>
      </c>
      <c r="B358" s="23">
        <f>IF($C358="","",INDEX(인턴근무계획!$B$3:$B$402,$A358))</f>
        <v/>
      </c>
      <c r="C358" s="23">
        <f>IFERROR(TRIM(INDEX(인턴근무계획!$C$3:$C$402,$A358)&amp;""),"")</f>
        <v/>
      </c>
      <c r="D358" s="23">
        <f>IF($C358="","",INDEX(인턴근무계획!$D$3:$D$402,$A358))</f>
        <v/>
      </c>
      <c r="E358" s="23">
        <f>IF($C358="","",IF(IFERROR(MATCH($D358,기본자료!$B$2:$B$1001,0),IFERROR(MATCH($D358&amp;"",기본자료!$B$2:$B$1001,0),IFERROR(MATCH(VALUE($D358),기본자료!$B$2:$B$1001,0),0)))&gt;0,"확인","미등록"))</f>
        <v/>
      </c>
      <c r="F358" s="27">
        <f>IF($C358="","",INDEX(인턴근무계획!$S$3:$S$402,$A358))</f>
        <v/>
      </c>
      <c r="G358" s="23">
        <f>IF(OR($C358="",$G$3=""),"",IF(INDEX(인턴근무계획!$M$3:$R$402,$A358,$G$3)&amp;""="","",IF(LEFT(INDEX(인턴근무계획!$M$3:$R$402,$A358,$G$3)&amp;"",1)="⚠",INDEX(인턴근무계획!$M$3:$R$402,$A358,$G$3)&amp;"",LEFT(INDEX(인턴근무계획!$M$3:$R$402,$A358,$G$3)&amp;"",FIND(" ",INDEX(인턴근무계획!$M$3:$R$402,$A358,$G$3)&amp;"")-1))))</f>
        <v/>
      </c>
      <c r="H358" s="23">
        <f>IF(OR($C358="",$G$3=""),"",IF(INDEX(인턴근무계획!$M$3:$R$402,$A358,$G$3)&amp;""="","",IF(LEFT(INDEX(인턴근무계획!$M$3:$R$402,$A358,$G$3)&amp;"",1)="⚠","",MID(INDEX(인턴근무계획!$M$3:$R$402,$A358,$G$3)&amp;"",FIND(" ",INDEX(인턴근무계획!$M$3:$R$402,$A358,$G$3)&amp;"")+1,60))))</f>
        <v/>
      </c>
      <c r="I358" s="23">
        <f>IF(OR($C358="",$I$3=""),"",IF(INDEX(인턴근무계획!$M$3:$R$402,$A358,$I$3)&amp;""="","",IF(LEFT(INDEX(인턴근무계획!$M$3:$R$402,$A358,$I$3)&amp;"",1)="⚠",INDEX(인턴근무계획!$M$3:$R$402,$A358,$I$3)&amp;"",LEFT(INDEX(인턴근무계획!$M$3:$R$402,$A358,$I$3)&amp;"",FIND(" ",INDEX(인턴근무계획!$M$3:$R$402,$A358,$I$3)&amp;"")-1))))</f>
        <v/>
      </c>
      <c r="J358" s="23">
        <f>IF(OR($C358="",$I$3=""),"",IF(INDEX(인턴근무계획!$M$3:$R$402,$A358,$I$3)&amp;""="","",IF(LEFT(INDEX(인턴근무계획!$M$3:$R$402,$A358,$I$3)&amp;"",1)="⚠","",MID(INDEX(인턴근무계획!$M$3:$R$402,$A358,$I$3)&amp;"",FIND(" ",INDEX(인턴근무계획!$M$3:$R$402,$A358,$I$3)&amp;"")+1,60))))</f>
        <v/>
      </c>
      <c r="K358" s="23">
        <f>IF($C358="","",INDEX(인턴근무계획!$M$3:$M$402,$A358)&amp;"")</f>
        <v/>
      </c>
      <c r="L358" s="23">
        <f>IF($C358="","",INDEX(인턴근무계획!$N$3:$N$402,$A358)&amp;"")</f>
        <v/>
      </c>
      <c r="M358" s="23">
        <f>IF($C358="","",INDEX(인턴근무계획!$O$3:$O$402,$A358)&amp;"")</f>
        <v/>
      </c>
      <c r="N358" s="23">
        <f>IF($C358="","",INDEX(인턴근무계획!$P$3:$P$402,$A358)&amp;"")</f>
        <v/>
      </c>
      <c r="O358" s="23">
        <f>IF($C358="","",INDEX(인턴근무계획!$Q$3:$Q$402,$A358)&amp;"")</f>
        <v/>
      </c>
      <c r="P358" s="23">
        <f>IF($C358="","",INDEX(인턴근무계획!$R$3:$R$402,$A358)&amp;"")</f>
        <v/>
      </c>
      <c r="Q358" s="23">
        <f>IF($C358="","",INDEX(인턴근무계획!$T$3:$T$402,$A358))</f>
        <v/>
      </c>
    </row>
    <row r="359">
      <c r="A359" s="26" t="n">
        <v>354</v>
      </c>
      <c r="B359" s="23">
        <f>IF($C359="","",INDEX(인턴근무계획!$B$3:$B$402,$A359))</f>
        <v/>
      </c>
      <c r="C359" s="23">
        <f>IFERROR(TRIM(INDEX(인턴근무계획!$C$3:$C$402,$A359)&amp;""),"")</f>
        <v/>
      </c>
      <c r="D359" s="23">
        <f>IF($C359="","",INDEX(인턴근무계획!$D$3:$D$402,$A359))</f>
        <v/>
      </c>
      <c r="E359" s="23">
        <f>IF($C359="","",IF(IFERROR(MATCH($D359,기본자료!$B$2:$B$1001,0),IFERROR(MATCH($D359&amp;"",기본자료!$B$2:$B$1001,0),IFERROR(MATCH(VALUE($D359),기본자료!$B$2:$B$1001,0),0)))&gt;0,"확인","미등록"))</f>
        <v/>
      </c>
      <c r="F359" s="27">
        <f>IF($C359="","",INDEX(인턴근무계획!$S$3:$S$402,$A359))</f>
        <v/>
      </c>
      <c r="G359" s="23">
        <f>IF(OR($C359="",$G$3=""),"",IF(INDEX(인턴근무계획!$M$3:$R$402,$A359,$G$3)&amp;""="","",IF(LEFT(INDEX(인턴근무계획!$M$3:$R$402,$A359,$G$3)&amp;"",1)="⚠",INDEX(인턴근무계획!$M$3:$R$402,$A359,$G$3)&amp;"",LEFT(INDEX(인턴근무계획!$M$3:$R$402,$A359,$G$3)&amp;"",FIND(" ",INDEX(인턴근무계획!$M$3:$R$402,$A359,$G$3)&amp;"")-1))))</f>
        <v/>
      </c>
      <c r="H359" s="23">
        <f>IF(OR($C359="",$G$3=""),"",IF(INDEX(인턴근무계획!$M$3:$R$402,$A359,$G$3)&amp;""="","",IF(LEFT(INDEX(인턴근무계획!$M$3:$R$402,$A359,$G$3)&amp;"",1)="⚠","",MID(INDEX(인턴근무계획!$M$3:$R$402,$A359,$G$3)&amp;"",FIND(" ",INDEX(인턴근무계획!$M$3:$R$402,$A359,$G$3)&amp;"")+1,60))))</f>
        <v/>
      </c>
      <c r="I359" s="23">
        <f>IF(OR($C359="",$I$3=""),"",IF(INDEX(인턴근무계획!$M$3:$R$402,$A359,$I$3)&amp;""="","",IF(LEFT(INDEX(인턴근무계획!$M$3:$R$402,$A359,$I$3)&amp;"",1)="⚠",INDEX(인턴근무계획!$M$3:$R$402,$A359,$I$3)&amp;"",LEFT(INDEX(인턴근무계획!$M$3:$R$402,$A359,$I$3)&amp;"",FIND(" ",INDEX(인턴근무계획!$M$3:$R$402,$A359,$I$3)&amp;"")-1))))</f>
        <v/>
      </c>
      <c r="J359" s="23">
        <f>IF(OR($C359="",$I$3=""),"",IF(INDEX(인턴근무계획!$M$3:$R$402,$A359,$I$3)&amp;""="","",IF(LEFT(INDEX(인턴근무계획!$M$3:$R$402,$A359,$I$3)&amp;"",1)="⚠","",MID(INDEX(인턴근무계획!$M$3:$R$402,$A359,$I$3)&amp;"",FIND(" ",INDEX(인턴근무계획!$M$3:$R$402,$A359,$I$3)&amp;"")+1,60))))</f>
        <v/>
      </c>
      <c r="K359" s="23">
        <f>IF($C359="","",INDEX(인턴근무계획!$M$3:$M$402,$A359)&amp;"")</f>
        <v/>
      </c>
      <c r="L359" s="23">
        <f>IF($C359="","",INDEX(인턴근무계획!$N$3:$N$402,$A359)&amp;"")</f>
        <v/>
      </c>
      <c r="M359" s="23">
        <f>IF($C359="","",INDEX(인턴근무계획!$O$3:$O$402,$A359)&amp;"")</f>
        <v/>
      </c>
      <c r="N359" s="23">
        <f>IF($C359="","",INDEX(인턴근무계획!$P$3:$P$402,$A359)&amp;"")</f>
        <v/>
      </c>
      <c r="O359" s="23">
        <f>IF($C359="","",INDEX(인턴근무계획!$Q$3:$Q$402,$A359)&amp;"")</f>
        <v/>
      </c>
      <c r="P359" s="23">
        <f>IF($C359="","",INDEX(인턴근무계획!$R$3:$R$402,$A359)&amp;"")</f>
        <v/>
      </c>
      <c r="Q359" s="23">
        <f>IF($C359="","",INDEX(인턴근무계획!$T$3:$T$402,$A359))</f>
        <v/>
      </c>
    </row>
    <row r="360">
      <c r="A360" s="26" t="n">
        <v>355</v>
      </c>
      <c r="B360" s="23">
        <f>IF($C360="","",INDEX(인턴근무계획!$B$3:$B$402,$A360))</f>
        <v/>
      </c>
      <c r="C360" s="23">
        <f>IFERROR(TRIM(INDEX(인턴근무계획!$C$3:$C$402,$A360)&amp;""),"")</f>
        <v/>
      </c>
      <c r="D360" s="23">
        <f>IF($C360="","",INDEX(인턴근무계획!$D$3:$D$402,$A360))</f>
        <v/>
      </c>
      <c r="E360" s="23">
        <f>IF($C360="","",IF(IFERROR(MATCH($D360,기본자료!$B$2:$B$1001,0),IFERROR(MATCH($D360&amp;"",기본자료!$B$2:$B$1001,0),IFERROR(MATCH(VALUE($D360),기본자료!$B$2:$B$1001,0),0)))&gt;0,"확인","미등록"))</f>
        <v/>
      </c>
      <c r="F360" s="27">
        <f>IF($C360="","",INDEX(인턴근무계획!$S$3:$S$402,$A360))</f>
        <v/>
      </c>
      <c r="G360" s="23">
        <f>IF(OR($C360="",$G$3=""),"",IF(INDEX(인턴근무계획!$M$3:$R$402,$A360,$G$3)&amp;""="","",IF(LEFT(INDEX(인턴근무계획!$M$3:$R$402,$A360,$G$3)&amp;"",1)="⚠",INDEX(인턴근무계획!$M$3:$R$402,$A360,$G$3)&amp;"",LEFT(INDEX(인턴근무계획!$M$3:$R$402,$A360,$G$3)&amp;"",FIND(" ",INDEX(인턴근무계획!$M$3:$R$402,$A360,$G$3)&amp;"")-1))))</f>
        <v/>
      </c>
      <c r="H360" s="23">
        <f>IF(OR($C360="",$G$3=""),"",IF(INDEX(인턴근무계획!$M$3:$R$402,$A360,$G$3)&amp;""="","",IF(LEFT(INDEX(인턴근무계획!$M$3:$R$402,$A360,$G$3)&amp;"",1)="⚠","",MID(INDEX(인턴근무계획!$M$3:$R$402,$A360,$G$3)&amp;"",FIND(" ",INDEX(인턴근무계획!$M$3:$R$402,$A360,$G$3)&amp;"")+1,60))))</f>
        <v/>
      </c>
      <c r="I360" s="23">
        <f>IF(OR($C360="",$I$3=""),"",IF(INDEX(인턴근무계획!$M$3:$R$402,$A360,$I$3)&amp;""="","",IF(LEFT(INDEX(인턴근무계획!$M$3:$R$402,$A360,$I$3)&amp;"",1)="⚠",INDEX(인턴근무계획!$M$3:$R$402,$A360,$I$3)&amp;"",LEFT(INDEX(인턴근무계획!$M$3:$R$402,$A360,$I$3)&amp;"",FIND(" ",INDEX(인턴근무계획!$M$3:$R$402,$A360,$I$3)&amp;"")-1))))</f>
        <v/>
      </c>
      <c r="J360" s="23">
        <f>IF(OR($C360="",$I$3=""),"",IF(INDEX(인턴근무계획!$M$3:$R$402,$A360,$I$3)&amp;""="","",IF(LEFT(INDEX(인턴근무계획!$M$3:$R$402,$A360,$I$3)&amp;"",1)="⚠","",MID(INDEX(인턴근무계획!$M$3:$R$402,$A360,$I$3)&amp;"",FIND(" ",INDEX(인턴근무계획!$M$3:$R$402,$A360,$I$3)&amp;"")+1,60))))</f>
        <v/>
      </c>
      <c r="K360" s="23">
        <f>IF($C360="","",INDEX(인턴근무계획!$M$3:$M$402,$A360)&amp;"")</f>
        <v/>
      </c>
      <c r="L360" s="23">
        <f>IF($C360="","",INDEX(인턴근무계획!$N$3:$N$402,$A360)&amp;"")</f>
        <v/>
      </c>
      <c r="M360" s="23">
        <f>IF($C360="","",INDEX(인턴근무계획!$O$3:$O$402,$A360)&amp;"")</f>
        <v/>
      </c>
      <c r="N360" s="23">
        <f>IF($C360="","",INDEX(인턴근무계획!$P$3:$P$402,$A360)&amp;"")</f>
        <v/>
      </c>
      <c r="O360" s="23">
        <f>IF($C360="","",INDEX(인턴근무계획!$Q$3:$Q$402,$A360)&amp;"")</f>
        <v/>
      </c>
      <c r="P360" s="23">
        <f>IF($C360="","",INDEX(인턴근무계획!$R$3:$R$402,$A360)&amp;"")</f>
        <v/>
      </c>
      <c r="Q360" s="23">
        <f>IF($C360="","",INDEX(인턴근무계획!$T$3:$T$402,$A360))</f>
        <v/>
      </c>
    </row>
    <row r="361">
      <c r="A361" s="26" t="n">
        <v>356</v>
      </c>
      <c r="B361" s="23">
        <f>IF($C361="","",INDEX(인턴근무계획!$B$3:$B$402,$A361))</f>
        <v/>
      </c>
      <c r="C361" s="23">
        <f>IFERROR(TRIM(INDEX(인턴근무계획!$C$3:$C$402,$A361)&amp;""),"")</f>
        <v/>
      </c>
      <c r="D361" s="23">
        <f>IF($C361="","",INDEX(인턴근무계획!$D$3:$D$402,$A361))</f>
        <v/>
      </c>
      <c r="E361" s="23">
        <f>IF($C361="","",IF(IFERROR(MATCH($D361,기본자료!$B$2:$B$1001,0),IFERROR(MATCH($D361&amp;"",기본자료!$B$2:$B$1001,0),IFERROR(MATCH(VALUE($D361),기본자료!$B$2:$B$1001,0),0)))&gt;0,"확인","미등록"))</f>
        <v/>
      </c>
      <c r="F361" s="27">
        <f>IF($C361="","",INDEX(인턴근무계획!$S$3:$S$402,$A361))</f>
        <v/>
      </c>
      <c r="G361" s="23">
        <f>IF(OR($C361="",$G$3=""),"",IF(INDEX(인턴근무계획!$M$3:$R$402,$A361,$G$3)&amp;""="","",IF(LEFT(INDEX(인턴근무계획!$M$3:$R$402,$A361,$G$3)&amp;"",1)="⚠",INDEX(인턴근무계획!$M$3:$R$402,$A361,$G$3)&amp;"",LEFT(INDEX(인턴근무계획!$M$3:$R$402,$A361,$G$3)&amp;"",FIND(" ",INDEX(인턴근무계획!$M$3:$R$402,$A361,$G$3)&amp;"")-1))))</f>
        <v/>
      </c>
      <c r="H361" s="23">
        <f>IF(OR($C361="",$G$3=""),"",IF(INDEX(인턴근무계획!$M$3:$R$402,$A361,$G$3)&amp;""="","",IF(LEFT(INDEX(인턴근무계획!$M$3:$R$402,$A361,$G$3)&amp;"",1)="⚠","",MID(INDEX(인턴근무계획!$M$3:$R$402,$A361,$G$3)&amp;"",FIND(" ",INDEX(인턴근무계획!$M$3:$R$402,$A361,$G$3)&amp;"")+1,60))))</f>
        <v/>
      </c>
      <c r="I361" s="23">
        <f>IF(OR($C361="",$I$3=""),"",IF(INDEX(인턴근무계획!$M$3:$R$402,$A361,$I$3)&amp;""="","",IF(LEFT(INDEX(인턴근무계획!$M$3:$R$402,$A361,$I$3)&amp;"",1)="⚠",INDEX(인턴근무계획!$M$3:$R$402,$A361,$I$3)&amp;"",LEFT(INDEX(인턴근무계획!$M$3:$R$402,$A361,$I$3)&amp;"",FIND(" ",INDEX(인턴근무계획!$M$3:$R$402,$A361,$I$3)&amp;"")-1))))</f>
        <v/>
      </c>
      <c r="J361" s="23">
        <f>IF(OR($C361="",$I$3=""),"",IF(INDEX(인턴근무계획!$M$3:$R$402,$A361,$I$3)&amp;""="","",IF(LEFT(INDEX(인턴근무계획!$M$3:$R$402,$A361,$I$3)&amp;"",1)="⚠","",MID(INDEX(인턴근무계획!$M$3:$R$402,$A361,$I$3)&amp;"",FIND(" ",INDEX(인턴근무계획!$M$3:$R$402,$A361,$I$3)&amp;"")+1,60))))</f>
        <v/>
      </c>
      <c r="K361" s="23">
        <f>IF($C361="","",INDEX(인턴근무계획!$M$3:$M$402,$A361)&amp;"")</f>
        <v/>
      </c>
      <c r="L361" s="23">
        <f>IF($C361="","",INDEX(인턴근무계획!$N$3:$N$402,$A361)&amp;"")</f>
        <v/>
      </c>
      <c r="M361" s="23">
        <f>IF($C361="","",INDEX(인턴근무계획!$O$3:$O$402,$A361)&amp;"")</f>
        <v/>
      </c>
      <c r="N361" s="23">
        <f>IF($C361="","",INDEX(인턴근무계획!$P$3:$P$402,$A361)&amp;"")</f>
        <v/>
      </c>
      <c r="O361" s="23">
        <f>IF($C361="","",INDEX(인턴근무계획!$Q$3:$Q$402,$A361)&amp;"")</f>
        <v/>
      </c>
      <c r="P361" s="23">
        <f>IF($C361="","",INDEX(인턴근무계획!$R$3:$R$402,$A361)&amp;"")</f>
        <v/>
      </c>
      <c r="Q361" s="23">
        <f>IF($C361="","",INDEX(인턴근무계획!$T$3:$T$402,$A361))</f>
        <v/>
      </c>
    </row>
    <row r="362">
      <c r="A362" s="26" t="n">
        <v>357</v>
      </c>
      <c r="B362" s="23">
        <f>IF($C362="","",INDEX(인턴근무계획!$B$3:$B$402,$A362))</f>
        <v/>
      </c>
      <c r="C362" s="23">
        <f>IFERROR(TRIM(INDEX(인턴근무계획!$C$3:$C$402,$A362)&amp;""),"")</f>
        <v/>
      </c>
      <c r="D362" s="23">
        <f>IF($C362="","",INDEX(인턴근무계획!$D$3:$D$402,$A362))</f>
        <v/>
      </c>
      <c r="E362" s="23">
        <f>IF($C362="","",IF(IFERROR(MATCH($D362,기본자료!$B$2:$B$1001,0),IFERROR(MATCH($D362&amp;"",기본자료!$B$2:$B$1001,0),IFERROR(MATCH(VALUE($D362),기본자료!$B$2:$B$1001,0),0)))&gt;0,"확인","미등록"))</f>
        <v/>
      </c>
      <c r="F362" s="27">
        <f>IF($C362="","",INDEX(인턴근무계획!$S$3:$S$402,$A362))</f>
        <v/>
      </c>
      <c r="G362" s="23">
        <f>IF(OR($C362="",$G$3=""),"",IF(INDEX(인턴근무계획!$M$3:$R$402,$A362,$G$3)&amp;""="","",IF(LEFT(INDEX(인턴근무계획!$M$3:$R$402,$A362,$G$3)&amp;"",1)="⚠",INDEX(인턴근무계획!$M$3:$R$402,$A362,$G$3)&amp;"",LEFT(INDEX(인턴근무계획!$M$3:$R$402,$A362,$G$3)&amp;"",FIND(" ",INDEX(인턴근무계획!$M$3:$R$402,$A362,$G$3)&amp;"")-1))))</f>
        <v/>
      </c>
      <c r="H362" s="23">
        <f>IF(OR($C362="",$G$3=""),"",IF(INDEX(인턴근무계획!$M$3:$R$402,$A362,$G$3)&amp;""="","",IF(LEFT(INDEX(인턴근무계획!$M$3:$R$402,$A362,$G$3)&amp;"",1)="⚠","",MID(INDEX(인턴근무계획!$M$3:$R$402,$A362,$G$3)&amp;"",FIND(" ",INDEX(인턴근무계획!$M$3:$R$402,$A362,$G$3)&amp;"")+1,60))))</f>
        <v/>
      </c>
      <c r="I362" s="23">
        <f>IF(OR($C362="",$I$3=""),"",IF(INDEX(인턴근무계획!$M$3:$R$402,$A362,$I$3)&amp;""="","",IF(LEFT(INDEX(인턴근무계획!$M$3:$R$402,$A362,$I$3)&amp;"",1)="⚠",INDEX(인턴근무계획!$M$3:$R$402,$A362,$I$3)&amp;"",LEFT(INDEX(인턴근무계획!$M$3:$R$402,$A362,$I$3)&amp;"",FIND(" ",INDEX(인턴근무계획!$M$3:$R$402,$A362,$I$3)&amp;"")-1))))</f>
        <v/>
      </c>
      <c r="J362" s="23">
        <f>IF(OR($C362="",$I$3=""),"",IF(INDEX(인턴근무계획!$M$3:$R$402,$A362,$I$3)&amp;""="","",IF(LEFT(INDEX(인턴근무계획!$M$3:$R$402,$A362,$I$3)&amp;"",1)="⚠","",MID(INDEX(인턴근무계획!$M$3:$R$402,$A362,$I$3)&amp;"",FIND(" ",INDEX(인턴근무계획!$M$3:$R$402,$A362,$I$3)&amp;"")+1,60))))</f>
        <v/>
      </c>
      <c r="K362" s="23">
        <f>IF($C362="","",INDEX(인턴근무계획!$M$3:$M$402,$A362)&amp;"")</f>
        <v/>
      </c>
      <c r="L362" s="23">
        <f>IF($C362="","",INDEX(인턴근무계획!$N$3:$N$402,$A362)&amp;"")</f>
        <v/>
      </c>
      <c r="M362" s="23">
        <f>IF($C362="","",INDEX(인턴근무계획!$O$3:$O$402,$A362)&amp;"")</f>
        <v/>
      </c>
      <c r="N362" s="23">
        <f>IF($C362="","",INDEX(인턴근무계획!$P$3:$P$402,$A362)&amp;"")</f>
        <v/>
      </c>
      <c r="O362" s="23">
        <f>IF($C362="","",INDEX(인턴근무계획!$Q$3:$Q$402,$A362)&amp;"")</f>
        <v/>
      </c>
      <c r="P362" s="23">
        <f>IF($C362="","",INDEX(인턴근무계획!$R$3:$R$402,$A362)&amp;"")</f>
        <v/>
      </c>
      <c r="Q362" s="23">
        <f>IF($C362="","",INDEX(인턴근무계획!$T$3:$T$402,$A362))</f>
        <v/>
      </c>
    </row>
    <row r="363">
      <c r="A363" s="26" t="n">
        <v>358</v>
      </c>
      <c r="B363" s="23">
        <f>IF($C363="","",INDEX(인턴근무계획!$B$3:$B$402,$A363))</f>
        <v/>
      </c>
      <c r="C363" s="23">
        <f>IFERROR(TRIM(INDEX(인턴근무계획!$C$3:$C$402,$A363)&amp;""),"")</f>
        <v/>
      </c>
      <c r="D363" s="23">
        <f>IF($C363="","",INDEX(인턴근무계획!$D$3:$D$402,$A363))</f>
        <v/>
      </c>
      <c r="E363" s="23">
        <f>IF($C363="","",IF(IFERROR(MATCH($D363,기본자료!$B$2:$B$1001,0),IFERROR(MATCH($D363&amp;"",기본자료!$B$2:$B$1001,0),IFERROR(MATCH(VALUE($D363),기본자료!$B$2:$B$1001,0),0)))&gt;0,"확인","미등록"))</f>
        <v/>
      </c>
      <c r="F363" s="27">
        <f>IF($C363="","",INDEX(인턴근무계획!$S$3:$S$402,$A363))</f>
        <v/>
      </c>
      <c r="G363" s="23">
        <f>IF(OR($C363="",$G$3=""),"",IF(INDEX(인턴근무계획!$M$3:$R$402,$A363,$G$3)&amp;""="","",IF(LEFT(INDEX(인턴근무계획!$M$3:$R$402,$A363,$G$3)&amp;"",1)="⚠",INDEX(인턴근무계획!$M$3:$R$402,$A363,$G$3)&amp;"",LEFT(INDEX(인턴근무계획!$M$3:$R$402,$A363,$G$3)&amp;"",FIND(" ",INDEX(인턴근무계획!$M$3:$R$402,$A363,$G$3)&amp;"")-1))))</f>
        <v/>
      </c>
      <c r="H363" s="23">
        <f>IF(OR($C363="",$G$3=""),"",IF(INDEX(인턴근무계획!$M$3:$R$402,$A363,$G$3)&amp;""="","",IF(LEFT(INDEX(인턴근무계획!$M$3:$R$402,$A363,$G$3)&amp;"",1)="⚠","",MID(INDEX(인턴근무계획!$M$3:$R$402,$A363,$G$3)&amp;"",FIND(" ",INDEX(인턴근무계획!$M$3:$R$402,$A363,$G$3)&amp;"")+1,60))))</f>
        <v/>
      </c>
      <c r="I363" s="23">
        <f>IF(OR($C363="",$I$3=""),"",IF(INDEX(인턴근무계획!$M$3:$R$402,$A363,$I$3)&amp;""="","",IF(LEFT(INDEX(인턴근무계획!$M$3:$R$402,$A363,$I$3)&amp;"",1)="⚠",INDEX(인턴근무계획!$M$3:$R$402,$A363,$I$3)&amp;"",LEFT(INDEX(인턴근무계획!$M$3:$R$402,$A363,$I$3)&amp;"",FIND(" ",INDEX(인턴근무계획!$M$3:$R$402,$A363,$I$3)&amp;"")-1))))</f>
        <v/>
      </c>
      <c r="J363" s="23">
        <f>IF(OR($C363="",$I$3=""),"",IF(INDEX(인턴근무계획!$M$3:$R$402,$A363,$I$3)&amp;""="","",IF(LEFT(INDEX(인턴근무계획!$M$3:$R$402,$A363,$I$3)&amp;"",1)="⚠","",MID(INDEX(인턴근무계획!$M$3:$R$402,$A363,$I$3)&amp;"",FIND(" ",INDEX(인턴근무계획!$M$3:$R$402,$A363,$I$3)&amp;"")+1,60))))</f>
        <v/>
      </c>
      <c r="K363" s="23">
        <f>IF($C363="","",INDEX(인턴근무계획!$M$3:$M$402,$A363)&amp;"")</f>
        <v/>
      </c>
      <c r="L363" s="23">
        <f>IF($C363="","",INDEX(인턴근무계획!$N$3:$N$402,$A363)&amp;"")</f>
        <v/>
      </c>
      <c r="M363" s="23">
        <f>IF($C363="","",INDEX(인턴근무계획!$O$3:$O$402,$A363)&amp;"")</f>
        <v/>
      </c>
      <c r="N363" s="23">
        <f>IF($C363="","",INDEX(인턴근무계획!$P$3:$P$402,$A363)&amp;"")</f>
        <v/>
      </c>
      <c r="O363" s="23">
        <f>IF($C363="","",INDEX(인턴근무계획!$Q$3:$Q$402,$A363)&amp;"")</f>
        <v/>
      </c>
      <c r="P363" s="23">
        <f>IF($C363="","",INDEX(인턴근무계획!$R$3:$R$402,$A363)&amp;"")</f>
        <v/>
      </c>
      <c r="Q363" s="23">
        <f>IF($C363="","",INDEX(인턴근무계획!$T$3:$T$402,$A363))</f>
        <v/>
      </c>
    </row>
    <row r="364">
      <c r="A364" s="26" t="n">
        <v>359</v>
      </c>
      <c r="B364" s="23">
        <f>IF($C364="","",INDEX(인턴근무계획!$B$3:$B$402,$A364))</f>
        <v/>
      </c>
      <c r="C364" s="23">
        <f>IFERROR(TRIM(INDEX(인턴근무계획!$C$3:$C$402,$A364)&amp;""),"")</f>
        <v/>
      </c>
      <c r="D364" s="23">
        <f>IF($C364="","",INDEX(인턴근무계획!$D$3:$D$402,$A364))</f>
        <v/>
      </c>
      <c r="E364" s="23">
        <f>IF($C364="","",IF(IFERROR(MATCH($D364,기본자료!$B$2:$B$1001,0),IFERROR(MATCH($D364&amp;"",기본자료!$B$2:$B$1001,0),IFERROR(MATCH(VALUE($D364),기본자료!$B$2:$B$1001,0),0)))&gt;0,"확인","미등록"))</f>
        <v/>
      </c>
      <c r="F364" s="27">
        <f>IF($C364="","",INDEX(인턴근무계획!$S$3:$S$402,$A364))</f>
        <v/>
      </c>
      <c r="G364" s="23">
        <f>IF(OR($C364="",$G$3=""),"",IF(INDEX(인턴근무계획!$M$3:$R$402,$A364,$G$3)&amp;""="","",IF(LEFT(INDEX(인턴근무계획!$M$3:$R$402,$A364,$G$3)&amp;"",1)="⚠",INDEX(인턴근무계획!$M$3:$R$402,$A364,$G$3)&amp;"",LEFT(INDEX(인턴근무계획!$M$3:$R$402,$A364,$G$3)&amp;"",FIND(" ",INDEX(인턴근무계획!$M$3:$R$402,$A364,$G$3)&amp;"")-1))))</f>
        <v/>
      </c>
      <c r="H364" s="23">
        <f>IF(OR($C364="",$G$3=""),"",IF(INDEX(인턴근무계획!$M$3:$R$402,$A364,$G$3)&amp;""="","",IF(LEFT(INDEX(인턴근무계획!$M$3:$R$402,$A364,$G$3)&amp;"",1)="⚠","",MID(INDEX(인턴근무계획!$M$3:$R$402,$A364,$G$3)&amp;"",FIND(" ",INDEX(인턴근무계획!$M$3:$R$402,$A364,$G$3)&amp;"")+1,60))))</f>
        <v/>
      </c>
      <c r="I364" s="23">
        <f>IF(OR($C364="",$I$3=""),"",IF(INDEX(인턴근무계획!$M$3:$R$402,$A364,$I$3)&amp;""="","",IF(LEFT(INDEX(인턴근무계획!$M$3:$R$402,$A364,$I$3)&amp;"",1)="⚠",INDEX(인턴근무계획!$M$3:$R$402,$A364,$I$3)&amp;"",LEFT(INDEX(인턴근무계획!$M$3:$R$402,$A364,$I$3)&amp;"",FIND(" ",INDEX(인턴근무계획!$M$3:$R$402,$A364,$I$3)&amp;"")-1))))</f>
        <v/>
      </c>
      <c r="J364" s="23">
        <f>IF(OR($C364="",$I$3=""),"",IF(INDEX(인턴근무계획!$M$3:$R$402,$A364,$I$3)&amp;""="","",IF(LEFT(INDEX(인턴근무계획!$M$3:$R$402,$A364,$I$3)&amp;"",1)="⚠","",MID(INDEX(인턴근무계획!$M$3:$R$402,$A364,$I$3)&amp;"",FIND(" ",INDEX(인턴근무계획!$M$3:$R$402,$A364,$I$3)&amp;"")+1,60))))</f>
        <v/>
      </c>
      <c r="K364" s="23">
        <f>IF($C364="","",INDEX(인턴근무계획!$M$3:$M$402,$A364)&amp;"")</f>
        <v/>
      </c>
      <c r="L364" s="23">
        <f>IF($C364="","",INDEX(인턴근무계획!$N$3:$N$402,$A364)&amp;"")</f>
        <v/>
      </c>
      <c r="M364" s="23">
        <f>IF($C364="","",INDEX(인턴근무계획!$O$3:$O$402,$A364)&amp;"")</f>
        <v/>
      </c>
      <c r="N364" s="23">
        <f>IF($C364="","",INDEX(인턴근무계획!$P$3:$P$402,$A364)&amp;"")</f>
        <v/>
      </c>
      <c r="O364" s="23">
        <f>IF($C364="","",INDEX(인턴근무계획!$Q$3:$Q$402,$A364)&amp;"")</f>
        <v/>
      </c>
      <c r="P364" s="23">
        <f>IF($C364="","",INDEX(인턴근무계획!$R$3:$R$402,$A364)&amp;"")</f>
        <v/>
      </c>
      <c r="Q364" s="23">
        <f>IF($C364="","",INDEX(인턴근무계획!$T$3:$T$402,$A364))</f>
        <v/>
      </c>
    </row>
    <row r="365">
      <c r="A365" s="26" t="n">
        <v>360</v>
      </c>
      <c r="B365" s="23">
        <f>IF($C365="","",INDEX(인턴근무계획!$B$3:$B$402,$A365))</f>
        <v/>
      </c>
      <c r="C365" s="23">
        <f>IFERROR(TRIM(INDEX(인턴근무계획!$C$3:$C$402,$A365)&amp;""),"")</f>
        <v/>
      </c>
      <c r="D365" s="23">
        <f>IF($C365="","",INDEX(인턴근무계획!$D$3:$D$402,$A365))</f>
        <v/>
      </c>
      <c r="E365" s="23">
        <f>IF($C365="","",IF(IFERROR(MATCH($D365,기본자료!$B$2:$B$1001,0),IFERROR(MATCH($D365&amp;"",기본자료!$B$2:$B$1001,0),IFERROR(MATCH(VALUE($D365),기본자료!$B$2:$B$1001,0),0)))&gt;0,"확인","미등록"))</f>
        <v/>
      </c>
      <c r="F365" s="27">
        <f>IF($C365="","",INDEX(인턴근무계획!$S$3:$S$402,$A365))</f>
        <v/>
      </c>
      <c r="G365" s="23">
        <f>IF(OR($C365="",$G$3=""),"",IF(INDEX(인턴근무계획!$M$3:$R$402,$A365,$G$3)&amp;""="","",IF(LEFT(INDEX(인턴근무계획!$M$3:$R$402,$A365,$G$3)&amp;"",1)="⚠",INDEX(인턴근무계획!$M$3:$R$402,$A365,$G$3)&amp;"",LEFT(INDEX(인턴근무계획!$M$3:$R$402,$A365,$G$3)&amp;"",FIND(" ",INDEX(인턴근무계획!$M$3:$R$402,$A365,$G$3)&amp;"")-1))))</f>
        <v/>
      </c>
      <c r="H365" s="23">
        <f>IF(OR($C365="",$G$3=""),"",IF(INDEX(인턴근무계획!$M$3:$R$402,$A365,$G$3)&amp;""="","",IF(LEFT(INDEX(인턴근무계획!$M$3:$R$402,$A365,$G$3)&amp;"",1)="⚠","",MID(INDEX(인턴근무계획!$M$3:$R$402,$A365,$G$3)&amp;"",FIND(" ",INDEX(인턴근무계획!$M$3:$R$402,$A365,$G$3)&amp;"")+1,60))))</f>
        <v/>
      </c>
      <c r="I365" s="23">
        <f>IF(OR($C365="",$I$3=""),"",IF(INDEX(인턴근무계획!$M$3:$R$402,$A365,$I$3)&amp;""="","",IF(LEFT(INDEX(인턴근무계획!$M$3:$R$402,$A365,$I$3)&amp;"",1)="⚠",INDEX(인턴근무계획!$M$3:$R$402,$A365,$I$3)&amp;"",LEFT(INDEX(인턴근무계획!$M$3:$R$402,$A365,$I$3)&amp;"",FIND(" ",INDEX(인턴근무계획!$M$3:$R$402,$A365,$I$3)&amp;"")-1))))</f>
        <v/>
      </c>
      <c r="J365" s="23">
        <f>IF(OR($C365="",$I$3=""),"",IF(INDEX(인턴근무계획!$M$3:$R$402,$A365,$I$3)&amp;""="","",IF(LEFT(INDEX(인턴근무계획!$M$3:$R$402,$A365,$I$3)&amp;"",1)="⚠","",MID(INDEX(인턴근무계획!$M$3:$R$402,$A365,$I$3)&amp;"",FIND(" ",INDEX(인턴근무계획!$M$3:$R$402,$A365,$I$3)&amp;"")+1,60))))</f>
        <v/>
      </c>
      <c r="K365" s="23">
        <f>IF($C365="","",INDEX(인턴근무계획!$M$3:$M$402,$A365)&amp;"")</f>
        <v/>
      </c>
      <c r="L365" s="23">
        <f>IF($C365="","",INDEX(인턴근무계획!$N$3:$N$402,$A365)&amp;"")</f>
        <v/>
      </c>
      <c r="M365" s="23">
        <f>IF($C365="","",INDEX(인턴근무계획!$O$3:$O$402,$A365)&amp;"")</f>
        <v/>
      </c>
      <c r="N365" s="23">
        <f>IF($C365="","",INDEX(인턴근무계획!$P$3:$P$402,$A365)&amp;"")</f>
        <v/>
      </c>
      <c r="O365" s="23">
        <f>IF($C365="","",INDEX(인턴근무계획!$Q$3:$Q$402,$A365)&amp;"")</f>
        <v/>
      </c>
      <c r="P365" s="23">
        <f>IF($C365="","",INDEX(인턴근무계획!$R$3:$R$402,$A365)&amp;"")</f>
        <v/>
      </c>
      <c r="Q365" s="23">
        <f>IF($C365="","",INDEX(인턴근무계획!$T$3:$T$402,$A365))</f>
        <v/>
      </c>
    </row>
    <row r="366">
      <c r="A366" s="26" t="n">
        <v>361</v>
      </c>
      <c r="B366" s="23">
        <f>IF($C366="","",INDEX(인턴근무계획!$B$3:$B$402,$A366))</f>
        <v/>
      </c>
      <c r="C366" s="23">
        <f>IFERROR(TRIM(INDEX(인턴근무계획!$C$3:$C$402,$A366)&amp;""),"")</f>
        <v/>
      </c>
      <c r="D366" s="23">
        <f>IF($C366="","",INDEX(인턴근무계획!$D$3:$D$402,$A366))</f>
        <v/>
      </c>
      <c r="E366" s="23">
        <f>IF($C366="","",IF(IFERROR(MATCH($D366,기본자료!$B$2:$B$1001,0),IFERROR(MATCH($D366&amp;"",기본자료!$B$2:$B$1001,0),IFERROR(MATCH(VALUE($D366),기본자료!$B$2:$B$1001,0),0)))&gt;0,"확인","미등록"))</f>
        <v/>
      </c>
      <c r="F366" s="27">
        <f>IF($C366="","",INDEX(인턴근무계획!$S$3:$S$402,$A366))</f>
        <v/>
      </c>
      <c r="G366" s="23">
        <f>IF(OR($C366="",$G$3=""),"",IF(INDEX(인턴근무계획!$M$3:$R$402,$A366,$G$3)&amp;""="","",IF(LEFT(INDEX(인턴근무계획!$M$3:$R$402,$A366,$G$3)&amp;"",1)="⚠",INDEX(인턴근무계획!$M$3:$R$402,$A366,$G$3)&amp;"",LEFT(INDEX(인턴근무계획!$M$3:$R$402,$A366,$G$3)&amp;"",FIND(" ",INDEX(인턴근무계획!$M$3:$R$402,$A366,$G$3)&amp;"")-1))))</f>
        <v/>
      </c>
      <c r="H366" s="23">
        <f>IF(OR($C366="",$G$3=""),"",IF(INDEX(인턴근무계획!$M$3:$R$402,$A366,$G$3)&amp;""="","",IF(LEFT(INDEX(인턴근무계획!$M$3:$R$402,$A366,$G$3)&amp;"",1)="⚠","",MID(INDEX(인턴근무계획!$M$3:$R$402,$A366,$G$3)&amp;"",FIND(" ",INDEX(인턴근무계획!$M$3:$R$402,$A366,$G$3)&amp;"")+1,60))))</f>
        <v/>
      </c>
      <c r="I366" s="23">
        <f>IF(OR($C366="",$I$3=""),"",IF(INDEX(인턴근무계획!$M$3:$R$402,$A366,$I$3)&amp;""="","",IF(LEFT(INDEX(인턴근무계획!$M$3:$R$402,$A366,$I$3)&amp;"",1)="⚠",INDEX(인턴근무계획!$M$3:$R$402,$A366,$I$3)&amp;"",LEFT(INDEX(인턴근무계획!$M$3:$R$402,$A366,$I$3)&amp;"",FIND(" ",INDEX(인턴근무계획!$M$3:$R$402,$A366,$I$3)&amp;"")-1))))</f>
        <v/>
      </c>
      <c r="J366" s="23">
        <f>IF(OR($C366="",$I$3=""),"",IF(INDEX(인턴근무계획!$M$3:$R$402,$A366,$I$3)&amp;""="","",IF(LEFT(INDEX(인턴근무계획!$M$3:$R$402,$A366,$I$3)&amp;"",1)="⚠","",MID(INDEX(인턴근무계획!$M$3:$R$402,$A366,$I$3)&amp;"",FIND(" ",INDEX(인턴근무계획!$M$3:$R$402,$A366,$I$3)&amp;"")+1,60))))</f>
        <v/>
      </c>
      <c r="K366" s="23">
        <f>IF($C366="","",INDEX(인턴근무계획!$M$3:$M$402,$A366)&amp;"")</f>
        <v/>
      </c>
      <c r="L366" s="23">
        <f>IF($C366="","",INDEX(인턴근무계획!$N$3:$N$402,$A366)&amp;"")</f>
        <v/>
      </c>
      <c r="M366" s="23">
        <f>IF($C366="","",INDEX(인턴근무계획!$O$3:$O$402,$A366)&amp;"")</f>
        <v/>
      </c>
      <c r="N366" s="23">
        <f>IF($C366="","",INDEX(인턴근무계획!$P$3:$P$402,$A366)&amp;"")</f>
        <v/>
      </c>
      <c r="O366" s="23">
        <f>IF($C366="","",INDEX(인턴근무계획!$Q$3:$Q$402,$A366)&amp;"")</f>
        <v/>
      </c>
      <c r="P366" s="23">
        <f>IF($C366="","",INDEX(인턴근무계획!$R$3:$R$402,$A366)&amp;"")</f>
        <v/>
      </c>
      <c r="Q366" s="23">
        <f>IF($C366="","",INDEX(인턴근무계획!$T$3:$T$402,$A366))</f>
        <v/>
      </c>
    </row>
    <row r="367">
      <c r="A367" s="26" t="n">
        <v>362</v>
      </c>
      <c r="B367" s="23">
        <f>IF($C367="","",INDEX(인턴근무계획!$B$3:$B$402,$A367))</f>
        <v/>
      </c>
      <c r="C367" s="23">
        <f>IFERROR(TRIM(INDEX(인턴근무계획!$C$3:$C$402,$A367)&amp;""),"")</f>
        <v/>
      </c>
      <c r="D367" s="23">
        <f>IF($C367="","",INDEX(인턴근무계획!$D$3:$D$402,$A367))</f>
        <v/>
      </c>
      <c r="E367" s="23">
        <f>IF($C367="","",IF(IFERROR(MATCH($D367,기본자료!$B$2:$B$1001,0),IFERROR(MATCH($D367&amp;"",기본자료!$B$2:$B$1001,0),IFERROR(MATCH(VALUE($D367),기본자료!$B$2:$B$1001,0),0)))&gt;0,"확인","미등록"))</f>
        <v/>
      </c>
      <c r="F367" s="27">
        <f>IF($C367="","",INDEX(인턴근무계획!$S$3:$S$402,$A367))</f>
        <v/>
      </c>
      <c r="G367" s="23">
        <f>IF(OR($C367="",$G$3=""),"",IF(INDEX(인턴근무계획!$M$3:$R$402,$A367,$G$3)&amp;""="","",IF(LEFT(INDEX(인턴근무계획!$M$3:$R$402,$A367,$G$3)&amp;"",1)="⚠",INDEX(인턴근무계획!$M$3:$R$402,$A367,$G$3)&amp;"",LEFT(INDEX(인턴근무계획!$M$3:$R$402,$A367,$G$3)&amp;"",FIND(" ",INDEX(인턴근무계획!$M$3:$R$402,$A367,$G$3)&amp;"")-1))))</f>
        <v/>
      </c>
      <c r="H367" s="23">
        <f>IF(OR($C367="",$G$3=""),"",IF(INDEX(인턴근무계획!$M$3:$R$402,$A367,$G$3)&amp;""="","",IF(LEFT(INDEX(인턴근무계획!$M$3:$R$402,$A367,$G$3)&amp;"",1)="⚠","",MID(INDEX(인턴근무계획!$M$3:$R$402,$A367,$G$3)&amp;"",FIND(" ",INDEX(인턴근무계획!$M$3:$R$402,$A367,$G$3)&amp;"")+1,60))))</f>
        <v/>
      </c>
      <c r="I367" s="23">
        <f>IF(OR($C367="",$I$3=""),"",IF(INDEX(인턴근무계획!$M$3:$R$402,$A367,$I$3)&amp;""="","",IF(LEFT(INDEX(인턴근무계획!$M$3:$R$402,$A367,$I$3)&amp;"",1)="⚠",INDEX(인턴근무계획!$M$3:$R$402,$A367,$I$3)&amp;"",LEFT(INDEX(인턴근무계획!$M$3:$R$402,$A367,$I$3)&amp;"",FIND(" ",INDEX(인턴근무계획!$M$3:$R$402,$A367,$I$3)&amp;"")-1))))</f>
        <v/>
      </c>
      <c r="J367" s="23">
        <f>IF(OR($C367="",$I$3=""),"",IF(INDEX(인턴근무계획!$M$3:$R$402,$A367,$I$3)&amp;""="","",IF(LEFT(INDEX(인턴근무계획!$M$3:$R$402,$A367,$I$3)&amp;"",1)="⚠","",MID(INDEX(인턴근무계획!$M$3:$R$402,$A367,$I$3)&amp;"",FIND(" ",INDEX(인턴근무계획!$M$3:$R$402,$A367,$I$3)&amp;"")+1,60))))</f>
        <v/>
      </c>
      <c r="K367" s="23">
        <f>IF($C367="","",INDEX(인턴근무계획!$M$3:$M$402,$A367)&amp;"")</f>
        <v/>
      </c>
      <c r="L367" s="23">
        <f>IF($C367="","",INDEX(인턴근무계획!$N$3:$N$402,$A367)&amp;"")</f>
        <v/>
      </c>
      <c r="M367" s="23">
        <f>IF($C367="","",INDEX(인턴근무계획!$O$3:$O$402,$A367)&amp;"")</f>
        <v/>
      </c>
      <c r="N367" s="23">
        <f>IF($C367="","",INDEX(인턴근무계획!$P$3:$P$402,$A367)&amp;"")</f>
        <v/>
      </c>
      <c r="O367" s="23">
        <f>IF($C367="","",INDEX(인턴근무계획!$Q$3:$Q$402,$A367)&amp;"")</f>
        <v/>
      </c>
      <c r="P367" s="23">
        <f>IF($C367="","",INDEX(인턴근무계획!$R$3:$R$402,$A367)&amp;"")</f>
        <v/>
      </c>
      <c r="Q367" s="23">
        <f>IF($C367="","",INDEX(인턴근무계획!$T$3:$T$402,$A367))</f>
        <v/>
      </c>
    </row>
    <row r="368">
      <c r="A368" s="26" t="n">
        <v>363</v>
      </c>
      <c r="B368" s="23">
        <f>IF($C368="","",INDEX(인턴근무계획!$B$3:$B$402,$A368))</f>
        <v/>
      </c>
      <c r="C368" s="23">
        <f>IFERROR(TRIM(INDEX(인턴근무계획!$C$3:$C$402,$A368)&amp;""),"")</f>
        <v/>
      </c>
      <c r="D368" s="23">
        <f>IF($C368="","",INDEX(인턴근무계획!$D$3:$D$402,$A368))</f>
        <v/>
      </c>
      <c r="E368" s="23">
        <f>IF($C368="","",IF(IFERROR(MATCH($D368,기본자료!$B$2:$B$1001,0),IFERROR(MATCH($D368&amp;"",기본자료!$B$2:$B$1001,0),IFERROR(MATCH(VALUE($D368),기본자료!$B$2:$B$1001,0),0)))&gt;0,"확인","미등록"))</f>
        <v/>
      </c>
      <c r="F368" s="27">
        <f>IF($C368="","",INDEX(인턴근무계획!$S$3:$S$402,$A368))</f>
        <v/>
      </c>
      <c r="G368" s="23">
        <f>IF(OR($C368="",$G$3=""),"",IF(INDEX(인턴근무계획!$M$3:$R$402,$A368,$G$3)&amp;""="","",IF(LEFT(INDEX(인턴근무계획!$M$3:$R$402,$A368,$G$3)&amp;"",1)="⚠",INDEX(인턴근무계획!$M$3:$R$402,$A368,$G$3)&amp;"",LEFT(INDEX(인턴근무계획!$M$3:$R$402,$A368,$G$3)&amp;"",FIND(" ",INDEX(인턴근무계획!$M$3:$R$402,$A368,$G$3)&amp;"")-1))))</f>
        <v/>
      </c>
      <c r="H368" s="23">
        <f>IF(OR($C368="",$G$3=""),"",IF(INDEX(인턴근무계획!$M$3:$R$402,$A368,$G$3)&amp;""="","",IF(LEFT(INDEX(인턴근무계획!$M$3:$R$402,$A368,$G$3)&amp;"",1)="⚠","",MID(INDEX(인턴근무계획!$M$3:$R$402,$A368,$G$3)&amp;"",FIND(" ",INDEX(인턴근무계획!$M$3:$R$402,$A368,$G$3)&amp;"")+1,60))))</f>
        <v/>
      </c>
      <c r="I368" s="23">
        <f>IF(OR($C368="",$I$3=""),"",IF(INDEX(인턴근무계획!$M$3:$R$402,$A368,$I$3)&amp;""="","",IF(LEFT(INDEX(인턴근무계획!$M$3:$R$402,$A368,$I$3)&amp;"",1)="⚠",INDEX(인턴근무계획!$M$3:$R$402,$A368,$I$3)&amp;"",LEFT(INDEX(인턴근무계획!$M$3:$R$402,$A368,$I$3)&amp;"",FIND(" ",INDEX(인턴근무계획!$M$3:$R$402,$A368,$I$3)&amp;"")-1))))</f>
        <v/>
      </c>
      <c r="J368" s="23">
        <f>IF(OR($C368="",$I$3=""),"",IF(INDEX(인턴근무계획!$M$3:$R$402,$A368,$I$3)&amp;""="","",IF(LEFT(INDEX(인턴근무계획!$M$3:$R$402,$A368,$I$3)&amp;"",1)="⚠","",MID(INDEX(인턴근무계획!$M$3:$R$402,$A368,$I$3)&amp;"",FIND(" ",INDEX(인턴근무계획!$M$3:$R$402,$A368,$I$3)&amp;"")+1,60))))</f>
        <v/>
      </c>
      <c r="K368" s="23">
        <f>IF($C368="","",INDEX(인턴근무계획!$M$3:$M$402,$A368)&amp;"")</f>
        <v/>
      </c>
      <c r="L368" s="23">
        <f>IF($C368="","",INDEX(인턴근무계획!$N$3:$N$402,$A368)&amp;"")</f>
        <v/>
      </c>
      <c r="M368" s="23">
        <f>IF($C368="","",INDEX(인턴근무계획!$O$3:$O$402,$A368)&amp;"")</f>
        <v/>
      </c>
      <c r="N368" s="23">
        <f>IF($C368="","",INDEX(인턴근무계획!$P$3:$P$402,$A368)&amp;"")</f>
        <v/>
      </c>
      <c r="O368" s="23">
        <f>IF($C368="","",INDEX(인턴근무계획!$Q$3:$Q$402,$A368)&amp;"")</f>
        <v/>
      </c>
      <c r="P368" s="23">
        <f>IF($C368="","",INDEX(인턴근무계획!$R$3:$R$402,$A368)&amp;"")</f>
        <v/>
      </c>
      <c r="Q368" s="23">
        <f>IF($C368="","",INDEX(인턴근무계획!$T$3:$T$402,$A368))</f>
        <v/>
      </c>
    </row>
    <row r="369">
      <c r="A369" s="26" t="n">
        <v>364</v>
      </c>
      <c r="B369" s="23">
        <f>IF($C369="","",INDEX(인턴근무계획!$B$3:$B$402,$A369))</f>
        <v/>
      </c>
      <c r="C369" s="23">
        <f>IFERROR(TRIM(INDEX(인턴근무계획!$C$3:$C$402,$A369)&amp;""),"")</f>
        <v/>
      </c>
      <c r="D369" s="23">
        <f>IF($C369="","",INDEX(인턴근무계획!$D$3:$D$402,$A369))</f>
        <v/>
      </c>
      <c r="E369" s="23">
        <f>IF($C369="","",IF(IFERROR(MATCH($D369,기본자료!$B$2:$B$1001,0),IFERROR(MATCH($D369&amp;"",기본자료!$B$2:$B$1001,0),IFERROR(MATCH(VALUE($D369),기본자료!$B$2:$B$1001,0),0)))&gt;0,"확인","미등록"))</f>
        <v/>
      </c>
      <c r="F369" s="27">
        <f>IF($C369="","",INDEX(인턴근무계획!$S$3:$S$402,$A369))</f>
        <v/>
      </c>
      <c r="G369" s="23">
        <f>IF(OR($C369="",$G$3=""),"",IF(INDEX(인턴근무계획!$M$3:$R$402,$A369,$G$3)&amp;""="","",IF(LEFT(INDEX(인턴근무계획!$M$3:$R$402,$A369,$G$3)&amp;"",1)="⚠",INDEX(인턴근무계획!$M$3:$R$402,$A369,$G$3)&amp;"",LEFT(INDEX(인턴근무계획!$M$3:$R$402,$A369,$G$3)&amp;"",FIND(" ",INDEX(인턴근무계획!$M$3:$R$402,$A369,$G$3)&amp;"")-1))))</f>
        <v/>
      </c>
      <c r="H369" s="23">
        <f>IF(OR($C369="",$G$3=""),"",IF(INDEX(인턴근무계획!$M$3:$R$402,$A369,$G$3)&amp;""="","",IF(LEFT(INDEX(인턴근무계획!$M$3:$R$402,$A369,$G$3)&amp;"",1)="⚠","",MID(INDEX(인턴근무계획!$M$3:$R$402,$A369,$G$3)&amp;"",FIND(" ",INDEX(인턴근무계획!$M$3:$R$402,$A369,$G$3)&amp;"")+1,60))))</f>
        <v/>
      </c>
      <c r="I369" s="23">
        <f>IF(OR($C369="",$I$3=""),"",IF(INDEX(인턴근무계획!$M$3:$R$402,$A369,$I$3)&amp;""="","",IF(LEFT(INDEX(인턴근무계획!$M$3:$R$402,$A369,$I$3)&amp;"",1)="⚠",INDEX(인턴근무계획!$M$3:$R$402,$A369,$I$3)&amp;"",LEFT(INDEX(인턴근무계획!$M$3:$R$402,$A369,$I$3)&amp;"",FIND(" ",INDEX(인턴근무계획!$M$3:$R$402,$A369,$I$3)&amp;"")-1))))</f>
        <v/>
      </c>
      <c r="J369" s="23">
        <f>IF(OR($C369="",$I$3=""),"",IF(INDEX(인턴근무계획!$M$3:$R$402,$A369,$I$3)&amp;""="","",IF(LEFT(INDEX(인턴근무계획!$M$3:$R$402,$A369,$I$3)&amp;"",1)="⚠","",MID(INDEX(인턴근무계획!$M$3:$R$402,$A369,$I$3)&amp;"",FIND(" ",INDEX(인턴근무계획!$M$3:$R$402,$A369,$I$3)&amp;"")+1,60))))</f>
        <v/>
      </c>
      <c r="K369" s="23">
        <f>IF($C369="","",INDEX(인턴근무계획!$M$3:$M$402,$A369)&amp;"")</f>
        <v/>
      </c>
      <c r="L369" s="23">
        <f>IF($C369="","",INDEX(인턴근무계획!$N$3:$N$402,$A369)&amp;"")</f>
        <v/>
      </c>
      <c r="M369" s="23">
        <f>IF($C369="","",INDEX(인턴근무계획!$O$3:$O$402,$A369)&amp;"")</f>
        <v/>
      </c>
      <c r="N369" s="23">
        <f>IF($C369="","",INDEX(인턴근무계획!$P$3:$P$402,$A369)&amp;"")</f>
        <v/>
      </c>
      <c r="O369" s="23">
        <f>IF($C369="","",INDEX(인턴근무계획!$Q$3:$Q$402,$A369)&amp;"")</f>
        <v/>
      </c>
      <c r="P369" s="23">
        <f>IF($C369="","",INDEX(인턴근무계획!$R$3:$R$402,$A369)&amp;"")</f>
        <v/>
      </c>
      <c r="Q369" s="23">
        <f>IF($C369="","",INDEX(인턴근무계획!$T$3:$T$402,$A369))</f>
        <v/>
      </c>
    </row>
    <row r="370">
      <c r="A370" s="26" t="n">
        <v>365</v>
      </c>
      <c r="B370" s="23">
        <f>IF($C370="","",INDEX(인턴근무계획!$B$3:$B$402,$A370))</f>
        <v/>
      </c>
      <c r="C370" s="23">
        <f>IFERROR(TRIM(INDEX(인턴근무계획!$C$3:$C$402,$A370)&amp;""),"")</f>
        <v/>
      </c>
      <c r="D370" s="23">
        <f>IF($C370="","",INDEX(인턴근무계획!$D$3:$D$402,$A370))</f>
        <v/>
      </c>
      <c r="E370" s="23">
        <f>IF($C370="","",IF(IFERROR(MATCH($D370,기본자료!$B$2:$B$1001,0),IFERROR(MATCH($D370&amp;"",기본자료!$B$2:$B$1001,0),IFERROR(MATCH(VALUE($D370),기본자료!$B$2:$B$1001,0),0)))&gt;0,"확인","미등록"))</f>
        <v/>
      </c>
      <c r="F370" s="27">
        <f>IF($C370="","",INDEX(인턴근무계획!$S$3:$S$402,$A370))</f>
        <v/>
      </c>
      <c r="G370" s="23">
        <f>IF(OR($C370="",$G$3=""),"",IF(INDEX(인턴근무계획!$M$3:$R$402,$A370,$G$3)&amp;""="","",IF(LEFT(INDEX(인턴근무계획!$M$3:$R$402,$A370,$G$3)&amp;"",1)="⚠",INDEX(인턴근무계획!$M$3:$R$402,$A370,$G$3)&amp;"",LEFT(INDEX(인턴근무계획!$M$3:$R$402,$A370,$G$3)&amp;"",FIND(" ",INDEX(인턴근무계획!$M$3:$R$402,$A370,$G$3)&amp;"")-1))))</f>
        <v/>
      </c>
      <c r="H370" s="23">
        <f>IF(OR($C370="",$G$3=""),"",IF(INDEX(인턴근무계획!$M$3:$R$402,$A370,$G$3)&amp;""="","",IF(LEFT(INDEX(인턴근무계획!$M$3:$R$402,$A370,$G$3)&amp;"",1)="⚠","",MID(INDEX(인턴근무계획!$M$3:$R$402,$A370,$G$3)&amp;"",FIND(" ",INDEX(인턴근무계획!$M$3:$R$402,$A370,$G$3)&amp;"")+1,60))))</f>
        <v/>
      </c>
      <c r="I370" s="23">
        <f>IF(OR($C370="",$I$3=""),"",IF(INDEX(인턴근무계획!$M$3:$R$402,$A370,$I$3)&amp;""="","",IF(LEFT(INDEX(인턴근무계획!$M$3:$R$402,$A370,$I$3)&amp;"",1)="⚠",INDEX(인턴근무계획!$M$3:$R$402,$A370,$I$3)&amp;"",LEFT(INDEX(인턴근무계획!$M$3:$R$402,$A370,$I$3)&amp;"",FIND(" ",INDEX(인턴근무계획!$M$3:$R$402,$A370,$I$3)&amp;"")-1))))</f>
        <v/>
      </c>
      <c r="J370" s="23">
        <f>IF(OR($C370="",$I$3=""),"",IF(INDEX(인턴근무계획!$M$3:$R$402,$A370,$I$3)&amp;""="","",IF(LEFT(INDEX(인턴근무계획!$M$3:$R$402,$A370,$I$3)&amp;"",1)="⚠","",MID(INDEX(인턴근무계획!$M$3:$R$402,$A370,$I$3)&amp;"",FIND(" ",INDEX(인턴근무계획!$M$3:$R$402,$A370,$I$3)&amp;"")+1,60))))</f>
        <v/>
      </c>
      <c r="K370" s="23">
        <f>IF($C370="","",INDEX(인턴근무계획!$M$3:$M$402,$A370)&amp;"")</f>
        <v/>
      </c>
      <c r="L370" s="23">
        <f>IF($C370="","",INDEX(인턴근무계획!$N$3:$N$402,$A370)&amp;"")</f>
        <v/>
      </c>
      <c r="M370" s="23">
        <f>IF($C370="","",INDEX(인턴근무계획!$O$3:$O$402,$A370)&amp;"")</f>
        <v/>
      </c>
      <c r="N370" s="23">
        <f>IF($C370="","",INDEX(인턴근무계획!$P$3:$P$402,$A370)&amp;"")</f>
        <v/>
      </c>
      <c r="O370" s="23">
        <f>IF($C370="","",INDEX(인턴근무계획!$Q$3:$Q$402,$A370)&amp;"")</f>
        <v/>
      </c>
      <c r="P370" s="23">
        <f>IF($C370="","",INDEX(인턴근무계획!$R$3:$R$402,$A370)&amp;"")</f>
        <v/>
      </c>
      <c r="Q370" s="23">
        <f>IF($C370="","",INDEX(인턴근무계획!$T$3:$T$402,$A370))</f>
        <v/>
      </c>
    </row>
    <row r="371">
      <c r="A371" s="26" t="n">
        <v>366</v>
      </c>
      <c r="B371" s="23">
        <f>IF($C371="","",INDEX(인턴근무계획!$B$3:$B$402,$A371))</f>
        <v/>
      </c>
      <c r="C371" s="23">
        <f>IFERROR(TRIM(INDEX(인턴근무계획!$C$3:$C$402,$A371)&amp;""),"")</f>
        <v/>
      </c>
      <c r="D371" s="23">
        <f>IF($C371="","",INDEX(인턴근무계획!$D$3:$D$402,$A371))</f>
        <v/>
      </c>
      <c r="E371" s="23">
        <f>IF($C371="","",IF(IFERROR(MATCH($D371,기본자료!$B$2:$B$1001,0),IFERROR(MATCH($D371&amp;"",기본자료!$B$2:$B$1001,0),IFERROR(MATCH(VALUE($D371),기본자료!$B$2:$B$1001,0),0)))&gt;0,"확인","미등록"))</f>
        <v/>
      </c>
      <c r="F371" s="27">
        <f>IF($C371="","",INDEX(인턴근무계획!$S$3:$S$402,$A371))</f>
        <v/>
      </c>
      <c r="G371" s="23">
        <f>IF(OR($C371="",$G$3=""),"",IF(INDEX(인턴근무계획!$M$3:$R$402,$A371,$G$3)&amp;""="","",IF(LEFT(INDEX(인턴근무계획!$M$3:$R$402,$A371,$G$3)&amp;"",1)="⚠",INDEX(인턴근무계획!$M$3:$R$402,$A371,$G$3)&amp;"",LEFT(INDEX(인턴근무계획!$M$3:$R$402,$A371,$G$3)&amp;"",FIND(" ",INDEX(인턴근무계획!$M$3:$R$402,$A371,$G$3)&amp;"")-1))))</f>
        <v/>
      </c>
      <c r="H371" s="23">
        <f>IF(OR($C371="",$G$3=""),"",IF(INDEX(인턴근무계획!$M$3:$R$402,$A371,$G$3)&amp;""="","",IF(LEFT(INDEX(인턴근무계획!$M$3:$R$402,$A371,$G$3)&amp;"",1)="⚠","",MID(INDEX(인턴근무계획!$M$3:$R$402,$A371,$G$3)&amp;"",FIND(" ",INDEX(인턴근무계획!$M$3:$R$402,$A371,$G$3)&amp;"")+1,60))))</f>
        <v/>
      </c>
      <c r="I371" s="23">
        <f>IF(OR($C371="",$I$3=""),"",IF(INDEX(인턴근무계획!$M$3:$R$402,$A371,$I$3)&amp;""="","",IF(LEFT(INDEX(인턴근무계획!$M$3:$R$402,$A371,$I$3)&amp;"",1)="⚠",INDEX(인턴근무계획!$M$3:$R$402,$A371,$I$3)&amp;"",LEFT(INDEX(인턴근무계획!$M$3:$R$402,$A371,$I$3)&amp;"",FIND(" ",INDEX(인턴근무계획!$M$3:$R$402,$A371,$I$3)&amp;"")-1))))</f>
        <v/>
      </c>
      <c r="J371" s="23">
        <f>IF(OR($C371="",$I$3=""),"",IF(INDEX(인턴근무계획!$M$3:$R$402,$A371,$I$3)&amp;""="","",IF(LEFT(INDEX(인턴근무계획!$M$3:$R$402,$A371,$I$3)&amp;"",1)="⚠","",MID(INDEX(인턴근무계획!$M$3:$R$402,$A371,$I$3)&amp;"",FIND(" ",INDEX(인턴근무계획!$M$3:$R$402,$A371,$I$3)&amp;"")+1,60))))</f>
        <v/>
      </c>
      <c r="K371" s="23">
        <f>IF($C371="","",INDEX(인턴근무계획!$M$3:$M$402,$A371)&amp;"")</f>
        <v/>
      </c>
      <c r="L371" s="23">
        <f>IF($C371="","",INDEX(인턴근무계획!$N$3:$N$402,$A371)&amp;"")</f>
        <v/>
      </c>
      <c r="M371" s="23">
        <f>IF($C371="","",INDEX(인턴근무계획!$O$3:$O$402,$A371)&amp;"")</f>
        <v/>
      </c>
      <c r="N371" s="23">
        <f>IF($C371="","",INDEX(인턴근무계획!$P$3:$P$402,$A371)&amp;"")</f>
        <v/>
      </c>
      <c r="O371" s="23">
        <f>IF($C371="","",INDEX(인턴근무계획!$Q$3:$Q$402,$A371)&amp;"")</f>
        <v/>
      </c>
      <c r="P371" s="23">
        <f>IF($C371="","",INDEX(인턴근무계획!$R$3:$R$402,$A371)&amp;"")</f>
        <v/>
      </c>
      <c r="Q371" s="23">
        <f>IF($C371="","",INDEX(인턴근무계획!$T$3:$T$402,$A371))</f>
        <v/>
      </c>
    </row>
    <row r="372">
      <c r="A372" s="26" t="n">
        <v>367</v>
      </c>
      <c r="B372" s="23">
        <f>IF($C372="","",INDEX(인턴근무계획!$B$3:$B$402,$A372))</f>
        <v/>
      </c>
      <c r="C372" s="23">
        <f>IFERROR(TRIM(INDEX(인턴근무계획!$C$3:$C$402,$A372)&amp;""),"")</f>
        <v/>
      </c>
      <c r="D372" s="23">
        <f>IF($C372="","",INDEX(인턴근무계획!$D$3:$D$402,$A372))</f>
        <v/>
      </c>
      <c r="E372" s="23">
        <f>IF($C372="","",IF(IFERROR(MATCH($D372,기본자료!$B$2:$B$1001,0),IFERROR(MATCH($D372&amp;"",기본자료!$B$2:$B$1001,0),IFERROR(MATCH(VALUE($D372),기본자료!$B$2:$B$1001,0),0)))&gt;0,"확인","미등록"))</f>
        <v/>
      </c>
      <c r="F372" s="27">
        <f>IF($C372="","",INDEX(인턴근무계획!$S$3:$S$402,$A372))</f>
        <v/>
      </c>
      <c r="G372" s="23">
        <f>IF(OR($C372="",$G$3=""),"",IF(INDEX(인턴근무계획!$M$3:$R$402,$A372,$G$3)&amp;""="","",IF(LEFT(INDEX(인턴근무계획!$M$3:$R$402,$A372,$G$3)&amp;"",1)="⚠",INDEX(인턴근무계획!$M$3:$R$402,$A372,$G$3)&amp;"",LEFT(INDEX(인턴근무계획!$M$3:$R$402,$A372,$G$3)&amp;"",FIND(" ",INDEX(인턴근무계획!$M$3:$R$402,$A372,$G$3)&amp;"")-1))))</f>
        <v/>
      </c>
      <c r="H372" s="23">
        <f>IF(OR($C372="",$G$3=""),"",IF(INDEX(인턴근무계획!$M$3:$R$402,$A372,$G$3)&amp;""="","",IF(LEFT(INDEX(인턴근무계획!$M$3:$R$402,$A372,$G$3)&amp;"",1)="⚠","",MID(INDEX(인턴근무계획!$M$3:$R$402,$A372,$G$3)&amp;"",FIND(" ",INDEX(인턴근무계획!$M$3:$R$402,$A372,$G$3)&amp;"")+1,60))))</f>
        <v/>
      </c>
      <c r="I372" s="23">
        <f>IF(OR($C372="",$I$3=""),"",IF(INDEX(인턴근무계획!$M$3:$R$402,$A372,$I$3)&amp;""="","",IF(LEFT(INDEX(인턴근무계획!$M$3:$R$402,$A372,$I$3)&amp;"",1)="⚠",INDEX(인턴근무계획!$M$3:$R$402,$A372,$I$3)&amp;"",LEFT(INDEX(인턴근무계획!$M$3:$R$402,$A372,$I$3)&amp;"",FIND(" ",INDEX(인턴근무계획!$M$3:$R$402,$A372,$I$3)&amp;"")-1))))</f>
        <v/>
      </c>
      <c r="J372" s="23">
        <f>IF(OR($C372="",$I$3=""),"",IF(INDEX(인턴근무계획!$M$3:$R$402,$A372,$I$3)&amp;""="","",IF(LEFT(INDEX(인턴근무계획!$M$3:$R$402,$A372,$I$3)&amp;"",1)="⚠","",MID(INDEX(인턴근무계획!$M$3:$R$402,$A372,$I$3)&amp;"",FIND(" ",INDEX(인턴근무계획!$M$3:$R$402,$A372,$I$3)&amp;"")+1,60))))</f>
        <v/>
      </c>
      <c r="K372" s="23">
        <f>IF($C372="","",INDEX(인턴근무계획!$M$3:$M$402,$A372)&amp;"")</f>
        <v/>
      </c>
      <c r="L372" s="23">
        <f>IF($C372="","",INDEX(인턴근무계획!$N$3:$N$402,$A372)&amp;"")</f>
        <v/>
      </c>
      <c r="M372" s="23">
        <f>IF($C372="","",INDEX(인턴근무계획!$O$3:$O$402,$A372)&amp;"")</f>
        <v/>
      </c>
      <c r="N372" s="23">
        <f>IF($C372="","",INDEX(인턴근무계획!$P$3:$P$402,$A372)&amp;"")</f>
        <v/>
      </c>
      <c r="O372" s="23">
        <f>IF($C372="","",INDEX(인턴근무계획!$Q$3:$Q$402,$A372)&amp;"")</f>
        <v/>
      </c>
      <c r="P372" s="23">
        <f>IF($C372="","",INDEX(인턴근무계획!$R$3:$R$402,$A372)&amp;"")</f>
        <v/>
      </c>
      <c r="Q372" s="23">
        <f>IF($C372="","",INDEX(인턴근무계획!$T$3:$T$402,$A372))</f>
        <v/>
      </c>
    </row>
    <row r="373">
      <c r="A373" s="26" t="n">
        <v>368</v>
      </c>
      <c r="B373" s="23">
        <f>IF($C373="","",INDEX(인턴근무계획!$B$3:$B$402,$A373))</f>
        <v/>
      </c>
      <c r="C373" s="23">
        <f>IFERROR(TRIM(INDEX(인턴근무계획!$C$3:$C$402,$A373)&amp;""),"")</f>
        <v/>
      </c>
      <c r="D373" s="23">
        <f>IF($C373="","",INDEX(인턴근무계획!$D$3:$D$402,$A373))</f>
        <v/>
      </c>
      <c r="E373" s="23">
        <f>IF($C373="","",IF(IFERROR(MATCH($D373,기본자료!$B$2:$B$1001,0),IFERROR(MATCH($D373&amp;"",기본자료!$B$2:$B$1001,0),IFERROR(MATCH(VALUE($D373),기본자료!$B$2:$B$1001,0),0)))&gt;0,"확인","미등록"))</f>
        <v/>
      </c>
      <c r="F373" s="27">
        <f>IF($C373="","",INDEX(인턴근무계획!$S$3:$S$402,$A373))</f>
        <v/>
      </c>
      <c r="G373" s="23">
        <f>IF(OR($C373="",$G$3=""),"",IF(INDEX(인턴근무계획!$M$3:$R$402,$A373,$G$3)&amp;""="","",IF(LEFT(INDEX(인턴근무계획!$M$3:$R$402,$A373,$G$3)&amp;"",1)="⚠",INDEX(인턴근무계획!$M$3:$R$402,$A373,$G$3)&amp;"",LEFT(INDEX(인턴근무계획!$M$3:$R$402,$A373,$G$3)&amp;"",FIND(" ",INDEX(인턴근무계획!$M$3:$R$402,$A373,$G$3)&amp;"")-1))))</f>
        <v/>
      </c>
      <c r="H373" s="23">
        <f>IF(OR($C373="",$G$3=""),"",IF(INDEX(인턴근무계획!$M$3:$R$402,$A373,$G$3)&amp;""="","",IF(LEFT(INDEX(인턴근무계획!$M$3:$R$402,$A373,$G$3)&amp;"",1)="⚠","",MID(INDEX(인턴근무계획!$M$3:$R$402,$A373,$G$3)&amp;"",FIND(" ",INDEX(인턴근무계획!$M$3:$R$402,$A373,$G$3)&amp;"")+1,60))))</f>
        <v/>
      </c>
      <c r="I373" s="23">
        <f>IF(OR($C373="",$I$3=""),"",IF(INDEX(인턴근무계획!$M$3:$R$402,$A373,$I$3)&amp;""="","",IF(LEFT(INDEX(인턴근무계획!$M$3:$R$402,$A373,$I$3)&amp;"",1)="⚠",INDEX(인턴근무계획!$M$3:$R$402,$A373,$I$3)&amp;"",LEFT(INDEX(인턴근무계획!$M$3:$R$402,$A373,$I$3)&amp;"",FIND(" ",INDEX(인턴근무계획!$M$3:$R$402,$A373,$I$3)&amp;"")-1))))</f>
        <v/>
      </c>
      <c r="J373" s="23">
        <f>IF(OR($C373="",$I$3=""),"",IF(INDEX(인턴근무계획!$M$3:$R$402,$A373,$I$3)&amp;""="","",IF(LEFT(INDEX(인턴근무계획!$M$3:$R$402,$A373,$I$3)&amp;"",1)="⚠","",MID(INDEX(인턴근무계획!$M$3:$R$402,$A373,$I$3)&amp;"",FIND(" ",INDEX(인턴근무계획!$M$3:$R$402,$A373,$I$3)&amp;"")+1,60))))</f>
        <v/>
      </c>
      <c r="K373" s="23">
        <f>IF($C373="","",INDEX(인턴근무계획!$M$3:$M$402,$A373)&amp;"")</f>
        <v/>
      </c>
      <c r="L373" s="23">
        <f>IF($C373="","",INDEX(인턴근무계획!$N$3:$N$402,$A373)&amp;"")</f>
        <v/>
      </c>
      <c r="M373" s="23">
        <f>IF($C373="","",INDEX(인턴근무계획!$O$3:$O$402,$A373)&amp;"")</f>
        <v/>
      </c>
      <c r="N373" s="23">
        <f>IF($C373="","",INDEX(인턴근무계획!$P$3:$P$402,$A373)&amp;"")</f>
        <v/>
      </c>
      <c r="O373" s="23">
        <f>IF($C373="","",INDEX(인턴근무계획!$Q$3:$Q$402,$A373)&amp;"")</f>
        <v/>
      </c>
      <c r="P373" s="23">
        <f>IF($C373="","",INDEX(인턴근무계획!$R$3:$R$402,$A373)&amp;"")</f>
        <v/>
      </c>
      <c r="Q373" s="23">
        <f>IF($C373="","",INDEX(인턴근무계획!$T$3:$T$402,$A373))</f>
        <v/>
      </c>
    </row>
    <row r="374">
      <c r="A374" s="26" t="n">
        <v>369</v>
      </c>
      <c r="B374" s="23">
        <f>IF($C374="","",INDEX(인턴근무계획!$B$3:$B$402,$A374))</f>
        <v/>
      </c>
      <c r="C374" s="23">
        <f>IFERROR(TRIM(INDEX(인턴근무계획!$C$3:$C$402,$A374)&amp;""),"")</f>
        <v/>
      </c>
      <c r="D374" s="23">
        <f>IF($C374="","",INDEX(인턴근무계획!$D$3:$D$402,$A374))</f>
        <v/>
      </c>
      <c r="E374" s="23">
        <f>IF($C374="","",IF(IFERROR(MATCH($D374,기본자료!$B$2:$B$1001,0),IFERROR(MATCH($D374&amp;"",기본자료!$B$2:$B$1001,0),IFERROR(MATCH(VALUE($D374),기본자료!$B$2:$B$1001,0),0)))&gt;0,"확인","미등록"))</f>
        <v/>
      </c>
      <c r="F374" s="27">
        <f>IF($C374="","",INDEX(인턴근무계획!$S$3:$S$402,$A374))</f>
        <v/>
      </c>
      <c r="G374" s="23">
        <f>IF(OR($C374="",$G$3=""),"",IF(INDEX(인턴근무계획!$M$3:$R$402,$A374,$G$3)&amp;""="","",IF(LEFT(INDEX(인턴근무계획!$M$3:$R$402,$A374,$G$3)&amp;"",1)="⚠",INDEX(인턴근무계획!$M$3:$R$402,$A374,$G$3)&amp;"",LEFT(INDEX(인턴근무계획!$M$3:$R$402,$A374,$G$3)&amp;"",FIND(" ",INDEX(인턴근무계획!$M$3:$R$402,$A374,$G$3)&amp;"")-1))))</f>
        <v/>
      </c>
      <c r="H374" s="23">
        <f>IF(OR($C374="",$G$3=""),"",IF(INDEX(인턴근무계획!$M$3:$R$402,$A374,$G$3)&amp;""="","",IF(LEFT(INDEX(인턴근무계획!$M$3:$R$402,$A374,$G$3)&amp;"",1)="⚠","",MID(INDEX(인턴근무계획!$M$3:$R$402,$A374,$G$3)&amp;"",FIND(" ",INDEX(인턴근무계획!$M$3:$R$402,$A374,$G$3)&amp;"")+1,60))))</f>
        <v/>
      </c>
      <c r="I374" s="23">
        <f>IF(OR($C374="",$I$3=""),"",IF(INDEX(인턴근무계획!$M$3:$R$402,$A374,$I$3)&amp;""="","",IF(LEFT(INDEX(인턴근무계획!$M$3:$R$402,$A374,$I$3)&amp;"",1)="⚠",INDEX(인턴근무계획!$M$3:$R$402,$A374,$I$3)&amp;"",LEFT(INDEX(인턴근무계획!$M$3:$R$402,$A374,$I$3)&amp;"",FIND(" ",INDEX(인턴근무계획!$M$3:$R$402,$A374,$I$3)&amp;"")-1))))</f>
        <v/>
      </c>
      <c r="J374" s="23">
        <f>IF(OR($C374="",$I$3=""),"",IF(INDEX(인턴근무계획!$M$3:$R$402,$A374,$I$3)&amp;""="","",IF(LEFT(INDEX(인턴근무계획!$M$3:$R$402,$A374,$I$3)&amp;"",1)="⚠","",MID(INDEX(인턴근무계획!$M$3:$R$402,$A374,$I$3)&amp;"",FIND(" ",INDEX(인턴근무계획!$M$3:$R$402,$A374,$I$3)&amp;"")+1,60))))</f>
        <v/>
      </c>
      <c r="K374" s="23">
        <f>IF($C374="","",INDEX(인턴근무계획!$M$3:$M$402,$A374)&amp;"")</f>
        <v/>
      </c>
      <c r="L374" s="23">
        <f>IF($C374="","",INDEX(인턴근무계획!$N$3:$N$402,$A374)&amp;"")</f>
        <v/>
      </c>
      <c r="M374" s="23">
        <f>IF($C374="","",INDEX(인턴근무계획!$O$3:$O$402,$A374)&amp;"")</f>
        <v/>
      </c>
      <c r="N374" s="23">
        <f>IF($C374="","",INDEX(인턴근무계획!$P$3:$P$402,$A374)&amp;"")</f>
        <v/>
      </c>
      <c r="O374" s="23">
        <f>IF($C374="","",INDEX(인턴근무계획!$Q$3:$Q$402,$A374)&amp;"")</f>
        <v/>
      </c>
      <c r="P374" s="23">
        <f>IF($C374="","",INDEX(인턴근무계획!$R$3:$R$402,$A374)&amp;"")</f>
        <v/>
      </c>
      <c r="Q374" s="23">
        <f>IF($C374="","",INDEX(인턴근무계획!$T$3:$T$402,$A374))</f>
        <v/>
      </c>
    </row>
    <row r="375">
      <c r="A375" s="26" t="n">
        <v>370</v>
      </c>
      <c r="B375" s="23">
        <f>IF($C375="","",INDEX(인턴근무계획!$B$3:$B$402,$A375))</f>
        <v/>
      </c>
      <c r="C375" s="23">
        <f>IFERROR(TRIM(INDEX(인턴근무계획!$C$3:$C$402,$A375)&amp;""),"")</f>
        <v/>
      </c>
      <c r="D375" s="23">
        <f>IF($C375="","",INDEX(인턴근무계획!$D$3:$D$402,$A375))</f>
        <v/>
      </c>
      <c r="E375" s="23">
        <f>IF($C375="","",IF(IFERROR(MATCH($D375,기본자료!$B$2:$B$1001,0),IFERROR(MATCH($D375&amp;"",기본자료!$B$2:$B$1001,0),IFERROR(MATCH(VALUE($D375),기본자료!$B$2:$B$1001,0),0)))&gt;0,"확인","미등록"))</f>
        <v/>
      </c>
      <c r="F375" s="27">
        <f>IF($C375="","",INDEX(인턴근무계획!$S$3:$S$402,$A375))</f>
        <v/>
      </c>
      <c r="G375" s="23">
        <f>IF(OR($C375="",$G$3=""),"",IF(INDEX(인턴근무계획!$M$3:$R$402,$A375,$G$3)&amp;""="","",IF(LEFT(INDEX(인턴근무계획!$M$3:$R$402,$A375,$G$3)&amp;"",1)="⚠",INDEX(인턴근무계획!$M$3:$R$402,$A375,$G$3)&amp;"",LEFT(INDEX(인턴근무계획!$M$3:$R$402,$A375,$G$3)&amp;"",FIND(" ",INDEX(인턴근무계획!$M$3:$R$402,$A375,$G$3)&amp;"")-1))))</f>
        <v/>
      </c>
      <c r="H375" s="23">
        <f>IF(OR($C375="",$G$3=""),"",IF(INDEX(인턴근무계획!$M$3:$R$402,$A375,$G$3)&amp;""="","",IF(LEFT(INDEX(인턴근무계획!$M$3:$R$402,$A375,$G$3)&amp;"",1)="⚠","",MID(INDEX(인턴근무계획!$M$3:$R$402,$A375,$G$3)&amp;"",FIND(" ",INDEX(인턴근무계획!$M$3:$R$402,$A375,$G$3)&amp;"")+1,60))))</f>
        <v/>
      </c>
      <c r="I375" s="23">
        <f>IF(OR($C375="",$I$3=""),"",IF(INDEX(인턴근무계획!$M$3:$R$402,$A375,$I$3)&amp;""="","",IF(LEFT(INDEX(인턴근무계획!$M$3:$R$402,$A375,$I$3)&amp;"",1)="⚠",INDEX(인턴근무계획!$M$3:$R$402,$A375,$I$3)&amp;"",LEFT(INDEX(인턴근무계획!$M$3:$R$402,$A375,$I$3)&amp;"",FIND(" ",INDEX(인턴근무계획!$M$3:$R$402,$A375,$I$3)&amp;"")-1))))</f>
        <v/>
      </c>
      <c r="J375" s="23">
        <f>IF(OR($C375="",$I$3=""),"",IF(INDEX(인턴근무계획!$M$3:$R$402,$A375,$I$3)&amp;""="","",IF(LEFT(INDEX(인턴근무계획!$M$3:$R$402,$A375,$I$3)&amp;"",1)="⚠","",MID(INDEX(인턴근무계획!$M$3:$R$402,$A375,$I$3)&amp;"",FIND(" ",INDEX(인턴근무계획!$M$3:$R$402,$A375,$I$3)&amp;"")+1,60))))</f>
        <v/>
      </c>
      <c r="K375" s="23">
        <f>IF($C375="","",INDEX(인턴근무계획!$M$3:$M$402,$A375)&amp;"")</f>
        <v/>
      </c>
      <c r="L375" s="23">
        <f>IF($C375="","",INDEX(인턴근무계획!$N$3:$N$402,$A375)&amp;"")</f>
        <v/>
      </c>
      <c r="M375" s="23">
        <f>IF($C375="","",INDEX(인턴근무계획!$O$3:$O$402,$A375)&amp;"")</f>
        <v/>
      </c>
      <c r="N375" s="23">
        <f>IF($C375="","",INDEX(인턴근무계획!$P$3:$P$402,$A375)&amp;"")</f>
        <v/>
      </c>
      <c r="O375" s="23">
        <f>IF($C375="","",INDEX(인턴근무계획!$Q$3:$Q$402,$A375)&amp;"")</f>
        <v/>
      </c>
      <c r="P375" s="23">
        <f>IF($C375="","",INDEX(인턴근무계획!$R$3:$R$402,$A375)&amp;"")</f>
        <v/>
      </c>
      <c r="Q375" s="23">
        <f>IF($C375="","",INDEX(인턴근무계획!$T$3:$T$402,$A375))</f>
        <v/>
      </c>
    </row>
    <row r="376">
      <c r="A376" s="26" t="n">
        <v>371</v>
      </c>
      <c r="B376" s="23">
        <f>IF($C376="","",INDEX(인턴근무계획!$B$3:$B$402,$A376))</f>
        <v/>
      </c>
      <c r="C376" s="23">
        <f>IFERROR(TRIM(INDEX(인턴근무계획!$C$3:$C$402,$A376)&amp;""),"")</f>
        <v/>
      </c>
      <c r="D376" s="23">
        <f>IF($C376="","",INDEX(인턴근무계획!$D$3:$D$402,$A376))</f>
        <v/>
      </c>
      <c r="E376" s="23">
        <f>IF($C376="","",IF(IFERROR(MATCH($D376,기본자료!$B$2:$B$1001,0),IFERROR(MATCH($D376&amp;"",기본자료!$B$2:$B$1001,0),IFERROR(MATCH(VALUE($D376),기본자료!$B$2:$B$1001,0),0)))&gt;0,"확인","미등록"))</f>
        <v/>
      </c>
      <c r="F376" s="27">
        <f>IF($C376="","",INDEX(인턴근무계획!$S$3:$S$402,$A376))</f>
        <v/>
      </c>
      <c r="G376" s="23">
        <f>IF(OR($C376="",$G$3=""),"",IF(INDEX(인턴근무계획!$M$3:$R$402,$A376,$G$3)&amp;""="","",IF(LEFT(INDEX(인턴근무계획!$M$3:$R$402,$A376,$G$3)&amp;"",1)="⚠",INDEX(인턴근무계획!$M$3:$R$402,$A376,$G$3)&amp;"",LEFT(INDEX(인턴근무계획!$M$3:$R$402,$A376,$G$3)&amp;"",FIND(" ",INDEX(인턴근무계획!$M$3:$R$402,$A376,$G$3)&amp;"")-1))))</f>
        <v/>
      </c>
      <c r="H376" s="23">
        <f>IF(OR($C376="",$G$3=""),"",IF(INDEX(인턴근무계획!$M$3:$R$402,$A376,$G$3)&amp;""="","",IF(LEFT(INDEX(인턴근무계획!$M$3:$R$402,$A376,$G$3)&amp;"",1)="⚠","",MID(INDEX(인턴근무계획!$M$3:$R$402,$A376,$G$3)&amp;"",FIND(" ",INDEX(인턴근무계획!$M$3:$R$402,$A376,$G$3)&amp;"")+1,60))))</f>
        <v/>
      </c>
      <c r="I376" s="23">
        <f>IF(OR($C376="",$I$3=""),"",IF(INDEX(인턴근무계획!$M$3:$R$402,$A376,$I$3)&amp;""="","",IF(LEFT(INDEX(인턴근무계획!$M$3:$R$402,$A376,$I$3)&amp;"",1)="⚠",INDEX(인턴근무계획!$M$3:$R$402,$A376,$I$3)&amp;"",LEFT(INDEX(인턴근무계획!$M$3:$R$402,$A376,$I$3)&amp;"",FIND(" ",INDEX(인턴근무계획!$M$3:$R$402,$A376,$I$3)&amp;"")-1))))</f>
        <v/>
      </c>
      <c r="J376" s="23">
        <f>IF(OR($C376="",$I$3=""),"",IF(INDEX(인턴근무계획!$M$3:$R$402,$A376,$I$3)&amp;""="","",IF(LEFT(INDEX(인턴근무계획!$M$3:$R$402,$A376,$I$3)&amp;"",1)="⚠","",MID(INDEX(인턴근무계획!$M$3:$R$402,$A376,$I$3)&amp;"",FIND(" ",INDEX(인턴근무계획!$M$3:$R$402,$A376,$I$3)&amp;"")+1,60))))</f>
        <v/>
      </c>
      <c r="K376" s="23">
        <f>IF($C376="","",INDEX(인턴근무계획!$M$3:$M$402,$A376)&amp;"")</f>
        <v/>
      </c>
      <c r="L376" s="23">
        <f>IF($C376="","",INDEX(인턴근무계획!$N$3:$N$402,$A376)&amp;"")</f>
        <v/>
      </c>
      <c r="M376" s="23">
        <f>IF($C376="","",INDEX(인턴근무계획!$O$3:$O$402,$A376)&amp;"")</f>
        <v/>
      </c>
      <c r="N376" s="23">
        <f>IF($C376="","",INDEX(인턴근무계획!$P$3:$P$402,$A376)&amp;"")</f>
        <v/>
      </c>
      <c r="O376" s="23">
        <f>IF($C376="","",INDEX(인턴근무계획!$Q$3:$Q$402,$A376)&amp;"")</f>
        <v/>
      </c>
      <c r="P376" s="23">
        <f>IF($C376="","",INDEX(인턴근무계획!$R$3:$R$402,$A376)&amp;"")</f>
        <v/>
      </c>
      <c r="Q376" s="23">
        <f>IF($C376="","",INDEX(인턴근무계획!$T$3:$T$402,$A376))</f>
        <v/>
      </c>
    </row>
    <row r="377">
      <c r="A377" s="26" t="n">
        <v>372</v>
      </c>
      <c r="B377" s="23">
        <f>IF($C377="","",INDEX(인턴근무계획!$B$3:$B$402,$A377))</f>
        <v/>
      </c>
      <c r="C377" s="23">
        <f>IFERROR(TRIM(INDEX(인턴근무계획!$C$3:$C$402,$A377)&amp;""),"")</f>
        <v/>
      </c>
      <c r="D377" s="23">
        <f>IF($C377="","",INDEX(인턴근무계획!$D$3:$D$402,$A377))</f>
        <v/>
      </c>
      <c r="E377" s="23">
        <f>IF($C377="","",IF(IFERROR(MATCH($D377,기본자료!$B$2:$B$1001,0),IFERROR(MATCH($D377&amp;"",기본자료!$B$2:$B$1001,0),IFERROR(MATCH(VALUE($D377),기본자료!$B$2:$B$1001,0),0)))&gt;0,"확인","미등록"))</f>
        <v/>
      </c>
      <c r="F377" s="27">
        <f>IF($C377="","",INDEX(인턴근무계획!$S$3:$S$402,$A377))</f>
        <v/>
      </c>
      <c r="G377" s="23">
        <f>IF(OR($C377="",$G$3=""),"",IF(INDEX(인턴근무계획!$M$3:$R$402,$A377,$G$3)&amp;""="","",IF(LEFT(INDEX(인턴근무계획!$M$3:$R$402,$A377,$G$3)&amp;"",1)="⚠",INDEX(인턴근무계획!$M$3:$R$402,$A377,$G$3)&amp;"",LEFT(INDEX(인턴근무계획!$M$3:$R$402,$A377,$G$3)&amp;"",FIND(" ",INDEX(인턴근무계획!$M$3:$R$402,$A377,$G$3)&amp;"")-1))))</f>
        <v/>
      </c>
      <c r="H377" s="23">
        <f>IF(OR($C377="",$G$3=""),"",IF(INDEX(인턴근무계획!$M$3:$R$402,$A377,$G$3)&amp;""="","",IF(LEFT(INDEX(인턴근무계획!$M$3:$R$402,$A377,$G$3)&amp;"",1)="⚠","",MID(INDEX(인턴근무계획!$M$3:$R$402,$A377,$G$3)&amp;"",FIND(" ",INDEX(인턴근무계획!$M$3:$R$402,$A377,$G$3)&amp;"")+1,60))))</f>
        <v/>
      </c>
      <c r="I377" s="23">
        <f>IF(OR($C377="",$I$3=""),"",IF(INDEX(인턴근무계획!$M$3:$R$402,$A377,$I$3)&amp;""="","",IF(LEFT(INDEX(인턴근무계획!$M$3:$R$402,$A377,$I$3)&amp;"",1)="⚠",INDEX(인턴근무계획!$M$3:$R$402,$A377,$I$3)&amp;"",LEFT(INDEX(인턴근무계획!$M$3:$R$402,$A377,$I$3)&amp;"",FIND(" ",INDEX(인턴근무계획!$M$3:$R$402,$A377,$I$3)&amp;"")-1))))</f>
        <v/>
      </c>
      <c r="J377" s="23">
        <f>IF(OR($C377="",$I$3=""),"",IF(INDEX(인턴근무계획!$M$3:$R$402,$A377,$I$3)&amp;""="","",IF(LEFT(INDEX(인턴근무계획!$M$3:$R$402,$A377,$I$3)&amp;"",1)="⚠","",MID(INDEX(인턴근무계획!$M$3:$R$402,$A377,$I$3)&amp;"",FIND(" ",INDEX(인턴근무계획!$M$3:$R$402,$A377,$I$3)&amp;"")+1,60))))</f>
        <v/>
      </c>
      <c r="K377" s="23">
        <f>IF($C377="","",INDEX(인턴근무계획!$M$3:$M$402,$A377)&amp;"")</f>
        <v/>
      </c>
      <c r="L377" s="23">
        <f>IF($C377="","",INDEX(인턴근무계획!$N$3:$N$402,$A377)&amp;"")</f>
        <v/>
      </c>
      <c r="M377" s="23">
        <f>IF($C377="","",INDEX(인턴근무계획!$O$3:$O$402,$A377)&amp;"")</f>
        <v/>
      </c>
      <c r="N377" s="23">
        <f>IF($C377="","",INDEX(인턴근무계획!$P$3:$P$402,$A377)&amp;"")</f>
        <v/>
      </c>
      <c r="O377" s="23">
        <f>IF($C377="","",INDEX(인턴근무계획!$Q$3:$Q$402,$A377)&amp;"")</f>
        <v/>
      </c>
      <c r="P377" s="23">
        <f>IF($C377="","",INDEX(인턴근무계획!$R$3:$R$402,$A377)&amp;"")</f>
        <v/>
      </c>
      <c r="Q377" s="23">
        <f>IF($C377="","",INDEX(인턴근무계획!$T$3:$T$402,$A377))</f>
        <v/>
      </c>
    </row>
    <row r="378">
      <c r="A378" s="26" t="n">
        <v>373</v>
      </c>
      <c r="B378" s="23">
        <f>IF($C378="","",INDEX(인턴근무계획!$B$3:$B$402,$A378))</f>
        <v/>
      </c>
      <c r="C378" s="23">
        <f>IFERROR(TRIM(INDEX(인턴근무계획!$C$3:$C$402,$A378)&amp;""),"")</f>
        <v/>
      </c>
      <c r="D378" s="23">
        <f>IF($C378="","",INDEX(인턴근무계획!$D$3:$D$402,$A378))</f>
        <v/>
      </c>
      <c r="E378" s="23">
        <f>IF($C378="","",IF(IFERROR(MATCH($D378,기본자료!$B$2:$B$1001,0),IFERROR(MATCH($D378&amp;"",기본자료!$B$2:$B$1001,0),IFERROR(MATCH(VALUE($D378),기본자료!$B$2:$B$1001,0),0)))&gt;0,"확인","미등록"))</f>
        <v/>
      </c>
      <c r="F378" s="27">
        <f>IF($C378="","",INDEX(인턴근무계획!$S$3:$S$402,$A378))</f>
        <v/>
      </c>
      <c r="G378" s="23">
        <f>IF(OR($C378="",$G$3=""),"",IF(INDEX(인턴근무계획!$M$3:$R$402,$A378,$G$3)&amp;""="","",IF(LEFT(INDEX(인턴근무계획!$M$3:$R$402,$A378,$G$3)&amp;"",1)="⚠",INDEX(인턴근무계획!$M$3:$R$402,$A378,$G$3)&amp;"",LEFT(INDEX(인턴근무계획!$M$3:$R$402,$A378,$G$3)&amp;"",FIND(" ",INDEX(인턴근무계획!$M$3:$R$402,$A378,$G$3)&amp;"")-1))))</f>
        <v/>
      </c>
      <c r="H378" s="23">
        <f>IF(OR($C378="",$G$3=""),"",IF(INDEX(인턴근무계획!$M$3:$R$402,$A378,$G$3)&amp;""="","",IF(LEFT(INDEX(인턴근무계획!$M$3:$R$402,$A378,$G$3)&amp;"",1)="⚠","",MID(INDEX(인턴근무계획!$M$3:$R$402,$A378,$G$3)&amp;"",FIND(" ",INDEX(인턴근무계획!$M$3:$R$402,$A378,$G$3)&amp;"")+1,60))))</f>
        <v/>
      </c>
      <c r="I378" s="23">
        <f>IF(OR($C378="",$I$3=""),"",IF(INDEX(인턴근무계획!$M$3:$R$402,$A378,$I$3)&amp;""="","",IF(LEFT(INDEX(인턴근무계획!$M$3:$R$402,$A378,$I$3)&amp;"",1)="⚠",INDEX(인턴근무계획!$M$3:$R$402,$A378,$I$3)&amp;"",LEFT(INDEX(인턴근무계획!$M$3:$R$402,$A378,$I$3)&amp;"",FIND(" ",INDEX(인턴근무계획!$M$3:$R$402,$A378,$I$3)&amp;"")-1))))</f>
        <v/>
      </c>
      <c r="J378" s="23">
        <f>IF(OR($C378="",$I$3=""),"",IF(INDEX(인턴근무계획!$M$3:$R$402,$A378,$I$3)&amp;""="","",IF(LEFT(INDEX(인턴근무계획!$M$3:$R$402,$A378,$I$3)&amp;"",1)="⚠","",MID(INDEX(인턴근무계획!$M$3:$R$402,$A378,$I$3)&amp;"",FIND(" ",INDEX(인턴근무계획!$M$3:$R$402,$A378,$I$3)&amp;"")+1,60))))</f>
        <v/>
      </c>
      <c r="K378" s="23">
        <f>IF($C378="","",INDEX(인턴근무계획!$M$3:$M$402,$A378)&amp;"")</f>
        <v/>
      </c>
      <c r="L378" s="23">
        <f>IF($C378="","",INDEX(인턴근무계획!$N$3:$N$402,$A378)&amp;"")</f>
        <v/>
      </c>
      <c r="M378" s="23">
        <f>IF($C378="","",INDEX(인턴근무계획!$O$3:$O$402,$A378)&amp;"")</f>
        <v/>
      </c>
      <c r="N378" s="23">
        <f>IF($C378="","",INDEX(인턴근무계획!$P$3:$P$402,$A378)&amp;"")</f>
        <v/>
      </c>
      <c r="O378" s="23">
        <f>IF($C378="","",INDEX(인턴근무계획!$Q$3:$Q$402,$A378)&amp;"")</f>
        <v/>
      </c>
      <c r="P378" s="23">
        <f>IF($C378="","",INDEX(인턴근무계획!$R$3:$R$402,$A378)&amp;"")</f>
        <v/>
      </c>
      <c r="Q378" s="23">
        <f>IF($C378="","",INDEX(인턴근무계획!$T$3:$T$402,$A378))</f>
        <v/>
      </c>
    </row>
    <row r="379">
      <c r="A379" s="26" t="n">
        <v>374</v>
      </c>
      <c r="B379" s="23">
        <f>IF($C379="","",INDEX(인턴근무계획!$B$3:$B$402,$A379))</f>
        <v/>
      </c>
      <c r="C379" s="23">
        <f>IFERROR(TRIM(INDEX(인턴근무계획!$C$3:$C$402,$A379)&amp;""),"")</f>
        <v/>
      </c>
      <c r="D379" s="23">
        <f>IF($C379="","",INDEX(인턴근무계획!$D$3:$D$402,$A379))</f>
        <v/>
      </c>
      <c r="E379" s="23">
        <f>IF($C379="","",IF(IFERROR(MATCH($D379,기본자료!$B$2:$B$1001,0),IFERROR(MATCH($D379&amp;"",기본자료!$B$2:$B$1001,0),IFERROR(MATCH(VALUE($D379),기본자료!$B$2:$B$1001,0),0)))&gt;0,"확인","미등록"))</f>
        <v/>
      </c>
      <c r="F379" s="27">
        <f>IF($C379="","",INDEX(인턴근무계획!$S$3:$S$402,$A379))</f>
        <v/>
      </c>
      <c r="G379" s="23">
        <f>IF(OR($C379="",$G$3=""),"",IF(INDEX(인턴근무계획!$M$3:$R$402,$A379,$G$3)&amp;""="","",IF(LEFT(INDEX(인턴근무계획!$M$3:$R$402,$A379,$G$3)&amp;"",1)="⚠",INDEX(인턴근무계획!$M$3:$R$402,$A379,$G$3)&amp;"",LEFT(INDEX(인턴근무계획!$M$3:$R$402,$A379,$G$3)&amp;"",FIND(" ",INDEX(인턴근무계획!$M$3:$R$402,$A379,$G$3)&amp;"")-1))))</f>
        <v/>
      </c>
      <c r="H379" s="23">
        <f>IF(OR($C379="",$G$3=""),"",IF(INDEX(인턴근무계획!$M$3:$R$402,$A379,$G$3)&amp;""="","",IF(LEFT(INDEX(인턴근무계획!$M$3:$R$402,$A379,$G$3)&amp;"",1)="⚠","",MID(INDEX(인턴근무계획!$M$3:$R$402,$A379,$G$3)&amp;"",FIND(" ",INDEX(인턴근무계획!$M$3:$R$402,$A379,$G$3)&amp;"")+1,60))))</f>
        <v/>
      </c>
      <c r="I379" s="23">
        <f>IF(OR($C379="",$I$3=""),"",IF(INDEX(인턴근무계획!$M$3:$R$402,$A379,$I$3)&amp;""="","",IF(LEFT(INDEX(인턴근무계획!$M$3:$R$402,$A379,$I$3)&amp;"",1)="⚠",INDEX(인턴근무계획!$M$3:$R$402,$A379,$I$3)&amp;"",LEFT(INDEX(인턴근무계획!$M$3:$R$402,$A379,$I$3)&amp;"",FIND(" ",INDEX(인턴근무계획!$M$3:$R$402,$A379,$I$3)&amp;"")-1))))</f>
        <v/>
      </c>
      <c r="J379" s="23">
        <f>IF(OR($C379="",$I$3=""),"",IF(INDEX(인턴근무계획!$M$3:$R$402,$A379,$I$3)&amp;""="","",IF(LEFT(INDEX(인턴근무계획!$M$3:$R$402,$A379,$I$3)&amp;"",1)="⚠","",MID(INDEX(인턴근무계획!$M$3:$R$402,$A379,$I$3)&amp;"",FIND(" ",INDEX(인턴근무계획!$M$3:$R$402,$A379,$I$3)&amp;"")+1,60))))</f>
        <v/>
      </c>
      <c r="K379" s="23">
        <f>IF($C379="","",INDEX(인턴근무계획!$M$3:$M$402,$A379)&amp;"")</f>
        <v/>
      </c>
      <c r="L379" s="23">
        <f>IF($C379="","",INDEX(인턴근무계획!$N$3:$N$402,$A379)&amp;"")</f>
        <v/>
      </c>
      <c r="M379" s="23">
        <f>IF($C379="","",INDEX(인턴근무계획!$O$3:$O$402,$A379)&amp;"")</f>
        <v/>
      </c>
      <c r="N379" s="23">
        <f>IF($C379="","",INDEX(인턴근무계획!$P$3:$P$402,$A379)&amp;"")</f>
        <v/>
      </c>
      <c r="O379" s="23">
        <f>IF($C379="","",INDEX(인턴근무계획!$Q$3:$Q$402,$A379)&amp;"")</f>
        <v/>
      </c>
      <c r="P379" s="23">
        <f>IF($C379="","",INDEX(인턴근무계획!$R$3:$R$402,$A379)&amp;"")</f>
        <v/>
      </c>
      <c r="Q379" s="23">
        <f>IF($C379="","",INDEX(인턴근무계획!$T$3:$T$402,$A379))</f>
        <v/>
      </c>
    </row>
    <row r="380">
      <c r="A380" s="26" t="n">
        <v>375</v>
      </c>
      <c r="B380" s="23">
        <f>IF($C380="","",INDEX(인턴근무계획!$B$3:$B$402,$A380))</f>
        <v/>
      </c>
      <c r="C380" s="23">
        <f>IFERROR(TRIM(INDEX(인턴근무계획!$C$3:$C$402,$A380)&amp;""),"")</f>
        <v/>
      </c>
      <c r="D380" s="23">
        <f>IF($C380="","",INDEX(인턴근무계획!$D$3:$D$402,$A380))</f>
        <v/>
      </c>
      <c r="E380" s="23">
        <f>IF($C380="","",IF(IFERROR(MATCH($D380,기본자료!$B$2:$B$1001,0),IFERROR(MATCH($D380&amp;"",기본자료!$B$2:$B$1001,0),IFERROR(MATCH(VALUE($D380),기본자료!$B$2:$B$1001,0),0)))&gt;0,"확인","미등록"))</f>
        <v/>
      </c>
      <c r="F380" s="27">
        <f>IF($C380="","",INDEX(인턴근무계획!$S$3:$S$402,$A380))</f>
        <v/>
      </c>
      <c r="G380" s="23">
        <f>IF(OR($C380="",$G$3=""),"",IF(INDEX(인턴근무계획!$M$3:$R$402,$A380,$G$3)&amp;""="","",IF(LEFT(INDEX(인턴근무계획!$M$3:$R$402,$A380,$G$3)&amp;"",1)="⚠",INDEX(인턴근무계획!$M$3:$R$402,$A380,$G$3)&amp;"",LEFT(INDEX(인턴근무계획!$M$3:$R$402,$A380,$G$3)&amp;"",FIND(" ",INDEX(인턴근무계획!$M$3:$R$402,$A380,$G$3)&amp;"")-1))))</f>
        <v/>
      </c>
      <c r="H380" s="23">
        <f>IF(OR($C380="",$G$3=""),"",IF(INDEX(인턴근무계획!$M$3:$R$402,$A380,$G$3)&amp;""="","",IF(LEFT(INDEX(인턴근무계획!$M$3:$R$402,$A380,$G$3)&amp;"",1)="⚠","",MID(INDEX(인턴근무계획!$M$3:$R$402,$A380,$G$3)&amp;"",FIND(" ",INDEX(인턴근무계획!$M$3:$R$402,$A380,$G$3)&amp;"")+1,60))))</f>
        <v/>
      </c>
      <c r="I380" s="23">
        <f>IF(OR($C380="",$I$3=""),"",IF(INDEX(인턴근무계획!$M$3:$R$402,$A380,$I$3)&amp;""="","",IF(LEFT(INDEX(인턴근무계획!$M$3:$R$402,$A380,$I$3)&amp;"",1)="⚠",INDEX(인턴근무계획!$M$3:$R$402,$A380,$I$3)&amp;"",LEFT(INDEX(인턴근무계획!$M$3:$R$402,$A380,$I$3)&amp;"",FIND(" ",INDEX(인턴근무계획!$M$3:$R$402,$A380,$I$3)&amp;"")-1))))</f>
        <v/>
      </c>
      <c r="J380" s="23">
        <f>IF(OR($C380="",$I$3=""),"",IF(INDEX(인턴근무계획!$M$3:$R$402,$A380,$I$3)&amp;""="","",IF(LEFT(INDEX(인턴근무계획!$M$3:$R$402,$A380,$I$3)&amp;"",1)="⚠","",MID(INDEX(인턴근무계획!$M$3:$R$402,$A380,$I$3)&amp;"",FIND(" ",INDEX(인턴근무계획!$M$3:$R$402,$A380,$I$3)&amp;"")+1,60))))</f>
        <v/>
      </c>
      <c r="K380" s="23">
        <f>IF($C380="","",INDEX(인턴근무계획!$M$3:$M$402,$A380)&amp;"")</f>
        <v/>
      </c>
      <c r="L380" s="23">
        <f>IF($C380="","",INDEX(인턴근무계획!$N$3:$N$402,$A380)&amp;"")</f>
        <v/>
      </c>
      <c r="M380" s="23">
        <f>IF($C380="","",INDEX(인턴근무계획!$O$3:$O$402,$A380)&amp;"")</f>
        <v/>
      </c>
      <c r="N380" s="23">
        <f>IF($C380="","",INDEX(인턴근무계획!$P$3:$P$402,$A380)&amp;"")</f>
        <v/>
      </c>
      <c r="O380" s="23">
        <f>IF($C380="","",INDEX(인턴근무계획!$Q$3:$Q$402,$A380)&amp;"")</f>
        <v/>
      </c>
      <c r="P380" s="23">
        <f>IF($C380="","",INDEX(인턴근무계획!$R$3:$R$402,$A380)&amp;"")</f>
        <v/>
      </c>
      <c r="Q380" s="23">
        <f>IF($C380="","",INDEX(인턴근무계획!$T$3:$T$402,$A380))</f>
        <v/>
      </c>
    </row>
    <row r="381">
      <c r="A381" s="26" t="n">
        <v>376</v>
      </c>
      <c r="B381" s="23">
        <f>IF($C381="","",INDEX(인턴근무계획!$B$3:$B$402,$A381))</f>
        <v/>
      </c>
      <c r="C381" s="23">
        <f>IFERROR(TRIM(INDEX(인턴근무계획!$C$3:$C$402,$A381)&amp;""),"")</f>
        <v/>
      </c>
      <c r="D381" s="23">
        <f>IF($C381="","",INDEX(인턴근무계획!$D$3:$D$402,$A381))</f>
        <v/>
      </c>
      <c r="E381" s="23">
        <f>IF($C381="","",IF(IFERROR(MATCH($D381,기본자료!$B$2:$B$1001,0),IFERROR(MATCH($D381&amp;"",기본자료!$B$2:$B$1001,0),IFERROR(MATCH(VALUE($D381),기본자료!$B$2:$B$1001,0),0)))&gt;0,"확인","미등록"))</f>
        <v/>
      </c>
      <c r="F381" s="27">
        <f>IF($C381="","",INDEX(인턴근무계획!$S$3:$S$402,$A381))</f>
        <v/>
      </c>
      <c r="G381" s="23">
        <f>IF(OR($C381="",$G$3=""),"",IF(INDEX(인턴근무계획!$M$3:$R$402,$A381,$G$3)&amp;""="","",IF(LEFT(INDEX(인턴근무계획!$M$3:$R$402,$A381,$G$3)&amp;"",1)="⚠",INDEX(인턴근무계획!$M$3:$R$402,$A381,$G$3)&amp;"",LEFT(INDEX(인턴근무계획!$M$3:$R$402,$A381,$G$3)&amp;"",FIND(" ",INDEX(인턴근무계획!$M$3:$R$402,$A381,$G$3)&amp;"")-1))))</f>
        <v/>
      </c>
      <c r="H381" s="23">
        <f>IF(OR($C381="",$G$3=""),"",IF(INDEX(인턴근무계획!$M$3:$R$402,$A381,$G$3)&amp;""="","",IF(LEFT(INDEX(인턴근무계획!$M$3:$R$402,$A381,$G$3)&amp;"",1)="⚠","",MID(INDEX(인턴근무계획!$M$3:$R$402,$A381,$G$3)&amp;"",FIND(" ",INDEX(인턴근무계획!$M$3:$R$402,$A381,$G$3)&amp;"")+1,60))))</f>
        <v/>
      </c>
      <c r="I381" s="23">
        <f>IF(OR($C381="",$I$3=""),"",IF(INDEX(인턴근무계획!$M$3:$R$402,$A381,$I$3)&amp;""="","",IF(LEFT(INDEX(인턴근무계획!$M$3:$R$402,$A381,$I$3)&amp;"",1)="⚠",INDEX(인턴근무계획!$M$3:$R$402,$A381,$I$3)&amp;"",LEFT(INDEX(인턴근무계획!$M$3:$R$402,$A381,$I$3)&amp;"",FIND(" ",INDEX(인턴근무계획!$M$3:$R$402,$A381,$I$3)&amp;"")-1))))</f>
        <v/>
      </c>
      <c r="J381" s="23">
        <f>IF(OR($C381="",$I$3=""),"",IF(INDEX(인턴근무계획!$M$3:$R$402,$A381,$I$3)&amp;""="","",IF(LEFT(INDEX(인턴근무계획!$M$3:$R$402,$A381,$I$3)&amp;"",1)="⚠","",MID(INDEX(인턴근무계획!$M$3:$R$402,$A381,$I$3)&amp;"",FIND(" ",INDEX(인턴근무계획!$M$3:$R$402,$A381,$I$3)&amp;"")+1,60))))</f>
        <v/>
      </c>
      <c r="K381" s="23">
        <f>IF($C381="","",INDEX(인턴근무계획!$M$3:$M$402,$A381)&amp;"")</f>
        <v/>
      </c>
      <c r="L381" s="23">
        <f>IF($C381="","",INDEX(인턴근무계획!$N$3:$N$402,$A381)&amp;"")</f>
        <v/>
      </c>
      <c r="M381" s="23">
        <f>IF($C381="","",INDEX(인턴근무계획!$O$3:$O$402,$A381)&amp;"")</f>
        <v/>
      </c>
      <c r="N381" s="23">
        <f>IF($C381="","",INDEX(인턴근무계획!$P$3:$P$402,$A381)&amp;"")</f>
        <v/>
      </c>
      <c r="O381" s="23">
        <f>IF($C381="","",INDEX(인턴근무계획!$Q$3:$Q$402,$A381)&amp;"")</f>
        <v/>
      </c>
      <c r="P381" s="23">
        <f>IF($C381="","",INDEX(인턴근무계획!$R$3:$R$402,$A381)&amp;"")</f>
        <v/>
      </c>
      <c r="Q381" s="23">
        <f>IF($C381="","",INDEX(인턴근무계획!$T$3:$T$402,$A381))</f>
        <v/>
      </c>
    </row>
    <row r="382">
      <c r="A382" s="26" t="n">
        <v>377</v>
      </c>
      <c r="B382" s="23">
        <f>IF($C382="","",INDEX(인턴근무계획!$B$3:$B$402,$A382))</f>
        <v/>
      </c>
      <c r="C382" s="23">
        <f>IFERROR(TRIM(INDEX(인턴근무계획!$C$3:$C$402,$A382)&amp;""),"")</f>
        <v/>
      </c>
      <c r="D382" s="23">
        <f>IF($C382="","",INDEX(인턴근무계획!$D$3:$D$402,$A382))</f>
        <v/>
      </c>
      <c r="E382" s="23">
        <f>IF($C382="","",IF(IFERROR(MATCH($D382,기본자료!$B$2:$B$1001,0),IFERROR(MATCH($D382&amp;"",기본자료!$B$2:$B$1001,0),IFERROR(MATCH(VALUE($D382),기본자료!$B$2:$B$1001,0),0)))&gt;0,"확인","미등록"))</f>
        <v/>
      </c>
      <c r="F382" s="27">
        <f>IF($C382="","",INDEX(인턴근무계획!$S$3:$S$402,$A382))</f>
        <v/>
      </c>
      <c r="G382" s="23">
        <f>IF(OR($C382="",$G$3=""),"",IF(INDEX(인턴근무계획!$M$3:$R$402,$A382,$G$3)&amp;""="","",IF(LEFT(INDEX(인턴근무계획!$M$3:$R$402,$A382,$G$3)&amp;"",1)="⚠",INDEX(인턴근무계획!$M$3:$R$402,$A382,$G$3)&amp;"",LEFT(INDEX(인턴근무계획!$M$3:$R$402,$A382,$G$3)&amp;"",FIND(" ",INDEX(인턴근무계획!$M$3:$R$402,$A382,$G$3)&amp;"")-1))))</f>
        <v/>
      </c>
      <c r="H382" s="23">
        <f>IF(OR($C382="",$G$3=""),"",IF(INDEX(인턴근무계획!$M$3:$R$402,$A382,$G$3)&amp;""="","",IF(LEFT(INDEX(인턴근무계획!$M$3:$R$402,$A382,$G$3)&amp;"",1)="⚠","",MID(INDEX(인턴근무계획!$M$3:$R$402,$A382,$G$3)&amp;"",FIND(" ",INDEX(인턴근무계획!$M$3:$R$402,$A382,$G$3)&amp;"")+1,60))))</f>
        <v/>
      </c>
      <c r="I382" s="23">
        <f>IF(OR($C382="",$I$3=""),"",IF(INDEX(인턴근무계획!$M$3:$R$402,$A382,$I$3)&amp;""="","",IF(LEFT(INDEX(인턴근무계획!$M$3:$R$402,$A382,$I$3)&amp;"",1)="⚠",INDEX(인턴근무계획!$M$3:$R$402,$A382,$I$3)&amp;"",LEFT(INDEX(인턴근무계획!$M$3:$R$402,$A382,$I$3)&amp;"",FIND(" ",INDEX(인턴근무계획!$M$3:$R$402,$A382,$I$3)&amp;"")-1))))</f>
        <v/>
      </c>
      <c r="J382" s="23">
        <f>IF(OR($C382="",$I$3=""),"",IF(INDEX(인턴근무계획!$M$3:$R$402,$A382,$I$3)&amp;""="","",IF(LEFT(INDEX(인턴근무계획!$M$3:$R$402,$A382,$I$3)&amp;"",1)="⚠","",MID(INDEX(인턴근무계획!$M$3:$R$402,$A382,$I$3)&amp;"",FIND(" ",INDEX(인턴근무계획!$M$3:$R$402,$A382,$I$3)&amp;"")+1,60))))</f>
        <v/>
      </c>
      <c r="K382" s="23">
        <f>IF($C382="","",INDEX(인턴근무계획!$M$3:$M$402,$A382)&amp;"")</f>
        <v/>
      </c>
      <c r="L382" s="23">
        <f>IF($C382="","",INDEX(인턴근무계획!$N$3:$N$402,$A382)&amp;"")</f>
        <v/>
      </c>
      <c r="M382" s="23">
        <f>IF($C382="","",INDEX(인턴근무계획!$O$3:$O$402,$A382)&amp;"")</f>
        <v/>
      </c>
      <c r="N382" s="23">
        <f>IF($C382="","",INDEX(인턴근무계획!$P$3:$P$402,$A382)&amp;"")</f>
        <v/>
      </c>
      <c r="O382" s="23">
        <f>IF($C382="","",INDEX(인턴근무계획!$Q$3:$Q$402,$A382)&amp;"")</f>
        <v/>
      </c>
      <c r="P382" s="23">
        <f>IF($C382="","",INDEX(인턴근무계획!$R$3:$R$402,$A382)&amp;"")</f>
        <v/>
      </c>
      <c r="Q382" s="23">
        <f>IF($C382="","",INDEX(인턴근무계획!$T$3:$T$402,$A382))</f>
        <v/>
      </c>
    </row>
    <row r="383">
      <c r="A383" s="26" t="n">
        <v>378</v>
      </c>
      <c r="B383" s="23">
        <f>IF($C383="","",INDEX(인턴근무계획!$B$3:$B$402,$A383))</f>
        <v/>
      </c>
      <c r="C383" s="23">
        <f>IFERROR(TRIM(INDEX(인턴근무계획!$C$3:$C$402,$A383)&amp;""),"")</f>
        <v/>
      </c>
      <c r="D383" s="23">
        <f>IF($C383="","",INDEX(인턴근무계획!$D$3:$D$402,$A383))</f>
        <v/>
      </c>
      <c r="E383" s="23">
        <f>IF($C383="","",IF(IFERROR(MATCH($D383,기본자료!$B$2:$B$1001,0),IFERROR(MATCH($D383&amp;"",기본자료!$B$2:$B$1001,0),IFERROR(MATCH(VALUE($D383),기본자료!$B$2:$B$1001,0),0)))&gt;0,"확인","미등록"))</f>
        <v/>
      </c>
      <c r="F383" s="27">
        <f>IF($C383="","",INDEX(인턴근무계획!$S$3:$S$402,$A383))</f>
        <v/>
      </c>
      <c r="G383" s="23">
        <f>IF(OR($C383="",$G$3=""),"",IF(INDEX(인턴근무계획!$M$3:$R$402,$A383,$G$3)&amp;""="","",IF(LEFT(INDEX(인턴근무계획!$M$3:$R$402,$A383,$G$3)&amp;"",1)="⚠",INDEX(인턴근무계획!$M$3:$R$402,$A383,$G$3)&amp;"",LEFT(INDEX(인턴근무계획!$M$3:$R$402,$A383,$G$3)&amp;"",FIND(" ",INDEX(인턴근무계획!$M$3:$R$402,$A383,$G$3)&amp;"")-1))))</f>
        <v/>
      </c>
      <c r="H383" s="23">
        <f>IF(OR($C383="",$G$3=""),"",IF(INDEX(인턴근무계획!$M$3:$R$402,$A383,$G$3)&amp;""="","",IF(LEFT(INDEX(인턴근무계획!$M$3:$R$402,$A383,$G$3)&amp;"",1)="⚠","",MID(INDEX(인턴근무계획!$M$3:$R$402,$A383,$G$3)&amp;"",FIND(" ",INDEX(인턴근무계획!$M$3:$R$402,$A383,$G$3)&amp;"")+1,60))))</f>
        <v/>
      </c>
      <c r="I383" s="23">
        <f>IF(OR($C383="",$I$3=""),"",IF(INDEX(인턴근무계획!$M$3:$R$402,$A383,$I$3)&amp;""="","",IF(LEFT(INDEX(인턴근무계획!$M$3:$R$402,$A383,$I$3)&amp;"",1)="⚠",INDEX(인턴근무계획!$M$3:$R$402,$A383,$I$3)&amp;"",LEFT(INDEX(인턴근무계획!$M$3:$R$402,$A383,$I$3)&amp;"",FIND(" ",INDEX(인턴근무계획!$M$3:$R$402,$A383,$I$3)&amp;"")-1))))</f>
        <v/>
      </c>
      <c r="J383" s="23">
        <f>IF(OR($C383="",$I$3=""),"",IF(INDEX(인턴근무계획!$M$3:$R$402,$A383,$I$3)&amp;""="","",IF(LEFT(INDEX(인턴근무계획!$M$3:$R$402,$A383,$I$3)&amp;"",1)="⚠","",MID(INDEX(인턴근무계획!$M$3:$R$402,$A383,$I$3)&amp;"",FIND(" ",INDEX(인턴근무계획!$M$3:$R$402,$A383,$I$3)&amp;"")+1,60))))</f>
        <v/>
      </c>
      <c r="K383" s="23">
        <f>IF($C383="","",INDEX(인턴근무계획!$M$3:$M$402,$A383)&amp;"")</f>
        <v/>
      </c>
      <c r="L383" s="23">
        <f>IF($C383="","",INDEX(인턴근무계획!$N$3:$N$402,$A383)&amp;"")</f>
        <v/>
      </c>
      <c r="M383" s="23">
        <f>IF($C383="","",INDEX(인턴근무계획!$O$3:$O$402,$A383)&amp;"")</f>
        <v/>
      </c>
      <c r="N383" s="23">
        <f>IF($C383="","",INDEX(인턴근무계획!$P$3:$P$402,$A383)&amp;"")</f>
        <v/>
      </c>
      <c r="O383" s="23">
        <f>IF($C383="","",INDEX(인턴근무계획!$Q$3:$Q$402,$A383)&amp;"")</f>
        <v/>
      </c>
      <c r="P383" s="23">
        <f>IF($C383="","",INDEX(인턴근무계획!$R$3:$R$402,$A383)&amp;"")</f>
        <v/>
      </c>
      <c r="Q383" s="23">
        <f>IF($C383="","",INDEX(인턴근무계획!$T$3:$T$402,$A383))</f>
        <v/>
      </c>
    </row>
    <row r="384">
      <c r="A384" s="26" t="n">
        <v>379</v>
      </c>
      <c r="B384" s="23">
        <f>IF($C384="","",INDEX(인턴근무계획!$B$3:$B$402,$A384))</f>
        <v/>
      </c>
      <c r="C384" s="23">
        <f>IFERROR(TRIM(INDEX(인턴근무계획!$C$3:$C$402,$A384)&amp;""),"")</f>
        <v/>
      </c>
      <c r="D384" s="23">
        <f>IF($C384="","",INDEX(인턴근무계획!$D$3:$D$402,$A384))</f>
        <v/>
      </c>
      <c r="E384" s="23">
        <f>IF($C384="","",IF(IFERROR(MATCH($D384,기본자료!$B$2:$B$1001,0),IFERROR(MATCH($D384&amp;"",기본자료!$B$2:$B$1001,0),IFERROR(MATCH(VALUE($D384),기본자료!$B$2:$B$1001,0),0)))&gt;0,"확인","미등록"))</f>
        <v/>
      </c>
      <c r="F384" s="27">
        <f>IF($C384="","",INDEX(인턴근무계획!$S$3:$S$402,$A384))</f>
        <v/>
      </c>
      <c r="G384" s="23">
        <f>IF(OR($C384="",$G$3=""),"",IF(INDEX(인턴근무계획!$M$3:$R$402,$A384,$G$3)&amp;""="","",IF(LEFT(INDEX(인턴근무계획!$M$3:$R$402,$A384,$G$3)&amp;"",1)="⚠",INDEX(인턴근무계획!$M$3:$R$402,$A384,$G$3)&amp;"",LEFT(INDEX(인턴근무계획!$M$3:$R$402,$A384,$G$3)&amp;"",FIND(" ",INDEX(인턴근무계획!$M$3:$R$402,$A384,$G$3)&amp;"")-1))))</f>
        <v/>
      </c>
      <c r="H384" s="23">
        <f>IF(OR($C384="",$G$3=""),"",IF(INDEX(인턴근무계획!$M$3:$R$402,$A384,$G$3)&amp;""="","",IF(LEFT(INDEX(인턴근무계획!$M$3:$R$402,$A384,$G$3)&amp;"",1)="⚠","",MID(INDEX(인턴근무계획!$M$3:$R$402,$A384,$G$3)&amp;"",FIND(" ",INDEX(인턴근무계획!$M$3:$R$402,$A384,$G$3)&amp;"")+1,60))))</f>
        <v/>
      </c>
      <c r="I384" s="23">
        <f>IF(OR($C384="",$I$3=""),"",IF(INDEX(인턴근무계획!$M$3:$R$402,$A384,$I$3)&amp;""="","",IF(LEFT(INDEX(인턴근무계획!$M$3:$R$402,$A384,$I$3)&amp;"",1)="⚠",INDEX(인턴근무계획!$M$3:$R$402,$A384,$I$3)&amp;"",LEFT(INDEX(인턴근무계획!$M$3:$R$402,$A384,$I$3)&amp;"",FIND(" ",INDEX(인턴근무계획!$M$3:$R$402,$A384,$I$3)&amp;"")-1))))</f>
        <v/>
      </c>
      <c r="J384" s="23">
        <f>IF(OR($C384="",$I$3=""),"",IF(INDEX(인턴근무계획!$M$3:$R$402,$A384,$I$3)&amp;""="","",IF(LEFT(INDEX(인턴근무계획!$M$3:$R$402,$A384,$I$3)&amp;"",1)="⚠","",MID(INDEX(인턴근무계획!$M$3:$R$402,$A384,$I$3)&amp;"",FIND(" ",INDEX(인턴근무계획!$M$3:$R$402,$A384,$I$3)&amp;"")+1,60))))</f>
        <v/>
      </c>
      <c r="K384" s="23">
        <f>IF($C384="","",INDEX(인턴근무계획!$M$3:$M$402,$A384)&amp;"")</f>
        <v/>
      </c>
      <c r="L384" s="23">
        <f>IF($C384="","",INDEX(인턴근무계획!$N$3:$N$402,$A384)&amp;"")</f>
        <v/>
      </c>
      <c r="M384" s="23">
        <f>IF($C384="","",INDEX(인턴근무계획!$O$3:$O$402,$A384)&amp;"")</f>
        <v/>
      </c>
      <c r="N384" s="23">
        <f>IF($C384="","",INDEX(인턴근무계획!$P$3:$P$402,$A384)&amp;"")</f>
        <v/>
      </c>
      <c r="O384" s="23">
        <f>IF($C384="","",INDEX(인턴근무계획!$Q$3:$Q$402,$A384)&amp;"")</f>
        <v/>
      </c>
      <c r="P384" s="23">
        <f>IF($C384="","",INDEX(인턴근무계획!$R$3:$R$402,$A384)&amp;"")</f>
        <v/>
      </c>
      <c r="Q384" s="23">
        <f>IF($C384="","",INDEX(인턴근무계획!$T$3:$T$402,$A384))</f>
        <v/>
      </c>
    </row>
    <row r="385">
      <c r="A385" s="26" t="n">
        <v>380</v>
      </c>
      <c r="B385" s="23">
        <f>IF($C385="","",INDEX(인턴근무계획!$B$3:$B$402,$A385))</f>
        <v/>
      </c>
      <c r="C385" s="23">
        <f>IFERROR(TRIM(INDEX(인턴근무계획!$C$3:$C$402,$A385)&amp;""),"")</f>
        <v/>
      </c>
      <c r="D385" s="23">
        <f>IF($C385="","",INDEX(인턴근무계획!$D$3:$D$402,$A385))</f>
        <v/>
      </c>
      <c r="E385" s="23">
        <f>IF($C385="","",IF(IFERROR(MATCH($D385,기본자료!$B$2:$B$1001,0),IFERROR(MATCH($D385&amp;"",기본자료!$B$2:$B$1001,0),IFERROR(MATCH(VALUE($D385),기본자료!$B$2:$B$1001,0),0)))&gt;0,"확인","미등록"))</f>
        <v/>
      </c>
      <c r="F385" s="27">
        <f>IF($C385="","",INDEX(인턴근무계획!$S$3:$S$402,$A385))</f>
        <v/>
      </c>
      <c r="G385" s="23">
        <f>IF(OR($C385="",$G$3=""),"",IF(INDEX(인턴근무계획!$M$3:$R$402,$A385,$G$3)&amp;""="","",IF(LEFT(INDEX(인턴근무계획!$M$3:$R$402,$A385,$G$3)&amp;"",1)="⚠",INDEX(인턴근무계획!$M$3:$R$402,$A385,$G$3)&amp;"",LEFT(INDEX(인턴근무계획!$M$3:$R$402,$A385,$G$3)&amp;"",FIND(" ",INDEX(인턴근무계획!$M$3:$R$402,$A385,$G$3)&amp;"")-1))))</f>
        <v/>
      </c>
      <c r="H385" s="23">
        <f>IF(OR($C385="",$G$3=""),"",IF(INDEX(인턴근무계획!$M$3:$R$402,$A385,$G$3)&amp;""="","",IF(LEFT(INDEX(인턴근무계획!$M$3:$R$402,$A385,$G$3)&amp;"",1)="⚠","",MID(INDEX(인턴근무계획!$M$3:$R$402,$A385,$G$3)&amp;"",FIND(" ",INDEX(인턴근무계획!$M$3:$R$402,$A385,$G$3)&amp;"")+1,60))))</f>
        <v/>
      </c>
      <c r="I385" s="23">
        <f>IF(OR($C385="",$I$3=""),"",IF(INDEX(인턴근무계획!$M$3:$R$402,$A385,$I$3)&amp;""="","",IF(LEFT(INDEX(인턴근무계획!$M$3:$R$402,$A385,$I$3)&amp;"",1)="⚠",INDEX(인턴근무계획!$M$3:$R$402,$A385,$I$3)&amp;"",LEFT(INDEX(인턴근무계획!$M$3:$R$402,$A385,$I$3)&amp;"",FIND(" ",INDEX(인턴근무계획!$M$3:$R$402,$A385,$I$3)&amp;"")-1))))</f>
        <v/>
      </c>
      <c r="J385" s="23">
        <f>IF(OR($C385="",$I$3=""),"",IF(INDEX(인턴근무계획!$M$3:$R$402,$A385,$I$3)&amp;""="","",IF(LEFT(INDEX(인턴근무계획!$M$3:$R$402,$A385,$I$3)&amp;"",1)="⚠","",MID(INDEX(인턴근무계획!$M$3:$R$402,$A385,$I$3)&amp;"",FIND(" ",INDEX(인턴근무계획!$M$3:$R$402,$A385,$I$3)&amp;"")+1,60))))</f>
        <v/>
      </c>
      <c r="K385" s="23">
        <f>IF($C385="","",INDEX(인턴근무계획!$M$3:$M$402,$A385)&amp;"")</f>
        <v/>
      </c>
      <c r="L385" s="23">
        <f>IF($C385="","",INDEX(인턴근무계획!$N$3:$N$402,$A385)&amp;"")</f>
        <v/>
      </c>
      <c r="M385" s="23">
        <f>IF($C385="","",INDEX(인턴근무계획!$O$3:$O$402,$A385)&amp;"")</f>
        <v/>
      </c>
      <c r="N385" s="23">
        <f>IF($C385="","",INDEX(인턴근무계획!$P$3:$P$402,$A385)&amp;"")</f>
        <v/>
      </c>
      <c r="O385" s="23">
        <f>IF($C385="","",INDEX(인턴근무계획!$Q$3:$Q$402,$A385)&amp;"")</f>
        <v/>
      </c>
      <c r="P385" s="23">
        <f>IF($C385="","",INDEX(인턴근무계획!$R$3:$R$402,$A385)&amp;"")</f>
        <v/>
      </c>
      <c r="Q385" s="23">
        <f>IF($C385="","",INDEX(인턴근무계획!$T$3:$T$402,$A385))</f>
        <v/>
      </c>
    </row>
    <row r="386">
      <c r="A386" s="26" t="n">
        <v>381</v>
      </c>
      <c r="B386" s="23">
        <f>IF($C386="","",INDEX(인턴근무계획!$B$3:$B$402,$A386))</f>
        <v/>
      </c>
      <c r="C386" s="23">
        <f>IFERROR(TRIM(INDEX(인턴근무계획!$C$3:$C$402,$A386)&amp;""),"")</f>
        <v/>
      </c>
      <c r="D386" s="23">
        <f>IF($C386="","",INDEX(인턴근무계획!$D$3:$D$402,$A386))</f>
        <v/>
      </c>
      <c r="E386" s="23">
        <f>IF($C386="","",IF(IFERROR(MATCH($D386,기본자료!$B$2:$B$1001,0),IFERROR(MATCH($D386&amp;"",기본자료!$B$2:$B$1001,0),IFERROR(MATCH(VALUE($D386),기본자료!$B$2:$B$1001,0),0)))&gt;0,"확인","미등록"))</f>
        <v/>
      </c>
      <c r="F386" s="27">
        <f>IF($C386="","",INDEX(인턴근무계획!$S$3:$S$402,$A386))</f>
        <v/>
      </c>
      <c r="G386" s="23">
        <f>IF(OR($C386="",$G$3=""),"",IF(INDEX(인턴근무계획!$M$3:$R$402,$A386,$G$3)&amp;""="","",IF(LEFT(INDEX(인턴근무계획!$M$3:$R$402,$A386,$G$3)&amp;"",1)="⚠",INDEX(인턴근무계획!$M$3:$R$402,$A386,$G$3)&amp;"",LEFT(INDEX(인턴근무계획!$M$3:$R$402,$A386,$G$3)&amp;"",FIND(" ",INDEX(인턴근무계획!$M$3:$R$402,$A386,$G$3)&amp;"")-1))))</f>
        <v/>
      </c>
      <c r="H386" s="23">
        <f>IF(OR($C386="",$G$3=""),"",IF(INDEX(인턴근무계획!$M$3:$R$402,$A386,$G$3)&amp;""="","",IF(LEFT(INDEX(인턴근무계획!$M$3:$R$402,$A386,$G$3)&amp;"",1)="⚠","",MID(INDEX(인턴근무계획!$M$3:$R$402,$A386,$G$3)&amp;"",FIND(" ",INDEX(인턴근무계획!$M$3:$R$402,$A386,$G$3)&amp;"")+1,60))))</f>
        <v/>
      </c>
      <c r="I386" s="23">
        <f>IF(OR($C386="",$I$3=""),"",IF(INDEX(인턴근무계획!$M$3:$R$402,$A386,$I$3)&amp;""="","",IF(LEFT(INDEX(인턴근무계획!$M$3:$R$402,$A386,$I$3)&amp;"",1)="⚠",INDEX(인턴근무계획!$M$3:$R$402,$A386,$I$3)&amp;"",LEFT(INDEX(인턴근무계획!$M$3:$R$402,$A386,$I$3)&amp;"",FIND(" ",INDEX(인턴근무계획!$M$3:$R$402,$A386,$I$3)&amp;"")-1))))</f>
        <v/>
      </c>
      <c r="J386" s="23">
        <f>IF(OR($C386="",$I$3=""),"",IF(INDEX(인턴근무계획!$M$3:$R$402,$A386,$I$3)&amp;""="","",IF(LEFT(INDEX(인턴근무계획!$M$3:$R$402,$A386,$I$3)&amp;"",1)="⚠","",MID(INDEX(인턴근무계획!$M$3:$R$402,$A386,$I$3)&amp;"",FIND(" ",INDEX(인턴근무계획!$M$3:$R$402,$A386,$I$3)&amp;"")+1,60))))</f>
        <v/>
      </c>
      <c r="K386" s="23">
        <f>IF($C386="","",INDEX(인턴근무계획!$M$3:$M$402,$A386)&amp;"")</f>
        <v/>
      </c>
      <c r="L386" s="23">
        <f>IF($C386="","",INDEX(인턴근무계획!$N$3:$N$402,$A386)&amp;"")</f>
        <v/>
      </c>
      <c r="M386" s="23">
        <f>IF($C386="","",INDEX(인턴근무계획!$O$3:$O$402,$A386)&amp;"")</f>
        <v/>
      </c>
      <c r="N386" s="23">
        <f>IF($C386="","",INDEX(인턴근무계획!$P$3:$P$402,$A386)&amp;"")</f>
        <v/>
      </c>
      <c r="O386" s="23">
        <f>IF($C386="","",INDEX(인턴근무계획!$Q$3:$Q$402,$A386)&amp;"")</f>
        <v/>
      </c>
      <c r="P386" s="23">
        <f>IF($C386="","",INDEX(인턴근무계획!$R$3:$R$402,$A386)&amp;"")</f>
        <v/>
      </c>
      <c r="Q386" s="23">
        <f>IF($C386="","",INDEX(인턴근무계획!$T$3:$T$402,$A386))</f>
        <v/>
      </c>
    </row>
    <row r="387">
      <c r="A387" s="26" t="n">
        <v>382</v>
      </c>
      <c r="B387" s="23">
        <f>IF($C387="","",INDEX(인턴근무계획!$B$3:$B$402,$A387))</f>
        <v/>
      </c>
      <c r="C387" s="23">
        <f>IFERROR(TRIM(INDEX(인턴근무계획!$C$3:$C$402,$A387)&amp;""),"")</f>
        <v/>
      </c>
      <c r="D387" s="23">
        <f>IF($C387="","",INDEX(인턴근무계획!$D$3:$D$402,$A387))</f>
        <v/>
      </c>
      <c r="E387" s="23">
        <f>IF($C387="","",IF(IFERROR(MATCH($D387,기본자료!$B$2:$B$1001,0),IFERROR(MATCH($D387&amp;"",기본자료!$B$2:$B$1001,0),IFERROR(MATCH(VALUE($D387),기본자료!$B$2:$B$1001,0),0)))&gt;0,"확인","미등록"))</f>
        <v/>
      </c>
      <c r="F387" s="27">
        <f>IF($C387="","",INDEX(인턴근무계획!$S$3:$S$402,$A387))</f>
        <v/>
      </c>
      <c r="G387" s="23">
        <f>IF(OR($C387="",$G$3=""),"",IF(INDEX(인턴근무계획!$M$3:$R$402,$A387,$G$3)&amp;""="","",IF(LEFT(INDEX(인턴근무계획!$M$3:$R$402,$A387,$G$3)&amp;"",1)="⚠",INDEX(인턴근무계획!$M$3:$R$402,$A387,$G$3)&amp;"",LEFT(INDEX(인턴근무계획!$M$3:$R$402,$A387,$G$3)&amp;"",FIND(" ",INDEX(인턴근무계획!$M$3:$R$402,$A387,$G$3)&amp;"")-1))))</f>
        <v/>
      </c>
      <c r="H387" s="23">
        <f>IF(OR($C387="",$G$3=""),"",IF(INDEX(인턴근무계획!$M$3:$R$402,$A387,$G$3)&amp;""="","",IF(LEFT(INDEX(인턴근무계획!$M$3:$R$402,$A387,$G$3)&amp;"",1)="⚠","",MID(INDEX(인턴근무계획!$M$3:$R$402,$A387,$G$3)&amp;"",FIND(" ",INDEX(인턴근무계획!$M$3:$R$402,$A387,$G$3)&amp;"")+1,60))))</f>
        <v/>
      </c>
      <c r="I387" s="23">
        <f>IF(OR($C387="",$I$3=""),"",IF(INDEX(인턴근무계획!$M$3:$R$402,$A387,$I$3)&amp;""="","",IF(LEFT(INDEX(인턴근무계획!$M$3:$R$402,$A387,$I$3)&amp;"",1)="⚠",INDEX(인턴근무계획!$M$3:$R$402,$A387,$I$3)&amp;"",LEFT(INDEX(인턴근무계획!$M$3:$R$402,$A387,$I$3)&amp;"",FIND(" ",INDEX(인턴근무계획!$M$3:$R$402,$A387,$I$3)&amp;"")-1))))</f>
        <v/>
      </c>
      <c r="J387" s="23">
        <f>IF(OR($C387="",$I$3=""),"",IF(INDEX(인턴근무계획!$M$3:$R$402,$A387,$I$3)&amp;""="","",IF(LEFT(INDEX(인턴근무계획!$M$3:$R$402,$A387,$I$3)&amp;"",1)="⚠","",MID(INDEX(인턴근무계획!$M$3:$R$402,$A387,$I$3)&amp;"",FIND(" ",INDEX(인턴근무계획!$M$3:$R$402,$A387,$I$3)&amp;"")+1,60))))</f>
        <v/>
      </c>
      <c r="K387" s="23">
        <f>IF($C387="","",INDEX(인턴근무계획!$M$3:$M$402,$A387)&amp;"")</f>
        <v/>
      </c>
      <c r="L387" s="23">
        <f>IF($C387="","",INDEX(인턴근무계획!$N$3:$N$402,$A387)&amp;"")</f>
        <v/>
      </c>
      <c r="M387" s="23">
        <f>IF($C387="","",INDEX(인턴근무계획!$O$3:$O$402,$A387)&amp;"")</f>
        <v/>
      </c>
      <c r="N387" s="23">
        <f>IF($C387="","",INDEX(인턴근무계획!$P$3:$P$402,$A387)&amp;"")</f>
        <v/>
      </c>
      <c r="O387" s="23">
        <f>IF($C387="","",INDEX(인턴근무계획!$Q$3:$Q$402,$A387)&amp;"")</f>
        <v/>
      </c>
      <c r="P387" s="23">
        <f>IF($C387="","",INDEX(인턴근무계획!$R$3:$R$402,$A387)&amp;"")</f>
        <v/>
      </c>
      <c r="Q387" s="23">
        <f>IF($C387="","",INDEX(인턴근무계획!$T$3:$T$402,$A387))</f>
        <v/>
      </c>
    </row>
    <row r="388">
      <c r="A388" s="26" t="n">
        <v>383</v>
      </c>
      <c r="B388" s="23">
        <f>IF($C388="","",INDEX(인턴근무계획!$B$3:$B$402,$A388))</f>
        <v/>
      </c>
      <c r="C388" s="23">
        <f>IFERROR(TRIM(INDEX(인턴근무계획!$C$3:$C$402,$A388)&amp;""),"")</f>
        <v/>
      </c>
      <c r="D388" s="23">
        <f>IF($C388="","",INDEX(인턴근무계획!$D$3:$D$402,$A388))</f>
        <v/>
      </c>
      <c r="E388" s="23">
        <f>IF($C388="","",IF(IFERROR(MATCH($D388,기본자료!$B$2:$B$1001,0),IFERROR(MATCH($D388&amp;"",기본자료!$B$2:$B$1001,0),IFERROR(MATCH(VALUE($D388),기본자료!$B$2:$B$1001,0),0)))&gt;0,"확인","미등록"))</f>
        <v/>
      </c>
      <c r="F388" s="27">
        <f>IF($C388="","",INDEX(인턴근무계획!$S$3:$S$402,$A388))</f>
        <v/>
      </c>
      <c r="G388" s="23">
        <f>IF(OR($C388="",$G$3=""),"",IF(INDEX(인턴근무계획!$M$3:$R$402,$A388,$G$3)&amp;""="","",IF(LEFT(INDEX(인턴근무계획!$M$3:$R$402,$A388,$G$3)&amp;"",1)="⚠",INDEX(인턴근무계획!$M$3:$R$402,$A388,$G$3)&amp;"",LEFT(INDEX(인턴근무계획!$M$3:$R$402,$A388,$G$3)&amp;"",FIND(" ",INDEX(인턴근무계획!$M$3:$R$402,$A388,$G$3)&amp;"")-1))))</f>
        <v/>
      </c>
      <c r="H388" s="23">
        <f>IF(OR($C388="",$G$3=""),"",IF(INDEX(인턴근무계획!$M$3:$R$402,$A388,$G$3)&amp;""="","",IF(LEFT(INDEX(인턴근무계획!$M$3:$R$402,$A388,$G$3)&amp;"",1)="⚠","",MID(INDEX(인턴근무계획!$M$3:$R$402,$A388,$G$3)&amp;"",FIND(" ",INDEX(인턴근무계획!$M$3:$R$402,$A388,$G$3)&amp;"")+1,60))))</f>
        <v/>
      </c>
      <c r="I388" s="23">
        <f>IF(OR($C388="",$I$3=""),"",IF(INDEX(인턴근무계획!$M$3:$R$402,$A388,$I$3)&amp;""="","",IF(LEFT(INDEX(인턴근무계획!$M$3:$R$402,$A388,$I$3)&amp;"",1)="⚠",INDEX(인턴근무계획!$M$3:$R$402,$A388,$I$3)&amp;"",LEFT(INDEX(인턴근무계획!$M$3:$R$402,$A388,$I$3)&amp;"",FIND(" ",INDEX(인턴근무계획!$M$3:$R$402,$A388,$I$3)&amp;"")-1))))</f>
        <v/>
      </c>
      <c r="J388" s="23">
        <f>IF(OR($C388="",$I$3=""),"",IF(INDEX(인턴근무계획!$M$3:$R$402,$A388,$I$3)&amp;""="","",IF(LEFT(INDEX(인턴근무계획!$M$3:$R$402,$A388,$I$3)&amp;"",1)="⚠","",MID(INDEX(인턴근무계획!$M$3:$R$402,$A388,$I$3)&amp;"",FIND(" ",INDEX(인턴근무계획!$M$3:$R$402,$A388,$I$3)&amp;"")+1,60))))</f>
        <v/>
      </c>
      <c r="K388" s="23">
        <f>IF($C388="","",INDEX(인턴근무계획!$M$3:$M$402,$A388)&amp;"")</f>
        <v/>
      </c>
      <c r="L388" s="23">
        <f>IF($C388="","",INDEX(인턴근무계획!$N$3:$N$402,$A388)&amp;"")</f>
        <v/>
      </c>
      <c r="M388" s="23">
        <f>IF($C388="","",INDEX(인턴근무계획!$O$3:$O$402,$A388)&amp;"")</f>
        <v/>
      </c>
      <c r="N388" s="23">
        <f>IF($C388="","",INDEX(인턴근무계획!$P$3:$P$402,$A388)&amp;"")</f>
        <v/>
      </c>
      <c r="O388" s="23">
        <f>IF($C388="","",INDEX(인턴근무계획!$Q$3:$Q$402,$A388)&amp;"")</f>
        <v/>
      </c>
      <c r="P388" s="23">
        <f>IF($C388="","",INDEX(인턴근무계획!$R$3:$R$402,$A388)&amp;"")</f>
        <v/>
      </c>
      <c r="Q388" s="23">
        <f>IF($C388="","",INDEX(인턴근무계획!$T$3:$T$402,$A388))</f>
        <v/>
      </c>
    </row>
    <row r="389">
      <c r="A389" s="26" t="n">
        <v>384</v>
      </c>
      <c r="B389" s="23">
        <f>IF($C389="","",INDEX(인턴근무계획!$B$3:$B$402,$A389))</f>
        <v/>
      </c>
      <c r="C389" s="23">
        <f>IFERROR(TRIM(INDEX(인턴근무계획!$C$3:$C$402,$A389)&amp;""),"")</f>
        <v/>
      </c>
      <c r="D389" s="23">
        <f>IF($C389="","",INDEX(인턴근무계획!$D$3:$D$402,$A389))</f>
        <v/>
      </c>
      <c r="E389" s="23">
        <f>IF($C389="","",IF(IFERROR(MATCH($D389,기본자료!$B$2:$B$1001,0),IFERROR(MATCH($D389&amp;"",기본자료!$B$2:$B$1001,0),IFERROR(MATCH(VALUE($D389),기본자료!$B$2:$B$1001,0),0)))&gt;0,"확인","미등록"))</f>
        <v/>
      </c>
      <c r="F389" s="27">
        <f>IF($C389="","",INDEX(인턴근무계획!$S$3:$S$402,$A389))</f>
        <v/>
      </c>
      <c r="G389" s="23">
        <f>IF(OR($C389="",$G$3=""),"",IF(INDEX(인턴근무계획!$M$3:$R$402,$A389,$G$3)&amp;""="","",IF(LEFT(INDEX(인턴근무계획!$M$3:$R$402,$A389,$G$3)&amp;"",1)="⚠",INDEX(인턴근무계획!$M$3:$R$402,$A389,$G$3)&amp;"",LEFT(INDEX(인턴근무계획!$M$3:$R$402,$A389,$G$3)&amp;"",FIND(" ",INDEX(인턴근무계획!$M$3:$R$402,$A389,$G$3)&amp;"")-1))))</f>
        <v/>
      </c>
      <c r="H389" s="23">
        <f>IF(OR($C389="",$G$3=""),"",IF(INDEX(인턴근무계획!$M$3:$R$402,$A389,$G$3)&amp;""="","",IF(LEFT(INDEX(인턴근무계획!$M$3:$R$402,$A389,$G$3)&amp;"",1)="⚠","",MID(INDEX(인턴근무계획!$M$3:$R$402,$A389,$G$3)&amp;"",FIND(" ",INDEX(인턴근무계획!$M$3:$R$402,$A389,$G$3)&amp;"")+1,60))))</f>
        <v/>
      </c>
      <c r="I389" s="23">
        <f>IF(OR($C389="",$I$3=""),"",IF(INDEX(인턴근무계획!$M$3:$R$402,$A389,$I$3)&amp;""="","",IF(LEFT(INDEX(인턴근무계획!$M$3:$R$402,$A389,$I$3)&amp;"",1)="⚠",INDEX(인턴근무계획!$M$3:$R$402,$A389,$I$3)&amp;"",LEFT(INDEX(인턴근무계획!$M$3:$R$402,$A389,$I$3)&amp;"",FIND(" ",INDEX(인턴근무계획!$M$3:$R$402,$A389,$I$3)&amp;"")-1))))</f>
        <v/>
      </c>
      <c r="J389" s="23">
        <f>IF(OR($C389="",$I$3=""),"",IF(INDEX(인턴근무계획!$M$3:$R$402,$A389,$I$3)&amp;""="","",IF(LEFT(INDEX(인턴근무계획!$M$3:$R$402,$A389,$I$3)&amp;"",1)="⚠","",MID(INDEX(인턴근무계획!$M$3:$R$402,$A389,$I$3)&amp;"",FIND(" ",INDEX(인턴근무계획!$M$3:$R$402,$A389,$I$3)&amp;"")+1,60))))</f>
        <v/>
      </c>
      <c r="K389" s="23">
        <f>IF($C389="","",INDEX(인턴근무계획!$M$3:$M$402,$A389)&amp;"")</f>
        <v/>
      </c>
      <c r="L389" s="23">
        <f>IF($C389="","",INDEX(인턴근무계획!$N$3:$N$402,$A389)&amp;"")</f>
        <v/>
      </c>
      <c r="M389" s="23">
        <f>IF($C389="","",INDEX(인턴근무계획!$O$3:$O$402,$A389)&amp;"")</f>
        <v/>
      </c>
      <c r="N389" s="23">
        <f>IF($C389="","",INDEX(인턴근무계획!$P$3:$P$402,$A389)&amp;"")</f>
        <v/>
      </c>
      <c r="O389" s="23">
        <f>IF($C389="","",INDEX(인턴근무계획!$Q$3:$Q$402,$A389)&amp;"")</f>
        <v/>
      </c>
      <c r="P389" s="23">
        <f>IF($C389="","",INDEX(인턴근무계획!$R$3:$R$402,$A389)&amp;"")</f>
        <v/>
      </c>
      <c r="Q389" s="23">
        <f>IF($C389="","",INDEX(인턴근무계획!$T$3:$T$402,$A389))</f>
        <v/>
      </c>
    </row>
    <row r="390">
      <c r="A390" s="26" t="n">
        <v>385</v>
      </c>
      <c r="B390" s="23">
        <f>IF($C390="","",INDEX(인턴근무계획!$B$3:$B$402,$A390))</f>
        <v/>
      </c>
      <c r="C390" s="23">
        <f>IFERROR(TRIM(INDEX(인턴근무계획!$C$3:$C$402,$A390)&amp;""),"")</f>
        <v/>
      </c>
      <c r="D390" s="23">
        <f>IF($C390="","",INDEX(인턴근무계획!$D$3:$D$402,$A390))</f>
        <v/>
      </c>
      <c r="E390" s="23">
        <f>IF($C390="","",IF(IFERROR(MATCH($D390,기본자료!$B$2:$B$1001,0),IFERROR(MATCH($D390&amp;"",기본자료!$B$2:$B$1001,0),IFERROR(MATCH(VALUE($D390),기본자료!$B$2:$B$1001,0),0)))&gt;0,"확인","미등록"))</f>
        <v/>
      </c>
      <c r="F390" s="27">
        <f>IF($C390="","",INDEX(인턴근무계획!$S$3:$S$402,$A390))</f>
        <v/>
      </c>
      <c r="G390" s="23">
        <f>IF(OR($C390="",$G$3=""),"",IF(INDEX(인턴근무계획!$M$3:$R$402,$A390,$G$3)&amp;""="","",IF(LEFT(INDEX(인턴근무계획!$M$3:$R$402,$A390,$G$3)&amp;"",1)="⚠",INDEX(인턴근무계획!$M$3:$R$402,$A390,$G$3)&amp;"",LEFT(INDEX(인턴근무계획!$M$3:$R$402,$A390,$G$3)&amp;"",FIND(" ",INDEX(인턴근무계획!$M$3:$R$402,$A390,$G$3)&amp;"")-1))))</f>
        <v/>
      </c>
      <c r="H390" s="23">
        <f>IF(OR($C390="",$G$3=""),"",IF(INDEX(인턴근무계획!$M$3:$R$402,$A390,$G$3)&amp;""="","",IF(LEFT(INDEX(인턴근무계획!$M$3:$R$402,$A390,$G$3)&amp;"",1)="⚠","",MID(INDEX(인턴근무계획!$M$3:$R$402,$A390,$G$3)&amp;"",FIND(" ",INDEX(인턴근무계획!$M$3:$R$402,$A390,$G$3)&amp;"")+1,60))))</f>
        <v/>
      </c>
      <c r="I390" s="23">
        <f>IF(OR($C390="",$I$3=""),"",IF(INDEX(인턴근무계획!$M$3:$R$402,$A390,$I$3)&amp;""="","",IF(LEFT(INDEX(인턴근무계획!$M$3:$R$402,$A390,$I$3)&amp;"",1)="⚠",INDEX(인턴근무계획!$M$3:$R$402,$A390,$I$3)&amp;"",LEFT(INDEX(인턴근무계획!$M$3:$R$402,$A390,$I$3)&amp;"",FIND(" ",INDEX(인턴근무계획!$M$3:$R$402,$A390,$I$3)&amp;"")-1))))</f>
        <v/>
      </c>
      <c r="J390" s="23">
        <f>IF(OR($C390="",$I$3=""),"",IF(INDEX(인턴근무계획!$M$3:$R$402,$A390,$I$3)&amp;""="","",IF(LEFT(INDEX(인턴근무계획!$M$3:$R$402,$A390,$I$3)&amp;"",1)="⚠","",MID(INDEX(인턴근무계획!$M$3:$R$402,$A390,$I$3)&amp;"",FIND(" ",INDEX(인턴근무계획!$M$3:$R$402,$A390,$I$3)&amp;"")+1,60))))</f>
        <v/>
      </c>
      <c r="K390" s="23">
        <f>IF($C390="","",INDEX(인턴근무계획!$M$3:$M$402,$A390)&amp;"")</f>
        <v/>
      </c>
      <c r="L390" s="23">
        <f>IF($C390="","",INDEX(인턴근무계획!$N$3:$N$402,$A390)&amp;"")</f>
        <v/>
      </c>
      <c r="M390" s="23">
        <f>IF($C390="","",INDEX(인턴근무계획!$O$3:$O$402,$A390)&amp;"")</f>
        <v/>
      </c>
      <c r="N390" s="23">
        <f>IF($C390="","",INDEX(인턴근무계획!$P$3:$P$402,$A390)&amp;"")</f>
        <v/>
      </c>
      <c r="O390" s="23">
        <f>IF($C390="","",INDEX(인턴근무계획!$Q$3:$Q$402,$A390)&amp;"")</f>
        <v/>
      </c>
      <c r="P390" s="23">
        <f>IF($C390="","",INDEX(인턴근무계획!$R$3:$R$402,$A390)&amp;"")</f>
        <v/>
      </c>
      <c r="Q390" s="23">
        <f>IF($C390="","",INDEX(인턴근무계획!$T$3:$T$402,$A390))</f>
        <v/>
      </c>
    </row>
    <row r="391">
      <c r="A391" s="26" t="n">
        <v>386</v>
      </c>
      <c r="B391" s="23">
        <f>IF($C391="","",INDEX(인턴근무계획!$B$3:$B$402,$A391))</f>
        <v/>
      </c>
      <c r="C391" s="23">
        <f>IFERROR(TRIM(INDEX(인턴근무계획!$C$3:$C$402,$A391)&amp;""),"")</f>
        <v/>
      </c>
      <c r="D391" s="23">
        <f>IF($C391="","",INDEX(인턴근무계획!$D$3:$D$402,$A391))</f>
        <v/>
      </c>
      <c r="E391" s="23">
        <f>IF($C391="","",IF(IFERROR(MATCH($D391,기본자료!$B$2:$B$1001,0),IFERROR(MATCH($D391&amp;"",기본자료!$B$2:$B$1001,0),IFERROR(MATCH(VALUE($D391),기본자료!$B$2:$B$1001,0),0)))&gt;0,"확인","미등록"))</f>
        <v/>
      </c>
      <c r="F391" s="27">
        <f>IF($C391="","",INDEX(인턴근무계획!$S$3:$S$402,$A391))</f>
        <v/>
      </c>
      <c r="G391" s="23">
        <f>IF(OR($C391="",$G$3=""),"",IF(INDEX(인턴근무계획!$M$3:$R$402,$A391,$G$3)&amp;""="","",IF(LEFT(INDEX(인턴근무계획!$M$3:$R$402,$A391,$G$3)&amp;"",1)="⚠",INDEX(인턴근무계획!$M$3:$R$402,$A391,$G$3)&amp;"",LEFT(INDEX(인턴근무계획!$M$3:$R$402,$A391,$G$3)&amp;"",FIND(" ",INDEX(인턴근무계획!$M$3:$R$402,$A391,$G$3)&amp;"")-1))))</f>
        <v/>
      </c>
      <c r="H391" s="23">
        <f>IF(OR($C391="",$G$3=""),"",IF(INDEX(인턴근무계획!$M$3:$R$402,$A391,$G$3)&amp;""="","",IF(LEFT(INDEX(인턴근무계획!$M$3:$R$402,$A391,$G$3)&amp;"",1)="⚠","",MID(INDEX(인턴근무계획!$M$3:$R$402,$A391,$G$3)&amp;"",FIND(" ",INDEX(인턴근무계획!$M$3:$R$402,$A391,$G$3)&amp;"")+1,60))))</f>
        <v/>
      </c>
      <c r="I391" s="23">
        <f>IF(OR($C391="",$I$3=""),"",IF(INDEX(인턴근무계획!$M$3:$R$402,$A391,$I$3)&amp;""="","",IF(LEFT(INDEX(인턴근무계획!$M$3:$R$402,$A391,$I$3)&amp;"",1)="⚠",INDEX(인턴근무계획!$M$3:$R$402,$A391,$I$3)&amp;"",LEFT(INDEX(인턴근무계획!$M$3:$R$402,$A391,$I$3)&amp;"",FIND(" ",INDEX(인턴근무계획!$M$3:$R$402,$A391,$I$3)&amp;"")-1))))</f>
        <v/>
      </c>
      <c r="J391" s="23">
        <f>IF(OR($C391="",$I$3=""),"",IF(INDEX(인턴근무계획!$M$3:$R$402,$A391,$I$3)&amp;""="","",IF(LEFT(INDEX(인턴근무계획!$M$3:$R$402,$A391,$I$3)&amp;"",1)="⚠","",MID(INDEX(인턴근무계획!$M$3:$R$402,$A391,$I$3)&amp;"",FIND(" ",INDEX(인턴근무계획!$M$3:$R$402,$A391,$I$3)&amp;"")+1,60))))</f>
        <v/>
      </c>
      <c r="K391" s="23">
        <f>IF($C391="","",INDEX(인턴근무계획!$M$3:$M$402,$A391)&amp;"")</f>
        <v/>
      </c>
      <c r="L391" s="23">
        <f>IF($C391="","",INDEX(인턴근무계획!$N$3:$N$402,$A391)&amp;"")</f>
        <v/>
      </c>
      <c r="M391" s="23">
        <f>IF($C391="","",INDEX(인턴근무계획!$O$3:$O$402,$A391)&amp;"")</f>
        <v/>
      </c>
      <c r="N391" s="23">
        <f>IF($C391="","",INDEX(인턴근무계획!$P$3:$P$402,$A391)&amp;"")</f>
        <v/>
      </c>
      <c r="O391" s="23">
        <f>IF($C391="","",INDEX(인턴근무계획!$Q$3:$Q$402,$A391)&amp;"")</f>
        <v/>
      </c>
      <c r="P391" s="23">
        <f>IF($C391="","",INDEX(인턴근무계획!$R$3:$R$402,$A391)&amp;"")</f>
        <v/>
      </c>
      <c r="Q391" s="23">
        <f>IF($C391="","",INDEX(인턴근무계획!$T$3:$T$402,$A391))</f>
        <v/>
      </c>
    </row>
    <row r="392">
      <c r="A392" s="26" t="n">
        <v>387</v>
      </c>
      <c r="B392" s="23">
        <f>IF($C392="","",INDEX(인턴근무계획!$B$3:$B$402,$A392))</f>
        <v/>
      </c>
      <c r="C392" s="23">
        <f>IFERROR(TRIM(INDEX(인턴근무계획!$C$3:$C$402,$A392)&amp;""),"")</f>
        <v/>
      </c>
      <c r="D392" s="23">
        <f>IF($C392="","",INDEX(인턴근무계획!$D$3:$D$402,$A392))</f>
        <v/>
      </c>
      <c r="E392" s="23">
        <f>IF($C392="","",IF(IFERROR(MATCH($D392,기본자료!$B$2:$B$1001,0),IFERROR(MATCH($D392&amp;"",기본자료!$B$2:$B$1001,0),IFERROR(MATCH(VALUE($D392),기본자료!$B$2:$B$1001,0),0)))&gt;0,"확인","미등록"))</f>
        <v/>
      </c>
      <c r="F392" s="27">
        <f>IF($C392="","",INDEX(인턴근무계획!$S$3:$S$402,$A392))</f>
        <v/>
      </c>
      <c r="G392" s="23">
        <f>IF(OR($C392="",$G$3=""),"",IF(INDEX(인턴근무계획!$M$3:$R$402,$A392,$G$3)&amp;""="","",IF(LEFT(INDEX(인턴근무계획!$M$3:$R$402,$A392,$G$3)&amp;"",1)="⚠",INDEX(인턴근무계획!$M$3:$R$402,$A392,$G$3)&amp;"",LEFT(INDEX(인턴근무계획!$M$3:$R$402,$A392,$G$3)&amp;"",FIND(" ",INDEX(인턴근무계획!$M$3:$R$402,$A392,$G$3)&amp;"")-1))))</f>
        <v/>
      </c>
      <c r="H392" s="23">
        <f>IF(OR($C392="",$G$3=""),"",IF(INDEX(인턴근무계획!$M$3:$R$402,$A392,$G$3)&amp;""="","",IF(LEFT(INDEX(인턴근무계획!$M$3:$R$402,$A392,$G$3)&amp;"",1)="⚠","",MID(INDEX(인턴근무계획!$M$3:$R$402,$A392,$G$3)&amp;"",FIND(" ",INDEX(인턴근무계획!$M$3:$R$402,$A392,$G$3)&amp;"")+1,60))))</f>
        <v/>
      </c>
      <c r="I392" s="23">
        <f>IF(OR($C392="",$I$3=""),"",IF(INDEX(인턴근무계획!$M$3:$R$402,$A392,$I$3)&amp;""="","",IF(LEFT(INDEX(인턴근무계획!$M$3:$R$402,$A392,$I$3)&amp;"",1)="⚠",INDEX(인턴근무계획!$M$3:$R$402,$A392,$I$3)&amp;"",LEFT(INDEX(인턴근무계획!$M$3:$R$402,$A392,$I$3)&amp;"",FIND(" ",INDEX(인턴근무계획!$M$3:$R$402,$A392,$I$3)&amp;"")-1))))</f>
        <v/>
      </c>
      <c r="J392" s="23">
        <f>IF(OR($C392="",$I$3=""),"",IF(INDEX(인턴근무계획!$M$3:$R$402,$A392,$I$3)&amp;""="","",IF(LEFT(INDEX(인턴근무계획!$M$3:$R$402,$A392,$I$3)&amp;"",1)="⚠","",MID(INDEX(인턴근무계획!$M$3:$R$402,$A392,$I$3)&amp;"",FIND(" ",INDEX(인턴근무계획!$M$3:$R$402,$A392,$I$3)&amp;"")+1,60))))</f>
        <v/>
      </c>
      <c r="K392" s="23">
        <f>IF($C392="","",INDEX(인턴근무계획!$M$3:$M$402,$A392)&amp;"")</f>
        <v/>
      </c>
      <c r="L392" s="23">
        <f>IF($C392="","",INDEX(인턴근무계획!$N$3:$N$402,$A392)&amp;"")</f>
        <v/>
      </c>
      <c r="M392" s="23">
        <f>IF($C392="","",INDEX(인턴근무계획!$O$3:$O$402,$A392)&amp;"")</f>
        <v/>
      </c>
      <c r="N392" s="23">
        <f>IF($C392="","",INDEX(인턴근무계획!$P$3:$P$402,$A392)&amp;"")</f>
        <v/>
      </c>
      <c r="O392" s="23">
        <f>IF($C392="","",INDEX(인턴근무계획!$Q$3:$Q$402,$A392)&amp;"")</f>
        <v/>
      </c>
      <c r="P392" s="23">
        <f>IF($C392="","",INDEX(인턴근무계획!$R$3:$R$402,$A392)&amp;"")</f>
        <v/>
      </c>
      <c r="Q392" s="23">
        <f>IF($C392="","",INDEX(인턴근무계획!$T$3:$T$402,$A392))</f>
        <v/>
      </c>
    </row>
    <row r="393">
      <c r="A393" s="26" t="n">
        <v>388</v>
      </c>
      <c r="B393" s="23">
        <f>IF($C393="","",INDEX(인턴근무계획!$B$3:$B$402,$A393))</f>
        <v/>
      </c>
      <c r="C393" s="23">
        <f>IFERROR(TRIM(INDEX(인턴근무계획!$C$3:$C$402,$A393)&amp;""),"")</f>
        <v/>
      </c>
      <c r="D393" s="23">
        <f>IF($C393="","",INDEX(인턴근무계획!$D$3:$D$402,$A393))</f>
        <v/>
      </c>
      <c r="E393" s="23">
        <f>IF($C393="","",IF(IFERROR(MATCH($D393,기본자료!$B$2:$B$1001,0),IFERROR(MATCH($D393&amp;"",기본자료!$B$2:$B$1001,0),IFERROR(MATCH(VALUE($D393),기본자료!$B$2:$B$1001,0),0)))&gt;0,"확인","미등록"))</f>
        <v/>
      </c>
      <c r="F393" s="27">
        <f>IF($C393="","",INDEX(인턴근무계획!$S$3:$S$402,$A393))</f>
        <v/>
      </c>
      <c r="G393" s="23">
        <f>IF(OR($C393="",$G$3=""),"",IF(INDEX(인턴근무계획!$M$3:$R$402,$A393,$G$3)&amp;""="","",IF(LEFT(INDEX(인턴근무계획!$M$3:$R$402,$A393,$G$3)&amp;"",1)="⚠",INDEX(인턴근무계획!$M$3:$R$402,$A393,$G$3)&amp;"",LEFT(INDEX(인턴근무계획!$M$3:$R$402,$A393,$G$3)&amp;"",FIND(" ",INDEX(인턴근무계획!$M$3:$R$402,$A393,$G$3)&amp;"")-1))))</f>
        <v/>
      </c>
      <c r="H393" s="23">
        <f>IF(OR($C393="",$G$3=""),"",IF(INDEX(인턴근무계획!$M$3:$R$402,$A393,$G$3)&amp;""="","",IF(LEFT(INDEX(인턴근무계획!$M$3:$R$402,$A393,$G$3)&amp;"",1)="⚠","",MID(INDEX(인턴근무계획!$M$3:$R$402,$A393,$G$3)&amp;"",FIND(" ",INDEX(인턴근무계획!$M$3:$R$402,$A393,$G$3)&amp;"")+1,60))))</f>
        <v/>
      </c>
      <c r="I393" s="23">
        <f>IF(OR($C393="",$I$3=""),"",IF(INDEX(인턴근무계획!$M$3:$R$402,$A393,$I$3)&amp;""="","",IF(LEFT(INDEX(인턴근무계획!$M$3:$R$402,$A393,$I$3)&amp;"",1)="⚠",INDEX(인턴근무계획!$M$3:$R$402,$A393,$I$3)&amp;"",LEFT(INDEX(인턴근무계획!$M$3:$R$402,$A393,$I$3)&amp;"",FIND(" ",INDEX(인턴근무계획!$M$3:$R$402,$A393,$I$3)&amp;"")-1))))</f>
        <v/>
      </c>
      <c r="J393" s="23">
        <f>IF(OR($C393="",$I$3=""),"",IF(INDEX(인턴근무계획!$M$3:$R$402,$A393,$I$3)&amp;""="","",IF(LEFT(INDEX(인턴근무계획!$M$3:$R$402,$A393,$I$3)&amp;"",1)="⚠","",MID(INDEX(인턴근무계획!$M$3:$R$402,$A393,$I$3)&amp;"",FIND(" ",INDEX(인턴근무계획!$M$3:$R$402,$A393,$I$3)&amp;"")+1,60))))</f>
        <v/>
      </c>
      <c r="K393" s="23">
        <f>IF($C393="","",INDEX(인턴근무계획!$M$3:$M$402,$A393)&amp;"")</f>
        <v/>
      </c>
      <c r="L393" s="23">
        <f>IF($C393="","",INDEX(인턴근무계획!$N$3:$N$402,$A393)&amp;"")</f>
        <v/>
      </c>
      <c r="M393" s="23">
        <f>IF($C393="","",INDEX(인턴근무계획!$O$3:$O$402,$A393)&amp;"")</f>
        <v/>
      </c>
      <c r="N393" s="23">
        <f>IF($C393="","",INDEX(인턴근무계획!$P$3:$P$402,$A393)&amp;"")</f>
        <v/>
      </c>
      <c r="O393" s="23">
        <f>IF($C393="","",INDEX(인턴근무계획!$Q$3:$Q$402,$A393)&amp;"")</f>
        <v/>
      </c>
      <c r="P393" s="23">
        <f>IF($C393="","",INDEX(인턴근무계획!$R$3:$R$402,$A393)&amp;"")</f>
        <v/>
      </c>
      <c r="Q393" s="23">
        <f>IF($C393="","",INDEX(인턴근무계획!$T$3:$T$402,$A393))</f>
        <v/>
      </c>
    </row>
    <row r="394">
      <c r="A394" s="26" t="n">
        <v>389</v>
      </c>
      <c r="B394" s="23">
        <f>IF($C394="","",INDEX(인턴근무계획!$B$3:$B$402,$A394))</f>
        <v/>
      </c>
      <c r="C394" s="23">
        <f>IFERROR(TRIM(INDEX(인턴근무계획!$C$3:$C$402,$A394)&amp;""),"")</f>
        <v/>
      </c>
      <c r="D394" s="23">
        <f>IF($C394="","",INDEX(인턴근무계획!$D$3:$D$402,$A394))</f>
        <v/>
      </c>
      <c r="E394" s="23">
        <f>IF($C394="","",IF(IFERROR(MATCH($D394,기본자료!$B$2:$B$1001,0),IFERROR(MATCH($D394&amp;"",기본자료!$B$2:$B$1001,0),IFERROR(MATCH(VALUE($D394),기본자료!$B$2:$B$1001,0),0)))&gt;0,"확인","미등록"))</f>
        <v/>
      </c>
      <c r="F394" s="27">
        <f>IF($C394="","",INDEX(인턴근무계획!$S$3:$S$402,$A394))</f>
        <v/>
      </c>
      <c r="G394" s="23">
        <f>IF(OR($C394="",$G$3=""),"",IF(INDEX(인턴근무계획!$M$3:$R$402,$A394,$G$3)&amp;""="","",IF(LEFT(INDEX(인턴근무계획!$M$3:$R$402,$A394,$G$3)&amp;"",1)="⚠",INDEX(인턴근무계획!$M$3:$R$402,$A394,$G$3)&amp;"",LEFT(INDEX(인턴근무계획!$M$3:$R$402,$A394,$G$3)&amp;"",FIND(" ",INDEX(인턴근무계획!$M$3:$R$402,$A394,$G$3)&amp;"")-1))))</f>
        <v/>
      </c>
      <c r="H394" s="23">
        <f>IF(OR($C394="",$G$3=""),"",IF(INDEX(인턴근무계획!$M$3:$R$402,$A394,$G$3)&amp;""="","",IF(LEFT(INDEX(인턴근무계획!$M$3:$R$402,$A394,$G$3)&amp;"",1)="⚠","",MID(INDEX(인턴근무계획!$M$3:$R$402,$A394,$G$3)&amp;"",FIND(" ",INDEX(인턴근무계획!$M$3:$R$402,$A394,$G$3)&amp;"")+1,60))))</f>
        <v/>
      </c>
      <c r="I394" s="23">
        <f>IF(OR($C394="",$I$3=""),"",IF(INDEX(인턴근무계획!$M$3:$R$402,$A394,$I$3)&amp;""="","",IF(LEFT(INDEX(인턴근무계획!$M$3:$R$402,$A394,$I$3)&amp;"",1)="⚠",INDEX(인턴근무계획!$M$3:$R$402,$A394,$I$3)&amp;"",LEFT(INDEX(인턴근무계획!$M$3:$R$402,$A394,$I$3)&amp;"",FIND(" ",INDEX(인턴근무계획!$M$3:$R$402,$A394,$I$3)&amp;"")-1))))</f>
        <v/>
      </c>
      <c r="J394" s="23">
        <f>IF(OR($C394="",$I$3=""),"",IF(INDEX(인턴근무계획!$M$3:$R$402,$A394,$I$3)&amp;""="","",IF(LEFT(INDEX(인턴근무계획!$M$3:$R$402,$A394,$I$3)&amp;"",1)="⚠","",MID(INDEX(인턴근무계획!$M$3:$R$402,$A394,$I$3)&amp;"",FIND(" ",INDEX(인턴근무계획!$M$3:$R$402,$A394,$I$3)&amp;"")+1,60))))</f>
        <v/>
      </c>
      <c r="K394" s="23">
        <f>IF($C394="","",INDEX(인턴근무계획!$M$3:$M$402,$A394)&amp;"")</f>
        <v/>
      </c>
      <c r="L394" s="23">
        <f>IF($C394="","",INDEX(인턴근무계획!$N$3:$N$402,$A394)&amp;"")</f>
        <v/>
      </c>
      <c r="M394" s="23">
        <f>IF($C394="","",INDEX(인턴근무계획!$O$3:$O$402,$A394)&amp;"")</f>
        <v/>
      </c>
      <c r="N394" s="23">
        <f>IF($C394="","",INDEX(인턴근무계획!$P$3:$P$402,$A394)&amp;"")</f>
        <v/>
      </c>
      <c r="O394" s="23">
        <f>IF($C394="","",INDEX(인턴근무계획!$Q$3:$Q$402,$A394)&amp;"")</f>
        <v/>
      </c>
      <c r="P394" s="23">
        <f>IF($C394="","",INDEX(인턴근무계획!$R$3:$R$402,$A394)&amp;"")</f>
        <v/>
      </c>
      <c r="Q394" s="23">
        <f>IF($C394="","",INDEX(인턴근무계획!$T$3:$T$402,$A394))</f>
        <v/>
      </c>
    </row>
    <row r="395">
      <c r="A395" s="26" t="n">
        <v>390</v>
      </c>
      <c r="B395" s="23">
        <f>IF($C395="","",INDEX(인턴근무계획!$B$3:$B$402,$A395))</f>
        <v/>
      </c>
      <c r="C395" s="23">
        <f>IFERROR(TRIM(INDEX(인턴근무계획!$C$3:$C$402,$A395)&amp;""),"")</f>
        <v/>
      </c>
      <c r="D395" s="23">
        <f>IF($C395="","",INDEX(인턴근무계획!$D$3:$D$402,$A395))</f>
        <v/>
      </c>
      <c r="E395" s="23">
        <f>IF($C395="","",IF(IFERROR(MATCH($D395,기본자료!$B$2:$B$1001,0),IFERROR(MATCH($D395&amp;"",기본자료!$B$2:$B$1001,0),IFERROR(MATCH(VALUE($D395),기본자료!$B$2:$B$1001,0),0)))&gt;0,"확인","미등록"))</f>
        <v/>
      </c>
      <c r="F395" s="27">
        <f>IF($C395="","",INDEX(인턴근무계획!$S$3:$S$402,$A395))</f>
        <v/>
      </c>
      <c r="G395" s="23">
        <f>IF(OR($C395="",$G$3=""),"",IF(INDEX(인턴근무계획!$M$3:$R$402,$A395,$G$3)&amp;""="","",IF(LEFT(INDEX(인턴근무계획!$M$3:$R$402,$A395,$G$3)&amp;"",1)="⚠",INDEX(인턴근무계획!$M$3:$R$402,$A395,$G$3)&amp;"",LEFT(INDEX(인턴근무계획!$M$3:$R$402,$A395,$G$3)&amp;"",FIND(" ",INDEX(인턴근무계획!$M$3:$R$402,$A395,$G$3)&amp;"")-1))))</f>
        <v/>
      </c>
      <c r="H395" s="23">
        <f>IF(OR($C395="",$G$3=""),"",IF(INDEX(인턴근무계획!$M$3:$R$402,$A395,$G$3)&amp;""="","",IF(LEFT(INDEX(인턴근무계획!$M$3:$R$402,$A395,$G$3)&amp;"",1)="⚠","",MID(INDEX(인턴근무계획!$M$3:$R$402,$A395,$G$3)&amp;"",FIND(" ",INDEX(인턴근무계획!$M$3:$R$402,$A395,$G$3)&amp;"")+1,60))))</f>
        <v/>
      </c>
      <c r="I395" s="23">
        <f>IF(OR($C395="",$I$3=""),"",IF(INDEX(인턴근무계획!$M$3:$R$402,$A395,$I$3)&amp;""="","",IF(LEFT(INDEX(인턴근무계획!$M$3:$R$402,$A395,$I$3)&amp;"",1)="⚠",INDEX(인턴근무계획!$M$3:$R$402,$A395,$I$3)&amp;"",LEFT(INDEX(인턴근무계획!$M$3:$R$402,$A395,$I$3)&amp;"",FIND(" ",INDEX(인턴근무계획!$M$3:$R$402,$A395,$I$3)&amp;"")-1))))</f>
        <v/>
      </c>
      <c r="J395" s="23">
        <f>IF(OR($C395="",$I$3=""),"",IF(INDEX(인턴근무계획!$M$3:$R$402,$A395,$I$3)&amp;""="","",IF(LEFT(INDEX(인턴근무계획!$M$3:$R$402,$A395,$I$3)&amp;"",1)="⚠","",MID(INDEX(인턴근무계획!$M$3:$R$402,$A395,$I$3)&amp;"",FIND(" ",INDEX(인턴근무계획!$M$3:$R$402,$A395,$I$3)&amp;"")+1,60))))</f>
        <v/>
      </c>
      <c r="K395" s="23">
        <f>IF($C395="","",INDEX(인턴근무계획!$M$3:$M$402,$A395)&amp;"")</f>
        <v/>
      </c>
      <c r="L395" s="23">
        <f>IF($C395="","",INDEX(인턴근무계획!$N$3:$N$402,$A395)&amp;"")</f>
        <v/>
      </c>
      <c r="M395" s="23">
        <f>IF($C395="","",INDEX(인턴근무계획!$O$3:$O$402,$A395)&amp;"")</f>
        <v/>
      </c>
      <c r="N395" s="23">
        <f>IF($C395="","",INDEX(인턴근무계획!$P$3:$P$402,$A395)&amp;"")</f>
        <v/>
      </c>
      <c r="O395" s="23">
        <f>IF($C395="","",INDEX(인턴근무계획!$Q$3:$Q$402,$A395)&amp;"")</f>
        <v/>
      </c>
      <c r="P395" s="23">
        <f>IF($C395="","",INDEX(인턴근무계획!$R$3:$R$402,$A395)&amp;"")</f>
        <v/>
      </c>
      <c r="Q395" s="23">
        <f>IF($C395="","",INDEX(인턴근무계획!$T$3:$T$402,$A395))</f>
        <v/>
      </c>
    </row>
    <row r="396">
      <c r="A396" s="26" t="n">
        <v>391</v>
      </c>
      <c r="B396" s="23">
        <f>IF($C396="","",INDEX(인턴근무계획!$B$3:$B$402,$A396))</f>
        <v/>
      </c>
      <c r="C396" s="23">
        <f>IFERROR(TRIM(INDEX(인턴근무계획!$C$3:$C$402,$A396)&amp;""),"")</f>
        <v/>
      </c>
      <c r="D396" s="23">
        <f>IF($C396="","",INDEX(인턴근무계획!$D$3:$D$402,$A396))</f>
        <v/>
      </c>
      <c r="E396" s="23">
        <f>IF($C396="","",IF(IFERROR(MATCH($D396,기본자료!$B$2:$B$1001,0),IFERROR(MATCH($D396&amp;"",기본자료!$B$2:$B$1001,0),IFERROR(MATCH(VALUE($D396),기본자료!$B$2:$B$1001,0),0)))&gt;0,"확인","미등록"))</f>
        <v/>
      </c>
      <c r="F396" s="27">
        <f>IF($C396="","",INDEX(인턴근무계획!$S$3:$S$402,$A396))</f>
        <v/>
      </c>
      <c r="G396" s="23">
        <f>IF(OR($C396="",$G$3=""),"",IF(INDEX(인턴근무계획!$M$3:$R$402,$A396,$G$3)&amp;""="","",IF(LEFT(INDEX(인턴근무계획!$M$3:$R$402,$A396,$G$3)&amp;"",1)="⚠",INDEX(인턴근무계획!$M$3:$R$402,$A396,$G$3)&amp;"",LEFT(INDEX(인턴근무계획!$M$3:$R$402,$A396,$G$3)&amp;"",FIND(" ",INDEX(인턴근무계획!$M$3:$R$402,$A396,$G$3)&amp;"")-1))))</f>
        <v/>
      </c>
      <c r="H396" s="23">
        <f>IF(OR($C396="",$G$3=""),"",IF(INDEX(인턴근무계획!$M$3:$R$402,$A396,$G$3)&amp;""="","",IF(LEFT(INDEX(인턴근무계획!$M$3:$R$402,$A396,$G$3)&amp;"",1)="⚠","",MID(INDEX(인턴근무계획!$M$3:$R$402,$A396,$G$3)&amp;"",FIND(" ",INDEX(인턴근무계획!$M$3:$R$402,$A396,$G$3)&amp;"")+1,60))))</f>
        <v/>
      </c>
      <c r="I396" s="23">
        <f>IF(OR($C396="",$I$3=""),"",IF(INDEX(인턴근무계획!$M$3:$R$402,$A396,$I$3)&amp;""="","",IF(LEFT(INDEX(인턴근무계획!$M$3:$R$402,$A396,$I$3)&amp;"",1)="⚠",INDEX(인턴근무계획!$M$3:$R$402,$A396,$I$3)&amp;"",LEFT(INDEX(인턴근무계획!$M$3:$R$402,$A396,$I$3)&amp;"",FIND(" ",INDEX(인턴근무계획!$M$3:$R$402,$A396,$I$3)&amp;"")-1))))</f>
        <v/>
      </c>
      <c r="J396" s="23">
        <f>IF(OR($C396="",$I$3=""),"",IF(INDEX(인턴근무계획!$M$3:$R$402,$A396,$I$3)&amp;""="","",IF(LEFT(INDEX(인턴근무계획!$M$3:$R$402,$A396,$I$3)&amp;"",1)="⚠","",MID(INDEX(인턴근무계획!$M$3:$R$402,$A396,$I$3)&amp;"",FIND(" ",INDEX(인턴근무계획!$M$3:$R$402,$A396,$I$3)&amp;"")+1,60))))</f>
        <v/>
      </c>
      <c r="K396" s="23">
        <f>IF($C396="","",INDEX(인턴근무계획!$M$3:$M$402,$A396)&amp;"")</f>
        <v/>
      </c>
      <c r="L396" s="23">
        <f>IF($C396="","",INDEX(인턴근무계획!$N$3:$N$402,$A396)&amp;"")</f>
        <v/>
      </c>
      <c r="M396" s="23">
        <f>IF($C396="","",INDEX(인턴근무계획!$O$3:$O$402,$A396)&amp;"")</f>
        <v/>
      </c>
      <c r="N396" s="23">
        <f>IF($C396="","",INDEX(인턴근무계획!$P$3:$P$402,$A396)&amp;"")</f>
        <v/>
      </c>
      <c r="O396" s="23">
        <f>IF($C396="","",INDEX(인턴근무계획!$Q$3:$Q$402,$A396)&amp;"")</f>
        <v/>
      </c>
      <c r="P396" s="23">
        <f>IF($C396="","",INDEX(인턴근무계획!$R$3:$R$402,$A396)&amp;"")</f>
        <v/>
      </c>
      <c r="Q396" s="23">
        <f>IF($C396="","",INDEX(인턴근무계획!$T$3:$T$402,$A396))</f>
        <v/>
      </c>
    </row>
    <row r="397">
      <c r="A397" s="26" t="n">
        <v>392</v>
      </c>
      <c r="B397" s="23">
        <f>IF($C397="","",INDEX(인턴근무계획!$B$3:$B$402,$A397))</f>
        <v/>
      </c>
      <c r="C397" s="23">
        <f>IFERROR(TRIM(INDEX(인턴근무계획!$C$3:$C$402,$A397)&amp;""),"")</f>
        <v/>
      </c>
      <c r="D397" s="23">
        <f>IF($C397="","",INDEX(인턴근무계획!$D$3:$D$402,$A397))</f>
        <v/>
      </c>
      <c r="E397" s="23">
        <f>IF($C397="","",IF(IFERROR(MATCH($D397,기본자료!$B$2:$B$1001,0),IFERROR(MATCH($D397&amp;"",기본자료!$B$2:$B$1001,0),IFERROR(MATCH(VALUE($D397),기본자료!$B$2:$B$1001,0),0)))&gt;0,"확인","미등록"))</f>
        <v/>
      </c>
      <c r="F397" s="27">
        <f>IF($C397="","",INDEX(인턴근무계획!$S$3:$S$402,$A397))</f>
        <v/>
      </c>
      <c r="G397" s="23">
        <f>IF(OR($C397="",$G$3=""),"",IF(INDEX(인턴근무계획!$M$3:$R$402,$A397,$G$3)&amp;""="","",IF(LEFT(INDEX(인턴근무계획!$M$3:$R$402,$A397,$G$3)&amp;"",1)="⚠",INDEX(인턴근무계획!$M$3:$R$402,$A397,$G$3)&amp;"",LEFT(INDEX(인턴근무계획!$M$3:$R$402,$A397,$G$3)&amp;"",FIND(" ",INDEX(인턴근무계획!$M$3:$R$402,$A397,$G$3)&amp;"")-1))))</f>
        <v/>
      </c>
      <c r="H397" s="23">
        <f>IF(OR($C397="",$G$3=""),"",IF(INDEX(인턴근무계획!$M$3:$R$402,$A397,$G$3)&amp;""="","",IF(LEFT(INDEX(인턴근무계획!$M$3:$R$402,$A397,$G$3)&amp;"",1)="⚠","",MID(INDEX(인턴근무계획!$M$3:$R$402,$A397,$G$3)&amp;"",FIND(" ",INDEX(인턴근무계획!$M$3:$R$402,$A397,$G$3)&amp;"")+1,60))))</f>
        <v/>
      </c>
      <c r="I397" s="23">
        <f>IF(OR($C397="",$I$3=""),"",IF(INDEX(인턴근무계획!$M$3:$R$402,$A397,$I$3)&amp;""="","",IF(LEFT(INDEX(인턴근무계획!$M$3:$R$402,$A397,$I$3)&amp;"",1)="⚠",INDEX(인턴근무계획!$M$3:$R$402,$A397,$I$3)&amp;"",LEFT(INDEX(인턴근무계획!$M$3:$R$402,$A397,$I$3)&amp;"",FIND(" ",INDEX(인턴근무계획!$M$3:$R$402,$A397,$I$3)&amp;"")-1))))</f>
        <v/>
      </c>
      <c r="J397" s="23">
        <f>IF(OR($C397="",$I$3=""),"",IF(INDEX(인턴근무계획!$M$3:$R$402,$A397,$I$3)&amp;""="","",IF(LEFT(INDEX(인턴근무계획!$M$3:$R$402,$A397,$I$3)&amp;"",1)="⚠","",MID(INDEX(인턴근무계획!$M$3:$R$402,$A397,$I$3)&amp;"",FIND(" ",INDEX(인턴근무계획!$M$3:$R$402,$A397,$I$3)&amp;"")+1,60))))</f>
        <v/>
      </c>
      <c r="K397" s="23">
        <f>IF($C397="","",INDEX(인턴근무계획!$M$3:$M$402,$A397)&amp;"")</f>
        <v/>
      </c>
      <c r="L397" s="23">
        <f>IF($C397="","",INDEX(인턴근무계획!$N$3:$N$402,$A397)&amp;"")</f>
        <v/>
      </c>
      <c r="M397" s="23">
        <f>IF($C397="","",INDEX(인턴근무계획!$O$3:$O$402,$A397)&amp;"")</f>
        <v/>
      </c>
      <c r="N397" s="23">
        <f>IF($C397="","",INDEX(인턴근무계획!$P$3:$P$402,$A397)&amp;"")</f>
        <v/>
      </c>
      <c r="O397" s="23">
        <f>IF($C397="","",INDEX(인턴근무계획!$Q$3:$Q$402,$A397)&amp;"")</f>
        <v/>
      </c>
      <c r="P397" s="23">
        <f>IF($C397="","",INDEX(인턴근무계획!$R$3:$R$402,$A397)&amp;"")</f>
        <v/>
      </c>
      <c r="Q397" s="23">
        <f>IF($C397="","",INDEX(인턴근무계획!$T$3:$T$402,$A397))</f>
        <v/>
      </c>
    </row>
    <row r="398">
      <c r="A398" s="26" t="n">
        <v>393</v>
      </c>
      <c r="B398" s="23">
        <f>IF($C398="","",INDEX(인턴근무계획!$B$3:$B$402,$A398))</f>
        <v/>
      </c>
      <c r="C398" s="23">
        <f>IFERROR(TRIM(INDEX(인턴근무계획!$C$3:$C$402,$A398)&amp;""),"")</f>
        <v/>
      </c>
      <c r="D398" s="23">
        <f>IF($C398="","",INDEX(인턴근무계획!$D$3:$D$402,$A398))</f>
        <v/>
      </c>
      <c r="E398" s="23">
        <f>IF($C398="","",IF(IFERROR(MATCH($D398,기본자료!$B$2:$B$1001,0),IFERROR(MATCH($D398&amp;"",기본자료!$B$2:$B$1001,0),IFERROR(MATCH(VALUE($D398),기본자료!$B$2:$B$1001,0),0)))&gt;0,"확인","미등록"))</f>
        <v/>
      </c>
      <c r="F398" s="27">
        <f>IF($C398="","",INDEX(인턴근무계획!$S$3:$S$402,$A398))</f>
        <v/>
      </c>
      <c r="G398" s="23">
        <f>IF(OR($C398="",$G$3=""),"",IF(INDEX(인턴근무계획!$M$3:$R$402,$A398,$G$3)&amp;""="","",IF(LEFT(INDEX(인턴근무계획!$M$3:$R$402,$A398,$G$3)&amp;"",1)="⚠",INDEX(인턴근무계획!$M$3:$R$402,$A398,$G$3)&amp;"",LEFT(INDEX(인턴근무계획!$M$3:$R$402,$A398,$G$3)&amp;"",FIND(" ",INDEX(인턴근무계획!$M$3:$R$402,$A398,$G$3)&amp;"")-1))))</f>
        <v/>
      </c>
      <c r="H398" s="23">
        <f>IF(OR($C398="",$G$3=""),"",IF(INDEX(인턴근무계획!$M$3:$R$402,$A398,$G$3)&amp;""="","",IF(LEFT(INDEX(인턴근무계획!$M$3:$R$402,$A398,$G$3)&amp;"",1)="⚠","",MID(INDEX(인턴근무계획!$M$3:$R$402,$A398,$G$3)&amp;"",FIND(" ",INDEX(인턴근무계획!$M$3:$R$402,$A398,$G$3)&amp;"")+1,60))))</f>
        <v/>
      </c>
      <c r="I398" s="23">
        <f>IF(OR($C398="",$I$3=""),"",IF(INDEX(인턴근무계획!$M$3:$R$402,$A398,$I$3)&amp;""="","",IF(LEFT(INDEX(인턴근무계획!$M$3:$R$402,$A398,$I$3)&amp;"",1)="⚠",INDEX(인턴근무계획!$M$3:$R$402,$A398,$I$3)&amp;"",LEFT(INDEX(인턴근무계획!$M$3:$R$402,$A398,$I$3)&amp;"",FIND(" ",INDEX(인턴근무계획!$M$3:$R$402,$A398,$I$3)&amp;"")-1))))</f>
        <v/>
      </c>
      <c r="J398" s="23">
        <f>IF(OR($C398="",$I$3=""),"",IF(INDEX(인턴근무계획!$M$3:$R$402,$A398,$I$3)&amp;""="","",IF(LEFT(INDEX(인턴근무계획!$M$3:$R$402,$A398,$I$3)&amp;"",1)="⚠","",MID(INDEX(인턴근무계획!$M$3:$R$402,$A398,$I$3)&amp;"",FIND(" ",INDEX(인턴근무계획!$M$3:$R$402,$A398,$I$3)&amp;"")+1,60))))</f>
        <v/>
      </c>
      <c r="K398" s="23">
        <f>IF($C398="","",INDEX(인턴근무계획!$M$3:$M$402,$A398)&amp;"")</f>
        <v/>
      </c>
      <c r="L398" s="23">
        <f>IF($C398="","",INDEX(인턴근무계획!$N$3:$N$402,$A398)&amp;"")</f>
        <v/>
      </c>
      <c r="M398" s="23">
        <f>IF($C398="","",INDEX(인턴근무계획!$O$3:$O$402,$A398)&amp;"")</f>
        <v/>
      </c>
      <c r="N398" s="23">
        <f>IF($C398="","",INDEX(인턴근무계획!$P$3:$P$402,$A398)&amp;"")</f>
        <v/>
      </c>
      <c r="O398" s="23">
        <f>IF($C398="","",INDEX(인턴근무계획!$Q$3:$Q$402,$A398)&amp;"")</f>
        <v/>
      </c>
      <c r="P398" s="23">
        <f>IF($C398="","",INDEX(인턴근무계획!$R$3:$R$402,$A398)&amp;"")</f>
        <v/>
      </c>
      <c r="Q398" s="23">
        <f>IF($C398="","",INDEX(인턴근무계획!$T$3:$T$402,$A398))</f>
        <v/>
      </c>
    </row>
    <row r="399">
      <c r="A399" s="26" t="n">
        <v>394</v>
      </c>
      <c r="B399" s="23">
        <f>IF($C399="","",INDEX(인턴근무계획!$B$3:$B$402,$A399))</f>
        <v/>
      </c>
      <c r="C399" s="23">
        <f>IFERROR(TRIM(INDEX(인턴근무계획!$C$3:$C$402,$A399)&amp;""),"")</f>
        <v/>
      </c>
      <c r="D399" s="23">
        <f>IF($C399="","",INDEX(인턴근무계획!$D$3:$D$402,$A399))</f>
        <v/>
      </c>
      <c r="E399" s="23">
        <f>IF($C399="","",IF(IFERROR(MATCH($D399,기본자료!$B$2:$B$1001,0),IFERROR(MATCH($D399&amp;"",기본자료!$B$2:$B$1001,0),IFERROR(MATCH(VALUE($D399),기본자료!$B$2:$B$1001,0),0)))&gt;0,"확인","미등록"))</f>
        <v/>
      </c>
      <c r="F399" s="27">
        <f>IF($C399="","",INDEX(인턴근무계획!$S$3:$S$402,$A399))</f>
        <v/>
      </c>
      <c r="G399" s="23">
        <f>IF(OR($C399="",$G$3=""),"",IF(INDEX(인턴근무계획!$M$3:$R$402,$A399,$G$3)&amp;""="","",IF(LEFT(INDEX(인턴근무계획!$M$3:$R$402,$A399,$G$3)&amp;"",1)="⚠",INDEX(인턴근무계획!$M$3:$R$402,$A399,$G$3)&amp;"",LEFT(INDEX(인턴근무계획!$M$3:$R$402,$A399,$G$3)&amp;"",FIND(" ",INDEX(인턴근무계획!$M$3:$R$402,$A399,$G$3)&amp;"")-1))))</f>
        <v/>
      </c>
      <c r="H399" s="23">
        <f>IF(OR($C399="",$G$3=""),"",IF(INDEX(인턴근무계획!$M$3:$R$402,$A399,$G$3)&amp;""="","",IF(LEFT(INDEX(인턴근무계획!$M$3:$R$402,$A399,$G$3)&amp;"",1)="⚠","",MID(INDEX(인턴근무계획!$M$3:$R$402,$A399,$G$3)&amp;"",FIND(" ",INDEX(인턴근무계획!$M$3:$R$402,$A399,$G$3)&amp;"")+1,60))))</f>
        <v/>
      </c>
      <c r="I399" s="23">
        <f>IF(OR($C399="",$I$3=""),"",IF(INDEX(인턴근무계획!$M$3:$R$402,$A399,$I$3)&amp;""="","",IF(LEFT(INDEX(인턴근무계획!$M$3:$R$402,$A399,$I$3)&amp;"",1)="⚠",INDEX(인턴근무계획!$M$3:$R$402,$A399,$I$3)&amp;"",LEFT(INDEX(인턴근무계획!$M$3:$R$402,$A399,$I$3)&amp;"",FIND(" ",INDEX(인턴근무계획!$M$3:$R$402,$A399,$I$3)&amp;"")-1))))</f>
        <v/>
      </c>
      <c r="J399" s="23">
        <f>IF(OR($C399="",$I$3=""),"",IF(INDEX(인턴근무계획!$M$3:$R$402,$A399,$I$3)&amp;""="","",IF(LEFT(INDEX(인턴근무계획!$M$3:$R$402,$A399,$I$3)&amp;"",1)="⚠","",MID(INDEX(인턴근무계획!$M$3:$R$402,$A399,$I$3)&amp;"",FIND(" ",INDEX(인턴근무계획!$M$3:$R$402,$A399,$I$3)&amp;"")+1,60))))</f>
        <v/>
      </c>
      <c r="K399" s="23">
        <f>IF($C399="","",INDEX(인턴근무계획!$M$3:$M$402,$A399)&amp;"")</f>
        <v/>
      </c>
      <c r="L399" s="23">
        <f>IF($C399="","",INDEX(인턴근무계획!$N$3:$N$402,$A399)&amp;"")</f>
        <v/>
      </c>
      <c r="M399" s="23">
        <f>IF($C399="","",INDEX(인턴근무계획!$O$3:$O$402,$A399)&amp;"")</f>
        <v/>
      </c>
      <c r="N399" s="23">
        <f>IF($C399="","",INDEX(인턴근무계획!$P$3:$P$402,$A399)&amp;"")</f>
        <v/>
      </c>
      <c r="O399" s="23">
        <f>IF($C399="","",INDEX(인턴근무계획!$Q$3:$Q$402,$A399)&amp;"")</f>
        <v/>
      </c>
      <c r="P399" s="23">
        <f>IF($C399="","",INDEX(인턴근무계획!$R$3:$R$402,$A399)&amp;"")</f>
        <v/>
      </c>
      <c r="Q399" s="23">
        <f>IF($C399="","",INDEX(인턴근무계획!$T$3:$T$402,$A399))</f>
        <v/>
      </c>
    </row>
    <row r="400">
      <c r="A400" s="26" t="n">
        <v>395</v>
      </c>
      <c r="B400" s="23">
        <f>IF($C400="","",INDEX(인턴근무계획!$B$3:$B$402,$A400))</f>
        <v/>
      </c>
      <c r="C400" s="23">
        <f>IFERROR(TRIM(INDEX(인턴근무계획!$C$3:$C$402,$A400)&amp;""),"")</f>
        <v/>
      </c>
      <c r="D400" s="23">
        <f>IF($C400="","",INDEX(인턴근무계획!$D$3:$D$402,$A400))</f>
        <v/>
      </c>
      <c r="E400" s="23">
        <f>IF($C400="","",IF(IFERROR(MATCH($D400,기본자료!$B$2:$B$1001,0),IFERROR(MATCH($D400&amp;"",기본자료!$B$2:$B$1001,0),IFERROR(MATCH(VALUE($D400),기본자료!$B$2:$B$1001,0),0)))&gt;0,"확인","미등록"))</f>
        <v/>
      </c>
      <c r="F400" s="27">
        <f>IF($C400="","",INDEX(인턴근무계획!$S$3:$S$402,$A400))</f>
        <v/>
      </c>
      <c r="G400" s="23">
        <f>IF(OR($C400="",$G$3=""),"",IF(INDEX(인턴근무계획!$M$3:$R$402,$A400,$G$3)&amp;""="","",IF(LEFT(INDEX(인턴근무계획!$M$3:$R$402,$A400,$G$3)&amp;"",1)="⚠",INDEX(인턴근무계획!$M$3:$R$402,$A400,$G$3)&amp;"",LEFT(INDEX(인턴근무계획!$M$3:$R$402,$A400,$G$3)&amp;"",FIND(" ",INDEX(인턴근무계획!$M$3:$R$402,$A400,$G$3)&amp;"")-1))))</f>
        <v/>
      </c>
      <c r="H400" s="23">
        <f>IF(OR($C400="",$G$3=""),"",IF(INDEX(인턴근무계획!$M$3:$R$402,$A400,$G$3)&amp;""="","",IF(LEFT(INDEX(인턴근무계획!$M$3:$R$402,$A400,$G$3)&amp;"",1)="⚠","",MID(INDEX(인턴근무계획!$M$3:$R$402,$A400,$G$3)&amp;"",FIND(" ",INDEX(인턴근무계획!$M$3:$R$402,$A400,$G$3)&amp;"")+1,60))))</f>
        <v/>
      </c>
      <c r="I400" s="23">
        <f>IF(OR($C400="",$I$3=""),"",IF(INDEX(인턴근무계획!$M$3:$R$402,$A400,$I$3)&amp;""="","",IF(LEFT(INDEX(인턴근무계획!$M$3:$R$402,$A400,$I$3)&amp;"",1)="⚠",INDEX(인턴근무계획!$M$3:$R$402,$A400,$I$3)&amp;"",LEFT(INDEX(인턴근무계획!$M$3:$R$402,$A400,$I$3)&amp;"",FIND(" ",INDEX(인턴근무계획!$M$3:$R$402,$A400,$I$3)&amp;"")-1))))</f>
        <v/>
      </c>
      <c r="J400" s="23">
        <f>IF(OR($C400="",$I$3=""),"",IF(INDEX(인턴근무계획!$M$3:$R$402,$A400,$I$3)&amp;""="","",IF(LEFT(INDEX(인턴근무계획!$M$3:$R$402,$A400,$I$3)&amp;"",1)="⚠","",MID(INDEX(인턴근무계획!$M$3:$R$402,$A400,$I$3)&amp;"",FIND(" ",INDEX(인턴근무계획!$M$3:$R$402,$A400,$I$3)&amp;"")+1,60))))</f>
        <v/>
      </c>
      <c r="K400" s="23">
        <f>IF($C400="","",INDEX(인턴근무계획!$M$3:$M$402,$A400)&amp;"")</f>
        <v/>
      </c>
      <c r="L400" s="23">
        <f>IF($C400="","",INDEX(인턴근무계획!$N$3:$N$402,$A400)&amp;"")</f>
        <v/>
      </c>
      <c r="M400" s="23">
        <f>IF($C400="","",INDEX(인턴근무계획!$O$3:$O$402,$A400)&amp;"")</f>
        <v/>
      </c>
      <c r="N400" s="23">
        <f>IF($C400="","",INDEX(인턴근무계획!$P$3:$P$402,$A400)&amp;"")</f>
        <v/>
      </c>
      <c r="O400" s="23">
        <f>IF($C400="","",INDEX(인턴근무계획!$Q$3:$Q$402,$A400)&amp;"")</f>
        <v/>
      </c>
      <c r="P400" s="23">
        <f>IF($C400="","",INDEX(인턴근무계획!$R$3:$R$402,$A400)&amp;"")</f>
        <v/>
      </c>
      <c r="Q400" s="23">
        <f>IF($C400="","",INDEX(인턴근무계획!$T$3:$T$402,$A400))</f>
        <v/>
      </c>
    </row>
    <row r="401">
      <c r="A401" s="26" t="n">
        <v>396</v>
      </c>
      <c r="B401" s="23">
        <f>IF($C401="","",INDEX(인턴근무계획!$B$3:$B$402,$A401))</f>
        <v/>
      </c>
      <c r="C401" s="23">
        <f>IFERROR(TRIM(INDEX(인턴근무계획!$C$3:$C$402,$A401)&amp;""),"")</f>
        <v/>
      </c>
      <c r="D401" s="23">
        <f>IF($C401="","",INDEX(인턴근무계획!$D$3:$D$402,$A401))</f>
        <v/>
      </c>
      <c r="E401" s="23">
        <f>IF($C401="","",IF(IFERROR(MATCH($D401,기본자료!$B$2:$B$1001,0),IFERROR(MATCH($D401&amp;"",기본자료!$B$2:$B$1001,0),IFERROR(MATCH(VALUE($D401),기본자료!$B$2:$B$1001,0),0)))&gt;0,"확인","미등록"))</f>
        <v/>
      </c>
      <c r="F401" s="27">
        <f>IF($C401="","",INDEX(인턴근무계획!$S$3:$S$402,$A401))</f>
        <v/>
      </c>
      <c r="G401" s="23">
        <f>IF(OR($C401="",$G$3=""),"",IF(INDEX(인턴근무계획!$M$3:$R$402,$A401,$G$3)&amp;""="","",IF(LEFT(INDEX(인턴근무계획!$M$3:$R$402,$A401,$G$3)&amp;"",1)="⚠",INDEX(인턴근무계획!$M$3:$R$402,$A401,$G$3)&amp;"",LEFT(INDEX(인턴근무계획!$M$3:$R$402,$A401,$G$3)&amp;"",FIND(" ",INDEX(인턴근무계획!$M$3:$R$402,$A401,$G$3)&amp;"")-1))))</f>
        <v/>
      </c>
      <c r="H401" s="23">
        <f>IF(OR($C401="",$G$3=""),"",IF(INDEX(인턴근무계획!$M$3:$R$402,$A401,$G$3)&amp;""="","",IF(LEFT(INDEX(인턴근무계획!$M$3:$R$402,$A401,$G$3)&amp;"",1)="⚠","",MID(INDEX(인턴근무계획!$M$3:$R$402,$A401,$G$3)&amp;"",FIND(" ",INDEX(인턴근무계획!$M$3:$R$402,$A401,$G$3)&amp;"")+1,60))))</f>
        <v/>
      </c>
      <c r="I401" s="23">
        <f>IF(OR($C401="",$I$3=""),"",IF(INDEX(인턴근무계획!$M$3:$R$402,$A401,$I$3)&amp;""="","",IF(LEFT(INDEX(인턴근무계획!$M$3:$R$402,$A401,$I$3)&amp;"",1)="⚠",INDEX(인턴근무계획!$M$3:$R$402,$A401,$I$3)&amp;"",LEFT(INDEX(인턴근무계획!$M$3:$R$402,$A401,$I$3)&amp;"",FIND(" ",INDEX(인턴근무계획!$M$3:$R$402,$A401,$I$3)&amp;"")-1))))</f>
        <v/>
      </c>
      <c r="J401" s="23">
        <f>IF(OR($C401="",$I$3=""),"",IF(INDEX(인턴근무계획!$M$3:$R$402,$A401,$I$3)&amp;""="","",IF(LEFT(INDEX(인턴근무계획!$M$3:$R$402,$A401,$I$3)&amp;"",1)="⚠","",MID(INDEX(인턴근무계획!$M$3:$R$402,$A401,$I$3)&amp;"",FIND(" ",INDEX(인턴근무계획!$M$3:$R$402,$A401,$I$3)&amp;"")+1,60))))</f>
        <v/>
      </c>
      <c r="K401" s="23">
        <f>IF($C401="","",INDEX(인턴근무계획!$M$3:$M$402,$A401)&amp;"")</f>
        <v/>
      </c>
      <c r="L401" s="23">
        <f>IF($C401="","",INDEX(인턴근무계획!$N$3:$N$402,$A401)&amp;"")</f>
        <v/>
      </c>
      <c r="M401" s="23">
        <f>IF($C401="","",INDEX(인턴근무계획!$O$3:$O$402,$A401)&amp;"")</f>
        <v/>
      </c>
      <c r="N401" s="23">
        <f>IF($C401="","",INDEX(인턴근무계획!$P$3:$P$402,$A401)&amp;"")</f>
        <v/>
      </c>
      <c r="O401" s="23">
        <f>IF($C401="","",INDEX(인턴근무계획!$Q$3:$Q$402,$A401)&amp;"")</f>
        <v/>
      </c>
      <c r="P401" s="23">
        <f>IF($C401="","",INDEX(인턴근무계획!$R$3:$R$402,$A401)&amp;"")</f>
        <v/>
      </c>
      <c r="Q401" s="23">
        <f>IF($C401="","",INDEX(인턴근무계획!$T$3:$T$402,$A401))</f>
        <v/>
      </c>
    </row>
    <row r="402">
      <c r="A402" s="26" t="n">
        <v>397</v>
      </c>
      <c r="B402" s="23">
        <f>IF($C402="","",INDEX(인턴근무계획!$B$3:$B$402,$A402))</f>
        <v/>
      </c>
      <c r="C402" s="23">
        <f>IFERROR(TRIM(INDEX(인턴근무계획!$C$3:$C$402,$A402)&amp;""),"")</f>
        <v/>
      </c>
      <c r="D402" s="23">
        <f>IF($C402="","",INDEX(인턴근무계획!$D$3:$D$402,$A402))</f>
        <v/>
      </c>
      <c r="E402" s="23">
        <f>IF($C402="","",IF(IFERROR(MATCH($D402,기본자료!$B$2:$B$1001,0),IFERROR(MATCH($D402&amp;"",기본자료!$B$2:$B$1001,0),IFERROR(MATCH(VALUE($D402),기본자료!$B$2:$B$1001,0),0)))&gt;0,"확인","미등록"))</f>
        <v/>
      </c>
      <c r="F402" s="27">
        <f>IF($C402="","",INDEX(인턴근무계획!$S$3:$S$402,$A402))</f>
        <v/>
      </c>
      <c r="G402" s="23">
        <f>IF(OR($C402="",$G$3=""),"",IF(INDEX(인턴근무계획!$M$3:$R$402,$A402,$G$3)&amp;""="","",IF(LEFT(INDEX(인턴근무계획!$M$3:$R$402,$A402,$G$3)&amp;"",1)="⚠",INDEX(인턴근무계획!$M$3:$R$402,$A402,$G$3)&amp;"",LEFT(INDEX(인턴근무계획!$M$3:$R$402,$A402,$G$3)&amp;"",FIND(" ",INDEX(인턴근무계획!$M$3:$R$402,$A402,$G$3)&amp;"")-1))))</f>
        <v/>
      </c>
      <c r="H402" s="23">
        <f>IF(OR($C402="",$G$3=""),"",IF(INDEX(인턴근무계획!$M$3:$R$402,$A402,$G$3)&amp;""="","",IF(LEFT(INDEX(인턴근무계획!$M$3:$R$402,$A402,$G$3)&amp;"",1)="⚠","",MID(INDEX(인턴근무계획!$M$3:$R$402,$A402,$G$3)&amp;"",FIND(" ",INDEX(인턴근무계획!$M$3:$R$402,$A402,$G$3)&amp;"")+1,60))))</f>
        <v/>
      </c>
      <c r="I402" s="23">
        <f>IF(OR($C402="",$I$3=""),"",IF(INDEX(인턴근무계획!$M$3:$R$402,$A402,$I$3)&amp;""="","",IF(LEFT(INDEX(인턴근무계획!$M$3:$R$402,$A402,$I$3)&amp;"",1)="⚠",INDEX(인턴근무계획!$M$3:$R$402,$A402,$I$3)&amp;"",LEFT(INDEX(인턴근무계획!$M$3:$R$402,$A402,$I$3)&amp;"",FIND(" ",INDEX(인턴근무계획!$M$3:$R$402,$A402,$I$3)&amp;"")-1))))</f>
        <v/>
      </c>
      <c r="J402" s="23">
        <f>IF(OR($C402="",$I$3=""),"",IF(INDEX(인턴근무계획!$M$3:$R$402,$A402,$I$3)&amp;""="","",IF(LEFT(INDEX(인턴근무계획!$M$3:$R$402,$A402,$I$3)&amp;"",1)="⚠","",MID(INDEX(인턴근무계획!$M$3:$R$402,$A402,$I$3)&amp;"",FIND(" ",INDEX(인턴근무계획!$M$3:$R$402,$A402,$I$3)&amp;"")+1,60))))</f>
        <v/>
      </c>
      <c r="K402" s="23">
        <f>IF($C402="","",INDEX(인턴근무계획!$M$3:$M$402,$A402)&amp;"")</f>
        <v/>
      </c>
      <c r="L402" s="23">
        <f>IF($C402="","",INDEX(인턴근무계획!$N$3:$N$402,$A402)&amp;"")</f>
        <v/>
      </c>
      <c r="M402" s="23">
        <f>IF($C402="","",INDEX(인턴근무계획!$O$3:$O$402,$A402)&amp;"")</f>
        <v/>
      </c>
      <c r="N402" s="23">
        <f>IF($C402="","",INDEX(인턴근무계획!$P$3:$P$402,$A402)&amp;"")</f>
        <v/>
      </c>
      <c r="O402" s="23">
        <f>IF($C402="","",INDEX(인턴근무계획!$Q$3:$Q$402,$A402)&amp;"")</f>
        <v/>
      </c>
      <c r="P402" s="23">
        <f>IF($C402="","",INDEX(인턴근무계획!$R$3:$R$402,$A402)&amp;"")</f>
        <v/>
      </c>
      <c r="Q402" s="23">
        <f>IF($C402="","",INDEX(인턴근무계획!$T$3:$T$402,$A402))</f>
        <v/>
      </c>
    </row>
    <row r="403">
      <c r="A403" s="26" t="n">
        <v>398</v>
      </c>
      <c r="B403" s="23">
        <f>IF($C403="","",INDEX(인턴근무계획!$B$3:$B$402,$A403))</f>
        <v/>
      </c>
      <c r="C403" s="23">
        <f>IFERROR(TRIM(INDEX(인턴근무계획!$C$3:$C$402,$A403)&amp;""),"")</f>
        <v/>
      </c>
      <c r="D403" s="23">
        <f>IF($C403="","",INDEX(인턴근무계획!$D$3:$D$402,$A403))</f>
        <v/>
      </c>
      <c r="E403" s="23">
        <f>IF($C403="","",IF(IFERROR(MATCH($D403,기본자료!$B$2:$B$1001,0),IFERROR(MATCH($D403&amp;"",기본자료!$B$2:$B$1001,0),IFERROR(MATCH(VALUE($D403),기본자료!$B$2:$B$1001,0),0)))&gt;0,"확인","미등록"))</f>
        <v/>
      </c>
      <c r="F403" s="27">
        <f>IF($C403="","",INDEX(인턴근무계획!$S$3:$S$402,$A403))</f>
        <v/>
      </c>
      <c r="G403" s="23">
        <f>IF(OR($C403="",$G$3=""),"",IF(INDEX(인턴근무계획!$M$3:$R$402,$A403,$G$3)&amp;""="","",IF(LEFT(INDEX(인턴근무계획!$M$3:$R$402,$A403,$G$3)&amp;"",1)="⚠",INDEX(인턴근무계획!$M$3:$R$402,$A403,$G$3)&amp;"",LEFT(INDEX(인턴근무계획!$M$3:$R$402,$A403,$G$3)&amp;"",FIND(" ",INDEX(인턴근무계획!$M$3:$R$402,$A403,$G$3)&amp;"")-1))))</f>
        <v/>
      </c>
      <c r="H403" s="23">
        <f>IF(OR($C403="",$G$3=""),"",IF(INDEX(인턴근무계획!$M$3:$R$402,$A403,$G$3)&amp;""="","",IF(LEFT(INDEX(인턴근무계획!$M$3:$R$402,$A403,$G$3)&amp;"",1)="⚠","",MID(INDEX(인턴근무계획!$M$3:$R$402,$A403,$G$3)&amp;"",FIND(" ",INDEX(인턴근무계획!$M$3:$R$402,$A403,$G$3)&amp;"")+1,60))))</f>
        <v/>
      </c>
      <c r="I403" s="23">
        <f>IF(OR($C403="",$I$3=""),"",IF(INDEX(인턴근무계획!$M$3:$R$402,$A403,$I$3)&amp;""="","",IF(LEFT(INDEX(인턴근무계획!$M$3:$R$402,$A403,$I$3)&amp;"",1)="⚠",INDEX(인턴근무계획!$M$3:$R$402,$A403,$I$3)&amp;"",LEFT(INDEX(인턴근무계획!$M$3:$R$402,$A403,$I$3)&amp;"",FIND(" ",INDEX(인턴근무계획!$M$3:$R$402,$A403,$I$3)&amp;"")-1))))</f>
        <v/>
      </c>
      <c r="J403" s="23">
        <f>IF(OR($C403="",$I$3=""),"",IF(INDEX(인턴근무계획!$M$3:$R$402,$A403,$I$3)&amp;""="","",IF(LEFT(INDEX(인턴근무계획!$M$3:$R$402,$A403,$I$3)&amp;"",1)="⚠","",MID(INDEX(인턴근무계획!$M$3:$R$402,$A403,$I$3)&amp;"",FIND(" ",INDEX(인턴근무계획!$M$3:$R$402,$A403,$I$3)&amp;"")+1,60))))</f>
        <v/>
      </c>
      <c r="K403" s="23">
        <f>IF($C403="","",INDEX(인턴근무계획!$M$3:$M$402,$A403)&amp;"")</f>
        <v/>
      </c>
      <c r="L403" s="23">
        <f>IF($C403="","",INDEX(인턴근무계획!$N$3:$N$402,$A403)&amp;"")</f>
        <v/>
      </c>
      <c r="M403" s="23">
        <f>IF($C403="","",INDEX(인턴근무계획!$O$3:$O$402,$A403)&amp;"")</f>
        <v/>
      </c>
      <c r="N403" s="23">
        <f>IF($C403="","",INDEX(인턴근무계획!$P$3:$P$402,$A403)&amp;"")</f>
        <v/>
      </c>
      <c r="O403" s="23">
        <f>IF($C403="","",INDEX(인턴근무계획!$Q$3:$Q$402,$A403)&amp;"")</f>
        <v/>
      </c>
      <c r="P403" s="23">
        <f>IF($C403="","",INDEX(인턴근무계획!$R$3:$R$402,$A403)&amp;"")</f>
        <v/>
      </c>
      <c r="Q403" s="23">
        <f>IF($C403="","",INDEX(인턴근무계획!$T$3:$T$402,$A403))</f>
        <v/>
      </c>
    </row>
    <row r="404">
      <c r="A404" s="26" t="n">
        <v>399</v>
      </c>
      <c r="B404" s="23">
        <f>IF($C404="","",INDEX(인턴근무계획!$B$3:$B$402,$A404))</f>
        <v/>
      </c>
      <c r="C404" s="23">
        <f>IFERROR(TRIM(INDEX(인턴근무계획!$C$3:$C$402,$A404)&amp;""),"")</f>
        <v/>
      </c>
      <c r="D404" s="23">
        <f>IF($C404="","",INDEX(인턴근무계획!$D$3:$D$402,$A404))</f>
        <v/>
      </c>
      <c r="E404" s="23">
        <f>IF($C404="","",IF(IFERROR(MATCH($D404,기본자료!$B$2:$B$1001,0),IFERROR(MATCH($D404&amp;"",기본자료!$B$2:$B$1001,0),IFERROR(MATCH(VALUE($D404),기본자료!$B$2:$B$1001,0),0)))&gt;0,"확인","미등록"))</f>
        <v/>
      </c>
      <c r="F404" s="27">
        <f>IF($C404="","",INDEX(인턴근무계획!$S$3:$S$402,$A404))</f>
        <v/>
      </c>
      <c r="G404" s="23">
        <f>IF(OR($C404="",$G$3=""),"",IF(INDEX(인턴근무계획!$M$3:$R$402,$A404,$G$3)&amp;""="","",IF(LEFT(INDEX(인턴근무계획!$M$3:$R$402,$A404,$G$3)&amp;"",1)="⚠",INDEX(인턴근무계획!$M$3:$R$402,$A404,$G$3)&amp;"",LEFT(INDEX(인턴근무계획!$M$3:$R$402,$A404,$G$3)&amp;"",FIND(" ",INDEX(인턴근무계획!$M$3:$R$402,$A404,$G$3)&amp;"")-1))))</f>
        <v/>
      </c>
      <c r="H404" s="23">
        <f>IF(OR($C404="",$G$3=""),"",IF(INDEX(인턴근무계획!$M$3:$R$402,$A404,$G$3)&amp;""="","",IF(LEFT(INDEX(인턴근무계획!$M$3:$R$402,$A404,$G$3)&amp;"",1)="⚠","",MID(INDEX(인턴근무계획!$M$3:$R$402,$A404,$G$3)&amp;"",FIND(" ",INDEX(인턴근무계획!$M$3:$R$402,$A404,$G$3)&amp;"")+1,60))))</f>
        <v/>
      </c>
      <c r="I404" s="23">
        <f>IF(OR($C404="",$I$3=""),"",IF(INDEX(인턴근무계획!$M$3:$R$402,$A404,$I$3)&amp;""="","",IF(LEFT(INDEX(인턴근무계획!$M$3:$R$402,$A404,$I$3)&amp;"",1)="⚠",INDEX(인턴근무계획!$M$3:$R$402,$A404,$I$3)&amp;"",LEFT(INDEX(인턴근무계획!$M$3:$R$402,$A404,$I$3)&amp;"",FIND(" ",INDEX(인턴근무계획!$M$3:$R$402,$A404,$I$3)&amp;"")-1))))</f>
        <v/>
      </c>
      <c r="J404" s="23">
        <f>IF(OR($C404="",$I$3=""),"",IF(INDEX(인턴근무계획!$M$3:$R$402,$A404,$I$3)&amp;""="","",IF(LEFT(INDEX(인턴근무계획!$M$3:$R$402,$A404,$I$3)&amp;"",1)="⚠","",MID(INDEX(인턴근무계획!$M$3:$R$402,$A404,$I$3)&amp;"",FIND(" ",INDEX(인턴근무계획!$M$3:$R$402,$A404,$I$3)&amp;"")+1,60))))</f>
        <v/>
      </c>
      <c r="K404" s="23">
        <f>IF($C404="","",INDEX(인턴근무계획!$M$3:$M$402,$A404)&amp;"")</f>
        <v/>
      </c>
      <c r="L404" s="23">
        <f>IF($C404="","",INDEX(인턴근무계획!$N$3:$N$402,$A404)&amp;"")</f>
        <v/>
      </c>
      <c r="M404" s="23">
        <f>IF($C404="","",INDEX(인턴근무계획!$O$3:$O$402,$A404)&amp;"")</f>
        <v/>
      </c>
      <c r="N404" s="23">
        <f>IF($C404="","",INDEX(인턴근무계획!$P$3:$P$402,$A404)&amp;"")</f>
        <v/>
      </c>
      <c r="O404" s="23">
        <f>IF($C404="","",INDEX(인턴근무계획!$Q$3:$Q$402,$A404)&amp;"")</f>
        <v/>
      </c>
      <c r="P404" s="23">
        <f>IF($C404="","",INDEX(인턴근무계획!$R$3:$R$402,$A404)&amp;"")</f>
        <v/>
      </c>
      <c r="Q404" s="23">
        <f>IF($C404="","",INDEX(인턴근무계획!$T$3:$T$402,$A404))</f>
        <v/>
      </c>
    </row>
    <row r="405">
      <c r="A405" s="26" t="n">
        <v>400</v>
      </c>
      <c r="B405" s="23">
        <f>IF($C405="","",INDEX(인턴근무계획!$B$3:$B$402,$A405))</f>
        <v/>
      </c>
      <c r="C405" s="23">
        <f>IFERROR(TRIM(INDEX(인턴근무계획!$C$3:$C$402,$A405)&amp;""),"")</f>
        <v/>
      </c>
      <c r="D405" s="23">
        <f>IF($C405="","",INDEX(인턴근무계획!$D$3:$D$402,$A405))</f>
        <v/>
      </c>
      <c r="E405" s="23">
        <f>IF($C405="","",IF(IFERROR(MATCH($D405,기본자료!$B$2:$B$1001,0),IFERROR(MATCH($D405&amp;"",기본자료!$B$2:$B$1001,0),IFERROR(MATCH(VALUE($D405),기본자료!$B$2:$B$1001,0),0)))&gt;0,"확인","미등록"))</f>
        <v/>
      </c>
      <c r="F405" s="27">
        <f>IF($C405="","",INDEX(인턴근무계획!$S$3:$S$402,$A405))</f>
        <v/>
      </c>
      <c r="G405" s="23">
        <f>IF(OR($C405="",$G$3=""),"",IF(INDEX(인턴근무계획!$M$3:$R$402,$A405,$G$3)&amp;""="","",IF(LEFT(INDEX(인턴근무계획!$M$3:$R$402,$A405,$G$3)&amp;"",1)="⚠",INDEX(인턴근무계획!$M$3:$R$402,$A405,$G$3)&amp;"",LEFT(INDEX(인턴근무계획!$M$3:$R$402,$A405,$G$3)&amp;"",FIND(" ",INDEX(인턴근무계획!$M$3:$R$402,$A405,$G$3)&amp;"")-1))))</f>
        <v/>
      </c>
      <c r="H405" s="23">
        <f>IF(OR($C405="",$G$3=""),"",IF(INDEX(인턴근무계획!$M$3:$R$402,$A405,$G$3)&amp;""="","",IF(LEFT(INDEX(인턴근무계획!$M$3:$R$402,$A405,$G$3)&amp;"",1)="⚠","",MID(INDEX(인턴근무계획!$M$3:$R$402,$A405,$G$3)&amp;"",FIND(" ",INDEX(인턴근무계획!$M$3:$R$402,$A405,$G$3)&amp;"")+1,60))))</f>
        <v/>
      </c>
      <c r="I405" s="23">
        <f>IF(OR($C405="",$I$3=""),"",IF(INDEX(인턴근무계획!$M$3:$R$402,$A405,$I$3)&amp;""="","",IF(LEFT(INDEX(인턴근무계획!$M$3:$R$402,$A405,$I$3)&amp;"",1)="⚠",INDEX(인턴근무계획!$M$3:$R$402,$A405,$I$3)&amp;"",LEFT(INDEX(인턴근무계획!$M$3:$R$402,$A405,$I$3)&amp;"",FIND(" ",INDEX(인턴근무계획!$M$3:$R$402,$A405,$I$3)&amp;"")-1))))</f>
        <v/>
      </c>
      <c r="J405" s="23">
        <f>IF(OR($C405="",$I$3=""),"",IF(INDEX(인턴근무계획!$M$3:$R$402,$A405,$I$3)&amp;""="","",IF(LEFT(INDEX(인턴근무계획!$M$3:$R$402,$A405,$I$3)&amp;"",1)="⚠","",MID(INDEX(인턴근무계획!$M$3:$R$402,$A405,$I$3)&amp;"",FIND(" ",INDEX(인턴근무계획!$M$3:$R$402,$A405,$I$3)&amp;"")+1,60))))</f>
        <v/>
      </c>
      <c r="K405" s="23">
        <f>IF($C405="","",INDEX(인턴근무계획!$M$3:$M$402,$A405)&amp;"")</f>
        <v/>
      </c>
      <c r="L405" s="23">
        <f>IF($C405="","",INDEX(인턴근무계획!$N$3:$N$402,$A405)&amp;"")</f>
        <v/>
      </c>
      <c r="M405" s="23">
        <f>IF($C405="","",INDEX(인턴근무계획!$O$3:$O$402,$A405)&amp;"")</f>
        <v/>
      </c>
      <c r="N405" s="23">
        <f>IF($C405="","",INDEX(인턴근무계획!$P$3:$P$402,$A405)&amp;"")</f>
        <v/>
      </c>
      <c r="O405" s="23">
        <f>IF($C405="","",INDEX(인턴근무계획!$Q$3:$Q$402,$A405)&amp;"")</f>
        <v/>
      </c>
      <c r="P405" s="23">
        <f>IF($C405="","",INDEX(인턴근무계획!$R$3:$R$402,$A405)&amp;"")</f>
        <v/>
      </c>
      <c r="Q405" s="23">
        <f>IF($C405="","",INDEX(인턴근무계획!$T$3:$T$402,$A405))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2026-10-05T05:08:54Z</dcterms:created>
  <dcterms:modified xsi:type="dcterms:W3CDTF">2026-10-05T05:08:55Z</dcterms:modified>
</cp:coreProperties>
</file>